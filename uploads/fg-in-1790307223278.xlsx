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01. LAPORAN FINISH GOODS\QC\"/>
    </mc:Choice>
  </mc:AlternateContent>
  <bookViews>
    <workbookView xWindow="0" yWindow="0" windowWidth="28800" windowHeight="12315" firstSheet="1" activeTab="1"/>
  </bookViews>
  <sheets>
    <sheet name="Sheet1" sheetId="2" state="hidden" r:id="rId1"/>
    <sheet name="090034 FG In Scan History" sheetId="1" r:id="rId2"/>
    <sheet name="Sheet2" sheetId="3" r:id="rId3"/>
  </sheets>
  <definedNames>
    <definedName name="_xlnm._FilterDatabase" localSheetId="1" hidden="1">'090034 FG In Scan History'!$A$1:$Q$19781</definedName>
    <definedName name="_xlnm._FilterDatabase" localSheetId="0" hidden="1">Sheet1!$B$1:$TZ$285</definedName>
  </definedNames>
  <calcPr calcId="152511"/>
</workbook>
</file>

<file path=xl/calcChain.xml><?xml version="1.0" encoding="utf-8"?>
<calcChain xmlns="http://schemas.openxmlformats.org/spreadsheetml/2006/main">
  <c r="A6348" i="1" l="1"/>
  <c r="B6348" i="1"/>
  <c r="A6331" i="1"/>
  <c r="B6331" i="1"/>
  <c r="A6349" i="1"/>
  <c r="B6349" i="1"/>
  <c r="A6350" i="1"/>
  <c r="B6350" i="1"/>
  <c r="A6351" i="1"/>
  <c r="B6351" i="1"/>
  <c r="A6332" i="1"/>
  <c r="B6332" i="1"/>
  <c r="A6352" i="1"/>
  <c r="B6352" i="1"/>
  <c r="A6333" i="1"/>
  <c r="B6333" i="1"/>
  <c r="A6334" i="1"/>
  <c r="B6334" i="1"/>
  <c r="A6335" i="1"/>
  <c r="B6335" i="1"/>
  <c r="A6336" i="1"/>
  <c r="B6336" i="1"/>
  <c r="A6353" i="1"/>
  <c r="B6353" i="1"/>
  <c r="A6354" i="1"/>
  <c r="B6354" i="1"/>
  <c r="A6337" i="1"/>
  <c r="B6337" i="1"/>
  <c r="A6338" i="1"/>
  <c r="B6338" i="1"/>
  <c r="A6355" i="1"/>
  <c r="B6355" i="1"/>
  <c r="A6356" i="1"/>
  <c r="B6356" i="1"/>
  <c r="A6357" i="1"/>
  <c r="B6357" i="1"/>
  <c r="A6358" i="1"/>
  <c r="B6358" i="1"/>
  <c r="A6370" i="1"/>
  <c r="B6370" i="1"/>
  <c r="A6339" i="1"/>
  <c r="B6339" i="1"/>
  <c r="A6359" i="1"/>
  <c r="B6359" i="1"/>
  <c r="A6360" i="1"/>
  <c r="B6360" i="1"/>
  <c r="A6340" i="1"/>
  <c r="B6340" i="1"/>
  <c r="A6282" i="1"/>
  <c r="B6282" i="1"/>
  <c r="A6361" i="1"/>
  <c r="B6361" i="1"/>
  <c r="A6283" i="1"/>
  <c r="B6283" i="1"/>
  <c r="A6362" i="1"/>
  <c r="B6362" i="1"/>
  <c r="A6342" i="1"/>
  <c r="B6342" i="1"/>
  <c r="A6343" i="1"/>
  <c r="B6343" i="1"/>
  <c r="A6363" i="1"/>
  <c r="B6363" i="1"/>
  <c r="A6284" i="1"/>
  <c r="B6284" i="1"/>
  <c r="A6285" i="1"/>
  <c r="B6285" i="1"/>
  <c r="A6286" i="1"/>
  <c r="B6286" i="1"/>
  <c r="A6277" i="1"/>
  <c r="B6277" i="1"/>
  <c r="A6287" i="1"/>
  <c r="B6287" i="1"/>
  <c r="A6341" i="1"/>
  <c r="B6341" i="1"/>
  <c r="A6364" i="1"/>
  <c r="B6364" i="1"/>
  <c r="A6278" i="1"/>
  <c r="B6278" i="1"/>
  <c r="A6279" i="1"/>
  <c r="B6279" i="1"/>
  <c r="A6288" i="1"/>
  <c r="B6288" i="1"/>
  <c r="A6289" i="1"/>
  <c r="B6289" i="1"/>
  <c r="A6280" i="1"/>
  <c r="B6280" i="1"/>
  <c r="A6281" i="1"/>
  <c r="B6281" i="1"/>
  <c r="A6371" i="1"/>
  <c r="B6371" i="1"/>
  <c r="A6372" i="1"/>
  <c r="B6372" i="1"/>
  <c r="A6290" i="1"/>
  <c r="B6290" i="1"/>
  <c r="A6291" i="1"/>
  <c r="B6291" i="1"/>
  <c r="A6365" i="1"/>
  <c r="B6365" i="1"/>
  <c r="A6292" i="1"/>
  <c r="B6292" i="1"/>
  <c r="A6293" i="1"/>
  <c r="B6293" i="1"/>
  <c r="A6366" i="1"/>
  <c r="B6366" i="1"/>
  <c r="A6294" i="1"/>
  <c r="B6294" i="1"/>
  <c r="A6295" i="1"/>
  <c r="B6295" i="1"/>
  <c r="A6373" i="1"/>
  <c r="B6373" i="1"/>
  <c r="A6306" i="1"/>
  <c r="B6306" i="1"/>
  <c r="A6367" i="1"/>
  <c r="B6367" i="1"/>
  <c r="A6296" i="1"/>
  <c r="B6296" i="1"/>
  <c r="A6307" i="1"/>
  <c r="B6307" i="1"/>
  <c r="A6308" i="1"/>
  <c r="B6308" i="1"/>
  <c r="A6309" i="1"/>
  <c r="B6309" i="1"/>
  <c r="A6310" i="1"/>
  <c r="B6310" i="1"/>
  <c r="A6297" i="1"/>
  <c r="B6297" i="1"/>
  <c r="A6374" i="1"/>
  <c r="B6374" i="1"/>
  <c r="A6375" i="1"/>
  <c r="B6375" i="1"/>
  <c r="A6298" i="1"/>
  <c r="B6298" i="1"/>
  <c r="A6299" i="1"/>
  <c r="B6299" i="1"/>
  <c r="A6300" i="1"/>
  <c r="B6300" i="1"/>
  <c r="A6311" i="1"/>
  <c r="B6311" i="1"/>
  <c r="A6312" i="1"/>
  <c r="B6312" i="1"/>
  <c r="A6368" i="1"/>
  <c r="B6368" i="1"/>
  <c r="A6369" i="1"/>
  <c r="B6369" i="1"/>
  <c r="A6313" i="1"/>
  <c r="B6313" i="1"/>
  <c r="A6314" i="1"/>
  <c r="B6314" i="1"/>
  <c r="A6315" i="1"/>
  <c r="B6315" i="1"/>
  <c r="A6316" i="1"/>
  <c r="B6316" i="1"/>
  <c r="A6317" i="1"/>
  <c r="B6317" i="1"/>
  <c r="A6318" i="1"/>
  <c r="B6318" i="1"/>
  <c r="A6380" i="1"/>
  <c r="B6380" i="1"/>
  <c r="A6385" i="1"/>
  <c r="B6385" i="1"/>
  <c r="A6319" i="1"/>
  <c r="B6319" i="1"/>
  <c r="A6320" i="1"/>
  <c r="B6320" i="1"/>
  <c r="A6321" i="1"/>
  <c r="B6321" i="1"/>
  <c r="A6322" i="1"/>
  <c r="B6322" i="1"/>
  <c r="A6323" i="1"/>
  <c r="B6323" i="1"/>
  <c r="A6324" i="1"/>
  <c r="B6324" i="1"/>
  <c r="A6386" i="1"/>
  <c r="B6386" i="1"/>
  <c r="A6344" i="1"/>
  <c r="B6344" i="1"/>
  <c r="A6325" i="1"/>
  <c r="B6325" i="1"/>
  <c r="A6387" i="1"/>
  <c r="B6387" i="1"/>
  <c r="A6301" i="1"/>
  <c r="B6301" i="1"/>
  <c r="A6326" i="1"/>
  <c r="B6326" i="1"/>
  <c r="A6327" i="1"/>
  <c r="B6327" i="1"/>
  <c r="A6328" i="1"/>
  <c r="B6328" i="1"/>
  <c r="A6377" i="1"/>
  <c r="B6377" i="1"/>
  <c r="A6384" i="1"/>
  <c r="B6384" i="1"/>
  <c r="A6388" i="1"/>
  <c r="B6388" i="1"/>
  <c r="A6389" i="1"/>
  <c r="B6389" i="1"/>
  <c r="A6345" i="1"/>
  <c r="B6345" i="1"/>
  <c r="A6329" i="1"/>
  <c r="B6329" i="1"/>
  <c r="A6346" i="1"/>
  <c r="B6346" i="1"/>
  <c r="A6302" i="1"/>
  <c r="B6302" i="1"/>
  <c r="A6330" i="1"/>
  <c r="B6330" i="1"/>
  <c r="A6303" i="1"/>
  <c r="B6303" i="1"/>
  <c r="A6381" i="1"/>
  <c r="B6381" i="1"/>
  <c r="A6382" i="1"/>
  <c r="B6382" i="1"/>
  <c r="A6376" i="1"/>
  <c r="B6376" i="1"/>
  <c r="A6378" i="1"/>
  <c r="B6378" i="1"/>
  <c r="A6383" i="1"/>
  <c r="B6383" i="1"/>
  <c r="A6305" i="1"/>
  <c r="B6305" i="1"/>
  <c r="A6379" i="1"/>
  <c r="B6379" i="1"/>
  <c r="A6347" i="1"/>
  <c r="B6347" i="1"/>
  <c r="A6304" i="1"/>
  <c r="B6304" i="1"/>
  <c r="A6390" i="1"/>
  <c r="B6390" i="1"/>
  <c r="A6391" i="1"/>
  <c r="B6391" i="1"/>
  <c r="A6392" i="1"/>
  <c r="B6392" i="1"/>
  <c r="A6393" i="1"/>
  <c r="B6393" i="1"/>
  <c r="A6394" i="1"/>
  <c r="B6394" i="1"/>
  <c r="A6395" i="1"/>
  <c r="B6395" i="1"/>
  <c r="A6396" i="1"/>
  <c r="B6396" i="1"/>
  <c r="A6397" i="1"/>
  <c r="B6397" i="1"/>
  <c r="A6398" i="1"/>
  <c r="B6398" i="1"/>
  <c r="A6399" i="1"/>
  <c r="B6399" i="1"/>
  <c r="A6400" i="1"/>
  <c r="B6400" i="1"/>
  <c r="F6293" i="1" l="1"/>
  <c r="E6339" i="1"/>
  <c r="H6352" i="1"/>
  <c r="E6383" i="1"/>
  <c r="E6299" i="1"/>
  <c r="E6378" i="1"/>
  <c r="H6357" i="1"/>
  <c r="E6377" i="1"/>
  <c r="E6317" i="1"/>
  <c r="E6375" i="1"/>
  <c r="E6307" i="1"/>
  <c r="E6294" i="1"/>
  <c r="E6288" i="1"/>
  <c r="E6342" i="1"/>
  <c r="E6360" i="1"/>
  <c r="E6356" i="1"/>
  <c r="E6336" i="1"/>
  <c r="E6351" i="1"/>
  <c r="E6330" i="1"/>
  <c r="E6280" i="1"/>
  <c r="G6396" i="1"/>
  <c r="F6384" i="1"/>
  <c r="E6369" i="1"/>
  <c r="F6308" i="1"/>
  <c r="H6295" i="1"/>
  <c r="H6291" i="1"/>
  <c r="E6287" i="1"/>
  <c r="F6340" i="1"/>
  <c r="E6395" i="1"/>
  <c r="E6325" i="1"/>
  <c r="E6368" i="1"/>
  <c r="E6290" i="1"/>
  <c r="E6397" i="1"/>
  <c r="E6373" i="1"/>
  <c r="E6390" i="1"/>
  <c r="H6387" i="1"/>
  <c r="E6318" i="1"/>
  <c r="E6298" i="1"/>
  <c r="E6289" i="1"/>
  <c r="E6343" i="1"/>
  <c r="E6332" i="1"/>
  <c r="E6376" i="1"/>
  <c r="E6321" i="1"/>
  <c r="E6277" i="1"/>
  <c r="E6400" i="1"/>
  <c r="E6394" i="1"/>
  <c r="E6347" i="1"/>
  <c r="E6382" i="1"/>
  <c r="E6329" i="1"/>
  <c r="E6328" i="1"/>
  <c r="E6344" i="1"/>
  <c r="E6320" i="1"/>
  <c r="E6316" i="1"/>
  <c r="E6312" i="1"/>
  <c r="E6374" i="1"/>
  <c r="E6296" i="1"/>
  <c r="E6366" i="1"/>
  <c r="E6372" i="1"/>
  <c r="E6279" i="1"/>
  <c r="E6286" i="1"/>
  <c r="E6362" i="1"/>
  <c r="E6359" i="1"/>
  <c r="E6355" i="1"/>
  <c r="E6335" i="1"/>
  <c r="E6350" i="1"/>
  <c r="E6388" i="1"/>
  <c r="E6365" i="1"/>
  <c r="H6353" i="1"/>
  <c r="E6304" i="1"/>
  <c r="E6346" i="1"/>
  <c r="G6399" i="1"/>
  <c r="G6393" i="1"/>
  <c r="G6379" i="1"/>
  <c r="E6381" i="1"/>
  <c r="F6345" i="1"/>
  <c r="H6327" i="1"/>
  <c r="F6386" i="1"/>
  <c r="E6319" i="1"/>
  <c r="H6315" i="1"/>
  <c r="G6311" i="1"/>
  <c r="F6297" i="1"/>
  <c r="H6367" i="1"/>
  <c r="H6293" i="1"/>
  <c r="H6371" i="1"/>
  <c r="H6278" i="1"/>
  <c r="F6285" i="1"/>
  <c r="H6283" i="1"/>
  <c r="F6339" i="1"/>
  <c r="G6338" i="1"/>
  <c r="G6334" i="1"/>
  <c r="G6349" i="1"/>
  <c r="E6323" i="1"/>
  <c r="E6282" i="1"/>
  <c r="E6322" i="1"/>
  <c r="E6380" i="1"/>
  <c r="E6363" i="1"/>
  <c r="E6302" i="1"/>
  <c r="E6392" i="1"/>
  <c r="E6305" i="1"/>
  <c r="E6303" i="1"/>
  <c r="E6389" i="1"/>
  <c r="E6326" i="1"/>
  <c r="E6324" i="1"/>
  <c r="E6385" i="1"/>
  <c r="E6314" i="1"/>
  <c r="E6300" i="1"/>
  <c r="E6310" i="1"/>
  <c r="E6306" i="1"/>
  <c r="E6292" i="1"/>
  <c r="E6281" i="1"/>
  <c r="E6364" i="1"/>
  <c r="E6284" i="1"/>
  <c r="E6361" i="1"/>
  <c r="E6370" i="1"/>
  <c r="E6337" i="1"/>
  <c r="E6333" i="1"/>
  <c r="E6331" i="1"/>
  <c r="E6301" i="1"/>
  <c r="E6309" i="1"/>
  <c r="E6354" i="1"/>
  <c r="E6398" i="1"/>
  <c r="E6391" i="1"/>
  <c r="E6313" i="1"/>
  <c r="E6341" i="1"/>
  <c r="E6358" i="1"/>
  <c r="E6352" i="1"/>
  <c r="F6351" i="1"/>
  <c r="H6354" i="1"/>
  <c r="G6283" i="1"/>
  <c r="E6278" i="1"/>
  <c r="E6283" i="1"/>
  <c r="E6297" i="1"/>
  <c r="E6334" i="1"/>
  <c r="G6345" i="1"/>
  <c r="H6373" i="1"/>
  <c r="E6371" i="1"/>
  <c r="E6327" i="1"/>
  <c r="G6293" i="1"/>
  <c r="F6338" i="1"/>
  <c r="G6386" i="1"/>
  <c r="F6399" i="1"/>
  <c r="H6319" i="1"/>
  <c r="E6293" i="1"/>
  <c r="F6334" i="1"/>
  <c r="F6393" i="1"/>
  <c r="G6315" i="1"/>
  <c r="G6278" i="1"/>
  <c r="G6327" i="1"/>
  <c r="H6311" i="1"/>
  <c r="H6393" i="1"/>
  <c r="E6393" i="1"/>
  <c r="H6379" i="1"/>
  <c r="F6311" i="1"/>
  <c r="G6285" i="1"/>
  <c r="H6349" i="1"/>
  <c r="F6319" i="1"/>
  <c r="H6381" i="1"/>
  <c r="E6311" i="1"/>
  <c r="F6381" i="1"/>
  <c r="H6297" i="1"/>
  <c r="F6283" i="1"/>
  <c r="E6345" i="1"/>
  <c r="F6367" i="1"/>
  <c r="G6339" i="1"/>
  <c r="H6392" i="1"/>
  <c r="H6386" i="1"/>
  <c r="F6375" i="1"/>
  <c r="G6371" i="1"/>
  <c r="H6339" i="1"/>
  <c r="F6379" i="1"/>
  <c r="E6386" i="1"/>
  <c r="G6297" i="1"/>
  <c r="H6280" i="1"/>
  <c r="F6349" i="1"/>
  <c r="H6331" i="1"/>
  <c r="G6381" i="1"/>
  <c r="G6319" i="1"/>
  <c r="G6367" i="1"/>
  <c r="F6278" i="1"/>
  <c r="H6338" i="1"/>
  <c r="F6331" i="1"/>
  <c r="H6399" i="1"/>
  <c r="H6345" i="1"/>
  <c r="E6367" i="1"/>
  <c r="H6285" i="1"/>
  <c r="H6337" i="1"/>
  <c r="E6399" i="1"/>
  <c r="E6315" i="1"/>
  <c r="E6285" i="1"/>
  <c r="H6334" i="1"/>
  <c r="E6379" i="1"/>
  <c r="F6327" i="1"/>
  <c r="F6315" i="1"/>
  <c r="F6371" i="1"/>
  <c r="E6338" i="1"/>
  <c r="E6349" i="1"/>
  <c r="F6368" i="1"/>
  <c r="H6281" i="1"/>
  <c r="H6306" i="1"/>
  <c r="H6360" i="1"/>
  <c r="H6329" i="1"/>
  <c r="F6304" i="1"/>
  <c r="H6385" i="1"/>
  <c r="F6385" i="1"/>
  <c r="H6326" i="1"/>
  <c r="F6317" i="1"/>
  <c r="H6300" i="1"/>
  <c r="H6301" i="1"/>
  <c r="H6341" i="1"/>
  <c r="F6346" i="1"/>
  <c r="F6392" i="1"/>
  <c r="F6307" i="1"/>
  <c r="H6370" i="1"/>
  <c r="H6284" i="1"/>
  <c r="F6288" i="1"/>
  <c r="H6362" i="1"/>
  <c r="F6356" i="1"/>
  <c r="H6333" i="1"/>
  <c r="H6398" i="1"/>
  <c r="F6333" i="1"/>
  <c r="F6342" i="1"/>
  <c r="H6388" i="1"/>
  <c r="H6324" i="1"/>
  <c r="H6397" i="1"/>
  <c r="F6376" i="1"/>
  <c r="F6377" i="1"/>
  <c r="H6323" i="1"/>
  <c r="H6313" i="1"/>
  <c r="H6309" i="1"/>
  <c r="E6308" i="1"/>
  <c r="H6307" i="1"/>
  <c r="H6292" i="1"/>
  <c r="H6364" i="1"/>
  <c r="H6350" i="1"/>
  <c r="F6360" i="1"/>
  <c r="F6337" i="1"/>
  <c r="G6387" i="1"/>
  <c r="H6305" i="1"/>
  <c r="H6380" i="1"/>
  <c r="H6365" i="1"/>
  <c r="H6358" i="1"/>
  <c r="G6357" i="1"/>
  <c r="E6384" i="1"/>
  <c r="H6377" i="1"/>
  <c r="H6374" i="1"/>
  <c r="F6277" i="1"/>
  <c r="H6282" i="1"/>
  <c r="E6340" i="1"/>
  <c r="H6391" i="1"/>
  <c r="H6303" i="1"/>
  <c r="H6314" i="1"/>
  <c r="G6295" i="1"/>
  <c r="F6281" i="1"/>
  <c r="F6387" i="1"/>
  <c r="H6322" i="1"/>
  <c r="F6396" i="1"/>
  <c r="H6390" i="1"/>
  <c r="F6305" i="1"/>
  <c r="H6328" i="1"/>
  <c r="H6325" i="1"/>
  <c r="F6322" i="1"/>
  <c r="H6318" i="1"/>
  <c r="F6314" i="1"/>
  <c r="H6296" i="1"/>
  <c r="H6294" i="1"/>
  <c r="F6291" i="1"/>
  <c r="H6289" i="1"/>
  <c r="F6364" i="1"/>
  <c r="H6359" i="1"/>
  <c r="H6356" i="1"/>
  <c r="F6353" i="1"/>
  <c r="H6332" i="1"/>
  <c r="H6396" i="1"/>
  <c r="E6387" i="1"/>
  <c r="G6322" i="1"/>
  <c r="E6295" i="1"/>
  <c r="G6291" i="1"/>
  <c r="E6357" i="1"/>
  <c r="G6353" i="1"/>
  <c r="F6325" i="1"/>
  <c r="E6396" i="1"/>
  <c r="G6390" i="1"/>
  <c r="H6383" i="1"/>
  <c r="G6318" i="1"/>
  <c r="F6294" i="1"/>
  <c r="E6291" i="1"/>
  <c r="G6289" i="1"/>
  <c r="H6400" i="1"/>
  <c r="H6395" i="1"/>
  <c r="F6390" i="1"/>
  <c r="H6378" i="1"/>
  <c r="F6303" i="1"/>
  <c r="H6344" i="1"/>
  <c r="H6321" i="1"/>
  <c r="F6318" i="1"/>
  <c r="H6369" i="1"/>
  <c r="F6300" i="1"/>
  <c r="H6366" i="1"/>
  <c r="H6290" i="1"/>
  <c r="F6289" i="1"/>
  <c r="H6287" i="1"/>
  <c r="F6284" i="1"/>
  <c r="H6355" i="1"/>
  <c r="H6336" i="1"/>
  <c r="F6332" i="1"/>
  <c r="F6357" i="1"/>
  <c r="E6353" i="1"/>
  <c r="G6332" i="1"/>
  <c r="F6395" i="1"/>
  <c r="G6378" i="1"/>
  <c r="H6330" i="1"/>
  <c r="H6389" i="1"/>
  <c r="F6321" i="1"/>
  <c r="G6369" i="1"/>
  <c r="H6299" i="1"/>
  <c r="H6310" i="1"/>
  <c r="F6290" i="1"/>
  <c r="G6287" i="1"/>
  <c r="H6363" i="1"/>
  <c r="H6361" i="1"/>
  <c r="F6336" i="1"/>
  <c r="H6394" i="1"/>
  <c r="H6304" i="1"/>
  <c r="F6378" i="1"/>
  <c r="H6302" i="1"/>
  <c r="F6389" i="1"/>
  <c r="H6320" i="1"/>
  <c r="H6317" i="1"/>
  <c r="F6369" i="1"/>
  <c r="H6298" i="1"/>
  <c r="F6310" i="1"/>
  <c r="H6372" i="1"/>
  <c r="H6288" i="1"/>
  <c r="F6287" i="1"/>
  <c r="H6343" i="1"/>
  <c r="F6361" i="1"/>
  <c r="H6335" i="1"/>
  <c r="H6351" i="1"/>
  <c r="F6295" i="1"/>
  <c r="G6343" i="1"/>
  <c r="G6302" i="1"/>
  <c r="G6298" i="1"/>
  <c r="H6347" i="1"/>
  <c r="H6376" i="1"/>
  <c r="F6302" i="1"/>
  <c r="H6384" i="1"/>
  <c r="F6326" i="1"/>
  <c r="H6316" i="1"/>
  <c r="H6368" i="1"/>
  <c r="F6298" i="1"/>
  <c r="H6308" i="1"/>
  <c r="F6306" i="1"/>
  <c r="H6279" i="1"/>
  <c r="H6277" i="1"/>
  <c r="F6343" i="1"/>
  <c r="H6340" i="1"/>
  <c r="F6370" i="1"/>
  <c r="G6308" i="1"/>
  <c r="G6384" i="1"/>
  <c r="G6340" i="1"/>
  <c r="F6398" i="1"/>
  <c r="H6382" i="1"/>
  <c r="H6346" i="1"/>
  <c r="F6324" i="1"/>
  <c r="H6312" i="1"/>
  <c r="H6375" i="1"/>
  <c r="F6292" i="1"/>
  <c r="H6286" i="1"/>
  <c r="H6342" i="1"/>
  <c r="G6398" i="1"/>
  <c r="G6395" i="1"/>
  <c r="G6392" i="1"/>
  <c r="G6304" i="1"/>
  <c r="G6305" i="1"/>
  <c r="G6376" i="1"/>
  <c r="G6303" i="1"/>
  <c r="G6346" i="1"/>
  <c r="G6389" i="1"/>
  <c r="G6377" i="1"/>
  <c r="G6326" i="1"/>
  <c r="G6325" i="1"/>
  <c r="G6324" i="1"/>
  <c r="G6321" i="1"/>
  <c r="G6385" i="1"/>
  <c r="G6317" i="1"/>
  <c r="G6314" i="1"/>
  <c r="G6368" i="1"/>
  <c r="G6300" i="1"/>
  <c r="G6375" i="1"/>
  <c r="G6310" i="1"/>
  <c r="G6307" i="1"/>
  <c r="G6306" i="1"/>
  <c r="G6294" i="1"/>
  <c r="G6292" i="1"/>
  <c r="G6290" i="1"/>
  <c r="G6281" i="1"/>
  <c r="G6288" i="1"/>
  <c r="G6364" i="1"/>
  <c r="G6277" i="1"/>
  <c r="G6284" i="1"/>
  <c r="G6342" i="1"/>
  <c r="G6361" i="1"/>
  <c r="G6360" i="1"/>
  <c r="G6370" i="1"/>
  <c r="G6356" i="1"/>
  <c r="G6337" i="1"/>
  <c r="G6336" i="1"/>
  <c r="G6333" i="1"/>
  <c r="G6351" i="1"/>
  <c r="G6331" i="1"/>
  <c r="G6391" i="1"/>
  <c r="G6400" i="1"/>
  <c r="G6394" i="1"/>
  <c r="G6382" i="1"/>
  <c r="G6329" i="1"/>
  <c r="G6328" i="1"/>
  <c r="G6344" i="1"/>
  <c r="G6320" i="1"/>
  <c r="G6316" i="1"/>
  <c r="G6299" i="1"/>
  <c r="G6309" i="1"/>
  <c r="G6373" i="1"/>
  <c r="G6365" i="1"/>
  <c r="G6279" i="1"/>
  <c r="G6286" i="1"/>
  <c r="G6362" i="1"/>
  <c r="G6359" i="1"/>
  <c r="G6354" i="1"/>
  <c r="G6352" i="1"/>
  <c r="F6400" i="1"/>
  <c r="F6397" i="1"/>
  <c r="F6394" i="1"/>
  <c r="F6391" i="1"/>
  <c r="F6347" i="1"/>
  <c r="F6383" i="1"/>
  <c r="F6382" i="1"/>
  <c r="F6330" i="1"/>
  <c r="F6329" i="1"/>
  <c r="F6388" i="1"/>
  <c r="F6328" i="1"/>
  <c r="F6301" i="1"/>
  <c r="F6344" i="1"/>
  <c r="F6323" i="1"/>
  <c r="F6320" i="1"/>
  <c r="F6380" i="1"/>
  <c r="F6316" i="1"/>
  <c r="F6313" i="1"/>
  <c r="F6312" i="1"/>
  <c r="F6299" i="1"/>
  <c r="F6374" i="1"/>
  <c r="F6309" i="1"/>
  <c r="F6296" i="1"/>
  <c r="F6373" i="1"/>
  <c r="F6366" i="1"/>
  <c r="F6365" i="1"/>
  <c r="F6372" i="1"/>
  <c r="F6280" i="1"/>
  <c r="F6279" i="1"/>
  <c r="F6341" i="1"/>
  <c r="F6286" i="1"/>
  <c r="F6363" i="1"/>
  <c r="F6362" i="1"/>
  <c r="F6282" i="1"/>
  <c r="F6359" i="1"/>
  <c r="F6358" i="1"/>
  <c r="F6355" i="1"/>
  <c r="F6354" i="1"/>
  <c r="F6335" i="1"/>
  <c r="F6352" i="1"/>
  <c r="F6350" i="1"/>
  <c r="G6397" i="1"/>
  <c r="G6347" i="1"/>
  <c r="G6383" i="1"/>
  <c r="G6330" i="1"/>
  <c r="G6388" i="1"/>
  <c r="G6301" i="1"/>
  <c r="G6323" i="1"/>
  <c r="G6380" i="1"/>
  <c r="G6313" i="1"/>
  <c r="G6312" i="1"/>
  <c r="G6374" i="1"/>
  <c r="G6296" i="1"/>
  <c r="G6366" i="1"/>
  <c r="G6372" i="1"/>
  <c r="G6280" i="1"/>
  <c r="G6341" i="1"/>
  <c r="G6363" i="1"/>
  <c r="G6282" i="1"/>
  <c r="G6358" i="1"/>
  <c r="G6355" i="1"/>
  <c r="G6335" i="1"/>
  <c r="G6350" i="1"/>
  <c r="B2" i="1" l="1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6" i="3"/>
  <c r="A2727" i="1" l="1"/>
  <c r="B2727" i="1"/>
  <c r="A2841" i="1"/>
  <c r="B2841" i="1"/>
  <c r="A3021" i="1"/>
  <c r="B3021" i="1"/>
  <c r="A2869" i="1"/>
  <c r="B2869" i="1"/>
  <c r="A3022" i="1"/>
  <c r="B3022" i="1"/>
  <c r="A2870" i="1"/>
  <c r="B2870" i="1"/>
  <c r="A2728" i="1"/>
  <c r="B2728" i="1"/>
  <c r="A2729" i="1"/>
  <c r="B2729" i="1"/>
  <c r="A3057" i="1"/>
  <c r="B3057" i="1"/>
  <c r="A3023" i="1"/>
  <c r="B3023" i="1"/>
  <c r="A2871" i="1"/>
  <c r="B2871" i="1"/>
  <c r="A3024" i="1"/>
  <c r="B3024" i="1"/>
  <c r="A2730" i="1"/>
  <c r="B2730" i="1"/>
  <c r="A2872" i="1"/>
  <c r="B2872" i="1"/>
  <c r="A3025" i="1"/>
  <c r="B3025" i="1"/>
  <c r="A2873" i="1"/>
  <c r="B2873" i="1"/>
  <c r="A2874" i="1"/>
  <c r="B2874" i="1"/>
  <c r="A2875" i="1"/>
  <c r="B2875" i="1"/>
  <c r="A2913" i="1"/>
  <c r="B2913" i="1"/>
  <c r="A2876" i="1"/>
  <c r="B2876" i="1"/>
  <c r="A2877" i="1"/>
  <c r="B2877" i="1"/>
  <c r="A2914" i="1"/>
  <c r="B2914" i="1"/>
  <c r="A2731" i="1"/>
  <c r="B2731" i="1"/>
  <c r="A2842" i="1"/>
  <c r="B2842" i="1"/>
  <c r="A2878" i="1"/>
  <c r="B2878" i="1"/>
  <c r="A3058" i="1"/>
  <c r="B3058" i="1"/>
  <c r="A3059" i="1"/>
  <c r="B3059" i="1"/>
  <c r="A2732" i="1"/>
  <c r="B2732" i="1"/>
  <c r="A3060" i="1"/>
  <c r="B3060" i="1"/>
  <c r="A2915" i="1"/>
  <c r="B2915" i="1"/>
  <c r="A2733" i="1"/>
  <c r="B2733" i="1"/>
  <c r="A3061" i="1"/>
  <c r="B3061" i="1"/>
  <c r="A2879" i="1"/>
  <c r="B2879" i="1"/>
  <c r="A2734" i="1"/>
  <c r="B2734" i="1"/>
  <c r="A2880" i="1"/>
  <c r="B2880" i="1"/>
  <c r="A2843" i="1"/>
  <c r="B2843" i="1"/>
  <c r="A3065" i="1"/>
  <c r="B3065" i="1"/>
  <c r="A3028" i="1"/>
  <c r="B3028" i="1"/>
  <c r="A2916" i="1"/>
  <c r="B2916" i="1"/>
  <c r="A2917" i="1"/>
  <c r="B2917" i="1"/>
  <c r="A2918" i="1"/>
  <c r="B2918" i="1"/>
  <c r="A2919" i="1"/>
  <c r="B2919" i="1"/>
  <c r="A2920" i="1"/>
  <c r="B2920" i="1"/>
  <c r="A2735" i="1"/>
  <c r="B2735" i="1"/>
  <c r="A2921" i="1"/>
  <c r="B2921" i="1"/>
  <c r="A2736" i="1"/>
  <c r="B2736" i="1"/>
  <c r="A2922" i="1"/>
  <c r="B2922" i="1"/>
  <c r="A2881" i="1"/>
  <c r="B2881" i="1"/>
  <c r="A2923" i="1"/>
  <c r="B2923" i="1"/>
  <c r="A2924" i="1"/>
  <c r="B2924" i="1"/>
  <c r="A2925" i="1"/>
  <c r="B2925" i="1"/>
  <c r="A2737" i="1"/>
  <c r="B2737" i="1"/>
  <c r="A2926" i="1"/>
  <c r="B2926" i="1"/>
  <c r="A2738" i="1"/>
  <c r="B2738" i="1"/>
  <c r="A2927" i="1"/>
  <c r="B2927" i="1"/>
  <c r="A2928" i="1"/>
  <c r="B2928" i="1"/>
  <c r="A2882" i="1"/>
  <c r="B2882" i="1"/>
  <c r="A2739" i="1"/>
  <c r="B2739" i="1"/>
  <c r="A2844" i="1"/>
  <c r="B2844" i="1"/>
  <c r="A2929" i="1"/>
  <c r="B2929" i="1"/>
  <c r="A2930" i="1"/>
  <c r="B2930" i="1"/>
  <c r="A2883" i="1"/>
  <c r="B2883" i="1"/>
  <c r="A2884" i="1"/>
  <c r="B2884" i="1"/>
  <c r="A2740" i="1"/>
  <c r="B2740" i="1"/>
  <c r="A2885" i="1"/>
  <c r="B2885" i="1"/>
  <c r="A2886" i="1"/>
  <c r="B2886" i="1"/>
  <c r="A2931" i="1"/>
  <c r="B2931" i="1"/>
  <c r="A2932" i="1"/>
  <c r="B2932" i="1"/>
  <c r="A2933" i="1"/>
  <c r="B2933" i="1"/>
  <c r="A2934" i="1"/>
  <c r="B2934" i="1"/>
  <c r="A2741" i="1"/>
  <c r="B2741" i="1"/>
  <c r="A3066" i="1"/>
  <c r="B3066" i="1"/>
  <c r="A2742" i="1"/>
  <c r="B2742" i="1"/>
  <c r="A2743" i="1"/>
  <c r="B2743" i="1"/>
  <c r="A2853" i="1"/>
  <c r="B2853" i="1"/>
  <c r="A2935" i="1"/>
  <c r="B2935" i="1"/>
  <c r="A2744" i="1"/>
  <c r="B2744" i="1"/>
  <c r="A2745" i="1"/>
  <c r="B2745" i="1"/>
  <c r="A2746" i="1"/>
  <c r="B2746" i="1"/>
  <c r="A2854" i="1"/>
  <c r="B2854" i="1"/>
  <c r="A2936" i="1"/>
  <c r="B2936" i="1"/>
  <c r="A2855" i="1"/>
  <c r="B2855" i="1"/>
  <c r="A2937" i="1"/>
  <c r="B2937" i="1"/>
  <c r="A2938" i="1"/>
  <c r="B2938" i="1"/>
  <c r="A2939" i="1"/>
  <c r="B2939" i="1"/>
  <c r="A2856" i="1"/>
  <c r="B2856" i="1"/>
  <c r="A2940" i="1"/>
  <c r="B2940" i="1"/>
  <c r="A2941" i="1"/>
  <c r="B2941" i="1"/>
  <c r="A2845" i="1"/>
  <c r="B2845" i="1"/>
  <c r="A2846" i="1"/>
  <c r="B2846" i="1"/>
  <c r="A2805" i="1"/>
  <c r="B2805" i="1"/>
  <c r="A2806" i="1"/>
  <c r="B2806" i="1"/>
  <c r="A2807" i="1"/>
  <c r="B2807" i="1"/>
  <c r="A2857" i="1"/>
  <c r="B2857" i="1"/>
  <c r="A3067" i="1"/>
  <c r="B3067" i="1"/>
  <c r="A2747" i="1"/>
  <c r="B2747" i="1"/>
  <c r="A2808" i="1"/>
  <c r="B2808" i="1"/>
  <c r="A2942" i="1"/>
  <c r="B2942" i="1"/>
  <c r="A2748" i="1"/>
  <c r="B2748" i="1"/>
  <c r="A2943" i="1"/>
  <c r="B2943" i="1"/>
  <c r="A2944" i="1"/>
  <c r="B2944" i="1"/>
  <c r="A2749" i="1"/>
  <c r="B2749" i="1"/>
  <c r="A3068" i="1"/>
  <c r="B3068" i="1"/>
  <c r="A3069" i="1"/>
  <c r="B3069" i="1"/>
  <c r="A2858" i="1"/>
  <c r="B2858" i="1"/>
  <c r="A2945" i="1"/>
  <c r="B2945" i="1"/>
  <c r="A2750" i="1"/>
  <c r="B2750" i="1"/>
  <c r="A2809" i="1"/>
  <c r="B2809" i="1"/>
  <c r="A2810" i="1"/>
  <c r="B2810" i="1"/>
  <c r="A2811" i="1"/>
  <c r="B2811" i="1"/>
  <c r="A2812" i="1"/>
  <c r="B2812" i="1"/>
  <c r="A3070" i="1"/>
  <c r="B3070" i="1"/>
  <c r="A3071" i="1"/>
  <c r="B3071" i="1"/>
  <c r="A2946" i="1"/>
  <c r="B2946" i="1"/>
  <c r="A2947" i="1"/>
  <c r="B2947" i="1"/>
  <c r="A3072" i="1"/>
  <c r="B3072" i="1"/>
  <c r="A2948" i="1"/>
  <c r="B2948" i="1"/>
  <c r="A3073" i="1"/>
  <c r="B3073" i="1"/>
  <c r="A2751" i="1"/>
  <c r="B2751" i="1"/>
  <c r="A3074" i="1"/>
  <c r="B3074" i="1"/>
  <c r="A2949" i="1"/>
  <c r="B2949" i="1"/>
  <c r="A2859" i="1"/>
  <c r="B2859" i="1"/>
  <c r="A2950" i="1"/>
  <c r="B2950" i="1"/>
  <c r="A2860" i="1"/>
  <c r="B2860" i="1"/>
  <c r="A2951" i="1"/>
  <c r="B2951" i="1"/>
  <c r="A2887" i="1"/>
  <c r="B2887" i="1"/>
  <c r="A3075" i="1"/>
  <c r="B3075" i="1"/>
  <c r="A3076" i="1"/>
  <c r="B3076" i="1"/>
  <c r="A2952" i="1"/>
  <c r="B2952" i="1"/>
  <c r="A2953" i="1"/>
  <c r="B2953" i="1"/>
  <c r="A2954" i="1"/>
  <c r="B2954" i="1"/>
  <c r="A2752" i="1"/>
  <c r="B2752" i="1"/>
  <c r="A2753" i="1"/>
  <c r="B2753" i="1"/>
  <c r="A2813" i="1"/>
  <c r="B2813" i="1"/>
  <c r="A2814" i="1"/>
  <c r="B2814" i="1"/>
  <c r="A2815" i="1"/>
  <c r="B2815" i="1"/>
  <c r="A2816" i="1"/>
  <c r="B2816" i="1"/>
  <c r="A2955" i="1"/>
  <c r="B2955" i="1"/>
  <c r="A2861" i="1"/>
  <c r="B2861" i="1"/>
  <c r="A2956" i="1"/>
  <c r="B2956" i="1"/>
  <c r="A2957" i="1"/>
  <c r="B2957" i="1"/>
  <c r="A2862" i="1"/>
  <c r="B2862" i="1"/>
  <c r="A2888" i="1"/>
  <c r="B2888" i="1"/>
  <c r="A2817" i="1"/>
  <c r="B2817" i="1"/>
  <c r="A2754" i="1"/>
  <c r="B2754" i="1"/>
  <c r="A3077" i="1"/>
  <c r="B3077" i="1"/>
  <c r="A3078" i="1"/>
  <c r="B3078" i="1"/>
  <c r="A3079" i="1"/>
  <c r="B3079" i="1"/>
  <c r="A3080" i="1"/>
  <c r="B3080" i="1"/>
  <c r="A3081" i="1"/>
  <c r="B3081" i="1"/>
  <c r="A2818" i="1"/>
  <c r="B2818" i="1"/>
  <c r="A2819" i="1"/>
  <c r="B2819" i="1"/>
  <c r="A2889" i="1"/>
  <c r="B2889" i="1"/>
  <c r="A2863" i="1"/>
  <c r="B2863" i="1"/>
  <c r="A2820" i="1"/>
  <c r="B2820" i="1"/>
  <c r="A2864" i="1"/>
  <c r="B2864" i="1"/>
  <c r="A2847" i="1"/>
  <c r="B2847" i="1"/>
  <c r="A2848" i="1"/>
  <c r="B2848" i="1"/>
  <c r="A2849" i="1"/>
  <c r="B2849" i="1"/>
  <c r="A2755" i="1"/>
  <c r="B2755" i="1"/>
  <c r="A2821" i="1"/>
  <c r="B2821" i="1"/>
  <c r="A2756" i="1"/>
  <c r="B2756" i="1"/>
  <c r="A2822" i="1"/>
  <c r="B2822" i="1"/>
  <c r="A2823" i="1"/>
  <c r="B2823" i="1"/>
  <c r="A2850" i="1"/>
  <c r="B2850" i="1"/>
  <c r="A2958" i="1"/>
  <c r="B2958" i="1"/>
  <c r="A2959" i="1"/>
  <c r="B2959" i="1"/>
  <c r="A2824" i="1"/>
  <c r="B2824" i="1"/>
  <c r="A3082" i="1"/>
  <c r="B3082" i="1"/>
  <c r="A3083" i="1"/>
  <c r="B3083" i="1"/>
  <c r="A2960" i="1"/>
  <c r="B2960" i="1"/>
  <c r="A2825" i="1"/>
  <c r="B2825" i="1"/>
  <c r="A2865" i="1"/>
  <c r="B2865" i="1"/>
  <c r="A3084" i="1"/>
  <c r="B3084" i="1"/>
  <c r="A2961" i="1"/>
  <c r="B2961" i="1"/>
  <c r="A2962" i="1"/>
  <c r="B2962" i="1"/>
  <c r="A3085" i="1"/>
  <c r="B3085" i="1"/>
  <c r="A2890" i="1"/>
  <c r="B2890" i="1"/>
  <c r="A2866" i="1"/>
  <c r="B2866" i="1"/>
  <c r="A2851" i="1"/>
  <c r="B2851" i="1"/>
  <c r="A2757" i="1"/>
  <c r="B2757" i="1"/>
  <c r="A2758" i="1"/>
  <c r="B2758" i="1"/>
  <c r="A3086" i="1"/>
  <c r="B3086" i="1"/>
  <c r="A2759" i="1"/>
  <c r="B2759" i="1"/>
  <c r="A2963" i="1"/>
  <c r="B2963" i="1"/>
  <c r="A2760" i="1"/>
  <c r="B2760" i="1"/>
  <c r="A2964" i="1"/>
  <c r="B2964" i="1"/>
  <c r="A2761" i="1"/>
  <c r="B2761" i="1"/>
  <c r="A2852" i="1"/>
  <c r="B2852" i="1"/>
  <c r="A2965" i="1"/>
  <c r="B2965" i="1"/>
  <c r="A2966" i="1"/>
  <c r="B2966" i="1"/>
  <c r="A2967" i="1"/>
  <c r="B2967" i="1"/>
  <c r="A3103" i="1"/>
  <c r="B3103" i="1"/>
  <c r="A2968" i="1"/>
  <c r="B2968" i="1"/>
  <c r="A2867" i="1"/>
  <c r="B2867" i="1"/>
  <c r="A3087" i="1"/>
  <c r="B3087" i="1"/>
  <c r="A3088" i="1"/>
  <c r="B3088" i="1"/>
  <c r="A2969" i="1"/>
  <c r="B2969" i="1"/>
  <c r="A2762" i="1"/>
  <c r="B2762" i="1"/>
  <c r="A2826" i="1"/>
  <c r="B2826" i="1"/>
  <c r="A3104" i="1"/>
  <c r="B3104" i="1"/>
  <c r="A3105" i="1"/>
  <c r="B3105" i="1"/>
  <c r="A2970" i="1"/>
  <c r="B2970" i="1"/>
  <c r="A3089" i="1"/>
  <c r="B3089" i="1"/>
  <c r="A2891" i="1"/>
  <c r="B2891" i="1"/>
  <c r="A2892" i="1"/>
  <c r="B2892" i="1"/>
  <c r="A2971" i="1"/>
  <c r="B2971" i="1"/>
  <c r="A2972" i="1"/>
  <c r="B2972" i="1"/>
  <c r="A2973" i="1"/>
  <c r="B2973" i="1"/>
  <c r="A2974" i="1"/>
  <c r="B2974" i="1"/>
  <c r="A2975" i="1"/>
  <c r="B2975" i="1"/>
  <c r="A2976" i="1"/>
  <c r="B2976" i="1"/>
  <c r="A2893" i="1"/>
  <c r="B2893" i="1"/>
  <c r="A2894" i="1"/>
  <c r="B2894" i="1"/>
  <c r="A2977" i="1"/>
  <c r="B2977" i="1"/>
  <c r="A2978" i="1"/>
  <c r="B2978" i="1"/>
  <c r="A3029" i="1"/>
  <c r="B3029" i="1"/>
  <c r="A2763" i="1"/>
  <c r="B2763" i="1"/>
  <c r="A2827" i="1"/>
  <c r="B2827" i="1"/>
  <c r="A3090" i="1"/>
  <c r="B3090" i="1"/>
  <c r="A3030" i="1"/>
  <c r="B3030" i="1"/>
  <c r="A3031" i="1"/>
  <c r="B3031" i="1"/>
  <c r="A2771" i="1"/>
  <c r="B2771" i="1"/>
  <c r="A2979" i="1"/>
  <c r="B2979" i="1"/>
  <c r="A2980" i="1"/>
  <c r="B2980" i="1"/>
  <c r="A2772" i="1"/>
  <c r="B2772" i="1"/>
  <c r="A2764" i="1"/>
  <c r="B2764" i="1"/>
  <c r="A2981" i="1"/>
  <c r="B2981" i="1"/>
  <c r="A2895" i="1"/>
  <c r="B2895" i="1"/>
  <c r="A2804" i="1"/>
  <c r="B2804" i="1"/>
  <c r="A2896" i="1"/>
  <c r="B2896" i="1"/>
  <c r="A2897" i="1"/>
  <c r="B2897" i="1"/>
  <c r="A2898" i="1"/>
  <c r="B2898" i="1"/>
  <c r="A2982" i="1"/>
  <c r="B2982" i="1"/>
  <c r="A2765" i="1"/>
  <c r="B2765" i="1"/>
  <c r="A2899" i="1"/>
  <c r="B2899" i="1"/>
  <c r="A2766" i="1"/>
  <c r="B2766" i="1"/>
  <c r="A3032" i="1"/>
  <c r="B3032" i="1"/>
  <c r="A3033" i="1"/>
  <c r="B3033" i="1"/>
  <c r="A3034" i="1"/>
  <c r="B3034" i="1"/>
  <c r="A2983" i="1"/>
  <c r="B2983" i="1"/>
  <c r="A3035" i="1"/>
  <c r="B3035" i="1"/>
  <c r="A2868" i="1"/>
  <c r="B2868" i="1"/>
  <c r="A3091" i="1"/>
  <c r="B3091" i="1"/>
  <c r="A2984" i="1"/>
  <c r="B2984" i="1"/>
  <c r="A2767" i="1"/>
  <c r="B2767" i="1"/>
  <c r="A2985" i="1"/>
  <c r="B2985" i="1"/>
  <c r="A3106" i="1"/>
  <c r="B3106" i="1"/>
  <c r="A2986" i="1"/>
  <c r="B2986" i="1"/>
  <c r="A3107" i="1"/>
  <c r="B3107" i="1"/>
  <c r="A2720" i="1"/>
  <c r="B2720" i="1"/>
  <c r="A2987" i="1"/>
  <c r="B2987" i="1"/>
  <c r="A2773" i="1"/>
  <c r="B2773" i="1"/>
  <c r="A2774" i="1"/>
  <c r="B2774" i="1"/>
  <c r="A2775" i="1"/>
  <c r="B2775" i="1"/>
  <c r="A2988" i="1"/>
  <c r="B2988" i="1"/>
  <c r="A3062" i="1"/>
  <c r="B3062" i="1"/>
  <c r="A3108" i="1"/>
  <c r="B3108" i="1"/>
  <c r="A3109" i="1"/>
  <c r="B3109" i="1"/>
  <c r="A2989" i="1"/>
  <c r="B2989" i="1"/>
  <c r="A2776" i="1"/>
  <c r="B2776" i="1"/>
  <c r="A2777" i="1"/>
  <c r="B2777" i="1"/>
  <c r="A2778" i="1"/>
  <c r="B2778" i="1"/>
  <c r="A2990" i="1"/>
  <c r="B2990" i="1"/>
  <c r="A3092" i="1"/>
  <c r="B3092" i="1"/>
  <c r="A3093" i="1"/>
  <c r="B3093" i="1"/>
  <c r="A3094" i="1"/>
  <c r="B3094" i="1"/>
  <c r="A3095" i="1"/>
  <c r="B3095" i="1"/>
  <c r="A2991" i="1"/>
  <c r="B2991" i="1"/>
  <c r="A2992" i="1"/>
  <c r="B2992" i="1"/>
  <c r="A3110" i="1"/>
  <c r="B3110" i="1"/>
  <c r="A3096" i="1"/>
  <c r="B3096" i="1"/>
  <c r="A3111" i="1"/>
  <c r="B3111" i="1"/>
  <c r="A3112" i="1"/>
  <c r="B3112" i="1"/>
  <c r="A3113" i="1"/>
  <c r="B3113" i="1"/>
  <c r="A2993" i="1"/>
  <c r="B2993" i="1"/>
  <c r="A3097" i="1"/>
  <c r="B3097" i="1"/>
  <c r="A3098" i="1"/>
  <c r="B3098" i="1"/>
  <c r="A3099" i="1"/>
  <c r="B3099" i="1"/>
  <c r="A2900" i="1"/>
  <c r="B2900" i="1"/>
  <c r="A2901" i="1"/>
  <c r="B2901" i="1"/>
  <c r="A2902" i="1"/>
  <c r="B2902" i="1"/>
  <c r="A2903" i="1"/>
  <c r="B2903" i="1"/>
  <c r="A2904" i="1"/>
  <c r="B2904" i="1"/>
  <c r="A2994" i="1"/>
  <c r="B2994" i="1"/>
  <c r="A2779" i="1"/>
  <c r="B2779" i="1"/>
  <c r="A2780" i="1"/>
  <c r="B2780" i="1"/>
  <c r="A3114" i="1"/>
  <c r="B3114" i="1"/>
  <c r="A3115" i="1"/>
  <c r="B3115" i="1"/>
  <c r="A3116" i="1"/>
  <c r="B3116" i="1"/>
  <c r="A2995" i="1"/>
  <c r="B2995" i="1"/>
  <c r="A3036" i="1"/>
  <c r="B3036" i="1"/>
  <c r="A3037" i="1"/>
  <c r="B3037" i="1"/>
  <c r="A2996" i="1"/>
  <c r="B2996" i="1"/>
  <c r="A2997" i="1"/>
  <c r="B2997" i="1"/>
  <c r="A2998" i="1"/>
  <c r="B2998" i="1"/>
  <c r="A3117" i="1"/>
  <c r="B3117" i="1"/>
  <c r="A3100" i="1"/>
  <c r="B3100" i="1"/>
  <c r="A2905" i="1"/>
  <c r="B2905" i="1"/>
  <c r="A2906" i="1"/>
  <c r="B2906" i="1"/>
  <c r="A2907" i="1"/>
  <c r="B2907" i="1"/>
  <c r="A2908" i="1"/>
  <c r="B2908" i="1"/>
  <c r="A2909" i="1"/>
  <c r="B2909" i="1"/>
  <c r="A2781" i="1"/>
  <c r="B2781" i="1"/>
  <c r="A2782" i="1"/>
  <c r="B2782" i="1"/>
  <c r="A2721" i="1"/>
  <c r="B2721" i="1"/>
  <c r="A3063" i="1"/>
  <c r="B3063" i="1"/>
  <c r="A2999" i="1"/>
  <c r="B2999" i="1"/>
  <c r="A3064" i="1"/>
  <c r="B3064" i="1"/>
  <c r="A2828" i="1"/>
  <c r="B2828" i="1"/>
  <c r="A3118" i="1"/>
  <c r="B3118" i="1"/>
  <c r="A3026" i="1"/>
  <c r="B3026" i="1"/>
  <c r="A3027" i="1"/>
  <c r="B3027" i="1"/>
  <c r="A3119" i="1"/>
  <c r="B3119" i="1"/>
  <c r="A3120" i="1"/>
  <c r="B3120" i="1"/>
  <c r="A3101" i="1"/>
  <c r="B3101" i="1"/>
  <c r="A3102" i="1"/>
  <c r="B3102" i="1"/>
  <c r="A2783" i="1"/>
  <c r="B2783" i="1"/>
  <c r="A2784" i="1"/>
  <c r="B2784" i="1"/>
  <c r="A3000" i="1"/>
  <c r="B3000" i="1"/>
  <c r="A2722" i="1"/>
  <c r="B2722" i="1"/>
  <c r="A2723" i="1"/>
  <c r="B2723" i="1"/>
  <c r="A2768" i="1"/>
  <c r="B2768" i="1"/>
  <c r="A2829" i="1"/>
  <c r="B2829" i="1"/>
  <c r="A3121" i="1"/>
  <c r="B3121" i="1"/>
  <c r="A2769" i="1"/>
  <c r="B2769" i="1"/>
  <c r="A3122" i="1"/>
  <c r="B3122" i="1"/>
  <c r="A3123" i="1"/>
  <c r="B3123" i="1"/>
  <c r="A3124" i="1"/>
  <c r="B3124" i="1"/>
  <c r="A3038" i="1"/>
  <c r="B3038" i="1"/>
  <c r="A2910" i="1"/>
  <c r="B2910" i="1"/>
  <c r="A2911" i="1"/>
  <c r="B2911" i="1"/>
  <c r="A2912" i="1"/>
  <c r="B2912" i="1"/>
  <c r="A2830" i="1"/>
  <c r="B2830" i="1"/>
  <c r="A2831" i="1"/>
  <c r="B2831" i="1"/>
  <c r="A2785" i="1"/>
  <c r="B2785" i="1"/>
  <c r="A2770" i="1"/>
  <c r="B2770" i="1"/>
  <c r="A2786" i="1"/>
  <c r="B2786" i="1"/>
  <c r="A2787" i="1"/>
  <c r="B2787" i="1"/>
  <c r="A2832" i="1"/>
  <c r="B2832" i="1"/>
  <c r="A2788" i="1"/>
  <c r="B2788" i="1"/>
  <c r="A2789" i="1"/>
  <c r="B2789" i="1"/>
  <c r="A2790" i="1"/>
  <c r="B2790" i="1"/>
  <c r="A2791" i="1"/>
  <c r="B2791" i="1"/>
  <c r="A2833" i="1"/>
  <c r="B2833" i="1"/>
  <c r="A2792" i="1"/>
  <c r="B2792" i="1"/>
  <c r="A2834" i="1"/>
  <c r="B2834" i="1"/>
  <c r="A2793" i="1"/>
  <c r="B2793" i="1"/>
  <c r="A2794" i="1"/>
  <c r="B2794" i="1"/>
  <c r="A2795" i="1"/>
  <c r="B2795" i="1"/>
  <c r="A2796" i="1"/>
  <c r="B2796" i="1"/>
  <c r="A2797" i="1"/>
  <c r="B2797" i="1"/>
  <c r="A2835" i="1"/>
  <c r="B2835" i="1"/>
  <c r="A2836" i="1"/>
  <c r="B2836" i="1"/>
  <c r="A2837" i="1"/>
  <c r="B2837" i="1"/>
  <c r="A2838" i="1"/>
  <c r="B2838" i="1"/>
  <c r="A3001" i="1"/>
  <c r="B3001" i="1"/>
  <c r="A3002" i="1"/>
  <c r="B3002" i="1"/>
  <c r="A3003" i="1"/>
  <c r="B3003" i="1"/>
  <c r="A3004" i="1"/>
  <c r="B3004" i="1"/>
  <c r="A3005" i="1"/>
  <c r="B3005" i="1"/>
  <c r="A3006" i="1"/>
  <c r="B3006" i="1"/>
  <c r="A3007" i="1"/>
  <c r="B3007" i="1"/>
  <c r="A3008" i="1"/>
  <c r="B3008" i="1"/>
  <c r="A3009" i="1"/>
  <c r="B3009" i="1"/>
  <c r="A3010" i="1"/>
  <c r="B3010" i="1"/>
  <c r="A3011" i="1"/>
  <c r="B3011" i="1"/>
  <c r="A3012" i="1"/>
  <c r="B3012" i="1"/>
  <c r="A3013" i="1"/>
  <c r="B3013" i="1"/>
  <c r="A3014" i="1"/>
  <c r="B3014" i="1"/>
  <c r="A3283" i="1"/>
  <c r="B3283" i="1"/>
  <c r="A3599" i="1"/>
  <c r="B3599" i="1"/>
  <c r="A3535" i="1"/>
  <c r="B3535" i="1"/>
  <c r="A3536" i="1"/>
  <c r="B3536" i="1"/>
  <c r="A3284" i="1"/>
  <c r="B3284" i="1"/>
  <c r="A3537" i="1"/>
  <c r="B3537" i="1"/>
  <c r="A3285" i="1"/>
  <c r="B3285" i="1"/>
  <c r="A3538" i="1"/>
  <c r="B3538" i="1"/>
  <c r="A3286" i="1"/>
  <c r="B3286" i="1"/>
  <c r="A3539" i="1"/>
  <c r="B3539" i="1"/>
  <c r="A3600" i="1"/>
  <c r="B3600" i="1"/>
  <c r="A3601" i="1"/>
  <c r="B3601" i="1"/>
  <c r="A3602" i="1"/>
  <c r="B3602" i="1"/>
  <c r="A3607" i="1"/>
  <c r="B3607" i="1"/>
  <c r="A3287" i="1"/>
  <c r="B3287" i="1"/>
  <c r="A3608" i="1"/>
  <c r="B3608" i="1"/>
  <c r="A3609" i="1"/>
  <c r="B3609" i="1"/>
  <c r="A3620" i="1"/>
  <c r="B3620" i="1"/>
  <c r="A3621" i="1"/>
  <c r="B3621" i="1"/>
  <c r="A3603" i="1"/>
  <c r="B3603" i="1"/>
  <c r="A3540" i="1"/>
  <c r="B3540" i="1"/>
  <c r="A3541" i="1"/>
  <c r="B3541" i="1"/>
  <c r="A3288" i="1"/>
  <c r="B3288" i="1"/>
  <c r="A3289" i="1"/>
  <c r="B3289" i="1"/>
  <c r="A3610" i="1"/>
  <c r="B3610" i="1"/>
  <c r="A3604" i="1"/>
  <c r="B3604" i="1"/>
  <c r="A3611" i="1"/>
  <c r="B3611" i="1"/>
  <c r="A3612" i="1"/>
  <c r="B3612" i="1"/>
  <c r="A3613" i="1"/>
  <c r="B3613" i="1"/>
  <c r="A3542" i="1"/>
  <c r="B3542" i="1"/>
  <c r="A3543" i="1"/>
  <c r="B3543" i="1"/>
  <c r="A3403" i="1"/>
  <c r="B3403" i="1"/>
  <c r="A3614" i="1"/>
  <c r="B3614" i="1"/>
  <c r="A3290" i="1"/>
  <c r="B3290" i="1"/>
  <c r="A3291" i="1"/>
  <c r="B3291" i="1"/>
  <c r="A3605" i="1"/>
  <c r="B3605" i="1"/>
  <c r="A3622" i="1"/>
  <c r="B3622" i="1"/>
  <c r="A3404" i="1"/>
  <c r="B3404" i="1"/>
  <c r="A3405" i="1"/>
  <c r="B3405" i="1"/>
  <c r="A3615" i="1"/>
  <c r="B3615" i="1"/>
  <c r="A3544" i="1"/>
  <c r="B3544" i="1"/>
  <c r="A3545" i="1"/>
  <c r="B3545" i="1"/>
  <c r="A3292" i="1"/>
  <c r="B3292" i="1"/>
  <c r="A3293" i="1"/>
  <c r="B3293" i="1"/>
  <c r="A3406" i="1"/>
  <c r="B3406" i="1"/>
  <c r="A3623" i="1"/>
  <c r="B3623" i="1"/>
  <c r="A3407" i="1"/>
  <c r="B3407" i="1"/>
  <c r="A3624" i="1"/>
  <c r="B3624" i="1"/>
  <c r="A3408" i="1"/>
  <c r="B3408" i="1"/>
  <c r="A3409" i="1"/>
  <c r="B3409" i="1"/>
  <c r="A3294" i="1"/>
  <c r="B3294" i="1"/>
  <c r="A3410" i="1"/>
  <c r="B3410" i="1"/>
  <c r="A3295" i="1"/>
  <c r="B3295" i="1"/>
  <c r="A3546" i="1"/>
  <c r="B3546" i="1"/>
  <c r="A3296" i="1"/>
  <c r="B3296" i="1"/>
  <c r="A3297" i="1"/>
  <c r="B3297" i="1"/>
  <c r="A3298" i="1"/>
  <c r="B3298" i="1"/>
  <c r="A3606" i="1"/>
  <c r="B3606" i="1"/>
  <c r="A3625" i="1"/>
  <c r="B3625" i="1"/>
  <c r="A3411" i="1"/>
  <c r="B3411" i="1"/>
  <c r="A3547" i="1"/>
  <c r="B3547" i="1"/>
  <c r="A3548" i="1"/>
  <c r="B3548" i="1"/>
  <c r="A3549" i="1"/>
  <c r="B3549" i="1"/>
  <c r="A3550" i="1"/>
  <c r="B3550" i="1"/>
  <c r="A3626" i="1"/>
  <c r="B3626" i="1"/>
  <c r="A3627" i="1"/>
  <c r="B3627" i="1"/>
  <c r="A3551" i="1"/>
  <c r="B3551" i="1"/>
  <c r="A3552" i="1"/>
  <c r="B3552" i="1"/>
  <c r="A3150" i="1"/>
  <c r="B3150" i="1"/>
  <c r="A3151" i="1"/>
  <c r="B3151" i="1"/>
  <c r="A3412" i="1"/>
  <c r="B3412" i="1"/>
  <c r="A3413" i="1"/>
  <c r="B3413" i="1"/>
  <c r="A3414" i="1"/>
  <c r="B3414" i="1"/>
  <c r="A3415" i="1"/>
  <c r="B3415" i="1"/>
  <c r="A3616" i="1"/>
  <c r="B3616" i="1"/>
  <c r="A3416" i="1"/>
  <c r="B3416" i="1"/>
  <c r="A3417" i="1"/>
  <c r="B3417" i="1"/>
  <c r="A3152" i="1"/>
  <c r="B3152" i="1"/>
  <c r="A3628" i="1"/>
  <c r="B3628" i="1"/>
  <c r="A3629" i="1"/>
  <c r="B3629" i="1"/>
  <c r="A3630" i="1"/>
  <c r="B3630" i="1"/>
  <c r="A3553" i="1"/>
  <c r="B3553" i="1"/>
  <c r="A3554" i="1"/>
  <c r="B3554" i="1"/>
  <c r="A3418" i="1"/>
  <c r="B3418" i="1"/>
  <c r="A3419" i="1"/>
  <c r="B3419" i="1"/>
  <c r="A3631" i="1"/>
  <c r="B3631" i="1"/>
  <c r="A3632" i="1"/>
  <c r="B3632" i="1"/>
  <c r="A3153" i="1"/>
  <c r="B3153" i="1"/>
  <c r="A3154" i="1"/>
  <c r="B3154" i="1"/>
  <c r="A3299" i="1"/>
  <c r="B3299" i="1"/>
  <c r="A3633" i="1"/>
  <c r="B3633" i="1"/>
  <c r="A3155" i="1"/>
  <c r="B3155" i="1"/>
  <c r="A3634" i="1"/>
  <c r="B3634" i="1"/>
  <c r="A3555" i="1"/>
  <c r="B3555" i="1"/>
  <c r="A3556" i="1"/>
  <c r="B3556" i="1"/>
  <c r="A3557" i="1"/>
  <c r="B3557" i="1"/>
  <c r="A3156" i="1"/>
  <c r="B3156" i="1"/>
  <c r="A3157" i="1"/>
  <c r="B3157" i="1"/>
  <c r="A3158" i="1"/>
  <c r="B3158" i="1"/>
  <c r="A3420" i="1"/>
  <c r="B3420" i="1"/>
  <c r="A3421" i="1"/>
  <c r="B3421" i="1"/>
  <c r="A3422" i="1"/>
  <c r="B3422" i="1"/>
  <c r="A3300" i="1"/>
  <c r="B3300" i="1"/>
  <c r="A3301" i="1"/>
  <c r="B3301" i="1"/>
  <c r="A3302" i="1"/>
  <c r="B3302" i="1"/>
  <c r="A3303" i="1"/>
  <c r="B3303" i="1"/>
  <c r="A3617" i="1"/>
  <c r="B3617" i="1"/>
  <c r="A3423" i="1"/>
  <c r="B3423" i="1"/>
  <c r="A3635" i="1"/>
  <c r="B3635" i="1"/>
  <c r="A3636" i="1"/>
  <c r="B3636" i="1"/>
  <c r="A3319" i="1"/>
  <c r="B3319" i="1"/>
  <c r="A3194" i="1"/>
  <c r="B3194" i="1"/>
  <c r="A3195" i="1"/>
  <c r="B3195" i="1"/>
  <c r="A3320" i="1"/>
  <c r="B3320" i="1"/>
  <c r="A3196" i="1"/>
  <c r="B3196" i="1"/>
  <c r="A3424" i="1"/>
  <c r="B3424" i="1"/>
  <c r="A3425" i="1"/>
  <c r="B3425" i="1"/>
  <c r="A3618" i="1"/>
  <c r="B3618" i="1"/>
  <c r="A3197" i="1"/>
  <c r="B3197" i="1"/>
  <c r="A3198" i="1"/>
  <c r="B3198" i="1"/>
  <c r="A3199" i="1"/>
  <c r="B3199" i="1"/>
  <c r="A3200" i="1"/>
  <c r="B3200" i="1"/>
  <c r="A3201" i="1"/>
  <c r="B3201" i="1"/>
  <c r="A3202" i="1"/>
  <c r="B3202" i="1"/>
  <c r="A3426" i="1"/>
  <c r="B3426" i="1"/>
  <c r="A3637" i="1"/>
  <c r="B3637" i="1"/>
  <c r="A3321" i="1"/>
  <c r="B3321" i="1"/>
  <c r="A3638" i="1"/>
  <c r="B3638" i="1"/>
  <c r="A3322" i="1"/>
  <c r="B3322" i="1"/>
  <c r="A3639" i="1"/>
  <c r="B3639" i="1"/>
  <c r="A3323" i="1"/>
  <c r="B3323" i="1"/>
  <c r="A3640" i="1"/>
  <c r="B3640" i="1"/>
  <c r="A3324" i="1"/>
  <c r="B3324" i="1"/>
  <c r="A3159" i="1"/>
  <c r="B3159" i="1"/>
  <c r="A3325" i="1"/>
  <c r="B3325" i="1"/>
  <c r="A3203" i="1"/>
  <c r="B3203" i="1"/>
  <c r="A3204" i="1"/>
  <c r="B3204" i="1"/>
  <c r="A3326" i="1"/>
  <c r="B3326" i="1"/>
  <c r="A3205" i="1"/>
  <c r="B3205" i="1"/>
  <c r="A3327" i="1"/>
  <c r="B3327" i="1"/>
  <c r="A3160" i="1"/>
  <c r="B3160" i="1"/>
  <c r="A3161" i="1"/>
  <c r="B3161" i="1"/>
  <c r="A3162" i="1"/>
  <c r="B3162" i="1"/>
  <c r="A3243" i="1"/>
  <c r="B3243" i="1"/>
  <c r="A3163" i="1"/>
  <c r="B3163" i="1"/>
  <c r="A3137" i="1"/>
  <c r="B3137" i="1"/>
  <c r="A3164" i="1"/>
  <c r="B3164" i="1"/>
  <c r="A3244" i="1"/>
  <c r="B3244" i="1"/>
  <c r="A3427" i="1"/>
  <c r="B3427" i="1"/>
  <c r="A3428" i="1"/>
  <c r="B3428" i="1"/>
  <c r="A3619" i="1"/>
  <c r="B3619" i="1"/>
  <c r="A3641" i="1"/>
  <c r="B3641" i="1"/>
  <c r="A3642" i="1"/>
  <c r="B3642" i="1"/>
  <c r="A3643" i="1"/>
  <c r="B3643" i="1"/>
  <c r="A3477" i="1"/>
  <c r="B3477" i="1"/>
  <c r="A3478" i="1"/>
  <c r="B3478" i="1"/>
  <c r="A3479" i="1"/>
  <c r="B3479" i="1"/>
  <c r="A3206" i="1"/>
  <c r="B3206" i="1"/>
  <c r="A3207" i="1"/>
  <c r="B3207" i="1"/>
  <c r="A3208" i="1"/>
  <c r="B3208" i="1"/>
  <c r="A3209" i="1"/>
  <c r="B3209" i="1"/>
  <c r="A3245" i="1"/>
  <c r="B3245" i="1"/>
  <c r="A3480" i="1"/>
  <c r="B3480" i="1"/>
  <c r="A3481" i="1"/>
  <c r="B3481" i="1"/>
  <c r="A3246" i="1"/>
  <c r="B3246" i="1"/>
  <c r="A3210" i="1"/>
  <c r="B3210" i="1"/>
  <c r="A3482" i="1"/>
  <c r="B3482" i="1"/>
  <c r="A3483" i="1"/>
  <c r="B3483" i="1"/>
  <c r="A3558" i="1"/>
  <c r="B3558" i="1"/>
  <c r="A3559" i="1"/>
  <c r="B3559" i="1"/>
  <c r="A3560" i="1"/>
  <c r="B3560" i="1"/>
  <c r="A3561" i="1"/>
  <c r="B3561" i="1"/>
  <c r="A3562" i="1"/>
  <c r="B3562" i="1"/>
  <c r="A3563" i="1"/>
  <c r="B3563" i="1"/>
  <c r="A3211" i="1"/>
  <c r="B3211" i="1"/>
  <c r="A3247" i="1"/>
  <c r="B3247" i="1"/>
  <c r="A3212" i="1"/>
  <c r="B3212" i="1"/>
  <c r="A3564" i="1"/>
  <c r="B3564" i="1"/>
  <c r="A3213" i="1"/>
  <c r="B3213" i="1"/>
  <c r="A3214" i="1"/>
  <c r="B3214" i="1"/>
  <c r="A3644" i="1"/>
  <c r="B3644" i="1"/>
  <c r="A3429" i="1"/>
  <c r="B3429" i="1"/>
  <c r="A3430" i="1"/>
  <c r="B3430" i="1"/>
  <c r="A3431" i="1"/>
  <c r="B3431" i="1"/>
  <c r="A3215" i="1"/>
  <c r="B3215" i="1"/>
  <c r="A3248" i="1"/>
  <c r="B3248" i="1"/>
  <c r="A3216" i="1"/>
  <c r="B3216" i="1"/>
  <c r="A3249" i="1"/>
  <c r="B3249" i="1"/>
  <c r="A3217" i="1"/>
  <c r="B3217" i="1"/>
  <c r="A3250" i="1"/>
  <c r="B3250" i="1"/>
  <c r="A3645" i="1"/>
  <c r="B3645" i="1"/>
  <c r="A3251" i="1"/>
  <c r="B3251" i="1"/>
  <c r="A3646" i="1"/>
  <c r="B3646" i="1"/>
  <c r="A3432" i="1"/>
  <c r="B3432" i="1"/>
  <c r="A3328" i="1"/>
  <c r="B3328" i="1"/>
  <c r="A3329" i="1"/>
  <c r="B3329" i="1"/>
  <c r="A3330" i="1"/>
  <c r="B3330" i="1"/>
  <c r="A3331" i="1"/>
  <c r="B3331" i="1"/>
  <c r="A3332" i="1"/>
  <c r="B3332" i="1"/>
  <c r="A3333" i="1"/>
  <c r="B3333" i="1"/>
  <c r="A3252" i="1"/>
  <c r="B3252" i="1"/>
  <c r="A3334" i="1"/>
  <c r="B3334" i="1"/>
  <c r="A3335" i="1"/>
  <c r="B3335" i="1"/>
  <c r="A3253" i="1"/>
  <c r="B3253" i="1"/>
  <c r="A3433" i="1"/>
  <c r="B3433" i="1"/>
  <c r="A3336" i="1"/>
  <c r="B3336" i="1"/>
  <c r="A3337" i="1"/>
  <c r="B3337" i="1"/>
  <c r="A3254" i="1"/>
  <c r="B3254" i="1"/>
  <c r="A3338" i="1"/>
  <c r="B3338" i="1"/>
  <c r="A3339" i="1"/>
  <c r="B3339" i="1"/>
  <c r="A3340" i="1"/>
  <c r="B3340" i="1"/>
  <c r="A3341" i="1"/>
  <c r="B3341" i="1"/>
  <c r="A3165" i="1"/>
  <c r="B3165" i="1"/>
  <c r="A3166" i="1"/>
  <c r="B3166" i="1"/>
  <c r="A3484" i="1"/>
  <c r="B3484" i="1"/>
  <c r="A3565" i="1"/>
  <c r="B3565" i="1"/>
  <c r="A3566" i="1"/>
  <c r="B3566" i="1"/>
  <c r="A3255" i="1"/>
  <c r="B3255" i="1"/>
  <c r="A3485" i="1"/>
  <c r="B3485" i="1"/>
  <c r="A3567" i="1"/>
  <c r="B3567" i="1"/>
  <c r="A3434" i="1"/>
  <c r="B3434" i="1"/>
  <c r="A3435" i="1"/>
  <c r="B3435" i="1"/>
  <c r="A3436" i="1"/>
  <c r="B3436" i="1"/>
  <c r="A3437" i="1"/>
  <c r="B3437" i="1"/>
  <c r="A3306" i="1"/>
  <c r="B3306" i="1"/>
  <c r="A3568" i="1"/>
  <c r="B3568" i="1"/>
  <c r="A3647" i="1"/>
  <c r="B3647" i="1"/>
  <c r="A3648" i="1"/>
  <c r="B3648" i="1"/>
  <c r="A3438" i="1"/>
  <c r="B3438" i="1"/>
  <c r="A3342" i="1"/>
  <c r="B3342" i="1"/>
  <c r="A3343" i="1"/>
  <c r="B3343" i="1"/>
  <c r="A3569" i="1"/>
  <c r="B3569" i="1"/>
  <c r="A3344" i="1"/>
  <c r="B3344" i="1"/>
  <c r="A3345" i="1"/>
  <c r="B3345" i="1"/>
  <c r="A3307" i="1"/>
  <c r="B3307" i="1"/>
  <c r="A3346" i="1"/>
  <c r="B3346" i="1"/>
  <c r="A3256" i="1"/>
  <c r="B3256" i="1"/>
  <c r="A3570" i="1"/>
  <c r="B3570" i="1"/>
  <c r="A3347" i="1"/>
  <c r="B3347" i="1"/>
  <c r="A3571" i="1"/>
  <c r="B3571" i="1"/>
  <c r="A3304" i="1"/>
  <c r="B3304" i="1"/>
  <c r="A3167" i="1"/>
  <c r="B3167" i="1"/>
  <c r="A3218" i="1"/>
  <c r="B3218" i="1"/>
  <c r="A3219" i="1"/>
  <c r="B3219" i="1"/>
  <c r="A3220" i="1"/>
  <c r="B3220" i="1"/>
  <c r="A3168" i="1"/>
  <c r="B3168" i="1"/>
  <c r="A3169" i="1"/>
  <c r="B3169" i="1"/>
  <c r="A3170" i="1"/>
  <c r="B3170" i="1"/>
  <c r="A3257" i="1"/>
  <c r="B3257" i="1"/>
  <c r="A3171" i="1"/>
  <c r="B3171" i="1"/>
  <c r="A3221" i="1"/>
  <c r="B3221" i="1"/>
  <c r="A3138" i="1"/>
  <c r="B3138" i="1"/>
  <c r="A3258" i="1"/>
  <c r="B3258" i="1"/>
  <c r="A3305" i="1"/>
  <c r="B3305" i="1"/>
  <c r="A3439" i="1"/>
  <c r="B3439" i="1"/>
  <c r="A3139" i="1"/>
  <c r="B3139" i="1"/>
  <c r="A3440" i="1"/>
  <c r="B3440" i="1"/>
  <c r="A3441" i="1"/>
  <c r="B3441" i="1"/>
  <c r="A3442" i="1"/>
  <c r="B3442" i="1"/>
  <c r="A3443" i="1"/>
  <c r="B3443" i="1"/>
  <c r="A3486" i="1"/>
  <c r="B3486" i="1"/>
  <c r="A3487" i="1"/>
  <c r="B3487" i="1"/>
  <c r="A3222" i="1"/>
  <c r="B3222" i="1"/>
  <c r="A3488" i="1"/>
  <c r="B3488" i="1"/>
  <c r="A3140" i="1"/>
  <c r="B3140" i="1"/>
  <c r="A3489" i="1"/>
  <c r="B3489" i="1"/>
  <c r="A3572" i="1"/>
  <c r="B3572" i="1"/>
  <c r="A3490" i="1"/>
  <c r="B3490" i="1"/>
  <c r="A3348" i="1"/>
  <c r="B3348" i="1"/>
  <c r="A3573" i="1"/>
  <c r="B3573" i="1"/>
  <c r="A3349" i="1"/>
  <c r="B3349" i="1"/>
  <c r="A3350" i="1"/>
  <c r="B3350" i="1"/>
  <c r="A3351" i="1"/>
  <c r="B3351" i="1"/>
  <c r="A3141" i="1"/>
  <c r="B3141" i="1"/>
  <c r="A3574" i="1"/>
  <c r="B3574" i="1"/>
  <c r="A3352" i="1"/>
  <c r="B3352" i="1"/>
  <c r="A3575" i="1"/>
  <c r="B3575" i="1"/>
  <c r="A3353" i="1"/>
  <c r="B3353" i="1"/>
  <c r="A3576" i="1"/>
  <c r="B3576" i="1"/>
  <c r="A3223" i="1"/>
  <c r="B3223" i="1"/>
  <c r="A3577" i="1"/>
  <c r="B3577" i="1"/>
  <c r="A3259" i="1"/>
  <c r="B3259" i="1"/>
  <c r="A3142" i="1"/>
  <c r="B3142" i="1"/>
  <c r="A3172" i="1"/>
  <c r="B3172" i="1"/>
  <c r="A3173" i="1"/>
  <c r="B3173" i="1"/>
  <c r="A3354" i="1"/>
  <c r="B3354" i="1"/>
  <c r="A3260" i="1"/>
  <c r="B3260" i="1"/>
  <c r="A3355" i="1"/>
  <c r="B3355" i="1"/>
  <c r="A3308" i="1"/>
  <c r="B3308" i="1"/>
  <c r="A3174" i="1"/>
  <c r="B3174" i="1"/>
  <c r="A3356" i="1"/>
  <c r="B3356" i="1"/>
  <c r="A3357" i="1"/>
  <c r="B3357" i="1"/>
  <c r="A3358" i="1"/>
  <c r="B3358" i="1"/>
  <c r="A3359" i="1"/>
  <c r="B3359" i="1"/>
  <c r="A3578" i="1"/>
  <c r="B3578" i="1"/>
  <c r="A3360" i="1"/>
  <c r="B3360" i="1"/>
  <c r="A3579" i="1"/>
  <c r="B3579" i="1"/>
  <c r="A3361" i="1"/>
  <c r="B3361" i="1"/>
  <c r="A3580" i="1"/>
  <c r="B3580" i="1"/>
  <c r="A3581" i="1"/>
  <c r="B3581" i="1"/>
  <c r="A3491" i="1"/>
  <c r="B3491" i="1"/>
  <c r="A3492" i="1"/>
  <c r="B3492" i="1"/>
  <c r="A3493" i="1"/>
  <c r="B3493" i="1"/>
  <c r="A3494" i="1"/>
  <c r="B3494" i="1"/>
  <c r="A3495" i="1"/>
  <c r="B3495" i="1"/>
  <c r="A3224" i="1"/>
  <c r="B3224" i="1"/>
  <c r="A3261" i="1"/>
  <c r="B3261" i="1"/>
  <c r="A3225" i="1"/>
  <c r="B3225" i="1"/>
  <c r="A3262" i="1"/>
  <c r="B3262" i="1"/>
  <c r="A3444" i="1"/>
  <c r="B3444" i="1"/>
  <c r="A3175" i="1"/>
  <c r="B3175" i="1"/>
  <c r="A3445" i="1"/>
  <c r="B3445" i="1"/>
  <c r="A3143" i="1"/>
  <c r="B3143" i="1"/>
  <c r="A3309" i="1"/>
  <c r="B3309" i="1"/>
  <c r="A3446" i="1"/>
  <c r="B3446" i="1"/>
  <c r="A3263" i="1"/>
  <c r="B3263" i="1"/>
  <c r="A3447" i="1"/>
  <c r="B3447" i="1"/>
  <c r="A3362" i="1"/>
  <c r="B3362" i="1"/>
  <c r="A3448" i="1"/>
  <c r="B3448" i="1"/>
  <c r="A3363" i="1"/>
  <c r="B3363" i="1"/>
  <c r="A3364" i="1"/>
  <c r="B3364" i="1"/>
  <c r="A3365" i="1"/>
  <c r="B3365" i="1"/>
  <c r="A3366" i="1"/>
  <c r="B3366" i="1"/>
  <c r="A3367" i="1"/>
  <c r="B3367" i="1"/>
  <c r="A3145" i="1"/>
  <c r="B3145" i="1"/>
  <c r="A3264" i="1"/>
  <c r="B3264" i="1"/>
  <c r="A3310" i="1"/>
  <c r="B3310" i="1"/>
  <c r="A3265" i="1"/>
  <c r="B3265" i="1"/>
  <c r="A3449" i="1"/>
  <c r="B3449" i="1"/>
  <c r="A3450" i="1"/>
  <c r="B3450" i="1"/>
  <c r="A3451" i="1"/>
  <c r="B3451" i="1"/>
  <c r="A3226" i="1"/>
  <c r="B3226" i="1"/>
  <c r="A3227" i="1"/>
  <c r="B3227" i="1"/>
  <c r="A3513" i="1"/>
  <c r="B3513" i="1"/>
  <c r="A3266" i="1"/>
  <c r="B3266" i="1"/>
  <c r="A3452" i="1"/>
  <c r="B3452" i="1"/>
  <c r="A3368" i="1"/>
  <c r="B3368" i="1"/>
  <c r="A3369" i="1"/>
  <c r="B3369" i="1"/>
  <c r="A3267" i="1"/>
  <c r="B3267" i="1"/>
  <c r="A3514" i="1"/>
  <c r="B3514" i="1"/>
  <c r="A3515" i="1"/>
  <c r="B3515" i="1"/>
  <c r="A3516" i="1"/>
  <c r="B3516" i="1"/>
  <c r="A3582" i="1"/>
  <c r="B3582" i="1"/>
  <c r="A3370" i="1"/>
  <c r="B3370" i="1"/>
  <c r="A3371" i="1"/>
  <c r="B3371" i="1"/>
  <c r="A3496" i="1"/>
  <c r="B3496" i="1"/>
  <c r="A3372" i="1"/>
  <c r="B3372" i="1"/>
  <c r="A3583" i="1"/>
  <c r="B3583" i="1"/>
  <c r="A3373" i="1"/>
  <c r="B3373" i="1"/>
  <c r="A3584" i="1"/>
  <c r="B3584" i="1"/>
  <c r="A3497" i="1"/>
  <c r="B3497" i="1"/>
  <c r="A3374" i="1"/>
  <c r="B3374" i="1"/>
  <c r="A3375" i="1"/>
  <c r="B3375" i="1"/>
  <c r="A3517" i="1"/>
  <c r="B3517" i="1"/>
  <c r="A3176" i="1"/>
  <c r="B3176" i="1"/>
  <c r="A3177" i="1"/>
  <c r="B3177" i="1"/>
  <c r="A3178" i="1"/>
  <c r="B3178" i="1"/>
  <c r="A3179" i="1"/>
  <c r="B3179" i="1"/>
  <c r="A3518" i="1"/>
  <c r="B3518" i="1"/>
  <c r="A3519" i="1"/>
  <c r="B3519" i="1"/>
  <c r="A3520" i="1"/>
  <c r="B3520" i="1"/>
  <c r="A3521" i="1"/>
  <c r="B3521" i="1"/>
  <c r="A3498" i="1"/>
  <c r="B3498" i="1"/>
  <c r="A3522" i="1"/>
  <c r="B3522" i="1"/>
  <c r="A3268" i="1"/>
  <c r="B3268" i="1"/>
  <c r="A3523" i="1"/>
  <c r="B3523" i="1"/>
  <c r="A3524" i="1"/>
  <c r="B3524" i="1"/>
  <c r="A3233" i="1"/>
  <c r="B3233" i="1"/>
  <c r="A3529" i="1"/>
  <c r="B3529" i="1"/>
  <c r="A3530" i="1"/>
  <c r="B3530" i="1"/>
  <c r="A3531" i="1"/>
  <c r="B3531" i="1"/>
  <c r="A3532" i="1"/>
  <c r="B3532" i="1"/>
  <c r="A3533" i="1"/>
  <c r="B3533" i="1"/>
  <c r="A3534" i="1"/>
  <c r="B3534" i="1"/>
  <c r="A3376" i="1"/>
  <c r="B3376" i="1"/>
  <c r="A3377" i="1"/>
  <c r="B3377" i="1"/>
  <c r="A3378" i="1"/>
  <c r="B3378" i="1"/>
  <c r="A3379" i="1"/>
  <c r="B3379" i="1"/>
  <c r="A3269" i="1"/>
  <c r="B3269" i="1"/>
  <c r="A3228" i="1"/>
  <c r="B3228" i="1"/>
  <c r="A3270" i="1"/>
  <c r="B3270" i="1"/>
  <c r="A3380" i="1"/>
  <c r="B3380" i="1"/>
  <c r="A3381" i="1"/>
  <c r="B3381" i="1"/>
  <c r="A3525" i="1"/>
  <c r="B3525" i="1"/>
  <c r="A3382" i="1"/>
  <c r="B3382" i="1"/>
  <c r="A3453" i="1"/>
  <c r="B3453" i="1"/>
  <c r="A3454" i="1"/>
  <c r="B3454" i="1"/>
  <c r="A3455" i="1"/>
  <c r="B3455" i="1"/>
  <c r="A3456" i="1"/>
  <c r="B3456" i="1"/>
  <c r="A3526" i="1"/>
  <c r="B3526" i="1"/>
  <c r="A3271" i="1"/>
  <c r="B3271" i="1"/>
  <c r="A3585" i="1"/>
  <c r="B3585" i="1"/>
  <c r="A3586" i="1"/>
  <c r="B3586" i="1"/>
  <c r="A3587" i="1"/>
  <c r="B3587" i="1"/>
  <c r="A3383" i="1"/>
  <c r="B3383" i="1"/>
  <c r="A3180" i="1"/>
  <c r="B3180" i="1"/>
  <c r="A3181" i="1"/>
  <c r="B3181" i="1"/>
  <c r="A3527" i="1"/>
  <c r="B3527" i="1"/>
  <c r="A3182" i="1"/>
  <c r="B3182" i="1"/>
  <c r="A3384" i="1"/>
  <c r="B3384" i="1"/>
  <c r="A3311" i="1"/>
  <c r="B3311" i="1"/>
  <c r="A3385" i="1"/>
  <c r="B3385" i="1"/>
  <c r="A3386" i="1"/>
  <c r="B3386" i="1"/>
  <c r="A3387" i="1"/>
  <c r="B3387" i="1"/>
  <c r="A3272" i="1"/>
  <c r="B3272" i="1"/>
  <c r="A3273" i="1"/>
  <c r="B3273" i="1"/>
  <c r="A3183" i="1"/>
  <c r="B3183" i="1"/>
  <c r="A3184" i="1"/>
  <c r="B3184" i="1"/>
  <c r="A3388" i="1"/>
  <c r="B3388" i="1"/>
  <c r="A3185" i="1"/>
  <c r="B3185" i="1"/>
  <c r="A3389" i="1"/>
  <c r="B3389" i="1"/>
  <c r="A3390" i="1"/>
  <c r="B3390" i="1"/>
  <c r="A3234" i="1"/>
  <c r="B3234" i="1"/>
  <c r="A3391" i="1"/>
  <c r="B3391" i="1"/>
  <c r="A3392" i="1"/>
  <c r="B3392" i="1"/>
  <c r="A3235" i="1"/>
  <c r="B3235" i="1"/>
  <c r="A3528" i="1"/>
  <c r="B3528" i="1"/>
  <c r="A3236" i="1"/>
  <c r="B3236" i="1"/>
  <c r="A3186" i="1"/>
  <c r="B3186" i="1"/>
  <c r="A3312" i="1"/>
  <c r="B3312" i="1"/>
  <c r="A3187" i="1"/>
  <c r="B3187" i="1"/>
  <c r="A3125" i="1"/>
  <c r="B3125" i="1"/>
  <c r="A3457" i="1"/>
  <c r="B3457" i="1"/>
  <c r="A3458" i="1"/>
  <c r="B3458" i="1"/>
  <c r="A3459" i="1"/>
  <c r="B3459" i="1"/>
  <c r="A3460" i="1"/>
  <c r="B3460" i="1"/>
  <c r="A3232" i="1"/>
  <c r="B3232" i="1"/>
  <c r="A3502" i="1"/>
  <c r="B3502" i="1"/>
  <c r="A3461" i="1"/>
  <c r="B3461" i="1"/>
  <c r="A3462" i="1"/>
  <c r="B3462" i="1"/>
  <c r="A3463" i="1"/>
  <c r="B3463" i="1"/>
  <c r="A3588" i="1"/>
  <c r="B3588" i="1"/>
  <c r="A3464" i="1"/>
  <c r="B3464" i="1"/>
  <c r="A3465" i="1"/>
  <c r="B3465" i="1"/>
  <c r="A3466" i="1"/>
  <c r="B3466" i="1"/>
  <c r="A3467" i="1"/>
  <c r="B3467" i="1"/>
  <c r="A3499" i="1"/>
  <c r="B3499" i="1"/>
  <c r="A3503" i="1"/>
  <c r="B3503" i="1"/>
  <c r="A3589" i="1"/>
  <c r="B3589" i="1"/>
  <c r="A3393" i="1"/>
  <c r="B3393" i="1"/>
  <c r="A3146" i="1"/>
  <c r="B3146" i="1"/>
  <c r="A3147" i="1"/>
  <c r="B3147" i="1"/>
  <c r="A3274" i="1"/>
  <c r="B3274" i="1"/>
  <c r="A3394" i="1"/>
  <c r="B3394" i="1"/>
  <c r="A3395" i="1"/>
  <c r="B3395" i="1"/>
  <c r="A3396" i="1"/>
  <c r="B3396" i="1"/>
  <c r="A3397" i="1"/>
  <c r="B3397" i="1"/>
  <c r="A3188" i="1"/>
  <c r="B3188" i="1"/>
  <c r="A3126" i="1"/>
  <c r="B3126" i="1"/>
  <c r="A3127" i="1"/>
  <c r="B3127" i="1"/>
  <c r="A3128" i="1"/>
  <c r="B3128" i="1"/>
  <c r="A3148" i="1"/>
  <c r="B3148" i="1"/>
  <c r="A3590" i="1"/>
  <c r="B3590" i="1"/>
  <c r="A3468" i="1"/>
  <c r="B3468" i="1"/>
  <c r="A3469" i="1"/>
  <c r="B3469" i="1"/>
  <c r="A3129" i="1"/>
  <c r="B3129" i="1"/>
  <c r="A3398" i="1"/>
  <c r="B3398" i="1"/>
  <c r="A3399" i="1"/>
  <c r="B3399" i="1"/>
  <c r="A3189" i="1"/>
  <c r="B3189" i="1"/>
  <c r="A3470" i="1"/>
  <c r="B3470" i="1"/>
  <c r="A3471" i="1"/>
  <c r="B3471" i="1"/>
  <c r="A3472" i="1"/>
  <c r="B3472" i="1"/>
  <c r="A3473" i="1"/>
  <c r="B3473" i="1"/>
  <c r="A3130" i="1"/>
  <c r="B3130" i="1"/>
  <c r="A3190" i="1"/>
  <c r="B3190" i="1"/>
  <c r="A3504" i="1"/>
  <c r="B3504" i="1"/>
  <c r="A3505" i="1"/>
  <c r="B3505" i="1"/>
  <c r="A3500" i="1"/>
  <c r="B3500" i="1"/>
  <c r="A3506" i="1"/>
  <c r="B3506" i="1"/>
  <c r="A3275" i="1"/>
  <c r="B3275" i="1"/>
  <c r="A3507" i="1"/>
  <c r="B3507" i="1"/>
  <c r="A3400" i="1"/>
  <c r="B3400" i="1"/>
  <c r="A3276" i="1"/>
  <c r="B3276" i="1"/>
  <c r="A3131" i="1"/>
  <c r="B3131" i="1"/>
  <c r="A3313" i="1"/>
  <c r="B3313" i="1"/>
  <c r="A3237" i="1"/>
  <c r="B3237" i="1"/>
  <c r="A3592" i="1"/>
  <c r="B3592" i="1"/>
  <c r="A3238" i="1"/>
  <c r="B3238" i="1"/>
  <c r="A3314" i="1"/>
  <c r="B3314" i="1"/>
  <c r="A3239" i="1"/>
  <c r="B3239" i="1"/>
  <c r="A3240" i="1"/>
  <c r="B3240" i="1"/>
  <c r="A3241" i="1"/>
  <c r="B3241" i="1"/>
  <c r="A3229" i="1"/>
  <c r="B3229" i="1"/>
  <c r="A3242" i="1"/>
  <c r="B3242" i="1"/>
  <c r="A3230" i="1"/>
  <c r="B3230" i="1"/>
  <c r="A3231" i="1"/>
  <c r="B3231" i="1"/>
  <c r="A3501" i="1"/>
  <c r="B3501" i="1"/>
  <c r="A3508" i="1"/>
  <c r="B3508" i="1"/>
  <c r="A3401" i="1"/>
  <c r="B3401" i="1"/>
  <c r="A3402" i="1"/>
  <c r="B3402" i="1"/>
  <c r="A3191" i="1"/>
  <c r="B3191" i="1"/>
  <c r="A3192" i="1"/>
  <c r="B3192" i="1"/>
  <c r="A3277" i="1"/>
  <c r="B3277" i="1"/>
  <c r="A3193" i="1"/>
  <c r="B3193" i="1"/>
  <c r="A3278" i="1"/>
  <c r="B3278" i="1"/>
  <c r="A3591" i="1"/>
  <c r="B3591" i="1"/>
  <c r="A3149" i="1"/>
  <c r="B3149" i="1"/>
  <c r="A3474" i="1"/>
  <c r="B3474" i="1"/>
  <c r="A3475" i="1"/>
  <c r="B3475" i="1"/>
  <c r="A3144" i="1"/>
  <c r="B3144" i="1"/>
  <c r="A3593" i="1"/>
  <c r="B3593" i="1"/>
  <c r="A3476" i="1"/>
  <c r="B3476" i="1"/>
  <c r="A3132" i="1"/>
  <c r="B3132" i="1"/>
  <c r="A3133" i="1"/>
  <c r="B3133" i="1"/>
  <c r="A3594" i="1"/>
  <c r="B3594" i="1"/>
  <c r="A3134" i="1"/>
  <c r="B3134" i="1"/>
  <c r="A3279" i="1"/>
  <c r="B3279" i="1"/>
  <c r="A3135" i="1"/>
  <c r="B3135" i="1"/>
  <c r="A3136" i="1"/>
  <c r="B3136" i="1"/>
  <c r="A3509" i="1"/>
  <c r="B3509" i="1"/>
  <c r="A3510" i="1"/>
  <c r="B3510" i="1"/>
  <c r="A3649" i="1"/>
  <c r="B3649" i="1"/>
  <c r="A3280" i="1"/>
  <c r="B3280" i="1"/>
  <c r="A3650" i="1"/>
  <c r="B3650" i="1"/>
  <c r="A3651" i="1"/>
  <c r="B3651" i="1"/>
  <c r="A3511" i="1"/>
  <c r="B3511" i="1"/>
  <c r="A3512" i="1"/>
  <c r="B3512" i="1"/>
  <c r="A3281" i="1"/>
  <c r="B3281" i="1"/>
  <c r="A3595" i="1"/>
  <c r="B3595" i="1"/>
  <c r="A3315" i="1"/>
  <c r="B3315" i="1"/>
  <c r="A3282" i="1"/>
  <c r="B3282" i="1"/>
  <c r="A3596" i="1"/>
  <c r="B3596" i="1"/>
  <c r="A3597" i="1"/>
  <c r="B3597" i="1"/>
  <c r="A3598" i="1"/>
  <c r="B3598" i="1"/>
  <c r="A3316" i="1"/>
  <c r="B3316" i="1"/>
  <c r="A3317" i="1"/>
  <c r="B3317" i="1"/>
  <c r="A3318" i="1"/>
  <c r="B3318" i="1"/>
  <c r="A3755" i="1"/>
  <c r="B3755" i="1"/>
  <c r="A3871" i="1"/>
  <c r="B3871" i="1"/>
  <c r="A3872" i="1"/>
  <c r="B3872" i="1"/>
  <c r="A3873" i="1"/>
  <c r="B3873" i="1"/>
  <c r="A4022" i="1"/>
  <c r="B4022" i="1"/>
  <c r="A3874" i="1"/>
  <c r="B3874" i="1"/>
  <c r="A4023" i="1"/>
  <c r="B4023" i="1"/>
  <c r="A3756" i="1"/>
  <c r="B3756" i="1"/>
  <c r="A3757" i="1"/>
  <c r="B3757" i="1"/>
  <c r="A3758" i="1"/>
  <c r="B3758" i="1"/>
  <c r="A3759" i="1"/>
  <c r="B3759" i="1"/>
  <c r="A4024" i="1"/>
  <c r="B4024" i="1"/>
  <c r="A4025" i="1"/>
  <c r="B4025" i="1"/>
  <c r="A3760" i="1"/>
  <c r="B3760" i="1"/>
  <c r="A3761" i="1"/>
  <c r="B3761" i="1"/>
  <c r="A3762" i="1"/>
  <c r="B3762" i="1"/>
  <c r="A3875" i="1"/>
  <c r="B3875" i="1"/>
  <c r="A3763" i="1"/>
  <c r="B3763" i="1"/>
  <c r="A4026" i="1"/>
  <c r="B4026" i="1"/>
  <c r="A4027" i="1"/>
  <c r="B4027" i="1"/>
  <c r="A4028" i="1"/>
  <c r="B4028" i="1"/>
  <c r="A4029" i="1"/>
  <c r="B4029" i="1"/>
  <c r="A3876" i="1"/>
  <c r="B3876" i="1"/>
  <c r="A3969" i="1"/>
  <c r="B3969" i="1"/>
  <c r="A3764" i="1"/>
  <c r="B3764" i="1"/>
  <c r="A4030" i="1"/>
  <c r="B4030" i="1"/>
  <c r="A3765" i="1"/>
  <c r="B3765" i="1"/>
  <c r="A4031" i="1"/>
  <c r="B4031" i="1"/>
  <c r="A4032" i="1"/>
  <c r="B4032" i="1"/>
  <c r="A4033" i="1"/>
  <c r="B4033" i="1"/>
  <c r="A3877" i="1"/>
  <c r="B3877" i="1"/>
  <c r="A3766" i="1"/>
  <c r="B3766" i="1"/>
  <c r="A3767" i="1"/>
  <c r="B3767" i="1"/>
  <c r="A3768" i="1"/>
  <c r="B3768" i="1"/>
  <c r="A3769" i="1"/>
  <c r="B3769" i="1"/>
  <c r="A3652" i="1"/>
  <c r="B3652" i="1"/>
  <c r="A3653" i="1"/>
  <c r="B3653" i="1"/>
  <c r="A3770" i="1"/>
  <c r="B3770" i="1"/>
  <c r="A3771" i="1"/>
  <c r="B3771" i="1"/>
  <c r="A3772" i="1"/>
  <c r="B3772" i="1"/>
  <c r="A3773" i="1"/>
  <c r="B3773" i="1"/>
  <c r="A4057" i="1"/>
  <c r="B4057" i="1"/>
  <c r="A4058" i="1"/>
  <c r="B4058" i="1"/>
  <c r="A3774" i="1"/>
  <c r="B3774" i="1"/>
  <c r="A3935" i="1"/>
  <c r="B3935" i="1"/>
  <c r="A3970" i="1"/>
  <c r="B3970" i="1"/>
  <c r="A3936" i="1"/>
  <c r="B3936" i="1"/>
  <c r="A3937" i="1"/>
  <c r="B3937" i="1"/>
  <c r="A3654" i="1"/>
  <c r="B3654" i="1"/>
  <c r="A3971" i="1"/>
  <c r="B3971" i="1"/>
  <c r="A3938" i="1"/>
  <c r="B3938" i="1"/>
  <c r="A3939" i="1"/>
  <c r="B3939" i="1"/>
  <c r="A3940" i="1"/>
  <c r="B3940" i="1"/>
  <c r="A3972" i="1"/>
  <c r="B3972" i="1"/>
  <c r="A3655" i="1"/>
  <c r="B3655" i="1"/>
  <c r="A3878" i="1"/>
  <c r="B3878" i="1"/>
  <c r="A4059" i="1"/>
  <c r="B4059" i="1"/>
  <c r="A3656" i="1"/>
  <c r="B3656" i="1"/>
  <c r="A3657" i="1"/>
  <c r="B3657" i="1"/>
  <c r="A3941" i="1"/>
  <c r="B3941" i="1"/>
  <c r="A3942" i="1"/>
  <c r="B3942" i="1"/>
  <c r="A3879" i="1"/>
  <c r="B3879" i="1"/>
  <c r="A3973" i="1"/>
  <c r="B3973" i="1"/>
  <c r="A4060" i="1"/>
  <c r="B4060" i="1"/>
  <c r="A3821" i="1"/>
  <c r="B3821" i="1"/>
  <c r="A3943" i="1"/>
  <c r="B3943" i="1"/>
  <c r="A3944" i="1"/>
  <c r="B3944" i="1"/>
  <c r="A3945" i="1"/>
  <c r="B3945" i="1"/>
  <c r="A3974" i="1"/>
  <c r="B3974" i="1"/>
  <c r="A3975" i="1"/>
  <c r="B3975" i="1"/>
  <c r="A4034" i="1"/>
  <c r="B4034" i="1"/>
  <c r="A4061" i="1"/>
  <c r="B4061" i="1"/>
  <c r="A3976" i="1"/>
  <c r="B3976" i="1"/>
  <c r="A3977" i="1"/>
  <c r="B3977" i="1"/>
  <c r="A3822" i="1"/>
  <c r="B3822" i="1"/>
  <c r="A3978" i="1"/>
  <c r="B3978" i="1"/>
  <c r="A3946" i="1"/>
  <c r="B3946" i="1"/>
  <c r="A3947" i="1"/>
  <c r="B3947" i="1"/>
  <c r="A3979" i="1"/>
  <c r="B3979" i="1"/>
  <c r="A3980" i="1"/>
  <c r="B3980" i="1"/>
  <c r="A3726" i="1"/>
  <c r="B3726" i="1"/>
  <c r="A3981" i="1"/>
  <c r="B3981" i="1"/>
  <c r="A3823" i="1"/>
  <c r="B3823" i="1"/>
  <c r="A3982" i="1"/>
  <c r="B3982" i="1"/>
  <c r="A3658" i="1"/>
  <c r="B3658" i="1"/>
  <c r="A3727" i="1"/>
  <c r="B3727" i="1"/>
  <c r="A3659" i="1"/>
  <c r="B3659" i="1"/>
  <c r="A3983" i="1"/>
  <c r="B3983" i="1"/>
  <c r="A3984" i="1"/>
  <c r="B3984" i="1"/>
  <c r="A3985" i="1"/>
  <c r="B3985" i="1"/>
  <c r="A4062" i="1"/>
  <c r="B4062" i="1"/>
  <c r="A3728" i="1"/>
  <c r="B3728" i="1"/>
  <c r="A3986" i="1"/>
  <c r="B3986" i="1"/>
  <c r="A4063" i="1"/>
  <c r="B4063" i="1"/>
  <c r="A3729" i="1"/>
  <c r="B3729" i="1"/>
  <c r="A3730" i="1"/>
  <c r="B3730" i="1"/>
  <c r="A3731" i="1"/>
  <c r="B3731" i="1"/>
  <c r="A3948" i="1"/>
  <c r="B3948" i="1"/>
  <c r="A3660" i="1"/>
  <c r="B3660" i="1"/>
  <c r="A3949" i="1"/>
  <c r="B3949" i="1"/>
  <c r="A3661" i="1"/>
  <c r="B3661" i="1"/>
  <c r="A3662" i="1"/>
  <c r="B3662" i="1"/>
  <c r="A3663" i="1"/>
  <c r="B3663" i="1"/>
  <c r="A3987" i="1"/>
  <c r="B3987" i="1"/>
  <c r="A3703" i="1"/>
  <c r="B3703" i="1"/>
  <c r="A3950" i="1"/>
  <c r="B3950" i="1"/>
  <c r="A3704" i="1"/>
  <c r="B3704" i="1"/>
  <c r="A3951" i="1"/>
  <c r="B3951" i="1"/>
  <c r="A3824" i="1"/>
  <c r="B3824" i="1"/>
  <c r="A3705" i="1"/>
  <c r="B3705" i="1"/>
  <c r="A3880" i="1"/>
  <c r="B3880" i="1"/>
  <c r="A3664" i="1"/>
  <c r="B3664" i="1"/>
  <c r="A3952" i="1"/>
  <c r="B3952" i="1"/>
  <c r="A3988" i="1"/>
  <c r="B3988" i="1"/>
  <c r="A3665" i="1"/>
  <c r="B3665" i="1"/>
  <c r="A3666" i="1"/>
  <c r="B3666" i="1"/>
  <c r="A3825" i="1"/>
  <c r="B3825" i="1"/>
  <c r="A3897" i="1"/>
  <c r="B3897" i="1"/>
  <c r="A3989" i="1"/>
  <c r="B3989" i="1"/>
  <c r="A3775" i="1"/>
  <c r="B3775" i="1"/>
  <c r="A3732" i="1"/>
  <c r="B3732" i="1"/>
  <c r="A3733" i="1"/>
  <c r="B3733" i="1"/>
  <c r="A3734" i="1"/>
  <c r="B3734" i="1"/>
  <c r="A3735" i="1"/>
  <c r="B3735" i="1"/>
  <c r="A3736" i="1"/>
  <c r="B3736" i="1"/>
  <c r="A3737" i="1"/>
  <c r="B3737" i="1"/>
  <c r="A3738" i="1"/>
  <c r="B3738" i="1"/>
  <c r="A3706" i="1"/>
  <c r="B3706" i="1"/>
  <c r="A3739" i="1"/>
  <c r="B3739" i="1"/>
  <c r="A4041" i="1"/>
  <c r="B4041" i="1"/>
  <c r="A3740" i="1"/>
  <c r="B3740" i="1"/>
  <c r="A3898" i="1"/>
  <c r="B3898" i="1"/>
  <c r="A3741" i="1"/>
  <c r="B3741" i="1"/>
  <c r="A3742" i="1"/>
  <c r="B3742" i="1"/>
  <c r="A3743" i="1"/>
  <c r="B3743" i="1"/>
  <c r="A3826" i="1"/>
  <c r="B3826" i="1"/>
  <c r="A3744" i="1"/>
  <c r="B3744" i="1"/>
  <c r="A3667" i="1"/>
  <c r="B3667" i="1"/>
  <c r="A3668" i="1"/>
  <c r="B3668" i="1"/>
  <c r="A3899" i="1"/>
  <c r="B3899" i="1"/>
  <c r="A3745" i="1"/>
  <c r="B3745" i="1"/>
  <c r="A3900" i="1"/>
  <c r="B3900" i="1"/>
  <c r="A3746" i="1"/>
  <c r="B3746" i="1"/>
  <c r="A3901" i="1"/>
  <c r="B3901" i="1"/>
  <c r="A3747" i="1"/>
  <c r="B3747" i="1"/>
  <c r="A3669" i="1"/>
  <c r="B3669" i="1"/>
  <c r="A3670" i="1"/>
  <c r="B3670" i="1"/>
  <c r="A3748" i="1"/>
  <c r="B3748" i="1"/>
  <c r="A3990" i="1"/>
  <c r="B3990" i="1"/>
  <c r="A3749" i="1"/>
  <c r="B3749" i="1"/>
  <c r="A3827" i="1"/>
  <c r="B3827" i="1"/>
  <c r="A3828" i="1"/>
  <c r="B3828" i="1"/>
  <c r="A3798" i="1"/>
  <c r="B3798" i="1"/>
  <c r="A3750" i="1"/>
  <c r="B3750" i="1"/>
  <c r="A3799" i="1"/>
  <c r="B3799" i="1"/>
  <c r="A3776" i="1"/>
  <c r="B3776" i="1"/>
  <c r="A3777" i="1"/>
  <c r="B3777" i="1"/>
  <c r="A4042" i="1"/>
  <c r="B4042" i="1"/>
  <c r="A3902" i="1"/>
  <c r="B3902" i="1"/>
  <c r="A3903" i="1"/>
  <c r="B3903" i="1"/>
  <c r="A3904" i="1"/>
  <c r="B3904" i="1"/>
  <c r="A3905" i="1"/>
  <c r="B3905" i="1"/>
  <c r="A3906" i="1"/>
  <c r="B3906" i="1"/>
  <c r="A3707" i="1"/>
  <c r="B3707" i="1"/>
  <c r="A3708" i="1"/>
  <c r="B3708" i="1"/>
  <c r="A3709" i="1"/>
  <c r="B3709" i="1"/>
  <c r="A3710" i="1"/>
  <c r="B3710" i="1"/>
  <c r="A3711" i="1"/>
  <c r="B3711" i="1"/>
  <c r="A3991" i="1"/>
  <c r="B3991" i="1"/>
  <c r="A3751" i="1"/>
  <c r="B3751" i="1"/>
  <c r="A3752" i="1"/>
  <c r="B3752" i="1"/>
  <c r="A3961" i="1"/>
  <c r="B3961" i="1"/>
  <c r="A3962" i="1"/>
  <c r="B3962" i="1"/>
  <c r="A3753" i="1"/>
  <c r="B3753" i="1"/>
  <c r="A3963" i="1"/>
  <c r="B3963" i="1"/>
  <c r="A3907" i="1"/>
  <c r="B3907" i="1"/>
  <c r="A3908" i="1"/>
  <c r="B3908" i="1"/>
  <c r="A3800" i="1"/>
  <c r="B3800" i="1"/>
  <c r="A3909" i="1"/>
  <c r="B3909" i="1"/>
  <c r="A3801" i="1"/>
  <c r="B3801" i="1"/>
  <c r="A3910" i="1"/>
  <c r="B3910" i="1"/>
  <c r="A3911" i="1"/>
  <c r="B3911" i="1"/>
  <c r="A3912" i="1"/>
  <c r="B3912" i="1"/>
  <c r="A3802" i="1"/>
  <c r="B3802" i="1"/>
  <c r="A3881" i="1"/>
  <c r="B3881" i="1"/>
  <c r="A4043" i="1"/>
  <c r="B4043" i="1"/>
  <c r="A4044" i="1"/>
  <c r="B4044" i="1"/>
  <c r="A4064" i="1"/>
  <c r="B4064" i="1"/>
  <c r="A3803" i="1"/>
  <c r="B3803" i="1"/>
  <c r="A3992" i="1"/>
  <c r="B3992" i="1"/>
  <c r="A4065" i="1"/>
  <c r="B4065" i="1"/>
  <c r="A3914" i="1"/>
  <c r="B3914" i="1"/>
  <c r="A3778" i="1"/>
  <c r="B3778" i="1"/>
  <c r="A3712" i="1"/>
  <c r="B3712" i="1"/>
  <c r="A3713" i="1"/>
  <c r="B3713" i="1"/>
  <c r="A3714" i="1"/>
  <c r="B3714" i="1"/>
  <c r="A3671" i="1"/>
  <c r="B3671" i="1"/>
  <c r="A4035" i="1"/>
  <c r="B4035" i="1"/>
  <c r="A4045" i="1"/>
  <c r="B4045" i="1"/>
  <c r="A3804" i="1"/>
  <c r="B3804" i="1"/>
  <c r="A3915" i="1"/>
  <c r="B3915" i="1"/>
  <c r="A3916" i="1"/>
  <c r="B3916" i="1"/>
  <c r="A4046" i="1"/>
  <c r="B4046" i="1"/>
  <c r="A4047" i="1"/>
  <c r="B4047" i="1"/>
  <c r="A3715" i="1"/>
  <c r="B3715" i="1"/>
  <c r="A3779" i="1"/>
  <c r="B3779" i="1"/>
  <c r="A3780" i="1"/>
  <c r="B3780" i="1"/>
  <c r="A3964" i="1"/>
  <c r="B3964" i="1"/>
  <c r="A3965" i="1"/>
  <c r="B3965" i="1"/>
  <c r="A3966" i="1"/>
  <c r="B3966" i="1"/>
  <c r="A3841" i="1"/>
  <c r="B3841" i="1"/>
  <c r="A3842" i="1"/>
  <c r="B3842" i="1"/>
  <c r="A3843" i="1"/>
  <c r="B3843" i="1"/>
  <c r="A4036" i="1"/>
  <c r="B4036" i="1"/>
  <c r="A3844" i="1"/>
  <c r="B3844" i="1"/>
  <c r="A4048" i="1"/>
  <c r="B4048" i="1"/>
  <c r="A4049" i="1"/>
  <c r="B4049" i="1"/>
  <c r="A3781" i="1"/>
  <c r="B3781" i="1"/>
  <c r="A3917" i="1"/>
  <c r="B3917" i="1"/>
  <c r="A3993" i="1"/>
  <c r="B3993" i="1"/>
  <c r="A3672" i="1"/>
  <c r="B3672" i="1"/>
  <c r="A3994" i="1"/>
  <c r="B3994" i="1"/>
  <c r="A3829" i="1"/>
  <c r="B3829" i="1"/>
  <c r="A3830" i="1"/>
  <c r="B3830" i="1"/>
  <c r="A3831" i="1"/>
  <c r="B3831" i="1"/>
  <c r="A3995" i="1"/>
  <c r="B3995" i="1"/>
  <c r="A3996" i="1"/>
  <c r="B3996" i="1"/>
  <c r="A3716" i="1"/>
  <c r="B3716" i="1"/>
  <c r="A3967" i="1"/>
  <c r="B3967" i="1"/>
  <c r="A3968" i="1"/>
  <c r="B3968" i="1"/>
  <c r="A3848" i="1"/>
  <c r="B3848" i="1"/>
  <c r="A3849" i="1"/>
  <c r="B3849" i="1"/>
  <c r="A3882" i="1"/>
  <c r="B3882" i="1"/>
  <c r="A3918" i="1"/>
  <c r="B3918" i="1"/>
  <c r="A4050" i="1"/>
  <c r="B4050" i="1"/>
  <c r="A3717" i="1"/>
  <c r="B3717" i="1"/>
  <c r="A3754" i="1"/>
  <c r="B3754" i="1"/>
  <c r="A3718" i="1"/>
  <c r="B3718" i="1"/>
  <c r="A3719" i="1"/>
  <c r="B3719" i="1"/>
  <c r="A3673" i="1"/>
  <c r="B3673" i="1"/>
  <c r="A3674" i="1"/>
  <c r="B3674" i="1"/>
  <c r="A3675" i="1"/>
  <c r="B3675" i="1"/>
  <c r="A3845" i="1"/>
  <c r="B3845" i="1"/>
  <c r="A3850" i="1"/>
  <c r="B3850" i="1"/>
  <c r="A3851" i="1"/>
  <c r="B3851" i="1"/>
  <c r="A3852" i="1"/>
  <c r="B3852" i="1"/>
  <c r="A3853" i="1"/>
  <c r="B3853" i="1"/>
  <c r="A3854" i="1"/>
  <c r="B3854" i="1"/>
  <c r="A3997" i="1"/>
  <c r="B3997" i="1"/>
  <c r="A3855" i="1"/>
  <c r="B3855" i="1"/>
  <c r="A3919" i="1"/>
  <c r="B3919" i="1"/>
  <c r="A3856" i="1"/>
  <c r="B3856" i="1"/>
  <c r="A3998" i="1"/>
  <c r="B3998" i="1"/>
  <c r="A3857" i="1"/>
  <c r="B3857" i="1"/>
  <c r="A3858" i="1"/>
  <c r="B3858" i="1"/>
  <c r="A3859" i="1"/>
  <c r="B3859" i="1"/>
  <c r="A3920" i="1"/>
  <c r="B3920" i="1"/>
  <c r="A3860" i="1"/>
  <c r="B3860" i="1"/>
  <c r="A3913" i="1"/>
  <c r="B3913" i="1"/>
  <c r="A3861" i="1"/>
  <c r="B3861" i="1"/>
  <c r="A3862" i="1"/>
  <c r="B3862" i="1"/>
  <c r="A3883" i="1"/>
  <c r="B3883" i="1"/>
  <c r="A3789" i="1"/>
  <c r="B3789" i="1"/>
  <c r="A3863" i="1"/>
  <c r="B3863" i="1"/>
  <c r="A3864" i="1"/>
  <c r="B3864" i="1"/>
  <c r="A3790" i="1"/>
  <c r="B3790" i="1"/>
  <c r="A3865" i="1"/>
  <c r="B3865" i="1"/>
  <c r="A3866" i="1"/>
  <c r="B3866" i="1"/>
  <c r="A3867" i="1"/>
  <c r="B3867" i="1"/>
  <c r="A3884" i="1"/>
  <c r="B3884" i="1"/>
  <c r="A3868" i="1"/>
  <c r="B3868" i="1"/>
  <c r="A3676" i="1"/>
  <c r="B3676" i="1"/>
  <c r="A3869" i="1"/>
  <c r="B3869" i="1"/>
  <c r="A3870" i="1"/>
  <c r="B3870" i="1"/>
  <c r="A3999" i="1"/>
  <c r="B3999" i="1"/>
  <c r="A3885" i="1"/>
  <c r="B3885" i="1"/>
  <c r="A3677" i="1"/>
  <c r="B3677" i="1"/>
  <c r="A3832" i="1"/>
  <c r="B3832" i="1"/>
  <c r="A4051" i="1"/>
  <c r="B4051" i="1"/>
  <c r="A3678" i="1"/>
  <c r="B3678" i="1"/>
  <c r="A3782" i="1"/>
  <c r="B3782" i="1"/>
  <c r="A3783" i="1"/>
  <c r="B3783" i="1"/>
  <c r="A3784" i="1"/>
  <c r="B3784" i="1"/>
  <c r="A3846" i="1"/>
  <c r="B3846" i="1"/>
  <c r="A3791" i="1"/>
  <c r="B3791" i="1"/>
  <c r="A3921" i="1"/>
  <c r="B3921" i="1"/>
  <c r="A3922" i="1"/>
  <c r="B3922" i="1"/>
  <c r="A3923" i="1"/>
  <c r="B3923" i="1"/>
  <c r="A3924" i="1"/>
  <c r="B3924" i="1"/>
  <c r="A3925" i="1"/>
  <c r="B3925" i="1"/>
  <c r="A3810" i="1"/>
  <c r="B3810" i="1"/>
  <c r="A3679" i="1"/>
  <c r="B3679" i="1"/>
  <c r="A3785" i="1"/>
  <c r="B3785" i="1"/>
  <c r="A3792" i="1"/>
  <c r="B3792" i="1"/>
  <c r="A3793" i="1"/>
  <c r="B3793" i="1"/>
  <c r="A3680" i="1"/>
  <c r="B3680" i="1"/>
  <c r="A3720" i="1"/>
  <c r="B3720" i="1"/>
  <c r="A3681" i="1"/>
  <c r="B3681" i="1"/>
  <c r="A3682" i="1"/>
  <c r="B3682" i="1"/>
  <c r="A3721" i="1"/>
  <c r="B3721" i="1"/>
  <c r="A3722" i="1"/>
  <c r="B3722" i="1"/>
  <c r="A3723" i="1"/>
  <c r="B3723" i="1"/>
  <c r="A4052" i="1"/>
  <c r="B4052" i="1"/>
  <c r="A4014" i="1"/>
  <c r="B4014" i="1"/>
  <c r="A3886" i="1"/>
  <c r="B3886" i="1"/>
  <c r="A4066" i="1"/>
  <c r="B4066" i="1"/>
  <c r="A4000" i="1"/>
  <c r="B4000" i="1"/>
  <c r="A3833" i="1"/>
  <c r="B3833" i="1"/>
  <c r="A4067" i="1"/>
  <c r="B4067" i="1"/>
  <c r="A4053" i="1"/>
  <c r="B4053" i="1"/>
  <c r="A3834" i="1"/>
  <c r="B3834" i="1"/>
  <c r="A3683" i="1"/>
  <c r="B3683" i="1"/>
  <c r="A3887" i="1"/>
  <c r="B3887" i="1"/>
  <c r="A3684" i="1"/>
  <c r="B3684" i="1"/>
  <c r="A3888" i="1"/>
  <c r="B3888" i="1"/>
  <c r="A3685" i="1"/>
  <c r="B3685" i="1"/>
  <c r="A3786" i="1"/>
  <c r="B3786" i="1"/>
  <c r="A4054" i="1"/>
  <c r="B4054" i="1"/>
  <c r="A3811" i="1"/>
  <c r="B3811" i="1"/>
  <c r="A3889" i="1"/>
  <c r="B3889" i="1"/>
  <c r="A3686" i="1"/>
  <c r="B3686" i="1"/>
  <c r="A3812" i="1"/>
  <c r="B3812" i="1"/>
  <c r="A4001" i="1"/>
  <c r="B4001" i="1"/>
  <c r="A3808" i="1"/>
  <c r="B3808" i="1"/>
  <c r="A3687" i="1"/>
  <c r="B3687" i="1"/>
  <c r="A3835" i="1"/>
  <c r="B3835" i="1"/>
  <c r="A3836" i="1"/>
  <c r="B3836" i="1"/>
  <c r="A4039" i="1"/>
  <c r="B4039" i="1"/>
  <c r="A3688" i="1"/>
  <c r="B3688" i="1"/>
  <c r="A3809" i="1"/>
  <c r="B3809" i="1"/>
  <c r="A4055" i="1"/>
  <c r="B4055" i="1"/>
  <c r="A3837" i="1"/>
  <c r="B3837" i="1"/>
  <c r="A4040" i="1"/>
  <c r="B4040" i="1"/>
  <c r="A3689" i="1"/>
  <c r="B3689" i="1"/>
  <c r="A4056" i="1"/>
  <c r="B4056" i="1"/>
  <c r="A3813" i="1"/>
  <c r="B3813" i="1"/>
  <c r="A3787" i="1"/>
  <c r="B3787" i="1"/>
  <c r="A3814" i="1"/>
  <c r="B3814" i="1"/>
  <c r="A3815" i="1"/>
  <c r="B3815" i="1"/>
  <c r="A3788" i="1"/>
  <c r="B3788" i="1"/>
  <c r="A3724" i="1"/>
  <c r="B3724" i="1"/>
  <c r="A3725" i="1"/>
  <c r="B3725" i="1"/>
  <c r="A3816" i="1"/>
  <c r="B3816" i="1"/>
  <c r="A3805" i="1"/>
  <c r="B3805" i="1"/>
  <c r="A3806" i="1"/>
  <c r="B3806" i="1"/>
  <c r="A3926" i="1"/>
  <c r="B3926" i="1"/>
  <c r="A3927" i="1"/>
  <c r="B3927" i="1"/>
  <c r="A3928" i="1"/>
  <c r="B3928" i="1"/>
  <c r="A3794" i="1"/>
  <c r="B3794" i="1"/>
  <c r="A3929" i="1"/>
  <c r="B3929" i="1"/>
  <c r="A3795" i="1"/>
  <c r="B3795" i="1"/>
  <c r="A3796" i="1"/>
  <c r="B3796" i="1"/>
  <c r="A3930" i="1"/>
  <c r="B3930" i="1"/>
  <c r="A3931" i="1"/>
  <c r="B3931" i="1"/>
  <c r="A3932" i="1"/>
  <c r="B3932" i="1"/>
  <c r="A3933" i="1"/>
  <c r="B3933" i="1"/>
  <c r="A4002" i="1"/>
  <c r="B4002" i="1"/>
  <c r="A3847" i="1"/>
  <c r="B3847" i="1"/>
  <c r="A4015" i="1"/>
  <c r="B4015" i="1"/>
  <c r="A4016" i="1"/>
  <c r="B4016" i="1"/>
  <c r="A3797" i="1"/>
  <c r="B3797" i="1"/>
  <c r="A3934" i="1"/>
  <c r="B3934" i="1"/>
  <c r="A3807" i="1"/>
  <c r="B3807" i="1"/>
  <c r="A4017" i="1"/>
  <c r="B4017" i="1"/>
  <c r="A3690" i="1"/>
  <c r="B3690" i="1"/>
  <c r="A3691" i="1"/>
  <c r="B3691" i="1"/>
  <c r="A3838" i="1"/>
  <c r="B3838" i="1"/>
  <c r="A3953" i="1"/>
  <c r="B3953" i="1"/>
  <c r="A3692" i="1"/>
  <c r="B3692" i="1"/>
  <c r="A3890" i="1"/>
  <c r="B3890" i="1"/>
  <c r="A3891" i="1"/>
  <c r="B3891" i="1"/>
  <c r="A3839" i="1"/>
  <c r="B3839" i="1"/>
  <c r="A3693" i="1"/>
  <c r="B3693" i="1"/>
  <c r="A3694" i="1"/>
  <c r="B3694" i="1"/>
  <c r="A3695" i="1"/>
  <c r="B3695" i="1"/>
  <c r="A3696" i="1"/>
  <c r="B3696" i="1"/>
  <c r="A3697" i="1"/>
  <c r="B3697" i="1"/>
  <c r="A3698" i="1"/>
  <c r="B3698" i="1"/>
  <c r="A4018" i="1"/>
  <c r="B4018" i="1"/>
  <c r="A4068" i="1"/>
  <c r="B4068" i="1"/>
  <c r="A3699" i="1"/>
  <c r="B3699" i="1"/>
  <c r="A4003" i="1"/>
  <c r="B4003" i="1"/>
  <c r="A3700" i="1"/>
  <c r="B3700" i="1"/>
  <c r="A3701" i="1"/>
  <c r="B3701" i="1"/>
  <c r="A4004" i="1"/>
  <c r="B4004" i="1"/>
  <c r="A3892" i="1"/>
  <c r="B3892" i="1"/>
  <c r="A3702" i="1"/>
  <c r="B3702" i="1"/>
  <c r="A4019" i="1"/>
  <c r="B4019" i="1"/>
  <c r="A3893" i="1"/>
  <c r="B3893" i="1"/>
  <c r="A4005" i="1"/>
  <c r="B4005" i="1"/>
  <c r="A3894" i="1"/>
  <c r="B3894" i="1"/>
  <c r="A3954" i="1"/>
  <c r="B3954" i="1"/>
  <c r="A3895" i="1"/>
  <c r="B3895" i="1"/>
  <c r="A4006" i="1"/>
  <c r="B4006" i="1"/>
  <c r="A4037" i="1"/>
  <c r="B4037" i="1"/>
  <c r="A4069" i="1"/>
  <c r="B4069" i="1"/>
  <c r="A4007" i="1"/>
  <c r="B4007" i="1"/>
  <c r="A4020" i="1"/>
  <c r="B4020" i="1"/>
  <c r="A4008" i="1"/>
  <c r="B4008" i="1"/>
  <c r="A3955" i="1"/>
  <c r="B3955" i="1"/>
  <c r="A4070" i="1"/>
  <c r="B4070" i="1"/>
  <c r="A3956" i="1"/>
  <c r="B3956" i="1"/>
  <c r="A4009" i="1"/>
  <c r="B4009" i="1"/>
  <c r="A3896" i="1"/>
  <c r="B3896" i="1"/>
  <c r="A4071" i="1"/>
  <c r="B4071" i="1"/>
  <c r="A3817" i="1"/>
  <c r="B3817" i="1"/>
  <c r="A4021" i="1"/>
  <c r="B4021" i="1"/>
  <c r="A3840" i="1"/>
  <c r="B3840" i="1"/>
  <c r="A3957" i="1"/>
  <c r="B3957" i="1"/>
  <c r="A3958" i="1"/>
  <c r="B3958" i="1"/>
  <c r="A3818" i="1"/>
  <c r="B3818" i="1"/>
  <c r="A3959" i="1"/>
  <c r="B3959" i="1"/>
  <c r="A3960" i="1"/>
  <c r="B3960" i="1"/>
  <c r="A4010" i="1"/>
  <c r="B4010" i="1"/>
  <c r="A4011" i="1"/>
  <c r="B4011" i="1"/>
  <c r="A4072" i="1"/>
  <c r="B4072" i="1"/>
  <c r="A4073" i="1"/>
  <c r="B4073" i="1"/>
  <c r="A4074" i="1"/>
  <c r="B4074" i="1"/>
  <c r="A3819" i="1"/>
  <c r="B3819" i="1"/>
  <c r="A4038" i="1"/>
  <c r="B4038" i="1"/>
  <c r="A4075" i="1"/>
  <c r="B4075" i="1"/>
  <c r="A4076" i="1"/>
  <c r="B4076" i="1"/>
  <c r="A4077" i="1"/>
  <c r="B4077" i="1"/>
  <c r="A4012" i="1"/>
  <c r="B4012" i="1"/>
  <c r="A4013" i="1"/>
  <c r="B4013" i="1"/>
  <c r="A3820" i="1"/>
  <c r="B3820" i="1"/>
  <c r="A4196" i="1"/>
  <c r="B4196" i="1"/>
  <c r="A4197" i="1"/>
  <c r="B4197" i="1"/>
  <c r="A4198" i="1"/>
  <c r="B4198" i="1"/>
  <c r="A4199" i="1"/>
  <c r="B4199" i="1"/>
  <c r="A4200" i="1"/>
  <c r="B4200" i="1"/>
  <c r="A4325" i="1"/>
  <c r="B4325" i="1"/>
  <c r="A4201" i="1"/>
  <c r="B4201" i="1"/>
  <c r="A4202" i="1"/>
  <c r="B4202" i="1"/>
  <c r="A4203" i="1"/>
  <c r="B4203" i="1"/>
  <c r="A4204" i="1"/>
  <c r="B4204" i="1"/>
  <c r="A4205" i="1"/>
  <c r="B4205" i="1"/>
  <c r="A4206" i="1"/>
  <c r="B4206" i="1"/>
  <c r="A4207" i="1"/>
  <c r="B4207" i="1"/>
  <c r="A4208" i="1"/>
  <c r="B4208" i="1"/>
  <c r="A4326" i="1"/>
  <c r="B4326" i="1"/>
  <c r="A4209" i="1"/>
  <c r="B4209" i="1"/>
  <c r="A4210" i="1"/>
  <c r="B4210" i="1"/>
  <c r="A4211" i="1"/>
  <c r="B4211" i="1"/>
  <c r="A4212" i="1"/>
  <c r="B4212" i="1"/>
  <c r="A4213" i="1"/>
  <c r="B4213" i="1"/>
  <c r="A4214" i="1"/>
  <c r="B4214" i="1"/>
  <c r="A4215" i="1"/>
  <c r="B4215" i="1"/>
  <c r="A4327" i="1"/>
  <c r="B4327" i="1"/>
  <c r="A4216" i="1"/>
  <c r="B4216" i="1"/>
  <c r="A4217" i="1"/>
  <c r="B4217" i="1"/>
  <c r="A4218" i="1"/>
  <c r="B4218" i="1"/>
  <c r="A4219" i="1"/>
  <c r="B4219" i="1"/>
  <c r="A4220" i="1"/>
  <c r="B4220" i="1"/>
  <c r="A4221" i="1"/>
  <c r="B4221" i="1"/>
  <c r="A4290" i="1"/>
  <c r="B4290" i="1"/>
  <c r="A4298" i="1"/>
  <c r="B4298" i="1"/>
  <c r="A4222" i="1"/>
  <c r="B4222" i="1"/>
  <c r="A4299" i="1"/>
  <c r="B4299" i="1"/>
  <c r="A4187" i="1"/>
  <c r="B4187" i="1"/>
  <c r="A4188" i="1"/>
  <c r="B4188" i="1"/>
  <c r="A4189" i="1"/>
  <c r="B4189" i="1"/>
  <c r="A4190" i="1"/>
  <c r="B4190" i="1"/>
  <c r="A4329" i="1"/>
  <c r="B4329" i="1"/>
  <c r="A4330" i="1"/>
  <c r="B4330" i="1"/>
  <c r="A4223" i="1"/>
  <c r="B4223" i="1"/>
  <c r="A4224" i="1"/>
  <c r="B4224" i="1"/>
  <c r="A4127" i="1"/>
  <c r="B4127" i="1"/>
  <c r="A4300" i="1"/>
  <c r="B4300" i="1"/>
  <c r="A4225" i="1"/>
  <c r="B4225" i="1"/>
  <c r="A4160" i="1"/>
  <c r="B4160" i="1"/>
  <c r="A4226" i="1"/>
  <c r="B4226" i="1"/>
  <c r="A4227" i="1"/>
  <c r="B4227" i="1"/>
  <c r="A4228" i="1"/>
  <c r="B4228" i="1"/>
  <c r="A4128" i="1"/>
  <c r="B4128" i="1"/>
  <c r="A4129" i="1"/>
  <c r="B4129" i="1"/>
  <c r="A4093" i="1"/>
  <c r="B4093" i="1"/>
  <c r="A4094" i="1"/>
  <c r="B4094" i="1"/>
  <c r="A4130" i="1"/>
  <c r="B4130" i="1"/>
  <c r="A4301" i="1"/>
  <c r="B4301" i="1"/>
  <c r="A4311" i="1"/>
  <c r="B4311" i="1"/>
  <c r="A4106" i="1"/>
  <c r="B4106" i="1"/>
  <c r="A4107" i="1"/>
  <c r="B4107" i="1"/>
  <c r="A4131" i="1"/>
  <c r="B4131" i="1"/>
  <c r="A4161" i="1"/>
  <c r="B4161" i="1"/>
  <c r="A4162" i="1"/>
  <c r="B4162" i="1"/>
  <c r="A4163" i="1"/>
  <c r="B4163" i="1"/>
  <c r="A4164" i="1"/>
  <c r="B4164" i="1"/>
  <c r="A4165" i="1"/>
  <c r="B4165" i="1"/>
  <c r="A4166" i="1"/>
  <c r="B4166" i="1"/>
  <c r="A4167" i="1"/>
  <c r="B4167" i="1"/>
  <c r="A4168" i="1"/>
  <c r="B4168" i="1"/>
  <c r="A4279" i="1"/>
  <c r="B4279" i="1"/>
  <c r="A4280" i="1"/>
  <c r="B4280" i="1"/>
  <c r="A4169" i="1"/>
  <c r="B4169" i="1"/>
  <c r="A4108" i="1"/>
  <c r="B4108" i="1"/>
  <c r="A4109" i="1"/>
  <c r="B4109" i="1"/>
  <c r="A4110" i="1"/>
  <c r="B4110" i="1"/>
  <c r="A4111" i="1"/>
  <c r="B4111" i="1"/>
  <c r="A4291" i="1"/>
  <c r="B4291" i="1"/>
  <c r="A4170" i="1"/>
  <c r="B4170" i="1"/>
  <c r="A4171" i="1"/>
  <c r="B4171" i="1"/>
  <c r="A4172" i="1"/>
  <c r="B4172" i="1"/>
  <c r="A4229" i="1"/>
  <c r="B4229" i="1"/>
  <c r="A4230" i="1"/>
  <c r="B4230" i="1"/>
  <c r="A4095" i="1"/>
  <c r="B4095" i="1"/>
  <c r="A4096" i="1"/>
  <c r="B4096" i="1"/>
  <c r="A4173" i="1"/>
  <c r="B4173" i="1"/>
  <c r="A4174" i="1"/>
  <c r="B4174" i="1"/>
  <c r="A4097" i="1"/>
  <c r="B4097" i="1"/>
  <c r="A4098" i="1"/>
  <c r="B4098" i="1"/>
  <c r="A4099" i="1"/>
  <c r="B4099" i="1"/>
  <c r="A4175" i="1"/>
  <c r="B4175" i="1"/>
  <c r="A4292" i="1"/>
  <c r="B4292" i="1"/>
  <c r="A4231" i="1"/>
  <c r="B4231" i="1"/>
  <c r="A4132" i="1"/>
  <c r="B4132" i="1"/>
  <c r="A4232" i="1"/>
  <c r="B4232" i="1"/>
  <c r="A4233" i="1"/>
  <c r="B4233" i="1"/>
  <c r="A4234" i="1"/>
  <c r="B4234" i="1"/>
  <c r="A4235" i="1"/>
  <c r="B4235" i="1"/>
  <c r="A4236" i="1"/>
  <c r="B4236" i="1"/>
  <c r="A4133" i="1"/>
  <c r="B4133" i="1"/>
  <c r="A4237" i="1"/>
  <c r="B4237" i="1"/>
  <c r="A4238" i="1"/>
  <c r="B4238" i="1"/>
  <c r="A4100" i="1"/>
  <c r="B4100" i="1"/>
  <c r="A4101" i="1"/>
  <c r="B4101" i="1"/>
  <c r="A4239" i="1"/>
  <c r="B4239" i="1"/>
  <c r="A4112" i="1"/>
  <c r="B4112" i="1"/>
  <c r="A4176" i="1"/>
  <c r="B4176" i="1"/>
  <c r="A4177" i="1"/>
  <c r="B4177" i="1"/>
  <c r="A4304" i="1"/>
  <c r="B4304" i="1"/>
  <c r="A4305" i="1"/>
  <c r="B4305" i="1"/>
  <c r="A4240" i="1"/>
  <c r="B4240" i="1"/>
  <c r="A4134" i="1"/>
  <c r="B4134" i="1"/>
  <c r="A4241" i="1"/>
  <c r="B4241" i="1"/>
  <c r="A4242" i="1"/>
  <c r="B4242" i="1"/>
  <c r="A4281" i="1"/>
  <c r="B4281" i="1"/>
  <c r="A4135" i="1"/>
  <c r="B4135" i="1"/>
  <c r="A4302" i="1"/>
  <c r="B4302" i="1"/>
  <c r="A4243" i="1"/>
  <c r="B4243" i="1"/>
  <c r="A4331" i="1"/>
  <c r="B4331" i="1"/>
  <c r="A4244" i="1"/>
  <c r="B4244" i="1"/>
  <c r="A4178" i="1"/>
  <c r="B4178" i="1"/>
  <c r="A4113" i="1"/>
  <c r="B4113" i="1"/>
  <c r="A4245" i="1"/>
  <c r="B4245" i="1"/>
  <c r="A4179" i="1"/>
  <c r="B4179" i="1"/>
  <c r="A4246" i="1"/>
  <c r="B4246" i="1"/>
  <c r="A4293" i="1"/>
  <c r="B4293" i="1"/>
  <c r="A4294" i="1"/>
  <c r="B4294" i="1"/>
  <c r="A4180" i="1"/>
  <c r="B4180" i="1"/>
  <c r="A4181" i="1"/>
  <c r="B4181" i="1"/>
  <c r="A4182" i="1"/>
  <c r="B4182" i="1"/>
  <c r="A4263" i="1"/>
  <c r="B4263" i="1"/>
  <c r="A4264" i="1"/>
  <c r="B4264" i="1"/>
  <c r="A4265" i="1"/>
  <c r="B4265" i="1"/>
  <c r="A4266" i="1"/>
  <c r="B4266" i="1"/>
  <c r="A4306" i="1"/>
  <c r="B4306" i="1"/>
  <c r="A4312" i="1"/>
  <c r="B4312" i="1"/>
  <c r="A4313" i="1"/>
  <c r="B4313" i="1"/>
  <c r="A4102" i="1"/>
  <c r="B4102" i="1"/>
  <c r="A4103" i="1"/>
  <c r="B4103" i="1"/>
  <c r="A4247" i="1"/>
  <c r="B4247" i="1"/>
  <c r="A4295" i="1"/>
  <c r="B4295" i="1"/>
  <c r="A4267" i="1"/>
  <c r="B4267" i="1"/>
  <c r="A4268" i="1"/>
  <c r="B4268" i="1"/>
  <c r="A4269" i="1"/>
  <c r="B4269" i="1"/>
  <c r="A4270" i="1"/>
  <c r="B4270" i="1"/>
  <c r="A4282" i="1"/>
  <c r="B4282" i="1"/>
  <c r="A4283" i="1"/>
  <c r="B4283" i="1"/>
  <c r="A4271" i="1"/>
  <c r="B4271" i="1"/>
  <c r="A4272" i="1"/>
  <c r="B4272" i="1"/>
  <c r="A4248" i="1"/>
  <c r="B4248" i="1"/>
  <c r="A4249" i="1"/>
  <c r="B4249" i="1"/>
  <c r="A4250" i="1"/>
  <c r="B4250" i="1"/>
  <c r="A4104" i="1"/>
  <c r="B4104" i="1"/>
  <c r="A4273" i="1"/>
  <c r="B4273" i="1"/>
  <c r="A4251" i="1"/>
  <c r="B4251" i="1"/>
  <c r="A4252" i="1"/>
  <c r="B4252" i="1"/>
  <c r="A4253" i="1"/>
  <c r="B4253" i="1"/>
  <c r="A4254" i="1"/>
  <c r="B4254" i="1"/>
  <c r="A4303" i="1"/>
  <c r="B4303" i="1"/>
  <c r="A4314" i="1"/>
  <c r="B4314" i="1"/>
  <c r="A4274" i="1"/>
  <c r="B4274" i="1"/>
  <c r="A4255" i="1"/>
  <c r="B4255" i="1"/>
  <c r="A4114" i="1"/>
  <c r="B4114" i="1"/>
  <c r="A4332" i="1"/>
  <c r="B4332" i="1"/>
  <c r="A4256" i="1"/>
  <c r="B4256" i="1"/>
  <c r="A4257" i="1"/>
  <c r="B4257" i="1"/>
  <c r="A4115" i="1"/>
  <c r="B4115" i="1"/>
  <c r="A4296" i="1"/>
  <c r="B4296" i="1"/>
  <c r="A4116" i="1"/>
  <c r="B4116" i="1"/>
  <c r="A4078" i="1"/>
  <c r="B4078" i="1"/>
  <c r="A4258" i="1"/>
  <c r="B4258" i="1"/>
  <c r="A4117" i="1"/>
  <c r="B4117" i="1"/>
  <c r="A4259" i="1"/>
  <c r="B4259" i="1"/>
  <c r="A4260" i="1"/>
  <c r="B4260" i="1"/>
  <c r="A4183" i="1"/>
  <c r="B4183" i="1"/>
  <c r="A4333" i="1"/>
  <c r="B4333" i="1"/>
  <c r="A4334" i="1"/>
  <c r="B4334" i="1"/>
  <c r="A4335" i="1"/>
  <c r="B4335" i="1"/>
  <c r="A4084" i="1"/>
  <c r="B4084" i="1"/>
  <c r="A4336" i="1"/>
  <c r="B4336" i="1"/>
  <c r="A4337" i="1"/>
  <c r="B4337" i="1"/>
  <c r="A4338" i="1"/>
  <c r="B4338" i="1"/>
  <c r="A4339" i="1"/>
  <c r="B4339" i="1"/>
  <c r="A4315" i="1"/>
  <c r="B4315" i="1"/>
  <c r="A4261" i="1"/>
  <c r="B4261" i="1"/>
  <c r="A4262" i="1"/>
  <c r="B4262" i="1"/>
  <c r="A4079" i="1"/>
  <c r="B4079" i="1"/>
  <c r="A4080" i="1"/>
  <c r="B4080" i="1"/>
  <c r="A4081" i="1"/>
  <c r="B4081" i="1"/>
  <c r="A4118" i="1"/>
  <c r="B4118" i="1"/>
  <c r="A4119" i="1"/>
  <c r="B4119" i="1"/>
  <c r="A4105" i="1"/>
  <c r="B4105" i="1"/>
  <c r="A4307" i="1"/>
  <c r="B4307" i="1"/>
  <c r="A4308" i="1"/>
  <c r="B4308" i="1"/>
  <c r="A4085" i="1"/>
  <c r="B4085" i="1"/>
  <c r="A4284" i="1"/>
  <c r="B4284" i="1"/>
  <c r="A4285" i="1"/>
  <c r="B4285" i="1"/>
  <c r="A4286" i="1"/>
  <c r="B4286" i="1"/>
  <c r="A4287" i="1"/>
  <c r="B4287" i="1"/>
  <c r="A4297" i="1"/>
  <c r="B4297" i="1"/>
  <c r="A4275" i="1"/>
  <c r="B4275" i="1"/>
  <c r="A4276" i="1"/>
  <c r="B4276" i="1"/>
  <c r="A4277" i="1"/>
  <c r="B4277" i="1"/>
  <c r="A4278" i="1"/>
  <c r="B4278" i="1"/>
  <c r="A4082" i="1"/>
  <c r="B4082" i="1"/>
  <c r="A4340" i="1"/>
  <c r="B4340" i="1"/>
  <c r="A4341" i="1"/>
  <c r="B4341" i="1"/>
  <c r="A4136" i="1"/>
  <c r="B4136" i="1"/>
  <c r="A4083" i="1"/>
  <c r="B4083" i="1"/>
  <c r="A4086" i="1"/>
  <c r="B4086" i="1"/>
  <c r="A4087" i="1"/>
  <c r="B4087" i="1"/>
  <c r="A4137" i="1"/>
  <c r="B4137" i="1"/>
  <c r="A4088" i="1"/>
  <c r="B4088" i="1"/>
  <c r="A4089" i="1"/>
  <c r="B4089" i="1"/>
  <c r="A4138" i="1"/>
  <c r="B4138" i="1"/>
  <c r="A4184" i="1"/>
  <c r="B4184" i="1"/>
  <c r="A4185" i="1"/>
  <c r="B4185" i="1"/>
  <c r="A4186" i="1"/>
  <c r="B4186" i="1"/>
  <c r="A4090" i="1"/>
  <c r="B4090" i="1"/>
  <c r="A4139" i="1"/>
  <c r="B4139" i="1"/>
  <c r="A4316" i="1"/>
  <c r="B4316" i="1"/>
  <c r="A4309" i="1"/>
  <c r="B4309" i="1"/>
  <c r="A4288" i="1"/>
  <c r="B4288" i="1"/>
  <c r="A4317" i="1"/>
  <c r="B4317" i="1"/>
  <c r="A4318" i="1"/>
  <c r="B4318" i="1"/>
  <c r="A4310" i="1"/>
  <c r="B4310" i="1"/>
  <c r="A4091" i="1"/>
  <c r="B4091" i="1"/>
  <c r="A4140" i="1"/>
  <c r="B4140" i="1"/>
  <c r="A4120" i="1"/>
  <c r="B4120" i="1"/>
  <c r="A4121" i="1"/>
  <c r="B4121" i="1"/>
  <c r="A4141" i="1"/>
  <c r="B4141" i="1"/>
  <c r="A4142" i="1"/>
  <c r="B4142" i="1"/>
  <c r="A4143" i="1"/>
  <c r="B4143" i="1"/>
  <c r="A4144" i="1"/>
  <c r="B4144" i="1"/>
  <c r="A4145" i="1"/>
  <c r="B4145" i="1"/>
  <c r="A4122" i="1"/>
  <c r="B4122" i="1"/>
  <c r="A4289" i="1"/>
  <c r="B4289" i="1"/>
  <c r="A4319" i="1"/>
  <c r="B4319" i="1"/>
  <c r="A4123" i="1"/>
  <c r="B4123" i="1"/>
  <c r="A4092" i="1"/>
  <c r="B4092" i="1"/>
  <c r="A4124" i="1"/>
  <c r="B4124" i="1"/>
  <c r="A4320" i="1"/>
  <c r="B4320" i="1"/>
  <c r="A4321" i="1"/>
  <c r="B4321" i="1"/>
  <c r="A4125" i="1"/>
  <c r="B4125" i="1"/>
  <c r="A4126" i="1"/>
  <c r="B4126" i="1"/>
  <c r="A4146" i="1"/>
  <c r="B4146" i="1"/>
  <c r="A4147" i="1"/>
  <c r="B4147" i="1"/>
  <c r="A4148" i="1"/>
  <c r="B4148" i="1"/>
  <c r="A4322" i="1"/>
  <c r="B4322" i="1"/>
  <c r="A4149" i="1"/>
  <c r="B4149" i="1"/>
  <c r="A4150" i="1"/>
  <c r="B4150" i="1"/>
  <c r="A4323" i="1"/>
  <c r="B4323" i="1"/>
  <c r="A4151" i="1"/>
  <c r="B4151" i="1"/>
  <c r="A4191" i="1"/>
  <c r="B4191" i="1"/>
  <c r="A4152" i="1"/>
  <c r="B4152" i="1"/>
  <c r="A4324" i="1"/>
  <c r="B4324" i="1"/>
  <c r="A4192" i="1"/>
  <c r="B4192" i="1"/>
  <c r="A4153" i="1"/>
  <c r="B4153" i="1"/>
  <c r="A4154" i="1"/>
  <c r="B4154" i="1"/>
  <c r="A4155" i="1"/>
  <c r="B4155" i="1"/>
  <c r="A4193" i="1"/>
  <c r="B4193" i="1"/>
  <c r="A4194" i="1"/>
  <c r="B4194" i="1"/>
  <c r="A4156" i="1"/>
  <c r="B4156" i="1"/>
  <c r="A4157" i="1"/>
  <c r="B4157" i="1"/>
  <c r="A4158" i="1"/>
  <c r="B4158" i="1"/>
  <c r="A4159" i="1"/>
  <c r="B4159" i="1"/>
  <c r="A4328" i="1"/>
  <c r="B4328" i="1"/>
  <c r="A4195" i="1"/>
  <c r="B4195" i="1"/>
  <c r="A4446" i="1"/>
  <c r="B4446" i="1"/>
  <c r="A4447" i="1"/>
  <c r="B4447" i="1"/>
  <c r="A4448" i="1"/>
  <c r="B4448" i="1"/>
  <c r="A4449" i="1"/>
  <c r="B4449" i="1"/>
  <c r="A4450" i="1"/>
  <c r="B4450" i="1"/>
  <c r="A4451" i="1"/>
  <c r="B4451" i="1"/>
  <c r="A4559" i="1"/>
  <c r="B4559" i="1"/>
  <c r="A4452" i="1"/>
  <c r="B4452" i="1"/>
  <c r="A4560" i="1"/>
  <c r="B4560" i="1"/>
  <c r="A4561" i="1"/>
  <c r="B4561" i="1"/>
  <c r="A4562" i="1"/>
  <c r="B4562" i="1"/>
  <c r="A4453" i="1"/>
  <c r="B4453" i="1"/>
  <c r="A4563" i="1"/>
  <c r="B4563" i="1"/>
  <c r="A4564" i="1"/>
  <c r="B4564" i="1"/>
  <c r="A4565" i="1"/>
  <c r="B4565" i="1"/>
  <c r="A4454" i="1"/>
  <c r="B4454" i="1"/>
  <c r="A4455" i="1"/>
  <c r="B4455" i="1"/>
  <c r="A4566" i="1"/>
  <c r="B4566" i="1"/>
  <c r="A4431" i="1"/>
  <c r="B4431" i="1"/>
  <c r="A4479" i="1"/>
  <c r="B4479" i="1"/>
  <c r="A4480" i="1"/>
  <c r="B4480" i="1"/>
  <c r="A4414" i="1"/>
  <c r="B4414" i="1"/>
  <c r="A4481" i="1"/>
  <c r="B4481" i="1"/>
  <c r="A4482" i="1"/>
  <c r="B4482" i="1"/>
  <c r="A4483" i="1"/>
  <c r="B4483" i="1"/>
  <c r="A4484" i="1"/>
  <c r="B4484" i="1"/>
  <c r="A4485" i="1"/>
  <c r="B4485" i="1"/>
  <c r="A4368" i="1"/>
  <c r="B4368" i="1"/>
  <c r="A4369" i="1"/>
  <c r="B4369" i="1"/>
  <c r="A4370" i="1"/>
  <c r="B4370" i="1"/>
  <c r="A4371" i="1"/>
  <c r="B4371" i="1"/>
  <c r="A4372" i="1"/>
  <c r="B4372" i="1"/>
  <c r="A4373" i="1"/>
  <c r="B4373" i="1"/>
  <c r="A4374" i="1"/>
  <c r="B4374" i="1"/>
  <c r="A4567" i="1"/>
  <c r="B4567" i="1"/>
  <c r="A4351" i="1"/>
  <c r="B4351" i="1"/>
  <c r="A4352" i="1"/>
  <c r="B4352" i="1"/>
  <c r="A4568" i="1"/>
  <c r="B4568" i="1"/>
  <c r="A4569" i="1"/>
  <c r="B4569" i="1"/>
  <c r="A4353" i="1"/>
  <c r="B4353" i="1"/>
  <c r="A4570" i="1"/>
  <c r="B4570" i="1"/>
  <c r="A4486" i="1"/>
  <c r="B4486" i="1"/>
  <c r="A4487" i="1"/>
  <c r="B4487" i="1"/>
  <c r="A4488" i="1"/>
  <c r="B4488" i="1"/>
  <c r="A4489" i="1"/>
  <c r="B4489" i="1"/>
  <c r="A4432" i="1"/>
  <c r="B4432" i="1"/>
  <c r="A4600" i="1"/>
  <c r="B4600" i="1"/>
  <c r="A4456" i="1"/>
  <c r="B4456" i="1"/>
  <c r="A4433" i="1"/>
  <c r="B4433" i="1"/>
  <c r="A4490" i="1"/>
  <c r="B4490" i="1"/>
  <c r="A4491" i="1"/>
  <c r="B4491" i="1"/>
  <c r="A4492" i="1"/>
  <c r="B4492" i="1"/>
  <c r="A4493" i="1"/>
  <c r="B4493" i="1"/>
  <c r="A4434" i="1"/>
  <c r="B4434" i="1"/>
  <c r="A4494" i="1"/>
  <c r="B4494" i="1"/>
  <c r="A4457" i="1"/>
  <c r="B4457" i="1"/>
  <c r="A4354" i="1"/>
  <c r="B4354" i="1"/>
  <c r="A4415" i="1"/>
  <c r="B4415" i="1"/>
  <c r="A4355" i="1"/>
  <c r="B4355" i="1"/>
  <c r="A4356" i="1"/>
  <c r="B4356" i="1"/>
  <c r="A4416" i="1"/>
  <c r="B4416" i="1"/>
  <c r="A4495" i="1"/>
  <c r="B4495" i="1"/>
  <c r="A4496" i="1"/>
  <c r="B4496" i="1"/>
  <c r="A4497" i="1"/>
  <c r="B4497" i="1"/>
  <c r="A4498" i="1"/>
  <c r="B4498" i="1"/>
  <c r="A4571" i="1"/>
  <c r="B4571" i="1"/>
  <c r="A4572" i="1"/>
  <c r="B4572" i="1"/>
  <c r="A4573" i="1"/>
  <c r="B4573" i="1"/>
  <c r="A4574" i="1"/>
  <c r="B4574" i="1"/>
  <c r="A4601" i="1"/>
  <c r="B4601" i="1"/>
  <c r="A4375" i="1"/>
  <c r="B4375" i="1"/>
  <c r="A4376" i="1"/>
  <c r="B4376" i="1"/>
  <c r="A4377" i="1"/>
  <c r="B4377" i="1"/>
  <c r="A4397" i="1"/>
  <c r="B4397" i="1"/>
  <c r="A4417" i="1"/>
  <c r="B4417" i="1"/>
  <c r="A4398" i="1"/>
  <c r="B4398" i="1"/>
  <c r="A4378" i="1"/>
  <c r="B4378" i="1"/>
  <c r="A4418" i="1"/>
  <c r="B4418" i="1"/>
  <c r="A4419" i="1"/>
  <c r="B4419" i="1"/>
  <c r="A4435" i="1"/>
  <c r="B4435" i="1"/>
  <c r="A4575" i="1"/>
  <c r="B4575" i="1"/>
  <c r="A4436" i="1"/>
  <c r="B4436" i="1"/>
  <c r="A4576" i="1"/>
  <c r="B4576" i="1"/>
  <c r="A4437" i="1"/>
  <c r="B4437" i="1"/>
  <c r="A4438" i="1"/>
  <c r="B4438" i="1"/>
  <c r="A4379" i="1"/>
  <c r="B4379" i="1"/>
  <c r="A4380" i="1"/>
  <c r="B4380" i="1"/>
  <c r="A4499" i="1"/>
  <c r="B4499" i="1"/>
  <c r="A4500" i="1"/>
  <c r="B4500" i="1"/>
  <c r="A4357" i="1"/>
  <c r="B4357" i="1"/>
  <c r="A4501" i="1"/>
  <c r="B4501" i="1"/>
  <c r="A4502" i="1"/>
  <c r="B4502" i="1"/>
  <c r="A4503" i="1"/>
  <c r="B4503" i="1"/>
  <c r="A4504" i="1"/>
  <c r="B4504" i="1"/>
  <c r="A4505" i="1"/>
  <c r="B4505" i="1"/>
  <c r="A4506" i="1"/>
  <c r="B4506" i="1"/>
  <c r="A4507" i="1"/>
  <c r="B4507" i="1"/>
  <c r="A4577" i="1"/>
  <c r="B4577" i="1"/>
  <c r="A4578" i="1"/>
  <c r="B4578" i="1"/>
  <c r="A4508" i="1"/>
  <c r="B4508" i="1"/>
  <c r="A4509" i="1"/>
  <c r="B4509" i="1"/>
  <c r="A4510" i="1"/>
  <c r="B4510" i="1"/>
  <c r="A4511" i="1"/>
  <c r="B4511" i="1"/>
  <c r="A4512" i="1"/>
  <c r="B4512" i="1"/>
  <c r="A4513" i="1"/>
  <c r="B4513" i="1"/>
  <c r="A4514" i="1"/>
  <c r="B4514" i="1"/>
  <c r="A4381" i="1"/>
  <c r="B4381" i="1"/>
  <c r="A4382" i="1"/>
  <c r="B4382" i="1"/>
  <c r="A4515" i="1"/>
  <c r="B4515" i="1"/>
  <c r="A4602" i="1"/>
  <c r="B4602" i="1"/>
  <c r="A4579" i="1"/>
  <c r="B4579" i="1"/>
  <c r="A4580" i="1"/>
  <c r="B4580" i="1"/>
  <c r="A4439" i="1"/>
  <c r="B4439" i="1"/>
  <c r="A4399" i="1"/>
  <c r="B4399" i="1"/>
  <c r="A4400" i="1"/>
  <c r="B4400" i="1"/>
  <c r="A4458" i="1"/>
  <c r="B4458" i="1"/>
  <c r="A4516" i="1"/>
  <c r="B4516" i="1"/>
  <c r="A4358" i="1"/>
  <c r="B4358" i="1"/>
  <c r="A4359" i="1"/>
  <c r="B4359" i="1"/>
  <c r="A4603" i="1"/>
  <c r="B4603" i="1"/>
  <c r="A4581" i="1"/>
  <c r="B4581" i="1"/>
  <c r="A4585" i="1"/>
  <c r="B4585" i="1"/>
  <c r="A4586" i="1"/>
  <c r="B4586" i="1"/>
  <c r="A4587" i="1"/>
  <c r="B4587" i="1"/>
  <c r="A4420" i="1"/>
  <c r="B4420" i="1"/>
  <c r="A4421" i="1"/>
  <c r="B4421" i="1"/>
  <c r="A4422" i="1"/>
  <c r="B4422" i="1"/>
  <c r="A4517" i="1"/>
  <c r="B4517" i="1"/>
  <c r="A4518" i="1"/>
  <c r="B4518" i="1"/>
  <c r="A4519" i="1"/>
  <c r="B4519" i="1"/>
  <c r="A4520" i="1"/>
  <c r="B4520" i="1"/>
  <c r="A4521" i="1"/>
  <c r="B4521" i="1"/>
  <c r="A4401" i="1"/>
  <c r="B4401" i="1"/>
  <c r="A4423" i="1"/>
  <c r="B4423" i="1"/>
  <c r="A4424" i="1"/>
  <c r="B4424" i="1"/>
  <c r="A4360" i="1"/>
  <c r="B4360" i="1"/>
  <c r="A4425" i="1"/>
  <c r="B4425" i="1"/>
  <c r="A4383" i="1"/>
  <c r="B4383" i="1"/>
  <c r="A4384" i="1"/>
  <c r="B4384" i="1"/>
  <c r="A4385" i="1"/>
  <c r="B4385" i="1"/>
  <c r="A4386" i="1"/>
  <c r="B4386" i="1"/>
  <c r="A4588" i="1"/>
  <c r="B4588" i="1"/>
  <c r="A4589" i="1"/>
  <c r="B4589" i="1"/>
  <c r="A4405" i="1"/>
  <c r="B4405" i="1"/>
  <c r="A4402" i="1"/>
  <c r="B4402" i="1"/>
  <c r="A4403" i="1"/>
  <c r="B4403" i="1"/>
  <c r="A4406" i="1"/>
  <c r="B4406" i="1"/>
  <c r="A4522" i="1"/>
  <c r="B4522" i="1"/>
  <c r="A4459" i="1"/>
  <c r="B4459" i="1"/>
  <c r="A4440" i="1"/>
  <c r="B4440" i="1"/>
  <c r="A4590" i="1"/>
  <c r="B4590" i="1"/>
  <c r="A4591" i="1"/>
  <c r="B4591" i="1"/>
  <c r="A4404" i="1"/>
  <c r="B4404" i="1"/>
  <c r="A4387" i="1"/>
  <c r="B4387" i="1"/>
  <c r="A4388" i="1"/>
  <c r="B4388" i="1"/>
  <c r="A4389" i="1"/>
  <c r="B4389" i="1"/>
  <c r="A4441" i="1"/>
  <c r="B4441" i="1"/>
  <c r="A4592" i="1"/>
  <c r="B4592" i="1"/>
  <c r="A4598" i="1"/>
  <c r="B4598" i="1"/>
  <c r="A4460" i="1"/>
  <c r="B4460" i="1"/>
  <c r="A4596" i="1"/>
  <c r="B4596" i="1"/>
  <c r="A4361" i="1"/>
  <c r="B4361" i="1"/>
  <c r="A4426" i="1"/>
  <c r="B4426" i="1"/>
  <c r="A4362" i="1"/>
  <c r="B4362" i="1"/>
  <c r="A4363" i="1"/>
  <c r="B4363" i="1"/>
  <c r="A4390" i="1"/>
  <c r="B4390" i="1"/>
  <c r="A4523" i="1"/>
  <c r="B4523" i="1"/>
  <c r="A4604" i="1"/>
  <c r="B4604" i="1"/>
  <c r="A4599" i="1"/>
  <c r="B4599" i="1"/>
  <c r="A4342" i="1"/>
  <c r="B4342" i="1"/>
  <c r="A4343" i="1"/>
  <c r="B4343" i="1"/>
  <c r="A4593" i="1"/>
  <c r="B4593" i="1"/>
  <c r="A4364" i="1"/>
  <c r="B4364" i="1"/>
  <c r="A4344" i="1"/>
  <c r="B4344" i="1"/>
  <c r="A4345" i="1"/>
  <c r="B4345" i="1"/>
  <c r="A4346" i="1"/>
  <c r="B4346" i="1"/>
  <c r="A4594" i="1"/>
  <c r="B4594" i="1"/>
  <c r="A4391" i="1"/>
  <c r="B4391" i="1"/>
  <c r="A4595" i="1"/>
  <c r="B4595" i="1"/>
  <c r="A4392" i="1"/>
  <c r="B4392" i="1"/>
  <c r="A4605" i="1"/>
  <c r="B4605" i="1"/>
  <c r="A4393" i="1"/>
  <c r="B4393" i="1"/>
  <c r="A4442" i="1"/>
  <c r="B4442" i="1"/>
  <c r="A4394" i="1"/>
  <c r="B4394" i="1"/>
  <c r="A4427" i="1"/>
  <c r="B4427" i="1"/>
  <c r="A4347" i="1"/>
  <c r="B4347" i="1"/>
  <c r="A4395" i="1"/>
  <c r="B4395" i="1"/>
  <c r="A4607" i="1"/>
  <c r="B4607" i="1"/>
  <c r="A4608" i="1"/>
  <c r="B4608" i="1"/>
  <c r="A4609" i="1"/>
  <c r="B4609" i="1"/>
  <c r="A4348" i="1"/>
  <c r="B4348" i="1"/>
  <c r="A4550" i="1"/>
  <c r="B4550" i="1"/>
  <c r="A4443" i="1"/>
  <c r="B4443" i="1"/>
  <c r="A4365" i="1"/>
  <c r="B4365" i="1"/>
  <c r="A4396" i="1"/>
  <c r="B4396" i="1"/>
  <c r="A4524" i="1"/>
  <c r="B4524" i="1"/>
  <c r="A4525" i="1"/>
  <c r="B4525" i="1"/>
  <c r="A4526" i="1"/>
  <c r="B4526" i="1"/>
  <c r="A4527" i="1"/>
  <c r="B4527" i="1"/>
  <c r="A4528" i="1"/>
  <c r="B4528" i="1"/>
  <c r="A4529" i="1"/>
  <c r="B4529" i="1"/>
  <c r="A4530" i="1"/>
  <c r="B4530" i="1"/>
  <c r="A4531" i="1"/>
  <c r="B4531" i="1"/>
  <c r="A4366" i="1"/>
  <c r="B4366" i="1"/>
  <c r="A4461" i="1"/>
  <c r="B4461" i="1"/>
  <c r="A4551" i="1"/>
  <c r="B4551" i="1"/>
  <c r="A4597" i="1"/>
  <c r="B4597" i="1"/>
  <c r="A4552" i="1"/>
  <c r="B4552" i="1"/>
  <c r="A4349" i="1"/>
  <c r="B4349" i="1"/>
  <c r="A4350" i="1"/>
  <c r="B4350" i="1"/>
  <c r="A4462" i="1"/>
  <c r="B4462" i="1"/>
  <c r="A4463" i="1"/>
  <c r="B4463" i="1"/>
  <c r="A4532" i="1"/>
  <c r="B4532" i="1"/>
  <c r="A4533" i="1"/>
  <c r="B4533" i="1"/>
  <c r="A4534" i="1"/>
  <c r="B4534" i="1"/>
  <c r="A4535" i="1"/>
  <c r="B4535" i="1"/>
  <c r="A4536" i="1"/>
  <c r="B4536" i="1"/>
  <c r="A4537" i="1"/>
  <c r="B4537" i="1"/>
  <c r="A4538" i="1"/>
  <c r="B4538" i="1"/>
  <c r="A4539" i="1"/>
  <c r="B4539" i="1"/>
  <c r="A4540" i="1"/>
  <c r="B4540" i="1"/>
  <c r="A4541" i="1"/>
  <c r="B4541" i="1"/>
  <c r="A4464" i="1"/>
  <c r="B4464" i="1"/>
  <c r="A4542" i="1"/>
  <c r="B4542" i="1"/>
  <c r="A4465" i="1"/>
  <c r="B4465" i="1"/>
  <c r="A4543" i="1"/>
  <c r="B4543" i="1"/>
  <c r="A4466" i="1"/>
  <c r="B4466" i="1"/>
  <c r="A4544" i="1"/>
  <c r="B4544" i="1"/>
  <c r="A4545" i="1"/>
  <c r="B4545" i="1"/>
  <c r="A4407" i="1"/>
  <c r="B4407" i="1"/>
  <c r="A4546" i="1"/>
  <c r="B4546" i="1"/>
  <c r="A4408" i="1"/>
  <c r="B4408" i="1"/>
  <c r="A4467" i="1"/>
  <c r="B4467" i="1"/>
  <c r="A4468" i="1"/>
  <c r="B4468" i="1"/>
  <c r="A4469" i="1"/>
  <c r="B4469" i="1"/>
  <c r="A4547" i="1"/>
  <c r="B4547" i="1"/>
  <c r="A4548" i="1"/>
  <c r="B4548" i="1"/>
  <c r="A4367" i="1"/>
  <c r="B4367" i="1"/>
  <c r="A4428" i="1"/>
  <c r="B4428" i="1"/>
  <c r="A4409" i="1"/>
  <c r="B4409" i="1"/>
  <c r="A4470" i="1"/>
  <c r="B4470" i="1"/>
  <c r="A4471" i="1"/>
  <c r="B4471" i="1"/>
  <c r="A4582" i="1"/>
  <c r="B4582" i="1"/>
  <c r="A4429" i="1"/>
  <c r="B4429" i="1"/>
  <c r="A4472" i="1"/>
  <c r="B4472" i="1"/>
  <c r="A4473" i="1"/>
  <c r="B4473" i="1"/>
  <c r="A4430" i="1"/>
  <c r="B4430" i="1"/>
  <c r="A4606" i="1"/>
  <c r="B4606" i="1"/>
  <c r="A4549" i="1"/>
  <c r="B4549" i="1"/>
  <c r="A4553" i="1"/>
  <c r="B4553" i="1"/>
  <c r="A4554" i="1"/>
  <c r="B4554" i="1"/>
  <c r="A4474" i="1"/>
  <c r="B4474" i="1"/>
  <c r="A4555" i="1"/>
  <c r="B4555" i="1"/>
  <c r="A4475" i="1"/>
  <c r="B4475" i="1"/>
  <c r="A4476" i="1"/>
  <c r="B4476" i="1"/>
  <c r="A4477" i="1"/>
  <c r="B4477" i="1"/>
  <c r="A4610" i="1"/>
  <c r="B4610" i="1"/>
  <c r="A4444" i="1"/>
  <c r="B4444" i="1"/>
  <c r="A4478" i="1"/>
  <c r="B4478" i="1"/>
  <c r="A4556" i="1"/>
  <c r="B4556" i="1"/>
  <c r="A4410" i="1"/>
  <c r="B4410" i="1"/>
  <c r="A4411" i="1"/>
  <c r="B4411" i="1"/>
  <c r="A4445" i="1"/>
  <c r="B4445" i="1"/>
  <c r="A4557" i="1"/>
  <c r="B4557" i="1"/>
  <c r="A4412" i="1"/>
  <c r="B4412" i="1"/>
  <c r="A4413" i="1"/>
  <c r="B4413" i="1"/>
  <c r="A4558" i="1"/>
  <c r="B4558" i="1"/>
  <c r="A4583" i="1"/>
  <c r="B4583" i="1"/>
  <c r="A4584" i="1"/>
  <c r="B4584" i="1"/>
  <c r="A4645" i="1"/>
  <c r="B4645" i="1"/>
  <c r="A4646" i="1"/>
  <c r="B4646" i="1"/>
  <c r="A4648" i="1"/>
  <c r="B4648" i="1"/>
  <c r="A4630" i="1"/>
  <c r="B4630" i="1"/>
  <c r="A4631" i="1"/>
  <c r="B4631" i="1"/>
  <c r="A4632" i="1"/>
  <c r="B4632" i="1"/>
  <c r="A4633" i="1"/>
  <c r="B4633" i="1"/>
  <c r="A4634" i="1"/>
  <c r="B4634" i="1"/>
  <c r="A4635" i="1"/>
  <c r="B4635" i="1"/>
  <c r="A4649" i="1"/>
  <c r="B4649" i="1"/>
  <c r="A4647" i="1"/>
  <c r="B4647" i="1"/>
  <c r="A4636" i="1"/>
  <c r="B4636" i="1"/>
  <c r="A4637" i="1"/>
  <c r="B4637" i="1"/>
  <c r="A4638" i="1"/>
  <c r="B4638" i="1"/>
  <c r="A4639" i="1"/>
  <c r="B4639" i="1"/>
  <c r="A4650" i="1"/>
  <c r="B4650" i="1"/>
  <c r="A4611" i="1"/>
  <c r="B4611" i="1"/>
  <c r="A4612" i="1"/>
  <c r="B4612" i="1"/>
  <c r="A4613" i="1"/>
  <c r="B4613" i="1"/>
  <c r="A4640" i="1"/>
  <c r="B4640" i="1"/>
  <c r="A4641" i="1"/>
  <c r="B4641" i="1"/>
  <c r="A4642" i="1"/>
  <c r="B4642" i="1"/>
  <c r="A4614" i="1"/>
  <c r="B4614" i="1"/>
  <c r="A4651" i="1"/>
  <c r="B4651" i="1"/>
  <c r="A4615" i="1"/>
  <c r="B4615" i="1"/>
  <c r="A4643" i="1"/>
  <c r="B4643" i="1"/>
  <c r="A4652" i="1"/>
  <c r="B4652" i="1"/>
  <c r="A4616" i="1"/>
  <c r="B4616" i="1"/>
  <c r="A4653" i="1"/>
  <c r="B4653" i="1"/>
  <c r="A4644" i="1"/>
  <c r="B4644" i="1"/>
  <c r="A4654" i="1"/>
  <c r="B4654" i="1"/>
  <c r="A4617" i="1"/>
  <c r="B4617" i="1"/>
  <c r="A4618" i="1"/>
  <c r="B4618" i="1"/>
  <c r="A4619" i="1"/>
  <c r="B4619" i="1"/>
  <c r="A4620" i="1"/>
  <c r="B4620" i="1"/>
  <c r="A4621" i="1"/>
  <c r="B4621" i="1"/>
  <c r="A4655" i="1"/>
  <c r="B4655" i="1"/>
  <c r="A4622" i="1"/>
  <c r="B4622" i="1"/>
  <c r="A4623" i="1"/>
  <c r="B4623" i="1"/>
  <c r="A4624" i="1"/>
  <c r="B4624" i="1"/>
  <c r="A4656" i="1"/>
  <c r="B4656" i="1"/>
  <c r="A4657" i="1"/>
  <c r="B4657" i="1"/>
  <c r="A4658" i="1"/>
  <c r="B4658" i="1"/>
  <c r="A4659" i="1"/>
  <c r="B4659" i="1"/>
  <c r="A4660" i="1"/>
  <c r="B4660" i="1"/>
  <c r="A4664" i="1"/>
  <c r="B4664" i="1"/>
  <c r="A4665" i="1"/>
  <c r="B4665" i="1"/>
  <c r="A4666" i="1"/>
  <c r="B4666" i="1"/>
  <c r="A4667" i="1"/>
  <c r="B4667" i="1"/>
  <c r="A4661" i="1"/>
  <c r="B4661" i="1"/>
  <c r="A4662" i="1"/>
  <c r="B4662" i="1"/>
  <c r="A4668" i="1"/>
  <c r="B4668" i="1"/>
  <c r="A4663" i="1"/>
  <c r="B4663" i="1"/>
  <c r="A4669" i="1"/>
  <c r="B4669" i="1"/>
  <c r="A4670" i="1"/>
  <c r="B4670" i="1"/>
  <c r="A4671" i="1"/>
  <c r="B4671" i="1"/>
  <c r="A4672" i="1"/>
  <c r="B4672" i="1"/>
  <c r="A4673" i="1"/>
  <c r="B4673" i="1"/>
  <c r="A4674" i="1"/>
  <c r="B4674" i="1"/>
  <c r="A4675" i="1"/>
  <c r="B4675" i="1"/>
  <c r="A4676" i="1"/>
  <c r="B4676" i="1"/>
  <c r="A4625" i="1"/>
  <c r="B4625" i="1"/>
  <c r="A4626" i="1"/>
  <c r="B4626" i="1"/>
  <c r="A4677" i="1"/>
  <c r="B4677" i="1"/>
  <c r="A4678" i="1"/>
  <c r="B4678" i="1"/>
  <c r="A4679" i="1"/>
  <c r="B4679" i="1"/>
  <c r="A4627" i="1"/>
  <c r="B4627" i="1"/>
  <c r="A4628" i="1"/>
  <c r="B4628" i="1"/>
  <c r="A4629" i="1"/>
  <c r="B4629" i="1"/>
  <c r="A4719" i="1"/>
  <c r="B4719" i="1"/>
  <c r="A4680" i="1"/>
  <c r="B4680" i="1"/>
  <c r="A4922" i="1"/>
  <c r="B4922" i="1"/>
  <c r="A4904" i="1"/>
  <c r="B4904" i="1"/>
  <c r="A4905" i="1"/>
  <c r="B4905" i="1"/>
  <c r="A4923" i="1"/>
  <c r="B4923" i="1"/>
  <c r="A4906" i="1"/>
  <c r="B4906" i="1"/>
  <c r="A4907" i="1"/>
  <c r="B4907" i="1"/>
  <c r="A5139" i="1"/>
  <c r="B5139" i="1"/>
  <c r="A5140" i="1"/>
  <c r="B5140" i="1"/>
  <c r="A5141" i="1"/>
  <c r="B5141" i="1"/>
  <c r="A5142" i="1"/>
  <c r="B5142" i="1"/>
  <c r="A4908" i="1"/>
  <c r="B4908" i="1"/>
  <c r="A4909" i="1"/>
  <c r="B4909" i="1"/>
  <c r="A4681" i="1"/>
  <c r="B4681" i="1"/>
  <c r="A4682" i="1"/>
  <c r="B4682" i="1"/>
  <c r="A4910" i="1"/>
  <c r="B4910" i="1"/>
  <c r="A5143" i="1"/>
  <c r="B5143" i="1"/>
  <c r="A4911" i="1"/>
  <c r="B4911" i="1"/>
  <c r="A5144" i="1"/>
  <c r="B5144" i="1"/>
  <c r="A5145" i="1"/>
  <c r="B5145" i="1"/>
  <c r="A5146" i="1"/>
  <c r="B5146" i="1"/>
  <c r="A5147" i="1"/>
  <c r="B5147" i="1"/>
  <c r="A4912" i="1"/>
  <c r="B4912" i="1"/>
  <c r="A5148" i="1"/>
  <c r="B5148" i="1"/>
  <c r="A4683" i="1"/>
  <c r="B4683" i="1"/>
  <c r="A4684" i="1"/>
  <c r="B4684" i="1"/>
  <c r="A5296" i="1"/>
  <c r="B5296" i="1"/>
  <c r="A4857" i="1"/>
  <c r="B4857" i="1"/>
  <c r="A4858" i="1"/>
  <c r="B4858" i="1"/>
  <c r="A4705" i="1"/>
  <c r="B4705" i="1"/>
  <c r="A4797" i="1"/>
  <c r="B4797" i="1"/>
  <c r="A5020" i="1"/>
  <c r="B5020" i="1"/>
  <c r="A5021" i="1"/>
  <c r="B5021" i="1"/>
  <c r="A4798" i="1"/>
  <c r="B4798" i="1"/>
  <c r="A5251" i="1"/>
  <c r="B5251" i="1"/>
  <c r="A4913" i="1"/>
  <c r="B4913" i="1"/>
  <c r="A4914" i="1"/>
  <c r="B4914" i="1"/>
  <c r="A4915" i="1"/>
  <c r="B4915" i="1"/>
  <c r="A4916" i="1"/>
  <c r="B4916" i="1"/>
  <c r="A4706" i="1"/>
  <c r="B4706" i="1"/>
  <c r="A4917" i="1"/>
  <c r="B4917" i="1"/>
  <c r="A5149" i="1"/>
  <c r="B5149" i="1"/>
  <c r="A5150" i="1"/>
  <c r="B5150" i="1"/>
  <c r="A5151" i="1"/>
  <c r="B5151" i="1"/>
  <c r="A5152" i="1"/>
  <c r="B5152" i="1"/>
  <c r="A5153" i="1"/>
  <c r="B5153" i="1"/>
  <c r="A5154" i="1"/>
  <c r="B5154" i="1"/>
  <c r="A4859" i="1"/>
  <c r="B4859" i="1"/>
  <c r="A4860" i="1"/>
  <c r="B4860" i="1"/>
  <c r="A4861" i="1"/>
  <c r="B4861" i="1"/>
  <c r="A4924" i="1"/>
  <c r="B4924" i="1"/>
  <c r="A5297" i="1"/>
  <c r="B5297" i="1"/>
  <c r="A5298" i="1"/>
  <c r="B5298" i="1"/>
  <c r="A4799" i="1"/>
  <c r="B4799" i="1"/>
  <c r="A4800" i="1"/>
  <c r="B4800" i="1"/>
  <c r="A4801" i="1"/>
  <c r="B4801" i="1"/>
  <c r="A4925" i="1"/>
  <c r="B4925" i="1"/>
  <c r="A5155" i="1"/>
  <c r="B5155" i="1"/>
  <c r="A5156" i="1"/>
  <c r="B5156" i="1"/>
  <c r="A5157" i="1"/>
  <c r="B5157" i="1"/>
  <c r="A5252" i="1"/>
  <c r="B5252" i="1"/>
  <c r="A4802" i="1"/>
  <c r="B4802" i="1"/>
  <c r="A4926" i="1"/>
  <c r="B4926" i="1"/>
  <c r="A4927" i="1"/>
  <c r="B4927" i="1"/>
  <c r="A5253" i="1"/>
  <c r="B5253" i="1"/>
  <c r="A5100" i="1"/>
  <c r="B5100" i="1"/>
  <c r="A5101" i="1"/>
  <c r="B5101" i="1"/>
  <c r="A5102" i="1"/>
  <c r="B5102" i="1"/>
  <c r="A4707" i="1"/>
  <c r="B4707" i="1"/>
  <c r="A4708" i="1"/>
  <c r="B4708" i="1"/>
  <c r="A4709" i="1"/>
  <c r="B4709" i="1"/>
  <c r="A5254" i="1"/>
  <c r="B5254" i="1"/>
  <c r="A5255" i="1"/>
  <c r="B5255" i="1"/>
  <c r="A4918" i="1"/>
  <c r="B4918" i="1"/>
  <c r="A4710" i="1"/>
  <c r="B4710" i="1"/>
  <c r="A4711" i="1"/>
  <c r="B4711" i="1"/>
  <c r="A5158" i="1"/>
  <c r="B5158" i="1"/>
  <c r="A5159" i="1"/>
  <c r="B5159" i="1"/>
  <c r="A5160" i="1"/>
  <c r="B5160" i="1"/>
  <c r="A4862" i="1"/>
  <c r="B4862" i="1"/>
  <c r="A4863" i="1"/>
  <c r="B4863" i="1"/>
  <c r="A5299" i="1"/>
  <c r="B5299" i="1"/>
  <c r="A5300" i="1"/>
  <c r="B5300" i="1"/>
  <c r="A4864" i="1"/>
  <c r="B4864" i="1"/>
  <c r="A5256" i="1"/>
  <c r="B5256" i="1"/>
  <c r="A4919" i="1"/>
  <c r="B4919" i="1"/>
  <c r="A5301" i="1"/>
  <c r="B5301" i="1"/>
  <c r="A5022" i="1"/>
  <c r="B5022" i="1"/>
  <c r="A4865" i="1"/>
  <c r="B4865" i="1"/>
  <c r="A4866" i="1"/>
  <c r="B4866" i="1"/>
  <c r="A5077" i="1"/>
  <c r="B5077" i="1"/>
  <c r="A4867" i="1"/>
  <c r="B4867" i="1"/>
  <c r="A4803" i="1"/>
  <c r="B4803" i="1"/>
  <c r="A4928" i="1"/>
  <c r="B4928" i="1"/>
  <c r="A5257" i="1"/>
  <c r="B5257" i="1"/>
  <c r="A4804" i="1"/>
  <c r="B4804" i="1"/>
  <c r="A5023" i="1"/>
  <c r="B5023" i="1"/>
  <c r="A5078" i="1"/>
  <c r="B5078" i="1"/>
  <c r="A5024" i="1"/>
  <c r="B5024" i="1"/>
  <c r="A5079" i="1"/>
  <c r="B5079" i="1"/>
  <c r="A4868" i="1"/>
  <c r="B4868" i="1"/>
  <c r="A4869" i="1"/>
  <c r="B4869" i="1"/>
  <c r="A5025" i="1"/>
  <c r="B5025" i="1"/>
  <c r="A5026" i="1"/>
  <c r="B5026" i="1"/>
  <c r="A5027" i="1"/>
  <c r="B5027" i="1"/>
  <c r="A5258" i="1"/>
  <c r="B5258" i="1"/>
  <c r="A5259" i="1"/>
  <c r="B5259" i="1"/>
  <c r="A5302" i="1"/>
  <c r="B5302" i="1"/>
  <c r="A5303" i="1"/>
  <c r="B5303" i="1"/>
  <c r="A5080" i="1"/>
  <c r="B5080" i="1"/>
  <c r="A4870" i="1"/>
  <c r="B4870" i="1"/>
  <c r="A4871" i="1"/>
  <c r="B4871" i="1"/>
  <c r="A4872" i="1"/>
  <c r="B4872" i="1"/>
  <c r="A5081" i="1"/>
  <c r="B5081" i="1"/>
  <c r="A5161" i="1"/>
  <c r="B5161" i="1"/>
  <c r="A5162" i="1"/>
  <c r="B5162" i="1"/>
  <c r="A5163" i="1"/>
  <c r="B5163" i="1"/>
  <c r="A5164" i="1"/>
  <c r="B5164" i="1"/>
  <c r="A4805" i="1"/>
  <c r="B4805" i="1"/>
  <c r="A4806" i="1"/>
  <c r="B4806" i="1"/>
  <c r="A4807" i="1"/>
  <c r="B4807" i="1"/>
  <c r="A5260" i="1"/>
  <c r="B5260" i="1"/>
  <c r="A5103" i="1"/>
  <c r="B5103" i="1"/>
  <c r="A5261" i="1"/>
  <c r="B5261" i="1"/>
  <c r="A5165" i="1"/>
  <c r="B5165" i="1"/>
  <c r="A5166" i="1"/>
  <c r="B5166" i="1"/>
  <c r="A5167" i="1"/>
  <c r="B5167" i="1"/>
  <c r="A5168" i="1"/>
  <c r="B5168" i="1"/>
  <c r="A5082" i="1"/>
  <c r="B5082" i="1"/>
  <c r="A5083" i="1"/>
  <c r="B5083" i="1"/>
  <c r="A4685" i="1"/>
  <c r="B4685" i="1"/>
  <c r="A4686" i="1"/>
  <c r="B4686" i="1"/>
  <c r="A5028" i="1"/>
  <c r="B5028" i="1"/>
  <c r="A4687" i="1"/>
  <c r="B4687" i="1"/>
  <c r="A4712" i="1"/>
  <c r="B4712" i="1"/>
  <c r="A4713" i="1"/>
  <c r="B4713" i="1"/>
  <c r="A5104" i="1"/>
  <c r="B5104" i="1"/>
  <c r="A5029" i="1"/>
  <c r="B5029" i="1"/>
  <c r="A5169" i="1"/>
  <c r="B5169" i="1"/>
  <c r="A4714" i="1"/>
  <c r="B4714" i="1"/>
  <c r="A5170" i="1"/>
  <c r="B5170" i="1"/>
  <c r="A5171" i="1"/>
  <c r="B5171" i="1"/>
  <c r="A4688" i="1"/>
  <c r="B4688" i="1"/>
  <c r="A5172" i="1"/>
  <c r="B5172" i="1"/>
  <c r="A4808" i="1"/>
  <c r="B4808" i="1"/>
  <c r="A4873" i="1"/>
  <c r="B4873" i="1"/>
  <c r="A5200" i="1"/>
  <c r="B5200" i="1"/>
  <c r="A4874" i="1"/>
  <c r="B4874" i="1"/>
  <c r="A4809" i="1"/>
  <c r="B4809" i="1"/>
  <c r="A4689" i="1"/>
  <c r="B4689" i="1"/>
  <c r="A4715" i="1"/>
  <c r="B4715" i="1"/>
  <c r="A5030" i="1"/>
  <c r="B5030" i="1"/>
  <c r="A4690" i="1"/>
  <c r="B4690" i="1"/>
  <c r="A4691" i="1"/>
  <c r="B4691" i="1"/>
  <c r="A4929" i="1"/>
  <c r="B4929" i="1"/>
  <c r="A4692" i="1"/>
  <c r="B4692" i="1"/>
  <c r="A5201" i="1"/>
  <c r="B5201" i="1"/>
  <c r="A5031" i="1"/>
  <c r="B5031" i="1"/>
  <c r="A5032" i="1"/>
  <c r="B5032" i="1"/>
  <c r="A5202" i="1"/>
  <c r="B5202" i="1"/>
  <c r="A5033" i="1"/>
  <c r="B5033" i="1"/>
  <c r="A4716" i="1"/>
  <c r="B4716" i="1"/>
  <c r="A5304" i="1"/>
  <c r="B5304" i="1"/>
  <c r="A4693" i="1"/>
  <c r="B4693" i="1"/>
  <c r="A4694" i="1"/>
  <c r="B4694" i="1"/>
  <c r="A4695" i="1"/>
  <c r="B4695" i="1"/>
  <c r="A4696" i="1"/>
  <c r="B4696" i="1"/>
  <c r="A4697" i="1"/>
  <c r="B4697" i="1"/>
  <c r="A5173" i="1"/>
  <c r="B5173" i="1"/>
  <c r="A5174" i="1"/>
  <c r="B5174" i="1"/>
  <c r="A5105" i="1"/>
  <c r="B5105" i="1"/>
  <c r="A4810" i="1"/>
  <c r="B4810" i="1"/>
  <c r="A4698" i="1"/>
  <c r="B4698" i="1"/>
  <c r="A4717" i="1"/>
  <c r="B4717" i="1"/>
  <c r="A4718" i="1"/>
  <c r="B4718" i="1"/>
  <c r="A4756" i="1"/>
  <c r="B4756" i="1"/>
  <c r="A4839" i="1"/>
  <c r="B4839" i="1"/>
  <c r="A4930" i="1"/>
  <c r="B4930" i="1"/>
  <c r="A5016" i="1"/>
  <c r="B5016" i="1"/>
  <c r="A5262" i="1"/>
  <c r="B5262" i="1"/>
  <c r="A4699" i="1"/>
  <c r="B4699" i="1"/>
  <c r="A5203" i="1"/>
  <c r="B5203" i="1"/>
  <c r="A5204" i="1"/>
  <c r="B5204" i="1"/>
  <c r="A5305" i="1"/>
  <c r="B5305" i="1"/>
  <c r="A5263" i="1"/>
  <c r="B5263" i="1"/>
  <c r="A5264" i="1"/>
  <c r="B5264" i="1"/>
  <c r="A4931" i="1"/>
  <c r="B4931" i="1"/>
  <c r="A4840" i="1"/>
  <c r="B4840" i="1"/>
  <c r="A4841" i="1"/>
  <c r="B4841" i="1"/>
  <c r="A5205" i="1"/>
  <c r="B5205" i="1"/>
  <c r="A4811" i="1"/>
  <c r="B4811" i="1"/>
  <c r="A4812" i="1"/>
  <c r="B4812" i="1"/>
  <c r="A5084" i="1"/>
  <c r="B5084" i="1"/>
  <c r="A5085" i="1"/>
  <c r="B5085" i="1"/>
  <c r="A5086" i="1"/>
  <c r="B5086" i="1"/>
  <c r="A5206" i="1"/>
  <c r="B5206" i="1"/>
  <c r="A4813" i="1"/>
  <c r="B4813" i="1"/>
  <c r="A5207" i="1"/>
  <c r="B5207" i="1"/>
  <c r="A4814" i="1"/>
  <c r="B4814" i="1"/>
  <c r="A4815" i="1"/>
  <c r="B4815" i="1"/>
  <c r="A4932" i="1"/>
  <c r="B4932" i="1"/>
  <c r="A5288" i="1"/>
  <c r="B5288" i="1"/>
  <c r="A4700" i="1"/>
  <c r="B4700" i="1"/>
  <c r="A5004" i="1"/>
  <c r="B5004" i="1"/>
  <c r="A5265" i="1"/>
  <c r="B5265" i="1"/>
  <c r="A5087" i="1"/>
  <c r="B5087" i="1"/>
  <c r="A5266" i="1"/>
  <c r="B5266" i="1"/>
  <c r="A5267" i="1"/>
  <c r="B5267" i="1"/>
  <c r="A4757" i="1"/>
  <c r="B4757" i="1"/>
  <c r="A5208" i="1"/>
  <c r="B5208" i="1"/>
  <c r="A5209" i="1"/>
  <c r="B5209" i="1"/>
  <c r="A5175" i="1"/>
  <c r="B5175" i="1"/>
  <c r="A4983" i="1"/>
  <c r="B4983" i="1"/>
  <c r="A5210" i="1"/>
  <c r="B5210" i="1"/>
  <c r="A4984" i="1"/>
  <c r="B4984" i="1"/>
  <c r="A5106" i="1"/>
  <c r="B5106" i="1"/>
  <c r="A5211" i="1"/>
  <c r="B5211" i="1"/>
  <c r="A5107" i="1"/>
  <c r="B5107" i="1"/>
  <c r="A4842" i="1"/>
  <c r="B4842" i="1"/>
  <c r="A4985" i="1"/>
  <c r="B4985" i="1"/>
  <c r="A4986" i="1"/>
  <c r="B4986" i="1"/>
  <c r="A5212" i="1"/>
  <c r="B5212" i="1"/>
  <c r="A4987" i="1"/>
  <c r="B4987" i="1"/>
  <c r="A5213" i="1"/>
  <c r="B5213" i="1"/>
  <c r="A5214" i="1"/>
  <c r="B5214" i="1"/>
  <c r="A5215" i="1"/>
  <c r="B5215" i="1"/>
  <c r="A5042" i="1"/>
  <c r="B5042" i="1"/>
  <c r="A5268" i="1"/>
  <c r="B5268" i="1"/>
  <c r="A4758" i="1"/>
  <c r="B4758" i="1"/>
  <c r="A5108" i="1"/>
  <c r="B5108" i="1"/>
  <c r="A4780" i="1"/>
  <c r="B4780" i="1"/>
  <c r="A4781" i="1"/>
  <c r="B4781" i="1"/>
  <c r="A4843" i="1"/>
  <c r="B4843" i="1"/>
  <c r="A5216" i="1"/>
  <c r="B5216" i="1"/>
  <c r="A4920" i="1"/>
  <c r="B4920" i="1"/>
  <c r="A5005" i="1"/>
  <c r="B5005" i="1"/>
  <c r="A5034" i="1"/>
  <c r="B5034" i="1"/>
  <c r="A5269" i="1"/>
  <c r="B5269" i="1"/>
  <c r="A5270" i="1"/>
  <c r="B5270" i="1"/>
  <c r="A5217" i="1"/>
  <c r="B5217" i="1"/>
  <c r="A5115" i="1"/>
  <c r="B5115" i="1"/>
  <c r="A5109" i="1"/>
  <c r="B5109" i="1"/>
  <c r="A5306" i="1"/>
  <c r="B5306" i="1"/>
  <c r="A5307" i="1"/>
  <c r="B5307" i="1"/>
  <c r="A5308" i="1"/>
  <c r="B5308" i="1"/>
  <c r="A5309" i="1"/>
  <c r="B5309" i="1"/>
  <c r="A5218" i="1"/>
  <c r="B5218" i="1"/>
  <c r="A5043" i="1"/>
  <c r="B5043" i="1"/>
  <c r="A5289" i="1"/>
  <c r="B5289" i="1"/>
  <c r="A5088" i="1"/>
  <c r="B5088" i="1"/>
  <c r="A5116" i="1"/>
  <c r="B5116" i="1"/>
  <c r="A4723" i="1"/>
  <c r="B4723" i="1"/>
  <c r="A5219" i="1"/>
  <c r="B5219" i="1"/>
  <c r="A4816" i="1"/>
  <c r="B4816" i="1"/>
  <c r="A5220" i="1"/>
  <c r="B5220" i="1"/>
  <c r="A5035" i="1"/>
  <c r="B5035" i="1"/>
  <c r="A5044" i="1"/>
  <c r="B5044" i="1"/>
  <c r="A5045" i="1"/>
  <c r="B5045" i="1"/>
  <c r="A4724" i="1"/>
  <c r="B4724" i="1"/>
  <c r="A4817" i="1"/>
  <c r="B4817" i="1"/>
  <c r="A4818" i="1"/>
  <c r="B4818" i="1"/>
  <c r="A4819" i="1"/>
  <c r="B4819" i="1"/>
  <c r="A4820" i="1"/>
  <c r="B4820" i="1"/>
  <c r="A4821" i="1"/>
  <c r="B4821" i="1"/>
  <c r="A4844" i="1"/>
  <c r="B4844" i="1"/>
  <c r="A5117" i="1"/>
  <c r="B5117" i="1"/>
  <c r="A4988" i="1"/>
  <c r="B4988" i="1"/>
  <c r="A4933" i="1"/>
  <c r="B4933" i="1"/>
  <c r="A4989" i="1"/>
  <c r="B4989" i="1"/>
  <c r="A4990" i="1"/>
  <c r="B4990" i="1"/>
  <c r="A5271" i="1"/>
  <c r="B5271" i="1"/>
  <c r="A4701" i="1"/>
  <c r="B4701" i="1"/>
  <c r="A5046" i="1"/>
  <c r="B5046" i="1"/>
  <c r="A5006" i="1"/>
  <c r="B5006" i="1"/>
  <c r="A5272" i="1"/>
  <c r="B5272" i="1"/>
  <c r="A5007" i="1"/>
  <c r="B5007" i="1"/>
  <c r="A5036" i="1"/>
  <c r="B5036" i="1"/>
  <c r="A4897" i="1"/>
  <c r="B4897" i="1"/>
  <c r="A4822" i="1"/>
  <c r="B4822" i="1"/>
  <c r="A4823" i="1"/>
  <c r="B4823" i="1"/>
  <c r="A5089" i="1"/>
  <c r="B5089" i="1"/>
  <c r="A4824" i="1"/>
  <c r="B4824" i="1"/>
  <c r="A4825" i="1"/>
  <c r="B4825" i="1"/>
  <c r="A4898" i="1"/>
  <c r="B4898" i="1"/>
  <c r="A4899" i="1"/>
  <c r="B4899" i="1"/>
  <c r="A5221" i="1"/>
  <c r="B5221" i="1"/>
  <c r="A4991" i="1"/>
  <c r="B4991" i="1"/>
  <c r="A4900" i="1"/>
  <c r="B4900" i="1"/>
  <c r="A4901" i="1"/>
  <c r="B4901" i="1"/>
  <c r="A4935" i="1"/>
  <c r="B4935" i="1"/>
  <c r="A4936" i="1"/>
  <c r="B4936" i="1"/>
  <c r="A5222" i="1"/>
  <c r="B5222" i="1"/>
  <c r="A4725" i="1"/>
  <c r="B4725" i="1"/>
  <c r="A5316" i="1"/>
  <c r="B5316" i="1"/>
  <c r="A4702" i="1"/>
  <c r="B4702" i="1"/>
  <c r="A5317" i="1"/>
  <c r="B5317" i="1"/>
  <c r="A5290" i="1"/>
  <c r="B5290" i="1"/>
  <c r="A5273" i="1"/>
  <c r="B5273" i="1"/>
  <c r="A5318" i="1"/>
  <c r="B5318" i="1"/>
  <c r="A5047" i="1"/>
  <c r="B5047" i="1"/>
  <c r="A4759" i="1"/>
  <c r="B4759" i="1"/>
  <c r="A5176" i="1"/>
  <c r="B5176" i="1"/>
  <c r="A5177" i="1"/>
  <c r="B5177" i="1"/>
  <c r="A4782" i="1"/>
  <c r="B4782" i="1"/>
  <c r="A4937" i="1"/>
  <c r="B4937" i="1"/>
  <c r="A4992" i="1"/>
  <c r="B4992" i="1"/>
  <c r="A4826" i="1"/>
  <c r="B4826" i="1"/>
  <c r="A4827" i="1"/>
  <c r="B4827" i="1"/>
  <c r="A4828" i="1"/>
  <c r="B4828" i="1"/>
  <c r="A4829" i="1"/>
  <c r="B4829" i="1"/>
  <c r="A5223" i="1"/>
  <c r="B5223" i="1"/>
  <c r="A4726" i="1"/>
  <c r="B4726" i="1"/>
  <c r="A4830" i="1"/>
  <c r="B4830" i="1"/>
  <c r="A5224" i="1"/>
  <c r="B5224" i="1"/>
  <c r="A5118" i="1"/>
  <c r="B5118" i="1"/>
  <c r="A4831" i="1"/>
  <c r="B4831" i="1"/>
  <c r="A4938" i="1"/>
  <c r="B4938" i="1"/>
  <c r="A5119" i="1"/>
  <c r="B5119" i="1"/>
  <c r="A4939" i="1"/>
  <c r="B4939" i="1"/>
  <c r="A4940" i="1"/>
  <c r="B4940" i="1"/>
  <c r="A5120" i="1"/>
  <c r="B5120" i="1"/>
  <c r="A5121" i="1"/>
  <c r="B5121" i="1"/>
  <c r="A5122" i="1"/>
  <c r="B5122" i="1"/>
  <c r="A5310" i="1"/>
  <c r="B5310" i="1"/>
  <c r="A5225" i="1"/>
  <c r="B5225" i="1"/>
  <c r="A5048" i="1"/>
  <c r="B5048" i="1"/>
  <c r="A5049" i="1"/>
  <c r="B5049" i="1"/>
  <c r="A4703" i="1"/>
  <c r="B4703" i="1"/>
  <c r="A5226" i="1"/>
  <c r="B5226" i="1"/>
  <c r="A4727" i="1"/>
  <c r="B4727" i="1"/>
  <c r="A5017" i="1"/>
  <c r="B5017" i="1"/>
  <c r="A4934" i="1"/>
  <c r="B4934" i="1"/>
  <c r="A5037" i="1"/>
  <c r="B5037" i="1"/>
  <c r="A4941" i="1"/>
  <c r="B4941" i="1"/>
  <c r="A4942" i="1"/>
  <c r="B4942" i="1"/>
  <c r="A5227" i="1"/>
  <c r="B5227" i="1"/>
  <c r="A4728" i="1"/>
  <c r="B4728" i="1"/>
  <c r="A4943" i="1"/>
  <c r="B4943" i="1"/>
  <c r="A5319" i="1"/>
  <c r="B5319" i="1"/>
  <c r="A5123" i="1"/>
  <c r="B5123" i="1"/>
  <c r="A5110" i="1"/>
  <c r="B5110" i="1"/>
  <c r="A5124" i="1"/>
  <c r="B5124" i="1"/>
  <c r="A5125" i="1"/>
  <c r="B5125" i="1"/>
  <c r="A5311" i="1"/>
  <c r="B5311" i="1"/>
  <c r="A4944" i="1"/>
  <c r="B4944" i="1"/>
  <c r="A4945" i="1"/>
  <c r="B4945" i="1"/>
  <c r="A5178" i="1"/>
  <c r="B5178" i="1"/>
  <c r="A4946" i="1"/>
  <c r="B4946" i="1"/>
  <c r="A5228" i="1"/>
  <c r="B5228" i="1"/>
  <c r="A5179" i="1"/>
  <c r="B5179" i="1"/>
  <c r="A4729" i="1"/>
  <c r="B4729" i="1"/>
  <c r="A5229" i="1"/>
  <c r="B5229" i="1"/>
  <c r="A5180" i="1"/>
  <c r="B5180" i="1"/>
  <c r="A5008" i="1"/>
  <c r="B5008" i="1"/>
  <c r="A5291" i="1"/>
  <c r="B5291" i="1"/>
  <c r="A5181" i="1"/>
  <c r="B5181" i="1"/>
  <c r="A5182" i="1"/>
  <c r="B5182" i="1"/>
  <c r="A5183" i="1"/>
  <c r="B5183" i="1"/>
  <c r="A5230" i="1"/>
  <c r="B5230" i="1"/>
  <c r="A5231" i="1"/>
  <c r="B5231" i="1"/>
  <c r="A5009" i="1"/>
  <c r="B5009" i="1"/>
  <c r="A5050" i="1"/>
  <c r="B5050" i="1"/>
  <c r="A4845" i="1"/>
  <c r="B4845" i="1"/>
  <c r="A4760" i="1"/>
  <c r="B4760" i="1"/>
  <c r="A4783" i="1"/>
  <c r="B4783" i="1"/>
  <c r="A5184" i="1"/>
  <c r="B5184" i="1"/>
  <c r="A4999" i="1"/>
  <c r="B4999" i="1"/>
  <c r="A4947" i="1"/>
  <c r="B4947" i="1"/>
  <c r="A4876" i="1"/>
  <c r="B4876" i="1"/>
  <c r="A4948" i="1"/>
  <c r="B4948" i="1"/>
  <c r="A4949" i="1"/>
  <c r="B4949" i="1"/>
  <c r="A5185" i="1"/>
  <c r="B5185" i="1"/>
  <c r="A4902" i="1"/>
  <c r="B4902" i="1"/>
  <c r="A4950" i="1"/>
  <c r="B4950" i="1"/>
  <c r="A4993" i="1"/>
  <c r="B4993" i="1"/>
  <c r="A5186" i="1"/>
  <c r="B5186" i="1"/>
  <c r="A4877" i="1"/>
  <c r="B4877" i="1"/>
  <c r="A4761" i="1"/>
  <c r="B4761" i="1"/>
  <c r="A4762" i="1"/>
  <c r="B4762" i="1"/>
  <c r="A4784" i="1"/>
  <c r="B4784" i="1"/>
  <c r="A5126" i="1"/>
  <c r="B5126" i="1"/>
  <c r="A5127" i="1"/>
  <c r="B5127" i="1"/>
  <c r="A5232" i="1"/>
  <c r="B5232" i="1"/>
  <c r="A5128" i="1"/>
  <c r="B5128" i="1"/>
  <c r="A5051" i="1"/>
  <c r="B5051" i="1"/>
  <c r="A4921" i="1"/>
  <c r="B4921" i="1"/>
  <c r="A5233" i="1"/>
  <c r="B5233" i="1"/>
  <c r="A5052" i="1"/>
  <c r="B5052" i="1"/>
  <c r="A5292" i="1"/>
  <c r="B5292" i="1"/>
  <c r="A5053" i="1"/>
  <c r="B5053" i="1"/>
  <c r="A5234" i="1"/>
  <c r="B5234" i="1"/>
  <c r="A4878" i="1"/>
  <c r="B4878" i="1"/>
  <c r="A4879" i="1"/>
  <c r="B4879" i="1"/>
  <c r="A4763" i="1"/>
  <c r="B4763" i="1"/>
  <c r="A4880" i="1"/>
  <c r="B4880" i="1"/>
  <c r="A4720" i="1"/>
  <c r="B4720" i="1"/>
  <c r="A4764" i="1"/>
  <c r="B4764" i="1"/>
  <c r="A4881" i="1"/>
  <c r="B4881" i="1"/>
  <c r="A4730" i="1"/>
  <c r="B4730" i="1"/>
  <c r="A4875" i="1"/>
  <c r="B4875" i="1"/>
  <c r="A5187" i="1"/>
  <c r="B5187" i="1"/>
  <c r="A5188" i="1"/>
  <c r="B5188" i="1"/>
  <c r="A5189" i="1"/>
  <c r="B5189" i="1"/>
  <c r="A5190" i="1"/>
  <c r="B5190" i="1"/>
  <c r="A5191" i="1"/>
  <c r="B5191" i="1"/>
  <c r="A5320" i="1"/>
  <c r="B5320" i="1"/>
  <c r="A5000" i="1"/>
  <c r="B5000" i="1"/>
  <c r="A5321" i="1"/>
  <c r="B5321" i="1"/>
  <c r="A4785" i="1"/>
  <c r="B4785" i="1"/>
  <c r="A4832" i="1"/>
  <c r="B4832" i="1"/>
  <c r="A5235" i="1"/>
  <c r="B5235" i="1"/>
  <c r="A4833" i="1"/>
  <c r="B4833" i="1"/>
  <c r="A4834" i="1"/>
  <c r="B4834" i="1"/>
  <c r="A5236" i="1"/>
  <c r="B5236" i="1"/>
  <c r="A5010" i="1"/>
  <c r="B5010" i="1"/>
  <c r="A4951" i="1"/>
  <c r="B4951" i="1"/>
  <c r="A4846" i="1"/>
  <c r="B4846" i="1"/>
  <c r="A4952" i="1"/>
  <c r="B4952" i="1"/>
  <c r="A4835" i="1"/>
  <c r="B4835" i="1"/>
  <c r="A4953" i="1"/>
  <c r="B4953" i="1"/>
  <c r="A4765" i="1"/>
  <c r="B4765" i="1"/>
  <c r="A5011" i="1"/>
  <c r="B5011" i="1"/>
  <c r="A4731" i="1"/>
  <c r="B4731" i="1"/>
  <c r="A5054" i="1"/>
  <c r="B5054" i="1"/>
  <c r="A4954" i="1"/>
  <c r="B4954" i="1"/>
  <c r="A4768" i="1"/>
  <c r="B4768" i="1"/>
  <c r="A4704" i="1"/>
  <c r="B4704" i="1"/>
  <c r="A4882" i="1"/>
  <c r="B4882" i="1"/>
  <c r="A4883" i="1"/>
  <c r="B4883" i="1"/>
  <c r="A4884" i="1"/>
  <c r="B4884" i="1"/>
  <c r="A4885" i="1"/>
  <c r="B4885" i="1"/>
  <c r="A4886" i="1"/>
  <c r="B4886" i="1"/>
  <c r="A4887" i="1"/>
  <c r="B4887" i="1"/>
  <c r="A4786" i="1"/>
  <c r="B4786" i="1"/>
  <c r="A4787" i="1"/>
  <c r="B4787" i="1"/>
  <c r="A5312" i="1"/>
  <c r="B5312" i="1"/>
  <c r="A4788" i="1"/>
  <c r="B4788" i="1"/>
  <c r="A5237" i="1"/>
  <c r="B5237" i="1"/>
  <c r="A5129" i="1"/>
  <c r="B5129" i="1"/>
  <c r="A4732" i="1"/>
  <c r="B4732" i="1"/>
  <c r="A5130" i="1"/>
  <c r="B5130" i="1"/>
  <c r="A4789" i="1"/>
  <c r="B4789" i="1"/>
  <c r="A4888" i="1"/>
  <c r="B4888" i="1"/>
  <c r="A5238" i="1"/>
  <c r="B5238" i="1"/>
  <c r="A5001" i="1"/>
  <c r="B5001" i="1"/>
  <c r="A4721" i="1"/>
  <c r="B4721" i="1"/>
  <c r="A4733" i="1"/>
  <c r="B4733" i="1"/>
  <c r="A5090" i="1"/>
  <c r="B5090" i="1"/>
  <c r="A5239" i="1"/>
  <c r="B5239" i="1"/>
  <c r="A5274" i="1"/>
  <c r="B5274" i="1"/>
  <c r="A4769" i="1"/>
  <c r="B4769" i="1"/>
  <c r="A5055" i="1"/>
  <c r="B5055" i="1"/>
  <c r="A4770" i="1"/>
  <c r="B4770" i="1"/>
  <c r="A5056" i="1"/>
  <c r="B5056" i="1"/>
  <c r="A5192" i="1"/>
  <c r="B5192" i="1"/>
  <c r="A5193" i="1"/>
  <c r="B5193" i="1"/>
  <c r="A4955" i="1"/>
  <c r="B4955" i="1"/>
  <c r="A4956" i="1"/>
  <c r="B4956" i="1"/>
  <c r="A4734" i="1"/>
  <c r="B4734" i="1"/>
  <c r="A5194" i="1"/>
  <c r="B5194" i="1"/>
  <c r="A5012" i="1"/>
  <c r="B5012" i="1"/>
  <c r="A5057" i="1"/>
  <c r="B5057" i="1"/>
  <c r="A5013" i="1"/>
  <c r="B5013" i="1"/>
  <c r="A5058" i="1"/>
  <c r="B5058" i="1"/>
  <c r="A5018" i="1"/>
  <c r="B5018" i="1"/>
  <c r="A5059" i="1"/>
  <c r="B5059" i="1"/>
  <c r="A5195" i="1"/>
  <c r="B5195" i="1"/>
  <c r="A4847" i="1"/>
  <c r="B4847" i="1"/>
  <c r="A5196" i="1"/>
  <c r="B5196" i="1"/>
  <c r="A4735" i="1"/>
  <c r="B4735" i="1"/>
  <c r="A5019" i="1"/>
  <c r="B5019" i="1"/>
  <c r="A5275" i="1"/>
  <c r="B5275" i="1"/>
  <c r="A5197" i="1"/>
  <c r="B5197" i="1"/>
  <c r="A5060" i="1"/>
  <c r="B5060" i="1"/>
  <c r="A4957" i="1"/>
  <c r="B4957" i="1"/>
  <c r="A5276" i="1"/>
  <c r="B5276" i="1"/>
  <c r="A4958" i="1"/>
  <c r="B4958" i="1"/>
  <c r="A4959" i="1"/>
  <c r="B4959" i="1"/>
  <c r="A4960" i="1"/>
  <c r="B4960" i="1"/>
  <c r="A5002" i="1"/>
  <c r="B5002" i="1"/>
  <c r="A4961" i="1"/>
  <c r="B4961" i="1"/>
  <c r="A4962" i="1"/>
  <c r="B4962" i="1"/>
  <c r="A4889" i="1"/>
  <c r="B4889" i="1"/>
  <c r="A4771" i="1"/>
  <c r="B4771" i="1"/>
  <c r="A5277" i="1"/>
  <c r="B5277" i="1"/>
  <c r="A4848" i="1"/>
  <c r="B4848" i="1"/>
  <c r="A4849" i="1"/>
  <c r="B4849" i="1"/>
  <c r="A5198" i="1"/>
  <c r="B5198" i="1"/>
  <c r="A4850" i="1"/>
  <c r="B4850" i="1"/>
  <c r="A4736" i="1"/>
  <c r="B4736" i="1"/>
  <c r="A5199" i="1"/>
  <c r="B5199" i="1"/>
  <c r="A4737" i="1"/>
  <c r="B4737" i="1"/>
  <c r="A5003" i="1"/>
  <c r="B5003" i="1"/>
  <c r="A5278" i="1"/>
  <c r="B5278" i="1"/>
  <c r="A5293" i="1"/>
  <c r="B5293" i="1"/>
  <c r="A4851" i="1"/>
  <c r="B4851" i="1"/>
  <c r="A4852" i="1"/>
  <c r="B4852" i="1"/>
  <c r="A4853" i="1"/>
  <c r="B4853" i="1"/>
  <c r="A5061" i="1"/>
  <c r="B5061" i="1"/>
  <c r="A5313" i="1"/>
  <c r="B5313" i="1"/>
  <c r="A4772" i="1"/>
  <c r="B4772" i="1"/>
  <c r="A5062" i="1"/>
  <c r="B5062" i="1"/>
  <c r="A4890" i="1"/>
  <c r="B4890" i="1"/>
  <c r="A5322" i="1"/>
  <c r="B5322" i="1"/>
  <c r="A5323" i="1"/>
  <c r="B5323" i="1"/>
  <c r="A5314" i="1"/>
  <c r="B5314" i="1"/>
  <c r="A5131" i="1"/>
  <c r="B5131" i="1"/>
  <c r="A5132" i="1"/>
  <c r="B5132" i="1"/>
  <c r="A5133" i="1"/>
  <c r="B5133" i="1"/>
  <c r="A4773" i="1"/>
  <c r="B4773" i="1"/>
  <c r="A5063" i="1"/>
  <c r="B5063" i="1"/>
  <c r="A4836" i="1"/>
  <c r="B4836" i="1"/>
  <c r="A5240" i="1"/>
  <c r="B5240" i="1"/>
  <c r="A4837" i="1"/>
  <c r="B4837" i="1"/>
  <c r="A4738" i="1"/>
  <c r="B4738" i="1"/>
  <c r="A4838" i="1"/>
  <c r="B4838" i="1"/>
  <c r="A4774" i="1"/>
  <c r="B4774" i="1"/>
  <c r="A4739" i="1"/>
  <c r="B4739" i="1"/>
  <c r="A4790" i="1"/>
  <c r="B4790" i="1"/>
  <c r="A5014" i="1"/>
  <c r="B5014" i="1"/>
  <c r="A4854" i="1"/>
  <c r="B4854" i="1"/>
  <c r="A4903" i="1"/>
  <c r="B4903" i="1"/>
  <c r="A4963" i="1"/>
  <c r="B4963" i="1"/>
  <c r="A4740" i="1"/>
  <c r="B4740" i="1"/>
  <c r="A4891" i="1"/>
  <c r="B4891" i="1"/>
  <c r="A4964" i="1"/>
  <c r="B4964" i="1"/>
  <c r="A4965" i="1"/>
  <c r="B4965" i="1"/>
  <c r="A4966" i="1"/>
  <c r="B4966" i="1"/>
  <c r="A4967" i="1"/>
  <c r="B4967" i="1"/>
  <c r="A5064" i="1"/>
  <c r="B5064" i="1"/>
  <c r="A4855" i="1"/>
  <c r="B4855" i="1"/>
  <c r="A5091" i="1"/>
  <c r="B5091" i="1"/>
  <c r="A4856" i="1"/>
  <c r="B4856" i="1"/>
  <c r="A5065" i="1"/>
  <c r="B5065" i="1"/>
  <c r="A5092" i="1"/>
  <c r="B5092" i="1"/>
  <c r="A5038" i="1"/>
  <c r="B5038" i="1"/>
  <c r="A4968" i="1"/>
  <c r="B4968" i="1"/>
  <c r="A5039" i="1"/>
  <c r="B5039" i="1"/>
  <c r="A4775" i="1"/>
  <c r="B4775" i="1"/>
  <c r="A4969" i="1"/>
  <c r="B4969" i="1"/>
  <c r="A5040" i="1"/>
  <c r="B5040" i="1"/>
  <c r="A4970" i="1"/>
  <c r="B4970" i="1"/>
  <c r="A4741" i="1"/>
  <c r="B4741" i="1"/>
  <c r="A4776" i="1"/>
  <c r="B4776" i="1"/>
  <c r="A4971" i="1"/>
  <c r="B4971" i="1"/>
  <c r="A5066" i="1"/>
  <c r="B5066" i="1"/>
  <c r="A4972" i="1"/>
  <c r="B4972" i="1"/>
  <c r="A4973" i="1"/>
  <c r="B4973" i="1"/>
  <c r="A5111" i="1"/>
  <c r="B5111" i="1"/>
  <c r="A5112" i="1"/>
  <c r="B5112" i="1"/>
  <c r="A5113" i="1"/>
  <c r="B5113" i="1"/>
  <c r="A4994" i="1"/>
  <c r="B4994" i="1"/>
  <c r="A5134" i="1"/>
  <c r="B5134" i="1"/>
  <c r="A5135" i="1"/>
  <c r="B5135" i="1"/>
  <c r="A4791" i="1"/>
  <c r="B4791" i="1"/>
  <c r="A4742" i="1"/>
  <c r="B4742" i="1"/>
  <c r="A5041" i="1"/>
  <c r="B5041" i="1"/>
  <c r="A4777" i="1"/>
  <c r="B4777" i="1"/>
  <c r="A5093" i="1"/>
  <c r="B5093" i="1"/>
  <c r="A5136" i="1"/>
  <c r="B5136" i="1"/>
  <c r="A5114" i="1"/>
  <c r="B5114" i="1"/>
  <c r="A4743" i="1"/>
  <c r="B4743" i="1"/>
  <c r="A5315" i="1"/>
  <c r="B5315" i="1"/>
  <c r="A5137" i="1"/>
  <c r="B5137" i="1"/>
  <c r="A5324" i="1"/>
  <c r="B5324" i="1"/>
  <c r="A5325" i="1"/>
  <c r="B5325" i="1"/>
  <c r="A5326" i="1"/>
  <c r="B5326" i="1"/>
  <c r="A5242" i="1"/>
  <c r="B5242" i="1"/>
  <c r="A5245" i="1"/>
  <c r="B5245" i="1"/>
  <c r="A5246" i="1"/>
  <c r="B5246" i="1"/>
  <c r="A5294" i="1"/>
  <c r="B5294" i="1"/>
  <c r="A4778" i="1"/>
  <c r="B4778" i="1"/>
  <c r="A5015" i="1"/>
  <c r="B5015" i="1"/>
  <c r="A4779" i="1"/>
  <c r="B4779" i="1"/>
  <c r="A4995" i="1"/>
  <c r="B4995" i="1"/>
  <c r="A4974" i="1"/>
  <c r="B4974" i="1"/>
  <c r="A4975" i="1"/>
  <c r="B4975" i="1"/>
  <c r="A4976" i="1"/>
  <c r="B4976" i="1"/>
  <c r="A4996" i="1"/>
  <c r="B4996" i="1"/>
  <c r="A4792" i="1"/>
  <c r="B4792" i="1"/>
  <c r="A4977" i="1"/>
  <c r="B4977" i="1"/>
  <c r="A4978" i="1"/>
  <c r="B4978" i="1"/>
  <c r="A4793" i="1"/>
  <c r="B4793" i="1"/>
  <c r="A4997" i="1"/>
  <c r="B4997" i="1"/>
  <c r="A5295" i="1"/>
  <c r="B5295" i="1"/>
  <c r="A5067" i="1"/>
  <c r="B5067" i="1"/>
  <c r="A5068" i="1"/>
  <c r="B5068" i="1"/>
  <c r="A5069" i="1"/>
  <c r="B5069" i="1"/>
  <c r="A5070" i="1"/>
  <c r="B5070" i="1"/>
  <c r="A5071" i="1"/>
  <c r="B5071" i="1"/>
  <c r="A5072" i="1"/>
  <c r="B5072" i="1"/>
  <c r="A5073" i="1"/>
  <c r="B5073" i="1"/>
  <c r="A4979" i="1"/>
  <c r="B4979" i="1"/>
  <c r="A5074" i="1"/>
  <c r="B5074" i="1"/>
  <c r="A4980" i="1"/>
  <c r="B4980" i="1"/>
  <c r="A5075" i="1"/>
  <c r="B5075" i="1"/>
  <c r="A4981" i="1"/>
  <c r="B4981" i="1"/>
  <c r="A5076" i="1"/>
  <c r="B5076" i="1"/>
  <c r="A4982" i="1"/>
  <c r="B4982" i="1"/>
  <c r="A4998" i="1"/>
  <c r="B4998" i="1"/>
  <c r="A4892" i="1"/>
  <c r="B4892" i="1"/>
  <c r="A5241" i="1"/>
  <c r="B5241" i="1"/>
  <c r="A5279" i="1"/>
  <c r="B5279" i="1"/>
  <c r="A5280" i="1"/>
  <c r="B5280" i="1"/>
  <c r="A4744" i="1"/>
  <c r="B4744" i="1"/>
  <c r="A5281" i="1"/>
  <c r="B5281" i="1"/>
  <c r="A5282" i="1"/>
  <c r="B5282" i="1"/>
  <c r="A4745" i="1"/>
  <c r="B4745" i="1"/>
  <c r="A5094" i="1"/>
  <c r="B5094" i="1"/>
  <c r="A5095" i="1"/>
  <c r="B5095" i="1"/>
  <c r="A4746" i="1"/>
  <c r="B4746" i="1"/>
  <c r="A4747" i="1"/>
  <c r="B4747" i="1"/>
  <c r="A4748" i="1"/>
  <c r="B4748" i="1"/>
  <c r="A4749" i="1"/>
  <c r="B4749" i="1"/>
  <c r="A4750" i="1"/>
  <c r="B4750" i="1"/>
  <c r="A4722" i="1"/>
  <c r="B4722" i="1"/>
  <c r="A5283" i="1"/>
  <c r="B5283" i="1"/>
  <c r="A5284" i="1"/>
  <c r="B5284" i="1"/>
  <c r="A5285" i="1"/>
  <c r="B5285" i="1"/>
  <c r="A5286" i="1"/>
  <c r="B5286" i="1"/>
  <c r="A4893" i="1"/>
  <c r="B4893" i="1"/>
  <c r="A5096" i="1"/>
  <c r="B5096" i="1"/>
  <c r="A5097" i="1"/>
  <c r="B5097" i="1"/>
  <c r="A4894" i="1"/>
  <c r="B4894" i="1"/>
  <c r="A5243" i="1"/>
  <c r="B5243" i="1"/>
  <c r="A5247" i="1"/>
  <c r="B5247" i="1"/>
  <c r="A5098" i="1"/>
  <c r="B5098" i="1"/>
  <c r="A4751" i="1"/>
  <c r="B4751" i="1"/>
  <c r="A4752" i="1"/>
  <c r="B4752" i="1"/>
  <c r="A4794" i="1"/>
  <c r="B4794" i="1"/>
  <c r="A4795" i="1"/>
  <c r="B4795" i="1"/>
  <c r="A4766" i="1"/>
  <c r="B4766" i="1"/>
  <c r="A5244" i="1"/>
  <c r="B5244" i="1"/>
  <c r="A4895" i="1"/>
  <c r="B4895" i="1"/>
  <c r="A5138" i="1"/>
  <c r="B5138" i="1"/>
  <c r="A5287" i="1"/>
  <c r="B5287" i="1"/>
  <c r="A4796" i="1"/>
  <c r="B4796" i="1"/>
  <c r="A4767" i="1"/>
  <c r="B4767" i="1"/>
  <c r="A4896" i="1"/>
  <c r="B4896" i="1"/>
  <c r="A5248" i="1"/>
  <c r="B5248" i="1"/>
  <c r="A5249" i="1"/>
  <c r="B5249" i="1"/>
  <c r="A5250" i="1"/>
  <c r="B5250" i="1"/>
  <c r="A4753" i="1"/>
  <c r="B4753" i="1"/>
  <c r="A5099" i="1"/>
  <c r="B5099" i="1"/>
  <c r="A4754" i="1"/>
  <c r="B4754" i="1"/>
  <c r="A4755" i="1"/>
  <c r="B4755" i="1"/>
  <c r="A5606" i="1"/>
  <c r="B5606" i="1"/>
  <c r="A5607" i="1"/>
  <c r="B5607" i="1"/>
  <c r="A5608" i="1"/>
  <c r="B5608" i="1"/>
  <c r="A5609" i="1"/>
  <c r="B5609" i="1"/>
  <c r="A5421" i="1"/>
  <c r="B5421" i="1"/>
  <c r="A5610" i="1"/>
  <c r="B5610" i="1"/>
  <c r="A5611" i="1"/>
  <c r="B5611" i="1"/>
  <c r="A5612" i="1"/>
  <c r="B5612" i="1"/>
  <c r="A5545" i="1"/>
  <c r="B5545" i="1"/>
  <c r="A5832" i="1"/>
  <c r="B5832" i="1"/>
  <c r="A5422" i="1"/>
  <c r="B5422" i="1"/>
  <c r="A5546" i="1"/>
  <c r="B5546" i="1"/>
  <c r="A5327" i="1"/>
  <c r="B5327" i="1"/>
  <c r="A5423" i="1"/>
  <c r="B5423" i="1"/>
  <c r="A5328" i="1"/>
  <c r="B5328" i="1"/>
  <c r="A5424" i="1"/>
  <c r="B5424" i="1"/>
  <c r="A5329" i="1"/>
  <c r="B5329" i="1"/>
  <c r="A5330" i="1"/>
  <c r="B5330" i="1"/>
  <c r="A5331" i="1"/>
  <c r="B5331" i="1"/>
  <c r="A5499" i="1"/>
  <c r="B5499" i="1"/>
  <c r="A5500" i="1"/>
  <c r="B5500" i="1"/>
  <c r="A5613" i="1"/>
  <c r="B5613" i="1"/>
  <c r="A5614" i="1"/>
  <c r="B5614" i="1"/>
  <c r="A5615" i="1"/>
  <c r="B5615" i="1"/>
  <c r="A5332" i="1"/>
  <c r="B5332" i="1"/>
  <c r="A5333" i="1"/>
  <c r="B5333" i="1"/>
  <c r="A5334" i="1"/>
  <c r="B5334" i="1"/>
  <c r="A5501" i="1"/>
  <c r="B5501" i="1"/>
  <c r="A5425" i="1"/>
  <c r="B5425" i="1"/>
  <c r="A5335" i="1"/>
  <c r="B5335" i="1"/>
  <c r="A5336" i="1"/>
  <c r="B5336" i="1"/>
  <c r="A5337" i="1"/>
  <c r="B5337" i="1"/>
  <c r="A5338" i="1"/>
  <c r="B5338" i="1"/>
  <c r="A5547" i="1"/>
  <c r="B5547" i="1"/>
  <c r="A5616" i="1"/>
  <c r="B5616" i="1"/>
  <c r="A5548" i="1"/>
  <c r="B5548" i="1"/>
  <c r="A5617" i="1"/>
  <c r="B5617" i="1"/>
  <c r="A5502" i="1"/>
  <c r="B5502" i="1"/>
  <c r="A5426" i="1"/>
  <c r="B5426" i="1"/>
  <c r="A5339" i="1"/>
  <c r="B5339" i="1"/>
  <c r="A5427" i="1"/>
  <c r="B5427" i="1"/>
  <c r="A5428" i="1"/>
  <c r="B5428" i="1"/>
  <c r="A5429" i="1"/>
  <c r="B5429" i="1"/>
  <c r="A5549" i="1"/>
  <c r="B5549" i="1"/>
  <c r="A5550" i="1"/>
  <c r="B5550" i="1"/>
  <c r="A5340" i="1"/>
  <c r="B5340" i="1"/>
  <c r="A5551" i="1"/>
  <c r="B5551" i="1"/>
  <c r="A5341" i="1"/>
  <c r="B5341" i="1"/>
  <c r="A5658" i="1"/>
  <c r="B5658" i="1"/>
  <c r="A5342" i="1"/>
  <c r="B5342" i="1"/>
  <c r="A5552" i="1"/>
  <c r="B5552" i="1"/>
  <c r="A5343" i="1"/>
  <c r="B5343" i="1"/>
  <c r="A5503" i="1"/>
  <c r="B5503" i="1"/>
  <c r="A5618" i="1"/>
  <c r="B5618" i="1"/>
  <c r="A5619" i="1"/>
  <c r="B5619" i="1"/>
  <c r="A5430" i="1"/>
  <c r="B5430" i="1"/>
  <c r="A5553" i="1"/>
  <c r="B5553" i="1"/>
  <c r="A5620" i="1"/>
  <c r="B5620" i="1"/>
  <c r="A5621" i="1"/>
  <c r="B5621" i="1"/>
  <c r="A5622" i="1"/>
  <c r="B5622" i="1"/>
  <c r="A5623" i="1"/>
  <c r="B5623" i="1"/>
  <c r="A5554" i="1"/>
  <c r="B5554" i="1"/>
  <c r="A5555" i="1"/>
  <c r="B5555" i="1"/>
  <c r="A5504" i="1"/>
  <c r="B5504" i="1"/>
  <c r="A5431" i="1"/>
  <c r="B5431" i="1"/>
  <c r="A5344" i="1"/>
  <c r="B5344" i="1"/>
  <c r="A5659" i="1"/>
  <c r="B5659" i="1"/>
  <c r="A5432" i="1"/>
  <c r="B5432" i="1"/>
  <c r="A5433" i="1"/>
  <c r="B5433" i="1"/>
  <c r="A5660" i="1"/>
  <c r="B5660" i="1"/>
  <c r="A5434" i="1"/>
  <c r="B5434" i="1"/>
  <c r="A5435" i="1"/>
  <c r="B5435" i="1"/>
  <c r="A5745" i="1"/>
  <c r="B5745" i="1"/>
  <c r="A5345" i="1"/>
  <c r="B5345" i="1"/>
  <c r="A5346" i="1"/>
  <c r="B5346" i="1"/>
  <c r="A5347" i="1"/>
  <c r="B5347" i="1"/>
  <c r="A5436" i="1"/>
  <c r="B5436" i="1"/>
  <c r="A5437" i="1"/>
  <c r="B5437" i="1"/>
  <c r="A5467" i="1"/>
  <c r="B5467" i="1"/>
  <c r="A5468" i="1"/>
  <c r="B5468" i="1"/>
  <c r="A5746" i="1"/>
  <c r="B5746" i="1"/>
  <c r="A5469" i="1"/>
  <c r="B5469" i="1"/>
  <c r="A5470" i="1"/>
  <c r="B5470" i="1"/>
  <c r="A5556" i="1"/>
  <c r="B5556" i="1"/>
  <c r="A5624" i="1"/>
  <c r="B5624" i="1"/>
  <c r="A5747" i="1"/>
  <c r="B5747" i="1"/>
  <c r="A5505" i="1"/>
  <c r="B5505" i="1"/>
  <c r="A5791" i="1"/>
  <c r="B5791" i="1"/>
  <c r="A5471" i="1"/>
  <c r="B5471" i="1"/>
  <c r="A5792" i="1"/>
  <c r="B5792" i="1"/>
  <c r="A5472" i="1"/>
  <c r="B5472" i="1"/>
  <c r="A5661" i="1"/>
  <c r="B5661" i="1"/>
  <c r="A5662" i="1"/>
  <c r="B5662" i="1"/>
  <c r="A5663" i="1"/>
  <c r="B5663" i="1"/>
  <c r="A5625" i="1"/>
  <c r="B5625" i="1"/>
  <c r="A5664" i="1"/>
  <c r="B5664" i="1"/>
  <c r="A5438" i="1"/>
  <c r="B5438" i="1"/>
  <c r="A5439" i="1"/>
  <c r="B5439" i="1"/>
  <c r="A5440" i="1"/>
  <c r="B5440" i="1"/>
  <c r="A5626" i="1"/>
  <c r="B5626" i="1"/>
  <c r="A5473" i="1"/>
  <c r="B5473" i="1"/>
  <c r="A5748" i="1"/>
  <c r="B5748" i="1"/>
  <c r="A5749" i="1"/>
  <c r="B5749" i="1"/>
  <c r="A5793" i="1"/>
  <c r="B5793" i="1"/>
  <c r="A5474" i="1"/>
  <c r="B5474" i="1"/>
  <c r="A5441" i="1"/>
  <c r="B5441" i="1"/>
  <c r="A5475" i="1"/>
  <c r="B5475" i="1"/>
  <c r="A5348" i="1"/>
  <c r="B5348" i="1"/>
  <c r="A5442" i="1"/>
  <c r="B5442" i="1"/>
  <c r="A5476" i="1"/>
  <c r="B5476" i="1"/>
  <c r="A5349" i="1"/>
  <c r="B5349" i="1"/>
  <c r="A5477" i="1"/>
  <c r="B5477" i="1"/>
  <c r="A5350" i="1"/>
  <c r="B5350" i="1"/>
  <c r="A5506" i="1"/>
  <c r="B5506" i="1"/>
  <c r="A5478" i="1"/>
  <c r="B5478" i="1"/>
  <c r="A5443" i="1"/>
  <c r="B5443" i="1"/>
  <c r="A5479" i="1"/>
  <c r="B5479" i="1"/>
  <c r="A5750" i="1"/>
  <c r="B5750" i="1"/>
  <c r="A5480" i="1"/>
  <c r="B5480" i="1"/>
  <c r="A5665" i="1"/>
  <c r="B5665" i="1"/>
  <c r="A5751" i="1"/>
  <c r="B5751" i="1"/>
  <c r="A5666" i="1"/>
  <c r="B5666" i="1"/>
  <c r="A5752" i="1"/>
  <c r="B5752" i="1"/>
  <c r="A5481" i="1"/>
  <c r="B5481" i="1"/>
  <c r="A5482" i="1"/>
  <c r="B5482" i="1"/>
  <c r="A5507" i="1"/>
  <c r="B5507" i="1"/>
  <c r="A5753" i="1"/>
  <c r="B5753" i="1"/>
  <c r="A5351" i="1"/>
  <c r="B5351" i="1"/>
  <c r="A5352" i="1"/>
  <c r="B5352" i="1"/>
  <c r="A5483" i="1"/>
  <c r="B5483" i="1"/>
  <c r="A5828" i="1"/>
  <c r="B5828" i="1"/>
  <c r="A5444" i="1"/>
  <c r="B5444" i="1"/>
  <c r="A5445" i="1"/>
  <c r="B5445" i="1"/>
  <c r="A5353" i="1"/>
  <c r="B5353" i="1"/>
  <c r="A5354" i="1"/>
  <c r="B5354" i="1"/>
  <c r="A5794" i="1"/>
  <c r="B5794" i="1"/>
  <c r="A5355" i="1"/>
  <c r="B5355" i="1"/>
  <c r="A5446" i="1"/>
  <c r="B5446" i="1"/>
  <c r="A5356" i="1"/>
  <c r="B5356" i="1"/>
  <c r="A5754" i="1"/>
  <c r="B5754" i="1"/>
  <c r="A5357" i="1"/>
  <c r="B5357" i="1"/>
  <c r="A5358" i="1"/>
  <c r="B5358" i="1"/>
  <c r="A5359" i="1"/>
  <c r="B5359" i="1"/>
  <c r="A5755" i="1"/>
  <c r="B5755" i="1"/>
  <c r="A5756" i="1"/>
  <c r="B5756" i="1"/>
  <c r="A5757" i="1"/>
  <c r="B5757" i="1"/>
  <c r="A5596" i="1"/>
  <c r="B5596" i="1"/>
  <c r="A5597" i="1"/>
  <c r="B5597" i="1"/>
  <c r="A5598" i="1"/>
  <c r="B5598" i="1"/>
  <c r="A5360" i="1"/>
  <c r="B5360" i="1"/>
  <c r="A5447" i="1"/>
  <c r="B5447" i="1"/>
  <c r="A5361" i="1"/>
  <c r="B5361" i="1"/>
  <c r="A5448" i="1"/>
  <c r="B5448" i="1"/>
  <c r="A5449" i="1"/>
  <c r="B5449" i="1"/>
  <c r="A5450" i="1"/>
  <c r="B5450" i="1"/>
  <c r="A5362" i="1"/>
  <c r="B5362" i="1"/>
  <c r="A5363" i="1"/>
  <c r="B5363" i="1"/>
  <c r="A5364" i="1"/>
  <c r="B5364" i="1"/>
  <c r="A5365" i="1"/>
  <c r="B5365" i="1"/>
  <c r="A5829" i="1"/>
  <c r="B5829" i="1"/>
  <c r="A5484" i="1"/>
  <c r="B5484" i="1"/>
  <c r="A5830" i="1"/>
  <c r="B5830" i="1"/>
  <c r="A5758" i="1"/>
  <c r="B5758" i="1"/>
  <c r="A5759" i="1"/>
  <c r="B5759" i="1"/>
  <c r="A5795" i="1"/>
  <c r="B5795" i="1"/>
  <c r="A5760" i="1"/>
  <c r="B5760" i="1"/>
  <c r="A5796" i="1"/>
  <c r="B5796" i="1"/>
  <c r="A5797" i="1"/>
  <c r="B5797" i="1"/>
  <c r="A5798" i="1"/>
  <c r="B5798" i="1"/>
  <c r="A5374" i="1"/>
  <c r="B5374" i="1"/>
  <c r="A5761" i="1"/>
  <c r="B5761" i="1"/>
  <c r="A5667" i="1"/>
  <c r="B5667" i="1"/>
  <c r="A5366" i="1"/>
  <c r="B5366" i="1"/>
  <c r="A5762" i="1"/>
  <c r="B5762" i="1"/>
  <c r="A5763" i="1"/>
  <c r="B5763" i="1"/>
  <c r="A5799" i="1"/>
  <c r="B5799" i="1"/>
  <c r="A5367" i="1"/>
  <c r="B5367" i="1"/>
  <c r="A5764" i="1"/>
  <c r="B5764" i="1"/>
  <c r="A5368" i="1"/>
  <c r="B5368" i="1"/>
  <c r="A5375" i="1"/>
  <c r="B5375" i="1"/>
  <c r="A5765" i="1"/>
  <c r="B5765" i="1"/>
  <c r="A5376" i="1"/>
  <c r="B5376" i="1"/>
  <c r="A5800" i="1"/>
  <c r="B5800" i="1"/>
  <c r="A5801" i="1"/>
  <c r="B5801" i="1"/>
  <c r="A5766" i="1"/>
  <c r="B5766" i="1"/>
  <c r="A5451" i="1"/>
  <c r="B5451" i="1"/>
  <c r="A5452" i="1"/>
  <c r="B5452" i="1"/>
  <c r="A5485" i="1"/>
  <c r="B5485" i="1"/>
  <c r="A5453" i="1"/>
  <c r="B5453" i="1"/>
  <c r="A5486" i="1"/>
  <c r="B5486" i="1"/>
  <c r="A5767" i="1"/>
  <c r="B5767" i="1"/>
  <c r="A5487" i="1"/>
  <c r="B5487" i="1"/>
  <c r="A5377" i="1"/>
  <c r="B5377" i="1"/>
  <c r="A5488" i="1"/>
  <c r="B5488" i="1"/>
  <c r="A5768" i="1"/>
  <c r="B5768" i="1"/>
  <c r="A5769" i="1"/>
  <c r="B5769" i="1"/>
  <c r="A5770" i="1"/>
  <c r="B5770" i="1"/>
  <c r="A5454" i="1"/>
  <c r="B5454" i="1"/>
  <c r="A5455" i="1"/>
  <c r="B5455" i="1"/>
  <c r="A5802" i="1"/>
  <c r="B5802" i="1"/>
  <c r="A5803" i="1"/>
  <c r="B5803" i="1"/>
  <c r="A5804" i="1"/>
  <c r="B5804" i="1"/>
  <c r="A5599" i="1"/>
  <c r="B5599" i="1"/>
  <c r="A5600" i="1"/>
  <c r="B5600" i="1"/>
  <c r="A5805" i="1"/>
  <c r="B5805" i="1"/>
  <c r="A5601" i="1"/>
  <c r="B5601" i="1"/>
  <c r="A5602" i="1"/>
  <c r="B5602" i="1"/>
  <c r="A5489" i="1"/>
  <c r="B5489" i="1"/>
  <c r="A5490" i="1"/>
  <c r="B5490" i="1"/>
  <c r="A5491" i="1"/>
  <c r="B5491" i="1"/>
  <c r="A5817" i="1"/>
  <c r="B5817" i="1"/>
  <c r="A5508" i="1"/>
  <c r="B5508" i="1"/>
  <c r="A5492" i="1"/>
  <c r="B5492" i="1"/>
  <c r="A5456" i="1"/>
  <c r="B5456" i="1"/>
  <c r="A5668" i="1"/>
  <c r="B5668" i="1"/>
  <c r="A5457" i="1"/>
  <c r="B5457" i="1"/>
  <c r="A5557" i="1"/>
  <c r="B5557" i="1"/>
  <c r="A5642" i="1"/>
  <c r="B5642" i="1"/>
  <c r="A5510" i="1"/>
  <c r="B5510" i="1"/>
  <c r="A5643" i="1"/>
  <c r="B5643" i="1"/>
  <c r="A5511" i="1"/>
  <c r="B5511" i="1"/>
  <c r="A5644" i="1"/>
  <c r="B5644" i="1"/>
  <c r="A5806" i="1"/>
  <c r="B5806" i="1"/>
  <c r="A5818" i="1"/>
  <c r="B5818" i="1"/>
  <c r="A5819" i="1"/>
  <c r="B5819" i="1"/>
  <c r="A5369" i="1"/>
  <c r="B5369" i="1"/>
  <c r="A5370" i="1"/>
  <c r="B5370" i="1"/>
  <c r="A5371" i="1"/>
  <c r="B5371" i="1"/>
  <c r="A5458" i="1"/>
  <c r="B5458" i="1"/>
  <c r="A5459" i="1"/>
  <c r="B5459" i="1"/>
  <c r="A5460" i="1"/>
  <c r="B5460" i="1"/>
  <c r="A5461" i="1"/>
  <c r="B5461" i="1"/>
  <c r="A5645" i="1"/>
  <c r="B5645" i="1"/>
  <c r="A5646" i="1"/>
  <c r="B5646" i="1"/>
  <c r="A5627" i="1"/>
  <c r="B5627" i="1"/>
  <c r="A5647" i="1"/>
  <c r="B5647" i="1"/>
  <c r="A5771" i="1"/>
  <c r="B5771" i="1"/>
  <c r="A5372" i="1"/>
  <c r="B5372" i="1"/>
  <c r="A5509" i="1"/>
  <c r="B5509" i="1"/>
  <c r="A5648" i="1"/>
  <c r="B5648" i="1"/>
  <c r="A5820" i="1"/>
  <c r="B5820" i="1"/>
  <c r="A5520" i="1"/>
  <c r="B5520" i="1"/>
  <c r="A5385" i="1"/>
  <c r="B5385" i="1"/>
  <c r="A5521" i="1"/>
  <c r="B5521" i="1"/>
  <c r="A5649" i="1"/>
  <c r="B5649" i="1"/>
  <c r="A5522" i="1"/>
  <c r="B5522" i="1"/>
  <c r="A5772" i="1"/>
  <c r="B5772" i="1"/>
  <c r="A5669" i="1"/>
  <c r="B5669" i="1"/>
  <c r="A5831" i="1"/>
  <c r="B5831" i="1"/>
  <c r="A5721" i="1"/>
  <c r="B5721" i="1"/>
  <c r="A5493" i="1"/>
  <c r="B5493" i="1"/>
  <c r="A5650" i="1"/>
  <c r="B5650" i="1"/>
  <c r="A5512" i="1"/>
  <c r="B5512" i="1"/>
  <c r="A5494" i="1"/>
  <c r="B5494" i="1"/>
  <c r="A5558" i="1"/>
  <c r="B5558" i="1"/>
  <c r="A5651" i="1"/>
  <c r="B5651" i="1"/>
  <c r="A5559" i="1"/>
  <c r="B5559" i="1"/>
  <c r="A5652" i="1"/>
  <c r="B5652" i="1"/>
  <c r="A5495" i="1"/>
  <c r="B5495" i="1"/>
  <c r="A5523" i="1"/>
  <c r="B5523" i="1"/>
  <c r="A5524" i="1"/>
  <c r="B5524" i="1"/>
  <c r="A5653" i="1"/>
  <c r="B5653" i="1"/>
  <c r="A5603" i="1"/>
  <c r="B5603" i="1"/>
  <c r="A5496" i="1"/>
  <c r="B5496" i="1"/>
  <c r="A5513" i="1"/>
  <c r="B5513" i="1"/>
  <c r="A5560" i="1"/>
  <c r="B5560" i="1"/>
  <c r="A5821" i="1"/>
  <c r="B5821" i="1"/>
  <c r="A5514" i="1"/>
  <c r="B5514" i="1"/>
  <c r="A5809" i="1"/>
  <c r="B5809" i="1"/>
  <c r="A5604" i="1"/>
  <c r="B5604" i="1"/>
  <c r="A5722" i="1"/>
  <c r="B5722" i="1"/>
  <c r="A5810" i="1"/>
  <c r="B5810" i="1"/>
  <c r="A5417" i="1"/>
  <c r="B5417" i="1"/>
  <c r="A5654" i="1"/>
  <c r="B5654" i="1"/>
  <c r="A5565" i="1"/>
  <c r="B5565" i="1"/>
  <c r="A5566" i="1"/>
  <c r="B5566" i="1"/>
  <c r="A5567" i="1"/>
  <c r="B5567" i="1"/>
  <c r="A5773" i="1"/>
  <c r="B5773" i="1"/>
  <c r="A5386" i="1"/>
  <c r="B5386" i="1"/>
  <c r="A5462" i="1"/>
  <c r="B5462" i="1"/>
  <c r="A5774" i="1"/>
  <c r="B5774" i="1"/>
  <c r="A5822" i="1"/>
  <c r="B5822" i="1"/>
  <c r="A5655" i="1"/>
  <c r="B5655" i="1"/>
  <c r="A5525" i="1"/>
  <c r="B5525" i="1"/>
  <c r="A5656" i="1"/>
  <c r="B5656" i="1"/>
  <c r="A5387" i="1"/>
  <c r="B5387" i="1"/>
  <c r="A5775" i="1"/>
  <c r="B5775" i="1"/>
  <c r="A5388" i="1"/>
  <c r="B5388" i="1"/>
  <c r="A5389" i="1"/>
  <c r="B5389" i="1"/>
  <c r="A5823" i="1"/>
  <c r="B5823" i="1"/>
  <c r="A5807" i="1"/>
  <c r="B5807" i="1"/>
  <c r="A5418" i="1"/>
  <c r="B5418" i="1"/>
  <c r="A5526" i="1"/>
  <c r="B5526" i="1"/>
  <c r="A5628" i="1"/>
  <c r="B5628" i="1"/>
  <c r="A5583" i="1"/>
  <c r="B5583" i="1"/>
  <c r="A5561" i="1"/>
  <c r="B5561" i="1"/>
  <c r="A5527" i="1"/>
  <c r="B5527" i="1"/>
  <c r="A5463" i="1"/>
  <c r="B5463" i="1"/>
  <c r="A5528" i="1"/>
  <c r="B5528" i="1"/>
  <c r="A5497" i="1"/>
  <c r="B5497" i="1"/>
  <c r="A5657" i="1"/>
  <c r="B5657" i="1"/>
  <c r="A5584" i="1"/>
  <c r="B5584" i="1"/>
  <c r="A5629" i="1"/>
  <c r="B5629" i="1"/>
  <c r="A5630" i="1"/>
  <c r="B5630" i="1"/>
  <c r="A5585" i="1"/>
  <c r="B5585" i="1"/>
  <c r="A5776" i="1"/>
  <c r="B5776" i="1"/>
  <c r="A5631" i="1"/>
  <c r="B5631" i="1"/>
  <c r="A5670" i="1"/>
  <c r="B5670" i="1"/>
  <c r="A5568" i="1"/>
  <c r="B5568" i="1"/>
  <c r="A5569" i="1"/>
  <c r="B5569" i="1"/>
  <c r="A5390" i="1"/>
  <c r="B5390" i="1"/>
  <c r="A5605" i="1"/>
  <c r="B5605" i="1"/>
  <c r="A5672" i="1"/>
  <c r="B5672" i="1"/>
  <c r="A5529" i="1"/>
  <c r="B5529" i="1"/>
  <c r="A5498" i="1"/>
  <c r="B5498" i="1"/>
  <c r="A5824" i="1"/>
  <c r="B5824" i="1"/>
  <c r="A5671" i="1"/>
  <c r="B5671" i="1"/>
  <c r="A5391" i="1"/>
  <c r="B5391" i="1"/>
  <c r="A5570" i="1"/>
  <c r="B5570" i="1"/>
  <c r="A5777" i="1"/>
  <c r="B5777" i="1"/>
  <c r="A5392" i="1"/>
  <c r="B5392" i="1"/>
  <c r="A5393" i="1"/>
  <c r="B5393" i="1"/>
  <c r="A5808" i="1"/>
  <c r="B5808" i="1"/>
  <c r="A5811" i="1"/>
  <c r="B5811" i="1"/>
  <c r="A5812" i="1"/>
  <c r="B5812" i="1"/>
  <c r="A5813" i="1"/>
  <c r="B5813" i="1"/>
  <c r="A5632" i="1"/>
  <c r="B5632" i="1"/>
  <c r="A5633" i="1"/>
  <c r="B5633" i="1"/>
  <c r="A5634" i="1"/>
  <c r="B5634" i="1"/>
  <c r="A5635" i="1"/>
  <c r="B5635" i="1"/>
  <c r="A5586" i="1"/>
  <c r="B5586" i="1"/>
  <c r="A5778" i="1"/>
  <c r="B5778" i="1"/>
  <c r="A5530" i="1"/>
  <c r="B5530" i="1"/>
  <c r="A5394" i="1"/>
  <c r="B5394" i="1"/>
  <c r="A5464" i="1"/>
  <c r="B5464" i="1"/>
  <c r="A5531" i="1"/>
  <c r="B5531" i="1"/>
  <c r="A5378" i="1"/>
  <c r="B5378" i="1"/>
  <c r="A5779" i="1"/>
  <c r="B5779" i="1"/>
  <c r="A5814" i="1"/>
  <c r="B5814" i="1"/>
  <c r="A5532" i="1"/>
  <c r="B5532" i="1"/>
  <c r="A5533" i="1"/>
  <c r="B5533" i="1"/>
  <c r="A5587" i="1"/>
  <c r="B5587" i="1"/>
  <c r="A5723" i="1"/>
  <c r="B5723" i="1"/>
  <c r="A5588" i="1"/>
  <c r="B5588" i="1"/>
  <c r="A5534" i="1"/>
  <c r="B5534" i="1"/>
  <c r="A5535" i="1"/>
  <c r="B5535" i="1"/>
  <c r="A5589" i="1"/>
  <c r="B5589" i="1"/>
  <c r="A5724" i="1"/>
  <c r="B5724" i="1"/>
  <c r="A5725" i="1"/>
  <c r="B5725" i="1"/>
  <c r="A5590" i="1"/>
  <c r="B5590" i="1"/>
  <c r="A5465" i="1"/>
  <c r="B5465" i="1"/>
  <c r="A5591" i="1"/>
  <c r="B5591" i="1"/>
  <c r="A5592" i="1"/>
  <c r="B5592" i="1"/>
  <c r="A5593" i="1"/>
  <c r="B5593" i="1"/>
  <c r="A5594" i="1"/>
  <c r="B5594" i="1"/>
  <c r="A5673" i="1"/>
  <c r="B5673" i="1"/>
  <c r="A5636" i="1"/>
  <c r="B5636" i="1"/>
  <c r="A5674" i="1"/>
  <c r="B5674" i="1"/>
  <c r="A5675" i="1"/>
  <c r="B5675" i="1"/>
  <c r="A5637" i="1"/>
  <c r="B5637" i="1"/>
  <c r="A5638" i="1"/>
  <c r="B5638" i="1"/>
  <c r="A5676" i="1"/>
  <c r="B5676" i="1"/>
  <c r="A5677" i="1"/>
  <c r="B5677" i="1"/>
  <c r="A5678" i="1"/>
  <c r="B5678" i="1"/>
  <c r="A5679" i="1"/>
  <c r="B5679" i="1"/>
  <c r="A5680" i="1"/>
  <c r="B5680" i="1"/>
  <c r="A5681" i="1"/>
  <c r="B5681" i="1"/>
  <c r="A5682" i="1"/>
  <c r="B5682" i="1"/>
  <c r="A5395" i="1"/>
  <c r="B5395" i="1"/>
  <c r="A5683" i="1"/>
  <c r="B5683" i="1"/>
  <c r="A5536" i="1"/>
  <c r="B5536" i="1"/>
  <c r="A5684" i="1"/>
  <c r="B5684" i="1"/>
  <c r="A5825" i="1"/>
  <c r="B5825" i="1"/>
  <c r="A5537" i="1"/>
  <c r="B5537" i="1"/>
  <c r="A5538" i="1"/>
  <c r="B5538" i="1"/>
  <c r="A5379" i="1"/>
  <c r="B5379" i="1"/>
  <c r="A5815" i="1"/>
  <c r="B5815" i="1"/>
  <c r="A5685" i="1"/>
  <c r="B5685" i="1"/>
  <c r="A5686" i="1"/>
  <c r="B5686" i="1"/>
  <c r="A5576" i="1"/>
  <c r="B5576" i="1"/>
  <c r="A5687" i="1"/>
  <c r="B5687" i="1"/>
  <c r="A5826" i="1"/>
  <c r="B5826" i="1"/>
  <c r="A5688" i="1"/>
  <c r="B5688" i="1"/>
  <c r="A5827" i="1"/>
  <c r="B5827" i="1"/>
  <c r="A5689" i="1"/>
  <c r="B5689" i="1"/>
  <c r="A5816" i="1"/>
  <c r="B5816" i="1"/>
  <c r="A5690" i="1"/>
  <c r="B5690" i="1"/>
  <c r="A5577" i="1"/>
  <c r="B5577" i="1"/>
  <c r="A5691" i="1"/>
  <c r="B5691" i="1"/>
  <c r="A5539" i="1"/>
  <c r="B5539" i="1"/>
  <c r="A5540" i="1"/>
  <c r="B5540" i="1"/>
  <c r="A5692" i="1"/>
  <c r="B5692" i="1"/>
  <c r="A5693" i="1"/>
  <c r="B5693" i="1"/>
  <c r="A5578" i="1"/>
  <c r="B5578" i="1"/>
  <c r="A5694" i="1"/>
  <c r="B5694" i="1"/>
  <c r="A5695" i="1"/>
  <c r="B5695" i="1"/>
  <c r="A5696" i="1"/>
  <c r="B5696" i="1"/>
  <c r="A5697" i="1"/>
  <c r="B5697" i="1"/>
  <c r="A5698" i="1"/>
  <c r="B5698" i="1"/>
  <c r="A5699" i="1"/>
  <c r="B5699" i="1"/>
  <c r="A5700" i="1"/>
  <c r="B5700" i="1"/>
  <c r="A5780" i="1"/>
  <c r="B5780" i="1"/>
  <c r="A5701" i="1"/>
  <c r="B5701" i="1"/>
  <c r="A5571" i="1"/>
  <c r="B5571" i="1"/>
  <c r="A5572" i="1"/>
  <c r="B5572" i="1"/>
  <c r="A5573" i="1"/>
  <c r="B5573" i="1"/>
  <c r="A5702" i="1"/>
  <c r="B5702" i="1"/>
  <c r="A5574" i="1"/>
  <c r="B5574" i="1"/>
  <c r="A5575" i="1"/>
  <c r="B5575" i="1"/>
  <c r="A5419" i="1"/>
  <c r="B5419" i="1"/>
  <c r="A5466" i="1"/>
  <c r="B5466" i="1"/>
  <c r="A5562" i="1"/>
  <c r="B5562" i="1"/>
  <c r="A5703" i="1"/>
  <c r="B5703" i="1"/>
  <c r="A5704" i="1"/>
  <c r="B5704" i="1"/>
  <c r="A5705" i="1"/>
  <c r="B5705" i="1"/>
  <c r="A5396" i="1"/>
  <c r="B5396" i="1"/>
  <c r="A5595" i="1"/>
  <c r="B5595" i="1"/>
  <c r="A5397" i="1"/>
  <c r="B5397" i="1"/>
  <c r="A5706" i="1"/>
  <c r="B5706" i="1"/>
  <c r="A5707" i="1"/>
  <c r="B5707" i="1"/>
  <c r="A5714" i="1"/>
  <c r="B5714" i="1"/>
  <c r="A5398" i="1"/>
  <c r="B5398" i="1"/>
  <c r="A5563" i="1"/>
  <c r="B5563" i="1"/>
  <c r="A5708" i="1"/>
  <c r="B5708" i="1"/>
  <c r="A5564" i="1"/>
  <c r="B5564" i="1"/>
  <c r="A5515" i="1"/>
  <c r="B5515" i="1"/>
  <c r="A5709" i="1"/>
  <c r="B5709" i="1"/>
  <c r="A5399" i="1"/>
  <c r="B5399" i="1"/>
  <c r="A5400" i="1"/>
  <c r="B5400" i="1"/>
  <c r="A5710" i="1"/>
  <c r="B5710" i="1"/>
  <c r="A5401" i="1"/>
  <c r="B5401" i="1"/>
  <c r="A5579" i="1"/>
  <c r="B5579" i="1"/>
  <c r="A5580" i="1"/>
  <c r="B5580" i="1"/>
  <c r="A5581" i="1"/>
  <c r="B5581" i="1"/>
  <c r="A5711" i="1"/>
  <c r="B5711" i="1"/>
  <c r="A5541" i="1"/>
  <c r="B5541" i="1"/>
  <c r="A5726" i="1"/>
  <c r="B5726" i="1"/>
  <c r="A5727" i="1"/>
  <c r="B5727" i="1"/>
  <c r="A5728" i="1"/>
  <c r="B5728" i="1"/>
  <c r="A5582" i="1"/>
  <c r="B5582" i="1"/>
  <c r="A5729" i="1"/>
  <c r="B5729" i="1"/>
  <c r="A5712" i="1"/>
  <c r="B5712" i="1"/>
  <c r="A5420" i="1"/>
  <c r="B5420" i="1"/>
  <c r="A5781" i="1"/>
  <c r="B5781" i="1"/>
  <c r="A5730" i="1"/>
  <c r="B5730" i="1"/>
  <c r="A5731" i="1"/>
  <c r="B5731" i="1"/>
  <c r="A5782" i="1"/>
  <c r="B5782" i="1"/>
  <c r="A5732" i="1"/>
  <c r="B5732" i="1"/>
  <c r="A5713" i="1"/>
  <c r="B5713" i="1"/>
  <c r="A5733" i="1"/>
  <c r="B5733" i="1"/>
  <c r="A5542" i="1"/>
  <c r="B5542" i="1"/>
  <c r="A5783" i="1"/>
  <c r="B5783" i="1"/>
  <c r="A5543" i="1"/>
  <c r="B5543" i="1"/>
  <c r="A5544" i="1"/>
  <c r="B5544" i="1"/>
  <c r="A5402" i="1"/>
  <c r="B5402" i="1"/>
  <c r="A5403" i="1"/>
  <c r="B5403" i="1"/>
  <c r="A5784" i="1"/>
  <c r="B5784" i="1"/>
  <c r="A5404" i="1"/>
  <c r="B5404" i="1"/>
  <c r="A5516" i="1"/>
  <c r="B5516" i="1"/>
  <c r="A5517" i="1"/>
  <c r="B5517" i="1"/>
  <c r="A5380" i="1"/>
  <c r="B5380" i="1"/>
  <c r="A5734" i="1"/>
  <c r="B5734" i="1"/>
  <c r="A5735" i="1"/>
  <c r="B5735" i="1"/>
  <c r="A5736" i="1"/>
  <c r="B5736" i="1"/>
  <c r="A5639" i="1"/>
  <c r="B5639" i="1"/>
  <c r="A5640" i="1"/>
  <c r="B5640" i="1"/>
  <c r="A5641" i="1"/>
  <c r="B5641" i="1"/>
  <c r="A5737" i="1"/>
  <c r="B5737" i="1"/>
  <c r="A5738" i="1"/>
  <c r="B5738" i="1"/>
  <c r="A5739" i="1"/>
  <c r="B5739" i="1"/>
  <c r="A5740" i="1"/>
  <c r="B5740" i="1"/>
  <c r="A5741" i="1"/>
  <c r="B5741" i="1"/>
  <c r="A5742" i="1"/>
  <c r="B5742" i="1"/>
  <c r="A5743" i="1"/>
  <c r="B5743" i="1"/>
  <c r="A5785" i="1"/>
  <c r="B5785" i="1"/>
  <c r="A5744" i="1"/>
  <c r="B5744" i="1"/>
  <c r="A5715" i="1"/>
  <c r="B5715" i="1"/>
  <c r="A5518" i="1"/>
  <c r="B5518" i="1"/>
  <c r="A5373" i="1"/>
  <c r="B5373" i="1"/>
  <c r="A5716" i="1"/>
  <c r="B5716" i="1"/>
  <c r="A5519" i="1"/>
  <c r="B5519" i="1"/>
  <c r="A5405" i="1"/>
  <c r="B5405" i="1"/>
  <c r="A5406" i="1"/>
  <c r="B5406" i="1"/>
  <c r="A5407" i="1"/>
  <c r="B5407" i="1"/>
  <c r="A5408" i="1"/>
  <c r="B5408" i="1"/>
  <c r="A5786" i="1"/>
  <c r="B5786" i="1"/>
  <c r="A5409" i="1"/>
  <c r="B5409" i="1"/>
  <c r="A5410" i="1"/>
  <c r="B5410" i="1"/>
  <c r="A5381" i="1"/>
  <c r="B5381" i="1"/>
  <c r="A5411" i="1"/>
  <c r="B5411" i="1"/>
  <c r="A5787" i="1"/>
  <c r="B5787" i="1"/>
  <c r="A5412" i="1"/>
  <c r="B5412" i="1"/>
  <c r="A5717" i="1"/>
  <c r="B5717" i="1"/>
  <c r="A5718" i="1"/>
  <c r="B5718" i="1"/>
  <c r="A5719" i="1"/>
  <c r="B5719" i="1"/>
  <c r="A5720" i="1"/>
  <c r="B5720" i="1"/>
  <c r="A5413" i="1"/>
  <c r="B5413" i="1"/>
  <c r="A5382" i="1"/>
  <c r="B5382" i="1"/>
  <c r="A5383" i="1"/>
  <c r="B5383" i="1"/>
  <c r="A5384" i="1"/>
  <c r="B5384" i="1"/>
  <c r="A5414" i="1"/>
  <c r="B5414" i="1"/>
  <c r="A5788" i="1"/>
  <c r="B5788" i="1"/>
  <c r="A5415" i="1"/>
  <c r="B5415" i="1"/>
  <c r="A5416" i="1"/>
  <c r="B5416" i="1"/>
  <c r="A5789" i="1"/>
  <c r="B5789" i="1"/>
  <c r="A5790" i="1"/>
  <c r="B5790" i="1"/>
  <c r="A5904" i="1"/>
  <c r="B5904" i="1"/>
  <c r="A6092" i="1"/>
  <c r="B6092" i="1"/>
  <c r="A6093" i="1"/>
  <c r="B6093" i="1"/>
  <c r="A6094" i="1"/>
  <c r="B6094" i="1"/>
  <c r="A5905" i="1"/>
  <c r="B5905" i="1"/>
  <c r="A5906" i="1"/>
  <c r="B5906" i="1"/>
  <c r="A6095" i="1"/>
  <c r="B6095" i="1"/>
  <c r="A6253" i="1"/>
  <c r="B6253" i="1"/>
  <c r="A6096" i="1"/>
  <c r="B6096" i="1"/>
  <c r="A6097" i="1"/>
  <c r="B6097" i="1"/>
  <c r="A5907" i="1"/>
  <c r="B5907" i="1"/>
  <c r="A6098" i="1"/>
  <c r="B6098" i="1"/>
  <c r="A6099" i="1"/>
  <c r="B6099" i="1"/>
  <c r="A6100" i="1"/>
  <c r="B6100" i="1"/>
  <c r="A6101" i="1"/>
  <c r="B6101" i="1"/>
  <c r="A6254" i="1"/>
  <c r="B6254" i="1"/>
  <c r="A6102" i="1"/>
  <c r="B6102" i="1"/>
  <c r="A5908" i="1"/>
  <c r="B5908" i="1"/>
  <c r="A6103" i="1"/>
  <c r="B6103" i="1"/>
  <c r="A6104" i="1"/>
  <c r="B6104" i="1"/>
  <c r="A6105" i="1"/>
  <c r="B6105" i="1"/>
  <c r="A6106" i="1"/>
  <c r="B6106" i="1"/>
  <c r="A5909" i="1"/>
  <c r="B5909" i="1"/>
  <c r="A6107" i="1"/>
  <c r="B6107" i="1"/>
  <c r="A6206" i="1"/>
  <c r="B6206" i="1"/>
  <c r="A6116" i="1"/>
  <c r="B6116" i="1"/>
  <c r="A5910" i="1"/>
  <c r="B5910" i="1"/>
  <c r="A5911" i="1"/>
  <c r="B5911" i="1"/>
  <c r="A5912" i="1"/>
  <c r="B5912" i="1"/>
  <c r="A6117" i="1"/>
  <c r="B6117" i="1"/>
  <c r="A6118" i="1"/>
  <c r="B6118" i="1"/>
  <c r="A5913" i="1"/>
  <c r="B5913" i="1"/>
  <c r="A6207" i="1"/>
  <c r="B6207" i="1"/>
  <c r="A6208" i="1"/>
  <c r="B6208" i="1"/>
  <c r="A6108" i="1"/>
  <c r="B6108" i="1"/>
  <c r="A5914" i="1"/>
  <c r="B5914" i="1"/>
  <c r="A6209" i="1"/>
  <c r="B6209" i="1"/>
  <c r="A6109" i="1"/>
  <c r="B6109" i="1"/>
  <c r="A6119" i="1"/>
  <c r="B6119" i="1"/>
  <c r="A6120" i="1"/>
  <c r="B6120" i="1"/>
  <c r="A6121" i="1"/>
  <c r="B6121" i="1"/>
  <c r="A5915" i="1"/>
  <c r="B5915" i="1"/>
  <c r="A6210" i="1"/>
  <c r="B6210" i="1"/>
  <c r="A6211" i="1"/>
  <c r="B6211" i="1"/>
  <c r="A6212" i="1"/>
  <c r="B6212" i="1"/>
  <c r="A6213" i="1"/>
  <c r="B6213" i="1"/>
  <c r="A6214" i="1"/>
  <c r="B6214" i="1"/>
  <c r="A6122" i="1"/>
  <c r="B6122" i="1"/>
  <c r="A6123" i="1"/>
  <c r="B6123" i="1"/>
  <c r="A6124" i="1"/>
  <c r="B6124" i="1"/>
  <c r="A6237" i="1"/>
  <c r="B6237" i="1"/>
  <c r="A5916" i="1"/>
  <c r="B5916" i="1"/>
  <c r="A6125" i="1"/>
  <c r="B6125" i="1"/>
  <c r="A6215" i="1"/>
  <c r="B6215" i="1"/>
  <c r="A6238" i="1"/>
  <c r="B6238" i="1"/>
  <c r="A6126" i="1"/>
  <c r="B6126" i="1"/>
  <c r="A6127" i="1"/>
  <c r="B6127" i="1"/>
  <c r="A6128" i="1"/>
  <c r="B6128" i="1"/>
  <c r="A6129" i="1"/>
  <c r="B6129" i="1"/>
  <c r="A6130" i="1"/>
  <c r="B6130" i="1"/>
  <c r="A5833" i="1"/>
  <c r="B5833" i="1"/>
  <c r="A5834" i="1"/>
  <c r="B5834" i="1"/>
  <c r="A5887" i="1"/>
  <c r="B5887" i="1"/>
  <c r="A5917" i="1"/>
  <c r="B5917" i="1"/>
  <c r="A5888" i="1"/>
  <c r="B5888" i="1"/>
  <c r="A5889" i="1"/>
  <c r="B5889" i="1"/>
  <c r="A5918" i="1"/>
  <c r="B5918" i="1"/>
  <c r="A5835" i="1"/>
  <c r="B5835" i="1"/>
  <c r="A5890" i="1"/>
  <c r="B5890" i="1"/>
  <c r="A5891" i="1"/>
  <c r="B5891" i="1"/>
  <c r="A6216" i="1"/>
  <c r="B6216" i="1"/>
  <c r="A6217" i="1"/>
  <c r="B6217" i="1"/>
  <c r="A5919" i="1"/>
  <c r="B5919" i="1"/>
  <c r="A5920" i="1"/>
  <c r="B5920" i="1"/>
  <c r="A6164" i="1"/>
  <c r="B6164" i="1"/>
  <c r="A6165" i="1"/>
  <c r="B6165" i="1"/>
  <c r="A6166" i="1"/>
  <c r="B6166" i="1"/>
  <c r="A6167" i="1"/>
  <c r="B6167" i="1"/>
  <c r="A5974" i="1"/>
  <c r="B5974" i="1"/>
  <c r="A5892" i="1"/>
  <c r="B5892" i="1"/>
  <c r="A5893" i="1"/>
  <c r="B5893" i="1"/>
  <c r="A6168" i="1"/>
  <c r="B6168" i="1"/>
  <c r="A6169" i="1"/>
  <c r="B6169" i="1"/>
  <c r="A6170" i="1"/>
  <c r="B6170" i="1"/>
  <c r="A6171" i="1"/>
  <c r="B6171" i="1"/>
  <c r="A6218" i="1"/>
  <c r="B6218" i="1"/>
  <c r="A6219" i="1"/>
  <c r="B6219" i="1"/>
  <c r="A6110" i="1"/>
  <c r="B6110" i="1"/>
  <c r="A6111" i="1"/>
  <c r="B6111" i="1"/>
  <c r="A5975" i="1"/>
  <c r="B5975" i="1"/>
  <c r="A5836" i="1"/>
  <c r="B5836" i="1"/>
  <c r="A6131" i="1"/>
  <c r="B6131" i="1"/>
  <c r="A6132" i="1"/>
  <c r="B6132" i="1"/>
  <c r="A5837" i="1"/>
  <c r="B5837" i="1"/>
  <c r="A5976" i="1"/>
  <c r="B5976" i="1"/>
  <c r="A5977" i="1"/>
  <c r="B5977" i="1"/>
  <c r="A5978" i="1"/>
  <c r="B5978" i="1"/>
  <c r="A6112" i="1"/>
  <c r="B6112" i="1"/>
  <c r="A6133" i="1"/>
  <c r="B6133" i="1"/>
  <c r="A5894" i="1"/>
  <c r="B5894" i="1"/>
  <c r="A6134" i="1"/>
  <c r="B6134" i="1"/>
  <c r="A6135" i="1"/>
  <c r="B6135" i="1"/>
  <c r="A6136" i="1"/>
  <c r="B6136" i="1"/>
  <c r="A6137" i="1"/>
  <c r="B6137" i="1"/>
  <c r="A6138" i="1"/>
  <c r="B6138" i="1"/>
  <c r="A6139" i="1"/>
  <c r="B6139" i="1"/>
  <c r="A5895" i="1"/>
  <c r="B5895" i="1"/>
  <c r="A5896" i="1"/>
  <c r="B5896" i="1"/>
  <c r="A5838" i="1"/>
  <c r="B5838" i="1"/>
  <c r="A5921" i="1"/>
  <c r="B5921" i="1"/>
  <c r="A5922" i="1"/>
  <c r="B5922" i="1"/>
  <c r="A5923" i="1"/>
  <c r="B5923" i="1"/>
  <c r="A5924" i="1"/>
  <c r="B5924" i="1"/>
  <c r="A5839" i="1"/>
  <c r="B5839" i="1"/>
  <c r="A6220" i="1"/>
  <c r="B6220" i="1"/>
  <c r="A5840" i="1"/>
  <c r="B5840" i="1"/>
  <c r="A5979" i="1"/>
  <c r="B5979" i="1"/>
  <c r="A6113" i="1"/>
  <c r="B6113" i="1"/>
  <c r="A6140" i="1"/>
  <c r="B6140" i="1"/>
  <c r="A6141" i="1"/>
  <c r="B6141" i="1"/>
  <c r="A5980" i="1"/>
  <c r="B5980" i="1"/>
  <c r="A5981" i="1"/>
  <c r="B5981" i="1"/>
  <c r="A6142" i="1"/>
  <c r="B6142" i="1"/>
  <c r="A5841" i="1"/>
  <c r="B5841" i="1"/>
  <c r="A5925" i="1"/>
  <c r="B5925" i="1"/>
  <c r="A6143" i="1"/>
  <c r="B6143" i="1"/>
  <c r="A6144" i="1"/>
  <c r="B6144" i="1"/>
  <c r="A6145" i="1"/>
  <c r="B6145" i="1"/>
  <c r="A5982" i="1"/>
  <c r="B5982" i="1"/>
  <c r="A5983" i="1"/>
  <c r="B5983" i="1"/>
  <c r="A5984" i="1"/>
  <c r="B5984" i="1"/>
  <c r="A6172" i="1"/>
  <c r="B6172" i="1"/>
  <c r="A6173" i="1"/>
  <c r="B6173" i="1"/>
  <c r="A6174" i="1"/>
  <c r="B6174" i="1"/>
  <c r="A6175" i="1"/>
  <c r="B6175" i="1"/>
  <c r="A5926" i="1"/>
  <c r="B5926" i="1"/>
  <c r="A5927" i="1"/>
  <c r="B5927" i="1"/>
  <c r="A5928" i="1"/>
  <c r="B5928" i="1"/>
  <c r="A6146" i="1"/>
  <c r="B6146" i="1"/>
  <c r="A6176" i="1"/>
  <c r="B6176" i="1"/>
  <c r="A6177" i="1"/>
  <c r="B6177" i="1"/>
  <c r="A6178" i="1"/>
  <c r="B6178" i="1"/>
  <c r="A6179" i="1"/>
  <c r="B6179" i="1"/>
  <c r="A6180" i="1"/>
  <c r="B6180" i="1"/>
  <c r="A6147" i="1"/>
  <c r="B6147" i="1"/>
  <c r="A6181" i="1"/>
  <c r="B6181" i="1"/>
  <c r="A6182" i="1"/>
  <c r="B6182" i="1"/>
  <c r="A6183" i="1"/>
  <c r="B6183" i="1"/>
  <c r="A5985" i="1"/>
  <c r="B5985" i="1"/>
  <c r="A5986" i="1"/>
  <c r="B5986" i="1"/>
  <c r="A5987" i="1"/>
  <c r="B5987" i="1"/>
  <c r="A5988" i="1"/>
  <c r="B5988" i="1"/>
  <c r="A5989" i="1"/>
  <c r="B5989" i="1"/>
  <c r="A6148" i="1"/>
  <c r="B6148" i="1"/>
  <c r="A5929" i="1"/>
  <c r="B5929" i="1"/>
  <c r="A5930" i="1"/>
  <c r="B5930" i="1"/>
  <c r="A6149" i="1"/>
  <c r="B6149" i="1"/>
  <c r="A5897" i="1"/>
  <c r="B5897" i="1"/>
  <c r="A5842" i="1"/>
  <c r="B5842" i="1"/>
  <c r="A6184" i="1"/>
  <c r="B6184" i="1"/>
  <c r="A6150" i="1"/>
  <c r="B6150" i="1"/>
  <c r="A6185" i="1"/>
  <c r="B6185" i="1"/>
  <c r="A6186" i="1"/>
  <c r="B6186" i="1"/>
  <c r="A6151" i="1"/>
  <c r="B6151" i="1"/>
  <c r="A6187" i="1"/>
  <c r="B6187" i="1"/>
  <c r="A6152" i="1"/>
  <c r="B6152" i="1"/>
  <c r="A6188" i="1"/>
  <c r="B6188" i="1"/>
  <c r="A6221" i="1"/>
  <c r="B6221" i="1"/>
  <c r="A5843" i="1"/>
  <c r="B5843" i="1"/>
  <c r="A6222" i="1"/>
  <c r="B6222" i="1"/>
  <c r="A5844" i="1"/>
  <c r="B5844" i="1"/>
  <c r="A6153" i="1"/>
  <c r="B6153" i="1"/>
  <c r="A5845" i="1"/>
  <c r="B5845" i="1"/>
  <c r="A6154" i="1"/>
  <c r="B6154" i="1"/>
  <c r="A5898" i="1"/>
  <c r="B5898" i="1"/>
  <c r="A6155" i="1"/>
  <c r="B6155" i="1"/>
  <c r="A6156" i="1"/>
  <c r="B6156" i="1"/>
  <c r="A5899" i="1"/>
  <c r="B5899" i="1"/>
  <c r="A6157" i="1"/>
  <c r="B6157" i="1"/>
  <c r="A5931" i="1"/>
  <c r="B5931" i="1"/>
  <c r="A5957" i="1"/>
  <c r="B5957" i="1"/>
  <c r="A5846" i="1"/>
  <c r="B5846" i="1"/>
  <c r="A5847" i="1"/>
  <c r="B5847" i="1"/>
  <c r="A6017" i="1"/>
  <c r="B6017" i="1"/>
  <c r="A5958" i="1"/>
  <c r="B5958" i="1"/>
  <c r="A5959" i="1"/>
  <c r="B5959" i="1"/>
  <c r="A5960" i="1"/>
  <c r="B5960" i="1"/>
  <c r="A5961" i="1"/>
  <c r="B5961" i="1"/>
  <c r="A5962" i="1"/>
  <c r="B5962" i="1"/>
  <c r="A5963" i="1"/>
  <c r="B5963" i="1"/>
  <c r="A6223" i="1"/>
  <c r="B6223" i="1"/>
  <c r="A5900" i="1"/>
  <c r="B5900" i="1"/>
  <c r="A5990" i="1"/>
  <c r="B5990" i="1"/>
  <c r="A5991" i="1"/>
  <c r="B5991" i="1"/>
  <c r="A6189" i="1"/>
  <c r="B6189" i="1"/>
  <c r="A6190" i="1"/>
  <c r="B6190" i="1"/>
  <c r="A6191" i="1"/>
  <c r="B6191" i="1"/>
  <c r="A6192" i="1"/>
  <c r="B6192" i="1"/>
  <c r="A6193" i="1"/>
  <c r="B6193" i="1"/>
  <c r="A5848" i="1"/>
  <c r="B5848" i="1"/>
  <c r="A5992" i="1"/>
  <c r="B5992" i="1"/>
  <c r="A6194" i="1"/>
  <c r="B6194" i="1"/>
  <c r="A5849" i="1"/>
  <c r="B5849" i="1"/>
  <c r="A6195" i="1"/>
  <c r="B6195" i="1"/>
  <c r="A6196" i="1"/>
  <c r="B6196" i="1"/>
  <c r="A6158" i="1"/>
  <c r="B6158" i="1"/>
  <c r="A6159" i="1"/>
  <c r="B6159" i="1"/>
  <c r="A5850" i="1"/>
  <c r="B5850" i="1"/>
  <c r="A5964" i="1"/>
  <c r="B5964" i="1"/>
  <c r="A5851" i="1"/>
  <c r="B5851" i="1"/>
  <c r="A5901" i="1"/>
  <c r="B5901" i="1"/>
  <c r="A6018" i="1"/>
  <c r="B6018" i="1"/>
  <c r="A6036" i="1"/>
  <c r="B6036" i="1"/>
  <c r="A6019" i="1"/>
  <c r="B6019" i="1"/>
  <c r="A5965" i="1"/>
  <c r="B5965" i="1"/>
  <c r="A6160" i="1"/>
  <c r="B6160" i="1"/>
  <c r="A6197" i="1"/>
  <c r="B6197" i="1"/>
  <c r="A6198" i="1"/>
  <c r="B6198" i="1"/>
  <c r="A6064" i="1"/>
  <c r="B6064" i="1"/>
  <c r="A5852" i="1"/>
  <c r="B5852" i="1"/>
  <c r="A6020" i="1"/>
  <c r="B6020" i="1"/>
  <c r="A6224" i="1"/>
  <c r="B6224" i="1"/>
  <c r="A6005" i="1"/>
  <c r="B6005" i="1"/>
  <c r="A6021" i="1"/>
  <c r="B6021" i="1"/>
  <c r="A5966" i="1"/>
  <c r="B5966" i="1"/>
  <c r="A6022" i="1"/>
  <c r="B6022" i="1"/>
  <c r="A5932" i="1"/>
  <c r="B5932" i="1"/>
  <c r="A5967" i="1"/>
  <c r="B5967" i="1"/>
  <c r="A5968" i="1"/>
  <c r="B5968" i="1"/>
  <c r="A6225" i="1"/>
  <c r="B6225" i="1"/>
  <c r="A5950" i="1"/>
  <c r="B5950" i="1"/>
  <c r="A6199" i="1"/>
  <c r="B6199" i="1"/>
  <c r="A6226" i="1"/>
  <c r="B6226" i="1"/>
  <c r="A5993" i="1"/>
  <c r="B5993" i="1"/>
  <c r="A6023" i="1"/>
  <c r="B6023" i="1"/>
  <c r="A5853" i="1"/>
  <c r="B5853" i="1"/>
  <c r="A5933" i="1"/>
  <c r="B5933" i="1"/>
  <c r="A5951" i="1"/>
  <c r="B5951" i="1"/>
  <c r="A6037" i="1"/>
  <c r="B6037" i="1"/>
  <c r="A6200" i="1"/>
  <c r="B6200" i="1"/>
  <c r="A6201" i="1"/>
  <c r="B6201" i="1"/>
  <c r="A5969" i="1"/>
  <c r="B5969" i="1"/>
  <c r="A6038" i="1"/>
  <c r="B6038" i="1"/>
  <c r="A6006" i="1"/>
  <c r="B6006" i="1"/>
  <c r="A5994" i="1"/>
  <c r="B5994" i="1"/>
  <c r="A6024" i="1"/>
  <c r="B6024" i="1"/>
  <c r="A6039" i="1"/>
  <c r="B6039" i="1"/>
  <c r="A5970" i="1"/>
  <c r="B5970" i="1"/>
  <c r="A6257" i="1"/>
  <c r="B6257" i="1"/>
  <c r="A6040" i="1"/>
  <c r="B6040" i="1"/>
  <c r="A6227" i="1"/>
  <c r="B6227" i="1"/>
  <c r="A5995" i="1"/>
  <c r="B5995" i="1"/>
  <c r="A5934" i="1"/>
  <c r="B5934" i="1"/>
  <c r="A5996" i="1"/>
  <c r="B5996" i="1"/>
  <c r="A5935" i="1"/>
  <c r="B5935" i="1"/>
  <c r="A5902" i="1"/>
  <c r="B5902" i="1"/>
  <c r="A5997" i="1"/>
  <c r="B5997" i="1"/>
  <c r="A6258" i="1"/>
  <c r="B6258" i="1"/>
  <c r="A6259" i="1"/>
  <c r="B6259" i="1"/>
  <c r="A6228" i="1"/>
  <c r="B6228" i="1"/>
  <c r="A6025" i="1"/>
  <c r="B6025" i="1"/>
  <c r="A6264" i="1"/>
  <c r="B6264" i="1"/>
  <c r="A6229" i="1"/>
  <c r="B6229" i="1"/>
  <c r="A6065" i="1"/>
  <c r="B6065" i="1"/>
  <c r="A5854" i="1"/>
  <c r="B5854" i="1"/>
  <c r="A5952" i="1"/>
  <c r="B5952" i="1"/>
  <c r="A5953" i="1"/>
  <c r="B5953" i="1"/>
  <c r="A5998" i="1"/>
  <c r="B5998" i="1"/>
  <c r="A5954" i="1"/>
  <c r="B5954" i="1"/>
  <c r="A5999" i="1"/>
  <c r="B5999" i="1"/>
  <c r="A5955" i="1"/>
  <c r="B5955" i="1"/>
  <c r="A6066" i="1"/>
  <c r="B6066" i="1"/>
  <c r="A6007" i="1"/>
  <c r="B6007" i="1"/>
  <c r="A6008" i="1"/>
  <c r="B6008" i="1"/>
  <c r="A5971" i="1"/>
  <c r="B5971" i="1"/>
  <c r="A5972" i="1"/>
  <c r="B5972" i="1"/>
  <c r="A6265" i="1"/>
  <c r="B6265" i="1"/>
  <c r="A5855" i="1"/>
  <c r="B5855" i="1"/>
  <c r="A5903" i="1"/>
  <c r="B5903" i="1"/>
  <c r="A5856" i="1"/>
  <c r="B5856" i="1"/>
  <c r="A5936" i="1"/>
  <c r="B5936" i="1"/>
  <c r="A5857" i="1"/>
  <c r="B5857" i="1"/>
  <c r="A6026" i="1"/>
  <c r="B6026" i="1"/>
  <c r="A6266" i="1"/>
  <c r="B6266" i="1"/>
  <c r="A6267" i="1"/>
  <c r="B6267" i="1"/>
  <c r="A6230" i="1"/>
  <c r="B6230" i="1"/>
  <c r="A6000" i="1"/>
  <c r="B6000" i="1"/>
  <c r="A6041" i="1"/>
  <c r="B6041" i="1"/>
  <c r="A6042" i="1"/>
  <c r="B6042" i="1"/>
  <c r="A6043" i="1"/>
  <c r="B6043" i="1"/>
  <c r="A6027" i="1"/>
  <c r="B6027" i="1"/>
  <c r="A6044" i="1"/>
  <c r="B6044" i="1"/>
  <c r="A6045" i="1"/>
  <c r="B6045" i="1"/>
  <c r="A5937" i="1"/>
  <c r="B5937" i="1"/>
  <c r="A6009" i="1"/>
  <c r="B6009" i="1"/>
  <c r="A5938" i="1"/>
  <c r="B5938" i="1"/>
  <c r="A5939" i="1"/>
  <c r="B5939" i="1"/>
  <c r="A6010" i="1"/>
  <c r="B6010" i="1"/>
  <c r="A6046" i="1"/>
  <c r="B6046" i="1"/>
  <c r="A6047" i="1"/>
  <c r="B6047" i="1"/>
  <c r="A6001" i="1"/>
  <c r="B6001" i="1"/>
  <c r="A5956" i="1"/>
  <c r="B5956" i="1"/>
  <c r="A6071" i="1"/>
  <c r="B6071" i="1"/>
  <c r="A5858" i="1"/>
  <c r="B5858" i="1"/>
  <c r="A5859" i="1"/>
  <c r="B5859" i="1"/>
  <c r="A6011" i="1"/>
  <c r="B6011" i="1"/>
  <c r="A5973" i="1"/>
  <c r="B5973" i="1"/>
  <c r="A6002" i="1"/>
  <c r="B6002" i="1"/>
  <c r="A5860" i="1"/>
  <c r="B5860" i="1"/>
  <c r="A5861" i="1"/>
  <c r="B5861" i="1"/>
  <c r="A5862" i="1"/>
  <c r="B5862" i="1"/>
  <c r="A5863" i="1"/>
  <c r="B5863" i="1"/>
  <c r="A6231" i="1"/>
  <c r="B6231" i="1"/>
  <c r="A6028" i="1"/>
  <c r="B6028" i="1"/>
  <c r="A6072" i="1"/>
  <c r="B6072" i="1"/>
  <c r="A6048" i="1"/>
  <c r="B6048" i="1"/>
  <c r="A6049" i="1"/>
  <c r="B6049" i="1"/>
  <c r="A6050" i="1"/>
  <c r="B6050" i="1"/>
  <c r="A6051" i="1"/>
  <c r="B6051" i="1"/>
  <c r="A6161" i="1"/>
  <c r="B6161" i="1"/>
  <c r="A6260" i="1"/>
  <c r="B6260" i="1"/>
  <c r="A6029" i="1"/>
  <c r="B6029" i="1"/>
  <c r="A6261" i="1"/>
  <c r="B6261" i="1"/>
  <c r="A6262" i="1"/>
  <c r="B6262" i="1"/>
  <c r="A6073" i="1"/>
  <c r="B6073" i="1"/>
  <c r="A5940" i="1"/>
  <c r="B5940" i="1"/>
  <c r="A5941" i="1"/>
  <c r="B5941" i="1"/>
  <c r="A6232" i="1"/>
  <c r="B6232" i="1"/>
  <c r="A6233" i="1"/>
  <c r="B6233" i="1"/>
  <c r="A6030" i="1"/>
  <c r="B6030" i="1"/>
  <c r="A6202" i="1"/>
  <c r="B6202" i="1"/>
  <c r="A6203" i="1"/>
  <c r="B6203" i="1"/>
  <c r="A6204" i="1"/>
  <c r="B6204" i="1"/>
  <c r="A6067" i="1"/>
  <c r="B6067" i="1"/>
  <c r="A6263" i="1"/>
  <c r="B6263" i="1"/>
  <c r="A6205" i="1"/>
  <c r="B6205" i="1"/>
  <c r="A6068" i="1"/>
  <c r="B6068" i="1"/>
  <c r="A6079" i="1"/>
  <c r="B6079" i="1"/>
  <c r="A6052" i="1"/>
  <c r="B6052" i="1"/>
  <c r="A6053" i="1"/>
  <c r="B6053" i="1"/>
  <c r="A6012" i="1"/>
  <c r="B6012" i="1"/>
  <c r="A6054" i="1"/>
  <c r="B6054" i="1"/>
  <c r="A6055" i="1"/>
  <c r="B6055" i="1"/>
  <c r="A6056" i="1"/>
  <c r="B6056" i="1"/>
  <c r="A6057" i="1"/>
  <c r="B6057" i="1"/>
  <c r="A6013" i="1"/>
  <c r="B6013" i="1"/>
  <c r="A6084" i="1"/>
  <c r="B6084" i="1"/>
  <c r="A6003" i="1"/>
  <c r="B6003" i="1"/>
  <c r="A6085" i="1"/>
  <c r="B6085" i="1"/>
  <c r="A6058" i="1"/>
  <c r="B6058" i="1"/>
  <c r="A6268" i="1"/>
  <c r="B6268" i="1"/>
  <c r="A6074" i="1"/>
  <c r="B6074" i="1"/>
  <c r="A6086" i="1"/>
  <c r="B6086" i="1"/>
  <c r="A6031" i="1"/>
  <c r="B6031" i="1"/>
  <c r="A6087" i="1"/>
  <c r="B6087" i="1"/>
  <c r="A6075" i="1"/>
  <c r="B6075" i="1"/>
  <c r="A6088" i="1"/>
  <c r="B6088" i="1"/>
  <c r="A6076" i="1"/>
  <c r="B6076" i="1"/>
  <c r="A6059" i="1"/>
  <c r="B6059" i="1"/>
  <c r="A6114" i="1"/>
  <c r="B6114" i="1"/>
  <c r="A5942" i="1"/>
  <c r="B5942" i="1"/>
  <c r="A6077" i="1"/>
  <c r="B6077" i="1"/>
  <c r="A5943" i="1"/>
  <c r="B5943" i="1"/>
  <c r="A6080" i="1"/>
  <c r="B6080" i="1"/>
  <c r="A5944" i="1"/>
  <c r="B5944" i="1"/>
  <c r="A5875" i="1"/>
  <c r="B5875" i="1"/>
  <c r="A5945" i="1"/>
  <c r="B5945" i="1"/>
  <c r="A5876" i="1"/>
  <c r="B5876" i="1"/>
  <c r="A5946" i="1"/>
  <c r="B5946" i="1"/>
  <c r="A6069" i="1"/>
  <c r="B6069" i="1"/>
  <c r="A6070" i="1"/>
  <c r="B6070" i="1"/>
  <c r="A6081" i="1"/>
  <c r="B6081" i="1"/>
  <c r="A6082" i="1"/>
  <c r="B6082" i="1"/>
  <c r="A6060" i="1"/>
  <c r="B6060" i="1"/>
  <c r="A6014" i="1"/>
  <c r="B6014" i="1"/>
  <c r="A6269" i="1"/>
  <c r="B6269" i="1"/>
  <c r="A6015" i="1"/>
  <c r="B6015" i="1"/>
  <c r="A6089" i="1"/>
  <c r="B6089" i="1"/>
  <c r="A6016" i="1"/>
  <c r="B6016" i="1"/>
  <c r="A6061" i="1"/>
  <c r="B6061" i="1"/>
  <c r="A6090" i="1"/>
  <c r="B6090" i="1"/>
  <c r="A6115" i="1"/>
  <c r="B6115" i="1"/>
  <c r="A6270" i="1"/>
  <c r="B6270" i="1"/>
  <c r="A6032" i="1"/>
  <c r="B6032" i="1"/>
  <c r="A6004" i="1"/>
  <c r="B6004" i="1"/>
  <c r="A6243" i="1"/>
  <c r="B6243" i="1"/>
  <c r="A5947" i="1"/>
  <c r="B5947" i="1"/>
  <c r="A5948" i="1"/>
  <c r="B5948" i="1"/>
  <c r="A5949" i="1"/>
  <c r="B5949" i="1"/>
  <c r="A6078" i="1"/>
  <c r="B6078" i="1"/>
  <c r="A6234" i="1"/>
  <c r="B6234" i="1"/>
  <c r="A6091" i="1"/>
  <c r="B6091" i="1"/>
  <c r="A6083" i="1"/>
  <c r="B6083" i="1"/>
  <c r="A6235" i="1"/>
  <c r="B6235" i="1"/>
  <c r="A6062" i="1"/>
  <c r="B6062" i="1"/>
  <c r="A6063" i="1"/>
  <c r="B6063" i="1"/>
  <c r="A5864" i="1"/>
  <c r="B5864" i="1"/>
  <c r="A6271" i="1"/>
  <c r="B6271" i="1"/>
  <c r="A5877" i="1"/>
  <c r="B5877" i="1"/>
  <c r="A5878" i="1"/>
  <c r="B5878" i="1"/>
  <c r="A6272" i="1"/>
  <c r="B6272" i="1"/>
  <c r="A6033" i="1"/>
  <c r="B6033" i="1"/>
  <c r="A5865" i="1"/>
  <c r="B5865" i="1"/>
  <c r="A5879" i="1"/>
  <c r="B5879" i="1"/>
  <c r="A5880" i="1"/>
  <c r="B5880" i="1"/>
  <c r="A6239" i="1"/>
  <c r="B6239" i="1"/>
  <c r="A6273" i="1"/>
  <c r="B6273" i="1"/>
  <c r="A5866" i="1"/>
  <c r="B5866" i="1"/>
  <c r="A5867" i="1"/>
  <c r="B5867" i="1"/>
  <c r="A5868" i="1"/>
  <c r="B5868" i="1"/>
  <c r="A6274" i="1"/>
  <c r="B6274" i="1"/>
  <c r="A6275" i="1"/>
  <c r="B6275" i="1"/>
  <c r="A5881" i="1"/>
  <c r="B5881" i="1"/>
  <c r="A5882" i="1"/>
  <c r="B5882" i="1"/>
  <c r="A5883" i="1"/>
  <c r="B5883" i="1"/>
  <c r="A6240" i="1"/>
  <c r="B6240" i="1"/>
  <c r="A5884" i="1"/>
  <c r="B5884" i="1"/>
  <c r="A5885" i="1"/>
  <c r="B5885" i="1"/>
  <c r="A6244" i="1"/>
  <c r="B6244" i="1"/>
  <c r="A6245" i="1"/>
  <c r="B6245" i="1"/>
  <c r="A6246" i="1"/>
  <c r="B6246" i="1"/>
  <c r="A6236" i="1"/>
  <c r="B6236" i="1"/>
  <c r="A6247" i="1"/>
  <c r="B6247" i="1"/>
  <c r="A6248" i="1"/>
  <c r="B6248" i="1"/>
  <c r="A6249" i="1"/>
  <c r="B6249" i="1"/>
  <c r="A5869" i="1"/>
  <c r="B5869" i="1"/>
  <c r="A5886" i="1"/>
  <c r="B5886" i="1"/>
  <c r="A5870" i="1"/>
  <c r="B5870" i="1"/>
  <c r="A5871" i="1"/>
  <c r="B5871" i="1"/>
  <c r="A6162" i="1"/>
  <c r="B6162" i="1"/>
  <c r="A6163" i="1"/>
  <c r="B6163" i="1"/>
  <c r="A6250" i="1"/>
  <c r="B6250" i="1"/>
  <c r="A6241" i="1"/>
  <c r="B6241" i="1"/>
  <c r="A6276" i="1"/>
  <c r="B6276" i="1"/>
  <c r="A5872" i="1"/>
  <c r="B5872" i="1"/>
  <c r="A6034" i="1"/>
  <c r="B6034" i="1"/>
  <c r="A6251" i="1"/>
  <c r="B6251" i="1"/>
  <c r="A6242" i="1"/>
  <c r="B6242" i="1"/>
  <c r="A5873" i="1"/>
  <c r="B5873" i="1"/>
  <c r="A6252" i="1"/>
  <c r="B6252" i="1"/>
  <c r="A6255" i="1"/>
  <c r="B6255" i="1"/>
  <c r="A6035" i="1"/>
  <c r="B6035" i="1"/>
  <c r="A5874" i="1"/>
  <c r="B5874" i="1"/>
  <c r="A6256" i="1"/>
  <c r="B6256" i="1"/>
  <c r="A2667" i="1" l="1"/>
  <c r="B2667" i="1"/>
  <c r="A2486" i="1"/>
  <c r="B2486" i="1"/>
  <c r="A2497" i="1"/>
  <c r="B2497" i="1"/>
  <c r="A2498" i="1"/>
  <c r="B2498" i="1"/>
  <c r="A2711" i="1"/>
  <c r="B2711" i="1"/>
  <c r="A2712" i="1"/>
  <c r="B2712" i="1"/>
  <c r="A2678" i="1"/>
  <c r="B2678" i="1"/>
  <c r="A2703" i="1"/>
  <c r="B2703" i="1"/>
  <c r="A2539" i="1"/>
  <c r="B2539" i="1"/>
  <c r="A2540" i="1"/>
  <c r="B2540" i="1"/>
  <c r="A2512" i="1"/>
  <c r="B2512" i="1"/>
  <c r="A3054" i="1"/>
  <c r="B3054" i="1"/>
  <c r="A2621" i="1"/>
  <c r="B2621" i="1"/>
  <c r="A2532" i="1"/>
  <c r="B2532" i="1"/>
  <c r="A2533" i="1"/>
  <c r="B2533" i="1"/>
  <c r="A2525" i="1"/>
  <c r="B2525" i="1"/>
  <c r="A3046" i="1"/>
  <c r="B3046" i="1"/>
  <c r="A2704" i="1"/>
  <c r="B2704" i="1"/>
  <c r="A2499" i="1"/>
  <c r="B2499" i="1"/>
  <c r="A2713" i="1"/>
  <c r="B2713" i="1"/>
  <c r="A2500" i="1"/>
  <c r="B2500" i="1"/>
  <c r="A2625" i="1"/>
  <c r="B2625" i="1"/>
  <c r="A2714" i="1"/>
  <c r="B2714" i="1"/>
  <c r="A2673" i="1"/>
  <c r="B2673" i="1"/>
  <c r="A2800" i="1"/>
  <c r="B2800" i="1"/>
  <c r="A2605" i="1"/>
  <c r="B2605" i="1"/>
  <c r="A2606" i="1"/>
  <c r="B2606" i="1"/>
  <c r="A2607" i="1"/>
  <c r="B2607" i="1"/>
  <c r="A2501" i="1"/>
  <c r="B2501" i="1"/>
  <c r="A2593" i="1"/>
  <c r="B2593" i="1"/>
  <c r="A2798" i="1"/>
  <c r="B2798" i="1"/>
  <c r="A2502" i="1"/>
  <c r="B2502" i="1"/>
  <c r="A2668" i="1"/>
  <c r="B2668" i="1"/>
  <c r="A2503" i="1"/>
  <c r="B2503" i="1"/>
  <c r="A2799" i="1"/>
  <c r="B2799" i="1"/>
  <c r="A2504" i="1"/>
  <c r="B2504" i="1"/>
  <c r="A2505" i="1"/>
  <c r="B2505" i="1"/>
  <c r="A2669" i="1"/>
  <c r="B2669" i="1"/>
  <c r="A2524" i="1"/>
  <c r="B2524" i="1"/>
  <c r="A2679" i="1"/>
  <c r="B2679" i="1"/>
  <c r="A2506" i="1"/>
  <c r="B2506" i="1"/>
  <c r="A2674" i="1"/>
  <c r="B2674" i="1"/>
  <c r="A2675" i="1"/>
  <c r="B2675" i="1"/>
  <c r="A2706" i="1"/>
  <c r="B2706" i="1"/>
  <c r="A2707" i="1"/>
  <c r="B2707" i="1"/>
  <c r="A2676" i="1"/>
  <c r="B2676" i="1"/>
  <c r="A2487" i="1"/>
  <c r="B2487" i="1"/>
  <c r="A2677" i="1"/>
  <c r="B2677" i="1"/>
  <c r="A2698" i="1"/>
  <c r="B2698" i="1"/>
  <c r="A2401" i="1"/>
  <c r="B2401" i="1"/>
  <c r="A2684" i="1"/>
  <c r="B2684" i="1"/>
  <c r="A2507" i="1"/>
  <c r="B2507" i="1"/>
  <c r="A3055" i="1"/>
  <c r="B3055" i="1"/>
  <c r="A2685" i="1"/>
  <c r="B2685" i="1"/>
  <c r="A2513" i="1"/>
  <c r="B2513" i="1"/>
  <c r="A2594" i="1"/>
  <c r="B2594" i="1"/>
  <c r="A2488" i="1"/>
  <c r="B2488" i="1"/>
  <c r="A2602" i="1"/>
  <c r="B2602" i="1"/>
  <c r="A2603" i="1"/>
  <c r="B2603" i="1"/>
  <c r="A2534" i="1"/>
  <c r="B2534" i="1"/>
  <c r="A2597" i="1"/>
  <c r="B2597" i="1"/>
  <c r="A2489" i="1"/>
  <c r="B2489" i="1"/>
  <c r="A2608" i="1"/>
  <c r="B2608" i="1"/>
  <c r="A2508" i="1"/>
  <c r="B2508" i="1"/>
  <c r="A2509" i="1"/>
  <c r="B2509" i="1"/>
  <c r="A2517" i="1"/>
  <c r="B2517" i="1"/>
  <c r="A2518" i="1"/>
  <c r="B2518" i="1"/>
  <c r="A3042" i="1"/>
  <c r="B3042" i="1"/>
  <c r="A2682" i="1"/>
  <c r="B2682" i="1"/>
  <c r="A2490" i="1"/>
  <c r="B2490" i="1"/>
  <c r="A2592" i="1"/>
  <c r="B2592" i="1"/>
  <c r="A2683" i="1"/>
  <c r="B2683" i="1"/>
  <c r="A2510" i="1"/>
  <c r="B2510" i="1"/>
  <c r="A2400" i="1"/>
  <c r="B2400" i="1"/>
  <c r="A2519" i="1"/>
  <c r="B2519" i="1"/>
  <c r="A2520" i="1"/>
  <c r="B2520" i="1"/>
  <c r="A2521" i="1"/>
  <c r="B2521" i="1"/>
  <c r="A2688" i="1"/>
  <c r="B2688" i="1"/>
  <c r="A2626" i="1"/>
  <c r="B2626" i="1"/>
  <c r="A3043" i="1"/>
  <c r="B3043" i="1"/>
  <c r="A2803" i="1"/>
  <c r="B2803" i="1"/>
  <c r="A2634" i="1"/>
  <c r="B2634" i="1"/>
  <c r="A2635" i="1"/>
  <c r="B2635" i="1"/>
  <c r="A3056" i="1"/>
  <c r="B3056" i="1"/>
  <c r="A2670" i="1"/>
  <c r="B2670" i="1"/>
  <c r="A2431" i="1"/>
  <c r="B2431" i="1"/>
  <c r="A2689" i="1"/>
  <c r="B2689" i="1"/>
  <c r="A2632" i="1"/>
  <c r="B2632" i="1"/>
  <c r="A2627" i="1"/>
  <c r="B2627" i="1"/>
  <c r="A2628" i="1"/>
  <c r="B2628" i="1"/>
  <c r="A2672" i="1"/>
  <c r="B2672" i="1"/>
  <c r="A2629" i="1"/>
  <c r="B2629" i="1"/>
  <c r="A3039" i="1"/>
  <c r="B3039" i="1"/>
  <c r="A2630" i="1"/>
  <c r="B2630" i="1"/>
  <c r="A2526" i="1"/>
  <c r="B2526" i="1"/>
  <c r="A2491" i="1"/>
  <c r="B2491" i="1"/>
  <c r="A2641" i="1" l="1"/>
  <c r="B2641" i="1"/>
  <c r="A2416" i="1"/>
  <c r="B2416" i="1"/>
  <c r="A2642" i="1"/>
  <c r="B2642" i="1"/>
  <c r="A2429" i="1"/>
  <c r="B2429" i="1"/>
  <c r="A2584" i="1"/>
  <c r="B2584" i="1"/>
  <c r="A2399" i="1"/>
  <c r="B2399" i="1"/>
  <c r="A2556" i="1"/>
  <c r="B2556" i="1"/>
  <c r="A2725" i="1"/>
  <c r="B2725" i="1"/>
  <c r="A2613" i="1"/>
  <c r="B2613" i="1"/>
  <c r="A2609" i="1"/>
  <c r="B2609" i="1"/>
  <c r="A2413" i="1"/>
  <c r="B2413" i="1"/>
  <c r="A2451" i="1"/>
  <c r="B2451" i="1"/>
  <c r="A2726" i="1"/>
  <c r="B2726" i="1"/>
  <c r="A2472" i="1"/>
  <c r="B2472" i="1"/>
  <c r="A2585" i="1"/>
  <c r="B2585" i="1"/>
  <c r="A2414" i="1"/>
  <c r="B2414" i="1"/>
  <c r="A2473" i="1"/>
  <c r="B2473" i="1"/>
  <c r="A2474" i="1"/>
  <c r="B2474" i="1"/>
  <c r="A2439" i="1"/>
  <c r="B2439" i="1"/>
  <c r="A2610" i="1"/>
  <c r="B2610" i="1"/>
  <c r="A2614" i="1"/>
  <c r="B2614" i="1"/>
  <c r="A2480" i="1"/>
  <c r="B2480" i="1"/>
  <c r="A2481" i="1"/>
  <c r="B2481" i="1"/>
  <c r="A2440" i="1"/>
  <c r="B2440" i="1"/>
  <c r="A2839" i="1"/>
  <c r="B2839" i="1"/>
  <c r="A2441" i="1"/>
  <c r="B2441" i="1"/>
  <c r="A2442" i="1"/>
  <c r="B2442" i="1"/>
  <c r="A2443" i="1"/>
  <c r="B2443" i="1"/>
  <c r="A2482" i="1"/>
  <c r="B2482" i="1"/>
  <c r="A2427" i="1"/>
  <c r="B2427" i="1"/>
  <c r="A2483" i="1"/>
  <c r="B2483" i="1"/>
  <c r="A2428" i="1"/>
  <c r="B2428" i="1"/>
  <c r="A2435" i="1"/>
  <c r="B2435" i="1"/>
  <c r="A2436" i="1"/>
  <c r="B2436" i="1"/>
  <c r="A2660" i="1"/>
  <c r="B2660" i="1"/>
  <c r="A2444" i="1"/>
  <c r="B2444" i="1"/>
  <c r="A2661" i="1"/>
  <c r="B2661" i="1"/>
  <c r="A2452" i="1"/>
  <c r="B2452" i="1"/>
  <c r="A2558" i="1"/>
  <c r="B2558" i="1"/>
  <c r="A2647" i="1"/>
  <c r="B2647" i="1"/>
  <c r="A2559" i="1"/>
  <c r="B2559" i="1"/>
  <c r="A2643" i="1"/>
  <c r="B2643" i="1"/>
  <c r="A2394" i="1"/>
  <c r="B2394" i="1"/>
  <c r="A2453" i="1"/>
  <c r="B2453" i="1"/>
  <c r="A2681" i="1"/>
  <c r="B2681" i="1"/>
  <c r="A2395" i="1"/>
  <c r="B2395" i="1"/>
  <c r="A2611" i="1"/>
  <c r="B2611" i="1"/>
  <c r="A2612" i="1"/>
  <c r="B2612" i="1"/>
  <c r="A2460" i="1"/>
  <c r="B2460" i="1"/>
  <c r="A2423" i="1"/>
  <c r="B2423" i="1"/>
  <c r="A2454" i="1"/>
  <c r="B2454" i="1"/>
  <c r="A2648" i="1"/>
  <c r="B2648" i="1"/>
  <c r="A2437" i="1"/>
  <c r="B2437" i="1"/>
  <c r="A2662" i="1"/>
  <c r="B2662" i="1"/>
  <c r="A2663" i="1"/>
  <c r="B2663" i="1"/>
  <c r="A2615" i="1"/>
  <c r="B2615" i="1"/>
  <c r="A2616" i="1"/>
  <c r="B2616" i="1"/>
  <c r="A2424" i="1"/>
  <c r="B2424" i="1"/>
  <c r="A2406" i="1"/>
  <c r="B2406" i="1"/>
  <c r="A2656" i="1"/>
  <c r="B2656" i="1"/>
  <c r="A2475" i="1"/>
  <c r="B2475" i="1"/>
  <c r="A2550" i="1"/>
  <c r="B2550" i="1"/>
  <c r="A2461" i="1"/>
  <c r="B2461" i="1"/>
  <c r="A2582" i="1"/>
  <c r="B2582" i="1"/>
  <c r="A2644" i="1"/>
  <c r="B2644" i="1"/>
  <c r="A2462" i="1"/>
  <c r="B2462" i="1"/>
  <c r="A2445" i="1"/>
  <c r="B2445" i="1"/>
  <c r="A2446" i="1"/>
  <c r="B2446" i="1"/>
  <c r="A2447" i="1"/>
  <c r="B2447" i="1"/>
  <c r="A2579" i="1"/>
  <c r="B2579" i="1"/>
  <c r="A2580" i="1"/>
  <c r="B2580" i="1"/>
  <c r="A2581" i="1"/>
  <c r="B2581" i="1"/>
  <c r="A2417" i="1"/>
  <c r="B2417" i="1"/>
  <c r="A2418" i="1"/>
  <c r="B2418" i="1"/>
  <c r="A2553" i="1"/>
  <c r="B2553" i="1"/>
  <c r="A2649" i="1"/>
  <c r="B2649" i="1"/>
  <c r="A2586" i="1"/>
  <c r="B2586" i="1"/>
  <c r="A2430" i="1"/>
  <c r="B2430" i="1"/>
  <c r="A2650" i="1"/>
  <c r="B2650" i="1"/>
  <c r="A2590" i="1"/>
  <c r="B2590" i="1"/>
  <c r="A2576" i="1"/>
  <c r="B2576" i="1"/>
  <c r="A2535" i="1"/>
  <c r="B2535" i="1"/>
  <c r="A2536" i="1"/>
  <c r="B2536" i="1"/>
  <c r="A2555" i="1"/>
  <c r="B2555" i="1"/>
  <c r="A2448" i="1"/>
  <c r="B2448" i="1"/>
  <c r="A2391" i="1"/>
  <c r="B2391" i="1"/>
  <c r="A2651" i="1"/>
  <c r="B2651" i="1"/>
  <c r="A2587" i="1"/>
  <c r="B2587" i="1"/>
  <c r="A2569" i="1"/>
  <c r="B2569" i="1"/>
  <c r="A2588" i="1"/>
  <c r="B2588" i="1"/>
  <c r="A2665" i="1"/>
  <c r="B2665" i="1"/>
  <c r="A2666" i="1"/>
  <c r="B2666" i="1"/>
  <c r="A2617" i="1"/>
  <c r="B2617" i="1"/>
  <c r="A2657" i="1"/>
  <c r="B2657" i="1"/>
  <c r="A2658" i="1"/>
  <c r="B2658" i="1"/>
  <c r="A2640" i="1"/>
  <c r="B2640" i="1"/>
  <c r="A2438" i="1"/>
  <c r="B2438" i="1"/>
  <c r="A2419" i="1"/>
  <c r="B2419" i="1"/>
  <c r="A2420" i="1"/>
  <c r="B2420" i="1"/>
  <c r="A2421" i="1"/>
  <c r="B2421" i="1"/>
  <c r="A2422" i="1"/>
  <c r="B2422" i="1"/>
  <c r="A2655" i="1"/>
  <c r="B2655" i="1"/>
  <c r="A2659" i="1"/>
  <c r="B2659" i="1"/>
  <c r="A2463" i="1"/>
  <c r="B2463" i="1"/>
  <c r="A2544" i="1"/>
  <c r="B2544" i="1"/>
  <c r="A2570" i="1"/>
  <c r="B2570" i="1"/>
  <c r="A2571" i="1"/>
  <c r="B2571" i="1"/>
  <c r="A2464" i="1"/>
  <c r="B2464" i="1"/>
  <c r="A2589" i="1"/>
  <c r="B2589" i="1"/>
  <c r="A2572" i="1"/>
  <c r="B2572" i="1"/>
  <c r="A2573" i="1"/>
  <c r="B2573" i="1"/>
  <c r="A2554" i="1"/>
  <c r="B2554" i="1"/>
  <c r="A2476" i="1"/>
  <c r="B2476" i="1"/>
  <c r="A2645" i="1"/>
  <c r="B2645" i="1"/>
  <c r="A2477" i="1"/>
  <c r="B2477" i="1"/>
  <c r="A2801" i="1"/>
  <c r="B2801" i="1"/>
  <c r="A2449" i="1"/>
  <c r="B2449" i="1"/>
  <c r="A2478" i="1"/>
  <c r="B2478" i="1"/>
  <c r="A2574" i="1"/>
  <c r="B2574" i="1"/>
  <c r="A2577" i="1"/>
  <c r="B2577" i="1"/>
  <c r="A2450" i="1"/>
  <c r="B2450" i="1"/>
  <c r="A2396" i="1"/>
  <c r="B2396" i="1"/>
  <c r="A2578" i="1"/>
  <c r="B2578" i="1"/>
  <c r="A2575" i="1"/>
  <c r="B2575" i="1"/>
  <c r="A2652" i="1"/>
  <c r="B2652" i="1"/>
  <c r="A2479" i="1"/>
  <c r="B2479" i="1"/>
  <c r="A2653" i="1"/>
  <c r="B2653" i="1"/>
  <c r="A2392" i="1"/>
  <c r="B2392" i="1"/>
  <c r="A2397" i="1"/>
  <c r="B2397" i="1"/>
  <c r="A2548" i="1"/>
  <c r="B2548" i="1"/>
  <c r="A2549" i="1"/>
  <c r="B2549" i="1"/>
  <c r="A2564" i="1"/>
  <c r="B2564" i="1"/>
  <c r="A2565" i="1"/>
  <c r="B2565" i="1"/>
  <c r="A2566" i="1"/>
  <c r="B2566" i="1"/>
  <c r="A2567" i="1"/>
  <c r="B2567" i="1"/>
  <c r="A2568" i="1"/>
  <c r="B2568" i="1"/>
  <c r="A2802" i="1"/>
  <c r="B2802" i="1"/>
  <c r="A2407" i="1"/>
  <c r="B2407" i="1"/>
  <c r="A2551" i="1"/>
  <c r="B2551" i="1"/>
  <c r="A2398" i="1"/>
  <c r="B2398" i="1"/>
  <c r="A2552" i="1"/>
  <c r="B2552" i="1"/>
  <c r="A3048" i="1"/>
  <c r="B3048" i="1"/>
  <c r="A2545" i="1"/>
  <c r="B2545" i="1"/>
  <c r="A2455" i="1"/>
  <c r="B2455" i="1"/>
  <c r="A2390" i="1"/>
  <c r="B2390" i="1"/>
  <c r="A2680" i="1"/>
  <c r="B2680" i="1"/>
  <c r="A2560" i="1"/>
  <c r="B2560" i="1"/>
  <c r="A2415" i="1"/>
  <c r="B2415" i="1"/>
  <c r="A2583" i="1"/>
  <c r="B2583" i="1"/>
  <c r="A2456" i="1"/>
  <c r="B2456" i="1"/>
  <c r="A2465" i="1"/>
  <c r="B2465" i="1"/>
  <c r="A2409" i="1"/>
  <c r="B2409" i="1"/>
  <c r="A2410" i="1"/>
  <c r="B2410" i="1"/>
  <c r="A2411" i="1"/>
  <c r="B2411" i="1"/>
  <c r="A2393" i="1"/>
  <c r="B2393" i="1"/>
  <c r="A2468" i="1"/>
  <c r="B2468" i="1"/>
  <c r="A2457" i="1"/>
  <c r="B2457" i="1"/>
  <c r="A2466" i="1"/>
  <c r="B2466" i="1"/>
  <c r="A2467" i="1"/>
  <c r="B2467" i="1"/>
  <c r="A2389" i="1"/>
  <c r="B2389" i="1"/>
  <c r="A2541" i="1"/>
  <c r="B2541" i="1"/>
  <c r="A2654" i="1"/>
  <c r="B2654" i="1"/>
  <c r="A2426" i="1"/>
  <c r="B2426" i="1"/>
  <c r="A2546" i="1"/>
  <c r="B2546" i="1"/>
  <c r="A2542" i="1"/>
  <c r="B2542" i="1"/>
  <c r="A2547" i="1"/>
  <c r="B2547" i="1"/>
  <c r="A2561" i="1"/>
  <c r="B2561" i="1"/>
  <c r="A2543" i="1"/>
  <c r="B2543" i="1"/>
  <c r="A2646" i="1"/>
  <c r="B2646" i="1"/>
  <c r="A2664" i="1"/>
  <c r="B2664" i="1"/>
  <c r="A2469" i="1"/>
  <c r="B2469" i="1"/>
  <c r="A2458" i="1"/>
  <c r="B2458" i="1"/>
  <c r="A2434" i="1"/>
  <c r="B2434" i="1"/>
  <c r="A2562" i="1"/>
  <c r="B2562" i="1"/>
  <c r="A2408" i="1"/>
  <c r="B2408" i="1"/>
  <c r="A2459" i="1"/>
  <c r="B2459" i="1"/>
  <c r="A2412" i="1"/>
  <c r="B2412" i="1"/>
  <c r="A2563" i="1"/>
  <c r="B2563" i="1"/>
  <c r="A2470" i="1"/>
  <c r="B2470" i="1"/>
  <c r="A2403" i="1"/>
  <c r="B2403" i="1"/>
  <c r="A2404" i="1"/>
  <c r="B2404" i="1"/>
  <c r="A2405" i="1"/>
  <c r="B2405" i="1"/>
  <c r="A2425" i="1"/>
  <c r="B2425" i="1"/>
  <c r="A2471" i="1"/>
  <c r="B2471" i="1"/>
  <c r="A2492" i="1"/>
  <c r="B2492" i="1"/>
  <c r="A2493" i="1"/>
  <c r="B2493" i="1"/>
  <c r="A2618" i="1"/>
  <c r="B2618" i="1"/>
  <c r="A2494" i="1"/>
  <c r="B2494" i="1"/>
  <c r="A2619" i="1"/>
  <c r="B2619" i="1"/>
  <c r="A2495" i="1"/>
  <c r="B2495" i="1"/>
  <c r="A2620" i="1"/>
  <c r="B2620" i="1"/>
  <c r="A3040" i="1"/>
  <c r="B3040" i="1"/>
  <c r="A2695" i="1"/>
  <c r="B2695" i="1"/>
  <c r="A2523" i="1"/>
  <c r="B2523" i="1"/>
  <c r="A3041" i="1"/>
  <c r="B3041" i="1"/>
  <c r="A3018" i="1"/>
  <c r="B3018" i="1"/>
  <c r="A3019" i="1"/>
  <c r="B3019" i="1"/>
  <c r="A2633" i="1"/>
  <c r="B2633" i="1"/>
  <c r="A2522" i="1"/>
  <c r="B2522" i="1"/>
  <c r="A2705" i="1"/>
  <c r="B2705" i="1"/>
  <c r="A2724" i="1"/>
  <c r="B2724" i="1"/>
  <c r="A2696" i="1"/>
  <c r="B2696" i="1"/>
  <c r="A2496" i="1"/>
  <c r="B2496" i="1"/>
  <c r="A2717" i="1"/>
  <c r="B2717" i="1"/>
  <c r="A2690" i="1"/>
  <c r="B2690" i="1"/>
  <c r="A3049" i="1"/>
  <c r="B3049" i="1"/>
  <c r="A2699" i="1"/>
  <c r="B2699" i="1"/>
  <c r="A2718" i="1"/>
  <c r="B2718" i="1"/>
  <c r="A2598" i="1"/>
  <c r="B2598" i="1"/>
  <c r="A3020" i="1"/>
  <c r="B3020" i="1"/>
  <c r="A2691" i="1"/>
  <c r="B2691" i="1"/>
  <c r="A2697" i="1"/>
  <c r="B2697" i="1"/>
  <c r="A2604" i="1"/>
  <c r="B2604" i="1"/>
  <c r="A2715" i="1"/>
  <c r="B2715" i="1"/>
  <c r="A2719" i="1"/>
  <c r="B2719" i="1"/>
  <c r="A2716" i="1"/>
  <c r="B2716" i="1"/>
  <c r="A2708" i="1"/>
  <c r="B2708" i="1"/>
  <c r="A2700" i="1"/>
  <c r="B2700" i="1"/>
  <c r="A2692" i="1"/>
  <c r="B2692" i="1"/>
  <c r="A3052" i="1"/>
  <c r="B3052" i="1"/>
  <c r="A2599" i="1"/>
  <c r="B2599" i="1"/>
  <c r="A2600" i="1"/>
  <c r="B2600" i="1"/>
  <c r="A2671" i="1"/>
  <c r="B2671" i="1"/>
  <c r="A3044" i="1"/>
  <c r="B3044" i="1"/>
  <c r="A2693" i="1"/>
  <c r="B2693" i="1"/>
  <c r="A3050" i="1"/>
  <c r="B3050" i="1"/>
  <c r="A3051" i="1"/>
  <c r="B3051" i="1"/>
  <c r="A2840" i="1"/>
  <c r="B2840" i="1"/>
  <c r="A3053" i="1"/>
  <c r="B3053" i="1"/>
  <c r="A2595" i="1"/>
  <c r="B2595" i="1"/>
  <c r="A2709" i="1"/>
  <c r="B2709" i="1"/>
  <c r="A2514" i="1"/>
  <c r="B2514" i="1"/>
  <c r="A2694" i="1"/>
  <c r="B2694" i="1"/>
  <c r="A2636" i="1"/>
  <c r="B2636" i="1"/>
  <c r="A2527" i="1"/>
  <c r="B2527" i="1"/>
  <c r="A2637" i="1"/>
  <c r="B2637" i="1"/>
  <c r="A2638" i="1"/>
  <c r="B2638" i="1"/>
  <c r="A2528" i="1"/>
  <c r="B2528" i="1"/>
  <c r="A3016" i="1"/>
  <c r="B3016" i="1"/>
  <c r="A2710" i="1"/>
  <c r="B2710" i="1"/>
  <c r="A2591" i="1"/>
  <c r="B2591" i="1"/>
  <c r="A2515" i="1"/>
  <c r="B2515" i="1"/>
  <c r="A2516" i="1"/>
  <c r="B2516" i="1"/>
  <c r="A2622" i="1"/>
  <c r="B2622" i="1"/>
  <c r="A2601" i="1"/>
  <c r="B2601" i="1"/>
  <c r="A2631" i="1"/>
  <c r="B2631" i="1"/>
  <c r="A2432" i="1"/>
  <c r="B2432" i="1"/>
  <c r="A2537" i="1"/>
  <c r="B2537" i="1"/>
  <c r="A2484" i="1"/>
  <c r="B2484" i="1"/>
  <c r="A2538" i="1"/>
  <c r="B2538" i="1"/>
  <c r="A2485" i="1"/>
  <c r="B2485" i="1"/>
  <c r="A3017" i="1"/>
  <c r="B3017" i="1"/>
  <c r="A2687" i="1"/>
  <c r="B2687" i="1"/>
  <c r="A2639" i="1"/>
  <c r="B2639" i="1"/>
  <c r="A2623" i="1"/>
  <c r="B2623" i="1"/>
  <c r="A2529" i="1"/>
  <c r="B2529" i="1"/>
  <c r="A2530" i="1"/>
  <c r="B2530" i="1"/>
  <c r="A2701" i="1"/>
  <c r="B2701" i="1"/>
  <c r="A2686" i="1"/>
  <c r="B2686" i="1"/>
  <c r="A2596" i="1"/>
  <c r="B2596" i="1"/>
  <c r="A3045" i="1"/>
  <c r="B3045" i="1"/>
  <c r="A3047" i="1"/>
  <c r="B3047" i="1"/>
  <c r="A2624" i="1"/>
  <c r="B2624" i="1"/>
  <c r="A2433" i="1"/>
  <c r="B2433" i="1"/>
  <c r="A2511" i="1"/>
  <c r="B2511" i="1"/>
  <c r="A2702" i="1"/>
  <c r="B2702" i="1"/>
  <c r="A2402" i="1"/>
  <c r="B2402" i="1"/>
  <c r="A2531" i="1"/>
  <c r="B2531" i="1"/>
  <c r="A3015" i="1"/>
  <c r="B3015" i="1"/>
  <c r="A2118" i="1" l="1"/>
  <c r="B2118" i="1"/>
  <c r="A2119" i="1"/>
  <c r="B2119" i="1"/>
  <c r="A2112" i="1"/>
  <c r="B2112" i="1"/>
  <c r="A2113" i="1"/>
  <c r="B2113" i="1"/>
  <c r="A2100" i="1"/>
  <c r="B2100" i="1"/>
  <c r="A2186" i="1"/>
  <c r="B2186" i="1"/>
  <c r="A2137" i="1"/>
  <c r="B2137" i="1"/>
  <c r="A2138" i="1"/>
  <c r="B2138" i="1"/>
  <c r="A2201" i="1"/>
  <c r="B2201" i="1"/>
  <c r="A2168" i="1"/>
  <c r="B2168" i="1"/>
  <c r="A2169" i="1"/>
  <c r="B2169" i="1"/>
  <c r="A2170" i="1"/>
  <c r="B2170" i="1"/>
  <c r="A2101" i="1"/>
  <c r="B2101" i="1"/>
  <c r="A2284" i="1"/>
  <c r="B2284" i="1"/>
  <c r="A2102" i="1"/>
  <c r="B2102" i="1"/>
  <c r="A2120" i="1"/>
  <c r="B2120" i="1"/>
  <c r="A2189" i="1"/>
  <c r="B2189" i="1"/>
  <c r="A2180" i="1"/>
  <c r="B2180" i="1"/>
  <c r="A2285" i="1"/>
  <c r="B2285" i="1"/>
  <c r="A2286" i="1"/>
  <c r="B2286" i="1"/>
  <c r="A2165" i="1"/>
  <c r="B2165" i="1"/>
  <c r="A2171" i="1"/>
  <c r="B2171" i="1"/>
  <c r="A2344" i="1"/>
  <c r="B2344" i="1"/>
  <c r="A2190" i="1"/>
  <c r="B2190" i="1"/>
  <c r="A2172" i="1"/>
  <c r="B2172" i="1"/>
  <c r="A2345" i="1"/>
  <c r="B2345" i="1"/>
  <c r="A2173" i="1"/>
  <c r="B2173" i="1"/>
  <c r="A2166" i="1"/>
  <c r="B2166" i="1"/>
  <c r="A2220" i="1"/>
  <c r="B2220" i="1"/>
  <c r="A2167" i="1"/>
  <c r="B2167" i="1"/>
  <c r="A2103" i="1"/>
  <c r="B2103" i="1"/>
  <c r="A2104" i="1"/>
  <c r="B2104" i="1"/>
  <c r="A2191" i="1"/>
  <c r="B2191" i="1"/>
  <c r="A2205" i="1"/>
  <c r="B2205" i="1"/>
  <c r="A2385" i="1"/>
  <c r="B2385" i="1"/>
  <c r="A2386" i="1"/>
  <c r="B2386" i="1"/>
  <c r="A2378" i="1"/>
  <c r="B2378" i="1"/>
  <c r="A2174" i="1"/>
  <c r="B2174" i="1"/>
  <c r="A2105" i="1"/>
  <c r="B2105" i="1"/>
  <c r="A2106" i="1"/>
  <c r="B2106" i="1"/>
  <c r="A2282" i="1"/>
  <c r="B2282" i="1"/>
  <c r="A2096" i="1"/>
  <c r="B2096" i="1"/>
  <c r="A2121" i="1"/>
  <c r="B2121" i="1"/>
  <c r="A2093" i="1"/>
  <c r="B2093" i="1"/>
  <c r="A2319" i="1"/>
  <c r="B2319" i="1"/>
  <c r="A2339" i="1"/>
  <c r="B2339" i="1"/>
  <c r="A2162" i="1"/>
  <c r="B2162" i="1"/>
  <c r="A2234" i="1"/>
  <c r="B2234" i="1"/>
  <c r="A2235" i="1"/>
  <c r="B2235" i="1"/>
  <c r="A2318" i="1"/>
  <c r="B2318" i="1"/>
  <c r="A2384" i="1"/>
  <c r="B2384" i="1"/>
  <c r="A2283" i="1"/>
  <c r="B2283" i="1"/>
  <c r="A2197" i="1"/>
  <c r="B2197" i="1"/>
  <c r="A2288" i="1"/>
  <c r="B2288" i="1"/>
  <c r="A2177" i="1"/>
  <c r="B2177" i="1"/>
  <c r="A2387" i="1"/>
  <c r="B2387" i="1"/>
  <c r="A2198" i="1"/>
  <c r="B2198" i="1"/>
  <c r="A2194" i="1"/>
  <c r="B2194" i="1"/>
  <c r="A2094" i="1"/>
  <c r="B2094" i="1"/>
  <c r="A2095" i="1"/>
  <c r="B2095" i="1"/>
  <c r="A2097" i="1"/>
  <c r="B2097" i="1"/>
  <c r="A2098" i="1"/>
  <c r="B2098" i="1"/>
  <c r="A2164" i="1"/>
  <c r="B2164" i="1"/>
  <c r="A2340" i="1"/>
  <c r="B2340" i="1"/>
  <c r="A2099" i="1"/>
  <c r="B2099" i="1"/>
  <c r="A2206" i="1"/>
  <c r="B2206" i="1"/>
  <c r="A2175" i="1"/>
  <c r="B2175" i="1"/>
  <c r="A2321" i="1"/>
  <c r="B2321" i="1"/>
  <c r="A2178" i="1"/>
  <c r="B2178" i="1"/>
  <c r="A2322" i="1"/>
  <c r="B2322" i="1"/>
  <c r="A2139" i="1"/>
  <c r="B2139" i="1"/>
  <c r="A2179" i="1"/>
  <c r="B2179" i="1"/>
  <c r="A2202" i="1"/>
  <c r="B2202" i="1"/>
  <c r="A2203" i="1"/>
  <c r="B2203" i="1"/>
  <c r="A2127" i="1"/>
  <c r="B2127" i="1"/>
  <c r="A2128" i="1"/>
  <c r="B2128" i="1"/>
  <c r="A2131" i="1"/>
  <c r="B2131" i="1"/>
  <c r="A2199" i="1"/>
  <c r="B2199" i="1"/>
  <c r="A2221" i="1"/>
  <c r="B2221" i="1"/>
  <c r="A2341" i="1"/>
  <c r="B2341" i="1"/>
  <c r="A2132" i="1"/>
  <c r="B2132" i="1"/>
  <c r="A2122" i="1"/>
  <c r="B2122" i="1"/>
  <c r="A2123" i="1"/>
  <c r="B2123" i="1"/>
  <c r="A2342" i="1"/>
  <c r="B2342" i="1"/>
  <c r="A2181" i="1"/>
  <c r="B2181" i="1"/>
  <c r="A2163" i="1"/>
  <c r="B2163" i="1"/>
  <c r="A2182" i="1"/>
  <c r="B2182" i="1"/>
  <c r="A2133" i="1"/>
  <c r="B2133" i="1"/>
  <c r="A2134" i="1"/>
  <c r="B2134" i="1"/>
  <c r="A2135" i="1"/>
  <c r="B2135" i="1"/>
  <c r="A2376" i="1"/>
  <c r="B2376" i="1"/>
  <c r="A2218" i="1"/>
  <c r="B2218" i="1"/>
  <c r="A2200" i="1"/>
  <c r="B2200" i="1"/>
  <c r="A2219" i="1"/>
  <c r="B2219" i="1"/>
  <c r="A2183" i="1"/>
  <c r="B2183" i="1"/>
  <c r="A2184" i="1"/>
  <c r="B2184" i="1"/>
  <c r="A2185" i="1"/>
  <c r="B2185" i="1"/>
  <c r="A2377" i="1"/>
  <c r="B2377" i="1"/>
  <c r="A2557" i="1"/>
  <c r="B2557" i="1"/>
  <c r="A2124" i="1"/>
  <c r="B2124" i="1"/>
  <c r="A2125" i="1"/>
  <c r="B2125" i="1"/>
  <c r="A2160" i="1"/>
  <c r="B2160" i="1"/>
  <c r="A2129" i="1"/>
  <c r="B2129" i="1"/>
  <c r="A2161" i="1"/>
  <c r="B2161" i="1"/>
  <c r="A2204" i="1"/>
  <c r="B2204" i="1"/>
  <c r="A2187" i="1"/>
  <c r="B2187" i="1"/>
  <c r="A2383" i="1"/>
  <c r="B2383" i="1"/>
  <c r="A2388" i="1"/>
  <c r="B2388" i="1"/>
  <c r="A2346" i="1"/>
  <c r="B2346" i="1"/>
  <c r="A2116" i="1"/>
  <c r="B2116" i="1"/>
  <c r="A2316" i="1"/>
  <c r="B2316" i="1"/>
  <c r="A2158" i="1"/>
  <c r="B2158" i="1"/>
  <c r="A2126" i="1"/>
  <c r="B2126" i="1"/>
  <c r="A2159" i="1"/>
  <c r="B2159" i="1"/>
  <c r="A2343" i="1"/>
  <c r="B2343" i="1"/>
  <c r="A2196" i="1"/>
  <c r="B2196" i="1"/>
  <c r="A2320" i="1"/>
  <c r="B2320" i="1"/>
  <c r="A2188" i="1"/>
  <c r="B2188" i="1"/>
  <c r="A2136" i="1"/>
  <c r="B2136" i="1"/>
  <c r="A2287" i="1"/>
  <c r="B2287" i="1"/>
  <c r="A2114" i="1"/>
  <c r="B2114" i="1"/>
  <c r="A2176" i="1"/>
  <c r="B2176" i="1"/>
  <c r="A2115" i="1"/>
  <c r="B2115" i="1"/>
  <c r="A2130" i="1"/>
  <c r="B2130" i="1"/>
  <c r="A2107" i="1"/>
  <c r="B2107" i="1"/>
  <c r="A2379" i="1"/>
  <c r="B2379" i="1"/>
  <c r="A2108" i="1"/>
  <c r="B2108" i="1"/>
  <c r="A2109" i="1"/>
  <c r="B2109" i="1"/>
  <c r="A2110" i="1"/>
  <c r="B2110" i="1"/>
  <c r="A2117" i="1"/>
  <c r="B2117" i="1"/>
  <c r="A2380" i="1"/>
  <c r="B2380" i="1"/>
  <c r="A2195" i="1"/>
  <c r="B2195" i="1"/>
  <c r="A2381" i="1"/>
  <c r="B2381" i="1"/>
  <c r="A2382" i="1"/>
  <c r="B2382" i="1"/>
  <c r="A2317" i="1"/>
  <c r="B2317" i="1"/>
  <c r="A2233" i="1"/>
  <c r="B2233" i="1"/>
  <c r="A2111" i="1"/>
  <c r="B2111" i="1"/>
  <c r="A2217" i="1"/>
  <c r="B2217" i="1"/>
  <c r="B1" i="1" l="1"/>
  <c r="A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2" i="1"/>
  <c r="A23" i="1"/>
  <c r="A24" i="1"/>
  <c r="A25" i="1"/>
  <c r="A26" i="1"/>
  <c r="A27" i="1"/>
  <c r="A28" i="1"/>
  <c r="A29" i="1"/>
  <c r="A30" i="1"/>
  <c r="A31" i="1"/>
  <c r="A32" i="1"/>
  <c r="A33" i="1"/>
  <c r="A21" i="1"/>
  <c r="A34" i="1"/>
  <c r="A35" i="1"/>
  <c r="A36" i="1"/>
  <c r="A37" i="1"/>
  <c r="A65" i="1"/>
  <c r="A38" i="1"/>
  <c r="A66" i="1"/>
  <c r="A67" i="1"/>
  <c r="A68" i="1"/>
  <c r="A69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9" i="1"/>
  <c r="A60" i="1"/>
  <c r="A61" i="1"/>
  <c r="A62" i="1"/>
  <c r="A58" i="1"/>
  <c r="A63" i="1"/>
  <c r="A64" i="1"/>
  <c r="A97" i="1"/>
  <c r="A98" i="1"/>
  <c r="A99" i="1"/>
  <c r="A100" i="1"/>
  <c r="A101" i="1"/>
  <c r="A102" i="1"/>
  <c r="A103" i="1"/>
  <c r="A104" i="1"/>
  <c r="A105" i="1"/>
  <c r="A70" i="1"/>
  <c r="A106" i="1"/>
  <c r="A107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108" i="1"/>
  <c r="A109" i="1"/>
  <c r="A87" i="1"/>
  <c r="A88" i="1"/>
  <c r="A89" i="1"/>
  <c r="A90" i="1"/>
  <c r="A91" i="1"/>
  <c r="A92" i="1"/>
  <c r="A93" i="1"/>
  <c r="A110" i="1"/>
  <c r="A94" i="1"/>
  <c r="A111" i="1"/>
  <c r="A115" i="1"/>
  <c r="A112" i="1"/>
  <c r="A116" i="1"/>
  <c r="A117" i="1"/>
  <c r="A118" i="1"/>
  <c r="A119" i="1"/>
  <c r="A120" i="1"/>
  <c r="A121" i="1"/>
  <c r="A122" i="1"/>
  <c r="A123" i="1"/>
  <c r="A124" i="1"/>
  <c r="A113" i="1"/>
  <c r="A114" i="1"/>
  <c r="A95" i="1"/>
  <c r="A96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70" i="1"/>
  <c r="A195" i="1"/>
  <c r="A171" i="1"/>
  <c r="A172" i="1"/>
  <c r="A173" i="1"/>
  <c r="A196" i="1"/>
  <c r="A197" i="1"/>
  <c r="A198" i="1"/>
  <c r="A199" i="1"/>
  <c r="A200" i="1"/>
  <c r="A201" i="1"/>
  <c r="A202" i="1"/>
  <c r="A203" i="1"/>
  <c r="A207" i="1"/>
  <c r="A204" i="1"/>
  <c r="A205" i="1"/>
  <c r="A208" i="1"/>
  <c r="A209" i="1"/>
  <c r="A210" i="1"/>
  <c r="A211" i="1"/>
  <c r="A212" i="1"/>
  <c r="A213" i="1"/>
  <c r="A206" i="1"/>
  <c r="A226" i="1"/>
  <c r="A245" i="1"/>
  <c r="A246" i="1"/>
  <c r="A247" i="1"/>
  <c r="A248" i="1"/>
  <c r="A249" i="1"/>
  <c r="A250" i="1"/>
  <c r="A251" i="1"/>
  <c r="A227" i="1"/>
  <c r="A228" i="1"/>
  <c r="A256" i="1"/>
  <c r="A229" i="1"/>
  <c r="A230" i="1"/>
  <c r="A252" i="1"/>
  <c r="A253" i="1"/>
  <c r="A254" i="1"/>
  <c r="A231" i="1"/>
  <c r="A232" i="1"/>
  <c r="A233" i="1"/>
  <c r="A234" i="1"/>
  <c r="A235" i="1"/>
  <c r="A236" i="1"/>
  <c r="A257" i="1"/>
  <c r="A258" i="1"/>
  <c r="A255" i="1"/>
  <c r="A259" i="1"/>
  <c r="A237" i="1"/>
  <c r="A238" i="1"/>
  <c r="A239" i="1"/>
  <c r="A260" i="1"/>
  <c r="A261" i="1"/>
  <c r="A262" i="1"/>
  <c r="A263" i="1"/>
  <c r="A264" i="1"/>
  <c r="A265" i="1"/>
  <c r="A266" i="1"/>
  <c r="A240" i="1"/>
  <c r="A267" i="1"/>
  <c r="A241" i="1"/>
  <c r="A242" i="1"/>
  <c r="A268" i="1"/>
  <c r="A269" i="1"/>
  <c r="A270" i="1"/>
  <c r="A271" i="1"/>
  <c r="A243" i="1"/>
  <c r="A272" i="1"/>
  <c r="A214" i="1"/>
  <c r="A215" i="1"/>
  <c r="A273" i="1"/>
  <c r="A274" i="1"/>
  <c r="A275" i="1"/>
  <c r="A276" i="1"/>
  <c r="A277" i="1"/>
  <c r="A278" i="1"/>
  <c r="A216" i="1"/>
  <c r="A279" i="1"/>
  <c r="A280" i="1"/>
  <c r="A281" i="1"/>
  <c r="A282" i="1"/>
  <c r="A217" i="1"/>
  <c r="A283" i="1"/>
  <c r="A284" i="1"/>
  <c r="A285" i="1"/>
  <c r="A286" i="1"/>
  <c r="A218" i="1"/>
  <c r="A219" i="1"/>
  <c r="A220" i="1"/>
  <c r="A221" i="1"/>
  <c r="A244" i="1"/>
  <c r="A222" i="1"/>
  <c r="A223" i="1"/>
  <c r="A224" i="1"/>
  <c r="A225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47" i="1"/>
  <c r="A348" i="1"/>
  <c r="A349" i="1"/>
  <c r="A350" i="1"/>
  <c r="A351" i="1"/>
  <c r="A352" i="1"/>
  <c r="A353" i="1"/>
  <c r="A329" i="1"/>
  <c r="A330" i="1"/>
  <c r="A331" i="1"/>
  <c r="A332" i="1"/>
  <c r="A333" i="1"/>
  <c r="A359" i="1"/>
  <c r="A360" i="1"/>
  <c r="A361" i="1"/>
  <c r="A354" i="1"/>
  <c r="A362" i="1"/>
  <c r="A355" i="1"/>
  <c r="A356" i="1"/>
  <c r="A363" i="1"/>
  <c r="A364" i="1"/>
  <c r="A365" i="1"/>
  <c r="A366" i="1"/>
  <c r="A367" i="1"/>
  <c r="A334" i="1"/>
  <c r="A335" i="1"/>
  <c r="A336" i="1"/>
  <c r="A368" i="1"/>
  <c r="A369" i="1"/>
  <c r="A370" i="1"/>
  <c r="A371" i="1"/>
  <c r="A372" i="1"/>
  <c r="A357" i="1"/>
  <c r="A373" i="1"/>
  <c r="A374" i="1"/>
  <c r="A375" i="1"/>
  <c r="A376" i="1"/>
  <c r="A377" i="1"/>
  <c r="A337" i="1"/>
  <c r="A358" i="1"/>
  <c r="A378" i="1"/>
  <c r="A379" i="1"/>
  <c r="A380" i="1"/>
  <c r="A381" i="1"/>
  <c r="A338" i="1"/>
  <c r="A339" i="1"/>
  <c r="A340" i="1"/>
  <c r="A341" i="1"/>
  <c r="A382" i="1"/>
  <c r="A342" i="1"/>
  <c r="A343" i="1"/>
  <c r="A344" i="1"/>
  <c r="A345" i="1"/>
  <c r="A346" i="1"/>
  <c r="A327" i="1"/>
  <c r="A328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383" i="1"/>
  <c r="A384" i="1"/>
  <c r="A385" i="1"/>
  <c r="A386" i="1"/>
  <c r="A387" i="1"/>
  <c r="A388" i="1"/>
  <c r="A389" i="1"/>
  <c r="A409" i="1"/>
  <c r="A410" i="1"/>
  <c r="A411" i="1"/>
  <c r="A412" i="1"/>
  <c r="A413" i="1"/>
  <c r="A414" i="1"/>
  <c r="A390" i="1"/>
  <c r="A391" i="1"/>
  <c r="A392" i="1"/>
  <c r="A393" i="1"/>
  <c r="A444" i="1"/>
  <c r="A445" i="1"/>
  <c r="A490" i="1"/>
  <c r="A446" i="1"/>
  <c r="A447" i="1"/>
  <c r="A448" i="1"/>
  <c r="A449" i="1"/>
  <c r="A450" i="1"/>
  <c r="A451" i="1"/>
  <c r="A491" i="1"/>
  <c r="A492" i="1"/>
  <c r="A493" i="1"/>
  <c r="A452" i="1"/>
  <c r="A453" i="1"/>
  <c r="A454" i="1"/>
  <c r="A49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95" i="1"/>
  <c r="A473" i="1"/>
  <c r="A474" i="1"/>
  <c r="A475" i="1"/>
  <c r="A496" i="1"/>
  <c r="A497" i="1"/>
  <c r="A498" i="1"/>
  <c r="A499" i="1"/>
  <c r="A476" i="1"/>
  <c r="A477" i="1"/>
  <c r="A500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527" i="1"/>
  <c r="A528" i="1"/>
  <c r="A501" i="1"/>
  <c r="A502" i="1"/>
  <c r="A503" i="1"/>
  <c r="A504" i="1"/>
  <c r="A505" i="1"/>
  <c r="A506" i="1"/>
  <c r="A529" i="1"/>
  <c r="A530" i="1"/>
  <c r="A531" i="1"/>
  <c r="A532" i="1"/>
  <c r="A507" i="1"/>
  <c r="A508" i="1"/>
  <c r="A509" i="1"/>
  <c r="A533" i="1"/>
  <c r="A510" i="1"/>
  <c r="A511" i="1"/>
  <c r="A512" i="1"/>
  <c r="A513" i="1"/>
  <c r="A514" i="1"/>
  <c r="A515" i="1"/>
  <c r="A518" i="1"/>
  <c r="A519" i="1"/>
  <c r="A520" i="1"/>
  <c r="A521" i="1"/>
  <c r="A522" i="1"/>
  <c r="A534" i="1"/>
  <c r="A523" i="1"/>
  <c r="A524" i="1"/>
  <c r="A525" i="1"/>
  <c r="A516" i="1"/>
  <c r="A517" i="1"/>
  <c r="A526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83" i="1"/>
  <c r="A550" i="1"/>
  <c r="A551" i="1"/>
  <c r="A584" i="1"/>
  <c r="A585" i="1"/>
  <c r="A586" i="1"/>
  <c r="A587" i="1"/>
  <c r="A588" i="1"/>
  <c r="A552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553" i="1"/>
  <c r="A608" i="1"/>
  <c r="A609" i="1"/>
  <c r="A610" i="1"/>
  <c r="A611" i="1"/>
  <c r="A554" i="1"/>
  <c r="A555" i="1"/>
  <c r="A556" i="1"/>
  <c r="A557" i="1"/>
  <c r="A612" i="1"/>
  <c r="A613" i="1"/>
  <c r="A558" i="1"/>
  <c r="A559" i="1"/>
  <c r="A614" i="1"/>
  <c r="A560" i="1"/>
  <c r="A615" i="1"/>
  <c r="A616" i="1"/>
  <c r="A617" i="1"/>
  <c r="A618" i="1"/>
  <c r="A619" i="1"/>
  <c r="A561" i="1"/>
  <c r="A620" i="1"/>
  <c r="A621" i="1"/>
  <c r="A622" i="1"/>
  <c r="A562" i="1"/>
  <c r="A623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624" i="1"/>
  <c r="A625" i="1"/>
  <c r="A576" i="1"/>
  <c r="A577" i="1"/>
  <c r="A578" i="1"/>
  <c r="A579" i="1"/>
  <c r="A626" i="1"/>
  <c r="A580" i="1"/>
  <c r="A581" i="1"/>
  <c r="A582" i="1"/>
  <c r="A627" i="1"/>
  <c r="A628" i="1"/>
  <c r="A629" i="1"/>
  <c r="A630" i="1"/>
  <c r="A631" i="1"/>
  <c r="A632" i="1"/>
  <c r="A633" i="1"/>
  <c r="A634" i="1"/>
  <c r="A652" i="1"/>
  <c r="A653" i="1"/>
  <c r="A654" i="1"/>
  <c r="A655" i="1"/>
  <c r="A656" i="1"/>
  <c r="A635" i="1"/>
  <c r="A636" i="1"/>
  <c r="A657" i="1"/>
  <c r="A658" i="1"/>
  <c r="A659" i="1"/>
  <c r="A660" i="1"/>
  <c r="A637" i="1"/>
  <c r="A638" i="1"/>
  <c r="A639" i="1"/>
  <c r="A661" i="1"/>
  <c r="A662" i="1"/>
  <c r="A663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64" i="1"/>
  <c r="A685" i="1"/>
  <c r="A686" i="1"/>
  <c r="A687" i="1"/>
  <c r="A688" i="1"/>
  <c r="A689" i="1"/>
  <c r="A690" i="1"/>
  <c r="A691" i="1"/>
  <c r="A692" i="1"/>
  <c r="A693" i="1"/>
  <c r="A665" i="1"/>
  <c r="A666" i="1"/>
  <c r="A667" i="1"/>
  <c r="A694" i="1"/>
  <c r="A695" i="1"/>
  <c r="A696" i="1"/>
  <c r="A697" i="1"/>
  <c r="A668" i="1"/>
  <c r="A698" i="1"/>
  <c r="A699" i="1"/>
  <c r="A700" i="1"/>
  <c r="A701" i="1"/>
  <c r="A70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03" i="1"/>
  <c r="A704" i="1"/>
  <c r="A705" i="1"/>
  <c r="A706" i="1"/>
  <c r="A707" i="1"/>
  <c r="A708" i="1"/>
  <c r="A709" i="1"/>
  <c r="A710" i="1"/>
  <c r="A711" i="1"/>
  <c r="A712" i="1"/>
  <c r="A797" i="1"/>
  <c r="A798" i="1"/>
  <c r="A799" i="1"/>
  <c r="A800" i="1"/>
  <c r="A801" i="1"/>
  <c r="A802" i="1"/>
  <c r="A803" i="1"/>
  <c r="A804" i="1"/>
  <c r="A785" i="1"/>
  <c r="A786" i="1"/>
  <c r="A787" i="1"/>
  <c r="A788" i="1"/>
  <c r="A749" i="1"/>
  <c r="A750" i="1"/>
  <c r="A751" i="1"/>
  <c r="A752" i="1"/>
  <c r="A753" i="1"/>
  <c r="A789" i="1"/>
  <c r="A754" i="1"/>
  <c r="A790" i="1"/>
  <c r="A791" i="1"/>
  <c r="A805" i="1"/>
  <c r="A792" i="1"/>
  <c r="A755" i="1"/>
  <c r="A756" i="1"/>
  <c r="A757" i="1"/>
  <c r="A806" i="1"/>
  <c r="A793" i="1"/>
  <c r="A758" i="1"/>
  <c r="A759" i="1"/>
  <c r="A760" i="1"/>
  <c r="A761" i="1"/>
  <c r="A807" i="1"/>
  <c r="A794" i="1"/>
  <c r="A795" i="1"/>
  <c r="A796" i="1"/>
  <c r="A762" i="1"/>
  <c r="A763" i="1"/>
  <c r="A764" i="1"/>
  <c r="A808" i="1"/>
  <c r="A771" i="1"/>
  <c r="A772" i="1"/>
  <c r="A809" i="1"/>
  <c r="A773" i="1"/>
  <c r="A774" i="1"/>
  <c r="A775" i="1"/>
  <c r="A810" i="1"/>
  <c r="A811" i="1"/>
  <c r="A776" i="1"/>
  <c r="A812" i="1"/>
  <c r="A777" i="1"/>
  <c r="A778" i="1"/>
  <c r="A779" i="1"/>
  <c r="A765" i="1"/>
  <c r="A766" i="1"/>
  <c r="A767" i="1"/>
  <c r="A780" i="1"/>
  <c r="A781" i="1"/>
  <c r="A768" i="1"/>
  <c r="A769" i="1"/>
  <c r="A770" i="1"/>
  <c r="A782" i="1"/>
  <c r="A813" i="1"/>
  <c r="A814" i="1"/>
  <c r="A815" i="1"/>
  <c r="A816" i="1"/>
  <c r="A783" i="1"/>
  <c r="A817" i="1"/>
  <c r="A784" i="1"/>
  <c r="A818" i="1"/>
  <c r="A845" i="1"/>
  <c r="A846" i="1"/>
  <c r="A819" i="1"/>
  <c r="A847" i="1"/>
  <c r="A820" i="1"/>
  <c r="A848" i="1"/>
  <c r="A849" i="1"/>
  <c r="A821" i="1"/>
  <c r="A822" i="1"/>
  <c r="A823" i="1"/>
  <c r="A824" i="1"/>
  <c r="A825" i="1"/>
  <c r="A850" i="1"/>
  <c r="A851" i="1"/>
  <c r="A826" i="1"/>
  <c r="A852" i="1"/>
  <c r="A853" i="1"/>
  <c r="A827" i="1"/>
  <c r="A828" i="1"/>
  <c r="A854" i="1"/>
  <c r="A829" i="1"/>
  <c r="A855" i="1"/>
  <c r="A830" i="1"/>
  <c r="A831" i="1"/>
  <c r="A856" i="1"/>
  <c r="A832" i="1"/>
  <c r="A833" i="1"/>
  <c r="A834" i="1"/>
  <c r="A857" i="1"/>
  <c r="A858" i="1"/>
  <c r="A859" i="1"/>
  <c r="A860" i="1"/>
  <c r="A835" i="1"/>
  <c r="A843" i="1"/>
  <c r="A844" i="1"/>
  <c r="A861" i="1"/>
  <c r="A836" i="1"/>
  <c r="A837" i="1"/>
  <c r="A838" i="1"/>
  <c r="A839" i="1"/>
  <c r="A840" i="1"/>
  <c r="A841" i="1"/>
  <c r="A842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966" i="1"/>
  <c r="A967" i="1"/>
  <c r="A968" i="1"/>
  <c r="A969" i="1"/>
  <c r="A970" i="1"/>
  <c r="A971" i="1"/>
  <c r="A972" i="1"/>
  <c r="A973" i="1"/>
  <c r="A974" i="1"/>
  <c r="A975" i="1"/>
  <c r="A898" i="1"/>
  <c r="A976" i="1"/>
  <c r="A899" i="1"/>
  <c r="A924" i="1"/>
  <c r="A925" i="1"/>
  <c r="A926" i="1"/>
  <c r="A927" i="1"/>
  <c r="A928" i="1"/>
  <c r="A929" i="1"/>
  <c r="A930" i="1"/>
  <c r="A900" i="1"/>
  <c r="A931" i="1"/>
  <c r="A977" i="1"/>
  <c r="A932" i="1"/>
  <c r="A933" i="1"/>
  <c r="A901" i="1"/>
  <c r="A902" i="1"/>
  <c r="A934" i="1"/>
  <c r="A935" i="1"/>
  <c r="A903" i="1"/>
  <c r="A936" i="1"/>
  <c r="A937" i="1"/>
  <c r="A938" i="1"/>
  <c r="A939" i="1"/>
  <c r="A940" i="1"/>
  <c r="A941" i="1"/>
  <c r="A942" i="1"/>
  <c r="A943" i="1"/>
  <c r="A904" i="1"/>
  <c r="A944" i="1"/>
  <c r="A945" i="1"/>
  <c r="A946" i="1"/>
  <c r="A905" i="1"/>
  <c r="A947" i="1"/>
  <c r="A916" i="1"/>
  <c r="A917" i="1"/>
  <c r="A918" i="1"/>
  <c r="A919" i="1"/>
  <c r="A948" i="1"/>
  <c r="A949" i="1"/>
  <c r="A950" i="1"/>
  <c r="A951" i="1"/>
  <c r="A952" i="1"/>
  <c r="A953" i="1"/>
  <c r="A906" i="1"/>
  <c r="A920" i="1"/>
  <c r="A921" i="1"/>
  <c r="A922" i="1"/>
  <c r="A923" i="1"/>
  <c r="A954" i="1"/>
  <c r="A978" i="1"/>
  <c r="A955" i="1"/>
  <c r="A956" i="1"/>
  <c r="A957" i="1"/>
  <c r="A907" i="1"/>
  <c r="A958" i="1"/>
  <c r="A908" i="1"/>
  <c r="A909" i="1"/>
  <c r="A959" i="1"/>
  <c r="A910" i="1"/>
  <c r="A911" i="1"/>
  <c r="A960" i="1"/>
  <c r="A961" i="1"/>
  <c r="A912" i="1"/>
  <c r="A962" i="1"/>
  <c r="A913" i="1"/>
  <c r="A914" i="1"/>
  <c r="A963" i="1"/>
  <c r="A964" i="1"/>
  <c r="A965" i="1"/>
  <c r="A915" i="1"/>
  <c r="A979" i="1"/>
  <c r="A980" i="1"/>
  <c r="A981" i="1"/>
  <c r="A982" i="1"/>
  <c r="A983" i="1"/>
  <c r="A984" i="1"/>
  <c r="A985" i="1"/>
  <c r="A986" i="1"/>
  <c r="A987" i="1"/>
  <c r="A988" i="1"/>
  <c r="A1012" i="1"/>
  <c r="A1013" i="1"/>
  <c r="A1014" i="1"/>
  <c r="A1015" i="1"/>
  <c r="A1016" i="1"/>
  <c r="A1017" i="1"/>
  <c r="A1018" i="1"/>
  <c r="A1019" i="1"/>
  <c r="A1020" i="1"/>
  <c r="A989" i="1"/>
  <c r="A990" i="1"/>
  <c r="A991" i="1"/>
  <c r="A1021" i="1"/>
  <c r="A1022" i="1"/>
  <c r="A1023" i="1"/>
  <c r="A1024" i="1"/>
  <c r="A1025" i="1"/>
  <c r="A1026" i="1"/>
  <c r="A1027" i="1"/>
  <c r="A1028" i="1"/>
  <c r="A1029" i="1"/>
  <c r="A1030" i="1"/>
  <c r="A992" i="1"/>
  <c r="A1031" i="1"/>
  <c r="A993" i="1"/>
  <c r="A1032" i="1"/>
  <c r="A1033" i="1"/>
  <c r="A1034" i="1"/>
  <c r="A1035" i="1"/>
  <c r="A994" i="1"/>
  <c r="A1036" i="1"/>
  <c r="A1037" i="1"/>
  <c r="A995" i="1"/>
  <c r="A996" i="1"/>
  <c r="A997" i="1"/>
  <c r="A998" i="1"/>
  <c r="A999" i="1"/>
  <c r="A1000" i="1"/>
  <c r="A1001" i="1"/>
  <c r="A1038" i="1"/>
  <c r="A1039" i="1"/>
  <c r="A1040" i="1"/>
  <c r="A1041" i="1"/>
  <c r="A1042" i="1"/>
  <c r="A1043" i="1"/>
  <c r="A1002" i="1"/>
  <c r="A1044" i="1"/>
  <c r="A1045" i="1"/>
  <c r="A1046" i="1"/>
  <c r="A1047" i="1"/>
  <c r="A1048" i="1"/>
  <c r="A1049" i="1"/>
  <c r="A1050" i="1"/>
  <c r="A1051" i="1"/>
  <c r="A1003" i="1"/>
  <c r="A1052" i="1"/>
  <c r="A1053" i="1"/>
  <c r="A1054" i="1"/>
  <c r="A1055" i="1"/>
  <c r="A1056" i="1"/>
  <c r="A1057" i="1"/>
  <c r="A1058" i="1"/>
  <c r="A1059" i="1"/>
  <c r="A1060" i="1"/>
  <c r="A1061" i="1"/>
  <c r="A1062" i="1"/>
  <c r="A1004" i="1"/>
  <c r="A1005" i="1"/>
  <c r="A1006" i="1"/>
  <c r="A1063" i="1"/>
  <c r="A1007" i="1"/>
  <c r="A1008" i="1"/>
  <c r="A1009" i="1"/>
  <c r="A1010" i="1"/>
  <c r="A1011" i="1"/>
  <c r="A1064" i="1"/>
  <c r="A1065" i="1"/>
  <c r="A1066" i="1"/>
  <c r="A1152" i="1"/>
  <c r="A1153" i="1"/>
  <c r="A1154" i="1"/>
  <c r="A1155" i="1"/>
  <c r="A1067" i="1"/>
  <c r="A1068" i="1"/>
  <c r="A1069" i="1"/>
  <c r="A1070" i="1"/>
  <c r="A1071" i="1"/>
  <c r="A1072" i="1"/>
  <c r="A1073" i="1"/>
  <c r="A1074" i="1"/>
  <c r="A1075" i="1"/>
  <c r="A1156" i="1"/>
  <c r="A1157" i="1"/>
  <c r="A1076" i="1"/>
  <c r="A1077" i="1"/>
  <c r="A1078" i="1"/>
  <c r="A1079" i="1"/>
  <c r="A1158" i="1"/>
  <c r="A1159" i="1"/>
  <c r="A1160" i="1"/>
  <c r="A1080" i="1"/>
  <c r="A1081" i="1"/>
  <c r="A1105" i="1"/>
  <c r="A1082" i="1"/>
  <c r="A1083" i="1"/>
  <c r="A1084" i="1"/>
  <c r="A1106" i="1"/>
  <c r="A1107" i="1"/>
  <c r="A1108" i="1"/>
  <c r="A1109" i="1"/>
  <c r="A1110" i="1"/>
  <c r="A1111" i="1"/>
  <c r="A1085" i="1"/>
  <c r="A1112" i="1"/>
  <c r="A1113" i="1"/>
  <c r="A1086" i="1"/>
  <c r="A1087" i="1"/>
  <c r="A1088" i="1"/>
  <c r="A1101" i="1"/>
  <c r="A1114" i="1"/>
  <c r="A1115" i="1"/>
  <c r="A1116" i="1"/>
  <c r="A1161" i="1"/>
  <c r="A1117" i="1"/>
  <c r="A1118" i="1"/>
  <c r="A1119" i="1"/>
  <c r="A1089" i="1"/>
  <c r="A1120" i="1"/>
  <c r="A1121" i="1"/>
  <c r="A1090" i="1"/>
  <c r="A1091" i="1"/>
  <c r="A1092" i="1"/>
  <c r="A1093" i="1"/>
  <c r="A1094" i="1"/>
  <c r="A1102" i="1"/>
  <c r="A1122" i="1"/>
  <c r="A1123" i="1"/>
  <c r="A1162" i="1"/>
  <c r="A1124" i="1"/>
  <c r="A1103" i="1"/>
  <c r="A1125" i="1"/>
  <c r="A1141" i="1"/>
  <c r="A1095" i="1"/>
  <c r="A1096" i="1"/>
  <c r="A1126" i="1"/>
  <c r="A1127" i="1"/>
  <c r="A1142" i="1"/>
  <c r="A1166" i="1"/>
  <c r="A1167" i="1"/>
  <c r="A1168" i="1"/>
  <c r="A1128" i="1"/>
  <c r="A1129" i="1"/>
  <c r="A1097" i="1"/>
  <c r="A1143" i="1"/>
  <c r="A1169" i="1"/>
  <c r="A1170" i="1"/>
  <c r="A1171" i="1"/>
  <c r="A1098" i="1"/>
  <c r="A1172" i="1"/>
  <c r="A1173" i="1"/>
  <c r="A1099" i="1"/>
  <c r="A1174" i="1"/>
  <c r="A1175" i="1"/>
  <c r="A1163" i="1"/>
  <c r="A1176" i="1"/>
  <c r="A1144" i="1"/>
  <c r="A1104" i="1"/>
  <c r="A1164" i="1"/>
  <c r="A1177" i="1"/>
  <c r="A1178" i="1"/>
  <c r="A1130" i="1"/>
  <c r="A1131" i="1"/>
  <c r="A1179" i="1"/>
  <c r="A1180" i="1"/>
  <c r="A1181" i="1"/>
  <c r="A1100" i="1"/>
  <c r="A1165" i="1"/>
  <c r="A1145" i="1"/>
  <c r="A1146" i="1"/>
  <c r="A1147" i="1"/>
  <c r="A1132" i="1"/>
  <c r="A1133" i="1"/>
  <c r="A1134" i="1"/>
  <c r="A1135" i="1"/>
  <c r="A1136" i="1"/>
  <c r="A1137" i="1"/>
  <c r="A1138" i="1"/>
  <c r="A1139" i="1"/>
  <c r="A1140" i="1"/>
  <c r="A1148" i="1"/>
  <c r="A1149" i="1"/>
  <c r="A1150" i="1"/>
  <c r="A1151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01" i="1"/>
  <c r="A1248" i="1"/>
  <c r="A1249" i="1"/>
  <c r="A1202" i="1"/>
  <c r="A1203" i="1"/>
  <c r="A1204" i="1"/>
  <c r="A1205" i="1"/>
  <c r="A1206" i="1"/>
  <c r="A1250" i="1"/>
  <c r="A1207" i="1"/>
  <c r="A1251" i="1"/>
  <c r="A1252" i="1"/>
  <c r="A1253" i="1"/>
  <c r="A1254" i="1"/>
  <c r="A1255" i="1"/>
  <c r="A1256" i="1"/>
  <c r="A1259" i="1"/>
  <c r="A1260" i="1"/>
  <c r="A1261" i="1"/>
  <c r="A1262" i="1"/>
  <c r="A1263" i="1"/>
  <c r="A1182" i="1"/>
  <c r="A1208" i="1"/>
  <c r="A1257" i="1"/>
  <c r="A1264" i="1"/>
  <c r="A1265" i="1"/>
  <c r="A1266" i="1"/>
  <c r="A1183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184" i="1"/>
  <c r="A1280" i="1"/>
  <c r="A1281" i="1"/>
  <c r="A1282" i="1"/>
  <c r="A1283" i="1"/>
  <c r="A1284" i="1"/>
  <c r="A1285" i="1"/>
  <c r="A1286" i="1"/>
  <c r="A1287" i="1"/>
  <c r="A1288" i="1"/>
  <c r="A1289" i="1"/>
  <c r="A1209" i="1"/>
  <c r="A1185" i="1"/>
  <c r="A1186" i="1"/>
  <c r="A1211" i="1"/>
  <c r="A1212" i="1"/>
  <c r="A1187" i="1"/>
  <c r="A1290" i="1"/>
  <c r="A1213" i="1"/>
  <c r="A1291" i="1"/>
  <c r="A1188" i="1"/>
  <c r="A1214" i="1"/>
  <c r="A1292" i="1"/>
  <c r="A1293" i="1"/>
  <c r="A1215" i="1"/>
  <c r="A1258" i="1"/>
  <c r="A1216" i="1"/>
  <c r="A1217" i="1"/>
  <c r="A1218" i="1"/>
  <c r="A1219" i="1"/>
  <c r="A1189" i="1"/>
  <c r="A1220" i="1"/>
  <c r="A1221" i="1"/>
  <c r="A1222" i="1"/>
  <c r="A1223" i="1"/>
  <c r="A1224" i="1"/>
  <c r="A1225" i="1"/>
  <c r="A1190" i="1"/>
  <c r="A1191" i="1"/>
  <c r="A1210" i="1"/>
  <c r="A1226" i="1"/>
  <c r="A1294" i="1"/>
  <c r="A1227" i="1"/>
  <c r="A1228" i="1"/>
  <c r="A1192" i="1"/>
  <c r="A1193" i="1"/>
  <c r="A1194" i="1"/>
  <c r="A1195" i="1"/>
  <c r="A1196" i="1"/>
  <c r="A1197" i="1"/>
  <c r="A1198" i="1"/>
  <c r="A1199" i="1"/>
  <c r="A1200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296" i="1"/>
  <c r="A1319" i="1"/>
  <c r="A1320" i="1"/>
  <c r="A1321" i="1"/>
  <c r="A1295" i="1"/>
  <c r="A1297" i="1"/>
  <c r="A1298" i="1"/>
  <c r="A1299" i="1"/>
  <c r="A1300" i="1"/>
  <c r="A1301" i="1"/>
  <c r="A1322" i="1"/>
  <c r="A1302" i="1"/>
  <c r="A1303" i="1"/>
  <c r="A1304" i="1"/>
  <c r="A1305" i="1"/>
  <c r="A1323" i="1"/>
  <c r="A1324" i="1"/>
  <c r="A1325" i="1"/>
  <c r="A1326" i="1"/>
  <c r="A1327" i="1"/>
  <c r="A1328" i="1"/>
  <c r="A1329" i="1"/>
  <c r="A1400" i="1"/>
  <c r="A1330" i="1"/>
  <c r="A1331" i="1"/>
  <c r="A1332" i="1"/>
  <c r="A1333" i="1"/>
  <c r="A1334" i="1"/>
  <c r="A1335" i="1"/>
  <c r="A1336" i="1"/>
  <c r="A1415" i="1"/>
  <c r="A1416" i="1"/>
  <c r="A1401" i="1"/>
  <c r="A1417" i="1"/>
  <c r="A1418" i="1"/>
  <c r="A1402" i="1"/>
  <c r="A1337" i="1"/>
  <c r="A1403" i="1"/>
  <c r="A1419" i="1"/>
  <c r="A1420" i="1"/>
  <c r="A1378" i="1"/>
  <c r="A1421" i="1"/>
  <c r="A1422" i="1"/>
  <c r="A1423" i="1"/>
  <c r="A1454" i="1"/>
  <c r="A1338" i="1"/>
  <c r="A1455" i="1"/>
  <c r="A1404" i="1"/>
  <c r="A1339" i="1"/>
  <c r="A1405" i="1"/>
  <c r="A1406" i="1"/>
  <c r="A1407" i="1"/>
  <c r="A1408" i="1"/>
  <c r="A1409" i="1"/>
  <c r="A1410" i="1"/>
  <c r="A1424" i="1"/>
  <c r="A1379" i="1"/>
  <c r="A1411" i="1"/>
  <c r="A1380" i="1"/>
  <c r="A1340" i="1"/>
  <c r="A1412" i="1"/>
  <c r="A1341" i="1"/>
  <c r="A1425" i="1"/>
  <c r="A1342" i="1"/>
  <c r="A1413" i="1"/>
  <c r="A1426" i="1"/>
  <c r="A1414" i="1"/>
  <c r="A1381" i="1"/>
  <c r="A1382" i="1"/>
  <c r="A1383" i="1"/>
  <c r="A1384" i="1"/>
  <c r="A1456" i="1"/>
  <c r="A1385" i="1"/>
  <c r="A1427" i="1"/>
  <c r="A1428" i="1"/>
  <c r="A1343" i="1"/>
  <c r="A1457" i="1"/>
  <c r="A1458" i="1"/>
  <c r="A1459" i="1"/>
  <c r="A1344" i="1"/>
  <c r="A1429" i="1"/>
  <c r="A1430" i="1"/>
  <c r="A1431" i="1"/>
  <c r="A1365" i="1"/>
  <c r="A1345" i="1"/>
  <c r="A1386" i="1"/>
  <c r="A1366" i="1"/>
  <c r="A1387" i="1"/>
  <c r="A1346" i="1"/>
  <c r="A1432" i="1"/>
  <c r="A1388" i="1"/>
  <c r="A1460" i="1"/>
  <c r="A1461" i="1"/>
  <c r="A1462" i="1"/>
  <c r="A1389" i="1"/>
  <c r="A1390" i="1"/>
  <c r="A1463" i="1"/>
  <c r="A1347" i="1"/>
  <c r="A1433" i="1"/>
  <c r="A1464" i="1"/>
  <c r="A1348" i="1"/>
  <c r="A1434" i="1"/>
  <c r="A1435" i="1"/>
  <c r="A1436" i="1"/>
  <c r="A1437" i="1"/>
  <c r="A1367" i="1"/>
  <c r="A1368" i="1"/>
  <c r="A1369" i="1"/>
  <c r="A1370" i="1"/>
  <c r="A1371" i="1"/>
  <c r="A1438" i="1"/>
  <c r="A1439" i="1"/>
  <c r="A1440" i="1"/>
  <c r="A1441" i="1"/>
  <c r="A1391" i="1"/>
  <c r="A1392" i="1"/>
  <c r="A1442" i="1"/>
  <c r="A1443" i="1"/>
  <c r="A1444" i="1"/>
  <c r="A1349" i="1"/>
  <c r="A1350" i="1"/>
  <c r="A1372" i="1"/>
  <c r="A1351" i="1"/>
  <c r="A1352" i="1"/>
  <c r="A1353" i="1"/>
  <c r="A1445" i="1"/>
  <c r="A1446" i="1"/>
  <c r="A1373" i="1"/>
  <c r="A1354" i="1"/>
  <c r="A1355" i="1"/>
  <c r="A1356" i="1"/>
  <c r="A1357" i="1"/>
  <c r="A1358" i="1"/>
  <c r="A1359" i="1"/>
  <c r="A1393" i="1"/>
  <c r="A1360" i="1"/>
  <c r="A1394" i="1"/>
  <c r="A1395" i="1"/>
  <c r="A1374" i="1"/>
  <c r="A1465" i="1"/>
  <c r="A1396" i="1"/>
  <c r="A1397" i="1"/>
  <c r="A1361" i="1"/>
  <c r="A1362" i="1"/>
  <c r="A1447" i="1"/>
  <c r="A1375" i="1"/>
  <c r="A1470" i="1"/>
  <c r="A1466" i="1"/>
  <c r="A1467" i="1"/>
  <c r="A1398" i="1"/>
  <c r="A1468" i="1"/>
  <c r="A1448" i="1"/>
  <c r="A1399" i="1"/>
  <c r="A1469" i="1"/>
  <c r="A1449" i="1"/>
  <c r="A1471" i="1"/>
  <c r="A1472" i="1"/>
  <c r="A1450" i="1"/>
  <c r="A1451" i="1"/>
  <c r="A1452" i="1"/>
  <c r="A1473" i="1"/>
  <c r="A1474" i="1"/>
  <c r="A1475" i="1"/>
  <c r="A1476" i="1"/>
  <c r="A1477" i="1"/>
  <c r="A1478" i="1"/>
  <c r="A1376" i="1"/>
  <c r="A1377" i="1"/>
  <c r="A1363" i="1"/>
  <c r="A1364" i="1"/>
  <c r="A1479" i="1"/>
  <c r="A1480" i="1"/>
  <c r="A1481" i="1"/>
  <c r="A1482" i="1"/>
  <c r="A1483" i="1"/>
  <c r="A1484" i="1"/>
  <c r="A1485" i="1"/>
  <c r="A1453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733" i="1"/>
  <c r="A1734" i="1"/>
  <c r="A1735" i="1"/>
  <c r="A1639" i="1"/>
  <c r="A1640" i="1"/>
  <c r="A1641" i="1"/>
  <c r="A1507" i="1"/>
  <c r="A1508" i="1"/>
  <c r="A1509" i="1"/>
  <c r="A1510" i="1"/>
  <c r="A1511" i="1"/>
  <c r="A1512" i="1"/>
  <c r="A1513" i="1"/>
  <c r="A1514" i="1"/>
  <c r="A1642" i="1"/>
  <c r="A1643" i="1"/>
  <c r="A1644" i="1"/>
  <c r="A1645" i="1"/>
  <c r="A1646" i="1"/>
  <c r="A1647" i="1"/>
  <c r="A1598" i="1"/>
  <c r="A1736" i="1"/>
  <c r="A1599" i="1"/>
  <c r="A1515" i="1"/>
  <c r="A1516" i="1"/>
  <c r="A1698" i="1"/>
  <c r="A1699" i="1"/>
  <c r="A1737" i="1"/>
  <c r="A1700" i="1"/>
  <c r="A1738" i="1"/>
  <c r="A1739" i="1"/>
  <c r="A1701" i="1"/>
  <c r="A1740" i="1"/>
  <c r="A1741" i="1"/>
  <c r="A1742" i="1"/>
  <c r="A1743" i="1"/>
  <c r="A1517" i="1"/>
  <c r="A1600" i="1"/>
  <c r="A1601" i="1"/>
  <c r="A1744" i="1"/>
  <c r="A1745" i="1"/>
  <c r="A1702" i="1"/>
  <c r="A1703" i="1"/>
  <c r="A1704" i="1"/>
  <c r="A1705" i="1"/>
  <c r="A1648" i="1"/>
  <c r="A1706" i="1"/>
  <c r="A1486" i="1"/>
  <c r="A1487" i="1"/>
  <c r="A1488" i="1"/>
  <c r="A1707" i="1"/>
  <c r="A1708" i="1"/>
  <c r="A1746" i="1"/>
  <c r="A1709" i="1"/>
  <c r="A1710" i="1"/>
  <c r="A1711" i="1"/>
  <c r="A1649" i="1"/>
  <c r="A1650" i="1"/>
  <c r="A1602" i="1"/>
  <c r="A1603" i="1"/>
  <c r="A1518" i="1"/>
  <c r="A1489" i="1"/>
  <c r="A1490" i="1"/>
  <c r="A1491" i="1"/>
  <c r="A1492" i="1"/>
  <c r="A1493" i="1"/>
  <c r="A1519" i="1"/>
  <c r="A1747" i="1"/>
  <c r="A1712" i="1"/>
  <c r="A1520" i="1"/>
  <c r="A1713" i="1"/>
  <c r="A1521" i="1"/>
  <c r="A1714" i="1"/>
  <c r="A1522" i="1"/>
  <c r="A1651" i="1"/>
  <c r="A1715" i="1"/>
  <c r="A1716" i="1"/>
  <c r="A1523" i="1"/>
  <c r="A1717" i="1"/>
  <c r="A1718" i="1"/>
  <c r="A1524" i="1"/>
  <c r="A1525" i="1"/>
  <c r="A1526" i="1"/>
  <c r="A1527" i="1"/>
  <c r="A1652" i="1"/>
  <c r="A1653" i="1"/>
  <c r="A1654" i="1"/>
  <c r="A1655" i="1"/>
  <c r="A1656" i="1"/>
  <c r="A1748" i="1"/>
  <c r="A1719" i="1"/>
  <c r="A1720" i="1"/>
  <c r="A1721" i="1"/>
  <c r="A1722" i="1"/>
  <c r="A1749" i="1"/>
  <c r="A1604" i="1"/>
  <c r="A1562" i="1"/>
  <c r="A1563" i="1"/>
  <c r="A1564" i="1"/>
  <c r="A1528" i="1"/>
  <c r="A1529" i="1"/>
  <c r="A1530" i="1"/>
  <c r="A1531" i="1"/>
  <c r="A1539" i="1"/>
  <c r="A1494" i="1"/>
  <c r="A1495" i="1"/>
  <c r="A1540" i="1"/>
  <c r="A1496" i="1"/>
  <c r="A1497" i="1"/>
  <c r="A1750" i="1"/>
  <c r="A1532" i="1"/>
  <c r="A1751" i="1"/>
  <c r="A1687" i="1"/>
  <c r="A1605" i="1"/>
  <c r="A1752" i="1"/>
  <c r="A1565" i="1"/>
  <c r="A1566" i="1"/>
  <c r="A1676" i="1"/>
  <c r="A1533" i="1"/>
  <c r="A1534" i="1"/>
  <c r="A1535" i="1"/>
  <c r="A1723" i="1"/>
  <c r="A1724" i="1"/>
  <c r="A1725" i="1"/>
  <c r="A1677" i="1"/>
  <c r="A1678" i="1"/>
  <c r="A1679" i="1"/>
  <c r="A1541" i="1"/>
  <c r="A1680" i="1"/>
  <c r="A1753" i="1"/>
  <c r="A1498" i="1"/>
  <c r="A1499" i="1"/>
  <c r="A1500" i="1"/>
  <c r="A1542" i="1"/>
  <c r="A1501" i="1"/>
  <c r="A1502" i="1"/>
  <c r="A1503" i="1"/>
  <c r="A1504" i="1"/>
  <c r="A1726" i="1"/>
  <c r="A1505" i="1"/>
  <c r="A1727" i="1"/>
  <c r="A1506" i="1"/>
  <c r="A1582" i="1"/>
  <c r="A1728" i="1"/>
  <c r="A1583" i="1"/>
  <c r="A1543" i="1"/>
  <c r="A1544" i="1"/>
  <c r="A1536" i="1"/>
  <c r="A1545" i="1"/>
  <c r="A1567" i="1"/>
  <c r="A1568" i="1"/>
  <c r="A1569" i="1"/>
  <c r="A1570" i="1"/>
  <c r="A1571" i="1"/>
  <c r="A1572" i="1"/>
  <c r="A1606" i="1"/>
  <c r="A1573" i="1"/>
  <c r="A1574" i="1"/>
  <c r="A1575" i="1"/>
  <c r="A1546" i="1"/>
  <c r="A1576" i="1"/>
  <c r="A1577" i="1"/>
  <c r="A1578" i="1"/>
  <c r="A1579" i="1"/>
  <c r="A1688" i="1"/>
  <c r="A1689" i="1"/>
  <c r="A1729" i="1"/>
  <c r="A1730" i="1"/>
  <c r="A1690" i="1"/>
  <c r="A1691" i="1"/>
  <c r="A1692" i="1"/>
  <c r="A1584" i="1"/>
  <c r="A1585" i="1"/>
  <c r="A1681" i="1"/>
  <c r="A1682" i="1"/>
  <c r="A1586" i="1"/>
  <c r="A1587" i="1"/>
  <c r="A1588" i="1"/>
  <c r="A1589" i="1"/>
  <c r="A1590" i="1"/>
  <c r="A1591" i="1"/>
  <c r="A1693" i="1"/>
  <c r="A1694" i="1"/>
  <c r="A1695" i="1"/>
  <c r="A1696" i="1"/>
  <c r="A1547" i="1"/>
  <c r="A1548" i="1"/>
  <c r="A1549" i="1"/>
  <c r="A1550" i="1"/>
  <c r="A1551" i="1"/>
  <c r="A1667" i="1"/>
  <c r="A1683" i="1"/>
  <c r="A1592" i="1"/>
  <c r="A1657" i="1"/>
  <c r="A1593" i="1"/>
  <c r="A1658" i="1"/>
  <c r="A1594" i="1"/>
  <c r="A1552" i="1"/>
  <c r="A1553" i="1"/>
  <c r="A1554" i="1"/>
  <c r="A1537" i="1"/>
  <c r="A1538" i="1"/>
  <c r="A1555" i="1"/>
  <c r="A1556" i="1"/>
  <c r="A1557" i="1"/>
  <c r="A1558" i="1"/>
  <c r="A1559" i="1"/>
  <c r="A1580" i="1"/>
  <c r="A1581" i="1"/>
  <c r="A1560" i="1"/>
  <c r="A1561" i="1"/>
  <c r="A1697" i="1"/>
  <c r="A1595" i="1"/>
  <c r="A1596" i="1"/>
  <c r="A1597" i="1"/>
  <c r="A1668" i="1"/>
  <c r="A1669" i="1"/>
  <c r="A1684" i="1"/>
  <c r="A1670" i="1"/>
  <c r="A1685" i="1"/>
  <c r="A1671" i="1"/>
  <c r="A1672" i="1"/>
  <c r="A1673" i="1"/>
  <c r="A1731" i="1"/>
  <c r="A1659" i="1"/>
  <c r="A1686" i="1"/>
  <c r="A1660" i="1"/>
  <c r="A1754" i="1"/>
  <c r="A1732" i="1"/>
  <c r="A1674" i="1"/>
  <c r="A1661" i="1"/>
  <c r="A1662" i="1"/>
  <c r="A1755" i="1"/>
  <c r="A1663" i="1"/>
  <c r="A1664" i="1"/>
  <c r="A1665" i="1"/>
  <c r="A1675" i="1"/>
  <c r="A1756" i="1"/>
  <c r="A1757" i="1"/>
  <c r="A1666" i="1"/>
  <c r="A1954" i="1"/>
  <c r="A1955" i="1"/>
  <c r="A1956" i="1"/>
  <c r="A1957" i="1"/>
  <c r="A2010" i="1"/>
  <c r="A1958" i="1"/>
  <c r="A1959" i="1"/>
  <c r="A1960" i="1"/>
  <c r="A2011" i="1"/>
  <c r="A2012" i="1"/>
  <c r="A2013" i="1"/>
  <c r="A1961" i="1"/>
  <c r="A1962" i="1"/>
  <c r="A1963" i="1"/>
  <c r="A1964" i="1"/>
  <c r="A1965" i="1"/>
  <c r="A1966" i="1"/>
  <c r="A2014" i="1"/>
  <c r="A1858" i="1"/>
  <c r="A1859" i="1"/>
  <c r="A1860" i="1"/>
  <c r="A1967" i="1"/>
  <c r="A1968" i="1"/>
  <c r="A1969" i="1"/>
  <c r="A2015" i="1"/>
  <c r="A2016" i="1"/>
  <c r="A2017" i="1"/>
  <c r="A1861" i="1"/>
  <c r="A1862" i="1"/>
  <c r="A1970" i="1"/>
  <c r="A2018" i="1"/>
  <c r="A1971" i="1"/>
  <c r="A2019" i="1"/>
  <c r="A2020" i="1"/>
  <c r="A1972" i="1"/>
  <c r="A2021" i="1"/>
  <c r="A2022" i="1"/>
  <c r="A1863" i="1"/>
  <c r="A1864" i="1"/>
  <c r="A1865" i="1"/>
  <c r="A2023" i="1"/>
  <c r="A2024" i="1"/>
  <c r="A2025" i="1"/>
  <c r="A1973" i="1"/>
  <c r="A2026" i="1"/>
  <c r="A2027" i="1"/>
  <c r="A1866" i="1"/>
  <c r="A1867" i="1"/>
  <c r="A1868" i="1"/>
  <c r="A1869" i="1"/>
  <c r="A1870" i="1"/>
  <c r="A1974" i="1"/>
  <c r="A2028" i="1"/>
  <c r="A2029" i="1"/>
  <c r="A2030" i="1"/>
  <c r="A1871" i="1"/>
  <c r="A1812" i="1"/>
  <c r="A2031" i="1"/>
  <c r="A1813" i="1"/>
  <c r="A2032" i="1"/>
  <c r="A1872" i="1"/>
  <c r="A1873" i="1"/>
  <c r="A1874" i="1"/>
  <c r="A1908" i="1"/>
  <c r="A1975" i="1"/>
  <c r="A1909" i="1"/>
  <c r="A1976" i="1"/>
  <c r="A1977" i="1"/>
  <c r="A1978" i="1"/>
  <c r="A1875" i="1"/>
  <c r="A1876" i="1"/>
  <c r="A1877" i="1"/>
  <c r="A1878" i="1"/>
  <c r="A1814" i="1"/>
  <c r="A1979" i="1"/>
  <c r="A1879" i="1"/>
  <c r="A1880" i="1"/>
  <c r="A2033" i="1"/>
  <c r="A2034" i="1"/>
  <c r="A2035" i="1"/>
  <c r="A1815" i="1"/>
  <c r="A1910" i="1"/>
  <c r="A1911" i="1"/>
  <c r="A2036" i="1"/>
  <c r="A1912" i="1"/>
  <c r="A1913" i="1"/>
  <c r="A1914" i="1"/>
  <c r="A1881" i="1"/>
  <c r="A1882" i="1"/>
  <c r="A1883" i="1"/>
  <c r="A1884" i="1"/>
  <c r="A2037" i="1"/>
  <c r="A1980" i="1"/>
  <c r="A1981" i="1"/>
  <c r="A1982" i="1"/>
  <c r="A1983" i="1"/>
  <c r="A1984" i="1"/>
  <c r="A1985" i="1"/>
  <c r="A1816" i="1"/>
  <c r="A1817" i="1"/>
  <c r="A1885" i="1"/>
  <c r="A1886" i="1"/>
  <c r="A1887" i="1"/>
  <c r="A2038" i="1"/>
  <c r="A2039" i="1"/>
  <c r="A1915" i="1"/>
  <c r="A1888" i="1"/>
  <c r="A1889" i="1"/>
  <c r="A1916" i="1"/>
  <c r="A1890" i="1"/>
  <c r="A1986" i="1"/>
  <c r="A1917" i="1"/>
  <c r="A1918" i="1"/>
  <c r="A1818" i="1"/>
  <c r="A1987" i="1"/>
  <c r="A1891" i="1"/>
  <c r="A1819" i="1"/>
  <c r="A1919" i="1"/>
  <c r="A1920" i="1"/>
  <c r="A1921" i="1"/>
  <c r="A1922" i="1"/>
  <c r="A1820" i="1"/>
  <c r="A1821" i="1"/>
  <c r="A1923" i="1"/>
  <c r="A1924" i="1"/>
  <c r="A2062" i="1"/>
  <c r="A1925" i="1"/>
  <c r="A1822" i="1"/>
  <c r="A2040" i="1"/>
  <c r="A2041" i="1"/>
  <c r="A1892" i="1"/>
  <c r="A1893" i="1"/>
  <c r="A1894" i="1"/>
  <c r="A1823" i="1"/>
  <c r="A1895" i="1"/>
  <c r="A1824" i="1"/>
  <c r="A1896" i="1"/>
  <c r="A1825" i="1"/>
  <c r="A1826" i="1"/>
  <c r="A1827" i="1"/>
  <c r="A1828" i="1"/>
  <c r="A1829" i="1"/>
  <c r="A1897" i="1"/>
  <c r="A1898" i="1"/>
  <c r="A1899" i="1"/>
  <c r="A1926" i="1"/>
  <c r="A1988" i="1"/>
  <c r="A1830" i="1"/>
  <c r="A1900" i="1"/>
  <c r="A1901" i="1"/>
  <c r="A1902" i="1"/>
  <c r="A1903" i="1"/>
  <c r="A1831" i="1"/>
  <c r="A1904" i="1"/>
  <c r="A1832" i="1"/>
  <c r="A1843" i="1"/>
  <c r="A1844" i="1"/>
  <c r="A1845" i="1"/>
  <c r="A1833" i="1"/>
  <c r="A1846" i="1"/>
  <c r="A1927" i="1"/>
  <c r="A1847" i="1"/>
  <c r="A1928" i="1"/>
  <c r="A1929" i="1"/>
  <c r="A1930" i="1"/>
  <c r="A1758" i="1"/>
  <c r="A1905" i="1"/>
  <c r="A2042" i="1"/>
  <c r="A1848" i="1"/>
  <c r="A1834" i="1"/>
  <c r="A1931" i="1"/>
  <c r="A1932" i="1"/>
  <c r="A1770" i="1"/>
  <c r="A1771" i="1"/>
  <c r="A1906" i="1"/>
  <c r="A1907" i="1"/>
  <c r="A1772" i="1"/>
  <c r="A1835" i="1"/>
  <c r="A2043" i="1"/>
  <c r="A2044" i="1"/>
  <c r="A1989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1849" i="1"/>
  <c r="A1850" i="1"/>
  <c r="A1851" i="1"/>
  <c r="A1759" i="1"/>
  <c r="A1760" i="1"/>
  <c r="A1990" i="1"/>
  <c r="A1798" i="1"/>
  <c r="A1991" i="1"/>
  <c r="A1761" i="1"/>
  <c r="A1799" i="1"/>
  <c r="A1800" i="1"/>
  <c r="A1762" i="1"/>
  <c r="A1763" i="1"/>
  <c r="A1764" i="1"/>
  <c r="A1773" i="1"/>
  <c r="A1774" i="1"/>
  <c r="A1775" i="1"/>
  <c r="A1776" i="1"/>
  <c r="A1801" i="1"/>
  <c r="A1802" i="1"/>
  <c r="A1765" i="1"/>
  <c r="A1992" i="1"/>
  <c r="A1836" i="1"/>
  <c r="A1803" i="1"/>
  <c r="A1766" i="1"/>
  <c r="A1767" i="1"/>
  <c r="A1804" i="1"/>
  <c r="A1852" i="1"/>
  <c r="A1853" i="1"/>
  <c r="A1854" i="1"/>
  <c r="A1777" i="1"/>
  <c r="A1778" i="1"/>
  <c r="A1855" i="1"/>
  <c r="A2059" i="1"/>
  <c r="A1779" i="1"/>
  <c r="A1780" i="1"/>
  <c r="A1856" i="1"/>
  <c r="A1781" i="1"/>
  <c r="A1857" i="1"/>
  <c r="A1805" i="1"/>
  <c r="A2063" i="1"/>
  <c r="A2004" i="1"/>
  <c r="A1782" i="1"/>
  <c r="A1993" i="1"/>
  <c r="A1783" i="1"/>
  <c r="A1784" i="1"/>
  <c r="A1785" i="1"/>
  <c r="A1786" i="1"/>
  <c r="A1787" i="1"/>
  <c r="A1837" i="1"/>
  <c r="A1933" i="1"/>
  <c r="A1934" i="1"/>
  <c r="A1935" i="1"/>
  <c r="A1936" i="1"/>
  <c r="A1937" i="1"/>
  <c r="A1806" i="1"/>
  <c r="A1768" i="1"/>
  <c r="A1938" i="1"/>
  <c r="A1994" i="1"/>
  <c r="A1788" i="1"/>
  <c r="A1789" i="1"/>
  <c r="A1790" i="1"/>
  <c r="A1995" i="1"/>
  <c r="A1996" i="1"/>
  <c r="A1997" i="1"/>
  <c r="A1939" i="1"/>
  <c r="A2060" i="1"/>
  <c r="A2061" i="1"/>
  <c r="A1769" i="1"/>
  <c r="A1838" i="1"/>
  <c r="A2064" i="1"/>
  <c r="A2005" i="1"/>
  <c r="A2006" i="1"/>
  <c r="A2007" i="1"/>
  <c r="A2065" i="1"/>
  <c r="A1940" i="1"/>
  <c r="A1839" i="1"/>
  <c r="A1840" i="1"/>
  <c r="A2066" i="1"/>
  <c r="A1941" i="1"/>
  <c r="A2067" i="1"/>
  <c r="A1942" i="1"/>
  <c r="A1791" i="1"/>
  <c r="A1807" i="1"/>
  <c r="A1792" i="1"/>
  <c r="A1793" i="1"/>
  <c r="A1794" i="1"/>
  <c r="A1808" i="1"/>
  <c r="A1795" i="1"/>
  <c r="A2008" i="1"/>
  <c r="A2009" i="1"/>
  <c r="A1809" i="1"/>
  <c r="A1810" i="1"/>
  <c r="A1796" i="1"/>
  <c r="A1841" i="1"/>
  <c r="A1842" i="1"/>
  <c r="A1797" i="1"/>
  <c r="A1943" i="1"/>
  <c r="A1944" i="1"/>
  <c r="A1998" i="1"/>
  <c r="A1999" i="1"/>
  <c r="A2000" i="1"/>
  <c r="A2001" i="1"/>
  <c r="A2002" i="1"/>
  <c r="A2003" i="1"/>
  <c r="A1811" i="1"/>
  <c r="A1945" i="1"/>
  <c r="A1946" i="1"/>
  <c r="A1947" i="1"/>
  <c r="A1948" i="1"/>
  <c r="A1949" i="1"/>
  <c r="A1950" i="1"/>
  <c r="A1951" i="1"/>
  <c r="A2068" i="1"/>
  <c r="A1952" i="1"/>
  <c r="A1953" i="1"/>
  <c r="A2069" i="1"/>
  <c r="A2070" i="1"/>
  <c r="A2072" i="1"/>
  <c r="A2073" i="1"/>
  <c r="A2074" i="1"/>
  <c r="A2294" i="1"/>
  <c r="A2075" i="1"/>
  <c r="A2249" i="1"/>
  <c r="A2250" i="1"/>
  <c r="A2092" i="1"/>
  <c r="A2304" i="1"/>
  <c r="A2356" i="1"/>
  <c r="A2279" i="1"/>
  <c r="A2358" i="1"/>
  <c r="A2302" i="1"/>
  <c r="A2375" i="1"/>
  <c r="A2245" i="1"/>
  <c r="A2246" i="1"/>
  <c r="A2247" i="1"/>
  <c r="A2087" i="1"/>
  <c r="A2357" i="1"/>
  <c r="A2314" i="1"/>
  <c r="A2359" i="1"/>
  <c r="A2088" i="1"/>
  <c r="A2248" i="1"/>
  <c r="A2352" i="1"/>
  <c r="A2241" i="1"/>
  <c r="A2242" i="1"/>
  <c r="A2267" i="1"/>
  <c r="A2365" i="1"/>
  <c r="A2315" i="1"/>
  <c r="A2226" i="1"/>
  <c r="A2335" i="1"/>
  <c r="A2268" i="1"/>
  <c r="A2243" i="1"/>
  <c r="A2350" i="1"/>
  <c r="A2309" i="1"/>
  <c r="A2310" i="1"/>
  <c r="A2303" i="1"/>
  <c r="A2140" i="1"/>
  <c r="A2229" i="1"/>
  <c r="A2274" i="1"/>
  <c r="A2269" i="1"/>
  <c r="A2272" i="1"/>
  <c r="A2275" i="1"/>
  <c r="A2325" i="1"/>
  <c r="A2259" i="1"/>
  <c r="A2273" i="1"/>
  <c r="A2311" i="1"/>
  <c r="A2236" i="1"/>
  <c r="A2260" i="1"/>
  <c r="A2312" i="1"/>
  <c r="A2276" i="1"/>
  <c r="A2277" i="1"/>
  <c r="A2278" i="1"/>
  <c r="A2227" i="1"/>
  <c r="A2289" i="1"/>
  <c r="A2328" i="1"/>
  <c r="A2366" i="1"/>
  <c r="A2367" i="1"/>
  <c r="A2313" i="1"/>
  <c r="A2089" i="1"/>
  <c r="A2353" i="1"/>
  <c r="A2329" i="1"/>
  <c r="A2212" i="1"/>
  <c r="A2213" i="1"/>
  <c r="A2214" i="1"/>
  <c r="A2215" i="1"/>
  <c r="A2192" i="1"/>
  <c r="A2224" i="1"/>
  <c r="A2261" i="1"/>
  <c r="A2262" i="1"/>
  <c r="A2368" i="1"/>
  <c r="A2216" i="1"/>
  <c r="A2156" i="1"/>
  <c r="A2082" i="1"/>
  <c r="A2225" i="1"/>
  <c r="A2251" i="1"/>
  <c r="A2252" i="1"/>
  <c r="A2154" i="1"/>
  <c r="A2290" i="1"/>
  <c r="A2354" i="1"/>
  <c r="A2291" i="1"/>
  <c r="A2336" i="1"/>
  <c r="A2347" i="1"/>
  <c r="A2083" i="1"/>
  <c r="A2222" i="1"/>
  <c r="A2263" i="1"/>
  <c r="A2084" i="1"/>
  <c r="A2223" i="1"/>
  <c r="A2270" i="1"/>
  <c r="A2253" i="1"/>
  <c r="A2239" i="1"/>
  <c r="A2306" i="1"/>
  <c r="A2292" i="1"/>
  <c r="A2271" i="1"/>
  <c r="A2228" i="1"/>
  <c r="A2077" i="1"/>
  <c r="A2230" i="1"/>
  <c r="A2293" i="1"/>
  <c r="A2142" i="1"/>
  <c r="A2372" i="1"/>
  <c r="A2085" i="1"/>
  <c r="A2143" i="1"/>
  <c r="A2337" i="1"/>
  <c r="A2280" i="1"/>
  <c r="A2255" i="1"/>
  <c r="A2209" i="1"/>
  <c r="A2210" i="1"/>
  <c r="A2254" i="1"/>
  <c r="A2373" i="1"/>
  <c r="A2144" i="1"/>
  <c r="A2374" i="1"/>
  <c r="A2155" i="1"/>
  <c r="A2078" i="1"/>
  <c r="A2193" i="1"/>
  <c r="A2152" i="1"/>
  <c r="A2326" i="1"/>
  <c r="A2076" i="1"/>
  <c r="A2351" i="1"/>
  <c r="A2141" i="1"/>
  <c r="A2240" i="1"/>
  <c r="A2305" i="1"/>
  <c r="A2295" i="1"/>
  <c r="A2331" i="1"/>
  <c r="A2332" i="1"/>
  <c r="A2145" i="1"/>
  <c r="A2211" i="1"/>
  <c r="A2360" i="1"/>
  <c r="A2208" i="1"/>
  <c r="A2369" i="1"/>
  <c r="A2348" i="1"/>
  <c r="A2370" i="1"/>
  <c r="A2146" i="1"/>
  <c r="A2307" i="1"/>
  <c r="A2079" i="1"/>
  <c r="A2296" i="1"/>
  <c r="A2297" i="1"/>
  <c r="A2256" i="1"/>
  <c r="A2257" i="1"/>
  <c r="A2298" i="1"/>
  <c r="A2080" i="1"/>
  <c r="A2153" i="1"/>
  <c r="A2299" i="1"/>
  <c r="A2147" i="1"/>
  <c r="A2090" i="1"/>
  <c r="A2148" i="1"/>
  <c r="A2207" i="1"/>
  <c r="A2371" i="1"/>
  <c r="A2081" i="1"/>
  <c r="A2264" i="1"/>
  <c r="A2265" i="1"/>
  <c r="A2333" i="1"/>
  <c r="A2334" i="1"/>
  <c r="A2338" i="1"/>
  <c r="A2281" i="1"/>
  <c r="A2266" i="1"/>
  <c r="A2349" i="1"/>
  <c r="A2149" i="1"/>
  <c r="A2258" i="1"/>
  <c r="A2308" i="1"/>
  <c r="A2355" i="1"/>
  <c r="A2231" i="1"/>
  <c r="A2327" i="1"/>
  <c r="A2232" i="1"/>
  <c r="A2157" i="1"/>
  <c r="A2086" i="1"/>
  <c r="A2244" i="1"/>
  <c r="A2330" i="1"/>
  <c r="A2361" i="1"/>
  <c r="A2091" i="1"/>
  <c r="A2150" i="1"/>
  <c r="A2300" i="1"/>
  <c r="A2151" i="1"/>
  <c r="A2301" i="1"/>
  <c r="A2071" i="1"/>
  <c r="A2362" i="1"/>
  <c r="A2323" i="1"/>
  <c r="A2363" i="1"/>
  <c r="A2364" i="1"/>
  <c r="A2324" i="1"/>
  <c r="A2237" i="1"/>
  <c r="A2238" i="1"/>
  <c r="A2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2" i="1"/>
  <c r="B23" i="1"/>
  <c r="B24" i="1"/>
  <c r="B25" i="1"/>
  <c r="B26" i="1"/>
  <c r="B27" i="1"/>
  <c r="B28" i="1"/>
  <c r="B29" i="1"/>
  <c r="B30" i="1"/>
  <c r="B31" i="1"/>
  <c r="B32" i="1"/>
  <c r="B33" i="1"/>
  <c r="B21" i="1"/>
  <c r="B34" i="1"/>
  <c r="B35" i="1"/>
  <c r="B36" i="1"/>
  <c r="B37" i="1"/>
  <c r="B65" i="1"/>
  <c r="B38" i="1"/>
  <c r="B66" i="1"/>
  <c r="B67" i="1"/>
  <c r="B68" i="1"/>
  <c r="B69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9" i="1"/>
  <c r="B60" i="1"/>
  <c r="B61" i="1"/>
  <c r="B62" i="1"/>
  <c r="B58" i="1"/>
  <c r="B63" i="1"/>
  <c r="B64" i="1"/>
  <c r="B97" i="1"/>
  <c r="B98" i="1"/>
  <c r="B99" i="1"/>
  <c r="B100" i="1"/>
  <c r="B101" i="1"/>
  <c r="B102" i="1"/>
  <c r="B103" i="1"/>
  <c r="B104" i="1"/>
  <c r="B105" i="1"/>
  <c r="B70" i="1"/>
  <c r="B106" i="1"/>
  <c r="B107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108" i="1"/>
  <c r="B109" i="1"/>
  <c r="B87" i="1"/>
  <c r="B88" i="1"/>
  <c r="B89" i="1"/>
  <c r="B90" i="1"/>
  <c r="B91" i="1"/>
  <c r="B92" i="1"/>
  <c r="B93" i="1"/>
  <c r="B110" i="1"/>
  <c r="B94" i="1"/>
  <c r="B111" i="1"/>
  <c r="B115" i="1"/>
  <c r="B112" i="1"/>
  <c r="B116" i="1"/>
  <c r="B117" i="1"/>
  <c r="B118" i="1"/>
  <c r="B119" i="1"/>
  <c r="B120" i="1"/>
  <c r="B121" i="1"/>
  <c r="B122" i="1"/>
  <c r="B123" i="1"/>
  <c r="B124" i="1"/>
  <c r="B113" i="1"/>
  <c r="B114" i="1"/>
  <c r="B95" i="1"/>
  <c r="B96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70" i="1"/>
  <c r="B195" i="1"/>
  <c r="B171" i="1"/>
  <c r="B172" i="1"/>
  <c r="B173" i="1"/>
  <c r="B196" i="1"/>
  <c r="B197" i="1"/>
  <c r="B198" i="1"/>
  <c r="B199" i="1"/>
  <c r="B200" i="1"/>
  <c r="B201" i="1"/>
  <c r="B202" i="1"/>
  <c r="B203" i="1"/>
  <c r="B207" i="1"/>
  <c r="B204" i="1"/>
  <c r="B205" i="1"/>
  <c r="B208" i="1"/>
  <c r="B209" i="1"/>
  <c r="B210" i="1"/>
  <c r="B211" i="1"/>
  <c r="B212" i="1"/>
  <c r="B213" i="1"/>
  <c r="B206" i="1"/>
  <c r="B226" i="1"/>
  <c r="B245" i="1"/>
  <c r="B246" i="1"/>
  <c r="B247" i="1"/>
  <c r="B248" i="1"/>
  <c r="B249" i="1"/>
  <c r="B250" i="1"/>
  <c r="B251" i="1"/>
  <c r="B227" i="1"/>
  <c r="B228" i="1"/>
  <c r="B256" i="1"/>
  <c r="B229" i="1"/>
  <c r="B230" i="1"/>
  <c r="B252" i="1"/>
  <c r="B253" i="1"/>
  <c r="B254" i="1"/>
  <c r="B231" i="1"/>
  <c r="B232" i="1"/>
  <c r="B233" i="1"/>
  <c r="B234" i="1"/>
  <c r="B235" i="1"/>
  <c r="B236" i="1"/>
  <c r="B257" i="1"/>
  <c r="B258" i="1"/>
  <c r="B255" i="1"/>
  <c r="B259" i="1"/>
  <c r="B237" i="1"/>
  <c r="B238" i="1"/>
  <c r="B239" i="1"/>
  <c r="B260" i="1"/>
  <c r="B261" i="1"/>
  <c r="B262" i="1"/>
  <c r="B263" i="1"/>
  <c r="B264" i="1"/>
  <c r="B265" i="1"/>
  <c r="B266" i="1"/>
  <c r="B240" i="1"/>
  <c r="B267" i="1"/>
  <c r="B241" i="1"/>
  <c r="B242" i="1"/>
  <c r="B268" i="1"/>
  <c r="B269" i="1"/>
  <c r="B270" i="1"/>
  <c r="B271" i="1"/>
  <c r="B243" i="1"/>
  <c r="B272" i="1"/>
  <c r="B214" i="1"/>
  <c r="B215" i="1"/>
  <c r="B273" i="1"/>
  <c r="B274" i="1"/>
  <c r="B275" i="1"/>
  <c r="B276" i="1"/>
  <c r="B277" i="1"/>
  <c r="B278" i="1"/>
  <c r="B216" i="1"/>
  <c r="B279" i="1"/>
  <c r="B280" i="1"/>
  <c r="B281" i="1"/>
  <c r="B282" i="1"/>
  <c r="B217" i="1"/>
  <c r="B283" i="1"/>
  <c r="B284" i="1"/>
  <c r="B285" i="1"/>
  <c r="B286" i="1"/>
  <c r="B218" i="1"/>
  <c r="B219" i="1"/>
  <c r="B220" i="1"/>
  <c r="B221" i="1"/>
  <c r="B244" i="1"/>
  <c r="B222" i="1"/>
  <c r="B223" i="1"/>
  <c r="B224" i="1"/>
  <c r="B225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47" i="1"/>
  <c r="B348" i="1"/>
  <c r="B349" i="1"/>
  <c r="B350" i="1"/>
  <c r="B351" i="1"/>
  <c r="B352" i="1"/>
  <c r="B353" i="1"/>
  <c r="B329" i="1"/>
  <c r="B330" i="1"/>
  <c r="B331" i="1"/>
  <c r="B332" i="1"/>
  <c r="B333" i="1"/>
  <c r="B359" i="1"/>
  <c r="B360" i="1"/>
  <c r="B361" i="1"/>
  <c r="B354" i="1"/>
  <c r="B362" i="1"/>
  <c r="B355" i="1"/>
  <c r="B356" i="1"/>
  <c r="B363" i="1"/>
  <c r="B364" i="1"/>
  <c r="B365" i="1"/>
  <c r="B366" i="1"/>
  <c r="B367" i="1"/>
  <c r="B334" i="1"/>
  <c r="B335" i="1"/>
  <c r="B336" i="1"/>
  <c r="B368" i="1"/>
  <c r="B369" i="1"/>
  <c r="B370" i="1"/>
  <c r="B371" i="1"/>
  <c r="B372" i="1"/>
  <c r="B357" i="1"/>
  <c r="B373" i="1"/>
  <c r="B374" i="1"/>
  <c r="B375" i="1"/>
  <c r="B376" i="1"/>
  <c r="B377" i="1"/>
  <c r="B337" i="1"/>
  <c r="B358" i="1"/>
  <c r="B378" i="1"/>
  <c r="B379" i="1"/>
  <c r="B380" i="1"/>
  <c r="B381" i="1"/>
  <c r="B338" i="1"/>
  <c r="B339" i="1"/>
  <c r="B340" i="1"/>
  <c r="B341" i="1"/>
  <c r="B382" i="1"/>
  <c r="B342" i="1"/>
  <c r="B343" i="1"/>
  <c r="B344" i="1"/>
  <c r="B345" i="1"/>
  <c r="B346" i="1"/>
  <c r="B327" i="1"/>
  <c r="B328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383" i="1"/>
  <c r="B384" i="1"/>
  <c r="B385" i="1"/>
  <c r="B386" i="1"/>
  <c r="B387" i="1"/>
  <c r="B388" i="1"/>
  <c r="B389" i="1"/>
  <c r="B409" i="1"/>
  <c r="B410" i="1"/>
  <c r="B411" i="1"/>
  <c r="B412" i="1"/>
  <c r="B413" i="1"/>
  <c r="B414" i="1"/>
  <c r="B390" i="1"/>
  <c r="B391" i="1"/>
  <c r="B392" i="1"/>
  <c r="B393" i="1"/>
  <c r="B444" i="1"/>
  <c r="B445" i="1"/>
  <c r="B490" i="1"/>
  <c r="B446" i="1"/>
  <c r="B447" i="1"/>
  <c r="B448" i="1"/>
  <c r="B449" i="1"/>
  <c r="B450" i="1"/>
  <c r="B451" i="1"/>
  <c r="B491" i="1"/>
  <c r="B492" i="1"/>
  <c r="B493" i="1"/>
  <c r="B452" i="1"/>
  <c r="B453" i="1"/>
  <c r="B454" i="1"/>
  <c r="B49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95" i="1"/>
  <c r="B473" i="1"/>
  <c r="B474" i="1"/>
  <c r="B475" i="1"/>
  <c r="B496" i="1"/>
  <c r="B497" i="1"/>
  <c r="B498" i="1"/>
  <c r="B499" i="1"/>
  <c r="B476" i="1"/>
  <c r="B477" i="1"/>
  <c r="B500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527" i="1"/>
  <c r="B528" i="1"/>
  <c r="B501" i="1"/>
  <c r="B502" i="1"/>
  <c r="B503" i="1"/>
  <c r="B504" i="1"/>
  <c r="B505" i="1"/>
  <c r="B506" i="1"/>
  <c r="B529" i="1"/>
  <c r="B530" i="1"/>
  <c r="B531" i="1"/>
  <c r="B532" i="1"/>
  <c r="B507" i="1"/>
  <c r="B508" i="1"/>
  <c r="B509" i="1"/>
  <c r="B533" i="1"/>
  <c r="B510" i="1"/>
  <c r="B511" i="1"/>
  <c r="B512" i="1"/>
  <c r="B513" i="1"/>
  <c r="B514" i="1"/>
  <c r="B515" i="1"/>
  <c r="B518" i="1"/>
  <c r="B519" i="1"/>
  <c r="B520" i="1"/>
  <c r="B521" i="1"/>
  <c r="B522" i="1"/>
  <c r="B534" i="1"/>
  <c r="B523" i="1"/>
  <c r="B524" i="1"/>
  <c r="B525" i="1"/>
  <c r="B516" i="1"/>
  <c r="B517" i="1"/>
  <c r="B526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83" i="1"/>
  <c r="B550" i="1"/>
  <c r="B551" i="1"/>
  <c r="B584" i="1"/>
  <c r="B585" i="1"/>
  <c r="B586" i="1"/>
  <c r="B587" i="1"/>
  <c r="B588" i="1"/>
  <c r="B552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553" i="1"/>
  <c r="B608" i="1"/>
  <c r="B609" i="1"/>
  <c r="B610" i="1"/>
  <c r="B611" i="1"/>
  <c r="B554" i="1"/>
  <c r="B555" i="1"/>
  <c r="B556" i="1"/>
  <c r="B557" i="1"/>
  <c r="B612" i="1"/>
  <c r="B613" i="1"/>
  <c r="B558" i="1"/>
  <c r="B559" i="1"/>
  <c r="B614" i="1"/>
  <c r="B560" i="1"/>
  <c r="B615" i="1"/>
  <c r="B616" i="1"/>
  <c r="B617" i="1"/>
  <c r="B618" i="1"/>
  <c r="B619" i="1"/>
  <c r="B561" i="1"/>
  <c r="B620" i="1"/>
  <c r="B621" i="1"/>
  <c r="B622" i="1"/>
  <c r="B562" i="1"/>
  <c r="B623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624" i="1"/>
  <c r="B625" i="1"/>
  <c r="B576" i="1"/>
  <c r="B577" i="1"/>
  <c r="B578" i="1"/>
  <c r="B579" i="1"/>
  <c r="B626" i="1"/>
  <c r="B580" i="1"/>
  <c r="B581" i="1"/>
  <c r="B582" i="1"/>
  <c r="B627" i="1"/>
  <c r="B628" i="1"/>
  <c r="B629" i="1"/>
  <c r="B630" i="1"/>
  <c r="B631" i="1"/>
  <c r="B632" i="1"/>
  <c r="B633" i="1"/>
  <c r="B634" i="1"/>
  <c r="B652" i="1"/>
  <c r="B653" i="1"/>
  <c r="B654" i="1"/>
  <c r="B655" i="1"/>
  <c r="B656" i="1"/>
  <c r="B635" i="1"/>
  <c r="B636" i="1"/>
  <c r="B657" i="1"/>
  <c r="B658" i="1"/>
  <c r="B659" i="1"/>
  <c r="B660" i="1"/>
  <c r="B637" i="1"/>
  <c r="B638" i="1"/>
  <c r="B639" i="1"/>
  <c r="B661" i="1"/>
  <c r="B662" i="1"/>
  <c r="B663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64" i="1"/>
  <c r="B685" i="1"/>
  <c r="B686" i="1"/>
  <c r="B687" i="1"/>
  <c r="B688" i="1"/>
  <c r="B689" i="1"/>
  <c r="B690" i="1"/>
  <c r="B691" i="1"/>
  <c r="B692" i="1"/>
  <c r="B693" i="1"/>
  <c r="B665" i="1"/>
  <c r="B666" i="1"/>
  <c r="B667" i="1"/>
  <c r="B694" i="1"/>
  <c r="B695" i="1"/>
  <c r="B696" i="1"/>
  <c r="B697" i="1"/>
  <c r="B668" i="1"/>
  <c r="B698" i="1"/>
  <c r="B699" i="1"/>
  <c r="B700" i="1"/>
  <c r="B701" i="1"/>
  <c r="B70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03" i="1"/>
  <c r="B704" i="1"/>
  <c r="B705" i="1"/>
  <c r="B706" i="1"/>
  <c r="B707" i="1"/>
  <c r="B708" i="1"/>
  <c r="B709" i="1"/>
  <c r="B710" i="1"/>
  <c r="B711" i="1"/>
  <c r="B712" i="1"/>
  <c r="B797" i="1"/>
  <c r="B798" i="1"/>
  <c r="B799" i="1"/>
  <c r="B800" i="1"/>
  <c r="B801" i="1"/>
  <c r="B802" i="1"/>
  <c r="B803" i="1"/>
  <c r="B804" i="1"/>
  <c r="B785" i="1"/>
  <c r="B786" i="1"/>
  <c r="B787" i="1"/>
  <c r="B788" i="1"/>
  <c r="B749" i="1"/>
  <c r="B750" i="1"/>
  <c r="B751" i="1"/>
  <c r="B752" i="1"/>
  <c r="B753" i="1"/>
  <c r="B789" i="1"/>
  <c r="B754" i="1"/>
  <c r="B790" i="1"/>
  <c r="B791" i="1"/>
  <c r="B805" i="1"/>
  <c r="B792" i="1"/>
  <c r="B755" i="1"/>
  <c r="B756" i="1"/>
  <c r="B757" i="1"/>
  <c r="B806" i="1"/>
  <c r="B793" i="1"/>
  <c r="B758" i="1"/>
  <c r="B759" i="1"/>
  <c r="B760" i="1"/>
  <c r="B761" i="1"/>
  <c r="B807" i="1"/>
  <c r="B794" i="1"/>
  <c r="B795" i="1"/>
  <c r="B796" i="1"/>
  <c r="B762" i="1"/>
  <c r="B763" i="1"/>
  <c r="B764" i="1"/>
  <c r="B808" i="1"/>
  <c r="B771" i="1"/>
  <c r="B772" i="1"/>
  <c r="B809" i="1"/>
  <c r="B773" i="1"/>
  <c r="B774" i="1"/>
  <c r="B775" i="1"/>
  <c r="B810" i="1"/>
  <c r="B811" i="1"/>
  <c r="B776" i="1"/>
  <c r="B812" i="1"/>
  <c r="B777" i="1"/>
  <c r="B778" i="1"/>
  <c r="B779" i="1"/>
  <c r="B765" i="1"/>
  <c r="B766" i="1"/>
  <c r="B767" i="1"/>
  <c r="B780" i="1"/>
  <c r="B781" i="1"/>
  <c r="B768" i="1"/>
  <c r="B769" i="1"/>
  <c r="B770" i="1"/>
  <c r="B782" i="1"/>
  <c r="B813" i="1"/>
  <c r="B814" i="1"/>
  <c r="B815" i="1"/>
  <c r="B816" i="1"/>
  <c r="B783" i="1"/>
  <c r="B817" i="1"/>
  <c r="B784" i="1"/>
  <c r="B818" i="1"/>
  <c r="B845" i="1"/>
  <c r="B846" i="1"/>
  <c r="B819" i="1"/>
  <c r="B847" i="1"/>
  <c r="B820" i="1"/>
  <c r="B848" i="1"/>
  <c r="B849" i="1"/>
  <c r="B821" i="1"/>
  <c r="B822" i="1"/>
  <c r="B823" i="1"/>
  <c r="B824" i="1"/>
  <c r="B825" i="1"/>
  <c r="B850" i="1"/>
  <c r="B851" i="1"/>
  <c r="B826" i="1"/>
  <c r="B852" i="1"/>
  <c r="B853" i="1"/>
  <c r="B827" i="1"/>
  <c r="B828" i="1"/>
  <c r="B854" i="1"/>
  <c r="B829" i="1"/>
  <c r="B855" i="1"/>
  <c r="B830" i="1"/>
  <c r="B831" i="1"/>
  <c r="B856" i="1"/>
  <c r="B832" i="1"/>
  <c r="B833" i="1"/>
  <c r="B834" i="1"/>
  <c r="B857" i="1"/>
  <c r="B858" i="1"/>
  <c r="B859" i="1"/>
  <c r="B860" i="1"/>
  <c r="B835" i="1"/>
  <c r="B843" i="1"/>
  <c r="B844" i="1"/>
  <c r="B861" i="1"/>
  <c r="B836" i="1"/>
  <c r="B837" i="1"/>
  <c r="B838" i="1"/>
  <c r="B839" i="1"/>
  <c r="B840" i="1"/>
  <c r="B841" i="1"/>
  <c r="B842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966" i="1"/>
  <c r="B967" i="1"/>
  <c r="B968" i="1"/>
  <c r="B969" i="1"/>
  <c r="B970" i="1"/>
  <c r="B971" i="1"/>
  <c r="B972" i="1"/>
  <c r="B973" i="1"/>
  <c r="B974" i="1"/>
  <c r="B975" i="1"/>
  <c r="B898" i="1"/>
  <c r="B976" i="1"/>
  <c r="B899" i="1"/>
  <c r="B924" i="1"/>
  <c r="B925" i="1"/>
  <c r="B926" i="1"/>
  <c r="B927" i="1"/>
  <c r="B928" i="1"/>
  <c r="B929" i="1"/>
  <c r="B930" i="1"/>
  <c r="B900" i="1"/>
  <c r="B931" i="1"/>
  <c r="B977" i="1"/>
  <c r="B932" i="1"/>
  <c r="B933" i="1"/>
  <c r="B901" i="1"/>
  <c r="B902" i="1"/>
  <c r="B934" i="1"/>
  <c r="B935" i="1"/>
  <c r="B903" i="1"/>
  <c r="B936" i="1"/>
  <c r="B937" i="1"/>
  <c r="B938" i="1"/>
  <c r="B939" i="1"/>
  <c r="B940" i="1"/>
  <c r="B941" i="1"/>
  <c r="B942" i="1"/>
  <c r="B943" i="1"/>
  <c r="B904" i="1"/>
  <c r="B944" i="1"/>
  <c r="B945" i="1"/>
  <c r="B946" i="1"/>
  <c r="B905" i="1"/>
  <c r="B947" i="1"/>
  <c r="B916" i="1"/>
  <c r="B917" i="1"/>
  <c r="B918" i="1"/>
  <c r="B919" i="1"/>
  <c r="B948" i="1"/>
  <c r="B949" i="1"/>
  <c r="B950" i="1"/>
  <c r="B951" i="1"/>
  <c r="B952" i="1"/>
  <c r="B953" i="1"/>
  <c r="B906" i="1"/>
  <c r="B920" i="1"/>
  <c r="B921" i="1"/>
  <c r="B922" i="1"/>
  <c r="B923" i="1"/>
  <c r="B954" i="1"/>
  <c r="B978" i="1"/>
  <c r="B955" i="1"/>
  <c r="B956" i="1"/>
  <c r="B957" i="1"/>
  <c r="B907" i="1"/>
  <c r="B958" i="1"/>
  <c r="B908" i="1"/>
  <c r="B909" i="1"/>
  <c r="B959" i="1"/>
  <c r="B910" i="1"/>
  <c r="B911" i="1"/>
  <c r="B960" i="1"/>
  <c r="B961" i="1"/>
  <c r="B912" i="1"/>
  <c r="B962" i="1"/>
  <c r="B913" i="1"/>
  <c r="B914" i="1"/>
  <c r="B963" i="1"/>
  <c r="B964" i="1"/>
  <c r="B965" i="1"/>
  <c r="B915" i="1"/>
  <c r="B979" i="1"/>
  <c r="B980" i="1"/>
  <c r="B981" i="1"/>
  <c r="B982" i="1"/>
  <c r="B983" i="1"/>
  <c r="B984" i="1"/>
  <c r="B985" i="1"/>
  <c r="B986" i="1"/>
  <c r="B987" i="1"/>
  <c r="B988" i="1"/>
  <c r="B1012" i="1"/>
  <c r="B1013" i="1"/>
  <c r="B1014" i="1"/>
  <c r="B1015" i="1"/>
  <c r="B1016" i="1"/>
  <c r="B1017" i="1"/>
  <c r="B1018" i="1"/>
  <c r="B1019" i="1"/>
  <c r="B1020" i="1"/>
  <c r="B989" i="1"/>
  <c r="B990" i="1"/>
  <c r="B991" i="1"/>
  <c r="B1021" i="1"/>
  <c r="B1022" i="1"/>
  <c r="B1023" i="1"/>
  <c r="B1024" i="1"/>
  <c r="B1025" i="1"/>
  <c r="B1026" i="1"/>
  <c r="B1027" i="1"/>
  <c r="B1028" i="1"/>
  <c r="B1029" i="1"/>
  <c r="B1030" i="1"/>
  <c r="B992" i="1"/>
  <c r="B1031" i="1"/>
  <c r="B993" i="1"/>
  <c r="B1032" i="1"/>
  <c r="B1033" i="1"/>
  <c r="B1034" i="1"/>
  <c r="B1035" i="1"/>
  <c r="B994" i="1"/>
  <c r="B1036" i="1"/>
  <c r="B1037" i="1"/>
  <c r="B995" i="1"/>
  <c r="B996" i="1"/>
  <c r="B997" i="1"/>
  <c r="B998" i="1"/>
  <c r="B999" i="1"/>
  <c r="B1000" i="1"/>
  <c r="B1001" i="1"/>
  <c r="B1038" i="1"/>
  <c r="B1039" i="1"/>
  <c r="B1040" i="1"/>
  <c r="B1041" i="1"/>
  <c r="B1042" i="1"/>
  <c r="B1043" i="1"/>
  <c r="B1002" i="1"/>
  <c r="B1044" i="1"/>
  <c r="B1045" i="1"/>
  <c r="B1046" i="1"/>
  <c r="B1047" i="1"/>
  <c r="B1048" i="1"/>
  <c r="B1049" i="1"/>
  <c r="B1050" i="1"/>
  <c r="B1051" i="1"/>
  <c r="B1003" i="1"/>
  <c r="B1052" i="1"/>
  <c r="B1053" i="1"/>
  <c r="B1054" i="1"/>
  <c r="B1055" i="1"/>
  <c r="B1056" i="1"/>
  <c r="B1057" i="1"/>
  <c r="B1058" i="1"/>
  <c r="B1059" i="1"/>
  <c r="B1060" i="1"/>
  <c r="B1061" i="1"/>
  <c r="B1062" i="1"/>
  <c r="B1004" i="1"/>
  <c r="B1005" i="1"/>
  <c r="B1006" i="1"/>
  <c r="B1063" i="1"/>
  <c r="B1007" i="1"/>
  <c r="B1008" i="1"/>
  <c r="B1009" i="1"/>
  <c r="B1010" i="1"/>
  <c r="B1011" i="1"/>
  <c r="B1064" i="1"/>
  <c r="B1065" i="1"/>
  <c r="B1066" i="1"/>
  <c r="B1152" i="1"/>
  <c r="B1153" i="1"/>
  <c r="B1154" i="1"/>
  <c r="B1155" i="1"/>
  <c r="B1067" i="1"/>
  <c r="B1068" i="1"/>
  <c r="B1069" i="1"/>
  <c r="B1070" i="1"/>
  <c r="B1071" i="1"/>
  <c r="B1072" i="1"/>
  <c r="B1073" i="1"/>
  <c r="B1074" i="1"/>
  <c r="B1075" i="1"/>
  <c r="B1156" i="1"/>
  <c r="B1157" i="1"/>
  <c r="B1076" i="1"/>
  <c r="B1077" i="1"/>
  <c r="B1078" i="1"/>
  <c r="B1079" i="1"/>
  <c r="B1158" i="1"/>
  <c r="B1159" i="1"/>
  <c r="B1160" i="1"/>
  <c r="B1080" i="1"/>
  <c r="B1081" i="1"/>
  <c r="B1105" i="1"/>
  <c r="B1082" i="1"/>
  <c r="B1083" i="1"/>
  <c r="B1084" i="1"/>
  <c r="B1106" i="1"/>
  <c r="B1107" i="1"/>
  <c r="B1108" i="1"/>
  <c r="B1109" i="1"/>
  <c r="B1110" i="1"/>
  <c r="B1111" i="1"/>
  <c r="B1085" i="1"/>
  <c r="B1112" i="1"/>
  <c r="B1113" i="1"/>
  <c r="B1086" i="1"/>
  <c r="B1087" i="1"/>
  <c r="B1088" i="1"/>
  <c r="B1101" i="1"/>
  <c r="B1114" i="1"/>
  <c r="B1115" i="1"/>
  <c r="B1116" i="1"/>
  <c r="B1161" i="1"/>
  <c r="B1117" i="1"/>
  <c r="B1118" i="1"/>
  <c r="B1119" i="1"/>
  <c r="B1089" i="1"/>
  <c r="B1120" i="1"/>
  <c r="B1121" i="1"/>
  <c r="B1090" i="1"/>
  <c r="B1091" i="1"/>
  <c r="B1092" i="1"/>
  <c r="B1093" i="1"/>
  <c r="B1094" i="1"/>
  <c r="B1102" i="1"/>
  <c r="B1122" i="1"/>
  <c r="B1123" i="1"/>
  <c r="B1162" i="1"/>
  <c r="B1124" i="1"/>
  <c r="B1103" i="1"/>
  <c r="B1125" i="1"/>
  <c r="B1141" i="1"/>
  <c r="B1095" i="1"/>
  <c r="B1096" i="1"/>
  <c r="B1126" i="1"/>
  <c r="B1127" i="1"/>
  <c r="B1142" i="1"/>
  <c r="B1166" i="1"/>
  <c r="B1167" i="1"/>
  <c r="B1168" i="1"/>
  <c r="B1128" i="1"/>
  <c r="B1129" i="1"/>
  <c r="B1097" i="1"/>
  <c r="B1143" i="1"/>
  <c r="B1169" i="1"/>
  <c r="B1170" i="1"/>
  <c r="B1171" i="1"/>
  <c r="B1098" i="1"/>
  <c r="B1172" i="1"/>
  <c r="B1173" i="1"/>
  <c r="B1099" i="1"/>
  <c r="B1174" i="1"/>
  <c r="B1175" i="1"/>
  <c r="B1163" i="1"/>
  <c r="B1176" i="1"/>
  <c r="B1144" i="1"/>
  <c r="B1104" i="1"/>
  <c r="B1164" i="1"/>
  <c r="B1177" i="1"/>
  <c r="B1178" i="1"/>
  <c r="B1130" i="1"/>
  <c r="B1131" i="1"/>
  <c r="B1179" i="1"/>
  <c r="B1180" i="1"/>
  <c r="B1181" i="1"/>
  <c r="B1100" i="1"/>
  <c r="B1165" i="1"/>
  <c r="B1145" i="1"/>
  <c r="B1146" i="1"/>
  <c r="B1147" i="1"/>
  <c r="B1132" i="1"/>
  <c r="B1133" i="1"/>
  <c r="B1134" i="1"/>
  <c r="B1135" i="1"/>
  <c r="B1136" i="1"/>
  <c r="B1137" i="1"/>
  <c r="B1138" i="1"/>
  <c r="B1139" i="1"/>
  <c r="B1140" i="1"/>
  <c r="B1148" i="1"/>
  <c r="B1149" i="1"/>
  <c r="B1150" i="1"/>
  <c r="B1151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01" i="1"/>
  <c r="B1248" i="1"/>
  <c r="B1249" i="1"/>
  <c r="B1202" i="1"/>
  <c r="B1203" i="1"/>
  <c r="B1204" i="1"/>
  <c r="B1205" i="1"/>
  <c r="B1206" i="1"/>
  <c r="B1250" i="1"/>
  <c r="B1207" i="1"/>
  <c r="B1251" i="1"/>
  <c r="B1252" i="1"/>
  <c r="B1253" i="1"/>
  <c r="B1254" i="1"/>
  <c r="B1255" i="1"/>
  <c r="B1256" i="1"/>
  <c r="B1259" i="1"/>
  <c r="B1260" i="1"/>
  <c r="B1261" i="1"/>
  <c r="B1262" i="1"/>
  <c r="B1263" i="1"/>
  <c r="B1182" i="1"/>
  <c r="B1208" i="1"/>
  <c r="B1257" i="1"/>
  <c r="B1264" i="1"/>
  <c r="B1265" i="1"/>
  <c r="B1266" i="1"/>
  <c r="B1183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184" i="1"/>
  <c r="B1280" i="1"/>
  <c r="B1281" i="1"/>
  <c r="B1282" i="1"/>
  <c r="B1283" i="1"/>
  <c r="B1284" i="1"/>
  <c r="B1285" i="1"/>
  <c r="B1286" i="1"/>
  <c r="B1287" i="1"/>
  <c r="B1288" i="1"/>
  <c r="B1289" i="1"/>
  <c r="B1209" i="1"/>
  <c r="B1185" i="1"/>
  <c r="B1186" i="1"/>
  <c r="B1211" i="1"/>
  <c r="B1212" i="1"/>
  <c r="B1187" i="1"/>
  <c r="B1290" i="1"/>
  <c r="B1213" i="1"/>
  <c r="B1291" i="1"/>
  <c r="B1188" i="1"/>
  <c r="B1214" i="1"/>
  <c r="B1292" i="1"/>
  <c r="B1293" i="1"/>
  <c r="B1215" i="1"/>
  <c r="B1258" i="1"/>
  <c r="B1216" i="1"/>
  <c r="B1217" i="1"/>
  <c r="B1218" i="1"/>
  <c r="B1219" i="1"/>
  <c r="B1189" i="1"/>
  <c r="B1220" i="1"/>
  <c r="B1221" i="1"/>
  <c r="B1222" i="1"/>
  <c r="B1223" i="1"/>
  <c r="B1224" i="1"/>
  <c r="B1225" i="1"/>
  <c r="B1190" i="1"/>
  <c r="B1191" i="1"/>
  <c r="B1210" i="1"/>
  <c r="B1226" i="1"/>
  <c r="B1294" i="1"/>
  <c r="B1227" i="1"/>
  <c r="B1228" i="1"/>
  <c r="B1192" i="1"/>
  <c r="B1193" i="1"/>
  <c r="B1194" i="1"/>
  <c r="B1195" i="1"/>
  <c r="B1196" i="1"/>
  <c r="B1197" i="1"/>
  <c r="B1198" i="1"/>
  <c r="B1199" i="1"/>
  <c r="B1200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296" i="1"/>
  <c r="B1319" i="1"/>
  <c r="B1320" i="1"/>
  <c r="B1321" i="1"/>
  <c r="B1295" i="1"/>
  <c r="B1297" i="1"/>
  <c r="B1298" i="1"/>
  <c r="B1299" i="1"/>
  <c r="B1300" i="1"/>
  <c r="B1301" i="1"/>
  <c r="B1322" i="1"/>
  <c r="B1302" i="1"/>
  <c r="B1303" i="1"/>
  <c r="B1304" i="1"/>
  <c r="B1305" i="1"/>
  <c r="B1323" i="1"/>
  <c r="B1324" i="1"/>
  <c r="B1325" i="1"/>
  <c r="B1326" i="1"/>
  <c r="B1327" i="1"/>
  <c r="B1328" i="1"/>
  <c r="B1329" i="1"/>
  <c r="B1400" i="1"/>
  <c r="B1330" i="1"/>
  <c r="B1331" i="1"/>
  <c r="B1332" i="1"/>
  <c r="B1333" i="1"/>
  <c r="B1334" i="1"/>
  <c r="B1335" i="1"/>
  <c r="B1336" i="1"/>
  <c r="B1415" i="1"/>
  <c r="B1416" i="1"/>
  <c r="B1401" i="1"/>
  <c r="B1417" i="1"/>
  <c r="B1418" i="1"/>
  <c r="B1402" i="1"/>
  <c r="B1337" i="1"/>
  <c r="B1403" i="1"/>
  <c r="B1419" i="1"/>
  <c r="B1420" i="1"/>
  <c r="B1378" i="1"/>
  <c r="B1421" i="1"/>
  <c r="B1422" i="1"/>
  <c r="B1423" i="1"/>
  <c r="B1454" i="1"/>
  <c r="B1338" i="1"/>
  <c r="B1455" i="1"/>
  <c r="B1404" i="1"/>
  <c r="B1339" i="1"/>
  <c r="B1405" i="1"/>
  <c r="B1406" i="1"/>
  <c r="B1407" i="1"/>
  <c r="B1408" i="1"/>
  <c r="B1409" i="1"/>
  <c r="B1410" i="1"/>
  <c r="B1424" i="1"/>
  <c r="B1379" i="1"/>
  <c r="B1411" i="1"/>
  <c r="B1380" i="1"/>
  <c r="B1340" i="1"/>
  <c r="B1412" i="1"/>
  <c r="B1341" i="1"/>
  <c r="B1425" i="1"/>
  <c r="B1342" i="1"/>
  <c r="B1413" i="1"/>
  <c r="B1426" i="1"/>
  <c r="B1414" i="1"/>
  <c r="B1381" i="1"/>
  <c r="B1382" i="1"/>
  <c r="B1383" i="1"/>
  <c r="B1384" i="1"/>
  <c r="B1456" i="1"/>
  <c r="B1385" i="1"/>
  <c r="B1427" i="1"/>
  <c r="B1428" i="1"/>
  <c r="B1343" i="1"/>
  <c r="B1457" i="1"/>
  <c r="B1458" i="1"/>
  <c r="B1459" i="1"/>
  <c r="B1344" i="1"/>
  <c r="B1429" i="1"/>
  <c r="B1430" i="1"/>
  <c r="B1431" i="1"/>
  <c r="B1365" i="1"/>
  <c r="B1345" i="1"/>
  <c r="B1386" i="1"/>
  <c r="B1366" i="1"/>
  <c r="B1387" i="1"/>
  <c r="B1346" i="1"/>
  <c r="B1432" i="1"/>
  <c r="B1388" i="1"/>
  <c r="B1460" i="1"/>
  <c r="B1461" i="1"/>
  <c r="B1462" i="1"/>
  <c r="B1389" i="1"/>
  <c r="B1390" i="1"/>
  <c r="B1463" i="1"/>
  <c r="B1347" i="1"/>
  <c r="B1433" i="1"/>
  <c r="B1464" i="1"/>
  <c r="B1348" i="1"/>
  <c r="B1434" i="1"/>
  <c r="B1435" i="1"/>
  <c r="B1436" i="1"/>
  <c r="B1437" i="1"/>
  <c r="B1367" i="1"/>
  <c r="B1368" i="1"/>
  <c r="B1369" i="1"/>
  <c r="B1370" i="1"/>
  <c r="B1371" i="1"/>
  <c r="B1438" i="1"/>
  <c r="B1439" i="1"/>
  <c r="B1440" i="1"/>
  <c r="B1441" i="1"/>
  <c r="B1391" i="1"/>
  <c r="B1392" i="1"/>
  <c r="B1442" i="1"/>
  <c r="B1443" i="1"/>
  <c r="B1444" i="1"/>
  <c r="B1349" i="1"/>
  <c r="B1350" i="1"/>
  <c r="B1372" i="1"/>
  <c r="B1351" i="1"/>
  <c r="B1352" i="1"/>
  <c r="B1353" i="1"/>
  <c r="B1445" i="1"/>
  <c r="B1446" i="1"/>
  <c r="B1373" i="1"/>
  <c r="B1354" i="1"/>
  <c r="B1355" i="1"/>
  <c r="B1356" i="1"/>
  <c r="B1357" i="1"/>
  <c r="B1358" i="1"/>
  <c r="B1359" i="1"/>
  <c r="B1393" i="1"/>
  <c r="B1360" i="1"/>
  <c r="B1394" i="1"/>
  <c r="B1395" i="1"/>
  <c r="B1374" i="1"/>
  <c r="B1465" i="1"/>
  <c r="B1396" i="1"/>
  <c r="B1397" i="1"/>
  <c r="B1361" i="1"/>
  <c r="B1362" i="1"/>
  <c r="B1447" i="1"/>
  <c r="B1375" i="1"/>
  <c r="B1470" i="1"/>
  <c r="B1466" i="1"/>
  <c r="B1467" i="1"/>
  <c r="B1398" i="1"/>
  <c r="B1468" i="1"/>
  <c r="B1448" i="1"/>
  <c r="B1399" i="1"/>
  <c r="B1469" i="1"/>
  <c r="B1449" i="1"/>
  <c r="B1471" i="1"/>
  <c r="B1472" i="1"/>
  <c r="B1450" i="1"/>
  <c r="B1451" i="1"/>
  <c r="B1452" i="1"/>
  <c r="B1473" i="1"/>
  <c r="B1474" i="1"/>
  <c r="B1475" i="1"/>
  <c r="B1476" i="1"/>
  <c r="B1477" i="1"/>
  <c r="B1478" i="1"/>
  <c r="B1376" i="1"/>
  <c r="B1377" i="1"/>
  <c r="B1363" i="1"/>
  <c r="B1364" i="1"/>
  <c r="B1479" i="1"/>
  <c r="B1480" i="1"/>
  <c r="B1481" i="1"/>
  <c r="B1482" i="1"/>
  <c r="B1483" i="1"/>
  <c r="B1484" i="1"/>
  <c r="B1485" i="1"/>
  <c r="B1453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733" i="1"/>
  <c r="B1734" i="1"/>
  <c r="B1735" i="1"/>
  <c r="B1639" i="1"/>
  <c r="B1640" i="1"/>
  <c r="B1641" i="1"/>
  <c r="B1507" i="1"/>
  <c r="B1508" i="1"/>
  <c r="B1509" i="1"/>
  <c r="B1510" i="1"/>
  <c r="B1511" i="1"/>
  <c r="B1512" i="1"/>
  <c r="B1513" i="1"/>
  <c r="B1514" i="1"/>
  <c r="B1642" i="1"/>
  <c r="B1643" i="1"/>
  <c r="B1644" i="1"/>
  <c r="B1645" i="1"/>
  <c r="B1646" i="1"/>
  <c r="B1647" i="1"/>
  <c r="B1598" i="1"/>
  <c r="B1736" i="1"/>
  <c r="B1599" i="1"/>
  <c r="B1515" i="1"/>
  <c r="B1516" i="1"/>
  <c r="B1698" i="1"/>
  <c r="B1699" i="1"/>
  <c r="B1737" i="1"/>
  <c r="B1700" i="1"/>
  <c r="B1738" i="1"/>
  <c r="B1739" i="1"/>
  <c r="B1701" i="1"/>
  <c r="B1740" i="1"/>
  <c r="B1741" i="1"/>
  <c r="B1742" i="1"/>
  <c r="B1743" i="1"/>
  <c r="B1517" i="1"/>
  <c r="B1600" i="1"/>
  <c r="B1601" i="1"/>
  <c r="B1744" i="1"/>
  <c r="B1745" i="1"/>
  <c r="B1702" i="1"/>
  <c r="B1703" i="1"/>
  <c r="B1704" i="1"/>
  <c r="B1705" i="1"/>
  <c r="B1648" i="1"/>
  <c r="B1706" i="1"/>
  <c r="B1486" i="1"/>
  <c r="B1487" i="1"/>
  <c r="B1488" i="1"/>
  <c r="B1707" i="1"/>
  <c r="B1708" i="1"/>
  <c r="B1746" i="1"/>
  <c r="B1709" i="1"/>
  <c r="B1710" i="1"/>
  <c r="B1711" i="1"/>
  <c r="B1649" i="1"/>
  <c r="B1650" i="1"/>
  <c r="B1602" i="1"/>
  <c r="B1603" i="1"/>
  <c r="B1518" i="1"/>
  <c r="B1489" i="1"/>
  <c r="B1490" i="1"/>
  <c r="B1491" i="1"/>
  <c r="B1492" i="1"/>
  <c r="B1493" i="1"/>
  <c r="B1519" i="1"/>
  <c r="B1747" i="1"/>
  <c r="B1712" i="1"/>
  <c r="B1520" i="1"/>
  <c r="B1713" i="1"/>
  <c r="B1521" i="1"/>
  <c r="B1714" i="1"/>
  <c r="B1522" i="1"/>
  <c r="B1651" i="1"/>
  <c r="B1715" i="1"/>
  <c r="B1716" i="1"/>
  <c r="B1523" i="1"/>
  <c r="B1717" i="1"/>
  <c r="B1718" i="1"/>
  <c r="B1524" i="1"/>
  <c r="B1525" i="1"/>
  <c r="B1526" i="1"/>
  <c r="B1527" i="1"/>
  <c r="B1652" i="1"/>
  <c r="B1653" i="1"/>
  <c r="B1654" i="1"/>
  <c r="B1655" i="1"/>
  <c r="B1656" i="1"/>
  <c r="B1748" i="1"/>
  <c r="B1719" i="1"/>
  <c r="B1720" i="1"/>
  <c r="B1721" i="1"/>
  <c r="B1722" i="1"/>
  <c r="B1749" i="1"/>
  <c r="B1604" i="1"/>
  <c r="B1562" i="1"/>
  <c r="B1563" i="1"/>
  <c r="B1564" i="1"/>
  <c r="B1528" i="1"/>
  <c r="B1529" i="1"/>
  <c r="B1530" i="1"/>
  <c r="B1531" i="1"/>
  <c r="B1539" i="1"/>
  <c r="B1494" i="1"/>
  <c r="B1495" i="1"/>
  <c r="B1540" i="1"/>
  <c r="B1496" i="1"/>
  <c r="B1497" i="1"/>
  <c r="B1750" i="1"/>
  <c r="B1532" i="1"/>
  <c r="B1751" i="1"/>
  <c r="B1687" i="1"/>
  <c r="B1605" i="1"/>
  <c r="B1752" i="1"/>
  <c r="B1565" i="1"/>
  <c r="B1566" i="1"/>
  <c r="B1676" i="1"/>
  <c r="B1533" i="1"/>
  <c r="B1534" i="1"/>
  <c r="B1535" i="1"/>
  <c r="B1723" i="1"/>
  <c r="B1724" i="1"/>
  <c r="B1725" i="1"/>
  <c r="B1677" i="1"/>
  <c r="B1678" i="1"/>
  <c r="B1679" i="1"/>
  <c r="B1541" i="1"/>
  <c r="B1680" i="1"/>
  <c r="B1753" i="1"/>
  <c r="B1498" i="1"/>
  <c r="B1499" i="1"/>
  <c r="B1500" i="1"/>
  <c r="B1542" i="1"/>
  <c r="B1501" i="1"/>
  <c r="B1502" i="1"/>
  <c r="B1503" i="1"/>
  <c r="B1504" i="1"/>
  <c r="B1726" i="1"/>
  <c r="B1505" i="1"/>
  <c r="B1727" i="1"/>
  <c r="B1506" i="1"/>
  <c r="B1582" i="1"/>
  <c r="B1728" i="1"/>
  <c r="B1583" i="1"/>
  <c r="B1543" i="1"/>
  <c r="B1544" i="1"/>
  <c r="B1536" i="1"/>
  <c r="B1545" i="1"/>
  <c r="B1567" i="1"/>
  <c r="B1568" i="1"/>
  <c r="B1569" i="1"/>
  <c r="B1570" i="1"/>
  <c r="B1571" i="1"/>
  <c r="B1572" i="1"/>
  <c r="B1606" i="1"/>
  <c r="B1573" i="1"/>
  <c r="B1574" i="1"/>
  <c r="B1575" i="1"/>
  <c r="B1546" i="1"/>
  <c r="B1576" i="1"/>
  <c r="B1577" i="1"/>
  <c r="B1578" i="1"/>
  <c r="B1579" i="1"/>
  <c r="B1688" i="1"/>
  <c r="B1689" i="1"/>
  <c r="B1729" i="1"/>
  <c r="B1730" i="1"/>
  <c r="B1690" i="1"/>
  <c r="B1691" i="1"/>
  <c r="B1692" i="1"/>
  <c r="B1584" i="1"/>
  <c r="B1585" i="1"/>
  <c r="B1681" i="1"/>
  <c r="B1682" i="1"/>
  <c r="B1586" i="1"/>
  <c r="B1587" i="1"/>
  <c r="B1588" i="1"/>
  <c r="B1589" i="1"/>
  <c r="B1590" i="1"/>
  <c r="B1591" i="1"/>
  <c r="B1693" i="1"/>
  <c r="B1694" i="1"/>
  <c r="B1695" i="1"/>
  <c r="B1696" i="1"/>
  <c r="B1547" i="1"/>
  <c r="B1548" i="1"/>
  <c r="B1549" i="1"/>
  <c r="B1550" i="1"/>
  <c r="B1551" i="1"/>
  <c r="B1667" i="1"/>
  <c r="B1683" i="1"/>
  <c r="B1592" i="1"/>
  <c r="B1657" i="1"/>
  <c r="B1593" i="1"/>
  <c r="B1658" i="1"/>
  <c r="B1594" i="1"/>
  <c r="B1552" i="1"/>
  <c r="B1553" i="1"/>
  <c r="B1554" i="1"/>
  <c r="B1537" i="1"/>
  <c r="B1538" i="1"/>
  <c r="B1555" i="1"/>
  <c r="B1556" i="1"/>
  <c r="B1557" i="1"/>
  <c r="B1558" i="1"/>
  <c r="B1559" i="1"/>
  <c r="B1580" i="1"/>
  <c r="B1581" i="1"/>
  <c r="B1560" i="1"/>
  <c r="B1561" i="1"/>
  <c r="B1697" i="1"/>
  <c r="B1595" i="1"/>
  <c r="B1596" i="1"/>
  <c r="B1597" i="1"/>
  <c r="B1668" i="1"/>
  <c r="B1669" i="1"/>
  <c r="B1684" i="1"/>
  <c r="B1670" i="1"/>
  <c r="B1685" i="1"/>
  <c r="B1671" i="1"/>
  <c r="B1672" i="1"/>
  <c r="B1673" i="1"/>
  <c r="B1731" i="1"/>
  <c r="B1659" i="1"/>
  <c r="B1686" i="1"/>
  <c r="B1660" i="1"/>
  <c r="B1754" i="1"/>
  <c r="B1732" i="1"/>
  <c r="B1674" i="1"/>
  <c r="B1661" i="1"/>
  <c r="B1662" i="1"/>
  <c r="B1755" i="1"/>
  <c r="B1663" i="1"/>
  <c r="B1664" i="1"/>
  <c r="B1665" i="1"/>
  <c r="B1675" i="1"/>
  <c r="B1756" i="1"/>
  <c r="B1757" i="1"/>
  <c r="B1666" i="1"/>
  <c r="B1954" i="1"/>
  <c r="B1955" i="1"/>
  <c r="B1956" i="1"/>
  <c r="B1957" i="1"/>
  <c r="B2010" i="1"/>
  <c r="B1958" i="1"/>
  <c r="B1959" i="1"/>
  <c r="B1960" i="1"/>
  <c r="B2011" i="1"/>
  <c r="B2012" i="1"/>
  <c r="B2013" i="1"/>
  <c r="B1961" i="1"/>
  <c r="B1962" i="1"/>
  <c r="B1963" i="1"/>
  <c r="B1964" i="1"/>
  <c r="B1965" i="1"/>
  <c r="B1966" i="1"/>
  <c r="B2014" i="1"/>
  <c r="B1858" i="1"/>
  <c r="B1859" i="1"/>
  <c r="B1860" i="1"/>
  <c r="B1967" i="1"/>
  <c r="B1968" i="1"/>
  <c r="B1969" i="1"/>
  <c r="B2015" i="1"/>
  <c r="B2016" i="1"/>
  <c r="B2017" i="1"/>
  <c r="B1861" i="1"/>
  <c r="B1862" i="1"/>
  <c r="B1970" i="1"/>
  <c r="B2018" i="1"/>
  <c r="B1971" i="1"/>
  <c r="B2019" i="1"/>
  <c r="B2020" i="1"/>
  <c r="B1972" i="1"/>
  <c r="B2021" i="1"/>
  <c r="B2022" i="1"/>
  <c r="B1863" i="1"/>
  <c r="B1864" i="1"/>
  <c r="B1865" i="1"/>
  <c r="B2023" i="1"/>
  <c r="B2024" i="1"/>
  <c r="B2025" i="1"/>
  <c r="B1973" i="1"/>
  <c r="B2026" i="1"/>
  <c r="B2027" i="1"/>
  <c r="B1866" i="1"/>
  <c r="B1867" i="1"/>
  <c r="B1868" i="1"/>
  <c r="B1869" i="1"/>
  <c r="B1870" i="1"/>
  <c r="B1974" i="1"/>
  <c r="B2028" i="1"/>
  <c r="B2029" i="1"/>
  <c r="B2030" i="1"/>
  <c r="B1871" i="1"/>
  <c r="B1812" i="1"/>
  <c r="B2031" i="1"/>
  <c r="B1813" i="1"/>
  <c r="B2032" i="1"/>
  <c r="B1872" i="1"/>
  <c r="B1873" i="1"/>
  <c r="B1874" i="1"/>
  <c r="B1908" i="1"/>
  <c r="B1975" i="1"/>
  <c r="B1909" i="1"/>
  <c r="B1976" i="1"/>
  <c r="B1977" i="1"/>
  <c r="B1978" i="1"/>
  <c r="B1875" i="1"/>
  <c r="B1876" i="1"/>
  <c r="B1877" i="1"/>
  <c r="B1878" i="1"/>
  <c r="B1814" i="1"/>
  <c r="B1979" i="1"/>
  <c r="B1879" i="1"/>
  <c r="B1880" i="1"/>
  <c r="B2033" i="1"/>
  <c r="B2034" i="1"/>
  <c r="B2035" i="1"/>
  <c r="B1815" i="1"/>
  <c r="B1910" i="1"/>
  <c r="B1911" i="1"/>
  <c r="B2036" i="1"/>
  <c r="B1912" i="1"/>
  <c r="B1913" i="1"/>
  <c r="B1914" i="1"/>
  <c r="B1881" i="1"/>
  <c r="B1882" i="1"/>
  <c r="B1883" i="1"/>
  <c r="B1884" i="1"/>
  <c r="B2037" i="1"/>
  <c r="B1980" i="1"/>
  <c r="B1981" i="1"/>
  <c r="B1982" i="1"/>
  <c r="B1983" i="1"/>
  <c r="B1984" i="1"/>
  <c r="B1985" i="1"/>
  <c r="B1816" i="1"/>
  <c r="B1817" i="1"/>
  <c r="B1885" i="1"/>
  <c r="B1886" i="1"/>
  <c r="B1887" i="1"/>
  <c r="B2038" i="1"/>
  <c r="B2039" i="1"/>
  <c r="B1915" i="1"/>
  <c r="B1888" i="1"/>
  <c r="B1889" i="1"/>
  <c r="B1916" i="1"/>
  <c r="B1890" i="1"/>
  <c r="B1986" i="1"/>
  <c r="B1917" i="1"/>
  <c r="B1918" i="1"/>
  <c r="B1818" i="1"/>
  <c r="B1987" i="1"/>
  <c r="B1891" i="1"/>
  <c r="B1819" i="1"/>
  <c r="B1919" i="1"/>
  <c r="B1920" i="1"/>
  <c r="B1921" i="1"/>
  <c r="B1922" i="1"/>
  <c r="B1820" i="1"/>
  <c r="B1821" i="1"/>
  <c r="B1923" i="1"/>
  <c r="B1924" i="1"/>
  <c r="B2062" i="1"/>
  <c r="B1925" i="1"/>
  <c r="B1822" i="1"/>
  <c r="B2040" i="1"/>
  <c r="B2041" i="1"/>
  <c r="B1892" i="1"/>
  <c r="B1893" i="1"/>
  <c r="B1894" i="1"/>
  <c r="B1823" i="1"/>
  <c r="B1895" i="1"/>
  <c r="B1824" i="1"/>
  <c r="B1896" i="1"/>
  <c r="B1825" i="1"/>
  <c r="B1826" i="1"/>
  <c r="B1827" i="1"/>
  <c r="B1828" i="1"/>
  <c r="B1829" i="1"/>
  <c r="B1897" i="1"/>
  <c r="B1898" i="1"/>
  <c r="B1899" i="1"/>
  <c r="B1926" i="1"/>
  <c r="B1988" i="1"/>
  <c r="B1830" i="1"/>
  <c r="B1900" i="1"/>
  <c r="B1901" i="1"/>
  <c r="B1902" i="1"/>
  <c r="B1903" i="1"/>
  <c r="B1831" i="1"/>
  <c r="B1904" i="1"/>
  <c r="B1832" i="1"/>
  <c r="B1843" i="1"/>
  <c r="B1844" i="1"/>
  <c r="B1845" i="1"/>
  <c r="B1833" i="1"/>
  <c r="B1846" i="1"/>
  <c r="B1927" i="1"/>
  <c r="B1847" i="1"/>
  <c r="B1928" i="1"/>
  <c r="B1929" i="1"/>
  <c r="B1930" i="1"/>
  <c r="B1758" i="1"/>
  <c r="B1905" i="1"/>
  <c r="B2042" i="1"/>
  <c r="B1848" i="1"/>
  <c r="B1834" i="1"/>
  <c r="B1931" i="1"/>
  <c r="B1932" i="1"/>
  <c r="B1770" i="1"/>
  <c r="B1771" i="1"/>
  <c r="B1906" i="1"/>
  <c r="B1907" i="1"/>
  <c r="B1772" i="1"/>
  <c r="B1835" i="1"/>
  <c r="B2043" i="1"/>
  <c r="B2044" i="1"/>
  <c r="B1989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1849" i="1"/>
  <c r="B1850" i="1"/>
  <c r="B1851" i="1"/>
  <c r="B1759" i="1"/>
  <c r="B1760" i="1"/>
  <c r="B1990" i="1"/>
  <c r="B1798" i="1"/>
  <c r="B1991" i="1"/>
  <c r="B1761" i="1"/>
  <c r="B1799" i="1"/>
  <c r="B1800" i="1"/>
  <c r="B1762" i="1"/>
  <c r="B1763" i="1"/>
  <c r="B1764" i="1"/>
  <c r="B1773" i="1"/>
  <c r="B1774" i="1"/>
  <c r="B1775" i="1"/>
  <c r="B1776" i="1"/>
  <c r="B1801" i="1"/>
  <c r="B1802" i="1"/>
  <c r="B1765" i="1"/>
  <c r="B1992" i="1"/>
  <c r="B1836" i="1"/>
  <c r="B1803" i="1"/>
  <c r="B1766" i="1"/>
  <c r="B1767" i="1"/>
  <c r="B1804" i="1"/>
  <c r="B1852" i="1"/>
  <c r="B1853" i="1"/>
  <c r="B1854" i="1"/>
  <c r="B1777" i="1"/>
  <c r="B1778" i="1"/>
  <c r="B1855" i="1"/>
  <c r="B2059" i="1"/>
  <c r="B1779" i="1"/>
  <c r="B1780" i="1"/>
  <c r="B1856" i="1"/>
  <c r="B1781" i="1"/>
  <c r="B1857" i="1"/>
  <c r="B1805" i="1"/>
  <c r="B2063" i="1"/>
  <c r="B2004" i="1"/>
  <c r="B1782" i="1"/>
  <c r="B1993" i="1"/>
  <c r="B1783" i="1"/>
  <c r="B1784" i="1"/>
  <c r="B1785" i="1"/>
  <c r="B1786" i="1"/>
  <c r="B1787" i="1"/>
  <c r="B1837" i="1"/>
  <c r="B1933" i="1"/>
  <c r="B1934" i="1"/>
  <c r="B1935" i="1"/>
  <c r="B1936" i="1"/>
  <c r="B1937" i="1"/>
  <c r="B1806" i="1"/>
  <c r="B1768" i="1"/>
  <c r="B1938" i="1"/>
  <c r="B1994" i="1"/>
  <c r="B1788" i="1"/>
  <c r="B1789" i="1"/>
  <c r="B1790" i="1"/>
  <c r="B1995" i="1"/>
  <c r="B1996" i="1"/>
  <c r="B1997" i="1"/>
  <c r="B1939" i="1"/>
  <c r="B2060" i="1"/>
  <c r="B2061" i="1"/>
  <c r="B1769" i="1"/>
  <c r="B1838" i="1"/>
  <c r="B2064" i="1"/>
  <c r="B2005" i="1"/>
  <c r="B2006" i="1"/>
  <c r="B2007" i="1"/>
  <c r="B2065" i="1"/>
  <c r="B1940" i="1"/>
  <c r="B1839" i="1"/>
  <c r="B1840" i="1"/>
  <c r="B2066" i="1"/>
  <c r="B1941" i="1"/>
  <c r="B2067" i="1"/>
  <c r="B1942" i="1"/>
  <c r="B1791" i="1"/>
  <c r="B1807" i="1"/>
  <c r="B1792" i="1"/>
  <c r="B1793" i="1"/>
  <c r="B1794" i="1"/>
  <c r="B1808" i="1"/>
  <c r="B1795" i="1"/>
  <c r="B2008" i="1"/>
  <c r="B2009" i="1"/>
  <c r="B1809" i="1"/>
  <c r="B1810" i="1"/>
  <c r="B1796" i="1"/>
  <c r="B1841" i="1"/>
  <c r="B1842" i="1"/>
  <c r="B1797" i="1"/>
  <c r="B1943" i="1"/>
  <c r="B1944" i="1"/>
  <c r="B1998" i="1"/>
  <c r="B1999" i="1"/>
  <c r="B2000" i="1"/>
  <c r="B2001" i="1"/>
  <c r="B2002" i="1"/>
  <c r="B2003" i="1"/>
  <c r="B1811" i="1"/>
  <c r="B1945" i="1"/>
  <c r="B1946" i="1"/>
  <c r="B1947" i="1"/>
  <c r="B1948" i="1"/>
  <c r="B1949" i="1"/>
  <c r="B1950" i="1"/>
  <c r="B1951" i="1"/>
  <c r="B2068" i="1"/>
  <c r="B1952" i="1"/>
  <c r="B1953" i="1"/>
  <c r="B2069" i="1"/>
  <c r="B2070" i="1"/>
  <c r="B2072" i="1"/>
  <c r="B2073" i="1"/>
  <c r="B2074" i="1"/>
  <c r="B2294" i="1"/>
  <c r="B2075" i="1"/>
  <c r="B2249" i="1"/>
  <c r="B2250" i="1"/>
  <c r="B2092" i="1"/>
  <c r="B2304" i="1"/>
  <c r="B2356" i="1"/>
  <c r="B2279" i="1"/>
  <c r="B2358" i="1"/>
  <c r="B2302" i="1"/>
  <c r="B2375" i="1"/>
  <c r="B2245" i="1"/>
  <c r="B2246" i="1"/>
  <c r="B2247" i="1"/>
  <c r="B2087" i="1"/>
  <c r="B2357" i="1"/>
  <c r="B2314" i="1"/>
  <c r="B2359" i="1"/>
  <c r="B2088" i="1"/>
  <c r="B2248" i="1"/>
  <c r="B2352" i="1"/>
  <c r="B2241" i="1"/>
  <c r="B2242" i="1"/>
  <c r="B2267" i="1"/>
  <c r="B2365" i="1"/>
  <c r="B2315" i="1"/>
  <c r="B2226" i="1"/>
  <c r="B2335" i="1"/>
  <c r="B2268" i="1"/>
  <c r="B2243" i="1"/>
  <c r="B2350" i="1"/>
  <c r="B2309" i="1"/>
  <c r="B2310" i="1"/>
  <c r="B2303" i="1"/>
  <c r="B2140" i="1"/>
  <c r="B2229" i="1"/>
  <c r="B2274" i="1"/>
  <c r="B2269" i="1"/>
  <c r="B2272" i="1"/>
  <c r="B2275" i="1"/>
  <c r="B2325" i="1"/>
  <c r="B2259" i="1"/>
  <c r="B2273" i="1"/>
  <c r="B2311" i="1"/>
  <c r="B2236" i="1"/>
  <c r="B2260" i="1"/>
  <c r="B2312" i="1"/>
  <c r="B2276" i="1"/>
  <c r="B2277" i="1"/>
  <c r="B2278" i="1"/>
  <c r="B2227" i="1"/>
  <c r="B2289" i="1"/>
  <c r="B2328" i="1"/>
  <c r="B2366" i="1"/>
  <c r="B2367" i="1"/>
  <c r="B2313" i="1"/>
  <c r="B2089" i="1"/>
  <c r="B2353" i="1"/>
  <c r="B2329" i="1"/>
  <c r="B2212" i="1"/>
  <c r="B2213" i="1"/>
  <c r="B2214" i="1"/>
  <c r="B2215" i="1"/>
  <c r="B2192" i="1"/>
  <c r="B2224" i="1"/>
  <c r="B2261" i="1"/>
  <c r="B2262" i="1"/>
  <c r="B2368" i="1"/>
  <c r="B2216" i="1"/>
  <c r="B2156" i="1"/>
  <c r="B2082" i="1"/>
  <c r="B2225" i="1"/>
  <c r="B2251" i="1"/>
  <c r="B2252" i="1"/>
  <c r="B2154" i="1"/>
  <c r="B2290" i="1"/>
  <c r="B2354" i="1"/>
  <c r="B2291" i="1"/>
  <c r="B2336" i="1"/>
  <c r="B2347" i="1"/>
  <c r="B2083" i="1"/>
  <c r="B2222" i="1"/>
  <c r="B2263" i="1"/>
  <c r="B2084" i="1"/>
  <c r="B2223" i="1"/>
  <c r="B2270" i="1"/>
  <c r="B2253" i="1"/>
  <c r="B2239" i="1"/>
  <c r="B2306" i="1"/>
  <c r="B2292" i="1"/>
  <c r="B2271" i="1"/>
  <c r="B2228" i="1"/>
  <c r="B2077" i="1"/>
  <c r="B2230" i="1"/>
  <c r="B2293" i="1"/>
  <c r="B2142" i="1"/>
  <c r="B2372" i="1"/>
  <c r="B2085" i="1"/>
  <c r="B2143" i="1"/>
  <c r="B2337" i="1"/>
  <c r="B2280" i="1"/>
  <c r="B2255" i="1"/>
  <c r="B2209" i="1"/>
  <c r="B2210" i="1"/>
  <c r="B2254" i="1"/>
  <c r="B2373" i="1"/>
  <c r="B2144" i="1"/>
  <c r="B2374" i="1"/>
  <c r="B2155" i="1"/>
  <c r="B2078" i="1"/>
  <c r="B2193" i="1"/>
  <c r="B2152" i="1"/>
  <c r="B2326" i="1"/>
  <c r="B2076" i="1"/>
  <c r="B2351" i="1"/>
  <c r="B2141" i="1"/>
  <c r="B2240" i="1"/>
  <c r="B2305" i="1"/>
  <c r="B2295" i="1"/>
  <c r="B2331" i="1"/>
  <c r="B2332" i="1"/>
  <c r="B2145" i="1"/>
  <c r="B2211" i="1"/>
  <c r="B2360" i="1"/>
  <c r="B2208" i="1"/>
  <c r="B2369" i="1"/>
  <c r="B2348" i="1"/>
  <c r="B2370" i="1"/>
  <c r="B2146" i="1"/>
  <c r="B2307" i="1"/>
  <c r="B2079" i="1"/>
  <c r="B2296" i="1"/>
  <c r="B2297" i="1"/>
  <c r="B2256" i="1"/>
  <c r="B2257" i="1"/>
  <c r="B2298" i="1"/>
  <c r="B2080" i="1"/>
  <c r="B2153" i="1"/>
  <c r="B2299" i="1"/>
  <c r="B2147" i="1"/>
  <c r="B2090" i="1"/>
  <c r="B2148" i="1"/>
  <c r="B2207" i="1"/>
  <c r="B2371" i="1"/>
  <c r="B2081" i="1"/>
  <c r="B2264" i="1"/>
  <c r="B2265" i="1"/>
  <c r="B2333" i="1"/>
  <c r="B2334" i="1"/>
  <c r="B2338" i="1"/>
  <c r="B2281" i="1"/>
  <c r="B2266" i="1"/>
  <c r="B2349" i="1"/>
  <c r="B2149" i="1"/>
  <c r="B2258" i="1"/>
  <c r="B2308" i="1"/>
  <c r="B2355" i="1"/>
  <c r="B2231" i="1"/>
  <c r="B2327" i="1"/>
  <c r="B2232" i="1"/>
  <c r="B2157" i="1"/>
  <c r="B2086" i="1"/>
  <c r="B2244" i="1"/>
  <c r="B2330" i="1"/>
  <c r="B2361" i="1"/>
  <c r="B2091" i="1"/>
  <c r="B2150" i="1"/>
  <c r="B2300" i="1"/>
  <c r="B2151" i="1"/>
  <c r="B2301" i="1"/>
  <c r="B2071" i="1"/>
  <c r="B2362" i="1"/>
  <c r="B2323" i="1"/>
  <c r="B2363" i="1"/>
  <c r="B2364" i="1"/>
  <c r="B2324" i="1"/>
  <c r="B2237" i="1"/>
  <c r="B2238" i="1"/>
  <c r="E6348" i="1" l="1"/>
  <c r="F6348" i="1"/>
  <c r="G6348" i="1"/>
  <c r="H6348" i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" i="2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" i="2"/>
</calcChain>
</file>

<file path=xl/comments1.xml><?xml version="1.0" encoding="utf-8"?>
<comments xmlns="http://schemas.openxmlformats.org/spreadsheetml/2006/main">
  <authors>
    <author>SFI</author>
  </authors>
  <commentList>
    <comment ref="D20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15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16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17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19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0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1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2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3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4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14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23" authorId="0" shapeId="0">
      <text>
        <r>
          <rPr>
            <b/>
            <sz val="9"/>
            <rFont val="Tahoma"/>
            <family val="2"/>
          </rPr>
          <t>SFI:</t>
        </r>
        <r>
          <rPr>
            <sz val="9"/>
            <rFont val="Tahoma"/>
            <family val="2"/>
          </rPr>
          <t xml:space="preserve">
OLD: L2L (4)</t>
        </r>
      </text>
    </comment>
    <comment ref="F223" authorId="0" shapeId="0">
      <text>
        <r>
          <rPr>
            <b/>
            <sz val="9"/>
            <rFont val="Tahoma"/>
            <family val="2"/>
          </rPr>
          <t>SFI:</t>
        </r>
        <r>
          <rPr>
            <sz val="9"/>
            <rFont val="Tahoma"/>
            <family val="2"/>
          </rPr>
          <t xml:space="preserve">
OLD:
Indonesia</t>
        </r>
      </text>
    </comment>
    <comment ref="G223" authorId="0" shapeId="0">
      <text>
        <r>
          <rPr>
            <b/>
            <sz val="9"/>
            <rFont val="Tahoma"/>
            <family val="2"/>
          </rPr>
          <t>SFI:</t>
        </r>
        <r>
          <rPr>
            <sz val="9"/>
            <rFont val="Tahoma"/>
            <family val="2"/>
          </rPr>
          <t xml:space="preserve">
OLD:
PT. MAP AKTIF ADIPERKASA, TBK-ID/ID</t>
        </r>
      </text>
    </comment>
    <comment ref="D275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76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77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78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335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336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0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1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2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3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4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5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6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7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E967" authorId="0" shapeId="0">
      <text>
        <r>
          <rPr>
            <b/>
            <sz val="9"/>
            <rFont val="Tahoma"/>
            <family val="2"/>
          </rPr>
          <t>SFI:</t>
        </r>
        <r>
          <rPr>
            <sz val="9"/>
            <rFont val="Tahoma"/>
            <family val="2"/>
          </rPr>
          <t xml:space="preserve">
OLD:
B</t>
        </r>
      </text>
    </comment>
    <comment ref="F978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 : 
Serbia and Montenegro</t>
        </r>
      </text>
    </comment>
    <comment ref="F979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 : 
Serbia and Montenegro</t>
        </r>
      </text>
    </comment>
    <comment ref="D1917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918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</commentList>
</comments>
</file>

<file path=xl/sharedStrings.xml><?xml version="1.0" encoding="utf-8"?>
<sst xmlns="http://schemas.openxmlformats.org/spreadsheetml/2006/main" count="47166" uniqueCount="2375">
  <si>
    <t>PC9060EP-M</t>
  </si>
  <si>
    <t>WL574EVG-B</t>
  </si>
  <si>
    <t>WL515SB3-B</t>
  </si>
  <si>
    <t>WL574EVW-B</t>
  </si>
  <si>
    <t>WL515WHT-B</t>
  </si>
  <si>
    <t>GC9060GY-M</t>
  </si>
  <si>
    <t>G204L5CB-M</t>
  </si>
  <si>
    <t>CM997HNB-D</t>
  </si>
  <si>
    <t>IV9060EP-M</t>
  </si>
  <si>
    <t>PC9060GY-M</t>
  </si>
  <si>
    <t>G6034EC-M</t>
  </si>
  <si>
    <t>GC574EVG-W</t>
  </si>
  <si>
    <t>GC574EVW-W</t>
  </si>
  <si>
    <t>PC574EVG-W</t>
  </si>
  <si>
    <t>P204L8K2-M</t>
  </si>
  <si>
    <t>G6032Z2-M</t>
  </si>
  <si>
    <t>G204L2PR-M</t>
  </si>
  <si>
    <t>PV574EVG-W</t>
  </si>
  <si>
    <t>GC574EVW-M</t>
  </si>
  <si>
    <t>PV574EVB-M</t>
  </si>
  <si>
    <t>PC9060BE-M</t>
  </si>
  <si>
    <t>G6032Z2-W</t>
  </si>
  <si>
    <t>P204L3SM-M</t>
  </si>
  <si>
    <t>PV574EVG-M</t>
  </si>
  <si>
    <t>G6035F4-M</t>
  </si>
  <si>
    <t>PC9060BK-M</t>
  </si>
  <si>
    <t>ML574EVW-D</t>
  </si>
  <si>
    <t>WL515GRY-B</t>
  </si>
  <si>
    <t>WL515RWA-B</t>
  </si>
  <si>
    <t>U204M1SA-D</t>
  </si>
  <si>
    <t>H150346</t>
  </si>
  <si>
    <t>PC574EVG-M</t>
  </si>
  <si>
    <t>GC574EVB-M</t>
  </si>
  <si>
    <t>GC574EVK-M</t>
  </si>
  <si>
    <t>PC574EVW-M</t>
  </si>
  <si>
    <t>GC574EVE-M</t>
  </si>
  <si>
    <t>P6039J1-M</t>
  </si>
  <si>
    <t>PV574EVK-W</t>
  </si>
  <si>
    <t>P6039J1-W</t>
  </si>
  <si>
    <t>G6035F4-W</t>
  </si>
  <si>
    <t>H133521</t>
  </si>
  <si>
    <t>IV9060LL-M</t>
  </si>
  <si>
    <t>P6036SS-W</t>
  </si>
  <si>
    <t>GC9060BE-M</t>
  </si>
  <si>
    <t>I6033EE-M</t>
  </si>
  <si>
    <t>U204M2WG-D</t>
  </si>
  <si>
    <t>H150347</t>
  </si>
  <si>
    <t>G6037VE-W</t>
  </si>
  <si>
    <t>P60368L-M</t>
  </si>
  <si>
    <t>P60394T-M</t>
  </si>
  <si>
    <t>G204L7V9-M</t>
  </si>
  <si>
    <t>PV574EVW-W</t>
  </si>
  <si>
    <t>P6036SS-M</t>
  </si>
  <si>
    <t>G6037VE-M</t>
  </si>
  <si>
    <t>P60394T-W</t>
  </si>
  <si>
    <t>GC9060LL-M</t>
  </si>
  <si>
    <t>I6033EE-W</t>
  </si>
  <si>
    <t>I603457-M</t>
  </si>
  <si>
    <t>I6039KY-M</t>
  </si>
  <si>
    <t>I603457-W</t>
  </si>
  <si>
    <t>I6039JD-M</t>
  </si>
  <si>
    <t>I6039KY-W</t>
  </si>
  <si>
    <t>I6039JD-W</t>
  </si>
  <si>
    <t>ML515BLK-D</t>
  </si>
  <si>
    <t>WL574EVB-B</t>
  </si>
  <si>
    <t>PC9060LL-M</t>
  </si>
  <si>
    <t>G204L7UQ-M</t>
  </si>
  <si>
    <t>P60368L-W</t>
  </si>
  <si>
    <t>WL515GRY-D</t>
  </si>
  <si>
    <t>P204L8BU-M</t>
  </si>
  <si>
    <t>M997H2HN-D</t>
  </si>
  <si>
    <t>M997H72Y-D</t>
  </si>
  <si>
    <t>ML515NVY-4E</t>
  </si>
  <si>
    <t>IV9060ER-M</t>
  </si>
  <si>
    <t>PC9060GY-W</t>
  </si>
  <si>
    <t>H149443</t>
  </si>
  <si>
    <t>PC9060BK-W</t>
  </si>
  <si>
    <t>ML515NVY-D</t>
  </si>
  <si>
    <t>H149445</t>
  </si>
  <si>
    <t>GC9060BK-M</t>
  </si>
  <si>
    <t>G204L9HL-M</t>
  </si>
  <si>
    <t>M515S54Y-2E</t>
  </si>
  <si>
    <t>H139683</t>
  </si>
  <si>
    <t>H147535</t>
  </si>
  <si>
    <t>H149459</t>
  </si>
  <si>
    <t>H148607</t>
  </si>
  <si>
    <t>P204L7RF-M</t>
  </si>
  <si>
    <t>H148604</t>
  </si>
  <si>
    <t>U140169</t>
  </si>
  <si>
    <t>M515S54Y-4E</t>
  </si>
  <si>
    <t>H148442</t>
  </si>
  <si>
    <t>U134565</t>
  </si>
  <si>
    <t>U141142</t>
  </si>
  <si>
    <t>U134567</t>
  </si>
  <si>
    <t>H148317</t>
  </si>
  <si>
    <t>M515S54Y-D</t>
  </si>
  <si>
    <t>W515S7OK-D</t>
  </si>
  <si>
    <t>H149497</t>
  </si>
  <si>
    <t>H121213</t>
  </si>
  <si>
    <t>H121199</t>
  </si>
  <si>
    <t>U130872</t>
  </si>
  <si>
    <t>ML574EVG-2E</t>
  </si>
  <si>
    <t>W515S7OK-B</t>
  </si>
  <si>
    <t>U139728</t>
  </si>
  <si>
    <t>H122224</t>
  </si>
  <si>
    <t>U134577</t>
  </si>
  <si>
    <t>H149466</t>
  </si>
  <si>
    <t>H122225</t>
  </si>
  <si>
    <t>U134554</t>
  </si>
  <si>
    <t>U133398</t>
  </si>
  <si>
    <t>U139725</t>
  </si>
  <si>
    <t>H121187</t>
  </si>
  <si>
    <t>H149489</t>
  </si>
  <si>
    <t>H147532</t>
  </si>
  <si>
    <t>U139742</t>
  </si>
  <si>
    <t>PC574EVW-W</t>
  </si>
  <si>
    <t>ML574EVG-4E</t>
  </si>
  <si>
    <t>H148601</t>
  </si>
  <si>
    <t>H148598</t>
  </si>
  <si>
    <t>ML574EVW-2E</t>
  </si>
  <si>
    <t>U134569</t>
  </si>
  <si>
    <t>U130079</t>
  </si>
  <si>
    <t>H149488</t>
  </si>
  <si>
    <t>ML574EVW-4E</t>
  </si>
  <si>
    <t>WL574EVG-D</t>
  </si>
  <si>
    <t>H147384</t>
  </si>
  <si>
    <t>U141168</t>
  </si>
  <si>
    <t>U134576</t>
  </si>
  <si>
    <t>U141130</t>
  </si>
  <si>
    <t>U133303</t>
  </si>
  <si>
    <t>H149452</t>
  </si>
  <si>
    <t>H148600</t>
  </si>
  <si>
    <t>P90602XV-M</t>
  </si>
  <si>
    <t>ML574EVB-2E</t>
  </si>
  <si>
    <t>U141160</t>
  </si>
  <si>
    <t>U141135</t>
  </si>
  <si>
    <t>P90602XV-W</t>
  </si>
  <si>
    <t>U139694</t>
  </si>
  <si>
    <t>WL574EVW-D</t>
  </si>
  <si>
    <t>H156171</t>
  </si>
  <si>
    <t>H147413</t>
  </si>
  <si>
    <t>U134566</t>
  </si>
  <si>
    <t>U141128</t>
  </si>
  <si>
    <t>H147464</t>
  </si>
  <si>
    <t>U141184</t>
  </si>
  <si>
    <t>IV9060BE-M</t>
  </si>
  <si>
    <t>U141183</t>
  </si>
  <si>
    <t>U134568</t>
  </si>
  <si>
    <t>U141166</t>
  </si>
  <si>
    <t>U134570</t>
  </si>
  <si>
    <t>IV9060BE-W</t>
  </si>
  <si>
    <t>M515873-D</t>
  </si>
  <si>
    <t>U149011</t>
  </si>
  <si>
    <t>M515873-2E</t>
  </si>
  <si>
    <t>WL574IPK-B</t>
  </si>
  <si>
    <t>U149000</t>
  </si>
  <si>
    <t>H149438</t>
  </si>
  <si>
    <t>U134564</t>
  </si>
  <si>
    <t>GC9060LL-W</t>
  </si>
  <si>
    <t>H149183</t>
  </si>
  <si>
    <t>U133640</t>
  </si>
  <si>
    <t>H149447</t>
  </si>
  <si>
    <t>U139824</t>
  </si>
  <si>
    <t>U133671</t>
  </si>
  <si>
    <t>ML574EVG-D</t>
  </si>
  <si>
    <t>H147482</t>
  </si>
  <si>
    <t>U134572</t>
  </si>
  <si>
    <t>U141156</t>
  </si>
  <si>
    <t>U134578</t>
  </si>
  <si>
    <t>U141266</t>
  </si>
  <si>
    <t>U139825</t>
  </si>
  <si>
    <t>U133305</t>
  </si>
  <si>
    <t>U149001</t>
  </si>
  <si>
    <t>H147467</t>
  </si>
  <si>
    <t>U134581</t>
  </si>
  <si>
    <t>U133560</t>
  </si>
  <si>
    <t>U133608</t>
  </si>
  <si>
    <t>H148661</t>
  </si>
  <si>
    <t>7866802</t>
  </si>
  <si>
    <t>U133302</t>
  </si>
  <si>
    <t>U133395</t>
  </si>
  <si>
    <t>U141125</t>
  </si>
  <si>
    <t>P204L9VE-M</t>
  </si>
  <si>
    <t>7866814</t>
  </si>
  <si>
    <t>U141659</t>
  </si>
  <si>
    <t>C132937</t>
  </si>
  <si>
    <t>H147386</t>
  </si>
  <si>
    <t>U139826</t>
  </si>
  <si>
    <t>C132946</t>
  </si>
  <si>
    <t>H147412</t>
  </si>
  <si>
    <t>U139828</t>
  </si>
  <si>
    <t>U133392</t>
  </si>
  <si>
    <t>U141660</t>
  </si>
  <si>
    <t>U141661</t>
  </si>
  <si>
    <t>H153460</t>
  </si>
  <si>
    <t>U133308</t>
  </si>
  <si>
    <t>U133396</t>
  </si>
  <si>
    <t>U139861</t>
  </si>
  <si>
    <t>ML574EVB-4E</t>
  </si>
  <si>
    <t>U141662</t>
  </si>
  <si>
    <t>U133641</t>
  </si>
  <si>
    <t>U133665</t>
  </si>
  <si>
    <t>U133686</t>
  </si>
  <si>
    <t>U141665</t>
  </si>
  <si>
    <t>H152814</t>
  </si>
  <si>
    <t>U141181</t>
  </si>
  <si>
    <t>U139829</t>
  </si>
  <si>
    <t>H152815</t>
  </si>
  <si>
    <t>H149507</t>
  </si>
  <si>
    <t>H152816</t>
  </si>
  <si>
    <t>ML574EVB-D</t>
  </si>
  <si>
    <t>H149506</t>
  </si>
  <si>
    <t>ML574EVN-D</t>
  </si>
  <si>
    <t>H147387</t>
  </si>
  <si>
    <t>U141683</t>
  </si>
  <si>
    <t>7865046</t>
  </si>
  <si>
    <t>U133668</t>
  </si>
  <si>
    <t>U133632</t>
  </si>
  <si>
    <t>H147469</t>
  </si>
  <si>
    <t>H147499</t>
  </si>
  <si>
    <t>PZ997HJJ-W</t>
  </si>
  <si>
    <t>H152787</t>
  </si>
  <si>
    <t>U133672</t>
  </si>
  <si>
    <t>U141134</t>
  </si>
  <si>
    <t>GC574EVG-M</t>
  </si>
  <si>
    <t>7866450</t>
  </si>
  <si>
    <t>H151497</t>
  </si>
  <si>
    <t>U133673</t>
  </si>
  <si>
    <t>H151495</t>
  </si>
  <si>
    <t>U141667</t>
  </si>
  <si>
    <t>U133678</t>
  </si>
  <si>
    <t>G204L5KP-M</t>
  </si>
  <si>
    <t>U139860</t>
  </si>
  <si>
    <t>U141651</t>
  </si>
  <si>
    <t>H149505</t>
  </si>
  <si>
    <t>H151500</t>
  </si>
  <si>
    <t>7866444</t>
  </si>
  <si>
    <t>U139862</t>
  </si>
  <si>
    <t>U143070</t>
  </si>
  <si>
    <t>H156233</t>
  </si>
  <si>
    <t>7866441</t>
  </si>
  <si>
    <t>U130012</t>
  </si>
  <si>
    <t>U143043</t>
  </si>
  <si>
    <t>7866649</t>
  </si>
  <si>
    <t>7866844</t>
  </si>
  <si>
    <t>U137292</t>
  </si>
  <si>
    <t>G5749UK-M</t>
  </si>
  <si>
    <t>7868986</t>
  </si>
  <si>
    <t>U141650</t>
  </si>
  <si>
    <t>U133664</t>
  </si>
  <si>
    <t>H151487</t>
  </si>
  <si>
    <t>U133304</t>
  </si>
  <si>
    <t>U133677</t>
  </si>
  <si>
    <t>C132941</t>
  </si>
  <si>
    <t>U141684</t>
  </si>
  <si>
    <t>U133675</t>
  </si>
  <si>
    <t>U139777</t>
  </si>
  <si>
    <t>7866850</t>
  </si>
  <si>
    <t>PV574EVE-M</t>
  </si>
  <si>
    <t>7866782</t>
  </si>
  <si>
    <t>U141345</t>
  </si>
  <si>
    <t>U133656</t>
  </si>
  <si>
    <t>U141252</t>
  </si>
  <si>
    <t>7866651</t>
  </si>
  <si>
    <t>U133676</t>
  </si>
  <si>
    <t>PZ997HPP-W</t>
  </si>
  <si>
    <t>H152786</t>
  </si>
  <si>
    <t>U141351</t>
  </si>
  <si>
    <t>U141652</t>
  </si>
  <si>
    <t>G5749HD-M</t>
  </si>
  <si>
    <t>7868985</t>
  </si>
  <si>
    <t>U139802</t>
  </si>
  <si>
    <t>P60347T-M</t>
  </si>
  <si>
    <t>U139730</t>
  </si>
  <si>
    <t>U133591</t>
  </si>
  <si>
    <t>U133669</t>
  </si>
  <si>
    <t>H133512</t>
  </si>
  <si>
    <t>U141653</t>
  </si>
  <si>
    <t>IZ997HJJ-W</t>
  </si>
  <si>
    <t>H152783</t>
  </si>
  <si>
    <t>7866212</t>
  </si>
  <si>
    <t>H149446</t>
  </si>
  <si>
    <t>H151507</t>
  </si>
  <si>
    <t>7868511</t>
  </si>
  <si>
    <t>U133680</t>
  </si>
  <si>
    <t>U149280</t>
  </si>
  <si>
    <t>7866796</t>
  </si>
  <si>
    <t>7867405</t>
  </si>
  <si>
    <t>H148645</t>
  </si>
  <si>
    <t>U149281</t>
  </si>
  <si>
    <t>7866239</t>
  </si>
  <si>
    <t>H156241</t>
  </si>
  <si>
    <t>U141654</t>
  </si>
  <si>
    <t>7866225</t>
  </si>
  <si>
    <t>IZ997HPP-W</t>
  </si>
  <si>
    <t>H152789</t>
  </si>
  <si>
    <t>P60399V-W</t>
  </si>
  <si>
    <t>U139732</t>
  </si>
  <si>
    <t>H148678</t>
  </si>
  <si>
    <t>7866189</t>
  </si>
  <si>
    <t>U133588</t>
  </si>
  <si>
    <t>P60399V-M</t>
  </si>
  <si>
    <t>U141673</t>
  </si>
  <si>
    <t>U139727</t>
  </si>
  <si>
    <t>H156172</t>
  </si>
  <si>
    <t>H156230</t>
  </si>
  <si>
    <t>7866655</t>
  </si>
  <si>
    <t>7866243</t>
  </si>
  <si>
    <t>H155705</t>
  </si>
  <si>
    <t>U147257</t>
  </si>
  <si>
    <t>U130067</t>
  </si>
  <si>
    <t>7867934</t>
  </si>
  <si>
    <t>U147219</t>
  </si>
  <si>
    <t>H147415</t>
  </si>
  <si>
    <t>CM997HLP-D</t>
  </si>
  <si>
    <t>7865047</t>
  </si>
  <si>
    <t>U147294</t>
  </si>
  <si>
    <t>7867542</t>
  </si>
  <si>
    <t>U147215</t>
  </si>
  <si>
    <t>U139859</t>
  </si>
  <si>
    <t>U141687</t>
  </si>
  <si>
    <t>H156239</t>
  </si>
  <si>
    <t>U133306</t>
  </si>
  <si>
    <t>H148652</t>
  </si>
  <si>
    <t>H155743</t>
  </si>
  <si>
    <t>7866436</t>
  </si>
  <si>
    <t>U147279</t>
  </si>
  <si>
    <t>7868314</t>
  </si>
  <si>
    <t>U141675</t>
  </si>
  <si>
    <t>U133589</t>
  </si>
  <si>
    <t>7867532</t>
  </si>
  <si>
    <t>U133609</t>
  </si>
  <si>
    <t>U133674</t>
  </si>
  <si>
    <t>H153466</t>
  </si>
  <si>
    <t>U139822</t>
  </si>
  <si>
    <t>7874661</t>
  </si>
  <si>
    <t>7868484</t>
  </si>
  <si>
    <t>H153246</t>
  </si>
  <si>
    <t>U139622</t>
  </si>
  <si>
    <t>H147410</t>
  </si>
  <si>
    <t>U133400</t>
  </si>
  <si>
    <t>U139817</t>
  </si>
  <si>
    <t>7865039</t>
  </si>
  <si>
    <t>U141670</t>
  </si>
  <si>
    <t>H156229</t>
  </si>
  <si>
    <t>7866661</t>
  </si>
  <si>
    <t>H190374</t>
  </si>
  <si>
    <t>H155710</t>
  </si>
  <si>
    <t>H157126</t>
  </si>
  <si>
    <t>H156242</t>
  </si>
  <si>
    <t>U147366</t>
  </si>
  <si>
    <t>7878691</t>
  </si>
  <si>
    <t>7866252</t>
  </si>
  <si>
    <t>U133590</t>
  </si>
  <si>
    <t>U139823</t>
  </si>
  <si>
    <t>U147276</t>
  </si>
  <si>
    <t>H148651</t>
  </si>
  <si>
    <t>U139776</t>
  </si>
  <si>
    <t>U147285</t>
  </si>
  <si>
    <t>H148616</t>
  </si>
  <si>
    <t>P60347T-W</t>
  </si>
  <si>
    <t>7868707</t>
  </si>
  <si>
    <t>H151647</t>
  </si>
  <si>
    <t>H156236</t>
  </si>
  <si>
    <t>H148606</t>
  </si>
  <si>
    <t>U147323</t>
  </si>
  <si>
    <t>QTY ORDER</t>
  </si>
  <si>
    <t>START IN FG</t>
  </si>
  <si>
    <t>PO# CLOSING DATE</t>
  </si>
  <si>
    <t>SI DATE</t>
  </si>
  <si>
    <t>ARTICLE</t>
  </si>
  <si>
    <t>PO</t>
  </si>
  <si>
    <t>QTY IN</t>
  </si>
  <si>
    <t>NO. CTN</t>
  </si>
  <si>
    <t>TOTAL CTN</t>
  </si>
  <si>
    <t>TOTAL PAIRS</t>
  </si>
  <si>
    <t>MARKET</t>
  </si>
  <si>
    <t>CUSTOMER</t>
  </si>
  <si>
    <t>WAREHOUSE</t>
  </si>
  <si>
    <t>UNITED KINGDOM</t>
  </si>
  <si>
    <t>DSV SOLUTIONS LTD</t>
  </si>
  <si>
    <t>Factory Outlet Stock (UZ)</t>
  </si>
  <si>
    <t>NETHERLANDS</t>
  </si>
  <si>
    <t>DSV VENLO</t>
  </si>
  <si>
    <t>Factory Outlet Stock (VZ)</t>
  </si>
  <si>
    <t>POLAND</t>
  </si>
  <si>
    <t>NEW BALANCE POLAND SP  ZOO</t>
  </si>
  <si>
    <t>Direct Rotterdam (RTM) (DR)</t>
  </si>
  <si>
    <t>ITALY</t>
  </si>
  <si>
    <t>NEW BALANCE ITALY SRL</t>
  </si>
  <si>
    <t>DSV Solutions Nederland (VW)</t>
  </si>
  <si>
    <t>D S V Solutions Ltd (UW)</t>
  </si>
  <si>
    <t>GERMANY</t>
  </si>
  <si>
    <t>ZALANDO</t>
  </si>
  <si>
    <t>DSV Solutions Nederland (VX)</t>
  </si>
  <si>
    <t>DSV Solutions Nederland (VF)</t>
  </si>
  <si>
    <t>OTTO GROUP</t>
  </si>
  <si>
    <t>Canada</t>
  </si>
  <si>
    <t>FOOTLOCKER CANADA (DIV 76)</t>
  </si>
  <si>
    <t>Directs Canada Virtual (94)</t>
  </si>
  <si>
    <t>New Balance Canada</t>
  </si>
  <si>
    <t>Concord, ON Canada (85)</t>
  </si>
  <si>
    <t>United Arab Emirates</t>
  </si>
  <si>
    <t>NEW BALANCE UAE C/O</t>
  </si>
  <si>
    <t>DIRECT (1)</t>
  </si>
  <si>
    <t>Philippines</t>
  </si>
  <si>
    <t>PLANET SPORTS INC.</t>
  </si>
  <si>
    <t>Japan</t>
  </si>
  <si>
    <t>NEW BALANCE JAPAN, INC.</t>
  </si>
  <si>
    <t>Indonesia</t>
  </si>
  <si>
    <t>PT. MAP AKTIF ADIPERKASA, TBK-ID/ID</t>
  </si>
  <si>
    <t>L2L (4)</t>
  </si>
  <si>
    <t>Thailand</t>
  </si>
  <si>
    <t>MAP ACTIVE ADIPERKASA LTD</t>
  </si>
  <si>
    <t>Australia</t>
  </si>
  <si>
    <t>NEW BALANCE C/O</t>
  </si>
  <si>
    <t>Singapore</t>
  </si>
  <si>
    <t>NEW BALANCE SINGAPORE PTE LTD C/O</t>
  </si>
  <si>
    <t>Malaysia</t>
  </si>
  <si>
    <t>NEW BALANCE ATHLETIC SHOES SDN BHD</t>
  </si>
  <si>
    <t>Uruguay</t>
  </si>
  <si>
    <t>VANALIM S.A.</t>
  </si>
  <si>
    <t>Korea, Republic Of</t>
  </si>
  <si>
    <t>ELAND WORLD LTD.</t>
  </si>
  <si>
    <t>Taiwan</t>
  </si>
  <si>
    <t>NEW BALANCE TAIWAN, INC</t>
  </si>
  <si>
    <t>India</t>
  </si>
  <si>
    <t>INDEV INFRA PRIVATE LIMITED</t>
  </si>
  <si>
    <t>China</t>
  </si>
  <si>
    <t>NEW BALANCE TRADING (CHINA) CO.,LTD</t>
  </si>
  <si>
    <t>Serbia and Montenegro</t>
  </si>
  <si>
    <t>BDS RS. DOO Beograd</t>
  </si>
  <si>
    <t>Paraguay</t>
  </si>
  <si>
    <t>OPTIMA S.A.</t>
  </si>
  <si>
    <t>South Africa</t>
  </si>
  <si>
    <t>NEW BALANCE SOUTH AFRICA (PTY) LTD.</t>
  </si>
  <si>
    <t>United States</t>
  </si>
  <si>
    <t>DSW, INC.</t>
  </si>
  <si>
    <t>Direct USA Virtual (97)</t>
  </si>
  <si>
    <t>FAMOUS FOOTWEAR DC#2</t>
  </si>
  <si>
    <t>FAMOUS FOOTWEAR DC#3</t>
  </si>
  <si>
    <t>JDMCY MH</t>
  </si>
  <si>
    <t>RACK ROOM SHOES DC</t>
  </si>
  <si>
    <t>NEW BALANCE ATHLETICS, INC.</t>
  </si>
  <si>
    <t>Salt Lake City (43)</t>
  </si>
  <si>
    <t>THE SHOE SHOW</t>
  </si>
  <si>
    <t>ACADEMY CORPORATION</t>
  </si>
  <si>
    <t>FINISHLINE - MACY'S DIVISION</t>
  </si>
  <si>
    <t>THE FINISH LINE DISTRIBUTION CO,INC</t>
  </si>
  <si>
    <t>KIDSFOOTLOCKER, INC. DC   #08</t>
  </si>
  <si>
    <t>WHSE..#: 86</t>
  </si>
  <si>
    <t>EAST COAST DC #83</t>
  </si>
  <si>
    <t>THE SHOE DEPT</t>
  </si>
  <si>
    <t>SHOE PALACE CORP</t>
  </si>
  <si>
    <t>FOOTLOCKER #86</t>
  </si>
  <si>
    <t>FOOT LOCKER, INC. DC   #08</t>
  </si>
  <si>
    <t>JOURNEYS RETAIL</t>
  </si>
  <si>
    <t>Lawrence, Massachusetts - USA (22)</t>
  </si>
  <si>
    <t>SHOE CARNIVAL</t>
  </si>
  <si>
    <t>KOHL'S DEPARTMENT STORE</t>
  </si>
  <si>
    <t>DICKS SPORTING GOODS #051</t>
  </si>
  <si>
    <t>DICKS SPORTING GOODS #0351</t>
  </si>
  <si>
    <t>DICK'S SPORTING GOODS #0651</t>
  </si>
  <si>
    <t>DICK'S SPORTING GOODS #1053</t>
  </si>
  <si>
    <t>DICKS SPORTING GOODS</t>
  </si>
  <si>
    <t>DICK’S Sporting Goods #1351</t>
  </si>
  <si>
    <t>Nashville (42)</t>
  </si>
  <si>
    <t>U139619</t>
  </si>
  <si>
    <t>P57442E-M</t>
  </si>
  <si>
    <t>7868603</t>
  </si>
  <si>
    <t>P5745L4-M</t>
  </si>
  <si>
    <t>7866869</t>
  </si>
  <si>
    <t>U139766</t>
  </si>
  <si>
    <t>7874331</t>
  </si>
  <si>
    <t>D S V Solutions (UF)</t>
  </si>
  <si>
    <t>M997H23Y-D</t>
  </si>
  <si>
    <t>7866883</t>
  </si>
  <si>
    <t>P204L9OY-M</t>
  </si>
  <si>
    <t>P6031TJ-M</t>
  </si>
  <si>
    <t>H171731</t>
  </si>
  <si>
    <t>7866781</t>
  </si>
  <si>
    <t>GREECE</t>
  </si>
  <si>
    <t>STARTLINE SA</t>
  </si>
  <si>
    <t>SCHUH LTD</t>
  </si>
  <si>
    <t>D S V Solutions (UX)</t>
  </si>
  <si>
    <t>M997H9T8-D</t>
  </si>
  <si>
    <t>G6037LU-M</t>
  </si>
  <si>
    <t>M5742IX-D</t>
  </si>
  <si>
    <t>7866448</t>
  </si>
  <si>
    <t>7866211</t>
  </si>
  <si>
    <t>7866244</t>
  </si>
  <si>
    <t>U141644</t>
  </si>
  <si>
    <t>G90603SO-M</t>
  </si>
  <si>
    <t>7873658</t>
  </si>
  <si>
    <t>U133624</t>
  </si>
  <si>
    <t>U143056</t>
  </si>
  <si>
    <t>U141668</t>
  </si>
  <si>
    <t>U141647</t>
  </si>
  <si>
    <t>Switzerland</t>
  </si>
  <si>
    <t>CHRIS SPORTS AG</t>
  </si>
  <si>
    <t>JD SPORTS FASHION PLC</t>
  </si>
  <si>
    <t>Chile</t>
  </si>
  <si>
    <t>DEPORTES SPARTA SPA</t>
  </si>
  <si>
    <t>CHAMPS WAREHOUSE      #08</t>
  </si>
  <si>
    <t>Sports Direct Internation</t>
  </si>
  <si>
    <t>DSW INC - BU58/.COM</t>
  </si>
  <si>
    <t>H171732</t>
  </si>
  <si>
    <t>FRANCE</t>
  </si>
  <si>
    <t>COURIR / CEPL LOGISTIQUE</t>
  </si>
  <si>
    <t>U141663</t>
  </si>
  <si>
    <t>U146441</t>
  </si>
  <si>
    <t>U141669</t>
  </si>
  <si>
    <t>M997H27Q-D</t>
  </si>
  <si>
    <t>7877610</t>
  </si>
  <si>
    <t>7878227</t>
  </si>
  <si>
    <t>H171697</t>
  </si>
  <si>
    <t>G204L1MN-M</t>
  </si>
  <si>
    <t>H181786</t>
  </si>
  <si>
    <t>PV574EVK-M</t>
  </si>
  <si>
    <t>U146406</t>
  </si>
  <si>
    <t>H171700</t>
  </si>
  <si>
    <t>7867196</t>
  </si>
  <si>
    <t>H156834</t>
  </si>
  <si>
    <t>7877604</t>
  </si>
  <si>
    <t>Mexico</t>
  </si>
  <si>
    <t>NB ATLETICO DE MEXICO S.DE R.L. DE</t>
  </si>
  <si>
    <t>SNIPES SE</t>
  </si>
  <si>
    <t>SCAN TIME</t>
  </si>
  <si>
    <t>7873418</t>
  </si>
  <si>
    <t>G204L9EA-M</t>
  </si>
  <si>
    <t>H181788</t>
  </si>
  <si>
    <t>7874900</t>
  </si>
  <si>
    <t>U147490</t>
  </si>
  <si>
    <t>7866775</t>
  </si>
  <si>
    <t>H171643</t>
  </si>
  <si>
    <t>U204L28P-D</t>
  </si>
  <si>
    <t>H156843</t>
  </si>
  <si>
    <t>7874693</t>
  </si>
  <si>
    <t>7876910</t>
  </si>
  <si>
    <t>H174564</t>
  </si>
  <si>
    <t>7875556</t>
  </si>
  <si>
    <t>7874343</t>
  </si>
  <si>
    <t>7874735</t>
  </si>
  <si>
    <t>7866116</t>
  </si>
  <si>
    <t>M5748EK-D</t>
  </si>
  <si>
    <t>H176740</t>
  </si>
  <si>
    <t>H176885</t>
  </si>
  <si>
    <t>H153483</t>
  </si>
  <si>
    <t>H171614</t>
  </si>
  <si>
    <t>M5745QV-D</t>
  </si>
  <si>
    <t>H176743</t>
  </si>
  <si>
    <t>7874852</t>
  </si>
  <si>
    <t>H176978</t>
  </si>
  <si>
    <t>M5744FK-D</t>
  </si>
  <si>
    <t>H176751</t>
  </si>
  <si>
    <t>H176950</t>
  </si>
  <si>
    <t>H176893</t>
  </si>
  <si>
    <t>PC9060ER-M</t>
  </si>
  <si>
    <t>7874876</t>
  </si>
  <si>
    <t>H180750</t>
  </si>
  <si>
    <t>H171613</t>
  </si>
  <si>
    <t>H180254</t>
  </si>
  <si>
    <t>7875501</t>
  </si>
  <si>
    <t>W60347S-B</t>
  </si>
  <si>
    <t>7875658</t>
  </si>
  <si>
    <t>U146378</t>
  </si>
  <si>
    <t>W6034FP-B</t>
  </si>
  <si>
    <t>U148000</t>
  </si>
  <si>
    <t>I60356H-M</t>
  </si>
  <si>
    <t>H171627</t>
  </si>
  <si>
    <t>7866133</t>
  </si>
  <si>
    <t>7874422</t>
  </si>
  <si>
    <t>7866149</t>
  </si>
  <si>
    <t>U146473</t>
  </si>
  <si>
    <t>I57425Y-M</t>
  </si>
  <si>
    <t>7874610</t>
  </si>
  <si>
    <t>U146377</t>
  </si>
  <si>
    <t>U204L9NJ-D</t>
  </si>
  <si>
    <t>7875118</t>
  </si>
  <si>
    <t>U146445</t>
  </si>
  <si>
    <t>7866125</t>
  </si>
  <si>
    <t>U146432</t>
  </si>
  <si>
    <t>H171615</t>
  </si>
  <si>
    <t>U146438</t>
  </si>
  <si>
    <t>U148105</t>
  </si>
  <si>
    <t>P6033JZ-M</t>
  </si>
  <si>
    <t>U146449</t>
  </si>
  <si>
    <t>I57429D-M</t>
  </si>
  <si>
    <t>7874616</t>
  </si>
  <si>
    <t>U146468</t>
  </si>
  <si>
    <t>7866109</t>
  </si>
  <si>
    <t>H171626</t>
  </si>
  <si>
    <t>H171641</t>
  </si>
  <si>
    <t>U146475</t>
  </si>
  <si>
    <t>U146469</t>
  </si>
  <si>
    <t>U146403</t>
  </si>
  <si>
    <t>7866110</t>
  </si>
  <si>
    <t>7876461</t>
  </si>
  <si>
    <t>W51580S-B</t>
  </si>
  <si>
    <t>H180779</t>
  </si>
  <si>
    <t>7866120</t>
  </si>
  <si>
    <t>U146411</t>
  </si>
  <si>
    <t>7866111</t>
  </si>
  <si>
    <t>U148861</t>
  </si>
  <si>
    <t>U146450</t>
  </si>
  <si>
    <t>U149871</t>
  </si>
  <si>
    <t>P204L351-M</t>
  </si>
  <si>
    <t>H181781</t>
  </si>
  <si>
    <t>I603283-W</t>
  </si>
  <si>
    <t>U146444</t>
  </si>
  <si>
    <t>U148860</t>
  </si>
  <si>
    <t>I906081E-M</t>
  </si>
  <si>
    <t>7874675</t>
  </si>
  <si>
    <t>U146414</t>
  </si>
  <si>
    <t>H181787</t>
  </si>
  <si>
    <t>U148117</t>
  </si>
  <si>
    <t>U148113</t>
  </si>
  <si>
    <t>U146417</t>
  </si>
  <si>
    <t>U148111</t>
  </si>
  <si>
    <t>U148109</t>
  </si>
  <si>
    <t>U148108</t>
  </si>
  <si>
    <t>U148121</t>
  </si>
  <si>
    <t>U146446</t>
  </si>
  <si>
    <t>U146416</t>
  </si>
  <si>
    <t>U146477</t>
  </si>
  <si>
    <t>U148127</t>
  </si>
  <si>
    <t>U146429</t>
  </si>
  <si>
    <t>7866265</t>
  </si>
  <si>
    <t>P60347Q-M</t>
  </si>
  <si>
    <t>7879207</t>
  </si>
  <si>
    <t>H189175</t>
  </si>
  <si>
    <t>U148120</t>
  </si>
  <si>
    <t>U152786</t>
  </si>
  <si>
    <t>U146407</t>
  </si>
  <si>
    <t>I90604IM-M</t>
  </si>
  <si>
    <t>U149026</t>
  </si>
  <si>
    <t>U146421</t>
  </si>
  <si>
    <t>H174821</t>
  </si>
  <si>
    <t>U152801</t>
  </si>
  <si>
    <t>U146408</t>
  </si>
  <si>
    <t>7873417</t>
  </si>
  <si>
    <t>H189056</t>
  </si>
  <si>
    <t>W5743HE-B</t>
  </si>
  <si>
    <t>H181902</t>
  </si>
  <si>
    <t>W5155N8-B</t>
  </si>
  <si>
    <t>H180781</t>
  </si>
  <si>
    <t>H177256</t>
  </si>
  <si>
    <t>7875028</t>
  </si>
  <si>
    <t>G60346H-M</t>
  </si>
  <si>
    <t>7879205</t>
  </si>
  <si>
    <t>7875935</t>
  </si>
  <si>
    <t>U146427</t>
  </si>
  <si>
    <t>G6035EQ-W</t>
  </si>
  <si>
    <t>U152789</t>
  </si>
  <si>
    <t>7876443</t>
  </si>
  <si>
    <t>H189177</t>
  </si>
  <si>
    <t>W6033JW-B</t>
  </si>
  <si>
    <t>C135238</t>
  </si>
  <si>
    <t>H177668</t>
  </si>
  <si>
    <t>P6031TJ-W</t>
  </si>
  <si>
    <t>U204L5YB-D</t>
  </si>
  <si>
    <t>U150104</t>
  </si>
  <si>
    <t>H180126</t>
  </si>
  <si>
    <t>U152783</t>
  </si>
  <si>
    <t>G6037LU-W</t>
  </si>
  <si>
    <t>U149840</t>
  </si>
  <si>
    <t>U148009</t>
  </si>
  <si>
    <t>P6031BQ-M</t>
  </si>
  <si>
    <t>7879206</t>
  </si>
  <si>
    <t>H189068</t>
  </si>
  <si>
    <t>H189183</t>
  </si>
  <si>
    <t>U152787</t>
  </si>
  <si>
    <t>H177689</t>
  </si>
  <si>
    <t>H189064</t>
  </si>
  <si>
    <t>U148125</t>
  </si>
  <si>
    <t>7875821</t>
  </si>
  <si>
    <t>U148110</t>
  </si>
  <si>
    <t>G6035EQ-M</t>
  </si>
  <si>
    <t>GC574EVE-W</t>
  </si>
  <si>
    <t>H189176</t>
  </si>
  <si>
    <t>H180127</t>
  </si>
  <si>
    <t>U152804</t>
  </si>
  <si>
    <t>U146409</t>
  </si>
  <si>
    <t>7880718</t>
  </si>
  <si>
    <t>7866097</t>
  </si>
  <si>
    <t>H189060</t>
  </si>
  <si>
    <t>C135233</t>
  </si>
  <si>
    <t>C135882</t>
  </si>
  <si>
    <t>U152800</t>
  </si>
  <si>
    <t>CM997HCA-D</t>
  </si>
  <si>
    <t>U149836</t>
  </si>
  <si>
    <t>U152808</t>
  </si>
  <si>
    <t>H189080</t>
  </si>
  <si>
    <t>G90603WC-M</t>
  </si>
  <si>
    <t>7876470</t>
  </si>
  <si>
    <t>H188973</t>
  </si>
  <si>
    <t>7880730</t>
  </si>
  <si>
    <t>C135360</t>
  </si>
  <si>
    <t>7866193</t>
  </si>
  <si>
    <t>U146424</t>
  </si>
  <si>
    <t>H181903</t>
  </si>
  <si>
    <t>7875319</t>
  </si>
  <si>
    <t>U148019</t>
  </si>
  <si>
    <t>7884594</t>
  </si>
  <si>
    <t>P90603Q9-M</t>
  </si>
  <si>
    <t>U148146</t>
  </si>
  <si>
    <t>7866098</t>
  </si>
  <si>
    <t>7880888</t>
  </si>
  <si>
    <t>U146451</t>
  </si>
  <si>
    <t>U152784</t>
  </si>
  <si>
    <t>U152795</t>
  </si>
  <si>
    <t>7884518</t>
  </si>
  <si>
    <t>H177673</t>
  </si>
  <si>
    <t>U152782</t>
  </si>
  <si>
    <t>M5742IX-2E</t>
  </si>
  <si>
    <t>7875286</t>
  </si>
  <si>
    <t>C135877</t>
  </si>
  <si>
    <t>7882067</t>
  </si>
  <si>
    <t>7876168</t>
  </si>
  <si>
    <t>H181785</t>
  </si>
  <si>
    <t>P6033JZ-W</t>
  </si>
  <si>
    <t>U152797</t>
  </si>
  <si>
    <t>7884582</t>
  </si>
  <si>
    <t>U149878</t>
  </si>
  <si>
    <t>H189085</t>
  </si>
  <si>
    <t>C135880</t>
  </si>
  <si>
    <t>H176970</t>
  </si>
  <si>
    <t>7884524</t>
  </si>
  <si>
    <t>7885546</t>
  </si>
  <si>
    <t>7884622</t>
  </si>
  <si>
    <t>U152796</t>
  </si>
  <si>
    <t>U153218</t>
  </si>
  <si>
    <t>U148135</t>
  </si>
  <si>
    <t>C135361</t>
  </si>
  <si>
    <t>H177186</t>
  </si>
  <si>
    <t>H188997</t>
  </si>
  <si>
    <t>H189067</t>
  </si>
  <si>
    <t>7880740</t>
  </si>
  <si>
    <t>U152829</t>
  </si>
  <si>
    <t>7877036</t>
  </si>
  <si>
    <t>7880724</t>
  </si>
  <si>
    <t>NW574EVW-M</t>
  </si>
  <si>
    <t>7866751</t>
  </si>
  <si>
    <t>H189182</t>
  </si>
  <si>
    <t>7875403</t>
  </si>
  <si>
    <t>H188981</t>
  </si>
  <si>
    <t>P90609YZ-M</t>
  </si>
  <si>
    <t>H177596</t>
  </si>
  <si>
    <t>7866099</t>
  </si>
  <si>
    <t>U152850</t>
  </si>
  <si>
    <t>7866226</t>
  </si>
  <si>
    <t>7880334</t>
  </si>
  <si>
    <t>U148138</t>
  </si>
  <si>
    <t>7875511</t>
  </si>
  <si>
    <t>7880764</t>
  </si>
  <si>
    <t>GC9060BK-W</t>
  </si>
  <si>
    <t>U152822</t>
  </si>
  <si>
    <t>H189018</t>
  </si>
  <si>
    <t>U152825</t>
  </si>
  <si>
    <t>H177966</t>
  </si>
  <si>
    <t>U152758</t>
  </si>
  <si>
    <t>P9060841-M</t>
  </si>
  <si>
    <t>7876234</t>
  </si>
  <si>
    <t>7875505</t>
  </si>
  <si>
    <t>I603283-M</t>
  </si>
  <si>
    <t>U152849</t>
  </si>
  <si>
    <t>G603376-M</t>
  </si>
  <si>
    <t>7880712</t>
  </si>
  <si>
    <t>GC9060BE-W</t>
  </si>
  <si>
    <t>H176907</t>
  </si>
  <si>
    <t>7884576</t>
  </si>
  <si>
    <t>U152847</t>
  </si>
  <si>
    <t>U152834</t>
  </si>
  <si>
    <t>7875487</t>
  </si>
  <si>
    <t>U152851</t>
  </si>
  <si>
    <t>U152777</t>
  </si>
  <si>
    <t>G90609SI-M</t>
  </si>
  <si>
    <t>U148136</t>
  </si>
  <si>
    <t>H176953</t>
  </si>
  <si>
    <t>GC9060GY-W</t>
  </si>
  <si>
    <t>G204L4MD-M</t>
  </si>
  <si>
    <t>H177197</t>
  </si>
  <si>
    <t>7880770</t>
  </si>
  <si>
    <t>7875411</t>
  </si>
  <si>
    <t>U152752</t>
  </si>
  <si>
    <t>W5749H1-D</t>
  </si>
  <si>
    <t>7875574</t>
  </si>
  <si>
    <t>P906011M-M</t>
  </si>
  <si>
    <t>7874067</t>
  </si>
  <si>
    <t>PV9060LL-M</t>
  </si>
  <si>
    <t>H176969</t>
  </si>
  <si>
    <t>C135268</t>
  </si>
  <si>
    <t>W51511Y-B</t>
  </si>
  <si>
    <t>H189811</t>
  </si>
  <si>
    <t>U152839</t>
  </si>
  <si>
    <t>7884672</t>
  </si>
  <si>
    <t>7874894</t>
  </si>
  <si>
    <t>7882079</t>
  </si>
  <si>
    <t>H177289</t>
  </si>
  <si>
    <t>G90606AX-M</t>
  </si>
  <si>
    <t>U152792</t>
  </si>
  <si>
    <t>H189069</t>
  </si>
  <si>
    <t>H188968</t>
  </si>
  <si>
    <t>U148142</t>
  </si>
  <si>
    <t>CM997HCB-D</t>
  </si>
  <si>
    <t>7880336</t>
  </si>
  <si>
    <t>7884588</t>
  </si>
  <si>
    <t>PV9060ER-M</t>
  </si>
  <si>
    <t>H177278</t>
  </si>
  <si>
    <t>U152828</t>
  </si>
  <si>
    <t>H177265</t>
  </si>
  <si>
    <t>W6038GJ-B</t>
  </si>
  <si>
    <t>H177018</t>
  </si>
  <si>
    <t>H180789</t>
  </si>
  <si>
    <t>7881369</t>
  </si>
  <si>
    <t>H189181</t>
  </si>
  <si>
    <t>7875997</t>
  </si>
  <si>
    <t>C135224</t>
  </si>
  <si>
    <t>H176976</t>
  </si>
  <si>
    <t>I6038PU-W</t>
  </si>
  <si>
    <t>U152853</t>
  </si>
  <si>
    <t>G204L7GI-M</t>
  </si>
  <si>
    <t>H177210</t>
  </si>
  <si>
    <t>C135219</t>
  </si>
  <si>
    <t>I6038PU-M</t>
  </si>
  <si>
    <t>7880868</t>
  </si>
  <si>
    <t>U149888</t>
  </si>
  <si>
    <t>U152761</t>
  </si>
  <si>
    <t>U152811</t>
  </si>
  <si>
    <t>H189870</t>
  </si>
  <si>
    <t>7880752</t>
  </si>
  <si>
    <t>H189083</t>
  </si>
  <si>
    <t>I60356H-W</t>
  </si>
  <si>
    <t>7875006</t>
  </si>
  <si>
    <t>7884322</t>
  </si>
  <si>
    <t>U152821</t>
  </si>
  <si>
    <t>7880777</t>
  </si>
  <si>
    <t>U152824</t>
  </si>
  <si>
    <t>H189167</t>
  </si>
  <si>
    <t>U152835</t>
  </si>
  <si>
    <t>U148137</t>
  </si>
  <si>
    <t>7884630</t>
  </si>
  <si>
    <t>PV9060BE-M</t>
  </si>
  <si>
    <t>H177020</t>
  </si>
  <si>
    <t>7876402</t>
  </si>
  <si>
    <t>G9060744-M</t>
  </si>
  <si>
    <t>U152781</t>
  </si>
  <si>
    <t>U152832</t>
  </si>
  <si>
    <t>7876474</t>
  </si>
  <si>
    <t>H189084</t>
  </si>
  <si>
    <t>H189125</t>
  </si>
  <si>
    <t>U152757</t>
  </si>
  <si>
    <t>U152837</t>
  </si>
  <si>
    <t>H189101</t>
  </si>
  <si>
    <t>U152774</t>
  </si>
  <si>
    <t>ML515WHT-D</t>
  </si>
  <si>
    <t>7880335</t>
  </si>
  <si>
    <t>H188975</t>
  </si>
  <si>
    <t>IV9060LL-W</t>
  </si>
  <si>
    <t>U152769</t>
  </si>
  <si>
    <t>U148143</t>
  </si>
  <si>
    <t>PC9060LL-W</t>
  </si>
  <si>
    <t>7876444</t>
  </si>
  <si>
    <t>W6032WW-B</t>
  </si>
  <si>
    <t>7877368</t>
  </si>
  <si>
    <t>U152755</t>
  </si>
  <si>
    <t>7884564</t>
  </si>
  <si>
    <t>7883772</t>
  </si>
  <si>
    <t>7884640</t>
  </si>
  <si>
    <t>7885560</t>
  </si>
  <si>
    <t>C134978</t>
  </si>
  <si>
    <t>7884634</t>
  </si>
  <si>
    <t>7880833</t>
  </si>
  <si>
    <t>P204L9NZ-M</t>
  </si>
  <si>
    <t>U152852</t>
  </si>
  <si>
    <t>U153523</t>
  </si>
  <si>
    <t>C135230</t>
  </si>
  <si>
    <t>W6037JY-B</t>
  </si>
  <si>
    <t>H176919</t>
  </si>
  <si>
    <t>H176974</t>
  </si>
  <si>
    <t>U148141</t>
  </si>
  <si>
    <t>7876693</t>
  </si>
  <si>
    <t>7884628</t>
  </si>
  <si>
    <t>U152826</t>
  </si>
  <si>
    <t>U152827</t>
  </si>
  <si>
    <t>U152833</t>
  </si>
  <si>
    <t>STYLE</t>
  </si>
  <si>
    <t>G6032U8</t>
  </si>
  <si>
    <t>G6035EQ</t>
  </si>
  <si>
    <t>G6037LU</t>
  </si>
  <si>
    <t>G6033UP</t>
  </si>
  <si>
    <t>G6035F4</t>
  </si>
  <si>
    <t>G6032Z2</t>
  </si>
  <si>
    <t>G6039IR</t>
  </si>
  <si>
    <t>G603376</t>
  </si>
  <si>
    <t>W51511Y</t>
  </si>
  <si>
    <t>ML515WHT</t>
  </si>
  <si>
    <t>ML515NVY</t>
  </si>
  <si>
    <t>ML515BLK</t>
  </si>
  <si>
    <t>ML515GRY</t>
  </si>
  <si>
    <t>WL515GRY</t>
  </si>
  <si>
    <t>WL515WHT</t>
  </si>
  <si>
    <t>PV574EVB</t>
  </si>
  <si>
    <t>PV574EVE</t>
  </si>
  <si>
    <t>PV574EVG</t>
  </si>
  <si>
    <t>P5745L4</t>
  </si>
  <si>
    <t>P57442E</t>
  </si>
  <si>
    <t>GC574EVB</t>
  </si>
  <si>
    <t>NW574EVW</t>
  </si>
  <si>
    <t>I57425Y</t>
  </si>
  <si>
    <t>I57429D</t>
  </si>
  <si>
    <t>PC574EVW</t>
  </si>
  <si>
    <t>GC574EVG</t>
  </si>
  <si>
    <t>GC574EVW</t>
  </si>
  <si>
    <t>GC574EVE</t>
  </si>
  <si>
    <t>GC574EVK</t>
  </si>
  <si>
    <t>PC574EVE</t>
  </si>
  <si>
    <t>PV574EVK</t>
  </si>
  <si>
    <t>PV574EVW</t>
  </si>
  <si>
    <t>I5746W2</t>
  </si>
  <si>
    <t>I5744ML</t>
  </si>
  <si>
    <t>I57443A</t>
  </si>
  <si>
    <t>I57487Y</t>
  </si>
  <si>
    <t>W60336H</t>
  </si>
  <si>
    <t>W60347S</t>
  </si>
  <si>
    <t>W6034FP</t>
  </si>
  <si>
    <t>G60346H</t>
  </si>
  <si>
    <t>W6033JW</t>
  </si>
  <si>
    <t>W6038GJ</t>
  </si>
  <si>
    <t>W6032WW</t>
  </si>
  <si>
    <t>W6037JY</t>
  </si>
  <si>
    <t>W6039DJ</t>
  </si>
  <si>
    <t>W6037ZC</t>
  </si>
  <si>
    <t>M6034X3</t>
  </si>
  <si>
    <t>W6037E8</t>
  </si>
  <si>
    <t>W6039SA</t>
  </si>
  <si>
    <t>I60356H</t>
  </si>
  <si>
    <t>I6038PU</t>
  </si>
  <si>
    <t>I603283</t>
  </si>
  <si>
    <t>I6033G2</t>
  </si>
  <si>
    <t>I6039KY</t>
  </si>
  <si>
    <t>I603457</t>
  </si>
  <si>
    <t>I6039JD</t>
  </si>
  <si>
    <t>I6032MA</t>
  </si>
  <si>
    <t>I6036O1</t>
  </si>
  <si>
    <t>G6037VE</t>
  </si>
  <si>
    <t>G60374G</t>
  </si>
  <si>
    <t>ML574EVG</t>
  </si>
  <si>
    <t>WL574EVW</t>
  </si>
  <si>
    <t>ML574EVN</t>
  </si>
  <si>
    <t>WL574EVG</t>
  </si>
  <si>
    <t>ML574EVB</t>
  </si>
  <si>
    <t>W5746AE</t>
  </si>
  <si>
    <t>M997H9T8</t>
  </si>
  <si>
    <t>M997H27Q</t>
  </si>
  <si>
    <t>M997H23Y</t>
  </si>
  <si>
    <t>GR997HNM</t>
  </si>
  <si>
    <t>GR997HWH</t>
  </si>
  <si>
    <t>PR997HWH</t>
  </si>
  <si>
    <t>PR997HNM</t>
  </si>
  <si>
    <t>IH997HNM</t>
  </si>
  <si>
    <t>IH997HWH</t>
  </si>
  <si>
    <t>CM997HCA</t>
  </si>
  <si>
    <t>CM997HCB</t>
  </si>
  <si>
    <t>M5742IX</t>
  </si>
  <si>
    <t>W5744R4</t>
  </si>
  <si>
    <t>W5743HE</t>
  </si>
  <si>
    <t>P204L8K2</t>
  </si>
  <si>
    <t>G204L1MN</t>
  </si>
  <si>
    <t>P204L9OY</t>
  </si>
  <si>
    <t>G204L9EA</t>
  </si>
  <si>
    <t>G204L7V9</t>
  </si>
  <si>
    <t>G204L5CB</t>
  </si>
  <si>
    <t>U204L9NJ</t>
  </si>
  <si>
    <t>P204L351</t>
  </si>
  <si>
    <t>P204L9VE</t>
  </si>
  <si>
    <t>U204L5YB</t>
  </si>
  <si>
    <t>G204L4MD</t>
  </si>
  <si>
    <t>G204L7GI</t>
  </si>
  <si>
    <t>P204L9NZ</t>
  </si>
  <si>
    <t>P204L7RF</t>
  </si>
  <si>
    <t>P204L5TQ</t>
  </si>
  <si>
    <t>G204L3BR</t>
  </si>
  <si>
    <t>U204L2EH</t>
  </si>
  <si>
    <t>U204L3MJ</t>
  </si>
  <si>
    <t>U204L28P</t>
  </si>
  <si>
    <t>U204L9VX</t>
  </si>
  <si>
    <t>P204L5ZJ</t>
  </si>
  <si>
    <t>G204L2PR</t>
  </si>
  <si>
    <t>PC9060ER</t>
  </si>
  <si>
    <t>P90603Q9</t>
  </si>
  <si>
    <t>P90602XV</t>
  </si>
  <si>
    <t>P9060841</t>
  </si>
  <si>
    <t>P90608S3</t>
  </si>
  <si>
    <t>P906053S</t>
  </si>
  <si>
    <t>PC9060LL</t>
  </si>
  <si>
    <t>P90605V8</t>
  </si>
  <si>
    <t>P90604TZ</t>
  </si>
  <si>
    <t>P60399V</t>
  </si>
  <si>
    <t>P60347T</t>
  </si>
  <si>
    <t>P6031TJ</t>
  </si>
  <si>
    <t>P60347Q</t>
  </si>
  <si>
    <t>P60394T</t>
  </si>
  <si>
    <t>P6031BQ</t>
  </si>
  <si>
    <t>P60368L</t>
  </si>
  <si>
    <t>P6036SS</t>
  </si>
  <si>
    <t>P6032Y0</t>
  </si>
  <si>
    <t>P60384T</t>
  </si>
  <si>
    <t>P6033JZ</t>
  </si>
  <si>
    <t>GC9060BK</t>
  </si>
  <si>
    <t>GC9060LL</t>
  </si>
  <si>
    <t>GC9060GY</t>
  </si>
  <si>
    <t>G906081P</t>
  </si>
  <si>
    <t>GC9060BE</t>
  </si>
  <si>
    <t>GC9060ER</t>
  </si>
  <si>
    <t>G90603SO</t>
  </si>
  <si>
    <t>G90606AX</t>
  </si>
  <si>
    <t>G9060744</t>
  </si>
  <si>
    <t>G906076O</t>
  </si>
  <si>
    <t>I90604IM</t>
  </si>
  <si>
    <t>P906011M</t>
  </si>
  <si>
    <t>P90609YZ</t>
  </si>
  <si>
    <t>IV9060ER</t>
  </si>
  <si>
    <t>I90602QH</t>
  </si>
  <si>
    <t>I90605JO</t>
  </si>
  <si>
    <t>IV9060BE</t>
  </si>
  <si>
    <t>PV9060LL</t>
  </si>
  <si>
    <t>PV9060ER</t>
  </si>
  <si>
    <t>PV9060BE</t>
  </si>
  <si>
    <t>I9060819</t>
  </si>
  <si>
    <t>I90607FE</t>
  </si>
  <si>
    <t>I90605HA</t>
  </si>
  <si>
    <t>IV9060GY</t>
  </si>
  <si>
    <t>IV9060LL</t>
  </si>
  <si>
    <t>PC9060BE</t>
  </si>
  <si>
    <t>G90603WC</t>
  </si>
  <si>
    <t>GC9060EP</t>
  </si>
  <si>
    <t>G90603HA</t>
  </si>
  <si>
    <t>G90601ND</t>
  </si>
  <si>
    <t>I906081E</t>
  </si>
  <si>
    <t>PC9060BK</t>
  </si>
  <si>
    <t>PC9060GY</t>
  </si>
  <si>
    <t>PC9060EP</t>
  </si>
  <si>
    <t>W51580S</t>
  </si>
  <si>
    <t>M5748EK</t>
  </si>
  <si>
    <t>M5745QV</t>
  </si>
  <si>
    <t>M5744FK</t>
  </si>
  <si>
    <t>W5749H1</t>
  </si>
  <si>
    <t>W5744CP</t>
  </si>
  <si>
    <t>ML574EVE</t>
  </si>
  <si>
    <t>WL574EVN</t>
  </si>
  <si>
    <t>ML574EVW</t>
  </si>
  <si>
    <t>U57432M</t>
  </si>
  <si>
    <t>WL515SB3</t>
  </si>
  <si>
    <t>W5744TB</t>
  </si>
  <si>
    <t>U5745CT</t>
  </si>
  <si>
    <t>U5745I2</t>
  </si>
  <si>
    <t>W5749QY</t>
  </si>
  <si>
    <t>W5746FS</t>
  </si>
  <si>
    <t>W5746ZT</t>
  </si>
  <si>
    <t>W5741GU</t>
  </si>
  <si>
    <t>W5155N8</t>
  </si>
  <si>
    <t>W515S7OK</t>
  </si>
  <si>
    <t>W5156FP</t>
  </si>
  <si>
    <t>M515S54Y</t>
  </si>
  <si>
    <t>WL515RWA</t>
  </si>
  <si>
    <t>WL515BLK</t>
  </si>
  <si>
    <t>M515C5QO</t>
  </si>
  <si>
    <t>M515C5YQ</t>
  </si>
  <si>
    <t>W515C2GY</t>
  </si>
  <si>
    <t>W515C5KE</t>
  </si>
  <si>
    <t>W515C80Y</t>
  </si>
  <si>
    <t>ML515AGR</t>
  </si>
  <si>
    <t>G90601XJ</t>
  </si>
  <si>
    <t>G90609SI</t>
  </si>
  <si>
    <t>U204LCCB</t>
  </si>
  <si>
    <t>U204L3OL</t>
  </si>
  <si>
    <t>U204LSWD</t>
  </si>
  <si>
    <t>W60342R</t>
  </si>
  <si>
    <t>P6039J1</t>
  </si>
  <si>
    <t>G6034EC</t>
  </si>
  <si>
    <t>U204L7A8</t>
  </si>
  <si>
    <t>W5152L4</t>
  </si>
  <si>
    <t>W5159ZJ</t>
  </si>
  <si>
    <t>M5152JC</t>
  </si>
  <si>
    <t>I5747IH</t>
  </si>
  <si>
    <t>U5747A4</t>
  </si>
  <si>
    <t>NEW PO</t>
  </si>
  <si>
    <t>H171717</t>
  </si>
  <si>
    <t>H171720</t>
  </si>
  <si>
    <t>H171727</t>
  </si>
  <si>
    <t>H171778</t>
  </si>
  <si>
    <t>7873637</t>
  </si>
  <si>
    <t>7873785</t>
  </si>
  <si>
    <t>7873632</t>
  </si>
  <si>
    <t>C134979</t>
  </si>
  <si>
    <t>7876434</t>
  </si>
  <si>
    <t>U153171</t>
  </si>
  <si>
    <t>7876607</t>
  </si>
  <si>
    <t>7876601</t>
  </si>
  <si>
    <t>H189865</t>
  </si>
  <si>
    <t>U153191</t>
  </si>
  <si>
    <t>U153187</t>
  </si>
  <si>
    <t>7885572</t>
  </si>
  <si>
    <t>C135933</t>
  </si>
  <si>
    <t>7886640</t>
  </si>
  <si>
    <t>7885564</t>
  </si>
  <si>
    <t>7885578</t>
  </si>
  <si>
    <t>U157236</t>
  </si>
  <si>
    <t>U158351</t>
  </si>
  <si>
    <t>C136633</t>
  </si>
  <si>
    <t>7888647</t>
  </si>
  <si>
    <t>C136634</t>
  </si>
  <si>
    <t>7888645</t>
  </si>
  <si>
    <t>7888646</t>
  </si>
  <si>
    <t>U157235</t>
  </si>
  <si>
    <t>U157238</t>
  </si>
  <si>
    <t>U157303</t>
  </si>
  <si>
    <t>7886050</t>
  </si>
  <si>
    <t>H189802</t>
  </si>
  <si>
    <t>U157699</t>
  </si>
  <si>
    <t>U157741</t>
  </si>
  <si>
    <t>U157770</t>
  </si>
  <si>
    <t>H180067</t>
  </si>
  <si>
    <t>H176933</t>
  </si>
  <si>
    <t>H176934</t>
  </si>
  <si>
    <t>H177013</t>
  </si>
  <si>
    <t>H177015</t>
  </si>
  <si>
    <t>H177014</t>
  </si>
  <si>
    <t>H177024</t>
  </si>
  <si>
    <t>H177026</t>
  </si>
  <si>
    <t>U149875</t>
  </si>
  <si>
    <t>U149885</t>
  </si>
  <si>
    <t>U149879</t>
  </si>
  <si>
    <t>U149828</t>
  </si>
  <si>
    <t>U149821</t>
  </si>
  <si>
    <t>U149881</t>
  </si>
  <si>
    <t>H176902</t>
  </si>
  <si>
    <t>H176961</t>
  </si>
  <si>
    <t>H176962</t>
  </si>
  <si>
    <t>7876511</t>
  </si>
  <si>
    <t>7876773</t>
  </si>
  <si>
    <t>U152762</t>
  </si>
  <si>
    <t>U152764</t>
  </si>
  <si>
    <t>U152806</t>
  </si>
  <si>
    <t>7884606</t>
  </si>
  <si>
    <t>U153224</t>
  </si>
  <si>
    <t>U153226</t>
  </si>
  <si>
    <t>7884600</t>
  </si>
  <si>
    <t>7884612</t>
  </si>
  <si>
    <t>U153175</t>
  </si>
  <si>
    <t>U153166</t>
  </si>
  <si>
    <t>H176954</t>
  </si>
  <si>
    <t>H177353</t>
  </si>
  <si>
    <t>H177326</t>
  </si>
  <si>
    <t>H177327</t>
  </si>
  <si>
    <t>H177334</t>
  </si>
  <si>
    <t>H177335</t>
  </si>
  <si>
    <t>7886735</t>
  </si>
  <si>
    <t>H189781</t>
  </si>
  <si>
    <t>C135932</t>
  </si>
  <si>
    <t>U153227</t>
  </si>
  <si>
    <t>U153228</t>
  </si>
  <si>
    <t>U152867</t>
  </si>
  <si>
    <t>U152868</t>
  </si>
  <si>
    <t>H189030</t>
  </si>
  <si>
    <t>U157589</t>
  </si>
  <si>
    <t>U157274</t>
  </si>
  <si>
    <t>U157282</t>
  </si>
  <si>
    <t>U157281</t>
  </si>
  <si>
    <t>H177093</t>
  </si>
  <si>
    <t>H189790</t>
  </si>
  <si>
    <t>U157231</t>
  </si>
  <si>
    <t>H195214</t>
  </si>
  <si>
    <t>U157324</t>
  </si>
  <si>
    <t>U157336</t>
  </si>
  <si>
    <t>U157232</t>
  </si>
  <si>
    <t>U157323</t>
  </si>
  <si>
    <t>U157328</t>
  </si>
  <si>
    <t>U157329</t>
  </si>
  <si>
    <t>H195222</t>
  </si>
  <si>
    <t>C136474</t>
  </si>
  <si>
    <t>U157252</t>
  </si>
  <si>
    <t>U157309</t>
  </si>
  <si>
    <t>U157313</t>
  </si>
  <si>
    <t>C136476</t>
  </si>
  <si>
    <t>U157314</t>
  </si>
  <si>
    <t>H195482</t>
  </si>
  <si>
    <t>H189878</t>
  </si>
  <si>
    <t>H189796</t>
  </si>
  <si>
    <t>H188985</t>
  </si>
  <si>
    <t>7880827</t>
  </si>
  <si>
    <t>7881034</t>
  </si>
  <si>
    <t>H189274</t>
  </si>
  <si>
    <t>H189808</t>
  </si>
  <si>
    <t>7886044</t>
  </si>
  <si>
    <t>7881028</t>
  </si>
  <si>
    <t>H190550</t>
  </si>
  <si>
    <t>H190533</t>
  </si>
  <si>
    <t>7866406</t>
  </si>
  <si>
    <t>H171722</t>
  </si>
  <si>
    <t>H176945</t>
  </si>
  <si>
    <t>H171628</t>
  </si>
  <si>
    <t>H171646</t>
  </si>
  <si>
    <t>H197392</t>
  </si>
  <si>
    <t>H145756</t>
  </si>
  <si>
    <t>H176977</t>
  </si>
  <si>
    <t>H177151</t>
  </si>
  <si>
    <t>H177143</t>
  </si>
  <si>
    <t>H177145</t>
  </si>
  <si>
    <t>C136040</t>
  </si>
  <si>
    <t>C136041</t>
  </si>
  <si>
    <t>H177191</t>
  </si>
  <si>
    <t>H177177</t>
  </si>
  <si>
    <t>H177198</t>
  </si>
  <si>
    <t>7878155</t>
  </si>
  <si>
    <t>U157228</t>
  </si>
  <si>
    <t>U157253</t>
  </si>
  <si>
    <t>U157257</t>
  </si>
  <si>
    <t>U157267</t>
  </si>
  <si>
    <t>U157327</t>
  </si>
  <si>
    <t>U157341</t>
  </si>
  <si>
    <t>7886038</t>
  </si>
  <si>
    <t>H176839</t>
  </si>
  <si>
    <t>H176972</t>
  </si>
  <si>
    <t>H177229</t>
  </si>
  <si>
    <t>H176840</t>
  </si>
  <si>
    <t>H176843</t>
  </si>
  <si>
    <t>H177297</t>
  </si>
  <si>
    <t>H177301</t>
  </si>
  <si>
    <t>H176851</t>
  </si>
  <si>
    <t>7878275</t>
  </si>
  <si>
    <t>H171703</t>
  </si>
  <si>
    <t>H171705</t>
  </si>
  <si>
    <t>H171624</t>
  </si>
  <si>
    <t>U149876</t>
  </si>
  <si>
    <t>H148619</t>
  </si>
  <si>
    <t>7884636</t>
  </si>
  <si>
    <t>U152754</t>
  </si>
  <si>
    <t>7884548</t>
  </si>
  <si>
    <t>7880839</t>
  </si>
  <si>
    <t>7884542</t>
  </si>
  <si>
    <t>U152756</t>
  </si>
  <si>
    <t>7880851</t>
  </si>
  <si>
    <t>7884560</t>
  </si>
  <si>
    <t>7880857</t>
  </si>
  <si>
    <t>H171684</t>
  </si>
  <si>
    <t>H171683</t>
  </si>
  <si>
    <t>H180076</t>
  </si>
  <si>
    <t>H180084</t>
  </si>
  <si>
    <t>H189033</t>
  </si>
  <si>
    <t>C135879</t>
  </si>
  <si>
    <t>U152859</t>
  </si>
  <si>
    <t>U157272</t>
  </si>
  <si>
    <t>H171756</t>
  </si>
  <si>
    <t>H171692</t>
  </si>
  <si>
    <t>H171694</t>
  </si>
  <si>
    <t>H171698</t>
  </si>
  <si>
    <t>U157280</t>
  </si>
  <si>
    <t>U157288</t>
  </si>
  <si>
    <t>U157286</t>
  </si>
  <si>
    <t>U157285</t>
  </si>
  <si>
    <t>H195231</t>
  </si>
  <si>
    <t>H195223</t>
  </si>
  <si>
    <t>U157260</t>
  </si>
  <si>
    <t>U157264</t>
  </si>
  <si>
    <t>U157275</t>
  </si>
  <si>
    <t>U157246</t>
  </si>
  <si>
    <t>U157247</t>
  </si>
  <si>
    <t>H195220</t>
  </si>
  <si>
    <t>U157245</t>
  </si>
  <si>
    <t>U157255</t>
  </si>
  <si>
    <t>U157256</t>
  </si>
  <si>
    <t>U157266</t>
  </si>
  <si>
    <t>U157265</t>
  </si>
  <si>
    <t>H171699</t>
  </si>
  <si>
    <t>H171704</t>
  </si>
  <si>
    <t>7884624</t>
  </si>
  <si>
    <t>7880747</t>
  </si>
  <si>
    <t>7880863</t>
  </si>
  <si>
    <t>7885552</t>
  </si>
  <si>
    <t>U152759</t>
  </si>
  <si>
    <t>H171640</t>
  </si>
  <si>
    <t>H171618</t>
  </si>
  <si>
    <t>H189026</t>
  </si>
  <si>
    <t>U152860</t>
  </si>
  <si>
    <t>U157244</t>
  </si>
  <si>
    <t>U157251</t>
  </si>
  <si>
    <t>U157242</t>
  </si>
  <si>
    <t>U157248</t>
  </si>
  <si>
    <t>U157270</t>
  </si>
  <si>
    <t>H195226</t>
  </si>
  <si>
    <t>H195235</t>
  </si>
  <si>
    <t>7888768</t>
  </si>
  <si>
    <t>7889376</t>
  </si>
  <si>
    <t>U157227</t>
  </si>
  <si>
    <t>C136005</t>
  </si>
  <si>
    <t>C135859</t>
  </si>
  <si>
    <t>U158342</t>
  </si>
  <si>
    <t>U158344</t>
  </si>
  <si>
    <t>U158345</t>
  </si>
  <si>
    <t>U158340</t>
  </si>
  <si>
    <t>U158341</t>
  </si>
  <si>
    <t>U158349</t>
  </si>
  <si>
    <t>U158347</t>
  </si>
  <si>
    <t>U157553</t>
  </si>
  <si>
    <t>U157616</t>
  </si>
  <si>
    <t>U157617</t>
  </si>
  <si>
    <t>C136540</t>
  </si>
  <si>
    <t>7888801</t>
  </si>
  <si>
    <t>7889189</t>
  </si>
  <si>
    <t>7889190</t>
  </si>
  <si>
    <t>7889381</t>
  </si>
  <si>
    <t>7885953</t>
  </si>
  <si>
    <t>7885996</t>
  </si>
  <si>
    <t>7873412</t>
  </si>
  <si>
    <t>7873394</t>
  </si>
  <si>
    <t>7873407</t>
  </si>
  <si>
    <t>7873411</t>
  </si>
  <si>
    <t>7873395</t>
  </si>
  <si>
    <t>7873408</t>
  </si>
  <si>
    <t>7873409</t>
  </si>
  <si>
    <t>7873410</t>
  </si>
  <si>
    <t>7881377</t>
  </si>
  <si>
    <t>H189780</t>
  </si>
  <si>
    <t>7881475</t>
  </si>
  <si>
    <t>7881389</t>
  </si>
  <si>
    <t>7881482</t>
  </si>
  <si>
    <t>H180175</t>
  </si>
  <si>
    <t>H180182</t>
  </si>
  <si>
    <t>7881395</t>
  </si>
  <si>
    <t>7881484</t>
  </si>
  <si>
    <t>7881383</t>
  </si>
  <si>
    <t>7881479</t>
  </si>
  <si>
    <t>7881407</t>
  </si>
  <si>
    <t>7881488</t>
  </si>
  <si>
    <t>7881401</t>
  </si>
  <si>
    <t>7881486</t>
  </si>
  <si>
    <t>7881864</t>
  </si>
  <si>
    <t>7881886</t>
  </si>
  <si>
    <t>7880326</t>
  </si>
  <si>
    <t>7882937</t>
  </si>
  <si>
    <t>7882943</t>
  </si>
  <si>
    <t>7885716</t>
  </si>
  <si>
    <t>7886796</t>
  </si>
  <si>
    <t>7888792</t>
  </si>
  <si>
    <t>7889098</t>
  </si>
  <si>
    <t>7889188</t>
  </si>
  <si>
    <t>7889365</t>
  </si>
  <si>
    <t>7889372</t>
  </si>
  <si>
    <t>7885984</t>
  </si>
  <si>
    <t>H181896</t>
  </si>
  <si>
    <t>7882530</t>
  </si>
  <si>
    <t>7885972</t>
  </si>
  <si>
    <t>7889096</t>
  </si>
  <si>
    <t>7889186</t>
  </si>
  <si>
    <t>7889187</t>
  </si>
  <si>
    <t>C136471</t>
  </si>
  <si>
    <t>U157276</t>
  </si>
  <si>
    <t>H177012</t>
  </si>
  <si>
    <t>H176926</t>
  </si>
  <si>
    <t>7878143</t>
  </si>
  <si>
    <t>7876245</t>
  </si>
  <si>
    <t>H174678</t>
  </si>
  <si>
    <t>U149887</t>
  </si>
  <si>
    <t>H177275</t>
  </si>
  <si>
    <t>7880744</t>
  </si>
  <si>
    <t>H189105</t>
  </si>
  <si>
    <t>H189088</t>
  </si>
  <si>
    <t>H189086</t>
  </si>
  <si>
    <t>7883692</t>
  </si>
  <si>
    <t>7884696</t>
  </si>
  <si>
    <t>7886839</t>
  </si>
  <si>
    <t>7886753</t>
  </si>
  <si>
    <t>7886838</t>
  </si>
  <si>
    <t>H189272</t>
  </si>
  <si>
    <t>H189082</t>
  </si>
  <si>
    <t>H189268</t>
  </si>
  <si>
    <t>H189894</t>
  </si>
  <si>
    <t>H189837</t>
  </si>
  <si>
    <t>H189819</t>
  </si>
  <si>
    <t>7884167</t>
  </si>
  <si>
    <t>H189821</t>
  </si>
  <si>
    <t>H189854</t>
  </si>
  <si>
    <t>H189860</t>
  </si>
  <si>
    <t>7884203</t>
  </si>
  <si>
    <t>H189862</t>
  </si>
  <si>
    <t>7884173</t>
  </si>
  <si>
    <t>H189832</t>
  </si>
  <si>
    <t>H189857</t>
  </si>
  <si>
    <t>H189195</t>
  </si>
  <si>
    <t>7886970</t>
  </si>
  <si>
    <t>H176952</t>
  </si>
  <si>
    <t>H174679</t>
  </si>
  <si>
    <t>H174718</t>
  </si>
  <si>
    <t>H174719</t>
  </si>
  <si>
    <t>C135938</t>
  </si>
  <si>
    <t>H189896</t>
  </si>
  <si>
    <t>H189872</t>
  </si>
  <si>
    <t>H189868</t>
  </si>
  <si>
    <t>7880581</t>
  </si>
  <si>
    <t>H189932</t>
  </si>
  <si>
    <t>7880575</t>
  </si>
  <si>
    <t>7881630</t>
  </si>
  <si>
    <t>7881652</t>
  </si>
  <si>
    <t>H189834</t>
  </si>
  <si>
    <t>7883154</t>
  </si>
  <si>
    <t>7885355</t>
  </si>
  <si>
    <t>H189823</t>
  </si>
  <si>
    <t>H189899</t>
  </si>
  <si>
    <t>H189041</t>
  </si>
  <si>
    <t>7883040</t>
  </si>
  <si>
    <t>H181790</t>
  </si>
  <si>
    <t>H181789</t>
  </si>
  <si>
    <t>H175086</t>
  </si>
  <si>
    <t>H180066</t>
  </si>
  <si>
    <t>H175069</t>
  </si>
  <si>
    <t>H175078</t>
  </si>
  <si>
    <t>H175082</t>
  </si>
  <si>
    <t>H174839</t>
  </si>
  <si>
    <t>H181780</t>
  </si>
  <si>
    <t>H181782</t>
  </si>
  <si>
    <t>H171278</t>
  </si>
  <si>
    <t>H189074</t>
  </si>
  <si>
    <t>H181779</t>
  </si>
  <si>
    <t>H181783</t>
  </si>
  <si>
    <t>H181784</t>
  </si>
  <si>
    <t>H189851</t>
  </si>
  <si>
    <t>H189853</t>
  </si>
  <si>
    <t>H189908</t>
  </si>
  <si>
    <t>H189858</t>
  </si>
  <si>
    <t>7876216</t>
  </si>
  <si>
    <t>C135264</t>
  </si>
  <si>
    <t>U148140</t>
  </si>
  <si>
    <t>7876533</t>
  </si>
  <si>
    <t>7880872</t>
  </si>
  <si>
    <t>U153548</t>
  </si>
  <si>
    <t>7884690</t>
  </si>
  <si>
    <t>7875419</t>
  </si>
  <si>
    <t>H178074</t>
  </si>
  <si>
    <t>7881798</t>
  </si>
  <si>
    <t>U153192</t>
  </si>
  <si>
    <t>U153193</t>
  </si>
  <si>
    <t>H189875</t>
  </si>
  <si>
    <t>7881626</t>
  </si>
  <si>
    <t>7881647</t>
  </si>
  <si>
    <t>7880854</t>
  </si>
  <si>
    <t>U152870</t>
  </si>
  <si>
    <t>U152871</t>
  </si>
  <si>
    <t>7881651</t>
  </si>
  <si>
    <t>U158352</t>
  </si>
  <si>
    <t>U158354</t>
  </si>
  <si>
    <t>U158384</t>
  </si>
  <si>
    <t>7883122</t>
  </si>
  <si>
    <t>7883128</t>
  </si>
  <si>
    <t>H171647</t>
  </si>
  <si>
    <t>7876125</t>
  </si>
  <si>
    <t>H171644</t>
  </si>
  <si>
    <t>H171673</t>
  </si>
  <si>
    <t>U152857</t>
  </si>
  <si>
    <t>H180105</t>
  </si>
  <si>
    <t>H180106</t>
  </si>
  <si>
    <t>H180071</t>
  </si>
  <si>
    <t>H180079</t>
  </si>
  <si>
    <t>U157258</t>
  </si>
  <si>
    <t>U157262</t>
  </si>
  <si>
    <t>U157268</t>
  </si>
  <si>
    <t>U157277</t>
  </si>
  <si>
    <t>U157279</t>
  </si>
  <si>
    <t>U157249</t>
  </si>
  <si>
    <t>H195230</t>
  </si>
  <si>
    <t>H195227</t>
  </si>
  <si>
    <t>7889369</t>
  </si>
  <si>
    <t>U157243</t>
  </si>
  <si>
    <t>U157250</t>
  </si>
  <si>
    <t>U157326</t>
  </si>
  <si>
    <t>U157343</t>
  </si>
  <si>
    <t>U157261</t>
  </si>
  <si>
    <t>7889379</t>
  </si>
  <si>
    <t>H195229</t>
  </si>
  <si>
    <t>U157342</t>
  </si>
  <si>
    <t>H180075</t>
  </si>
  <si>
    <t>H180069</t>
  </si>
  <si>
    <t>H180077</t>
  </si>
  <si>
    <t>H171721</t>
  </si>
  <si>
    <t>H171696</t>
  </si>
  <si>
    <t>7876137</t>
  </si>
  <si>
    <t>7876513</t>
  </si>
  <si>
    <t>7873630</t>
  </si>
  <si>
    <t>H148620</t>
  </si>
  <si>
    <t>7876143</t>
  </si>
  <si>
    <t>7876519</t>
  </si>
  <si>
    <t>H171629</t>
  </si>
  <si>
    <t>U152751</t>
  </si>
  <si>
    <t>7880850</t>
  </si>
  <si>
    <t>H189784</t>
  </si>
  <si>
    <t>C135931</t>
  </si>
  <si>
    <t>H189876</t>
  </si>
  <si>
    <t>U153169</t>
  </si>
  <si>
    <t>U153174</t>
  </si>
  <si>
    <t>U153176</t>
  </si>
  <si>
    <t>U153178</t>
  </si>
  <si>
    <t>U153179</t>
  </si>
  <si>
    <t>U153183</t>
  </si>
  <si>
    <t>7880862</t>
  </si>
  <si>
    <t>7885507</t>
  </si>
  <si>
    <t>H189787</t>
  </si>
  <si>
    <t>U153172</t>
  </si>
  <si>
    <t>U153173</t>
  </si>
  <si>
    <t>U153177</t>
  </si>
  <si>
    <t>U153180</t>
  </si>
  <si>
    <t>U153181</t>
  </si>
  <si>
    <t>U153182</t>
  </si>
  <si>
    <t>H189783</t>
  </si>
  <si>
    <t>U157263</t>
  </si>
  <si>
    <t>U157306</t>
  </si>
  <si>
    <t>U157307</t>
  </si>
  <si>
    <t>U157317</t>
  </si>
  <si>
    <t>U157321</t>
  </si>
  <si>
    <t>U157322</t>
  </si>
  <si>
    <t>U157325</t>
  </si>
  <si>
    <t>U157308</t>
  </si>
  <si>
    <t>7882557</t>
  </si>
  <si>
    <t>7882996</t>
  </si>
  <si>
    <t>7883000</t>
  </si>
  <si>
    <t>H177063</t>
  </si>
  <si>
    <t>H177066</t>
  </si>
  <si>
    <t>H177067</t>
  </si>
  <si>
    <t>H177075</t>
  </si>
  <si>
    <t>H176882</t>
  </si>
  <si>
    <t>7880844</t>
  </si>
  <si>
    <t>H189136</t>
  </si>
  <si>
    <t>7880808</t>
  </si>
  <si>
    <t>7882560</t>
  </si>
  <si>
    <t>7884274</t>
  </si>
  <si>
    <t>7880820</t>
  </si>
  <si>
    <t>C136012</t>
  </si>
  <si>
    <t>U153547</t>
  </si>
  <si>
    <t>U153549</t>
  </si>
  <si>
    <t>U153550</t>
  </si>
  <si>
    <t>U153551</t>
  </si>
  <si>
    <t>H189867</t>
  </si>
  <si>
    <t>7880856</t>
  </si>
  <si>
    <t>7884494</t>
  </si>
  <si>
    <t>7884370</t>
  </si>
  <si>
    <t>7881762</t>
  </si>
  <si>
    <t>U153189</t>
  </si>
  <si>
    <t>U153190</t>
  </si>
  <si>
    <t>U153194</t>
  </si>
  <si>
    <t>U153195</t>
  </si>
  <si>
    <t>7885534</t>
  </si>
  <si>
    <t>H188959</t>
  </si>
  <si>
    <t>U153205</t>
  </si>
  <si>
    <t>U153217</t>
  </si>
  <si>
    <t>U153220</t>
  </si>
  <si>
    <t>U153225</t>
  </si>
  <si>
    <t>U153229</t>
  </si>
  <si>
    <t>7880814</t>
  </si>
  <si>
    <t>7881682</t>
  </si>
  <si>
    <t>U158357</t>
  </si>
  <si>
    <t>H189791</t>
  </si>
  <si>
    <t>H189795</t>
  </si>
  <si>
    <t>H195693</t>
  </si>
  <si>
    <t>H189137</t>
  </si>
  <si>
    <t>7886320</t>
  </si>
  <si>
    <t>H177086</t>
  </si>
  <si>
    <t>H177087</t>
  </si>
  <si>
    <t>H177071</t>
  </si>
  <si>
    <t>U152831</t>
  </si>
  <si>
    <t>H189296</t>
  </si>
  <si>
    <t>H189046</t>
  </si>
  <si>
    <t>H189098</t>
  </si>
  <si>
    <t>H176879</t>
  </si>
  <si>
    <t>H189852</t>
  </si>
  <si>
    <t>7884280</t>
  </si>
  <si>
    <t>7884418</t>
  </si>
  <si>
    <t>7882911</t>
  </si>
  <si>
    <t>H189170</t>
  </si>
  <si>
    <t>U153196</t>
  </si>
  <si>
    <t>7876096</t>
  </si>
  <si>
    <t>7880923</t>
  </si>
  <si>
    <t>U153209</t>
  </si>
  <si>
    <t>U148022</t>
  </si>
  <si>
    <t>H189856</t>
  </si>
  <si>
    <t>U153167</t>
  </si>
  <si>
    <t>7880642</t>
  </si>
  <si>
    <t>H189169</t>
  </si>
  <si>
    <t>H177952</t>
  </si>
  <si>
    <t>H178085</t>
  </si>
  <si>
    <t>H176964</t>
  </si>
  <si>
    <t>H176886</t>
  </si>
  <si>
    <t>H139928</t>
  </si>
  <si>
    <t>H176979</t>
  </si>
  <si>
    <t>7881791</t>
  </si>
  <si>
    <t>U152854</t>
  </si>
  <si>
    <t>U152858</t>
  </si>
  <si>
    <t>7875516</t>
  </si>
  <si>
    <t>7875612</t>
  </si>
  <si>
    <t>U153231</t>
  </si>
  <si>
    <t>U158386</t>
  </si>
  <si>
    <t>7885511</t>
  </si>
  <si>
    <t>H189029</t>
  </si>
  <si>
    <t>H195694</t>
  </si>
  <si>
    <t>H195708</t>
  </si>
  <si>
    <t>H177192</t>
  </si>
  <si>
    <t>H177287</t>
  </si>
  <si>
    <t>H177042</t>
  </si>
  <si>
    <t>H177208</t>
  </si>
  <si>
    <t>H177045</t>
  </si>
  <si>
    <t>H177195</t>
  </si>
  <si>
    <t>H177294</t>
  </si>
  <si>
    <t>H178010</t>
  </si>
  <si>
    <t>H178042</t>
  </si>
  <si>
    <t>H180744</t>
  </si>
  <si>
    <t>H176904</t>
  </si>
  <si>
    <t>H177168</t>
  </si>
  <si>
    <t>H177076</t>
  </si>
  <si>
    <t>H177065</t>
  </si>
  <si>
    <t>H177591</t>
  </si>
  <si>
    <t>7873636</t>
  </si>
  <si>
    <t>7876492</t>
  </si>
  <si>
    <t>H177752</t>
  </si>
  <si>
    <t>7876322</t>
  </si>
  <si>
    <t>H189001</t>
  </si>
  <si>
    <t>U152791</t>
  </si>
  <si>
    <t>U152794</t>
  </si>
  <si>
    <t>U152772</t>
  </si>
  <si>
    <t>U148021</t>
  </si>
  <si>
    <t>7876506</t>
  </si>
  <si>
    <t>H177973</t>
  </si>
  <si>
    <t>H177958</t>
  </si>
  <si>
    <t>7875407</t>
  </si>
  <si>
    <t>H177954</t>
  </si>
  <si>
    <t>H177953</t>
  </si>
  <si>
    <t>H178130</t>
  </si>
  <si>
    <t>H178131</t>
  </si>
  <si>
    <t>H177951</t>
  </si>
  <si>
    <t>H178094</t>
  </si>
  <si>
    <t>H178096</t>
  </si>
  <si>
    <t>7882960</t>
  </si>
  <si>
    <t>H140950</t>
  </si>
  <si>
    <t>H153550</t>
  </si>
  <si>
    <t>U153201</t>
  </si>
  <si>
    <t>U158359</t>
  </si>
  <si>
    <t>U158365</t>
  </si>
  <si>
    <t>U158370</t>
  </si>
  <si>
    <t>U158373</t>
  </si>
  <si>
    <t>U158367</t>
  </si>
  <si>
    <t>U157230</t>
  </si>
  <si>
    <t>U158338</t>
  </si>
  <si>
    <t>U158339</t>
  </si>
  <si>
    <t>7882978</t>
  </si>
  <si>
    <t>7882982</t>
  </si>
  <si>
    <t>H177960</t>
  </si>
  <si>
    <t>H178043</t>
  </si>
  <si>
    <t>H177972</t>
  </si>
  <si>
    <t>H178063</t>
  </si>
  <si>
    <t>H178083</t>
  </si>
  <si>
    <t>H178089</t>
  </si>
  <si>
    <t>H178093</t>
  </si>
  <si>
    <t>H178058</t>
  </si>
  <si>
    <t>H178095</t>
  </si>
  <si>
    <t>H178097</t>
  </si>
  <si>
    <t>7876209</t>
  </si>
  <si>
    <t>7874765</t>
  </si>
  <si>
    <t>H189298</t>
  </si>
  <si>
    <t>U152788</t>
  </si>
  <si>
    <t>U152830</t>
  </si>
  <si>
    <t>H189300</t>
  </si>
  <si>
    <t>H188994</t>
  </si>
  <si>
    <t>H189292</t>
  </si>
  <si>
    <t>H188993</t>
  </si>
  <si>
    <t>7884286</t>
  </si>
  <si>
    <t>7882644</t>
  </si>
  <si>
    <t>7884155</t>
  </si>
  <si>
    <t>U152848</t>
  </si>
  <si>
    <t>U152863</t>
  </si>
  <si>
    <t>U152864</t>
  </si>
  <si>
    <t>7881795</t>
  </si>
  <si>
    <t>7881796</t>
  </si>
  <si>
    <t>U152838</t>
  </si>
  <si>
    <t>U152840</t>
  </si>
  <si>
    <t>U152841</t>
  </si>
  <si>
    <t>U152842</t>
  </si>
  <si>
    <t>U152844</t>
  </si>
  <si>
    <t>U152846</t>
  </si>
  <si>
    <t>7886833</t>
  </si>
  <si>
    <t>U157269</t>
  </si>
  <si>
    <t>U158355</t>
  </si>
  <si>
    <t>U152873</t>
  </si>
  <si>
    <t>U152865</t>
  </si>
  <si>
    <t>U158383</t>
  </si>
  <si>
    <t>U158362</t>
  </si>
  <si>
    <t>7888906</t>
  </si>
  <si>
    <t>U157295</t>
  </si>
  <si>
    <t>U157318</t>
  </si>
  <si>
    <t>U157320</t>
  </si>
  <si>
    <t>H189785</t>
  </si>
  <si>
    <t>7883098</t>
  </si>
  <si>
    <t>7883104</t>
  </si>
  <si>
    <t>H180746</t>
  </si>
  <si>
    <t>H180753</t>
  </si>
  <si>
    <t>H176956</t>
  </si>
  <si>
    <t>H181893</t>
  </si>
  <si>
    <t>H181911</t>
  </si>
  <si>
    <t>U149833</t>
  </si>
  <si>
    <t>U149815</t>
  </si>
  <si>
    <t>U149816</t>
  </si>
  <si>
    <t>U149883</t>
  </si>
  <si>
    <t>U149819</t>
  </si>
  <si>
    <t>U149822</t>
  </si>
  <si>
    <t>U149814</t>
  </si>
  <si>
    <t>U149823</t>
  </si>
  <si>
    <t>U150046</t>
  </si>
  <si>
    <t>U153525</t>
  </si>
  <si>
    <t>H176278</t>
  </si>
  <si>
    <t>H176748</t>
  </si>
  <si>
    <t>U152845</t>
  </si>
  <si>
    <t>7884410</t>
  </si>
  <si>
    <t>7884584</t>
  </si>
  <si>
    <t>7884642</t>
  </si>
  <si>
    <t>H189807</t>
  </si>
  <si>
    <t>7884552</t>
  </si>
  <si>
    <t>7884654</t>
  </si>
  <si>
    <t>H189806</t>
  </si>
  <si>
    <t>7884558</t>
  </si>
  <si>
    <t>7884714</t>
  </si>
  <si>
    <t>U152820</t>
  </si>
  <si>
    <t>7880370</t>
  </si>
  <si>
    <t>7880368</t>
  </si>
  <si>
    <t>H189917</t>
  </si>
  <si>
    <t>H181922</t>
  </si>
  <si>
    <t>H189099</t>
  </si>
  <si>
    <t>7880367</t>
  </si>
  <si>
    <t>7880369</t>
  </si>
  <si>
    <t>H176738</t>
  </si>
  <si>
    <t>H176745</t>
  </si>
  <si>
    <t>H176747</t>
  </si>
  <si>
    <t>H176741</t>
  </si>
  <si>
    <t>U157382</t>
  </si>
  <si>
    <t>H189918</t>
  </si>
  <si>
    <t>U157406</t>
  </si>
  <si>
    <t>C136488</t>
  </si>
  <si>
    <t>C136491</t>
  </si>
  <si>
    <t>U157403</t>
  </si>
  <si>
    <t>7889382</t>
  </si>
  <si>
    <t>C136485</t>
  </si>
  <si>
    <t>U157383</t>
  </si>
  <si>
    <t>C136636</t>
  </si>
  <si>
    <t>U158385</t>
  </si>
  <si>
    <t>7876559</t>
  </si>
  <si>
    <t>7877582</t>
  </si>
  <si>
    <t>7885554</t>
  </si>
  <si>
    <t>7889224</t>
  </si>
  <si>
    <t>7889225</t>
  </si>
  <si>
    <t>7886008</t>
  </si>
  <si>
    <t>C136492</t>
  </si>
  <si>
    <t>U157377</t>
  </si>
  <si>
    <t>7886180</t>
  </si>
  <si>
    <t>H189805</t>
  </si>
  <si>
    <t>H189810</t>
  </si>
  <si>
    <t>7881172</t>
  </si>
  <si>
    <t>H189901</t>
  </si>
  <si>
    <t>H181912</t>
  </si>
  <si>
    <t>H181916</t>
  </si>
  <si>
    <t>7885947</t>
  </si>
  <si>
    <t>7885978</t>
  </si>
  <si>
    <t>7889097</t>
  </si>
  <si>
    <t>7889226</t>
  </si>
  <si>
    <t>C136470</t>
  </si>
  <si>
    <t>U157271</t>
  </si>
  <si>
    <t>U149813</t>
  </si>
  <si>
    <t>U149880</t>
  </si>
  <si>
    <t>U149865</t>
  </si>
  <si>
    <t>U149835</t>
  </si>
  <si>
    <t>U149893</t>
  </si>
  <si>
    <t>C135225</t>
  </si>
  <si>
    <t>C135227</t>
  </si>
  <si>
    <t>U152815</t>
  </si>
  <si>
    <t>U152790</t>
  </si>
  <si>
    <t>7880450</t>
  </si>
  <si>
    <t>H189809</t>
  </si>
  <si>
    <t>U153168</t>
  </si>
  <si>
    <t>U153186</t>
  </si>
  <si>
    <t>7880332</t>
  </si>
  <si>
    <t>U154484</t>
  </si>
  <si>
    <t>H189897</t>
  </si>
  <si>
    <t>H189928</t>
  </si>
  <si>
    <t>U152753</t>
  </si>
  <si>
    <t>H189786</t>
  </si>
  <si>
    <t>H189895</t>
  </si>
  <si>
    <t>H189929</t>
  </si>
  <si>
    <t>U154045</t>
  </si>
  <si>
    <t>U154046</t>
  </si>
  <si>
    <t>U154048</t>
  </si>
  <si>
    <t>U154047</t>
  </si>
  <si>
    <t>U154050</t>
  </si>
  <si>
    <t>U154049</t>
  </si>
  <si>
    <t>U154044</t>
  </si>
  <si>
    <t>U157287</t>
  </si>
  <si>
    <t>U158350</t>
  </si>
  <si>
    <t>U157278</t>
  </si>
  <si>
    <t>U158382</t>
  </si>
  <si>
    <t>U157283</t>
  </si>
  <si>
    <t>7886334</t>
  </si>
  <si>
    <t>H180748</t>
  </si>
  <si>
    <t>H180749</t>
  </si>
  <si>
    <t>H180751</t>
  </si>
  <si>
    <t>7885989</t>
  </si>
  <si>
    <t>7886350</t>
  </si>
  <si>
    <t>7886056</t>
  </si>
  <si>
    <t>H189792</t>
  </si>
  <si>
    <t>7886357</t>
  </si>
  <si>
    <t>7886062</t>
  </si>
  <si>
    <t>7886367</t>
  </si>
  <si>
    <t>H177073</t>
  </si>
  <si>
    <t>H171718</t>
  </si>
  <si>
    <t>H171723</t>
  </si>
  <si>
    <t>H171702</t>
  </si>
  <si>
    <t>H177070</t>
  </si>
  <si>
    <t>7875481</t>
  </si>
  <si>
    <t>C134980</t>
  </si>
  <si>
    <t>U146447</t>
  </si>
  <si>
    <t>7873628</t>
  </si>
  <si>
    <t>7866468</t>
  </si>
  <si>
    <t>7866160</t>
  </si>
  <si>
    <t>7875022</t>
  </si>
  <si>
    <t>7875112</t>
  </si>
  <si>
    <t>7876109</t>
  </si>
  <si>
    <t>H189021</t>
  </si>
  <si>
    <t>U152843</t>
  </si>
  <si>
    <t>7880830</t>
  </si>
  <si>
    <t>7880908</t>
  </si>
  <si>
    <t>H189794</t>
  </si>
  <si>
    <t>H189845</t>
  </si>
  <si>
    <t>7880896</t>
  </si>
  <si>
    <t>7884678</t>
  </si>
  <si>
    <t>H178082</t>
  </si>
  <si>
    <t>H178084</t>
  </si>
  <si>
    <t>H178086</t>
  </si>
  <si>
    <t>H178088</t>
  </si>
  <si>
    <t>H177956</t>
  </si>
  <si>
    <t>7884364</t>
  </si>
  <si>
    <t>U153213</t>
  </si>
  <si>
    <t>U153214</t>
  </si>
  <si>
    <t>U153219</t>
  </si>
  <si>
    <t>U153230</t>
  </si>
  <si>
    <t>U153232</t>
  </si>
  <si>
    <t>H177594</t>
  </si>
  <si>
    <t>7882553</t>
  </si>
  <si>
    <t>7886741</t>
  </si>
  <si>
    <t>H178039</t>
  </si>
  <si>
    <t>H178133</t>
  </si>
  <si>
    <t>H178135</t>
  </si>
  <si>
    <t>H177126</t>
  </si>
  <si>
    <t>H177621</t>
  </si>
  <si>
    <t>7873631</t>
  </si>
  <si>
    <t>7876328</t>
  </si>
  <si>
    <t>7876316</t>
  </si>
  <si>
    <t>H189019</t>
  </si>
  <si>
    <t>U152836</t>
  </si>
  <si>
    <t>U148139</t>
  </si>
  <si>
    <t>U148156</t>
  </si>
  <si>
    <t>U149019</t>
  </si>
  <si>
    <t>U152780</t>
  </si>
  <si>
    <t>H177751</t>
  </si>
  <si>
    <t>7882539</t>
  </si>
  <si>
    <t>7884268</t>
  </si>
  <si>
    <t>7880790</t>
  </si>
  <si>
    <t>H176888</t>
  </si>
  <si>
    <t>H177957</t>
  </si>
  <si>
    <t>H177961</t>
  </si>
  <si>
    <t>U153207</t>
  </si>
  <si>
    <t>U153208</t>
  </si>
  <si>
    <t>7880778</t>
  </si>
  <si>
    <t>7881645</t>
  </si>
  <si>
    <t>U153199</t>
  </si>
  <si>
    <t>U153200</t>
  </si>
  <si>
    <t>U153202</t>
  </si>
  <si>
    <t>U153203</t>
  </si>
  <si>
    <t>U158361</t>
  </si>
  <si>
    <t>U158363</t>
  </si>
  <si>
    <t>7882984</t>
  </si>
  <si>
    <t>7882988</t>
  </si>
  <si>
    <t>7862291</t>
  </si>
  <si>
    <t>U130865</t>
  </si>
  <si>
    <t>U130083</t>
  </si>
  <si>
    <t>U130868</t>
  </si>
  <si>
    <t>U130864</t>
  </si>
  <si>
    <t>U120512</t>
  </si>
  <si>
    <t>H122203</t>
  </si>
  <si>
    <t>H122228</t>
  </si>
  <si>
    <t>H121057</t>
  </si>
  <si>
    <t>C131568</t>
  </si>
  <si>
    <t>7853125</t>
  </si>
  <si>
    <t>H122176</t>
  </si>
  <si>
    <t>7856237</t>
  </si>
  <si>
    <t>7856243</t>
  </si>
  <si>
    <t>7856249</t>
  </si>
  <si>
    <t>H133053</t>
  </si>
  <si>
    <t>U124850</t>
  </si>
  <si>
    <t>U124904</t>
  </si>
  <si>
    <t>U124905</t>
  </si>
  <si>
    <t>U124906</t>
  </si>
  <si>
    <t>U130395</t>
  </si>
  <si>
    <t>U130396</t>
  </si>
  <si>
    <t>U130398</t>
  </si>
  <si>
    <t>U130408</t>
  </si>
  <si>
    <t>U130409</t>
  </si>
  <si>
    <t>U130410</t>
  </si>
  <si>
    <t>H126518</t>
  </si>
  <si>
    <t>U130399</t>
  </si>
  <si>
    <t>H149054</t>
  </si>
  <si>
    <t>U135106</t>
  </si>
  <si>
    <t>U135229</t>
  </si>
  <si>
    <t>U135232</t>
  </si>
  <si>
    <t>U135277</t>
  </si>
  <si>
    <t>U135109</t>
  </si>
  <si>
    <t>U135110</t>
  </si>
  <si>
    <t>U135231</t>
  </si>
  <si>
    <t>U137290</t>
  </si>
  <si>
    <t>7855298</t>
  </si>
  <si>
    <t>U137288</t>
  </si>
  <si>
    <t>H177109</t>
  </si>
  <si>
    <t>H177257</t>
  </si>
  <si>
    <t>7873814</t>
  </si>
  <si>
    <t>U148129</t>
  </si>
  <si>
    <t>U124227</t>
  </si>
  <si>
    <t>U124203</t>
  </si>
  <si>
    <t>U124254</t>
  </si>
  <si>
    <t>U123949</t>
  </si>
  <si>
    <t>U124264</t>
  </si>
  <si>
    <t>H113145</t>
  </si>
  <si>
    <t>U124223</t>
  </si>
  <si>
    <t>H114462</t>
  </si>
  <si>
    <t>U128244</t>
  </si>
  <si>
    <t>H148662</t>
  </si>
  <si>
    <t>U129973</t>
  </si>
  <si>
    <t>U129996</t>
  </si>
  <si>
    <t>U130091</t>
  </si>
  <si>
    <t>U130085</t>
  </si>
  <si>
    <t>U129965</t>
  </si>
  <si>
    <t>U130087</t>
  </si>
  <si>
    <t>U129969</t>
  </si>
  <si>
    <t>H148985</t>
  </si>
  <si>
    <t>U135864</t>
  </si>
  <si>
    <t>C133060</t>
  </si>
  <si>
    <t>U137287</t>
  </si>
  <si>
    <t>U135871</t>
  </si>
  <si>
    <t>H148609</t>
  </si>
  <si>
    <t>U133645</t>
  </si>
  <si>
    <t>7866731</t>
  </si>
  <si>
    <t>7866856</t>
  </si>
  <si>
    <t>U141127</t>
  </si>
  <si>
    <t>U141209</t>
  </si>
  <si>
    <t>H149055</t>
  </si>
  <si>
    <t>U141197</t>
  </si>
  <si>
    <t>U141225</t>
  </si>
  <si>
    <t>U147945</t>
  </si>
  <si>
    <t>U147951</t>
  </si>
  <si>
    <t>H153518</t>
  </si>
  <si>
    <t>7877613</t>
  </si>
  <si>
    <t>7877622</t>
  </si>
  <si>
    <t>U148106</t>
  </si>
  <si>
    <t>U148107</t>
  </si>
  <si>
    <t>U148112</t>
  </si>
  <si>
    <t>U148119</t>
  </si>
  <si>
    <t>U123027</t>
  </si>
  <si>
    <t>U123111</t>
  </si>
  <si>
    <t>H132464</t>
  </si>
  <si>
    <t>U123196</t>
  </si>
  <si>
    <t>U123265</t>
  </si>
  <si>
    <t>U123267</t>
  </si>
  <si>
    <t>U129989</t>
  </si>
  <si>
    <t>U130027</t>
  </si>
  <si>
    <t>H148670</t>
  </si>
  <si>
    <t>H148653</t>
  </si>
  <si>
    <t>H148680</t>
  </si>
  <si>
    <t>U129942</t>
  </si>
  <si>
    <t>U130011</t>
  </si>
  <si>
    <t>U130078</t>
  </si>
  <si>
    <t>U130873</t>
  </si>
  <si>
    <t>U130077</t>
  </si>
  <si>
    <t>U130866</t>
  </si>
  <si>
    <t>U129964</t>
  </si>
  <si>
    <t>U146435</t>
  </si>
  <si>
    <t>7876155</t>
  </si>
  <si>
    <t>H171620</t>
  </si>
  <si>
    <t>7875804</t>
  </si>
  <si>
    <t>H171623</t>
  </si>
  <si>
    <t>7877670</t>
  </si>
  <si>
    <t>7878251</t>
  </si>
  <si>
    <t>7877658</t>
  </si>
  <si>
    <t>H171605</t>
  </si>
  <si>
    <t>H148618</t>
  </si>
  <si>
    <t>7877267</t>
  </si>
  <si>
    <t>7878463</t>
  </si>
  <si>
    <t>U123028</t>
  </si>
  <si>
    <t>U122941</t>
  </si>
  <si>
    <t>U129975</t>
  </si>
  <si>
    <t>U128240</t>
  </si>
  <si>
    <t>U129982</t>
  </si>
  <si>
    <t>7862738</t>
  </si>
  <si>
    <t>U129943</t>
  </si>
  <si>
    <t>U130093</t>
  </si>
  <si>
    <t>U130092</t>
  </si>
  <si>
    <t>U130877</t>
  </si>
  <si>
    <t>U130879</t>
  </si>
  <si>
    <t>U130088</t>
  </si>
  <si>
    <t>U146426</t>
  </si>
  <si>
    <t>U146405</t>
  </si>
  <si>
    <t>7875828</t>
  </si>
  <si>
    <t>7877249</t>
  </si>
  <si>
    <t>H171621</t>
  </si>
  <si>
    <t>7877502</t>
  </si>
  <si>
    <t>7878191</t>
  </si>
  <si>
    <t>U130094</t>
  </si>
  <si>
    <t>H176889</t>
  </si>
  <si>
    <t>H177053</t>
  </si>
  <si>
    <t>H177127</t>
  </si>
  <si>
    <t>XU094144</t>
  </si>
  <si>
    <t>XU095293</t>
  </si>
  <si>
    <t>XU094474</t>
  </si>
  <si>
    <t>XU095302</t>
  </si>
  <si>
    <t>XU095303</t>
  </si>
  <si>
    <t>U159735</t>
  </si>
  <si>
    <t>U159639</t>
  </si>
  <si>
    <t>U159650</t>
  </si>
  <si>
    <t>7889513</t>
  </si>
  <si>
    <t>H197316</t>
  </si>
  <si>
    <t>U159636</t>
  </si>
  <si>
    <t>U159628</t>
  </si>
  <si>
    <t>U159647</t>
  </si>
  <si>
    <t>H171625</t>
  </si>
  <si>
    <t>7881644</t>
  </si>
  <si>
    <t>H171752</t>
  </si>
  <si>
    <t>H171759</t>
  </si>
  <si>
    <t>H189023</t>
  </si>
  <si>
    <t>7886352</t>
  </si>
  <si>
    <t>H189006</t>
  </si>
  <si>
    <t>H189003</t>
  </si>
  <si>
    <t>7881412</t>
  </si>
  <si>
    <t>7883017</t>
  </si>
  <si>
    <t>H188987</t>
  </si>
  <si>
    <t>C135846</t>
  </si>
  <si>
    <t>C135847</t>
  </si>
  <si>
    <t>C135848</t>
  </si>
  <si>
    <t>H177200</t>
  </si>
  <si>
    <t>H177322</t>
  </si>
  <si>
    <t>H177329</t>
  </si>
  <si>
    <t>H177330</t>
  </si>
  <si>
    <t>H176985</t>
  </si>
  <si>
    <t>H177180</t>
  </si>
  <si>
    <t>H177336</t>
  </si>
  <si>
    <t>H177337</t>
  </si>
  <si>
    <t>H176991</t>
  </si>
  <si>
    <t>H177213</t>
  </si>
  <si>
    <t>H176994</t>
  </si>
  <si>
    <t>H177214</t>
  </si>
  <si>
    <t>H177179</t>
  </si>
  <si>
    <t>H177187</t>
  </si>
  <si>
    <t>H177255</t>
  </si>
  <si>
    <t>H176917</t>
  </si>
  <si>
    <t>H177048</t>
  </si>
  <si>
    <t>H177101</t>
  </si>
  <si>
    <t>H177138</t>
  </si>
  <si>
    <t>H177023</t>
  </si>
  <si>
    <t>H177105</t>
  </si>
  <si>
    <t>H177203</t>
  </si>
  <si>
    <t>H177253</t>
  </si>
  <si>
    <t>H176921</t>
  </si>
  <si>
    <t>H177150</t>
  </si>
  <si>
    <t>H177205</t>
  </si>
  <si>
    <t>H177173</t>
  </si>
  <si>
    <t>H177217</t>
  </si>
  <si>
    <t>H177254</t>
  </si>
  <si>
    <t>H177104</t>
  </si>
  <si>
    <t>H177154</t>
  </si>
  <si>
    <t>H189007</t>
  </si>
  <si>
    <t>7882073</t>
  </si>
  <si>
    <t>7882212</t>
  </si>
  <si>
    <t>7882217</t>
  </si>
  <si>
    <t>7882222</t>
  </si>
  <si>
    <t>7882085</t>
  </si>
  <si>
    <t>H176951</t>
  </si>
  <si>
    <t>H174964</t>
  </si>
  <si>
    <t>H189904</t>
  </si>
  <si>
    <t>H189839</t>
  </si>
  <si>
    <t>H189113</t>
  </si>
  <si>
    <t>H189168</t>
  </si>
  <si>
    <t>H189256</t>
  </si>
  <si>
    <t>7881287</t>
  </si>
  <si>
    <t>H189257</t>
  </si>
  <si>
    <t>H188984</t>
  </si>
  <si>
    <t>7886744</t>
  </si>
  <si>
    <t>H188989</t>
  </si>
  <si>
    <t>H189241</t>
  </si>
  <si>
    <t>H180085</t>
  </si>
  <si>
    <t>H177270</t>
  </si>
  <si>
    <t>H177022</t>
  </si>
  <si>
    <t>H177273</t>
  </si>
  <si>
    <t>H177274</t>
  </si>
  <si>
    <t>H174619</t>
  </si>
  <si>
    <t>H174657</t>
  </si>
  <si>
    <t>H174963</t>
  </si>
  <si>
    <t>H174838</t>
  </si>
  <si>
    <t>H174965</t>
  </si>
  <si>
    <t>H171709</t>
  </si>
  <si>
    <t>H188977</t>
  </si>
  <si>
    <t>H180087</t>
  </si>
  <si>
    <t>H171708</t>
  </si>
  <si>
    <t>H171691</t>
  </si>
  <si>
    <t>H171753</t>
  </si>
  <si>
    <t>H171745</t>
  </si>
  <si>
    <t>7881177</t>
  </si>
  <si>
    <t>7881183</t>
  </si>
  <si>
    <t>7882546</t>
  </si>
  <si>
    <t>C135934</t>
  </si>
  <si>
    <t>C135930</t>
  </si>
  <si>
    <t>H189869</t>
  </si>
  <si>
    <t>H189871</t>
  </si>
  <si>
    <t>H189874</t>
  </si>
  <si>
    <t>H189890</t>
  </si>
  <si>
    <t>7882556</t>
  </si>
  <si>
    <t>7886726</t>
  </si>
  <si>
    <t>H189139</t>
  </si>
  <si>
    <t>H189143</t>
  </si>
  <si>
    <t>H178018</t>
  </si>
  <si>
    <t>7881152</t>
  </si>
  <si>
    <t>7882389</t>
  </si>
  <si>
    <t>H189171</t>
  </si>
  <si>
    <t>H189104</t>
  </si>
  <si>
    <t>H189106</t>
  </si>
  <si>
    <t>H177097</t>
  </si>
  <si>
    <t>H177646</t>
  </si>
  <si>
    <t>H178125</t>
  </si>
  <si>
    <t>H178127</t>
  </si>
  <si>
    <t>H178139</t>
  </si>
  <si>
    <t>H178090</t>
  </si>
  <si>
    <t>H178092</t>
  </si>
  <si>
    <t>H178075</t>
  </si>
  <si>
    <t>H178098</t>
  </si>
  <si>
    <t>7882630</t>
  </si>
  <si>
    <t>H189848</t>
  </si>
  <si>
    <t>H189849</t>
  </si>
  <si>
    <t>7881180</t>
  </si>
  <si>
    <t>C135993</t>
  </si>
  <si>
    <t>7882949</t>
  </si>
  <si>
    <t>7882955</t>
  </si>
  <si>
    <t>H189916</t>
  </si>
  <si>
    <t>7881403</t>
  </si>
  <si>
    <t>7881755</t>
  </si>
  <si>
    <t>7881786</t>
  </si>
  <si>
    <t>H189910</t>
  </si>
  <si>
    <t>H189913</t>
  </si>
  <si>
    <t>7883400</t>
  </si>
  <si>
    <t>7883406</t>
  </si>
  <si>
    <t>7881343</t>
  </si>
  <si>
    <t>7881349</t>
  </si>
  <si>
    <t>7881759</t>
  </si>
  <si>
    <t>7881785</t>
  </si>
  <si>
    <t>7883653</t>
  </si>
  <si>
    <t>7883659</t>
  </si>
  <si>
    <t>7886298</t>
  </si>
  <si>
    <t>H189138</t>
  </si>
  <si>
    <t>H189299</t>
  </si>
  <si>
    <t>7881379</t>
  </si>
  <si>
    <t>7881789</t>
  </si>
  <si>
    <t>7881238</t>
  </si>
  <si>
    <t>7886304</t>
  </si>
  <si>
    <t>7881415</t>
  </si>
  <si>
    <t>7883576</t>
  </si>
  <si>
    <t>7883582</t>
  </si>
  <si>
    <t>H188999</t>
  </si>
  <si>
    <t>C135851</t>
  </si>
  <si>
    <t>H181895</t>
  </si>
  <si>
    <t>H181899</t>
  </si>
  <si>
    <t>H181900</t>
  </si>
  <si>
    <t>H181901</t>
  </si>
  <si>
    <t>H181904</t>
  </si>
  <si>
    <t>H181905</t>
  </si>
  <si>
    <t>H181906</t>
  </si>
  <si>
    <t>H181909</t>
  </si>
  <si>
    <t>H181908</t>
  </si>
  <si>
    <t>H181907</t>
  </si>
  <si>
    <t>H181913</t>
  </si>
  <si>
    <t>H181914</t>
  </si>
  <si>
    <t>H181915</t>
  </si>
  <si>
    <t>H181917</t>
  </si>
  <si>
    <t>H181918</t>
  </si>
  <si>
    <t>H181920</t>
  </si>
  <si>
    <t>H181919</t>
  </si>
  <si>
    <t>7886644</t>
  </si>
  <si>
    <t>H189864</t>
  </si>
  <si>
    <t>7886642</t>
  </si>
  <si>
    <t>7886674</t>
  </si>
  <si>
    <t>7886662</t>
  </si>
  <si>
    <t>H177009</t>
  </si>
  <si>
    <t>H177057</t>
  </si>
  <si>
    <t>H177052</t>
  </si>
  <si>
    <t>H177639</t>
  </si>
  <si>
    <t>7881269</t>
  </si>
  <si>
    <t>U158364</t>
  </si>
  <si>
    <t>U158377</t>
  </si>
  <si>
    <t>C136635</t>
  </si>
  <si>
    <t>U158356</t>
  </si>
  <si>
    <t>U158358</t>
  </si>
  <si>
    <t>U158360</t>
  </si>
  <si>
    <t>U158369</t>
  </si>
  <si>
    <t>U158371</t>
  </si>
  <si>
    <t>U158372</t>
  </si>
  <si>
    <t>U158375</t>
  </si>
  <si>
    <t>U158380</t>
  </si>
  <si>
    <t>U158381</t>
  </si>
  <si>
    <t>H195695</t>
  </si>
  <si>
    <t>U158368</t>
  </si>
  <si>
    <t>U158378</t>
  </si>
  <si>
    <t>U158366</t>
  </si>
  <si>
    <t>U158374</t>
  </si>
  <si>
    <t>U158376</t>
  </si>
  <si>
    <t>U158379</t>
  </si>
  <si>
    <t>U158353</t>
  </si>
  <si>
    <t>H195741</t>
  </si>
  <si>
    <t>H195742</t>
  </si>
  <si>
    <t>H195743</t>
  </si>
  <si>
    <t>U158346</t>
  </si>
  <si>
    <t>C136561</t>
  </si>
  <si>
    <t>C136498</t>
  </si>
  <si>
    <t>H195384</t>
  </si>
  <si>
    <t>H195436</t>
  </si>
  <si>
    <t>H195504</t>
  </si>
  <si>
    <t>H195523</t>
  </si>
  <si>
    <t>C136535</t>
  </si>
  <si>
    <t>U157700</t>
  </si>
  <si>
    <t>U157701</t>
  </si>
  <si>
    <t>C136539</t>
  </si>
  <si>
    <t>U157704</t>
  </si>
  <si>
    <t>H195211</t>
  </si>
  <si>
    <t>H195216</t>
  </si>
  <si>
    <t>C136468</t>
  </si>
  <si>
    <t>C136469</t>
  </si>
  <si>
    <t>H195219</t>
  </si>
  <si>
    <t>H195236</t>
  </si>
  <si>
    <t>U157254</t>
  </si>
  <si>
    <t>U157284</t>
  </si>
  <si>
    <t>U157330</t>
  </si>
  <si>
    <t>U157337</t>
  </si>
  <si>
    <t>U157339</t>
  </si>
  <si>
    <t>U157334</t>
  </si>
  <si>
    <t>C136466</t>
  </si>
  <si>
    <t>U157233</t>
  </si>
  <si>
    <t>U157311</t>
  </si>
  <si>
    <t>U157316</t>
  </si>
  <si>
    <t>H195208</t>
  </si>
  <si>
    <t>H195207</t>
  </si>
  <si>
    <t>H195217</t>
  </si>
  <si>
    <t>H195232</t>
  </si>
  <si>
    <t>H195225</t>
  </si>
  <si>
    <t>U157332</t>
  </si>
  <si>
    <t>U157340</t>
  </si>
  <si>
    <t>U157331</t>
  </si>
  <si>
    <t>U157338</t>
  </si>
  <si>
    <t>7888800</t>
  </si>
  <si>
    <t>7889374</t>
  </si>
  <si>
    <t>7889380</t>
  </si>
  <si>
    <t>C136472</t>
  </si>
  <si>
    <t>H195233</t>
  </si>
  <si>
    <t>H195234</t>
  </si>
  <si>
    <t>H195237</t>
  </si>
  <si>
    <t>H195243</t>
  </si>
  <si>
    <t>H195244</t>
  </si>
  <si>
    <t>U157310</t>
  </si>
  <si>
    <t>7888825</t>
  </si>
  <si>
    <t>7889390</t>
  </si>
  <si>
    <t>C136473</t>
  </si>
  <si>
    <t>H195241</t>
  </si>
  <si>
    <t>H195245</t>
  </si>
  <si>
    <t>U157259</t>
  </si>
  <si>
    <t>U157305</t>
  </si>
  <si>
    <t>H195251</t>
  </si>
  <si>
    <t>H195299</t>
  </si>
  <si>
    <t>H195252</t>
  </si>
  <si>
    <t>EUROSTAR, INC. / WSS</t>
  </si>
  <si>
    <t>INTERSPORT DEUTSCHLAND EG</t>
  </si>
  <si>
    <t>Vietnam</t>
  </si>
  <si>
    <t>MAA SPORTS SINGAPORE PTE. LTD.</t>
  </si>
  <si>
    <t>Hong Kong SAR</t>
  </si>
  <si>
    <t>KERRY WAREHOUSE (TSUEN WAN)</t>
  </si>
  <si>
    <t>HIBBETT SPORTING GOODS # 14</t>
  </si>
  <si>
    <t>KLNME FREIGHT SERVICES L.L.C.</t>
  </si>
  <si>
    <t>NEW BALANCE KOREA CO., LTD.</t>
  </si>
  <si>
    <t>SoftMoc 901</t>
  </si>
  <si>
    <t>Panama</t>
  </si>
  <si>
    <t>BALANCE MANAGEMENT CORPORATION</t>
  </si>
  <si>
    <t>New Zealand</t>
  </si>
  <si>
    <t>NEW BALANCE NEW ZEALAND LTD</t>
  </si>
  <si>
    <t>ARKET / &amp;OTHER STORIES</t>
  </si>
  <si>
    <t>JD SPORTS FASHION BV HEERLE</t>
  </si>
  <si>
    <t>Brazil</t>
  </si>
  <si>
    <t>NEW BRASIL ARTIGOS ESPORTIVOS LTDA</t>
  </si>
  <si>
    <t>Argentina</t>
  </si>
  <si>
    <t>DASS ELDORADO SRL</t>
  </si>
  <si>
    <t>Turkey</t>
  </si>
  <si>
    <t>NBI GIYIM AS</t>
  </si>
  <si>
    <t>JAKO ENTERPRISES LTD (PHILLY DC)</t>
  </si>
  <si>
    <t>Kazakhstan</t>
  </si>
  <si>
    <t>LLP ALBERT TRADING</t>
  </si>
  <si>
    <t>Ukraine</t>
  </si>
  <si>
    <t>TITAN SPORT LLC</t>
  </si>
  <si>
    <t>VAN HAREN</t>
  </si>
  <si>
    <t>JDFL MH</t>
  </si>
  <si>
    <t>Israel</t>
  </si>
  <si>
    <t>SILON SPORT LTD</t>
  </si>
  <si>
    <t>IRELAND</t>
  </si>
  <si>
    <t>JOHN DAVID SPORTS FASHION (IRL) LTD</t>
  </si>
  <si>
    <t>Serbia</t>
  </si>
  <si>
    <t>Peru</t>
  </si>
  <si>
    <t>KS DEPOR S.A.</t>
  </si>
  <si>
    <t>FGL SPORTS LTEE</t>
  </si>
  <si>
    <t>ZAPPOS MERCHANDISING INC.</t>
  </si>
  <si>
    <t>Orva Distribution</t>
  </si>
  <si>
    <t>Y &amp; W ENTERPRISES</t>
  </si>
  <si>
    <t>TOWN SHOES LIMITED (197 NLS)</t>
  </si>
  <si>
    <t>SHOES FOR CREWS, LLC</t>
  </si>
  <si>
    <t>FOOT LOCKER, INC. DC #71</t>
  </si>
  <si>
    <t>CHAMPS SPORTS</t>
  </si>
  <si>
    <t>FOOTLOCKER EUROPE D.C.</t>
  </si>
  <si>
    <t>CHAMPS #86</t>
  </si>
  <si>
    <t>BIG 5 CORPORATION</t>
  </si>
  <si>
    <t>FGL SPORTS LTD - SPORT CHEK</t>
  </si>
  <si>
    <t>SC GTA DC #3049</t>
  </si>
  <si>
    <t>SPORTS DIRECT.COM RETAIL NL</t>
  </si>
  <si>
    <t>FLE UK - CEVA LOGISTICS</t>
  </si>
  <si>
    <t>JD THAILAND (FOR MALAYSIA)</t>
  </si>
  <si>
    <t>STORES SPECIALISTS INC. (FOR NBSG)</t>
  </si>
  <si>
    <t>QTY</t>
  </si>
  <si>
    <t>CLR WIDTH</t>
  </si>
  <si>
    <t>M</t>
  </si>
  <si>
    <t>W</t>
  </si>
  <si>
    <t>B</t>
  </si>
  <si>
    <t>D</t>
  </si>
  <si>
    <t>XW</t>
  </si>
  <si>
    <t>2E</t>
  </si>
  <si>
    <t>4E</t>
  </si>
  <si>
    <t>PASSED 08/14</t>
  </si>
  <si>
    <t>PASSED 08/26</t>
  </si>
  <si>
    <t>PASSED 08/04</t>
  </si>
  <si>
    <t>PASSED 08/12</t>
  </si>
  <si>
    <t>PASSED 08/06</t>
  </si>
  <si>
    <t>PASSED 08/19</t>
  </si>
  <si>
    <t>PASSED 09/18</t>
  </si>
  <si>
    <t>PASSED 08/31</t>
  </si>
  <si>
    <t>PASSED 08/11</t>
  </si>
  <si>
    <t>PASSED 08/13</t>
  </si>
  <si>
    <t>PASSED 09/08</t>
  </si>
  <si>
    <t>PASSED 09/01</t>
  </si>
  <si>
    <t>PASSED 08/24</t>
  </si>
  <si>
    <t>PASSED 08/28</t>
  </si>
  <si>
    <t>PASSED 09/07</t>
  </si>
  <si>
    <t>PASSED 08/27</t>
  </si>
  <si>
    <t>PASSED 09/10</t>
  </si>
  <si>
    <t>PASSED 09/09</t>
  </si>
  <si>
    <t>PASSED 09/21</t>
  </si>
  <si>
    <t>PASSED 09/02</t>
  </si>
  <si>
    <t>PASSED 09/15</t>
  </si>
  <si>
    <t>PASSED 09/22</t>
  </si>
  <si>
    <t>PASSED 09/16</t>
  </si>
  <si>
    <t>PASSED 09/04</t>
  </si>
  <si>
    <t>PASSED 09/11</t>
  </si>
  <si>
    <t>PASSED 09/14</t>
  </si>
  <si>
    <t>PASSED 09/17</t>
  </si>
  <si>
    <t>PASSED 09/23</t>
  </si>
  <si>
    <t>GC9060ER-M</t>
  </si>
  <si>
    <t>U57432M-D</t>
  </si>
  <si>
    <t>PASSED 09/24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</si>
</sst>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,##0"/>
    <numFmt numFmtId="165" formatCode="[$-409]d\-mmm\-yy;@"/>
    <numFmt numFmtId="166" formatCode="m/d/yy\ h:mm;@"/>
    <numFmt numFmtId="167" formatCode="m/d;@"/>
    <numFmt numFmtId="168" formatCode="0;\-0;\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name val="Calibri"/>
      <family val="2"/>
      <scheme val="minor"/>
    </font>
    <font>
      <sz val="15"/>
      <name val="Calibri"/>
      <family val="2"/>
      <scheme val="minor"/>
    </font>
    <font>
      <sz val="12"/>
      <name val="Calibri"/>
      <family val="2"/>
    </font>
    <font>
      <sz val="1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b/>
      <sz val="15"/>
      <color rgb="FF0000FF"/>
      <name val="Calibri"/>
      <family val="2"/>
      <scheme val="minor"/>
    </font>
    <font>
      <sz val="15"/>
      <color rgb="FF0000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CCFF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49">
    <xf numFmtId="0" fontId="0" fillId="0" borderId="0" xfId="0"/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0" xfId="0" applyNumberForma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2" xfId="0" applyFill="1" applyBorder="1"/>
    <xf numFmtId="0" fontId="1" fillId="3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wrapText="1"/>
    </xf>
    <xf numFmtId="165" fontId="1" fillId="3" borderId="2" xfId="0" applyNumberFormat="1" applyFont="1" applyFill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164" fontId="0" fillId="0" borderId="8" xfId="0" applyNumberFormat="1" applyFont="1" applyBorder="1" applyAlignment="1">
      <alignment horizontal="center" vertical="center"/>
    </xf>
    <xf numFmtId="166" fontId="1" fillId="2" borderId="7" xfId="0" applyNumberFormat="1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/>
    </xf>
    <xf numFmtId="166" fontId="0" fillId="0" borderId="6" xfId="0" applyNumberFormat="1" applyFont="1" applyBorder="1" applyAlignment="1">
      <alignment horizontal="center" vertical="center"/>
    </xf>
    <xf numFmtId="166" fontId="0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/>
    </xf>
    <xf numFmtId="164" fontId="0" fillId="0" borderId="1" xfId="0" applyNumberFormat="1" applyFont="1" applyBorder="1" applyAlignment="1" applyProtection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7" fontId="0" fillId="0" borderId="0" xfId="0" applyNumberFormat="1"/>
    <xf numFmtId="166" fontId="0" fillId="0" borderId="2" xfId="0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/>
    </xf>
    <xf numFmtId="164" fontId="0" fillId="0" borderId="8" xfId="0" applyNumberFormat="1" applyFont="1" applyBorder="1" applyAlignment="1" applyProtection="1">
      <alignment horizontal="center" vertical="center"/>
    </xf>
    <xf numFmtId="168" fontId="3" fillId="5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68" fontId="3" fillId="5" borderId="2" xfId="1" applyNumberFormat="1" applyFont="1" applyFill="1" applyBorder="1" applyAlignment="1">
      <alignment horizontal="center" vertical="center" wrapText="1"/>
    </xf>
    <xf numFmtId="168" fontId="3" fillId="5" borderId="11" xfId="1" applyNumberFormat="1" applyFont="1" applyFill="1" applyBorder="1" applyAlignment="1">
      <alignment horizontal="center" vertical="center" wrapText="1"/>
    </xf>
    <xf numFmtId="168" fontId="3" fillId="5" borderId="12" xfId="0" applyNumberFormat="1" applyFont="1" applyFill="1" applyBorder="1" applyAlignment="1">
      <alignment horizontal="center" vertical="center" wrapText="1"/>
    </xf>
    <xf numFmtId="168" fontId="9" fillId="5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68" fontId="8" fillId="5" borderId="2" xfId="0" applyNumberFormat="1" applyFont="1" applyFill="1" applyBorder="1" applyAlignment="1">
      <alignment horizontal="center" vertical="center" wrapText="1"/>
    </xf>
    <xf numFmtId="168" fontId="2" fillId="5" borderId="2" xfId="0" applyNumberFormat="1" applyFont="1" applyFill="1" applyBorder="1" applyAlignment="1">
      <alignment horizontal="center" vertical="center" wrapText="1"/>
    </xf>
    <xf numFmtId="168" fontId="2" fillId="5" borderId="2" xfId="1" applyNumberFormat="1" applyFont="1" applyFill="1" applyBorder="1" applyAlignment="1">
      <alignment horizontal="center" vertical="center" wrapText="1"/>
    </xf>
    <xf numFmtId="168" fontId="2" fillId="5" borderId="9" xfId="1" applyNumberFormat="1" applyFont="1" applyFill="1" applyBorder="1" applyAlignment="1">
      <alignment horizontal="center" vertical="center" wrapText="1"/>
    </xf>
    <xf numFmtId="168" fontId="2" fillId="5" borderId="10" xfId="1" applyNumberFormat="1" applyFont="1" applyFill="1" applyBorder="1" applyAlignment="1">
      <alignment horizontal="center" vertical="center" wrapText="1"/>
    </xf>
    <xf numFmtId="168" fontId="2" fillId="5" borderId="1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10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R5996"/>
  <sheetViews>
    <sheetView zoomScaleNormal="100" workbookViewId="0">
      <pane xSplit="12" ySplit="1" topLeftCell="M2" activePane="bottomRight" state="frozenSplit"/>
      <selection pane="topRight" activeCell="J1" sqref="J1"/>
      <selection pane="bottomLeft" activeCell="A2" sqref="A2"/>
      <selection pane="bottomRight" activeCell="K6376" sqref="J2:K6376"/>
    </sheetView>
  </sheetViews>
  <sheetFormatPr defaultRowHeight="15" x14ac:dyDescent="0.25"/>
  <cols>
    <col min="1" max="1" width="4.140625" style="7" customWidth="1"/>
    <col min="2" max="2" width="20.42578125" style="4" customWidth="1"/>
    <col min="3" max="3" width="17.5703125" style="4" customWidth="1"/>
    <col min="4" max="4" width="15.7109375" style="4" customWidth="1"/>
    <col min="5" max="5" width="23.140625" style="4" bestFit="1" customWidth="1"/>
    <col min="6" max="6" width="38.140625" style="4" bestFit="1" customWidth="1"/>
    <col min="7" max="7" width="34.5703125" style="4" bestFit="1" customWidth="1"/>
    <col min="8" max="8" width="15.7109375" style="18" customWidth="1"/>
    <col min="9" max="9" width="16.85546875" style="18" customWidth="1"/>
    <col min="10" max="10" width="15.28515625" style="18" customWidth="1"/>
    <col min="11" max="12" width="13.140625" customWidth="1"/>
    <col min="13" max="13" width="4.42578125" style="6" customWidth="1"/>
    <col min="14" max="159" width="4.42578125" style="7" customWidth="1"/>
    <col min="160" max="278" width="9.5703125" style="7" customWidth="1"/>
    <col min="279" max="16384" width="9.140625" style="7"/>
  </cols>
  <sheetData>
    <row r="1" spans="1:278" s="15" customFormat="1" ht="49.5" customHeight="1" x14ac:dyDescent="0.25">
      <c r="B1" s="13" t="s">
        <v>371</v>
      </c>
      <c r="C1" s="13" t="s">
        <v>370</v>
      </c>
      <c r="D1" s="13" t="s">
        <v>366</v>
      </c>
      <c r="E1" s="13" t="s">
        <v>376</v>
      </c>
      <c r="F1" s="13" t="s">
        <v>377</v>
      </c>
      <c r="G1" s="13" t="s">
        <v>378</v>
      </c>
      <c r="H1" s="16" t="s">
        <v>367</v>
      </c>
      <c r="I1" s="16" t="s">
        <v>368</v>
      </c>
      <c r="J1" s="16" t="s">
        <v>369</v>
      </c>
      <c r="K1" s="13" t="s">
        <v>375</v>
      </c>
      <c r="L1" s="13" t="s">
        <v>374</v>
      </c>
      <c r="M1" s="40" t="s">
        <v>373</v>
      </c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2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</row>
    <row r="2" spans="1:278" x14ac:dyDescent="0.25">
      <c r="A2" s="7" t="str">
        <f>+B2&amp;B2</f>
        <v>78650397865039</v>
      </c>
      <c r="B2" s="9" t="s">
        <v>342</v>
      </c>
      <c r="C2" s="9" t="s">
        <v>70</v>
      </c>
      <c r="D2" s="9">
        <v>1092</v>
      </c>
      <c r="E2" s="9" t="s">
        <v>379</v>
      </c>
      <c r="F2" s="9" t="s">
        <v>380</v>
      </c>
      <c r="G2" s="9" t="s">
        <v>381</v>
      </c>
      <c r="H2" s="17">
        <v>46238</v>
      </c>
      <c r="I2" s="17"/>
      <c r="J2" s="17"/>
      <c r="K2" s="10">
        <v>216</v>
      </c>
      <c r="L2" s="10">
        <f>+COUNT(M2:FC2)</f>
        <v>18</v>
      </c>
      <c r="M2" s="11">
        <v>31</v>
      </c>
      <c r="N2" s="11">
        <v>32</v>
      </c>
      <c r="O2" s="11">
        <v>36</v>
      </c>
      <c r="P2" s="11">
        <v>40</v>
      </c>
      <c r="Q2" s="11">
        <v>44</v>
      </c>
      <c r="R2" s="11">
        <v>46</v>
      </c>
      <c r="S2" s="11">
        <v>49</v>
      </c>
      <c r="T2" s="11">
        <v>50</v>
      </c>
      <c r="U2" s="11">
        <v>51</v>
      </c>
      <c r="V2" s="11">
        <v>56</v>
      </c>
      <c r="W2" s="11">
        <v>57</v>
      </c>
      <c r="X2" s="11">
        <v>58</v>
      </c>
      <c r="Y2" s="11">
        <v>64</v>
      </c>
      <c r="Z2" s="11">
        <v>65</v>
      </c>
      <c r="AA2" s="11">
        <v>66</v>
      </c>
      <c r="AB2" s="11">
        <v>70</v>
      </c>
      <c r="AC2" s="11">
        <v>71</v>
      </c>
      <c r="AD2" s="11">
        <v>78</v>
      </c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</row>
    <row r="3" spans="1:278" x14ac:dyDescent="0.25">
      <c r="A3" s="7" t="str">
        <f t="shared" ref="A3:A66" si="0">+B3&amp;B3</f>
        <v>78650467865046</v>
      </c>
      <c r="B3" s="9" t="s">
        <v>215</v>
      </c>
      <c r="C3" s="9" t="s">
        <v>70</v>
      </c>
      <c r="D3" s="9">
        <v>4284</v>
      </c>
      <c r="E3" s="9" t="s">
        <v>382</v>
      </c>
      <c r="F3" s="9" t="s">
        <v>383</v>
      </c>
      <c r="G3" s="9" t="s">
        <v>384</v>
      </c>
      <c r="H3" s="17">
        <v>46230</v>
      </c>
      <c r="I3" s="17"/>
      <c r="J3" s="17"/>
      <c r="K3" s="10">
        <v>168</v>
      </c>
      <c r="L3" s="10">
        <f t="shared" ref="L3:L66" si="1">+COUNT(M3:FC3)</f>
        <v>14</v>
      </c>
      <c r="M3" s="11">
        <v>199</v>
      </c>
      <c r="N3" s="11">
        <v>225</v>
      </c>
      <c r="O3" s="11">
        <v>259</v>
      </c>
      <c r="P3" s="11">
        <v>260</v>
      </c>
      <c r="Q3" s="11">
        <v>283</v>
      </c>
      <c r="R3" s="11">
        <v>285</v>
      </c>
      <c r="S3" s="11">
        <v>304</v>
      </c>
      <c r="T3" s="11">
        <v>306</v>
      </c>
      <c r="U3" s="11">
        <v>316</v>
      </c>
      <c r="V3" s="11">
        <v>317</v>
      </c>
      <c r="W3" s="11">
        <v>319</v>
      </c>
      <c r="X3" s="11">
        <v>333</v>
      </c>
      <c r="Y3" s="11">
        <v>342</v>
      </c>
      <c r="Z3" s="11">
        <v>343</v>
      </c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</row>
    <row r="4" spans="1:278" x14ac:dyDescent="0.25">
      <c r="A4" s="7" t="str">
        <f t="shared" si="0"/>
        <v>78650477865047</v>
      </c>
      <c r="B4" s="9" t="s">
        <v>315</v>
      </c>
      <c r="C4" s="9" t="s">
        <v>314</v>
      </c>
      <c r="D4" s="9">
        <v>3012</v>
      </c>
      <c r="E4" s="9" t="s">
        <v>382</v>
      </c>
      <c r="F4" s="9" t="s">
        <v>383</v>
      </c>
      <c r="G4" s="9" t="s">
        <v>384</v>
      </c>
      <c r="H4" s="17">
        <v>46237</v>
      </c>
      <c r="I4" s="17"/>
      <c r="J4" s="17"/>
      <c r="K4" s="10">
        <v>288</v>
      </c>
      <c r="L4" s="10">
        <f t="shared" si="1"/>
        <v>24</v>
      </c>
      <c r="M4" s="11">
        <v>47</v>
      </c>
      <c r="N4" s="11">
        <v>71</v>
      </c>
      <c r="O4" s="11">
        <v>72</v>
      </c>
      <c r="P4" s="11">
        <v>73</v>
      </c>
      <c r="Q4" s="11">
        <v>74</v>
      </c>
      <c r="R4" s="11">
        <v>79</v>
      </c>
      <c r="S4" s="11">
        <v>100</v>
      </c>
      <c r="T4" s="11">
        <v>101</v>
      </c>
      <c r="U4" s="11">
        <v>137</v>
      </c>
      <c r="V4" s="11">
        <v>138</v>
      </c>
      <c r="W4" s="11">
        <v>168</v>
      </c>
      <c r="X4" s="11">
        <v>169</v>
      </c>
      <c r="Y4" s="11">
        <v>170</v>
      </c>
      <c r="Z4" s="11">
        <v>172</v>
      </c>
      <c r="AA4" s="11">
        <v>194</v>
      </c>
      <c r="AB4" s="11">
        <v>195</v>
      </c>
      <c r="AC4" s="11">
        <v>196</v>
      </c>
      <c r="AD4" s="11">
        <v>197</v>
      </c>
      <c r="AE4" s="11">
        <v>198</v>
      </c>
      <c r="AF4" s="11">
        <v>199</v>
      </c>
      <c r="AG4" s="11">
        <v>200</v>
      </c>
      <c r="AH4" s="11">
        <v>216</v>
      </c>
      <c r="AI4" s="11">
        <v>231</v>
      </c>
      <c r="AJ4" s="11">
        <v>232</v>
      </c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</row>
    <row r="5" spans="1:278" x14ac:dyDescent="0.25">
      <c r="A5" s="7" t="str">
        <f t="shared" si="0"/>
        <v>78661897866189</v>
      </c>
      <c r="B5" s="9" t="s">
        <v>299</v>
      </c>
      <c r="C5" s="9" t="s">
        <v>33</v>
      </c>
      <c r="D5" s="9">
        <v>360</v>
      </c>
      <c r="E5" s="9" t="s">
        <v>385</v>
      </c>
      <c r="F5" s="9" t="s">
        <v>386</v>
      </c>
      <c r="G5" s="9" t="s">
        <v>387</v>
      </c>
      <c r="H5" s="17">
        <v>46237</v>
      </c>
      <c r="I5" s="17"/>
      <c r="J5" s="17"/>
      <c r="K5" s="10">
        <v>318</v>
      </c>
      <c r="L5" s="10">
        <f t="shared" si="1"/>
        <v>27</v>
      </c>
      <c r="M5" s="11">
        <v>2</v>
      </c>
      <c r="N5" s="11">
        <v>3</v>
      </c>
      <c r="O5" s="11">
        <v>4</v>
      </c>
      <c r="P5" s="11">
        <v>5</v>
      </c>
      <c r="Q5" s="11">
        <v>6</v>
      </c>
      <c r="R5" s="11">
        <v>7</v>
      </c>
      <c r="S5" s="11">
        <v>9</v>
      </c>
      <c r="T5" s="11">
        <v>10</v>
      </c>
      <c r="U5" s="11">
        <v>11</v>
      </c>
      <c r="V5" s="11">
        <v>12</v>
      </c>
      <c r="W5" s="11">
        <v>13</v>
      </c>
      <c r="X5" s="11">
        <v>14</v>
      </c>
      <c r="Y5" s="11">
        <v>15</v>
      </c>
      <c r="Z5" s="11">
        <v>16</v>
      </c>
      <c r="AA5" s="11">
        <v>17</v>
      </c>
      <c r="AB5" s="11">
        <v>18</v>
      </c>
      <c r="AC5" s="11">
        <v>19</v>
      </c>
      <c r="AD5" s="11">
        <v>20</v>
      </c>
      <c r="AE5" s="11">
        <v>21</v>
      </c>
      <c r="AF5" s="11">
        <v>22</v>
      </c>
      <c r="AG5" s="11">
        <v>23</v>
      </c>
      <c r="AH5" s="11">
        <v>25</v>
      </c>
      <c r="AI5" s="11">
        <v>26</v>
      </c>
      <c r="AJ5" s="11">
        <v>27</v>
      </c>
      <c r="AK5" s="11">
        <v>28</v>
      </c>
      <c r="AL5" s="11">
        <v>29</v>
      </c>
      <c r="AM5" s="11">
        <v>30</v>
      </c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</row>
    <row r="6" spans="1:278" x14ac:dyDescent="0.25">
      <c r="A6" s="7" t="str">
        <f t="shared" si="0"/>
        <v>78662127866212</v>
      </c>
      <c r="B6" s="9" t="s">
        <v>280</v>
      </c>
      <c r="C6" s="9" t="s">
        <v>32</v>
      </c>
      <c r="D6" s="9">
        <v>270</v>
      </c>
      <c r="E6" s="9" t="s">
        <v>385</v>
      </c>
      <c r="F6" s="9" t="s">
        <v>386</v>
      </c>
      <c r="G6" s="9" t="s">
        <v>387</v>
      </c>
      <c r="H6" s="17">
        <v>46234</v>
      </c>
      <c r="I6" s="17">
        <v>46238</v>
      </c>
      <c r="J6" s="17">
        <v>46238</v>
      </c>
      <c r="K6" s="10">
        <v>234</v>
      </c>
      <c r="L6" s="10">
        <f t="shared" si="1"/>
        <v>21</v>
      </c>
      <c r="M6" s="11">
        <v>1</v>
      </c>
      <c r="N6" s="11">
        <v>2</v>
      </c>
      <c r="O6" s="11">
        <v>3</v>
      </c>
      <c r="P6" s="11">
        <v>4</v>
      </c>
      <c r="Q6" s="11">
        <v>5</v>
      </c>
      <c r="R6" s="11">
        <v>6</v>
      </c>
      <c r="S6" s="11">
        <v>7</v>
      </c>
      <c r="T6" s="11">
        <v>8</v>
      </c>
      <c r="U6" s="11">
        <v>9</v>
      </c>
      <c r="V6" s="11">
        <v>11</v>
      </c>
      <c r="W6" s="11">
        <v>12</v>
      </c>
      <c r="X6" s="11">
        <v>13</v>
      </c>
      <c r="Y6" s="11">
        <v>15</v>
      </c>
      <c r="Z6" s="11">
        <v>16</v>
      </c>
      <c r="AA6" s="11">
        <v>17</v>
      </c>
      <c r="AB6" s="11">
        <v>19</v>
      </c>
      <c r="AC6" s="11">
        <v>20</v>
      </c>
      <c r="AD6" s="11">
        <v>21</v>
      </c>
      <c r="AE6" s="11">
        <v>22</v>
      </c>
      <c r="AF6" s="11">
        <v>23</v>
      </c>
      <c r="AG6" s="11">
        <v>24</v>
      </c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</row>
    <row r="7" spans="1:278" x14ac:dyDescent="0.25">
      <c r="A7" s="7" t="str">
        <f t="shared" si="0"/>
        <v>78662257866225</v>
      </c>
      <c r="B7" s="9" t="s">
        <v>293</v>
      </c>
      <c r="C7" s="9" t="s">
        <v>224</v>
      </c>
      <c r="D7" s="9">
        <v>234</v>
      </c>
      <c r="E7" s="9" t="s">
        <v>385</v>
      </c>
      <c r="F7" s="9" t="s">
        <v>386</v>
      </c>
      <c r="G7" s="9" t="s">
        <v>387</v>
      </c>
      <c r="H7" s="17">
        <v>46237</v>
      </c>
      <c r="I7" s="17"/>
      <c r="J7" s="17"/>
      <c r="K7" s="10">
        <v>198</v>
      </c>
      <c r="L7" s="10">
        <f t="shared" si="1"/>
        <v>18</v>
      </c>
      <c r="M7" s="11">
        <v>2</v>
      </c>
      <c r="N7" s="11">
        <v>4</v>
      </c>
      <c r="O7" s="11">
        <v>5</v>
      </c>
      <c r="P7" s="11">
        <v>6</v>
      </c>
      <c r="Q7" s="11">
        <v>7</v>
      </c>
      <c r="R7" s="11">
        <v>8</v>
      </c>
      <c r="S7" s="11">
        <v>9</v>
      </c>
      <c r="T7" s="11">
        <v>10</v>
      </c>
      <c r="U7" s="11">
        <v>11</v>
      </c>
      <c r="V7" s="11">
        <v>12</v>
      </c>
      <c r="W7" s="11">
        <v>13</v>
      </c>
      <c r="X7" s="11">
        <v>14</v>
      </c>
      <c r="Y7" s="11">
        <v>15</v>
      </c>
      <c r="Z7" s="11">
        <v>16</v>
      </c>
      <c r="AA7" s="11">
        <v>17</v>
      </c>
      <c r="AB7" s="11">
        <v>18</v>
      </c>
      <c r="AC7" s="11">
        <v>20</v>
      </c>
      <c r="AD7" s="11">
        <v>21</v>
      </c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</row>
    <row r="8" spans="1:278" x14ac:dyDescent="0.25">
      <c r="A8" s="7" t="str">
        <f t="shared" si="0"/>
        <v>78662397866239</v>
      </c>
      <c r="B8" s="9" t="s">
        <v>290</v>
      </c>
      <c r="C8" s="9" t="s">
        <v>35</v>
      </c>
      <c r="D8" s="9">
        <v>234</v>
      </c>
      <c r="E8" s="9" t="s">
        <v>385</v>
      </c>
      <c r="F8" s="9" t="s">
        <v>386</v>
      </c>
      <c r="G8" s="9" t="s">
        <v>387</v>
      </c>
      <c r="H8" s="17">
        <v>46234</v>
      </c>
      <c r="I8" s="17"/>
      <c r="J8" s="17"/>
      <c r="K8" s="10">
        <v>72</v>
      </c>
      <c r="L8" s="10">
        <f t="shared" si="1"/>
        <v>6</v>
      </c>
      <c r="M8" s="11">
        <v>2</v>
      </c>
      <c r="N8" s="11">
        <v>4</v>
      </c>
      <c r="O8" s="11">
        <v>6</v>
      </c>
      <c r="P8" s="11">
        <v>11</v>
      </c>
      <c r="Q8" s="11">
        <v>13</v>
      </c>
      <c r="R8" s="11">
        <v>16</v>
      </c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</row>
    <row r="9" spans="1:278" x14ac:dyDescent="0.25">
      <c r="A9" s="7" t="str">
        <f t="shared" si="0"/>
        <v>78662437866243</v>
      </c>
      <c r="B9" s="9" t="s">
        <v>307</v>
      </c>
      <c r="C9" s="9" t="s">
        <v>18</v>
      </c>
      <c r="D9" s="9">
        <v>144</v>
      </c>
      <c r="E9" s="9" t="s">
        <v>385</v>
      </c>
      <c r="F9" s="9" t="s">
        <v>386</v>
      </c>
      <c r="G9" s="9" t="s">
        <v>387</v>
      </c>
      <c r="H9" s="17">
        <v>46237</v>
      </c>
      <c r="I9" s="17"/>
      <c r="J9" s="17"/>
      <c r="K9" s="10">
        <v>114</v>
      </c>
      <c r="L9" s="10">
        <f t="shared" si="1"/>
        <v>10</v>
      </c>
      <c r="M9" s="11">
        <v>1</v>
      </c>
      <c r="N9" s="11">
        <v>2</v>
      </c>
      <c r="O9" s="11">
        <v>3</v>
      </c>
      <c r="P9" s="11">
        <v>4</v>
      </c>
      <c r="Q9" s="11">
        <v>6</v>
      </c>
      <c r="R9" s="11">
        <v>7</v>
      </c>
      <c r="S9" s="11">
        <v>8</v>
      </c>
      <c r="T9" s="11">
        <v>9</v>
      </c>
      <c r="U9" s="11">
        <v>11</v>
      </c>
      <c r="V9" s="11">
        <v>13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</row>
    <row r="10" spans="1:278" x14ac:dyDescent="0.25">
      <c r="A10" s="7" t="str">
        <f t="shared" si="0"/>
        <v>78662527866252</v>
      </c>
      <c r="B10" s="9" t="s">
        <v>352</v>
      </c>
      <c r="C10" s="9" t="s">
        <v>23</v>
      </c>
      <c r="D10" s="9">
        <v>144</v>
      </c>
      <c r="E10" s="9" t="s">
        <v>385</v>
      </c>
      <c r="F10" s="9" t="s">
        <v>386</v>
      </c>
      <c r="G10" s="9" t="s">
        <v>387</v>
      </c>
      <c r="H10" s="17">
        <v>46239</v>
      </c>
      <c r="I10" s="17"/>
      <c r="J10" s="17"/>
      <c r="K10" s="10">
        <v>24</v>
      </c>
      <c r="L10" s="10">
        <f t="shared" si="1"/>
        <v>2</v>
      </c>
      <c r="M10" s="11">
        <v>6</v>
      </c>
      <c r="N10" s="11">
        <v>10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</row>
    <row r="11" spans="1:278" x14ac:dyDescent="0.25">
      <c r="A11" s="7" t="str">
        <f t="shared" si="0"/>
        <v>78664367866436</v>
      </c>
      <c r="B11" s="9" t="s">
        <v>325</v>
      </c>
      <c r="C11" s="9" t="s">
        <v>5</v>
      </c>
      <c r="D11" s="9">
        <v>3570</v>
      </c>
      <c r="E11" s="9" t="s">
        <v>388</v>
      </c>
      <c r="F11" s="9" t="s">
        <v>389</v>
      </c>
      <c r="G11" s="9" t="s">
        <v>387</v>
      </c>
      <c r="H11" s="17">
        <v>46237</v>
      </c>
      <c r="I11" s="17"/>
      <c r="J11" s="17"/>
      <c r="K11" s="10">
        <v>36</v>
      </c>
      <c r="L11" s="10">
        <f t="shared" si="1"/>
        <v>3</v>
      </c>
      <c r="M11" s="11">
        <v>4</v>
      </c>
      <c r="N11" s="11">
        <v>63</v>
      </c>
      <c r="O11" s="11">
        <v>105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</row>
    <row r="12" spans="1:278" x14ac:dyDescent="0.25">
      <c r="A12" s="7" t="str">
        <f t="shared" si="0"/>
        <v>78664417866441</v>
      </c>
      <c r="B12" s="9" t="s">
        <v>240</v>
      </c>
      <c r="C12" s="9" t="s">
        <v>19</v>
      </c>
      <c r="D12" s="9">
        <v>276</v>
      </c>
      <c r="E12" s="9" t="s">
        <v>382</v>
      </c>
      <c r="F12" s="9" t="s">
        <v>383</v>
      </c>
      <c r="G12" s="9" t="s">
        <v>390</v>
      </c>
      <c r="H12" s="17">
        <v>46232</v>
      </c>
      <c r="I12" s="17"/>
      <c r="J12" s="17"/>
      <c r="K12" s="10">
        <v>120</v>
      </c>
      <c r="L12" s="10">
        <f t="shared" si="1"/>
        <v>10</v>
      </c>
      <c r="M12" s="11">
        <v>5</v>
      </c>
      <c r="N12" s="11">
        <v>7</v>
      </c>
      <c r="O12" s="11">
        <v>9</v>
      </c>
      <c r="P12" s="11">
        <v>11</v>
      </c>
      <c r="Q12" s="11">
        <v>12</v>
      </c>
      <c r="R12" s="11">
        <v>14</v>
      </c>
      <c r="S12" s="11">
        <v>16</v>
      </c>
      <c r="T12" s="11">
        <v>18</v>
      </c>
      <c r="U12" s="11">
        <v>19</v>
      </c>
      <c r="V12" s="11">
        <v>21</v>
      </c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</row>
    <row r="13" spans="1:278" x14ac:dyDescent="0.25">
      <c r="A13" s="7" t="str">
        <f t="shared" si="0"/>
        <v>78664447866444</v>
      </c>
      <c r="B13" s="9" t="s">
        <v>236</v>
      </c>
      <c r="C13" s="9" t="s">
        <v>32</v>
      </c>
      <c r="D13" s="9">
        <v>282</v>
      </c>
      <c r="E13" s="9" t="s">
        <v>382</v>
      </c>
      <c r="F13" s="9" t="s">
        <v>383</v>
      </c>
      <c r="G13" s="9" t="s">
        <v>390</v>
      </c>
      <c r="H13" s="17">
        <v>46232</v>
      </c>
      <c r="I13" s="17">
        <v>46233</v>
      </c>
      <c r="J13" s="17">
        <v>46234</v>
      </c>
      <c r="K13" s="10">
        <v>252</v>
      </c>
      <c r="L13" s="10">
        <f t="shared" si="1"/>
        <v>22</v>
      </c>
      <c r="M13" s="11">
        <v>1</v>
      </c>
      <c r="N13" s="11">
        <v>2</v>
      </c>
      <c r="O13" s="11">
        <v>3</v>
      </c>
      <c r="P13" s="11">
        <v>5</v>
      </c>
      <c r="Q13" s="11">
        <v>6</v>
      </c>
      <c r="R13" s="11">
        <v>7</v>
      </c>
      <c r="S13" s="11">
        <v>8</v>
      </c>
      <c r="T13" s="11">
        <v>9</v>
      </c>
      <c r="U13" s="11">
        <v>10</v>
      </c>
      <c r="V13" s="11">
        <v>11</v>
      </c>
      <c r="W13" s="11">
        <v>12</v>
      </c>
      <c r="X13" s="11">
        <v>13</v>
      </c>
      <c r="Y13" s="11">
        <v>14</v>
      </c>
      <c r="Z13" s="11">
        <v>15</v>
      </c>
      <c r="AA13" s="11">
        <v>16</v>
      </c>
      <c r="AB13" s="11">
        <v>17</v>
      </c>
      <c r="AC13" s="11">
        <v>18</v>
      </c>
      <c r="AD13" s="11">
        <v>20</v>
      </c>
      <c r="AE13" s="11">
        <v>21</v>
      </c>
      <c r="AF13" s="11">
        <v>22</v>
      </c>
      <c r="AG13" s="11">
        <v>23</v>
      </c>
      <c r="AH13" s="11">
        <v>25</v>
      </c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</row>
    <row r="14" spans="1:278" x14ac:dyDescent="0.25">
      <c r="A14" s="7" t="str">
        <f t="shared" si="0"/>
        <v>78664507866450</v>
      </c>
      <c r="B14" s="9" t="s">
        <v>225</v>
      </c>
      <c r="C14" s="9" t="s">
        <v>224</v>
      </c>
      <c r="D14" s="9">
        <v>1200</v>
      </c>
      <c r="E14" s="9" t="s">
        <v>382</v>
      </c>
      <c r="F14" s="9" t="s">
        <v>383</v>
      </c>
      <c r="G14" s="9" t="s">
        <v>390</v>
      </c>
      <c r="H14" s="17">
        <v>46231</v>
      </c>
      <c r="I14" s="17"/>
      <c r="J14" s="17"/>
      <c r="K14" s="10">
        <v>336</v>
      </c>
      <c r="L14" s="10">
        <f t="shared" si="1"/>
        <v>28</v>
      </c>
      <c r="M14" s="11">
        <v>1</v>
      </c>
      <c r="N14" s="11">
        <v>19</v>
      </c>
      <c r="O14" s="11">
        <v>21</v>
      </c>
      <c r="P14" s="11">
        <v>22</v>
      </c>
      <c r="Q14" s="11">
        <v>23</v>
      </c>
      <c r="R14" s="11">
        <v>25</v>
      </c>
      <c r="S14" s="11">
        <v>26</v>
      </c>
      <c r="T14" s="11">
        <v>27</v>
      </c>
      <c r="U14" s="11">
        <v>34</v>
      </c>
      <c r="V14" s="11">
        <v>38</v>
      </c>
      <c r="W14" s="11">
        <v>39</v>
      </c>
      <c r="X14" s="11">
        <v>40</v>
      </c>
      <c r="Y14" s="11">
        <v>41</v>
      </c>
      <c r="Z14" s="11">
        <v>42</v>
      </c>
      <c r="AA14" s="11">
        <v>52</v>
      </c>
      <c r="AB14" s="11">
        <v>53</v>
      </c>
      <c r="AC14" s="11">
        <v>54</v>
      </c>
      <c r="AD14" s="11">
        <v>56</v>
      </c>
      <c r="AE14" s="11">
        <v>62</v>
      </c>
      <c r="AF14" s="11">
        <v>63</v>
      </c>
      <c r="AG14" s="11">
        <v>76</v>
      </c>
      <c r="AH14" s="11">
        <v>77</v>
      </c>
      <c r="AI14" s="11">
        <v>78</v>
      </c>
      <c r="AJ14" s="11">
        <v>79</v>
      </c>
      <c r="AK14" s="11">
        <v>80</v>
      </c>
      <c r="AL14" s="11">
        <v>83</v>
      </c>
      <c r="AM14" s="11">
        <v>85</v>
      </c>
      <c r="AN14" s="11">
        <v>94</v>
      </c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</row>
    <row r="15" spans="1:278" x14ac:dyDescent="0.25">
      <c r="A15" s="7" t="str">
        <f t="shared" si="0"/>
        <v>78666497866649</v>
      </c>
      <c r="B15" s="9" t="s">
        <v>243</v>
      </c>
      <c r="C15" s="9" t="s">
        <v>23</v>
      </c>
      <c r="D15" s="9">
        <v>1200</v>
      </c>
      <c r="E15" s="9" t="s">
        <v>382</v>
      </c>
      <c r="F15" s="9" t="s">
        <v>383</v>
      </c>
      <c r="G15" s="9" t="s">
        <v>390</v>
      </c>
      <c r="H15" s="17">
        <v>46232</v>
      </c>
      <c r="I15" s="17"/>
      <c r="J15" s="17"/>
      <c r="K15" s="10">
        <v>96</v>
      </c>
      <c r="L15" s="10">
        <f t="shared" si="1"/>
        <v>8</v>
      </c>
      <c r="M15" s="11">
        <v>3</v>
      </c>
      <c r="N15" s="11">
        <v>14</v>
      </c>
      <c r="O15" s="11">
        <v>15</v>
      </c>
      <c r="P15" s="11">
        <v>53</v>
      </c>
      <c r="Q15" s="11">
        <v>69</v>
      </c>
      <c r="R15" s="11">
        <v>78</v>
      </c>
      <c r="S15" s="11">
        <v>81</v>
      </c>
      <c r="T15" s="11">
        <v>93</v>
      </c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</row>
    <row r="16" spans="1:278" x14ac:dyDescent="0.25">
      <c r="A16" s="7" t="str">
        <f t="shared" si="0"/>
        <v>78666517866651</v>
      </c>
      <c r="B16" s="9" t="s">
        <v>263</v>
      </c>
      <c r="C16" s="9" t="s">
        <v>224</v>
      </c>
      <c r="D16" s="9">
        <v>300</v>
      </c>
      <c r="E16" s="9" t="s">
        <v>379</v>
      </c>
      <c r="F16" s="9" t="s">
        <v>380</v>
      </c>
      <c r="G16" s="9" t="s">
        <v>391</v>
      </c>
      <c r="H16" s="17">
        <v>46233</v>
      </c>
      <c r="I16" s="17"/>
      <c r="J16" s="17"/>
      <c r="K16" s="10">
        <v>264</v>
      </c>
      <c r="L16" s="10">
        <f t="shared" si="1"/>
        <v>23</v>
      </c>
      <c r="M16" s="11">
        <v>1</v>
      </c>
      <c r="N16" s="11">
        <v>2</v>
      </c>
      <c r="O16" s="11">
        <v>3</v>
      </c>
      <c r="P16" s="11">
        <v>4</v>
      </c>
      <c r="Q16" s="11">
        <v>5</v>
      </c>
      <c r="R16" s="11">
        <v>6</v>
      </c>
      <c r="S16" s="11">
        <v>8</v>
      </c>
      <c r="T16" s="11">
        <v>9</v>
      </c>
      <c r="U16" s="11">
        <v>10</v>
      </c>
      <c r="V16" s="11">
        <v>11</v>
      </c>
      <c r="W16" s="11">
        <v>12</v>
      </c>
      <c r="X16" s="11">
        <v>14</v>
      </c>
      <c r="Y16" s="11">
        <v>15</v>
      </c>
      <c r="Z16" s="11">
        <v>16</v>
      </c>
      <c r="AA16" s="11">
        <v>17</v>
      </c>
      <c r="AB16" s="11">
        <v>18</v>
      </c>
      <c r="AC16" s="11">
        <v>19</v>
      </c>
      <c r="AD16" s="11">
        <v>20</v>
      </c>
      <c r="AE16" s="11">
        <v>21</v>
      </c>
      <c r="AF16" s="11">
        <v>22</v>
      </c>
      <c r="AG16" s="11">
        <v>23</v>
      </c>
      <c r="AH16" s="11">
        <v>24</v>
      </c>
      <c r="AI16" s="11">
        <v>25</v>
      </c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</row>
    <row r="17" spans="1:159" x14ac:dyDescent="0.25">
      <c r="A17" s="7" t="str">
        <f t="shared" si="0"/>
        <v>78666557866655</v>
      </c>
      <c r="B17" s="9" t="s">
        <v>306</v>
      </c>
      <c r="C17" s="9" t="s">
        <v>14</v>
      </c>
      <c r="D17" s="9">
        <v>1278</v>
      </c>
      <c r="E17" s="9" t="s">
        <v>382</v>
      </c>
      <c r="F17" s="9" t="s">
        <v>383</v>
      </c>
      <c r="G17" s="9" t="s">
        <v>390</v>
      </c>
      <c r="H17" s="17">
        <v>46237</v>
      </c>
      <c r="I17" s="17"/>
      <c r="J17" s="17"/>
      <c r="K17" s="10">
        <v>612</v>
      </c>
      <c r="L17" s="10">
        <f t="shared" si="1"/>
        <v>51</v>
      </c>
      <c r="M17" s="11">
        <v>1</v>
      </c>
      <c r="N17" s="11">
        <v>2</v>
      </c>
      <c r="O17" s="11">
        <v>3</v>
      </c>
      <c r="P17" s="11">
        <v>4</v>
      </c>
      <c r="Q17" s="11">
        <v>5</v>
      </c>
      <c r="R17" s="11">
        <v>9</v>
      </c>
      <c r="S17" s="11">
        <v>10</v>
      </c>
      <c r="T17" s="11">
        <v>14</v>
      </c>
      <c r="U17" s="11">
        <v>15</v>
      </c>
      <c r="V17" s="11">
        <v>16</v>
      </c>
      <c r="W17" s="11">
        <v>17</v>
      </c>
      <c r="X17" s="11">
        <v>19</v>
      </c>
      <c r="Y17" s="11">
        <v>26</v>
      </c>
      <c r="Z17" s="11">
        <v>27</v>
      </c>
      <c r="AA17" s="11">
        <v>28</v>
      </c>
      <c r="AB17" s="11">
        <v>31</v>
      </c>
      <c r="AC17" s="11">
        <v>38</v>
      </c>
      <c r="AD17" s="11">
        <v>39</v>
      </c>
      <c r="AE17" s="11">
        <v>40</v>
      </c>
      <c r="AF17" s="11">
        <v>45</v>
      </c>
      <c r="AG17" s="11">
        <v>46</v>
      </c>
      <c r="AH17" s="11">
        <v>47</v>
      </c>
      <c r="AI17" s="11">
        <v>48</v>
      </c>
      <c r="AJ17" s="11">
        <v>49</v>
      </c>
      <c r="AK17" s="11">
        <v>55</v>
      </c>
      <c r="AL17" s="11">
        <v>57</v>
      </c>
      <c r="AM17" s="11">
        <v>58</v>
      </c>
      <c r="AN17" s="11">
        <v>59</v>
      </c>
      <c r="AO17" s="11">
        <v>62</v>
      </c>
      <c r="AP17" s="11">
        <v>66</v>
      </c>
      <c r="AQ17" s="11">
        <v>67</v>
      </c>
      <c r="AR17" s="11">
        <v>68</v>
      </c>
      <c r="AS17" s="11">
        <v>69</v>
      </c>
      <c r="AT17" s="11">
        <v>70</v>
      </c>
      <c r="AU17" s="11">
        <v>73</v>
      </c>
      <c r="AV17" s="11">
        <v>75</v>
      </c>
      <c r="AW17" s="11">
        <v>76</v>
      </c>
      <c r="AX17" s="11">
        <v>77</v>
      </c>
      <c r="AY17" s="11">
        <v>78</v>
      </c>
      <c r="AZ17" s="11">
        <v>84</v>
      </c>
      <c r="BA17" s="11">
        <v>85</v>
      </c>
      <c r="BB17" s="11">
        <v>86</v>
      </c>
      <c r="BC17" s="11">
        <v>87</v>
      </c>
      <c r="BD17" s="11">
        <v>88</v>
      </c>
      <c r="BE17" s="11">
        <v>89</v>
      </c>
      <c r="BF17" s="11">
        <v>90</v>
      </c>
      <c r="BG17" s="11">
        <v>95</v>
      </c>
      <c r="BH17" s="11">
        <v>97</v>
      </c>
      <c r="BI17" s="11">
        <v>98</v>
      </c>
      <c r="BJ17" s="11">
        <v>99</v>
      </c>
      <c r="BK17" s="11">
        <v>100</v>
      </c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</row>
    <row r="18" spans="1:159" x14ac:dyDescent="0.25">
      <c r="A18" s="7" t="str">
        <f t="shared" si="0"/>
        <v>78666617866661</v>
      </c>
      <c r="B18" s="9" t="s">
        <v>345</v>
      </c>
      <c r="C18" s="9" t="s">
        <v>182</v>
      </c>
      <c r="D18" s="9">
        <v>1218</v>
      </c>
      <c r="E18" s="9" t="s">
        <v>382</v>
      </c>
      <c r="F18" s="9" t="s">
        <v>383</v>
      </c>
      <c r="G18" s="9" t="s">
        <v>390</v>
      </c>
      <c r="H18" s="17">
        <v>46238</v>
      </c>
      <c r="I18" s="17"/>
      <c r="J18" s="17"/>
      <c r="K18" s="10">
        <v>144</v>
      </c>
      <c r="L18" s="10">
        <f t="shared" si="1"/>
        <v>12</v>
      </c>
      <c r="M18" s="11">
        <v>1</v>
      </c>
      <c r="N18" s="11">
        <v>2</v>
      </c>
      <c r="O18" s="11">
        <v>9</v>
      </c>
      <c r="P18" s="11">
        <v>13</v>
      </c>
      <c r="Q18" s="11">
        <v>22</v>
      </c>
      <c r="R18" s="11">
        <v>30</v>
      </c>
      <c r="S18" s="11">
        <v>36</v>
      </c>
      <c r="T18" s="11">
        <v>43</v>
      </c>
      <c r="U18" s="11">
        <v>58</v>
      </c>
      <c r="V18" s="11">
        <v>69</v>
      </c>
      <c r="W18" s="11">
        <v>77</v>
      </c>
      <c r="X18" s="11">
        <v>78</v>
      </c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</row>
    <row r="19" spans="1:159" x14ac:dyDescent="0.25">
      <c r="A19" s="7" t="str">
        <f t="shared" si="0"/>
        <v>78667827866782</v>
      </c>
      <c r="B19" s="9" t="s">
        <v>259</v>
      </c>
      <c r="C19" s="9" t="s">
        <v>258</v>
      </c>
      <c r="D19" s="9">
        <v>276</v>
      </c>
      <c r="E19" s="9" t="s">
        <v>382</v>
      </c>
      <c r="F19" s="9" t="s">
        <v>383</v>
      </c>
      <c r="G19" s="9" t="s">
        <v>390</v>
      </c>
      <c r="H19" s="17">
        <v>46233</v>
      </c>
      <c r="I19" s="17"/>
      <c r="J19" s="17"/>
      <c r="K19" s="10">
        <v>78</v>
      </c>
      <c r="L19" s="10">
        <f t="shared" si="1"/>
        <v>7</v>
      </c>
      <c r="M19" s="11">
        <v>1</v>
      </c>
      <c r="N19" s="11">
        <v>3</v>
      </c>
      <c r="O19" s="11">
        <v>12</v>
      </c>
      <c r="P19" s="11">
        <v>15</v>
      </c>
      <c r="Q19" s="11">
        <v>16</v>
      </c>
      <c r="R19" s="11">
        <v>20</v>
      </c>
      <c r="S19" s="11">
        <v>22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</row>
    <row r="20" spans="1:159" x14ac:dyDescent="0.25">
      <c r="A20" s="7" t="str">
        <f t="shared" si="0"/>
        <v>78667967866796</v>
      </c>
      <c r="B20" s="9" t="s">
        <v>286</v>
      </c>
      <c r="C20" s="9" t="s">
        <v>23</v>
      </c>
      <c r="D20" s="9">
        <v>288</v>
      </c>
      <c r="E20" s="9" t="s">
        <v>379</v>
      </c>
      <c r="F20" s="9" t="s">
        <v>380</v>
      </c>
      <c r="G20" s="9" t="s">
        <v>391</v>
      </c>
      <c r="H20" s="17">
        <v>46234</v>
      </c>
      <c r="I20" s="17"/>
      <c r="J20" s="17"/>
      <c r="K20" s="10">
        <v>48</v>
      </c>
      <c r="L20" s="10">
        <f t="shared" si="1"/>
        <v>4</v>
      </c>
      <c r="M20" s="11">
        <v>5</v>
      </c>
      <c r="N20" s="11">
        <v>10</v>
      </c>
      <c r="O20" s="11">
        <v>18</v>
      </c>
      <c r="P20" s="11">
        <v>21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</row>
    <row r="21" spans="1:159" x14ac:dyDescent="0.25">
      <c r="A21" s="7" t="str">
        <f t="shared" si="0"/>
        <v>78668027866802</v>
      </c>
      <c r="B21" s="9" t="s">
        <v>178</v>
      </c>
      <c r="C21" s="9" t="s">
        <v>14</v>
      </c>
      <c r="D21" s="9">
        <v>288</v>
      </c>
      <c r="E21" s="9" t="s">
        <v>379</v>
      </c>
      <c r="F21" s="9" t="s">
        <v>380</v>
      </c>
      <c r="G21" s="9" t="s">
        <v>391</v>
      </c>
      <c r="H21" s="17">
        <v>46226</v>
      </c>
      <c r="I21" s="17">
        <v>46226</v>
      </c>
      <c r="J21" s="17">
        <v>46227</v>
      </c>
      <c r="K21" s="10">
        <v>288</v>
      </c>
      <c r="L21" s="10">
        <f t="shared" si="1"/>
        <v>26</v>
      </c>
      <c r="M21" s="11">
        <v>1</v>
      </c>
      <c r="N21" s="11">
        <v>2</v>
      </c>
      <c r="O21" s="11">
        <v>3</v>
      </c>
      <c r="P21" s="11">
        <v>4</v>
      </c>
      <c r="Q21" s="11">
        <v>5</v>
      </c>
      <c r="R21" s="11">
        <v>6</v>
      </c>
      <c r="S21" s="11">
        <v>7</v>
      </c>
      <c r="T21" s="11">
        <v>8</v>
      </c>
      <c r="U21" s="11">
        <v>9</v>
      </c>
      <c r="V21" s="11">
        <v>10</v>
      </c>
      <c r="W21" s="11">
        <v>11</v>
      </c>
      <c r="X21" s="11">
        <v>12</v>
      </c>
      <c r="Y21" s="11">
        <v>13</v>
      </c>
      <c r="Z21" s="11">
        <v>14</v>
      </c>
      <c r="AA21" s="11">
        <v>15</v>
      </c>
      <c r="AB21" s="11">
        <v>16</v>
      </c>
      <c r="AC21" s="11">
        <v>17</v>
      </c>
      <c r="AD21" s="11">
        <v>18</v>
      </c>
      <c r="AE21" s="11">
        <v>19</v>
      </c>
      <c r="AF21" s="11">
        <v>20</v>
      </c>
      <c r="AG21" s="11">
        <v>21</v>
      </c>
      <c r="AH21" s="11">
        <v>22</v>
      </c>
      <c r="AI21" s="11">
        <v>23</v>
      </c>
      <c r="AJ21" s="11">
        <v>24</v>
      </c>
      <c r="AK21" s="11">
        <v>25</v>
      </c>
      <c r="AL21" s="11">
        <v>26</v>
      </c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</row>
    <row r="22" spans="1:159" x14ac:dyDescent="0.25">
      <c r="A22" s="7" t="str">
        <f t="shared" si="0"/>
        <v>78668147866814</v>
      </c>
      <c r="B22" s="9" t="s">
        <v>183</v>
      </c>
      <c r="C22" s="9" t="s">
        <v>182</v>
      </c>
      <c r="D22" s="9">
        <v>330</v>
      </c>
      <c r="E22" s="9" t="s">
        <v>379</v>
      </c>
      <c r="F22" s="9" t="s">
        <v>380</v>
      </c>
      <c r="G22" s="9" t="s">
        <v>391</v>
      </c>
      <c r="H22" s="17">
        <v>46226</v>
      </c>
      <c r="I22" s="17">
        <v>46227</v>
      </c>
      <c r="J22" s="17">
        <v>46227</v>
      </c>
      <c r="K22" s="10">
        <v>252</v>
      </c>
      <c r="L22" s="10">
        <f t="shared" si="1"/>
        <v>23</v>
      </c>
      <c r="M22" s="11">
        <v>1</v>
      </c>
      <c r="N22" s="11">
        <v>2</v>
      </c>
      <c r="O22" s="11">
        <v>3</v>
      </c>
      <c r="P22" s="11">
        <v>4</v>
      </c>
      <c r="Q22" s="11">
        <v>5</v>
      </c>
      <c r="R22" s="11">
        <v>6</v>
      </c>
      <c r="S22" s="11">
        <v>8</v>
      </c>
      <c r="T22" s="11">
        <v>10</v>
      </c>
      <c r="U22" s="11">
        <v>12</v>
      </c>
      <c r="V22" s="11">
        <v>13</v>
      </c>
      <c r="W22" s="11">
        <v>15</v>
      </c>
      <c r="X22" s="11">
        <v>16</v>
      </c>
      <c r="Y22" s="11">
        <v>18</v>
      </c>
      <c r="Z22" s="11">
        <v>19</v>
      </c>
      <c r="AA22" s="11">
        <v>20</v>
      </c>
      <c r="AB22" s="11">
        <v>21</v>
      </c>
      <c r="AC22" s="11">
        <v>22</v>
      </c>
      <c r="AD22" s="11">
        <v>23</v>
      </c>
      <c r="AE22" s="11">
        <v>24</v>
      </c>
      <c r="AF22" s="11">
        <v>26</v>
      </c>
      <c r="AG22" s="11">
        <v>27</v>
      </c>
      <c r="AH22" s="11">
        <v>29</v>
      </c>
      <c r="AI22" s="11">
        <v>31</v>
      </c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</row>
    <row r="23" spans="1:159" x14ac:dyDescent="0.25">
      <c r="A23" s="7" t="str">
        <f t="shared" si="0"/>
        <v>78668447866844</v>
      </c>
      <c r="B23" s="9" t="s">
        <v>244</v>
      </c>
      <c r="C23" s="9" t="s">
        <v>35</v>
      </c>
      <c r="D23" s="9">
        <v>282</v>
      </c>
      <c r="E23" s="9" t="s">
        <v>382</v>
      </c>
      <c r="F23" s="9" t="s">
        <v>383</v>
      </c>
      <c r="G23" s="9" t="s">
        <v>390</v>
      </c>
      <c r="H23" s="17">
        <v>46232</v>
      </c>
      <c r="I23" s="17">
        <v>46237</v>
      </c>
      <c r="J23" s="17">
        <v>46237</v>
      </c>
      <c r="K23" s="10">
        <v>168</v>
      </c>
      <c r="L23" s="10">
        <f t="shared" si="1"/>
        <v>15</v>
      </c>
      <c r="M23" s="11">
        <v>1</v>
      </c>
      <c r="N23" s="11">
        <v>3</v>
      </c>
      <c r="O23" s="11">
        <v>4</v>
      </c>
      <c r="P23" s="11">
        <v>5</v>
      </c>
      <c r="Q23" s="11">
        <v>6</v>
      </c>
      <c r="R23" s="11">
        <v>7</v>
      </c>
      <c r="S23" s="11">
        <v>9</v>
      </c>
      <c r="T23" s="11">
        <v>11</v>
      </c>
      <c r="U23" s="11">
        <v>12</v>
      </c>
      <c r="V23" s="11">
        <v>16</v>
      </c>
      <c r="W23" s="11">
        <v>17</v>
      </c>
      <c r="X23" s="11">
        <v>19</v>
      </c>
      <c r="Y23" s="11">
        <v>22</v>
      </c>
      <c r="Z23" s="11">
        <v>23</v>
      </c>
      <c r="AA23" s="11">
        <v>25</v>
      </c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</row>
    <row r="24" spans="1:159" x14ac:dyDescent="0.25">
      <c r="A24" s="7" t="str">
        <f t="shared" si="0"/>
        <v>78668507866850</v>
      </c>
      <c r="B24" s="9" t="s">
        <v>257</v>
      </c>
      <c r="C24" s="9" t="s">
        <v>18</v>
      </c>
      <c r="D24" s="9">
        <v>282</v>
      </c>
      <c r="E24" s="9" t="s">
        <v>382</v>
      </c>
      <c r="F24" s="9" t="s">
        <v>383</v>
      </c>
      <c r="G24" s="9" t="s">
        <v>390</v>
      </c>
      <c r="H24" s="17">
        <v>46233</v>
      </c>
      <c r="I24" s="17"/>
      <c r="J24" s="17"/>
      <c r="K24" s="10">
        <v>228</v>
      </c>
      <c r="L24" s="10">
        <f t="shared" si="1"/>
        <v>20</v>
      </c>
      <c r="M24" s="11">
        <v>3</v>
      </c>
      <c r="N24" s="11">
        <v>4</v>
      </c>
      <c r="O24" s="11">
        <v>6</v>
      </c>
      <c r="P24" s="11">
        <v>7</v>
      </c>
      <c r="Q24" s="11">
        <v>8</v>
      </c>
      <c r="R24" s="11">
        <v>9</v>
      </c>
      <c r="S24" s="11">
        <v>10</v>
      </c>
      <c r="T24" s="11">
        <v>11</v>
      </c>
      <c r="U24" s="11">
        <v>12</v>
      </c>
      <c r="V24" s="11">
        <v>13</v>
      </c>
      <c r="W24" s="11">
        <v>14</v>
      </c>
      <c r="X24" s="11">
        <v>15</v>
      </c>
      <c r="Y24" s="11">
        <v>16</v>
      </c>
      <c r="Z24" s="11">
        <v>17</v>
      </c>
      <c r="AA24" s="11">
        <v>18</v>
      </c>
      <c r="AB24" s="11">
        <v>19</v>
      </c>
      <c r="AC24" s="11">
        <v>20</v>
      </c>
      <c r="AD24" s="11">
        <v>22</v>
      </c>
      <c r="AE24" s="11">
        <v>24</v>
      </c>
      <c r="AF24" s="11">
        <v>25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</row>
    <row r="25" spans="1:159" x14ac:dyDescent="0.25">
      <c r="A25" s="7" t="str">
        <f t="shared" si="0"/>
        <v>78674057867405</v>
      </c>
      <c r="B25" s="9" t="s">
        <v>287</v>
      </c>
      <c r="C25" s="9" t="s">
        <v>20</v>
      </c>
      <c r="D25" s="9">
        <v>600</v>
      </c>
      <c r="E25" s="9" t="s">
        <v>392</v>
      </c>
      <c r="F25" s="9" t="s">
        <v>393</v>
      </c>
      <c r="G25" s="9" t="s">
        <v>394</v>
      </c>
      <c r="H25" s="17">
        <v>46234</v>
      </c>
      <c r="I25" s="17">
        <v>46238</v>
      </c>
      <c r="J25" s="17">
        <v>46239</v>
      </c>
      <c r="K25" s="10">
        <v>150</v>
      </c>
      <c r="L25" s="10">
        <f t="shared" si="1"/>
        <v>13</v>
      </c>
      <c r="M25" s="11">
        <v>4</v>
      </c>
      <c r="N25" s="11">
        <v>5</v>
      </c>
      <c r="O25" s="11">
        <v>9</v>
      </c>
      <c r="P25" s="11">
        <v>14</v>
      </c>
      <c r="Q25" s="11">
        <v>20</v>
      </c>
      <c r="R25" s="11">
        <v>25</v>
      </c>
      <c r="S25" s="11">
        <v>26</v>
      </c>
      <c r="T25" s="11">
        <v>34</v>
      </c>
      <c r="U25" s="11">
        <v>35</v>
      </c>
      <c r="V25" s="11">
        <v>41</v>
      </c>
      <c r="W25" s="11">
        <v>42</v>
      </c>
      <c r="X25" s="11">
        <v>43</v>
      </c>
      <c r="Y25" s="11">
        <v>49</v>
      </c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</row>
    <row r="26" spans="1:159" x14ac:dyDescent="0.25">
      <c r="A26" s="7" t="str">
        <f t="shared" si="0"/>
        <v>78675327867532</v>
      </c>
      <c r="B26" s="9" t="s">
        <v>330</v>
      </c>
      <c r="C26" s="9" t="s">
        <v>43</v>
      </c>
      <c r="D26" s="9">
        <v>498</v>
      </c>
      <c r="E26" s="9" t="s">
        <v>392</v>
      </c>
      <c r="F26" s="9" t="s">
        <v>393</v>
      </c>
      <c r="G26" s="9" t="s">
        <v>394</v>
      </c>
      <c r="H26" s="17">
        <v>46238</v>
      </c>
      <c r="I26" s="17"/>
      <c r="J26" s="17"/>
      <c r="K26" s="10">
        <v>456</v>
      </c>
      <c r="L26" s="10">
        <f t="shared" si="1"/>
        <v>40</v>
      </c>
      <c r="M26" s="11">
        <v>1</v>
      </c>
      <c r="N26" s="11">
        <v>2</v>
      </c>
      <c r="O26" s="11">
        <v>3</v>
      </c>
      <c r="P26" s="11">
        <v>4</v>
      </c>
      <c r="Q26" s="11">
        <v>5</v>
      </c>
      <c r="R26" s="11">
        <v>7</v>
      </c>
      <c r="S26" s="11">
        <v>8</v>
      </c>
      <c r="T26" s="11">
        <v>9</v>
      </c>
      <c r="U26" s="11">
        <v>10</v>
      </c>
      <c r="V26" s="11">
        <v>11</v>
      </c>
      <c r="W26" s="11">
        <v>13</v>
      </c>
      <c r="X26" s="11">
        <v>14</v>
      </c>
      <c r="Y26" s="11">
        <v>15</v>
      </c>
      <c r="Z26" s="11">
        <v>16</v>
      </c>
      <c r="AA26" s="11">
        <v>17</v>
      </c>
      <c r="AB26" s="11">
        <v>18</v>
      </c>
      <c r="AC26" s="11">
        <v>19</v>
      </c>
      <c r="AD26" s="11">
        <v>20</v>
      </c>
      <c r="AE26" s="11">
        <v>21</v>
      </c>
      <c r="AF26" s="11">
        <v>23</v>
      </c>
      <c r="AG26" s="11">
        <v>24</v>
      </c>
      <c r="AH26" s="11">
        <v>25</v>
      </c>
      <c r="AI26" s="11">
        <v>26</v>
      </c>
      <c r="AJ26" s="11">
        <v>27</v>
      </c>
      <c r="AK26" s="11">
        <v>28</v>
      </c>
      <c r="AL26" s="11">
        <v>29</v>
      </c>
      <c r="AM26" s="11">
        <v>30</v>
      </c>
      <c r="AN26" s="11">
        <v>31</v>
      </c>
      <c r="AO26" s="11">
        <v>32</v>
      </c>
      <c r="AP26" s="11">
        <v>33</v>
      </c>
      <c r="AQ26" s="11">
        <v>34</v>
      </c>
      <c r="AR26" s="11">
        <v>35</v>
      </c>
      <c r="AS26" s="11">
        <v>36</v>
      </c>
      <c r="AT26" s="11">
        <v>37</v>
      </c>
      <c r="AU26" s="11">
        <v>38</v>
      </c>
      <c r="AV26" s="11">
        <v>39</v>
      </c>
      <c r="AW26" s="11">
        <v>40</v>
      </c>
      <c r="AX26" s="11">
        <v>41</v>
      </c>
      <c r="AY26" s="11">
        <v>42</v>
      </c>
      <c r="AZ26" s="11">
        <v>43</v>
      </c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</row>
    <row r="27" spans="1:159" x14ac:dyDescent="0.25">
      <c r="A27" s="7" t="str">
        <f t="shared" si="0"/>
        <v>78675427867542</v>
      </c>
      <c r="B27" s="9" t="s">
        <v>317</v>
      </c>
      <c r="C27" s="9" t="s">
        <v>5</v>
      </c>
      <c r="D27" s="9">
        <v>498</v>
      </c>
      <c r="E27" s="9" t="s">
        <v>392</v>
      </c>
      <c r="F27" s="9" t="s">
        <v>393</v>
      </c>
      <c r="G27" s="9" t="s">
        <v>394</v>
      </c>
      <c r="H27" s="17">
        <v>46237</v>
      </c>
      <c r="I27" s="17"/>
      <c r="J27" s="17"/>
      <c r="K27" s="10">
        <v>192</v>
      </c>
      <c r="L27" s="10">
        <f t="shared" si="1"/>
        <v>16</v>
      </c>
      <c r="M27" s="11">
        <v>4</v>
      </c>
      <c r="N27" s="11">
        <v>5</v>
      </c>
      <c r="O27" s="11">
        <v>7</v>
      </c>
      <c r="P27" s="11">
        <v>8</v>
      </c>
      <c r="Q27" s="11">
        <v>13</v>
      </c>
      <c r="R27" s="11">
        <v>15</v>
      </c>
      <c r="S27" s="11">
        <v>16</v>
      </c>
      <c r="T27" s="11">
        <v>17</v>
      </c>
      <c r="U27" s="11">
        <v>18</v>
      </c>
      <c r="V27" s="11">
        <v>24</v>
      </c>
      <c r="W27" s="11">
        <v>26</v>
      </c>
      <c r="X27" s="11">
        <v>28</v>
      </c>
      <c r="Y27" s="11">
        <v>29</v>
      </c>
      <c r="Z27" s="11">
        <v>34</v>
      </c>
      <c r="AA27" s="11">
        <v>35</v>
      </c>
      <c r="AB27" s="11">
        <v>36</v>
      </c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</row>
    <row r="28" spans="1:159" x14ac:dyDescent="0.25">
      <c r="A28" s="7" t="str">
        <f t="shared" si="0"/>
        <v>78679347867934</v>
      </c>
      <c r="B28" s="9" t="s">
        <v>311</v>
      </c>
      <c r="C28" s="9" t="s">
        <v>5</v>
      </c>
      <c r="D28" s="9">
        <v>618</v>
      </c>
      <c r="E28" s="9" t="s">
        <v>382</v>
      </c>
      <c r="F28" s="9" t="s">
        <v>383</v>
      </c>
      <c r="G28" s="9" t="s">
        <v>395</v>
      </c>
      <c r="H28" s="17">
        <v>46237</v>
      </c>
      <c r="I28" s="17"/>
      <c r="J28" s="17"/>
      <c r="K28" s="10">
        <v>456</v>
      </c>
      <c r="L28" s="10">
        <f t="shared" si="1"/>
        <v>38</v>
      </c>
      <c r="M28" s="11">
        <v>1</v>
      </c>
      <c r="N28" s="11">
        <v>2</v>
      </c>
      <c r="O28" s="11">
        <v>3</v>
      </c>
      <c r="P28" s="11">
        <v>4</v>
      </c>
      <c r="Q28" s="11">
        <v>5</v>
      </c>
      <c r="R28" s="11">
        <v>6</v>
      </c>
      <c r="S28" s="11">
        <v>8</v>
      </c>
      <c r="T28" s="11">
        <v>9</v>
      </c>
      <c r="U28" s="11">
        <v>10</v>
      </c>
      <c r="V28" s="11">
        <v>11</v>
      </c>
      <c r="W28" s="11">
        <v>12</v>
      </c>
      <c r="X28" s="11">
        <v>13</v>
      </c>
      <c r="Y28" s="11">
        <v>14</v>
      </c>
      <c r="Z28" s="11">
        <v>16</v>
      </c>
      <c r="AA28" s="11">
        <v>17</v>
      </c>
      <c r="AB28" s="11">
        <v>18</v>
      </c>
      <c r="AC28" s="11">
        <v>19</v>
      </c>
      <c r="AD28" s="11">
        <v>20</v>
      </c>
      <c r="AE28" s="11">
        <v>23</v>
      </c>
      <c r="AF28" s="11">
        <v>24</v>
      </c>
      <c r="AG28" s="11">
        <v>25</v>
      </c>
      <c r="AH28" s="11">
        <v>26</v>
      </c>
      <c r="AI28" s="11">
        <v>27</v>
      </c>
      <c r="AJ28" s="11">
        <v>28</v>
      </c>
      <c r="AK28" s="11">
        <v>29</v>
      </c>
      <c r="AL28" s="11">
        <v>30</v>
      </c>
      <c r="AM28" s="11">
        <v>33</v>
      </c>
      <c r="AN28" s="11">
        <v>35</v>
      </c>
      <c r="AO28" s="11">
        <v>36</v>
      </c>
      <c r="AP28" s="11">
        <v>37</v>
      </c>
      <c r="AQ28" s="11">
        <v>38</v>
      </c>
      <c r="AR28" s="11">
        <v>41</v>
      </c>
      <c r="AS28" s="11">
        <v>42</v>
      </c>
      <c r="AT28" s="11">
        <v>43</v>
      </c>
      <c r="AU28" s="11">
        <v>46</v>
      </c>
      <c r="AV28" s="11">
        <v>47</v>
      </c>
      <c r="AW28" s="11">
        <v>48</v>
      </c>
      <c r="AX28" s="11">
        <v>49</v>
      </c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</row>
    <row r="29" spans="1:159" x14ac:dyDescent="0.25">
      <c r="A29" s="7" t="str">
        <f t="shared" si="0"/>
        <v>78683147868314</v>
      </c>
      <c r="B29" s="9" t="s">
        <v>327</v>
      </c>
      <c r="C29" s="9" t="s">
        <v>43</v>
      </c>
      <c r="D29" s="9">
        <v>150</v>
      </c>
      <c r="E29" s="9" t="s">
        <v>382</v>
      </c>
      <c r="F29" s="9" t="s">
        <v>383</v>
      </c>
      <c r="G29" s="9" t="s">
        <v>395</v>
      </c>
      <c r="H29" s="17">
        <v>46238</v>
      </c>
      <c r="I29" s="17">
        <v>46238</v>
      </c>
      <c r="J29" s="17">
        <v>46239</v>
      </c>
      <c r="K29" s="10">
        <v>150</v>
      </c>
      <c r="L29" s="10">
        <f t="shared" si="1"/>
        <v>13</v>
      </c>
      <c r="M29" s="11">
        <v>1</v>
      </c>
      <c r="N29" s="11">
        <v>2</v>
      </c>
      <c r="O29" s="11">
        <v>3</v>
      </c>
      <c r="P29" s="11">
        <v>4</v>
      </c>
      <c r="Q29" s="11">
        <v>5</v>
      </c>
      <c r="R29" s="11">
        <v>6</v>
      </c>
      <c r="S29" s="11">
        <v>7</v>
      </c>
      <c r="T29" s="11">
        <v>8</v>
      </c>
      <c r="U29" s="11">
        <v>9</v>
      </c>
      <c r="V29" s="11">
        <v>10</v>
      </c>
      <c r="W29" s="11">
        <v>11</v>
      </c>
      <c r="X29" s="11">
        <v>12</v>
      </c>
      <c r="Y29" s="11">
        <v>13</v>
      </c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</row>
    <row r="30" spans="1:159" x14ac:dyDescent="0.25">
      <c r="A30" s="7" t="str">
        <f t="shared" si="0"/>
        <v>78684847868484</v>
      </c>
      <c r="B30" s="9" t="s">
        <v>336</v>
      </c>
      <c r="C30" s="9" t="s">
        <v>49</v>
      </c>
      <c r="D30" s="9">
        <v>924</v>
      </c>
      <c r="E30" s="9" t="s">
        <v>382</v>
      </c>
      <c r="F30" s="9" t="s">
        <v>383</v>
      </c>
      <c r="G30" s="9" t="s">
        <v>395</v>
      </c>
      <c r="H30" s="17">
        <v>46238</v>
      </c>
      <c r="I30" s="17"/>
      <c r="J30" s="17"/>
      <c r="K30" s="10">
        <v>588</v>
      </c>
      <c r="L30" s="10">
        <f t="shared" si="1"/>
        <v>49</v>
      </c>
      <c r="M30" s="11">
        <v>1</v>
      </c>
      <c r="N30" s="11">
        <v>2</v>
      </c>
      <c r="O30" s="11">
        <v>3</v>
      </c>
      <c r="P30" s="11">
        <v>4</v>
      </c>
      <c r="Q30" s="11">
        <v>6</v>
      </c>
      <c r="R30" s="11">
        <v>9</v>
      </c>
      <c r="S30" s="11">
        <v>10</v>
      </c>
      <c r="T30" s="11">
        <v>11</v>
      </c>
      <c r="U30" s="11">
        <v>12</v>
      </c>
      <c r="V30" s="11">
        <v>14</v>
      </c>
      <c r="W30" s="11">
        <v>17</v>
      </c>
      <c r="X30" s="11">
        <v>18</v>
      </c>
      <c r="Y30" s="11">
        <v>19</v>
      </c>
      <c r="Z30" s="11">
        <v>20</v>
      </c>
      <c r="AA30" s="11">
        <v>21</v>
      </c>
      <c r="AB30" s="11">
        <v>26</v>
      </c>
      <c r="AC30" s="11">
        <v>27</v>
      </c>
      <c r="AD30" s="11">
        <v>28</v>
      </c>
      <c r="AE30" s="11">
        <v>29</v>
      </c>
      <c r="AF30" s="11">
        <v>31</v>
      </c>
      <c r="AG30" s="11">
        <v>33</v>
      </c>
      <c r="AH30" s="11">
        <v>35</v>
      </c>
      <c r="AI30" s="11">
        <v>36</v>
      </c>
      <c r="AJ30" s="11">
        <v>37</v>
      </c>
      <c r="AK30" s="11">
        <v>38</v>
      </c>
      <c r="AL30" s="11">
        <v>39</v>
      </c>
      <c r="AM30" s="11">
        <v>43</v>
      </c>
      <c r="AN30" s="11">
        <v>45</v>
      </c>
      <c r="AO30" s="11">
        <v>46</v>
      </c>
      <c r="AP30" s="11">
        <v>47</v>
      </c>
      <c r="AQ30" s="11">
        <v>48</v>
      </c>
      <c r="AR30" s="11">
        <v>50</v>
      </c>
      <c r="AS30" s="11">
        <v>51</v>
      </c>
      <c r="AT30" s="11">
        <v>55</v>
      </c>
      <c r="AU30" s="11">
        <v>56</v>
      </c>
      <c r="AV30" s="11">
        <v>57</v>
      </c>
      <c r="AW30" s="11">
        <v>58</v>
      </c>
      <c r="AX30" s="11">
        <v>59</v>
      </c>
      <c r="AY30" s="11">
        <v>60</v>
      </c>
      <c r="AZ30" s="11">
        <v>61</v>
      </c>
      <c r="BA30" s="11">
        <v>63</v>
      </c>
      <c r="BB30" s="11">
        <v>66</v>
      </c>
      <c r="BC30" s="11">
        <v>67</v>
      </c>
      <c r="BD30" s="11">
        <v>68</v>
      </c>
      <c r="BE30" s="11">
        <v>69</v>
      </c>
      <c r="BF30" s="11">
        <v>70</v>
      </c>
      <c r="BG30" s="11">
        <v>71</v>
      </c>
      <c r="BH30" s="11">
        <v>72</v>
      </c>
      <c r="BI30" s="11">
        <v>73</v>
      </c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</row>
    <row r="31" spans="1:159" x14ac:dyDescent="0.25">
      <c r="A31" s="7" t="str">
        <f t="shared" si="0"/>
        <v>78685117868511</v>
      </c>
      <c r="B31" s="9" t="s">
        <v>283</v>
      </c>
      <c r="C31" s="9" t="s">
        <v>20</v>
      </c>
      <c r="D31" s="9">
        <v>156</v>
      </c>
      <c r="E31" s="9" t="s">
        <v>382</v>
      </c>
      <c r="F31" s="9" t="s">
        <v>383</v>
      </c>
      <c r="G31" s="9" t="s">
        <v>395</v>
      </c>
      <c r="H31" s="17">
        <v>46234</v>
      </c>
      <c r="I31" s="17">
        <v>46238</v>
      </c>
      <c r="J31" s="17">
        <v>46238</v>
      </c>
      <c r="K31" s="10">
        <v>102</v>
      </c>
      <c r="L31" s="10">
        <f t="shared" si="1"/>
        <v>9</v>
      </c>
      <c r="M31" s="11">
        <v>1</v>
      </c>
      <c r="N31" s="11">
        <v>3</v>
      </c>
      <c r="O31" s="11">
        <v>4</v>
      </c>
      <c r="P31" s="11">
        <v>7</v>
      </c>
      <c r="Q31" s="11">
        <v>8</v>
      </c>
      <c r="R31" s="11">
        <v>9</v>
      </c>
      <c r="S31" s="11">
        <v>10</v>
      </c>
      <c r="T31" s="11">
        <v>12</v>
      </c>
      <c r="U31" s="11">
        <v>14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</row>
    <row r="32" spans="1:159" x14ac:dyDescent="0.25">
      <c r="A32" s="7" t="str">
        <f t="shared" si="0"/>
        <v>78687077868707</v>
      </c>
      <c r="B32" s="9" t="s">
        <v>361</v>
      </c>
      <c r="C32" s="9" t="s">
        <v>301</v>
      </c>
      <c r="D32" s="9">
        <v>1890</v>
      </c>
      <c r="E32" s="9" t="s">
        <v>382</v>
      </c>
      <c r="F32" s="9" t="s">
        <v>383</v>
      </c>
      <c r="G32" s="9" t="s">
        <v>395</v>
      </c>
      <c r="H32" s="17">
        <v>46239</v>
      </c>
      <c r="I32" s="17"/>
      <c r="J32" s="17"/>
      <c r="K32" s="10">
        <v>324</v>
      </c>
      <c r="L32" s="10">
        <f t="shared" si="1"/>
        <v>27</v>
      </c>
      <c r="M32" s="11">
        <v>1</v>
      </c>
      <c r="N32" s="11">
        <v>19</v>
      </c>
      <c r="O32" s="11">
        <v>20</v>
      </c>
      <c r="P32" s="11">
        <v>21</v>
      </c>
      <c r="Q32" s="11">
        <v>37</v>
      </c>
      <c r="R32" s="11">
        <v>39</v>
      </c>
      <c r="S32" s="11">
        <v>40</v>
      </c>
      <c r="T32" s="11">
        <v>56</v>
      </c>
      <c r="U32" s="11">
        <v>57</v>
      </c>
      <c r="V32" s="11">
        <v>58</v>
      </c>
      <c r="W32" s="11">
        <v>59</v>
      </c>
      <c r="X32" s="11">
        <v>63</v>
      </c>
      <c r="Y32" s="11">
        <v>73</v>
      </c>
      <c r="Z32" s="11">
        <v>91</v>
      </c>
      <c r="AA32" s="11">
        <v>92</v>
      </c>
      <c r="AB32" s="11">
        <v>94</v>
      </c>
      <c r="AC32" s="11">
        <v>95</v>
      </c>
      <c r="AD32" s="11">
        <v>109</v>
      </c>
      <c r="AE32" s="11">
        <v>110</v>
      </c>
      <c r="AF32" s="11">
        <v>117</v>
      </c>
      <c r="AG32" s="11">
        <v>118</v>
      </c>
      <c r="AH32" s="11">
        <v>123</v>
      </c>
      <c r="AI32" s="11">
        <v>134</v>
      </c>
      <c r="AJ32" s="11">
        <v>135</v>
      </c>
      <c r="AK32" s="11">
        <v>136</v>
      </c>
      <c r="AL32" s="11">
        <v>137</v>
      </c>
      <c r="AM32" s="11">
        <v>138</v>
      </c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</row>
    <row r="33" spans="1:159" x14ac:dyDescent="0.25">
      <c r="A33" s="7" t="str">
        <f t="shared" si="0"/>
        <v>78689857868985</v>
      </c>
      <c r="B33" s="9" t="s">
        <v>270</v>
      </c>
      <c r="C33" s="9" t="s">
        <v>269</v>
      </c>
      <c r="D33" s="9">
        <v>516</v>
      </c>
      <c r="E33" s="9" t="s">
        <v>382</v>
      </c>
      <c r="F33" s="9" t="s">
        <v>383</v>
      </c>
      <c r="G33" s="9" t="s">
        <v>395</v>
      </c>
      <c r="H33" s="17">
        <v>46233</v>
      </c>
      <c r="I33" s="17"/>
      <c r="J33" s="17"/>
      <c r="K33" s="10">
        <v>48</v>
      </c>
      <c r="L33" s="10">
        <f t="shared" si="1"/>
        <v>4</v>
      </c>
      <c r="M33" s="11">
        <v>1</v>
      </c>
      <c r="N33" s="11">
        <v>11</v>
      </c>
      <c r="O33" s="11">
        <v>15</v>
      </c>
      <c r="P33" s="11">
        <v>21</v>
      </c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</row>
    <row r="34" spans="1:159" x14ac:dyDescent="0.25">
      <c r="A34" s="7" t="str">
        <f t="shared" si="0"/>
        <v>78689867868986</v>
      </c>
      <c r="B34" s="9" t="s">
        <v>247</v>
      </c>
      <c r="C34" s="9" t="s">
        <v>246</v>
      </c>
      <c r="D34" s="9">
        <v>528</v>
      </c>
      <c r="E34" s="9" t="s">
        <v>382</v>
      </c>
      <c r="F34" s="9" t="s">
        <v>383</v>
      </c>
      <c r="G34" s="9" t="s">
        <v>395</v>
      </c>
      <c r="H34" s="17">
        <v>46232</v>
      </c>
      <c r="I34" s="17"/>
      <c r="J34" s="17"/>
      <c r="K34" s="10">
        <v>132</v>
      </c>
      <c r="L34" s="10">
        <f t="shared" si="1"/>
        <v>11</v>
      </c>
      <c r="M34" s="11">
        <v>9</v>
      </c>
      <c r="N34" s="11">
        <v>11</v>
      </c>
      <c r="O34" s="11">
        <v>12</v>
      </c>
      <c r="P34" s="11">
        <v>13</v>
      </c>
      <c r="Q34" s="11">
        <v>14</v>
      </c>
      <c r="R34" s="11">
        <v>23</v>
      </c>
      <c r="S34" s="11">
        <v>24</v>
      </c>
      <c r="T34" s="11">
        <v>25</v>
      </c>
      <c r="U34" s="11">
        <v>31</v>
      </c>
      <c r="V34" s="11">
        <v>32</v>
      </c>
      <c r="W34" s="11">
        <v>33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</row>
    <row r="35" spans="1:159" x14ac:dyDescent="0.25">
      <c r="A35" s="7" t="str">
        <f t="shared" si="0"/>
        <v>78746617874661</v>
      </c>
      <c r="B35" s="9" t="s">
        <v>335</v>
      </c>
      <c r="C35" s="9" t="s">
        <v>2</v>
      </c>
      <c r="D35" s="9">
        <v>456</v>
      </c>
      <c r="E35" s="9" t="s">
        <v>382</v>
      </c>
      <c r="F35" s="9" t="s">
        <v>396</v>
      </c>
      <c r="G35" s="9" t="s">
        <v>394</v>
      </c>
      <c r="H35" s="17">
        <v>46238</v>
      </c>
      <c r="I35" s="17"/>
      <c r="J35" s="17"/>
      <c r="K35" s="10">
        <v>216</v>
      </c>
      <c r="L35" s="10">
        <f t="shared" si="1"/>
        <v>36</v>
      </c>
      <c r="M35" s="11">
        <v>7</v>
      </c>
      <c r="N35" s="11">
        <v>8</v>
      </c>
      <c r="O35" s="11">
        <v>12</v>
      </c>
      <c r="P35" s="11">
        <v>13</v>
      </c>
      <c r="Q35" s="11">
        <v>14</v>
      </c>
      <c r="R35" s="11">
        <v>17</v>
      </c>
      <c r="S35" s="11">
        <v>18</v>
      </c>
      <c r="T35" s="11">
        <v>19</v>
      </c>
      <c r="U35" s="11">
        <v>23</v>
      </c>
      <c r="V35" s="11">
        <v>24</v>
      </c>
      <c r="W35" s="11">
        <v>25</v>
      </c>
      <c r="X35" s="11">
        <v>26</v>
      </c>
      <c r="Y35" s="11">
        <v>27</v>
      </c>
      <c r="Z35" s="11">
        <v>28</v>
      </c>
      <c r="AA35" s="11">
        <v>29</v>
      </c>
      <c r="AB35" s="11">
        <v>30</v>
      </c>
      <c r="AC35" s="11">
        <v>31</v>
      </c>
      <c r="AD35" s="11">
        <v>32</v>
      </c>
      <c r="AE35" s="11">
        <v>33</v>
      </c>
      <c r="AF35" s="11">
        <v>40</v>
      </c>
      <c r="AG35" s="11">
        <v>41</v>
      </c>
      <c r="AH35" s="11">
        <v>42</v>
      </c>
      <c r="AI35" s="11">
        <v>43</v>
      </c>
      <c r="AJ35" s="11">
        <v>44</v>
      </c>
      <c r="AK35" s="11">
        <v>45</v>
      </c>
      <c r="AL35" s="11">
        <v>46</v>
      </c>
      <c r="AM35" s="11">
        <v>47</v>
      </c>
      <c r="AN35" s="11">
        <v>48</v>
      </c>
      <c r="AO35" s="11">
        <v>56</v>
      </c>
      <c r="AP35" s="11">
        <v>57</v>
      </c>
      <c r="AQ35" s="11">
        <v>58</v>
      </c>
      <c r="AR35" s="11">
        <v>59</v>
      </c>
      <c r="AS35" s="11">
        <v>60</v>
      </c>
      <c r="AT35" s="11">
        <v>61</v>
      </c>
      <c r="AU35" s="11">
        <v>62</v>
      </c>
      <c r="AV35" s="11">
        <v>63</v>
      </c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</row>
    <row r="36" spans="1:159" x14ac:dyDescent="0.25">
      <c r="A36" s="7" t="str">
        <f t="shared" si="0"/>
        <v>78786917878691</v>
      </c>
      <c r="B36" s="9" t="s">
        <v>351</v>
      </c>
      <c r="C36" s="9" t="s">
        <v>2</v>
      </c>
      <c r="D36" s="9">
        <v>1926</v>
      </c>
      <c r="E36" s="9" t="s">
        <v>382</v>
      </c>
      <c r="F36" s="9" t="s">
        <v>383</v>
      </c>
      <c r="G36" s="9" t="s">
        <v>395</v>
      </c>
      <c r="H36" s="17">
        <v>46239</v>
      </c>
      <c r="I36" s="17"/>
      <c r="J36" s="17"/>
      <c r="K36" s="10">
        <v>756</v>
      </c>
      <c r="L36" s="10">
        <f t="shared" si="1"/>
        <v>63</v>
      </c>
      <c r="M36" s="11">
        <v>1</v>
      </c>
      <c r="N36" s="11">
        <v>2</v>
      </c>
      <c r="O36" s="11">
        <v>3</v>
      </c>
      <c r="P36" s="11">
        <v>7</v>
      </c>
      <c r="Q36" s="11">
        <v>8</v>
      </c>
      <c r="R36" s="11">
        <v>9</v>
      </c>
      <c r="S36" s="11">
        <v>10</v>
      </c>
      <c r="T36" s="11">
        <v>21</v>
      </c>
      <c r="U36" s="11">
        <v>22</v>
      </c>
      <c r="V36" s="11">
        <v>25</v>
      </c>
      <c r="W36" s="11">
        <v>26</v>
      </c>
      <c r="X36" s="11">
        <v>27</v>
      </c>
      <c r="Y36" s="11">
        <v>28</v>
      </c>
      <c r="Z36" s="11">
        <v>29</v>
      </c>
      <c r="AA36" s="11">
        <v>30</v>
      </c>
      <c r="AB36" s="11">
        <v>31</v>
      </c>
      <c r="AC36" s="11">
        <v>32</v>
      </c>
      <c r="AD36" s="11">
        <v>33</v>
      </c>
      <c r="AE36" s="11">
        <v>34</v>
      </c>
      <c r="AF36" s="11">
        <v>35</v>
      </c>
      <c r="AG36" s="11">
        <v>56</v>
      </c>
      <c r="AH36" s="11">
        <v>57</v>
      </c>
      <c r="AI36" s="11">
        <v>58</v>
      </c>
      <c r="AJ36" s="11">
        <v>59</v>
      </c>
      <c r="AK36" s="11">
        <v>60</v>
      </c>
      <c r="AL36" s="11">
        <v>61</v>
      </c>
      <c r="AM36" s="11">
        <v>62</v>
      </c>
      <c r="AN36" s="11">
        <v>63</v>
      </c>
      <c r="AO36" s="11">
        <v>64</v>
      </c>
      <c r="AP36" s="11">
        <v>65</v>
      </c>
      <c r="AQ36" s="11">
        <v>66</v>
      </c>
      <c r="AR36" s="11">
        <v>67</v>
      </c>
      <c r="AS36" s="11">
        <v>90</v>
      </c>
      <c r="AT36" s="11">
        <v>91</v>
      </c>
      <c r="AU36" s="11">
        <v>92</v>
      </c>
      <c r="AV36" s="11">
        <v>93</v>
      </c>
      <c r="AW36" s="11">
        <v>94</v>
      </c>
      <c r="AX36" s="11">
        <v>95</v>
      </c>
      <c r="AY36" s="11">
        <v>96</v>
      </c>
      <c r="AZ36" s="11">
        <v>97</v>
      </c>
      <c r="BA36" s="11">
        <v>98</v>
      </c>
      <c r="BB36" s="11">
        <v>124</v>
      </c>
      <c r="BC36" s="11">
        <v>125</v>
      </c>
      <c r="BD36" s="11">
        <v>126</v>
      </c>
      <c r="BE36" s="11">
        <v>127</v>
      </c>
      <c r="BF36" s="11">
        <v>128</v>
      </c>
      <c r="BG36" s="11">
        <v>129</v>
      </c>
      <c r="BH36" s="11">
        <v>130</v>
      </c>
      <c r="BI36" s="11">
        <v>131</v>
      </c>
      <c r="BJ36" s="11">
        <v>132</v>
      </c>
      <c r="BK36" s="11">
        <v>133</v>
      </c>
      <c r="BL36" s="11">
        <v>134</v>
      </c>
      <c r="BM36" s="11">
        <v>135</v>
      </c>
      <c r="BN36" s="11">
        <v>136</v>
      </c>
      <c r="BO36" s="11">
        <v>137</v>
      </c>
      <c r="BP36" s="11">
        <v>138</v>
      </c>
      <c r="BQ36" s="11">
        <v>150</v>
      </c>
      <c r="BR36" s="11">
        <v>151</v>
      </c>
      <c r="BS36" s="11">
        <v>152</v>
      </c>
      <c r="BT36" s="11">
        <v>153</v>
      </c>
      <c r="BU36" s="11">
        <v>154</v>
      </c>
      <c r="BV36" s="11">
        <v>155</v>
      </c>
      <c r="BW36" s="11">
        <v>156</v>
      </c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</row>
    <row r="37" spans="1:159" x14ac:dyDescent="0.25">
      <c r="A37" s="7" t="str">
        <f t="shared" si="0"/>
        <v>C132937C132937</v>
      </c>
      <c r="B37" s="9" t="s">
        <v>185</v>
      </c>
      <c r="C37" s="9" t="s">
        <v>55</v>
      </c>
      <c r="D37" s="9">
        <v>810</v>
      </c>
      <c r="E37" s="9" t="s">
        <v>397</v>
      </c>
      <c r="F37" s="9" t="s">
        <v>398</v>
      </c>
      <c r="G37" s="9" t="s">
        <v>399</v>
      </c>
      <c r="H37" s="17">
        <v>46226</v>
      </c>
      <c r="I37" s="17"/>
      <c r="J37" s="17"/>
      <c r="K37" s="10">
        <v>132</v>
      </c>
      <c r="L37" s="10">
        <f t="shared" si="1"/>
        <v>11</v>
      </c>
      <c r="M37" s="11">
        <v>6</v>
      </c>
      <c r="N37" s="11">
        <v>9</v>
      </c>
      <c r="O37" s="11">
        <v>15</v>
      </c>
      <c r="P37" s="11">
        <v>16</v>
      </c>
      <c r="Q37" s="11">
        <v>23</v>
      </c>
      <c r="R37" s="11">
        <v>25</v>
      </c>
      <c r="S37" s="11">
        <v>31</v>
      </c>
      <c r="T37" s="11">
        <v>42</v>
      </c>
      <c r="U37" s="11">
        <v>43</v>
      </c>
      <c r="V37" s="11">
        <v>52</v>
      </c>
      <c r="W37" s="11">
        <v>53</v>
      </c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</row>
    <row r="38" spans="1:159" x14ac:dyDescent="0.25">
      <c r="A38" s="7" t="str">
        <f t="shared" si="0"/>
        <v>C132941C132941</v>
      </c>
      <c r="B38" s="9" t="s">
        <v>253</v>
      </c>
      <c r="C38" s="9" t="s">
        <v>5</v>
      </c>
      <c r="D38" s="9">
        <v>960</v>
      </c>
      <c r="E38" s="9" t="s">
        <v>397</v>
      </c>
      <c r="F38" s="9" t="s">
        <v>398</v>
      </c>
      <c r="G38" s="9" t="s">
        <v>399</v>
      </c>
      <c r="H38" s="17">
        <v>46233</v>
      </c>
      <c r="I38" s="17"/>
      <c r="J38" s="17"/>
      <c r="K38" s="10">
        <v>300</v>
      </c>
      <c r="L38" s="10">
        <f t="shared" si="1"/>
        <v>25</v>
      </c>
      <c r="M38" s="11">
        <v>16</v>
      </c>
      <c r="N38" s="11">
        <v>17</v>
      </c>
      <c r="O38" s="11">
        <v>18</v>
      </c>
      <c r="P38" s="11">
        <v>19</v>
      </c>
      <c r="Q38" s="11">
        <v>28</v>
      </c>
      <c r="R38" s="11">
        <v>29</v>
      </c>
      <c r="S38" s="11">
        <v>39</v>
      </c>
      <c r="T38" s="11">
        <v>40</v>
      </c>
      <c r="U38" s="11">
        <v>41</v>
      </c>
      <c r="V38" s="11">
        <v>42</v>
      </c>
      <c r="W38" s="11">
        <v>43</v>
      </c>
      <c r="X38" s="11">
        <v>44</v>
      </c>
      <c r="Y38" s="11">
        <v>45</v>
      </c>
      <c r="Z38" s="11">
        <v>53</v>
      </c>
      <c r="AA38" s="11">
        <v>54</v>
      </c>
      <c r="AB38" s="11">
        <v>55</v>
      </c>
      <c r="AC38" s="11">
        <v>56</v>
      </c>
      <c r="AD38" s="11">
        <v>57</v>
      </c>
      <c r="AE38" s="11">
        <v>58</v>
      </c>
      <c r="AF38" s="11">
        <v>65</v>
      </c>
      <c r="AG38" s="11">
        <v>66</v>
      </c>
      <c r="AH38" s="11">
        <v>67</v>
      </c>
      <c r="AI38" s="11">
        <v>68</v>
      </c>
      <c r="AJ38" s="11">
        <v>69</v>
      </c>
      <c r="AK38" s="11">
        <v>70</v>
      </c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</row>
    <row r="39" spans="1:159" x14ac:dyDescent="0.25">
      <c r="A39" s="7" t="str">
        <f t="shared" si="0"/>
        <v>C132946C132946</v>
      </c>
      <c r="B39" s="9" t="s">
        <v>188</v>
      </c>
      <c r="C39" s="9" t="s">
        <v>80</v>
      </c>
      <c r="D39" s="9">
        <v>570</v>
      </c>
      <c r="E39" s="9" t="s">
        <v>397</v>
      </c>
      <c r="F39" s="9" t="s">
        <v>400</v>
      </c>
      <c r="G39" s="9" t="s">
        <v>401</v>
      </c>
      <c r="H39" s="17">
        <v>46226</v>
      </c>
      <c r="I39" s="17">
        <v>46232</v>
      </c>
      <c r="J39" s="17">
        <v>46232</v>
      </c>
      <c r="K39" s="10">
        <v>300</v>
      </c>
      <c r="L39" s="10">
        <f t="shared" si="1"/>
        <v>25</v>
      </c>
      <c r="M39" s="11">
        <v>1</v>
      </c>
      <c r="N39" s="11">
        <v>2</v>
      </c>
      <c r="O39" s="11">
        <v>3</v>
      </c>
      <c r="P39" s="11">
        <v>7</v>
      </c>
      <c r="Q39" s="11">
        <v>8</v>
      </c>
      <c r="R39" s="11">
        <v>9</v>
      </c>
      <c r="S39" s="11">
        <v>12</v>
      </c>
      <c r="T39" s="11">
        <v>13</v>
      </c>
      <c r="U39" s="11">
        <v>14</v>
      </c>
      <c r="V39" s="11">
        <v>15</v>
      </c>
      <c r="W39" s="11">
        <v>19</v>
      </c>
      <c r="X39" s="11">
        <v>20</v>
      </c>
      <c r="Y39" s="11">
        <v>25</v>
      </c>
      <c r="Z39" s="11">
        <v>26</v>
      </c>
      <c r="AA39" s="11">
        <v>27</v>
      </c>
      <c r="AB39" s="11">
        <v>30</v>
      </c>
      <c r="AC39" s="11">
        <v>32</v>
      </c>
      <c r="AD39" s="11">
        <v>35</v>
      </c>
      <c r="AE39" s="11">
        <v>36</v>
      </c>
      <c r="AF39" s="11">
        <v>37</v>
      </c>
      <c r="AG39" s="11">
        <v>38</v>
      </c>
      <c r="AH39" s="11">
        <v>39</v>
      </c>
      <c r="AI39" s="11">
        <v>41</v>
      </c>
      <c r="AJ39" s="11">
        <v>42</v>
      </c>
      <c r="AK39" s="11">
        <v>43</v>
      </c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</row>
    <row r="40" spans="1:159" x14ac:dyDescent="0.25">
      <c r="A40" s="7" t="str">
        <f t="shared" si="0"/>
        <v>H121187H121187</v>
      </c>
      <c r="B40" s="9" t="s">
        <v>111</v>
      </c>
      <c r="C40" s="9" t="s">
        <v>1</v>
      </c>
      <c r="D40" s="9">
        <v>210</v>
      </c>
      <c r="E40" s="9" t="s">
        <v>402</v>
      </c>
      <c r="F40" s="9" t="s">
        <v>403</v>
      </c>
      <c r="G40" s="9" t="s">
        <v>404</v>
      </c>
      <c r="H40" s="17">
        <v>46217</v>
      </c>
      <c r="I40" s="17">
        <v>46238</v>
      </c>
      <c r="J40" s="17">
        <v>46238</v>
      </c>
      <c r="K40" s="10">
        <v>174</v>
      </c>
      <c r="L40" s="10">
        <f t="shared" si="1"/>
        <v>15</v>
      </c>
      <c r="M40" s="11">
        <v>1</v>
      </c>
      <c r="N40" s="11">
        <v>2</v>
      </c>
      <c r="O40" s="11">
        <v>3</v>
      </c>
      <c r="P40" s="11">
        <v>4</v>
      </c>
      <c r="Q40" s="11">
        <v>6</v>
      </c>
      <c r="R40" s="11">
        <v>7</v>
      </c>
      <c r="S40" s="11">
        <v>8</v>
      </c>
      <c r="T40" s="11">
        <v>9</v>
      </c>
      <c r="U40" s="11">
        <v>10</v>
      </c>
      <c r="V40" s="11">
        <v>11</v>
      </c>
      <c r="W40" s="11">
        <v>12</v>
      </c>
      <c r="X40" s="11">
        <v>13</v>
      </c>
      <c r="Y40" s="11">
        <v>14</v>
      </c>
      <c r="Z40" s="11">
        <v>15</v>
      </c>
      <c r="AA40" s="11">
        <v>17</v>
      </c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</row>
    <row r="41" spans="1:159" x14ac:dyDescent="0.25">
      <c r="A41" s="7" t="str">
        <f t="shared" si="0"/>
        <v>H121199H121199</v>
      </c>
      <c r="B41" s="9" t="s">
        <v>99</v>
      </c>
      <c r="C41" s="9" t="s">
        <v>3</v>
      </c>
      <c r="D41" s="9">
        <v>210</v>
      </c>
      <c r="E41" s="9" t="s">
        <v>402</v>
      </c>
      <c r="F41" s="9" t="s">
        <v>403</v>
      </c>
      <c r="G41" s="9" t="s">
        <v>404</v>
      </c>
      <c r="H41" s="17">
        <v>46216</v>
      </c>
      <c r="I41" s="17">
        <v>46221</v>
      </c>
      <c r="J41" s="17">
        <v>46223</v>
      </c>
      <c r="K41" s="10">
        <v>150</v>
      </c>
      <c r="L41" s="10">
        <f t="shared" si="1"/>
        <v>13</v>
      </c>
      <c r="M41" s="11">
        <v>1</v>
      </c>
      <c r="N41" s="11">
        <v>2</v>
      </c>
      <c r="O41" s="11">
        <v>3</v>
      </c>
      <c r="P41" s="11">
        <v>4</v>
      </c>
      <c r="Q41" s="11">
        <v>6</v>
      </c>
      <c r="R41" s="11">
        <v>7</v>
      </c>
      <c r="S41" s="11">
        <v>8</v>
      </c>
      <c r="T41" s="11">
        <v>9</v>
      </c>
      <c r="U41" s="11">
        <v>11</v>
      </c>
      <c r="V41" s="11">
        <v>12</v>
      </c>
      <c r="W41" s="11">
        <v>13</v>
      </c>
      <c r="X41" s="11">
        <v>15</v>
      </c>
      <c r="Y41" s="11">
        <v>18</v>
      </c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</row>
    <row r="42" spans="1:159" x14ac:dyDescent="0.25">
      <c r="A42" s="7" t="str">
        <f t="shared" si="0"/>
        <v>H121213H121213</v>
      </c>
      <c r="B42" s="9" t="s">
        <v>98</v>
      </c>
      <c r="C42" s="9" t="s">
        <v>26</v>
      </c>
      <c r="D42" s="9">
        <v>210</v>
      </c>
      <c r="E42" s="9" t="s">
        <v>402</v>
      </c>
      <c r="F42" s="9" t="s">
        <v>403</v>
      </c>
      <c r="G42" s="9" t="s">
        <v>404</v>
      </c>
      <c r="H42" s="17">
        <v>46216</v>
      </c>
      <c r="I42" s="17">
        <v>46220</v>
      </c>
      <c r="J42" s="17">
        <v>46220</v>
      </c>
      <c r="K42" s="10">
        <v>132</v>
      </c>
      <c r="L42" s="10">
        <f t="shared" si="1"/>
        <v>11</v>
      </c>
      <c r="M42" s="11">
        <v>3</v>
      </c>
      <c r="N42" s="11">
        <v>5</v>
      </c>
      <c r="O42" s="11">
        <v>6</v>
      </c>
      <c r="P42" s="11">
        <v>8</v>
      </c>
      <c r="Q42" s="11">
        <v>9</v>
      </c>
      <c r="R42" s="11">
        <v>11</v>
      </c>
      <c r="S42" s="11">
        <v>13</v>
      </c>
      <c r="T42" s="11">
        <v>14</v>
      </c>
      <c r="U42" s="11">
        <v>15</v>
      </c>
      <c r="V42" s="11">
        <v>16</v>
      </c>
      <c r="W42" s="11">
        <v>17</v>
      </c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</row>
    <row r="43" spans="1:159" x14ac:dyDescent="0.25">
      <c r="A43" s="7" t="str">
        <f t="shared" si="0"/>
        <v>H122224H122224</v>
      </c>
      <c r="B43" s="9" t="s">
        <v>104</v>
      </c>
      <c r="C43" s="9" t="s">
        <v>64</v>
      </c>
      <c r="D43" s="9">
        <v>300</v>
      </c>
      <c r="E43" s="9" t="s">
        <v>402</v>
      </c>
      <c r="F43" s="9" t="s">
        <v>403</v>
      </c>
      <c r="G43" s="9" t="s">
        <v>404</v>
      </c>
      <c r="H43" s="17">
        <v>46216</v>
      </c>
      <c r="I43" s="17">
        <v>46221</v>
      </c>
      <c r="J43" s="17">
        <v>46223</v>
      </c>
      <c r="K43" s="10">
        <v>144</v>
      </c>
      <c r="L43" s="10">
        <f t="shared" si="1"/>
        <v>12</v>
      </c>
      <c r="M43" s="11">
        <v>1</v>
      </c>
      <c r="N43" s="11">
        <v>3</v>
      </c>
      <c r="O43" s="11">
        <v>4</v>
      </c>
      <c r="P43" s="11">
        <v>6</v>
      </c>
      <c r="Q43" s="11">
        <v>7</v>
      </c>
      <c r="R43" s="11">
        <v>8</v>
      </c>
      <c r="S43" s="11">
        <v>9</v>
      </c>
      <c r="T43" s="11">
        <v>10</v>
      </c>
      <c r="U43" s="11">
        <v>15</v>
      </c>
      <c r="V43" s="11">
        <v>16</v>
      </c>
      <c r="W43" s="11">
        <v>17</v>
      </c>
      <c r="X43" s="11">
        <v>21</v>
      </c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</row>
    <row r="44" spans="1:159" x14ac:dyDescent="0.25">
      <c r="A44" s="7" t="str">
        <f t="shared" si="0"/>
        <v>H122225H122225</v>
      </c>
      <c r="B44" s="9" t="s">
        <v>107</v>
      </c>
      <c r="C44" s="9" t="s">
        <v>64</v>
      </c>
      <c r="D44" s="9">
        <v>300</v>
      </c>
      <c r="E44" s="9" t="s">
        <v>402</v>
      </c>
      <c r="F44" s="9" t="s">
        <v>403</v>
      </c>
      <c r="G44" s="9" t="s">
        <v>404</v>
      </c>
      <c r="H44" s="17">
        <v>46217</v>
      </c>
      <c r="I44" s="17">
        <v>46239</v>
      </c>
      <c r="J44" s="17">
        <v>46239</v>
      </c>
      <c r="K44" s="10">
        <v>216</v>
      </c>
      <c r="L44" s="10">
        <f t="shared" si="1"/>
        <v>18</v>
      </c>
      <c r="M44" s="11">
        <v>1</v>
      </c>
      <c r="N44" s="11">
        <v>4</v>
      </c>
      <c r="O44" s="11">
        <v>5</v>
      </c>
      <c r="P44" s="11">
        <v>6</v>
      </c>
      <c r="Q44" s="11">
        <v>7</v>
      </c>
      <c r="R44" s="11">
        <v>8</v>
      </c>
      <c r="S44" s="11">
        <v>9</v>
      </c>
      <c r="T44" s="11">
        <v>10</v>
      </c>
      <c r="U44" s="11">
        <v>11</v>
      </c>
      <c r="V44" s="11">
        <v>13</v>
      </c>
      <c r="W44" s="11">
        <v>14</v>
      </c>
      <c r="X44" s="11">
        <v>15</v>
      </c>
      <c r="Y44" s="11">
        <v>17</v>
      </c>
      <c r="Z44" s="11">
        <v>18</v>
      </c>
      <c r="AA44" s="11">
        <v>19</v>
      </c>
      <c r="AB44" s="11">
        <v>20</v>
      </c>
      <c r="AC44" s="11">
        <v>22</v>
      </c>
      <c r="AD44" s="11">
        <v>23</v>
      </c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</row>
    <row r="45" spans="1:159" x14ac:dyDescent="0.25">
      <c r="A45" s="7" t="str">
        <f t="shared" si="0"/>
        <v>H133512H133512</v>
      </c>
      <c r="B45" s="9" t="s">
        <v>276</v>
      </c>
      <c r="C45" s="9" t="s">
        <v>1</v>
      </c>
      <c r="D45" s="9">
        <v>288</v>
      </c>
      <c r="E45" s="9" t="s">
        <v>405</v>
      </c>
      <c r="F45" s="9" t="s">
        <v>406</v>
      </c>
      <c r="G45" s="9" t="s">
        <v>404</v>
      </c>
      <c r="H45" s="17">
        <v>46234</v>
      </c>
      <c r="I45" s="17"/>
      <c r="J45" s="17"/>
      <c r="K45" s="10">
        <v>192</v>
      </c>
      <c r="L45" s="10">
        <f t="shared" si="1"/>
        <v>16</v>
      </c>
      <c r="M45" s="11">
        <v>1</v>
      </c>
      <c r="N45" s="11">
        <v>2</v>
      </c>
      <c r="O45" s="11">
        <v>3</v>
      </c>
      <c r="P45" s="11">
        <v>5</v>
      </c>
      <c r="Q45" s="11">
        <v>6</v>
      </c>
      <c r="R45" s="11">
        <v>7</v>
      </c>
      <c r="S45" s="11">
        <v>9</v>
      </c>
      <c r="T45" s="11">
        <v>10</v>
      </c>
      <c r="U45" s="11">
        <v>11</v>
      </c>
      <c r="V45" s="11">
        <v>13</v>
      </c>
      <c r="W45" s="11">
        <v>14</v>
      </c>
      <c r="X45" s="11">
        <v>15</v>
      </c>
      <c r="Y45" s="11">
        <v>17</v>
      </c>
      <c r="Z45" s="11">
        <v>18</v>
      </c>
      <c r="AA45" s="11">
        <v>22</v>
      </c>
      <c r="AB45" s="11">
        <v>23</v>
      </c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</row>
    <row r="46" spans="1:159" x14ac:dyDescent="0.25">
      <c r="A46" s="7" t="str">
        <f t="shared" si="0"/>
        <v>H133521H133521</v>
      </c>
      <c r="B46" s="9" t="s">
        <v>40</v>
      </c>
      <c r="C46" s="9" t="s">
        <v>11</v>
      </c>
      <c r="D46" s="9">
        <v>288</v>
      </c>
      <c r="E46" s="9" t="s">
        <v>405</v>
      </c>
      <c r="F46" s="9" t="s">
        <v>406</v>
      </c>
      <c r="G46" s="9" t="s">
        <v>404</v>
      </c>
      <c r="H46" s="17">
        <v>46177</v>
      </c>
      <c r="I46" s="17">
        <v>46210</v>
      </c>
      <c r="J46" s="17">
        <v>46210</v>
      </c>
      <c r="K46" s="10">
        <v>72</v>
      </c>
      <c r="L46" s="10">
        <f t="shared" si="1"/>
        <v>6</v>
      </c>
      <c r="M46" s="11">
        <v>3</v>
      </c>
      <c r="N46" s="11">
        <v>7</v>
      </c>
      <c r="O46" s="11">
        <v>8</v>
      </c>
      <c r="P46" s="11">
        <v>13</v>
      </c>
      <c r="Q46" s="11">
        <v>14</v>
      </c>
      <c r="R46" s="11">
        <v>15</v>
      </c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</row>
    <row r="47" spans="1:159" x14ac:dyDescent="0.25">
      <c r="A47" s="7" t="str">
        <f t="shared" si="0"/>
        <v>H139683H139683</v>
      </c>
      <c r="B47" s="9" t="s">
        <v>82</v>
      </c>
      <c r="C47" s="9" t="s">
        <v>37</v>
      </c>
      <c r="D47" s="9">
        <v>948</v>
      </c>
      <c r="E47" s="9" t="s">
        <v>407</v>
      </c>
      <c r="F47" s="9" t="s">
        <v>408</v>
      </c>
      <c r="G47" s="9" t="s">
        <v>404</v>
      </c>
      <c r="H47" s="17">
        <v>46205</v>
      </c>
      <c r="I47" s="17">
        <v>46234</v>
      </c>
      <c r="J47" s="17">
        <v>46238</v>
      </c>
      <c r="K47" s="10">
        <v>144</v>
      </c>
      <c r="L47" s="10">
        <f t="shared" si="1"/>
        <v>12</v>
      </c>
      <c r="M47" s="11">
        <v>1</v>
      </c>
      <c r="N47" s="11">
        <v>13</v>
      </c>
      <c r="O47" s="11">
        <v>33</v>
      </c>
      <c r="P47" s="11">
        <v>42</v>
      </c>
      <c r="Q47" s="11">
        <v>44</v>
      </c>
      <c r="R47" s="11">
        <v>46</v>
      </c>
      <c r="S47" s="11">
        <v>57</v>
      </c>
      <c r="T47" s="11">
        <v>58</v>
      </c>
      <c r="U47" s="11">
        <v>60</v>
      </c>
      <c r="V47" s="11">
        <v>69</v>
      </c>
      <c r="W47" s="11">
        <v>74</v>
      </c>
      <c r="X47" s="11">
        <v>75</v>
      </c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</row>
    <row r="48" spans="1:159" x14ac:dyDescent="0.25">
      <c r="A48" s="7" t="str">
        <f t="shared" si="0"/>
        <v>H147384H147384</v>
      </c>
      <c r="B48" s="9" t="s">
        <v>125</v>
      </c>
      <c r="C48" s="9" t="s">
        <v>69</v>
      </c>
      <c r="D48" s="9">
        <v>1620</v>
      </c>
      <c r="E48" s="9" t="s">
        <v>409</v>
      </c>
      <c r="F48" s="9" t="s">
        <v>410</v>
      </c>
      <c r="G48" s="9" t="s">
        <v>411</v>
      </c>
      <c r="H48" s="17">
        <v>46219</v>
      </c>
      <c r="I48" s="17">
        <v>46225</v>
      </c>
      <c r="J48" s="17">
        <v>46226</v>
      </c>
      <c r="K48" s="10">
        <v>192</v>
      </c>
      <c r="L48" s="10">
        <f t="shared" si="1"/>
        <v>16</v>
      </c>
      <c r="M48" s="11">
        <v>1</v>
      </c>
      <c r="N48" s="11">
        <v>8</v>
      </c>
      <c r="O48" s="11">
        <v>10</v>
      </c>
      <c r="P48" s="11">
        <v>13</v>
      </c>
      <c r="Q48" s="11">
        <v>22</v>
      </c>
      <c r="R48" s="11">
        <v>23</v>
      </c>
      <c r="S48" s="11">
        <v>29</v>
      </c>
      <c r="T48" s="11">
        <v>33</v>
      </c>
      <c r="U48" s="11">
        <v>37</v>
      </c>
      <c r="V48" s="11">
        <v>38</v>
      </c>
      <c r="W48" s="11">
        <v>40</v>
      </c>
      <c r="X48" s="11">
        <v>44</v>
      </c>
      <c r="Y48" s="11">
        <v>45</v>
      </c>
      <c r="Z48" s="11">
        <v>46</v>
      </c>
      <c r="AA48" s="11">
        <v>49</v>
      </c>
      <c r="AB48" s="11">
        <v>50</v>
      </c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</row>
    <row r="49" spans="1:159" x14ac:dyDescent="0.25">
      <c r="A49" s="7" t="str">
        <f t="shared" si="0"/>
        <v>H147386H147386</v>
      </c>
      <c r="B49" s="9" t="s">
        <v>186</v>
      </c>
      <c r="C49" s="9" t="s">
        <v>50</v>
      </c>
      <c r="D49" s="9">
        <v>1920</v>
      </c>
      <c r="E49" s="9" t="s">
        <v>409</v>
      </c>
      <c r="F49" s="9" t="s">
        <v>410</v>
      </c>
      <c r="G49" s="9" t="s">
        <v>411</v>
      </c>
      <c r="H49" s="17">
        <v>46226</v>
      </c>
      <c r="I49" s="17">
        <v>46231</v>
      </c>
      <c r="J49" s="17">
        <v>46231</v>
      </c>
      <c r="K49" s="10">
        <v>192</v>
      </c>
      <c r="L49" s="10">
        <f t="shared" si="1"/>
        <v>16</v>
      </c>
      <c r="M49" s="11">
        <v>82</v>
      </c>
      <c r="N49" s="11">
        <v>83</v>
      </c>
      <c r="O49" s="11">
        <v>84</v>
      </c>
      <c r="P49" s="11">
        <v>85</v>
      </c>
      <c r="Q49" s="11">
        <v>86</v>
      </c>
      <c r="R49" s="11">
        <v>87</v>
      </c>
      <c r="S49" s="11">
        <v>88</v>
      </c>
      <c r="T49" s="11">
        <v>89</v>
      </c>
      <c r="U49" s="11">
        <v>91</v>
      </c>
      <c r="V49" s="11">
        <v>92</v>
      </c>
      <c r="W49" s="11">
        <v>93</v>
      </c>
      <c r="X49" s="11">
        <v>94</v>
      </c>
      <c r="Y49" s="11">
        <v>95</v>
      </c>
      <c r="Z49" s="11">
        <v>96</v>
      </c>
      <c r="AA49" s="11">
        <v>99</v>
      </c>
      <c r="AB49" s="11">
        <v>100</v>
      </c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</row>
    <row r="50" spans="1:159" x14ac:dyDescent="0.25">
      <c r="A50" s="7" t="str">
        <f t="shared" si="0"/>
        <v>H147387H147387</v>
      </c>
      <c r="B50" s="9" t="s">
        <v>213</v>
      </c>
      <c r="C50" s="9" t="s">
        <v>50</v>
      </c>
      <c r="D50" s="9">
        <v>552</v>
      </c>
      <c r="E50" s="9" t="s">
        <v>409</v>
      </c>
      <c r="F50" s="9" t="s">
        <v>410</v>
      </c>
      <c r="G50" s="9" t="s">
        <v>411</v>
      </c>
      <c r="H50" s="17">
        <v>46230</v>
      </c>
      <c r="I50" s="17">
        <v>46232</v>
      </c>
      <c r="J50" s="17">
        <v>46232</v>
      </c>
      <c r="K50" s="10">
        <v>288</v>
      </c>
      <c r="L50" s="10">
        <f t="shared" si="1"/>
        <v>24</v>
      </c>
      <c r="M50" s="11">
        <v>2</v>
      </c>
      <c r="N50" s="11">
        <v>9</v>
      </c>
      <c r="O50" s="11">
        <v>10</v>
      </c>
      <c r="P50" s="11">
        <v>13</v>
      </c>
      <c r="Q50" s="11">
        <v>14</v>
      </c>
      <c r="R50" s="11">
        <v>15</v>
      </c>
      <c r="S50" s="11">
        <v>16</v>
      </c>
      <c r="T50" s="11">
        <v>17</v>
      </c>
      <c r="U50" s="11">
        <v>18</v>
      </c>
      <c r="V50" s="11">
        <v>19</v>
      </c>
      <c r="W50" s="11">
        <v>20</v>
      </c>
      <c r="X50" s="11">
        <v>21</v>
      </c>
      <c r="Y50" s="11">
        <v>22</v>
      </c>
      <c r="Z50" s="11">
        <v>23</v>
      </c>
      <c r="AA50" s="11">
        <v>24</v>
      </c>
      <c r="AB50" s="11">
        <v>25</v>
      </c>
      <c r="AC50" s="11">
        <v>26</v>
      </c>
      <c r="AD50" s="11">
        <v>27</v>
      </c>
      <c r="AE50" s="11">
        <v>28</v>
      </c>
      <c r="AF50" s="11">
        <v>29</v>
      </c>
      <c r="AG50" s="11">
        <v>33</v>
      </c>
      <c r="AH50" s="11">
        <v>34</v>
      </c>
      <c r="AI50" s="11">
        <v>36</v>
      </c>
      <c r="AJ50" s="11">
        <v>39</v>
      </c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</row>
    <row r="51" spans="1:159" x14ac:dyDescent="0.25">
      <c r="A51" s="7" t="str">
        <f t="shared" si="0"/>
        <v>H147410H147410</v>
      </c>
      <c r="B51" s="9" t="s">
        <v>339</v>
      </c>
      <c r="C51" s="9" t="s">
        <v>69</v>
      </c>
      <c r="D51" s="9">
        <v>210</v>
      </c>
      <c r="E51" s="9" t="s">
        <v>412</v>
      </c>
      <c r="F51" s="9" t="s">
        <v>413</v>
      </c>
      <c r="G51" s="9" t="s">
        <v>404</v>
      </c>
      <c r="H51" s="17">
        <v>46238</v>
      </c>
      <c r="I51" s="17"/>
      <c r="J51" s="17"/>
      <c r="K51" s="10">
        <v>168</v>
      </c>
      <c r="L51" s="10">
        <f t="shared" si="1"/>
        <v>15</v>
      </c>
      <c r="M51" s="11">
        <v>1</v>
      </c>
      <c r="N51" s="11">
        <v>2</v>
      </c>
      <c r="O51" s="11">
        <v>3</v>
      </c>
      <c r="P51" s="11">
        <v>4</v>
      </c>
      <c r="Q51" s="11">
        <v>8</v>
      </c>
      <c r="R51" s="11">
        <v>9</v>
      </c>
      <c r="S51" s="11">
        <v>10</v>
      </c>
      <c r="T51" s="11">
        <v>11</v>
      </c>
      <c r="U51" s="11">
        <v>12</v>
      </c>
      <c r="V51" s="11">
        <v>13</v>
      </c>
      <c r="W51" s="11">
        <v>14</v>
      </c>
      <c r="X51" s="11">
        <v>15</v>
      </c>
      <c r="Y51" s="11">
        <v>16</v>
      </c>
      <c r="Z51" s="11">
        <v>17</v>
      </c>
      <c r="AA51" s="11">
        <v>19</v>
      </c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</row>
    <row r="52" spans="1:159" x14ac:dyDescent="0.25">
      <c r="A52" s="7" t="str">
        <f t="shared" si="0"/>
        <v>H147412H147412</v>
      </c>
      <c r="B52" s="9" t="s">
        <v>189</v>
      </c>
      <c r="C52" s="9" t="s">
        <v>66</v>
      </c>
      <c r="D52" s="9">
        <v>144</v>
      </c>
      <c r="E52" s="9" t="s">
        <v>414</v>
      </c>
      <c r="F52" s="9" t="s">
        <v>415</v>
      </c>
      <c r="G52" s="9" t="s">
        <v>404</v>
      </c>
      <c r="H52" s="17">
        <v>46226</v>
      </c>
      <c r="I52" s="17">
        <v>46234</v>
      </c>
      <c r="J52" s="17">
        <v>46237</v>
      </c>
      <c r="K52" s="10">
        <v>12</v>
      </c>
      <c r="L52" s="10">
        <f t="shared" si="1"/>
        <v>1</v>
      </c>
      <c r="M52" s="11">
        <v>10</v>
      </c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</row>
    <row r="53" spans="1:159" x14ac:dyDescent="0.25">
      <c r="A53" s="7" t="str">
        <f t="shared" si="0"/>
        <v>H147413H147413</v>
      </c>
      <c r="B53" s="9" t="s">
        <v>140</v>
      </c>
      <c r="C53" s="9" t="s">
        <v>69</v>
      </c>
      <c r="D53" s="9">
        <v>144</v>
      </c>
      <c r="E53" s="9" t="s">
        <v>414</v>
      </c>
      <c r="F53" s="9" t="s">
        <v>415</v>
      </c>
      <c r="G53" s="9" t="s">
        <v>404</v>
      </c>
      <c r="H53" s="17">
        <v>46223</v>
      </c>
      <c r="I53" s="17">
        <v>46230</v>
      </c>
      <c r="J53" s="17">
        <v>46230</v>
      </c>
      <c r="K53" s="10">
        <v>120</v>
      </c>
      <c r="L53" s="10">
        <f t="shared" si="1"/>
        <v>10</v>
      </c>
      <c r="M53" s="11">
        <v>1</v>
      </c>
      <c r="N53" s="11">
        <v>2</v>
      </c>
      <c r="O53" s="11">
        <v>3</v>
      </c>
      <c r="P53" s="11">
        <v>4</v>
      </c>
      <c r="Q53" s="11">
        <v>7</v>
      </c>
      <c r="R53" s="11">
        <v>8</v>
      </c>
      <c r="S53" s="11">
        <v>9</v>
      </c>
      <c r="T53" s="11">
        <v>10</v>
      </c>
      <c r="U53" s="11">
        <v>11</v>
      </c>
      <c r="V53" s="11">
        <v>12</v>
      </c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</row>
    <row r="54" spans="1:159" x14ac:dyDescent="0.25">
      <c r="A54" s="7" t="str">
        <f t="shared" si="0"/>
        <v>H147415H147415</v>
      </c>
      <c r="B54" s="9" t="s">
        <v>313</v>
      </c>
      <c r="C54" s="9" t="s">
        <v>50</v>
      </c>
      <c r="D54" s="9">
        <v>300</v>
      </c>
      <c r="E54" s="9" t="s">
        <v>412</v>
      </c>
      <c r="F54" s="9" t="s">
        <v>413</v>
      </c>
      <c r="G54" s="9" t="s">
        <v>404</v>
      </c>
      <c r="H54" s="17">
        <v>46237</v>
      </c>
      <c r="I54" s="17">
        <v>46238</v>
      </c>
      <c r="J54" s="17">
        <v>46239</v>
      </c>
      <c r="K54" s="10">
        <v>96</v>
      </c>
      <c r="L54" s="10">
        <f t="shared" si="1"/>
        <v>10</v>
      </c>
      <c r="M54" s="11">
        <v>4</v>
      </c>
      <c r="N54" s="11">
        <v>5</v>
      </c>
      <c r="O54" s="11">
        <v>7</v>
      </c>
      <c r="P54" s="11">
        <v>10</v>
      </c>
      <c r="Q54" s="11">
        <v>11</v>
      </c>
      <c r="R54" s="11">
        <v>21</v>
      </c>
      <c r="S54" s="11">
        <v>23</v>
      </c>
      <c r="T54" s="11">
        <v>24</v>
      </c>
      <c r="U54" s="11">
        <v>27</v>
      </c>
      <c r="V54" s="11">
        <v>28</v>
      </c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</row>
    <row r="55" spans="1:159" x14ac:dyDescent="0.25">
      <c r="A55" s="7" t="str">
        <f t="shared" si="0"/>
        <v>H147464H147464</v>
      </c>
      <c r="B55" s="9" t="s">
        <v>143</v>
      </c>
      <c r="C55" s="9" t="s">
        <v>69</v>
      </c>
      <c r="D55" s="9">
        <v>234</v>
      </c>
      <c r="E55" s="9" t="s">
        <v>416</v>
      </c>
      <c r="F55" s="9" t="s">
        <v>417</v>
      </c>
      <c r="G55" s="9" t="s">
        <v>404</v>
      </c>
      <c r="H55" s="17">
        <v>46223</v>
      </c>
      <c r="I55" s="17">
        <v>46231</v>
      </c>
      <c r="J55" s="17">
        <v>46231</v>
      </c>
      <c r="K55" s="10">
        <v>120</v>
      </c>
      <c r="L55" s="10">
        <f t="shared" si="1"/>
        <v>10</v>
      </c>
      <c r="M55" s="11">
        <v>1</v>
      </c>
      <c r="N55" s="11">
        <v>4</v>
      </c>
      <c r="O55" s="11">
        <v>5</v>
      </c>
      <c r="P55" s="11">
        <v>6</v>
      </c>
      <c r="Q55" s="11">
        <v>10</v>
      </c>
      <c r="R55" s="11">
        <v>13</v>
      </c>
      <c r="S55" s="11">
        <v>14</v>
      </c>
      <c r="T55" s="11">
        <v>15</v>
      </c>
      <c r="U55" s="11">
        <v>17</v>
      </c>
      <c r="V55" s="11">
        <v>18</v>
      </c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</row>
    <row r="56" spans="1:159" x14ac:dyDescent="0.25">
      <c r="A56" s="7" t="str">
        <f t="shared" si="0"/>
        <v>H147467H147467</v>
      </c>
      <c r="B56" s="9" t="s">
        <v>173</v>
      </c>
      <c r="C56" s="9" t="s">
        <v>69</v>
      </c>
      <c r="D56" s="9">
        <v>168</v>
      </c>
      <c r="E56" s="9" t="s">
        <v>418</v>
      </c>
      <c r="F56" s="9" t="s">
        <v>419</v>
      </c>
      <c r="G56" s="9" t="s">
        <v>404</v>
      </c>
      <c r="H56" s="17">
        <v>46225</v>
      </c>
      <c r="I56" s="17">
        <v>46230</v>
      </c>
      <c r="J56" s="17">
        <v>46231</v>
      </c>
      <c r="K56" s="10">
        <v>60</v>
      </c>
      <c r="L56" s="10">
        <f t="shared" si="1"/>
        <v>5</v>
      </c>
      <c r="M56" s="11">
        <v>2</v>
      </c>
      <c r="N56" s="11">
        <v>3</v>
      </c>
      <c r="O56" s="11">
        <v>8</v>
      </c>
      <c r="P56" s="11">
        <v>9</v>
      </c>
      <c r="Q56" s="11">
        <v>13</v>
      </c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</row>
    <row r="57" spans="1:159" x14ac:dyDescent="0.25">
      <c r="A57" s="7" t="str">
        <f t="shared" si="0"/>
        <v>H147469H147469</v>
      </c>
      <c r="B57" s="9" t="s">
        <v>218</v>
      </c>
      <c r="C57" s="9" t="s">
        <v>50</v>
      </c>
      <c r="D57" s="9">
        <v>216</v>
      </c>
      <c r="E57" s="9" t="s">
        <v>416</v>
      </c>
      <c r="F57" s="9" t="s">
        <v>417</v>
      </c>
      <c r="G57" s="9" t="s">
        <v>404</v>
      </c>
      <c r="H57" s="17">
        <v>46231</v>
      </c>
      <c r="I57" s="17">
        <v>46231</v>
      </c>
      <c r="J57" s="17">
        <v>46232</v>
      </c>
      <c r="K57" s="10">
        <v>216</v>
      </c>
      <c r="L57" s="10">
        <f t="shared" si="1"/>
        <v>20</v>
      </c>
      <c r="M57" s="11">
        <v>1</v>
      </c>
      <c r="N57" s="11">
        <v>2</v>
      </c>
      <c r="O57" s="11">
        <v>3</v>
      </c>
      <c r="P57" s="11">
        <v>4</v>
      </c>
      <c r="Q57" s="11">
        <v>5</v>
      </c>
      <c r="R57" s="11">
        <v>6</v>
      </c>
      <c r="S57" s="11">
        <v>7</v>
      </c>
      <c r="T57" s="11">
        <v>8</v>
      </c>
      <c r="U57" s="11">
        <v>9</v>
      </c>
      <c r="V57" s="11">
        <v>10</v>
      </c>
      <c r="W57" s="11">
        <v>11</v>
      </c>
      <c r="X57" s="11">
        <v>12</v>
      </c>
      <c r="Y57" s="11">
        <v>13</v>
      </c>
      <c r="Z57" s="11">
        <v>14</v>
      </c>
      <c r="AA57" s="11">
        <v>15</v>
      </c>
      <c r="AB57" s="11">
        <v>16</v>
      </c>
      <c r="AC57" s="11">
        <v>17</v>
      </c>
      <c r="AD57" s="11">
        <v>18</v>
      </c>
      <c r="AE57" s="11">
        <v>19</v>
      </c>
      <c r="AF57" s="11">
        <v>20</v>
      </c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</row>
    <row r="58" spans="1:159" x14ac:dyDescent="0.25">
      <c r="A58" s="7" t="str">
        <f t="shared" si="0"/>
        <v>H147482H147482</v>
      </c>
      <c r="B58" s="9" t="s">
        <v>165</v>
      </c>
      <c r="C58" s="9" t="s">
        <v>69</v>
      </c>
      <c r="D58" s="9">
        <v>156</v>
      </c>
      <c r="E58" s="9" t="s">
        <v>405</v>
      </c>
      <c r="F58" s="9" t="s">
        <v>406</v>
      </c>
      <c r="G58" s="9" t="s">
        <v>404</v>
      </c>
      <c r="H58" s="17">
        <v>46224</v>
      </c>
      <c r="I58" s="17">
        <v>46234</v>
      </c>
      <c r="J58" s="17">
        <v>46234</v>
      </c>
      <c r="K58" s="10">
        <v>90</v>
      </c>
      <c r="L58" s="10">
        <f t="shared" si="1"/>
        <v>8</v>
      </c>
      <c r="M58" s="11">
        <v>2</v>
      </c>
      <c r="N58" s="11">
        <v>5</v>
      </c>
      <c r="O58" s="11">
        <v>8</v>
      </c>
      <c r="P58" s="11">
        <v>9</v>
      </c>
      <c r="Q58" s="11">
        <v>10</v>
      </c>
      <c r="R58" s="11">
        <v>11</v>
      </c>
      <c r="S58" s="11">
        <v>12</v>
      </c>
      <c r="T58" s="11">
        <v>14</v>
      </c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</row>
    <row r="59" spans="1:159" x14ac:dyDescent="0.25">
      <c r="A59" s="7" t="str">
        <f t="shared" si="0"/>
        <v>H147499H147499</v>
      </c>
      <c r="B59" s="9" t="s">
        <v>219</v>
      </c>
      <c r="C59" s="9" t="s">
        <v>50</v>
      </c>
      <c r="D59" s="9">
        <v>864</v>
      </c>
      <c r="E59" s="9" t="s">
        <v>405</v>
      </c>
      <c r="F59" s="9" t="s">
        <v>406</v>
      </c>
      <c r="G59" s="9" t="s">
        <v>404</v>
      </c>
      <c r="H59" s="17">
        <v>46231</v>
      </c>
      <c r="I59" s="17">
        <v>46238</v>
      </c>
      <c r="J59" s="17">
        <v>46238</v>
      </c>
      <c r="K59" s="10">
        <v>576</v>
      </c>
      <c r="L59" s="10">
        <f t="shared" si="1"/>
        <v>48</v>
      </c>
      <c r="M59" s="11">
        <v>1</v>
      </c>
      <c r="N59" s="11">
        <v>2</v>
      </c>
      <c r="O59" s="11">
        <v>3</v>
      </c>
      <c r="P59" s="11">
        <v>5</v>
      </c>
      <c r="Q59" s="11">
        <v>6</v>
      </c>
      <c r="R59" s="11">
        <v>7</v>
      </c>
      <c r="S59" s="11">
        <v>8</v>
      </c>
      <c r="T59" s="11">
        <v>9</v>
      </c>
      <c r="U59" s="11">
        <v>10</v>
      </c>
      <c r="V59" s="11">
        <v>15</v>
      </c>
      <c r="W59" s="11">
        <v>16</v>
      </c>
      <c r="X59" s="11">
        <v>17</v>
      </c>
      <c r="Y59" s="11">
        <v>18</v>
      </c>
      <c r="Z59" s="11">
        <v>19</v>
      </c>
      <c r="AA59" s="11">
        <v>20</v>
      </c>
      <c r="AB59" s="11">
        <v>21</v>
      </c>
      <c r="AC59" s="11">
        <v>23</v>
      </c>
      <c r="AD59" s="11">
        <v>24</v>
      </c>
      <c r="AE59" s="11">
        <v>29</v>
      </c>
      <c r="AF59" s="11">
        <v>30</v>
      </c>
      <c r="AG59" s="11">
        <v>34</v>
      </c>
      <c r="AH59" s="11">
        <v>35</v>
      </c>
      <c r="AI59" s="11">
        <v>36</v>
      </c>
      <c r="AJ59" s="11">
        <v>38</v>
      </c>
      <c r="AK59" s="11">
        <v>39</v>
      </c>
      <c r="AL59" s="11">
        <v>40</v>
      </c>
      <c r="AM59" s="11">
        <v>41</v>
      </c>
      <c r="AN59" s="11">
        <v>42</v>
      </c>
      <c r="AO59" s="11">
        <v>43</v>
      </c>
      <c r="AP59" s="11">
        <v>44</v>
      </c>
      <c r="AQ59" s="11">
        <v>46</v>
      </c>
      <c r="AR59" s="11">
        <v>47</v>
      </c>
      <c r="AS59" s="11">
        <v>50</v>
      </c>
      <c r="AT59" s="11">
        <v>51</v>
      </c>
      <c r="AU59" s="11">
        <v>52</v>
      </c>
      <c r="AV59" s="11">
        <v>53</v>
      </c>
      <c r="AW59" s="11">
        <v>54</v>
      </c>
      <c r="AX59" s="11">
        <v>55</v>
      </c>
      <c r="AY59" s="11">
        <v>56</v>
      </c>
      <c r="AZ59" s="11">
        <v>57</v>
      </c>
      <c r="BA59" s="11">
        <v>58</v>
      </c>
      <c r="BB59" s="11">
        <v>59</v>
      </c>
      <c r="BC59" s="11">
        <v>60</v>
      </c>
      <c r="BD59" s="11">
        <v>61</v>
      </c>
      <c r="BE59" s="11">
        <v>62</v>
      </c>
      <c r="BF59" s="11">
        <v>63</v>
      </c>
      <c r="BG59" s="11">
        <v>64</v>
      </c>
      <c r="BH59" s="11">
        <v>65</v>
      </c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</row>
    <row r="60" spans="1:159" x14ac:dyDescent="0.25">
      <c r="A60" s="7" t="str">
        <f t="shared" si="0"/>
        <v>H147532H147532</v>
      </c>
      <c r="B60" s="9" t="s">
        <v>113</v>
      </c>
      <c r="C60" s="9" t="s">
        <v>66</v>
      </c>
      <c r="D60" s="9">
        <v>156</v>
      </c>
      <c r="E60" s="9" t="s">
        <v>407</v>
      </c>
      <c r="F60" s="9" t="s">
        <v>408</v>
      </c>
      <c r="G60" s="9" t="s">
        <v>404</v>
      </c>
      <c r="H60" s="17">
        <v>46217</v>
      </c>
      <c r="I60" s="17">
        <v>46220</v>
      </c>
      <c r="J60" s="17">
        <v>46224</v>
      </c>
      <c r="K60" s="10">
        <v>72</v>
      </c>
      <c r="L60" s="10">
        <f t="shared" si="1"/>
        <v>6</v>
      </c>
      <c r="M60" s="11">
        <v>1</v>
      </c>
      <c r="N60" s="11">
        <v>4</v>
      </c>
      <c r="O60" s="11">
        <v>6</v>
      </c>
      <c r="P60" s="11">
        <v>9</v>
      </c>
      <c r="Q60" s="11">
        <v>11</v>
      </c>
      <c r="R60" s="11">
        <v>13</v>
      </c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</row>
    <row r="61" spans="1:159" x14ac:dyDescent="0.25">
      <c r="A61" s="7" t="str">
        <f t="shared" si="0"/>
        <v>H147535H147535</v>
      </c>
      <c r="B61" s="9" t="s">
        <v>83</v>
      </c>
      <c r="C61" s="9" t="s">
        <v>69</v>
      </c>
      <c r="D61" s="9">
        <v>1488</v>
      </c>
      <c r="E61" s="9" t="s">
        <v>407</v>
      </c>
      <c r="F61" s="9" t="s">
        <v>408</v>
      </c>
      <c r="G61" s="9" t="s">
        <v>404</v>
      </c>
      <c r="H61" s="17">
        <v>46206</v>
      </c>
      <c r="I61" s="17">
        <v>46224</v>
      </c>
      <c r="J61" s="17">
        <v>46224</v>
      </c>
      <c r="K61" s="10">
        <v>696</v>
      </c>
      <c r="L61" s="10">
        <f t="shared" si="1"/>
        <v>58</v>
      </c>
      <c r="M61" s="11">
        <v>9</v>
      </c>
      <c r="N61" s="11">
        <v>10</v>
      </c>
      <c r="O61" s="11">
        <v>12</v>
      </c>
      <c r="P61" s="11">
        <v>13</v>
      </c>
      <c r="Q61" s="11">
        <v>14</v>
      </c>
      <c r="R61" s="11">
        <v>16</v>
      </c>
      <c r="S61" s="11">
        <v>22</v>
      </c>
      <c r="T61" s="11">
        <v>23</v>
      </c>
      <c r="U61" s="11">
        <v>24</v>
      </c>
      <c r="V61" s="11">
        <v>26</v>
      </c>
      <c r="W61" s="11">
        <v>27</v>
      </c>
      <c r="X61" s="11">
        <v>29</v>
      </c>
      <c r="Y61" s="11">
        <v>30</v>
      </c>
      <c r="Z61" s="11">
        <v>31</v>
      </c>
      <c r="AA61" s="11">
        <v>32</v>
      </c>
      <c r="AB61" s="11">
        <v>33</v>
      </c>
      <c r="AC61" s="11">
        <v>41</v>
      </c>
      <c r="AD61" s="11">
        <v>42</v>
      </c>
      <c r="AE61" s="11">
        <v>43</v>
      </c>
      <c r="AF61" s="11">
        <v>44</v>
      </c>
      <c r="AG61" s="11">
        <v>45</v>
      </c>
      <c r="AH61" s="11">
        <v>46</v>
      </c>
      <c r="AI61" s="11">
        <v>53</v>
      </c>
      <c r="AJ61" s="11">
        <v>54</v>
      </c>
      <c r="AK61" s="11">
        <v>55</v>
      </c>
      <c r="AL61" s="11">
        <v>56</v>
      </c>
      <c r="AM61" s="11">
        <v>57</v>
      </c>
      <c r="AN61" s="11">
        <v>58</v>
      </c>
      <c r="AO61" s="11">
        <v>59</v>
      </c>
      <c r="AP61" s="11">
        <v>61</v>
      </c>
      <c r="AQ61" s="11">
        <v>63</v>
      </c>
      <c r="AR61" s="11">
        <v>70</v>
      </c>
      <c r="AS61" s="11">
        <v>71</v>
      </c>
      <c r="AT61" s="11">
        <v>72</v>
      </c>
      <c r="AU61" s="11">
        <v>73</v>
      </c>
      <c r="AV61" s="11">
        <v>74</v>
      </c>
      <c r="AW61" s="11">
        <v>77</v>
      </c>
      <c r="AX61" s="11">
        <v>80</v>
      </c>
      <c r="AY61" s="11">
        <v>81</v>
      </c>
      <c r="AZ61" s="11">
        <v>82</v>
      </c>
      <c r="BA61" s="11">
        <v>83</v>
      </c>
      <c r="BB61" s="11">
        <v>85</v>
      </c>
      <c r="BC61" s="11">
        <v>86</v>
      </c>
      <c r="BD61" s="11">
        <v>87</v>
      </c>
      <c r="BE61" s="11">
        <v>88</v>
      </c>
      <c r="BF61" s="11">
        <v>90</v>
      </c>
      <c r="BG61" s="11">
        <v>95</v>
      </c>
      <c r="BH61" s="11">
        <v>96</v>
      </c>
      <c r="BI61" s="11">
        <v>97</v>
      </c>
      <c r="BJ61" s="11">
        <v>98</v>
      </c>
      <c r="BK61" s="11">
        <v>99</v>
      </c>
      <c r="BL61" s="11">
        <v>101</v>
      </c>
      <c r="BM61" s="11">
        <v>103</v>
      </c>
      <c r="BN61" s="11">
        <v>117</v>
      </c>
      <c r="BO61" s="11">
        <v>118</v>
      </c>
      <c r="BP61" s="11">
        <v>119</v>
      </c>
      <c r="BQ61" s="11">
        <v>120</v>
      </c>
      <c r="BR61" s="11">
        <v>123</v>
      </c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</row>
    <row r="62" spans="1:159" x14ac:dyDescent="0.25">
      <c r="A62" s="7" t="str">
        <f t="shared" si="0"/>
        <v>H148317H148317</v>
      </c>
      <c r="B62" s="9" t="s">
        <v>94</v>
      </c>
      <c r="C62" s="9" t="s">
        <v>26</v>
      </c>
      <c r="D62" s="9">
        <v>504</v>
      </c>
      <c r="E62" s="9" t="s">
        <v>420</v>
      </c>
      <c r="F62" s="9" t="s">
        <v>421</v>
      </c>
      <c r="G62" s="9" t="s">
        <v>404</v>
      </c>
      <c r="H62" s="17">
        <v>46213</v>
      </c>
      <c r="I62" s="17">
        <v>46238</v>
      </c>
      <c r="J62" s="17">
        <v>46238</v>
      </c>
      <c r="K62" s="10">
        <v>84</v>
      </c>
      <c r="L62" s="10">
        <f t="shared" si="1"/>
        <v>14</v>
      </c>
      <c r="M62" s="11">
        <v>17</v>
      </c>
      <c r="N62" s="11">
        <v>20</v>
      </c>
      <c r="O62" s="11">
        <v>25</v>
      </c>
      <c r="P62" s="11">
        <v>29</v>
      </c>
      <c r="Q62" s="11">
        <v>30</v>
      </c>
      <c r="R62" s="11">
        <v>40</v>
      </c>
      <c r="S62" s="11">
        <v>48</v>
      </c>
      <c r="T62" s="11">
        <v>53</v>
      </c>
      <c r="U62" s="11">
        <v>56</v>
      </c>
      <c r="V62" s="11">
        <v>61</v>
      </c>
      <c r="W62" s="11">
        <v>62</v>
      </c>
      <c r="X62" s="11">
        <v>66</v>
      </c>
      <c r="Y62" s="11">
        <v>77</v>
      </c>
      <c r="Z62" s="11">
        <v>80</v>
      </c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</row>
    <row r="63" spans="1:159" x14ac:dyDescent="0.25">
      <c r="A63" s="7" t="str">
        <f t="shared" si="0"/>
        <v>H148442H148442</v>
      </c>
      <c r="B63" s="9" t="s">
        <v>90</v>
      </c>
      <c r="C63" s="9" t="s">
        <v>26</v>
      </c>
      <c r="D63" s="9">
        <v>1542</v>
      </c>
      <c r="E63" s="9" t="s">
        <v>407</v>
      </c>
      <c r="F63" s="9" t="s">
        <v>408</v>
      </c>
      <c r="G63" s="9" t="s">
        <v>404</v>
      </c>
      <c r="H63" s="17">
        <v>46211</v>
      </c>
      <c r="I63" s="17">
        <v>46228</v>
      </c>
      <c r="J63" s="17">
        <v>46227</v>
      </c>
      <c r="K63" s="10">
        <v>168</v>
      </c>
      <c r="L63" s="10">
        <f t="shared" si="1"/>
        <v>14</v>
      </c>
      <c r="M63" s="11">
        <v>23</v>
      </c>
      <c r="N63" s="11">
        <v>24</v>
      </c>
      <c r="O63" s="11">
        <v>64</v>
      </c>
      <c r="P63" s="11">
        <v>65</v>
      </c>
      <c r="Q63" s="11">
        <v>66</v>
      </c>
      <c r="R63" s="11">
        <v>67</v>
      </c>
      <c r="S63" s="11">
        <v>88</v>
      </c>
      <c r="T63" s="11">
        <v>89</v>
      </c>
      <c r="U63" s="11">
        <v>90</v>
      </c>
      <c r="V63" s="11">
        <v>91</v>
      </c>
      <c r="W63" s="11">
        <v>110</v>
      </c>
      <c r="X63" s="11">
        <v>111</v>
      </c>
      <c r="Y63" s="11">
        <v>112</v>
      </c>
      <c r="Z63" s="11">
        <v>113</v>
      </c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</row>
    <row r="64" spans="1:159" x14ac:dyDescent="0.25">
      <c r="A64" s="7" t="str">
        <f t="shared" si="0"/>
        <v>H148598H148598</v>
      </c>
      <c r="B64" s="9" t="s">
        <v>118</v>
      </c>
      <c r="C64" s="9" t="s">
        <v>53</v>
      </c>
      <c r="D64" s="9">
        <v>504</v>
      </c>
      <c r="E64" s="9" t="s">
        <v>414</v>
      </c>
      <c r="F64" s="9" t="s">
        <v>415</v>
      </c>
      <c r="G64" s="9" t="s">
        <v>404</v>
      </c>
      <c r="H64" s="17">
        <v>46218</v>
      </c>
      <c r="I64" s="17">
        <v>46225</v>
      </c>
      <c r="J64" s="17">
        <v>46226</v>
      </c>
      <c r="K64" s="10">
        <v>252</v>
      </c>
      <c r="L64" s="10">
        <f t="shared" si="1"/>
        <v>21</v>
      </c>
      <c r="M64" s="11">
        <v>2</v>
      </c>
      <c r="N64" s="11">
        <v>3</v>
      </c>
      <c r="O64" s="11">
        <v>4</v>
      </c>
      <c r="P64" s="11">
        <v>5</v>
      </c>
      <c r="Q64" s="11">
        <v>6</v>
      </c>
      <c r="R64" s="11">
        <v>16</v>
      </c>
      <c r="S64" s="11">
        <v>17</v>
      </c>
      <c r="T64" s="11">
        <v>18</v>
      </c>
      <c r="U64" s="11">
        <v>19</v>
      </c>
      <c r="V64" s="11">
        <v>20</v>
      </c>
      <c r="W64" s="11">
        <v>21</v>
      </c>
      <c r="X64" s="11">
        <v>23</v>
      </c>
      <c r="Y64" s="11">
        <v>24</v>
      </c>
      <c r="Z64" s="11">
        <v>28</v>
      </c>
      <c r="AA64" s="11">
        <v>29</v>
      </c>
      <c r="AB64" s="11">
        <v>30</v>
      </c>
      <c r="AC64" s="11">
        <v>31</v>
      </c>
      <c r="AD64" s="11">
        <v>32</v>
      </c>
      <c r="AE64" s="11">
        <v>33</v>
      </c>
      <c r="AF64" s="11">
        <v>35</v>
      </c>
      <c r="AG64" s="11">
        <v>37</v>
      </c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</row>
    <row r="65" spans="1:159" x14ac:dyDescent="0.25">
      <c r="A65" s="7" t="str">
        <f t="shared" si="0"/>
        <v>H148600H148600</v>
      </c>
      <c r="B65" s="9" t="s">
        <v>131</v>
      </c>
      <c r="C65" s="9" t="s">
        <v>10</v>
      </c>
      <c r="D65" s="9">
        <v>516</v>
      </c>
      <c r="E65" s="9" t="s">
        <v>414</v>
      </c>
      <c r="F65" s="9" t="s">
        <v>415</v>
      </c>
      <c r="G65" s="9" t="s">
        <v>404</v>
      </c>
      <c r="H65" s="17">
        <v>46220</v>
      </c>
      <c r="I65" s="17">
        <v>46223</v>
      </c>
      <c r="J65" s="17">
        <v>46224</v>
      </c>
      <c r="K65" s="10">
        <v>480</v>
      </c>
      <c r="L65" s="10">
        <f t="shared" si="1"/>
        <v>40</v>
      </c>
      <c r="M65" s="11">
        <v>1</v>
      </c>
      <c r="N65" s="11">
        <v>2</v>
      </c>
      <c r="O65" s="11">
        <v>3</v>
      </c>
      <c r="P65" s="11">
        <v>4</v>
      </c>
      <c r="Q65" s="11">
        <v>5</v>
      </c>
      <c r="R65" s="11">
        <v>6</v>
      </c>
      <c r="S65" s="11">
        <v>7</v>
      </c>
      <c r="T65" s="11">
        <v>8</v>
      </c>
      <c r="U65" s="11">
        <v>9</v>
      </c>
      <c r="V65" s="11">
        <v>11</v>
      </c>
      <c r="W65" s="11">
        <v>12</v>
      </c>
      <c r="X65" s="11">
        <v>13</v>
      </c>
      <c r="Y65" s="11">
        <v>14</v>
      </c>
      <c r="Z65" s="11">
        <v>15</v>
      </c>
      <c r="AA65" s="11">
        <v>16</v>
      </c>
      <c r="AB65" s="11">
        <v>17</v>
      </c>
      <c r="AC65" s="11">
        <v>18</v>
      </c>
      <c r="AD65" s="11">
        <v>19</v>
      </c>
      <c r="AE65" s="11">
        <v>20</v>
      </c>
      <c r="AF65" s="11">
        <v>21</v>
      </c>
      <c r="AG65" s="11">
        <v>22</v>
      </c>
      <c r="AH65" s="11">
        <v>23</v>
      </c>
      <c r="AI65" s="11">
        <v>24</v>
      </c>
      <c r="AJ65" s="11">
        <v>25</v>
      </c>
      <c r="AK65" s="11">
        <v>26</v>
      </c>
      <c r="AL65" s="11">
        <v>27</v>
      </c>
      <c r="AM65" s="11">
        <v>28</v>
      </c>
      <c r="AN65" s="11">
        <v>29</v>
      </c>
      <c r="AO65" s="11">
        <v>30</v>
      </c>
      <c r="AP65" s="11">
        <v>31</v>
      </c>
      <c r="AQ65" s="11">
        <v>32</v>
      </c>
      <c r="AR65" s="11">
        <v>33</v>
      </c>
      <c r="AS65" s="11">
        <v>34</v>
      </c>
      <c r="AT65" s="11">
        <v>36</v>
      </c>
      <c r="AU65" s="11">
        <v>37</v>
      </c>
      <c r="AV65" s="11">
        <v>38</v>
      </c>
      <c r="AW65" s="11">
        <v>39</v>
      </c>
      <c r="AX65" s="11">
        <v>40</v>
      </c>
      <c r="AY65" s="11">
        <v>42</v>
      </c>
      <c r="AZ65" s="11">
        <v>43</v>
      </c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</row>
    <row r="66" spans="1:159" x14ac:dyDescent="0.25">
      <c r="A66" s="7" t="str">
        <f t="shared" si="0"/>
        <v>H148601H148601</v>
      </c>
      <c r="B66" s="9" t="s">
        <v>117</v>
      </c>
      <c r="C66" s="9" t="s">
        <v>36</v>
      </c>
      <c r="D66" s="9">
        <v>516</v>
      </c>
      <c r="E66" s="9" t="s">
        <v>414</v>
      </c>
      <c r="F66" s="9" t="s">
        <v>415</v>
      </c>
      <c r="G66" s="9" t="s">
        <v>404</v>
      </c>
      <c r="H66" s="17">
        <v>46218</v>
      </c>
      <c r="I66" s="17">
        <v>46226</v>
      </c>
      <c r="J66" s="17">
        <v>46226</v>
      </c>
      <c r="K66" s="10">
        <v>252</v>
      </c>
      <c r="L66" s="10">
        <f t="shared" si="1"/>
        <v>21</v>
      </c>
      <c r="M66" s="11">
        <v>5</v>
      </c>
      <c r="N66" s="11">
        <v>7</v>
      </c>
      <c r="O66" s="11">
        <v>8</v>
      </c>
      <c r="P66" s="11">
        <v>9</v>
      </c>
      <c r="Q66" s="11">
        <v>17</v>
      </c>
      <c r="R66" s="11">
        <v>19</v>
      </c>
      <c r="S66" s="11">
        <v>20</v>
      </c>
      <c r="T66" s="11">
        <v>21</v>
      </c>
      <c r="U66" s="11">
        <v>22</v>
      </c>
      <c r="V66" s="11">
        <v>23</v>
      </c>
      <c r="W66" s="11">
        <v>26</v>
      </c>
      <c r="X66" s="11">
        <v>27</v>
      </c>
      <c r="Y66" s="11">
        <v>28</v>
      </c>
      <c r="Z66" s="11">
        <v>29</v>
      </c>
      <c r="AA66" s="11">
        <v>30</v>
      </c>
      <c r="AB66" s="11">
        <v>31</v>
      </c>
      <c r="AC66" s="11">
        <v>32</v>
      </c>
      <c r="AD66" s="11">
        <v>34</v>
      </c>
      <c r="AE66" s="11">
        <v>35</v>
      </c>
      <c r="AF66" s="11">
        <v>36</v>
      </c>
      <c r="AG66" s="11">
        <v>37</v>
      </c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</row>
    <row r="67" spans="1:159" x14ac:dyDescent="0.25">
      <c r="A67" s="7" t="str">
        <f t="shared" ref="A67:A130" si="2">+B67&amp;B67</f>
        <v>H148604H148604</v>
      </c>
      <c r="B67" s="9" t="s">
        <v>87</v>
      </c>
      <c r="C67" s="9" t="s">
        <v>48</v>
      </c>
      <c r="D67" s="9">
        <v>516</v>
      </c>
      <c r="E67" s="9" t="s">
        <v>414</v>
      </c>
      <c r="F67" s="9" t="s">
        <v>415</v>
      </c>
      <c r="G67" s="9" t="s">
        <v>404</v>
      </c>
      <c r="H67" s="17">
        <v>46210</v>
      </c>
      <c r="I67" s="17">
        <v>46217</v>
      </c>
      <c r="J67" s="17">
        <v>46218</v>
      </c>
      <c r="K67" s="10">
        <v>180</v>
      </c>
      <c r="L67" s="10">
        <f t="shared" ref="L67:L130" si="3">+COUNT(M67:FC67)</f>
        <v>15</v>
      </c>
      <c r="M67" s="11">
        <v>6</v>
      </c>
      <c r="N67" s="11">
        <v>22</v>
      </c>
      <c r="O67" s="11">
        <v>23</v>
      </c>
      <c r="P67" s="11">
        <v>24</v>
      </c>
      <c r="Q67" s="11">
        <v>25</v>
      </c>
      <c r="R67" s="11">
        <v>26</v>
      </c>
      <c r="S67" s="11">
        <v>27</v>
      </c>
      <c r="T67" s="11">
        <v>33</v>
      </c>
      <c r="U67" s="11">
        <v>34</v>
      </c>
      <c r="V67" s="11">
        <v>35</v>
      </c>
      <c r="W67" s="11">
        <v>36</v>
      </c>
      <c r="X67" s="11">
        <v>37</v>
      </c>
      <c r="Y67" s="11">
        <v>38</v>
      </c>
      <c r="Z67" s="11">
        <v>39</v>
      </c>
      <c r="AA67" s="11">
        <v>40</v>
      </c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</row>
    <row r="68" spans="1:159" x14ac:dyDescent="0.25">
      <c r="A68" s="7" t="str">
        <f t="shared" si="2"/>
        <v>H148606H148606</v>
      </c>
      <c r="B68" s="9" t="s">
        <v>364</v>
      </c>
      <c r="C68" s="9" t="s">
        <v>60</v>
      </c>
      <c r="D68" s="9">
        <v>504</v>
      </c>
      <c r="E68" s="9" t="s">
        <v>414</v>
      </c>
      <c r="F68" s="9" t="s">
        <v>415</v>
      </c>
      <c r="G68" s="9" t="s">
        <v>404</v>
      </c>
      <c r="H68" s="17">
        <v>46239</v>
      </c>
      <c r="I68" s="17"/>
      <c r="J68" s="17"/>
      <c r="K68" s="10">
        <v>72</v>
      </c>
      <c r="L68" s="10">
        <f t="shared" si="3"/>
        <v>6</v>
      </c>
      <c r="M68" s="11">
        <v>13</v>
      </c>
      <c r="N68" s="11">
        <v>14</v>
      </c>
      <c r="O68" s="11">
        <v>22</v>
      </c>
      <c r="P68" s="11">
        <v>24</v>
      </c>
      <c r="Q68" s="11">
        <v>26</v>
      </c>
      <c r="R68" s="11">
        <v>34</v>
      </c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</row>
    <row r="69" spans="1:159" x14ac:dyDescent="0.25">
      <c r="A69" s="7" t="str">
        <f t="shared" si="2"/>
        <v>H148607H148607</v>
      </c>
      <c r="B69" s="9" t="s">
        <v>85</v>
      </c>
      <c r="C69" s="9" t="s">
        <v>48</v>
      </c>
      <c r="D69" s="9">
        <v>210</v>
      </c>
      <c r="E69" s="9" t="s">
        <v>416</v>
      </c>
      <c r="F69" s="9" t="s">
        <v>417</v>
      </c>
      <c r="G69" s="9" t="s">
        <v>404</v>
      </c>
      <c r="H69" s="17">
        <v>46206</v>
      </c>
      <c r="I69" s="17">
        <v>46217</v>
      </c>
      <c r="J69" s="17">
        <v>46217</v>
      </c>
      <c r="K69" s="10">
        <v>96</v>
      </c>
      <c r="L69" s="10">
        <f t="shared" si="3"/>
        <v>8</v>
      </c>
      <c r="M69" s="11">
        <v>2</v>
      </c>
      <c r="N69" s="11">
        <v>3</v>
      </c>
      <c r="O69" s="11">
        <v>4</v>
      </c>
      <c r="P69" s="11">
        <v>5</v>
      </c>
      <c r="Q69" s="11">
        <v>10</v>
      </c>
      <c r="R69" s="11">
        <v>12</v>
      </c>
      <c r="S69" s="11">
        <v>14</v>
      </c>
      <c r="T69" s="11">
        <v>15</v>
      </c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</row>
    <row r="70" spans="1:159" x14ac:dyDescent="0.25">
      <c r="A70" s="7" t="str">
        <f t="shared" si="2"/>
        <v>H148616H148616</v>
      </c>
      <c r="B70" s="9" t="s">
        <v>359</v>
      </c>
      <c r="C70" s="9" t="s">
        <v>44</v>
      </c>
      <c r="D70" s="9">
        <v>504</v>
      </c>
      <c r="E70" s="9" t="s">
        <v>414</v>
      </c>
      <c r="F70" s="9" t="s">
        <v>415</v>
      </c>
      <c r="G70" s="9" t="s">
        <v>404</v>
      </c>
      <c r="H70" s="17">
        <v>46239</v>
      </c>
      <c r="I70" s="17"/>
      <c r="J70" s="17"/>
      <c r="K70" s="10">
        <v>120</v>
      </c>
      <c r="L70" s="10">
        <f t="shared" si="3"/>
        <v>10</v>
      </c>
      <c r="M70" s="11">
        <v>5</v>
      </c>
      <c r="N70" s="11">
        <v>12</v>
      </c>
      <c r="O70" s="11">
        <v>14</v>
      </c>
      <c r="P70" s="11">
        <v>21</v>
      </c>
      <c r="Q70" s="11">
        <v>22</v>
      </c>
      <c r="R70" s="11">
        <v>32</v>
      </c>
      <c r="S70" s="11">
        <v>33</v>
      </c>
      <c r="T70" s="11">
        <v>34</v>
      </c>
      <c r="U70" s="11">
        <v>35</v>
      </c>
      <c r="V70" s="11">
        <v>36</v>
      </c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</row>
    <row r="71" spans="1:159" x14ac:dyDescent="0.25">
      <c r="A71" s="7" t="str">
        <f t="shared" si="2"/>
        <v>H148645H148645</v>
      </c>
      <c r="B71" s="9" t="s">
        <v>288</v>
      </c>
      <c r="C71" s="9" t="s">
        <v>49</v>
      </c>
      <c r="D71" s="9">
        <v>210</v>
      </c>
      <c r="E71" s="9" t="s">
        <v>416</v>
      </c>
      <c r="F71" s="9" t="s">
        <v>417</v>
      </c>
      <c r="G71" s="9" t="s">
        <v>404</v>
      </c>
      <c r="H71" s="17">
        <v>46234</v>
      </c>
      <c r="I71" s="17">
        <v>46234</v>
      </c>
      <c r="J71" s="17">
        <v>46237</v>
      </c>
      <c r="K71" s="10">
        <v>210</v>
      </c>
      <c r="L71" s="10">
        <f t="shared" si="3"/>
        <v>18</v>
      </c>
      <c r="M71" s="11">
        <v>1</v>
      </c>
      <c r="N71" s="11">
        <v>2</v>
      </c>
      <c r="O71" s="11">
        <v>3</v>
      </c>
      <c r="P71" s="11">
        <v>4</v>
      </c>
      <c r="Q71" s="11">
        <v>5</v>
      </c>
      <c r="R71" s="11">
        <v>6</v>
      </c>
      <c r="S71" s="11">
        <v>7</v>
      </c>
      <c r="T71" s="11">
        <v>8</v>
      </c>
      <c r="U71" s="11">
        <v>9</v>
      </c>
      <c r="V71" s="11">
        <v>10</v>
      </c>
      <c r="W71" s="11">
        <v>11</v>
      </c>
      <c r="X71" s="11">
        <v>12</v>
      </c>
      <c r="Y71" s="11">
        <v>13</v>
      </c>
      <c r="Z71" s="11">
        <v>14</v>
      </c>
      <c r="AA71" s="11">
        <v>15</v>
      </c>
      <c r="AB71" s="11">
        <v>16</v>
      </c>
      <c r="AC71" s="11">
        <v>17</v>
      </c>
      <c r="AD71" s="11">
        <v>18</v>
      </c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</row>
    <row r="72" spans="1:159" x14ac:dyDescent="0.25">
      <c r="A72" s="7" t="str">
        <f t="shared" si="2"/>
        <v>H148651H148651</v>
      </c>
      <c r="B72" s="9" t="s">
        <v>356</v>
      </c>
      <c r="C72" s="9" t="s">
        <v>60</v>
      </c>
      <c r="D72" s="9">
        <v>54</v>
      </c>
      <c r="E72" s="9" t="s">
        <v>418</v>
      </c>
      <c r="F72" s="9" t="s">
        <v>419</v>
      </c>
      <c r="G72" s="9" t="s">
        <v>404</v>
      </c>
      <c r="H72" s="17">
        <v>46239</v>
      </c>
      <c r="I72" s="17"/>
      <c r="J72" s="17"/>
      <c r="K72" s="10">
        <v>42</v>
      </c>
      <c r="L72" s="10">
        <f t="shared" si="3"/>
        <v>5</v>
      </c>
      <c r="M72" s="11">
        <v>2</v>
      </c>
      <c r="N72" s="11">
        <v>3</v>
      </c>
      <c r="O72" s="11">
        <v>4</v>
      </c>
      <c r="P72" s="11">
        <v>5</v>
      </c>
      <c r="Q72" s="11">
        <v>6</v>
      </c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</row>
    <row r="73" spans="1:159" x14ac:dyDescent="0.25">
      <c r="A73" s="7" t="str">
        <f t="shared" si="2"/>
        <v>H148652H148652</v>
      </c>
      <c r="B73" s="9" t="s">
        <v>323</v>
      </c>
      <c r="C73" s="9" t="s">
        <v>58</v>
      </c>
      <c r="D73" s="9">
        <v>54</v>
      </c>
      <c r="E73" s="9" t="s">
        <v>418</v>
      </c>
      <c r="F73" s="9" t="s">
        <v>419</v>
      </c>
      <c r="G73" s="9" t="s">
        <v>404</v>
      </c>
      <c r="H73" s="17">
        <v>46237</v>
      </c>
      <c r="I73" s="17">
        <v>46238</v>
      </c>
      <c r="J73" s="17">
        <v>46239</v>
      </c>
      <c r="K73" s="10">
        <v>6</v>
      </c>
      <c r="L73" s="10">
        <f t="shared" si="3"/>
        <v>1</v>
      </c>
      <c r="M73" s="11">
        <v>6</v>
      </c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</row>
    <row r="74" spans="1:159" x14ac:dyDescent="0.25">
      <c r="A74" s="7" t="str">
        <f t="shared" si="2"/>
        <v>H148661H148661</v>
      </c>
      <c r="B74" s="9" t="s">
        <v>177</v>
      </c>
      <c r="C74" s="9" t="s">
        <v>49</v>
      </c>
      <c r="D74" s="9">
        <v>90</v>
      </c>
      <c r="E74" s="9" t="s">
        <v>418</v>
      </c>
      <c r="F74" s="9" t="s">
        <v>419</v>
      </c>
      <c r="G74" s="9" t="s">
        <v>404</v>
      </c>
      <c r="H74" s="17">
        <v>46226</v>
      </c>
      <c r="I74" s="17">
        <v>46227</v>
      </c>
      <c r="J74" s="17">
        <v>46227</v>
      </c>
      <c r="K74" s="10">
        <v>66</v>
      </c>
      <c r="L74" s="10">
        <f t="shared" si="3"/>
        <v>6</v>
      </c>
      <c r="M74" s="11">
        <v>1</v>
      </c>
      <c r="N74" s="11">
        <v>2</v>
      </c>
      <c r="O74" s="11">
        <v>3</v>
      </c>
      <c r="P74" s="11">
        <v>4</v>
      </c>
      <c r="Q74" s="11">
        <v>5</v>
      </c>
      <c r="R74" s="11">
        <v>9</v>
      </c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</row>
    <row r="75" spans="1:159" x14ac:dyDescent="0.25">
      <c r="A75" s="7" t="str">
        <f t="shared" si="2"/>
        <v>H148678H148678</v>
      </c>
      <c r="B75" s="9" t="s">
        <v>298</v>
      </c>
      <c r="C75" s="9" t="s">
        <v>36</v>
      </c>
      <c r="D75" s="9">
        <v>60</v>
      </c>
      <c r="E75" s="9" t="s">
        <v>416</v>
      </c>
      <c r="F75" s="9" t="s">
        <v>417</v>
      </c>
      <c r="G75" s="9" t="s">
        <v>404</v>
      </c>
      <c r="H75" s="17">
        <v>46237</v>
      </c>
      <c r="I75" s="17">
        <v>46237</v>
      </c>
      <c r="J75" s="17">
        <v>46239</v>
      </c>
      <c r="K75" s="10">
        <v>60</v>
      </c>
      <c r="L75" s="10">
        <f t="shared" si="3"/>
        <v>7</v>
      </c>
      <c r="M75" s="11">
        <v>1</v>
      </c>
      <c r="N75" s="11">
        <v>2</v>
      </c>
      <c r="O75" s="11">
        <v>3</v>
      </c>
      <c r="P75" s="11">
        <v>4</v>
      </c>
      <c r="Q75" s="11">
        <v>5</v>
      </c>
      <c r="R75" s="11">
        <v>6</v>
      </c>
      <c r="S75" s="11">
        <v>7</v>
      </c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</row>
    <row r="76" spans="1:159" x14ac:dyDescent="0.25">
      <c r="A76" s="7" t="str">
        <f t="shared" si="2"/>
        <v>H149183H149183</v>
      </c>
      <c r="B76" s="9" t="s">
        <v>159</v>
      </c>
      <c r="C76" s="9" t="s">
        <v>158</v>
      </c>
      <c r="D76" s="9">
        <v>1212</v>
      </c>
      <c r="E76" s="9" t="s">
        <v>407</v>
      </c>
      <c r="F76" s="9" t="s">
        <v>408</v>
      </c>
      <c r="G76" s="9" t="s">
        <v>404</v>
      </c>
      <c r="H76" s="17">
        <v>46224</v>
      </c>
      <c r="I76" s="17"/>
      <c r="J76" s="17">
        <v>46239</v>
      </c>
      <c r="K76" s="10">
        <v>204</v>
      </c>
      <c r="L76" s="10">
        <f t="shared" si="3"/>
        <v>17</v>
      </c>
      <c r="M76" s="11">
        <v>1</v>
      </c>
      <c r="N76" s="11">
        <v>2</v>
      </c>
      <c r="O76" s="11">
        <v>3</v>
      </c>
      <c r="P76" s="11">
        <v>4</v>
      </c>
      <c r="Q76" s="11">
        <v>21</v>
      </c>
      <c r="R76" s="11">
        <v>22</v>
      </c>
      <c r="S76" s="11">
        <v>24</v>
      </c>
      <c r="T76" s="11">
        <v>39</v>
      </c>
      <c r="U76" s="11">
        <v>40</v>
      </c>
      <c r="V76" s="11">
        <v>41</v>
      </c>
      <c r="W76" s="11">
        <v>56</v>
      </c>
      <c r="X76" s="11">
        <v>57</v>
      </c>
      <c r="Y76" s="11">
        <v>58</v>
      </c>
      <c r="Z76" s="11">
        <v>72</v>
      </c>
      <c r="AA76" s="11">
        <v>73</v>
      </c>
      <c r="AB76" s="11">
        <v>75</v>
      </c>
      <c r="AC76" s="11">
        <v>87</v>
      </c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</row>
    <row r="77" spans="1:159" x14ac:dyDescent="0.25">
      <c r="A77" s="7" t="str">
        <f t="shared" si="2"/>
        <v>H149438H149438</v>
      </c>
      <c r="B77" s="9" t="s">
        <v>156</v>
      </c>
      <c r="C77" s="9" t="s">
        <v>62</v>
      </c>
      <c r="D77" s="9">
        <v>2004</v>
      </c>
      <c r="E77" s="9" t="s">
        <v>422</v>
      </c>
      <c r="F77" s="9" t="s">
        <v>423</v>
      </c>
      <c r="G77" s="9" t="s">
        <v>404</v>
      </c>
      <c r="H77" s="17">
        <v>46224</v>
      </c>
      <c r="I77" s="17">
        <v>46237</v>
      </c>
      <c r="J77" s="17">
        <v>46237</v>
      </c>
      <c r="K77" s="10">
        <v>444</v>
      </c>
      <c r="L77" s="10">
        <f t="shared" si="3"/>
        <v>37</v>
      </c>
      <c r="M77" s="11">
        <v>2</v>
      </c>
      <c r="N77" s="11">
        <v>20</v>
      </c>
      <c r="O77" s="11">
        <v>21</v>
      </c>
      <c r="P77" s="11">
        <v>22</v>
      </c>
      <c r="Q77" s="11">
        <v>23</v>
      </c>
      <c r="R77" s="11">
        <v>24</v>
      </c>
      <c r="S77" s="11">
        <v>25</v>
      </c>
      <c r="T77" s="11">
        <v>26</v>
      </c>
      <c r="U77" s="11">
        <v>27</v>
      </c>
      <c r="V77" s="11">
        <v>28</v>
      </c>
      <c r="W77" s="11">
        <v>30</v>
      </c>
      <c r="X77" s="11">
        <v>55</v>
      </c>
      <c r="Y77" s="11">
        <v>56</v>
      </c>
      <c r="Z77" s="11">
        <v>57</v>
      </c>
      <c r="AA77" s="11">
        <v>58</v>
      </c>
      <c r="AB77" s="11">
        <v>59</v>
      </c>
      <c r="AC77" s="11">
        <v>60</v>
      </c>
      <c r="AD77" s="11">
        <v>61</v>
      </c>
      <c r="AE77" s="11">
        <v>62</v>
      </c>
      <c r="AF77" s="11">
        <v>102</v>
      </c>
      <c r="AG77" s="11">
        <v>103</v>
      </c>
      <c r="AH77" s="11">
        <v>104</v>
      </c>
      <c r="AI77" s="11">
        <v>105</v>
      </c>
      <c r="AJ77" s="11">
        <v>106</v>
      </c>
      <c r="AK77" s="11">
        <v>107</v>
      </c>
      <c r="AL77" s="11">
        <v>108</v>
      </c>
      <c r="AM77" s="11">
        <v>109</v>
      </c>
      <c r="AN77" s="11">
        <v>110</v>
      </c>
      <c r="AO77" s="11">
        <v>111</v>
      </c>
      <c r="AP77" s="11">
        <v>112</v>
      </c>
      <c r="AQ77" s="11">
        <v>113</v>
      </c>
      <c r="AR77" s="11">
        <v>114</v>
      </c>
      <c r="AS77" s="11">
        <v>115</v>
      </c>
      <c r="AT77" s="11">
        <v>116</v>
      </c>
      <c r="AU77" s="11">
        <v>117</v>
      </c>
      <c r="AV77" s="11">
        <v>118</v>
      </c>
      <c r="AW77" s="11">
        <v>119</v>
      </c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</row>
    <row r="78" spans="1:159" x14ac:dyDescent="0.25">
      <c r="A78" s="7" t="str">
        <f t="shared" si="2"/>
        <v>H149443H149443</v>
      </c>
      <c r="B78" s="9" t="s">
        <v>75</v>
      </c>
      <c r="C78" s="9" t="s">
        <v>38</v>
      </c>
      <c r="D78" s="9">
        <v>2502</v>
      </c>
      <c r="E78" s="9" t="s">
        <v>422</v>
      </c>
      <c r="F78" s="9" t="s">
        <v>423</v>
      </c>
      <c r="G78" s="9" t="s">
        <v>404</v>
      </c>
      <c r="H78" s="17">
        <v>46198</v>
      </c>
      <c r="I78" s="17">
        <v>46219</v>
      </c>
      <c r="J78" s="17">
        <v>46219</v>
      </c>
      <c r="K78" s="10">
        <v>516</v>
      </c>
      <c r="L78" s="10">
        <f t="shared" si="3"/>
        <v>43</v>
      </c>
      <c r="M78" s="11">
        <v>1</v>
      </c>
      <c r="N78" s="11">
        <v>2</v>
      </c>
      <c r="O78" s="11">
        <v>3</v>
      </c>
      <c r="P78" s="11">
        <v>4</v>
      </c>
      <c r="Q78" s="11">
        <v>5</v>
      </c>
      <c r="R78" s="11">
        <v>6</v>
      </c>
      <c r="S78" s="11">
        <v>7</v>
      </c>
      <c r="T78" s="11">
        <v>8</v>
      </c>
      <c r="U78" s="11">
        <v>9</v>
      </c>
      <c r="V78" s="11">
        <v>25</v>
      </c>
      <c r="W78" s="11">
        <v>26</v>
      </c>
      <c r="X78" s="11">
        <v>28</v>
      </c>
      <c r="Y78" s="11">
        <v>31</v>
      </c>
      <c r="Z78" s="11">
        <v>58</v>
      </c>
      <c r="AA78" s="11">
        <v>59</v>
      </c>
      <c r="AB78" s="11">
        <v>60</v>
      </c>
      <c r="AC78" s="11">
        <v>61</v>
      </c>
      <c r="AD78" s="11">
        <v>62</v>
      </c>
      <c r="AE78" s="11">
        <v>63</v>
      </c>
      <c r="AF78" s="11">
        <v>64</v>
      </c>
      <c r="AG78" s="11">
        <v>97</v>
      </c>
      <c r="AH78" s="11">
        <v>98</v>
      </c>
      <c r="AI78" s="11">
        <v>99</v>
      </c>
      <c r="AJ78" s="11">
        <v>100</v>
      </c>
      <c r="AK78" s="11">
        <v>101</v>
      </c>
      <c r="AL78" s="11">
        <v>105</v>
      </c>
      <c r="AM78" s="11">
        <v>106</v>
      </c>
      <c r="AN78" s="11">
        <v>107</v>
      </c>
      <c r="AO78" s="11">
        <v>108</v>
      </c>
      <c r="AP78" s="11">
        <v>113</v>
      </c>
      <c r="AQ78" s="11">
        <v>114</v>
      </c>
      <c r="AR78" s="11">
        <v>146</v>
      </c>
      <c r="AS78" s="11">
        <v>147</v>
      </c>
      <c r="AT78" s="11">
        <v>148</v>
      </c>
      <c r="AU78" s="11">
        <v>149</v>
      </c>
      <c r="AV78" s="11">
        <v>152</v>
      </c>
      <c r="AW78" s="11">
        <v>153</v>
      </c>
      <c r="AX78" s="11">
        <v>154</v>
      </c>
      <c r="AY78" s="11">
        <v>155</v>
      </c>
      <c r="AZ78" s="11">
        <v>156</v>
      </c>
      <c r="BA78" s="11">
        <v>161</v>
      </c>
      <c r="BB78" s="11">
        <v>162</v>
      </c>
      <c r="BC78" s="11">
        <v>186</v>
      </c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</row>
    <row r="79" spans="1:159" x14ac:dyDescent="0.25">
      <c r="A79" s="7" t="str">
        <f t="shared" si="2"/>
        <v>H149445H149445</v>
      </c>
      <c r="B79" s="9" t="s">
        <v>78</v>
      </c>
      <c r="C79" s="9" t="s">
        <v>67</v>
      </c>
      <c r="D79" s="9">
        <v>3006</v>
      </c>
      <c r="E79" s="9" t="s">
        <v>422</v>
      </c>
      <c r="F79" s="9" t="s">
        <v>423</v>
      </c>
      <c r="G79" s="9" t="s">
        <v>404</v>
      </c>
      <c r="H79" s="17">
        <v>46202</v>
      </c>
      <c r="I79" s="17">
        <v>46219</v>
      </c>
      <c r="J79" s="17">
        <v>46219</v>
      </c>
      <c r="K79" s="10">
        <v>408</v>
      </c>
      <c r="L79" s="10">
        <f t="shared" si="3"/>
        <v>34</v>
      </c>
      <c r="M79" s="11">
        <v>5</v>
      </c>
      <c r="N79" s="11">
        <v>21</v>
      </c>
      <c r="O79" s="11">
        <v>22</v>
      </c>
      <c r="P79" s="11">
        <v>23</v>
      </c>
      <c r="Q79" s="11">
        <v>76</v>
      </c>
      <c r="R79" s="11">
        <v>77</v>
      </c>
      <c r="S79" s="11">
        <v>78</v>
      </c>
      <c r="T79" s="11">
        <v>79</v>
      </c>
      <c r="U79" s="11">
        <v>80</v>
      </c>
      <c r="V79" s="11">
        <v>81</v>
      </c>
      <c r="W79" s="11">
        <v>82</v>
      </c>
      <c r="X79" s="11">
        <v>83</v>
      </c>
      <c r="Y79" s="11">
        <v>128</v>
      </c>
      <c r="Z79" s="11">
        <v>129</v>
      </c>
      <c r="AA79" s="11">
        <v>130</v>
      </c>
      <c r="AB79" s="11">
        <v>131</v>
      </c>
      <c r="AC79" s="11">
        <v>173</v>
      </c>
      <c r="AD79" s="11">
        <v>174</v>
      </c>
      <c r="AE79" s="11">
        <v>175</v>
      </c>
      <c r="AF79" s="11">
        <v>176</v>
      </c>
      <c r="AG79" s="11">
        <v>177</v>
      </c>
      <c r="AH79" s="11">
        <v>178</v>
      </c>
      <c r="AI79" s="11">
        <v>179</v>
      </c>
      <c r="AJ79" s="11">
        <v>180</v>
      </c>
      <c r="AK79" s="11">
        <v>181</v>
      </c>
      <c r="AL79" s="11">
        <v>182</v>
      </c>
      <c r="AM79" s="11">
        <v>208</v>
      </c>
      <c r="AN79" s="11">
        <v>209</v>
      </c>
      <c r="AO79" s="11">
        <v>210</v>
      </c>
      <c r="AP79" s="11">
        <v>211</v>
      </c>
      <c r="AQ79" s="11">
        <v>212</v>
      </c>
      <c r="AR79" s="11">
        <v>235</v>
      </c>
      <c r="AS79" s="11">
        <v>236</v>
      </c>
      <c r="AT79" s="11">
        <v>237</v>
      </c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</row>
    <row r="80" spans="1:159" x14ac:dyDescent="0.25">
      <c r="A80" s="7" t="str">
        <f t="shared" si="2"/>
        <v>H149446H149446</v>
      </c>
      <c r="B80" s="9" t="s">
        <v>281</v>
      </c>
      <c r="C80" s="9" t="s">
        <v>51</v>
      </c>
      <c r="D80" s="9">
        <v>1434</v>
      </c>
      <c r="E80" s="9" t="s">
        <v>424</v>
      </c>
      <c r="F80" s="9" t="s">
        <v>425</v>
      </c>
      <c r="G80" s="9" t="s">
        <v>404</v>
      </c>
      <c r="H80" s="17">
        <v>46234</v>
      </c>
      <c r="I80" s="17"/>
      <c r="J80" s="17"/>
      <c r="K80" s="10">
        <v>204</v>
      </c>
      <c r="L80" s="10">
        <f t="shared" si="3"/>
        <v>17</v>
      </c>
      <c r="M80" s="11">
        <v>1</v>
      </c>
      <c r="N80" s="11">
        <v>2</v>
      </c>
      <c r="O80" s="11">
        <v>3</v>
      </c>
      <c r="P80" s="11">
        <v>23</v>
      </c>
      <c r="Q80" s="11">
        <v>48</v>
      </c>
      <c r="R80" s="11">
        <v>49</v>
      </c>
      <c r="S80" s="11">
        <v>50</v>
      </c>
      <c r="T80" s="11">
        <v>51</v>
      </c>
      <c r="U80" s="11">
        <v>52</v>
      </c>
      <c r="V80" s="11">
        <v>54</v>
      </c>
      <c r="W80" s="11">
        <v>55</v>
      </c>
      <c r="X80" s="11">
        <v>56</v>
      </c>
      <c r="Y80" s="11">
        <v>77</v>
      </c>
      <c r="Z80" s="11">
        <v>78</v>
      </c>
      <c r="AA80" s="11">
        <v>79</v>
      </c>
      <c r="AB80" s="11">
        <v>80</v>
      </c>
      <c r="AC80" s="11">
        <v>103</v>
      </c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</row>
    <row r="81" spans="1:159" x14ac:dyDescent="0.25">
      <c r="A81" s="7" t="str">
        <f t="shared" si="2"/>
        <v>H149447H149447</v>
      </c>
      <c r="B81" s="9" t="s">
        <v>161</v>
      </c>
      <c r="C81" s="9" t="s">
        <v>56</v>
      </c>
      <c r="D81" s="9">
        <v>1512</v>
      </c>
      <c r="E81" s="9" t="s">
        <v>422</v>
      </c>
      <c r="F81" s="9" t="s">
        <v>423</v>
      </c>
      <c r="G81" s="9" t="s">
        <v>404</v>
      </c>
      <c r="H81" s="17">
        <v>46224</v>
      </c>
      <c r="I81" s="17">
        <v>46238</v>
      </c>
      <c r="J81" s="17">
        <v>46238</v>
      </c>
      <c r="K81" s="10">
        <v>228</v>
      </c>
      <c r="L81" s="10">
        <f t="shared" si="3"/>
        <v>19</v>
      </c>
      <c r="M81" s="11">
        <v>31</v>
      </c>
      <c r="N81" s="11">
        <v>32</v>
      </c>
      <c r="O81" s="11">
        <v>33</v>
      </c>
      <c r="P81" s="11">
        <v>34</v>
      </c>
      <c r="Q81" s="11">
        <v>35</v>
      </c>
      <c r="R81" s="11">
        <v>36</v>
      </c>
      <c r="S81" s="11">
        <v>37</v>
      </c>
      <c r="T81" s="11">
        <v>39</v>
      </c>
      <c r="U81" s="11">
        <v>41</v>
      </c>
      <c r="V81" s="11">
        <v>76</v>
      </c>
      <c r="W81" s="11">
        <v>77</v>
      </c>
      <c r="X81" s="11">
        <v>78</v>
      </c>
      <c r="Y81" s="11">
        <v>79</v>
      </c>
      <c r="Z81" s="11">
        <v>81</v>
      </c>
      <c r="AA81" s="11">
        <v>84</v>
      </c>
      <c r="AB81" s="11">
        <v>85</v>
      </c>
      <c r="AC81" s="11">
        <v>86</v>
      </c>
      <c r="AD81" s="11">
        <v>87</v>
      </c>
      <c r="AE81" s="11">
        <v>88</v>
      </c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</row>
    <row r="82" spans="1:159" x14ac:dyDescent="0.25">
      <c r="A82" s="7" t="str">
        <f t="shared" si="2"/>
        <v>H149452H149452</v>
      </c>
      <c r="B82" s="9" t="s">
        <v>130</v>
      </c>
      <c r="C82" s="9" t="s">
        <v>61</v>
      </c>
      <c r="D82" s="9">
        <v>3000</v>
      </c>
      <c r="E82" s="9" t="s">
        <v>422</v>
      </c>
      <c r="F82" s="9" t="s">
        <v>423</v>
      </c>
      <c r="G82" s="9" t="s">
        <v>404</v>
      </c>
      <c r="H82" s="17">
        <v>46220</v>
      </c>
      <c r="I82" s="17">
        <v>46227</v>
      </c>
      <c r="J82" s="17">
        <v>46227</v>
      </c>
      <c r="K82" s="10">
        <v>768</v>
      </c>
      <c r="L82" s="10">
        <f t="shared" si="3"/>
        <v>63</v>
      </c>
      <c r="M82" s="11">
        <v>1</v>
      </c>
      <c r="N82" s="11">
        <v>2</v>
      </c>
      <c r="O82" s="11">
        <v>3</v>
      </c>
      <c r="P82" s="11">
        <v>4</v>
      </c>
      <c r="Q82" s="11">
        <v>5</v>
      </c>
      <c r="R82" s="11">
        <v>6</v>
      </c>
      <c r="S82" s="11">
        <v>7</v>
      </c>
      <c r="T82" s="11">
        <v>8</v>
      </c>
      <c r="U82" s="11">
        <v>9</v>
      </c>
      <c r="V82" s="11">
        <v>10</v>
      </c>
      <c r="W82" s="11">
        <v>11</v>
      </c>
      <c r="X82" s="11">
        <v>12</v>
      </c>
      <c r="Y82" s="11">
        <v>13</v>
      </c>
      <c r="Z82" s="11">
        <v>53</v>
      </c>
      <c r="AA82" s="11">
        <v>54</v>
      </c>
      <c r="AB82" s="11">
        <v>55</v>
      </c>
      <c r="AC82" s="11">
        <v>56</v>
      </c>
      <c r="AD82" s="11">
        <v>57</v>
      </c>
      <c r="AE82" s="11">
        <v>59</v>
      </c>
      <c r="AF82" s="11">
        <v>60</v>
      </c>
      <c r="AG82" s="11">
        <v>61</v>
      </c>
      <c r="AH82" s="11">
        <v>62</v>
      </c>
      <c r="AI82" s="11">
        <v>63</v>
      </c>
      <c r="AJ82" s="11">
        <v>64</v>
      </c>
      <c r="AK82" s="11">
        <v>65</v>
      </c>
      <c r="AL82" s="11">
        <v>69</v>
      </c>
      <c r="AM82" s="11">
        <v>70</v>
      </c>
      <c r="AN82" s="11">
        <v>73</v>
      </c>
      <c r="AO82" s="11">
        <v>75</v>
      </c>
      <c r="AP82" s="11">
        <v>125</v>
      </c>
      <c r="AQ82" s="11">
        <v>126</v>
      </c>
      <c r="AR82" s="11">
        <v>127</v>
      </c>
      <c r="AS82" s="11">
        <v>128</v>
      </c>
      <c r="AT82" s="11">
        <v>129</v>
      </c>
      <c r="AU82" s="11">
        <v>130</v>
      </c>
      <c r="AV82" s="11">
        <v>131</v>
      </c>
      <c r="AW82" s="11">
        <v>132</v>
      </c>
      <c r="AX82" s="11">
        <v>134</v>
      </c>
      <c r="AY82" s="11">
        <v>135</v>
      </c>
      <c r="AZ82" s="11">
        <v>136</v>
      </c>
      <c r="BA82" s="11">
        <v>137</v>
      </c>
      <c r="BB82" s="11">
        <v>138</v>
      </c>
      <c r="BC82" s="11">
        <v>139</v>
      </c>
      <c r="BD82" s="11">
        <v>140</v>
      </c>
      <c r="BE82" s="11">
        <v>141</v>
      </c>
      <c r="BF82" s="11">
        <v>142</v>
      </c>
      <c r="BG82" s="11">
        <v>143</v>
      </c>
      <c r="BH82" s="11">
        <v>145</v>
      </c>
      <c r="BI82" s="11">
        <v>146</v>
      </c>
      <c r="BJ82" s="11">
        <v>195</v>
      </c>
      <c r="BK82" s="11">
        <v>196</v>
      </c>
      <c r="BL82" s="11">
        <v>197</v>
      </c>
      <c r="BM82" s="11">
        <v>198</v>
      </c>
      <c r="BN82" s="11">
        <v>199</v>
      </c>
      <c r="BO82" s="11">
        <v>200</v>
      </c>
      <c r="BP82" s="11">
        <v>201</v>
      </c>
      <c r="BQ82" s="11">
        <v>202</v>
      </c>
      <c r="BR82" s="11">
        <v>203</v>
      </c>
      <c r="BS82" s="11">
        <v>204</v>
      </c>
      <c r="BT82" s="11">
        <v>205</v>
      </c>
      <c r="BU82" s="11">
        <v>206</v>
      </c>
      <c r="BV82" s="11">
        <v>42849</v>
      </c>
      <c r="BW82" s="11">
        <v>208</v>
      </c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</row>
    <row r="83" spans="1:159" x14ac:dyDescent="0.25">
      <c r="A83" s="7" t="str">
        <f t="shared" si="2"/>
        <v>H149459H149459</v>
      </c>
      <c r="B83" s="9" t="s">
        <v>84</v>
      </c>
      <c r="C83" s="9" t="s">
        <v>42</v>
      </c>
      <c r="D83" s="9">
        <v>3000</v>
      </c>
      <c r="E83" s="9" t="s">
        <v>422</v>
      </c>
      <c r="F83" s="9" t="s">
        <v>423</v>
      </c>
      <c r="G83" s="9" t="s">
        <v>404</v>
      </c>
      <c r="H83" s="17">
        <v>46206</v>
      </c>
      <c r="I83" s="17">
        <v>46223</v>
      </c>
      <c r="J83" s="17">
        <v>46226</v>
      </c>
      <c r="K83" s="10">
        <v>324</v>
      </c>
      <c r="L83" s="10">
        <f t="shared" si="3"/>
        <v>27</v>
      </c>
      <c r="M83" s="11">
        <v>53</v>
      </c>
      <c r="N83" s="11">
        <v>54</v>
      </c>
      <c r="O83" s="11">
        <v>55</v>
      </c>
      <c r="P83" s="11">
        <v>56</v>
      </c>
      <c r="Q83" s="11">
        <v>57</v>
      </c>
      <c r="R83" s="11">
        <v>59</v>
      </c>
      <c r="S83" s="11">
        <v>95</v>
      </c>
      <c r="T83" s="11">
        <v>96</v>
      </c>
      <c r="U83" s="11">
        <v>97</v>
      </c>
      <c r="V83" s="11">
        <v>98</v>
      </c>
      <c r="W83" s="11">
        <v>99</v>
      </c>
      <c r="X83" s="11">
        <v>100</v>
      </c>
      <c r="Y83" s="11">
        <v>101</v>
      </c>
      <c r="Z83" s="11">
        <v>139</v>
      </c>
      <c r="AA83" s="11">
        <v>140</v>
      </c>
      <c r="AB83" s="11">
        <v>141</v>
      </c>
      <c r="AC83" s="11">
        <v>142</v>
      </c>
      <c r="AD83" s="11">
        <v>143</v>
      </c>
      <c r="AE83" s="11">
        <v>144</v>
      </c>
      <c r="AF83" s="11">
        <v>145</v>
      </c>
      <c r="AG83" s="11">
        <v>146</v>
      </c>
      <c r="AH83" s="11">
        <v>147</v>
      </c>
      <c r="AI83" s="11">
        <v>148</v>
      </c>
      <c r="AJ83" s="11">
        <v>188</v>
      </c>
      <c r="AK83" s="11">
        <v>189</v>
      </c>
      <c r="AL83" s="11">
        <v>190</v>
      </c>
      <c r="AM83" s="11">
        <v>192</v>
      </c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</row>
    <row r="84" spans="1:159" x14ac:dyDescent="0.25">
      <c r="A84" s="7" t="str">
        <f t="shared" si="2"/>
        <v>H149466H149466</v>
      </c>
      <c r="B84" s="9" t="s">
        <v>106</v>
      </c>
      <c r="C84" s="9" t="s">
        <v>54</v>
      </c>
      <c r="D84" s="9">
        <v>3996</v>
      </c>
      <c r="E84" s="9" t="s">
        <v>422</v>
      </c>
      <c r="F84" s="9" t="s">
        <v>423</v>
      </c>
      <c r="G84" s="9" t="s">
        <v>404</v>
      </c>
      <c r="H84" s="17">
        <v>46216</v>
      </c>
      <c r="I84" s="17">
        <v>46230</v>
      </c>
      <c r="J84" s="17">
        <v>46237</v>
      </c>
      <c r="K84" s="10">
        <v>120</v>
      </c>
      <c r="L84" s="10">
        <f t="shared" si="3"/>
        <v>10</v>
      </c>
      <c r="M84" s="11">
        <v>3</v>
      </c>
      <c r="N84" s="11">
        <v>4</v>
      </c>
      <c r="O84" s="11">
        <v>85</v>
      </c>
      <c r="P84" s="11">
        <v>89</v>
      </c>
      <c r="Q84" s="11">
        <v>144</v>
      </c>
      <c r="R84" s="11">
        <v>147</v>
      </c>
      <c r="S84" s="11">
        <v>148</v>
      </c>
      <c r="T84" s="11">
        <v>206</v>
      </c>
      <c r="U84" s="11">
        <v>207</v>
      </c>
      <c r="V84" s="11">
        <v>304</v>
      </c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</row>
    <row r="85" spans="1:159" x14ac:dyDescent="0.25">
      <c r="A85" s="7" t="str">
        <f t="shared" si="2"/>
        <v>H149488H149488</v>
      </c>
      <c r="B85" s="9" t="s">
        <v>122</v>
      </c>
      <c r="C85" s="9" t="s">
        <v>59</v>
      </c>
      <c r="D85" s="9">
        <v>1956</v>
      </c>
      <c r="E85" s="9" t="s">
        <v>422</v>
      </c>
      <c r="F85" s="9" t="s">
        <v>423</v>
      </c>
      <c r="G85" s="9" t="s">
        <v>404</v>
      </c>
      <c r="H85" s="17">
        <v>46219</v>
      </c>
      <c r="I85" s="17">
        <v>46231</v>
      </c>
      <c r="J85" s="17">
        <v>46231</v>
      </c>
      <c r="K85" s="10">
        <v>624</v>
      </c>
      <c r="L85" s="10">
        <f t="shared" si="3"/>
        <v>52</v>
      </c>
      <c r="M85" s="11">
        <v>1</v>
      </c>
      <c r="N85" s="11">
        <v>2</v>
      </c>
      <c r="O85" s="11">
        <v>3</v>
      </c>
      <c r="P85" s="11">
        <v>4</v>
      </c>
      <c r="Q85" s="11">
        <v>16</v>
      </c>
      <c r="R85" s="11">
        <v>17</v>
      </c>
      <c r="S85" s="11">
        <v>18</v>
      </c>
      <c r="T85" s="11">
        <v>19</v>
      </c>
      <c r="U85" s="11">
        <v>20</v>
      </c>
      <c r="V85" s="11">
        <v>21</v>
      </c>
      <c r="W85" s="11">
        <v>22</v>
      </c>
      <c r="X85" s="11">
        <v>23</v>
      </c>
      <c r="Y85" s="11">
        <v>24</v>
      </c>
      <c r="Z85" s="11">
        <v>36</v>
      </c>
      <c r="AA85" s="11">
        <v>37</v>
      </c>
      <c r="AB85" s="11">
        <v>38</v>
      </c>
      <c r="AC85" s="11">
        <v>39</v>
      </c>
      <c r="AD85" s="11">
        <v>40</v>
      </c>
      <c r="AE85" s="11">
        <v>41</v>
      </c>
      <c r="AF85" s="11">
        <v>42</v>
      </c>
      <c r="AG85" s="11">
        <v>43</v>
      </c>
      <c r="AH85" s="11">
        <v>44</v>
      </c>
      <c r="AI85" s="11">
        <v>45</v>
      </c>
      <c r="AJ85" s="11">
        <v>46</v>
      </c>
      <c r="AK85" s="11">
        <v>47</v>
      </c>
      <c r="AL85" s="11">
        <v>48</v>
      </c>
      <c r="AM85" s="11">
        <v>77</v>
      </c>
      <c r="AN85" s="11">
        <v>78</v>
      </c>
      <c r="AO85" s="11">
        <v>79</v>
      </c>
      <c r="AP85" s="11">
        <v>80</v>
      </c>
      <c r="AQ85" s="11">
        <v>81</v>
      </c>
      <c r="AR85" s="11">
        <v>82</v>
      </c>
      <c r="AS85" s="11">
        <v>83</v>
      </c>
      <c r="AT85" s="11">
        <v>84</v>
      </c>
      <c r="AU85" s="11">
        <v>85</v>
      </c>
      <c r="AV85" s="11">
        <v>86</v>
      </c>
      <c r="AW85" s="11">
        <v>87</v>
      </c>
      <c r="AX85" s="11">
        <v>88</v>
      </c>
      <c r="AY85" s="11">
        <v>89</v>
      </c>
      <c r="AZ85" s="11">
        <v>90</v>
      </c>
      <c r="BA85" s="11">
        <v>91</v>
      </c>
      <c r="BB85" s="11">
        <v>92</v>
      </c>
      <c r="BC85" s="11">
        <v>93</v>
      </c>
      <c r="BD85" s="11">
        <v>94</v>
      </c>
      <c r="BE85" s="11">
        <v>95</v>
      </c>
      <c r="BF85" s="11">
        <v>96</v>
      </c>
      <c r="BG85" s="11">
        <v>97</v>
      </c>
      <c r="BH85" s="11">
        <v>98</v>
      </c>
      <c r="BI85" s="11">
        <v>100</v>
      </c>
      <c r="BJ85" s="11">
        <v>101</v>
      </c>
      <c r="BK85" s="11">
        <v>102</v>
      </c>
      <c r="BL85" s="11">
        <v>103</v>
      </c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</row>
    <row r="86" spans="1:159" x14ac:dyDescent="0.25">
      <c r="A86" s="7" t="str">
        <f t="shared" si="2"/>
        <v>H149489H149489</v>
      </c>
      <c r="B86" s="9" t="s">
        <v>112</v>
      </c>
      <c r="C86" s="9" t="s">
        <v>86</v>
      </c>
      <c r="D86" s="9">
        <v>582</v>
      </c>
      <c r="E86" s="9" t="s">
        <v>424</v>
      </c>
      <c r="F86" s="9" t="s">
        <v>425</v>
      </c>
      <c r="G86" s="9" t="s">
        <v>404</v>
      </c>
      <c r="H86" s="17">
        <v>46217</v>
      </c>
      <c r="I86" s="17">
        <v>46219</v>
      </c>
      <c r="J86" s="17">
        <v>46219</v>
      </c>
      <c r="K86" s="10">
        <v>276</v>
      </c>
      <c r="L86" s="10">
        <f t="shared" si="3"/>
        <v>23</v>
      </c>
      <c r="M86" s="11">
        <v>1</v>
      </c>
      <c r="N86" s="11">
        <v>2</v>
      </c>
      <c r="O86" s="11">
        <v>13</v>
      </c>
      <c r="P86" s="11">
        <v>14</v>
      </c>
      <c r="Q86" s="11">
        <v>15</v>
      </c>
      <c r="R86" s="11">
        <v>16</v>
      </c>
      <c r="S86" s="11">
        <v>17</v>
      </c>
      <c r="T86" s="11">
        <v>21</v>
      </c>
      <c r="U86" s="11">
        <v>22</v>
      </c>
      <c r="V86" s="11">
        <v>23</v>
      </c>
      <c r="W86" s="11">
        <v>24</v>
      </c>
      <c r="X86" s="11">
        <v>29</v>
      </c>
      <c r="Y86" s="11">
        <v>30</v>
      </c>
      <c r="Z86" s="11">
        <v>31</v>
      </c>
      <c r="AA86" s="11">
        <v>32</v>
      </c>
      <c r="AB86" s="11">
        <v>33</v>
      </c>
      <c r="AC86" s="11">
        <v>34</v>
      </c>
      <c r="AD86" s="11">
        <v>39</v>
      </c>
      <c r="AE86" s="11">
        <v>40</v>
      </c>
      <c r="AF86" s="11">
        <v>41</v>
      </c>
      <c r="AG86" s="11">
        <v>43</v>
      </c>
      <c r="AH86" s="11">
        <v>44</v>
      </c>
      <c r="AI86" s="11">
        <v>45</v>
      </c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</row>
    <row r="87" spans="1:159" x14ac:dyDescent="0.25">
      <c r="A87" s="7" t="str">
        <f t="shared" si="2"/>
        <v>H149497H149497</v>
      </c>
      <c r="B87" s="9" t="s">
        <v>97</v>
      </c>
      <c r="C87" s="9" t="s">
        <v>14</v>
      </c>
      <c r="D87" s="9">
        <v>792</v>
      </c>
      <c r="E87" s="9" t="s">
        <v>424</v>
      </c>
      <c r="F87" s="9" t="s">
        <v>425</v>
      </c>
      <c r="G87" s="9" t="s">
        <v>404</v>
      </c>
      <c r="H87" s="17">
        <v>46216</v>
      </c>
      <c r="I87" s="17">
        <v>46218</v>
      </c>
      <c r="J87" s="17">
        <v>46219</v>
      </c>
      <c r="K87" s="10">
        <v>420</v>
      </c>
      <c r="L87" s="10">
        <f t="shared" si="3"/>
        <v>35</v>
      </c>
      <c r="M87" s="11">
        <v>1</v>
      </c>
      <c r="N87" s="11">
        <v>2</v>
      </c>
      <c r="O87" s="11">
        <v>3</v>
      </c>
      <c r="P87" s="11">
        <v>4</v>
      </c>
      <c r="Q87" s="11">
        <v>6</v>
      </c>
      <c r="R87" s="11">
        <v>9</v>
      </c>
      <c r="S87" s="11">
        <v>10</v>
      </c>
      <c r="T87" s="11">
        <v>11</v>
      </c>
      <c r="U87" s="11">
        <v>12</v>
      </c>
      <c r="V87" s="11">
        <v>17</v>
      </c>
      <c r="W87" s="11">
        <v>18</v>
      </c>
      <c r="X87" s="11">
        <v>20</v>
      </c>
      <c r="Y87" s="11">
        <v>21</v>
      </c>
      <c r="Z87" s="11">
        <v>22</v>
      </c>
      <c r="AA87" s="11">
        <v>27</v>
      </c>
      <c r="AB87" s="11">
        <v>28</v>
      </c>
      <c r="AC87" s="11">
        <v>29</v>
      </c>
      <c r="AD87" s="11">
        <v>39</v>
      </c>
      <c r="AE87" s="11">
        <v>40</v>
      </c>
      <c r="AF87" s="11">
        <v>41</v>
      </c>
      <c r="AG87" s="11">
        <v>42</v>
      </c>
      <c r="AH87" s="11">
        <v>43</v>
      </c>
      <c r="AI87" s="11">
        <v>44</v>
      </c>
      <c r="AJ87" s="11">
        <v>45</v>
      </c>
      <c r="AK87" s="11">
        <v>52</v>
      </c>
      <c r="AL87" s="11">
        <v>53</v>
      </c>
      <c r="AM87" s="11">
        <v>54</v>
      </c>
      <c r="AN87" s="11">
        <v>55</v>
      </c>
      <c r="AO87" s="11">
        <v>56</v>
      </c>
      <c r="AP87" s="11">
        <v>57</v>
      </c>
      <c r="AQ87" s="11">
        <v>58</v>
      </c>
      <c r="AR87" s="11">
        <v>59</v>
      </c>
      <c r="AS87" s="11">
        <v>60</v>
      </c>
      <c r="AT87" s="11">
        <v>61</v>
      </c>
      <c r="AU87" s="11">
        <v>62</v>
      </c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</row>
    <row r="88" spans="1:159" x14ac:dyDescent="0.25">
      <c r="A88" s="7" t="str">
        <f t="shared" si="2"/>
        <v>H149505H149505</v>
      </c>
      <c r="B88" s="9" t="s">
        <v>234</v>
      </c>
      <c r="C88" s="9" t="s">
        <v>54</v>
      </c>
      <c r="D88" s="9">
        <v>660</v>
      </c>
      <c r="E88" s="9" t="s">
        <v>424</v>
      </c>
      <c r="F88" s="9" t="s">
        <v>425</v>
      </c>
      <c r="G88" s="9" t="s">
        <v>404</v>
      </c>
      <c r="H88" s="17">
        <v>46232</v>
      </c>
      <c r="I88" s="17">
        <v>46237</v>
      </c>
      <c r="J88" s="17">
        <v>46237</v>
      </c>
      <c r="K88" s="10">
        <v>558</v>
      </c>
      <c r="L88" s="10">
        <f t="shared" si="3"/>
        <v>47</v>
      </c>
      <c r="M88" s="11">
        <v>1</v>
      </c>
      <c r="N88" s="11">
        <v>2</v>
      </c>
      <c r="O88" s="11">
        <v>3</v>
      </c>
      <c r="P88" s="11">
        <v>4</v>
      </c>
      <c r="Q88" s="11">
        <v>5</v>
      </c>
      <c r="R88" s="11">
        <v>6</v>
      </c>
      <c r="S88" s="11">
        <v>7</v>
      </c>
      <c r="T88" s="11">
        <v>8</v>
      </c>
      <c r="U88" s="11">
        <v>9</v>
      </c>
      <c r="V88" s="11">
        <v>14</v>
      </c>
      <c r="W88" s="11">
        <v>15</v>
      </c>
      <c r="X88" s="11">
        <v>16</v>
      </c>
      <c r="Y88" s="11">
        <v>17</v>
      </c>
      <c r="Z88" s="11">
        <v>18</v>
      </c>
      <c r="AA88" s="11">
        <v>19</v>
      </c>
      <c r="AB88" s="11">
        <v>20</v>
      </c>
      <c r="AC88" s="11">
        <v>21</v>
      </c>
      <c r="AD88" s="11">
        <v>23</v>
      </c>
      <c r="AE88" s="11">
        <v>24</v>
      </c>
      <c r="AF88" s="11">
        <v>25</v>
      </c>
      <c r="AG88" s="11">
        <v>26</v>
      </c>
      <c r="AH88" s="11">
        <v>27</v>
      </c>
      <c r="AI88" s="11">
        <v>28</v>
      </c>
      <c r="AJ88" s="11">
        <v>29</v>
      </c>
      <c r="AK88" s="11">
        <v>31</v>
      </c>
      <c r="AL88" s="11">
        <v>32</v>
      </c>
      <c r="AM88" s="11">
        <v>33</v>
      </c>
      <c r="AN88" s="11">
        <v>34</v>
      </c>
      <c r="AO88" s="11">
        <v>36</v>
      </c>
      <c r="AP88" s="11">
        <v>37</v>
      </c>
      <c r="AQ88" s="11">
        <v>38</v>
      </c>
      <c r="AR88" s="11">
        <v>39</v>
      </c>
      <c r="AS88" s="11">
        <v>40</v>
      </c>
      <c r="AT88" s="11">
        <v>41</v>
      </c>
      <c r="AU88" s="11">
        <v>42</v>
      </c>
      <c r="AV88" s="11">
        <v>43</v>
      </c>
      <c r="AW88" s="11">
        <v>44</v>
      </c>
      <c r="AX88" s="11">
        <v>45</v>
      </c>
      <c r="AY88" s="11">
        <v>46</v>
      </c>
      <c r="AZ88" s="11">
        <v>47</v>
      </c>
      <c r="BA88" s="11">
        <v>49</v>
      </c>
      <c r="BB88" s="11">
        <v>50</v>
      </c>
      <c r="BC88" s="11">
        <v>51</v>
      </c>
      <c r="BD88" s="11">
        <v>52</v>
      </c>
      <c r="BE88" s="11">
        <v>53</v>
      </c>
      <c r="BF88" s="11">
        <v>54</v>
      </c>
      <c r="BG88" s="11">
        <v>55</v>
      </c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</row>
    <row r="89" spans="1:159" x14ac:dyDescent="0.25">
      <c r="A89" s="7" t="str">
        <f t="shared" si="2"/>
        <v>H149506H149506</v>
      </c>
      <c r="B89" s="9" t="s">
        <v>211</v>
      </c>
      <c r="C89" s="9" t="s">
        <v>67</v>
      </c>
      <c r="D89" s="9">
        <v>942</v>
      </c>
      <c r="E89" s="9" t="s">
        <v>424</v>
      </c>
      <c r="F89" s="9" t="s">
        <v>425</v>
      </c>
      <c r="G89" s="9" t="s">
        <v>404</v>
      </c>
      <c r="H89" s="17">
        <v>46230</v>
      </c>
      <c r="I89" s="17">
        <v>46232</v>
      </c>
      <c r="J89" s="17">
        <v>46232</v>
      </c>
      <c r="K89" s="10">
        <v>132</v>
      </c>
      <c r="L89" s="10">
        <f t="shared" si="3"/>
        <v>11</v>
      </c>
      <c r="M89" s="11">
        <v>3</v>
      </c>
      <c r="N89" s="11">
        <v>22</v>
      </c>
      <c r="O89" s="11">
        <v>24</v>
      </c>
      <c r="P89" s="11">
        <v>28</v>
      </c>
      <c r="Q89" s="11">
        <v>32</v>
      </c>
      <c r="R89" s="11">
        <v>33</v>
      </c>
      <c r="S89" s="11">
        <v>34</v>
      </c>
      <c r="T89" s="11">
        <v>46</v>
      </c>
      <c r="U89" s="11">
        <v>47</v>
      </c>
      <c r="V89" s="11">
        <v>62</v>
      </c>
      <c r="W89" s="11">
        <v>63</v>
      </c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</row>
    <row r="90" spans="1:159" x14ac:dyDescent="0.25">
      <c r="A90" s="7" t="str">
        <f t="shared" si="2"/>
        <v>H149507H149507</v>
      </c>
      <c r="B90" s="9" t="s">
        <v>208</v>
      </c>
      <c r="C90" s="9" t="s">
        <v>38</v>
      </c>
      <c r="D90" s="9">
        <v>1404</v>
      </c>
      <c r="E90" s="9" t="s">
        <v>424</v>
      </c>
      <c r="F90" s="9" t="s">
        <v>425</v>
      </c>
      <c r="G90" s="9" t="s">
        <v>404</v>
      </c>
      <c r="H90" s="17">
        <v>46230</v>
      </c>
      <c r="I90" s="17"/>
      <c r="J90" s="17"/>
      <c r="K90" s="10">
        <v>636</v>
      </c>
      <c r="L90" s="10">
        <f t="shared" si="3"/>
        <v>53</v>
      </c>
      <c r="M90" s="11">
        <v>1</v>
      </c>
      <c r="N90" s="11">
        <v>2</v>
      </c>
      <c r="O90" s="11">
        <v>3</v>
      </c>
      <c r="P90" s="11">
        <v>4</v>
      </c>
      <c r="Q90" s="11">
        <v>5</v>
      </c>
      <c r="R90" s="11">
        <v>14</v>
      </c>
      <c r="S90" s="11">
        <v>15</v>
      </c>
      <c r="T90" s="11">
        <v>17</v>
      </c>
      <c r="U90" s="11">
        <v>18</v>
      </c>
      <c r="V90" s="11">
        <v>30</v>
      </c>
      <c r="W90" s="11">
        <v>31</v>
      </c>
      <c r="X90" s="11">
        <v>32</v>
      </c>
      <c r="Y90" s="11">
        <v>33</v>
      </c>
      <c r="Z90" s="11">
        <v>34</v>
      </c>
      <c r="AA90" s="11">
        <v>35</v>
      </c>
      <c r="AB90" s="11">
        <v>36</v>
      </c>
      <c r="AC90" s="11">
        <v>37</v>
      </c>
      <c r="AD90" s="11">
        <v>38</v>
      </c>
      <c r="AE90" s="11">
        <v>40</v>
      </c>
      <c r="AF90" s="11">
        <v>47</v>
      </c>
      <c r="AG90" s="11">
        <v>48</v>
      </c>
      <c r="AH90" s="11">
        <v>49</v>
      </c>
      <c r="AI90" s="11">
        <v>50</v>
      </c>
      <c r="AJ90" s="11">
        <v>51</v>
      </c>
      <c r="AK90" s="11">
        <v>52</v>
      </c>
      <c r="AL90" s="11">
        <v>56</v>
      </c>
      <c r="AM90" s="11">
        <v>68</v>
      </c>
      <c r="AN90" s="11">
        <v>69</v>
      </c>
      <c r="AO90" s="11">
        <v>70</v>
      </c>
      <c r="AP90" s="11">
        <v>71</v>
      </c>
      <c r="AQ90" s="11">
        <v>72</v>
      </c>
      <c r="AR90" s="11">
        <v>73</v>
      </c>
      <c r="AS90" s="11">
        <v>74</v>
      </c>
      <c r="AT90" s="11">
        <v>75</v>
      </c>
      <c r="AU90" s="11">
        <v>76</v>
      </c>
      <c r="AV90" s="11">
        <v>77</v>
      </c>
      <c r="AW90" s="11">
        <v>78</v>
      </c>
      <c r="AX90" s="11">
        <v>79</v>
      </c>
      <c r="AY90" s="11">
        <v>80</v>
      </c>
      <c r="AZ90" s="11">
        <v>82</v>
      </c>
      <c r="BA90" s="11">
        <v>83</v>
      </c>
      <c r="BB90" s="11">
        <v>92</v>
      </c>
      <c r="BC90" s="11">
        <v>93</v>
      </c>
      <c r="BD90" s="11">
        <v>94</v>
      </c>
      <c r="BE90" s="11">
        <v>95</v>
      </c>
      <c r="BF90" s="11">
        <v>96</v>
      </c>
      <c r="BG90" s="11">
        <v>97</v>
      </c>
      <c r="BH90" s="11">
        <v>98</v>
      </c>
      <c r="BI90" s="11">
        <v>100</v>
      </c>
      <c r="BJ90" s="11">
        <v>101</v>
      </c>
      <c r="BK90" s="11">
        <v>102</v>
      </c>
      <c r="BL90" s="11">
        <v>103</v>
      </c>
      <c r="BM90" s="11">
        <v>104</v>
      </c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</row>
    <row r="91" spans="1:159" x14ac:dyDescent="0.25">
      <c r="A91" s="7" t="str">
        <f t="shared" si="2"/>
        <v>H150346H150346</v>
      </c>
      <c r="B91" s="9" t="s">
        <v>30</v>
      </c>
      <c r="C91" s="9" t="s">
        <v>29</v>
      </c>
      <c r="D91" s="9">
        <v>504</v>
      </c>
      <c r="E91" s="9" t="s">
        <v>426</v>
      </c>
      <c r="F91" s="9" t="s">
        <v>427</v>
      </c>
      <c r="G91" s="9" t="s">
        <v>404</v>
      </c>
      <c r="H91" s="17">
        <v>46176</v>
      </c>
      <c r="I91" s="17">
        <v>46181</v>
      </c>
      <c r="J91" s="17">
        <v>46196</v>
      </c>
      <c r="K91" s="10">
        <v>192</v>
      </c>
      <c r="L91" s="10">
        <f t="shared" si="3"/>
        <v>16</v>
      </c>
      <c r="M91" s="11">
        <v>1</v>
      </c>
      <c r="N91" s="11">
        <v>2</v>
      </c>
      <c r="O91" s="11">
        <v>5</v>
      </c>
      <c r="P91" s="11">
        <v>12</v>
      </c>
      <c r="Q91" s="11">
        <v>13</v>
      </c>
      <c r="R91" s="11">
        <v>14</v>
      </c>
      <c r="S91" s="11">
        <v>16</v>
      </c>
      <c r="T91" s="11">
        <v>17</v>
      </c>
      <c r="U91" s="11">
        <v>21</v>
      </c>
      <c r="V91" s="11">
        <v>22</v>
      </c>
      <c r="W91" s="11">
        <v>23</v>
      </c>
      <c r="X91" s="11">
        <v>25</v>
      </c>
      <c r="Y91" s="11">
        <v>26</v>
      </c>
      <c r="Z91" s="11">
        <v>30</v>
      </c>
      <c r="AA91" s="11">
        <v>31</v>
      </c>
      <c r="AB91" s="11">
        <v>37</v>
      </c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</row>
    <row r="92" spans="1:159" x14ac:dyDescent="0.25">
      <c r="A92" s="7" t="str">
        <f t="shared" si="2"/>
        <v>H150347H150347</v>
      </c>
      <c r="B92" s="9" t="s">
        <v>46</v>
      </c>
      <c r="C92" s="9" t="s">
        <v>45</v>
      </c>
      <c r="D92" s="9">
        <v>504</v>
      </c>
      <c r="E92" s="9" t="s">
        <v>426</v>
      </c>
      <c r="F92" s="9" t="s">
        <v>427</v>
      </c>
      <c r="G92" s="9" t="s">
        <v>404</v>
      </c>
      <c r="H92" s="17">
        <v>46178</v>
      </c>
      <c r="I92" s="17">
        <v>46183</v>
      </c>
      <c r="J92" s="17">
        <v>46184</v>
      </c>
      <c r="K92" s="10">
        <v>120</v>
      </c>
      <c r="L92" s="10">
        <f t="shared" si="3"/>
        <v>10</v>
      </c>
      <c r="M92" s="11">
        <v>1</v>
      </c>
      <c r="N92" s="11">
        <v>2</v>
      </c>
      <c r="O92" s="11">
        <v>12</v>
      </c>
      <c r="P92" s="11">
        <v>13</v>
      </c>
      <c r="Q92" s="11">
        <v>14</v>
      </c>
      <c r="R92" s="11">
        <v>21</v>
      </c>
      <c r="S92" s="11">
        <v>24</v>
      </c>
      <c r="T92" s="11">
        <v>25</v>
      </c>
      <c r="U92" s="11">
        <v>26</v>
      </c>
      <c r="V92" s="11">
        <v>30</v>
      </c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</row>
    <row r="93" spans="1:159" x14ac:dyDescent="0.25">
      <c r="A93" s="7" t="str">
        <f t="shared" si="2"/>
        <v>H151487H151487</v>
      </c>
      <c r="B93" s="9" t="s">
        <v>250</v>
      </c>
      <c r="C93" s="9" t="s">
        <v>49</v>
      </c>
      <c r="D93" s="9">
        <v>246</v>
      </c>
      <c r="E93" s="9" t="s">
        <v>414</v>
      </c>
      <c r="F93" s="9" t="s">
        <v>415</v>
      </c>
      <c r="G93" s="9" t="s">
        <v>404</v>
      </c>
      <c r="H93" s="17">
        <v>46232</v>
      </c>
      <c r="I93" s="17">
        <v>46237</v>
      </c>
      <c r="J93" s="17">
        <v>46237</v>
      </c>
      <c r="K93" s="10">
        <v>48</v>
      </c>
      <c r="L93" s="10">
        <f t="shared" si="3"/>
        <v>4</v>
      </c>
      <c r="M93" s="11">
        <v>6</v>
      </c>
      <c r="N93" s="11">
        <v>10</v>
      </c>
      <c r="O93" s="11">
        <v>16</v>
      </c>
      <c r="P93" s="11">
        <v>17</v>
      </c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</row>
    <row r="94" spans="1:159" x14ac:dyDescent="0.25">
      <c r="A94" s="7" t="str">
        <f t="shared" si="2"/>
        <v>H151495H151495</v>
      </c>
      <c r="B94" s="9" t="s">
        <v>228</v>
      </c>
      <c r="C94" s="9" t="s">
        <v>53</v>
      </c>
      <c r="D94" s="9">
        <v>210</v>
      </c>
      <c r="E94" s="9" t="s">
        <v>414</v>
      </c>
      <c r="F94" s="9" t="s">
        <v>415</v>
      </c>
      <c r="G94" s="9" t="s">
        <v>404</v>
      </c>
      <c r="H94" s="17">
        <v>46231</v>
      </c>
      <c r="I94" s="17">
        <v>46237</v>
      </c>
      <c r="J94" s="17">
        <v>46237</v>
      </c>
      <c r="K94" s="10">
        <v>108</v>
      </c>
      <c r="L94" s="10">
        <f t="shared" si="3"/>
        <v>10</v>
      </c>
      <c r="M94" s="11">
        <v>1</v>
      </c>
      <c r="N94" s="11">
        <v>2</v>
      </c>
      <c r="O94" s="11">
        <v>5</v>
      </c>
      <c r="P94" s="11">
        <v>6</v>
      </c>
      <c r="Q94" s="11">
        <v>10</v>
      </c>
      <c r="R94" s="11">
        <v>11</v>
      </c>
      <c r="S94" s="11">
        <v>14</v>
      </c>
      <c r="T94" s="11">
        <v>15</v>
      </c>
      <c r="U94" s="11">
        <v>17</v>
      </c>
      <c r="V94" s="11">
        <v>18</v>
      </c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</row>
    <row r="95" spans="1:159" x14ac:dyDescent="0.25">
      <c r="A95" s="7" t="str">
        <f t="shared" si="2"/>
        <v>H151497H151497</v>
      </c>
      <c r="B95" s="9" t="s">
        <v>226</v>
      </c>
      <c r="C95" s="9" t="s">
        <v>48</v>
      </c>
      <c r="D95" s="9">
        <v>216</v>
      </c>
      <c r="E95" s="9" t="s">
        <v>414</v>
      </c>
      <c r="F95" s="9" t="s">
        <v>415</v>
      </c>
      <c r="G95" s="9" t="s">
        <v>404</v>
      </c>
      <c r="H95" s="17">
        <v>46231</v>
      </c>
      <c r="I95" s="17">
        <v>46232</v>
      </c>
      <c r="J95" s="17">
        <v>46232</v>
      </c>
      <c r="K95" s="10">
        <v>156</v>
      </c>
      <c r="L95" s="10">
        <f t="shared" si="3"/>
        <v>14</v>
      </c>
      <c r="M95" s="11">
        <v>1</v>
      </c>
      <c r="N95" s="11">
        <v>2</v>
      </c>
      <c r="O95" s="11">
        <v>3</v>
      </c>
      <c r="P95" s="11">
        <v>4</v>
      </c>
      <c r="Q95" s="11">
        <v>5</v>
      </c>
      <c r="R95" s="11">
        <v>6</v>
      </c>
      <c r="S95" s="11">
        <v>8</v>
      </c>
      <c r="T95" s="11">
        <v>9</v>
      </c>
      <c r="U95" s="11">
        <v>11</v>
      </c>
      <c r="V95" s="11">
        <v>12</v>
      </c>
      <c r="W95" s="11">
        <v>14</v>
      </c>
      <c r="X95" s="11">
        <v>16</v>
      </c>
      <c r="Y95" s="11">
        <v>17</v>
      </c>
      <c r="Z95" s="11">
        <v>18</v>
      </c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</row>
    <row r="96" spans="1:159" x14ac:dyDescent="0.25">
      <c r="A96" s="7" t="str">
        <f t="shared" si="2"/>
        <v>H151500H151500</v>
      </c>
      <c r="B96" s="9" t="s">
        <v>235</v>
      </c>
      <c r="C96" s="9" t="s">
        <v>15</v>
      </c>
      <c r="D96" s="9">
        <v>186</v>
      </c>
      <c r="E96" s="9" t="s">
        <v>414</v>
      </c>
      <c r="F96" s="9" t="s">
        <v>415</v>
      </c>
      <c r="G96" s="9" t="s">
        <v>404</v>
      </c>
      <c r="H96" s="17">
        <v>46232</v>
      </c>
      <c r="I96" s="17"/>
      <c r="J96" s="17"/>
      <c r="K96" s="10">
        <v>144</v>
      </c>
      <c r="L96" s="10">
        <f t="shared" si="3"/>
        <v>12</v>
      </c>
      <c r="M96" s="11">
        <v>2</v>
      </c>
      <c r="N96" s="11">
        <v>3</v>
      </c>
      <c r="O96" s="11">
        <v>4</v>
      </c>
      <c r="P96" s="11">
        <v>5</v>
      </c>
      <c r="Q96" s="11">
        <v>7</v>
      </c>
      <c r="R96" s="11">
        <v>8</v>
      </c>
      <c r="S96" s="11">
        <v>9</v>
      </c>
      <c r="T96" s="11">
        <v>10</v>
      </c>
      <c r="U96" s="11">
        <v>11</v>
      </c>
      <c r="V96" s="11">
        <v>13</v>
      </c>
      <c r="W96" s="11">
        <v>14</v>
      </c>
      <c r="X96" s="11">
        <v>15</v>
      </c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</row>
    <row r="97" spans="1:159" x14ac:dyDescent="0.25">
      <c r="A97" s="7" t="str">
        <f t="shared" si="2"/>
        <v>H151507H151507</v>
      </c>
      <c r="B97" s="9" t="s">
        <v>282</v>
      </c>
      <c r="C97" s="9" t="s">
        <v>52</v>
      </c>
      <c r="D97" s="9">
        <v>156</v>
      </c>
      <c r="E97" s="9" t="s">
        <v>414</v>
      </c>
      <c r="F97" s="9" t="s">
        <v>415</v>
      </c>
      <c r="G97" s="9" t="s">
        <v>404</v>
      </c>
      <c r="H97" s="17">
        <v>46234</v>
      </c>
      <c r="I97" s="17">
        <v>46237</v>
      </c>
      <c r="J97" s="17">
        <v>46238</v>
      </c>
      <c r="K97" s="10">
        <v>96</v>
      </c>
      <c r="L97" s="10">
        <f t="shared" si="3"/>
        <v>9</v>
      </c>
      <c r="M97" s="11">
        <v>2</v>
      </c>
      <c r="N97" s="11">
        <v>4</v>
      </c>
      <c r="O97" s="11">
        <v>6</v>
      </c>
      <c r="P97" s="11">
        <v>7</v>
      </c>
      <c r="Q97" s="11">
        <v>8</v>
      </c>
      <c r="R97" s="11">
        <v>9</v>
      </c>
      <c r="S97" s="11">
        <v>10</v>
      </c>
      <c r="T97" s="11">
        <v>13</v>
      </c>
      <c r="U97" s="11">
        <v>15</v>
      </c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</row>
    <row r="98" spans="1:159" x14ac:dyDescent="0.25">
      <c r="A98" s="7" t="str">
        <f t="shared" si="2"/>
        <v>H151647H151647</v>
      </c>
      <c r="B98" s="9" t="s">
        <v>362</v>
      </c>
      <c r="C98" s="9" t="s">
        <v>54</v>
      </c>
      <c r="D98" s="9">
        <v>870</v>
      </c>
      <c r="E98" s="9" t="s">
        <v>428</v>
      </c>
      <c r="F98" s="9" t="s">
        <v>429</v>
      </c>
      <c r="G98" s="9" t="s">
        <v>404</v>
      </c>
      <c r="H98" s="17">
        <v>46239</v>
      </c>
      <c r="I98" s="17"/>
      <c r="J98" s="17"/>
      <c r="K98" s="10">
        <v>204</v>
      </c>
      <c r="L98" s="10">
        <f t="shared" si="3"/>
        <v>17</v>
      </c>
      <c r="M98" s="11">
        <v>7</v>
      </c>
      <c r="N98" s="11">
        <v>13</v>
      </c>
      <c r="O98" s="11">
        <v>14</v>
      </c>
      <c r="P98" s="11">
        <v>22</v>
      </c>
      <c r="Q98" s="11">
        <v>23</v>
      </c>
      <c r="R98" s="11">
        <v>24</v>
      </c>
      <c r="S98" s="11">
        <v>27</v>
      </c>
      <c r="T98" s="11">
        <v>28</v>
      </c>
      <c r="U98" s="11">
        <v>29</v>
      </c>
      <c r="V98" s="11">
        <v>30</v>
      </c>
      <c r="W98" s="11">
        <v>31</v>
      </c>
      <c r="X98" s="11">
        <v>37</v>
      </c>
      <c r="Y98" s="11">
        <v>55</v>
      </c>
      <c r="Z98" s="11">
        <v>56</v>
      </c>
      <c r="AA98" s="11">
        <v>61</v>
      </c>
      <c r="AB98" s="11">
        <v>62</v>
      </c>
      <c r="AC98" s="11">
        <v>63</v>
      </c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</row>
    <row r="99" spans="1:159" x14ac:dyDescent="0.25">
      <c r="A99" s="7" t="str">
        <f t="shared" si="2"/>
        <v>H152783H152783</v>
      </c>
      <c r="B99" s="9" t="s">
        <v>279</v>
      </c>
      <c r="C99" s="9" t="s">
        <v>278</v>
      </c>
      <c r="D99" s="9">
        <v>1002</v>
      </c>
      <c r="E99" s="9" t="s">
        <v>428</v>
      </c>
      <c r="F99" s="9" t="s">
        <v>429</v>
      </c>
      <c r="G99" s="9" t="s">
        <v>404</v>
      </c>
      <c r="H99" s="17">
        <v>46234</v>
      </c>
      <c r="I99" s="17"/>
      <c r="J99" s="17"/>
      <c r="K99" s="10">
        <v>360</v>
      </c>
      <c r="L99" s="10">
        <f t="shared" si="3"/>
        <v>30</v>
      </c>
      <c r="M99" s="11">
        <v>5</v>
      </c>
      <c r="N99" s="11">
        <v>6</v>
      </c>
      <c r="O99" s="11">
        <v>7</v>
      </c>
      <c r="P99" s="11">
        <v>8</v>
      </c>
      <c r="Q99" s="11">
        <v>9</v>
      </c>
      <c r="R99" s="11">
        <v>10</v>
      </c>
      <c r="S99" s="11">
        <v>11</v>
      </c>
      <c r="T99" s="11">
        <v>12</v>
      </c>
      <c r="U99" s="11">
        <v>13</v>
      </c>
      <c r="V99" s="11">
        <v>19</v>
      </c>
      <c r="W99" s="11">
        <v>20</v>
      </c>
      <c r="X99" s="11">
        <v>21</v>
      </c>
      <c r="Y99" s="11">
        <v>22</v>
      </c>
      <c r="Z99" s="11">
        <v>23</v>
      </c>
      <c r="AA99" s="11">
        <v>24</v>
      </c>
      <c r="AB99" s="11">
        <v>26</v>
      </c>
      <c r="AC99" s="11">
        <v>27</v>
      </c>
      <c r="AD99" s="11">
        <v>28</v>
      </c>
      <c r="AE99" s="11">
        <v>29</v>
      </c>
      <c r="AF99" s="11">
        <v>43</v>
      </c>
      <c r="AG99" s="11">
        <v>44</v>
      </c>
      <c r="AH99" s="11">
        <v>45</v>
      </c>
      <c r="AI99" s="11">
        <v>46</v>
      </c>
      <c r="AJ99" s="11">
        <v>47</v>
      </c>
      <c r="AK99" s="11">
        <v>48</v>
      </c>
      <c r="AL99" s="11">
        <v>49</v>
      </c>
      <c r="AM99" s="11">
        <v>50</v>
      </c>
      <c r="AN99" s="11">
        <v>51</v>
      </c>
      <c r="AO99" s="11">
        <v>52</v>
      </c>
      <c r="AP99" s="11">
        <v>53</v>
      </c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</row>
    <row r="100" spans="1:159" x14ac:dyDescent="0.25">
      <c r="A100" s="7" t="str">
        <f t="shared" si="2"/>
        <v>H152786H152786</v>
      </c>
      <c r="B100" s="9" t="s">
        <v>266</v>
      </c>
      <c r="C100" s="9" t="s">
        <v>265</v>
      </c>
      <c r="D100" s="9">
        <v>1008</v>
      </c>
      <c r="E100" s="9" t="s">
        <v>428</v>
      </c>
      <c r="F100" s="9" t="s">
        <v>429</v>
      </c>
      <c r="G100" s="9" t="s">
        <v>404</v>
      </c>
      <c r="H100" s="17">
        <v>46233</v>
      </c>
      <c r="I100" s="17"/>
      <c r="J100" s="17"/>
      <c r="K100" s="10">
        <v>240</v>
      </c>
      <c r="L100" s="10">
        <f t="shared" si="3"/>
        <v>20</v>
      </c>
      <c r="M100" s="11">
        <v>2</v>
      </c>
      <c r="N100" s="11">
        <v>3</v>
      </c>
      <c r="O100" s="11">
        <v>4</v>
      </c>
      <c r="P100" s="11">
        <v>5</v>
      </c>
      <c r="Q100" s="11">
        <v>13</v>
      </c>
      <c r="R100" s="11">
        <v>15</v>
      </c>
      <c r="S100" s="11">
        <v>16</v>
      </c>
      <c r="T100" s="11">
        <v>17</v>
      </c>
      <c r="U100" s="11">
        <v>24</v>
      </c>
      <c r="V100" s="11">
        <v>25</v>
      </c>
      <c r="W100" s="11">
        <v>26</v>
      </c>
      <c r="X100" s="11">
        <v>36</v>
      </c>
      <c r="Y100" s="11">
        <v>37</v>
      </c>
      <c r="Z100" s="11">
        <v>38</v>
      </c>
      <c r="AA100" s="11">
        <v>39</v>
      </c>
      <c r="AB100" s="11">
        <v>40</v>
      </c>
      <c r="AC100" s="11">
        <v>49</v>
      </c>
      <c r="AD100" s="11">
        <v>50</v>
      </c>
      <c r="AE100" s="11">
        <v>51</v>
      </c>
      <c r="AF100" s="11">
        <v>64</v>
      </c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</row>
    <row r="101" spans="1:159" x14ac:dyDescent="0.25">
      <c r="A101" s="7" t="str">
        <f t="shared" si="2"/>
        <v>H152787H152787</v>
      </c>
      <c r="B101" s="9" t="s">
        <v>221</v>
      </c>
      <c r="C101" s="9" t="s">
        <v>220</v>
      </c>
      <c r="D101" s="9">
        <v>1008</v>
      </c>
      <c r="E101" s="9" t="s">
        <v>428</v>
      </c>
      <c r="F101" s="9" t="s">
        <v>429</v>
      </c>
      <c r="G101" s="9" t="s">
        <v>404</v>
      </c>
      <c r="H101" s="17">
        <v>46231</v>
      </c>
      <c r="I101" s="17"/>
      <c r="J101" s="17"/>
      <c r="K101" s="10">
        <v>312</v>
      </c>
      <c r="L101" s="10">
        <f t="shared" si="3"/>
        <v>26</v>
      </c>
      <c r="M101" s="11">
        <v>1</v>
      </c>
      <c r="N101" s="11">
        <v>2</v>
      </c>
      <c r="O101" s="11">
        <v>7</v>
      </c>
      <c r="P101" s="11">
        <v>8</v>
      </c>
      <c r="Q101" s="11">
        <v>9</v>
      </c>
      <c r="R101" s="11">
        <v>10</v>
      </c>
      <c r="S101" s="11">
        <v>18</v>
      </c>
      <c r="T101" s="11">
        <v>19</v>
      </c>
      <c r="U101" s="11">
        <v>20</v>
      </c>
      <c r="V101" s="11">
        <v>25</v>
      </c>
      <c r="W101" s="11">
        <v>26</v>
      </c>
      <c r="X101" s="11">
        <v>31</v>
      </c>
      <c r="Y101" s="11">
        <v>33</v>
      </c>
      <c r="Z101" s="11">
        <v>35</v>
      </c>
      <c r="AA101" s="11">
        <v>39</v>
      </c>
      <c r="AB101" s="11">
        <v>46</v>
      </c>
      <c r="AC101" s="11">
        <v>47</v>
      </c>
      <c r="AD101" s="11">
        <v>48</v>
      </c>
      <c r="AE101" s="11">
        <v>51</v>
      </c>
      <c r="AF101" s="11">
        <v>52</v>
      </c>
      <c r="AG101" s="11">
        <v>60</v>
      </c>
      <c r="AH101" s="11">
        <v>62</v>
      </c>
      <c r="AI101" s="11">
        <v>63</v>
      </c>
      <c r="AJ101" s="11">
        <v>64</v>
      </c>
      <c r="AK101" s="11">
        <v>73</v>
      </c>
      <c r="AL101" s="11">
        <v>75</v>
      </c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</row>
    <row r="102" spans="1:159" x14ac:dyDescent="0.25">
      <c r="A102" s="7" t="str">
        <f t="shared" si="2"/>
        <v>H152789H152789</v>
      </c>
      <c r="B102" s="9" t="s">
        <v>295</v>
      </c>
      <c r="C102" s="9" t="s">
        <v>294</v>
      </c>
      <c r="D102" s="9">
        <v>996</v>
      </c>
      <c r="E102" s="9" t="s">
        <v>428</v>
      </c>
      <c r="F102" s="9" t="s">
        <v>429</v>
      </c>
      <c r="G102" s="9" t="s">
        <v>404</v>
      </c>
      <c r="H102" s="17">
        <v>46237</v>
      </c>
      <c r="I102" s="17"/>
      <c r="J102" s="17"/>
      <c r="K102" s="10">
        <v>432</v>
      </c>
      <c r="L102" s="10">
        <f t="shared" si="3"/>
        <v>36</v>
      </c>
      <c r="M102" s="11">
        <v>2</v>
      </c>
      <c r="N102" s="11">
        <v>4</v>
      </c>
      <c r="O102" s="11">
        <v>5</v>
      </c>
      <c r="P102" s="11">
        <v>7</v>
      </c>
      <c r="Q102" s="11">
        <v>8</v>
      </c>
      <c r="R102" s="11">
        <v>10</v>
      </c>
      <c r="S102" s="11">
        <v>11</v>
      </c>
      <c r="T102" s="11">
        <v>19</v>
      </c>
      <c r="U102" s="11">
        <v>20</v>
      </c>
      <c r="V102" s="11">
        <v>21</v>
      </c>
      <c r="W102" s="11">
        <v>22</v>
      </c>
      <c r="X102" s="11">
        <v>23</v>
      </c>
      <c r="Y102" s="11">
        <v>24</v>
      </c>
      <c r="Z102" s="11">
        <v>25</v>
      </c>
      <c r="AA102" s="11">
        <v>26</v>
      </c>
      <c r="AB102" s="11">
        <v>28</v>
      </c>
      <c r="AC102" s="11">
        <v>33</v>
      </c>
      <c r="AD102" s="11">
        <v>34</v>
      </c>
      <c r="AE102" s="11">
        <v>35</v>
      </c>
      <c r="AF102" s="11">
        <v>36</v>
      </c>
      <c r="AG102" s="11">
        <v>37</v>
      </c>
      <c r="AH102" s="11">
        <v>38</v>
      </c>
      <c r="AI102" s="11">
        <v>39</v>
      </c>
      <c r="AJ102" s="11">
        <v>40</v>
      </c>
      <c r="AK102" s="11">
        <v>41</v>
      </c>
      <c r="AL102" s="11">
        <v>43</v>
      </c>
      <c r="AM102" s="11">
        <v>44</v>
      </c>
      <c r="AN102" s="11">
        <v>45</v>
      </c>
      <c r="AO102" s="11">
        <v>46</v>
      </c>
      <c r="AP102" s="11">
        <v>59</v>
      </c>
      <c r="AQ102" s="11">
        <v>61</v>
      </c>
      <c r="AR102" s="11">
        <v>62</v>
      </c>
      <c r="AS102" s="11">
        <v>63</v>
      </c>
      <c r="AT102" s="11">
        <v>65</v>
      </c>
      <c r="AU102" s="11">
        <v>66</v>
      </c>
      <c r="AV102" s="11">
        <v>81</v>
      </c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</row>
    <row r="103" spans="1:159" x14ac:dyDescent="0.25">
      <c r="A103" s="7" t="str">
        <f t="shared" si="2"/>
        <v>H152814H152814</v>
      </c>
      <c r="B103" s="9" t="s">
        <v>204</v>
      </c>
      <c r="C103" s="9" t="s">
        <v>71</v>
      </c>
      <c r="D103" s="9">
        <v>1002</v>
      </c>
      <c r="E103" s="9" t="s">
        <v>428</v>
      </c>
      <c r="F103" s="9" t="s">
        <v>429</v>
      </c>
      <c r="G103" s="9" t="s">
        <v>404</v>
      </c>
      <c r="H103" s="17">
        <v>46227</v>
      </c>
      <c r="I103" s="17"/>
      <c r="J103" s="17">
        <v>46239</v>
      </c>
      <c r="K103" s="10">
        <v>12</v>
      </c>
      <c r="L103" s="10">
        <f t="shared" si="3"/>
        <v>1</v>
      </c>
      <c r="M103" s="11">
        <v>42</v>
      </c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</row>
    <row r="104" spans="1:159" x14ac:dyDescent="0.25">
      <c r="A104" s="7" t="str">
        <f t="shared" si="2"/>
        <v>H152815H152815</v>
      </c>
      <c r="B104" s="9" t="s">
        <v>207</v>
      </c>
      <c r="C104" s="9" t="s">
        <v>71</v>
      </c>
      <c r="D104" s="9">
        <v>1008</v>
      </c>
      <c r="E104" s="9" t="s">
        <v>428</v>
      </c>
      <c r="F104" s="9" t="s">
        <v>429</v>
      </c>
      <c r="G104" s="9" t="s">
        <v>404</v>
      </c>
      <c r="H104" s="17">
        <v>46228</v>
      </c>
      <c r="I104" s="17">
        <v>46233</v>
      </c>
      <c r="J104" s="17">
        <v>46238</v>
      </c>
      <c r="K104" s="10">
        <v>228</v>
      </c>
      <c r="L104" s="10">
        <f t="shared" si="3"/>
        <v>19</v>
      </c>
      <c r="M104" s="11">
        <v>1</v>
      </c>
      <c r="N104" s="11">
        <v>2</v>
      </c>
      <c r="O104" s="11">
        <v>5</v>
      </c>
      <c r="P104" s="11">
        <v>6</v>
      </c>
      <c r="Q104" s="11">
        <v>7</v>
      </c>
      <c r="R104" s="11">
        <v>12</v>
      </c>
      <c r="S104" s="11">
        <v>15</v>
      </c>
      <c r="T104" s="11">
        <v>17</v>
      </c>
      <c r="U104" s="11">
        <v>20</v>
      </c>
      <c r="V104" s="11">
        <v>26</v>
      </c>
      <c r="W104" s="11">
        <v>29</v>
      </c>
      <c r="X104" s="11">
        <v>35</v>
      </c>
      <c r="Y104" s="11">
        <v>41</v>
      </c>
      <c r="Z104" s="11">
        <v>50</v>
      </c>
      <c r="AA104" s="11">
        <v>53</v>
      </c>
      <c r="AB104" s="11">
        <v>55</v>
      </c>
      <c r="AC104" s="11">
        <v>56</v>
      </c>
      <c r="AD104" s="11">
        <v>59</v>
      </c>
      <c r="AE104" s="11">
        <v>68</v>
      </c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</row>
    <row r="105" spans="1:159" x14ac:dyDescent="0.25">
      <c r="A105" s="7" t="str">
        <f t="shared" si="2"/>
        <v>H152816H152816</v>
      </c>
      <c r="B105" s="9" t="s">
        <v>209</v>
      </c>
      <c r="C105" s="9" t="s">
        <v>71</v>
      </c>
      <c r="D105" s="9">
        <v>1008</v>
      </c>
      <c r="E105" s="9" t="s">
        <v>428</v>
      </c>
      <c r="F105" s="9" t="s">
        <v>429</v>
      </c>
      <c r="G105" s="9" t="s">
        <v>404</v>
      </c>
      <c r="H105" s="17">
        <v>46230</v>
      </c>
      <c r="I105" s="17"/>
      <c r="J105" s="17"/>
      <c r="K105" s="10">
        <v>558</v>
      </c>
      <c r="L105" s="10">
        <f t="shared" si="3"/>
        <v>47</v>
      </c>
      <c r="M105" s="11">
        <v>8</v>
      </c>
      <c r="N105" s="11">
        <v>10</v>
      </c>
      <c r="O105" s="11">
        <v>11</v>
      </c>
      <c r="P105" s="11">
        <v>12</v>
      </c>
      <c r="Q105" s="11">
        <v>15</v>
      </c>
      <c r="R105" s="11">
        <v>16</v>
      </c>
      <c r="S105" s="11">
        <v>17</v>
      </c>
      <c r="T105" s="11">
        <v>18</v>
      </c>
      <c r="U105" s="11">
        <v>19</v>
      </c>
      <c r="V105" s="11">
        <v>20</v>
      </c>
      <c r="W105" s="11">
        <v>23</v>
      </c>
      <c r="X105" s="11">
        <v>24</v>
      </c>
      <c r="Y105" s="11">
        <v>25</v>
      </c>
      <c r="Z105" s="11">
        <v>26</v>
      </c>
      <c r="AA105" s="11">
        <v>27</v>
      </c>
      <c r="AB105" s="11">
        <v>29</v>
      </c>
      <c r="AC105" s="11">
        <v>34</v>
      </c>
      <c r="AD105" s="11">
        <v>35</v>
      </c>
      <c r="AE105" s="11">
        <v>36</v>
      </c>
      <c r="AF105" s="11">
        <v>37</v>
      </c>
      <c r="AG105" s="11">
        <v>39</v>
      </c>
      <c r="AH105" s="11">
        <v>43</v>
      </c>
      <c r="AI105" s="11">
        <v>44</v>
      </c>
      <c r="AJ105" s="11">
        <v>45</v>
      </c>
      <c r="AK105" s="11">
        <v>46</v>
      </c>
      <c r="AL105" s="11">
        <v>47</v>
      </c>
      <c r="AM105" s="11">
        <v>48</v>
      </c>
      <c r="AN105" s="11">
        <v>51</v>
      </c>
      <c r="AO105" s="11">
        <v>52</v>
      </c>
      <c r="AP105" s="11">
        <v>54</v>
      </c>
      <c r="AQ105" s="11">
        <v>56</v>
      </c>
      <c r="AR105" s="11">
        <v>60</v>
      </c>
      <c r="AS105" s="11">
        <v>61</v>
      </c>
      <c r="AT105" s="11">
        <v>62</v>
      </c>
      <c r="AU105" s="11">
        <v>63</v>
      </c>
      <c r="AV105" s="11">
        <v>64</v>
      </c>
      <c r="AW105" s="11">
        <v>66</v>
      </c>
      <c r="AX105" s="11">
        <v>69</v>
      </c>
      <c r="AY105" s="11">
        <v>70</v>
      </c>
      <c r="AZ105" s="11">
        <v>71</v>
      </c>
      <c r="BA105" s="11">
        <v>72</v>
      </c>
      <c r="BB105" s="11">
        <v>73</v>
      </c>
      <c r="BC105" s="11">
        <v>74</v>
      </c>
      <c r="BD105" s="11">
        <v>76</v>
      </c>
      <c r="BE105" s="11">
        <v>77</v>
      </c>
      <c r="BF105" s="11">
        <v>79</v>
      </c>
      <c r="BG105" s="11">
        <v>81</v>
      </c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</row>
    <row r="106" spans="1:159" x14ac:dyDescent="0.25">
      <c r="A106" s="7" t="str">
        <f t="shared" si="2"/>
        <v>H153246H153246</v>
      </c>
      <c r="B106" s="9" t="s">
        <v>337</v>
      </c>
      <c r="C106" s="9" t="s">
        <v>17</v>
      </c>
      <c r="D106" s="9">
        <v>540</v>
      </c>
      <c r="E106" s="9" t="s">
        <v>405</v>
      </c>
      <c r="F106" s="9" t="s">
        <v>406</v>
      </c>
      <c r="G106" s="9" t="s">
        <v>404</v>
      </c>
      <c r="H106" s="17">
        <v>46238</v>
      </c>
      <c r="I106" s="17"/>
      <c r="J106" s="17"/>
      <c r="K106" s="10">
        <v>264</v>
      </c>
      <c r="L106" s="10">
        <f t="shared" si="3"/>
        <v>22</v>
      </c>
      <c r="M106" s="11">
        <v>6</v>
      </c>
      <c r="N106" s="11">
        <v>13</v>
      </c>
      <c r="O106" s="11">
        <v>14</v>
      </c>
      <c r="P106" s="11">
        <v>15</v>
      </c>
      <c r="Q106" s="11">
        <v>17</v>
      </c>
      <c r="R106" s="11">
        <v>18</v>
      </c>
      <c r="S106" s="11">
        <v>19</v>
      </c>
      <c r="T106" s="11">
        <v>20</v>
      </c>
      <c r="U106" s="11">
        <v>21</v>
      </c>
      <c r="V106" s="11">
        <v>22</v>
      </c>
      <c r="W106" s="11">
        <v>23</v>
      </c>
      <c r="X106" s="11">
        <v>25</v>
      </c>
      <c r="Y106" s="11">
        <v>30</v>
      </c>
      <c r="Z106" s="11">
        <v>31</v>
      </c>
      <c r="AA106" s="11">
        <v>34</v>
      </c>
      <c r="AB106" s="11">
        <v>35</v>
      </c>
      <c r="AC106" s="11">
        <v>36</v>
      </c>
      <c r="AD106" s="11">
        <v>37</v>
      </c>
      <c r="AE106" s="11">
        <v>38</v>
      </c>
      <c r="AF106" s="11">
        <v>40</v>
      </c>
      <c r="AG106" s="11">
        <v>41</v>
      </c>
      <c r="AH106" s="11">
        <v>42</v>
      </c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</row>
    <row r="107" spans="1:159" x14ac:dyDescent="0.25">
      <c r="A107" s="7" t="str">
        <f t="shared" si="2"/>
        <v>H153460H153460</v>
      </c>
      <c r="B107" s="9" t="s">
        <v>194</v>
      </c>
      <c r="C107" s="9" t="s">
        <v>55</v>
      </c>
      <c r="D107" s="9">
        <v>1602</v>
      </c>
      <c r="E107" s="9" t="s">
        <v>414</v>
      </c>
      <c r="F107" s="9" t="s">
        <v>415</v>
      </c>
      <c r="G107" s="9" t="s">
        <v>404</v>
      </c>
      <c r="H107" s="17">
        <v>46227</v>
      </c>
      <c r="I107" s="17"/>
      <c r="J107" s="17"/>
      <c r="K107" s="10">
        <v>396</v>
      </c>
      <c r="L107" s="10">
        <f t="shared" si="3"/>
        <v>33</v>
      </c>
      <c r="M107" s="11">
        <v>1</v>
      </c>
      <c r="N107" s="11">
        <v>2</v>
      </c>
      <c r="O107" s="11">
        <v>3</v>
      </c>
      <c r="P107" s="11">
        <v>4</v>
      </c>
      <c r="Q107" s="11">
        <v>19</v>
      </c>
      <c r="R107" s="11">
        <v>20</v>
      </c>
      <c r="S107" s="11">
        <v>21</v>
      </c>
      <c r="T107" s="11">
        <v>22</v>
      </c>
      <c r="U107" s="11">
        <v>23</v>
      </c>
      <c r="V107" s="11">
        <v>55</v>
      </c>
      <c r="W107" s="11">
        <v>56</v>
      </c>
      <c r="X107" s="11">
        <v>57</v>
      </c>
      <c r="Y107" s="11">
        <v>58</v>
      </c>
      <c r="Z107" s="11">
        <v>59</v>
      </c>
      <c r="AA107" s="11">
        <v>60</v>
      </c>
      <c r="AB107" s="11">
        <v>61</v>
      </c>
      <c r="AC107" s="11">
        <v>62</v>
      </c>
      <c r="AD107" s="11">
        <v>96</v>
      </c>
      <c r="AE107" s="11">
        <v>97</v>
      </c>
      <c r="AF107" s="11">
        <v>98</v>
      </c>
      <c r="AG107" s="11">
        <v>99</v>
      </c>
      <c r="AH107" s="11">
        <v>100</v>
      </c>
      <c r="AI107" s="11">
        <v>101</v>
      </c>
      <c r="AJ107" s="11">
        <v>102</v>
      </c>
      <c r="AK107" s="11">
        <v>103</v>
      </c>
      <c r="AL107" s="11">
        <v>104</v>
      </c>
      <c r="AM107" s="11">
        <v>105</v>
      </c>
      <c r="AN107" s="11">
        <v>106</v>
      </c>
      <c r="AO107" s="11">
        <v>107</v>
      </c>
      <c r="AP107" s="11">
        <v>108</v>
      </c>
      <c r="AQ107" s="11">
        <v>109</v>
      </c>
      <c r="AR107" s="11">
        <v>110</v>
      </c>
      <c r="AS107" s="11">
        <v>113</v>
      </c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</row>
    <row r="108" spans="1:159" x14ac:dyDescent="0.25">
      <c r="A108" s="7" t="str">
        <f t="shared" si="2"/>
        <v>H153466H153466</v>
      </c>
      <c r="B108" s="9" t="s">
        <v>333</v>
      </c>
      <c r="C108" s="9" t="s">
        <v>73</v>
      </c>
      <c r="D108" s="9">
        <v>528</v>
      </c>
      <c r="E108" s="9" t="s">
        <v>414</v>
      </c>
      <c r="F108" s="9" t="s">
        <v>415</v>
      </c>
      <c r="G108" s="9" t="s">
        <v>404</v>
      </c>
      <c r="H108" s="17">
        <v>46238</v>
      </c>
      <c r="I108" s="17"/>
      <c r="J108" s="17"/>
      <c r="K108" s="10">
        <v>312</v>
      </c>
      <c r="L108" s="10">
        <f t="shared" si="3"/>
        <v>26</v>
      </c>
      <c r="M108" s="11">
        <v>5</v>
      </c>
      <c r="N108" s="11">
        <v>6</v>
      </c>
      <c r="O108" s="11">
        <v>8</v>
      </c>
      <c r="P108" s="11">
        <v>9</v>
      </c>
      <c r="Q108" s="11">
        <v>10</v>
      </c>
      <c r="R108" s="11">
        <v>11</v>
      </c>
      <c r="S108" s="11">
        <v>17</v>
      </c>
      <c r="T108" s="11">
        <v>18</v>
      </c>
      <c r="U108" s="11">
        <v>19</v>
      </c>
      <c r="V108" s="11">
        <v>21</v>
      </c>
      <c r="W108" s="11">
        <v>24</v>
      </c>
      <c r="X108" s="11">
        <v>25</v>
      </c>
      <c r="Y108" s="11">
        <v>26</v>
      </c>
      <c r="Z108" s="11">
        <v>27</v>
      </c>
      <c r="AA108" s="11">
        <v>28</v>
      </c>
      <c r="AB108" s="11">
        <v>31</v>
      </c>
      <c r="AC108" s="11">
        <v>32</v>
      </c>
      <c r="AD108" s="11">
        <v>33</v>
      </c>
      <c r="AE108" s="11">
        <v>34</v>
      </c>
      <c r="AF108" s="11">
        <v>35</v>
      </c>
      <c r="AG108" s="11">
        <v>36</v>
      </c>
      <c r="AH108" s="11">
        <v>37</v>
      </c>
      <c r="AI108" s="11">
        <v>38</v>
      </c>
      <c r="AJ108" s="11">
        <v>40</v>
      </c>
      <c r="AK108" s="11">
        <v>41</v>
      </c>
      <c r="AL108" s="11">
        <v>42</v>
      </c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</row>
    <row r="109" spans="1:159" x14ac:dyDescent="0.25">
      <c r="A109" s="7" t="str">
        <f t="shared" si="2"/>
        <v>H155705H155705</v>
      </c>
      <c r="B109" s="9" t="s">
        <v>308</v>
      </c>
      <c r="C109" s="9" t="s">
        <v>49</v>
      </c>
      <c r="D109" s="9">
        <v>582</v>
      </c>
      <c r="E109" s="9" t="s">
        <v>430</v>
      </c>
      <c r="F109" s="9" t="s">
        <v>431</v>
      </c>
      <c r="G109" s="9" t="s">
        <v>404</v>
      </c>
      <c r="H109" s="17">
        <v>46237</v>
      </c>
      <c r="I109" s="17"/>
      <c r="J109" s="17"/>
      <c r="K109" s="10">
        <v>420</v>
      </c>
      <c r="L109" s="10">
        <f t="shared" si="3"/>
        <v>35</v>
      </c>
      <c r="M109" s="11">
        <v>1</v>
      </c>
      <c r="N109" s="11">
        <v>2</v>
      </c>
      <c r="O109" s="11">
        <v>3</v>
      </c>
      <c r="P109" s="11">
        <v>5</v>
      </c>
      <c r="Q109" s="11">
        <v>6</v>
      </c>
      <c r="R109" s="11">
        <v>7</v>
      </c>
      <c r="S109" s="11">
        <v>8</v>
      </c>
      <c r="T109" s="11">
        <v>9</v>
      </c>
      <c r="U109" s="11">
        <v>10</v>
      </c>
      <c r="V109" s="11">
        <v>12</v>
      </c>
      <c r="W109" s="11">
        <v>13</v>
      </c>
      <c r="X109" s="11">
        <v>14</v>
      </c>
      <c r="Y109" s="11">
        <v>15</v>
      </c>
      <c r="Z109" s="11">
        <v>16</v>
      </c>
      <c r="AA109" s="11">
        <v>19</v>
      </c>
      <c r="AB109" s="11">
        <v>20</v>
      </c>
      <c r="AC109" s="11">
        <v>21</v>
      </c>
      <c r="AD109" s="11">
        <v>22</v>
      </c>
      <c r="AE109" s="11">
        <v>23</v>
      </c>
      <c r="AF109" s="11">
        <v>24</v>
      </c>
      <c r="AG109" s="11">
        <v>26</v>
      </c>
      <c r="AH109" s="11">
        <v>27</v>
      </c>
      <c r="AI109" s="11">
        <v>28</v>
      </c>
      <c r="AJ109" s="11">
        <v>31</v>
      </c>
      <c r="AK109" s="11">
        <v>32</v>
      </c>
      <c r="AL109" s="11">
        <v>33</v>
      </c>
      <c r="AM109" s="11">
        <v>38</v>
      </c>
      <c r="AN109" s="11">
        <v>39</v>
      </c>
      <c r="AO109" s="11">
        <v>41</v>
      </c>
      <c r="AP109" s="11">
        <v>42</v>
      </c>
      <c r="AQ109" s="11">
        <v>43</v>
      </c>
      <c r="AR109" s="11">
        <v>44</v>
      </c>
      <c r="AS109" s="11">
        <v>45</v>
      </c>
      <c r="AT109" s="11">
        <v>46</v>
      </c>
      <c r="AU109" s="11">
        <v>47</v>
      </c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</row>
    <row r="110" spans="1:159" x14ac:dyDescent="0.25">
      <c r="A110" s="7" t="str">
        <f t="shared" si="2"/>
        <v>H155710H155710</v>
      </c>
      <c r="B110" s="9" t="s">
        <v>347</v>
      </c>
      <c r="C110" s="9" t="s">
        <v>24</v>
      </c>
      <c r="D110" s="9">
        <v>180</v>
      </c>
      <c r="E110" s="9" t="s">
        <v>430</v>
      </c>
      <c r="F110" s="9" t="s">
        <v>431</v>
      </c>
      <c r="G110" s="9" t="s">
        <v>404</v>
      </c>
      <c r="H110" s="17">
        <v>46239</v>
      </c>
      <c r="I110" s="17"/>
      <c r="J110" s="17"/>
      <c r="K110" s="10">
        <v>102</v>
      </c>
      <c r="L110" s="10">
        <f t="shared" si="3"/>
        <v>9</v>
      </c>
      <c r="M110" s="11">
        <v>1</v>
      </c>
      <c r="N110" s="11">
        <v>3</v>
      </c>
      <c r="O110" s="11">
        <v>5</v>
      </c>
      <c r="P110" s="11">
        <v>6</v>
      </c>
      <c r="Q110" s="11">
        <v>8</v>
      </c>
      <c r="R110" s="11">
        <v>10</v>
      </c>
      <c r="S110" s="11">
        <v>11</v>
      </c>
      <c r="T110" s="11">
        <v>13</v>
      </c>
      <c r="U110" s="11">
        <v>16</v>
      </c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</row>
    <row r="111" spans="1:159" x14ac:dyDescent="0.25">
      <c r="A111" s="7" t="str">
        <f t="shared" si="2"/>
        <v>H155743H155743</v>
      </c>
      <c r="B111" s="9" t="s">
        <v>324</v>
      </c>
      <c r="C111" s="9" t="s">
        <v>301</v>
      </c>
      <c r="D111" s="9">
        <v>384</v>
      </c>
      <c r="E111" s="9" t="s">
        <v>430</v>
      </c>
      <c r="F111" s="9" t="s">
        <v>431</v>
      </c>
      <c r="G111" s="9" t="s">
        <v>404</v>
      </c>
      <c r="H111" s="17">
        <v>46237</v>
      </c>
      <c r="I111" s="17"/>
      <c r="J111" s="17"/>
      <c r="K111" s="10">
        <v>72</v>
      </c>
      <c r="L111" s="10">
        <f t="shared" si="3"/>
        <v>6</v>
      </c>
      <c r="M111" s="11">
        <v>4</v>
      </c>
      <c r="N111" s="11">
        <v>15</v>
      </c>
      <c r="O111" s="11">
        <v>25</v>
      </c>
      <c r="P111" s="11">
        <v>27</v>
      </c>
      <c r="Q111" s="11">
        <v>28</v>
      </c>
      <c r="R111" s="11">
        <v>29</v>
      </c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</row>
    <row r="112" spans="1:159" x14ac:dyDescent="0.25">
      <c r="A112" s="7" t="str">
        <f t="shared" si="2"/>
        <v>H156171H156171</v>
      </c>
      <c r="B112" s="9" t="s">
        <v>139</v>
      </c>
      <c r="C112" s="9" t="s">
        <v>5</v>
      </c>
      <c r="D112" s="9">
        <v>144</v>
      </c>
      <c r="E112" s="9" t="s">
        <v>432</v>
      </c>
      <c r="F112" s="9" t="s">
        <v>433</v>
      </c>
      <c r="G112" s="9" t="s">
        <v>404</v>
      </c>
      <c r="H112" s="17">
        <v>46223</v>
      </c>
      <c r="I112" s="17">
        <v>46223</v>
      </c>
      <c r="J112" s="17">
        <v>46224</v>
      </c>
      <c r="K112" s="10">
        <v>144</v>
      </c>
      <c r="L112" s="10">
        <f t="shared" si="3"/>
        <v>24</v>
      </c>
      <c r="M112" s="11">
        <v>1</v>
      </c>
      <c r="N112" s="11">
        <v>2</v>
      </c>
      <c r="O112" s="11">
        <v>3</v>
      </c>
      <c r="P112" s="11">
        <v>4</v>
      </c>
      <c r="Q112" s="11">
        <v>5</v>
      </c>
      <c r="R112" s="11">
        <v>6</v>
      </c>
      <c r="S112" s="11">
        <v>7</v>
      </c>
      <c r="T112" s="11">
        <v>8</v>
      </c>
      <c r="U112" s="11">
        <v>9</v>
      </c>
      <c r="V112" s="11">
        <v>10</v>
      </c>
      <c r="W112" s="11">
        <v>11</v>
      </c>
      <c r="X112" s="11">
        <v>12</v>
      </c>
      <c r="Y112" s="11">
        <v>13</v>
      </c>
      <c r="Z112" s="11">
        <v>14</v>
      </c>
      <c r="AA112" s="11">
        <v>15</v>
      </c>
      <c r="AB112" s="11">
        <v>16</v>
      </c>
      <c r="AC112" s="11">
        <v>17</v>
      </c>
      <c r="AD112" s="11">
        <v>18</v>
      </c>
      <c r="AE112" s="11">
        <v>19</v>
      </c>
      <c r="AF112" s="11">
        <v>20</v>
      </c>
      <c r="AG112" s="11">
        <v>21</v>
      </c>
      <c r="AH112" s="11">
        <v>22</v>
      </c>
      <c r="AI112" s="11">
        <v>23</v>
      </c>
      <c r="AJ112" s="11">
        <v>24</v>
      </c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</row>
    <row r="113" spans="1:159" x14ac:dyDescent="0.25">
      <c r="A113" s="7" t="str">
        <f t="shared" si="2"/>
        <v>H156172H156172</v>
      </c>
      <c r="B113" s="9" t="s">
        <v>304</v>
      </c>
      <c r="C113" s="9" t="s">
        <v>41</v>
      </c>
      <c r="D113" s="9">
        <v>150</v>
      </c>
      <c r="E113" s="9" t="s">
        <v>418</v>
      </c>
      <c r="F113" s="9" t="s">
        <v>419</v>
      </c>
      <c r="G113" s="9" t="s">
        <v>404</v>
      </c>
      <c r="H113" s="17">
        <v>46237</v>
      </c>
      <c r="I113" s="17">
        <v>46238</v>
      </c>
      <c r="J113" s="17">
        <v>46239</v>
      </c>
      <c r="K113" s="10">
        <v>120</v>
      </c>
      <c r="L113" s="10">
        <f t="shared" si="3"/>
        <v>11</v>
      </c>
      <c r="M113" s="11">
        <v>1</v>
      </c>
      <c r="N113" s="11">
        <v>2</v>
      </c>
      <c r="O113" s="11">
        <v>3</v>
      </c>
      <c r="P113" s="11">
        <v>5</v>
      </c>
      <c r="Q113" s="11">
        <v>7</v>
      </c>
      <c r="R113" s="11">
        <v>8</v>
      </c>
      <c r="S113" s="11">
        <v>9</v>
      </c>
      <c r="T113" s="11">
        <v>10</v>
      </c>
      <c r="U113" s="11">
        <v>11</v>
      </c>
      <c r="V113" s="11">
        <v>12</v>
      </c>
      <c r="W113" s="11">
        <v>14</v>
      </c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</row>
    <row r="114" spans="1:159" x14ac:dyDescent="0.25">
      <c r="A114" s="7" t="str">
        <f t="shared" si="2"/>
        <v>H156229H156229</v>
      </c>
      <c r="B114" s="9" t="s">
        <v>344</v>
      </c>
      <c r="C114" s="9" t="s">
        <v>43</v>
      </c>
      <c r="D114" s="9">
        <v>546</v>
      </c>
      <c r="E114" s="9" t="s">
        <v>430</v>
      </c>
      <c r="F114" s="9" t="s">
        <v>431</v>
      </c>
      <c r="G114" s="9" t="s">
        <v>404</v>
      </c>
      <c r="H114" s="17">
        <v>46238</v>
      </c>
      <c r="I114" s="17"/>
      <c r="J114" s="17"/>
      <c r="K114" s="10">
        <v>312</v>
      </c>
      <c r="L114" s="10">
        <f t="shared" si="3"/>
        <v>26</v>
      </c>
      <c r="M114" s="11">
        <v>4</v>
      </c>
      <c r="N114" s="11">
        <v>9</v>
      </c>
      <c r="O114" s="11">
        <v>10</v>
      </c>
      <c r="P114" s="11">
        <v>11</v>
      </c>
      <c r="Q114" s="11">
        <v>12</v>
      </c>
      <c r="R114" s="11">
        <v>13</v>
      </c>
      <c r="S114" s="11">
        <v>15</v>
      </c>
      <c r="T114" s="11">
        <v>16</v>
      </c>
      <c r="U114" s="11">
        <v>17</v>
      </c>
      <c r="V114" s="11">
        <v>18</v>
      </c>
      <c r="W114" s="11">
        <v>19</v>
      </c>
      <c r="X114" s="11">
        <v>20</v>
      </c>
      <c r="Y114" s="11">
        <v>21</v>
      </c>
      <c r="Z114" s="11">
        <v>22</v>
      </c>
      <c r="AA114" s="11">
        <v>23</v>
      </c>
      <c r="AB114" s="11">
        <v>24</v>
      </c>
      <c r="AC114" s="11">
        <v>25</v>
      </c>
      <c r="AD114" s="11">
        <v>26</v>
      </c>
      <c r="AE114" s="11">
        <v>27</v>
      </c>
      <c r="AF114" s="11">
        <v>28</v>
      </c>
      <c r="AG114" s="11">
        <v>29</v>
      </c>
      <c r="AH114" s="11">
        <v>31</v>
      </c>
      <c r="AI114" s="11">
        <v>32</v>
      </c>
      <c r="AJ114" s="11">
        <v>33</v>
      </c>
      <c r="AK114" s="11">
        <v>34</v>
      </c>
      <c r="AL114" s="11">
        <v>38</v>
      </c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</row>
    <row r="115" spans="1:159" x14ac:dyDescent="0.25">
      <c r="A115" s="7" t="str">
        <f t="shared" si="2"/>
        <v>H156230H156230</v>
      </c>
      <c r="B115" s="9" t="s">
        <v>305</v>
      </c>
      <c r="C115" s="9" t="s">
        <v>20</v>
      </c>
      <c r="D115" s="9">
        <v>1206</v>
      </c>
      <c r="E115" s="9" t="s">
        <v>430</v>
      </c>
      <c r="F115" s="9" t="s">
        <v>431</v>
      </c>
      <c r="G115" s="9" t="s">
        <v>404</v>
      </c>
      <c r="H115" s="17">
        <v>46237</v>
      </c>
      <c r="I115" s="17">
        <v>46239</v>
      </c>
      <c r="J115" s="17"/>
      <c r="K115" s="10">
        <v>300</v>
      </c>
      <c r="L115" s="10">
        <f t="shared" si="3"/>
        <v>25</v>
      </c>
      <c r="M115" s="11">
        <v>9</v>
      </c>
      <c r="N115" s="11">
        <v>10</v>
      </c>
      <c r="O115" s="11">
        <v>11</v>
      </c>
      <c r="P115" s="11">
        <v>12</v>
      </c>
      <c r="Q115" s="11">
        <v>22</v>
      </c>
      <c r="R115" s="11">
        <v>23</v>
      </c>
      <c r="S115" s="11">
        <v>24</v>
      </c>
      <c r="T115" s="11">
        <v>25</v>
      </c>
      <c r="U115" s="11">
        <v>35</v>
      </c>
      <c r="V115" s="11">
        <v>36</v>
      </c>
      <c r="W115" s="11">
        <v>37</v>
      </c>
      <c r="X115" s="11">
        <v>38</v>
      </c>
      <c r="Y115" s="11">
        <v>49</v>
      </c>
      <c r="Z115" s="11">
        <v>50</v>
      </c>
      <c r="AA115" s="11">
        <v>51</v>
      </c>
      <c r="AB115" s="11">
        <v>61</v>
      </c>
      <c r="AC115" s="11">
        <v>62</v>
      </c>
      <c r="AD115" s="11">
        <v>63</v>
      </c>
      <c r="AE115" s="11">
        <v>64</v>
      </c>
      <c r="AF115" s="11">
        <v>77</v>
      </c>
      <c r="AG115" s="11">
        <v>78</v>
      </c>
      <c r="AH115" s="11">
        <v>85</v>
      </c>
      <c r="AI115" s="11">
        <v>86</v>
      </c>
      <c r="AJ115" s="11">
        <v>87</v>
      </c>
      <c r="AK115" s="11">
        <v>88</v>
      </c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</row>
    <row r="116" spans="1:159" x14ac:dyDescent="0.25">
      <c r="A116" s="7" t="str">
        <f t="shared" si="2"/>
        <v>H156233H156233</v>
      </c>
      <c r="B116" s="9" t="s">
        <v>239</v>
      </c>
      <c r="C116" s="9" t="s">
        <v>79</v>
      </c>
      <c r="D116" s="9">
        <v>702</v>
      </c>
      <c r="E116" s="9" t="s">
        <v>430</v>
      </c>
      <c r="F116" s="9" t="s">
        <v>431</v>
      </c>
      <c r="G116" s="9" t="s">
        <v>404</v>
      </c>
      <c r="H116" s="17">
        <v>46232</v>
      </c>
      <c r="I116" s="17"/>
      <c r="J116" s="17"/>
      <c r="K116" s="10">
        <v>108</v>
      </c>
      <c r="L116" s="10">
        <f t="shared" si="3"/>
        <v>9</v>
      </c>
      <c r="M116" s="11">
        <v>2</v>
      </c>
      <c r="N116" s="11">
        <v>3</v>
      </c>
      <c r="O116" s="11">
        <v>4</v>
      </c>
      <c r="P116" s="11">
        <v>7</v>
      </c>
      <c r="Q116" s="11">
        <v>8</v>
      </c>
      <c r="R116" s="11">
        <v>9</v>
      </c>
      <c r="S116" s="11">
        <v>15</v>
      </c>
      <c r="T116" s="11">
        <v>16</v>
      </c>
      <c r="U116" s="11">
        <v>17</v>
      </c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</row>
    <row r="117" spans="1:159" x14ac:dyDescent="0.25">
      <c r="A117" s="7" t="str">
        <f t="shared" si="2"/>
        <v>H156236H156236</v>
      </c>
      <c r="B117" s="9" t="s">
        <v>363</v>
      </c>
      <c r="C117" s="9" t="s">
        <v>79</v>
      </c>
      <c r="D117" s="9">
        <v>3156</v>
      </c>
      <c r="E117" s="9" t="s">
        <v>430</v>
      </c>
      <c r="F117" s="9" t="s">
        <v>431</v>
      </c>
      <c r="G117" s="9" t="s">
        <v>404</v>
      </c>
      <c r="H117" s="17">
        <v>46239</v>
      </c>
      <c r="I117" s="17"/>
      <c r="J117" s="17"/>
      <c r="K117" s="10">
        <v>144</v>
      </c>
      <c r="L117" s="10">
        <f t="shared" si="3"/>
        <v>12</v>
      </c>
      <c r="M117" s="11">
        <v>1</v>
      </c>
      <c r="N117" s="11">
        <v>2</v>
      </c>
      <c r="O117" s="11">
        <v>3</v>
      </c>
      <c r="P117" s="11">
        <v>16</v>
      </c>
      <c r="Q117" s="11">
        <v>17</v>
      </c>
      <c r="R117" s="11">
        <v>18</v>
      </c>
      <c r="S117" s="11">
        <v>40</v>
      </c>
      <c r="T117" s="11">
        <v>41</v>
      </c>
      <c r="U117" s="11">
        <v>42</v>
      </c>
      <c r="V117" s="11">
        <v>65</v>
      </c>
      <c r="W117" s="11">
        <v>66</v>
      </c>
      <c r="X117" s="11">
        <v>67</v>
      </c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</row>
    <row r="118" spans="1:159" x14ac:dyDescent="0.25">
      <c r="A118" s="7" t="str">
        <f t="shared" si="2"/>
        <v>H156239H156239</v>
      </c>
      <c r="B118" s="9" t="s">
        <v>321</v>
      </c>
      <c r="C118" s="9" t="s">
        <v>5</v>
      </c>
      <c r="D118" s="9">
        <v>2448</v>
      </c>
      <c r="E118" s="9" t="s">
        <v>430</v>
      </c>
      <c r="F118" s="9" t="s">
        <v>431</v>
      </c>
      <c r="G118" s="9" t="s">
        <v>404</v>
      </c>
      <c r="H118" s="17">
        <v>46237</v>
      </c>
      <c r="I118" s="17"/>
      <c r="J118" s="17"/>
      <c r="K118" s="10">
        <v>108</v>
      </c>
      <c r="L118" s="10">
        <f t="shared" si="3"/>
        <v>9</v>
      </c>
      <c r="M118" s="11">
        <v>1</v>
      </c>
      <c r="N118" s="11">
        <v>12</v>
      </c>
      <c r="O118" s="11">
        <v>13</v>
      </c>
      <c r="P118" s="11">
        <v>31</v>
      </c>
      <c r="Q118" s="11">
        <v>50</v>
      </c>
      <c r="R118" s="11">
        <v>51</v>
      </c>
      <c r="S118" s="11">
        <v>69</v>
      </c>
      <c r="T118" s="11">
        <v>104</v>
      </c>
      <c r="U118" s="11">
        <v>137</v>
      </c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</row>
    <row r="119" spans="1:159" x14ac:dyDescent="0.25">
      <c r="A119" s="7" t="str">
        <f t="shared" si="2"/>
        <v>H156241H156241</v>
      </c>
      <c r="B119" s="9" t="s">
        <v>291</v>
      </c>
      <c r="C119" s="9" t="s">
        <v>5</v>
      </c>
      <c r="D119" s="9">
        <v>774</v>
      </c>
      <c r="E119" s="9" t="s">
        <v>430</v>
      </c>
      <c r="F119" s="9" t="s">
        <v>431</v>
      </c>
      <c r="G119" s="9" t="s">
        <v>404</v>
      </c>
      <c r="H119" s="17">
        <v>46234</v>
      </c>
      <c r="I119" s="17"/>
      <c r="J119" s="17"/>
      <c r="K119" s="10">
        <v>60</v>
      </c>
      <c r="L119" s="10">
        <f t="shared" si="3"/>
        <v>5</v>
      </c>
      <c r="M119" s="11">
        <v>4</v>
      </c>
      <c r="N119" s="11">
        <v>11</v>
      </c>
      <c r="O119" s="11">
        <v>19</v>
      </c>
      <c r="P119" s="11">
        <v>25</v>
      </c>
      <c r="Q119" s="11">
        <v>42</v>
      </c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</row>
    <row r="120" spans="1:159" x14ac:dyDescent="0.25">
      <c r="A120" s="7" t="str">
        <f t="shared" si="2"/>
        <v>H156242H156242</v>
      </c>
      <c r="B120" s="9" t="s">
        <v>349</v>
      </c>
      <c r="C120" s="9" t="s">
        <v>20</v>
      </c>
      <c r="D120" s="9">
        <v>684</v>
      </c>
      <c r="E120" s="9" t="s">
        <v>430</v>
      </c>
      <c r="F120" s="9" t="s">
        <v>431</v>
      </c>
      <c r="G120" s="9" t="s">
        <v>404</v>
      </c>
      <c r="H120" s="17">
        <v>46239</v>
      </c>
      <c r="I120" s="17"/>
      <c r="J120" s="17"/>
      <c r="K120" s="10">
        <v>576</v>
      </c>
      <c r="L120" s="10">
        <f t="shared" si="3"/>
        <v>48</v>
      </c>
      <c r="M120" s="11">
        <v>1</v>
      </c>
      <c r="N120" s="11">
        <v>3</v>
      </c>
      <c r="O120" s="11">
        <v>5</v>
      </c>
      <c r="P120" s="11">
        <v>6</v>
      </c>
      <c r="Q120" s="11">
        <v>7</v>
      </c>
      <c r="R120" s="11">
        <v>8</v>
      </c>
      <c r="S120" s="11">
        <v>9</v>
      </c>
      <c r="T120" s="11">
        <v>10</v>
      </c>
      <c r="U120" s="11">
        <v>11</v>
      </c>
      <c r="V120" s="11">
        <v>12</v>
      </c>
      <c r="W120" s="11">
        <v>14</v>
      </c>
      <c r="X120" s="11">
        <v>15</v>
      </c>
      <c r="Y120" s="11">
        <v>16</v>
      </c>
      <c r="Z120" s="11">
        <v>17</v>
      </c>
      <c r="AA120" s="11">
        <v>18</v>
      </c>
      <c r="AB120" s="11">
        <v>19</v>
      </c>
      <c r="AC120" s="11">
        <v>20</v>
      </c>
      <c r="AD120" s="11">
        <v>22</v>
      </c>
      <c r="AE120" s="11">
        <v>23</v>
      </c>
      <c r="AF120" s="11">
        <v>24</v>
      </c>
      <c r="AG120" s="11">
        <v>25</v>
      </c>
      <c r="AH120" s="11">
        <v>26</v>
      </c>
      <c r="AI120" s="11">
        <v>28</v>
      </c>
      <c r="AJ120" s="11">
        <v>29</v>
      </c>
      <c r="AK120" s="11">
        <v>30</v>
      </c>
      <c r="AL120" s="11">
        <v>31</v>
      </c>
      <c r="AM120" s="11">
        <v>32</v>
      </c>
      <c r="AN120" s="11">
        <v>33</v>
      </c>
      <c r="AO120" s="11">
        <v>34</v>
      </c>
      <c r="AP120" s="11">
        <v>35</v>
      </c>
      <c r="AQ120" s="11">
        <v>36</v>
      </c>
      <c r="AR120" s="11">
        <v>38</v>
      </c>
      <c r="AS120" s="11">
        <v>39</v>
      </c>
      <c r="AT120" s="11">
        <v>40</v>
      </c>
      <c r="AU120" s="11">
        <v>41</v>
      </c>
      <c r="AV120" s="11">
        <v>42</v>
      </c>
      <c r="AW120" s="11">
        <v>43</v>
      </c>
      <c r="AX120" s="11">
        <v>44</v>
      </c>
      <c r="AY120" s="11">
        <v>45</v>
      </c>
      <c r="AZ120" s="11">
        <v>46</v>
      </c>
      <c r="BA120" s="11">
        <v>47</v>
      </c>
      <c r="BB120" s="11">
        <v>48</v>
      </c>
      <c r="BC120" s="11">
        <v>49</v>
      </c>
      <c r="BD120" s="11">
        <v>50</v>
      </c>
      <c r="BE120" s="11">
        <v>51</v>
      </c>
      <c r="BF120" s="11">
        <v>52</v>
      </c>
      <c r="BG120" s="11">
        <v>53</v>
      </c>
      <c r="BH120" s="11">
        <v>54</v>
      </c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</row>
    <row r="121" spans="1:159" x14ac:dyDescent="0.25">
      <c r="A121" s="7" t="str">
        <f t="shared" si="2"/>
        <v>H157126H157126</v>
      </c>
      <c r="B121" s="9" t="s">
        <v>348</v>
      </c>
      <c r="C121" s="9" t="s">
        <v>224</v>
      </c>
      <c r="D121" s="9">
        <v>198</v>
      </c>
      <c r="E121" s="9" t="s">
        <v>434</v>
      </c>
      <c r="F121" s="9" t="s">
        <v>435</v>
      </c>
      <c r="G121" s="9" t="s">
        <v>404</v>
      </c>
      <c r="H121" s="17">
        <v>46239</v>
      </c>
      <c r="I121" s="17"/>
      <c r="J121" s="17"/>
      <c r="K121" s="10">
        <v>186</v>
      </c>
      <c r="L121" s="10">
        <f t="shared" si="3"/>
        <v>16</v>
      </c>
      <c r="M121" s="11">
        <v>1</v>
      </c>
      <c r="N121" s="11">
        <v>2</v>
      </c>
      <c r="O121" s="11">
        <v>3</v>
      </c>
      <c r="P121" s="11">
        <v>5</v>
      </c>
      <c r="Q121" s="11">
        <v>6</v>
      </c>
      <c r="R121" s="11">
        <v>7</v>
      </c>
      <c r="S121" s="11">
        <v>8</v>
      </c>
      <c r="T121" s="11">
        <v>9</v>
      </c>
      <c r="U121" s="11">
        <v>10</v>
      </c>
      <c r="V121" s="11">
        <v>11</v>
      </c>
      <c r="W121" s="11">
        <v>12</v>
      </c>
      <c r="X121" s="11">
        <v>13</v>
      </c>
      <c r="Y121" s="11">
        <v>14</v>
      </c>
      <c r="Z121" s="11">
        <v>15</v>
      </c>
      <c r="AA121" s="11">
        <v>16</v>
      </c>
      <c r="AB121" s="11">
        <v>17</v>
      </c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</row>
    <row r="122" spans="1:159" x14ac:dyDescent="0.25">
      <c r="A122" s="7" t="str">
        <f t="shared" si="2"/>
        <v>H190374H190374</v>
      </c>
      <c r="B122" s="9" t="s">
        <v>346</v>
      </c>
      <c r="C122" s="9" t="s">
        <v>210</v>
      </c>
      <c r="D122" s="9">
        <v>438</v>
      </c>
      <c r="E122" s="9" t="s">
        <v>432</v>
      </c>
      <c r="F122" s="9" t="s">
        <v>433</v>
      </c>
      <c r="G122" s="9" t="s">
        <v>404</v>
      </c>
      <c r="H122" s="17">
        <v>46238</v>
      </c>
      <c r="I122" s="17"/>
      <c r="J122" s="17"/>
      <c r="K122" s="10">
        <v>240</v>
      </c>
      <c r="L122" s="10">
        <f t="shared" si="3"/>
        <v>40</v>
      </c>
      <c r="M122" s="11">
        <v>1</v>
      </c>
      <c r="N122" s="11">
        <v>4</v>
      </c>
      <c r="O122" s="11">
        <v>5</v>
      </c>
      <c r="P122" s="11">
        <v>6</v>
      </c>
      <c r="Q122" s="11">
        <v>7</v>
      </c>
      <c r="R122" s="11">
        <v>11</v>
      </c>
      <c r="S122" s="11">
        <v>12</v>
      </c>
      <c r="T122" s="11">
        <v>13</v>
      </c>
      <c r="U122" s="11">
        <v>22</v>
      </c>
      <c r="V122" s="11">
        <v>23</v>
      </c>
      <c r="W122" s="11">
        <v>24</v>
      </c>
      <c r="X122" s="11">
        <v>25</v>
      </c>
      <c r="Y122" s="11">
        <v>26</v>
      </c>
      <c r="Z122" s="11">
        <v>27</v>
      </c>
      <c r="AA122" s="11">
        <v>28</v>
      </c>
      <c r="AB122" s="11">
        <v>29</v>
      </c>
      <c r="AC122" s="11">
        <v>34</v>
      </c>
      <c r="AD122" s="11">
        <v>35</v>
      </c>
      <c r="AE122" s="11">
        <v>36</v>
      </c>
      <c r="AF122" s="11">
        <v>37</v>
      </c>
      <c r="AG122" s="11">
        <v>38</v>
      </c>
      <c r="AH122" s="11">
        <v>39</v>
      </c>
      <c r="AI122" s="11">
        <v>40</v>
      </c>
      <c r="AJ122" s="11">
        <v>46</v>
      </c>
      <c r="AK122" s="11">
        <v>47</v>
      </c>
      <c r="AL122" s="11">
        <v>48</v>
      </c>
      <c r="AM122" s="11">
        <v>49</v>
      </c>
      <c r="AN122" s="11">
        <v>50</v>
      </c>
      <c r="AO122" s="11">
        <v>51</v>
      </c>
      <c r="AP122" s="11">
        <v>52</v>
      </c>
      <c r="AQ122" s="11">
        <v>53</v>
      </c>
      <c r="AR122" s="11">
        <v>56</v>
      </c>
      <c r="AS122" s="11">
        <v>57</v>
      </c>
      <c r="AT122" s="11">
        <v>63</v>
      </c>
      <c r="AU122" s="11">
        <v>64</v>
      </c>
      <c r="AV122" s="11">
        <v>65</v>
      </c>
      <c r="AW122" s="11">
        <v>66</v>
      </c>
      <c r="AX122" s="11">
        <v>69</v>
      </c>
      <c r="AY122" s="11">
        <v>70</v>
      </c>
      <c r="AZ122" s="11">
        <v>71</v>
      </c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</row>
    <row r="123" spans="1:159" x14ac:dyDescent="0.25">
      <c r="A123" s="7" t="str">
        <f t="shared" si="2"/>
        <v>U130012U130012</v>
      </c>
      <c r="B123" s="9" t="s">
        <v>241</v>
      </c>
      <c r="C123" s="9" t="s">
        <v>61</v>
      </c>
      <c r="D123" s="9">
        <v>3240</v>
      </c>
      <c r="E123" s="9" t="s">
        <v>436</v>
      </c>
      <c r="F123" s="9" t="s">
        <v>437</v>
      </c>
      <c r="G123" s="9" t="s">
        <v>438</v>
      </c>
      <c r="H123" s="17">
        <v>46232</v>
      </c>
      <c r="I123" s="17">
        <v>46239</v>
      </c>
      <c r="J123" s="17">
        <v>46239</v>
      </c>
      <c r="K123" s="10">
        <v>477</v>
      </c>
      <c r="L123" s="10">
        <f t="shared" si="3"/>
        <v>53</v>
      </c>
      <c r="M123" s="11">
        <v>1</v>
      </c>
      <c r="N123" s="11">
        <v>2</v>
      </c>
      <c r="O123" s="11">
        <v>3</v>
      </c>
      <c r="P123" s="11">
        <v>4</v>
      </c>
      <c r="Q123" s="11">
        <v>5</v>
      </c>
      <c r="R123" s="11">
        <v>6</v>
      </c>
      <c r="S123" s="11">
        <v>7</v>
      </c>
      <c r="T123" s="11">
        <v>8</v>
      </c>
      <c r="U123" s="11">
        <v>9</v>
      </c>
      <c r="V123" s="11">
        <v>10</v>
      </c>
      <c r="W123" s="11">
        <v>11</v>
      </c>
      <c r="X123" s="11">
        <v>12</v>
      </c>
      <c r="Y123" s="11">
        <v>13</v>
      </c>
      <c r="Z123" s="11">
        <v>14</v>
      </c>
      <c r="AA123" s="11">
        <v>15</v>
      </c>
      <c r="AB123" s="11">
        <v>16</v>
      </c>
      <c r="AC123" s="11">
        <v>17</v>
      </c>
      <c r="AD123" s="11">
        <v>18</v>
      </c>
      <c r="AE123" s="11">
        <v>19</v>
      </c>
      <c r="AF123" s="11">
        <v>20</v>
      </c>
      <c r="AG123" s="11">
        <v>21</v>
      </c>
      <c r="AH123" s="11">
        <v>22</v>
      </c>
      <c r="AI123" s="11">
        <v>23</v>
      </c>
      <c r="AJ123" s="11">
        <v>24</v>
      </c>
      <c r="AK123" s="11">
        <v>25</v>
      </c>
      <c r="AL123" s="11">
        <v>26</v>
      </c>
      <c r="AM123" s="11">
        <v>27</v>
      </c>
      <c r="AN123" s="11">
        <v>28</v>
      </c>
      <c r="AO123" s="11">
        <v>29</v>
      </c>
      <c r="AP123" s="11">
        <v>30</v>
      </c>
      <c r="AQ123" s="11">
        <v>31</v>
      </c>
      <c r="AR123" s="11">
        <v>32</v>
      </c>
      <c r="AS123" s="11">
        <v>33</v>
      </c>
      <c r="AT123" s="11">
        <v>34</v>
      </c>
      <c r="AU123" s="11">
        <v>35</v>
      </c>
      <c r="AV123" s="11">
        <v>36</v>
      </c>
      <c r="AW123" s="11">
        <v>37</v>
      </c>
      <c r="AX123" s="11">
        <v>38</v>
      </c>
      <c r="AY123" s="11">
        <v>39</v>
      </c>
      <c r="AZ123" s="11">
        <v>40</v>
      </c>
      <c r="BA123" s="11">
        <v>41</v>
      </c>
      <c r="BB123" s="11">
        <v>42</v>
      </c>
      <c r="BC123" s="11">
        <v>43</v>
      </c>
      <c r="BD123" s="11">
        <v>44</v>
      </c>
      <c r="BE123" s="11">
        <v>45</v>
      </c>
      <c r="BF123" s="11">
        <v>46</v>
      </c>
      <c r="BG123" s="11">
        <v>47</v>
      </c>
      <c r="BH123" s="11">
        <v>48</v>
      </c>
      <c r="BI123" s="11">
        <v>50</v>
      </c>
      <c r="BJ123" s="11">
        <v>51</v>
      </c>
      <c r="BK123" s="11">
        <v>52</v>
      </c>
      <c r="BL123" s="11">
        <v>53</v>
      </c>
      <c r="BM123" s="11">
        <v>55</v>
      </c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</row>
    <row r="124" spans="1:159" x14ac:dyDescent="0.25">
      <c r="A124" s="7" t="str">
        <f t="shared" si="2"/>
        <v>U130067U130067</v>
      </c>
      <c r="B124" s="9" t="s">
        <v>310</v>
      </c>
      <c r="C124" s="9" t="s">
        <v>59</v>
      </c>
      <c r="D124" s="9">
        <v>1038</v>
      </c>
      <c r="E124" s="9" t="s">
        <v>436</v>
      </c>
      <c r="F124" s="9" t="s">
        <v>439</v>
      </c>
      <c r="G124" s="9" t="s">
        <v>438</v>
      </c>
      <c r="H124" s="17">
        <v>46237</v>
      </c>
      <c r="I124" s="17"/>
      <c r="J124" s="17"/>
      <c r="K124" s="10">
        <v>432</v>
      </c>
      <c r="L124" s="10">
        <f t="shared" si="3"/>
        <v>72</v>
      </c>
      <c r="M124" s="11">
        <v>1</v>
      </c>
      <c r="N124" s="11">
        <v>2</v>
      </c>
      <c r="O124" s="11">
        <v>3</v>
      </c>
      <c r="P124" s="11">
        <v>4</v>
      </c>
      <c r="Q124" s="11">
        <v>5</v>
      </c>
      <c r="R124" s="11">
        <v>6</v>
      </c>
      <c r="S124" s="11">
        <v>7</v>
      </c>
      <c r="T124" s="11">
        <v>8</v>
      </c>
      <c r="U124" s="11">
        <v>9</v>
      </c>
      <c r="V124" s="11">
        <v>10</v>
      </c>
      <c r="W124" s="11">
        <v>11</v>
      </c>
      <c r="X124" s="11">
        <v>12</v>
      </c>
      <c r="Y124" s="11">
        <v>13</v>
      </c>
      <c r="Z124" s="11">
        <v>14</v>
      </c>
      <c r="AA124" s="11">
        <v>15</v>
      </c>
      <c r="AB124" s="11">
        <v>16</v>
      </c>
      <c r="AC124" s="11">
        <v>17</v>
      </c>
      <c r="AD124" s="11">
        <v>18</v>
      </c>
      <c r="AE124" s="11">
        <v>19</v>
      </c>
      <c r="AF124" s="11">
        <v>20</v>
      </c>
      <c r="AG124" s="11">
        <v>21</v>
      </c>
      <c r="AH124" s="11">
        <v>22</v>
      </c>
      <c r="AI124" s="11">
        <v>23</v>
      </c>
      <c r="AJ124" s="11">
        <v>24</v>
      </c>
      <c r="AK124" s="11">
        <v>25</v>
      </c>
      <c r="AL124" s="11">
        <v>26</v>
      </c>
      <c r="AM124" s="11">
        <v>27</v>
      </c>
      <c r="AN124" s="11">
        <v>28</v>
      </c>
      <c r="AO124" s="11">
        <v>29</v>
      </c>
      <c r="AP124" s="11">
        <v>30</v>
      </c>
      <c r="AQ124" s="11">
        <v>31</v>
      </c>
      <c r="AR124" s="11">
        <v>32</v>
      </c>
      <c r="AS124" s="11">
        <v>33</v>
      </c>
      <c r="AT124" s="11">
        <v>34</v>
      </c>
      <c r="AU124" s="11">
        <v>35</v>
      </c>
      <c r="AV124" s="11">
        <v>36</v>
      </c>
      <c r="AW124" s="11">
        <v>37</v>
      </c>
      <c r="AX124" s="11">
        <v>38</v>
      </c>
      <c r="AY124" s="11">
        <v>39</v>
      </c>
      <c r="AZ124" s="11">
        <v>40</v>
      </c>
      <c r="BA124" s="11">
        <v>41</v>
      </c>
      <c r="BB124" s="11">
        <v>42</v>
      </c>
      <c r="BC124" s="11">
        <v>43</v>
      </c>
      <c r="BD124" s="11">
        <v>44</v>
      </c>
      <c r="BE124" s="11">
        <v>45</v>
      </c>
      <c r="BF124" s="11">
        <v>46</v>
      </c>
      <c r="BG124" s="11">
        <v>47</v>
      </c>
      <c r="BH124" s="11">
        <v>48</v>
      </c>
      <c r="BI124" s="11">
        <v>49</v>
      </c>
      <c r="BJ124" s="11">
        <v>50</v>
      </c>
      <c r="BK124" s="11">
        <v>51</v>
      </c>
      <c r="BL124" s="11">
        <v>52</v>
      </c>
      <c r="BM124" s="11">
        <v>53</v>
      </c>
      <c r="BN124" s="11">
        <v>54</v>
      </c>
      <c r="BO124" s="11">
        <v>55</v>
      </c>
      <c r="BP124" s="11">
        <v>56</v>
      </c>
      <c r="BQ124" s="11">
        <v>57</v>
      </c>
      <c r="BR124" s="11">
        <v>58</v>
      </c>
      <c r="BS124" s="11">
        <v>59</v>
      </c>
      <c r="BT124" s="11">
        <v>60</v>
      </c>
      <c r="BU124" s="11">
        <v>61</v>
      </c>
      <c r="BV124" s="11">
        <v>62</v>
      </c>
      <c r="BW124" s="11">
        <v>63</v>
      </c>
      <c r="BX124" s="11">
        <v>64</v>
      </c>
      <c r="BY124" s="11">
        <v>65</v>
      </c>
      <c r="BZ124" s="11">
        <v>66</v>
      </c>
      <c r="CA124" s="11">
        <v>67</v>
      </c>
      <c r="CB124" s="11">
        <v>68</v>
      </c>
      <c r="CC124" s="11">
        <v>71</v>
      </c>
      <c r="CD124" s="11">
        <v>72</v>
      </c>
      <c r="CE124" s="11">
        <v>73</v>
      </c>
      <c r="CF124" s="11">
        <v>74</v>
      </c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</row>
    <row r="125" spans="1:159" x14ac:dyDescent="0.25">
      <c r="A125" s="7" t="str">
        <f t="shared" si="2"/>
        <v>U130079U130079</v>
      </c>
      <c r="B125" s="9" t="s">
        <v>121</v>
      </c>
      <c r="C125" s="9" t="s">
        <v>52</v>
      </c>
      <c r="D125" s="9">
        <v>972</v>
      </c>
      <c r="E125" s="9" t="s">
        <v>436</v>
      </c>
      <c r="F125" s="9" t="s">
        <v>440</v>
      </c>
      <c r="G125" s="9" t="s">
        <v>438</v>
      </c>
      <c r="H125" s="17">
        <v>46219</v>
      </c>
      <c r="I125" s="17">
        <v>46239</v>
      </c>
      <c r="J125" s="17">
        <v>46239</v>
      </c>
      <c r="K125" s="10">
        <v>594</v>
      </c>
      <c r="L125" s="10">
        <f t="shared" si="3"/>
        <v>99</v>
      </c>
      <c r="M125" s="11">
        <v>2</v>
      </c>
      <c r="N125" s="11">
        <v>3</v>
      </c>
      <c r="O125" s="11">
        <v>5</v>
      </c>
      <c r="P125" s="11">
        <v>6</v>
      </c>
      <c r="Q125" s="11">
        <v>7</v>
      </c>
      <c r="R125" s="11">
        <v>8</v>
      </c>
      <c r="S125" s="11">
        <v>9</v>
      </c>
      <c r="T125" s="11">
        <v>12</v>
      </c>
      <c r="U125" s="11">
        <v>13</v>
      </c>
      <c r="V125" s="11">
        <v>14</v>
      </c>
      <c r="W125" s="11">
        <v>15</v>
      </c>
      <c r="X125" s="11">
        <v>16</v>
      </c>
      <c r="Y125" s="11">
        <v>17</v>
      </c>
      <c r="Z125" s="11">
        <v>18</v>
      </c>
      <c r="AA125" s="11">
        <v>19</v>
      </c>
      <c r="AB125" s="11">
        <v>20</v>
      </c>
      <c r="AC125" s="11">
        <v>21</v>
      </c>
      <c r="AD125" s="11">
        <v>22</v>
      </c>
      <c r="AE125" s="11">
        <v>23</v>
      </c>
      <c r="AF125" s="11">
        <v>24</v>
      </c>
      <c r="AG125" s="11">
        <v>25</v>
      </c>
      <c r="AH125" s="11">
        <v>26</v>
      </c>
      <c r="AI125" s="11">
        <v>27</v>
      </c>
      <c r="AJ125" s="11">
        <v>28</v>
      </c>
      <c r="AK125" s="11">
        <v>29</v>
      </c>
      <c r="AL125" s="11">
        <v>30</v>
      </c>
      <c r="AM125" s="11">
        <v>31</v>
      </c>
      <c r="AN125" s="11">
        <v>32</v>
      </c>
      <c r="AO125" s="11">
        <v>33</v>
      </c>
      <c r="AP125" s="11">
        <v>34</v>
      </c>
      <c r="AQ125" s="11">
        <v>35</v>
      </c>
      <c r="AR125" s="11">
        <v>36</v>
      </c>
      <c r="AS125" s="11">
        <v>37</v>
      </c>
      <c r="AT125" s="11">
        <v>38</v>
      </c>
      <c r="AU125" s="11">
        <v>39</v>
      </c>
      <c r="AV125" s="11">
        <v>40</v>
      </c>
      <c r="AW125" s="11">
        <v>41</v>
      </c>
      <c r="AX125" s="11">
        <v>42</v>
      </c>
      <c r="AY125" s="11">
        <v>43</v>
      </c>
      <c r="AZ125" s="11">
        <v>44</v>
      </c>
      <c r="BA125" s="11">
        <v>45</v>
      </c>
      <c r="BB125" s="11">
        <v>46</v>
      </c>
      <c r="BC125" s="11">
        <v>47</v>
      </c>
      <c r="BD125" s="11">
        <v>48</v>
      </c>
      <c r="BE125" s="11">
        <v>49</v>
      </c>
      <c r="BF125" s="11">
        <v>50</v>
      </c>
      <c r="BG125" s="11">
        <v>51</v>
      </c>
      <c r="BH125" s="11">
        <v>52</v>
      </c>
      <c r="BI125" s="11">
        <v>53</v>
      </c>
      <c r="BJ125" s="11">
        <v>54</v>
      </c>
      <c r="BK125" s="11">
        <v>55</v>
      </c>
      <c r="BL125" s="11">
        <v>56</v>
      </c>
      <c r="BM125" s="11">
        <v>57</v>
      </c>
      <c r="BN125" s="11">
        <v>58</v>
      </c>
      <c r="BO125" s="11">
        <v>59</v>
      </c>
      <c r="BP125" s="11">
        <v>60</v>
      </c>
      <c r="BQ125" s="11">
        <v>61</v>
      </c>
      <c r="BR125" s="11">
        <v>62</v>
      </c>
      <c r="BS125" s="11">
        <v>63</v>
      </c>
      <c r="BT125" s="11">
        <v>65</v>
      </c>
      <c r="BU125" s="11">
        <v>66</v>
      </c>
      <c r="BV125" s="11">
        <v>67</v>
      </c>
      <c r="BW125" s="11">
        <v>68</v>
      </c>
      <c r="BX125" s="11">
        <v>69</v>
      </c>
      <c r="BY125" s="11">
        <v>70</v>
      </c>
      <c r="BZ125" s="11">
        <v>72</v>
      </c>
      <c r="CA125" s="11">
        <v>73</v>
      </c>
      <c r="CB125" s="11">
        <v>74</v>
      </c>
      <c r="CC125" s="11">
        <v>75</v>
      </c>
      <c r="CD125" s="11">
        <v>76</v>
      </c>
      <c r="CE125" s="11">
        <v>77</v>
      </c>
      <c r="CF125" s="11">
        <v>78</v>
      </c>
      <c r="CG125" s="11">
        <v>79</v>
      </c>
      <c r="CH125" s="11">
        <v>80</v>
      </c>
      <c r="CI125" s="11">
        <v>81</v>
      </c>
      <c r="CJ125" s="11">
        <v>82</v>
      </c>
      <c r="CK125" s="11">
        <v>83</v>
      </c>
      <c r="CL125" s="11">
        <v>84</v>
      </c>
      <c r="CM125" s="11">
        <v>85</v>
      </c>
      <c r="CN125" s="11">
        <v>86</v>
      </c>
      <c r="CO125" s="11">
        <v>87</v>
      </c>
      <c r="CP125" s="11">
        <v>88</v>
      </c>
      <c r="CQ125" s="11">
        <v>89</v>
      </c>
      <c r="CR125" s="11">
        <v>90</v>
      </c>
      <c r="CS125" s="11">
        <v>91</v>
      </c>
      <c r="CT125" s="11">
        <v>97</v>
      </c>
      <c r="CU125" s="11">
        <v>98</v>
      </c>
      <c r="CV125" s="11">
        <v>99</v>
      </c>
      <c r="CW125" s="11">
        <v>100</v>
      </c>
      <c r="CX125" s="11">
        <v>101</v>
      </c>
      <c r="CY125" s="11">
        <v>102</v>
      </c>
      <c r="CZ125" s="11">
        <v>103</v>
      </c>
      <c r="DA125" s="11">
        <v>104</v>
      </c>
      <c r="DB125" s="11">
        <v>114</v>
      </c>
      <c r="DC125" s="11">
        <v>115</v>
      </c>
      <c r="DD125" s="11">
        <v>118</v>
      </c>
      <c r="DE125" s="11">
        <v>120</v>
      </c>
      <c r="DF125" s="11">
        <v>121</v>
      </c>
      <c r="DG125" s="11">
        <v>123</v>
      </c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</row>
    <row r="126" spans="1:159" x14ac:dyDescent="0.25">
      <c r="A126" s="7" t="str">
        <f t="shared" si="2"/>
        <v>U130872U130872</v>
      </c>
      <c r="B126" s="9" t="s">
        <v>100</v>
      </c>
      <c r="C126" s="9" t="s">
        <v>24</v>
      </c>
      <c r="D126" s="9">
        <v>780</v>
      </c>
      <c r="E126" s="9" t="s">
        <v>436</v>
      </c>
      <c r="F126" s="9" t="s">
        <v>441</v>
      </c>
      <c r="G126" s="9" t="s">
        <v>438</v>
      </c>
      <c r="H126" s="17">
        <v>46216</v>
      </c>
      <c r="I126" s="17">
        <v>46226</v>
      </c>
      <c r="J126" s="17">
        <v>46226</v>
      </c>
      <c r="K126" s="10">
        <v>552</v>
      </c>
      <c r="L126" s="10">
        <f t="shared" si="3"/>
        <v>46</v>
      </c>
      <c r="M126" s="11">
        <v>1</v>
      </c>
      <c r="N126" s="11">
        <v>2</v>
      </c>
      <c r="O126" s="11">
        <v>4</v>
      </c>
      <c r="P126" s="11">
        <v>5</v>
      </c>
      <c r="Q126" s="11">
        <v>6</v>
      </c>
      <c r="R126" s="11">
        <v>7</v>
      </c>
      <c r="S126" s="11">
        <v>8</v>
      </c>
      <c r="T126" s="11">
        <v>9</v>
      </c>
      <c r="U126" s="11">
        <v>10</v>
      </c>
      <c r="V126" s="11">
        <v>13</v>
      </c>
      <c r="W126" s="11">
        <v>14</v>
      </c>
      <c r="X126" s="11">
        <v>15</v>
      </c>
      <c r="Y126" s="11">
        <v>23</v>
      </c>
      <c r="Z126" s="11">
        <v>24</v>
      </c>
      <c r="AA126" s="11">
        <v>25</v>
      </c>
      <c r="AB126" s="11">
        <v>26</v>
      </c>
      <c r="AC126" s="11">
        <v>29</v>
      </c>
      <c r="AD126" s="11">
        <v>30</v>
      </c>
      <c r="AE126" s="11">
        <v>31</v>
      </c>
      <c r="AF126" s="11">
        <v>32</v>
      </c>
      <c r="AG126" s="11">
        <v>33</v>
      </c>
      <c r="AH126" s="11">
        <v>34</v>
      </c>
      <c r="AI126" s="11">
        <v>35</v>
      </c>
      <c r="AJ126" s="11">
        <v>36</v>
      </c>
      <c r="AK126" s="11">
        <v>37</v>
      </c>
      <c r="AL126" s="11">
        <v>38</v>
      </c>
      <c r="AM126" s="11">
        <v>39</v>
      </c>
      <c r="AN126" s="11">
        <v>40</v>
      </c>
      <c r="AO126" s="11">
        <v>42</v>
      </c>
      <c r="AP126" s="11">
        <v>43</v>
      </c>
      <c r="AQ126" s="11">
        <v>44</v>
      </c>
      <c r="AR126" s="11">
        <v>45</v>
      </c>
      <c r="AS126" s="11">
        <v>46</v>
      </c>
      <c r="AT126" s="11">
        <v>47</v>
      </c>
      <c r="AU126" s="11">
        <v>48</v>
      </c>
      <c r="AV126" s="11">
        <v>49</v>
      </c>
      <c r="AW126" s="11">
        <v>50</v>
      </c>
      <c r="AX126" s="11">
        <v>51</v>
      </c>
      <c r="AY126" s="11">
        <v>54</v>
      </c>
      <c r="AZ126" s="11">
        <v>55</v>
      </c>
      <c r="BA126" s="11">
        <v>56</v>
      </c>
      <c r="BB126" s="11">
        <v>57</v>
      </c>
      <c r="BC126" s="11">
        <v>58</v>
      </c>
      <c r="BD126" s="11">
        <v>59</v>
      </c>
      <c r="BE126" s="11">
        <v>60</v>
      </c>
      <c r="BF126" s="11">
        <v>61</v>
      </c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</row>
    <row r="127" spans="1:159" x14ac:dyDescent="0.25">
      <c r="A127" s="7" t="str">
        <f t="shared" si="2"/>
        <v>U133302U133302</v>
      </c>
      <c r="B127" s="9" t="s">
        <v>179</v>
      </c>
      <c r="C127" s="9" t="s">
        <v>52</v>
      </c>
      <c r="D127" s="9">
        <v>600</v>
      </c>
      <c r="E127" s="9" t="s">
        <v>436</v>
      </c>
      <c r="F127" s="9" t="s">
        <v>442</v>
      </c>
      <c r="G127" s="9" t="s">
        <v>438</v>
      </c>
      <c r="H127" s="17">
        <v>46226</v>
      </c>
      <c r="I127" s="17">
        <v>46227</v>
      </c>
      <c r="J127" s="17">
        <v>46227</v>
      </c>
      <c r="K127" s="10">
        <v>486</v>
      </c>
      <c r="L127" s="10">
        <f t="shared" si="3"/>
        <v>59</v>
      </c>
      <c r="M127" s="11">
        <v>2</v>
      </c>
      <c r="N127" s="11">
        <v>4</v>
      </c>
      <c r="O127" s="11">
        <v>6</v>
      </c>
      <c r="P127" s="11">
        <v>7</v>
      </c>
      <c r="Q127" s="11">
        <v>8</v>
      </c>
      <c r="R127" s="11">
        <v>9</v>
      </c>
      <c r="S127" s="11">
        <v>11</v>
      </c>
      <c r="T127" s="11">
        <v>12</v>
      </c>
      <c r="U127" s="11">
        <v>13</v>
      </c>
      <c r="V127" s="11">
        <v>14</v>
      </c>
      <c r="W127" s="11">
        <v>15</v>
      </c>
      <c r="X127" s="11">
        <v>16</v>
      </c>
      <c r="Y127" s="11">
        <v>17</v>
      </c>
      <c r="Z127" s="11">
        <v>18</v>
      </c>
      <c r="AA127" s="11">
        <v>19</v>
      </c>
      <c r="AB127" s="11">
        <v>20</v>
      </c>
      <c r="AC127" s="11">
        <v>21</v>
      </c>
      <c r="AD127" s="11">
        <v>22</v>
      </c>
      <c r="AE127" s="11">
        <v>23</v>
      </c>
      <c r="AF127" s="11">
        <v>24</v>
      </c>
      <c r="AG127" s="11">
        <v>25</v>
      </c>
      <c r="AH127" s="11">
        <v>26</v>
      </c>
      <c r="AI127" s="11">
        <v>27</v>
      </c>
      <c r="AJ127" s="11">
        <v>28</v>
      </c>
      <c r="AK127" s="11">
        <v>29</v>
      </c>
      <c r="AL127" s="11">
        <v>30</v>
      </c>
      <c r="AM127" s="11">
        <v>31</v>
      </c>
      <c r="AN127" s="11">
        <v>32</v>
      </c>
      <c r="AO127" s="11">
        <v>33</v>
      </c>
      <c r="AP127" s="11">
        <v>34</v>
      </c>
      <c r="AQ127" s="11">
        <v>35</v>
      </c>
      <c r="AR127" s="11">
        <v>36</v>
      </c>
      <c r="AS127" s="11">
        <v>37</v>
      </c>
      <c r="AT127" s="11">
        <v>38</v>
      </c>
      <c r="AU127" s="11">
        <v>39</v>
      </c>
      <c r="AV127" s="11">
        <v>40</v>
      </c>
      <c r="AW127" s="11">
        <v>41</v>
      </c>
      <c r="AX127" s="11">
        <v>42</v>
      </c>
      <c r="AY127" s="11">
        <v>43</v>
      </c>
      <c r="AZ127" s="11">
        <v>44</v>
      </c>
      <c r="BA127" s="11">
        <v>45</v>
      </c>
      <c r="BB127" s="11">
        <v>46</v>
      </c>
      <c r="BC127" s="11">
        <v>47</v>
      </c>
      <c r="BD127" s="11">
        <v>49</v>
      </c>
      <c r="BE127" s="11">
        <v>50</v>
      </c>
      <c r="BF127" s="11">
        <v>51</v>
      </c>
      <c r="BG127" s="11">
        <v>52</v>
      </c>
      <c r="BH127" s="11">
        <v>53</v>
      </c>
      <c r="BI127" s="11">
        <v>54</v>
      </c>
      <c r="BJ127" s="11">
        <v>55</v>
      </c>
      <c r="BK127" s="11">
        <v>57</v>
      </c>
      <c r="BL127" s="11">
        <v>58</v>
      </c>
      <c r="BM127" s="11">
        <v>59</v>
      </c>
      <c r="BN127" s="11">
        <v>60</v>
      </c>
      <c r="BO127" s="11">
        <v>61</v>
      </c>
      <c r="BP127" s="11">
        <v>62</v>
      </c>
      <c r="BQ127" s="11">
        <v>63</v>
      </c>
      <c r="BR127" s="11">
        <v>64</v>
      </c>
      <c r="BS127" s="11">
        <v>68</v>
      </c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</row>
    <row r="128" spans="1:159" x14ac:dyDescent="0.25">
      <c r="A128" s="7" t="str">
        <f t="shared" si="2"/>
        <v>U133303U133303</v>
      </c>
      <c r="B128" s="9" t="s">
        <v>129</v>
      </c>
      <c r="C128" s="9" t="s">
        <v>24</v>
      </c>
      <c r="D128" s="9">
        <v>600</v>
      </c>
      <c r="E128" s="9" t="s">
        <v>436</v>
      </c>
      <c r="F128" s="9" t="s">
        <v>442</v>
      </c>
      <c r="G128" s="9" t="s">
        <v>438</v>
      </c>
      <c r="H128" s="17">
        <v>46220</v>
      </c>
      <c r="I128" s="17">
        <v>46239</v>
      </c>
      <c r="J128" s="17">
        <v>46239</v>
      </c>
      <c r="K128" s="10">
        <v>234</v>
      </c>
      <c r="L128" s="10">
        <f t="shared" si="3"/>
        <v>39</v>
      </c>
      <c r="M128" s="11">
        <v>1</v>
      </c>
      <c r="N128" s="11">
        <v>2</v>
      </c>
      <c r="O128" s="11">
        <v>3</v>
      </c>
      <c r="P128" s="11">
        <v>4</v>
      </c>
      <c r="Q128" s="11">
        <v>5</v>
      </c>
      <c r="R128" s="11">
        <v>6</v>
      </c>
      <c r="S128" s="11">
        <v>7</v>
      </c>
      <c r="T128" s="11">
        <v>8</v>
      </c>
      <c r="U128" s="11">
        <v>9</v>
      </c>
      <c r="V128" s="11">
        <v>11</v>
      </c>
      <c r="W128" s="11">
        <v>12</v>
      </c>
      <c r="X128" s="11">
        <v>13</v>
      </c>
      <c r="Y128" s="11">
        <v>14</v>
      </c>
      <c r="Z128" s="11">
        <v>15</v>
      </c>
      <c r="AA128" s="11">
        <v>16</v>
      </c>
      <c r="AB128" s="11">
        <v>17</v>
      </c>
      <c r="AC128" s="11">
        <v>18</v>
      </c>
      <c r="AD128" s="11">
        <v>51</v>
      </c>
      <c r="AE128" s="11">
        <v>52</v>
      </c>
      <c r="AF128" s="11">
        <v>53</v>
      </c>
      <c r="AG128" s="11">
        <v>56</v>
      </c>
      <c r="AH128" s="11">
        <v>57</v>
      </c>
      <c r="AI128" s="11">
        <v>58</v>
      </c>
      <c r="AJ128" s="11">
        <v>59</v>
      </c>
      <c r="AK128" s="11">
        <v>60</v>
      </c>
      <c r="AL128" s="11">
        <v>61</v>
      </c>
      <c r="AM128" s="11">
        <v>62</v>
      </c>
      <c r="AN128" s="11">
        <v>63</v>
      </c>
      <c r="AO128" s="11">
        <v>64</v>
      </c>
      <c r="AP128" s="11">
        <v>65</v>
      </c>
      <c r="AQ128" s="11">
        <v>66</v>
      </c>
      <c r="AR128" s="11">
        <v>67</v>
      </c>
      <c r="AS128" s="11">
        <v>68</v>
      </c>
      <c r="AT128" s="11">
        <v>69</v>
      </c>
      <c r="AU128" s="11">
        <v>70</v>
      </c>
      <c r="AV128" s="11">
        <v>71</v>
      </c>
      <c r="AW128" s="11">
        <v>72</v>
      </c>
      <c r="AX128" s="11">
        <v>73</v>
      </c>
      <c r="AY128" s="11">
        <v>74</v>
      </c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</row>
    <row r="129" spans="1:159" x14ac:dyDescent="0.25">
      <c r="A129" s="7" t="str">
        <f t="shared" si="2"/>
        <v>U133304U133304</v>
      </c>
      <c r="B129" s="9" t="s">
        <v>251</v>
      </c>
      <c r="C129" s="9" t="s">
        <v>49</v>
      </c>
      <c r="D129" s="9">
        <v>600</v>
      </c>
      <c r="E129" s="9" t="s">
        <v>436</v>
      </c>
      <c r="F129" s="9" t="s">
        <v>442</v>
      </c>
      <c r="G129" s="9" t="s">
        <v>438</v>
      </c>
      <c r="H129" s="17">
        <v>46233</v>
      </c>
      <c r="I129" s="17">
        <v>46238</v>
      </c>
      <c r="J129" s="17">
        <v>46239</v>
      </c>
      <c r="K129" s="10">
        <v>336</v>
      </c>
      <c r="L129" s="10">
        <f t="shared" si="3"/>
        <v>36</v>
      </c>
      <c r="M129" s="11">
        <v>2</v>
      </c>
      <c r="N129" s="11">
        <v>3</v>
      </c>
      <c r="O129" s="11">
        <v>7</v>
      </c>
      <c r="P129" s="11">
        <v>9</v>
      </c>
      <c r="Q129" s="11">
        <v>10</v>
      </c>
      <c r="R129" s="11">
        <v>11</v>
      </c>
      <c r="S129" s="11">
        <v>12</v>
      </c>
      <c r="T129" s="11">
        <v>14</v>
      </c>
      <c r="U129" s="11">
        <v>15</v>
      </c>
      <c r="V129" s="11">
        <v>16</v>
      </c>
      <c r="W129" s="11">
        <v>17</v>
      </c>
      <c r="X129" s="11">
        <v>18</v>
      </c>
      <c r="Y129" s="11">
        <v>19</v>
      </c>
      <c r="Z129" s="11">
        <v>20</v>
      </c>
      <c r="AA129" s="11">
        <v>21</v>
      </c>
      <c r="AB129" s="11">
        <v>22</v>
      </c>
      <c r="AC129" s="11">
        <v>23</v>
      </c>
      <c r="AD129" s="11">
        <v>24</v>
      </c>
      <c r="AE129" s="11">
        <v>25</v>
      </c>
      <c r="AF129" s="11">
        <v>26</v>
      </c>
      <c r="AG129" s="11">
        <v>27</v>
      </c>
      <c r="AH129" s="11">
        <v>28</v>
      </c>
      <c r="AI129" s="11">
        <v>29</v>
      </c>
      <c r="AJ129" s="11">
        <v>30</v>
      </c>
      <c r="AK129" s="11">
        <v>31</v>
      </c>
      <c r="AL129" s="11">
        <v>32</v>
      </c>
      <c r="AM129" s="11">
        <v>33</v>
      </c>
      <c r="AN129" s="11">
        <v>34</v>
      </c>
      <c r="AO129" s="11">
        <v>35</v>
      </c>
      <c r="AP129" s="11">
        <v>36</v>
      </c>
      <c r="AQ129" s="11">
        <v>37</v>
      </c>
      <c r="AR129" s="11">
        <v>38</v>
      </c>
      <c r="AS129" s="11">
        <v>39</v>
      </c>
      <c r="AT129" s="11">
        <v>40</v>
      </c>
      <c r="AU129" s="11">
        <v>43</v>
      </c>
      <c r="AV129" s="11">
        <v>44</v>
      </c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</row>
    <row r="130" spans="1:159" x14ac:dyDescent="0.25">
      <c r="A130" s="7" t="str">
        <f t="shared" si="2"/>
        <v>U133305U133305</v>
      </c>
      <c r="B130" s="9" t="s">
        <v>171</v>
      </c>
      <c r="C130" s="9" t="s">
        <v>15</v>
      </c>
      <c r="D130" s="9">
        <v>900</v>
      </c>
      <c r="E130" s="9" t="s">
        <v>436</v>
      </c>
      <c r="F130" s="9" t="s">
        <v>442</v>
      </c>
      <c r="G130" s="9" t="s">
        <v>438</v>
      </c>
      <c r="H130" s="17">
        <v>46225</v>
      </c>
      <c r="I130" s="17"/>
      <c r="J130" s="17"/>
      <c r="K130" s="10">
        <v>228</v>
      </c>
      <c r="L130" s="10">
        <f t="shared" si="3"/>
        <v>19</v>
      </c>
      <c r="M130" s="11">
        <v>4</v>
      </c>
      <c r="N130" s="11">
        <v>5</v>
      </c>
      <c r="O130" s="11">
        <v>6</v>
      </c>
      <c r="P130" s="11">
        <v>7</v>
      </c>
      <c r="Q130" s="11">
        <v>9</v>
      </c>
      <c r="R130" s="11">
        <v>10</v>
      </c>
      <c r="S130" s="11">
        <v>12</v>
      </c>
      <c r="T130" s="11">
        <v>13</v>
      </c>
      <c r="U130" s="11">
        <v>14</v>
      </c>
      <c r="V130" s="11">
        <v>15</v>
      </c>
      <c r="W130" s="11">
        <v>16</v>
      </c>
      <c r="X130" s="11">
        <v>18</v>
      </c>
      <c r="Y130" s="11">
        <v>19</v>
      </c>
      <c r="Z130" s="11">
        <v>20</v>
      </c>
      <c r="AA130" s="11">
        <v>22</v>
      </c>
      <c r="AB130" s="11">
        <v>23</v>
      </c>
      <c r="AC130" s="11">
        <v>24</v>
      </c>
      <c r="AD130" s="11">
        <v>25</v>
      </c>
      <c r="AE130" s="11">
        <v>26</v>
      </c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</row>
    <row r="131" spans="1:159" x14ac:dyDescent="0.25">
      <c r="A131" s="7" t="str">
        <f t="shared" ref="A131:A194" si="4">+B131&amp;B131</f>
        <v>U133306U133306</v>
      </c>
      <c r="B131" s="9" t="s">
        <v>322</v>
      </c>
      <c r="C131" s="9" t="s">
        <v>58</v>
      </c>
      <c r="D131" s="9">
        <v>600</v>
      </c>
      <c r="E131" s="9" t="s">
        <v>436</v>
      </c>
      <c r="F131" s="9" t="s">
        <v>442</v>
      </c>
      <c r="G131" s="9" t="s">
        <v>438</v>
      </c>
      <c r="H131" s="17">
        <v>46237</v>
      </c>
      <c r="I131" s="17"/>
      <c r="J131" s="17"/>
      <c r="K131" s="10">
        <v>132</v>
      </c>
      <c r="L131" s="10">
        <f t="shared" ref="L131:L194" si="5">+COUNT(M131:FC131)</f>
        <v>22</v>
      </c>
      <c r="M131" s="11">
        <v>27</v>
      </c>
      <c r="N131" s="11">
        <v>28</v>
      </c>
      <c r="O131" s="11">
        <v>30</v>
      </c>
      <c r="P131" s="11">
        <v>31</v>
      </c>
      <c r="Q131" s="11">
        <v>32</v>
      </c>
      <c r="R131" s="11">
        <v>34</v>
      </c>
      <c r="S131" s="11">
        <v>35</v>
      </c>
      <c r="T131" s="11">
        <v>36</v>
      </c>
      <c r="U131" s="11">
        <v>37</v>
      </c>
      <c r="V131" s="11">
        <v>38</v>
      </c>
      <c r="W131" s="11">
        <v>39</v>
      </c>
      <c r="X131" s="11">
        <v>40</v>
      </c>
      <c r="Y131" s="11">
        <v>45</v>
      </c>
      <c r="Z131" s="11">
        <v>47</v>
      </c>
      <c r="AA131" s="11">
        <v>48</v>
      </c>
      <c r="AB131" s="11">
        <v>51</v>
      </c>
      <c r="AC131" s="11">
        <v>52</v>
      </c>
      <c r="AD131" s="11">
        <v>53</v>
      </c>
      <c r="AE131" s="11">
        <v>54</v>
      </c>
      <c r="AF131" s="11">
        <v>55</v>
      </c>
      <c r="AG131" s="11">
        <v>56</v>
      </c>
      <c r="AH131" s="11">
        <v>57</v>
      </c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</row>
    <row r="132" spans="1:159" x14ac:dyDescent="0.25">
      <c r="A132" s="7" t="str">
        <f t="shared" si="4"/>
        <v>U133308U133308</v>
      </c>
      <c r="B132" s="9" t="s">
        <v>195</v>
      </c>
      <c r="C132" s="9" t="s">
        <v>48</v>
      </c>
      <c r="D132" s="9">
        <v>600</v>
      </c>
      <c r="E132" s="9" t="s">
        <v>436</v>
      </c>
      <c r="F132" s="9" t="s">
        <v>442</v>
      </c>
      <c r="G132" s="9" t="s">
        <v>438</v>
      </c>
      <c r="H132" s="17">
        <v>46227</v>
      </c>
      <c r="I132" s="17">
        <v>46230</v>
      </c>
      <c r="J132" s="17">
        <v>46231</v>
      </c>
      <c r="K132" s="10">
        <v>408</v>
      </c>
      <c r="L132" s="10">
        <f t="shared" si="5"/>
        <v>48</v>
      </c>
      <c r="M132" s="11">
        <v>1</v>
      </c>
      <c r="N132" s="11">
        <v>3</v>
      </c>
      <c r="O132" s="11">
        <v>5</v>
      </c>
      <c r="P132" s="11">
        <v>7</v>
      </c>
      <c r="Q132" s="11">
        <v>9</v>
      </c>
      <c r="R132" s="11">
        <v>11</v>
      </c>
      <c r="S132" s="11">
        <v>13</v>
      </c>
      <c r="T132" s="11">
        <v>14</v>
      </c>
      <c r="U132" s="11">
        <v>15</v>
      </c>
      <c r="V132" s="11">
        <v>16</v>
      </c>
      <c r="W132" s="11">
        <v>17</v>
      </c>
      <c r="X132" s="11">
        <v>18</v>
      </c>
      <c r="Y132" s="11">
        <v>19</v>
      </c>
      <c r="Z132" s="11">
        <v>20</v>
      </c>
      <c r="AA132" s="11">
        <v>21</v>
      </c>
      <c r="AB132" s="11">
        <v>22</v>
      </c>
      <c r="AC132" s="11">
        <v>23</v>
      </c>
      <c r="AD132" s="11">
        <v>24</v>
      </c>
      <c r="AE132" s="11">
        <v>25</v>
      </c>
      <c r="AF132" s="11">
        <v>26</v>
      </c>
      <c r="AG132" s="11">
        <v>27</v>
      </c>
      <c r="AH132" s="11">
        <v>28</v>
      </c>
      <c r="AI132" s="11">
        <v>29</v>
      </c>
      <c r="AJ132" s="11">
        <v>30</v>
      </c>
      <c r="AK132" s="11">
        <v>31</v>
      </c>
      <c r="AL132" s="11">
        <v>32</v>
      </c>
      <c r="AM132" s="11">
        <v>33</v>
      </c>
      <c r="AN132" s="11">
        <v>34</v>
      </c>
      <c r="AO132" s="11">
        <v>35</v>
      </c>
      <c r="AP132" s="11">
        <v>36</v>
      </c>
      <c r="AQ132" s="11">
        <v>37</v>
      </c>
      <c r="AR132" s="11">
        <v>38</v>
      </c>
      <c r="AS132" s="11">
        <v>39</v>
      </c>
      <c r="AT132" s="11">
        <v>40</v>
      </c>
      <c r="AU132" s="11">
        <v>41</v>
      </c>
      <c r="AV132" s="11">
        <v>42</v>
      </c>
      <c r="AW132" s="11">
        <v>43</v>
      </c>
      <c r="AX132" s="11">
        <v>44</v>
      </c>
      <c r="AY132" s="11">
        <v>45</v>
      </c>
      <c r="AZ132" s="11">
        <v>46</v>
      </c>
      <c r="BA132" s="11">
        <v>47</v>
      </c>
      <c r="BB132" s="11">
        <v>48</v>
      </c>
      <c r="BC132" s="11">
        <v>49</v>
      </c>
      <c r="BD132" s="11">
        <v>50</v>
      </c>
      <c r="BE132" s="11">
        <v>51</v>
      </c>
      <c r="BF132" s="11">
        <v>52</v>
      </c>
      <c r="BG132" s="11">
        <v>53</v>
      </c>
      <c r="BH132" s="11">
        <v>56</v>
      </c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</row>
    <row r="133" spans="1:159" x14ac:dyDescent="0.25">
      <c r="A133" s="7" t="str">
        <f t="shared" si="4"/>
        <v>U133392U133392</v>
      </c>
      <c r="B133" s="9" t="s">
        <v>191</v>
      </c>
      <c r="C133" s="9" t="s">
        <v>15</v>
      </c>
      <c r="D133" s="9">
        <v>468</v>
      </c>
      <c r="E133" s="9" t="s">
        <v>436</v>
      </c>
      <c r="F133" s="9" t="s">
        <v>443</v>
      </c>
      <c r="G133" s="9" t="s">
        <v>444</v>
      </c>
      <c r="H133" s="17">
        <v>46226</v>
      </c>
      <c r="I133" s="17">
        <v>46237</v>
      </c>
      <c r="J133" s="17">
        <v>46237</v>
      </c>
      <c r="K133" s="10">
        <v>96</v>
      </c>
      <c r="L133" s="10">
        <f t="shared" si="5"/>
        <v>8</v>
      </c>
      <c r="M133" s="11">
        <v>3</v>
      </c>
      <c r="N133" s="11">
        <v>4</v>
      </c>
      <c r="O133" s="11">
        <v>6</v>
      </c>
      <c r="P133" s="11">
        <v>14</v>
      </c>
      <c r="Q133" s="11">
        <v>15</v>
      </c>
      <c r="R133" s="11">
        <v>17</v>
      </c>
      <c r="S133" s="11">
        <v>20</v>
      </c>
      <c r="T133" s="11">
        <v>22</v>
      </c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</row>
    <row r="134" spans="1:159" x14ac:dyDescent="0.25">
      <c r="A134" s="7" t="str">
        <f t="shared" si="4"/>
        <v>U133392U133392</v>
      </c>
      <c r="B134" s="9" t="s">
        <v>191</v>
      </c>
      <c r="C134" s="9" t="s">
        <v>21</v>
      </c>
      <c r="D134" s="9">
        <v>120</v>
      </c>
      <c r="E134" s="9" t="s">
        <v>436</v>
      </c>
      <c r="F134" s="9" t="s">
        <v>443</v>
      </c>
      <c r="G134" s="9" t="s">
        <v>444</v>
      </c>
      <c r="H134" s="17">
        <v>46231</v>
      </c>
      <c r="I134" s="17">
        <v>46233</v>
      </c>
      <c r="J134" s="17">
        <v>46237</v>
      </c>
      <c r="K134" s="10">
        <v>84</v>
      </c>
      <c r="L134" s="10">
        <f t="shared" si="5"/>
        <v>7</v>
      </c>
      <c r="M134" s="11">
        <v>42</v>
      </c>
      <c r="N134" s="11">
        <v>43</v>
      </c>
      <c r="O134" s="11">
        <v>44</v>
      </c>
      <c r="P134" s="11">
        <v>45</v>
      </c>
      <c r="Q134" s="11">
        <v>46</v>
      </c>
      <c r="R134" s="11">
        <v>47</v>
      </c>
      <c r="S134" s="11">
        <v>49</v>
      </c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</row>
    <row r="135" spans="1:159" x14ac:dyDescent="0.25">
      <c r="A135" s="7" t="str">
        <f t="shared" si="4"/>
        <v>U133395U133395</v>
      </c>
      <c r="B135" s="9" t="s">
        <v>180</v>
      </c>
      <c r="C135" s="9" t="s">
        <v>49</v>
      </c>
      <c r="D135" s="9">
        <v>2700</v>
      </c>
      <c r="E135" s="9" t="s">
        <v>436</v>
      </c>
      <c r="F135" s="9" t="s">
        <v>443</v>
      </c>
      <c r="G135" s="9" t="s">
        <v>444</v>
      </c>
      <c r="H135" s="17">
        <v>46226</v>
      </c>
      <c r="I135" s="17"/>
      <c r="J135" s="17"/>
      <c r="K135" s="10">
        <v>996</v>
      </c>
      <c r="L135" s="10">
        <f t="shared" si="5"/>
        <v>84</v>
      </c>
      <c r="M135" s="11">
        <v>2</v>
      </c>
      <c r="N135" s="11">
        <v>3</v>
      </c>
      <c r="O135" s="11">
        <v>4</v>
      </c>
      <c r="P135" s="11">
        <v>5</v>
      </c>
      <c r="Q135" s="11">
        <v>6</v>
      </c>
      <c r="R135" s="11">
        <v>7</v>
      </c>
      <c r="S135" s="11">
        <v>9</v>
      </c>
      <c r="T135" s="11">
        <v>12</v>
      </c>
      <c r="U135" s="11">
        <v>42</v>
      </c>
      <c r="V135" s="11">
        <v>43</v>
      </c>
      <c r="W135" s="11">
        <v>44</v>
      </c>
      <c r="X135" s="11">
        <v>45</v>
      </c>
      <c r="Y135" s="11">
        <v>46</v>
      </c>
      <c r="Z135" s="11">
        <v>47</v>
      </c>
      <c r="AA135" s="11">
        <v>48</v>
      </c>
      <c r="AB135" s="11">
        <v>49</v>
      </c>
      <c r="AC135" s="11">
        <v>50</v>
      </c>
      <c r="AD135" s="11">
        <v>52</v>
      </c>
      <c r="AE135" s="11">
        <v>53</v>
      </c>
      <c r="AF135" s="11">
        <v>54</v>
      </c>
      <c r="AG135" s="11">
        <v>55</v>
      </c>
      <c r="AH135" s="11">
        <v>56</v>
      </c>
      <c r="AI135" s="11">
        <v>81</v>
      </c>
      <c r="AJ135" s="11">
        <v>82</v>
      </c>
      <c r="AK135" s="11">
        <v>83</v>
      </c>
      <c r="AL135" s="11">
        <v>84</v>
      </c>
      <c r="AM135" s="11">
        <v>85</v>
      </c>
      <c r="AN135" s="11">
        <v>86</v>
      </c>
      <c r="AO135" s="11">
        <v>87</v>
      </c>
      <c r="AP135" s="11">
        <v>88</v>
      </c>
      <c r="AQ135" s="11">
        <v>89</v>
      </c>
      <c r="AR135" s="11">
        <v>90</v>
      </c>
      <c r="AS135" s="11">
        <v>101</v>
      </c>
      <c r="AT135" s="11">
        <v>116</v>
      </c>
      <c r="AU135" s="11">
        <v>118</v>
      </c>
      <c r="AV135" s="11">
        <v>119</v>
      </c>
      <c r="AW135" s="11">
        <v>120</v>
      </c>
      <c r="AX135" s="11">
        <v>121</v>
      </c>
      <c r="AY135" s="11">
        <v>122</v>
      </c>
      <c r="AZ135" s="11">
        <v>123</v>
      </c>
      <c r="BA135" s="11">
        <v>124</v>
      </c>
      <c r="BB135" s="11">
        <v>125</v>
      </c>
      <c r="BC135" s="11">
        <v>126</v>
      </c>
      <c r="BD135" s="11">
        <v>127</v>
      </c>
      <c r="BE135" s="11">
        <v>128</v>
      </c>
      <c r="BF135" s="11">
        <v>130</v>
      </c>
      <c r="BG135" s="11">
        <v>131</v>
      </c>
      <c r="BH135" s="11">
        <v>158</v>
      </c>
      <c r="BI135" s="11">
        <v>159</v>
      </c>
      <c r="BJ135" s="11">
        <v>160</v>
      </c>
      <c r="BK135" s="11">
        <v>161</v>
      </c>
      <c r="BL135" s="11">
        <v>162</v>
      </c>
      <c r="BM135" s="11">
        <v>163</v>
      </c>
      <c r="BN135" s="11">
        <v>164</v>
      </c>
      <c r="BO135" s="11">
        <v>165</v>
      </c>
      <c r="BP135" s="11">
        <v>166</v>
      </c>
      <c r="BQ135" s="11">
        <v>167</v>
      </c>
      <c r="BR135" s="11">
        <v>168</v>
      </c>
      <c r="BS135" s="11">
        <v>169</v>
      </c>
      <c r="BT135" s="11">
        <v>170</v>
      </c>
      <c r="BU135" s="11">
        <v>171</v>
      </c>
      <c r="BV135" s="11">
        <v>172</v>
      </c>
      <c r="BW135" s="11">
        <v>173</v>
      </c>
      <c r="BX135" s="11">
        <v>175</v>
      </c>
      <c r="BY135" s="11">
        <v>176</v>
      </c>
      <c r="BZ135" s="11">
        <v>179</v>
      </c>
      <c r="CA135" s="11">
        <v>196</v>
      </c>
      <c r="CB135" s="11">
        <v>197</v>
      </c>
      <c r="CC135" s="11">
        <v>198</v>
      </c>
      <c r="CD135" s="11">
        <v>199</v>
      </c>
      <c r="CE135" s="11">
        <v>200</v>
      </c>
      <c r="CF135" s="11">
        <v>201</v>
      </c>
      <c r="CG135" s="11">
        <v>202</v>
      </c>
      <c r="CH135" s="11">
        <v>203</v>
      </c>
      <c r="CI135" s="11">
        <v>204</v>
      </c>
      <c r="CJ135" s="11">
        <v>205</v>
      </c>
      <c r="CK135" s="11">
        <v>206</v>
      </c>
      <c r="CL135" s="11">
        <v>207</v>
      </c>
      <c r="CM135" s="11">
        <v>208</v>
      </c>
      <c r="CN135" s="11">
        <v>209</v>
      </c>
      <c r="CO135" s="11">
        <v>211</v>
      </c>
      <c r="CP135" s="11">
        <v>213</v>
      </c>
      <c r="CQ135" s="11">
        <v>224</v>
      </c>
      <c r="CR135" s="11">
        <v>225</v>
      </c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</row>
    <row r="136" spans="1:159" x14ac:dyDescent="0.25">
      <c r="A136" s="7" t="str">
        <f t="shared" si="4"/>
        <v>U133395U133395</v>
      </c>
      <c r="B136" s="9" t="s">
        <v>180</v>
      </c>
      <c r="C136" s="9" t="s">
        <v>54</v>
      </c>
      <c r="D136" s="9">
        <v>96</v>
      </c>
      <c r="E136" s="9" t="s">
        <v>436</v>
      </c>
      <c r="F136" s="9" t="s">
        <v>443</v>
      </c>
      <c r="G136" s="9" t="s">
        <v>444</v>
      </c>
      <c r="H136" s="17">
        <v>46230</v>
      </c>
      <c r="I136" s="17">
        <v>46230</v>
      </c>
      <c r="J136" s="17"/>
      <c r="K136" s="10">
        <v>96</v>
      </c>
      <c r="L136" s="10">
        <f t="shared" si="5"/>
        <v>12</v>
      </c>
      <c r="M136" s="11">
        <v>228</v>
      </c>
      <c r="N136" s="11">
        <v>229</v>
      </c>
      <c r="O136" s="11">
        <v>230</v>
      </c>
      <c r="P136" s="11">
        <v>231</v>
      </c>
      <c r="Q136" s="11">
        <v>232</v>
      </c>
      <c r="R136" s="11">
        <v>233</v>
      </c>
      <c r="S136" s="11">
        <v>234</v>
      </c>
      <c r="T136" s="11">
        <v>235</v>
      </c>
      <c r="U136" s="11">
        <v>236</v>
      </c>
      <c r="V136" s="11">
        <v>237</v>
      </c>
      <c r="W136" s="11">
        <v>238</v>
      </c>
      <c r="X136" s="11">
        <v>239</v>
      </c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</row>
    <row r="137" spans="1:159" x14ac:dyDescent="0.25">
      <c r="A137" s="7" t="str">
        <f t="shared" si="4"/>
        <v>U133396U133396</v>
      </c>
      <c r="B137" s="9" t="s">
        <v>196</v>
      </c>
      <c r="C137" s="9" t="s">
        <v>52</v>
      </c>
      <c r="D137" s="9">
        <v>438</v>
      </c>
      <c r="E137" s="9" t="s">
        <v>436</v>
      </c>
      <c r="F137" s="9" t="s">
        <v>443</v>
      </c>
      <c r="G137" s="9" t="s">
        <v>444</v>
      </c>
      <c r="H137" s="17">
        <v>46227</v>
      </c>
      <c r="I137" s="17">
        <v>46231</v>
      </c>
      <c r="J137" s="17">
        <v>46232</v>
      </c>
      <c r="K137" s="10">
        <v>342</v>
      </c>
      <c r="L137" s="10">
        <f t="shared" si="5"/>
        <v>29</v>
      </c>
      <c r="M137" s="11">
        <v>1</v>
      </c>
      <c r="N137" s="11">
        <v>2</v>
      </c>
      <c r="O137" s="11">
        <v>3</v>
      </c>
      <c r="P137" s="11">
        <v>4</v>
      </c>
      <c r="Q137" s="11">
        <v>6</v>
      </c>
      <c r="R137" s="11">
        <v>7</v>
      </c>
      <c r="S137" s="11">
        <v>8</v>
      </c>
      <c r="T137" s="11">
        <v>10</v>
      </c>
      <c r="U137" s="11">
        <v>11</v>
      </c>
      <c r="V137" s="11">
        <v>12</v>
      </c>
      <c r="W137" s="11">
        <v>13</v>
      </c>
      <c r="X137" s="11">
        <v>15</v>
      </c>
      <c r="Y137" s="11">
        <v>16</v>
      </c>
      <c r="Z137" s="11">
        <v>17</v>
      </c>
      <c r="AA137" s="11">
        <v>18</v>
      </c>
      <c r="AB137" s="11">
        <v>19</v>
      </c>
      <c r="AC137" s="11">
        <v>20</v>
      </c>
      <c r="AD137" s="11">
        <v>22</v>
      </c>
      <c r="AE137" s="11">
        <v>23</v>
      </c>
      <c r="AF137" s="11">
        <v>24</v>
      </c>
      <c r="AG137" s="11">
        <v>25</v>
      </c>
      <c r="AH137" s="11">
        <v>26</v>
      </c>
      <c r="AI137" s="11">
        <v>27</v>
      </c>
      <c r="AJ137" s="11">
        <v>28</v>
      </c>
      <c r="AK137" s="11">
        <v>29</v>
      </c>
      <c r="AL137" s="11">
        <v>30</v>
      </c>
      <c r="AM137" s="11">
        <v>31</v>
      </c>
      <c r="AN137" s="11">
        <v>33</v>
      </c>
      <c r="AO137" s="11">
        <v>36</v>
      </c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</row>
    <row r="138" spans="1:159" x14ac:dyDescent="0.25">
      <c r="A138" s="7" t="str">
        <f t="shared" si="4"/>
        <v>U133396U133396</v>
      </c>
      <c r="B138" s="9" t="s">
        <v>196</v>
      </c>
      <c r="C138" s="9" t="s">
        <v>42</v>
      </c>
      <c r="D138" s="9">
        <v>90</v>
      </c>
      <c r="E138" s="9" t="s">
        <v>436</v>
      </c>
      <c r="F138" s="9" t="s">
        <v>443</v>
      </c>
      <c r="G138" s="9" t="s">
        <v>444</v>
      </c>
      <c r="H138" s="17">
        <v>46231</v>
      </c>
      <c r="I138" s="17">
        <v>46231</v>
      </c>
      <c r="J138" s="17">
        <v>46232</v>
      </c>
      <c r="K138" s="10">
        <v>90</v>
      </c>
      <c r="L138" s="10">
        <f t="shared" si="5"/>
        <v>11</v>
      </c>
      <c r="M138" s="11">
        <v>41</v>
      </c>
      <c r="N138" s="11">
        <v>42</v>
      </c>
      <c r="O138" s="11">
        <v>43</v>
      </c>
      <c r="P138" s="11">
        <v>44</v>
      </c>
      <c r="Q138" s="11">
        <v>45</v>
      </c>
      <c r="R138" s="11">
        <v>46</v>
      </c>
      <c r="S138" s="11">
        <v>47</v>
      </c>
      <c r="T138" s="11">
        <v>48</v>
      </c>
      <c r="U138" s="11">
        <v>49</v>
      </c>
      <c r="V138" s="11">
        <v>50</v>
      </c>
      <c r="W138" s="11">
        <v>51</v>
      </c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</row>
    <row r="139" spans="1:159" x14ac:dyDescent="0.25">
      <c r="A139" s="7" t="str">
        <f t="shared" si="4"/>
        <v>U133398U133398</v>
      </c>
      <c r="B139" s="9" t="s">
        <v>109</v>
      </c>
      <c r="C139" s="9" t="s">
        <v>48</v>
      </c>
      <c r="D139" s="9">
        <v>2304</v>
      </c>
      <c r="E139" s="9" t="s">
        <v>436</v>
      </c>
      <c r="F139" s="9" t="s">
        <v>443</v>
      </c>
      <c r="G139" s="9" t="s">
        <v>444</v>
      </c>
      <c r="H139" s="17">
        <v>46217</v>
      </c>
      <c r="I139" s="17">
        <v>46237</v>
      </c>
      <c r="J139" s="17">
        <v>46238</v>
      </c>
      <c r="K139" s="10">
        <v>276</v>
      </c>
      <c r="L139" s="10">
        <f t="shared" si="5"/>
        <v>23</v>
      </c>
      <c r="M139" s="11">
        <v>1</v>
      </c>
      <c r="N139" s="11">
        <v>34</v>
      </c>
      <c r="O139" s="11">
        <v>35</v>
      </c>
      <c r="P139" s="11">
        <v>36</v>
      </c>
      <c r="Q139" s="11">
        <v>37</v>
      </c>
      <c r="R139" s="11">
        <v>38</v>
      </c>
      <c r="S139" s="11">
        <v>40</v>
      </c>
      <c r="T139" s="11">
        <v>68</v>
      </c>
      <c r="U139" s="11">
        <v>69</v>
      </c>
      <c r="V139" s="11">
        <v>70</v>
      </c>
      <c r="W139" s="11">
        <v>98</v>
      </c>
      <c r="X139" s="11">
        <v>101</v>
      </c>
      <c r="Y139" s="11">
        <v>102</v>
      </c>
      <c r="Z139" s="11">
        <v>103</v>
      </c>
      <c r="AA139" s="11">
        <v>135</v>
      </c>
      <c r="AB139" s="11">
        <v>136</v>
      </c>
      <c r="AC139" s="11">
        <v>137</v>
      </c>
      <c r="AD139" s="11">
        <v>139</v>
      </c>
      <c r="AE139" s="11">
        <v>165</v>
      </c>
      <c r="AF139" s="11">
        <v>167</v>
      </c>
      <c r="AG139" s="11">
        <v>168</v>
      </c>
      <c r="AH139" s="11">
        <v>169</v>
      </c>
      <c r="AI139" s="11">
        <v>175</v>
      </c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</row>
    <row r="140" spans="1:159" x14ac:dyDescent="0.25">
      <c r="A140" s="7" t="str">
        <f t="shared" si="4"/>
        <v>U133398U133398</v>
      </c>
      <c r="B140" s="9" t="s">
        <v>109</v>
      </c>
      <c r="C140" s="9" t="s">
        <v>67</v>
      </c>
      <c r="D140" s="9">
        <v>84</v>
      </c>
      <c r="E140" s="9" t="s">
        <v>436</v>
      </c>
      <c r="F140" s="9" t="s">
        <v>443</v>
      </c>
      <c r="G140" s="9" t="s">
        <v>444</v>
      </c>
      <c r="H140" s="17">
        <v>46226</v>
      </c>
      <c r="I140" s="17">
        <v>46230</v>
      </c>
      <c r="J140" s="17">
        <v>46238</v>
      </c>
      <c r="K140" s="10">
        <v>42</v>
      </c>
      <c r="L140" s="10">
        <f t="shared" si="5"/>
        <v>6</v>
      </c>
      <c r="M140" s="11">
        <v>197</v>
      </c>
      <c r="N140" s="11">
        <v>200</v>
      </c>
      <c r="O140" s="11">
        <v>201</v>
      </c>
      <c r="P140" s="11">
        <v>202</v>
      </c>
      <c r="Q140" s="11">
        <v>203</v>
      </c>
      <c r="R140" s="11">
        <v>205</v>
      </c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</row>
    <row r="141" spans="1:159" x14ac:dyDescent="0.25">
      <c r="A141" s="7" t="str">
        <f t="shared" si="4"/>
        <v>U133400U133400</v>
      </c>
      <c r="B141" s="9" t="s">
        <v>340</v>
      </c>
      <c r="C141" s="9" t="s">
        <v>58</v>
      </c>
      <c r="D141" s="9">
        <v>2490</v>
      </c>
      <c r="E141" s="9" t="s">
        <v>436</v>
      </c>
      <c r="F141" s="9" t="s">
        <v>443</v>
      </c>
      <c r="G141" s="9" t="s">
        <v>444</v>
      </c>
      <c r="H141" s="17">
        <v>46238</v>
      </c>
      <c r="I141" s="17"/>
      <c r="J141" s="17"/>
      <c r="K141" s="10">
        <v>180</v>
      </c>
      <c r="L141" s="10">
        <f t="shared" si="5"/>
        <v>15</v>
      </c>
      <c r="M141" s="11">
        <v>52</v>
      </c>
      <c r="N141" s="11">
        <v>53</v>
      </c>
      <c r="O141" s="11">
        <v>54</v>
      </c>
      <c r="P141" s="11">
        <v>84</v>
      </c>
      <c r="Q141" s="11">
        <v>86</v>
      </c>
      <c r="R141" s="11">
        <v>121</v>
      </c>
      <c r="S141" s="11">
        <v>122</v>
      </c>
      <c r="T141" s="11">
        <v>123</v>
      </c>
      <c r="U141" s="11">
        <v>124</v>
      </c>
      <c r="V141" s="11">
        <v>127</v>
      </c>
      <c r="W141" s="11">
        <v>161</v>
      </c>
      <c r="X141" s="11">
        <v>162</v>
      </c>
      <c r="Y141" s="11">
        <v>163</v>
      </c>
      <c r="Z141" s="11">
        <v>164</v>
      </c>
      <c r="AA141" s="11">
        <v>166</v>
      </c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</row>
    <row r="142" spans="1:159" x14ac:dyDescent="0.25">
      <c r="A142" s="7" t="str">
        <f t="shared" si="4"/>
        <v>U133560U133560</v>
      </c>
      <c r="B142" s="9" t="s">
        <v>175</v>
      </c>
      <c r="C142" s="9" t="s">
        <v>24</v>
      </c>
      <c r="D142" s="9">
        <v>324</v>
      </c>
      <c r="E142" s="9" t="s">
        <v>436</v>
      </c>
      <c r="F142" s="9" t="s">
        <v>443</v>
      </c>
      <c r="G142" s="9" t="s">
        <v>444</v>
      </c>
      <c r="H142" s="17">
        <v>46225</v>
      </c>
      <c r="I142" s="17">
        <v>46232</v>
      </c>
      <c r="J142" s="17"/>
      <c r="K142" s="10">
        <v>60</v>
      </c>
      <c r="L142" s="10">
        <f t="shared" si="5"/>
        <v>5</v>
      </c>
      <c r="M142" s="11">
        <v>3</v>
      </c>
      <c r="N142" s="11">
        <v>4</v>
      </c>
      <c r="O142" s="11">
        <v>11</v>
      </c>
      <c r="P142" s="11">
        <v>12</v>
      </c>
      <c r="Q142" s="11">
        <v>19</v>
      </c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</row>
    <row r="143" spans="1:159" x14ac:dyDescent="0.25">
      <c r="A143" s="7" t="str">
        <f t="shared" si="4"/>
        <v>U133560U133560</v>
      </c>
      <c r="B143" s="9" t="s">
        <v>175</v>
      </c>
      <c r="C143" s="9" t="s">
        <v>39</v>
      </c>
      <c r="D143" s="9">
        <v>84</v>
      </c>
      <c r="E143" s="9" t="s">
        <v>436</v>
      </c>
      <c r="F143" s="9" t="s">
        <v>443</v>
      </c>
      <c r="G143" s="9" t="s">
        <v>444</v>
      </c>
      <c r="H143" s="17">
        <v>46239</v>
      </c>
      <c r="I143" s="17"/>
      <c r="J143" s="17"/>
      <c r="K143" s="10">
        <v>72</v>
      </c>
      <c r="L143" s="10">
        <f t="shared" si="5"/>
        <v>7</v>
      </c>
      <c r="M143" s="11">
        <v>29</v>
      </c>
      <c r="N143" s="11">
        <v>30</v>
      </c>
      <c r="O143" s="11">
        <v>31</v>
      </c>
      <c r="P143" s="11">
        <v>32</v>
      </c>
      <c r="Q143" s="11">
        <v>33</v>
      </c>
      <c r="R143" s="11">
        <v>35</v>
      </c>
      <c r="S143" s="11">
        <v>36</v>
      </c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</row>
    <row r="144" spans="1:159" x14ac:dyDescent="0.25">
      <c r="A144" s="7" t="str">
        <f t="shared" si="4"/>
        <v>U133588U133588</v>
      </c>
      <c r="B144" s="9" t="s">
        <v>300</v>
      </c>
      <c r="C144" s="9" t="s">
        <v>42</v>
      </c>
      <c r="D144" s="9">
        <v>300</v>
      </c>
      <c r="E144" s="9" t="s">
        <v>436</v>
      </c>
      <c r="F144" s="9" t="s">
        <v>445</v>
      </c>
      <c r="G144" s="9" t="s">
        <v>438</v>
      </c>
      <c r="H144" s="17">
        <v>46237</v>
      </c>
      <c r="I144" s="17"/>
      <c r="J144" s="17"/>
      <c r="K144" s="10">
        <v>108</v>
      </c>
      <c r="L144" s="10">
        <f t="shared" si="5"/>
        <v>9</v>
      </c>
      <c r="M144" s="11">
        <v>4</v>
      </c>
      <c r="N144" s="11">
        <v>5</v>
      </c>
      <c r="O144" s="11">
        <v>12</v>
      </c>
      <c r="P144" s="11">
        <v>14</v>
      </c>
      <c r="Q144" s="11">
        <v>15</v>
      </c>
      <c r="R144" s="11">
        <v>17</v>
      </c>
      <c r="S144" s="11">
        <v>21</v>
      </c>
      <c r="T144" s="11">
        <v>22</v>
      </c>
      <c r="U144" s="11">
        <v>23</v>
      </c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</row>
    <row r="145" spans="1:159" x14ac:dyDescent="0.25">
      <c r="A145" s="7" t="str">
        <f t="shared" si="4"/>
        <v>U133589U133589</v>
      </c>
      <c r="B145" s="9" t="s">
        <v>329</v>
      </c>
      <c r="C145" s="9" t="s">
        <v>21</v>
      </c>
      <c r="D145" s="9">
        <v>300</v>
      </c>
      <c r="E145" s="9" t="s">
        <v>436</v>
      </c>
      <c r="F145" s="9" t="s">
        <v>445</v>
      </c>
      <c r="G145" s="9" t="s">
        <v>438</v>
      </c>
      <c r="H145" s="17">
        <v>46238</v>
      </c>
      <c r="I145" s="17"/>
      <c r="J145" s="17"/>
      <c r="K145" s="10">
        <v>72</v>
      </c>
      <c r="L145" s="10">
        <f t="shared" si="5"/>
        <v>6</v>
      </c>
      <c r="M145" s="11">
        <v>3</v>
      </c>
      <c r="N145" s="11">
        <v>4</v>
      </c>
      <c r="O145" s="11">
        <v>5</v>
      </c>
      <c r="P145" s="11">
        <v>9</v>
      </c>
      <c r="Q145" s="11">
        <v>10</v>
      </c>
      <c r="R145" s="11">
        <v>11</v>
      </c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</row>
    <row r="146" spans="1:159" x14ac:dyDescent="0.25">
      <c r="A146" s="7" t="str">
        <f t="shared" si="4"/>
        <v>U133590U133590</v>
      </c>
      <c r="B146" s="9" t="s">
        <v>353</v>
      </c>
      <c r="C146" s="9" t="s">
        <v>47</v>
      </c>
      <c r="D146" s="9">
        <v>300</v>
      </c>
      <c r="E146" s="9" t="s">
        <v>436</v>
      </c>
      <c r="F146" s="9" t="s">
        <v>445</v>
      </c>
      <c r="G146" s="9" t="s">
        <v>438</v>
      </c>
      <c r="H146" s="17">
        <v>46239</v>
      </c>
      <c r="I146" s="17"/>
      <c r="J146" s="17"/>
      <c r="K146" s="10">
        <v>48</v>
      </c>
      <c r="L146" s="10">
        <f t="shared" si="5"/>
        <v>4</v>
      </c>
      <c r="M146" s="11">
        <v>1</v>
      </c>
      <c r="N146" s="11">
        <v>14</v>
      </c>
      <c r="O146" s="11">
        <v>19</v>
      </c>
      <c r="P146" s="11">
        <v>21</v>
      </c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</row>
    <row r="147" spans="1:159" x14ac:dyDescent="0.25">
      <c r="A147" s="7" t="str">
        <f t="shared" si="4"/>
        <v>U133591U133591</v>
      </c>
      <c r="B147" s="9" t="s">
        <v>274</v>
      </c>
      <c r="C147" s="9" t="s">
        <v>67</v>
      </c>
      <c r="D147" s="9">
        <v>300</v>
      </c>
      <c r="E147" s="9" t="s">
        <v>436</v>
      </c>
      <c r="F147" s="9" t="s">
        <v>445</v>
      </c>
      <c r="G147" s="9" t="s">
        <v>438</v>
      </c>
      <c r="H147" s="17">
        <v>46234</v>
      </c>
      <c r="I147" s="17">
        <v>46234</v>
      </c>
      <c r="J147" s="17">
        <v>46237</v>
      </c>
      <c r="K147" s="10">
        <v>300</v>
      </c>
      <c r="L147" s="10">
        <f t="shared" si="5"/>
        <v>25</v>
      </c>
      <c r="M147" s="11">
        <v>1</v>
      </c>
      <c r="N147" s="11">
        <v>2</v>
      </c>
      <c r="O147" s="11">
        <v>3</v>
      </c>
      <c r="P147" s="11">
        <v>4</v>
      </c>
      <c r="Q147" s="11">
        <v>5</v>
      </c>
      <c r="R147" s="11">
        <v>6</v>
      </c>
      <c r="S147" s="11">
        <v>7</v>
      </c>
      <c r="T147" s="11">
        <v>8</v>
      </c>
      <c r="U147" s="11">
        <v>9</v>
      </c>
      <c r="V147" s="11">
        <v>10</v>
      </c>
      <c r="W147" s="11">
        <v>11</v>
      </c>
      <c r="X147" s="11">
        <v>12</v>
      </c>
      <c r="Y147" s="11">
        <v>13</v>
      </c>
      <c r="Z147" s="11">
        <v>14</v>
      </c>
      <c r="AA147" s="11">
        <v>15</v>
      </c>
      <c r="AB147" s="11">
        <v>16</v>
      </c>
      <c r="AC147" s="11">
        <v>17</v>
      </c>
      <c r="AD147" s="11">
        <v>18</v>
      </c>
      <c r="AE147" s="11">
        <v>19</v>
      </c>
      <c r="AF147" s="11">
        <v>20</v>
      </c>
      <c r="AG147" s="11">
        <v>21</v>
      </c>
      <c r="AH147" s="11">
        <v>22</v>
      </c>
      <c r="AI147" s="11">
        <v>23</v>
      </c>
      <c r="AJ147" s="11">
        <v>24</v>
      </c>
      <c r="AK147" s="11">
        <v>25</v>
      </c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</row>
    <row r="148" spans="1:159" x14ac:dyDescent="0.25">
      <c r="A148" s="7" t="str">
        <f t="shared" si="4"/>
        <v>U133608U133608</v>
      </c>
      <c r="B148" s="9" t="s">
        <v>176</v>
      </c>
      <c r="C148" s="9" t="s">
        <v>49</v>
      </c>
      <c r="D148" s="9">
        <v>606</v>
      </c>
      <c r="E148" s="9" t="s">
        <v>436</v>
      </c>
      <c r="F148" s="9" t="s">
        <v>446</v>
      </c>
      <c r="G148" s="9" t="s">
        <v>438</v>
      </c>
      <c r="H148" s="17">
        <v>46226</v>
      </c>
      <c r="I148" s="17">
        <v>46230</v>
      </c>
      <c r="J148" s="17">
        <v>46231</v>
      </c>
      <c r="K148" s="10">
        <v>120</v>
      </c>
      <c r="L148" s="10">
        <f t="shared" si="5"/>
        <v>10</v>
      </c>
      <c r="M148" s="11">
        <v>29</v>
      </c>
      <c r="N148" s="11">
        <v>31</v>
      </c>
      <c r="O148" s="11">
        <v>32</v>
      </c>
      <c r="P148" s="11">
        <v>33</v>
      </c>
      <c r="Q148" s="11">
        <v>37</v>
      </c>
      <c r="R148" s="11">
        <v>38</v>
      </c>
      <c r="S148" s="11">
        <v>41</v>
      </c>
      <c r="T148" s="11">
        <v>42</v>
      </c>
      <c r="U148" s="11">
        <v>47</v>
      </c>
      <c r="V148" s="11">
        <v>48</v>
      </c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</row>
    <row r="149" spans="1:159" x14ac:dyDescent="0.25">
      <c r="A149" s="7" t="str">
        <f t="shared" si="4"/>
        <v>U133609U133609</v>
      </c>
      <c r="B149" s="9" t="s">
        <v>331</v>
      </c>
      <c r="C149" s="9" t="s">
        <v>48</v>
      </c>
      <c r="D149" s="9">
        <v>618</v>
      </c>
      <c r="E149" s="9" t="s">
        <v>436</v>
      </c>
      <c r="F149" s="9" t="s">
        <v>446</v>
      </c>
      <c r="G149" s="9" t="s">
        <v>438</v>
      </c>
      <c r="H149" s="17">
        <v>46238</v>
      </c>
      <c r="I149" s="17"/>
      <c r="J149" s="17"/>
      <c r="K149" s="10">
        <v>114</v>
      </c>
      <c r="L149" s="10">
        <f t="shared" si="5"/>
        <v>10</v>
      </c>
      <c r="M149" s="11">
        <v>20</v>
      </c>
      <c r="N149" s="11">
        <v>21</v>
      </c>
      <c r="O149" s="11">
        <v>22</v>
      </c>
      <c r="P149" s="11">
        <v>23</v>
      </c>
      <c r="Q149" s="11">
        <v>27</v>
      </c>
      <c r="R149" s="11">
        <v>36</v>
      </c>
      <c r="S149" s="11">
        <v>37</v>
      </c>
      <c r="T149" s="11">
        <v>39</v>
      </c>
      <c r="U149" s="11">
        <v>44</v>
      </c>
      <c r="V149" s="11">
        <v>53</v>
      </c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</row>
    <row r="150" spans="1:159" x14ac:dyDescent="0.25">
      <c r="A150" s="7" t="str">
        <f t="shared" si="4"/>
        <v>U133632U133632</v>
      </c>
      <c r="B150" s="9" t="s">
        <v>217</v>
      </c>
      <c r="C150" s="9" t="s">
        <v>57</v>
      </c>
      <c r="D150" s="9">
        <v>552</v>
      </c>
      <c r="E150" s="9" t="s">
        <v>436</v>
      </c>
      <c r="F150" s="9" t="s">
        <v>441</v>
      </c>
      <c r="G150" s="9" t="s">
        <v>438</v>
      </c>
      <c r="H150" s="17">
        <v>46230</v>
      </c>
      <c r="I150" s="17">
        <v>46237</v>
      </c>
      <c r="J150" s="17">
        <v>46237</v>
      </c>
      <c r="K150" s="10">
        <v>78</v>
      </c>
      <c r="L150" s="10">
        <f t="shared" si="5"/>
        <v>13</v>
      </c>
      <c r="M150" s="11">
        <v>1</v>
      </c>
      <c r="N150" s="11">
        <v>2</v>
      </c>
      <c r="O150" s="11">
        <v>3</v>
      </c>
      <c r="P150" s="11">
        <v>4</v>
      </c>
      <c r="Q150" s="11">
        <v>5</v>
      </c>
      <c r="R150" s="11">
        <v>6</v>
      </c>
      <c r="S150" s="11">
        <v>7</v>
      </c>
      <c r="T150" s="11">
        <v>8</v>
      </c>
      <c r="U150" s="11">
        <v>11</v>
      </c>
      <c r="V150" s="11">
        <v>12</v>
      </c>
      <c r="W150" s="11">
        <v>14</v>
      </c>
      <c r="X150" s="11">
        <v>35</v>
      </c>
      <c r="Y150" s="11">
        <v>36</v>
      </c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</row>
    <row r="151" spans="1:159" x14ac:dyDescent="0.25">
      <c r="A151" s="7" t="str">
        <f t="shared" si="4"/>
        <v>U133640U133640</v>
      </c>
      <c r="B151" s="9" t="s">
        <v>160</v>
      </c>
      <c r="C151" s="9" t="s">
        <v>52</v>
      </c>
      <c r="D151" s="9">
        <v>504</v>
      </c>
      <c r="E151" s="9" t="s">
        <v>436</v>
      </c>
      <c r="F151" s="9" t="s">
        <v>441</v>
      </c>
      <c r="G151" s="9" t="s">
        <v>438</v>
      </c>
      <c r="H151" s="17">
        <v>46224</v>
      </c>
      <c r="I151" s="17">
        <v>46230</v>
      </c>
      <c r="J151" s="17">
        <v>46230</v>
      </c>
      <c r="K151" s="10">
        <v>48</v>
      </c>
      <c r="L151" s="10">
        <f t="shared" si="5"/>
        <v>4</v>
      </c>
      <c r="M151" s="11">
        <v>7</v>
      </c>
      <c r="N151" s="11">
        <v>12</v>
      </c>
      <c r="O151" s="11">
        <v>29</v>
      </c>
      <c r="P151" s="11">
        <v>30</v>
      </c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</row>
    <row r="152" spans="1:159" x14ac:dyDescent="0.25">
      <c r="A152" s="7" t="str">
        <f t="shared" si="4"/>
        <v>U133641U133641</v>
      </c>
      <c r="B152" s="9" t="s">
        <v>200</v>
      </c>
      <c r="C152" s="9" t="s">
        <v>49</v>
      </c>
      <c r="D152" s="9">
        <v>504</v>
      </c>
      <c r="E152" s="9" t="s">
        <v>436</v>
      </c>
      <c r="F152" s="9" t="s">
        <v>441</v>
      </c>
      <c r="G152" s="9" t="s">
        <v>438</v>
      </c>
      <c r="H152" s="17">
        <v>46227</v>
      </c>
      <c r="I152" s="17">
        <v>46239</v>
      </c>
      <c r="J152" s="17"/>
      <c r="K152" s="10">
        <v>240</v>
      </c>
      <c r="L152" s="10">
        <f t="shared" si="5"/>
        <v>20</v>
      </c>
      <c r="M152" s="11">
        <v>5</v>
      </c>
      <c r="N152" s="11">
        <v>6</v>
      </c>
      <c r="O152" s="11">
        <v>7</v>
      </c>
      <c r="P152" s="11">
        <v>8</v>
      </c>
      <c r="Q152" s="11">
        <v>11</v>
      </c>
      <c r="R152" s="11">
        <v>12</v>
      </c>
      <c r="S152" s="11">
        <v>16</v>
      </c>
      <c r="T152" s="11">
        <v>17</v>
      </c>
      <c r="U152" s="11">
        <v>18</v>
      </c>
      <c r="V152" s="11">
        <v>21</v>
      </c>
      <c r="W152" s="11">
        <v>24</v>
      </c>
      <c r="X152" s="11">
        <v>25</v>
      </c>
      <c r="Y152" s="11">
        <v>26</v>
      </c>
      <c r="Z152" s="11">
        <v>29</v>
      </c>
      <c r="AA152" s="11">
        <v>30</v>
      </c>
      <c r="AB152" s="11">
        <v>31</v>
      </c>
      <c r="AC152" s="11">
        <v>32</v>
      </c>
      <c r="AD152" s="11">
        <v>33</v>
      </c>
      <c r="AE152" s="11">
        <v>34</v>
      </c>
      <c r="AF152" s="11">
        <v>35</v>
      </c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</row>
    <row r="153" spans="1:159" x14ac:dyDescent="0.25">
      <c r="A153" s="7" t="str">
        <f t="shared" si="4"/>
        <v>U133656U133656</v>
      </c>
      <c r="B153" s="9" t="s">
        <v>261</v>
      </c>
      <c r="C153" s="9" t="s">
        <v>15</v>
      </c>
      <c r="D153" s="9">
        <v>720</v>
      </c>
      <c r="E153" s="9" t="s">
        <v>436</v>
      </c>
      <c r="F153" s="9" t="s">
        <v>437</v>
      </c>
      <c r="G153" s="9" t="s">
        <v>438</v>
      </c>
      <c r="H153" s="17">
        <v>46233</v>
      </c>
      <c r="I153" s="17"/>
      <c r="J153" s="17"/>
      <c r="K153" s="10">
        <v>432</v>
      </c>
      <c r="L153" s="10">
        <f t="shared" si="5"/>
        <v>36</v>
      </c>
      <c r="M153" s="11">
        <v>4</v>
      </c>
      <c r="N153" s="11">
        <v>5</v>
      </c>
      <c r="O153" s="11">
        <v>6</v>
      </c>
      <c r="P153" s="11">
        <v>7</v>
      </c>
      <c r="Q153" s="11">
        <v>8</v>
      </c>
      <c r="R153" s="11">
        <v>9</v>
      </c>
      <c r="S153" s="11">
        <v>10</v>
      </c>
      <c r="T153" s="11">
        <v>11</v>
      </c>
      <c r="U153" s="11">
        <v>12</v>
      </c>
      <c r="V153" s="11">
        <v>16</v>
      </c>
      <c r="W153" s="11">
        <v>17</v>
      </c>
      <c r="X153" s="11">
        <v>18</v>
      </c>
      <c r="Y153" s="11">
        <v>19</v>
      </c>
      <c r="Z153" s="11">
        <v>20</v>
      </c>
      <c r="AA153" s="11">
        <v>23</v>
      </c>
      <c r="AB153" s="11">
        <v>24</v>
      </c>
      <c r="AC153" s="11">
        <v>25</v>
      </c>
      <c r="AD153" s="11">
        <v>26</v>
      </c>
      <c r="AE153" s="11">
        <v>27</v>
      </c>
      <c r="AF153" s="11">
        <v>28</v>
      </c>
      <c r="AG153" s="11">
        <v>29</v>
      </c>
      <c r="AH153" s="11">
        <v>30</v>
      </c>
      <c r="AI153" s="11">
        <v>39</v>
      </c>
      <c r="AJ153" s="11">
        <v>40</v>
      </c>
      <c r="AK153" s="11">
        <v>41</v>
      </c>
      <c r="AL153" s="11">
        <v>42</v>
      </c>
      <c r="AM153" s="11">
        <v>43</v>
      </c>
      <c r="AN153" s="11">
        <v>44</v>
      </c>
      <c r="AO153" s="11">
        <v>50</v>
      </c>
      <c r="AP153" s="11">
        <v>51</v>
      </c>
      <c r="AQ153" s="11">
        <v>52</v>
      </c>
      <c r="AR153" s="11">
        <v>53</v>
      </c>
      <c r="AS153" s="11">
        <v>54</v>
      </c>
      <c r="AT153" s="11">
        <v>55</v>
      </c>
      <c r="AU153" s="11">
        <v>56</v>
      </c>
      <c r="AV153" s="11">
        <v>57</v>
      </c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</row>
    <row r="154" spans="1:159" x14ac:dyDescent="0.25">
      <c r="A154" s="7" t="str">
        <f t="shared" si="4"/>
        <v>U133664U133664</v>
      </c>
      <c r="B154" s="9" t="s">
        <v>249</v>
      </c>
      <c r="C154" s="9" t="s">
        <v>52</v>
      </c>
      <c r="D154" s="9">
        <v>864</v>
      </c>
      <c r="E154" s="9" t="s">
        <v>436</v>
      </c>
      <c r="F154" s="9" t="s">
        <v>437</v>
      </c>
      <c r="G154" s="9" t="s">
        <v>438</v>
      </c>
      <c r="H154" s="17">
        <v>46232</v>
      </c>
      <c r="I154" s="17">
        <v>46239</v>
      </c>
      <c r="J154" s="17">
        <v>46239</v>
      </c>
      <c r="K154" s="10">
        <v>84</v>
      </c>
      <c r="L154" s="10">
        <f t="shared" si="5"/>
        <v>7</v>
      </c>
      <c r="M154" s="11">
        <v>11</v>
      </c>
      <c r="N154" s="11">
        <v>16</v>
      </c>
      <c r="O154" s="11">
        <v>17</v>
      </c>
      <c r="P154" s="11">
        <v>28</v>
      </c>
      <c r="Q154" s="11">
        <v>34</v>
      </c>
      <c r="R154" s="11">
        <v>45</v>
      </c>
      <c r="S154" s="11">
        <v>58</v>
      </c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</row>
    <row r="155" spans="1:159" x14ac:dyDescent="0.25">
      <c r="A155" s="7" t="str">
        <f t="shared" si="4"/>
        <v>U133665U133665</v>
      </c>
      <c r="B155" s="9" t="s">
        <v>201</v>
      </c>
      <c r="C155" s="9" t="s">
        <v>49</v>
      </c>
      <c r="D155" s="9">
        <v>720</v>
      </c>
      <c r="E155" s="9" t="s">
        <v>436</v>
      </c>
      <c r="F155" s="9" t="s">
        <v>437</v>
      </c>
      <c r="G155" s="9" t="s">
        <v>438</v>
      </c>
      <c r="H155" s="17">
        <v>46227</v>
      </c>
      <c r="I155" s="17">
        <v>46231</v>
      </c>
      <c r="J155" s="17">
        <v>46231</v>
      </c>
      <c r="K155" s="10">
        <v>228</v>
      </c>
      <c r="L155" s="10">
        <f t="shared" si="5"/>
        <v>19</v>
      </c>
      <c r="M155" s="11">
        <v>7</v>
      </c>
      <c r="N155" s="11">
        <v>13</v>
      </c>
      <c r="O155" s="11">
        <v>14</v>
      </c>
      <c r="P155" s="11">
        <v>15</v>
      </c>
      <c r="Q155" s="11">
        <v>16</v>
      </c>
      <c r="R155" s="11">
        <v>21</v>
      </c>
      <c r="S155" s="11">
        <v>23</v>
      </c>
      <c r="T155" s="11">
        <v>29</v>
      </c>
      <c r="U155" s="11">
        <v>36</v>
      </c>
      <c r="V155" s="11">
        <v>37</v>
      </c>
      <c r="W155" s="11">
        <v>38</v>
      </c>
      <c r="X155" s="11">
        <v>39</v>
      </c>
      <c r="Y155" s="11">
        <v>47</v>
      </c>
      <c r="Z155" s="11">
        <v>48</v>
      </c>
      <c r="AA155" s="11">
        <v>49</v>
      </c>
      <c r="AB155" s="11">
        <v>50</v>
      </c>
      <c r="AC155" s="11">
        <v>52</v>
      </c>
      <c r="AD155" s="11">
        <v>58</v>
      </c>
      <c r="AE155" s="11">
        <v>59</v>
      </c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</row>
    <row r="156" spans="1:159" x14ac:dyDescent="0.25">
      <c r="A156" s="7" t="str">
        <f t="shared" si="4"/>
        <v>U133668U133668</v>
      </c>
      <c r="B156" s="9" t="s">
        <v>216</v>
      </c>
      <c r="C156" s="9" t="s">
        <v>52</v>
      </c>
      <c r="D156" s="9">
        <v>540</v>
      </c>
      <c r="E156" s="9" t="s">
        <v>436</v>
      </c>
      <c r="F156" s="9" t="s">
        <v>441</v>
      </c>
      <c r="G156" s="9" t="s">
        <v>438</v>
      </c>
      <c r="H156" s="17">
        <v>46230</v>
      </c>
      <c r="I156" s="17">
        <v>46232</v>
      </c>
      <c r="J156" s="17">
        <v>46232</v>
      </c>
      <c r="K156" s="10">
        <v>84</v>
      </c>
      <c r="L156" s="10">
        <f t="shared" si="5"/>
        <v>14</v>
      </c>
      <c r="M156" s="11">
        <v>7</v>
      </c>
      <c r="N156" s="11">
        <v>8</v>
      </c>
      <c r="O156" s="11">
        <v>9</v>
      </c>
      <c r="P156" s="11">
        <v>10</v>
      </c>
      <c r="Q156" s="11">
        <v>11</v>
      </c>
      <c r="R156" s="11">
        <v>12</v>
      </c>
      <c r="S156" s="11">
        <v>13</v>
      </c>
      <c r="T156" s="11">
        <v>14</v>
      </c>
      <c r="U156" s="11">
        <v>15</v>
      </c>
      <c r="V156" s="11">
        <v>16</v>
      </c>
      <c r="W156" s="11">
        <v>17</v>
      </c>
      <c r="X156" s="11">
        <v>19</v>
      </c>
      <c r="Y156" s="11">
        <v>20</v>
      </c>
      <c r="Z156" s="11">
        <v>24</v>
      </c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</row>
    <row r="157" spans="1:159" x14ac:dyDescent="0.25">
      <c r="A157" s="7" t="str">
        <f t="shared" si="4"/>
        <v>U133669U133669</v>
      </c>
      <c r="B157" s="9" t="s">
        <v>275</v>
      </c>
      <c r="C157" s="9" t="s">
        <v>15</v>
      </c>
      <c r="D157" s="9">
        <v>2016</v>
      </c>
      <c r="E157" s="9" t="s">
        <v>436</v>
      </c>
      <c r="F157" s="9" t="s">
        <v>447</v>
      </c>
      <c r="G157" s="9" t="s">
        <v>438</v>
      </c>
      <c r="H157" s="17">
        <v>46234</v>
      </c>
      <c r="I157" s="17"/>
      <c r="J157" s="17"/>
      <c r="K157" s="10">
        <v>972</v>
      </c>
      <c r="L157" s="10">
        <f t="shared" si="5"/>
        <v>81</v>
      </c>
      <c r="M157" s="11">
        <v>1</v>
      </c>
      <c r="N157" s="11">
        <v>2</v>
      </c>
      <c r="O157" s="11">
        <v>3</v>
      </c>
      <c r="P157" s="11">
        <v>4</v>
      </c>
      <c r="Q157" s="11">
        <v>10</v>
      </c>
      <c r="R157" s="11">
        <v>11</v>
      </c>
      <c r="S157" s="11">
        <v>12</v>
      </c>
      <c r="T157" s="11">
        <v>13</v>
      </c>
      <c r="U157" s="11">
        <v>14</v>
      </c>
      <c r="V157" s="11">
        <v>15</v>
      </c>
      <c r="W157" s="11">
        <v>16</v>
      </c>
      <c r="X157" s="11">
        <v>17</v>
      </c>
      <c r="Y157" s="11">
        <v>18</v>
      </c>
      <c r="Z157" s="11">
        <v>19</v>
      </c>
      <c r="AA157" s="11">
        <v>21</v>
      </c>
      <c r="AB157" s="11">
        <v>22</v>
      </c>
      <c r="AC157" s="11">
        <v>24</v>
      </c>
      <c r="AD157" s="11">
        <v>29</v>
      </c>
      <c r="AE157" s="11">
        <v>30</v>
      </c>
      <c r="AF157" s="11">
        <v>31</v>
      </c>
      <c r="AG157" s="11">
        <v>32</v>
      </c>
      <c r="AH157" s="11">
        <v>33</v>
      </c>
      <c r="AI157" s="11">
        <v>34</v>
      </c>
      <c r="AJ157" s="11">
        <v>35</v>
      </c>
      <c r="AK157" s="11">
        <v>36</v>
      </c>
      <c r="AL157" s="11">
        <v>37</v>
      </c>
      <c r="AM157" s="11">
        <v>38</v>
      </c>
      <c r="AN157" s="11">
        <v>39</v>
      </c>
      <c r="AO157" s="11">
        <v>40</v>
      </c>
      <c r="AP157" s="11">
        <v>42</v>
      </c>
      <c r="AQ157" s="11">
        <v>50</v>
      </c>
      <c r="AR157" s="11">
        <v>51</v>
      </c>
      <c r="AS157" s="11">
        <v>52</v>
      </c>
      <c r="AT157" s="11">
        <v>53</v>
      </c>
      <c r="AU157" s="11">
        <v>54</v>
      </c>
      <c r="AV157" s="11">
        <v>55</v>
      </c>
      <c r="AW157" s="11">
        <v>56</v>
      </c>
      <c r="AX157" s="11">
        <v>57</v>
      </c>
      <c r="AY157" s="11">
        <v>58</v>
      </c>
      <c r="AZ157" s="11">
        <v>59</v>
      </c>
      <c r="BA157" s="11">
        <v>60</v>
      </c>
      <c r="BB157" s="11">
        <v>61</v>
      </c>
      <c r="BC157" s="11">
        <v>62</v>
      </c>
      <c r="BD157" s="11">
        <v>63</v>
      </c>
      <c r="BE157" s="11">
        <v>64</v>
      </c>
      <c r="BF157" s="11">
        <v>65</v>
      </c>
      <c r="BG157" s="11">
        <v>66</v>
      </c>
      <c r="BH157" s="11">
        <v>69</v>
      </c>
      <c r="BI157" s="11">
        <v>73</v>
      </c>
      <c r="BJ157" s="11">
        <v>91</v>
      </c>
      <c r="BK157" s="11">
        <v>92</v>
      </c>
      <c r="BL157" s="11">
        <v>93</v>
      </c>
      <c r="BM157" s="11">
        <v>94</v>
      </c>
      <c r="BN157" s="11">
        <v>95</v>
      </c>
      <c r="BO157" s="11">
        <v>96</v>
      </c>
      <c r="BP157" s="11">
        <v>97</v>
      </c>
      <c r="BQ157" s="11">
        <v>98</v>
      </c>
      <c r="BR157" s="11">
        <v>99</v>
      </c>
      <c r="BS157" s="11">
        <v>100</v>
      </c>
      <c r="BT157" s="11">
        <v>101</v>
      </c>
      <c r="BU157" s="11">
        <v>102</v>
      </c>
      <c r="BV157" s="11">
        <v>103</v>
      </c>
      <c r="BW157" s="11">
        <v>104</v>
      </c>
      <c r="BX157" s="11">
        <v>105</v>
      </c>
      <c r="BY157" s="11">
        <v>106</v>
      </c>
      <c r="BZ157" s="11">
        <v>107</v>
      </c>
      <c r="CA157" s="11">
        <v>108</v>
      </c>
      <c r="CB157" s="11">
        <v>109</v>
      </c>
      <c r="CC157" s="11">
        <v>110</v>
      </c>
      <c r="CD157" s="11">
        <v>111</v>
      </c>
      <c r="CE157" s="11">
        <v>136</v>
      </c>
      <c r="CF157" s="11">
        <v>138</v>
      </c>
      <c r="CG157" s="11">
        <v>139</v>
      </c>
      <c r="CH157" s="11">
        <v>140</v>
      </c>
      <c r="CI157" s="11">
        <v>141</v>
      </c>
      <c r="CJ157" s="11">
        <v>142</v>
      </c>
      <c r="CK157" s="11">
        <v>143</v>
      </c>
      <c r="CL157" s="11">
        <v>144</v>
      </c>
      <c r="CM157" s="11">
        <v>145</v>
      </c>
      <c r="CN157" s="11">
        <v>146</v>
      </c>
      <c r="CO157" s="11">
        <v>148</v>
      </c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</row>
    <row r="158" spans="1:159" x14ac:dyDescent="0.25">
      <c r="A158" s="7" t="str">
        <f t="shared" si="4"/>
        <v>U133671U133671</v>
      </c>
      <c r="B158" s="9" t="s">
        <v>163</v>
      </c>
      <c r="C158" s="9" t="s">
        <v>49</v>
      </c>
      <c r="D158" s="9">
        <v>834</v>
      </c>
      <c r="E158" s="9" t="s">
        <v>436</v>
      </c>
      <c r="F158" s="9" t="s">
        <v>447</v>
      </c>
      <c r="G158" s="9" t="s">
        <v>438</v>
      </c>
      <c r="H158" s="17">
        <v>46224</v>
      </c>
      <c r="I158" s="17">
        <v>46231</v>
      </c>
      <c r="J158" s="17">
        <v>46231</v>
      </c>
      <c r="K158" s="10">
        <v>60</v>
      </c>
      <c r="L158" s="10">
        <f t="shared" si="5"/>
        <v>10</v>
      </c>
      <c r="M158" s="11">
        <v>1</v>
      </c>
      <c r="N158" s="11">
        <v>2</v>
      </c>
      <c r="O158" s="11">
        <v>3</v>
      </c>
      <c r="P158" s="11">
        <v>4</v>
      </c>
      <c r="Q158" s="11">
        <v>5</v>
      </c>
      <c r="R158" s="11">
        <v>6</v>
      </c>
      <c r="S158" s="11">
        <v>7</v>
      </c>
      <c r="T158" s="11">
        <v>8</v>
      </c>
      <c r="U158" s="11">
        <v>9</v>
      </c>
      <c r="V158" s="11">
        <v>11</v>
      </c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</row>
    <row r="159" spans="1:159" x14ac:dyDescent="0.25">
      <c r="A159" s="7" t="str">
        <f t="shared" si="4"/>
        <v>U133672U133672</v>
      </c>
      <c r="B159" s="9" t="s">
        <v>222</v>
      </c>
      <c r="C159" s="9" t="s">
        <v>49</v>
      </c>
      <c r="D159" s="9">
        <v>768</v>
      </c>
      <c r="E159" s="9" t="s">
        <v>436</v>
      </c>
      <c r="F159" s="9" t="s">
        <v>447</v>
      </c>
      <c r="G159" s="9" t="s">
        <v>438</v>
      </c>
      <c r="H159" s="17">
        <v>46231</v>
      </c>
      <c r="I159" s="17">
        <v>46233</v>
      </c>
      <c r="J159" s="17">
        <v>46233</v>
      </c>
      <c r="K159" s="10">
        <v>276</v>
      </c>
      <c r="L159" s="10">
        <f t="shared" si="5"/>
        <v>23</v>
      </c>
      <c r="M159" s="11">
        <v>7</v>
      </c>
      <c r="N159" s="11">
        <v>11</v>
      </c>
      <c r="O159" s="11">
        <v>12</v>
      </c>
      <c r="P159" s="11">
        <v>13</v>
      </c>
      <c r="Q159" s="11">
        <v>21</v>
      </c>
      <c r="R159" s="11">
        <v>22</v>
      </c>
      <c r="S159" s="11">
        <v>23</v>
      </c>
      <c r="T159" s="11">
        <v>24</v>
      </c>
      <c r="U159" s="11">
        <v>25</v>
      </c>
      <c r="V159" s="11">
        <v>34</v>
      </c>
      <c r="W159" s="11">
        <v>35</v>
      </c>
      <c r="X159" s="11">
        <v>36</v>
      </c>
      <c r="Y159" s="11">
        <v>37</v>
      </c>
      <c r="Z159" s="11">
        <v>38</v>
      </c>
      <c r="AA159" s="11">
        <v>44</v>
      </c>
      <c r="AB159" s="11">
        <v>45</v>
      </c>
      <c r="AC159" s="11">
        <v>50</v>
      </c>
      <c r="AD159" s="11">
        <v>51</v>
      </c>
      <c r="AE159" s="11">
        <v>52</v>
      </c>
      <c r="AF159" s="11">
        <v>56</v>
      </c>
      <c r="AG159" s="11">
        <v>57</v>
      </c>
      <c r="AH159" s="11">
        <v>59</v>
      </c>
      <c r="AI159" s="11">
        <v>60</v>
      </c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</row>
    <row r="160" spans="1:159" x14ac:dyDescent="0.25">
      <c r="A160" s="7" t="str">
        <f t="shared" si="4"/>
        <v>U133673U133673</v>
      </c>
      <c r="B160" s="9" t="s">
        <v>227</v>
      </c>
      <c r="C160" s="9" t="s">
        <v>15</v>
      </c>
      <c r="D160" s="9">
        <v>924</v>
      </c>
      <c r="E160" s="9" t="s">
        <v>436</v>
      </c>
      <c r="F160" s="9" t="s">
        <v>447</v>
      </c>
      <c r="G160" s="9" t="s">
        <v>438</v>
      </c>
      <c r="H160" s="17">
        <v>46231</v>
      </c>
      <c r="I160" s="17">
        <v>46239</v>
      </c>
      <c r="J160" s="17">
        <v>46239</v>
      </c>
      <c r="K160" s="10">
        <v>360</v>
      </c>
      <c r="L160" s="10">
        <f t="shared" si="5"/>
        <v>60</v>
      </c>
      <c r="M160" s="11">
        <v>1</v>
      </c>
      <c r="N160" s="11">
        <v>2</v>
      </c>
      <c r="O160" s="11">
        <v>3</v>
      </c>
      <c r="P160" s="11">
        <v>4</v>
      </c>
      <c r="Q160" s="11">
        <v>5</v>
      </c>
      <c r="R160" s="11">
        <v>6</v>
      </c>
      <c r="S160" s="11">
        <v>7</v>
      </c>
      <c r="T160" s="11">
        <v>8</v>
      </c>
      <c r="U160" s="11">
        <v>9</v>
      </c>
      <c r="V160" s="11">
        <v>10</v>
      </c>
      <c r="W160" s="11">
        <v>11</v>
      </c>
      <c r="X160" s="11">
        <v>12</v>
      </c>
      <c r="Y160" s="11">
        <v>13</v>
      </c>
      <c r="Z160" s="11">
        <v>14</v>
      </c>
      <c r="AA160" s="11">
        <v>15</v>
      </c>
      <c r="AB160" s="11">
        <v>16</v>
      </c>
      <c r="AC160" s="11">
        <v>17</v>
      </c>
      <c r="AD160" s="11">
        <v>18</v>
      </c>
      <c r="AE160" s="11">
        <v>19</v>
      </c>
      <c r="AF160" s="11">
        <v>20</v>
      </c>
      <c r="AG160" s="11">
        <v>21</v>
      </c>
      <c r="AH160" s="11">
        <v>22</v>
      </c>
      <c r="AI160" s="11">
        <v>23</v>
      </c>
      <c r="AJ160" s="11">
        <v>24</v>
      </c>
      <c r="AK160" s="11">
        <v>25</v>
      </c>
      <c r="AL160" s="11">
        <v>26</v>
      </c>
      <c r="AM160" s="11">
        <v>27</v>
      </c>
      <c r="AN160" s="11">
        <v>28</v>
      </c>
      <c r="AO160" s="11">
        <v>31</v>
      </c>
      <c r="AP160" s="11">
        <v>32</v>
      </c>
      <c r="AQ160" s="11">
        <v>33</v>
      </c>
      <c r="AR160" s="11">
        <v>34</v>
      </c>
      <c r="AS160" s="11">
        <v>35</v>
      </c>
      <c r="AT160" s="11">
        <v>36</v>
      </c>
      <c r="AU160" s="11">
        <v>37</v>
      </c>
      <c r="AV160" s="11">
        <v>40</v>
      </c>
      <c r="AW160" s="11">
        <v>44</v>
      </c>
      <c r="AX160" s="11">
        <v>45</v>
      </c>
      <c r="AY160" s="11">
        <v>48</v>
      </c>
      <c r="AZ160" s="11">
        <v>52</v>
      </c>
      <c r="BA160" s="11">
        <v>53</v>
      </c>
      <c r="BB160" s="11">
        <v>54</v>
      </c>
      <c r="BC160" s="11">
        <v>55</v>
      </c>
      <c r="BD160" s="11">
        <v>58</v>
      </c>
      <c r="BE160" s="11">
        <v>59</v>
      </c>
      <c r="BF160" s="11">
        <v>60</v>
      </c>
      <c r="BG160" s="11">
        <v>61</v>
      </c>
      <c r="BH160" s="11">
        <v>62</v>
      </c>
      <c r="BI160" s="11">
        <v>63</v>
      </c>
      <c r="BJ160" s="11">
        <v>64</v>
      </c>
      <c r="BK160" s="11">
        <v>65</v>
      </c>
      <c r="BL160" s="11">
        <v>66</v>
      </c>
      <c r="BM160" s="11">
        <v>67</v>
      </c>
      <c r="BN160" s="11">
        <v>68</v>
      </c>
      <c r="BO160" s="11">
        <v>69</v>
      </c>
      <c r="BP160" s="11">
        <v>70</v>
      </c>
      <c r="BQ160" s="11">
        <v>71</v>
      </c>
      <c r="BR160" s="11">
        <v>72</v>
      </c>
      <c r="BS160" s="11">
        <v>73</v>
      </c>
      <c r="BT160" s="11">
        <v>83</v>
      </c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</row>
    <row r="161" spans="1:159" x14ac:dyDescent="0.25">
      <c r="A161" s="7" t="str">
        <f t="shared" si="4"/>
        <v>U133674U133674</v>
      </c>
      <c r="B161" s="9" t="s">
        <v>332</v>
      </c>
      <c r="C161" s="9" t="s">
        <v>15</v>
      </c>
      <c r="D161" s="9">
        <v>522</v>
      </c>
      <c r="E161" s="9" t="s">
        <v>436</v>
      </c>
      <c r="F161" s="9" t="s">
        <v>441</v>
      </c>
      <c r="G161" s="9" t="s">
        <v>438</v>
      </c>
      <c r="H161" s="17">
        <v>46238</v>
      </c>
      <c r="I161" s="17"/>
      <c r="J161" s="17"/>
      <c r="K161" s="10">
        <v>240</v>
      </c>
      <c r="L161" s="10">
        <f t="shared" si="5"/>
        <v>20</v>
      </c>
      <c r="M161" s="11">
        <v>4</v>
      </c>
      <c r="N161" s="11">
        <v>6</v>
      </c>
      <c r="O161" s="11">
        <v>7</v>
      </c>
      <c r="P161" s="11">
        <v>8</v>
      </c>
      <c r="Q161" s="11">
        <v>9</v>
      </c>
      <c r="R161" s="11">
        <v>10</v>
      </c>
      <c r="S161" s="11">
        <v>11</v>
      </c>
      <c r="T161" s="11">
        <v>12</v>
      </c>
      <c r="U161" s="11">
        <v>14</v>
      </c>
      <c r="V161" s="11">
        <v>15</v>
      </c>
      <c r="W161" s="11">
        <v>16</v>
      </c>
      <c r="X161" s="11">
        <v>17</v>
      </c>
      <c r="Y161" s="11">
        <v>18</v>
      </c>
      <c r="Z161" s="11">
        <v>25</v>
      </c>
      <c r="AA161" s="11">
        <v>26</v>
      </c>
      <c r="AB161" s="11">
        <v>27</v>
      </c>
      <c r="AC161" s="11">
        <v>28</v>
      </c>
      <c r="AD161" s="11">
        <v>29</v>
      </c>
      <c r="AE161" s="11">
        <v>30</v>
      </c>
      <c r="AF161" s="11">
        <v>36</v>
      </c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</row>
    <row r="162" spans="1:159" x14ac:dyDescent="0.25">
      <c r="A162" s="7" t="str">
        <f t="shared" si="4"/>
        <v>U133675U133675</v>
      </c>
      <c r="B162" s="9" t="s">
        <v>255</v>
      </c>
      <c r="C162" s="9" t="s">
        <v>15</v>
      </c>
      <c r="D162" s="9">
        <v>540</v>
      </c>
      <c r="E162" s="9" t="s">
        <v>436</v>
      </c>
      <c r="F162" s="9" t="s">
        <v>441</v>
      </c>
      <c r="G162" s="9" t="s">
        <v>438</v>
      </c>
      <c r="H162" s="17">
        <v>46233</v>
      </c>
      <c r="I162" s="17"/>
      <c r="J162" s="17"/>
      <c r="K162" s="10">
        <v>360</v>
      </c>
      <c r="L162" s="10">
        <f t="shared" si="5"/>
        <v>60</v>
      </c>
      <c r="M162" s="11">
        <v>1</v>
      </c>
      <c r="N162" s="11">
        <v>2</v>
      </c>
      <c r="O162" s="11">
        <v>3</v>
      </c>
      <c r="P162" s="11">
        <v>4</v>
      </c>
      <c r="Q162" s="11">
        <v>5</v>
      </c>
      <c r="R162" s="11">
        <v>6</v>
      </c>
      <c r="S162" s="11">
        <v>7</v>
      </c>
      <c r="T162" s="11">
        <v>8</v>
      </c>
      <c r="U162" s="11">
        <v>9</v>
      </c>
      <c r="V162" s="11">
        <v>10</v>
      </c>
      <c r="W162" s="11">
        <v>11</v>
      </c>
      <c r="X162" s="11">
        <v>12</v>
      </c>
      <c r="Y162" s="11">
        <v>13</v>
      </c>
      <c r="Z162" s="11">
        <v>14</v>
      </c>
      <c r="AA162" s="11">
        <v>15</v>
      </c>
      <c r="AB162" s="11">
        <v>16</v>
      </c>
      <c r="AC162" s="11">
        <v>17</v>
      </c>
      <c r="AD162" s="11">
        <v>18</v>
      </c>
      <c r="AE162" s="11">
        <v>19</v>
      </c>
      <c r="AF162" s="11">
        <v>20</v>
      </c>
      <c r="AG162" s="11">
        <v>21</v>
      </c>
      <c r="AH162" s="11">
        <v>22</v>
      </c>
      <c r="AI162" s="11">
        <v>23</v>
      </c>
      <c r="AJ162" s="11">
        <v>24</v>
      </c>
      <c r="AK162" s="11">
        <v>25</v>
      </c>
      <c r="AL162" s="11">
        <v>26</v>
      </c>
      <c r="AM162" s="11">
        <v>27</v>
      </c>
      <c r="AN162" s="11">
        <v>28</v>
      </c>
      <c r="AO162" s="11">
        <v>29</v>
      </c>
      <c r="AP162" s="11">
        <v>30</v>
      </c>
      <c r="AQ162" s="11">
        <v>31</v>
      </c>
      <c r="AR162" s="11">
        <v>32</v>
      </c>
      <c r="AS162" s="11">
        <v>33</v>
      </c>
      <c r="AT162" s="11">
        <v>34</v>
      </c>
      <c r="AU162" s="11">
        <v>35</v>
      </c>
      <c r="AV162" s="11">
        <v>36</v>
      </c>
      <c r="AW162" s="11">
        <v>37</v>
      </c>
      <c r="AX162" s="11">
        <v>38</v>
      </c>
      <c r="AY162" s="11">
        <v>39</v>
      </c>
      <c r="AZ162" s="11">
        <v>40</v>
      </c>
      <c r="BA162" s="11">
        <v>41</v>
      </c>
      <c r="BB162" s="11">
        <v>42</v>
      </c>
      <c r="BC162" s="11">
        <v>46</v>
      </c>
      <c r="BD162" s="11">
        <v>47</v>
      </c>
      <c r="BE162" s="11">
        <v>48</v>
      </c>
      <c r="BF162" s="11">
        <v>52</v>
      </c>
      <c r="BG162" s="11">
        <v>53</v>
      </c>
      <c r="BH162" s="11">
        <v>54</v>
      </c>
      <c r="BI162" s="11">
        <v>55</v>
      </c>
      <c r="BJ162" s="11">
        <v>56</v>
      </c>
      <c r="BK162" s="11">
        <v>57</v>
      </c>
      <c r="BL162" s="11">
        <v>58</v>
      </c>
      <c r="BM162" s="11">
        <v>59</v>
      </c>
      <c r="BN162" s="11">
        <v>60</v>
      </c>
      <c r="BO162" s="11">
        <v>61</v>
      </c>
      <c r="BP162" s="11">
        <v>64</v>
      </c>
      <c r="BQ162" s="11">
        <v>65</v>
      </c>
      <c r="BR162" s="11">
        <v>66</v>
      </c>
      <c r="BS162" s="11">
        <v>73</v>
      </c>
      <c r="BT162" s="11">
        <v>83</v>
      </c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</row>
    <row r="163" spans="1:159" x14ac:dyDescent="0.25">
      <c r="A163" s="7" t="str">
        <f t="shared" si="4"/>
        <v>U133676U133676</v>
      </c>
      <c r="B163" s="9" t="s">
        <v>264</v>
      </c>
      <c r="C163" s="9" t="s">
        <v>52</v>
      </c>
      <c r="D163" s="9">
        <v>1140</v>
      </c>
      <c r="E163" s="9" t="s">
        <v>436</v>
      </c>
      <c r="F163" s="9" t="s">
        <v>447</v>
      </c>
      <c r="G163" s="9" t="s">
        <v>438</v>
      </c>
      <c r="H163" s="17">
        <v>46233</v>
      </c>
      <c r="I163" s="17"/>
      <c r="J163" s="17"/>
      <c r="K163" s="10">
        <v>216</v>
      </c>
      <c r="L163" s="10">
        <f t="shared" si="5"/>
        <v>18</v>
      </c>
      <c r="M163" s="11">
        <v>5</v>
      </c>
      <c r="N163" s="11">
        <v>14</v>
      </c>
      <c r="O163" s="11">
        <v>17</v>
      </c>
      <c r="P163" s="11">
        <v>19</v>
      </c>
      <c r="Q163" s="11">
        <v>20</v>
      </c>
      <c r="R163" s="11">
        <v>33</v>
      </c>
      <c r="S163" s="11">
        <v>43</v>
      </c>
      <c r="T163" s="11">
        <v>52</v>
      </c>
      <c r="U163" s="11">
        <v>53</v>
      </c>
      <c r="V163" s="11">
        <v>54</v>
      </c>
      <c r="W163" s="11">
        <v>68</v>
      </c>
      <c r="X163" s="11">
        <v>70</v>
      </c>
      <c r="Y163" s="11">
        <v>71</v>
      </c>
      <c r="Z163" s="11">
        <v>76</v>
      </c>
      <c r="AA163" s="11">
        <v>78</v>
      </c>
      <c r="AB163" s="11">
        <v>79</v>
      </c>
      <c r="AC163" s="11">
        <v>80</v>
      </c>
      <c r="AD163" s="11">
        <v>83</v>
      </c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</row>
    <row r="164" spans="1:159" x14ac:dyDescent="0.25">
      <c r="A164" s="7" t="str">
        <f t="shared" si="4"/>
        <v>U133677U133677</v>
      </c>
      <c r="B164" s="9" t="s">
        <v>252</v>
      </c>
      <c r="C164" s="9" t="s">
        <v>53</v>
      </c>
      <c r="D164" s="9">
        <v>1200</v>
      </c>
      <c r="E164" s="9" t="s">
        <v>436</v>
      </c>
      <c r="F164" s="9" t="s">
        <v>447</v>
      </c>
      <c r="G164" s="9" t="s">
        <v>438</v>
      </c>
      <c r="H164" s="17">
        <v>46233</v>
      </c>
      <c r="I164" s="17"/>
      <c r="J164" s="17"/>
      <c r="K164" s="10">
        <v>576</v>
      </c>
      <c r="L164" s="10">
        <f t="shared" si="5"/>
        <v>48</v>
      </c>
      <c r="M164" s="11">
        <v>1</v>
      </c>
      <c r="N164" s="11">
        <v>2</v>
      </c>
      <c r="O164" s="11">
        <v>5</v>
      </c>
      <c r="P164" s="11">
        <v>6</v>
      </c>
      <c r="Q164" s="11">
        <v>7</v>
      </c>
      <c r="R164" s="11">
        <v>8</v>
      </c>
      <c r="S164" s="11">
        <v>9</v>
      </c>
      <c r="T164" s="11">
        <v>10</v>
      </c>
      <c r="U164" s="11">
        <v>11</v>
      </c>
      <c r="V164" s="11">
        <v>13</v>
      </c>
      <c r="W164" s="11">
        <v>17</v>
      </c>
      <c r="X164" s="11">
        <v>18</v>
      </c>
      <c r="Y164" s="11">
        <v>28</v>
      </c>
      <c r="Z164" s="11">
        <v>29</v>
      </c>
      <c r="AA164" s="11">
        <v>30</v>
      </c>
      <c r="AB164" s="11">
        <v>31</v>
      </c>
      <c r="AC164" s="11">
        <v>32</v>
      </c>
      <c r="AD164" s="11">
        <v>41</v>
      </c>
      <c r="AE164" s="11">
        <v>43</v>
      </c>
      <c r="AF164" s="11">
        <v>44</v>
      </c>
      <c r="AG164" s="11">
        <v>45</v>
      </c>
      <c r="AH164" s="11">
        <v>46</v>
      </c>
      <c r="AI164" s="11">
        <v>54</v>
      </c>
      <c r="AJ164" s="11">
        <v>57</v>
      </c>
      <c r="AK164" s="11">
        <v>58</v>
      </c>
      <c r="AL164" s="11">
        <v>59</v>
      </c>
      <c r="AM164" s="11">
        <v>60</v>
      </c>
      <c r="AN164" s="11">
        <v>62</v>
      </c>
      <c r="AO164" s="11">
        <v>63</v>
      </c>
      <c r="AP164" s="11">
        <v>71</v>
      </c>
      <c r="AQ164" s="11">
        <v>72</v>
      </c>
      <c r="AR164" s="11">
        <v>73</v>
      </c>
      <c r="AS164" s="11">
        <v>74</v>
      </c>
      <c r="AT164" s="11">
        <v>75</v>
      </c>
      <c r="AU164" s="11">
        <v>77</v>
      </c>
      <c r="AV164" s="11">
        <v>78</v>
      </c>
      <c r="AW164" s="11">
        <v>82</v>
      </c>
      <c r="AX164" s="11">
        <v>83</v>
      </c>
      <c r="AY164" s="11">
        <v>84</v>
      </c>
      <c r="AZ164" s="11">
        <v>85</v>
      </c>
      <c r="BA164" s="11">
        <v>86</v>
      </c>
      <c r="BB164" s="11">
        <v>87</v>
      </c>
      <c r="BC164" s="11">
        <v>88</v>
      </c>
      <c r="BD164" s="11">
        <v>89</v>
      </c>
      <c r="BE164" s="11">
        <v>90</v>
      </c>
      <c r="BF164" s="11">
        <v>91</v>
      </c>
      <c r="BG164" s="11">
        <v>92</v>
      </c>
      <c r="BH164" s="11">
        <v>93</v>
      </c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</row>
    <row r="165" spans="1:159" x14ac:dyDescent="0.25">
      <c r="A165" s="7" t="str">
        <f t="shared" si="4"/>
        <v>U133678U133678</v>
      </c>
      <c r="B165" s="9" t="s">
        <v>230</v>
      </c>
      <c r="C165" s="9" t="s">
        <v>52</v>
      </c>
      <c r="D165" s="9">
        <v>822</v>
      </c>
      <c r="E165" s="9" t="s">
        <v>436</v>
      </c>
      <c r="F165" s="9" t="s">
        <v>447</v>
      </c>
      <c r="G165" s="9" t="s">
        <v>438</v>
      </c>
      <c r="H165" s="17">
        <v>46232</v>
      </c>
      <c r="I165" s="17">
        <v>46233</v>
      </c>
      <c r="J165" s="17">
        <v>46233</v>
      </c>
      <c r="K165" s="10">
        <v>708</v>
      </c>
      <c r="L165" s="10">
        <f t="shared" si="5"/>
        <v>118</v>
      </c>
      <c r="M165" s="11">
        <v>1</v>
      </c>
      <c r="N165" s="11">
        <v>2</v>
      </c>
      <c r="O165" s="11">
        <v>3</v>
      </c>
      <c r="P165" s="11">
        <v>4</v>
      </c>
      <c r="Q165" s="11">
        <v>5</v>
      </c>
      <c r="R165" s="11">
        <v>6</v>
      </c>
      <c r="S165" s="11">
        <v>7</v>
      </c>
      <c r="T165" s="11">
        <v>8</v>
      </c>
      <c r="U165" s="11">
        <v>9</v>
      </c>
      <c r="V165" s="11">
        <v>10</v>
      </c>
      <c r="W165" s="11">
        <v>11</v>
      </c>
      <c r="X165" s="11">
        <v>12</v>
      </c>
      <c r="Y165" s="11">
        <v>13</v>
      </c>
      <c r="Z165" s="11">
        <v>14</v>
      </c>
      <c r="AA165" s="11">
        <v>15</v>
      </c>
      <c r="AB165" s="11">
        <v>16</v>
      </c>
      <c r="AC165" s="11">
        <v>17</v>
      </c>
      <c r="AD165" s="11">
        <v>18</v>
      </c>
      <c r="AE165" s="11">
        <v>19</v>
      </c>
      <c r="AF165" s="11">
        <v>20</v>
      </c>
      <c r="AG165" s="11">
        <v>21</v>
      </c>
      <c r="AH165" s="11">
        <v>22</v>
      </c>
      <c r="AI165" s="11">
        <v>23</v>
      </c>
      <c r="AJ165" s="11">
        <v>24</v>
      </c>
      <c r="AK165" s="11">
        <v>25</v>
      </c>
      <c r="AL165" s="11">
        <v>26</v>
      </c>
      <c r="AM165" s="11">
        <v>27</v>
      </c>
      <c r="AN165" s="11">
        <v>28</v>
      </c>
      <c r="AO165" s="11">
        <v>29</v>
      </c>
      <c r="AP165" s="11">
        <v>30</v>
      </c>
      <c r="AQ165" s="11">
        <v>31</v>
      </c>
      <c r="AR165" s="11">
        <v>32</v>
      </c>
      <c r="AS165" s="11">
        <v>33</v>
      </c>
      <c r="AT165" s="11">
        <v>34</v>
      </c>
      <c r="AU165" s="11">
        <v>35</v>
      </c>
      <c r="AV165" s="11">
        <v>36</v>
      </c>
      <c r="AW165" s="11">
        <v>37</v>
      </c>
      <c r="AX165" s="11">
        <v>38</v>
      </c>
      <c r="AY165" s="11">
        <v>39</v>
      </c>
      <c r="AZ165" s="11">
        <v>40</v>
      </c>
      <c r="BA165" s="11">
        <v>41</v>
      </c>
      <c r="BB165" s="11">
        <v>42</v>
      </c>
      <c r="BC165" s="11">
        <v>43</v>
      </c>
      <c r="BD165" s="11">
        <v>44</v>
      </c>
      <c r="BE165" s="11">
        <v>45</v>
      </c>
      <c r="BF165" s="11">
        <v>46</v>
      </c>
      <c r="BG165" s="11">
        <v>47</v>
      </c>
      <c r="BH165" s="11">
        <v>48</v>
      </c>
      <c r="BI165" s="11">
        <v>49</v>
      </c>
      <c r="BJ165" s="11">
        <v>50</v>
      </c>
      <c r="BK165" s="11">
        <v>51</v>
      </c>
      <c r="BL165" s="11">
        <v>52</v>
      </c>
      <c r="BM165" s="11">
        <v>53</v>
      </c>
      <c r="BN165" s="11">
        <v>54</v>
      </c>
      <c r="BO165" s="11">
        <v>55</v>
      </c>
      <c r="BP165" s="11">
        <v>56</v>
      </c>
      <c r="BQ165" s="11">
        <v>57</v>
      </c>
      <c r="BR165" s="11">
        <v>58</v>
      </c>
      <c r="BS165" s="11">
        <v>59</v>
      </c>
      <c r="BT165" s="11">
        <v>60</v>
      </c>
      <c r="BU165" s="11">
        <v>61</v>
      </c>
      <c r="BV165" s="11">
        <v>62</v>
      </c>
      <c r="BW165" s="11">
        <v>63</v>
      </c>
      <c r="BX165" s="11">
        <v>64</v>
      </c>
      <c r="BY165" s="11">
        <v>65</v>
      </c>
      <c r="BZ165" s="11">
        <v>66</v>
      </c>
      <c r="CA165" s="11">
        <v>67</v>
      </c>
      <c r="CB165" s="11">
        <v>68</v>
      </c>
      <c r="CC165" s="11">
        <v>69</v>
      </c>
      <c r="CD165" s="11">
        <v>70</v>
      </c>
      <c r="CE165" s="11">
        <v>71</v>
      </c>
      <c r="CF165" s="11">
        <v>72</v>
      </c>
      <c r="CG165" s="11">
        <v>73</v>
      </c>
      <c r="CH165" s="11">
        <v>74</v>
      </c>
      <c r="CI165" s="11">
        <v>75</v>
      </c>
      <c r="CJ165" s="11">
        <v>76</v>
      </c>
      <c r="CK165" s="11">
        <v>77</v>
      </c>
      <c r="CL165" s="11">
        <v>78</v>
      </c>
      <c r="CM165" s="11">
        <v>79</v>
      </c>
      <c r="CN165" s="11">
        <v>80</v>
      </c>
      <c r="CO165" s="11">
        <v>81</v>
      </c>
      <c r="CP165" s="11">
        <v>82</v>
      </c>
      <c r="CQ165" s="11">
        <v>83</v>
      </c>
      <c r="CR165" s="11">
        <v>84</v>
      </c>
      <c r="CS165" s="11">
        <v>85</v>
      </c>
      <c r="CT165" s="11">
        <v>86</v>
      </c>
      <c r="CU165" s="11">
        <v>87</v>
      </c>
      <c r="CV165" s="11">
        <v>88</v>
      </c>
      <c r="CW165" s="11">
        <v>89</v>
      </c>
      <c r="CX165" s="11">
        <v>90</v>
      </c>
      <c r="CY165" s="11">
        <v>91</v>
      </c>
      <c r="CZ165" s="11">
        <v>92</v>
      </c>
      <c r="DA165" s="11">
        <v>93</v>
      </c>
      <c r="DB165" s="11">
        <v>94</v>
      </c>
      <c r="DC165" s="11">
        <v>95</v>
      </c>
      <c r="DD165" s="11">
        <v>96</v>
      </c>
      <c r="DE165" s="11">
        <v>97</v>
      </c>
      <c r="DF165" s="11">
        <v>98</v>
      </c>
      <c r="DG165" s="11">
        <v>99</v>
      </c>
      <c r="DH165" s="11">
        <v>100</v>
      </c>
      <c r="DI165" s="11">
        <v>101</v>
      </c>
      <c r="DJ165" s="11">
        <v>102</v>
      </c>
      <c r="DK165" s="11">
        <v>103</v>
      </c>
      <c r="DL165" s="11">
        <v>104</v>
      </c>
      <c r="DM165" s="11">
        <v>105</v>
      </c>
      <c r="DN165" s="11">
        <v>106</v>
      </c>
      <c r="DO165" s="11">
        <v>107</v>
      </c>
      <c r="DP165" s="11">
        <v>108</v>
      </c>
      <c r="DQ165" s="11">
        <v>115</v>
      </c>
      <c r="DR165" s="11">
        <v>116</v>
      </c>
      <c r="DS165" s="11">
        <v>117</v>
      </c>
      <c r="DT165" s="11">
        <v>118</v>
      </c>
      <c r="DU165" s="11">
        <v>119</v>
      </c>
      <c r="DV165" s="11">
        <v>122</v>
      </c>
      <c r="DW165" s="11">
        <v>127</v>
      </c>
      <c r="DX165" s="11">
        <v>128</v>
      </c>
      <c r="DY165" s="11">
        <v>130</v>
      </c>
      <c r="DZ165" s="11">
        <v>131</v>
      </c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</row>
    <row r="166" spans="1:159" x14ac:dyDescent="0.25">
      <c r="A166" s="7" t="str">
        <f t="shared" si="4"/>
        <v>U133680U133680</v>
      </c>
      <c r="B166" s="9" t="s">
        <v>284</v>
      </c>
      <c r="C166" s="9" t="s">
        <v>48</v>
      </c>
      <c r="D166" s="9">
        <v>1002</v>
      </c>
      <c r="E166" s="9" t="s">
        <v>436</v>
      </c>
      <c r="F166" s="9" t="s">
        <v>447</v>
      </c>
      <c r="G166" s="9" t="s">
        <v>438</v>
      </c>
      <c r="H166" s="17">
        <v>46234</v>
      </c>
      <c r="I166" s="17">
        <v>46239</v>
      </c>
      <c r="J166" s="17"/>
      <c r="K166" s="10">
        <v>168</v>
      </c>
      <c r="L166" s="10">
        <f t="shared" si="5"/>
        <v>14</v>
      </c>
      <c r="M166" s="11">
        <v>21</v>
      </c>
      <c r="N166" s="11">
        <v>23</v>
      </c>
      <c r="O166" s="11">
        <v>24</v>
      </c>
      <c r="P166" s="11">
        <v>36</v>
      </c>
      <c r="Q166" s="11">
        <v>37</v>
      </c>
      <c r="R166" s="11">
        <v>38</v>
      </c>
      <c r="S166" s="11">
        <v>39</v>
      </c>
      <c r="T166" s="11">
        <v>52</v>
      </c>
      <c r="U166" s="11">
        <v>53</v>
      </c>
      <c r="V166" s="11">
        <v>54</v>
      </c>
      <c r="W166" s="11">
        <v>56</v>
      </c>
      <c r="X166" s="11">
        <v>65</v>
      </c>
      <c r="Y166" s="11">
        <v>68</v>
      </c>
      <c r="Z166" s="11">
        <v>69</v>
      </c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</row>
    <row r="167" spans="1:159" x14ac:dyDescent="0.25">
      <c r="A167" s="7" t="str">
        <f t="shared" si="4"/>
        <v>U133686U133686</v>
      </c>
      <c r="B167" s="9" t="s">
        <v>202</v>
      </c>
      <c r="C167" s="9" t="s">
        <v>24</v>
      </c>
      <c r="D167" s="9">
        <v>1056</v>
      </c>
      <c r="E167" s="9" t="s">
        <v>436</v>
      </c>
      <c r="F167" s="9" t="s">
        <v>447</v>
      </c>
      <c r="G167" s="9" t="s">
        <v>438</v>
      </c>
      <c r="H167" s="17">
        <v>46227</v>
      </c>
      <c r="I167" s="17"/>
      <c r="J167" s="17"/>
      <c r="K167" s="10">
        <v>384</v>
      </c>
      <c r="L167" s="10">
        <f t="shared" si="5"/>
        <v>32</v>
      </c>
      <c r="M167" s="11">
        <v>1</v>
      </c>
      <c r="N167" s="11">
        <v>6</v>
      </c>
      <c r="O167" s="11">
        <v>7</v>
      </c>
      <c r="P167" s="11">
        <v>8</v>
      </c>
      <c r="Q167" s="11">
        <v>9</v>
      </c>
      <c r="R167" s="11">
        <v>11</v>
      </c>
      <c r="S167" s="11">
        <v>12</v>
      </c>
      <c r="T167" s="11">
        <v>16</v>
      </c>
      <c r="U167" s="11">
        <v>17</v>
      </c>
      <c r="V167" s="11">
        <v>21</v>
      </c>
      <c r="W167" s="11">
        <v>22</v>
      </c>
      <c r="X167" s="11">
        <v>23</v>
      </c>
      <c r="Y167" s="11">
        <v>24</v>
      </c>
      <c r="Z167" s="11">
        <v>25</v>
      </c>
      <c r="AA167" s="11">
        <v>33</v>
      </c>
      <c r="AB167" s="11">
        <v>34</v>
      </c>
      <c r="AC167" s="11">
        <v>35</v>
      </c>
      <c r="AD167" s="11">
        <v>43</v>
      </c>
      <c r="AE167" s="11">
        <v>45</v>
      </c>
      <c r="AF167" s="11">
        <v>46</v>
      </c>
      <c r="AG167" s="11">
        <v>47</v>
      </c>
      <c r="AH167" s="11">
        <v>48</v>
      </c>
      <c r="AI167" s="11">
        <v>52</v>
      </c>
      <c r="AJ167" s="11">
        <v>53</v>
      </c>
      <c r="AK167" s="11">
        <v>58</v>
      </c>
      <c r="AL167" s="11">
        <v>64</v>
      </c>
      <c r="AM167" s="11">
        <v>65</v>
      </c>
      <c r="AN167" s="11">
        <v>73</v>
      </c>
      <c r="AO167" s="11">
        <v>74</v>
      </c>
      <c r="AP167" s="11">
        <v>75</v>
      </c>
      <c r="AQ167" s="11">
        <v>76</v>
      </c>
      <c r="AR167" s="11">
        <v>81</v>
      </c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</row>
    <row r="168" spans="1:159" x14ac:dyDescent="0.25">
      <c r="A168" s="7" t="str">
        <f t="shared" si="4"/>
        <v>U134554U134554</v>
      </c>
      <c r="B168" s="9" t="s">
        <v>108</v>
      </c>
      <c r="C168" s="9" t="s">
        <v>16</v>
      </c>
      <c r="D168" s="9">
        <v>600</v>
      </c>
      <c r="E168" s="9" t="s">
        <v>436</v>
      </c>
      <c r="F168" s="9" t="s">
        <v>448</v>
      </c>
      <c r="G168" s="9" t="s">
        <v>438</v>
      </c>
      <c r="H168" s="17">
        <v>46217</v>
      </c>
      <c r="I168" s="17">
        <v>46224</v>
      </c>
      <c r="J168" s="17">
        <v>46224</v>
      </c>
      <c r="K168" s="10">
        <v>522</v>
      </c>
      <c r="L168" s="10">
        <f t="shared" si="5"/>
        <v>44</v>
      </c>
      <c r="M168" s="11">
        <v>1</v>
      </c>
      <c r="N168" s="11">
        <v>2</v>
      </c>
      <c r="O168" s="11">
        <v>4</v>
      </c>
      <c r="P168" s="11">
        <v>5</v>
      </c>
      <c r="Q168" s="11">
        <v>6</v>
      </c>
      <c r="R168" s="11">
        <v>7</v>
      </c>
      <c r="S168" s="11">
        <v>8</v>
      </c>
      <c r="T168" s="11">
        <v>9</v>
      </c>
      <c r="U168" s="11">
        <v>10</v>
      </c>
      <c r="V168" s="11">
        <v>11</v>
      </c>
      <c r="W168" s="11">
        <v>12</v>
      </c>
      <c r="X168" s="11">
        <v>13</v>
      </c>
      <c r="Y168" s="11">
        <v>14</v>
      </c>
      <c r="Z168" s="11">
        <v>15</v>
      </c>
      <c r="AA168" s="11">
        <v>16</v>
      </c>
      <c r="AB168" s="11">
        <v>17</v>
      </c>
      <c r="AC168" s="11">
        <v>18</v>
      </c>
      <c r="AD168" s="11">
        <v>19</v>
      </c>
      <c r="AE168" s="11">
        <v>20</v>
      </c>
      <c r="AF168" s="11">
        <v>21</v>
      </c>
      <c r="AG168" s="11">
        <v>23</v>
      </c>
      <c r="AH168" s="11">
        <v>24</v>
      </c>
      <c r="AI168" s="11">
        <v>25</v>
      </c>
      <c r="AJ168" s="11">
        <v>26</v>
      </c>
      <c r="AK168" s="11">
        <v>27</v>
      </c>
      <c r="AL168" s="11">
        <v>28</v>
      </c>
      <c r="AM168" s="11">
        <v>29</v>
      </c>
      <c r="AN168" s="11">
        <v>30</v>
      </c>
      <c r="AO168" s="11">
        <v>31</v>
      </c>
      <c r="AP168" s="11">
        <v>32</v>
      </c>
      <c r="AQ168" s="11">
        <v>33</v>
      </c>
      <c r="AR168" s="11">
        <v>34</v>
      </c>
      <c r="AS168" s="11">
        <v>35</v>
      </c>
      <c r="AT168" s="11">
        <v>36</v>
      </c>
      <c r="AU168" s="11">
        <v>38</v>
      </c>
      <c r="AV168" s="11">
        <v>39</v>
      </c>
      <c r="AW168" s="11">
        <v>41</v>
      </c>
      <c r="AX168" s="11">
        <v>42</v>
      </c>
      <c r="AY168" s="11">
        <v>43</v>
      </c>
      <c r="AZ168" s="11">
        <v>44</v>
      </c>
      <c r="BA168" s="11">
        <v>45</v>
      </c>
      <c r="BB168" s="11">
        <v>46</v>
      </c>
      <c r="BC168" s="11">
        <v>48</v>
      </c>
      <c r="BD168" s="11">
        <v>50</v>
      </c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</row>
    <row r="169" spans="1:159" x14ac:dyDescent="0.25">
      <c r="A169" s="7" t="str">
        <f t="shared" si="4"/>
        <v>U134564U134564</v>
      </c>
      <c r="B169" s="9" t="s">
        <v>157</v>
      </c>
      <c r="C169" s="9" t="s">
        <v>16</v>
      </c>
      <c r="D169" s="9">
        <v>1104</v>
      </c>
      <c r="E169" s="9" t="s">
        <v>436</v>
      </c>
      <c r="F169" s="9" t="s">
        <v>443</v>
      </c>
      <c r="G169" s="9" t="s">
        <v>444</v>
      </c>
      <c r="H169" s="17">
        <v>46224</v>
      </c>
      <c r="I169" s="17">
        <v>46231</v>
      </c>
      <c r="J169" s="17">
        <v>46231</v>
      </c>
      <c r="K169" s="10">
        <v>576</v>
      </c>
      <c r="L169" s="10">
        <f t="shared" si="5"/>
        <v>48</v>
      </c>
      <c r="M169" s="11">
        <v>1</v>
      </c>
      <c r="N169" s="11">
        <v>3</v>
      </c>
      <c r="O169" s="11">
        <v>9</v>
      </c>
      <c r="P169" s="11">
        <v>10</v>
      </c>
      <c r="Q169" s="11">
        <v>11</v>
      </c>
      <c r="R169" s="11">
        <v>12</v>
      </c>
      <c r="S169" s="11">
        <v>13</v>
      </c>
      <c r="T169" s="11">
        <v>16</v>
      </c>
      <c r="U169" s="11">
        <v>17</v>
      </c>
      <c r="V169" s="11">
        <v>18</v>
      </c>
      <c r="W169" s="11">
        <v>19</v>
      </c>
      <c r="X169" s="11">
        <v>20</v>
      </c>
      <c r="Y169" s="11">
        <v>21</v>
      </c>
      <c r="Z169" s="11">
        <v>22</v>
      </c>
      <c r="AA169" s="11">
        <v>23</v>
      </c>
      <c r="AB169" s="11">
        <v>24</v>
      </c>
      <c r="AC169" s="11">
        <v>26</v>
      </c>
      <c r="AD169" s="11">
        <v>27</v>
      </c>
      <c r="AE169" s="11">
        <v>28</v>
      </c>
      <c r="AF169" s="11">
        <v>30</v>
      </c>
      <c r="AG169" s="11">
        <v>31</v>
      </c>
      <c r="AH169" s="11">
        <v>32</v>
      </c>
      <c r="AI169" s="11">
        <v>35</v>
      </c>
      <c r="AJ169" s="11">
        <v>38</v>
      </c>
      <c r="AK169" s="11">
        <v>40</v>
      </c>
      <c r="AL169" s="11">
        <v>41</v>
      </c>
      <c r="AM169" s="11">
        <v>42</v>
      </c>
      <c r="AN169" s="11">
        <v>43</v>
      </c>
      <c r="AO169" s="11">
        <v>44</v>
      </c>
      <c r="AP169" s="11">
        <v>45</v>
      </c>
      <c r="AQ169" s="11">
        <v>46</v>
      </c>
      <c r="AR169" s="11">
        <v>50</v>
      </c>
      <c r="AS169" s="11">
        <v>51</v>
      </c>
      <c r="AT169" s="11">
        <v>52</v>
      </c>
      <c r="AU169" s="11">
        <v>55</v>
      </c>
      <c r="AV169" s="11">
        <v>57</v>
      </c>
      <c r="AW169" s="11">
        <v>58</v>
      </c>
      <c r="AX169" s="11">
        <v>60</v>
      </c>
      <c r="AY169" s="11">
        <v>65</v>
      </c>
      <c r="AZ169" s="11">
        <v>66</v>
      </c>
      <c r="BA169" s="11">
        <v>67</v>
      </c>
      <c r="BB169" s="11">
        <v>68</v>
      </c>
      <c r="BC169" s="11">
        <v>76</v>
      </c>
      <c r="BD169" s="11">
        <v>79</v>
      </c>
      <c r="BE169" s="11">
        <v>80</v>
      </c>
      <c r="BF169" s="11">
        <v>81</v>
      </c>
      <c r="BG169" s="11">
        <v>82</v>
      </c>
      <c r="BH169" s="11">
        <v>83</v>
      </c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</row>
    <row r="170" spans="1:159" x14ac:dyDescent="0.25">
      <c r="A170" s="7" t="str">
        <f t="shared" si="4"/>
        <v>U134565U134565</v>
      </c>
      <c r="B170" s="9" t="s">
        <v>91</v>
      </c>
      <c r="C170" s="9" t="s">
        <v>6</v>
      </c>
      <c r="D170" s="9">
        <v>1080</v>
      </c>
      <c r="E170" s="9" t="s">
        <v>436</v>
      </c>
      <c r="F170" s="9" t="s">
        <v>443</v>
      </c>
      <c r="G170" s="9" t="s">
        <v>444</v>
      </c>
      <c r="H170" s="17">
        <v>46212</v>
      </c>
      <c r="I170" s="17">
        <v>46220</v>
      </c>
      <c r="J170" s="17">
        <v>46220</v>
      </c>
      <c r="K170" s="10">
        <v>876</v>
      </c>
      <c r="L170" s="10">
        <f t="shared" si="5"/>
        <v>146</v>
      </c>
      <c r="M170" s="11">
        <v>1</v>
      </c>
      <c r="N170" s="11">
        <v>2</v>
      </c>
      <c r="O170" s="11">
        <v>3</v>
      </c>
      <c r="P170" s="11">
        <v>4</v>
      </c>
      <c r="Q170" s="11">
        <v>5</v>
      </c>
      <c r="R170" s="11">
        <v>6</v>
      </c>
      <c r="S170" s="11">
        <v>7</v>
      </c>
      <c r="T170" s="11">
        <v>8</v>
      </c>
      <c r="U170" s="11">
        <v>9</v>
      </c>
      <c r="V170" s="11">
        <v>10</v>
      </c>
      <c r="W170" s="11">
        <v>11</v>
      </c>
      <c r="X170" s="11">
        <v>12</v>
      </c>
      <c r="Y170" s="11">
        <v>13</v>
      </c>
      <c r="Z170" s="11">
        <v>14</v>
      </c>
      <c r="AA170" s="11">
        <v>15</v>
      </c>
      <c r="AB170" s="11">
        <v>16</v>
      </c>
      <c r="AC170" s="11">
        <v>17</v>
      </c>
      <c r="AD170" s="11">
        <v>18</v>
      </c>
      <c r="AE170" s="11">
        <v>19</v>
      </c>
      <c r="AF170" s="11">
        <v>20</v>
      </c>
      <c r="AG170" s="11">
        <v>21</v>
      </c>
      <c r="AH170" s="11">
        <v>22</v>
      </c>
      <c r="AI170" s="11">
        <v>23</v>
      </c>
      <c r="AJ170" s="11">
        <v>24</v>
      </c>
      <c r="AK170" s="11">
        <v>25</v>
      </c>
      <c r="AL170" s="11">
        <v>26</v>
      </c>
      <c r="AM170" s="11">
        <v>27</v>
      </c>
      <c r="AN170" s="11">
        <v>28</v>
      </c>
      <c r="AO170" s="11">
        <v>29</v>
      </c>
      <c r="AP170" s="11">
        <v>30</v>
      </c>
      <c r="AQ170" s="11">
        <v>31</v>
      </c>
      <c r="AR170" s="11">
        <v>32</v>
      </c>
      <c r="AS170" s="11">
        <v>33</v>
      </c>
      <c r="AT170" s="11">
        <v>34</v>
      </c>
      <c r="AU170" s="11">
        <v>35</v>
      </c>
      <c r="AV170" s="11">
        <v>36</v>
      </c>
      <c r="AW170" s="11">
        <v>37</v>
      </c>
      <c r="AX170" s="11">
        <v>38</v>
      </c>
      <c r="AY170" s="11">
        <v>39</v>
      </c>
      <c r="AZ170" s="11">
        <v>40</v>
      </c>
      <c r="BA170" s="11">
        <v>41</v>
      </c>
      <c r="BB170" s="11">
        <v>42</v>
      </c>
      <c r="BC170" s="11">
        <v>43</v>
      </c>
      <c r="BD170" s="11">
        <v>44</v>
      </c>
      <c r="BE170" s="11">
        <v>45</v>
      </c>
      <c r="BF170" s="11">
        <v>46</v>
      </c>
      <c r="BG170" s="11">
        <v>47</v>
      </c>
      <c r="BH170" s="11">
        <v>48</v>
      </c>
      <c r="BI170" s="11">
        <v>49</v>
      </c>
      <c r="BJ170" s="11">
        <v>50</v>
      </c>
      <c r="BK170" s="11">
        <v>51</v>
      </c>
      <c r="BL170" s="11">
        <v>52</v>
      </c>
      <c r="BM170" s="11">
        <v>53</v>
      </c>
      <c r="BN170" s="11">
        <v>54</v>
      </c>
      <c r="BO170" s="11">
        <v>55</v>
      </c>
      <c r="BP170" s="11">
        <v>56</v>
      </c>
      <c r="BQ170" s="11">
        <v>57</v>
      </c>
      <c r="BR170" s="11">
        <v>58</v>
      </c>
      <c r="BS170" s="11">
        <v>59</v>
      </c>
      <c r="BT170" s="11">
        <v>60</v>
      </c>
      <c r="BU170" s="11">
        <v>61</v>
      </c>
      <c r="BV170" s="11">
        <v>62</v>
      </c>
      <c r="BW170" s="11">
        <v>63</v>
      </c>
      <c r="BX170" s="11">
        <v>64</v>
      </c>
      <c r="BY170" s="11">
        <v>65</v>
      </c>
      <c r="BZ170" s="11">
        <v>66</v>
      </c>
      <c r="CA170" s="11">
        <v>67</v>
      </c>
      <c r="CB170" s="11">
        <v>68</v>
      </c>
      <c r="CC170" s="11">
        <v>69</v>
      </c>
      <c r="CD170" s="11">
        <v>70</v>
      </c>
      <c r="CE170" s="11">
        <v>71</v>
      </c>
      <c r="CF170" s="11">
        <v>72</v>
      </c>
      <c r="CG170" s="11">
        <v>73</v>
      </c>
      <c r="CH170" s="11">
        <v>74</v>
      </c>
      <c r="CI170" s="11">
        <v>75</v>
      </c>
      <c r="CJ170" s="11">
        <v>76</v>
      </c>
      <c r="CK170" s="11">
        <v>77</v>
      </c>
      <c r="CL170" s="11">
        <v>78</v>
      </c>
      <c r="CM170" s="11">
        <v>79</v>
      </c>
      <c r="CN170" s="11">
        <v>80</v>
      </c>
      <c r="CO170" s="11">
        <v>81</v>
      </c>
      <c r="CP170" s="11">
        <v>82</v>
      </c>
      <c r="CQ170" s="11">
        <v>83</v>
      </c>
      <c r="CR170" s="11">
        <v>84</v>
      </c>
      <c r="CS170" s="11">
        <v>85</v>
      </c>
      <c r="CT170" s="11">
        <v>86</v>
      </c>
      <c r="CU170" s="11">
        <v>87</v>
      </c>
      <c r="CV170" s="11">
        <v>88</v>
      </c>
      <c r="CW170" s="11">
        <v>89</v>
      </c>
      <c r="CX170" s="11">
        <v>90</v>
      </c>
      <c r="CY170" s="11">
        <v>91</v>
      </c>
      <c r="CZ170" s="11">
        <v>92</v>
      </c>
      <c r="DA170" s="11">
        <v>93</v>
      </c>
      <c r="DB170" s="11">
        <v>94</v>
      </c>
      <c r="DC170" s="11">
        <v>95</v>
      </c>
      <c r="DD170" s="11">
        <v>96</v>
      </c>
      <c r="DE170" s="11">
        <v>97</v>
      </c>
      <c r="DF170" s="11">
        <v>98</v>
      </c>
      <c r="DG170" s="11">
        <v>99</v>
      </c>
      <c r="DH170" s="11">
        <v>100</v>
      </c>
      <c r="DI170" s="11">
        <v>101</v>
      </c>
      <c r="DJ170" s="11">
        <v>102</v>
      </c>
      <c r="DK170" s="11">
        <v>103</v>
      </c>
      <c r="DL170" s="11">
        <v>104</v>
      </c>
      <c r="DM170" s="11">
        <v>105</v>
      </c>
      <c r="DN170" s="11">
        <v>106</v>
      </c>
      <c r="DO170" s="11">
        <v>107</v>
      </c>
      <c r="DP170" s="11">
        <v>108</v>
      </c>
      <c r="DQ170" s="11">
        <v>109</v>
      </c>
      <c r="DR170" s="11">
        <v>110</v>
      </c>
      <c r="DS170" s="11">
        <v>111</v>
      </c>
      <c r="DT170" s="11">
        <v>112</v>
      </c>
      <c r="DU170" s="11">
        <v>113</v>
      </c>
      <c r="DV170" s="11">
        <v>114</v>
      </c>
      <c r="DW170" s="11">
        <v>115</v>
      </c>
      <c r="DX170" s="11">
        <v>116</v>
      </c>
      <c r="DY170" s="11">
        <v>117</v>
      </c>
      <c r="DZ170" s="11">
        <v>118</v>
      </c>
      <c r="EA170" s="11">
        <v>119</v>
      </c>
      <c r="EB170" s="11">
        <v>120</v>
      </c>
      <c r="EC170" s="11">
        <v>121</v>
      </c>
      <c r="ED170" s="11">
        <v>122</v>
      </c>
      <c r="EE170" s="11">
        <v>123</v>
      </c>
      <c r="EF170" s="11">
        <v>124</v>
      </c>
      <c r="EG170" s="11">
        <v>125</v>
      </c>
      <c r="EH170" s="11">
        <v>126</v>
      </c>
      <c r="EI170" s="11">
        <v>127</v>
      </c>
      <c r="EJ170" s="11">
        <v>128</v>
      </c>
      <c r="EK170" s="11">
        <v>129</v>
      </c>
      <c r="EL170" s="11">
        <v>130</v>
      </c>
      <c r="EM170" s="11">
        <v>132</v>
      </c>
      <c r="EN170" s="11">
        <v>133</v>
      </c>
      <c r="EO170" s="11">
        <v>134</v>
      </c>
      <c r="EP170" s="11">
        <v>135</v>
      </c>
      <c r="EQ170" s="11">
        <v>136</v>
      </c>
      <c r="ER170" s="11">
        <v>137</v>
      </c>
      <c r="ES170" s="11">
        <v>138</v>
      </c>
      <c r="ET170" s="11">
        <v>139</v>
      </c>
      <c r="EU170" s="11">
        <v>140</v>
      </c>
      <c r="EV170" s="11">
        <v>141</v>
      </c>
      <c r="EW170" s="11">
        <v>142</v>
      </c>
      <c r="EX170" s="11">
        <v>143</v>
      </c>
      <c r="EY170" s="11">
        <v>144</v>
      </c>
      <c r="EZ170" s="11">
        <v>146</v>
      </c>
      <c r="FA170" s="11">
        <v>148</v>
      </c>
      <c r="FB170" s="11">
        <v>150</v>
      </c>
      <c r="FC170" s="12"/>
    </row>
    <row r="171" spans="1:159" x14ac:dyDescent="0.25">
      <c r="A171" s="7" t="str">
        <f t="shared" si="4"/>
        <v>U134566U134566</v>
      </c>
      <c r="B171" s="9" t="s">
        <v>141</v>
      </c>
      <c r="C171" s="9" t="s">
        <v>16</v>
      </c>
      <c r="D171" s="9">
        <v>510</v>
      </c>
      <c r="E171" s="9" t="s">
        <v>436</v>
      </c>
      <c r="F171" s="9" t="s">
        <v>443</v>
      </c>
      <c r="G171" s="9" t="s">
        <v>444</v>
      </c>
      <c r="H171" s="17">
        <v>46223</v>
      </c>
      <c r="I171" s="17">
        <v>46224</v>
      </c>
      <c r="J171" s="17">
        <v>46233</v>
      </c>
      <c r="K171" s="10">
        <v>486</v>
      </c>
      <c r="L171" s="10">
        <f t="shared" si="5"/>
        <v>42</v>
      </c>
      <c r="M171" s="11">
        <v>1</v>
      </c>
      <c r="N171" s="11">
        <v>2</v>
      </c>
      <c r="O171" s="11">
        <v>3</v>
      </c>
      <c r="P171" s="11">
        <v>4</v>
      </c>
      <c r="Q171" s="11">
        <v>5</v>
      </c>
      <c r="R171" s="11">
        <v>6</v>
      </c>
      <c r="S171" s="11">
        <v>7</v>
      </c>
      <c r="T171" s="11">
        <v>8</v>
      </c>
      <c r="U171" s="11">
        <v>9</v>
      </c>
      <c r="V171" s="11">
        <v>10</v>
      </c>
      <c r="W171" s="11">
        <v>11</v>
      </c>
      <c r="X171" s="11">
        <v>12</v>
      </c>
      <c r="Y171" s="11">
        <v>13</v>
      </c>
      <c r="Z171" s="11">
        <v>14</v>
      </c>
      <c r="AA171" s="11">
        <v>15</v>
      </c>
      <c r="AB171" s="11">
        <v>16</v>
      </c>
      <c r="AC171" s="11">
        <v>17</v>
      </c>
      <c r="AD171" s="11">
        <v>18</v>
      </c>
      <c r="AE171" s="11">
        <v>19</v>
      </c>
      <c r="AF171" s="11">
        <v>20</v>
      </c>
      <c r="AG171" s="11">
        <v>21</v>
      </c>
      <c r="AH171" s="11">
        <v>22</v>
      </c>
      <c r="AI171" s="11">
        <v>23</v>
      </c>
      <c r="AJ171" s="11">
        <v>24</v>
      </c>
      <c r="AK171" s="11">
        <v>25</v>
      </c>
      <c r="AL171" s="11">
        <v>26</v>
      </c>
      <c r="AM171" s="11">
        <v>28</v>
      </c>
      <c r="AN171" s="11">
        <v>29</v>
      </c>
      <c r="AO171" s="11">
        <v>30</v>
      </c>
      <c r="AP171" s="11">
        <v>31</v>
      </c>
      <c r="AQ171" s="11">
        <v>32</v>
      </c>
      <c r="AR171" s="11">
        <v>33</v>
      </c>
      <c r="AS171" s="11">
        <v>34</v>
      </c>
      <c r="AT171" s="11">
        <v>35</v>
      </c>
      <c r="AU171" s="11">
        <v>36</v>
      </c>
      <c r="AV171" s="11">
        <v>37</v>
      </c>
      <c r="AW171" s="11">
        <v>39</v>
      </c>
      <c r="AX171" s="11">
        <v>40</v>
      </c>
      <c r="AY171" s="11">
        <v>41</v>
      </c>
      <c r="AZ171" s="11">
        <v>42</v>
      </c>
      <c r="BA171" s="11">
        <v>43</v>
      </c>
      <c r="BB171" s="11">
        <v>44</v>
      </c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</row>
    <row r="172" spans="1:159" x14ac:dyDescent="0.25">
      <c r="A172" s="7" t="str">
        <f t="shared" si="4"/>
        <v>U134567U134567</v>
      </c>
      <c r="B172" s="9" t="s">
        <v>93</v>
      </c>
      <c r="C172" s="9" t="s">
        <v>6</v>
      </c>
      <c r="D172" s="9">
        <v>576</v>
      </c>
      <c r="E172" s="9" t="s">
        <v>436</v>
      </c>
      <c r="F172" s="9" t="s">
        <v>443</v>
      </c>
      <c r="G172" s="9" t="s">
        <v>444</v>
      </c>
      <c r="H172" s="17">
        <v>46212</v>
      </c>
      <c r="I172" s="17">
        <v>46220</v>
      </c>
      <c r="J172" s="17">
        <v>46233</v>
      </c>
      <c r="K172" s="10">
        <v>36</v>
      </c>
      <c r="L172" s="10">
        <f t="shared" si="5"/>
        <v>3</v>
      </c>
      <c r="M172" s="11">
        <v>1</v>
      </c>
      <c r="N172" s="11">
        <v>19</v>
      </c>
      <c r="O172" s="11">
        <v>24</v>
      </c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</row>
    <row r="173" spans="1:159" x14ac:dyDescent="0.25">
      <c r="A173" s="7" t="str">
        <f t="shared" si="4"/>
        <v>U134568U134568</v>
      </c>
      <c r="B173" s="9" t="s">
        <v>147</v>
      </c>
      <c r="C173" s="9" t="s">
        <v>22</v>
      </c>
      <c r="D173" s="9">
        <v>810</v>
      </c>
      <c r="E173" s="9" t="s">
        <v>436</v>
      </c>
      <c r="F173" s="9" t="s">
        <v>449</v>
      </c>
      <c r="G173" s="9" t="s">
        <v>438</v>
      </c>
      <c r="H173" s="17">
        <v>46223</v>
      </c>
      <c r="I173" s="17">
        <v>46225</v>
      </c>
      <c r="J173" s="17">
        <v>46226</v>
      </c>
      <c r="K173" s="10">
        <v>312</v>
      </c>
      <c r="L173" s="10">
        <f t="shared" si="5"/>
        <v>26</v>
      </c>
      <c r="M173" s="11">
        <v>1</v>
      </c>
      <c r="N173" s="11">
        <v>2</v>
      </c>
      <c r="O173" s="11">
        <v>9</v>
      </c>
      <c r="P173" s="11">
        <v>10</v>
      </c>
      <c r="Q173" s="11">
        <v>12</v>
      </c>
      <c r="R173" s="11">
        <v>18</v>
      </c>
      <c r="S173" s="11">
        <v>19</v>
      </c>
      <c r="T173" s="11">
        <v>20</v>
      </c>
      <c r="U173" s="11">
        <v>27</v>
      </c>
      <c r="V173" s="11">
        <v>28</v>
      </c>
      <c r="W173" s="11">
        <v>32</v>
      </c>
      <c r="X173" s="11">
        <v>33</v>
      </c>
      <c r="Y173" s="11">
        <v>34</v>
      </c>
      <c r="Z173" s="11">
        <v>41</v>
      </c>
      <c r="AA173" s="11">
        <v>42</v>
      </c>
      <c r="AB173" s="11">
        <v>43</v>
      </c>
      <c r="AC173" s="11">
        <v>45</v>
      </c>
      <c r="AD173" s="11">
        <v>46</v>
      </c>
      <c r="AE173" s="11">
        <v>47</v>
      </c>
      <c r="AF173" s="11">
        <v>52</v>
      </c>
      <c r="AG173" s="11">
        <v>53</v>
      </c>
      <c r="AH173" s="11">
        <v>54</v>
      </c>
      <c r="AI173" s="11">
        <v>57</v>
      </c>
      <c r="AJ173" s="11">
        <v>58</v>
      </c>
      <c r="AK173" s="11">
        <v>59</v>
      </c>
      <c r="AL173" s="11">
        <v>60</v>
      </c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</row>
    <row r="174" spans="1:159" x14ac:dyDescent="0.25">
      <c r="A174" s="7" t="str">
        <f t="shared" si="4"/>
        <v>U134569U134569</v>
      </c>
      <c r="B174" s="9" t="s">
        <v>120</v>
      </c>
      <c r="C174" s="9" t="s">
        <v>6</v>
      </c>
      <c r="D174" s="9">
        <v>744</v>
      </c>
      <c r="E174" s="9" t="s">
        <v>436</v>
      </c>
      <c r="F174" s="9" t="s">
        <v>443</v>
      </c>
      <c r="G174" s="9" t="s">
        <v>444</v>
      </c>
      <c r="H174" s="17">
        <v>46218</v>
      </c>
      <c r="I174" s="17">
        <v>46220</v>
      </c>
      <c r="J174" s="17">
        <v>46226</v>
      </c>
      <c r="K174" s="10">
        <v>72</v>
      </c>
      <c r="L174" s="10">
        <f t="shared" si="5"/>
        <v>6</v>
      </c>
      <c r="M174" s="11">
        <v>2</v>
      </c>
      <c r="N174" s="11">
        <v>19</v>
      </c>
      <c r="O174" s="11">
        <v>36</v>
      </c>
      <c r="P174" s="11">
        <v>46</v>
      </c>
      <c r="Q174" s="11">
        <v>50</v>
      </c>
      <c r="R174" s="11">
        <v>58</v>
      </c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</row>
    <row r="175" spans="1:159" x14ac:dyDescent="0.25">
      <c r="A175" s="7" t="str">
        <f t="shared" si="4"/>
        <v>U134570U134570</v>
      </c>
      <c r="B175" s="9" t="s">
        <v>149</v>
      </c>
      <c r="C175" s="9" t="s">
        <v>16</v>
      </c>
      <c r="D175" s="9">
        <v>540</v>
      </c>
      <c r="E175" s="9" t="s">
        <v>436</v>
      </c>
      <c r="F175" s="9" t="s">
        <v>443</v>
      </c>
      <c r="G175" s="9" t="s">
        <v>444</v>
      </c>
      <c r="H175" s="17">
        <v>46223</v>
      </c>
      <c r="I175" s="17">
        <v>46226</v>
      </c>
      <c r="J175" s="17">
        <v>46226</v>
      </c>
      <c r="K175" s="10">
        <v>234</v>
      </c>
      <c r="L175" s="10">
        <f t="shared" si="5"/>
        <v>39</v>
      </c>
      <c r="M175" s="11">
        <v>1</v>
      </c>
      <c r="N175" s="11">
        <v>2</v>
      </c>
      <c r="O175" s="11">
        <v>3</v>
      </c>
      <c r="P175" s="11">
        <v>4</v>
      </c>
      <c r="Q175" s="11">
        <v>5</v>
      </c>
      <c r="R175" s="11">
        <v>6</v>
      </c>
      <c r="S175" s="11">
        <v>7</v>
      </c>
      <c r="T175" s="11">
        <v>8</v>
      </c>
      <c r="U175" s="11">
        <v>9</v>
      </c>
      <c r="V175" s="11">
        <v>10</v>
      </c>
      <c r="W175" s="11">
        <v>11</v>
      </c>
      <c r="X175" s="11">
        <v>12</v>
      </c>
      <c r="Y175" s="11">
        <v>13</v>
      </c>
      <c r="Z175" s="11">
        <v>14</v>
      </c>
      <c r="AA175" s="11">
        <v>15</v>
      </c>
      <c r="AB175" s="11">
        <v>16</v>
      </c>
      <c r="AC175" s="11">
        <v>17</v>
      </c>
      <c r="AD175" s="11">
        <v>18</v>
      </c>
      <c r="AE175" s="11">
        <v>19</v>
      </c>
      <c r="AF175" s="11">
        <v>20</v>
      </c>
      <c r="AG175" s="11">
        <v>21</v>
      </c>
      <c r="AH175" s="11">
        <v>22</v>
      </c>
      <c r="AI175" s="11">
        <v>23</v>
      </c>
      <c r="AJ175" s="11">
        <v>24</v>
      </c>
      <c r="AK175" s="11">
        <v>25</v>
      </c>
      <c r="AL175" s="11">
        <v>26</v>
      </c>
      <c r="AM175" s="11">
        <v>27</v>
      </c>
      <c r="AN175" s="11">
        <v>28</v>
      </c>
      <c r="AO175" s="11">
        <v>29</v>
      </c>
      <c r="AP175" s="11">
        <v>30</v>
      </c>
      <c r="AQ175" s="11">
        <v>31</v>
      </c>
      <c r="AR175" s="11">
        <v>32</v>
      </c>
      <c r="AS175" s="11">
        <v>34</v>
      </c>
      <c r="AT175" s="11">
        <v>35</v>
      </c>
      <c r="AU175" s="11">
        <v>36</v>
      </c>
      <c r="AV175" s="11">
        <v>38</v>
      </c>
      <c r="AW175" s="11">
        <v>39</v>
      </c>
      <c r="AX175" s="11">
        <v>40</v>
      </c>
      <c r="AY175" s="11">
        <v>41</v>
      </c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</row>
    <row r="176" spans="1:159" x14ac:dyDescent="0.25">
      <c r="A176" s="7" t="str">
        <f t="shared" si="4"/>
        <v>U134572U134572</v>
      </c>
      <c r="B176" s="9" t="s">
        <v>166</v>
      </c>
      <c r="C176" s="9" t="s">
        <v>22</v>
      </c>
      <c r="D176" s="9">
        <v>456</v>
      </c>
      <c r="E176" s="9" t="s">
        <v>436</v>
      </c>
      <c r="F176" s="9" t="s">
        <v>450</v>
      </c>
      <c r="G176" s="9" t="s">
        <v>438</v>
      </c>
      <c r="H176" s="17">
        <v>46224</v>
      </c>
      <c r="I176" s="17">
        <v>46239</v>
      </c>
      <c r="J176" s="17"/>
      <c r="K176" s="10">
        <v>24</v>
      </c>
      <c r="L176" s="10">
        <f t="shared" si="5"/>
        <v>2</v>
      </c>
      <c r="M176" s="11">
        <v>5</v>
      </c>
      <c r="N176" s="11">
        <v>10</v>
      </c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</row>
    <row r="177" spans="1:159" x14ac:dyDescent="0.25">
      <c r="A177" s="7" t="str">
        <f t="shared" si="4"/>
        <v>U134576U134576</v>
      </c>
      <c r="B177" s="9" t="s">
        <v>127</v>
      </c>
      <c r="C177" s="9" t="s">
        <v>6</v>
      </c>
      <c r="D177" s="9">
        <v>600</v>
      </c>
      <c r="E177" s="9" t="s">
        <v>436</v>
      </c>
      <c r="F177" s="9" t="s">
        <v>443</v>
      </c>
      <c r="G177" s="9" t="s">
        <v>444</v>
      </c>
      <c r="H177" s="17">
        <v>46219</v>
      </c>
      <c r="I177" s="17">
        <v>46227</v>
      </c>
      <c r="J177" s="17">
        <v>46227</v>
      </c>
      <c r="K177" s="10">
        <v>240</v>
      </c>
      <c r="L177" s="10">
        <f t="shared" si="5"/>
        <v>20</v>
      </c>
      <c r="M177" s="11">
        <v>1</v>
      </c>
      <c r="N177" s="11">
        <v>2</v>
      </c>
      <c r="O177" s="11">
        <v>3</v>
      </c>
      <c r="P177" s="11">
        <v>5</v>
      </c>
      <c r="Q177" s="11">
        <v>6</v>
      </c>
      <c r="R177" s="11">
        <v>13</v>
      </c>
      <c r="S177" s="11">
        <v>14</v>
      </c>
      <c r="T177" s="11">
        <v>15</v>
      </c>
      <c r="U177" s="11">
        <v>16</v>
      </c>
      <c r="V177" s="11">
        <v>18</v>
      </c>
      <c r="W177" s="11">
        <v>24</v>
      </c>
      <c r="X177" s="11">
        <v>25</v>
      </c>
      <c r="Y177" s="11">
        <v>29</v>
      </c>
      <c r="Z177" s="11">
        <v>34</v>
      </c>
      <c r="AA177" s="11">
        <v>35</v>
      </c>
      <c r="AB177" s="11">
        <v>40</v>
      </c>
      <c r="AC177" s="11">
        <v>42</v>
      </c>
      <c r="AD177" s="11">
        <v>43</v>
      </c>
      <c r="AE177" s="11">
        <v>46</v>
      </c>
      <c r="AF177" s="11">
        <v>47</v>
      </c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</row>
    <row r="178" spans="1:159" x14ac:dyDescent="0.25">
      <c r="A178" s="7" t="str">
        <f t="shared" si="4"/>
        <v>U134577U134577</v>
      </c>
      <c r="B178" s="9" t="s">
        <v>105</v>
      </c>
      <c r="C178" s="9" t="s">
        <v>22</v>
      </c>
      <c r="D178" s="9">
        <v>534</v>
      </c>
      <c r="E178" s="9" t="s">
        <v>436</v>
      </c>
      <c r="F178" s="9" t="s">
        <v>451</v>
      </c>
      <c r="G178" s="9" t="s">
        <v>438</v>
      </c>
      <c r="H178" s="17">
        <v>46216</v>
      </c>
      <c r="I178" s="17">
        <v>46218</v>
      </c>
      <c r="J178" s="17">
        <v>46219</v>
      </c>
      <c r="K178" s="10">
        <v>108</v>
      </c>
      <c r="L178" s="10">
        <f t="shared" si="5"/>
        <v>9</v>
      </c>
      <c r="M178" s="11">
        <v>9</v>
      </c>
      <c r="N178" s="11">
        <v>15</v>
      </c>
      <c r="O178" s="11">
        <v>23</v>
      </c>
      <c r="P178" s="11">
        <v>24</v>
      </c>
      <c r="Q178" s="11">
        <v>25</v>
      </c>
      <c r="R178" s="11">
        <v>26</v>
      </c>
      <c r="S178" s="11">
        <v>32</v>
      </c>
      <c r="T178" s="11">
        <v>38</v>
      </c>
      <c r="U178" s="11">
        <v>39</v>
      </c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</row>
    <row r="179" spans="1:159" x14ac:dyDescent="0.25">
      <c r="A179" s="7" t="str">
        <f t="shared" si="4"/>
        <v>U134578U134578</v>
      </c>
      <c r="B179" s="9" t="s">
        <v>168</v>
      </c>
      <c r="C179" s="9" t="s">
        <v>16</v>
      </c>
      <c r="D179" s="9">
        <v>690</v>
      </c>
      <c r="E179" s="9" t="s">
        <v>436</v>
      </c>
      <c r="F179" s="9" t="s">
        <v>450</v>
      </c>
      <c r="G179" s="9" t="s">
        <v>438</v>
      </c>
      <c r="H179" s="17">
        <v>46225</v>
      </c>
      <c r="I179" s="17">
        <v>46227</v>
      </c>
      <c r="J179" s="17">
        <v>46227</v>
      </c>
      <c r="K179" s="10">
        <v>576</v>
      </c>
      <c r="L179" s="10">
        <f t="shared" si="5"/>
        <v>49</v>
      </c>
      <c r="M179" s="11">
        <v>2</v>
      </c>
      <c r="N179" s="11">
        <v>4</v>
      </c>
      <c r="O179" s="11">
        <v>5</v>
      </c>
      <c r="P179" s="11">
        <v>6</v>
      </c>
      <c r="Q179" s="11">
        <v>8</v>
      </c>
      <c r="R179" s="11">
        <v>9</v>
      </c>
      <c r="S179" s="11">
        <v>10</v>
      </c>
      <c r="T179" s="11">
        <v>11</v>
      </c>
      <c r="U179" s="11">
        <v>12</v>
      </c>
      <c r="V179" s="11">
        <v>13</v>
      </c>
      <c r="W179" s="11">
        <v>15</v>
      </c>
      <c r="X179" s="11">
        <v>16</v>
      </c>
      <c r="Y179" s="11">
        <v>17</v>
      </c>
      <c r="Z179" s="11">
        <v>18</v>
      </c>
      <c r="AA179" s="11">
        <v>19</v>
      </c>
      <c r="AB179" s="11">
        <v>21</v>
      </c>
      <c r="AC179" s="11">
        <v>22</v>
      </c>
      <c r="AD179" s="11">
        <v>23</v>
      </c>
      <c r="AE179" s="11">
        <v>24</v>
      </c>
      <c r="AF179" s="11">
        <v>25</v>
      </c>
      <c r="AG179" s="11">
        <v>26</v>
      </c>
      <c r="AH179" s="11">
        <v>27</v>
      </c>
      <c r="AI179" s="11">
        <v>28</v>
      </c>
      <c r="AJ179" s="11">
        <v>29</v>
      </c>
      <c r="AK179" s="11">
        <v>30</v>
      </c>
      <c r="AL179" s="11">
        <v>31</v>
      </c>
      <c r="AM179" s="11">
        <v>32</v>
      </c>
      <c r="AN179" s="11">
        <v>33</v>
      </c>
      <c r="AO179" s="11">
        <v>34</v>
      </c>
      <c r="AP179" s="11">
        <v>35</v>
      </c>
      <c r="AQ179" s="11">
        <v>36</v>
      </c>
      <c r="AR179" s="11">
        <v>37</v>
      </c>
      <c r="AS179" s="11">
        <v>40</v>
      </c>
      <c r="AT179" s="11">
        <v>41</v>
      </c>
      <c r="AU179" s="11">
        <v>42</v>
      </c>
      <c r="AV179" s="11">
        <v>43</v>
      </c>
      <c r="AW179" s="11">
        <v>44</v>
      </c>
      <c r="AX179" s="11">
        <v>46</v>
      </c>
      <c r="AY179" s="11">
        <v>47</v>
      </c>
      <c r="AZ179" s="11">
        <v>48</v>
      </c>
      <c r="BA179" s="11">
        <v>49</v>
      </c>
      <c r="BB179" s="11">
        <v>50</v>
      </c>
      <c r="BC179" s="11">
        <v>51</v>
      </c>
      <c r="BD179" s="11">
        <v>52</v>
      </c>
      <c r="BE179" s="11">
        <v>53</v>
      </c>
      <c r="BF179" s="11">
        <v>54</v>
      </c>
      <c r="BG179" s="11">
        <v>55</v>
      </c>
      <c r="BH179" s="11">
        <v>57</v>
      </c>
      <c r="BI179" s="11">
        <v>59</v>
      </c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</row>
    <row r="180" spans="1:159" x14ac:dyDescent="0.25">
      <c r="A180" s="7" t="str">
        <f t="shared" si="4"/>
        <v>U134581U134581</v>
      </c>
      <c r="B180" s="9" t="s">
        <v>174</v>
      </c>
      <c r="C180" s="9" t="s">
        <v>16</v>
      </c>
      <c r="D180" s="9">
        <v>810</v>
      </c>
      <c r="E180" s="9" t="s">
        <v>436</v>
      </c>
      <c r="F180" s="9" t="s">
        <v>451</v>
      </c>
      <c r="G180" s="9" t="s">
        <v>438</v>
      </c>
      <c r="H180" s="17">
        <v>46225</v>
      </c>
      <c r="I180" s="17">
        <v>46238</v>
      </c>
      <c r="J180" s="17">
        <v>46239</v>
      </c>
      <c r="K180" s="10">
        <v>36</v>
      </c>
      <c r="L180" s="10">
        <f t="shared" si="5"/>
        <v>3</v>
      </c>
      <c r="M180" s="11">
        <v>37</v>
      </c>
      <c r="N180" s="11">
        <v>38</v>
      </c>
      <c r="O180" s="11">
        <v>42</v>
      </c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</row>
    <row r="181" spans="1:159" x14ac:dyDescent="0.25">
      <c r="A181" s="7" t="str">
        <f t="shared" si="4"/>
        <v>U137292U137292</v>
      </c>
      <c r="B181" s="9" t="s">
        <v>245</v>
      </c>
      <c r="C181" s="9" t="s">
        <v>4</v>
      </c>
      <c r="D181" s="9">
        <v>1452</v>
      </c>
      <c r="E181" s="9" t="s">
        <v>436</v>
      </c>
      <c r="F181" s="9" t="s">
        <v>437</v>
      </c>
      <c r="G181" s="9" t="s">
        <v>438</v>
      </c>
      <c r="H181" s="17">
        <v>46232</v>
      </c>
      <c r="I181" s="17"/>
      <c r="J181" s="17"/>
      <c r="K181" s="10">
        <v>252</v>
      </c>
      <c r="L181" s="10">
        <f t="shared" si="5"/>
        <v>21</v>
      </c>
      <c r="M181" s="11">
        <v>7</v>
      </c>
      <c r="N181" s="11">
        <v>15</v>
      </c>
      <c r="O181" s="11">
        <v>26</v>
      </c>
      <c r="P181" s="11">
        <v>27</v>
      </c>
      <c r="Q181" s="11">
        <v>28</v>
      </c>
      <c r="R181" s="11">
        <v>41</v>
      </c>
      <c r="S181" s="11">
        <v>42</v>
      </c>
      <c r="T181" s="11">
        <v>43</v>
      </c>
      <c r="U181" s="11">
        <v>44</v>
      </c>
      <c r="V181" s="11">
        <v>45</v>
      </c>
      <c r="W181" s="11">
        <v>62</v>
      </c>
      <c r="X181" s="11">
        <v>63</v>
      </c>
      <c r="Y181" s="11">
        <v>64</v>
      </c>
      <c r="Z181" s="11">
        <v>65</v>
      </c>
      <c r="AA181" s="11">
        <v>66</v>
      </c>
      <c r="AB181" s="11">
        <v>82</v>
      </c>
      <c r="AC181" s="11">
        <v>83</v>
      </c>
      <c r="AD181" s="11">
        <v>84</v>
      </c>
      <c r="AE181" s="11">
        <v>85</v>
      </c>
      <c r="AF181" s="11">
        <v>86</v>
      </c>
      <c r="AG181" s="11">
        <v>87</v>
      </c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</row>
    <row r="182" spans="1:159" x14ac:dyDescent="0.25">
      <c r="A182" s="7" t="str">
        <f t="shared" si="4"/>
        <v>U139622U139622</v>
      </c>
      <c r="B182" s="9" t="s">
        <v>338</v>
      </c>
      <c r="C182" s="9" t="s">
        <v>49</v>
      </c>
      <c r="D182" s="9">
        <v>3900</v>
      </c>
      <c r="E182" s="9" t="s">
        <v>436</v>
      </c>
      <c r="F182" s="9" t="s">
        <v>452</v>
      </c>
      <c r="G182" s="9" t="s">
        <v>438</v>
      </c>
      <c r="H182" s="17">
        <v>46238</v>
      </c>
      <c r="I182" s="17"/>
      <c r="J182" s="17"/>
      <c r="K182" s="10">
        <v>381</v>
      </c>
      <c r="L182" s="10">
        <f t="shared" si="5"/>
        <v>42</v>
      </c>
      <c r="M182" s="11">
        <v>9</v>
      </c>
      <c r="N182" s="11">
        <v>13</v>
      </c>
      <c r="O182" s="11">
        <v>14</v>
      </c>
      <c r="P182" s="11">
        <v>15</v>
      </c>
      <c r="Q182" s="11">
        <v>16</v>
      </c>
      <c r="R182" s="11">
        <v>17</v>
      </c>
      <c r="S182" s="11">
        <v>18</v>
      </c>
      <c r="T182" s="11">
        <v>19</v>
      </c>
      <c r="U182" s="11">
        <v>20</v>
      </c>
      <c r="V182" s="11">
        <v>25</v>
      </c>
      <c r="W182" s="11">
        <v>31</v>
      </c>
      <c r="X182" s="11">
        <v>32</v>
      </c>
      <c r="Y182" s="11">
        <v>33</v>
      </c>
      <c r="Z182" s="11">
        <v>34</v>
      </c>
      <c r="AA182" s="11">
        <v>35</v>
      </c>
      <c r="AB182" s="11">
        <v>36</v>
      </c>
      <c r="AC182" s="11">
        <v>37</v>
      </c>
      <c r="AD182" s="11">
        <v>38</v>
      </c>
      <c r="AE182" s="11">
        <v>39</v>
      </c>
      <c r="AF182" s="11">
        <v>40</v>
      </c>
      <c r="AG182" s="11">
        <v>41</v>
      </c>
      <c r="AH182" s="11">
        <v>42</v>
      </c>
      <c r="AI182" s="11">
        <v>43</v>
      </c>
      <c r="AJ182" s="11">
        <v>44</v>
      </c>
      <c r="AK182" s="11">
        <v>45</v>
      </c>
      <c r="AL182" s="11">
        <v>46</v>
      </c>
      <c r="AM182" s="11">
        <v>47</v>
      </c>
      <c r="AN182" s="11">
        <v>48</v>
      </c>
      <c r="AO182" s="11">
        <v>49</v>
      </c>
      <c r="AP182" s="11">
        <v>50</v>
      </c>
      <c r="AQ182" s="11">
        <v>51</v>
      </c>
      <c r="AR182" s="11">
        <v>52</v>
      </c>
      <c r="AS182" s="11">
        <v>53</v>
      </c>
      <c r="AT182" s="11">
        <v>54</v>
      </c>
      <c r="AU182" s="11">
        <v>55</v>
      </c>
      <c r="AV182" s="11">
        <v>56</v>
      </c>
      <c r="AW182" s="11">
        <v>57</v>
      </c>
      <c r="AX182" s="11">
        <v>58</v>
      </c>
      <c r="AY182" s="11">
        <v>59</v>
      </c>
      <c r="AZ182" s="11">
        <v>60</v>
      </c>
      <c r="BA182" s="11">
        <v>61</v>
      </c>
      <c r="BB182" s="11">
        <v>62</v>
      </c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</row>
    <row r="183" spans="1:159" x14ac:dyDescent="0.25">
      <c r="A183" s="7" t="str">
        <f t="shared" si="4"/>
        <v>U139694U139694</v>
      </c>
      <c r="B183" s="9" t="s">
        <v>137</v>
      </c>
      <c r="C183" s="9" t="s">
        <v>132</v>
      </c>
      <c r="D183" s="9">
        <v>384</v>
      </c>
      <c r="E183" s="9" t="s">
        <v>436</v>
      </c>
      <c r="F183" s="9" t="s">
        <v>443</v>
      </c>
      <c r="G183" s="9" t="s">
        <v>444</v>
      </c>
      <c r="H183" s="17">
        <v>46221</v>
      </c>
      <c r="I183" s="17">
        <v>46224</v>
      </c>
      <c r="J183" s="17">
        <v>46230</v>
      </c>
      <c r="K183" s="10">
        <v>72</v>
      </c>
      <c r="L183" s="10">
        <f t="shared" si="5"/>
        <v>6</v>
      </c>
      <c r="M183" s="11">
        <v>9</v>
      </c>
      <c r="N183" s="11">
        <v>11</v>
      </c>
      <c r="O183" s="11">
        <v>15</v>
      </c>
      <c r="P183" s="11">
        <v>23</v>
      </c>
      <c r="Q183" s="11">
        <v>26</v>
      </c>
      <c r="R183" s="11">
        <v>27</v>
      </c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</row>
    <row r="184" spans="1:159" x14ac:dyDescent="0.25">
      <c r="A184" s="7" t="str">
        <f t="shared" si="4"/>
        <v>U139694U139694</v>
      </c>
      <c r="B184" s="9" t="s">
        <v>137</v>
      </c>
      <c r="C184" s="9" t="s">
        <v>136</v>
      </c>
      <c r="D184" s="9">
        <v>132</v>
      </c>
      <c r="E184" s="9" t="s">
        <v>436</v>
      </c>
      <c r="F184" s="9" t="s">
        <v>443</v>
      </c>
      <c r="G184" s="9" t="s">
        <v>444</v>
      </c>
      <c r="H184" s="17">
        <v>46221</v>
      </c>
      <c r="I184" s="17">
        <v>46221</v>
      </c>
      <c r="J184" s="17">
        <v>46230</v>
      </c>
      <c r="K184" s="10">
        <v>132</v>
      </c>
      <c r="L184" s="10">
        <f t="shared" si="5"/>
        <v>12</v>
      </c>
      <c r="M184" s="11">
        <v>36</v>
      </c>
      <c r="N184" s="11">
        <v>37</v>
      </c>
      <c r="O184" s="11">
        <v>38</v>
      </c>
      <c r="P184" s="11">
        <v>39</v>
      </c>
      <c r="Q184" s="11">
        <v>40</v>
      </c>
      <c r="R184" s="11">
        <v>41</v>
      </c>
      <c r="S184" s="11">
        <v>42</v>
      </c>
      <c r="T184" s="11">
        <v>43</v>
      </c>
      <c r="U184" s="11">
        <v>44</v>
      </c>
      <c r="V184" s="11">
        <v>45</v>
      </c>
      <c r="W184" s="11">
        <v>46</v>
      </c>
      <c r="X184" s="11">
        <v>47</v>
      </c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</row>
    <row r="185" spans="1:159" x14ac:dyDescent="0.25">
      <c r="A185" s="7" t="str">
        <f t="shared" si="4"/>
        <v>U139725U139725</v>
      </c>
      <c r="B185" s="9" t="s">
        <v>110</v>
      </c>
      <c r="C185" s="9" t="s">
        <v>18</v>
      </c>
      <c r="D185" s="9">
        <v>252</v>
      </c>
      <c r="E185" s="9" t="s">
        <v>436</v>
      </c>
      <c r="F185" s="9" t="s">
        <v>443</v>
      </c>
      <c r="G185" s="9" t="s">
        <v>444</v>
      </c>
      <c r="H185" s="17">
        <v>46217</v>
      </c>
      <c r="I185" s="17">
        <v>46220</v>
      </c>
      <c r="J185" s="17">
        <v>46224</v>
      </c>
      <c r="K185" s="10">
        <v>60</v>
      </c>
      <c r="L185" s="10">
        <f t="shared" si="5"/>
        <v>5</v>
      </c>
      <c r="M185" s="11">
        <v>5</v>
      </c>
      <c r="N185" s="11">
        <v>10</v>
      </c>
      <c r="O185" s="11">
        <v>13</v>
      </c>
      <c r="P185" s="11">
        <v>14</v>
      </c>
      <c r="Q185" s="11">
        <v>15</v>
      </c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</row>
    <row r="186" spans="1:159" x14ac:dyDescent="0.25">
      <c r="A186" s="7" t="str">
        <f t="shared" si="4"/>
        <v>U139725U139725</v>
      </c>
      <c r="B186" s="9" t="s">
        <v>110</v>
      </c>
      <c r="C186" s="9" t="s">
        <v>12</v>
      </c>
      <c r="D186" s="9">
        <v>6</v>
      </c>
      <c r="E186" s="9" t="s">
        <v>436</v>
      </c>
      <c r="F186" s="9" t="s">
        <v>443</v>
      </c>
      <c r="G186" s="9" t="s">
        <v>444</v>
      </c>
      <c r="H186" s="17">
        <v>46217</v>
      </c>
      <c r="I186" s="17">
        <v>46217</v>
      </c>
      <c r="J186" s="17">
        <v>46224</v>
      </c>
      <c r="K186" s="10">
        <v>6</v>
      </c>
      <c r="L186" s="10">
        <f t="shared" si="5"/>
        <v>1</v>
      </c>
      <c r="M186" s="11">
        <v>24</v>
      </c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</row>
    <row r="187" spans="1:159" x14ac:dyDescent="0.25">
      <c r="A187" s="7" t="str">
        <f t="shared" si="4"/>
        <v>U139727U139727</v>
      </c>
      <c r="B187" s="9" t="s">
        <v>303</v>
      </c>
      <c r="C187" s="9" t="s">
        <v>24</v>
      </c>
      <c r="D187" s="9">
        <v>150</v>
      </c>
      <c r="E187" s="9" t="s">
        <v>436</v>
      </c>
      <c r="F187" s="9" t="s">
        <v>443</v>
      </c>
      <c r="G187" s="9" t="s">
        <v>444</v>
      </c>
      <c r="H187" s="17">
        <v>46237</v>
      </c>
      <c r="I187" s="17"/>
      <c r="J187" s="17"/>
      <c r="K187" s="10">
        <v>126</v>
      </c>
      <c r="L187" s="10">
        <f t="shared" si="5"/>
        <v>11</v>
      </c>
      <c r="M187" s="11">
        <v>1</v>
      </c>
      <c r="N187" s="11">
        <v>2</v>
      </c>
      <c r="O187" s="11">
        <v>3</v>
      </c>
      <c r="P187" s="11">
        <v>5</v>
      </c>
      <c r="Q187" s="11">
        <v>6</v>
      </c>
      <c r="R187" s="11">
        <v>7</v>
      </c>
      <c r="S187" s="11">
        <v>8</v>
      </c>
      <c r="T187" s="11">
        <v>9</v>
      </c>
      <c r="U187" s="11">
        <v>10</v>
      </c>
      <c r="V187" s="11">
        <v>12</v>
      </c>
      <c r="W187" s="11">
        <v>13</v>
      </c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</row>
    <row r="188" spans="1:159" x14ac:dyDescent="0.25">
      <c r="A188" s="7" t="str">
        <f t="shared" si="4"/>
        <v>U139728U139728</v>
      </c>
      <c r="B188" s="9" t="s">
        <v>103</v>
      </c>
      <c r="C188" s="9" t="s">
        <v>14</v>
      </c>
      <c r="D188" s="9">
        <v>174</v>
      </c>
      <c r="E188" s="9" t="s">
        <v>436</v>
      </c>
      <c r="F188" s="9" t="s">
        <v>443</v>
      </c>
      <c r="G188" s="9" t="s">
        <v>444</v>
      </c>
      <c r="H188" s="17">
        <v>46216</v>
      </c>
      <c r="I188" s="17">
        <v>46217</v>
      </c>
      <c r="J188" s="17">
        <v>46219</v>
      </c>
      <c r="K188" s="10">
        <v>138</v>
      </c>
      <c r="L188" s="10">
        <f t="shared" si="5"/>
        <v>13</v>
      </c>
      <c r="M188" s="11">
        <v>1</v>
      </c>
      <c r="N188" s="11">
        <v>5</v>
      </c>
      <c r="O188" s="11">
        <v>6</v>
      </c>
      <c r="P188" s="11">
        <v>7</v>
      </c>
      <c r="Q188" s="11">
        <v>8</v>
      </c>
      <c r="R188" s="11">
        <v>9</v>
      </c>
      <c r="S188" s="11">
        <v>10</v>
      </c>
      <c r="T188" s="11">
        <v>11</v>
      </c>
      <c r="U188" s="11">
        <v>12</v>
      </c>
      <c r="V188" s="11">
        <v>13</v>
      </c>
      <c r="W188" s="11">
        <v>14</v>
      </c>
      <c r="X188" s="11">
        <v>15</v>
      </c>
      <c r="Y188" s="11">
        <v>16</v>
      </c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</row>
    <row r="189" spans="1:159" x14ac:dyDescent="0.25">
      <c r="A189" s="7" t="str">
        <f t="shared" si="4"/>
        <v>U139730U139730</v>
      </c>
      <c r="B189" s="9" t="s">
        <v>273</v>
      </c>
      <c r="C189" s="9" t="s">
        <v>272</v>
      </c>
      <c r="D189" s="9">
        <v>144</v>
      </c>
      <c r="E189" s="9" t="s">
        <v>436</v>
      </c>
      <c r="F189" s="9" t="s">
        <v>443</v>
      </c>
      <c r="G189" s="9" t="s">
        <v>444</v>
      </c>
      <c r="H189" s="17">
        <v>46233</v>
      </c>
      <c r="I189" s="17">
        <v>46234</v>
      </c>
      <c r="J189" s="17"/>
      <c r="K189" s="10">
        <v>48</v>
      </c>
      <c r="L189" s="10">
        <f t="shared" si="5"/>
        <v>5</v>
      </c>
      <c r="M189" s="11">
        <v>3</v>
      </c>
      <c r="N189" s="11">
        <v>9</v>
      </c>
      <c r="O189" s="11">
        <v>11</v>
      </c>
      <c r="P189" s="11">
        <v>12</v>
      </c>
      <c r="Q189" s="11">
        <v>13</v>
      </c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</row>
    <row r="190" spans="1:159" x14ac:dyDescent="0.25">
      <c r="A190" s="7" t="str">
        <f t="shared" si="4"/>
        <v>U139730U139730</v>
      </c>
      <c r="B190" s="9" t="s">
        <v>273</v>
      </c>
      <c r="C190" s="9" t="s">
        <v>360</v>
      </c>
      <c r="D190" s="9">
        <v>114</v>
      </c>
      <c r="E190" s="9" t="s">
        <v>436</v>
      </c>
      <c r="F190" s="9" t="s">
        <v>443</v>
      </c>
      <c r="G190" s="9" t="s">
        <v>444</v>
      </c>
      <c r="H190" s="17">
        <v>46239</v>
      </c>
      <c r="I190" s="17"/>
      <c r="J190" s="17"/>
      <c r="K190" s="10">
        <v>90</v>
      </c>
      <c r="L190" s="10">
        <f t="shared" si="5"/>
        <v>8</v>
      </c>
      <c r="M190" s="11">
        <v>14</v>
      </c>
      <c r="N190" s="11">
        <v>15</v>
      </c>
      <c r="O190" s="11">
        <v>16</v>
      </c>
      <c r="P190" s="11">
        <v>17</v>
      </c>
      <c r="Q190" s="11">
        <v>18</v>
      </c>
      <c r="R190" s="11">
        <v>19</v>
      </c>
      <c r="S190" s="11">
        <v>20</v>
      </c>
      <c r="T190" s="11">
        <v>25</v>
      </c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</row>
    <row r="191" spans="1:159" x14ac:dyDescent="0.25">
      <c r="A191" s="7" t="str">
        <f t="shared" si="4"/>
        <v>U139732U139732</v>
      </c>
      <c r="B191" s="9" t="s">
        <v>297</v>
      </c>
      <c r="C191" s="9" t="s">
        <v>301</v>
      </c>
      <c r="D191" s="9">
        <v>114</v>
      </c>
      <c r="E191" s="9" t="s">
        <v>436</v>
      </c>
      <c r="F191" s="9" t="s">
        <v>443</v>
      </c>
      <c r="G191" s="9" t="s">
        <v>444</v>
      </c>
      <c r="H191" s="17">
        <v>46237</v>
      </c>
      <c r="I191" s="17">
        <v>46237</v>
      </c>
      <c r="J191" s="17">
        <v>46239</v>
      </c>
      <c r="K191" s="10">
        <v>114</v>
      </c>
      <c r="L191" s="10">
        <f t="shared" si="5"/>
        <v>12</v>
      </c>
      <c r="M191" s="11">
        <v>1</v>
      </c>
      <c r="N191" s="11">
        <v>2</v>
      </c>
      <c r="O191" s="11">
        <v>3</v>
      </c>
      <c r="P191" s="11">
        <v>4</v>
      </c>
      <c r="Q191" s="11">
        <v>5</v>
      </c>
      <c r="R191" s="11">
        <v>6</v>
      </c>
      <c r="S191" s="11">
        <v>7</v>
      </c>
      <c r="T191" s="11">
        <v>8</v>
      </c>
      <c r="U191" s="11">
        <v>9</v>
      </c>
      <c r="V191" s="11">
        <v>10</v>
      </c>
      <c r="W191" s="11">
        <v>11</v>
      </c>
      <c r="X191" s="11">
        <v>12</v>
      </c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</row>
    <row r="192" spans="1:159" x14ac:dyDescent="0.25">
      <c r="A192" s="7" t="str">
        <f t="shared" si="4"/>
        <v>U139732U139732</v>
      </c>
      <c r="B192" s="9" t="s">
        <v>297</v>
      </c>
      <c r="C192" s="9" t="s">
        <v>296</v>
      </c>
      <c r="D192" s="9">
        <v>72</v>
      </c>
      <c r="E192" s="9" t="s">
        <v>436</v>
      </c>
      <c r="F192" s="9" t="s">
        <v>443</v>
      </c>
      <c r="G192" s="9" t="s">
        <v>444</v>
      </c>
      <c r="H192" s="17">
        <v>46237</v>
      </c>
      <c r="I192" s="17">
        <v>46237</v>
      </c>
      <c r="J192" s="17">
        <v>46239</v>
      </c>
      <c r="K192" s="10">
        <v>72</v>
      </c>
      <c r="L192" s="10">
        <f t="shared" si="5"/>
        <v>12</v>
      </c>
      <c r="M192" s="11">
        <v>13</v>
      </c>
      <c r="N192" s="11">
        <v>14</v>
      </c>
      <c r="O192" s="11">
        <v>15</v>
      </c>
      <c r="P192" s="11">
        <v>16</v>
      </c>
      <c r="Q192" s="11">
        <v>17</v>
      </c>
      <c r="R192" s="11">
        <v>18</v>
      </c>
      <c r="S192" s="11">
        <v>19</v>
      </c>
      <c r="T192" s="11">
        <v>20</v>
      </c>
      <c r="U192" s="11">
        <v>21</v>
      </c>
      <c r="V192" s="11">
        <v>22</v>
      </c>
      <c r="W192" s="11">
        <v>23</v>
      </c>
      <c r="X192" s="11">
        <v>24</v>
      </c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</row>
    <row r="193" spans="1:159" x14ac:dyDescent="0.25">
      <c r="A193" s="7" t="str">
        <f t="shared" si="4"/>
        <v>U139742U139742</v>
      </c>
      <c r="B193" s="9" t="s">
        <v>114</v>
      </c>
      <c r="C193" s="9" t="s">
        <v>66</v>
      </c>
      <c r="D193" s="9">
        <v>348</v>
      </c>
      <c r="E193" s="9" t="s">
        <v>436</v>
      </c>
      <c r="F193" s="9" t="s">
        <v>443</v>
      </c>
      <c r="G193" s="9" t="s">
        <v>444</v>
      </c>
      <c r="H193" s="17">
        <v>46217</v>
      </c>
      <c r="I193" s="17">
        <v>46225</v>
      </c>
      <c r="J193" s="17">
        <v>46227</v>
      </c>
      <c r="K193" s="10">
        <v>12</v>
      </c>
      <c r="L193" s="10">
        <f t="shared" si="5"/>
        <v>1</v>
      </c>
      <c r="M193" s="11">
        <v>7</v>
      </c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</row>
    <row r="194" spans="1:159" x14ac:dyDescent="0.25">
      <c r="A194" s="7" t="str">
        <f t="shared" si="4"/>
        <v>U139776U139776</v>
      </c>
      <c r="B194" s="9" t="s">
        <v>357</v>
      </c>
      <c r="C194" s="9" t="s">
        <v>70</v>
      </c>
      <c r="D194" s="9">
        <v>522</v>
      </c>
      <c r="E194" s="9" t="s">
        <v>436</v>
      </c>
      <c r="F194" s="9" t="s">
        <v>437</v>
      </c>
      <c r="G194" s="9" t="s">
        <v>438</v>
      </c>
      <c r="H194" s="17">
        <v>46239</v>
      </c>
      <c r="I194" s="17"/>
      <c r="J194" s="17"/>
      <c r="K194" s="10">
        <v>396</v>
      </c>
      <c r="L194" s="10">
        <f t="shared" si="5"/>
        <v>33</v>
      </c>
      <c r="M194" s="11">
        <v>2</v>
      </c>
      <c r="N194" s="11">
        <v>3</v>
      </c>
      <c r="O194" s="11">
        <v>5</v>
      </c>
      <c r="P194" s="11">
        <v>6</v>
      </c>
      <c r="Q194" s="11">
        <v>7</v>
      </c>
      <c r="R194" s="11">
        <v>8</v>
      </c>
      <c r="S194" s="11">
        <v>9</v>
      </c>
      <c r="T194" s="11">
        <v>10</v>
      </c>
      <c r="U194" s="11">
        <v>12</v>
      </c>
      <c r="V194" s="11">
        <v>13</v>
      </c>
      <c r="W194" s="11">
        <v>14</v>
      </c>
      <c r="X194" s="11">
        <v>16</v>
      </c>
      <c r="Y194" s="11">
        <v>17</v>
      </c>
      <c r="Z194" s="11">
        <v>18</v>
      </c>
      <c r="AA194" s="11">
        <v>19</v>
      </c>
      <c r="AB194" s="11">
        <v>21</v>
      </c>
      <c r="AC194" s="11">
        <v>22</v>
      </c>
      <c r="AD194" s="11">
        <v>23</v>
      </c>
      <c r="AE194" s="11">
        <v>24</v>
      </c>
      <c r="AF194" s="11">
        <v>25</v>
      </c>
      <c r="AG194" s="11">
        <v>27</v>
      </c>
      <c r="AH194" s="11">
        <v>28</v>
      </c>
      <c r="AI194" s="11">
        <v>29</v>
      </c>
      <c r="AJ194" s="11">
        <v>30</v>
      </c>
      <c r="AK194" s="11">
        <v>31</v>
      </c>
      <c r="AL194" s="11">
        <v>32</v>
      </c>
      <c r="AM194" s="11">
        <v>35</v>
      </c>
      <c r="AN194" s="11">
        <v>36</v>
      </c>
      <c r="AO194" s="11">
        <v>37</v>
      </c>
      <c r="AP194" s="11">
        <v>38</v>
      </c>
      <c r="AQ194" s="11">
        <v>39</v>
      </c>
      <c r="AR194" s="11">
        <v>40</v>
      </c>
      <c r="AS194" s="11">
        <v>41</v>
      </c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</row>
    <row r="195" spans="1:159" x14ac:dyDescent="0.25">
      <c r="A195" s="7" t="str">
        <f t="shared" ref="A195:A258" si="6">+B195&amp;B195</f>
        <v>U139777U139777</v>
      </c>
      <c r="B195" s="9" t="s">
        <v>256</v>
      </c>
      <c r="C195" s="9" t="s">
        <v>52</v>
      </c>
      <c r="D195" s="9">
        <v>900</v>
      </c>
      <c r="E195" s="9" t="s">
        <v>436</v>
      </c>
      <c r="F195" s="9" t="s">
        <v>437</v>
      </c>
      <c r="G195" s="9" t="s">
        <v>438</v>
      </c>
      <c r="H195" s="17">
        <v>46233</v>
      </c>
      <c r="I195" s="17"/>
      <c r="J195" s="17"/>
      <c r="K195" s="10">
        <v>492</v>
      </c>
      <c r="L195" s="10">
        <f t="shared" ref="L195:L258" si="7">+COUNT(M195:FC195)</f>
        <v>41</v>
      </c>
      <c r="M195" s="11">
        <v>18</v>
      </c>
      <c r="N195" s="11">
        <v>19</v>
      </c>
      <c r="O195" s="11">
        <v>20</v>
      </c>
      <c r="P195" s="11">
        <v>21</v>
      </c>
      <c r="Q195" s="11">
        <v>22</v>
      </c>
      <c r="R195" s="11">
        <v>23</v>
      </c>
      <c r="S195" s="11">
        <v>24</v>
      </c>
      <c r="T195" s="11">
        <v>25</v>
      </c>
      <c r="U195" s="11">
        <v>26</v>
      </c>
      <c r="V195" s="11">
        <v>27</v>
      </c>
      <c r="W195" s="11">
        <v>29</v>
      </c>
      <c r="X195" s="11">
        <v>30</v>
      </c>
      <c r="Y195" s="11">
        <v>31</v>
      </c>
      <c r="Z195" s="11">
        <v>32</v>
      </c>
      <c r="AA195" s="11">
        <v>33</v>
      </c>
      <c r="AB195" s="11">
        <v>34</v>
      </c>
      <c r="AC195" s="11">
        <v>46</v>
      </c>
      <c r="AD195" s="11">
        <v>47</v>
      </c>
      <c r="AE195" s="11">
        <v>48</v>
      </c>
      <c r="AF195" s="11">
        <v>49</v>
      </c>
      <c r="AG195" s="11">
        <v>50</v>
      </c>
      <c r="AH195" s="11">
        <v>51</v>
      </c>
      <c r="AI195" s="11">
        <v>52</v>
      </c>
      <c r="AJ195" s="11">
        <v>53</v>
      </c>
      <c r="AK195" s="11">
        <v>54</v>
      </c>
      <c r="AL195" s="11">
        <v>55</v>
      </c>
      <c r="AM195" s="11">
        <v>56</v>
      </c>
      <c r="AN195" s="11">
        <v>57</v>
      </c>
      <c r="AO195" s="11">
        <v>61</v>
      </c>
      <c r="AP195" s="11">
        <v>62</v>
      </c>
      <c r="AQ195" s="11">
        <v>63</v>
      </c>
      <c r="AR195" s="11">
        <v>64</v>
      </c>
      <c r="AS195" s="11">
        <v>65</v>
      </c>
      <c r="AT195" s="11">
        <v>66</v>
      </c>
      <c r="AU195" s="11">
        <v>67</v>
      </c>
      <c r="AV195" s="11">
        <v>68</v>
      </c>
      <c r="AW195" s="11">
        <v>69</v>
      </c>
      <c r="AX195" s="11">
        <v>70</v>
      </c>
      <c r="AY195" s="11">
        <v>71</v>
      </c>
      <c r="AZ195" s="11">
        <v>72</v>
      </c>
      <c r="BA195" s="11">
        <v>73</v>
      </c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</row>
    <row r="196" spans="1:159" x14ac:dyDescent="0.25">
      <c r="A196" s="7" t="str">
        <f t="shared" si="6"/>
        <v>U139802U139802</v>
      </c>
      <c r="B196" s="9" t="s">
        <v>271</v>
      </c>
      <c r="C196" s="9" t="s">
        <v>132</v>
      </c>
      <c r="D196" s="9">
        <v>2508</v>
      </c>
      <c r="E196" s="9" t="s">
        <v>436</v>
      </c>
      <c r="F196" s="9" t="s">
        <v>453</v>
      </c>
      <c r="G196" s="9" t="s">
        <v>438</v>
      </c>
      <c r="H196" s="17">
        <v>46233</v>
      </c>
      <c r="I196" s="17">
        <v>46239</v>
      </c>
      <c r="J196" s="17">
        <v>46239</v>
      </c>
      <c r="K196" s="10">
        <v>156</v>
      </c>
      <c r="L196" s="10">
        <f t="shared" si="7"/>
        <v>13</v>
      </c>
      <c r="M196" s="11">
        <v>1</v>
      </c>
      <c r="N196" s="11">
        <v>2</v>
      </c>
      <c r="O196" s="11">
        <v>3</v>
      </c>
      <c r="P196" s="11">
        <v>4</v>
      </c>
      <c r="Q196" s="11">
        <v>5</v>
      </c>
      <c r="R196" s="11">
        <v>6</v>
      </c>
      <c r="S196" s="11">
        <v>7</v>
      </c>
      <c r="T196" s="11">
        <v>8</v>
      </c>
      <c r="U196" s="11">
        <v>9</v>
      </c>
      <c r="V196" s="11">
        <v>10</v>
      </c>
      <c r="W196" s="11">
        <v>11</v>
      </c>
      <c r="X196" s="11">
        <v>12</v>
      </c>
      <c r="Y196" s="11">
        <v>13</v>
      </c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</row>
    <row r="197" spans="1:159" x14ac:dyDescent="0.25">
      <c r="A197" s="7" t="str">
        <f t="shared" si="6"/>
        <v>U139817U139817</v>
      </c>
      <c r="B197" s="9" t="s">
        <v>341</v>
      </c>
      <c r="C197" s="9" t="s">
        <v>132</v>
      </c>
      <c r="D197" s="9">
        <v>1080</v>
      </c>
      <c r="E197" s="9" t="s">
        <v>436</v>
      </c>
      <c r="F197" s="9" t="s">
        <v>454</v>
      </c>
      <c r="G197" s="9" t="s">
        <v>438</v>
      </c>
      <c r="H197" s="17">
        <v>46238</v>
      </c>
      <c r="I197" s="17"/>
      <c r="J197" s="17"/>
      <c r="K197" s="10">
        <v>210</v>
      </c>
      <c r="L197" s="10">
        <f t="shared" si="7"/>
        <v>35</v>
      </c>
      <c r="M197" s="11">
        <v>1</v>
      </c>
      <c r="N197" s="11">
        <v>2</v>
      </c>
      <c r="O197" s="11">
        <v>3</v>
      </c>
      <c r="P197" s="11">
        <v>4</v>
      </c>
      <c r="Q197" s="11">
        <v>5</v>
      </c>
      <c r="R197" s="11">
        <v>6</v>
      </c>
      <c r="S197" s="11">
        <v>7</v>
      </c>
      <c r="T197" s="11">
        <v>8</v>
      </c>
      <c r="U197" s="11">
        <v>9</v>
      </c>
      <c r="V197" s="11">
        <v>10</v>
      </c>
      <c r="W197" s="11">
        <v>11</v>
      </c>
      <c r="X197" s="11">
        <v>12</v>
      </c>
      <c r="Y197" s="11">
        <v>13</v>
      </c>
      <c r="Z197" s="11">
        <v>14</v>
      </c>
      <c r="AA197" s="11">
        <v>15</v>
      </c>
      <c r="AB197" s="11">
        <v>16</v>
      </c>
      <c r="AC197" s="11">
        <v>17</v>
      </c>
      <c r="AD197" s="11">
        <v>18</v>
      </c>
      <c r="AE197" s="11">
        <v>19</v>
      </c>
      <c r="AF197" s="11">
        <v>20</v>
      </c>
      <c r="AG197" s="11">
        <v>21</v>
      </c>
      <c r="AH197" s="11">
        <v>22</v>
      </c>
      <c r="AI197" s="11">
        <v>23</v>
      </c>
      <c r="AJ197" s="11">
        <v>24</v>
      </c>
      <c r="AK197" s="11">
        <v>25</v>
      </c>
      <c r="AL197" s="11">
        <v>26</v>
      </c>
      <c r="AM197" s="11">
        <v>27</v>
      </c>
      <c r="AN197" s="11">
        <v>28</v>
      </c>
      <c r="AO197" s="11">
        <v>29</v>
      </c>
      <c r="AP197" s="11">
        <v>30</v>
      </c>
      <c r="AQ197" s="11">
        <v>46</v>
      </c>
      <c r="AR197" s="11">
        <v>47</v>
      </c>
      <c r="AS197" s="11">
        <v>48</v>
      </c>
      <c r="AT197" s="11">
        <v>50</v>
      </c>
      <c r="AU197" s="11">
        <v>52</v>
      </c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</row>
    <row r="198" spans="1:159" x14ac:dyDescent="0.25">
      <c r="A198" s="7" t="str">
        <f t="shared" si="6"/>
        <v>U139822U139822</v>
      </c>
      <c r="B198" s="9" t="s">
        <v>334</v>
      </c>
      <c r="C198" s="9" t="s">
        <v>132</v>
      </c>
      <c r="D198" s="9">
        <v>1080</v>
      </c>
      <c r="E198" s="9" t="s">
        <v>436</v>
      </c>
      <c r="F198" s="9" t="s">
        <v>455</v>
      </c>
      <c r="G198" s="9" t="s">
        <v>438</v>
      </c>
      <c r="H198" s="17">
        <v>46238</v>
      </c>
      <c r="I198" s="17"/>
      <c r="J198" s="17"/>
      <c r="K198" s="10">
        <v>528</v>
      </c>
      <c r="L198" s="10">
        <f t="shared" si="7"/>
        <v>88</v>
      </c>
      <c r="M198" s="11">
        <v>1</v>
      </c>
      <c r="N198" s="11">
        <v>2</v>
      </c>
      <c r="O198" s="11">
        <v>3</v>
      </c>
      <c r="P198" s="11">
        <v>4</v>
      </c>
      <c r="Q198" s="11">
        <v>5</v>
      </c>
      <c r="R198" s="11">
        <v>6</v>
      </c>
      <c r="S198" s="11">
        <v>7</v>
      </c>
      <c r="T198" s="11">
        <v>8</v>
      </c>
      <c r="U198" s="11">
        <v>9</v>
      </c>
      <c r="V198" s="11">
        <v>10</v>
      </c>
      <c r="W198" s="11">
        <v>11</v>
      </c>
      <c r="X198" s="11">
        <v>12</v>
      </c>
      <c r="Y198" s="11">
        <v>13</v>
      </c>
      <c r="Z198" s="11">
        <v>14</v>
      </c>
      <c r="AA198" s="11">
        <v>15</v>
      </c>
      <c r="AB198" s="11">
        <v>16</v>
      </c>
      <c r="AC198" s="11">
        <v>17</v>
      </c>
      <c r="AD198" s="11">
        <v>18</v>
      </c>
      <c r="AE198" s="11">
        <v>19</v>
      </c>
      <c r="AF198" s="11">
        <v>20</v>
      </c>
      <c r="AG198" s="11">
        <v>21</v>
      </c>
      <c r="AH198" s="11">
        <v>22</v>
      </c>
      <c r="AI198" s="11">
        <v>23</v>
      </c>
      <c r="AJ198" s="11">
        <v>24</v>
      </c>
      <c r="AK198" s="11">
        <v>25</v>
      </c>
      <c r="AL198" s="11">
        <v>26</v>
      </c>
      <c r="AM198" s="11">
        <v>27</v>
      </c>
      <c r="AN198" s="11">
        <v>28</v>
      </c>
      <c r="AO198" s="11">
        <v>29</v>
      </c>
      <c r="AP198" s="11">
        <v>30</v>
      </c>
      <c r="AQ198" s="11">
        <v>31</v>
      </c>
      <c r="AR198" s="11">
        <v>32</v>
      </c>
      <c r="AS198" s="11">
        <v>33</v>
      </c>
      <c r="AT198" s="11">
        <v>34</v>
      </c>
      <c r="AU198" s="11">
        <v>35</v>
      </c>
      <c r="AV198" s="11">
        <v>36</v>
      </c>
      <c r="AW198" s="11">
        <v>37</v>
      </c>
      <c r="AX198" s="11">
        <v>38</v>
      </c>
      <c r="AY198" s="11">
        <v>39</v>
      </c>
      <c r="AZ198" s="11">
        <v>40</v>
      </c>
      <c r="BA198" s="11">
        <v>41</v>
      </c>
      <c r="BB198" s="11">
        <v>42</v>
      </c>
      <c r="BC198" s="11">
        <v>43</v>
      </c>
      <c r="BD198" s="11">
        <v>44</v>
      </c>
      <c r="BE198" s="11">
        <v>45</v>
      </c>
      <c r="BF198" s="11">
        <v>46</v>
      </c>
      <c r="BG198" s="11">
        <v>47</v>
      </c>
      <c r="BH198" s="11">
        <v>48</v>
      </c>
      <c r="BI198" s="11">
        <v>49</v>
      </c>
      <c r="BJ198" s="11">
        <v>50</v>
      </c>
      <c r="BK198" s="11">
        <v>51</v>
      </c>
      <c r="BL198" s="11">
        <v>52</v>
      </c>
      <c r="BM198" s="11">
        <v>53</v>
      </c>
      <c r="BN198" s="11">
        <v>54</v>
      </c>
      <c r="BO198" s="11">
        <v>55</v>
      </c>
      <c r="BP198" s="11">
        <v>56</v>
      </c>
      <c r="BQ198" s="11">
        <v>57</v>
      </c>
      <c r="BR198" s="11">
        <v>58</v>
      </c>
      <c r="BS198" s="11">
        <v>59</v>
      </c>
      <c r="BT198" s="11">
        <v>60</v>
      </c>
      <c r="BU198" s="11">
        <v>61</v>
      </c>
      <c r="BV198" s="11">
        <v>62</v>
      </c>
      <c r="BW198" s="11">
        <v>63</v>
      </c>
      <c r="BX198" s="11">
        <v>64</v>
      </c>
      <c r="BY198" s="11">
        <v>65</v>
      </c>
      <c r="BZ198" s="11">
        <v>66</v>
      </c>
      <c r="CA198" s="11">
        <v>67</v>
      </c>
      <c r="CB198" s="11">
        <v>68</v>
      </c>
      <c r="CC198" s="11">
        <v>69</v>
      </c>
      <c r="CD198" s="11">
        <v>70</v>
      </c>
      <c r="CE198" s="11">
        <v>71</v>
      </c>
      <c r="CF198" s="11">
        <v>72</v>
      </c>
      <c r="CG198" s="11">
        <v>73</v>
      </c>
      <c r="CH198" s="11">
        <v>74</v>
      </c>
      <c r="CI198" s="11">
        <v>75</v>
      </c>
      <c r="CJ198" s="11">
        <v>76</v>
      </c>
      <c r="CK198" s="11">
        <v>77</v>
      </c>
      <c r="CL198" s="11">
        <v>78</v>
      </c>
      <c r="CM198" s="11">
        <v>79</v>
      </c>
      <c r="CN198" s="11">
        <v>80</v>
      </c>
      <c r="CO198" s="11">
        <v>81</v>
      </c>
      <c r="CP198" s="11">
        <v>82</v>
      </c>
      <c r="CQ198" s="11">
        <v>83</v>
      </c>
      <c r="CR198" s="11">
        <v>84</v>
      </c>
      <c r="CS198" s="11">
        <v>85</v>
      </c>
      <c r="CT198" s="11">
        <v>86</v>
      </c>
      <c r="CU198" s="11">
        <v>87</v>
      </c>
      <c r="CV198" s="11">
        <v>88</v>
      </c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</row>
    <row r="199" spans="1:159" x14ac:dyDescent="0.25">
      <c r="A199" s="7" t="str">
        <f t="shared" si="6"/>
        <v>U139823U139823</v>
      </c>
      <c r="B199" s="9" t="s">
        <v>354</v>
      </c>
      <c r="C199" s="9" t="s">
        <v>132</v>
      </c>
      <c r="D199" s="9">
        <v>1620</v>
      </c>
      <c r="E199" s="9" t="s">
        <v>436</v>
      </c>
      <c r="F199" s="9" t="s">
        <v>449</v>
      </c>
      <c r="G199" s="9" t="s">
        <v>438</v>
      </c>
      <c r="H199" s="17">
        <v>46239</v>
      </c>
      <c r="I199" s="17"/>
      <c r="J199" s="17"/>
      <c r="K199" s="10">
        <v>360</v>
      </c>
      <c r="L199" s="10">
        <f t="shared" si="7"/>
        <v>40</v>
      </c>
      <c r="M199" s="11">
        <v>1</v>
      </c>
      <c r="N199" s="11">
        <v>2</v>
      </c>
      <c r="O199" s="11">
        <v>3</v>
      </c>
      <c r="P199" s="11">
        <v>4</v>
      </c>
      <c r="Q199" s="11">
        <v>5</v>
      </c>
      <c r="R199" s="11">
        <v>6</v>
      </c>
      <c r="S199" s="11">
        <v>7</v>
      </c>
      <c r="T199" s="11">
        <v>8</v>
      </c>
      <c r="U199" s="11">
        <v>9</v>
      </c>
      <c r="V199" s="11">
        <v>10</v>
      </c>
      <c r="W199" s="11">
        <v>11</v>
      </c>
      <c r="X199" s="11">
        <v>12</v>
      </c>
      <c r="Y199" s="11">
        <v>13</v>
      </c>
      <c r="Z199" s="11">
        <v>14</v>
      </c>
      <c r="AA199" s="11">
        <v>15</v>
      </c>
      <c r="AB199" s="11">
        <v>16</v>
      </c>
      <c r="AC199" s="11">
        <v>17</v>
      </c>
      <c r="AD199" s="11">
        <v>18</v>
      </c>
      <c r="AE199" s="11">
        <v>19</v>
      </c>
      <c r="AF199" s="11">
        <v>20</v>
      </c>
      <c r="AG199" s="11">
        <v>21</v>
      </c>
      <c r="AH199" s="11">
        <v>22</v>
      </c>
      <c r="AI199" s="11">
        <v>23</v>
      </c>
      <c r="AJ199" s="11">
        <v>24</v>
      </c>
      <c r="AK199" s="11">
        <v>25</v>
      </c>
      <c r="AL199" s="11">
        <v>26</v>
      </c>
      <c r="AM199" s="11">
        <v>27</v>
      </c>
      <c r="AN199" s="11">
        <v>28</v>
      </c>
      <c r="AO199" s="11">
        <v>30</v>
      </c>
      <c r="AP199" s="11">
        <v>31</v>
      </c>
      <c r="AQ199" s="11">
        <v>32</v>
      </c>
      <c r="AR199" s="11">
        <v>33</v>
      </c>
      <c r="AS199" s="11">
        <v>34</v>
      </c>
      <c r="AT199" s="11">
        <v>35</v>
      </c>
      <c r="AU199" s="11">
        <v>36</v>
      </c>
      <c r="AV199" s="11">
        <v>37</v>
      </c>
      <c r="AW199" s="11">
        <v>38</v>
      </c>
      <c r="AX199" s="11">
        <v>39</v>
      </c>
      <c r="AY199" s="11">
        <v>40</v>
      </c>
      <c r="AZ199" s="11">
        <v>41</v>
      </c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</row>
    <row r="200" spans="1:159" x14ac:dyDescent="0.25">
      <c r="A200" s="7" t="str">
        <f t="shared" si="6"/>
        <v>U139824U139824</v>
      </c>
      <c r="B200" s="9" t="s">
        <v>162</v>
      </c>
      <c r="C200" s="9" t="s">
        <v>132</v>
      </c>
      <c r="D200" s="9">
        <v>1080</v>
      </c>
      <c r="E200" s="9" t="s">
        <v>436</v>
      </c>
      <c r="F200" s="9" t="s">
        <v>451</v>
      </c>
      <c r="G200" s="9" t="s">
        <v>438</v>
      </c>
      <c r="H200" s="17">
        <v>46224</v>
      </c>
      <c r="I200" s="17">
        <v>46226</v>
      </c>
      <c r="J200" s="17">
        <v>46226</v>
      </c>
      <c r="K200" s="10">
        <v>270</v>
      </c>
      <c r="L200" s="10">
        <f t="shared" si="7"/>
        <v>30</v>
      </c>
      <c r="M200" s="11">
        <v>1</v>
      </c>
      <c r="N200" s="11">
        <v>2</v>
      </c>
      <c r="O200" s="11">
        <v>3</v>
      </c>
      <c r="P200" s="11">
        <v>4</v>
      </c>
      <c r="Q200" s="11">
        <v>5</v>
      </c>
      <c r="R200" s="11">
        <v>6</v>
      </c>
      <c r="S200" s="11">
        <v>7</v>
      </c>
      <c r="T200" s="11">
        <v>8</v>
      </c>
      <c r="U200" s="11">
        <v>9</v>
      </c>
      <c r="V200" s="11">
        <v>10</v>
      </c>
      <c r="W200" s="11">
        <v>11</v>
      </c>
      <c r="X200" s="11">
        <v>12</v>
      </c>
      <c r="Y200" s="11">
        <v>13</v>
      </c>
      <c r="Z200" s="11">
        <v>14</v>
      </c>
      <c r="AA200" s="11">
        <v>15</v>
      </c>
      <c r="AB200" s="11">
        <v>16</v>
      </c>
      <c r="AC200" s="11">
        <v>17</v>
      </c>
      <c r="AD200" s="11">
        <v>18</v>
      </c>
      <c r="AE200" s="11">
        <v>19</v>
      </c>
      <c r="AF200" s="11">
        <v>20</v>
      </c>
      <c r="AG200" s="11">
        <v>21</v>
      </c>
      <c r="AH200" s="11">
        <v>22</v>
      </c>
      <c r="AI200" s="11">
        <v>23</v>
      </c>
      <c r="AJ200" s="11">
        <v>24</v>
      </c>
      <c r="AK200" s="11">
        <v>25</v>
      </c>
      <c r="AL200" s="11">
        <v>26</v>
      </c>
      <c r="AM200" s="11">
        <v>32</v>
      </c>
      <c r="AN200" s="11">
        <v>39</v>
      </c>
      <c r="AO200" s="11">
        <v>40</v>
      </c>
      <c r="AP200" s="11">
        <v>42</v>
      </c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</row>
    <row r="201" spans="1:159" x14ac:dyDescent="0.25">
      <c r="A201" s="7" t="str">
        <f t="shared" si="6"/>
        <v>U139825U139825</v>
      </c>
      <c r="B201" s="9" t="s">
        <v>170</v>
      </c>
      <c r="C201" s="9" t="s">
        <v>132</v>
      </c>
      <c r="D201" s="9">
        <v>816</v>
      </c>
      <c r="E201" s="9" t="s">
        <v>436</v>
      </c>
      <c r="F201" s="9" t="s">
        <v>455</v>
      </c>
      <c r="G201" s="9" t="s">
        <v>438</v>
      </c>
      <c r="H201" s="17">
        <v>46225</v>
      </c>
      <c r="I201" s="17">
        <v>46226</v>
      </c>
      <c r="J201" s="17">
        <v>46227</v>
      </c>
      <c r="K201" s="10">
        <v>282</v>
      </c>
      <c r="L201" s="10">
        <f t="shared" si="7"/>
        <v>24</v>
      </c>
      <c r="M201" s="11">
        <v>1</v>
      </c>
      <c r="N201" s="11">
        <v>8</v>
      </c>
      <c r="O201" s="11">
        <v>11</v>
      </c>
      <c r="P201" s="11">
        <v>12</v>
      </c>
      <c r="Q201" s="11">
        <v>18</v>
      </c>
      <c r="R201" s="11">
        <v>22</v>
      </c>
      <c r="S201" s="11">
        <v>38</v>
      </c>
      <c r="T201" s="11">
        <v>39</v>
      </c>
      <c r="U201" s="11">
        <v>44</v>
      </c>
      <c r="V201" s="11">
        <v>45</v>
      </c>
      <c r="W201" s="11">
        <v>46</v>
      </c>
      <c r="X201" s="11">
        <v>47</v>
      </c>
      <c r="Y201" s="11">
        <v>48</v>
      </c>
      <c r="Z201" s="11">
        <v>49</v>
      </c>
      <c r="AA201" s="11">
        <v>50</v>
      </c>
      <c r="AB201" s="11">
        <v>51</v>
      </c>
      <c r="AC201" s="11">
        <v>59</v>
      </c>
      <c r="AD201" s="11">
        <v>60</v>
      </c>
      <c r="AE201" s="11">
        <v>61</v>
      </c>
      <c r="AF201" s="11">
        <v>62</v>
      </c>
      <c r="AG201" s="11">
        <v>63</v>
      </c>
      <c r="AH201" s="11">
        <v>64</v>
      </c>
      <c r="AI201" s="11">
        <v>65</v>
      </c>
      <c r="AJ201" s="11">
        <v>70</v>
      </c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</row>
    <row r="202" spans="1:159" x14ac:dyDescent="0.25">
      <c r="A202" s="7" t="str">
        <f t="shared" si="6"/>
        <v>U139826U139826</v>
      </c>
      <c r="B202" s="9" t="s">
        <v>187</v>
      </c>
      <c r="C202" s="9" t="s">
        <v>132</v>
      </c>
      <c r="D202" s="9">
        <v>1080</v>
      </c>
      <c r="E202" s="9" t="s">
        <v>436</v>
      </c>
      <c r="F202" s="9" t="s">
        <v>450</v>
      </c>
      <c r="G202" s="9" t="s">
        <v>438</v>
      </c>
      <c r="H202" s="17">
        <v>46226</v>
      </c>
      <c r="I202" s="17">
        <v>46231</v>
      </c>
      <c r="J202" s="17">
        <v>46231</v>
      </c>
      <c r="K202" s="10">
        <v>306</v>
      </c>
      <c r="L202" s="10">
        <f t="shared" si="7"/>
        <v>34</v>
      </c>
      <c r="M202" s="11">
        <v>1</v>
      </c>
      <c r="N202" s="11">
        <v>2</v>
      </c>
      <c r="O202" s="11">
        <v>3</v>
      </c>
      <c r="P202" s="11">
        <v>4</v>
      </c>
      <c r="Q202" s="11">
        <v>5</v>
      </c>
      <c r="R202" s="11">
        <v>6</v>
      </c>
      <c r="S202" s="11">
        <v>7</v>
      </c>
      <c r="T202" s="11">
        <v>8</v>
      </c>
      <c r="U202" s="11">
        <v>9</v>
      </c>
      <c r="V202" s="11">
        <v>10</v>
      </c>
      <c r="W202" s="11">
        <v>11</v>
      </c>
      <c r="X202" s="11">
        <v>12</v>
      </c>
      <c r="Y202" s="11">
        <v>13</v>
      </c>
      <c r="Z202" s="11">
        <v>14</v>
      </c>
      <c r="AA202" s="11">
        <v>15</v>
      </c>
      <c r="AB202" s="11">
        <v>16</v>
      </c>
      <c r="AC202" s="11">
        <v>17</v>
      </c>
      <c r="AD202" s="11">
        <v>18</v>
      </c>
      <c r="AE202" s="11">
        <v>19</v>
      </c>
      <c r="AF202" s="11">
        <v>20</v>
      </c>
      <c r="AG202" s="11">
        <v>21</v>
      </c>
      <c r="AH202" s="11">
        <v>22</v>
      </c>
      <c r="AI202" s="11">
        <v>23</v>
      </c>
      <c r="AJ202" s="11">
        <v>24</v>
      </c>
      <c r="AK202" s="11">
        <v>25</v>
      </c>
      <c r="AL202" s="11">
        <v>26</v>
      </c>
      <c r="AM202" s="11">
        <v>27</v>
      </c>
      <c r="AN202" s="11">
        <v>28</v>
      </c>
      <c r="AO202" s="11">
        <v>29</v>
      </c>
      <c r="AP202" s="11">
        <v>30</v>
      </c>
      <c r="AQ202" s="11">
        <v>31</v>
      </c>
      <c r="AR202" s="11">
        <v>32</v>
      </c>
      <c r="AS202" s="11">
        <v>33</v>
      </c>
      <c r="AT202" s="11">
        <v>34</v>
      </c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</row>
    <row r="203" spans="1:159" x14ac:dyDescent="0.25">
      <c r="A203" s="7" t="str">
        <f t="shared" si="6"/>
        <v>U139828U139828</v>
      </c>
      <c r="B203" s="9" t="s">
        <v>190</v>
      </c>
      <c r="C203" s="9" t="s">
        <v>132</v>
      </c>
      <c r="D203" s="9">
        <v>1080</v>
      </c>
      <c r="E203" s="9" t="s">
        <v>436</v>
      </c>
      <c r="F203" s="9" t="s">
        <v>451</v>
      </c>
      <c r="G203" s="9" t="s">
        <v>438</v>
      </c>
      <c r="H203" s="17">
        <v>46226</v>
      </c>
      <c r="I203" s="17">
        <v>46231</v>
      </c>
      <c r="J203" s="17">
        <v>46231</v>
      </c>
      <c r="K203" s="10">
        <v>198</v>
      </c>
      <c r="L203" s="10">
        <f t="shared" si="7"/>
        <v>33</v>
      </c>
      <c r="M203" s="11">
        <v>2</v>
      </c>
      <c r="N203" s="11">
        <v>3</v>
      </c>
      <c r="O203" s="11">
        <v>4</v>
      </c>
      <c r="P203" s="11">
        <v>5</v>
      </c>
      <c r="Q203" s="11">
        <v>6</v>
      </c>
      <c r="R203" s="11">
        <v>8</v>
      </c>
      <c r="S203" s="11">
        <v>9</v>
      </c>
      <c r="T203" s="11">
        <v>10</v>
      </c>
      <c r="U203" s="11">
        <v>11</v>
      </c>
      <c r="V203" s="11">
        <v>12</v>
      </c>
      <c r="W203" s="11">
        <v>13</v>
      </c>
      <c r="X203" s="11">
        <v>14</v>
      </c>
      <c r="Y203" s="11">
        <v>15</v>
      </c>
      <c r="Z203" s="11">
        <v>16</v>
      </c>
      <c r="AA203" s="11">
        <v>17</v>
      </c>
      <c r="AB203" s="11">
        <v>19</v>
      </c>
      <c r="AC203" s="11">
        <v>20</v>
      </c>
      <c r="AD203" s="11">
        <v>21</v>
      </c>
      <c r="AE203" s="11">
        <v>23</v>
      </c>
      <c r="AF203" s="11">
        <v>24</v>
      </c>
      <c r="AG203" s="11">
        <v>25</v>
      </c>
      <c r="AH203" s="11">
        <v>26</v>
      </c>
      <c r="AI203" s="11">
        <v>27</v>
      </c>
      <c r="AJ203" s="11">
        <v>28</v>
      </c>
      <c r="AK203" s="11">
        <v>29</v>
      </c>
      <c r="AL203" s="11">
        <v>30</v>
      </c>
      <c r="AM203" s="11">
        <v>31</v>
      </c>
      <c r="AN203" s="11">
        <v>32</v>
      </c>
      <c r="AO203" s="11">
        <v>33</v>
      </c>
      <c r="AP203" s="11">
        <v>35</v>
      </c>
      <c r="AQ203" s="11">
        <v>36</v>
      </c>
      <c r="AR203" s="11">
        <v>47</v>
      </c>
      <c r="AS203" s="11">
        <v>48</v>
      </c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</row>
    <row r="204" spans="1:159" x14ac:dyDescent="0.25">
      <c r="A204" s="7" t="str">
        <f t="shared" si="6"/>
        <v>U139829U139829</v>
      </c>
      <c r="B204" s="9" t="s">
        <v>206</v>
      </c>
      <c r="C204" s="9" t="s">
        <v>132</v>
      </c>
      <c r="D204" s="9">
        <v>906</v>
      </c>
      <c r="E204" s="9" t="s">
        <v>436</v>
      </c>
      <c r="F204" s="9" t="s">
        <v>451</v>
      </c>
      <c r="G204" s="9" t="s">
        <v>438</v>
      </c>
      <c r="H204" s="17">
        <v>46228</v>
      </c>
      <c r="I204" s="17">
        <v>46234</v>
      </c>
      <c r="J204" s="17">
        <v>46234</v>
      </c>
      <c r="K204" s="10">
        <v>396</v>
      </c>
      <c r="L204" s="10">
        <f t="shared" si="7"/>
        <v>33</v>
      </c>
      <c r="M204" s="11">
        <v>1</v>
      </c>
      <c r="N204" s="11">
        <v>2</v>
      </c>
      <c r="O204" s="11">
        <v>13</v>
      </c>
      <c r="P204" s="11">
        <v>14</v>
      </c>
      <c r="Q204" s="11">
        <v>15</v>
      </c>
      <c r="R204" s="11">
        <v>16</v>
      </c>
      <c r="S204" s="11">
        <v>24</v>
      </c>
      <c r="T204" s="11">
        <v>25</v>
      </c>
      <c r="U204" s="11">
        <v>26</v>
      </c>
      <c r="V204" s="11">
        <v>27</v>
      </c>
      <c r="W204" s="11">
        <v>28</v>
      </c>
      <c r="X204" s="11">
        <v>36</v>
      </c>
      <c r="Y204" s="11">
        <v>37</v>
      </c>
      <c r="Z204" s="11">
        <v>40</v>
      </c>
      <c r="AA204" s="11">
        <v>41</v>
      </c>
      <c r="AB204" s="11">
        <v>42</v>
      </c>
      <c r="AC204" s="11">
        <v>43</v>
      </c>
      <c r="AD204" s="11">
        <v>44</v>
      </c>
      <c r="AE204" s="11">
        <v>45</v>
      </c>
      <c r="AF204" s="11">
        <v>46</v>
      </c>
      <c r="AG204" s="11">
        <v>47</v>
      </c>
      <c r="AH204" s="11">
        <v>54</v>
      </c>
      <c r="AI204" s="11">
        <v>55</v>
      </c>
      <c r="AJ204" s="11">
        <v>56</v>
      </c>
      <c r="AK204" s="11">
        <v>57</v>
      </c>
      <c r="AL204" s="11">
        <v>58</v>
      </c>
      <c r="AM204" s="11">
        <v>62</v>
      </c>
      <c r="AN204" s="11">
        <v>66</v>
      </c>
      <c r="AO204" s="11">
        <v>67</v>
      </c>
      <c r="AP204" s="11">
        <v>68</v>
      </c>
      <c r="AQ204" s="11">
        <v>69</v>
      </c>
      <c r="AR204" s="11">
        <v>70</v>
      </c>
      <c r="AS204" s="11">
        <v>71</v>
      </c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</row>
    <row r="205" spans="1:159" x14ac:dyDescent="0.25">
      <c r="A205" s="7" t="str">
        <f t="shared" si="6"/>
        <v>U139859U139859</v>
      </c>
      <c r="B205" s="9" t="s">
        <v>319</v>
      </c>
      <c r="C205" s="9" t="s">
        <v>50</v>
      </c>
      <c r="D205" s="9">
        <v>3900</v>
      </c>
      <c r="E205" s="9" t="s">
        <v>436</v>
      </c>
      <c r="F205" s="9" t="s">
        <v>456</v>
      </c>
      <c r="G205" s="9" t="s">
        <v>438</v>
      </c>
      <c r="H205" s="17">
        <v>46237</v>
      </c>
      <c r="I205" s="17"/>
      <c r="J205" s="17"/>
      <c r="K205" s="10">
        <v>432</v>
      </c>
      <c r="L205" s="10">
        <f t="shared" si="7"/>
        <v>36</v>
      </c>
      <c r="M205" s="11">
        <v>1</v>
      </c>
      <c r="N205" s="11">
        <v>28</v>
      </c>
      <c r="O205" s="11">
        <v>29</v>
      </c>
      <c r="P205" s="11">
        <v>30</v>
      </c>
      <c r="Q205" s="11">
        <v>31</v>
      </c>
      <c r="R205" s="11">
        <v>32</v>
      </c>
      <c r="S205" s="11">
        <v>33</v>
      </c>
      <c r="T205" s="11">
        <v>82</v>
      </c>
      <c r="U205" s="11">
        <v>83</v>
      </c>
      <c r="V205" s="11">
        <v>84</v>
      </c>
      <c r="W205" s="11">
        <v>85</v>
      </c>
      <c r="X205" s="11">
        <v>115</v>
      </c>
      <c r="Y205" s="11">
        <v>116</v>
      </c>
      <c r="Z205" s="11">
        <v>117</v>
      </c>
      <c r="AA205" s="11">
        <v>118</v>
      </c>
      <c r="AB205" s="11">
        <v>119</v>
      </c>
      <c r="AC205" s="11">
        <v>121</v>
      </c>
      <c r="AD205" s="11">
        <v>122</v>
      </c>
      <c r="AE205" s="11">
        <v>180</v>
      </c>
      <c r="AF205" s="11">
        <v>181</v>
      </c>
      <c r="AG205" s="11">
        <v>182</v>
      </c>
      <c r="AH205" s="11">
        <v>183</v>
      </c>
      <c r="AI205" s="11">
        <v>184</v>
      </c>
      <c r="AJ205" s="11">
        <v>218</v>
      </c>
      <c r="AK205" s="11">
        <v>219</v>
      </c>
      <c r="AL205" s="11">
        <v>220</v>
      </c>
      <c r="AM205" s="11">
        <v>221</v>
      </c>
      <c r="AN205" s="11">
        <v>222</v>
      </c>
      <c r="AO205" s="11">
        <v>223</v>
      </c>
      <c r="AP205" s="11">
        <v>224</v>
      </c>
      <c r="AQ205" s="11">
        <v>271</v>
      </c>
      <c r="AR205" s="11">
        <v>272</v>
      </c>
      <c r="AS205" s="11">
        <v>273</v>
      </c>
      <c r="AT205" s="11">
        <v>275</v>
      </c>
      <c r="AU205" s="11">
        <v>296</v>
      </c>
      <c r="AV205" s="11">
        <v>299</v>
      </c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</row>
    <row r="206" spans="1:159" x14ac:dyDescent="0.25">
      <c r="A206" s="7" t="str">
        <f t="shared" si="6"/>
        <v>U139860U139860</v>
      </c>
      <c r="B206" s="9" t="s">
        <v>232</v>
      </c>
      <c r="C206" s="9" t="s">
        <v>231</v>
      </c>
      <c r="D206" s="9">
        <v>3600</v>
      </c>
      <c r="E206" s="9" t="s">
        <v>436</v>
      </c>
      <c r="F206" s="9" t="s">
        <v>456</v>
      </c>
      <c r="G206" s="9" t="s">
        <v>438</v>
      </c>
      <c r="H206" s="17">
        <v>46232</v>
      </c>
      <c r="I206" s="17"/>
      <c r="J206" s="17"/>
      <c r="K206" s="10">
        <v>792</v>
      </c>
      <c r="L206" s="10">
        <f t="shared" si="7"/>
        <v>66</v>
      </c>
      <c r="M206" s="11">
        <v>2</v>
      </c>
      <c r="N206" s="11">
        <v>4</v>
      </c>
      <c r="O206" s="11">
        <v>5</v>
      </c>
      <c r="P206" s="11">
        <v>28</v>
      </c>
      <c r="Q206" s="11">
        <v>29</v>
      </c>
      <c r="R206" s="11">
        <v>30</v>
      </c>
      <c r="S206" s="11">
        <v>31</v>
      </c>
      <c r="T206" s="11">
        <v>32</v>
      </c>
      <c r="U206" s="11">
        <v>33</v>
      </c>
      <c r="V206" s="11">
        <v>34</v>
      </c>
      <c r="W206" s="11">
        <v>35</v>
      </c>
      <c r="X206" s="11">
        <v>36</v>
      </c>
      <c r="Y206" s="11">
        <v>38</v>
      </c>
      <c r="Z206" s="11">
        <v>39</v>
      </c>
      <c r="AA206" s="11">
        <v>77</v>
      </c>
      <c r="AB206" s="11">
        <v>78</v>
      </c>
      <c r="AC206" s="11">
        <v>79</v>
      </c>
      <c r="AD206" s="11">
        <v>80</v>
      </c>
      <c r="AE206" s="11">
        <v>81</v>
      </c>
      <c r="AF206" s="11">
        <v>82</v>
      </c>
      <c r="AG206" s="11">
        <v>83</v>
      </c>
      <c r="AH206" s="11">
        <v>84</v>
      </c>
      <c r="AI206" s="11">
        <v>85</v>
      </c>
      <c r="AJ206" s="11">
        <v>86</v>
      </c>
      <c r="AK206" s="11">
        <v>109</v>
      </c>
      <c r="AL206" s="11">
        <v>110</v>
      </c>
      <c r="AM206" s="11">
        <v>111</v>
      </c>
      <c r="AN206" s="11">
        <v>113</v>
      </c>
      <c r="AO206" s="11">
        <v>114</v>
      </c>
      <c r="AP206" s="11">
        <v>115</v>
      </c>
      <c r="AQ206" s="11">
        <v>116</v>
      </c>
      <c r="AR206" s="11">
        <v>117</v>
      </c>
      <c r="AS206" s="11">
        <v>119</v>
      </c>
      <c r="AT206" s="11">
        <v>120</v>
      </c>
      <c r="AU206" s="11">
        <v>121</v>
      </c>
      <c r="AV206" s="11">
        <v>168</v>
      </c>
      <c r="AW206" s="11">
        <v>169</v>
      </c>
      <c r="AX206" s="11">
        <v>170</v>
      </c>
      <c r="AY206" s="11">
        <v>171</v>
      </c>
      <c r="AZ206" s="11">
        <v>172</v>
      </c>
      <c r="BA206" s="11">
        <v>173</v>
      </c>
      <c r="BB206" s="11">
        <v>174</v>
      </c>
      <c r="BC206" s="11">
        <v>175</v>
      </c>
      <c r="BD206" s="11">
        <v>176</v>
      </c>
      <c r="BE206" s="11">
        <v>204</v>
      </c>
      <c r="BF206" s="11">
        <v>205</v>
      </c>
      <c r="BG206" s="11">
        <v>206</v>
      </c>
      <c r="BH206" s="11">
        <v>207</v>
      </c>
      <c r="BI206" s="11">
        <v>208</v>
      </c>
      <c r="BJ206" s="11">
        <v>209</v>
      </c>
      <c r="BK206" s="11">
        <v>210</v>
      </c>
      <c r="BL206" s="11">
        <v>211</v>
      </c>
      <c r="BM206" s="11">
        <v>212</v>
      </c>
      <c r="BN206" s="11">
        <v>252</v>
      </c>
      <c r="BO206" s="11">
        <v>253</v>
      </c>
      <c r="BP206" s="11">
        <v>254</v>
      </c>
      <c r="BQ206" s="11">
        <v>255</v>
      </c>
      <c r="BR206" s="11">
        <v>257</v>
      </c>
      <c r="BS206" s="11">
        <v>258</v>
      </c>
      <c r="BT206" s="11">
        <v>259</v>
      </c>
      <c r="BU206" s="11">
        <v>276</v>
      </c>
      <c r="BV206" s="11">
        <v>277</v>
      </c>
      <c r="BW206" s="11">
        <v>278</v>
      </c>
      <c r="BX206" s="11">
        <v>279</v>
      </c>
      <c r="BY206" s="11">
        <v>280</v>
      </c>
      <c r="BZ206" s="11">
        <v>281</v>
      </c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</row>
    <row r="207" spans="1:159" x14ac:dyDescent="0.25">
      <c r="A207" s="7" t="str">
        <f t="shared" si="6"/>
        <v>U139861U139861</v>
      </c>
      <c r="B207" s="9" t="s">
        <v>197</v>
      </c>
      <c r="C207" s="9" t="s">
        <v>6</v>
      </c>
      <c r="D207" s="9">
        <v>3300</v>
      </c>
      <c r="E207" s="9" t="s">
        <v>436</v>
      </c>
      <c r="F207" s="9" t="s">
        <v>456</v>
      </c>
      <c r="G207" s="9" t="s">
        <v>438</v>
      </c>
      <c r="H207" s="17">
        <v>46227</v>
      </c>
      <c r="I207" s="17">
        <v>46234</v>
      </c>
      <c r="J207" s="17">
        <v>46234</v>
      </c>
      <c r="K207" s="10">
        <v>516</v>
      </c>
      <c r="L207" s="10">
        <f t="shared" si="7"/>
        <v>43</v>
      </c>
      <c r="M207" s="11">
        <v>1</v>
      </c>
      <c r="N207" s="11">
        <v>2</v>
      </c>
      <c r="O207" s="11">
        <v>23</v>
      </c>
      <c r="P207" s="11">
        <v>26</v>
      </c>
      <c r="Q207" s="11">
        <v>27</v>
      </c>
      <c r="R207" s="11">
        <v>28</v>
      </c>
      <c r="S207" s="11">
        <v>29</v>
      </c>
      <c r="T207" s="11">
        <v>30</v>
      </c>
      <c r="U207" s="11">
        <v>70</v>
      </c>
      <c r="V207" s="11">
        <v>71</v>
      </c>
      <c r="W207" s="11">
        <v>72</v>
      </c>
      <c r="X207" s="11">
        <v>73</v>
      </c>
      <c r="Y207" s="11">
        <v>74</v>
      </c>
      <c r="Z207" s="11">
        <v>98</v>
      </c>
      <c r="AA207" s="11">
        <v>99</v>
      </c>
      <c r="AB207" s="11">
        <v>100</v>
      </c>
      <c r="AC207" s="11">
        <v>101</v>
      </c>
      <c r="AD207" s="11">
        <v>102</v>
      </c>
      <c r="AE207" s="11">
        <v>103</v>
      </c>
      <c r="AF207" s="11">
        <v>104</v>
      </c>
      <c r="AG207" s="11">
        <v>105</v>
      </c>
      <c r="AH207" s="11">
        <v>107</v>
      </c>
      <c r="AI207" s="11">
        <v>108</v>
      </c>
      <c r="AJ207" s="11">
        <v>154</v>
      </c>
      <c r="AK207" s="11">
        <v>155</v>
      </c>
      <c r="AL207" s="11">
        <v>156</v>
      </c>
      <c r="AM207" s="11">
        <v>158</v>
      </c>
      <c r="AN207" s="11">
        <v>186</v>
      </c>
      <c r="AO207" s="11">
        <v>187</v>
      </c>
      <c r="AP207" s="11">
        <v>190</v>
      </c>
      <c r="AQ207" s="11">
        <v>191</v>
      </c>
      <c r="AR207" s="11">
        <v>192</v>
      </c>
      <c r="AS207" s="11">
        <v>193</v>
      </c>
      <c r="AT207" s="11">
        <v>195</v>
      </c>
      <c r="AU207" s="11">
        <v>196</v>
      </c>
      <c r="AV207" s="11">
        <v>230</v>
      </c>
      <c r="AW207" s="11">
        <v>231</v>
      </c>
      <c r="AX207" s="11">
        <v>232</v>
      </c>
      <c r="AY207" s="11">
        <v>233</v>
      </c>
      <c r="AZ207" s="11">
        <v>234</v>
      </c>
      <c r="BA207" s="11">
        <v>251</v>
      </c>
      <c r="BB207" s="11">
        <v>252</v>
      </c>
      <c r="BC207" s="11">
        <v>253</v>
      </c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</row>
    <row r="208" spans="1:159" x14ac:dyDescent="0.25">
      <c r="A208" s="7" t="str">
        <f t="shared" si="6"/>
        <v>U139862U139862</v>
      </c>
      <c r="B208" s="9" t="s">
        <v>237</v>
      </c>
      <c r="C208" s="9" t="s">
        <v>6</v>
      </c>
      <c r="D208" s="9">
        <v>3300</v>
      </c>
      <c r="E208" s="9" t="s">
        <v>436</v>
      </c>
      <c r="F208" s="9" t="s">
        <v>456</v>
      </c>
      <c r="G208" s="9" t="s">
        <v>438</v>
      </c>
      <c r="H208" s="17">
        <v>46232</v>
      </c>
      <c r="I208" s="17"/>
      <c r="J208" s="17"/>
      <c r="K208" s="10">
        <v>432</v>
      </c>
      <c r="L208" s="10">
        <f t="shared" si="7"/>
        <v>36</v>
      </c>
      <c r="M208" s="11">
        <v>1</v>
      </c>
      <c r="N208" s="11">
        <v>24</v>
      </c>
      <c r="O208" s="11">
        <v>25</v>
      </c>
      <c r="P208" s="11">
        <v>26</v>
      </c>
      <c r="Q208" s="11">
        <v>27</v>
      </c>
      <c r="R208" s="11">
        <v>28</v>
      </c>
      <c r="S208" s="11">
        <v>29</v>
      </c>
      <c r="T208" s="11">
        <v>69</v>
      </c>
      <c r="U208" s="11">
        <v>70</v>
      </c>
      <c r="V208" s="11">
        <v>72</v>
      </c>
      <c r="W208" s="11">
        <v>73</v>
      </c>
      <c r="X208" s="11">
        <v>97</v>
      </c>
      <c r="Y208" s="11">
        <v>98</v>
      </c>
      <c r="Z208" s="11">
        <v>99</v>
      </c>
      <c r="AA208" s="11">
        <v>100</v>
      </c>
      <c r="AB208" s="11">
        <v>101</v>
      </c>
      <c r="AC208" s="11">
        <v>102</v>
      </c>
      <c r="AD208" s="11">
        <v>151</v>
      </c>
      <c r="AE208" s="11">
        <v>152</v>
      </c>
      <c r="AF208" s="11">
        <v>153</v>
      </c>
      <c r="AG208" s="11">
        <v>154</v>
      </c>
      <c r="AH208" s="11">
        <v>155</v>
      </c>
      <c r="AI208" s="11">
        <v>184</v>
      </c>
      <c r="AJ208" s="11">
        <v>185</v>
      </c>
      <c r="AK208" s="11">
        <v>189</v>
      </c>
      <c r="AL208" s="11">
        <v>190</v>
      </c>
      <c r="AM208" s="11">
        <v>191</v>
      </c>
      <c r="AN208" s="11">
        <v>192</v>
      </c>
      <c r="AO208" s="11">
        <v>229</v>
      </c>
      <c r="AP208" s="11">
        <v>232</v>
      </c>
      <c r="AQ208" s="11">
        <v>233</v>
      </c>
      <c r="AR208" s="11">
        <v>234</v>
      </c>
      <c r="AS208" s="11">
        <v>251</v>
      </c>
      <c r="AT208" s="11">
        <v>255</v>
      </c>
      <c r="AU208" s="11">
        <v>256</v>
      </c>
      <c r="AV208" s="11">
        <v>257</v>
      </c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</row>
    <row r="209" spans="1:159" x14ac:dyDescent="0.25">
      <c r="A209" s="7" t="str">
        <f t="shared" si="6"/>
        <v>U140169U140169</v>
      </c>
      <c r="B209" s="9" t="s">
        <v>88</v>
      </c>
      <c r="C209" s="9" t="s">
        <v>6</v>
      </c>
      <c r="D209" s="9">
        <v>150</v>
      </c>
      <c r="E209" s="9" t="s">
        <v>436</v>
      </c>
      <c r="F209" s="9" t="s">
        <v>443</v>
      </c>
      <c r="G209" s="9" t="s">
        <v>444</v>
      </c>
      <c r="H209" s="17">
        <v>46210</v>
      </c>
      <c r="I209" s="17">
        <v>46211</v>
      </c>
      <c r="J209" s="17">
        <v>46211</v>
      </c>
      <c r="K209" s="10">
        <v>120</v>
      </c>
      <c r="L209" s="10">
        <f t="shared" si="7"/>
        <v>11</v>
      </c>
      <c r="M209" s="11">
        <v>1</v>
      </c>
      <c r="N209" s="11">
        <v>3</v>
      </c>
      <c r="O209" s="11">
        <v>4</v>
      </c>
      <c r="P209" s="11">
        <v>5</v>
      </c>
      <c r="Q209" s="11">
        <v>6</v>
      </c>
      <c r="R209" s="11">
        <v>8</v>
      </c>
      <c r="S209" s="11">
        <v>9</v>
      </c>
      <c r="T209" s="11">
        <v>10</v>
      </c>
      <c r="U209" s="11">
        <v>11</v>
      </c>
      <c r="V209" s="11">
        <v>12</v>
      </c>
      <c r="W209" s="11">
        <v>14</v>
      </c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</row>
    <row r="210" spans="1:159" x14ac:dyDescent="0.25">
      <c r="A210" s="7" t="str">
        <f t="shared" si="6"/>
        <v>U141125U141125</v>
      </c>
      <c r="B210" s="9" t="s">
        <v>181</v>
      </c>
      <c r="C210" s="9" t="s">
        <v>9</v>
      </c>
      <c r="D210" s="9">
        <v>504</v>
      </c>
      <c r="E210" s="9" t="s">
        <v>436</v>
      </c>
      <c r="F210" s="9" t="s">
        <v>443</v>
      </c>
      <c r="G210" s="9" t="s">
        <v>444</v>
      </c>
      <c r="H210" s="17">
        <v>46226</v>
      </c>
      <c r="I210" s="17">
        <v>46233</v>
      </c>
      <c r="J210" s="17">
        <v>46237</v>
      </c>
      <c r="K210" s="10">
        <v>132</v>
      </c>
      <c r="L210" s="10">
        <f t="shared" si="7"/>
        <v>11</v>
      </c>
      <c r="M210" s="11">
        <v>8</v>
      </c>
      <c r="N210" s="11">
        <v>14</v>
      </c>
      <c r="O210" s="11">
        <v>15</v>
      </c>
      <c r="P210" s="11">
        <v>16</v>
      </c>
      <c r="Q210" s="11">
        <v>19</v>
      </c>
      <c r="R210" s="11">
        <v>20</v>
      </c>
      <c r="S210" s="11">
        <v>26</v>
      </c>
      <c r="T210" s="11">
        <v>31</v>
      </c>
      <c r="U210" s="11">
        <v>33</v>
      </c>
      <c r="V210" s="11">
        <v>35</v>
      </c>
      <c r="W210" s="11">
        <v>36</v>
      </c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</row>
    <row r="211" spans="1:159" x14ac:dyDescent="0.25">
      <c r="A211" s="7" t="str">
        <f t="shared" si="6"/>
        <v>U141125U141125</v>
      </c>
      <c r="B211" s="9" t="s">
        <v>181</v>
      </c>
      <c r="C211" s="9" t="s">
        <v>74</v>
      </c>
      <c r="D211" s="9">
        <v>36</v>
      </c>
      <c r="E211" s="9" t="s">
        <v>436</v>
      </c>
      <c r="F211" s="9" t="s">
        <v>443</v>
      </c>
      <c r="G211" s="9" t="s">
        <v>444</v>
      </c>
      <c r="H211" s="17">
        <v>46232</v>
      </c>
      <c r="I211" s="17">
        <v>46233</v>
      </c>
      <c r="J211" s="17">
        <v>46237</v>
      </c>
      <c r="K211" s="10">
        <v>30</v>
      </c>
      <c r="L211" s="10">
        <f t="shared" si="7"/>
        <v>5</v>
      </c>
      <c r="M211" s="11">
        <v>45</v>
      </c>
      <c r="N211" s="11">
        <v>46</v>
      </c>
      <c r="O211" s="11">
        <v>48</v>
      </c>
      <c r="P211" s="11">
        <v>49</v>
      </c>
      <c r="Q211" s="11">
        <v>50</v>
      </c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</row>
    <row r="212" spans="1:159" x14ac:dyDescent="0.25">
      <c r="A212" s="7" t="str">
        <f t="shared" si="6"/>
        <v>U141128U141128</v>
      </c>
      <c r="B212" s="9" t="s">
        <v>142</v>
      </c>
      <c r="C212" s="9" t="s">
        <v>101</v>
      </c>
      <c r="D212" s="9">
        <v>72</v>
      </c>
      <c r="E212" s="9" t="s">
        <v>436</v>
      </c>
      <c r="F212" s="9" t="s">
        <v>443</v>
      </c>
      <c r="G212" s="9" t="s">
        <v>444</v>
      </c>
      <c r="H212" s="17">
        <v>46223</v>
      </c>
      <c r="I212" s="17">
        <v>46223</v>
      </c>
      <c r="J212" s="17"/>
      <c r="K212" s="10">
        <v>72</v>
      </c>
      <c r="L212" s="10">
        <f t="shared" si="7"/>
        <v>7</v>
      </c>
      <c r="M212" s="11">
        <v>78</v>
      </c>
      <c r="N212" s="11">
        <v>79</v>
      </c>
      <c r="O212" s="11">
        <v>80</v>
      </c>
      <c r="P212" s="11">
        <v>81</v>
      </c>
      <c r="Q212" s="11">
        <v>82</v>
      </c>
      <c r="R212" s="11">
        <v>83</v>
      </c>
      <c r="S212" s="11">
        <v>84</v>
      </c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</row>
    <row r="213" spans="1:159" x14ac:dyDescent="0.25">
      <c r="A213" s="7" t="str">
        <f t="shared" si="6"/>
        <v>U141128U141128</v>
      </c>
      <c r="B213" s="9" t="s">
        <v>142</v>
      </c>
      <c r="C213" s="9" t="s">
        <v>116</v>
      </c>
      <c r="D213" s="9">
        <v>30</v>
      </c>
      <c r="E213" s="9" t="s">
        <v>436</v>
      </c>
      <c r="F213" s="9" t="s">
        <v>443</v>
      </c>
      <c r="G213" s="9" t="s">
        <v>444</v>
      </c>
      <c r="H213" s="17">
        <v>46223</v>
      </c>
      <c r="I213" s="17">
        <v>46223</v>
      </c>
      <c r="J213" s="17"/>
      <c r="K213" s="10">
        <v>30</v>
      </c>
      <c r="L213" s="10">
        <f t="shared" si="7"/>
        <v>4</v>
      </c>
      <c r="M213" s="11">
        <v>85</v>
      </c>
      <c r="N213" s="11">
        <v>86</v>
      </c>
      <c r="O213" s="11">
        <v>87</v>
      </c>
      <c r="P213" s="11">
        <v>88</v>
      </c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</row>
    <row r="214" spans="1:159" x14ac:dyDescent="0.25">
      <c r="A214" s="7" t="str">
        <f t="shared" si="6"/>
        <v>U141128U141128</v>
      </c>
      <c r="B214" s="9" t="s">
        <v>142</v>
      </c>
      <c r="C214" s="9" t="s">
        <v>164</v>
      </c>
      <c r="D214" s="9">
        <v>900</v>
      </c>
      <c r="E214" s="9" t="s">
        <v>436</v>
      </c>
      <c r="F214" s="9" t="s">
        <v>443</v>
      </c>
      <c r="G214" s="9" t="s">
        <v>444</v>
      </c>
      <c r="H214" s="17">
        <v>46224</v>
      </c>
      <c r="I214" s="17"/>
      <c r="J214" s="17"/>
      <c r="K214" s="10">
        <v>216</v>
      </c>
      <c r="L214" s="10">
        <f t="shared" si="7"/>
        <v>18</v>
      </c>
      <c r="M214" s="11">
        <v>3</v>
      </c>
      <c r="N214" s="11">
        <v>4</v>
      </c>
      <c r="O214" s="11">
        <v>6</v>
      </c>
      <c r="P214" s="11">
        <v>9</v>
      </c>
      <c r="Q214" s="11">
        <v>22</v>
      </c>
      <c r="R214" s="11">
        <v>23</v>
      </c>
      <c r="S214" s="11">
        <v>33</v>
      </c>
      <c r="T214" s="11">
        <v>34</v>
      </c>
      <c r="U214" s="11">
        <v>35</v>
      </c>
      <c r="V214" s="11">
        <v>36</v>
      </c>
      <c r="W214" s="11">
        <v>48</v>
      </c>
      <c r="X214" s="11">
        <v>50</v>
      </c>
      <c r="Y214" s="11">
        <v>51</v>
      </c>
      <c r="Z214" s="11">
        <v>52</v>
      </c>
      <c r="AA214" s="11">
        <v>53</v>
      </c>
      <c r="AB214" s="11">
        <v>64</v>
      </c>
      <c r="AC214" s="11">
        <v>65</v>
      </c>
      <c r="AD214" s="11">
        <v>67</v>
      </c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</row>
    <row r="215" spans="1:159" x14ac:dyDescent="0.25">
      <c r="A215" s="7" t="str">
        <f t="shared" si="6"/>
        <v>U141130U141130</v>
      </c>
      <c r="B215" s="9" t="s">
        <v>128</v>
      </c>
      <c r="C215" s="9" t="s">
        <v>119</v>
      </c>
      <c r="D215" s="9">
        <v>84</v>
      </c>
      <c r="E215" s="9" t="s">
        <v>436</v>
      </c>
      <c r="F215" s="9" t="s">
        <v>443</v>
      </c>
      <c r="G215" s="9" t="s">
        <v>444</v>
      </c>
      <c r="H215" s="17">
        <v>46219</v>
      </c>
      <c r="I215" s="17">
        <v>46223</v>
      </c>
      <c r="J215" s="17">
        <v>46238</v>
      </c>
      <c r="K215" s="10">
        <v>54</v>
      </c>
      <c r="L215" s="10">
        <f t="shared" si="7"/>
        <v>5</v>
      </c>
      <c r="M215" s="11">
        <v>13</v>
      </c>
      <c r="N215" s="11">
        <v>16</v>
      </c>
      <c r="O215" s="11">
        <v>17</v>
      </c>
      <c r="P215" s="11">
        <v>18</v>
      </c>
      <c r="Q215" s="11">
        <v>20</v>
      </c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</row>
    <row r="216" spans="1:159" x14ac:dyDescent="0.25">
      <c r="A216" s="7" t="str">
        <f t="shared" si="6"/>
        <v>U141130U141130</v>
      </c>
      <c r="B216" s="9" t="s">
        <v>128</v>
      </c>
      <c r="C216" s="9" t="s">
        <v>123</v>
      </c>
      <c r="D216" s="9">
        <v>6</v>
      </c>
      <c r="E216" s="9" t="s">
        <v>436</v>
      </c>
      <c r="F216" s="9" t="s">
        <v>443</v>
      </c>
      <c r="G216" s="9" t="s">
        <v>444</v>
      </c>
      <c r="H216" s="17">
        <v>46223</v>
      </c>
      <c r="I216" s="17">
        <v>46223</v>
      </c>
      <c r="J216" s="17">
        <v>46238</v>
      </c>
      <c r="K216" s="10">
        <v>6</v>
      </c>
      <c r="L216" s="10">
        <f t="shared" si="7"/>
        <v>1</v>
      </c>
      <c r="M216" s="11">
        <v>21</v>
      </c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</row>
    <row r="217" spans="1:159" x14ac:dyDescent="0.25">
      <c r="A217" s="7" t="str">
        <f t="shared" si="6"/>
        <v>U141130U141130</v>
      </c>
      <c r="B217" s="9" t="s">
        <v>128</v>
      </c>
      <c r="C217" s="9" t="s">
        <v>26</v>
      </c>
      <c r="D217" s="9">
        <v>132</v>
      </c>
      <c r="E217" s="9" t="s">
        <v>436</v>
      </c>
      <c r="F217" s="9" t="s">
        <v>443</v>
      </c>
      <c r="G217" s="9" t="s">
        <v>444</v>
      </c>
      <c r="H217" s="17">
        <v>46224</v>
      </c>
      <c r="I217" s="17">
        <v>46238</v>
      </c>
      <c r="J217" s="17">
        <v>46238</v>
      </c>
      <c r="K217" s="10">
        <v>96</v>
      </c>
      <c r="L217" s="10">
        <f t="shared" si="7"/>
        <v>8</v>
      </c>
      <c r="M217" s="11">
        <v>1</v>
      </c>
      <c r="N217" s="11">
        <v>2</v>
      </c>
      <c r="O217" s="11">
        <v>3</v>
      </c>
      <c r="P217" s="11">
        <v>4</v>
      </c>
      <c r="Q217" s="11">
        <v>5</v>
      </c>
      <c r="R217" s="11">
        <v>6</v>
      </c>
      <c r="S217" s="11">
        <v>7</v>
      </c>
      <c r="T217" s="11">
        <v>9</v>
      </c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</row>
    <row r="218" spans="1:159" x14ac:dyDescent="0.25">
      <c r="A218" s="7" t="str">
        <f t="shared" si="6"/>
        <v>U141134U141134</v>
      </c>
      <c r="B218" s="9" t="s">
        <v>223</v>
      </c>
      <c r="C218" s="9" t="s">
        <v>212</v>
      </c>
      <c r="D218" s="9">
        <v>324</v>
      </c>
      <c r="E218" s="9" t="s">
        <v>436</v>
      </c>
      <c r="F218" s="9" t="s">
        <v>443</v>
      </c>
      <c r="G218" s="9" t="s">
        <v>444</v>
      </c>
      <c r="H218" s="17">
        <v>46231</v>
      </c>
      <c r="I218" s="17">
        <v>46239</v>
      </c>
      <c r="J218" s="17"/>
      <c r="K218" s="10">
        <v>168</v>
      </c>
      <c r="L218" s="10">
        <f t="shared" si="7"/>
        <v>14</v>
      </c>
      <c r="M218" s="11">
        <v>2</v>
      </c>
      <c r="N218" s="11">
        <v>5</v>
      </c>
      <c r="O218" s="11">
        <v>7</v>
      </c>
      <c r="P218" s="11">
        <v>10</v>
      </c>
      <c r="Q218" s="11">
        <v>11</v>
      </c>
      <c r="R218" s="11">
        <v>12</v>
      </c>
      <c r="S218" s="11">
        <v>13</v>
      </c>
      <c r="T218" s="11">
        <v>14</v>
      </c>
      <c r="U218" s="11">
        <v>16</v>
      </c>
      <c r="V218" s="11">
        <v>17</v>
      </c>
      <c r="W218" s="11">
        <v>18</v>
      </c>
      <c r="X218" s="11">
        <v>20</v>
      </c>
      <c r="Y218" s="11">
        <v>21</v>
      </c>
      <c r="Z218" s="11">
        <v>23</v>
      </c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</row>
    <row r="219" spans="1:159" x14ac:dyDescent="0.25">
      <c r="A219" s="7" t="str">
        <f t="shared" si="6"/>
        <v>U141135U141135</v>
      </c>
      <c r="B219" s="9" t="s">
        <v>135</v>
      </c>
      <c r="C219" s="9" t="s">
        <v>3</v>
      </c>
      <c r="D219" s="9">
        <v>330</v>
      </c>
      <c r="E219" s="9" t="s">
        <v>436</v>
      </c>
      <c r="F219" s="9" t="s">
        <v>443</v>
      </c>
      <c r="G219" s="9" t="s">
        <v>444</v>
      </c>
      <c r="H219" s="17">
        <v>46221</v>
      </c>
      <c r="I219" s="17">
        <v>46238</v>
      </c>
      <c r="J219" s="17">
        <v>46238</v>
      </c>
      <c r="K219" s="10">
        <v>72</v>
      </c>
      <c r="L219" s="10">
        <f t="shared" si="7"/>
        <v>6</v>
      </c>
      <c r="M219" s="11">
        <v>1</v>
      </c>
      <c r="N219" s="11">
        <v>19</v>
      </c>
      <c r="O219" s="11">
        <v>20</v>
      </c>
      <c r="P219" s="11">
        <v>23</v>
      </c>
      <c r="Q219" s="11">
        <v>24</v>
      </c>
      <c r="R219" s="11">
        <v>26</v>
      </c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</row>
    <row r="220" spans="1:159" x14ac:dyDescent="0.25">
      <c r="A220" s="7" t="str">
        <f t="shared" si="6"/>
        <v>U141135U141135</v>
      </c>
      <c r="B220" s="9" t="s">
        <v>135</v>
      </c>
      <c r="C220" s="9" t="s">
        <v>138</v>
      </c>
      <c r="D220" s="9">
        <v>102</v>
      </c>
      <c r="E220" s="9" t="s">
        <v>436</v>
      </c>
      <c r="F220" s="9" t="s">
        <v>443</v>
      </c>
      <c r="G220" s="9" t="s">
        <v>444</v>
      </c>
      <c r="H220" s="17">
        <v>46224</v>
      </c>
      <c r="I220" s="17">
        <v>46225</v>
      </c>
      <c r="J220" s="17">
        <v>46238</v>
      </c>
      <c r="K220" s="10">
        <v>96</v>
      </c>
      <c r="L220" s="10">
        <f t="shared" si="7"/>
        <v>10</v>
      </c>
      <c r="M220" s="11">
        <v>29</v>
      </c>
      <c r="N220" s="11">
        <v>30</v>
      </c>
      <c r="O220" s="11">
        <v>31</v>
      </c>
      <c r="P220" s="11">
        <v>32</v>
      </c>
      <c r="Q220" s="11">
        <v>33</v>
      </c>
      <c r="R220" s="11">
        <v>34</v>
      </c>
      <c r="S220" s="11">
        <v>35</v>
      </c>
      <c r="T220" s="11">
        <v>36</v>
      </c>
      <c r="U220" s="11">
        <v>37</v>
      </c>
      <c r="V220" s="11">
        <v>39</v>
      </c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</row>
    <row r="221" spans="1:159" x14ac:dyDescent="0.25">
      <c r="A221" s="7" t="str">
        <f t="shared" si="6"/>
        <v>U141142U141142</v>
      </c>
      <c r="B221" s="9" t="s">
        <v>92</v>
      </c>
      <c r="C221" s="9" t="s">
        <v>27</v>
      </c>
      <c r="D221" s="9">
        <v>1692</v>
      </c>
      <c r="E221" s="9" t="s">
        <v>436</v>
      </c>
      <c r="F221" s="9" t="s">
        <v>443</v>
      </c>
      <c r="G221" s="9" t="s">
        <v>444</v>
      </c>
      <c r="H221" s="17">
        <v>46212</v>
      </c>
      <c r="I221" s="17">
        <v>46232</v>
      </c>
      <c r="J221" s="17">
        <v>46238</v>
      </c>
      <c r="K221" s="10">
        <v>336</v>
      </c>
      <c r="L221" s="10">
        <f t="shared" si="7"/>
        <v>28</v>
      </c>
      <c r="M221" s="11">
        <v>11</v>
      </c>
      <c r="N221" s="11">
        <v>39</v>
      </c>
      <c r="O221" s="11">
        <v>40</v>
      </c>
      <c r="P221" s="11">
        <v>41</v>
      </c>
      <c r="Q221" s="11">
        <v>42</v>
      </c>
      <c r="R221" s="11">
        <v>43</v>
      </c>
      <c r="S221" s="11">
        <v>44</v>
      </c>
      <c r="T221" s="11">
        <v>45</v>
      </c>
      <c r="U221" s="11">
        <v>71</v>
      </c>
      <c r="V221" s="11">
        <v>72</v>
      </c>
      <c r="W221" s="11">
        <v>84</v>
      </c>
      <c r="X221" s="11">
        <v>85</v>
      </c>
      <c r="Y221" s="11">
        <v>98</v>
      </c>
      <c r="Z221" s="11">
        <v>99</v>
      </c>
      <c r="AA221" s="11">
        <v>100</v>
      </c>
      <c r="AB221" s="11">
        <v>101</v>
      </c>
      <c r="AC221" s="11">
        <v>102</v>
      </c>
      <c r="AD221" s="11">
        <v>103</v>
      </c>
      <c r="AE221" s="11">
        <v>104</v>
      </c>
      <c r="AF221" s="11">
        <v>114</v>
      </c>
      <c r="AG221" s="11">
        <v>115</v>
      </c>
      <c r="AH221" s="11">
        <v>116</v>
      </c>
      <c r="AI221" s="11">
        <v>117</v>
      </c>
      <c r="AJ221" s="11">
        <v>118</v>
      </c>
      <c r="AK221" s="11">
        <v>119</v>
      </c>
      <c r="AL221" s="11">
        <v>129</v>
      </c>
      <c r="AM221" s="11">
        <v>130</v>
      </c>
      <c r="AN221" s="11">
        <v>131</v>
      </c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</row>
    <row r="222" spans="1:159" x14ac:dyDescent="0.25">
      <c r="A222" s="7" t="str">
        <f t="shared" si="6"/>
        <v>U141142U141142</v>
      </c>
      <c r="B222" s="9" t="s">
        <v>92</v>
      </c>
      <c r="C222" s="9" t="s">
        <v>68</v>
      </c>
      <c r="D222" s="9">
        <v>468</v>
      </c>
      <c r="E222" s="9" t="s">
        <v>436</v>
      </c>
      <c r="F222" s="9" t="s">
        <v>443</v>
      </c>
      <c r="G222" s="9" t="s">
        <v>444</v>
      </c>
      <c r="H222" s="17">
        <v>46219</v>
      </c>
      <c r="I222" s="17">
        <v>46238</v>
      </c>
      <c r="J222" s="17">
        <v>46238</v>
      </c>
      <c r="K222" s="10">
        <v>144</v>
      </c>
      <c r="L222" s="10">
        <f t="shared" si="7"/>
        <v>12</v>
      </c>
      <c r="M222" s="11">
        <v>144</v>
      </c>
      <c r="N222" s="11">
        <v>146</v>
      </c>
      <c r="O222" s="11">
        <v>150</v>
      </c>
      <c r="P222" s="11">
        <v>155</v>
      </c>
      <c r="Q222" s="11">
        <v>159</v>
      </c>
      <c r="R222" s="11">
        <v>160</v>
      </c>
      <c r="S222" s="11">
        <v>161</v>
      </c>
      <c r="T222" s="11">
        <v>165</v>
      </c>
      <c r="U222" s="11">
        <v>166</v>
      </c>
      <c r="V222" s="11">
        <v>167</v>
      </c>
      <c r="W222" s="11">
        <v>169</v>
      </c>
      <c r="X222" s="11">
        <v>170</v>
      </c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</row>
    <row r="223" spans="1:159" x14ac:dyDescent="0.25">
      <c r="A223" s="7" t="str">
        <f t="shared" si="6"/>
        <v>U141156U141156</v>
      </c>
      <c r="B223" s="9" t="s">
        <v>167</v>
      </c>
      <c r="C223" s="9" t="s">
        <v>102</v>
      </c>
      <c r="D223" s="9">
        <v>186</v>
      </c>
      <c r="E223" s="9" t="s">
        <v>436</v>
      </c>
      <c r="F223" s="9" t="s">
        <v>443</v>
      </c>
      <c r="G223" s="9" t="s">
        <v>444</v>
      </c>
      <c r="H223" s="17">
        <v>46228</v>
      </c>
      <c r="I223" s="17">
        <v>46233</v>
      </c>
      <c r="J223" s="17"/>
      <c r="K223" s="10">
        <v>12</v>
      </c>
      <c r="L223" s="10">
        <f t="shared" si="7"/>
        <v>1</v>
      </c>
      <c r="M223" s="11">
        <v>1</v>
      </c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</row>
    <row r="224" spans="1:159" x14ac:dyDescent="0.25">
      <c r="A224" s="7" t="str">
        <f t="shared" si="6"/>
        <v>U141156U141156</v>
      </c>
      <c r="B224" s="9" t="s">
        <v>167</v>
      </c>
      <c r="C224" s="9" t="s">
        <v>96</v>
      </c>
      <c r="D224" s="9">
        <v>66</v>
      </c>
      <c r="E224" s="9" t="s">
        <v>436</v>
      </c>
      <c r="F224" s="9" t="s">
        <v>443</v>
      </c>
      <c r="G224" s="9" t="s">
        <v>444</v>
      </c>
      <c r="H224" s="17">
        <v>46225</v>
      </c>
      <c r="I224" s="17">
        <v>46228</v>
      </c>
      <c r="J224" s="17"/>
      <c r="K224" s="10">
        <v>30</v>
      </c>
      <c r="L224" s="10">
        <f t="shared" si="7"/>
        <v>5</v>
      </c>
      <c r="M224" s="11">
        <v>24</v>
      </c>
      <c r="N224" s="11">
        <v>25</v>
      </c>
      <c r="O224" s="11">
        <v>28</v>
      </c>
      <c r="P224" s="11">
        <v>29</v>
      </c>
      <c r="Q224" s="11">
        <v>31</v>
      </c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</row>
    <row r="225" spans="1:159" x14ac:dyDescent="0.25">
      <c r="A225" s="7" t="str">
        <f t="shared" si="6"/>
        <v>U141160U141160</v>
      </c>
      <c r="B225" s="9" t="s">
        <v>134</v>
      </c>
      <c r="C225" s="9" t="s">
        <v>133</v>
      </c>
      <c r="D225" s="9">
        <v>354</v>
      </c>
      <c r="E225" s="9" t="s">
        <v>436</v>
      </c>
      <c r="F225" s="9" t="s">
        <v>443</v>
      </c>
      <c r="G225" s="9" t="s">
        <v>444</v>
      </c>
      <c r="H225" s="17">
        <v>46220</v>
      </c>
      <c r="I225" s="17">
        <v>46227</v>
      </c>
      <c r="J225" s="17"/>
      <c r="K225" s="10">
        <v>120</v>
      </c>
      <c r="L225" s="10">
        <f t="shared" si="7"/>
        <v>10</v>
      </c>
      <c r="M225" s="11">
        <v>55</v>
      </c>
      <c r="N225" s="11">
        <v>58</v>
      </c>
      <c r="O225" s="11">
        <v>59</v>
      </c>
      <c r="P225" s="11">
        <v>62</v>
      </c>
      <c r="Q225" s="11">
        <v>65</v>
      </c>
      <c r="R225" s="11">
        <v>66</v>
      </c>
      <c r="S225" s="11">
        <v>69</v>
      </c>
      <c r="T225" s="11">
        <v>71</v>
      </c>
      <c r="U225" s="11">
        <v>74</v>
      </c>
      <c r="V225" s="11">
        <v>77</v>
      </c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</row>
    <row r="226" spans="1:159" x14ac:dyDescent="0.25">
      <c r="A226" s="7" t="str">
        <f t="shared" si="6"/>
        <v>U141160U141160</v>
      </c>
      <c r="B226" s="9" t="s">
        <v>134</v>
      </c>
      <c r="C226" s="9" t="s">
        <v>198</v>
      </c>
      <c r="D226" s="9">
        <v>132</v>
      </c>
      <c r="E226" s="9" t="s">
        <v>436</v>
      </c>
      <c r="F226" s="9" t="s">
        <v>443</v>
      </c>
      <c r="G226" s="9" t="s">
        <v>444</v>
      </c>
      <c r="H226" s="17">
        <v>46227</v>
      </c>
      <c r="I226" s="17">
        <v>46232</v>
      </c>
      <c r="J226" s="17"/>
      <c r="K226" s="10">
        <v>96</v>
      </c>
      <c r="L226" s="10">
        <f t="shared" si="7"/>
        <v>9</v>
      </c>
      <c r="M226" s="11">
        <v>87</v>
      </c>
      <c r="N226" s="11">
        <v>89</v>
      </c>
      <c r="O226" s="11">
        <v>90</v>
      </c>
      <c r="P226" s="11">
        <v>91</v>
      </c>
      <c r="Q226" s="11">
        <v>92</v>
      </c>
      <c r="R226" s="11">
        <v>94</v>
      </c>
      <c r="S226" s="11">
        <v>95</v>
      </c>
      <c r="T226" s="11">
        <v>98</v>
      </c>
      <c r="U226" s="11">
        <v>99</v>
      </c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</row>
    <row r="227" spans="1:159" x14ac:dyDescent="0.25">
      <c r="A227" s="7" t="str">
        <f t="shared" si="6"/>
        <v>U141160U141160</v>
      </c>
      <c r="B227" s="9" t="s">
        <v>134</v>
      </c>
      <c r="C227" s="9" t="s">
        <v>210</v>
      </c>
      <c r="D227" s="9">
        <v>576</v>
      </c>
      <c r="E227" s="9" t="s">
        <v>436</v>
      </c>
      <c r="F227" s="9" t="s">
        <v>443</v>
      </c>
      <c r="G227" s="9" t="s">
        <v>444</v>
      </c>
      <c r="H227" s="17">
        <v>46231</v>
      </c>
      <c r="I227" s="17"/>
      <c r="J227" s="17"/>
      <c r="K227" s="10">
        <v>336</v>
      </c>
      <c r="L227" s="10">
        <f t="shared" si="7"/>
        <v>28</v>
      </c>
      <c r="M227" s="11">
        <v>1</v>
      </c>
      <c r="N227" s="11">
        <v>2</v>
      </c>
      <c r="O227" s="11">
        <v>3</v>
      </c>
      <c r="P227" s="11">
        <v>4</v>
      </c>
      <c r="Q227" s="11">
        <v>6</v>
      </c>
      <c r="R227" s="11">
        <v>7</v>
      </c>
      <c r="S227" s="11">
        <v>8</v>
      </c>
      <c r="T227" s="11">
        <v>9</v>
      </c>
      <c r="U227" s="11">
        <v>10</v>
      </c>
      <c r="V227" s="11">
        <v>11</v>
      </c>
      <c r="W227" s="11">
        <v>12</v>
      </c>
      <c r="X227" s="11">
        <v>17</v>
      </c>
      <c r="Y227" s="11">
        <v>18</v>
      </c>
      <c r="Z227" s="11">
        <v>19</v>
      </c>
      <c r="AA227" s="11">
        <v>20</v>
      </c>
      <c r="AB227" s="11">
        <v>25</v>
      </c>
      <c r="AC227" s="11">
        <v>26</v>
      </c>
      <c r="AD227" s="11">
        <v>27</v>
      </c>
      <c r="AE227" s="11">
        <v>30</v>
      </c>
      <c r="AF227" s="11">
        <v>31</v>
      </c>
      <c r="AG227" s="11">
        <v>32</v>
      </c>
      <c r="AH227" s="11">
        <v>33</v>
      </c>
      <c r="AI227" s="11">
        <v>37</v>
      </c>
      <c r="AJ227" s="11">
        <v>38</v>
      </c>
      <c r="AK227" s="11">
        <v>39</v>
      </c>
      <c r="AL227" s="11">
        <v>40</v>
      </c>
      <c r="AM227" s="11">
        <v>41</v>
      </c>
      <c r="AN227" s="11">
        <v>42</v>
      </c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</row>
    <row r="228" spans="1:159" x14ac:dyDescent="0.25">
      <c r="A228" s="7" t="str">
        <f t="shared" si="6"/>
        <v>U141166U141166</v>
      </c>
      <c r="B228" s="9" t="s">
        <v>148</v>
      </c>
      <c r="C228" s="9" t="s">
        <v>81</v>
      </c>
      <c r="D228" s="9">
        <v>96</v>
      </c>
      <c r="E228" s="9" t="s">
        <v>436</v>
      </c>
      <c r="F228" s="9" t="s">
        <v>443</v>
      </c>
      <c r="G228" s="9" t="s">
        <v>444</v>
      </c>
      <c r="H228" s="17">
        <v>46223</v>
      </c>
      <c r="I228" s="17">
        <v>46225</v>
      </c>
      <c r="J228" s="17">
        <v>46230</v>
      </c>
      <c r="K228" s="10">
        <v>42</v>
      </c>
      <c r="L228" s="10">
        <f t="shared" si="7"/>
        <v>6</v>
      </c>
      <c r="M228" s="11">
        <v>19</v>
      </c>
      <c r="N228" s="11">
        <v>22</v>
      </c>
      <c r="O228" s="11">
        <v>26</v>
      </c>
      <c r="P228" s="11">
        <v>28</v>
      </c>
      <c r="Q228" s="11">
        <v>32</v>
      </c>
      <c r="R228" s="11">
        <v>33</v>
      </c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</row>
    <row r="229" spans="1:159" x14ac:dyDescent="0.25">
      <c r="A229" s="7" t="str">
        <f t="shared" si="6"/>
        <v>U141166U141166</v>
      </c>
      <c r="B229" s="9" t="s">
        <v>148</v>
      </c>
      <c r="C229" s="9" t="s">
        <v>89</v>
      </c>
      <c r="D229" s="9">
        <v>78</v>
      </c>
      <c r="E229" s="9" t="s">
        <v>436</v>
      </c>
      <c r="F229" s="9" t="s">
        <v>443</v>
      </c>
      <c r="G229" s="9" t="s">
        <v>444</v>
      </c>
      <c r="H229" s="17">
        <v>46223</v>
      </c>
      <c r="I229" s="17">
        <v>46226</v>
      </c>
      <c r="J229" s="17">
        <v>46230</v>
      </c>
      <c r="K229" s="10">
        <v>18</v>
      </c>
      <c r="L229" s="10">
        <f t="shared" si="7"/>
        <v>3</v>
      </c>
      <c r="M229" s="11">
        <v>37</v>
      </c>
      <c r="N229" s="11">
        <v>38</v>
      </c>
      <c r="O229" s="11">
        <v>41</v>
      </c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</row>
    <row r="230" spans="1:159" x14ac:dyDescent="0.25">
      <c r="A230" s="7" t="str">
        <f t="shared" si="6"/>
        <v>U141166U141166</v>
      </c>
      <c r="B230" s="9" t="s">
        <v>148</v>
      </c>
      <c r="C230" s="9" t="s">
        <v>95</v>
      </c>
      <c r="D230" s="9">
        <v>132</v>
      </c>
      <c r="E230" s="9" t="s">
        <v>436</v>
      </c>
      <c r="F230" s="9" t="s">
        <v>443</v>
      </c>
      <c r="G230" s="9" t="s">
        <v>444</v>
      </c>
      <c r="H230" s="17">
        <v>46223</v>
      </c>
      <c r="I230" s="17">
        <v>46225</v>
      </c>
      <c r="J230" s="17">
        <v>46230</v>
      </c>
      <c r="K230" s="10">
        <v>66</v>
      </c>
      <c r="L230" s="10">
        <f t="shared" si="7"/>
        <v>9</v>
      </c>
      <c r="M230" s="11">
        <v>1</v>
      </c>
      <c r="N230" s="11">
        <v>2</v>
      </c>
      <c r="O230" s="11">
        <v>6</v>
      </c>
      <c r="P230" s="11">
        <v>9</v>
      </c>
      <c r="Q230" s="11">
        <v>11</v>
      </c>
      <c r="R230" s="11">
        <v>12</v>
      </c>
      <c r="S230" s="11">
        <v>14</v>
      </c>
      <c r="T230" s="11">
        <v>16</v>
      </c>
      <c r="U230" s="11">
        <v>18</v>
      </c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/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</row>
    <row r="231" spans="1:159" x14ac:dyDescent="0.25">
      <c r="A231" s="7" t="str">
        <f t="shared" si="6"/>
        <v>U141168U141168</v>
      </c>
      <c r="B231" s="9" t="s">
        <v>126</v>
      </c>
      <c r="C231" s="9" t="s">
        <v>7</v>
      </c>
      <c r="D231" s="9">
        <v>3732</v>
      </c>
      <c r="E231" s="9" t="s">
        <v>436</v>
      </c>
      <c r="F231" s="9" t="s">
        <v>443</v>
      </c>
      <c r="G231" s="9" t="s">
        <v>444</v>
      </c>
      <c r="H231" s="17">
        <v>46219</v>
      </c>
      <c r="I231" s="17">
        <v>46238</v>
      </c>
      <c r="J231" s="17">
        <v>46238</v>
      </c>
      <c r="K231" s="10">
        <v>72</v>
      </c>
      <c r="L231" s="10">
        <f t="shared" si="7"/>
        <v>6</v>
      </c>
      <c r="M231" s="11">
        <v>159</v>
      </c>
      <c r="N231" s="11">
        <v>160</v>
      </c>
      <c r="O231" s="11">
        <v>204</v>
      </c>
      <c r="P231" s="11">
        <v>206</v>
      </c>
      <c r="Q231" s="11">
        <v>285</v>
      </c>
      <c r="R231" s="11">
        <v>286</v>
      </c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</row>
    <row r="232" spans="1:159" x14ac:dyDescent="0.25">
      <c r="A232" s="7" t="str">
        <f t="shared" si="6"/>
        <v>U141181U141181</v>
      </c>
      <c r="B232" s="9" t="s">
        <v>205</v>
      </c>
      <c r="C232" s="9" t="s">
        <v>25</v>
      </c>
      <c r="D232" s="9">
        <v>198</v>
      </c>
      <c r="E232" s="9" t="s">
        <v>436</v>
      </c>
      <c r="F232" s="9" t="s">
        <v>443</v>
      </c>
      <c r="G232" s="9" t="s">
        <v>444</v>
      </c>
      <c r="H232" s="17">
        <v>46228</v>
      </c>
      <c r="I232" s="17">
        <v>46232</v>
      </c>
      <c r="J232" s="17"/>
      <c r="K232" s="10">
        <v>126</v>
      </c>
      <c r="L232" s="10">
        <f t="shared" si="7"/>
        <v>11</v>
      </c>
      <c r="M232" s="11">
        <v>1</v>
      </c>
      <c r="N232" s="11">
        <v>3</v>
      </c>
      <c r="O232" s="11">
        <v>4</v>
      </c>
      <c r="P232" s="11">
        <v>8</v>
      </c>
      <c r="Q232" s="11">
        <v>9</v>
      </c>
      <c r="R232" s="11">
        <v>11</v>
      </c>
      <c r="S232" s="11">
        <v>12</v>
      </c>
      <c r="T232" s="11">
        <v>13</v>
      </c>
      <c r="U232" s="11">
        <v>14</v>
      </c>
      <c r="V232" s="11">
        <v>15</v>
      </c>
      <c r="W232" s="11">
        <v>18</v>
      </c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</row>
    <row r="233" spans="1:159" x14ac:dyDescent="0.25">
      <c r="A233" s="7" t="str">
        <f t="shared" si="6"/>
        <v>U141181U141181</v>
      </c>
      <c r="B233" s="9" t="s">
        <v>205</v>
      </c>
      <c r="C233" s="9" t="s">
        <v>76</v>
      </c>
      <c r="D233" s="9">
        <v>60</v>
      </c>
      <c r="E233" s="9" t="s">
        <v>436</v>
      </c>
      <c r="F233" s="9" t="s">
        <v>443</v>
      </c>
      <c r="G233" s="9" t="s">
        <v>444</v>
      </c>
      <c r="H233" s="17">
        <v>46231</v>
      </c>
      <c r="I233" s="17">
        <v>46231</v>
      </c>
      <c r="J233" s="17"/>
      <c r="K233" s="10">
        <v>60</v>
      </c>
      <c r="L233" s="10">
        <f t="shared" si="7"/>
        <v>9</v>
      </c>
      <c r="M233" s="11">
        <v>19</v>
      </c>
      <c r="N233" s="11">
        <v>20</v>
      </c>
      <c r="O233" s="11">
        <v>21</v>
      </c>
      <c r="P233" s="11">
        <v>22</v>
      </c>
      <c r="Q233" s="11">
        <v>23</v>
      </c>
      <c r="R233" s="11">
        <v>24</v>
      </c>
      <c r="S233" s="11">
        <v>25</v>
      </c>
      <c r="T233" s="11">
        <v>26</v>
      </c>
      <c r="U233" s="11">
        <v>27</v>
      </c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</row>
    <row r="234" spans="1:159" x14ac:dyDescent="0.25">
      <c r="A234" s="7" t="str">
        <f t="shared" si="6"/>
        <v>U141183U141183</v>
      </c>
      <c r="B234" s="9" t="s">
        <v>146</v>
      </c>
      <c r="C234" s="9" t="s">
        <v>145</v>
      </c>
      <c r="D234" s="9">
        <v>114</v>
      </c>
      <c r="E234" s="9" t="s">
        <v>436</v>
      </c>
      <c r="F234" s="9" t="s">
        <v>443</v>
      </c>
      <c r="G234" s="9" t="s">
        <v>444</v>
      </c>
      <c r="H234" s="17">
        <v>46223</v>
      </c>
      <c r="I234" s="17">
        <v>46225</v>
      </c>
      <c r="J234" s="17">
        <v>46227</v>
      </c>
      <c r="K234" s="10">
        <v>84</v>
      </c>
      <c r="L234" s="10">
        <f t="shared" si="7"/>
        <v>8</v>
      </c>
      <c r="M234" s="11">
        <v>3</v>
      </c>
      <c r="N234" s="11">
        <v>4</v>
      </c>
      <c r="O234" s="11">
        <v>5</v>
      </c>
      <c r="P234" s="11">
        <v>6</v>
      </c>
      <c r="Q234" s="11">
        <v>7</v>
      </c>
      <c r="R234" s="11">
        <v>8</v>
      </c>
      <c r="S234" s="11">
        <v>9</v>
      </c>
      <c r="T234" s="11">
        <v>11</v>
      </c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</row>
    <row r="235" spans="1:159" x14ac:dyDescent="0.25">
      <c r="A235" s="7" t="str">
        <f t="shared" si="6"/>
        <v>U141183U141183</v>
      </c>
      <c r="B235" s="9" t="s">
        <v>146</v>
      </c>
      <c r="C235" s="9" t="s">
        <v>150</v>
      </c>
      <c r="D235" s="9">
        <v>42</v>
      </c>
      <c r="E235" s="9" t="s">
        <v>436</v>
      </c>
      <c r="F235" s="9" t="s">
        <v>443</v>
      </c>
      <c r="G235" s="9" t="s">
        <v>444</v>
      </c>
      <c r="H235" s="17">
        <v>46223</v>
      </c>
      <c r="I235" s="17">
        <v>46224</v>
      </c>
      <c r="J235" s="17">
        <v>46227</v>
      </c>
      <c r="K235" s="10">
        <v>24</v>
      </c>
      <c r="L235" s="10">
        <f t="shared" si="7"/>
        <v>3</v>
      </c>
      <c r="M235" s="11">
        <v>13</v>
      </c>
      <c r="N235" s="11">
        <v>15</v>
      </c>
      <c r="O235" s="11">
        <v>16</v>
      </c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12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</row>
    <row r="236" spans="1:159" x14ac:dyDescent="0.25">
      <c r="A236" s="7" t="str">
        <f t="shared" si="6"/>
        <v>U141184U141184</v>
      </c>
      <c r="B236" s="9" t="s">
        <v>144</v>
      </c>
      <c r="C236" s="9" t="s">
        <v>28</v>
      </c>
      <c r="D236" s="9">
        <v>444</v>
      </c>
      <c r="E236" s="9" t="s">
        <v>436</v>
      </c>
      <c r="F236" s="9" t="s">
        <v>443</v>
      </c>
      <c r="G236" s="9" t="s">
        <v>444</v>
      </c>
      <c r="H236" s="17">
        <v>46223</v>
      </c>
      <c r="I236" s="17">
        <v>46238</v>
      </c>
      <c r="J236" s="17">
        <v>46238</v>
      </c>
      <c r="K236" s="10">
        <v>204</v>
      </c>
      <c r="L236" s="10">
        <f t="shared" si="7"/>
        <v>17</v>
      </c>
      <c r="M236" s="11">
        <v>1</v>
      </c>
      <c r="N236" s="11">
        <v>2</v>
      </c>
      <c r="O236" s="11">
        <v>3</v>
      </c>
      <c r="P236" s="11">
        <v>7</v>
      </c>
      <c r="Q236" s="11">
        <v>8</v>
      </c>
      <c r="R236" s="11">
        <v>9</v>
      </c>
      <c r="S236" s="11">
        <v>10</v>
      </c>
      <c r="T236" s="11">
        <v>11</v>
      </c>
      <c r="U236" s="11">
        <v>12</v>
      </c>
      <c r="V236" s="11">
        <v>17</v>
      </c>
      <c r="W236" s="11">
        <v>18</v>
      </c>
      <c r="X236" s="11">
        <v>20</v>
      </c>
      <c r="Y236" s="11">
        <v>24</v>
      </c>
      <c r="Z236" s="11">
        <v>25</v>
      </c>
      <c r="AA236" s="11">
        <v>31</v>
      </c>
      <c r="AB236" s="11">
        <v>33</v>
      </c>
      <c r="AC236" s="11">
        <v>34</v>
      </c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12"/>
      <c r="DS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</row>
    <row r="237" spans="1:159" x14ac:dyDescent="0.25">
      <c r="A237" s="7" t="str">
        <f t="shared" si="6"/>
        <v>U141252U141252</v>
      </c>
      <c r="B237" s="9" t="s">
        <v>262</v>
      </c>
      <c r="C237" s="9" t="s">
        <v>72</v>
      </c>
      <c r="D237" s="9">
        <v>42</v>
      </c>
      <c r="E237" s="9" t="s">
        <v>436</v>
      </c>
      <c r="F237" s="9" t="s">
        <v>443</v>
      </c>
      <c r="G237" s="9" t="s">
        <v>457</v>
      </c>
      <c r="H237" s="17">
        <v>46234</v>
      </c>
      <c r="I237" s="17">
        <v>46234</v>
      </c>
      <c r="J237" s="17"/>
      <c r="K237" s="10">
        <v>42</v>
      </c>
      <c r="L237" s="10">
        <f t="shared" si="7"/>
        <v>5</v>
      </c>
      <c r="M237" s="11">
        <v>110</v>
      </c>
      <c r="N237" s="11">
        <v>111</v>
      </c>
      <c r="O237" s="11">
        <v>112</v>
      </c>
      <c r="P237" s="11">
        <v>113</v>
      </c>
      <c r="Q237" s="11">
        <v>114</v>
      </c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12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</row>
    <row r="238" spans="1:159" x14ac:dyDescent="0.25">
      <c r="A238" s="7" t="str">
        <f t="shared" si="6"/>
        <v>U141252U141252</v>
      </c>
      <c r="B238" s="9" t="s">
        <v>262</v>
      </c>
      <c r="C238" s="9" t="s">
        <v>77</v>
      </c>
      <c r="D238" s="9">
        <v>1272</v>
      </c>
      <c r="E238" s="9" t="s">
        <v>436</v>
      </c>
      <c r="F238" s="9" t="s">
        <v>443</v>
      </c>
      <c r="G238" s="9" t="s">
        <v>457</v>
      </c>
      <c r="H238" s="17">
        <v>46233</v>
      </c>
      <c r="I238" s="17"/>
      <c r="J238" s="17"/>
      <c r="K238" s="10">
        <v>192</v>
      </c>
      <c r="L238" s="10">
        <f t="shared" si="7"/>
        <v>16</v>
      </c>
      <c r="M238" s="11">
        <v>32</v>
      </c>
      <c r="N238" s="11">
        <v>33</v>
      </c>
      <c r="O238" s="11">
        <v>34</v>
      </c>
      <c r="P238" s="11">
        <v>43</v>
      </c>
      <c r="Q238" s="11">
        <v>44</v>
      </c>
      <c r="R238" s="11">
        <v>45</v>
      </c>
      <c r="S238" s="11">
        <v>46</v>
      </c>
      <c r="T238" s="11">
        <v>47</v>
      </c>
      <c r="U238" s="11">
        <v>60</v>
      </c>
      <c r="V238" s="11">
        <v>61</v>
      </c>
      <c r="W238" s="11">
        <v>67</v>
      </c>
      <c r="X238" s="11">
        <v>68</v>
      </c>
      <c r="Y238" s="11">
        <v>78</v>
      </c>
      <c r="Z238" s="11">
        <v>80</v>
      </c>
      <c r="AA238" s="11">
        <v>97</v>
      </c>
      <c r="AB238" s="11">
        <v>99</v>
      </c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/>
      <c r="DR238" s="12"/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</row>
    <row r="239" spans="1:159" x14ac:dyDescent="0.25">
      <c r="A239" s="7" t="str">
        <f t="shared" si="6"/>
        <v>U141266U141266</v>
      </c>
      <c r="B239" s="9" t="s">
        <v>169</v>
      </c>
      <c r="C239" s="9" t="s">
        <v>1</v>
      </c>
      <c r="D239" s="9">
        <v>318</v>
      </c>
      <c r="E239" s="9" t="s">
        <v>436</v>
      </c>
      <c r="F239" s="9" t="s">
        <v>443</v>
      </c>
      <c r="G239" s="9" t="s">
        <v>444</v>
      </c>
      <c r="H239" s="17">
        <v>46225</v>
      </c>
      <c r="I239" s="17">
        <v>46228</v>
      </c>
      <c r="J239" s="17">
        <v>46230</v>
      </c>
      <c r="K239" s="10">
        <v>270</v>
      </c>
      <c r="L239" s="10">
        <f t="shared" si="7"/>
        <v>24</v>
      </c>
      <c r="M239" s="11">
        <v>1</v>
      </c>
      <c r="N239" s="11">
        <v>2</v>
      </c>
      <c r="O239" s="11">
        <v>3</v>
      </c>
      <c r="P239" s="11">
        <v>4</v>
      </c>
      <c r="Q239" s="11">
        <v>5</v>
      </c>
      <c r="R239" s="11">
        <v>6</v>
      </c>
      <c r="S239" s="11">
        <v>7</v>
      </c>
      <c r="T239" s="11">
        <v>8</v>
      </c>
      <c r="U239" s="11">
        <v>9</v>
      </c>
      <c r="V239" s="11">
        <v>10</v>
      </c>
      <c r="W239" s="11">
        <v>11</v>
      </c>
      <c r="X239" s="11">
        <v>13</v>
      </c>
      <c r="Y239" s="11">
        <v>14</v>
      </c>
      <c r="Z239" s="11">
        <v>15</v>
      </c>
      <c r="AA239" s="11">
        <v>16</v>
      </c>
      <c r="AB239" s="11">
        <v>17</v>
      </c>
      <c r="AC239" s="11">
        <v>18</v>
      </c>
      <c r="AD239" s="11">
        <v>19</v>
      </c>
      <c r="AE239" s="11">
        <v>20</v>
      </c>
      <c r="AF239" s="11">
        <v>21</v>
      </c>
      <c r="AG239" s="11">
        <v>22</v>
      </c>
      <c r="AH239" s="11">
        <v>23</v>
      </c>
      <c r="AI239" s="11">
        <v>25</v>
      </c>
      <c r="AJ239" s="11">
        <v>31</v>
      </c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</row>
    <row r="240" spans="1:159" x14ac:dyDescent="0.25">
      <c r="A240" s="7" t="str">
        <f t="shared" si="6"/>
        <v>U141266U141266</v>
      </c>
      <c r="B240" s="9" t="s">
        <v>169</v>
      </c>
      <c r="C240" s="9" t="s">
        <v>124</v>
      </c>
      <c r="D240" s="9">
        <v>54</v>
      </c>
      <c r="E240" s="9" t="s">
        <v>436</v>
      </c>
      <c r="F240" s="9" t="s">
        <v>443</v>
      </c>
      <c r="G240" s="9" t="s">
        <v>444</v>
      </c>
      <c r="H240" s="17">
        <v>46225</v>
      </c>
      <c r="I240" s="17">
        <v>46226</v>
      </c>
      <c r="J240" s="17">
        <v>46230</v>
      </c>
      <c r="K240" s="10">
        <v>36</v>
      </c>
      <c r="L240" s="10">
        <f t="shared" si="7"/>
        <v>5</v>
      </c>
      <c r="M240" s="11">
        <v>32</v>
      </c>
      <c r="N240" s="11">
        <v>34</v>
      </c>
      <c r="O240" s="11">
        <v>36</v>
      </c>
      <c r="P240" s="11">
        <v>37</v>
      </c>
      <c r="Q240" s="11">
        <v>38</v>
      </c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</row>
    <row r="241" spans="1:159" x14ac:dyDescent="0.25">
      <c r="A241" s="7" t="str">
        <f t="shared" si="6"/>
        <v>U141345U141345</v>
      </c>
      <c r="B241" s="9" t="s">
        <v>260</v>
      </c>
      <c r="C241" s="9" t="s">
        <v>95</v>
      </c>
      <c r="D241" s="9">
        <v>588</v>
      </c>
      <c r="E241" s="9" t="s">
        <v>436</v>
      </c>
      <c r="F241" s="9" t="s">
        <v>458</v>
      </c>
      <c r="G241" s="9" t="s">
        <v>438</v>
      </c>
      <c r="H241" s="17">
        <v>46233</v>
      </c>
      <c r="I241" s="17"/>
      <c r="J241" s="17"/>
      <c r="K241" s="10">
        <v>168</v>
      </c>
      <c r="L241" s="10">
        <f t="shared" si="7"/>
        <v>14</v>
      </c>
      <c r="M241" s="11">
        <v>1</v>
      </c>
      <c r="N241" s="11">
        <v>2</v>
      </c>
      <c r="O241" s="11">
        <v>8</v>
      </c>
      <c r="P241" s="11">
        <v>9</v>
      </c>
      <c r="Q241" s="11">
        <v>12</v>
      </c>
      <c r="R241" s="11">
        <v>14</v>
      </c>
      <c r="S241" s="11">
        <v>17</v>
      </c>
      <c r="T241" s="11">
        <v>18</v>
      </c>
      <c r="U241" s="11">
        <v>19</v>
      </c>
      <c r="V241" s="11">
        <v>20</v>
      </c>
      <c r="W241" s="11">
        <v>22</v>
      </c>
      <c r="X241" s="11">
        <v>23</v>
      </c>
      <c r="Y241" s="11">
        <v>28</v>
      </c>
      <c r="Z241" s="11">
        <v>41</v>
      </c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</row>
    <row r="242" spans="1:159" x14ac:dyDescent="0.25">
      <c r="A242" s="7" t="str">
        <f t="shared" si="6"/>
        <v>U141351U141351</v>
      </c>
      <c r="B242" s="9" t="s">
        <v>267</v>
      </c>
      <c r="C242" s="9" t="s">
        <v>28</v>
      </c>
      <c r="D242" s="9">
        <v>600</v>
      </c>
      <c r="E242" s="9" t="s">
        <v>436</v>
      </c>
      <c r="F242" s="9" t="s">
        <v>459</v>
      </c>
      <c r="G242" s="9" t="s">
        <v>438</v>
      </c>
      <c r="H242" s="17">
        <v>46233</v>
      </c>
      <c r="I242" s="17"/>
      <c r="J242" s="17"/>
      <c r="K242" s="10">
        <v>252</v>
      </c>
      <c r="L242" s="10">
        <f t="shared" si="7"/>
        <v>21</v>
      </c>
      <c r="M242" s="11">
        <v>1</v>
      </c>
      <c r="N242" s="11">
        <v>2</v>
      </c>
      <c r="O242" s="11">
        <v>4</v>
      </c>
      <c r="P242" s="11">
        <v>7</v>
      </c>
      <c r="Q242" s="11">
        <v>8</v>
      </c>
      <c r="R242" s="11">
        <v>12</v>
      </c>
      <c r="S242" s="11">
        <v>13</v>
      </c>
      <c r="T242" s="11">
        <v>14</v>
      </c>
      <c r="U242" s="11">
        <v>16</v>
      </c>
      <c r="V242" s="11">
        <v>18</v>
      </c>
      <c r="W242" s="11">
        <v>19</v>
      </c>
      <c r="X242" s="11">
        <v>20</v>
      </c>
      <c r="Y242" s="11">
        <v>22</v>
      </c>
      <c r="Z242" s="11">
        <v>23</v>
      </c>
      <c r="AA242" s="11">
        <v>30</v>
      </c>
      <c r="AB242" s="11">
        <v>31</v>
      </c>
      <c r="AC242" s="11">
        <v>35</v>
      </c>
      <c r="AD242" s="11">
        <v>39</v>
      </c>
      <c r="AE242" s="11">
        <v>43</v>
      </c>
      <c r="AF242" s="11">
        <v>44</v>
      </c>
      <c r="AG242" s="11">
        <v>45</v>
      </c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12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</row>
    <row r="243" spans="1:159" x14ac:dyDescent="0.25">
      <c r="A243" s="7" t="str">
        <f t="shared" si="6"/>
        <v>U141650U141650</v>
      </c>
      <c r="B243" s="9" t="s">
        <v>248</v>
      </c>
      <c r="C243" s="9" t="s">
        <v>55</v>
      </c>
      <c r="D243" s="9">
        <v>576</v>
      </c>
      <c r="E243" s="9" t="s">
        <v>436</v>
      </c>
      <c r="F243" s="9" t="s">
        <v>460</v>
      </c>
      <c r="G243" s="9" t="s">
        <v>438</v>
      </c>
      <c r="H243" s="17">
        <v>46232</v>
      </c>
      <c r="I243" s="17">
        <v>46237</v>
      </c>
      <c r="J243" s="17">
        <v>46238</v>
      </c>
      <c r="K243" s="10">
        <v>252</v>
      </c>
      <c r="L243" s="10">
        <f t="shared" si="7"/>
        <v>21</v>
      </c>
      <c r="M243" s="11">
        <v>1</v>
      </c>
      <c r="N243" s="11">
        <v>4</v>
      </c>
      <c r="O243" s="11">
        <v>8</v>
      </c>
      <c r="P243" s="11">
        <v>9</v>
      </c>
      <c r="Q243" s="11">
        <v>13</v>
      </c>
      <c r="R243" s="11">
        <v>14</v>
      </c>
      <c r="S243" s="11">
        <v>19</v>
      </c>
      <c r="T243" s="11">
        <v>20</v>
      </c>
      <c r="U243" s="11">
        <v>21</v>
      </c>
      <c r="V243" s="11">
        <v>25</v>
      </c>
      <c r="W243" s="11">
        <v>26</v>
      </c>
      <c r="X243" s="11">
        <v>27</v>
      </c>
      <c r="Y243" s="11">
        <v>28</v>
      </c>
      <c r="Z243" s="11">
        <v>29</v>
      </c>
      <c r="AA243" s="11">
        <v>33</v>
      </c>
      <c r="AB243" s="11">
        <v>34</v>
      </c>
      <c r="AC243" s="11">
        <v>35</v>
      </c>
      <c r="AD243" s="11">
        <v>40</v>
      </c>
      <c r="AE243" s="11">
        <v>41</v>
      </c>
      <c r="AF243" s="11">
        <v>42</v>
      </c>
      <c r="AG243" s="11">
        <v>43</v>
      </c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2"/>
      <c r="DO243" s="12"/>
      <c r="DP243" s="12"/>
      <c r="DQ243" s="12"/>
      <c r="DR243" s="12"/>
      <c r="DS243" s="12"/>
      <c r="DT243" s="12"/>
      <c r="DU243" s="12"/>
      <c r="DV243" s="12"/>
      <c r="DW243" s="12"/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</row>
    <row r="244" spans="1:159" x14ac:dyDescent="0.25">
      <c r="A244" s="7" t="str">
        <f t="shared" si="6"/>
        <v>U141651U141651</v>
      </c>
      <c r="B244" s="9" t="s">
        <v>233</v>
      </c>
      <c r="C244" s="9" t="s">
        <v>55</v>
      </c>
      <c r="D244" s="9">
        <v>636</v>
      </c>
      <c r="E244" s="9" t="s">
        <v>436</v>
      </c>
      <c r="F244" s="9" t="s">
        <v>461</v>
      </c>
      <c r="G244" s="9" t="s">
        <v>438</v>
      </c>
      <c r="H244" s="17">
        <v>46232</v>
      </c>
      <c r="I244" s="17">
        <v>46234</v>
      </c>
      <c r="J244" s="17">
        <v>46237</v>
      </c>
      <c r="K244" s="10">
        <v>576</v>
      </c>
      <c r="L244" s="10">
        <f t="shared" si="7"/>
        <v>48</v>
      </c>
      <c r="M244" s="11">
        <v>1</v>
      </c>
      <c r="N244" s="11">
        <v>2</v>
      </c>
      <c r="O244" s="11">
        <v>3</v>
      </c>
      <c r="P244" s="11">
        <v>4</v>
      </c>
      <c r="Q244" s="11">
        <v>5</v>
      </c>
      <c r="R244" s="11">
        <v>6</v>
      </c>
      <c r="S244" s="11">
        <v>8</v>
      </c>
      <c r="T244" s="11">
        <v>9</v>
      </c>
      <c r="U244" s="11">
        <v>10</v>
      </c>
      <c r="V244" s="11">
        <v>11</v>
      </c>
      <c r="W244" s="11">
        <v>13</v>
      </c>
      <c r="X244" s="11">
        <v>14</v>
      </c>
      <c r="Y244" s="11">
        <v>15</v>
      </c>
      <c r="Z244" s="11">
        <v>16</v>
      </c>
      <c r="AA244" s="11">
        <v>17</v>
      </c>
      <c r="AB244" s="11">
        <v>18</v>
      </c>
      <c r="AC244" s="11">
        <v>19</v>
      </c>
      <c r="AD244" s="11">
        <v>20</v>
      </c>
      <c r="AE244" s="11">
        <v>21</v>
      </c>
      <c r="AF244" s="11">
        <v>22</v>
      </c>
      <c r="AG244" s="11">
        <v>23</v>
      </c>
      <c r="AH244" s="11">
        <v>24</v>
      </c>
      <c r="AI244" s="11">
        <v>25</v>
      </c>
      <c r="AJ244" s="11">
        <v>27</v>
      </c>
      <c r="AK244" s="11">
        <v>28</v>
      </c>
      <c r="AL244" s="11">
        <v>29</v>
      </c>
      <c r="AM244" s="11">
        <v>30</v>
      </c>
      <c r="AN244" s="11">
        <v>31</v>
      </c>
      <c r="AO244" s="11">
        <v>32</v>
      </c>
      <c r="AP244" s="11">
        <v>33</v>
      </c>
      <c r="AQ244" s="11">
        <v>34</v>
      </c>
      <c r="AR244" s="11">
        <v>36</v>
      </c>
      <c r="AS244" s="11">
        <v>37</v>
      </c>
      <c r="AT244" s="11">
        <v>38</v>
      </c>
      <c r="AU244" s="11">
        <v>39</v>
      </c>
      <c r="AV244" s="11">
        <v>40</v>
      </c>
      <c r="AW244" s="11">
        <v>41</v>
      </c>
      <c r="AX244" s="11">
        <v>42</v>
      </c>
      <c r="AY244" s="11">
        <v>43</v>
      </c>
      <c r="AZ244" s="11">
        <v>45</v>
      </c>
      <c r="BA244" s="11">
        <v>46</v>
      </c>
      <c r="BB244" s="11">
        <v>47</v>
      </c>
      <c r="BC244" s="11">
        <v>48</v>
      </c>
      <c r="BD244" s="11">
        <v>49</v>
      </c>
      <c r="BE244" s="11">
        <v>50</v>
      </c>
      <c r="BF244" s="11">
        <v>51</v>
      </c>
      <c r="BG244" s="11">
        <v>52</v>
      </c>
      <c r="BH244" s="11">
        <v>53</v>
      </c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12"/>
      <c r="DS244" s="12"/>
      <c r="DT244" s="12"/>
      <c r="DU244" s="12"/>
      <c r="DV244" s="12"/>
      <c r="DW244" s="12"/>
      <c r="DX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</row>
    <row r="245" spans="1:159" x14ac:dyDescent="0.25">
      <c r="A245" s="7" t="str">
        <f t="shared" si="6"/>
        <v>U141652U141652</v>
      </c>
      <c r="B245" s="9" t="s">
        <v>268</v>
      </c>
      <c r="C245" s="9" t="s">
        <v>55</v>
      </c>
      <c r="D245" s="9">
        <v>624</v>
      </c>
      <c r="E245" s="9" t="s">
        <v>436</v>
      </c>
      <c r="F245" s="9" t="s">
        <v>462</v>
      </c>
      <c r="G245" s="9" t="s">
        <v>438</v>
      </c>
      <c r="H245" s="17">
        <v>46233</v>
      </c>
      <c r="I245" s="17">
        <v>46234</v>
      </c>
      <c r="J245" s="17">
        <v>46237</v>
      </c>
      <c r="K245" s="10">
        <v>348</v>
      </c>
      <c r="L245" s="10">
        <f t="shared" si="7"/>
        <v>29</v>
      </c>
      <c r="M245" s="11">
        <v>1</v>
      </c>
      <c r="N245" s="11">
        <v>5</v>
      </c>
      <c r="O245" s="11">
        <v>6</v>
      </c>
      <c r="P245" s="11">
        <v>7</v>
      </c>
      <c r="Q245" s="11">
        <v>9</v>
      </c>
      <c r="R245" s="11">
        <v>10</v>
      </c>
      <c r="S245" s="11">
        <v>11</v>
      </c>
      <c r="T245" s="11">
        <v>14</v>
      </c>
      <c r="U245" s="11">
        <v>15</v>
      </c>
      <c r="V245" s="11">
        <v>20</v>
      </c>
      <c r="W245" s="11">
        <v>21</v>
      </c>
      <c r="X245" s="11">
        <v>22</v>
      </c>
      <c r="Y245" s="11">
        <v>23</v>
      </c>
      <c r="Z245" s="11">
        <v>24</v>
      </c>
      <c r="AA245" s="11">
        <v>27</v>
      </c>
      <c r="AB245" s="11">
        <v>28</v>
      </c>
      <c r="AC245" s="11">
        <v>29</v>
      </c>
      <c r="AD245" s="11">
        <v>30</v>
      </c>
      <c r="AE245" s="11">
        <v>31</v>
      </c>
      <c r="AF245" s="11">
        <v>36</v>
      </c>
      <c r="AG245" s="11">
        <v>37</v>
      </c>
      <c r="AH245" s="11">
        <v>38</v>
      </c>
      <c r="AI245" s="11">
        <v>39</v>
      </c>
      <c r="AJ245" s="11">
        <v>43</v>
      </c>
      <c r="AK245" s="11">
        <v>44</v>
      </c>
      <c r="AL245" s="11">
        <v>45</v>
      </c>
      <c r="AM245" s="11">
        <v>46</v>
      </c>
      <c r="AN245" s="11">
        <v>47</v>
      </c>
      <c r="AO245" s="11">
        <v>48</v>
      </c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</row>
    <row r="246" spans="1:159" x14ac:dyDescent="0.25">
      <c r="A246" s="7" t="str">
        <f t="shared" si="6"/>
        <v>U141653U141653</v>
      </c>
      <c r="B246" s="9" t="s">
        <v>277</v>
      </c>
      <c r="C246" s="9" t="s">
        <v>55</v>
      </c>
      <c r="D246" s="9">
        <v>600</v>
      </c>
      <c r="E246" s="9" t="s">
        <v>436</v>
      </c>
      <c r="F246" s="9" t="s">
        <v>463</v>
      </c>
      <c r="G246" s="9" t="s">
        <v>438</v>
      </c>
      <c r="H246" s="17">
        <v>46234</v>
      </c>
      <c r="I246" s="17">
        <v>46238</v>
      </c>
      <c r="J246" s="17">
        <v>46239</v>
      </c>
      <c r="K246" s="10">
        <v>384</v>
      </c>
      <c r="L246" s="10">
        <f t="shared" si="7"/>
        <v>32</v>
      </c>
      <c r="M246" s="11">
        <v>1</v>
      </c>
      <c r="N246" s="11">
        <v>4</v>
      </c>
      <c r="O246" s="11">
        <v>7</v>
      </c>
      <c r="P246" s="11">
        <v>8</v>
      </c>
      <c r="Q246" s="11">
        <v>9</v>
      </c>
      <c r="R246" s="11">
        <v>12</v>
      </c>
      <c r="S246" s="11">
        <v>13</v>
      </c>
      <c r="T246" s="11">
        <v>14</v>
      </c>
      <c r="U246" s="11">
        <v>15</v>
      </c>
      <c r="V246" s="11">
        <v>17</v>
      </c>
      <c r="W246" s="11">
        <v>19</v>
      </c>
      <c r="X246" s="11">
        <v>20</v>
      </c>
      <c r="Y246" s="11">
        <v>21</v>
      </c>
      <c r="Z246" s="11">
        <v>22</v>
      </c>
      <c r="AA246" s="11">
        <v>23</v>
      </c>
      <c r="AB246" s="11">
        <v>25</v>
      </c>
      <c r="AC246" s="11">
        <v>26</v>
      </c>
      <c r="AD246" s="11">
        <v>27</v>
      </c>
      <c r="AE246" s="11">
        <v>28</v>
      </c>
      <c r="AF246" s="11">
        <v>29</v>
      </c>
      <c r="AG246" s="11">
        <v>30</v>
      </c>
      <c r="AH246" s="11">
        <v>34</v>
      </c>
      <c r="AI246" s="11">
        <v>35</v>
      </c>
      <c r="AJ246" s="11">
        <v>36</v>
      </c>
      <c r="AK246" s="11">
        <v>37</v>
      </c>
      <c r="AL246" s="11">
        <v>38</v>
      </c>
      <c r="AM246" s="11">
        <v>39</v>
      </c>
      <c r="AN246" s="11">
        <v>42</v>
      </c>
      <c r="AO246" s="11">
        <v>43</v>
      </c>
      <c r="AP246" s="11">
        <v>44</v>
      </c>
      <c r="AQ246" s="11">
        <v>45</v>
      </c>
      <c r="AR246" s="11">
        <v>46</v>
      </c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12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</row>
    <row r="247" spans="1:159" x14ac:dyDescent="0.25">
      <c r="A247" s="7" t="str">
        <f t="shared" si="6"/>
        <v>U141654U141654</v>
      </c>
      <c r="B247" s="9" t="s">
        <v>292</v>
      </c>
      <c r="C247" s="9" t="s">
        <v>55</v>
      </c>
      <c r="D247" s="9">
        <v>612</v>
      </c>
      <c r="E247" s="9" t="s">
        <v>436</v>
      </c>
      <c r="F247" s="9" t="s">
        <v>464</v>
      </c>
      <c r="G247" s="9" t="s">
        <v>438</v>
      </c>
      <c r="H247" s="17">
        <v>46234</v>
      </c>
      <c r="I247" s="17">
        <v>46239</v>
      </c>
      <c r="J247" s="17"/>
      <c r="K247" s="10">
        <v>36</v>
      </c>
      <c r="L247" s="10">
        <f t="shared" si="7"/>
        <v>3</v>
      </c>
      <c r="M247" s="11">
        <v>13</v>
      </c>
      <c r="N247" s="11">
        <v>43</v>
      </c>
      <c r="O247" s="11">
        <v>44</v>
      </c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</row>
    <row r="248" spans="1:159" x14ac:dyDescent="0.25">
      <c r="A248" s="7" t="str">
        <f t="shared" si="6"/>
        <v>U141659U141659</v>
      </c>
      <c r="B248" s="9" t="s">
        <v>184</v>
      </c>
      <c r="C248" s="9" t="s">
        <v>65</v>
      </c>
      <c r="D248" s="9">
        <v>432</v>
      </c>
      <c r="E248" s="9" t="s">
        <v>436</v>
      </c>
      <c r="F248" s="9" t="s">
        <v>462</v>
      </c>
      <c r="G248" s="9" t="s">
        <v>438</v>
      </c>
      <c r="H248" s="17">
        <v>46226</v>
      </c>
      <c r="I248" s="17">
        <v>46231</v>
      </c>
      <c r="J248" s="17">
        <v>46232</v>
      </c>
      <c r="K248" s="10">
        <v>216</v>
      </c>
      <c r="L248" s="10">
        <f t="shared" si="7"/>
        <v>18</v>
      </c>
      <c r="M248" s="11">
        <v>1</v>
      </c>
      <c r="N248" s="11">
        <v>2</v>
      </c>
      <c r="O248" s="11">
        <v>4</v>
      </c>
      <c r="P248" s="11">
        <v>5</v>
      </c>
      <c r="Q248" s="11">
        <v>8</v>
      </c>
      <c r="R248" s="11">
        <v>9</v>
      </c>
      <c r="S248" s="11">
        <v>10</v>
      </c>
      <c r="T248" s="11">
        <v>13</v>
      </c>
      <c r="U248" s="11">
        <v>14</v>
      </c>
      <c r="V248" s="11">
        <v>15</v>
      </c>
      <c r="W248" s="11">
        <v>16</v>
      </c>
      <c r="X248" s="11">
        <v>22</v>
      </c>
      <c r="Y248" s="11">
        <v>23</v>
      </c>
      <c r="Z248" s="11">
        <v>24</v>
      </c>
      <c r="AA248" s="11">
        <v>25</v>
      </c>
      <c r="AB248" s="11">
        <v>27</v>
      </c>
      <c r="AC248" s="11">
        <v>28</v>
      </c>
      <c r="AD248" s="11">
        <v>29</v>
      </c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</row>
    <row r="249" spans="1:159" x14ac:dyDescent="0.25">
      <c r="A249" s="7" t="str">
        <f t="shared" si="6"/>
        <v>U141660U141660</v>
      </c>
      <c r="B249" s="9" t="s">
        <v>192</v>
      </c>
      <c r="C249" s="9" t="s">
        <v>65</v>
      </c>
      <c r="D249" s="9">
        <v>540</v>
      </c>
      <c r="E249" s="9" t="s">
        <v>436</v>
      </c>
      <c r="F249" s="9" t="s">
        <v>464</v>
      </c>
      <c r="G249" s="9" t="s">
        <v>438</v>
      </c>
      <c r="H249" s="17">
        <v>46226</v>
      </c>
      <c r="I249" s="17">
        <v>46232</v>
      </c>
      <c r="J249" s="17">
        <v>46232</v>
      </c>
      <c r="K249" s="10">
        <v>132</v>
      </c>
      <c r="L249" s="10">
        <f t="shared" si="7"/>
        <v>11</v>
      </c>
      <c r="M249" s="11">
        <v>10</v>
      </c>
      <c r="N249" s="11">
        <v>11</v>
      </c>
      <c r="O249" s="11">
        <v>16</v>
      </c>
      <c r="P249" s="11">
        <v>17</v>
      </c>
      <c r="Q249" s="11">
        <v>18</v>
      </c>
      <c r="R249" s="11">
        <v>27</v>
      </c>
      <c r="S249" s="11">
        <v>28</v>
      </c>
      <c r="T249" s="11">
        <v>29</v>
      </c>
      <c r="U249" s="11">
        <v>33</v>
      </c>
      <c r="V249" s="11">
        <v>34</v>
      </c>
      <c r="W249" s="11">
        <v>35</v>
      </c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</row>
    <row r="250" spans="1:159" x14ac:dyDescent="0.25">
      <c r="A250" s="7" t="str">
        <f t="shared" si="6"/>
        <v>U141661U141661</v>
      </c>
      <c r="B250" s="9" t="s">
        <v>193</v>
      </c>
      <c r="C250" s="9" t="s">
        <v>65</v>
      </c>
      <c r="D250" s="9">
        <v>552</v>
      </c>
      <c r="E250" s="9" t="s">
        <v>436</v>
      </c>
      <c r="F250" s="9" t="s">
        <v>461</v>
      </c>
      <c r="G250" s="9" t="s">
        <v>438</v>
      </c>
      <c r="H250" s="17">
        <v>46227</v>
      </c>
      <c r="I250" s="17">
        <v>46239</v>
      </c>
      <c r="J250" s="17">
        <v>46239</v>
      </c>
      <c r="K250" s="10">
        <v>240</v>
      </c>
      <c r="L250" s="10">
        <f t="shared" si="7"/>
        <v>20</v>
      </c>
      <c r="M250" s="11">
        <v>1</v>
      </c>
      <c r="N250" s="11">
        <v>2</v>
      </c>
      <c r="O250" s="11">
        <v>10</v>
      </c>
      <c r="P250" s="11">
        <v>11</v>
      </c>
      <c r="Q250" s="11">
        <v>13</v>
      </c>
      <c r="R250" s="11">
        <v>14</v>
      </c>
      <c r="S250" s="11">
        <v>15</v>
      </c>
      <c r="T250" s="11">
        <v>16</v>
      </c>
      <c r="U250" s="11">
        <v>17</v>
      </c>
      <c r="V250" s="11">
        <v>18</v>
      </c>
      <c r="W250" s="11">
        <v>22</v>
      </c>
      <c r="X250" s="11">
        <v>28</v>
      </c>
      <c r="Y250" s="11">
        <v>29</v>
      </c>
      <c r="Z250" s="11">
        <v>30</v>
      </c>
      <c r="AA250" s="11">
        <v>31</v>
      </c>
      <c r="AB250" s="11">
        <v>34</v>
      </c>
      <c r="AC250" s="11">
        <v>35</v>
      </c>
      <c r="AD250" s="11">
        <v>36</v>
      </c>
      <c r="AE250" s="11">
        <v>37</v>
      </c>
      <c r="AF250" s="11">
        <v>38</v>
      </c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</row>
    <row r="251" spans="1:159" x14ac:dyDescent="0.25">
      <c r="A251" s="7" t="str">
        <f t="shared" si="6"/>
        <v>U141662U141662</v>
      </c>
      <c r="B251" s="9" t="s">
        <v>199</v>
      </c>
      <c r="C251" s="9" t="s">
        <v>65</v>
      </c>
      <c r="D251" s="9">
        <v>432</v>
      </c>
      <c r="E251" s="9" t="s">
        <v>436</v>
      </c>
      <c r="F251" s="9" t="s">
        <v>460</v>
      </c>
      <c r="G251" s="9" t="s">
        <v>438</v>
      </c>
      <c r="H251" s="17">
        <v>46227</v>
      </c>
      <c r="I251" s="17">
        <v>46239</v>
      </c>
      <c r="J251" s="17">
        <v>46239</v>
      </c>
      <c r="K251" s="10">
        <v>168</v>
      </c>
      <c r="L251" s="10">
        <f t="shared" si="7"/>
        <v>14</v>
      </c>
      <c r="M251" s="11">
        <v>8</v>
      </c>
      <c r="N251" s="11">
        <v>9</v>
      </c>
      <c r="O251" s="11">
        <v>10</v>
      </c>
      <c r="P251" s="11">
        <v>11</v>
      </c>
      <c r="Q251" s="11">
        <v>12</v>
      </c>
      <c r="R251" s="11">
        <v>13</v>
      </c>
      <c r="S251" s="11">
        <v>22</v>
      </c>
      <c r="T251" s="11">
        <v>23</v>
      </c>
      <c r="U251" s="11">
        <v>24</v>
      </c>
      <c r="V251" s="11">
        <v>25</v>
      </c>
      <c r="W251" s="11">
        <v>27</v>
      </c>
      <c r="X251" s="11">
        <v>28</v>
      </c>
      <c r="Y251" s="11">
        <v>29</v>
      </c>
      <c r="Z251" s="11">
        <v>30</v>
      </c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</row>
    <row r="252" spans="1:159" x14ac:dyDescent="0.25">
      <c r="A252" s="7" t="str">
        <f t="shared" si="6"/>
        <v>U141665U141665</v>
      </c>
      <c r="B252" s="9" t="s">
        <v>203</v>
      </c>
      <c r="C252" s="9" t="s">
        <v>65</v>
      </c>
      <c r="D252" s="9">
        <v>420</v>
      </c>
      <c r="E252" s="9" t="s">
        <v>436</v>
      </c>
      <c r="F252" s="9" t="s">
        <v>465</v>
      </c>
      <c r="G252" s="9" t="s">
        <v>438</v>
      </c>
      <c r="H252" s="17">
        <v>46227</v>
      </c>
      <c r="I252" s="17"/>
      <c r="J252" s="17"/>
      <c r="K252" s="10">
        <v>96</v>
      </c>
      <c r="L252" s="10">
        <f t="shared" si="7"/>
        <v>8</v>
      </c>
      <c r="M252" s="11">
        <v>7</v>
      </c>
      <c r="N252" s="11">
        <v>8</v>
      </c>
      <c r="O252" s="11">
        <v>9</v>
      </c>
      <c r="P252" s="11">
        <v>10</v>
      </c>
      <c r="Q252" s="11">
        <v>26</v>
      </c>
      <c r="R252" s="11">
        <v>27</v>
      </c>
      <c r="S252" s="11">
        <v>28</v>
      </c>
      <c r="T252" s="11">
        <v>29</v>
      </c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</row>
    <row r="253" spans="1:159" x14ac:dyDescent="0.25">
      <c r="A253" s="7" t="str">
        <f t="shared" si="6"/>
        <v>U141667U141667</v>
      </c>
      <c r="B253" s="9" t="s">
        <v>229</v>
      </c>
      <c r="C253" s="9" t="s">
        <v>65</v>
      </c>
      <c r="D253" s="9">
        <v>552</v>
      </c>
      <c r="E253" s="9" t="s">
        <v>436</v>
      </c>
      <c r="F253" s="9" t="s">
        <v>463</v>
      </c>
      <c r="G253" s="9" t="s">
        <v>438</v>
      </c>
      <c r="H253" s="17">
        <v>46231</v>
      </c>
      <c r="I253" s="17">
        <v>46232</v>
      </c>
      <c r="J253" s="17">
        <v>46233</v>
      </c>
      <c r="K253" s="10">
        <v>24</v>
      </c>
      <c r="L253" s="10">
        <f t="shared" si="7"/>
        <v>2</v>
      </c>
      <c r="M253" s="11">
        <v>4</v>
      </c>
      <c r="N253" s="11">
        <v>10</v>
      </c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</row>
    <row r="254" spans="1:159" x14ac:dyDescent="0.25">
      <c r="A254" s="7" t="str">
        <f t="shared" si="6"/>
        <v>U141670U141670</v>
      </c>
      <c r="B254" s="9" t="s">
        <v>343</v>
      </c>
      <c r="C254" s="9" t="s">
        <v>0</v>
      </c>
      <c r="D254" s="9">
        <v>1350</v>
      </c>
      <c r="E254" s="9" t="s">
        <v>436</v>
      </c>
      <c r="F254" s="9" t="s">
        <v>449</v>
      </c>
      <c r="G254" s="9" t="s">
        <v>438</v>
      </c>
      <c r="H254" s="17">
        <v>46238</v>
      </c>
      <c r="I254" s="17"/>
      <c r="J254" s="17"/>
      <c r="K254" s="10">
        <v>225</v>
      </c>
      <c r="L254" s="10">
        <f t="shared" si="7"/>
        <v>25</v>
      </c>
      <c r="M254" s="11">
        <v>1</v>
      </c>
      <c r="N254" s="11">
        <v>2</v>
      </c>
      <c r="O254" s="11">
        <v>3</v>
      </c>
      <c r="P254" s="11">
        <v>4</v>
      </c>
      <c r="Q254" s="11">
        <v>5</v>
      </c>
      <c r="R254" s="11">
        <v>6</v>
      </c>
      <c r="S254" s="11">
        <v>7</v>
      </c>
      <c r="T254" s="11">
        <v>8</v>
      </c>
      <c r="U254" s="11">
        <v>9</v>
      </c>
      <c r="V254" s="11">
        <v>10</v>
      </c>
      <c r="W254" s="11">
        <v>11</v>
      </c>
      <c r="X254" s="11">
        <v>12</v>
      </c>
      <c r="Y254" s="11">
        <v>13</v>
      </c>
      <c r="Z254" s="11">
        <v>14</v>
      </c>
      <c r="AA254" s="11">
        <v>15</v>
      </c>
      <c r="AB254" s="11">
        <v>16</v>
      </c>
      <c r="AC254" s="11">
        <v>17</v>
      </c>
      <c r="AD254" s="11">
        <v>18</v>
      </c>
      <c r="AE254" s="11">
        <v>20</v>
      </c>
      <c r="AF254" s="11">
        <v>21</v>
      </c>
      <c r="AG254" s="11">
        <v>22</v>
      </c>
      <c r="AH254" s="11">
        <v>23</v>
      </c>
      <c r="AI254" s="11">
        <v>24</v>
      </c>
      <c r="AJ254" s="11">
        <v>29</v>
      </c>
      <c r="AK254" s="11">
        <v>30</v>
      </c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</row>
    <row r="255" spans="1:159" x14ac:dyDescent="0.25">
      <c r="A255" s="7" t="str">
        <f t="shared" si="6"/>
        <v>U141673U141673</v>
      </c>
      <c r="B255" s="9" t="s">
        <v>302</v>
      </c>
      <c r="C255" s="9" t="s">
        <v>0</v>
      </c>
      <c r="D255" s="9">
        <v>774</v>
      </c>
      <c r="E255" s="9" t="s">
        <v>436</v>
      </c>
      <c r="F255" s="9" t="s">
        <v>450</v>
      </c>
      <c r="G255" s="9" t="s">
        <v>438</v>
      </c>
      <c r="H255" s="17">
        <v>46237</v>
      </c>
      <c r="I255" s="17">
        <v>46238</v>
      </c>
      <c r="J255" s="17">
        <v>46238</v>
      </c>
      <c r="K255" s="10">
        <v>750</v>
      </c>
      <c r="L255" s="10">
        <f t="shared" si="7"/>
        <v>63</v>
      </c>
      <c r="M255" s="11">
        <v>1</v>
      </c>
      <c r="N255" s="11">
        <v>2</v>
      </c>
      <c r="O255" s="11">
        <v>3</v>
      </c>
      <c r="P255" s="11">
        <v>4</v>
      </c>
      <c r="Q255" s="11">
        <v>5</v>
      </c>
      <c r="R255" s="11">
        <v>6</v>
      </c>
      <c r="S255" s="11">
        <v>7</v>
      </c>
      <c r="T255" s="11">
        <v>8</v>
      </c>
      <c r="U255" s="11">
        <v>9</v>
      </c>
      <c r="V255" s="11">
        <v>10</v>
      </c>
      <c r="W255" s="11">
        <v>11</v>
      </c>
      <c r="X255" s="11">
        <v>12</v>
      </c>
      <c r="Y255" s="11">
        <v>13</v>
      </c>
      <c r="Z255" s="11">
        <v>14</v>
      </c>
      <c r="AA255" s="11">
        <v>15</v>
      </c>
      <c r="AB255" s="11">
        <v>16</v>
      </c>
      <c r="AC255" s="11">
        <v>17</v>
      </c>
      <c r="AD255" s="11">
        <v>18</v>
      </c>
      <c r="AE255" s="11">
        <v>19</v>
      </c>
      <c r="AF255" s="11">
        <v>20</v>
      </c>
      <c r="AG255" s="11">
        <v>21</v>
      </c>
      <c r="AH255" s="11">
        <v>22</v>
      </c>
      <c r="AI255" s="11">
        <v>23</v>
      </c>
      <c r="AJ255" s="11">
        <v>24</v>
      </c>
      <c r="AK255" s="11">
        <v>25</v>
      </c>
      <c r="AL255" s="11">
        <v>27</v>
      </c>
      <c r="AM255" s="11">
        <v>28</v>
      </c>
      <c r="AN255" s="11">
        <v>29</v>
      </c>
      <c r="AO255" s="11">
        <v>30</v>
      </c>
      <c r="AP255" s="11">
        <v>32</v>
      </c>
      <c r="AQ255" s="11">
        <v>33</v>
      </c>
      <c r="AR255" s="11">
        <v>34</v>
      </c>
      <c r="AS255" s="11">
        <v>35</v>
      </c>
      <c r="AT255" s="11">
        <v>36</v>
      </c>
      <c r="AU255" s="11">
        <v>37</v>
      </c>
      <c r="AV255" s="11">
        <v>38</v>
      </c>
      <c r="AW255" s="11">
        <v>39</v>
      </c>
      <c r="AX255" s="11">
        <v>40</v>
      </c>
      <c r="AY255" s="11">
        <v>41</v>
      </c>
      <c r="AZ255" s="11">
        <v>42</v>
      </c>
      <c r="BA255" s="11">
        <v>43</v>
      </c>
      <c r="BB255" s="11">
        <v>44</v>
      </c>
      <c r="BC255" s="11">
        <v>45</v>
      </c>
      <c r="BD255" s="11">
        <v>46</v>
      </c>
      <c r="BE255" s="11">
        <v>47</v>
      </c>
      <c r="BF255" s="11">
        <v>48</v>
      </c>
      <c r="BG255" s="11">
        <v>49</v>
      </c>
      <c r="BH255" s="11">
        <v>50</v>
      </c>
      <c r="BI255" s="11">
        <v>51</v>
      </c>
      <c r="BJ255" s="11">
        <v>52</v>
      </c>
      <c r="BK255" s="11">
        <v>53</v>
      </c>
      <c r="BL255" s="11">
        <v>54</v>
      </c>
      <c r="BM255" s="11">
        <v>55</v>
      </c>
      <c r="BN255" s="11">
        <v>56</v>
      </c>
      <c r="BO255" s="11">
        <v>57</v>
      </c>
      <c r="BP255" s="11">
        <v>58</v>
      </c>
      <c r="BQ255" s="11">
        <v>59</v>
      </c>
      <c r="BR255" s="11">
        <v>60</v>
      </c>
      <c r="BS255" s="11">
        <v>61</v>
      </c>
      <c r="BT255" s="11">
        <v>62</v>
      </c>
      <c r="BU255" s="11">
        <v>63</v>
      </c>
      <c r="BV255" s="11">
        <v>64</v>
      </c>
      <c r="BW255" s="11">
        <v>65</v>
      </c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</row>
    <row r="256" spans="1:159" x14ac:dyDescent="0.25">
      <c r="A256" s="7" t="str">
        <f t="shared" si="6"/>
        <v>U141675U141675</v>
      </c>
      <c r="B256" s="9" t="s">
        <v>328</v>
      </c>
      <c r="C256" s="9" t="s">
        <v>0</v>
      </c>
      <c r="D256" s="9">
        <v>774</v>
      </c>
      <c r="E256" s="9" t="s">
        <v>436</v>
      </c>
      <c r="F256" s="9" t="s">
        <v>451</v>
      </c>
      <c r="G256" s="9" t="s">
        <v>438</v>
      </c>
      <c r="H256" s="17">
        <v>46238</v>
      </c>
      <c r="I256" s="17">
        <v>46238</v>
      </c>
      <c r="J256" s="17">
        <v>46239</v>
      </c>
      <c r="K256" s="10">
        <v>774</v>
      </c>
      <c r="L256" s="10">
        <f t="shared" si="7"/>
        <v>65</v>
      </c>
      <c r="M256" s="11">
        <v>1</v>
      </c>
      <c r="N256" s="11">
        <v>2</v>
      </c>
      <c r="O256" s="11">
        <v>3</v>
      </c>
      <c r="P256" s="11">
        <v>4</v>
      </c>
      <c r="Q256" s="11">
        <v>5</v>
      </c>
      <c r="R256" s="11">
        <v>6</v>
      </c>
      <c r="S256" s="11">
        <v>7</v>
      </c>
      <c r="T256" s="11">
        <v>8</v>
      </c>
      <c r="U256" s="11">
        <v>9</v>
      </c>
      <c r="V256" s="11">
        <v>10</v>
      </c>
      <c r="W256" s="11">
        <v>11</v>
      </c>
      <c r="X256" s="11">
        <v>12</v>
      </c>
      <c r="Y256" s="11">
        <v>13</v>
      </c>
      <c r="Z256" s="11">
        <v>14</v>
      </c>
      <c r="AA256" s="11">
        <v>15</v>
      </c>
      <c r="AB256" s="11">
        <v>16</v>
      </c>
      <c r="AC256" s="11">
        <v>17</v>
      </c>
      <c r="AD256" s="11">
        <v>18</v>
      </c>
      <c r="AE256" s="11">
        <v>19</v>
      </c>
      <c r="AF256" s="11">
        <v>20</v>
      </c>
      <c r="AG256" s="11">
        <v>21</v>
      </c>
      <c r="AH256" s="11">
        <v>22</v>
      </c>
      <c r="AI256" s="11">
        <v>23</v>
      </c>
      <c r="AJ256" s="11">
        <v>24</v>
      </c>
      <c r="AK256" s="11">
        <v>25</v>
      </c>
      <c r="AL256" s="11">
        <v>26</v>
      </c>
      <c r="AM256" s="11">
        <v>27</v>
      </c>
      <c r="AN256" s="11">
        <v>28</v>
      </c>
      <c r="AO256" s="11">
        <v>29</v>
      </c>
      <c r="AP256" s="11">
        <v>30</v>
      </c>
      <c r="AQ256" s="11">
        <v>31</v>
      </c>
      <c r="AR256" s="11">
        <v>32</v>
      </c>
      <c r="AS256" s="11">
        <v>33</v>
      </c>
      <c r="AT256" s="11">
        <v>34</v>
      </c>
      <c r="AU256" s="11">
        <v>35</v>
      </c>
      <c r="AV256" s="11">
        <v>36</v>
      </c>
      <c r="AW256" s="11">
        <v>37</v>
      </c>
      <c r="AX256" s="11">
        <v>38</v>
      </c>
      <c r="AY256" s="11">
        <v>39</v>
      </c>
      <c r="AZ256" s="11">
        <v>40</v>
      </c>
      <c r="BA256" s="11">
        <v>41</v>
      </c>
      <c r="BB256" s="11">
        <v>42</v>
      </c>
      <c r="BC256" s="11">
        <v>43</v>
      </c>
      <c r="BD256" s="11">
        <v>44</v>
      </c>
      <c r="BE256" s="11">
        <v>45</v>
      </c>
      <c r="BF256" s="11">
        <v>46</v>
      </c>
      <c r="BG256" s="11">
        <v>47</v>
      </c>
      <c r="BH256" s="11">
        <v>48</v>
      </c>
      <c r="BI256" s="11">
        <v>49</v>
      </c>
      <c r="BJ256" s="11">
        <v>50</v>
      </c>
      <c r="BK256" s="11">
        <v>51</v>
      </c>
      <c r="BL256" s="11">
        <v>52</v>
      </c>
      <c r="BM256" s="11">
        <v>53</v>
      </c>
      <c r="BN256" s="11">
        <v>54</v>
      </c>
      <c r="BO256" s="11">
        <v>55</v>
      </c>
      <c r="BP256" s="11">
        <v>56</v>
      </c>
      <c r="BQ256" s="11">
        <v>57</v>
      </c>
      <c r="BR256" s="11">
        <v>58</v>
      </c>
      <c r="BS256" s="11">
        <v>59</v>
      </c>
      <c r="BT256" s="11">
        <v>60</v>
      </c>
      <c r="BU256" s="11">
        <v>61</v>
      </c>
      <c r="BV256" s="11">
        <v>62</v>
      </c>
      <c r="BW256" s="11">
        <v>63</v>
      </c>
      <c r="BX256" s="11">
        <v>64</v>
      </c>
      <c r="BY256" s="11">
        <v>65</v>
      </c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</row>
    <row r="257" spans="1:159" x14ac:dyDescent="0.25">
      <c r="A257" s="7" t="str">
        <f t="shared" si="6"/>
        <v>U141683U141683</v>
      </c>
      <c r="B257" s="9" t="s">
        <v>214</v>
      </c>
      <c r="C257" s="9" t="s">
        <v>0</v>
      </c>
      <c r="D257" s="9">
        <v>1806</v>
      </c>
      <c r="E257" s="9" t="s">
        <v>436</v>
      </c>
      <c r="F257" s="9" t="s">
        <v>451</v>
      </c>
      <c r="G257" s="9" t="s">
        <v>438</v>
      </c>
      <c r="H257" s="17">
        <v>46230</v>
      </c>
      <c r="I257" s="17">
        <v>46232</v>
      </c>
      <c r="J257" s="17">
        <v>46233</v>
      </c>
      <c r="K257" s="10">
        <v>228</v>
      </c>
      <c r="L257" s="10">
        <f t="shared" si="7"/>
        <v>19</v>
      </c>
      <c r="M257" s="11">
        <v>38</v>
      </c>
      <c r="N257" s="11">
        <v>39</v>
      </c>
      <c r="O257" s="11">
        <v>40</v>
      </c>
      <c r="P257" s="11">
        <v>60</v>
      </c>
      <c r="Q257" s="11">
        <v>61</v>
      </c>
      <c r="R257" s="11">
        <v>62</v>
      </c>
      <c r="S257" s="11">
        <v>98</v>
      </c>
      <c r="T257" s="11">
        <v>99</v>
      </c>
      <c r="U257" s="11">
        <v>100</v>
      </c>
      <c r="V257" s="11">
        <v>101</v>
      </c>
      <c r="W257" s="11">
        <v>102</v>
      </c>
      <c r="X257" s="11">
        <v>103</v>
      </c>
      <c r="Y257" s="11">
        <v>114</v>
      </c>
      <c r="Z257" s="11">
        <v>115</v>
      </c>
      <c r="AA257" s="11">
        <v>116</v>
      </c>
      <c r="AB257" s="11">
        <v>117</v>
      </c>
      <c r="AC257" s="11">
        <v>118</v>
      </c>
      <c r="AD257" s="11">
        <v>130</v>
      </c>
      <c r="AE257" s="11">
        <v>131</v>
      </c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</row>
    <row r="258" spans="1:159" x14ac:dyDescent="0.25">
      <c r="A258" s="7" t="str">
        <f t="shared" si="6"/>
        <v>U141684U141684</v>
      </c>
      <c r="B258" s="9" t="s">
        <v>254</v>
      </c>
      <c r="C258" s="9" t="s">
        <v>8</v>
      </c>
      <c r="D258" s="9">
        <v>1464</v>
      </c>
      <c r="E258" s="9" t="s">
        <v>436</v>
      </c>
      <c r="F258" s="9" t="s">
        <v>455</v>
      </c>
      <c r="G258" s="9" t="s">
        <v>438</v>
      </c>
      <c r="H258" s="17">
        <v>46233</v>
      </c>
      <c r="I258" s="17"/>
      <c r="J258" s="17"/>
      <c r="K258" s="10">
        <v>792</v>
      </c>
      <c r="L258" s="10">
        <f t="shared" si="7"/>
        <v>66</v>
      </c>
      <c r="M258" s="11">
        <v>1</v>
      </c>
      <c r="N258" s="11">
        <v>2</v>
      </c>
      <c r="O258" s="11">
        <v>3</v>
      </c>
      <c r="P258" s="11">
        <v>4</v>
      </c>
      <c r="Q258" s="11">
        <v>5</v>
      </c>
      <c r="R258" s="11">
        <v>6</v>
      </c>
      <c r="S258" s="11">
        <v>7</v>
      </c>
      <c r="T258" s="11">
        <v>10</v>
      </c>
      <c r="U258" s="11">
        <v>13</v>
      </c>
      <c r="V258" s="11">
        <v>14</v>
      </c>
      <c r="W258" s="11">
        <v>15</v>
      </c>
      <c r="X258" s="11">
        <v>16</v>
      </c>
      <c r="Y258" s="11">
        <v>17</v>
      </c>
      <c r="Z258" s="11">
        <v>18</v>
      </c>
      <c r="AA258" s="11">
        <v>19</v>
      </c>
      <c r="AB258" s="11">
        <v>22</v>
      </c>
      <c r="AC258" s="11">
        <v>24</v>
      </c>
      <c r="AD258" s="11">
        <v>30</v>
      </c>
      <c r="AE258" s="11">
        <v>31</v>
      </c>
      <c r="AF258" s="11">
        <v>32</v>
      </c>
      <c r="AG258" s="11">
        <v>33</v>
      </c>
      <c r="AH258" s="11">
        <v>34</v>
      </c>
      <c r="AI258" s="11">
        <v>35</v>
      </c>
      <c r="AJ258" s="11">
        <v>36</v>
      </c>
      <c r="AK258" s="11">
        <v>37</v>
      </c>
      <c r="AL258" s="11">
        <v>39</v>
      </c>
      <c r="AM258" s="11">
        <v>47</v>
      </c>
      <c r="AN258" s="11">
        <v>48</v>
      </c>
      <c r="AO258" s="11">
        <v>49</v>
      </c>
      <c r="AP258" s="11">
        <v>50</v>
      </c>
      <c r="AQ258" s="11">
        <v>51</v>
      </c>
      <c r="AR258" s="11">
        <v>52</v>
      </c>
      <c r="AS258" s="11">
        <v>53</v>
      </c>
      <c r="AT258" s="11">
        <v>54</v>
      </c>
      <c r="AU258" s="11">
        <v>55</v>
      </c>
      <c r="AV258" s="11">
        <v>56</v>
      </c>
      <c r="AW258" s="11">
        <v>65</v>
      </c>
      <c r="AX258" s="11">
        <v>66</v>
      </c>
      <c r="AY258" s="11">
        <v>67</v>
      </c>
      <c r="AZ258" s="11">
        <v>68</v>
      </c>
      <c r="BA258" s="11">
        <v>69</v>
      </c>
      <c r="BB258" s="11">
        <v>70</v>
      </c>
      <c r="BC258" s="11">
        <v>71</v>
      </c>
      <c r="BD258" s="11">
        <v>73</v>
      </c>
      <c r="BE258" s="11">
        <v>74</v>
      </c>
      <c r="BF258" s="11">
        <v>75</v>
      </c>
      <c r="BG258" s="11">
        <v>83</v>
      </c>
      <c r="BH258" s="11">
        <v>84</v>
      </c>
      <c r="BI258" s="11">
        <v>85</v>
      </c>
      <c r="BJ258" s="11">
        <v>86</v>
      </c>
      <c r="BK258" s="11">
        <v>87</v>
      </c>
      <c r="BL258" s="11">
        <v>88</v>
      </c>
      <c r="BM258" s="11">
        <v>89</v>
      </c>
      <c r="BN258" s="11">
        <v>90</v>
      </c>
      <c r="BO258" s="11">
        <v>91</v>
      </c>
      <c r="BP258" s="11">
        <v>92</v>
      </c>
      <c r="BQ258" s="11">
        <v>93</v>
      </c>
      <c r="BR258" s="11">
        <v>94</v>
      </c>
      <c r="BS258" s="11">
        <v>102</v>
      </c>
      <c r="BT258" s="11">
        <v>103</v>
      </c>
      <c r="BU258" s="11">
        <v>104</v>
      </c>
      <c r="BV258" s="11">
        <v>105</v>
      </c>
      <c r="BW258" s="11">
        <v>106</v>
      </c>
      <c r="BX258" s="11">
        <v>107</v>
      </c>
      <c r="BY258" s="11">
        <v>108</v>
      </c>
      <c r="BZ258" s="11">
        <v>109</v>
      </c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</row>
    <row r="259" spans="1:159" x14ac:dyDescent="0.25">
      <c r="A259" s="7" t="str">
        <f t="shared" ref="A259:A285" si="8">+B259&amp;B259</f>
        <v>U141687U141687</v>
      </c>
      <c r="B259" s="9" t="s">
        <v>320</v>
      </c>
      <c r="C259" s="9" t="s">
        <v>8</v>
      </c>
      <c r="D259" s="9">
        <v>1092</v>
      </c>
      <c r="E259" s="9" t="s">
        <v>436</v>
      </c>
      <c r="F259" s="9" t="s">
        <v>454</v>
      </c>
      <c r="G259" s="9" t="s">
        <v>438</v>
      </c>
      <c r="H259" s="17">
        <v>46237</v>
      </c>
      <c r="I259" s="17"/>
      <c r="J259" s="17"/>
      <c r="K259" s="10">
        <v>60</v>
      </c>
      <c r="L259" s="10">
        <f t="shared" ref="L259:L285" si="9">+COUNT(M259:FC259)</f>
        <v>5</v>
      </c>
      <c r="M259" s="11">
        <v>46</v>
      </c>
      <c r="N259" s="11">
        <v>59</v>
      </c>
      <c r="O259" s="11">
        <v>60</v>
      </c>
      <c r="P259" s="11">
        <v>62</v>
      </c>
      <c r="Q259" s="11">
        <v>75</v>
      </c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</row>
    <row r="260" spans="1:159" x14ac:dyDescent="0.25">
      <c r="A260" s="7" t="str">
        <f t="shared" si="8"/>
        <v>U143043U143043</v>
      </c>
      <c r="B260" s="9" t="s">
        <v>242</v>
      </c>
      <c r="C260" s="9" t="s">
        <v>102</v>
      </c>
      <c r="D260" s="9">
        <v>1200</v>
      </c>
      <c r="E260" s="9" t="s">
        <v>436</v>
      </c>
      <c r="F260" s="9" t="s">
        <v>452</v>
      </c>
      <c r="G260" s="9" t="s">
        <v>438</v>
      </c>
      <c r="H260" s="17">
        <v>46232</v>
      </c>
      <c r="I260" s="17"/>
      <c r="J260" s="17"/>
      <c r="K260" s="10">
        <v>336</v>
      </c>
      <c r="L260" s="10">
        <f t="shared" si="9"/>
        <v>28</v>
      </c>
      <c r="M260" s="11">
        <v>1</v>
      </c>
      <c r="N260" s="11">
        <v>2</v>
      </c>
      <c r="O260" s="11">
        <v>3</v>
      </c>
      <c r="P260" s="11">
        <v>4</v>
      </c>
      <c r="Q260" s="11">
        <v>5</v>
      </c>
      <c r="R260" s="11">
        <v>6</v>
      </c>
      <c r="S260" s="11">
        <v>7</v>
      </c>
      <c r="T260" s="11">
        <v>8</v>
      </c>
      <c r="U260" s="11">
        <v>9</v>
      </c>
      <c r="V260" s="11">
        <v>10</v>
      </c>
      <c r="W260" s="11">
        <v>11</v>
      </c>
      <c r="X260" s="11">
        <v>12</v>
      </c>
      <c r="Y260" s="11">
        <v>13</v>
      </c>
      <c r="Z260" s="11">
        <v>14</v>
      </c>
      <c r="AA260" s="11">
        <v>15</v>
      </c>
      <c r="AB260" s="11">
        <v>16</v>
      </c>
      <c r="AC260" s="11">
        <v>18</v>
      </c>
      <c r="AD260" s="11">
        <v>19</v>
      </c>
      <c r="AE260" s="11">
        <v>20</v>
      </c>
      <c r="AF260" s="11">
        <v>21</v>
      </c>
      <c r="AG260" s="11">
        <v>22</v>
      </c>
      <c r="AH260" s="11">
        <v>23</v>
      </c>
      <c r="AI260" s="11">
        <v>24</v>
      </c>
      <c r="AJ260" s="11">
        <v>25</v>
      </c>
      <c r="AK260" s="11">
        <v>26</v>
      </c>
      <c r="AL260" s="11">
        <v>27</v>
      </c>
      <c r="AM260" s="11">
        <v>28</v>
      </c>
      <c r="AN260" s="11">
        <v>30</v>
      </c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</row>
    <row r="261" spans="1:159" x14ac:dyDescent="0.25">
      <c r="A261" s="7" t="str">
        <f t="shared" si="8"/>
        <v>U143070U143070</v>
      </c>
      <c r="B261" s="9" t="s">
        <v>238</v>
      </c>
      <c r="C261" s="9" t="s">
        <v>63</v>
      </c>
      <c r="D261" s="9">
        <v>504</v>
      </c>
      <c r="E261" s="9" t="s">
        <v>436</v>
      </c>
      <c r="F261" s="9" t="s">
        <v>459</v>
      </c>
      <c r="G261" s="9" t="s">
        <v>438</v>
      </c>
      <c r="H261" s="17">
        <v>46232</v>
      </c>
      <c r="I261" s="17"/>
      <c r="J261" s="17"/>
      <c r="K261" s="10">
        <v>300</v>
      </c>
      <c r="L261" s="10">
        <f t="shared" si="9"/>
        <v>25</v>
      </c>
      <c r="M261" s="11">
        <v>2</v>
      </c>
      <c r="N261" s="11">
        <v>3</v>
      </c>
      <c r="O261" s="11">
        <v>4</v>
      </c>
      <c r="P261" s="11">
        <v>6</v>
      </c>
      <c r="Q261" s="11">
        <v>7</v>
      </c>
      <c r="R261" s="11">
        <v>9</v>
      </c>
      <c r="S261" s="11">
        <v>10</v>
      </c>
      <c r="T261" s="11">
        <v>15</v>
      </c>
      <c r="U261" s="11">
        <v>16</v>
      </c>
      <c r="V261" s="11">
        <v>17</v>
      </c>
      <c r="W261" s="11">
        <v>19</v>
      </c>
      <c r="X261" s="11">
        <v>20</v>
      </c>
      <c r="Y261" s="11">
        <v>21</v>
      </c>
      <c r="Z261" s="11">
        <v>24</v>
      </c>
      <c r="AA261" s="11">
        <v>25</v>
      </c>
      <c r="AB261" s="11">
        <v>26</v>
      </c>
      <c r="AC261" s="11">
        <v>27</v>
      </c>
      <c r="AD261" s="11">
        <v>29</v>
      </c>
      <c r="AE261" s="11">
        <v>31</v>
      </c>
      <c r="AF261" s="11">
        <v>32</v>
      </c>
      <c r="AG261" s="11">
        <v>33</v>
      </c>
      <c r="AH261" s="11">
        <v>34</v>
      </c>
      <c r="AI261" s="11">
        <v>35</v>
      </c>
      <c r="AJ261" s="11">
        <v>36</v>
      </c>
      <c r="AK261" s="11">
        <v>38</v>
      </c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</row>
    <row r="262" spans="1:159" x14ac:dyDescent="0.25">
      <c r="A262" s="7" t="str">
        <f t="shared" si="8"/>
        <v>U147215U147215</v>
      </c>
      <c r="B262" s="9" t="s">
        <v>318</v>
      </c>
      <c r="C262" s="9" t="s">
        <v>18</v>
      </c>
      <c r="D262" s="9">
        <v>288</v>
      </c>
      <c r="E262" s="9" t="s">
        <v>436</v>
      </c>
      <c r="F262" s="9" t="s">
        <v>443</v>
      </c>
      <c r="G262" s="9" t="s">
        <v>466</v>
      </c>
      <c r="H262" s="17">
        <v>46237</v>
      </c>
      <c r="I262" s="17">
        <v>46238</v>
      </c>
      <c r="J262" s="17"/>
      <c r="K262" s="10">
        <v>240</v>
      </c>
      <c r="L262" s="10">
        <f t="shared" si="9"/>
        <v>21</v>
      </c>
      <c r="M262" s="11">
        <v>1</v>
      </c>
      <c r="N262" s="11">
        <v>2</v>
      </c>
      <c r="O262" s="11">
        <v>3</v>
      </c>
      <c r="P262" s="11">
        <v>5</v>
      </c>
      <c r="Q262" s="11">
        <v>6</v>
      </c>
      <c r="R262" s="11">
        <v>7</v>
      </c>
      <c r="S262" s="11">
        <v>8</v>
      </c>
      <c r="T262" s="11">
        <v>9</v>
      </c>
      <c r="U262" s="11">
        <v>10</v>
      </c>
      <c r="V262" s="11">
        <v>11</v>
      </c>
      <c r="W262" s="11">
        <v>12</v>
      </c>
      <c r="X262" s="11">
        <v>13</v>
      </c>
      <c r="Y262" s="11">
        <v>14</v>
      </c>
      <c r="Z262" s="11">
        <v>15</v>
      </c>
      <c r="AA262" s="11">
        <v>17</v>
      </c>
      <c r="AB262" s="11">
        <v>18</v>
      </c>
      <c r="AC262" s="11">
        <v>19</v>
      </c>
      <c r="AD262" s="11">
        <v>20</v>
      </c>
      <c r="AE262" s="11">
        <v>21</v>
      </c>
      <c r="AF262" s="11">
        <v>23</v>
      </c>
      <c r="AG262" s="11">
        <v>26</v>
      </c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</row>
    <row r="263" spans="1:159" x14ac:dyDescent="0.25">
      <c r="A263" s="7" t="str">
        <f t="shared" si="8"/>
        <v>U147215U147215</v>
      </c>
      <c r="B263" s="9" t="s">
        <v>318</v>
      </c>
      <c r="C263" s="9" t="s">
        <v>12</v>
      </c>
      <c r="D263" s="9">
        <v>90</v>
      </c>
      <c r="E263" s="9" t="s">
        <v>436</v>
      </c>
      <c r="F263" s="9" t="s">
        <v>443</v>
      </c>
      <c r="G263" s="9" t="s">
        <v>466</v>
      </c>
      <c r="H263" s="17">
        <v>46237</v>
      </c>
      <c r="I263" s="17"/>
      <c r="J263" s="17"/>
      <c r="K263" s="10">
        <v>6</v>
      </c>
      <c r="L263" s="10">
        <f t="shared" si="9"/>
        <v>1</v>
      </c>
      <c r="M263" s="11">
        <v>32</v>
      </c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</row>
    <row r="264" spans="1:159" x14ac:dyDescent="0.25">
      <c r="A264" s="7" t="str">
        <f t="shared" si="8"/>
        <v>U147219U147219</v>
      </c>
      <c r="B264" s="9" t="s">
        <v>312</v>
      </c>
      <c r="C264" s="9" t="s">
        <v>18</v>
      </c>
      <c r="D264" s="9">
        <v>522</v>
      </c>
      <c r="E264" s="9" t="s">
        <v>436</v>
      </c>
      <c r="F264" s="9" t="s">
        <v>443</v>
      </c>
      <c r="G264" s="9" t="s">
        <v>444</v>
      </c>
      <c r="H264" s="17">
        <v>46237</v>
      </c>
      <c r="I264" s="17"/>
      <c r="J264" s="17"/>
      <c r="K264" s="10">
        <v>24</v>
      </c>
      <c r="L264" s="10">
        <f t="shared" si="9"/>
        <v>2</v>
      </c>
      <c r="M264" s="11">
        <v>5</v>
      </c>
      <c r="N264" s="11">
        <v>13</v>
      </c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</row>
    <row r="265" spans="1:159" x14ac:dyDescent="0.25">
      <c r="A265" s="7" t="str">
        <f t="shared" si="8"/>
        <v>U147219U147219</v>
      </c>
      <c r="B265" s="9" t="s">
        <v>312</v>
      </c>
      <c r="C265" s="9" t="s">
        <v>12</v>
      </c>
      <c r="D265" s="9">
        <v>54</v>
      </c>
      <c r="E265" s="9" t="s">
        <v>436</v>
      </c>
      <c r="F265" s="9" t="s">
        <v>443</v>
      </c>
      <c r="G265" s="9" t="s">
        <v>444</v>
      </c>
      <c r="H265" s="17">
        <v>46237</v>
      </c>
      <c r="I265" s="17">
        <v>46237</v>
      </c>
      <c r="J265" s="17"/>
      <c r="K265" s="10">
        <v>54</v>
      </c>
      <c r="L265" s="10">
        <f t="shared" si="9"/>
        <v>7</v>
      </c>
      <c r="M265" s="11">
        <v>46</v>
      </c>
      <c r="N265" s="11">
        <v>47</v>
      </c>
      <c r="O265" s="11">
        <v>48</v>
      </c>
      <c r="P265" s="11">
        <v>49</v>
      </c>
      <c r="Q265" s="11">
        <v>50</v>
      </c>
      <c r="R265" s="11">
        <v>51</v>
      </c>
      <c r="S265" s="11">
        <v>52</v>
      </c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</row>
    <row r="266" spans="1:159" x14ac:dyDescent="0.25">
      <c r="A266" s="7" t="str">
        <f t="shared" si="8"/>
        <v>U147257U147257</v>
      </c>
      <c r="B266" s="9" t="s">
        <v>309</v>
      </c>
      <c r="C266" s="9" t="s">
        <v>81</v>
      </c>
      <c r="D266" s="9">
        <v>66</v>
      </c>
      <c r="E266" s="9" t="s">
        <v>436</v>
      </c>
      <c r="F266" s="9" t="s">
        <v>443</v>
      </c>
      <c r="G266" s="9" t="s">
        <v>444</v>
      </c>
      <c r="H266" s="17">
        <v>46237</v>
      </c>
      <c r="I266" s="17">
        <v>46237</v>
      </c>
      <c r="J266" s="17"/>
      <c r="K266" s="10">
        <v>66</v>
      </c>
      <c r="L266" s="10">
        <f t="shared" si="9"/>
        <v>8</v>
      </c>
      <c r="M266" s="11">
        <v>22</v>
      </c>
      <c r="N266" s="11">
        <v>23</v>
      </c>
      <c r="O266" s="11">
        <v>24</v>
      </c>
      <c r="P266" s="11">
        <v>25</v>
      </c>
      <c r="Q266" s="11">
        <v>26</v>
      </c>
      <c r="R266" s="11">
        <v>27</v>
      </c>
      <c r="S266" s="11">
        <v>28</v>
      </c>
      <c r="T266" s="11">
        <v>29</v>
      </c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2"/>
      <c r="FA266" s="12"/>
      <c r="FB266" s="12"/>
      <c r="FC266" s="12"/>
    </row>
    <row r="267" spans="1:159" x14ac:dyDescent="0.25">
      <c r="A267" s="7" t="str">
        <f t="shared" si="8"/>
        <v>U147257U147257</v>
      </c>
      <c r="B267" s="9" t="s">
        <v>309</v>
      </c>
      <c r="C267" s="9" t="s">
        <v>89</v>
      </c>
      <c r="D267" s="9">
        <v>30</v>
      </c>
      <c r="E267" s="9" t="s">
        <v>436</v>
      </c>
      <c r="F267" s="9" t="s">
        <v>443</v>
      </c>
      <c r="G267" s="9" t="s">
        <v>444</v>
      </c>
      <c r="H267" s="17">
        <v>46237</v>
      </c>
      <c r="I267" s="17"/>
      <c r="J267" s="17"/>
      <c r="K267" s="10">
        <v>24</v>
      </c>
      <c r="L267" s="10">
        <f t="shared" si="9"/>
        <v>4</v>
      </c>
      <c r="M267" s="11">
        <v>30</v>
      </c>
      <c r="N267" s="11">
        <v>32</v>
      </c>
      <c r="O267" s="11">
        <v>33</v>
      </c>
      <c r="P267" s="11">
        <v>34</v>
      </c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2"/>
      <c r="EO267" s="12"/>
      <c r="EP267" s="12"/>
      <c r="EQ267" s="12"/>
      <c r="ER267" s="12"/>
      <c r="ES267" s="12"/>
      <c r="ET267" s="12"/>
      <c r="EU267" s="12"/>
      <c r="EV267" s="12"/>
      <c r="EW267" s="12"/>
      <c r="EX267" s="12"/>
      <c r="EY267" s="12"/>
      <c r="EZ267" s="12"/>
      <c r="FA267" s="12"/>
      <c r="FB267" s="12"/>
      <c r="FC267" s="12"/>
    </row>
    <row r="268" spans="1:159" x14ac:dyDescent="0.25">
      <c r="A268" s="7" t="str">
        <f t="shared" si="8"/>
        <v>U147257U147257</v>
      </c>
      <c r="B268" s="9" t="s">
        <v>309</v>
      </c>
      <c r="C268" s="9" t="s">
        <v>95</v>
      </c>
      <c r="D268" s="9">
        <v>216</v>
      </c>
      <c r="E268" s="9" t="s">
        <v>436</v>
      </c>
      <c r="F268" s="9" t="s">
        <v>443</v>
      </c>
      <c r="G268" s="9" t="s">
        <v>444</v>
      </c>
      <c r="H268" s="17">
        <v>46238</v>
      </c>
      <c r="I268" s="17"/>
      <c r="J268" s="17"/>
      <c r="K268" s="10">
        <v>54</v>
      </c>
      <c r="L268" s="10">
        <f t="shared" si="9"/>
        <v>5</v>
      </c>
      <c r="M268" s="11">
        <v>1</v>
      </c>
      <c r="N268" s="11">
        <v>6</v>
      </c>
      <c r="O268" s="11">
        <v>8</v>
      </c>
      <c r="P268" s="11">
        <v>9</v>
      </c>
      <c r="Q268" s="11">
        <v>20</v>
      </c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2"/>
      <c r="FA268" s="12"/>
      <c r="FB268" s="12"/>
      <c r="FC268" s="12"/>
    </row>
    <row r="269" spans="1:159" x14ac:dyDescent="0.25">
      <c r="A269" s="7" t="str">
        <f t="shared" si="8"/>
        <v>U147276U147276</v>
      </c>
      <c r="B269" s="9" t="s">
        <v>355</v>
      </c>
      <c r="C269" s="9" t="s">
        <v>34</v>
      </c>
      <c r="D269" s="9">
        <v>696</v>
      </c>
      <c r="E269" s="9" t="s">
        <v>436</v>
      </c>
      <c r="F269" s="9" t="s">
        <v>443</v>
      </c>
      <c r="G269" s="9" t="s">
        <v>457</v>
      </c>
      <c r="H269" s="17">
        <v>46239</v>
      </c>
      <c r="I269" s="17"/>
      <c r="J269" s="17"/>
      <c r="K269" s="10">
        <v>84</v>
      </c>
      <c r="L269" s="10">
        <f t="shared" si="9"/>
        <v>7</v>
      </c>
      <c r="M269" s="11">
        <v>22</v>
      </c>
      <c r="N269" s="11">
        <v>23</v>
      </c>
      <c r="O269" s="11">
        <v>24</v>
      </c>
      <c r="P269" s="11">
        <v>32</v>
      </c>
      <c r="Q269" s="11">
        <v>41</v>
      </c>
      <c r="R269" s="11">
        <v>42</v>
      </c>
      <c r="S269" s="11">
        <v>43</v>
      </c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/>
      <c r="FA269" s="12"/>
      <c r="FB269" s="12"/>
      <c r="FC269" s="12"/>
    </row>
    <row r="270" spans="1:159" x14ac:dyDescent="0.25">
      <c r="A270" s="7" t="str">
        <f t="shared" si="8"/>
        <v>U147276U147276</v>
      </c>
      <c r="B270" s="9" t="s">
        <v>355</v>
      </c>
      <c r="C270" s="9" t="s">
        <v>115</v>
      </c>
      <c r="D270" s="9">
        <v>36</v>
      </c>
      <c r="E270" s="9" t="s">
        <v>436</v>
      </c>
      <c r="F270" s="9" t="s">
        <v>443</v>
      </c>
      <c r="G270" s="9" t="s">
        <v>457</v>
      </c>
      <c r="H270" s="17">
        <v>46239</v>
      </c>
      <c r="I270" s="17">
        <v>46239</v>
      </c>
      <c r="J270" s="17"/>
      <c r="K270" s="10">
        <v>36</v>
      </c>
      <c r="L270" s="10">
        <f t="shared" si="9"/>
        <v>5</v>
      </c>
      <c r="M270" s="11">
        <v>63</v>
      </c>
      <c r="N270" s="11">
        <v>64</v>
      </c>
      <c r="O270" s="11">
        <v>65</v>
      </c>
      <c r="P270" s="11">
        <v>66</v>
      </c>
      <c r="Q270" s="11">
        <v>67</v>
      </c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2"/>
      <c r="FA270" s="12"/>
      <c r="FB270" s="12"/>
      <c r="FC270" s="12"/>
    </row>
    <row r="271" spans="1:159" x14ac:dyDescent="0.25">
      <c r="A271" s="7" t="str">
        <f t="shared" si="8"/>
        <v>U147279U147279</v>
      </c>
      <c r="B271" s="9" t="s">
        <v>326</v>
      </c>
      <c r="C271" s="9" t="s">
        <v>18</v>
      </c>
      <c r="D271" s="9">
        <v>798</v>
      </c>
      <c r="E271" s="9" t="s">
        <v>436</v>
      </c>
      <c r="F271" s="9" t="s">
        <v>443</v>
      </c>
      <c r="G271" s="9" t="s">
        <v>457</v>
      </c>
      <c r="H271" s="17">
        <v>46238</v>
      </c>
      <c r="I271" s="17"/>
      <c r="J271" s="17"/>
      <c r="K271" s="10">
        <v>252</v>
      </c>
      <c r="L271" s="10">
        <f t="shared" si="9"/>
        <v>21</v>
      </c>
      <c r="M271" s="11">
        <v>1</v>
      </c>
      <c r="N271" s="11">
        <v>2</v>
      </c>
      <c r="O271" s="11">
        <v>3</v>
      </c>
      <c r="P271" s="11">
        <v>4</v>
      </c>
      <c r="Q271" s="11">
        <v>5</v>
      </c>
      <c r="R271" s="11">
        <v>15</v>
      </c>
      <c r="S271" s="11">
        <v>16</v>
      </c>
      <c r="T271" s="11">
        <v>17</v>
      </c>
      <c r="U271" s="11">
        <v>18</v>
      </c>
      <c r="V271" s="11">
        <v>19</v>
      </c>
      <c r="W271" s="11">
        <v>24</v>
      </c>
      <c r="X271" s="11">
        <v>39</v>
      </c>
      <c r="Y271" s="11">
        <v>40</v>
      </c>
      <c r="Z271" s="11">
        <v>41</v>
      </c>
      <c r="AA271" s="11">
        <v>42</v>
      </c>
      <c r="AB271" s="11">
        <v>43</v>
      </c>
      <c r="AC271" s="11">
        <v>44</v>
      </c>
      <c r="AD271" s="11">
        <v>58</v>
      </c>
      <c r="AE271" s="11">
        <v>59</v>
      </c>
      <c r="AF271" s="11">
        <v>62</v>
      </c>
      <c r="AG271" s="11">
        <v>63</v>
      </c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  <c r="EM271" s="12"/>
      <c r="EN271" s="12"/>
      <c r="EO271" s="12"/>
      <c r="EP271" s="12"/>
      <c r="EQ271" s="12"/>
      <c r="ER271" s="12"/>
      <c r="ES271" s="12"/>
      <c r="ET271" s="12"/>
      <c r="EU271" s="12"/>
      <c r="EV271" s="12"/>
      <c r="EW271" s="12"/>
      <c r="EX271" s="12"/>
      <c r="EY271" s="12"/>
      <c r="EZ271" s="12"/>
      <c r="FA271" s="12"/>
      <c r="FB271" s="12"/>
      <c r="FC271" s="12"/>
    </row>
    <row r="272" spans="1:159" x14ac:dyDescent="0.25">
      <c r="A272" s="7" t="str">
        <f t="shared" si="8"/>
        <v>U147279U147279</v>
      </c>
      <c r="B272" s="9" t="s">
        <v>326</v>
      </c>
      <c r="C272" s="9" t="s">
        <v>12</v>
      </c>
      <c r="D272" s="9">
        <v>42</v>
      </c>
      <c r="E272" s="9" t="s">
        <v>436</v>
      </c>
      <c r="F272" s="9" t="s">
        <v>443</v>
      </c>
      <c r="G272" s="9" t="s">
        <v>457</v>
      </c>
      <c r="H272" s="17">
        <v>46237</v>
      </c>
      <c r="I272" s="17"/>
      <c r="J272" s="17"/>
      <c r="K272" s="10">
        <v>12</v>
      </c>
      <c r="L272" s="10">
        <f t="shared" si="9"/>
        <v>2</v>
      </c>
      <c r="M272" s="11">
        <v>71</v>
      </c>
      <c r="N272" s="11">
        <v>72</v>
      </c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12"/>
      <c r="ES272" s="12"/>
      <c r="ET272" s="12"/>
      <c r="EU272" s="12"/>
      <c r="EV272" s="12"/>
      <c r="EW272" s="12"/>
      <c r="EX272" s="12"/>
      <c r="EY272" s="12"/>
      <c r="EZ272" s="12"/>
      <c r="FA272" s="12"/>
      <c r="FB272" s="12"/>
      <c r="FC272" s="12"/>
    </row>
    <row r="273" spans="1:278" x14ac:dyDescent="0.25">
      <c r="A273" s="7" t="str">
        <f t="shared" si="8"/>
        <v>U147285U147285</v>
      </c>
      <c r="B273" s="9" t="s">
        <v>358</v>
      </c>
      <c r="C273" s="9" t="s">
        <v>224</v>
      </c>
      <c r="D273" s="9">
        <v>174</v>
      </c>
      <c r="E273" s="9" t="s">
        <v>436</v>
      </c>
      <c r="F273" s="9" t="s">
        <v>443</v>
      </c>
      <c r="G273" s="9" t="s">
        <v>457</v>
      </c>
      <c r="H273" s="17">
        <v>46239</v>
      </c>
      <c r="I273" s="17"/>
      <c r="J273" s="17"/>
      <c r="K273" s="10">
        <v>150</v>
      </c>
      <c r="L273" s="10">
        <f t="shared" si="9"/>
        <v>14</v>
      </c>
      <c r="M273" s="11">
        <v>1</v>
      </c>
      <c r="N273" s="11">
        <v>2</v>
      </c>
      <c r="O273" s="11">
        <v>3</v>
      </c>
      <c r="P273" s="11">
        <v>4</v>
      </c>
      <c r="Q273" s="11">
        <v>6</v>
      </c>
      <c r="R273" s="11">
        <v>7</v>
      </c>
      <c r="S273" s="11">
        <v>8</v>
      </c>
      <c r="T273" s="11">
        <v>9</v>
      </c>
      <c r="U273" s="11">
        <v>10</v>
      </c>
      <c r="V273" s="11">
        <v>12</v>
      </c>
      <c r="W273" s="11">
        <v>13</v>
      </c>
      <c r="X273" s="11">
        <v>14</v>
      </c>
      <c r="Y273" s="11">
        <v>15</v>
      </c>
      <c r="Z273" s="11">
        <v>16</v>
      </c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  <c r="EM273" s="12"/>
      <c r="EN273" s="12"/>
      <c r="EO273" s="12"/>
      <c r="EP273" s="12"/>
      <c r="EQ273" s="12"/>
      <c r="ER273" s="12"/>
      <c r="ES273" s="12"/>
      <c r="ET273" s="12"/>
      <c r="EU273" s="12"/>
      <c r="EV273" s="12"/>
      <c r="EW273" s="12"/>
      <c r="EX273" s="12"/>
      <c r="EY273" s="12"/>
      <c r="EZ273" s="12"/>
      <c r="FA273" s="12"/>
      <c r="FB273" s="12"/>
      <c r="FC273" s="12"/>
    </row>
    <row r="274" spans="1:278" x14ac:dyDescent="0.25">
      <c r="A274" s="7" t="str">
        <f t="shared" si="8"/>
        <v>U147294U147294</v>
      </c>
      <c r="B274" s="9" t="s">
        <v>316</v>
      </c>
      <c r="C274" s="9" t="s">
        <v>89</v>
      </c>
      <c r="D274" s="9">
        <v>90</v>
      </c>
      <c r="E274" s="9" t="s">
        <v>436</v>
      </c>
      <c r="F274" s="9" t="s">
        <v>443</v>
      </c>
      <c r="G274" s="9" t="s">
        <v>457</v>
      </c>
      <c r="H274" s="17">
        <v>46237</v>
      </c>
      <c r="I274" s="17"/>
      <c r="J274" s="17"/>
      <c r="K274" s="10">
        <v>66</v>
      </c>
      <c r="L274" s="10">
        <f t="shared" si="9"/>
        <v>8</v>
      </c>
      <c r="M274" s="11">
        <v>41</v>
      </c>
      <c r="N274" s="11">
        <v>42</v>
      </c>
      <c r="O274" s="11">
        <v>43</v>
      </c>
      <c r="P274" s="11">
        <v>46</v>
      </c>
      <c r="Q274" s="11">
        <v>47</v>
      </c>
      <c r="R274" s="11">
        <v>48</v>
      </c>
      <c r="S274" s="11">
        <v>49</v>
      </c>
      <c r="T274" s="11">
        <v>50</v>
      </c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  <c r="EE274" s="12"/>
      <c r="EF274" s="12"/>
      <c r="EG274" s="12"/>
      <c r="EH274" s="12"/>
      <c r="EI274" s="12"/>
      <c r="EJ274" s="12"/>
      <c r="EK274" s="12"/>
      <c r="EL274" s="12"/>
      <c r="EM274" s="12"/>
      <c r="EN274" s="12"/>
      <c r="EO274" s="12"/>
      <c r="EP274" s="12"/>
      <c r="EQ274" s="12"/>
      <c r="ER274" s="12"/>
      <c r="ES274" s="12"/>
      <c r="ET274" s="12"/>
      <c r="EU274" s="12"/>
      <c r="EV274" s="12"/>
      <c r="EW274" s="12"/>
      <c r="EX274" s="12"/>
      <c r="EY274" s="12"/>
      <c r="EZ274" s="12"/>
      <c r="FA274" s="12"/>
      <c r="FB274" s="12"/>
      <c r="FC274" s="12"/>
    </row>
    <row r="275" spans="1:278" x14ac:dyDescent="0.25">
      <c r="A275" s="7" t="str">
        <f t="shared" si="8"/>
        <v>U147323U147323</v>
      </c>
      <c r="B275" s="9" t="s">
        <v>365</v>
      </c>
      <c r="C275" s="9" t="s">
        <v>14</v>
      </c>
      <c r="D275" s="9">
        <v>414</v>
      </c>
      <c r="E275" s="9" t="s">
        <v>436</v>
      </c>
      <c r="F275" s="9" t="s">
        <v>443</v>
      </c>
      <c r="G275" s="9" t="s">
        <v>444</v>
      </c>
      <c r="H275" s="17">
        <v>46239</v>
      </c>
      <c r="I275" s="17"/>
      <c r="J275" s="17"/>
      <c r="K275" s="10">
        <v>30</v>
      </c>
      <c r="L275" s="10">
        <f t="shared" si="9"/>
        <v>3</v>
      </c>
      <c r="M275" s="11">
        <v>9</v>
      </c>
      <c r="N275" s="11">
        <v>13</v>
      </c>
      <c r="O275" s="11">
        <v>36</v>
      </c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</row>
    <row r="276" spans="1:278" x14ac:dyDescent="0.25">
      <c r="A276" s="7" t="str">
        <f t="shared" si="8"/>
        <v>U147366U147366</v>
      </c>
      <c r="B276" s="9" t="s">
        <v>350</v>
      </c>
      <c r="C276" s="9" t="s">
        <v>31</v>
      </c>
      <c r="D276" s="9">
        <v>432</v>
      </c>
      <c r="E276" s="9" t="s">
        <v>436</v>
      </c>
      <c r="F276" s="9" t="s">
        <v>443</v>
      </c>
      <c r="G276" s="9" t="s">
        <v>457</v>
      </c>
      <c r="H276" s="17">
        <v>46239</v>
      </c>
      <c r="I276" s="17"/>
      <c r="J276" s="17"/>
      <c r="K276" s="10">
        <v>324</v>
      </c>
      <c r="L276" s="10">
        <f t="shared" si="9"/>
        <v>28</v>
      </c>
      <c r="M276" s="11">
        <v>1</v>
      </c>
      <c r="N276" s="11">
        <v>2</v>
      </c>
      <c r="O276" s="11">
        <v>3</v>
      </c>
      <c r="P276" s="11">
        <v>4</v>
      </c>
      <c r="Q276" s="11">
        <v>6</v>
      </c>
      <c r="R276" s="11">
        <v>8</v>
      </c>
      <c r="S276" s="11">
        <v>9</v>
      </c>
      <c r="T276" s="11">
        <v>10</v>
      </c>
      <c r="U276" s="11">
        <v>12</v>
      </c>
      <c r="V276" s="11">
        <v>13</v>
      </c>
      <c r="W276" s="11">
        <v>15</v>
      </c>
      <c r="X276" s="11">
        <v>16</v>
      </c>
      <c r="Y276" s="11">
        <v>17</v>
      </c>
      <c r="Z276" s="11">
        <v>19</v>
      </c>
      <c r="AA276" s="11">
        <v>20</v>
      </c>
      <c r="AB276" s="11">
        <v>21</v>
      </c>
      <c r="AC276" s="11">
        <v>22</v>
      </c>
      <c r="AD276" s="11">
        <v>23</v>
      </c>
      <c r="AE276" s="11">
        <v>24</v>
      </c>
      <c r="AF276" s="11">
        <v>25</v>
      </c>
      <c r="AG276" s="11">
        <v>27</v>
      </c>
      <c r="AH276" s="11">
        <v>29</v>
      </c>
      <c r="AI276" s="11">
        <v>30</v>
      </c>
      <c r="AJ276" s="11">
        <v>31</v>
      </c>
      <c r="AK276" s="11">
        <v>32</v>
      </c>
      <c r="AL276" s="11">
        <v>34</v>
      </c>
      <c r="AM276" s="11">
        <v>35</v>
      </c>
      <c r="AN276" s="11">
        <v>36</v>
      </c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</row>
    <row r="277" spans="1:278" x14ac:dyDescent="0.25">
      <c r="A277" s="7" t="str">
        <f t="shared" si="8"/>
        <v>U147366U147366</v>
      </c>
      <c r="B277" s="9" t="s">
        <v>350</v>
      </c>
      <c r="C277" s="9" t="s">
        <v>13</v>
      </c>
      <c r="D277" s="9">
        <v>156</v>
      </c>
      <c r="E277" s="9" t="s">
        <v>436</v>
      </c>
      <c r="F277" s="9" t="s">
        <v>443</v>
      </c>
      <c r="G277" s="9" t="s">
        <v>457</v>
      </c>
      <c r="H277" s="17">
        <v>46239</v>
      </c>
      <c r="I277" s="17"/>
      <c r="J277" s="17"/>
      <c r="K277" s="10">
        <v>12</v>
      </c>
      <c r="L277" s="10">
        <f t="shared" si="9"/>
        <v>1</v>
      </c>
      <c r="M277" s="11">
        <v>47</v>
      </c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</row>
    <row r="278" spans="1:278" x14ac:dyDescent="0.25">
      <c r="A278" s="7" t="str">
        <f t="shared" si="8"/>
        <v>U149000U149000</v>
      </c>
      <c r="B278" s="9" t="s">
        <v>155</v>
      </c>
      <c r="C278" s="9" t="s">
        <v>154</v>
      </c>
      <c r="D278" s="9">
        <v>22</v>
      </c>
      <c r="E278" s="9" t="s">
        <v>436</v>
      </c>
      <c r="F278" s="9" t="s">
        <v>443</v>
      </c>
      <c r="G278" s="9" t="s">
        <v>444</v>
      </c>
      <c r="H278" s="17">
        <v>46224</v>
      </c>
      <c r="I278" s="17">
        <v>46224</v>
      </c>
      <c r="J278" s="17">
        <v>46227</v>
      </c>
      <c r="K278" s="10">
        <v>22</v>
      </c>
      <c r="L278" s="10">
        <f t="shared" si="9"/>
        <v>3</v>
      </c>
      <c r="M278" s="11">
        <v>1</v>
      </c>
      <c r="N278" s="11">
        <v>2</v>
      </c>
      <c r="O278" s="11">
        <v>3</v>
      </c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</row>
    <row r="279" spans="1:278" x14ac:dyDescent="0.25">
      <c r="A279" s="7" t="str">
        <f t="shared" si="8"/>
        <v>U149001U149001</v>
      </c>
      <c r="B279" s="9" t="s">
        <v>172</v>
      </c>
      <c r="C279" s="9" t="s">
        <v>154</v>
      </c>
      <c r="D279" s="9">
        <v>166</v>
      </c>
      <c r="E279" s="9" t="s">
        <v>436</v>
      </c>
      <c r="F279" s="9" t="s">
        <v>443</v>
      </c>
      <c r="G279" s="9" t="s">
        <v>466</v>
      </c>
      <c r="H279" s="17">
        <v>46225</v>
      </c>
      <c r="I279" s="17">
        <v>46225</v>
      </c>
      <c r="J279" s="17">
        <v>46230</v>
      </c>
      <c r="K279" s="10">
        <v>166</v>
      </c>
      <c r="L279" s="10">
        <f t="shared" si="9"/>
        <v>16</v>
      </c>
      <c r="M279" s="11">
        <v>1</v>
      </c>
      <c r="N279" s="11">
        <v>2</v>
      </c>
      <c r="O279" s="11">
        <v>3</v>
      </c>
      <c r="P279" s="11">
        <v>4</v>
      </c>
      <c r="Q279" s="11">
        <v>5</v>
      </c>
      <c r="R279" s="11">
        <v>6</v>
      </c>
      <c r="S279" s="11">
        <v>7</v>
      </c>
      <c r="T279" s="11">
        <v>8</v>
      </c>
      <c r="U279" s="11">
        <v>9</v>
      </c>
      <c r="V279" s="11">
        <v>10</v>
      </c>
      <c r="W279" s="11">
        <v>11</v>
      </c>
      <c r="X279" s="11">
        <v>12</v>
      </c>
      <c r="Y279" s="11">
        <v>13</v>
      </c>
      <c r="Z279" s="11">
        <v>14</v>
      </c>
      <c r="AA279" s="11">
        <v>15</v>
      </c>
      <c r="AB279" s="11">
        <v>16</v>
      </c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/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2"/>
      <c r="FA279" s="12"/>
      <c r="FB279" s="12"/>
      <c r="FC279" s="12"/>
    </row>
    <row r="280" spans="1:278" x14ac:dyDescent="0.25">
      <c r="A280" s="7" t="str">
        <f t="shared" si="8"/>
        <v>U149011U149011</v>
      </c>
      <c r="B280" s="9" t="s">
        <v>152</v>
      </c>
      <c r="C280" s="9" t="s">
        <v>153</v>
      </c>
      <c r="D280" s="9">
        <v>6</v>
      </c>
      <c r="E280" s="9" t="s">
        <v>436</v>
      </c>
      <c r="F280" s="9" t="s">
        <v>443</v>
      </c>
      <c r="G280" s="9" t="s">
        <v>457</v>
      </c>
      <c r="H280" s="17">
        <v>46224</v>
      </c>
      <c r="I280" s="17">
        <v>46224</v>
      </c>
      <c r="J280" s="17">
        <v>46227</v>
      </c>
      <c r="K280" s="10">
        <v>6</v>
      </c>
      <c r="L280" s="10">
        <f t="shared" si="9"/>
        <v>1</v>
      </c>
      <c r="M280" s="11">
        <v>7</v>
      </c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  <c r="FB280" s="12"/>
      <c r="FC280" s="12"/>
    </row>
    <row r="281" spans="1:278" x14ac:dyDescent="0.25">
      <c r="A281" s="7" t="str">
        <f t="shared" si="8"/>
        <v>U149011U149011</v>
      </c>
      <c r="B281" s="9" t="s">
        <v>152</v>
      </c>
      <c r="C281" s="9" t="s">
        <v>151</v>
      </c>
      <c r="D281" s="9">
        <v>54</v>
      </c>
      <c r="E281" s="9" t="s">
        <v>436</v>
      </c>
      <c r="F281" s="9" t="s">
        <v>443</v>
      </c>
      <c r="G281" s="9" t="s">
        <v>457</v>
      </c>
      <c r="H281" s="17">
        <v>46224</v>
      </c>
      <c r="I281" s="17">
        <v>46224</v>
      </c>
      <c r="J281" s="17">
        <v>46227</v>
      </c>
      <c r="K281" s="10">
        <v>54</v>
      </c>
      <c r="L281" s="10">
        <f t="shared" si="9"/>
        <v>6</v>
      </c>
      <c r="M281" s="11">
        <v>1</v>
      </c>
      <c r="N281" s="11">
        <v>2</v>
      </c>
      <c r="O281" s="11">
        <v>3</v>
      </c>
      <c r="P281" s="11">
        <v>4</v>
      </c>
      <c r="Q281" s="11">
        <v>5</v>
      </c>
      <c r="R281" s="11">
        <v>6</v>
      </c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  <c r="FB281" s="12"/>
      <c r="FC281" s="12"/>
    </row>
    <row r="282" spans="1:278" x14ac:dyDescent="0.25">
      <c r="A282" s="7" t="str">
        <f t="shared" si="8"/>
        <v>U149280U149280</v>
      </c>
      <c r="B282" s="9" t="s">
        <v>285</v>
      </c>
      <c r="C282" s="9" t="s">
        <v>102</v>
      </c>
      <c r="D282" s="9">
        <v>480</v>
      </c>
      <c r="E282" s="9" t="s">
        <v>436</v>
      </c>
      <c r="F282" s="9" t="s">
        <v>443</v>
      </c>
      <c r="G282" s="9" t="s">
        <v>444</v>
      </c>
      <c r="H282" s="17">
        <v>46234</v>
      </c>
      <c r="I282" s="17"/>
      <c r="J282" s="17"/>
      <c r="K282" s="10">
        <v>96</v>
      </c>
      <c r="L282" s="10">
        <f t="shared" si="9"/>
        <v>8</v>
      </c>
      <c r="M282" s="11">
        <v>2</v>
      </c>
      <c r="N282" s="11">
        <v>3</v>
      </c>
      <c r="O282" s="11">
        <v>4</v>
      </c>
      <c r="P282" s="11">
        <v>12</v>
      </c>
      <c r="Q282" s="11">
        <v>22</v>
      </c>
      <c r="R282" s="11">
        <v>24</v>
      </c>
      <c r="S282" s="11">
        <v>31</v>
      </c>
      <c r="T282" s="11">
        <v>33</v>
      </c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12"/>
      <c r="ES282" s="12"/>
      <c r="ET282" s="12"/>
      <c r="EU282" s="12"/>
      <c r="EV282" s="12"/>
      <c r="EW282" s="12"/>
      <c r="EX282" s="12"/>
      <c r="EY282" s="12"/>
      <c r="EZ282" s="12"/>
      <c r="FA282" s="12"/>
      <c r="FB282" s="12"/>
      <c r="FC282" s="12"/>
    </row>
    <row r="283" spans="1:278" x14ac:dyDescent="0.25">
      <c r="A283" s="7" t="str">
        <f t="shared" si="8"/>
        <v>U149280U149280</v>
      </c>
      <c r="B283" s="9" t="s">
        <v>285</v>
      </c>
      <c r="C283" s="9" t="s">
        <v>96</v>
      </c>
      <c r="D283" s="9">
        <v>36</v>
      </c>
      <c r="E283" s="9" t="s">
        <v>436</v>
      </c>
      <c r="F283" s="9" t="s">
        <v>443</v>
      </c>
      <c r="G283" s="9" t="s">
        <v>444</v>
      </c>
      <c r="H283" s="17">
        <v>46234</v>
      </c>
      <c r="I283" s="17">
        <v>46237</v>
      </c>
      <c r="J283" s="17"/>
      <c r="K283" s="10">
        <v>30</v>
      </c>
      <c r="L283" s="10">
        <f t="shared" si="9"/>
        <v>4</v>
      </c>
      <c r="M283" s="11">
        <v>44</v>
      </c>
      <c r="N283" s="11">
        <v>45</v>
      </c>
      <c r="O283" s="11">
        <v>46</v>
      </c>
      <c r="P283" s="11">
        <v>48</v>
      </c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12"/>
      <c r="ES283" s="12"/>
      <c r="ET283" s="12"/>
      <c r="EU283" s="12"/>
      <c r="EV283" s="12"/>
      <c r="EW283" s="12"/>
      <c r="EX283" s="12"/>
      <c r="EY283" s="12"/>
      <c r="EZ283" s="12"/>
      <c r="FA283" s="12"/>
      <c r="FB283" s="12"/>
      <c r="FC283" s="12"/>
    </row>
    <row r="284" spans="1:278" x14ac:dyDescent="0.25">
      <c r="A284" s="7" t="str">
        <f t="shared" si="8"/>
        <v>U149281U149281</v>
      </c>
      <c r="B284" s="9" t="s">
        <v>289</v>
      </c>
      <c r="C284" s="9" t="s">
        <v>102</v>
      </c>
      <c r="D284" s="9">
        <v>516</v>
      </c>
      <c r="E284" s="9" t="s">
        <v>436</v>
      </c>
      <c r="F284" s="9" t="s">
        <v>443</v>
      </c>
      <c r="G284" s="9" t="s">
        <v>457</v>
      </c>
      <c r="H284" s="17">
        <v>46234</v>
      </c>
      <c r="I284" s="17"/>
      <c r="J284" s="17"/>
      <c r="K284" s="10">
        <v>84</v>
      </c>
      <c r="L284" s="10">
        <f t="shared" si="9"/>
        <v>7</v>
      </c>
      <c r="M284" s="11">
        <v>11</v>
      </c>
      <c r="N284" s="11">
        <v>20</v>
      </c>
      <c r="O284" s="11">
        <v>21</v>
      </c>
      <c r="P284" s="11">
        <v>22</v>
      </c>
      <c r="Q284" s="11">
        <v>30</v>
      </c>
      <c r="R284" s="11">
        <v>31</v>
      </c>
      <c r="S284" s="11">
        <v>36</v>
      </c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12"/>
      <c r="EK284" s="12"/>
      <c r="EL284" s="12"/>
      <c r="EM284" s="12"/>
      <c r="EN284" s="12"/>
      <c r="EO284" s="12"/>
      <c r="EP284" s="12"/>
      <c r="EQ284" s="12"/>
      <c r="ER284" s="12"/>
      <c r="ES284" s="12"/>
      <c r="ET284" s="12"/>
      <c r="EU284" s="12"/>
      <c r="EV284" s="12"/>
      <c r="EW284" s="12"/>
      <c r="EX284" s="12"/>
      <c r="EY284" s="12"/>
      <c r="EZ284" s="12"/>
      <c r="FA284" s="12"/>
      <c r="FB284" s="12"/>
      <c r="FC284" s="12"/>
    </row>
    <row r="285" spans="1:278" x14ac:dyDescent="0.25">
      <c r="A285" s="7" t="str">
        <f t="shared" si="8"/>
        <v>U149281U149281</v>
      </c>
      <c r="B285" s="9" t="s">
        <v>289</v>
      </c>
      <c r="C285" s="9" t="s">
        <v>96</v>
      </c>
      <c r="D285" s="9">
        <v>60</v>
      </c>
      <c r="E285" s="9" t="s">
        <v>436</v>
      </c>
      <c r="F285" s="9" t="s">
        <v>443</v>
      </c>
      <c r="G285" s="9" t="s">
        <v>457</v>
      </c>
      <c r="H285" s="17">
        <v>46234</v>
      </c>
      <c r="I285" s="17"/>
      <c r="J285" s="17"/>
      <c r="K285" s="10">
        <v>48</v>
      </c>
      <c r="L285" s="10">
        <f t="shared" si="9"/>
        <v>7</v>
      </c>
      <c r="M285" s="11">
        <v>47</v>
      </c>
      <c r="N285" s="11">
        <v>49</v>
      </c>
      <c r="O285" s="11">
        <v>50</v>
      </c>
      <c r="P285" s="11">
        <v>51</v>
      </c>
      <c r="Q285" s="11">
        <v>52</v>
      </c>
      <c r="R285" s="11">
        <v>54</v>
      </c>
      <c r="S285" s="11">
        <v>55</v>
      </c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12"/>
      <c r="ES285" s="12"/>
      <c r="ET285" s="12"/>
      <c r="EU285" s="12"/>
      <c r="EV285" s="12"/>
      <c r="EW285" s="12"/>
      <c r="EX285" s="12"/>
      <c r="EY285" s="12"/>
      <c r="EZ285" s="12"/>
      <c r="FA285" s="12"/>
      <c r="FB285" s="12"/>
      <c r="FC285" s="12"/>
    </row>
    <row r="286" spans="1:278" x14ac:dyDescent="0.25">
      <c r="K286" s="5"/>
      <c r="L286" s="5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  <c r="EQ286" s="8"/>
      <c r="ER286" s="8"/>
      <c r="ES286" s="8"/>
      <c r="ET286" s="8"/>
      <c r="EU286" s="8"/>
      <c r="EV286" s="8"/>
      <c r="EW286" s="8"/>
      <c r="EX286" s="8"/>
      <c r="EY286" s="8"/>
      <c r="EZ286" s="8"/>
      <c r="FA286" s="8"/>
      <c r="FB286" s="8"/>
      <c r="FC286" s="8"/>
      <c r="FD286" s="8"/>
      <c r="FE286" s="8"/>
      <c r="FF286" s="8"/>
      <c r="FG286" s="8"/>
      <c r="FH286" s="8"/>
      <c r="FI286" s="8"/>
      <c r="FJ286" s="8"/>
      <c r="FK286" s="8"/>
      <c r="FL286" s="8"/>
      <c r="FM286" s="8"/>
      <c r="FN286" s="8"/>
      <c r="FO286" s="8"/>
      <c r="FP286" s="8"/>
      <c r="FQ286" s="8"/>
      <c r="FR286" s="8"/>
      <c r="FS286" s="8"/>
      <c r="FT286" s="8"/>
      <c r="FU286" s="8"/>
      <c r="FV286" s="8"/>
      <c r="FW286" s="8"/>
      <c r="FX286" s="8"/>
      <c r="FY286" s="8"/>
      <c r="FZ286" s="8"/>
      <c r="GA286" s="8"/>
      <c r="GB286" s="8"/>
      <c r="GC286" s="8"/>
      <c r="GD286" s="8"/>
      <c r="GE286" s="8"/>
      <c r="GF286" s="8"/>
      <c r="GG286" s="8"/>
      <c r="GH286" s="8"/>
      <c r="GI286" s="8"/>
      <c r="GJ286" s="8"/>
      <c r="GK286" s="8"/>
      <c r="GL286" s="8"/>
      <c r="GM286" s="8"/>
      <c r="GN286" s="8"/>
      <c r="GO286" s="8"/>
      <c r="GP286" s="8"/>
      <c r="GQ286" s="8"/>
      <c r="GR286" s="8"/>
      <c r="GS286" s="8"/>
      <c r="GT286" s="8"/>
      <c r="GU286" s="8"/>
      <c r="GV286" s="8"/>
      <c r="GW286" s="8"/>
      <c r="GX286" s="8"/>
      <c r="GY286" s="8"/>
      <c r="GZ286" s="8"/>
      <c r="HA286" s="8"/>
      <c r="HB286" s="8"/>
      <c r="HC286" s="8"/>
      <c r="HD286" s="8"/>
      <c r="HE286" s="8"/>
      <c r="HF286" s="8"/>
      <c r="HG286" s="8"/>
      <c r="HH286" s="8"/>
      <c r="HI286" s="8"/>
      <c r="HJ286" s="8"/>
      <c r="HK286" s="8"/>
      <c r="HL286" s="8"/>
      <c r="HM286" s="8"/>
      <c r="HN286" s="8"/>
      <c r="HO286" s="8"/>
      <c r="HP286" s="8"/>
      <c r="HQ286" s="8"/>
      <c r="HR286" s="8"/>
      <c r="HS286" s="8"/>
      <c r="HT286" s="8"/>
      <c r="HU286" s="8"/>
      <c r="HV286" s="8"/>
      <c r="HW286" s="8"/>
      <c r="HX286" s="8"/>
      <c r="HY286" s="8"/>
      <c r="HZ286" s="8"/>
      <c r="IA286" s="8"/>
      <c r="IB286" s="8"/>
      <c r="IC286" s="8"/>
      <c r="ID286" s="8"/>
      <c r="IE286" s="8"/>
      <c r="IF286" s="8"/>
      <c r="IG286" s="8"/>
      <c r="IH286" s="8"/>
      <c r="II286" s="8"/>
      <c r="IJ286" s="8"/>
      <c r="IK286" s="8"/>
      <c r="IL286" s="8"/>
      <c r="IM286" s="8"/>
      <c r="IN286" s="8"/>
      <c r="IO286" s="8"/>
      <c r="IP286" s="8"/>
      <c r="IQ286" s="8"/>
      <c r="IR286" s="8"/>
      <c r="IS286" s="8"/>
      <c r="IT286" s="8"/>
      <c r="IU286" s="8"/>
      <c r="IV286" s="8"/>
      <c r="IW286" s="8"/>
      <c r="IX286" s="8"/>
      <c r="IY286" s="8"/>
      <c r="IZ286" s="8"/>
      <c r="JA286" s="8"/>
      <c r="JB286" s="8"/>
      <c r="JC286" s="8"/>
      <c r="JD286" s="8"/>
      <c r="JE286" s="8"/>
      <c r="JF286" s="8"/>
      <c r="JG286" s="8"/>
      <c r="JH286" s="8"/>
      <c r="JI286" s="8"/>
      <c r="JJ286" s="8"/>
      <c r="JK286" s="8"/>
      <c r="JL286" s="8"/>
      <c r="JM286" s="8"/>
      <c r="JN286" s="8"/>
      <c r="JO286" s="8"/>
      <c r="JP286" s="8"/>
      <c r="JQ286" s="8"/>
      <c r="JR286" s="8"/>
    </row>
    <row r="287" spans="1:278" x14ac:dyDescent="0.25">
      <c r="B287"/>
      <c r="C287"/>
      <c r="D287"/>
      <c r="E287"/>
      <c r="F287"/>
      <c r="G287"/>
      <c r="H287" s="19"/>
      <c r="I287" s="19"/>
      <c r="J287" s="19"/>
      <c r="M287" s="7"/>
    </row>
    <row r="288" spans="1:278" x14ac:dyDescent="0.25">
      <c r="B288"/>
      <c r="C288"/>
      <c r="D288"/>
      <c r="E288"/>
      <c r="F288"/>
      <c r="G288"/>
      <c r="H288" s="19"/>
      <c r="I288" s="19"/>
      <c r="J288" s="19"/>
      <c r="M288" s="7"/>
    </row>
    <row r="289" spans="2:13" x14ac:dyDescent="0.25">
      <c r="B289"/>
      <c r="C289"/>
      <c r="D289"/>
      <c r="E289"/>
      <c r="F289"/>
      <c r="G289"/>
      <c r="H289" s="19"/>
      <c r="I289" s="19"/>
      <c r="J289" s="19"/>
      <c r="M289" s="7"/>
    </row>
    <row r="290" spans="2:13" x14ac:dyDescent="0.25">
      <c r="B290"/>
      <c r="C290"/>
      <c r="D290"/>
      <c r="E290"/>
      <c r="F290"/>
      <c r="G290"/>
      <c r="H290" s="19"/>
      <c r="I290" s="19"/>
      <c r="J290" s="19"/>
      <c r="M290" s="7"/>
    </row>
    <row r="291" spans="2:13" x14ac:dyDescent="0.25">
      <c r="B291"/>
      <c r="C291"/>
      <c r="D291"/>
      <c r="E291"/>
      <c r="F291"/>
      <c r="G291"/>
      <c r="H291" s="19"/>
      <c r="I291" s="19"/>
      <c r="J291" s="19"/>
      <c r="M291" s="7"/>
    </row>
    <row r="292" spans="2:13" x14ac:dyDescent="0.25">
      <c r="B292"/>
      <c r="C292"/>
      <c r="D292"/>
      <c r="E292"/>
      <c r="F292"/>
      <c r="G292"/>
      <c r="H292" s="19"/>
      <c r="I292" s="19"/>
      <c r="J292" s="19"/>
      <c r="M292" s="7"/>
    </row>
    <row r="293" spans="2:13" x14ac:dyDescent="0.25">
      <c r="B293"/>
      <c r="C293"/>
      <c r="D293"/>
      <c r="E293"/>
      <c r="F293"/>
      <c r="G293"/>
      <c r="H293" s="19"/>
      <c r="I293" s="19"/>
      <c r="J293" s="19"/>
      <c r="M293" s="7"/>
    </row>
    <row r="294" spans="2:13" x14ac:dyDescent="0.25">
      <c r="B294"/>
      <c r="C294"/>
      <c r="D294"/>
      <c r="E294"/>
      <c r="F294"/>
      <c r="G294"/>
      <c r="H294" s="19"/>
      <c r="I294" s="19"/>
      <c r="J294" s="19"/>
      <c r="M294" s="7"/>
    </row>
    <row r="295" spans="2:13" x14ac:dyDescent="0.25">
      <c r="B295"/>
      <c r="C295"/>
      <c r="D295"/>
      <c r="E295"/>
      <c r="F295"/>
      <c r="G295"/>
      <c r="H295" s="19"/>
      <c r="I295" s="19"/>
      <c r="J295" s="19"/>
      <c r="M295" s="7"/>
    </row>
    <row r="296" spans="2:13" x14ac:dyDescent="0.25">
      <c r="B296"/>
      <c r="C296"/>
      <c r="D296"/>
      <c r="E296"/>
      <c r="F296"/>
      <c r="G296"/>
      <c r="H296" s="19"/>
      <c r="I296" s="19"/>
      <c r="J296" s="19"/>
      <c r="M296" s="7"/>
    </row>
    <row r="297" spans="2:13" x14ac:dyDescent="0.25">
      <c r="B297"/>
      <c r="C297"/>
      <c r="D297"/>
      <c r="E297"/>
      <c r="F297"/>
      <c r="G297"/>
      <c r="H297" s="19"/>
      <c r="I297" s="19"/>
      <c r="J297" s="19"/>
      <c r="M297" s="7"/>
    </row>
    <row r="298" spans="2:13" x14ac:dyDescent="0.25">
      <c r="B298"/>
      <c r="C298"/>
      <c r="D298"/>
      <c r="E298"/>
      <c r="F298"/>
      <c r="G298"/>
      <c r="H298" s="19"/>
      <c r="I298" s="19"/>
      <c r="J298" s="19"/>
      <c r="M298" s="7"/>
    </row>
    <row r="299" spans="2:13" x14ac:dyDescent="0.25">
      <c r="B299"/>
      <c r="C299"/>
      <c r="D299"/>
      <c r="E299"/>
      <c r="F299"/>
      <c r="G299"/>
      <c r="H299" s="19"/>
      <c r="I299" s="19"/>
      <c r="J299" s="19"/>
      <c r="M299" s="7"/>
    </row>
    <row r="300" spans="2:13" x14ac:dyDescent="0.25">
      <c r="B300"/>
      <c r="C300"/>
      <c r="D300"/>
      <c r="E300"/>
      <c r="F300"/>
      <c r="G300"/>
      <c r="H300" s="19"/>
      <c r="I300" s="19"/>
      <c r="J300" s="19"/>
      <c r="M300" s="7"/>
    </row>
    <row r="301" spans="2:13" x14ac:dyDescent="0.25">
      <c r="B301"/>
      <c r="C301"/>
      <c r="D301"/>
      <c r="E301"/>
      <c r="F301"/>
      <c r="G301"/>
      <c r="H301" s="19"/>
      <c r="I301" s="19"/>
      <c r="J301" s="19"/>
      <c r="M301" s="7"/>
    </row>
    <row r="302" spans="2:13" x14ac:dyDescent="0.25">
      <c r="B302"/>
      <c r="C302"/>
      <c r="D302"/>
      <c r="E302"/>
      <c r="F302"/>
      <c r="G302"/>
      <c r="H302" s="19"/>
      <c r="I302" s="19"/>
      <c r="J302" s="19"/>
      <c r="M302" s="7"/>
    </row>
    <row r="303" spans="2:13" x14ac:dyDescent="0.25">
      <c r="B303"/>
      <c r="C303"/>
      <c r="D303"/>
      <c r="E303"/>
      <c r="F303"/>
      <c r="G303"/>
      <c r="H303" s="19"/>
      <c r="I303" s="19"/>
      <c r="J303" s="19"/>
      <c r="M303" s="7"/>
    </row>
    <row r="304" spans="2:13" x14ac:dyDescent="0.25">
      <c r="B304"/>
      <c r="C304"/>
      <c r="D304"/>
      <c r="E304"/>
      <c r="F304"/>
      <c r="G304"/>
      <c r="H304" s="19"/>
      <c r="I304" s="19"/>
      <c r="J304" s="19"/>
      <c r="M304" s="7"/>
    </row>
    <row r="305" spans="2:13" x14ac:dyDescent="0.25">
      <c r="B305"/>
      <c r="C305"/>
      <c r="D305"/>
      <c r="E305"/>
      <c r="F305"/>
      <c r="G305"/>
      <c r="H305" s="19"/>
      <c r="I305" s="19"/>
      <c r="J305" s="19"/>
      <c r="M305" s="7"/>
    </row>
    <row r="306" spans="2:13" x14ac:dyDescent="0.25">
      <c r="B306"/>
      <c r="C306"/>
      <c r="D306"/>
      <c r="E306"/>
      <c r="F306"/>
      <c r="G306"/>
      <c r="H306" s="19"/>
      <c r="I306" s="19"/>
      <c r="J306" s="19"/>
      <c r="M306" s="7"/>
    </row>
    <row r="307" spans="2:13" x14ac:dyDescent="0.25">
      <c r="B307"/>
      <c r="C307"/>
      <c r="D307"/>
      <c r="E307"/>
      <c r="F307"/>
      <c r="G307"/>
      <c r="H307" s="19"/>
      <c r="I307" s="19"/>
      <c r="J307" s="19"/>
      <c r="M307" s="7"/>
    </row>
    <row r="308" spans="2:13" x14ac:dyDescent="0.25">
      <c r="B308"/>
      <c r="C308"/>
      <c r="D308"/>
      <c r="E308"/>
      <c r="F308"/>
      <c r="G308"/>
      <c r="H308" s="19"/>
      <c r="I308" s="19"/>
      <c r="J308" s="19"/>
      <c r="M308" s="7"/>
    </row>
    <row r="309" spans="2:13" x14ac:dyDescent="0.25">
      <c r="B309"/>
      <c r="C309"/>
      <c r="D309"/>
      <c r="E309"/>
      <c r="F309"/>
      <c r="G309"/>
      <c r="H309" s="19"/>
      <c r="I309" s="19"/>
      <c r="J309" s="19"/>
      <c r="M309" s="7"/>
    </row>
    <row r="310" spans="2:13" x14ac:dyDescent="0.25">
      <c r="B310"/>
      <c r="C310"/>
      <c r="D310"/>
      <c r="E310"/>
      <c r="F310"/>
      <c r="G310"/>
      <c r="H310" s="19"/>
      <c r="I310" s="19"/>
      <c r="J310" s="19"/>
      <c r="M310" s="7"/>
    </row>
    <row r="311" spans="2:13" x14ac:dyDescent="0.25">
      <c r="B311"/>
      <c r="C311"/>
      <c r="D311"/>
      <c r="E311"/>
      <c r="F311"/>
      <c r="G311"/>
      <c r="H311" s="19"/>
      <c r="I311" s="19"/>
      <c r="J311" s="19"/>
      <c r="M311" s="7"/>
    </row>
    <row r="312" spans="2:13" x14ac:dyDescent="0.25">
      <c r="B312"/>
      <c r="C312"/>
      <c r="D312"/>
      <c r="E312"/>
      <c r="F312"/>
      <c r="G312"/>
      <c r="H312" s="19"/>
      <c r="I312" s="19"/>
      <c r="J312" s="19"/>
      <c r="M312" s="7"/>
    </row>
    <row r="313" spans="2:13" x14ac:dyDescent="0.25">
      <c r="B313"/>
      <c r="C313"/>
      <c r="D313"/>
      <c r="E313"/>
      <c r="F313"/>
      <c r="G313"/>
      <c r="H313" s="19"/>
      <c r="I313" s="19"/>
      <c r="J313" s="19"/>
      <c r="M313" s="7"/>
    </row>
    <row r="314" spans="2:13" x14ac:dyDescent="0.25">
      <c r="B314"/>
      <c r="C314"/>
      <c r="D314"/>
      <c r="E314"/>
      <c r="F314"/>
      <c r="G314"/>
      <c r="H314" s="19"/>
      <c r="I314" s="19"/>
      <c r="J314" s="19"/>
      <c r="M314" s="7"/>
    </row>
    <row r="315" spans="2:13" x14ac:dyDescent="0.25">
      <c r="B315"/>
      <c r="C315"/>
      <c r="D315"/>
      <c r="E315"/>
      <c r="F315"/>
      <c r="G315"/>
      <c r="H315" s="19"/>
      <c r="I315" s="19"/>
      <c r="J315" s="19"/>
      <c r="M315" s="7"/>
    </row>
    <row r="316" spans="2:13" x14ac:dyDescent="0.25">
      <c r="B316"/>
      <c r="C316"/>
      <c r="D316"/>
      <c r="E316"/>
      <c r="F316"/>
      <c r="G316"/>
      <c r="H316" s="19"/>
      <c r="I316" s="19"/>
      <c r="J316" s="19"/>
      <c r="M316" s="7"/>
    </row>
    <row r="317" spans="2:13" x14ac:dyDescent="0.25">
      <c r="B317"/>
      <c r="C317"/>
      <c r="D317"/>
      <c r="E317"/>
      <c r="F317"/>
      <c r="G317"/>
      <c r="H317" s="19"/>
      <c r="I317" s="19"/>
      <c r="J317" s="19"/>
      <c r="M317" s="7"/>
    </row>
    <row r="318" spans="2:13" x14ac:dyDescent="0.25">
      <c r="B318"/>
      <c r="C318"/>
      <c r="D318"/>
      <c r="E318"/>
      <c r="F318"/>
      <c r="G318"/>
      <c r="H318" s="19"/>
      <c r="I318" s="19"/>
      <c r="J318" s="19"/>
      <c r="M318" s="7"/>
    </row>
    <row r="319" spans="2:13" x14ac:dyDescent="0.25">
      <c r="B319"/>
      <c r="C319"/>
      <c r="D319"/>
      <c r="E319"/>
      <c r="F319"/>
      <c r="G319"/>
      <c r="H319" s="19"/>
      <c r="I319" s="19"/>
      <c r="J319" s="19"/>
      <c r="M319" s="7"/>
    </row>
    <row r="320" spans="2:13" x14ac:dyDescent="0.25">
      <c r="B320"/>
      <c r="C320"/>
      <c r="D320"/>
      <c r="E320"/>
      <c r="F320"/>
      <c r="G320"/>
      <c r="H320" s="19"/>
      <c r="I320" s="19"/>
      <c r="J320" s="19"/>
      <c r="M320" s="7"/>
    </row>
    <row r="321" spans="2:13" x14ac:dyDescent="0.25">
      <c r="B321"/>
      <c r="C321"/>
      <c r="D321"/>
      <c r="E321"/>
      <c r="F321"/>
      <c r="G321"/>
      <c r="H321" s="19"/>
      <c r="I321" s="19"/>
      <c r="J321" s="19"/>
      <c r="M321" s="7"/>
    </row>
    <row r="322" spans="2:13" x14ac:dyDescent="0.25">
      <c r="B322"/>
      <c r="C322"/>
      <c r="D322"/>
      <c r="E322"/>
      <c r="F322"/>
      <c r="G322"/>
      <c r="H322" s="19"/>
      <c r="I322" s="19"/>
      <c r="J322" s="19"/>
      <c r="M322" s="7"/>
    </row>
    <row r="323" spans="2:13" x14ac:dyDescent="0.25">
      <c r="B323"/>
      <c r="C323"/>
      <c r="D323"/>
      <c r="E323"/>
      <c r="F323"/>
      <c r="G323"/>
      <c r="H323" s="19"/>
      <c r="I323" s="19"/>
      <c r="J323" s="19"/>
      <c r="M323" s="7"/>
    </row>
    <row r="324" spans="2:13" x14ac:dyDescent="0.25">
      <c r="B324"/>
      <c r="C324"/>
      <c r="D324"/>
      <c r="E324"/>
      <c r="F324"/>
      <c r="G324"/>
      <c r="H324" s="19"/>
      <c r="I324" s="19"/>
      <c r="J324" s="19"/>
      <c r="M324" s="7"/>
    </row>
    <row r="325" spans="2:13" x14ac:dyDescent="0.25">
      <c r="B325"/>
      <c r="C325"/>
      <c r="D325"/>
      <c r="E325"/>
      <c r="F325"/>
      <c r="G325"/>
      <c r="H325" s="19"/>
      <c r="I325" s="19"/>
      <c r="J325" s="19"/>
      <c r="M325" s="7"/>
    </row>
    <row r="326" spans="2:13" x14ac:dyDescent="0.25">
      <c r="B326"/>
      <c r="C326"/>
      <c r="D326"/>
      <c r="E326"/>
      <c r="F326"/>
      <c r="G326"/>
      <c r="H326" s="19"/>
      <c r="I326" s="19"/>
      <c r="J326" s="19"/>
      <c r="M326" s="7"/>
    </row>
    <row r="327" spans="2:13" x14ac:dyDescent="0.25">
      <c r="B327"/>
      <c r="C327"/>
      <c r="D327"/>
      <c r="E327"/>
      <c r="F327"/>
      <c r="G327"/>
      <c r="H327" s="19"/>
      <c r="I327" s="19"/>
      <c r="J327" s="19"/>
      <c r="M327" s="7"/>
    </row>
    <row r="328" spans="2:13" x14ac:dyDescent="0.25">
      <c r="B328"/>
      <c r="C328"/>
      <c r="D328"/>
      <c r="E328"/>
      <c r="F328"/>
      <c r="G328"/>
      <c r="H328" s="19"/>
      <c r="I328" s="19"/>
      <c r="J328" s="19"/>
      <c r="M328" s="7"/>
    </row>
    <row r="329" spans="2:13" x14ac:dyDescent="0.25">
      <c r="B329"/>
      <c r="C329"/>
      <c r="D329"/>
      <c r="E329"/>
      <c r="F329"/>
      <c r="G329"/>
      <c r="H329" s="19"/>
      <c r="I329" s="19"/>
      <c r="J329" s="19"/>
      <c r="M329" s="7"/>
    </row>
    <row r="330" spans="2:13" x14ac:dyDescent="0.25">
      <c r="B330"/>
      <c r="C330"/>
      <c r="D330"/>
      <c r="E330"/>
      <c r="F330"/>
      <c r="G330"/>
      <c r="H330" s="19"/>
      <c r="I330" s="19"/>
      <c r="J330" s="19"/>
      <c r="M330" s="7"/>
    </row>
    <row r="331" spans="2:13" x14ac:dyDescent="0.25">
      <c r="B331"/>
      <c r="C331"/>
      <c r="D331"/>
      <c r="E331"/>
      <c r="F331"/>
      <c r="G331"/>
      <c r="H331" s="19"/>
      <c r="I331" s="19"/>
      <c r="J331" s="19"/>
      <c r="M331" s="7"/>
    </row>
    <row r="332" spans="2:13" x14ac:dyDescent="0.25">
      <c r="B332"/>
      <c r="C332"/>
      <c r="D332"/>
      <c r="E332"/>
      <c r="F332"/>
      <c r="G332"/>
      <c r="H332" s="19"/>
      <c r="I332" s="19"/>
      <c r="J332" s="19"/>
      <c r="M332" s="7"/>
    </row>
    <row r="333" spans="2:13" x14ac:dyDescent="0.25">
      <c r="B333"/>
      <c r="C333"/>
      <c r="D333"/>
      <c r="E333"/>
      <c r="F333"/>
      <c r="G333"/>
      <c r="H333" s="19"/>
      <c r="I333" s="19"/>
      <c r="J333" s="19"/>
      <c r="M333" s="7"/>
    </row>
    <row r="334" spans="2:13" x14ac:dyDescent="0.25">
      <c r="B334"/>
      <c r="C334"/>
      <c r="D334"/>
      <c r="E334"/>
      <c r="F334"/>
      <c r="G334"/>
      <c r="H334" s="19"/>
      <c r="I334" s="19"/>
      <c r="J334" s="19"/>
      <c r="M334" s="7"/>
    </row>
    <row r="335" spans="2:13" x14ac:dyDescent="0.25">
      <c r="B335"/>
      <c r="C335"/>
      <c r="D335"/>
      <c r="E335"/>
      <c r="F335"/>
      <c r="G335"/>
      <c r="H335" s="19"/>
      <c r="I335" s="19"/>
      <c r="J335" s="19"/>
      <c r="M335" s="7"/>
    </row>
    <row r="336" spans="2:13" x14ac:dyDescent="0.25">
      <c r="B336"/>
      <c r="C336"/>
      <c r="D336"/>
      <c r="E336"/>
      <c r="F336"/>
      <c r="G336"/>
      <c r="H336" s="19"/>
      <c r="I336" s="19"/>
      <c r="J336" s="19"/>
      <c r="M336" s="7"/>
    </row>
    <row r="337" spans="2:13" x14ac:dyDescent="0.25">
      <c r="B337"/>
      <c r="C337"/>
      <c r="D337"/>
      <c r="E337"/>
      <c r="F337"/>
      <c r="G337"/>
      <c r="H337" s="19"/>
      <c r="I337" s="19"/>
      <c r="J337" s="19"/>
      <c r="M337" s="7"/>
    </row>
    <row r="338" spans="2:13" x14ac:dyDescent="0.25">
      <c r="B338"/>
      <c r="C338"/>
      <c r="D338"/>
      <c r="E338"/>
      <c r="F338"/>
      <c r="G338"/>
      <c r="H338" s="19"/>
      <c r="I338" s="19"/>
      <c r="J338" s="19"/>
      <c r="M338" s="7"/>
    </row>
    <row r="339" spans="2:13" x14ac:dyDescent="0.25">
      <c r="B339"/>
      <c r="C339"/>
      <c r="D339"/>
      <c r="E339"/>
      <c r="F339"/>
      <c r="G339"/>
      <c r="H339" s="19"/>
      <c r="I339" s="19"/>
      <c r="J339" s="19"/>
      <c r="M339" s="7"/>
    </row>
    <row r="340" spans="2:13" x14ac:dyDescent="0.25">
      <c r="B340"/>
      <c r="C340"/>
      <c r="D340"/>
      <c r="E340"/>
      <c r="F340"/>
      <c r="G340"/>
      <c r="H340" s="19"/>
      <c r="I340" s="19"/>
      <c r="J340" s="19"/>
      <c r="M340" s="7"/>
    </row>
    <row r="341" spans="2:13" x14ac:dyDescent="0.25">
      <c r="B341"/>
      <c r="C341"/>
      <c r="D341"/>
      <c r="E341"/>
      <c r="F341"/>
      <c r="G341"/>
      <c r="H341" s="19"/>
      <c r="I341" s="19"/>
      <c r="J341" s="19"/>
      <c r="M341" s="7"/>
    </row>
    <row r="342" spans="2:13" x14ac:dyDescent="0.25">
      <c r="B342"/>
      <c r="C342"/>
      <c r="D342"/>
      <c r="E342"/>
      <c r="F342"/>
      <c r="G342"/>
      <c r="H342" s="19"/>
      <c r="I342" s="19"/>
      <c r="J342" s="19"/>
      <c r="M342" s="7"/>
    </row>
    <row r="343" spans="2:13" x14ac:dyDescent="0.25">
      <c r="B343"/>
      <c r="C343"/>
      <c r="D343"/>
      <c r="E343"/>
      <c r="F343"/>
      <c r="G343"/>
      <c r="H343" s="19"/>
      <c r="I343" s="19"/>
      <c r="J343" s="19"/>
      <c r="M343" s="7"/>
    </row>
    <row r="344" spans="2:13" x14ac:dyDescent="0.25">
      <c r="B344"/>
      <c r="C344"/>
      <c r="D344"/>
      <c r="E344"/>
      <c r="F344"/>
      <c r="G344"/>
      <c r="H344" s="19"/>
      <c r="I344" s="19"/>
      <c r="J344" s="19"/>
      <c r="M344" s="7"/>
    </row>
    <row r="345" spans="2:13" x14ac:dyDescent="0.25">
      <c r="B345"/>
      <c r="C345"/>
      <c r="D345"/>
      <c r="E345"/>
      <c r="F345"/>
      <c r="G345"/>
      <c r="H345" s="19"/>
      <c r="I345" s="19"/>
      <c r="J345" s="19"/>
      <c r="M345" s="7"/>
    </row>
    <row r="346" spans="2:13" x14ac:dyDescent="0.25">
      <c r="B346"/>
      <c r="C346"/>
      <c r="D346"/>
      <c r="E346"/>
      <c r="F346"/>
      <c r="G346"/>
      <c r="H346" s="19"/>
      <c r="I346" s="19"/>
      <c r="J346" s="19"/>
      <c r="M346" s="7"/>
    </row>
    <row r="347" spans="2:13" x14ac:dyDescent="0.25">
      <c r="B347"/>
      <c r="C347"/>
      <c r="D347"/>
      <c r="E347"/>
      <c r="F347"/>
      <c r="G347"/>
      <c r="H347" s="19"/>
      <c r="I347" s="19"/>
      <c r="J347" s="19"/>
      <c r="M347" s="7"/>
    </row>
    <row r="348" spans="2:13" x14ac:dyDescent="0.25">
      <c r="B348"/>
      <c r="C348"/>
      <c r="D348"/>
      <c r="E348"/>
      <c r="F348"/>
      <c r="G348"/>
      <c r="H348" s="19"/>
      <c r="I348" s="19"/>
      <c r="J348" s="19"/>
      <c r="M348" s="7"/>
    </row>
    <row r="349" spans="2:13" x14ac:dyDescent="0.25">
      <c r="B349"/>
      <c r="C349"/>
      <c r="D349"/>
      <c r="E349"/>
      <c r="F349"/>
      <c r="G349"/>
      <c r="H349" s="19"/>
      <c r="I349" s="19"/>
      <c r="J349" s="19"/>
      <c r="M349" s="7"/>
    </row>
    <row r="350" spans="2:13" x14ac:dyDescent="0.25">
      <c r="B350"/>
      <c r="C350"/>
      <c r="D350"/>
      <c r="E350"/>
      <c r="F350"/>
      <c r="G350"/>
      <c r="H350" s="19"/>
      <c r="I350" s="19"/>
      <c r="J350" s="19"/>
      <c r="M350" s="7"/>
    </row>
    <row r="351" spans="2:13" x14ac:dyDescent="0.25">
      <c r="B351"/>
      <c r="C351"/>
      <c r="D351"/>
      <c r="E351"/>
      <c r="F351"/>
      <c r="G351"/>
      <c r="H351" s="19"/>
      <c r="I351" s="19"/>
      <c r="J351" s="19"/>
      <c r="M351" s="7"/>
    </row>
    <row r="352" spans="2:13" x14ac:dyDescent="0.25">
      <c r="B352"/>
      <c r="C352"/>
      <c r="D352"/>
      <c r="E352"/>
      <c r="F352"/>
      <c r="G352"/>
      <c r="H352" s="19"/>
      <c r="I352" s="19"/>
      <c r="J352" s="19"/>
      <c r="M352" s="7"/>
    </row>
    <row r="353" spans="2:13" x14ac:dyDescent="0.25">
      <c r="B353"/>
      <c r="C353"/>
      <c r="D353"/>
      <c r="E353"/>
      <c r="F353"/>
      <c r="G353"/>
      <c r="H353" s="19"/>
      <c r="I353" s="19"/>
      <c r="J353" s="19"/>
      <c r="M353" s="7"/>
    </row>
    <row r="354" spans="2:13" x14ac:dyDescent="0.25">
      <c r="B354"/>
      <c r="C354"/>
      <c r="D354"/>
      <c r="E354"/>
      <c r="F354"/>
      <c r="G354"/>
      <c r="H354" s="19"/>
      <c r="I354" s="19"/>
      <c r="J354" s="19"/>
      <c r="M354" s="7"/>
    </row>
    <row r="355" spans="2:13" x14ac:dyDescent="0.25">
      <c r="B355"/>
      <c r="C355"/>
      <c r="D355"/>
      <c r="E355"/>
      <c r="F355"/>
      <c r="G355"/>
      <c r="H355" s="19"/>
      <c r="I355" s="19"/>
      <c r="J355" s="19"/>
      <c r="M355" s="7"/>
    </row>
    <row r="356" spans="2:13" x14ac:dyDescent="0.25">
      <c r="B356"/>
      <c r="C356"/>
      <c r="D356"/>
      <c r="E356"/>
      <c r="F356"/>
      <c r="G356"/>
      <c r="H356" s="19"/>
      <c r="I356" s="19"/>
      <c r="J356" s="19"/>
      <c r="M356" s="7"/>
    </row>
    <row r="357" spans="2:13" x14ac:dyDescent="0.25">
      <c r="B357"/>
      <c r="C357"/>
      <c r="D357"/>
      <c r="E357"/>
      <c r="F357"/>
      <c r="G357"/>
      <c r="H357" s="19"/>
      <c r="I357" s="19"/>
      <c r="J357" s="19"/>
      <c r="M357" s="7"/>
    </row>
    <row r="358" spans="2:13" x14ac:dyDescent="0.25">
      <c r="B358"/>
      <c r="C358"/>
      <c r="D358"/>
      <c r="E358"/>
      <c r="F358"/>
      <c r="G358"/>
      <c r="H358" s="19"/>
      <c r="I358" s="19"/>
      <c r="J358" s="19"/>
      <c r="M358" s="7"/>
    </row>
    <row r="359" spans="2:13" x14ac:dyDescent="0.25">
      <c r="B359"/>
      <c r="C359"/>
      <c r="D359"/>
      <c r="E359"/>
      <c r="F359"/>
      <c r="G359"/>
      <c r="H359" s="19"/>
      <c r="I359" s="19"/>
      <c r="J359" s="19"/>
      <c r="M359" s="7"/>
    </row>
    <row r="360" spans="2:13" x14ac:dyDescent="0.25">
      <c r="B360"/>
      <c r="C360"/>
      <c r="D360"/>
      <c r="E360"/>
      <c r="F360"/>
      <c r="G360"/>
      <c r="H360" s="19"/>
      <c r="I360" s="19"/>
      <c r="J360" s="19"/>
      <c r="M360" s="7"/>
    </row>
    <row r="361" spans="2:13" x14ac:dyDescent="0.25">
      <c r="B361"/>
      <c r="C361"/>
      <c r="D361"/>
      <c r="E361"/>
      <c r="F361"/>
      <c r="G361"/>
      <c r="H361" s="19"/>
      <c r="I361" s="19"/>
      <c r="J361" s="19"/>
      <c r="M361" s="7"/>
    </row>
    <row r="362" spans="2:13" x14ac:dyDescent="0.25">
      <c r="B362"/>
      <c r="C362"/>
      <c r="D362"/>
      <c r="E362"/>
      <c r="F362"/>
      <c r="G362"/>
      <c r="H362" s="19"/>
      <c r="I362" s="19"/>
      <c r="J362" s="19"/>
      <c r="M362" s="7"/>
    </row>
    <row r="363" spans="2:13" x14ac:dyDescent="0.25">
      <c r="B363"/>
      <c r="C363"/>
      <c r="D363"/>
      <c r="E363"/>
      <c r="F363"/>
      <c r="G363"/>
      <c r="H363" s="19"/>
      <c r="I363" s="19"/>
      <c r="J363" s="19"/>
      <c r="M363" s="7"/>
    </row>
    <row r="364" spans="2:13" x14ac:dyDescent="0.25">
      <c r="B364"/>
      <c r="C364"/>
      <c r="D364"/>
      <c r="E364"/>
      <c r="F364"/>
      <c r="G364"/>
      <c r="H364" s="19"/>
      <c r="I364" s="19"/>
      <c r="J364" s="19"/>
      <c r="M364" s="7"/>
    </row>
    <row r="365" spans="2:13" x14ac:dyDescent="0.25">
      <c r="B365"/>
      <c r="C365"/>
      <c r="D365"/>
      <c r="E365"/>
      <c r="F365"/>
      <c r="G365"/>
      <c r="H365" s="19"/>
      <c r="I365" s="19"/>
      <c r="J365" s="19"/>
      <c r="M365" s="7"/>
    </row>
    <row r="366" spans="2:13" x14ac:dyDescent="0.25">
      <c r="B366"/>
      <c r="C366"/>
      <c r="D366"/>
      <c r="E366"/>
      <c r="F366"/>
      <c r="G366"/>
      <c r="H366" s="19"/>
      <c r="I366" s="19"/>
      <c r="J366" s="19"/>
      <c r="M366" s="7"/>
    </row>
    <row r="367" spans="2:13" x14ac:dyDescent="0.25">
      <c r="B367"/>
      <c r="C367"/>
      <c r="D367"/>
      <c r="E367"/>
      <c r="F367"/>
      <c r="G367"/>
      <c r="H367" s="19"/>
      <c r="I367" s="19"/>
      <c r="J367" s="19"/>
      <c r="M367" s="7"/>
    </row>
    <row r="368" spans="2:13" x14ac:dyDescent="0.25">
      <c r="B368"/>
      <c r="C368"/>
      <c r="D368"/>
      <c r="E368"/>
      <c r="F368"/>
      <c r="G368"/>
      <c r="H368" s="19"/>
      <c r="I368" s="19"/>
      <c r="J368" s="19"/>
      <c r="M368" s="7"/>
    </row>
    <row r="369" spans="2:13" x14ac:dyDescent="0.25">
      <c r="B369"/>
      <c r="C369"/>
      <c r="D369"/>
      <c r="E369"/>
      <c r="F369"/>
      <c r="G369"/>
      <c r="H369" s="19"/>
      <c r="I369" s="19"/>
      <c r="J369" s="19"/>
      <c r="M369" s="7"/>
    </row>
    <row r="370" spans="2:13" x14ac:dyDescent="0.25">
      <c r="B370"/>
      <c r="C370"/>
      <c r="D370"/>
      <c r="E370"/>
      <c r="F370"/>
      <c r="G370"/>
      <c r="H370" s="19"/>
      <c r="I370" s="19"/>
      <c r="J370" s="19"/>
      <c r="M370" s="7"/>
    </row>
    <row r="371" spans="2:13" x14ac:dyDescent="0.25">
      <c r="B371"/>
      <c r="C371"/>
      <c r="D371"/>
      <c r="E371"/>
      <c r="F371"/>
      <c r="G371"/>
      <c r="H371" s="19"/>
      <c r="I371" s="19"/>
      <c r="J371" s="19"/>
      <c r="M371" s="7"/>
    </row>
    <row r="372" spans="2:13" x14ac:dyDescent="0.25">
      <c r="B372"/>
      <c r="C372"/>
      <c r="D372"/>
      <c r="E372"/>
      <c r="F372"/>
      <c r="G372"/>
      <c r="H372" s="19"/>
      <c r="I372" s="19"/>
      <c r="J372" s="19"/>
      <c r="M372" s="7"/>
    </row>
    <row r="373" spans="2:13" x14ac:dyDescent="0.25">
      <c r="B373"/>
      <c r="C373"/>
      <c r="D373"/>
      <c r="E373"/>
      <c r="F373"/>
      <c r="G373"/>
      <c r="H373" s="19"/>
      <c r="I373" s="19"/>
      <c r="J373" s="19"/>
      <c r="M373" s="7"/>
    </row>
    <row r="374" spans="2:13" x14ac:dyDescent="0.25">
      <c r="B374"/>
      <c r="C374"/>
      <c r="D374"/>
      <c r="E374"/>
      <c r="F374"/>
      <c r="G374"/>
      <c r="H374" s="19"/>
      <c r="I374" s="19"/>
      <c r="J374" s="19"/>
      <c r="M374" s="7"/>
    </row>
    <row r="375" spans="2:13" x14ac:dyDescent="0.25">
      <c r="B375"/>
      <c r="C375"/>
      <c r="D375"/>
      <c r="E375"/>
      <c r="F375"/>
      <c r="G375"/>
      <c r="H375" s="19"/>
      <c r="I375" s="19"/>
      <c r="J375" s="19"/>
      <c r="M375" s="7"/>
    </row>
    <row r="376" spans="2:13" x14ac:dyDescent="0.25">
      <c r="B376"/>
      <c r="C376"/>
      <c r="D376"/>
      <c r="E376"/>
      <c r="F376"/>
      <c r="G376"/>
      <c r="H376" s="19"/>
      <c r="I376" s="19"/>
      <c r="J376" s="19"/>
      <c r="M376" s="7"/>
    </row>
    <row r="377" spans="2:13" x14ac:dyDescent="0.25">
      <c r="B377"/>
      <c r="C377"/>
      <c r="D377"/>
      <c r="E377"/>
      <c r="F377"/>
      <c r="G377"/>
      <c r="H377" s="19"/>
      <c r="I377" s="19"/>
      <c r="J377" s="19"/>
      <c r="M377" s="7"/>
    </row>
    <row r="378" spans="2:13" x14ac:dyDescent="0.25">
      <c r="B378"/>
      <c r="C378"/>
      <c r="D378"/>
      <c r="E378"/>
      <c r="F378"/>
      <c r="G378"/>
      <c r="H378" s="19"/>
      <c r="I378" s="19"/>
      <c r="J378" s="19"/>
      <c r="M378" s="7"/>
    </row>
    <row r="379" spans="2:13" x14ac:dyDescent="0.25">
      <c r="B379"/>
      <c r="C379"/>
      <c r="D379"/>
      <c r="E379"/>
      <c r="F379"/>
      <c r="G379"/>
      <c r="H379" s="19"/>
      <c r="I379" s="19"/>
      <c r="J379" s="19"/>
      <c r="M379" s="7"/>
    </row>
    <row r="380" spans="2:13" x14ac:dyDescent="0.25">
      <c r="B380"/>
      <c r="C380"/>
      <c r="D380"/>
      <c r="E380"/>
      <c r="F380"/>
      <c r="G380"/>
      <c r="H380" s="19"/>
      <c r="I380" s="19"/>
      <c r="J380" s="19"/>
      <c r="M380" s="7"/>
    </row>
    <row r="381" spans="2:13" x14ac:dyDescent="0.25">
      <c r="B381"/>
      <c r="C381"/>
      <c r="D381"/>
      <c r="E381"/>
      <c r="F381"/>
      <c r="G381"/>
      <c r="H381" s="19"/>
      <c r="I381" s="19"/>
      <c r="J381" s="19"/>
      <c r="M381" s="7"/>
    </row>
    <row r="382" spans="2:13" x14ac:dyDescent="0.25">
      <c r="B382"/>
      <c r="C382"/>
      <c r="D382"/>
      <c r="E382"/>
      <c r="F382"/>
      <c r="G382"/>
      <c r="H382" s="19"/>
      <c r="I382" s="19"/>
      <c r="J382" s="19"/>
      <c r="M382" s="7"/>
    </row>
    <row r="383" spans="2:13" x14ac:dyDescent="0.25">
      <c r="B383"/>
      <c r="C383"/>
      <c r="D383"/>
      <c r="E383"/>
      <c r="F383"/>
      <c r="G383"/>
      <c r="H383" s="19"/>
      <c r="I383" s="19"/>
      <c r="J383" s="19"/>
      <c r="M383" s="7"/>
    </row>
    <row r="384" spans="2:13" x14ac:dyDescent="0.25">
      <c r="B384"/>
      <c r="C384"/>
      <c r="D384"/>
      <c r="E384"/>
      <c r="F384"/>
      <c r="G384"/>
      <c r="H384" s="19"/>
      <c r="I384" s="19"/>
      <c r="J384" s="19"/>
      <c r="M384" s="7"/>
    </row>
    <row r="385" spans="2:13" x14ac:dyDescent="0.25">
      <c r="B385"/>
      <c r="C385"/>
      <c r="D385"/>
      <c r="E385"/>
      <c r="F385"/>
      <c r="G385"/>
      <c r="H385" s="19"/>
      <c r="I385" s="19"/>
      <c r="J385" s="19"/>
      <c r="M385" s="7"/>
    </row>
    <row r="386" spans="2:13" x14ac:dyDescent="0.25">
      <c r="B386"/>
      <c r="C386"/>
      <c r="D386"/>
      <c r="E386"/>
      <c r="F386"/>
      <c r="G386"/>
      <c r="H386" s="19"/>
      <c r="I386" s="19"/>
      <c r="J386" s="19"/>
      <c r="M386" s="7"/>
    </row>
    <row r="387" spans="2:13" x14ac:dyDescent="0.25">
      <c r="B387"/>
      <c r="C387"/>
      <c r="D387"/>
      <c r="E387"/>
      <c r="F387"/>
      <c r="G387"/>
      <c r="H387" s="19"/>
      <c r="I387" s="19"/>
      <c r="J387" s="19"/>
      <c r="M387" s="7"/>
    </row>
    <row r="388" spans="2:13" x14ac:dyDescent="0.25">
      <c r="B388"/>
      <c r="C388"/>
      <c r="D388"/>
      <c r="E388"/>
      <c r="F388"/>
      <c r="G388"/>
      <c r="H388" s="19"/>
      <c r="I388" s="19"/>
      <c r="J388" s="19"/>
      <c r="M388" s="7"/>
    </row>
    <row r="389" spans="2:13" x14ac:dyDescent="0.25">
      <c r="B389"/>
      <c r="C389"/>
      <c r="D389"/>
      <c r="E389"/>
      <c r="F389"/>
      <c r="G389"/>
      <c r="H389" s="19"/>
      <c r="I389" s="19"/>
      <c r="J389" s="19"/>
      <c r="M389" s="7"/>
    </row>
    <row r="390" spans="2:13" x14ac:dyDescent="0.25">
      <c r="B390"/>
      <c r="C390"/>
      <c r="D390"/>
      <c r="E390"/>
      <c r="F390"/>
      <c r="G390"/>
      <c r="H390" s="19"/>
      <c r="I390" s="19"/>
      <c r="J390" s="19"/>
      <c r="M390" s="7"/>
    </row>
    <row r="391" spans="2:13" x14ac:dyDescent="0.25">
      <c r="B391"/>
      <c r="C391"/>
      <c r="D391"/>
      <c r="E391"/>
      <c r="F391"/>
      <c r="G391"/>
      <c r="H391" s="19"/>
      <c r="I391" s="19"/>
      <c r="J391" s="19"/>
      <c r="M391" s="7"/>
    </row>
    <row r="392" spans="2:13" x14ac:dyDescent="0.25">
      <c r="B392"/>
      <c r="C392"/>
      <c r="D392"/>
      <c r="E392"/>
      <c r="F392"/>
      <c r="G392"/>
      <c r="H392" s="19"/>
      <c r="I392" s="19"/>
      <c r="J392" s="19"/>
      <c r="M392" s="7"/>
    </row>
    <row r="393" spans="2:13" x14ac:dyDescent="0.25">
      <c r="B393"/>
      <c r="C393"/>
      <c r="D393"/>
      <c r="E393"/>
      <c r="F393"/>
      <c r="G393"/>
      <c r="H393" s="19"/>
      <c r="I393" s="19"/>
      <c r="J393" s="19"/>
      <c r="M393" s="7"/>
    </row>
    <row r="394" spans="2:13" x14ac:dyDescent="0.25">
      <c r="B394"/>
      <c r="C394"/>
      <c r="D394"/>
      <c r="E394"/>
      <c r="F394"/>
      <c r="G394"/>
      <c r="H394" s="19"/>
      <c r="I394" s="19"/>
      <c r="J394" s="19"/>
      <c r="M394" s="7"/>
    </row>
    <row r="395" spans="2:13" x14ac:dyDescent="0.25">
      <c r="B395"/>
      <c r="C395"/>
      <c r="D395"/>
      <c r="E395"/>
      <c r="F395"/>
      <c r="G395"/>
      <c r="H395" s="19"/>
      <c r="I395" s="19"/>
      <c r="J395" s="19"/>
      <c r="M395" s="7"/>
    </row>
    <row r="396" spans="2:13" x14ac:dyDescent="0.25">
      <c r="B396"/>
      <c r="C396"/>
      <c r="D396"/>
      <c r="E396"/>
      <c r="F396"/>
      <c r="G396"/>
      <c r="H396" s="19"/>
      <c r="I396" s="19"/>
      <c r="J396" s="19"/>
      <c r="M396" s="7"/>
    </row>
    <row r="397" spans="2:13" x14ac:dyDescent="0.25">
      <c r="B397"/>
      <c r="C397"/>
      <c r="D397"/>
      <c r="E397"/>
      <c r="F397"/>
      <c r="G397"/>
      <c r="H397" s="19"/>
      <c r="I397" s="19"/>
      <c r="J397" s="19"/>
      <c r="M397" s="7"/>
    </row>
    <row r="398" spans="2:13" x14ac:dyDescent="0.25">
      <c r="B398"/>
      <c r="C398"/>
      <c r="D398"/>
      <c r="E398"/>
      <c r="F398"/>
      <c r="G398"/>
      <c r="H398" s="19"/>
      <c r="I398" s="19"/>
      <c r="J398" s="19"/>
      <c r="M398" s="7"/>
    </row>
    <row r="399" spans="2:13" x14ac:dyDescent="0.25">
      <c r="B399"/>
      <c r="C399"/>
      <c r="D399"/>
      <c r="E399"/>
      <c r="F399"/>
      <c r="G399"/>
      <c r="H399" s="19"/>
      <c r="I399" s="19"/>
      <c r="J399" s="19"/>
      <c r="M399" s="7"/>
    </row>
    <row r="400" spans="2:13" x14ac:dyDescent="0.25">
      <c r="B400"/>
      <c r="C400"/>
      <c r="D400"/>
      <c r="E400"/>
      <c r="F400"/>
      <c r="G400"/>
      <c r="H400" s="19"/>
      <c r="I400" s="19"/>
      <c r="J400" s="19"/>
      <c r="M400" s="7"/>
    </row>
    <row r="401" spans="2:13" x14ac:dyDescent="0.25">
      <c r="B401"/>
      <c r="C401"/>
      <c r="D401"/>
      <c r="E401"/>
      <c r="F401"/>
      <c r="G401"/>
      <c r="H401" s="19"/>
      <c r="I401" s="19"/>
      <c r="J401" s="19"/>
      <c r="M401" s="7"/>
    </row>
    <row r="402" spans="2:13" x14ac:dyDescent="0.25">
      <c r="B402"/>
      <c r="C402"/>
      <c r="D402"/>
      <c r="E402"/>
      <c r="F402"/>
      <c r="G402"/>
      <c r="H402" s="19"/>
      <c r="I402" s="19"/>
      <c r="J402" s="19"/>
      <c r="M402" s="7"/>
    </row>
    <row r="403" spans="2:13" x14ac:dyDescent="0.25">
      <c r="B403"/>
      <c r="C403"/>
      <c r="D403"/>
      <c r="E403"/>
      <c r="F403"/>
      <c r="G403"/>
      <c r="H403" s="19"/>
      <c r="I403" s="19"/>
      <c r="J403" s="19"/>
      <c r="M403" s="7"/>
    </row>
    <row r="404" spans="2:13" x14ac:dyDescent="0.25">
      <c r="B404"/>
      <c r="C404"/>
      <c r="D404"/>
      <c r="E404"/>
      <c r="F404"/>
      <c r="G404"/>
      <c r="H404" s="19"/>
      <c r="I404" s="19"/>
      <c r="J404" s="19"/>
      <c r="M404" s="7"/>
    </row>
    <row r="405" spans="2:13" x14ac:dyDescent="0.25">
      <c r="B405"/>
      <c r="C405"/>
      <c r="D405"/>
      <c r="E405"/>
      <c r="F405"/>
      <c r="G405"/>
      <c r="H405" s="19"/>
      <c r="I405" s="19"/>
      <c r="J405" s="19"/>
      <c r="M405" s="7"/>
    </row>
    <row r="406" spans="2:13" x14ac:dyDescent="0.25">
      <c r="B406"/>
      <c r="C406"/>
      <c r="D406"/>
      <c r="E406"/>
      <c r="F406"/>
      <c r="G406"/>
      <c r="H406" s="19"/>
      <c r="I406" s="19"/>
      <c r="J406" s="19"/>
      <c r="M406" s="7"/>
    </row>
    <row r="407" spans="2:13" x14ac:dyDescent="0.25">
      <c r="B407"/>
      <c r="C407"/>
      <c r="D407"/>
      <c r="E407"/>
      <c r="F407"/>
      <c r="G407"/>
      <c r="H407" s="19"/>
      <c r="I407" s="19"/>
      <c r="J407" s="19"/>
      <c r="M407" s="7"/>
    </row>
    <row r="408" spans="2:13" x14ac:dyDescent="0.25">
      <c r="B408"/>
      <c r="C408"/>
      <c r="D408"/>
      <c r="E408"/>
      <c r="F408"/>
      <c r="G408"/>
      <c r="H408" s="19"/>
      <c r="I408" s="19"/>
      <c r="J408" s="19"/>
      <c r="M408" s="7"/>
    </row>
    <row r="409" spans="2:13" x14ac:dyDescent="0.25">
      <c r="B409"/>
      <c r="C409"/>
      <c r="D409"/>
      <c r="E409"/>
      <c r="F409"/>
      <c r="G409"/>
      <c r="H409" s="19"/>
      <c r="I409" s="19"/>
      <c r="J409" s="19"/>
      <c r="M409" s="7"/>
    </row>
    <row r="410" spans="2:13" x14ac:dyDescent="0.25">
      <c r="B410"/>
      <c r="C410"/>
      <c r="D410"/>
      <c r="E410"/>
      <c r="F410"/>
      <c r="G410"/>
      <c r="H410" s="19"/>
      <c r="I410" s="19"/>
      <c r="J410" s="19"/>
      <c r="M410" s="7"/>
    </row>
    <row r="411" spans="2:13" x14ac:dyDescent="0.25">
      <c r="B411"/>
      <c r="C411"/>
      <c r="D411"/>
      <c r="E411"/>
      <c r="F411"/>
      <c r="G411"/>
      <c r="H411" s="19"/>
      <c r="I411" s="19"/>
      <c r="J411" s="19"/>
      <c r="M411" s="7"/>
    </row>
    <row r="412" spans="2:13" x14ac:dyDescent="0.25">
      <c r="B412"/>
      <c r="C412"/>
      <c r="D412"/>
      <c r="E412"/>
      <c r="F412"/>
      <c r="G412"/>
      <c r="H412" s="19"/>
      <c r="I412" s="19"/>
      <c r="J412" s="19"/>
      <c r="M412" s="7"/>
    </row>
    <row r="413" spans="2:13" x14ac:dyDescent="0.25">
      <c r="B413"/>
      <c r="C413"/>
      <c r="D413"/>
      <c r="E413"/>
      <c r="F413"/>
      <c r="G413"/>
      <c r="H413" s="19"/>
      <c r="I413" s="19"/>
      <c r="J413" s="19"/>
      <c r="M413" s="7"/>
    </row>
    <row r="414" spans="2:13" x14ac:dyDescent="0.25">
      <c r="B414"/>
      <c r="C414"/>
      <c r="D414"/>
      <c r="E414"/>
      <c r="F414"/>
      <c r="G414"/>
      <c r="H414" s="19"/>
      <c r="I414" s="19"/>
      <c r="J414" s="19"/>
      <c r="M414" s="7"/>
    </row>
    <row r="415" spans="2:13" x14ac:dyDescent="0.25">
      <c r="B415"/>
      <c r="C415"/>
      <c r="D415"/>
      <c r="E415"/>
      <c r="F415"/>
      <c r="G415"/>
      <c r="H415" s="19"/>
      <c r="I415" s="19"/>
      <c r="J415" s="19"/>
      <c r="M415" s="7"/>
    </row>
    <row r="416" spans="2:13" x14ac:dyDescent="0.25">
      <c r="B416"/>
      <c r="C416"/>
      <c r="D416"/>
      <c r="E416"/>
      <c r="F416"/>
      <c r="G416"/>
      <c r="H416" s="19"/>
      <c r="I416" s="19"/>
      <c r="J416" s="19"/>
      <c r="M416" s="7"/>
    </row>
    <row r="417" spans="2:13" x14ac:dyDescent="0.25">
      <c r="B417"/>
      <c r="C417"/>
      <c r="D417"/>
      <c r="E417"/>
      <c r="F417"/>
      <c r="G417"/>
      <c r="H417" s="19"/>
      <c r="I417" s="19"/>
      <c r="J417" s="19"/>
      <c r="M417" s="7"/>
    </row>
    <row r="418" spans="2:13" x14ac:dyDescent="0.25">
      <c r="B418"/>
      <c r="C418"/>
      <c r="D418"/>
      <c r="E418"/>
      <c r="F418"/>
      <c r="G418"/>
      <c r="H418" s="19"/>
      <c r="I418" s="19"/>
      <c r="J418" s="19"/>
      <c r="M418" s="7"/>
    </row>
    <row r="419" spans="2:13" x14ac:dyDescent="0.25">
      <c r="B419"/>
      <c r="C419"/>
      <c r="D419"/>
      <c r="E419"/>
      <c r="F419"/>
      <c r="G419"/>
      <c r="H419" s="19"/>
      <c r="I419" s="19"/>
      <c r="J419" s="19"/>
      <c r="M419" s="7"/>
    </row>
    <row r="420" spans="2:13" x14ac:dyDescent="0.25">
      <c r="B420"/>
      <c r="C420"/>
      <c r="D420"/>
      <c r="E420"/>
      <c r="F420"/>
      <c r="G420"/>
      <c r="H420" s="19"/>
      <c r="I420" s="19"/>
      <c r="J420" s="19"/>
      <c r="M420" s="7"/>
    </row>
    <row r="421" spans="2:13" x14ac:dyDescent="0.25">
      <c r="B421"/>
      <c r="C421"/>
      <c r="D421"/>
      <c r="E421"/>
      <c r="F421"/>
      <c r="G421"/>
      <c r="H421" s="19"/>
      <c r="I421" s="19"/>
      <c r="J421" s="19"/>
      <c r="M421" s="7"/>
    </row>
    <row r="422" spans="2:13" x14ac:dyDescent="0.25">
      <c r="B422"/>
      <c r="C422"/>
      <c r="D422"/>
      <c r="E422"/>
      <c r="F422"/>
      <c r="G422"/>
      <c r="H422" s="19"/>
      <c r="I422" s="19"/>
      <c r="J422" s="19"/>
      <c r="M422" s="7"/>
    </row>
    <row r="423" spans="2:13" x14ac:dyDescent="0.25">
      <c r="B423"/>
      <c r="C423"/>
      <c r="D423"/>
      <c r="E423"/>
      <c r="F423"/>
      <c r="G423"/>
      <c r="H423" s="19"/>
      <c r="I423" s="19"/>
      <c r="J423" s="19"/>
      <c r="M423" s="7"/>
    </row>
    <row r="424" spans="2:13" x14ac:dyDescent="0.25">
      <c r="B424"/>
      <c r="C424"/>
      <c r="D424"/>
      <c r="E424"/>
      <c r="F424"/>
      <c r="G424"/>
      <c r="H424" s="19"/>
      <c r="I424" s="19"/>
      <c r="J424" s="19"/>
      <c r="M424" s="7"/>
    </row>
    <row r="425" spans="2:13" x14ac:dyDescent="0.25">
      <c r="B425"/>
      <c r="C425"/>
      <c r="D425"/>
      <c r="E425"/>
      <c r="F425"/>
      <c r="G425"/>
      <c r="H425" s="19"/>
      <c r="I425" s="19"/>
      <c r="J425" s="19"/>
      <c r="M425" s="7"/>
    </row>
    <row r="426" spans="2:13" x14ac:dyDescent="0.25">
      <c r="B426"/>
      <c r="C426"/>
      <c r="D426"/>
      <c r="E426"/>
      <c r="F426"/>
      <c r="G426"/>
      <c r="H426" s="19"/>
      <c r="I426" s="19"/>
      <c r="J426" s="19"/>
      <c r="M426" s="7"/>
    </row>
    <row r="427" spans="2:13" x14ac:dyDescent="0.25">
      <c r="B427"/>
      <c r="C427"/>
      <c r="D427"/>
      <c r="E427"/>
      <c r="F427"/>
      <c r="G427"/>
      <c r="H427" s="19"/>
      <c r="I427" s="19"/>
      <c r="J427" s="19"/>
      <c r="M427" s="7"/>
    </row>
    <row r="428" spans="2:13" x14ac:dyDescent="0.25">
      <c r="B428"/>
      <c r="C428"/>
      <c r="D428"/>
      <c r="E428"/>
      <c r="F428"/>
      <c r="G428"/>
      <c r="H428" s="19"/>
      <c r="I428" s="19"/>
      <c r="J428" s="19"/>
      <c r="M428" s="7"/>
    </row>
    <row r="429" spans="2:13" x14ac:dyDescent="0.25">
      <c r="B429"/>
      <c r="C429"/>
      <c r="D429"/>
      <c r="E429"/>
      <c r="F429"/>
      <c r="G429"/>
      <c r="H429" s="19"/>
      <c r="I429" s="19"/>
      <c r="J429" s="19"/>
      <c r="M429" s="7"/>
    </row>
    <row r="430" spans="2:13" x14ac:dyDescent="0.25">
      <c r="B430"/>
      <c r="C430"/>
      <c r="D430"/>
      <c r="E430"/>
      <c r="F430"/>
      <c r="G430"/>
      <c r="H430" s="19"/>
      <c r="I430" s="19"/>
      <c r="J430" s="19"/>
      <c r="M430" s="7"/>
    </row>
    <row r="431" spans="2:13" x14ac:dyDescent="0.25">
      <c r="B431"/>
      <c r="C431"/>
      <c r="D431"/>
      <c r="E431"/>
      <c r="F431"/>
      <c r="G431"/>
      <c r="H431" s="19"/>
      <c r="I431" s="19"/>
      <c r="J431" s="19"/>
      <c r="M431" s="7"/>
    </row>
    <row r="432" spans="2:13" x14ac:dyDescent="0.25">
      <c r="B432"/>
      <c r="C432"/>
      <c r="D432"/>
      <c r="E432"/>
      <c r="F432"/>
      <c r="G432"/>
      <c r="H432" s="19"/>
      <c r="I432" s="19"/>
      <c r="J432" s="19"/>
      <c r="M432" s="7"/>
    </row>
    <row r="433" spans="2:13" x14ac:dyDescent="0.25">
      <c r="B433"/>
      <c r="C433"/>
      <c r="D433"/>
      <c r="E433"/>
      <c r="F433"/>
      <c r="G433"/>
      <c r="H433" s="19"/>
      <c r="I433" s="19"/>
      <c r="J433" s="19"/>
      <c r="M433" s="7"/>
    </row>
    <row r="434" spans="2:13" x14ac:dyDescent="0.25">
      <c r="B434"/>
      <c r="C434"/>
      <c r="D434"/>
      <c r="E434"/>
      <c r="F434"/>
      <c r="G434"/>
      <c r="H434" s="19"/>
      <c r="I434" s="19"/>
      <c r="J434" s="19"/>
      <c r="M434" s="7"/>
    </row>
    <row r="435" spans="2:13" x14ac:dyDescent="0.25">
      <c r="B435"/>
      <c r="C435"/>
      <c r="D435"/>
      <c r="E435"/>
      <c r="F435"/>
      <c r="G435"/>
      <c r="H435" s="19"/>
      <c r="I435" s="19"/>
      <c r="J435" s="19"/>
      <c r="M435" s="7"/>
    </row>
    <row r="436" spans="2:13" x14ac:dyDescent="0.25">
      <c r="B436"/>
      <c r="C436"/>
      <c r="D436"/>
      <c r="E436"/>
      <c r="F436"/>
      <c r="G436"/>
      <c r="H436" s="19"/>
      <c r="I436" s="19"/>
      <c r="J436" s="19"/>
      <c r="M436" s="7"/>
    </row>
    <row r="437" spans="2:13" x14ac:dyDescent="0.25">
      <c r="B437"/>
      <c r="C437"/>
      <c r="D437"/>
      <c r="E437"/>
      <c r="F437"/>
      <c r="G437"/>
      <c r="H437" s="19"/>
      <c r="I437" s="19"/>
      <c r="J437" s="19"/>
      <c r="M437" s="7"/>
    </row>
    <row r="438" spans="2:13" x14ac:dyDescent="0.25">
      <c r="B438"/>
      <c r="C438"/>
      <c r="D438"/>
      <c r="E438"/>
      <c r="F438"/>
      <c r="G438"/>
      <c r="H438" s="19"/>
      <c r="I438" s="19"/>
      <c r="J438" s="19"/>
      <c r="M438" s="7"/>
    </row>
    <row r="439" spans="2:13" x14ac:dyDescent="0.25">
      <c r="B439"/>
      <c r="C439"/>
      <c r="D439"/>
      <c r="E439"/>
      <c r="F439"/>
      <c r="G439"/>
      <c r="H439" s="19"/>
      <c r="I439" s="19"/>
      <c r="J439" s="19"/>
      <c r="M439" s="7"/>
    </row>
    <row r="440" spans="2:13" x14ac:dyDescent="0.25">
      <c r="B440"/>
      <c r="C440"/>
      <c r="D440"/>
      <c r="E440"/>
      <c r="F440"/>
      <c r="G440"/>
      <c r="H440" s="19"/>
      <c r="I440" s="19"/>
      <c r="J440" s="19"/>
      <c r="M440" s="7"/>
    </row>
    <row r="441" spans="2:13" x14ac:dyDescent="0.25">
      <c r="B441"/>
      <c r="C441"/>
      <c r="D441"/>
      <c r="E441"/>
      <c r="F441"/>
      <c r="G441"/>
      <c r="H441" s="19"/>
      <c r="I441" s="19"/>
      <c r="J441" s="19"/>
      <c r="M441" s="7"/>
    </row>
    <row r="442" spans="2:13" x14ac:dyDescent="0.25">
      <c r="B442"/>
      <c r="C442"/>
      <c r="D442"/>
      <c r="E442"/>
      <c r="F442"/>
      <c r="G442"/>
      <c r="H442" s="19"/>
      <c r="I442" s="19"/>
      <c r="J442" s="19"/>
      <c r="M442" s="7"/>
    </row>
    <row r="443" spans="2:13" x14ac:dyDescent="0.25">
      <c r="B443"/>
      <c r="C443"/>
      <c r="D443"/>
      <c r="E443"/>
      <c r="F443"/>
      <c r="G443"/>
      <c r="H443" s="19"/>
      <c r="I443" s="19"/>
      <c r="J443" s="19"/>
      <c r="M443" s="7"/>
    </row>
    <row r="444" spans="2:13" x14ac:dyDescent="0.25">
      <c r="B444"/>
      <c r="C444"/>
      <c r="D444"/>
      <c r="E444"/>
      <c r="F444"/>
      <c r="G444"/>
      <c r="H444" s="19"/>
      <c r="I444" s="19"/>
      <c r="J444" s="19"/>
      <c r="M444" s="7"/>
    </row>
    <row r="445" spans="2:13" x14ac:dyDescent="0.25">
      <c r="B445"/>
      <c r="C445"/>
      <c r="D445"/>
      <c r="E445"/>
      <c r="F445"/>
      <c r="G445"/>
      <c r="H445" s="19"/>
      <c r="I445" s="19"/>
      <c r="J445" s="19"/>
      <c r="M445" s="7"/>
    </row>
    <row r="446" spans="2:13" x14ac:dyDescent="0.25">
      <c r="B446"/>
      <c r="C446"/>
      <c r="D446"/>
      <c r="E446"/>
      <c r="F446"/>
      <c r="G446"/>
      <c r="H446" s="19"/>
      <c r="I446" s="19"/>
      <c r="J446" s="19"/>
      <c r="M446" s="7"/>
    </row>
    <row r="447" spans="2:13" x14ac:dyDescent="0.25">
      <c r="B447"/>
      <c r="C447"/>
      <c r="D447"/>
      <c r="E447"/>
      <c r="F447"/>
      <c r="G447"/>
      <c r="H447" s="19"/>
      <c r="I447" s="19"/>
      <c r="J447" s="19"/>
      <c r="M447" s="7"/>
    </row>
    <row r="448" spans="2:13" x14ac:dyDescent="0.25">
      <c r="B448"/>
      <c r="C448"/>
      <c r="D448"/>
      <c r="E448"/>
      <c r="F448"/>
      <c r="G448"/>
      <c r="H448" s="19"/>
      <c r="I448" s="19"/>
      <c r="J448" s="19"/>
      <c r="M448" s="7"/>
    </row>
    <row r="449" spans="2:13" x14ac:dyDescent="0.25">
      <c r="B449"/>
      <c r="C449"/>
      <c r="D449"/>
      <c r="E449"/>
      <c r="F449"/>
      <c r="G449"/>
      <c r="H449" s="19"/>
      <c r="I449" s="19"/>
      <c r="J449" s="19"/>
      <c r="M449" s="7"/>
    </row>
    <row r="450" spans="2:13" x14ac:dyDescent="0.25">
      <c r="B450"/>
      <c r="C450"/>
      <c r="D450"/>
      <c r="E450"/>
      <c r="F450"/>
      <c r="G450"/>
      <c r="H450" s="19"/>
      <c r="I450" s="19"/>
      <c r="J450" s="19"/>
      <c r="M450" s="7"/>
    </row>
    <row r="451" spans="2:13" x14ac:dyDescent="0.25">
      <c r="B451"/>
      <c r="C451"/>
      <c r="D451"/>
      <c r="E451"/>
      <c r="F451"/>
      <c r="G451"/>
      <c r="H451" s="19"/>
      <c r="I451" s="19"/>
      <c r="J451" s="19"/>
      <c r="M451" s="7"/>
    </row>
    <row r="452" spans="2:13" x14ac:dyDescent="0.25">
      <c r="B452"/>
      <c r="C452"/>
      <c r="D452"/>
      <c r="E452"/>
      <c r="F452"/>
      <c r="G452"/>
      <c r="H452" s="19"/>
      <c r="I452" s="19"/>
      <c r="J452" s="19"/>
      <c r="M452" s="7"/>
    </row>
    <row r="453" spans="2:13" x14ac:dyDescent="0.25">
      <c r="B453"/>
      <c r="C453"/>
      <c r="D453"/>
      <c r="E453"/>
      <c r="F453"/>
      <c r="G453"/>
      <c r="H453" s="19"/>
      <c r="I453" s="19"/>
      <c r="J453" s="19"/>
      <c r="M453" s="7"/>
    </row>
    <row r="454" spans="2:13" x14ac:dyDescent="0.25">
      <c r="B454"/>
      <c r="C454"/>
      <c r="D454"/>
      <c r="E454"/>
      <c r="F454"/>
      <c r="G454"/>
      <c r="H454" s="19"/>
      <c r="I454" s="19"/>
      <c r="J454" s="19"/>
      <c r="M454" s="7"/>
    </row>
    <row r="455" spans="2:13" x14ac:dyDescent="0.25">
      <c r="B455"/>
      <c r="C455"/>
      <c r="D455"/>
      <c r="E455"/>
      <c r="F455"/>
      <c r="G455"/>
      <c r="H455" s="19"/>
      <c r="I455" s="19"/>
      <c r="J455" s="19"/>
      <c r="M455" s="7"/>
    </row>
    <row r="456" spans="2:13" x14ac:dyDescent="0.25">
      <c r="B456"/>
      <c r="C456"/>
      <c r="D456"/>
      <c r="E456"/>
      <c r="F456"/>
      <c r="G456"/>
      <c r="H456" s="19"/>
      <c r="I456" s="19"/>
      <c r="J456" s="19"/>
      <c r="M456" s="7"/>
    </row>
    <row r="457" spans="2:13" x14ac:dyDescent="0.25">
      <c r="B457"/>
      <c r="C457"/>
      <c r="D457"/>
      <c r="E457"/>
      <c r="F457"/>
      <c r="G457"/>
      <c r="H457" s="19"/>
      <c r="I457" s="19"/>
      <c r="J457" s="19"/>
      <c r="M457" s="7"/>
    </row>
    <row r="458" spans="2:13" x14ac:dyDescent="0.25">
      <c r="B458"/>
      <c r="C458"/>
      <c r="D458"/>
      <c r="E458"/>
      <c r="F458"/>
      <c r="G458"/>
      <c r="H458" s="19"/>
      <c r="I458" s="19"/>
      <c r="J458" s="19"/>
      <c r="M458" s="7"/>
    </row>
    <row r="459" spans="2:13" x14ac:dyDescent="0.25">
      <c r="B459"/>
      <c r="C459"/>
      <c r="D459"/>
      <c r="E459"/>
      <c r="F459"/>
      <c r="G459"/>
      <c r="H459" s="19"/>
      <c r="I459" s="19"/>
      <c r="J459" s="19"/>
      <c r="M459" s="7"/>
    </row>
    <row r="460" spans="2:13" x14ac:dyDescent="0.25">
      <c r="B460"/>
      <c r="C460"/>
      <c r="D460"/>
      <c r="E460"/>
      <c r="F460"/>
      <c r="G460"/>
      <c r="H460" s="19"/>
      <c r="I460" s="19"/>
      <c r="J460" s="19"/>
      <c r="M460" s="7"/>
    </row>
    <row r="461" spans="2:13" x14ac:dyDescent="0.25">
      <c r="B461"/>
      <c r="C461"/>
      <c r="D461"/>
      <c r="E461"/>
      <c r="F461"/>
      <c r="G461"/>
      <c r="H461" s="19"/>
      <c r="I461" s="19"/>
      <c r="J461" s="19"/>
      <c r="M461" s="7"/>
    </row>
    <row r="462" spans="2:13" x14ac:dyDescent="0.25">
      <c r="B462"/>
      <c r="C462"/>
      <c r="D462"/>
      <c r="E462"/>
      <c r="F462"/>
      <c r="G462"/>
      <c r="H462" s="19"/>
      <c r="I462" s="19"/>
      <c r="J462" s="19"/>
      <c r="M462" s="7"/>
    </row>
    <row r="463" spans="2:13" x14ac:dyDescent="0.25">
      <c r="B463"/>
      <c r="C463"/>
      <c r="D463"/>
      <c r="E463"/>
      <c r="F463"/>
      <c r="G463"/>
      <c r="H463" s="19"/>
      <c r="I463" s="19"/>
      <c r="J463" s="19"/>
      <c r="M463" s="7"/>
    </row>
    <row r="464" spans="2:13" x14ac:dyDescent="0.25">
      <c r="B464"/>
      <c r="C464"/>
      <c r="D464"/>
      <c r="E464"/>
      <c r="F464"/>
      <c r="G464"/>
      <c r="H464" s="19"/>
      <c r="I464" s="19"/>
      <c r="J464" s="19"/>
      <c r="M464" s="7"/>
    </row>
    <row r="465" spans="2:13" x14ac:dyDescent="0.25">
      <c r="B465"/>
      <c r="C465"/>
      <c r="D465"/>
      <c r="E465"/>
      <c r="F465"/>
      <c r="G465"/>
      <c r="H465" s="19"/>
      <c r="I465" s="19"/>
      <c r="J465" s="19"/>
      <c r="M465" s="7"/>
    </row>
    <row r="466" spans="2:13" x14ac:dyDescent="0.25">
      <c r="B466"/>
      <c r="C466"/>
      <c r="D466"/>
      <c r="E466"/>
      <c r="F466"/>
      <c r="G466"/>
      <c r="H466" s="19"/>
      <c r="I466" s="19"/>
      <c r="J466" s="19"/>
      <c r="M466" s="7"/>
    </row>
    <row r="467" spans="2:13" x14ac:dyDescent="0.25">
      <c r="B467"/>
      <c r="C467"/>
      <c r="D467"/>
      <c r="E467"/>
      <c r="F467"/>
      <c r="G467"/>
      <c r="H467" s="19"/>
      <c r="I467" s="19"/>
      <c r="J467" s="19"/>
      <c r="M467" s="7"/>
    </row>
    <row r="468" spans="2:13" x14ac:dyDescent="0.25">
      <c r="B468"/>
      <c r="C468"/>
      <c r="D468"/>
      <c r="E468"/>
      <c r="F468"/>
      <c r="G468"/>
      <c r="H468" s="19"/>
      <c r="I468" s="19"/>
      <c r="J468" s="19"/>
      <c r="M468" s="7"/>
    </row>
    <row r="469" spans="2:13" x14ac:dyDescent="0.25">
      <c r="B469"/>
      <c r="C469"/>
      <c r="D469"/>
      <c r="E469"/>
      <c r="F469"/>
      <c r="G469"/>
      <c r="H469" s="19"/>
      <c r="I469" s="19"/>
      <c r="J469" s="19"/>
      <c r="M469" s="7"/>
    </row>
    <row r="470" spans="2:13" x14ac:dyDescent="0.25">
      <c r="B470"/>
      <c r="C470"/>
      <c r="D470"/>
      <c r="E470"/>
      <c r="F470"/>
      <c r="G470"/>
      <c r="H470" s="19"/>
      <c r="I470" s="19"/>
      <c r="J470" s="19"/>
      <c r="M470" s="7"/>
    </row>
    <row r="471" spans="2:13" x14ac:dyDescent="0.25">
      <c r="B471"/>
      <c r="C471"/>
      <c r="D471"/>
      <c r="E471"/>
      <c r="F471"/>
      <c r="G471"/>
      <c r="H471" s="19"/>
      <c r="I471" s="19"/>
      <c r="J471" s="19"/>
      <c r="M471" s="7"/>
    </row>
    <row r="472" spans="2:13" x14ac:dyDescent="0.25">
      <c r="B472"/>
      <c r="C472"/>
      <c r="D472"/>
      <c r="E472"/>
      <c r="F472"/>
      <c r="G472"/>
      <c r="H472" s="19"/>
      <c r="I472" s="19"/>
      <c r="J472" s="19"/>
      <c r="M472" s="7"/>
    </row>
    <row r="473" spans="2:13" x14ac:dyDescent="0.25">
      <c r="B473"/>
      <c r="C473"/>
      <c r="D473"/>
      <c r="E473"/>
      <c r="F473"/>
      <c r="G473"/>
      <c r="H473" s="19"/>
      <c r="I473" s="19"/>
      <c r="J473" s="19"/>
      <c r="M473" s="7"/>
    </row>
    <row r="474" spans="2:13" x14ac:dyDescent="0.25">
      <c r="B474"/>
      <c r="C474"/>
      <c r="D474"/>
      <c r="E474"/>
      <c r="F474"/>
      <c r="G474"/>
      <c r="H474" s="19"/>
      <c r="I474" s="19"/>
      <c r="J474" s="19"/>
      <c r="M474" s="7"/>
    </row>
    <row r="475" spans="2:13" x14ac:dyDescent="0.25">
      <c r="B475"/>
      <c r="C475"/>
      <c r="D475"/>
      <c r="E475"/>
      <c r="F475"/>
      <c r="G475"/>
      <c r="H475" s="19"/>
      <c r="I475" s="19"/>
      <c r="J475" s="19"/>
      <c r="M475" s="7"/>
    </row>
    <row r="476" spans="2:13" x14ac:dyDescent="0.25">
      <c r="B476"/>
      <c r="C476"/>
      <c r="D476"/>
      <c r="E476"/>
      <c r="F476"/>
      <c r="G476"/>
      <c r="H476" s="19"/>
      <c r="I476" s="19"/>
      <c r="J476" s="19"/>
      <c r="M476" s="7"/>
    </row>
    <row r="477" spans="2:13" x14ac:dyDescent="0.25">
      <c r="B477"/>
      <c r="C477"/>
      <c r="D477"/>
      <c r="E477"/>
      <c r="F477"/>
      <c r="G477"/>
      <c r="H477" s="19"/>
      <c r="I477" s="19"/>
      <c r="J477" s="19"/>
      <c r="M477" s="7"/>
    </row>
    <row r="478" spans="2:13" x14ac:dyDescent="0.25">
      <c r="B478"/>
      <c r="C478"/>
      <c r="D478"/>
      <c r="E478"/>
      <c r="F478"/>
      <c r="G478"/>
      <c r="H478" s="19"/>
      <c r="I478" s="19"/>
      <c r="J478" s="19"/>
      <c r="M478" s="7"/>
    </row>
    <row r="479" spans="2:13" x14ac:dyDescent="0.25">
      <c r="B479"/>
      <c r="C479"/>
      <c r="D479"/>
      <c r="E479"/>
      <c r="F479"/>
      <c r="G479"/>
      <c r="H479" s="19"/>
      <c r="I479" s="19"/>
      <c r="J479" s="19"/>
      <c r="M479" s="7"/>
    </row>
    <row r="480" spans="2:13" x14ac:dyDescent="0.25">
      <c r="B480"/>
      <c r="C480"/>
      <c r="D480"/>
      <c r="E480"/>
      <c r="F480"/>
      <c r="G480"/>
      <c r="H480" s="19"/>
      <c r="I480" s="19"/>
      <c r="J480" s="19"/>
      <c r="M480" s="7"/>
    </row>
    <row r="481" spans="2:13" x14ac:dyDescent="0.25">
      <c r="B481"/>
      <c r="C481"/>
      <c r="D481"/>
      <c r="E481"/>
      <c r="F481"/>
      <c r="G481"/>
      <c r="H481" s="19"/>
      <c r="I481" s="19"/>
      <c r="J481" s="19"/>
      <c r="M481" s="7"/>
    </row>
    <row r="482" spans="2:13" x14ac:dyDescent="0.25">
      <c r="B482"/>
      <c r="C482"/>
      <c r="D482"/>
      <c r="E482"/>
      <c r="F482"/>
      <c r="G482"/>
      <c r="H482" s="19"/>
      <c r="I482" s="19"/>
      <c r="J482" s="19"/>
      <c r="M482" s="7"/>
    </row>
    <row r="483" spans="2:13" x14ac:dyDescent="0.25">
      <c r="B483"/>
      <c r="C483"/>
      <c r="D483"/>
      <c r="E483"/>
      <c r="F483"/>
      <c r="G483"/>
      <c r="H483" s="19"/>
      <c r="I483" s="19"/>
      <c r="J483" s="19"/>
      <c r="M483" s="7"/>
    </row>
    <row r="484" spans="2:13" x14ac:dyDescent="0.25">
      <c r="B484"/>
      <c r="C484"/>
      <c r="D484"/>
      <c r="E484"/>
      <c r="F484"/>
      <c r="G484"/>
      <c r="H484" s="19"/>
      <c r="I484" s="19"/>
      <c r="J484" s="19"/>
      <c r="M484" s="7"/>
    </row>
    <row r="485" spans="2:13" x14ac:dyDescent="0.25">
      <c r="B485"/>
      <c r="C485"/>
      <c r="D485"/>
      <c r="E485"/>
      <c r="F485"/>
      <c r="G485"/>
      <c r="H485" s="19"/>
      <c r="I485" s="19"/>
      <c r="J485" s="19"/>
      <c r="M485" s="7"/>
    </row>
    <row r="486" spans="2:13" x14ac:dyDescent="0.25">
      <c r="B486"/>
      <c r="C486"/>
      <c r="D486"/>
      <c r="E486"/>
      <c r="F486"/>
      <c r="G486"/>
      <c r="H486" s="19"/>
      <c r="I486" s="19"/>
      <c r="J486" s="19"/>
      <c r="M486" s="7"/>
    </row>
    <row r="487" spans="2:13" x14ac:dyDescent="0.25">
      <c r="B487"/>
      <c r="C487"/>
      <c r="D487"/>
      <c r="E487"/>
      <c r="F487"/>
      <c r="G487"/>
      <c r="H487" s="19"/>
      <c r="I487" s="19"/>
      <c r="J487" s="19"/>
      <c r="M487" s="7"/>
    </row>
    <row r="488" spans="2:13" x14ac:dyDescent="0.25">
      <c r="B488"/>
      <c r="C488"/>
      <c r="D488"/>
      <c r="E488"/>
      <c r="F488"/>
      <c r="G488"/>
      <c r="H488" s="19"/>
      <c r="I488" s="19"/>
      <c r="J488" s="19"/>
      <c r="M488" s="7"/>
    </row>
    <row r="489" spans="2:13" x14ac:dyDescent="0.25">
      <c r="B489"/>
      <c r="C489"/>
      <c r="D489"/>
      <c r="E489"/>
      <c r="F489"/>
      <c r="G489"/>
      <c r="H489" s="19"/>
      <c r="I489" s="19"/>
      <c r="J489" s="19"/>
      <c r="M489" s="7"/>
    </row>
    <row r="490" spans="2:13" x14ac:dyDescent="0.25">
      <c r="B490"/>
      <c r="C490"/>
      <c r="D490"/>
      <c r="E490"/>
      <c r="F490"/>
      <c r="G490"/>
      <c r="H490" s="19"/>
      <c r="I490" s="19"/>
      <c r="J490" s="19"/>
      <c r="M490" s="7"/>
    </row>
    <row r="491" spans="2:13" x14ac:dyDescent="0.25">
      <c r="B491"/>
      <c r="C491"/>
      <c r="D491"/>
      <c r="E491"/>
      <c r="F491"/>
      <c r="G491"/>
      <c r="H491" s="19"/>
      <c r="I491" s="19"/>
      <c r="J491" s="19"/>
      <c r="M491" s="7"/>
    </row>
    <row r="492" spans="2:13" x14ac:dyDescent="0.25">
      <c r="B492"/>
      <c r="C492"/>
      <c r="D492"/>
      <c r="E492"/>
      <c r="F492"/>
      <c r="G492"/>
      <c r="H492" s="19"/>
      <c r="I492" s="19"/>
      <c r="J492" s="19"/>
      <c r="M492" s="7"/>
    </row>
    <row r="493" spans="2:13" x14ac:dyDescent="0.25">
      <c r="B493"/>
      <c r="C493"/>
      <c r="D493"/>
      <c r="E493"/>
      <c r="F493"/>
      <c r="G493"/>
      <c r="H493" s="19"/>
      <c r="I493" s="19"/>
      <c r="J493" s="19"/>
      <c r="M493" s="7"/>
    </row>
    <row r="494" spans="2:13" x14ac:dyDescent="0.25">
      <c r="B494"/>
      <c r="C494"/>
      <c r="D494"/>
      <c r="E494"/>
      <c r="F494"/>
      <c r="G494"/>
      <c r="H494" s="19"/>
      <c r="I494" s="19"/>
      <c r="J494" s="19"/>
      <c r="M494" s="7"/>
    </row>
    <row r="495" spans="2:13" x14ac:dyDescent="0.25">
      <c r="B495"/>
      <c r="C495"/>
      <c r="D495"/>
      <c r="E495"/>
      <c r="F495"/>
      <c r="G495"/>
      <c r="H495" s="19"/>
      <c r="I495" s="19"/>
      <c r="J495" s="19"/>
      <c r="M495" s="7"/>
    </row>
    <row r="496" spans="2:13" x14ac:dyDescent="0.25">
      <c r="B496"/>
      <c r="C496"/>
      <c r="D496"/>
      <c r="E496"/>
      <c r="F496"/>
      <c r="G496"/>
      <c r="H496" s="19"/>
      <c r="I496" s="19"/>
      <c r="J496" s="19"/>
      <c r="M496" s="7"/>
    </row>
    <row r="497" spans="2:13" x14ac:dyDescent="0.25">
      <c r="B497"/>
      <c r="C497"/>
      <c r="D497"/>
      <c r="E497"/>
      <c r="F497"/>
      <c r="G497"/>
      <c r="H497" s="19"/>
      <c r="I497" s="19"/>
      <c r="J497" s="19"/>
      <c r="M497" s="7"/>
    </row>
    <row r="498" spans="2:13" x14ac:dyDescent="0.25">
      <c r="B498"/>
      <c r="C498"/>
      <c r="D498"/>
      <c r="E498"/>
      <c r="F498"/>
      <c r="G498"/>
      <c r="H498" s="19"/>
      <c r="I498" s="19"/>
      <c r="J498" s="19"/>
      <c r="M498" s="7"/>
    </row>
    <row r="499" spans="2:13" x14ac:dyDescent="0.25">
      <c r="B499"/>
      <c r="C499"/>
      <c r="D499"/>
      <c r="E499"/>
      <c r="F499"/>
      <c r="G499"/>
      <c r="H499" s="19"/>
      <c r="I499" s="19"/>
      <c r="J499" s="19"/>
      <c r="M499" s="7"/>
    </row>
    <row r="500" spans="2:13" x14ac:dyDescent="0.25">
      <c r="B500"/>
      <c r="C500"/>
      <c r="D500"/>
      <c r="E500"/>
      <c r="F500"/>
      <c r="G500"/>
      <c r="H500" s="19"/>
      <c r="I500" s="19"/>
      <c r="J500" s="19"/>
      <c r="M500" s="7"/>
    </row>
    <row r="501" spans="2:13" x14ac:dyDescent="0.25">
      <c r="B501"/>
      <c r="C501"/>
      <c r="D501"/>
      <c r="E501"/>
      <c r="F501"/>
      <c r="G501"/>
      <c r="H501" s="19"/>
      <c r="I501" s="19"/>
      <c r="J501" s="19"/>
      <c r="M501" s="7"/>
    </row>
    <row r="502" spans="2:13" x14ac:dyDescent="0.25">
      <c r="B502"/>
      <c r="C502"/>
      <c r="D502"/>
      <c r="E502"/>
      <c r="F502"/>
      <c r="G502"/>
      <c r="H502" s="19"/>
      <c r="I502" s="19"/>
      <c r="J502" s="19"/>
      <c r="M502" s="7"/>
    </row>
    <row r="503" spans="2:13" x14ac:dyDescent="0.25">
      <c r="B503"/>
      <c r="C503"/>
      <c r="D503"/>
      <c r="E503"/>
      <c r="F503"/>
      <c r="G503"/>
      <c r="H503" s="19"/>
      <c r="I503" s="19"/>
      <c r="J503" s="19"/>
      <c r="M503" s="7"/>
    </row>
    <row r="504" spans="2:13" x14ac:dyDescent="0.25">
      <c r="B504"/>
      <c r="C504"/>
      <c r="D504"/>
      <c r="E504"/>
      <c r="F504"/>
      <c r="G504"/>
      <c r="H504" s="19"/>
      <c r="I504" s="19"/>
      <c r="J504" s="19"/>
      <c r="M504" s="7"/>
    </row>
    <row r="505" spans="2:13" x14ac:dyDescent="0.25">
      <c r="B505"/>
      <c r="C505"/>
      <c r="D505"/>
      <c r="E505"/>
      <c r="F505"/>
      <c r="G505"/>
      <c r="H505" s="19"/>
      <c r="I505" s="19"/>
      <c r="J505" s="19"/>
      <c r="M505" s="7"/>
    </row>
    <row r="506" spans="2:13" x14ac:dyDescent="0.25">
      <c r="B506"/>
      <c r="C506"/>
      <c r="D506"/>
      <c r="E506"/>
      <c r="F506"/>
      <c r="G506"/>
      <c r="H506" s="19"/>
      <c r="I506" s="19"/>
      <c r="J506" s="19"/>
      <c r="M506" s="7"/>
    </row>
    <row r="507" spans="2:13" x14ac:dyDescent="0.25">
      <c r="B507"/>
      <c r="C507"/>
      <c r="D507"/>
      <c r="E507"/>
      <c r="F507"/>
      <c r="G507"/>
      <c r="H507" s="19"/>
      <c r="I507" s="19"/>
      <c r="J507" s="19"/>
      <c r="M507" s="7"/>
    </row>
    <row r="508" spans="2:13" x14ac:dyDescent="0.25">
      <c r="B508"/>
      <c r="C508"/>
      <c r="D508"/>
      <c r="E508"/>
      <c r="F508"/>
      <c r="G508"/>
      <c r="H508" s="19"/>
      <c r="I508" s="19"/>
      <c r="J508" s="19"/>
      <c r="M508" s="7"/>
    </row>
    <row r="509" spans="2:13" x14ac:dyDescent="0.25">
      <c r="B509"/>
      <c r="C509"/>
      <c r="D509"/>
      <c r="E509"/>
      <c r="F509"/>
      <c r="G509"/>
      <c r="H509" s="19"/>
      <c r="I509" s="19"/>
      <c r="J509" s="19"/>
      <c r="M509" s="7"/>
    </row>
    <row r="510" spans="2:13" x14ac:dyDescent="0.25">
      <c r="B510"/>
      <c r="C510"/>
      <c r="D510"/>
      <c r="E510"/>
      <c r="F510"/>
      <c r="G510"/>
      <c r="H510" s="19"/>
      <c r="I510" s="19"/>
      <c r="J510" s="19"/>
      <c r="M510" s="7"/>
    </row>
    <row r="511" spans="2:13" x14ac:dyDescent="0.25">
      <c r="B511"/>
      <c r="C511"/>
      <c r="D511"/>
      <c r="E511"/>
      <c r="F511"/>
      <c r="G511"/>
      <c r="H511" s="19"/>
      <c r="I511" s="19"/>
      <c r="J511" s="19"/>
      <c r="M511" s="7"/>
    </row>
    <row r="512" spans="2:13" x14ac:dyDescent="0.25">
      <c r="B512"/>
      <c r="C512"/>
      <c r="D512"/>
      <c r="E512"/>
      <c r="F512"/>
      <c r="G512"/>
      <c r="H512" s="19"/>
      <c r="I512" s="19"/>
      <c r="J512" s="19"/>
      <c r="M512" s="7"/>
    </row>
    <row r="513" spans="2:13" x14ac:dyDescent="0.25">
      <c r="B513"/>
      <c r="C513"/>
      <c r="D513"/>
      <c r="E513"/>
      <c r="F513"/>
      <c r="G513"/>
      <c r="H513" s="19"/>
      <c r="I513" s="19"/>
      <c r="J513" s="19"/>
      <c r="M513" s="7"/>
    </row>
    <row r="514" spans="2:13" x14ac:dyDescent="0.25">
      <c r="B514"/>
      <c r="C514"/>
      <c r="D514"/>
      <c r="E514"/>
      <c r="F514"/>
      <c r="G514"/>
      <c r="H514" s="19"/>
      <c r="I514" s="19"/>
      <c r="J514" s="19"/>
      <c r="M514" s="7"/>
    </row>
    <row r="515" spans="2:13" x14ac:dyDescent="0.25">
      <c r="B515"/>
      <c r="C515"/>
      <c r="D515"/>
      <c r="E515"/>
      <c r="F515"/>
      <c r="G515"/>
      <c r="H515" s="19"/>
      <c r="I515" s="19"/>
      <c r="J515" s="19"/>
      <c r="M515" s="7"/>
    </row>
    <row r="516" spans="2:13" x14ac:dyDescent="0.25">
      <c r="B516"/>
      <c r="C516"/>
      <c r="D516"/>
      <c r="E516"/>
      <c r="F516"/>
      <c r="G516"/>
      <c r="H516" s="19"/>
      <c r="I516" s="19"/>
      <c r="J516" s="19"/>
      <c r="M516" s="7"/>
    </row>
    <row r="517" spans="2:13" x14ac:dyDescent="0.25">
      <c r="B517"/>
      <c r="C517"/>
      <c r="D517"/>
      <c r="E517"/>
      <c r="F517"/>
      <c r="G517"/>
      <c r="H517" s="19"/>
      <c r="I517" s="19"/>
      <c r="J517" s="19"/>
      <c r="M517" s="7"/>
    </row>
    <row r="518" spans="2:13" x14ac:dyDescent="0.25">
      <c r="B518"/>
      <c r="C518"/>
      <c r="D518"/>
      <c r="E518"/>
      <c r="F518"/>
      <c r="G518"/>
      <c r="H518" s="19"/>
      <c r="I518" s="19"/>
      <c r="J518" s="19"/>
      <c r="M518" s="7"/>
    </row>
    <row r="519" spans="2:13" x14ac:dyDescent="0.25">
      <c r="B519"/>
      <c r="C519"/>
      <c r="D519"/>
      <c r="E519"/>
      <c r="F519"/>
      <c r="G519"/>
      <c r="H519" s="19"/>
      <c r="I519" s="19"/>
      <c r="J519" s="19"/>
      <c r="M519" s="7"/>
    </row>
    <row r="520" spans="2:13" x14ac:dyDescent="0.25">
      <c r="B520"/>
      <c r="C520"/>
      <c r="D520"/>
      <c r="E520"/>
      <c r="F520"/>
      <c r="G520"/>
      <c r="H520" s="19"/>
      <c r="I520" s="19"/>
      <c r="J520" s="19"/>
      <c r="M520" s="7"/>
    </row>
    <row r="521" spans="2:13" x14ac:dyDescent="0.25">
      <c r="B521"/>
      <c r="C521"/>
      <c r="D521"/>
      <c r="E521"/>
      <c r="F521"/>
      <c r="G521"/>
      <c r="H521" s="19"/>
      <c r="I521" s="19"/>
      <c r="J521" s="19"/>
      <c r="M521" s="7"/>
    </row>
    <row r="522" spans="2:13" x14ac:dyDescent="0.25">
      <c r="B522"/>
      <c r="C522"/>
      <c r="D522"/>
      <c r="E522"/>
      <c r="F522"/>
      <c r="G522"/>
      <c r="H522" s="19"/>
      <c r="I522" s="19"/>
      <c r="J522" s="19"/>
      <c r="M522" s="7"/>
    </row>
    <row r="523" spans="2:13" x14ac:dyDescent="0.25">
      <c r="B523"/>
      <c r="C523"/>
      <c r="D523"/>
      <c r="E523"/>
      <c r="F523"/>
      <c r="G523"/>
      <c r="H523" s="19"/>
      <c r="I523" s="19"/>
      <c r="J523" s="19"/>
      <c r="M523" s="7"/>
    </row>
    <row r="524" spans="2:13" x14ac:dyDescent="0.25">
      <c r="B524"/>
      <c r="C524"/>
      <c r="D524"/>
      <c r="E524"/>
      <c r="F524"/>
      <c r="G524"/>
      <c r="H524" s="19"/>
      <c r="I524" s="19"/>
      <c r="J524" s="19"/>
      <c r="M524" s="7"/>
    </row>
    <row r="525" spans="2:13" x14ac:dyDescent="0.25">
      <c r="B525"/>
      <c r="C525"/>
      <c r="D525"/>
      <c r="E525"/>
      <c r="F525"/>
      <c r="G525"/>
      <c r="H525" s="19"/>
      <c r="I525" s="19"/>
      <c r="J525" s="19"/>
      <c r="M525" s="7"/>
    </row>
    <row r="526" spans="2:13" x14ac:dyDescent="0.25">
      <c r="B526"/>
      <c r="C526"/>
      <c r="D526"/>
      <c r="E526"/>
      <c r="F526"/>
      <c r="G526"/>
      <c r="H526" s="19"/>
      <c r="I526" s="19"/>
      <c r="J526" s="19"/>
      <c r="M526" s="7"/>
    </row>
    <row r="527" spans="2:13" x14ac:dyDescent="0.25">
      <c r="B527"/>
      <c r="C527"/>
      <c r="D527"/>
      <c r="E527"/>
      <c r="F527"/>
      <c r="G527"/>
      <c r="H527" s="19"/>
      <c r="I527" s="19"/>
      <c r="J527" s="19"/>
      <c r="M527" s="7"/>
    </row>
    <row r="528" spans="2:13" x14ac:dyDescent="0.25">
      <c r="B528"/>
      <c r="C528"/>
      <c r="D528"/>
      <c r="E528"/>
      <c r="F528"/>
      <c r="G528"/>
      <c r="H528" s="19"/>
      <c r="I528" s="19"/>
      <c r="J528" s="19"/>
      <c r="M528" s="7"/>
    </row>
    <row r="529" spans="2:13" x14ac:dyDescent="0.25">
      <c r="B529"/>
      <c r="C529"/>
      <c r="D529"/>
      <c r="E529"/>
      <c r="F529"/>
      <c r="G529"/>
      <c r="H529" s="19"/>
      <c r="I529" s="19"/>
      <c r="J529" s="19"/>
      <c r="M529" s="7"/>
    </row>
    <row r="530" spans="2:13" x14ac:dyDescent="0.25">
      <c r="B530"/>
      <c r="C530"/>
      <c r="D530"/>
      <c r="E530"/>
      <c r="F530"/>
      <c r="G530"/>
      <c r="H530" s="19"/>
      <c r="I530" s="19"/>
      <c r="J530" s="19"/>
      <c r="M530" s="7"/>
    </row>
    <row r="531" spans="2:13" x14ac:dyDescent="0.25">
      <c r="B531"/>
      <c r="C531"/>
      <c r="D531"/>
      <c r="E531"/>
      <c r="F531"/>
      <c r="G531"/>
      <c r="H531" s="19"/>
      <c r="I531" s="19"/>
      <c r="J531" s="19"/>
      <c r="M531" s="7"/>
    </row>
    <row r="532" spans="2:13" x14ac:dyDescent="0.25">
      <c r="B532"/>
      <c r="C532"/>
      <c r="D532"/>
      <c r="E532"/>
      <c r="F532"/>
      <c r="G532"/>
      <c r="H532" s="19"/>
      <c r="I532" s="19"/>
      <c r="J532" s="19"/>
      <c r="M532" s="7"/>
    </row>
    <row r="533" spans="2:13" x14ac:dyDescent="0.25">
      <c r="B533"/>
      <c r="C533"/>
      <c r="D533"/>
      <c r="E533"/>
      <c r="F533"/>
      <c r="G533"/>
      <c r="H533" s="19"/>
      <c r="I533" s="19"/>
      <c r="J533" s="19"/>
      <c r="M533" s="7"/>
    </row>
    <row r="534" spans="2:13" x14ac:dyDescent="0.25">
      <c r="B534"/>
      <c r="C534"/>
      <c r="D534"/>
      <c r="E534"/>
      <c r="F534"/>
      <c r="G534"/>
      <c r="H534" s="19"/>
      <c r="I534" s="19"/>
      <c r="J534" s="19"/>
      <c r="M534" s="7"/>
    </row>
    <row r="535" spans="2:13" x14ac:dyDescent="0.25">
      <c r="B535"/>
      <c r="C535"/>
      <c r="D535"/>
      <c r="E535"/>
      <c r="F535"/>
      <c r="G535"/>
      <c r="H535" s="19"/>
      <c r="I535" s="19"/>
      <c r="J535" s="19"/>
      <c r="M535" s="7"/>
    </row>
    <row r="536" spans="2:13" x14ac:dyDescent="0.25">
      <c r="B536"/>
      <c r="C536"/>
      <c r="D536"/>
      <c r="E536"/>
      <c r="F536"/>
      <c r="G536"/>
      <c r="H536" s="19"/>
      <c r="I536" s="19"/>
      <c r="J536" s="19"/>
      <c r="M536" s="7"/>
    </row>
    <row r="537" spans="2:13" x14ac:dyDescent="0.25">
      <c r="B537"/>
      <c r="C537"/>
      <c r="D537"/>
      <c r="E537"/>
      <c r="F537"/>
      <c r="G537"/>
      <c r="H537" s="19"/>
      <c r="I537" s="19"/>
      <c r="J537" s="19"/>
      <c r="M537" s="7"/>
    </row>
    <row r="538" spans="2:13" x14ac:dyDescent="0.25">
      <c r="B538"/>
      <c r="C538"/>
      <c r="D538"/>
      <c r="E538"/>
      <c r="F538"/>
      <c r="G538"/>
      <c r="H538" s="19"/>
      <c r="I538" s="19"/>
      <c r="J538" s="19"/>
      <c r="M538" s="7"/>
    </row>
    <row r="539" spans="2:13" x14ac:dyDescent="0.25">
      <c r="B539"/>
      <c r="C539"/>
      <c r="D539"/>
      <c r="E539"/>
      <c r="F539"/>
      <c r="G539"/>
      <c r="H539" s="19"/>
      <c r="I539" s="19"/>
      <c r="J539" s="19"/>
      <c r="M539" s="7"/>
    </row>
    <row r="540" spans="2:13" x14ac:dyDescent="0.25">
      <c r="B540"/>
      <c r="C540"/>
      <c r="D540"/>
      <c r="E540"/>
      <c r="F540"/>
      <c r="G540"/>
      <c r="H540" s="19"/>
      <c r="I540" s="19"/>
      <c r="J540" s="19"/>
      <c r="M540" s="7"/>
    </row>
    <row r="541" spans="2:13" x14ac:dyDescent="0.25">
      <c r="B541"/>
      <c r="C541"/>
      <c r="D541"/>
      <c r="E541"/>
      <c r="F541"/>
      <c r="G541"/>
      <c r="H541" s="19"/>
      <c r="I541" s="19"/>
      <c r="J541" s="19"/>
      <c r="M541" s="7"/>
    </row>
    <row r="542" spans="2:13" x14ac:dyDescent="0.25">
      <c r="B542"/>
      <c r="C542"/>
      <c r="D542"/>
      <c r="E542"/>
      <c r="F542"/>
      <c r="G542"/>
      <c r="H542" s="19"/>
      <c r="I542" s="19"/>
      <c r="J542" s="19"/>
      <c r="M542" s="7"/>
    </row>
    <row r="543" spans="2:13" x14ac:dyDescent="0.25">
      <c r="B543"/>
      <c r="C543"/>
      <c r="D543"/>
      <c r="E543"/>
      <c r="F543"/>
      <c r="G543"/>
      <c r="H543" s="19"/>
      <c r="I543" s="19"/>
      <c r="J543" s="19"/>
      <c r="M543" s="7"/>
    </row>
    <row r="544" spans="2:13" x14ac:dyDescent="0.25">
      <c r="B544"/>
      <c r="C544"/>
      <c r="D544"/>
      <c r="E544"/>
      <c r="F544"/>
      <c r="G544"/>
      <c r="H544" s="19"/>
      <c r="I544" s="19"/>
      <c r="J544" s="19"/>
      <c r="M544" s="7"/>
    </row>
    <row r="545" spans="2:13" x14ac:dyDescent="0.25">
      <c r="B545"/>
      <c r="C545"/>
      <c r="D545"/>
      <c r="E545"/>
      <c r="F545"/>
      <c r="G545"/>
      <c r="H545" s="19"/>
      <c r="I545" s="19"/>
      <c r="J545" s="19"/>
      <c r="M545" s="7"/>
    </row>
    <row r="546" spans="2:13" x14ac:dyDescent="0.25">
      <c r="B546"/>
      <c r="C546"/>
      <c r="D546"/>
      <c r="E546"/>
      <c r="F546"/>
      <c r="G546"/>
      <c r="H546" s="19"/>
      <c r="I546" s="19"/>
      <c r="J546" s="19"/>
      <c r="M546" s="7"/>
    </row>
    <row r="547" spans="2:13" x14ac:dyDescent="0.25">
      <c r="B547"/>
      <c r="C547"/>
      <c r="D547"/>
      <c r="E547"/>
      <c r="F547"/>
      <c r="G547"/>
      <c r="H547" s="19"/>
      <c r="I547" s="19"/>
      <c r="J547" s="19"/>
      <c r="M547" s="7"/>
    </row>
    <row r="548" spans="2:13" x14ac:dyDescent="0.25">
      <c r="B548"/>
      <c r="C548"/>
      <c r="D548"/>
      <c r="E548"/>
      <c r="F548"/>
      <c r="G548"/>
      <c r="H548" s="19"/>
      <c r="I548" s="19"/>
      <c r="J548" s="19"/>
      <c r="M548" s="7"/>
    </row>
    <row r="549" spans="2:13" x14ac:dyDescent="0.25">
      <c r="B549"/>
      <c r="C549"/>
      <c r="D549"/>
      <c r="E549"/>
      <c r="F549"/>
      <c r="G549"/>
      <c r="H549" s="19"/>
      <c r="I549" s="19"/>
      <c r="J549" s="19"/>
      <c r="M549" s="7"/>
    </row>
    <row r="550" spans="2:13" x14ac:dyDescent="0.25">
      <c r="B550"/>
      <c r="C550"/>
      <c r="D550"/>
      <c r="E550"/>
      <c r="F550"/>
      <c r="G550"/>
      <c r="H550" s="19"/>
      <c r="I550" s="19"/>
      <c r="J550" s="19"/>
      <c r="M550" s="7"/>
    </row>
    <row r="551" spans="2:13" x14ac:dyDescent="0.25">
      <c r="B551"/>
      <c r="C551"/>
      <c r="D551"/>
      <c r="E551"/>
      <c r="F551"/>
      <c r="G551"/>
      <c r="H551" s="19"/>
      <c r="I551" s="19"/>
      <c r="J551" s="19"/>
      <c r="M551" s="7"/>
    </row>
    <row r="552" spans="2:13" x14ac:dyDescent="0.25">
      <c r="B552"/>
      <c r="C552"/>
      <c r="D552"/>
      <c r="E552"/>
      <c r="F552"/>
      <c r="G552"/>
      <c r="H552" s="19"/>
      <c r="I552" s="19"/>
      <c r="J552" s="19"/>
      <c r="M552" s="7"/>
    </row>
    <row r="553" spans="2:13" x14ac:dyDescent="0.25">
      <c r="B553"/>
      <c r="C553"/>
      <c r="D553"/>
      <c r="E553"/>
      <c r="F553"/>
      <c r="G553"/>
      <c r="H553" s="19"/>
      <c r="I553" s="19"/>
      <c r="J553" s="19"/>
      <c r="M553" s="7"/>
    </row>
    <row r="554" spans="2:13" x14ac:dyDescent="0.25">
      <c r="B554"/>
      <c r="C554"/>
      <c r="D554"/>
      <c r="E554"/>
      <c r="F554"/>
      <c r="G554"/>
      <c r="H554" s="19"/>
      <c r="I554" s="19"/>
      <c r="J554" s="19"/>
      <c r="M554" s="7"/>
    </row>
    <row r="555" spans="2:13" x14ac:dyDescent="0.25">
      <c r="B555"/>
      <c r="C555"/>
      <c r="D555"/>
      <c r="E555"/>
      <c r="F555"/>
      <c r="G555"/>
      <c r="H555" s="19"/>
      <c r="I555" s="19"/>
      <c r="J555" s="19"/>
      <c r="M555" s="7"/>
    </row>
    <row r="556" spans="2:13" x14ac:dyDescent="0.25">
      <c r="B556"/>
      <c r="C556"/>
      <c r="D556"/>
      <c r="E556"/>
      <c r="F556"/>
      <c r="G556"/>
      <c r="H556" s="19"/>
      <c r="I556" s="19"/>
      <c r="J556" s="19"/>
      <c r="M556" s="7"/>
    </row>
    <row r="557" spans="2:13" x14ac:dyDescent="0.25">
      <c r="B557"/>
      <c r="C557"/>
      <c r="D557"/>
      <c r="E557"/>
      <c r="F557"/>
      <c r="G557"/>
      <c r="H557" s="19"/>
      <c r="I557" s="19"/>
      <c r="J557" s="19"/>
      <c r="M557" s="7"/>
    </row>
    <row r="558" spans="2:13" x14ac:dyDescent="0.25">
      <c r="B558"/>
      <c r="C558"/>
      <c r="D558"/>
      <c r="E558"/>
      <c r="F558"/>
      <c r="G558"/>
      <c r="H558" s="19"/>
      <c r="I558" s="19"/>
      <c r="J558" s="19"/>
      <c r="M558" s="7"/>
    </row>
    <row r="559" spans="2:13" x14ac:dyDescent="0.25">
      <c r="B559"/>
      <c r="C559"/>
      <c r="D559"/>
      <c r="E559"/>
      <c r="F559"/>
      <c r="G559"/>
      <c r="H559" s="19"/>
      <c r="I559" s="19"/>
      <c r="J559" s="19"/>
      <c r="M559" s="7"/>
    </row>
    <row r="560" spans="2:13" x14ac:dyDescent="0.25">
      <c r="B560"/>
      <c r="C560"/>
      <c r="D560"/>
      <c r="E560"/>
      <c r="F560"/>
      <c r="G560"/>
      <c r="H560" s="19"/>
      <c r="I560" s="19"/>
      <c r="J560" s="19"/>
      <c r="M560" s="7"/>
    </row>
    <row r="561" spans="2:13" x14ac:dyDescent="0.25">
      <c r="B561"/>
      <c r="C561"/>
      <c r="D561"/>
      <c r="E561"/>
      <c r="F561"/>
      <c r="G561"/>
      <c r="H561" s="19"/>
      <c r="I561" s="19"/>
      <c r="J561" s="19"/>
      <c r="M561" s="7"/>
    </row>
    <row r="562" spans="2:13" x14ac:dyDescent="0.25">
      <c r="B562"/>
      <c r="C562"/>
      <c r="D562"/>
      <c r="E562"/>
      <c r="F562"/>
      <c r="G562"/>
      <c r="H562" s="19"/>
      <c r="I562" s="19"/>
      <c r="J562" s="19"/>
      <c r="M562" s="7"/>
    </row>
    <row r="563" spans="2:13" x14ac:dyDescent="0.25">
      <c r="B563"/>
      <c r="C563"/>
      <c r="D563"/>
      <c r="E563"/>
      <c r="F563"/>
      <c r="G563"/>
      <c r="H563" s="19"/>
      <c r="I563" s="19"/>
      <c r="J563" s="19"/>
      <c r="M563" s="7"/>
    </row>
    <row r="564" spans="2:13" x14ac:dyDescent="0.25">
      <c r="B564"/>
      <c r="C564"/>
      <c r="D564"/>
      <c r="E564"/>
      <c r="F564"/>
      <c r="G564"/>
      <c r="H564" s="19"/>
      <c r="I564" s="19"/>
      <c r="J564" s="19"/>
      <c r="M564" s="7"/>
    </row>
    <row r="565" spans="2:13" x14ac:dyDescent="0.25">
      <c r="B565"/>
      <c r="C565"/>
      <c r="D565"/>
      <c r="E565"/>
      <c r="F565"/>
      <c r="G565"/>
      <c r="H565" s="19"/>
      <c r="I565" s="19"/>
      <c r="J565" s="19"/>
      <c r="M565" s="7"/>
    </row>
    <row r="566" spans="2:13" x14ac:dyDescent="0.25">
      <c r="B566"/>
      <c r="C566"/>
      <c r="D566"/>
      <c r="E566"/>
      <c r="F566"/>
      <c r="G566"/>
      <c r="H566" s="19"/>
      <c r="I566" s="19"/>
      <c r="J566" s="19"/>
      <c r="M566" s="7"/>
    </row>
    <row r="567" spans="2:13" x14ac:dyDescent="0.25">
      <c r="B567"/>
      <c r="C567"/>
      <c r="D567"/>
      <c r="E567"/>
      <c r="F567"/>
      <c r="G567"/>
      <c r="H567" s="19"/>
      <c r="I567" s="19"/>
      <c r="J567" s="19"/>
      <c r="M567" s="7"/>
    </row>
    <row r="568" spans="2:13" x14ac:dyDescent="0.25">
      <c r="B568"/>
      <c r="C568"/>
      <c r="D568"/>
      <c r="E568"/>
      <c r="F568"/>
      <c r="G568"/>
      <c r="H568" s="19"/>
      <c r="I568" s="19"/>
      <c r="J568" s="19"/>
      <c r="M568" s="7"/>
    </row>
    <row r="569" spans="2:13" x14ac:dyDescent="0.25">
      <c r="B569"/>
      <c r="C569"/>
      <c r="D569"/>
      <c r="E569"/>
      <c r="F569"/>
      <c r="G569"/>
      <c r="H569" s="19"/>
      <c r="I569" s="19"/>
      <c r="J569" s="19"/>
      <c r="M569" s="7"/>
    </row>
    <row r="570" spans="2:13" x14ac:dyDescent="0.25">
      <c r="B570"/>
      <c r="C570"/>
      <c r="D570"/>
      <c r="E570"/>
      <c r="F570"/>
      <c r="G570"/>
      <c r="H570" s="19"/>
      <c r="I570" s="19"/>
      <c r="J570" s="19"/>
      <c r="M570" s="7"/>
    </row>
    <row r="571" spans="2:13" x14ac:dyDescent="0.25">
      <c r="B571"/>
      <c r="C571"/>
      <c r="D571"/>
      <c r="E571"/>
      <c r="F571"/>
      <c r="G571"/>
      <c r="H571" s="19"/>
      <c r="I571" s="19"/>
      <c r="J571" s="19"/>
      <c r="M571" s="7"/>
    </row>
    <row r="572" spans="2:13" x14ac:dyDescent="0.25">
      <c r="B572"/>
      <c r="C572"/>
      <c r="D572"/>
      <c r="E572"/>
      <c r="F572"/>
      <c r="G572"/>
      <c r="H572" s="19"/>
      <c r="I572" s="19"/>
      <c r="J572" s="19"/>
      <c r="M572" s="7"/>
    </row>
    <row r="573" spans="2:13" x14ac:dyDescent="0.25">
      <c r="B573"/>
      <c r="C573"/>
      <c r="D573"/>
      <c r="E573"/>
      <c r="F573"/>
      <c r="G573"/>
      <c r="H573" s="19"/>
      <c r="I573" s="19"/>
      <c r="J573" s="19"/>
      <c r="M573" s="7"/>
    </row>
    <row r="574" spans="2:13" x14ac:dyDescent="0.25">
      <c r="B574"/>
      <c r="C574"/>
      <c r="D574"/>
      <c r="E574"/>
      <c r="F574"/>
      <c r="G574"/>
      <c r="H574" s="19"/>
      <c r="I574" s="19"/>
      <c r="J574" s="19"/>
      <c r="M574" s="7"/>
    </row>
    <row r="575" spans="2:13" x14ac:dyDescent="0.25">
      <c r="B575"/>
      <c r="C575"/>
      <c r="D575"/>
      <c r="E575"/>
      <c r="F575"/>
      <c r="G575"/>
      <c r="H575" s="19"/>
      <c r="I575" s="19"/>
      <c r="J575" s="19"/>
      <c r="M575" s="7"/>
    </row>
    <row r="576" spans="2:13" x14ac:dyDescent="0.25">
      <c r="B576"/>
      <c r="C576"/>
      <c r="D576"/>
      <c r="E576"/>
      <c r="F576"/>
      <c r="G576"/>
      <c r="H576" s="19"/>
      <c r="I576" s="19"/>
      <c r="J576" s="19"/>
      <c r="M576" s="7"/>
    </row>
    <row r="577" spans="2:13" x14ac:dyDescent="0.25">
      <c r="B577"/>
      <c r="C577"/>
      <c r="D577"/>
      <c r="E577"/>
      <c r="F577"/>
      <c r="G577"/>
      <c r="H577" s="19"/>
      <c r="I577" s="19"/>
      <c r="J577" s="19"/>
      <c r="M577" s="7"/>
    </row>
    <row r="578" spans="2:13" x14ac:dyDescent="0.25">
      <c r="B578"/>
      <c r="C578"/>
      <c r="D578"/>
      <c r="E578"/>
      <c r="F578"/>
      <c r="G578"/>
      <c r="H578" s="19"/>
      <c r="I578" s="19"/>
      <c r="J578" s="19"/>
      <c r="M578" s="7"/>
    </row>
    <row r="579" spans="2:13" x14ac:dyDescent="0.25">
      <c r="B579"/>
      <c r="C579"/>
      <c r="D579"/>
      <c r="E579"/>
      <c r="F579"/>
      <c r="G579"/>
      <c r="H579" s="19"/>
      <c r="I579" s="19"/>
      <c r="J579" s="19"/>
      <c r="M579" s="7"/>
    </row>
    <row r="580" spans="2:13" x14ac:dyDescent="0.25">
      <c r="B580"/>
      <c r="C580"/>
      <c r="D580"/>
      <c r="E580"/>
      <c r="F580"/>
      <c r="G580"/>
      <c r="H580" s="19"/>
      <c r="I580" s="19"/>
      <c r="J580" s="19"/>
      <c r="M580" s="7"/>
    </row>
    <row r="581" spans="2:13" x14ac:dyDescent="0.25">
      <c r="B581"/>
      <c r="C581"/>
      <c r="D581"/>
      <c r="E581"/>
      <c r="F581"/>
      <c r="G581"/>
      <c r="H581" s="19"/>
      <c r="I581" s="19"/>
      <c r="J581" s="19"/>
      <c r="M581" s="7"/>
    </row>
    <row r="582" spans="2:13" x14ac:dyDescent="0.25">
      <c r="B582"/>
      <c r="C582"/>
      <c r="D582"/>
      <c r="E582"/>
      <c r="F582"/>
      <c r="G582"/>
      <c r="H582" s="19"/>
      <c r="I582" s="19"/>
      <c r="J582" s="19"/>
      <c r="M582" s="7"/>
    </row>
    <row r="583" spans="2:13" x14ac:dyDescent="0.25">
      <c r="B583"/>
      <c r="C583"/>
      <c r="D583"/>
      <c r="E583"/>
      <c r="F583"/>
      <c r="G583"/>
      <c r="H583" s="19"/>
      <c r="I583" s="19"/>
      <c r="J583" s="19"/>
      <c r="M583" s="7"/>
    </row>
    <row r="584" spans="2:13" x14ac:dyDescent="0.25">
      <c r="B584"/>
      <c r="C584"/>
      <c r="D584"/>
      <c r="E584"/>
      <c r="F584"/>
      <c r="G584"/>
      <c r="H584" s="19"/>
      <c r="I584" s="19"/>
      <c r="J584" s="19"/>
      <c r="M584" s="7"/>
    </row>
    <row r="585" spans="2:13" x14ac:dyDescent="0.25">
      <c r="B585"/>
      <c r="C585"/>
      <c r="D585"/>
      <c r="E585"/>
      <c r="F585"/>
      <c r="G585"/>
      <c r="H585" s="19"/>
      <c r="I585" s="19"/>
      <c r="J585" s="19"/>
      <c r="M585" s="7"/>
    </row>
    <row r="586" spans="2:13" x14ac:dyDescent="0.25">
      <c r="B586"/>
      <c r="C586"/>
      <c r="D586"/>
      <c r="E586"/>
      <c r="F586"/>
      <c r="G586"/>
      <c r="H586" s="19"/>
      <c r="I586" s="19"/>
      <c r="J586" s="19"/>
      <c r="M586" s="7"/>
    </row>
    <row r="587" spans="2:13" x14ac:dyDescent="0.25">
      <c r="B587"/>
      <c r="C587"/>
      <c r="D587"/>
      <c r="E587"/>
      <c r="F587"/>
      <c r="G587"/>
      <c r="H587" s="19"/>
      <c r="I587" s="19"/>
      <c r="J587" s="19"/>
      <c r="M587" s="7"/>
    </row>
    <row r="588" spans="2:13" x14ac:dyDescent="0.25">
      <c r="B588"/>
      <c r="C588"/>
      <c r="D588"/>
      <c r="E588"/>
      <c r="F588"/>
      <c r="G588"/>
      <c r="H588" s="19"/>
      <c r="I588" s="19"/>
      <c r="J588" s="19"/>
      <c r="M588" s="7"/>
    </row>
    <row r="589" spans="2:13" x14ac:dyDescent="0.25">
      <c r="B589"/>
      <c r="C589"/>
      <c r="D589"/>
      <c r="E589"/>
      <c r="F589"/>
      <c r="G589"/>
      <c r="H589" s="19"/>
      <c r="I589" s="19"/>
      <c r="J589" s="19"/>
      <c r="M589" s="7"/>
    </row>
    <row r="590" spans="2:13" x14ac:dyDescent="0.25">
      <c r="B590"/>
      <c r="C590"/>
      <c r="D590"/>
      <c r="E590"/>
      <c r="F590"/>
      <c r="G590"/>
      <c r="H590" s="19"/>
      <c r="I590" s="19"/>
      <c r="J590" s="19"/>
      <c r="M590" s="7"/>
    </row>
    <row r="591" spans="2:13" x14ac:dyDescent="0.25">
      <c r="B591"/>
      <c r="C591"/>
      <c r="D591"/>
      <c r="E591"/>
      <c r="F591"/>
      <c r="G591"/>
      <c r="H591" s="19"/>
      <c r="I591" s="19"/>
      <c r="J591" s="19"/>
      <c r="M591" s="7"/>
    </row>
    <row r="592" spans="2:13" x14ac:dyDescent="0.25">
      <c r="B592"/>
      <c r="C592"/>
      <c r="D592"/>
      <c r="E592"/>
      <c r="F592"/>
      <c r="G592"/>
      <c r="H592" s="19"/>
      <c r="I592" s="19"/>
      <c r="J592" s="19"/>
      <c r="M592" s="7"/>
    </row>
    <row r="593" spans="2:13" x14ac:dyDescent="0.25">
      <c r="B593"/>
      <c r="C593"/>
      <c r="D593"/>
      <c r="E593"/>
      <c r="F593"/>
      <c r="G593"/>
      <c r="H593" s="19"/>
      <c r="I593" s="19"/>
      <c r="J593" s="19"/>
      <c r="M593" s="7"/>
    </row>
    <row r="594" spans="2:13" x14ac:dyDescent="0.25">
      <c r="B594"/>
      <c r="C594"/>
      <c r="D594"/>
      <c r="E594"/>
      <c r="F594"/>
      <c r="G594"/>
      <c r="H594" s="19"/>
      <c r="I594" s="19"/>
      <c r="J594" s="19"/>
      <c r="M594" s="7"/>
    </row>
    <row r="595" spans="2:13" x14ac:dyDescent="0.25">
      <c r="B595"/>
      <c r="C595"/>
      <c r="D595"/>
      <c r="E595"/>
      <c r="F595"/>
      <c r="G595"/>
      <c r="H595" s="19"/>
      <c r="I595" s="19"/>
      <c r="J595" s="19"/>
      <c r="M595" s="7"/>
    </row>
    <row r="596" spans="2:13" x14ac:dyDescent="0.25">
      <c r="B596"/>
      <c r="C596"/>
      <c r="D596"/>
      <c r="E596"/>
      <c r="F596"/>
      <c r="G596"/>
      <c r="H596" s="19"/>
      <c r="I596" s="19"/>
      <c r="J596" s="19"/>
      <c r="M596" s="7"/>
    </row>
    <row r="597" spans="2:13" x14ac:dyDescent="0.25">
      <c r="B597"/>
      <c r="C597"/>
      <c r="D597"/>
      <c r="E597"/>
      <c r="F597"/>
      <c r="G597"/>
      <c r="H597" s="19"/>
      <c r="I597" s="19"/>
      <c r="J597" s="19"/>
      <c r="M597" s="7"/>
    </row>
    <row r="598" spans="2:13" x14ac:dyDescent="0.25">
      <c r="B598"/>
      <c r="C598"/>
      <c r="D598"/>
      <c r="E598"/>
      <c r="F598"/>
      <c r="G598"/>
      <c r="H598" s="19"/>
      <c r="I598" s="19"/>
      <c r="J598" s="19"/>
      <c r="M598" s="7"/>
    </row>
    <row r="599" spans="2:13" x14ac:dyDescent="0.25">
      <c r="B599"/>
      <c r="C599"/>
      <c r="D599"/>
      <c r="E599"/>
      <c r="F599"/>
      <c r="G599"/>
      <c r="H599" s="19"/>
      <c r="I599" s="19"/>
      <c r="J599" s="19"/>
      <c r="M599" s="7"/>
    </row>
    <row r="600" spans="2:13" x14ac:dyDescent="0.25">
      <c r="B600"/>
      <c r="C600"/>
      <c r="D600"/>
      <c r="E600"/>
      <c r="F600"/>
      <c r="G600"/>
      <c r="H600" s="19"/>
      <c r="I600" s="19"/>
      <c r="J600" s="19"/>
      <c r="M600" s="7"/>
    </row>
    <row r="601" spans="2:13" x14ac:dyDescent="0.25">
      <c r="B601"/>
      <c r="C601"/>
      <c r="D601"/>
      <c r="E601"/>
      <c r="F601"/>
      <c r="G601"/>
      <c r="H601" s="19"/>
      <c r="I601" s="19"/>
      <c r="J601" s="19"/>
      <c r="M601" s="7"/>
    </row>
    <row r="602" spans="2:13" x14ac:dyDescent="0.25">
      <c r="B602"/>
      <c r="C602"/>
      <c r="D602"/>
      <c r="E602"/>
      <c r="F602"/>
      <c r="G602"/>
      <c r="H602" s="19"/>
      <c r="I602" s="19"/>
      <c r="J602" s="19"/>
      <c r="M602" s="7"/>
    </row>
    <row r="603" spans="2:13" x14ac:dyDescent="0.25">
      <c r="B603"/>
      <c r="C603"/>
      <c r="D603"/>
      <c r="E603"/>
      <c r="F603"/>
      <c r="G603"/>
      <c r="H603" s="19"/>
      <c r="I603" s="19"/>
      <c r="J603" s="19"/>
      <c r="M603" s="7"/>
    </row>
    <row r="604" spans="2:13" x14ac:dyDescent="0.25">
      <c r="B604"/>
      <c r="C604"/>
      <c r="D604"/>
      <c r="E604"/>
      <c r="F604"/>
      <c r="G604"/>
      <c r="H604" s="19"/>
      <c r="I604" s="19"/>
      <c r="J604" s="19"/>
      <c r="M604" s="7"/>
    </row>
    <row r="605" spans="2:13" x14ac:dyDescent="0.25">
      <c r="B605"/>
      <c r="C605"/>
      <c r="D605"/>
      <c r="E605"/>
      <c r="F605"/>
      <c r="G605"/>
      <c r="H605" s="19"/>
      <c r="I605" s="19"/>
      <c r="J605" s="19"/>
      <c r="M605" s="7"/>
    </row>
    <row r="606" spans="2:13" x14ac:dyDescent="0.25">
      <c r="B606"/>
      <c r="C606"/>
      <c r="D606"/>
      <c r="E606"/>
      <c r="F606"/>
      <c r="G606"/>
      <c r="H606" s="19"/>
      <c r="I606" s="19"/>
      <c r="J606" s="19"/>
      <c r="M606" s="7"/>
    </row>
    <row r="607" spans="2:13" x14ac:dyDescent="0.25">
      <c r="B607"/>
      <c r="C607"/>
      <c r="D607"/>
      <c r="E607"/>
      <c r="F607"/>
      <c r="G607"/>
      <c r="H607" s="19"/>
      <c r="I607" s="19"/>
      <c r="J607" s="19"/>
      <c r="M607" s="7"/>
    </row>
    <row r="608" spans="2:13" x14ac:dyDescent="0.25">
      <c r="B608"/>
      <c r="C608"/>
      <c r="D608"/>
      <c r="E608"/>
      <c r="F608"/>
      <c r="G608"/>
      <c r="H608" s="19"/>
      <c r="I608" s="19"/>
      <c r="J608" s="19"/>
      <c r="M608" s="7"/>
    </row>
    <row r="609" spans="2:13" x14ac:dyDescent="0.25">
      <c r="B609"/>
      <c r="C609"/>
      <c r="D609"/>
      <c r="E609"/>
      <c r="F609"/>
      <c r="G609"/>
      <c r="H609" s="19"/>
      <c r="I609" s="19"/>
      <c r="J609" s="19"/>
      <c r="M609" s="7"/>
    </row>
    <row r="610" spans="2:13" x14ac:dyDescent="0.25">
      <c r="B610"/>
      <c r="C610"/>
      <c r="D610"/>
      <c r="E610"/>
      <c r="F610"/>
      <c r="G610"/>
      <c r="H610" s="19"/>
      <c r="I610" s="19"/>
      <c r="J610" s="19"/>
      <c r="M610" s="7"/>
    </row>
    <row r="611" spans="2:13" x14ac:dyDescent="0.25">
      <c r="B611"/>
      <c r="C611"/>
      <c r="D611"/>
      <c r="E611"/>
      <c r="F611"/>
      <c r="G611"/>
      <c r="H611" s="19"/>
      <c r="I611" s="19"/>
      <c r="J611" s="19"/>
      <c r="M611" s="7"/>
    </row>
    <row r="612" spans="2:13" x14ac:dyDescent="0.25">
      <c r="B612"/>
      <c r="C612"/>
      <c r="D612"/>
      <c r="E612"/>
      <c r="F612"/>
      <c r="G612"/>
      <c r="H612" s="19"/>
      <c r="I612" s="19"/>
      <c r="J612" s="19"/>
      <c r="M612" s="7"/>
    </row>
    <row r="613" spans="2:13" x14ac:dyDescent="0.25">
      <c r="B613"/>
      <c r="C613"/>
      <c r="D613"/>
      <c r="E613"/>
      <c r="F613"/>
      <c r="G613"/>
      <c r="H613" s="19"/>
      <c r="I613" s="19"/>
      <c r="J613" s="19"/>
      <c r="M613" s="7"/>
    </row>
    <row r="614" spans="2:13" x14ac:dyDescent="0.25">
      <c r="B614"/>
      <c r="C614"/>
      <c r="D614"/>
      <c r="E614"/>
      <c r="F614"/>
      <c r="G614"/>
      <c r="H614" s="19"/>
      <c r="I614" s="19"/>
      <c r="J614" s="19"/>
      <c r="M614" s="7"/>
    </row>
    <row r="615" spans="2:13" x14ac:dyDescent="0.25">
      <c r="B615"/>
      <c r="C615"/>
      <c r="D615"/>
      <c r="E615"/>
      <c r="F615"/>
      <c r="G615"/>
      <c r="H615" s="19"/>
      <c r="I615" s="19"/>
      <c r="J615" s="19"/>
      <c r="M615" s="7"/>
    </row>
    <row r="616" spans="2:13" x14ac:dyDescent="0.25">
      <c r="B616"/>
      <c r="C616"/>
      <c r="D616"/>
      <c r="E616"/>
      <c r="F616"/>
      <c r="G616"/>
      <c r="H616" s="19"/>
      <c r="I616" s="19"/>
      <c r="J616" s="19"/>
      <c r="M616" s="7"/>
    </row>
    <row r="617" spans="2:13" x14ac:dyDescent="0.25">
      <c r="B617"/>
      <c r="C617"/>
      <c r="D617"/>
      <c r="E617"/>
      <c r="F617"/>
      <c r="G617"/>
      <c r="H617" s="19"/>
      <c r="I617" s="19"/>
      <c r="J617" s="19"/>
      <c r="M617" s="7"/>
    </row>
    <row r="618" spans="2:13" x14ac:dyDescent="0.25">
      <c r="B618"/>
      <c r="C618"/>
      <c r="D618"/>
      <c r="E618"/>
      <c r="F618"/>
      <c r="G618"/>
      <c r="H618" s="19"/>
      <c r="I618" s="19"/>
      <c r="J618" s="19"/>
      <c r="M618" s="7"/>
    </row>
    <row r="619" spans="2:13" x14ac:dyDescent="0.25">
      <c r="B619"/>
      <c r="C619"/>
      <c r="D619"/>
      <c r="E619"/>
      <c r="F619"/>
      <c r="G619"/>
      <c r="H619" s="19"/>
      <c r="I619" s="19"/>
      <c r="J619" s="19"/>
      <c r="M619" s="7"/>
    </row>
    <row r="620" spans="2:13" x14ac:dyDescent="0.25">
      <c r="B620"/>
      <c r="C620"/>
      <c r="D620"/>
      <c r="E620"/>
      <c r="F620"/>
      <c r="G620"/>
      <c r="H620" s="19"/>
      <c r="I620" s="19"/>
      <c r="J620" s="19"/>
      <c r="M620" s="7"/>
    </row>
    <row r="621" spans="2:13" x14ac:dyDescent="0.25">
      <c r="B621"/>
      <c r="C621"/>
      <c r="D621"/>
      <c r="E621"/>
      <c r="F621"/>
      <c r="G621"/>
      <c r="H621" s="19"/>
      <c r="I621" s="19"/>
      <c r="J621" s="19"/>
      <c r="M621" s="7"/>
    </row>
    <row r="622" spans="2:13" x14ac:dyDescent="0.25">
      <c r="B622"/>
      <c r="C622"/>
      <c r="D622"/>
      <c r="E622"/>
      <c r="F622"/>
      <c r="G622"/>
      <c r="H622" s="19"/>
      <c r="I622" s="19"/>
      <c r="J622" s="19"/>
      <c r="M622" s="7"/>
    </row>
    <row r="623" spans="2:13" x14ac:dyDescent="0.25">
      <c r="B623"/>
      <c r="C623"/>
      <c r="D623"/>
      <c r="E623"/>
      <c r="F623"/>
      <c r="G623"/>
      <c r="H623" s="19"/>
      <c r="I623" s="19"/>
      <c r="J623" s="19"/>
      <c r="M623" s="7"/>
    </row>
    <row r="624" spans="2:13" x14ac:dyDescent="0.25">
      <c r="B624"/>
      <c r="C624"/>
      <c r="D624"/>
      <c r="E624"/>
      <c r="F624"/>
      <c r="G624"/>
      <c r="H624" s="19"/>
      <c r="I624" s="19"/>
      <c r="J624" s="19"/>
      <c r="M624" s="7"/>
    </row>
    <row r="625" spans="2:13" x14ac:dyDescent="0.25">
      <c r="B625"/>
      <c r="C625"/>
      <c r="D625"/>
      <c r="E625"/>
      <c r="F625"/>
      <c r="G625"/>
      <c r="H625" s="19"/>
      <c r="I625" s="19"/>
      <c r="J625" s="19"/>
      <c r="M625" s="7"/>
    </row>
    <row r="626" spans="2:13" x14ac:dyDescent="0.25">
      <c r="B626"/>
      <c r="C626"/>
      <c r="D626"/>
      <c r="E626"/>
      <c r="F626"/>
      <c r="G626"/>
      <c r="H626" s="19"/>
      <c r="I626" s="19"/>
      <c r="J626" s="19"/>
      <c r="M626" s="7"/>
    </row>
    <row r="627" spans="2:13" x14ac:dyDescent="0.25">
      <c r="B627"/>
      <c r="C627"/>
      <c r="D627"/>
      <c r="E627"/>
      <c r="F627"/>
      <c r="G627"/>
      <c r="H627" s="19"/>
      <c r="I627" s="19"/>
      <c r="J627" s="19"/>
      <c r="M627" s="7"/>
    </row>
    <row r="628" spans="2:13" x14ac:dyDescent="0.25">
      <c r="B628"/>
      <c r="C628"/>
      <c r="D628"/>
      <c r="E628"/>
      <c r="F628"/>
      <c r="G628"/>
      <c r="H628" s="19"/>
      <c r="I628" s="19"/>
      <c r="J628" s="19"/>
      <c r="M628" s="7"/>
    </row>
    <row r="629" spans="2:13" x14ac:dyDescent="0.25">
      <c r="B629"/>
      <c r="C629"/>
      <c r="D629"/>
      <c r="E629"/>
      <c r="F629"/>
      <c r="G629"/>
      <c r="H629" s="19"/>
      <c r="I629" s="19"/>
      <c r="J629" s="19"/>
      <c r="M629" s="7"/>
    </row>
    <row r="630" spans="2:13" x14ac:dyDescent="0.25">
      <c r="B630"/>
      <c r="C630"/>
      <c r="D630"/>
      <c r="E630"/>
      <c r="F630"/>
      <c r="G630"/>
      <c r="H630" s="19"/>
      <c r="I630" s="19"/>
      <c r="J630" s="19"/>
      <c r="M630" s="7"/>
    </row>
    <row r="631" spans="2:13" x14ac:dyDescent="0.25">
      <c r="B631"/>
      <c r="C631"/>
      <c r="D631"/>
      <c r="E631"/>
      <c r="F631"/>
      <c r="G631"/>
      <c r="H631" s="19"/>
      <c r="I631" s="19"/>
      <c r="J631" s="19"/>
      <c r="M631" s="7"/>
    </row>
    <row r="632" spans="2:13" x14ac:dyDescent="0.25">
      <c r="B632"/>
      <c r="C632"/>
      <c r="D632"/>
      <c r="E632"/>
      <c r="F632"/>
      <c r="G632"/>
      <c r="H632" s="19"/>
      <c r="I632" s="19"/>
      <c r="J632" s="19"/>
      <c r="M632" s="7"/>
    </row>
    <row r="633" spans="2:13" x14ac:dyDescent="0.25">
      <c r="B633"/>
      <c r="C633"/>
      <c r="D633"/>
      <c r="E633"/>
      <c r="F633"/>
      <c r="G633"/>
      <c r="H633" s="19"/>
      <c r="I633" s="19"/>
      <c r="J633" s="19"/>
      <c r="M633" s="7"/>
    </row>
    <row r="634" spans="2:13" x14ac:dyDescent="0.25">
      <c r="B634"/>
      <c r="C634"/>
      <c r="D634"/>
      <c r="E634"/>
      <c r="F634"/>
      <c r="G634"/>
      <c r="H634" s="19"/>
      <c r="I634" s="19"/>
      <c r="J634" s="19"/>
      <c r="M634" s="7"/>
    </row>
    <row r="635" spans="2:13" x14ac:dyDescent="0.25">
      <c r="B635"/>
      <c r="C635"/>
      <c r="D635"/>
      <c r="E635"/>
      <c r="F635"/>
      <c r="G635"/>
      <c r="H635" s="19"/>
      <c r="I635" s="19"/>
      <c r="J635" s="19"/>
      <c r="M635" s="7"/>
    </row>
    <row r="636" spans="2:13" x14ac:dyDescent="0.25">
      <c r="B636"/>
      <c r="C636"/>
      <c r="D636"/>
      <c r="E636"/>
      <c r="F636"/>
      <c r="G636"/>
      <c r="H636" s="19"/>
      <c r="I636" s="19"/>
      <c r="J636" s="19"/>
      <c r="M636" s="7"/>
    </row>
    <row r="637" spans="2:13" x14ac:dyDescent="0.25">
      <c r="B637"/>
      <c r="C637"/>
      <c r="D637"/>
      <c r="E637"/>
      <c r="F637"/>
      <c r="G637"/>
      <c r="H637" s="19"/>
      <c r="I637" s="19"/>
      <c r="J637" s="19"/>
      <c r="M637" s="7"/>
    </row>
    <row r="638" spans="2:13" x14ac:dyDescent="0.25">
      <c r="B638"/>
      <c r="C638"/>
      <c r="D638"/>
      <c r="E638"/>
      <c r="F638"/>
      <c r="G638"/>
      <c r="H638" s="19"/>
      <c r="I638" s="19"/>
      <c r="J638" s="19"/>
      <c r="M638" s="7"/>
    </row>
    <row r="639" spans="2:13" x14ac:dyDescent="0.25">
      <c r="B639"/>
      <c r="C639"/>
      <c r="D639"/>
      <c r="E639"/>
      <c r="F639"/>
      <c r="G639"/>
      <c r="H639" s="19"/>
      <c r="I639" s="19"/>
      <c r="J639" s="19"/>
      <c r="M639" s="7"/>
    </row>
    <row r="640" spans="2:13" x14ac:dyDescent="0.25">
      <c r="B640"/>
      <c r="C640"/>
      <c r="D640"/>
      <c r="E640"/>
      <c r="F640"/>
      <c r="G640"/>
      <c r="H640" s="19"/>
      <c r="I640" s="19"/>
      <c r="J640" s="19"/>
      <c r="M640" s="7"/>
    </row>
    <row r="641" spans="2:13" x14ac:dyDescent="0.25">
      <c r="B641"/>
      <c r="C641"/>
      <c r="D641"/>
      <c r="E641"/>
      <c r="F641"/>
      <c r="G641"/>
      <c r="H641" s="19"/>
      <c r="I641" s="19"/>
      <c r="J641" s="19"/>
      <c r="M641" s="7"/>
    </row>
    <row r="642" spans="2:13" x14ac:dyDescent="0.25">
      <c r="B642"/>
      <c r="C642"/>
      <c r="D642"/>
      <c r="E642"/>
      <c r="F642"/>
      <c r="G642"/>
      <c r="H642" s="19"/>
      <c r="I642" s="19"/>
      <c r="J642" s="19"/>
      <c r="M642" s="7"/>
    </row>
    <row r="643" spans="2:13" x14ac:dyDescent="0.25">
      <c r="B643"/>
      <c r="C643"/>
      <c r="D643"/>
      <c r="E643"/>
      <c r="F643"/>
      <c r="G643"/>
      <c r="H643" s="19"/>
      <c r="I643" s="19"/>
      <c r="J643" s="19"/>
      <c r="M643" s="7"/>
    </row>
    <row r="644" spans="2:13" x14ac:dyDescent="0.25">
      <c r="B644"/>
      <c r="C644"/>
      <c r="D644"/>
      <c r="E644"/>
      <c r="F644"/>
      <c r="G644"/>
      <c r="H644" s="19"/>
      <c r="I644" s="19"/>
      <c r="J644" s="19"/>
      <c r="M644" s="7"/>
    </row>
    <row r="645" spans="2:13" x14ac:dyDescent="0.25">
      <c r="B645"/>
      <c r="C645"/>
      <c r="D645"/>
      <c r="E645"/>
      <c r="F645"/>
      <c r="G645"/>
      <c r="H645" s="19"/>
      <c r="I645" s="19"/>
      <c r="J645" s="19"/>
      <c r="M645" s="7"/>
    </row>
    <row r="646" spans="2:13" x14ac:dyDescent="0.25">
      <c r="B646"/>
      <c r="C646"/>
      <c r="D646"/>
      <c r="E646"/>
      <c r="F646"/>
      <c r="G646"/>
      <c r="H646" s="19"/>
      <c r="I646" s="19"/>
      <c r="J646" s="19"/>
      <c r="M646" s="7"/>
    </row>
    <row r="647" spans="2:13" x14ac:dyDescent="0.25">
      <c r="B647"/>
      <c r="C647"/>
      <c r="D647"/>
      <c r="E647"/>
      <c r="F647"/>
      <c r="G647"/>
      <c r="H647" s="19"/>
      <c r="I647" s="19"/>
      <c r="J647" s="19"/>
      <c r="M647" s="7"/>
    </row>
    <row r="648" spans="2:13" x14ac:dyDescent="0.25">
      <c r="B648"/>
      <c r="C648"/>
      <c r="D648"/>
      <c r="E648"/>
      <c r="F648"/>
      <c r="G648"/>
      <c r="H648" s="19"/>
      <c r="I648" s="19"/>
      <c r="J648" s="19"/>
      <c r="M648" s="7"/>
    </row>
    <row r="649" spans="2:13" x14ac:dyDescent="0.25">
      <c r="B649"/>
      <c r="C649"/>
      <c r="D649"/>
      <c r="E649"/>
      <c r="F649"/>
      <c r="G649"/>
      <c r="H649" s="19"/>
      <c r="I649" s="19"/>
      <c r="J649" s="19"/>
      <c r="M649" s="7"/>
    </row>
    <row r="650" spans="2:13" x14ac:dyDescent="0.25">
      <c r="B650"/>
      <c r="C650"/>
      <c r="D650"/>
      <c r="E650"/>
      <c r="F650"/>
      <c r="G650"/>
      <c r="H650" s="19"/>
      <c r="I650" s="19"/>
      <c r="J650" s="19"/>
      <c r="M650" s="7"/>
    </row>
    <row r="651" spans="2:13" x14ac:dyDescent="0.25">
      <c r="B651"/>
      <c r="C651"/>
      <c r="D651"/>
      <c r="E651"/>
      <c r="F651"/>
      <c r="G651"/>
      <c r="H651" s="19"/>
      <c r="I651" s="19"/>
      <c r="J651" s="19"/>
      <c r="M651" s="7"/>
    </row>
    <row r="652" spans="2:13" x14ac:dyDescent="0.25">
      <c r="B652"/>
      <c r="C652"/>
      <c r="D652"/>
      <c r="E652"/>
      <c r="F652"/>
      <c r="G652"/>
      <c r="H652" s="19"/>
      <c r="I652" s="19"/>
      <c r="J652" s="19"/>
      <c r="M652" s="7"/>
    </row>
    <row r="653" spans="2:13" x14ac:dyDescent="0.25">
      <c r="B653"/>
      <c r="C653"/>
      <c r="D653"/>
      <c r="E653"/>
      <c r="F653"/>
      <c r="G653"/>
      <c r="H653" s="19"/>
      <c r="I653" s="19"/>
      <c r="J653" s="19"/>
      <c r="M653" s="7"/>
    </row>
    <row r="654" spans="2:13" x14ac:dyDescent="0.25">
      <c r="B654"/>
      <c r="C654"/>
      <c r="D654"/>
      <c r="E654"/>
      <c r="F654"/>
      <c r="G654"/>
      <c r="H654" s="19"/>
      <c r="I654" s="19"/>
      <c r="J654" s="19"/>
      <c r="M654" s="7"/>
    </row>
    <row r="655" spans="2:13" x14ac:dyDescent="0.25">
      <c r="B655"/>
      <c r="C655"/>
      <c r="D655"/>
      <c r="E655"/>
      <c r="F655"/>
      <c r="G655"/>
      <c r="H655" s="19"/>
      <c r="I655" s="19"/>
      <c r="J655" s="19"/>
      <c r="M655" s="7"/>
    </row>
    <row r="656" spans="2:13" x14ac:dyDescent="0.25">
      <c r="B656"/>
      <c r="C656"/>
      <c r="D656"/>
      <c r="E656"/>
      <c r="F656"/>
      <c r="G656"/>
      <c r="H656" s="19"/>
      <c r="I656" s="19"/>
      <c r="J656" s="19"/>
      <c r="M656" s="7"/>
    </row>
    <row r="657" spans="2:13" x14ac:dyDescent="0.25">
      <c r="B657"/>
      <c r="C657"/>
      <c r="D657"/>
      <c r="E657"/>
      <c r="F657"/>
      <c r="G657"/>
      <c r="H657" s="19"/>
      <c r="I657" s="19"/>
      <c r="J657" s="19"/>
      <c r="M657" s="7"/>
    </row>
    <row r="658" spans="2:13" x14ac:dyDescent="0.25">
      <c r="B658"/>
      <c r="C658"/>
      <c r="D658"/>
      <c r="E658"/>
      <c r="F658"/>
      <c r="G658"/>
      <c r="H658" s="19"/>
      <c r="I658" s="19"/>
      <c r="J658" s="19"/>
      <c r="M658" s="7"/>
    </row>
    <row r="659" spans="2:13" x14ac:dyDescent="0.25">
      <c r="B659"/>
      <c r="C659"/>
      <c r="D659"/>
      <c r="E659"/>
      <c r="F659"/>
      <c r="G659"/>
      <c r="H659" s="19"/>
      <c r="I659" s="19"/>
      <c r="J659" s="19"/>
      <c r="M659" s="7"/>
    </row>
    <row r="660" spans="2:13" x14ac:dyDescent="0.25">
      <c r="B660"/>
      <c r="C660"/>
      <c r="D660"/>
      <c r="E660"/>
      <c r="F660"/>
      <c r="G660"/>
      <c r="H660" s="19"/>
      <c r="I660" s="19"/>
      <c r="J660" s="19"/>
      <c r="M660" s="7"/>
    </row>
    <row r="661" spans="2:13" x14ac:dyDescent="0.25">
      <c r="B661"/>
      <c r="C661"/>
      <c r="D661"/>
      <c r="E661"/>
      <c r="F661"/>
      <c r="G661"/>
      <c r="H661" s="19"/>
      <c r="I661" s="19"/>
      <c r="J661" s="19"/>
      <c r="M661" s="7"/>
    </row>
    <row r="662" spans="2:13" x14ac:dyDescent="0.25">
      <c r="B662"/>
      <c r="C662"/>
      <c r="D662"/>
      <c r="E662"/>
      <c r="F662"/>
      <c r="G662"/>
      <c r="H662" s="19"/>
      <c r="I662" s="19"/>
      <c r="J662" s="19"/>
      <c r="M662" s="7"/>
    </row>
    <row r="663" spans="2:13" x14ac:dyDescent="0.25">
      <c r="B663"/>
      <c r="C663"/>
      <c r="D663"/>
      <c r="E663"/>
      <c r="F663"/>
      <c r="G663"/>
      <c r="H663" s="19"/>
      <c r="I663" s="19"/>
      <c r="J663" s="19"/>
      <c r="M663" s="7"/>
    </row>
    <row r="664" spans="2:13" x14ac:dyDescent="0.25">
      <c r="B664"/>
      <c r="C664"/>
      <c r="D664"/>
      <c r="E664"/>
      <c r="F664"/>
      <c r="G664"/>
      <c r="H664" s="19"/>
      <c r="I664" s="19"/>
      <c r="J664" s="19"/>
      <c r="M664" s="7"/>
    </row>
    <row r="665" spans="2:13" x14ac:dyDescent="0.25">
      <c r="B665"/>
      <c r="C665"/>
      <c r="D665"/>
      <c r="E665"/>
      <c r="F665"/>
      <c r="G665"/>
      <c r="H665" s="19"/>
      <c r="I665" s="19"/>
      <c r="J665" s="19"/>
      <c r="M665" s="7"/>
    </row>
    <row r="666" spans="2:13" x14ac:dyDescent="0.25">
      <c r="B666"/>
      <c r="C666"/>
      <c r="D666"/>
      <c r="E666"/>
      <c r="F666"/>
      <c r="G666"/>
      <c r="H666" s="19"/>
      <c r="I666" s="19"/>
      <c r="J666" s="19"/>
      <c r="M666" s="7"/>
    </row>
    <row r="667" spans="2:13" x14ac:dyDescent="0.25">
      <c r="B667"/>
      <c r="C667"/>
      <c r="D667"/>
      <c r="E667"/>
      <c r="F667"/>
      <c r="G667"/>
      <c r="H667" s="19"/>
      <c r="I667" s="19"/>
      <c r="J667" s="19"/>
      <c r="M667" s="7"/>
    </row>
    <row r="668" spans="2:13" x14ac:dyDescent="0.25">
      <c r="B668"/>
      <c r="C668"/>
      <c r="D668"/>
      <c r="E668"/>
      <c r="F668"/>
      <c r="G668"/>
      <c r="H668" s="19"/>
      <c r="I668" s="19"/>
      <c r="J668" s="19"/>
      <c r="M668" s="7"/>
    </row>
    <row r="669" spans="2:13" x14ac:dyDescent="0.25">
      <c r="B669"/>
      <c r="C669"/>
      <c r="D669"/>
      <c r="E669"/>
      <c r="F669"/>
      <c r="G669"/>
      <c r="H669" s="19"/>
      <c r="I669" s="19"/>
      <c r="J669" s="19"/>
      <c r="M669" s="7"/>
    </row>
    <row r="670" spans="2:13" x14ac:dyDescent="0.25">
      <c r="B670"/>
      <c r="C670"/>
      <c r="D670"/>
      <c r="E670"/>
      <c r="F670"/>
      <c r="G670"/>
      <c r="H670" s="19"/>
      <c r="I670" s="19"/>
      <c r="J670" s="19"/>
      <c r="M670" s="7"/>
    </row>
    <row r="671" spans="2:13" x14ac:dyDescent="0.25">
      <c r="B671"/>
      <c r="C671"/>
      <c r="D671"/>
      <c r="E671"/>
      <c r="F671"/>
      <c r="G671"/>
      <c r="H671" s="19"/>
      <c r="I671" s="19"/>
      <c r="J671" s="19"/>
      <c r="M671" s="7"/>
    </row>
    <row r="672" spans="2:13" x14ac:dyDescent="0.25">
      <c r="B672"/>
      <c r="C672"/>
      <c r="D672"/>
      <c r="E672"/>
      <c r="F672"/>
      <c r="G672"/>
      <c r="H672" s="19"/>
      <c r="I672" s="19"/>
      <c r="J672" s="19"/>
      <c r="M672" s="7"/>
    </row>
    <row r="673" spans="2:13" x14ac:dyDescent="0.25">
      <c r="B673"/>
      <c r="C673"/>
      <c r="D673"/>
      <c r="E673"/>
      <c r="F673"/>
      <c r="G673"/>
      <c r="H673" s="19"/>
      <c r="I673" s="19"/>
      <c r="J673" s="19"/>
      <c r="M673" s="7"/>
    </row>
    <row r="674" spans="2:13" x14ac:dyDescent="0.25">
      <c r="B674"/>
      <c r="C674"/>
      <c r="D674"/>
      <c r="E674"/>
      <c r="F674"/>
      <c r="G674"/>
      <c r="H674" s="19"/>
      <c r="I674" s="19"/>
      <c r="J674" s="19"/>
      <c r="M674" s="7"/>
    </row>
    <row r="675" spans="2:13" x14ac:dyDescent="0.25">
      <c r="B675"/>
      <c r="C675"/>
      <c r="D675"/>
      <c r="E675"/>
      <c r="F675"/>
      <c r="G675"/>
      <c r="H675" s="19"/>
      <c r="I675" s="19"/>
      <c r="J675" s="19"/>
      <c r="M675" s="7"/>
    </row>
    <row r="676" spans="2:13" x14ac:dyDescent="0.25">
      <c r="B676"/>
      <c r="C676"/>
      <c r="D676"/>
      <c r="E676"/>
      <c r="F676"/>
      <c r="G676"/>
      <c r="H676" s="19"/>
      <c r="I676" s="19"/>
      <c r="J676" s="19"/>
      <c r="M676" s="7"/>
    </row>
    <row r="677" spans="2:13" x14ac:dyDescent="0.25">
      <c r="B677"/>
      <c r="C677"/>
      <c r="D677"/>
      <c r="E677"/>
      <c r="F677"/>
      <c r="G677"/>
      <c r="H677" s="19"/>
      <c r="I677" s="19"/>
      <c r="J677" s="19"/>
      <c r="M677" s="7"/>
    </row>
    <row r="678" spans="2:13" x14ac:dyDescent="0.25">
      <c r="B678"/>
      <c r="C678"/>
      <c r="D678"/>
      <c r="E678"/>
      <c r="F678"/>
      <c r="G678"/>
      <c r="H678" s="19"/>
      <c r="I678" s="19"/>
      <c r="J678" s="19"/>
      <c r="M678" s="7"/>
    </row>
    <row r="679" spans="2:13" x14ac:dyDescent="0.25">
      <c r="B679"/>
      <c r="C679"/>
      <c r="D679"/>
      <c r="E679"/>
      <c r="F679"/>
      <c r="G679"/>
      <c r="H679" s="19"/>
      <c r="I679" s="19"/>
      <c r="J679" s="19"/>
      <c r="M679" s="7"/>
    </row>
    <row r="680" spans="2:13" x14ac:dyDescent="0.25">
      <c r="B680"/>
      <c r="C680"/>
      <c r="D680"/>
      <c r="E680"/>
      <c r="F680"/>
      <c r="G680"/>
      <c r="H680" s="19"/>
      <c r="I680" s="19"/>
      <c r="J680" s="19"/>
      <c r="M680" s="7"/>
    </row>
    <row r="681" spans="2:13" x14ac:dyDescent="0.25">
      <c r="B681"/>
      <c r="C681"/>
      <c r="D681"/>
      <c r="E681"/>
      <c r="F681"/>
      <c r="G681"/>
      <c r="H681" s="19"/>
      <c r="I681" s="19"/>
      <c r="J681" s="19"/>
      <c r="M681" s="7"/>
    </row>
    <row r="682" spans="2:13" x14ac:dyDescent="0.25">
      <c r="B682"/>
      <c r="C682"/>
      <c r="D682"/>
      <c r="E682"/>
      <c r="F682"/>
      <c r="G682"/>
      <c r="H682" s="19"/>
      <c r="I682" s="19"/>
      <c r="J682" s="19"/>
      <c r="M682" s="7"/>
    </row>
    <row r="683" spans="2:13" x14ac:dyDescent="0.25">
      <c r="B683"/>
      <c r="C683"/>
      <c r="D683"/>
      <c r="E683"/>
      <c r="F683"/>
      <c r="G683"/>
      <c r="H683" s="19"/>
      <c r="I683" s="19"/>
      <c r="J683" s="19"/>
      <c r="M683" s="7"/>
    </row>
    <row r="684" spans="2:13" x14ac:dyDescent="0.25">
      <c r="B684"/>
      <c r="C684"/>
      <c r="D684"/>
      <c r="E684"/>
      <c r="F684"/>
      <c r="G684"/>
      <c r="H684" s="19"/>
      <c r="I684" s="19"/>
      <c r="J684" s="19"/>
      <c r="M684" s="7"/>
    </row>
    <row r="685" spans="2:13" x14ac:dyDescent="0.25">
      <c r="B685"/>
      <c r="C685"/>
      <c r="D685"/>
      <c r="E685"/>
      <c r="F685"/>
      <c r="G685"/>
      <c r="H685" s="19"/>
      <c r="I685" s="19"/>
      <c r="J685" s="19"/>
      <c r="M685" s="7"/>
    </row>
    <row r="686" spans="2:13" x14ac:dyDescent="0.25">
      <c r="B686"/>
      <c r="C686"/>
      <c r="D686"/>
      <c r="E686"/>
      <c r="F686"/>
      <c r="G686"/>
      <c r="H686" s="19"/>
      <c r="I686" s="19"/>
      <c r="J686" s="19"/>
      <c r="M686" s="7"/>
    </row>
    <row r="687" spans="2:13" x14ac:dyDescent="0.25">
      <c r="B687"/>
      <c r="C687"/>
      <c r="D687"/>
      <c r="E687"/>
      <c r="F687"/>
      <c r="G687"/>
      <c r="H687" s="19"/>
      <c r="I687" s="19"/>
      <c r="J687" s="19"/>
      <c r="M687" s="7"/>
    </row>
    <row r="688" spans="2:13" x14ac:dyDescent="0.25">
      <c r="B688"/>
      <c r="C688"/>
      <c r="D688"/>
      <c r="E688"/>
      <c r="F688"/>
      <c r="G688"/>
      <c r="H688" s="19"/>
      <c r="I688" s="19"/>
      <c r="J688" s="19"/>
      <c r="M688" s="7"/>
    </row>
    <row r="689" spans="2:13" x14ac:dyDescent="0.25">
      <c r="B689"/>
      <c r="C689"/>
      <c r="D689"/>
      <c r="E689"/>
      <c r="F689"/>
      <c r="G689"/>
      <c r="H689" s="19"/>
      <c r="I689" s="19"/>
      <c r="J689" s="19"/>
      <c r="M689" s="7"/>
    </row>
    <row r="690" spans="2:13" x14ac:dyDescent="0.25">
      <c r="B690"/>
      <c r="C690"/>
      <c r="D690"/>
      <c r="E690"/>
      <c r="F690"/>
      <c r="G690"/>
      <c r="H690" s="19"/>
      <c r="I690" s="19"/>
      <c r="J690" s="19"/>
      <c r="M690" s="7"/>
    </row>
    <row r="691" spans="2:13" x14ac:dyDescent="0.25">
      <c r="B691"/>
      <c r="C691"/>
      <c r="D691"/>
      <c r="E691"/>
      <c r="F691"/>
      <c r="G691"/>
      <c r="H691" s="19"/>
      <c r="I691" s="19"/>
      <c r="J691" s="19"/>
      <c r="M691" s="7"/>
    </row>
    <row r="692" spans="2:13" x14ac:dyDescent="0.25">
      <c r="B692"/>
      <c r="C692"/>
      <c r="D692"/>
      <c r="E692"/>
      <c r="F692"/>
      <c r="G692"/>
      <c r="H692" s="19"/>
      <c r="I692" s="19"/>
      <c r="J692" s="19"/>
      <c r="M692" s="7"/>
    </row>
    <row r="693" spans="2:13" x14ac:dyDescent="0.25">
      <c r="B693"/>
      <c r="C693"/>
      <c r="D693"/>
      <c r="E693"/>
      <c r="F693"/>
      <c r="G693"/>
      <c r="H693" s="19"/>
      <c r="I693" s="19"/>
      <c r="J693" s="19"/>
      <c r="M693" s="7"/>
    </row>
    <row r="694" spans="2:13" x14ac:dyDescent="0.25">
      <c r="B694"/>
      <c r="C694"/>
      <c r="D694"/>
      <c r="E694"/>
      <c r="F694"/>
      <c r="G694"/>
      <c r="H694" s="19"/>
      <c r="I694" s="19"/>
      <c r="J694" s="19"/>
      <c r="M694" s="7"/>
    </row>
    <row r="695" spans="2:13" x14ac:dyDescent="0.25">
      <c r="B695"/>
      <c r="C695"/>
      <c r="D695"/>
      <c r="E695"/>
      <c r="F695"/>
      <c r="G695"/>
      <c r="H695" s="19"/>
      <c r="I695" s="19"/>
      <c r="J695" s="19"/>
      <c r="M695" s="7"/>
    </row>
    <row r="696" spans="2:13" x14ac:dyDescent="0.25">
      <c r="B696"/>
      <c r="C696"/>
      <c r="D696"/>
      <c r="E696"/>
      <c r="F696"/>
      <c r="G696"/>
      <c r="H696" s="19"/>
      <c r="I696" s="19"/>
      <c r="J696" s="19"/>
      <c r="M696" s="7"/>
    </row>
    <row r="697" spans="2:13" x14ac:dyDescent="0.25">
      <c r="B697"/>
      <c r="C697"/>
      <c r="D697"/>
      <c r="E697"/>
      <c r="F697"/>
      <c r="G697"/>
      <c r="H697" s="19"/>
      <c r="I697" s="19"/>
      <c r="J697" s="19"/>
      <c r="M697" s="7"/>
    </row>
    <row r="698" spans="2:13" x14ac:dyDescent="0.25">
      <c r="B698"/>
      <c r="C698"/>
      <c r="D698"/>
      <c r="E698"/>
      <c r="F698"/>
      <c r="G698"/>
      <c r="H698" s="19"/>
      <c r="I698" s="19"/>
      <c r="J698" s="19"/>
      <c r="M698" s="7"/>
    </row>
    <row r="699" spans="2:13" x14ac:dyDescent="0.25">
      <c r="B699"/>
      <c r="C699"/>
      <c r="D699"/>
      <c r="E699"/>
      <c r="F699"/>
      <c r="G699"/>
      <c r="H699" s="19"/>
      <c r="I699" s="19"/>
      <c r="J699" s="19"/>
      <c r="M699" s="7"/>
    </row>
    <row r="700" spans="2:13" x14ac:dyDescent="0.25">
      <c r="B700"/>
      <c r="C700"/>
      <c r="D700"/>
      <c r="E700"/>
      <c r="F700"/>
      <c r="G700"/>
      <c r="H700" s="19"/>
      <c r="I700" s="19"/>
      <c r="J700" s="19"/>
      <c r="M700" s="7"/>
    </row>
    <row r="701" spans="2:13" x14ac:dyDescent="0.25">
      <c r="B701"/>
      <c r="C701"/>
      <c r="D701"/>
      <c r="E701"/>
      <c r="F701"/>
      <c r="G701"/>
      <c r="H701" s="19"/>
      <c r="I701" s="19"/>
      <c r="J701" s="19"/>
      <c r="M701" s="7"/>
    </row>
    <row r="702" spans="2:13" x14ac:dyDescent="0.25">
      <c r="B702"/>
      <c r="C702"/>
      <c r="D702"/>
      <c r="E702"/>
      <c r="F702"/>
      <c r="G702"/>
      <c r="H702" s="19"/>
      <c r="I702" s="19"/>
      <c r="J702" s="19"/>
      <c r="M702" s="7"/>
    </row>
    <row r="703" spans="2:13" x14ac:dyDescent="0.25">
      <c r="B703"/>
      <c r="C703"/>
      <c r="D703"/>
      <c r="E703"/>
      <c r="F703"/>
      <c r="G703"/>
      <c r="H703" s="19"/>
      <c r="I703" s="19"/>
      <c r="J703" s="19"/>
      <c r="M703" s="7"/>
    </row>
    <row r="704" spans="2:13" x14ac:dyDescent="0.25">
      <c r="B704"/>
      <c r="C704"/>
      <c r="D704"/>
      <c r="E704"/>
      <c r="F704"/>
      <c r="G704"/>
      <c r="H704" s="19"/>
      <c r="I704" s="19"/>
      <c r="J704" s="19"/>
      <c r="M704" s="7"/>
    </row>
    <row r="705" spans="2:13" x14ac:dyDescent="0.25">
      <c r="B705"/>
      <c r="C705"/>
      <c r="D705"/>
      <c r="E705"/>
      <c r="F705"/>
      <c r="G705"/>
      <c r="H705" s="19"/>
      <c r="I705" s="19"/>
      <c r="J705" s="19"/>
      <c r="M705" s="7"/>
    </row>
    <row r="706" spans="2:13" x14ac:dyDescent="0.25">
      <c r="B706"/>
      <c r="C706"/>
      <c r="D706"/>
      <c r="E706"/>
      <c r="F706"/>
      <c r="G706"/>
      <c r="H706" s="19"/>
      <c r="I706" s="19"/>
      <c r="J706" s="19"/>
      <c r="M706" s="7"/>
    </row>
    <row r="707" spans="2:13" x14ac:dyDescent="0.25">
      <c r="B707"/>
      <c r="C707"/>
      <c r="D707"/>
      <c r="E707"/>
      <c r="F707"/>
      <c r="G707"/>
      <c r="H707" s="19"/>
      <c r="I707" s="19"/>
      <c r="J707" s="19"/>
      <c r="M707" s="7"/>
    </row>
    <row r="708" spans="2:13" x14ac:dyDescent="0.25">
      <c r="B708"/>
      <c r="C708"/>
      <c r="D708"/>
      <c r="E708"/>
      <c r="F708"/>
      <c r="G708"/>
      <c r="H708" s="19"/>
      <c r="I708" s="19"/>
      <c r="J708" s="19"/>
      <c r="M708" s="7"/>
    </row>
    <row r="709" spans="2:13" x14ac:dyDescent="0.25">
      <c r="B709"/>
      <c r="C709"/>
      <c r="D709"/>
      <c r="E709"/>
      <c r="F709"/>
      <c r="G709"/>
      <c r="H709" s="19"/>
      <c r="I709" s="19"/>
      <c r="J709" s="19"/>
      <c r="M709" s="7"/>
    </row>
    <row r="710" spans="2:13" x14ac:dyDescent="0.25">
      <c r="B710"/>
      <c r="C710"/>
      <c r="D710"/>
      <c r="E710"/>
      <c r="F710"/>
      <c r="G710"/>
      <c r="H710" s="19"/>
      <c r="I710" s="19"/>
      <c r="J710" s="19"/>
      <c r="M710" s="7"/>
    </row>
    <row r="711" spans="2:13" x14ac:dyDescent="0.25">
      <c r="B711"/>
      <c r="C711"/>
      <c r="D711"/>
      <c r="E711"/>
      <c r="F711"/>
      <c r="G711"/>
      <c r="H711" s="19"/>
      <c r="I711" s="19"/>
      <c r="J711" s="19"/>
      <c r="M711" s="7"/>
    </row>
    <row r="712" spans="2:13" x14ac:dyDescent="0.25">
      <c r="B712"/>
      <c r="C712"/>
      <c r="D712"/>
      <c r="E712"/>
      <c r="F712"/>
      <c r="G712"/>
      <c r="H712" s="19"/>
      <c r="I712" s="19"/>
      <c r="J712" s="19"/>
      <c r="M712" s="7"/>
    </row>
    <row r="713" spans="2:13" x14ac:dyDescent="0.25">
      <c r="B713"/>
      <c r="C713"/>
      <c r="D713"/>
      <c r="E713"/>
      <c r="F713"/>
      <c r="G713"/>
      <c r="H713" s="19"/>
      <c r="I713" s="19"/>
      <c r="J713" s="19"/>
      <c r="M713" s="7"/>
    </row>
    <row r="714" spans="2:13" x14ac:dyDescent="0.25">
      <c r="B714"/>
      <c r="C714"/>
      <c r="D714"/>
      <c r="E714"/>
      <c r="F714"/>
      <c r="G714"/>
      <c r="H714" s="19"/>
      <c r="I714" s="19"/>
      <c r="J714" s="19"/>
      <c r="M714" s="7"/>
    </row>
    <row r="715" spans="2:13" x14ac:dyDescent="0.25">
      <c r="B715"/>
      <c r="C715"/>
      <c r="D715"/>
      <c r="E715"/>
      <c r="F715"/>
      <c r="G715"/>
      <c r="H715" s="19"/>
      <c r="I715" s="19"/>
      <c r="J715" s="19"/>
      <c r="M715" s="7"/>
    </row>
    <row r="716" spans="2:13" x14ac:dyDescent="0.25">
      <c r="B716"/>
      <c r="C716"/>
      <c r="D716"/>
      <c r="E716"/>
      <c r="F716"/>
      <c r="G716"/>
      <c r="H716" s="19"/>
      <c r="I716" s="19"/>
      <c r="J716" s="19"/>
      <c r="M716" s="7"/>
    </row>
    <row r="717" spans="2:13" x14ac:dyDescent="0.25">
      <c r="B717"/>
      <c r="C717"/>
      <c r="D717"/>
      <c r="E717"/>
      <c r="F717"/>
      <c r="G717"/>
      <c r="H717" s="19"/>
      <c r="I717" s="19"/>
      <c r="J717" s="19"/>
      <c r="M717" s="7"/>
    </row>
    <row r="718" spans="2:13" x14ac:dyDescent="0.25">
      <c r="B718"/>
      <c r="C718"/>
      <c r="D718"/>
      <c r="E718"/>
      <c r="F718"/>
      <c r="G718"/>
      <c r="H718" s="19"/>
      <c r="I718" s="19"/>
      <c r="J718" s="19"/>
      <c r="M718" s="7"/>
    </row>
    <row r="719" spans="2:13" x14ac:dyDescent="0.25">
      <c r="B719"/>
      <c r="C719"/>
      <c r="D719"/>
      <c r="E719"/>
      <c r="F719"/>
      <c r="G719"/>
      <c r="H719" s="19"/>
      <c r="I719" s="19"/>
      <c r="J719" s="19"/>
      <c r="M719" s="7"/>
    </row>
    <row r="720" spans="2:13" x14ac:dyDescent="0.25">
      <c r="B720"/>
      <c r="C720"/>
      <c r="D720"/>
      <c r="E720"/>
      <c r="F720"/>
      <c r="G720"/>
      <c r="H720" s="19"/>
      <c r="I720" s="19"/>
      <c r="J720" s="19"/>
      <c r="M720" s="7"/>
    </row>
    <row r="721" spans="2:13" x14ac:dyDescent="0.25">
      <c r="B721"/>
      <c r="C721"/>
      <c r="D721"/>
      <c r="E721"/>
      <c r="F721"/>
      <c r="G721"/>
      <c r="H721" s="19"/>
      <c r="I721" s="19"/>
      <c r="J721" s="19"/>
      <c r="M721" s="7"/>
    </row>
    <row r="722" spans="2:13" x14ac:dyDescent="0.25">
      <c r="B722"/>
      <c r="C722"/>
      <c r="D722"/>
      <c r="E722"/>
      <c r="F722"/>
      <c r="G722"/>
      <c r="H722" s="19"/>
      <c r="I722" s="19"/>
      <c r="J722" s="19"/>
      <c r="M722" s="7"/>
    </row>
    <row r="723" spans="2:13" x14ac:dyDescent="0.25">
      <c r="B723"/>
      <c r="C723"/>
      <c r="D723"/>
      <c r="E723"/>
      <c r="F723"/>
      <c r="G723"/>
      <c r="H723" s="19"/>
      <c r="I723" s="19"/>
      <c r="J723" s="19"/>
      <c r="M723" s="7"/>
    </row>
    <row r="724" spans="2:13" x14ac:dyDescent="0.25">
      <c r="B724"/>
      <c r="C724"/>
      <c r="D724"/>
      <c r="E724"/>
      <c r="F724"/>
      <c r="G724"/>
      <c r="H724" s="19"/>
      <c r="I724" s="19"/>
      <c r="J724" s="19"/>
      <c r="M724" s="7"/>
    </row>
    <row r="725" spans="2:13" x14ac:dyDescent="0.25">
      <c r="B725"/>
      <c r="C725"/>
      <c r="D725"/>
      <c r="E725"/>
      <c r="F725"/>
      <c r="G725"/>
      <c r="H725" s="19"/>
      <c r="I725" s="19"/>
      <c r="J725" s="19"/>
      <c r="M725" s="7"/>
    </row>
    <row r="726" spans="2:13" x14ac:dyDescent="0.25">
      <c r="B726"/>
      <c r="C726"/>
      <c r="D726"/>
      <c r="E726"/>
      <c r="F726"/>
      <c r="G726"/>
      <c r="H726" s="19"/>
      <c r="I726" s="19"/>
      <c r="J726" s="19"/>
      <c r="M726" s="7"/>
    </row>
    <row r="727" spans="2:13" x14ac:dyDescent="0.25">
      <c r="B727"/>
      <c r="C727"/>
      <c r="D727"/>
      <c r="E727"/>
      <c r="F727"/>
      <c r="G727"/>
      <c r="H727" s="19"/>
      <c r="I727" s="19"/>
      <c r="J727" s="19"/>
      <c r="M727" s="7"/>
    </row>
    <row r="728" spans="2:13" x14ac:dyDescent="0.25">
      <c r="B728"/>
      <c r="C728"/>
      <c r="D728"/>
      <c r="E728"/>
      <c r="F728"/>
      <c r="G728"/>
      <c r="H728" s="19"/>
      <c r="I728" s="19"/>
      <c r="J728" s="19"/>
      <c r="M728" s="7"/>
    </row>
    <row r="729" spans="2:13" x14ac:dyDescent="0.25">
      <c r="B729"/>
      <c r="C729"/>
      <c r="D729"/>
      <c r="E729"/>
      <c r="F729"/>
      <c r="G729"/>
      <c r="H729" s="19"/>
      <c r="I729" s="19"/>
      <c r="J729" s="19"/>
      <c r="M729" s="7"/>
    </row>
    <row r="730" spans="2:13" x14ac:dyDescent="0.25">
      <c r="B730"/>
      <c r="C730"/>
      <c r="D730"/>
      <c r="E730"/>
      <c r="F730"/>
      <c r="G730"/>
      <c r="H730" s="19"/>
      <c r="I730" s="19"/>
      <c r="J730" s="19"/>
      <c r="M730" s="7"/>
    </row>
    <row r="731" spans="2:13" x14ac:dyDescent="0.25">
      <c r="B731"/>
      <c r="C731"/>
      <c r="D731"/>
      <c r="E731"/>
      <c r="F731"/>
      <c r="G731"/>
      <c r="H731" s="19"/>
      <c r="I731" s="19"/>
      <c r="J731" s="19"/>
      <c r="M731" s="7"/>
    </row>
    <row r="732" spans="2:13" x14ac:dyDescent="0.25">
      <c r="B732"/>
      <c r="C732"/>
      <c r="D732"/>
      <c r="E732"/>
      <c r="F732"/>
      <c r="G732"/>
      <c r="H732" s="19"/>
      <c r="I732" s="19"/>
      <c r="J732" s="19"/>
      <c r="M732" s="7"/>
    </row>
    <row r="733" spans="2:13" x14ac:dyDescent="0.25">
      <c r="B733"/>
      <c r="C733"/>
      <c r="D733"/>
      <c r="E733"/>
      <c r="F733"/>
      <c r="G733"/>
      <c r="H733" s="19"/>
      <c r="I733" s="19"/>
      <c r="J733" s="19"/>
      <c r="M733" s="7"/>
    </row>
    <row r="734" spans="2:13" x14ac:dyDescent="0.25">
      <c r="B734"/>
      <c r="C734"/>
      <c r="D734"/>
      <c r="E734"/>
      <c r="F734"/>
      <c r="G734"/>
      <c r="H734" s="19"/>
      <c r="I734" s="19"/>
      <c r="J734" s="19"/>
      <c r="M734" s="7"/>
    </row>
    <row r="735" spans="2:13" x14ac:dyDescent="0.25">
      <c r="B735"/>
      <c r="C735"/>
      <c r="D735"/>
      <c r="E735"/>
      <c r="F735"/>
      <c r="G735"/>
      <c r="H735" s="19"/>
      <c r="I735" s="19"/>
      <c r="J735" s="19"/>
      <c r="M735" s="7"/>
    </row>
    <row r="736" spans="2:13" x14ac:dyDescent="0.25">
      <c r="B736"/>
      <c r="C736"/>
      <c r="D736"/>
      <c r="E736"/>
      <c r="F736"/>
      <c r="G736"/>
      <c r="H736" s="19"/>
      <c r="I736" s="19"/>
      <c r="J736" s="19"/>
      <c r="M736" s="7"/>
    </row>
    <row r="737" spans="2:13" x14ac:dyDescent="0.25">
      <c r="B737"/>
      <c r="C737"/>
      <c r="D737"/>
      <c r="E737"/>
      <c r="F737"/>
      <c r="G737"/>
      <c r="H737" s="19"/>
      <c r="I737" s="19"/>
      <c r="J737" s="19"/>
      <c r="M737" s="7"/>
    </row>
    <row r="738" spans="2:13" x14ac:dyDescent="0.25">
      <c r="B738"/>
      <c r="C738"/>
      <c r="D738"/>
      <c r="E738"/>
      <c r="F738"/>
      <c r="G738"/>
      <c r="H738" s="19"/>
      <c r="I738" s="19"/>
      <c r="J738" s="19"/>
      <c r="M738" s="7"/>
    </row>
    <row r="739" spans="2:13" x14ac:dyDescent="0.25">
      <c r="B739"/>
      <c r="C739"/>
      <c r="D739"/>
      <c r="E739"/>
      <c r="F739"/>
      <c r="G739"/>
      <c r="H739" s="19"/>
      <c r="I739" s="19"/>
      <c r="J739" s="19"/>
      <c r="M739" s="7"/>
    </row>
    <row r="740" spans="2:13" x14ac:dyDescent="0.25">
      <c r="B740"/>
      <c r="C740"/>
      <c r="D740"/>
      <c r="E740"/>
      <c r="F740"/>
      <c r="G740"/>
      <c r="H740" s="19"/>
      <c r="I740" s="19"/>
      <c r="J740" s="19"/>
      <c r="M740" s="7"/>
    </row>
    <row r="741" spans="2:13" x14ac:dyDescent="0.25">
      <c r="B741"/>
      <c r="C741"/>
      <c r="D741"/>
      <c r="E741"/>
      <c r="F741"/>
      <c r="G741"/>
      <c r="H741" s="19"/>
      <c r="I741" s="19"/>
      <c r="J741" s="19"/>
      <c r="M741" s="7"/>
    </row>
    <row r="742" spans="2:13" x14ac:dyDescent="0.25">
      <c r="B742"/>
      <c r="C742"/>
      <c r="D742"/>
      <c r="E742"/>
      <c r="F742"/>
      <c r="G742"/>
      <c r="H742" s="19"/>
      <c r="I742" s="19"/>
      <c r="J742" s="19"/>
      <c r="M742" s="7"/>
    </row>
    <row r="743" spans="2:13" x14ac:dyDescent="0.25">
      <c r="B743"/>
      <c r="C743"/>
      <c r="D743"/>
      <c r="E743"/>
      <c r="F743"/>
      <c r="G743"/>
      <c r="H743" s="19"/>
      <c r="I743" s="19"/>
      <c r="J743" s="19"/>
      <c r="M743" s="7"/>
    </row>
    <row r="744" spans="2:13" x14ac:dyDescent="0.25">
      <c r="B744"/>
      <c r="C744"/>
      <c r="D744"/>
      <c r="E744"/>
      <c r="F744"/>
      <c r="G744"/>
      <c r="H744" s="19"/>
      <c r="I744" s="19"/>
      <c r="J744" s="19"/>
      <c r="M744" s="7"/>
    </row>
    <row r="745" spans="2:13" x14ac:dyDescent="0.25">
      <c r="B745"/>
      <c r="C745"/>
      <c r="D745"/>
      <c r="E745"/>
      <c r="F745"/>
      <c r="G745"/>
      <c r="H745" s="19"/>
      <c r="I745" s="19"/>
      <c r="J745" s="19"/>
      <c r="M745" s="7"/>
    </row>
    <row r="746" spans="2:13" x14ac:dyDescent="0.25">
      <c r="B746"/>
      <c r="C746"/>
      <c r="D746"/>
      <c r="E746"/>
      <c r="F746"/>
      <c r="G746"/>
      <c r="H746" s="19"/>
      <c r="I746" s="19"/>
      <c r="J746" s="19"/>
      <c r="M746" s="7"/>
    </row>
    <row r="747" spans="2:13" x14ac:dyDescent="0.25">
      <c r="B747"/>
      <c r="C747"/>
      <c r="D747"/>
      <c r="E747"/>
      <c r="F747"/>
      <c r="G747"/>
      <c r="H747" s="19"/>
      <c r="I747" s="19"/>
      <c r="J747" s="19"/>
      <c r="M747" s="7"/>
    </row>
    <row r="748" spans="2:13" x14ac:dyDescent="0.25">
      <c r="B748"/>
      <c r="C748"/>
      <c r="D748"/>
      <c r="E748"/>
      <c r="F748"/>
      <c r="G748"/>
      <c r="H748" s="19"/>
      <c r="I748" s="19"/>
      <c r="J748" s="19"/>
      <c r="M748" s="7"/>
    </row>
    <row r="749" spans="2:13" x14ac:dyDescent="0.25">
      <c r="B749"/>
      <c r="C749"/>
      <c r="D749"/>
      <c r="E749"/>
      <c r="F749"/>
      <c r="G749"/>
      <c r="H749" s="19"/>
      <c r="I749" s="19"/>
      <c r="J749" s="19"/>
      <c r="M749" s="7"/>
    </row>
    <row r="750" spans="2:13" x14ac:dyDescent="0.25">
      <c r="B750"/>
      <c r="C750"/>
      <c r="D750"/>
      <c r="E750"/>
      <c r="F750"/>
      <c r="G750"/>
      <c r="H750" s="19"/>
      <c r="I750" s="19"/>
      <c r="J750" s="19"/>
      <c r="M750" s="7"/>
    </row>
    <row r="751" spans="2:13" x14ac:dyDescent="0.25">
      <c r="B751"/>
      <c r="C751"/>
      <c r="D751"/>
      <c r="E751"/>
      <c r="F751"/>
      <c r="G751"/>
      <c r="H751" s="19"/>
      <c r="I751" s="19"/>
      <c r="J751" s="19"/>
      <c r="M751" s="7"/>
    </row>
    <row r="752" spans="2:13" x14ac:dyDescent="0.25">
      <c r="B752"/>
      <c r="C752"/>
      <c r="D752"/>
      <c r="E752"/>
      <c r="F752"/>
      <c r="G752"/>
      <c r="H752" s="19"/>
      <c r="I752" s="19"/>
      <c r="J752" s="19"/>
      <c r="M752" s="7"/>
    </row>
    <row r="753" spans="2:13" x14ac:dyDescent="0.25">
      <c r="B753"/>
      <c r="C753"/>
      <c r="D753"/>
      <c r="E753"/>
      <c r="F753"/>
      <c r="G753"/>
      <c r="H753" s="19"/>
      <c r="I753" s="19"/>
      <c r="J753" s="19"/>
      <c r="M753" s="7"/>
    </row>
    <row r="754" spans="2:13" x14ac:dyDescent="0.25">
      <c r="B754"/>
      <c r="C754"/>
      <c r="D754"/>
      <c r="E754"/>
      <c r="F754"/>
      <c r="G754"/>
      <c r="H754" s="19"/>
      <c r="I754" s="19"/>
      <c r="J754" s="19"/>
      <c r="M754" s="7"/>
    </row>
    <row r="755" spans="2:13" x14ac:dyDescent="0.25">
      <c r="B755"/>
      <c r="C755"/>
      <c r="D755"/>
      <c r="E755"/>
      <c r="F755"/>
      <c r="G755"/>
      <c r="H755" s="19"/>
      <c r="I755" s="19"/>
      <c r="J755" s="19"/>
      <c r="M755" s="7"/>
    </row>
    <row r="756" spans="2:13" x14ac:dyDescent="0.25">
      <c r="B756"/>
      <c r="C756"/>
      <c r="D756"/>
      <c r="E756"/>
      <c r="F756"/>
      <c r="G756"/>
      <c r="H756" s="19"/>
      <c r="I756" s="19"/>
      <c r="J756" s="19"/>
      <c r="M756" s="7"/>
    </row>
    <row r="757" spans="2:13" x14ac:dyDescent="0.25">
      <c r="B757"/>
      <c r="C757"/>
      <c r="D757"/>
      <c r="E757"/>
      <c r="F757"/>
      <c r="G757"/>
      <c r="H757" s="19"/>
      <c r="I757" s="19"/>
      <c r="J757" s="19"/>
      <c r="M757" s="7"/>
    </row>
    <row r="758" spans="2:13" x14ac:dyDescent="0.25">
      <c r="B758"/>
      <c r="C758"/>
      <c r="D758"/>
      <c r="E758"/>
      <c r="F758"/>
      <c r="G758"/>
      <c r="H758" s="19"/>
      <c r="I758" s="19"/>
      <c r="J758" s="19"/>
      <c r="M758" s="7"/>
    </row>
    <row r="759" spans="2:13" x14ac:dyDescent="0.25">
      <c r="B759"/>
      <c r="C759"/>
      <c r="D759"/>
      <c r="E759"/>
      <c r="F759"/>
      <c r="G759"/>
      <c r="H759" s="19"/>
      <c r="I759" s="19"/>
      <c r="J759" s="19"/>
      <c r="M759" s="7"/>
    </row>
    <row r="760" spans="2:13" x14ac:dyDescent="0.25">
      <c r="B760"/>
      <c r="C760"/>
      <c r="D760"/>
      <c r="E760"/>
      <c r="F760"/>
      <c r="G760"/>
      <c r="H760" s="19"/>
      <c r="I760" s="19"/>
      <c r="J760" s="19"/>
      <c r="M760" s="7"/>
    </row>
    <row r="761" spans="2:13" x14ac:dyDescent="0.25">
      <c r="B761"/>
      <c r="C761"/>
      <c r="D761"/>
      <c r="E761"/>
      <c r="F761"/>
      <c r="G761"/>
      <c r="H761" s="19"/>
      <c r="I761" s="19"/>
      <c r="J761" s="19"/>
      <c r="M761" s="7"/>
    </row>
    <row r="762" spans="2:13" x14ac:dyDescent="0.25">
      <c r="B762"/>
      <c r="C762"/>
      <c r="D762"/>
      <c r="E762"/>
      <c r="F762"/>
      <c r="G762"/>
      <c r="H762" s="19"/>
      <c r="I762" s="19"/>
      <c r="J762" s="19"/>
      <c r="M762" s="7"/>
    </row>
    <row r="763" spans="2:13" x14ac:dyDescent="0.25">
      <c r="B763"/>
      <c r="C763"/>
      <c r="D763"/>
      <c r="E763"/>
      <c r="F763"/>
      <c r="G763"/>
      <c r="H763" s="19"/>
      <c r="I763" s="19"/>
      <c r="J763" s="19"/>
      <c r="M763" s="7"/>
    </row>
    <row r="764" spans="2:13" x14ac:dyDescent="0.25">
      <c r="B764"/>
      <c r="C764"/>
      <c r="D764"/>
      <c r="E764"/>
      <c r="F764"/>
      <c r="G764"/>
      <c r="H764" s="19"/>
      <c r="I764" s="19"/>
      <c r="J764" s="19"/>
      <c r="M764" s="7"/>
    </row>
    <row r="765" spans="2:13" x14ac:dyDescent="0.25">
      <c r="B765"/>
      <c r="C765"/>
      <c r="D765"/>
      <c r="E765"/>
      <c r="F765"/>
      <c r="G765"/>
      <c r="H765" s="19"/>
      <c r="I765" s="19"/>
      <c r="J765" s="19"/>
      <c r="M765" s="7"/>
    </row>
    <row r="766" spans="2:13" x14ac:dyDescent="0.25">
      <c r="B766"/>
      <c r="C766"/>
      <c r="D766"/>
      <c r="E766"/>
      <c r="F766"/>
      <c r="G766"/>
      <c r="H766" s="19"/>
      <c r="I766" s="19"/>
      <c r="J766" s="19"/>
      <c r="M766" s="7"/>
    </row>
    <row r="767" spans="2:13" x14ac:dyDescent="0.25">
      <c r="B767"/>
      <c r="C767"/>
      <c r="D767"/>
      <c r="E767"/>
      <c r="F767"/>
      <c r="G767"/>
      <c r="H767" s="19"/>
      <c r="I767" s="19"/>
      <c r="J767" s="19"/>
      <c r="M767" s="7"/>
    </row>
    <row r="768" spans="2:13" x14ac:dyDescent="0.25">
      <c r="B768"/>
      <c r="C768"/>
      <c r="D768"/>
      <c r="E768"/>
      <c r="F768"/>
      <c r="G768"/>
      <c r="H768" s="19"/>
      <c r="I768" s="19"/>
      <c r="J768" s="19"/>
      <c r="M768" s="7"/>
    </row>
    <row r="769" spans="2:13" x14ac:dyDescent="0.25">
      <c r="B769"/>
      <c r="C769"/>
      <c r="D769"/>
      <c r="E769"/>
      <c r="F769"/>
      <c r="G769"/>
      <c r="H769" s="19"/>
      <c r="I769" s="19"/>
      <c r="J769" s="19"/>
      <c r="M769" s="7"/>
    </row>
    <row r="770" spans="2:13" x14ac:dyDescent="0.25">
      <c r="B770"/>
      <c r="C770"/>
      <c r="D770"/>
      <c r="E770"/>
      <c r="F770"/>
      <c r="G770"/>
      <c r="H770" s="19"/>
      <c r="I770" s="19"/>
      <c r="J770" s="19"/>
      <c r="M770" s="7"/>
    </row>
    <row r="771" spans="2:13" x14ac:dyDescent="0.25">
      <c r="B771"/>
      <c r="C771"/>
      <c r="D771"/>
      <c r="E771"/>
      <c r="F771"/>
      <c r="G771"/>
      <c r="H771" s="19"/>
      <c r="I771" s="19"/>
      <c r="J771" s="19"/>
      <c r="M771" s="7"/>
    </row>
    <row r="772" spans="2:13" x14ac:dyDescent="0.25">
      <c r="B772"/>
      <c r="C772"/>
      <c r="D772"/>
      <c r="E772"/>
      <c r="F772"/>
      <c r="G772"/>
      <c r="H772" s="19"/>
      <c r="I772" s="19"/>
      <c r="J772" s="19"/>
      <c r="M772" s="7"/>
    </row>
    <row r="773" spans="2:13" x14ac:dyDescent="0.25">
      <c r="B773"/>
      <c r="C773"/>
      <c r="D773"/>
      <c r="E773"/>
      <c r="F773"/>
      <c r="G773"/>
      <c r="H773" s="19"/>
      <c r="I773" s="19"/>
      <c r="J773" s="19"/>
      <c r="M773" s="7"/>
    </row>
    <row r="774" spans="2:13" x14ac:dyDescent="0.25">
      <c r="B774"/>
      <c r="C774"/>
      <c r="D774"/>
      <c r="E774"/>
      <c r="F774"/>
      <c r="G774"/>
      <c r="H774" s="19"/>
      <c r="I774" s="19"/>
      <c r="J774" s="19"/>
      <c r="M774" s="7"/>
    </row>
    <row r="775" spans="2:13" x14ac:dyDescent="0.25">
      <c r="B775"/>
      <c r="C775"/>
      <c r="D775"/>
      <c r="E775"/>
      <c r="F775"/>
      <c r="G775"/>
      <c r="H775" s="19"/>
      <c r="I775" s="19"/>
      <c r="J775" s="19"/>
      <c r="M775" s="7"/>
    </row>
    <row r="776" spans="2:13" x14ac:dyDescent="0.25">
      <c r="B776"/>
      <c r="C776"/>
      <c r="D776"/>
      <c r="E776"/>
      <c r="F776"/>
      <c r="G776"/>
      <c r="H776" s="19"/>
      <c r="I776" s="19"/>
      <c r="J776" s="19"/>
      <c r="M776" s="7"/>
    </row>
    <row r="777" spans="2:13" x14ac:dyDescent="0.25">
      <c r="B777"/>
      <c r="C777"/>
      <c r="D777"/>
      <c r="E777"/>
      <c r="F777"/>
      <c r="G777"/>
      <c r="H777" s="19"/>
      <c r="I777" s="19"/>
      <c r="J777" s="19"/>
      <c r="M777" s="7"/>
    </row>
    <row r="778" spans="2:13" x14ac:dyDescent="0.25">
      <c r="B778"/>
      <c r="C778"/>
      <c r="D778"/>
      <c r="E778"/>
      <c r="F778"/>
      <c r="G778"/>
      <c r="H778" s="19"/>
      <c r="I778" s="19"/>
      <c r="J778" s="19"/>
      <c r="M778" s="7"/>
    </row>
    <row r="779" spans="2:13" x14ac:dyDescent="0.25">
      <c r="B779"/>
      <c r="C779"/>
      <c r="D779"/>
      <c r="E779"/>
      <c r="F779"/>
      <c r="G779"/>
      <c r="H779" s="19"/>
      <c r="I779" s="19"/>
      <c r="J779" s="19"/>
      <c r="M779" s="7"/>
    </row>
    <row r="780" spans="2:13" x14ac:dyDescent="0.25">
      <c r="B780"/>
      <c r="C780"/>
      <c r="D780"/>
      <c r="E780"/>
      <c r="F780"/>
      <c r="G780"/>
      <c r="H780" s="19"/>
      <c r="I780" s="19"/>
      <c r="J780" s="19"/>
      <c r="M780" s="7"/>
    </row>
    <row r="781" spans="2:13" x14ac:dyDescent="0.25">
      <c r="B781"/>
      <c r="C781"/>
      <c r="D781"/>
      <c r="E781"/>
      <c r="F781"/>
      <c r="G781"/>
      <c r="H781" s="19"/>
      <c r="I781" s="19"/>
      <c r="J781" s="19"/>
      <c r="M781" s="7"/>
    </row>
    <row r="782" spans="2:13" x14ac:dyDescent="0.25">
      <c r="B782"/>
      <c r="C782"/>
      <c r="D782"/>
      <c r="E782"/>
      <c r="F782"/>
      <c r="G782"/>
      <c r="H782" s="19"/>
      <c r="I782" s="19"/>
      <c r="J782" s="19"/>
      <c r="M782" s="7"/>
    </row>
    <row r="783" spans="2:13" x14ac:dyDescent="0.25">
      <c r="B783"/>
      <c r="C783"/>
      <c r="D783"/>
      <c r="E783"/>
      <c r="F783"/>
      <c r="G783"/>
      <c r="H783" s="19"/>
      <c r="I783" s="19"/>
      <c r="J783" s="19"/>
      <c r="M783" s="7"/>
    </row>
    <row r="784" spans="2:13" x14ac:dyDescent="0.25">
      <c r="B784"/>
      <c r="C784"/>
      <c r="D784"/>
      <c r="E784"/>
      <c r="F784"/>
      <c r="G784"/>
      <c r="H784" s="19"/>
      <c r="I784" s="19"/>
      <c r="J784" s="19"/>
      <c r="M784" s="7"/>
    </row>
    <row r="785" spans="2:13" x14ac:dyDescent="0.25">
      <c r="B785"/>
      <c r="C785"/>
      <c r="D785"/>
      <c r="E785"/>
      <c r="F785"/>
      <c r="G785"/>
      <c r="H785" s="19"/>
      <c r="I785" s="19"/>
      <c r="J785" s="19"/>
      <c r="M785" s="7"/>
    </row>
    <row r="786" spans="2:13" x14ac:dyDescent="0.25">
      <c r="B786"/>
      <c r="C786"/>
      <c r="D786"/>
      <c r="E786"/>
      <c r="F786"/>
      <c r="G786"/>
      <c r="H786" s="19"/>
      <c r="I786" s="19"/>
      <c r="J786" s="19"/>
      <c r="M786" s="7"/>
    </row>
    <row r="787" spans="2:13" x14ac:dyDescent="0.25">
      <c r="B787"/>
      <c r="C787"/>
      <c r="D787"/>
      <c r="E787"/>
      <c r="F787"/>
      <c r="G787"/>
      <c r="H787" s="19"/>
      <c r="I787" s="19"/>
      <c r="J787" s="19"/>
      <c r="M787" s="7"/>
    </row>
    <row r="788" spans="2:13" x14ac:dyDescent="0.25">
      <c r="B788"/>
      <c r="C788"/>
      <c r="D788"/>
      <c r="E788"/>
      <c r="F788"/>
      <c r="G788"/>
      <c r="H788" s="19"/>
      <c r="I788" s="19"/>
      <c r="J788" s="19"/>
      <c r="M788" s="7"/>
    </row>
    <row r="789" spans="2:13" x14ac:dyDescent="0.25">
      <c r="B789"/>
      <c r="C789"/>
      <c r="D789"/>
      <c r="E789"/>
      <c r="F789"/>
      <c r="G789"/>
      <c r="H789" s="19"/>
      <c r="I789" s="19"/>
      <c r="J789" s="19"/>
      <c r="M789" s="7"/>
    </row>
    <row r="790" spans="2:13" x14ac:dyDescent="0.25">
      <c r="B790"/>
      <c r="C790"/>
      <c r="D790"/>
      <c r="E790"/>
      <c r="F790"/>
      <c r="G790"/>
      <c r="H790" s="19"/>
      <c r="I790" s="19"/>
      <c r="J790" s="19"/>
      <c r="M790" s="7"/>
    </row>
    <row r="791" spans="2:13" x14ac:dyDescent="0.25">
      <c r="B791"/>
      <c r="C791"/>
      <c r="D791"/>
      <c r="E791"/>
      <c r="F791"/>
      <c r="G791"/>
      <c r="H791" s="19"/>
      <c r="I791" s="19"/>
      <c r="J791" s="19"/>
      <c r="M791" s="7"/>
    </row>
    <row r="792" spans="2:13" x14ac:dyDescent="0.25">
      <c r="B792"/>
      <c r="C792"/>
      <c r="D792"/>
      <c r="E792"/>
      <c r="F792"/>
      <c r="G792"/>
      <c r="H792" s="19"/>
      <c r="I792" s="19"/>
      <c r="J792" s="19"/>
      <c r="M792" s="7"/>
    </row>
    <row r="793" spans="2:13" x14ac:dyDescent="0.25">
      <c r="B793"/>
      <c r="C793"/>
      <c r="D793"/>
      <c r="E793"/>
      <c r="F793"/>
      <c r="G793"/>
      <c r="H793" s="19"/>
      <c r="I793" s="19"/>
      <c r="J793" s="19"/>
      <c r="M793" s="7"/>
    </row>
    <row r="794" spans="2:13" x14ac:dyDescent="0.25">
      <c r="B794"/>
      <c r="C794"/>
      <c r="D794"/>
      <c r="E794"/>
      <c r="F794"/>
      <c r="G794"/>
      <c r="H794" s="19"/>
      <c r="I794" s="19"/>
      <c r="J794" s="19"/>
      <c r="M794" s="7"/>
    </row>
    <row r="795" spans="2:13" x14ac:dyDescent="0.25">
      <c r="B795"/>
      <c r="C795"/>
      <c r="D795"/>
      <c r="E795"/>
      <c r="F795"/>
      <c r="G795"/>
      <c r="H795" s="19"/>
      <c r="I795" s="19"/>
      <c r="J795" s="19"/>
      <c r="M795" s="7"/>
    </row>
    <row r="796" spans="2:13" x14ac:dyDescent="0.25">
      <c r="B796"/>
      <c r="C796"/>
      <c r="D796"/>
      <c r="E796"/>
      <c r="F796"/>
      <c r="G796"/>
      <c r="H796" s="19"/>
      <c r="I796" s="19"/>
      <c r="J796" s="19"/>
      <c r="M796" s="7"/>
    </row>
    <row r="797" spans="2:13" x14ac:dyDescent="0.25">
      <c r="B797"/>
      <c r="C797"/>
      <c r="D797"/>
      <c r="E797"/>
      <c r="F797"/>
      <c r="G797"/>
      <c r="H797" s="19"/>
      <c r="I797" s="19"/>
      <c r="J797" s="19"/>
      <c r="M797" s="7"/>
    </row>
    <row r="798" spans="2:13" x14ac:dyDescent="0.25">
      <c r="B798"/>
      <c r="C798"/>
      <c r="D798"/>
      <c r="E798"/>
      <c r="F798"/>
      <c r="G798"/>
      <c r="H798" s="19"/>
      <c r="I798" s="19"/>
      <c r="J798" s="19"/>
      <c r="M798" s="7"/>
    </row>
    <row r="799" spans="2:13" x14ac:dyDescent="0.25">
      <c r="B799"/>
      <c r="C799"/>
      <c r="D799"/>
      <c r="E799"/>
      <c r="F799"/>
      <c r="G799"/>
      <c r="H799" s="19"/>
      <c r="I799" s="19"/>
      <c r="J799" s="19"/>
      <c r="M799" s="7"/>
    </row>
    <row r="800" spans="2:13" x14ac:dyDescent="0.25">
      <c r="B800"/>
      <c r="C800"/>
      <c r="D800"/>
      <c r="E800"/>
      <c r="F800"/>
      <c r="G800"/>
      <c r="H800" s="19"/>
      <c r="I800" s="19"/>
      <c r="J800" s="19"/>
      <c r="M800" s="7"/>
    </row>
    <row r="801" spans="2:13" x14ac:dyDescent="0.25">
      <c r="B801"/>
      <c r="C801"/>
      <c r="D801"/>
      <c r="E801"/>
      <c r="F801"/>
      <c r="G801"/>
      <c r="H801" s="19"/>
      <c r="I801" s="19"/>
      <c r="J801" s="19"/>
      <c r="M801" s="7"/>
    </row>
    <row r="802" spans="2:13" x14ac:dyDescent="0.25">
      <c r="B802"/>
      <c r="C802"/>
      <c r="D802"/>
      <c r="E802"/>
      <c r="F802"/>
      <c r="G802"/>
      <c r="H802" s="19"/>
      <c r="I802" s="19"/>
      <c r="J802" s="19"/>
      <c r="M802" s="7"/>
    </row>
    <row r="803" spans="2:13" x14ac:dyDescent="0.25">
      <c r="B803"/>
      <c r="C803"/>
      <c r="D803"/>
      <c r="E803"/>
      <c r="F803"/>
      <c r="G803"/>
      <c r="H803" s="19"/>
      <c r="I803" s="19"/>
      <c r="J803" s="19"/>
      <c r="M803" s="7"/>
    </row>
    <row r="804" spans="2:13" x14ac:dyDescent="0.25">
      <c r="B804"/>
      <c r="C804"/>
      <c r="D804"/>
      <c r="E804"/>
      <c r="F804"/>
      <c r="G804"/>
      <c r="H804" s="19"/>
      <c r="I804" s="19"/>
      <c r="J804" s="19"/>
      <c r="M804" s="7"/>
    </row>
    <row r="805" spans="2:13" x14ac:dyDescent="0.25">
      <c r="B805"/>
      <c r="C805"/>
      <c r="D805"/>
      <c r="E805"/>
      <c r="F805"/>
      <c r="G805"/>
      <c r="H805" s="19"/>
      <c r="I805" s="19"/>
      <c r="J805" s="19"/>
      <c r="M805" s="7"/>
    </row>
    <row r="806" spans="2:13" x14ac:dyDescent="0.25">
      <c r="B806"/>
      <c r="C806"/>
      <c r="D806"/>
      <c r="E806"/>
      <c r="F806"/>
      <c r="G806"/>
      <c r="H806" s="19"/>
      <c r="I806" s="19"/>
      <c r="J806" s="19"/>
      <c r="M806" s="7"/>
    </row>
    <row r="807" spans="2:13" x14ac:dyDescent="0.25">
      <c r="B807"/>
      <c r="C807"/>
      <c r="D807"/>
      <c r="E807"/>
      <c r="F807"/>
      <c r="G807"/>
      <c r="H807" s="19"/>
      <c r="I807" s="19"/>
      <c r="J807" s="19"/>
      <c r="M807" s="7"/>
    </row>
    <row r="808" spans="2:13" x14ac:dyDescent="0.25">
      <c r="B808"/>
      <c r="C808"/>
      <c r="D808"/>
      <c r="E808"/>
      <c r="F808"/>
      <c r="G808"/>
      <c r="H808" s="19"/>
      <c r="I808" s="19"/>
      <c r="J808" s="19"/>
      <c r="M808" s="7"/>
    </row>
    <row r="809" spans="2:13" x14ac:dyDescent="0.25">
      <c r="B809"/>
      <c r="C809"/>
      <c r="D809"/>
      <c r="E809"/>
      <c r="F809"/>
      <c r="G809"/>
      <c r="H809" s="19"/>
      <c r="I809" s="19"/>
      <c r="J809" s="19"/>
      <c r="M809" s="7"/>
    </row>
    <row r="810" spans="2:13" x14ac:dyDescent="0.25">
      <c r="B810"/>
      <c r="C810"/>
      <c r="D810"/>
      <c r="E810"/>
      <c r="F810"/>
      <c r="G810"/>
      <c r="H810" s="19"/>
      <c r="I810" s="19"/>
      <c r="J810" s="19"/>
      <c r="M810" s="7"/>
    </row>
    <row r="811" spans="2:13" x14ac:dyDescent="0.25">
      <c r="B811"/>
      <c r="C811"/>
      <c r="D811"/>
      <c r="E811"/>
      <c r="F811"/>
      <c r="G811"/>
      <c r="H811" s="19"/>
      <c r="I811" s="19"/>
      <c r="J811" s="19"/>
      <c r="M811" s="7"/>
    </row>
    <row r="812" spans="2:13" x14ac:dyDescent="0.25">
      <c r="B812"/>
      <c r="C812"/>
      <c r="D812"/>
      <c r="E812"/>
      <c r="F812"/>
      <c r="G812"/>
      <c r="H812" s="19"/>
      <c r="I812" s="19"/>
      <c r="J812" s="19"/>
      <c r="M812" s="7"/>
    </row>
    <row r="813" spans="2:13" x14ac:dyDescent="0.25">
      <c r="B813"/>
      <c r="C813"/>
      <c r="D813"/>
      <c r="E813"/>
      <c r="F813"/>
      <c r="G813"/>
      <c r="H813" s="19"/>
      <c r="I813" s="19"/>
      <c r="J813" s="19"/>
      <c r="M813" s="7"/>
    </row>
    <row r="814" spans="2:13" x14ac:dyDescent="0.25">
      <c r="B814"/>
      <c r="C814"/>
      <c r="D814"/>
      <c r="E814"/>
      <c r="F814"/>
      <c r="G814"/>
      <c r="H814" s="19"/>
      <c r="I814" s="19"/>
      <c r="J814" s="19"/>
      <c r="M814" s="7"/>
    </row>
    <row r="815" spans="2:13" x14ac:dyDescent="0.25">
      <c r="B815"/>
      <c r="C815"/>
      <c r="D815"/>
      <c r="E815"/>
      <c r="F815"/>
      <c r="G815"/>
      <c r="H815" s="19"/>
      <c r="I815" s="19"/>
      <c r="J815" s="19"/>
      <c r="M815" s="7"/>
    </row>
    <row r="816" spans="2:13" x14ac:dyDescent="0.25">
      <c r="B816"/>
      <c r="C816"/>
      <c r="D816"/>
      <c r="E816"/>
      <c r="F816"/>
      <c r="G816"/>
      <c r="H816" s="19"/>
      <c r="I816" s="19"/>
      <c r="J816" s="19"/>
      <c r="M816" s="7"/>
    </row>
    <row r="817" spans="2:13" x14ac:dyDescent="0.25">
      <c r="B817"/>
      <c r="C817"/>
      <c r="D817"/>
      <c r="E817"/>
      <c r="F817"/>
      <c r="G817"/>
      <c r="H817" s="19"/>
      <c r="I817" s="19"/>
      <c r="J817" s="19"/>
      <c r="M817" s="7"/>
    </row>
    <row r="818" spans="2:13" x14ac:dyDescent="0.25">
      <c r="B818"/>
      <c r="C818"/>
      <c r="D818"/>
      <c r="E818"/>
      <c r="F818"/>
      <c r="G818"/>
      <c r="H818" s="19"/>
      <c r="I818" s="19"/>
      <c r="J818" s="19"/>
      <c r="M818" s="7"/>
    </row>
    <row r="819" spans="2:13" x14ac:dyDescent="0.25">
      <c r="B819"/>
      <c r="C819"/>
      <c r="D819"/>
      <c r="E819"/>
      <c r="F819"/>
      <c r="G819"/>
      <c r="H819" s="19"/>
      <c r="I819" s="19"/>
      <c r="J819" s="19"/>
      <c r="M819" s="7"/>
    </row>
    <row r="820" spans="2:13" x14ac:dyDescent="0.25">
      <c r="B820"/>
      <c r="C820"/>
      <c r="D820"/>
      <c r="E820"/>
      <c r="F820"/>
      <c r="G820"/>
      <c r="H820" s="19"/>
      <c r="I820" s="19"/>
      <c r="J820" s="19"/>
      <c r="M820" s="7"/>
    </row>
    <row r="821" spans="2:13" x14ac:dyDescent="0.25">
      <c r="B821"/>
      <c r="C821"/>
      <c r="D821"/>
      <c r="E821"/>
      <c r="F821"/>
      <c r="G821"/>
      <c r="H821" s="19"/>
      <c r="I821" s="19"/>
      <c r="J821" s="19"/>
      <c r="M821" s="7"/>
    </row>
    <row r="822" spans="2:13" x14ac:dyDescent="0.25">
      <c r="B822"/>
      <c r="C822"/>
      <c r="D822"/>
      <c r="E822"/>
      <c r="F822"/>
      <c r="G822"/>
      <c r="H822" s="19"/>
      <c r="I822" s="19"/>
      <c r="J822" s="19"/>
      <c r="M822" s="7"/>
    </row>
    <row r="823" spans="2:13" x14ac:dyDescent="0.25">
      <c r="B823"/>
      <c r="C823"/>
      <c r="D823"/>
      <c r="E823"/>
      <c r="F823"/>
      <c r="G823"/>
      <c r="H823" s="19"/>
      <c r="I823" s="19"/>
      <c r="J823" s="19"/>
      <c r="M823" s="7"/>
    </row>
    <row r="824" spans="2:13" x14ac:dyDescent="0.25">
      <c r="B824"/>
      <c r="C824"/>
      <c r="D824"/>
      <c r="E824"/>
      <c r="F824"/>
      <c r="G824"/>
      <c r="H824" s="19"/>
      <c r="I824" s="19"/>
      <c r="J824" s="19"/>
      <c r="M824" s="7"/>
    </row>
    <row r="825" spans="2:13" x14ac:dyDescent="0.25">
      <c r="B825"/>
      <c r="C825"/>
      <c r="D825"/>
      <c r="E825"/>
      <c r="F825"/>
      <c r="G825"/>
      <c r="H825" s="19"/>
      <c r="I825" s="19"/>
      <c r="J825" s="19"/>
      <c r="M825" s="7"/>
    </row>
    <row r="826" spans="2:13" x14ac:dyDescent="0.25">
      <c r="B826"/>
      <c r="C826"/>
      <c r="D826"/>
      <c r="E826"/>
      <c r="F826"/>
      <c r="G826"/>
      <c r="H826" s="19"/>
      <c r="I826" s="19"/>
      <c r="J826" s="19"/>
      <c r="M826" s="7"/>
    </row>
    <row r="827" spans="2:13" x14ac:dyDescent="0.25">
      <c r="B827"/>
      <c r="C827"/>
      <c r="D827"/>
      <c r="E827"/>
      <c r="F827"/>
      <c r="G827"/>
      <c r="H827" s="19"/>
      <c r="I827" s="19"/>
      <c r="J827" s="19"/>
      <c r="M827" s="7"/>
    </row>
    <row r="828" spans="2:13" x14ac:dyDescent="0.25">
      <c r="B828"/>
      <c r="C828"/>
      <c r="D828"/>
      <c r="E828"/>
      <c r="F828"/>
      <c r="G828"/>
      <c r="H828" s="19"/>
      <c r="I828" s="19"/>
      <c r="J828" s="19"/>
      <c r="M828" s="7"/>
    </row>
    <row r="829" spans="2:13" x14ac:dyDescent="0.25">
      <c r="B829"/>
      <c r="C829"/>
      <c r="D829"/>
      <c r="E829"/>
      <c r="F829"/>
      <c r="G829"/>
      <c r="H829" s="19"/>
      <c r="I829" s="19"/>
      <c r="J829" s="19"/>
      <c r="M829" s="7"/>
    </row>
    <row r="830" spans="2:13" x14ac:dyDescent="0.25">
      <c r="B830"/>
      <c r="C830"/>
      <c r="D830"/>
      <c r="E830"/>
      <c r="F830"/>
      <c r="G830"/>
      <c r="H830" s="19"/>
      <c r="I830" s="19"/>
      <c r="J830" s="19"/>
      <c r="M830" s="7"/>
    </row>
    <row r="831" spans="2:13" x14ac:dyDescent="0.25">
      <c r="B831"/>
      <c r="C831"/>
      <c r="D831"/>
      <c r="E831"/>
      <c r="F831"/>
      <c r="G831"/>
      <c r="H831" s="19"/>
      <c r="I831" s="19"/>
      <c r="J831" s="19"/>
      <c r="M831" s="7"/>
    </row>
    <row r="832" spans="2:13" x14ac:dyDescent="0.25">
      <c r="B832"/>
      <c r="C832"/>
      <c r="D832"/>
      <c r="E832"/>
      <c r="F832"/>
      <c r="G832"/>
      <c r="H832" s="19"/>
      <c r="I832" s="19"/>
      <c r="J832" s="19"/>
      <c r="M832" s="7"/>
    </row>
    <row r="833" spans="2:13" x14ac:dyDescent="0.25">
      <c r="B833"/>
      <c r="C833"/>
      <c r="D833"/>
      <c r="E833"/>
      <c r="F833"/>
      <c r="G833"/>
      <c r="H833" s="19"/>
      <c r="I833" s="19"/>
      <c r="J833" s="19"/>
      <c r="M833" s="7"/>
    </row>
    <row r="834" spans="2:13" x14ac:dyDescent="0.25">
      <c r="B834"/>
      <c r="C834"/>
      <c r="D834"/>
      <c r="E834"/>
      <c r="F834"/>
      <c r="G834"/>
      <c r="H834" s="19"/>
      <c r="I834" s="19"/>
      <c r="J834" s="19"/>
      <c r="M834" s="7"/>
    </row>
    <row r="835" spans="2:13" x14ac:dyDescent="0.25">
      <c r="B835"/>
      <c r="C835"/>
      <c r="D835"/>
      <c r="E835"/>
      <c r="F835"/>
      <c r="G835"/>
      <c r="H835" s="19"/>
      <c r="I835" s="19"/>
      <c r="J835" s="19"/>
      <c r="M835" s="7"/>
    </row>
    <row r="836" spans="2:13" x14ac:dyDescent="0.25">
      <c r="B836"/>
      <c r="C836"/>
      <c r="D836"/>
      <c r="E836"/>
      <c r="F836"/>
      <c r="G836"/>
      <c r="H836" s="19"/>
      <c r="I836" s="19"/>
      <c r="J836" s="19"/>
      <c r="M836" s="7"/>
    </row>
    <row r="837" spans="2:13" x14ac:dyDescent="0.25">
      <c r="B837"/>
      <c r="C837"/>
      <c r="D837"/>
      <c r="E837"/>
      <c r="F837"/>
      <c r="G837"/>
      <c r="H837" s="19"/>
      <c r="I837" s="19"/>
      <c r="J837" s="19"/>
      <c r="M837" s="7"/>
    </row>
    <row r="838" spans="2:13" x14ac:dyDescent="0.25">
      <c r="B838"/>
      <c r="C838"/>
      <c r="D838"/>
      <c r="E838"/>
      <c r="F838"/>
      <c r="G838"/>
      <c r="H838" s="19"/>
      <c r="I838" s="19"/>
      <c r="J838" s="19"/>
      <c r="M838" s="7"/>
    </row>
    <row r="839" spans="2:13" x14ac:dyDescent="0.25">
      <c r="B839"/>
      <c r="C839"/>
      <c r="D839"/>
      <c r="E839"/>
      <c r="F839"/>
      <c r="G839"/>
      <c r="H839" s="19"/>
      <c r="I839" s="19"/>
      <c r="J839" s="19"/>
      <c r="M839" s="7"/>
    </row>
    <row r="840" spans="2:13" x14ac:dyDescent="0.25">
      <c r="B840"/>
      <c r="C840"/>
      <c r="D840"/>
      <c r="E840"/>
      <c r="F840"/>
      <c r="G840"/>
      <c r="H840" s="19"/>
      <c r="I840" s="19"/>
      <c r="J840" s="19"/>
      <c r="M840" s="7"/>
    </row>
    <row r="841" spans="2:13" x14ac:dyDescent="0.25">
      <c r="B841"/>
      <c r="C841"/>
      <c r="D841"/>
      <c r="E841"/>
      <c r="F841"/>
      <c r="G841"/>
      <c r="H841" s="19"/>
      <c r="I841" s="19"/>
      <c r="J841" s="19"/>
      <c r="M841" s="7"/>
    </row>
    <row r="842" spans="2:13" x14ac:dyDescent="0.25">
      <c r="B842"/>
      <c r="C842"/>
      <c r="D842"/>
      <c r="E842"/>
      <c r="F842"/>
      <c r="G842"/>
      <c r="H842" s="19"/>
      <c r="I842" s="19"/>
      <c r="J842" s="19"/>
      <c r="M842" s="7"/>
    </row>
    <row r="843" spans="2:13" x14ac:dyDescent="0.25">
      <c r="B843"/>
      <c r="C843"/>
      <c r="D843"/>
      <c r="E843"/>
      <c r="F843"/>
      <c r="G843"/>
      <c r="H843" s="19"/>
      <c r="I843" s="19"/>
      <c r="J843" s="19"/>
      <c r="M843" s="7"/>
    </row>
    <row r="844" spans="2:13" x14ac:dyDescent="0.25">
      <c r="B844"/>
      <c r="C844"/>
      <c r="D844"/>
      <c r="E844"/>
      <c r="F844"/>
      <c r="G844"/>
      <c r="H844" s="19"/>
      <c r="I844" s="19"/>
      <c r="J844" s="19"/>
      <c r="M844" s="7"/>
    </row>
    <row r="845" spans="2:13" x14ac:dyDescent="0.25">
      <c r="B845"/>
      <c r="C845"/>
      <c r="D845"/>
      <c r="E845"/>
      <c r="F845"/>
      <c r="G845"/>
      <c r="H845" s="19"/>
      <c r="I845" s="19"/>
      <c r="J845" s="19"/>
      <c r="M845" s="7"/>
    </row>
    <row r="846" spans="2:13" x14ac:dyDescent="0.25">
      <c r="B846"/>
      <c r="C846"/>
      <c r="D846"/>
      <c r="E846"/>
      <c r="F846"/>
      <c r="G846"/>
      <c r="H846" s="19"/>
      <c r="I846" s="19"/>
      <c r="J846" s="19"/>
      <c r="M846" s="7"/>
    </row>
    <row r="847" spans="2:13" x14ac:dyDescent="0.25">
      <c r="B847"/>
      <c r="C847"/>
      <c r="D847"/>
      <c r="E847"/>
      <c r="F847"/>
      <c r="G847"/>
      <c r="H847" s="19"/>
      <c r="I847" s="19"/>
      <c r="J847" s="19"/>
      <c r="M847" s="7"/>
    </row>
    <row r="848" spans="2:13" x14ac:dyDescent="0.25">
      <c r="B848"/>
      <c r="C848"/>
      <c r="D848"/>
      <c r="E848"/>
      <c r="F848"/>
      <c r="G848"/>
      <c r="H848" s="19"/>
      <c r="I848" s="19"/>
      <c r="J848" s="19"/>
      <c r="M848" s="7"/>
    </row>
    <row r="849" spans="2:13" x14ac:dyDescent="0.25">
      <c r="B849"/>
      <c r="C849"/>
      <c r="D849"/>
      <c r="E849"/>
      <c r="F849"/>
      <c r="G849"/>
      <c r="H849" s="19"/>
      <c r="I849" s="19"/>
      <c r="J849" s="19"/>
      <c r="M849" s="7"/>
    </row>
    <row r="850" spans="2:13" x14ac:dyDescent="0.25">
      <c r="B850"/>
      <c r="C850"/>
      <c r="D850"/>
      <c r="E850"/>
      <c r="F850"/>
      <c r="G850"/>
      <c r="H850" s="19"/>
      <c r="I850" s="19"/>
      <c r="J850" s="19"/>
      <c r="M850" s="7"/>
    </row>
    <row r="851" spans="2:13" x14ac:dyDescent="0.25">
      <c r="B851"/>
      <c r="C851"/>
      <c r="D851"/>
      <c r="E851"/>
      <c r="F851"/>
      <c r="G851"/>
      <c r="H851" s="19"/>
      <c r="I851" s="19"/>
      <c r="J851" s="19"/>
      <c r="M851" s="7"/>
    </row>
    <row r="852" spans="2:13" x14ac:dyDescent="0.25">
      <c r="B852"/>
      <c r="C852"/>
      <c r="D852"/>
      <c r="E852"/>
      <c r="F852"/>
      <c r="G852"/>
      <c r="H852" s="19"/>
      <c r="I852" s="19"/>
      <c r="J852" s="19"/>
      <c r="M852" s="7"/>
    </row>
    <row r="853" spans="2:13" x14ac:dyDescent="0.25">
      <c r="B853"/>
      <c r="C853"/>
      <c r="D853"/>
      <c r="E853"/>
      <c r="F853"/>
      <c r="G853"/>
      <c r="H853" s="19"/>
      <c r="I853" s="19"/>
      <c r="J853" s="19"/>
      <c r="M853" s="7"/>
    </row>
    <row r="854" spans="2:13" x14ac:dyDescent="0.25">
      <c r="B854"/>
      <c r="C854"/>
      <c r="D854"/>
      <c r="E854"/>
      <c r="F854"/>
      <c r="G854"/>
      <c r="H854" s="19"/>
      <c r="I854" s="19"/>
      <c r="J854" s="19"/>
      <c r="M854" s="7"/>
    </row>
    <row r="855" spans="2:13" x14ac:dyDescent="0.25">
      <c r="B855"/>
      <c r="C855"/>
      <c r="D855"/>
      <c r="E855"/>
      <c r="F855"/>
      <c r="G855"/>
      <c r="H855" s="19"/>
      <c r="I855" s="19"/>
      <c r="J855" s="19"/>
      <c r="M855" s="7"/>
    </row>
    <row r="856" spans="2:13" x14ac:dyDescent="0.25">
      <c r="B856"/>
      <c r="C856"/>
      <c r="D856"/>
      <c r="E856"/>
      <c r="F856"/>
      <c r="G856"/>
      <c r="H856" s="19"/>
      <c r="I856" s="19"/>
      <c r="J856" s="19"/>
      <c r="M856" s="7"/>
    </row>
    <row r="857" spans="2:13" x14ac:dyDescent="0.25">
      <c r="B857"/>
      <c r="C857"/>
      <c r="D857"/>
      <c r="E857"/>
      <c r="F857"/>
      <c r="G857"/>
      <c r="H857" s="19"/>
      <c r="I857" s="19"/>
      <c r="J857" s="19"/>
      <c r="M857" s="7"/>
    </row>
    <row r="858" spans="2:13" x14ac:dyDescent="0.25">
      <c r="B858"/>
      <c r="C858"/>
      <c r="D858"/>
      <c r="E858"/>
      <c r="F858"/>
      <c r="G858"/>
      <c r="H858" s="19"/>
      <c r="I858" s="19"/>
      <c r="J858" s="19"/>
      <c r="M858" s="7"/>
    </row>
    <row r="859" spans="2:13" x14ac:dyDescent="0.25">
      <c r="B859"/>
      <c r="C859"/>
      <c r="D859"/>
      <c r="E859"/>
      <c r="F859"/>
      <c r="G859"/>
      <c r="H859" s="19"/>
      <c r="I859" s="19"/>
      <c r="J859" s="19"/>
      <c r="M859" s="7"/>
    </row>
    <row r="860" spans="2:13" x14ac:dyDescent="0.25">
      <c r="B860"/>
      <c r="C860"/>
      <c r="D860"/>
      <c r="E860"/>
      <c r="F860"/>
      <c r="G860"/>
      <c r="H860" s="19"/>
      <c r="I860" s="19"/>
      <c r="J860" s="19"/>
      <c r="M860" s="7"/>
    </row>
    <row r="861" spans="2:13" x14ac:dyDescent="0.25">
      <c r="B861"/>
      <c r="C861"/>
      <c r="D861"/>
      <c r="E861"/>
      <c r="F861"/>
      <c r="G861"/>
      <c r="H861" s="19"/>
      <c r="I861" s="19"/>
      <c r="J861" s="19"/>
      <c r="M861" s="7"/>
    </row>
    <row r="862" spans="2:13" x14ac:dyDescent="0.25">
      <c r="B862"/>
      <c r="C862"/>
      <c r="D862"/>
      <c r="E862"/>
      <c r="F862"/>
      <c r="G862"/>
      <c r="H862" s="19"/>
      <c r="I862" s="19"/>
      <c r="J862" s="19"/>
      <c r="M862" s="7"/>
    </row>
    <row r="863" spans="2:13" x14ac:dyDescent="0.25">
      <c r="B863"/>
      <c r="C863"/>
      <c r="D863"/>
      <c r="E863"/>
      <c r="F863"/>
      <c r="G863"/>
      <c r="H863" s="19"/>
      <c r="I863" s="19"/>
      <c r="J863" s="19"/>
      <c r="M863" s="7"/>
    </row>
    <row r="864" spans="2:13" x14ac:dyDescent="0.25">
      <c r="B864"/>
      <c r="C864"/>
      <c r="D864"/>
      <c r="E864"/>
      <c r="F864"/>
      <c r="G864"/>
      <c r="H864" s="19"/>
      <c r="I864" s="19"/>
      <c r="J864" s="19"/>
      <c r="M864" s="7"/>
    </row>
    <row r="865" spans="2:13" x14ac:dyDescent="0.25">
      <c r="B865"/>
      <c r="C865"/>
      <c r="D865"/>
      <c r="E865"/>
      <c r="F865"/>
      <c r="G865"/>
      <c r="H865" s="19"/>
      <c r="I865" s="19"/>
      <c r="J865" s="19"/>
      <c r="M865" s="7"/>
    </row>
    <row r="866" spans="2:13" x14ac:dyDescent="0.25">
      <c r="B866"/>
      <c r="C866"/>
      <c r="D866"/>
      <c r="E866"/>
      <c r="F866"/>
      <c r="G866"/>
      <c r="H866" s="19"/>
      <c r="I866" s="19"/>
      <c r="J866" s="19"/>
      <c r="M866" s="7"/>
    </row>
    <row r="867" spans="2:13" x14ac:dyDescent="0.25">
      <c r="B867"/>
      <c r="C867"/>
      <c r="D867"/>
      <c r="E867"/>
      <c r="F867"/>
      <c r="G867"/>
      <c r="H867" s="19"/>
      <c r="I867" s="19"/>
      <c r="J867" s="19"/>
      <c r="M867" s="7"/>
    </row>
    <row r="868" spans="2:13" x14ac:dyDescent="0.25">
      <c r="B868"/>
      <c r="C868"/>
      <c r="D868"/>
      <c r="E868"/>
      <c r="F868"/>
      <c r="G868"/>
      <c r="H868" s="19"/>
      <c r="I868" s="19"/>
      <c r="J868" s="19"/>
      <c r="M868" s="7"/>
    </row>
    <row r="869" spans="2:13" x14ac:dyDescent="0.25">
      <c r="B869"/>
      <c r="C869"/>
      <c r="D869"/>
      <c r="E869"/>
      <c r="F869"/>
      <c r="G869"/>
      <c r="H869" s="19"/>
      <c r="I869" s="19"/>
      <c r="J869" s="19"/>
      <c r="M869" s="7"/>
    </row>
    <row r="870" spans="2:13" x14ac:dyDescent="0.25">
      <c r="B870"/>
      <c r="C870"/>
      <c r="D870"/>
      <c r="E870"/>
      <c r="F870"/>
      <c r="G870"/>
      <c r="H870" s="19"/>
      <c r="I870" s="19"/>
      <c r="J870" s="19"/>
      <c r="M870" s="7"/>
    </row>
    <row r="871" spans="2:13" x14ac:dyDescent="0.25">
      <c r="B871"/>
      <c r="C871"/>
      <c r="D871"/>
      <c r="E871"/>
      <c r="F871"/>
      <c r="G871"/>
      <c r="H871" s="19"/>
      <c r="I871" s="19"/>
      <c r="J871" s="19"/>
      <c r="M871" s="7"/>
    </row>
    <row r="872" spans="2:13" x14ac:dyDescent="0.25">
      <c r="B872"/>
      <c r="C872"/>
      <c r="D872"/>
      <c r="E872"/>
      <c r="F872"/>
      <c r="G872"/>
      <c r="H872" s="19"/>
      <c r="I872" s="19"/>
      <c r="J872" s="19"/>
      <c r="M872" s="7"/>
    </row>
    <row r="873" spans="2:13" x14ac:dyDescent="0.25">
      <c r="B873"/>
      <c r="C873"/>
      <c r="D873"/>
      <c r="E873"/>
      <c r="F873"/>
      <c r="G873"/>
      <c r="H873" s="19"/>
      <c r="I873" s="19"/>
      <c r="J873" s="19"/>
      <c r="M873" s="7"/>
    </row>
    <row r="874" spans="2:13" x14ac:dyDescent="0.25">
      <c r="B874"/>
      <c r="C874"/>
      <c r="D874"/>
      <c r="E874"/>
      <c r="F874"/>
      <c r="G874"/>
      <c r="H874" s="19"/>
      <c r="I874" s="19"/>
      <c r="J874" s="19"/>
      <c r="M874" s="7"/>
    </row>
    <row r="875" spans="2:13" x14ac:dyDescent="0.25">
      <c r="B875"/>
      <c r="C875"/>
      <c r="D875"/>
      <c r="E875"/>
      <c r="F875"/>
      <c r="G875"/>
      <c r="H875" s="19"/>
      <c r="I875" s="19"/>
      <c r="J875" s="19"/>
      <c r="M875" s="7"/>
    </row>
    <row r="876" spans="2:13" x14ac:dyDescent="0.25">
      <c r="B876"/>
      <c r="C876"/>
      <c r="D876"/>
      <c r="E876"/>
      <c r="F876"/>
      <c r="G876"/>
      <c r="H876" s="19"/>
      <c r="I876" s="19"/>
      <c r="J876" s="19"/>
      <c r="M876" s="7"/>
    </row>
    <row r="877" spans="2:13" x14ac:dyDescent="0.25">
      <c r="B877"/>
      <c r="C877"/>
      <c r="D877"/>
      <c r="E877"/>
      <c r="F877"/>
      <c r="G877"/>
      <c r="H877" s="19"/>
      <c r="I877" s="19"/>
      <c r="J877" s="19"/>
      <c r="M877" s="7"/>
    </row>
    <row r="878" spans="2:13" x14ac:dyDescent="0.25">
      <c r="B878"/>
      <c r="C878"/>
      <c r="D878"/>
      <c r="E878"/>
      <c r="F878"/>
      <c r="G878"/>
      <c r="H878" s="19"/>
      <c r="I878" s="19"/>
      <c r="J878" s="19"/>
      <c r="M878" s="7"/>
    </row>
    <row r="879" spans="2:13" x14ac:dyDescent="0.25">
      <c r="B879"/>
      <c r="C879"/>
      <c r="D879"/>
      <c r="E879"/>
      <c r="F879"/>
      <c r="G879"/>
      <c r="H879" s="19"/>
      <c r="I879" s="19"/>
      <c r="J879" s="19"/>
      <c r="M879" s="7"/>
    </row>
    <row r="880" spans="2:13" x14ac:dyDescent="0.25">
      <c r="B880"/>
      <c r="C880"/>
      <c r="D880"/>
      <c r="E880"/>
      <c r="F880"/>
      <c r="G880"/>
      <c r="H880" s="19"/>
      <c r="I880" s="19"/>
      <c r="J880" s="19"/>
      <c r="M880" s="7"/>
    </row>
    <row r="881" spans="2:13" x14ac:dyDescent="0.25">
      <c r="B881"/>
      <c r="C881"/>
      <c r="D881"/>
      <c r="E881"/>
      <c r="F881"/>
      <c r="G881"/>
      <c r="H881" s="19"/>
      <c r="I881" s="19"/>
      <c r="J881" s="19"/>
      <c r="M881" s="7"/>
    </row>
    <row r="882" spans="2:13" x14ac:dyDescent="0.25">
      <c r="B882"/>
      <c r="C882"/>
      <c r="D882"/>
      <c r="E882"/>
      <c r="F882"/>
      <c r="G882"/>
      <c r="H882" s="19"/>
      <c r="I882" s="19"/>
      <c r="J882" s="19"/>
      <c r="M882" s="7"/>
    </row>
    <row r="883" spans="2:13" x14ac:dyDescent="0.25">
      <c r="B883"/>
      <c r="C883"/>
      <c r="D883"/>
      <c r="E883"/>
      <c r="F883"/>
      <c r="G883"/>
      <c r="H883" s="19"/>
      <c r="I883" s="19"/>
      <c r="J883" s="19"/>
      <c r="M883" s="7"/>
    </row>
    <row r="884" spans="2:13" x14ac:dyDescent="0.25">
      <c r="B884"/>
      <c r="C884"/>
      <c r="D884"/>
      <c r="E884"/>
      <c r="F884"/>
      <c r="G884"/>
      <c r="H884" s="19"/>
      <c r="I884" s="19"/>
      <c r="J884" s="19"/>
      <c r="M884" s="7"/>
    </row>
    <row r="885" spans="2:13" x14ac:dyDescent="0.25">
      <c r="B885"/>
      <c r="C885"/>
      <c r="D885"/>
      <c r="E885"/>
      <c r="F885"/>
      <c r="G885"/>
      <c r="H885" s="19"/>
      <c r="I885" s="19"/>
      <c r="J885" s="19"/>
      <c r="M885" s="7"/>
    </row>
    <row r="886" spans="2:13" x14ac:dyDescent="0.25">
      <c r="B886"/>
      <c r="C886"/>
      <c r="D886"/>
      <c r="E886"/>
      <c r="F886"/>
      <c r="G886"/>
      <c r="H886" s="19"/>
      <c r="I886" s="19"/>
      <c r="J886" s="19"/>
      <c r="M886" s="7"/>
    </row>
    <row r="887" spans="2:13" x14ac:dyDescent="0.25">
      <c r="B887"/>
      <c r="C887"/>
      <c r="D887"/>
      <c r="E887"/>
      <c r="F887"/>
      <c r="G887"/>
      <c r="H887" s="19"/>
      <c r="I887" s="19"/>
      <c r="J887" s="19"/>
      <c r="M887" s="7"/>
    </row>
    <row r="888" spans="2:13" x14ac:dyDescent="0.25">
      <c r="B888"/>
      <c r="C888"/>
      <c r="D888"/>
      <c r="E888"/>
      <c r="F888"/>
      <c r="G888"/>
      <c r="H888" s="19"/>
      <c r="I888" s="19"/>
      <c r="J888" s="19"/>
      <c r="M888" s="7"/>
    </row>
    <row r="889" spans="2:13" x14ac:dyDescent="0.25">
      <c r="B889"/>
      <c r="C889"/>
      <c r="D889"/>
      <c r="E889"/>
      <c r="F889"/>
      <c r="G889"/>
      <c r="H889" s="19"/>
      <c r="I889" s="19"/>
      <c r="J889" s="19"/>
      <c r="M889" s="7"/>
    </row>
    <row r="890" spans="2:13" x14ac:dyDescent="0.25">
      <c r="B890"/>
      <c r="C890"/>
      <c r="D890"/>
      <c r="E890"/>
      <c r="F890"/>
      <c r="G890"/>
      <c r="H890" s="19"/>
      <c r="I890" s="19"/>
      <c r="J890" s="19"/>
      <c r="M890" s="7"/>
    </row>
    <row r="891" spans="2:13" x14ac:dyDescent="0.25">
      <c r="B891"/>
      <c r="C891"/>
      <c r="D891"/>
      <c r="E891"/>
      <c r="F891"/>
      <c r="G891"/>
      <c r="H891" s="19"/>
      <c r="I891" s="19"/>
      <c r="J891" s="19"/>
      <c r="M891" s="7"/>
    </row>
    <row r="892" spans="2:13" x14ac:dyDescent="0.25">
      <c r="B892"/>
      <c r="C892"/>
      <c r="D892"/>
      <c r="E892"/>
      <c r="F892"/>
      <c r="G892"/>
      <c r="H892" s="19"/>
      <c r="I892" s="19"/>
      <c r="J892" s="19"/>
      <c r="M892" s="7"/>
    </row>
    <row r="893" spans="2:13" x14ac:dyDescent="0.25">
      <c r="B893"/>
      <c r="C893"/>
      <c r="D893"/>
      <c r="E893"/>
      <c r="F893"/>
      <c r="G893"/>
      <c r="H893" s="19"/>
      <c r="I893" s="19"/>
      <c r="J893" s="19"/>
      <c r="M893" s="7"/>
    </row>
    <row r="894" spans="2:13" x14ac:dyDescent="0.25">
      <c r="B894"/>
      <c r="C894"/>
      <c r="D894"/>
      <c r="E894"/>
      <c r="F894"/>
      <c r="G894"/>
      <c r="H894" s="19"/>
      <c r="I894" s="19"/>
      <c r="J894" s="19"/>
      <c r="M894" s="7"/>
    </row>
    <row r="895" spans="2:13" x14ac:dyDescent="0.25">
      <c r="B895"/>
      <c r="C895"/>
      <c r="D895"/>
      <c r="E895"/>
      <c r="F895"/>
      <c r="G895"/>
      <c r="H895" s="19"/>
      <c r="I895" s="19"/>
      <c r="J895" s="19"/>
      <c r="M895" s="7"/>
    </row>
    <row r="896" spans="2:13" x14ac:dyDescent="0.25">
      <c r="B896"/>
      <c r="C896"/>
      <c r="D896"/>
      <c r="E896"/>
      <c r="F896"/>
      <c r="G896"/>
      <c r="H896" s="19"/>
      <c r="I896" s="19"/>
      <c r="J896" s="19"/>
      <c r="M896" s="7"/>
    </row>
    <row r="897" spans="2:13" x14ac:dyDescent="0.25">
      <c r="B897"/>
      <c r="C897"/>
      <c r="D897"/>
      <c r="E897"/>
      <c r="F897"/>
      <c r="G897"/>
      <c r="H897" s="19"/>
      <c r="I897" s="19"/>
      <c r="J897" s="19"/>
      <c r="M897" s="7"/>
    </row>
    <row r="898" spans="2:13" x14ac:dyDescent="0.25">
      <c r="B898"/>
      <c r="C898"/>
      <c r="D898"/>
      <c r="E898"/>
      <c r="F898"/>
      <c r="G898"/>
      <c r="H898" s="19"/>
      <c r="I898" s="19"/>
      <c r="J898" s="19"/>
      <c r="M898" s="7"/>
    </row>
    <row r="899" spans="2:13" x14ac:dyDescent="0.25">
      <c r="B899"/>
      <c r="C899"/>
      <c r="D899"/>
      <c r="E899"/>
      <c r="F899"/>
      <c r="G899"/>
      <c r="H899" s="19"/>
      <c r="I899" s="19"/>
      <c r="J899" s="19"/>
      <c r="M899" s="7"/>
    </row>
    <row r="900" spans="2:13" x14ac:dyDescent="0.25">
      <c r="B900"/>
      <c r="C900"/>
      <c r="D900"/>
      <c r="E900"/>
      <c r="F900"/>
      <c r="G900"/>
      <c r="H900" s="19"/>
      <c r="I900" s="19"/>
      <c r="J900" s="19"/>
      <c r="M900" s="7"/>
    </row>
    <row r="901" spans="2:13" x14ac:dyDescent="0.25">
      <c r="B901"/>
      <c r="C901"/>
      <c r="D901"/>
      <c r="E901"/>
      <c r="F901"/>
      <c r="G901"/>
      <c r="H901" s="19"/>
      <c r="I901" s="19"/>
      <c r="J901" s="19"/>
      <c r="M901" s="7"/>
    </row>
    <row r="902" spans="2:13" x14ac:dyDescent="0.25">
      <c r="B902"/>
      <c r="C902"/>
      <c r="D902"/>
      <c r="E902"/>
      <c r="F902"/>
      <c r="G902"/>
      <c r="H902" s="19"/>
      <c r="I902" s="19"/>
      <c r="J902" s="19"/>
      <c r="M902" s="7"/>
    </row>
    <row r="903" spans="2:13" x14ac:dyDescent="0.25">
      <c r="B903"/>
      <c r="C903"/>
      <c r="D903"/>
      <c r="E903"/>
      <c r="F903"/>
      <c r="G903"/>
      <c r="H903" s="19"/>
      <c r="I903" s="19"/>
      <c r="J903" s="19"/>
      <c r="M903" s="7"/>
    </row>
    <row r="904" spans="2:13" x14ac:dyDescent="0.25">
      <c r="B904"/>
      <c r="C904"/>
      <c r="D904"/>
      <c r="E904"/>
      <c r="F904"/>
      <c r="G904"/>
      <c r="H904" s="19"/>
      <c r="I904" s="19"/>
      <c r="J904" s="19"/>
      <c r="M904" s="7"/>
    </row>
    <row r="905" spans="2:13" x14ac:dyDescent="0.25">
      <c r="B905"/>
      <c r="C905"/>
      <c r="D905"/>
      <c r="E905"/>
      <c r="F905"/>
      <c r="G905"/>
      <c r="H905" s="19"/>
      <c r="I905" s="19"/>
      <c r="J905" s="19"/>
      <c r="M905" s="7"/>
    </row>
    <row r="906" spans="2:13" x14ac:dyDescent="0.25">
      <c r="B906"/>
      <c r="C906"/>
      <c r="D906"/>
      <c r="E906"/>
      <c r="F906"/>
      <c r="G906"/>
      <c r="H906" s="19"/>
      <c r="I906" s="19"/>
      <c r="J906" s="19"/>
      <c r="M906" s="7"/>
    </row>
    <row r="907" spans="2:13" x14ac:dyDescent="0.25">
      <c r="B907"/>
      <c r="C907"/>
      <c r="D907"/>
      <c r="E907"/>
      <c r="F907"/>
      <c r="G907"/>
      <c r="H907" s="19"/>
      <c r="I907" s="19"/>
      <c r="J907" s="19"/>
      <c r="M907" s="7"/>
    </row>
    <row r="908" spans="2:13" x14ac:dyDescent="0.25">
      <c r="B908"/>
      <c r="C908"/>
      <c r="D908"/>
      <c r="E908"/>
      <c r="F908"/>
      <c r="G908"/>
      <c r="H908" s="19"/>
      <c r="I908" s="19"/>
      <c r="J908" s="19"/>
      <c r="M908" s="7"/>
    </row>
    <row r="909" spans="2:13" x14ac:dyDescent="0.25">
      <c r="B909"/>
      <c r="C909"/>
      <c r="D909"/>
      <c r="E909"/>
      <c r="F909"/>
      <c r="G909"/>
      <c r="H909" s="19"/>
      <c r="I909" s="19"/>
      <c r="J909" s="19"/>
      <c r="M909" s="7"/>
    </row>
    <row r="910" spans="2:13" x14ac:dyDescent="0.25">
      <c r="B910"/>
      <c r="C910"/>
      <c r="D910"/>
      <c r="E910"/>
      <c r="F910"/>
      <c r="G910"/>
      <c r="H910" s="19"/>
      <c r="I910" s="19"/>
      <c r="J910" s="19"/>
      <c r="M910" s="7"/>
    </row>
    <row r="911" spans="2:13" x14ac:dyDescent="0.25">
      <c r="B911"/>
      <c r="C911"/>
      <c r="D911"/>
      <c r="E911"/>
      <c r="F911"/>
      <c r="G911"/>
      <c r="H911" s="19"/>
      <c r="I911" s="19"/>
      <c r="J911" s="19"/>
      <c r="M911" s="7"/>
    </row>
    <row r="912" spans="2:13" x14ac:dyDescent="0.25">
      <c r="B912"/>
      <c r="C912"/>
      <c r="D912"/>
      <c r="E912"/>
      <c r="F912"/>
      <c r="G912"/>
      <c r="H912" s="19"/>
      <c r="I912" s="19"/>
      <c r="J912" s="19"/>
      <c r="M912" s="7"/>
    </row>
    <row r="913" spans="2:13" x14ac:dyDescent="0.25">
      <c r="B913"/>
      <c r="C913"/>
      <c r="D913"/>
      <c r="E913"/>
      <c r="F913"/>
      <c r="G913"/>
      <c r="H913" s="19"/>
      <c r="I913" s="19"/>
      <c r="J913" s="19"/>
      <c r="M913" s="7"/>
    </row>
    <row r="914" spans="2:13" x14ac:dyDescent="0.25">
      <c r="B914"/>
      <c r="C914"/>
      <c r="D914"/>
      <c r="E914"/>
      <c r="F914"/>
      <c r="G914"/>
      <c r="H914" s="19"/>
      <c r="I914" s="19"/>
      <c r="J914" s="19"/>
      <c r="M914" s="7"/>
    </row>
    <row r="915" spans="2:13" x14ac:dyDescent="0.25">
      <c r="B915"/>
      <c r="C915"/>
      <c r="D915"/>
      <c r="E915"/>
      <c r="F915"/>
      <c r="G915"/>
      <c r="H915" s="19"/>
      <c r="I915" s="19"/>
      <c r="J915" s="19"/>
      <c r="M915" s="7"/>
    </row>
    <row r="916" spans="2:13" x14ac:dyDescent="0.25">
      <c r="B916"/>
      <c r="C916"/>
      <c r="D916"/>
      <c r="E916"/>
      <c r="F916"/>
      <c r="G916"/>
      <c r="H916" s="19"/>
      <c r="I916" s="19"/>
      <c r="J916" s="19"/>
      <c r="M916" s="7"/>
    </row>
    <row r="917" spans="2:13" x14ac:dyDescent="0.25">
      <c r="B917"/>
      <c r="C917"/>
      <c r="D917"/>
      <c r="E917"/>
      <c r="F917"/>
      <c r="G917"/>
      <c r="H917" s="19"/>
      <c r="I917" s="19"/>
      <c r="J917" s="19"/>
      <c r="M917" s="7"/>
    </row>
    <row r="918" spans="2:13" x14ac:dyDescent="0.25">
      <c r="B918"/>
      <c r="C918"/>
      <c r="D918"/>
      <c r="E918"/>
      <c r="F918"/>
      <c r="G918"/>
      <c r="H918" s="19"/>
      <c r="I918" s="19"/>
      <c r="J918" s="19"/>
      <c r="M918" s="7"/>
    </row>
    <row r="919" spans="2:13" x14ac:dyDescent="0.25">
      <c r="B919"/>
      <c r="C919"/>
      <c r="D919"/>
      <c r="E919"/>
      <c r="F919"/>
      <c r="G919"/>
      <c r="H919" s="19"/>
      <c r="I919" s="19"/>
      <c r="J919" s="19"/>
      <c r="M919" s="7"/>
    </row>
    <row r="920" spans="2:13" x14ac:dyDescent="0.25">
      <c r="B920"/>
      <c r="C920"/>
      <c r="D920"/>
      <c r="E920"/>
      <c r="F920"/>
      <c r="G920"/>
      <c r="H920" s="19"/>
      <c r="I920" s="19"/>
      <c r="J920" s="19"/>
      <c r="M920" s="7"/>
    </row>
    <row r="921" spans="2:13" x14ac:dyDescent="0.25">
      <c r="B921"/>
      <c r="C921"/>
      <c r="D921"/>
      <c r="E921"/>
      <c r="F921"/>
      <c r="G921"/>
      <c r="H921" s="19"/>
      <c r="I921" s="19"/>
      <c r="J921" s="19"/>
      <c r="M921" s="7"/>
    </row>
    <row r="922" spans="2:13" x14ac:dyDescent="0.25">
      <c r="B922"/>
      <c r="C922"/>
      <c r="D922"/>
      <c r="E922"/>
      <c r="F922"/>
      <c r="G922"/>
      <c r="H922" s="19"/>
      <c r="I922" s="19"/>
      <c r="J922" s="19"/>
      <c r="M922" s="7"/>
    </row>
    <row r="923" spans="2:13" x14ac:dyDescent="0.25">
      <c r="B923"/>
      <c r="C923"/>
      <c r="D923"/>
      <c r="E923"/>
      <c r="F923"/>
      <c r="G923"/>
      <c r="H923" s="19"/>
      <c r="I923" s="19"/>
      <c r="J923" s="19"/>
      <c r="M923" s="7"/>
    </row>
    <row r="924" spans="2:13" x14ac:dyDescent="0.25">
      <c r="B924"/>
      <c r="C924"/>
      <c r="D924"/>
      <c r="E924"/>
      <c r="F924"/>
      <c r="G924"/>
      <c r="H924" s="19"/>
      <c r="I924" s="19"/>
      <c r="J924" s="19"/>
      <c r="M924" s="7"/>
    </row>
    <row r="925" spans="2:13" x14ac:dyDescent="0.25">
      <c r="B925"/>
      <c r="C925"/>
      <c r="D925"/>
      <c r="E925"/>
      <c r="F925"/>
      <c r="G925"/>
      <c r="H925" s="19"/>
      <c r="I925" s="19"/>
      <c r="J925" s="19"/>
      <c r="M925" s="7"/>
    </row>
    <row r="926" spans="2:13" x14ac:dyDescent="0.25">
      <c r="B926"/>
      <c r="C926"/>
      <c r="D926"/>
      <c r="E926"/>
      <c r="F926"/>
      <c r="G926"/>
      <c r="H926" s="19"/>
      <c r="I926" s="19"/>
      <c r="J926" s="19"/>
      <c r="M926" s="7"/>
    </row>
    <row r="927" spans="2:13" x14ac:dyDescent="0.25">
      <c r="B927"/>
      <c r="C927"/>
      <c r="D927"/>
      <c r="E927"/>
      <c r="F927"/>
      <c r="G927"/>
      <c r="H927" s="19"/>
      <c r="I927" s="19"/>
      <c r="J927" s="19"/>
      <c r="M927" s="7"/>
    </row>
    <row r="928" spans="2:13" x14ac:dyDescent="0.25">
      <c r="B928"/>
      <c r="C928"/>
      <c r="D928"/>
      <c r="E928"/>
      <c r="F928"/>
      <c r="G928"/>
      <c r="H928" s="19"/>
      <c r="I928" s="19"/>
      <c r="J928" s="19"/>
      <c r="M928" s="7"/>
    </row>
    <row r="929" spans="2:13" x14ac:dyDescent="0.25">
      <c r="B929"/>
      <c r="C929"/>
      <c r="D929"/>
      <c r="E929"/>
      <c r="F929"/>
      <c r="G929"/>
      <c r="H929" s="19"/>
      <c r="I929" s="19"/>
      <c r="J929" s="19"/>
      <c r="M929" s="7"/>
    </row>
    <row r="930" spans="2:13" x14ac:dyDescent="0.25">
      <c r="B930"/>
      <c r="C930"/>
      <c r="D930"/>
      <c r="E930"/>
      <c r="F930"/>
      <c r="G930"/>
      <c r="H930" s="19"/>
      <c r="I930" s="19"/>
      <c r="J930" s="19"/>
      <c r="M930" s="7"/>
    </row>
    <row r="931" spans="2:13" x14ac:dyDescent="0.25">
      <c r="B931"/>
      <c r="C931"/>
      <c r="D931"/>
      <c r="E931"/>
      <c r="F931"/>
      <c r="G931"/>
      <c r="H931" s="19"/>
      <c r="I931" s="19"/>
      <c r="J931" s="19"/>
      <c r="M931" s="7"/>
    </row>
    <row r="932" spans="2:13" x14ac:dyDescent="0.25">
      <c r="B932"/>
      <c r="C932"/>
      <c r="D932"/>
      <c r="E932"/>
      <c r="F932"/>
      <c r="G932"/>
      <c r="H932" s="19"/>
      <c r="I932" s="19"/>
      <c r="J932" s="19"/>
      <c r="M932" s="7"/>
    </row>
    <row r="933" spans="2:13" x14ac:dyDescent="0.25">
      <c r="B933"/>
      <c r="C933"/>
      <c r="D933"/>
      <c r="E933"/>
      <c r="F933"/>
      <c r="G933"/>
      <c r="H933" s="19"/>
      <c r="I933" s="19"/>
      <c r="J933" s="19"/>
      <c r="M933" s="7"/>
    </row>
    <row r="934" spans="2:13" x14ac:dyDescent="0.25">
      <c r="B934"/>
      <c r="C934"/>
      <c r="D934"/>
      <c r="E934"/>
      <c r="F934"/>
      <c r="G934"/>
      <c r="H934" s="19"/>
      <c r="I934" s="19"/>
      <c r="J934" s="19"/>
      <c r="M934" s="7"/>
    </row>
    <row r="935" spans="2:13" x14ac:dyDescent="0.25">
      <c r="B935"/>
      <c r="C935"/>
      <c r="D935"/>
      <c r="E935"/>
      <c r="F935"/>
      <c r="G935"/>
      <c r="H935" s="19"/>
      <c r="I935" s="19"/>
      <c r="J935" s="19"/>
      <c r="M935" s="7"/>
    </row>
    <row r="936" spans="2:13" x14ac:dyDescent="0.25">
      <c r="B936"/>
      <c r="C936"/>
      <c r="D936"/>
      <c r="E936"/>
      <c r="F936"/>
      <c r="G936"/>
      <c r="H936" s="19"/>
      <c r="I936" s="19"/>
      <c r="J936" s="19"/>
      <c r="M936" s="7"/>
    </row>
    <row r="937" spans="2:13" x14ac:dyDescent="0.25">
      <c r="B937"/>
      <c r="C937"/>
      <c r="D937"/>
      <c r="E937"/>
      <c r="F937"/>
      <c r="G937"/>
      <c r="H937" s="19"/>
      <c r="I937" s="19"/>
      <c r="J937" s="19"/>
      <c r="M937" s="7"/>
    </row>
    <row r="938" spans="2:13" x14ac:dyDescent="0.25">
      <c r="B938"/>
      <c r="C938"/>
      <c r="D938"/>
      <c r="E938"/>
      <c r="F938"/>
      <c r="G938"/>
      <c r="H938" s="19"/>
      <c r="I938" s="19"/>
      <c r="J938" s="19"/>
      <c r="M938" s="7"/>
    </row>
    <row r="939" spans="2:13" x14ac:dyDescent="0.25">
      <c r="B939"/>
      <c r="C939"/>
      <c r="D939"/>
      <c r="E939"/>
      <c r="F939"/>
      <c r="G939"/>
      <c r="H939" s="19"/>
      <c r="I939" s="19"/>
      <c r="J939" s="19"/>
      <c r="M939" s="7"/>
    </row>
    <row r="940" spans="2:13" x14ac:dyDescent="0.25">
      <c r="B940"/>
      <c r="C940"/>
      <c r="D940"/>
      <c r="E940"/>
      <c r="F940"/>
      <c r="G940"/>
      <c r="H940" s="19"/>
      <c r="I940" s="19"/>
      <c r="J940" s="19"/>
      <c r="M940" s="7"/>
    </row>
    <row r="941" spans="2:13" x14ac:dyDescent="0.25">
      <c r="B941"/>
      <c r="C941"/>
      <c r="D941"/>
      <c r="E941"/>
      <c r="F941"/>
      <c r="G941"/>
      <c r="H941" s="19"/>
      <c r="I941" s="19"/>
      <c r="J941" s="19"/>
      <c r="M941" s="7"/>
    </row>
    <row r="942" spans="2:13" x14ac:dyDescent="0.25">
      <c r="B942"/>
      <c r="C942"/>
      <c r="D942"/>
      <c r="E942"/>
      <c r="F942"/>
      <c r="G942"/>
      <c r="H942" s="19"/>
      <c r="I942" s="19"/>
      <c r="J942" s="19"/>
      <c r="M942" s="7"/>
    </row>
    <row r="943" spans="2:13" x14ac:dyDescent="0.25">
      <c r="B943"/>
      <c r="C943"/>
      <c r="D943"/>
      <c r="E943"/>
      <c r="F943"/>
      <c r="G943"/>
      <c r="H943" s="19"/>
      <c r="I943" s="19"/>
      <c r="J943" s="19"/>
      <c r="M943" s="7"/>
    </row>
    <row r="944" spans="2:13" x14ac:dyDescent="0.25">
      <c r="B944"/>
      <c r="C944"/>
      <c r="D944"/>
      <c r="E944"/>
      <c r="F944"/>
      <c r="G944"/>
      <c r="H944" s="19"/>
      <c r="I944" s="19"/>
      <c r="J944" s="19"/>
      <c r="M944" s="7"/>
    </row>
    <row r="945" spans="2:13" x14ac:dyDescent="0.25">
      <c r="B945"/>
      <c r="C945"/>
      <c r="D945"/>
      <c r="E945"/>
      <c r="F945"/>
      <c r="G945"/>
      <c r="H945" s="19"/>
      <c r="I945" s="19"/>
      <c r="J945" s="19"/>
      <c r="M945" s="7"/>
    </row>
    <row r="946" spans="2:13" x14ac:dyDescent="0.25">
      <c r="B946"/>
      <c r="C946"/>
      <c r="D946"/>
      <c r="E946"/>
      <c r="F946"/>
      <c r="G946"/>
      <c r="H946" s="19"/>
      <c r="I946" s="19"/>
      <c r="J946" s="19"/>
      <c r="M946" s="7"/>
    </row>
    <row r="947" spans="2:13" x14ac:dyDescent="0.25">
      <c r="B947"/>
      <c r="C947"/>
      <c r="D947"/>
      <c r="E947"/>
      <c r="F947"/>
      <c r="G947"/>
      <c r="H947" s="19"/>
      <c r="I947" s="19"/>
      <c r="J947" s="19"/>
      <c r="M947" s="7"/>
    </row>
    <row r="948" spans="2:13" x14ac:dyDescent="0.25">
      <c r="B948"/>
      <c r="C948"/>
      <c r="D948"/>
      <c r="E948"/>
      <c r="F948"/>
      <c r="G948"/>
      <c r="H948" s="19"/>
      <c r="I948" s="19"/>
      <c r="J948" s="19"/>
      <c r="M948" s="7"/>
    </row>
    <row r="949" spans="2:13" x14ac:dyDescent="0.25">
      <c r="B949"/>
      <c r="C949"/>
      <c r="D949"/>
      <c r="E949"/>
      <c r="F949"/>
      <c r="G949"/>
      <c r="H949" s="19"/>
      <c r="I949" s="19"/>
      <c r="J949" s="19"/>
      <c r="M949" s="7"/>
    </row>
    <row r="950" spans="2:13" x14ac:dyDescent="0.25">
      <c r="B950"/>
      <c r="C950"/>
      <c r="D950"/>
      <c r="E950"/>
      <c r="F950"/>
      <c r="G950"/>
      <c r="H950" s="19"/>
      <c r="I950" s="19"/>
      <c r="J950" s="19"/>
      <c r="M950" s="7"/>
    </row>
    <row r="951" spans="2:13" x14ac:dyDescent="0.25">
      <c r="B951"/>
      <c r="C951"/>
      <c r="D951"/>
      <c r="E951"/>
      <c r="F951"/>
      <c r="G951"/>
      <c r="H951" s="19"/>
      <c r="I951" s="19"/>
      <c r="J951" s="19"/>
      <c r="M951" s="7"/>
    </row>
    <row r="952" spans="2:13" x14ac:dyDescent="0.25">
      <c r="B952"/>
      <c r="C952"/>
      <c r="D952"/>
      <c r="E952"/>
      <c r="F952"/>
      <c r="G952"/>
      <c r="H952" s="19"/>
      <c r="I952" s="19"/>
      <c r="J952" s="19"/>
      <c r="M952" s="7"/>
    </row>
    <row r="953" spans="2:13" x14ac:dyDescent="0.25">
      <c r="B953"/>
      <c r="C953"/>
      <c r="D953"/>
      <c r="E953"/>
      <c r="F953"/>
      <c r="G953"/>
      <c r="H953" s="19"/>
      <c r="I953" s="19"/>
      <c r="J953" s="19"/>
      <c r="M953" s="7"/>
    </row>
    <row r="954" spans="2:13" x14ac:dyDescent="0.25">
      <c r="B954"/>
      <c r="C954"/>
      <c r="D954"/>
      <c r="E954"/>
      <c r="F954"/>
      <c r="G954"/>
      <c r="H954" s="19"/>
      <c r="I954" s="19"/>
      <c r="J954" s="19"/>
      <c r="M954" s="7"/>
    </row>
    <row r="955" spans="2:13" x14ac:dyDescent="0.25">
      <c r="B955"/>
      <c r="C955"/>
      <c r="D955"/>
      <c r="E955"/>
      <c r="F955"/>
      <c r="G955"/>
      <c r="H955" s="19"/>
      <c r="I955" s="19"/>
      <c r="J955" s="19"/>
      <c r="M955" s="7"/>
    </row>
    <row r="956" spans="2:13" x14ac:dyDescent="0.25">
      <c r="B956"/>
      <c r="C956"/>
      <c r="D956"/>
      <c r="E956"/>
      <c r="F956"/>
      <c r="G956"/>
      <c r="H956" s="19"/>
      <c r="I956" s="19"/>
      <c r="J956" s="19"/>
      <c r="M956" s="7"/>
    </row>
    <row r="957" spans="2:13" x14ac:dyDescent="0.25">
      <c r="B957"/>
      <c r="C957"/>
      <c r="D957"/>
      <c r="E957"/>
      <c r="F957"/>
      <c r="G957"/>
      <c r="H957" s="19"/>
      <c r="I957" s="19"/>
      <c r="J957" s="19"/>
      <c r="M957" s="7"/>
    </row>
    <row r="958" spans="2:13" x14ac:dyDescent="0.25">
      <c r="B958"/>
      <c r="C958"/>
      <c r="D958"/>
      <c r="E958"/>
      <c r="F958"/>
      <c r="G958"/>
      <c r="H958" s="19"/>
      <c r="I958" s="19"/>
      <c r="J958" s="19"/>
      <c r="M958" s="7"/>
    </row>
    <row r="959" spans="2:13" x14ac:dyDescent="0.25">
      <c r="B959"/>
      <c r="C959"/>
      <c r="D959"/>
      <c r="E959"/>
      <c r="F959"/>
      <c r="G959"/>
      <c r="H959" s="19"/>
      <c r="I959" s="19"/>
      <c r="J959" s="19"/>
      <c r="M959" s="7"/>
    </row>
    <row r="960" spans="2:13" x14ac:dyDescent="0.25">
      <c r="B960"/>
      <c r="C960"/>
      <c r="D960"/>
      <c r="E960"/>
      <c r="F960"/>
      <c r="G960"/>
      <c r="H960" s="19"/>
      <c r="I960" s="19"/>
      <c r="J960" s="19"/>
      <c r="M960" s="7"/>
    </row>
    <row r="961" spans="2:13" x14ac:dyDescent="0.25">
      <c r="B961"/>
      <c r="C961"/>
      <c r="D961"/>
      <c r="E961"/>
      <c r="F961"/>
      <c r="G961"/>
      <c r="H961" s="19"/>
      <c r="I961" s="19"/>
      <c r="J961" s="19"/>
      <c r="M961" s="7"/>
    </row>
    <row r="962" spans="2:13" x14ac:dyDescent="0.25">
      <c r="B962"/>
      <c r="C962"/>
      <c r="D962"/>
      <c r="E962"/>
      <c r="F962"/>
      <c r="G962"/>
      <c r="H962" s="19"/>
      <c r="I962" s="19"/>
      <c r="J962" s="19"/>
      <c r="M962" s="7"/>
    </row>
    <row r="963" spans="2:13" x14ac:dyDescent="0.25">
      <c r="B963"/>
      <c r="C963"/>
      <c r="D963"/>
      <c r="E963"/>
      <c r="F963"/>
      <c r="G963"/>
      <c r="H963" s="19"/>
      <c r="I963" s="19"/>
      <c r="J963" s="19"/>
      <c r="M963" s="7"/>
    </row>
    <row r="964" spans="2:13" x14ac:dyDescent="0.25">
      <c r="B964"/>
      <c r="C964"/>
      <c r="D964"/>
      <c r="E964"/>
      <c r="F964"/>
      <c r="G964"/>
      <c r="H964" s="19"/>
      <c r="I964" s="19"/>
      <c r="J964" s="19"/>
      <c r="M964" s="7"/>
    </row>
    <row r="965" spans="2:13" x14ac:dyDescent="0.25">
      <c r="B965"/>
      <c r="C965"/>
      <c r="D965"/>
      <c r="E965"/>
      <c r="F965"/>
      <c r="G965"/>
      <c r="H965" s="19"/>
      <c r="I965" s="19"/>
      <c r="J965" s="19"/>
      <c r="M965" s="7"/>
    </row>
    <row r="966" spans="2:13" x14ac:dyDescent="0.25">
      <c r="B966"/>
      <c r="C966"/>
      <c r="D966"/>
      <c r="E966"/>
      <c r="F966"/>
      <c r="G966"/>
      <c r="H966" s="19"/>
      <c r="I966" s="19"/>
      <c r="J966" s="19"/>
      <c r="M966" s="7"/>
    </row>
    <row r="967" spans="2:13" x14ac:dyDescent="0.25">
      <c r="B967"/>
      <c r="C967"/>
      <c r="D967"/>
      <c r="E967"/>
      <c r="F967"/>
      <c r="G967"/>
      <c r="H967" s="19"/>
      <c r="I967" s="19"/>
      <c r="J967" s="19"/>
      <c r="M967" s="7"/>
    </row>
    <row r="968" spans="2:13" x14ac:dyDescent="0.25">
      <c r="B968"/>
      <c r="C968"/>
      <c r="D968"/>
      <c r="E968"/>
      <c r="F968"/>
      <c r="G968"/>
      <c r="H968" s="19"/>
      <c r="I968" s="19"/>
      <c r="J968" s="19"/>
      <c r="M968" s="7"/>
    </row>
    <row r="969" spans="2:13" x14ac:dyDescent="0.25">
      <c r="B969"/>
      <c r="C969"/>
      <c r="D969"/>
      <c r="E969"/>
      <c r="F969"/>
      <c r="G969"/>
      <c r="H969" s="19"/>
      <c r="I969" s="19"/>
      <c r="J969" s="19"/>
      <c r="M969" s="7"/>
    </row>
    <row r="970" spans="2:13" x14ac:dyDescent="0.25">
      <c r="B970"/>
      <c r="C970"/>
      <c r="D970"/>
      <c r="E970"/>
      <c r="F970"/>
      <c r="G970"/>
      <c r="H970" s="19"/>
      <c r="I970" s="19"/>
      <c r="J970" s="19"/>
      <c r="M970" s="7"/>
    </row>
    <row r="971" spans="2:13" x14ac:dyDescent="0.25">
      <c r="B971"/>
      <c r="C971"/>
      <c r="D971"/>
      <c r="E971"/>
      <c r="F971"/>
      <c r="G971"/>
      <c r="H971" s="19"/>
      <c r="I971" s="19"/>
      <c r="J971" s="19"/>
      <c r="M971" s="7"/>
    </row>
    <row r="972" spans="2:13" x14ac:dyDescent="0.25">
      <c r="B972"/>
      <c r="C972"/>
      <c r="D972"/>
      <c r="E972"/>
      <c r="F972"/>
      <c r="G972"/>
      <c r="H972" s="19"/>
      <c r="I972" s="19"/>
      <c r="J972" s="19"/>
      <c r="M972" s="7"/>
    </row>
    <row r="973" spans="2:13" x14ac:dyDescent="0.25">
      <c r="B973"/>
      <c r="C973"/>
      <c r="D973"/>
      <c r="E973"/>
      <c r="F973"/>
      <c r="G973"/>
      <c r="H973" s="19"/>
      <c r="I973" s="19"/>
      <c r="J973" s="19"/>
      <c r="M973" s="7"/>
    </row>
    <row r="974" spans="2:13" x14ac:dyDescent="0.25">
      <c r="B974"/>
      <c r="C974"/>
      <c r="D974"/>
      <c r="E974"/>
      <c r="F974"/>
      <c r="G974"/>
      <c r="H974" s="19"/>
      <c r="I974" s="19"/>
      <c r="J974" s="19"/>
      <c r="M974" s="7"/>
    </row>
    <row r="975" spans="2:13" x14ac:dyDescent="0.25">
      <c r="B975"/>
      <c r="C975"/>
      <c r="D975"/>
      <c r="E975"/>
      <c r="F975"/>
      <c r="G975"/>
      <c r="H975" s="19"/>
      <c r="I975" s="19"/>
      <c r="J975" s="19"/>
      <c r="M975" s="7"/>
    </row>
    <row r="976" spans="2:13" x14ac:dyDescent="0.25">
      <c r="B976"/>
      <c r="C976"/>
      <c r="D976"/>
      <c r="E976"/>
      <c r="F976"/>
      <c r="G976"/>
      <c r="H976" s="19"/>
      <c r="I976" s="19"/>
      <c r="J976" s="19"/>
      <c r="M976" s="7"/>
    </row>
    <row r="977" spans="2:13" x14ac:dyDescent="0.25">
      <c r="B977"/>
      <c r="C977"/>
      <c r="D977"/>
      <c r="E977"/>
      <c r="F977"/>
      <c r="G977"/>
      <c r="H977" s="19"/>
      <c r="I977" s="19"/>
      <c r="J977" s="19"/>
      <c r="M977" s="7"/>
    </row>
    <row r="978" spans="2:13" x14ac:dyDescent="0.25">
      <c r="B978"/>
      <c r="C978"/>
      <c r="D978"/>
      <c r="E978"/>
      <c r="F978"/>
      <c r="G978"/>
      <c r="H978" s="19"/>
      <c r="I978" s="19"/>
      <c r="J978" s="19"/>
      <c r="M978" s="7"/>
    </row>
    <row r="979" spans="2:13" x14ac:dyDescent="0.25">
      <c r="B979"/>
      <c r="C979"/>
      <c r="D979"/>
      <c r="E979"/>
      <c r="F979"/>
      <c r="G979"/>
      <c r="H979" s="19"/>
      <c r="I979" s="19"/>
      <c r="J979" s="19"/>
      <c r="M979" s="7"/>
    </row>
    <row r="980" spans="2:13" x14ac:dyDescent="0.25">
      <c r="B980"/>
      <c r="C980"/>
      <c r="D980"/>
      <c r="E980"/>
      <c r="F980"/>
      <c r="G980"/>
      <c r="H980" s="19"/>
      <c r="I980" s="19"/>
      <c r="J980" s="19"/>
      <c r="M980" s="7"/>
    </row>
    <row r="981" spans="2:13" x14ac:dyDescent="0.25">
      <c r="B981"/>
      <c r="C981"/>
      <c r="D981"/>
      <c r="E981"/>
      <c r="F981"/>
      <c r="G981"/>
      <c r="H981" s="19"/>
      <c r="I981" s="19"/>
      <c r="J981" s="19"/>
      <c r="M981" s="7"/>
    </row>
    <row r="982" spans="2:13" x14ac:dyDescent="0.25">
      <c r="B982"/>
      <c r="C982"/>
      <c r="D982"/>
      <c r="E982"/>
      <c r="F982"/>
      <c r="G982"/>
      <c r="H982" s="19"/>
      <c r="I982" s="19"/>
      <c r="J982" s="19"/>
      <c r="M982" s="7"/>
    </row>
    <row r="983" spans="2:13" x14ac:dyDescent="0.25">
      <c r="B983"/>
      <c r="C983"/>
      <c r="D983"/>
      <c r="E983"/>
      <c r="F983"/>
      <c r="G983"/>
      <c r="H983" s="19"/>
      <c r="I983" s="19"/>
      <c r="J983" s="19"/>
      <c r="M983" s="7"/>
    </row>
    <row r="984" spans="2:13" x14ac:dyDescent="0.25">
      <c r="B984"/>
      <c r="C984"/>
      <c r="D984"/>
      <c r="E984"/>
      <c r="F984"/>
      <c r="G984"/>
      <c r="H984" s="19"/>
      <c r="I984" s="19"/>
      <c r="J984" s="19"/>
      <c r="M984" s="7"/>
    </row>
    <row r="985" spans="2:13" x14ac:dyDescent="0.25">
      <c r="B985"/>
      <c r="C985"/>
      <c r="D985"/>
      <c r="E985"/>
      <c r="F985"/>
      <c r="G985"/>
      <c r="H985" s="19"/>
      <c r="I985" s="19"/>
      <c r="J985" s="19"/>
      <c r="M985" s="7"/>
    </row>
    <row r="986" spans="2:13" x14ac:dyDescent="0.25">
      <c r="B986"/>
      <c r="C986"/>
      <c r="D986"/>
      <c r="E986"/>
      <c r="F986"/>
      <c r="G986"/>
      <c r="H986" s="19"/>
      <c r="I986" s="19"/>
      <c r="J986" s="19"/>
      <c r="M986" s="7"/>
    </row>
    <row r="987" spans="2:13" x14ac:dyDescent="0.25">
      <c r="B987"/>
      <c r="C987"/>
      <c r="D987"/>
      <c r="E987"/>
      <c r="F987"/>
      <c r="G987"/>
      <c r="H987" s="19"/>
      <c r="I987" s="19"/>
      <c r="J987" s="19"/>
      <c r="M987" s="7"/>
    </row>
    <row r="988" spans="2:13" x14ac:dyDescent="0.25">
      <c r="B988"/>
      <c r="C988"/>
      <c r="D988"/>
      <c r="E988"/>
      <c r="F988"/>
      <c r="G988"/>
      <c r="H988" s="19"/>
      <c r="I988" s="19"/>
      <c r="J988" s="19"/>
      <c r="M988" s="7"/>
    </row>
    <row r="989" spans="2:13" x14ac:dyDescent="0.25">
      <c r="B989"/>
      <c r="C989"/>
      <c r="D989"/>
      <c r="E989"/>
      <c r="F989"/>
      <c r="G989"/>
      <c r="H989" s="19"/>
      <c r="I989" s="19"/>
      <c r="J989" s="19"/>
      <c r="M989" s="7"/>
    </row>
    <row r="990" spans="2:13" x14ac:dyDescent="0.25">
      <c r="B990"/>
      <c r="C990"/>
      <c r="D990"/>
      <c r="E990"/>
      <c r="F990"/>
      <c r="G990"/>
      <c r="H990" s="19"/>
      <c r="I990" s="19"/>
      <c r="J990" s="19"/>
      <c r="M990" s="7"/>
    </row>
    <row r="991" spans="2:13" x14ac:dyDescent="0.25">
      <c r="B991"/>
      <c r="C991"/>
      <c r="D991"/>
      <c r="E991"/>
      <c r="F991"/>
      <c r="G991"/>
      <c r="H991" s="19"/>
      <c r="I991" s="19"/>
      <c r="J991" s="19"/>
      <c r="M991" s="7"/>
    </row>
    <row r="992" spans="2:13" x14ac:dyDescent="0.25">
      <c r="B992"/>
      <c r="C992"/>
      <c r="D992"/>
      <c r="E992"/>
      <c r="F992"/>
      <c r="G992"/>
      <c r="H992" s="19"/>
      <c r="I992" s="19"/>
      <c r="J992" s="19"/>
      <c r="M992" s="7"/>
    </row>
    <row r="993" spans="2:13" x14ac:dyDescent="0.25">
      <c r="B993"/>
      <c r="C993"/>
      <c r="D993"/>
      <c r="E993"/>
      <c r="F993"/>
      <c r="G993"/>
      <c r="H993" s="19"/>
      <c r="I993" s="19"/>
      <c r="J993" s="19"/>
      <c r="M993" s="7"/>
    </row>
    <row r="994" spans="2:13" x14ac:dyDescent="0.25">
      <c r="B994"/>
      <c r="C994"/>
      <c r="D994"/>
      <c r="E994"/>
      <c r="F994"/>
      <c r="G994"/>
      <c r="H994" s="19"/>
      <c r="I994" s="19"/>
      <c r="J994" s="19"/>
      <c r="M994" s="7"/>
    </row>
    <row r="995" spans="2:13" x14ac:dyDescent="0.25">
      <c r="B995"/>
      <c r="C995"/>
      <c r="D995"/>
      <c r="E995"/>
      <c r="F995"/>
      <c r="G995"/>
      <c r="H995" s="19"/>
      <c r="I995" s="19"/>
      <c r="J995" s="19"/>
      <c r="M995" s="7"/>
    </row>
    <row r="996" spans="2:13" x14ac:dyDescent="0.25">
      <c r="B996"/>
      <c r="C996"/>
      <c r="D996"/>
      <c r="E996"/>
      <c r="F996"/>
      <c r="G996"/>
      <c r="H996" s="19"/>
      <c r="I996" s="19"/>
      <c r="J996" s="19"/>
      <c r="M996" s="7"/>
    </row>
    <row r="997" spans="2:13" x14ac:dyDescent="0.25">
      <c r="B997"/>
      <c r="C997"/>
      <c r="D997"/>
      <c r="E997"/>
      <c r="F997"/>
      <c r="G997"/>
      <c r="H997" s="19"/>
      <c r="I997" s="19"/>
      <c r="J997" s="19"/>
      <c r="M997" s="7"/>
    </row>
    <row r="998" spans="2:13" x14ac:dyDescent="0.25">
      <c r="B998"/>
      <c r="C998"/>
      <c r="D998"/>
      <c r="E998"/>
      <c r="F998"/>
      <c r="G998"/>
      <c r="H998" s="19"/>
      <c r="I998" s="19"/>
      <c r="J998" s="19"/>
      <c r="M998" s="7"/>
    </row>
    <row r="999" spans="2:13" x14ac:dyDescent="0.25">
      <c r="B999"/>
      <c r="C999"/>
      <c r="D999"/>
      <c r="E999"/>
      <c r="F999"/>
      <c r="G999"/>
      <c r="H999" s="19"/>
      <c r="I999" s="19"/>
      <c r="J999" s="19"/>
      <c r="M999" s="7"/>
    </row>
    <row r="1000" spans="2:13" x14ac:dyDescent="0.25">
      <c r="B1000"/>
      <c r="C1000"/>
      <c r="D1000"/>
      <c r="E1000"/>
      <c r="F1000"/>
      <c r="G1000"/>
      <c r="H1000" s="19"/>
      <c r="I1000" s="19"/>
      <c r="J1000" s="19"/>
      <c r="M1000" s="7"/>
    </row>
    <row r="1001" spans="2:13" x14ac:dyDescent="0.25">
      <c r="B1001"/>
      <c r="C1001"/>
      <c r="D1001"/>
      <c r="E1001"/>
      <c r="F1001"/>
      <c r="G1001"/>
      <c r="H1001" s="19"/>
      <c r="I1001" s="19"/>
      <c r="J1001" s="19"/>
      <c r="M1001" s="7"/>
    </row>
    <row r="1002" spans="2:13" x14ac:dyDescent="0.25">
      <c r="B1002"/>
      <c r="C1002"/>
      <c r="D1002"/>
      <c r="E1002"/>
      <c r="F1002"/>
      <c r="G1002"/>
      <c r="H1002" s="19"/>
      <c r="I1002" s="19"/>
      <c r="J1002" s="19"/>
      <c r="M1002" s="7"/>
    </row>
    <row r="1003" spans="2:13" x14ac:dyDescent="0.25">
      <c r="B1003"/>
      <c r="C1003"/>
      <c r="D1003"/>
      <c r="E1003"/>
      <c r="F1003"/>
      <c r="G1003"/>
      <c r="H1003" s="19"/>
      <c r="I1003" s="19"/>
      <c r="J1003" s="19"/>
      <c r="M1003" s="7"/>
    </row>
    <row r="1004" spans="2:13" x14ac:dyDescent="0.25">
      <c r="B1004"/>
      <c r="C1004"/>
      <c r="D1004"/>
      <c r="E1004"/>
      <c r="F1004"/>
      <c r="G1004"/>
      <c r="H1004" s="19"/>
      <c r="I1004" s="19"/>
      <c r="J1004" s="19"/>
      <c r="M1004" s="7"/>
    </row>
    <row r="1005" spans="2:13" x14ac:dyDescent="0.25">
      <c r="B1005"/>
      <c r="C1005"/>
      <c r="D1005"/>
      <c r="E1005"/>
      <c r="F1005"/>
      <c r="G1005"/>
      <c r="H1005" s="19"/>
      <c r="I1005" s="19"/>
      <c r="J1005" s="19"/>
      <c r="M1005" s="7"/>
    </row>
    <row r="1006" spans="2:13" x14ac:dyDescent="0.25">
      <c r="B1006"/>
      <c r="C1006"/>
      <c r="D1006"/>
      <c r="E1006"/>
      <c r="F1006"/>
      <c r="G1006"/>
      <c r="H1006" s="19"/>
      <c r="I1006" s="19"/>
      <c r="J1006" s="19"/>
      <c r="M1006" s="7"/>
    </row>
    <row r="1007" spans="2:13" x14ac:dyDescent="0.25">
      <c r="B1007"/>
      <c r="C1007"/>
      <c r="D1007"/>
      <c r="E1007"/>
      <c r="F1007"/>
      <c r="G1007"/>
      <c r="H1007" s="19"/>
      <c r="I1007" s="19"/>
      <c r="J1007" s="19"/>
      <c r="M1007" s="7"/>
    </row>
    <row r="1008" spans="2:13" x14ac:dyDescent="0.25">
      <c r="B1008"/>
      <c r="C1008"/>
      <c r="D1008"/>
      <c r="E1008"/>
      <c r="F1008"/>
      <c r="G1008"/>
      <c r="H1008" s="19"/>
      <c r="I1008" s="19"/>
      <c r="J1008" s="19"/>
      <c r="M1008" s="7"/>
    </row>
    <row r="1009" spans="2:13" x14ac:dyDescent="0.25">
      <c r="B1009"/>
      <c r="C1009"/>
      <c r="D1009"/>
      <c r="E1009"/>
      <c r="F1009"/>
      <c r="G1009"/>
      <c r="H1009" s="19"/>
      <c r="I1009" s="19"/>
      <c r="J1009" s="19"/>
      <c r="M1009" s="7"/>
    </row>
    <row r="1010" spans="2:13" x14ac:dyDescent="0.25">
      <c r="B1010"/>
      <c r="C1010"/>
      <c r="D1010"/>
      <c r="E1010"/>
      <c r="F1010"/>
      <c r="G1010"/>
      <c r="H1010" s="19"/>
      <c r="I1010" s="19"/>
      <c r="J1010" s="19"/>
      <c r="M1010" s="7"/>
    </row>
    <row r="1011" spans="2:13" x14ac:dyDescent="0.25">
      <c r="B1011"/>
      <c r="C1011"/>
      <c r="D1011"/>
      <c r="E1011"/>
      <c r="F1011"/>
      <c r="G1011"/>
      <c r="H1011" s="19"/>
      <c r="I1011" s="19"/>
      <c r="J1011" s="19"/>
      <c r="M1011" s="7"/>
    </row>
    <row r="1012" spans="2:13" x14ac:dyDescent="0.25">
      <c r="B1012"/>
      <c r="C1012"/>
      <c r="D1012"/>
      <c r="E1012"/>
      <c r="F1012"/>
      <c r="G1012"/>
      <c r="H1012" s="19"/>
      <c r="I1012" s="19"/>
      <c r="J1012" s="19"/>
      <c r="M1012" s="7"/>
    </row>
    <row r="1013" spans="2:13" x14ac:dyDescent="0.25">
      <c r="B1013"/>
      <c r="C1013"/>
      <c r="D1013"/>
      <c r="E1013"/>
      <c r="F1013"/>
      <c r="G1013"/>
      <c r="H1013" s="19"/>
      <c r="I1013" s="19"/>
      <c r="J1013" s="19"/>
      <c r="M1013" s="7"/>
    </row>
    <row r="1014" spans="2:13" x14ac:dyDescent="0.25">
      <c r="B1014"/>
      <c r="C1014"/>
      <c r="D1014"/>
      <c r="E1014"/>
      <c r="F1014"/>
      <c r="G1014"/>
      <c r="H1014" s="19"/>
      <c r="I1014" s="19"/>
      <c r="J1014" s="19"/>
      <c r="M1014" s="7"/>
    </row>
    <row r="1015" spans="2:13" x14ac:dyDescent="0.25">
      <c r="B1015"/>
      <c r="C1015"/>
      <c r="D1015"/>
      <c r="E1015"/>
      <c r="F1015"/>
      <c r="G1015"/>
      <c r="H1015" s="19"/>
      <c r="I1015" s="19"/>
      <c r="J1015" s="19"/>
      <c r="M1015" s="7"/>
    </row>
    <row r="1016" spans="2:13" x14ac:dyDescent="0.25">
      <c r="B1016"/>
      <c r="C1016"/>
      <c r="D1016"/>
      <c r="E1016"/>
      <c r="F1016"/>
      <c r="G1016"/>
      <c r="H1016" s="19"/>
      <c r="I1016" s="19"/>
      <c r="J1016" s="19"/>
      <c r="M1016" s="7"/>
    </row>
    <row r="1017" spans="2:13" x14ac:dyDescent="0.25">
      <c r="B1017"/>
      <c r="C1017"/>
      <c r="D1017"/>
      <c r="E1017"/>
      <c r="F1017"/>
      <c r="G1017"/>
      <c r="H1017" s="19"/>
      <c r="I1017" s="19"/>
      <c r="J1017" s="19"/>
      <c r="M1017" s="7"/>
    </row>
    <row r="1018" spans="2:13" x14ac:dyDescent="0.25">
      <c r="B1018"/>
      <c r="C1018"/>
      <c r="D1018"/>
      <c r="E1018"/>
      <c r="F1018"/>
      <c r="G1018"/>
      <c r="H1018" s="19"/>
      <c r="I1018" s="19"/>
      <c r="J1018" s="19"/>
      <c r="M1018" s="7"/>
    </row>
    <row r="1019" spans="2:13" x14ac:dyDescent="0.25">
      <c r="B1019"/>
      <c r="C1019"/>
      <c r="D1019"/>
      <c r="E1019"/>
      <c r="F1019"/>
      <c r="G1019"/>
      <c r="H1019" s="19"/>
      <c r="I1019" s="19"/>
      <c r="J1019" s="19"/>
      <c r="M1019" s="7"/>
    </row>
    <row r="1020" spans="2:13" x14ac:dyDescent="0.25">
      <c r="B1020"/>
      <c r="C1020"/>
      <c r="D1020"/>
      <c r="E1020"/>
      <c r="F1020"/>
      <c r="G1020"/>
      <c r="H1020" s="19"/>
      <c r="I1020" s="19"/>
      <c r="J1020" s="19"/>
      <c r="M1020" s="7"/>
    </row>
    <row r="1021" spans="2:13" x14ac:dyDescent="0.25">
      <c r="B1021"/>
      <c r="C1021"/>
      <c r="D1021"/>
      <c r="E1021"/>
      <c r="F1021"/>
      <c r="G1021"/>
      <c r="H1021" s="19"/>
      <c r="I1021" s="19"/>
      <c r="J1021" s="19"/>
      <c r="M1021" s="7"/>
    </row>
    <row r="1022" spans="2:13" x14ac:dyDescent="0.25">
      <c r="B1022"/>
      <c r="C1022"/>
      <c r="D1022"/>
      <c r="E1022"/>
      <c r="F1022"/>
      <c r="G1022"/>
      <c r="H1022" s="19"/>
      <c r="I1022" s="19"/>
      <c r="J1022" s="19"/>
      <c r="M1022" s="7"/>
    </row>
    <row r="1023" spans="2:13" x14ac:dyDescent="0.25">
      <c r="B1023"/>
      <c r="C1023"/>
      <c r="D1023"/>
      <c r="E1023"/>
      <c r="F1023"/>
      <c r="G1023"/>
      <c r="H1023" s="19"/>
      <c r="I1023" s="19"/>
      <c r="J1023" s="19"/>
      <c r="M1023" s="7"/>
    </row>
    <row r="1024" spans="2:13" x14ac:dyDescent="0.25">
      <c r="B1024"/>
      <c r="C1024"/>
      <c r="D1024"/>
      <c r="E1024"/>
      <c r="F1024"/>
      <c r="G1024"/>
      <c r="H1024" s="19"/>
      <c r="I1024" s="19"/>
      <c r="J1024" s="19"/>
      <c r="M1024" s="7"/>
    </row>
    <row r="1025" spans="2:13" x14ac:dyDescent="0.25">
      <c r="B1025"/>
      <c r="C1025"/>
      <c r="D1025"/>
      <c r="E1025"/>
      <c r="F1025"/>
      <c r="G1025"/>
      <c r="H1025" s="19"/>
      <c r="I1025" s="19"/>
      <c r="J1025" s="19"/>
      <c r="M1025" s="7"/>
    </row>
    <row r="1026" spans="2:13" x14ac:dyDescent="0.25">
      <c r="B1026"/>
      <c r="C1026"/>
      <c r="D1026"/>
      <c r="E1026"/>
      <c r="F1026"/>
      <c r="G1026"/>
      <c r="H1026" s="19"/>
      <c r="I1026" s="19"/>
      <c r="J1026" s="19"/>
      <c r="M1026" s="7"/>
    </row>
    <row r="1027" spans="2:13" x14ac:dyDescent="0.25">
      <c r="B1027"/>
      <c r="C1027"/>
      <c r="D1027"/>
      <c r="E1027"/>
      <c r="F1027"/>
      <c r="G1027"/>
      <c r="H1027" s="19"/>
      <c r="I1027" s="19"/>
      <c r="J1027" s="19"/>
      <c r="M1027" s="7"/>
    </row>
    <row r="1028" spans="2:13" x14ac:dyDescent="0.25">
      <c r="B1028"/>
      <c r="C1028"/>
      <c r="D1028"/>
      <c r="E1028"/>
      <c r="F1028"/>
      <c r="G1028"/>
      <c r="H1028" s="19"/>
      <c r="I1028" s="19"/>
      <c r="J1028" s="19"/>
      <c r="M1028" s="7"/>
    </row>
    <row r="1029" spans="2:13" x14ac:dyDescent="0.25">
      <c r="B1029"/>
      <c r="C1029"/>
      <c r="D1029"/>
      <c r="E1029"/>
      <c r="F1029"/>
      <c r="G1029"/>
      <c r="H1029" s="19"/>
      <c r="I1029" s="19"/>
      <c r="J1029" s="19"/>
      <c r="M1029" s="7"/>
    </row>
    <row r="1030" spans="2:13" x14ac:dyDescent="0.25">
      <c r="B1030"/>
      <c r="C1030"/>
      <c r="D1030"/>
      <c r="E1030"/>
      <c r="F1030"/>
      <c r="G1030"/>
      <c r="H1030" s="19"/>
      <c r="I1030" s="19"/>
      <c r="J1030" s="19"/>
      <c r="M1030" s="7"/>
    </row>
    <row r="1031" spans="2:13" x14ac:dyDescent="0.25">
      <c r="B1031"/>
      <c r="C1031"/>
      <c r="D1031"/>
      <c r="E1031"/>
      <c r="F1031"/>
      <c r="G1031"/>
      <c r="H1031" s="19"/>
      <c r="I1031" s="19"/>
      <c r="J1031" s="19"/>
      <c r="M1031" s="7"/>
    </row>
    <row r="1032" spans="2:13" x14ac:dyDescent="0.25">
      <c r="B1032"/>
      <c r="C1032"/>
      <c r="D1032"/>
      <c r="E1032"/>
      <c r="F1032"/>
      <c r="G1032"/>
      <c r="H1032" s="19"/>
      <c r="I1032" s="19"/>
      <c r="J1032" s="19"/>
      <c r="M1032" s="7"/>
    </row>
    <row r="1033" spans="2:13" x14ac:dyDescent="0.25">
      <c r="B1033"/>
      <c r="C1033"/>
      <c r="D1033"/>
      <c r="E1033"/>
      <c r="F1033"/>
      <c r="G1033"/>
      <c r="H1033" s="19"/>
      <c r="I1033" s="19"/>
      <c r="J1033" s="19"/>
      <c r="M1033" s="7"/>
    </row>
    <row r="1034" spans="2:13" x14ac:dyDescent="0.25">
      <c r="B1034"/>
      <c r="C1034"/>
      <c r="D1034"/>
      <c r="E1034"/>
      <c r="F1034"/>
      <c r="G1034"/>
      <c r="H1034" s="19"/>
      <c r="I1034" s="19"/>
      <c r="J1034" s="19"/>
      <c r="M1034" s="7"/>
    </row>
    <row r="1035" spans="2:13" x14ac:dyDescent="0.25">
      <c r="B1035"/>
      <c r="C1035"/>
      <c r="D1035"/>
      <c r="E1035"/>
      <c r="F1035"/>
      <c r="G1035"/>
      <c r="H1035" s="19"/>
      <c r="I1035" s="19"/>
      <c r="J1035" s="19"/>
      <c r="M1035" s="7"/>
    </row>
    <row r="1036" spans="2:13" x14ac:dyDescent="0.25">
      <c r="B1036"/>
      <c r="C1036"/>
      <c r="D1036"/>
      <c r="E1036"/>
      <c r="F1036"/>
      <c r="G1036"/>
      <c r="H1036" s="19"/>
      <c r="I1036" s="19"/>
      <c r="J1036" s="19"/>
      <c r="M1036" s="7"/>
    </row>
    <row r="1037" spans="2:13" x14ac:dyDescent="0.25">
      <c r="B1037"/>
      <c r="C1037"/>
      <c r="D1037"/>
      <c r="E1037"/>
      <c r="F1037"/>
      <c r="G1037"/>
      <c r="H1037" s="19"/>
      <c r="I1037" s="19"/>
      <c r="J1037" s="19"/>
      <c r="M1037" s="7"/>
    </row>
    <row r="1038" spans="2:13" x14ac:dyDescent="0.25">
      <c r="B1038"/>
      <c r="C1038"/>
      <c r="D1038"/>
      <c r="E1038"/>
      <c r="F1038"/>
      <c r="G1038"/>
      <c r="H1038" s="19"/>
      <c r="I1038" s="19"/>
      <c r="J1038" s="19"/>
      <c r="M1038" s="7"/>
    </row>
    <row r="1039" spans="2:13" x14ac:dyDescent="0.25">
      <c r="B1039"/>
      <c r="C1039"/>
      <c r="D1039"/>
      <c r="E1039"/>
      <c r="F1039"/>
      <c r="G1039"/>
      <c r="H1039" s="19"/>
      <c r="I1039" s="19"/>
      <c r="J1039" s="19"/>
      <c r="M1039" s="7"/>
    </row>
    <row r="1040" spans="2:13" x14ac:dyDescent="0.25">
      <c r="B1040"/>
      <c r="C1040"/>
      <c r="D1040"/>
      <c r="E1040"/>
      <c r="F1040"/>
      <c r="G1040"/>
      <c r="H1040" s="19"/>
      <c r="I1040" s="19"/>
      <c r="J1040" s="19"/>
      <c r="M1040" s="7"/>
    </row>
    <row r="1041" spans="2:13" x14ac:dyDescent="0.25">
      <c r="B1041"/>
      <c r="C1041"/>
      <c r="D1041"/>
      <c r="E1041"/>
      <c r="F1041"/>
      <c r="G1041"/>
      <c r="H1041" s="19"/>
      <c r="I1041" s="19"/>
      <c r="J1041" s="19"/>
      <c r="M1041" s="7"/>
    </row>
    <row r="1042" spans="2:13" x14ac:dyDescent="0.25">
      <c r="B1042"/>
      <c r="C1042"/>
      <c r="D1042"/>
      <c r="E1042"/>
      <c r="F1042"/>
      <c r="G1042"/>
      <c r="H1042" s="19"/>
      <c r="I1042" s="19"/>
      <c r="J1042" s="19"/>
      <c r="M1042" s="7"/>
    </row>
    <row r="1043" spans="2:13" x14ac:dyDescent="0.25">
      <c r="B1043"/>
      <c r="C1043"/>
      <c r="D1043"/>
      <c r="E1043"/>
      <c r="F1043"/>
      <c r="G1043"/>
      <c r="H1043" s="19"/>
      <c r="I1043" s="19"/>
      <c r="J1043" s="19"/>
      <c r="M1043" s="7"/>
    </row>
    <row r="1044" spans="2:13" x14ac:dyDescent="0.25">
      <c r="B1044"/>
      <c r="C1044"/>
      <c r="D1044"/>
      <c r="E1044"/>
      <c r="F1044"/>
      <c r="G1044"/>
      <c r="H1044" s="19"/>
      <c r="I1044" s="19"/>
      <c r="J1044" s="19"/>
      <c r="M1044" s="7"/>
    </row>
    <row r="1045" spans="2:13" x14ac:dyDescent="0.25">
      <c r="B1045"/>
      <c r="C1045"/>
      <c r="D1045"/>
      <c r="E1045"/>
      <c r="F1045"/>
      <c r="G1045"/>
      <c r="H1045" s="19"/>
      <c r="I1045" s="19"/>
      <c r="J1045" s="19"/>
      <c r="M1045" s="7"/>
    </row>
    <row r="1046" spans="2:13" x14ac:dyDescent="0.25">
      <c r="B1046"/>
      <c r="C1046"/>
      <c r="D1046"/>
      <c r="E1046"/>
      <c r="F1046"/>
      <c r="G1046"/>
      <c r="H1046" s="19"/>
      <c r="I1046" s="19"/>
      <c r="J1046" s="19"/>
      <c r="M1046" s="7"/>
    </row>
    <row r="1047" spans="2:13" x14ac:dyDescent="0.25">
      <c r="B1047"/>
      <c r="C1047"/>
      <c r="D1047"/>
      <c r="E1047"/>
      <c r="F1047"/>
      <c r="G1047"/>
      <c r="H1047" s="19"/>
      <c r="I1047" s="19"/>
      <c r="J1047" s="19"/>
      <c r="M1047" s="7"/>
    </row>
    <row r="1048" spans="2:13" x14ac:dyDescent="0.25">
      <c r="B1048"/>
      <c r="C1048"/>
      <c r="D1048"/>
      <c r="E1048"/>
      <c r="F1048"/>
      <c r="G1048"/>
      <c r="H1048" s="19"/>
      <c r="I1048" s="19"/>
      <c r="J1048" s="19"/>
      <c r="M1048" s="7"/>
    </row>
    <row r="1049" spans="2:13" x14ac:dyDescent="0.25">
      <c r="B1049"/>
      <c r="C1049"/>
      <c r="D1049"/>
      <c r="E1049"/>
      <c r="F1049"/>
      <c r="G1049"/>
      <c r="H1049" s="19"/>
      <c r="I1049" s="19"/>
      <c r="J1049" s="19"/>
      <c r="M1049" s="7"/>
    </row>
    <row r="1050" spans="2:13" x14ac:dyDescent="0.25">
      <c r="B1050"/>
      <c r="C1050"/>
      <c r="D1050"/>
      <c r="E1050"/>
      <c r="F1050"/>
      <c r="G1050"/>
      <c r="H1050" s="19"/>
      <c r="I1050" s="19"/>
      <c r="J1050" s="19"/>
      <c r="M1050" s="7"/>
    </row>
    <row r="1051" spans="2:13" x14ac:dyDescent="0.25">
      <c r="B1051"/>
      <c r="C1051"/>
      <c r="D1051"/>
      <c r="E1051"/>
      <c r="F1051"/>
      <c r="G1051"/>
      <c r="H1051" s="19"/>
      <c r="I1051" s="19"/>
      <c r="J1051" s="19"/>
      <c r="M1051" s="7"/>
    </row>
    <row r="1052" spans="2:13" x14ac:dyDescent="0.25">
      <c r="B1052"/>
      <c r="C1052"/>
      <c r="D1052"/>
      <c r="E1052"/>
      <c r="F1052"/>
      <c r="G1052"/>
      <c r="H1052" s="19"/>
      <c r="I1052" s="19"/>
      <c r="J1052" s="19"/>
      <c r="M1052" s="7"/>
    </row>
    <row r="1053" spans="2:13" x14ac:dyDescent="0.25">
      <c r="B1053"/>
      <c r="C1053"/>
      <c r="D1053"/>
      <c r="E1053"/>
      <c r="F1053"/>
      <c r="G1053"/>
      <c r="H1053" s="19"/>
      <c r="I1053" s="19"/>
      <c r="J1053" s="19"/>
      <c r="M1053" s="7"/>
    </row>
    <row r="1054" spans="2:13" x14ac:dyDescent="0.25">
      <c r="B1054"/>
      <c r="C1054"/>
      <c r="D1054"/>
      <c r="E1054"/>
      <c r="F1054"/>
      <c r="G1054"/>
      <c r="H1054" s="19"/>
      <c r="I1054" s="19"/>
      <c r="J1054" s="19"/>
      <c r="M1054" s="7"/>
    </row>
    <row r="1055" spans="2:13" x14ac:dyDescent="0.25">
      <c r="B1055"/>
      <c r="C1055"/>
      <c r="D1055"/>
      <c r="E1055"/>
      <c r="F1055"/>
      <c r="G1055"/>
      <c r="H1055" s="19"/>
      <c r="I1055" s="19"/>
      <c r="J1055" s="19"/>
      <c r="M1055" s="7"/>
    </row>
    <row r="1056" spans="2:13" x14ac:dyDescent="0.25">
      <c r="B1056"/>
      <c r="C1056"/>
      <c r="D1056"/>
      <c r="E1056"/>
      <c r="F1056"/>
      <c r="G1056"/>
      <c r="H1056" s="19"/>
      <c r="I1056" s="19"/>
      <c r="J1056" s="19"/>
      <c r="M1056" s="7"/>
    </row>
    <row r="1057" spans="2:13" x14ac:dyDescent="0.25">
      <c r="B1057"/>
      <c r="C1057"/>
      <c r="D1057"/>
      <c r="E1057"/>
      <c r="F1057"/>
      <c r="G1057"/>
      <c r="H1057" s="19"/>
      <c r="I1057" s="19"/>
      <c r="J1057" s="19"/>
      <c r="M1057" s="7"/>
    </row>
    <row r="1058" spans="2:13" x14ac:dyDescent="0.25">
      <c r="B1058"/>
      <c r="C1058"/>
      <c r="D1058"/>
      <c r="E1058"/>
      <c r="F1058"/>
      <c r="G1058"/>
      <c r="H1058" s="19"/>
      <c r="I1058" s="19"/>
      <c r="J1058" s="19"/>
      <c r="M1058" s="7"/>
    </row>
    <row r="1059" spans="2:13" x14ac:dyDescent="0.25">
      <c r="B1059"/>
      <c r="C1059"/>
      <c r="D1059"/>
      <c r="E1059"/>
      <c r="F1059"/>
      <c r="G1059"/>
      <c r="H1059" s="19"/>
      <c r="I1059" s="19"/>
      <c r="J1059" s="19"/>
      <c r="M1059" s="7"/>
    </row>
    <row r="1060" spans="2:13" x14ac:dyDescent="0.25">
      <c r="B1060"/>
      <c r="C1060"/>
      <c r="D1060"/>
      <c r="E1060"/>
      <c r="F1060"/>
      <c r="G1060"/>
      <c r="H1060" s="19"/>
      <c r="I1060" s="19"/>
      <c r="J1060" s="19"/>
      <c r="M1060" s="7"/>
    </row>
    <row r="1061" spans="2:13" x14ac:dyDescent="0.25">
      <c r="B1061"/>
      <c r="C1061"/>
      <c r="D1061"/>
      <c r="E1061"/>
      <c r="F1061"/>
      <c r="G1061"/>
      <c r="H1061" s="19"/>
      <c r="I1061" s="19"/>
      <c r="J1061" s="19"/>
      <c r="M1061" s="7"/>
    </row>
    <row r="1062" spans="2:13" x14ac:dyDescent="0.25">
      <c r="B1062"/>
      <c r="C1062"/>
      <c r="D1062"/>
      <c r="E1062"/>
      <c r="F1062"/>
      <c r="G1062"/>
      <c r="H1062" s="19"/>
      <c r="I1062" s="19"/>
      <c r="J1062" s="19"/>
      <c r="M1062" s="7"/>
    </row>
    <row r="1063" spans="2:13" x14ac:dyDescent="0.25">
      <c r="B1063"/>
      <c r="C1063"/>
      <c r="D1063"/>
      <c r="E1063"/>
      <c r="F1063"/>
      <c r="G1063"/>
      <c r="H1063" s="19"/>
      <c r="I1063" s="19"/>
      <c r="J1063" s="19"/>
      <c r="M1063" s="7"/>
    </row>
    <row r="1064" spans="2:13" x14ac:dyDescent="0.25">
      <c r="B1064"/>
      <c r="C1064"/>
      <c r="D1064"/>
      <c r="E1064"/>
      <c r="F1064"/>
      <c r="G1064"/>
      <c r="H1064" s="19"/>
      <c r="I1064" s="19"/>
      <c r="J1064" s="19"/>
      <c r="M1064" s="7"/>
    </row>
    <row r="1065" spans="2:13" x14ac:dyDescent="0.25">
      <c r="B1065"/>
      <c r="C1065"/>
      <c r="D1065"/>
      <c r="E1065"/>
      <c r="F1065"/>
      <c r="G1065"/>
      <c r="H1065" s="19"/>
      <c r="I1065" s="19"/>
      <c r="J1065" s="19"/>
      <c r="M1065" s="7"/>
    </row>
    <row r="1066" spans="2:13" x14ac:dyDescent="0.25">
      <c r="B1066"/>
      <c r="C1066"/>
      <c r="D1066"/>
      <c r="E1066"/>
      <c r="F1066"/>
      <c r="G1066"/>
      <c r="H1066" s="19"/>
      <c r="I1066" s="19"/>
      <c r="J1066" s="19"/>
      <c r="M1066" s="7"/>
    </row>
    <row r="1067" spans="2:13" x14ac:dyDescent="0.25">
      <c r="B1067"/>
      <c r="C1067"/>
      <c r="D1067"/>
      <c r="E1067"/>
      <c r="F1067"/>
      <c r="G1067"/>
      <c r="H1067" s="19"/>
      <c r="I1067" s="19"/>
      <c r="J1067" s="19"/>
      <c r="M1067" s="7"/>
    </row>
    <row r="1068" spans="2:13" x14ac:dyDescent="0.25">
      <c r="B1068"/>
      <c r="C1068"/>
      <c r="D1068"/>
      <c r="E1068"/>
      <c r="F1068"/>
      <c r="G1068"/>
      <c r="H1068" s="19"/>
      <c r="I1068" s="19"/>
      <c r="J1068" s="19"/>
      <c r="M1068" s="7"/>
    </row>
    <row r="1069" spans="2:13" x14ac:dyDescent="0.25">
      <c r="B1069"/>
      <c r="C1069"/>
      <c r="D1069"/>
      <c r="E1069"/>
      <c r="F1069"/>
      <c r="G1069"/>
      <c r="H1069" s="19"/>
      <c r="I1069" s="19"/>
      <c r="J1069" s="19"/>
      <c r="M1069" s="7"/>
    </row>
    <row r="1070" spans="2:13" x14ac:dyDescent="0.25">
      <c r="B1070"/>
      <c r="C1070"/>
      <c r="D1070"/>
      <c r="E1070"/>
      <c r="F1070"/>
      <c r="G1070"/>
      <c r="H1070" s="19"/>
      <c r="I1070" s="19"/>
      <c r="J1070" s="19"/>
      <c r="M1070" s="7"/>
    </row>
    <row r="1071" spans="2:13" x14ac:dyDescent="0.25">
      <c r="B1071"/>
      <c r="C1071"/>
      <c r="D1071"/>
      <c r="E1071"/>
      <c r="F1071"/>
      <c r="G1071"/>
      <c r="H1071" s="19"/>
      <c r="I1071" s="19"/>
      <c r="J1071" s="19"/>
      <c r="M1071" s="7"/>
    </row>
    <row r="1072" spans="2:13" x14ac:dyDescent="0.25">
      <c r="B1072"/>
      <c r="C1072"/>
      <c r="D1072"/>
      <c r="E1072"/>
      <c r="F1072"/>
      <c r="G1072"/>
      <c r="H1072" s="19"/>
      <c r="I1072" s="19"/>
      <c r="J1072" s="19"/>
      <c r="M1072" s="7"/>
    </row>
    <row r="1073" spans="2:13" x14ac:dyDescent="0.25">
      <c r="B1073"/>
      <c r="C1073"/>
      <c r="D1073"/>
      <c r="E1073"/>
      <c r="F1073"/>
      <c r="G1073"/>
      <c r="H1073" s="19"/>
      <c r="I1073" s="19"/>
      <c r="J1073" s="19"/>
      <c r="M1073" s="7"/>
    </row>
    <row r="1074" spans="2:13" x14ac:dyDescent="0.25">
      <c r="B1074"/>
      <c r="C1074"/>
      <c r="D1074"/>
      <c r="E1074"/>
      <c r="F1074"/>
      <c r="G1074"/>
      <c r="H1074" s="19"/>
      <c r="I1074" s="19"/>
      <c r="J1074" s="19"/>
      <c r="M1074" s="7"/>
    </row>
    <row r="1075" spans="2:13" x14ac:dyDescent="0.25">
      <c r="B1075"/>
      <c r="C1075"/>
      <c r="D1075"/>
      <c r="E1075"/>
      <c r="F1075"/>
      <c r="G1075"/>
      <c r="H1075" s="19"/>
      <c r="I1075" s="19"/>
      <c r="J1075" s="19"/>
      <c r="M1075" s="7"/>
    </row>
    <row r="1076" spans="2:13" x14ac:dyDescent="0.25">
      <c r="B1076"/>
      <c r="C1076"/>
      <c r="D1076"/>
      <c r="E1076"/>
      <c r="F1076"/>
      <c r="G1076"/>
      <c r="H1076" s="19"/>
      <c r="I1076" s="19"/>
      <c r="J1076" s="19"/>
      <c r="M1076" s="7"/>
    </row>
    <row r="1077" spans="2:13" x14ac:dyDescent="0.25">
      <c r="B1077"/>
      <c r="C1077"/>
      <c r="D1077"/>
      <c r="E1077"/>
      <c r="F1077"/>
      <c r="G1077"/>
      <c r="H1077" s="19"/>
      <c r="I1077" s="19"/>
      <c r="J1077" s="19"/>
      <c r="M1077" s="7"/>
    </row>
    <row r="1078" spans="2:13" x14ac:dyDescent="0.25">
      <c r="B1078"/>
      <c r="C1078"/>
      <c r="D1078"/>
      <c r="E1078"/>
      <c r="F1078"/>
      <c r="G1078"/>
      <c r="H1078" s="19"/>
      <c r="I1078" s="19"/>
      <c r="J1078" s="19"/>
      <c r="M1078" s="7"/>
    </row>
    <row r="1079" spans="2:13" x14ac:dyDescent="0.25">
      <c r="B1079"/>
      <c r="C1079"/>
      <c r="D1079"/>
      <c r="E1079"/>
      <c r="F1079"/>
      <c r="G1079"/>
      <c r="H1079" s="19"/>
      <c r="I1079" s="19"/>
      <c r="J1079" s="19"/>
      <c r="M1079" s="7"/>
    </row>
    <row r="1080" spans="2:13" x14ac:dyDescent="0.25">
      <c r="B1080"/>
      <c r="C1080"/>
      <c r="D1080"/>
      <c r="E1080"/>
      <c r="F1080"/>
      <c r="G1080"/>
      <c r="H1080" s="19"/>
      <c r="I1080" s="19"/>
      <c r="J1080" s="19"/>
      <c r="M1080" s="7"/>
    </row>
    <row r="1081" spans="2:13" x14ac:dyDescent="0.25">
      <c r="B1081"/>
      <c r="C1081"/>
      <c r="D1081"/>
      <c r="E1081"/>
      <c r="F1081"/>
      <c r="G1081"/>
      <c r="H1081" s="19"/>
      <c r="I1081" s="19"/>
      <c r="J1081" s="19"/>
      <c r="M1081" s="7"/>
    </row>
    <row r="1082" spans="2:13" x14ac:dyDescent="0.25">
      <c r="B1082"/>
      <c r="C1082"/>
      <c r="D1082"/>
      <c r="E1082"/>
      <c r="F1082"/>
      <c r="G1082"/>
      <c r="H1082" s="19"/>
      <c r="I1082" s="19"/>
      <c r="J1082" s="19"/>
      <c r="M1082" s="7"/>
    </row>
    <row r="1083" spans="2:13" x14ac:dyDescent="0.25">
      <c r="B1083"/>
      <c r="C1083"/>
      <c r="D1083"/>
      <c r="E1083"/>
      <c r="F1083"/>
      <c r="G1083"/>
      <c r="H1083" s="19"/>
      <c r="I1083" s="19"/>
      <c r="J1083" s="19"/>
      <c r="M1083" s="7"/>
    </row>
    <row r="1084" spans="2:13" x14ac:dyDescent="0.25">
      <c r="B1084"/>
      <c r="C1084"/>
      <c r="D1084"/>
      <c r="E1084"/>
      <c r="F1084"/>
      <c r="G1084"/>
      <c r="H1084" s="19"/>
      <c r="I1084" s="19"/>
      <c r="J1084" s="19"/>
      <c r="M1084" s="7"/>
    </row>
    <row r="1085" spans="2:13" x14ac:dyDescent="0.25">
      <c r="B1085"/>
      <c r="C1085"/>
      <c r="D1085"/>
      <c r="E1085"/>
      <c r="F1085"/>
      <c r="G1085"/>
      <c r="H1085" s="19"/>
      <c r="I1085" s="19"/>
      <c r="J1085" s="19"/>
      <c r="M1085" s="7"/>
    </row>
    <row r="1086" spans="2:13" x14ac:dyDescent="0.25">
      <c r="B1086"/>
      <c r="C1086"/>
      <c r="D1086"/>
      <c r="E1086"/>
      <c r="F1086"/>
      <c r="G1086"/>
      <c r="H1086" s="19"/>
      <c r="I1086" s="19"/>
      <c r="J1086" s="19"/>
      <c r="M1086" s="7"/>
    </row>
    <row r="1087" spans="2:13" x14ac:dyDescent="0.25">
      <c r="B1087"/>
      <c r="C1087"/>
      <c r="D1087"/>
      <c r="E1087"/>
      <c r="F1087"/>
      <c r="G1087"/>
      <c r="H1087" s="19"/>
      <c r="I1087" s="19"/>
      <c r="J1087" s="19"/>
      <c r="M1087" s="7"/>
    </row>
    <row r="1088" spans="2:13" x14ac:dyDescent="0.25">
      <c r="B1088"/>
      <c r="C1088"/>
      <c r="D1088"/>
      <c r="E1088"/>
      <c r="F1088"/>
      <c r="G1088"/>
      <c r="H1088" s="19"/>
      <c r="I1088" s="19"/>
      <c r="J1088" s="19"/>
      <c r="M1088" s="7"/>
    </row>
    <row r="1089" spans="2:13" x14ac:dyDescent="0.25">
      <c r="B1089"/>
      <c r="C1089"/>
      <c r="D1089"/>
      <c r="E1089"/>
      <c r="F1089"/>
      <c r="G1089"/>
      <c r="H1089" s="19"/>
      <c r="I1089" s="19"/>
      <c r="J1089" s="19"/>
      <c r="M1089" s="7"/>
    </row>
    <row r="1090" spans="2:13" x14ac:dyDescent="0.25">
      <c r="B1090"/>
      <c r="C1090"/>
      <c r="D1090"/>
      <c r="E1090"/>
      <c r="F1090"/>
      <c r="G1090"/>
      <c r="H1090" s="19"/>
      <c r="I1090" s="19"/>
      <c r="J1090" s="19"/>
      <c r="M1090" s="7"/>
    </row>
    <row r="1091" spans="2:13" x14ac:dyDescent="0.25">
      <c r="B1091"/>
      <c r="C1091"/>
      <c r="D1091"/>
      <c r="E1091"/>
      <c r="F1091"/>
      <c r="G1091"/>
      <c r="H1091" s="19"/>
      <c r="I1091" s="19"/>
      <c r="J1091" s="19"/>
      <c r="M1091" s="7"/>
    </row>
    <row r="1092" spans="2:13" x14ac:dyDescent="0.25">
      <c r="B1092"/>
      <c r="C1092"/>
      <c r="D1092"/>
      <c r="E1092"/>
      <c r="F1092"/>
      <c r="G1092"/>
      <c r="H1092" s="19"/>
      <c r="I1092" s="19"/>
      <c r="J1092" s="19"/>
      <c r="M1092" s="7"/>
    </row>
    <row r="1093" spans="2:13" x14ac:dyDescent="0.25">
      <c r="B1093"/>
      <c r="C1093"/>
      <c r="D1093"/>
      <c r="E1093"/>
      <c r="F1093"/>
      <c r="G1093"/>
      <c r="H1093" s="19"/>
      <c r="I1093" s="19"/>
      <c r="J1093" s="19"/>
      <c r="M1093" s="7"/>
    </row>
    <row r="1094" spans="2:13" x14ac:dyDescent="0.25">
      <c r="B1094"/>
      <c r="C1094"/>
      <c r="D1094"/>
      <c r="E1094"/>
      <c r="F1094"/>
      <c r="G1094"/>
      <c r="H1094" s="19"/>
      <c r="I1094" s="19"/>
      <c r="J1094" s="19"/>
      <c r="M1094" s="7"/>
    </row>
    <row r="1095" spans="2:13" x14ac:dyDescent="0.25">
      <c r="B1095"/>
      <c r="C1095"/>
      <c r="D1095"/>
      <c r="E1095"/>
      <c r="F1095"/>
      <c r="G1095"/>
      <c r="H1095" s="19"/>
      <c r="I1095" s="19"/>
      <c r="J1095" s="19"/>
      <c r="M1095" s="7"/>
    </row>
    <row r="1096" spans="2:13" x14ac:dyDescent="0.25">
      <c r="B1096"/>
      <c r="C1096"/>
      <c r="D1096"/>
      <c r="E1096"/>
      <c r="F1096"/>
      <c r="G1096"/>
      <c r="H1096" s="19"/>
      <c r="I1096" s="19"/>
      <c r="J1096" s="19"/>
      <c r="M1096" s="7"/>
    </row>
    <row r="1097" spans="2:13" x14ac:dyDescent="0.25">
      <c r="B1097"/>
      <c r="C1097"/>
      <c r="D1097"/>
      <c r="E1097"/>
      <c r="F1097"/>
      <c r="G1097"/>
      <c r="H1097" s="19"/>
      <c r="I1097" s="19"/>
      <c r="J1097" s="19"/>
      <c r="M1097" s="7"/>
    </row>
    <row r="1098" spans="2:13" x14ac:dyDescent="0.25">
      <c r="B1098"/>
      <c r="C1098"/>
      <c r="D1098"/>
      <c r="E1098"/>
      <c r="F1098"/>
      <c r="G1098"/>
      <c r="H1098" s="19"/>
      <c r="I1098" s="19"/>
      <c r="J1098" s="19"/>
      <c r="M1098" s="7"/>
    </row>
    <row r="1099" spans="2:13" x14ac:dyDescent="0.25">
      <c r="B1099"/>
      <c r="C1099"/>
      <c r="D1099"/>
      <c r="E1099"/>
      <c r="F1099"/>
      <c r="G1099"/>
      <c r="H1099" s="19"/>
      <c r="I1099" s="19"/>
      <c r="J1099" s="19"/>
      <c r="M1099" s="7"/>
    </row>
    <row r="1100" spans="2:13" x14ac:dyDescent="0.25">
      <c r="B1100"/>
      <c r="C1100"/>
      <c r="D1100"/>
      <c r="E1100"/>
      <c r="F1100"/>
      <c r="G1100"/>
      <c r="H1100" s="19"/>
      <c r="I1100" s="19"/>
      <c r="J1100" s="19"/>
      <c r="M1100" s="7"/>
    </row>
    <row r="1101" spans="2:13" x14ac:dyDescent="0.25">
      <c r="B1101"/>
      <c r="C1101"/>
      <c r="D1101"/>
      <c r="E1101"/>
      <c r="F1101"/>
      <c r="G1101"/>
      <c r="H1101" s="19"/>
      <c r="I1101" s="19"/>
      <c r="J1101" s="19"/>
      <c r="M1101" s="7"/>
    </row>
    <row r="1102" spans="2:13" x14ac:dyDescent="0.25">
      <c r="B1102"/>
      <c r="C1102"/>
      <c r="D1102"/>
      <c r="E1102"/>
      <c r="F1102"/>
      <c r="G1102"/>
      <c r="H1102" s="19"/>
      <c r="I1102" s="19"/>
      <c r="J1102" s="19"/>
      <c r="M1102" s="7"/>
    </row>
    <row r="1103" spans="2:13" x14ac:dyDescent="0.25">
      <c r="B1103"/>
      <c r="C1103"/>
      <c r="D1103"/>
      <c r="E1103"/>
      <c r="F1103"/>
      <c r="G1103"/>
      <c r="H1103" s="19"/>
      <c r="I1103" s="19"/>
      <c r="J1103" s="19"/>
      <c r="M1103" s="7"/>
    </row>
    <row r="1104" spans="2:13" x14ac:dyDescent="0.25">
      <c r="B1104"/>
      <c r="C1104"/>
      <c r="D1104"/>
      <c r="E1104"/>
      <c r="F1104"/>
      <c r="G1104"/>
      <c r="H1104" s="19"/>
      <c r="I1104" s="19"/>
      <c r="J1104" s="19"/>
      <c r="M1104" s="7"/>
    </row>
    <row r="1105" spans="2:13" x14ac:dyDescent="0.25">
      <c r="B1105"/>
      <c r="C1105"/>
      <c r="D1105"/>
      <c r="E1105"/>
      <c r="F1105"/>
      <c r="G1105"/>
      <c r="H1105" s="19"/>
      <c r="I1105" s="19"/>
      <c r="J1105" s="19"/>
      <c r="M1105" s="7"/>
    </row>
    <row r="1106" spans="2:13" x14ac:dyDescent="0.25">
      <c r="B1106"/>
      <c r="C1106"/>
      <c r="D1106"/>
      <c r="E1106"/>
      <c r="F1106"/>
      <c r="G1106"/>
      <c r="H1106" s="19"/>
      <c r="I1106" s="19"/>
      <c r="J1106" s="19"/>
      <c r="M1106" s="7"/>
    </row>
    <row r="1107" spans="2:13" x14ac:dyDescent="0.25">
      <c r="B1107"/>
      <c r="C1107"/>
      <c r="D1107"/>
      <c r="E1107"/>
      <c r="F1107"/>
      <c r="G1107"/>
      <c r="H1107" s="19"/>
      <c r="I1107" s="19"/>
      <c r="J1107" s="19"/>
      <c r="M1107" s="7"/>
    </row>
    <row r="1108" spans="2:13" x14ac:dyDescent="0.25">
      <c r="B1108"/>
      <c r="C1108"/>
      <c r="D1108"/>
      <c r="E1108"/>
      <c r="F1108"/>
      <c r="G1108"/>
      <c r="H1108" s="19"/>
      <c r="I1108" s="19"/>
      <c r="J1108" s="19"/>
      <c r="M1108" s="7"/>
    </row>
    <row r="1109" spans="2:13" x14ac:dyDescent="0.25">
      <c r="B1109"/>
      <c r="C1109"/>
      <c r="D1109"/>
      <c r="E1109"/>
      <c r="F1109"/>
      <c r="G1109"/>
      <c r="H1109" s="19"/>
      <c r="I1109" s="19"/>
      <c r="J1109" s="19"/>
      <c r="M1109" s="7"/>
    </row>
    <row r="1110" spans="2:13" x14ac:dyDescent="0.25">
      <c r="B1110"/>
      <c r="C1110"/>
      <c r="D1110"/>
      <c r="E1110"/>
      <c r="F1110"/>
      <c r="G1110"/>
      <c r="H1110" s="19"/>
      <c r="I1110" s="19"/>
      <c r="J1110" s="19"/>
      <c r="M1110" s="7"/>
    </row>
    <row r="1111" spans="2:13" x14ac:dyDescent="0.25">
      <c r="B1111"/>
      <c r="C1111"/>
      <c r="D1111"/>
      <c r="E1111"/>
      <c r="F1111"/>
      <c r="G1111"/>
      <c r="H1111" s="19"/>
      <c r="I1111" s="19"/>
      <c r="J1111" s="19"/>
      <c r="M1111" s="7"/>
    </row>
    <row r="1112" spans="2:13" x14ac:dyDescent="0.25">
      <c r="B1112"/>
      <c r="C1112"/>
      <c r="D1112"/>
      <c r="E1112"/>
      <c r="F1112"/>
      <c r="G1112"/>
      <c r="H1112" s="19"/>
      <c r="I1112" s="19"/>
      <c r="J1112" s="19"/>
      <c r="M1112" s="7"/>
    </row>
    <row r="1113" spans="2:13" x14ac:dyDescent="0.25">
      <c r="B1113"/>
      <c r="C1113"/>
      <c r="D1113"/>
      <c r="E1113"/>
      <c r="F1113"/>
      <c r="G1113"/>
      <c r="H1113" s="19"/>
      <c r="I1113" s="19"/>
      <c r="J1113" s="19"/>
      <c r="M1113" s="7"/>
    </row>
    <row r="1114" spans="2:13" x14ac:dyDescent="0.25">
      <c r="B1114"/>
      <c r="C1114"/>
      <c r="D1114"/>
      <c r="E1114"/>
      <c r="F1114"/>
      <c r="G1114"/>
      <c r="H1114" s="19"/>
      <c r="I1114" s="19"/>
      <c r="J1114" s="19"/>
      <c r="M1114" s="7"/>
    </row>
    <row r="1115" spans="2:13" x14ac:dyDescent="0.25">
      <c r="B1115"/>
      <c r="C1115"/>
      <c r="D1115"/>
      <c r="E1115"/>
      <c r="F1115"/>
      <c r="G1115"/>
      <c r="H1115" s="19"/>
      <c r="I1115" s="19"/>
      <c r="J1115" s="19"/>
      <c r="M1115" s="7"/>
    </row>
    <row r="1116" spans="2:13" x14ac:dyDescent="0.25">
      <c r="B1116"/>
      <c r="C1116"/>
      <c r="D1116"/>
      <c r="E1116"/>
      <c r="F1116"/>
      <c r="G1116"/>
      <c r="H1116" s="19"/>
      <c r="I1116" s="19"/>
      <c r="J1116" s="19"/>
      <c r="M1116" s="7"/>
    </row>
    <row r="1117" spans="2:13" x14ac:dyDescent="0.25">
      <c r="B1117"/>
      <c r="C1117"/>
      <c r="D1117"/>
      <c r="E1117"/>
      <c r="F1117"/>
      <c r="G1117"/>
      <c r="H1117" s="19"/>
      <c r="I1117" s="19"/>
      <c r="J1117" s="19"/>
      <c r="M1117" s="7"/>
    </row>
    <row r="1118" spans="2:13" x14ac:dyDescent="0.25">
      <c r="B1118"/>
      <c r="C1118"/>
      <c r="D1118"/>
      <c r="E1118"/>
      <c r="F1118"/>
      <c r="G1118"/>
      <c r="H1118" s="19"/>
      <c r="I1118" s="19"/>
      <c r="J1118" s="19"/>
      <c r="M1118" s="7"/>
    </row>
    <row r="1119" spans="2:13" x14ac:dyDescent="0.25">
      <c r="B1119"/>
      <c r="C1119"/>
      <c r="D1119"/>
      <c r="E1119"/>
      <c r="F1119"/>
      <c r="G1119"/>
      <c r="H1119" s="19"/>
      <c r="I1119" s="19"/>
      <c r="J1119" s="19"/>
      <c r="M1119" s="7"/>
    </row>
    <row r="1120" spans="2:13" x14ac:dyDescent="0.25">
      <c r="B1120"/>
      <c r="C1120"/>
      <c r="D1120"/>
      <c r="E1120"/>
      <c r="F1120"/>
      <c r="G1120"/>
      <c r="H1120" s="19"/>
      <c r="I1120" s="19"/>
      <c r="J1120" s="19"/>
      <c r="M1120" s="7"/>
    </row>
    <row r="1121" spans="2:13" x14ac:dyDescent="0.25">
      <c r="B1121"/>
      <c r="C1121"/>
      <c r="D1121"/>
      <c r="E1121"/>
      <c r="F1121"/>
      <c r="G1121"/>
      <c r="H1121" s="19"/>
      <c r="I1121" s="19"/>
      <c r="J1121" s="19"/>
      <c r="M1121" s="7"/>
    </row>
    <row r="1122" spans="2:13" x14ac:dyDescent="0.25">
      <c r="B1122"/>
      <c r="C1122"/>
      <c r="D1122"/>
      <c r="E1122"/>
      <c r="F1122"/>
      <c r="G1122"/>
      <c r="H1122" s="19"/>
      <c r="I1122" s="19"/>
      <c r="J1122" s="19"/>
      <c r="M1122" s="7"/>
    </row>
    <row r="1123" spans="2:13" x14ac:dyDescent="0.25">
      <c r="B1123"/>
      <c r="C1123"/>
      <c r="D1123"/>
      <c r="E1123"/>
      <c r="F1123"/>
      <c r="G1123"/>
      <c r="H1123" s="19"/>
      <c r="I1123" s="19"/>
      <c r="J1123" s="19"/>
      <c r="M1123" s="7"/>
    </row>
    <row r="1124" spans="2:13" x14ac:dyDescent="0.25">
      <c r="B1124"/>
      <c r="C1124"/>
      <c r="D1124"/>
      <c r="E1124"/>
      <c r="F1124"/>
      <c r="G1124"/>
      <c r="H1124" s="19"/>
      <c r="I1124" s="19"/>
      <c r="J1124" s="19"/>
      <c r="M1124" s="7"/>
    </row>
    <row r="1125" spans="2:13" x14ac:dyDescent="0.25">
      <c r="B1125"/>
      <c r="C1125"/>
      <c r="D1125"/>
      <c r="E1125"/>
      <c r="F1125"/>
      <c r="G1125"/>
      <c r="H1125" s="19"/>
      <c r="I1125" s="19"/>
      <c r="J1125" s="19"/>
      <c r="M1125" s="7"/>
    </row>
    <row r="1126" spans="2:13" x14ac:dyDescent="0.25">
      <c r="B1126"/>
      <c r="C1126"/>
      <c r="D1126"/>
      <c r="E1126"/>
      <c r="F1126"/>
      <c r="G1126"/>
      <c r="H1126" s="19"/>
      <c r="I1126" s="19"/>
      <c r="J1126" s="19"/>
      <c r="M1126" s="7"/>
    </row>
    <row r="1127" spans="2:13" x14ac:dyDescent="0.25">
      <c r="B1127"/>
      <c r="C1127"/>
      <c r="D1127"/>
      <c r="E1127"/>
      <c r="F1127"/>
      <c r="G1127"/>
      <c r="H1127" s="19"/>
      <c r="I1127" s="19"/>
      <c r="J1127" s="19"/>
      <c r="M1127" s="7"/>
    </row>
    <row r="1128" spans="2:13" x14ac:dyDescent="0.25">
      <c r="B1128"/>
      <c r="C1128"/>
      <c r="D1128"/>
      <c r="E1128"/>
      <c r="F1128"/>
      <c r="G1128"/>
      <c r="H1128" s="19"/>
      <c r="I1128" s="19"/>
      <c r="J1128" s="19"/>
      <c r="M1128" s="7"/>
    </row>
    <row r="1129" spans="2:13" x14ac:dyDescent="0.25">
      <c r="B1129"/>
      <c r="C1129"/>
      <c r="D1129"/>
      <c r="E1129"/>
      <c r="F1129"/>
      <c r="G1129"/>
      <c r="H1129" s="19"/>
      <c r="I1129" s="19"/>
      <c r="J1129" s="19"/>
      <c r="M1129" s="7"/>
    </row>
    <row r="1130" spans="2:13" x14ac:dyDescent="0.25">
      <c r="B1130"/>
      <c r="C1130"/>
      <c r="D1130"/>
      <c r="E1130"/>
      <c r="F1130"/>
      <c r="G1130"/>
      <c r="H1130" s="19"/>
      <c r="I1130" s="19"/>
      <c r="J1130" s="19"/>
      <c r="M1130" s="7"/>
    </row>
    <row r="1131" spans="2:13" x14ac:dyDescent="0.25">
      <c r="B1131"/>
      <c r="C1131"/>
      <c r="D1131"/>
      <c r="E1131"/>
      <c r="F1131"/>
      <c r="G1131"/>
      <c r="H1131" s="19"/>
      <c r="I1131" s="19"/>
      <c r="J1131" s="19"/>
      <c r="M1131" s="7"/>
    </row>
    <row r="1132" spans="2:13" x14ac:dyDescent="0.25">
      <c r="B1132"/>
      <c r="C1132"/>
      <c r="D1132"/>
      <c r="E1132"/>
      <c r="F1132"/>
      <c r="G1132"/>
      <c r="H1132" s="19"/>
      <c r="I1132" s="19"/>
      <c r="J1132" s="19"/>
      <c r="M1132" s="7"/>
    </row>
    <row r="1133" spans="2:13" x14ac:dyDescent="0.25">
      <c r="B1133"/>
      <c r="C1133"/>
      <c r="D1133"/>
      <c r="E1133"/>
      <c r="F1133"/>
      <c r="G1133"/>
      <c r="H1133" s="19"/>
      <c r="I1133" s="19"/>
      <c r="J1133" s="19"/>
      <c r="M1133" s="7"/>
    </row>
    <row r="1134" spans="2:13" x14ac:dyDescent="0.25">
      <c r="B1134"/>
      <c r="C1134"/>
      <c r="D1134"/>
      <c r="E1134"/>
      <c r="F1134"/>
      <c r="G1134"/>
      <c r="H1134" s="19"/>
      <c r="I1134" s="19"/>
      <c r="J1134" s="19"/>
      <c r="M1134" s="7"/>
    </row>
    <row r="1135" spans="2:13" x14ac:dyDescent="0.25">
      <c r="B1135"/>
      <c r="C1135"/>
      <c r="D1135"/>
      <c r="E1135"/>
      <c r="F1135"/>
      <c r="G1135"/>
      <c r="H1135" s="19"/>
      <c r="I1135" s="19"/>
      <c r="J1135" s="19"/>
      <c r="M1135" s="7"/>
    </row>
    <row r="1136" spans="2:13" x14ac:dyDescent="0.25">
      <c r="B1136"/>
      <c r="C1136"/>
      <c r="D1136"/>
      <c r="E1136"/>
      <c r="F1136"/>
      <c r="G1136"/>
      <c r="H1136" s="19"/>
      <c r="I1136" s="19"/>
      <c r="J1136" s="19"/>
      <c r="M1136" s="7"/>
    </row>
    <row r="1137" spans="2:13" x14ac:dyDescent="0.25">
      <c r="B1137"/>
      <c r="C1137"/>
      <c r="D1137"/>
      <c r="E1137"/>
      <c r="F1137"/>
      <c r="G1137"/>
      <c r="H1137" s="19"/>
      <c r="I1137" s="19"/>
      <c r="J1137" s="19"/>
      <c r="M1137" s="7"/>
    </row>
    <row r="1138" spans="2:13" x14ac:dyDescent="0.25">
      <c r="B1138"/>
      <c r="C1138"/>
      <c r="D1138"/>
      <c r="E1138"/>
      <c r="F1138"/>
      <c r="G1138"/>
      <c r="H1138" s="19"/>
      <c r="I1138" s="19"/>
      <c r="J1138" s="19"/>
      <c r="M1138" s="7"/>
    </row>
    <row r="1139" spans="2:13" x14ac:dyDescent="0.25">
      <c r="B1139"/>
      <c r="C1139"/>
      <c r="D1139"/>
      <c r="E1139"/>
      <c r="F1139"/>
      <c r="G1139"/>
      <c r="H1139" s="19"/>
      <c r="I1139" s="19"/>
      <c r="J1139" s="19"/>
      <c r="M1139" s="7"/>
    </row>
    <row r="1140" spans="2:13" x14ac:dyDescent="0.25">
      <c r="B1140"/>
      <c r="C1140"/>
      <c r="D1140"/>
      <c r="E1140"/>
      <c r="F1140"/>
      <c r="G1140"/>
      <c r="H1140" s="19"/>
      <c r="I1140" s="19"/>
      <c r="J1140" s="19"/>
      <c r="M1140" s="7"/>
    </row>
    <row r="1141" spans="2:13" x14ac:dyDescent="0.25">
      <c r="B1141"/>
      <c r="C1141"/>
      <c r="D1141"/>
      <c r="E1141"/>
      <c r="F1141"/>
      <c r="G1141"/>
      <c r="H1141" s="19"/>
      <c r="I1141" s="19"/>
      <c r="J1141" s="19"/>
      <c r="M1141" s="7"/>
    </row>
    <row r="1142" spans="2:13" x14ac:dyDescent="0.25">
      <c r="B1142"/>
      <c r="C1142"/>
      <c r="D1142"/>
      <c r="E1142"/>
      <c r="F1142"/>
      <c r="G1142"/>
      <c r="H1142" s="19"/>
      <c r="I1142" s="19"/>
      <c r="J1142" s="19"/>
      <c r="M1142" s="7"/>
    </row>
    <row r="1143" spans="2:13" x14ac:dyDescent="0.25">
      <c r="B1143"/>
      <c r="C1143"/>
      <c r="D1143"/>
      <c r="E1143"/>
      <c r="F1143"/>
      <c r="G1143"/>
      <c r="H1143" s="19"/>
      <c r="I1143" s="19"/>
      <c r="J1143" s="19"/>
      <c r="M1143" s="7"/>
    </row>
    <row r="1144" spans="2:13" x14ac:dyDescent="0.25">
      <c r="B1144"/>
      <c r="C1144"/>
      <c r="D1144"/>
      <c r="E1144"/>
      <c r="F1144"/>
      <c r="G1144"/>
      <c r="H1144" s="19"/>
      <c r="I1144" s="19"/>
      <c r="J1144" s="19"/>
      <c r="M1144" s="7"/>
    </row>
    <row r="1145" spans="2:13" x14ac:dyDescent="0.25">
      <c r="B1145"/>
      <c r="C1145"/>
      <c r="D1145"/>
      <c r="E1145"/>
      <c r="F1145"/>
      <c r="G1145"/>
      <c r="H1145" s="19"/>
      <c r="I1145" s="19"/>
      <c r="J1145" s="19"/>
      <c r="M1145" s="7"/>
    </row>
    <row r="1146" spans="2:13" x14ac:dyDescent="0.25">
      <c r="B1146"/>
      <c r="C1146"/>
      <c r="D1146"/>
      <c r="E1146"/>
      <c r="F1146"/>
      <c r="G1146"/>
      <c r="H1146" s="19"/>
      <c r="I1146" s="19"/>
      <c r="J1146" s="19"/>
      <c r="M1146" s="7"/>
    </row>
    <row r="1147" spans="2:13" x14ac:dyDescent="0.25">
      <c r="B1147"/>
      <c r="C1147"/>
      <c r="D1147"/>
      <c r="E1147"/>
      <c r="F1147"/>
      <c r="G1147"/>
      <c r="H1147" s="19"/>
      <c r="I1147" s="19"/>
      <c r="J1147" s="19"/>
      <c r="M1147" s="7"/>
    </row>
    <row r="1148" spans="2:13" x14ac:dyDescent="0.25">
      <c r="B1148"/>
      <c r="C1148"/>
      <c r="D1148"/>
      <c r="E1148"/>
      <c r="F1148"/>
      <c r="G1148"/>
      <c r="H1148" s="19"/>
      <c r="I1148" s="19"/>
      <c r="J1148" s="19"/>
      <c r="M1148" s="7"/>
    </row>
    <row r="1149" spans="2:13" x14ac:dyDescent="0.25">
      <c r="B1149"/>
      <c r="C1149"/>
      <c r="D1149"/>
      <c r="E1149"/>
      <c r="F1149"/>
      <c r="G1149"/>
      <c r="H1149" s="19"/>
      <c r="I1149" s="19"/>
      <c r="J1149" s="19"/>
      <c r="M1149" s="7"/>
    </row>
    <row r="1150" spans="2:13" x14ac:dyDescent="0.25">
      <c r="B1150"/>
      <c r="C1150"/>
      <c r="D1150"/>
      <c r="E1150"/>
      <c r="F1150"/>
      <c r="G1150"/>
      <c r="H1150" s="19"/>
      <c r="I1150" s="19"/>
      <c r="J1150" s="19"/>
      <c r="M1150" s="7"/>
    </row>
    <row r="1151" spans="2:13" x14ac:dyDescent="0.25">
      <c r="B1151"/>
      <c r="C1151"/>
      <c r="D1151"/>
      <c r="E1151"/>
      <c r="F1151"/>
      <c r="G1151"/>
      <c r="H1151" s="19"/>
      <c r="I1151" s="19"/>
      <c r="J1151" s="19"/>
      <c r="M1151" s="7"/>
    </row>
    <row r="1152" spans="2:13" x14ac:dyDescent="0.25">
      <c r="B1152"/>
      <c r="C1152"/>
      <c r="D1152"/>
      <c r="E1152"/>
      <c r="F1152"/>
      <c r="G1152"/>
      <c r="H1152" s="19"/>
      <c r="I1152" s="19"/>
      <c r="J1152" s="19"/>
      <c r="M1152" s="7"/>
    </row>
    <row r="1153" spans="2:13" x14ac:dyDescent="0.25">
      <c r="B1153"/>
      <c r="C1153"/>
      <c r="D1153"/>
      <c r="E1153"/>
      <c r="F1153"/>
      <c r="G1153"/>
      <c r="H1153" s="19"/>
      <c r="I1153" s="19"/>
      <c r="J1153" s="19"/>
      <c r="M1153" s="7"/>
    </row>
    <row r="1154" spans="2:13" x14ac:dyDescent="0.25">
      <c r="B1154"/>
      <c r="C1154"/>
      <c r="D1154"/>
      <c r="E1154"/>
      <c r="F1154"/>
      <c r="G1154"/>
      <c r="H1154" s="19"/>
      <c r="I1154" s="19"/>
      <c r="J1154" s="19"/>
      <c r="M1154" s="7"/>
    </row>
    <row r="1155" spans="2:13" x14ac:dyDescent="0.25">
      <c r="B1155"/>
      <c r="C1155"/>
      <c r="D1155"/>
      <c r="E1155"/>
      <c r="F1155"/>
      <c r="G1155"/>
      <c r="H1155" s="19"/>
      <c r="I1155" s="19"/>
      <c r="J1155" s="19"/>
      <c r="M1155" s="7"/>
    </row>
    <row r="1156" spans="2:13" x14ac:dyDescent="0.25">
      <c r="B1156"/>
      <c r="C1156"/>
      <c r="D1156"/>
      <c r="E1156"/>
      <c r="F1156"/>
      <c r="G1156"/>
      <c r="H1156" s="19"/>
      <c r="I1156" s="19"/>
      <c r="J1156" s="19"/>
      <c r="M1156" s="7"/>
    </row>
    <row r="1157" spans="2:13" x14ac:dyDescent="0.25">
      <c r="B1157"/>
      <c r="C1157"/>
      <c r="D1157"/>
      <c r="E1157"/>
      <c r="F1157"/>
      <c r="G1157"/>
      <c r="H1157" s="19"/>
      <c r="I1157" s="19"/>
      <c r="J1157" s="19"/>
      <c r="M1157" s="7"/>
    </row>
    <row r="1158" spans="2:13" x14ac:dyDescent="0.25">
      <c r="B1158"/>
      <c r="C1158"/>
      <c r="D1158"/>
      <c r="E1158"/>
      <c r="F1158"/>
      <c r="G1158"/>
      <c r="H1158" s="19"/>
      <c r="I1158" s="19"/>
      <c r="J1158" s="19"/>
      <c r="M1158" s="7"/>
    </row>
    <row r="1159" spans="2:13" x14ac:dyDescent="0.25">
      <c r="B1159"/>
      <c r="C1159"/>
      <c r="D1159"/>
      <c r="E1159"/>
      <c r="F1159"/>
      <c r="G1159"/>
      <c r="H1159" s="19"/>
      <c r="I1159" s="19"/>
      <c r="J1159" s="19"/>
      <c r="M1159" s="7"/>
    </row>
    <row r="1160" spans="2:13" x14ac:dyDescent="0.25">
      <c r="B1160"/>
      <c r="C1160"/>
      <c r="D1160"/>
      <c r="E1160"/>
      <c r="F1160"/>
      <c r="G1160"/>
      <c r="H1160" s="19"/>
      <c r="I1160" s="19"/>
      <c r="J1160" s="19"/>
      <c r="M1160" s="7"/>
    </row>
    <row r="1161" spans="2:13" x14ac:dyDescent="0.25">
      <c r="B1161"/>
      <c r="C1161"/>
      <c r="D1161"/>
      <c r="E1161"/>
      <c r="F1161"/>
      <c r="G1161"/>
      <c r="H1161" s="19"/>
      <c r="I1161" s="19"/>
      <c r="J1161" s="19"/>
      <c r="M1161" s="7"/>
    </row>
    <row r="1162" spans="2:13" x14ac:dyDescent="0.25">
      <c r="B1162"/>
      <c r="C1162"/>
      <c r="D1162"/>
      <c r="E1162"/>
      <c r="F1162"/>
      <c r="G1162"/>
      <c r="H1162" s="19"/>
      <c r="I1162" s="19"/>
      <c r="J1162" s="19"/>
      <c r="M1162" s="7"/>
    </row>
    <row r="1163" spans="2:13" x14ac:dyDescent="0.25">
      <c r="B1163"/>
      <c r="C1163"/>
      <c r="D1163"/>
      <c r="E1163"/>
      <c r="F1163"/>
      <c r="G1163"/>
      <c r="H1163" s="19"/>
      <c r="I1163" s="19"/>
      <c r="J1163" s="19"/>
      <c r="M1163" s="7"/>
    </row>
    <row r="1164" spans="2:13" x14ac:dyDescent="0.25">
      <c r="B1164"/>
      <c r="C1164"/>
      <c r="D1164"/>
      <c r="E1164"/>
      <c r="F1164"/>
      <c r="G1164"/>
      <c r="H1164" s="19"/>
      <c r="I1164" s="19"/>
      <c r="J1164" s="19"/>
      <c r="M1164" s="7"/>
    </row>
    <row r="1165" spans="2:13" x14ac:dyDescent="0.25">
      <c r="B1165"/>
      <c r="C1165"/>
      <c r="D1165"/>
      <c r="E1165"/>
      <c r="F1165"/>
      <c r="G1165"/>
      <c r="H1165" s="19"/>
      <c r="I1165" s="19"/>
      <c r="J1165" s="19"/>
      <c r="M1165" s="7"/>
    </row>
    <row r="1166" spans="2:13" x14ac:dyDescent="0.25">
      <c r="B1166"/>
      <c r="C1166"/>
      <c r="D1166"/>
      <c r="E1166"/>
      <c r="F1166"/>
      <c r="G1166"/>
      <c r="H1166" s="19"/>
      <c r="I1166" s="19"/>
      <c r="J1166" s="19"/>
      <c r="M1166" s="7"/>
    </row>
    <row r="1167" spans="2:13" x14ac:dyDescent="0.25">
      <c r="B1167"/>
      <c r="C1167"/>
      <c r="D1167"/>
      <c r="E1167"/>
      <c r="F1167"/>
      <c r="G1167"/>
      <c r="H1167" s="19"/>
      <c r="I1167" s="19"/>
      <c r="J1167" s="19"/>
      <c r="M1167" s="7"/>
    </row>
    <row r="1168" spans="2:13" x14ac:dyDescent="0.25">
      <c r="B1168"/>
      <c r="C1168"/>
      <c r="D1168"/>
      <c r="E1168"/>
      <c r="F1168"/>
      <c r="G1168"/>
      <c r="H1168" s="19"/>
      <c r="I1168" s="19"/>
      <c r="J1168" s="19"/>
      <c r="M1168" s="7"/>
    </row>
    <row r="1169" spans="2:13" x14ac:dyDescent="0.25">
      <c r="B1169"/>
      <c r="C1169"/>
      <c r="D1169"/>
      <c r="E1169"/>
      <c r="F1169"/>
      <c r="G1169"/>
      <c r="H1169" s="19"/>
      <c r="I1169" s="19"/>
      <c r="J1169" s="19"/>
      <c r="M1169" s="7"/>
    </row>
    <row r="1170" spans="2:13" x14ac:dyDescent="0.25">
      <c r="B1170"/>
      <c r="C1170"/>
      <c r="D1170"/>
      <c r="E1170"/>
      <c r="F1170"/>
      <c r="G1170"/>
      <c r="H1170" s="19"/>
      <c r="I1170" s="19"/>
      <c r="J1170" s="19"/>
      <c r="M1170" s="7"/>
    </row>
    <row r="1171" spans="2:13" x14ac:dyDescent="0.25">
      <c r="B1171"/>
      <c r="C1171"/>
      <c r="D1171"/>
      <c r="E1171"/>
      <c r="F1171"/>
      <c r="G1171"/>
      <c r="H1171" s="19"/>
      <c r="I1171" s="19"/>
      <c r="J1171" s="19"/>
      <c r="M1171" s="7"/>
    </row>
    <row r="1172" spans="2:13" x14ac:dyDescent="0.25">
      <c r="B1172"/>
      <c r="C1172"/>
      <c r="D1172"/>
      <c r="E1172"/>
      <c r="F1172"/>
      <c r="G1172"/>
      <c r="H1172" s="19"/>
      <c r="I1172" s="19"/>
      <c r="J1172" s="19"/>
      <c r="M1172" s="7"/>
    </row>
    <row r="1173" spans="2:13" x14ac:dyDescent="0.25">
      <c r="B1173"/>
      <c r="C1173"/>
      <c r="D1173"/>
      <c r="E1173"/>
      <c r="F1173"/>
      <c r="G1173"/>
      <c r="H1173" s="19"/>
      <c r="I1173" s="19"/>
      <c r="J1173" s="19"/>
      <c r="M1173" s="7"/>
    </row>
    <row r="1174" spans="2:13" x14ac:dyDescent="0.25">
      <c r="B1174"/>
      <c r="C1174"/>
      <c r="D1174"/>
      <c r="E1174"/>
      <c r="F1174"/>
      <c r="G1174"/>
      <c r="H1174" s="19"/>
      <c r="I1174" s="19"/>
      <c r="J1174" s="19"/>
      <c r="M1174" s="7"/>
    </row>
    <row r="1175" spans="2:13" x14ac:dyDescent="0.25">
      <c r="B1175"/>
      <c r="C1175"/>
      <c r="D1175"/>
      <c r="E1175"/>
      <c r="F1175"/>
      <c r="G1175"/>
      <c r="H1175" s="19"/>
      <c r="I1175" s="19"/>
      <c r="J1175" s="19"/>
      <c r="M1175" s="7"/>
    </row>
    <row r="1176" spans="2:13" x14ac:dyDescent="0.25">
      <c r="B1176"/>
      <c r="C1176"/>
      <c r="D1176"/>
      <c r="E1176"/>
      <c r="F1176"/>
      <c r="G1176"/>
      <c r="H1176" s="19"/>
      <c r="I1176" s="19"/>
      <c r="J1176" s="19"/>
      <c r="M1176" s="7"/>
    </row>
    <row r="1177" spans="2:13" x14ac:dyDescent="0.25">
      <c r="B1177"/>
      <c r="C1177"/>
      <c r="D1177"/>
      <c r="E1177"/>
      <c r="F1177"/>
      <c r="G1177"/>
      <c r="H1177" s="19"/>
      <c r="I1177" s="19"/>
      <c r="J1177" s="19"/>
      <c r="M1177" s="7"/>
    </row>
    <row r="1178" spans="2:13" x14ac:dyDescent="0.25">
      <c r="B1178"/>
      <c r="C1178"/>
      <c r="D1178"/>
      <c r="E1178"/>
      <c r="F1178"/>
      <c r="G1178"/>
      <c r="H1178" s="19"/>
      <c r="I1178" s="19"/>
      <c r="J1178" s="19"/>
      <c r="M1178" s="7"/>
    </row>
    <row r="1179" spans="2:13" x14ac:dyDescent="0.25">
      <c r="B1179"/>
      <c r="C1179"/>
      <c r="D1179"/>
      <c r="E1179"/>
      <c r="F1179"/>
      <c r="G1179"/>
      <c r="H1179" s="19"/>
      <c r="I1179" s="19"/>
      <c r="J1179" s="19"/>
      <c r="M1179" s="7"/>
    </row>
    <row r="1180" spans="2:13" x14ac:dyDescent="0.25">
      <c r="B1180"/>
      <c r="C1180"/>
      <c r="D1180"/>
      <c r="E1180"/>
      <c r="F1180"/>
      <c r="G1180"/>
      <c r="H1180" s="19"/>
      <c r="I1180" s="19"/>
      <c r="J1180" s="19"/>
      <c r="M1180" s="7"/>
    </row>
    <row r="1181" spans="2:13" x14ac:dyDescent="0.25">
      <c r="B1181"/>
      <c r="C1181"/>
      <c r="D1181"/>
      <c r="E1181"/>
      <c r="F1181"/>
      <c r="G1181"/>
      <c r="H1181" s="19"/>
      <c r="I1181" s="19"/>
      <c r="J1181" s="19"/>
      <c r="M1181" s="7"/>
    </row>
    <row r="1182" spans="2:13" x14ac:dyDescent="0.25">
      <c r="B1182"/>
      <c r="C1182"/>
      <c r="D1182"/>
      <c r="E1182"/>
      <c r="F1182"/>
      <c r="G1182"/>
      <c r="H1182" s="19"/>
      <c r="I1182" s="19"/>
      <c r="J1182" s="19"/>
      <c r="M1182" s="7"/>
    </row>
    <row r="1183" spans="2:13" x14ac:dyDescent="0.25">
      <c r="B1183"/>
      <c r="C1183"/>
      <c r="D1183"/>
      <c r="E1183"/>
      <c r="F1183"/>
      <c r="G1183"/>
      <c r="H1183" s="19"/>
      <c r="I1183" s="19"/>
      <c r="J1183" s="19"/>
      <c r="M1183" s="7"/>
    </row>
    <row r="1184" spans="2:13" x14ac:dyDescent="0.25">
      <c r="B1184"/>
      <c r="C1184"/>
      <c r="D1184"/>
      <c r="E1184"/>
      <c r="F1184"/>
      <c r="G1184"/>
      <c r="H1184" s="19"/>
      <c r="I1184" s="19"/>
      <c r="J1184" s="19"/>
      <c r="M1184" s="7"/>
    </row>
    <row r="1185" spans="2:13" x14ac:dyDescent="0.25">
      <c r="B1185"/>
      <c r="C1185"/>
      <c r="D1185"/>
      <c r="E1185"/>
      <c r="F1185"/>
      <c r="G1185"/>
      <c r="H1185" s="19"/>
      <c r="I1185" s="19"/>
      <c r="J1185" s="19"/>
      <c r="M1185" s="7"/>
    </row>
    <row r="1186" spans="2:13" x14ac:dyDescent="0.25">
      <c r="B1186"/>
      <c r="C1186"/>
      <c r="D1186"/>
      <c r="E1186"/>
      <c r="F1186"/>
      <c r="G1186"/>
      <c r="H1186" s="19"/>
      <c r="I1186" s="19"/>
      <c r="J1186" s="19"/>
      <c r="M1186" s="7"/>
    </row>
    <row r="1187" spans="2:13" x14ac:dyDescent="0.25">
      <c r="B1187"/>
      <c r="C1187"/>
      <c r="D1187"/>
      <c r="E1187"/>
      <c r="F1187"/>
      <c r="G1187"/>
      <c r="H1187" s="19"/>
      <c r="I1187" s="19"/>
      <c r="J1187" s="19"/>
      <c r="M1187" s="7"/>
    </row>
    <row r="1188" spans="2:13" x14ac:dyDescent="0.25">
      <c r="B1188"/>
      <c r="C1188"/>
      <c r="D1188"/>
      <c r="E1188"/>
      <c r="F1188"/>
      <c r="G1188"/>
      <c r="H1188" s="19"/>
      <c r="I1188" s="19"/>
      <c r="J1188" s="19"/>
      <c r="M1188" s="7"/>
    </row>
    <row r="1189" spans="2:13" x14ac:dyDescent="0.25">
      <c r="B1189"/>
      <c r="C1189"/>
      <c r="D1189"/>
      <c r="E1189"/>
      <c r="F1189"/>
      <c r="G1189"/>
      <c r="H1189" s="19"/>
      <c r="I1189" s="19"/>
      <c r="J1189" s="19"/>
      <c r="M1189" s="7"/>
    </row>
    <row r="1190" spans="2:13" x14ac:dyDescent="0.25">
      <c r="B1190"/>
      <c r="C1190"/>
      <c r="D1190"/>
      <c r="E1190"/>
      <c r="F1190"/>
      <c r="G1190"/>
      <c r="H1190" s="19"/>
      <c r="I1190" s="19"/>
      <c r="J1190" s="19"/>
      <c r="M1190" s="7"/>
    </row>
    <row r="1191" spans="2:13" x14ac:dyDescent="0.25">
      <c r="B1191"/>
      <c r="C1191"/>
      <c r="D1191"/>
      <c r="E1191"/>
      <c r="F1191"/>
      <c r="G1191"/>
      <c r="H1191" s="19"/>
      <c r="I1191" s="19"/>
      <c r="J1191" s="19"/>
      <c r="M1191" s="7"/>
    </row>
    <row r="1192" spans="2:13" x14ac:dyDescent="0.25">
      <c r="B1192"/>
      <c r="C1192"/>
      <c r="D1192"/>
      <c r="E1192"/>
      <c r="F1192"/>
      <c r="G1192"/>
      <c r="H1192" s="19"/>
      <c r="I1192" s="19"/>
      <c r="J1192" s="19"/>
      <c r="M1192" s="7"/>
    </row>
    <row r="1193" spans="2:13" x14ac:dyDescent="0.25">
      <c r="B1193"/>
      <c r="C1193"/>
      <c r="D1193"/>
      <c r="E1193"/>
      <c r="F1193"/>
      <c r="G1193"/>
      <c r="H1193" s="19"/>
      <c r="I1193" s="19"/>
      <c r="J1193" s="19"/>
      <c r="M1193" s="7"/>
    </row>
    <row r="1194" spans="2:13" x14ac:dyDescent="0.25">
      <c r="B1194"/>
      <c r="C1194"/>
      <c r="D1194"/>
      <c r="E1194"/>
      <c r="F1194"/>
      <c r="G1194"/>
      <c r="H1194" s="19"/>
      <c r="I1194" s="19"/>
      <c r="J1194" s="19"/>
      <c r="M1194" s="7"/>
    </row>
    <row r="1195" spans="2:13" x14ac:dyDescent="0.25">
      <c r="B1195"/>
      <c r="C1195"/>
      <c r="D1195"/>
      <c r="E1195"/>
      <c r="F1195"/>
      <c r="G1195"/>
      <c r="H1195" s="19"/>
      <c r="I1195" s="19"/>
      <c r="J1195" s="19"/>
      <c r="M1195" s="7"/>
    </row>
    <row r="1196" spans="2:13" x14ac:dyDescent="0.25">
      <c r="B1196"/>
      <c r="C1196"/>
      <c r="D1196"/>
      <c r="E1196"/>
      <c r="F1196"/>
      <c r="G1196"/>
      <c r="H1196" s="19"/>
      <c r="I1196" s="19"/>
      <c r="J1196" s="19"/>
      <c r="M1196" s="7"/>
    </row>
    <row r="1197" spans="2:13" x14ac:dyDescent="0.25">
      <c r="B1197"/>
      <c r="C1197"/>
      <c r="D1197"/>
      <c r="E1197"/>
      <c r="F1197"/>
      <c r="G1197"/>
      <c r="H1197" s="19"/>
      <c r="I1197" s="19"/>
      <c r="J1197" s="19"/>
      <c r="M1197" s="7"/>
    </row>
    <row r="1198" spans="2:13" x14ac:dyDescent="0.25">
      <c r="B1198"/>
      <c r="C1198"/>
      <c r="D1198"/>
      <c r="E1198"/>
      <c r="F1198"/>
      <c r="G1198"/>
      <c r="H1198" s="19"/>
      <c r="I1198" s="19"/>
      <c r="J1198" s="19"/>
      <c r="M1198" s="7"/>
    </row>
    <row r="1199" spans="2:13" x14ac:dyDescent="0.25">
      <c r="B1199"/>
      <c r="C1199"/>
      <c r="D1199"/>
      <c r="E1199"/>
      <c r="F1199"/>
      <c r="G1199"/>
      <c r="H1199" s="19"/>
      <c r="I1199" s="19"/>
      <c r="J1199" s="19"/>
      <c r="M1199" s="7"/>
    </row>
    <row r="1200" spans="2:13" x14ac:dyDescent="0.25">
      <c r="B1200"/>
      <c r="C1200"/>
      <c r="D1200"/>
      <c r="E1200"/>
      <c r="F1200"/>
      <c r="G1200"/>
      <c r="H1200" s="19"/>
      <c r="I1200" s="19"/>
      <c r="J1200" s="19"/>
      <c r="M1200" s="7"/>
    </row>
    <row r="1201" spans="2:13" x14ac:dyDescent="0.25">
      <c r="B1201"/>
      <c r="C1201"/>
      <c r="D1201"/>
      <c r="E1201"/>
      <c r="F1201"/>
      <c r="G1201"/>
      <c r="H1201" s="19"/>
      <c r="I1201" s="19"/>
      <c r="J1201" s="19"/>
      <c r="M1201" s="7"/>
    </row>
    <row r="1202" spans="2:13" x14ac:dyDescent="0.25">
      <c r="B1202"/>
      <c r="C1202"/>
      <c r="D1202"/>
      <c r="E1202"/>
      <c r="F1202"/>
      <c r="G1202"/>
      <c r="H1202" s="19"/>
      <c r="I1202" s="19"/>
      <c r="J1202" s="19"/>
      <c r="M1202" s="7"/>
    </row>
    <row r="1203" spans="2:13" x14ac:dyDescent="0.25">
      <c r="B1203"/>
      <c r="C1203"/>
      <c r="D1203"/>
      <c r="E1203"/>
      <c r="F1203"/>
      <c r="G1203"/>
      <c r="H1203" s="19"/>
      <c r="I1203" s="19"/>
      <c r="J1203" s="19"/>
      <c r="M1203" s="7"/>
    </row>
    <row r="1204" spans="2:13" x14ac:dyDescent="0.25">
      <c r="B1204"/>
      <c r="C1204"/>
      <c r="D1204"/>
      <c r="E1204"/>
      <c r="F1204"/>
      <c r="G1204"/>
      <c r="H1204" s="19"/>
      <c r="I1204" s="19"/>
      <c r="J1204" s="19"/>
      <c r="M1204" s="7"/>
    </row>
    <row r="1205" spans="2:13" x14ac:dyDescent="0.25">
      <c r="B1205"/>
      <c r="C1205"/>
      <c r="D1205"/>
      <c r="E1205"/>
      <c r="F1205"/>
      <c r="G1205"/>
      <c r="H1205" s="19"/>
      <c r="I1205" s="19"/>
      <c r="J1205" s="19"/>
      <c r="M1205" s="7"/>
    </row>
    <row r="1206" spans="2:13" x14ac:dyDescent="0.25">
      <c r="B1206"/>
      <c r="C1206"/>
      <c r="D1206"/>
      <c r="E1206"/>
      <c r="F1206"/>
      <c r="G1206"/>
      <c r="H1206" s="19"/>
      <c r="I1206" s="19"/>
      <c r="J1206" s="19"/>
      <c r="M1206" s="7"/>
    </row>
    <row r="1207" spans="2:13" x14ac:dyDescent="0.25">
      <c r="B1207"/>
      <c r="C1207"/>
      <c r="D1207"/>
      <c r="E1207"/>
      <c r="F1207"/>
      <c r="G1207"/>
      <c r="H1207" s="19"/>
      <c r="I1207" s="19"/>
      <c r="J1207" s="19"/>
      <c r="M1207" s="7"/>
    </row>
    <row r="1208" spans="2:13" x14ac:dyDescent="0.25">
      <c r="B1208"/>
      <c r="C1208"/>
      <c r="D1208"/>
      <c r="E1208"/>
      <c r="F1208"/>
      <c r="G1208"/>
      <c r="H1208" s="19"/>
      <c r="I1208" s="19"/>
      <c r="J1208" s="19"/>
      <c r="M1208" s="7"/>
    </row>
    <row r="1209" spans="2:13" x14ac:dyDescent="0.25">
      <c r="B1209"/>
      <c r="C1209"/>
      <c r="D1209"/>
      <c r="E1209"/>
      <c r="F1209"/>
      <c r="G1209"/>
      <c r="H1209" s="19"/>
      <c r="I1209" s="19"/>
      <c r="J1209" s="19"/>
      <c r="M1209" s="7"/>
    </row>
    <row r="1210" spans="2:13" x14ac:dyDescent="0.25">
      <c r="B1210"/>
      <c r="C1210"/>
      <c r="D1210"/>
      <c r="E1210"/>
      <c r="F1210"/>
      <c r="G1210"/>
      <c r="H1210" s="19"/>
      <c r="I1210" s="19"/>
      <c r="J1210" s="19"/>
      <c r="M1210" s="7"/>
    </row>
    <row r="1211" spans="2:13" x14ac:dyDescent="0.25">
      <c r="B1211"/>
      <c r="C1211"/>
      <c r="D1211"/>
      <c r="E1211"/>
      <c r="F1211"/>
      <c r="G1211"/>
      <c r="H1211" s="19"/>
      <c r="I1211" s="19"/>
      <c r="J1211" s="19"/>
      <c r="M1211" s="7"/>
    </row>
    <row r="1212" spans="2:13" x14ac:dyDescent="0.25">
      <c r="B1212"/>
      <c r="C1212"/>
      <c r="D1212"/>
      <c r="E1212"/>
      <c r="F1212"/>
      <c r="G1212"/>
      <c r="H1212" s="19"/>
      <c r="I1212" s="19"/>
      <c r="J1212" s="19"/>
      <c r="M1212" s="7"/>
    </row>
    <row r="1213" spans="2:13" x14ac:dyDescent="0.25">
      <c r="B1213"/>
      <c r="C1213"/>
      <c r="D1213"/>
      <c r="E1213"/>
      <c r="F1213"/>
      <c r="G1213"/>
      <c r="H1213" s="19"/>
      <c r="I1213" s="19"/>
      <c r="J1213" s="19"/>
      <c r="M1213" s="7"/>
    </row>
    <row r="1214" spans="2:13" x14ac:dyDescent="0.25">
      <c r="B1214"/>
      <c r="C1214"/>
      <c r="D1214"/>
      <c r="E1214"/>
      <c r="F1214"/>
      <c r="G1214"/>
      <c r="H1214" s="19"/>
      <c r="I1214" s="19"/>
      <c r="J1214" s="19"/>
      <c r="M1214" s="7"/>
    </row>
    <row r="1215" spans="2:13" x14ac:dyDescent="0.25">
      <c r="B1215"/>
      <c r="C1215"/>
      <c r="D1215"/>
      <c r="E1215"/>
      <c r="F1215"/>
      <c r="G1215"/>
      <c r="H1215" s="19"/>
      <c r="I1215" s="19"/>
      <c r="J1215" s="19"/>
      <c r="M1215" s="7"/>
    </row>
    <row r="1216" spans="2:13" x14ac:dyDescent="0.25">
      <c r="B1216"/>
      <c r="C1216"/>
      <c r="D1216"/>
      <c r="E1216"/>
      <c r="F1216"/>
      <c r="G1216"/>
      <c r="H1216" s="19"/>
      <c r="I1216" s="19"/>
      <c r="J1216" s="19"/>
      <c r="M1216" s="7"/>
    </row>
    <row r="1217" spans="2:13" x14ac:dyDescent="0.25">
      <c r="B1217"/>
      <c r="C1217"/>
      <c r="D1217"/>
      <c r="E1217"/>
      <c r="F1217"/>
      <c r="G1217"/>
      <c r="H1217" s="19"/>
      <c r="I1217" s="19"/>
      <c r="J1217" s="19"/>
      <c r="M1217" s="7"/>
    </row>
    <row r="1218" spans="2:13" x14ac:dyDescent="0.25">
      <c r="B1218"/>
      <c r="C1218"/>
      <c r="D1218"/>
      <c r="E1218"/>
      <c r="F1218"/>
      <c r="G1218"/>
      <c r="H1218" s="19"/>
      <c r="I1218" s="19"/>
      <c r="J1218" s="19"/>
      <c r="M1218" s="7"/>
    </row>
    <row r="1219" spans="2:13" x14ac:dyDescent="0.25">
      <c r="B1219"/>
      <c r="C1219"/>
      <c r="D1219"/>
      <c r="E1219"/>
      <c r="F1219"/>
      <c r="G1219"/>
      <c r="H1219" s="19"/>
      <c r="I1219" s="19"/>
      <c r="J1219" s="19"/>
      <c r="M1219" s="7"/>
    </row>
    <row r="1220" spans="2:13" x14ac:dyDescent="0.25">
      <c r="B1220"/>
      <c r="C1220"/>
      <c r="D1220"/>
      <c r="E1220"/>
      <c r="F1220"/>
      <c r="G1220"/>
      <c r="H1220" s="19"/>
      <c r="I1220" s="19"/>
      <c r="J1220" s="19"/>
      <c r="M1220" s="7"/>
    </row>
    <row r="1221" spans="2:13" x14ac:dyDescent="0.25">
      <c r="B1221"/>
      <c r="C1221"/>
      <c r="D1221"/>
      <c r="E1221"/>
      <c r="F1221"/>
      <c r="G1221"/>
      <c r="H1221" s="19"/>
      <c r="I1221" s="19"/>
      <c r="J1221" s="19"/>
      <c r="M1221" s="7"/>
    </row>
    <row r="1222" spans="2:13" x14ac:dyDescent="0.25">
      <c r="B1222"/>
      <c r="C1222"/>
      <c r="D1222"/>
      <c r="E1222"/>
      <c r="F1222"/>
      <c r="G1222"/>
      <c r="H1222" s="19"/>
      <c r="I1222" s="19"/>
      <c r="J1222" s="19"/>
      <c r="M1222" s="7"/>
    </row>
    <row r="1223" spans="2:13" x14ac:dyDescent="0.25">
      <c r="B1223"/>
      <c r="C1223"/>
      <c r="D1223"/>
      <c r="E1223"/>
      <c r="F1223"/>
      <c r="G1223"/>
      <c r="H1223" s="19"/>
      <c r="I1223" s="19"/>
      <c r="J1223" s="19"/>
      <c r="M1223" s="7"/>
    </row>
    <row r="1224" spans="2:13" x14ac:dyDescent="0.25">
      <c r="B1224"/>
      <c r="C1224"/>
      <c r="D1224"/>
      <c r="E1224"/>
      <c r="F1224"/>
      <c r="G1224"/>
      <c r="H1224" s="19"/>
      <c r="I1224" s="19"/>
      <c r="J1224" s="19"/>
      <c r="M1224" s="7"/>
    </row>
    <row r="1225" spans="2:13" x14ac:dyDescent="0.25">
      <c r="B1225"/>
      <c r="C1225"/>
      <c r="D1225"/>
      <c r="E1225"/>
      <c r="F1225"/>
      <c r="G1225"/>
      <c r="H1225" s="19"/>
      <c r="I1225" s="19"/>
      <c r="J1225" s="19"/>
      <c r="M1225" s="7"/>
    </row>
    <row r="1226" spans="2:13" x14ac:dyDescent="0.25">
      <c r="B1226"/>
      <c r="C1226"/>
      <c r="D1226"/>
      <c r="E1226"/>
      <c r="F1226"/>
      <c r="G1226"/>
      <c r="H1226" s="19"/>
      <c r="I1226" s="19"/>
      <c r="J1226" s="19"/>
      <c r="M1226" s="7"/>
    </row>
    <row r="1227" spans="2:13" x14ac:dyDescent="0.25">
      <c r="B1227"/>
      <c r="C1227"/>
      <c r="D1227"/>
      <c r="E1227"/>
      <c r="F1227"/>
      <c r="G1227"/>
      <c r="H1227" s="19"/>
      <c r="I1227" s="19"/>
      <c r="J1227" s="19"/>
      <c r="M1227" s="7"/>
    </row>
    <row r="1228" spans="2:13" x14ac:dyDescent="0.25">
      <c r="B1228"/>
      <c r="C1228"/>
      <c r="D1228"/>
      <c r="E1228"/>
      <c r="F1228"/>
      <c r="G1228"/>
      <c r="H1228" s="19"/>
      <c r="I1228" s="19"/>
      <c r="J1228" s="19"/>
      <c r="M1228" s="7"/>
    </row>
    <row r="1229" spans="2:13" x14ac:dyDescent="0.25">
      <c r="B1229"/>
      <c r="C1229"/>
      <c r="D1229"/>
      <c r="E1229"/>
      <c r="F1229"/>
      <c r="G1229"/>
      <c r="H1229" s="19"/>
      <c r="I1229" s="19"/>
      <c r="J1229" s="19"/>
      <c r="M1229" s="7"/>
    </row>
    <row r="1230" spans="2:13" x14ac:dyDescent="0.25">
      <c r="B1230"/>
      <c r="C1230"/>
      <c r="D1230"/>
      <c r="E1230"/>
      <c r="F1230"/>
      <c r="G1230"/>
      <c r="H1230" s="19"/>
      <c r="I1230" s="19"/>
      <c r="J1230" s="19"/>
      <c r="M1230" s="7"/>
    </row>
    <row r="1231" spans="2:13" x14ac:dyDescent="0.25">
      <c r="B1231"/>
      <c r="C1231"/>
      <c r="D1231"/>
      <c r="E1231"/>
      <c r="F1231"/>
      <c r="G1231"/>
      <c r="H1231" s="19"/>
      <c r="I1231" s="19"/>
      <c r="J1231" s="19"/>
      <c r="M1231" s="7"/>
    </row>
    <row r="1232" spans="2:13" x14ac:dyDescent="0.25">
      <c r="B1232"/>
      <c r="C1232"/>
      <c r="D1232"/>
      <c r="E1232"/>
      <c r="F1232"/>
      <c r="G1232"/>
      <c r="H1232" s="19"/>
      <c r="I1232" s="19"/>
      <c r="J1232" s="19"/>
      <c r="M1232" s="7"/>
    </row>
    <row r="1233" spans="2:13" x14ac:dyDescent="0.25">
      <c r="B1233"/>
      <c r="C1233"/>
      <c r="D1233"/>
      <c r="E1233"/>
      <c r="F1233"/>
      <c r="G1233"/>
      <c r="H1233" s="19"/>
      <c r="I1233" s="19"/>
      <c r="J1233" s="19"/>
      <c r="M1233" s="7"/>
    </row>
    <row r="1234" spans="2:13" x14ac:dyDescent="0.25">
      <c r="B1234"/>
      <c r="C1234"/>
      <c r="D1234"/>
      <c r="E1234"/>
      <c r="F1234"/>
      <c r="G1234"/>
      <c r="H1234" s="19"/>
      <c r="I1234" s="19"/>
      <c r="J1234" s="19"/>
      <c r="M1234" s="7"/>
    </row>
    <row r="1235" spans="2:13" x14ac:dyDescent="0.25">
      <c r="B1235"/>
      <c r="C1235"/>
      <c r="D1235"/>
      <c r="E1235"/>
      <c r="F1235"/>
      <c r="G1235"/>
      <c r="H1235" s="19"/>
      <c r="I1235" s="19"/>
      <c r="J1235" s="19"/>
      <c r="M1235" s="7"/>
    </row>
    <row r="1236" spans="2:13" x14ac:dyDescent="0.25">
      <c r="B1236"/>
      <c r="C1236"/>
      <c r="D1236"/>
      <c r="E1236"/>
      <c r="F1236"/>
      <c r="G1236"/>
      <c r="H1236" s="19"/>
      <c r="I1236" s="19"/>
      <c r="J1236" s="19"/>
      <c r="M1236" s="7"/>
    </row>
    <row r="1237" spans="2:13" x14ac:dyDescent="0.25">
      <c r="B1237"/>
      <c r="C1237"/>
      <c r="D1237"/>
      <c r="E1237"/>
      <c r="F1237"/>
      <c r="G1237"/>
      <c r="H1237" s="19"/>
      <c r="I1237" s="19"/>
      <c r="J1237" s="19"/>
      <c r="M1237" s="7"/>
    </row>
    <row r="1238" spans="2:13" x14ac:dyDescent="0.25">
      <c r="B1238"/>
      <c r="C1238"/>
      <c r="D1238"/>
      <c r="E1238"/>
      <c r="F1238"/>
      <c r="G1238"/>
      <c r="H1238" s="19"/>
      <c r="I1238" s="19"/>
      <c r="J1238" s="19"/>
      <c r="M1238" s="7"/>
    </row>
    <row r="1239" spans="2:13" x14ac:dyDescent="0.25">
      <c r="B1239"/>
      <c r="C1239"/>
      <c r="D1239"/>
      <c r="E1239"/>
      <c r="F1239"/>
      <c r="G1239"/>
      <c r="H1239" s="19"/>
      <c r="I1239" s="19"/>
      <c r="J1239" s="19"/>
      <c r="M1239" s="7"/>
    </row>
    <row r="1240" spans="2:13" x14ac:dyDescent="0.25">
      <c r="B1240"/>
      <c r="C1240"/>
      <c r="D1240"/>
      <c r="E1240"/>
      <c r="F1240"/>
      <c r="G1240"/>
      <c r="H1240" s="19"/>
      <c r="I1240" s="19"/>
      <c r="J1240" s="19"/>
      <c r="M1240" s="7"/>
    </row>
    <row r="1241" spans="2:13" x14ac:dyDescent="0.25">
      <c r="B1241"/>
      <c r="C1241"/>
      <c r="D1241"/>
      <c r="E1241"/>
      <c r="F1241"/>
      <c r="G1241"/>
      <c r="H1241" s="19"/>
      <c r="I1241" s="19"/>
      <c r="J1241" s="19"/>
      <c r="M1241" s="7"/>
    </row>
    <row r="1242" spans="2:13" x14ac:dyDescent="0.25">
      <c r="B1242"/>
      <c r="C1242"/>
      <c r="D1242"/>
      <c r="E1242"/>
      <c r="F1242"/>
      <c r="G1242"/>
      <c r="H1242" s="19"/>
      <c r="I1242" s="19"/>
      <c r="J1242" s="19"/>
      <c r="M1242" s="7"/>
    </row>
    <row r="1243" spans="2:13" x14ac:dyDescent="0.25">
      <c r="B1243"/>
      <c r="C1243"/>
      <c r="D1243"/>
      <c r="E1243"/>
      <c r="F1243"/>
      <c r="G1243"/>
      <c r="H1243" s="19"/>
      <c r="I1243" s="19"/>
      <c r="J1243" s="19"/>
      <c r="M1243" s="7"/>
    </row>
    <row r="1244" spans="2:13" x14ac:dyDescent="0.25">
      <c r="B1244"/>
      <c r="C1244"/>
      <c r="D1244"/>
      <c r="E1244"/>
      <c r="F1244"/>
      <c r="G1244"/>
      <c r="H1244" s="19"/>
      <c r="I1244" s="19"/>
      <c r="J1244" s="19"/>
      <c r="M1244" s="7"/>
    </row>
    <row r="1245" spans="2:13" x14ac:dyDescent="0.25">
      <c r="B1245"/>
      <c r="C1245"/>
      <c r="D1245"/>
      <c r="E1245"/>
      <c r="F1245"/>
      <c r="G1245"/>
      <c r="H1245" s="19"/>
      <c r="I1245" s="19"/>
      <c r="J1245" s="19"/>
      <c r="M1245" s="7"/>
    </row>
    <row r="1246" spans="2:13" x14ac:dyDescent="0.25">
      <c r="B1246"/>
      <c r="C1246"/>
      <c r="D1246"/>
      <c r="E1246"/>
      <c r="F1246"/>
      <c r="G1246"/>
      <c r="H1246" s="19"/>
      <c r="I1246" s="19"/>
      <c r="J1246" s="19"/>
      <c r="M1246" s="7"/>
    </row>
    <row r="1247" spans="2:13" x14ac:dyDescent="0.25">
      <c r="B1247"/>
      <c r="C1247"/>
      <c r="D1247"/>
      <c r="E1247"/>
      <c r="F1247"/>
      <c r="G1247"/>
      <c r="H1247" s="19"/>
      <c r="I1247" s="19"/>
      <c r="J1247" s="19"/>
      <c r="M1247" s="7"/>
    </row>
    <row r="1248" spans="2:13" x14ac:dyDescent="0.25">
      <c r="B1248"/>
      <c r="C1248"/>
      <c r="D1248"/>
      <c r="E1248"/>
      <c r="F1248"/>
      <c r="G1248"/>
      <c r="H1248" s="19"/>
      <c r="I1248" s="19"/>
      <c r="J1248" s="19"/>
      <c r="M1248" s="7"/>
    </row>
    <row r="1249" spans="2:13" x14ac:dyDescent="0.25">
      <c r="B1249"/>
      <c r="C1249"/>
      <c r="D1249"/>
      <c r="E1249"/>
      <c r="F1249"/>
      <c r="G1249"/>
      <c r="H1249" s="19"/>
      <c r="I1249" s="19"/>
      <c r="J1249" s="19"/>
      <c r="M1249" s="7"/>
    </row>
    <row r="1250" spans="2:13" x14ac:dyDescent="0.25">
      <c r="B1250"/>
      <c r="C1250"/>
      <c r="D1250"/>
      <c r="E1250"/>
      <c r="F1250"/>
      <c r="G1250"/>
      <c r="H1250" s="19"/>
      <c r="I1250" s="19"/>
      <c r="J1250" s="19"/>
      <c r="M1250" s="7"/>
    </row>
    <row r="1251" spans="2:13" x14ac:dyDescent="0.25">
      <c r="B1251"/>
      <c r="C1251"/>
      <c r="D1251"/>
      <c r="E1251"/>
      <c r="F1251"/>
      <c r="G1251"/>
      <c r="H1251" s="19"/>
      <c r="I1251" s="19"/>
      <c r="J1251" s="19"/>
      <c r="M1251" s="7"/>
    </row>
    <row r="1252" spans="2:13" x14ac:dyDescent="0.25">
      <c r="B1252"/>
      <c r="C1252"/>
      <c r="D1252"/>
      <c r="E1252"/>
      <c r="F1252"/>
      <c r="G1252"/>
      <c r="H1252" s="19"/>
      <c r="I1252" s="19"/>
      <c r="J1252" s="19"/>
      <c r="M1252" s="7"/>
    </row>
    <row r="1253" spans="2:13" x14ac:dyDescent="0.25">
      <c r="B1253"/>
      <c r="C1253"/>
      <c r="D1253"/>
      <c r="E1253"/>
      <c r="F1253"/>
      <c r="G1253"/>
      <c r="H1253" s="19"/>
      <c r="I1253" s="19"/>
      <c r="J1253" s="19"/>
      <c r="M1253" s="7"/>
    </row>
    <row r="1254" spans="2:13" x14ac:dyDescent="0.25">
      <c r="B1254"/>
      <c r="C1254"/>
      <c r="D1254"/>
      <c r="E1254"/>
      <c r="F1254"/>
      <c r="G1254"/>
      <c r="H1254" s="19"/>
      <c r="I1254" s="19"/>
      <c r="J1254" s="19"/>
      <c r="M1254" s="7"/>
    </row>
    <row r="1255" spans="2:13" x14ac:dyDescent="0.25">
      <c r="B1255"/>
      <c r="C1255"/>
      <c r="D1255"/>
      <c r="E1255"/>
      <c r="F1255"/>
      <c r="G1255"/>
      <c r="H1255" s="19"/>
      <c r="I1255" s="19"/>
      <c r="J1255" s="19"/>
      <c r="M1255" s="7"/>
    </row>
    <row r="1256" spans="2:13" x14ac:dyDescent="0.25">
      <c r="B1256"/>
      <c r="C1256"/>
      <c r="D1256"/>
      <c r="E1256"/>
      <c r="F1256"/>
      <c r="G1256"/>
      <c r="H1256" s="19"/>
      <c r="I1256" s="19"/>
      <c r="J1256" s="19"/>
      <c r="M1256" s="7"/>
    </row>
    <row r="1257" spans="2:13" x14ac:dyDescent="0.25">
      <c r="B1257"/>
      <c r="C1257"/>
      <c r="D1257"/>
      <c r="E1257"/>
      <c r="F1257"/>
      <c r="G1257"/>
      <c r="H1257" s="19"/>
      <c r="I1257" s="19"/>
      <c r="J1257" s="19"/>
      <c r="M1257" s="7"/>
    </row>
    <row r="1258" spans="2:13" x14ac:dyDescent="0.25">
      <c r="B1258"/>
      <c r="C1258"/>
      <c r="D1258"/>
      <c r="E1258"/>
      <c r="F1258"/>
      <c r="G1258"/>
      <c r="H1258" s="19"/>
      <c r="I1258" s="19"/>
      <c r="J1258" s="19"/>
      <c r="M1258" s="7"/>
    </row>
    <row r="1259" spans="2:13" x14ac:dyDescent="0.25">
      <c r="B1259"/>
      <c r="C1259"/>
      <c r="D1259"/>
      <c r="E1259"/>
      <c r="F1259"/>
      <c r="G1259"/>
      <c r="H1259" s="19"/>
      <c r="I1259" s="19"/>
      <c r="J1259" s="19"/>
      <c r="M1259" s="7"/>
    </row>
    <row r="1260" spans="2:13" x14ac:dyDescent="0.25">
      <c r="B1260"/>
      <c r="C1260"/>
      <c r="D1260"/>
      <c r="E1260"/>
      <c r="F1260"/>
      <c r="G1260"/>
      <c r="H1260" s="19"/>
      <c r="I1260" s="19"/>
      <c r="J1260" s="19"/>
      <c r="M1260" s="7"/>
    </row>
    <row r="1261" spans="2:13" x14ac:dyDescent="0.25">
      <c r="B1261"/>
      <c r="C1261"/>
      <c r="D1261"/>
      <c r="E1261"/>
      <c r="F1261"/>
      <c r="G1261"/>
      <c r="H1261" s="19"/>
      <c r="I1261" s="19"/>
      <c r="J1261" s="19"/>
      <c r="M1261" s="7"/>
    </row>
    <row r="1262" spans="2:13" x14ac:dyDescent="0.25">
      <c r="B1262"/>
      <c r="C1262"/>
      <c r="D1262"/>
      <c r="E1262"/>
      <c r="F1262"/>
      <c r="G1262"/>
      <c r="H1262" s="19"/>
      <c r="I1262" s="19"/>
      <c r="J1262" s="19"/>
      <c r="M1262" s="7"/>
    </row>
    <row r="1263" spans="2:13" x14ac:dyDescent="0.25">
      <c r="B1263"/>
      <c r="C1263"/>
      <c r="D1263"/>
      <c r="E1263"/>
      <c r="F1263"/>
      <c r="G1263"/>
      <c r="H1263" s="19"/>
      <c r="I1263" s="19"/>
      <c r="J1263" s="19"/>
      <c r="M1263" s="7"/>
    </row>
    <row r="1264" spans="2:13" x14ac:dyDescent="0.25">
      <c r="B1264"/>
      <c r="C1264"/>
      <c r="D1264"/>
      <c r="E1264"/>
      <c r="F1264"/>
      <c r="G1264"/>
      <c r="H1264" s="19"/>
      <c r="I1264" s="19"/>
      <c r="J1264" s="19"/>
      <c r="M1264" s="7"/>
    </row>
    <row r="1265" spans="2:13" x14ac:dyDescent="0.25">
      <c r="B1265"/>
      <c r="C1265"/>
      <c r="D1265"/>
      <c r="E1265"/>
      <c r="F1265"/>
      <c r="G1265"/>
      <c r="H1265" s="19"/>
      <c r="I1265" s="19"/>
      <c r="J1265" s="19"/>
      <c r="M1265" s="7"/>
    </row>
    <row r="1266" spans="2:13" x14ac:dyDescent="0.25">
      <c r="B1266"/>
      <c r="C1266"/>
      <c r="D1266"/>
      <c r="E1266"/>
      <c r="F1266"/>
      <c r="G1266"/>
      <c r="H1266" s="19"/>
      <c r="I1266" s="19"/>
      <c r="J1266" s="19"/>
      <c r="M1266" s="7"/>
    </row>
    <row r="1267" spans="2:13" x14ac:dyDescent="0.25">
      <c r="B1267"/>
      <c r="C1267"/>
      <c r="D1267"/>
      <c r="E1267"/>
      <c r="F1267"/>
      <c r="G1267"/>
      <c r="H1267" s="19"/>
      <c r="I1267" s="19"/>
      <c r="J1267" s="19"/>
      <c r="M1267" s="7"/>
    </row>
    <row r="1268" spans="2:13" x14ac:dyDescent="0.25">
      <c r="B1268"/>
      <c r="C1268"/>
      <c r="D1268"/>
      <c r="E1268"/>
      <c r="F1268"/>
      <c r="G1268"/>
      <c r="H1268" s="19"/>
      <c r="I1268" s="19"/>
      <c r="J1268" s="19"/>
      <c r="M1268" s="7"/>
    </row>
    <row r="1269" spans="2:13" x14ac:dyDescent="0.25">
      <c r="B1269"/>
      <c r="C1269"/>
      <c r="D1269"/>
      <c r="E1269"/>
      <c r="F1269"/>
      <c r="G1269"/>
      <c r="H1269" s="19"/>
      <c r="I1269" s="19"/>
      <c r="J1269" s="19"/>
      <c r="M1269" s="7"/>
    </row>
    <row r="1270" spans="2:13" x14ac:dyDescent="0.25">
      <c r="B1270"/>
      <c r="C1270"/>
      <c r="D1270"/>
      <c r="E1270"/>
      <c r="F1270"/>
      <c r="G1270"/>
      <c r="H1270" s="19"/>
      <c r="I1270" s="19"/>
      <c r="J1270" s="19"/>
      <c r="M1270" s="7"/>
    </row>
    <row r="1271" spans="2:13" x14ac:dyDescent="0.25">
      <c r="B1271"/>
      <c r="C1271"/>
      <c r="D1271"/>
      <c r="E1271"/>
      <c r="F1271"/>
      <c r="G1271"/>
      <c r="H1271" s="19"/>
      <c r="I1271" s="19"/>
      <c r="J1271" s="19"/>
      <c r="M1271" s="7"/>
    </row>
    <row r="1272" spans="2:13" x14ac:dyDescent="0.25">
      <c r="B1272"/>
      <c r="C1272"/>
      <c r="D1272"/>
      <c r="E1272"/>
      <c r="F1272"/>
      <c r="G1272"/>
      <c r="H1272" s="19"/>
      <c r="I1272" s="19"/>
      <c r="J1272" s="19"/>
      <c r="M1272" s="7"/>
    </row>
    <row r="1273" spans="2:13" x14ac:dyDescent="0.25">
      <c r="B1273"/>
      <c r="C1273"/>
      <c r="D1273"/>
      <c r="E1273"/>
      <c r="F1273"/>
      <c r="G1273"/>
      <c r="H1273" s="19"/>
      <c r="I1273" s="19"/>
      <c r="J1273" s="19"/>
      <c r="M1273" s="7"/>
    </row>
    <row r="1274" spans="2:13" x14ac:dyDescent="0.25">
      <c r="B1274"/>
      <c r="C1274"/>
      <c r="D1274"/>
      <c r="E1274"/>
      <c r="F1274"/>
      <c r="G1274"/>
      <c r="H1274" s="19"/>
      <c r="I1274" s="19"/>
      <c r="J1274" s="19"/>
      <c r="M1274" s="7"/>
    </row>
    <row r="1275" spans="2:13" x14ac:dyDescent="0.25">
      <c r="B1275"/>
      <c r="C1275"/>
      <c r="D1275"/>
      <c r="E1275"/>
      <c r="F1275"/>
      <c r="G1275"/>
      <c r="H1275" s="19"/>
      <c r="I1275" s="19"/>
      <c r="J1275" s="19"/>
      <c r="M1275" s="7"/>
    </row>
    <row r="1276" spans="2:13" x14ac:dyDescent="0.25">
      <c r="B1276"/>
      <c r="C1276"/>
      <c r="D1276"/>
      <c r="E1276"/>
      <c r="F1276"/>
      <c r="G1276"/>
      <c r="H1276" s="19"/>
      <c r="I1276" s="19"/>
      <c r="J1276" s="19"/>
      <c r="M1276" s="7"/>
    </row>
    <row r="1277" spans="2:13" x14ac:dyDescent="0.25">
      <c r="B1277"/>
      <c r="C1277"/>
      <c r="D1277"/>
      <c r="E1277"/>
      <c r="F1277"/>
      <c r="G1277"/>
      <c r="H1277" s="19"/>
      <c r="I1277" s="19"/>
      <c r="J1277" s="19"/>
      <c r="M1277" s="7"/>
    </row>
    <row r="1278" spans="2:13" x14ac:dyDescent="0.25">
      <c r="B1278"/>
      <c r="C1278"/>
      <c r="D1278"/>
      <c r="E1278"/>
      <c r="F1278"/>
      <c r="G1278"/>
      <c r="H1278" s="19"/>
      <c r="I1278" s="19"/>
      <c r="J1278" s="19"/>
      <c r="M1278" s="7"/>
    </row>
    <row r="1279" spans="2:13" x14ac:dyDescent="0.25">
      <c r="B1279"/>
      <c r="C1279"/>
      <c r="D1279"/>
      <c r="E1279"/>
      <c r="F1279"/>
      <c r="G1279"/>
      <c r="H1279" s="19"/>
      <c r="I1279" s="19"/>
      <c r="J1279" s="19"/>
      <c r="M1279" s="7"/>
    </row>
    <row r="1280" spans="2:13" x14ac:dyDescent="0.25">
      <c r="B1280"/>
      <c r="C1280"/>
      <c r="D1280"/>
      <c r="E1280"/>
      <c r="F1280"/>
      <c r="G1280"/>
      <c r="H1280" s="19"/>
      <c r="I1280" s="19"/>
      <c r="J1280" s="19"/>
      <c r="M1280" s="7"/>
    </row>
    <row r="1281" spans="2:13" x14ac:dyDescent="0.25">
      <c r="B1281"/>
      <c r="C1281"/>
      <c r="D1281"/>
      <c r="E1281"/>
      <c r="F1281"/>
      <c r="G1281"/>
      <c r="H1281" s="19"/>
      <c r="I1281" s="19"/>
      <c r="J1281" s="19"/>
      <c r="M1281" s="7"/>
    </row>
    <row r="1282" spans="2:13" x14ac:dyDescent="0.25">
      <c r="B1282"/>
      <c r="C1282"/>
      <c r="D1282"/>
      <c r="E1282"/>
      <c r="F1282"/>
      <c r="G1282"/>
      <c r="H1282" s="19"/>
      <c r="I1282" s="19"/>
      <c r="J1282" s="19"/>
      <c r="M1282" s="7"/>
    </row>
    <row r="1283" spans="2:13" x14ac:dyDescent="0.25">
      <c r="B1283"/>
      <c r="C1283"/>
      <c r="D1283"/>
      <c r="E1283"/>
      <c r="F1283"/>
      <c r="G1283"/>
      <c r="H1283" s="19"/>
      <c r="I1283" s="19"/>
      <c r="J1283" s="19"/>
      <c r="M1283" s="7"/>
    </row>
    <row r="1284" spans="2:13" x14ac:dyDescent="0.25">
      <c r="B1284"/>
      <c r="C1284"/>
      <c r="D1284"/>
      <c r="E1284"/>
      <c r="F1284"/>
      <c r="G1284"/>
      <c r="H1284" s="19"/>
      <c r="I1284" s="19"/>
      <c r="J1284" s="19"/>
      <c r="M1284" s="7"/>
    </row>
    <row r="1285" spans="2:13" x14ac:dyDescent="0.25">
      <c r="B1285"/>
      <c r="C1285"/>
      <c r="D1285"/>
      <c r="E1285"/>
      <c r="F1285"/>
      <c r="G1285"/>
      <c r="H1285" s="19"/>
      <c r="I1285" s="19"/>
      <c r="J1285" s="19"/>
      <c r="M1285" s="7"/>
    </row>
    <row r="1286" spans="2:13" x14ac:dyDescent="0.25">
      <c r="B1286"/>
      <c r="C1286"/>
      <c r="D1286"/>
      <c r="E1286"/>
      <c r="F1286"/>
      <c r="G1286"/>
      <c r="H1286" s="19"/>
      <c r="I1286" s="19"/>
      <c r="J1286" s="19"/>
      <c r="M1286" s="7"/>
    </row>
    <row r="1287" spans="2:13" x14ac:dyDescent="0.25">
      <c r="B1287"/>
      <c r="C1287"/>
      <c r="D1287"/>
      <c r="E1287"/>
      <c r="F1287"/>
      <c r="G1287"/>
      <c r="H1287" s="19"/>
      <c r="I1287" s="19"/>
      <c r="J1287" s="19"/>
      <c r="M1287" s="7"/>
    </row>
    <row r="1288" spans="2:13" x14ac:dyDescent="0.25">
      <c r="B1288"/>
      <c r="C1288"/>
      <c r="D1288"/>
      <c r="E1288"/>
      <c r="F1288"/>
      <c r="G1288"/>
      <c r="H1288" s="19"/>
      <c r="I1288" s="19"/>
      <c r="J1288" s="19"/>
      <c r="M1288" s="7"/>
    </row>
    <row r="1289" spans="2:13" x14ac:dyDescent="0.25">
      <c r="B1289"/>
      <c r="C1289"/>
      <c r="D1289"/>
      <c r="E1289"/>
      <c r="F1289"/>
      <c r="G1289"/>
      <c r="H1289" s="19"/>
      <c r="I1289" s="19"/>
      <c r="J1289" s="19"/>
      <c r="M1289" s="7"/>
    </row>
    <row r="1290" spans="2:13" x14ac:dyDescent="0.25">
      <c r="B1290"/>
      <c r="C1290"/>
      <c r="D1290"/>
      <c r="E1290"/>
      <c r="F1290"/>
      <c r="G1290"/>
      <c r="H1290" s="19"/>
      <c r="I1290" s="19"/>
      <c r="J1290" s="19"/>
      <c r="M1290" s="7"/>
    </row>
    <row r="1291" spans="2:13" x14ac:dyDescent="0.25">
      <c r="B1291"/>
      <c r="C1291"/>
      <c r="D1291"/>
      <c r="E1291"/>
      <c r="F1291"/>
      <c r="G1291"/>
      <c r="H1291" s="19"/>
      <c r="I1291" s="19"/>
      <c r="J1291" s="19"/>
      <c r="M1291" s="7"/>
    </row>
    <row r="1292" spans="2:13" x14ac:dyDescent="0.25">
      <c r="B1292"/>
      <c r="C1292"/>
      <c r="D1292"/>
      <c r="E1292"/>
      <c r="F1292"/>
      <c r="G1292"/>
      <c r="H1292" s="19"/>
      <c r="I1292" s="19"/>
      <c r="J1292" s="19"/>
      <c r="M1292" s="7"/>
    </row>
    <row r="1293" spans="2:13" x14ac:dyDescent="0.25">
      <c r="B1293"/>
      <c r="C1293"/>
      <c r="D1293"/>
      <c r="E1293"/>
      <c r="F1293"/>
      <c r="G1293"/>
      <c r="H1293" s="19"/>
      <c r="I1293" s="19"/>
      <c r="J1293" s="19"/>
      <c r="M1293" s="7"/>
    </row>
    <row r="1294" spans="2:13" x14ac:dyDescent="0.25">
      <c r="B1294"/>
      <c r="C1294"/>
      <c r="D1294"/>
      <c r="E1294"/>
      <c r="F1294"/>
      <c r="G1294"/>
      <c r="H1294" s="19"/>
      <c r="I1294" s="19"/>
      <c r="J1294" s="19"/>
      <c r="M1294" s="7"/>
    </row>
    <row r="1295" spans="2:13" x14ac:dyDescent="0.25">
      <c r="B1295"/>
      <c r="C1295"/>
      <c r="D1295"/>
      <c r="E1295"/>
      <c r="F1295"/>
      <c r="G1295"/>
      <c r="H1295" s="19"/>
      <c r="I1295" s="19"/>
      <c r="J1295" s="19"/>
      <c r="M1295" s="7"/>
    </row>
    <row r="1296" spans="2:13" x14ac:dyDescent="0.25">
      <c r="B1296"/>
      <c r="C1296"/>
      <c r="D1296"/>
      <c r="E1296"/>
      <c r="F1296"/>
      <c r="G1296"/>
      <c r="H1296" s="19"/>
      <c r="I1296" s="19"/>
      <c r="J1296" s="19"/>
      <c r="M1296" s="7"/>
    </row>
    <row r="1297" spans="2:13" x14ac:dyDescent="0.25">
      <c r="B1297"/>
      <c r="C1297"/>
      <c r="D1297"/>
      <c r="E1297"/>
      <c r="F1297"/>
      <c r="G1297"/>
      <c r="H1297" s="19"/>
      <c r="I1297" s="19"/>
      <c r="J1297" s="19"/>
      <c r="M1297" s="7"/>
    </row>
    <row r="1298" spans="2:13" x14ac:dyDescent="0.25">
      <c r="B1298"/>
      <c r="C1298"/>
      <c r="D1298"/>
      <c r="E1298"/>
      <c r="F1298"/>
      <c r="G1298"/>
      <c r="H1298" s="19"/>
      <c r="I1298" s="19"/>
      <c r="J1298" s="19"/>
      <c r="M1298" s="7"/>
    </row>
    <row r="1299" spans="2:13" x14ac:dyDescent="0.25">
      <c r="B1299"/>
      <c r="C1299"/>
      <c r="D1299"/>
      <c r="E1299"/>
      <c r="F1299"/>
      <c r="G1299"/>
      <c r="H1299" s="19"/>
      <c r="I1299" s="19"/>
      <c r="J1299" s="19"/>
      <c r="M1299" s="7"/>
    </row>
    <row r="1300" spans="2:13" x14ac:dyDescent="0.25">
      <c r="B1300"/>
      <c r="C1300"/>
      <c r="D1300"/>
      <c r="E1300"/>
      <c r="F1300"/>
      <c r="G1300"/>
      <c r="H1300" s="19"/>
      <c r="I1300" s="19"/>
      <c r="J1300" s="19"/>
      <c r="M1300" s="7"/>
    </row>
    <row r="1301" spans="2:13" x14ac:dyDescent="0.25">
      <c r="B1301"/>
      <c r="C1301"/>
      <c r="D1301"/>
      <c r="E1301"/>
      <c r="F1301"/>
      <c r="G1301"/>
      <c r="H1301" s="19"/>
      <c r="I1301" s="19"/>
      <c r="J1301" s="19"/>
      <c r="M1301" s="7"/>
    </row>
    <row r="1302" spans="2:13" x14ac:dyDescent="0.25">
      <c r="B1302"/>
      <c r="C1302"/>
      <c r="D1302"/>
      <c r="E1302"/>
      <c r="F1302"/>
      <c r="G1302"/>
      <c r="H1302" s="19"/>
      <c r="I1302" s="19"/>
      <c r="J1302" s="19"/>
      <c r="M1302" s="7"/>
    </row>
    <row r="1303" spans="2:13" x14ac:dyDescent="0.25">
      <c r="B1303"/>
      <c r="C1303"/>
      <c r="D1303"/>
      <c r="E1303"/>
      <c r="F1303"/>
      <c r="G1303"/>
      <c r="H1303" s="19"/>
      <c r="I1303" s="19"/>
      <c r="J1303" s="19"/>
      <c r="M1303" s="7"/>
    </row>
    <row r="1304" spans="2:13" x14ac:dyDescent="0.25">
      <c r="B1304"/>
      <c r="C1304"/>
      <c r="D1304"/>
      <c r="E1304"/>
      <c r="F1304"/>
      <c r="G1304"/>
      <c r="H1304" s="19"/>
      <c r="I1304" s="19"/>
      <c r="J1304" s="19"/>
      <c r="M1304" s="7"/>
    </row>
    <row r="1305" spans="2:13" x14ac:dyDescent="0.25">
      <c r="B1305"/>
      <c r="C1305"/>
      <c r="D1305"/>
      <c r="E1305"/>
      <c r="F1305"/>
      <c r="G1305"/>
      <c r="H1305" s="19"/>
      <c r="I1305" s="19"/>
      <c r="J1305" s="19"/>
      <c r="M1305" s="7"/>
    </row>
    <row r="1306" spans="2:13" x14ac:dyDescent="0.25">
      <c r="B1306"/>
      <c r="C1306"/>
      <c r="D1306"/>
      <c r="E1306"/>
      <c r="F1306"/>
      <c r="G1306"/>
      <c r="H1306" s="19"/>
      <c r="I1306" s="19"/>
      <c r="J1306" s="19"/>
      <c r="M1306" s="7"/>
    </row>
    <row r="1307" spans="2:13" x14ac:dyDescent="0.25">
      <c r="B1307"/>
      <c r="C1307"/>
      <c r="D1307"/>
      <c r="E1307"/>
      <c r="F1307"/>
      <c r="G1307"/>
      <c r="H1307" s="19"/>
      <c r="I1307" s="19"/>
      <c r="J1307" s="19"/>
      <c r="M1307" s="7"/>
    </row>
    <row r="1308" spans="2:13" x14ac:dyDescent="0.25">
      <c r="B1308"/>
      <c r="C1308"/>
      <c r="D1308"/>
      <c r="E1308"/>
      <c r="F1308"/>
      <c r="G1308"/>
      <c r="H1308" s="19"/>
      <c r="I1308" s="19"/>
      <c r="J1308" s="19"/>
      <c r="M1308" s="7"/>
    </row>
    <row r="1309" spans="2:13" x14ac:dyDescent="0.25">
      <c r="B1309"/>
      <c r="C1309"/>
      <c r="D1309"/>
      <c r="E1309"/>
      <c r="F1309"/>
      <c r="G1309"/>
      <c r="H1309" s="19"/>
      <c r="I1309" s="19"/>
      <c r="J1309" s="19"/>
      <c r="M1309" s="7"/>
    </row>
    <row r="1310" spans="2:13" x14ac:dyDescent="0.25">
      <c r="B1310"/>
      <c r="C1310"/>
      <c r="D1310"/>
      <c r="E1310"/>
      <c r="F1310"/>
      <c r="G1310"/>
      <c r="H1310" s="19"/>
      <c r="I1310" s="19"/>
      <c r="J1310" s="19"/>
      <c r="M1310" s="7"/>
    </row>
    <row r="1311" spans="2:13" x14ac:dyDescent="0.25">
      <c r="B1311"/>
      <c r="C1311"/>
      <c r="D1311"/>
      <c r="E1311"/>
      <c r="F1311"/>
      <c r="G1311"/>
      <c r="H1311" s="19"/>
      <c r="I1311" s="19"/>
      <c r="J1311" s="19"/>
      <c r="M1311" s="7"/>
    </row>
    <row r="1312" spans="2:13" x14ac:dyDescent="0.25">
      <c r="B1312"/>
      <c r="C1312"/>
      <c r="D1312"/>
      <c r="E1312"/>
      <c r="F1312"/>
      <c r="G1312"/>
      <c r="H1312" s="19"/>
      <c r="I1312" s="19"/>
      <c r="J1312" s="19"/>
      <c r="M1312" s="7"/>
    </row>
    <row r="1313" spans="2:13" x14ac:dyDescent="0.25">
      <c r="B1313"/>
      <c r="C1313"/>
      <c r="D1313"/>
      <c r="E1313"/>
      <c r="F1313"/>
      <c r="G1313"/>
      <c r="H1313" s="19"/>
      <c r="I1313" s="19"/>
      <c r="J1313" s="19"/>
      <c r="M1313" s="7"/>
    </row>
    <row r="1314" spans="2:13" x14ac:dyDescent="0.25">
      <c r="B1314"/>
      <c r="C1314"/>
      <c r="D1314"/>
      <c r="E1314"/>
      <c r="F1314"/>
      <c r="G1314"/>
      <c r="H1314" s="19"/>
      <c r="I1314" s="19"/>
      <c r="J1314" s="19"/>
      <c r="M1314" s="7"/>
    </row>
    <row r="1315" spans="2:13" x14ac:dyDescent="0.25">
      <c r="B1315"/>
      <c r="C1315"/>
      <c r="D1315"/>
      <c r="E1315"/>
      <c r="F1315"/>
      <c r="G1315"/>
      <c r="H1315" s="19"/>
      <c r="I1315" s="19"/>
      <c r="J1315" s="19"/>
      <c r="M1315" s="7"/>
    </row>
    <row r="1316" spans="2:13" x14ac:dyDescent="0.25">
      <c r="B1316"/>
      <c r="C1316"/>
      <c r="D1316"/>
      <c r="E1316"/>
      <c r="F1316"/>
      <c r="G1316"/>
      <c r="H1316" s="19"/>
      <c r="I1316" s="19"/>
      <c r="J1316" s="19"/>
      <c r="M1316" s="7"/>
    </row>
    <row r="1317" spans="2:13" x14ac:dyDescent="0.25">
      <c r="B1317"/>
      <c r="C1317"/>
      <c r="D1317"/>
      <c r="E1317"/>
      <c r="F1317"/>
      <c r="G1317"/>
      <c r="H1317" s="19"/>
      <c r="I1317" s="19"/>
      <c r="J1317" s="19"/>
      <c r="M1317" s="7"/>
    </row>
    <row r="1318" spans="2:13" x14ac:dyDescent="0.25">
      <c r="B1318"/>
      <c r="C1318"/>
      <c r="D1318"/>
      <c r="E1318"/>
      <c r="F1318"/>
      <c r="G1318"/>
      <c r="H1318" s="19"/>
      <c r="I1318" s="19"/>
      <c r="J1318" s="19"/>
      <c r="M1318" s="7"/>
    </row>
    <row r="1319" spans="2:13" x14ac:dyDescent="0.25">
      <c r="B1319"/>
      <c r="C1319"/>
      <c r="D1319"/>
      <c r="E1319"/>
      <c r="F1319"/>
      <c r="G1319"/>
      <c r="H1319" s="19"/>
      <c r="I1319" s="19"/>
      <c r="J1319" s="19"/>
      <c r="M1319" s="7"/>
    </row>
    <row r="1320" spans="2:13" x14ac:dyDescent="0.25">
      <c r="B1320"/>
      <c r="C1320"/>
      <c r="D1320"/>
      <c r="E1320"/>
      <c r="F1320"/>
      <c r="G1320"/>
      <c r="H1320" s="19"/>
      <c r="I1320" s="19"/>
      <c r="J1320" s="19"/>
      <c r="M1320" s="7"/>
    </row>
    <row r="1321" spans="2:13" x14ac:dyDescent="0.25">
      <c r="B1321"/>
      <c r="C1321"/>
      <c r="D1321"/>
      <c r="E1321"/>
      <c r="F1321"/>
      <c r="G1321"/>
      <c r="H1321" s="19"/>
      <c r="I1321" s="19"/>
      <c r="J1321" s="19"/>
      <c r="M1321" s="7"/>
    </row>
    <row r="1322" spans="2:13" x14ac:dyDescent="0.25">
      <c r="B1322"/>
      <c r="C1322"/>
      <c r="D1322"/>
      <c r="E1322"/>
      <c r="F1322"/>
      <c r="G1322"/>
      <c r="H1322" s="19"/>
      <c r="I1322" s="19"/>
      <c r="J1322" s="19"/>
      <c r="M1322" s="7"/>
    </row>
    <row r="1323" spans="2:13" x14ac:dyDescent="0.25">
      <c r="B1323"/>
      <c r="C1323"/>
      <c r="D1323"/>
      <c r="E1323"/>
      <c r="F1323"/>
      <c r="G1323"/>
      <c r="H1323" s="19"/>
      <c r="I1323" s="19"/>
      <c r="J1323" s="19"/>
      <c r="M1323" s="7"/>
    </row>
    <row r="1324" spans="2:13" x14ac:dyDescent="0.25">
      <c r="B1324"/>
      <c r="C1324"/>
      <c r="D1324"/>
      <c r="E1324"/>
      <c r="F1324"/>
      <c r="G1324"/>
      <c r="H1324" s="19"/>
      <c r="I1324" s="19"/>
      <c r="J1324" s="19"/>
      <c r="M1324" s="7"/>
    </row>
    <row r="1325" spans="2:13" x14ac:dyDescent="0.25">
      <c r="B1325"/>
      <c r="C1325"/>
      <c r="D1325"/>
      <c r="E1325"/>
      <c r="F1325"/>
      <c r="G1325"/>
      <c r="H1325" s="19"/>
      <c r="I1325" s="19"/>
      <c r="J1325" s="19"/>
      <c r="M1325" s="7"/>
    </row>
    <row r="1326" spans="2:13" x14ac:dyDescent="0.25">
      <c r="B1326"/>
      <c r="C1326"/>
      <c r="D1326"/>
      <c r="E1326"/>
      <c r="F1326"/>
      <c r="G1326"/>
      <c r="H1326" s="19"/>
      <c r="I1326" s="19"/>
      <c r="J1326" s="19"/>
      <c r="M1326" s="7"/>
    </row>
    <row r="1327" spans="2:13" x14ac:dyDescent="0.25">
      <c r="B1327"/>
      <c r="C1327"/>
      <c r="D1327"/>
      <c r="E1327"/>
      <c r="F1327"/>
      <c r="G1327"/>
      <c r="H1327" s="19"/>
      <c r="I1327" s="19"/>
      <c r="J1327" s="19"/>
      <c r="M1327" s="7"/>
    </row>
    <row r="1328" spans="2:13" x14ac:dyDescent="0.25">
      <c r="B1328"/>
      <c r="C1328"/>
      <c r="D1328"/>
      <c r="E1328"/>
      <c r="F1328"/>
      <c r="G1328"/>
      <c r="H1328" s="19"/>
      <c r="I1328" s="19"/>
      <c r="J1328" s="19"/>
      <c r="M1328" s="7"/>
    </row>
    <row r="1329" spans="2:13" x14ac:dyDescent="0.25">
      <c r="B1329"/>
      <c r="C1329"/>
      <c r="D1329"/>
      <c r="E1329"/>
      <c r="F1329"/>
      <c r="G1329"/>
      <c r="H1329" s="19"/>
      <c r="I1329" s="19"/>
      <c r="J1329" s="19"/>
      <c r="M1329" s="7"/>
    </row>
    <row r="1330" spans="2:13" x14ac:dyDescent="0.25">
      <c r="B1330"/>
      <c r="C1330"/>
      <c r="D1330"/>
      <c r="E1330"/>
      <c r="F1330"/>
      <c r="G1330"/>
      <c r="H1330" s="19"/>
      <c r="I1330" s="19"/>
      <c r="J1330" s="19"/>
      <c r="M1330" s="7"/>
    </row>
    <row r="1331" spans="2:13" x14ac:dyDescent="0.25">
      <c r="B1331"/>
      <c r="C1331"/>
      <c r="D1331"/>
      <c r="E1331"/>
      <c r="F1331"/>
      <c r="G1331"/>
      <c r="H1331" s="19"/>
      <c r="I1331" s="19"/>
      <c r="J1331" s="19"/>
      <c r="M1331" s="7"/>
    </row>
    <row r="1332" spans="2:13" x14ac:dyDescent="0.25">
      <c r="B1332"/>
      <c r="C1332"/>
      <c r="D1332"/>
      <c r="E1332"/>
      <c r="F1332"/>
      <c r="G1332"/>
      <c r="H1332" s="19"/>
      <c r="I1332" s="19"/>
      <c r="J1332" s="19"/>
      <c r="M1332" s="7"/>
    </row>
    <row r="1333" spans="2:13" x14ac:dyDescent="0.25">
      <c r="B1333"/>
      <c r="C1333"/>
      <c r="D1333"/>
      <c r="E1333"/>
      <c r="F1333"/>
      <c r="G1333"/>
      <c r="H1333" s="19"/>
      <c r="I1333" s="19"/>
      <c r="J1333" s="19"/>
      <c r="M1333" s="7"/>
    </row>
    <row r="1334" spans="2:13" x14ac:dyDescent="0.25">
      <c r="B1334"/>
      <c r="C1334"/>
      <c r="D1334"/>
      <c r="E1334"/>
      <c r="F1334"/>
      <c r="G1334"/>
      <c r="H1334" s="19"/>
      <c r="I1334" s="19"/>
      <c r="J1334" s="19"/>
      <c r="M1334" s="7"/>
    </row>
    <row r="1335" spans="2:13" x14ac:dyDescent="0.25">
      <c r="B1335"/>
      <c r="C1335"/>
      <c r="D1335"/>
      <c r="E1335"/>
      <c r="F1335"/>
      <c r="G1335"/>
      <c r="H1335" s="19"/>
      <c r="I1335" s="19"/>
      <c r="J1335" s="19"/>
      <c r="M1335" s="7"/>
    </row>
    <row r="1336" spans="2:13" x14ac:dyDescent="0.25">
      <c r="B1336"/>
      <c r="C1336"/>
      <c r="D1336"/>
      <c r="E1336"/>
      <c r="F1336"/>
      <c r="G1336"/>
      <c r="H1336" s="19"/>
      <c r="I1336" s="19"/>
      <c r="J1336" s="19"/>
      <c r="M1336" s="7"/>
    </row>
    <row r="1337" spans="2:13" x14ac:dyDescent="0.25">
      <c r="B1337"/>
      <c r="C1337"/>
      <c r="D1337"/>
      <c r="E1337"/>
      <c r="F1337"/>
      <c r="G1337"/>
      <c r="H1337" s="19"/>
      <c r="I1337" s="19"/>
      <c r="J1337" s="19"/>
      <c r="M1337" s="7"/>
    </row>
    <row r="1338" spans="2:13" x14ac:dyDescent="0.25">
      <c r="B1338"/>
      <c r="C1338"/>
      <c r="D1338"/>
      <c r="E1338"/>
      <c r="F1338"/>
      <c r="G1338"/>
      <c r="H1338" s="19"/>
      <c r="I1338" s="19"/>
      <c r="J1338" s="19"/>
      <c r="M1338" s="7"/>
    </row>
    <row r="1339" spans="2:13" x14ac:dyDescent="0.25">
      <c r="B1339"/>
      <c r="C1339"/>
      <c r="D1339"/>
      <c r="E1339"/>
      <c r="F1339"/>
      <c r="G1339"/>
      <c r="H1339" s="19"/>
      <c r="I1339" s="19"/>
      <c r="J1339" s="19"/>
      <c r="M1339" s="7"/>
    </row>
    <row r="1340" spans="2:13" x14ac:dyDescent="0.25">
      <c r="B1340"/>
      <c r="C1340"/>
      <c r="D1340"/>
      <c r="E1340"/>
      <c r="F1340"/>
      <c r="G1340"/>
      <c r="H1340" s="19"/>
      <c r="I1340" s="19"/>
      <c r="J1340" s="19"/>
      <c r="M1340" s="7"/>
    </row>
    <row r="1341" spans="2:13" x14ac:dyDescent="0.25">
      <c r="B1341"/>
      <c r="C1341"/>
      <c r="D1341"/>
      <c r="E1341"/>
      <c r="F1341"/>
      <c r="G1341"/>
      <c r="H1341" s="19"/>
      <c r="I1341" s="19"/>
      <c r="J1341" s="19"/>
      <c r="M1341" s="7"/>
    </row>
    <row r="1342" spans="2:13" x14ac:dyDescent="0.25">
      <c r="B1342"/>
      <c r="C1342"/>
      <c r="D1342"/>
      <c r="E1342"/>
      <c r="F1342"/>
      <c r="G1342"/>
      <c r="H1342" s="19"/>
      <c r="I1342" s="19"/>
      <c r="J1342" s="19"/>
      <c r="M1342" s="7"/>
    </row>
    <row r="1343" spans="2:13" x14ac:dyDescent="0.25">
      <c r="B1343"/>
      <c r="C1343"/>
      <c r="D1343"/>
      <c r="E1343"/>
      <c r="F1343"/>
      <c r="G1343"/>
      <c r="H1343" s="19"/>
      <c r="I1343" s="19"/>
      <c r="J1343" s="19"/>
      <c r="M1343" s="7"/>
    </row>
    <row r="1344" spans="2:13" x14ac:dyDescent="0.25">
      <c r="B1344"/>
      <c r="C1344"/>
      <c r="D1344"/>
      <c r="E1344"/>
      <c r="F1344"/>
      <c r="G1344"/>
      <c r="H1344" s="19"/>
      <c r="I1344" s="19"/>
      <c r="J1344" s="19"/>
      <c r="M1344" s="7"/>
    </row>
    <row r="1345" spans="2:13" x14ac:dyDescent="0.25">
      <c r="B1345"/>
      <c r="C1345"/>
      <c r="D1345"/>
      <c r="E1345"/>
      <c r="F1345"/>
      <c r="G1345"/>
      <c r="H1345" s="19"/>
      <c r="I1345" s="19"/>
      <c r="J1345" s="19"/>
      <c r="M1345" s="7"/>
    </row>
    <row r="1346" spans="2:13" x14ac:dyDescent="0.25">
      <c r="B1346"/>
      <c r="C1346"/>
      <c r="D1346"/>
      <c r="E1346"/>
      <c r="F1346"/>
      <c r="G1346"/>
      <c r="H1346" s="19"/>
      <c r="I1346" s="19"/>
      <c r="J1346" s="19"/>
      <c r="M1346" s="7"/>
    </row>
    <row r="1347" spans="2:13" x14ac:dyDescent="0.25">
      <c r="B1347"/>
      <c r="C1347"/>
      <c r="D1347"/>
      <c r="E1347"/>
      <c r="F1347"/>
      <c r="G1347"/>
      <c r="H1347" s="19"/>
      <c r="I1347" s="19"/>
      <c r="J1347" s="19"/>
      <c r="M1347" s="7"/>
    </row>
    <row r="1348" spans="2:13" x14ac:dyDescent="0.25">
      <c r="B1348"/>
      <c r="C1348"/>
      <c r="D1348"/>
      <c r="E1348"/>
      <c r="F1348"/>
      <c r="G1348"/>
      <c r="H1348" s="19"/>
      <c r="I1348" s="19"/>
      <c r="J1348" s="19"/>
      <c r="M1348" s="7"/>
    </row>
    <row r="1349" spans="2:13" x14ac:dyDescent="0.25">
      <c r="B1349"/>
      <c r="C1349"/>
      <c r="D1349"/>
      <c r="E1349"/>
      <c r="F1349"/>
      <c r="G1349"/>
      <c r="H1349" s="19"/>
      <c r="I1349" s="19"/>
      <c r="J1349" s="19"/>
      <c r="M1349" s="7"/>
    </row>
    <row r="1350" spans="2:13" x14ac:dyDescent="0.25">
      <c r="B1350"/>
      <c r="C1350"/>
      <c r="D1350"/>
      <c r="E1350"/>
      <c r="F1350"/>
      <c r="G1350"/>
      <c r="H1350" s="19"/>
      <c r="I1350" s="19"/>
      <c r="J1350" s="19"/>
      <c r="M1350" s="7"/>
    </row>
    <row r="1351" spans="2:13" x14ac:dyDescent="0.25">
      <c r="B1351"/>
      <c r="C1351"/>
      <c r="D1351"/>
      <c r="E1351"/>
      <c r="F1351"/>
      <c r="G1351"/>
      <c r="H1351" s="19"/>
      <c r="I1351" s="19"/>
      <c r="J1351" s="19"/>
      <c r="M1351" s="7"/>
    </row>
    <row r="1352" spans="2:13" x14ac:dyDescent="0.25">
      <c r="B1352"/>
      <c r="C1352"/>
      <c r="D1352"/>
      <c r="E1352"/>
      <c r="F1352"/>
      <c r="G1352"/>
      <c r="H1352" s="19"/>
      <c r="I1352" s="19"/>
      <c r="J1352" s="19"/>
      <c r="M1352" s="7"/>
    </row>
    <row r="1353" spans="2:13" x14ac:dyDescent="0.25">
      <c r="B1353"/>
      <c r="C1353"/>
      <c r="D1353"/>
      <c r="E1353"/>
      <c r="F1353"/>
      <c r="G1353"/>
      <c r="H1353" s="19"/>
      <c r="I1353" s="19"/>
      <c r="J1353" s="19"/>
      <c r="M1353" s="7"/>
    </row>
    <row r="1354" spans="2:13" x14ac:dyDescent="0.25">
      <c r="B1354"/>
      <c r="C1354"/>
      <c r="D1354"/>
      <c r="E1354"/>
      <c r="F1354"/>
      <c r="G1354"/>
      <c r="H1354" s="19"/>
      <c r="I1354" s="19"/>
      <c r="J1354" s="19"/>
      <c r="M1354" s="7"/>
    </row>
    <row r="1355" spans="2:13" x14ac:dyDescent="0.25">
      <c r="B1355"/>
      <c r="C1355"/>
      <c r="D1355"/>
      <c r="E1355"/>
      <c r="F1355"/>
      <c r="G1355"/>
      <c r="H1355" s="19"/>
      <c r="I1355" s="19"/>
      <c r="J1355" s="19"/>
      <c r="M1355" s="7"/>
    </row>
    <row r="1356" spans="2:13" x14ac:dyDescent="0.25">
      <c r="B1356"/>
      <c r="C1356"/>
      <c r="D1356"/>
      <c r="E1356"/>
      <c r="F1356"/>
      <c r="G1356"/>
      <c r="H1356" s="19"/>
      <c r="I1356" s="19"/>
      <c r="J1356" s="19"/>
      <c r="M1356" s="7"/>
    </row>
    <row r="1357" spans="2:13" x14ac:dyDescent="0.25">
      <c r="B1357"/>
      <c r="C1357"/>
      <c r="D1357"/>
      <c r="E1357"/>
      <c r="F1357"/>
      <c r="G1357"/>
      <c r="H1357" s="19"/>
      <c r="I1357" s="19"/>
      <c r="J1357" s="19"/>
      <c r="M1357" s="7"/>
    </row>
    <row r="1358" spans="2:13" x14ac:dyDescent="0.25">
      <c r="B1358"/>
      <c r="C1358"/>
      <c r="D1358"/>
      <c r="E1358"/>
      <c r="F1358"/>
      <c r="G1358"/>
      <c r="H1358" s="19"/>
      <c r="I1358" s="19"/>
      <c r="J1358" s="19"/>
      <c r="M1358" s="7"/>
    </row>
    <row r="1359" spans="2:13" x14ac:dyDescent="0.25">
      <c r="B1359"/>
      <c r="C1359"/>
      <c r="D1359"/>
      <c r="E1359"/>
      <c r="F1359"/>
      <c r="G1359"/>
      <c r="H1359" s="19"/>
      <c r="I1359" s="19"/>
      <c r="J1359" s="19"/>
      <c r="M1359" s="7"/>
    </row>
    <row r="1360" spans="2:13" x14ac:dyDescent="0.25">
      <c r="B1360"/>
      <c r="C1360"/>
      <c r="D1360"/>
      <c r="E1360"/>
      <c r="F1360"/>
      <c r="G1360"/>
      <c r="H1360" s="19"/>
      <c r="I1360" s="19"/>
      <c r="J1360" s="19"/>
      <c r="M1360" s="7"/>
    </row>
    <row r="1361" spans="2:13" x14ac:dyDescent="0.25">
      <c r="B1361"/>
      <c r="C1361"/>
      <c r="D1361"/>
      <c r="E1361"/>
      <c r="F1361"/>
      <c r="G1361"/>
      <c r="H1361" s="19"/>
      <c r="I1361" s="19"/>
      <c r="J1361" s="19"/>
      <c r="M1361" s="7"/>
    </row>
    <row r="1362" spans="2:13" x14ac:dyDescent="0.25">
      <c r="B1362"/>
      <c r="C1362"/>
      <c r="D1362"/>
      <c r="E1362"/>
      <c r="F1362"/>
      <c r="G1362"/>
      <c r="H1362" s="19"/>
      <c r="I1362" s="19"/>
      <c r="J1362" s="19"/>
      <c r="M1362" s="7"/>
    </row>
    <row r="1363" spans="2:13" x14ac:dyDescent="0.25">
      <c r="B1363"/>
      <c r="C1363"/>
      <c r="D1363"/>
      <c r="E1363"/>
      <c r="F1363"/>
      <c r="G1363"/>
      <c r="H1363" s="19"/>
      <c r="I1363" s="19"/>
      <c r="J1363" s="19"/>
      <c r="M1363" s="7"/>
    </row>
    <row r="1364" spans="2:13" x14ac:dyDescent="0.25">
      <c r="B1364"/>
      <c r="C1364"/>
      <c r="D1364"/>
      <c r="E1364"/>
      <c r="F1364"/>
      <c r="G1364"/>
      <c r="H1364" s="19"/>
      <c r="I1364" s="19"/>
      <c r="J1364" s="19"/>
      <c r="M1364" s="7"/>
    </row>
    <row r="1365" spans="2:13" x14ac:dyDescent="0.25">
      <c r="B1365"/>
      <c r="C1365"/>
      <c r="D1365"/>
      <c r="E1365"/>
      <c r="F1365"/>
      <c r="G1365"/>
      <c r="H1365" s="19"/>
      <c r="I1365" s="19"/>
      <c r="J1365" s="19"/>
      <c r="M1365" s="7"/>
    </row>
    <row r="1366" spans="2:13" x14ac:dyDescent="0.25">
      <c r="B1366"/>
      <c r="C1366"/>
      <c r="D1366"/>
      <c r="E1366"/>
      <c r="F1366"/>
      <c r="G1366"/>
      <c r="H1366" s="19"/>
      <c r="I1366" s="19"/>
      <c r="J1366" s="19"/>
      <c r="M1366" s="7"/>
    </row>
    <row r="1367" spans="2:13" x14ac:dyDescent="0.25">
      <c r="B1367"/>
      <c r="C1367"/>
      <c r="D1367"/>
      <c r="E1367"/>
      <c r="F1367"/>
      <c r="G1367"/>
      <c r="H1367" s="19"/>
      <c r="I1367" s="19"/>
      <c r="J1367" s="19"/>
      <c r="M1367" s="7"/>
    </row>
    <row r="1368" spans="2:13" x14ac:dyDescent="0.25">
      <c r="B1368"/>
      <c r="C1368"/>
      <c r="D1368"/>
      <c r="E1368"/>
      <c r="F1368"/>
      <c r="G1368"/>
      <c r="H1368" s="19"/>
      <c r="I1368" s="19"/>
      <c r="J1368" s="19"/>
      <c r="M1368" s="7"/>
    </row>
    <row r="1369" spans="2:13" x14ac:dyDescent="0.25">
      <c r="B1369"/>
      <c r="C1369"/>
      <c r="D1369"/>
      <c r="E1369"/>
      <c r="F1369"/>
      <c r="G1369"/>
      <c r="H1369" s="19"/>
      <c r="I1369" s="19"/>
      <c r="J1369" s="19"/>
      <c r="M1369" s="7"/>
    </row>
    <row r="1370" spans="2:13" x14ac:dyDescent="0.25">
      <c r="B1370"/>
      <c r="C1370"/>
      <c r="D1370"/>
      <c r="E1370"/>
      <c r="F1370"/>
      <c r="G1370"/>
      <c r="H1370" s="19"/>
      <c r="I1370" s="19"/>
      <c r="J1370" s="19"/>
      <c r="M1370" s="7"/>
    </row>
    <row r="1371" spans="2:13" x14ac:dyDescent="0.25">
      <c r="B1371"/>
      <c r="C1371"/>
      <c r="D1371"/>
      <c r="E1371"/>
      <c r="F1371"/>
      <c r="G1371"/>
      <c r="H1371" s="19"/>
      <c r="I1371" s="19"/>
      <c r="J1371" s="19"/>
      <c r="M1371" s="7"/>
    </row>
    <row r="1372" spans="2:13" x14ac:dyDescent="0.25">
      <c r="B1372"/>
      <c r="C1372"/>
      <c r="D1372"/>
      <c r="E1372"/>
      <c r="F1372"/>
      <c r="G1372"/>
      <c r="H1372" s="19"/>
      <c r="I1372" s="19"/>
      <c r="J1372" s="19"/>
      <c r="M1372" s="7"/>
    </row>
    <row r="1373" spans="2:13" x14ac:dyDescent="0.25">
      <c r="B1373"/>
      <c r="C1373"/>
      <c r="D1373"/>
      <c r="E1373"/>
      <c r="F1373"/>
      <c r="G1373"/>
      <c r="H1373" s="19"/>
      <c r="I1373" s="19"/>
      <c r="J1373" s="19"/>
      <c r="M1373" s="7"/>
    </row>
    <row r="1374" spans="2:13" x14ac:dyDescent="0.25">
      <c r="B1374"/>
      <c r="C1374"/>
      <c r="D1374"/>
      <c r="E1374"/>
      <c r="F1374"/>
      <c r="G1374"/>
      <c r="H1374" s="19"/>
      <c r="I1374" s="19"/>
      <c r="J1374" s="19"/>
      <c r="M1374" s="7"/>
    </row>
    <row r="1375" spans="2:13" x14ac:dyDescent="0.25">
      <c r="B1375"/>
      <c r="C1375"/>
      <c r="D1375"/>
      <c r="E1375"/>
      <c r="F1375"/>
      <c r="G1375"/>
      <c r="H1375" s="19"/>
      <c r="I1375" s="19"/>
      <c r="J1375" s="19"/>
      <c r="M1375" s="7"/>
    </row>
    <row r="1376" spans="2:13" x14ac:dyDescent="0.25">
      <c r="B1376"/>
      <c r="C1376"/>
      <c r="D1376"/>
      <c r="E1376"/>
      <c r="F1376"/>
      <c r="G1376"/>
      <c r="H1376" s="19"/>
      <c r="I1376" s="19"/>
      <c r="J1376" s="19"/>
      <c r="M1376" s="7"/>
    </row>
    <row r="1377" spans="2:13" x14ac:dyDescent="0.25">
      <c r="B1377"/>
      <c r="C1377"/>
      <c r="D1377"/>
      <c r="E1377"/>
      <c r="F1377"/>
      <c r="G1377"/>
      <c r="H1377" s="19"/>
      <c r="I1377" s="19"/>
      <c r="J1377" s="19"/>
      <c r="M1377" s="7"/>
    </row>
    <row r="1378" spans="2:13" x14ac:dyDescent="0.25">
      <c r="B1378"/>
      <c r="C1378"/>
      <c r="D1378"/>
      <c r="E1378"/>
      <c r="F1378"/>
      <c r="G1378"/>
      <c r="H1378" s="19"/>
      <c r="I1378" s="19"/>
      <c r="J1378" s="19"/>
      <c r="M1378" s="7"/>
    </row>
    <row r="1379" spans="2:13" x14ac:dyDescent="0.25">
      <c r="B1379"/>
      <c r="C1379"/>
      <c r="D1379"/>
      <c r="E1379"/>
      <c r="F1379"/>
      <c r="G1379"/>
      <c r="H1379" s="19"/>
      <c r="I1379" s="19"/>
      <c r="J1379" s="19"/>
      <c r="M1379" s="7"/>
    </row>
    <row r="1380" spans="2:13" x14ac:dyDescent="0.25">
      <c r="B1380"/>
      <c r="C1380"/>
      <c r="D1380"/>
      <c r="E1380"/>
      <c r="F1380"/>
      <c r="G1380"/>
      <c r="H1380" s="19"/>
      <c r="I1380" s="19"/>
      <c r="J1380" s="19"/>
      <c r="M1380" s="7"/>
    </row>
    <row r="1381" spans="2:13" x14ac:dyDescent="0.25">
      <c r="B1381"/>
      <c r="C1381"/>
      <c r="D1381"/>
      <c r="E1381"/>
      <c r="F1381"/>
      <c r="G1381"/>
      <c r="H1381" s="19"/>
      <c r="I1381" s="19"/>
      <c r="J1381" s="19"/>
      <c r="M1381" s="7"/>
    </row>
    <row r="1382" spans="2:13" x14ac:dyDescent="0.25">
      <c r="B1382"/>
      <c r="C1382"/>
      <c r="D1382"/>
      <c r="E1382"/>
      <c r="F1382"/>
      <c r="G1382"/>
      <c r="H1382" s="19"/>
      <c r="I1382" s="19"/>
      <c r="J1382" s="19"/>
      <c r="M1382" s="7"/>
    </row>
    <row r="1383" spans="2:13" x14ac:dyDescent="0.25">
      <c r="B1383"/>
      <c r="C1383"/>
      <c r="D1383"/>
      <c r="E1383"/>
      <c r="F1383"/>
      <c r="G1383"/>
      <c r="H1383" s="19"/>
      <c r="I1383" s="19"/>
      <c r="J1383" s="19"/>
      <c r="M1383" s="7"/>
    </row>
    <row r="1384" spans="2:13" x14ac:dyDescent="0.25">
      <c r="B1384"/>
      <c r="C1384"/>
      <c r="D1384"/>
      <c r="E1384"/>
      <c r="F1384"/>
      <c r="G1384"/>
      <c r="H1384" s="19"/>
      <c r="I1384" s="19"/>
      <c r="J1384" s="19"/>
      <c r="M1384" s="7"/>
    </row>
    <row r="1385" spans="2:13" x14ac:dyDescent="0.25">
      <c r="B1385"/>
      <c r="C1385"/>
      <c r="D1385"/>
      <c r="E1385"/>
      <c r="F1385"/>
      <c r="G1385"/>
      <c r="H1385" s="19"/>
      <c r="I1385" s="19"/>
      <c r="J1385" s="19"/>
      <c r="M1385" s="7"/>
    </row>
    <row r="1386" spans="2:13" x14ac:dyDescent="0.25">
      <c r="B1386"/>
      <c r="C1386"/>
      <c r="D1386"/>
      <c r="E1386"/>
      <c r="F1386"/>
      <c r="G1386"/>
      <c r="H1386" s="19"/>
      <c r="I1386" s="19"/>
      <c r="J1386" s="19"/>
      <c r="M1386" s="7"/>
    </row>
    <row r="1387" spans="2:13" x14ac:dyDescent="0.25">
      <c r="B1387"/>
      <c r="C1387"/>
      <c r="D1387"/>
      <c r="E1387"/>
      <c r="F1387"/>
      <c r="G1387"/>
      <c r="H1387" s="19"/>
      <c r="I1387" s="19"/>
      <c r="J1387" s="19"/>
      <c r="M1387" s="7"/>
    </row>
    <row r="1388" spans="2:13" x14ac:dyDescent="0.25">
      <c r="B1388"/>
      <c r="C1388"/>
      <c r="D1388"/>
      <c r="E1388"/>
      <c r="F1388"/>
      <c r="G1388"/>
      <c r="H1388" s="19"/>
      <c r="I1388" s="19"/>
      <c r="J1388" s="19"/>
      <c r="M1388" s="7"/>
    </row>
    <row r="1389" spans="2:13" x14ac:dyDescent="0.25">
      <c r="B1389"/>
      <c r="C1389"/>
      <c r="D1389"/>
      <c r="E1389"/>
      <c r="F1389"/>
      <c r="G1389"/>
      <c r="H1389" s="19"/>
      <c r="I1389" s="19"/>
      <c r="J1389" s="19"/>
      <c r="M1389" s="7"/>
    </row>
    <row r="1390" spans="2:13" x14ac:dyDescent="0.25">
      <c r="B1390"/>
      <c r="C1390"/>
      <c r="D1390"/>
      <c r="E1390"/>
      <c r="F1390"/>
      <c r="G1390"/>
      <c r="H1390" s="19"/>
      <c r="I1390" s="19"/>
      <c r="J1390" s="19"/>
      <c r="M1390" s="7"/>
    </row>
    <row r="1391" spans="2:13" x14ac:dyDescent="0.25">
      <c r="B1391"/>
      <c r="C1391"/>
      <c r="D1391"/>
      <c r="E1391"/>
      <c r="F1391"/>
      <c r="G1391"/>
      <c r="H1391" s="19"/>
      <c r="I1391" s="19"/>
      <c r="J1391" s="19"/>
      <c r="M1391" s="7"/>
    </row>
    <row r="1392" spans="2:13" x14ac:dyDescent="0.25">
      <c r="B1392"/>
      <c r="C1392"/>
      <c r="D1392"/>
      <c r="E1392"/>
      <c r="F1392"/>
      <c r="G1392"/>
      <c r="H1392" s="19"/>
      <c r="I1392" s="19"/>
      <c r="J1392" s="19"/>
      <c r="M1392" s="7"/>
    </row>
    <row r="1393" spans="2:13" x14ac:dyDescent="0.25">
      <c r="B1393"/>
      <c r="C1393"/>
      <c r="D1393"/>
      <c r="E1393"/>
      <c r="F1393"/>
      <c r="G1393"/>
      <c r="H1393" s="19"/>
      <c r="I1393" s="19"/>
      <c r="J1393" s="19"/>
      <c r="M1393" s="7"/>
    </row>
    <row r="1394" spans="2:13" x14ac:dyDescent="0.25">
      <c r="B1394"/>
      <c r="C1394"/>
      <c r="D1394"/>
      <c r="E1394"/>
      <c r="F1394"/>
      <c r="G1394"/>
      <c r="H1394" s="19"/>
      <c r="I1394" s="19"/>
      <c r="J1394" s="19"/>
      <c r="M1394" s="7"/>
    </row>
    <row r="1395" spans="2:13" x14ac:dyDescent="0.25">
      <c r="B1395"/>
      <c r="C1395"/>
      <c r="D1395"/>
      <c r="E1395"/>
      <c r="F1395"/>
      <c r="G1395"/>
      <c r="H1395" s="19"/>
      <c r="I1395" s="19"/>
      <c r="J1395" s="19"/>
      <c r="M1395" s="7"/>
    </row>
    <row r="1396" spans="2:13" x14ac:dyDescent="0.25">
      <c r="B1396"/>
      <c r="C1396"/>
      <c r="D1396"/>
      <c r="E1396"/>
      <c r="F1396"/>
      <c r="G1396"/>
      <c r="H1396" s="19"/>
      <c r="I1396" s="19"/>
      <c r="J1396" s="19"/>
      <c r="M1396" s="7"/>
    </row>
    <row r="1397" spans="2:13" x14ac:dyDescent="0.25">
      <c r="B1397"/>
      <c r="C1397"/>
      <c r="D1397"/>
      <c r="E1397"/>
      <c r="F1397"/>
      <c r="G1397"/>
      <c r="H1397" s="19"/>
      <c r="I1397" s="19"/>
      <c r="J1397" s="19"/>
      <c r="M1397" s="7"/>
    </row>
    <row r="1398" spans="2:13" x14ac:dyDescent="0.25">
      <c r="B1398"/>
      <c r="C1398"/>
      <c r="D1398"/>
      <c r="E1398"/>
      <c r="F1398"/>
      <c r="G1398"/>
      <c r="H1398" s="19"/>
      <c r="I1398" s="19"/>
      <c r="J1398" s="19"/>
      <c r="M1398" s="7"/>
    </row>
    <row r="1399" spans="2:13" x14ac:dyDescent="0.25">
      <c r="B1399"/>
      <c r="C1399"/>
      <c r="D1399"/>
      <c r="E1399"/>
      <c r="F1399"/>
      <c r="G1399"/>
      <c r="H1399" s="19"/>
      <c r="I1399" s="19"/>
      <c r="J1399" s="19"/>
      <c r="M1399" s="7"/>
    </row>
    <row r="1400" spans="2:13" x14ac:dyDescent="0.25">
      <c r="B1400"/>
      <c r="C1400"/>
      <c r="D1400"/>
      <c r="E1400"/>
      <c r="F1400"/>
      <c r="G1400"/>
      <c r="H1400" s="19"/>
      <c r="I1400" s="19"/>
      <c r="J1400" s="19"/>
      <c r="M1400" s="7"/>
    </row>
    <row r="1401" spans="2:13" x14ac:dyDescent="0.25">
      <c r="B1401"/>
      <c r="C1401"/>
      <c r="D1401"/>
      <c r="E1401"/>
      <c r="F1401"/>
      <c r="G1401"/>
      <c r="H1401" s="19"/>
      <c r="I1401" s="19"/>
      <c r="J1401" s="19"/>
      <c r="M1401" s="7"/>
    </row>
    <row r="1402" spans="2:13" x14ac:dyDescent="0.25">
      <c r="B1402"/>
      <c r="C1402"/>
      <c r="D1402"/>
      <c r="E1402"/>
      <c r="F1402"/>
      <c r="G1402"/>
      <c r="H1402" s="19"/>
      <c r="I1402" s="19"/>
      <c r="J1402" s="19"/>
      <c r="M1402" s="7"/>
    </row>
    <row r="1403" spans="2:13" x14ac:dyDescent="0.25">
      <c r="B1403"/>
      <c r="C1403"/>
      <c r="D1403"/>
      <c r="E1403"/>
      <c r="F1403"/>
      <c r="G1403"/>
      <c r="H1403" s="19"/>
      <c r="I1403" s="19"/>
      <c r="J1403" s="19"/>
      <c r="M1403" s="7"/>
    </row>
    <row r="1404" spans="2:13" x14ac:dyDescent="0.25">
      <c r="B1404"/>
      <c r="C1404"/>
      <c r="D1404"/>
      <c r="E1404"/>
      <c r="F1404"/>
      <c r="G1404"/>
      <c r="H1404" s="19"/>
      <c r="I1404" s="19"/>
      <c r="J1404" s="19"/>
      <c r="M1404" s="7"/>
    </row>
    <row r="1405" spans="2:13" x14ac:dyDescent="0.25">
      <c r="B1405"/>
      <c r="C1405"/>
      <c r="D1405"/>
      <c r="E1405"/>
      <c r="F1405"/>
      <c r="G1405"/>
      <c r="H1405" s="19"/>
      <c r="I1405" s="19"/>
      <c r="J1405" s="19"/>
      <c r="M1405" s="7"/>
    </row>
    <row r="1406" spans="2:13" x14ac:dyDescent="0.25">
      <c r="B1406"/>
      <c r="C1406"/>
      <c r="D1406"/>
      <c r="E1406"/>
      <c r="F1406"/>
      <c r="G1406"/>
      <c r="H1406" s="19"/>
      <c r="I1406" s="19"/>
      <c r="J1406" s="19"/>
      <c r="M1406" s="7"/>
    </row>
    <row r="1407" spans="2:13" x14ac:dyDescent="0.25">
      <c r="B1407"/>
      <c r="C1407"/>
      <c r="D1407"/>
      <c r="E1407"/>
      <c r="F1407"/>
      <c r="G1407"/>
      <c r="H1407" s="19"/>
      <c r="I1407" s="19"/>
      <c r="J1407" s="19"/>
      <c r="M1407" s="7"/>
    </row>
    <row r="1408" spans="2:13" x14ac:dyDescent="0.25">
      <c r="B1408"/>
      <c r="C1408"/>
      <c r="D1408"/>
      <c r="E1408"/>
      <c r="F1408"/>
      <c r="G1408"/>
      <c r="H1408" s="19"/>
      <c r="I1408" s="19"/>
      <c r="J1408" s="19"/>
      <c r="M1408" s="7"/>
    </row>
    <row r="1409" spans="2:13" x14ac:dyDescent="0.25">
      <c r="B1409"/>
      <c r="C1409"/>
      <c r="D1409"/>
      <c r="E1409"/>
      <c r="F1409"/>
      <c r="G1409"/>
      <c r="H1409" s="19"/>
      <c r="I1409" s="19"/>
      <c r="J1409" s="19"/>
      <c r="M1409" s="7"/>
    </row>
    <row r="1410" spans="2:13" x14ac:dyDescent="0.25">
      <c r="B1410"/>
      <c r="C1410"/>
      <c r="D1410"/>
      <c r="E1410"/>
      <c r="F1410"/>
      <c r="G1410"/>
      <c r="H1410" s="19"/>
      <c r="I1410" s="19"/>
      <c r="J1410" s="19"/>
      <c r="M1410" s="7"/>
    </row>
    <row r="1411" spans="2:13" x14ac:dyDescent="0.25">
      <c r="B1411"/>
      <c r="C1411"/>
      <c r="D1411"/>
      <c r="E1411"/>
      <c r="F1411"/>
      <c r="G1411"/>
      <c r="H1411" s="19"/>
      <c r="I1411" s="19"/>
      <c r="J1411" s="19"/>
      <c r="M1411" s="7"/>
    </row>
    <row r="1412" spans="2:13" x14ac:dyDescent="0.25">
      <c r="B1412"/>
      <c r="C1412"/>
      <c r="D1412"/>
      <c r="E1412"/>
      <c r="F1412"/>
      <c r="G1412"/>
      <c r="H1412" s="19"/>
      <c r="I1412" s="19"/>
      <c r="J1412" s="19"/>
      <c r="M1412" s="7"/>
    </row>
    <row r="1413" spans="2:13" x14ac:dyDescent="0.25">
      <c r="B1413"/>
      <c r="C1413"/>
      <c r="D1413"/>
      <c r="E1413"/>
      <c r="F1413"/>
      <c r="G1413"/>
      <c r="H1413" s="19"/>
      <c r="I1413" s="19"/>
      <c r="J1413" s="19"/>
      <c r="M1413" s="7"/>
    </row>
    <row r="1414" spans="2:13" x14ac:dyDescent="0.25">
      <c r="B1414"/>
      <c r="C1414"/>
      <c r="D1414"/>
      <c r="E1414"/>
      <c r="F1414"/>
      <c r="G1414"/>
      <c r="H1414" s="19"/>
      <c r="I1414" s="19"/>
      <c r="J1414" s="19"/>
      <c r="M1414" s="7"/>
    </row>
    <row r="1415" spans="2:13" x14ac:dyDescent="0.25">
      <c r="B1415"/>
      <c r="C1415"/>
      <c r="D1415"/>
      <c r="E1415"/>
      <c r="F1415"/>
      <c r="G1415"/>
      <c r="H1415" s="19"/>
      <c r="I1415" s="19"/>
      <c r="J1415" s="19"/>
      <c r="M1415" s="7"/>
    </row>
    <row r="1416" spans="2:13" x14ac:dyDescent="0.25">
      <c r="B1416"/>
      <c r="C1416"/>
      <c r="D1416"/>
      <c r="E1416"/>
      <c r="F1416"/>
      <c r="G1416"/>
      <c r="H1416" s="19"/>
      <c r="I1416" s="19"/>
      <c r="J1416" s="19"/>
      <c r="M1416" s="7"/>
    </row>
    <row r="1417" spans="2:13" x14ac:dyDescent="0.25">
      <c r="B1417"/>
      <c r="C1417"/>
      <c r="D1417"/>
      <c r="E1417"/>
      <c r="F1417"/>
      <c r="G1417"/>
      <c r="H1417" s="19"/>
      <c r="I1417" s="19"/>
      <c r="J1417" s="19"/>
      <c r="M1417" s="7"/>
    </row>
    <row r="1418" spans="2:13" x14ac:dyDescent="0.25">
      <c r="B1418"/>
      <c r="C1418"/>
      <c r="D1418"/>
      <c r="E1418"/>
      <c r="F1418"/>
      <c r="G1418"/>
      <c r="H1418" s="19"/>
      <c r="I1418" s="19"/>
      <c r="J1418" s="19"/>
      <c r="M1418" s="7"/>
    </row>
    <row r="1419" spans="2:13" x14ac:dyDescent="0.25">
      <c r="B1419"/>
      <c r="C1419"/>
      <c r="D1419"/>
      <c r="E1419"/>
      <c r="F1419"/>
      <c r="G1419"/>
      <c r="H1419" s="19"/>
      <c r="I1419" s="19"/>
      <c r="J1419" s="19"/>
      <c r="M1419" s="7"/>
    </row>
    <row r="1420" spans="2:13" x14ac:dyDescent="0.25">
      <c r="B1420"/>
      <c r="C1420"/>
      <c r="D1420"/>
      <c r="E1420"/>
      <c r="F1420"/>
      <c r="G1420"/>
      <c r="H1420" s="19"/>
      <c r="I1420" s="19"/>
      <c r="J1420" s="19"/>
      <c r="M1420" s="7"/>
    </row>
    <row r="1421" spans="2:13" x14ac:dyDescent="0.25">
      <c r="B1421"/>
      <c r="C1421"/>
      <c r="D1421"/>
      <c r="E1421"/>
      <c r="F1421"/>
      <c r="G1421"/>
      <c r="H1421" s="19"/>
      <c r="I1421" s="19"/>
      <c r="J1421" s="19"/>
      <c r="M1421" s="7"/>
    </row>
    <row r="1422" spans="2:13" x14ac:dyDescent="0.25">
      <c r="B1422"/>
      <c r="C1422"/>
      <c r="D1422"/>
      <c r="E1422"/>
      <c r="F1422"/>
      <c r="G1422"/>
      <c r="H1422" s="19"/>
      <c r="I1422" s="19"/>
      <c r="J1422" s="19"/>
      <c r="M1422" s="7"/>
    </row>
    <row r="1423" spans="2:13" x14ac:dyDescent="0.25">
      <c r="B1423"/>
      <c r="C1423"/>
      <c r="D1423"/>
      <c r="E1423"/>
      <c r="F1423"/>
      <c r="G1423"/>
      <c r="H1423" s="19"/>
      <c r="I1423" s="19"/>
      <c r="J1423" s="19"/>
      <c r="M1423" s="7"/>
    </row>
    <row r="1424" spans="2:13" x14ac:dyDescent="0.25">
      <c r="B1424"/>
      <c r="C1424"/>
      <c r="D1424"/>
      <c r="E1424"/>
      <c r="F1424"/>
      <c r="G1424"/>
      <c r="H1424" s="19"/>
      <c r="I1424" s="19"/>
      <c r="J1424" s="19"/>
      <c r="M1424" s="7"/>
    </row>
    <row r="1425" spans="2:13" x14ac:dyDescent="0.25">
      <c r="B1425"/>
      <c r="C1425"/>
      <c r="D1425"/>
      <c r="E1425"/>
      <c r="F1425"/>
      <c r="G1425"/>
      <c r="H1425" s="19"/>
      <c r="I1425" s="19"/>
      <c r="J1425" s="19"/>
      <c r="M1425" s="7"/>
    </row>
    <row r="1426" spans="2:13" x14ac:dyDescent="0.25">
      <c r="B1426"/>
      <c r="C1426"/>
      <c r="D1426"/>
      <c r="E1426"/>
      <c r="F1426"/>
      <c r="G1426"/>
      <c r="H1426" s="19"/>
      <c r="I1426" s="19"/>
      <c r="J1426" s="19"/>
      <c r="M1426" s="7"/>
    </row>
    <row r="1427" spans="2:13" x14ac:dyDescent="0.25">
      <c r="B1427"/>
      <c r="C1427"/>
      <c r="D1427"/>
      <c r="E1427"/>
      <c r="F1427"/>
      <c r="G1427"/>
      <c r="H1427" s="19"/>
      <c r="I1427" s="19"/>
      <c r="J1427" s="19"/>
      <c r="M1427" s="7"/>
    </row>
    <row r="1428" spans="2:13" x14ac:dyDescent="0.25">
      <c r="B1428"/>
      <c r="C1428"/>
      <c r="D1428"/>
      <c r="E1428"/>
      <c r="F1428"/>
      <c r="G1428"/>
      <c r="H1428" s="19"/>
      <c r="I1428" s="19"/>
      <c r="J1428" s="19"/>
      <c r="M1428" s="7"/>
    </row>
    <row r="1429" spans="2:13" x14ac:dyDescent="0.25">
      <c r="B1429"/>
      <c r="C1429"/>
      <c r="D1429"/>
      <c r="E1429"/>
      <c r="F1429"/>
      <c r="G1429"/>
      <c r="H1429" s="19"/>
      <c r="I1429" s="19"/>
      <c r="J1429" s="19"/>
      <c r="M1429" s="7"/>
    </row>
    <row r="1430" spans="2:13" x14ac:dyDescent="0.25">
      <c r="B1430"/>
      <c r="C1430"/>
      <c r="D1430"/>
      <c r="E1430"/>
      <c r="F1430"/>
      <c r="G1430"/>
      <c r="H1430" s="19"/>
      <c r="I1430" s="19"/>
      <c r="J1430" s="19"/>
      <c r="M1430" s="7"/>
    </row>
    <row r="1431" spans="2:13" x14ac:dyDescent="0.25">
      <c r="B1431"/>
      <c r="C1431"/>
      <c r="D1431"/>
      <c r="E1431"/>
      <c r="F1431"/>
      <c r="G1431"/>
      <c r="H1431" s="19"/>
      <c r="I1431" s="19"/>
      <c r="J1431" s="19"/>
      <c r="M1431" s="7"/>
    </row>
    <row r="1432" spans="2:13" x14ac:dyDescent="0.25">
      <c r="B1432"/>
      <c r="C1432"/>
      <c r="D1432"/>
      <c r="E1432"/>
      <c r="F1432"/>
      <c r="G1432"/>
      <c r="H1432" s="19"/>
      <c r="I1432" s="19"/>
      <c r="J1432" s="19"/>
      <c r="M1432" s="7"/>
    </row>
    <row r="1433" spans="2:13" x14ac:dyDescent="0.25">
      <c r="B1433"/>
      <c r="C1433"/>
      <c r="D1433"/>
      <c r="E1433"/>
      <c r="F1433"/>
      <c r="G1433"/>
      <c r="H1433" s="19"/>
      <c r="I1433" s="19"/>
      <c r="J1433" s="19"/>
      <c r="M1433" s="7"/>
    </row>
    <row r="1434" spans="2:13" x14ac:dyDescent="0.25">
      <c r="B1434"/>
      <c r="C1434"/>
      <c r="D1434"/>
      <c r="E1434"/>
      <c r="F1434"/>
      <c r="G1434"/>
      <c r="H1434" s="19"/>
      <c r="I1434" s="19"/>
      <c r="J1434" s="19"/>
      <c r="M1434" s="7"/>
    </row>
    <row r="1435" spans="2:13" x14ac:dyDescent="0.25">
      <c r="B1435"/>
      <c r="C1435"/>
      <c r="D1435"/>
      <c r="E1435"/>
      <c r="F1435"/>
      <c r="G1435"/>
      <c r="H1435" s="19"/>
      <c r="I1435" s="19"/>
      <c r="J1435" s="19"/>
      <c r="M1435" s="7"/>
    </row>
    <row r="1436" spans="2:13" x14ac:dyDescent="0.25">
      <c r="B1436"/>
      <c r="C1436"/>
      <c r="D1436"/>
      <c r="E1436"/>
      <c r="F1436"/>
      <c r="G1436"/>
      <c r="H1436" s="19"/>
      <c r="I1436" s="19"/>
      <c r="J1436" s="19"/>
      <c r="M1436" s="7"/>
    </row>
    <row r="1437" spans="2:13" x14ac:dyDescent="0.25">
      <c r="B1437"/>
      <c r="C1437"/>
      <c r="D1437"/>
      <c r="E1437"/>
      <c r="F1437"/>
      <c r="G1437"/>
      <c r="H1437" s="19"/>
      <c r="I1437" s="19"/>
      <c r="J1437" s="19"/>
      <c r="M1437" s="7"/>
    </row>
    <row r="1438" spans="2:13" x14ac:dyDescent="0.25">
      <c r="B1438"/>
      <c r="C1438"/>
      <c r="D1438"/>
      <c r="E1438"/>
      <c r="F1438"/>
      <c r="G1438"/>
      <c r="H1438" s="19"/>
      <c r="I1438" s="19"/>
      <c r="J1438" s="19"/>
      <c r="M1438" s="7"/>
    </row>
    <row r="1439" spans="2:13" x14ac:dyDescent="0.25">
      <c r="B1439"/>
      <c r="C1439"/>
      <c r="D1439"/>
      <c r="E1439"/>
      <c r="F1439"/>
      <c r="G1439"/>
      <c r="H1439" s="19"/>
      <c r="I1439" s="19"/>
      <c r="J1439" s="19"/>
      <c r="M1439" s="7"/>
    </row>
    <row r="1440" spans="2:13" x14ac:dyDescent="0.25">
      <c r="B1440"/>
      <c r="C1440"/>
      <c r="D1440"/>
      <c r="E1440"/>
      <c r="F1440"/>
      <c r="G1440"/>
      <c r="H1440" s="19"/>
      <c r="I1440" s="19"/>
      <c r="J1440" s="19"/>
      <c r="M1440" s="7"/>
    </row>
    <row r="1441" spans="2:13" x14ac:dyDescent="0.25">
      <c r="B1441"/>
      <c r="C1441"/>
      <c r="D1441"/>
      <c r="E1441"/>
      <c r="F1441"/>
      <c r="G1441"/>
      <c r="H1441" s="19"/>
      <c r="I1441" s="19"/>
      <c r="J1441" s="19"/>
      <c r="M1441" s="7"/>
    </row>
    <row r="1442" spans="2:13" x14ac:dyDescent="0.25">
      <c r="B1442"/>
      <c r="C1442"/>
      <c r="D1442"/>
      <c r="E1442"/>
      <c r="F1442"/>
      <c r="G1442"/>
      <c r="H1442" s="19"/>
      <c r="I1442" s="19"/>
      <c r="J1442" s="19"/>
      <c r="M1442" s="7"/>
    </row>
    <row r="1443" spans="2:13" x14ac:dyDescent="0.25">
      <c r="B1443"/>
      <c r="C1443"/>
      <c r="D1443"/>
      <c r="E1443"/>
      <c r="F1443"/>
      <c r="G1443"/>
      <c r="H1443" s="19"/>
      <c r="I1443" s="19"/>
      <c r="J1443" s="19"/>
      <c r="M1443" s="7"/>
    </row>
    <row r="1444" spans="2:13" x14ac:dyDescent="0.25">
      <c r="B1444"/>
      <c r="C1444"/>
      <c r="D1444"/>
      <c r="E1444"/>
      <c r="F1444"/>
      <c r="G1444"/>
      <c r="H1444" s="19"/>
      <c r="I1444" s="19"/>
      <c r="J1444" s="19"/>
      <c r="M1444" s="7"/>
    </row>
    <row r="1445" spans="2:13" x14ac:dyDescent="0.25">
      <c r="B1445"/>
      <c r="C1445"/>
      <c r="D1445"/>
      <c r="E1445"/>
      <c r="F1445"/>
      <c r="G1445"/>
      <c r="H1445" s="19"/>
      <c r="I1445" s="19"/>
      <c r="J1445" s="19"/>
      <c r="M1445" s="7"/>
    </row>
    <row r="1446" spans="2:13" x14ac:dyDescent="0.25">
      <c r="B1446"/>
      <c r="C1446"/>
      <c r="D1446"/>
      <c r="E1446"/>
      <c r="F1446"/>
      <c r="G1446"/>
      <c r="H1446" s="19"/>
      <c r="I1446" s="19"/>
      <c r="J1446" s="19"/>
      <c r="M1446" s="7"/>
    </row>
    <row r="1447" spans="2:13" x14ac:dyDescent="0.25">
      <c r="B1447"/>
      <c r="C1447"/>
      <c r="D1447"/>
      <c r="E1447"/>
      <c r="F1447"/>
      <c r="G1447"/>
      <c r="H1447" s="19"/>
      <c r="I1447" s="19"/>
      <c r="J1447" s="19"/>
      <c r="M1447" s="7"/>
    </row>
    <row r="1448" spans="2:13" x14ac:dyDescent="0.25">
      <c r="B1448"/>
      <c r="C1448"/>
      <c r="D1448"/>
      <c r="E1448"/>
      <c r="F1448"/>
      <c r="G1448"/>
      <c r="H1448" s="19"/>
      <c r="I1448" s="19"/>
      <c r="J1448" s="19"/>
      <c r="M1448" s="7"/>
    </row>
    <row r="1449" spans="2:13" x14ac:dyDescent="0.25">
      <c r="B1449"/>
      <c r="C1449"/>
      <c r="D1449"/>
      <c r="E1449"/>
      <c r="F1449"/>
      <c r="G1449"/>
      <c r="H1449" s="19"/>
      <c r="I1449" s="19"/>
      <c r="J1449" s="19"/>
      <c r="M1449" s="7"/>
    </row>
    <row r="1450" spans="2:13" x14ac:dyDescent="0.25">
      <c r="B1450"/>
      <c r="C1450"/>
      <c r="D1450"/>
      <c r="E1450"/>
      <c r="F1450"/>
      <c r="G1450"/>
      <c r="H1450" s="19"/>
      <c r="I1450" s="19"/>
      <c r="J1450" s="19"/>
      <c r="M1450" s="7"/>
    </row>
    <row r="1451" spans="2:13" x14ac:dyDescent="0.25">
      <c r="B1451"/>
      <c r="C1451"/>
      <c r="D1451"/>
      <c r="E1451"/>
      <c r="F1451"/>
      <c r="G1451"/>
      <c r="H1451" s="19"/>
      <c r="I1451" s="19"/>
      <c r="J1451" s="19"/>
      <c r="M1451" s="7"/>
    </row>
    <row r="1452" spans="2:13" x14ac:dyDescent="0.25">
      <c r="B1452"/>
      <c r="C1452"/>
      <c r="D1452"/>
      <c r="E1452"/>
      <c r="F1452"/>
      <c r="G1452"/>
      <c r="H1452" s="19"/>
      <c r="I1452" s="19"/>
      <c r="J1452" s="19"/>
      <c r="M1452" s="7"/>
    </row>
    <row r="1453" spans="2:13" x14ac:dyDescent="0.25">
      <c r="B1453"/>
      <c r="C1453"/>
      <c r="D1453"/>
      <c r="E1453"/>
      <c r="F1453"/>
      <c r="G1453"/>
      <c r="H1453" s="19"/>
      <c r="I1453" s="19"/>
      <c r="J1453" s="19"/>
      <c r="M1453" s="7"/>
    </row>
    <row r="1454" spans="2:13" x14ac:dyDescent="0.25">
      <c r="B1454"/>
      <c r="C1454"/>
      <c r="D1454"/>
      <c r="E1454"/>
      <c r="F1454"/>
      <c r="G1454"/>
      <c r="H1454" s="19"/>
      <c r="I1454" s="19"/>
      <c r="J1454" s="19"/>
      <c r="M1454" s="7"/>
    </row>
    <row r="1455" spans="2:13" x14ac:dyDescent="0.25">
      <c r="B1455"/>
      <c r="C1455"/>
      <c r="D1455"/>
      <c r="E1455"/>
      <c r="F1455"/>
      <c r="G1455"/>
      <c r="H1455" s="19"/>
      <c r="I1455" s="19"/>
      <c r="J1455" s="19"/>
      <c r="M1455" s="7"/>
    </row>
    <row r="1456" spans="2:13" x14ac:dyDescent="0.25">
      <c r="B1456"/>
      <c r="C1456"/>
      <c r="D1456"/>
      <c r="E1456"/>
      <c r="F1456"/>
      <c r="G1456"/>
      <c r="H1456" s="19"/>
      <c r="I1456" s="19"/>
      <c r="J1456" s="19"/>
      <c r="M1456" s="7"/>
    </row>
    <row r="1457" spans="2:13" x14ac:dyDescent="0.25">
      <c r="B1457"/>
      <c r="C1457"/>
      <c r="D1457"/>
      <c r="E1457"/>
      <c r="F1457"/>
      <c r="G1457"/>
      <c r="H1457" s="19"/>
      <c r="I1457" s="19"/>
      <c r="J1457" s="19"/>
      <c r="M1457" s="7"/>
    </row>
    <row r="1458" spans="2:13" x14ac:dyDescent="0.25">
      <c r="B1458"/>
      <c r="C1458"/>
      <c r="D1458"/>
      <c r="E1458"/>
      <c r="F1458"/>
      <c r="G1458"/>
      <c r="H1458" s="19"/>
      <c r="I1458" s="19"/>
      <c r="J1458" s="19"/>
      <c r="M1458" s="7"/>
    </row>
    <row r="1459" spans="2:13" x14ac:dyDescent="0.25">
      <c r="B1459"/>
      <c r="C1459"/>
      <c r="D1459"/>
      <c r="E1459"/>
      <c r="F1459"/>
      <c r="G1459"/>
      <c r="H1459" s="19"/>
      <c r="I1459" s="19"/>
      <c r="J1459" s="19"/>
      <c r="M1459" s="7"/>
    </row>
    <row r="1460" spans="2:13" x14ac:dyDescent="0.25">
      <c r="B1460"/>
      <c r="C1460"/>
      <c r="D1460"/>
      <c r="E1460"/>
      <c r="F1460"/>
      <c r="G1460"/>
      <c r="H1460" s="19"/>
      <c r="I1460" s="19"/>
      <c r="J1460" s="19"/>
      <c r="M1460" s="7"/>
    </row>
    <row r="1461" spans="2:13" x14ac:dyDescent="0.25">
      <c r="B1461"/>
      <c r="C1461"/>
      <c r="D1461"/>
      <c r="E1461"/>
      <c r="F1461"/>
      <c r="G1461"/>
      <c r="H1461" s="19"/>
      <c r="I1461" s="19"/>
      <c r="J1461" s="19"/>
      <c r="M1461" s="7"/>
    </row>
    <row r="1462" spans="2:13" x14ac:dyDescent="0.25">
      <c r="B1462"/>
      <c r="C1462"/>
      <c r="D1462"/>
      <c r="E1462"/>
      <c r="F1462"/>
      <c r="G1462"/>
      <c r="H1462" s="19"/>
      <c r="I1462" s="19"/>
      <c r="J1462" s="19"/>
      <c r="M1462" s="7"/>
    </row>
    <row r="1463" spans="2:13" x14ac:dyDescent="0.25">
      <c r="B1463"/>
      <c r="C1463"/>
      <c r="D1463"/>
      <c r="E1463"/>
      <c r="F1463"/>
      <c r="G1463"/>
      <c r="H1463" s="19"/>
      <c r="I1463" s="19"/>
      <c r="J1463" s="19"/>
      <c r="M1463" s="7"/>
    </row>
    <row r="1464" spans="2:13" x14ac:dyDescent="0.25">
      <c r="B1464"/>
      <c r="C1464"/>
      <c r="D1464"/>
      <c r="E1464"/>
      <c r="F1464"/>
      <c r="G1464"/>
      <c r="H1464" s="19"/>
      <c r="I1464" s="19"/>
      <c r="J1464" s="19"/>
      <c r="M1464" s="7"/>
    </row>
    <row r="1465" spans="2:13" x14ac:dyDescent="0.25">
      <c r="B1465"/>
      <c r="C1465"/>
      <c r="D1465"/>
      <c r="E1465"/>
      <c r="F1465"/>
      <c r="G1465"/>
      <c r="H1465" s="19"/>
      <c r="I1465" s="19"/>
      <c r="J1465" s="19"/>
      <c r="M1465" s="7"/>
    </row>
    <row r="1466" spans="2:13" x14ac:dyDescent="0.25">
      <c r="B1466"/>
      <c r="C1466"/>
      <c r="D1466"/>
      <c r="E1466"/>
      <c r="F1466"/>
      <c r="G1466"/>
      <c r="H1466" s="19"/>
      <c r="I1466" s="19"/>
      <c r="J1466" s="19"/>
      <c r="M1466" s="7"/>
    </row>
    <row r="1467" spans="2:13" x14ac:dyDescent="0.25">
      <c r="B1467"/>
      <c r="C1467"/>
      <c r="D1467"/>
      <c r="E1467"/>
      <c r="F1467"/>
      <c r="G1467"/>
      <c r="H1467" s="19"/>
      <c r="I1467" s="19"/>
      <c r="J1467" s="19"/>
      <c r="M1467" s="7"/>
    </row>
    <row r="1468" spans="2:13" x14ac:dyDescent="0.25">
      <c r="B1468"/>
      <c r="C1468"/>
      <c r="D1468"/>
      <c r="E1468"/>
      <c r="F1468"/>
      <c r="G1468"/>
      <c r="H1468" s="19"/>
      <c r="I1468" s="19"/>
      <c r="J1468" s="19"/>
      <c r="M1468" s="7"/>
    </row>
    <row r="1469" spans="2:13" x14ac:dyDescent="0.25">
      <c r="B1469"/>
      <c r="C1469"/>
      <c r="D1469"/>
      <c r="E1469"/>
      <c r="F1469"/>
      <c r="G1469"/>
      <c r="H1469" s="19"/>
      <c r="I1469" s="19"/>
      <c r="J1469" s="19"/>
      <c r="M1469" s="7"/>
    </row>
    <row r="1470" spans="2:13" x14ac:dyDescent="0.25">
      <c r="B1470"/>
      <c r="C1470"/>
      <c r="D1470"/>
      <c r="E1470"/>
      <c r="F1470"/>
      <c r="G1470"/>
      <c r="H1470" s="19"/>
      <c r="I1470" s="19"/>
      <c r="J1470" s="19"/>
      <c r="M1470" s="7"/>
    </row>
    <row r="1471" spans="2:13" x14ac:dyDescent="0.25">
      <c r="B1471"/>
      <c r="C1471"/>
      <c r="D1471"/>
      <c r="E1471"/>
      <c r="F1471"/>
      <c r="G1471"/>
      <c r="H1471" s="19"/>
      <c r="I1471" s="19"/>
      <c r="J1471" s="19"/>
      <c r="M1471" s="7"/>
    </row>
    <row r="1472" spans="2:13" x14ac:dyDescent="0.25">
      <c r="B1472"/>
      <c r="C1472"/>
      <c r="D1472"/>
      <c r="E1472"/>
      <c r="F1472"/>
      <c r="G1472"/>
      <c r="H1472" s="19"/>
      <c r="I1472" s="19"/>
      <c r="J1472" s="19"/>
      <c r="M1472" s="7"/>
    </row>
    <row r="1473" spans="2:13" x14ac:dyDescent="0.25">
      <c r="B1473"/>
      <c r="C1473"/>
      <c r="D1473"/>
      <c r="E1473"/>
      <c r="F1473"/>
      <c r="G1473"/>
      <c r="H1473" s="19"/>
      <c r="I1473" s="19"/>
      <c r="J1473" s="19"/>
      <c r="M1473" s="7"/>
    </row>
    <row r="1474" spans="2:13" x14ac:dyDescent="0.25">
      <c r="B1474"/>
      <c r="C1474"/>
      <c r="D1474"/>
      <c r="E1474"/>
      <c r="F1474"/>
      <c r="G1474"/>
      <c r="H1474" s="19"/>
      <c r="I1474" s="19"/>
      <c r="J1474" s="19"/>
      <c r="M1474" s="7"/>
    </row>
    <row r="1475" spans="2:13" x14ac:dyDescent="0.25">
      <c r="B1475"/>
      <c r="C1475"/>
      <c r="D1475"/>
      <c r="E1475"/>
      <c r="F1475"/>
      <c r="G1475"/>
      <c r="H1475" s="19"/>
      <c r="I1475" s="19"/>
      <c r="J1475" s="19"/>
      <c r="M1475" s="7"/>
    </row>
    <row r="1476" spans="2:13" x14ac:dyDescent="0.25">
      <c r="B1476"/>
      <c r="C1476"/>
      <c r="D1476"/>
      <c r="E1476"/>
      <c r="F1476"/>
      <c r="G1476"/>
      <c r="H1476" s="19"/>
      <c r="I1476" s="19"/>
      <c r="J1476" s="19"/>
      <c r="M1476" s="7"/>
    </row>
    <row r="1477" spans="2:13" x14ac:dyDescent="0.25">
      <c r="B1477"/>
      <c r="C1477"/>
      <c r="D1477"/>
      <c r="E1477"/>
      <c r="F1477"/>
      <c r="G1477"/>
      <c r="H1477" s="19"/>
      <c r="I1477" s="19"/>
      <c r="J1477" s="19"/>
      <c r="M1477" s="7"/>
    </row>
    <row r="1478" spans="2:13" x14ac:dyDescent="0.25">
      <c r="B1478"/>
      <c r="C1478"/>
      <c r="D1478"/>
      <c r="E1478"/>
      <c r="F1478"/>
      <c r="G1478"/>
      <c r="H1478" s="19"/>
      <c r="I1478" s="19"/>
      <c r="J1478" s="19"/>
      <c r="M1478" s="7"/>
    </row>
    <row r="1479" spans="2:13" x14ac:dyDescent="0.25">
      <c r="B1479"/>
      <c r="C1479"/>
      <c r="D1479"/>
      <c r="E1479"/>
      <c r="F1479"/>
      <c r="G1479"/>
      <c r="H1479" s="19"/>
      <c r="I1479" s="19"/>
      <c r="J1479" s="19"/>
      <c r="M1479" s="7"/>
    </row>
    <row r="1480" spans="2:13" x14ac:dyDescent="0.25">
      <c r="B1480"/>
      <c r="C1480"/>
      <c r="D1480"/>
      <c r="E1480"/>
      <c r="F1480"/>
      <c r="G1480"/>
      <c r="H1480" s="19"/>
      <c r="I1480" s="19"/>
      <c r="J1480" s="19"/>
      <c r="M1480" s="7"/>
    </row>
    <row r="1481" spans="2:13" x14ac:dyDescent="0.25">
      <c r="B1481"/>
      <c r="C1481"/>
      <c r="D1481"/>
      <c r="E1481"/>
      <c r="F1481"/>
      <c r="G1481"/>
      <c r="H1481" s="19"/>
      <c r="I1481" s="19"/>
      <c r="J1481" s="19"/>
      <c r="M1481" s="7"/>
    </row>
    <row r="1482" spans="2:13" x14ac:dyDescent="0.25">
      <c r="B1482"/>
      <c r="C1482"/>
      <c r="D1482"/>
      <c r="E1482"/>
      <c r="F1482"/>
      <c r="G1482"/>
      <c r="H1482" s="19"/>
      <c r="I1482" s="19"/>
      <c r="J1482" s="19"/>
      <c r="M1482" s="7"/>
    </row>
    <row r="1483" spans="2:13" x14ac:dyDescent="0.25">
      <c r="B1483"/>
      <c r="C1483"/>
      <c r="D1483"/>
      <c r="E1483"/>
      <c r="F1483"/>
      <c r="G1483"/>
      <c r="H1483" s="19"/>
      <c r="I1483" s="19"/>
      <c r="J1483" s="19"/>
      <c r="M1483" s="7"/>
    </row>
    <row r="1484" spans="2:13" x14ac:dyDescent="0.25">
      <c r="B1484"/>
      <c r="C1484"/>
      <c r="D1484"/>
      <c r="E1484"/>
      <c r="F1484"/>
      <c r="G1484"/>
      <c r="H1484" s="19"/>
      <c r="I1484" s="19"/>
      <c r="J1484" s="19"/>
      <c r="M1484" s="7"/>
    </row>
    <row r="1485" spans="2:13" x14ac:dyDescent="0.25">
      <c r="B1485"/>
      <c r="C1485"/>
      <c r="D1485"/>
      <c r="E1485"/>
      <c r="F1485"/>
      <c r="G1485"/>
      <c r="H1485" s="19"/>
      <c r="I1485" s="19"/>
      <c r="J1485" s="19"/>
      <c r="M1485" s="7"/>
    </row>
    <row r="1486" spans="2:13" x14ac:dyDescent="0.25">
      <c r="B1486"/>
      <c r="C1486"/>
      <c r="D1486"/>
      <c r="E1486"/>
      <c r="F1486"/>
      <c r="G1486"/>
      <c r="H1486" s="19"/>
      <c r="I1486" s="19"/>
      <c r="J1486" s="19"/>
      <c r="M1486" s="7"/>
    </row>
    <row r="1487" spans="2:13" x14ac:dyDescent="0.25">
      <c r="B1487"/>
      <c r="C1487"/>
      <c r="D1487"/>
      <c r="E1487"/>
      <c r="F1487"/>
      <c r="G1487"/>
      <c r="H1487" s="19"/>
      <c r="I1487" s="19"/>
      <c r="J1487" s="19"/>
      <c r="M1487" s="7"/>
    </row>
    <row r="1488" spans="2:13" x14ac:dyDescent="0.25">
      <c r="B1488"/>
      <c r="C1488"/>
      <c r="D1488"/>
      <c r="E1488"/>
      <c r="F1488"/>
      <c r="G1488"/>
      <c r="H1488" s="19"/>
      <c r="I1488" s="19"/>
      <c r="J1488" s="19"/>
      <c r="M1488" s="7"/>
    </row>
    <row r="1489" spans="2:13" x14ac:dyDescent="0.25">
      <c r="B1489"/>
      <c r="C1489"/>
      <c r="D1489"/>
      <c r="E1489"/>
      <c r="F1489"/>
      <c r="G1489"/>
      <c r="H1489" s="19"/>
      <c r="I1489" s="19"/>
      <c r="J1489" s="19"/>
      <c r="M1489" s="7"/>
    </row>
    <row r="1490" spans="2:13" x14ac:dyDescent="0.25">
      <c r="B1490"/>
      <c r="C1490"/>
      <c r="D1490"/>
      <c r="E1490"/>
      <c r="F1490"/>
      <c r="G1490"/>
      <c r="H1490" s="19"/>
      <c r="I1490" s="19"/>
      <c r="J1490" s="19"/>
      <c r="M1490" s="7"/>
    </row>
    <row r="1491" spans="2:13" x14ac:dyDescent="0.25">
      <c r="B1491"/>
      <c r="C1491"/>
      <c r="D1491"/>
      <c r="E1491"/>
      <c r="F1491"/>
      <c r="G1491"/>
      <c r="H1491" s="19"/>
      <c r="I1491" s="19"/>
      <c r="J1491" s="19"/>
      <c r="M1491" s="7"/>
    </row>
    <row r="1492" spans="2:13" x14ac:dyDescent="0.25">
      <c r="B1492"/>
      <c r="C1492"/>
      <c r="D1492"/>
      <c r="E1492"/>
      <c r="F1492"/>
      <c r="G1492"/>
      <c r="H1492" s="19"/>
      <c r="I1492" s="19"/>
      <c r="J1492" s="19"/>
      <c r="M1492" s="7"/>
    </row>
    <row r="1493" spans="2:13" x14ac:dyDescent="0.25">
      <c r="B1493"/>
      <c r="C1493"/>
      <c r="D1493"/>
      <c r="E1493"/>
      <c r="F1493"/>
      <c r="G1493"/>
      <c r="H1493" s="19"/>
      <c r="I1493" s="19"/>
      <c r="J1493" s="19"/>
      <c r="M1493" s="7"/>
    </row>
    <row r="1494" spans="2:13" x14ac:dyDescent="0.25">
      <c r="B1494"/>
      <c r="C1494"/>
      <c r="D1494"/>
      <c r="E1494"/>
      <c r="F1494"/>
      <c r="G1494"/>
      <c r="H1494" s="19"/>
      <c r="I1494" s="19"/>
      <c r="J1494" s="19"/>
      <c r="M1494" s="7"/>
    </row>
    <row r="1495" spans="2:13" x14ac:dyDescent="0.25">
      <c r="B1495"/>
      <c r="C1495"/>
      <c r="D1495"/>
      <c r="E1495"/>
      <c r="F1495"/>
      <c r="G1495"/>
      <c r="H1495" s="19"/>
      <c r="I1495" s="19"/>
      <c r="J1495" s="19"/>
      <c r="M1495" s="7"/>
    </row>
    <row r="1496" spans="2:13" x14ac:dyDescent="0.25">
      <c r="B1496"/>
      <c r="C1496"/>
      <c r="D1496"/>
      <c r="E1496"/>
      <c r="F1496"/>
      <c r="G1496"/>
      <c r="H1496" s="19"/>
      <c r="I1496" s="19"/>
      <c r="J1496" s="19"/>
      <c r="M1496" s="7"/>
    </row>
    <row r="1497" spans="2:13" x14ac:dyDescent="0.25">
      <c r="B1497"/>
      <c r="C1497"/>
      <c r="D1497"/>
      <c r="E1497"/>
      <c r="F1497"/>
      <c r="G1497"/>
      <c r="H1497" s="19"/>
      <c r="I1497" s="19"/>
      <c r="J1497" s="19"/>
      <c r="M1497" s="7"/>
    </row>
    <row r="1498" spans="2:13" x14ac:dyDescent="0.25">
      <c r="B1498"/>
      <c r="C1498"/>
      <c r="D1498"/>
      <c r="E1498"/>
      <c r="F1498"/>
      <c r="G1498"/>
      <c r="H1498" s="19"/>
      <c r="I1498" s="19"/>
      <c r="J1498" s="19"/>
      <c r="M1498" s="7"/>
    </row>
    <row r="1499" spans="2:13" x14ac:dyDescent="0.25">
      <c r="B1499"/>
      <c r="C1499"/>
      <c r="D1499"/>
      <c r="E1499"/>
      <c r="F1499"/>
      <c r="G1499"/>
      <c r="H1499" s="19"/>
      <c r="I1499" s="19"/>
      <c r="J1499" s="19"/>
      <c r="M1499" s="7"/>
    </row>
    <row r="1500" spans="2:13" x14ac:dyDescent="0.25">
      <c r="B1500"/>
      <c r="C1500"/>
      <c r="D1500"/>
      <c r="E1500"/>
      <c r="F1500"/>
      <c r="G1500"/>
      <c r="H1500" s="19"/>
      <c r="I1500" s="19"/>
      <c r="J1500" s="19"/>
      <c r="M1500" s="7"/>
    </row>
    <row r="1501" spans="2:13" x14ac:dyDescent="0.25">
      <c r="B1501"/>
      <c r="C1501"/>
      <c r="D1501"/>
      <c r="E1501"/>
      <c r="F1501"/>
      <c r="G1501"/>
      <c r="H1501" s="19"/>
      <c r="I1501" s="19"/>
      <c r="J1501" s="19"/>
      <c r="M1501" s="7"/>
    </row>
    <row r="1502" spans="2:13" x14ac:dyDescent="0.25">
      <c r="B1502"/>
      <c r="C1502"/>
      <c r="D1502"/>
      <c r="E1502"/>
      <c r="F1502"/>
      <c r="G1502"/>
      <c r="H1502" s="19"/>
      <c r="I1502" s="19"/>
      <c r="J1502" s="19"/>
      <c r="M1502" s="7"/>
    </row>
    <row r="1503" spans="2:13" x14ac:dyDescent="0.25">
      <c r="B1503"/>
      <c r="C1503"/>
      <c r="D1503"/>
      <c r="E1503"/>
      <c r="F1503"/>
      <c r="G1503"/>
      <c r="H1503" s="19"/>
      <c r="I1503" s="19"/>
      <c r="J1503" s="19"/>
      <c r="M1503" s="7"/>
    </row>
    <row r="1504" spans="2:13" x14ac:dyDescent="0.25">
      <c r="B1504"/>
      <c r="C1504"/>
      <c r="D1504"/>
      <c r="E1504"/>
      <c r="F1504"/>
      <c r="G1504"/>
      <c r="H1504" s="19"/>
      <c r="I1504" s="19"/>
      <c r="J1504" s="19"/>
      <c r="M1504" s="7"/>
    </row>
    <row r="1505" spans="2:13" x14ac:dyDescent="0.25">
      <c r="B1505"/>
      <c r="C1505"/>
      <c r="D1505"/>
      <c r="E1505"/>
      <c r="F1505"/>
      <c r="G1505"/>
      <c r="H1505" s="19"/>
      <c r="I1505" s="19"/>
      <c r="J1505" s="19"/>
      <c r="M1505" s="7"/>
    </row>
    <row r="1506" spans="2:13" x14ac:dyDescent="0.25">
      <c r="B1506"/>
      <c r="C1506"/>
      <c r="D1506"/>
      <c r="E1506"/>
      <c r="F1506"/>
      <c r="G1506"/>
      <c r="H1506" s="19"/>
      <c r="I1506" s="19"/>
      <c r="J1506" s="19"/>
      <c r="M1506" s="7"/>
    </row>
    <row r="1507" spans="2:13" x14ac:dyDescent="0.25">
      <c r="B1507"/>
      <c r="C1507"/>
      <c r="D1507"/>
      <c r="E1507"/>
      <c r="F1507"/>
      <c r="G1507"/>
      <c r="H1507" s="19"/>
      <c r="I1507" s="19"/>
      <c r="J1507" s="19"/>
      <c r="M1507" s="7"/>
    </row>
    <row r="1508" spans="2:13" x14ac:dyDescent="0.25">
      <c r="B1508"/>
      <c r="C1508"/>
      <c r="D1508"/>
      <c r="E1508"/>
      <c r="F1508"/>
      <c r="G1508"/>
      <c r="H1508" s="19"/>
      <c r="I1508" s="19"/>
      <c r="J1508" s="19"/>
      <c r="M1508" s="7"/>
    </row>
    <row r="1509" spans="2:13" x14ac:dyDescent="0.25">
      <c r="B1509"/>
      <c r="C1509"/>
      <c r="D1509"/>
      <c r="E1509"/>
      <c r="F1509"/>
      <c r="G1509"/>
      <c r="H1509" s="19"/>
      <c r="I1509" s="19"/>
      <c r="J1509" s="19"/>
      <c r="M1509" s="7"/>
    </row>
    <row r="1510" spans="2:13" x14ac:dyDescent="0.25">
      <c r="B1510"/>
      <c r="C1510"/>
      <c r="D1510"/>
      <c r="E1510"/>
      <c r="F1510"/>
      <c r="G1510"/>
      <c r="H1510" s="19"/>
      <c r="I1510" s="19"/>
      <c r="J1510" s="19"/>
      <c r="M1510" s="7"/>
    </row>
    <row r="1511" spans="2:13" x14ac:dyDescent="0.25">
      <c r="B1511"/>
      <c r="C1511"/>
      <c r="D1511"/>
      <c r="E1511"/>
      <c r="F1511"/>
      <c r="G1511"/>
      <c r="H1511" s="19"/>
      <c r="I1511" s="19"/>
      <c r="J1511" s="19"/>
      <c r="M1511" s="7"/>
    </row>
    <row r="1512" spans="2:13" x14ac:dyDescent="0.25">
      <c r="B1512"/>
      <c r="C1512"/>
      <c r="D1512"/>
      <c r="E1512"/>
      <c r="F1512"/>
      <c r="G1512"/>
      <c r="H1512" s="19"/>
      <c r="I1512" s="19"/>
      <c r="J1512" s="19"/>
      <c r="M1512" s="7"/>
    </row>
    <row r="1513" spans="2:13" x14ac:dyDescent="0.25">
      <c r="B1513"/>
      <c r="C1513"/>
      <c r="D1513"/>
      <c r="E1513"/>
      <c r="F1513"/>
      <c r="G1513"/>
      <c r="H1513" s="19"/>
      <c r="I1513" s="19"/>
      <c r="J1513" s="19"/>
      <c r="M1513" s="7"/>
    </row>
    <row r="1514" spans="2:13" x14ac:dyDescent="0.25">
      <c r="B1514"/>
      <c r="C1514"/>
      <c r="D1514"/>
      <c r="E1514"/>
      <c r="F1514"/>
      <c r="G1514"/>
      <c r="H1514" s="19"/>
      <c r="I1514" s="19"/>
      <c r="J1514" s="19"/>
      <c r="M1514" s="7"/>
    </row>
    <row r="1515" spans="2:13" x14ac:dyDescent="0.25">
      <c r="B1515"/>
      <c r="C1515"/>
      <c r="D1515"/>
      <c r="E1515"/>
      <c r="F1515"/>
      <c r="G1515"/>
      <c r="H1515" s="19"/>
      <c r="I1515" s="19"/>
      <c r="J1515" s="19"/>
      <c r="M1515" s="7"/>
    </row>
    <row r="1516" spans="2:13" x14ac:dyDescent="0.25">
      <c r="B1516"/>
      <c r="C1516"/>
      <c r="D1516"/>
      <c r="E1516"/>
      <c r="F1516"/>
      <c r="G1516"/>
      <c r="H1516" s="19"/>
      <c r="I1516" s="19"/>
      <c r="J1516" s="19"/>
      <c r="M1516" s="7"/>
    </row>
    <row r="1517" spans="2:13" x14ac:dyDescent="0.25">
      <c r="B1517"/>
      <c r="C1517"/>
      <c r="D1517"/>
      <c r="E1517"/>
      <c r="F1517"/>
      <c r="G1517"/>
      <c r="H1517" s="19"/>
      <c r="I1517" s="19"/>
      <c r="J1517" s="19"/>
      <c r="M1517" s="7"/>
    </row>
    <row r="1518" spans="2:13" x14ac:dyDescent="0.25">
      <c r="B1518"/>
      <c r="C1518"/>
      <c r="D1518"/>
      <c r="E1518"/>
      <c r="F1518"/>
      <c r="G1518"/>
      <c r="H1518" s="19"/>
      <c r="I1518" s="19"/>
      <c r="J1518" s="19"/>
      <c r="M1518" s="7"/>
    </row>
    <row r="1519" spans="2:13" x14ac:dyDescent="0.25">
      <c r="B1519"/>
      <c r="C1519"/>
      <c r="D1519"/>
      <c r="E1519"/>
      <c r="F1519"/>
      <c r="G1519"/>
      <c r="H1519" s="19"/>
      <c r="I1519" s="19"/>
      <c r="J1519" s="19"/>
      <c r="M1519" s="7"/>
    </row>
    <row r="1520" spans="2:13" x14ac:dyDescent="0.25">
      <c r="B1520"/>
      <c r="C1520"/>
      <c r="D1520"/>
      <c r="E1520"/>
      <c r="F1520"/>
      <c r="G1520"/>
      <c r="H1520" s="19"/>
      <c r="I1520" s="19"/>
      <c r="J1520" s="19"/>
      <c r="M1520" s="7"/>
    </row>
    <row r="1521" spans="2:13" x14ac:dyDescent="0.25">
      <c r="B1521"/>
      <c r="C1521"/>
      <c r="D1521"/>
      <c r="E1521"/>
      <c r="F1521"/>
      <c r="G1521"/>
      <c r="H1521" s="19"/>
      <c r="I1521" s="19"/>
      <c r="J1521" s="19"/>
      <c r="M1521" s="7"/>
    </row>
    <row r="1522" spans="2:13" x14ac:dyDescent="0.25">
      <c r="B1522"/>
      <c r="C1522"/>
      <c r="D1522"/>
      <c r="E1522"/>
      <c r="F1522"/>
      <c r="G1522"/>
      <c r="H1522" s="19"/>
      <c r="I1522" s="19"/>
      <c r="J1522" s="19"/>
      <c r="M1522" s="7"/>
    </row>
    <row r="1523" spans="2:13" x14ac:dyDescent="0.25">
      <c r="B1523"/>
      <c r="C1523"/>
      <c r="D1523"/>
      <c r="E1523"/>
      <c r="F1523"/>
      <c r="G1523"/>
      <c r="H1523" s="19"/>
      <c r="I1523" s="19"/>
      <c r="J1523" s="19"/>
      <c r="M1523" s="7"/>
    </row>
    <row r="1524" spans="2:13" x14ac:dyDescent="0.25">
      <c r="B1524"/>
      <c r="C1524"/>
      <c r="D1524"/>
      <c r="E1524"/>
      <c r="F1524"/>
      <c r="G1524"/>
      <c r="H1524" s="19"/>
      <c r="I1524" s="19"/>
      <c r="J1524" s="19"/>
      <c r="M1524" s="7"/>
    </row>
    <row r="1525" spans="2:13" x14ac:dyDescent="0.25">
      <c r="B1525"/>
      <c r="C1525"/>
      <c r="D1525"/>
      <c r="E1525"/>
      <c r="F1525"/>
      <c r="G1525"/>
      <c r="H1525" s="19"/>
      <c r="I1525" s="19"/>
      <c r="J1525" s="19"/>
      <c r="M1525" s="7"/>
    </row>
    <row r="1526" spans="2:13" x14ac:dyDescent="0.25">
      <c r="B1526"/>
      <c r="C1526"/>
      <c r="D1526"/>
      <c r="E1526"/>
      <c r="F1526"/>
      <c r="G1526"/>
      <c r="H1526" s="19"/>
      <c r="I1526" s="19"/>
      <c r="J1526" s="19"/>
      <c r="M1526" s="7"/>
    </row>
    <row r="1527" spans="2:13" x14ac:dyDescent="0.25">
      <c r="B1527"/>
      <c r="C1527"/>
      <c r="D1527"/>
      <c r="E1527"/>
      <c r="F1527"/>
      <c r="G1527"/>
      <c r="H1527" s="19"/>
      <c r="I1527" s="19"/>
      <c r="J1527" s="19"/>
      <c r="M1527" s="7"/>
    </row>
    <row r="1528" spans="2:13" x14ac:dyDescent="0.25">
      <c r="B1528"/>
      <c r="C1528"/>
      <c r="D1528"/>
      <c r="E1528"/>
      <c r="F1528"/>
      <c r="G1528"/>
      <c r="H1528" s="19"/>
      <c r="I1528" s="19"/>
      <c r="J1528" s="19"/>
      <c r="M1528" s="7"/>
    </row>
    <row r="1529" spans="2:13" x14ac:dyDescent="0.25">
      <c r="B1529"/>
      <c r="C1529"/>
      <c r="D1529"/>
      <c r="E1529"/>
      <c r="F1529"/>
      <c r="G1529"/>
      <c r="H1529" s="19"/>
      <c r="I1529" s="19"/>
      <c r="J1529" s="19"/>
      <c r="M1529" s="7"/>
    </row>
    <row r="1530" spans="2:13" x14ac:dyDescent="0.25">
      <c r="B1530"/>
      <c r="C1530"/>
      <c r="D1530"/>
      <c r="E1530"/>
      <c r="F1530"/>
      <c r="G1530"/>
      <c r="H1530" s="19"/>
      <c r="I1530" s="19"/>
      <c r="J1530" s="19"/>
      <c r="M1530" s="7"/>
    </row>
    <row r="1531" spans="2:13" x14ac:dyDescent="0.25">
      <c r="B1531"/>
      <c r="C1531"/>
      <c r="D1531"/>
      <c r="E1531"/>
      <c r="F1531"/>
      <c r="G1531"/>
      <c r="H1531" s="19"/>
      <c r="I1531" s="19"/>
      <c r="J1531" s="19"/>
      <c r="M1531" s="7"/>
    </row>
    <row r="1532" spans="2:13" x14ac:dyDescent="0.25">
      <c r="B1532"/>
      <c r="C1532"/>
      <c r="D1532"/>
      <c r="E1532"/>
      <c r="F1532"/>
      <c r="G1532"/>
      <c r="H1532" s="19"/>
      <c r="I1532" s="19"/>
      <c r="J1532" s="19"/>
      <c r="M1532" s="7"/>
    </row>
    <row r="1533" spans="2:13" x14ac:dyDescent="0.25">
      <c r="B1533"/>
      <c r="C1533"/>
      <c r="D1533"/>
      <c r="E1533"/>
      <c r="F1533"/>
      <c r="G1533"/>
      <c r="H1533" s="19"/>
      <c r="I1533" s="19"/>
      <c r="J1533" s="19"/>
      <c r="M1533" s="7"/>
    </row>
    <row r="1534" spans="2:13" x14ac:dyDescent="0.25">
      <c r="B1534"/>
      <c r="C1534"/>
      <c r="D1534"/>
      <c r="E1534"/>
      <c r="F1534"/>
      <c r="G1534"/>
      <c r="H1534" s="19"/>
      <c r="I1534" s="19"/>
      <c r="J1534" s="19"/>
      <c r="M1534" s="7"/>
    </row>
    <row r="1535" spans="2:13" x14ac:dyDescent="0.25">
      <c r="B1535"/>
      <c r="C1535"/>
      <c r="D1535"/>
      <c r="E1535"/>
      <c r="F1535"/>
      <c r="G1535"/>
      <c r="H1535" s="19"/>
      <c r="I1535" s="19"/>
      <c r="J1535" s="19"/>
      <c r="M1535" s="7"/>
    </row>
    <row r="1536" spans="2:13" x14ac:dyDescent="0.25">
      <c r="B1536"/>
      <c r="C1536"/>
      <c r="D1536"/>
      <c r="E1536"/>
      <c r="F1536"/>
      <c r="G1536"/>
      <c r="H1536" s="19"/>
      <c r="I1536" s="19"/>
      <c r="J1536" s="19"/>
      <c r="M1536" s="7"/>
    </row>
    <row r="1537" spans="2:13" x14ac:dyDescent="0.25">
      <c r="B1537"/>
      <c r="C1537"/>
      <c r="D1537"/>
      <c r="E1537"/>
      <c r="F1537"/>
      <c r="G1537"/>
      <c r="H1537" s="19"/>
      <c r="I1537" s="19"/>
      <c r="J1537" s="19"/>
      <c r="M1537" s="7"/>
    </row>
    <row r="1538" spans="2:13" x14ac:dyDescent="0.25">
      <c r="B1538"/>
      <c r="C1538"/>
      <c r="D1538"/>
      <c r="E1538"/>
      <c r="F1538"/>
      <c r="G1538"/>
      <c r="H1538" s="19"/>
      <c r="I1538" s="19"/>
      <c r="J1538" s="19"/>
      <c r="M1538" s="7"/>
    </row>
    <row r="1539" spans="2:13" x14ac:dyDescent="0.25">
      <c r="B1539"/>
      <c r="C1539"/>
      <c r="D1539"/>
      <c r="E1539"/>
      <c r="F1539"/>
      <c r="G1539"/>
      <c r="H1539" s="19"/>
      <c r="I1539" s="19"/>
      <c r="J1539" s="19"/>
      <c r="M1539" s="7"/>
    </row>
    <row r="1540" spans="2:13" x14ac:dyDescent="0.25">
      <c r="B1540"/>
      <c r="C1540"/>
      <c r="D1540"/>
      <c r="E1540"/>
      <c r="F1540"/>
      <c r="G1540"/>
      <c r="H1540" s="19"/>
      <c r="I1540" s="19"/>
      <c r="J1540" s="19"/>
      <c r="M1540" s="7"/>
    </row>
    <row r="1541" spans="2:13" x14ac:dyDescent="0.25">
      <c r="B1541"/>
      <c r="C1541"/>
      <c r="D1541"/>
      <c r="E1541"/>
      <c r="F1541"/>
      <c r="G1541"/>
      <c r="H1541" s="19"/>
      <c r="I1541" s="19"/>
      <c r="J1541" s="19"/>
      <c r="M1541" s="7"/>
    </row>
    <row r="1542" spans="2:13" x14ac:dyDescent="0.25">
      <c r="B1542"/>
      <c r="C1542"/>
      <c r="D1542"/>
      <c r="E1542"/>
      <c r="F1542"/>
      <c r="G1542"/>
      <c r="H1542" s="19"/>
      <c r="I1542" s="19"/>
      <c r="J1542" s="19"/>
      <c r="M1542" s="7"/>
    </row>
    <row r="1543" spans="2:13" x14ac:dyDescent="0.25">
      <c r="B1543"/>
      <c r="C1543"/>
      <c r="D1543"/>
      <c r="E1543"/>
      <c r="F1543"/>
      <c r="G1543"/>
      <c r="H1543" s="19"/>
      <c r="I1543" s="19"/>
      <c r="J1543" s="19"/>
      <c r="M1543" s="7"/>
    </row>
    <row r="1544" spans="2:13" x14ac:dyDescent="0.25">
      <c r="B1544"/>
      <c r="C1544"/>
      <c r="D1544"/>
      <c r="E1544"/>
      <c r="F1544"/>
      <c r="G1544"/>
      <c r="H1544" s="19"/>
      <c r="I1544" s="19"/>
      <c r="J1544" s="19"/>
      <c r="M1544" s="7"/>
    </row>
    <row r="1545" spans="2:13" x14ac:dyDescent="0.25">
      <c r="B1545"/>
      <c r="C1545"/>
      <c r="D1545"/>
      <c r="E1545"/>
      <c r="F1545"/>
      <c r="G1545"/>
      <c r="H1545" s="19"/>
      <c r="I1545" s="19"/>
      <c r="J1545" s="19"/>
      <c r="M1545" s="7"/>
    </row>
    <row r="1546" spans="2:13" x14ac:dyDescent="0.25">
      <c r="B1546"/>
      <c r="C1546"/>
      <c r="D1546"/>
      <c r="E1546"/>
      <c r="F1546"/>
      <c r="G1546"/>
      <c r="H1546" s="19"/>
      <c r="I1546" s="19"/>
      <c r="J1546" s="19"/>
      <c r="M1546" s="7"/>
    </row>
    <row r="1547" spans="2:13" x14ac:dyDescent="0.25">
      <c r="B1547"/>
      <c r="C1547"/>
      <c r="D1547"/>
      <c r="E1547"/>
      <c r="F1547"/>
      <c r="G1547"/>
      <c r="H1547" s="19"/>
      <c r="I1547" s="19"/>
      <c r="J1547" s="19"/>
      <c r="M1547" s="7"/>
    </row>
    <row r="1548" spans="2:13" x14ac:dyDescent="0.25">
      <c r="B1548"/>
      <c r="C1548"/>
      <c r="D1548"/>
      <c r="E1548"/>
      <c r="F1548"/>
      <c r="G1548"/>
      <c r="H1548" s="19"/>
      <c r="I1548" s="19"/>
      <c r="J1548" s="19"/>
      <c r="M1548" s="7"/>
    </row>
    <row r="1549" spans="2:13" x14ac:dyDescent="0.25">
      <c r="B1549"/>
      <c r="C1549"/>
      <c r="D1549"/>
      <c r="E1549"/>
      <c r="F1549"/>
      <c r="G1549"/>
      <c r="H1549" s="19"/>
      <c r="I1549" s="19"/>
      <c r="J1549" s="19"/>
      <c r="M1549" s="7"/>
    </row>
    <row r="1550" spans="2:13" x14ac:dyDescent="0.25">
      <c r="B1550"/>
      <c r="C1550"/>
      <c r="D1550"/>
      <c r="E1550"/>
      <c r="F1550"/>
      <c r="G1550"/>
      <c r="H1550" s="19"/>
      <c r="I1550" s="19"/>
      <c r="J1550" s="19"/>
      <c r="M1550" s="7"/>
    </row>
    <row r="1551" spans="2:13" x14ac:dyDescent="0.25">
      <c r="B1551"/>
      <c r="C1551"/>
      <c r="D1551"/>
      <c r="E1551"/>
      <c r="F1551"/>
      <c r="G1551"/>
      <c r="H1551" s="19"/>
      <c r="I1551" s="19"/>
      <c r="J1551" s="19"/>
      <c r="M1551" s="7"/>
    </row>
    <row r="1552" spans="2:13" x14ac:dyDescent="0.25">
      <c r="B1552"/>
      <c r="C1552"/>
      <c r="D1552"/>
      <c r="E1552"/>
      <c r="F1552"/>
      <c r="G1552"/>
      <c r="H1552" s="19"/>
      <c r="I1552" s="19"/>
      <c r="J1552" s="19"/>
      <c r="M1552" s="7"/>
    </row>
    <row r="1553" spans="2:13" x14ac:dyDescent="0.25">
      <c r="B1553"/>
      <c r="C1553"/>
      <c r="D1553"/>
      <c r="E1553"/>
      <c r="F1553"/>
      <c r="G1553"/>
      <c r="H1553" s="19"/>
      <c r="I1553" s="19"/>
      <c r="J1553" s="19"/>
      <c r="M1553" s="7"/>
    </row>
    <row r="1554" spans="2:13" x14ac:dyDescent="0.25">
      <c r="B1554"/>
      <c r="C1554"/>
      <c r="D1554"/>
      <c r="E1554"/>
      <c r="F1554"/>
      <c r="G1554"/>
      <c r="H1554" s="19"/>
      <c r="I1554" s="19"/>
      <c r="J1554" s="19"/>
      <c r="M1554" s="7"/>
    </row>
    <row r="1555" spans="2:13" x14ac:dyDescent="0.25">
      <c r="B1555"/>
      <c r="C1555"/>
      <c r="D1555"/>
      <c r="E1555"/>
      <c r="F1555"/>
      <c r="G1555"/>
      <c r="H1555" s="19"/>
      <c r="I1555" s="19"/>
      <c r="J1555" s="19"/>
      <c r="M1555" s="7"/>
    </row>
    <row r="1556" spans="2:13" x14ac:dyDescent="0.25">
      <c r="B1556"/>
      <c r="C1556"/>
      <c r="D1556"/>
      <c r="E1556"/>
      <c r="F1556"/>
      <c r="G1556"/>
      <c r="H1556" s="19"/>
      <c r="I1556" s="19"/>
      <c r="J1556" s="19"/>
      <c r="M1556" s="7"/>
    </row>
    <row r="1557" spans="2:13" x14ac:dyDescent="0.25">
      <c r="B1557"/>
      <c r="C1557"/>
      <c r="D1557"/>
      <c r="E1557"/>
      <c r="F1557"/>
      <c r="G1557"/>
      <c r="H1557" s="19"/>
      <c r="I1557" s="19"/>
      <c r="J1557" s="19"/>
      <c r="M1557" s="7"/>
    </row>
    <row r="1558" spans="2:13" x14ac:dyDescent="0.25">
      <c r="B1558"/>
      <c r="C1558"/>
      <c r="D1558"/>
      <c r="E1558"/>
      <c r="F1558"/>
      <c r="G1558"/>
      <c r="H1558" s="19"/>
      <c r="I1558" s="19"/>
      <c r="J1558" s="19"/>
      <c r="M1558" s="7"/>
    </row>
    <row r="1559" spans="2:13" x14ac:dyDescent="0.25">
      <c r="B1559"/>
      <c r="C1559"/>
      <c r="D1559"/>
      <c r="E1559"/>
      <c r="F1559"/>
      <c r="G1559"/>
      <c r="H1559" s="19"/>
      <c r="I1559" s="19"/>
      <c r="J1559" s="19"/>
      <c r="M1559" s="7"/>
    </row>
    <row r="1560" spans="2:13" x14ac:dyDescent="0.25">
      <c r="B1560"/>
      <c r="C1560"/>
      <c r="D1560"/>
      <c r="E1560"/>
      <c r="F1560"/>
      <c r="G1560"/>
      <c r="H1560" s="19"/>
      <c r="I1560" s="19"/>
      <c r="J1560" s="19"/>
      <c r="M1560" s="7"/>
    </row>
    <row r="1561" spans="2:13" x14ac:dyDescent="0.25">
      <c r="B1561"/>
      <c r="C1561"/>
      <c r="D1561"/>
      <c r="E1561"/>
      <c r="F1561"/>
      <c r="G1561"/>
      <c r="H1561" s="19"/>
      <c r="I1561" s="19"/>
      <c r="J1561" s="19"/>
      <c r="M1561" s="7"/>
    </row>
    <row r="1562" spans="2:13" x14ac:dyDescent="0.25">
      <c r="B1562"/>
      <c r="C1562"/>
      <c r="D1562"/>
      <c r="E1562"/>
      <c r="F1562"/>
      <c r="G1562"/>
      <c r="H1562" s="19"/>
      <c r="I1562" s="19"/>
      <c r="J1562" s="19"/>
      <c r="M1562" s="7"/>
    </row>
    <row r="1563" spans="2:13" x14ac:dyDescent="0.25">
      <c r="B1563"/>
      <c r="C1563"/>
      <c r="D1563"/>
      <c r="E1563"/>
      <c r="F1563"/>
      <c r="G1563"/>
      <c r="H1563" s="19"/>
      <c r="I1563" s="19"/>
      <c r="J1563" s="19"/>
      <c r="M1563" s="7"/>
    </row>
    <row r="1564" spans="2:13" x14ac:dyDescent="0.25">
      <c r="B1564"/>
      <c r="C1564"/>
      <c r="D1564"/>
      <c r="E1564"/>
      <c r="F1564"/>
      <c r="G1564"/>
      <c r="H1564" s="19"/>
      <c r="I1564" s="19"/>
      <c r="J1564" s="19"/>
      <c r="M1564" s="7"/>
    </row>
    <row r="1565" spans="2:13" x14ac:dyDescent="0.25">
      <c r="B1565"/>
      <c r="C1565"/>
      <c r="D1565"/>
      <c r="E1565"/>
      <c r="F1565"/>
      <c r="G1565"/>
      <c r="H1565" s="19"/>
      <c r="I1565" s="19"/>
      <c r="J1565" s="19"/>
      <c r="M1565" s="7"/>
    </row>
    <row r="1566" spans="2:13" x14ac:dyDescent="0.25">
      <c r="B1566"/>
      <c r="C1566"/>
      <c r="D1566"/>
      <c r="E1566"/>
      <c r="F1566"/>
      <c r="G1566"/>
      <c r="H1566" s="19"/>
      <c r="I1566" s="19"/>
      <c r="J1566" s="19"/>
      <c r="M1566" s="7"/>
    </row>
    <row r="1567" spans="2:13" x14ac:dyDescent="0.25">
      <c r="B1567"/>
      <c r="C1567"/>
      <c r="D1567"/>
      <c r="E1567"/>
      <c r="F1567"/>
      <c r="G1567"/>
      <c r="H1567" s="19"/>
      <c r="I1567" s="19"/>
      <c r="J1567" s="19"/>
      <c r="M1567" s="7"/>
    </row>
    <row r="1568" spans="2:13" x14ac:dyDescent="0.25">
      <c r="B1568"/>
      <c r="C1568"/>
      <c r="D1568"/>
      <c r="E1568"/>
      <c r="F1568"/>
      <c r="G1568"/>
      <c r="H1568" s="19"/>
      <c r="I1568" s="19"/>
      <c r="J1568" s="19"/>
      <c r="M1568" s="7"/>
    </row>
    <row r="1569" spans="2:13" x14ac:dyDescent="0.25">
      <c r="B1569"/>
      <c r="C1569"/>
      <c r="D1569"/>
      <c r="E1569"/>
      <c r="F1569"/>
      <c r="G1569"/>
      <c r="H1569" s="19"/>
      <c r="I1569" s="19"/>
      <c r="J1569" s="19"/>
      <c r="M1569" s="7"/>
    </row>
    <row r="1570" spans="2:13" x14ac:dyDescent="0.25">
      <c r="B1570"/>
      <c r="C1570"/>
      <c r="D1570"/>
      <c r="E1570"/>
      <c r="F1570"/>
      <c r="G1570"/>
      <c r="H1570" s="19"/>
      <c r="I1570" s="19"/>
      <c r="J1570" s="19"/>
      <c r="M1570" s="7"/>
    </row>
    <row r="1571" spans="2:13" x14ac:dyDescent="0.25">
      <c r="B1571"/>
      <c r="C1571"/>
      <c r="D1571"/>
      <c r="E1571"/>
      <c r="F1571"/>
      <c r="G1571"/>
      <c r="H1571" s="19"/>
      <c r="I1571" s="19"/>
      <c r="J1571" s="19"/>
      <c r="M1571" s="7"/>
    </row>
    <row r="1572" spans="2:13" x14ac:dyDescent="0.25">
      <c r="B1572"/>
      <c r="C1572"/>
      <c r="D1572"/>
      <c r="E1572"/>
      <c r="F1572"/>
      <c r="G1572"/>
      <c r="H1572" s="19"/>
      <c r="I1572" s="19"/>
      <c r="J1572" s="19"/>
      <c r="M1572" s="7"/>
    </row>
    <row r="1573" spans="2:13" x14ac:dyDescent="0.25">
      <c r="B1573"/>
      <c r="C1573"/>
      <c r="D1573"/>
      <c r="E1573"/>
      <c r="F1573"/>
      <c r="G1573"/>
      <c r="H1573" s="19"/>
      <c r="I1573" s="19"/>
      <c r="J1573" s="19"/>
      <c r="M1573" s="7"/>
    </row>
    <row r="1574" spans="2:13" x14ac:dyDescent="0.25">
      <c r="B1574"/>
      <c r="C1574"/>
      <c r="D1574"/>
      <c r="E1574"/>
      <c r="F1574"/>
      <c r="G1574"/>
      <c r="H1574" s="19"/>
      <c r="I1574" s="19"/>
      <c r="J1574" s="19"/>
      <c r="M1574" s="7"/>
    </row>
    <row r="1575" spans="2:13" x14ac:dyDescent="0.25">
      <c r="B1575"/>
      <c r="C1575"/>
      <c r="D1575"/>
      <c r="E1575"/>
      <c r="F1575"/>
      <c r="G1575"/>
      <c r="H1575" s="19"/>
      <c r="I1575" s="19"/>
      <c r="J1575" s="19"/>
      <c r="M1575" s="7"/>
    </row>
    <row r="1576" spans="2:13" x14ac:dyDescent="0.25">
      <c r="B1576"/>
      <c r="C1576"/>
      <c r="D1576"/>
      <c r="E1576"/>
      <c r="F1576"/>
      <c r="G1576"/>
      <c r="H1576" s="19"/>
      <c r="I1576" s="19"/>
      <c r="J1576" s="19"/>
      <c r="M1576" s="7"/>
    </row>
    <row r="1577" spans="2:13" x14ac:dyDescent="0.25">
      <c r="B1577"/>
      <c r="C1577"/>
      <c r="D1577"/>
      <c r="E1577"/>
      <c r="F1577"/>
      <c r="G1577"/>
      <c r="H1577" s="19"/>
      <c r="I1577" s="19"/>
      <c r="J1577" s="19"/>
      <c r="M1577" s="7"/>
    </row>
    <row r="1578" spans="2:13" x14ac:dyDescent="0.25">
      <c r="B1578"/>
      <c r="C1578"/>
      <c r="D1578"/>
      <c r="E1578"/>
      <c r="F1578"/>
      <c r="G1578"/>
      <c r="H1578" s="19"/>
      <c r="I1578" s="19"/>
      <c r="J1578" s="19"/>
      <c r="M1578" s="7"/>
    </row>
    <row r="1579" spans="2:13" x14ac:dyDescent="0.25">
      <c r="B1579"/>
      <c r="C1579"/>
      <c r="D1579"/>
      <c r="E1579"/>
      <c r="F1579"/>
      <c r="G1579"/>
      <c r="H1579" s="19"/>
      <c r="I1579" s="19"/>
      <c r="J1579" s="19"/>
      <c r="M1579" s="7"/>
    </row>
    <row r="1580" spans="2:13" x14ac:dyDescent="0.25">
      <c r="B1580"/>
      <c r="C1580"/>
      <c r="D1580"/>
      <c r="E1580"/>
      <c r="F1580"/>
      <c r="G1580"/>
      <c r="H1580" s="19"/>
      <c r="I1580" s="19"/>
      <c r="J1580" s="19"/>
      <c r="M1580" s="7"/>
    </row>
    <row r="1581" spans="2:13" x14ac:dyDescent="0.25">
      <c r="B1581"/>
      <c r="C1581"/>
      <c r="D1581"/>
      <c r="E1581"/>
      <c r="F1581"/>
      <c r="G1581"/>
      <c r="H1581" s="19"/>
      <c r="I1581" s="19"/>
      <c r="J1581" s="19"/>
      <c r="M1581" s="7"/>
    </row>
    <row r="1582" spans="2:13" x14ac:dyDescent="0.25">
      <c r="B1582"/>
      <c r="C1582"/>
      <c r="D1582"/>
      <c r="E1582"/>
      <c r="F1582"/>
      <c r="G1582"/>
      <c r="H1582" s="19"/>
      <c r="I1582" s="19"/>
      <c r="J1582" s="19"/>
      <c r="M1582" s="7"/>
    </row>
    <row r="1583" spans="2:13" x14ac:dyDescent="0.25">
      <c r="B1583"/>
      <c r="C1583"/>
      <c r="D1583"/>
      <c r="E1583"/>
      <c r="F1583"/>
      <c r="G1583"/>
      <c r="H1583" s="19"/>
      <c r="I1583" s="19"/>
      <c r="J1583" s="19"/>
      <c r="M1583" s="7"/>
    </row>
    <row r="1584" spans="2:13" x14ac:dyDescent="0.25">
      <c r="B1584"/>
      <c r="C1584"/>
      <c r="D1584"/>
      <c r="E1584"/>
      <c r="F1584"/>
      <c r="G1584"/>
      <c r="H1584" s="19"/>
      <c r="I1584" s="19"/>
      <c r="J1584" s="19"/>
      <c r="M1584" s="7"/>
    </row>
    <row r="1585" spans="2:13" x14ac:dyDescent="0.25">
      <c r="B1585"/>
      <c r="C1585"/>
      <c r="D1585"/>
      <c r="E1585"/>
      <c r="F1585"/>
      <c r="G1585"/>
      <c r="H1585" s="19"/>
      <c r="I1585" s="19"/>
      <c r="J1585" s="19"/>
      <c r="M1585" s="7"/>
    </row>
    <row r="1586" spans="2:13" x14ac:dyDescent="0.25">
      <c r="B1586"/>
      <c r="C1586"/>
      <c r="D1586"/>
      <c r="E1586"/>
      <c r="F1586"/>
      <c r="G1586"/>
      <c r="H1586" s="19"/>
      <c r="I1586" s="19"/>
      <c r="J1586" s="19"/>
      <c r="M1586" s="7"/>
    </row>
    <row r="1587" spans="2:13" x14ac:dyDescent="0.25">
      <c r="B1587"/>
      <c r="C1587"/>
      <c r="D1587"/>
      <c r="E1587"/>
      <c r="F1587"/>
      <c r="G1587"/>
      <c r="H1587" s="19"/>
      <c r="I1587" s="19"/>
      <c r="J1587" s="19"/>
      <c r="M1587" s="7"/>
    </row>
    <row r="1588" spans="2:13" x14ac:dyDescent="0.25">
      <c r="B1588"/>
      <c r="C1588"/>
      <c r="D1588"/>
      <c r="E1588"/>
      <c r="F1588"/>
      <c r="G1588"/>
      <c r="H1588" s="19"/>
      <c r="I1588" s="19"/>
      <c r="J1588" s="19"/>
      <c r="M1588" s="7"/>
    </row>
    <row r="1589" spans="2:13" x14ac:dyDescent="0.25">
      <c r="B1589"/>
      <c r="C1589"/>
      <c r="D1589"/>
      <c r="E1589"/>
      <c r="F1589"/>
      <c r="G1589"/>
      <c r="H1589" s="19"/>
      <c r="I1589" s="19"/>
      <c r="J1589" s="19"/>
      <c r="M1589" s="7"/>
    </row>
    <row r="1590" spans="2:13" x14ac:dyDescent="0.25">
      <c r="B1590"/>
      <c r="C1590"/>
      <c r="D1590"/>
      <c r="E1590"/>
      <c r="F1590"/>
      <c r="G1590"/>
      <c r="H1590" s="19"/>
      <c r="I1590" s="19"/>
      <c r="J1590" s="19"/>
      <c r="M1590" s="7"/>
    </row>
    <row r="1591" spans="2:13" x14ac:dyDescent="0.25">
      <c r="B1591"/>
      <c r="C1591"/>
      <c r="D1591"/>
      <c r="E1591"/>
      <c r="F1591"/>
      <c r="G1591"/>
      <c r="H1591" s="19"/>
      <c r="I1591" s="19"/>
      <c r="J1591" s="19"/>
      <c r="M1591" s="7"/>
    </row>
    <row r="1592" spans="2:13" x14ac:dyDescent="0.25">
      <c r="B1592"/>
      <c r="C1592"/>
      <c r="D1592"/>
      <c r="E1592"/>
      <c r="F1592"/>
      <c r="G1592"/>
      <c r="H1592" s="19"/>
      <c r="I1592" s="19"/>
      <c r="J1592" s="19"/>
      <c r="M1592" s="7"/>
    </row>
    <row r="1593" spans="2:13" x14ac:dyDescent="0.25">
      <c r="B1593"/>
      <c r="C1593"/>
      <c r="D1593"/>
      <c r="E1593"/>
      <c r="F1593"/>
      <c r="G1593"/>
      <c r="H1593" s="19"/>
      <c r="I1593" s="19"/>
      <c r="J1593" s="19"/>
      <c r="M1593" s="7"/>
    </row>
    <row r="1594" spans="2:13" x14ac:dyDescent="0.25">
      <c r="B1594"/>
      <c r="C1594"/>
      <c r="D1594"/>
      <c r="E1594"/>
      <c r="F1594"/>
      <c r="G1594"/>
      <c r="H1594" s="19"/>
      <c r="I1594" s="19"/>
      <c r="J1594" s="19"/>
      <c r="M1594" s="7"/>
    </row>
    <row r="1595" spans="2:13" x14ac:dyDescent="0.25">
      <c r="B1595"/>
      <c r="C1595"/>
      <c r="D1595"/>
      <c r="E1595"/>
      <c r="F1595"/>
      <c r="G1595"/>
      <c r="H1595" s="19"/>
      <c r="I1595" s="19"/>
      <c r="J1595" s="19"/>
      <c r="M1595" s="7"/>
    </row>
    <row r="1596" spans="2:13" x14ac:dyDescent="0.25">
      <c r="B1596"/>
      <c r="C1596"/>
      <c r="D1596"/>
      <c r="E1596"/>
      <c r="F1596"/>
      <c r="G1596"/>
      <c r="H1596" s="19"/>
      <c r="I1596" s="19"/>
      <c r="J1596" s="19"/>
      <c r="M1596" s="7"/>
    </row>
    <row r="1597" spans="2:13" x14ac:dyDescent="0.25">
      <c r="B1597"/>
      <c r="C1597"/>
      <c r="D1597"/>
      <c r="E1597"/>
      <c r="F1597"/>
      <c r="G1597"/>
      <c r="H1597" s="19"/>
      <c r="I1597" s="19"/>
      <c r="J1597" s="19"/>
      <c r="M1597" s="7"/>
    </row>
    <row r="1598" spans="2:13" x14ac:dyDescent="0.25">
      <c r="B1598"/>
      <c r="C1598"/>
      <c r="D1598"/>
      <c r="E1598"/>
      <c r="F1598"/>
      <c r="G1598"/>
      <c r="H1598" s="19"/>
      <c r="I1598" s="19"/>
      <c r="J1598" s="19"/>
      <c r="M1598" s="7"/>
    </row>
    <row r="1599" spans="2:13" x14ac:dyDescent="0.25">
      <c r="B1599"/>
      <c r="C1599"/>
      <c r="D1599"/>
      <c r="E1599"/>
      <c r="F1599"/>
      <c r="G1599"/>
      <c r="H1599" s="19"/>
      <c r="I1599" s="19"/>
      <c r="J1599" s="19"/>
      <c r="M1599" s="7"/>
    </row>
    <row r="1600" spans="2:13" x14ac:dyDescent="0.25">
      <c r="B1600"/>
      <c r="C1600"/>
      <c r="D1600"/>
      <c r="E1600"/>
      <c r="F1600"/>
      <c r="G1600"/>
      <c r="H1600" s="19"/>
      <c r="I1600" s="19"/>
      <c r="J1600" s="19"/>
      <c r="M1600" s="7"/>
    </row>
    <row r="1601" spans="2:13" x14ac:dyDescent="0.25">
      <c r="B1601"/>
      <c r="C1601"/>
      <c r="D1601"/>
      <c r="E1601"/>
      <c r="F1601"/>
      <c r="G1601"/>
      <c r="H1601" s="19"/>
      <c r="I1601" s="19"/>
      <c r="J1601" s="19"/>
      <c r="M1601" s="7"/>
    </row>
    <row r="1602" spans="2:13" x14ac:dyDescent="0.25">
      <c r="B1602"/>
      <c r="C1602"/>
      <c r="D1602"/>
      <c r="E1602"/>
      <c r="F1602"/>
      <c r="G1602"/>
      <c r="H1602" s="19"/>
      <c r="I1602" s="19"/>
      <c r="J1602" s="19"/>
      <c r="M1602" s="7"/>
    </row>
    <row r="1603" spans="2:13" x14ac:dyDescent="0.25">
      <c r="B1603"/>
      <c r="C1603"/>
      <c r="D1603"/>
      <c r="E1603"/>
      <c r="F1603"/>
      <c r="G1603"/>
      <c r="H1603" s="19"/>
      <c r="I1603" s="19"/>
      <c r="J1603" s="19"/>
      <c r="M1603" s="7"/>
    </row>
    <row r="1604" spans="2:13" x14ac:dyDescent="0.25">
      <c r="B1604"/>
      <c r="C1604"/>
      <c r="D1604"/>
      <c r="E1604"/>
      <c r="F1604"/>
      <c r="G1604"/>
      <c r="H1604" s="19"/>
      <c r="I1604" s="19"/>
      <c r="J1604" s="19"/>
      <c r="M1604" s="7"/>
    </row>
    <row r="1605" spans="2:13" x14ac:dyDescent="0.25">
      <c r="B1605"/>
      <c r="C1605"/>
      <c r="D1605"/>
      <c r="E1605"/>
      <c r="F1605"/>
      <c r="G1605"/>
      <c r="H1605" s="19"/>
      <c r="I1605" s="19"/>
      <c r="J1605" s="19"/>
      <c r="M1605" s="7"/>
    </row>
    <row r="1606" spans="2:13" x14ac:dyDescent="0.25">
      <c r="B1606"/>
      <c r="C1606"/>
      <c r="D1606"/>
      <c r="E1606"/>
      <c r="F1606"/>
      <c r="G1606"/>
      <c r="H1606" s="19"/>
      <c r="I1606" s="19"/>
      <c r="J1606" s="19"/>
      <c r="M1606" s="7"/>
    </row>
    <row r="1607" spans="2:13" x14ac:dyDescent="0.25">
      <c r="B1607"/>
      <c r="C1607"/>
      <c r="D1607"/>
      <c r="E1607"/>
      <c r="F1607"/>
      <c r="G1607"/>
      <c r="H1607" s="19"/>
      <c r="I1607" s="19"/>
      <c r="J1607" s="19"/>
      <c r="M1607" s="7"/>
    </row>
    <row r="1608" spans="2:13" x14ac:dyDescent="0.25">
      <c r="B1608"/>
      <c r="C1608"/>
      <c r="D1608"/>
      <c r="E1608"/>
      <c r="F1608"/>
      <c r="G1608"/>
      <c r="H1608" s="19"/>
      <c r="I1608" s="19"/>
      <c r="J1608" s="19"/>
      <c r="M1608" s="7"/>
    </row>
    <row r="1609" spans="2:13" x14ac:dyDescent="0.25">
      <c r="B1609"/>
      <c r="C1609"/>
      <c r="D1609"/>
      <c r="E1609"/>
      <c r="F1609"/>
      <c r="G1609"/>
      <c r="H1609" s="19"/>
      <c r="I1609" s="19"/>
      <c r="J1609" s="19"/>
      <c r="M1609" s="7"/>
    </row>
    <row r="1610" spans="2:13" x14ac:dyDescent="0.25">
      <c r="B1610"/>
      <c r="C1610"/>
      <c r="D1610"/>
      <c r="E1610"/>
      <c r="F1610"/>
      <c r="G1610"/>
      <c r="H1610" s="19"/>
      <c r="I1610" s="19"/>
      <c r="J1610" s="19"/>
      <c r="M1610" s="7"/>
    </row>
    <row r="1611" spans="2:13" x14ac:dyDescent="0.25">
      <c r="B1611"/>
      <c r="C1611"/>
      <c r="D1611"/>
      <c r="E1611"/>
      <c r="F1611"/>
      <c r="G1611"/>
      <c r="H1611" s="19"/>
      <c r="I1611" s="19"/>
      <c r="J1611" s="19"/>
      <c r="M1611" s="7"/>
    </row>
    <row r="1612" spans="2:13" x14ac:dyDescent="0.25">
      <c r="B1612"/>
      <c r="C1612"/>
      <c r="D1612"/>
      <c r="E1612"/>
      <c r="F1612"/>
      <c r="G1612"/>
      <c r="H1612" s="19"/>
      <c r="I1612" s="19"/>
      <c r="J1612" s="19"/>
      <c r="M1612" s="7"/>
    </row>
    <row r="1613" spans="2:13" x14ac:dyDescent="0.25">
      <c r="B1613"/>
      <c r="C1613"/>
      <c r="D1613"/>
      <c r="E1613"/>
      <c r="F1613"/>
      <c r="G1613"/>
      <c r="H1613" s="19"/>
      <c r="I1613" s="19"/>
      <c r="J1613" s="19"/>
      <c r="M1613" s="7"/>
    </row>
    <row r="1614" spans="2:13" x14ac:dyDescent="0.25">
      <c r="B1614"/>
      <c r="C1614"/>
      <c r="D1614"/>
      <c r="E1614"/>
      <c r="F1614"/>
      <c r="G1614"/>
      <c r="H1614" s="19"/>
      <c r="I1614" s="19"/>
      <c r="J1614" s="19"/>
      <c r="M1614" s="7"/>
    </row>
    <row r="1615" spans="2:13" x14ac:dyDescent="0.25">
      <c r="B1615"/>
      <c r="C1615"/>
      <c r="D1615"/>
      <c r="E1615"/>
      <c r="F1615"/>
      <c r="G1615"/>
      <c r="H1615" s="19"/>
      <c r="I1615" s="19"/>
      <c r="J1615" s="19"/>
      <c r="M1615" s="7"/>
    </row>
    <row r="1616" spans="2:13" x14ac:dyDescent="0.25">
      <c r="B1616"/>
      <c r="C1616"/>
      <c r="D1616"/>
      <c r="E1616"/>
      <c r="F1616"/>
      <c r="G1616"/>
      <c r="H1616" s="19"/>
      <c r="I1616" s="19"/>
      <c r="J1616" s="19"/>
      <c r="M1616" s="7"/>
    </row>
    <row r="1617" spans="2:13" x14ac:dyDescent="0.25">
      <c r="B1617"/>
      <c r="C1617"/>
      <c r="D1617"/>
      <c r="E1617"/>
      <c r="F1617"/>
      <c r="G1617"/>
      <c r="H1617" s="19"/>
      <c r="I1617" s="19"/>
      <c r="J1617" s="19"/>
      <c r="M1617" s="7"/>
    </row>
    <row r="1618" spans="2:13" x14ac:dyDescent="0.25">
      <c r="B1618"/>
      <c r="C1618"/>
      <c r="D1618"/>
      <c r="E1618"/>
      <c r="F1618"/>
      <c r="G1618"/>
      <c r="H1618" s="19"/>
      <c r="I1618" s="19"/>
      <c r="J1618" s="19"/>
      <c r="M1618" s="7"/>
    </row>
    <row r="1619" spans="2:13" x14ac:dyDescent="0.25">
      <c r="B1619"/>
      <c r="C1619"/>
      <c r="D1619"/>
      <c r="E1619"/>
      <c r="F1619"/>
      <c r="G1619"/>
      <c r="H1619" s="19"/>
      <c r="I1619" s="19"/>
      <c r="J1619" s="19"/>
      <c r="M1619" s="7"/>
    </row>
    <row r="1620" spans="2:13" x14ac:dyDescent="0.25">
      <c r="B1620"/>
      <c r="C1620"/>
      <c r="D1620"/>
      <c r="E1620"/>
      <c r="F1620"/>
      <c r="G1620"/>
      <c r="H1620" s="19"/>
      <c r="I1620" s="19"/>
      <c r="J1620" s="19"/>
      <c r="M1620" s="7"/>
    </row>
    <row r="1621" spans="2:13" x14ac:dyDescent="0.25">
      <c r="B1621"/>
      <c r="C1621"/>
      <c r="D1621"/>
      <c r="E1621"/>
      <c r="F1621"/>
      <c r="G1621"/>
      <c r="H1621" s="19"/>
      <c r="I1621" s="19"/>
      <c r="J1621" s="19"/>
      <c r="M1621" s="7"/>
    </row>
    <row r="1622" spans="2:13" x14ac:dyDescent="0.25">
      <c r="B1622"/>
      <c r="C1622"/>
      <c r="D1622"/>
      <c r="E1622"/>
      <c r="F1622"/>
      <c r="G1622"/>
      <c r="H1622" s="19"/>
      <c r="I1622" s="19"/>
      <c r="J1622" s="19"/>
      <c r="M1622" s="7"/>
    </row>
    <row r="1623" spans="2:13" x14ac:dyDescent="0.25">
      <c r="B1623"/>
      <c r="C1623"/>
      <c r="D1623"/>
      <c r="E1623"/>
      <c r="F1623"/>
      <c r="G1623"/>
      <c r="H1623" s="19"/>
      <c r="I1623" s="19"/>
      <c r="J1623" s="19"/>
      <c r="M1623" s="7"/>
    </row>
    <row r="1624" spans="2:13" x14ac:dyDescent="0.25">
      <c r="B1624"/>
      <c r="C1624"/>
      <c r="D1624"/>
      <c r="E1624"/>
      <c r="F1624"/>
      <c r="G1624"/>
      <c r="H1624" s="19"/>
      <c r="I1624" s="19"/>
      <c r="J1624" s="19"/>
      <c r="M1624" s="7"/>
    </row>
    <row r="1625" spans="2:13" x14ac:dyDescent="0.25">
      <c r="B1625"/>
      <c r="C1625"/>
      <c r="D1625"/>
      <c r="E1625"/>
      <c r="F1625"/>
      <c r="G1625"/>
      <c r="H1625" s="19"/>
      <c r="I1625" s="19"/>
      <c r="J1625" s="19"/>
      <c r="M1625" s="7"/>
    </row>
    <row r="1626" spans="2:13" x14ac:dyDescent="0.25">
      <c r="B1626"/>
      <c r="C1626"/>
      <c r="D1626"/>
      <c r="E1626"/>
      <c r="F1626"/>
      <c r="G1626"/>
      <c r="H1626" s="19"/>
      <c r="I1626" s="19"/>
      <c r="J1626" s="19"/>
      <c r="M1626" s="7"/>
    </row>
    <row r="1627" spans="2:13" x14ac:dyDescent="0.25">
      <c r="B1627"/>
      <c r="C1627"/>
      <c r="D1627"/>
      <c r="E1627"/>
      <c r="F1627"/>
      <c r="G1627"/>
      <c r="H1627" s="19"/>
      <c r="I1627" s="19"/>
      <c r="J1627" s="19"/>
      <c r="M1627" s="7"/>
    </row>
    <row r="1628" spans="2:13" x14ac:dyDescent="0.25">
      <c r="B1628"/>
      <c r="C1628"/>
      <c r="D1628"/>
      <c r="E1628"/>
      <c r="F1628"/>
      <c r="G1628"/>
      <c r="H1628" s="19"/>
      <c r="I1628" s="19"/>
      <c r="J1628" s="19"/>
      <c r="M1628" s="7"/>
    </row>
    <row r="1629" spans="2:13" x14ac:dyDescent="0.25">
      <c r="B1629"/>
      <c r="C1629"/>
      <c r="D1629"/>
      <c r="E1629"/>
      <c r="F1629"/>
      <c r="G1629"/>
      <c r="H1629" s="19"/>
      <c r="I1629" s="19"/>
      <c r="J1629" s="19"/>
      <c r="M1629" s="7"/>
    </row>
    <row r="1630" spans="2:13" x14ac:dyDescent="0.25">
      <c r="B1630"/>
      <c r="C1630"/>
      <c r="D1630"/>
      <c r="E1630"/>
      <c r="F1630"/>
      <c r="G1630"/>
      <c r="H1630" s="19"/>
      <c r="I1630" s="19"/>
      <c r="J1630" s="19"/>
      <c r="M1630" s="7"/>
    </row>
    <row r="1631" spans="2:13" x14ac:dyDescent="0.25">
      <c r="B1631"/>
      <c r="C1631"/>
      <c r="D1631"/>
      <c r="E1631"/>
      <c r="F1631"/>
      <c r="G1631"/>
      <c r="H1631" s="19"/>
      <c r="I1631" s="19"/>
      <c r="J1631" s="19"/>
      <c r="M1631" s="7"/>
    </row>
    <row r="1632" spans="2:13" x14ac:dyDescent="0.25">
      <c r="B1632"/>
      <c r="C1632"/>
      <c r="D1632"/>
      <c r="E1632"/>
      <c r="F1632"/>
      <c r="G1632"/>
      <c r="H1632" s="19"/>
      <c r="I1632" s="19"/>
      <c r="J1632" s="19"/>
      <c r="M1632" s="7"/>
    </row>
    <row r="1633" spans="2:13" x14ac:dyDescent="0.25">
      <c r="B1633"/>
      <c r="C1633"/>
      <c r="D1633"/>
      <c r="E1633"/>
      <c r="F1633"/>
      <c r="G1633"/>
      <c r="H1633" s="19"/>
      <c r="I1633" s="19"/>
      <c r="J1633" s="19"/>
      <c r="M1633" s="7"/>
    </row>
    <row r="1634" spans="2:13" x14ac:dyDescent="0.25">
      <c r="B1634"/>
      <c r="C1634"/>
      <c r="D1634"/>
      <c r="E1634"/>
      <c r="F1634"/>
      <c r="G1634"/>
      <c r="H1634" s="19"/>
      <c r="I1634" s="19"/>
      <c r="J1634" s="19"/>
      <c r="M1634" s="7"/>
    </row>
    <row r="1635" spans="2:13" x14ac:dyDescent="0.25">
      <c r="B1635"/>
      <c r="C1635"/>
      <c r="D1635"/>
      <c r="E1635"/>
      <c r="F1635"/>
      <c r="G1635"/>
      <c r="H1635" s="19"/>
      <c r="I1635" s="19"/>
      <c r="J1635" s="19"/>
      <c r="M1635" s="7"/>
    </row>
    <row r="1636" spans="2:13" x14ac:dyDescent="0.25">
      <c r="B1636"/>
      <c r="C1636"/>
      <c r="D1636"/>
      <c r="E1636"/>
      <c r="F1636"/>
      <c r="G1636"/>
      <c r="H1636" s="19"/>
      <c r="I1636" s="19"/>
      <c r="J1636" s="19"/>
      <c r="M1636" s="7"/>
    </row>
    <row r="1637" spans="2:13" x14ac:dyDescent="0.25">
      <c r="B1637"/>
      <c r="C1637"/>
      <c r="D1637"/>
      <c r="E1637"/>
      <c r="F1637"/>
      <c r="G1637"/>
      <c r="H1637" s="19"/>
      <c r="I1637" s="19"/>
      <c r="J1637" s="19"/>
      <c r="M1637" s="7"/>
    </row>
    <row r="1638" spans="2:13" x14ac:dyDescent="0.25">
      <c r="B1638"/>
      <c r="C1638"/>
      <c r="D1638"/>
      <c r="E1638"/>
      <c r="F1638"/>
      <c r="G1638"/>
      <c r="H1638" s="19"/>
      <c r="I1638" s="19"/>
      <c r="J1638" s="19"/>
      <c r="M1638" s="7"/>
    </row>
    <row r="1639" spans="2:13" x14ac:dyDescent="0.25">
      <c r="B1639"/>
      <c r="C1639"/>
      <c r="D1639"/>
      <c r="E1639"/>
      <c r="F1639"/>
      <c r="G1639"/>
      <c r="H1639" s="19"/>
      <c r="I1639" s="19"/>
      <c r="J1639" s="19"/>
      <c r="M1639" s="7"/>
    </row>
    <row r="1640" spans="2:13" x14ac:dyDescent="0.25">
      <c r="B1640"/>
      <c r="C1640"/>
      <c r="D1640"/>
      <c r="E1640"/>
      <c r="F1640"/>
      <c r="G1640"/>
      <c r="H1640" s="19"/>
      <c r="I1640" s="19"/>
      <c r="J1640" s="19"/>
      <c r="M1640" s="7"/>
    </row>
    <row r="1641" spans="2:13" x14ac:dyDescent="0.25">
      <c r="B1641"/>
      <c r="C1641"/>
      <c r="D1641"/>
      <c r="E1641"/>
      <c r="F1641"/>
      <c r="G1641"/>
      <c r="H1641" s="19"/>
      <c r="I1641" s="19"/>
      <c r="J1641" s="19"/>
      <c r="M1641" s="7"/>
    </row>
    <row r="1642" spans="2:13" x14ac:dyDescent="0.25">
      <c r="B1642"/>
      <c r="C1642"/>
      <c r="D1642"/>
      <c r="E1642"/>
      <c r="F1642"/>
      <c r="G1642"/>
      <c r="H1642" s="19"/>
      <c r="I1642" s="19"/>
      <c r="J1642" s="19"/>
      <c r="M1642" s="7"/>
    </row>
    <row r="1643" spans="2:13" x14ac:dyDescent="0.25">
      <c r="B1643"/>
      <c r="C1643"/>
      <c r="D1643"/>
      <c r="E1643"/>
      <c r="F1643"/>
      <c r="G1643"/>
      <c r="H1643" s="19"/>
      <c r="I1643" s="19"/>
      <c r="J1643" s="19"/>
      <c r="M1643" s="7"/>
    </row>
    <row r="1644" spans="2:13" x14ac:dyDescent="0.25">
      <c r="B1644"/>
      <c r="C1644"/>
      <c r="D1644"/>
      <c r="E1644"/>
      <c r="F1644"/>
      <c r="G1644"/>
      <c r="H1644" s="19"/>
      <c r="I1644" s="19"/>
      <c r="J1644" s="19"/>
      <c r="M1644" s="7"/>
    </row>
    <row r="1645" spans="2:13" x14ac:dyDescent="0.25">
      <c r="B1645"/>
      <c r="C1645"/>
      <c r="D1645"/>
      <c r="E1645"/>
      <c r="F1645"/>
      <c r="G1645"/>
      <c r="H1645" s="19"/>
      <c r="I1645" s="19"/>
      <c r="J1645" s="19"/>
      <c r="M1645" s="7"/>
    </row>
    <row r="1646" spans="2:13" x14ac:dyDescent="0.25">
      <c r="B1646"/>
      <c r="C1646"/>
      <c r="D1646"/>
      <c r="E1646"/>
      <c r="F1646"/>
      <c r="G1646"/>
      <c r="H1646" s="19"/>
      <c r="I1646" s="19"/>
      <c r="J1646" s="19"/>
      <c r="M1646" s="7"/>
    </row>
    <row r="1647" spans="2:13" x14ac:dyDescent="0.25">
      <c r="B1647"/>
      <c r="C1647"/>
      <c r="D1647"/>
      <c r="E1647"/>
      <c r="F1647"/>
      <c r="G1647"/>
      <c r="H1647" s="19"/>
      <c r="I1647" s="19"/>
      <c r="J1647" s="19"/>
      <c r="M1647" s="7"/>
    </row>
    <row r="1648" spans="2:13" x14ac:dyDescent="0.25">
      <c r="B1648"/>
      <c r="C1648"/>
      <c r="D1648"/>
      <c r="E1648"/>
      <c r="F1648"/>
      <c r="G1648"/>
      <c r="H1648" s="19"/>
      <c r="I1648" s="19"/>
      <c r="J1648" s="19"/>
      <c r="M1648" s="7"/>
    </row>
    <row r="1649" spans="2:13" x14ac:dyDescent="0.25">
      <c r="B1649"/>
      <c r="C1649"/>
      <c r="D1649"/>
      <c r="E1649"/>
      <c r="F1649"/>
      <c r="G1649"/>
      <c r="H1649" s="19"/>
      <c r="I1649" s="19"/>
      <c r="J1649" s="19"/>
      <c r="M1649" s="7"/>
    </row>
    <row r="1650" spans="2:13" x14ac:dyDescent="0.25">
      <c r="B1650"/>
      <c r="C1650"/>
      <c r="D1650"/>
      <c r="E1650"/>
      <c r="F1650"/>
      <c r="G1650"/>
      <c r="H1650" s="19"/>
      <c r="I1650" s="19"/>
      <c r="J1650" s="19"/>
      <c r="M1650" s="7"/>
    </row>
    <row r="1651" spans="2:13" x14ac:dyDescent="0.25">
      <c r="B1651"/>
      <c r="C1651"/>
      <c r="D1651"/>
      <c r="E1651"/>
      <c r="F1651"/>
      <c r="G1651"/>
      <c r="H1651" s="19"/>
      <c r="I1651" s="19"/>
      <c r="J1651" s="19"/>
      <c r="M1651" s="7"/>
    </row>
    <row r="1652" spans="2:13" x14ac:dyDescent="0.25">
      <c r="B1652"/>
      <c r="C1652"/>
      <c r="D1652"/>
      <c r="E1652"/>
      <c r="F1652"/>
      <c r="G1652"/>
      <c r="H1652" s="19"/>
      <c r="I1652" s="19"/>
      <c r="J1652" s="19"/>
      <c r="M1652" s="7"/>
    </row>
    <row r="1653" spans="2:13" x14ac:dyDescent="0.25">
      <c r="B1653"/>
      <c r="C1653"/>
      <c r="D1653"/>
      <c r="E1653"/>
      <c r="F1653"/>
      <c r="G1653"/>
      <c r="H1653" s="19"/>
      <c r="I1653" s="19"/>
      <c r="J1653" s="19"/>
      <c r="M1653" s="7"/>
    </row>
    <row r="1654" spans="2:13" x14ac:dyDescent="0.25">
      <c r="B1654"/>
      <c r="C1654"/>
      <c r="D1654"/>
      <c r="E1654"/>
      <c r="F1654"/>
      <c r="G1654"/>
      <c r="H1654" s="19"/>
      <c r="I1654" s="19"/>
      <c r="J1654" s="19"/>
      <c r="M1654" s="7"/>
    </row>
    <row r="1655" spans="2:13" x14ac:dyDescent="0.25">
      <c r="B1655"/>
      <c r="C1655"/>
      <c r="D1655"/>
      <c r="E1655"/>
      <c r="F1655"/>
      <c r="G1655"/>
      <c r="H1655" s="19"/>
      <c r="I1655" s="19"/>
      <c r="J1655" s="19"/>
      <c r="M1655" s="7"/>
    </row>
    <row r="1656" spans="2:13" x14ac:dyDescent="0.25">
      <c r="B1656"/>
      <c r="C1656"/>
      <c r="D1656"/>
      <c r="E1656"/>
      <c r="F1656"/>
      <c r="G1656"/>
      <c r="H1656" s="19"/>
      <c r="I1656" s="19"/>
      <c r="J1656" s="19"/>
      <c r="M1656" s="7"/>
    </row>
    <row r="1657" spans="2:13" x14ac:dyDescent="0.25">
      <c r="B1657"/>
      <c r="C1657"/>
      <c r="D1657"/>
      <c r="E1657"/>
      <c r="F1657"/>
      <c r="G1657"/>
      <c r="H1657" s="19"/>
      <c r="I1657" s="19"/>
      <c r="J1657" s="19"/>
      <c r="M1657" s="7"/>
    </row>
    <row r="1658" spans="2:13" x14ac:dyDescent="0.25">
      <c r="B1658"/>
      <c r="C1658"/>
      <c r="D1658"/>
      <c r="E1658"/>
      <c r="F1658"/>
      <c r="G1658"/>
      <c r="H1658" s="19"/>
      <c r="I1658" s="19"/>
      <c r="J1658" s="19"/>
      <c r="M1658" s="7"/>
    </row>
    <row r="1659" spans="2:13" x14ac:dyDescent="0.25">
      <c r="B1659"/>
      <c r="C1659"/>
      <c r="D1659"/>
      <c r="E1659"/>
      <c r="F1659"/>
      <c r="G1659"/>
      <c r="H1659" s="19"/>
      <c r="I1659" s="19"/>
      <c r="J1659" s="19"/>
      <c r="M1659" s="7"/>
    </row>
    <row r="1660" spans="2:13" x14ac:dyDescent="0.25">
      <c r="B1660"/>
      <c r="C1660"/>
      <c r="D1660"/>
      <c r="E1660"/>
      <c r="F1660"/>
      <c r="G1660"/>
      <c r="H1660" s="19"/>
      <c r="I1660" s="19"/>
      <c r="J1660" s="19"/>
      <c r="M1660" s="7"/>
    </row>
    <row r="1661" spans="2:13" x14ac:dyDescent="0.25">
      <c r="B1661"/>
      <c r="C1661"/>
      <c r="D1661"/>
      <c r="E1661"/>
      <c r="F1661"/>
      <c r="G1661"/>
      <c r="H1661" s="19"/>
      <c r="I1661" s="19"/>
      <c r="J1661" s="19"/>
      <c r="M1661" s="7"/>
    </row>
    <row r="1662" spans="2:13" x14ac:dyDescent="0.25">
      <c r="B1662"/>
      <c r="C1662"/>
      <c r="D1662"/>
      <c r="E1662"/>
      <c r="F1662"/>
      <c r="G1662"/>
      <c r="H1662" s="19"/>
      <c r="I1662" s="19"/>
      <c r="J1662" s="19"/>
      <c r="M1662" s="7"/>
    </row>
    <row r="1663" spans="2:13" x14ac:dyDescent="0.25">
      <c r="B1663"/>
      <c r="C1663"/>
      <c r="D1663"/>
      <c r="E1663"/>
      <c r="F1663"/>
      <c r="G1663"/>
      <c r="H1663" s="19"/>
      <c r="I1663" s="19"/>
      <c r="J1663" s="19"/>
      <c r="M1663" s="7"/>
    </row>
    <row r="1664" spans="2:13" x14ac:dyDescent="0.25">
      <c r="B1664"/>
      <c r="C1664"/>
      <c r="D1664"/>
      <c r="E1664"/>
      <c r="F1664"/>
      <c r="G1664"/>
      <c r="H1664" s="19"/>
      <c r="I1664" s="19"/>
      <c r="J1664" s="19"/>
      <c r="M1664" s="7"/>
    </row>
    <row r="1665" spans="2:13" x14ac:dyDescent="0.25">
      <c r="B1665"/>
      <c r="C1665"/>
      <c r="D1665"/>
      <c r="E1665"/>
      <c r="F1665"/>
      <c r="G1665"/>
      <c r="H1665" s="19"/>
      <c r="I1665" s="19"/>
      <c r="J1665" s="19"/>
      <c r="M1665" s="7"/>
    </row>
    <row r="1666" spans="2:13" x14ac:dyDescent="0.25">
      <c r="B1666"/>
      <c r="C1666"/>
      <c r="D1666"/>
      <c r="E1666"/>
      <c r="F1666"/>
      <c r="G1666"/>
      <c r="H1666" s="19"/>
      <c r="I1666" s="19"/>
      <c r="J1666" s="19"/>
      <c r="M1666" s="7"/>
    </row>
    <row r="1667" spans="2:13" x14ac:dyDescent="0.25">
      <c r="B1667"/>
      <c r="C1667"/>
      <c r="D1667"/>
      <c r="E1667"/>
      <c r="F1667"/>
      <c r="G1667"/>
      <c r="H1667" s="19"/>
      <c r="I1667" s="19"/>
      <c r="J1667" s="19"/>
      <c r="M1667" s="7"/>
    </row>
    <row r="1668" spans="2:13" x14ac:dyDescent="0.25">
      <c r="B1668"/>
      <c r="C1668"/>
      <c r="D1668"/>
      <c r="E1668"/>
      <c r="F1668"/>
      <c r="G1668"/>
      <c r="H1668" s="19"/>
      <c r="I1668" s="19"/>
      <c r="J1668" s="19"/>
      <c r="M1668" s="7"/>
    </row>
    <row r="1669" spans="2:13" x14ac:dyDescent="0.25">
      <c r="B1669"/>
      <c r="C1669"/>
      <c r="D1669"/>
      <c r="E1669"/>
      <c r="F1669"/>
      <c r="G1669"/>
      <c r="H1669" s="19"/>
      <c r="I1669" s="19"/>
      <c r="J1669" s="19"/>
      <c r="M1669" s="7"/>
    </row>
    <row r="1670" spans="2:13" x14ac:dyDescent="0.25">
      <c r="B1670"/>
      <c r="C1670"/>
      <c r="D1670"/>
      <c r="E1670"/>
      <c r="F1670"/>
      <c r="G1670"/>
      <c r="H1670" s="19"/>
      <c r="I1670" s="19"/>
      <c r="J1670" s="19"/>
      <c r="M1670" s="7"/>
    </row>
    <row r="1671" spans="2:13" x14ac:dyDescent="0.25">
      <c r="B1671"/>
      <c r="C1671"/>
      <c r="D1671"/>
      <c r="E1671"/>
      <c r="F1671"/>
      <c r="G1671"/>
      <c r="H1671" s="19"/>
      <c r="I1671" s="19"/>
      <c r="J1671" s="19"/>
      <c r="M1671" s="7"/>
    </row>
    <row r="1672" spans="2:13" x14ac:dyDescent="0.25">
      <c r="B1672"/>
      <c r="C1672"/>
      <c r="D1672"/>
      <c r="E1672"/>
      <c r="F1672"/>
      <c r="G1672"/>
      <c r="H1672" s="19"/>
      <c r="I1672" s="19"/>
      <c r="J1672" s="19"/>
      <c r="M1672" s="7"/>
    </row>
    <row r="1673" spans="2:13" x14ac:dyDescent="0.25">
      <c r="B1673"/>
      <c r="C1673"/>
      <c r="D1673"/>
      <c r="E1673"/>
      <c r="F1673"/>
      <c r="G1673"/>
      <c r="H1673" s="19"/>
      <c r="I1673" s="19"/>
      <c r="J1673" s="19"/>
      <c r="M1673" s="7"/>
    </row>
    <row r="1674" spans="2:13" x14ac:dyDescent="0.25">
      <c r="B1674"/>
      <c r="C1674"/>
      <c r="D1674"/>
      <c r="E1674"/>
      <c r="F1674"/>
      <c r="G1674"/>
      <c r="H1674" s="19"/>
      <c r="I1674" s="19"/>
      <c r="J1674" s="19"/>
      <c r="M1674" s="7"/>
    </row>
    <row r="1675" spans="2:13" x14ac:dyDescent="0.25">
      <c r="B1675"/>
      <c r="C1675"/>
      <c r="D1675"/>
      <c r="E1675"/>
      <c r="F1675"/>
      <c r="G1675"/>
      <c r="H1675" s="19"/>
      <c r="I1675" s="19"/>
      <c r="J1675" s="19"/>
      <c r="M1675" s="7"/>
    </row>
    <row r="1676" spans="2:13" x14ac:dyDescent="0.25">
      <c r="B1676"/>
      <c r="C1676"/>
      <c r="D1676"/>
      <c r="E1676"/>
      <c r="F1676"/>
      <c r="G1676"/>
      <c r="H1676" s="19"/>
      <c r="I1676" s="19"/>
      <c r="J1676" s="19"/>
      <c r="M1676" s="7"/>
    </row>
    <row r="1677" spans="2:13" x14ac:dyDescent="0.25">
      <c r="B1677"/>
      <c r="C1677"/>
      <c r="D1677"/>
      <c r="E1677"/>
      <c r="F1677"/>
      <c r="G1677"/>
      <c r="H1677" s="19"/>
      <c r="I1677" s="19"/>
      <c r="J1677" s="19"/>
      <c r="M1677" s="7"/>
    </row>
    <row r="1678" spans="2:13" x14ac:dyDescent="0.25">
      <c r="B1678"/>
      <c r="C1678"/>
      <c r="D1678"/>
      <c r="E1678"/>
      <c r="F1678"/>
      <c r="G1678"/>
      <c r="H1678" s="19"/>
      <c r="I1678" s="19"/>
      <c r="J1678" s="19"/>
      <c r="M1678" s="7"/>
    </row>
    <row r="1679" spans="2:13" x14ac:dyDescent="0.25">
      <c r="B1679"/>
      <c r="C1679"/>
      <c r="D1679"/>
      <c r="E1679"/>
      <c r="F1679"/>
      <c r="G1679"/>
      <c r="H1679" s="19"/>
      <c r="I1679" s="19"/>
      <c r="J1679" s="19"/>
      <c r="M1679" s="7"/>
    </row>
    <row r="1680" spans="2:13" x14ac:dyDescent="0.25">
      <c r="B1680"/>
      <c r="C1680"/>
      <c r="D1680"/>
      <c r="E1680"/>
      <c r="F1680"/>
      <c r="G1680"/>
      <c r="H1680" s="19"/>
      <c r="I1680" s="19"/>
      <c r="J1680" s="19"/>
      <c r="M1680" s="7"/>
    </row>
    <row r="1681" spans="2:13" x14ac:dyDescent="0.25">
      <c r="B1681"/>
      <c r="C1681"/>
      <c r="D1681"/>
      <c r="E1681"/>
      <c r="F1681"/>
      <c r="G1681"/>
      <c r="H1681" s="19"/>
      <c r="I1681" s="19"/>
      <c r="J1681" s="19"/>
      <c r="M1681" s="7"/>
    </row>
    <row r="1682" spans="2:13" x14ac:dyDescent="0.25">
      <c r="B1682"/>
      <c r="C1682"/>
      <c r="D1682"/>
      <c r="E1682"/>
      <c r="F1682"/>
      <c r="G1682"/>
      <c r="H1682" s="19"/>
      <c r="I1682" s="19"/>
      <c r="J1682" s="19"/>
      <c r="M1682" s="7"/>
    </row>
    <row r="1683" spans="2:13" x14ac:dyDescent="0.25">
      <c r="B1683"/>
      <c r="C1683"/>
      <c r="D1683"/>
      <c r="E1683"/>
      <c r="F1683"/>
      <c r="G1683"/>
      <c r="H1683" s="19"/>
      <c r="I1683" s="19"/>
      <c r="J1683" s="19"/>
      <c r="M1683" s="7"/>
    </row>
    <row r="1684" spans="2:13" x14ac:dyDescent="0.25">
      <c r="B1684"/>
      <c r="C1684"/>
      <c r="D1684"/>
      <c r="E1684"/>
      <c r="F1684"/>
      <c r="G1684"/>
      <c r="H1684" s="19"/>
      <c r="I1684" s="19"/>
      <c r="J1684" s="19"/>
      <c r="M1684" s="7"/>
    </row>
    <row r="1685" spans="2:13" x14ac:dyDescent="0.25">
      <c r="B1685"/>
      <c r="C1685"/>
      <c r="D1685"/>
      <c r="E1685"/>
      <c r="F1685"/>
      <c r="G1685"/>
      <c r="H1685" s="19"/>
      <c r="I1685" s="19"/>
      <c r="J1685" s="19"/>
      <c r="M1685" s="7"/>
    </row>
    <row r="1686" spans="2:13" x14ac:dyDescent="0.25">
      <c r="B1686"/>
      <c r="C1686"/>
      <c r="D1686"/>
      <c r="E1686"/>
      <c r="F1686"/>
      <c r="G1686"/>
      <c r="H1686" s="19"/>
      <c r="I1686" s="19"/>
      <c r="J1686" s="19"/>
      <c r="M1686" s="7"/>
    </row>
    <row r="1687" spans="2:13" x14ac:dyDescent="0.25">
      <c r="B1687"/>
      <c r="C1687"/>
      <c r="D1687"/>
      <c r="E1687"/>
      <c r="F1687"/>
      <c r="G1687"/>
      <c r="H1687" s="19"/>
      <c r="I1687" s="19"/>
      <c r="J1687" s="19"/>
      <c r="M1687" s="7"/>
    </row>
    <row r="1688" spans="2:13" x14ac:dyDescent="0.25">
      <c r="B1688"/>
      <c r="C1688"/>
      <c r="D1688"/>
      <c r="E1688"/>
      <c r="F1688"/>
      <c r="G1688"/>
      <c r="H1688" s="19"/>
      <c r="I1688" s="19"/>
      <c r="J1688" s="19"/>
      <c r="M1688" s="7"/>
    </row>
    <row r="1689" spans="2:13" x14ac:dyDescent="0.25">
      <c r="B1689"/>
      <c r="C1689"/>
      <c r="D1689"/>
      <c r="E1689"/>
      <c r="F1689"/>
      <c r="G1689"/>
      <c r="H1689" s="19"/>
      <c r="I1689" s="19"/>
      <c r="J1689" s="19"/>
      <c r="M1689" s="7"/>
    </row>
    <row r="1690" spans="2:13" x14ac:dyDescent="0.25">
      <c r="B1690"/>
      <c r="C1690"/>
      <c r="D1690"/>
      <c r="E1690"/>
      <c r="F1690"/>
      <c r="G1690"/>
      <c r="H1690" s="19"/>
      <c r="I1690" s="19"/>
      <c r="J1690" s="19"/>
      <c r="M1690" s="7"/>
    </row>
    <row r="1691" spans="2:13" x14ac:dyDescent="0.25">
      <c r="B1691"/>
      <c r="C1691"/>
      <c r="D1691"/>
      <c r="E1691"/>
      <c r="F1691"/>
      <c r="G1691"/>
      <c r="H1691" s="19"/>
      <c r="I1691" s="19"/>
      <c r="J1691" s="19"/>
      <c r="M1691" s="7"/>
    </row>
    <row r="1692" spans="2:13" x14ac:dyDescent="0.25">
      <c r="B1692"/>
      <c r="C1692"/>
      <c r="D1692"/>
      <c r="E1692"/>
      <c r="F1692"/>
      <c r="G1692"/>
      <c r="H1692" s="19"/>
      <c r="I1692" s="19"/>
      <c r="J1692" s="19"/>
      <c r="M1692" s="7"/>
    </row>
    <row r="1693" spans="2:13" x14ac:dyDescent="0.25">
      <c r="B1693"/>
      <c r="C1693"/>
      <c r="D1693"/>
      <c r="E1693"/>
      <c r="F1693"/>
      <c r="G1693"/>
      <c r="H1693" s="19"/>
      <c r="I1693" s="19"/>
      <c r="J1693" s="19"/>
      <c r="M1693" s="7"/>
    </row>
    <row r="1694" spans="2:13" x14ac:dyDescent="0.25">
      <c r="B1694"/>
      <c r="C1694"/>
      <c r="D1694"/>
      <c r="E1694"/>
      <c r="F1694"/>
      <c r="G1694"/>
      <c r="H1694" s="19"/>
      <c r="I1694" s="19"/>
      <c r="J1694" s="19"/>
      <c r="M1694" s="7"/>
    </row>
    <row r="1695" spans="2:13" x14ac:dyDescent="0.25">
      <c r="B1695"/>
      <c r="C1695"/>
      <c r="D1695"/>
      <c r="E1695"/>
      <c r="F1695"/>
      <c r="G1695"/>
      <c r="H1695" s="19"/>
      <c r="I1695" s="19"/>
      <c r="J1695" s="19"/>
      <c r="M1695" s="7"/>
    </row>
    <row r="1696" spans="2:13" x14ac:dyDescent="0.25">
      <c r="B1696"/>
      <c r="C1696"/>
      <c r="D1696"/>
      <c r="E1696"/>
      <c r="F1696"/>
      <c r="G1696"/>
      <c r="H1696" s="19"/>
      <c r="I1696" s="19"/>
      <c r="J1696" s="19"/>
      <c r="M1696" s="7"/>
    </row>
    <row r="1697" spans="2:13" x14ac:dyDescent="0.25">
      <c r="B1697"/>
      <c r="C1697"/>
      <c r="D1697"/>
      <c r="E1697"/>
      <c r="F1697"/>
      <c r="G1697"/>
      <c r="H1697" s="19"/>
      <c r="I1697" s="19"/>
      <c r="J1697" s="19"/>
      <c r="M1697" s="7"/>
    </row>
    <row r="1698" spans="2:13" x14ac:dyDescent="0.25">
      <c r="B1698"/>
      <c r="C1698"/>
      <c r="D1698"/>
      <c r="E1698"/>
      <c r="F1698"/>
      <c r="G1698"/>
      <c r="H1698" s="19"/>
      <c r="I1698" s="19"/>
      <c r="J1698" s="19"/>
      <c r="M1698" s="7"/>
    </row>
    <row r="1699" spans="2:13" x14ac:dyDescent="0.25">
      <c r="B1699"/>
      <c r="C1699"/>
      <c r="D1699"/>
      <c r="E1699"/>
      <c r="F1699"/>
      <c r="G1699"/>
      <c r="H1699" s="19"/>
      <c r="I1699" s="19"/>
      <c r="J1699" s="19"/>
      <c r="M1699" s="7"/>
    </row>
    <row r="1700" spans="2:13" x14ac:dyDescent="0.25">
      <c r="B1700"/>
      <c r="C1700"/>
      <c r="D1700"/>
      <c r="E1700"/>
      <c r="F1700"/>
      <c r="G1700"/>
      <c r="H1700" s="19"/>
      <c r="I1700" s="19"/>
      <c r="J1700" s="19"/>
      <c r="M1700" s="7"/>
    </row>
    <row r="1701" spans="2:13" x14ac:dyDescent="0.25">
      <c r="B1701"/>
      <c r="C1701"/>
      <c r="D1701"/>
      <c r="E1701"/>
      <c r="F1701"/>
      <c r="G1701"/>
      <c r="H1701" s="19"/>
      <c r="I1701" s="19"/>
      <c r="J1701" s="19"/>
      <c r="M1701" s="7"/>
    </row>
    <row r="1702" spans="2:13" x14ac:dyDescent="0.25">
      <c r="B1702"/>
      <c r="C1702"/>
      <c r="D1702"/>
      <c r="E1702"/>
      <c r="F1702"/>
      <c r="G1702"/>
      <c r="H1702" s="19"/>
      <c r="I1702" s="19"/>
      <c r="J1702" s="19"/>
      <c r="M1702" s="7"/>
    </row>
    <row r="1703" spans="2:13" x14ac:dyDescent="0.25">
      <c r="B1703"/>
      <c r="C1703"/>
      <c r="D1703"/>
      <c r="E1703"/>
      <c r="F1703"/>
      <c r="G1703"/>
      <c r="H1703" s="19"/>
      <c r="I1703" s="19"/>
      <c r="J1703" s="19"/>
      <c r="M1703" s="7"/>
    </row>
    <row r="1704" spans="2:13" x14ac:dyDescent="0.25">
      <c r="B1704"/>
      <c r="C1704"/>
      <c r="D1704"/>
      <c r="E1704"/>
      <c r="F1704"/>
      <c r="G1704"/>
      <c r="H1704" s="19"/>
      <c r="I1704" s="19"/>
      <c r="J1704" s="19"/>
      <c r="M1704" s="7"/>
    </row>
    <row r="1705" spans="2:13" x14ac:dyDescent="0.25">
      <c r="B1705"/>
      <c r="C1705"/>
      <c r="D1705"/>
      <c r="E1705"/>
      <c r="F1705"/>
      <c r="G1705"/>
      <c r="H1705" s="19"/>
      <c r="I1705" s="19"/>
      <c r="J1705" s="19"/>
      <c r="M1705" s="7"/>
    </row>
    <row r="1706" spans="2:13" x14ac:dyDescent="0.25">
      <c r="B1706"/>
      <c r="C1706"/>
      <c r="D1706"/>
      <c r="E1706"/>
      <c r="F1706"/>
      <c r="G1706"/>
      <c r="H1706" s="19"/>
      <c r="I1706" s="19"/>
      <c r="J1706" s="19"/>
      <c r="M1706" s="7"/>
    </row>
    <row r="1707" spans="2:13" x14ac:dyDescent="0.25">
      <c r="B1707"/>
      <c r="C1707"/>
      <c r="D1707"/>
      <c r="E1707"/>
      <c r="F1707"/>
      <c r="G1707"/>
      <c r="H1707" s="19"/>
      <c r="I1707" s="19"/>
      <c r="J1707" s="19"/>
      <c r="M1707" s="7"/>
    </row>
    <row r="1708" spans="2:13" x14ac:dyDescent="0.25">
      <c r="B1708"/>
      <c r="C1708"/>
      <c r="D1708"/>
      <c r="E1708"/>
      <c r="F1708"/>
      <c r="G1708"/>
      <c r="H1708" s="19"/>
      <c r="I1708" s="19"/>
      <c r="J1708" s="19"/>
      <c r="M1708" s="7"/>
    </row>
    <row r="1709" spans="2:13" x14ac:dyDescent="0.25">
      <c r="B1709"/>
      <c r="C1709"/>
      <c r="D1709"/>
      <c r="E1709"/>
      <c r="F1709"/>
      <c r="G1709"/>
      <c r="H1709" s="19"/>
      <c r="I1709" s="19"/>
      <c r="J1709" s="19"/>
      <c r="M1709" s="7"/>
    </row>
    <row r="1710" spans="2:13" x14ac:dyDescent="0.25">
      <c r="B1710"/>
      <c r="C1710"/>
      <c r="D1710"/>
      <c r="E1710"/>
      <c r="F1710"/>
      <c r="G1710"/>
      <c r="H1710" s="19"/>
      <c r="I1710" s="19"/>
      <c r="J1710" s="19"/>
      <c r="M1710" s="7"/>
    </row>
    <row r="1711" spans="2:13" x14ac:dyDescent="0.25">
      <c r="B1711"/>
      <c r="C1711"/>
      <c r="D1711"/>
      <c r="E1711"/>
      <c r="F1711"/>
      <c r="G1711"/>
      <c r="H1711" s="19"/>
      <c r="I1711" s="19"/>
      <c r="J1711" s="19"/>
      <c r="M1711" s="7"/>
    </row>
    <row r="1712" spans="2:13" x14ac:dyDescent="0.25">
      <c r="B1712"/>
      <c r="C1712"/>
      <c r="D1712"/>
      <c r="E1712"/>
      <c r="F1712"/>
      <c r="G1712"/>
      <c r="H1712" s="19"/>
      <c r="I1712" s="19"/>
      <c r="J1712" s="19"/>
      <c r="M1712" s="7"/>
    </row>
    <row r="1713" spans="2:13" x14ac:dyDescent="0.25">
      <c r="B1713"/>
      <c r="C1713"/>
      <c r="D1713"/>
      <c r="E1713"/>
      <c r="F1713"/>
      <c r="G1713"/>
      <c r="H1713" s="19"/>
      <c r="I1713" s="19"/>
      <c r="J1713" s="19"/>
      <c r="M1713" s="7"/>
    </row>
    <row r="1714" spans="2:13" x14ac:dyDescent="0.25">
      <c r="B1714"/>
      <c r="C1714"/>
      <c r="D1714"/>
      <c r="E1714"/>
      <c r="F1714"/>
      <c r="G1714"/>
      <c r="H1714" s="19"/>
      <c r="I1714" s="19"/>
      <c r="J1714" s="19"/>
      <c r="M1714" s="7"/>
    </row>
    <row r="1715" spans="2:13" x14ac:dyDescent="0.25">
      <c r="B1715"/>
      <c r="C1715"/>
      <c r="D1715"/>
      <c r="E1715"/>
      <c r="F1715"/>
      <c r="G1715"/>
      <c r="H1715" s="19"/>
      <c r="I1715" s="19"/>
      <c r="J1715" s="19"/>
      <c r="M1715" s="7"/>
    </row>
    <row r="1716" spans="2:13" x14ac:dyDescent="0.25">
      <c r="B1716"/>
      <c r="C1716"/>
      <c r="D1716"/>
      <c r="E1716"/>
      <c r="F1716"/>
      <c r="G1716"/>
      <c r="H1716" s="19"/>
      <c r="I1716" s="19"/>
      <c r="J1716" s="19"/>
      <c r="M1716" s="7"/>
    </row>
    <row r="1717" spans="2:13" x14ac:dyDescent="0.25">
      <c r="B1717"/>
      <c r="C1717"/>
      <c r="D1717"/>
      <c r="E1717"/>
      <c r="F1717"/>
      <c r="G1717"/>
      <c r="H1717" s="19"/>
      <c r="I1717" s="19"/>
      <c r="J1717" s="19"/>
      <c r="M1717" s="7"/>
    </row>
    <row r="1718" spans="2:13" x14ac:dyDescent="0.25">
      <c r="B1718"/>
      <c r="C1718"/>
      <c r="D1718"/>
      <c r="E1718"/>
      <c r="F1718"/>
      <c r="G1718"/>
      <c r="H1718" s="19"/>
      <c r="I1718" s="19"/>
      <c r="J1718" s="19"/>
      <c r="M1718" s="7"/>
    </row>
    <row r="1719" spans="2:13" x14ac:dyDescent="0.25">
      <c r="B1719"/>
      <c r="C1719"/>
      <c r="D1719"/>
      <c r="E1719"/>
      <c r="F1719"/>
      <c r="G1719"/>
      <c r="H1719" s="19"/>
      <c r="I1719" s="19"/>
      <c r="J1719" s="19"/>
      <c r="M1719" s="7"/>
    </row>
    <row r="1720" spans="2:13" x14ac:dyDescent="0.25">
      <c r="B1720"/>
      <c r="C1720"/>
      <c r="D1720"/>
      <c r="E1720"/>
      <c r="F1720"/>
      <c r="G1720"/>
      <c r="H1720" s="19"/>
      <c r="I1720" s="19"/>
      <c r="J1720" s="19"/>
      <c r="M1720" s="7"/>
    </row>
    <row r="1721" spans="2:13" x14ac:dyDescent="0.25">
      <c r="B1721"/>
      <c r="C1721"/>
      <c r="D1721"/>
      <c r="E1721"/>
      <c r="F1721"/>
      <c r="G1721"/>
      <c r="H1721" s="19"/>
      <c r="I1721" s="19"/>
      <c r="J1721" s="19"/>
      <c r="M1721" s="7"/>
    </row>
    <row r="1722" spans="2:13" x14ac:dyDescent="0.25">
      <c r="B1722"/>
      <c r="C1722"/>
      <c r="D1722"/>
      <c r="E1722"/>
      <c r="F1722"/>
      <c r="G1722"/>
      <c r="H1722" s="19"/>
      <c r="I1722" s="19"/>
      <c r="J1722" s="19"/>
      <c r="M1722" s="7"/>
    </row>
    <row r="1723" spans="2:13" x14ac:dyDescent="0.25">
      <c r="B1723"/>
      <c r="C1723"/>
      <c r="D1723"/>
      <c r="E1723"/>
      <c r="F1723"/>
      <c r="G1723"/>
      <c r="H1723" s="19"/>
      <c r="I1723" s="19"/>
      <c r="J1723" s="19"/>
      <c r="M1723" s="7"/>
    </row>
    <row r="1724" spans="2:13" x14ac:dyDescent="0.25">
      <c r="B1724"/>
      <c r="C1724"/>
      <c r="D1724"/>
      <c r="E1724"/>
      <c r="F1724"/>
      <c r="G1724"/>
      <c r="H1724" s="19"/>
      <c r="I1724" s="19"/>
      <c r="J1724" s="19"/>
      <c r="M1724" s="7"/>
    </row>
    <row r="1725" spans="2:13" x14ac:dyDescent="0.25">
      <c r="B1725"/>
      <c r="C1725"/>
      <c r="D1725"/>
      <c r="E1725"/>
      <c r="F1725"/>
      <c r="G1725"/>
      <c r="H1725" s="19"/>
      <c r="I1725" s="19"/>
      <c r="J1725" s="19"/>
      <c r="M1725" s="7"/>
    </row>
    <row r="1726" spans="2:13" x14ac:dyDescent="0.25">
      <c r="B1726"/>
      <c r="C1726"/>
      <c r="D1726"/>
      <c r="E1726"/>
      <c r="F1726"/>
      <c r="G1726"/>
      <c r="H1726" s="19"/>
      <c r="I1726" s="19"/>
      <c r="J1726" s="19"/>
      <c r="M1726" s="7"/>
    </row>
    <row r="1727" spans="2:13" x14ac:dyDescent="0.25">
      <c r="B1727"/>
      <c r="C1727"/>
      <c r="D1727"/>
      <c r="E1727"/>
      <c r="F1727"/>
      <c r="G1727"/>
      <c r="H1727" s="19"/>
      <c r="I1727" s="19"/>
      <c r="J1727" s="19"/>
      <c r="M1727" s="7"/>
    </row>
    <row r="1728" spans="2:13" x14ac:dyDescent="0.25">
      <c r="B1728"/>
      <c r="C1728"/>
      <c r="D1728"/>
      <c r="E1728"/>
      <c r="F1728"/>
      <c r="G1728"/>
      <c r="H1728" s="19"/>
      <c r="I1728" s="19"/>
      <c r="J1728" s="19"/>
      <c r="M1728" s="7"/>
    </row>
    <row r="1729" spans="2:13" x14ac:dyDescent="0.25">
      <c r="B1729"/>
      <c r="C1729"/>
      <c r="D1729"/>
      <c r="E1729"/>
      <c r="F1729"/>
      <c r="G1729"/>
      <c r="H1729" s="19"/>
      <c r="I1729" s="19"/>
      <c r="J1729" s="19"/>
      <c r="M1729" s="7"/>
    </row>
    <row r="1730" spans="2:13" x14ac:dyDescent="0.25">
      <c r="B1730"/>
      <c r="C1730"/>
      <c r="D1730"/>
      <c r="E1730"/>
      <c r="F1730"/>
      <c r="G1730"/>
      <c r="H1730" s="19"/>
      <c r="I1730" s="19"/>
      <c r="J1730" s="19"/>
      <c r="M1730" s="7"/>
    </row>
    <row r="1731" spans="2:13" x14ac:dyDescent="0.25">
      <c r="B1731"/>
      <c r="C1731"/>
      <c r="D1731"/>
      <c r="E1731"/>
      <c r="F1731"/>
      <c r="G1731"/>
      <c r="H1731" s="19"/>
      <c r="I1731" s="19"/>
      <c r="J1731" s="19"/>
      <c r="M1731" s="7"/>
    </row>
    <row r="1732" spans="2:13" x14ac:dyDescent="0.25">
      <c r="B1732"/>
      <c r="C1732"/>
      <c r="D1732"/>
      <c r="E1732"/>
      <c r="F1732"/>
      <c r="G1732"/>
      <c r="H1732" s="19"/>
      <c r="I1732" s="19"/>
      <c r="J1732" s="19"/>
      <c r="M1732" s="7"/>
    </row>
    <row r="1733" spans="2:13" x14ac:dyDescent="0.25">
      <c r="B1733"/>
      <c r="C1733"/>
      <c r="D1733"/>
      <c r="E1733"/>
      <c r="F1733"/>
      <c r="G1733"/>
      <c r="H1733" s="19"/>
      <c r="I1733" s="19"/>
      <c r="J1733" s="19"/>
      <c r="M1733" s="7"/>
    </row>
    <row r="1734" spans="2:13" x14ac:dyDescent="0.25">
      <c r="B1734"/>
      <c r="C1734"/>
      <c r="D1734"/>
      <c r="E1734"/>
      <c r="F1734"/>
      <c r="G1734"/>
      <c r="H1734" s="19"/>
      <c r="I1734" s="19"/>
      <c r="J1734" s="19"/>
      <c r="M1734" s="7"/>
    </row>
    <row r="1735" spans="2:13" x14ac:dyDescent="0.25">
      <c r="B1735"/>
      <c r="C1735"/>
      <c r="D1735"/>
      <c r="E1735"/>
      <c r="F1735"/>
      <c r="G1735"/>
      <c r="H1735" s="19"/>
      <c r="I1735" s="19"/>
      <c r="J1735" s="19"/>
      <c r="M1735" s="7"/>
    </row>
    <row r="1736" spans="2:13" x14ac:dyDescent="0.25">
      <c r="B1736"/>
      <c r="C1736"/>
      <c r="D1736"/>
      <c r="E1736"/>
      <c r="F1736"/>
      <c r="G1736"/>
      <c r="H1736" s="19"/>
      <c r="I1736" s="19"/>
      <c r="J1736" s="19"/>
      <c r="M1736" s="7"/>
    </row>
    <row r="1737" spans="2:13" x14ac:dyDescent="0.25">
      <c r="B1737"/>
      <c r="C1737"/>
      <c r="D1737"/>
      <c r="E1737"/>
      <c r="F1737"/>
      <c r="G1737"/>
      <c r="H1737" s="19"/>
      <c r="I1737" s="19"/>
      <c r="J1737" s="19"/>
      <c r="M1737" s="7"/>
    </row>
    <row r="1738" spans="2:13" x14ac:dyDescent="0.25">
      <c r="B1738"/>
      <c r="C1738"/>
      <c r="D1738"/>
      <c r="E1738"/>
      <c r="F1738"/>
      <c r="G1738"/>
      <c r="H1738" s="19"/>
      <c r="I1738" s="19"/>
      <c r="J1738" s="19"/>
      <c r="M1738" s="7"/>
    </row>
    <row r="1739" spans="2:13" x14ac:dyDescent="0.25">
      <c r="B1739"/>
      <c r="C1739"/>
      <c r="D1739"/>
      <c r="E1739"/>
      <c r="F1739"/>
      <c r="G1739"/>
      <c r="H1739" s="19"/>
      <c r="I1739" s="19"/>
      <c r="J1739" s="19"/>
      <c r="M1739" s="7"/>
    </row>
    <row r="1740" spans="2:13" x14ac:dyDescent="0.25">
      <c r="B1740"/>
      <c r="C1740"/>
      <c r="D1740"/>
      <c r="E1740"/>
      <c r="F1740"/>
      <c r="G1740"/>
      <c r="H1740" s="19"/>
      <c r="I1740" s="19"/>
      <c r="J1740" s="19"/>
      <c r="M1740" s="7"/>
    </row>
    <row r="1741" spans="2:13" x14ac:dyDescent="0.25">
      <c r="B1741"/>
      <c r="C1741"/>
      <c r="D1741"/>
      <c r="E1741"/>
      <c r="F1741"/>
      <c r="G1741"/>
      <c r="H1741" s="19"/>
      <c r="I1741" s="19"/>
      <c r="J1741" s="19"/>
      <c r="M1741" s="7"/>
    </row>
    <row r="1742" spans="2:13" x14ac:dyDescent="0.25">
      <c r="B1742"/>
      <c r="C1742"/>
      <c r="D1742"/>
      <c r="E1742"/>
      <c r="F1742"/>
      <c r="G1742"/>
      <c r="H1742" s="19"/>
      <c r="I1742" s="19"/>
      <c r="J1742" s="19"/>
      <c r="M1742" s="7"/>
    </row>
    <row r="1743" spans="2:13" x14ac:dyDescent="0.25">
      <c r="B1743"/>
      <c r="C1743"/>
      <c r="D1743"/>
      <c r="E1743"/>
      <c r="F1743"/>
      <c r="G1743"/>
      <c r="H1743" s="19"/>
      <c r="I1743" s="19"/>
      <c r="J1743" s="19"/>
      <c r="M1743" s="7"/>
    </row>
    <row r="1744" spans="2:13" x14ac:dyDescent="0.25">
      <c r="B1744"/>
      <c r="C1744"/>
      <c r="D1744"/>
      <c r="E1744"/>
      <c r="F1744"/>
      <c r="G1744"/>
      <c r="H1744" s="19"/>
      <c r="I1744" s="19"/>
      <c r="J1744" s="19"/>
      <c r="M1744" s="7"/>
    </row>
    <row r="1745" spans="2:13" x14ac:dyDescent="0.25">
      <c r="B1745"/>
      <c r="C1745"/>
      <c r="D1745"/>
      <c r="E1745"/>
      <c r="F1745"/>
      <c r="G1745"/>
      <c r="H1745" s="19"/>
      <c r="I1745" s="19"/>
      <c r="J1745" s="19"/>
      <c r="M1745" s="7"/>
    </row>
    <row r="1746" spans="2:13" x14ac:dyDescent="0.25">
      <c r="B1746"/>
      <c r="C1746"/>
      <c r="D1746"/>
      <c r="E1746"/>
      <c r="F1746"/>
      <c r="G1746"/>
      <c r="H1746" s="19"/>
      <c r="I1746" s="19"/>
      <c r="J1746" s="19"/>
      <c r="M1746" s="7"/>
    </row>
    <row r="1747" spans="2:13" x14ac:dyDescent="0.25">
      <c r="B1747"/>
      <c r="C1747"/>
      <c r="D1747"/>
      <c r="E1747"/>
      <c r="F1747"/>
      <c r="G1747"/>
      <c r="H1747" s="19"/>
      <c r="I1747" s="19"/>
      <c r="J1747" s="19"/>
      <c r="M1747" s="7"/>
    </row>
    <row r="1748" spans="2:13" x14ac:dyDescent="0.25">
      <c r="B1748"/>
      <c r="C1748"/>
      <c r="D1748"/>
      <c r="E1748"/>
      <c r="F1748"/>
      <c r="G1748"/>
      <c r="H1748" s="19"/>
      <c r="I1748" s="19"/>
      <c r="J1748" s="19"/>
      <c r="M1748" s="7"/>
    </row>
    <row r="1749" spans="2:13" x14ac:dyDescent="0.25">
      <c r="B1749"/>
      <c r="C1749"/>
      <c r="D1749"/>
      <c r="E1749"/>
      <c r="F1749"/>
      <c r="G1749"/>
      <c r="H1749" s="19"/>
      <c r="I1749" s="19"/>
      <c r="J1749" s="19"/>
      <c r="M1749" s="7"/>
    </row>
    <row r="1750" spans="2:13" x14ac:dyDescent="0.25">
      <c r="B1750"/>
      <c r="C1750"/>
      <c r="D1750"/>
      <c r="E1750"/>
      <c r="F1750"/>
      <c r="G1750"/>
      <c r="H1750" s="19"/>
      <c r="I1750" s="19"/>
      <c r="J1750" s="19"/>
      <c r="M1750" s="7"/>
    </row>
    <row r="1751" spans="2:13" x14ac:dyDescent="0.25">
      <c r="B1751"/>
      <c r="C1751"/>
      <c r="D1751"/>
      <c r="E1751"/>
      <c r="F1751"/>
      <c r="G1751"/>
      <c r="H1751" s="19"/>
      <c r="I1751" s="19"/>
      <c r="J1751" s="19"/>
      <c r="M1751" s="7"/>
    </row>
    <row r="1752" spans="2:13" x14ac:dyDescent="0.25">
      <c r="B1752"/>
      <c r="C1752"/>
      <c r="D1752"/>
      <c r="E1752"/>
      <c r="F1752"/>
      <c r="G1752"/>
      <c r="H1752" s="19"/>
      <c r="I1752" s="19"/>
      <c r="J1752" s="19"/>
      <c r="M1752" s="7"/>
    </row>
    <row r="1753" spans="2:13" x14ac:dyDescent="0.25">
      <c r="B1753"/>
      <c r="C1753"/>
      <c r="D1753"/>
      <c r="E1753"/>
      <c r="F1753"/>
      <c r="G1753"/>
      <c r="H1753" s="19"/>
      <c r="I1753" s="19"/>
      <c r="J1753" s="19"/>
      <c r="M1753" s="7"/>
    </row>
    <row r="1754" spans="2:13" x14ac:dyDescent="0.25">
      <c r="B1754"/>
      <c r="C1754"/>
      <c r="D1754"/>
      <c r="E1754"/>
      <c r="F1754"/>
      <c r="G1754"/>
      <c r="H1754" s="19"/>
      <c r="I1754" s="19"/>
      <c r="J1754" s="19"/>
      <c r="M1754" s="7"/>
    </row>
    <row r="1755" spans="2:13" x14ac:dyDescent="0.25">
      <c r="B1755"/>
      <c r="C1755"/>
      <c r="D1755"/>
      <c r="E1755"/>
      <c r="F1755"/>
      <c r="G1755"/>
      <c r="H1755" s="19"/>
      <c r="I1755" s="19"/>
      <c r="J1755" s="19"/>
      <c r="M1755" s="7"/>
    </row>
    <row r="1756" spans="2:13" x14ac:dyDescent="0.25">
      <c r="B1756"/>
      <c r="C1756"/>
      <c r="D1756"/>
      <c r="E1756"/>
      <c r="F1756"/>
      <c r="G1756"/>
      <c r="H1756" s="19"/>
      <c r="I1756" s="19"/>
      <c r="J1756" s="19"/>
      <c r="M1756" s="7"/>
    </row>
    <row r="1757" spans="2:13" x14ac:dyDescent="0.25">
      <c r="B1757"/>
      <c r="C1757"/>
      <c r="D1757"/>
      <c r="E1757"/>
      <c r="F1757"/>
      <c r="G1757"/>
      <c r="H1757" s="19"/>
      <c r="I1757" s="19"/>
      <c r="J1757" s="19"/>
      <c r="M1757" s="7"/>
    </row>
    <row r="1758" spans="2:13" x14ac:dyDescent="0.25">
      <c r="B1758"/>
      <c r="C1758"/>
      <c r="D1758"/>
      <c r="E1758"/>
      <c r="F1758"/>
      <c r="G1758"/>
      <c r="H1758" s="19"/>
      <c r="I1758" s="19"/>
      <c r="J1758" s="19"/>
      <c r="M1758" s="7"/>
    </row>
    <row r="1759" spans="2:13" x14ac:dyDescent="0.25">
      <c r="B1759"/>
      <c r="C1759"/>
      <c r="D1759"/>
      <c r="E1759"/>
      <c r="F1759"/>
      <c r="G1759"/>
      <c r="H1759" s="19"/>
      <c r="I1759" s="19"/>
      <c r="J1759" s="19"/>
      <c r="M1759" s="7"/>
    </row>
    <row r="1760" spans="2:13" x14ac:dyDescent="0.25">
      <c r="B1760"/>
      <c r="C1760"/>
      <c r="D1760"/>
      <c r="E1760"/>
      <c r="F1760"/>
      <c r="G1760"/>
      <c r="H1760" s="19"/>
      <c r="I1760" s="19"/>
      <c r="J1760" s="19"/>
      <c r="M1760" s="7"/>
    </row>
    <row r="1761" spans="2:13" x14ac:dyDescent="0.25">
      <c r="B1761"/>
      <c r="C1761"/>
      <c r="D1761"/>
      <c r="E1761"/>
      <c r="F1761"/>
      <c r="G1761"/>
      <c r="H1761" s="19"/>
      <c r="I1761" s="19"/>
      <c r="J1761" s="19"/>
      <c r="M1761" s="7"/>
    </row>
    <row r="1762" spans="2:13" x14ac:dyDescent="0.25">
      <c r="B1762"/>
      <c r="C1762"/>
      <c r="D1762"/>
      <c r="E1762"/>
      <c r="F1762"/>
      <c r="G1762"/>
      <c r="H1762" s="19"/>
      <c r="I1762" s="19"/>
      <c r="J1762" s="19"/>
      <c r="M1762" s="7"/>
    </row>
    <row r="1763" spans="2:13" x14ac:dyDescent="0.25">
      <c r="B1763"/>
      <c r="C1763"/>
      <c r="D1763"/>
      <c r="E1763"/>
      <c r="F1763"/>
      <c r="G1763"/>
      <c r="H1763" s="19"/>
      <c r="I1763" s="19"/>
      <c r="J1763" s="19"/>
      <c r="M1763" s="7"/>
    </row>
    <row r="1764" spans="2:13" x14ac:dyDescent="0.25">
      <c r="B1764"/>
      <c r="C1764"/>
      <c r="D1764"/>
      <c r="E1764"/>
      <c r="F1764"/>
      <c r="G1764"/>
      <c r="H1764" s="19"/>
      <c r="I1764" s="19"/>
      <c r="J1764" s="19"/>
      <c r="M1764" s="7"/>
    </row>
    <row r="1765" spans="2:13" x14ac:dyDescent="0.25">
      <c r="B1765"/>
      <c r="C1765"/>
      <c r="D1765"/>
      <c r="E1765"/>
      <c r="F1765"/>
      <c r="G1765"/>
      <c r="H1765" s="19"/>
      <c r="I1765" s="19"/>
      <c r="J1765" s="19"/>
      <c r="M1765" s="7"/>
    </row>
    <row r="1766" spans="2:13" x14ac:dyDescent="0.25">
      <c r="B1766"/>
      <c r="C1766"/>
      <c r="D1766"/>
      <c r="E1766"/>
      <c r="F1766"/>
      <c r="G1766"/>
      <c r="H1766" s="19"/>
      <c r="I1766" s="19"/>
      <c r="J1766" s="19"/>
      <c r="M1766" s="7"/>
    </row>
    <row r="1767" spans="2:13" x14ac:dyDescent="0.25">
      <c r="B1767"/>
      <c r="C1767"/>
      <c r="D1767"/>
      <c r="E1767"/>
      <c r="F1767"/>
      <c r="G1767"/>
      <c r="H1767" s="19"/>
      <c r="I1767" s="19"/>
      <c r="J1767" s="19"/>
      <c r="M1767" s="7"/>
    </row>
    <row r="1768" spans="2:13" x14ac:dyDescent="0.25">
      <c r="B1768"/>
      <c r="C1768"/>
      <c r="D1768"/>
      <c r="E1768"/>
      <c r="F1768"/>
      <c r="G1768"/>
      <c r="H1768" s="19"/>
      <c r="I1768" s="19"/>
      <c r="J1768" s="19"/>
      <c r="M1768" s="7"/>
    </row>
    <row r="1769" spans="2:13" x14ac:dyDescent="0.25">
      <c r="B1769"/>
      <c r="C1769"/>
      <c r="D1769"/>
      <c r="E1769"/>
      <c r="F1769"/>
      <c r="G1769"/>
      <c r="H1769" s="19"/>
      <c r="I1769" s="19"/>
      <c r="J1769" s="19"/>
      <c r="M1769" s="7"/>
    </row>
    <row r="1770" spans="2:13" x14ac:dyDescent="0.25">
      <c r="B1770"/>
      <c r="C1770"/>
      <c r="D1770"/>
      <c r="E1770"/>
      <c r="F1770"/>
      <c r="G1770"/>
      <c r="H1770" s="19"/>
      <c r="I1770" s="19"/>
      <c r="J1770" s="19"/>
      <c r="M1770" s="7"/>
    </row>
    <row r="1771" spans="2:13" x14ac:dyDescent="0.25">
      <c r="B1771"/>
      <c r="C1771"/>
      <c r="D1771"/>
      <c r="E1771"/>
      <c r="F1771"/>
      <c r="G1771"/>
      <c r="H1771" s="19"/>
      <c r="I1771" s="19"/>
      <c r="J1771" s="19"/>
      <c r="M1771" s="7"/>
    </row>
    <row r="1772" spans="2:13" x14ac:dyDescent="0.25">
      <c r="B1772"/>
      <c r="C1772"/>
      <c r="D1772"/>
      <c r="E1772"/>
      <c r="F1772"/>
      <c r="G1772"/>
      <c r="H1772" s="19"/>
      <c r="I1772" s="19"/>
      <c r="J1772" s="19"/>
      <c r="M1772" s="7"/>
    </row>
    <row r="1773" spans="2:13" x14ac:dyDescent="0.25">
      <c r="B1773"/>
      <c r="C1773"/>
      <c r="D1773"/>
      <c r="E1773"/>
      <c r="F1773"/>
      <c r="G1773"/>
      <c r="H1773" s="19"/>
      <c r="I1773" s="19"/>
      <c r="J1773" s="19"/>
      <c r="M1773" s="7"/>
    </row>
    <row r="1774" spans="2:13" x14ac:dyDescent="0.25">
      <c r="B1774"/>
      <c r="C1774"/>
      <c r="D1774"/>
      <c r="E1774"/>
      <c r="F1774"/>
      <c r="G1774"/>
      <c r="H1774" s="19"/>
      <c r="I1774" s="19"/>
      <c r="J1774" s="19"/>
      <c r="M1774" s="7"/>
    </row>
    <row r="1775" spans="2:13" x14ac:dyDescent="0.25">
      <c r="B1775"/>
      <c r="C1775"/>
      <c r="D1775"/>
      <c r="E1775"/>
      <c r="F1775"/>
      <c r="G1775"/>
      <c r="H1775" s="19"/>
      <c r="I1775" s="19"/>
      <c r="J1775" s="19"/>
      <c r="M1775" s="7"/>
    </row>
    <row r="1776" spans="2:13" x14ac:dyDescent="0.25">
      <c r="B1776"/>
      <c r="C1776"/>
      <c r="D1776"/>
      <c r="E1776"/>
      <c r="F1776"/>
      <c r="G1776"/>
      <c r="H1776" s="19"/>
      <c r="I1776" s="19"/>
      <c r="J1776" s="19"/>
      <c r="M1776" s="7"/>
    </row>
    <row r="1777" spans="2:13" x14ac:dyDescent="0.25">
      <c r="B1777"/>
      <c r="C1777"/>
      <c r="D1777"/>
      <c r="E1777"/>
      <c r="F1777"/>
      <c r="G1777"/>
      <c r="H1777" s="19"/>
      <c r="I1777" s="19"/>
      <c r="J1777" s="19"/>
      <c r="M1777" s="7"/>
    </row>
    <row r="1778" spans="2:13" x14ac:dyDescent="0.25">
      <c r="B1778"/>
      <c r="C1778"/>
      <c r="D1778"/>
      <c r="E1778"/>
      <c r="F1778"/>
      <c r="G1778"/>
      <c r="H1778" s="19"/>
      <c r="I1778" s="19"/>
      <c r="J1778" s="19"/>
      <c r="M1778" s="7"/>
    </row>
    <row r="1779" spans="2:13" x14ac:dyDescent="0.25">
      <c r="B1779"/>
      <c r="C1779"/>
      <c r="D1779"/>
      <c r="E1779"/>
      <c r="F1779"/>
      <c r="G1779"/>
      <c r="H1779" s="19"/>
      <c r="I1779" s="19"/>
      <c r="J1779" s="19"/>
      <c r="M1779" s="7"/>
    </row>
    <row r="1780" spans="2:13" x14ac:dyDescent="0.25">
      <c r="B1780"/>
      <c r="C1780"/>
      <c r="D1780"/>
      <c r="E1780"/>
      <c r="F1780"/>
      <c r="G1780"/>
      <c r="H1780" s="19"/>
      <c r="I1780" s="19"/>
      <c r="J1780" s="19"/>
      <c r="M1780" s="7"/>
    </row>
    <row r="1781" spans="2:13" x14ac:dyDescent="0.25">
      <c r="B1781"/>
      <c r="C1781"/>
      <c r="D1781"/>
      <c r="E1781"/>
      <c r="F1781"/>
      <c r="G1781"/>
      <c r="H1781" s="19"/>
      <c r="I1781" s="19"/>
      <c r="J1781" s="19"/>
      <c r="M1781" s="7"/>
    </row>
    <row r="1782" spans="2:13" x14ac:dyDescent="0.25">
      <c r="B1782"/>
      <c r="C1782"/>
      <c r="D1782"/>
      <c r="E1782"/>
      <c r="F1782"/>
      <c r="G1782"/>
      <c r="H1782" s="19"/>
      <c r="I1782" s="19"/>
      <c r="J1782" s="19"/>
      <c r="M1782" s="7"/>
    </row>
    <row r="1783" spans="2:13" x14ac:dyDescent="0.25">
      <c r="B1783"/>
      <c r="C1783"/>
      <c r="D1783"/>
      <c r="E1783"/>
      <c r="F1783"/>
      <c r="G1783"/>
      <c r="H1783" s="19"/>
      <c r="I1783" s="19"/>
      <c r="J1783" s="19"/>
      <c r="M1783" s="7"/>
    </row>
    <row r="1784" spans="2:13" x14ac:dyDescent="0.25">
      <c r="B1784"/>
      <c r="C1784"/>
      <c r="D1784"/>
      <c r="E1784"/>
      <c r="F1784"/>
      <c r="G1784"/>
      <c r="H1784" s="19"/>
      <c r="I1784" s="19"/>
      <c r="J1784" s="19"/>
      <c r="M1784" s="7"/>
    </row>
    <row r="1785" spans="2:13" x14ac:dyDescent="0.25">
      <c r="B1785"/>
      <c r="C1785"/>
      <c r="D1785"/>
      <c r="E1785"/>
      <c r="F1785"/>
      <c r="G1785"/>
      <c r="H1785" s="19"/>
      <c r="I1785" s="19"/>
      <c r="J1785" s="19"/>
      <c r="M1785" s="7"/>
    </row>
    <row r="1786" spans="2:13" x14ac:dyDescent="0.25">
      <c r="B1786"/>
      <c r="C1786"/>
      <c r="D1786"/>
      <c r="E1786"/>
      <c r="F1786"/>
      <c r="G1786"/>
      <c r="H1786" s="19"/>
      <c r="I1786" s="19"/>
      <c r="J1786" s="19"/>
      <c r="M1786" s="7"/>
    </row>
    <row r="1787" spans="2:13" x14ac:dyDescent="0.25">
      <c r="B1787"/>
      <c r="C1787"/>
      <c r="D1787"/>
      <c r="E1787"/>
      <c r="F1787"/>
      <c r="G1787"/>
      <c r="H1787" s="19"/>
      <c r="I1787" s="19"/>
      <c r="J1787" s="19"/>
      <c r="M1787" s="7"/>
    </row>
    <row r="1788" spans="2:13" x14ac:dyDescent="0.25">
      <c r="B1788"/>
      <c r="C1788"/>
      <c r="D1788"/>
      <c r="E1788"/>
      <c r="F1788"/>
      <c r="G1788"/>
      <c r="H1788" s="19"/>
      <c r="I1788" s="19"/>
      <c r="J1788" s="19"/>
      <c r="M1788" s="7"/>
    </row>
    <row r="1789" spans="2:13" x14ac:dyDescent="0.25">
      <c r="B1789"/>
      <c r="C1789"/>
      <c r="D1789"/>
      <c r="E1789"/>
      <c r="F1789"/>
      <c r="G1789"/>
      <c r="H1789" s="19"/>
      <c r="I1789" s="19"/>
      <c r="J1789" s="19"/>
      <c r="M1789" s="7"/>
    </row>
    <row r="1790" spans="2:13" x14ac:dyDescent="0.25">
      <c r="B1790"/>
      <c r="C1790"/>
      <c r="D1790"/>
      <c r="E1790"/>
      <c r="F1790"/>
      <c r="G1790"/>
      <c r="H1790" s="19"/>
      <c r="I1790" s="19"/>
      <c r="J1790" s="19"/>
      <c r="M1790" s="7"/>
    </row>
    <row r="1791" spans="2:13" x14ac:dyDescent="0.25">
      <c r="B1791"/>
      <c r="C1791"/>
      <c r="D1791"/>
      <c r="E1791"/>
      <c r="F1791"/>
      <c r="G1791"/>
      <c r="H1791" s="19"/>
      <c r="I1791" s="19"/>
      <c r="J1791" s="19"/>
      <c r="M1791" s="7"/>
    </row>
    <row r="1792" spans="2:13" x14ac:dyDescent="0.25">
      <c r="B1792"/>
      <c r="C1792"/>
      <c r="D1792"/>
      <c r="E1792"/>
      <c r="F1792"/>
      <c r="G1792"/>
      <c r="H1792" s="19"/>
      <c r="I1792" s="19"/>
      <c r="J1792" s="19"/>
      <c r="M1792" s="7"/>
    </row>
    <row r="1793" spans="2:13" x14ac:dyDescent="0.25">
      <c r="B1793"/>
      <c r="C1793"/>
      <c r="D1793"/>
      <c r="E1793"/>
      <c r="F1793"/>
      <c r="G1793"/>
      <c r="H1793" s="19"/>
      <c r="I1793" s="19"/>
      <c r="J1793" s="19"/>
      <c r="M1793" s="7"/>
    </row>
    <row r="1794" spans="2:13" x14ac:dyDescent="0.25">
      <c r="B1794"/>
      <c r="C1794"/>
      <c r="D1794"/>
      <c r="E1794"/>
      <c r="F1794"/>
      <c r="G1794"/>
      <c r="H1794" s="19"/>
      <c r="I1794" s="19"/>
      <c r="J1794" s="19"/>
      <c r="M1794" s="7"/>
    </row>
    <row r="1795" spans="2:13" x14ac:dyDescent="0.25">
      <c r="B1795"/>
      <c r="C1795"/>
      <c r="D1795"/>
      <c r="E1795"/>
      <c r="F1795"/>
      <c r="G1795"/>
      <c r="H1795" s="19"/>
      <c r="I1795" s="19"/>
      <c r="J1795" s="19"/>
      <c r="M1795" s="7"/>
    </row>
    <row r="1796" spans="2:13" x14ac:dyDescent="0.25">
      <c r="B1796"/>
      <c r="C1796"/>
      <c r="D1796"/>
      <c r="E1796"/>
      <c r="F1796"/>
      <c r="G1796"/>
      <c r="H1796" s="19"/>
      <c r="I1796" s="19"/>
      <c r="J1796" s="19"/>
      <c r="M1796" s="7"/>
    </row>
    <row r="1797" spans="2:13" x14ac:dyDescent="0.25">
      <c r="B1797"/>
      <c r="C1797"/>
      <c r="D1797"/>
      <c r="E1797"/>
      <c r="F1797"/>
      <c r="G1797"/>
      <c r="H1797" s="19"/>
      <c r="I1797" s="19"/>
      <c r="J1797" s="19"/>
      <c r="M1797" s="7"/>
    </row>
    <row r="1798" spans="2:13" x14ac:dyDescent="0.25">
      <c r="B1798"/>
      <c r="C1798"/>
      <c r="D1798"/>
      <c r="E1798"/>
      <c r="F1798"/>
      <c r="G1798"/>
      <c r="H1798" s="19"/>
      <c r="I1798" s="19"/>
      <c r="J1798" s="19"/>
      <c r="M1798" s="7"/>
    </row>
    <row r="1799" spans="2:13" x14ac:dyDescent="0.25">
      <c r="B1799"/>
      <c r="C1799"/>
      <c r="D1799"/>
      <c r="E1799"/>
      <c r="F1799"/>
      <c r="G1799"/>
      <c r="H1799" s="19"/>
      <c r="I1799" s="19"/>
      <c r="J1799" s="19"/>
      <c r="M1799" s="7"/>
    </row>
    <row r="1800" spans="2:13" x14ac:dyDescent="0.25">
      <c r="B1800"/>
      <c r="C1800"/>
      <c r="D1800"/>
      <c r="E1800"/>
      <c r="F1800"/>
      <c r="G1800"/>
      <c r="H1800" s="19"/>
      <c r="I1800" s="19"/>
      <c r="J1800" s="19"/>
      <c r="M1800" s="7"/>
    </row>
    <row r="1801" spans="2:13" x14ac:dyDescent="0.25">
      <c r="B1801"/>
      <c r="C1801"/>
      <c r="D1801"/>
      <c r="E1801"/>
      <c r="F1801"/>
      <c r="G1801"/>
      <c r="H1801" s="19"/>
      <c r="I1801" s="19"/>
      <c r="J1801" s="19"/>
      <c r="M1801" s="7"/>
    </row>
    <row r="1802" spans="2:13" x14ac:dyDescent="0.25">
      <c r="B1802"/>
      <c r="C1802"/>
      <c r="D1802"/>
      <c r="E1802"/>
      <c r="F1802"/>
      <c r="G1802"/>
      <c r="H1802" s="19"/>
      <c r="I1802" s="19"/>
      <c r="J1802" s="19"/>
      <c r="M1802" s="7"/>
    </row>
    <row r="1803" spans="2:13" x14ac:dyDescent="0.25">
      <c r="B1803"/>
      <c r="C1803"/>
      <c r="D1803"/>
      <c r="E1803"/>
      <c r="F1803"/>
      <c r="G1803"/>
      <c r="H1803" s="19"/>
      <c r="I1803" s="19"/>
      <c r="J1803" s="19"/>
      <c r="M1803" s="7"/>
    </row>
    <row r="1804" spans="2:13" x14ac:dyDescent="0.25">
      <c r="B1804"/>
      <c r="C1804"/>
      <c r="D1804"/>
      <c r="E1804"/>
      <c r="F1804"/>
      <c r="G1804"/>
      <c r="H1804" s="19"/>
      <c r="I1804" s="19"/>
      <c r="J1804" s="19"/>
      <c r="M1804" s="7"/>
    </row>
    <row r="1805" spans="2:13" x14ac:dyDescent="0.25">
      <c r="B1805"/>
      <c r="C1805"/>
      <c r="D1805"/>
      <c r="E1805"/>
      <c r="F1805"/>
      <c r="G1805"/>
      <c r="H1805" s="19"/>
      <c r="I1805" s="19"/>
      <c r="J1805" s="19"/>
      <c r="M1805" s="7"/>
    </row>
    <row r="1806" spans="2:13" x14ac:dyDescent="0.25">
      <c r="B1806"/>
      <c r="C1806"/>
      <c r="D1806"/>
      <c r="E1806"/>
      <c r="F1806"/>
      <c r="G1806"/>
      <c r="H1806" s="19"/>
      <c r="I1806" s="19"/>
      <c r="J1806" s="19"/>
      <c r="M1806" s="7"/>
    </row>
    <row r="1807" spans="2:13" x14ac:dyDescent="0.25">
      <c r="B1807"/>
      <c r="C1807"/>
      <c r="D1807"/>
      <c r="E1807"/>
      <c r="F1807"/>
      <c r="G1807"/>
      <c r="H1807" s="19"/>
      <c r="I1807" s="19"/>
      <c r="J1807" s="19"/>
      <c r="M1807" s="7"/>
    </row>
    <row r="1808" spans="2:13" x14ac:dyDescent="0.25">
      <c r="B1808"/>
      <c r="C1808"/>
      <c r="D1808"/>
      <c r="E1808"/>
      <c r="F1808"/>
      <c r="G1808"/>
      <c r="H1808" s="19"/>
      <c r="I1808" s="19"/>
      <c r="J1808" s="19"/>
      <c r="M1808" s="7"/>
    </row>
    <row r="1809" spans="2:13" x14ac:dyDescent="0.25">
      <c r="B1809"/>
      <c r="C1809"/>
      <c r="D1809"/>
      <c r="E1809"/>
      <c r="F1809"/>
      <c r="G1809"/>
      <c r="H1809" s="19"/>
      <c r="I1809" s="19"/>
      <c r="J1809" s="19"/>
      <c r="M1809" s="7"/>
    </row>
    <row r="1810" spans="2:13" x14ac:dyDescent="0.25">
      <c r="B1810"/>
      <c r="C1810"/>
      <c r="D1810"/>
      <c r="E1810"/>
      <c r="F1810"/>
      <c r="G1810"/>
      <c r="H1810" s="19"/>
      <c r="I1810" s="19"/>
      <c r="J1810" s="19"/>
      <c r="M1810" s="7"/>
    </row>
    <row r="1811" spans="2:13" x14ac:dyDescent="0.25">
      <c r="B1811"/>
      <c r="C1811"/>
      <c r="D1811"/>
      <c r="E1811"/>
      <c r="F1811"/>
      <c r="G1811"/>
      <c r="H1811" s="19"/>
      <c r="I1811" s="19"/>
      <c r="J1811" s="19"/>
      <c r="M1811" s="7"/>
    </row>
    <row r="1812" spans="2:13" x14ac:dyDescent="0.25">
      <c r="B1812"/>
      <c r="C1812"/>
      <c r="D1812"/>
      <c r="E1812"/>
      <c r="F1812"/>
      <c r="G1812"/>
      <c r="H1812" s="19"/>
      <c r="I1812" s="19"/>
      <c r="J1812" s="19"/>
      <c r="M1812" s="7"/>
    </row>
    <row r="1813" spans="2:13" x14ac:dyDescent="0.25">
      <c r="B1813"/>
      <c r="C1813"/>
      <c r="D1813"/>
      <c r="E1813"/>
      <c r="F1813"/>
      <c r="G1813"/>
      <c r="H1813" s="19"/>
      <c r="I1813" s="19"/>
      <c r="J1813" s="19"/>
      <c r="M1813" s="7"/>
    </row>
    <row r="1814" spans="2:13" x14ac:dyDescent="0.25">
      <c r="B1814"/>
      <c r="C1814"/>
      <c r="D1814"/>
      <c r="E1814"/>
      <c r="F1814"/>
      <c r="G1814"/>
      <c r="H1814" s="19"/>
      <c r="I1814" s="19"/>
      <c r="J1814" s="19"/>
      <c r="M1814" s="7"/>
    </row>
    <row r="1815" spans="2:13" x14ac:dyDescent="0.25">
      <c r="B1815"/>
      <c r="C1815"/>
      <c r="D1815"/>
      <c r="E1815"/>
      <c r="F1815"/>
      <c r="G1815"/>
      <c r="H1815" s="19"/>
      <c r="I1815" s="19"/>
      <c r="J1815" s="19"/>
      <c r="M1815" s="7"/>
    </row>
    <row r="1816" spans="2:13" x14ac:dyDescent="0.25">
      <c r="B1816"/>
      <c r="C1816"/>
      <c r="D1816"/>
      <c r="E1816"/>
      <c r="F1816"/>
      <c r="G1816"/>
      <c r="H1816" s="19"/>
      <c r="I1816" s="19"/>
      <c r="J1816" s="19"/>
      <c r="M1816" s="7"/>
    </row>
    <row r="1817" spans="2:13" x14ac:dyDescent="0.25">
      <c r="B1817"/>
      <c r="C1817"/>
      <c r="D1817"/>
      <c r="E1817"/>
      <c r="F1817"/>
      <c r="G1817"/>
      <c r="H1817" s="19"/>
      <c r="I1817" s="19"/>
      <c r="J1817" s="19"/>
      <c r="M1817" s="7"/>
    </row>
    <row r="1818" spans="2:13" x14ac:dyDescent="0.25">
      <c r="B1818"/>
      <c r="C1818"/>
      <c r="D1818"/>
      <c r="E1818"/>
      <c r="F1818"/>
      <c r="G1818"/>
      <c r="H1818" s="19"/>
      <c r="I1818" s="19"/>
      <c r="J1818" s="19"/>
      <c r="M1818" s="7"/>
    </row>
    <row r="1819" spans="2:13" x14ac:dyDescent="0.25">
      <c r="B1819"/>
      <c r="C1819"/>
      <c r="D1819"/>
      <c r="E1819"/>
      <c r="F1819"/>
      <c r="G1819"/>
      <c r="H1819" s="19"/>
      <c r="I1819" s="19"/>
      <c r="J1819" s="19"/>
      <c r="M1819" s="7"/>
    </row>
    <row r="1820" spans="2:13" x14ac:dyDescent="0.25">
      <c r="B1820"/>
      <c r="C1820"/>
      <c r="D1820"/>
      <c r="E1820"/>
      <c r="F1820"/>
      <c r="G1820"/>
      <c r="H1820" s="19"/>
      <c r="I1820" s="19"/>
      <c r="J1820" s="19"/>
      <c r="M1820" s="7"/>
    </row>
    <row r="1821" spans="2:13" x14ac:dyDescent="0.25">
      <c r="B1821"/>
      <c r="C1821"/>
      <c r="D1821"/>
      <c r="E1821"/>
      <c r="F1821"/>
      <c r="G1821"/>
      <c r="H1821" s="19"/>
      <c r="I1821" s="19"/>
      <c r="J1821" s="19"/>
      <c r="M1821" s="7"/>
    </row>
    <row r="1822" spans="2:13" x14ac:dyDescent="0.25">
      <c r="B1822"/>
      <c r="C1822"/>
      <c r="D1822"/>
      <c r="E1822"/>
      <c r="F1822"/>
      <c r="G1822"/>
      <c r="H1822" s="19"/>
      <c r="I1822" s="19"/>
      <c r="J1822" s="19"/>
      <c r="M1822" s="7"/>
    </row>
    <row r="1823" spans="2:13" x14ac:dyDescent="0.25">
      <c r="B1823"/>
      <c r="C1823"/>
      <c r="D1823"/>
      <c r="E1823"/>
      <c r="F1823"/>
      <c r="G1823"/>
      <c r="H1823" s="19"/>
      <c r="I1823" s="19"/>
      <c r="J1823" s="19"/>
      <c r="M1823" s="7"/>
    </row>
    <row r="1824" spans="2:13" x14ac:dyDescent="0.25">
      <c r="B1824"/>
      <c r="C1824"/>
      <c r="D1824"/>
      <c r="E1824"/>
      <c r="F1824"/>
      <c r="G1824"/>
      <c r="H1824" s="19"/>
      <c r="I1824" s="19"/>
      <c r="J1824" s="19"/>
      <c r="M1824" s="7"/>
    </row>
    <row r="1825" spans="2:13" x14ac:dyDescent="0.25">
      <c r="B1825"/>
      <c r="C1825"/>
      <c r="D1825"/>
      <c r="E1825"/>
      <c r="F1825"/>
      <c r="G1825"/>
      <c r="H1825" s="19"/>
      <c r="I1825" s="19"/>
      <c r="J1825" s="19"/>
      <c r="M1825" s="7"/>
    </row>
    <row r="1826" spans="2:13" x14ac:dyDescent="0.25">
      <c r="B1826"/>
      <c r="C1826"/>
      <c r="D1826"/>
      <c r="E1826"/>
      <c r="F1826"/>
      <c r="G1826"/>
      <c r="H1826" s="19"/>
      <c r="I1826" s="19"/>
      <c r="J1826" s="19"/>
      <c r="M1826" s="7"/>
    </row>
    <row r="1827" spans="2:13" x14ac:dyDescent="0.25">
      <c r="B1827"/>
      <c r="C1827"/>
      <c r="D1827"/>
      <c r="E1827"/>
      <c r="F1827"/>
      <c r="G1827"/>
      <c r="H1827" s="19"/>
      <c r="I1827" s="19"/>
      <c r="J1827" s="19"/>
      <c r="M1827" s="7"/>
    </row>
    <row r="1828" spans="2:13" x14ac:dyDescent="0.25">
      <c r="B1828"/>
      <c r="C1828"/>
      <c r="D1828"/>
      <c r="E1828"/>
      <c r="F1828"/>
      <c r="G1828"/>
      <c r="H1828" s="19"/>
      <c r="I1828" s="19"/>
      <c r="J1828" s="19"/>
      <c r="M1828" s="7"/>
    </row>
    <row r="1829" spans="2:13" x14ac:dyDescent="0.25">
      <c r="B1829"/>
      <c r="C1829"/>
      <c r="D1829"/>
      <c r="E1829"/>
      <c r="F1829"/>
      <c r="G1829"/>
      <c r="H1829" s="19"/>
      <c r="I1829" s="19"/>
      <c r="J1829" s="19"/>
      <c r="M1829" s="7"/>
    </row>
    <row r="1830" spans="2:13" x14ac:dyDescent="0.25">
      <c r="B1830"/>
      <c r="C1830"/>
      <c r="D1830"/>
      <c r="E1830"/>
      <c r="F1830"/>
      <c r="G1830"/>
      <c r="H1830" s="19"/>
      <c r="I1830" s="19"/>
      <c r="J1830" s="19"/>
      <c r="M1830" s="7"/>
    </row>
    <row r="1831" spans="2:13" x14ac:dyDescent="0.25">
      <c r="B1831"/>
      <c r="C1831"/>
      <c r="D1831"/>
      <c r="E1831"/>
      <c r="F1831"/>
      <c r="G1831"/>
      <c r="H1831" s="19"/>
      <c r="I1831" s="19"/>
      <c r="J1831" s="19"/>
      <c r="M1831" s="7"/>
    </row>
    <row r="1832" spans="2:13" x14ac:dyDescent="0.25">
      <c r="B1832"/>
      <c r="C1832"/>
      <c r="D1832"/>
      <c r="E1832"/>
      <c r="F1832"/>
      <c r="G1832"/>
      <c r="H1832" s="19"/>
      <c r="I1832" s="19"/>
      <c r="J1832" s="19"/>
      <c r="M1832" s="7"/>
    </row>
    <row r="1833" spans="2:13" x14ac:dyDescent="0.25">
      <c r="B1833"/>
      <c r="C1833"/>
      <c r="D1833"/>
      <c r="E1833"/>
      <c r="F1833"/>
      <c r="G1833"/>
      <c r="H1833" s="19"/>
      <c r="I1833" s="19"/>
      <c r="J1833" s="19"/>
      <c r="M1833" s="7"/>
    </row>
    <row r="1834" spans="2:13" x14ac:dyDescent="0.25">
      <c r="B1834"/>
      <c r="C1834"/>
      <c r="D1834"/>
      <c r="E1834"/>
      <c r="F1834"/>
      <c r="G1834"/>
      <c r="H1834" s="19"/>
      <c r="I1834" s="19"/>
      <c r="J1834" s="19"/>
      <c r="M1834" s="7"/>
    </row>
    <row r="1835" spans="2:13" x14ac:dyDescent="0.25">
      <c r="B1835"/>
      <c r="C1835"/>
      <c r="D1835"/>
      <c r="E1835"/>
      <c r="F1835"/>
      <c r="G1835"/>
      <c r="H1835" s="19"/>
      <c r="I1835" s="19"/>
      <c r="J1835" s="19"/>
      <c r="M1835" s="7"/>
    </row>
    <row r="1836" spans="2:13" x14ac:dyDescent="0.25">
      <c r="B1836"/>
      <c r="C1836"/>
      <c r="D1836"/>
      <c r="E1836"/>
      <c r="F1836"/>
      <c r="G1836"/>
      <c r="H1836" s="19"/>
      <c r="I1836" s="19"/>
      <c r="J1836" s="19"/>
      <c r="M1836" s="7"/>
    </row>
    <row r="1837" spans="2:13" x14ac:dyDescent="0.25">
      <c r="B1837"/>
      <c r="C1837"/>
      <c r="D1837"/>
      <c r="E1837"/>
      <c r="F1837"/>
      <c r="G1837"/>
      <c r="H1837" s="19"/>
      <c r="I1837" s="19"/>
      <c r="J1837" s="19"/>
      <c r="M1837" s="7"/>
    </row>
    <row r="1838" spans="2:13" x14ac:dyDescent="0.25">
      <c r="B1838"/>
      <c r="C1838"/>
      <c r="D1838"/>
      <c r="E1838"/>
      <c r="F1838"/>
      <c r="G1838"/>
      <c r="H1838" s="19"/>
      <c r="I1838" s="19"/>
      <c r="J1838" s="19"/>
      <c r="M1838" s="7"/>
    </row>
    <row r="1839" spans="2:13" x14ac:dyDescent="0.25">
      <c r="B1839"/>
      <c r="C1839"/>
      <c r="D1839"/>
      <c r="E1839"/>
      <c r="F1839"/>
      <c r="G1839"/>
      <c r="H1839" s="19"/>
      <c r="I1839" s="19"/>
      <c r="J1839" s="19"/>
      <c r="M1839" s="7"/>
    </row>
    <row r="1840" spans="2:13" x14ac:dyDescent="0.25">
      <c r="B1840"/>
      <c r="C1840"/>
      <c r="D1840"/>
      <c r="E1840"/>
      <c r="F1840"/>
      <c r="G1840"/>
      <c r="H1840" s="19"/>
      <c r="I1840" s="19"/>
      <c r="J1840" s="19"/>
      <c r="M1840" s="7"/>
    </row>
    <row r="1841" spans="2:13" x14ac:dyDescent="0.25">
      <c r="B1841"/>
      <c r="C1841"/>
      <c r="D1841"/>
      <c r="E1841"/>
      <c r="F1841"/>
      <c r="G1841"/>
      <c r="H1841" s="19"/>
      <c r="I1841" s="19"/>
      <c r="J1841" s="19"/>
      <c r="M1841" s="7"/>
    </row>
    <row r="1842" spans="2:13" x14ac:dyDescent="0.25">
      <c r="B1842"/>
      <c r="C1842"/>
      <c r="D1842"/>
      <c r="E1842"/>
      <c r="F1842"/>
      <c r="G1842"/>
      <c r="H1842" s="19"/>
      <c r="I1842" s="19"/>
      <c r="J1842" s="19"/>
      <c r="M1842" s="7"/>
    </row>
    <row r="1843" spans="2:13" x14ac:dyDescent="0.25">
      <c r="B1843"/>
      <c r="C1843"/>
      <c r="D1843"/>
      <c r="E1843"/>
      <c r="F1843"/>
      <c r="G1843"/>
      <c r="H1843" s="19"/>
      <c r="I1843" s="19"/>
      <c r="J1843" s="19"/>
      <c r="M1843" s="7"/>
    </row>
    <row r="1844" spans="2:13" x14ac:dyDescent="0.25">
      <c r="B1844"/>
      <c r="C1844"/>
      <c r="D1844"/>
      <c r="E1844"/>
      <c r="F1844"/>
      <c r="G1844"/>
      <c r="H1844" s="19"/>
      <c r="I1844" s="19"/>
      <c r="J1844" s="19"/>
      <c r="M1844" s="7"/>
    </row>
    <row r="1845" spans="2:13" x14ac:dyDescent="0.25">
      <c r="B1845"/>
      <c r="C1845"/>
      <c r="D1845"/>
      <c r="E1845"/>
      <c r="F1845"/>
      <c r="G1845"/>
      <c r="H1845" s="19"/>
      <c r="I1845" s="19"/>
      <c r="J1845" s="19"/>
      <c r="M1845" s="7"/>
    </row>
    <row r="1846" spans="2:13" x14ac:dyDescent="0.25">
      <c r="B1846"/>
      <c r="C1846"/>
      <c r="D1846"/>
      <c r="E1846"/>
      <c r="F1846"/>
      <c r="G1846"/>
      <c r="H1846" s="19"/>
      <c r="I1846" s="19"/>
      <c r="J1846" s="19"/>
      <c r="M1846" s="7"/>
    </row>
    <row r="1847" spans="2:13" x14ac:dyDescent="0.25">
      <c r="B1847"/>
      <c r="C1847"/>
      <c r="D1847"/>
      <c r="E1847"/>
      <c r="F1847"/>
      <c r="G1847"/>
      <c r="H1847" s="19"/>
      <c r="I1847" s="19"/>
      <c r="J1847" s="19"/>
      <c r="M1847" s="7"/>
    </row>
    <row r="1848" spans="2:13" x14ac:dyDescent="0.25">
      <c r="B1848"/>
      <c r="C1848"/>
      <c r="D1848"/>
      <c r="E1848"/>
      <c r="F1848"/>
      <c r="G1848"/>
      <c r="H1848" s="19"/>
      <c r="I1848" s="19"/>
      <c r="J1848" s="19"/>
      <c r="M1848" s="7"/>
    </row>
    <row r="1849" spans="2:13" x14ac:dyDescent="0.25">
      <c r="B1849"/>
      <c r="C1849"/>
      <c r="D1849"/>
      <c r="E1849"/>
      <c r="F1849"/>
      <c r="G1849"/>
      <c r="H1849" s="19"/>
      <c r="I1849" s="19"/>
      <c r="J1849" s="19"/>
      <c r="M1849" s="7"/>
    </row>
    <row r="1850" spans="2:13" x14ac:dyDescent="0.25">
      <c r="B1850"/>
      <c r="C1850"/>
      <c r="D1850"/>
      <c r="E1850"/>
      <c r="F1850"/>
      <c r="G1850"/>
      <c r="H1850" s="19"/>
      <c r="I1850" s="19"/>
      <c r="J1850" s="19"/>
      <c r="M1850" s="7"/>
    </row>
    <row r="1851" spans="2:13" x14ac:dyDescent="0.25">
      <c r="B1851"/>
      <c r="C1851"/>
      <c r="D1851"/>
      <c r="E1851"/>
      <c r="F1851"/>
      <c r="G1851"/>
      <c r="H1851" s="19"/>
      <c r="I1851" s="19"/>
      <c r="J1851" s="19"/>
      <c r="M1851" s="7"/>
    </row>
    <row r="1852" spans="2:13" x14ac:dyDescent="0.25">
      <c r="B1852"/>
      <c r="C1852"/>
      <c r="D1852"/>
      <c r="E1852"/>
      <c r="F1852"/>
      <c r="G1852"/>
      <c r="H1852" s="19"/>
      <c r="I1852" s="19"/>
      <c r="J1852" s="19"/>
      <c r="M1852" s="7"/>
    </row>
    <row r="1853" spans="2:13" x14ac:dyDescent="0.25">
      <c r="B1853"/>
      <c r="C1853"/>
      <c r="D1853"/>
      <c r="E1853"/>
      <c r="F1853"/>
      <c r="G1853"/>
      <c r="H1853" s="19"/>
      <c r="I1853" s="19"/>
      <c r="J1853" s="19"/>
      <c r="M1853" s="7"/>
    </row>
    <row r="1854" spans="2:13" x14ac:dyDescent="0.25">
      <c r="B1854"/>
      <c r="C1854"/>
      <c r="D1854"/>
      <c r="E1854"/>
      <c r="F1854"/>
      <c r="G1854"/>
      <c r="H1854" s="19"/>
      <c r="I1854" s="19"/>
      <c r="J1854" s="19"/>
      <c r="M1854" s="7"/>
    </row>
    <row r="1855" spans="2:13" x14ac:dyDescent="0.25">
      <c r="B1855"/>
      <c r="C1855"/>
      <c r="D1855"/>
      <c r="E1855"/>
      <c r="F1855"/>
      <c r="G1855"/>
      <c r="H1855" s="19"/>
      <c r="I1855" s="19"/>
      <c r="J1855" s="19"/>
      <c r="M1855" s="7"/>
    </row>
    <row r="1856" spans="2:13" x14ac:dyDescent="0.25">
      <c r="B1856"/>
      <c r="C1856"/>
      <c r="D1856"/>
      <c r="E1856"/>
      <c r="F1856"/>
      <c r="G1856"/>
      <c r="H1856" s="19"/>
      <c r="I1856" s="19"/>
      <c r="J1856" s="19"/>
      <c r="M1856" s="7"/>
    </row>
    <row r="1857" spans="2:13" x14ac:dyDescent="0.25">
      <c r="B1857"/>
      <c r="C1857"/>
      <c r="D1857"/>
      <c r="E1857"/>
      <c r="F1857"/>
      <c r="G1857"/>
      <c r="H1857" s="19"/>
      <c r="I1857" s="19"/>
      <c r="J1857" s="19"/>
      <c r="M1857" s="7"/>
    </row>
    <row r="1858" spans="2:13" x14ac:dyDescent="0.25">
      <c r="B1858"/>
      <c r="C1858"/>
      <c r="D1858"/>
      <c r="E1858"/>
      <c r="F1858"/>
      <c r="G1858"/>
      <c r="H1858" s="19"/>
      <c r="I1858" s="19"/>
      <c r="J1858" s="19"/>
      <c r="M1858" s="7"/>
    </row>
    <row r="1859" spans="2:13" x14ac:dyDescent="0.25">
      <c r="B1859"/>
      <c r="C1859"/>
      <c r="D1859"/>
      <c r="E1859"/>
      <c r="F1859"/>
      <c r="G1859"/>
      <c r="H1859" s="19"/>
      <c r="I1859" s="19"/>
      <c r="J1859" s="19"/>
      <c r="M1859" s="7"/>
    </row>
    <row r="1860" spans="2:13" x14ac:dyDescent="0.25">
      <c r="B1860"/>
      <c r="C1860"/>
      <c r="D1860"/>
      <c r="E1860"/>
      <c r="F1860"/>
      <c r="G1860"/>
      <c r="H1860" s="19"/>
      <c r="I1860" s="19"/>
      <c r="J1860" s="19"/>
      <c r="M1860" s="7"/>
    </row>
    <row r="1861" spans="2:13" x14ac:dyDescent="0.25">
      <c r="B1861"/>
      <c r="C1861"/>
      <c r="D1861"/>
      <c r="E1861"/>
      <c r="F1861"/>
      <c r="G1861"/>
      <c r="H1861" s="19"/>
      <c r="I1861" s="19"/>
      <c r="J1861" s="19"/>
      <c r="M1861" s="7"/>
    </row>
    <row r="1862" spans="2:13" x14ac:dyDescent="0.25">
      <c r="B1862"/>
      <c r="C1862"/>
      <c r="D1862"/>
      <c r="E1862"/>
      <c r="F1862"/>
      <c r="G1862"/>
      <c r="H1862" s="19"/>
      <c r="I1862" s="19"/>
      <c r="J1862" s="19"/>
      <c r="M1862" s="7"/>
    </row>
    <row r="1863" spans="2:13" x14ac:dyDescent="0.25">
      <c r="B1863"/>
      <c r="C1863"/>
      <c r="D1863"/>
      <c r="E1863"/>
      <c r="F1863"/>
      <c r="G1863"/>
      <c r="H1863" s="19"/>
      <c r="I1863" s="19"/>
      <c r="J1863" s="19"/>
      <c r="M1863" s="7"/>
    </row>
    <row r="1864" spans="2:13" x14ac:dyDescent="0.25">
      <c r="B1864"/>
      <c r="C1864"/>
      <c r="D1864"/>
      <c r="E1864"/>
      <c r="F1864"/>
      <c r="G1864"/>
      <c r="H1864" s="19"/>
      <c r="I1864" s="19"/>
      <c r="J1864" s="19"/>
      <c r="M1864" s="7"/>
    </row>
    <row r="1865" spans="2:13" x14ac:dyDescent="0.25">
      <c r="B1865"/>
      <c r="C1865"/>
      <c r="D1865"/>
      <c r="E1865"/>
      <c r="F1865"/>
      <c r="G1865"/>
      <c r="H1865" s="19"/>
      <c r="I1865" s="19"/>
      <c r="J1865" s="19"/>
      <c r="M1865" s="7"/>
    </row>
    <row r="1866" spans="2:13" x14ac:dyDescent="0.25">
      <c r="B1866"/>
      <c r="C1866"/>
      <c r="D1866"/>
      <c r="E1866"/>
      <c r="F1866"/>
      <c r="G1866"/>
      <c r="H1866" s="19"/>
      <c r="I1866" s="19"/>
      <c r="J1866" s="19"/>
      <c r="M1866" s="7"/>
    </row>
    <row r="1867" spans="2:13" x14ac:dyDescent="0.25">
      <c r="B1867"/>
      <c r="C1867"/>
      <c r="D1867"/>
      <c r="E1867"/>
      <c r="F1867"/>
      <c r="G1867"/>
      <c r="H1867" s="19"/>
      <c r="I1867" s="19"/>
      <c r="J1867" s="19"/>
      <c r="M1867" s="7"/>
    </row>
    <row r="1868" spans="2:13" x14ac:dyDescent="0.25">
      <c r="B1868"/>
      <c r="C1868"/>
      <c r="D1868"/>
      <c r="E1868"/>
      <c r="F1868"/>
      <c r="G1868"/>
      <c r="H1868" s="19"/>
      <c r="I1868" s="19"/>
      <c r="J1868" s="19"/>
      <c r="M1868" s="7"/>
    </row>
    <row r="1869" spans="2:13" x14ac:dyDescent="0.25">
      <c r="B1869"/>
      <c r="C1869"/>
      <c r="D1869"/>
      <c r="E1869"/>
      <c r="F1869"/>
      <c r="G1869"/>
      <c r="H1869" s="19"/>
      <c r="I1869" s="19"/>
      <c r="J1869" s="19"/>
      <c r="M1869" s="7"/>
    </row>
    <row r="1870" spans="2:13" x14ac:dyDescent="0.25">
      <c r="B1870"/>
      <c r="C1870"/>
      <c r="D1870"/>
      <c r="E1870"/>
      <c r="F1870"/>
      <c r="G1870"/>
      <c r="H1870" s="19"/>
      <c r="I1870" s="19"/>
      <c r="J1870" s="19"/>
      <c r="M1870" s="7"/>
    </row>
    <row r="1871" spans="2:13" x14ac:dyDescent="0.25">
      <c r="B1871"/>
      <c r="C1871"/>
      <c r="D1871"/>
      <c r="E1871"/>
      <c r="F1871"/>
      <c r="G1871"/>
      <c r="H1871" s="19"/>
      <c r="I1871" s="19"/>
      <c r="J1871" s="19"/>
      <c r="M1871" s="7"/>
    </row>
    <row r="1872" spans="2:13" x14ac:dyDescent="0.25">
      <c r="B1872"/>
      <c r="C1872"/>
      <c r="D1872"/>
      <c r="E1872"/>
      <c r="F1872"/>
      <c r="G1872"/>
      <c r="H1872" s="19"/>
      <c r="I1872" s="19"/>
      <c r="J1872" s="19"/>
      <c r="M1872" s="7"/>
    </row>
    <row r="1873" spans="2:13" x14ac:dyDescent="0.25">
      <c r="B1873"/>
      <c r="C1873"/>
      <c r="D1873"/>
      <c r="E1873"/>
      <c r="F1873"/>
      <c r="G1873"/>
      <c r="H1873" s="19"/>
      <c r="I1873" s="19"/>
      <c r="J1873" s="19"/>
      <c r="M1873" s="7"/>
    </row>
    <row r="1874" spans="2:13" x14ac:dyDescent="0.25">
      <c r="B1874"/>
      <c r="C1874"/>
      <c r="D1874"/>
      <c r="E1874"/>
      <c r="F1874"/>
      <c r="G1874"/>
      <c r="H1874" s="19"/>
      <c r="I1874" s="19"/>
      <c r="J1874" s="19"/>
      <c r="M1874" s="7"/>
    </row>
    <row r="1875" spans="2:13" x14ac:dyDescent="0.25">
      <c r="B1875"/>
      <c r="C1875"/>
      <c r="D1875"/>
      <c r="E1875"/>
      <c r="F1875"/>
      <c r="G1875"/>
      <c r="H1875" s="19"/>
      <c r="I1875" s="19"/>
      <c r="J1875" s="19"/>
      <c r="M1875" s="7"/>
    </row>
    <row r="1876" spans="2:13" x14ac:dyDescent="0.25">
      <c r="B1876"/>
      <c r="C1876"/>
      <c r="D1876"/>
      <c r="E1876"/>
      <c r="F1876"/>
      <c r="G1876"/>
      <c r="H1876" s="19"/>
      <c r="I1876" s="19"/>
      <c r="J1876" s="19"/>
      <c r="M1876" s="7"/>
    </row>
    <row r="1877" spans="2:13" x14ac:dyDescent="0.25">
      <c r="B1877"/>
      <c r="C1877"/>
      <c r="D1877"/>
      <c r="E1877"/>
      <c r="F1877"/>
      <c r="G1877"/>
      <c r="H1877" s="19"/>
      <c r="I1877" s="19"/>
      <c r="J1877" s="19"/>
      <c r="M1877" s="7"/>
    </row>
    <row r="1878" spans="2:13" x14ac:dyDescent="0.25">
      <c r="B1878"/>
      <c r="C1878"/>
      <c r="D1878"/>
      <c r="E1878"/>
      <c r="F1878"/>
      <c r="G1878"/>
      <c r="H1878" s="19"/>
      <c r="I1878" s="19"/>
      <c r="J1878" s="19"/>
      <c r="M1878" s="7"/>
    </row>
    <row r="1879" spans="2:13" x14ac:dyDescent="0.25">
      <c r="B1879"/>
      <c r="C1879"/>
      <c r="D1879"/>
      <c r="E1879"/>
      <c r="F1879"/>
      <c r="G1879"/>
      <c r="H1879" s="19"/>
      <c r="I1879" s="19"/>
      <c r="J1879" s="19"/>
      <c r="M1879" s="7"/>
    </row>
    <row r="1880" spans="2:13" x14ac:dyDescent="0.25">
      <c r="B1880"/>
      <c r="C1880"/>
      <c r="D1880"/>
      <c r="E1880"/>
      <c r="F1880"/>
      <c r="G1880"/>
      <c r="H1880" s="19"/>
      <c r="I1880" s="19"/>
      <c r="J1880" s="19"/>
      <c r="M1880" s="7"/>
    </row>
    <row r="1881" spans="2:13" x14ac:dyDescent="0.25">
      <c r="B1881"/>
      <c r="C1881"/>
      <c r="D1881"/>
      <c r="E1881"/>
      <c r="F1881"/>
      <c r="G1881"/>
      <c r="H1881" s="19"/>
      <c r="I1881" s="19"/>
      <c r="J1881" s="19"/>
      <c r="M1881" s="7"/>
    </row>
    <row r="1882" spans="2:13" x14ac:dyDescent="0.25">
      <c r="B1882"/>
      <c r="C1882"/>
      <c r="D1882"/>
      <c r="E1882"/>
      <c r="F1882"/>
      <c r="G1882"/>
      <c r="H1882" s="19"/>
      <c r="I1882" s="19"/>
      <c r="J1882" s="19"/>
      <c r="M1882" s="7"/>
    </row>
    <row r="1883" spans="2:13" x14ac:dyDescent="0.25">
      <c r="B1883"/>
      <c r="C1883"/>
      <c r="D1883"/>
      <c r="E1883"/>
      <c r="F1883"/>
      <c r="G1883"/>
      <c r="H1883" s="19"/>
      <c r="I1883" s="19"/>
      <c r="J1883" s="19"/>
      <c r="M1883" s="7"/>
    </row>
    <row r="1884" spans="2:13" x14ac:dyDescent="0.25">
      <c r="B1884"/>
      <c r="C1884"/>
      <c r="D1884"/>
      <c r="E1884"/>
      <c r="F1884"/>
      <c r="G1884"/>
      <c r="H1884" s="19"/>
      <c r="I1884" s="19"/>
      <c r="J1884" s="19"/>
      <c r="M1884" s="7"/>
    </row>
    <row r="1885" spans="2:13" x14ac:dyDescent="0.25">
      <c r="B1885"/>
      <c r="C1885"/>
      <c r="D1885"/>
      <c r="E1885"/>
      <c r="F1885"/>
      <c r="G1885"/>
      <c r="H1885" s="19"/>
      <c r="I1885" s="19"/>
      <c r="J1885" s="19"/>
      <c r="M1885" s="7"/>
    </row>
    <row r="1886" spans="2:13" x14ac:dyDescent="0.25">
      <c r="B1886"/>
      <c r="C1886"/>
      <c r="D1886"/>
      <c r="E1886"/>
      <c r="F1886"/>
      <c r="G1886"/>
      <c r="H1886" s="19"/>
      <c r="I1886" s="19"/>
      <c r="J1886" s="19"/>
      <c r="M1886" s="7"/>
    </row>
    <row r="1887" spans="2:13" x14ac:dyDescent="0.25">
      <c r="B1887"/>
      <c r="C1887"/>
      <c r="D1887"/>
      <c r="E1887"/>
      <c r="F1887"/>
      <c r="G1887"/>
      <c r="H1887" s="19"/>
      <c r="I1887" s="19"/>
      <c r="J1887" s="19"/>
      <c r="M1887" s="7"/>
    </row>
    <row r="1888" spans="2:13" x14ac:dyDescent="0.25">
      <c r="B1888"/>
      <c r="C1888"/>
      <c r="D1888"/>
      <c r="E1888"/>
      <c r="F1888"/>
      <c r="G1888"/>
      <c r="H1888" s="19"/>
      <c r="I1888" s="19"/>
      <c r="J1888" s="19"/>
      <c r="M1888" s="7"/>
    </row>
    <row r="1889" spans="2:13" x14ac:dyDescent="0.25">
      <c r="B1889"/>
      <c r="C1889"/>
      <c r="D1889"/>
      <c r="E1889"/>
      <c r="F1889"/>
      <c r="G1889"/>
      <c r="H1889" s="19"/>
      <c r="I1889" s="19"/>
      <c r="J1889" s="19"/>
      <c r="M1889" s="7"/>
    </row>
    <row r="1890" spans="2:13" x14ac:dyDescent="0.25">
      <c r="B1890"/>
      <c r="C1890"/>
      <c r="D1890"/>
      <c r="E1890"/>
      <c r="F1890"/>
      <c r="G1890"/>
      <c r="H1890" s="19"/>
      <c r="I1890" s="19"/>
      <c r="J1890" s="19"/>
      <c r="M1890" s="7"/>
    </row>
    <row r="1891" spans="2:13" x14ac:dyDescent="0.25">
      <c r="B1891"/>
      <c r="C1891"/>
      <c r="D1891"/>
      <c r="E1891"/>
      <c r="F1891"/>
      <c r="G1891"/>
      <c r="H1891" s="19"/>
      <c r="I1891" s="19"/>
      <c r="J1891" s="19"/>
      <c r="M1891" s="7"/>
    </row>
    <row r="1892" spans="2:13" x14ac:dyDescent="0.25">
      <c r="B1892"/>
      <c r="C1892"/>
      <c r="D1892"/>
      <c r="E1892"/>
      <c r="F1892"/>
      <c r="G1892"/>
      <c r="H1892" s="19"/>
      <c r="I1892" s="19"/>
      <c r="J1892" s="19"/>
      <c r="M1892" s="7"/>
    </row>
    <row r="1893" spans="2:13" x14ac:dyDescent="0.25">
      <c r="B1893"/>
      <c r="C1893"/>
      <c r="D1893"/>
      <c r="E1893"/>
      <c r="F1893"/>
      <c r="G1893"/>
      <c r="H1893" s="19"/>
      <c r="I1893" s="19"/>
      <c r="J1893" s="19"/>
      <c r="M1893" s="7"/>
    </row>
    <row r="1894" spans="2:13" x14ac:dyDescent="0.25">
      <c r="B1894"/>
      <c r="C1894"/>
      <c r="D1894"/>
      <c r="E1894"/>
      <c r="F1894"/>
      <c r="G1894"/>
      <c r="H1894" s="19"/>
      <c r="I1894" s="19"/>
      <c r="J1894" s="19"/>
      <c r="M1894" s="7"/>
    </row>
    <row r="1895" spans="2:13" x14ac:dyDescent="0.25">
      <c r="B1895"/>
      <c r="C1895"/>
      <c r="D1895"/>
      <c r="E1895"/>
      <c r="F1895"/>
      <c r="G1895"/>
      <c r="H1895" s="19"/>
      <c r="I1895" s="19"/>
      <c r="J1895" s="19"/>
      <c r="M1895" s="7"/>
    </row>
    <row r="1896" spans="2:13" x14ac:dyDescent="0.25">
      <c r="B1896"/>
      <c r="C1896"/>
      <c r="D1896"/>
      <c r="E1896"/>
      <c r="F1896"/>
      <c r="G1896"/>
      <c r="H1896" s="19"/>
      <c r="I1896" s="19"/>
      <c r="J1896" s="19"/>
      <c r="M1896" s="7"/>
    </row>
    <row r="1897" spans="2:13" x14ac:dyDescent="0.25">
      <c r="B1897"/>
      <c r="C1897"/>
      <c r="D1897"/>
      <c r="E1897"/>
      <c r="F1897"/>
      <c r="G1897"/>
      <c r="H1897" s="19"/>
      <c r="I1897" s="19"/>
      <c r="J1897" s="19"/>
      <c r="M1897" s="7"/>
    </row>
    <row r="1898" spans="2:13" x14ac:dyDescent="0.25">
      <c r="B1898"/>
      <c r="C1898"/>
      <c r="D1898"/>
      <c r="E1898"/>
      <c r="F1898"/>
      <c r="G1898"/>
      <c r="H1898" s="19"/>
      <c r="I1898" s="19"/>
      <c r="J1898" s="19"/>
      <c r="M1898" s="7"/>
    </row>
    <row r="1899" spans="2:13" x14ac:dyDescent="0.25">
      <c r="B1899"/>
      <c r="C1899"/>
      <c r="D1899"/>
      <c r="E1899"/>
      <c r="F1899"/>
      <c r="G1899"/>
      <c r="H1899" s="19"/>
      <c r="I1899" s="19"/>
      <c r="J1899" s="19"/>
      <c r="M1899" s="7"/>
    </row>
    <row r="1900" spans="2:13" x14ac:dyDescent="0.25">
      <c r="B1900"/>
      <c r="C1900"/>
      <c r="D1900"/>
      <c r="E1900"/>
      <c r="F1900"/>
      <c r="G1900"/>
      <c r="H1900" s="19"/>
      <c r="I1900" s="19"/>
      <c r="J1900" s="19"/>
      <c r="M1900" s="7"/>
    </row>
    <row r="1901" spans="2:13" x14ac:dyDescent="0.25">
      <c r="B1901"/>
      <c r="C1901"/>
      <c r="D1901"/>
      <c r="E1901"/>
      <c r="F1901"/>
      <c r="G1901"/>
      <c r="H1901" s="19"/>
      <c r="I1901" s="19"/>
      <c r="J1901" s="19"/>
      <c r="M1901" s="7"/>
    </row>
    <row r="1902" spans="2:13" x14ac:dyDescent="0.25">
      <c r="B1902"/>
      <c r="C1902"/>
      <c r="D1902"/>
      <c r="E1902"/>
      <c r="F1902"/>
      <c r="G1902"/>
      <c r="H1902" s="19"/>
      <c r="I1902" s="19"/>
      <c r="J1902" s="19"/>
      <c r="M1902" s="7"/>
    </row>
    <row r="1903" spans="2:13" x14ac:dyDescent="0.25">
      <c r="B1903"/>
      <c r="C1903"/>
      <c r="D1903"/>
      <c r="E1903"/>
      <c r="F1903"/>
      <c r="G1903"/>
      <c r="H1903" s="19"/>
      <c r="I1903" s="19"/>
      <c r="J1903" s="19"/>
      <c r="M1903" s="7"/>
    </row>
    <row r="1904" spans="2:13" x14ac:dyDescent="0.25">
      <c r="B1904"/>
      <c r="C1904"/>
      <c r="D1904"/>
      <c r="E1904"/>
      <c r="F1904"/>
      <c r="G1904"/>
      <c r="H1904" s="19"/>
      <c r="I1904" s="19"/>
      <c r="J1904" s="19"/>
      <c r="M1904" s="7"/>
    </row>
    <row r="1905" spans="2:13" x14ac:dyDescent="0.25">
      <c r="B1905"/>
      <c r="C1905"/>
      <c r="D1905"/>
      <c r="E1905"/>
      <c r="F1905"/>
      <c r="G1905"/>
      <c r="H1905" s="19"/>
      <c r="I1905" s="19"/>
      <c r="J1905" s="19"/>
      <c r="M1905" s="7"/>
    </row>
    <row r="1906" spans="2:13" x14ac:dyDescent="0.25">
      <c r="B1906"/>
      <c r="C1906"/>
      <c r="D1906"/>
      <c r="E1906"/>
      <c r="F1906"/>
      <c r="G1906"/>
      <c r="H1906" s="19"/>
      <c r="I1906" s="19"/>
      <c r="J1906" s="19"/>
      <c r="M1906" s="7"/>
    </row>
    <row r="1907" spans="2:13" x14ac:dyDescent="0.25">
      <c r="B1907"/>
      <c r="C1907"/>
      <c r="D1907"/>
      <c r="E1907"/>
      <c r="F1907"/>
      <c r="G1907"/>
      <c r="H1907" s="19"/>
      <c r="I1907" s="19"/>
      <c r="J1907" s="19"/>
      <c r="M1907" s="7"/>
    </row>
    <row r="1908" spans="2:13" x14ac:dyDescent="0.25">
      <c r="B1908"/>
      <c r="C1908"/>
      <c r="D1908"/>
      <c r="E1908"/>
      <c r="F1908"/>
      <c r="G1908"/>
      <c r="H1908" s="19"/>
      <c r="I1908" s="19"/>
      <c r="J1908" s="19"/>
      <c r="M1908" s="7"/>
    </row>
    <row r="1909" spans="2:13" x14ac:dyDescent="0.25">
      <c r="B1909"/>
      <c r="C1909"/>
      <c r="D1909"/>
      <c r="E1909"/>
      <c r="F1909"/>
      <c r="G1909"/>
      <c r="H1909" s="19"/>
      <c r="I1909" s="19"/>
      <c r="J1909" s="19"/>
      <c r="M1909" s="7"/>
    </row>
    <row r="1910" spans="2:13" x14ac:dyDescent="0.25">
      <c r="B1910"/>
      <c r="C1910"/>
      <c r="D1910"/>
      <c r="E1910"/>
      <c r="F1910"/>
      <c r="G1910"/>
      <c r="H1910" s="19"/>
      <c r="I1910" s="19"/>
      <c r="J1910" s="19"/>
      <c r="M1910" s="7"/>
    </row>
    <row r="1911" spans="2:13" x14ac:dyDescent="0.25">
      <c r="B1911"/>
      <c r="C1911"/>
      <c r="D1911"/>
      <c r="E1911"/>
      <c r="F1911"/>
      <c r="G1911"/>
      <c r="H1911" s="19"/>
      <c r="I1911" s="19"/>
      <c r="J1911" s="19"/>
      <c r="M1911" s="7"/>
    </row>
    <row r="1912" spans="2:13" x14ac:dyDescent="0.25">
      <c r="B1912"/>
      <c r="C1912"/>
      <c r="D1912"/>
      <c r="E1912"/>
      <c r="F1912"/>
      <c r="G1912"/>
      <c r="H1912" s="19"/>
      <c r="I1912" s="19"/>
      <c r="J1912" s="19"/>
      <c r="M1912" s="7"/>
    </row>
    <row r="1913" spans="2:13" x14ac:dyDescent="0.25">
      <c r="B1913"/>
      <c r="C1913"/>
      <c r="D1913"/>
      <c r="E1913"/>
      <c r="F1913"/>
      <c r="G1913"/>
      <c r="H1913" s="19"/>
      <c r="I1913" s="19"/>
      <c r="J1913" s="19"/>
      <c r="M1913" s="7"/>
    </row>
    <row r="1914" spans="2:13" x14ac:dyDescent="0.25">
      <c r="B1914"/>
      <c r="C1914"/>
      <c r="D1914"/>
      <c r="E1914"/>
      <c r="F1914"/>
      <c r="G1914"/>
      <c r="H1914" s="19"/>
      <c r="I1914" s="19"/>
      <c r="J1914" s="19"/>
      <c r="M1914" s="7"/>
    </row>
    <row r="1915" spans="2:13" x14ac:dyDescent="0.25">
      <c r="B1915"/>
      <c r="C1915"/>
      <c r="D1915"/>
      <c r="E1915"/>
      <c r="F1915"/>
      <c r="G1915"/>
      <c r="H1915" s="19"/>
      <c r="I1915" s="19"/>
      <c r="J1915" s="19"/>
      <c r="M1915" s="7"/>
    </row>
    <row r="1916" spans="2:13" x14ac:dyDescent="0.25">
      <c r="B1916"/>
      <c r="C1916"/>
      <c r="D1916"/>
      <c r="E1916"/>
      <c r="F1916"/>
      <c r="G1916"/>
      <c r="H1916" s="19"/>
      <c r="I1916" s="19"/>
      <c r="J1916" s="19"/>
      <c r="M1916" s="7"/>
    </row>
    <row r="1917" spans="2:13" x14ac:dyDescent="0.25">
      <c r="B1917"/>
      <c r="C1917"/>
      <c r="D1917"/>
      <c r="E1917"/>
      <c r="F1917"/>
      <c r="G1917"/>
      <c r="H1917" s="19"/>
      <c r="I1917" s="19"/>
      <c r="J1917" s="19"/>
      <c r="M1917" s="7"/>
    </row>
    <row r="1918" spans="2:13" x14ac:dyDescent="0.25">
      <c r="B1918"/>
      <c r="C1918"/>
      <c r="D1918"/>
      <c r="E1918"/>
      <c r="F1918"/>
      <c r="G1918"/>
      <c r="H1918" s="19"/>
      <c r="I1918" s="19"/>
      <c r="J1918" s="19"/>
      <c r="M1918" s="7"/>
    </row>
    <row r="1919" spans="2:13" x14ac:dyDescent="0.25">
      <c r="B1919"/>
      <c r="C1919"/>
      <c r="D1919"/>
      <c r="E1919"/>
      <c r="F1919"/>
      <c r="G1919"/>
      <c r="H1919" s="19"/>
      <c r="I1919" s="19"/>
      <c r="J1919" s="19"/>
      <c r="M1919" s="7"/>
    </row>
    <row r="1920" spans="2:13" x14ac:dyDescent="0.25">
      <c r="B1920"/>
      <c r="C1920"/>
      <c r="D1920"/>
      <c r="E1920"/>
      <c r="F1920"/>
      <c r="G1920"/>
      <c r="H1920" s="19"/>
      <c r="I1920" s="19"/>
      <c r="J1920" s="19"/>
      <c r="M1920" s="7"/>
    </row>
    <row r="1921" spans="2:13" x14ac:dyDescent="0.25">
      <c r="B1921"/>
      <c r="C1921"/>
      <c r="D1921"/>
      <c r="E1921"/>
      <c r="F1921"/>
      <c r="G1921"/>
      <c r="H1921" s="19"/>
      <c r="I1921" s="19"/>
      <c r="J1921" s="19"/>
      <c r="M1921" s="7"/>
    </row>
    <row r="1922" spans="2:13" x14ac:dyDescent="0.25">
      <c r="B1922"/>
      <c r="C1922"/>
      <c r="D1922"/>
      <c r="E1922"/>
      <c r="F1922"/>
      <c r="G1922"/>
      <c r="H1922" s="19"/>
      <c r="I1922" s="19"/>
      <c r="J1922" s="19"/>
      <c r="M1922" s="7"/>
    </row>
    <row r="1923" spans="2:13" x14ac:dyDescent="0.25">
      <c r="B1923"/>
      <c r="C1923"/>
      <c r="D1923"/>
      <c r="E1923"/>
      <c r="F1923"/>
      <c r="G1923"/>
      <c r="H1923" s="19"/>
      <c r="I1923" s="19"/>
      <c r="J1923" s="19"/>
      <c r="M1923" s="7"/>
    </row>
    <row r="1924" spans="2:13" x14ac:dyDescent="0.25">
      <c r="B1924"/>
      <c r="C1924"/>
      <c r="D1924"/>
      <c r="E1924"/>
      <c r="F1924"/>
      <c r="G1924"/>
      <c r="H1924" s="19"/>
      <c r="I1924" s="19"/>
      <c r="J1924" s="19"/>
      <c r="M1924" s="7"/>
    </row>
    <row r="1925" spans="2:13" x14ac:dyDescent="0.25">
      <c r="B1925"/>
      <c r="C1925"/>
      <c r="D1925"/>
      <c r="E1925"/>
      <c r="F1925"/>
      <c r="G1925"/>
      <c r="H1925" s="19"/>
      <c r="I1925" s="19"/>
      <c r="J1925" s="19"/>
      <c r="M1925" s="7"/>
    </row>
    <row r="1926" spans="2:13" x14ac:dyDescent="0.25">
      <c r="B1926"/>
      <c r="C1926"/>
      <c r="D1926"/>
      <c r="E1926"/>
      <c r="F1926"/>
      <c r="G1926"/>
      <c r="H1926" s="19"/>
      <c r="I1926" s="19"/>
      <c r="J1926" s="19"/>
      <c r="M1926" s="7"/>
    </row>
    <row r="1927" spans="2:13" x14ac:dyDescent="0.25">
      <c r="B1927"/>
      <c r="C1927"/>
      <c r="D1927"/>
      <c r="E1927"/>
      <c r="F1927"/>
      <c r="G1927"/>
      <c r="H1927" s="19"/>
      <c r="I1927" s="19"/>
      <c r="J1927" s="19"/>
      <c r="M1927" s="7"/>
    </row>
    <row r="1928" spans="2:13" x14ac:dyDescent="0.25">
      <c r="B1928"/>
      <c r="C1928"/>
      <c r="D1928"/>
      <c r="E1928"/>
      <c r="F1928"/>
      <c r="G1928"/>
      <c r="H1928" s="19"/>
      <c r="I1928" s="19"/>
      <c r="J1928" s="19"/>
      <c r="M1928" s="7"/>
    </row>
    <row r="1929" spans="2:13" x14ac:dyDescent="0.25">
      <c r="B1929"/>
      <c r="C1929"/>
      <c r="D1929"/>
      <c r="E1929"/>
      <c r="F1929"/>
      <c r="G1929"/>
      <c r="H1929" s="19"/>
      <c r="I1929" s="19"/>
      <c r="J1929" s="19"/>
      <c r="M1929" s="7"/>
    </row>
    <row r="1930" spans="2:13" x14ac:dyDescent="0.25">
      <c r="B1930"/>
      <c r="C1930"/>
      <c r="D1930"/>
      <c r="E1930"/>
      <c r="F1930"/>
      <c r="G1930"/>
      <c r="H1930" s="19"/>
      <c r="I1930" s="19"/>
      <c r="J1930" s="19"/>
      <c r="M1930" s="7"/>
    </row>
    <row r="1931" spans="2:13" x14ac:dyDescent="0.25">
      <c r="B1931"/>
      <c r="C1931"/>
      <c r="D1931"/>
      <c r="E1931"/>
      <c r="F1931"/>
      <c r="G1931"/>
      <c r="H1931" s="19"/>
      <c r="I1931" s="19"/>
      <c r="J1931" s="19"/>
      <c r="M1931" s="7"/>
    </row>
    <row r="1932" spans="2:13" x14ac:dyDescent="0.25">
      <c r="B1932"/>
      <c r="C1932"/>
      <c r="D1932"/>
      <c r="E1932"/>
      <c r="F1932"/>
      <c r="G1932"/>
      <c r="H1932" s="19"/>
      <c r="I1932" s="19"/>
      <c r="J1932" s="19"/>
      <c r="M1932" s="7"/>
    </row>
    <row r="1933" spans="2:13" x14ac:dyDescent="0.25">
      <c r="B1933"/>
      <c r="C1933"/>
      <c r="D1933"/>
      <c r="E1933"/>
      <c r="F1933"/>
      <c r="G1933"/>
      <c r="H1933" s="19"/>
      <c r="I1933" s="19"/>
      <c r="J1933" s="19"/>
      <c r="M1933" s="7"/>
    </row>
    <row r="1934" spans="2:13" x14ac:dyDescent="0.25">
      <c r="B1934"/>
      <c r="C1934"/>
      <c r="D1934"/>
      <c r="E1934"/>
      <c r="F1934"/>
      <c r="G1934"/>
      <c r="H1934" s="19"/>
      <c r="I1934" s="19"/>
      <c r="J1934" s="19"/>
      <c r="M1934" s="7"/>
    </row>
    <row r="1935" spans="2:13" x14ac:dyDescent="0.25">
      <c r="B1935"/>
      <c r="C1935"/>
      <c r="D1935"/>
      <c r="E1935"/>
      <c r="F1935"/>
      <c r="G1935"/>
      <c r="H1935" s="19"/>
      <c r="I1935" s="19"/>
      <c r="J1935" s="19"/>
      <c r="M1935" s="7"/>
    </row>
    <row r="1936" spans="2:13" x14ac:dyDescent="0.25">
      <c r="B1936"/>
      <c r="C1936"/>
      <c r="D1936"/>
      <c r="E1936"/>
      <c r="F1936"/>
      <c r="G1936"/>
      <c r="H1936" s="19"/>
      <c r="I1936" s="19"/>
      <c r="J1936" s="19"/>
      <c r="M1936" s="7"/>
    </row>
    <row r="1937" spans="2:13" x14ac:dyDescent="0.25">
      <c r="B1937"/>
      <c r="C1937"/>
      <c r="D1937"/>
      <c r="E1937"/>
      <c r="F1937"/>
      <c r="G1937"/>
      <c r="H1937" s="19"/>
      <c r="I1937" s="19"/>
      <c r="J1937" s="19"/>
      <c r="M1937" s="7"/>
    </row>
    <row r="1938" spans="2:13" x14ac:dyDescent="0.25">
      <c r="B1938"/>
      <c r="C1938"/>
      <c r="D1938"/>
      <c r="E1938"/>
      <c r="F1938"/>
      <c r="G1938"/>
      <c r="H1938" s="19"/>
      <c r="I1938" s="19"/>
      <c r="J1938" s="19"/>
      <c r="M1938" s="7"/>
    </row>
    <row r="1939" spans="2:13" x14ac:dyDescent="0.25">
      <c r="B1939"/>
      <c r="C1939"/>
      <c r="D1939"/>
      <c r="E1939"/>
      <c r="F1939"/>
      <c r="G1939"/>
      <c r="H1939" s="19"/>
      <c r="I1939" s="19"/>
      <c r="J1939" s="19"/>
      <c r="M1939" s="7"/>
    </row>
    <row r="1940" spans="2:13" x14ac:dyDescent="0.25">
      <c r="B1940"/>
      <c r="C1940"/>
      <c r="D1940"/>
      <c r="E1940"/>
      <c r="F1940"/>
      <c r="G1940"/>
      <c r="H1940" s="19"/>
      <c r="I1940" s="19"/>
      <c r="J1940" s="19"/>
      <c r="M1940" s="7"/>
    </row>
    <row r="1941" spans="2:13" x14ac:dyDescent="0.25">
      <c r="B1941"/>
      <c r="C1941"/>
      <c r="D1941"/>
      <c r="E1941"/>
      <c r="F1941"/>
      <c r="G1941"/>
      <c r="H1941" s="19"/>
      <c r="I1941" s="19"/>
      <c r="J1941" s="19"/>
      <c r="M1941" s="7"/>
    </row>
    <row r="1942" spans="2:13" x14ac:dyDescent="0.25">
      <c r="B1942"/>
      <c r="C1942"/>
      <c r="D1942"/>
      <c r="E1942"/>
      <c r="F1942"/>
      <c r="G1942"/>
      <c r="H1942" s="19"/>
      <c r="I1942" s="19"/>
      <c r="J1942" s="19"/>
      <c r="M1942" s="7"/>
    </row>
    <row r="1943" spans="2:13" x14ac:dyDescent="0.25">
      <c r="B1943"/>
      <c r="C1943"/>
      <c r="D1943"/>
      <c r="E1943"/>
      <c r="F1943"/>
      <c r="G1943"/>
      <c r="H1943" s="19"/>
      <c r="I1943" s="19"/>
      <c r="J1943" s="19"/>
      <c r="M1943" s="7"/>
    </row>
    <row r="1944" spans="2:13" x14ac:dyDescent="0.25">
      <c r="B1944"/>
      <c r="C1944"/>
      <c r="D1944"/>
      <c r="E1944"/>
      <c r="F1944"/>
      <c r="G1944"/>
      <c r="H1944" s="19"/>
      <c r="I1944" s="19"/>
      <c r="J1944" s="19"/>
      <c r="M1944" s="7"/>
    </row>
    <row r="1945" spans="2:13" x14ac:dyDescent="0.25">
      <c r="B1945"/>
      <c r="C1945"/>
      <c r="D1945"/>
      <c r="E1945"/>
      <c r="F1945"/>
      <c r="G1945"/>
      <c r="H1945" s="19"/>
      <c r="I1945" s="19"/>
      <c r="J1945" s="19"/>
      <c r="M1945" s="7"/>
    </row>
    <row r="1946" spans="2:13" x14ac:dyDescent="0.25">
      <c r="B1946"/>
      <c r="C1946"/>
      <c r="D1946"/>
      <c r="E1946"/>
      <c r="F1946"/>
      <c r="G1946"/>
      <c r="H1946" s="19"/>
      <c r="I1946" s="19"/>
      <c r="J1946" s="19"/>
      <c r="M1946" s="7"/>
    </row>
    <row r="1947" spans="2:13" x14ac:dyDescent="0.25">
      <c r="B1947"/>
      <c r="C1947"/>
      <c r="D1947"/>
      <c r="E1947"/>
      <c r="F1947"/>
      <c r="G1947"/>
      <c r="H1947" s="19"/>
      <c r="I1947" s="19"/>
      <c r="J1947" s="19"/>
      <c r="M1947" s="7"/>
    </row>
    <row r="1948" spans="2:13" x14ac:dyDescent="0.25">
      <c r="B1948"/>
      <c r="C1948"/>
      <c r="D1948"/>
      <c r="E1948"/>
      <c r="F1948"/>
      <c r="G1948"/>
      <c r="H1948" s="19"/>
      <c r="I1948" s="19"/>
      <c r="J1948" s="19"/>
      <c r="M1948" s="7"/>
    </row>
    <row r="1949" spans="2:13" x14ac:dyDescent="0.25">
      <c r="B1949"/>
      <c r="C1949"/>
      <c r="D1949"/>
      <c r="E1949"/>
      <c r="F1949"/>
      <c r="G1949"/>
      <c r="H1949" s="19"/>
      <c r="I1949" s="19"/>
      <c r="J1949" s="19"/>
      <c r="M1949" s="7"/>
    </row>
    <row r="1950" spans="2:13" x14ac:dyDescent="0.25">
      <c r="B1950"/>
      <c r="C1950"/>
      <c r="D1950"/>
      <c r="E1950"/>
      <c r="F1950"/>
      <c r="G1950"/>
      <c r="H1950" s="19"/>
      <c r="I1950" s="19"/>
      <c r="J1950" s="19"/>
      <c r="M1950" s="7"/>
    </row>
    <row r="1951" spans="2:13" x14ac:dyDescent="0.25">
      <c r="B1951"/>
      <c r="C1951"/>
      <c r="D1951"/>
      <c r="E1951"/>
      <c r="F1951"/>
      <c r="G1951"/>
      <c r="H1951" s="19"/>
      <c r="I1951" s="19"/>
      <c r="J1951" s="19"/>
      <c r="M1951" s="7"/>
    </row>
    <row r="1952" spans="2:13" x14ac:dyDescent="0.25">
      <c r="B1952"/>
      <c r="C1952"/>
      <c r="D1952"/>
      <c r="E1952"/>
      <c r="F1952"/>
      <c r="G1952"/>
      <c r="H1952" s="19"/>
      <c r="I1952" s="19"/>
      <c r="J1952" s="19"/>
      <c r="M1952" s="7"/>
    </row>
    <row r="1953" spans="2:13" x14ac:dyDescent="0.25">
      <c r="B1953"/>
      <c r="C1953"/>
      <c r="D1953"/>
      <c r="E1953"/>
      <c r="F1953"/>
      <c r="G1953"/>
      <c r="H1953" s="19"/>
      <c r="I1953" s="19"/>
      <c r="J1953" s="19"/>
      <c r="M1953" s="7"/>
    </row>
    <row r="1954" spans="2:13" x14ac:dyDescent="0.25">
      <c r="B1954"/>
      <c r="C1954"/>
      <c r="D1954"/>
      <c r="E1954"/>
      <c r="F1954"/>
      <c r="G1954"/>
      <c r="H1954" s="19"/>
      <c r="I1954" s="19"/>
      <c r="J1954" s="19"/>
      <c r="M1954" s="7"/>
    </row>
    <row r="1955" spans="2:13" x14ac:dyDescent="0.25">
      <c r="B1955"/>
      <c r="C1955"/>
      <c r="D1955"/>
      <c r="E1955"/>
      <c r="F1955"/>
      <c r="G1955"/>
      <c r="H1955" s="19"/>
      <c r="I1955" s="19"/>
      <c r="J1955" s="19"/>
      <c r="M1955" s="7"/>
    </row>
    <row r="1956" spans="2:13" x14ac:dyDescent="0.25">
      <c r="B1956"/>
      <c r="C1956"/>
      <c r="D1956"/>
      <c r="E1956"/>
      <c r="F1956"/>
      <c r="G1956"/>
      <c r="H1956" s="19"/>
      <c r="I1956" s="19"/>
      <c r="J1956" s="19"/>
      <c r="M1956" s="7"/>
    </row>
    <row r="1957" spans="2:13" x14ac:dyDescent="0.25">
      <c r="B1957"/>
      <c r="C1957"/>
      <c r="D1957"/>
      <c r="E1957"/>
      <c r="F1957"/>
      <c r="G1957"/>
      <c r="H1957" s="19"/>
      <c r="I1957" s="19"/>
      <c r="J1957" s="19"/>
      <c r="M1957" s="7"/>
    </row>
    <row r="1958" spans="2:13" x14ac:dyDescent="0.25">
      <c r="B1958"/>
      <c r="C1958"/>
      <c r="D1958"/>
      <c r="E1958"/>
      <c r="F1958"/>
      <c r="G1958"/>
      <c r="H1958" s="19"/>
      <c r="I1958" s="19"/>
      <c r="J1958" s="19"/>
      <c r="M1958" s="7"/>
    </row>
    <row r="1959" spans="2:13" x14ac:dyDescent="0.25">
      <c r="B1959"/>
      <c r="C1959"/>
      <c r="D1959"/>
      <c r="E1959"/>
      <c r="F1959"/>
      <c r="G1959"/>
      <c r="H1959" s="19"/>
      <c r="I1959" s="19"/>
      <c r="J1959" s="19"/>
      <c r="M1959" s="7"/>
    </row>
    <row r="1960" spans="2:13" x14ac:dyDescent="0.25">
      <c r="B1960"/>
      <c r="C1960"/>
      <c r="D1960"/>
      <c r="E1960"/>
      <c r="F1960"/>
      <c r="G1960"/>
      <c r="H1960" s="19"/>
      <c r="I1960" s="19"/>
      <c r="J1960" s="19"/>
      <c r="M1960" s="7"/>
    </row>
    <row r="1961" spans="2:13" x14ac:dyDescent="0.25">
      <c r="B1961"/>
      <c r="C1961"/>
      <c r="D1961"/>
      <c r="E1961"/>
      <c r="F1961"/>
      <c r="G1961"/>
      <c r="H1961" s="19"/>
      <c r="I1961" s="19"/>
      <c r="J1961" s="19"/>
      <c r="M1961" s="7"/>
    </row>
    <row r="1962" spans="2:13" x14ac:dyDescent="0.25">
      <c r="B1962"/>
      <c r="C1962"/>
      <c r="D1962"/>
      <c r="E1962"/>
      <c r="F1962"/>
      <c r="G1962"/>
      <c r="H1962" s="19"/>
      <c r="I1962" s="19"/>
      <c r="J1962" s="19"/>
      <c r="M1962" s="7"/>
    </row>
    <row r="1963" spans="2:13" x14ac:dyDescent="0.25">
      <c r="B1963"/>
      <c r="C1963"/>
      <c r="D1963"/>
      <c r="E1963"/>
      <c r="F1963"/>
      <c r="G1963"/>
      <c r="H1963" s="19"/>
      <c r="I1963" s="19"/>
      <c r="J1963" s="19"/>
      <c r="M1963" s="7"/>
    </row>
    <row r="1964" spans="2:13" x14ac:dyDescent="0.25">
      <c r="B1964"/>
      <c r="C1964"/>
      <c r="D1964"/>
      <c r="E1964"/>
      <c r="F1964"/>
      <c r="G1964"/>
      <c r="H1964" s="19"/>
      <c r="I1964" s="19"/>
      <c r="J1964" s="19"/>
      <c r="M1964" s="7"/>
    </row>
    <row r="1965" spans="2:13" x14ac:dyDescent="0.25">
      <c r="B1965"/>
      <c r="C1965"/>
      <c r="D1965"/>
      <c r="E1965"/>
      <c r="F1965"/>
      <c r="G1965"/>
      <c r="H1965" s="19"/>
      <c r="I1965" s="19"/>
      <c r="J1965" s="19"/>
      <c r="M1965" s="7"/>
    </row>
    <row r="1966" spans="2:13" x14ac:dyDescent="0.25">
      <c r="B1966"/>
      <c r="C1966"/>
      <c r="D1966"/>
      <c r="E1966"/>
      <c r="F1966"/>
      <c r="G1966"/>
      <c r="H1966" s="19"/>
      <c r="I1966" s="19"/>
      <c r="J1966" s="19"/>
      <c r="M1966" s="7"/>
    </row>
    <row r="1967" spans="2:13" x14ac:dyDescent="0.25">
      <c r="B1967"/>
      <c r="C1967"/>
      <c r="D1967"/>
      <c r="E1967"/>
      <c r="F1967"/>
      <c r="G1967"/>
      <c r="H1967" s="19"/>
      <c r="I1967" s="19"/>
      <c r="J1967" s="19"/>
      <c r="M1967" s="7"/>
    </row>
    <row r="1968" spans="2:13" x14ac:dyDescent="0.25">
      <c r="B1968"/>
      <c r="C1968"/>
      <c r="D1968"/>
      <c r="E1968"/>
      <c r="F1968"/>
      <c r="G1968"/>
      <c r="H1968" s="19"/>
      <c r="I1968" s="19"/>
      <c r="J1968" s="19"/>
      <c r="M1968" s="7"/>
    </row>
    <row r="1969" spans="2:13" x14ac:dyDescent="0.25">
      <c r="B1969"/>
      <c r="C1969"/>
      <c r="D1969"/>
      <c r="E1969"/>
      <c r="F1969"/>
      <c r="G1969"/>
      <c r="H1969" s="19"/>
      <c r="I1969" s="19"/>
      <c r="J1969" s="19"/>
      <c r="M1969" s="7"/>
    </row>
    <row r="1970" spans="2:13" x14ac:dyDescent="0.25">
      <c r="B1970"/>
      <c r="C1970"/>
      <c r="D1970"/>
      <c r="E1970"/>
      <c r="F1970"/>
      <c r="G1970"/>
      <c r="H1970" s="19"/>
      <c r="I1970" s="19"/>
      <c r="J1970" s="19"/>
      <c r="M1970" s="7"/>
    </row>
    <row r="1971" spans="2:13" x14ac:dyDescent="0.25">
      <c r="B1971"/>
      <c r="C1971"/>
      <c r="D1971"/>
      <c r="E1971"/>
      <c r="F1971"/>
      <c r="G1971"/>
      <c r="H1971" s="19"/>
      <c r="I1971" s="19"/>
      <c r="J1971" s="19"/>
      <c r="M1971" s="7"/>
    </row>
    <row r="1972" spans="2:13" x14ac:dyDescent="0.25">
      <c r="B1972"/>
      <c r="C1972"/>
      <c r="D1972"/>
      <c r="E1972"/>
      <c r="F1972"/>
      <c r="G1972"/>
      <c r="H1972" s="19"/>
      <c r="I1972" s="19"/>
      <c r="J1972" s="19"/>
      <c r="M1972" s="7"/>
    </row>
    <row r="1973" spans="2:13" x14ac:dyDescent="0.25">
      <c r="B1973"/>
      <c r="C1973"/>
      <c r="D1973"/>
      <c r="E1973"/>
      <c r="F1973"/>
      <c r="G1973"/>
      <c r="H1973" s="19"/>
      <c r="I1973" s="19"/>
      <c r="J1973" s="19"/>
      <c r="M1973" s="7"/>
    </row>
    <row r="1974" spans="2:13" x14ac:dyDescent="0.25">
      <c r="B1974"/>
      <c r="C1974"/>
      <c r="D1974"/>
      <c r="E1974"/>
      <c r="F1974"/>
      <c r="G1974"/>
      <c r="H1974" s="19"/>
      <c r="I1974" s="19"/>
      <c r="J1974" s="19"/>
      <c r="M1974" s="7"/>
    </row>
    <row r="1975" spans="2:13" x14ac:dyDescent="0.25">
      <c r="B1975"/>
      <c r="C1975"/>
      <c r="D1975"/>
      <c r="E1975"/>
      <c r="F1975"/>
      <c r="G1975"/>
      <c r="H1975" s="19"/>
      <c r="I1975" s="19"/>
      <c r="J1975" s="19"/>
      <c r="M1975" s="7"/>
    </row>
    <row r="1976" spans="2:13" x14ac:dyDescent="0.25">
      <c r="B1976"/>
      <c r="C1976"/>
      <c r="D1976"/>
      <c r="E1976"/>
      <c r="F1976"/>
      <c r="G1976"/>
      <c r="H1976" s="19"/>
      <c r="I1976" s="19"/>
      <c r="J1976" s="19"/>
      <c r="M1976" s="7"/>
    </row>
    <row r="1977" spans="2:13" x14ac:dyDescent="0.25">
      <c r="B1977"/>
      <c r="C1977"/>
      <c r="D1977"/>
      <c r="E1977"/>
      <c r="F1977"/>
      <c r="G1977"/>
      <c r="H1977" s="19"/>
      <c r="I1977" s="19"/>
      <c r="J1977" s="19"/>
      <c r="M1977" s="7"/>
    </row>
    <row r="1978" spans="2:13" x14ac:dyDescent="0.25">
      <c r="B1978"/>
      <c r="C1978"/>
      <c r="D1978"/>
      <c r="E1978"/>
      <c r="F1978"/>
      <c r="G1978"/>
      <c r="H1978" s="19"/>
      <c r="I1978" s="19"/>
      <c r="J1978" s="19"/>
      <c r="M1978" s="7"/>
    </row>
    <row r="1979" spans="2:13" x14ac:dyDescent="0.25">
      <c r="B1979"/>
      <c r="C1979"/>
      <c r="D1979"/>
      <c r="E1979"/>
      <c r="F1979"/>
      <c r="G1979"/>
      <c r="H1979" s="19"/>
      <c r="I1979" s="19"/>
      <c r="J1979" s="19"/>
      <c r="M1979" s="7"/>
    </row>
    <row r="1980" spans="2:13" x14ac:dyDescent="0.25">
      <c r="B1980"/>
      <c r="C1980"/>
      <c r="D1980"/>
      <c r="E1980"/>
      <c r="F1980"/>
      <c r="G1980"/>
      <c r="H1980" s="19"/>
      <c r="I1980" s="19"/>
      <c r="J1980" s="19"/>
      <c r="M1980" s="7"/>
    </row>
    <row r="1981" spans="2:13" x14ac:dyDescent="0.25">
      <c r="B1981"/>
      <c r="C1981"/>
      <c r="D1981"/>
      <c r="E1981"/>
      <c r="F1981"/>
      <c r="G1981"/>
      <c r="H1981" s="19"/>
      <c r="I1981" s="19"/>
      <c r="J1981" s="19"/>
      <c r="M1981" s="7"/>
    </row>
    <row r="1982" spans="2:13" x14ac:dyDescent="0.25">
      <c r="B1982"/>
      <c r="C1982"/>
      <c r="D1982"/>
      <c r="E1982"/>
      <c r="F1982"/>
      <c r="G1982"/>
      <c r="H1982" s="19"/>
      <c r="I1982" s="19"/>
      <c r="J1982" s="19"/>
      <c r="M1982" s="7"/>
    </row>
    <row r="1983" spans="2:13" x14ac:dyDescent="0.25">
      <c r="B1983"/>
      <c r="C1983"/>
      <c r="D1983"/>
      <c r="E1983"/>
      <c r="F1983"/>
      <c r="G1983"/>
      <c r="H1983" s="19"/>
      <c r="I1983" s="19"/>
      <c r="J1983" s="19"/>
      <c r="M1983" s="7"/>
    </row>
    <row r="1984" spans="2:13" x14ac:dyDescent="0.25">
      <c r="B1984"/>
      <c r="C1984"/>
      <c r="D1984"/>
      <c r="E1984"/>
      <c r="F1984"/>
      <c r="G1984"/>
      <c r="H1984" s="19"/>
      <c r="I1984" s="19"/>
      <c r="J1984" s="19"/>
      <c r="M1984" s="7"/>
    </row>
    <row r="1985" spans="2:13" x14ac:dyDescent="0.25">
      <c r="B1985"/>
      <c r="C1985"/>
      <c r="D1985"/>
      <c r="E1985"/>
      <c r="F1985"/>
      <c r="G1985"/>
      <c r="H1985" s="19"/>
      <c r="I1985" s="19"/>
      <c r="J1985" s="19"/>
      <c r="M1985" s="7"/>
    </row>
    <row r="1986" spans="2:13" x14ac:dyDescent="0.25">
      <c r="B1986"/>
      <c r="C1986"/>
      <c r="D1986"/>
      <c r="E1986"/>
      <c r="F1986"/>
      <c r="G1986"/>
      <c r="H1986" s="19"/>
      <c r="I1986" s="19"/>
      <c r="J1986" s="19"/>
      <c r="M1986" s="7"/>
    </row>
    <row r="1987" spans="2:13" x14ac:dyDescent="0.25">
      <c r="B1987"/>
      <c r="C1987"/>
      <c r="D1987"/>
      <c r="E1987"/>
      <c r="F1987"/>
      <c r="G1987"/>
      <c r="H1987" s="19"/>
      <c r="I1987" s="19"/>
      <c r="J1987" s="19"/>
      <c r="M1987" s="7"/>
    </row>
    <row r="1988" spans="2:13" x14ac:dyDescent="0.25">
      <c r="B1988"/>
      <c r="C1988"/>
      <c r="D1988"/>
      <c r="E1988"/>
      <c r="F1988"/>
      <c r="G1988"/>
      <c r="H1988" s="19"/>
      <c r="I1988" s="19"/>
      <c r="J1988" s="19"/>
      <c r="M1988" s="7"/>
    </row>
    <row r="1989" spans="2:13" x14ac:dyDescent="0.25">
      <c r="B1989"/>
      <c r="C1989"/>
      <c r="D1989"/>
      <c r="E1989"/>
      <c r="F1989"/>
      <c r="G1989"/>
      <c r="H1989" s="19"/>
      <c r="I1989" s="19"/>
      <c r="J1989" s="19"/>
      <c r="M1989" s="7"/>
    </row>
    <row r="1990" spans="2:13" x14ac:dyDescent="0.25">
      <c r="B1990"/>
      <c r="C1990"/>
      <c r="D1990"/>
      <c r="E1990"/>
      <c r="F1990"/>
      <c r="G1990"/>
      <c r="H1990" s="19"/>
      <c r="I1990" s="19"/>
      <c r="J1990" s="19"/>
      <c r="M1990" s="7"/>
    </row>
    <row r="1991" spans="2:13" x14ac:dyDescent="0.25">
      <c r="B1991"/>
      <c r="C1991"/>
      <c r="D1991"/>
      <c r="E1991"/>
      <c r="F1991"/>
      <c r="G1991"/>
      <c r="H1991" s="19"/>
      <c r="I1991" s="19"/>
      <c r="J1991" s="19"/>
      <c r="M1991" s="7"/>
    </row>
    <row r="1992" spans="2:13" x14ac:dyDescent="0.25">
      <c r="B1992"/>
      <c r="C1992"/>
      <c r="D1992"/>
      <c r="E1992"/>
      <c r="F1992"/>
      <c r="G1992"/>
      <c r="H1992" s="19"/>
      <c r="I1992" s="19"/>
      <c r="J1992" s="19"/>
      <c r="M1992" s="7"/>
    </row>
    <row r="1993" spans="2:13" x14ac:dyDescent="0.25">
      <c r="B1993"/>
      <c r="C1993"/>
      <c r="D1993"/>
      <c r="E1993"/>
      <c r="F1993"/>
      <c r="G1993"/>
      <c r="H1993" s="19"/>
      <c r="I1993" s="19"/>
      <c r="J1993" s="19"/>
      <c r="M1993" s="7"/>
    </row>
    <row r="1994" spans="2:13" x14ac:dyDescent="0.25">
      <c r="B1994"/>
      <c r="C1994"/>
      <c r="D1994"/>
      <c r="E1994"/>
      <c r="F1994"/>
      <c r="G1994"/>
      <c r="H1994" s="19"/>
      <c r="I1994" s="19"/>
      <c r="J1994" s="19"/>
      <c r="M1994" s="7"/>
    </row>
    <row r="1995" spans="2:13" x14ac:dyDescent="0.25">
      <c r="B1995"/>
      <c r="C1995"/>
      <c r="D1995"/>
      <c r="E1995"/>
      <c r="F1995"/>
      <c r="G1995"/>
      <c r="H1995" s="19"/>
      <c r="I1995" s="19"/>
      <c r="J1995" s="19"/>
      <c r="M1995" s="7"/>
    </row>
    <row r="1996" spans="2:13" x14ac:dyDescent="0.25">
      <c r="B1996"/>
      <c r="C1996"/>
      <c r="D1996"/>
      <c r="E1996"/>
      <c r="F1996"/>
      <c r="G1996"/>
      <c r="H1996" s="19"/>
      <c r="I1996" s="19"/>
      <c r="J1996" s="19"/>
      <c r="M1996" s="7"/>
    </row>
    <row r="1997" spans="2:13" x14ac:dyDescent="0.25">
      <c r="B1997"/>
      <c r="C1997"/>
      <c r="D1997"/>
      <c r="E1997"/>
      <c r="F1997"/>
      <c r="G1997"/>
      <c r="H1997" s="19"/>
      <c r="I1997" s="19"/>
      <c r="J1997" s="19"/>
      <c r="M1997" s="7"/>
    </row>
    <row r="1998" spans="2:13" x14ac:dyDescent="0.25">
      <c r="B1998"/>
      <c r="C1998"/>
      <c r="D1998"/>
      <c r="E1998"/>
      <c r="F1998"/>
      <c r="G1998"/>
      <c r="H1998" s="19"/>
      <c r="I1998" s="19"/>
      <c r="J1998" s="19"/>
      <c r="M1998" s="7"/>
    </row>
    <row r="1999" spans="2:13" x14ac:dyDescent="0.25">
      <c r="B1999"/>
      <c r="C1999"/>
      <c r="D1999"/>
      <c r="E1999"/>
      <c r="F1999"/>
      <c r="G1999"/>
      <c r="H1999" s="19"/>
      <c r="I1999" s="19"/>
      <c r="J1999" s="19"/>
      <c r="M1999" s="7"/>
    </row>
    <row r="2000" spans="2:13" x14ac:dyDescent="0.25">
      <c r="B2000"/>
      <c r="C2000"/>
      <c r="D2000"/>
      <c r="E2000"/>
      <c r="F2000"/>
      <c r="G2000"/>
      <c r="H2000" s="19"/>
      <c r="I2000" s="19"/>
      <c r="J2000" s="19"/>
      <c r="M2000" s="7"/>
    </row>
    <row r="2001" spans="2:13" x14ac:dyDescent="0.25">
      <c r="B2001"/>
      <c r="C2001"/>
      <c r="D2001"/>
      <c r="E2001"/>
      <c r="F2001"/>
      <c r="G2001"/>
      <c r="H2001" s="19"/>
      <c r="I2001" s="19"/>
      <c r="J2001" s="19"/>
      <c r="M2001" s="7"/>
    </row>
    <row r="2002" spans="2:13" x14ac:dyDescent="0.25">
      <c r="B2002"/>
      <c r="C2002"/>
      <c r="D2002"/>
      <c r="E2002"/>
      <c r="F2002"/>
      <c r="G2002"/>
      <c r="H2002" s="19"/>
      <c r="I2002" s="19"/>
      <c r="J2002" s="19"/>
      <c r="M2002" s="7"/>
    </row>
    <row r="2003" spans="2:13" x14ac:dyDescent="0.25">
      <c r="B2003"/>
      <c r="C2003"/>
      <c r="D2003"/>
      <c r="E2003"/>
      <c r="F2003"/>
      <c r="G2003"/>
      <c r="H2003" s="19"/>
      <c r="I2003" s="19"/>
      <c r="J2003" s="19"/>
      <c r="M2003" s="7"/>
    </row>
    <row r="2004" spans="2:13" x14ac:dyDescent="0.25">
      <c r="B2004"/>
      <c r="C2004"/>
      <c r="D2004"/>
      <c r="E2004"/>
      <c r="F2004"/>
      <c r="G2004"/>
      <c r="H2004" s="19"/>
      <c r="I2004" s="19"/>
      <c r="J2004" s="19"/>
      <c r="M2004" s="7"/>
    </row>
    <row r="2005" spans="2:13" x14ac:dyDescent="0.25">
      <c r="B2005"/>
      <c r="C2005"/>
      <c r="D2005"/>
      <c r="E2005"/>
      <c r="F2005"/>
      <c r="G2005"/>
      <c r="H2005" s="19"/>
      <c r="I2005" s="19"/>
      <c r="J2005" s="19"/>
      <c r="M2005" s="7"/>
    </row>
    <row r="2006" spans="2:13" x14ac:dyDescent="0.25">
      <c r="B2006"/>
      <c r="C2006"/>
      <c r="D2006"/>
      <c r="E2006"/>
      <c r="F2006"/>
      <c r="G2006"/>
      <c r="H2006" s="19"/>
      <c r="I2006" s="19"/>
      <c r="J2006" s="19"/>
      <c r="M2006" s="7"/>
    </row>
    <row r="2007" spans="2:13" x14ac:dyDescent="0.25">
      <c r="B2007"/>
      <c r="C2007"/>
      <c r="D2007"/>
      <c r="E2007"/>
      <c r="F2007"/>
      <c r="G2007"/>
      <c r="H2007" s="19"/>
      <c r="I2007" s="19"/>
      <c r="J2007" s="19"/>
      <c r="M2007" s="7"/>
    </row>
    <row r="2008" spans="2:13" x14ac:dyDescent="0.25">
      <c r="B2008"/>
      <c r="C2008"/>
      <c r="D2008"/>
      <c r="E2008"/>
      <c r="F2008"/>
      <c r="G2008"/>
      <c r="H2008" s="19"/>
      <c r="I2008" s="19"/>
      <c r="J2008" s="19"/>
      <c r="M2008" s="7"/>
    </row>
    <row r="2009" spans="2:13" x14ac:dyDescent="0.25">
      <c r="B2009"/>
      <c r="C2009"/>
      <c r="D2009"/>
      <c r="E2009"/>
      <c r="F2009"/>
      <c r="G2009"/>
      <c r="H2009" s="19"/>
      <c r="I2009" s="19"/>
      <c r="J2009" s="19"/>
      <c r="M2009" s="7"/>
    </row>
    <row r="2010" spans="2:13" x14ac:dyDescent="0.25">
      <c r="B2010"/>
      <c r="C2010"/>
      <c r="D2010"/>
      <c r="E2010"/>
      <c r="F2010"/>
      <c r="G2010"/>
      <c r="H2010" s="19"/>
      <c r="I2010" s="19"/>
      <c r="J2010" s="19"/>
      <c r="M2010" s="7"/>
    </row>
    <row r="2011" spans="2:13" x14ac:dyDescent="0.25">
      <c r="B2011"/>
      <c r="C2011"/>
      <c r="D2011"/>
      <c r="E2011"/>
      <c r="F2011"/>
      <c r="G2011"/>
      <c r="H2011" s="19"/>
      <c r="I2011" s="19"/>
      <c r="J2011" s="19"/>
      <c r="M2011" s="7"/>
    </row>
    <row r="2012" spans="2:13" x14ac:dyDescent="0.25">
      <c r="B2012"/>
      <c r="C2012"/>
      <c r="D2012"/>
      <c r="E2012"/>
      <c r="F2012"/>
      <c r="G2012"/>
      <c r="H2012" s="19"/>
      <c r="I2012" s="19"/>
      <c r="J2012" s="19"/>
      <c r="M2012" s="7"/>
    </row>
    <row r="2013" spans="2:13" x14ac:dyDescent="0.25">
      <c r="B2013"/>
      <c r="C2013"/>
      <c r="D2013"/>
      <c r="E2013"/>
      <c r="F2013"/>
      <c r="G2013"/>
      <c r="H2013" s="19"/>
      <c r="I2013" s="19"/>
      <c r="J2013" s="19"/>
      <c r="M2013" s="7"/>
    </row>
    <row r="2014" spans="2:13" x14ac:dyDescent="0.25">
      <c r="B2014"/>
      <c r="C2014"/>
      <c r="D2014"/>
      <c r="E2014"/>
      <c r="F2014"/>
      <c r="G2014"/>
      <c r="H2014" s="19"/>
      <c r="I2014" s="19"/>
      <c r="J2014" s="19"/>
      <c r="M2014" s="7"/>
    </row>
    <row r="2015" spans="2:13" x14ac:dyDescent="0.25">
      <c r="B2015"/>
      <c r="C2015"/>
      <c r="D2015"/>
      <c r="E2015"/>
      <c r="F2015"/>
      <c r="G2015"/>
      <c r="H2015" s="19"/>
      <c r="I2015" s="19"/>
      <c r="J2015" s="19"/>
      <c r="M2015" s="7"/>
    </row>
    <row r="2016" spans="2:13" x14ac:dyDescent="0.25">
      <c r="B2016"/>
      <c r="C2016"/>
      <c r="D2016"/>
      <c r="E2016"/>
      <c r="F2016"/>
      <c r="G2016"/>
      <c r="H2016" s="19"/>
      <c r="I2016" s="19"/>
      <c r="J2016" s="19"/>
      <c r="M2016" s="7"/>
    </row>
    <row r="2017" spans="2:13" x14ac:dyDescent="0.25">
      <c r="B2017"/>
      <c r="C2017"/>
      <c r="D2017"/>
      <c r="E2017"/>
      <c r="F2017"/>
      <c r="G2017"/>
      <c r="H2017" s="19"/>
      <c r="I2017" s="19"/>
      <c r="J2017" s="19"/>
      <c r="M2017" s="7"/>
    </row>
    <row r="2018" spans="2:13" x14ac:dyDescent="0.25">
      <c r="B2018"/>
      <c r="C2018"/>
      <c r="D2018"/>
      <c r="E2018"/>
      <c r="F2018"/>
      <c r="G2018"/>
      <c r="H2018" s="19"/>
      <c r="I2018" s="19"/>
      <c r="J2018" s="19"/>
      <c r="M2018" s="7"/>
    </row>
    <row r="2019" spans="2:13" x14ac:dyDescent="0.25">
      <c r="B2019"/>
      <c r="C2019"/>
      <c r="D2019"/>
      <c r="E2019"/>
      <c r="F2019"/>
      <c r="G2019"/>
      <c r="H2019" s="19"/>
      <c r="I2019" s="19"/>
      <c r="J2019" s="19"/>
      <c r="M2019" s="7"/>
    </row>
    <row r="2020" spans="2:13" x14ac:dyDescent="0.25">
      <c r="B2020"/>
      <c r="C2020"/>
      <c r="D2020"/>
      <c r="E2020"/>
      <c r="F2020"/>
      <c r="G2020"/>
      <c r="H2020" s="19"/>
      <c r="I2020" s="19"/>
      <c r="J2020" s="19"/>
      <c r="M2020" s="7"/>
    </row>
    <row r="2021" spans="2:13" x14ac:dyDescent="0.25">
      <c r="B2021"/>
      <c r="C2021"/>
      <c r="D2021"/>
      <c r="E2021"/>
      <c r="F2021"/>
      <c r="G2021"/>
      <c r="H2021" s="19"/>
      <c r="I2021" s="19"/>
      <c r="J2021" s="19"/>
      <c r="M2021" s="7"/>
    </row>
    <row r="2022" spans="2:13" x14ac:dyDescent="0.25">
      <c r="B2022"/>
      <c r="C2022"/>
      <c r="D2022"/>
      <c r="E2022"/>
      <c r="F2022"/>
      <c r="G2022"/>
      <c r="H2022" s="19"/>
      <c r="I2022" s="19"/>
      <c r="J2022" s="19"/>
      <c r="M2022" s="7"/>
    </row>
    <row r="2023" spans="2:13" x14ac:dyDescent="0.25">
      <c r="B2023"/>
      <c r="C2023"/>
      <c r="D2023"/>
      <c r="E2023"/>
      <c r="F2023"/>
      <c r="G2023"/>
      <c r="H2023" s="19"/>
      <c r="I2023" s="19"/>
      <c r="J2023" s="19"/>
      <c r="M2023" s="7"/>
    </row>
    <row r="2024" spans="2:13" x14ac:dyDescent="0.25">
      <c r="B2024"/>
      <c r="C2024"/>
      <c r="D2024"/>
      <c r="E2024"/>
      <c r="F2024"/>
      <c r="G2024"/>
      <c r="H2024" s="19"/>
      <c r="I2024" s="19"/>
      <c r="J2024" s="19"/>
      <c r="M2024" s="7"/>
    </row>
    <row r="2025" spans="2:13" x14ac:dyDescent="0.25">
      <c r="B2025"/>
      <c r="C2025"/>
      <c r="D2025"/>
      <c r="E2025"/>
      <c r="F2025"/>
      <c r="G2025"/>
      <c r="H2025" s="19"/>
      <c r="I2025" s="19"/>
      <c r="J2025" s="19"/>
      <c r="M2025" s="7"/>
    </row>
    <row r="2026" spans="2:13" x14ac:dyDescent="0.25">
      <c r="B2026"/>
      <c r="C2026"/>
      <c r="D2026"/>
      <c r="E2026"/>
      <c r="F2026"/>
      <c r="G2026"/>
      <c r="H2026" s="19"/>
      <c r="I2026" s="19"/>
      <c r="J2026" s="19"/>
      <c r="M2026" s="7"/>
    </row>
    <row r="2027" spans="2:13" x14ac:dyDescent="0.25">
      <c r="B2027"/>
      <c r="C2027"/>
      <c r="D2027"/>
      <c r="E2027"/>
      <c r="F2027"/>
      <c r="G2027"/>
      <c r="H2027" s="19"/>
      <c r="I2027" s="19"/>
      <c r="J2027" s="19"/>
      <c r="M2027" s="7"/>
    </row>
    <row r="2028" spans="2:13" x14ac:dyDescent="0.25">
      <c r="B2028"/>
      <c r="C2028"/>
      <c r="D2028"/>
      <c r="E2028"/>
      <c r="F2028"/>
      <c r="G2028"/>
      <c r="H2028" s="19"/>
      <c r="I2028" s="19"/>
      <c r="J2028" s="19"/>
      <c r="M2028" s="7"/>
    </row>
    <row r="2029" spans="2:13" x14ac:dyDescent="0.25">
      <c r="B2029"/>
      <c r="C2029"/>
      <c r="D2029"/>
      <c r="E2029"/>
      <c r="F2029"/>
      <c r="G2029"/>
      <c r="H2029" s="19"/>
      <c r="I2029" s="19"/>
      <c r="J2029" s="19"/>
      <c r="M2029" s="7"/>
    </row>
    <row r="2030" spans="2:13" x14ac:dyDescent="0.25">
      <c r="B2030"/>
      <c r="C2030"/>
      <c r="D2030"/>
      <c r="E2030"/>
      <c r="F2030"/>
      <c r="G2030"/>
      <c r="H2030" s="19"/>
      <c r="I2030" s="19"/>
      <c r="J2030" s="19"/>
      <c r="M2030" s="7"/>
    </row>
    <row r="2031" spans="2:13" x14ac:dyDescent="0.25">
      <c r="B2031"/>
      <c r="C2031"/>
      <c r="D2031"/>
      <c r="E2031"/>
      <c r="F2031"/>
      <c r="G2031"/>
      <c r="H2031" s="19"/>
      <c r="I2031" s="19"/>
      <c r="J2031" s="19"/>
      <c r="M2031" s="7"/>
    </row>
    <row r="2032" spans="2:13" x14ac:dyDescent="0.25">
      <c r="B2032"/>
      <c r="C2032"/>
      <c r="D2032"/>
      <c r="E2032"/>
      <c r="F2032"/>
      <c r="G2032"/>
      <c r="H2032" s="19"/>
      <c r="I2032" s="19"/>
      <c r="J2032" s="19"/>
      <c r="M2032" s="7"/>
    </row>
    <row r="2033" spans="2:13" x14ac:dyDescent="0.25">
      <c r="B2033"/>
      <c r="C2033"/>
      <c r="D2033"/>
      <c r="E2033"/>
      <c r="F2033"/>
      <c r="G2033"/>
      <c r="H2033" s="19"/>
      <c r="I2033" s="19"/>
      <c r="J2033" s="19"/>
      <c r="M2033" s="7"/>
    </row>
    <row r="2034" spans="2:13" x14ac:dyDescent="0.25">
      <c r="B2034"/>
      <c r="C2034"/>
      <c r="D2034"/>
      <c r="E2034"/>
      <c r="F2034"/>
      <c r="G2034"/>
      <c r="H2034" s="19"/>
      <c r="I2034" s="19"/>
      <c r="J2034" s="19"/>
      <c r="M2034" s="7"/>
    </row>
    <row r="2035" spans="2:13" x14ac:dyDescent="0.25">
      <c r="B2035"/>
      <c r="C2035"/>
      <c r="D2035"/>
      <c r="E2035"/>
      <c r="F2035"/>
      <c r="G2035"/>
      <c r="H2035" s="19"/>
      <c r="I2035" s="19"/>
      <c r="J2035" s="19"/>
      <c r="M2035" s="7"/>
    </row>
    <row r="2036" spans="2:13" x14ac:dyDescent="0.25">
      <c r="B2036"/>
      <c r="C2036"/>
      <c r="D2036"/>
      <c r="E2036"/>
      <c r="F2036"/>
      <c r="G2036"/>
      <c r="H2036" s="19"/>
      <c r="I2036" s="19"/>
      <c r="J2036" s="19"/>
      <c r="M2036" s="7"/>
    </row>
    <row r="2037" spans="2:13" x14ac:dyDescent="0.25">
      <c r="B2037"/>
      <c r="C2037"/>
      <c r="D2037"/>
      <c r="E2037"/>
      <c r="F2037"/>
      <c r="G2037"/>
      <c r="H2037" s="19"/>
      <c r="I2037" s="19"/>
      <c r="J2037" s="19"/>
      <c r="M2037" s="7"/>
    </row>
    <row r="2038" spans="2:13" x14ac:dyDescent="0.25">
      <c r="B2038"/>
      <c r="C2038"/>
      <c r="D2038"/>
      <c r="E2038"/>
      <c r="F2038"/>
      <c r="G2038"/>
      <c r="H2038" s="19"/>
      <c r="I2038" s="19"/>
      <c r="J2038" s="19"/>
      <c r="M2038" s="7"/>
    </row>
    <row r="2039" spans="2:13" x14ac:dyDescent="0.25">
      <c r="B2039"/>
      <c r="C2039"/>
      <c r="D2039"/>
      <c r="E2039"/>
      <c r="F2039"/>
      <c r="G2039"/>
      <c r="H2039" s="19"/>
      <c r="I2039" s="19"/>
      <c r="J2039" s="19"/>
      <c r="M2039" s="7"/>
    </row>
    <row r="2040" spans="2:13" x14ac:dyDescent="0.25">
      <c r="B2040"/>
      <c r="C2040"/>
      <c r="D2040"/>
      <c r="E2040"/>
      <c r="F2040"/>
      <c r="G2040"/>
      <c r="H2040" s="19"/>
      <c r="I2040" s="19"/>
      <c r="J2040" s="19"/>
      <c r="M2040" s="7"/>
    </row>
    <row r="2041" spans="2:13" x14ac:dyDescent="0.25">
      <c r="B2041"/>
      <c r="C2041"/>
      <c r="D2041"/>
      <c r="E2041"/>
      <c r="F2041"/>
      <c r="G2041"/>
      <c r="H2041" s="19"/>
      <c r="I2041" s="19"/>
      <c r="J2041" s="19"/>
      <c r="M2041" s="7"/>
    </row>
    <row r="2042" spans="2:13" x14ac:dyDescent="0.25">
      <c r="B2042"/>
      <c r="C2042"/>
      <c r="D2042"/>
      <c r="E2042"/>
      <c r="F2042"/>
      <c r="G2042"/>
      <c r="H2042" s="19"/>
      <c r="I2042" s="19"/>
      <c r="J2042" s="19"/>
      <c r="M2042" s="7"/>
    </row>
    <row r="2043" spans="2:13" x14ac:dyDescent="0.25">
      <c r="B2043"/>
      <c r="C2043"/>
      <c r="D2043"/>
      <c r="E2043"/>
      <c r="F2043"/>
      <c r="G2043"/>
      <c r="H2043" s="19"/>
      <c r="I2043" s="19"/>
      <c r="J2043" s="19"/>
      <c r="M2043" s="7"/>
    </row>
    <row r="2044" spans="2:13" x14ac:dyDescent="0.25">
      <c r="B2044"/>
      <c r="C2044"/>
      <c r="D2044"/>
      <c r="E2044"/>
      <c r="F2044"/>
      <c r="G2044"/>
      <c r="H2044" s="19"/>
      <c r="I2044" s="19"/>
      <c r="J2044" s="19"/>
      <c r="M2044" s="7"/>
    </row>
    <row r="2045" spans="2:13" x14ac:dyDescent="0.25">
      <c r="B2045"/>
      <c r="C2045"/>
      <c r="D2045"/>
      <c r="E2045"/>
      <c r="F2045"/>
      <c r="G2045"/>
      <c r="H2045" s="19"/>
      <c r="I2045" s="19"/>
      <c r="J2045" s="19"/>
      <c r="M2045" s="7"/>
    </row>
    <row r="2046" spans="2:13" x14ac:dyDescent="0.25">
      <c r="B2046"/>
      <c r="C2046"/>
      <c r="D2046"/>
      <c r="E2046"/>
      <c r="F2046"/>
      <c r="G2046"/>
      <c r="H2046" s="19"/>
      <c r="I2046" s="19"/>
      <c r="J2046" s="19"/>
      <c r="M2046" s="7"/>
    </row>
    <row r="2047" spans="2:13" x14ac:dyDescent="0.25">
      <c r="B2047"/>
      <c r="C2047"/>
      <c r="D2047"/>
      <c r="E2047"/>
      <c r="F2047"/>
      <c r="G2047"/>
      <c r="H2047" s="19"/>
      <c r="I2047" s="19"/>
      <c r="J2047" s="19"/>
      <c r="M2047" s="7"/>
    </row>
    <row r="2048" spans="2:13" x14ac:dyDescent="0.25">
      <c r="B2048"/>
      <c r="C2048"/>
      <c r="D2048"/>
      <c r="E2048"/>
      <c r="F2048"/>
      <c r="G2048"/>
      <c r="H2048" s="19"/>
      <c r="I2048" s="19"/>
      <c r="J2048" s="19"/>
      <c r="M2048" s="7"/>
    </row>
    <row r="2049" spans="2:13" x14ac:dyDescent="0.25">
      <c r="B2049"/>
      <c r="C2049"/>
      <c r="D2049"/>
      <c r="E2049"/>
      <c r="F2049"/>
      <c r="G2049"/>
      <c r="H2049" s="19"/>
      <c r="I2049" s="19"/>
      <c r="J2049" s="19"/>
      <c r="M2049" s="7"/>
    </row>
    <row r="2050" spans="2:13" x14ac:dyDescent="0.25">
      <c r="B2050"/>
      <c r="C2050"/>
      <c r="D2050"/>
      <c r="E2050"/>
      <c r="F2050"/>
      <c r="G2050"/>
      <c r="H2050" s="19"/>
      <c r="I2050" s="19"/>
      <c r="J2050" s="19"/>
      <c r="M2050" s="7"/>
    </row>
    <row r="2051" spans="2:13" x14ac:dyDescent="0.25">
      <c r="B2051"/>
      <c r="C2051"/>
      <c r="D2051"/>
      <c r="E2051"/>
      <c r="F2051"/>
      <c r="G2051"/>
      <c r="H2051" s="19"/>
      <c r="I2051" s="19"/>
      <c r="J2051" s="19"/>
      <c r="M2051" s="7"/>
    </row>
    <row r="2052" spans="2:13" x14ac:dyDescent="0.25">
      <c r="B2052"/>
      <c r="C2052"/>
      <c r="D2052"/>
      <c r="E2052"/>
      <c r="F2052"/>
      <c r="G2052"/>
      <c r="H2052" s="19"/>
      <c r="I2052" s="19"/>
      <c r="J2052" s="19"/>
      <c r="M2052" s="7"/>
    </row>
    <row r="2053" spans="2:13" x14ac:dyDescent="0.25">
      <c r="B2053"/>
      <c r="C2053"/>
      <c r="D2053"/>
      <c r="E2053"/>
      <c r="F2053"/>
      <c r="G2053"/>
      <c r="H2053" s="19"/>
      <c r="I2053" s="19"/>
      <c r="J2053" s="19"/>
      <c r="M2053" s="7"/>
    </row>
    <row r="2054" spans="2:13" x14ac:dyDescent="0.25">
      <c r="B2054"/>
      <c r="C2054"/>
      <c r="D2054"/>
      <c r="E2054"/>
      <c r="F2054"/>
      <c r="G2054"/>
      <c r="H2054" s="19"/>
      <c r="I2054" s="19"/>
      <c r="J2054" s="19"/>
      <c r="M2054" s="7"/>
    </row>
    <row r="2055" spans="2:13" x14ac:dyDescent="0.25">
      <c r="B2055"/>
      <c r="C2055"/>
      <c r="D2055"/>
      <c r="E2055"/>
      <c r="F2055"/>
      <c r="G2055"/>
      <c r="H2055" s="19"/>
      <c r="I2055" s="19"/>
      <c r="J2055" s="19"/>
      <c r="M2055" s="7"/>
    </row>
    <row r="2056" spans="2:13" x14ac:dyDescent="0.25">
      <c r="B2056"/>
      <c r="C2056"/>
      <c r="D2056"/>
      <c r="E2056"/>
      <c r="F2056"/>
      <c r="G2056"/>
      <c r="H2056" s="19"/>
      <c r="I2056" s="19"/>
      <c r="J2056" s="19"/>
      <c r="M2056" s="7"/>
    </row>
    <row r="2057" spans="2:13" x14ac:dyDescent="0.25">
      <c r="B2057"/>
      <c r="C2057"/>
      <c r="D2057"/>
      <c r="E2057"/>
      <c r="F2057"/>
      <c r="G2057"/>
      <c r="H2057" s="19"/>
      <c r="I2057" s="19"/>
      <c r="J2057" s="19"/>
      <c r="M2057" s="7"/>
    </row>
    <row r="2058" spans="2:13" x14ac:dyDescent="0.25">
      <c r="B2058"/>
      <c r="C2058"/>
      <c r="D2058"/>
      <c r="E2058"/>
      <c r="F2058"/>
      <c r="G2058"/>
      <c r="H2058" s="19"/>
      <c r="I2058" s="19"/>
      <c r="J2058" s="19"/>
      <c r="M2058" s="7"/>
    </row>
    <row r="2059" spans="2:13" x14ac:dyDescent="0.25">
      <c r="B2059"/>
      <c r="C2059"/>
      <c r="D2059"/>
      <c r="E2059"/>
      <c r="F2059"/>
      <c r="G2059"/>
      <c r="H2059" s="19"/>
      <c r="I2059" s="19"/>
      <c r="J2059" s="19"/>
      <c r="M2059" s="7"/>
    </row>
    <row r="2060" spans="2:13" x14ac:dyDescent="0.25">
      <c r="B2060"/>
      <c r="C2060"/>
      <c r="D2060"/>
      <c r="E2060"/>
      <c r="F2060"/>
      <c r="G2060"/>
      <c r="H2060" s="19"/>
      <c r="I2060" s="19"/>
      <c r="J2060" s="19"/>
      <c r="M2060" s="7"/>
    </row>
    <row r="2061" spans="2:13" x14ac:dyDescent="0.25">
      <c r="B2061"/>
      <c r="C2061"/>
      <c r="D2061"/>
      <c r="E2061"/>
      <c r="F2061"/>
      <c r="G2061"/>
      <c r="H2061" s="19"/>
      <c r="I2061" s="19"/>
      <c r="J2061" s="19"/>
      <c r="M2061" s="7"/>
    </row>
    <row r="2062" spans="2:13" x14ac:dyDescent="0.25">
      <c r="B2062"/>
      <c r="C2062"/>
      <c r="D2062"/>
      <c r="E2062"/>
      <c r="F2062"/>
      <c r="G2062"/>
      <c r="H2062" s="19"/>
      <c r="I2062" s="19"/>
      <c r="J2062" s="19"/>
      <c r="M2062" s="7"/>
    </row>
    <row r="2063" spans="2:13" x14ac:dyDescent="0.25">
      <c r="B2063"/>
      <c r="C2063"/>
      <c r="D2063"/>
      <c r="E2063"/>
      <c r="F2063"/>
      <c r="G2063"/>
      <c r="H2063" s="19"/>
      <c r="I2063" s="19"/>
      <c r="J2063" s="19"/>
      <c r="M2063" s="7"/>
    </row>
    <row r="2064" spans="2:13" x14ac:dyDescent="0.25">
      <c r="B2064"/>
      <c r="C2064"/>
      <c r="D2064"/>
      <c r="E2064"/>
      <c r="F2064"/>
      <c r="G2064"/>
      <c r="H2064" s="19"/>
      <c r="I2064" s="19"/>
      <c r="J2064" s="19"/>
      <c r="M2064" s="7"/>
    </row>
    <row r="2065" spans="2:13" x14ac:dyDescent="0.25">
      <c r="B2065"/>
      <c r="C2065"/>
      <c r="D2065"/>
      <c r="E2065"/>
      <c r="F2065"/>
      <c r="G2065"/>
      <c r="H2065" s="19"/>
      <c r="I2065" s="19"/>
      <c r="J2065" s="19"/>
      <c r="M2065" s="7"/>
    </row>
    <row r="2066" spans="2:13" x14ac:dyDescent="0.25">
      <c r="B2066"/>
      <c r="C2066"/>
      <c r="D2066"/>
      <c r="E2066"/>
      <c r="F2066"/>
      <c r="G2066"/>
      <c r="H2066" s="19"/>
      <c r="I2066" s="19"/>
      <c r="J2066" s="19"/>
      <c r="M2066" s="7"/>
    </row>
    <row r="2067" spans="2:13" x14ac:dyDescent="0.25">
      <c r="B2067"/>
      <c r="C2067"/>
      <c r="D2067"/>
      <c r="E2067"/>
      <c r="F2067"/>
      <c r="G2067"/>
      <c r="H2067" s="19"/>
      <c r="I2067" s="19"/>
      <c r="J2067" s="19"/>
      <c r="M2067" s="7"/>
    </row>
    <row r="2068" spans="2:13" x14ac:dyDescent="0.25">
      <c r="B2068"/>
      <c r="C2068"/>
      <c r="D2068"/>
      <c r="E2068"/>
      <c r="F2068"/>
      <c r="G2068"/>
      <c r="H2068" s="19"/>
      <c r="I2068" s="19"/>
      <c r="J2068" s="19"/>
      <c r="M2068" s="7"/>
    </row>
    <row r="2069" spans="2:13" x14ac:dyDescent="0.25">
      <c r="B2069"/>
      <c r="C2069"/>
      <c r="D2069"/>
      <c r="E2069"/>
      <c r="F2069"/>
      <c r="G2069"/>
      <c r="H2069" s="19"/>
      <c r="I2069" s="19"/>
      <c r="J2069" s="19"/>
      <c r="M2069" s="7"/>
    </row>
    <row r="2070" spans="2:13" x14ac:dyDescent="0.25">
      <c r="B2070"/>
      <c r="C2070"/>
      <c r="D2070"/>
      <c r="E2070"/>
      <c r="F2070"/>
      <c r="G2070"/>
      <c r="H2070" s="19"/>
      <c r="I2070" s="19"/>
      <c r="J2070" s="19"/>
      <c r="M2070" s="7"/>
    </row>
    <row r="2071" spans="2:13" x14ac:dyDescent="0.25">
      <c r="B2071"/>
      <c r="C2071"/>
      <c r="D2071"/>
      <c r="E2071"/>
      <c r="F2071"/>
      <c r="G2071"/>
      <c r="H2071" s="19"/>
      <c r="I2071" s="19"/>
      <c r="J2071" s="19"/>
      <c r="M2071" s="7"/>
    </row>
    <row r="2072" spans="2:13" x14ac:dyDescent="0.25">
      <c r="B2072"/>
      <c r="C2072"/>
      <c r="D2072"/>
      <c r="E2072"/>
      <c r="F2072"/>
      <c r="G2072"/>
      <c r="H2072" s="19"/>
      <c r="I2072" s="19"/>
      <c r="J2072" s="19"/>
      <c r="M2072" s="7"/>
    </row>
    <row r="2073" spans="2:13" x14ac:dyDescent="0.25">
      <c r="B2073"/>
      <c r="C2073"/>
      <c r="D2073"/>
      <c r="E2073"/>
      <c r="F2073"/>
      <c r="G2073"/>
      <c r="H2073" s="19"/>
      <c r="I2073" s="19"/>
      <c r="J2073" s="19"/>
      <c r="M2073" s="7"/>
    </row>
    <row r="2074" spans="2:13" x14ac:dyDescent="0.25">
      <c r="B2074"/>
      <c r="C2074"/>
      <c r="D2074"/>
      <c r="E2074"/>
      <c r="F2074"/>
      <c r="G2074"/>
      <c r="H2074" s="19"/>
      <c r="I2074" s="19"/>
      <c r="J2074" s="19"/>
      <c r="M2074" s="7"/>
    </row>
    <row r="2075" spans="2:13" x14ac:dyDescent="0.25">
      <c r="B2075"/>
      <c r="C2075"/>
      <c r="D2075"/>
      <c r="E2075"/>
      <c r="F2075"/>
      <c r="G2075"/>
      <c r="H2075" s="19"/>
      <c r="I2075" s="19"/>
      <c r="J2075" s="19"/>
      <c r="M2075" s="7"/>
    </row>
    <row r="2076" spans="2:13" x14ac:dyDescent="0.25">
      <c r="B2076"/>
      <c r="C2076"/>
      <c r="D2076"/>
      <c r="E2076"/>
      <c r="F2076"/>
      <c r="G2076"/>
      <c r="H2076" s="19"/>
      <c r="I2076" s="19"/>
      <c r="J2076" s="19"/>
      <c r="M2076" s="7"/>
    </row>
    <row r="2077" spans="2:13" x14ac:dyDescent="0.25">
      <c r="B2077"/>
      <c r="C2077"/>
      <c r="D2077"/>
      <c r="E2077"/>
      <c r="F2077"/>
      <c r="G2077"/>
      <c r="H2077" s="19"/>
      <c r="I2077" s="19"/>
      <c r="J2077" s="19"/>
      <c r="M2077" s="7"/>
    </row>
    <row r="2078" spans="2:13" x14ac:dyDescent="0.25">
      <c r="B2078"/>
      <c r="C2078"/>
      <c r="D2078"/>
      <c r="E2078"/>
      <c r="F2078"/>
      <c r="G2078"/>
      <c r="H2078" s="19"/>
      <c r="I2078" s="19"/>
      <c r="J2078" s="19"/>
      <c r="M2078" s="7"/>
    </row>
    <row r="2079" spans="2:13" x14ac:dyDescent="0.25">
      <c r="B2079"/>
      <c r="C2079"/>
      <c r="D2079"/>
      <c r="E2079"/>
      <c r="F2079"/>
      <c r="G2079"/>
      <c r="H2079" s="19"/>
      <c r="I2079" s="19"/>
      <c r="J2079" s="19"/>
      <c r="M2079" s="7"/>
    </row>
    <row r="2080" spans="2:13" x14ac:dyDescent="0.25">
      <c r="B2080"/>
      <c r="C2080"/>
      <c r="D2080"/>
      <c r="E2080"/>
      <c r="F2080"/>
      <c r="G2080"/>
      <c r="H2080" s="19"/>
      <c r="I2080" s="19"/>
      <c r="J2080" s="19"/>
      <c r="M2080" s="7"/>
    </row>
    <row r="2081" spans="2:13" x14ac:dyDescent="0.25">
      <c r="B2081"/>
      <c r="C2081"/>
      <c r="D2081"/>
      <c r="E2081"/>
      <c r="F2081"/>
      <c r="G2081"/>
      <c r="H2081" s="19"/>
      <c r="I2081" s="19"/>
      <c r="J2081" s="19"/>
      <c r="M2081" s="7"/>
    </row>
    <row r="2082" spans="2:13" x14ac:dyDescent="0.25">
      <c r="B2082"/>
      <c r="C2082"/>
      <c r="D2082"/>
      <c r="E2082"/>
      <c r="F2082"/>
      <c r="G2082"/>
      <c r="H2082" s="19"/>
      <c r="I2082" s="19"/>
      <c r="J2082" s="19"/>
      <c r="M2082" s="7"/>
    </row>
    <row r="2083" spans="2:13" x14ac:dyDescent="0.25">
      <c r="B2083"/>
      <c r="C2083"/>
      <c r="D2083"/>
      <c r="E2083"/>
      <c r="F2083"/>
      <c r="G2083"/>
      <c r="H2083" s="19"/>
      <c r="I2083" s="19"/>
      <c r="J2083" s="19"/>
      <c r="M2083" s="7"/>
    </row>
    <row r="2084" spans="2:13" x14ac:dyDescent="0.25">
      <c r="B2084"/>
      <c r="C2084"/>
      <c r="D2084"/>
      <c r="E2084"/>
      <c r="F2084"/>
      <c r="G2084"/>
      <c r="H2084" s="19"/>
      <c r="I2084" s="19"/>
      <c r="J2084" s="19"/>
      <c r="M2084" s="7"/>
    </row>
    <row r="2085" spans="2:13" x14ac:dyDescent="0.25">
      <c r="B2085"/>
      <c r="C2085"/>
      <c r="D2085"/>
      <c r="E2085"/>
      <c r="F2085"/>
      <c r="G2085"/>
      <c r="H2085" s="19"/>
      <c r="I2085" s="19"/>
      <c r="J2085" s="19"/>
      <c r="M2085" s="7"/>
    </row>
    <row r="2086" spans="2:13" x14ac:dyDescent="0.25">
      <c r="B2086"/>
      <c r="C2086"/>
      <c r="D2086"/>
      <c r="E2086"/>
      <c r="F2086"/>
      <c r="G2086"/>
      <c r="H2086" s="19"/>
      <c r="I2086" s="19"/>
      <c r="J2086" s="19"/>
      <c r="M2086" s="7"/>
    </row>
    <row r="2087" spans="2:13" x14ac:dyDescent="0.25">
      <c r="B2087"/>
      <c r="C2087"/>
      <c r="D2087"/>
      <c r="E2087"/>
      <c r="F2087"/>
      <c r="G2087"/>
      <c r="H2087" s="19"/>
      <c r="I2087" s="19"/>
      <c r="J2087" s="19"/>
      <c r="M2087" s="7"/>
    </row>
    <row r="2088" spans="2:13" x14ac:dyDescent="0.25">
      <c r="B2088"/>
      <c r="C2088"/>
      <c r="D2088"/>
      <c r="E2088"/>
      <c r="F2088"/>
      <c r="G2088"/>
      <c r="H2088" s="19"/>
      <c r="I2088" s="19"/>
      <c r="J2088" s="19"/>
      <c r="M2088" s="7"/>
    </row>
    <row r="2089" spans="2:13" x14ac:dyDescent="0.25">
      <c r="B2089"/>
      <c r="C2089"/>
      <c r="D2089"/>
      <c r="E2089"/>
      <c r="F2089"/>
      <c r="G2089"/>
      <c r="H2089" s="19"/>
      <c r="I2089" s="19"/>
      <c r="J2089" s="19"/>
      <c r="M2089" s="7"/>
    </row>
    <row r="2090" spans="2:13" x14ac:dyDescent="0.25">
      <c r="B2090"/>
      <c r="C2090"/>
      <c r="D2090"/>
      <c r="E2090"/>
      <c r="F2090"/>
      <c r="G2090"/>
      <c r="H2090" s="19"/>
      <c r="I2090" s="19"/>
      <c r="J2090" s="19"/>
      <c r="M2090" s="7"/>
    </row>
    <row r="2091" spans="2:13" x14ac:dyDescent="0.25">
      <c r="B2091"/>
      <c r="C2091"/>
      <c r="D2091"/>
      <c r="E2091"/>
      <c r="F2091"/>
      <c r="G2091"/>
      <c r="H2091" s="19"/>
      <c r="I2091" s="19"/>
      <c r="J2091" s="19"/>
      <c r="M2091" s="7"/>
    </row>
    <row r="2092" spans="2:13" x14ac:dyDescent="0.25">
      <c r="B2092"/>
      <c r="C2092"/>
      <c r="D2092"/>
      <c r="E2092"/>
      <c r="F2092"/>
      <c r="G2092"/>
      <c r="H2092" s="19"/>
      <c r="I2092" s="19"/>
      <c r="J2092" s="19"/>
      <c r="M2092" s="7"/>
    </row>
    <row r="2093" spans="2:13" x14ac:dyDescent="0.25">
      <c r="B2093"/>
      <c r="C2093"/>
      <c r="D2093"/>
      <c r="E2093"/>
      <c r="F2093"/>
      <c r="G2093"/>
      <c r="H2093" s="19"/>
      <c r="I2093" s="19"/>
      <c r="J2093" s="19"/>
      <c r="M2093" s="7"/>
    </row>
    <row r="2094" spans="2:13" x14ac:dyDescent="0.25">
      <c r="B2094"/>
      <c r="C2094"/>
      <c r="D2094"/>
      <c r="E2094"/>
      <c r="F2094"/>
      <c r="G2094"/>
      <c r="H2094" s="19"/>
      <c r="I2094" s="19"/>
      <c r="J2094" s="19"/>
      <c r="M2094" s="7"/>
    </row>
    <row r="2095" spans="2:13" x14ac:dyDescent="0.25">
      <c r="B2095"/>
      <c r="C2095"/>
      <c r="D2095"/>
      <c r="E2095"/>
      <c r="F2095"/>
      <c r="G2095"/>
      <c r="H2095" s="19"/>
      <c r="I2095" s="19"/>
      <c r="J2095" s="19"/>
      <c r="M2095" s="7"/>
    </row>
    <row r="2096" spans="2:13" x14ac:dyDescent="0.25">
      <c r="B2096"/>
      <c r="C2096"/>
      <c r="D2096"/>
      <c r="E2096"/>
      <c r="F2096"/>
      <c r="G2096"/>
      <c r="H2096" s="19"/>
      <c r="I2096" s="19"/>
      <c r="J2096" s="19"/>
      <c r="M2096" s="7"/>
    </row>
    <row r="2097" spans="2:13" x14ac:dyDescent="0.25">
      <c r="B2097"/>
      <c r="C2097"/>
      <c r="D2097"/>
      <c r="E2097"/>
      <c r="F2097"/>
      <c r="G2097"/>
      <c r="H2097" s="19"/>
      <c r="I2097" s="19"/>
      <c r="J2097" s="19"/>
      <c r="M2097" s="7"/>
    </row>
    <row r="2098" spans="2:13" x14ac:dyDescent="0.25">
      <c r="B2098"/>
      <c r="C2098"/>
      <c r="D2098"/>
      <c r="E2098"/>
      <c r="F2098"/>
      <c r="G2098"/>
      <c r="H2098" s="19"/>
      <c r="I2098" s="19"/>
      <c r="J2098" s="19"/>
      <c r="M2098" s="7"/>
    </row>
    <row r="2099" spans="2:13" x14ac:dyDescent="0.25">
      <c r="B2099"/>
      <c r="C2099"/>
      <c r="D2099"/>
      <c r="E2099"/>
      <c r="F2099"/>
      <c r="G2099"/>
      <c r="H2099" s="19"/>
      <c r="I2099" s="19"/>
      <c r="J2099" s="19"/>
      <c r="M2099" s="7"/>
    </row>
    <row r="2100" spans="2:13" x14ac:dyDescent="0.25">
      <c r="B2100"/>
      <c r="C2100"/>
      <c r="D2100"/>
      <c r="E2100"/>
      <c r="F2100"/>
      <c r="G2100"/>
      <c r="H2100" s="19"/>
      <c r="I2100" s="19"/>
      <c r="J2100" s="19"/>
      <c r="M2100" s="7"/>
    </row>
    <row r="2101" spans="2:13" x14ac:dyDescent="0.25">
      <c r="B2101"/>
      <c r="C2101"/>
      <c r="D2101"/>
      <c r="E2101"/>
      <c r="F2101"/>
      <c r="G2101"/>
      <c r="H2101" s="19"/>
      <c r="I2101" s="19"/>
      <c r="J2101" s="19"/>
      <c r="M2101" s="7"/>
    </row>
    <row r="2102" spans="2:13" x14ac:dyDescent="0.25">
      <c r="B2102"/>
      <c r="C2102"/>
      <c r="D2102"/>
      <c r="E2102"/>
      <c r="F2102"/>
      <c r="G2102"/>
      <c r="H2102" s="19"/>
      <c r="I2102" s="19"/>
      <c r="J2102" s="19"/>
      <c r="M2102" s="7"/>
    </row>
    <row r="2103" spans="2:13" x14ac:dyDescent="0.25">
      <c r="B2103"/>
      <c r="C2103"/>
      <c r="D2103"/>
      <c r="E2103"/>
      <c r="F2103"/>
      <c r="G2103"/>
      <c r="H2103" s="19"/>
      <c r="I2103" s="19"/>
      <c r="J2103" s="19"/>
      <c r="M2103" s="7"/>
    </row>
    <row r="2104" spans="2:13" x14ac:dyDescent="0.25">
      <c r="B2104"/>
      <c r="C2104"/>
      <c r="D2104"/>
      <c r="E2104"/>
      <c r="F2104"/>
      <c r="G2104"/>
      <c r="H2104" s="19"/>
      <c r="I2104" s="19"/>
      <c r="J2104" s="19"/>
      <c r="M2104" s="7"/>
    </row>
    <row r="2105" spans="2:13" x14ac:dyDescent="0.25">
      <c r="B2105"/>
      <c r="C2105"/>
      <c r="D2105"/>
      <c r="E2105"/>
      <c r="F2105"/>
      <c r="G2105"/>
      <c r="H2105" s="19"/>
      <c r="I2105" s="19"/>
      <c r="J2105" s="19"/>
      <c r="M2105" s="7"/>
    </row>
    <row r="2106" spans="2:13" x14ac:dyDescent="0.25">
      <c r="B2106"/>
      <c r="C2106"/>
      <c r="D2106"/>
      <c r="E2106"/>
      <c r="F2106"/>
      <c r="G2106"/>
      <c r="H2106" s="19"/>
      <c r="I2106" s="19"/>
      <c r="J2106" s="19"/>
      <c r="M2106" s="7"/>
    </row>
    <row r="2107" spans="2:13" x14ac:dyDescent="0.25">
      <c r="B2107"/>
      <c r="C2107"/>
      <c r="D2107"/>
      <c r="E2107"/>
      <c r="F2107"/>
      <c r="G2107"/>
      <c r="H2107" s="19"/>
      <c r="I2107" s="19"/>
      <c r="J2107" s="19"/>
      <c r="M2107" s="7"/>
    </row>
    <row r="2108" spans="2:13" x14ac:dyDescent="0.25">
      <c r="B2108"/>
      <c r="C2108"/>
      <c r="D2108"/>
      <c r="E2108"/>
      <c r="F2108"/>
      <c r="G2108"/>
      <c r="H2108" s="19"/>
      <c r="I2108" s="19"/>
      <c r="J2108" s="19"/>
      <c r="M2108" s="7"/>
    </row>
    <row r="2109" spans="2:13" x14ac:dyDescent="0.25">
      <c r="B2109"/>
      <c r="C2109"/>
      <c r="D2109"/>
      <c r="E2109"/>
      <c r="F2109"/>
      <c r="G2109"/>
      <c r="H2109" s="19"/>
      <c r="I2109" s="19"/>
      <c r="J2109" s="19"/>
      <c r="M2109" s="7"/>
    </row>
    <row r="2110" spans="2:13" x14ac:dyDescent="0.25">
      <c r="B2110"/>
      <c r="C2110"/>
      <c r="D2110"/>
      <c r="E2110"/>
      <c r="F2110"/>
      <c r="G2110"/>
      <c r="H2110" s="19"/>
      <c r="I2110" s="19"/>
      <c r="J2110" s="19"/>
      <c r="M2110" s="7"/>
    </row>
    <row r="2111" spans="2:13" x14ac:dyDescent="0.25">
      <c r="B2111"/>
      <c r="C2111"/>
      <c r="D2111"/>
      <c r="E2111"/>
      <c r="F2111"/>
      <c r="G2111"/>
      <c r="H2111" s="19"/>
      <c r="I2111" s="19"/>
      <c r="J2111" s="19"/>
      <c r="M2111" s="7"/>
    </row>
    <row r="2112" spans="2:13" x14ac:dyDescent="0.25">
      <c r="B2112"/>
      <c r="C2112"/>
      <c r="D2112"/>
      <c r="E2112"/>
      <c r="F2112"/>
      <c r="G2112"/>
      <c r="H2112" s="19"/>
      <c r="I2112" s="19"/>
      <c r="J2112" s="19"/>
      <c r="M2112" s="7"/>
    </row>
    <row r="2113" spans="2:13" x14ac:dyDescent="0.25">
      <c r="B2113"/>
      <c r="C2113"/>
      <c r="D2113"/>
      <c r="E2113"/>
      <c r="F2113"/>
      <c r="G2113"/>
      <c r="H2113" s="19"/>
      <c r="I2113" s="19"/>
      <c r="J2113" s="19"/>
      <c r="M2113" s="7"/>
    </row>
    <row r="2114" spans="2:13" x14ac:dyDescent="0.25">
      <c r="B2114"/>
      <c r="C2114"/>
      <c r="D2114"/>
      <c r="E2114"/>
      <c r="F2114"/>
      <c r="G2114"/>
      <c r="H2114" s="19"/>
      <c r="I2114" s="19"/>
      <c r="J2114" s="19"/>
      <c r="M2114" s="7"/>
    </row>
    <row r="2115" spans="2:13" x14ac:dyDescent="0.25">
      <c r="B2115"/>
      <c r="C2115"/>
      <c r="D2115"/>
      <c r="E2115"/>
      <c r="F2115"/>
      <c r="G2115"/>
      <c r="H2115" s="19"/>
      <c r="I2115" s="19"/>
      <c r="J2115" s="19"/>
      <c r="M2115" s="7"/>
    </row>
    <row r="2116" spans="2:13" x14ac:dyDescent="0.25">
      <c r="B2116"/>
      <c r="C2116"/>
      <c r="D2116"/>
      <c r="E2116"/>
      <c r="F2116"/>
      <c r="G2116"/>
      <c r="H2116" s="19"/>
      <c r="I2116" s="19"/>
      <c r="J2116" s="19"/>
      <c r="M2116" s="7"/>
    </row>
    <row r="2117" spans="2:13" x14ac:dyDescent="0.25">
      <c r="B2117"/>
      <c r="C2117"/>
      <c r="D2117"/>
      <c r="E2117"/>
      <c r="F2117"/>
      <c r="G2117"/>
      <c r="H2117" s="19"/>
      <c r="I2117" s="19"/>
      <c r="J2117" s="19"/>
      <c r="M2117" s="7"/>
    </row>
    <row r="2118" spans="2:13" x14ac:dyDescent="0.25">
      <c r="B2118"/>
      <c r="C2118"/>
      <c r="D2118"/>
      <c r="E2118"/>
      <c r="F2118"/>
      <c r="G2118"/>
      <c r="H2118" s="19"/>
      <c r="I2118" s="19"/>
      <c r="J2118" s="19"/>
      <c r="M2118" s="7"/>
    </row>
    <row r="2119" spans="2:13" x14ac:dyDescent="0.25">
      <c r="B2119"/>
      <c r="C2119"/>
      <c r="D2119"/>
      <c r="E2119"/>
      <c r="F2119"/>
      <c r="G2119"/>
      <c r="H2119" s="19"/>
      <c r="I2119" s="19"/>
      <c r="J2119" s="19"/>
      <c r="M2119" s="7"/>
    </row>
    <row r="2120" spans="2:13" x14ac:dyDescent="0.25">
      <c r="B2120"/>
      <c r="C2120"/>
      <c r="D2120"/>
      <c r="E2120"/>
      <c r="F2120"/>
      <c r="G2120"/>
      <c r="H2120" s="19"/>
      <c r="I2120" s="19"/>
      <c r="J2120" s="19"/>
      <c r="M2120" s="7"/>
    </row>
    <row r="2121" spans="2:13" x14ac:dyDescent="0.25">
      <c r="B2121"/>
      <c r="C2121"/>
      <c r="D2121"/>
      <c r="E2121"/>
      <c r="F2121"/>
      <c r="G2121"/>
      <c r="H2121" s="19"/>
      <c r="I2121" s="19"/>
      <c r="J2121" s="19"/>
      <c r="M2121" s="7"/>
    </row>
    <row r="2122" spans="2:13" x14ac:dyDescent="0.25">
      <c r="B2122"/>
      <c r="C2122"/>
      <c r="D2122"/>
      <c r="E2122"/>
      <c r="F2122"/>
      <c r="G2122"/>
      <c r="H2122" s="19"/>
      <c r="I2122" s="19"/>
      <c r="J2122" s="19"/>
      <c r="M2122" s="7"/>
    </row>
    <row r="2123" spans="2:13" x14ac:dyDescent="0.25">
      <c r="B2123"/>
      <c r="C2123"/>
      <c r="D2123"/>
      <c r="E2123"/>
      <c r="F2123"/>
      <c r="G2123"/>
      <c r="H2123" s="19"/>
      <c r="I2123" s="19"/>
      <c r="J2123" s="19"/>
      <c r="M2123" s="7"/>
    </row>
    <row r="2124" spans="2:13" x14ac:dyDescent="0.25">
      <c r="B2124"/>
      <c r="C2124"/>
      <c r="D2124"/>
      <c r="E2124"/>
      <c r="F2124"/>
      <c r="G2124"/>
      <c r="H2124" s="19"/>
      <c r="I2124" s="19"/>
      <c r="J2124" s="19"/>
      <c r="M2124" s="7"/>
    </row>
    <row r="2125" spans="2:13" x14ac:dyDescent="0.25">
      <c r="B2125"/>
      <c r="C2125"/>
      <c r="D2125"/>
      <c r="E2125"/>
      <c r="F2125"/>
      <c r="G2125"/>
      <c r="H2125" s="19"/>
      <c r="I2125" s="19"/>
      <c r="J2125" s="19"/>
      <c r="M2125" s="7"/>
    </row>
    <row r="2126" spans="2:13" x14ac:dyDescent="0.25">
      <c r="B2126"/>
      <c r="C2126"/>
      <c r="D2126"/>
      <c r="E2126"/>
      <c r="F2126"/>
      <c r="G2126"/>
      <c r="H2126" s="19"/>
      <c r="I2126" s="19"/>
      <c r="J2126" s="19"/>
      <c r="M2126" s="7"/>
    </row>
    <row r="2127" spans="2:13" x14ac:dyDescent="0.25">
      <c r="B2127"/>
      <c r="C2127"/>
      <c r="D2127"/>
      <c r="E2127"/>
      <c r="F2127"/>
      <c r="G2127"/>
      <c r="H2127" s="19"/>
      <c r="I2127" s="19"/>
      <c r="J2127" s="19"/>
      <c r="M2127" s="7"/>
    </row>
    <row r="2128" spans="2:13" x14ac:dyDescent="0.25">
      <c r="B2128"/>
      <c r="C2128"/>
      <c r="D2128"/>
      <c r="E2128"/>
      <c r="F2128"/>
      <c r="G2128"/>
      <c r="H2128" s="19"/>
      <c r="I2128" s="19"/>
      <c r="J2128" s="19"/>
      <c r="M2128" s="7"/>
    </row>
    <row r="2129" spans="2:13" x14ac:dyDescent="0.25">
      <c r="B2129"/>
      <c r="C2129"/>
      <c r="D2129"/>
      <c r="E2129"/>
      <c r="F2129"/>
      <c r="G2129"/>
      <c r="H2129" s="19"/>
      <c r="I2129" s="19"/>
      <c r="J2129" s="19"/>
      <c r="M2129" s="7"/>
    </row>
    <row r="2130" spans="2:13" x14ac:dyDescent="0.25">
      <c r="B2130"/>
      <c r="C2130"/>
      <c r="D2130"/>
      <c r="E2130"/>
      <c r="F2130"/>
      <c r="G2130"/>
      <c r="H2130" s="19"/>
      <c r="I2130" s="19"/>
      <c r="J2130" s="19"/>
      <c r="M2130" s="7"/>
    </row>
    <row r="2131" spans="2:13" x14ac:dyDescent="0.25">
      <c r="B2131"/>
      <c r="C2131"/>
      <c r="D2131"/>
      <c r="E2131"/>
      <c r="F2131"/>
      <c r="G2131"/>
      <c r="H2131" s="19"/>
      <c r="I2131" s="19"/>
      <c r="J2131" s="19"/>
      <c r="M2131" s="7"/>
    </row>
    <row r="2132" spans="2:13" x14ac:dyDescent="0.25">
      <c r="B2132"/>
      <c r="C2132"/>
      <c r="D2132"/>
      <c r="E2132"/>
      <c r="F2132"/>
      <c r="G2132"/>
      <c r="H2132" s="19"/>
      <c r="I2132" s="19"/>
      <c r="J2132" s="19"/>
      <c r="M2132" s="7"/>
    </row>
    <row r="2133" spans="2:13" x14ac:dyDescent="0.25">
      <c r="B2133"/>
      <c r="C2133"/>
      <c r="D2133"/>
      <c r="E2133"/>
      <c r="F2133"/>
      <c r="G2133"/>
      <c r="H2133" s="19"/>
      <c r="I2133" s="19"/>
      <c r="J2133" s="19"/>
      <c r="M2133" s="7"/>
    </row>
    <row r="2134" spans="2:13" x14ac:dyDescent="0.25">
      <c r="B2134"/>
      <c r="C2134"/>
      <c r="D2134"/>
      <c r="E2134"/>
      <c r="F2134"/>
      <c r="G2134"/>
      <c r="H2134" s="19"/>
      <c r="I2134" s="19"/>
      <c r="J2134" s="19"/>
      <c r="M2134" s="7"/>
    </row>
    <row r="2135" spans="2:13" x14ac:dyDescent="0.25">
      <c r="B2135"/>
      <c r="C2135"/>
      <c r="D2135"/>
      <c r="E2135"/>
      <c r="F2135"/>
      <c r="G2135"/>
      <c r="H2135" s="19"/>
      <c r="I2135" s="19"/>
      <c r="J2135" s="19"/>
      <c r="M2135" s="7"/>
    </row>
    <row r="2136" spans="2:13" x14ac:dyDescent="0.25">
      <c r="B2136"/>
      <c r="C2136"/>
      <c r="D2136"/>
      <c r="E2136"/>
      <c r="F2136"/>
      <c r="G2136"/>
      <c r="H2136" s="19"/>
      <c r="I2136" s="19"/>
      <c r="J2136" s="19"/>
      <c r="M2136" s="7"/>
    </row>
    <row r="2137" spans="2:13" x14ac:dyDescent="0.25">
      <c r="B2137"/>
      <c r="C2137"/>
      <c r="D2137"/>
      <c r="E2137"/>
      <c r="F2137"/>
      <c r="G2137"/>
      <c r="H2137" s="19"/>
      <c r="I2137" s="19"/>
      <c r="J2137" s="19"/>
      <c r="M2137" s="7"/>
    </row>
    <row r="2138" spans="2:13" x14ac:dyDescent="0.25">
      <c r="B2138"/>
      <c r="C2138"/>
      <c r="D2138"/>
      <c r="E2138"/>
      <c r="F2138"/>
      <c r="G2138"/>
      <c r="H2138" s="19"/>
      <c r="I2138" s="19"/>
      <c r="J2138" s="19"/>
      <c r="M2138" s="7"/>
    </row>
    <row r="2139" spans="2:13" x14ac:dyDescent="0.25">
      <c r="B2139"/>
      <c r="C2139"/>
      <c r="D2139"/>
      <c r="E2139"/>
      <c r="F2139"/>
      <c r="G2139"/>
      <c r="H2139" s="19"/>
      <c r="I2139" s="19"/>
      <c r="J2139" s="19"/>
      <c r="M2139" s="7"/>
    </row>
    <row r="2140" spans="2:13" x14ac:dyDescent="0.25">
      <c r="B2140"/>
      <c r="C2140"/>
      <c r="D2140"/>
      <c r="E2140"/>
      <c r="F2140"/>
      <c r="G2140"/>
      <c r="H2140" s="19"/>
      <c r="I2140" s="19"/>
      <c r="J2140" s="19"/>
      <c r="M2140" s="7"/>
    </row>
    <row r="2141" spans="2:13" x14ac:dyDescent="0.25">
      <c r="B2141"/>
      <c r="C2141"/>
      <c r="D2141"/>
      <c r="E2141"/>
      <c r="F2141"/>
      <c r="G2141"/>
      <c r="H2141" s="19"/>
      <c r="I2141" s="19"/>
      <c r="J2141" s="19"/>
      <c r="M2141" s="7"/>
    </row>
    <row r="2142" spans="2:13" x14ac:dyDescent="0.25">
      <c r="B2142"/>
      <c r="C2142"/>
      <c r="D2142"/>
      <c r="E2142"/>
      <c r="F2142"/>
      <c r="G2142"/>
      <c r="H2142" s="19"/>
      <c r="I2142" s="19"/>
      <c r="J2142" s="19"/>
      <c r="M2142" s="7"/>
    </row>
    <row r="2143" spans="2:13" x14ac:dyDescent="0.25">
      <c r="B2143"/>
      <c r="C2143"/>
      <c r="D2143"/>
      <c r="E2143"/>
      <c r="F2143"/>
      <c r="G2143"/>
      <c r="H2143" s="19"/>
      <c r="I2143" s="19"/>
      <c r="J2143" s="19"/>
      <c r="M2143" s="7"/>
    </row>
    <row r="2144" spans="2:13" x14ac:dyDescent="0.25">
      <c r="B2144"/>
      <c r="C2144"/>
      <c r="D2144"/>
      <c r="E2144"/>
      <c r="F2144"/>
      <c r="G2144"/>
      <c r="H2144" s="19"/>
      <c r="I2144" s="19"/>
      <c r="J2144" s="19"/>
      <c r="M2144" s="7"/>
    </row>
    <row r="2145" spans="2:13" x14ac:dyDescent="0.25">
      <c r="B2145"/>
      <c r="C2145"/>
      <c r="D2145"/>
      <c r="E2145"/>
      <c r="F2145"/>
      <c r="G2145"/>
      <c r="H2145" s="19"/>
      <c r="I2145" s="19"/>
      <c r="J2145" s="19"/>
      <c r="M2145" s="7"/>
    </row>
    <row r="2146" spans="2:13" x14ac:dyDescent="0.25">
      <c r="B2146"/>
      <c r="C2146"/>
      <c r="D2146"/>
      <c r="E2146"/>
      <c r="F2146"/>
      <c r="G2146"/>
      <c r="H2146" s="19"/>
      <c r="I2146" s="19"/>
      <c r="J2146" s="19"/>
      <c r="M2146" s="7"/>
    </row>
    <row r="2147" spans="2:13" x14ac:dyDescent="0.25">
      <c r="B2147"/>
      <c r="C2147"/>
      <c r="D2147"/>
      <c r="E2147"/>
      <c r="F2147"/>
      <c r="G2147"/>
      <c r="H2147" s="19"/>
      <c r="I2147" s="19"/>
      <c r="J2147" s="19"/>
      <c r="M2147" s="7"/>
    </row>
    <row r="2148" spans="2:13" x14ac:dyDescent="0.25">
      <c r="B2148"/>
      <c r="C2148"/>
      <c r="D2148"/>
      <c r="E2148"/>
      <c r="F2148"/>
      <c r="G2148"/>
      <c r="H2148" s="19"/>
      <c r="I2148" s="19"/>
      <c r="J2148" s="19"/>
      <c r="M2148" s="7"/>
    </row>
    <row r="2149" spans="2:13" x14ac:dyDescent="0.25">
      <c r="B2149"/>
      <c r="C2149"/>
      <c r="D2149"/>
      <c r="E2149"/>
      <c r="F2149"/>
      <c r="G2149"/>
      <c r="H2149" s="19"/>
      <c r="I2149" s="19"/>
      <c r="J2149" s="19"/>
      <c r="M2149" s="7"/>
    </row>
    <row r="2150" spans="2:13" x14ac:dyDescent="0.25">
      <c r="B2150"/>
      <c r="C2150"/>
      <c r="D2150"/>
      <c r="E2150"/>
      <c r="F2150"/>
      <c r="G2150"/>
      <c r="H2150" s="19"/>
      <c r="I2150" s="19"/>
      <c r="J2150" s="19"/>
      <c r="M2150" s="7"/>
    </row>
    <row r="2151" spans="2:13" x14ac:dyDescent="0.25">
      <c r="B2151"/>
      <c r="C2151"/>
      <c r="D2151"/>
      <c r="E2151"/>
      <c r="F2151"/>
      <c r="G2151"/>
      <c r="H2151" s="19"/>
      <c r="I2151" s="19"/>
      <c r="J2151" s="19"/>
      <c r="M2151" s="7"/>
    </row>
    <row r="2152" spans="2:13" x14ac:dyDescent="0.25">
      <c r="B2152"/>
      <c r="C2152"/>
      <c r="D2152"/>
      <c r="E2152"/>
      <c r="F2152"/>
      <c r="G2152"/>
      <c r="H2152" s="19"/>
      <c r="I2152" s="19"/>
      <c r="J2152" s="19"/>
      <c r="M2152" s="7"/>
    </row>
    <row r="2153" spans="2:13" x14ac:dyDescent="0.25">
      <c r="B2153"/>
      <c r="C2153"/>
      <c r="D2153"/>
      <c r="E2153"/>
      <c r="F2153"/>
      <c r="G2153"/>
      <c r="H2153" s="19"/>
      <c r="I2153" s="19"/>
      <c r="J2153" s="19"/>
      <c r="M2153" s="7"/>
    </row>
    <row r="2154" spans="2:13" x14ac:dyDescent="0.25">
      <c r="B2154"/>
      <c r="C2154"/>
      <c r="D2154"/>
      <c r="E2154"/>
      <c r="F2154"/>
      <c r="G2154"/>
      <c r="H2154" s="19"/>
      <c r="I2154" s="19"/>
      <c r="J2154" s="19"/>
      <c r="M2154" s="7"/>
    </row>
    <row r="2155" spans="2:13" x14ac:dyDescent="0.25">
      <c r="B2155"/>
      <c r="C2155"/>
      <c r="D2155"/>
      <c r="E2155"/>
      <c r="F2155"/>
      <c r="G2155"/>
      <c r="H2155" s="19"/>
      <c r="I2155" s="19"/>
      <c r="J2155" s="19"/>
      <c r="M2155" s="7"/>
    </row>
    <row r="2156" spans="2:13" x14ac:dyDescent="0.25">
      <c r="B2156"/>
      <c r="C2156"/>
      <c r="D2156"/>
      <c r="E2156"/>
      <c r="F2156"/>
      <c r="G2156"/>
      <c r="H2156" s="19"/>
      <c r="I2156" s="19"/>
      <c r="J2156" s="19"/>
      <c r="M2156" s="7"/>
    </row>
    <row r="2157" spans="2:13" x14ac:dyDescent="0.25">
      <c r="B2157"/>
      <c r="C2157"/>
      <c r="D2157"/>
      <c r="E2157"/>
      <c r="F2157"/>
      <c r="G2157"/>
      <c r="H2157" s="19"/>
      <c r="I2157" s="19"/>
      <c r="J2157" s="19"/>
      <c r="M2157" s="7"/>
    </row>
    <row r="2158" spans="2:13" x14ac:dyDescent="0.25">
      <c r="B2158"/>
      <c r="C2158"/>
      <c r="D2158"/>
      <c r="E2158"/>
      <c r="F2158"/>
      <c r="G2158"/>
      <c r="H2158" s="19"/>
      <c r="I2158" s="19"/>
      <c r="J2158" s="19"/>
      <c r="M2158" s="7"/>
    </row>
    <row r="2159" spans="2:13" x14ac:dyDescent="0.25">
      <c r="B2159"/>
      <c r="C2159"/>
      <c r="D2159"/>
      <c r="E2159"/>
      <c r="F2159"/>
      <c r="G2159"/>
      <c r="H2159" s="19"/>
      <c r="I2159" s="19"/>
      <c r="J2159" s="19"/>
      <c r="M2159" s="7"/>
    </row>
    <row r="2160" spans="2:13" x14ac:dyDescent="0.25">
      <c r="B2160"/>
      <c r="C2160"/>
      <c r="D2160"/>
      <c r="E2160"/>
      <c r="F2160"/>
      <c r="G2160"/>
      <c r="H2160" s="19"/>
      <c r="I2160" s="19"/>
      <c r="J2160" s="19"/>
      <c r="M2160" s="7"/>
    </row>
    <row r="2161" spans="2:13" x14ac:dyDescent="0.25">
      <c r="B2161"/>
      <c r="C2161"/>
      <c r="D2161"/>
      <c r="E2161"/>
      <c r="F2161"/>
      <c r="G2161"/>
      <c r="H2161" s="19"/>
      <c r="I2161" s="19"/>
      <c r="J2161" s="19"/>
      <c r="M2161" s="7"/>
    </row>
    <row r="2162" spans="2:13" x14ac:dyDescent="0.25">
      <c r="B2162"/>
      <c r="C2162"/>
      <c r="D2162"/>
      <c r="E2162"/>
      <c r="F2162"/>
      <c r="G2162"/>
      <c r="H2162" s="19"/>
      <c r="I2162" s="19"/>
      <c r="J2162" s="19"/>
      <c r="M2162" s="7"/>
    </row>
    <row r="2163" spans="2:13" x14ac:dyDescent="0.25">
      <c r="B2163"/>
      <c r="C2163"/>
      <c r="D2163"/>
      <c r="E2163"/>
      <c r="F2163"/>
      <c r="G2163"/>
      <c r="H2163" s="19"/>
      <c r="I2163" s="19"/>
      <c r="J2163" s="19"/>
      <c r="M2163" s="7"/>
    </row>
    <row r="2164" spans="2:13" x14ac:dyDescent="0.25">
      <c r="B2164"/>
      <c r="C2164"/>
      <c r="D2164"/>
      <c r="E2164"/>
      <c r="F2164"/>
      <c r="G2164"/>
      <c r="H2164" s="19"/>
      <c r="I2164" s="19"/>
      <c r="J2164" s="19"/>
      <c r="M2164" s="7"/>
    </row>
    <row r="2165" spans="2:13" x14ac:dyDescent="0.25">
      <c r="B2165"/>
      <c r="C2165"/>
      <c r="D2165"/>
      <c r="E2165"/>
      <c r="F2165"/>
      <c r="G2165"/>
      <c r="H2165" s="19"/>
      <c r="I2165" s="19"/>
      <c r="J2165" s="19"/>
      <c r="M2165" s="7"/>
    </row>
    <row r="2166" spans="2:13" x14ac:dyDescent="0.25">
      <c r="B2166"/>
      <c r="C2166"/>
      <c r="D2166"/>
      <c r="E2166"/>
      <c r="F2166"/>
      <c r="G2166"/>
      <c r="H2166" s="19"/>
      <c r="I2166" s="19"/>
      <c r="J2166" s="19"/>
      <c r="M2166" s="7"/>
    </row>
    <row r="2167" spans="2:13" x14ac:dyDescent="0.25">
      <c r="B2167"/>
      <c r="C2167"/>
      <c r="D2167"/>
      <c r="E2167"/>
      <c r="F2167"/>
      <c r="G2167"/>
      <c r="H2167" s="19"/>
      <c r="I2167" s="19"/>
      <c r="J2167" s="19"/>
      <c r="M2167" s="7"/>
    </row>
    <row r="2168" spans="2:13" x14ac:dyDescent="0.25">
      <c r="B2168"/>
      <c r="C2168"/>
      <c r="D2168"/>
      <c r="E2168"/>
      <c r="F2168"/>
      <c r="G2168"/>
      <c r="H2168" s="19"/>
      <c r="I2168" s="19"/>
      <c r="J2168" s="19"/>
      <c r="M2168" s="7"/>
    </row>
    <row r="2169" spans="2:13" x14ac:dyDescent="0.25">
      <c r="B2169"/>
      <c r="C2169"/>
      <c r="D2169"/>
      <c r="E2169"/>
      <c r="F2169"/>
      <c r="G2169"/>
      <c r="H2169" s="19"/>
      <c r="I2169" s="19"/>
      <c r="J2169" s="19"/>
      <c r="M2169" s="7"/>
    </row>
    <row r="2170" spans="2:13" x14ac:dyDescent="0.25">
      <c r="B2170"/>
      <c r="C2170"/>
      <c r="D2170"/>
      <c r="E2170"/>
      <c r="F2170"/>
      <c r="G2170"/>
      <c r="H2170" s="19"/>
      <c r="I2170" s="19"/>
      <c r="J2170" s="19"/>
      <c r="M2170" s="7"/>
    </row>
    <row r="2171" spans="2:13" x14ac:dyDescent="0.25">
      <c r="B2171"/>
      <c r="C2171"/>
      <c r="D2171"/>
      <c r="E2171"/>
      <c r="F2171"/>
      <c r="G2171"/>
      <c r="H2171" s="19"/>
      <c r="I2171" s="19"/>
      <c r="J2171" s="19"/>
      <c r="M2171" s="7"/>
    </row>
    <row r="2172" spans="2:13" x14ac:dyDescent="0.25">
      <c r="B2172"/>
      <c r="C2172"/>
      <c r="D2172"/>
      <c r="E2172"/>
      <c r="F2172"/>
      <c r="G2172"/>
      <c r="H2172" s="19"/>
      <c r="I2172" s="19"/>
      <c r="J2172" s="19"/>
      <c r="M2172" s="7"/>
    </row>
    <row r="2173" spans="2:13" x14ac:dyDescent="0.25">
      <c r="B2173"/>
      <c r="C2173"/>
      <c r="D2173"/>
      <c r="E2173"/>
      <c r="F2173"/>
      <c r="G2173"/>
      <c r="H2173" s="19"/>
      <c r="I2173" s="19"/>
      <c r="J2173" s="19"/>
      <c r="M2173" s="7"/>
    </row>
    <row r="2174" spans="2:13" x14ac:dyDescent="0.25">
      <c r="B2174"/>
      <c r="C2174"/>
      <c r="D2174"/>
      <c r="E2174"/>
      <c r="F2174"/>
      <c r="G2174"/>
      <c r="H2174" s="19"/>
      <c r="I2174" s="19"/>
      <c r="J2174" s="19"/>
      <c r="M2174" s="7"/>
    </row>
    <row r="2175" spans="2:13" x14ac:dyDescent="0.25">
      <c r="B2175"/>
      <c r="C2175"/>
      <c r="D2175"/>
      <c r="E2175"/>
      <c r="F2175"/>
      <c r="G2175"/>
      <c r="H2175" s="19"/>
      <c r="I2175" s="19"/>
      <c r="J2175" s="19"/>
      <c r="M2175" s="7"/>
    </row>
    <row r="2176" spans="2:13" x14ac:dyDescent="0.25">
      <c r="B2176"/>
      <c r="C2176"/>
      <c r="D2176"/>
      <c r="E2176"/>
      <c r="F2176"/>
      <c r="G2176"/>
      <c r="H2176" s="19"/>
      <c r="I2176" s="19"/>
      <c r="J2176" s="19"/>
      <c r="M2176" s="7"/>
    </row>
    <row r="2177" spans="2:13" x14ac:dyDescent="0.25">
      <c r="B2177"/>
      <c r="C2177"/>
      <c r="D2177"/>
      <c r="E2177"/>
      <c r="F2177"/>
      <c r="G2177"/>
      <c r="H2177" s="19"/>
      <c r="I2177" s="19"/>
      <c r="J2177" s="19"/>
      <c r="M2177" s="7"/>
    </row>
    <row r="2178" spans="2:13" x14ac:dyDescent="0.25">
      <c r="B2178"/>
      <c r="C2178"/>
      <c r="D2178"/>
      <c r="E2178"/>
      <c r="F2178"/>
      <c r="G2178"/>
      <c r="H2178" s="19"/>
      <c r="I2178" s="19"/>
      <c r="J2178" s="19"/>
      <c r="M2178" s="7"/>
    </row>
    <row r="2179" spans="2:13" x14ac:dyDescent="0.25">
      <c r="B2179"/>
      <c r="C2179"/>
      <c r="D2179"/>
      <c r="E2179"/>
      <c r="F2179"/>
      <c r="G2179"/>
      <c r="H2179" s="19"/>
      <c r="I2179" s="19"/>
      <c r="J2179" s="19"/>
      <c r="M2179" s="7"/>
    </row>
    <row r="2180" spans="2:13" x14ac:dyDescent="0.25">
      <c r="B2180"/>
      <c r="C2180"/>
      <c r="D2180"/>
      <c r="E2180"/>
      <c r="F2180"/>
      <c r="G2180"/>
      <c r="H2180" s="19"/>
      <c r="I2180" s="19"/>
      <c r="J2180" s="19"/>
      <c r="M2180" s="7"/>
    </row>
    <row r="2181" spans="2:13" x14ac:dyDescent="0.25">
      <c r="B2181"/>
      <c r="C2181"/>
      <c r="D2181"/>
      <c r="E2181"/>
      <c r="F2181"/>
      <c r="G2181"/>
      <c r="H2181" s="19"/>
      <c r="I2181" s="19"/>
      <c r="J2181" s="19"/>
      <c r="M2181" s="7"/>
    </row>
    <row r="2182" spans="2:13" x14ac:dyDescent="0.25">
      <c r="B2182"/>
      <c r="C2182"/>
      <c r="D2182"/>
      <c r="E2182"/>
      <c r="F2182"/>
      <c r="G2182"/>
      <c r="H2182" s="19"/>
      <c r="I2182" s="19"/>
      <c r="J2182" s="19"/>
      <c r="M2182" s="7"/>
    </row>
    <row r="2183" spans="2:13" x14ac:dyDescent="0.25">
      <c r="B2183"/>
      <c r="C2183"/>
      <c r="D2183"/>
      <c r="E2183"/>
      <c r="F2183"/>
      <c r="G2183"/>
      <c r="H2183" s="19"/>
      <c r="I2183" s="19"/>
      <c r="J2183" s="19"/>
      <c r="M2183" s="7"/>
    </row>
    <row r="2184" spans="2:13" x14ac:dyDescent="0.25">
      <c r="B2184"/>
      <c r="C2184"/>
      <c r="D2184"/>
      <c r="E2184"/>
      <c r="F2184"/>
      <c r="G2184"/>
      <c r="H2184" s="19"/>
      <c r="I2184" s="19"/>
      <c r="J2184" s="19"/>
      <c r="M2184" s="7"/>
    </row>
    <row r="2185" spans="2:13" x14ac:dyDescent="0.25">
      <c r="B2185"/>
      <c r="C2185"/>
      <c r="D2185"/>
      <c r="E2185"/>
      <c r="F2185"/>
      <c r="G2185"/>
      <c r="H2185" s="19"/>
      <c r="I2185" s="19"/>
      <c r="J2185" s="19"/>
      <c r="M2185" s="7"/>
    </row>
    <row r="2186" spans="2:13" x14ac:dyDescent="0.25">
      <c r="B2186"/>
      <c r="C2186"/>
      <c r="D2186"/>
      <c r="E2186"/>
      <c r="F2186"/>
      <c r="G2186"/>
      <c r="H2186" s="19"/>
      <c r="I2186" s="19"/>
      <c r="J2186" s="19"/>
      <c r="M2186" s="7"/>
    </row>
    <row r="2187" spans="2:13" x14ac:dyDescent="0.25">
      <c r="B2187"/>
      <c r="C2187"/>
      <c r="D2187"/>
      <c r="E2187"/>
      <c r="F2187"/>
      <c r="G2187"/>
      <c r="H2187" s="19"/>
      <c r="I2187" s="19"/>
      <c r="J2187" s="19"/>
      <c r="M2187" s="7"/>
    </row>
    <row r="2188" spans="2:13" x14ac:dyDescent="0.25">
      <c r="B2188"/>
      <c r="C2188"/>
      <c r="D2188"/>
      <c r="E2188"/>
      <c r="F2188"/>
      <c r="G2188"/>
      <c r="H2188" s="19"/>
      <c r="I2188" s="19"/>
      <c r="J2188" s="19"/>
      <c r="M2188" s="7"/>
    </row>
    <row r="2189" spans="2:13" x14ac:dyDescent="0.25">
      <c r="B2189"/>
      <c r="C2189"/>
      <c r="D2189"/>
      <c r="E2189"/>
      <c r="F2189"/>
      <c r="G2189"/>
      <c r="H2189" s="19"/>
      <c r="I2189" s="19"/>
      <c r="J2189" s="19"/>
      <c r="M2189" s="7"/>
    </row>
    <row r="2190" spans="2:13" x14ac:dyDescent="0.25">
      <c r="B2190"/>
      <c r="C2190"/>
      <c r="D2190"/>
      <c r="E2190"/>
      <c r="F2190"/>
      <c r="G2190"/>
      <c r="H2190" s="19"/>
      <c r="I2190" s="19"/>
      <c r="J2190" s="19"/>
      <c r="M2190" s="7"/>
    </row>
    <row r="2191" spans="2:13" x14ac:dyDescent="0.25">
      <c r="B2191"/>
      <c r="C2191"/>
      <c r="D2191"/>
      <c r="E2191"/>
      <c r="F2191"/>
      <c r="G2191"/>
      <c r="H2191" s="19"/>
      <c r="I2191" s="19"/>
      <c r="J2191" s="19"/>
      <c r="M2191" s="7"/>
    </row>
    <row r="2192" spans="2:13" x14ac:dyDescent="0.25">
      <c r="B2192"/>
      <c r="C2192"/>
      <c r="D2192"/>
      <c r="E2192"/>
      <c r="F2192"/>
      <c r="G2192"/>
      <c r="H2192" s="19"/>
      <c r="I2192" s="19"/>
      <c r="J2192" s="19"/>
      <c r="M2192" s="7"/>
    </row>
    <row r="2193" spans="2:13" x14ac:dyDescent="0.25">
      <c r="B2193"/>
      <c r="C2193"/>
      <c r="D2193"/>
      <c r="E2193"/>
      <c r="F2193"/>
      <c r="G2193"/>
      <c r="H2193" s="19"/>
      <c r="I2193" s="19"/>
      <c r="J2193" s="19"/>
      <c r="M2193" s="7"/>
    </row>
    <row r="2194" spans="2:13" x14ac:dyDescent="0.25">
      <c r="B2194"/>
      <c r="C2194"/>
      <c r="D2194"/>
      <c r="E2194"/>
      <c r="F2194"/>
      <c r="G2194"/>
      <c r="H2194" s="19"/>
      <c r="I2194" s="19"/>
      <c r="J2194" s="19"/>
      <c r="M2194" s="7"/>
    </row>
    <row r="2195" spans="2:13" x14ac:dyDescent="0.25">
      <c r="B2195"/>
      <c r="C2195"/>
      <c r="D2195"/>
      <c r="E2195"/>
      <c r="F2195"/>
      <c r="G2195"/>
      <c r="H2195" s="19"/>
      <c r="I2195" s="19"/>
      <c r="J2195" s="19"/>
      <c r="M2195" s="7"/>
    </row>
    <row r="2196" spans="2:13" x14ac:dyDescent="0.25">
      <c r="B2196"/>
      <c r="C2196"/>
      <c r="D2196"/>
      <c r="E2196"/>
      <c r="F2196"/>
      <c r="G2196"/>
      <c r="H2196" s="19"/>
      <c r="I2196" s="19"/>
      <c r="J2196" s="19"/>
      <c r="M2196" s="7"/>
    </row>
    <row r="2197" spans="2:13" x14ac:dyDescent="0.25">
      <c r="B2197"/>
      <c r="C2197"/>
      <c r="D2197"/>
      <c r="E2197"/>
      <c r="F2197"/>
      <c r="G2197"/>
      <c r="H2197" s="19"/>
      <c r="I2197" s="19"/>
      <c r="J2197" s="19"/>
      <c r="M2197" s="7"/>
    </row>
    <row r="2198" spans="2:13" x14ac:dyDescent="0.25">
      <c r="B2198"/>
      <c r="C2198"/>
      <c r="D2198"/>
      <c r="E2198"/>
      <c r="F2198"/>
      <c r="G2198"/>
      <c r="H2198" s="19"/>
      <c r="I2198" s="19"/>
      <c r="J2198" s="19"/>
      <c r="M2198" s="7"/>
    </row>
    <row r="2199" spans="2:13" x14ac:dyDescent="0.25">
      <c r="B2199"/>
      <c r="C2199"/>
      <c r="D2199"/>
      <c r="E2199"/>
      <c r="F2199"/>
      <c r="G2199"/>
      <c r="H2199" s="19"/>
      <c r="I2199" s="19"/>
      <c r="J2199" s="19"/>
      <c r="M2199" s="7"/>
    </row>
    <row r="2200" spans="2:13" x14ac:dyDescent="0.25">
      <c r="B2200"/>
      <c r="C2200"/>
      <c r="D2200"/>
      <c r="E2200"/>
      <c r="F2200"/>
      <c r="G2200"/>
      <c r="H2200" s="19"/>
      <c r="I2200" s="19"/>
      <c r="J2200" s="19"/>
      <c r="M2200" s="7"/>
    </row>
    <row r="2201" spans="2:13" x14ac:dyDescent="0.25">
      <c r="B2201"/>
      <c r="C2201"/>
      <c r="D2201"/>
      <c r="E2201"/>
      <c r="F2201"/>
      <c r="G2201"/>
      <c r="H2201" s="19"/>
      <c r="I2201" s="19"/>
      <c r="J2201" s="19"/>
      <c r="M2201" s="7"/>
    </row>
    <row r="2202" spans="2:13" x14ac:dyDescent="0.25">
      <c r="B2202"/>
      <c r="C2202"/>
      <c r="D2202"/>
      <c r="E2202"/>
      <c r="F2202"/>
      <c r="G2202"/>
      <c r="H2202" s="19"/>
      <c r="I2202" s="19"/>
      <c r="J2202" s="19"/>
      <c r="M2202" s="7"/>
    </row>
    <row r="2203" spans="2:13" x14ac:dyDescent="0.25">
      <c r="B2203"/>
      <c r="C2203"/>
      <c r="D2203"/>
      <c r="E2203"/>
      <c r="F2203"/>
      <c r="G2203"/>
      <c r="H2203" s="19"/>
      <c r="I2203" s="19"/>
      <c r="J2203" s="19"/>
      <c r="M2203" s="7"/>
    </row>
    <row r="2204" spans="2:13" x14ac:dyDescent="0.25">
      <c r="B2204"/>
      <c r="C2204"/>
      <c r="D2204"/>
      <c r="E2204"/>
      <c r="F2204"/>
      <c r="G2204"/>
      <c r="H2204" s="19"/>
      <c r="I2204" s="19"/>
      <c r="J2204" s="19"/>
      <c r="M2204" s="7"/>
    </row>
    <row r="2205" spans="2:13" x14ac:dyDescent="0.25">
      <c r="B2205"/>
      <c r="C2205"/>
      <c r="D2205"/>
      <c r="E2205"/>
      <c r="F2205"/>
      <c r="G2205"/>
      <c r="H2205" s="19"/>
      <c r="I2205" s="19"/>
      <c r="J2205" s="19"/>
      <c r="M2205" s="7"/>
    </row>
    <row r="2206" spans="2:13" x14ac:dyDescent="0.25">
      <c r="B2206"/>
      <c r="C2206"/>
      <c r="D2206"/>
      <c r="E2206"/>
      <c r="F2206"/>
      <c r="G2206"/>
      <c r="H2206" s="19"/>
      <c r="I2206" s="19"/>
      <c r="J2206" s="19"/>
      <c r="M2206" s="7"/>
    </row>
    <row r="2207" spans="2:13" x14ac:dyDescent="0.25">
      <c r="B2207"/>
      <c r="C2207"/>
      <c r="D2207"/>
      <c r="E2207"/>
      <c r="F2207"/>
      <c r="G2207"/>
      <c r="H2207" s="19"/>
      <c r="I2207" s="19"/>
      <c r="J2207" s="19"/>
      <c r="M2207" s="7"/>
    </row>
    <row r="2208" spans="2:13" x14ac:dyDescent="0.25">
      <c r="B2208"/>
      <c r="C2208"/>
      <c r="D2208"/>
      <c r="E2208"/>
      <c r="F2208"/>
      <c r="G2208"/>
      <c r="H2208" s="19"/>
      <c r="I2208" s="19"/>
      <c r="J2208" s="19"/>
      <c r="M2208" s="7"/>
    </row>
    <row r="2209" spans="2:13" x14ac:dyDescent="0.25">
      <c r="B2209"/>
      <c r="C2209"/>
      <c r="D2209"/>
      <c r="E2209"/>
      <c r="F2209"/>
      <c r="G2209"/>
      <c r="H2209" s="19"/>
      <c r="I2209" s="19"/>
      <c r="J2209" s="19"/>
      <c r="M2209" s="7"/>
    </row>
    <row r="2210" spans="2:13" x14ac:dyDescent="0.25">
      <c r="B2210"/>
      <c r="C2210"/>
      <c r="D2210"/>
      <c r="E2210"/>
      <c r="F2210"/>
      <c r="G2210"/>
      <c r="H2210" s="19"/>
      <c r="I2210" s="19"/>
      <c r="J2210" s="19"/>
      <c r="M2210" s="7"/>
    </row>
    <row r="2211" spans="2:13" x14ac:dyDescent="0.25">
      <c r="B2211"/>
      <c r="C2211"/>
      <c r="D2211"/>
      <c r="E2211"/>
      <c r="F2211"/>
      <c r="G2211"/>
      <c r="H2211" s="19"/>
      <c r="I2211" s="19"/>
      <c r="J2211" s="19"/>
      <c r="M2211" s="7"/>
    </row>
    <row r="2212" spans="2:13" x14ac:dyDescent="0.25">
      <c r="B2212"/>
      <c r="C2212"/>
      <c r="D2212"/>
      <c r="E2212"/>
      <c r="F2212"/>
      <c r="G2212"/>
      <c r="H2212" s="19"/>
      <c r="I2212" s="19"/>
      <c r="J2212" s="19"/>
      <c r="M2212" s="7"/>
    </row>
    <row r="2213" spans="2:13" x14ac:dyDescent="0.25">
      <c r="B2213"/>
      <c r="C2213"/>
      <c r="D2213"/>
      <c r="E2213"/>
      <c r="F2213"/>
      <c r="G2213"/>
      <c r="H2213" s="19"/>
      <c r="I2213" s="19"/>
      <c r="J2213" s="19"/>
      <c r="M2213" s="7"/>
    </row>
    <row r="2214" spans="2:13" x14ac:dyDescent="0.25">
      <c r="B2214"/>
      <c r="C2214"/>
      <c r="D2214"/>
      <c r="E2214"/>
      <c r="F2214"/>
      <c r="G2214"/>
      <c r="H2214" s="19"/>
      <c r="I2214" s="19"/>
      <c r="J2214" s="19"/>
      <c r="M2214" s="7"/>
    </row>
    <row r="2215" spans="2:13" x14ac:dyDescent="0.25">
      <c r="B2215"/>
      <c r="C2215"/>
      <c r="D2215"/>
      <c r="E2215"/>
      <c r="F2215"/>
      <c r="G2215"/>
      <c r="H2215" s="19"/>
      <c r="I2215" s="19"/>
      <c r="J2215" s="19"/>
      <c r="M2215" s="7"/>
    </row>
    <row r="2216" spans="2:13" x14ac:dyDescent="0.25">
      <c r="B2216"/>
      <c r="C2216"/>
      <c r="D2216"/>
      <c r="E2216"/>
      <c r="F2216"/>
      <c r="G2216"/>
      <c r="H2216" s="19"/>
      <c r="I2216" s="19"/>
      <c r="J2216" s="19"/>
      <c r="M2216" s="7"/>
    </row>
    <row r="2217" spans="2:13" x14ac:dyDescent="0.25">
      <c r="B2217"/>
      <c r="C2217"/>
      <c r="D2217"/>
      <c r="E2217"/>
      <c r="F2217"/>
      <c r="G2217"/>
      <c r="H2217" s="19"/>
      <c r="I2217" s="19"/>
      <c r="J2217" s="19"/>
      <c r="M2217" s="7"/>
    </row>
    <row r="2218" spans="2:13" x14ac:dyDescent="0.25">
      <c r="B2218"/>
      <c r="C2218"/>
      <c r="D2218"/>
      <c r="E2218"/>
      <c r="F2218"/>
      <c r="G2218"/>
      <c r="H2218" s="19"/>
      <c r="I2218" s="19"/>
      <c r="J2218" s="19"/>
      <c r="M2218" s="7"/>
    </row>
    <row r="2219" spans="2:13" x14ac:dyDescent="0.25">
      <c r="B2219"/>
      <c r="C2219"/>
      <c r="D2219"/>
      <c r="E2219"/>
      <c r="F2219"/>
      <c r="G2219"/>
      <c r="H2219" s="19"/>
      <c r="I2219" s="19"/>
      <c r="J2219" s="19"/>
      <c r="M2219" s="7"/>
    </row>
    <row r="2220" spans="2:13" x14ac:dyDescent="0.25">
      <c r="B2220"/>
      <c r="C2220"/>
      <c r="D2220"/>
      <c r="E2220"/>
      <c r="F2220"/>
      <c r="G2220"/>
      <c r="H2220" s="19"/>
      <c r="I2220" s="19"/>
      <c r="J2220" s="19"/>
      <c r="M2220" s="7"/>
    </row>
    <row r="2221" spans="2:13" x14ac:dyDescent="0.25">
      <c r="B2221"/>
      <c r="C2221"/>
      <c r="D2221"/>
      <c r="E2221"/>
      <c r="F2221"/>
      <c r="G2221"/>
      <c r="H2221" s="19"/>
      <c r="I2221" s="19"/>
      <c r="J2221" s="19"/>
      <c r="M2221" s="7"/>
    </row>
    <row r="2222" spans="2:13" x14ac:dyDescent="0.25">
      <c r="B2222"/>
      <c r="C2222"/>
      <c r="D2222"/>
      <c r="E2222"/>
      <c r="F2222"/>
      <c r="G2222"/>
      <c r="H2222" s="19"/>
      <c r="I2222" s="19"/>
      <c r="J2222" s="19"/>
      <c r="M2222" s="7"/>
    </row>
    <row r="2223" spans="2:13" x14ac:dyDescent="0.25">
      <c r="B2223"/>
      <c r="C2223"/>
      <c r="D2223"/>
      <c r="E2223"/>
      <c r="F2223"/>
      <c r="G2223"/>
      <c r="H2223" s="19"/>
      <c r="I2223" s="19"/>
      <c r="J2223" s="19"/>
      <c r="M2223" s="7"/>
    </row>
    <row r="2224" spans="2:13" x14ac:dyDescent="0.25">
      <c r="B2224"/>
      <c r="C2224"/>
      <c r="D2224"/>
      <c r="E2224"/>
      <c r="F2224"/>
      <c r="G2224"/>
      <c r="H2224" s="19"/>
      <c r="I2224" s="19"/>
      <c r="J2224" s="19"/>
      <c r="M2224" s="7"/>
    </row>
    <row r="2225" spans="2:13" x14ac:dyDescent="0.25">
      <c r="B2225"/>
      <c r="C2225"/>
      <c r="D2225"/>
      <c r="E2225"/>
      <c r="F2225"/>
      <c r="G2225"/>
      <c r="H2225" s="19"/>
      <c r="I2225" s="19"/>
      <c r="J2225" s="19"/>
      <c r="M2225" s="7"/>
    </row>
    <row r="2226" spans="2:13" x14ac:dyDescent="0.25">
      <c r="B2226"/>
      <c r="C2226"/>
      <c r="D2226"/>
      <c r="E2226"/>
      <c r="F2226"/>
      <c r="G2226"/>
      <c r="H2226" s="19"/>
      <c r="I2226" s="19"/>
      <c r="J2226" s="19"/>
      <c r="M2226" s="7"/>
    </row>
    <row r="2227" spans="2:13" x14ac:dyDescent="0.25">
      <c r="B2227"/>
      <c r="C2227"/>
      <c r="D2227"/>
      <c r="E2227"/>
      <c r="F2227"/>
      <c r="G2227"/>
      <c r="H2227" s="19"/>
      <c r="I2227" s="19"/>
      <c r="J2227" s="19"/>
      <c r="M2227" s="7"/>
    </row>
    <row r="2228" spans="2:13" x14ac:dyDescent="0.25">
      <c r="B2228"/>
      <c r="C2228"/>
      <c r="D2228"/>
      <c r="E2228"/>
      <c r="F2228"/>
      <c r="G2228"/>
      <c r="H2228" s="19"/>
      <c r="I2228" s="19"/>
      <c r="J2228" s="19"/>
      <c r="M2228" s="7"/>
    </row>
    <row r="2229" spans="2:13" x14ac:dyDescent="0.25">
      <c r="B2229"/>
      <c r="C2229"/>
      <c r="D2229"/>
      <c r="E2229"/>
      <c r="F2229"/>
      <c r="G2229"/>
      <c r="H2229" s="19"/>
      <c r="I2229" s="19"/>
      <c r="J2229" s="19"/>
      <c r="M2229" s="7"/>
    </row>
    <row r="2230" spans="2:13" x14ac:dyDescent="0.25">
      <c r="B2230"/>
      <c r="C2230"/>
      <c r="D2230"/>
      <c r="E2230"/>
      <c r="F2230"/>
      <c r="G2230"/>
      <c r="H2230" s="19"/>
      <c r="I2230" s="19"/>
      <c r="J2230" s="19"/>
      <c r="M2230" s="7"/>
    </row>
    <row r="2231" spans="2:13" x14ac:dyDescent="0.25">
      <c r="B2231"/>
      <c r="C2231"/>
      <c r="D2231"/>
      <c r="E2231"/>
      <c r="F2231"/>
      <c r="G2231"/>
      <c r="H2231" s="19"/>
      <c r="I2231" s="19"/>
      <c r="J2231" s="19"/>
      <c r="M2231" s="7"/>
    </row>
    <row r="2232" spans="2:13" x14ac:dyDescent="0.25">
      <c r="B2232"/>
      <c r="C2232"/>
      <c r="D2232"/>
      <c r="E2232"/>
      <c r="F2232"/>
      <c r="G2232"/>
      <c r="H2232" s="19"/>
      <c r="I2232" s="19"/>
      <c r="J2232" s="19"/>
      <c r="M2232" s="7"/>
    </row>
    <row r="2233" spans="2:13" x14ac:dyDescent="0.25">
      <c r="B2233"/>
      <c r="C2233"/>
      <c r="D2233"/>
      <c r="E2233"/>
      <c r="F2233"/>
      <c r="G2233"/>
      <c r="H2233" s="19"/>
      <c r="I2233" s="19"/>
      <c r="J2233" s="19"/>
      <c r="M2233" s="7"/>
    </row>
    <row r="2234" spans="2:13" x14ac:dyDescent="0.25">
      <c r="B2234"/>
      <c r="C2234"/>
      <c r="D2234"/>
      <c r="E2234"/>
      <c r="F2234"/>
      <c r="G2234"/>
      <c r="H2234" s="19"/>
      <c r="I2234" s="19"/>
      <c r="J2234" s="19"/>
      <c r="M2234" s="7"/>
    </row>
    <row r="2235" spans="2:13" x14ac:dyDescent="0.25">
      <c r="B2235"/>
      <c r="C2235"/>
      <c r="D2235"/>
      <c r="E2235"/>
      <c r="F2235"/>
      <c r="G2235"/>
      <c r="H2235" s="19"/>
      <c r="I2235" s="19"/>
      <c r="J2235" s="19"/>
      <c r="M2235" s="7"/>
    </row>
    <row r="2236" spans="2:13" x14ac:dyDescent="0.25">
      <c r="B2236"/>
      <c r="C2236"/>
      <c r="D2236"/>
      <c r="E2236"/>
      <c r="F2236"/>
      <c r="G2236"/>
      <c r="H2236" s="19"/>
      <c r="I2236" s="19"/>
      <c r="J2236" s="19"/>
      <c r="M2236" s="7"/>
    </row>
    <row r="2237" spans="2:13" x14ac:dyDescent="0.25">
      <c r="B2237"/>
      <c r="C2237"/>
      <c r="D2237"/>
      <c r="E2237"/>
      <c r="F2237"/>
      <c r="G2237"/>
      <c r="H2237" s="19"/>
      <c r="I2237" s="19"/>
      <c r="J2237" s="19"/>
      <c r="M2237" s="7"/>
    </row>
    <row r="2238" spans="2:13" x14ac:dyDescent="0.25">
      <c r="B2238"/>
      <c r="C2238"/>
      <c r="D2238"/>
      <c r="E2238"/>
      <c r="F2238"/>
      <c r="G2238"/>
      <c r="H2238" s="19"/>
      <c r="I2238" s="19"/>
      <c r="J2238" s="19"/>
      <c r="M2238" s="7"/>
    </row>
    <row r="2239" spans="2:13" x14ac:dyDescent="0.25">
      <c r="B2239"/>
      <c r="C2239"/>
      <c r="D2239"/>
      <c r="E2239"/>
      <c r="F2239"/>
      <c r="G2239"/>
      <c r="H2239" s="19"/>
      <c r="I2239" s="19"/>
      <c r="J2239" s="19"/>
      <c r="M2239" s="7"/>
    </row>
    <row r="2240" spans="2:13" x14ac:dyDescent="0.25">
      <c r="B2240"/>
      <c r="C2240"/>
      <c r="D2240"/>
      <c r="E2240"/>
      <c r="F2240"/>
      <c r="G2240"/>
      <c r="H2240" s="19"/>
      <c r="I2240" s="19"/>
      <c r="J2240" s="19"/>
      <c r="M2240" s="7"/>
    </row>
    <row r="2241" spans="2:13" x14ac:dyDescent="0.25">
      <c r="B2241"/>
      <c r="C2241"/>
      <c r="D2241"/>
      <c r="E2241"/>
      <c r="F2241"/>
      <c r="G2241"/>
      <c r="H2241" s="19"/>
      <c r="I2241" s="19"/>
      <c r="J2241" s="19"/>
      <c r="M2241" s="7"/>
    </row>
    <row r="2242" spans="2:13" x14ac:dyDescent="0.25">
      <c r="B2242"/>
      <c r="C2242"/>
      <c r="D2242"/>
      <c r="E2242"/>
      <c r="F2242"/>
      <c r="G2242"/>
      <c r="H2242" s="19"/>
      <c r="I2242" s="19"/>
      <c r="J2242" s="19"/>
      <c r="M2242" s="7"/>
    </row>
    <row r="2243" spans="2:13" x14ac:dyDescent="0.25">
      <c r="B2243"/>
      <c r="C2243"/>
      <c r="D2243"/>
      <c r="E2243"/>
      <c r="F2243"/>
      <c r="G2243"/>
      <c r="H2243" s="19"/>
      <c r="I2243" s="19"/>
      <c r="J2243" s="19"/>
      <c r="M2243" s="7"/>
    </row>
    <row r="2244" spans="2:13" x14ac:dyDescent="0.25">
      <c r="B2244"/>
      <c r="C2244"/>
      <c r="D2244"/>
      <c r="E2244"/>
      <c r="F2244"/>
      <c r="G2244"/>
      <c r="H2244" s="19"/>
      <c r="I2244" s="19"/>
      <c r="J2244" s="19"/>
      <c r="M2244" s="7"/>
    </row>
    <row r="2245" spans="2:13" x14ac:dyDescent="0.25">
      <c r="B2245"/>
      <c r="C2245"/>
      <c r="D2245"/>
      <c r="E2245"/>
      <c r="F2245"/>
      <c r="G2245"/>
      <c r="H2245" s="19"/>
      <c r="I2245" s="19"/>
      <c r="J2245" s="19"/>
      <c r="M2245" s="7"/>
    </row>
    <row r="2246" spans="2:13" x14ac:dyDescent="0.25">
      <c r="B2246"/>
      <c r="C2246"/>
      <c r="D2246"/>
      <c r="E2246"/>
      <c r="F2246"/>
      <c r="G2246"/>
      <c r="H2246" s="19"/>
      <c r="I2246" s="19"/>
      <c r="J2246" s="19"/>
      <c r="M2246" s="7"/>
    </row>
    <row r="2247" spans="2:13" x14ac:dyDescent="0.25">
      <c r="B2247"/>
      <c r="C2247"/>
      <c r="D2247"/>
      <c r="E2247"/>
      <c r="F2247"/>
      <c r="G2247"/>
      <c r="H2247" s="19"/>
      <c r="I2247" s="19"/>
      <c r="J2247" s="19"/>
      <c r="M2247" s="7"/>
    </row>
    <row r="2248" spans="2:13" x14ac:dyDescent="0.25">
      <c r="B2248"/>
      <c r="C2248"/>
      <c r="D2248"/>
      <c r="E2248"/>
      <c r="F2248"/>
      <c r="G2248"/>
      <c r="H2248" s="19"/>
      <c r="I2248" s="19"/>
      <c r="J2248" s="19"/>
      <c r="M2248" s="7"/>
    </row>
    <row r="2249" spans="2:13" x14ac:dyDescent="0.25">
      <c r="B2249"/>
      <c r="C2249"/>
      <c r="D2249"/>
      <c r="E2249"/>
      <c r="F2249"/>
      <c r="G2249"/>
      <c r="H2249" s="19"/>
      <c r="I2249" s="19"/>
      <c r="J2249" s="19"/>
      <c r="M2249" s="7"/>
    </row>
    <row r="2250" spans="2:13" x14ac:dyDescent="0.25">
      <c r="B2250"/>
      <c r="C2250"/>
      <c r="D2250"/>
      <c r="E2250"/>
      <c r="F2250"/>
      <c r="G2250"/>
      <c r="H2250" s="19"/>
      <c r="I2250" s="19"/>
      <c r="J2250" s="19"/>
      <c r="M2250" s="7"/>
    </row>
    <row r="2251" spans="2:13" x14ac:dyDescent="0.25">
      <c r="B2251"/>
      <c r="C2251"/>
      <c r="D2251"/>
      <c r="E2251"/>
      <c r="F2251"/>
      <c r="G2251"/>
      <c r="H2251" s="19"/>
      <c r="I2251" s="19"/>
      <c r="J2251" s="19"/>
      <c r="M2251" s="7"/>
    </row>
    <row r="2252" spans="2:13" x14ac:dyDescent="0.25">
      <c r="B2252"/>
      <c r="C2252"/>
      <c r="D2252"/>
      <c r="E2252"/>
      <c r="F2252"/>
      <c r="G2252"/>
      <c r="H2252" s="19"/>
      <c r="I2252" s="19"/>
      <c r="J2252" s="19"/>
      <c r="M2252" s="7"/>
    </row>
    <row r="2253" spans="2:13" x14ac:dyDescent="0.25">
      <c r="B2253"/>
      <c r="C2253"/>
      <c r="D2253"/>
      <c r="E2253"/>
      <c r="F2253"/>
      <c r="G2253"/>
      <c r="H2253" s="19"/>
      <c r="I2253" s="19"/>
      <c r="J2253" s="19"/>
      <c r="M2253" s="7"/>
    </row>
    <row r="2254" spans="2:13" x14ac:dyDescent="0.25">
      <c r="B2254"/>
      <c r="C2254"/>
      <c r="D2254"/>
      <c r="E2254"/>
      <c r="F2254"/>
      <c r="G2254"/>
      <c r="H2254" s="19"/>
      <c r="I2254" s="19"/>
      <c r="J2254" s="19"/>
      <c r="M2254" s="7"/>
    </row>
    <row r="2255" spans="2:13" x14ac:dyDescent="0.25">
      <c r="B2255"/>
      <c r="C2255"/>
      <c r="D2255"/>
      <c r="E2255"/>
      <c r="F2255"/>
      <c r="G2255"/>
      <c r="H2255" s="19"/>
      <c r="I2255" s="19"/>
      <c r="J2255" s="19"/>
      <c r="M2255" s="7"/>
    </row>
    <row r="2256" spans="2:13" x14ac:dyDescent="0.25">
      <c r="B2256"/>
      <c r="C2256"/>
      <c r="D2256"/>
      <c r="E2256"/>
      <c r="F2256"/>
      <c r="G2256"/>
      <c r="H2256" s="19"/>
      <c r="I2256" s="19"/>
      <c r="J2256" s="19"/>
      <c r="M2256" s="7"/>
    </row>
    <row r="2257" spans="2:13" x14ac:dyDescent="0.25">
      <c r="B2257"/>
      <c r="C2257"/>
      <c r="D2257"/>
      <c r="E2257"/>
      <c r="F2257"/>
      <c r="G2257"/>
      <c r="H2257" s="19"/>
      <c r="I2257" s="19"/>
      <c r="J2257" s="19"/>
      <c r="M2257" s="7"/>
    </row>
    <row r="2258" spans="2:13" x14ac:dyDescent="0.25">
      <c r="B2258"/>
      <c r="C2258"/>
      <c r="D2258"/>
      <c r="E2258"/>
      <c r="F2258"/>
      <c r="G2258"/>
      <c r="H2258" s="19"/>
      <c r="I2258" s="19"/>
      <c r="J2258" s="19"/>
      <c r="M2258" s="7"/>
    </row>
    <row r="2259" spans="2:13" x14ac:dyDescent="0.25">
      <c r="B2259"/>
      <c r="C2259"/>
      <c r="D2259"/>
      <c r="E2259"/>
      <c r="F2259"/>
      <c r="G2259"/>
      <c r="H2259" s="19"/>
      <c r="I2259" s="19"/>
      <c r="J2259" s="19"/>
      <c r="M2259" s="7"/>
    </row>
    <row r="2260" spans="2:13" x14ac:dyDescent="0.25">
      <c r="B2260"/>
      <c r="C2260"/>
      <c r="D2260"/>
      <c r="E2260"/>
      <c r="F2260"/>
      <c r="G2260"/>
      <c r="H2260" s="19"/>
      <c r="I2260" s="19"/>
      <c r="J2260" s="19"/>
      <c r="M2260" s="7"/>
    </row>
    <row r="2261" spans="2:13" x14ac:dyDescent="0.25">
      <c r="B2261"/>
      <c r="C2261"/>
      <c r="D2261"/>
      <c r="E2261"/>
      <c r="F2261"/>
      <c r="G2261"/>
      <c r="H2261" s="19"/>
      <c r="I2261" s="19"/>
      <c r="J2261" s="19"/>
      <c r="M2261" s="7"/>
    </row>
    <row r="2262" spans="2:13" x14ac:dyDescent="0.25">
      <c r="B2262"/>
      <c r="C2262"/>
      <c r="D2262"/>
      <c r="E2262"/>
      <c r="F2262"/>
      <c r="G2262"/>
      <c r="H2262" s="19"/>
      <c r="I2262" s="19"/>
      <c r="J2262" s="19"/>
      <c r="M2262" s="7"/>
    </row>
    <row r="2263" spans="2:13" x14ac:dyDescent="0.25">
      <c r="B2263"/>
      <c r="C2263"/>
      <c r="D2263"/>
      <c r="E2263"/>
      <c r="F2263"/>
      <c r="G2263"/>
      <c r="H2263" s="19"/>
      <c r="I2263" s="19"/>
      <c r="J2263" s="19"/>
      <c r="M2263" s="7"/>
    </row>
    <row r="2264" spans="2:13" x14ac:dyDescent="0.25">
      <c r="B2264"/>
      <c r="C2264"/>
      <c r="D2264"/>
      <c r="E2264"/>
      <c r="F2264"/>
      <c r="G2264"/>
      <c r="H2264" s="19"/>
      <c r="I2264" s="19"/>
      <c r="J2264" s="19"/>
      <c r="M2264" s="7"/>
    </row>
    <row r="2265" spans="2:13" x14ac:dyDescent="0.25">
      <c r="B2265"/>
      <c r="C2265"/>
      <c r="D2265"/>
      <c r="E2265"/>
      <c r="F2265"/>
      <c r="G2265"/>
      <c r="H2265" s="19"/>
      <c r="I2265" s="19"/>
      <c r="J2265" s="19"/>
      <c r="M2265" s="7"/>
    </row>
    <row r="2266" spans="2:13" x14ac:dyDescent="0.25">
      <c r="B2266"/>
      <c r="C2266"/>
      <c r="D2266"/>
      <c r="E2266"/>
      <c r="F2266"/>
      <c r="G2266"/>
      <c r="H2266" s="19"/>
      <c r="I2266" s="19"/>
      <c r="J2266" s="19"/>
      <c r="M2266" s="7"/>
    </row>
    <row r="2267" spans="2:13" x14ac:dyDescent="0.25">
      <c r="B2267"/>
      <c r="C2267"/>
      <c r="D2267"/>
      <c r="E2267"/>
      <c r="F2267"/>
      <c r="G2267"/>
      <c r="H2267" s="19"/>
      <c r="I2267" s="19"/>
      <c r="J2267" s="19"/>
      <c r="M2267" s="7"/>
    </row>
    <row r="2268" spans="2:13" x14ac:dyDescent="0.25">
      <c r="B2268"/>
      <c r="C2268"/>
      <c r="D2268"/>
      <c r="E2268"/>
      <c r="F2268"/>
      <c r="G2268"/>
      <c r="H2268" s="19"/>
      <c r="I2268" s="19"/>
      <c r="J2268" s="19"/>
      <c r="M2268" s="7"/>
    </row>
    <row r="2269" spans="2:13" x14ac:dyDescent="0.25">
      <c r="B2269"/>
      <c r="C2269"/>
      <c r="D2269"/>
      <c r="E2269"/>
      <c r="F2269"/>
      <c r="G2269"/>
      <c r="H2269" s="19"/>
      <c r="I2269" s="19"/>
      <c r="J2269" s="19"/>
      <c r="M2269" s="7"/>
    </row>
    <row r="2270" spans="2:13" x14ac:dyDescent="0.25">
      <c r="B2270"/>
      <c r="C2270"/>
      <c r="D2270"/>
      <c r="E2270"/>
      <c r="F2270"/>
      <c r="G2270"/>
      <c r="H2270" s="19"/>
      <c r="I2270" s="19"/>
      <c r="J2270" s="19"/>
      <c r="M2270" s="7"/>
    </row>
    <row r="2271" spans="2:13" x14ac:dyDescent="0.25">
      <c r="B2271"/>
      <c r="C2271"/>
      <c r="D2271"/>
      <c r="E2271"/>
      <c r="F2271"/>
      <c r="G2271"/>
      <c r="H2271" s="19"/>
      <c r="I2271" s="19"/>
      <c r="J2271" s="19"/>
      <c r="M2271" s="7"/>
    </row>
    <row r="2272" spans="2:13" x14ac:dyDescent="0.25">
      <c r="B2272"/>
      <c r="C2272"/>
      <c r="D2272"/>
      <c r="E2272"/>
      <c r="F2272"/>
      <c r="G2272"/>
      <c r="H2272" s="19"/>
      <c r="I2272" s="19"/>
      <c r="J2272" s="19"/>
      <c r="M2272" s="7"/>
    </row>
    <row r="2273" spans="2:13" x14ac:dyDescent="0.25">
      <c r="B2273"/>
      <c r="C2273"/>
      <c r="D2273"/>
      <c r="E2273"/>
      <c r="F2273"/>
      <c r="G2273"/>
      <c r="H2273" s="19"/>
      <c r="I2273" s="19"/>
      <c r="J2273" s="19"/>
      <c r="M2273" s="7"/>
    </row>
    <row r="2274" spans="2:13" x14ac:dyDescent="0.25">
      <c r="B2274"/>
      <c r="C2274"/>
      <c r="D2274"/>
      <c r="E2274"/>
      <c r="F2274"/>
      <c r="G2274"/>
      <c r="H2274" s="19"/>
      <c r="I2274" s="19"/>
      <c r="J2274" s="19"/>
      <c r="M2274" s="7"/>
    </row>
    <row r="2275" spans="2:13" x14ac:dyDescent="0.25">
      <c r="B2275"/>
      <c r="C2275"/>
      <c r="D2275"/>
      <c r="E2275"/>
      <c r="F2275"/>
      <c r="G2275"/>
      <c r="H2275" s="19"/>
      <c r="I2275" s="19"/>
      <c r="J2275" s="19"/>
      <c r="M2275" s="7"/>
    </row>
    <row r="2276" spans="2:13" x14ac:dyDescent="0.25">
      <c r="B2276"/>
      <c r="C2276"/>
      <c r="D2276"/>
      <c r="E2276"/>
      <c r="F2276"/>
      <c r="G2276"/>
      <c r="H2276" s="19"/>
      <c r="I2276" s="19"/>
      <c r="J2276" s="19"/>
      <c r="M2276" s="7"/>
    </row>
    <row r="2277" spans="2:13" x14ac:dyDescent="0.25">
      <c r="B2277"/>
      <c r="C2277"/>
      <c r="D2277"/>
      <c r="E2277"/>
      <c r="F2277"/>
      <c r="G2277"/>
      <c r="H2277" s="19"/>
      <c r="I2277" s="19"/>
      <c r="J2277" s="19"/>
      <c r="M2277" s="7"/>
    </row>
    <row r="2278" spans="2:13" x14ac:dyDescent="0.25">
      <c r="B2278"/>
      <c r="C2278"/>
      <c r="D2278"/>
      <c r="E2278"/>
      <c r="F2278"/>
      <c r="G2278"/>
      <c r="H2278" s="19"/>
      <c r="I2278" s="19"/>
      <c r="J2278" s="19"/>
      <c r="M2278" s="7"/>
    </row>
    <row r="2279" spans="2:13" x14ac:dyDescent="0.25">
      <c r="B2279"/>
      <c r="C2279"/>
      <c r="D2279"/>
      <c r="E2279"/>
      <c r="F2279"/>
      <c r="G2279"/>
      <c r="H2279" s="19"/>
      <c r="I2279" s="19"/>
      <c r="J2279" s="19"/>
      <c r="M2279" s="7"/>
    </row>
    <row r="2280" spans="2:13" x14ac:dyDescent="0.25">
      <c r="B2280"/>
      <c r="C2280"/>
      <c r="D2280"/>
      <c r="E2280"/>
      <c r="F2280"/>
      <c r="G2280"/>
      <c r="H2280" s="19"/>
      <c r="I2280" s="19"/>
      <c r="J2280" s="19"/>
      <c r="M2280" s="7"/>
    </row>
    <row r="2281" spans="2:13" x14ac:dyDescent="0.25">
      <c r="B2281"/>
      <c r="C2281"/>
      <c r="D2281"/>
      <c r="E2281"/>
      <c r="F2281"/>
      <c r="G2281"/>
      <c r="H2281" s="19"/>
      <c r="I2281" s="19"/>
      <c r="J2281" s="19"/>
      <c r="M2281" s="7"/>
    </row>
    <row r="2282" spans="2:13" x14ac:dyDescent="0.25">
      <c r="B2282"/>
      <c r="C2282"/>
      <c r="D2282"/>
      <c r="E2282"/>
      <c r="F2282"/>
      <c r="G2282"/>
      <c r="H2282" s="19"/>
      <c r="I2282" s="19"/>
      <c r="J2282" s="19"/>
      <c r="M2282" s="7"/>
    </row>
    <row r="2283" spans="2:13" x14ac:dyDescent="0.25">
      <c r="B2283"/>
      <c r="C2283"/>
      <c r="D2283"/>
      <c r="E2283"/>
      <c r="F2283"/>
      <c r="G2283"/>
      <c r="H2283" s="19"/>
      <c r="I2283" s="19"/>
      <c r="J2283" s="19"/>
      <c r="M2283" s="7"/>
    </row>
    <row r="2284" spans="2:13" x14ac:dyDescent="0.25">
      <c r="B2284"/>
      <c r="C2284"/>
      <c r="D2284"/>
      <c r="E2284"/>
      <c r="F2284"/>
      <c r="G2284"/>
      <c r="H2284" s="19"/>
      <c r="I2284" s="19"/>
      <c r="J2284" s="19"/>
      <c r="M2284" s="7"/>
    </row>
    <row r="2285" spans="2:13" x14ac:dyDescent="0.25">
      <c r="B2285"/>
      <c r="C2285"/>
      <c r="D2285"/>
      <c r="E2285"/>
      <c r="F2285"/>
      <c r="G2285"/>
      <c r="H2285" s="19"/>
      <c r="I2285" s="19"/>
      <c r="J2285" s="19"/>
      <c r="M2285" s="7"/>
    </row>
    <row r="2286" spans="2:13" x14ac:dyDescent="0.25">
      <c r="B2286"/>
      <c r="C2286"/>
      <c r="D2286"/>
      <c r="E2286"/>
      <c r="F2286"/>
      <c r="G2286"/>
      <c r="H2286" s="19"/>
      <c r="I2286" s="19"/>
      <c r="J2286" s="19"/>
      <c r="M2286" s="7"/>
    </row>
    <row r="2287" spans="2:13" x14ac:dyDescent="0.25">
      <c r="B2287"/>
      <c r="C2287"/>
      <c r="D2287"/>
      <c r="E2287"/>
      <c r="F2287"/>
      <c r="G2287"/>
      <c r="H2287" s="19"/>
      <c r="I2287" s="19"/>
      <c r="J2287" s="19"/>
      <c r="M2287" s="7"/>
    </row>
    <row r="2288" spans="2:13" x14ac:dyDescent="0.25">
      <c r="B2288"/>
      <c r="C2288"/>
      <c r="D2288"/>
      <c r="E2288"/>
      <c r="F2288"/>
      <c r="G2288"/>
      <c r="H2288" s="19"/>
      <c r="I2288" s="19"/>
      <c r="J2288" s="19"/>
      <c r="M2288" s="7"/>
    </row>
    <row r="2289" spans="2:13" x14ac:dyDescent="0.25">
      <c r="B2289"/>
      <c r="C2289"/>
      <c r="D2289"/>
      <c r="E2289"/>
      <c r="F2289"/>
      <c r="G2289"/>
      <c r="H2289" s="19"/>
      <c r="I2289" s="19"/>
      <c r="J2289" s="19"/>
      <c r="M2289" s="7"/>
    </row>
    <row r="2290" spans="2:13" x14ac:dyDescent="0.25">
      <c r="B2290"/>
      <c r="C2290"/>
      <c r="D2290"/>
      <c r="E2290"/>
      <c r="F2290"/>
      <c r="G2290"/>
      <c r="H2290" s="19"/>
      <c r="I2290" s="19"/>
      <c r="J2290" s="19"/>
      <c r="M2290" s="7"/>
    </row>
    <row r="2291" spans="2:13" x14ac:dyDescent="0.25">
      <c r="B2291"/>
      <c r="C2291"/>
      <c r="D2291"/>
      <c r="E2291"/>
      <c r="F2291"/>
      <c r="G2291"/>
      <c r="H2291" s="19"/>
      <c r="I2291" s="19"/>
      <c r="J2291" s="19"/>
      <c r="M2291" s="7"/>
    </row>
    <row r="2292" spans="2:13" x14ac:dyDescent="0.25">
      <c r="B2292"/>
      <c r="C2292"/>
      <c r="D2292"/>
      <c r="E2292"/>
      <c r="F2292"/>
      <c r="G2292"/>
      <c r="H2292" s="19"/>
      <c r="I2292" s="19"/>
      <c r="J2292" s="19"/>
      <c r="M2292" s="7"/>
    </row>
    <row r="2293" spans="2:13" x14ac:dyDescent="0.25">
      <c r="B2293"/>
      <c r="C2293"/>
      <c r="D2293"/>
      <c r="E2293"/>
      <c r="F2293"/>
      <c r="G2293"/>
      <c r="H2293" s="19"/>
      <c r="I2293" s="19"/>
      <c r="J2293" s="19"/>
      <c r="M2293" s="7"/>
    </row>
    <row r="2294" spans="2:13" x14ac:dyDescent="0.25">
      <c r="B2294"/>
      <c r="C2294"/>
      <c r="D2294"/>
      <c r="E2294"/>
      <c r="F2294"/>
      <c r="G2294"/>
      <c r="H2294" s="19"/>
      <c r="I2294" s="19"/>
      <c r="J2294" s="19"/>
      <c r="M2294" s="7"/>
    </row>
    <row r="2295" spans="2:13" x14ac:dyDescent="0.25">
      <c r="B2295"/>
      <c r="C2295"/>
      <c r="D2295"/>
      <c r="E2295"/>
      <c r="F2295"/>
      <c r="G2295"/>
      <c r="H2295" s="19"/>
      <c r="I2295" s="19"/>
      <c r="J2295" s="19"/>
      <c r="M2295" s="7"/>
    </row>
    <row r="2296" spans="2:13" x14ac:dyDescent="0.25">
      <c r="B2296"/>
      <c r="C2296"/>
      <c r="D2296"/>
      <c r="E2296"/>
      <c r="F2296"/>
      <c r="G2296"/>
      <c r="H2296" s="19"/>
      <c r="I2296" s="19"/>
      <c r="J2296" s="19"/>
      <c r="M2296" s="7"/>
    </row>
    <row r="2297" spans="2:13" x14ac:dyDescent="0.25">
      <c r="B2297"/>
      <c r="C2297"/>
      <c r="D2297"/>
      <c r="E2297"/>
      <c r="F2297"/>
      <c r="G2297"/>
      <c r="H2297" s="19"/>
      <c r="I2297" s="19"/>
      <c r="J2297" s="19"/>
      <c r="M2297" s="7"/>
    </row>
    <row r="2298" spans="2:13" x14ac:dyDescent="0.25">
      <c r="B2298"/>
      <c r="C2298"/>
      <c r="D2298"/>
      <c r="E2298"/>
      <c r="F2298"/>
      <c r="G2298"/>
      <c r="H2298" s="19"/>
      <c r="I2298" s="19"/>
      <c r="J2298" s="19"/>
      <c r="M2298" s="7"/>
    </row>
    <row r="2299" spans="2:13" x14ac:dyDescent="0.25">
      <c r="B2299"/>
      <c r="C2299"/>
      <c r="D2299"/>
      <c r="E2299"/>
      <c r="F2299"/>
      <c r="G2299"/>
      <c r="H2299" s="19"/>
      <c r="I2299" s="19"/>
      <c r="J2299" s="19"/>
      <c r="M2299" s="7"/>
    </row>
    <row r="2300" spans="2:13" x14ac:dyDescent="0.25">
      <c r="B2300"/>
      <c r="C2300"/>
      <c r="D2300"/>
      <c r="E2300"/>
      <c r="F2300"/>
      <c r="G2300"/>
      <c r="H2300" s="19"/>
      <c r="I2300" s="19"/>
      <c r="J2300" s="19"/>
      <c r="M2300" s="7"/>
    </row>
    <row r="2301" spans="2:13" x14ac:dyDescent="0.25">
      <c r="B2301"/>
      <c r="C2301"/>
      <c r="D2301"/>
      <c r="E2301"/>
      <c r="F2301"/>
      <c r="G2301"/>
      <c r="H2301" s="19"/>
      <c r="I2301" s="19"/>
      <c r="J2301" s="19"/>
      <c r="M2301" s="7"/>
    </row>
    <row r="2302" spans="2:13" x14ac:dyDescent="0.25">
      <c r="B2302"/>
      <c r="C2302"/>
      <c r="D2302"/>
      <c r="E2302"/>
      <c r="F2302"/>
      <c r="G2302"/>
      <c r="H2302" s="19"/>
      <c r="I2302" s="19"/>
      <c r="J2302" s="19"/>
      <c r="M2302" s="7"/>
    </row>
    <row r="2303" spans="2:13" x14ac:dyDescent="0.25">
      <c r="B2303"/>
      <c r="C2303"/>
      <c r="D2303"/>
      <c r="E2303"/>
      <c r="F2303"/>
      <c r="G2303"/>
      <c r="H2303" s="19"/>
      <c r="I2303" s="19"/>
      <c r="J2303" s="19"/>
      <c r="M2303" s="7"/>
    </row>
    <row r="2304" spans="2:13" x14ac:dyDescent="0.25">
      <c r="B2304"/>
      <c r="C2304"/>
      <c r="D2304"/>
      <c r="E2304"/>
      <c r="F2304"/>
      <c r="G2304"/>
      <c r="H2304" s="19"/>
      <c r="I2304" s="19"/>
      <c r="J2304" s="19"/>
      <c r="M2304" s="7"/>
    </row>
    <row r="2305" spans="2:13" x14ac:dyDescent="0.25">
      <c r="B2305"/>
      <c r="C2305"/>
      <c r="D2305"/>
      <c r="E2305"/>
      <c r="F2305"/>
      <c r="G2305"/>
      <c r="H2305" s="19"/>
      <c r="I2305" s="19"/>
      <c r="J2305" s="19"/>
      <c r="M2305" s="7"/>
    </row>
    <row r="2306" spans="2:13" x14ac:dyDescent="0.25">
      <c r="B2306"/>
      <c r="C2306"/>
      <c r="D2306"/>
      <c r="E2306"/>
      <c r="F2306"/>
      <c r="G2306"/>
      <c r="H2306" s="19"/>
      <c r="I2306" s="19"/>
      <c r="J2306" s="19"/>
      <c r="M2306" s="7"/>
    </row>
    <row r="2307" spans="2:13" x14ac:dyDescent="0.25">
      <c r="B2307"/>
      <c r="C2307"/>
      <c r="D2307"/>
      <c r="E2307"/>
      <c r="F2307"/>
      <c r="G2307"/>
      <c r="H2307" s="19"/>
      <c r="I2307" s="19"/>
      <c r="J2307" s="19"/>
      <c r="M2307" s="7"/>
    </row>
    <row r="2308" spans="2:13" x14ac:dyDescent="0.25">
      <c r="B2308"/>
      <c r="C2308"/>
      <c r="D2308"/>
      <c r="E2308"/>
      <c r="F2308"/>
      <c r="G2308"/>
      <c r="H2308" s="19"/>
      <c r="I2308" s="19"/>
      <c r="J2308" s="19"/>
      <c r="M2308" s="7"/>
    </row>
    <row r="2309" spans="2:13" x14ac:dyDescent="0.25">
      <c r="B2309"/>
      <c r="C2309"/>
      <c r="D2309"/>
      <c r="E2309"/>
      <c r="F2309"/>
      <c r="G2309"/>
      <c r="H2309" s="19"/>
      <c r="I2309" s="19"/>
      <c r="J2309" s="19"/>
      <c r="M2309" s="7"/>
    </row>
    <row r="2310" spans="2:13" x14ac:dyDescent="0.25">
      <c r="B2310"/>
      <c r="C2310"/>
      <c r="D2310"/>
      <c r="E2310"/>
      <c r="F2310"/>
      <c r="G2310"/>
      <c r="H2310" s="19"/>
      <c r="I2310" s="19"/>
      <c r="J2310" s="19"/>
      <c r="M2310" s="7"/>
    </row>
    <row r="2311" spans="2:13" x14ac:dyDescent="0.25">
      <c r="B2311"/>
      <c r="C2311"/>
      <c r="D2311"/>
      <c r="E2311"/>
      <c r="F2311"/>
      <c r="G2311"/>
      <c r="H2311" s="19"/>
      <c r="I2311" s="19"/>
      <c r="J2311" s="19"/>
      <c r="M2311" s="7"/>
    </row>
    <row r="2312" spans="2:13" x14ac:dyDescent="0.25">
      <c r="B2312"/>
      <c r="C2312"/>
      <c r="D2312"/>
      <c r="E2312"/>
      <c r="F2312"/>
      <c r="G2312"/>
      <c r="H2312" s="19"/>
      <c r="I2312" s="19"/>
      <c r="J2312" s="19"/>
      <c r="M2312" s="7"/>
    </row>
    <row r="2313" spans="2:13" x14ac:dyDescent="0.25">
      <c r="B2313"/>
      <c r="C2313"/>
      <c r="D2313"/>
      <c r="E2313"/>
      <c r="F2313"/>
      <c r="G2313"/>
      <c r="H2313" s="19"/>
      <c r="I2313" s="19"/>
      <c r="J2313" s="19"/>
      <c r="M2313" s="7"/>
    </row>
    <row r="2314" spans="2:13" x14ac:dyDescent="0.25">
      <c r="B2314"/>
      <c r="C2314"/>
      <c r="D2314"/>
      <c r="E2314"/>
      <c r="F2314"/>
      <c r="G2314"/>
      <c r="H2314" s="19"/>
      <c r="I2314" s="19"/>
      <c r="J2314" s="19"/>
      <c r="M2314" s="7"/>
    </row>
    <row r="2315" spans="2:13" x14ac:dyDescent="0.25">
      <c r="B2315"/>
      <c r="C2315"/>
      <c r="D2315"/>
      <c r="E2315"/>
      <c r="F2315"/>
      <c r="G2315"/>
      <c r="H2315" s="19"/>
      <c r="I2315" s="19"/>
      <c r="J2315" s="19"/>
      <c r="M2315" s="7"/>
    </row>
    <row r="2316" spans="2:13" x14ac:dyDescent="0.25">
      <c r="B2316"/>
      <c r="C2316"/>
      <c r="D2316"/>
      <c r="E2316"/>
      <c r="F2316"/>
      <c r="G2316"/>
      <c r="H2316" s="19"/>
      <c r="I2316" s="19"/>
      <c r="J2316" s="19"/>
      <c r="M2316" s="7"/>
    </row>
    <row r="2317" spans="2:13" x14ac:dyDescent="0.25">
      <c r="B2317"/>
      <c r="C2317"/>
      <c r="D2317"/>
      <c r="E2317"/>
      <c r="F2317"/>
      <c r="G2317"/>
      <c r="H2317" s="19"/>
      <c r="I2317" s="19"/>
      <c r="J2317" s="19"/>
      <c r="M2317" s="7"/>
    </row>
    <row r="2318" spans="2:13" x14ac:dyDescent="0.25">
      <c r="B2318"/>
      <c r="C2318"/>
      <c r="D2318"/>
      <c r="E2318"/>
      <c r="F2318"/>
      <c r="G2318"/>
      <c r="H2318" s="19"/>
      <c r="I2318" s="19"/>
      <c r="J2318" s="19"/>
      <c r="M2318" s="7"/>
    </row>
    <row r="2319" spans="2:13" x14ac:dyDescent="0.25">
      <c r="B2319"/>
      <c r="C2319"/>
      <c r="D2319"/>
      <c r="E2319"/>
      <c r="F2319"/>
      <c r="G2319"/>
      <c r="H2319" s="19"/>
      <c r="I2319" s="19"/>
      <c r="J2319" s="19"/>
      <c r="M2319" s="7"/>
    </row>
    <row r="2320" spans="2:13" x14ac:dyDescent="0.25">
      <c r="B2320"/>
      <c r="C2320"/>
      <c r="D2320"/>
      <c r="E2320"/>
      <c r="F2320"/>
      <c r="G2320"/>
      <c r="H2320" s="19"/>
      <c r="I2320" s="19"/>
      <c r="J2320" s="19"/>
      <c r="M2320" s="7"/>
    </row>
    <row r="2321" spans="2:13" x14ac:dyDescent="0.25">
      <c r="B2321"/>
      <c r="C2321"/>
      <c r="D2321"/>
      <c r="E2321"/>
      <c r="F2321"/>
      <c r="G2321"/>
      <c r="H2321" s="19"/>
      <c r="I2321" s="19"/>
      <c r="J2321" s="19"/>
      <c r="M2321" s="7"/>
    </row>
    <row r="2322" spans="2:13" x14ac:dyDescent="0.25">
      <c r="B2322"/>
      <c r="C2322"/>
      <c r="D2322"/>
      <c r="E2322"/>
      <c r="F2322"/>
      <c r="G2322"/>
      <c r="H2322" s="19"/>
      <c r="I2322" s="19"/>
      <c r="J2322" s="19"/>
      <c r="M2322" s="7"/>
    </row>
    <row r="2323" spans="2:13" x14ac:dyDescent="0.25">
      <c r="B2323"/>
      <c r="C2323"/>
      <c r="D2323"/>
      <c r="E2323"/>
      <c r="F2323"/>
      <c r="G2323"/>
      <c r="H2323" s="19"/>
      <c r="I2323" s="19"/>
      <c r="J2323" s="19"/>
      <c r="M2323" s="7"/>
    </row>
    <row r="2324" spans="2:13" x14ac:dyDescent="0.25">
      <c r="B2324"/>
      <c r="C2324"/>
      <c r="D2324"/>
      <c r="E2324"/>
      <c r="F2324"/>
      <c r="G2324"/>
      <c r="H2324" s="19"/>
      <c r="I2324" s="19"/>
      <c r="J2324" s="19"/>
      <c r="M2324" s="7"/>
    </row>
    <row r="2325" spans="2:13" x14ac:dyDescent="0.25">
      <c r="B2325"/>
      <c r="C2325"/>
      <c r="D2325"/>
      <c r="E2325"/>
      <c r="F2325"/>
      <c r="G2325"/>
      <c r="H2325" s="19"/>
      <c r="I2325" s="19"/>
      <c r="J2325" s="19"/>
      <c r="M2325" s="7"/>
    </row>
    <row r="2326" spans="2:13" x14ac:dyDescent="0.25">
      <c r="B2326"/>
      <c r="C2326"/>
      <c r="D2326"/>
      <c r="E2326"/>
      <c r="F2326"/>
      <c r="G2326"/>
      <c r="H2326" s="19"/>
      <c r="I2326" s="19"/>
      <c r="J2326" s="19"/>
      <c r="M2326" s="7"/>
    </row>
    <row r="2327" spans="2:13" x14ac:dyDescent="0.25">
      <c r="B2327"/>
      <c r="C2327"/>
      <c r="D2327"/>
      <c r="E2327"/>
      <c r="F2327"/>
      <c r="G2327"/>
      <c r="H2327" s="19"/>
      <c r="I2327" s="19"/>
      <c r="J2327" s="19"/>
      <c r="M2327" s="7"/>
    </row>
    <row r="2328" spans="2:13" x14ac:dyDescent="0.25">
      <c r="B2328"/>
      <c r="C2328"/>
      <c r="D2328"/>
      <c r="E2328"/>
      <c r="F2328"/>
      <c r="G2328"/>
      <c r="H2328" s="19"/>
      <c r="I2328" s="19"/>
      <c r="J2328" s="19"/>
      <c r="M2328" s="7"/>
    </row>
    <row r="2329" spans="2:13" x14ac:dyDescent="0.25">
      <c r="B2329"/>
      <c r="C2329"/>
      <c r="D2329"/>
      <c r="E2329"/>
      <c r="F2329"/>
      <c r="G2329"/>
      <c r="H2329" s="19"/>
      <c r="I2329" s="19"/>
      <c r="J2329" s="19"/>
      <c r="M2329" s="7"/>
    </row>
    <row r="2330" spans="2:13" x14ac:dyDescent="0.25">
      <c r="B2330"/>
      <c r="C2330"/>
      <c r="D2330"/>
      <c r="E2330"/>
      <c r="F2330"/>
      <c r="G2330"/>
      <c r="H2330" s="19"/>
      <c r="I2330" s="19"/>
      <c r="J2330" s="19"/>
      <c r="M2330" s="7"/>
    </row>
    <row r="2331" spans="2:13" x14ac:dyDescent="0.25">
      <c r="B2331"/>
      <c r="C2331"/>
      <c r="D2331"/>
      <c r="E2331"/>
      <c r="F2331"/>
      <c r="G2331"/>
      <c r="H2331" s="19"/>
      <c r="I2331" s="19"/>
      <c r="J2331" s="19"/>
      <c r="M2331" s="7"/>
    </row>
    <row r="2332" spans="2:13" x14ac:dyDescent="0.25">
      <c r="B2332"/>
      <c r="C2332"/>
      <c r="D2332"/>
      <c r="E2332"/>
      <c r="F2332"/>
      <c r="G2332"/>
      <c r="H2332" s="19"/>
      <c r="I2332" s="19"/>
      <c r="J2332" s="19"/>
      <c r="M2332" s="7"/>
    </row>
    <row r="2333" spans="2:13" x14ac:dyDescent="0.25">
      <c r="B2333"/>
      <c r="C2333"/>
      <c r="D2333"/>
      <c r="E2333"/>
      <c r="F2333"/>
      <c r="G2333"/>
      <c r="H2333" s="19"/>
      <c r="I2333" s="19"/>
      <c r="J2333" s="19"/>
      <c r="M2333" s="7"/>
    </row>
    <row r="2334" spans="2:13" x14ac:dyDescent="0.25">
      <c r="B2334"/>
      <c r="C2334"/>
      <c r="D2334"/>
      <c r="E2334"/>
      <c r="F2334"/>
      <c r="G2334"/>
      <c r="H2334" s="19"/>
      <c r="I2334" s="19"/>
      <c r="J2334" s="19"/>
      <c r="M2334" s="7"/>
    </row>
    <row r="2335" spans="2:13" x14ac:dyDescent="0.25">
      <c r="B2335"/>
      <c r="C2335"/>
      <c r="D2335"/>
      <c r="E2335"/>
      <c r="F2335"/>
      <c r="G2335"/>
      <c r="H2335" s="19"/>
      <c r="I2335" s="19"/>
      <c r="J2335" s="19"/>
      <c r="M2335" s="7"/>
    </row>
    <row r="2336" spans="2:13" x14ac:dyDescent="0.25">
      <c r="B2336"/>
      <c r="C2336"/>
      <c r="D2336"/>
      <c r="E2336"/>
      <c r="F2336"/>
      <c r="G2336"/>
      <c r="H2336" s="19"/>
      <c r="I2336" s="19"/>
      <c r="J2336" s="19"/>
      <c r="M2336" s="7"/>
    </row>
    <row r="2337" spans="2:13" x14ac:dyDescent="0.25">
      <c r="B2337"/>
      <c r="C2337"/>
      <c r="D2337"/>
      <c r="E2337"/>
      <c r="F2337"/>
      <c r="G2337"/>
      <c r="H2337" s="19"/>
      <c r="I2337" s="19"/>
      <c r="J2337" s="19"/>
      <c r="M2337" s="7"/>
    </row>
    <row r="2338" spans="2:13" x14ac:dyDescent="0.25">
      <c r="B2338"/>
      <c r="C2338"/>
      <c r="D2338"/>
      <c r="E2338"/>
      <c r="F2338"/>
      <c r="G2338"/>
      <c r="H2338" s="19"/>
      <c r="I2338" s="19"/>
      <c r="J2338" s="19"/>
      <c r="M2338" s="7"/>
    </row>
    <row r="2339" spans="2:13" x14ac:dyDescent="0.25">
      <c r="B2339"/>
      <c r="C2339"/>
      <c r="D2339"/>
      <c r="E2339"/>
      <c r="F2339"/>
      <c r="G2339"/>
      <c r="H2339" s="19"/>
      <c r="I2339" s="19"/>
      <c r="J2339" s="19"/>
      <c r="M2339" s="7"/>
    </row>
    <row r="2340" spans="2:13" x14ac:dyDescent="0.25">
      <c r="B2340"/>
      <c r="C2340"/>
      <c r="D2340"/>
      <c r="E2340"/>
      <c r="F2340"/>
      <c r="G2340"/>
      <c r="H2340" s="19"/>
      <c r="I2340" s="19"/>
      <c r="J2340" s="19"/>
      <c r="M2340" s="7"/>
    </row>
    <row r="2341" spans="2:13" x14ac:dyDescent="0.25">
      <c r="B2341"/>
      <c r="C2341"/>
      <c r="D2341"/>
      <c r="E2341"/>
      <c r="F2341"/>
      <c r="G2341"/>
      <c r="H2341" s="19"/>
      <c r="I2341" s="19"/>
      <c r="J2341" s="19"/>
      <c r="M2341" s="7"/>
    </row>
    <row r="2342" spans="2:13" x14ac:dyDescent="0.25">
      <c r="B2342"/>
      <c r="C2342"/>
      <c r="D2342"/>
      <c r="E2342"/>
      <c r="F2342"/>
      <c r="G2342"/>
      <c r="H2342" s="19"/>
      <c r="I2342" s="19"/>
      <c r="J2342" s="19"/>
      <c r="M2342" s="7"/>
    </row>
    <row r="2343" spans="2:13" x14ac:dyDescent="0.25">
      <c r="B2343"/>
      <c r="C2343"/>
      <c r="D2343"/>
      <c r="E2343"/>
      <c r="F2343"/>
      <c r="G2343"/>
      <c r="H2343" s="19"/>
      <c r="I2343" s="19"/>
      <c r="J2343" s="19"/>
      <c r="M2343" s="7"/>
    </row>
    <row r="2344" spans="2:13" x14ac:dyDescent="0.25">
      <c r="B2344"/>
      <c r="C2344"/>
      <c r="D2344"/>
      <c r="E2344"/>
      <c r="F2344"/>
      <c r="G2344"/>
      <c r="H2344" s="19"/>
      <c r="I2344" s="19"/>
      <c r="J2344" s="19"/>
      <c r="M2344" s="7"/>
    </row>
    <row r="2345" spans="2:13" x14ac:dyDescent="0.25">
      <c r="B2345"/>
      <c r="C2345"/>
      <c r="D2345"/>
      <c r="E2345"/>
      <c r="F2345"/>
      <c r="G2345"/>
      <c r="H2345" s="19"/>
      <c r="I2345" s="19"/>
      <c r="J2345" s="19"/>
      <c r="M2345" s="7"/>
    </row>
    <row r="2346" spans="2:13" x14ac:dyDescent="0.25">
      <c r="B2346"/>
      <c r="C2346"/>
      <c r="D2346"/>
      <c r="E2346"/>
      <c r="F2346"/>
      <c r="G2346"/>
      <c r="H2346" s="19"/>
      <c r="I2346" s="19"/>
      <c r="J2346" s="19"/>
      <c r="M2346" s="7"/>
    </row>
    <row r="2347" spans="2:13" x14ac:dyDescent="0.25">
      <c r="B2347"/>
      <c r="C2347"/>
      <c r="D2347"/>
      <c r="E2347"/>
      <c r="F2347"/>
      <c r="G2347"/>
      <c r="H2347" s="19"/>
      <c r="I2347" s="19"/>
      <c r="J2347" s="19"/>
      <c r="M2347" s="7"/>
    </row>
    <row r="2348" spans="2:13" x14ac:dyDescent="0.25">
      <c r="B2348"/>
      <c r="C2348"/>
      <c r="D2348"/>
      <c r="E2348"/>
      <c r="F2348"/>
      <c r="G2348"/>
      <c r="H2348" s="19"/>
      <c r="I2348" s="19"/>
      <c r="J2348" s="19"/>
      <c r="M2348" s="7"/>
    </row>
    <row r="2349" spans="2:13" x14ac:dyDescent="0.25">
      <c r="B2349"/>
      <c r="C2349"/>
      <c r="D2349"/>
      <c r="E2349"/>
      <c r="F2349"/>
      <c r="G2349"/>
      <c r="H2349" s="19"/>
      <c r="I2349" s="19"/>
      <c r="J2349" s="19"/>
      <c r="M2349" s="7"/>
    </row>
    <row r="2350" spans="2:13" x14ac:dyDescent="0.25">
      <c r="B2350"/>
      <c r="C2350"/>
      <c r="D2350"/>
      <c r="E2350"/>
      <c r="F2350"/>
      <c r="G2350"/>
      <c r="H2350" s="19"/>
      <c r="I2350" s="19"/>
      <c r="J2350" s="19"/>
      <c r="M2350" s="7"/>
    </row>
    <row r="2351" spans="2:13" x14ac:dyDescent="0.25">
      <c r="B2351"/>
      <c r="C2351"/>
      <c r="D2351"/>
      <c r="E2351"/>
      <c r="F2351"/>
      <c r="G2351"/>
      <c r="H2351" s="19"/>
      <c r="I2351" s="19"/>
      <c r="J2351" s="19"/>
      <c r="M2351" s="7"/>
    </row>
    <row r="2352" spans="2:13" x14ac:dyDescent="0.25">
      <c r="B2352"/>
      <c r="C2352"/>
      <c r="D2352"/>
      <c r="E2352"/>
      <c r="F2352"/>
      <c r="G2352"/>
      <c r="H2352" s="19"/>
      <c r="I2352" s="19"/>
      <c r="J2352" s="19"/>
      <c r="M2352" s="7"/>
    </row>
    <row r="2353" spans="2:13" x14ac:dyDescent="0.25">
      <c r="B2353"/>
      <c r="C2353"/>
      <c r="D2353"/>
      <c r="E2353"/>
      <c r="F2353"/>
      <c r="G2353"/>
      <c r="H2353" s="19"/>
      <c r="I2353" s="19"/>
      <c r="J2353" s="19"/>
      <c r="M2353" s="7"/>
    </row>
    <row r="2354" spans="2:13" x14ac:dyDescent="0.25">
      <c r="B2354"/>
      <c r="C2354"/>
      <c r="D2354"/>
      <c r="E2354"/>
      <c r="F2354"/>
      <c r="G2354"/>
      <c r="H2354" s="19"/>
      <c r="I2354" s="19"/>
      <c r="J2354" s="19"/>
      <c r="M2354" s="7"/>
    </row>
    <row r="2355" spans="2:13" x14ac:dyDescent="0.25">
      <c r="B2355"/>
      <c r="C2355"/>
      <c r="D2355"/>
      <c r="E2355"/>
      <c r="F2355"/>
      <c r="G2355"/>
      <c r="H2355" s="19"/>
      <c r="I2355" s="19"/>
      <c r="J2355" s="19"/>
      <c r="M2355" s="7"/>
    </row>
    <row r="2356" spans="2:13" x14ac:dyDescent="0.25">
      <c r="B2356"/>
      <c r="C2356"/>
      <c r="D2356"/>
      <c r="E2356"/>
      <c r="F2356"/>
      <c r="G2356"/>
      <c r="H2356" s="19"/>
      <c r="I2356" s="19"/>
      <c r="J2356" s="19"/>
      <c r="M2356" s="7"/>
    </row>
    <row r="2357" spans="2:13" x14ac:dyDescent="0.25">
      <c r="B2357"/>
      <c r="C2357"/>
      <c r="D2357"/>
      <c r="E2357"/>
      <c r="F2357"/>
      <c r="G2357"/>
      <c r="H2357" s="19"/>
      <c r="I2357" s="19"/>
      <c r="J2357" s="19"/>
      <c r="M2357" s="7"/>
    </row>
    <row r="2358" spans="2:13" x14ac:dyDescent="0.25">
      <c r="B2358"/>
      <c r="C2358"/>
      <c r="D2358"/>
      <c r="E2358"/>
      <c r="F2358"/>
      <c r="G2358"/>
      <c r="H2358" s="19"/>
      <c r="I2358" s="19"/>
      <c r="J2358" s="19"/>
      <c r="M2358" s="7"/>
    </row>
    <row r="2359" spans="2:13" x14ac:dyDescent="0.25">
      <c r="B2359"/>
      <c r="C2359"/>
      <c r="D2359"/>
      <c r="E2359"/>
      <c r="F2359"/>
      <c r="G2359"/>
      <c r="H2359" s="19"/>
      <c r="I2359" s="19"/>
      <c r="J2359" s="19"/>
      <c r="M2359" s="7"/>
    </row>
    <row r="2360" spans="2:13" x14ac:dyDescent="0.25">
      <c r="B2360"/>
      <c r="C2360"/>
      <c r="D2360"/>
      <c r="E2360"/>
      <c r="F2360"/>
      <c r="G2360"/>
      <c r="H2360" s="19"/>
      <c r="I2360" s="19"/>
      <c r="J2360" s="19"/>
      <c r="M2360" s="7"/>
    </row>
    <row r="2361" spans="2:13" x14ac:dyDescent="0.25">
      <c r="B2361"/>
      <c r="C2361"/>
      <c r="D2361"/>
      <c r="E2361"/>
      <c r="F2361"/>
      <c r="G2361"/>
      <c r="H2361" s="19"/>
      <c r="I2361" s="19"/>
      <c r="J2361" s="19"/>
      <c r="M2361" s="7"/>
    </row>
    <row r="2362" spans="2:13" x14ac:dyDescent="0.25">
      <c r="B2362"/>
      <c r="C2362"/>
      <c r="D2362"/>
      <c r="E2362"/>
      <c r="F2362"/>
      <c r="G2362"/>
      <c r="H2362" s="19"/>
      <c r="I2362" s="19"/>
      <c r="J2362" s="19"/>
      <c r="M2362" s="7"/>
    </row>
    <row r="2363" spans="2:13" x14ac:dyDescent="0.25">
      <c r="B2363"/>
      <c r="C2363"/>
      <c r="D2363"/>
      <c r="E2363"/>
      <c r="F2363"/>
      <c r="G2363"/>
      <c r="H2363" s="19"/>
      <c r="I2363" s="19"/>
      <c r="J2363" s="19"/>
      <c r="M2363" s="7"/>
    </row>
    <row r="2364" spans="2:13" x14ac:dyDescent="0.25">
      <c r="B2364"/>
      <c r="C2364"/>
      <c r="D2364"/>
      <c r="E2364"/>
      <c r="F2364"/>
      <c r="G2364"/>
      <c r="H2364" s="19"/>
      <c r="I2364" s="19"/>
      <c r="J2364" s="19"/>
      <c r="M2364" s="7"/>
    </row>
    <row r="2365" spans="2:13" x14ac:dyDescent="0.25">
      <c r="B2365"/>
      <c r="C2365"/>
      <c r="D2365"/>
      <c r="E2365"/>
      <c r="F2365"/>
      <c r="G2365"/>
      <c r="H2365" s="19"/>
      <c r="I2365" s="19"/>
      <c r="J2365" s="19"/>
      <c r="M2365" s="7"/>
    </row>
    <row r="2366" spans="2:13" x14ac:dyDescent="0.25">
      <c r="B2366"/>
      <c r="C2366"/>
      <c r="D2366"/>
      <c r="E2366"/>
      <c r="F2366"/>
      <c r="G2366"/>
      <c r="H2366" s="19"/>
      <c r="I2366" s="19"/>
      <c r="J2366" s="19"/>
      <c r="M2366" s="7"/>
    </row>
    <row r="2367" spans="2:13" x14ac:dyDescent="0.25">
      <c r="B2367"/>
      <c r="C2367"/>
      <c r="D2367"/>
      <c r="E2367"/>
      <c r="F2367"/>
      <c r="G2367"/>
      <c r="H2367" s="19"/>
      <c r="I2367" s="19"/>
      <c r="J2367" s="19"/>
      <c r="M2367" s="7"/>
    </row>
    <row r="2368" spans="2:13" x14ac:dyDescent="0.25">
      <c r="B2368"/>
      <c r="C2368"/>
      <c r="D2368"/>
      <c r="E2368"/>
      <c r="F2368"/>
      <c r="G2368"/>
      <c r="H2368" s="19"/>
      <c r="I2368" s="19"/>
      <c r="J2368" s="19"/>
      <c r="M2368" s="7"/>
    </row>
    <row r="2369" spans="2:13" x14ac:dyDescent="0.25">
      <c r="B2369"/>
      <c r="C2369"/>
      <c r="D2369"/>
      <c r="E2369"/>
      <c r="F2369"/>
      <c r="G2369"/>
      <c r="H2369" s="19"/>
      <c r="I2369" s="19"/>
      <c r="J2369" s="19"/>
      <c r="M2369" s="7"/>
    </row>
    <row r="2370" spans="2:13" x14ac:dyDescent="0.25">
      <c r="B2370"/>
      <c r="C2370"/>
      <c r="D2370"/>
      <c r="E2370"/>
      <c r="F2370"/>
      <c r="G2370"/>
      <c r="H2370" s="19"/>
      <c r="I2370" s="19"/>
      <c r="J2370" s="19"/>
      <c r="M2370" s="7"/>
    </row>
    <row r="2371" spans="2:13" x14ac:dyDescent="0.25">
      <c r="B2371"/>
      <c r="C2371"/>
      <c r="D2371"/>
      <c r="E2371"/>
      <c r="F2371"/>
      <c r="G2371"/>
      <c r="H2371" s="19"/>
      <c r="I2371" s="19"/>
      <c r="J2371" s="19"/>
      <c r="M2371" s="7"/>
    </row>
    <row r="2372" spans="2:13" x14ac:dyDescent="0.25">
      <c r="B2372"/>
      <c r="C2372"/>
      <c r="D2372"/>
      <c r="E2372"/>
      <c r="F2372"/>
      <c r="G2372"/>
      <c r="H2372" s="19"/>
      <c r="I2372" s="19"/>
      <c r="J2372" s="19"/>
      <c r="M2372" s="7"/>
    </row>
    <row r="2373" spans="2:13" x14ac:dyDescent="0.25">
      <c r="B2373"/>
      <c r="C2373"/>
      <c r="D2373"/>
      <c r="E2373"/>
      <c r="F2373"/>
      <c r="G2373"/>
      <c r="H2373" s="19"/>
      <c r="I2373" s="19"/>
      <c r="J2373" s="19"/>
      <c r="M2373" s="7"/>
    </row>
    <row r="2374" spans="2:13" x14ac:dyDescent="0.25">
      <c r="B2374"/>
      <c r="C2374"/>
      <c r="D2374"/>
      <c r="E2374"/>
      <c r="F2374"/>
      <c r="G2374"/>
      <c r="H2374" s="19"/>
      <c r="I2374" s="19"/>
      <c r="J2374" s="19"/>
      <c r="M2374" s="7"/>
    </row>
    <row r="2375" spans="2:13" x14ac:dyDescent="0.25">
      <c r="B2375"/>
      <c r="C2375"/>
      <c r="D2375"/>
      <c r="E2375"/>
      <c r="F2375"/>
      <c r="G2375"/>
      <c r="H2375" s="19"/>
      <c r="I2375" s="19"/>
      <c r="J2375" s="19"/>
      <c r="M2375" s="7"/>
    </row>
    <row r="2376" spans="2:13" x14ac:dyDescent="0.25">
      <c r="B2376"/>
      <c r="C2376"/>
      <c r="D2376"/>
      <c r="E2376"/>
      <c r="F2376"/>
      <c r="G2376"/>
      <c r="H2376" s="19"/>
      <c r="I2376" s="19"/>
      <c r="J2376" s="19"/>
      <c r="M2376" s="7"/>
    </row>
    <row r="2377" spans="2:13" x14ac:dyDescent="0.25">
      <c r="B2377"/>
      <c r="C2377"/>
      <c r="D2377"/>
      <c r="E2377"/>
      <c r="F2377"/>
      <c r="G2377"/>
      <c r="H2377" s="19"/>
      <c r="I2377" s="19"/>
      <c r="J2377" s="19"/>
      <c r="M2377" s="7"/>
    </row>
    <row r="2378" spans="2:13" x14ac:dyDescent="0.25">
      <c r="B2378"/>
      <c r="C2378"/>
      <c r="D2378"/>
      <c r="E2378"/>
      <c r="F2378"/>
      <c r="G2378"/>
      <c r="H2378" s="19"/>
      <c r="I2378" s="19"/>
      <c r="J2378" s="19"/>
      <c r="M2378" s="7"/>
    </row>
    <row r="2379" spans="2:13" x14ac:dyDescent="0.25">
      <c r="B2379"/>
      <c r="C2379"/>
      <c r="D2379"/>
      <c r="E2379"/>
      <c r="F2379"/>
      <c r="G2379"/>
      <c r="H2379" s="19"/>
      <c r="I2379" s="19"/>
      <c r="J2379" s="19"/>
      <c r="M2379" s="7"/>
    </row>
    <row r="2380" spans="2:13" x14ac:dyDescent="0.25">
      <c r="B2380"/>
      <c r="C2380"/>
      <c r="D2380"/>
      <c r="E2380"/>
      <c r="F2380"/>
      <c r="G2380"/>
      <c r="H2380" s="19"/>
      <c r="I2380" s="19"/>
      <c r="J2380" s="19"/>
      <c r="M2380" s="7"/>
    </row>
    <row r="2381" spans="2:13" x14ac:dyDescent="0.25">
      <c r="B2381"/>
      <c r="C2381"/>
      <c r="D2381"/>
      <c r="E2381"/>
      <c r="F2381"/>
      <c r="G2381"/>
      <c r="H2381" s="19"/>
      <c r="I2381" s="19"/>
      <c r="J2381" s="19"/>
      <c r="M2381" s="7"/>
    </row>
    <row r="2382" spans="2:13" x14ac:dyDescent="0.25">
      <c r="B2382"/>
      <c r="C2382"/>
      <c r="D2382"/>
      <c r="E2382"/>
      <c r="F2382"/>
      <c r="G2382"/>
      <c r="H2382" s="19"/>
      <c r="I2382" s="19"/>
      <c r="J2382" s="19"/>
      <c r="M2382" s="7"/>
    </row>
    <row r="2383" spans="2:13" x14ac:dyDescent="0.25">
      <c r="B2383"/>
      <c r="C2383"/>
      <c r="D2383"/>
      <c r="E2383"/>
      <c r="F2383"/>
      <c r="G2383"/>
      <c r="H2383" s="19"/>
      <c r="I2383" s="19"/>
      <c r="J2383" s="19"/>
      <c r="M2383" s="7"/>
    </row>
    <row r="2384" spans="2:13" x14ac:dyDescent="0.25">
      <c r="B2384"/>
      <c r="C2384"/>
      <c r="D2384"/>
      <c r="E2384"/>
      <c r="F2384"/>
      <c r="G2384"/>
      <c r="H2384" s="19"/>
      <c r="I2384" s="19"/>
      <c r="J2384" s="19"/>
      <c r="M2384" s="7"/>
    </row>
    <row r="2385" spans="2:13" x14ac:dyDescent="0.25">
      <c r="B2385"/>
      <c r="C2385"/>
      <c r="D2385"/>
      <c r="E2385"/>
      <c r="F2385"/>
      <c r="G2385"/>
      <c r="H2385" s="19"/>
      <c r="I2385" s="19"/>
      <c r="J2385" s="19"/>
      <c r="M2385" s="7"/>
    </row>
    <row r="2386" spans="2:13" x14ac:dyDescent="0.25">
      <c r="B2386"/>
      <c r="C2386"/>
      <c r="D2386"/>
      <c r="E2386"/>
      <c r="F2386"/>
      <c r="G2386"/>
      <c r="H2386" s="19"/>
      <c r="I2386" s="19"/>
      <c r="J2386" s="19"/>
      <c r="M2386" s="7"/>
    </row>
    <row r="2387" spans="2:13" x14ac:dyDescent="0.25">
      <c r="B2387"/>
      <c r="C2387"/>
      <c r="D2387"/>
      <c r="E2387"/>
      <c r="F2387"/>
      <c r="G2387"/>
      <c r="H2387" s="19"/>
      <c r="I2387" s="19"/>
      <c r="J2387" s="19"/>
      <c r="M2387" s="7"/>
    </row>
    <row r="2388" spans="2:13" x14ac:dyDescent="0.25">
      <c r="B2388"/>
      <c r="C2388"/>
      <c r="D2388"/>
      <c r="E2388"/>
      <c r="F2388"/>
      <c r="G2388"/>
      <c r="H2388" s="19"/>
      <c r="I2388" s="19"/>
      <c r="J2388" s="19"/>
      <c r="M2388" s="7"/>
    </row>
    <row r="2389" spans="2:13" x14ac:dyDescent="0.25">
      <c r="B2389"/>
      <c r="C2389"/>
      <c r="D2389"/>
      <c r="E2389"/>
      <c r="F2389"/>
      <c r="G2389"/>
      <c r="H2389" s="19"/>
      <c r="I2389" s="19"/>
      <c r="J2389" s="19"/>
      <c r="M2389" s="7"/>
    </row>
    <row r="2390" spans="2:13" x14ac:dyDescent="0.25">
      <c r="B2390"/>
      <c r="C2390"/>
      <c r="D2390"/>
      <c r="E2390"/>
      <c r="F2390"/>
      <c r="G2390"/>
      <c r="H2390" s="19"/>
      <c r="I2390" s="19"/>
      <c r="J2390" s="19"/>
      <c r="M2390" s="7"/>
    </row>
    <row r="2391" spans="2:13" x14ac:dyDescent="0.25">
      <c r="B2391"/>
      <c r="C2391"/>
      <c r="D2391"/>
      <c r="E2391"/>
      <c r="F2391"/>
      <c r="G2391"/>
      <c r="H2391" s="19"/>
      <c r="I2391" s="19"/>
      <c r="J2391" s="19"/>
      <c r="M2391" s="7"/>
    </row>
    <row r="2392" spans="2:13" x14ac:dyDescent="0.25">
      <c r="B2392"/>
      <c r="C2392"/>
      <c r="D2392"/>
      <c r="E2392"/>
      <c r="F2392"/>
      <c r="G2392"/>
      <c r="H2392" s="19"/>
      <c r="I2392" s="19"/>
      <c r="J2392" s="19"/>
      <c r="M2392" s="7"/>
    </row>
    <row r="2393" spans="2:13" x14ac:dyDescent="0.25">
      <c r="B2393"/>
      <c r="C2393"/>
      <c r="D2393"/>
      <c r="E2393"/>
      <c r="F2393"/>
      <c r="G2393"/>
      <c r="H2393" s="19"/>
      <c r="I2393" s="19"/>
      <c r="J2393" s="19"/>
      <c r="M2393" s="7"/>
    </row>
    <row r="2394" spans="2:13" x14ac:dyDescent="0.25">
      <c r="B2394"/>
      <c r="C2394"/>
      <c r="D2394"/>
      <c r="E2394"/>
      <c r="F2394"/>
      <c r="G2394"/>
      <c r="H2394" s="19"/>
      <c r="I2394" s="19"/>
      <c r="J2394" s="19"/>
      <c r="M2394" s="7"/>
    </row>
    <row r="2395" spans="2:13" x14ac:dyDescent="0.25">
      <c r="B2395"/>
      <c r="C2395"/>
      <c r="D2395"/>
      <c r="E2395"/>
      <c r="F2395"/>
      <c r="G2395"/>
      <c r="H2395" s="19"/>
      <c r="I2395" s="19"/>
      <c r="J2395" s="19"/>
      <c r="M2395" s="7"/>
    </row>
    <row r="2396" spans="2:13" x14ac:dyDescent="0.25">
      <c r="B2396"/>
      <c r="C2396"/>
      <c r="D2396"/>
      <c r="E2396"/>
      <c r="F2396"/>
      <c r="G2396"/>
      <c r="H2396" s="19"/>
      <c r="I2396" s="19"/>
      <c r="J2396" s="19"/>
      <c r="M2396" s="7"/>
    </row>
    <row r="2397" spans="2:13" x14ac:dyDescent="0.25">
      <c r="B2397"/>
      <c r="C2397"/>
      <c r="D2397"/>
      <c r="E2397"/>
      <c r="F2397"/>
      <c r="G2397"/>
      <c r="H2397" s="19"/>
      <c r="I2397" s="19"/>
      <c r="J2397" s="19"/>
      <c r="M2397" s="7"/>
    </row>
    <row r="2398" spans="2:13" x14ac:dyDescent="0.25">
      <c r="B2398"/>
      <c r="C2398"/>
      <c r="D2398"/>
      <c r="E2398"/>
      <c r="F2398"/>
      <c r="G2398"/>
      <c r="H2398" s="19"/>
      <c r="I2398" s="19"/>
      <c r="J2398" s="19"/>
      <c r="M2398" s="7"/>
    </row>
    <row r="2399" spans="2:13" x14ac:dyDescent="0.25">
      <c r="B2399"/>
      <c r="C2399"/>
      <c r="D2399"/>
      <c r="E2399"/>
      <c r="F2399"/>
      <c r="G2399"/>
      <c r="H2399" s="19"/>
      <c r="I2399" s="19"/>
      <c r="J2399" s="19"/>
      <c r="M2399" s="7"/>
    </row>
    <row r="2400" spans="2:13" x14ac:dyDescent="0.25">
      <c r="B2400"/>
      <c r="C2400"/>
      <c r="D2400"/>
      <c r="E2400"/>
      <c r="F2400"/>
      <c r="G2400"/>
      <c r="H2400" s="19"/>
      <c r="I2400" s="19"/>
      <c r="J2400" s="19"/>
      <c r="M2400" s="7"/>
    </row>
    <row r="2401" spans="2:13" x14ac:dyDescent="0.25">
      <c r="B2401"/>
      <c r="C2401"/>
      <c r="D2401"/>
      <c r="E2401"/>
      <c r="F2401"/>
      <c r="G2401"/>
      <c r="H2401" s="19"/>
      <c r="I2401" s="19"/>
      <c r="J2401" s="19"/>
      <c r="M2401" s="7"/>
    </row>
    <row r="2402" spans="2:13" x14ac:dyDescent="0.25">
      <c r="B2402"/>
      <c r="C2402"/>
      <c r="D2402"/>
      <c r="E2402"/>
      <c r="F2402"/>
      <c r="G2402"/>
      <c r="H2402" s="19"/>
      <c r="I2402" s="19"/>
      <c r="J2402" s="19"/>
      <c r="M2402" s="7"/>
    </row>
    <row r="2403" spans="2:13" x14ac:dyDescent="0.25">
      <c r="B2403"/>
      <c r="C2403"/>
      <c r="D2403"/>
      <c r="E2403"/>
      <c r="F2403"/>
      <c r="G2403"/>
      <c r="H2403" s="19"/>
      <c r="I2403" s="19"/>
      <c r="J2403" s="19"/>
      <c r="M2403" s="7"/>
    </row>
    <row r="2404" spans="2:13" x14ac:dyDescent="0.25">
      <c r="B2404"/>
      <c r="C2404"/>
      <c r="D2404"/>
      <c r="E2404"/>
      <c r="F2404"/>
      <c r="G2404"/>
      <c r="H2404" s="19"/>
      <c r="I2404" s="19"/>
      <c r="J2404" s="19"/>
      <c r="M2404" s="7"/>
    </row>
    <row r="2405" spans="2:13" x14ac:dyDescent="0.25">
      <c r="B2405"/>
      <c r="C2405"/>
      <c r="D2405"/>
      <c r="E2405"/>
      <c r="F2405"/>
      <c r="G2405"/>
      <c r="H2405" s="19"/>
      <c r="I2405" s="19"/>
      <c r="J2405" s="19"/>
      <c r="M2405" s="7"/>
    </row>
    <row r="2406" spans="2:13" x14ac:dyDescent="0.25">
      <c r="B2406"/>
      <c r="C2406"/>
      <c r="D2406"/>
      <c r="E2406"/>
      <c r="F2406"/>
      <c r="G2406"/>
      <c r="H2406" s="19"/>
      <c r="I2406" s="19"/>
      <c r="J2406" s="19"/>
      <c r="M2406" s="7"/>
    </row>
    <row r="2407" spans="2:13" x14ac:dyDescent="0.25">
      <c r="B2407"/>
      <c r="C2407"/>
      <c r="D2407"/>
      <c r="E2407"/>
      <c r="F2407"/>
      <c r="G2407"/>
      <c r="H2407" s="19"/>
      <c r="I2407" s="19"/>
      <c r="J2407" s="19"/>
      <c r="M2407" s="7"/>
    </row>
    <row r="2408" spans="2:13" x14ac:dyDescent="0.25">
      <c r="B2408"/>
      <c r="C2408"/>
      <c r="D2408"/>
      <c r="E2408"/>
      <c r="F2408"/>
      <c r="G2408"/>
      <c r="H2408" s="19"/>
      <c r="I2408" s="19"/>
      <c r="J2408" s="19"/>
      <c r="M2408" s="7"/>
    </row>
    <row r="2409" spans="2:13" x14ac:dyDescent="0.25">
      <c r="B2409"/>
      <c r="C2409"/>
      <c r="D2409"/>
      <c r="E2409"/>
      <c r="F2409"/>
      <c r="G2409"/>
      <c r="H2409" s="19"/>
      <c r="I2409" s="19"/>
      <c r="J2409" s="19"/>
      <c r="M2409" s="7"/>
    </row>
    <row r="2410" spans="2:13" x14ac:dyDescent="0.25">
      <c r="B2410"/>
      <c r="C2410"/>
      <c r="D2410"/>
      <c r="E2410"/>
      <c r="F2410"/>
      <c r="G2410"/>
      <c r="H2410" s="19"/>
      <c r="I2410" s="19"/>
      <c r="J2410" s="19"/>
      <c r="M2410" s="7"/>
    </row>
    <row r="2411" spans="2:13" x14ac:dyDescent="0.25">
      <c r="B2411"/>
      <c r="C2411"/>
      <c r="D2411"/>
      <c r="E2411"/>
      <c r="F2411"/>
      <c r="G2411"/>
      <c r="H2411" s="19"/>
      <c r="I2411" s="19"/>
      <c r="J2411" s="19"/>
      <c r="M2411" s="7"/>
    </row>
    <row r="2412" spans="2:13" x14ac:dyDescent="0.25">
      <c r="B2412"/>
      <c r="C2412"/>
      <c r="D2412"/>
      <c r="E2412"/>
      <c r="F2412"/>
      <c r="G2412"/>
      <c r="H2412" s="19"/>
      <c r="I2412" s="19"/>
      <c r="J2412" s="19"/>
      <c r="M2412" s="7"/>
    </row>
    <row r="2413" spans="2:13" x14ac:dyDescent="0.25">
      <c r="B2413"/>
      <c r="C2413"/>
      <c r="D2413"/>
      <c r="E2413"/>
      <c r="F2413"/>
      <c r="G2413"/>
      <c r="H2413" s="19"/>
      <c r="I2413" s="19"/>
      <c r="J2413" s="19"/>
      <c r="M2413" s="7"/>
    </row>
    <row r="2414" spans="2:13" x14ac:dyDescent="0.25">
      <c r="B2414"/>
      <c r="C2414"/>
      <c r="D2414"/>
      <c r="E2414"/>
      <c r="F2414"/>
      <c r="G2414"/>
      <c r="H2414" s="19"/>
      <c r="I2414" s="19"/>
      <c r="J2414" s="19"/>
      <c r="M2414" s="7"/>
    </row>
    <row r="2415" spans="2:13" x14ac:dyDescent="0.25">
      <c r="B2415"/>
      <c r="C2415"/>
      <c r="D2415"/>
      <c r="E2415"/>
      <c r="F2415"/>
      <c r="G2415"/>
      <c r="H2415" s="19"/>
      <c r="I2415" s="19"/>
      <c r="J2415" s="19"/>
      <c r="M2415" s="7"/>
    </row>
    <row r="2416" spans="2:13" x14ac:dyDescent="0.25">
      <c r="B2416"/>
      <c r="C2416"/>
      <c r="D2416"/>
      <c r="E2416"/>
      <c r="F2416"/>
      <c r="G2416"/>
      <c r="H2416" s="19"/>
      <c r="I2416" s="19"/>
      <c r="J2416" s="19"/>
      <c r="M2416" s="7"/>
    </row>
    <row r="2417" spans="2:13" x14ac:dyDescent="0.25">
      <c r="B2417"/>
      <c r="C2417"/>
      <c r="D2417"/>
      <c r="E2417"/>
      <c r="F2417"/>
      <c r="G2417"/>
      <c r="H2417" s="19"/>
      <c r="I2417" s="19"/>
      <c r="J2417" s="19"/>
      <c r="M2417" s="7"/>
    </row>
    <row r="2418" spans="2:13" x14ac:dyDescent="0.25">
      <c r="B2418"/>
      <c r="C2418"/>
      <c r="D2418"/>
      <c r="E2418"/>
      <c r="F2418"/>
      <c r="G2418"/>
      <c r="H2418" s="19"/>
      <c r="I2418" s="19"/>
      <c r="J2418" s="19"/>
      <c r="M2418" s="7"/>
    </row>
    <row r="2419" spans="2:13" x14ac:dyDescent="0.25">
      <c r="B2419"/>
      <c r="C2419"/>
      <c r="D2419"/>
      <c r="E2419"/>
      <c r="F2419"/>
      <c r="G2419"/>
      <c r="H2419" s="19"/>
      <c r="I2419" s="19"/>
      <c r="J2419" s="19"/>
      <c r="M2419" s="7"/>
    </row>
    <row r="2420" spans="2:13" x14ac:dyDescent="0.25">
      <c r="B2420"/>
      <c r="C2420"/>
      <c r="D2420"/>
      <c r="E2420"/>
      <c r="F2420"/>
      <c r="G2420"/>
      <c r="H2420" s="19"/>
      <c r="I2420" s="19"/>
      <c r="J2420" s="19"/>
      <c r="M2420" s="7"/>
    </row>
    <row r="2421" spans="2:13" x14ac:dyDescent="0.25">
      <c r="B2421"/>
      <c r="C2421"/>
      <c r="D2421"/>
      <c r="E2421"/>
      <c r="F2421"/>
      <c r="G2421"/>
      <c r="H2421" s="19"/>
      <c r="I2421" s="19"/>
      <c r="J2421" s="19"/>
      <c r="M2421" s="7"/>
    </row>
    <row r="2422" spans="2:13" x14ac:dyDescent="0.25">
      <c r="B2422"/>
      <c r="C2422"/>
      <c r="D2422"/>
      <c r="E2422"/>
      <c r="F2422"/>
      <c r="G2422"/>
      <c r="H2422" s="19"/>
      <c r="I2422" s="19"/>
      <c r="J2422" s="19"/>
      <c r="M2422" s="7"/>
    </row>
    <row r="2423" spans="2:13" x14ac:dyDescent="0.25">
      <c r="B2423"/>
      <c r="C2423"/>
      <c r="D2423"/>
      <c r="E2423"/>
      <c r="F2423"/>
      <c r="G2423"/>
      <c r="H2423" s="19"/>
      <c r="I2423" s="19"/>
      <c r="J2423" s="19"/>
      <c r="M2423" s="7"/>
    </row>
    <row r="2424" spans="2:13" x14ac:dyDescent="0.25">
      <c r="B2424"/>
      <c r="C2424"/>
      <c r="D2424"/>
      <c r="E2424"/>
      <c r="F2424"/>
      <c r="G2424"/>
      <c r="H2424" s="19"/>
      <c r="I2424" s="19"/>
      <c r="J2424" s="19"/>
      <c r="M2424" s="7"/>
    </row>
    <row r="2425" spans="2:13" x14ac:dyDescent="0.25">
      <c r="B2425"/>
      <c r="C2425"/>
      <c r="D2425"/>
      <c r="E2425"/>
      <c r="F2425"/>
      <c r="G2425"/>
      <c r="H2425" s="19"/>
      <c r="I2425" s="19"/>
      <c r="J2425" s="19"/>
      <c r="M2425" s="7"/>
    </row>
    <row r="2426" spans="2:13" x14ac:dyDescent="0.25">
      <c r="B2426"/>
      <c r="C2426"/>
      <c r="D2426"/>
      <c r="E2426"/>
      <c r="F2426"/>
      <c r="G2426"/>
      <c r="H2426" s="19"/>
      <c r="I2426" s="19"/>
      <c r="J2426" s="19"/>
      <c r="M2426" s="7"/>
    </row>
    <row r="2427" spans="2:13" x14ac:dyDescent="0.25">
      <c r="B2427"/>
      <c r="C2427"/>
      <c r="D2427"/>
      <c r="E2427"/>
      <c r="F2427"/>
      <c r="G2427"/>
      <c r="H2427" s="19"/>
      <c r="I2427" s="19"/>
      <c r="J2427" s="19"/>
      <c r="M2427" s="7"/>
    </row>
    <row r="2428" spans="2:13" x14ac:dyDescent="0.25">
      <c r="B2428"/>
      <c r="C2428"/>
      <c r="D2428"/>
      <c r="E2428"/>
      <c r="F2428"/>
      <c r="G2428"/>
      <c r="H2428" s="19"/>
      <c r="I2428" s="19"/>
      <c r="J2428" s="19"/>
      <c r="M2428" s="7"/>
    </row>
    <row r="2429" spans="2:13" x14ac:dyDescent="0.25">
      <c r="B2429"/>
      <c r="C2429"/>
      <c r="D2429"/>
      <c r="E2429"/>
      <c r="F2429"/>
      <c r="G2429"/>
      <c r="H2429" s="19"/>
      <c r="I2429" s="19"/>
      <c r="J2429" s="19"/>
      <c r="M2429" s="7"/>
    </row>
    <row r="2430" spans="2:13" x14ac:dyDescent="0.25">
      <c r="B2430"/>
      <c r="C2430"/>
      <c r="D2430"/>
      <c r="E2430"/>
      <c r="F2430"/>
      <c r="G2430"/>
      <c r="H2430" s="19"/>
      <c r="I2430" s="19"/>
      <c r="J2430" s="19"/>
      <c r="M2430" s="7"/>
    </row>
    <row r="2431" spans="2:13" x14ac:dyDescent="0.25">
      <c r="B2431"/>
      <c r="C2431"/>
      <c r="D2431"/>
      <c r="E2431"/>
      <c r="F2431"/>
      <c r="G2431"/>
      <c r="H2431" s="19"/>
      <c r="I2431" s="19"/>
      <c r="J2431" s="19"/>
      <c r="M2431" s="7"/>
    </row>
    <row r="2432" spans="2:13" x14ac:dyDescent="0.25">
      <c r="B2432"/>
      <c r="C2432"/>
      <c r="D2432"/>
      <c r="E2432"/>
      <c r="F2432"/>
      <c r="G2432"/>
      <c r="H2432" s="19"/>
      <c r="I2432" s="19"/>
      <c r="J2432" s="19"/>
      <c r="M2432" s="7"/>
    </row>
    <row r="2433" spans="2:13" x14ac:dyDescent="0.25">
      <c r="B2433"/>
      <c r="C2433"/>
      <c r="D2433"/>
      <c r="E2433"/>
      <c r="F2433"/>
      <c r="G2433"/>
      <c r="H2433" s="19"/>
      <c r="I2433" s="19"/>
      <c r="J2433" s="19"/>
      <c r="M2433" s="7"/>
    </row>
    <row r="2434" spans="2:13" x14ac:dyDescent="0.25">
      <c r="B2434"/>
      <c r="C2434"/>
      <c r="D2434"/>
      <c r="E2434"/>
      <c r="F2434"/>
      <c r="G2434"/>
      <c r="H2434" s="19"/>
      <c r="I2434" s="19"/>
      <c r="J2434" s="19"/>
      <c r="M2434" s="7"/>
    </row>
    <row r="2435" spans="2:13" x14ac:dyDescent="0.25">
      <c r="B2435"/>
      <c r="C2435"/>
      <c r="D2435"/>
      <c r="E2435"/>
      <c r="F2435"/>
      <c r="G2435"/>
      <c r="H2435" s="19"/>
      <c r="I2435" s="19"/>
      <c r="J2435" s="19"/>
      <c r="M2435" s="7"/>
    </row>
    <row r="2436" spans="2:13" x14ac:dyDescent="0.25">
      <c r="B2436"/>
      <c r="C2436"/>
      <c r="D2436"/>
      <c r="E2436"/>
      <c r="F2436"/>
      <c r="G2436"/>
      <c r="H2436" s="19"/>
      <c r="I2436" s="19"/>
      <c r="J2436" s="19"/>
      <c r="M2436" s="7"/>
    </row>
    <row r="2437" spans="2:13" x14ac:dyDescent="0.25">
      <c r="B2437"/>
      <c r="C2437"/>
      <c r="D2437"/>
      <c r="E2437"/>
      <c r="F2437"/>
      <c r="G2437"/>
      <c r="H2437" s="19"/>
      <c r="I2437" s="19"/>
      <c r="J2437" s="19"/>
      <c r="M2437" s="7"/>
    </row>
    <row r="2438" spans="2:13" x14ac:dyDescent="0.25">
      <c r="B2438"/>
      <c r="C2438"/>
      <c r="D2438"/>
      <c r="E2438"/>
      <c r="F2438"/>
      <c r="G2438"/>
      <c r="H2438" s="19"/>
      <c r="I2438" s="19"/>
      <c r="J2438" s="19"/>
      <c r="M2438" s="7"/>
    </row>
    <row r="2439" spans="2:13" x14ac:dyDescent="0.25">
      <c r="B2439"/>
      <c r="C2439"/>
      <c r="D2439"/>
      <c r="E2439"/>
      <c r="F2439"/>
      <c r="G2439"/>
      <c r="H2439" s="19"/>
      <c r="I2439" s="19"/>
      <c r="J2439" s="19"/>
      <c r="M2439" s="7"/>
    </row>
    <row r="2440" spans="2:13" x14ac:dyDescent="0.25">
      <c r="B2440"/>
      <c r="C2440"/>
      <c r="D2440"/>
      <c r="E2440"/>
      <c r="F2440"/>
      <c r="G2440"/>
      <c r="H2440" s="19"/>
      <c r="I2440" s="19"/>
      <c r="J2440" s="19"/>
      <c r="M2440" s="7"/>
    </row>
    <row r="2441" spans="2:13" x14ac:dyDescent="0.25">
      <c r="B2441"/>
      <c r="C2441"/>
      <c r="D2441"/>
      <c r="E2441"/>
      <c r="F2441"/>
      <c r="G2441"/>
      <c r="H2441" s="19"/>
      <c r="I2441" s="19"/>
      <c r="J2441" s="19"/>
      <c r="M2441" s="7"/>
    </row>
    <row r="2442" spans="2:13" x14ac:dyDescent="0.25">
      <c r="B2442"/>
      <c r="C2442"/>
      <c r="D2442"/>
      <c r="E2442"/>
      <c r="F2442"/>
      <c r="G2442"/>
      <c r="H2442" s="19"/>
      <c r="I2442" s="19"/>
      <c r="J2442" s="19"/>
      <c r="M2442" s="7"/>
    </row>
    <row r="2443" spans="2:13" x14ac:dyDescent="0.25">
      <c r="B2443"/>
      <c r="C2443"/>
      <c r="D2443"/>
      <c r="E2443"/>
      <c r="F2443"/>
      <c r="G2443"/>
      <c r="H2443" s="19"/>
      <c r="I2443" s="19"/>
      <c r="J2443" s="19"/>
      <c r="M2443" s="7"/>
    </row>
    <row r="2444" spans="2:13" x14ac:dyDescent="0.25">
      <c r="B2444"/>
      <c r="C2444"/>
      <c r="D2444"/>
      <c r="E2444"/>
      <c r="F2444"/>
      <c r="G2444"/>
      <c r="H2444" s="19"/>
      <c r="I2444" s="19"/>
      <c r="J2444" s="19"/>
      <c r="M2444" s="7"/>
    </row>
    <row r="2445" spans="2:13" x14ac:dyDescent="0.25">
      <c r="B2445"/>
      <c r="C2445"/>
      <c r="D2445"/>
      <c r="E2445"/>
      <c r="F2445"/>
      <c r="G2445"/>
      <c r="H2445" s="19"/>
      <c r="I2445" s="19"/>
      <c r="J2445" s="19"/>
      <c r="M2445" s="7"/>
    </row>
    <row r="2446" spans="2:13" x14ac:dyDescent="0.25">
      <c r="B2446"/>
      <c r="C2446"/>
      <c r="D2446"/>
      <c r="E2446"/>
      <c r="F2446"/>
      <c r="G2446"/>
      <c r="H2446" s="19"/>
      <c r="I2446" s="19"/>
      <c r="J2446" s="19"/>
      <c r="M2446" s="7"/>
    </row>
    <row r="2447" spans="2:13" x14ac:dyDescent="0.25">
      <c r="B2447"/>
      <c r="C2447"/>
      <c r="D2447"/>
      <c r="E2447"/>
      <c r="F2447"/>
      <c r="G2447"/>
      <c r="H2447" s="19"/>
      <c r="I2447" s="19"/>
      <c r="J2447" s="19"/>
      <c r="M2447" s="7"/>
    </row>
    <row r="2448" spans="2:13" x14ac:dyDescent="0.25">
      <c r="B2448"/>
      <c r="C2448"/>
      <c r="D2448"/>
      <c r="E2448"/>
      <c r="F2448"/>
      <c r="G2448"/>
      <c r="H2448" s="19"/>
      <c r="I2448" s="19"/>
      <c r="J2448" s="19"/>
      <c r="M2448" s="7"/>
    </row>
    <row r="2449" spans="2:13" x14ac:dyDescent="0.25">
      <c r="B2449"/>
      <c r="C2449"/>
      <c r="D2449"/>
      <c r="E2449"/>
      <c r="F2449"/>
      <c r="G2449"/>
      <c r="H2449" s="19"/>
      <c r="I2449" s="19"/>
      <c r="J2449" s="19"/>
      <c r="M2449" s="7"/>
    </row>
    <row r="2450" spans="2:13" x14ac:dyDescent="0.25">
      <c r="B2450"/>
      <c r="C2450"/>
      <c r="D2450"/>
      <c r="E2450"/>
      <c r="F2450"/>
      <c r="G2450"/>
      <c r="H2450" s="19"/>
      <c r="I2450" s="19"/>
      <c r="J2450" s="19"/>
      <c r="M2450" s="7"/>
    </row>
    <row r="2451" spans="2:13" x14ac:dyDescent="0.25">
      <c r="B2451"/>
      <c r="C2451"/>
      <c r="D2451"/>
      <c r="E2451"/>
      <c r="F2451"/>
      <c r="G2451"/>
      <c r="H2451" s="19"/>
      <c r="I2451" s="19"/>
      <c r="J2451" s="19"/>
      <c r="M2451" s="7"/>
    </row>
    <row r="2452" spans="2:13" x14ac:dyDescent="0.25">
      <c r="B2452"/>
      <c r="C2452"/>
      <c r="D2452"/>
      <c r="E2452"/>
      <c r="F2452"/>
      <c r="G2452"/>
      <c r="H2452" s="19"/>
      <c r="I2452" s="19"/>
      <c r="J2452" s="19"/>
      <c r="M2452" s="7"/>
    </row>
    <row r="2453" spans="2:13" x14ac:dyDescent="0.25">
      <c r="B2453"/>
      <c r="C2453"/>
      <c r="D2453"/>
      <c r="E2453"/>
      <c r="F2453"/>
      <c r="G2453"/>
      <c r="H2453" s="19"/>
      <c r="I2453" s="19"/>
      <c r="J2453" s="19"/>
      <c r="M2453" s="7"/>
    </row>
    <row r="2454" spans="2:13" x14ac:dyDescent="0.25">
      <c r="B2454"/>
      <c r="C2454"/>
      <c r="D2454"/>
      <c r="E2454"/>
      <c r="F2454"/>
      <c r="G2454"/>
      <c r="H2454" s="19"/>
      <c r="I2454" s="19"/>
      <c r="J2454" s="19"/>
      <c r="M2454" s="7"/>
    </row>
    <row r="2455" spans="2:13" x14ac:dyDescent="0.25">
      <c r="B2455"/>
      <c r="C2455"/>
      <c r="D2455"/>
      <c r="E2455"/>
      <c r="F2455"/>
      <c r="G2455"/>
      <c r="H2455" s="19"/>
      <c r="I2455" s="19"/>
      <c r="J2455" s="19"/>
      <c r="M2455" s="7"/>
    </row>
    <row r="2456" spans="2:13" x14ac:dyDescent="0.25">
      <c r="B2456"/>
      <c r="C2456"/>
      <c r="D2456"/>
      <c r="E2456"/>
      <c r="F2456"/>
      <c r="G2456"/>
      <c r="H2456" s="19"/>
      <c r="I2456" s="19"/>
      <c r="J2456" s="19"/>
      <c r="M2456" s="7"/>
    </row>
    <row r="2457" spans="2:13" x14ac:dyDescent="0.25">
      <c r="B2457"/>
      <c r="C2457"/>
      <c r="D2457"/>
      <c r="E2457"/>
      <c r="F2457"/>
      <c r="G2457"/>
      <c r="H2457" s="19"/>
      <c r="I2457" s="19"/>
      <c r="J2457" s="19"/>
      <c r="M2457" s="7"/>
    </row>
    <row r="2458" spans="2:13" x14ac:dyDescent="0.25">
      <c r="B2458"/>
      <c r="C2458"/>
      <c r="D2458"/>
      <c r="E2458"/>
      <c r="F2458"/>
      <c r="G2458"/>
      <c r="H2458" s="19"/>
      <c r="I2458" s="19"/>
      <c r="J2458" s="19"/>
      <c r="M2458" s="7"/>
    </row>
    <row r="2459" spans="2:13" x14ac:dyDescent="0.25">
      <c r="B2459"/>
      <c r="C2459"/>
      <c r="D2459"/>
      <c r="E2459"/>
      <c r="F2459"/>
      <c r="G2459"/>
      <c r="H2459" s="19"/>
      <c r="I2459" s="19"/>
      <c r="J2459" s="19"/>
      <c r="M2459" s="7"/>
    </row>
    <row r="2460" spans="2:13" x14ac:dyDescent="0.25">
      <c r="B2460"/>
      <c r="C2460"/>
      <c r="D2460"/>
      <c r="E2460"/>
      <c r="F2460"/>
      <c r="G2460"/>
      <c r="H2460" s="19"/>
      <c r="I2460" s="19"/>
      <c r="J2460" s="19"/>
      <c r="M2460" s="7"/>
    </row>
    <row r="2461" spans="2:13" x14ac:dyDescent="0.25">
      <c r="B2461"/>
      <c r="C2461"/>
      <c r="D2461"/>
      <c r="E2461"/>
      <c r="F2461"/>
      <c r="G2461"/>
      <c r="H2461" s="19"/>
      <c r="I2461" s="19"/>
      <c r="J2461" s="19"/>
      <c r="M2461" s="7"/>
    </row>
    <row r="2462" spans="2:13" x14ac:dyDescent="0.25">
      <c r="B2462"/>
      <c r="C2462"/>
      <c r="D2462"/>
      <c r="E2462"/>
      <c r="F2462"/>
      <c r="G2462"/>
      <c r="H2462" s="19"/>
      <c r="I2462" s="19"/>
      <c r="J2462" s="19"/>
      <c r="M2462" s="7"/>
    </row>
    <row r="2463" spans="2:13" x14ac:dyDescent="0.25">
      <c r="B2463"/>
      <c r="C2463"/>
      <c r="D2463"/>
      <c r="E2463"/>
      <c r="F2463"/>
      <c r="G2463"/>
      <c r="H2463" s="19"/>
      <c r="I2463" s="19"/>
      <c r="J2463" s="19"/>
      <c r="M2463" s="7"/>
    </row>
    <row r="2464" spans="2:13" x14ac:dyDescent="0.25">
      <c r="B2464"/>
      <c r="C2464"/>
      <c r="D2464"/>
      <c r="E2464"/>
      <c r="F2464"/>
      <c r="G2464"/>
      <c r="H2464" s="19"/>
      <c r="I2464" s="19"/>
      <c r="J2464" s="19"/>
      <c r="M2464" s="7"/>
    </row>
    <row r="2465" spans="2:13" x14ac:dyDescent="0.25">
      <c r="B2465"/>
      <c r="C2465"/>
      <c r="D2465"/>
      <c r="E2465"/>
      <c r="F2465"/>
      <c r="G2465"/>
      <c r="H2465" s="19"/>
      <c r="I2465" s="19"/>
      <c r="J2465" s="19"/>
      <c r="M2465" s="7"/>
    </row>
    <row r="2466" spans="2:13" x14ac:dyDescent="0.25">
      <c r="B2466"/>
      <c r="C2466"/>
      <c r="D2466"/>
      <c r="E2466"/>
      <c r="F2466"/>
      <c r="G2466"/>
      <c r="H2466" s="19"/>
      <c r="I2466" s="19"/>
      <c r="J2466" s="19"/>
      <c r="M2466" s="7"/>
    </row>
    <row r="2467" spans="2:13" x14ac:dyDescent="0.25">
      <c r="B2467"/>
      <c r="C2467"/>
      <c r="D2467"/>
      <c r="E2467"/>
      <c r="F2467"/>
      <c r="G2467"/>
      <c r="H2467" s="19"/>
      <c r="I2467" s="19"/>
      <c r="J2467" s="19"/>
      <c r="M2467" s="7"/>
    </row>
    <row r="2468" spans="2:13" x14ac:dyDescent="0.25">
      <c r="B2468"/>
      <c r="C2468"/>
      <c r="D2468"/>
      <c r="E2468"/>
      <c r="F2468"/>
      <c r="G2468"/>
      <c r="H2468" s="19"/>
      <c r="I2468" s="19"/>
      <c r="J2468" s="19"/>
      <c r="M2468" s="7"/>
    </row>
    <row r="2469" spans="2:13" x14ac:dyDescent="0.25">
      <c r="B2469"/>
      <c r="C2469"/>
      <c r="D2469"/>
      <c r="E2469"/>
      <c r="F2469"/>
      <c r="G2469"/>
      <c r="H2469" s="19"/>
      <c r="I2469" s="19"/>
      <c r="J2469" s="19"/>
      <c r="M2469" s="7"/>
    </row>
    <row r="2470" spans="2:13" x14ac:dyDescent="0.25">
      <c r="B2470"/>
      <c r="C2470"/>
      <c r="D2470"/>
      <c r="E2470"/>
      <c r="F2470"/>
      <c r="G2470"/>
      <c r="H2470" s="19"/>
      <c r="I2470" s="19"/>
      <c r="J2470" s="19"/>
      <c r="M2470" s="7"/>
    </row>
    <row r="2471" spans="2:13" x14ac:dyDescent="0.25">
      <c r="B2471"/>
      <c r="C2471"/>
      <c r="D2471"/>
      <c r="E2471"/>
      <c r="F2471"/>
      <c r="G2471"/>
      <c r="H2471" s="19"/>
      <c r="I2471" s="19"/>
      <c r="J2471" s="19"/>
      <c r="M2471" s="7"/>
    </row>
    <row r="2472" spans="2:13" x14ac:dyDescent="0.25">
      <c r="B2472"/>
      <c r="C2472"/>
      <c r="D2472"/>
      <c r="E2472"/>
      <c r="F2472"/>
      <c r="G2472"/>
      <c r="H2472" s="19"/>
      <c r="I2472" s="19"/>
      <c r="J2472" s="19"/>
      <c r="M2472" s="7"/>
    </row>
    <row r="2473" spans="2:13" x14ac:dyDescent="0.25">
      <c r="B2473"/>
      <c r="C2473"/>
      <c r="D2473"/>
      <c r="E2473"/>
      <c r="F2473"/>
      <c r="G2473"/>
      <c r="H2473" s="19"/>
      <c r="I2473" s="19"/>
      <c r="J2473" s="19"/>
      <c r="M2473" s="7"/>
    </row>
    <row r="2474" spans="2:13" x14ac:dyDescent="0.25">
      <c r="B2474"/>
      <c r="C2474"/>
      <c r="D2474"/>
      <c r="E2474"/>
      <c r="F2474"/>
      <c r="G2474"/>
      <c r="H2474" s="19"/>
      <c r="I2474" s="19"/>
      <c r="J2474" s="19"/>
      <c r="M2474" s="7"/>
    </row>
    <row r="2475" spans="2:13" x14ac:dyDescent="0.25">
      <c r="B2475"/>
      <c r="C2475"/>
      <c r="D2475"/>
      <c r="E2475"/>
      <c r="F2475"/>
      <c r="G2475"/>
      <c r="H2475" s="19"/>
      <c r="I2475" s="19"/>
      <c r="J2475" s="19"/>
      <c r="M2475" s="7"/>
    </row>
    <row r="2476" spans="2:13" x14ac:dyDescent="0.25">
      <c r="B2476"/>
      <c r="C2476"/>
      <c r="D2476"/>
      <c r="E2476"/>
      <c r="F2476"/>
      <c r="G2476"/>
      <c r="H2476" s="19"/>
      <c r="I2476" s="19"/>
      <c r="J2476" s="19"/>
      <c r="M2476" s="7"/>
    </row>
    <row r="2477" spans="2:13" x14ac:dyDescent="0.25">
      <c r="B2477"/>
      <c r="C2477"/>
      <c r="D2477"/>
      <c r="E2477"/>
      <c r="F2477"/>
      <c r="G2477"/>
      <c r="H2477" s="19"/>
      <c r="I2477" s="19"/>
      <c r="J2477" s="19"/>
      <c r="M2477" s="7"/>
    </row>
    <row r="2478" spans="2:13" x14ac:dyDescent="0.25">
      <c r="B2478"/>
      <c r="C2478"/>
      <c r="D2478"/>
      <c r="E2478"/>
      <c r="F2478"/>
      <c r="G2478"/>
      <c r="H2478" s="19"/>
      <c r="I2478" s="19"/>
      <c r="J2478" s="19"/>
      <c r="M2478" s="7"/>
    </row>
    <row r="2479" spans="2:13" x14ac:dyDescent="0.25">
      <c r="B2479"/>
      <c r="C2479"/>
      <c r="D2479"/>
      <c r="E2479"/>
      <c r="F2479"/>
      <c r="G2479"/>
      <c r="H2479" s="19"/>
      <c r="I2479" s="19"/>
      <c r="J2479" s="19"/>
      <c r="M2479" s="7"/>
    </row>
    <row r="2480" spans="2:13" x14ac:dyDescent="0.25">
      <c r="B2480"/>
      <c r="C2480"/>
      <c r="D2480"/>
      <c r="E2480"/>
      <c r="F2480"/>
      <c r="G2480"/>
      <c r="H2480" s="19"/>
      <c r="I2480" s="19"/>
      <c r="J2480" s="19"/>
      <c r="M2480" s="7"/>
    </row>
    <row r="2481" spans="2:13" x14ac:dyDescent="0.25">
      <c r="B2481"/>
      <c r="C2481"/>
      <c r="D2481"/>
      <c r="E2481"/>
      <c r="F2481"/>
      <c r="G2481"/>
      <c r="H2481" s="19"/>
      <c r="I2481" s="19"/>
      <c r="J2481" s="19"/>
      <c r="M2481" s="7"/>
    </row>
    <row r="2482" spans="2:13" x14ac:dyDescent="0.25">
      <c r="B2482"/>
      <c r="C2482"/>
      <c r="D2482"/>
      <c r="E2482"/>
      <c r="F2482"/>
      <c r="G2482"/>
      <c r="H2482" s="19"/>
      <c r="I2482" s="19"/>
      <c r="J2482" s="19"/>
      <c r="M2482" s="7"/>
    </row>
    <row r="2483" spans="2:13" x14ac:dyDescent="0.25">
      <c r="B2483"/>
      <c r="C2483"/>
      <c r="D2483"/>
      <c r="E2483"/>
      <c r="F2483"/>
      <c r="G2483"/>
      <c r="H2483" s="19"/>
      <c r="I2483" s="19"/>
      <c r="J2483" s="19"/>
      <c r="M2483" s="7"/>
    </row>
    <row r="2484" spans="2:13" x14ac:dyDescent="0.25">
      <c r="B2484"/>
      <c r="C2484"/>
      <c r="D2484"/>
      <c r="E2484"/>
      <c r="F2484"/>
      <c r="G2484"/>
      <c r="H2484" s="19"/>
      <c r="I2484" s="19"/>
      <c r="J2484" s="19"/>
      <c r="M2484" s="7"/>
    </row>
    <row r="2485" spans="2:13" x14ac:dyDescent="0.25">
      <c r="B2485"/>
      <c r="C2485"/>
      <c r="D2485"/>
      <c r="E2485"/>
      <c r="F2485"/>
      <c r="G2485"/>
      <c r="H2485" s="19"/>
      <c r="I2485" s="19"/>
      <c r="J2485" s="19"/>
      <c r="M2485" s="7"/>
    </row>
    <row r="2486" spans="2:13" x14ac:dyDescent="0.25">
      <c r="B2486"/>
      <c r="C2486"/>
      <c r="D2486"/>
      <c r="E2486"/>
      <c r="F2486"/>
      <c r="G2486"/>
      <c r="H2486" s="19"/>
      <c r="I2486" s="19"/>
      <c r="J2486" s="19"/>
      <c r="M2486" s="7"/>
    </row>
    <row r="2487" spans="2:13" x14ac:dyDescent="0.25">
      <c r="B2487"/>
      <c r="C2487"/>
      <c r="D2487"/>
      <c r="E2487"/>
      <c r="F2487"/>
      <c r="G2487"/>
      <c r="H2487" s="19"/>
      <c r="I2487" s="19"/>
      <c r="J2487" s="19"/>
      <c r="M2487" s="7"/>
    </row>
    <row r="2488" spans="2:13" x14ac:dyDescent="0.25">
      <c r="B2488"/>
      <c r="C2488"/>
      <c r="D2488"/>
      <c r="E2488"/>
      <c r="F2488"/>
      <c r="G2488"/>
      <c r="H2488" s="19"/>
      <c r="I2488" s="19"/>
      <c r="J2488" s="19"/>
      <c r="M2488" s="7"/>
    </row>
    <row r="2489" spans="2:13" x14ac:dyDescent="0.25">
      <c r="B2489"/>
      <c r="C2489"/>
      <c r="D2489"/>
      <c r="E2489"/>
      <c r="F2489"/>
      <c r="G2489"/>
      <c r="H2489" s="19"/>
      <c r="I2489" s="19"/>
      <c r="J2489" s="19"/>
      <c r="M2489" s="7"/>
    </row>
    <row r="2490" spans="2:13" x14ac:dyDescent="0.25">
      <c r="B2490"/>
      <c r="C2490"/>
      <c r="D2490"/>
      <c r="E2490"/>
      <c r="F2490"/>
      <c r="G2490"/>
      <c r="H2490" s="19"/>
      <c r="I2490" s="19"/>
      <c r="J2490" s="19"/>
      <c r="M2490" s="7"/>
    </row>
    <row r="2491" spans="2:13" x14ac:dyDescent="0.25">
      <c r="B2491"/>
      <c r="C2491"/>
      <c r="D2491"/>
      <c r="E2491"/>
      <c r="F2491"/>
      <c r="G2491"/>
      <c r="H2491" s="19"/>
      <c r="I2491" s="19"/>
      <c r="J2491" s="19"/>
      <c r="M2491" s="7"/>
    </row>
    <row r="2492" spans="2:13" x14ac:dyDescent="0.25">
      <c r="B2492"/>
      <c r="C2492"/>
      <c r="D2492"/>
      <c r="E2492"/>
      <c r="F2492"/>
      <c r="G2492"/>
      <c r="H2492" s="19"/>
      <c r="I2492" s="19"/>
      <c r="J2492" s="19"/>
      <c r="M2492" s="7"/>
    </row>
    <row r="2493" spans="2:13" x14ac:dyDescent="0.25">
      <c r="B2493"/>
      <c r="C2493"/>
      <c r="D2493"/>
      <c r="E2493"/>
      <c r="F2493"/>
      <c r="G2493"/>
      <c r="H2493" s="19"/>
      <c r="I2493" s="19"/>
      <c r="J2493" s="19"/>
      <c r="M2493" s="7"/>
    </row>
    <row r="2494" spans="2:13" x14ac:dyDescent="0.25">
      <c r="B2494"/>
      <c r="C2494"/>
      <c r="D2494"/>
      <c r="E2494"/>
      <c r="F2494"/>
      <c r="G2494"/>
      <c r="H2494" s="19"/>
      <c r="I2494" s="19"/>
      <c r="J2494" s="19"/>
      <c r="M2494" s="7"/>
    </row>
    <row r="2495" spans="2:13" x14ac:dyDescent="0.25">
      <c r="B2495"/>
      <c r="C2495"/>
      <c r="D2495"/>
      <c r="E2495"/>
      <c r="F2495"/>
      <c r="G2495"/>
      <c r="H2495" s="19"/>
      <c r="I2495" s="19"/>
      <c r="J2495" s="19"/>
      <c r="M2495" s="7"/>
    </row>
    <row r="2496" spans="2:13" x14ac:dyDescent="0.25">
      <c r="B2496"/>
      <c r="C2496"/>
      <c r="D2496"/>
      <c r="E2496"/>
      <c r="F2496"/>
      <c r="G2496"/>
      <c r="H2496" s="19"/>
      <c r="I2496" s="19"/>
      <c r="J2496" s="19"/>
      <c r="M2496" s="7"/>
    </row>
    <row r="2497" spans="2:13" x14ac:dyDescent="0.25">
      <c r="B2497"/>
      <c r="C2497"/>
      <c r="D2497"/>
      <c r="E2497"/>
      <c r="F2497"/>
      <c r="G2497"/>
      <c r="H2497" s="19"/>
      <c r="I2497" s="19"/>
      <c r="J2497" s="19"/>
      <c r="M2497" s="7"/>
    </row>
    <row r="2498" spans="2:13" x14ac:dyDescent="0.25">
      <c r="B2498"/>
      <c r="C2498"/>
      <c r="D2498"/>
      <c r="E2498"/>
      <c r="F2498"/>
      <c r="G2498"/>
      <c r="H2498" s="19"/>
      <c r="I2498" s="19"/>
      <c r="J2498" s="19"/>
      <c r="M2498" s="7"/>
    </row>
    <row r="2499" spans="2:13" x14ac:dyDescent="0.25">
      <c r="B2499"/>
      <c r="C2499"/>
      <c r="D2499"/>
      <c r="E2499"/>
      <c r="F2499"/>
      <c r="G2499"/>
      <c r="H2499" s="19"/>
      <c r="I2499" s="19"/>
      <c r="J2499" s="19"/>
      <c r="M2499" s="7"/>
    </row>
    <row r="2500" spans="2:13" x14ac:dyDescent="0.25">
      <c r="B2500"/>
      <c r="C2500"/>
      <c r="D2500"/>
      <c r="E2500"/>
      <c r="F2500"/>
      <c r="G2500"/>
      <c r="H2500" s="19"/>
      <c r="I2500" s="19"/>
      <c r="J2500" s="19"/>
      <c r="M2500" s="7"/>
    </row>
    <row r="2501" spans="2:13" x14ac:dyDescent="0.25">
      <c r="B2501"/>
      <c r="C2501"/>
      <c r="D2501"/>
      <c r="E2501"/>
      <c r="F2501"/>
      <c r="G2501"/>
      <c r="H2501" s="19"/>
      <c r="I2501" s="19"/>
      <c r="J2501" s="19"/>
      <c r="M2501" s="7"/>
    </row>
    <row r="2502" spans="2:13" x14ac:dyDescent="0.25">
      <c r="B2502"/>
      <c r="C2502"/>
      <c r="D2502"/>
      <c r="E2502"/>
      <c r="F2502"/>
      <c r="G2502"/>
      <c r="H2502" s="19"/>
      <c r="I2502" s="19"/>
      <c r="J2502" s="19"/>
      <c r="M2502" s="7"/>
    </row>
    <row r="2503" spans="2:13" x14ac:dyDescent="0.25">
      <c r="B2503"/>
      <c r="C2503"/>
      <c r="D2503"/>
      <c r="E2503"/>
      <c r="F2503"/>
      <c r="G2503"/>
      <c r="H2503" s="19"/>
      <c r="I2503" s="19"/>
      <c r="J2503" s="19"/>
      <c r="M2503" s="7"/>
    </row>
    <row r="2504" spans="2:13" x14ac:dyDescent="0.25">
      <c r="B2504"/>
      <c r="C2504"/>
      <c r="D2504"/>
      <c r="E2504"/>
      <c r="F2504"/>
      <c r="G2504"/>
      <c r="H2504" s="19"/>
      <c r="I2504" s="19"/>
      <c r="J2504" s="19"/>
      <c r="M2504" s="7"/>
    </row>
    <row r="2505" spans="2:13" x14ac:dyDescent="0.25">
      <c r="B2505"/>
      <c r="C2505"/>
      <c r="D2505"/>
      <c r="E2505"/>
      <c r="F2505"/>
      <c r="G2505"/>
      <c r="H2505" s="19"/>
      <c r="I2505" s="19"/>
      <c r="J2505" s="19"/>
      <c r="M2505" s="7"/>
    </row>
    <row r="2506" spans="2:13" x14ac:dyDescent="0.25">
      <c r="B2506"/>
      <c r="C2506"/>
      <c r="D2506"/>
      <c r="E2506"/>
      <c r="F2506"/>
      <c r="G2506"/>
      <c r="H2506" s="19"/>
      <c r="I2506" s="19"/>
      <c r="J2506" s="19"/>
      <c r="M2506" s="7"/>
    </row>
    <row r="2507" spans="2:13" x14ac:dyDescent="0.25">
      <c r="B2507"/>
      <c r="C2507"/>
      <c r="D2507"/>
      <c r="E2507"/>
      <c r="F2507"/>
      <c r="G2507"/>
      <c r="H2507" s="19"/>
      <c r="I2507" s="19"/>
      <c r="J2507" s="19"/>
      <c r="M2507" s="7"/>
    </row>
    <row r="2508" spans="2:13" x14ac:dyDescent="0.25">
      <c r="B2508"/>
      <c r="C2508"/>
      <c r="D2508"/>
      <c r="E2508"/>
      <c r="F2508"/>
      <c r="G2508"/>
      <c r="H2508" s="19"/>
      <c r="I2508" s="19"/>
      <c r="J2508" s="19"/>
      <c r="M2508" s="7"/>
    </row>
    <row r="2509" spans="2:13" x14ac:dyDescent="0.25">
      <c r="B2509"/>
      <c r="C2509"/>
      <c r="D2509"/>
      <c r="E2509"/>
      <c r="F2509"/>
      <c r="G2509"/>
      <c r="H2509" s="19"/>
      <c r="I2509" s="19"/>
      <c r="J2509" s="19"/>
      <c r="M2509" s="7"/>
    </row>
    <row r="2510" spans="2:13" x14ac:dyDescent="0.25">
      <c r="B2510"/>
      <c r="C2510"/>
      <c r="D2510"/>
      <c r="E2510"/>
      <c r="F2510"/>
      <c r="G2510"/>
      <c r="H2510" s="19"/>
      <c r="I2510" s="19"/>
      <c r="J2510" s="19"/>
      <c r="M2510" s="7"/>
    </row>
    <row r="2511" spans="2:13" x14ac:dyDescent="0.25">
      <c r="B2511"/>
      <c r="C2511"/>
      <c r="D2511"/>
      <c r="E2511"/>
      <c r="F2511"/>
      <c r="G2511"/>
      <c r="H2511" s="19"/>
      <c r="I2511" s="19"/>
      <c r="J2511" s="19"/>
      <c r="M2511" s="7"/>
    </row>
    <row r="2512" spans="2:13" x14ac:dyDescent="0.25">
      <c r="B2512"/>
      <c r="C2512"/>
      <c r="D2512"/>
      <c r="E2512"/>
      <c r="F2512"/>
      <c r="G2512"/>
      <c r="H2512" s="19"/>
      <c r="I2512" s="19"/>
      <c r="J2512" s="19"/>
      <c r="M2512" s="7"/>
    </row>
    <row r="2513" spans="2:13" x14ac:dyDescent="0.25">
      <c r="B2513"/>
      <c r="C2513"/>
      <c r="D2513"/>
      <c r="E2513"/>
      <c r="F2513"/>
      <c r="G2513"/>
      <c r="H2513" s="19"/>
      <c r="I2513" s="19"/>
      <c r="J2513" s="19"/>
      <c r="M2513" s="7"/>
    </row>
    <row r="2514" spans="2:13" x14ac:dyDescent="0.25">
      <c r="B2514"/>
      <c r="C2514"/>
      <c r="D2514"/>
      <c r="E2514"/>
      <c r="F2514"/>
      <c r="G2514"/>
      <c r="H2514" s="19"/>
      <c r="I2514" s="19"/>
      <c r="J2514" s="19"/>
      <c r="M2514" s="7"/>
    </row>
    <row r="2515" spans="2:13" x14ac:dyDescent="0.25">
      <c r="B2515"/>
      <c r="C2515"/>
      <c r="D2515"/>
      <c r="E2515"/>
      <c r="F2515"/>
      <c r="G2515"/>
      <c r="H2515" s="19"/>
      <c r="I2515" s="19"/>
      <c r="J2515" s="19"/>
      <c r="M2515" s="7"/>
    </row>
    <row r="2516" spans="2:13" x14ac:dyDescent="0.25">
      <c r="B2516"/>
      <c r="C2516"/>
      <c r="D2516"/>
      <c r="E2516"/>
      <c r="F2516"/>
      <c r="G2516"/>
      <c r="H2516" s="19"/>
      <c r="I2516" s="19"/>
      <c r="J2516" s="19"/>
      <c r="M2516" s="7"/>
    </row>
    <row r="2517" spans="2:13" x14ac:dyDescent="0.25">
      <c r="B2517"/>
      <c r="C2517"/>
      <c r="D2517"/>
      <c r="E2517"/>
      <c r="F2517"/>
      <c r="G2517"/>
      <c r="H2517" s="19"/>
      <c r="I2517" s="19"/>
      <c r="J2517" s="19"/>
      <c r="M2517" s="7"/>
    </row>
    <row r="2518" spans="2:13" x14ac:dyDescent="0.25">
      <c r="B2518"/>
      <c r="C2518"/>
      <c r="D2518"/>
      <c r="E2518"/>
      <c r="F2518"/>
      <c r="G2518"/>
      <c r="H2518" s="19"/>
      <c r="I2518" s="19"/>
      <c r="J2518" s="19"/>
      <c r="M2518" s="7"/>
    </row>
    <row r="2519" spans="2:13" x14ac:dyDescent="0.25">
      <c r="B2519"/>
      <c r="C2519"/>
      <c r="D2519"/>
      <c r="E2519"/>
      <c r="F2519"/>
      <c r="G2519"/>
      <c r="H2519" s="19"/>
      <c r="I2519" s="19"/>
      <c r="J2519" s="19"/>
      <c r="M2519" s="7"/>
    </row>
    <row r="2520" spans="2:13" x14ac:dyDescent="0.25">
      <c r="B2520"/>
      <c r="C2520"/>
      <c r="D2520"/>
      <c r="E2520"/>
      <c r="F2520"/>
      <c r="G2520"/>
      <c r="H2520" s="19"/>
      <c r="I2520" s="19"/>
      <c r="J2520" s="19"/>
      <c r="M2520" s="7"/>
    </row>
    <row r="2521" spans="2:13" x14ac:dyDescent="0.25">
      <c r="B2521"/>
      <c r="C2521"/>
      <c r="D2521"/>
      <c r="E2521"/>
      <c r="F2521"/>
      <c r="G2521"/>
      <c r="H2521" s="19"/>
      <c r="I2521" s="19"/>
      <c r="J2521" s="19"/>
      <c r="M2521" s="7"/>
    </row>
    <row r="2522" spans="2:13" x14ac:dyDescent="0.25">
      <c r="B2522"/>
      <c r="C2522"/>
      <c r="D2522"/>
      <c r="E2522"/>
      <c r="F2522"/>
      <c r="G2522"/>
      <c r="H2522" s="19"/>
      <c r="I2522" s="19"/>
      <c r="J2522" s="19"/>
      <c r="M2522" s="7"/>
    </row>
    <row r="2523" spans="2:13" x14ac:dyDescent="0.25">
      <c r="B2523"/>
      <c r="C2523"/>
      <c r="D2523"/>
      <c r="E2523"/>
      <c r="F2523"/>
      <c r="G2523"/>
      <c r="H2523" s="19"/>
      <c r="I2523" s="19"/>
      <c r="J2523" s="19"/>
      <c r="M2523" s="7"/>
    </row>
    <row r="2524" spans="2:13" x14ac:dyDescent="0.25">
      <c r="B2524"/>
      <c r="C2524"/>
      <c r="D2524"/>
      <c r="E2524"/>
      <c r="F2524"/>
      <c r="G2524"/>
      <c r="H2524" s="19"/>
      <c r="I2524" s="19"/>
      <c r="J2524" s="19"/>
      <c r="M2524" s="7"/>
    </row>
    <row r="2525" spans="2:13" x14ac:dyDescent="0.25">
      <c r="B2525"/>
      <c r="C2525"/>
      <c r="D2525"/>
      <c r="E2525"/>
      <c r="F2525"/>
      <c r="G2525"/>
      <c r="H2525" s="19"/>
      <c r="I2525" s="19"/>
      <c r="J2525" s="19"/>
      <c r="M2525" s="7"/>
    </row>
    <row r="2526" spans="2:13" x14ac:dyDescent="0.25">
      <c r="B2526"/>
      <c r="C2526"/>
      <c r="D2526"/>
      <c r="E2526"/>
      <c r="F2526"/>
      <c r="G2526"/>
      <c r="H2526" s="19"/>
      <c r="I2526" s="19"/>
      <c r="J2526" s="19"/>
      <c r="M2526" s="7"/>
    </row>
    <row r="2527" spans="2:13" x14ac:dyDescent="0.25">
      <c r="B2527"/>
      <c r="C2527"/>
      <c r="D2527"/>
      <c r="E2527"/>
      <c r="F2527"/>
      <c r="G2527"/>
      <c r="H2527" s="19"/>
      <c r="I2527" s="19"/>
      <c r="J2527" s="19"/>
      <c r="M2527" s="7"/>
    </row>
    <row r="2528" spans="2:13" x14ac:dyDescent="0.25">
      <c r="B2528"/>
      <c r="C2528"/>
      <c r="D2528"/>
      <c r="E2528"/>
      <c r="F2528"/>
      <c r="G2528"/>
      <c r="H2528" s="19"/>
      <c r="I2528" s="19"/>
      <c r="J2528" s="19"/>
      <c r="M2528" s="7"/>
    </row>
    <row r="2529" spans="2:13" x14ac:dyDescent="0.25">
      <c r="B2529"/>
      <c r="C2529"/>
      <c r="D2529"/>
      <c r="E2529"/>
      <c r="F2529"/>
      <c r="G2529"/>
      <c r="H2529" s="19"/>
      <c r="I2529" s="19"/>
      <c r="J2529" s="19"/>
      <c r="M2529" s="7"/>
    </row>
    <row r="2530" spans="2:13" x14ac:dyDescent="0.25">
      <c r="B2530"/>
      <c r="C2530"/>
      <c r="D2530"/>
      <c r="E2530"/>
      <c r="F2530"/>
      <c r="G2530"/>
      <c r="H2530" s="19"/>
      <c r="I2530" s="19"/>
      <c r="J2530" s="19"/>
      <c r="M2530" s="7"/>
    </row>
    <row r="2531" spans="2:13" x14ac:dyDescent="0.25">
      <c r="B2531"/>
      <c r="C2531"/>
      <c r="D2531"/>
      <c r="E2531"/>
      <c r="F2531"/>
      <c r="G2531"/>
      <c r="H2531" s="19"/>
      <c r="I2531" s="19"/>
      <c r="J2531" s="19"/>
      <c r="M2531" s="7"/>
    </row>
    <row r="2532" spans="2:13" x14ac:dyDescent="0.25">
      <c r="B2532"/>
      <c r="C2532"/>
      <c r="D2532"/>
      <c r="E2532"/>
      <c r="F2532"/>
      <c r="G2532"/>
      <c r="H2532" s="19"/>
      <c r="I2532" s="19"/>
      <c r="J2532" s="19"/>
      <c r="M2532" s="7"/>
    </row>
    <row r="2533" spans="2:13" x14ac:dyDescent="0.25">
      <c r="B2533"/>
      <c r="C2533"/>
      <c r="D2533"/>
      <c r="E2533"/>
      <c r="F2533"/>
      <c r="G2533"/>
      <c r="H2533" s="19"/>
      <c r="I2533" s="19"/>
      <c r="J2533" s="19"/>
      <c r="M2533" s="7"/>
    </row>
    <row r="2534" spans="2:13" x14ac:dyDescent="0.25">
      <c r="B2534"/>
      <c r="C2534"/>
      <c r="D2534"/>
      <c r="E2534"/>
      <c r="F2534"/>
      <c r="G2534"/>
      <c r="H2534" s="19"/>
      <c r="I2534" s="19"/>
      <c r="J2534" s="19"/>
      <c r="M2534" s="7"/>
    </row>
    <row r="2535" spans="2:13" x14ac:dyDescent="0.25">
      <c r="B2535"/>
      <c r="C2535"/>
      <c r="D2535"/>
      <c r="E2535"/>
      <c r="F2535"/>
      <c r="G2535"/>
      <c r="H2535" s="19"/>
      <c r="I2535" s="19"/>
      <c r="J2535" s="19"/>
      <c r="M2535" s="7"/>
    </row>
    <row r="2536" spans="2:13" x14ac:dyDescent="0.25">
      <c r="B2536"/>
      <c r="C2536"/>
      <c r="D2536"/>
      <c r="E2536"/>
      <c r="F2536"/>
      <c r="G2536"/>
      <c r="H2536" s="19"/>
      <c r="I2536" s="19"/>
      <c r="J2536" s="19"/>
      <c r="M2536" s="7"/>
    </row>
    <row r="2537" spans="2:13" x14ac:dyDescent="0.25">
      <c r="B2537"/>
      <c r="C2537"/>
      <c r="D2537"/>
      <c r="E2537"/>
      <c r="F2537"/>
      <c r="G2537"/>
      <c r="H2537" s="19"/>
      <c r="I2537" s="19"/>
      <c r="J2537" s="19"/>
      <c r="M2537" s="7"/>
    </row>
    <row r="2538" spans="2:13" x14ac:dyDescent="0.25">
      <c r="B2538"/>
      <c r="C2538"/>
      <c r="D2538"/>
      <c r="E2538"/>
      <c r="F2538"/>
      <c r="G2538"/>
      <c r="H2538" s="19"/>
      <c r="I2538" s="19"/>
      <c r="J2538" s="19"/>
      <c r="M2538" s="7"/>
    </row>
    <row r="2539" spans="2:13" x14ac:dyDescent="0.25">
      <c r="B2539"/>
      <c r="C2539"/>
      <c r="D2539"/>
      <c r="E2539"/>
      <c r="F2539"/>
      <c r="G2539"/>
      <c r="H2539" s="19"/>
      <c r="I2539" s="19"/>
      <c r="J2539" s="19"/>
      <c r="M2539" s="7"/>
    </row>
    <row r="2540" spans="2:13" x14ac:dyDescent="0.25">
      <c r="B2540"/>
      <c r="C2540"/>
      <c r="D2540"/>
      <c r="E2540"/>
      <c r="F2540"/>
      <c r="G2540"/>
      <c r="H2540" s="19"/>
      <c r="I2540" s="19"/>
      <c r="J2540" s="19"/>
      <c r="M2540" s="7"/>
    </row>
    <row r="2541" spans="2:13" x14ac:dyDescent="0.25">
      <c r="B2541"/>
      <c r="C2541"/>
      <c r="D2541"/>
      <c r="E2541"/>
      <c r="F2541"/>
      <c r="G2541"/>
      <c r="H2541" s="19"/>
      <c r="I2541" s="19"/>
      <c r="J2541" s="19"/>
      <c r="M2541" s="7"/>
    </row>
    <row r="2542" spans="2:13" x14ac:dyDescent="0.25">
      <c r="B2542"/>
      <c r="C2542"/>
      <c r="D2542"/>
      <c r="E2542"/>
      <c r="F2542"/>
      <c r="G2542"/>
      <c r="H2542" s="19"/>
      <c r="I2542" s="19"/>
      <c r="J2542" s="19"/>
      <c r="M2542" s="7"/>
    </row>
    <row r="2543" spans="2:13" x14ac:dyDescent="0.25">
      <c r="B2543"/>
      <c r="C2543"/>
      <c r="D2543"/>
      <c r="E2543"/>
      <c r="F2543"/>
      <c r="G2543"/>
      <c r="H2543" s="19"/>
      <c r="I2543" s="19"/>
      <c r="J2543" s="19"/>
      <c r="M2543" s="7"/>
    </row>
    <row r="2544" spans="2:13" x14ac:dyDescent="0.25">
      <c r="B2544"/>
      <c r="C2544"/>
      <c r="D2544"/>
      <c r="E2544"/>
      <c r="F2544"/>
      <c r="G2544"/>
      <c r="H2544" s="19"/>
      <c r="I2544" s="19"/>
      <c r="J2544" s="19"/>
      <c r="M2544" s="7"/>
    </row>
    <row r="2545" spans="2:13" x14ac:dyDescent="0.25">
      <c r="B2545"/>
      <c r="C2545"/>
      <c r="D2545"/>
      <c r="E2545"/>
      <c r="F2545"/>
      <c r="G2545"/>
      <c r="H2545" s="19"/>
      <c r="I2545" s="19"/>
      <c r="J2545" s="19"/>
      <c r="M2545" s="7"/>
    </row>
    <row r="2546" spans="2:13" x14ac:dyDescent="0.25">
      <c r="B2546"/>
      <c r="C2546"/>
      <c r="D2546"/>
      <c r="E2546"/>
      <c r="F2546"/>
      <c r="G2546"/>
      <c r="H2546" s="19"/>
      <c r="I2546" s="19"/>
      <c r="J2546" s="19"/>
      <c r="M2546" s="7"/>
    </row>
    <row r="2547" spans="2:13" x14ac:dyDescent="0.25">
      <c r="B2547"/>
      <c r="C2547"/>
      <c r="D2547"/>
      <c r="E2547"/>
      <c r="F2547"/>
      <c r="G2547"/>
      <c r="H2547" s="19"/>
      <c r="I2547" s="19"/>
      <c r="J2547" s="19"/>
      <c r="M2547" s="7"/>
    </row>
    <row r="2548" spans="2:13" x14ac:dyDescent="0.25">
      <c r="B2548"/>
      <c r="C2548"/>
      <c r="D2548"/>
      <c r="E2548"/>
      <c r="F2548"/>
      <c r="G2548"/>
      <c r="H2548" s="19"/>
      <c r="I2548" s="19"/>
      <c r="J2548" s="19"/>
      <c r="M2548" s="7"/>
    </row>
    <row r="2549" spans="2:13" x14ac:dyDescent="0.25">
      <c r="B2549"/>
      <c r="C2549"/>
      <c r="D2549"/>
      <c r="E2549"/>
      <c r="F2549"/>
      <c r="G2549"/>
      <c r="H2549" s="19"/>
      <c r="I2549" s="19"/>
      <c r="J2549" s="19"/>
      <c r="M2549" s="7"/>
    </row>
    <row r="2550" spans="2:13" x14ac:dyDescent="0.25">
      <c r="B2550"/>
      <c r="C2550"/>
      <c r="D2550"/>
      <c r="E2550"/>
      <c r="F2550"/>
      <c r="G2550"/>
      <c r="H2550" s="19"/>
      <c r="I2550" s="19"/>
      <c r="J2550" s="19"/>
      <c r="M2550" s="7"/>
    </row>
    <row r="2551" spans="2:13" x14ac:dyDescent="0.25">
      <c r="B2551"/>
      <c r="C2551"/>
      <c r="D2551"/>
      <c r="E2551"/>
      <c r="F2551"/>
      <c r="G2551"/>
      <c r="H2551" s="19"/>
      <c r="I2551" s="19"/>
      <c r="J2551" s="19"/>
      <c r="M2551" s="7"/>
    </row>
    <row r="2552" spans="2:13" x14ac:dyDescent="0.25">
      <c r="B2552"/>
      <c r="C2552"/>
      <c r="D2552"/>
      <c r="E2552"/>
      <c r="F2552"/>
      <c r="G2552"/>
      <c r="H2552" s="19"/>
      <c r="I2552" s="19"/>
      <c r="J2552" s="19"/>
      <c r="M2552" s="7"/>
    </row>
    <row r="2553" spans="2:13" x14ac:dyDescent="0.25">
      <c r="B2553"/>
      <c r="C2553"/>
      <c r="D2553"/>
      <c r="E2553"/>
      <c r="F2553"/>
      <c r="G2553"/>
      <c r="H2553" s="19"/>
      <c r="I2553" s="19"/>
      <c r="J2553" s="19"/>
      <c r="M2553" s="7"/>
    </row>
    <row r="2554" spans="2:13" x14ac:dyDescent="0.25">
      <c r="B2554"/>
      <c r="C2554"/>
      <c r="D2554"/>
      <c r="E2554"/>
      <c r="F2554"/>
      <c r="G2554"/>
      <c r="H2554" s="19"/>
      <c r="I2554" s="19"/>
      <c r="J2554" s="19"/>
      <c r="M2554" s="7"/>
    </row>
    <row r="2555" spans="2:13" x14ac:dyDescent="0.25">
      <c r="B2555"/>
      <c r="C2555"/>
      <c r="D2555"/>
      <c r="E2555"/>
      <c r="F2555"/>
      <c r="G2555"/>
      <c r="H2555" s="19"/>
      <c r="I2555" s="19"/>
      <c r="J2555" s="19"/>
      <c r="M2555" s="7"/>
    </row>
    <row r="2556" spans="2:13" x14ac:dyDescent="0.25">
      <c r="B2556"/>
      <c r="C2556"/>
      <c r="D2556"/>
      <c r="E2556"/>
      <c r="F2556"/>
      <c r="G2556"/>
      <c r="H2556" s="19"/>
      <c r="I2556" s="19"/>
      <c r="J2556" s="19"/>
      <c r="M2556" s="7"/>
    </row>
    <row r="2557" spans="2:13" x14ac:dyDescent="0.25">
      <c r="B2557"/>
      <c r="C2557"/>
      <c r="D2557"/>
      <c r="E2557"/>
      <c r="F2557"/>
      <c r="G2557"/>
      <c r="H2557" s="19"/>
      <c r="I2557" s="19"/>
      <c r="J2557" s="19"/>
      <c r="M2557" s="7"/>
    </row>
    <row r="2558" spans="2:13" x14ac:dyDescent="0.25">
      <c r="B2558"/>
      <c r="C2558"/>
      <c r="D2558"/>
      <c r="E2558"/>
      <c r="F2558"/>
      <c r="G2558"/>
      <c r="H2558" s="19"/>
      <c r="I2558" s="19"/>
      <c r="J2558" s="19"/>
      <c r="M2558" s="7"/>
    </row>
    <row r="2559" spans="2:13" x14ac:dyDescent="0.25">
      <c r="B2559"/>
      <c r="C2559"/>
      <c r="D2559"/>
      <c r="E2559"/>
      <c r="F2559"/>
      <c r="G2559"/>
      <c r="H2559" s="19"/>
      <c r="I2559" s="19"/>
      <c r="J2559" s="19"/>
      <c r="M2559" s="7"/>
    </row>
    <row r="2560" spans="2:13" x14ac:dyDescent="0.25">
      <c r="B2560"/>
      <c r="C2560"/>
      <c r="D2560"/>
      <c r="E2560"/>
      <c r="F2560"/>
      <c r="G2560"/>
      <c r="H2560" s="19"/>
      <c r="I2560" s="19"/>
      <c r="J2560" s="19"/>
      <c r="M2560" s="7"/>
    </row>
    <row r="2561" spans="2:13" x14ac:dyDescent="0.25">
      <c r="B2561"/>
      <c r="C2561"/>
      <c r="D2561"/>
      <c r="E2561"/>
      <c r="F2561"/>
      <c r="G2561"/>
      <c r="H2561" s="19"/>
      <c r="I2561" s="19"/>
      <c r="J2561" s="19"/>
      <c r="M2561" s="7"/>
    </row>
    <row r="2562" spans="2:13" x14ac:dyDescent="0.25">
      <c r="B2562"/>
      <c r="C2562"/>
      <c r="D2562"/>
      <c r="E2562"/>
      <c r="F2562"/>
      <c r="G2562"/>
      <c r="H2562" s="19"/>
      <c r="I2562" s="19"/>
      <c r="J2562" s="19"/>
      <c r="M2562" s="7"/>
    </row>
    <row r="2563" spans="2:13" x14ac:dyDescent="0.25">
      <c r="B2563"/>
      <c r="C2563"/>
      <c r="D2563"/>
      <c r="E2563"/>
      <c r="F2563"/>
      <c r="G2563"/>
      <c r="H2563" s="19"/>
      <c r="I2563" s="19"/>
      <c r="J2563" s="19"/>
      <c r="M2563" s="7"/>
    </row>
    <row r="2564" spans="2:13" x14ac:dyDescent="0.25">
      <c r="B2564"/>
      <c r="C2564"/>
      <c r="D2564"/>
      <c r="E2564"/>
      <c r="F2564"/>
      <c r="G2564"/>
      <c r="H2564" s="19"/>
      <c r="I2564" s="19"/>
      <c r="J2564" s="19"/>
      <c r="M2564" s="7"/>
    </row>
    <row r="2565" spans="2:13" x14ac:dyDescent="0.25">
      <c r="B2565"/>
      <c r="C2565"/>
      <c r="D2565"/>
      <c r="E2565"/>
      <c r="F2565"/>
      <c r="G2565"/>
      <c r="H2565" s="19"/>
      <c r="I2565" s="19"/>
      <c r="J2565" s="19"/>
      <c r="M2565" s="7"/>
    </row>
    <row r="2566" spans="2:13" x14ac:dyDescent="0.25">
      <c r="B2566"/>
      <c r="C2566"/>
      <c r="D2566"/>
      <c r="E2566"/>
      <c r="F2566"/>
      <c r="G2566"/>
      <c r="H2566" s="19"/>
      <c r="I2566" s="19"/>
      <c r="J2566" s="19"/>
      <c r="M2566" s="7"/>
    </row>
    <row r="2567" spans="2:13" x14ac:dyDescent="0.25">
      <c r="B2567"/>
      <c r="C2567"/>
      <c r="D2567"/>
      <c r="E2567"/>
      <c r="F2567"/>
      <c r="G2567"/>
      <c r="H2567" s="19"/>
      <c r="I2567" s="19"/>
      <c r="J2567" s="19"/>
      <c r="M2567" s="7"/>
    </row>
    <row r="2568" spans="2:13" x14ac:dyDescent="0.25">
      <c r="B2568"/>
      <c r="C2568"/>
      <c r="D2568"/>
      <c r="E2568"/>
      <c r="F2568"/>
      <c r="G2568"/>
      <c r="H2568" s="19"/>
      <c r="I2568" s="19"/>
      <c r="J2568" s="19"/>
      <c r="M2568" s="7"/>
    </row>
    <row r="2569" spans="2:13" x14ac:dyDescent="0.25">
      <c r="B2569"/>
      <c r="C2569"/>
      <c r="D2569"/>
      <c r="E2569"/>
      <c r="F2569"/>
      <c r="G2569"/>
      <c r="H2569" s="19"/>
      <c r="I2569" s="19"/>
      <c r="J2569" s="19"/>
      <c r="M2569" s="7"/>
    </row>
    <row r="2570" spans="2:13" x14ac:dyDescent="0.25">
      <c r="B2570"/>
      <c r="C2570"/>
      <c r="D2570"/>
      <c r="E2570"/>
      <c r="F2570"/>
      <c r="G2570"/>
      <c r="H2570" s="19"/>
      <c r="I2570" s="19"/>
      <c r="J2570" s="19"/>
      <c r="M2570" s="7"/>
    </row>
    <row r="2571" spans="2:13" x14ac:dyDescent="0.25">
      <c r="B2571"/>
      <c r="C2571"/>
      <c r="D2571"/>
      <c r="E2571"/>
      <c r="F2571"/>
      <c r="G2571"/>
      <c r="H2571" s="19"/>
      <c r="I2571" s="19"/>
      <c r="J2571" s="19"/>
      <c r="M2571" s="7"/>
    </row>
    <row r="2572" spans="2:13" x14ac:dyDescent="0.25">
      <c r="B2572"/>
      <c r="C2572"/>
      <c r="D2572"/>
      <c r="E2572"/>
      <c r="F2572"/>
      <c r="G2572"/>
      <c r="H2572" s="19"/>
      <c r="I2572" s="19"/>
      <c r="J2572" s="19"/>
      <c r="M2572" s="7"/>
    </row>
    <row r="2573" spans="2:13" x14ac:dyDescent="0.25">
      <c r="B2573"/>
      <c r="C2573"/>
      <c r="D2573"/>
      <c r="E2573"/>
      <c r="F2573"/>
      <c r="G2573"/>
      <c r="H2573" s="19"/>
      <c r="I2573" s="19"/>
      <c r="J2573" s="19"/>
      <c r="M2573" s="7"/>
    </row>
    <row r="2574" spans="2:13" x14ac:dyDescent="0.25">
      <c r="B2574"/>
      <c r="C2574"/>
      <c r="D2574"/>
      <c r="E2574"/>
      <c r="F2574"/>
      <c r="G2574"/>
      <c r="H2574" s="19"/>
      <c r="I2574" s="19"/>
      <c r="J2574" s="19"/>
      <c r="M2574" s="7"/>
    </row>
    <row r="2575" spans="2:13" x14ac:dyDescent="0.25">
      <c r="B2575"/>
      <c r="C2575"/>
      <c r="D2575"/>
      <c r="E2575"/>
      <c r="F2575"/>
      <c r="G2575"/>
      <c r="H2575" s="19"/>
      <c r="I2575" s="19"/>
      <c r="J2575" s="19"/>
      <c r="M2575" s="7"/>
    </row>
    <row r="2576" spans="2:13" x14ac:dyDescent="0.25">
      <c r="B2576"/>
      <c r="C2576"/>
      <c r="D2576"/>
      <c r="E2576"/>
      <c r="F2576"/>
      <c r="G2576"/>
      <c r="H2576" s="19"/>
      <c r="I2576" s="19"/>
      <c r="J2576" s="19"/>
      <c r="M2576" s="7"/>
    </row>
    <row r="2577" spans="2:13" x14ac:dyDescent="0.25">
      <c r="B2577"/>
      <c r="C2577"/>
      <c r="D2577"/>
      <c r="E2577"/>
      <c r="F2577"/>
      <c r="G2577"/>
      <c r="H2577" s="19"/>
      <c r="I2577" s="19"/>
      <c r="J2577" s="19"/>
      <c r="M2577" s="7"/>
    </row>
    <row r="2578" spans="2:13" x14ac:dyDescent="0.25">
      <c r="B2578"/>
      <c r="C2578"/>
      <c r="D2578"/>
      <c r="E2578"/>
      <c r="F2578"/>
      <c r="G2578"/>
      <c r="H2578" s="19"/>
      <c r="I2578" s="19"/>
      <c r="J2578" s="19"/>
      <c r="M2578" s="7"/>
    </row>
    <row r="2579" spans="2:13" x14ac:dyDescent="0.25">
      <c r="B2579"/>
      <c r="C2579"/>
      <c r="D2579"/>
      <c r="E2579"/>
      <c r="F2579"/>
      <c r="G2579"/>
      <c r="H2579" s="19"/>
      <c r="I2579" s="19"/>
      <c r="J2579" s="19"/>
      <c r="M2579" s="7"/>
    </row>
    <row r="2580" spans="2:13" x14ac:dyDescent="0.25">
      <c r="B2580"/>
      <c r="C2580"/>
      <c r="D2580"/>
      <c r="E2580"/>
      <c r="F2580"/>
      <c r="G2580"/>
      <c r="H2580" s="19"/>
      <c r="I2580" s="19"/>
      <c r="J2580" s="19"/>
      <c r="M2580" s="7"/>
    </row>
    <row r="2581" spans="2:13" x14ac:dyDescent="0.25">
      <c r="B2581"/>
      <c r="C2581"/>
      <c r="D2581"/>
      <c r="E2581"/>
      <c r="F2581"/>
      <c r="G2581"/>
      <c r="H2581" s="19"/>
      <c r="I2581" s="19"/>
      <c r="J2581" s="19"/>
      <c r="M2581" s="7"/>
    </row>
    <row r="2582" spans="2:13" x14ac:dyDescent="0.25">
      <c r="B2582"/>
      <c r="C2582"/>
      <c r="D2582"/>
      <c r="E2582"/>
      <c r="F2582"/>
      <c r="G2582"/>
      <c r="H2582" s="19"/>
      <c r="I2582" s="19"/>
      <c r="J2582" s="19"/>
      <c r="M2582" s="7"/>
    </row>
    <row r="2583" spans="2:13" x14ac:dyDescent="0.25">
      <c r="B2583"/>
      <c r="C2583"/>
      <c r="D2583"/>
      <c r="E2583"/>
      <c r="F2583"/>
      <c r="G2583"/>
      <c r="H2583" s="19"/>
      <c r="I2583" s="19"/>
      <c r="J2583" s="19"/>
      <c r="M2583" s="7"/>
    </row>
    <row r="2584" spans="2:13" x14ac:dyDescent="0.25">
      <c r="B2584"/>
      <c r="C2584"/>
      <c r="D2584"/>
      <c r="E2584"/>
      <c r="F2584"/>
      <c r="G2584"/>
      <c r="H2584" s="19"/>
      <c r="I2584" s="19"/>
      <c r="J2584" s="19"/>
      <c r="M2584" s="7"/>
    </row>
    <row r="2585" spans="2:13" x14ac:dyDescent="0.25">
      <c r="B2585"/>
      <c r="C2585"/>
      <c r="D2585"/>
      <c r="E2585"/>
      <c r="F2585"/>
      <c r="G2585"/>
      <c r="H2585" s="19"/>
      <c r="I2585" s="19"/>
      <c r="J2585" s="19"/>
      <c r="M2585" s="7"/>
    </row>
    <row r="2586" spans="2:13" x14ac:dyDescent="0.25">
      <c r="B2586"/>
      <c r="C2586"/>
      <c r="D2586"/>
      <c r="E2586"/>
      <c r="F2586"/>
      <c r="G2586"/>
      <c r="H2586" s="19"/>
      <c r="I2586" s="19"/>
      <c r="J2586" s="19"/>
      <c r="M2586" s="7"/>
    </row>
    <row r="2587" spans="2:13" x14ac:dyDescent="0.25">
      <c r="B2587"/>
      <c r="C2587"/>
      <c r="D2587"/>
      <c r="E2587"/>
      <c r="F2587"/>
      <c r="G2587"/>
      <c r="H2587" s="19"/>
      <c r="I2587" s="19"/>
      <c r="J2587" s="19"/>
      <c r="M2587" s="7"/>
    </row>
    <row r="2588" spans="2:13" x14ac:dyDescent="0.25">
      <c r="B2588"/>
      <c r="C2588"/>
      <c r="D2588"/>
      <c r="E2588"/>
      <c r="F2588"/>
      <c r="G2588"/>
      <c r="H2588" s="19"/>
      <c r="I2588" s="19"/>
      <c r="J2588" s="19"/>
      <c r="M2588" s="7"/>
    </row>
    <row r="2589" spans="2:13" x14ac:dyDescent="0.25">
      <c r="B2589"/>
      <c r="C2589"/>
      <c r="D2589"/>
      <c r="E2589"/>
      <c r="F2589"/>
      <c r="G2589"/>
      <c r="H2589" s="19"/>
      <c r="I2589" s="19"/>
      <c r="J2589" s="19"/>
      <c r="M2589" s="7"/>
    </row>
    <row r="2590" spans="2:13" x14ac:dyDescent="0.25">
      <c r="B2590"/>
      <c r="C2590"/>
      <c r="D2590"/>
      <c r="E2590"/>
      <c r="F2590"/>
      <c r="G2590"/>
      <c r="H2590" s="19"/>
      <c r="I2590" s="19"/>
      <c r="J2590" s="19"/>
      <c r="M2590" s="7"/>
    </row>
    <row r="2591" spans="2:13" x14ac:dyDescent="0.25">
      <c r="B2591"/>
      <c r="C2591"/>
      <c r="D2591"/>
      <c r="E2591"/>
      <c r="F2591"/>
      <c r="G2591"/>
      <c r="H2591" s="19"/>
      <c r="I2591" s="19"/>
      <c r="J2591" s="19"/>
      <c r="M2591" s="7"/>
    </row>
    <row r="2592" spans="2:13" x14ac:dyDescent="0.25">
      <c r="B2592"/>
      <c r="C2592"/>
      <c r="D2592"/>
      <c r="E2592"/>
      <c r="F2592"/>
      <c r="G2592"/>
      <c r="H2592" s="19"/>
      <c r="I2592" s="19"/>
      <c r="J2592" s="19"/>
      <c r="M2592" s="7"/>
    </row>
    <row r="2593" spans="2:13" x14ac:dyDescent="0.25">
      <c r="B2593"/>
      <c r="C2593"/>
      <c r="D2593"/>
      <c r="E2593"/>
      <c r="F2593"/>
      <c r="G2593"/>
      <c r="H2593" s="19"/>
      <c r="I2593" s="19"/>
      <c r="J2593" s="19"/>
      <c r="M2593" s="7"/>
    </row>
    <row r="2594" spans="2:13" x14ac:dyDescent="0.25">
      <c r="B2594"/>
      <c r="C2594"/>
      <c r="D2594"/>
      <c r="E2594"/>
      <c r="F2594"/>
      <c r="G2594"/>
      <c r="H2594" s="19"/>
      <c r="I2594" s="19"/>
      <c r="J2594" s="19"/>
      <c r="M2594" s="7"/>
    </row>
    <row r="2595" spans="2:13" x14ac:dyDescent="0.25">
      <c r="B2595"/>
      <c r="C2595"/>
      <c r="D2595"/>
      <c r="E2595"/>
      <c r="F2595"/>
      <c r="G2595"/>
      <c r="H2595" s="19"/>
      <c r="I2595" s="19"/>
      <c r="J2595" s="19"/>
      <c r="M2595" s="7"/>
    </row>
    <row r="2596" spans="2:13" x14ac:dyDescent="0.25">
      <c r="B2596"/>
      <c r="C2596"/>
      <c r="D2596"/>
      <c r="E2596"/>
      <c r="F2596"/>
      <c r="G2596"/>
      <c r="H2596" s="19"/>
      <c r="I2596" s="19"/>
      <c r="J2596" s="19"/>
      <c r="M2596" s="7"/>
    </row>
    <row r="2597" spans="2:13" x14ac:dyDescent="0.25">
      <c r="B2597"/>
      <c r="C2597"/>
      <c r="D2597"/>
      <c r="E2597"/>
      <c r="F2597"/>
      <c r="G2597"/>
      <c r="H2597" s="19"/>
      <c r="I2597" s="19"/>
      <c r="J2597" s="19"/>
      <c r="M2597" s="7"/>
    </row>
    <row r="2598" spans="2:13" x14ac:dyDescent="0.25">
      <c r="B2598"/>
      <c r="C2598"/>
      <c r="D2598"/>
      <c r="E2598"/>
      <c r="F2598"/>
      <c r="G2598"/>
      <c r="H2598" s="19"/>
      <c r="I2598" s="19"/>
      <c r="J2598" s="19"/>
      <c r="M2598" s="7"/>
    </row>
    <row r="2599" spans="2:13" x14ac:dyDescent="0.25">
      <c r="B2599"/>
      <c r="C2599"/>
      <c r="D2599"/>
      <c r="E2599"/>
      <c r="F2599"/>
      <c r="G2599"/>
      <c r="H2599" s="19"/>
      <c r="I2599" s="19"/>
      <c r="J2599" s="19"/>
      <c r="M2599" s="7"/>
    </row>
    <row r="2600" spans="2:13" x14ac:dyDescent="0.25">
      <c r="B2600"/>
      <c r="C2600"/>
      <c r="D2600"/>
      <c r="E2600"/>
      <c r="F2600"/>
      <c r="G2600"/>
      <c r="H2600" s="19"/>
      <c r="I2600" s="19"/>
      <c r="J2600" s="19"/>
      <c r="M2600" s="7"/>
    </row>
    <row r="2601" spans="2:13" x14ac:dyDescent="0.25">
      <c r="B2601"/>
      <c r="C2601"/>
      <c r="D2601"/>
      <c r="E2601"/>
      <c r="F2601"/>
      <c r="G2601"/>
      <c r="H2601" s="19"/>
      <c r="I2601" s="19"/>
      <c r="J2601" s="19"/>
      <c r="M2601" s="7"/>
    </row>
    <row r="2602" spans="2:13" x14ac:dyDescent="0.25">
      <c r="B2602"/>
      <c r="C2602"/>
      <c r="D2602"/>
      <c r="E2602"/>
      <c r="F2602"/>
      <c r="G2602"/>
      <c r="H2602" s="19"/>
      <c r="I2602" s="19"/>
      <c r="J2602" s="19"/>
      <c r="M2602" s="7"/>
    </row>
    <row r="2603" spans="2:13" x14ac:dyDescent="0.25">
      <c r="B2603"/>
      <c r="C2603"/>
      <c r="D2603"/>
      <c r="E2603"/>
      <c r="F2603"/>
      <c r="G2603"/>
      <c r="H2603" s="19"/>
      <c r="I2603" s="19"/>
      <c r="J2603" s="19"/>
      <c r="M2603" s="7"/>
    </row>
    <row r="2604" spans="2:13" x14ac:dyDescent="0.25">
      <c r="B2604"/>
      <c r="C2604"/>
      <c r="D2604"/>
      <c r="E2604"/>
      <c r="F2604"/>
      <c r="G2604"/>
      <c r="H2604" s="19"/>
      <c r="I2604" s="19"/>
      <c r="J2604" s="19"/>
      <c r="M2604" s="7"/>
    </row>
    <row r="2605" spans="2:13" x14ac:dyDescent="0.25">
      <c r="B2605"/>
      <c r="C2605"/>
      <c r="D2605"/>
      <c r="E2605"/>
      <c r="F2605"/>
      <c r="G2605"/>
      <c r="H2605" s="19"/>
      <c r="I2605" s="19"/>
      <c r="J2605" s="19"/>
      <c r="M2605" s="7"/>
    </row>
    <row r="2606" spans="2:13" x14ac:dyDescent="0.25">
      <c r="B2606"/>
      <c r="C2606"/>
      <c r="D2606"/>
      <c r="E2606"/>
      <c r="F2606"/>
      <c r="G2606"/>
      <c r="H2606" s="19"/>
      <c r="I2606" s="19"/>
      <c r="J2606" s="19"/>
      <c r="M2606" s="7"/>
    </row>
    <row r="2607" spans="2:13" x14ac:dyDescent="0.25">
      <c r="B2607"/>
      <c r="C2607"/>
      <c r="D2607"/>
      <c r="E2607"/>
      <c r="F2607"/>
      <c r="G2607"/>
      <c r="H2607" s="19"/>
      <c r="I2607" s="19"/>
      <c r="J2607" s="19"/>
      <c r="M2607" s="7"/>
    </row>
    <row r="2608" spans="2:13" x14ac:dyDescent="0.25">
      <c r="B2608"/>
      <c r="C2608"/>
      <c r="D2608"/>
      <c r="E2608"/>
      <c r="F2608"/>
      <c r="G2608"/>
      <c r="H2608" s="19"/>
      <c r="I2608" s="19"/>
      <c r="J2608" s="19"/>
      <c r="M2608" s="7"/>
    </row>
    <row r="2609" spans="2:13" x14ac:dyDescent="0.25">
      <c r="B2609"/>
      <c r="C2609"/>
      <c r="D2609"/>
      <c r="E2609"/>
      <c r="F2609"/>
      <c r="G2609"/>
      <c r="H2609" s="19"/>
      <c r="I2609" s="19"/>
      <c r="J2609" s="19"/>
      <c r="M2609" s="7"/>
    </row>
    <row r="2610" spans="2:13" x14ac:dyDescent="0.25">
      <c r="B2610"/>
      <c r="C2610"/>
      <c r="D2610"/>
      <c r="E2610"/>
      <c r="F2610"/>
      <c r="G2610"/>
      <c r="H2610" s="19"/>
      <c r="I2610" s="19"/>
      <c r="J2610" s="19"/>
      <c r="M2610" s="7"/>
    </row>
    <row r="2611" spans="2:13" x14ac:dyDescent="0.25">
      <c r="B2611"/>
      <c r="C2611"/>
      <c r="D2611"/>
      <c r="E2611"/>
      <c r="F2611"/>
      <c r="G2611"/>
      <c r="H2611" s="19"/>
      <c r="I2611" s="19"/>
      <c r="J2611" s="19"/>
      <c r="M2611" s="7"/>
    </row>
    <row r="2612" spans="2:13" x14ac:dyDescent="0.25">
      <c r="B2612"/>
      <c r="C2612"/>
      <c r="D2612"/>
      <c r="E2612"/>
      <c r="F2612"/>
      <c r="G2612"/>
      <c r="H2612" s="19"/>
      <c r="I2612" s="19"/>
      <c r="J2612" s="19"/>
      <c r="M2612" s="7"/>
    </row>
    <row r="2613" spans="2:13" x14ac:dyDescent="0.25">
      <c r="B2613"/>
      <c r="C2613"/>
      <c r="D2613"/>
      <c r="E2613"/>
      <c r="F2613"/>
      <c r="G2613"/>
      <c r="H2613" s="19"/>
      <c r="I2613" s="19"/>
      <c r="J2613" s="19"/>
      <c r="M2613" s="7"/>
    </row>
    <row r="2614" spans="2:13" x14ac:dyDescent="0.25">
      <c r="B2614"/>
      <c r="C2614"/>
      <c r="D2614"/>
      <c r="E2614"/>
      <c r="F2614"/>
      <c r="G2614"/>
      <c r="H2614" s="19"/>
      <c r="I2614" s="19"/>
      <c r="J2614" s="19"/>
      <c r="M2614" s="7"/>
    </row>
    <row r="2615" spans="2:13" x14ac:dyDescent="0.25">
      <c r="B2615"/>
      <c r="C2615"/>
      <c r="D2615"/>
      <c r="E2615"/>
      <c r="F2615"/>
      <c r="G2615"/>
      <c r="H2615" s="19"/>
      <c r="I2615" s="19"/>
      <c r="J2615" s="19"/>
      <c r="M2615" s="7"/>
    </row>
    <row r="2616" spans="2:13" x14ac:dyDescent="0.25">
      <c r="B2616"/>
      <c r="C2616"/>
      <c r="D2616"/>
      <c r="E2616"/>
      <c r="F2616"/>
      <c r="G2616"/>
      <c r="H2616" s="19"/>
      <c r="I2616" s="19"/>
      <c r="J2616" s="19"/>
      <c r="M2616" s="7"/>
    </row>
    <row r="2617" spans="2:13" x14ac:dyDescent="0.25">
      <c r="B2617"/>
      <c r="C2617"/>
      <c r="D2617"/>
      <c r="E2617"/>
      <c r="F2617"/>
      <c r="G2617"/>
      <c r="H2617" s="19"/>
      <c r="I2617" s="19"/>
      <c r="J2617" s="19"/>
      <c r="M2617" s="7"/>
    </row>
    <row r="2618" spans="2:13" x14ac:dyDescent="0.25">
      <c r="B2618"/>
      <c r="C2618"/>
      <c r="D2618"/>
      <c r="E2618"/>
      <c r="F2618"/>
      <c r="G2618"/>
      <c r="H2618" s="19"/>
      <c r="I2618" s="19"/>
      <c r="J2618" s="19"/>
      <c r="M2618" s="7"/>
    </row>
    <row r="2619" spans="2:13" x14ac:dyDescent="0.25">
      <c r="B2619"/>
      <c r="C2619"/>
      <c r="D2619"/>
      <c r="E2619"/>
      <c r="F2619"/>
      <c r="G2619"/>
      <c r="H2619" s="19"/>
      <c r="I2619" s="19"/>
      <c r="J2619" s="19"/>
      <c r="M2619" s="7"/>
    </row>
    <row r="2620" spans="2:13" x14ac:dyDescent="0.25">
      <c r="B2620"/>
      <c r="C2620"/>
      <c r="D2620"/>
      <c r="E2620"/>
      <c r="F2620"/>
      <c r="G2620"/>
      <c r="H2620" s="19"/>
      <c r="I2620" s="19"/>
      <c r="J2620" s="19"/>
      <c r="M2620" s="7"/>
    </row>
    <row r="2621" spans="2:13" x14ac:dyDescent="0.25">
      <c r="B2621"/>
      <c r="C2621"/>
      <c r="D2621"/>
      <c r="E2621"/>
      <c r="F2621"/>
      <c r="G2621"/>
      <c r="H2621" s="19"/>
      <c r="I2621" s="19"/>
      <c r="J2621" s="19"/>
      <c r="M2621" s="7"/>
    </row>
    <row r="2622" spans="2:13" x14ac:dyDescent="0.25">
      <c r="B2622"/>
      <c r="C2622"/>
      <c r="D2622"/>
      <c r="E2622"/>
      <c r="F2622"/>
      <c r="G2622"/>
      <c r="H2622" s="19"/>
      <c r="I2622" s="19"/>
      <c r="J2622" s="19"/>
      <c r="M2622" s="7"/>
    </row>
    <row r="2623" spans="2:13" x14ac:dyDescent="0.25">
      <c r="B2623"/>
      <c r="C2623"/>
      <c r="D2623"/>
      <c r="E2623"/>
      <c r="F2623"/>
      <c r="G2623"/>
      <c r="H2623" s="19"/>
      <c r="I2623" s="19"/>
      <c r="J2623" s="19"/>
      <c r="M2623" s="7"/>
    </row>
    <row r="2624" spans="2:13" x14ac:dyDescent="0.25">
      <c r="B2624"/>
      <c r="C2624"/>
      <c r="D2624"/>
      <c r="E2624"/>
      <c r="F2624"/>
      <c r="G2624"/>
      <c r="H2624" s="19"/>
      <c r="I2624" s="19"/>
      <c r="J2624" s="19"/>
      <c r="M2624" s="7"/>
    </row>
    <row r="2625" spans="2:13" x14ac:dyDescent="0.25">
      <c r="B2625"/>
      <c r="C2625"/>
      <c r="D2625"/>
      <c r="E2625"/>
      <c r="F2625"/>
      <c r="G2625"/>
      <c r="H2625" s="19"/>
      <c r="I2625" s="19"/>
      <c r="J2625" s="19"/>
      <c r="M2625" s="7"/>
    </row>
    <row r="2626" spans="2:13" x14ac:dyDescent="0.25">
      <c r="B2626"/>
      <c r="C2626"/>
      <c r="D2626"/>
      <c r="E2626"/>
      <c r="F2626"/>
      <c r="G2626"/>
      <c r="H2626" s="19"/>
      <c r="I2626" s="19"/>
      <c r="J2626" s="19"/>
      <c r="M2626" s="7"/>
    </row>
    <row r="2627" spans="2:13" x14ac:dyDescent="0.25">
      <c r="B2627"/>
      <c r="C2627"/>
      <c r="D2627"/>
      <c r="E2627"/>
      <c r="F2627"/>
      <c r="G2627"/>
      <c r="H2627" s="19"/>
      <c r="I2627" s="19"/>
      <c r="J2627" s="19"/>
      <c r="M2627" s="7"/>
    </row>
    <row r="2628" spans="2:13" x14ac:dyDescent="0.25">
      <c r="B2628"/>
      <c r="C2628"/>
      <c r="D2628"/>
      <c r="E2628"/>
      <c r="F2628"/>
      <c r="G2628"/>
      <c r="H2628" s="19"/>
      <c r="I2628" s="19"/>
      <c r="J2628" s="19"/>
      <c r="M2628" s="7"/>
    </row>
    <row r="2629" spans="2:13" x14ac:dyDescent="0.25">
      <c r="B2629"/>
      <c r="C2629"/>
      <c r="D2629"/>
      <c r="E2629"/>
      <c r="F2629"/>
      <c r="G2629"/>
      <c r="H2629" s="19"/>
      <c r="I2629" s="19"/>
      <c r="J2629" s="19"/>
      <c r="M2629" s="7"/>
    </row>
    <row r="2630" spans="2:13" x14ac:dyDescent="0.25">
      <c r="B2630"/>
      <c r="C2630"/>
      <c r="D2630"/>
      <c r="E2630"/>
      <c r="F2630"/>
      <c r="G2630"/>
      <c r="H2630" s="19"/>
      <c r="I2630" s="19"/>
      <c r="J2630" s="19"/>
      <c r="M2630" s="7"/>
    </row>
    <row r="2631" spans="2:13" x14ac:dyDescent="0.25">
      <c r="B2631"/>
      <c r="C2631"/>
      <c r="D2631"/>
      <c r="E2631"/>
      <c r="F2631"/>
      <c r="G2631"/>
      <c r="H2631" s="19"/>
      <c r="I2631" s="19"/>
      <c r="J2631" s="19"/>
      <c r="M2631" s="7"/>
    </row>
    <row r="2632" spans="2:13" x14ac:dyDescent="0.25">
      <c r="B2632"/>
      <c r="C2632"/>
      <c r="D2632"/>
      <c r="E2632"/>
      <c r="F2632"/>
      <c r="G2632"/>
      <c r="H2632" s="19"/>
      <c r="I2632" s="19"/>
      <c r="J2632" s="19"/>
      <c r="M2632" s="7"/>
    </row>
    <row r="2633" spans="2:13" x14ac:dyDescent="0.25">
      <c r="B2633"/>
      <c r="C2633"/>
      <c r="D2633"/>
      <c r="E2633"/>
      <c r="F2633"/>
      <c r="G2633"/>
      <c r="H2633" s="19"/>
      <c r="I2633" s="19"/>
      <c r="J2633" s="19"/>
      <c r="M2633" s="7"/>
    </row>
    <row r="2634" spans="2:13" x14ac:dyDescent="0.25">
      <c r="B2634"/>
      <c r="C2634"/>
      <c r="D2634"/>
      <c r="E2634"/>
      <c r="F2634"/>
      <c r="G2634"/>
      <c r="H2634" s="19"/>
      <c r="I2634" s="19"/>
      <c r="J2634" s="19"/>
      <c r="M2634" s="7"/>
    </row>
    <row r="2635" spans="2:13" x14ac:dyDescent="0.25">
      <c r="B2635"/>
      <c r="C2635"/>
      <c r="D2635"/>
      <c r="E2635"/>
      <c r="F2635"/>
      <c r="G2635"/>
      <c r="H2635" s="19"/>
      <c r="I2635" s="19"/>
      <c r="J2635" s="19"/>
      <c r="M2635" s="7"/>
    </row>
    <row r="2636" spans="2:13" x14ac:dyDescent="0.25">
      <c r="B2636"/>
      <c r="C2636"/>
      <c r="D2636"/>
      <c r="E2636"/>
      <c r="F2636"/>
      <c r="G2636"/>
      <c r="H2636" s="19"/>
      <c r="I2636" s="19"/>
      <c r="J2636" s="19"/>
      <c r="M2636" s="7"/>
    </row>
    <row r="2637" spans="2:13" x14ac:dyDescent="0.25">
      <c r="B2637"/>
      <c r="C2637"/>
      <c r="D2637"/>
      <c r="E2637"/>
      <c r="F2637"/>
      <c r="G2637"/>
      <c r="H2637" s="19"/>
      <c r="I2637" s="19"/>
      <c r="J2637" s="19"/>
      <c r="M2637" s="7"/>
    </row>
    <row r="2638" spans="2:13" x14ac:dyDescent="0.25">
      <c r="B2638"/>
      <c r="C2638"/>
      <c r="D2638"/>
      <c r="E2638"/>
      <c r="F2638"/>
      <c r="G2638"/>
      <c r="H2638" s="19"/>
      <c r="I2638" s="19"/>
      <c r="J2638" s="19"/>
      <c r="M2638" s="7"/>
    </row>
    <row r="2639" spans="2:13" x14ac:dyDescent="0.25">
      <c r="B2639"/>
      <c r="C2639"/>
      <c r="D2639"/>
      <c r="E2639"/>
      <c r="F2639"/>
      <c r="G2639"/>
      <c r="H2639" s="19"/>
      <c r="I2639" s="19"/>
      <c r="J2639" s="19"/>
      <c r="M2639" s="7"/>
    </row>
    <row r="2640" spans="2:13" x14ac:dyDescent="0.25">
      <c r="B2640"/>
      <c r="C2640"/>
      <c r="D2640"/>
      <c r="E2640"/>
      <c r="F2640"/>
      <c r="G2640"/>
      <c r="H2640" s="19"/>
      <c r="I2640" s="19"/>
      <c r="J2640" s="19"/>
      <c r="M2640" s="7"/>
    </row>
    <row r="2641" spans="2:13" x14ac:dyDescent="0.25">
      <c r="B2641"/>
      <c r="C2641"/>
      <c r="D2641"/>
      <c r="E2641"/>
      <c r="F2641"/>
      <c r="G2641"/>
      <c r="H2641" s="19"/>
      <c r="I2641" s="19"/>
      <c r="J2641" s="19"/>
      <c r="M2641" s="7"/>
    </row>
    <row r="2642" spans="2:13" x14ac:dyDescent="0.25">
      <c r="B2642"/>
      <c r="C2642"/>
      <c r="D2642"/>
      <c r="E2642"/>
      <c r="F2642"/>
      <c r="G2642"/>
      <c r="H2642" s="19"/>
      <c r="I2642" s="19"/>
      <c r="J2642" s="19"/>
      <c r="M2642" s="7"/>
    </row>
    <row r="2643" spans="2:13" x14ac:dyDescent="0.25">
      <c r="B2643"/>
      <c r="C2643"/>
      <c r="D2643"/>
      <c r="E2643"/>
      <c r="F2643"/>
      <c r="G2643"/>
      <c r="H2643" s="19"/>
      <c r="I2643" s="19"/>
      <c r="J2643" s="19"/>
      <c r="M2643" s="7"/>
    </row>
    <row r="2644" spans="2:13" x14ac:dyDescent="0.25">
      <c r="B2644"/>
      <c r="C2644"/>
      <c r="D2644"/>
      <c r="E2644"/>
      <c r="F2644"/>
      <c r="G2644"/>
      <c r="H2644" s="19"/>
      <c r="I2644" s="19"/>
      <c r="J2644" s="19"/>
      <c r="M2644" s="7"/>
    </row>
    <row r="2645" spans="2:13" x14ac:dyDescent="0.25">
      <c r="B2645"/>
      <c r="C2645"/>
      <c r="D2645"/>
      <c r="E2645"/>
      <c r="F2645"/>
      <c r="G2645"/>
      <c r="H2645" s="19"/>
      <c r="I2645" s="19"/>
      <c r="J2645" s="19"/>
      <c r="M2645" s="7"/>
    </row>
    <row r="2646" spans="2:13" x14ac:dyDescent="0.25">
      <c r="B2646"/>
      <c r="C2646"/>
      <c r="D2646"/>
      <c r="E2646"/>
      <c r="F2646"/>
      <c r="G2646"/>
      <c r="H2646" s="19"/>
      <c r="I2646" s="19"/>
      <c r="J2646" s="19"/>
      <c r="M2646" s="7"/>
    </row>
    <row r="2647" spans="2:13" x14ac:dyDescent="0.25">
      <c r="B2647"/>
      <c r="C2647"/>
      <c r="D2647"/>
      <c r="E2647"/>
      <c r="F2647"/>
      <c r="G2647"/>
      <c r="H2647" s="19"/>
      <c r="I2647" s="19"/>
      <c r="J2647" s="19"/>
      <c r="M2647" s="7"/>
    </row>
    <row r="2648" spans="2:13" x14ac:dyDescent="0.25">
      <c r="B2648"/>
      <c r="C2648"/>
      <c r="D2648"/>
      <c r="E2648"/>
      <c r="F2648"/>
      <c r="G2648"/>
      <c r="H2648" s="19"/>
      <c r="I2648" s="19"/>
      <c r="J2648" s="19"/>
      <c r="M2648" s="7"/>
    </row>
    <row r="2649" spans="2:13" x14ac:dyDescent="0.25">
      <c r="B2649"/>
      <c r="C2649"/>
      <c r="D2649"/>
      <c r="E2649"/>
      <c r="F2649"/>
      <c r="G2649"/>
      <c r="H2649" s="19"/>
      <c r="I2649" s="19"/>
      <c r="J2649" s="19"/>
      <c r="M2649" s="7"/>
    </row>
    <row r="2650" spans="2:13" x14ac:dyDescent="0.25">
      <c r="B2650"/>
      <c r="C2650"/>
      <c r="D2650"/>
      <c r="E2650"/>
      <c r="F2650"/>
      <c r="G2650"/>
      <c r="H2650" s="19"/>
      <c r="I2650" s="19"/>
      <c r="J2650" s="19"/>
      <c r="M2650" s="7"/>
    </row>
    <row r="2651" spans="2:13" x14ac:dyDescent="0.25">
      <c r="B2651"/>
      <c r="C2651"/>
      <c r="D2651"/>
      <c r="E2651"/>
      <c r="F2651"/>
      <c r="G2651"/>
      <c r="H2651" s="19"/>
      <c r="I2651" s="19"/>
      <c r="J2651" s="19"/>
      <c r="M2651" s="7"/>
    </row>
    <row r="2652" spans="2:13" x14ac:dyDescent="0.25">
      <c r="B2652"/>
      <c r="C2652"/>
      <c r="D2652"/>
      <c r="E2652"/>
      <c r="F2652"/>
      <c r="G2652"/>
      <c r="H2652" s="19"/>
      <c r="I2652" s="19"/>
      <c r="J2652" s="19"/>
      <c r="M2652" s="7"/>
    </row>
    <row r="2653" spans="2:13" x14ac:dyDescent="0.25">
      <c r="B2653"/>
      <c r="C2653"/>
      <c r="D2653"/>
      <c r="E2653"/>
      <c r="F2653"/>
      <c r="G2653"/>
      <c r="H2653" s="19"/>
      <c r="I2653" s="19"/>
      <c r="J2653" s="19"/>
      <c r="M2653" s="7"/>
    </row>
    <row r="2654" spans="2:13" x14ac:dyDescent="0.25">
      <c r="B2654"/>
      <c r="C2654"/>
      <c r="D2654"/>
      <c r="E2654"/>
      <c r="F2654"/>
      <c r="G2654"/>
      <c r="H2654" s="19"/>
      <c r="I2654" s="19"/>
      <c r="J2654" s="19"/>
      <c r="M2654" s="7"/>
    </row>
    <row r="2655" spans="2:13" x14ac:dyDescent="0.25">
      <c r="B2655"/>
      <c r="C2655"/>
      <c r="D2655"/>
      <c r="E2655"/>
      <c r="F2655"/>
      <c r="G2655"/>
      <c r="H2655" s="19"/>
      <c r="I2655" s="19"/>
      <c r="J2655" s="19"/>
      <c r="M2655" s="7"/>
    </row>
    <row r="2656" spans="2:13" x14ac:dyDescent="0.25">
      <c r="B2656"/>
      <c r="C2656"/>
      <c r="D2656"/>
      <c r="E2656"/>
      <c r="F2656"/>
      <c r="G2656"/>
      <c r="H2656" s="19"/>
      <c r="I2656" s="19"/>
      <c r="J2656" s="19"/>
      <c r="M2656" s="7"/>
    </row>
    <row r="2657" spans="2:13" x14ac:dyDescent="0.25">
      <c r="B2657"/>
      <c r="C2657"/>
      <c r="D2657"/>
      <c r="E2657"/>
      <c r="F2657"/>
      <c r="G2657"/>
      <c r="H2657" s="19"/>
      <c r="I2657" s="19"/>
      <c r="J2657" s="19"/>
      <c r="M2657" s="7"/>
    </row>
    <row r="2658" spans="2:13" x14ac:dyDescent="0.25">
      <c r="B2658"/>
      <c r="C2658"/>
      <c r="D2658"/>
      <c r="E2658"/>
      <c r="F2658"/>
      <c r="G2658"/>
      <c r="H2658" s="19"/>
      <c r="I2658" s="19"/>
      <c r="J2658" s="19"/>
      <c r="M2658" s="7"/>
    </row>
    <row r="2659" spans="2:13" x14ac:dyDescent="0.25">
      <c r="B2659"/>
      <c r="C2659"/>
      <c r="D2659"/>
      <c r="E2659"/>
      <c r="F2659"/>
      <c r="G2659"/>
      <c r="H2659" s="19"/>
      <c r="I2659" s="19"/>
      <c r="J2659" s="19"/>
      <c r="M2659" s="7"/>
    </row>
    <row r="2660" spans="2:13" x14ac:dyDescent="0.25">
      <c r="B2660"/>
      <c r="C2660"/>
      <c r="D2660"/>
      <c r="E2660"/>
      <c r="F2660"/>
      <c r="G2660"/>
      <c r="H2660" s="19"/>
      <c r="I2660" s="19"/>
      <c r="J2660" s="19"/>
      <c r="M2660" s="7"/>
    </row>
    <row r="2661" spans="2:13" x14ac:dyDescent="0.25">
      <c r="B2661"/>
      <c r="C2661"/>
      <c r="D2661"/>
      <c r="E2661"/>
      <c r="F2661"/>
      <c r="G2661"/>
      <c r="H2661" s="19"/>
      <c r="I2661" s="19"/>
      <c r="J2661" s="19"/>
      <c r="M2661" s="7"/>
    </row>
    <row r="2662" spans="2:13" x14ac:dyDescent="0.25">
      <c r="B2662"/>
      <c r="C2662"/>
      <c r="D2662"/>
      <c r="E2662"/>
      <c r="F2662"/>
      <c r="G2662"/>
      <c r="H2662" s="19"/>
      <c r="I2662" s="19"/>
      <c r="J2662" s="19"/>
      <c r="M2662" s="7"/>
    </row>
    <row r="2663" spans="2:13" x14ac:dyDescent="0.25">
      <c r="B2663"/>
      <c r="C2663"/>
      <c r="D2663"/>
      <c r="E2663"/>
      <c r="F2663"/>
      <c r="G2663"/>
      <c r="H2663" s="19"/>
      <c r="I2663" s="19"/>
      <c r="J2663" s="19"/>
      <c r="M2663" s="7"/>
    </row>
    <row r="2664" spans="2:13" x14ac:dyDescent="0.25">
      <c r="B2664"/>
      <c r="C2664"/>
      <c r="D2664"/>
      <c r="E2664"/>
      <c r="F2664"/>
      <c r="G2664"/>
      <c r="H2664" s="19"/>
      <c r="I2664" s="19"/>
      <c r="J2664" s="19"/>
      <c r="M2664" s="7"/>
    </row>
    <row r="2665" spans="2:13" x14ac:dyDescent="0.25">
      <c r="B2665"/>
      <c r="C2665"/>
      <c r="D2665"/>
      <c r="E2665"/>
      <c r="F2665"/>
      <c r="G2665"/>
      <c r="H2665" s="19"/>
      <c r="I2665" s="19"/>
      <c r="J2665" s="19"/>
      <c r="M2665" s="7"/>
    </row>
    <row r="2666" spans="2:13" x14ac:dyDescent="0.25">
      <c r="B2666"/>
      <c r="C2666"/>
      <c r="D2666"/>
      <c r="E2666"/>
      <c r="F2666"/>
      <c r="G2666"/>
      <c r="H2666" s="19"/>
      <c r="I2666" s="19"/>
      <c r="J2666" s="19"/>
      <c r="M2666" s="7"/>
    </row>
    <row r="2667" spans="2:13" x14ac:dyDescent="0.25">
      <c r="B2667"/>
      <c r="C2667"/>
      <c r="D2667"/>
      <c r="E2667"/>
      <c r="F2667"/>
      <c r="G2667"/>
      <c r="H2667" s="19"/>
      <c r="I2667" s="19"/>
      <c r="J2667" s="19"/>
      <c r="M2667" s="7"/>
    </row>
    <row r="2668" spans="2:13" x14ac:dyDescent="0.25">
      <c r="B2668"/>
      <c r="C2668"/>
      <c r="D2668"/>
      <c r="E2668"/>
      <c r="F2668"/>
      <c r="G2668"/>
      <c r="H2668" s="19"/>
      <c r="I2668" s="19"/>
      <c r="J2668" s="19"/>
      <c r="M2668" s="7"/>
    </row>
    <row r="2669" spans="2:13" x14ac:dyDescent="0.25">
      <c r="B2669"/>
      <c r="C2669"/>
      <c r="D2669"/>
      <c r="E2669"/>
      <c r="F2669"/>
      <c r="G2669"/>
      <c r="H2669" s="19"/>
      <c r="I2669" s="19"/>
      <c r="J2669" s="19"/>
      <c r="M2669" s="7"/>
    </row>
    <row r="2670" spans="2:13" x14ac:dyDescent="0.25">
      <c r="B2670"/>
      <c r="C2670"/>
      <c r="D2670"/>
      <c r="E2670"/>
      <c r="F2670"/>
      <c r="G2670"/>
      <c r="H2670" s="19"/>
      <c r="I2670" s="19"/>
      <c r="J2670" s="19"/>
      <c r="M2670" s="7"/>
    </row>
    <row r="2671" spans="2:13" x14ac:dyDescent="0.25">
      <c r="B2671"/>
      <c r="C2671"/>
      <c r="D2671"/>
      <c r="E2671"/>
      <c r="F2671"/>
      <c r="G2671"/>
      <c r="H2671" s="19"/>
      <c r="I2671" s="19"/>
      <c r="J2671" s="19"/>
      <c r="M2671" s="7"/>
    </row>
    <row r="2672" spans="2:13" x14ac:dyDescent="0.25">
      <c r="B2672"/>
      <c r="C2672"/>
      <c r="D2672"/>
      <c r="E2672"/>
      <c r="F2672"/>
      <c r="G2672"/>
      <c r="H2672" s="19"/>
      <c r="I2672" s="19"/>
      <c r="J2672" s="19"/>
      <c r="M2672" s="7"/>
    </row>
    <row r="2673" spans="2:13" x14ac:dyDescent="0.25">
      <c r="B2673"/>
      <c r="C2673"/>
      <c r="D2673"/>
      <c r="E2673"/>
      <c r="F2673"/>
      <c r="G2673"/>
      <c r="H2673" s="19"/>
      <c r="I2673" s="19"/>
      <c r="J2673" s="19"/>
      <c r="M2673" s="7"/>
    </row>
    <row r="2674" spans="2:13" x14ac:dyDescent="0.25">
      <c r="B2674"/>
      <c r="C2674"/>
      <c r="D2674"/>
      <c r="E2674"/>
      <c r="F2674"/>
      <c r="G2674"/>
      <c r="H2674" s="19"/>
      <c r="I2674" s="19"/>
      <c r="J2674" s="19"/>
      <c r="M2674" s="7"/>
    </row>
    <row r="2675" spans="2:13" x14ac:dyDescent="0.25">
      <c r="B2675"/>
      <c r="C2675"/>
      <c r="D2675"/>
      <c r="E2675"/>
      <c r="F2675"/>
      <c r="G2675"/>
      <c r="H2675" s="19"/>
      <c r="I2675" s="19"/>
      <c r="J2675" s="19"/>
      <c r="M2675" s="7"/>
    </row>
    <row r="2676" spans="2:13" x14ac:dyDescent="0.25">
      <c r="B2676"/>
      <c r="C2676"/>
      <c r="D2676"/>
      <c r="E2676"/>
      <c r="F2676"/>
      <c r="G2676"/>
      <c r="H2676" s="19"/>
      <c r="I2676" s="19"/>
      <c r="J2676" s="19"/>
      <c r="M2676" s="7"/>
    </row>
    <row r="2677" spans="2:13" x14ac:dyDescent="0.25">
      <c r="B2677"/>
      <c r="C2677"/>
      <c r="D2677"/>
      <c r="E2677"/>
      <c r="F2677"/>
      <c r="G2677"/>
      <c r="H2677" s="19"/>
      <c r="I2677" s="19"/>
      <c r="J2677" s="19"/>
      <c r="M2677" s="7"/>
    </row>
    <row r="2678" spans="2:13" x14ac:dyDescent="0.25">
      <c r="B2678"/>
      <c r="C2678"/>
      <c r="D2678"/>
      <c r="E2678"/>
      <c r="F2678"/>
      <c r="G2678"/>
      <c r="H2678" s="19"/>
      <c r="I2678" s="19"/>
      <c r="J2678" s="19"/>
      <c r="M2678" s="7"/>
    </row>
    <row r="2679" spans="2:13" x14ac:dyDescent="0.25">
      <c r="B2679"/>
      <c r="C2679"/>
      <c r="D2679"/>
      <c r="E2679"/>
      <c r="F2679"/>
      <c r="G2679"/>
      <c r="H2679" s="19"/>
      <c r="I2679" s="19"/>
      <c r="J2679" s="19"/>
      <c r="M2679" s="7"/>
    </row>
    <row r="2680" spans="2:13" x14ac:dyDescent="0.25">
      <c r="B2680"/>
      <c r="C2680"/>
      <c r="D2680"/>
      <c r="E2680"/>
      <c r="F2680"/>
      <c r="G2680"/>
      <c r="H2680" s="19"/>
      <c r="I2680" s="19"/>
      <c r="J2680" s="19"/>
      <c r="M2680" s="7"/>
    </row>
    <row r="2681" spans="2:13" x14ac:dyDescent="0.25">
      <c r="B2681"/>
      <c r="C2681"/>
      <c r="D2681"/>
      <c r="E2681"/>
      <c r="F2681"/>
      <c r="G2681"/>
      <c r="H2681" s="19"/>
      <c r="I2681" s="19"/>
      <c r="J2681" s="19"/>
      <c r="M2681" s="7"/>
    </row>
    <row r="2682" spans="2:13" x14ac:dyDescent="0.25">
      <c r="B2682"/>
      <c r="C2682"/>
      <c r="D2682"/>
      <c r="E2682"/>
      <c r="F2682"/>
      <c r="G2682"/>
      <c r="H2682" s="19"/>
      <c r="I2682" s="19"/>
      <c r="J2682" s="19"/>
      <c r="M2682" s="7"/>
    </row>
    <row r="2683" spans="2:13" x14ac:dyDescent="0.25">
      <c r="B2683"/>
      <c r="C2683"/>
      <c r="D2683"/>
      <c r="E2683"/>
      <c r="F2683"/>
      <c r="G2683"/>
      <c r="H2683" s="19"/>
      <c r="I2683" s="19"/>
      <c r="J2683" s="19"/>
      <c r="M2683" s="7"/>
    </row>
    <row r="2684" spans="2:13" x14ac:dyDescent="0.25">
      <c r="B2684"/>
      <c r="C2684"/>
      <c r="D2684"/>
      <c r="E2684"/>
      <c r="F2684"/>
      <c r="G2684"/>
      <c r="H2684" s="19"/>
      <c r="I2684" s="19"/>
      <c r="J2684" s="19"/>
      <c r="M2684" s="7"/>
    </row>
    <row r="2685" spans="2:13" x14ac:dyDescent="0.25">
      <c r="B2685"/>
      <c r="C2685"/>
      <c r="D2685"/>
      <c r="E2685"/>
      <c r="F2685"/>
      <c r="G2685"/>
      <c r="H2685" s="19"/>
      <c r="I2685" s="19"/>
      <c r="J2685" s="19"/>
      <c r="M2685" s="7"/>
    </row>
    <row r="2686" spans="2:13" x14ac:dyDescent="0.25">
      <c r="B2686"/>
      <c r="C2686"/>
      <c r="D2686"/>
      <c r="E2686"/>
      <c r="F2686"/>
      <c r="G2686"/>
      <c r="H2686" s="19"/>
      <c r="I2686" s="19"/>
      <c r="J2686" s="19"/>
      <c r="M2686" s="7"/>
    </row>
    <row r="2687" spans="2:13" x14ac:dyDescent="0.25">
      <c r="B2687"/>
      <c r="C2687"/>
      <c r="D2687"/>
      <c r="E2687"/>
      <c r="F2687"/>
      <c r="G2687"/>
      <c r="H2687" s="19"/>
      <c r="I2687" s="19"/>
      <c r="J2687" s="19"/>
      <c r="M2687" s="7"/>
    </row>
    <row r="2688" spans="2:13" x14ac:dyDescent="0.25">
      <c r="B2688"/>
      <c r="C2688"/>
      <c r="D2688"/>
      <c r="E2688"/>
      <c r="F2688"/>
      <c r="G2688"/>
      <c r="H2688" s="19"/>
      <c r="I2688" s="19"/>
      <c r="J2688" s="19"/>
      <c r="M2688" s="7"/>
    </row>
    <row r="2689" spans="2:13" x14ac:dyDescent="0.25">
      <c r="B2689"/>
      <c r="C2689"/>
      <c r="D2689"/>
      <c r="E2689"/>
      <c r="F2689"/>
      <c r="G2689"/>
      <c r="H2689" s="19"/>
      <c r="I2689" s="19"/>
      <c r="J2689" s="19"/>
      <c r="M2689" s="7"/>
    </row>
    <row r="2690" spans="2:13" x14ac:dyDescent="0.25">
      <c r="B2690"/>
      <c r="C2690"/>
      <c r="D2690"/>
      <c r="E2690"/>
      <c r="F2690"/>
      <c r="G2690"/>
      <c r="H2690" s="19"/>
      <c r="I2690" s="19"/>
      <c r="J2690" s="19"/>
      <c r="M2690" s="7"/>
    </row>
    <row r="2691" spans="2:13" x14ac:dyDescent="0.25">
      <c r="B2691"/>
      <c r="C2691"/>
      <c r="D2691"/>
      <c r="E2691"/>
      <c r="F2691"/>
      <c r="G2691"/>
      <c r="H2691" s="19"/>
      <c r="I2691" s="19"/>
      <c r="J2691" s="19"/>
      <c r="M2691" s="7"/>
    </row>
    <row r="2692" spans="2:13" x14ac:dyDescent="0.25">
      <c r="B2692"/>
      <c r="C2692"/>
      <c r="D2692"/>
      <c r="E2692"/>
      <c r="F2692"/>
      <c r="G2692"/>
      <c r="H2692" s="19"/>
      <c r="I2692" s="19"/>
      <c r="J2692" s="19"/>
      <c r="M2692" s="7"/>
    </row>
    <row r="2693" spans="2:13" x14ac:dyDescent="0.25">
      <c r="B2693"/>
      <c r="C2693"/>
      <c r="D2693"/>
      <c r="E2693"/>
      <c r="F2693"/>
      <c r="G2693"/>
      <c r="H2693" s="19"/>
      <c r="I2693" s="19"/>
      <c r="J2693" s="19"/>
      <c r="M2693" s="7"/>
    </row>
    <row r="2694" spans="2:13" x14ac:dyDescent="0.25">
      <c r="B2694"/>
      <c r="C2694"/>
      <c r="D2694"/>
      <c r="E2694"/>
      <c r="F2694"/>
      <c r="G2694"/>
      <c r="H2694" s="19"/>
      <c r="I2694" s="19"/>
      <c r="J2694" s="19"/>
      <c r="M2694" s="7"/>
    </row>
    <row r="2695" spans="2:13" x14ac:dyDescent="0.25">
      <c r="B2695"/>
      <c r="C2695"/>
      <c r="D2695"/>
      <c r="E2695"/>
      <c r="F2695"/>
      <c r="G2695"/>
      <c r="H2695" s="19"/>
      <c r="I2695" s="19"/>
      <c r="J2695" s="19"/>
      <c r="M2695" s="7"/>
    </row>
    <row r="2696" spans="2:13" x14ac:dyDescent="0.25">
      <c r="B2696"/>
      <c r="C2696"/>
      <c r="D2696"/>
      <c r="E2696"/>
      <c r="F2696"/>
      <c r="G2696"/>
      <c r="H2696" s="19"/>
      <c r="I2696" s="19"/>
      <c r="J2696" s="19"/>
      <c r="M2696" s="7"/>
    </row>
    <row r="2697" spans="2:13" x14ac:dyDescent="0.25">
      <c r="B2697"/>
      <c r="C2697"/>
      <c r="D2697"/>
      <c r="E2697"/>
      <c r="F2697"/>
      <c r="G2697"/>
      <c r="H2697" s="19"/>
      <c r="I2697" s="19"/>
      <c r="J2697" s="19"/>
      <c r="M2697" s="7"/>
    </row>
    <row r="2698" spans="2:13" x14ac:dyDescent="0.25">
      <c r="B2698"/>
      <c r="C2698"/>
      <c r="D2698"/>
      <c r="E2698"/>
      <c r="F2698"/>
      <c r="G2698"/>
      <c r="H2698" s="19"/>
      <c r="I2698" s="19"/>
      <c r="J2698" s="19"/>
      <c r="M2698" s="7"/>
    </row>
    <row r="2699" spans="2:13" x14ac:dyDescent="0.25">
      <c r="B2699"/>
      <c r="C2699"/>
      <c r="D2699"/>
      <c r="E2699"/>
      <c r="F2699"/>
      <c r="G2699"/>
      <c r="H2699" s="19"/>
      <c r="I2699" s="19"/>
      <c r="J2699" s="19"/>
      <c r="M2699" s="7"/>
    </row>
    <row r="2700" spans="2:13" x14ac:dyDescent="0.25">
      <c r="B2700"/>
      <c r="C2700"/>
      <c r="D2700"/>
      <c r="E2700"/>
      <c r="F2700"/>
      <c r="G2700"/>
      <c r="H2700" s="19"/>
      <c r="I2700" s="19"/>
      <c r="J2700" s="19"/>
      <c r="M2700" s="7"/>
    </row>
    <row r="2701" spans="2:13" x14ac:dyDescent="0.25">
      <c r="B2701"/>
      <c r="C2701"/>
      <c r="D2701"/>
      <c r="E2701"/>
      <c r="F2701"/>
      <c r="G2701"/>
      <c r="H2701" s="19"/>
      <c r="I2701" s="19"/>
      <c r="J2701" s="19"/>
      <c r="M2701" s="7"/>
    </row>
    <row r="2702" spans="2:13" x14ac:dyDescent="0.25">
      <c r="B2702"/>
      <c r="C2702"/>
      <c r="D2702"/>
      <c r="E2702"/>
      <c r="F2702"/>
      <c r="G2702"/>
      <c r="H2702" s="19"/>
      <c r="I2702" s="19"/>
      <c r="J2702" s="19"/>
      <c r="M2702" s="7"/>
    </row>
    <row r="2703" spans="2:13" x14ac:dyDescent="0.25">
      <c r="B2703"/>
      <c r="C2703"/>
      <c r="D2703"/>
      <c r="E2703"/>
      <c r="F2703"/>
      <c r="G2703"/>
      <c r="H2703" s="19"/>
      <c r="I2703" s="19"/>
      <c r="J2703" s="19"/>
      <c r="M2703" s="7"/>
    </row>
    <row r="2704" spans="2:13" x14ac:dyDescent="0.25">
      <c r="B2704"/>
      <c r="C2704"/>
      <c r="D2704"/>
      <c r="E2704"/>
      <c r="F2704"/>
      <c r="G2704"/>
      <c r="H2704" s="19"/>
      <c r="I2704" s="19"/>
      <c r="J2704" s="19"/>
      <c r="M2704" s="7"/>
    </row>
    <row r="2705" spans="2:13" x14ac:dyDescent="0.25">
      <c r="B2705"/>
      <c r="C2705"/>
      <c r="D2705"/>
      <c r="E2705"/>
      <c r="F2705"/>
      <c r="G2705"/>
      <c r="H2705" s="19"/>
      <c r="I2705" s="19"/>
      <c r="J2705" s="19"/>
      <c r="M2705" s="7"/>
    </row>
    <row r="2706" spans="2:13" x14ac:dyDescent="0.25">
      <c r="B2706"/>
      <c r="C2706"/>
      <c r="D2706"/>
      <c r="E2706"/>
      <c r="F2706"/>
      <c r="G2706"/>
      <c r="H2706" s="19"/>
      <c r="I2706" s="19"/>
      <c r="J2706" s="19"/>
      <c r="M2706" s="7"/>
    </row>
    <row r="2707" spans="2:13" x14ac:dyDescent="0.25">
      <c r="B2707"/>
      <c r="C2707"/>
      <c r="D2707"/>
      <c r="E2707"/>
      <c r="F2707"/>
      <c r="G2707"/>
      <c r="H2707" s="19"/>
      <c r="I2707" s="19"/>
      <c r="J2707" s="19"/>
      <c r="M2707" s="7"/>
    </row>
    <row r="2708" spans="2:13" x14ac:dyDescent="0.25">
      <c r="B2708"/>
      <c r="C2708"/>
      <c r="D2708"/>
      <c r="E2708"/>
      <c r="F2708"/>
      <c r="G2708"/>
      <c r="H2708" s="19"/>
      <c r="I2708" s="19"/>
      <c r="J2708" s="19"/>
      <c r="M2708" s="7"/>
    </row>
    <row r="2709" spans="2:13" x14ac:dyDescent="0.25">
      <c r="B2709"/>
      <c r="C2709"/>
      <c r="D2709"/>
      <c r="E2709"/>
      <c r="F2709"/>
      <c r="G2709"/>
      <c r="H2709" s="19"/>
      <c r="I2709" s="19"/>
      <c r="J2709" s="19"/>
      <c r="M2709" s="7"/>
    </row>
    <row r="2710" spans="2:13" x14ac:dyDescent="0.25">
      <c r="B2710"/>
      <c r="C2710"/>
      <c r="D2710"/>
      <c r="E2710"/>
      <c r="F2710"/>
      <c r="G2710"/>
      <c r="H2710" s="19"/>
      <c r="I2710" s="19"/>
      <c r="J2710" s="19"/>
      <c r="M2710" s="7"/>
    </row>
    <row r="2711" spans="2:13" x14ac:dyDescent="0.25">
      <c r="B2711"/>
      <c r="C2711"/>
      <c r="D2711"/>
      <c r="E2711"/>
      <c r="F2711"/>
      <c r="G2711"/>
      <c r="H2711" s="19"/>
      <c r="I2711" s="19"/>
      <c r="J2711" s="19"/>
      <c r="M2711" s="7"/>
    </row>
    <row r="2712" spans="2:13" x14ac:dyDescent="0.25">
      <c r="B2712"/>
      <c r="C2712"/>
      <c r="D2712"/>
      <c r="E2712"/>
      <c r="F2712"/>
      <c r="G2712"/>
      <c r="H2712" s="19"/>
      <c r="I2712" s="19"/>
      <c r="J2712" s="19"/>
      <c r="M2712" s="7"/>
    </row>
    <row r="2713" spans="2:13" x14ac:dyDescent="0.25">
      <c r="B2713"/>
      <c r="C2713"/>
      <c r="D2713"/>
      <c r="E2713"/>
      <c r="F2713"/>
      <c r="G2713"/>
      <c r="H2713" s="19"/>
      <c r="I2713" s="19"/>
      <c r="J2713" s="19"/>
      <c r="M2713" s="7"/>
    </row>
    <row r="2714" spans="2:13" x14ac:dyDescent="0.25">
      <c r="B2714"/>
      <c r="C2714"/>
      <c r="D2714"/>
      <c r="E2714"/>
      <c r="F2714"/>
      <c r="G2714"/>
      <c r="H2714" s="19"/>
      <c r="I2714" s="19"/>
      <c r="J2714" s="19"/>
      <c r="M2714" s="7"/>
    </row>
    <row r="2715" spans="2:13" x14ac:dyDescent="0.25">
      <c r="B2715"/>
      <c r="C2715"/>
      <c r="D2715"/>
      <c r="E2715"/>
      <c r="F2715"/>
      <c r="G2715"/>
      <c r="H2715" s="19"/>
      <c r="I2715" s="19"/>
      <c r="J2715" s="19"/>
      <c r="M2715" s="7"/>
    </row>
    <row r="2716" spans="2:13" x14ac:dyDescent="0.25">
      <c r="B2716"/>
      <c r="C2716"/>
      <c r="D2716"/>
      <c r="E2716"/>
      <c r="F2716"/>
      <c r="G2716"/>
      <c r="H2716" s="19"/>
      <c r="I2716" s="19"/>
      <c r="J2716" s="19"/>
      <c r="M2716" s="7"/>
    </row>
    <row r="2717" spans="2:13" x14ac:dyDescent="0.25">
      <c r="B2717"/>
      <c r="C2717"/>
      <c r="D2717"/>
      <c r="E2717"/>
      <c r="F2717"/>
      <c r="G2717"/>
      <c r="H2717" s="19"/>
      <c r="I2717" s="19"/>
      <c r="J2717" s="19"/>
      <c r="M2717" s="7"/>
    </row>
    <row r="2718" spans="2:13" x14ac:dyDescent="0.25">
      <c r="B2718"/>
      <c r="C2718"/>
      <c r="D2718"/>
      <c r="E2718"/>
      <c r="F2718"/>
      <c r="G2718"/>
      <c r="H2718" s="19"/>
      <c r="I2718" s="19"/>
      <c r="J2718" s="19"/>
      <c r="M2718" s="7"/>
    </row>
    <row r="2719" spans="2:13" x14ac:dyDescent="0.25">
      <c r="B2719"/>
      <c r="C2719"/>
      <c r="D2719"/>
      <c r="E2719"/>
      <c r="F2719"/>
      <c r="G2719"/>
      <c r="H2719" s="19"/>
      <c r="I2719" s="19"/>
      <c r="J2719" s="19"/>
      <c r="M2719" s="7"/>
    </row>
    <row r="2720" spans="2:13" x14ac:dyDescent="0.25">
      <c r="B2720"/>
      <c r="C2720"/>
      <c r="D2720"/>
      <c r="E2720"/>
      <c r="F2720"/>
      <c r="G2720"/>
      <c r="H2720" s="19"/>
      <c r="I2720" s="19"/>
      <c r="J2720" s="19"/>
      <c r="M2720" s="7"/>
    </row>
    <row r="2721" spans="2:13" x14ac:dyDescent="0.25">
      <c r="B2721"/>
      <c r="C2721"/>
      <c r="D2721"/>
      <c r="E2721"/>
      <c r="F2721"/>
      <c r="G2721"/>
      <c r="H2721" s="19"/>
      <c r="I2721" s="19"/>
      <c r="J2721" s="19"/>
      <c r="M2721" s="7"/>
    </row>
    <row r="2722" spans="2:13" x14ac:dyDescent="0.25">
      <c r="B2722"/>
      <c r="C2722"/>
      <c r="D2722"/>
      <c r="E2722"/>
      <c r="F2722"/>
      <c r="G2722"/>
      <c r="H2722" s="19"/>
      <c r="I2722" s="19"/>
      <c r="J2722" s="19"/>
      <c r="M2722" s="7"/>
    </row>
    <row r="2723" spans="2:13" x14ac:dyDescent="0.25">
      <c r="B2723"/>
      <c r="C2723"/>
      <c r="D2723"/>
      <c r="E2723"/>
      <c r="F2723"/>
      <c r="G2723"/>
      <c r="H2723" s="19"/>
      <c r="I2723" s="19"/>
      <c r="J2723" s="19"/>
      <c r="M2723" s="7"/>
    </row>
    <row r="2724" spans="2:13" x14ac:dyDescent="0.25">
      <c r="B2724"/>
      <c r="C2724"/>
      <c r="D2724"/>
      <c r="E2724"/>
      <c r="F2724"/>
      <c r="G2724"/>
      <c r="H2724" s="19"/>
      <c r="I2724" s="19"/>
      <c r="J2724" s="19"/>
      <c r="M2724" s="7"/>
    </row>
    <row r="2725" spans="2:13" x14ac:dyDescent="0.25">
      <c r="B2725"/>
      <c r="C2725"/>
      <c r="D2725"/>
      <c r="E2725"/>
      <c r="F2725"/>
      <c r="G2725"/>
      <c r="H2725" s="19"/>
      <c r="I2725" s="19"/>
      <c r="J2725" s="19"/>
      <c r="M2725" s="7"/>
    </row>
    <row r="2726" spans="2:13" x14ac:dyDescent="0.25">
      <c r="B2726"/>
      <c r="C2726"/>
      <c r="D2726"/>
      <c r="E2726"/>
      <c r="F2726"/>
      <c r="G2726"/>
      <c r="H2726" s="19"/>
      <c r="I2726" s="19"/>
      <c r="J2726" s="19"/>
      <c r="M2726" s="7"/>
    </row>
    <row r="2727" spans="2:13" x14ac:dyDescent="0.25">
      <c r="B2727"/>
      <c r="C2727"/>
      <c r="D2727"/>
      <c r="E2727"/>
      <c r="F2727"/>
      <c r="G2727"/>
      <c r="H2727" s="19"/>
      <c r="I2727" s="19"/>
      <c r="J2727" s="19"/>
      <c r="M2727" s="7"/>
    </row>
    <row r="2728" spans="2:13" x14ac:dyDescent="0.25">
      <c r="B2728"/>
      <c r="C2728"/>
      <c r="D2728"/>
      <c r="E2728"/>
      <c r="F2728"/>
      <c r="G2728"/>
      <c r="H2728" s="19"/>
      <c r="I2728" s="19"/>
      <c r="J2728" s="19"/>
      <c r="M2728" s="7"/>
    </row>
    <row r="2729" spans="2:13" x14ac:dyDescent="0.25">
      <c r="B2729"/>
      <c r="C2729"/>
      <c r="D2729"/>
      <c r="E2729"/>
      <c r="F2729"/>
      <c r="G2729"/>
      <c r="H2729" s="19"/>
      <c r="I2729" s="19"/>
      <c r="J2729" s="19"/>
      <c r="M2729" s="7"/>
    </row>
    <row r="2730" spans="2:13" x14ac:dyDescent="0.25">
      <c r="B2730"/>
      <c r="C2730"/>
      <c r="D2730"/>
      <c r="E2730"/>
      <c r="F2730"/>
      <c r="G2730"/>
      <c r="H2730" s="19"/>
      <c r="I2730" s="19"/>
      <c r="J2730" s="19"/>
      <c r="M2730" s="7"/>
    </row>
    <row r="2731" spans="2:13" x14ac:dyDescent="0.25">
      <c r="B2731"/>
      <c r="C2731"/>
      <c r="D2731"/>
      <c r="E2731"/>
      <c r="F2731"/>
      <c r="G2731"/>
      <c r="H2731" s="19"/>
      <c r="I2731" s="19"/>
      <c r="J2731" s="19"/>
      <c r="M2731" s="7"/>
    </row>
    <row r="2732" spans="2:13" x14ac:dyDescent="0.25">
      <c r="B2732"/>
      <c r="C2732"/>
      <c r="D2732"/>
      <c r="E2732"/>
      <c r="F2732"/>
      <c r="G2732"/>
      <c r="H2732" s="19"/>
      <c r="I2732" s="19"/>
      <c r="J2732" s="19"/>
      <c r="M2732" s="7"/>
    </row>
    <row r="2733" spans="2:13" x14ac:dyDescent="0.25">
      <c r="B2733"/>
      <c r="C2733"/>
      <c r="D2733"/>
      <c r="E2733"/>
      <c r="F2733"/>
      <c r="G2733"/>
      <c r="H2733" s="19"/>
      <c r="I2733" s="19"/>
      <c r="J2733" s="19"/>
      <c r="M2733" s="7"/>
    </row>
    <row r="2734" spans="2:13" x14ac:dyDescent="0.25">
      <c r="B2734"/>
      <c r="C2734"/>
      <c r="D2734"/>
      <c r="E2734"/>
      <c r="F2734"/>
      <c r="G2734"/>
      <c r="H2734" s="19"/>
      <c r="I2734" s="19"/>
      <c r="J2734" s="19"/>
      <c r="M2734" s="7"/>
    </row>
    <row r="2735" spans="2:13" x14ac:dyDescent="0.25">
      <c r="B2735"/>
      <c r="C2735"/>
      <c r="D2735"/>
      <c r="E2735"/>
      <c r="F2735"/>
      <c r="G2735"/>
      <c r="H2735" s="19"/>
      <c r="I2735" s="19"/>
      <c r="J2735" s="19"/>
      <c r="M2735" s="7"/>
    </row>
    <row r="2736" spans="2:13" x14ac:dyDescent="0.25">
      <c r="B2736"/>
      <c r="C2736"/>
      <c r="D2736"/>
      <c r="E2736"/>
      <c r="F2736"/>
      <c r="G2736"/>
      <c r="H2736" s="19"/>
      <c r="I2736" s="19"/>
      <c r="J2736" s="19"/>
      <c r="M2736" s="7"/>
    </row>
    <row r="2737" spans="2:13" x14ac:dyDescent="0.25">
      <c r="B2737"/>
      <c r="C2737"/>
      <c r="D2737"/>
      <c r="E2737"/>
      <c r="F2737"/>
      <c r="G2737"/>
      <c r="H2737" s="19"/>
      <c r="I2737" s="19"/>
      <c r="J2737" s="19"/>
      <c r="M2737" s="7"/>
    </row>
    <row r="2738" spans="2:13" x14ac:dyDescent="0.25">
      <c r="B2738"/>
      <c r="C2738"/>
      <c r="D2738"/>
      <c r="E2738"/>
      <c r="F2738"/>
      <c r="G2738"/>
      <c r="H2738" s="19"/>
      <c r="I2738" s="19"/>
      <c r="J2738" s="19"/>
      <c r="M2738" s="7"/>
    </row>
    <row r="2739" spans="2:13" x14ac:dyDescent="0.25">
      <c r="B2739"/>
      <c r="C2739"/>
      <c r="D2739"/>
      <c r="E2739"/>
      <c r="F2739"/>
      <c r="G2739"/>
      <c r="H2739" s="19"/>
      <c r="I2739" s="19"/>
      <c r="J2739" s="19"/>
      <c r="M2739" s="7"/>
    </row>
    <row r="2740" spans="2:13" x14ac:dyDescent="0.25">
      <c r="B2740"/>
      <c r="C2740"/>
      <c r="D2740"/>
      <c r="E2740"/>
      <c r="F2740"/>
      <c r="G2740"/>
      <c r="H2740" s="19"/>
      <c r="I2740" s="19"/>
      <c r="J2740" s="19"/>
      <c r="M2740" s="7"/>
    </row>
    <row r="2741" spans="2:13" x14ac:dyDescent="0.25">
      <c r="B2741"/>
      <c r="C2741"/>
      <c r="D2741"/>
      <c r="E2741"/>
      <c r="F2741"/>
      <c r="G2741"/>
      <c r="H2741" s="19"/>
      <c r="I2741" s="19"/>
      <c r="J2741" s="19"/>
      <c r="M2741" s="7"/>
    </row>
    <row r="2742" spans="2:13" x14ac:dyDescent="0.25">
      <c r="B2742"/>
      <c r="C2742"/>
      <c r="D2742"/>
      <c r="E2742"/>
      <c r="F2742"/>
      <c r="G2742"/>
      <c r="H2742" s="19"/>
      <c r="I2742" s="19"/>
      <c r="J2742" s="19"/>
      <c r="M2742" s="7"/>
    </row>
    <row r="2743" spans="2:13" x14ac:dyDescent="0.25">
      <c r="B2743"/>
      <c r="C2743"/>
      <c r="D2743"/>
      <c r="E2743"/>
      <c r="F2743"/>
      <c r="G2743"/>
      <c r="H2743" s="19"/>
      <c r="I2743" s="19"/>
      <c r="J2743" s="19"/>
      <c r="M2743" s="7"/>
    </row>
    <row r="2744" spans="2:13" x14ac:dyDescent="0.25">
      <c r="B2744"/>
      <c r="C2744"/>
      <c r="D2744"/>
      <c r="E2744"/>
      <c r="F2744"/>
      <c r="G2744"/>
      <c r="H2744" s="19"/>
      <c r="I2744" s="19"/>
      <c r="J2744" s="19"/>
      <c r="M2744" s="7"/>
    </row>
    <row r="2745" spans="2:13" x14ac:dyDescent="0.25">
      <c r="B2745"/>
      <c r="C2745"/>
      <c r="D2745"/>
      <c r="E2745"/>
      <c r="F2745"/>
      <c r="G2745"/>
      <c r="H2745" s="19"/>
      <c r="I2745" s="19"/>
      <c r="J2745" s="19"/>
      <c r="M2745" s="7"/>
    </row>
    <row r="2746" spans="2:13" x14ac:dyDescent="0.25">
      <c r="B2746"/>
      <c r="C2746"/>
      <c r="D2746"/>
      <c r="E2746"/>
      <c r="F2746"/>
      <c r="G2746"/>
      <c r="H2746" s="19"/>
      <c r="I2746" s="19"/>
      <c r="J2746" s="19"/>
      <c r="M2746" s="7"/>
    </row>
    <row r="2747" spans="2:13" x14ac:dyDescent="0.25">
      <c r="B2747"/>
      <c r="C2747"/>
      <c r="D2747"/>
      <c r="E2747"/>
      <c r="F2747"/>
      <c r="G2747"/>
      <c r="H2747" s="19"/>
      <c r="I2747" s="19"/>
      <c r="J2747" s="19"/>
      <c r="M2747" s="7"/>
    </row>
    <row r="2748" spans="2:13" x14ac:dyDescent="0.25">
      <c r="B2748"/>
      <c r="C2748"/>
      <c r="D2748"/>
      <c r="E2748"/>
      <c r="F2748"/>
      <c r="G2748"/>
      <c r="H2748" s="19"/>
      <c r="I2748" s="19"/>
      <c r="J2748" s="19"/>
      <c r="M2748" s="7"/>
    </row>
    <row r="2749" spans="2:13" x14ac:dyDescent="0.25">
      <c r="B2749"/>
      <c r="C2749"/>
      <c r="D2749"/>
      <c r="E2749"/>
      <c r="F2749"/>
      <c r="G2749"/>
      <c r="H2749" s="19"/>
      <c r="I2749" s="19"/>
      <c r="J2749" s="19"/>
      <c r="M2749" s="7"/>
    </row>
    <row r="2750" spans="2:13" x14ac:dyDescent="0.25">
      <c r="B2750"/>
      <c r="C2750"/>
      <c r="D2750"/>
      <c r="E2750"/>
      <c r="F2750"/>
      <c r="G2750"/>
      <c r="H2750" s="19"/>
      <c r="I2750" s="19"/>
      <c r="J2750" s="19"/>
      <c r="M2750" s="7"/>
    </row>
    <row r="2751" spans="2:13" x14ac:dyDescent="0.25">
      <c r="B2751"/>
      <c r="C2751"/>
      <c r="D2751"/>
      <c r="E2751"/>
      <c r="F2751"/>
      <c r="G2751"/>
      <c r="H2751" s="19"/>
      <c r="I2751" s="19"/>
      <c r="J2751" s="19"/>
      <c r="M2751" s="7"/>
    </row>
    <row r="2752" spans="2:13" x14ac:dyDescent="0.25">
      <c r="B2752"/>
      <c r="C2752"/>
      <c r="D2752"/>
      <c r="E2752"/>
      <c r="F2752"/>
      <c r="G2752"/>
      <c r="H2752" s="19"/>
      <c r="I2752" s="19"/>
      <c r="J2752" s="19"/>
      <c r="M2752" s="7"/>
    </row>
    <row r="2753" spans="2:13" x14ac:dyDescent="0.25">
      <c r="B2753"/>
      <c r="C2753"/>
      <c r="D2753"/>
      <c r="E2753"/>
      <c r="F2753"/>
      <c r="G2753"/>
      <c r="H2753" s="19"/>
      <c r="I2753" s="19"/>
      <c r="J2753" s="19"/>
      <c r="M2753" s="7"/>
    </row>
    <row r="2754" spans="2:13" x14ac:dyDescent="0.25">
      <c r="B2754"/>
      <c r="C2754"/>
      <c r="D2754"/>
      <c r="E2754"/>
      <c r="F2754"/>
      <c r="G2754"/>
      <c r="H2754" s="19"/>
      <c r="I2754" s="19"/>
      <c r="J2754" s="19"/>
      <c r="M2754" s="7"/>
    </row>
    <row r="2755" spans="2:13" x14ac:dyDescent="0.25">
      <c r="B2755"/>
      <c r="C2755"/>
      <c r="D2755"/>
      <c r="E2755"/>
      <c r="F2755"/>
      <c r="G2755"/>
      <c r="H2755" s="19"/>
      <c r="I2755" s="19"/>
      <c r="J2755" s="19"/>
      <c r="M2755" s="7"/>
    </row>
    <row r="2756" spans="2:13" x14ac:dyDescent="0.25">
      <c r="B2756"/>
      <c r="C2756"/>
      <c r="D2756"/>
      <c r="E2756"/>
      <c r="F2756"/>
      <c r="G2756"/>
      <c r="H2756" s="19"/>
      <c r="I2756" s="19"/>
      <c r="J2756" s="19"/>
      <c r="M2756" s="7"/>
    </row>
    <row r="2757" spans="2:13" x14ac:dyDescent="0.25">
      <c r="B2757"/>
      <c r="C2757"/>
      <c r="D2757"/>
      <c r="E2757"/>
      <c r="F2757"/>
      <c r="G2757"/>
      <c r="H2757" s="19"/>
      <c r="I2757" s="19"/>
      <c r="J2757" s="19"/>
      <c r="M2757" s="7"/>
    </row>
    <row r="2758" spans="2:13" x14ac:dyDescent="0.25">
      <c r="B2758"/>
      <c r="C2758"/>
      <c r="D2758"/>
      <c r="E2758"/>
      <c r="F2758"/>
      <c r="G2758"/>
      <c r="H2758" s="19"/>
      <c r="I2758" s="19"/>
      <c r="J2758" s="19"/>
      <c r="M2758" s="7"/>
    </row>
    <row r="2759" spans="2:13" x14ac:dyDescent="0.25">
      <c r="B2759"/>
      <c r="C2759"/>
      <c r="D2759"/>
      <c r="E2759"/>
      <c r="F2759"/>
      <c r="G2759"/>
      <c r="H2759" s="19"/>
      <c r="I2759" s="19"/>
      <c r="J2759" s="19"/>
      <c r="M2759" s="7"/>
    </row>
    <row r="2760" spans="2:13" x14ac:dyDescent="0.25">
      <c r="B2760"/>
      <c r="C2760"/>
      <c r="D2760"/>
      <c r="E2760"/>
      <c r="F2760"/>
      <c r="G2760"/>
      <c r="H2760" s="19"/>
      <c r="I2760" s="19"/>
      <c r="J2760" s="19"/>
      <c r="M2760" s="7"/>
    </row>
    <row r="2761" spans="2:13" x14ac:dyDescent="0.25">
      <c r="B2761"/>
      <c r="C2761"/>
      <c r="D2761"/>
      <c r="E2761"/>
      <c r="F2761"/>
      <c r="G2761"/>
      <c r="H2761" s="19"/>
      <c r="I2761" s="19"/>
      <c r="J2761" s="19"/>
      <c r="M2761" s="7"/>
    </row>
    <row r="2762" spans="2:13" x14ac:dyDescent="0.25">
      <c r="B2762"/>
      <c r="C2762"/>
      <c r="D2762"/>
      <c r="E2762"/>
      <c r="F2762"/>
      <c r="G2762"/>
      <c r="H2762" s="19"/>
      <c r="I2762" s="19"/>
      <c r="J2762" s="19"/>
      <c r="M2762" s="7"/>
    </row>
    <row r="2763" spans="2:13" x14ac:dyDescent="0.25">
      <c r="B2763"/>
      <c r="C2763"/>
      <c r="D2763"/>
      <c r="E2763"/>
      <c r="F2763"/>
      <c r="G2763"/>
      <c r="H2763" s="19"/>
      <c r="I2763" s="19"/>
      <c r="J2763" s="19"/>
      <c r="M2763" s="7"/>
    </row>
    <row r="2764" spans="2:13" x14ac:dyDescent="0.25">
      <c r="B2764"/>
      <c r="C2764"/>
      <c r="D2764"/>
      <c r="E2764"/>
      <c r="F2764"/>
      <c r="G2764"/>
      <c r="H2764" s="19"/>
      <c r="I2764" s="19"/>
      <c r="J2764" s="19"/>
      <c r="M2764" s="7"/>
    </row>
    <row r="2765" spans="2:13" x14ac:dyDescent="0.25">
      <c r="B2765"/>
      <c r="C2765"/>
      <c r="D2765"/>
      <c r="E2765"/>
      <c r="F2765"/>
      <c r="G2765"/>
      <c r="H2765" s="19"/>
      <c r="I2765" s="19"/>
      <c r="J2765" s="19"/>
      <c r="M2765" s="7"/>
    </row>
    <row r="2766" spans="2:13" x14ac:dyDescent="0.25">
      <c r="B2766"/>
      <c r="C2766"/>
      <c r="D2766"/>
      <c r="E2766"/>
      <c r="F2766"/>
      <c r="G2766"/>
      <c r="H2766" s="19"/>
      <c r="I2766" s="19"/>
      <c r="J2766" s="19"/>
      <c r="M2766" s="7"/>
    </row>
    <row r="2767" spans="2:13" x14ac:dyDescent="0.25">
      <c r="B2767"/>
      <c r="C2767"/>
      <c r="D2767"/>
      <c r="E2767"/>
      <c r="F2767"/>
      <c r="G2767"/>
      <c r="H2767" s="19"/>
      <c r="I2767" s="19"/>
      <c r="J2767" s="19"/>
      <c r="M2767" s="7"/>
    </row>
    <row r="2768" spans="2:13" x14ac:dyDescent="0.25">
      <c r="B2768"/>
      <c r="C2768"/>
      <c r="D2768"/>
      <c r="E2768"/>
      <c r="F2768"/>
      <c r="G2768"/>
      <c r="H2768" s="19"/>
      <c r="I2768" s="19"/>
      <c r="J2768" s="19"/>
      <c r="M2768" s="7"/>
    </row>
    <row r="2769" spans="2:13" x14ac:dyDescent="0.25">
      <c r="B2769"/>
      <c r="C2769"/>
      <c r="D2769"/>
      <c r="E2769"/>
      <c r="F2769"/>
      <c r="G2769"/>
      <c r="H2769" s="19"/>
      <c r="I2769" s="19"/>
      <c r="J2769" s="19"/>
      <c r="M2769" s="7"/>
    </row>
    <row r="2770" spans="2:13" x14ac:dyDescent="0.25">
      <c r="B2770"/>
      <c r="C2770"/>
      <c r="D2770"/>
      <c r="E2770"/>
      <c r="F2770"/>
      <c r="G2770"/>
      <c r="H2770" s="19"/>
      <c r="I2770" s="19"/>
      <c r="J2770" s="19"/>
      <c r="M2770" s="7"/>
    </row>
    <row r="2771" spans="2:13" x14ac:dyDescent="0.25">
      <c r="B2771"/>
      <c r="C2771"/>
      <c r="D2771"/>
      <c r="E2771"/>
      <c r="F2771"/>
      <c r="G2771"/>
      <c r="H2771" s="19"/>
      <c r="I2771" s="19"/>
      <c r="J2771" s="19"/>
      <c r="M2771" s="7"/>
    </row>
    <row r="2772" spans="2:13" x14ac:dyDescent="0.25">
      <c r="B2772"/>
      <c r="C2772"/>
      <c r="D2772"/>
      <c r="E2772"/>
      <c r="F2772"/>
      <c r="G2772"/>
      <c r="H2772" s="19"/>
      <c r="I2772" s="19"/>
      <c r="J2772" s="19"/>
      <c r="M2772" s="7"/>
    </row>
    <row r="2773" spans="2:13" x14ac:dyDescent="0.25">
      <c r="B2773"/>
      <c r="C2773"/>
      <c r="D2773"/>
      <c r="E2773"/>
      <c r="F2773"/>
      <c r="G2773"/>
      <c r="H2773" s="19"/>
      <c r="I2773" s="19"/>
      <c r="J2773" s="19"/>
      <c r="M2773" s="7"/>
    </row>
    <row r="2774" spans="2:13" x14ac:dyDescent="0.25">
      <c r="B2774"/>
      <c r="C2774"/>
      <c r="D2774"/>
      <c r="E2774"/>
      <c r="F2774"/>
      <c r="G2774"/>
      <c r="H2774" s="19"/>
      <c r="I2774" s="19"/>
      <c r="J2774" s="19"/>
      <c r="M2774" s="7"/>
    </row>
    <row r="2775" spans="2:13" x14ac:dyDescent="0.25">
      <c r="B2775"/>
      <c r="C2775"/>
      <c r="D2775"/>
      <c r="E2775"/>
      <c r="F2775"/>
      <c r="G2775"/>
      <c r="H2775" s="19"/>
      <c r="I2775" s="19"/>
      <c r="J2775" s="19"/>
      <c r="M2775" s="7"/>
    </row>
    <row r="2776" spans="2:13" x14ac:dyDescent="0.25">
      <c r="B2776"/>
      <c r="C2776"/>
      <c r="D2776"/>
      <c r="E2776"/>
      <c r="F2776"/>
      <c r="G2776"/>
      <c r="H2776" s="19"/>
      <c r="I2776" s="19"/>
      <c r="J2776" s="19"/>
      <c r="M2776" s="7"/>
    </row>
    <row r="2777" spans="2:13" x14ac:dyDescent="0.25">
      <c r="B2777"/>
      <c r="C2777"/>
      <c r="D2777"/>
      <c r="E2777"/>
      <c r="F2777"/>
      <c r="G2777"/>
      <c r="H2777" s="19"/>
      <c r="I2777" s="19"/>
      <c r="J2777" s="19"/>
      <c r="M2777" s="7"/>
    </row>
    <row r="2778" spans="2:13" x14ac:dyDescent="0.25">
      <c r="B2778"/>
      <c r="C2778"/>
      <c r="D2778"/>
      <c r="E2778"/>
      <c r="F2778"/>
      <c r="G2778"/>
      <c r="H2778" s="19"/>
      <c r="I2778" s="19"/>
      <c r="J2778" s="19"/>
      <c r="M2778" s="7"/>
    </row>
    <row r="2779" spans="2:13" x14ac:dyDescent="0.25">
      <c r="B2779"/>
      <c r="C2779"/>
      <c r="D2779"/>
      <c r="E2779"/>
      <c r="F2779"/>
      <c r="G2779"/>
      <c r="H2779" s="19"/>
      <c r="I2779" s="19"/>
      <c r="J2779" s="19"/>
      <c r="M2779" s="7"/>
    </row>
    <row r="2780" spans="2:13" x14ac:dyDescent="0.25">
      <c r="B2780"/>
      <c r="C2780"/>
      <c r="D2780"/>
      <c r="E2780"/>
      <c r="F2780"/>
      <c r="G2780"/>
      <c r="H2780" s="19"/>
      <c r="I2780" s="19"/>
      <c r="J2780" s="19"/>
      <c r="M2780" s="7"/>
    </row>
    <row r="2781" spans="2:13" x14ac:dyDescent="0.25">
      <c r="B2781"/>
      <c r="C2781"/>
      <c r="D2781"/>
      <c r="E2781"/>
      <c r="F2781"/>
      <c r="G2781"/>
      <c r="H2781" s="19"/>
      <c r="I2781" s="19"/>
      <c r="J2781" s="19"/>
      <c r="M2781" s="7"/>
    </row>
    <row r="2782" spans="2:13" x14ac:dyDescent="0.25">
      <c r="B2782"/>
      <c r="C2782"/>
      <c r="D2782"/>
      <c r="E2782"/>
      <c r="F2782"/>
      <c r="G2782"/>
      <c r="H2782" s="19"/>
      <c r="I2782" s="19"/>
      <c r="J2782" s="19"/>
      <c r="M2782" s="7"/>
    </row>
    <row r="2783" spans="2:13" x14ac:dyDescent="0.25">
      <c r="B2783"/>
      <c r="C2783"/>
      <c r="D2783"/>
      <c r="E2783"/>
      <c r="F2783"/>
      <c r="G2783"/>
      <c r="H2783" s="19"/>
      <c r="I2783" s="19"/>
      <c r="J2783" s="19"/>
      <c r="M2783" s="7"/>
    </row>
    <row r="2784" spans="2:13" x14ac:dyDescent="0.25">
      <c r="B2784"/>
      <c r="C2784"/>
      <c r="D2784"/>
      <c r="E2784"/>
      <c r="F2784"/>
      <c r="G2784"/>
      <c r="H2784" s="19"/>
      <c r="I2784" s="19"/>
      <c r="J2784" s="19"/>
      <c r="M2784" s="7"/>
    </row>
    <row r="2785" spans="2:13" x14ac:dyDescent="0.25">
      <c r="B2785"/>
      <c r="C2785"/>
      <c r="D2785"/>
      <c r="E2785"/>
      <c r="F2785"/>
      <c r="G2785"/>
      <c r="H2785" s="19"/>
      <c r="I2785" s="19"/>
      <c r="J2785" s="19"/>
      <c r="M2785" s="7"/>
    </row>
    <row r="2786" spans="2:13" x14ac:dyDescent="0.25">
      <c r="B2786"/>
      <c r="C2786"/>
      <c r="D2786"/>
      <c r="E2786"/>
      <c r="F2786"/>
      <c r="G2786"/>
      <c r="H2786" s="19"/>
      <c r="I2786" s="19"/>
      <c r="J2786" s="19"/>
      <c r="M2786" s="7"/>
    </row>
    <row r="2787" spans="2:13" x14ac:dyDescent="0.25">
      <c r="B2787"/>
      <c r="C2787"/>
      <c r="D2787"/>
      <c r="E2787"/>
      <c r="F2787"/>
      <c r="G2787"/>
      <c r="H2787" s="19"/>
      <c r="I2787" s="19"/>
      <c r="J2787" s="19"/>
      <c r="M2787" s="7"/>
    </row>
    <row r="2788" spans="2:13" x14ac:dyDescent="0.25">
      <c r="B2788"/>
      <c r="C2788"/>
      <c r="D2788"/>
      <c r="E2788"/>
      <c r="F2788"/>
      <c r="G2788"/>
      <c r="H2788" s="19"/>
      <c r="I2788" s="19"/>
      <c r="J2788" s="19"/>
      <c r="M2788" s="7"/>
    </row>
    <row r="2789" spans="2:13" x14ac:dyDescent="0.25">
      <c r="B2789"/>
      <c r="C2789"/>
      <c r="D2789"/>
      <c r="E2789"/>
      <c r="F2789"/>
      <c r="G2789"/>
      <c r="H2789" s="19"/>
      <c r="I2789" s="19"/>
      <c r="J2789" s="19"/>
      <c r="M2789" s="7"/>
    </row>
    <row r="2790" spans="2:13" x14ac:dyDescent="0.25">
      <c r="B2790"/>
      <c r="C2790"/>
      <c r="D2790"/>
      <c r="E2790"/>
      <c r="F2790"/>
      <c r="G2790"/>
      <c r="H2790" s="19"/>
      <c r="I2790" s="19"/>
      <c r="J2790" s="19"/>
      <c r="M2790" s="7"/>
    </row>
    <row r="2791" spans="2:13" x14ac:dyDescent="0.25">
      <c r="B2791"/>
      <c r="C2791"/>
      <c r="D2791"/>
      <c r="E2791"/>
      <c r="F2791"/>
      <c r="G2791"/>
      <c r="H2791" s="19"/>
      <c r="I2791" s="19"/>
      <c r="J2791" s="19"/>
      <c r="M2791" s="7"/>
    </row>
    <row r="2792" spans="2:13" x14ac:dyDescent="0.25">
      <c r="B2792"/>
      <c r="C2792"/>
      <c r="D2792"/>
      <c r="E2792"/>
      <c r="F2792"/>
      <c r="G2792"/>
      <c r="H2792" s="19"/>
      <c r="I2792" s="19"/>
      <c r="J2792" s="19"/>
      <c r="M2792" s="7"/>
    </row>
    <row r="2793" spans="2:13" x14ac:dyDescent="0.25">
      <c r="B2793"/>
      <c r="C2793"/>
      <c r="D2793"/>
      <c r="E2793"/>
      <c r="F2793"/>
      <c r="G2793"/>
      <c r="H2793" s="19"/>
      <c r="I2793" s="19"/>
      <c r="J2793" s="19"/>
      <c r="M2793" s="7"/>
    </row>
    <row r="2794" spans="2:13" x14ac:dyDescent="0.25">
      <c r="B2794"/>
      <c r="C2794"/>
      <c r="D2794"/>
      <c r="E2794"/>
      <c r="F2794"/>
      <c r="G2794"/>
      <c r="H2794" s="19"/>
      <c r="I2794" s="19"/>
      <c r="J2794" s="19"/>
      <c r="M2794" s="7"/>
    </row>
    <row r="2795" spans="2:13" x14ac:dyDescent="0.25">
      <c r="B2795"/>
      <c r="C2795"/>
      <c r="D2795"/>
      <c r="E2795"/>
      <c r="F2795"/>
      <c r="G2795"/>
      <c r="H2795" s="19"/>
      <c r="I2795" s="19"/>
      <c r="J2795" s="19"/>
      <c r="M2795" s="7"/>
    </row>
    <row r="2796" spans="2:13" x14ac:dyDescent="0.25">
      <c r="B2796"/>
      <c r="C2796"/>
      <c r="D2796"/>
      <c r="E2796"/>
      <c r="F2796"/>
      <c r="G2796"/>
      <c r="H2796" s="19"/>
      <c r="I2796" s="19"/>
      <c r="J2796" s="19"/>
      <c r="M2796" s="7"/>
    </row>
    <row r="2797" spans="2:13" x14ac:dyDescent="0.25">
      <c r="B2797"/>
      <c r="C2797"/>
      <c r="D2797"/>
      <c r="E2797"/>
      <c r="F2797"/>
      <c r="G2797"/>
      <c r="H2797" s="19"/>
      <c r="I2797" s="19"/>
      <c r="J2797" s="19"/>
      <c r="M2797" s="7"/>
    </row>
    <row r="2798" spans="2:13" x14ac:dyDescent="0.25">
      <c r="B2798"/>
      <c r="C2798"/>
      <c r="D2798"/>
      <c r="E2798"/>
      <c r="F2798"/>
      <c r="G2798"/>
      <c r="H2798" s="19"/>
      <c r="I2798" s="19"/>
      <c r="J2798" s="19"/>
      <c r="M2798" s="7"/>
    </row>
    <row r="2799" spans="2:13" x14ac:dyDescent="0.25">
      <c r="B2799"/>
      <c r="C2799"/>
      <c r="D2799"/>
      <c r="E2799"/>
      <c r="F2799"/>
      <c r="G2799"/>
      <c r="H2799" s="19"/>
      <c r="I2799" s="19"/>
      <c r="J2799" s="19"/>
      <c r="M2799" s="7"/>
    </row>
    <row r="2800" spans="2:13" x14ac:dyDescent="0.25">
      <c r="B2800"/>
      <c r="C2800"/>
      <c r="D2800"/>
      <c r="E2800"/>
      <c r="F2800"/>
      <c r="G2800"/>
      <c r="H2800" s="19"/>
      <c r="I2800" s="19"/>
      <c r="J2800" s="19"/>
      <c r="M2800" s="7"/>
    </row>
    <row r="2801" spans="2:13" x14ac:dyDescent="0.25">
      <c r="B2801"/>
      <c r="C2801"/>
      <c r="D2801"/>
      <c r="E2801"/>
      <c r="F2801"/>
      <c r="G2801"/>
      <c r="H2801" s="19"/>
      <c r="I2801" s="19"/>
      <c r="J2801" s="19"/>
      <c r="M2801" s="7"/>
    </row>
    <row r="2802" spans="2:13" x14ac:dyDescent="0.25">
      <c r="B2802"/>
      <c r="C2802"/>
      <c r="D2802"/>
      <c r="E2802"/>
      <c r="F2802"/>
      <c r="G2802"/>
      <c r="H2802" s="19"/>
      <c r="I2802" s="19"/>
      <c r="J2802" s="19"/>
      <c r="M2802" s="7"/>
    </row>
    <row r="2803" spans="2:13" x14ac:dyDescent="0.25">
      <c r="B2803"/>
      <c r="C2803"/>
      <c r="D2803"/>
      <c r="E2803"/>
      <c r="F2803"/>
      <c r="G2803"/>
      <c r="H2803" s="19"/>
      <c r="I2803" s="19"/>
      <c r="J2803" s="19"/>
      <c r="M2803" s="7"/>
    </row>
    <row r="2804" spans="2:13" x14ac:dyDescent="0.25">
      <c r="B2804"/>
      <c r="C2804"/>
      <c r="D2804"/>
      <c r="E2804"/>
      <c r="F2804"/>
      <c r="G2804"/>
      <c r="H2804" s="19"/>
      <c r="I2804" s="19"/>
      <c r="J2804" s="19"/>
      <c r="M2804" s="7"/>
    </row>
    <row r="2805" spans="2:13" x14ac:dyDescent="0.25">
      <c r="B2805"/>
      <c r="C2805"/>
      <c r="D2805"/>
      <c r="E2805"/>
      <c r="F2805"/>
      <c r="G2805"/>
      <c r="H2805" s="19"/>
      <c r="I2805" s="19"/>
      <c r="J2805" s="19"/>
      <c r="M2805" s="7"/>
    </row>
    <row r="2806" spans="2:13" x14ac:dyDescent="0.25">
      <c r="B2806"/>
      <c r="C2806"/>
      <c r="D2806"/>
      <c r="E2806"/>
      <c r="F2806"/>
      <c r="G2806"/>
      <c r="H2806" s="19"/>
      <c r="I2806" s="19"/>
      <c r="J2806" s="19"/>
      <c r="M2806" s="7"/>
    </row>
    <row r="2807" spans="2:13" x14ac:dyDescent="0.25">
      <c r="B2807"/>
      <c r="C2807"/>
      <c r="D2807"/>
      <c r="E2807"/>
      <c r="F2807"/>
      <c r="G2807"/>
      <c r="H2807" s="19"/>
      <c r="I2807" s="19"/>
      <c r="J2807" s="19"/>
      <c r="M2807" s="7"/>
    </row>
    <row r="2808" spans="2:13" x14ac:dyDescent="0.25">
      <c r="B2808"/>
      <c r="C2808"/>
      <c r="D2808"/>
      <c r="E2808"/>
      <c r="F2808"/>
      <c r="G2808"/>
      <c r="H2808" s="19"/>
      <c r="I2808" s="19"/>
      <c r="J2808" s="19"/>
      <c r="M2808" s="7"/>
    </row>
    <row r="2809" spans="2:13" x14ac:dyDescent="0.25">
      <c r="B2809"/>
      <c r="C2809"/>
      <c r="D2809"/>
      <c r="E2809"/>
      <c r="F2809"/>
      <c r="G2809"/>
      <c r="H2809" s="19"/>
      <c r="I2809" s="19"/>
      <c r="J2809" s="19"/>
      <c r="M2809" s="7"/>
    </row>
    <row r="2810" spans="2:13" x14ac:dyDescent="0.25">
      <c r="B2810"/>
      <c r="C2810"/>
      <c r="D2810"/>
      <c r="E2810"/>
      <c r="F2810"/>
      <c r="G2810"/>
      <c r="H2810" s="19"/>
      <c r="I2810" s="19"/>
      <c r="J2810" s="19"/>
      <c r="M2810" s="7"/>
    </row>
    <row r="2811" spans="2:13" x14ac:dyDescent="0.25">
      <c r="B2811"/>
      <c r="C2811"/>
      <c r="D2811"/>
      <c r="E2811"/>
      <c r="F2811"/>
      <c r="G2811"/>
      <c r="H2811" s="19"/>
      <c r="I2811" s="19"/>
      <c r="J2811" s="19"/>
      <c r="M2811" s="7"/>
    </row>
    <row r="2812" spans="2:13" x14ac:dyDescent="0.25">
      <c r="B2812"/>
      <c r="C2812"/>
      <c r="D2812"/>
      <c r="E2812"/>
      <c r="F2812"/>
      <c r="G2812"/>
      <c r="H2812" s="19"/>
      <c r="I2812" s="19"/>
      <c r="J2812" s="19"/>
      <c r="M2812" s="7"/>
    </row>
    <row r="2813" spans="2:13" x14ac:dyDescent="0.25">
      <c r="B2813"/>
      <c r="C2813"/>
      <c r="D2813"/>
      <c r="E2813"/>
      <c r="F2813"/>
      <c r="G2813"/>
      <c r="H2813" s="19"/>
      <c r="I2813" s="19"/>
      <c r="J2813" s="19"/>
      <c r="M2813" s="7"/>
    </row>
    <row r="2814" spans="2:13" x14ac:dyDescent="0.25">
      <c r="B2814"/>
      <c r="C2814"/>
      <c r="D2814"/>
      <c r="E2814"/>
      <c r="F2814"/>
      <c r="G2814"/>
      <c r="H2814" s="19"/>
      <c r="I2814" s="19"/>
      <c r="J2814" s="19"/>
      <c r="M2814" s="7"/>
    </row>
    <row r="2815" spans="2:13" x14ac:dyDescent="0.25">
      <c r="B2815"/>
      <c r="C2815"/>
      <c r="D2815"/>
      <c r="E2815"/>
      <c r="F2815"/>
      <c r="G2815"/>
      <c r="H2815" s="19"/>
      <c r="I2815" s="19"/>
      <c r="J2815" s="19"/>
      <c r="M2815" s="7"/>
    </row>
    <row r="2816" spans="2:13" x14ac:dyDescent="0.25">
      <c r="B2816"/>
      <c r="C2816"/>
      <c r="D2816"/>
      <c r="E2816"/>
      <c r="F2816"/>
      <c r="G2816"/>
      <c r="H2816" s="19"/>
      <c r="I2816" s="19"/>
      <c r="J2816" s="19"/>
      <c r="M2816" s="7"/>
    </row>
    <row r="2817" spans="2:13" x14ac:dyDescent="0.25">
      <c r="B2817"/>
      <c r="C2817"/>
      <c r="D2817"/>
      <c r="E2817"/>
      <c r="F2817"/>
      <c r="G2817"/>
      <c r="H2817" s="19"/>
      <c r="I2817" s="19"/>
      <c r="J2817" s="19"/>
      <c r="M2817" s="7"/>
    </row>
    <row r="2818" spans="2:13" x14ac:dyDescent="0.25">
      <c r="B2818"/>
      <c r="C2818"/>
      <c r="D2818"/>
      <c r="E2818"/>
      <c r="F2818"/>
      <c r="G2818"/>
      <c r="H2818" s="19"/>
      <c r="I2818" s="19"/>
      <c r="J2818" s="19"/>
      <c r="M2818" s="7"/>
    </row>
    <row r="2819" spans="2:13" x14ac:dyDescent="0.25">
      <c r="B2819"/>
      <c r="C2819"/>
      <c r="D2819"/>
      <c r="E2819"/>
      <c r="F2819"/>
      <c r="G2819"/>
      <c r="H2819" s="19"/>
      <c r="I2819" s="19"/>
      <c r="J2819" s="19"/>
      <c r="M2819" s="7"/>
    </row>
    <row r="2820" spans="2:13" x14ac:dyDescent="0.25">
      <c r="B2820"/>
      <c r="C2820"/>
      <c r="D2820"/>
      <c r="E2820"/>
      <c r="F2820"/>
      <c r="G2820"/>
      <c r="H2820" s="19"/>
      <c r="I2820" s="19"/>
      <c r="J2820" s="19"/>
      <c r="M2820" s="7"/>
    </row>
    <row r="2821" spans="2:13" x14ac:dyDescent="0.25">
      <c r="B2821"/>
      <c r="C2821"/>
      <c r="D2821"/>
      <c r="E2821"/>
      <c r="F2821"/>
      <c r="G2821"/>
      <c r="H2821" s="19"/>
      <c r="I2821" s="19"/>
      <c r="J2821" s="19"/>
      <c r="M2821" s="7"/>
    </row>
    <row r="2822" spans="2:13" x14ac:dyDescent="0.25">
      <c r="B2822"/>
      <c r="C2822"/>
      <c r="D2822"/>
      <c r="E2822"/>
      <c r="F2822"/>
      <c r="G2822"/>
      <c r="H2822" s="19"/>
      <c r="I2822" s="19"/>
      <c r="J2822" s="19"/>
      <c r="M2822" s="7"/>
    </row>
    <row r="2823" spans="2:13" x14ac:dyDescent="0.25">
      <c r="B2823"/>
      <c r="C2823"/>
      <c r="D2823"/>
      <c r="E2823"/>
      <c r="F2823"/>
      <c r="G2823"/>
      <c r="H2823" s="19"/>
      <c r="I2823" s="19"/>
      <c r="J2823" s="19"/>
      <c r="M2823" s="7"/>
    </row>
    <row r="2824" spans="2:13" x14ac:dyDescent="0.25">
      <c r="B2824"/>
      <c r="C2824"/>
      <c r="D2824"/>
      <c r="E2824"/>
      <c r="F2824"/>
      <c r="G2824"/>
      <c r="H2824" s="19"/>
      <c r="I2824" s="19"/>
      <c r="J2824" s="19"/>
      <c r="M2824" s="7"/>
    </row>
    <row r="2825" spans="2:13" x14ac:dyDescent="0.25">
      <c r="B2825"/>
      <c r="C2825"/>
      <c r="D2825"/>
      <c r="E2825"/>
      <c r="F2825"/>
      <c r="G2825"/>
      <c r="H2825" s="19"/>
      <c r="I2825" s="19"/>
      <c r="J2825" s="19"/>
      <c r="M2825" s="7"/>
    </row>
    <row r="2826" spans="2:13" x14ac:dyDescent="0.25">
      <c r="B2826"/>
      <c r="C2826"/>
      <c r="D2826"/>
      <c r="E2826"/>
      <c r="F2826"/>
      <c r="G2826"/>
      <c r="H2826" s="19"/>
      <c r="I2826" s="19"/>
      <c r="J2826" s="19"/>
      <c r="M2826" s="7"/>
    </row>
    <row r="2827" spans="2:13" x14ac:dyDescent="0.25">
      <c r="B2827"/>
      <c r="C2827"/>
      <c r="D2827"/>
      <c r="E2827"/>
      <c r="F2827"/>
      <c r="G2827"/>
      <c r="H2827" s="19"/>
      <c r="I2827" s="19"/>
      <c r="J2827" s="19"/>
      <c r="M2827" s="7"/>
    </row>
    <row r="2828" spans="2:13" x14ac:dyDescent="0.25">
      <c r="B2828"/>
      <c r="C2828"/>
      <c r="D2828"/>
      <c r="E2828"/>
      <c r="F2828"/>
      <c r="G2828"/>
      <c r="H2828" s="19"/>
      <c r="I2828" s="19"/>
      <c r="J2828" s="19"/>
      <c r="M2828" s="7"/>
    </row>
    <row r="2829" spans="2:13" x14ac:dyDescent="0.25">
      <c r="B2829"/>
      <c r="C2829"/>
      <c r="D2829"/>
      <c r="E2829"/>
      <c r="F2829"/>
      <c r="G2829"/>
      <c r="H2829" s="19"/>
      <c r="I2829" s="19"/>
      <c r="J2829" s="19"/>
      <c r="M2829" s="7"/>
    </row>
    <row r="2830" spans="2:13" x14ac:dyDescent="0.25">
      <c r="B2830"/>
      <c r="C2830"/>
      <c r="D2830"/>
      <c r="E2830"/>
      <c r="F2830"/>
      <c r="G2830"/>
      <c r="H2830" s="19"/>
      <c r="I2830" s="19"/>
      <c r="J2830" s="19"/>
      <c r="M2830" s="7"/>
    </row>
    <row r="2831" spans="2:13" x14ac:dyDescent="0.25">
      <c r="B2831"/>
      <c r="C2831"/>
      <c r="D2831"/>
      <c r="E2831"/>
      <c r="F2831"/>
      <c r="G2831"/>
      <c r="H2831" s="19"/>
      <c r="I2831" s="19"/>
      <c r="J2831" s="19"/>
      <c r="M2831" s="7"/>
    </row>
    <row r="2832" spans="2:13" x14ac:dyDescent="0.25">
      <c r="B2832"/>
      <c r="C2832"/>
      <c r="D2832"/>
      <c r="E2832"/>
      <c r="F2832"/>
      <c r="G2832"/>
      <c r="H2832" s="19"/>
      <c r="I2832" s="19"/>
      <c r="J2832" s="19"/>
      <c r="M2832" s="7"/>
    </row>
    <row r="2833" spans="2:13" x14ac:dyDescent="0.25">
      <c r="B2833"/>
      <c r="C2833"/>
      <c r="D2833"/>
      <c r="E2833"/>
      <c r="F2833"/>
      <c r="G2833"/>
      <c r="H2833" s="19"/>
      <c r="I2833" s="19"/>
      <c r="J2833" s="19"/>
      <c r="M2833" s="7"/>
    </row>
    <row r="2834" spans="2:13" x14ac:dyDescent="0.25">
      <c r="B2834"/>
      <c r="C2834"/>
      <c r="D2834"/>
      <c r="E2834"/>
      <c r="F2834"/>
      <c r="G2834"/>
      <c r="H2834" s="19"/>
      <c r="I2834" s="19"/>
      <c r="J2834" s="19"/>
      <c r="M2834" s="7"/>
    </row>
    <row r="2835" spans="2:13" x14ac:dyDescent="0.25">
      <c r="B2835"/>
      <c r="C2835"/>
      <c r="D2835"/>
      <c r="E2835"/>
      <c r="F2835"/>
      <c r="G2835"/>
      <c r="H2835" s="19"/>
      <c r="I2835" s="19"/>
      <c r="J2835" s="19"/>
      <c r="M2835" s="7"/>
    </row>
    <row r="2836" spans="2:13" x14ac:dyDescent="0.25">
      <c r="B2836"/>
      <c r="C2836"/>
      <c r="D2836"/>
      <c r="E2836"/>
      <c r="F2836"/>
      <c r="G2836"/>
      <c r="H2836" s="19"/>
      <c r="I2836" s="19"/>
      <c r="J2836" s="19"/>
      <c r="M2836" s="7"/>
    </row>
    <row r="2837" spans="2:13" x14ac:dyDescent="0.25">
      <c r="B2837"/>
      <c r="C2837"/>
      <c r="D2837"/>
      <c r="E2837"/>
      <c r="F2837"/>
      <c r="G2837"/>
      <c r="H2837" s="19"/>
      <c r="I2837" s="19"/>
      <c r="J2837" s="19"/>
      <c r="M2837" s="7"/>
    </row>
    <row r="2838" spans="2:13" x14ac:dyDescent="0.25">
      <c r="B2838"/>
      <c r="C2838"/>
      <c r="D2838"/>
      <c r="E2838"/>
      <c r="F2838"/>
      <c r="G2838"/>
      <c r="H2838" s="19"/>
      <c r="I2838" s="19"/>
      <c r="J2838" s="19"/>
      <c r="M2838" s="7"/>
    </row>
    <row r="2839" spans="2:13" x14ac:dyDescent="0.25">
      <c r="B2839"/>
      <c r="C2839"/>
      <c r="D2839"/>
      <c r="E2839"/>
      <c r="F2839"/>
      <c r="G2839"/>
      <c r="H2839" s="19"/>
      <c r="I2839" s="19"/>
      <c r="J2839" s="19"/>
      <c r="M2839" s="7"/>
    </row>
    <row r="2840" spans="2:13" x14ac:dyDescent="0.25">
      <c r="B2840"/>
      <c r="C2840"/>
      <c r="D2840"/>
      <c r="E2840"/>
      <c r="F2840"/>
      <c r="G2840"/>
      <c r="H2840" s="19"/>
      <c r="I2840" s="19"/>
      <c r="J2840" s="19"/>
      <c r="M2840" s="7"/>
    </row>
    <row r="2841" spans="2:13" x14ac:dyDescent="0.25">
      <c r="B2841"/>
      <c r="C2841"/>
      <c r="D2841"/>
      <c r="E2841"/>
      <c r="F2841"/>
      <c r="G2841"/>
      <c r="H2841" s="19"/>
      <c r="I2841" s="19"/>
      <c r="J2841" s="19"/>
      <c r="M2841" s="7"/>
    </row>
    <row r="2842" spans="2:13" x14ac:dyDescent="0.25">
      <c r="B2842"/>
      <c r="C2842"/>
      <c r="D2842"/>
      <c r="E2842"/>
      <c r="F2842"/>
      <c r="G2842"/>
      <c r="H2842" s="19"/>
      <c r="I2842" s="19"/>
      <c r="J2842" s="19"/>
      <c r="M2842" s="7"/>
    </row>
    <row r="2843" spans="2:13" x14ac:dyDescent="0.25">
      <c r="B2843"/>
      <c r="C2843"/>
      <c r="D2843"/>
      <c r="E2843"/>
      <c r="F2843"/>
      <c r="G2843"/>
      <c r="H2843" s="19"/>
      <c r="I2843" s="19"/>
      <c r="J2843" s="19"/>
      <c r="M2843" s="7"/>
    </row>
    <row r="2844" spans="2:13" x14ac:dyDescent="0.25">
      <c r="B2844"/>
      <c r="C2844"/>
      <c r="D2844"/>
      <c r="E2844"/>
      <c r="F2844"/>
      <c r="G2844"/>
      <c r="H2844" s="19"/>
      <c r="I2844" s="19"/>
      <c r="J2844" s="19"/>
      <c r="M2844" s="7"/>
    </row>
    <row r="2845" spans="2:13" x14ac:dyDescent="0.25">
      <c r="B2845"/>
      <c r="C2845"/>
      <c r="D2845"/>
      <c r="E2845"/>
      <c r="F2845"/>
      <c r="G2845"/>
      <c r="H2845" s="19"/>
      <c r="I2845" s="19"/>
      <c r="J2845" s="19"/>
      <c r="M2845" s="7"/>
    </row>
    <row r="2846" spans="2:13" x14ac:dyDescent="0.25">
      <c r="B2846"/>
      <c r="C2846"/>
      <c r="D2846"/>
      <c r="E2846"/>
      <c r="F2846"/>
      <c r="G2846"/>
      <c r="H2846" s="19"/>
      <c r="I2846" s="19"/>
      <c r="J2846" s="19"/>
      <c r="M2846" s="7"/>
    </row>
    <row r="2847" spans="2:13" x14ac:dyDescent="0.25">
      <c r="B2847"/>
      <c r="C2847"/>
      <c r="D2847"/>
      <c r="E2847"/>
      <c r="F2847"/>
      <c r="G2847"/>
      <c r="H2847" s="19"/>
      <c r="I2847" s="19"/>
      <c r="J2847" s="19"/>
      <c r="M2847" s="7"/>
    </row>
    <row r="2848" spans="2:13" x14ac:dyDescent="0.25">
      <c r="B2848"/>
      <c r="C2848"/>
      <c r="D2848"/>
      <c r="E2848"/>
      <c r="F2848"/>
      <c r="G2848"/>
      <c r="H2848" s="19"/>
      <c r="I2848" s="19"/>
      <c r="J2848" s="19"/>
      <c r="M2848" s="7"/>
    </row>
    <row r="2849" spans="2:13" x14ac:dyDescent="0.25">
      <c r="B2849"/>
      <c r="C2849"/>
      <c r="D2849"/>
      <c r="E2849"/>
      <c r="F2849"/>
      <c r="G2849"/>
      <c r="H2849" s="19"/>
      <c r="I2849" s="19"/>
      <c r="J2849" s="19"/>
      <c r="M2849" s="7"/>
    </row>
    <row r="2850" spans="2:13" x14ac:dyDescent="0.25">
      <c r="B2850"/>
      <c r="C2850"/>
      <c r="D2850"/>
      <c r="E2850"/>
      <c r="F2850"/>
      <c r="G2850"/>
      <c r="H2850" s="19"/>
      <c r="I2850" s="19"/>
      <c r="J2850" s="19"/>
      <c r="M2850" s="7"/>
    </row>
    <row r="2851" spans="2:13" x14ac:dyDescent="0.25">
      <c r="B2851"/>
      <c r="C2851"/>
      <c r="D2851"/>
      <c r="E2851"/>
      <c r="F2851"/>
      <c r="G2851"/>
      <c r="H2851" s="19"/>
      <c r="I2851" s="19"/>
      <c r="J2851" s="19"/>
      <c r="M2851" s="7"/>
    </row>
    <row r="2852" spans="2:13" x14ac:dyDescent="0.25">
      <c r="B2852"/>
      <c r="C2852"/>
      <c r="D2852"/>
      <c r="E2852"/>
      <c r="F2852"/>
      <c r="G2852"/>
      <c r="H2852" s="19"/>
      <c r="I2852" s="19"/>
      <c r="J2852" s="19"/>
      <c r="M2852" s="7"/>
    </row>
    <row r="2853" spans="2:13" x14ac:dyDescent="0.25">
      <c r="B2853"/>
      <c r="C2853"/>
      <c r="D2853"/>
      <c r="E2853"/>
      <c r="F2853"/>
      <c r="G2853"/>
      <c r="H2853" s="19"/>
      <c r="I2853" s="19"/>
      <c r="J2853" s="19"/>
      <c r="M2853" s="7"/>
    </row>
    <row r="2854" spans="2:13" x14ac:dyDescent="0.25">
      <c r="B2854"/>
      <c r="C2854"/>
      <c r="D2854"/>
      <c r="E2854"/>
      <c r="F2854"/>
      <c r="G2854"/>
      <c r="H2854" s="19"/>
      <c r="I2854" s="19"/>
      <c r="J2854" s="19"/>
      <c r="M2854" s="7"/>
    </row>
    <row r="2855" spans="2:13" x14ac:dyDescent="0.25">
      <c r="B2855"/>
      <c r="C2855"/>
      <c r="D2855"/>
      <c r="E2855"/>
      <c r="F2855"/>
      <c r="G2855"/>
      <c r="H2855" s="19"/>
      <c r="I2855" s="19"/>
      <c r="J2855" s="19"/>
      <c r="M2855" s="7"/>
    </row>
    <row r="2856" spans="2:13" x14ac:dyDescent="0.25">
      <c r="B2856"/>
      <c r="C2856"/>
      <c r="D2856"/>
      <c r="E2856"/>
      <c r="F2856"/>
      <c r="G2856"/>
      <c r="H2856" s="19"/>
      <c r="I2856" s="19"/>
      <c r="J2856" s="19"/>
      <c r="M2856" s="7"/>
    </row>
    <row r="2857" spans="2:13" x14ac:dyDescent="0.25">
      <c r="B2857"/>
      <c r="C2857"/>
      <c r="D2857"/>
      <c r="E2857"/>
      <c r="F2857"/>
      <c r="G2857"/>
      <c r="H2857" s="19"/>
      <c r="I2857" s="19"/>
      <c r="J2857" s="19"/>
      <c r="M2857" s="7"/>
    </row>
    <row r="2858" spans="2:13" x14ac:dyDescent="0.25">
      <c r="B2858"/>
      <c r="C2858"/>
      <c r="D2858"/>
      <c r="E2858"/>
      <c r="F2858"/>
      <c r="G2858"/>
      <c r="H2858" s="19"/>
      <c r="I2858" s="19"/>
      <c r="J2858" s="19"/>
      <c r="M2858" s="7"/>
    </row>
    <row r="2859" spans="2:13" x14ac:dyDescent="0.25">
      <c r="B2859"/>
      <c r="C2859"/>
      <c r="D2859"/>
      <c r="E2859"/>
      <c r="F2859"/>
      <c r="G2859"/>
      <c r="H2859" s="19"/>
      <c r="I2859" s="19"/>
      <c r="J2859" s="19"/>
      <c r="M2859" s="7"/>
    </row>
    <row r="2860" spans="2:13" x14ac:dyDescent="0.25">
      <c r="B2860"/>
      <c r="C2860"/>
      <c r="D2860"/>
      <c r="E2860"/>
      <c r="F2860"/>
      <c r="G2860"/>
      <c r="H2860" s="19"/>
      <c r="I2860" s="19"/>
      <c r="J2860" s="19"/>
      <c r="M2860" s="7"/>
    </row>
    <row r="2861" spans="2:13" x14ac:dyDescent="0.25">
      <c r="B2861"/>
      <c r="C2861"/>
      <c r="D2861"/>
      <c r="E2861"/>
      <c r="F2861"/>
      <c r="G2861"/>
      <c r="H2861" s="19"/>
      <c r="I2861" s="19"/>
      <c r="J2861" s="19"/>
      <c r="M2861" s="7"/>
    </row>
    <row r="2862" spans="2:13" x14ac:dyDescent="0.25">
      <c r="B2862"/>
      <c r="C2862"/>
      <c r="D2862"/>
      <c r="E2862"/>
      <c r="F2862"/>
      <c r="G2862"/>
      <c r="H2862" s="19"/>
      <c r="I2862" s="19"/>
      <c r="J2862" s="19"/>
      <c r="M2862" s="7"/>
    </row>
    <row r="2863" spans="2:13" x14ac:dyDescent="0.25">
      <c r="B2863"/>
      <c r="C2863"/>
      <c r="D2863"/>
      <c r="E2863"/>
      <c r="F2863"/>
      <c r="G2863"/>
      <c r="H2863" s="19"/>
      <c r="I2863" s="19"/>
      <c r="J2863" s="19"/>
      <c r="M2863" s="7"/>
    </row>
    <row r="2864" spans="2:13" x14ac:dyDescent="0.25">
      <c r="B2864"/>
      <c r="C2864"/>
      <c r="D2864"/>
      <c r="E2864"/>
      <c r="F2864"/>
      <c r="G2864"/>
      <c r="H2864" s="19"/>
      <c r="I2864" s="19"/>
      <c r="J2864" s="19"/>
      <c r="M2864" s="7"/>
    </row>
    <row r="2865" spans="2:13" x14ac:dyDescent="0.25">
      <c r="B2865"/>
      <c r="C2865"/>
      <c r="D2865"/>
      <c r="E2865"/>
      <c r="F2865"/>
      <c r="G2865"/>
      <c r="H2865" s="19"/>
      <c r="I2865" s="19"/>
      <c r="J2865" s="19"/>
      <c r="M2865" s="7"/>
    </row>
    <row r="2866" spans="2:13" x14ac:dyDescent="0.25">
      <c r="B2866"/>
      <c r="C2866"/>
      <c r="D2866"/>
      <c r="E2866"/>
      <c r="F2866"/>
      <c r="G2866"/>
      <c r="H2866" s="19"/>
      <c r="I2866" s="19"/>
      <c r="J2866" s="19"/>
      <c r="M2866" s="7"/>
    </row>
    <row r="2867" spans="2:13" x14ac:dyDescent="0.25">
      <c r="B2867"/>
      <c r="C2867"/>
      <c r="D2867"/>
      <c r="E2867"/>
      <c r="F2867"/>
      <c r="G2867"/>
      <c r="H2867" s="19"/>
      <c r="I2867" s="19"/>
      <c r="J2867" s="19"/>
      <c r="M2867" s="7"/>
    </row>
    <row r="2868" spans="2:13" x14ac:dyDescent="0.25">
      <c r="B2868"/>
      <c r="C2868"/>
      <c r="D2868"/>
      <c r="E2868"/>
      <c r="F2868"/>
      <c r="G2868"/>
      <c r="H2868" s="19"/>
      <c r="I2868" s="19"/>
      <c r="J2868" s="19"/>
      <c r="M2868" s="7"/>
    </row>
    <row r="2869" spans="2:13" x14ac:dyDescent="0.25">
      <c r="B2869"/>
      <c r="C2869"/>
      <c r="D2869"/>
      <c r="E2869"/>
      <c r="F2869"/>
      <c r="G2869"/>
      <c r="H2869" s="19"/>
      <c r="I2869" s="19"/>
      <c r="J2869" s="19"/>
      <c r="M2869" s="7"/>
    </row>
    <row r="2870" spans="2:13" x14ac:dyDescent="0.25">
      <c r="B2870"/>
      <c r="C2870"/>
      <c r="D2870"/>
      <c r="E2870"/>
      <c r="F2870"/>
      <c r="G2870"/>
      <c r="H2870" s="19"/>
      <c r="I2870" s="19"/>
      <c r="J2870" s="19"/>
      <c r="M2870" s="7"/>
    </row>
    <row r="2871" spans="2:13" x14ac:dyDescent="0.25">
      <c r="B2871"/>
      <c r="C2871"/>
      <c r="D2871"/>
      <c r="E2871"/>
      <c r="F2871"/>
      <c r="G2871"/>
      <c r="H2871" s="19"/>
      <c r="I2871" s="19"/>
      <c r="J2871" s="19"/>
      <c r="M2871" s="7"/>
    </row>
    <row r="2872" spans="2:13" x14ac:dyDescent="0.25">
      <c r="B2872"/>
      <c r="C2872"/>
      <c r="D2872"/>
      <c r="E2872"/>
      <c r="F2872"/>
      <c r="G2872"/>
      <c r="H2872" s="19"/>
      <c r="I2872" s="19"/>
      <c r="J2872" s="19"/>
      <c r="M2872" s="7"/>
    </row>
    <row r="2873" spans="2:13" x14ac:dyDescent="0.25">
      <c r="B2873"/>
      <c r="C2873"/>
      <c r="D2873"/>
      <c r="E2873"/>
      <c r="F2873"/>
      <c r="G2873"/>
      <c r="H2873" s="19"/>
      <c r="I2873" s="19"/>
      <c r="J2873" s="19"/>
      <c r="M2873" s="7"/>
    </row>
    <row r="2874" spans="2:13" x14ac:dyDescent="0.25">
      <c r="B2874"/>
      <c r="C2874"/>
      <c r="D2874"/>
      <c r="E2874"/>
      <c r="F2874"/>
      <c r="G2874"/>
      <c r="H2874" s="19"/>
      <c r="I2874" s="19"/>
      <c r="J2874" s="19"/>
      <c r="M2874" s="7"/>
    </row>
    <row r="2875" spans="2:13" x14ac:dyDescent="0.25">
      <c r="B2875"/>
      <c r="C2875"/>
      <c r="D2875"/>
      <c r="E2875"/>
      <c r="F2875"/>
      <c r="G2875"/>
      <c r="H2875" s="19"/>
      <c r="I2875" s="19"/>
      <c r="J2875" s="19"/>
      <c r="M2875" s="7"/>
    </row>
    <row r="2876" spans="2:13" x14ac:dyDescent="0.25">
      <c r="B2876"/>
      <c r="C2876"/>
      <c r="D2876"/>
      <c r="E2876"/>
      <c r="F2876"/>
      <c r="G2876"/>
      <c r="H2876" s="19"/>
      <c r="I2876" s="19"/>
      <c r="J2876" s="19"/>
      <c r="M2876" s="7"/>
    </row>
    <row r="2877" spans="2:13" x14ac:dyDescent="0.25">
      <c r="B2877"/>
      <c r="C2877"/>
      <c r="D2877"/>
      <c r="E2877"/>
      <c r="F2877"/>
      <c r="G2877"/>
      <c r="H2877" s="19"/>
      <c r="I2877" s="19"/>
      <c r="J2877" s="19"/>
      <c r="M2877" s="7"/>
    </row>
    <row r="2878" spans="2:13" x14ac:dyDescent="0.25">
      <c r="B2878"/>
      <c r="C2878"/>
      <c r="D2878"/>
      <c r="E2878"/>
      <c r="F2878"/>
      <c r="G2878"/>
      <c r="H2878" s="19"/>
      <c r="I2878" s="19"/>
      <c r="J2878" s="19"/>
      <c r="M2878" s="7"/>
    </row>
    <row r="2879" spans="2:13" x14ac:dyDescent="0.25">
      <c r="B2879"/>
      <c r="C2879"/>
      <c r="D2879"/>
      <c r="E2879"/>
      <c r="F2879"/>
      <c r="G2879"/>
      <c r="H2879" s="19"/>
      <c r="I2879" s="19"/>
      <c r="J2879" s="19"/>
      <c r="M2879" s="7"/>
    </row>
    <row r="2880" spans="2:13" x14ac:dyDescent="0.25">
      <c r="B2880"/>
      <c r="C2880"/>
      <c r="D2880"/>
      <c r="E2880"/>
      <c r="F2880"/>
      <c r="G2880"/>
      <c r="H2880" s="19"/>
      <c r="I2880" s="19"/>
      <c r="J2880" s="19"/>
      <c r="M2880" s="7"/>
    </row>
    <row r="2881" spans="2:13" x14ac:dyDescent="0.25">
      <c r="B2881"/>
      <c r="C2881"/>
      <c r="D2881"/>
      <c r="E2881"/>
      <c r="F2881"/>
      <c r="G2881"/>
      <c r="H2881" s="19"/>
      <c r="I2881" s="19"/>
      <c r="J2881" s="19"/>
      <c r="M2881" s="7"/>
    </row>
    <row r="2882" spans="2:13" x14ac:dyDescent="0.25">
      <c r="B2882"/>
      <c r="C2882"/>
      <c r="D2882"/>
      <c r="E2882"/>
      <c r="F2882"/>
      <c r="G2882"/>
      <c r="H2882" s="19"/>
      <c r="I2882" s="19"/>
      <c r="J2882" s="19"/>
      <c r="M2882" s="7"/>
    </row>
    <row r="2883" spans="2:13" x14ac:dyDescent="0.25">
      <c r="B2883"/>
      <c r="C2883"/>
      <c r="D2883"/>
      <c r="E2883"/>
      <c r="F2883"/>
      <c r="G2883"/>
      <c r="H2883" s="19"/>
      <c r="I2883" s="19"/>
      <c r="J2883" s="19"/>
      <c r="M2883" s="7"/>
    </row>
    <row r="2884" spans="2:13" x14ac:dyDescent="0.25">
      <c r="B2884"/>
      <c r="C2884"/>
      <c r="D2884"/>
      <c r="E2884"/>
      <c r="F2884"/>
      <c r="G2884"/>
      <c r="H2884" s="19"/>
      <c r="I2884" s="19"/>
      <c r="J2884" s="19"/>
      <c r="M2884" s="7"/>
    </row>
    <row r="2885" spans="2:13" x14ac:dyDescent="0.25">
      <c r="B2885"/>
      <c r="C2885"/>
      <c r="D2885"/>
      <c r="E2885"/>
      <c r="F2885"/>
      <c r="G2885"/>
      <c r="H2885" s="19"/>
      <c r="I2885" s="19"/>
      <c r="J2885" s="19"/>
      <c r="M2885" s="7"/>
    </row>
    <row r="2886" spans="2:13" x14ac:dyDescent="0.25">
      <c r="B2886"/>
      <c r="C2886"/>
      <c r="D2886"/>
      <c r="E2886"/>
      <c r="F2886"/>
      <c r="G2886"/>
      <c r="H2886" s="19"/>
      <c r="I2886" s="19"/>
      <c r="J2886" s="19"/>
      <c r="M2886" s="7"/>
    </row>
    <row r="2887" spans="2:13" x14ac:dyDescent="0.25">
      <c r="B2887"/>
      <c r="C2887"/>
      <c r="D2887"/>
      <c r="E2887"/>
      <c r="F2887"/>
      <c r="G2887"/>
      <c r="H2887" s="19"/>
      <c r="I2887" s="19"/>
      <c r="J2887" s="19"/>
      <c r="M2887" s="7"/>
    </row>
    <row r="2888" spans="2:13" x14ac:dyDescent="0.25">
      <c r="B2888"/>
      <c r="C2888"/>
      <c r="D2888"/>
      <c r="E2888"/>
      <c r="F2888"/>
      <c r="G2888"/>
      <c r="H2888" s="19"/>
      <c r="I2888" s="19"/>
      <c r="J2888" s="19"/>
      <c r="M2888" s="7"/>
    </row>
    <row r="2889" spans="2:13" x14ac:dyDescent="0.25">
      <c r="B2889"/>
      <c r="C2889"/>
      <c r="D2889"/>
      <c r="E2889"/>
      <c r="F2889"/>
      <c r="G2889"/>
      <c r="H2889" s="19"/>
      <c r="I2889" s="19"/>
      <c r="J2889" s="19"/>
      <c r="M2889" s="7"/>
    </row>
    <row r="2890" spans="2:13" x14ac:dyDescent="0.25">
      <c r="B2890"/>
      <c r="C2890"/>
      <c r="D2890"/>
      <c r="E2890"/>
      <c r="F2890"/>
      <c r="G2890"/>
      <c r="H2890" s="19"/>
      <c r="I2890" s="19"/>
      <c r="J2890" s="19"/>
      <c r="M2890" s="7"/>
    </row>
    <row r="2891" spans="2:13" x14ac:dyDescent="0.25">
      <c r="B2891"/>
      <c r="C2891"/>
      <c r="D2891"/>
      <c r="E2891"/>
      <c r="F2891"/>
      <c r="G2891"/>
      <c r="H2891" s="19"/>
      <c r="I2891" s="19"/>
      <c r="J2891" s="19"/>
      <c r="M2891" s="7"/>
    </row>
    <row r="2892" spans="2:13" x14ac:dyDescent="0.25">
      <c r="B2892"/>
      <c r="C2892"/>
      <c r="D2892"/>
      <c r="E2892"/>
      <c r="F2892"/>
      <c r="G2892"/>
      <c r="H2892" s="19"/>
      <c r="I2892" s="19"/>
      <c r="J2892" s="19"/>
      <c r="M2892" s="7"/>
    </row>
    <row r="2893" spans="2:13" x14ac:dyDescent="0.25">
      <c r="B2893"/>
      <c r="C2893"/>
      <c r="D2893"/>
      <c r="E2893"/>
      <c r="F2893"/>
      <c r="G2893"/>
      <c r="H2893" s="19"/>
      <c r="I2893" s="19"/>
      <c r="J2893" s="19"/>
      <c r="M2893" s="7"/>
    </row>
    <row r="2894" spans="2:13" x14ac:dyDescent="0.25">
      <c r="B2894"/>
      <c r="C2894"/>
      <c r="D2894"/>
      <c r="E2894"/>
      <c r="F2894"/>
      <c r="G2894"/>
      <c r="H2894" s="19"/>
      <c r="I2894" s="19"/>
      <c r="J2894" s="19"/>
      <c r="M2894" s="7"/>
    </row>
    <row r="2895" spans="2:13" x14ac:dyDescent="0.25">
      <c r="B2895"/>
      <c r="C2895"/>
      <c r="D2895"/>
      <c r="E2895"/>
      <c r="F2895"/>
      <c r="G2895"/>
      <c r="H2895" s="19"/>
      <c r="I2895" s="19"/>
      <c r="J2895" s="19"/>
      <c r="M2895" s="7"/>
    </row>
    <row r="2896" spans="2:13" x14ac:dyDescent="0.25">
      <c r="B2896"/>
      <c r="C2896"/>
      <c r="D2896"/>
      <c r="E2896"/>
      <c r="F2896"/>
      <c r="G2896"/>
      <c r="H2896" s="19"/>
      <c r="I2896" s="19"/>
      <c r="J2896" s="19"/>
      <c r="M2896" s="7"/>
    </row>
    <row r="2897" spans="2:13" x14ac:dyDescent="0.25">
      <c r="B2897"/>
      <c r="C2897"/>
      <c r="D2897"/>
      <c r="E2897"/>
      <c r="F2897"/>
      <c r="G2897"/>
      <c r="H2897" s="19"/>
      <c r="I2897" s="19"/>
      <c r="J2897" s="19"/>
      <c r="M2897" s="7"/>
    </row>
    <row r="2898" spans="2:13" x14ac:dyDescent="0.25">
      <c r="B2898"/>
      <c r="C2898"/>
      <c r="D2898"/>
      <c r="E2898"/>
      <c r="F2898"/>
      <c r="G2898"/>
      <c r="H2898" s="19"/>
      <c r="I2898" s="19"/>
      <c r="J2898" s="19"/>
      <c r="M2898" s="7"/>
    </row>
    <row r="2899" spans="2:13" x14ac:dyDescent="0.25">
      <c r="B2899"/>
      <c r="C2899"/>
      <c r="D2899"/>
      <c r="E2899"/>
      <c r="F2899"/>
      <c r="G2899"/>
      <c r="H2899" s="19"/>
      <c r="I2899" s="19"/>
      <c r="J2899" s="19"/>
      <c r="M2899" s="7"/>
    </row>
    <row r="2900" spans="2:13" x14ac:dyDescent="0.25">
      <c r="B2900"/>
      <c r="C2900"/>
      <c r="D2900"/>
      <c r="E2900"/>
      <c r="F2900"/>
      <c r="G2900"/>
      <c r="H2900" s="19"/>
      <c r="I2900" s="19"/>
      <c r="J2900" s="19"/>
      <c r="M2900" s="7"/>
    </row>
    <row r="2901" spans="2:13" x14ac:dyDescent="0.25">
      <c r="B2901"/>
      <c r="C2901"/>
      <c r="D2901"/>
      <c r="E2901"/>
      <c r="F2901"/>
      <c r="G2901"/>
      <c r="H2901" s="19"/>
      <c r="I2901" s="19"/>
      <c r="J2901" s="19"/>
      <c r="M2901" s="7"/>
    </row>
    <row r="2902" spans="2:13" x14ac:dyDescent="0.25">
      <c r="B2902"/>
      <c r="C2902"/>
      <c r="D2902"/>
      <c r="E2902"/>
      <c r="F2902"/>
      <c r="G2902"/>
      <c r="H2902" s="19"/>
      <c r="I2902" s="19"/>
      <c r="J2902" s="19"/>
      <c r="M2902" s="7"/>
    </row>
    <row r="2903" spans="2:13" x14ac:dyDescent="0.25">
      <c r="B2903"/>
      <c r="C2903"/>
      <c r="D2903"/>
      <c r="E2903"/>
      <c r="F2903"/>
      <c r="G2903"/>
      <c r="H2903" s="19"/>
      <c r="I2903" s="19"/>
      <c r="J2903" s="19"/>
      <c r="M2903" s="7"/>
    </row>
    <row r="2904" spans="2:13" x14ac:dyDescent="0.25">
      <c r="B2904"/>
      <c r="C2904"/>
      <c r="D2904"/>
      <c r="E2904"/>
      <c r="F2904"/>
      <c r="G2904"/>
      <c r="H2904" s="19"/>
      <c r="I2904" s="19"/>
      <c r="J2904" s="19"/>
      <c r="M2904" s="7"/>
    </row>
    <row r="2905" spans="2:13" x14ac:dyDescent="0.25">
      <c r="B2905"/>
      <c r="C2905"/>
      <c r="D2905"/>
      <c r="E2905"/>
      <c r="F2905"/>
      <c r="G2905"/>
      <c r="H2905" s="19"/>
      <c r="I2905" s="19"/>
      <c r="J2905" s="19"/>
      <c r="M2905" s="7"/>
    </row>
    <row r="2906" spans="2:13" x14ac:dyDescent="0.25">
      <c r="B2906"/>
      <c r="C2906"/>
      <c r="D2906"/>
      <c r="E2906"/>
      <c r="F2906"/>
      <c r="G2906"/>
      <c r="H2906" s="19"/>
      <c r="I2906" s="19"/>
      <c r="J2906" s="19"/>
      <c r="M2906" s="7"/>
    </row>
    <row r="2907" spans="2:13" x14ac:dyDescent="0.25">
      <c r="B2907"/>
      <c r="C2907"/>
      <c r="D2907"/>
      <c r="E2907"/>
      <c r="F2907"/>
      <c r="G2907"/>
      <c r="H2907" s="19"/>
      <c r="I2907" s="19"/>
      <c r="J2907" s="19"/>
      <c r="M2907" s="7"/>
    </row>
    <row r="2908" spans="2:13" x14ac:dyDescent="0.25">
      <c r="B2908"/>
      <c r="C2908"/>
      <c r="D2908"/>
      <c r="E2908"/>
      <c r="F2908"/>
      <c r="G2908"/>
      <c r="H2908" s="19"/>
      <c r="I2908" s="19"/>
      <c r="J2908" s="19"/>
      <c r="M2908" s="7"/>
    </row>
    <row r="2909" spans="2:13" x14ac:dyDescent="0.25">
      <c r="B2909"/>
      <c r="C2909"/>
      <c r="D2909"/>
      <c r="E2909"/>
      <c r="F2909"/>
      <c r="G2909"/>
      <c r="H2909" s="19"/>
      <c r="I2909" s="19"/>
      <c r="J2909" s="19"/>
      <c r="M2909" s="7"/>
    </row>
    <row r="2910" spans="2:13" x14ac:dyDescent="0.25">
      <c r="B2910"/>
      <c r="C2910"/>
      <c r="D2910"/>
      <c r="E2910"/>
      <c r="F2910"/>
      <c r="G2910"/>
      <c r="H2910" s="19"/>
      <c r="I2910" s="19"/>
      <c r="J2910" s="19"/>
      <c r="M2910" s="7"/>
    </row>
    <row r="2911" spans="2:13" x14ac:dyDescent="0.25">
      <c r="B2911"/>
      <c r="C2911"/>
      <c r="D2911"/>
      <c r="E2911"/>
      <c r="F2911"/>
      <c r="G2911"/>
      <c r="H2911" s="19"/>
      <c r="I2911" s="19"/>
      <c r="J2911" s="19"/>
      <c r="M2911" s="7"/>
    </row>
    <row r="2912" spans="2:13" x14ac:dyDescent="0.25">
      <c r="B2912"/>
      <c r="C2912"/>
      <c r="D2912"/>
      <c r="E2912"/>
      <c r="F2912"/>
      <c r="G2912"/>
      <c r="H2912" s="19"/>
      <c r="I2912" s="19"/>
      <c r="J2912" s="19"/>
      <c r="M2912" s="7"/>
    </row>
    <row r="2913" spans="2:13" x14ac:dyDescent="0.25">
      <c r="B2913"/>
      <c r="C2913"/>
      <c r="D2913"/>
      <c r="E2913"/>
      <c r="F2913"/>
      <c r="G2913"/>
      <c r="H2913" s="19"/>
      <c r="I2913" s="19"/>
      <c r="J2913" s="19"/>
      <c r="M2913" s="7"/>
    </row>
    <row r="2914" spans="2:13" x14ac:dyDescent="0.25">
      <c r="B2914"/>
      <c r="C2914"/>
      <c r="D2914"/>
      <c r="E2914"/>
      <c r="F2914"/>
      <c r="G2914"/>
      <c r="H2914" s="19"/>
      <c r="I2914" s="19"/>
      <c r="J2914" s="19"/>
      <c r="M2914" s="7"/>
    </row>
    <row r="2915" spans="2:13" x14ac:dyDescent="0.25">
      <c r="B2915"/>
      <c r="C2915"/>
      <c r="D2915"/>
      <c r="E2915"/>
      <c r="F2915"/>
      <c r="G2915"/>
      <c r="H2915" s="19"/>
      <c r="I2915" s="19"/>
      <c r="J2915" s="19"/>
      <c r="M2915" s="7"/>
    </row>
    <row r="2916" spans="2:13" x14ac:dyDescent="0.25">
      <c r="B2916"/>
      <c r="C2916"/>
      <c r="D2916"/>
      <c r="E2916"/>
      <c r="F2916"/>
      <c r="G2916"/>
      <c r="H2916" s="19"/>
      <c r="I2916" s="19"/>
      <c r="J2916" s="19"/>
      <c r="M2916" s="7"/>
    </row>
    <row r="2917" spans="2:13" x14ac:dyDescent="0.25">
      <c r="B2917"/>
      <c r="C2917"/>
      <c r="D2917"/>
      <c r="E2917"/>
      <c r="F2917"/>
      <c r="G2917"/>
      <c r="H2917" s="19"/>
      <c r="I2917" s="19"/>
      <c r="J2917" s="19"/>
      <c r="M2917" s="7"/>
    </row>
    <row r="2918" spans="2:13" x14ac:dyDescent="0.25">
      <c r="B2918"/>
      <c r="C2918"/>
      <c r="D2918"/>
      <c r="E2918"/>
      <c r="F2918"/>
      <c r="G2918"/>
      <c r="H2918" s="19"/>
      <c r="I2918" s="19"/>
      <c r="J2918" s="19"/>
      <c r="M2918" s="7"/>
    </row>
    <row r="2919" spans="2:13" x14ac:dyDescent="0.25">
      <c r="B2919"/>
      <c r="C2919"/>
      <c r="D2919"/>
      <c r="E2919"/>
      <c r="F2919"/>
      <c r="G2919"/>
      <c r="H2919" s="19"/>
      <c r="I2919" s="19"/>
      <c r="J2919" s="19"/>
      <c r="M2919" s="7"/>
    </row>
    <row r="2920" spans="2:13" x14ac:dyDescent="0.25">
      <c r="B2920"/>
      <c r="C2920"/>
      <c r="D2920"/>
      <c r="E2920"/>
      <c r="F2920"/>
      <c r="G2920"/>
      <c r="H2920" s="19"/>
      <c r="I2920" s="19"/>
      <c r="J2920" s="19"/>
      <c r="M2920" s="7"/>
    </row>
    <row r="2921" spans="2:13" x14ac:dyDescent="0.25">
      <c r="B2921"/>
      <c r="C2921"/>
      <c r="D2921"/>
      <c r="E2921"/>
      <c r="F2921"/>
      <c r="G2921"/>
      <c r="H2921" s="19"/>
      <c r="I2921" s="19"/>
      <c r="J2921" s="19"/>
      <c r="M2921" s="7"/>
    </row>
    <row r="2922" spans="2:13" x14ac:dyDescent="0.25">
      <c r="B2922"/>
      <c r="C2922"/>
      <c r="D2922"/>
      <c r="E2922"/>
      <c r="F2922"/>
      <c r="G2922"/>
      <c r="H2922" s="19"/>
      <c r="I2922" s="19"/>
      <c r="J2922" s="19"/>
      <c r="M2922" s="7"/>
    </row>
    <row r="2923" spans="2:13" x14ac:dyDescent="0.25">
      <c r="B2923"/>
      <c r="C2923"/>
      <c r="D2923"/>
      <c r="E2923"/>
      <c r="F2923"/>
      <c r="G2923"/>
      <c r="H2923" s="19"/>
      <c r="I2923" s="19"/>
      <c r="J2923" s="19"/>
      <c r="M2923" s="7"/>
    </row>
    <row r="2924" spans="2:13" x14ac:dyDescent="0.25">
      <c r="B2924"/>
      <c r="C2924"/>
      <c r="D2924"/>
      <c r="E2924"/>
      <c r="F2924"/>
      <c r="G2924"/>
      <c r="H2924" s="19"/>
      <c r="I2924" s="19"/>
      <c r="J2924" s="19"/>
      <c r="M2924" s="7"/>
    </row>
    <row r="2925" spans="2:13" x14ac:dyDescent="0.25">
      <c r="B2925"/>
      <c r="C2925"/>
      <c r="D2925"/>
      <c r="E2925"/>
      <c r="F2925"/>
      <c r="G2925"/>
      <c r="H2925" s="19"/>
      <c r="I2925" s="19"/>
      <c r="J2925" s="19"/>
      <c r="M2925" s="7"/>
    </row>
    <row r="2926" spans="2:13" x14ac:dyDescent="0.25">
      <c r="B2926"/>
      <c r="C2926"/>
      <c r="D2926"/>
      <c r="E2926"/>
      <c r="F2926"/>
      <c r="G2926"/>
      <c r="H2926" s="19"/>
      <c r="I2926" s="19"/>
      <c r="J2926" s="19"/>
      <c r="M2926" s="7"/>
    </row>
    <row r="2927" spans="2:13" x14ac:dyDescent="0.25">
      <c r="B2927"/>
      <c r="C2927"/>
      <c r="D2927"/>
      <c r="E2927"/>
      <c r="F2927"/>
      <c r="G2927"/>
      <c r="H2927" s="19"/>
      <c r="I2927" s="19"/>
      <c r="J2927" s="19"/>
      <c r="M2927" s="7"/>
    </row>
    <row r="2928" spans="2:13" x14ac:dyDescent="0.25">
      <c r="B2928"/>
      <c r="C2928"/>
      <c r="D2928"/>
      <c r="E2928"/>
      <c r="F2928"/>
      <c r="G2928"/>
      <c r="H2928" s="19"/>
      <c r="I2928" s="19"/>
      <c r="J2928" s="19"/>
      <c r="M2928" s="7"/>
    </row>
    <row r="2929" spans="2:13" x14ac:dyDescent="0.25">
      <c r="B2929"/>
      <c r="C2929"/>
      <c r="D2929"/>
      <c r="E2929"/>
      <c r="F2929"/>
      <c r="G2929"/>
      <c r="H2929" s="19"/>
      <c r="I2929" s="19"/>
      <c r="J2929" s="19"/>
      <c r="M2929" s="7"/>
    </row>
    <row r="2930" spans="2:13" x14ac:dyDescent="0.25">
      <c r="B2930"/>
      <c r="C2930"/>
      <c r="D2930"/>
      <c r="E2930"/>
      <c r="F2930"/>
      <c r="G2930"/>
      <c r="H2930" s="19"/>
      <c r="I2930" s="19"/>
      <c r="J2930" s="19"/>
      <c r="M2930" s="7"/>
    </row>
    <row r="2931" spans="2:13" x14ac:dyDescent="0.25">
      <c r="B2931"/>
      <c r="C2931"/>
      <c r="D2931"/>
      <c r="E2931"/>
      <c r="F2931"/>
      <c r="G2931"/>
      <c r="H2931" s="19"/>
      <c r="I2931" s="19"/>
      <c r="J2931" s="19"/>
      <c r="M2931" s="7"/>
    </row>
    <row r="2932" spans="2:13" x14ac:dyDescent="0.25">
      <c r="B2932"/>
      <c r="C2932"/>
      <c r="D2932"/>
      <c r="E2932"/>
      <c r="F2932"/>
      <c r="G2932"/>
      <c r="H2932" s="19"/>
      <c r="I2932" s="19"/>
      <c r="J2932" s="19"/>
      <c r="M2932" s="7"/>
    </row>
    <row r="2933" spans="2:13" x14ac:dyDescent="0.25">
      <c r="B2933"/>
      <c r="C2933"/>
      <c r="D2933"/>
      <c r="E2933"/>
      <c r="F2933"/>
      <c r="G2933"/>
      <c r="H2933" s="19"/>
      <c r="I2933" s="19"/>
      <c r="J2933" s="19"/>
      <c r="M2933" s="7"/>
    </row>
    <row r="2934" spans="2:13" x14ac:dyDescent="0.25">
      <c r="B2934"/>
      <c r="C2934"/>
      <c r="D2934"/>
      <c r="E2934"/>
      <c r="F2934"/>
      <c r="G2934"/>
      <c r="H2934" s="19"/>
      <c r="I2934" s="19"/>
      <c r="J2934" s="19"/>
      <c r="M2934" s="7"/>
    </row>
    <row r="2935" spans="2:13" x14ac:dyDescent="0.25">
      <c r="B2935"/>
      <c r="C2935"/>
      <c r="D2935"/>
      <c r="E2935"/>
      <c r="F2935"/>
      <c r="G2935"/>
      <c r="H2935" s="19"/>
      <c r="I2935" s="19"/>
      <c r="J2935" s="19"/>
      <c r="M2935" s="7"/>
    </row>
    <row r="2936" spans="2:13" x14ac:dyDescent="0.25">
      <c r="B2936"/>
      <c r="C2936"/>
      <c r="D2936"/>
      <c r="E2936"/>
      <c r="F2936"/>
      <c r="G2936"/>
      <c r="H2936" s="19"/>
      <c r="I2936" s="19"/>
      <c r="J2936" s="19"/>
      <c r="M2936" s="7"/>
    </row>
    <row r="2937" spans="2:13" x14ac:dyDescent="0.25">
      <c r="B2937"/>
      <c r="C2937"/>
      <c r="D2937"/>
      <c r="E2937"/>
      <c r="F2937"/>
      <c r="G2937"/>
      <c r="H2937" s="19"/>
      <c r="I2937" s="19"/>
      <c r="J2937" s="19"/>
      <c r="M2937" s="7"/>
    </row>
    <row r="2938" spans="2:13" x14ac:dyDescent="0.25">
      <c r="B2938"/>
      <c r="C2938"/>
      <c r="D2938"/>
      <c r="E2938"/>
      <c r="F2938"/>
      <c r="G2938"/>
      <c r="H2938" s="19"/>
      <c r="I2938" s="19"/>
      <c r="J2938" s="19"/>
      <c r="M2938" s="7"/>
    </row>
    <row r="2939" spans="2:13" x14ac:dyDescent="0.25">
      <c r="B2939"/>
      <c r="C2939"/>
      <c r="D2939"/>
      <c r="E2939"/>
      <c r="F2939"/>
      <c r="G2939"/>
      <c r="H2939" s="19"/>
      <c r="I2939" s="19"/>
      <c r="J2939" s="19"/>
      <c r="M2939" s="7"/>
    </row>
    <row r="2940" spans="2:13" x14ac:dyDescent="0.25">
      <c r="B2940"/>
      <c r="C2940"/>
      <c r="D2940"/>
      <c r="E2940"/>
      <c r="F2940"/>
      <c r="G2940"/>
      <c r="H2940" s="19"/>
      <c r="I2940" s="19"/>
      <c r="J2940" s="19"/>
      <c r="M2940" s="7"/>
    </row>
    <row r="2941" spans="2:13" x14ac:dyDescent="0.25">
      <c r="B2941"/>
      <c r="C2941"/>
      <c r="D2941"/>
      <c r="E2941"/>
      <c r="F2941"/>
      <c r="G2941"/>
      <c r="H2941" s="19"/>
      <c r="I2941" s="19"/>
      <c r="J2941" s="19"/>
      <c r="M2941" s="7"/>
    </row>
    <row r="2942" spans="2:13" x14ac:dyDescent="0.25">
      <c r="B2942"/>
      <c r="C2942"/>
      <c r="D2942"/>
      <c r="E2942"/>
      <c r="F2942"/>
      <c r="G2942"/>
      <c r="H2942" s="19"/>
      <c r="I2942" s="19"/>
      <c r="J2942" s="19"/>
      <c r="M2942" s="7"/>
    </row>
    <row r="2943" spans="2:13" x14ac:dyDescent="0.25">
      <c r="B2943"/>
      <c r="C2943"/>
      <c r="D2943"/>
      <c r="E2943"/>
      <c r="F2943"/>
      <c r="G2943"/>
      <c r="H2943" s="19"/>
      <c r="I2943" s="19"/>
      <c r="J2943" s="19"/>
      <c r="M2943" s="7"/>
    </row>
    <row r="2944" spans="2:13" x14ac:dyDescent="0.25">
      <c r="B2944"/>
      <c r="C2944"/>
      <c r="D2944"/>
      <c r="E2944"/>
      <c r="F2944"/>
      <c r="G2944"/>
      <c r="H2944" s="19"/>
      <c r="I2944" s="19"/>
      <c r="J2944" s="19"/>
      <c r="M2944" s="7"/>
    </row>
    <row r="2945" spans="2:13" x14ac:dyDescent="0.25">
      <c r="B2945"/>
      <c r="C2945"/>
      <c r="D2945"/>
      <c r="E2945"/>
      <c r="F2945"/>
      <c r="G2945"/>
      <c r="H2945" s="19"/>
      <c r="I2945" s="19"/>
      <c r="J2945" s="19"/>
      <c r="M2945" s="7"/>
    </row>
    <row r="2946" spans="2:13" x14ac:dyDescent="0.25">
      <c r="B2946"/>
      <c r="C2946"/>
      <c r="D2946"/>
      <c r="E2946"/>
      <c r="F2946"/>
      <c r="G2946"/>
      <c r="H2946" s="19"/>
      <c r="I2946" s="19"/>
      <c r="J2946" s="19"/>
      <c r="M2946" s="7"/>
    </row>
    <row r="2947" spans="2:13" x14ac:dyDescent="0.25">
      <c r="B2947"/>
      <c r="C2947"/>
      <c r="D2947"/>
      <c r="E2947"/>
      <c r="F2947"/>
      <c r="G2947"/>
      <c r="H2947" s="19"/>
      <c r="I2947" s="19"/>
      <c r="J2947" s="19"/>
      <c r="M2947" s="7"/>
    </row>
    <row r="2948" spans="2:13" x14ac:dyDescent="0.25">
      <c r="B2948"/>
      <c r="C2948"/>
      <c r="D2948"/>
      <c r="E2948"/>
      <c r="F2948"/>
      <c r="G2948"/>
      <c r="H2948" s="19"/>
      <c r="I2948" s="19"/>
      <c r="J2948" s="19"/>
      <c r="M2948" s="7"/>
    </row>
    <row r="2949" spans="2:13" x14ac:dyDescent="0.25">
      <c r="B2949"/>
      <c r="C2949"/>
      <c r="D2949"/>
      <c r="E2949"/>
      <c r="F2949"/>
      <c r="G2949"/>
      <c r="H2949" s="19"/>
      <c r="I2949" s="19"/>
      <c r="J2949" s="19"/>
      <c r="M2949" s="7"/>
    </row>
    <row r="2950" spans="2:13" x14ac:dyDescent="0.25">
      <c r="B2950"/>
      <c r="C2950"/>
      <c r="D2950"/>
      <c r="E2950"/>
      <c r="F2950"/>
      <c r="G2950"/>
      <c r="H2950" s="19"/>
      <c r="I2950" s="19"/>
      <c r="J2950" s="19"/>
      <c r="M2950" s="7"/>
    </row>
    <row r="2951" spans="2:13" x14ac:dyDescent="0.25">
      <c r="B2951"/>
      <c r="C2951"/>
      <c r="D2951"/>
      <c r="E2951"/>
      <c r="F2951"/>
      <c r="G2951"/>
      <c r="H2951" s="19"/>
      <c r="I2951" s="19"/>
      <c r="J2951" s="19"/>
      <c r="M2951" s="7"/>
    </row>
    <row r="2952" spans="2:13" x14ac:dyDescent="0.25">
      <c r="B2952"/>
      <c r="C2952"/>
      <c r="D2952"/>
      <c r="E2952"/>
      <c r="F2952"/>
      <c r="G2952"/>
      <c r="H2952" s="19"/>
      <c r="I2952" s="19"/>
      <c r="J2952" s="19"/>
      <c r="M2952" s="7"/>
    </row>
    <row r="2953" spans="2:13" x14ac:dyDescent="0.25">
      <c r="B2953"/>
      <c r="C2953"/>
      <c r="D2953"/>
      <c r="E2953"/>
      <c r="F2953"/>
      <c r="G2953"/>
      <c r="H2953" s="19"/>
      <c r="I2953" s="19"/>
      <c r="J2953" s="19"/>
      <c r="M2953" s="7"/>
    </row>
    <row r="2954" spans="2:13" x14ac:dyDescent="0.25">
      <c r="B2954"/>
      <c r="C2954"/>
      <c r="D2954"/>
      <c r="E2954"/>
      <c r="F2954"/>
      <c r="G2954"/>
      <c r="H2954" s="19"/>
      <c r="I2954" s="19"/>
      <c r="J2954" s="19"/>
      <c r="M2954" s="7"/>
    </row>
    <row r="2955" spans="2:13" x14ac:dyDescent="0.25">
      <c r="B2955"/>
      <c r="C2955"/>
      <c r="D2955"/>
      <c r="E2955"/>
      <c r="F2955"/>
      <c r="G2955"/>
      <c r="H2955" s="19"/>
      <c r="I2955" s="19"/>
      <c r="J2955" s="19"/>
      <c r="M2955" s="7"/>
    </row>
    <row r="2956" spans="2:13" x14ac:dyDescent="0.25">
      <c r="B2956"/>
      <c r="C2956"/>
      <c r="D2956"/>
      <c r="E2956"/>
      <c r="F2956"/>
      <c r="G2956"/>
      <c r="H2956" s="19"/>
      <c r="I2956" s="19"/>
      <c r="J2956" s="19"/>
      <c r="M2956" s="7"/>
    </row>
    <row r="2957" spans="2:13" x14ac:dyDescent="0.25">
      <c r="B2957"/>
      <c r="C2957"/>
      <c r="D2957"/>
      <c r="E2957"/>
      <c r="F2957"/>
      <c r="G2957"/>
      <c r="H2957" s="19"/>
      <c r="I2957" s="19"/>
      <c r="J2957" s="19"/>
      <c r="M2957" s="7"/>
    </row>
    <row r="2958" spans="2:13" x14ac:dyDescent="0.25">
      <c r="B2958"/>
      <c r="C2958"/>
      <c r="D2958"/>
      <c r="E2958"/>
      <c r="F2958"/>
      <c r="G2958"/>
      <c r="H2958" s="19"/>
      <c r="I2958" s="19"/>
      <c r="J2958" s="19"/>
      <c r="M2958" s="7"/>
    </row>
    <row r="2959" spans="2:13" x14ac:dyDescent="0.25">
      <c r="B2959"/>
      <c r="C2959"/>
      <c r="D2959"/>
      <c r="E2959"/>
      <c r="F2959"/>
      <c r="G2959"/>
      <c r="H2959" s="19"/>
      <c r="I2959" s="19"/>
      <c r="J2959" s="19"/>
      <c r="M2959" s="7"/>
    </row>
    <row r="2960" spans="2:13" x14ac:dyDescent="0.25">
      <c r="B2960"/>
      <c r="C2960"/>
      <c r="D2960"/>
      <c r="E2960"/>
      <c r="F2960"/>
      <c r="G2960"/>
      <c r="H2960" s="19"/>
      <c r="I2960" s="19"/>
      <c r="J2960" s="19"/>
      <c r="M2960" s="7"/>
    </row>
    <row r="2961" spans="2:13" x14ac:dyDescent="0.25">
      <c r="B2961"/>
      <c r="C2961"/>
      <c r="D2961"/>
      <c r="E2961"/>
      <c r="F2961"/>
      <c r="G2961"/>
      <c r="H2961" s="19"/>
      <c r="I2961" s="19"/>
      <c r="J2961" s="19"/>
      <c r="M2961" s="7"/>
    </row>
    <row r="2962" spans="2:13" x14ac:dyDescent="0.25">
      <c r="B2962"/>
      <c r="C2962"/>
      <c r="D2962"/>
      <c r="E2962"/>
      <c r="F2962"/>
      <c r="G2962"/>
      <c r="H2962" s="19"/>
      <c r="I2962" s="19"/>
      <c r="J2962" s="19"/>
      <c r="M2962" s="7"/>
    </row>
    <row r="2963" spans="2:13" x14ac:dyDescent="0.25">
      <c r="B2963"/>
      <c r="C2963"/>
      <c r="D2963"/>
      <c r="E2963"/>
      <c r="F2963"/>
      <c r="G2963"/>
      <c r="H2963" s="19"/>
      <c r="I2963" s="19"/>
      <c r="J2963" s="19"/>
      <c r="M2963" s="7"/>
    </row>
    <row r="2964" spans="2:13" x14ac:dyDescent="0.25">
      <c r="B2964"/>
      <c r="C2964"/>
      <c r="D2964"/>
      <c r="E2964"/>
      <c r="F2964"/>
      <c r="G2964"/>
      <c r="H2964" s="19"/>
      <c r="I2964" s="19"/>
      <c r="J2964" s="19"/>
      <c r="M2964" s="7"/>
    </row>
    <row r="2965" spans="2:13" x14ac:dyDescent="0.25">
      <c r="B2965"/>
      <c r="C2965"/>
      <c r="D2965"/>
      <c r="E2965"/>
      <c r="F2965"/>
      <c r="G2965"/>
      <c r="H2965" s="19"/>
      <c r="I2965" s="19"/>
      <c r="J2965" s="19"/>
      <c r="M2965" s="7"/>
    </row>
    <row r="2966" spans="2:13" x14ac:dyDescent="0.25">
      <c r="B2966"/>
      <c r="C2966"/>
      <c r="D2966"/>
      <c r="E2966"/>
      <c r="F2966"/>
      <c r="G2966"/>
      <c r="H2966" s="19"/>
      <c r="I2966" s="19"/>
      <c r="J2966" s="19"/>
      <c r="M2966" s="7"/>
    </row>
    <row r="2967" spans="2:13" x14ac:dyDescent="0.25">
      <c r="B2967"/>
      <c r="C2967"/>
      <c r="D2967"/>
      <c r="E2967"/>
      <c r="F2967"/>
      <c r="G2967"/>
      <c r="H2967" s="19"/>
      <c r="I2967" s="19"/>
      <c r="J2967" s="19"/>
      <c r="M2967" s="7"/>
    </row>
    <row r="2968" spans="2:13" x14ac:dyDescent="0.25">
      <c r="B2968"/>
      <c r="C2968"/>
      <c r="D2968"/>
      <c r="E2968"/>
      <c r="F2968"/>
      <c r="G2968"/>
      <c r="H2968" s="19"/>
      <c r="I2968" s="19"/>
      <c r="J2968" s="19"/>
      <c r="M2968" s="7"/>
    </row>
    <row r="2969" spans="2:13" x14ac:dyDescent="0.25">
      <c r="B2969"/>
      <c r="C2969"/>
      <c r="D2969"/>
      <c r="E2969"/>
      <c r="F2969"/>
      <c r="G2969"/>
      <c r="H2969" s="19"/>
      <c r="I2969" s="19"/>
      <c r="J2969" s="19"/>
      <c r="M2969" s="7"/>
    </row>
    <row r="2970" spans="2:13" x14ac:dyDescent="0.25">
      <c r="B2970"/>
      <c r="C2970"/>
      <c r="D2970"/>
      <c r="E2970"/>
      <c r="F2970"/>
      <c r="G2970"/>
      <c r="H2970" s="19"/>
      <c r="I2970" s="19"/>
      <c r="J2970" s="19"/>
      <c r="M2970" s="7"/>
    </row>
    <row r="2971" spans="2:13" x14ac:dyDescent="0.25">
      <c r="B2971"/>
      <c r="C2971"/>
      <c r="D2971"/>
      <c r="E2971"/>
      <c r="F2971"/>
      <c r="G2971"/>
      <c r="H2971" s="19"/>
      <c r="I2971" s="19"/>
      <c r="J2971" s="19"/>
      <c r="M2971" s="7"/>
    </row>
    <row r="2972" spans="2:13" x14ac:dyDescent="0.25">
      <c r="B2972"/>
      <c r="C2972"/>
      <c r="D2972"/>
      <c r="E2972"/>
      <c r="F2972"/>
      <c r="G2972"/>
      <c r="H2972" s="19"/>
      <c r="I2972" s="19"/>
      <c r="J2972" s="19"/>
      <c r="M2972" s="7"/>
    </row>
    <row r="2973" spans="2:13" x14ac:dyDescent="0.25">
      <c r="B2973"/>
      <c r="C2973"/>
      <c r="D2973"/>
      <c r="E2973"/>
      <c r="F2973"/>
      <c r="G2973"/>
      <c r="H2973" s="19"/>
      <c r="I2973" s="19"/>
      <c r="J2973" s="19"/>
      <c r="M2973" s="7"/>
    </row>
    <row r="2974" spans="2:13" x14ac:dyDescent="0.25">
      <c r="B2974"/>
      <c r="C2974"/>
      <c r="D2974"/>
      <c r="E2974"/>
      <c r="F2974"/>
      <c r="G2974"/>
      <c r="H2974" s="19"/>
      <c r="I2974" s="19"/>
      <c r="J2974" s="19"/>
      <c r="M2974" s="7"/>
    </row>
    <row r="2975" spans="2:13" x14ac:dyDescent="0.25">
      <c r="B2975"/>
      <c r="C2975"/>
      <c r="D2975"/>
      <c r="E2975"/>
      <c r="F2975"/>
      <c r="G2975"/>
      <c r="H2975" s="19"/>
      <c r="I2975" s="19"/>
      <c r="J2975" s="19"/>
      <c r="M2975" s="7"/>
    </row>
    <row r="2976" spans="2:13" x14ac:dyDescent="0.25">
      <c r="B2976"/>
      <c r="C2976"/>
      <c r="D2976"/>
      <c r="E2976"/>
      <c r="F2976"/>
      <c r="G2976"/>
      <c r="H2976" s="19"/>
      <c r="I2976" s="19"/>
      <c r="J2976" s="19"/>
      <c r="M2976" s="7"/>
    </row>
    <row r="2977" spans="2:13" x14ac:dyDescent="0.25">
      <c r="B2977"/>
      <c r="C2977"/>
      <c r="D2977"/>
      <c r="E2977"/>
      <c r="F2977"/>
      <c r="G2977"/>
      <c r="H2977" s="19"/>
      <c r="I2977" s="19"/>
      <c r="J2977" s="19"/>
      <c r="M2977" s="7"/>
    </row>
    <row r="2978" spans="2:13" x14ac:dyDescent="0.25">
      <c r="B2978"/>
      <c r="C2978"/>
      <c r="D2978"/>
      <c r="E2978"/>
      <c r="F2978"/>
      <c r="G2978"/>
      <c r="H2978" s="19"/>
      <c r="I2978" s="19"/>
      <c r="J2978" s="19"/>
      <c r="M2978" s="7"/>
    </row>
    <row r="2979" spans="2:13" x14ac:dyDescent="0.25">
      <c r="B2979"/>
      <c r="C2979"/>
      <c r="D2979"/>
      <c r="E2979"/>
      <c r="F2979"/>
      <c r="G2979"/>
      <c r="H2979" s="19"/>
      <c r="I2979" s="19"/>
      <c r="J2979" s="19"/>
      <c r="M2979" s="7"/>
    </row>
    <row r="2980" spans="2:13" x14ac:dyDescent="0.25">
      <c r="B2980"/>
      <c r="C2980"/>
      <c r="D2980"/>
      <c r="E2980"/>
      <c r="F2980"/>
      <c r="G2980"/>
      <c r="H2980" s="19"/>
      <c r="I2980" s="19"/>
      <c r="J2980" s="19"/>
      <c r="M2980" s="7"/>
    </row>
    <row r="2981" spans="2:13" x14ac:dyDescent="0.25">
      <c r="B2981"/>
      <c r="C2981"/>
      <c r="D2981"/>
      <c r="E2981"/>
      <c r="F2981"/>
      <c r="G2981"/>
      <c r="H2981" s="19"/>
      <c r="I2981" s="19"/>
      <c r="J2981" s="19"/>
      <c r="M2981" s="7"/>
    </row>
    <row r="2982" spans="2:13" x14ac:dyDescent="0.25">
      <c r="B2982"/>
      <c r="C2982"/>
      <c r="D2982"/>
      <c r="E2982"/>
      <c r="F2982"/>
      <c r="G2982"/>
      <c r="H2982" s="19"/>
      <c r="I2982" s="19"/>
      <c r="J2982" s="19"/>
      <c r="M2982" s="7"/>
    </row>
    <row r="2983" spans="2:13" x14ac:dyDescent="0.25">
      <c r="B2983"/>
      <c r="C2983"/>
      <c r="D2983"/>
      <c r="E2983"/>
      <c r="F2983"/>
      <c r="G2983"/>
      <c r="H2983" s="19"/>
      <c r="I2983" s="19"/>
      <c r="J2983" s="19"/>
      <c r="M2983" s="7"/>
    </row>
    <row r="2984" spans="2:13" x14ac:dyDescent="0.25">
      <c r="B2984"/>
      <c r="C2984"/>
      <c r="D2984"/>
      <c r="E2984"/>
      <c r="F2984"/>
      <c r="G2984"/>
      <c r="H2984" s="19"/>
      <c r="I2984" s="19"/>
      <c r="J2984" s="19"/>
      <c r="M2984" s="7"/>
    </row>
    <row r="2985" spans="2:13" x14ac:dyDescent="0.25">
      <c r="B2985"/>
      <c r="C2985"/>
      <c r="D2985"/>
      <c r="E2985"/>
      <c r="F2985"/>
      <c r="G2985"/>
      <c r="H2985" s="19"/>
      <c r="I2985" s="19"/>
      <c r="J2985" s="19"/>
      <c r="M2985" s="7"/>
    </row>
    <row r="2986" spans="2:13" x14ac:dyDescent="0.25">
      <c r="B2986"/>
      <c r="C2986"/>
      <c r="D2986"/>
      <c r="E2986"/>
      <c r="F2986"/>
      <c r="G2986"/>
      <c r="H2986" s="19"/>
      <c r="I2986" s="19"/>
      <c r="J2986" s="19"/>
      <c r="M2986" s="7"/>
    </row>
    <row r="2987" spans="2:13" x14ac:dyDescent="0.25">
      <c r="B2987"/>
      <c r="C2987"/>
      <c r="D2987"/>
      <c r="E2987"/>
      <c r="F2987"/>
      <c r="G2987"/>
      <c r="H2987" s="19"/>
      <c r="I2987" s="19"/>
      <c r="J2987" s="19"/>
      <c r="M2987" s="7"/>
    </row>
    <row r="2988" spans="2:13" x14ac:dyDescent="0.25">
      <c r="B2988"/>
      <c r="C2988"/>
      <c r="D2988"/>
      <c r="E2988"/>
      <c r="F2988"/>
      <c r="G2988"/>
      <c r="H2988" s="19"/>
      <c r="I2988" s="19"/>
      <c r="J2988" s="19"/>
      <c r="M2988" s="7"/>
    </row>
    <row r="2989" spans="2:13" x14ac:dyDescent="0.25">
      <c r="B2989"/>
      <c r="C2989"/>
      <c r="D2989"/>
      <c r="E2989"/>
      <c r="F2989"/>
      <c r="G2989"/>
      <c r="H2989" s="19"/>
      <c r="I2989" s="19"/>
      <c r="J2989" s="19"/>
      <c r="M2989" s="7"/>
    </row>
    <row r="2990" spans="2:13" x14ac:dyDescent="0.25">
      <c r="B2990"/>
      <c r="C2990"/>
      <c r="D2990"/>
      <c r="E2990"/>
      <c r="F2990"/>
      <c r="G2990"/>
      <c r="H2990" s="19"/>
      <c r="I2990" s="19"/>
      <c r="J2990" s="19"/>
      <c r="M2990" s="7"/>
    </row>
    <row r="2991" spans="2:13" x14ac:dyDescent="0.25">
      <c r="B2991"/>
      <c r="C2991"/>
      <c r="D2991"/>
      <c r="E2991"/>
      <c r="F2991"/>
      <c r="G2991"/>
      <c r="H2991" s="19"/>
      <c r="I2991" s="19"/>
      <c r="J2991" s="19"/>
      <c r="M2991" s="7"/>
    </row>
    <row r="2992" spans="2:13" x14ac:dyDescent="0.25">
      <c r="B2992"/>
      <c r="C2992"/>
      <c r="D2992"/>
      <c r="E2992"/>
      <c r="F2992"/>
      <c r="G2992"/>
      <c r="H2992" s="19"/>
      <c r="I2992" s="19"/>
      <c r="J2992" s="19"/>
      <c r="M2992" s="7"/>
    </row>
    <row r="2993" spans="2:13" x14ac:dyDescent="0.25">
      <c r="B2993"/>
      <c r="C2993"/>
      <c r="D2993"/>
      <c r="E2993"/>
      <c r="F2993"/>
      <c r="G2993"/>
      <c r="H2993" s="19"/>
      <c r="I2993" s="19"/>
      <c r="J2993" s="19"/>
      <c r="M2993" s="7"/>
    </row>
    <row r="2994" spans="2:13" x14ac:dyDescent="0.25">
      <c r="B2994"/>
      <c r="C2994"/>
      <c r="D2994"/>
      <c r="E2994"/>
      <c r="F2994"/>
      <c r="G2994"/>
      <c r="H2994" s="19"/>
      <c r="I2994" s="19"/>
      <c r="J2994" s="19"/>
      <c r="M2994" s="7"/>
    </row>
    <row r="2995" spans="2:13" x14ac:dyDescent="0.25">
      <c r="B2995"/>
      <c r="C2995"/>
      <c r="D2995"/>
      <c r="E2995"/>
      <c r="F2995"/>
      <c r="G2995"/>
      <c r="H2995" s="19"/>
      <c r="I2995" s="19"/>
      <c r="J2995" s="19"/>
      <c r="M2995" s="7"/>
    </row>
    <row r="2996" spans="2:13" x14ac:dyDescent="0.25">
      <c r="B2996"/>
      <c r="C2996"/>
      <c r="D2996"/>
      <c r="E2996"/>
      <c r="F2996"/>
      <c r="G2996"/>
      <c r="H2996" s="19"/>
      <c r="I2996" s="19"/>
      <c r="J2996" s="19"/>
      <c r="M2996" s="7"/>
    </row>
    <row r="2997" spans="2:13" x14ac:dyDescent="0.25">
      <c r="B2997"/>
      <c r="C2997"/>
      <c r="D2997"/>
      <c r="E2997"/>
      <c r="F2997"/>
      <c r="G2997"/>
      <c r="H2997" s="19"/>
      <c r="I2997" s="19"/>
      <c r="J2997" s="19"/>
      <c r="M2997" s="7"/>
    </row>
    <row r="2998" spans="2:13" x14ac:dyDescent="0.25">
      <c r="B2998"/>
      <c r="C2998"/>
      <c r="D2998"/>
      <c r="E2998"/>
      <c r="F2998"/>
      <c r="G2998"/>
      <c r="H2998" s="19"/>
      <c r="I2998" s="19"/>
      <c r="J2998" s="19"/>
      <c r="M2998" s="7"/>
    </row>
    <row r="2999" spans="2:13" x14ac:dyDescent="0.25">
      <c r="B2999"/>
      <c r="C2999"/>
      <c r="D2999"/>
      <c r="E2999"/>
      <c r="F2999"/>
      <c r="G2999"/>
      <c r="H2999" s="19"/>
      <c r="I2999" s="19"/>
      <c r="J2999" s="19"/>
      <c r="M2999" s="7"/>
    </row>
    <row r="3000" spans="2:13" x14ac:dyDescent="0.25">
      <c r="B3000"/>
      <c r="C3000"/>
      <c r="D3000"/>
      <c r="E3000"/>
      <c r="F3000"/>
      <c r="G3000"/>
      <c r="H3000" s="19"/>
      <c r="I3000" s="19"/>
      <c r="J3000" s="19"/>
      <c r="M3000" s="7"/>
    </row>
    <row r="3001" spans="2:13" x14ac:dyDescent="0.25">
      <c r="B3001"/>
      <c r="C3001"/>
      <c r="D3001"/>
      <c r="E3001"/>
      <c r="F3001"/>
      <c r="G3001"/>
      <c r="H3001" s="19"/>
      <c r="I3001" s="19"/>
      <c r="J3001" s="19"/>
      <c r="M3001" s="7"/>
    </row>
    <row r="3002" spans="2:13" x14ac:dyDescent="0.25">
      <c r="B3002"/>
      <c r="C3002"/>
      <c r="D3002"/>
      <c r="E3002"/>
      <c r="F3002"/>
      <c r="G3002"/>
      <c r="H3002" s="19"/>
      <c r="I3002" s="19"/>
      <c r="J3002" s="19"/>
      <c r="M3002" s="7"/>
    </row>
    <row r="3003" spans="2:13" x14ac:dyDescent="0.25">
      <c r="B3003"/>
      <c r="C3003"/>
      <c r="D3003"/>
      <c r="E3003"/>
      <c r="F3003"/>
      <c r="G3003"/>
      <c r="H3003" s="19"/>
      <c r="I3003" s="19"/>
      <c r="J3003" s="19"/>
      <c r="M3003" s="7"/>
    </row>
    <row r="3004" spans="2:13" x14ac:dyDescent="0.25">
      <c r="B3004"/>
      <c r="C3004"/>
      <c r="D3004"/>
      <c r="E3004"/>
      <c r="F3004"/>
      <c r="G3004"/>
      <c r="H3004" s="19"/>
      <c r="I3004" s="19"/>
      <c r="J3004" s="19"/>
      <c r="M3004" s="7"/>
    </row>
    <row r="3005" spans="2:13" x14ac:dyDescent="0.25">
      <c r="B3005"/>
      <c r="C3005"/>
      <c r="D3005"/>
      <c r="E3005"/>
      <c r="F3005"/>
      <c r="G3005"/>
      <c r="H3005" s="19"/>
      <c r="I3005" s="19"/>
      <c r="J3005" s="19"/>
      <c r="M3005" s="7"/>
    </row>
    <row r="3006" spans="2:13" x14ac:dyDescent="0.25">
      <c r="B3006"/>
      <c r="C3006"/>
      <c r="D3006"/>
      <c r="E3006"/>
      <c r="F3006"/>
      <c r="G3006"/>
      <c r="H3006" s="19"/>
      <c r="I3006" s="19"/>
      <c r="J3006" s="19"/>
      <c r="M3006" s="7"/>
    </row>
    <row r="3007" spans="2:13" x14ac:dyDescent="0.25">
      <c r="B3007"/>
      <c r="C3007"/>
      <c r="D3007"/>
      <c r="E3007"/>
      <c r="F3007"/>
      <c r="G3007"/>
      <c r="H3007" s="19"/>
      <c r="I3007" s="19"/>
      <c r="J3007" s="19"/>
      <c r="M3007" s="7"/>
    </row>
    <row r="3008" spans="2:13" x14ac:dyDescent="0.25">
      <c r="B3008"/>
      <c r="C3008"/>
      <c r="D3008"/>
      <c r="E3008"/>
      <c r="F3008"/>
      <c r="G3008"/>
      <c r="H3008" s="19"/>
      <c r="I3008" s="19"/>
      <c r="J3008" s="19"/>
      <c r="M3008" s="7"/>
    </row>
    <row r="3009" spans="2:13" x14ac:dyDescent="0.25">
      <c r="B3009"/>
      <c r="C3009"/>
      <c r="D3009"/>
      <c r="E3009"/>
      <c r="F3009"/>
      <c r="G3009"/>
      <c r="H3009" s="19"/>
      <c r="I3009" s="19"/>
      <c r="J3009" s="19"/>
      <c r="M3009" s="7"/>
    </row>
    <row r="3010" spans="2:13" x14ac:dyDescent="0.25">
      <c r="B3010"/>
      <c r="C3010"/>
      <c r="D3010"/>
      <c r="E3010"/>
      <c r="F3010"/>
      <c r="G3010"/>
      <c r="H3010" s="19"/>
      <c r="I3010" s="19"/>
      <c r="J3010" s="19"/>
      <c r="M3010" s="7"/>
    </row>
    <row r="3011" spans="2:13" x14ac:dyDescent="0.25">
      <c r="B3011"/>
      <c r="C3011"/>
      <c r="D3011"/>
      <c r="E3011"/>
      <c r="F3011"/>
      <c r="G3011"/>
      <c r="H3011" s="19"/>
      <c r="I3011" s="19"/>
      <c r="J3011" s="19"/>
      <c r="M3011" s="7"/>
    </row>
    <row r="3012" spans="2:13" x14ac:dyDescent="0.25">
      <c r="B3012"/>
      <c r="C3012"/>
      <c r="D3012"/>
      <c r="E3012"/>
      <c r="F3012"/>
      <c r="G3012"/>
      <c r="H3012" s="19"/>
      <c r="I3012" s="19"/>
      <c r="J3012" s="19"/>
      <c r="M3012" s="7"/>
    </row>
    <row r="3013" spans="2:13" x14ac:dyDescent="0.25">
      <c r="B3013"/>
      <c r="C3013"/>
      <c r="D3013"/>
      <c r="E3013"/>
      <c r="F3013"/>
      <c r="G3013"/>
      <c r="H3013" s="19"/>
      <c r="I3013" s="19"/>
      <c r="J3013" s="19"/>
      <c r="M3013" s="7"/>
    </row>
    <row r="3014" spans="2:13" x14ac:dyDescent="0.25">
      <c r="B3014"/>
      <c r="C3014"/>
      <c r="D3014"/>
      <c r="E3014"/>
      <c r="F3014"/>
      <c r="G3014"/>
      <c r="H3014" s="19"/>
      <c r="I3014" s="19"/>
      <c r="J3014" s="19"/>
      <c r="M3014" s="7"/>
    </row>
    <row r="3015" spans="2:13" x14ac:dyDescent="0.25">
      <c r="B3015"/>
      <c r="C3015"/>
      <c r="D3015"/>
      <c r="E3015"/>
      <c r="F3015"/>
      <c r="G3015"/>
      <c r="H3015" s="19"/>
      <c r="I3015" s="19"/>
      <c r="J3015" s="19"/>
      <c r="M3015" s="7"/>
    </row>
    <row r="3016" spans="2:13" x14ac:dyDescent="0.25">
      <c r="B3016"/>
      <c r="C3016"/>
      <c r="D3016"/>
      <c r="E3016"/>
      <c r="F3016"/>
      <c r="G3016"/>
      <c r="H3016" s="19"/>
      <c r="I3016" s="19"/>
      <c r="J3016" s="19"/>
      <c r="M3016" s="7"/>
    </row>
    <row r="3017" spans="2:13" x14ac:dyDescent="0.25">
      <c r="B3017"/>
      <c r="C3017"/>
      <c r="D3017"/>
      <c r="E3017"/>
      <c r="F3017"/>
      <c r="G3017"/>
      <c r="H3017" s="19"/>
      <c r="I3017" s="19"/>
      <c r="J3017" s="19"/>
      <c r="M3017" s="7"/>
    </row>
    <row r="3018" spans="2:13" x14ac:dyDescent="0.25">
      <c r="B3018"/>
      <c r="C3018"/>
      <c r="D3018"/>
      <c r="E3018"/>
      <c r="F3018"/>
      <c r="G3018"/>
      <c r="H3018" s="19"/>
      <c r="I3018" s="19"/>
      <c r="J3018" s="19"/>
      <c r="M3018" s="7"/>
    </row>
    <row r="3019" spans="2:13" x14ac:dyDescent="0.25">
      <c r="B3019"/>
      <c r="C3019"/>
      <c r="D3019"/>
      <c r="E3019"/>
      <c r="F3019"/>
      <c r="G3019"/>
      <c r="H3019" s="19"/>
      <c r="I3019" s="19"/>
      <c r="J3019" s="19"/>
      <c r="M3019" s="7"/>
    </row>
    <row r="3020" spans="2:13" x14ac:dyDescent="0.25">
      <c r="B3020"/>
      <c r="C3020"/>
      <c r="D3020"/>
      <c r="E3020"/>
      <c r="F3020"/>
      <c r="G3020"/>
      <c r="H3020" s="19"/>
      <c r="I3020" s="19"/>
      <c r="J3020" s="19"/>
      <c r="M3020" s="7"/>
    </row>
    <row r="3021" spans="2:13" x14ac:dyDescent="0.25">
      <c r="B3021"/>
      <c r="C3021"/>
      <c r="D3021"/>
      <c r="E3021"/>
      <c r="F3021"/>
      <c r="G3021"/>
      <c r="H3021" s="19"/>
      <c r="I3021" s="19"/>
      <c r="J3021" s="19"/>
      <c r="M3021" s="7"/>
    </row>
    <row r="3022" spans="2:13" x14ac:dyDescent="0.25">
      <c r="B3022"/>
      <c r="C3022"/>
      <c r="D3022"/>
      <c r="E3022"/>
      <c r="F3022"/>
      <c r="G3022"/>
      <c r="H3022" s="19"/>
      <c r="I3022" s="19"/>
      <c r="J3022" s="19"/>
      <c r="M3022" s="7"/>
    </row>
    <row r="3023" spans="2:13" x14ac:dyDescent="0.25">
      <c r="B3023"/>
      <c r="C3023"/>
      <c r="D3023"/>
      <c r="E3023"/>
      <c r="F3023"/>
      <c r="G3023"/>
      <c r="H3023" s="19"/>
      <c r="I3023" s="19"/>
      <c r="J3023" s="19"/>
      <c r="M3023" s="7"/>
    </row>
    <row r="3024" spans="2:13" x14ac:dyDescent="0.25">
      <c r="B3024"/>
      <c r="C3024"/>
      <c r="D3024"/>
      <c r="E3024"/>
      <c r="F3024"/>
      <c r="G3024"/>
      <c r="H3024" s="19"/>
      <c r="I3024" s="19"/>
      <c r="J3024" s="19"/>
      <c r="M3024" s="7"/>
    </row>
    <row r="3025" spans="2:13" x14ac:dyDescent="0.25">
      <c r="B3025"/>
      <c r="C3025"/>
      <c r="D3025"/>
      <c r="E3025"/>
      <c r="F3025"/>
      <c r="G3025"/>
      <c r="H3025" s="19"/>
      <c r="I3025" s="19"/>
      <c r="J3025" s="19"/>
      <c r="M3025" s="7"/>
    </row>
    <row r="3026" spans="2:13" x14ac:dyDescent="0.25">
      <c r="B3026"/>
      <c r="C3026"/>
      <c r="D3026"/>
      <c r="E3026"/>
      <c r="F3026"/>
      <c r="G3026"/>
      <c r="H3026" s="19"/>
      <c r="I3026" s="19"/>
      <c r="J3026" s="19"/>
      <c r="M3026" s="7"/>
    </row>
    <row r="3027" spans="2:13" x14ac:dyDescent="0.25">
      <c r="B3027"/>
      <c r="C3027"/>
      <c r="D3027"/>
      <c r="E3027"/>
      <c r="F3027"/>
      <c r="G3027"/>
      <c r="H3027" s="19"/>
      <c r="I3027" s="19"/>
      <c r="J3027" s="19"/>
      <c r="M3027" s="7"/>
    </row>
    <row r="3028" spans="2:13" x14ac:dyDescent="0.25">
      <c r="B3028"/>
      <c r="C3028"/>
      <c r="D3028"/>
      <c r="E3028"/>
      <c r="F3028"/>
      <c r="G3028"/>
      <c r="H3028" s="19"/>
      <c r="I3028" s="19"/>
      <c r="J3028" s="19"/>
      <c r="M3028" s="7"/>
    </row>
    <row r="3029" spans="2:13" x14ac:dyDescent="0.25">
      <c r="B3029"/>
      <c r="C3029"/>
      <c r="D3029"/>
      <c r="E3029"/>
      <c r="F3029"/>
      <c r="G3029"/>
      <c r="H3029" s="19"/>
      <c r="I3029" s="19"/>
      <c r="J3029" s="19"/>
      <c r="M3029" s="7"/>
    </row>
    <row r="3030" spans="2:13" x14ac:dyDescent="0.25">
      <c r="B3030"/>
      <c r="C3030"/>
      <c r="D3030"/>
      <c r="E3030"/>
      <c r="F3030"/>
      <c r="G3030"/>
      <c r="H3030" s="19"/>
      <c r="I3030" s="19"/>
      <c r="J3030" s="19"/>
      <c r="M3030" s="7"/>
    </row>
    <row r="3031" spans="2:13" x14ac:dyDescent="0.25">
      <c r="B3031"/>
      <c r="C3031"/>
      <c r="D3031"/>
      <c r="E3031"/>
      <c r="F3031"/>
      <c r="G3031"/>
      <c r="H3031" s="19"/>
      <c r="I3031" s="19"/>
      <c r="J3031" s="19"/>
      <c r="M3031" s="7"/>
    </row>
    <row r="3032" spans="2:13" x14ac:dyDescent="0.25">
      <c r="B3032"/>
      <c r="C3032"/>
      <c r="D3032"/>
      <c r="E3032"/>
      <c r="F3032"/>
      <c r="G3032"/>
      <c r="H3032" s="19"/>
      <c r="I3032" s="19"/>
      <c r="J3032" s="19"/>
      <c r="M3032" s="7"/>
    </row>
    <row r="3033" spans="2:13" x14ac:dyDescent="0.25">
      <c r="B3033"/>
      <c r="C3033"/>
      <c r="D3033"/>
      <c r="E3033"/>
      <c r="F3033"/>
      <c r="G3033"/>
      <c r="H3033" s="19"/>
      <c r="I3033" s="19"/>
      <c r="J3033" s="19"/>
      <c r="M3033" s="7"/>
    </row>
    <row r="3034" spans="2:13" x14ac:dyDescent="0.25">
      <c r="B3034"/>
      <c r="C3034"/>
      <c r="D3034"/>
      <c r="E3034"/>
      <c r="F3034"/>
      <c r="G3034"/>
      <c r="H3034" s="19"/>
      <c r="I3034" s="19"/>
      <c r="J3034" s="19"/>
      <c r="M3034" s="7"/>
    </row>
    <row r="3035" spans="2:13" x14ac:dyDescent="0.25">
      <c r="B3035"/>
      <c r="C3035"/>
      <c r="D3035"/>
      <c r="E3035"/>
      <c r="F3035"/>
      <c r="G3035"/>
      <c r="H3035" s="19"/>
      <c r="I3035" s="19"/>
      <c r="J3035" s="19"/>
      <c r="M3035" s="7"/>
    </row>
    <row r="3036" spans="2:13" x14ac:dyDescent="0.25">
      <c r="B3036"/>
      <c r="C3036"/>
      <c r="D3036"/>
      <c r="E3036"/>
      <c r="F3036"/>
      <c r="G3036"/>
      <c r="H3036" s="19"/>
      <c r="I3036" s="19"/>
      <c r="J3036" s="19"/>
      <c r="M3036" s="7"/>
    </row>
    <row r="3037" spans="2:13" x14ac:dyDescent="0.25">
      <c r="B3037"/>
      <c r="C3037"/>
      <c r="D3037"/>
      <c r="E3037"/>
      <c r="F3037"/>
      <c r="G3037"/>
      <c r="H3037" s="19"/>
      <c r="I3037" s="19"/>
      <c r="J3037" s="19"/>
      <c r="M3037" s="7"/>
    </row>
    <row r="3038" spans="2:13" x14ac:dyDescent="0.25">
      <c r="B3038"/>
      <c r="C3038"/>
      <c r="D3038"/>
      <c r="E3038"/>
      <c r="F3038"/>
      <c r="G3038"/>
      <c r="H3038" s="19"/>
      <c r="I3038" s="19"/>
      <c r="J3038" s="19"/>
      <c r="M3038" s="7"/>
    </row>
    <row r="3039" spans="2:13" x14ac:dyDescent="0.25">
      <c r="B3039"/>
      <c r="C3039"/>
      <c r="D3039"/>
      <c r="E3039"/>
      <c r="F3039"/>
      <c r="G3039"/>
      <c r="H3039" s="19"/>
      <c r="I3039" s="19"/>
      <c r="J3039" s="19"/>
      <c r="M3039" s="7"/>
    </row>
    <row r="3040" spans="2:13" x14ac:dyDescent="0.25">
      <c r="B3040"/>
      <c r="C3040"/>
      <c r="D3040"/>
      <c r="E3040"/>
      <c r="F3040"/>
      <c r="G3040"/>
      <c r="H3040" s="19"/>
      <c r="I3040" s="19"/>
      <c r="J3040" s="19"/>
      <c r="M3040" s="7"/>
    </row>
    <row r="3041" spans="2:13" x14ac:dyDescent="0.25">
      <c r="B3041"/>
      <c r="C3041"/>
      <c r="D3041"/>
      <c r="E3041"/>
      <c r="F3041"/>
      <c r="G3041"/>
      <c r="H3041" s="19"/>
      <c r="I3041" s="19"/>
      <c r="J3041" s="19"/>
      <c r="M3041" s="7"/>
    </row>
    <row r="3042" spans="2:13" x14ac:dyDescent="0.25">
      <c r="B3042"/>
      <c r="C3042"/>
      <c r="D3042"/>
      <c r="E3042"/>
      <c r="F3042"/>
      <c r="G3042"/>
      <c r="H3042" s="19"/>
      <c r="I3042" s="19"/>
      <c r="J3042" s="19"/>
      <c r="M3042" s="7"/>
    </row>
    <row r="3043" spans="2:13" x14ac:dyDescent="0.25">
      <c r="B3043"/>
      <c r="C3043"/>
      <c r="D3043"/>
      <c r="E3043"/>
      <c r="F3043"/>
      <c r="G3043"/>
      <c r="H3043" s="19"/>
      <c r="I3043" s="19"/>
      <c r="J3043" s="19"/>
      <c r="M3043" s="7"/>
    </row>
    <row r="3044" spans="2:13" x14ac:dyDescent="0.25">
      <c r="B3044"/>
      <c r="C3044"/>
      <c r="D3044"/>
      <c r="E3044"/>
      <c r="F3044"/>
      <c r="G3044"/>
      <c r="H3044" s="19"/>
      <c r="I3044" s="19"/>
      <c r="J3044" s="19"/>
      <c r="M3044" s="7"/>
    </row>
    <row r="3045" spans="2:13" x14ac:dyDescent="0.25">
      <c r="B3045"/>
      <c r="C3045"/>
      <c r="D3045"/>
      <c r="E3045"/>
      <c r="F3045"/>
      <c r="G3045"/>
      <c r="H3045" s="19"/>
      <c r="I3045" s="19"/>
      <c r="J3045" s="19"/>
      <c r="M3045" s="7"/>
    </row>
    <row r="3046" spans="2:13" x14ac:dyDescent="0.25">
      <c r="B3046"/>
      <c r="C3046"/>
      <c r="D3046"/>
      <c r="E3046"/>
      <c r="F3046"/>
      <c r="G3046"/>
      <c r="H3046" s="19"/>
      <c r="I3046" s="19"/>
      <c r="J3046" s="19"/>
      <c r="M3046" s="7"/>
    </row>
    <row r="3047" spans="2:13" x14ac:dyDescent="0.25">
      <c r="B3047"/>
      <c r="C3047"/>
      <c r="D3047"/>
      <c r="E3047"/>
      <c r="F3047"/>
      <c r="G3047"/>
      <c r="H3047" s="19"/>
      <c r="I3047" s="19"/>
      <c r="J3047" s="19"/>
      <c r="M3047" s="7"/>
    </row>
    <row r="3048" spans="2:13" x14ac:dyDescent="0.25">
      <c r="B3048"/>
      <c r="C3048"/>
      <c r="D3048"/>
      <c r="E3048"/>
      <c r="F3048"/>
      <c r="G3048"/>
      <c r="H3048" s="19"/>
      <c r="I3048" s="19"/>
      <c r="J3048" s="19"/>
      <c r="M3048" s="7"/>
    </row>
    <row r="3049" spans="2:13" x14ac:dyDescent="0.25">
      <c r="B3049"/>
      <c r="C3049"/>
      <c r="D3049"/>
      <c r="E3049"/>
      <c r="F3049"/>
      <c r="G3049"/>
      <c r="H3049" s="19"/>
      <c r="I3049" s="19"/>
      <c r="J3049" s="19"/>
      <c r="M3049" s="7"/>
    </row>
    <row r="3050" spans="2:13" x14ac:dyDescent="0.25">
      <c r="B3050"/>
      <c r="C3050"/>
      <c r="D3050"/>
      <c r="E3050"/>
      <c r="F3050"/>
      <c r="G3050"/>
      <c r="H3050" s="19"/>
      <c r="I3050" s="19"/>
      <c r="J3050" s="19"/>
      <c r="M3050" s="7"/>
    </row>
    <row r="3051" spans="2:13" x14ac:dyDescent="0.25">
      <c r="B3051"/>
      <c r="C3051"/>
      <c r="D3051"/>
      <c r="E3051"/>
      <c r="F3051"/>
      <c r="G3051"/>
      <c r="H3051" s="19"/>
      <c r="I3051" s="19"/>
      <c r="J3051" s="19"/>
      <c r="M3051" s="7"/>
    </row>
    <row r="3052" spans="2:13" x14ac:dyDescent="0.25">
      <c r="B3052"/>
      <c r="C3052"/>
      <c r="D3052"/>
      <c r="E3052"/>
      <c r="F3052"/>
      <c r="G3052"/>
      <c r="H3052" s="19"/>
      <c r="I3052" s="19"/>
      <c r="J3052" s="19"/>
      <c r="M3052" s="7"/>
    </row>
    <row r="3053" spans="2:13" x14ac:dyDescent="0.25">
      <c r="B3053"/>
      <c r="C3053"/>
      <c r="D3053"/>
      <c r="E3053"/>
      <c r="F3053"/>
      <c r="G3053"/>
      <c r="H3053" s="19"/>
      <c r="I3053" s="19"/>
      <c r="J3053" s="19"/>
      <c r="M3053" s="7"/>
    </row>
    <row r="3054" spans="2:13" x14ac:dyDescent="0.25">
      <c r="B3054"/>
      <c r="C3054"/>
      <c r="D3054"/>
      <c r="E3054"/>
      <c r="F3054"/>
      <c r="G3054"/>
      <c r="H3054" s="19"/>
      <c r="I3054" s="19"/>
      <c r="J3054" s="19"/>
      <c r="M3054" s="7"/>
    </row>
    <row r="3055" spans="2:13" x14ac:dyDescent="0.25">
      <c r="B3055"/>
      <c r="C3055"/>
      <c r="D3055"/>
      <c r="E3055"/>
      <c r="F3055"/>
      <c r="G3055"/>
      <c r="H3055" s="19"/>
      <c r="I3055" s="19"/>
      <c r="J3055" s="19"/>
      <c r="M3055" s="7"/>
    </row>
    <row r="3056" spans="2:13" x14ac:dyDescent="0.25">
      <c r="B3056"/>
      <c r="C3056"/>
      <c r="D3056"/>
      <c r="E3056"/>
      <c r="F3056"/>
      <c r="G3056"/>
      <c r="H3056" s="19"/>
      <c r="I3056" s="19"/>
      <c r="J3056" s="19"/>
      <c r="M3056" s="7"/>
    </row>
    <row r="3057" spans="2:13" x14ac:dyDescent="0.25">
      <c r="B3057"/>
      <c r="C3057"/>
      <c r="D3057"/>
      <c r="E3057"/>
      <c r="F3057"/>
      <c r="G3057"/>
      <c r="H3057" s="19"/>
      <c r="I3057" s="19"/>
      <c r="J3057" s="19"/>
      <c r="M3057" s="7"/>
    </row>
    <row r="3058" spans="2:13" x14ac:dyDescent="0.25">
      <c r="B3058"/>
      <c r="C3058"/>
      <c r="D3058"/>
      <c r="E3058"/>
      <c r="F3058"/>
      <c r="G3058"/>
      <c r="H3058" s="19"/>
      <c r="I3058" s="19"/>
      <c r="J3058" s="19"/>
      <c r="M3058" s="7"/>
    </row>
    <row r="3059" spans="2:13" x14ac:dyDescent="0.25">
      <c r="B3059"/>
      <c r="C3059"/>
      <c r="D3059"/>
      <c r="E3059"/>
      <c r="F3059"/>
      <c r="G3059"/>
      <c r="H3059" s="19"/>
      <c r="I3059" s="19"/>
      <c r="J3059" s="19"/>
      <c r="M3059" s="7"/>
    </row>
    <row r="3060" spans="2:13" x14ac:dyDescent="0.25">
      <c r="B3060"/>
      <c r="C3060"/>
      <c r="D3060"/>
      <c r="E3060"/>
      <c r="F3060"/>
      <c r="G3060"/>
      <c r="H3060" s="19"/>
      <c r="I3060" s="19"/>
      <c r="J3060" s="19"/>
      <c r="M3060" s="7"/>
    </row>
    <row r="3061" spans="2:13" x14ac:dyDescent="0.25">
      <c r="B3061"/>
      <c r="C3061"/>
      <c r="D3061"/>
      <c r="E3061"/>
      <c r="F3061"/>
      <c r="G3061"/>
      <c r="H3061" s="19"/>
      <c r="I3061" s="19"/>
      <c r="J3061" s="19"/>
      <c r="M3061" s="7"/>
    </row>
    <row r="3062" spans="2:13" x14ac:dyDescent="0.25">
      <c r="B3062"/>
      <c r="C3062"/>
      <c r="D3062"/>
      <c r="E3062"/>
      <c r="F3062"/>
      <c r="G3062"/>
      <c r="H3062" s="19"/>
      <c r="I3062" s="19"/>
      <c r="J3062" s="19"/>
      <c r="M3062" s="7"/>
    </row>
    <row r="3063" spans="2:13" x14ac:dyDescent="0.25">
      <c r="B3063"/>
      <c r="C3063"/>
      <c r="D3063"/>
      <c r="E3063"/>
      <c r="F3063"/>
      <c r="G3063"/>
      <c r="H3063" s="19"/>
      <c r="I3063" s="19"/>
      <c r="J3063" s="19"/>
      <c r="M3063" s="7"/>
    </row>
    <row r="3064" spans="2:13" x14ac:dyDescent="0.25">
      <c r="B3064"/>
      <c r="C3064"/>
      <c r="D3064"/>
      <c r="E3064"/>
      <c r="F3064"/>
      <c r="G3064"/>
      <c r="H3064" s="19"/>
      <c r="I3064" s="19"/>
      <c r="J3064" s="19"/>
      <c r="M3064" s="7"/>
    </row>
    <row r="3065" spans="2:13" x14ac:dyDescent="0.25">
      <c r="B3065"/>
      <c r="C3065"/>
      <c r="D3065"/>
      <c r="E3065"/>
      <c r="F3065"/>
      <c r="G3065"/>
      <c r="H3065" s="19"/>
      <c r="I3065" s="19"/>
      <c r="J3065" s="19"/>
      <c r="M3065" s="7"/>
    </row>
    <row r="3066" spans="2:13" x14ac:dyDescent="0.25">
      <c r="B3066"/>
      <c r="C3066"/>
      <c r="D3066"/>
      <c r="E3066"/>
      <c r="F3066"/>
      <c r="G3066"/>
      <c r="H3066" s="19"/>
      <c r="I3066" s="19"/>
      <c r="J3066" s="19"/>
      <c r="M3066" s="7"/>
    </row>
    <row r="3067" spans="2:13" x14ac:dyDescent="0.25">
      <c r="B3067"/>
      <c r="C3067"/>
      <c r="D3067"/>
      <c r="E3067"/>
      <c r="F3067"/>
      <c r="G3067"/>
      <c r="H3067" s="19"/>
      <c r="I3067" s="19"/>
      <c r="J3067" s="19"/>
      <c r="M3067" s="7"/>
    </row>
    <row r="3068" spans="2:13" x14ac:dyDescent="0.25">
      <c r="B3068"/>
      <c r="C3068"/>
      <c r="D3068"/>
      <c r="E3068"/>
      <c r="F3068"/>
      <c r="G3068"/>
      <c r="H3068" s="19"/>
      <c r="I3068" s="19"/>
      <c r="J3068" s="19"/>
      <c r="M3068" s="7"/>
    </row>
    <row r="3069" spans="2:13" x14ac:dyDescent="0.25">
      <c r="B3069"/>
      <c r="C3069"/>
      <c r="D3069"/>
      <c r="E3069"/>
      <c r="F3069"/>
      <c r="G3069"/>
      <c r="H3069" s="19"/>
      <c r="I3069" s="19"/>
      <c r="J3069" s="19"/>
      <c r="M3069" s="7"/>
    </row>
    <row r="3070" spans="2:13" x14ac:dyDescent="0.25">
      <c r="B3070"/>
      <c r="C3070"/>
      <c r="D3070"/>
      <c r="E3070"/>
      <c r="F3070"/>
      <c r="G3070"/>
      <c r="H3070" s="19"/>
      <c r="I3070" s="19"/>
      <c r="J3070" s="19"/>
      <c r="M3070" s="7"/>
    </row>
    <row r="3071" spans="2:13" x14ac:dyDescent="0.25">
      <c r="B3071"/>
      <c r="C3071"/>
      <c r="D3071"/>
      <c r="E3071"/>
      <c r="F3071"/>
      <c r="G3071"/>
      <c r="H3071" s="19"/>
      <c r="I3071" s="19"/>
      <c r="J3071" s="19"/>
      <c r="M3071" s="7"/>
    </row>
    <row r="3072" spans="2:13" x14ac:dyDescent="0.25">
      <c r="B3072"/>
      <c r="C3072"/>
      <c r="D3072"/>
      <c r="E3072"/>
      <c r="F3072"/>
      <c r="G3072"/>
      <c r="H3072" s="19"/>
      <c r="I3072" s="19"/>
      <c r="J3072" s="19"/>
      <c r="M3072" s="7"/>
    </row>
    <row r="3073" spans="2:13" x14ac:dyDescent="0.25">
      <c r="B3073"/>
      <c r="C3073"/>
      <c r="D3073"/>
      <c r="E3073"/>
      <c r="F3073"/>
      <c r="G3073"/>
      <c r="H3073" s="19"/>
      <c r="I3073" s="19"/>
      <c r="J3073" s="19"/>
      <c r="M3073" s="7"/>
    </row>
    <row r="3074" spans="2:13" x14ac:dyDescent="0.25">
      <c r="B3074"/>
      <c r="C3074"/>
      <c r="D3074"/>
      <c r="E3074"/>
      <c r="F3074"/>
      <c r="G3074"/>
      <c r="H3074" s="19"/>
      <c r="I3074" s="19"/>
      <c r="J3074" s="19"/>
      <c r="M3074" s="7"/>
    </row>
    <row r="3075" spans="2:13" x14ac:dyDescent="0.25">
      <c r="B3075"/>
      <c r="C3075"/>
      <c r="D3075"/>
      <c r="E3075"/>
      <c r="F3075"/>
      <c r="G3075"/>
      <c r="H3075" s="19"/>
      <c r="I3075" s="19"/>
      <c r="J3075" s="19"/>
      <c r="M3075" s="7"/>
    </row>
    <row r="3076" spans="2:13" x14ac:dyDescent="0.25">
      <c r="B3076"/>
      <c r="C3076"/>
      <c r="D3076"/>
      <c r="E3076"/>
      <c r="F3076"/>
      <c r="G3076"/>
      <c r="H3076" s="19"/>
      <c r="I3076" s="19"/>
      <c r="J3076" s="19"/>
      <c r="M3076" s="7"/>
    </row>
    <row r="3077" spans="2:13" x14ac:dyDescent="0.25">
      <c r="B3077"/>
      <c r="C3077"/>
      <c r="D3077"/>
      <c r="E3077"/>
      <c r="F3077"/>
      <c r="G3077"/>
      <c r="H3077" s="19"/>
      <c r="I3077" s="19"/>
      <c r="J3077" s="19"/>
      <c r="M3077" s="7"/>
    </row>
    <row r="3078" spans="2:13" x14ac:dyDescent="0.25">
      <c r="B3078"/>
      <c r="C3078"/>
      <c r="D3078"/>
      <c r="E3078"/>
      <c r="F3078"/>
      <c r="G3078"/>
      <c r="H3078" s="19"/>
      <c r="I3078" s="19"/>
      <c r="J3078" s="19"/>
      <c r="M3078" s="7"/>
    </row>
    <row r="3079" spans="2:13" x14ac:dyDescent="0.25">
      <c r="B3079"/>
      <c r="C3079"/>
      <c r="D3079"/>
      <c r="E3079"/>
      <c r="F3079"/>
      <c r="G3079"/>
      <c r="H3079" s="19"/>
      <c r="I3079" s="19"/>
      <c r="J3079" s="19"/>
      <c r="M3079" s="7"/>
    </row>
    <row r="3080" spans="2:13" x14ac:dyDescent="0.25">
      <c r="B3080"/>
      <c r="C3080"/>
      <c r="D3080"/>
      <c r="E3080"/>
      <c r="F3080"/>
      <c r="G3080"/>
      <c r="H3080" s="19"/>
      <c r="I3080" s="19"/>
      <c r="J3080" s="19"/>
      <c r="M3080" s="7"/>
    </row>
    <row r="3081" spans="2:13" x14ac:dyDescent="0.25">
      <c r="B3081"/>
      <c r="C3081"/>
      <c r="D3081"/>
      <c r="E3081"/>
      <c r="F3081"/>
      <c r="G3081"/>
      <c r="H3081" s="19"/>
      <c r="I3081" s="19"/>
      <c r="J3081" s="19"/>
      <c r="M3081" s="7"/>
    </row>
    <row r="3082" spans="2:13" x14ac:dyDescent="0.25">
      <c r="B3082"/>
      <c r="C3082"/>
      <c r="D3082"/>
      <c r="E3082"/>
      <c r="F3082"/>
      <c r="G3082"/>
      <c r="H3082" s="19"/>
      <c r="I3082" s="19"/>
      <c r="J3082" s="19"/>
      <c r="M3082" s="7"/>
    </row>
    <row r="3083" spans="2:13" x14ac:dyDescent="0.25">
      <c r="B3083"/>
      <c r="C3083"/>
      <c r="D3083"/>
      <c r="E3083"/>
      <c r="F3083"/>
      <c r="G3083"/>
      <c r="H3083" s="19"/>
      <c r="I3083" s="19"/>
      <c r="J3083" s="19"/>
      <c r="M3083" s="7"/>
    </row>
    <row r="3084" spans="2:13" x14ac:dyDescent="0.25">
      <c r="B3084"/>
      <c r="C3084"/>
      <c r="D3084"/>
      <c r="E3084"/>
      <c r="F3084"/>
      <c r="G3084"/>
      <c r="H3084" s="19"/>
      <c r="I3084" s="19"/>
      <c r="J3084" s="19"/>
      <c r="M3084" s="7"/>
    </row>
    <row r="3085" spans="2:13" x14ac:dyDescent="0.25">
      <c r="B3085"/>
      <c r="C3085"/>
      <c r="D3085"/>
      <c r="E3085"/>
      <c r="F3085"/>
      <c r="G3085"/>
      <c r="H3085" s="19"/>
      <c r="I3085" s="19"/>
      <c r="J3085" s="19"/>
      <c r="M3085" s="7"/>
    </row>
    <row r="3086" spans="2:13" x14ac:dyDescent="0.25">
      <c r="B3086"/>
      <c r="C3086"/>
      <c r="D3086"/>
      <c r="E3086"/>
      <c r="F3086"/>
      <c r="G3086"/>
      <c r="H3086" s="19"/>
      <c r="I3086" s="19"/>
      <c r="J3086" s="19"/>
      <c r="M3086" s="7"/>
    </row>
    <row r="3087" spans="2:13" x14ac:dyDescent="0.25">
      <c r="B3087"/>
      <c r="C3087"/>
      <c r="D3087"/>
      <c r="E3087"/>
      <c r="F3087"/>
      <c r="G3087"/>
      <c r="H3087" s="19"/>
      <c r="I3087" s="19"/>
      <c r="J3087" s="19"/>
      <c r="M3087" s="7"/>
    </row>
    <row r="3088" spans="2:13" x14ac:dyDescent="0.25">
      <c r="B3088"/>
      <c r="C3088"/>
      <c r="D3088"/>
      <c r="E3088"/>
      <c r="F3088"/>
      <c r="G3088"/>
      <c r="H3088" s="19"/>
      <c r="I3088" s="19"/>
      <c r="J3088" s="19"/>
      <c r="M3088" s="7"/>
    </row>
    <row r="3089" spans="2:13" x14ac:dyDescent="0.25">
      <c r="B3089"/>
      <c r="C3089"/>
      <c r="D3089"/>
      <c r="E3089"/>
      <c r="F3089"/>
      <c r="G3089"/>
      <c r="H3089" s="19"/>
      <c r="I3089" s="19"/>
      <c r="J3089" s="19"/>
      <c r="M3089" s="7"/>
    </row>
    <row r="3090" spans="2:13" x14ac:dyDescent="0.25">
      <c r="B3090"/>
      <c r="C3090"/>
      <c r="D3090"/>
      <c r="E3090"/>
      <c r="F3090"/>
      <c r="G3090"/>
      <c r="H3090" s="19"/>
      <c r="I3090" s="19"/>
      <c r="J3090" s="19"/>
      <c r="M3090" s="7"/>
    </row>
    <row r="3091" spans="2:13" x14ac:dyDescent="0.25">
      <c r="B3091"/>
      <c r="C3091"/>
      <c r="D3091"/>
      <c r="E3091"/>
      <c r="F3091"/>
      <c r="G3091"/>
      <c r="H3091" s="19"/>
      <c r="I3091" s="19"/>
      <c r="J3091" s="19"/>
      <c r="M3091" s="7"/>
    </row>
    <row r="3092" spans="2:13" x14ac:dyDescent="0.25">
      <c r="B3092"/>
      <c r="C3092"/>
      <c r="D3092"/>
      <c r="E3092"/>
      <c r="F3092"/>
      <c r="G3092"/>
      <c r="H3092" s="19"/>
      <c r="I3092" s="19"/>
      <c r="J3092" s="19"/>
      <c r="M3092" s="7"/>
    </row>
    <row r="3093" spans="2:13" x14ac:dyDescent="0.25">
      <c r="B3093"/>
      <c r="C3093"/>
      <c r="D3093"/>
      <c r="E3093"/>
      <c r="F3093"/>
      <c r="G3093"/>
      <c r="H3093" s="19"/>
      <c r="I3093" s="19"/>
      <c r="J3093" s="19"/>
      <c r="M3093" s="7"/>
    </row>
    <row r="3094" spans="2:13" x14ac:dyDescent="0.25">
      <c r="B3094"/>
      <c r="C3094"/>
      <c r="D3094"/>
      <c r="E3094"/>
      <c r="F3094"/>
      <c r="G3094"/>
      <c r="H3094" s="19"/>
      <c r="I3094" s="19"/>
      <c r="J3094" s="19"/>
      <c r="M3094" s="7"/>
    </row>
    <row r="3095" spans="2:13" x14ac:dyDescent="0.25">
      <c r="B3095"/>
      <c r="C3095"/>
      <c r="D3095"/>
      <c r="E3095"/>
      <c r="F3095"/>
      <c r="G3095"/>
      <c r="H3095" s="19"/>
      <c r="I3095" s="19"/>
      <c r="J3095" s="19"/>
      <c r="M3095" s="7"/>
    </row>
    <row r="3096" spans="2:13" x14ac:dyDescent="0.25">
      <c r="B3096"/>
      <c r="C3096"/>
      <c r="D3096"/>
      <c r="E3096"/>
      <c r="F3096"/>
      <c r="G3096"/>
      <c r="H3096" s="19"/>
      <c r="I3096" s="19"/>
      <c r="J3096" s="19"/>
      <c r="M3096" s="7"/>
    </row>
    <row r="3097" spans="2:13" x14ac:dyDescent="0.25">
      <c r="B3097"/>
      <c r="C3097"/>
      <c r="D3097"/>
      <c r="E3097"/>
      <c r="F3097"/>
      <c r="G3097"/>
      <c r="H3097" s="19"/>
      <c r="I3097" s="19"/>
      <c r="J3097" s="19"/>
      <c r="M3097" s="7"/>
    </row>
    <row r="3098" spans="2:13" x14ac:dyDescent="0.25">
      <c r="B3098"/>
      <c r="C3098"/>
      <c r="D3098"/>
      <c r="E3098"/>
      <c r="F3098"/>
      <c r="G3098"/>
      <c r="H3098" s="19"/>
      <c r="I3098" s="19"/>
      <c r="J3098" s="19"/>
      <c r="M3098" s="7"/>
    </row>
    <row r="3099" spans="2:13" x14ac:dyDescent="0.25">
      <c r="B3099"/>
      <c r="C3099"/>
      <c r="D3099"/>
      <c r="E3099"/>
      <c r="F3099"/>
      <c r="G3099"/>
      <c r="H3099" s="19"/>
      <c r="I3099" s="19"/>
      <c r="J3099" s="19"/>
      <c r="M3099" s="7"/>
    </row>
    <row r="3100" spans="2:13" x14ac:dyDescent="0.25">
      <c r="B3100"/>
      <c r="C3100"/>
      <c r="D3100"/>
      <c r="E3100"/>
      <c r="F3100"/>
      <c r="G3100"/>
      <c r="H3100" s="19"/>
      <c r="I3100" s="19"/>
      <c r="J3100" s="19"/>
      <c r="M3100" s="7"/>
    </row>
    <row r="3101" spans="2:13" x14ac:dyDescent="0.25">
      <c r="B3101"/>
      <c r="C3101"/>
      <c r="D3101"/>
      <c r="E3101"/>
      <c r="F3101"/>
      <c r="G3101"/>
      <c r="H3101" s="19"/>
      <c r="I3101" s="19"/>
      <c r="J3101" s="19"/>
      <c r="M3101" s="7"/>
    </row>
    <row r="3102" spans="2:13" x14ac:dyDescent="0.25">
      <c r="B3102"/>
      <c r="C3102"/>
      <c r="D3102"/>
      <c r="E3102"/>
      <c r="F3102"/>
      <c r="G3102"/>
      <c r="H3102" s="19"/>
      <c r="I3102" s="19"/>
      <c r="J3102" s="19"/>
      <c r="M3102" s="7"/>
    </row>
    <row r="3103" spans="2:13" x14ac:dyDescent="0.25">
      <c r="B3103"/>
      <c r="C3103"/>
      <c r="D3103"/>
      <c r="E3103"/>
      <c r="F3103"/>
      <c r="G3103"/>
      <c r="H3103" s="19"/>
      <c r="I3103" s="19"/>
      <c r="J3103" s="19"/>
      <c r="M3103" s="7"/>
    </row>
    <row r="3104" spans="2:13" x14ac:dyDescent="0.25">
      <c r="B3104"/>
      <c r="C3104"/>
      <c r="D3104"/>
      <c r="E3104"/>
      <c r="F3104"/>
      <c r="G3104"/>
      <c r="H3104" s="19"/>
      <c r="I3104" s="19"/>
      <c r="J3104" s="19"/>
      <c r="M3104" s="7"/>
    </row>
    <row r="3105" spans="2:13" x14ac:dyDescent="0.25">
      <c r="B3105"/>
      <c r="C3105"/>
      <c r="D3105"/>
      <c r="E3105"/>
      <c r="F3105"/>
      <c r="G3105"/>
      <c r="H3105" s="19"/>
      <c r="I3105" s="19"/>
      <c r="J3105" s="19"/>
      <c r="M3105" s="7"/>
    </row>
    <row r="3106" spans="2:13" x14ac:dyDescent="0.25">
      <c r="B3106"/>
      <c r="C3106"/>
      <c r="D3106"/>
      <c r="E3106"/>
      <c r="F3106"/>
      <c r="G3106"/>
      <c r="H3106" s="19"/>
      <c r="I3106" s="19"/>
      <c r="J3106" s="19"/>
      <c r="M3106" s="7"/>
    </row>
    <row r="3107" spans="2:13" x14ac:dyDescent="0.25">
      <c r="B3107"/>
      <c r="C3107"/>
      <c r="D3107"/>
      <c r="E3107"/>
      <c r="F3107"/>
      <c r="G3107"/>
      <c r="H3107" s="19"/>
      <c r="I3107" s="19"/>
      <c r="J3107" s="19"/>
      <c r="M3107" s="7"/>
    </row>
    <row r="3108" spans="2:13" x14ac:dyDescent="0.25">
      <c r="B3108"/>
      <c r="C3108"/>
      <c r="D3108"/>
      <c r="E3108"/>
      <c r="F3108"/>
      <c r="G3108"/>
      <c r="H3108" s="19"/>
      <c r="I3108" s="19"/>
      <c r="J3108" s="19"/>
      <c r="M3108" s="7"/>
    </row>
    <row r="3109" spans="2:13" x14ac:dyDescent="0.25">
      <c r="B3109"/>
      <c r="C3109"/>
      <c r="D3109"/>
      <c r="E3109"/>
      <c r="F3109"/>
      <c r="G3109"/>
      <c r="H3109" s="19"/>
      <c r="I3109" s="19"/>
      <c r="J3109" s="19"/>
      <c r="M3109" s="7"/>
    </row>
    <row r="3110" spans="2:13" x14ac:dyDescent="0.25">
      <c r="B3110"/>
      <c r="C3110"/>
      <c r="D3110"/>
      <c r="E3110"/>
      <c r="F3110"/>
      <c r="G3110"/>
      <c r="H3110" s="19"/>
      <c r="I3110" s="19"/>
      <c r="J3110" s="19"/>
      <c r="M3110" s="7"/>
    </row>
    <row r="3111" spans="2:13" x14ac:dyDescent="0.25">
      <c r="B3111"/>
      <c r="C3111"/>
      <c r="D3111"/>
      <c r="E3111"/>
      <c r="F3111"/>
      <c r="G3111"/>
      <c r="H3111" s="19"/>
      <c r="I3111" s="19"/>
      <c r="J3111" s="19"/>
      <c r="M3111" s="7"/>
    </row>
    <row r="3112" spans="2:13" x14ac:dyDescent="0.25">
      <c r="B3112"/>
      <c r="C3112"/>
      <c r="D3112"/>
      <c r="E3112"/>
      <c r="F3112"/>
      <c r="G3112"/>
      <c r="H3112" s="19"/>
      <c r="I3112" s="19"/>
      <c r="J3112" s="19"/>
      <c r="M3112" s="7"/>
    </row>
    <row r="3113" spans="2:13" x14ac:dyDescent="0.25">
      <c r="B3113"/>
      <c r="C3113"/>
      <c r="D3113"/>
      <c r="E3113"/>
      <c r="F3113"/>
      <c r="G3113"/>
      <c r="H3113" s="19"/>
      <c r="I3113" s="19"/>
      <c r="J3113" s="19"/>
      <c r="M3113" s="7"/>
    </row>
    <row r="3114" spans="2:13" x14ac:dyDescent="0.25">
      <c r="B3114"/>
      <c r="C3114"/>
      <c r="D3114"/>
      <c r="E3114"/>
      <c r="F3114"/>
      <c r="G3114"/>
      <c r="H3114" s="19"/>
      <c r="I3114" s="19"/>
      <c r="J3114" s="19"/>
      <c r="M3114" s="7"/>
    </row>
    <row r="3115" spans="2:13" x14ac:dyDescent="0.25">
      <c r="B3115"/>
      <c r="C3115"/>
      <c r="D3115"/>
      <c r="E3115"/>
      <c r="F3115"/>
      <c r="G3115"/>
      <c r="H3115" s="19"/>
      <c r="I3115" s="19"/>
      <c r="J3115" s="19"/>
      <c r="M3115" s="7"/>
    </row>
    <row r="3116" spans="2:13" x14ac:dyDescent="0.25">
      <c r="B3116"/>
      <c r="C3116"/>
      <c r="D3116"/>
      <c r="E3116"/>
      <c r="F3116"/>
      <c r="G3116"/>
      <c r="H3116" s="19"/>
      <c r="I3116" s="19"/>
      <c r="J3116" s="19"/>
      <c r="M3116" s="7"/>
    </row>
    <row r="3117" spans="2:13" x14ac:dyDescent="0.25">
      <c r="B3117"/>
      <c r="C3117"/>
      <c r="D3117"/>
      <c r="E3117"/>
      <c r="F3117"/>
      <c r="G3117"/>
      <c r="H3117" s="19"/>
      <c r="I3117" s="19"/>
      <c r="J3117" s="19"/>
      <c r="M3117" s="7"/>
    </row>
    <row r="3118" spans="2:13" x14ac:dyDescent="0.25">
      <c r="B3118"/>
      <c r="C3118"/>
      <c r="D3118"/>
      <c r="E3118"/>
      <c r="F3118"/>
      <c r="G3118"/>
      <c r="H3118" s="19"/>
      <c r="I3118" s="19"/>
      <c r="J3118" s="19"/>
      <c r="M3118" s="7"/>
    </row>
    <row r="3119" spans="2:13" x14ac:dyDescent="0.25">
      <c r="B3119"/>
      <c r="C3119"/>
      <c r="D3119"/>
      <c r="E3119"/>
      <c r="F3119"/>
      <c r="G3119"/>
      <c r="H3119" s="19"/>
      <c r="I3119" s="19"/>
      <c r="J3119" s="19"/>
      <c r="M3119" s="7"/>
    </row>
    <row r="3120" spans="2:13" x14ac:dyDescent="0.25">
      <c r="B3120"/>
      <c r="C3120"/>
      <c r="D3120"/>
      <c r="E3120"/>
      <c r="F3120"/>
      <c r="G3120"/>
      <c r="H3120" s="19"/>
      <c r="I3120" s="19"/>
      <c r="J3120" s="19"/>
      <c r="M3120" s="7"/>
    </row>
    <row r="3121" spans="2:13" x14ac:dyDescent="0.25">
      <c r="B3121"/>
      <c r="C3121"/>
      <c r="D3121"/>
      <c r="E3121"/>
      <c r="F3121"/>
      <c r="G3121"/>
      <c r="H3121" s="19"/>
      <c r="I3121" s="19"/>
      <c r="J3121" s="19"/>
      <c r="M3121" s="7"/>
    </row>
    <row r="3122" spans="2:13" x14ac:dyDescent="0.25">
      <c r="B3122"/>
      <c r="C3122"/>
      <c r="D3122"/>
      <c r="E3122"/>
      <c r="F3122"/>
      <c r="G3122"/>
      <c r="H3122" s="19"/>
      <c r="I3122" s="19"/>
      <c r="J3122" s="19"/>
      <c r="M3122" s="7"/>
    </row>
    <row r="3123" spans="2:13" x14ac:dyDescent="0.25">
      <c r="B3123"/>
      <c r="C3123"/>
      <c r="D3123"/>
      <c r="E3123"/>
      <c r="F3123"/>
      <c r="G3123"/>
      <c r="H3123" s="19"/>
      <c r="I3123" s="19"/>
      <c r="J3123" s="19"/>
      <c r="M3123" s="7"/>
    </row>
    <row r="3124" spans="2:13" x14ac:dyDescent="0.25">
      <c r="B3124"/>
      <c r="C3124"/>
      <c r="D3124"/>
      <c r="E3124"/>
      <c r="F3124"/>
      <c r="G3124"/>
      <c r="H3124" s="19"/>
      <c r="I3124" s="19"/>
      <c r="J3124" s="19"/>
      <c r="M3124" s="7"/>
    </row>
    <row r="3125" spans="2:13" x14ac:dyDescent="0.25">
      <c r="B3125"/>
      <c r="C3125"/>
      <c r="D3125"/>
      <c r="E3125"/>
      <c r="F3125"/>
      <c r="G3125"/>
      <c r="H3125" s="19"/>
      <c r="I3125" s="19"/>
      <c r="J3125" s="19"/>
      <c r="M3125" s="7"/>
    </row>
    <row r="3126" spans="2:13" x14ac:dyDescent="0.25">
      <c r="B3126"/>
      <c r="C3126"/>
      <c r="D3126"/>
      <c r="E3126"/>
      <c r="F3126"/>
      <c r="G3126"/>
      <c r="H3126" s="19"/>
      <c r="I3126" s="19"/>
      <c r="J3126" s="19"/>
      <c r="M3126" s="7"/>
    </row>
    <row r="3127" spans="2:13" x14ac:dyDescent="0.25">
      <c r="B3127"/>
      <c r="C3127"/>
      <c r="D3127"/>
      <c r="E3127"/>
      <c r="F3127"/>
      <c r="G3127"/>
      <c r="H3127" s="19"/>
      <c r="I3127" s="19"/>
      <c r="J3127" s="19"/>
      <c r="M3127" s="7"/>
    </row>
    <row r="3128" spans="2:13" x14ac:dyDescent="0.25">
      <c r="B3128"/>
      <c r="C3128"/>
      <c r="D3128"/>
      <c r="E3128"/>
      <c r="F3128"/>
      <c r="G3128"/>
      <c r="H3128" s="19"/>
      <c r="I3128" s="19"/>
      <c r="J3128" s="19"/>
      <c r="M3128" s="7"/>
    </row>
    <row r="3129" spans="2:13" x14ac:dyDescent="0.25">
      <c r="B3129"/>
      <c r="C3129"/>
      <c r="D3129"/>
      <c r="E3129"/>
      <c r="F3129"/>
      <c r="G3129"/>
      <c r="H3129" s="19"/>
      <c r="I3129" s="19"/>
      <c r="J3129" s="19"/>
      <c r="M3129" s="7"/>
    </row>
    <row r="3130" spans="2:13" x14ac:dyDescent="0.25">
      <c r="B3130"/>
      <c r="C3130"/>
      <c r="D3130"/>
      <c r="E3130"/>
      <c r="F3130"/>
      <c r="G3130"/>
      <c r="H3130" s="19"/>
      <c r="I3130" s="19"/>
      <c r="J3130" s="19"/>
      <c r="M3130" s="7"/>
    </row>
    <row r="3131" spans="2:13" x14ac:dyDescent="0.25">
      <c r="B3131"/>
      <c r="C3131"/>
      <c r="D3131"/>
      <c r="E3131"/>
      <c r="F3131"/>
      <c r="G3131"/>
      <c r="H3131" s="19"/>
      <c r="I3131" s="19"/>
      <c r="J3131" s="19"/>
      <c r="M3131" s="7"/>
    </row>
    <row r="3132" spans="2:13" x14ac:dyDescent="0.25">
      <c r="B3132"/>
      <c r="C3132"/>
      <c r="D3132"/>
      <c r="E3132"/>
      <c r="F3132"/>
      <c r="G3132"/>
      <c r="H3132" s="19"/>
      <c r="I3132" s="19"/>
      <c r="J3132" s="19"/>
      <c r="M3132" s="7"/>
    </row>
    <row r="3133" spans="2:13" x14ac:dyDescent="0.25">
      <c r="B3133"/>
      <c r="C3133"/>
      <c r="D3133"/>
      <c r="E3133"/>
      <c r="F3133"/>
      <c r="G3133"/>
      <c r="H3133" s="19"/>
      <c r="I3133" s="19"/>
      <c r="J3133" s="19"/>
      <c r="M3133" s="7"/>
    </row>
    <row r="3134" spans="2:13" x14ac:dyDescent="0.25">
      <c r="B3134"/>
      <c r="C3134"/>
      <c r="D3134"/>
      <c r="E3134"/>
      <c r="F3134"/>
      <c r="G3134"/>
      <c r="H3134" s="19"/>
      <c r="I3134" s="19"/>
      <c r="J3134" s="19"/>
      <c r="M3134" s="7"/>
    </row>
    <row r="3135" spans="2:13" x14ac:dyDescent="0.25">
      <c r="B3135"/>
      <c r="C3135"/>
      <c r="D3135"/>
      <c r="E3135"/>
      <c r="F3135"/>
      <c r="G3135"/>
      <c r="H3135" s="19"/>
      <c r="I3135" s="19"/>
      <c r="J3135" s="19"/>
      <c r="M3135" s="7"/>
    </row>
    <row r="3136" spans="2:13" x14ac:dyDescent="0.25">
      <c r="B3136"/>
      <c r="C3136"/>
      <c r="D3136"/>
      <c r="E3136"/>
      <c r="F3136"/>
      <c r="G3136"/>
      <c r="H3136" s="19"/>
      <c r="I3136" s="19"/>
      <c r="J3136" s="19"/>
      <c r="M3136" s="7"/>
    </row>
    <row r="3137" spans="2:13" x14ac:dyDescent="0.25">
      <c r="B3137"/>
      <c r="C3137"/>
      <c r="D3137"/>
      <c r="E3137"/>
      <c r="F3137"/>
      <c r="G3137"/>
      <c r="H3137" s="19"/>
      <c r="I3137" s="19"/>
      <c r="J3137" s="19"/>
      <c r="M3137" s="7"/>
    </row>
    <row r="3138" spans="2:13" x14ac:dyDescent="0.25">
      <c r="B3138"/>
      <c r="C3138"/>
      <c r="D3138"/>
      <c r="E3138"/>
      <c r="F3138"/>
      <c r="G3138"/>
      <c r="H3138" s="19"/>
      <c r="I3138" s="19"/>
      <c r="J3138" s="19"/>
      <c r="M3138" s="7"/>
    </row>
    <row r="3139" spans="2:13" x14ac:dyDescent="0.25">
      <c r="B3139"/>
      <c r="C3139"/>
      <c r="D3139"/>
      <c r="E3139"/>
      <c r="F3139"/>
      <c r="G3139"/>
      <c r="H3139" s="19"/>
      <c r="I3139" s="19"/>
      <c r="J3139" s="19"/>
      <c r="M3139" s="7"/>
    </row>
    <row r="3140" spans="2:13" x14ac:dyDescent="0.25">
      <c r="B3140"/>
      <c r="C3140"/>
      <c r="D3140"/>
      <c r="E3140"/>
      <c r="F3140"/>
      <c r="G3140"/>
      <c r="H3140" s="19"/>
      <c r="I3140" s="19"/>
      <c r="J3140" s="19"/>
      <c r="M3140" s="7"/>
    </row>
    <row r="3141" spans="2:13" x14ac:dyDescent="0.25">
      <c r="B3141"/>
      <c r="C3141"/>
      <c r="D3141"/>
      <c r="E3141"/>
      <c r="F3141"/>
      <c r="G3141"/>
      <c r="H3141" s="19"/>
      <c r="I3141" s="19"/>
      <c r="J3141" s="19"/>
      <c r="M3141" s="7"/>
    </row>
    <row r="3142" spans="2:13" x14ac:dyDescent="0.25">
      <c r="B3142"/>
      <c r="C3142"/>
      <c r="D3142"/>
      <c r="E3142"/>
      <c r="F3142"/>
      <c r="G3142"/>
      <c r="H3142" s="19"/>
      <c r="I3142" s="19"/>
      <c r="J3142" s="19"/>
      <c r="M3142" s="7"/>
    </row>
    <row r="3143" spans="2:13" x14ac:dyDescent="0.25">
      <c r="B3143"/>
      <c r="C3143"/>
      <c r="D3143"/>
      <c r="E3143"/>
      <c r="F3143"/>
      <c r="G3143"/>
      <c r="H3143" s="19"/>
      <c r="I3143" s="19"/>
      <c r="J3143" s="19"/>
      <c r="M3143" s="7"/>
    </row>
    <row r="3144" spans="2:13" x14ac:dyDescent="0.25">
      <c r="B3144"/>
      <c r="C3144"/>
      <c r="D3144"/>
      <c r="E3144"/>
      <c r="F3144"/>
      <c r="G3144"/>
      <c r="H3144" s="19"/>
      <c r="I3144" s="19"/>
      <c r="J3144" s="19"/>
      <c r="M3144" s="7"/>
    </row>
    <row r="3145" spans="2:13" x14ac:dyDescent="0.25">
      <c r="B3145"/>
      <c r="C3145"/>
      <c r="D3145"/>
      <c r="E3145"/>
      <c r="F3145"/>
      <c r="G3145"/>
      <c r="H3145" s="19"/>
      <c r="I3145" s="19"/>
      <c r="J3145" s="19"/>
      <c r="M3145" s="7"/>
    </row>
    <row r="3146" spans="2:13" x14ac:dyDescent="0.25">
      <c r="B3146"/>
      <c r="C3146"/>
      <c r="D3146"/>
      <c r="E3146"/>
      <c r="F3146"/>
      <c r="G3146"/>
      <c r="H3146" s="19"/>
      <c r="I3146" s="19"/>
      <c r="J3146" s="19"/>
      <c r="M3146" s="7"/>
    </row>
    <row r="3147" spans="2:13" x14ac:dyDescent="0.25">
      <c r="B3147"/>
      <c r="C3147"/>
      <c r="D3147"/>
      <c r="E3147"/>
      <c r="F3147"/>
      <c r="G3147"/>
      <c r="H3147" s="19"/>
      <c r="I3147" s="19"/>
      <c r="J3147" s="19"/>
      <c r="M3147" s="7"/>
    </row>
    <row r="3148" spans="2:13" x14ac:dyDescent="0.25">
      <c r="B3148"/>
      <c r="C3148"/>
      <c r="D3148"/>
      <c r="E3148"/>
      <c r="F3148"/>
      <c r="G3148"/>
      <c r="H3148" s="19"/>
      <c r="I3148" s="19"/>
      <c r="J3148" s="19"/>
      <c r="M3148" s="7"/>
    </row>
    <row r="3149" spans="2:13" x14ac:dyDescent="0.25">
      <c r="B3149"/>
      <c r="C3149"/>
      <c r="D3149"/>
      <c r="E3149"/>
      <c r="F3149"/>
      <c r="G3149"/>
      <c r="H3149" s="19"/>
      <c r="I3149" s="19"/>
      <c r="J3149" s="19"/>
      <c r="M3149" s="7"/>
    </row>
    <row r="3150" spans="2:13" x14ac:dyDescent="0.25">
      <c r="B3150"/>
      <c r="C3150"/>
      <c r="D3150"/>
      <c r="E3150"/>
      <c r="F3150"/>
      <c r="G3150"/>
      <c r="H3150" s="19"/>
      <c r="I3150" s="19"/>
      <c r="J3150" s="19"/>
      <c r="M3150" s="7"/>
    </row>
    <row r="3151" spans="2:13" x14ac:dyDescent="0.25">
      <c r="B3151"/>
      <c r="C3151"/>
      <c r="D3151"/>
      <c r="E3151"/>
      <c r="F3151"/>
      <c r="G3151"/>
      <c r="H3151" s="19"/>
      <c r="I3151" s="19"/>
      <c r="J3151" s="19"/>
      <c r="M3151" s="7"/>
    </row>
    <row r="3152" spans="2:13" x14ac:dyDescent="0.25">
      <c r="B3152"/>
      <c r="C3152"/>
      <c r="D3152"/>
      <c r="E3152"/>
      <c r="F3152"/>
      <c r="G3152"/>
      <c r="H3152" s="19"/>
      <c r="I3152" s="19"/>
      <c r="J3152" s="19"/>
      <c r="M3152" s="7"/>
    </row>
    <row r="3153" spans="2:13" x14ac:dyDescent="0.25">
      <c r="B3153"/>
      <c r="C3153"/>
      <c r="D3153"/>
      <c r="E3153"/>
      <c r="F3153"/>
      <c r="G3153"/>
      <c r="H3153" s="19"/>
      <c r="I3153" s="19"/>
      <c r="J3153" s="19"/>
      <c r="M3153" s="7"/>
    </row>
    <row r="3154" spans="2:13" x14ac:dyDescent="0.25">
      <c r="B3154"/>
      <c r="C3154"/>
      <c r="D3154"/>
      <c r="E3154"/>
      <c r="F3154"/>
      <c r="G3154"/>
      <c r="H3154" s="19"/>
      <c r="I3154" s="19"/>
      <c r="J3154" s="19"/>
      <c r="M3154" s="7"/>
    </row>
    <row r="3155" spans="2:13" x14ac:dyDescent="0.25">
      <c r="B3155"/>
      <c r="C3155"/>
      <c r="D3155"/>
      <c r="E3155"/>
      <c r="F3155"/>
      <c r="G3155"/>
      <c r="H3155" s="19"/>
      <c r="I3155" s="19"/>
      <c r="J3155" s="19"/>
      <c r="M3155" s="7"/>
    </row>
    <row r="3156" spans="2:13" x14ac:dyDescent="0.25">
      <c r="B3156"/>
      <c r="C3156"/>
      <c r="D3156"/>
      <c r="E3156"/>
      <c r="F3156"/>
      <c r="G3156"/>
      <c r="H3156" s="19"/>
      <c r="I3156" s="19"/>
      <c r="J3156" s="19"/>
      <c r="M3156" s="7"/>
    </row>
    <row r="3157" spans="2:13" x14ac:dyDescent="0.25">
      <c r="B3157"/>
      <c r="C3157"/>
      <c r="D3157"/>
      <c r="E3157"/>
      <c r="F3157"/>
      <c r="G3157"/>
      <c r="H3157" s="19"/>
      <c r="I3157" s="19"/>
      <c r="J3157" s="19"/>
      <c r="M3157" s="7"/>
    </row>
    <row r="3158" spans="2:13" x14ac:dyDescent="0.25">
      <c r="B3158"/>
      <c r="C3158"/>
      <c r="D3158"/>
      <c r="E3158"/>
      <c r="F3158"/>
      <c r="G3158"/>
      <c r="H3158" s="19"/>
      <c r="I3158" s="19"/>
      <c r="J3158" s="19"/>
      <c r="M3158" s="7"/>
    </row>
    <row r="3159" spans="2:13" x14ac:dyDescent="0.25">
      <c r="B3159"/>
      <c r="C3159"/>
      <c r="D3159"/>
      <c r="E3159"/>
      <c r="F3159"/>
      <c r="G3159"/>
      <c r="H3159" s="19"/>
      <c r="I3159" s="19"/>
      <c r="J3159" s="19"/>
      <c r="M3159" s="7"/>
    </row>
    <row r="3160" spans="2:13" x14ac:dyDescent="0.25">
      <c r="B3160"/>
      <c r="C3160"/>
      <c r="D3160"/>
      <c r="E3160"/>
      <c r="F3160"/>
      <c r="G3160"/>
      <c r="H3160" s="19"/>
      <c r="I3160" s="19"/>
      <c r="J3160" s="19"/>
      <c r="M3160" s="7"/>
    </row>
    <row r="3161" spans="2:13" x14ac:dyDescent="0.25">
      <c r="B3161"/>
      <c r="C3161"/>
      <c r="D3161"/>
      <c r="E3161"/>
      <c r="F3161"/>
      <c r="G3161"/>
      <c r="H3161" s="19"/>
      <c r="I3161" s="19"/>
      <c r="J3161" s="19"/>
      <c r="M3161" s="7"/>
    </row>
    <row r="3162" spans="2:13" x14ac:dyDescent="0.25">
      <c r="B3162"/>
      <c r="C3162"/>
      <c r="D3162"/>
      <c r="E3162"/>
      <c r="F3162"/>
      <c r="G3162"/>
      <c r="H3162" s="19"/>
      <c r="I3162" s="19"/>
      <c r="J3162" s="19"/>
      <c r="M3162" s="7"/>
    </row>
    <row r="3163" spans="2:13" x14ac:dyDescent="0.25">
      <c r="B3163"/>
      <c r="C3163"/>
      <c r="D3163"/>
      <c r="E3163"/>
      <c r="F3163"/>
      <c r="G3163"/>
      <c r="H3163" s="19"/>
      <c r="I3163" s="19"/>
      <c r="J3163" s="19"/>
      <c r="M3163" s="7"/>
    </row>
    <row r="3164" spans="2:13" x14ac:dyDescent="0.25">
      <c r="B3164"/>
      <c r="C3164"/>
      <c r="D3164"/>
      <c r="E3164"/>
      <c r="F3164"/>
      <c r="G3164"/>
      <c r="H3164" s="19"/>
      <c r="I3164" s="19"/>
      <c r="J3164" s="19"/>
      <c r="M3164" s="7"/>
    </row>
    <row r="3165" spans="2:13" x14ac:dyDescent="0.25">
      <c r="B3165"/>
      <c r="C3165"/>
      <c r="D3165"/>
      <c r="E3165"/>
      <c r="F3165"/>
      <c r="G3165"/>
      <c r="H3165" s="19"/>
      <c r="I3165" s="19"/>
      <c r="J3165" s="19"/>
      <c r="M3165" s="7"/>
    </row>
    <row r="3166" spans="2:13" x14ac:dyDescent="0.25">
      <c r="B3166"/>
      <c r="C3166"/>
      <c r="D3166"/>
      <c r="E3166"/>
      <c r="F3166"/>
      <c r="G3166"/>
      <c r="H3166" s="19"/>
      <c r="I3166" s="19"/>
      <c r="J3166" s="19"/>
      <c r="M3166" s="7"/>
    </row>
    <row r="3167" spans="2:13" x14ac:dyDescent="0.25">
      <c r="B3167"/>
      <c r="C3167"/>
      <c r="D3167"/>
      <c r="E3167"/>
      <c r="F3167"/>
      <c r="G3167"/>
      <c r="H3167" s="19"/>
      <c r="I3167" s="19"/>
      <c r="J3167" s="19"/>
      <c r="M3167" s="7"/>
    </row>
    <row r="3168" spans="2:13" x14ac:dyDescent="0.25">
      <c r="B3168"/>
      <c r="C3168"/>
      <c r="D3168"/>
      <c r="E3168"/>
      <c r="F3168"/>
      <c r="G3168"/>
      <c r="H3168" s="19"/>
      <c r="I3168" s="19"/>
      <c r="J3168" s="19"/>
      <c r="M3168" s="7"/>
    </row>
    <row r="3169" spans="2:13" x14ac:dyDescent="0.25">
      <c r="B3169"/>
      <c r="C3169"/>
      <c r="D3169"/>
      <c r="E3169"/>
      <c r="F3169"/>
      <c r="G3169"/>
      <c r="H3169" s="19"/>
      <c r="I3169" s="19"/>
      <c r="J3169" s="19"/>
      <c r="M3169" s="7"/>
    </row>
    <row r="3170" spans="2:13" x14ac:dyDescent="0.25">
      <c r="B3170"/>
      <c r="C3170"/>
      <c r="D3170"/>
      <c r="E3170"/>
      <c r="F3170"/>
      <c r="G3170"/>
      <c r="H3170" s="19"/>
      <c r="I3170" s="19"/>
      <c r="J3170" s="19"/>
      <c r="M3170" s="7"/>
    </row>
    <row r="3171" spans="2:13" x14ac:dyDescent="0.25">
      <c r="B3171"/>
      <c r="C3171"/>
      <c r="D3171"/>
      <c r="E3171"/>
      <c r="F3171"/>
      <c r="G3171"/>
      <c r="H3171" s="19"/>
      <c r="I3171" s="19"/>
      <c r="J3171" s="19"/>
      <c r="M3171" s="7"/>
    </row>
    <row r="3172" spans="2:13" x14ac:dyDescent="0.25">
      <c r="B3172"/>
      <c r="C3172"/>
      <c r="D3172"/>
      <c r="E3172"/>
      <c r="F3172"/>
      <c r="G3172"/>
      <c r="H3172" s="19"/>
      <c r="I3172" s="19"/>
      <c r="J3172" s="19"/>
      <c r="M3172" s="7"/>
    </row>
    <row r="3173" spans="2:13" x14ac:dyDescent="0.25">
      <c r="B3173"/>
      <c r="C3173"/>
      <c r="D3173"/>
      <c r="E3173"/>
      <c r="F3173"/>
      <c r="G3173"/>
      <c r="H3173" s="19"/>
      <c r="I3173" s="19"/>
      <c r="J3173" s="19"/>
      <c r="M3173" s="7"/>
    </row>
    <row r="3174" spans="2:13" x14ac:dyDescent="0.25">
      <c r="B3174"/>
      <c r="C3174"/>
      <c r="D3174"/>
      <c r="E3174"/>
      <c r="F3174"/>
      <c r="G3174"/>
      <c r="H3174" s="19"/>
      <c r="I3174" s="19"/>
      <c r="J3174" s="19"/>
      <c r="M3174" s="7"/>
    </row>
    <row r="3175" spans="2:13" x14ac:dyDescent="0.25">
      <c r="B3175"/>
      <c r="C3175"/>
      <c r="D3175"/>
      <c r="E3175"/>
      <c r="F3175"/>
      <c r="G3175"/>
      <c r="H3175" s="19"/>
      <c r="I3175" s="19"/>
      <c r="J3175" s="19"/>
      <c r="M3175" s="7"/>
    </row>
    <row r="3176" spans="2:13" x14ac:dyDescent="0.25">
      <c r="B3176"/>
      <c r="C3176"/>
      <c r="D3176"/>
      <c r="E3176"/>
      <c r="F3176"/>
      <c r="G3176"/>
      <c r="H3176" s="19"/>
      <c r="I3176" s="19"/>
      <c r="J3176" s="19"/>
      <c r="M3176" s="7"/>
    </row>
    <row r="3177" spans="2:13" x14ac:dyDescent="0.25">
      <c r="B3177"/>
      <c r="C3177"/>
      <c r="D3177"/>
      <c r="E3177"/>
      <c r="F3177"/>
      <c r="G3177"/>
      <c r="H3177" s="19"/>
      <c r="I3177" s="19"/>
      <c r="J3177" s="19"/>
      <c r="M3177" s="7"/>
    </row>
    <row r="3178" spans="2:13" x14ac:dyDescent="0.25">
      <c r="B3178"/>
      <c r="C3178"/>
      <c r="D3178"/>
      <c r="E3178"/>
      <c r="F3178"/>
      <c r="G3178"/>
      <c r="H3178" s="19"/>
      <c r="I3178" s="19"/>
      <c r="J3178" s="19"/>
      <c r="M3178" s="7"/>
    </row>
    <row r="3179" spans="2:13" x14ac:dyDescent="0.25">
      <c r="B3179"/>
      <c r="C3179"/>
      <c r="D3179"/>
      <c r="E3179"/>
      <c r="F3179"/>
      <c r="G3179"/>
      <c r="H3179" s="19"/>
      <c r="I3179" s="19"/>
      <c r="J3179" s="19"/>
      <c r="M3179" s="7"/>
    </row>
    <row r="3180" spans="2:13" x14ac:dyDescent="0.25">
      <c r="B3180"/>
      <c r="C3180"/>
      <c r="D3180"/>
      <c r="E3180"/>
      <c r="F3180"/>
      <c r="G3180"/>
      <c r="H3180" s="19"/>
      <c r="I3180" s="19"/>
      <c r="J3180" s="19"/>
      <c r="M3180" s="7"/>
    </row>
    <row r="3181" spans="2:13" x14ac:dyDescent="0.25">
      <c r="B3181"/>
      <c r="C3181"/>
      <c r="D3181"/>
      <c r="E3181"/>
      <c r="F3181"/>
      <c r="G3181"/>
      <c r="H3181" s="19"/>
      <c r="I3181" s="19"/>
      <c r="J3181" s="19"/>
      <c r="M3181" s="7"/>
    </row>
    <row r="3182" spans="2:13" x14ac:dyDescent="0.25">
      <c r="B3182"/>
      <c r="C3182"/>
      <c r="D3182"/>
      <c r="E3182"/>
      <c r="F3182"/>
      <c r="G3182"/>
      <c r="H3182" s="19"/>
      <c r="I3182" s="19"/>
      <c r="J3182" s="19"/>
      <c r="M3182" s="7"/>
    </row>
    <row r="3183" spans="2:13" x14ac:dyDescent="0.25">
      <c r="B3183"/>
      <c r="C3183"/>
      <c r="D3183"/>
      <c r="E3183"/>
      <c r="F3183"/>
      <c r="G3183"/>
      <c r="H3183" s="19"/>
      <c r="I3183" s="19"/>
      <c r="J3183" s="19"/>
      <c r="M3183" s="7"/>
    </row>
    <row r="3184" spans="2:13" x14ac:dyDescent="0.25">
      <c r="B3184"/>
      <c r="C3184"/>
      <c r="D3184"/>
      <c r="E3184"/>
      <c r="F3184"/>
      <c r="G3184"/>
      <c r="H3184" s="19"/>
      <c r="I3184" s="19"/>
      <c r="J3184" s="19"/>
      <c r="M3184" s="7"/>
    </row>
    <row r="3185" spans="2:13" x14ac:dyDescent="0.25">
      <c r="B3185"/>
      <c r="C3185"/>
      <c r="D3185"/>
      <c r="E3185"/>
      <c r="F3185"/>
      <c r="G3185"/>
      <c r="H3185" s="19"/>
      <c r="I3185" s="19"/>
      <c r="J3185" s="19"/>
      <c r="M3185" s="7"/>
    </row>
    <row r="3186" spans="2:13" x14ac:dyDescent="0.25">
      <c r="B3186"/>
      <c r="C3186"/>
      <c r="D3186"/>
      <c r="E3186"/>
      <c r="F3186"/>
      <c r="G3186"/>
      <c r="H3186" s="19"/>
      <c r="I3186" s="19"/>
      <c r="J3186" s="19"/>
      <c r="M3186" s="7"/>
    </row>
    <row r="3187" spans="2:13" x14ac:dyDescent="0.25">
      <c r="B3187"/>
      <c r="C3187"/>
      <c r="D3187"/>
      <c r="E3187"/>
      <c r="F3187"/>
      <c r="G3187"/>
      <c r="H3187" s="19"/>
      <c r="I3187" s="19"/>
      <c r="J3187" s="19"/>
      <c r="M3187" s="7"/>
    </row>
    <row r="3188" spans="2:13" x14ac:dyDescent="0.25">
      <c r="B3188"/>
      <c r="C3188"/>
      <c r="D3188"/>
      <c r="E3188"/>
      <c r="F3188"/>
      <c r="G3188"/>
      <c r="H3188" s="19"/>
      <c r="I3188" s="19"/>
      <c r="J3188" s="19"/>
      <c r="M3188" s="7"/>
    </row>
    <row r="3189" spans="2:13" x14ac:dyDescent="0.25">
      <c r="B3189"/>
      <c r="C3189"/>
      <c r="D3189"/>
      <c r="E3189"/>
      <c r="F3189"/>
      <c r="G3189"/>
      <c r="H3189" s="19"/>
      <c r="I3189" s="19"/>
      <c r="J3189" s="19"/>
      <c r="M3189" s="7"/>
    </row>
    <row r="3190" spans="2:13" x14ac:dyDescent="0.25">
      <c r="B3190"/>
      <c r="C3190"/>
      <c r="D3190"/>
      <c r="E3190"/>
      <c r="F3190"/>
      <c r="G3190"/>
      <c r="H3190" s="19"/>
      <c r="I3190" s="19"/>
      <c r="J3190" s="19"/>
      <c r="M3190" s="7"/>
    </row>
    <row r="3191" spans="2:13" x14ac:dyDescent="0.25">
      <c r="B3191"/>
      <c r="C3191"/>
      <c r="D3191"/>
      <c r="E3191"/>
      <c r="F3191"/>
      <c r="G3191"/>
      <c r="H3191" s="19"/>
      <c r="I3191" s="19"/>
      <c r="J3191" s="19"/>
      <c r="M3191" s="7"/>
    </row>
    <row r="3192" spans="2:13" x14ac:dyDescent="0.25">
      <c r="B3192"/>
      <c r="C3192"/>
      <c r="D3192"/>
      <c r="E3192"/>
      <c r="F3192"/>
      <c r="G3192"/>
      <c r="H3192" s="19"/>
      <c r="I3192" s="19"/>
      <c r="J3192" s="19"/>
      <c r="M3192" s="7"/>
    </row>
    <row r="3193" spans="2:13" x14ac:dyDescent="0.25">
      <c r="B3193"/>
      <c r="C3193"/>
      <c r="D3193"/>
      <c r="E3193"/>
      <c r="F3193"/>
      <c r="G3193"/>
      <c r="H3193" s="19"/>
      <c r="I3193" s="19"/>
      <c r="J3193" s="19"/>
      <c r="M3193" s="7"/>
    </row>
    <row r="3194" spans="2:13" x14ac:dyDescent="0.25">
      <c r="B3194"/>
      <c r="C3194"/>
      <c r="D3194"/>
      <c r="E3194"/>
      <c r="F3194"/>
      <c r="G3194"/>
      <c r="H3194" s="19"/>
      <c r="I3194" s="19"/>
      <c r="J3194" s="19"/>
      <c r="M3194" s="7"/>
    </row>
    <row r="3195" spans="2:13" x14ac:dyDescent="0.25">
      <c r="B3195"/>
      <c r="C3195"/>
      <c r="D3195"/>
      <c r="E3195"/>
      <c r="F3195"/>
      <c r="G3195"/>
      <c r="H3195" s="19"/>
      <c r="I3195" s="19"/>
      <c r="J3195" s="19"/>
      <c r="M3195" s="7"/>
    </row>
    <row r="3196" spans="2:13" x14ac:dyDescent="0.25">
      <c r="B3196"/>
      <c r="C3196"/>
      <c r="D3196"/>
      <c r="E3196"/>
      <c r="F3196"/>
      <c r="G3196"/>
      <c r="H3196" s="19"/>
      <c r="I3196" s="19"/>
      <c r="J3196" s="19"/>
      <c r="M3196" s="7"/>
    </row>
    <row r="3197" spans="2:13" x14ac:dyDescent="0.25">
      <c r="B3197"/>
      <c r="C3197"/>
      <c r="D3197"/>
      <c r="E3197"/>
      <c r="F3197"/>
      <c r="G3197"/>
      <c r="H3197" s="19"/>
      <c r="I3197" s="19"/>
      <c r="J3197" s="19"/>
      <c r="M3197" s="7"/>
    </row>
    <row r="3198" spans="2:13" x14ac:dyDescent="0.25">
      <c r="B3198"/>
      <c r="C3198"/>
      <c r="D3198"/>
      <c r="E3198"/>
      <c r="F3198"/>
      <c r="G3198"/>
      <c r="H3198" s="19"/>
      <c r="I3198" s="19"/>
      <c r="J3198" s="19"/>
      <c r="M3198" s="7"/>
    </row>
    <row r="3199" spans="2:13" x14ac:dyDescent="0.25">
      <c r="B3199"/>
      <c r="C3199"/>
      <c r="D3199"/>
      <c r="E3199"/>
      <c r="F3199"/>
      <c r="G3199"/>
      <c r="H3199" s="19"/>
      <c r="I3199" s="19"/>
      <c r="J3199" s="19"/>
      <c r="M3199" s="7"/>
    </row>
    <row r="3200" spans="2:13" x14ac:dyDescent="0.25">
      <c r="B3200"/>
      <c r="C3200"/>
      <c r="D3200"/>
      <c r="E3200"/>
      <c r="F3200"/>
      <c r="G3200"/>
      <c r="H3200" s="19"/>
      <c r="I3200" s="19"/>
      <c r="J3200" s="19"/>
      <c r="M3200" s="7"/>
    </row>
    <row r="3201" spans="2:13" x14ac:dyDescent="0.25">
      <c r="B3201"/>
      <c r="C3201"/>
      <c r="D3201"/>
      <c r="E3201"/>
      <c r="F3201"/>
      <c r="G3201"/>
      <c r="H3201" s="19"/>
      <c r="I3201" s="19"/>
      <c r="J3201" s="19"/>
      <c r="M3201" s="7"/>
    </row>
    <row r="3202" spans="2:13" x14ac:dyDescent="0.25">
      <c r="B3202"/>
      <c r="C3202"/>
      <c r="D3202"/>
      <c r="E3202"/>
      <c r="F3202"/>
      <c r="G3202"/>
      <c r="H3202" s="19"/>
      <c r="I3202" s="19"/>
      <c r="J3202" s="19"/>
      <c r="M3202" s="7"/>
    </row>
    <row r="3203" spans="2:13" x14ac:dyDescent="0.25">
      <c r="B3203"/>
      <c r="C3203"/>
      <c r="D3203"/>
      <c r="E3203"/>
      <c r="F3203"/>
      <c r="G3203"/>
      <c r="H3203" s="19"/>
      <c r="I3203" s="19"/>
      <c r="J3203" s="19"/>
      <c r="M3203" s="7"/>
    </row>
    <row r="3204" spans="2:13" x14ac:dyDescent="0.25">
      <c r="B3204"/>
      <c r="C3204"/>
      <c r="D3204"/>
      <c r="E3204"/>
      <c r="F3204"/>
      <c r="G3204"/>
      <c r="H3204" s="19"/>
      <c r="I3204" s="19"/>
      <c r="J3204" s="19"/>
      <c r="M3204" s="7"/>
    </row>
    <row r="3205" spans="2:13" x14ac:dyDescent="0.25">
      <c r="B3205"/>
      <c r="C3205"/>
      <c r="D3205"/>
      <c r="E3205"/>
      <c r="F3205"/>
      <c r="G3205"/>
      <c r="H3205" s="19"/>
      <c r="I3205" s="19"/>
      <c r="J3205" s="19"/>
      <c r="M3205" s="7"/>
    </row>
    <row r="3206" spans="2:13" x14ac:dyDescent="0.25">
      <c r="B3206"/>
      <c r="C3206"/>
      <c r="D3206"/>
      <c r="E3206"/>
      <c r="F3206"/>
      <c r="G3206"/>
      <c r="H3206" s="19"/>
      <c r="I3206" s="19"/>
      <c r="J3206" s="19"/>
      <c r="M3206" s="7"/>
    </row>
    <row r="3207" spans="2:13" x14ac:dyDescent="0.25">
      <c r="B3207"/>
      <c r="C3207"/>
      <c r="D3207"/>
      <c r="E3207"/>
      <c r="F3207"/>
      <c r="G3207"/>
      <c r="H3207" s="19"/>
      <c r="I3207" s="19"/>
      <c r="J3207" s="19"/>
      <c r="M3207" s="7"/>
    </row>
    <row r="3208" spans="2:13" x14ac:dyDescent="0.25">
      <c r="B3208"/>
      <c r="C3208"/>
      <c r="D3208"/>
      <c r="E3208"/>
      <c r="F3208"/>
      <c r="G3208"/>
      <c r="H3208" s="19"/>
      <c r="I3208" s="19"/>
      <c r="J3208" s="19"/>
      <c r="M3208" s="7"/>
    </row>
    <row r="3209" spans="2:13" x14ac:dyDescent="0.25">
      <c r="B3209"/>
      <c r="C3209"/>
      <c r="D3209"/>
      <c r="E3209"/>
      <c r="F3209"/>
      <c r="G3209"/>
      <c r="H3209" s="19"/>
      <c r="I3209" s="19"/>
      <c r="J3209" s="19"/>
      <c r="M3209" s="7"/>
    </row>
    <row r="3210" spans="2:13" x14ac:dyDescent="0.25">
      <c r="B3210"/>
      <c r="C3210"/>
      <c r="D3210"/>
      <c r="E3210"/>
      <c r="F3210"/>
      <c r="G3210"/>
      <c r="H3210" s="19"/>
      <c r="I3210" s="19"/>
      <c r="J3210" s="19"/>
      <c r="M3210" s="7"/>
    </row>
    <row r="3211" spans="2:13" x14ac:dyDescent="0.25">
      <c r="B3211"/>
      <c r="C3211"/>
      <c r="D3211"/>
      <c r="E3211"/>
      <c r="F3211"/>
      <c r="G3211"/>
      <c r="H3211" s="19"/>
      <c r="I3211" s="19"/>
      <c r="J3211" s="19"/>
      <c r="M3211" s="7"/>
    </row>
    <row r="3212" spans="2:13" x14ac:dyDescent="0.25">
      <c r="B3212"/>
      <c r="C3212"/>
      <c r="D3212"/>
      <c r="E3212"/>
      <c r="F3212"/>
      <c r="G3212"/>
      <c r="H3212" s="19"/>
      <c r="I3212" s="19"/>
      <c r="J3212" s="19"/>
      <c r="M3212" s="7"/>
    </row>
    <row r="3213" spans="2:13" x14ac:dyDescent="0.25">
      <c r="B3213"/>
      <c r="C3213"/>
      <c r="D3213"/>
      <c r="E3213"/>
      <c r="F3213"/>
      <c r="G3213"/>
      <c r="H3213" s="19"/>
      <c r="I3213" s="19"/>
      <c r="J3213" s="19"/>
      <c r="M3213" s="7"/>
    </row>
    <row r="3214" spans="2:13" x14ac:dyDescent="0.25">
      <c r="B3214"/>
      <c r="C3214"/>
      <c r="D3214"/>
      <c r="E3214"/>
      <c r="F3214"/>
      <c r="G3214"/>
      <c r="H3214" s="19"/>
      <c r="I3214" s="19"/>
      <c r="J3214" s="19"/>
      <c r="M3214" s="7"/>
    </row>
    <row r="3215" spans="2:13" x14ac:dyDescent="0.25">
      <c r="B3215"/>
      <c r="C3215"/>
      <c r="D3215"/>
      <c r="E3215"/>
      <c r="F3215"/>
      <c r="G3215"/>
      <c r="H3215" s="19"/>
      <c r="I3215" s="19"/>
      <c r="J3215" s="19"/>
      <c r="M3215" s="7"/>
    </row>
    <row r="3216" spans="2:13" x14ac:dyDescent="0.25">
      <c r="B3216"/>
      <c r="C3216"/>
      <c r="D3216"/>
      <c r="E3216"/>
      <c r="F3216"/>
      <c r="G3216"/>
      <c r="H3216" s="19"/>
      <c r="I3216" s="19"/>
      <c r="J3216" s="19"/>
      <c r="M3216" s="7"/>
    </row>
    <row r="3217" spans="2:13" x14ac:dyDescent="0.25">
      <c r="B3217"/>
      <c r="C3217"/>
      <c r="D3217"/>
      <c r="E3217"/>
      <c r="F3217"/>
      <c r="G3217"/>
      <c r="H3217" s="19"/>
      <c r="I3217" s="19"/>
      <c r="J3217" s="19"/>
      <c r="M3217" s="7"/>
    </row>
    <row r="3218" spans="2:13" x14ac:dyDescent="0.25">
      <c r="B3218"/>
      <c r="C3218"/>
      <c r="D3218"/>
      <c r="E3218"/>
      <c r="F3218"/>
      <c r="G3218"/>
      <c r="H3218" s="19"/>
      <c r="I3218" s="19"/>
      <c r="J3218" s="19"/>
      <c r="M3218" s="7"/>
    </row>
    <row r="3219" spans="2:13" x14ac:dyDescent="0.25">
      <c r="B3219"/>
      <c r="C3219"/>
      <c r="D3219"/>
      <c r="E3219"/>
      <c r="F3219"/>
      <c r="G3219"/>
      <c r="H3219" s="19"/>
      <c r="I3219" s="19"/>
      <c r="J3219" s="19"/>
      <c r="M3219" s="7"/>
    </row>
    <row r="3220" spans="2:13" x14ac:dyDescent="0.25">
      <c r="B3220"/>
      <c r="C3220"/>
      <c r="D3220"/>
      <c r="E3220"/>
      <c r="F3220"/>
      <c r="G3220"/>
      <c r="H3220" s="19"/>
      <c r="I3220" s="19"/>
      <c r="J3220" s="19"/>
      <c r="M3220" s="7"/>
    </row>
    <row r="3221" spans="2:13" x14ac:dyDescent="0.25">
      <c r="B3221"/>
      <c r="C3221"/>
      <c r="D3221"/>
      <c r="E3221"/>
      <c r="F3221"/>
      <c r="G3221"/>
      <c r="H3221" s="19"/>
      <c r="I3221" s="19"/>
      <c r="J3221" s="19"/>
      <c r="M3221" s="7"/>
    </row>
    <row r="3222" spans="2:13" x14ac:dyDescent="0.25">
      <c r="B3222"/>
      <c r="C3222"/>
      <c r="D3222"/>
      <c r="E3222"/>
      <c r="F3222"/>
      <c r="G3222"/>
      <c r="H3222" s="19"/>
      <c r="I3222" s="19"/>
      <c r="J3222" s="19"/>
      <c r="M3222" s="7"/>
    </row>
    <row r="3223" spans="2:13" x14ac:dyDescent="0.25">
      <c r="B3223"/>
      <c r="C3223"/>
      <c r="D3223"/>
      <c r="E3223"/>
      <c r="F3223"/>
      <c r="G3223"/>
      <c r="H3223" s="19"/>
      <c r="I3223" s="19"/>
      <c r="J3223" s="19"/>
      <c r="M3223" s="7"/>
    </row>
    <row r="3224" spans="2:13" x14ac:dyDescent="0.25">
      <c r="B3224"/>
      <c r="C3224"/>
      <c r="D3224"/>
      <c r="E3224"/>
      <c r="F3224"/>
      <c r="G3224"/>
      <c r="H3224" s="19"/>
      <c r="I3224" s="19"/>
      <c r="J3224" s="19"/>
      <c r="M3224" s="7"/>
    </row>
    <row r="3225" spans="2:13" x14ac:dyDescent="0.25">
      <c r="B3225"/>
      <c r="C3225"/>
      <c r="D3225"/>
      <c r="E3225"/>
      <c r="F3225"/>
      <c r="G3225"/>
      <c r="H3225" s="19"/>
      <c r="I3225" s="19"/>
      <c r="J3225" s="19"/>
      <c r="M3225" s="7"/>
    </row>
    <row r="3226" spans="2:13" x14ac:dyDescent="0.25">
      <c r="B3226"/>
      <c r="C3226"/>
      <c r="D3226"/>
      <c r="E3226"/>
      <c r="F3226"/>
      <c r="G3226"/>
      <c r="H3226" s="19"/>
      <c r="I3226" s="19"/>
      <c r="J3226" s="19"/>
      <c r="M3226" s="7"/>
    </row>
    <row r="3227" spans="2:13" x14ac:dyDescent="0.25">
      <c r="B3227"/>
      <c r="C3227"/>
      <c r="D3227"/>
      <c r="E3227"/>
      <c r="F3227"/>
      <c r="G3227"/>
      <c r="H3227" s="19"/>
      <c r="I3227" s="19"/>
      <c r="J3227" s="19"/>
      <c r="M3227" s="7"/>
    </row>
    <row r="3228" spans="2:13" x14ac:dyDescent="0.25">
      <c r="B3228"/>
      <c r="C3228"/>
      <c r="D3228"/>
      <c r="E3228"/>
      <c r="F3228"/>
      <c r="G3228"/>
      <c r="H3228" s="19"/>
      <c r="I3228" s="19"/>
      <c r="J3228" s="19"/>
      <c r="M3228" s="7"/>
    </row>
    <row r="3229" spans="2:13" x14ac:dyDescent="0.25">
      <c r="B3229"/>
      <c r="C3229"/>
      <c r="D3229"/>
      <c r="E3229"/>
      <c r="F3229"/>
      <c r="G3229"/>
      <c r="H3229" s="19"/>
      <c r="I3229" s="19"/>
      <c r="J3229" s="19"/>
      <c r="M3229" s="7"/>
    </row>
    <row r="3230" spans="2:13" x14ac:dyDescent="0.25">
      <c r="B3230"/>
      <c r="C3230"/>
      <c r="D3230"/>
      <c r="E3230"/>
      <c r="F3230"/>
      <c r="G3230"/>
      <c r="H3230" s="19"/>
      <c r="I3230" s="19"/>
      <c r="J3230" s="19"/>
      <c r="M3230" s="7"/>
    </row>
    <row r="3231" spans="2:13" x14ac:dyDescent="0.25">
      <c r="B3231"/>
      <c r="C3231"/>
      <c r="D3231"/>
      <c r="E3231"/>
      <c r="F3231"/>
      <c r="G3231"/>
      <c r="H3231" s="19"/>
      <c r="I3231" s="19"/>
      <c r="J3231" s="19"/>
      <c r="M3231" s="7"/>
    </row>
    <row r="3232" spans="2:13" x14ac:dyDescent="0.25">
      <c r="B3232"/>
      <c r="C3232"/>
      <c r="D3232"/>
      <c r="E3232"/>
      <c r="F3232"/>
      <c r="G3232"/>
      <c r="H3232" s="19"/>
      <c r="I3232" s="19"/>
      <c r="J3232" s="19"/>
      <c r="M3232" s="7"/>
    </row>
    <row r="3233" spans="2:13" x14ac:dyDescent="0.25">
      <c r="B3233"/>
      <c r="C3233"/>
      <c r="D3233"/>
      <c r="E3233"/>
      <c r="F3233"/>
      <c r="G3233"/>
      <c r="H3233" s="19"/>
      <c r="I3233" s="19"/>
      <c r="J3233" s="19"/>
      <c r="M3233" s="7"/>
    </row>
    <row r="3234" spans="2:13" x14ac:dyDescent="0.25">
      <c r="B3234"/>
      <c r="C3234"/>
      <c r="D3234"/>
      <c r="E3234"/>
      <c r="F3234"/>
      <c r="G3234"/>
      <c r="H3234" s="19"/>
      <c r="I3234" s="19"/>
      <c r="J3234" s="19"/>
      <c r="M3234" s="7"/>
    </row>
    <row r="3235" spans="2:13" x14ac:dyDescent="0.25">
      <c r="B3235"/>
      <c r="C3235"/>
      <c r="D3235"/>
      <c r="E3235"/>
      <c r="F3235"/>
      <c r="G3235"/>
      <c r="H3235" s="19"/>
      <c r="I3235" s="19"/>
      <c r="J3235" s="19"/>
      <c r="M3235" s="7"/>
    </row>
    <row r="3236" spans="2:13" x14ac:dyDescent="0.25">
      <c r="B3236"/>
      <c r="C3236"/>
      <c r="D3236"/>
      <c r="E3236"/>
      <c r="F3236"/>
      <c r="G3236"/>
      <c r="H3236" s="19"/>
      <c r="I3236" s="19"/>
      <c r="J3236" s="19"/>
      <c r="M3236" s="7"/>
    </row>
    <row r="3237" spans="2:13" x14ac:dyDescent="0.25">
      <c r="B3237"/>
      <c r="C3237"/>
      <c r="D3237"/>
      <c r="E3237"/>
      <c r="F3237"/>
      <c r="G3237"/>
      <c r="H3237" s="19"/>
      <c r="I3237" s="19"/>
      <c r="J3237" s="19"/>
      <c r="M3237" s="7"/>
    </row>
    <row r="3238" spans="2:13" x14ac:dyDescent="0.25">
      <c r="B3238"/>
      <c r="C3238"/>
      <c r="D3238"/>
      <c r="E3238"/>
      <c r="F3238"/>
      <c r="G3238"/>
      <c r="H3238" s="19"/>
      <c r="I3238" s="19"/>
      <c r="J3238" s="19"/>
      <c r="M3238" s="7"/>
    </row>
    <row r="3239" spans="2:13" x14ac:dyDescent="0.25">
      <c r="B3239"/>
      <c r="C3239"/>
      <c r="D3239"/>
      <c r="E3239"/>
      <c r="F3239"/>
      <c r="G3239"/>
      <c r="H3239" s="19"/>
      <c r="I3239" s="19"/>
      <c r="J3239" s="19"/>
      <c r="M3239" s="7"/>
    </row>
    <row r="3240" spans="2:13" x14ac:dyDescent="0.25">
      <c r="B3240"/>
      <c r="C3240"/>
      <c r="D3240"/>
      <c r="E3240"/>
      <c r="F3240"/>
      <c r="G3240"/>
      <c r="H3240" s="19"/>
      <c r="I3240" s="19"/>
      <c r="J3240" s="19"/>
      <c r="M3240" s="7"/>
    </row>
    <row r="3241" spans="2:13" x14ac:dyDescent="0.25">
      <c r="B3241"/>
      <c r="C3241"/>
      <c r="D3241"/>
      <c r="E3241"/>
      <c r="F3241"/>
      <c r="G3241"/>
      <c r="H3241" s="19"/>
      <c r="I3241" s="19"/>
      <c r="J3241" s="19"/>
      <c r="M3241" s="7"/>
    </row>
    <row r="3242" spans="2:13" x14ac:dyDescent="0.25">
      <c r="B3242"/>
      <c r="C3242"/>
      <c r="D3242"/>
      <c r="E3242"/>
      <c r="F3242"/>
      <c r="G3242"/>
      <c r="H3242" s="19"/>
      <c r="I3242" s="19"/>
      <c r="J3242" s="19"/>
      <c r="M3242" s="7"/>
    </row>
    <row r="3243" spans="2:13" x14ac:dyDescent="0.25">
      <c r="B3243"/>
      <c r="C3243"/>
      <c r="D3243"/>
      <c r="E3243"/>
      <c r="F3243"/>
      <c r="G3243"/>
      <c r="H3243" s="19"/>
      <c r="I3243" s="19"/>
      <c r="J3243" s="19"/>
      <c r="M3243" s="7"/>
    </row>
    <row r="3244" spans="2:13" x14ac:dyDescent="0.25">
      <c r="B3244"/>
      <c r="C3244"/>
      <c r="D3244"/>
      <c r="E3244"/>
      <c r="F3244"/>
      <c r="G3244"/>
      <c r="H3244" s="19"/>
      <c r="I3244" s="19"/>
      <c r="J3244" s="19"/>
      <c r="M3244" s="7"/>
    </row>
    <row r="3245" spans="2:13" x14ac:dyDescent="0.25">
      <c r="B3245"/>
      <c r="C3245"/>
      <c r="D3245"/>
      <c r="E3245"/>
      <c r="F3245"/>
      <c r="G3245"/>
      <c r="H3245" s="19"/>
      <c r="I3245" s="19"/>
      <c r="J3245" s="19"/>
      <c r="M3245" s="7"/>
    </row>
    <row r="3246" spans="2:13" x14ac:dyDescent="0.25">
      <c r="B3246"/>
      <c r="C3246"/>
      <c r="D3246"/>
      <c r="E3246"/>
      <c r="F3246"/>
      <c r="G3246"/>
      <c r="H3246" s="19"/>
      <c r="I3246" s="19"/>
      <c r="J3246" s="19"/>
      <c r="M3246" s="7"/>
    </row>
    <row r="3247" spans="2:13" x14ac:dyDescent="0.25">
      <c r="B3247"/>
      <c r="C3247"/>
      <c r="D3247"/>
      <c r="E3247"/>
      <c r="F3247"/>
      <c r="G3247"/>
      <c r="H3247" s="19"/>
      <c r="I3247" s="19"/>
      <c r="J3247" s="19"/>
      <c r="M3247" s="7"/>
    </row>
    <row r="3248" spans="2:13" x14ac:dyDescent="0.25">
      <c r="B3248"/>
      <c r="C3248"/>
      <c r="D3248"/>
      <c r="E3248"/>
      <c r="F3248"/>
      <c r="G3248"/>
      <c r="H3248" s="19"/>
      <c r="I3248" s="19"/>
      <c r="J3248" s="19"/>
      <c r="M3248" s="7"/>
    </row>
    <row r="3249" spans="2:13" x14ac:dyDescent="0.25">
      <c r="B3249"/>
      <c r="C3249"/>
      <c r="D3249"/>
      <c r="E3249"/>
      <c r="F3249"/>
      <c r="G3249"/>
      <c r="H3249" s="19"/>
      <c r="I3249" s="19"/>
      <c r="J3249" s="19"/>
      <c r="M3249" s="7"/>
    </row>
    <row r="3250" spans="2:13" x14ac:dyDescent="0.25">
      <c r="B3250"/>
      <c r="C3250"/>
      <c r="D3250"/>
      <c r="E3250"/>
      <c r="F3250"/>
      <c r="G3250"/>
      <c r="H3250" s="19"/>
      <c r="I3250" s="19"/>
      <c r="J3250" s="19"/>
      <c r="M3250" s="7"/>
    </row>
    <row r="3251" spans="2:13" x14ac:dyDescent="0.25">
      <c r="B3251"/>
      <c r="C3251"/>
      <c r="D3251"/>
      <c r="E3251"/>
      <c r="F3251"/>
      <c r="G3251"/>
      <c r="H3251" s="19"/>
      <c r="I3251" s="19"/>
      <c r="J3251" s="19"/>
      <c r="M3251" s="7"/>
    </row>
    <row r="3252" spans="2:13" x14ac:dyDescent="0.25">
      <c r="B3252"/>
      <c r="C3252"/>
      <c r="D3252"/>
      <c r="E3252"/>
      <c r="F3252"/>
      <c r="G3252"/>
      <c r="H3252" s="19"/>
      <c r="I3252" s="19"/>
      <c r="J3252" s="19"/>
      <c r="M3252" s="7"/>
    </row>
    <row r="3253" spans="2:13" x14ac:dyDescent="0.25">
      <c r="B3253"/>
      <c r="C3253"/>
      <c r="D3253"/>
      <c r="E3253"/>
      <c r="F3253"/>
      <c r="G3253"/>
      <c r="H3253" s="19"/>
      <c r="I3253" s="19"/>
      <c r="J3253" s="19"/>
      <c r="M3253" s="7"/>
    </row>
    <row r="3254" spans="2:13" x14ac:dyDescent="0.25">
      <c r="B3254"/>
      <c r="C3254"/>
      <c r="D3254"/>
      <c r="E3254"/>
      <c r="F3254"/>
      <c r="G3254"/>
      <c r="H3254" s="19"/>
      <c r="I3254" s="19"/>
      <c r="J3254" s="19"/>
      <c r="M3254" s="7"/>
    </row>
    <row r="3255" spans="2:13" x14ac:dyDescent="0.25">
      <c r="B3255"/>
      <c r="C3255"/>
      <c r="D3255"/>
      <c r="E3255"/>
      <c r="F3255"/>
      <c r="G3255"/>
      <c r="H3255" s="19"/>
      <c r="I3255" s="19"/>
      <c r="J3255" s="19"/>
      <c r="M3255" s="7"/>
    </row>
    <row r="3256" spans="2:13" x14ac:dyDescent="0.25">
      <c r="B3256"/>
      <c r="C3256"/>
      <c r="D3256"/>
      <c r="E3256"/>
      <c r="F3256"/>
      <c r="G3256"/>
      <c r="H3256" s="19"/>
      <c r="I3256" s="19"/>
      <c r="J3256" s="19"/>
      <c r="M3256" s="7"/>
    </row>
    <row r="3257" spans="2:13" x14ac:dyDescent="0.25">
      <c r="B3257"/>
      <c r="C3257"/>
      <c r="D3257"/>
      <c r="E3257"/>
      <c r="F3257"/>
      <c r="G3257"/>
      <c r="H3257" s="19"/>
      <c r="I3257" s="19"/>
      <c r="J3257" s="19"/>
      <c r="M3257" s="7"/>
    </row>
    <row r="3258" spans="2:13" x14ac:dyDescent="0.25">
      <c r="B3258"/>
      <c r="C3258"/>
      <c r="D3258"/>
      <c r="E3258"/>
      <c r="F3258"/>
      <c r="G3258"/>
      <c r="H3258" s="19"/>
      <c r="I3258" s="19"/>
      <c r="J3258" s="19"/>
      <c r="M3258" s="7"/>
    </row>
    <row r="3259" spans="2:13" x14ac:dyDescent="0.25">
      <c r="B3259"/>
      <c r="C3259"/>
      <c r="D3259"/>
      <c r="E3259"/>
      <c r="F3259"/>
      <c r="G3259"/>
      <c r="H3259" s="19"/>
      <c r="I3259" s="19"/>
      <c r="J3259" s="19"/>
      <c r="M3259" s="7"/>
    </row>
    <row r="3260" spans="2:13" x14ac:dyDescent="0.25">
      <c r="B3260"/>
      <c r="C3260"/>
      <c r="D3260"/>
      <c r="E3260"/>
      <c r="F3260"/>
      <c r="G3260"/>
      <c r="H3260" s="19"/>
      <c r="I3260" s="19"/>
      <c r="J3260" s="19"/>
      <c r="M3260" s="7"/>
    </row>
    <row r="3261" spans="2:13" x14ac:dyDescent="0.25">
      <c r="B3261"/>
      <c r="C3261"/>
      <c r="D3261"/>
      <c r="E3261"/>
      <c r="F3261"/>
      <c r="G3261"/>
      <c r="H3261" s="19"/>
      <c r="I3261" s="19"/>
      <c r="J3261" s="19"/>
      <c r="M3261" s="7"/>
    </row>
    <row r="3262" spans="2:13" x14ac:dyDescent="0.25">
      <c r="B3262"/>
      <c r="C3262"/>
      <c r="D3262"/>
      <c r="E3262"/>
      <c r="F3262"/>
      <c r="G3262"/>
      <c r="H3262" s="19"/>
      <c r="I3262" s="19"/>
      <c r="J3262" s="19"/>
      <c r="M3262" s="7"/>
    </row>
    <row r="3263" spans="2:13" x14ac:dyDescent="0.25">
      <c r="B3263"/>
      <c r="C3263"/>
      <c r="D3263"/>
      <c r="E3263"/>
      <c r="F3263"/>
      <c r="G3263"/>
      <c r="H3263" s="19"/>
      <c r="I3263" s="19"/>
      <c r="J3263" s="19"/>
      <c r="M3263" s="7"/>
    </row>
    <row r="3264" spans="2:13" x14ac:dyDescent="0.25">
      <c r="B3264"/>
      <c r="C3264"/>
      <c r="D3264"/>
      <c r="E3264"/>
      <c r="F3264"/>
      <c r="G3264"/>
      <c r="H3264" s="19"/>
      <c r="I3264" s="19"/>
      <c r="J3264" s="19"/>
      <c r="M3264" s="7"/>
    </row>
    <row r="3265" spans="2:13" x14ac:dyDescent="0.25">
      <c r="B3265"/>
      <c r="C3265"/>
      <c r="D3265"/>
      <c r="E3265"/>
      <c r="F3265"/>
      <c r="G3265"/>
      <c r="H3265" s="19"/>
      <c r="I3265" s="19"/>
      <c r="J3265" s="19"/>
      <c r="M3265" s="7"/>
    </row>
    <row r="3266" spans="2:13" x14ac:dyDescent="0.25">
      <c r="B3266"/>
      <c r="C3266"/>
      <c r="D3266"/>
      <c r="E3266"/>
      <c r="F3266"/>
      <c r="G3266"/>
      <c r="H3266" s="19"/>
      <c r="I3266" s="19"/>
      <c r="J3266" s="19"/>
      <c r="M3266" s="7"/>
    </row>
    <row r="3267" spans="2:13" x14ac:dyDescent="0.25">
      <c r="B3267"/>
      <c r="C3267"/>
      <c r="D3267"/>
      <c r="E3267"/>
      <c r="F3267"/>
      <c r="G3267"/>
      <c r="H3267" s="19"/>
      <c r="I3267" s="19"/>
      <c r="J3267" s="19"/>
      <c r="M3267" s="7"/>
    </row>
    <row r="3268" spans="2:13" x14ac:dyDescent="0.25">
      <c r="B3268"/>
      <c r="C3268"/>
      <c r="D3268"/>
      <c r="E3268"/>
      <c r="F3268"/>
      <c r="G3268"/>
      <c r="H3268" s="19"/>
      <c r="I3268" s="19"/>
      <c r="J3268" s="19"/>
      <c r="M3268" s="7"/>
    </row>
    <row r="3269" spans="2:13" x14ac:dyDescent="0.25">
      <c r="B3269"/>
      <c r="C3269"/>
      <c r="D3269"/>
      <c r="E3269"/>
      <c r="F3269"/>
      <c r="G3269"/>
      <c r="H3269" s="19"/>
      <c r="I3269" s="19"/>
      <c r="J3269" s="19"/>
      <c r="M3269" s="7"/>
    </row>
    <row r="3270" spans="2:13" x14ac:dyDescent="0.25">
      <c r="B3270"/>
      <c r="C3270"/>
      <c r="D3270"/>
      <c r="E3270"/>
      <c r="F3270"/>
      <c r="G3270"/>
      <c r="H3270" s="19"/>
      <c r="I3270" s="19"/>
      <c r="J3270" s="19"/>
      <c r="M3270" s="7"/>
    </row>
    <row r="3271" spans="2:13" x14ac:dyDescent="0.25">
      <c r="B3271"/>
      <c r="C3271"/>
      <c r="D3271"/>
      <c r="E3271"/>
      <c r="F3271"/>
      <c r="G3271"/>
      <c r="H3271" s="19"/>
      <c r="I3271" s="19"/>
      <c r="J3271" s="19"/>
      <c r="M3271" s="7"/>
    </row>
    <row r="3272" spans="2:13" x14ac:dyDescent="0.25">
      <c r="B3272"/>
      <c r="C3272"/>
      <c r="D3272"/>
      <c r="E3272"/>
      <c r="F3272"/>
      <c r="G3272"/>
      <c r="H3272" s="19"/>
      <c r="I3272" s="19"/>
      <c r="J3272" s="19"/>
      <c r="M3272" s="7"/>
    </row>
    <row r="3273" spans="2:13" x14ac:dyDescent="0.25">
      <c r="B3273"/>
      <c r="C3273"/>
      <c r="D3273"/>
      <c r="E3273"/>
      <c r="F3273"/>
      <c r="G3273"/>
      <c r="H3273" s="19"/>
      <c r="I3273" s="19"/>
      <c r="J3273" s="19"/>
      <c r="M3273" s="7"/>
    </row>
    <row r="3274" spans="2:13" x14ac:dyDescent="0.25">
      <c r="B3274"/>
      <c r="C3274"/>
      <c r="D3274"/>
      <c r="E3274"/>
      <c r="F3274"/>
      <c r="G3274"/>
      <c r="H3274" s="19"/>
      <c r="I3274" s="19"/>
      <c r="J3274" s="19"/>
      <c r="M3274" s="7"/>
    </row>
    <row r="3275" spans="2:13" x14ac:dyDescent="0.25">
      <c r="B3275"/>
      <c r="C3275"/>
      <c r="D3275"/>
      <c r="E3275"/>
      <c r="F3275"/>
      <c r="G3275"/>
      <c r="H3275" s="19"/>
      <c r="I3275" s="19"/>
      <c r="J3275" s="19"/>
      <c r="M3275" s="7"/>
    </row>
    <row r="3276" spans="2:13" x14ac:dyDescent="0.25">
      <c r="B3276"/>
      <c r="C3276"/>
      <c r="D3276"/>
      <c r="E3276"/>
      <c r="F3276"/>
      <c r="G3276"/>
      <c r="H3276" s="19"/>
      <c r="I3276" s="19"/>
      <c r="J3276" s="19"/>
      <c r="M3276" s="7"/>
    </row>
    <row r="3277" spans="2:13" x14ac:dyDescent="0.25">
      <c r="B3277"/>
      <c r="C3277"/>
      <c r="D3277"/>
      <c r="E3277"/>
      <c r="F3277"/>
      <c r="G3277"/>
      <c r="H3277" s="19"/>
      <c r="I3277" s="19"/>
      <c r="J3277" s="19"/>
      <c r="M3277" s="7"/>
    </row>
    <row r="3278" spans="2:13" x14ac:dyDescent="0.25">
      <c r="B3278"/>
      <c r="C3278"/>
      <c r="D3278"/>
      <c r="E3278"/>
      <c r="F3278"/>
      <c r="G3278"/>
      <c r="H3278" s="19"/>
      <c r="I3278" s="19"/>
      <c r="J3278" s="19"/>
      <c r="M3278" s="7"/>
    </row>
    <row r="3279" spans="2:13" x14ac:dyDescent="0.25">
      <c r="B3279"/>
      <c r="C3279"/>
      <c r="D3279"/>
      <c r="E3279"/>
      <c r="F3279"/>
      <c r="G3279"/>
      <c r="H3279" s="19"/>
      <c r="I3279" s="19"/>
      <c r="J3279" s="19"/>
      <c r="M3279" s="7"/>
    </row>
    <row r="3280" spans="2:13" x14ac:dyDescent="0.25">
      <c r="B3280"/>
      <c r="C3280"/>
      <c r="D3280"/>
      <c r="E3280"/>
      <c r="F3280"/>
      <c r="G3280"/>
      <c r="H3280" s="19"/>
      <c r="I3280" s="19"/>
      <c r="J3280" s="19"/>
      <c r="M3280" s="7"/>
    </row>
    <row r="3281" spans="2:13" x14ac:dyDescent="0.25">
      <c r="B3281"/>
      <c r="C3281"/>
      <c r="D3281"/>
      <c r="E3281"/>
      <c r="F3281"/>
      <c r="G3281"/>
      <c r="H3281" s="19"/>
      <c r="I3281" s="19"/>
      <c r="J3281" s="19"/>
      <c r="M3281" s="7"/>
    </row>
    <row r="3282" spans="2:13" x14ac:dyDescent="0.25">
      <c r="B3282"/>
      <c r="C3282"/>
      <c r="D3282"/>
      <c r="E3282"/>
      <c r="F3282"/>
      <c r="G3282"/>
      <c r="H3282" s="19"/>
      <c r="I3282" s="19"/>
      <c r="J3282" s="19"/>
      <c r="M3282" s="7"/>
    </row>
    <row r="3283" spans="2:13" x14ac:dyDescent="0.25">
      <c r="B3283"/>
      <c r="C3283"/>
      <c r="D3283"/>
      <c r="E3283"/>
      <c r="F3283"/>
      <c r="G3283"/>
      <c r="H3283" s="19"/>
      <c r="I3283" s="19"/>
      <c r="J3283" s="19"/>
      <c r="M3283" s="7"/>
    </row>
    <row r="3284" spans="2:13" x14ac:dyDescent="0.25">
      <c r="B3284"/>
      <c r="C3284"/>
      <c r="D3284"/>
      <c r="E3284"/>
      <c r="F3284"/>
      <c r="G3284"/>
      <c r="H3284" s="19"/>
      <c r="I3284" s="19"/>
      <c r="J3284" s="19"/>
      <c r="M3284" s="7"/>
    </row>
    <row r="3285" spans="2:13" x14ac:dyDescent="0.25">
      <c r="B3285"/>
      <c r="C3285"/>
      <c r="D3285"/>
      <c r="E3285"/>
      <c r="F3285"/>
      <c r="G3285"/>
      <c r="H3285" s="19"/>
      <c r="I3285" s="19"/>
      <c r="J3285" s="19"/>
      <c r="M3285" s="7"/>
    </row>
    <row r="3286" spans="2:13" x14ac:dyDescent="0.25">
      <c r="B3286"/>
      <c r="C3286"/>
      <c r="D3286"/>
      <c r="E3286"/>
      <c r="F3286"/>
      <c r="G3286"/>
      <c r="H3286" s="19"/>
      <c r="I3286" s="19"/>
      <c r="J3286" s="19"/>
      <c r="M3286" s="7"/>
    </row>
    <row r="3287" spans="2:13" x14ac:dyDescent="0.25">
      <c r="B3287"/>
      <c r="C3287"/>
      <c r="D3287"/>
      <c r="E3287"/>
      <c r="F3287"/>
      <c r="G3287"/>
      <c r="H3287" s="19"/>
      <c r="I3287" s="19"/>
      <c r="J3287" s="19"/>
      <c r="M3287" s="7"/>
    </row>
    <row r="3288" spans="2:13" x14ac:dyDescent="0.25">
      <c r="B3288"/>
      <c r="C3288"/>
      <c r="D3288"/>
      <c r="E3288"/>
      <c r="F3288"/>
      <c r="G3288"/>
      <c r="H3288" s="19"/>
      <c r="I3288" s="19"/>
      <c r="J3288" s="19"/>
      <c r="M3288" s="7"/>
    </row>
    <row r="3289" spans="2:13" x14ac:dyDescent="0.25">
      <c r="B3289"/>
      <c r="C3289"/>
      <c r="D3289"/>
      <c r="E3289"/>
      <c r="F3289"/>
      <c r="G3289"/>
      <c r="H3289" s="19"/>
      <c r="I3289" s="19"/>
      <c r="J3289" s="19"/>
      <c r="M3289" s="7"/>
    </row>
    <row r="3290" spans="2:13" x14ac:dyDescent="0.25">
      <c r="B3290"/>
      <c r="C3290"/>
      <c r="D3290"/>
      <c r="E3290"/>
      <c r="F3290"/>
      <c r="G3290"/>
      <c r="H3290" s="19"/>
      <c r="I3290" s="19"/>
      <c r="J3290" s="19"/>
      <c r="M3290" s="7"/>
    </row>
    <row r="3291" spans="2:13" x14ac:dyDescent="0.25">
      <c r="B3291"/>
      <c r="C3291"/>
      <c r="D3291"/>
      <c r="E3291"/>
      <c r="F3291"/>
      <c r="G3291"/>
      <c r="H3291" s="19"/>
      <c r="I3291" s="19"/>
      <c r="J3291" s="19"/>
      <c r="M3291" s="7"/>
    </row>
    <row r="3292" spans="2:13" x14ac:dyDescent="0.25">
      <c r="B3292"/>
      <c r="C3292"/>
      <c r="D3292"/>
      <c r="E3292"/>
      <c r="F3292"/>
      <c r="G3292"/>
      <c r="H3292" s="19"/>
      <c r="I3292" s="19"/>
      <c r="J3292" s="19"/>
      <c r="M3292" s="7"/>
    </row>
    <row r="3293" spans="2:13" x14ac:dyDescent="0.25">
      <c r="B3293"/>
      <c r="C3293"/>
      <c r="D3293"/>
      <c r="E3293"/>
      <c r="F3293"/>
      <c r="G3293"/>
      <c r="H3293" s="19"/>
      <c r="I3293" s="19"/>
      <c r="J3293" s="19"/>
      <c r="M3293" s="7"/>
    </row>
    <row r="3294" spans="2:13" x14ac:dyDescent="0.25">
      <c r="B3294"/>
      <c r="C3294"/>
      <c r="D3294"/>
      <c r="E3294"/>
      <c r="F3294"/>
      <c r="G3294"/>
      <c r="H3294" s="19"/>
      <c r="I3294" s="19"/>
      <c r="J3294" s="19"/>
      <c r="M3294" s="7"/>
    </row>
    <row r="3295" spans="2:13" x14ac:dyDescent="0.25">
      <c r="B3295"/>
      <c r="C3295"/>
      <c r="D3295"/>
      <c r="E3295"/>
      <c r="F3295"/>
      <c r="G3295"/>
      <c r="H3295" s="19"/>
      <c r="I3295" s="19"/>
      <c r="J3295" s="19"/>
      <c r="M3295" s="7"/>
    </row>
    <row r="3296" spans="2:13" x14ac:dyDescent="0.25">
      <c r="B3296"/>
      <c r="C3296"/>
      <c r="D3296"/>
      <c r="E3296"/>
      <c r="F3296"/>
      <c r="G3296"/>
      <c r="H3296" s="19"/>
      <c r="I3296" s="19"/>
      <c r="J3296" s="19"/>
      <c r="M3296" s="7"/>
    </row>
    <row r="3297" spans="2:13" x14ac:dyDescent="0.25">
      <c r="B3297"/>
      <c r="C3297"/>
      <c r="D3297"/>
      <c r="E3297"/>
      <c r="F3297"/>
      <c r="G3297"/>
      <c r="H3297" s="19"/>
      <c r="I3297" s="19"/>
      <c r="J3297" s="19"/>
      <c r="M3297" s="7"/>
    </row>
    <row r="3298" spans="2:13" x14ac:dyDescent="0.25">
      <c r="B3298"/>
      <c r="C3298"/>
      <c r="D3298"/>
      <c r="E3298"/>
      <c r="F3298"/>
      <c r="G3298"/>
      <c r="H3298" s="19"/>
      <c r="I3298" s="19"/>
      <c r="J3298" s="19"/>
      <c r="M3298" s="7"/>
    </row>
    <row r="3299" spans="2:13" x14ac:dyDescent="0.25">
      <c r="B3299"/>
      <c r="C3299"/>
      <c r="D3299"/>
      <c r="E3299"/>
      <c r="F3299"/>
      <c r="G3299"/>
      <c r="H3299" s="19"/>
      <c r="I3299" s="19"/>
      <c r="J3299" s="19"/>
      <c r="M3299" s="7"/>
    </row>
    <row r="3300" spans="2:13" x14ac:dyDescent="0.25">
      <c r="B3300"/>
      <c r="C3300"/>
      <c r="D3300"/>
      <c r="E3300"/>
      <c r="F3300"/>
      <c r="G3300"/>
      <c r="H3300" s="19"/>
      <c r="I3300" s="19"/>
      <c r="J3300" s="19"/>
      <c r="M3300" s="7"/>
    </row>
    <row r="3301" spans="2:13" x14ac:dyDescent="0.25">
      <c r="B3301"/>
      <c r="C3301"/>
      <c r="D3301"/>
      <c r="E3301"/>
      <c r="F3301"/>
      <c r="G3301"/>
      <c r="H3301" s="19"/>
      <c r="I3301" s="19"/>
      <c r="J3301" s="19"/>
      <c r="M3301" s="7"/>
    </row>
    <row r="3302" spans="2:13" x14ac:dyDescent="0.25">
      <c r="B3302"/>
      <c r="C3302"/>
      <c r="D3302"/>
      <c r="E3302"/>
      <c r="F3302"/>
      <c r="G3302"/>
      <c r="H3302" s="19"/>
      <c r="I3302" s="19"/>
      <c r="J3302" s="19"/>
      <c r="M3302" s="7"/>
    </row>
    <row r="3303" spans="2:13" x14ac:dyDescent="0.25">
      <c r="B3303"/>
      <c r="C3303"/>
      <c r="D3303"/>
      <c r="E3303"/>
      <c r="F3303"/>
      <c r="G3303"/>
      <c r="H3303" s="19"/>
      <c r="I3303" s="19"/>
      <c r="J3303" s="19"/>
      <c r="M3303" s="7"/>
    </row>
    <row r="3304" spans="2:13" x14ac:dyDescent="0.25">
      <c r="B3304"/>
      <c r="C3304"/>
      <c r="D3304"/>
      <c r="E3304"/>
      <c r="F3304"/>
      <c r="G3304"/>
      <c r="H3304" s="19"/>
      <c r="I3304" s="19"/>
      <c r="J3304" s="19"/>
      <c r="M3304" s="7"/>
    </row>
    <row r="3305" spans="2:13" x14ac:dyDescent="0.25">
      <c r="B3305"/>
      <c r="C3305"/>
      <c r="D3305"/>
      <c r="E3305"/>
      <c r="F3305"/>
      <c r="G3305"/>
      <c r="H3305" s="19"/>
      <c r="I3305" s="19"/>
      <c r="J3305" s="19"/>
      <c r="M3305" s="7"/>
    </row>
    <row r="3306" spans="2:13" x14ac:dyDescent="0.25">
      <c r="B3306"/>
      <c r="C3306"/>
      <c r="D3306"/>
      <c r="E3306"/>
      <c r="F3306"/>
      <c r="G3306"/>
      <c r="H3306" s="19"/>
      <c r="I3306" s="19"/>
      <c r="J3306" s="19"/>
      <c r="M3306" s="7"/>
    </row>
    <row r="3307" spans="2:13" x14ac:dyDescent="0.25">
      <c r="B3307"/>
      <c r="C3307"/>
      <c r="D3307"/>
      <c r="E3307"/>
      <c r="F3307"/>
      <c r="G3307"/>
      <c r="H3307" s="19"/>
      <c r="I3307" s="19"/>
      <c r="J3307" s="19"/>
      <c r="M3307" s="7"/>
    </row>
    <row r="3308" spans="2:13" x14ac:dyDescent="0.25">
      <c r="B3308"/>
      <c r="C3308"/>
      <c r="D3308"/>
      <c r="E3308"/>
      <c r="F3308"/>
      <c r="G3308"/>
      <c r="H3308" s="19"/>
      <c r="I3308" s="19"/>
      <c r="J3308" s="19"/>
      <c r="M3308" s="7"/>
    </row>
    <row r="3309" spans="2:13" x14ac:dyDescent="0.25">
      <c r="B3309"/>
      <c r="C3309"/>
      <c r="D3309"/>
      <c r="E3309"/>
      <c r="F3309"/>
      <c r="G3309"/>
      <c r="H3309" s="19"/>
      <c r="I3309" s="19"/>
      <c r="J3309" s="19"/>
      <c r="M3309" s="7"/>
    </row>
    <row r="3310" spans="2:13" x14ac:dyDescent="0.25">
      <c r="B3310"/>
      <c r="C3310"/>
      <c r="D3310"/>
      <c r="E3310"/>
      <c r="F3310"/>
      <c r="G3310"/>
      <c r="H3310" s="19"/>
      <c r="I3310" s="19"/>
      <c r="J3310" s="19"/>
      <c r="M3310" s="7"/>
    </row>
    <row r="3311" spans="2:13" x14ac:dyDescent="0.25">
      <c r="B3311"/>
      <c r="C3311"/>
      <c r="D3311"/>
      <c r="E3311"/>
      <c r="F3311"/>
      <c r="G3311"/>
      <c r="H3311" s="19"/>
      <c r="I3311" s="19"/>
      <c r="J3311" s="19"/>
      <c r="M3311" s="7"/>
    </row>
    <row r="3312" spans="2:13" x14ac:dyDescent="0.25">
      <c r="B3312"/>
      <c r="C3312"/>
      <c r="D3312"/>
      <c r="E3312"/>
      <c r="F3312"/>
      <c r="G3312"/>
      <c r="H3312" s="19"/>
      <c r="I3312" s="19"/>
      <c r="J3312" s="19"/>
      <c r="M3312" s="7"/>
    </row>
    <row r="3313" spans="2:13" x14ac:dyDescent="0.25">
      <c r="B3313"/>
      <c r="C3313"/>
      <c r="D3313"/>
      <c r="E3313"/>
      <c r="F3313"/>
      <c r="G3313"/>
      <c r="H3313" s="19"/>
      <c r="I3313" s="19"/>
      <c r="J3313" s="19"/>
      <c r="M3313" s="7"/>
    </row>
    <row r="3314" spans="2:13" x14ac:dyDescent="0.25">
      <c r="B3314"/>
      <c r="C3314"/>
      <c r="D3314"/>
      <c r="E3314"/>
      <c r="F3314"/>
      <c r="G3314"/>
      <c r="H3314" s="19"/>
      <c r="I3314" s="19"/>
      <c r="J3314" s="19"/>
      <c r="M3314" s="7"/>
    </row>
    <row r="3315" spans="2:13" x14ac:dyDescent="0.25">
      <c r="B3315"/>
      <c r="C3315"/>
      <c r="D3315"/>
      <c r="E3315"/>
      <c r="F3315"/>
      <c r="G3315"/>
      <c r="H3315" s="19"/>
      <c r="I3315" s="19"/>
      <c r="J3315" s="19"/>
      <c r="M3315" s="7"/>
    </row>
    <row r="3316" spans="2:13" x14ac:dyDescent="0.25">
      <c r="B3316"/>
      <c r="C3316"/>
      <c r="D3316"/>
      <c r="E3316"/>
      <c r="F3316"/>
      <c r="G3316"/>
      <c r="H3316" s="19"/>
      <c r="I3316" s="19"/>
      <c r="J3316" s="19"/>
      <c r="M3316" s="7"/>
    </row>
    <row r="3317" spans="2:13" x14ac:dyDescent="0.25">
      <c r="B3317"/>
      <c r="C3317"/>
      <c r="D3317"/>
      <c r="E3317"/>
      <c r="F3317"/>
      <c r="G3317"/>
      <c r="H3317" s="19"/>
      <c r="I3317" s="19"/>
      <c r="J3317" s="19"/>
      <c r="M3317" s="7"/>
    </row>
    <row r="3318" spans="2:13" x14ac:dyDescent="0.25">
      <c r="B3318"/>
      <c r="C3318"/>
      <c r="D3318"/>
      <c r="E3318"/>
      <c r="F3318"/>
      <c r="G3318"/>
      <c r="H3318" s="19"/>
      <c r="I3318" s="19"/>
      <c r="J3318" s="19"/>
      <c r="M3318" s="7"/>
    </row>
    <row r="3319" spans="2:13" x14ac:dyDescent="0.25">
      <c r="B3319"/>
      <c r="C3319"/>
      <c r="D3319"/>
      <c r="E3319"/>
      <c r="F3319"/>
      <c r="G3319"/>
      <c r="H3319" s="19"/>
      <c r="I3319" s="19"/>
      <c r="J3319" s="19"/>
      <c r="M3319" s="7"/>
    </row>
    <row r="3320" spans="2:13" x14ac:dyDescent="0.25">
      <c r="B3320"/>
      <c r="C3320"/>
      <c r="D3320"/>
      <c r="E3320"/>
      <c r="F3320"/>
      <c r="G3320"/>
      <c r="H3320" s="19"/>
      <c r="I3320" s="19"/>
      <c r="J3320" s="19"/>
      <c r="M3320" s="7"/>
    </row>
    <row r="3321" spans="2:13" x14ac:dyDescent="0.25">
      <c r="B3321"/>
      <c r="C3321"/>
      <c r="D3321"/>
      <c r="E3321"/>
      <c r="F3321"/>
      <c r="G3321"/>
      <c r="H3321" s="19"/>
      <c r="I3321" s="19"/>
      <c r="J3321" s="19"/>
      <c r="M3321" s="7"/>
    </row>
    <row r="3322" spans="2:13" x14ac:dyDescent="0.25">
      <c r="B3322"/>
      <c r="C3322"/>
      <c r="D3322"/>
      <c r="E3322"/>
      <c r="F3322"/>
      <c r="G3322"/>
      <c r="H3322" s="19"/>
      <c r="I3322" s="19"/>
      <c r="J3322" s="19"/>
      <c r="M3322" s="7"/>
    </row>
    <row r="3323" spans="2:13" x14ac:dyDescent="0.25">
      <c r="B3323"/>
      <c r="C3323"/>
      <c r="D3323"/>
      <c r="E3323"/>
      <c r="F3323"/>
      <c r="G3323"/>
      <c r="H3323" s="19"/>
      <c r="I3323" s="19"/>
      <c r="J3323" s="19"/>
      <c r="M3323" s="7"/>
    </row>
    <row r="3324" spans="2:13" x14ac:dyDescent="0.25">
      <c r="B3324"/>
      <c r="C3324"/>
      <c r="D3324"/>
      <c r="E3324"/>
      <c r="F3324"/>
      <c r="G3324"/>
      <c r="H3324" s="19"/>
      <c r="I3324" s="19"/>
      <c r="J3324" s="19"/>
      <c r="M3324" s="7"/>
    </row>
    <row r="3325" spans="2:13" x14ac:dyDescent="0.25">
      <c r="B3325"/>
      <c r="C3325"/>
      <c r="D3325"/>
      <c r="E3325"/>
      <c r="F3325"/>
      <c r="G3325"/>
      <c r="H3325" s="19"/>
      <c r="I3325" s="19"/>
      <c r="J3325" s="19"/>
      <c r="M3325" s="7"/>
    </row>
    <row r="3326" spans="2:13" x14ac:dyDescent="0.25">
      <c r="B3326"/>
      <c r="C3326"/>
      <c r="D3326"/>
      <c r="E3326"/>
      <c r="F3326"/>
      <c r="G3326"/>
      <c r="H3326" s="19"/>
      <c r="I3326" s="19"/>
      <c r="J3326" s="19"/>
      <c r="M3326" s="7"/>
    </row>
    <row r="3327" spans="2:13" x14ac:dyDescent="0.25">
      <c r="B3327"/>
      <c r="C3327"/>
      <c r="D3327"/>
      <c r="E3327"/>
      <c r="F3327"/>
      <c r="G3327"/>
      <c r="H3327" s="19"/>
      <c r="I3327" s="19"/>
      <c r="J3327" s="19"/>
      <c r="M3327" s="7"/>
    </row>
    <row r="3328" spans="2:13" x14ac:dyDescent="0.25">
      <c r="B3328"/>
      <c r="C3328"/>
      <c r="D3328"/>
      <c r="E3328"/>
      <c r="F3328"/>
      <c r="G3328"/>
      <c r="H3328" s="19"/>
      <c r="I3328" s="19"/>
      <c r="J3328" s="19"/>
      <c r="M3328" s="7"/>
    </row>
    <row r="3329" spans="2:13" x14ac:dyDescent="0.25">
      <c r="B3329"/>
      <c r="C3329"/>
      <c r="D3329"/>
      <c r="E3329"/>
      <c r="F3329"/>
      <c r="G3329"/>
      <c r="H3329" s="19"/>
      <c r="I3329" s="19"/>
      <c r="J3329" s="19"/>
      <c r="M3329" s="7"/>
    </row>
    <row r="3330" spans="2:13" x14ac:dyDescent="0.25">
      <c r="B3330"/>
      <c r="C3330"/>
      <c r="D3330"/>
      <c r="E3330"/>
      <c r="F3330"/>
      <c r="G3330"/>
      <c r="H3330" s="19"/>
      <c r="I3330" s="19"/>
      <c r="J3330" s="19"/>
      <c r="M3330" s="7"/>
    </row>
    <row r="3331" spans="2:13" x14ac:dyDescent="0.25">
      <c r="B3331"/>
      <c r="C3331"/>
      <c r="D3331"/>
      <c r="E3331"/>
      <c r="F3331"/>
      <c r="G3331"/>
      <c r="H3331" s="19"/>
      <c r="I3331" s="19"/>
      <c r="J3331" s="19"/>
      <c r="M3331" s="7"/>
    </row>
    <row r="3332" spans="2:13" x14ac:dyDescent="0.25">
      <c r="B3332"/>
      <c r="C3332"/>
      <c r="D3332"/>
      <c r="E3332"/>
      <c r="F3332"/>
      <c r="G3332"/>
      <c r="H3332" s="19"/>
      <c r="I3332" s="19"/>
      <c r="J3332" s="19"/>
      <c r="M3332" s="7"/>
    </row>
    <row r="3333" spans="2:13" x14ac:dyDescent="0.25">
      <c r="B3333"/>
      <c r="C3333"/>
      <c r="D3333"/>
      <c r="E3333"/>
      <c r="F3333"/>
      <c r="G3333"/>
      <c r="H3333" s="19"/>
      <c r="I3333" s="19"/>
      <c r="J3333" s="19"/>
      <c r="M3333" s="7"/>
    </row>
    <row r="3334" spans="2:13" x14ac:dyDescent="0.25">
      <c r="B3334"/>
      <c r="C3334"/>
      <c r="D3334"/>
      <c r="E3334"/>
      <c r="F3334"/>
      <c r="G3334"/>
      <c r="H3334" s="19"/>
      <c r="I3334" s="19"/>
      <c r="J3334" s="19"/>
      <c r="M3334" s="7"/>
    </row>
    <row r="3335" spans="2:13" x14ac:dyDescent="0.25">
      <c r="B3335"/>
      <c r="C3335"/>
      <c r="D3335"/>
      <c r="E3335"/>
      <c r="F3335"/>
      <c r="G3335"/>
      <c r="H3335" s="19"/>
      <c r="I3335" s="19"/>
      <c r="J3335" s="19"/>
      <c r="M3335" s="7"/>
    </row>
    <row r="3336" spans="2:13" x14ac:dyDescent="0.25">
      <c r="B3336"/>
      <c r="C3336"/>
      <c r="D3336"/>
      <c r="E3336"/>
      <c r="F3336"/>
      <c r="G3336"/>
      <c r="H3336" s="19"/>
      <c r="I3336" s="19"/>
      <c r="J3336" s="19"/>
      <c r="M3336" s="7"/>
    </row>
    <row r="3337" spans="2:13" x14ac:dyDescent="0.25">
      <c r="B3337"/>
      <c r="C3337"/>
      <c r="D3337"/>
      <c r="E3337"/>
      <c r="F3337"/>
      <c r="G3337"/>
      <c r="H3337" s="19"/>
      <c r="I3337" s="19"/>
      <c r="J3337" s="19"/>
      <c r="M3337" s="7"/>
    </row>
    <row r="3338" spans="2:13" x14ac:dyDescent="0.25">
      <c r="B3338"/>
      <c r="C3338"/>
      <c r="D3338"/>
      <c r="E3338"/>
      <c r="F3338"/>
      <c r="G3338"/>
      <c r="H3338" s="19"/>
      <c r="I3338" s="19"/>
      <c r="J3338" s="19"/>
      <c r="M3338" s="7"/>
    </row>
    <row r="3339" spans="2:13" x14ac:dyDescent="0.25">
      <c r="B3339"/>
      <c r="C3339"/>
      <c r="D3339"/>
      <c r="E3339"/>
      <c r="F3339"/>
      <c r="G3339"/>
      <c r="H3339" s="19"/>
      <c r="I3339" s="19"/>
      <c r="J3339" s="19"/>
      <c r="M3339" s="7"/>
    </row>
    <row r="3340" spans="2:13" x14ac:dyDescent="0.25">
      <c r="B3340"/>
      <c r="C3340"/>
      <c r="D3340"/>
      <c r="E3340"/>
      <c r="F3340"/>
      <c r="G3340"/>
      <c r="H3340" s="19"/>
      <c r="I3340" s="19"/>
      <c r="J3340" s="19"/>
      <c r="M3340" s="7"/>
    </row>
    <row r="3341" spans="2:13" x14ac:dyDescent="0.25">
      <c r="B3341"/>
      <c r="C3341"/>
      <c r="D3341"/>
      <c r="E3341"/>
      <c r="F3341"/>
      <c r="G3341"/>
      <c r="H3341" s="19"/>
      <c r="I3341" s="19"/>
      <c r="J3341" s="19"/>
      <c r="M3341" s="7"/>
    </row>
    <row r="3342" spans="2:13" x14ac:dyDescent="0.25">
      <c r="B3342"/>
      <c r="C3342"/>
      <c r="D3342"/>
      <c r="E3342"/>
      <c r="F3342"/>
      <c r="G3342"/>
      <c r="H3342" s="19"/>
      <c r="I3342" s="19"/>
      <c r="J3342" s="19"/>
      <c r="M3342" s="7"/>
    </row>
    <row r="3343" spans="2:13" x14ac:dyDescent="0.25">
      <c r="B3343"/>
      <c r="C3343"/>
      <c r="D3343"/>
      <c r="E3343"/>
      <c r="F3343"/>
      <c r="G3343"/>
      <c r="H3343" s="19"/>
      <c r="I3343" s="19"/>
      <c r="J3343" s="19"/>
      <c r="M3343" s="7"/>
    </row>
    <row r="3344" spans="2:13" x14ac:dyDescent="0.25">
      <c r="B3344"/>
      <c r="C3344"/>
      <c r="D3344"/>
      <c r="E3344"/>
      <c r="F3344"/>
      <c r="G3344"/>
      <c r="H3344" s="19"/>
      <c r="I3344" s="19"/>
      <c r="J3344" s="19"/>
      <c r="M3344" s="7"/>
    </row>
    <row r="3345" spans="2:13" x14ac:dyDescent="0.25">
      <c r="B3345"/>
      <c r="C3345"/>
      <c r="D3345"/>
      <c r="E3345"/>
      <c r="F3345"/>
      <c r="G3345"/>
      <c r="H3345" s="19"/>
      <c r="I3345" s="19"/>
      <c r="J3345" s="19"/>
      <c r="M3345" s="7"/>
    </row>
    <row r="3346" spans="2:13" x14ac:dyDescent="0.25">
      <c r="B3346"/>
      <c r="C3346"/>
      <c r="D3346"/>
      <c r="E3346"/>
      <c r="F3346"/>
      <c r="G3346"/>
      <c r="H3346" s="19"/>
      <c r="I3346" s="19"/>
      <c r="J3346" s="19"/>
      <c r="M3346" s="7"/>
    </row>
    <row r="3347" spans="2:13" x14ac:dyDescent="0.25">
      <c r="B3347"/>
      <c r="C3347"/>
      <c r="D3347"/>
      <c r="E3347"/>
      <c r="F3347"/>
      <c r="G3347"/>
      <c r="H3347" s="19"/>
      <c r="I3347" s="19"/>
      <c r="J3347" s="19"/>
      <c r="M3347" s="7"/>
    </row>
    <row r="3348" spans="2:13" x14ac:dyDescent="0.25">
      <c r="B3348"/>
      <c r="C3348"/>
      <c r="D3348"/>
      <c r="E3348"/>
      <c r="F3348"/>
      <c r="G3348"/>
      <c r="H3348" s="19"/>
      <c r="I3348" s="19"/>
      <c r="J3348" s="19"/>
      <c r="M3348" s="7"/>
    </row>
    <row r="3349" spans="2:13" x14ac:dyDescent="0.25">
      <c r="B3349"/>
      <c r="C3349"/>
      <c r="D3349"/>
      <c r="E3349"/>
      <c r="F3349"/>
      <c r="G3349"/>
      <c r="H3349" s="19"/>
      <c r="I3349" s="19"/>
      <c r="J3349" s="19"/>
      <c r="M3349" s="7"/>
    </row>
    <row r="3350" spans="2:13" x14ac:dyDescent="0.25">
      <c r="B3350"/>
      <c r="C3350"/>
      <c r="D3350"/>
      <c r="E3350"/>
      <c r="F3350"/>
      <c r="G3350"/>
      <c r="H3350" s="19"/>
      <c r="I3350" s="19"/>
      <c r="J3350" s="19"/>
      <c r="M3350" s="7"/>
    </row>
    <row r="3351" spans="2:13" x14ac:dyDescent="0.25">
      <c r="B3351"/>
      <c r="C3351"/>
      <c r="D3351"/>
      <c r="E3351"/>
      <c r="F3351"/>
      <c r="G3351"/>
      <c r="H3351" s="19"/>
      <c r="I3351" s="19"/>
      <c r="J3351" s="19"/>
      <c r="M3351" s="7"/>
    </row>
    <row r="3352" spans="2:13" x14ac:dyDescent="0.25">
      <c r="B3352"/>
      <c r="C3352"/>
      <c r="D3352"/>
      <c r="E3352"/>
      <c r="F3352"/>
      <c r="G3352"/>
      <c r="H3352" s="19"/>
      <c r="I3352" s="19"/>
      <c r="J3352" s="19"/>
      <c r="M3352" s="7"/>
    </row>
    <row r="3353" spans="2:13" x14ac:dyDescent="0.25">
      <c r="B3353"/>
      <c r="C3353"/>
      <c r="D3353"/>
      <c r="E3353"/>
      <c r="F3353"/>
      <c r="G3353"/>
      <c r="H3353" s="19"/>
      <c r="I3353" s="19"/>
      <c r="J3353" s="19"/>
      <c r="M3353" s="7"/>
    </row>
    <row r="3354" spans="2:13" x14ac:dyDescent="0.25">
      <c r="B3354"/>
      <c r="C3354"/>
      <c r="D3354"/>
      <c r="E3354"/>
      <c r="F3354"/>
      <c r="G3354"/>
      <c r="H3354" s="19"/>
      <c r="I3354" s="19"/>
      <c r="J3354" s="19"/>
      <c r="M3354" s="7"/>
    </row>
    <row r="3355" spans="2:13" x14ac:dyDescent="0.25">
      <c r="B3355"/>
      <c r="C3355"/>
      <c r="D3355"/>
      <c r="E3355"/>
      <c r="F3355"/>
      <c r="G3355"/>
      <c r="H3355" s="19"/>
      <c r="I3355" s="19"/>
      <c r="J3355" s="19"/>
      <c r="M3355" s="7"/>
    </row>
    <row r="3356" spans="2:13" x14ac:dyDescent="0.25">
      <c r="B3356"/>
      <c r="C3356"/>
      <c r="D3356"/>
      <c r="E3356"/>
      <c r="F3356"/>
      <c r="G3356"/>
      <c r="H3356" s="19"/>
      <c r="I3356" s="19"/>
      <c r="J3356" s="19"/>
      <c r="M3356" s="7"/>
    </row>
    <row r="3357" spans="2:13" x14ac:dyDescent="0.25">
      <c r="B3357"/>
      <c r="C3357"/>
      <c r="D3357"/>
      <c r="E3357"/>
      <c r="F3357"/>
      <c r="G3357"/>
      <c r="H3357" s="19"/>
      <c r="I3357" s="19"/>
      <c r="J3357" s="19"/>
      <c r="M3357" s="7"/>
    </row>
    <row r="3358" spans="2:13" x14ac:dyDescent="0.25">
      <c r="B3358"/>
      <c r="C3358"/>
      <c r="D3358"/>
      <c r="E3358"/>
      <c r="F3358"/>
      <c r="G3358"/>
      <c r="H3358" s="19"/>
      <c r="I3358" s="19"/>
      <c r="J3358" s="19"/>
      <c r="M3358" s="7"/>
    </row>
    <row r="3359" spans="2:13" x14ac:dyDescent="0.25">
      <c r="B3359"/>
      <c r="C3359"/>
      <c r="D3359"/>
      <c r="E3359"/>
      <c r="F3359"/>
      <c r="G3359"/>
      <c r="H3359" s="19"/>
      <c r="I3359" s="19"/>
      <c r="J3359" s="19"/>
      <c r="M3359" s="7"/>
    </row>
    <row r="3360" spans="2:13" x14ac:dyDescent="0.25">
      <c r="B3360"/>
      <c r="C3360"/>
      <c r="D3360"/>
      <c r="E3360"/>
      <c r="F3360"/>
      <c r="G3360"/>
      <c r="H3360" s="19"/>
      <c r="I3360" s="19"/>
      <c r="J3360" s="19"/>
      <c r="M3360" s="7"/>
    </row>
    <row r="3361" spans="2:13" x14ac:dyDescent="0.25">
      <c r="B3361"/>
      <c r="C3361"/>
      <c r="D3361"/>
      <c r="E3361"/>
      <c r="F3361"/>
      <c r="G3361"/>
      <c r="H3361" s="19"/>
      <c r="I3361" s="19"/>
      <c r="J3361" s="19"/>
      <c r="M3361" s="7"/>
    </row>
    <row r="3362" spans="2:13" x14ac:dyDescent="0.25">
      <c r="B3362"/>
      <c r="C3362"/>
      <c r="D3362"/>
      <c r="E3362"/>
      <c r="F3362"/>
      <c r="G3362"/>
      <c r="H3362" s="19"/>
      <c r="I3362" s="19"/>
      <c r="J3362" s="19"/>
      <c r="M3362" s="7"/>
    </row>
    <row r="3363" spans="2:13" x14ac:dyDescent="0.25">
      <c r="B3363"/>
      <c r="C3363"/>
      <c r="D3363"/>
      <c r="E3363"/>
      <c r="F3363"/>
      <c r="G3363"/>
      <c r="H3363" s="19"/>
      <c r="I3363" s="19"/>
      <c r="J3363" s="19"/>
      <c r="M3363" s="7"/>
    </row>
    <row r="3364" spans="2:13" x14ac:dyDescent="0.25">
      <c r="B3364"/>
      <c r="C3364"/>
      <c r="D3364"/>
      <c r="E3364"/>
      <c r="F3364"/>
      <c r="G3364"/>
      <c r="H3364" s="19"/>
      <c r="I3364" s="19"/>
      <c r="J3364" s="19"/>
      <c r="M3364" s="7"/>
    </row>
    <row r="3365" spans="2:13" x14ac:dyDescent="0.25">
      <c r="B3365"/>
      <c r="C3365"/>
      <c r="D3365"/>
      <c r="E3365"/>
      <c r="F3365"/>
      <c r="G3365"/>
      <c r="H3365" s="19"/>
      <c r="I3365" s="19"/>
      <c r="J3365" s="19"/>
      <c r="M3365" s="7"/>
    </row>
    <row r="3366" spans="2:13" x14ac:dyDescent="0.25">
      <c r="B3366"/>
      <c r="C3366"/>
      <c r="D3366"/>
      <c r="E3366"/>
      <c r="F3366"/>
      <c r="G3366"/>
      <c r="H3366" s="19"/>
      <c r="I3366" s="19"/>
      <c r="J3366" s="19"/>
      <c r="M3366" s="7"/>
    </row>
    <row r="3367" spans="2:13" x14ac:dyDescent="0.25">
      <c r="B3367"/>
      <c r="C3367"/>
      <c r="D3367"/>
      <c r="E3367"/>
      <c r="F3367"/>
      <c r="G3367"/>
      <c r="H3367" s="19"/>
      <c r="I3367" s="19"/>
      <c r="J3367" s="19"/>
      <c r="M3367" s="7"/>
    </row>
    <row r="3368" spans="2:13" x14ac:dyDescent="0.25">
      <c r="B3368"/>
      <c r="C3368"/>
      <c r="D3368"/>
      <c r="E3368"/>
      <c r="F3368"/>
      <c r="G3368"/>
      <c r="H3368" s="19"/>
      <c r="I3368" s="19"/>
      <c r="J3368" s="19"/>
      <c r="M3368" s="7"/>
    </row>
    <row r="3369" spans="2:13" x14ac:dyDescent="0.25">
      <c r="B3369"/>
      <c r="C3369"/>
      <c r="D3369"/>
      <c r="E3369"/>
      <c r="F3369"/>
      <c r="G3369"/>
      <c r="H3369" s="19"/>
      <c r="I3369" s="19"/>
      <c r="J3369" s="19"/>
      <c r="M3369" s="7"/>
    </row>
    <row r="3370" spans="2:13" x14ac:dyDescent="0.25">
      <c r="B3370"/>
      <c r="C3370"/>
      <c r="D3370"/>
      <c r="E3370"/>
      <c r="F3370"/>
      <c r="G3370"/>
      <c r="H3370" s="19"/>
      <c r="I3370" s="19"/>
      <c r="J3370" s="19"/>
      <c r="M3370" s="7"/>
    </row>
    <row r="3371" spans="2:13" x14ac:dyDescent="0.25">
      <c r="B3371"/>
      <c r="C3371"/>
      <c r="D3371"/>
      <c r="E3371"/>
      <c r="F3371"/>
      <c r="G3371"/>
      <c r="H3371" s="19"/>
      <c r="I3371" s="19"/>
      <c r="J3371" s="19"/>
      <c r="M3371" s="7"/>
    </row>
    <row r="3372" spans="2:13" x14ac:dyDescent="0.25">
      <c r="B3372"/>
      <c r="C3372"/>
      <c r="D3372"/>
      <c r="E3372"/>
      <c r="F3372"/>
      <c r="G3372"/>
      <c r="H3372" s="19"/>
      <c r="I3372" s="19"/>
      <c r="J3372" s="19"/>
      <c r="M3372" s="7"/>
    </row>
    <row r="3373" spans="2:13" x14ac:dyDescent="0.25">
      <c r="B3373"/>
      <c r="C3373"/>
      <c r="D3373"/>
      <c r="E3373"/>
      <c r="F3373"/>
      <c r="G3373"/>
      <c r="H3373" s="19"/>
      <c r="I3373" s="19"/>
      <c r="J3373" s="19"/>
      <c r="M3373" s="7"/>
    </row>
    <row r="3374" spans="2:13" x14ac:dyDescent="0.25">
      <c r="B3374"/>
      <c r="C3374"/>
      <c r="D3374"/>
      <c r="E3374"/>
      <c r="F3374"/>
      <c r="G3374"/>
      <c r="H3374" s="19"/>
      <c r="I3374" s="19"/>
      <c r="J3374" s="19"/>
      <c r="M3374" s="7"/>
    </row>
    <row r="3375" spans="2:13" x14ac:dyDescent="0.25">
      <c r="B3375"/>
      <c r="C3375"/>
      <c r="D3375"/>
      <c r="E3375"/>
      <c r="F3375"/>
      <c r="G3375"/>
      <c r="H3375" s="19"/>
      <c r="I3375" s="19"/>
      <c r="J3375" s="19"/>
      <c r="M3375" s="7"/>
    </row>
    <row r="3376" spans="2:13" x14ac:dyDescent="0.25">
      <c r="B3376"/>
      <c r="C3376"/>
      <c r="D3376"/>
      <c r="E3376"/>
      <c r="F3376"/>
      <c r="G3376"/>
      <c r="H3376" s="19"/>
      <c r="I3376" s="19"/>
      <c r="J3376" s="19"/>
      <c r="M3376" s="7"/>
    </row>
    <row r="3377" spans="2:13" x14ac:dyDescent="0.25">
      <c r="B3377"/>
      <c r="C3377"/>
      <c r="D3377"/>
      <c r="E3377"/>
      <c r="F3377"/>
      <c r="G3377"/>
      <c r="H3377" s="19"/>
      <c r="I3377" s="19"/>
      <c r="J3377" s="19"/>
      <c r="M3377" s="7"/>
    </row>
    <row r="3378" spans="2:13" x14ac:dyDescent="0.25">
      <c r="B3378"/>
      <c r="C3378"/>
      <c r="D3378"/>
      <c r="E3378"/>
      <c r="F3378"/>
      <c r="G3378"/>
      <c r="H3378" s="19"/>
      <c r="I3378" s="19"/>
      <c r="J3378" s="19"/>
      <c r="M3378" s="7"/>
    </row>
    <row r="3379" spans="2:13" x14ac:dyDescent="0.25">
      <c r="B3379"/>
      <c r="C3379"/>
      <c r="D3379"/>
      <c r="E3379"/>
      <c r="F3379"/>
      <c r="G3379"/>
      <c r="H3379" s="19"/>
      <c r="I3379" s="19"/>
      <c r="J3379" s="19"/>
      <c r="M3379" s="7"/>
    </row>
    <row r="3380" spans="2:13" x14ac:dyDescent="0.25">
      <c r="B3380"/>
      <c r="C3380"/>
      <c r="D3380"/>
      <c r="E3380"/>
      <c r="F3380"/>
      <c r="G3380"/>
      <c r="H3380" s="19"/>
      <c r="I3380" s="19"/>
      <c r="J3380" s="19"/>
      <c r="M3380" s="7"/>
    </row>
    <row r="3381" spans="2:13" x14ac:dyDescent="0.25">
      <c r="B3381"/>
      <c r="C3381"/>
      <c r="D3381"/>
      <c r="E3381"/>
      <c r="F3381"/>
      <c r="G3381"/>
      <c r="H3381" s="19"/>
      <c r="I3381" s="19"/>
      <c r="J3381" s="19"/>
      <c r="M3381" s="7"/>
    </row>
    <row r="3382" spans="2:13" x14ac:dyDescent="0.25">
      <c r="B3382"/>
      <c r="C3382"/>
      <c r="D3382"/>
      <c r="E3382"/>
      <c r="F3382"/>
      <c r="G3382"/>
      <c r="H3382" s="19"/>
      <c r="I3382" s="19"/>
      <c r="J3382" s="19"/>
      <c r="M3382" s="7"/>
    </row>
    <row r="3383" spans="2:13" x14ac:dyDescent="0.25">
      <c r="B3383"/>
      <c r="C3383"/>
      <c r="D3383"/>
      <c r="E3383"/>
      <c r="F3383"/>
      <c r="G3383"/>
      <c r="H3383" s="19"/>
      <c r="I3383" s="19"/>
      <c r="J3383" s="19"/>
      <c r="M3383" s="7"/>
    </row>
    <row r="3384" spans="2:13" x14ac:dyDescent="0.25">
      <c r="B3384"/>
      <c r="C3384"/>
      <c r="D3384"/>
      <c r="E3384"/>
      <c r="F3384"/>
      <c r="G3384"/>
      <c r="H3384" s="19"/>
      <c r="I3384" s="19"/>
      <c r="J3384" s="19"/>
      <c r="M3384" s="7"/>
    </row>
    <row r="3385" spans="2:13" x14ac:dyDescent="0.25">
      <c r="B3385"/>
      <c r="C3385"/>
      <c r="D3385"/>
      <c r="E3385"/>
      <c r="F3385"/>
      <c r="G3385"/>
      <c r="H3385" s="19"/>
      <c r="I3385" s="19"/>
      <c r="J3385" s="19"/>
      <c r="M3385" s="7"/>
    </row>
    <row r="3386" spans="2:13" x14ac:dyDescent="0.25">
      <c r="B3386"/>
      <c r="C3386"/>
      <c r="D3386"/>
      <c r="E3386"/>
      <c r="F3386"/>
      <c r="G3386"/>
      <c r="H3386" s="19"/>
      <c r="I3386" s="19"/>
      <c r="J3386" s="19"/>
      <c r="M3386" s="7"/>
    </row>
    <row r="3387" spans="2:13" x14ac:dyDescent="0.25">
      <c r="B3387"/>
      <c r="C3387"/>
      <c r="D3387"/>
      <c r="E3387"/>
      <c r="F3387"/>
      <c r="G3387"/>
      <c r="H3387" s="19"/>
      <c r="I3387" s="19"/>
      <c r="J3387" s="19"/>
      <c r="M3387" s="7"/>
    </row>
    <row r="3388" spans="2:13" x14ac:dyDescent="0.25">
      <c r="B3388"/>
      <c r="C3388"/>
      <c r="D3388"/>
      <c r="E3388"/>
      <c r="F3388"/>
      <c r="G3388"/>
      <c r="H3388" s="19"/>
      <c r="I3388" s="19"/>
      <c r="J3388" s="19"/>
      <c r="M3388" s="7"/>
    </row>
    <row r="3389" spans="2:13" x14ac:dyDescent="0.25">
      <c r="B3389"/>
      <c r="C3389"/>
      <c r="D3389"/>
      <c r="E3389"/>
      <c r="F3389"/>
      <c r="G3389"/>
      <c r="H3389" s="19"/>
      <c r="I3389" s="19"/>
      <c r="J3389" s="19"/>
      <c r="M3389" s="7"/>
    </row>
    <row r="3390" spans="2:13" x14ac:dyDescent="0.25">
      <c r="B3390"/>
      <c r="C3390"/>
      <c r="D3390"/>
      <c r="E3390"/>
      <c r="F3390"/>
      <c r="G3390"/>
      <c r="H3390" s="19"/>
      <c r="I3390" s="19"/>
      <c r="J3390" s="19"/>
      <c r="M3390" s="7"/>
    </row>
    <row r="3391" spans="2:13" x14ac:dyDescent="0.25">
      <c r="B3391"/>
      <c r="C3391"/>
      <c r="D3391"/>
      <c r="E3391"/>
      <c r="F3391"/>
      <c r="G3391"/>
      <c r="H3391" s="19"/>
      <c r="I3391" s="19"/>
      <c r="J3391" s="19"/>
      <c r="M3391" s="7"/>
    </row>
    <row r="3392" spans="2:13" x14ac:dyDescent="0.25">
      <c r="B3392"/>
      <c r="C3392"/>
      <c r="D3392"/>
      <c r="E3392"/>
      <c r="F3392"/>
      <c r="G3392"/>
      <c r="H3392" s="19"/>
      <c r="I3392" s="19"/>
      <c r="J3392" s="19"/>
      <c r="M3392" s="7"/>
    </row>
    <row r="3393" spans="2:13" x14ac:dyDescent="0.25">
      <c r="B3393"/>
      <c r="C3393"/>
      <c r="D3393"/>
      <c r="E3393"/>
      <c r="F3393"/>
      <c r="G3393"/>
      <c r="H3393" s="19"/>
      <c r="I3393" s="19"/>
      <c r="J3393" s="19"/>
      <c r="M3393" s="7"/>
    </row>
    <row r="3394" spans="2:13" x14ac:dyDescent="0.25">
      <c r="B3394"/>
      <c r="C3394"/>
      <c r="D3394"/>
      <c r="E3394"/>
      <c r="F3394"/>
      <c r="G3394"/>
      <c r="H3394" s="19"/>
      <c r="I3394" s="19"/>
      <c r="J3394" s="19"/>
      <c r="M3394" s="7"/>
    </row>
    <row r="3395" spans="2:13" x14ac:dyDescent="0.25">
      <c r="B3395"/>
      <c r="C3395"/>
      <c r="D3395"/>
      <c r="E3395"/>
      <c r="F3395"/>
      <c r="G3395"/>
      <c r="H3395" s="19"/>
      <c r="I3395" s="19"/>
      <c r="J3395" s="19"/>
      <c r="M3395" s="7"/>
    </row>
    <row r="3396" spans="2:13" x14ac:dyDescent="0.25">
      <c r="B3396"/>
      <c r="C3396"/>
      <c r="D3396"/>
      <c r="E3396"/>
      <c r="F3396"/>
      <c r="G3396"/>
      <c r="H3396" s="19"/>
      <c r="I3396" s="19"/>
      <c r="J3396" s="19"/>
      <c r="M3396" s="7"/>
    </row>
    <row r="3397" spans="2:13" x14ac:dyDescent="0.25">
      <c r="B3397"/>
      <c r="C3397"/>
      <c r="D3397"/>
      <c r="E3397"/>
      <c r="F3397"/>
      <c r="G3397"/>
      <c r="H3397" s="19"/>
      <c r="I3397" s="19"/>
      <c r="J3397" s="19"/>
      <c r="M3397" s="7"/>
    </row>
    <row r="3398" spans="2:13" x14ac:dyDescent="0.25">
      <c r="B3398"/>
      <c r="C3398"/>
      <c r="D3398"/>
      <c r="E3398"/>
      <c r="F3398"/>
      <c r="G3398"/>
      <c r="H3398" s="19"/>
      <c r="I3398" s="19"/>
      <c r="J3398" s="19"/>
      <c r="M3398" s="7"/>
    </row>
    <row r="3399" spans="2:13" x14ac:dyDescent="0.25">
      <c r="B3399"/>
      <c r="C3399"/>
      <c r="D3399"/>
      <c r="E3399"/>
      <c r="F3399"/>
      <c r="G3399"/>
      <c r="H3399" s="19"/>
      <c r="I3399" s="19"/>
      <c r="J3399" s="19"/>
      <c r="M3399" s="7"/>
    </row>
    <row r="3400" spans="2:13" x14ac:dyDescent="0.25">
      <c r="B3400"/>
      <c r="C3400"/>
      <c r="D3400"/>
      <c r="E3400"/>
      <c r="F3400"/>
      <c r="G3400"/>
      <c r="H3400" s="19"/>
      <c r="I3400" s="19"/>
      <c r="J3400" s="19"/>
      <c r="M3400" s="7"/>
    </row>
    <row r="3401" spans="2:13" x14ac:dyDescent="0.25">
      <c r="B3401"/>
      <c r="C3401"/>
      <c r="D3401"/>
      <c r="E3401"/>
      <c r="F3401"/>
      <c r="G3401"/>
      <c r="H3401" s="19"/>
      <c r="I3401" s="19"/>
      <c r="J3401" s="19"/>
      <c r="M3401" s="7"/>
    </row>
    <row r="3402" spans="2:13" x14ac:dyDescent="0.25">
      <c r="B3402"/>
      <c r="C3402"/>
      <c r="D3402"/>
      <c r="E3402"/>
      <c r="F3402"/>
      <c r="G3402"/>
      <c r="H3402" s="19"/>
      <c r="I3402" s="19"/>
      <c r="J3402" s="19"/>
      <c r="M3402" s="7"/>
    </row>
    <row r="3403" spans="2:13" x14ac:dyDescent="0.25">
      <c r="B3403"/>
      <c r="C3403"/>
      <c r="D3403"/>
      <c r="E3403"/>
      <c r="F3403"/>
      <c r="G3403"/>
      <c r="H3403" s="19"/>
      <c r="I3403" s="19"/>
      <c r="J3403" s="19"/>
      <c r="M3403" s="7"/>
    </row>
    <row r="3404" spans="2:13" x14ac:dyDescent="0.25">
      <c r="B3404"/>
      <c r="C3404"/>
      <c r="D3404"/>
      <c r="E3404"/>
      <c r="F3404"/>
      <c r="G3404"/>
      <c r="H3404" s="19"/>
      <c r="I3404" s="19"/>
      <c r="J3404" s="19"/>
      <c r="M3404" s="7"/>
    </row>
    <row r="3405" spans="2:13" x14ac:dyDescent="0.25">
      <c r="B3405"/>
      <c r="C3405"/>
      <c r="D3405"/>
      <c r="E3405"/>
      <c r="F3405"/>
      <c r="G3405"/>
      <c r="H3405" s="19"/>
      <c r="I3405" s="19"/>
      <c r="J3405" s="19"/>
      <c r="M3405" s="7"/>
    </row>
    <row r="3406" spans="2:13" x14ac:dyDescent="0.25">
      <c r="B3406"/>
      <c r="C3406"/>
      <c r="D3406"/>
      <c r="E3406"/>
      <c r="F3406"/>
      <c r="G3406"/>
      <c r="H3406" s="19"/>
      <c r="I3406" s="19"/>
      <c r="J3406" s="19"/>
      <c r="M3406" s="7"/>
    </row>
    <row r="3407" spans="2:13" x14ac:dyDescent="0.25">
      <c r="B3407"/>
      <c r="C3407"/>
      <c r="D3407"/>
      <c r="E3407"/>
      <c r="F3407"/>
      <c r="G3407"/>
      <c r="H3407" s="19"/>
      <c r="I3407" s="19"/>
      <c r="J3407" s="19"/>
      <c r="M3407" s="7"/>
    </row>
    <row r="3408" spans="2:13" x14ac:dyDescent="0.25">
      <c r="B3408"/>
      <c r="C3408"/>
      <c r="D3408"/>
      <c r="E3408"/>
      <c r="F3408"/>
      <c r="G3408"/>
      <c r="H3408" s="19"/>
      <c r="I3408" s="19"/>
      <c r="J3408" s="19"/>
      <c r="M3408" s="7"/>
    </row>
    <row r="3409" spans="2:13" x14ac:dyDescent="0.25">
      <c r="B3409"/>
      <c r="C3409"/>
      <c r="D3409"/>
      <c r="E3409"/>
      <c r="F3409"/>
      <c r="G3409"/>
      <c r="H3409" s="19"/>
      <c r="I3409" s="19"/>
      <c r="J3409" s="19"/>
      <c r="M3409" s="7"/>
    </row>
    <row r="3410" spans="2:13" x14ac:dyDescent="0.25">
      <c r="B3410"/>
      <c r="C3410"/>
      <c r="D3410"/>
      <c r="E3410"/>
      <c r="F3410"/>
      <c r="G3410"/>
      <c r="H3410" s="19"/>
      <c r="I3410" s="19"/>
      <c r="J3410" s="19"/>
      <c r="M3410" s="7"/>
    </row>
    <row r="3411" spans="2:13" x14ac:dyDescent="0.25">
      <c r="B3411"/>
      <c r="C3411"/>
      <c r="D3411"/>
      <c r="E3411"/>
      <c r="F3411"/>
      <c r="G3411"/>
      <c r="H3411" s="19"/>
      <c r="I3411" s="19"/>
      <c r="J3411" s="19"/>
      <c r="M3411" s="7"/>
    </row>
    <row r="3412" spans="2:13" x14ac:dyDescent="0.25">
      <c r="B3412"/>
      <c r="C3412"/>
      <c r="D3412"/>
      <c r="E3412"/>
      <c r="F3412"/>
      <c r="G3412"/>
      <c r="H3412" s="19"/>
      <c r="I3412" s="19"/>
      <c r="J3412" s="19"/>
      <c r="M3412" s="7"/>
    </row>
    <row r="3413" spans="2:13" x14ac:dyDescent="0.25">
      <c r="B3413"/>
      <c r="C3413"/>
      <c r="D3413"/>
      <c r="E3413"/>
      <c r="F3413"/>
      <c r="G3413"/>
      <c r="H3413" s="19"/>
      <c r="I3413" s="19"/>
      <c r="J3413" s="19"/>
      <c r="M3413" s="7"/>
    </row>
    <row r="3414" spans="2:13" x14ac:dyDescent="0.25">
      <c r="B3414"/>
      <c r="C3414"/>
      <c r="D3414"/>
      <c r="E3414"/>
      <c r="F3414"/>
      <c r="G3414"/>
      <c r="H3414" s="19"/>
      <c r="I3414" s="19"/>
      <c r="J3414" s="19"/>
      <c r="M3414" s="7"/>
    </row>
    <row r="3415" spans="2:13" x14ac:dyDescent="0.25">
      <c r="B3415"/>
      <c r="C3415"/>
      <c r="D3415"/>
      <c r="E3415"/>
      <c r="F3415"/>
      <c r="G3415"/>
      <c r="H3415" s="19"/>
      <c r="I3415" s="19"/>
      <c r="J3415" s="19"/>
      <c r="M3415" s="7"/>
    </row>
    <row r="3416" spans="2:13" x14ac:dyDescent="0.25">
      <c r="B3416"/>
      <c r="C3416"/>
      <c r="D3416"/>
      <c r="E3416"/>
      <c r="F3416"/>
      <c r="G3416"/>
      <c r="H3416" s="19"/>
      <c r="I3416" s="19"/>
      <c r="J3416" s="19"/>
      <c r="M3416" s="7"/>
    </row>
    <row r="3417" spans="2:13" x14ac:dyDescent="0.25">
      <c r="B3417"/>
      <c r="C3417"/>
      <c r="D3417"/>
      <c r="E3417"/>
      <c r="F3417"/>
      <c r="G3417"/>
      <c r="H3417" s="19"/>
      <c r="I3417" s="19"/>
      <c r="J3417" s="19"/>
      <c r="M3417" s="7"/>
    </row>
    <row r="3418" spans="2:13" x14ac:dyDescent="0.25">
      <c r="B3418"/>
      <c r="C3418"/>
      <c r="D3418"/>
      <c r="E3418"/>
      <c r="F3418"/>
      <c r="G3418"/>
      <c r="H3418" s="19"/>
      <c r="I3418" s="19"/>
      <c r="J3418" s="19"/>
      <c r="M3418" s="7"/>
    </row>
    <row r="3419" spans="2:13" x14ac:dyDescent="0.25">
      <c r="B3419"/>
      <c r="C3419"/>
      <c r="D3419"/>
      <c r="E3419"/>
      <c r="F3419"/>
      <c r="G3419"/>
      <c r="H3419" s="19"/>
      <c r="I3419" s="19"/>
      <c r="J3419" s="19"/>
      <c r="M3419" s="7"/>
    </row>
    <row r="3420" spans="2:13" x14ac:dyDescent="0.25">
      <c r="B3420"/>
      <c r="C3420"/>
      <c r="D3420"/>
      <c r="E3420"/>
      <c r="F3420"/>
      <c r="G3420"/>
      <c r="H3420" s="19"/>
      <c r="I3420" s="19"/>
      <c r="J3420" s="19"/>
      <c r="M3420" s="7"/>
    </row>
    <row r="3421" spans="2:13" x14ac:dyDescent="0.25">
      <c r="B3421"/>
      <c r="C3421"/>
      <c r="D3421"/>
      <c r="E3421"/>
      <c r="F3421"/>
      <c r="G3421"/>
      <c r="H3421" s="19"/>
      <c r="I3421" s="19"/>
      <c r="J3421" s="19"/>
      <c r="M3421" s="7"/>
    </row>
    <row r="3422" spans="2:13" x14ac:dyDescent="0.25">
      <c r="B3422"/>
      <c r="C3422"/>
      <c r="D3422"/>
      <c r="E3422"/>
      <c r="F3422"/>
      <c r="G3422"/>
      <c r="H3422" s="19"/>
      <c r="I3422" s="19"/>
      <c r="J3422" s="19"/>
      <c r="M3422" s="7"/>
    </row>
    <row r="3423" spans="2:13" x14ac:dyDescent="0.25">
      <c r="B3423"/>
      <c r="C3423"/>
      <c r="D3423"/>
      <c r="E3423"/>
      <c r="F3423"/>
      <c r="G3423"/>
      <c r="H3423" s="19"/>
      <c r="I3423" s="19"/>
      <c r="J3423" s="19"/>
      <c r="M3423" s="7"/>
    </row>
    <row r="3424" spans="2:13" x14ac:dyDescent="0.25">
      <c r="B3424"/>
      <c r="C3424"/>
      <c r="D3424"/>
      <c r="E3424"/>
      <c r="F3424"/>
      <c r="G3424"/>
      <c r="H3424" s="19"/>
      <c r="I3424" s="19"/>
      <c r="J3424" s="19"/>
      <c r="M3424" s="7"/>
    </row>
    <row r="3425" spans="2:13" x14ac:dyDescent="0.25">
      <c r="B3425"/>
      <c r="C3425"/>
      <c r="D3425"/>
      <c r="E3425"/>
      <c r="F3425"/>
      <c r="G3425"/>
      <c r="H3425" s="19"/>
      <c r="I3425" s="19"/>
      <c r="J3425" s="19"/>
      <c r="M3425" s="7"/>
    </row>
    <row r="3426" spans="2:13" x14ac:dyDescent="0.25">
      <c r="B3426"/>
      <c r="C3426"/>
      <c r="D3426"/>
      <c r="E3426"/>
      <c r="F3426"/>
      <c r="G3426"/>
      <c r="H3426" s="19"/>
      <c r="I3426" s="19"/>
      <c r="J3426" s="19"/>
      <c r="M3426" s="7"/>
    </row>
    <row r="3427" spans="2:13" x14ac:dyDescent="0.25">
      <c r="B3427"/>
      <c r="C3427"/>
      <c r="D3427"/>
      <c r="E3427"/>
      <c r="F3427"/>
      <c r="G3427"/>
      <c r="H3427" s="19"/>
      <c r="I3427" s="19"/>
      <c r="J3427" s="19"/>
      <c r="M3427" s="7"/>
    </row>
    <row r="3428" spans="2:13" x14ac:dyDescent="0.25">
      <c r="B3428"/>
      <c r="C3428"/>
      <c r="D3428"/>
      <c r="E3428"/>
      <c r="F3428"/>
      <c r="G3428"/>
      <c r="H3428" s="19"/>
      <c r="I3428" s="19"/>
      <c r="J3428" s="19"/>
      <c r="M3428" s="7"/>
    </row>
    <row r="3429" spans="2:13" x14ac:dyDescent="0.25">
      <c r="B3429"/>
      <c r="C3429"/>
      <c r="D3429"/>
      <c r="E3429"/>
      <c r="F3429"/>
      <c r="G3429"/>
      <c r="H3429" s="19"/>
      <c r="I3429" s="19"/>
      <c r="J3429" s="19"/>
      <c r="M3429" s="7"/>
    </row>
    <row r="3430" spans="2:13" x14ac:dyDescent="0.25">
      <c r="B3430"/>
      <c r="C3430"/>
      <c r="D3430"/>
      <c r="E3430"/>
      <c r="F3430"/>
      <c r="G3430"/>
      <c r="H3430" s="19"/>
      <c r="I3430" s="19"/>
      <c r="J3430" s="19"/>
      <c r="M3430" s="7"/>
    </row>
    <row r="3431" spans="2:13" x14ac:dyDescent="0.25">
      <c r="B3431"/>
      <c r="C3431"/>
      <c r="D3431"/>
      <c r="E3431"/>
      <c r="F3431"/>
      <c r="G3431"/>
      <c r="H3431" s="19"/>
      <c r="I3431" s="19"/>
      <c r="J3431" s="19"/>
      <c r="M3431" s="7"/>
    </row>
    <row r="3432" spans="2:13" x14ac:dyDescent="0.25">
      <c r="B3432"/>
      <c r="C3432"/>
      <c r="D3432"/>
      <c r="E3432"/>
      <c r="F3432"/>
      <c r="G3432"/>
      <c r="H3432" s="19"/>
      <c r="I3432" s="19"/>
      <c r="J3432" s="19"/>
      <c r="M3432" s="7"/>
    </row>
    <row r="3433" spans="2:13" x14ac:dyDescent="0.25">
      <c r="B3433"/>
      <c r="C3433"/>
      <c r="D3433"/>
      <c r="E3433"/>
      <c r="F3433"/>
      <c r="G3433"/>
      <c r="H3433" s="19"/>
      <c r="I3433" s="19"/>
      <c r="J3433" s="19"/>
      <c r="M3433" s="7"/>
    </row>
    <row r="3434" spans="2:13" x14ac:dyDescent="0.25">
      <c r="B3434"/>
      <c r="C3434"/>
      <c r="D3434"/>
      <c r="E3434"/>
      <c r="F3434"/>
      <c r="G3434"/>
      <c r="H3434" s="19"/>
      <c r="I3434" s="19"/>
      <c r="J3434" s="19"/>
      <c r="M3434" s="7"/>
    </row>
    <row r="3435" spans="2:13" x14ac:dyDescent="0.25">
      <c r="B3435"/>
      <c r="C3435"/>
      <c r="D3435"/>
      <c r="E3435"/>
      <c r="F3435"/>
      <c r="G3435"/>
      <c r="H3435" s="19"/>
      <c r="I3435" s="19"/>
      <c r="J3435" s="19"/>
      <c r="M3435" s="7"/>
    </row>
    <row r="3436" spans="2:13" x14ac:dyDescent="0.25">
      <c r="B3436"/>
      <c r="C3436"/>
      <c r="D3436"/>
      <c r="E3436"/>
      <c r="F3436"/>
      <c r="G3436"/>
      <c r="H3436" s="19"/>
      <c r="I3436" s="19"/>
      <c r="J3436" s="19"/>
      <c r="M3436" s="7"/>
    </row>
    <row r="3437" spans="2:13" x14ac:dyDescent="0.25">
      <c r="B3437"/>
      <c r="C3437"/>
      <c r="D3437"/>
      <c r="E3437"/>
      <c r="F3437"/>
      <c r="G3437"/>
      <c r="H3437" s="19"/>
      <c r="I3437" s="19"/>
      <c r="J3437" s="19"/>
      <c r="M3437" s="7"/>
    </row>
    <row r="3438" spans="2:13" x14ac:dyDescent="0.25">
      <c r="B3438"/>
      <c r="C3438"/>
      <c r="D3438"/>
      <c r="E3438"/>
      <c r="F3438"/>
      <c r="G3438"/>
      <c r="H3438" s="19"/>
      <c r="I3438" s="19"/>
      <c r="J3438" s="19"/>
      <c r="M3438" s="7"/>
    </row>
    <row r="3439" spans="2:13" x14ac:dyDescent="0.25">
      <c r="B3439"/>
      <c r="C3439"/>
      <c r="D3439"/>
      <c r="E3439"/>
      <c r="F3439"/>
      <c r="G3439"/>
      <c r="H3439" s="19"/>
      <c r="I3439" s="19"/>
      <c r="J3439" s="19"/>
      <c r="M3439" s="7"/>
    </row>
    <row r="3440" spans="2:13" x14ac:dyDescent="0.25">
      <c r="B3440"/>
      <c r="C3440"/>
      <c r="D3440"/>
      <c r="E3440"/>
      <c r="F3440"/>
      <c r="G3440"/>
      <c r="H3440" s="19"/>
      <c r="I3440" s="19"/>
      <c r="J3440" s="19"/>
      <c r="M3440" s="7"/>
    </row>
    <row r="3441" spans="2:13" x14ac:dyDescent="0.25">
      <c r="B3441"/>
      <c r="C3441"/>
      <c r="D3441"/>
      <c r="E3441"/>
      <c r="F3441"/>
      <c r="G3441"/>
      <c r="H3441" s="19"/>
      <c r="I3441" s="19"/>
      <c r="J3441" s="19"/>
      <c r="M3441" s="7"/>
    </row>
    <row r="3442" spans="2:13" x14ac:dyDescent="0.25">
      <c r="B3442"/>
      <c r="C3442"/>
      <c r="D3442"/>
      <c r="E3442"/>
      <c r="F3442"/>
      <c r="G3442"/>
      <c r="H3442" s="19"/>
      <c r="I3442" s="19"/>
      <c r="J3442" s="19"/>
      <c r="M3442" s="7"/>
    </row>
    <row r="3443" spans="2:13" x14ac:dyDescent="0.25">
      <c r="B3443"/>
      <c r="C3443"/>
      <c r="D3443"/>
      <c r="E3443"/>
      <c r="F3443"/>
      <c r="G3443"/>
      <c r="H3443" s="19"/>
      <c r="I3443" s="19"/>
      <c r="J3443" s="19"/>
      <c r="M3443" s="7"/>
    </row>
    <row r="3444" spans="2:13" x14ac:dyDescent="0.25">
      <c r="B3444"/>
      <c r="C3444"/>
      <c r="D3444"/>
      <c r="E3444"/>
      <c r="F3444"/>
      <c r="G3444"/>
      <c r="H3444" s="19"/>
      <c r="I3444" s="19"/>
      <c r="J3444" s="19"/>
      <c r="M3444" s="7"/>
    </row>
    <row r="3445" spans="2:13" x14ac:dyDescent="0.25">
      <c r="B3445"/>
      <c r="C3445"/>
      <c r="D3445"/>
      <c r="E3445"/>
      <c r="F3445"/>
      <c r="G3445"/>
      <c r="H3445" s="19"/>
      <c r="I3445" s="19"/>
      <c r="J3445" s="19"/>
      <c r="M3445" s="7"/>
    </row>
    <row r="3446" spans="2:13" x14ac:dyDescent="0.25">
      <c r="B3446"/>
      <c r="C3446"/>
      <c r="D3446"/>
      <c r="E3446"/>
      <c r="F3446"/>
      <c r="G3446"/>
      <c r="H3446" s="19"/>
      <c r="I3446" s="19"/>
      <c r="J3446" s="19"/>
      <c r="M3446" s="7"/>
    </row>
    <row r="3447" spans="2:13" x14ac:dyDescent="0.25">
      <c r="B3447"/>
      <c r="C3447"/>
      <c r="D3447"/>
      <c r="E3447"/>
      <c r="F3447"/>
      <c r="G3447"/>
      <c r="H3447" s="19"/>
      <c r="I3447" s="19"/>
      <c r="J3447" s="19"/>
      <c r="M3447" s="7"/>
    </row>
    <row r="3448" spans="2:13" x14ac:dyDescent="0.25">
      <c r="B3448"/>
      <c r="C3448"/>
      <c r="D3448"/>
      <c r="E3448"/>
      <c r="F3448"/>
      <c r="G3448"/>
      <c r="H3448" s="19"/>
      <c r="I3448" s="19"/>
      <c r="J3448" s="19"/>
      <c r="M3448" s="7"/>
    </row>
    <row r="3449" spans="2:13" x14ac:dyDescent="0.25">
      <c r="B3449"/>
      <c r="C3449"/>
      <c r="D3449"/>
      <c r="E3449"/>
      <c r="F3449"/>
      <c r="G3449"/>
      <c r="H3449" s="19"/>
      <c r="I3449" s="19"/>
      <c r="J3449" s="19"/>
      <c r="M3449" s="7"/>
    </row>
    <row r="3450" spans="2:13" x14ac:dyDescent="0.25">
      <c r="B3450"/>
      <c r="C3450"/>
      <c r="D3450"/>
      <c r="E3450"/>
      <c r="F3450"/>
      <c r="G3450"/>
      <c r="H3450" s="19"/>
      <c r="I3450" s="19"/>
      <c r="J3450" s="19"/>
      <c r="M3450" s="7"/>
    </row>
    <row r="3451" spans="2:13" x14ac:dyDescent="0.25">
      <c r="B3451"/>
      <c r="C3451"/>
      <c r="D3451"/>
      <c r="E3451"/>
      <c r="F3451"/>
      <c r="G3451"/>
      <c r="H3451" s="19"/>
      <c r="I3451" s="19"/>
      <c r="J3451" s="19"/>
      <c r="M3451" s="7"/>
    </row>
    <row r="3452" spans="2:13" x14ac:dyDescent="0.25">
      <c r="B3452"/>
      <c r="C3452"/>
      <c r="D3452"/>
      <c r="E3452"/>
      <c r="F3452"/>
      <c r="G3452"/>
      <c r="H3452" s="19"/>
      <c r="I3452" s="19"/>
      <c r="J3452" s="19"/>
      <c r="M3452" s="7"/>
    </row>
    <row r="3453" spans="2:13" x14ac:dyDescent="0.25">
      <c r="B3453"/>
      <c r="C3453"/>
      <c r="D3453"/>
      <c r="E3453"/>
      <c r="F3453"/>
      <c r="G3453"/>
      <c r="H3453" s="19"/>
      <c r="I3453" s="19"/>
      <c r="J3453" s="19"/>
      <c r="M3453" s="7"/>
    </row>
    <row r="3454" spans="2:13" x14ac:dyDescent="0.25">
      <c r="B3454"/>
      <c r="C3454"/>
      <c r="D3454"/>
      <c r="E3454"/>
      <c r="F3454"/>
      <c r="G3454"/>
      <c r="H3454" s="19"/>
      <c r="I3454" s="19"/>
      <c r="J3454" s="19"/>
      <c r="M3454" s="7"/>
    </row>
    <row r="3455" spans="2:13" x14ac:dyDescent="0.25">
      <c r="B3455"/>
      <c r="C3455"/>
      <c r="D3455"/>
      <c r="E3455"/>
      <c r="F3455"/>
      <c r="G3455"/>
      <c r="H3455" s="19"/>
      <c r="I3455" s="19"/>
      <c r="J3455" s="19"/>
      <c r="M3455" s="7"/>
    </row>
    <row r="3456" spans="2:13" x14ac:dyDescent="0.25">
      <c r="B3456"/>
      <c r="C3456"/>
      <c r="D3456"/>
      <c r="E3456"/>
      <c r="F3456"/>
      <c r="G3456"/>
      <c r="H3456" s="19"/>
      <c r="I3456" s="19"/>
      <c r="J3456" s="19"/>
      <c r="M3456" s="7"/>
    </row>
    <row r="3457" spans="2:13" x14ac:dyDescent="0.25">
      <c r="B3457"/>
      <c r="C3457"/>
      <c r="D3457"/>
      <c r="E3457"/>
      <c r="F3457"/>
      <c r="G3457"/>
      <c r="H3457" s="19"/>
      <c r="I3457" s="19"/>
      <c r="J3457" s="19"/>
      <c r="M3457" s="7"/>
    </row>
    <row r="3458" spans="2:13" x14ac:dyDescent="0.25">
      <c r="B3458"/>
      <c r="C3458"/>
      <c r="D3458"/>
      <c r="E3458"/>
      <c r="F3458"/>
      <c r="G3458"/>
      <c r="H3458" s="19"/>
      <c r="I3458" s="19"/>
      <c r="J3458" s="19"/>
      <c r="M3458" s="7"/>
    </row>
    <row r="3459" spans="2:13" x14ac:dyDescent="0.25">
      <c r="B3459"/>
      <c r="C3459"/>
      <c r="D3459"/>
      <c r="E3459"/>
      <c r="F3459"/>
      <c r="G3459"/>
      <c r="H3459" s="19"/>
      <c r="I3459" s="19"/>
      <c r="J3459" s="19"/>
      <c r="M3459" s="7"/>
    </row>
    <row r="3460" spans="2:13" x14ac:dyDescent="0.25">
      <c r="B3460"/>
      <c r="C3460"/>
      <c r="D3460"/>
      <c r="E3460"/>
      <c r="F3460"/>
      <c r="G3460"/>
      <c r="H3460" s="19"/>
      <c r="I3460" s="19"/>
      <c r="J3460" s="19"/>
      <c r="M3460" s="7"/>
    </row>
    <row r="3461" spans="2:13" x14ac:dyDescent="0.25">
      <c r="B3461"/>
      <c r="C3461"/>
      <c r="D3461"/>
      <c r="E3461"/>
      <c r="F3461"/>
      <c r="G3461"/>
      <c r="H3461" s="19"/>
      <c r="I3461" s="19"/>
      <c r="J3461" s="19"/>
      <c r="M3461" s="7"/>
    </row>
    <row r="3462" spans="2:13" x14ac:dyDescent="0.25">
      <c r="B3462"/>
      <c r="C3462"/>
      <c r="D3462"/>
      <c r="E3462"/>
      <c r="F3462"/>
      <c r="G3462"/>
      <c r="H3462" s="19"/>
      <c r="I3462" s="19"/>
      <c r="J3462" s="19"/>
      <c r="M3462" s="7"/>
    </row>
    <row r="3463" spans="2:13" x14ac:dyDescent="0.25">
      <c r="B3463"/>
      <c r="C3463"/>
      <c r="D3463"/>
      <c r="E3463"/>
      <c r="F3463"/>
      <c r="G3463"/>
      <c r="H3463" s="19"/>
      <c r="I3463" s="19"/>
      <c r="J3463" s="19"/>
      <c r="M3463" s="7"/>
    </row>
    <row r="3464" spans="2:13" x14ac:dyDescent="0.25">
      <c r="B3464"/>
      <c r="C3464"/>
      <c r="D3464"/>
      <c r="E3464"/>
      <c r="F3464"/>
      <c r="G3464"/>
      <c r="H3464" s="19"/>
      <c r="I3464" s="19"/>
      <c r="J3464" s="19"/>
      <c r="M3464" s="7"/>
    </row>
    <row r="3465" spans="2:13" x14ac:dyDescent="0.25">
      <c r="B3465"/>
      <c r="C3465"/>
      <c r="D3465"/>
      <c r="E3465"/>
      <c r="F3465"/>
      <c r="G3465"/>
      <c r="H3465" s="19"/>
      <c r="I3465" s="19"/>
      <c r="J3465" s="19"/>
      <c r="M3465" s="7"/>
    </row>
    <row r="3466" spans="2:13" x14ac:dyDescent="0.25">
      <c r="B3466"/>
      <c r="C3466"/>
      <c r="D3466"/>
      <c r="E3466"/>
      <c r="F3466"/>
      <c r="G3466"/>
      <c r="H3466" s="19"/>
      <c r="I3466" s="19"/>
      <c r="J3466" s="19"/>
      <c r="M3466" s="7"/>
    </row>
    <row r="3467" spans="2:13" x14ac:dyDescent="0.25">
      <c r="B3467"/>
      <c r="C3467"/>
      <c r="D3467"/>
      <c r="E3467"/>
      <c r="F3467"/>
      <c r="G3467"/>
      <c r="H3467" s="19"/>
      <c r="I3467" s="19"/>
      <c r="J3467" s="19"/>
      <c r="M3467" s="7"/>
    </row>
    <row r="3468" spans="2:13" x14ac:dyDescent="0.25">
      <c r="B3468"/>
      <c r="C3468"/>
      <c r="D3468"/>
      <c r="E3468"/>
      <c r="F3468"/>
      <c r="G3468"/>
      <c r="H3468" s="19"/>
      <c r="I3468" s="19"/>
      <c r="J3468" s="19"/>
      <c r="M3468" s="7"/>
    </row>
    <row r="3469" spans="2:13" x14ac:dyDescent="0.25">
      <c r="B3469"/>
      <c r="C3469"/>
      <c r="D3469"/>
      <c r="E3469"/>
      <c r="F3469"/>
      <c r="G3469"/>
      <c r="H3469" s="19"/>
      <c r="I3469" s="19"/>
      <c r="J3469" s="19"/>
      <c r="M3469" s="7"/>
    </row>
    <row r="3470" spans="2:13" x14ac:dyDescent="0.25">
      <c r="B3470"/>
      <c r="C3470"/>
      <c r="D3470"/>
      <c r="E3470"/>
      <c r="F3470"/>
      <c r="G3470"/>
      <c r="H3470" s="19"/>
      <c r="I3470" s="19"/>
      <c r="J3470" s="19"/>
      <c r="M3470" s="7"/>
    </row>
    <row r="3471" spans="2:13" x14ac:dyDescent="0.25">
      <c r="B3471"/>
      <c r="C3471"/>
      <c r="D3471"/>
      <c r="E3471"/>
      <c r="F3471"/>
      <c r="G3471"/>
      <c r="H3471" s="19"/>
      <c r="I3471" s="19"/>
      <c r="J3471" s="19"/>
      <c r="M3471" s="7"/>
    </row>
    <row r="3472" spans="2:13" x14ac:dyDescent="0.25">
      <c r="B3472"/>
      <c r="C3472"/>
      <c r="D3472"/>
      <c r="E3472"/>
      <c r="F3472"/>
      <c r="G3472"/>
      <c r="H3472" s="19"/>
      <c r="I3472" s="19"/>
      <c r="J3472" s="19"/>
      <c r="M3472" s="7"/>
    </row>
    <row r="3473" spans="2:13" x14ac:dyDescent="0.25">
      <c r="B3473"/>
      <c r="C3473"/>
      <c r="D3473"/>
      <c r="E3473"/>
      <c r="F3473"/>
      <c r="G3473"/>
      <c r="H3473" s="19"/>
      <c r="I3473" s="19"/>
      <c r="J3473" s="19"/>
      <c r="M3473" s="7"/>
    </row>
    <row r="3474" spans="2:13" x14ac:dyDescent="0.25">
      <c r="B3474"/>
      <c r="C3474"/>
      <c r="D3474"/>
      <c r="E3474"/>
      <c r="F3474"/>
      <c r="G3474"/>
      <c r="H3474" s="19"/>
      <c r="I3474" s="19"/>
      <c r="J3474" s="19"/>
      <c r="M3474" s="7"/>
    </row>
    <row r="3475" spans="2:13" x14ac:dyDescent="0.25">
      <c r="B3475"/>
      <c r="C3475"/>
      <c r="D3475"/>
      <c r="E3475"/>
      <c r="F3475"/>
      <c r="G3475"/>
      <c r="H3475" s="19"/>
      <c r="I3475" s="19"/>
      <c r="J3475" s="19"/>
      <c r="M3475" s="7"/>
    </row>
    <row r="3476" spans="2:13" x14ac:dyDescent="0.25">
      <c r="B3476"/>
      <c r="C3476"/>
      <c r="D3476"/>
      <c r="E3476"/>
      <c r="F3476"/>
      <c r="G3476"/>
      <c r="H3476" s="19"/>
      <c r="I3476" s="19"/>
      <c r="J3476" s="19"/>
      <c r="M3476" s="7"/>
    </row>
    <row r="3477" spans="2:13" x14ac:dyDescent="0.25">
      <c r="B3477"/>
      <c r="C3477"/>
      <c r="D3477"/>
      <c r="E3477"/>
      <c r="F3477"/>
      <c r="G3477"/>
      <c r="H3477" s="19"/>
      <c r="I3477" s="19"/>
      <c r="J3477" s="19"/>
      <c r="M3477" s="7"/>
    </row>
    <row r="3478" spans="2:13" x14ac:dyDescent="0.25">
      <c r="B3478"/>
      <c r="C3478"/>
      <c r="D3478"/>
      <c r="E3478"/>
      <c r="F3478"/>
      <c r="G3478"/>
      <c r="H3478" s="19"/>
      <c r="I3478" s="19"/>
      <c r="J3478" s="19"/>
      <c r="M3478" s="7"/>
    </row>
    <row r="3479" spans="2:13" x14ac:dyDescent="0.25">
      <c r="B3479"/>
      <c r="C3479"/>
      <c r="D3479"/>
      <c r="E3479"/>
      <c r="F3479"/>
      <c r="G3479"/>
      <c r="H3479" s="19"/>
      <c r="I3479" s="19"/>
      <c r="J3479" s="19"/>
      <c r="M3479" s="7"/>
    </row>
    <row r="3480" spans="2:13" x14ac:dyDescent="0.25">
      <c r="B3480"/>
      <c r="C3480"/>
      <c r="D3480"/>
      <c r="E3480"/>
      <c r="F3480"/>
      <c r="G3480"/>
      <c r="H3480" s="19"/>
      <c r="I3480" s="19"/>
      <c r="J3480" s="19"/>
      <c r="M3480" s="7"/>
    </row>
    <row r="3481" spans="2:13" x14ac:dyDescent="0.25">
      <c r="B3481"/>
      <c r="C3481"/>
      <c r="D3481"/>
      <c r="E3481"/>
      <c r="F3481"/>
      <c r="G3481"/>
      <c r="H3481" s="19"/>
      <c r="I3481" s="19"/>
      <c r="J3481" s="19"/>
      <c r="M3481" s="7"/>
    </row>
    <row r="3482" spans="2:13" x14ac:dyDescent="0.25">
      <c r="B3482"/>
      <c r="C3482"/>
      <c r="D3482"/>
      <c r="E3482"/>
      <c r="F3482"/>
      <c r="G3482"/>
      <c r="H3482" s="19"/>
      <c r="I3482" s="19"/>
      <c r="J3482" s="19"/>
      <c r="M3482" s="7"/>
    </row>
    <row r="3483" spans="2:13" x14ac:dyDescent="0.25">
      <c r="B3483"/>
      <c r="C3483"/>
      <c r="D3483"/>
      <c r="E3483"/>
      <c r="F3483"/>
      <c r="G3483"/>
      <c r="H3483" s="19"/>
      <c r="I3483" s="19"/>
      <c r="J3483" s="19"/>
      <c r="M3483" s="7"/>
    </row>
    <row r="3484" spans="2:13" x14ac:dyDescent="0.25">
      <c r="B3484"/>
      <c r="C3484"/>
      <c r="D3484"/>
      <c r="E3484"/>
      <c r="F3484"/>
      <c r="G3484"/>
      <c r="H3484" s="19"/>
      <c r="I3484" s="19"/>
      <c r="J3484" s="19"/>
      <c r="M3484" s="7"/>
    </row>
    <row r="3485" spans="2:13" x14ac:dyDescent="0.25">
      <c r="B3485"/>
      <c r="C3485"/>
      <c r="D3485"/>
      <c r="E3485"/>
      <c r="F3485"/>
      <c r="G3485"/>
      <c r="H3485" s="19"/>
      <c r="I3485" s="19"/>
      <c r="J3485" s="19"/>
      <c r="M3485" s="7"/>
    </row>
    <row r="3486" spans="2:13" x14ac:dyDescent="0.25">
      <c r="B3486"/>
      <c r="C3486"/>
      <c r="D3486"/>
      <c r="E3486"/>
      <c r="F3486"/>
      <c r="G3486"/>
      <c r="H3486" s="19"/>
      <c r="I3486" s="19"/>
      <c r="J3486" s="19"/>
      <c r="M3486" s="7"/>
    </row>
    <row r="3487" spans="2:13" x14ac:dyDescent="0.25">
      <c r="B3487"/>
      <c r="C3487"/>
      <c r="D3487"/>
      <c r="E3487"/>
      <c r="F3487"/>
      <c r="G3487"/>
      <c r="H3487" s="19"/>
      <c r="I3487" s="19"/>
      <c r="J3487" s="19"/>
      <c r="M3487" s="7"/>
    </row>
    <row r="3488" spans="2:13" x14ac:dyDescent="0.25">
      <c r="B3488"/>
      <c r="C3488"/>
      <c r="D3488"/>
      <c r="E3488"/>
      <c r="F3488"/>
      <c r="G3488"/>
      <c r="H3488" s="19"/>
      <c r="I3488" s="19"/>
      <c r="J3488" s="19"/>
      <c r="M3488" s="7"/>
    </row>
    <row r="3489" spans="2:13" x14ac:dyDescent="0.25">
      <c r="B3489"/>
      <c r="C3489"/>
      <c r="D3489"/>
      <c r="E3489"/>
      <c r="F3489"/>
      <c r="G3489"/>
      <c r="H3489" s="19"/>
      <c r="I3489" s="19"/>
      <c r="J3489" s="19"/>
      <c r="M3489" s="7"/>
    </row>
    <row r="3490" spans="2:13" x14ac:dyDescent="0.25">
      <c r="B3490"/>
      <c r="C3490"/>
      <c r="D3490"/>
      <c r="E3490"/>
      <c r="F3490"/>
      <c r="G3490"/>
      <c r="H3490" s="19"/>
      <c r="I3490" s="19"/>
      <c r="J3490" s="19"/>
      <c r="M3490" s="7"/>
    </row>
    <row r="3491" spans="2:13" x14ac:dyDescent="0.25">
      <c r="B3491"/>
      <c r="C3491"/>
      <c r="D3491"/>
      <c r="E3491"/>
      <c r="F3491"/>
      <c r="G3491"/>
      <c r="H3491" s="19"/>
      <c r="I3491" s="19"/>
      <c r="J3491" s="19"/>
      <c r="M3491" s="7"/>
    </row>
    <row r="3492" spans="2:13" x14ac:dyDescent="0.25">
      <c r="B3492"/>
      <c r="C3492"/>
      <c r="D3492"/>
      <c r="E3492"/>
      <c r="F3492"/>
      <c r="G3492"/>
      <c r="H3492" s="19"/>
      <c r="I3492" s="19"/>
      <c r="J3492" s="19"/>
      <c r="M3492" s="7"/>
    </row>
    <row r="3493" spans="2:13" x14ac:dyDescent="0.25">
      <c r="B3493"/>
      <c r="C3493"/>
      <c r="D3493"/>
      <c r="E3493"/>
      <c r="F3493"/>
      <c r="G3493"/>
      <c r="H3493" s="19"/>
      <c r="I3493" s="19"/>
      <c r="J3493" s="19"/>
      <c r="M3493" s="7"/>
    </row>
    <row r="3494" spans="2:13" x14ac:dyDescent="0.25">
      <c r="B3494"/>
      <c r="C3494"/>
      <c r="D3494"/>
      <c r="E3494"/>
      <c r="F3494"/>
      <c r="G3494"/>
      <c r="H3494" s="19"/>
      <c r="I3494" s="19"/>
      <c r="J3494" s="19"/>
      <c r="M3494" s="7"/>
    </row>
    <row r="3495" spans="2:13" x14ac:dyDescent="0.25">
      <c r="B3495"/>
      <c r="C3495"/>
      <c r="D3495"/>
      <c r="E3495"/>
      <c r="F3495"/>
      <c r="G3495"/>
      <c r="H3495" s="19"/>
      <c r="I3495" s="19"/>
      <c r="J3495" s="19"/>
      <c r="M3495" s="7"/>
    </row>
    <row r="3496" spans="2:13" x14ac:dyDescent="0.25">
      <c r="B3496"/>
      <c r="C3496"/>
      <c r="D3496"/>
      <c r="E3496"/>
      <c r="F3496"/>
      <c r="G3496"/>
      <c r="H3496" s="19"/>
      <c r="I3496" s="19"/>
      <c r="J3496" s="19"/>
      <c r="M3496" s="7"/>
    </row>
    <row r="3497" spans="2:13" x14ac:dyDescent="0.25">
      <c r="B3497"/>
      <c r="C3497"/>
      <c r="D3497"/>
      <c r="E3497"/>
      <c r="F3497"/>
      <c r="G3497"/>
      <c r="H3497" s="19"/>
      <c r="I3497" s="19"/>
      <c r="J3497" s="19"/>
      <c r="M3497" s="7"/>
    </row>
    <row r="3498" spans="2:13" x14ac:dyDescent="0.25">
      <c r="B3498"/>
      <c r="C3498"/>
      <c r="D3498"/>
      <c r="E3498"/>
      <c r="F3498"/>
      <c r="G3498"/>
      <c r="H3498" s="19"/>
      <c r="I3498" s="19"/>
      <c r="J3498" s="19"/>
      <c r="M3498" s="7"/>
    </row>
    <row r="3499" spans="2:13" x14ac:dyDescent="0.25">
      <c r="B3499"/>
      <c r="C3499"/>
      <c r="D3499"/>
      <c r="E3499"/>
      <c r="F3499"/>
      <c r="G3499"/>
      <c r="H3499" s="19"/>
      <c r="I3499" s="19"/>
      <c r="J3499" s="19"/>
      <c r="M3499" s="7"/>
    </row>
    <row r="3500" spans="2:13" x14ac:dyDescent="0.25">
      <c r="B3500"/>
      <c r="C3500"/>
      <c r="D3500"/>
      <c r="E3500"/>
      <c r="F3500"/>
      <c r="G3500"/>
      <c r="H3500" s="19"/>
      <c r="I3500" s="19"/>
      <c r="J3500" s="19"/>
      <c r="M3500" s="7"/>
    </row>
    <row r="3501" spans="2:13" x14ac:dyDescent="0.25">
      <c r="B3501"/>
      <c r="C3501"/>
      <c r="D3501"/>
      <c r="E3501"/>
      <c r="F3501"/>
      <c r="G3501"/>
      <c r="H3501" s="19"/>
      <c r="I3501" s="19"/>
      <c r="J3501" s="19"/>
      <c r="M3501" s="7"/>
    </row>
    <row r="3502" spans="2:13" x14ac:dyDescent="0.25">
      <c r="B3502"/>
      <c r="C3502"/>
      <c r="D3502"/>
      <c r="E3502"/>
      <c r="F3502"/>
      <c r="G3502"/>
      <c r="H3502" s="19"/>
      <c r="I3502" s="19"/>
      <c r="J3502" s="19"/>
      <c r="M3502" s="7"/>
    </row>
    <row r="3503" spans="2:13" x14ac:dyDescent="0.25">
      <c r="B3503"/>
      <c r="C3503"/>
      <c r="D3503"/>
      <c r="E3503"/>
      <c r="F3503"/>
      <c r="G3503"/>
      <c r="H3503" s="19"/>
      <c r="I3503" s="19"/>
      <c r="J3503" s="19"/>
      <c r="M3503" s="7"/>
    </row>
    <row r="3504" spans="2:13" x14ac:dyDescent="0.25">
      <c r="B3504"/>
      <c r="C3504"/>
      <c r="D3504"/>
      <c r="E3504"/>
      <c r="F3504"/>
      <c r="G3504"/>
      <c r="H3504" s="19"/>
      <c r="I3504" s="19"/>
      <c r="J3504" s="19"/>
      <c r="M3504" s="7"/>
    </row>
    <row r="3505" spans="2:13" x14ac:dyDescent="0.25">
      <c r="B3505"/>
      <c r="C3505"/>
      <c r="D3505"/>
      <c r="E3505"/>
      <c r="F3505"/>
      <c r="G3505"/>
      <c r="H3505" s="19"/>
      <c r="I3505" s="19"/>
      <c r="J3505" s="19"/>
      <c r="M3505" s="7"/>
    </row>
    <row r="3506" spans="2:13" x14ac:dyDescent="0.25">
      <c r="B3506"/>
      <c r="C3506"/>
      <c r="D3506"/>
      <c r="E3506"/>
      <c r="F3506"/>
      <c r="G3506"/>
      <c r="H3506" s="19"/>
      <c r="I3506" s="19"/>
      <c r="J3506" s="19"/>
      <c r="M3506" s="7"/>
    </row>
    <row r="3507" spans="2:13" x14ac:dyDescent="0.25">
      <c r="B3507"/>
      <c r="C3507"/>
      <c r="D3507"/>
      <c r="E3507"/>
      <c r="F3507"/>
      <c r="G3507"/>
      <c r="H3507" s="19"/>
      <c r="I3507" s="19"/>
      <c r="J3507" s="19"/>
      <c r="M3507" s="7"/>
    </row>
    <row r="3508" spans="2:13" x14ac:dyDescent="0.25">
      <c r="B3508"/>
      <c r="C3508"/>
      <c r="D3508"/>
      <c r="E3508"/>
      <c r="F3508"/>
      <c r="G3508"/>
      <c r="H3508" s="19"/>
      <c r="I3508" s="19"/>
      <c r="J3508" s="19"/>
      <c r="M3508" s="7"/>
    </row>
    <row r="3509" spans="2:13" x14ac:dyDescent="0.25">
      <c r="B3509"/>
      <c r="C3509"/>
      <c r="D3509"/>
      <c r="E3509"/>
      <c r="F3509"/>
      <c r="G3509"/>
      <c r="H3509" s="19"/>
      <c r="I3509" s="19"/>
      <c r="J3509" s="19"/>
      <c r="M3509" s="7"/>
    </row>
    <row r="3510" spans="2:13" x14ac:dyDescent="0.25">
      <c r="B3510"/>
      <c r="C3510"/>
      <c r="D3510"/>
      <c r="E3510"/>
      <c r="F3510"/>
      <c r="G3510"/>
      <c r="H3510" s="19"/>
      <c r="I3510" s="19"/>
      <c r="J3510" s="19"/>
      <c r="M3510" s="7"/>
    </row>
    <row r="3511" spans="2:13" x14ac:dyDescent="0.25">
      <c r="B3511"/>
      <c r="C3511"/>
      <c r="D3511"/>
      <c r="E3511"/>
      <c r="F3511"/>
      <c r="G3511"/>
      <c r="H3511" s="19"/>
      <c r="I3511" s="19"/>
      <c r="J3511" s="19"/>
      <c r="M3511" s="7"/>
    </row>
    <row r="3512" spans="2:13" x14ac:dyDescent="0.25">
      <c r="B3512"/>
      <c r="C3512"/>
      <c r="D3512"/>
      <c r="E3512"/>
      <c r="F3512"/>
      <c r="G3512"/>
      <c r="H3512" s="19"/>
      <c r="I3512" s="19"/>
      <c r="J3512" s="19"/>
      <c r="M3512" s="7"/>
    </row>
    <row r="3513" spans="2:13" x14ac:dyDescent="0.25">
      <c r="B3513"/>
      <c r="C3513"/>
      <c r="D3513"/>
      <c r="E3513"/>
      <c r="F3513"/>
      <c r="G3513"/>
      <c r="H3513" s="19"/>
      <c r="I3513" s="19"/>
      <c r="J3513" s="19"/>
      <c r="M3513" s="7"/>
    </row>
    <row r="3514" spans="2:13" x14ac:dyDescent="0.25">
      <c r="B3514"/>
      <c r="C3514"/>
      <c r="D3514"/>
      <c r="E3514"/>
      <c r="F3514"/>
      <c r="G3514"/>
      <c r="H3514" s="19"/>
      <c r="I3514" s="19"/>
      <c r="J3514" s="19"/>
      <c r="M3514" s="7"/>
    </row>
    <row r="3515" spans="2:13" x14ac:dyDescent="0.25">
      <c r="B3515"/>
      <c r="C3515"/>
      <c r="D3515"/>
      <c r="E3515"/>
      <c r="F3515"/>
      <c r="G3515"/>
      <c r="H3515" s="19"/>
      <c r="I3515" s="19"/>
      <c r="J3515" s="19"/>
      <c r="M3515" s="7"/>
    </row>
    <row r="3516" spans="2:13" x14ac:dyDescent="0.25">
      <c r="B3516"/>
      <c r="C3516"/>
      <c r="D3516"/>
      <c r="E3516"/>
      <c r="F3516"/>
      <c r="G3516"/>
      <c r="H3516" s="19"/>
      <c r="I3516" s="19"/>
      <c r="J3516" s="19"/>
      <c r="M3516" s="7"/>
    </row>
    <row r="3517" spans="2:13" x14ac:dyDescent="0.25">
      <c r="B3517"/>
      <c r="C3517"/>
      <c r="D3517"/>
      <c r="E3517"/>
      <c r="F3517"/>
      <c r="G3517"/>
      <c r="H3517" s="19"/>
      <c r="I3517" s="19"/>
      <c r="J3517" s="19"/>
      <c r="M3517" s="7"/>
    </row>
    <row r="3518" spans="2:13" x14ac:dyDescent="0.25">
      <c r="B3518"/>
      <c r="C3518"/>
      <c r="D3518"/>
      <c r="E3518"/>
      <c r="F3518"/>
      <c r="G3518"/>
      <c r="H3518" s="19"/>
      <c r="I3518" s="19"/>
      <c r="J3518" s="19"/>
      <c r="M3518" s="7"/>
    </row>
    <row r="3519" spans="2:13" x14ac:dyDescent="0.25">
      <c r="B3519"/>
      <c r="C3519"/>
      <c r="D3519"/>
      <c r="E3519"/>
      <c r="F3519"/>
      <c r="G3519"/>
      <c r="H3519" s="19"/>
      <c r="I3519" s="19"/>
      <c r="J3519" s="19"/>
      <c r="M3519" s="7"/>
    </row>
    <row r="3520" spans="2:13" x14ac:dyDescent="0.25">
      <c r="B3520"/>
      <c r="C3520"/>
      <c r="D3520"/>
      <c r="E3520"/>
      <c r="F3520"/>
      <c r="G3520"/>
      <c r="H3520" s="19"/>
      <c r="I3520" s="19"/>
      <c r="J3520" s="19"/>
      <c r="M3520" s="7"/>
    </row>
    <row r="3521" spans="2:13" x14ac:dyDescent="0.25">
      <c r="B3521"/>
      <c r="C3521"/>
      <c r="D3521"/>
      <c r="E3521"/>
      <c r="F3521"/>
      <c r="G3521"/>
      <c r="H3521" s="19"/>
      <c r="I3521" s="19"/>
      <c r="J3521" s="19"/>
      <c r="M3521" s="7"/>
    </row>
    <row r="3522" spans="2:13" x14ac:dyDescent="0.25">
      <c r="B3522"/>
      <c r="C3522"/>
      <c r="D3522"/>
      <c r="E3522"/>
      <c r="F3522"/>
      <c r="G3522"/>
      <c r="H3522" s="19"/>
      <c r="I3522" s="19"/>
      <c r="J3522" s="19"/>
      <c r="M3522" s="7"/>
    </row>
    <row r="3523" spans="2:13" x14ac:dyDescent="0.25">
      <c r="B3523"/>
      <c r="C3523"/>
      <c r="D3523"/>
      <c r="E3523"/>
      <c r="F3523"/>
      <c r="G3523"/>
      <c r="H3523" s="19"/>
      <c r="I3523" s="19"/>
      <c r="J3523" s="19"/>
      <c r="M3523" s="7"/>
    </row>
    <row r="3524" spans="2:13" x14ac:dyDescent="0.25">
      <c r="B3524"/>
      <c r="C3524"/>
      <c r="D3524"/>
      <c r="E3524"/>
      <c r="F3524"/>
      <c r="G3524"/>
      <c r="H3524" s="19"/>
      <c r="I3524" s="19"/>
      <c r="J3524" s="19"/>
      <c r="M3524" s="7"/>
    </row>
    <row r="3525" spans="2:13" x14ac:dyDescent="0.25">
      <c r="B3525"/>
      <c r="C3525"/>
      <c r="D3525"/>
      <c r="E3525"/>
      <c r="F3525"/>
      <c r="G3525"/>
      <c r="H3525" s="19"/>
      <c r="I3525" s="19"/>
      <c r="J3525" s="19"/>
      <c r="M3525" s="7"/>
    </row>
    <row r="3526" spans="2:13" x14ac:dyDescent="0.25">
      <c r="B3526"/>
      <c r="C3526"/>
      <c r="D3526"/>
      <c r="E3526"/>
      <c r="F3526"/>
      <c r="G3526"/>
      <c r="H3526" s="19"/>
      <c r="I3526" s="19"/>
      <c r="J3526" s="19"/>
      <c r="M3526" s="7"/>
    </row>
    <row r="3527" spans="2:13" x14ac:dyDescent="0.25">
      <c r="B3527"/>
      <c r="C3527"/>
      <c r="D3527"/>
      <c r="E3527"/>
      <c r="F3527"/>
      <c r="G3527"/>
      <c r="H3527" s="19"/>
      <c r="I3527" s="19"/>
      <c r="J3527" s="19"/>
      <c r="M3527" s="7"/>
    </row>
    <row r="3528" spans="2:13" x14ac:dyDescent="0.25">
      <c r="B3528"/>
      <c r="C3528"/>
      <c r="D3528"/>
      <c r="E3528"/>
      <c r="F3528"/>
      <c r="G3528"/>
      <c r="H3528" s="19"/>
      <c r="I3528" s="19"/>
      <c r="J3528" s="19"/>
      <c r="M3528" s="7"/>
    </row>
    <row r="3529" spans="2:13" x14ac:dyDescent="0.25">
      <c r="B3529"/>
      <c r="C3529"/>
      <c r="D3529"/>
      <c r="E3529"/>
      <c r="F3529"/>
      <c r="G3529"/>
      <c r="H3529" s="19"/>
      <c r="I3529" s="19"/>
      <c r="J3529" s="19"/>
      <c r="M3529" s="7"/>
    </row>
    <row r="3530" spans="2:13" x14ac:dyDescent="0.25">
      <c r="B3530"/>
      <c r="C3530"/>
      <c r="D3530"/>
      <c r="E3530"/>
      <c r="F3530"/>
      <c r="G3530"/>
      <c r="H3530" s="19"/>
      <c r="I3530" s="19"/>
      <c r="J3530" s="19"/>
      <c r="M3530" s="7"/>
    </row>
    <row r="3531" spans="2:13" x14ac:dyDescent="0.25">
      <c r="B3531"/>
      <c r="C3531"/>
      <c r="D3531"/>
      <c r="E3531"/>
      <c r="F3531"/>
      <c r="G3531"/>
      <c r="H3531" s="19"/>
      <c r="I3531" s="19"/>
      <c r="J3531" s="19"/>
      <c r="M3531" s="7"/>
    </row>
    <row r="3532" spans="2:13" x14ac:dyDescent="0.25">
      <c r="B3532"/>
      <c r="C3532"/>
      <c r="D3532"/>
      <c r="E3532"/>
      <c r="F3532"/>
      <c r="G3532"/>
      <c r="H3532" s="19"/>
      <c r="I3532" s="19"/>
      <c r="J3532" s="19"/>
      <c r="M3532" s="7"/>
    </row>
    <row r="3533" spans="2:13" x14ac:dyDescent="0.25">
      <c r="B3533"/>
      <c r="C3533"/>
      <c r="D3533"/>
      <c r="E3533"/>
      <c r="F3533"/>
      <c r="G3533"/>
      <c r="H3533" s="19"/>
      <c r="I3533" s="19"/>
      <c r="J3533" s="19"/>
      <c r="M3533" s="7"/>
    </row>
    <row r="3534" spans="2:13" x14ac:dyDescent="0.25">
      <c r="B3534"/>
      <c r="C3534"/>
      <c r="D3534"/>
      <c r="E3534"/>
      <c r="F3534"/>
      <c r="G3534"/>
      <c r="H3534" s="19"/>
      <c r="I3534" s="19"/>
      <c r="J3534" s="19"/>
      <c r="M3534" s="7"/>
    </row>
    <row r="3535" spans="2:13" x14ac:dyDescent="0.25">
      <c r="B3535"/>
      <c r="C3535"/>
      <c r="D3535"/>
      <c r="E3535"/>
      <c r="F3535"/>
      <c r="G3535"/>
      <c r="H3535" s="19"/>
      <c r="I3535" s="19"/>
      <c r="J3535" s="19"/>
      <c r="M3535" s="7"/>
    </row>
    <row r="3536" spans="2:13" x14ac:dyDescent="0.25">
      <c r="B3536"/>
      <c r="C3536"/>
      <c r="D3536"/>
      <c r="E3536"/>
      <c r="F3536"/>
      <c r="G3536"/>
      <c r="H3536" s="19"/>
      <c r="I3536" s="19"/>
      <c r="J3536" s="19"/>
      <c r="M3536" s="7"/>
    </row>
    <row r="3537" spans="2:13" x14ac:dyDescent="0.25">
      <c r="B3537"/>
      <c r="C3537"/>
      <c r="D3537"/>
      <c r="E3537"/>
      <c r="F3537"/>
      <c r="G3537"/>
      <c r="H3537" s="19"/>
      <c r="I3537" s="19"/>
      <c r="J3537" s="19"/>
      <c r="M3537" s="7"/>
    </row>
    <row r="3538" spans="2:13" x14ac:dyDescent="0.25">
      <c r="B3538"/>
      <c r="C3538"/>
      <c r="D3538"/>
      <c r="E3538"/>
      <c r="F3538"/>
      <c r="G3538"/>
      <c r="H3538" s="19"/>
      <c r="I3538" s="19"/>
      <c r="J3538" s="19"/>
      <c r="M3538" s="7"/>
    </row>
    <row r="3539" spans="2:13" x14ac:dyDescent="0.25">
      <c r="B3539"/>
      <c r="C3539"/>
      <c r="D3539"/>
      <c r="E3539"/>
      <c r="F3539"/>
      <c r="G3539"/>
      <c r="H3539" s="19"/>
      <c r="I3539" s="19"/>
      <c r="J3539" s="19"/>
      <c r="M3539" s="7"/>
    </row>
    <row r="3540" spans="2:13" x14ac:dyDescent="0.25">
      <c r="B3540"/>
      <c r="C3540"/>
      <c r="D3540"/>
      <c r="E3540"/>
      <c r="F3540"/>
      <c r="G3540"/>
      <c r="H3540" s="19"/>
      <c r="I3540" s="19"/>
      <c r="J3540" s="19"/>
      <c r="M3540" s="7"/>
    </row>
    <row r="3541" spans="2:13" x14ac:dyDescent="0.25">
      <c r="B3541"/>
      <c r="C3541"/>
      <c r="D3541"/>
      <c r="E3541"/>
      <c r="F3541"/>
      <c r="G3541"/>
      <c r="H3541" s="19"/>
      <c r="I3541" s="19"/>
      <c r="J3541" s="19"/>
      <c r="M3541" s="7"/>
    </row>
    <row r="3542" spans="2:13" x14ac:dyDescent="0.25">
      <c r="B3542"/>
      <c r="C3542"/>
      <c r="D3542"/>
      <c r="E3542"/>
      <c r="F3542"/>
      <c r="G3542"/>
      <c r="H3542" s="19"/>
      <c r="I3542" s="19"/>
      <c r="J3542" s="19"/>
      <c r="M3542" s="7"/>
    </row>
    <row r="3543" spans="2:13" x14ac:dyDescent="0.25">
      <c r="B3543"/>
      <c r="C3543"/>
      <c r="D3543"/>
      <c r="E3543"/>
      <c r="F3543"/>
      <c r="G3543"/>
      <c r="H3543" s="19"/>
      <c r="I3543" s="19"/>
      <c r="J3543" s="19"/>
      <c r="M3543" s="7"/>
    </row>
    <row r="3544" spans="2:13" x14ac:dyDescent="0.25">
      <c r="B3544"/>
      <c r="C3544"/>
      <c r="D3544"/>
      <c r="E3544"/>
      <c r="F3544"/>
      <c r="G3544"/>
      <c r="H3544" s="19"/>
      <c r="I3544" s="19"/>
      <c r="J3544" s="19"/>
      <c r="M3544" s="7"/>
    </row>
    <row r="3545" spans="2:13" x14ac:dyDescent="0.25">
      <c r="B3545"/>
      <c r="C3545"/>
      <c r="D3545"/>
      <c r="E3545"/>
      <c r="F3545"/>
      <c r="G3545"/>
      <c r="H3545" s="19"/>
      <c r="I3545" s="19"/>
      <c r="J3545" s="19"/>
      <c r="M3545" s="7"/>
    </row>
    <row r="3546" spans="2:13" x14ac:dyDescent="0.25">
      <c r="B3546"/>
      <c r="C3546"/>
      <c r="D3546"/>
      <c r="E3546"/>
      <c r="F3546"/>
      <c r="G3546"/>
      <c r="H3546" s="19"/>
      <c r="I3546" s="19"/>
      <c r="J3546" s="19"/>
      <c r="M3546" s="7"/>
    </row>
    <row r="3547" spans="2:13" x14ac:dyDescent="0.25">
      <c r="B3547"/>
      <c r="C3547"/>
      <c r="D3547"/>
      <c r="E3547"/>
      <c r="F3547"/>
      <c r="G3547"/>
      <c r="H3547" s="19"/>
      <c r="I3547" s="19"/>
      <c r="J3547" s="19"/>
      <c r="M3547" s="7"/>
    </row>
    <row r="3548" spans="2:13" x14ac:dyDescent="0.25">
      <c r="B3548"/>
      <c r="C3548"/>
      <c r="D3548"/>
      <c r="E3548"/>
      <c r="F3548"/>
      <c r="G3548"/>
      <c r="H3548" s="19"/>
      <c r="I3548" s="19"/>
      <c r="J3548" s="19"/>
      <c r="M3548" s="7"/>
    </row>
    <row r="3549" spans="2:13" x14ac:dyDescent="0.25">
      <c r="B3549"/>
      <c r="C3549"/>
      <c r="D3549"/>
      <c r="E3549"/>
      <c r="F3549"/>
      <c r="G3549"/>
      <c r="H3549" s="19"/>
      <c r="I3549" s="19"/>
      <c r="J3549" s="19"/>
      <c r="M3549" s="7"/>
    </row>
    <row r="3550" spans="2:13" x14ac:dyDescent="0.25">
      <c r="B3550"/>
      <c r="C3550"/>
      <c r="D3550"/>
      <c r="E3550"/>
      <c r="F3550"/>
      <c r="G3550"/>
      <c r="H3550" s="19"/>
      <c r="I3550" s="19"/>
      <c r="J3550" s="19"/>
      <c r="M3550" s="7"/>
    </row>
    <row r="3551" spans="2:13" x14ac:dyDescent="0.25">
      <c r="B3551"/>
      <c r="C3551"/>
      <c r="D3551"/>
      <c r="E3551"/>
      <c r="F3551"/>
      <c r="G3551"/>
      <c r="H3551" s="19"/>
      <c r="I3551" s="19"/>
      <c r="J3551" s="19"/>
      <c r="M3551" s="7"/>
    </row>
    <row r="3552" spans="2:13" x14ac:dyDescent="0.25">
      <c r="B3552"/>
      <c r="C3552"/>
      <c r="D3552"/>
      <c r="E3552"/>
      <c r="F3552"/>
      <c r="G3552"/>
      <c r="H3552" s="19"/>
      <c r="I3552" s="19"/>
      <c r="J3552" s="19"/>
      <c r="M3552" s="7"/>
    </row>
    <row r="3553" spans="2:13" x14ac:dyDescent="0.25">
      <c r="B3553"/>
      <c r="C3553"/>
      <c r="D3553"/>
      <c r="E3553"/>
      <c r="F3553"/>
      <c r="G3553"/>
      <c r="H3553" s="19"/>
      <c r="I3553" s="19"/>
      <c r="J3553" s="19"/>
      <c r="M3553" s="7"/>
    </row>
    <row r="3554" spans="2:13" x14ac:dyDescent="0.25">
      <c r="B3554"/>
      <c r="C3554"/>
      <c r="D3554"/>
      <c r="E3554"/>
      <c r="F3554"/>
      <c r="G3554"/>
      <c r="H3554" s="19"/>
      <c r="I3554" s="19"/>
      <c r="J3554" s="19"/>
      <c r="M3554" s="7"/>
    </row>
    <row r="3555" spans="2:13" x14ac:dyDescent="0.25">
      <c r="B3555"/>
      <c r="C3555"/>
      <c r="D3555"/>
      <c r="E3555"/>
      <c r="F3555"/>
      <c r="G3555"/>
      <c r="H3555" s="19"/>
      <c r="I3555" s="19"/>
      <c r="J3555" s="19"/>
      <c r="M3555" s="7"/>
    </row>
    <row r="3556" spans="2:13" x14ac:dyDescent="0.25">
      <c r="B3556"/>
      <c r="C3556"/>
      <c r="D3556"/>
      <c r="E3556"/>
      <c r="F3556"/>
      <c r="G3556"/>
      <c r="H3556" s="19"/>
      <c r="I3556" s="19"/>
      <c r="J3556" s="19"/>
      <c r="M3556" s="7"/>
    </row>
    <row r="3557" spans="2:13" x14ac:dyDescent="0.25">
      <c r="B3557"/>
      <c r="C3557"/>
      <c r="D3557"/>
      <c r="E3557"/>
      <c r="F3557"/>
      <c r="G3557"/>
      <c r="H3557" s="19"/>
      <c r="I3557" s="19"/>
      <c r="J3557" s="19"/>
      <c r="M3557" s="7"/>
    </row>
    <row r="3558" spans="2:13" x14ac:dyDescent="0.25">
      <c r="B3558"/>
      <c r="C3558"/>
      <c r="D3558"/>
      <c r="E3558"/>
      <c r="F3558"/>
      <c r="G3558"/>
      <c r="H3558" s="19"/>
      <c r="I3558" s="19"/>
      <c r="J3558" s="19"/>
      <c r="M3558" s="7"/>
    </row>
    <row r="3559" spans="2:13" x14ac:dyDescent="0.25">
      <c r="B3559"/>
      <c r="C3559"/>
      <c r="D3559"/>
      <c r="E3559"/>
      <c r="F3559"/>
      <c r="G3559"/>
      <c r="H3559" s="19"/>
      <c r="I3559" s="19"/>
      <c r="J3559" s="19"/>
      <c r="M3559" s="7"/>
    </row>
    <row r="3560" spans="2:13" x14ac:dyDescent="0.25">
      <c r="B3560"/>
      <c r="C3560"/>
      <c r="D3560"/>
      <c r="E3560"/>
      <c r="F3560"/>
      <c r="G3560"/>
      <c r="H3560" s="19"/>
      <c r="I3560" s="19"/>
      <c r="J3560" s="19"/>
      <c r="M3560" s="7"/>
    </row>
    <row r="3561" spans="2:13" x14ac:dyDescent="0.25">
      <c r="B3561"/>
      <c r="C3561"/>
      <c r="D3561"/>
      <c r="E3561"/>
      <c r="F3561"/>
      <c r="G3561"/>
      <c r="H3561" s="19"/>
      <c r="I3561" s="19"/>
      <c r="J3561" s="19"/>
      <c r="M3561" s="7"/>
    </row>
    <row r="3562" spans="2:13" x14ac:dyDescent="0.25">
      <c r="B3562"/>
      <c r="C3562"/>
      <c r="D3562"/>
      <c r="E3562"/>
      <c r="F3562"/>
      <c r="G3562"/>
      <c r="H3562" s="19"/>
      <c r="I3562" s="19"/>
      <c r="J3562" s="19"/>
      <c r="M3562" s="7"/>
    </row>
    <row r="3563" spans="2:13" x14ac:dyDescent="0.25">
      <c r="B3563"/>
      <c r="C3563"/>
      <c r="D3563"/>
      <c r="E3563"/>
      <c r="F3563"/>
      <c r="G3563"/>
      <c r="H3563" s="19"/>
      <c r="I3563" s="19"/>
      <c r="J3563" s="19"/>
      <c r="M3563" s="7"/>
    </row>
    <row r="3564" spans="2:13" x14ac:dyDescent="0.25">
      <c r="B3564"/>
      <c r="C3564"/>
      <c r="D3564"/>
      <c r="E3564"/>
      <c r="F3564"/>
      <c r="G3564"/>
      <c r="H3564" s="19"/>
      <c r="I3564" s="19"/>
      <c r="J3564" s="19"/>
      <c r="M3564" s="7"/>
    </row>
    <row r="3565" spans="2:13" x14ac:dyDescent="0.25">
      <c r="B3565"/>
      <c r="C3565"/>
      <c r="D3565"/>
      <c r="E3565"/>
      <c r="F3565"/>
      <c r="G3565"/>
      <c r="H3565" s="19"/>
      <c r="I3565" s="19"/>
      <c r="J3565" s="19"/>
      <c r="M3565" s="7"/>
    </row>
    <row r="3566" spans="2:13" x14ac:dyDescent="0.25">
      <c r="B3566"/>
      <c r="C3566"/>
      <c r="D3566"/>
      <c r="E3566"/>
      <c r="F3566"/>
      <c r="G3566"/>
      <c r="H3566" s="19"/>
      <c r="I3566" s="19"/>
      <c r="J3566" s="19"/>
      <c r="M3566" s="7"/>
    </row>
    <row r="3567" spans="2:13" x14ac:dyDescent="0.25">
      <c r="B3567"/>
      <c r="C3567"/>
      <c r="D3567"/>
      <c r="E3567"/>
      <c r="F3567"/>
      <c r="G3567"/>
      <c r="H3567" s="19"/>
      <c r="I3567" s="19"/>
      <c r="J3567" s="19"/>
      <c r="M3567" s="7"/>
    </row>
    <row r="3568" spans="2:13" x14ac:dyDescent="0.25">
      <c r="B3568"/>
      <c r="C3568"/>
      <c r="D3568"/>
      <c r="E3568"/>
      <c r="F3568"/>
      <c r="G3568"/>
      <c r="H3568" s="19"/>
      <c r="I3568" s="19"/>
      <c r="J3568" s="19"/>
      <c r="M3568" s="7"/>
    </row>
    <row r="3569" spans="2:13" x14ac:dyDescent="0.25">
      <c r="B3569"/>
      <c r="C3569"/>
      <c r="D3569"/>
      <c r="E3569"/>
      <c r="F3569"/>
      <c r="G3569"/>
      <c r="H3569" s="19"/>
      <c r="I3569" s="19"/>
      <c r="J3569" s="19"/>
      <c r="M3569" s="7"/>
    </row>
    <row r="3570" spans="2:13" x14ac:dyDescent="0.25">
      <c r="B3570"/>
      <c r="C3570"/>
      <c r="D3570"/>
      <c r="E3570"/>
      <c r="F3570"/>
      <c r="G3570"/>
      <c r="H3570" s="19"/>
      <c r="I3570" s="19"/>
      <c r="J3570" s="19"/>
      <c r="M3570" s="7"/>
    </row>
    <row r="3571" spans="2:13" x14ac:dyDescent="0.25">
      <c r="B3571"/>
      <c r="C3571"/>
      <c r="D3571"/>
      <c r="E3571"/>
      <c r="F3571"/>
      <c r="G3571"/>
      <c r="H3571" s="19"/>
      <c r="I3571" s="19"/>
      <c r="J3571" s="19"/>
      <c r="M3571" s="7"/>
    </row>
    <row r="3572" spans="2:13" x14ac:dyDescent="0.25">
      <c r="B3572"/>
      <c r="C3572"/>
      <c r="D3572"/>
      <c r="E3572"/>
      <c r="F3572"/>
      <c r="G3572"/>
      <c r="H3572" s="19"/>
      <c r="I3572" s="19"/>
      <c r="J3572" s="19"/>
      <c r="M3572" s="7"/>
    </row>
    <row r="3573" spans="2:13" x14ac:dyDescent="0.25">
      <c r="B3573"/>
      <c r="C3573"/>
      <c r="D3573"/>
      <c r="E3573"/>
      <c r="F3573"/>
      <c r="G3573"/>
      <c r="H3573" s="19"/>
      <c r="I3573" s="19"/>
      <c r="J3573" s="19"/>
      <c r="M3573" s="7"/>
    </row>
    <row r="3574" spans="2:13" x14ac:dyDescent="0.25">
      <c r="B3574"/>
      <c r="C3574"/>
      <c r="D3574"/>
      <c r="E3574"/>
      <c r="F3574"/>
      <c r="G3574"/>
      <c r="H3574" s="19"/>
      <c r="I3574" s="19"/>
      <c r="J3574" s="19"/>
      <c r="M3574" s="7"/>
    </row>
    <row r="3575" spans="2:13" x14ac:dyDescent="0.25">
      <c r="B3575"/>
      <c r="C3575"/>
      <c r="D3575"/>
      <c r="E3575"/>
      <c r="F3575"/>
      <c r="G3575"/>
      <c r="H3575" s="19"/>
      <c r="I3575" s="19"/>
      <c r="J3575" s="19"/>
      <c r="M3575" s="7"/>
    </row>
    <row r="3576" spans="2:13" x14ac:dyDescent="0.25">
      <c r="B3576"/>
      <c r="C3576"/>
      <c r="D3576"/>
      <c r="E3576"/>
      <c r="F3576"/>
      <c r="G3576"/>
      <c r="H3576" s="19"/>
      <c r="I3576" s="19"/>
      <c r="J3576" s="19"/>
      <c r="M3576" s="7"/>
    </row>
    <row r="3577" spans="2:13" x14ac:dyDescent="0.25">
      <c r="B3577"/>
      <c r="C3577"/>
      <c r="D3577"/>
      <c r="E3577"/>
      <c r="F3577"/>
      <c r="G3577"/>
      <c r="H3577" s="19"/>
      <c r="I3577" s="19"/>
      <c r="J3577" s="19"/>
      <c r="M3577" s="7"/>
    </row>
    <row r="3578" spans="2:13" x14ac:dyDescent="0.25">
      <c r="B3578"/>
      <c r="C3578"/>
      <c r="D3578"/>
      <c r="E3578"/>
      <c r="F3578"/>
      <c r="G3578"/>
      <c r="H3578" s="19"/>
      <c r="I3578" s="19"/>
      <c r="J3578" s="19"/>
      <c r="M3578" s="7"/>
    </row>
    <row r="3579" spans="2:13" x14ac:dyDescent="0.25">
      <c r="B3579"/>
      <c r="C3579"/>
      <c r="D3579"/>
      <c r="E3579"/>
      <c r="F3579"/>
      <c r="G3579"/>
      <c r="H3579" s="19"/>
      <c r="I3579" s="19"/>
      <c r="J3579" s="19"/>
      <c r="M3579" s="7"/>
    </row>
    <row r="3580" spans="2:13" x14ac:dyDescent="0.25">
      <c r="B3580"/>
      <c r="C3580"/>
      <c r="D3580"/>
      <c r="E3580"/>
      <c r="F3580"/>
      <c r="G3580"/>
      <c r="H3580" s="19"/>
      <c r="I3580" s="19"/>
      <c r="J3580" s="19"/>
      <c r="M3580" s="7"/>
    </row>
    <row r="3581" spans="2:13" x14ac:dyDescent="0.25">
      <c r="B3581"/>
      <c r="C3581"/>
      <c r="D3581"/>
      <c r="E3581"/>
      <c r="F3581"/>
      <c r="G3581"/>
      <c r="H3581" s="19"/>
      <c r="I3581" s="19"/>
      <c r="J3581" s="19"/>
      <c r="M3581" s="7"/>
    </row>
    <row r="3582" spans="2:13" x14ac:dyDescent="0.25">
      <c r="B3582"/>
      <c r="C3582"/>
      <c r="D3582"/>
      <c r="E3582"/>
      <c r="F3582"/>
      <c r="G3582"/>
      <c r="H3582" s="19"/>
      <c r="I3582" s="19"/>
      <c r="J3582" s="19"/>
      <c r="M3582" s="7"/>
    </row>
    <row r="3583" spans="2:13" x14ac:dyDescent="0.25">
      <c r="B3583"/>
      <c r="C3583"/>
      <c r="D3583"/>
      <c r="E3583"/>
      <c r="F3583"/>
      <c r="G3583"/>
      <c r="H3583" s="19"/>
      <c r="I3583" s="19"/>
      <c r="J3583" s="19"/>
      <c r="M3583" s="7"/>
    </row>
    <row r="3584" spans="2:13" x14ac:dyDescent="0.25">
      <c r="B3584"/>
      <c r="C3584"/>
      <c r="D3584"/>
      <c r="E3584"/>
      <c r="F3584"/>
      <c r="G3584"/>
      <c r="H3584" s="19"/>
      <c r="I3584" s="19"/>
      <c r="J3584" s="19"/>
      <c r="M3584" s="7"/>
    </row>
    <row r="3585" spans="2:13" x14ac:dyDescent="0.25">
      <c r="B3585"/>
      <c r="C3585"/>
      <c r="D3585"/>
      <c r="E3585"/>
      <c r="F3585"/>
      <c r="G3585"/>
      <c r="H3585" s="19"/>
      <c r="I3585" s="19"/>
      <c r="J3585" s="19"/>
      <c r="M3585" s="7"/>
    </row>
    <row r="3586" spans="2:13" x14ac:dyDescent="0.25">
      <c r="B3586"/>
      <c r="C3586"/>
      <c r="D3586"/>
      <c r="E3586"/>
      <c r="F3586"/>
      <c r="G3586"/>
      <c r="H3586" s="19"/>
      <c r="I3586" s="19"/>
      <c r="J3586" s="19"/>
      <c r="M3586" s="7"/>
    </row>
    <row r="3587" spans="2:13" x14ac:dyDescent="0.25">
      <c r="B3587"/>
      <c r="C3587"/>
      <c r="D3587"/>
      <c r="E3587"/>
      <c r="F3587"/>
      <c r="G3587"/>
      <c r="H3587" s="19"/>
      <c r="I3587" s="19"/>
      <c r="J3587" s="19"/>
      <c r="M3587" s="7"/>
    </row>
    <row r="3588" spans="2:13" x14ac:dyDescent="0.25">
      <c r="B3588"/>
      <c r="C3588"/>
      <c r="D3588"/>
      <c r="E3588"/>
      <c r="F3588"/>
      <c r="G3588"/>
      <c r="H3588" s="19"/>
      <c r="I3588" s="19"/>
      <c r="J3588" s="19"/>
      <c r="M3588" s="7"/>
    </row>
    <row r="3589" spans="2:13" x14ac:dyDescent="0.25">
      <c r="B3589"/>
      <c r="C3589"/>
      <c r="D3589"/>
      <c r="E3589"/>
      <c r="F3589"/>
      <c r="G3589"/>
      <c r="H3589" s="19"/>
      <c r="I3589" s="19"/>
      <c r="J3589" s="19"/>
      <c r="M3589" s="7"/>
    </row>
    <row r="3590" spans="2:13" x14ac:dyDescent="0.25">
      <c r="B3590"/>
      <c r="C3590"/>
      <c r="D3590"/>
      <c r="E3590"/>
      <c r="F3590"/>
      <c r="G3590"/>
      <c r="H3590" s="19"/>
      <c r="I3590" s="19"/>
      <c r="J3590" s="19"/>
      <c r="M3590" s="7"/>
    </row>
    <row r="3591" spans="2:13" x14ac:dyDescent="0.25">
      <c r="B3591"/>
      <c r="C3591"/>
      <c r="D3591"/>
      <c r="E3591"/>
      <c r="F3591"/>
      <c r="G3591"/>
      <c r="H3591" s="19"/>
      <c r="I3591" s="19"/>
      <c r="J3591" s="19"/>
      <c r="M3591" s="7"/>
    </row>
    <row r="3592" spans="2:13" x14ac:dyDescent="0.25">
      <c r="B3592"/>
      <c r="C3592"/>
      <c r="D3592"/>
      <c r="E3592"/>
      <c r="F3592"/>
      <c r="G3592"/>
      <c r="H3592" s="19"/>
      <c r="I3592" s="19"/>
      <c r="J3592" s="19"/>
      <c r="M3592" s="7"/>
    </row>
    <row r="3593" spans="2:13" x14ac:dyDescent="0.25">
      <c r="B3593"/>
      <c r="C3593"/>
      <c r="D3593"/>
      <c r="E3593"/>
      <c r="F3593"/>
      <c r="G3593"/>
      <c r="H3593" s="19"/>
      <c r="I3593" s="19"/>
      <c r="J3593" s="19"/>
      <c r="M3593" s="7"/>
    </row>
    <row r="3594" spans="2:13" x14ac:dyDescent="0.25">
      <c r="B3594"/>
      <c r="C3594"/>
      <c r="D3594"/>
      <c r="E3594"/>
      <c r="F3594"/>
      <c r="G3594"/>
      <c r="H3594" s="19"/>
      <c r="I3594" s="19"/>
      <c r="J3594" s="19"/>
      <c r="M3594" s="7"/>
    </row>
    <row r="3595" spans="2:13" x14ac:dyDescent="0.25">
      <c r="B3595"/>
      <c r="C3595"/>
      <c r="D3595"/>
      <c r="E3595"/>
      <c r="F3595"/>
      <c r="G3595"/>
      <c r="H3595" s="19"/>
      <c r="I3595" s="19"/>
      <c r="J3595" s="19"/>
      <c r="M3595" s="7"/>
    </row>
    <row r="3596" spans="2:13" x14ac:dyDescent="0.25">
      <c r="B3596"/>
      <c r="C3596"/>
      <c r="D3596"/>
      <c r="E3596"/>
      <c r="F3596"/>
      <c r="G3596"/>
      <c r="H3596" s="19"/>
      <c r="I3596" s="19"/>
      <c r="J3596" s="19"/>
      <c r="M3596" s="7"/>
    </row>
    <row r="3597" spans="2:13" x14ac:dyDescent="0.25">
      <c r="B3597"/>
      <c r="C3597"/>
      <c r="D3597"/>
      <c r="E3597"/>
      <c r="F3597"/>
      <c r="G3597"/>
      <c r="H3597" s="19"/>
      <c r="I3597" s="19"/>
      <c r="J3597" s="19"/>
      <c r="M3597" s="7"/>
    </row>
    <row r="3598" spans="2:13" x14ac:dyDescent="0.25">
      <c r="B3598"/>
      <c r="C3598"/>
      <c r="D3598"/>
      <c r="E3598"/>
      <c r="F3598"/>
      <c r="G3598"/>
      <c r="H3598" s="19"/>
      <c r="I3598" s="19"/>
      <c r="J3598" s="19"/>
      <c r="M3598" s="7"/>
    </row>
    <row r="3599" spans="2:13" x14ac:dyDescent="0.25">
      <c r="B3599"/>
      <c r="C3599"/>
      <c r="D3599"/>
      <c r="E3599"/>
      <c r="F3599"/>
      <c r="G3599"/>
      <c r="H3599" s="19"/>
      <c r="I3599" s="19"/>
      <c r="J3599" s="19"/>
      <c r="M3599" s="7"/>
    </row>
    <row r="3600" spans="2:13" x14ac:dyDescent="0.25">
      <c r="B3600"/>
      <c r="C3600"/>
      <c r="D3600"/>
      <c r="E3600"/>
      <c r="F3600"/>
      <c r="G3600"/>
      <c r="H3600" s="19"/>
      <c r="I3600" s="19"/>
      <c r="J3600" s="19"/>
      <c r="M3600" s="7"/>
    </row>
    <row r="3601" spans="2:13" x14ac:dyDescent="0.25">
      <c r="B3601"/>
      <c r="C3601"/>
      <c r="D3601"/>
      <c r="E3601"/>
      <c r="F3601"/>
      <c r="G3601"/>
      <c r="H3601" s="19"/>
      <c r="I3601" s="19"/>
      <c r="J3601" s="19"/>
      <c r="M3601" s="7"/>
    </row>
    <row r="3602" spans="2:13" x14ac:dyDescent="0.25">
      <c r="B3602"/>
      <c r="C3602"/>
      <c r="D3602"/>
      <c r="E3602"/>
      <c r="F3602"/>
      <c r="G3602"/>
      <c r="H3602" s="19"/>
      <c r="I3602" s="19"/>
      <c r="J3602" s="19"/>
      <c r="M3602" s="7"/>
    </row>
    <row r="3603" spans="2:13" x14ac:dyDescent="0.25">
      <c r="B3603"/>
      <c r="C3603"/>
      <c r="D3603"/>
      <c r="E3603"/>
      <c r="F3603"/>
      <c r="G3603"/>
      <c r="H3603" s="19"/>
      <c r="I3603" s="19"/>
      <c r="J3603" s="19"/>
      <c r="M3603" s="7"/>
    </row>
    <row r="3604" spans="2:13" x14ac:dyDescent="0.25">
      <c r="B3604"/>
      <c r="C3604"/>
      <c r="D3604"/>
      <c r="E3604"/>
      <c r="F3604"/>
      <c r="G3604"/>
      <c r="H3604" s="19"/>
      <c r="I3604" s="19"/>
      <c r="J3604" s="19"/>
      <c r="M3604" s="7"/>
    </row>
    <row r="3605" spans="2:13" x14ac:dyDescent="0.25">
      <c r="B3605"/>
      <c r="C3605"/>
      <c r="D3605"/>
      <c r="E3605"/>
      <c r="F3605"/>
      <c r="G3605"/>
      <c r="H3605" s="19"/>
      <c r="I3605" s="19"/>
      <c r="J3605" s="19"/>
      <c r="M3605" s="7"/>
    </row>
    <row r="3606" spans="2:13" x14ac:dyDescent="0.25">
      <c r="B3606"/>
      <c r="C3606"/>
      <c r="D3606"/>
      <c r="E3606"/>
      <c r="F3606"/>
      <c r="G3606"/>
      <c r="H3606" s="19"/>
      <c r="I3606" s="19"/>
      <c r="J3606" s="19"/>
      <c r="M3606" s="7"/>
    </row>
    <row r="3607" spans="2:13" x14ac:dyDescent="0.25">
      <c r="B3607"/>
      <c r="C3607"/>
      <c r="D3607"/>
      <c r="E3607"/>
      <c r="F3607"/>
      <c r="G3607"/>
      <c r="H3607" s="19"/>
      <c r="I3607" s="19"/>
      <c r="J3607" s="19"/>
      <c r="M3607" s="7"/>
    </row>
    <row r="3608" spans="2:13" x14ac:dyDescent="0.25">
      <c r="B3608"/>
      <c r="C3608"/>
      <c r="D3608"/>
      <c r="E3608"/>
      <c r="F3608"/>
      <c r="G3608"/>
      <c r="H3608" s="19"/>
      <c r="I3608" s="19"/>
      <c r="J3608" s="19"/>
      <c r="M3608" s="7"/>
    </row>
    <row r="3609" spans="2:13" x14ac:dyDescent="0.25">
      <c r="B3609"/>
      <c r="C3609"/>
      <c r="D3609"/>
      <c r="E3609"/>
      <c r="F3609"/>
      <c r="G3609"/>
      <c r="H3609" s="19"/>
      <c r="I3609" s="19"/>
      <c r="J3609" s="19"/>
      <c r="M3609" s="7"/>
    </row>
    <row r="3610" spans="2:13" x14ac:dyDescent="0.25">
      <c r="B3610"/>
      <c r="C3610"/>
      <c r="D3610"/>
      <c r="E3610"/>
      <c r="F3610"/>
      <c r="G3610"/>
      <c r="H3610" s="19"/>
      <c r="I3610" s="19"/>
      <c r="J3610" s="19"/>
      <c r="M3610" s="7"/>
    </row>
    <row r="3611" spans="2:13" x14ac:dyDescent="0.25">
      <c r="B3611"/>
      <c r="C3611"/>
      <c r="D3611"/>
      <c r="E3611"/>
      <c r="F3611"/>
      <c r="G3611"/>
      <c r="H3611" s="19"/>
      <c r="I3611" s="19"/>
      <c r="J3611" s="19"/>
      <c r="M3611" s="7"/>
    </row>
    <row r="3612" spans="2:13" x14ac:dyDescent="0.25">
      <c r="B3612"/>
      <c r="C3612"/>
      <c r="D3612"/>
      <c r="E3612"/>
      <c r="F3612"/>
      <c r="G3612"/>
      <c r="H3612" s="19"/>
      <c r="I3612" s="19"/>
      <c r="J3612" s="19"/>
      <c r="M3612" s="7"/>
    </row>
    <row r="3613" spans="2:13" x14ac:dyDescent="0.25">
      <c r="B3613"/>
      <c r="C3613"/>
      <c r="D3613"/>
      <c r="E3613"/>
      <c r="F3613"/>
      <c r="G3613"/>
      <c r="H3613" s="19"/>
      <c r="I3613" s="19"/>
      <c r="J3613" s="19"/>
      <c r="M3613" s="7"/>
    </row>
    <row r="3614" spans="2:13" x14ac:dyDescent="0.25">
      <c r="B3614"/>
      <c r="C3614"/>
      <c r="D3614"/>
      <c r="E3614"/>
      <c r="F3614"/>
      <c r="G3614"/>
      <c r="H3614" s="19"/>
      <c r="I3614" s="19"/>
      <c r="J3614" s="19"/>
      <c r="M3614" s="7"/>
    </row>
    <row r="3615" spans="2:13" x14ac:dyDescent="0.25">
      <c r="B3615"/>
      <c r="C3615"/>
      <c r="D3615"/>
      <c r="E3615"/>
      <c r="F3615"/>
      <c r="G3615"/>
      <c r="H3615" s="19"/>
      <c r="I3615" s="19"/>
      <c r="J3615" s="19"/>
      <c r="M3615" s="7"/>
    </row>
    <row r="3616" spans="2:13" x14ac:dyDescent="0.25">
      <c r="B3616"/>
      <c r="C3616"/>
      <c r="D3616"/>
      <c r="E3616"/>
      <c r="F3616"/>
      <c r="G3616"/>
      <c r="H3616" s="19"/>
      <c r="I3616" s="19"/>
      <c r="J3616" s="19"/>
      <c r="M3616" s="7"/>
    </row>
    <row r="3617" spans="2:13" x14ac:dyDescent="0.25">
      <c r="B3617"/>
      <c r="C3617"/>
      <c r="D3617"/>
      <c r="E3617"/>
      <c r="F3617"/>
      <c r="G3617"/>
      <c r="H3617" s="19"/>
      <c r="I3617" s="19"/>
      <c r="J3617" s="19"/>
      <c r="M3617" s="7"/>
    </row>
    <row r="3618" spans="2:13" x14ac:dyDescent="0.25">
      <c r="B3618"/>
      <c r="C3618"/>
      <c r="D3618"/>
      <c r="E3618"/>
      <c r="F3618"/>
      <c r="G3618"/>
      <c r="H3618" s="19"/>
      <c r="I3618" s="19"/>
      <c r="J3618" s="19"/>
      <c r="M3618" s="7"/>
    </row>
    <row r="3619" spans="2:13" x14ac:dyDescent="0.25">
      <c r="B3619"/>
      <c r="C3619"/>
      <c r="D3619"/>
      <c r="E3619"/>
      <c r="F3619"/>
      <c r="G3619"/>
      <c r="H3619" s="19"/>
      <c r="I3619" s="19"/>
      <c r="J3619" s="19"/>
      <c r="M3619" s="7"/>
    </row>
    <row r="3620" spans="2:13" x14ac:dyDescent="0.25">
      <c r="B3620"/>
      <c r="C3620"/>
      <c r="D3620"/>
      <c r="E3620"/>
      <c r="F3620"/>
      <c r="G3620"/>
      <c r="H3620" s="19"/>
      <c r="I3620" s="19"/>
      <c r="J3620" s="19"/>
      <c r="M3620" s="7"/>
    </row>
    <row r="3621" spans="2:13" x14ac:dyDescent="0.25">
      <c r="B3621"/>
      <c r="C3621"/>
      <c r="D3621"/>
      <c r="E3621"/>
      <c r="F3621"/>
      <c r="G3621"/>
      <c r="H3621" s="19"/>
      <c r="I3621" s="19"/>
      <c r="J3621" s="19"/>
      <c r="M3621" s="7"/>
    </row>
    <row r="3622" spans="2:13" x14ac:dyDescent="0.25">
      <c r="B3622"/>
      <c r="C3622"/>
      <c r="D3622"/>
      <c r="E3622"/>
      <c r="F3622"/>
      <c r="G3622"/>
      <c r="H3622" s="19"/>
      <c r="I3622" s="19"/>
      <c r="J3622" s="19"/>
      <c r="M3622" s="7"/>
    </row>
    <row r="3623" spans="2:13" x14ac:dyDescent="0.25">
      <c r="B3623"/>
      <c r="C3623"/>
      <c r="D3623"/>
      <c r="E3623"/>
      <c r="F3623"/>
      <c r="G3623"/>
      <c r="H3623" s="19"/>
      <c r="I3623" s="19"/>
      <c r="J3623" s="19"/>
      <c r="M3623" s="7"/>
    </row>
    <row r="3624" spans="2:13" x14ac:dyDescent="0.25">
      <c r="B3624"/>
      <c r="C3624"/>
      <c r="D3624"/>
      <c r="E3624"/>
      <c r="F3624"/>
      <c r="G3624"/>
      <c r="H3624" s="19"/>
      <c r="I3624" s="19"/>
      <c r="J3624" s="19"/>
      <c r="M3624" s="7"/>
    </row>
    <row r="3625" spans="2:13" x14ac:dyDescent="0.25">
      <c r="B3625"/>
      <c r="C3625"/>
      <c r="D3625"/>
      <c r="E3625"/>
      <c r="F3625"/>
      <c r="G3625"/>
      <c r="H3625" s="19"/>
      <c r="I3625" s="19"/>
      <c r="J3625" s="19"/>
      <c r="M3625" s="7"/>
    </row>
    <row r="3626" spans="2:13" x14ac:dyDescent="0.25">
      <c r="B3626"/>
      <c r="C3626"/>
      <c r="D3626"/>
      <c r="E3626"/>
      <c r="F3626"/>
      <c r="G3626"/>
      <c r="H3626" s="19"/>
      <c r="I3626" s="19"/>
      <c r="J3626" s="19"/>
      <c r="M3626" s="7"/>
    </row>
    <row r="3627" spans="2:13" x14ac:dyDescent="0.25">
      <c r="B3627"/>
      <c r="C3627"/>
      <c r="D3627"/>
      <c r="E3627"/>
      <c r="F3627"/>
      <c r="G3627"/>
      <c r="H3627" s="19"/>
      <c r="I3627" s="19"/>
      <c r="J3627" s="19"/>
      <c r="M3627" s="7"/>
    </row>
    <row r="3628" spans="2:13" x14ac:dyDescent="0.25">
      <c r="B3628"/>
      <c r="C3628"/>
      <c r="D3628"/>
      <c r="E3628"/>
      <c r="F3628"/>
      <c r="G3628"/>
      <c r="H3628" s="19"/>
      <c r="I3628" s="19"/>
      <c r="J3628" s="19"/>
      <c r="M3628" s="7"/>
    </row>
    <row r="3629" spans="2:13" x14ac:dyDescent="0.25">
      <c r="B3629"/>
      <c r="C3629"/>
      <c r="D3629"/>
      <c r="E3629"/>
      <c r="F3629"/>
      <c r="G3629"/>
      <c r="H3629" s="19"/>
      <c r="I3629" s="19"/>
      <c r="J3629" s="19"/>
      <c r="M3629" s="7"/>
    </row>
    <row r="3630" spans="2:13" x14ac:dyDescent="0.25">
      <c r="B3630"/>
      <c r="C3630"/>
      <c r="D3630"/>
      <c r="E3630"/>
      <c r="F3630"/>
      <c r="G3630"/>
      <c r="H3630" s="19"/>
      <c r="I3630" s="19"/>
      <c r="J3630" s="19"/>
      <c r="M3630" s="7"/>
    </row>
    <row r="3631" spans="2:13" x14ac:dyDescent="0.25">
      <c r="B3631"/>
      <c r="C3631"/>
      <c r="D3631"/>
      <c r="E3631"/>
      <c r="F3631"/>
      <c r="G3631"/>
      <c r="H3631" s="19"/>
      <c r="I3631" s="19"/>
      <c r="J3631" s="19"/>
      <c r="M3631" s="7"/>
    </row>
    <row r="3632" spans="2:13" x14ac:dyDescent="0.25">
      <c r="B3632"/>
      <c r="C3632"/>
      <c r="D3632"/>
      <c r="E3632"/>
      <c r="F3632"/>
      <c r="G3632"/>
      <c r="H3632" s="19"/>
      <c r="I3632" s="19"/>
      <c r="J3632" s="19"/>
      <c r="M3632" s="7"/>
    </row>
    <row r="3633" spans="2:13" x14ac:dyDescent="0.25">
      <c r="B3633"/>
      <c r="C3633"/>
      <c r="D3633"/>
      <c r="E3633"/>
      <c r="F3633"/>
      <c r="G3633"/>
      <c r="H3633" s="19"/>
      <c r="I3633" s="19"/>
      <c r="J3633" s="19"/>
      <c r="M3633" s="7"/>
    </row>
    <row r="3634" spans="2:13" x14ac:dyDescent="0.25">
      <c r="B3634"/>
      <c r="C3634"/>
      <c r="D3634"/>
      <c r="E3634"/>
      <c r="F3634"/>
      <c r="G3634"/>
      <c r="H3634" s="19"/>
      <c r="I3634" s="19"/>
      <c r="J3634" s="19"/>
      <c r="M3634" s="7"/>
    </row>
    <row r="3635" spans="2:13" x14ac:dyDescent="0.25">
      <c r="B3635"/>
      <c r="C3635"/>
      <c r="D3635"/>
      <c r="E3635"/>
      <c r="F3635"/>
      <c r="G3635"/>
      <c r="H3635" s="19"/>
      <c r="I3635" s="19"/>
      <c r="J3635" s="19"/>
      <c r="M3635" s="7"/>
    </row>
    <row r="3636" spans="2:13" x14ac:dyDescent="0.25">
      <c r="B3636"/>
      <c r="C3636"/>
      <c r="D3636"/>
      <c r="E3636"/>
      <c r="F3636"/>
      <c r="G3636"/>
      <c r="H3636" s="19"/>
      <c r="I3636" s="19"/>
      <c r="J3636" s="19"/>
      <c r="M3636" s="7"/>
    </row>
    <row r="3637" spans="2:13" x14ac:dyDescent="0.25">
      <c r="B3637"/>
      <c r="C3637"/>
      <c r="D3637"/>
      <c r="E3637"/>
      <c r="F3637"/>
      <c r="G3637"/>
      <c r="H3637" s="19"/>
      <c r="I3637" s="19"/>
      <c r="J3637" s="19"/>
      <c r="M3637" s="7"/>
    </row>
    <row r="3638" spans="2:13" x14ac:dyDescent="0.25">
      <c r="B3638"/>
      <c r="C3638"/>
      <c r="D3638"/>
      <c r="E3638"/>
      <c r="F3638"/>
      <c r="G3638"/>
      <c r="H3638" s="19"/>
      <c r="I3638" s="19"/>
      <c r="J3638" s="19"/>
      <c r="M3638" s="7"/>
    </row>
    <row r="3639" spans="2:13" x14ac:dyDescent="0.25">
      <c r="B3639"/>
      <c r="C3639"/>
      <c r="D3639"/>
      <c r="E3639"/>
      <c r="F3639"/>
      <c r="G3639"/>
      <c r="H3639" s="19"/>
      <c r="I3639" s="19"/>
      <c r="J3639" s="19"/>
      <c r="M3639" s="7"/>
    </row>
    <row r="3640" spans="2:13" x14ac:dyDescent="0.25">
      <c r="B3640"/>
      <c r="C3640"/>
      <c r="D3640"/>
      <c r="E3640"/>
      <c r="F3640"/>
      <c r="G3640"/>
      <c r="H3640" s="19"/>
      <c r="I3640" s="19"/>
      <c r="J3640" s="19"/>
      <c r="M3640" s="7"/>
    </row>
    <row r="3641" spans="2:13" x14ac:dyDescent="0.25">
      <c r="B3641"/>
      <c r="C3641"/>
      <c r="D3641"/>
      <c r="E3641"/>
      <c r="F3641"/>
      <c r="G3641"/>
      <c r="H3641" s="19"/>
      <c r="I3641" s="19"/>
      <c r="J3641" s="19"/>
      <c r="M3641" s="7"/>
    </row>
    <row r="3642" spans="2:13" x14ac:dyDescent="0.25">
      <c r="B3642"/>
      <c r="C3642"/>
      <c r="D3642"/>
      <c r="E3642"/>
      <c r="F3642"/>
      <c r="G3642"/>
      <c r="H3642" s="19"/>
      <c r="I3642" s="19"/>
      <c r="J3642" s="19"/>
      <c r="M3642" s="7"/>
    </row>
    <row r="3643" spans="2:13" x14ac:dyDescent="0.25">
      <c r="B3643"/>
      <c r="C3643"/>
      <c r="D3643"/>
      <c r="E3643"/>
      <c r="F3643"/>
      <c r="G3643"/>
      <c r="H3643" s="19"/>
      <c r="I3643" s="19"/>
      <c r="J3643" s="19"/>
      <c r="M3643" s="7"/>
    </row>
    <row r="3644" spans="2:13" x14ac:dyDescent="0.25">
      <c r="B3644"/>
      <c r="C3644"/>
      <c r="D3644"/>
      <c r="E3644"/>
      <c r="F3644"/>
      <c r="G3644"/>
      <c r="H3644" s="19"/>
      <c r="I3644" s="19"/>
      <c r="J3644" s="19"/>
      <c r="M3644" s="7"/>
    </row>
    <row r="3645" spans="2:13" x14ac:dyDescent="0.25">
      <c r="B3645"/>
      <c r="C3645"/>
      <c r="D3645"/>
      <c r="E3645"/>
      <c r="F3645"/>
      <c r="G3645"/>
      <c r="H3645" s="19"/>
      <c r="I3645" s="19"/>
      <c r="J3645" s="19"/>
      <c r="M3645" s="7"/>
    </row>
    <row r="3646" spans="2:13" x14ac:dyDescent="0.25">
      <c r="B3646"/>
      <c r="C3646"/>
      <c r="D3646"/>
      <c r="E3646"/>
      <c r="F3646"/>
      <c r="G3646"/>
      <c r="H3646" s="19"/>
      <c r="I3646" s="19"/>
      <c r="J3646" s="19"/>
      <c r="M3646" s="7"/>
    </row>
    <row r="3647" spans="2:13" x14ac:dyDescent="0.25">
      <c r="B3647"/>
      <c r="C3647"/>
      <c r="D3647"/>
      <c r="E3647"/>
      <c r="F3647"/>
      <c r="G3647"/>
      <c r="H3647" s="19"/>
      <c r="I3647" s="19"/>
      <c r="J3647" s="19"/>
      <c r="M3647" s="7"/>
    </row>
    <row r="3648" spans="2:13" x14ac:dyDescent="0.25">
      <c r="B3648"/>
      <c r="C3648"/>
      <c r="D3648"/>
      <c r="E3648"/>
      <c r="F3648"/>
      <c r="G3648"/>
      <c r="H3648" s="19"/>
      <c r="I3648" s="19"/>
      <c r="J3648" s="19"/>
      <c r="M3648" s="7"/>
    </row>
    <row r="3649" spans="2:13" x14ac:dyDescent="0.25">
      <c r="B3649"/>
      <c r="C3649"/>
      <c r="D3649"/>
      <c r="E3649"/>
      <c r="F3649"/>
      <c r="G3649"/>
      <c r="H3649" s="19"/>
      <c r="I3649" s="19"/>
      <c r="J3649" s="19"/>
      <c r="M3649" s="7"/>
    </row>
    <row r="3650" spans="2:13" x14ac:dyDescent="0.25">
      <c r="B3650"/>
      <c r="C3650"/>
      <c r="D3650"/>
      <c r="E3650"/>
      <c r="F3650"/>
      <c r="G3650"/>
      <c r="H3650" s="19"/>
      <c r="I3650" s="19"/>
      <c r="J3650" s="19"/>
      <c r="M3650" s="7"/>
    </row>
    <row r="3651" spans="2:13" x14ac:dyDescent="0.25">
      <c r="B3651"/>
      <c r="C3651"/>
      <c r="D3651"/>
      <c r="E3651"/>
      <c r="F3651"/>
      <c r="G3651"/>
      <c r="H3651" s="19"/>
      <c r="I3651" s="19"/>
      <c r="J3651" s="19"/>
      <c r="M3651" s="7"/>
    </row>
    <row r="3652" spans="2:13" x14ac:dyDescent="0.25">
      <c r="B3652"/>
      <c r="C3652"/>
      <c r="D3652"/>
      <c r="E3652"/>
      <c r="F3652"/>
      <c r="G3652"/>
      <c r="H3652" s="19"/>
      <c r="I3652" s="19"/>
      <c r="J3652" s="19"/>
      <c r="M3652" s="7"/>
    </row>
    <row r="3653" spans="2:13" x14ac:dyDescent="0.25">
      <c r="B3653"/>
      <c r="C3653"/>
      <c r="D3653"/>
      <c r="E3653"/>
      <c r="F3653"/>
      <c r="G3653"/>
      <c r="H3653" s="19"/>
      <c r="I3653" s="19"/>
      <c r="J3653" s="19"/>
      <c r="M3653" s="7"/>
    </row>
    <row r="3654" spans="2:13" x14ac:dyDescent="0.25">
      <c r="B3654"/>
      <c r="C3654"/>
      <c r="D3654"/>
      <c r="E3654"/>
      <c r="F3654"/>
      <c r="G3654"/>
      <c r="H3654" s="19"/>
      <c r="I3654" s="19"/>
      <c r="J3654" s="19"/>
      <c r="M3654" s="7"/>
    </row>
    <row r="3655" spans="2:13" x14ac:dyDescent="0.25">
      <c r="B3655"/>
      <c r="C3655"/>
      <c r="D3655"/>
      <c r="E3655"/>
      <c r="F3655"/>
      <c r="G3655"/>
      <c r="H3655" s="19"/>
      <c r="I3655" s="19"/>
      <c r="J3655" s="19"/>
      <c r="M3655" s="7"/>
    </row>
    <row r="3656" spans="2:13" x14ac:dyDescent="0.25">
      <c r="B3656"/>
      <c r="C3656"/>
      <c r="D3656"/>
      <c r="E3656"/>
      <c r="F3656"/>
      <c r="G3656"/>
      <c r="H3656" s="19"/>
      <c r="I3656" s="19"/>
      <c r="J3656" s="19"/>
      <c r="M3656" s="7"/>
    </row>
    <row r="3657" spans="2:13" x14ac:dyDescent="0.25">
      <c r="B3657"/>
      <c r="C3657"/>
      <c r="D3657"/>
      <c r="E3657"/>
      <c r="F3657"/>
      <c r="G3657"/>
      <c r="H3657" s="19"/>
      <c r="I3657" s="19"/>
      <c r="J3657" s="19"/>
      <c r="M3657" s="7"/>
    </row>
    <row r="3658" spans="2:13" x14ac:dyDescent="0.25">
      <c r="B3658"/>
      <c r="C3658"/>
      <c r="D3658"/>
      <c r="E3658"/>
      <c r="F3658"/>
      <c r="G3658"/>
      <c r="H3658" s="19"/>
      <c r="I3658" s="19"/>
      <c r="J3658" s="19"/>
      <c r="M3658" s="7"/>
    </row>
    <row r="3659" spans="2:13" x14ac:dyDescent="0.25">
      <c r="B3659"/>
      <c r="C3659"/>
      <c r="D3659"/>
      <c r="E3659"/>
      <c r="F3659"/>
      <c r="G3659"/>
      <c r="H3659" s="19"/>
      <c r="I3659" s="19"/>
      <c r="J3659" s="19"/>
      <c r="M3659" s="7"/>
    </row>
    <row r="3660" spans="2:13" x14ac:dyDescent="0.25">
      <c r="B3660"/>
      <c r="C3660"/>
      <c r="D3660"/>
      <c r="E3660"/>
      <c r="F3660"/>
      <c r="G3660"/>
      <c r="H3660" s="19"/>
      <c r="I3660" s="19"/>
      <c r="J3660" s="19"/>
      <c r="M3660" s="7"/>
    </row>
    <row r="3661" spans="2:13" x14ac:dyDescent="0.25">
      <c r="B3661"/>
      <c r="C3661"/>
      <c r="D3661"/>
      <c r="E3661"/>
      <c r="F3661"/>
      <c r="G3661"/>
      <c r="H3661" s="19"/>
      <c r="I3661" s="19"/>
      <c r="J3661" s="19"/>
      <c r="M3661" s="7"/>
    </row>
    <row r="3662" spans="2:13" x14ac:dyDescent="0.25">
      <c r="B3662"/>
      <c r="C3662"/>
      <c r="D3662"/>
      <c r="E3662"/>
      <c r="F3662"/>
      <c r="G3662"/>
      <c r="H3662" s="19"/>
      <c r="I3662" s="19"/>
      <c r="J3662" s="19"/>
      <c r="M3662" s="7"/>
    </row>
    <row r="3663" spans="2:13" x14ac:dyDescent="0.25">
      <c r="B3663"/>
      <c r="C3663"/>
      <c r="D3663"/>
      <c r="E3663"/>
      <c r="F3663"/>
      <c r="G3663"/>
      <c r="H3663" s="19"/>
      <c r="I3663" s="19"/>
      <c r="J3663" s="19"/>
      <c r="M3663" s="7"/>
    </row>
    <row r="3664" spans="2:13" x14ac:dyDescent="0.25">
      <c r="B3664"/>
      <c r="C3664"/>
      <c r="D3664"/>
      <c r="E3664"/>
      <c r="F3664"/>
      <c r="G3664"/>
      <c r="H3664" s="19"/>
      <c r="I3664" s="19"/>
      <c r="J3664" s="19"/>
      <c r="M3664" s="7"/>
    </row>
    <row r="3665" spans="2:13" x14ac:dyDescent="0.25">
      <c r="B3665"/>
      <c r="C3665"/>
      <c r="D3665"/>
      <c r="E3665"/>
      <c r="F3665"/>
      <c r="G3665"/>
      <c r="H3665" s="19"/>
      <c r="I3665" s="19"/>
      <c r="J3665" s="19"/>
      <c r="M3665" s="7"/>
    </row>
    <row r="3666" spans="2:13" x14ac:dyDescent="0.25">
      <c r="B3666"/>
      <c r="C3666"/>
      <c r="D3666"/>
      <c r="E3666"/>
      <c r="F3666"/>
      <c r="G3666"/>
      <c r="H3666" s="19"/>
      <c r="I3666" s="19"/>
      <c r="J3666" s="19"/>
      <c r="M3666" s="7"/>
    </row>
    <row r="3667" spans="2:13" x14ac:dyDescent="0.25">
      <c r="B3667"/>
      <c r="C3667"/>
      <c r="D3667"/>
      <c r="E3667"/>
      <c r="F3667"/>
      <c r="G3667"/>
      <c r="H3667" s="19"/>
      <c r="I3667" s="19"/>
      <c r="J3667" s="19"/>
      <c r="M3667" s="7"/>
    </row>
    <row r="3668" spans="2:13" x14ac:dyDescent="0.25">
      <c r="B3668"/>
      <c r="C3668"/>
      <c r="D3668"/>
      <c r="E3668"/>
      <c r="F3668"/>
      <c r="G3668"/>
      <c r="H3668" s="19"/>
      <c r="I3668" s="19"/>
      <c r="J3668" s="19"/>
      <c r="M3668" s="7"/>
    </row>
    <row r="3669" spans="2:13" x14ac:dyDescent="0.25">
      <c r="B3669"/>
      <c r="C3669"/>
      <c r="D3669"/>
      <c r="E3669"/>
      <c r="F3669"/>
      <c r="G3669"/>
      <c r="H3669" s="19"/>
      <c r="I3669" s="19"/>
      <c r="J3669" s="19"/>
      <c r="M3669" s="7"/>
    </row>
    <row r="3670" spans="2:13" x14ac:dyDescent="0.25">
      <c r="B3670"/>
      <c r="C3670"/>
      <c r="D3670"/>
      <c r="E3670"/>
      <c r="F3670"/>
      <c r="G3670"/>
      <c r="H3670" s="19"/>
      <c r="I3670" s="19"/>
      <c r="J3670" s="19"/>
      <c r="M3670" s="7"/>
    </row>
    <row r="3671" spans="2:13" x14ac:dyDescent="0.25">
      <c r="B3671"/>
      <c r="C3671"/>
      <c r="D3671"/>
      <c r="E3671"/>
      <c r="F3671"/>
      <c r="G3671"/>
      <c r="H3671" s="19"/>
      <c r="I3671" s="19"/>
      <c r="J3671" s="19"/>
      <c r="M3671" s="7"/>
    </row>
    <row r="3672" spans="2:13" x14ac:dyDescent="0.25">
      <c r="B3672"/>
      <c r="C3672"/>
      <c r="D3672"/>
      <c r="E3672"/>
      <c r="F3672"/>
      <c r="G3672"/>
      <c r="H3672" s="19"/>
      <c r="I3672" s="19"/>
      <c r="J3672" s="19"/>
      <c r="M3672" s="7"/>
    </row>
    <row r="3673" spans="2:13" x14ac:dyDescent="0.25">
      <c r="B3673"/>
      <c r="C3673"/>
      <c r="D3673"/>
      <c r="E3673"/>
      <c r="F3673"/>
      <c r="G3673"/>
      <c r="H3673" s="19"/>
      <c r="I3673" s="19"/>
      <c r="J3673" s="19"/>
      <c r="M3673" s="7"/>
    </row>
    <row r="3674" spans="2:13" x14ac:dyDescent="0.25">
      <c r="B3674"/>
      <c r="C3674"/>
      <c r="D3674"/>
      <c r="E3674"/>
      <c r="F3674"/>
      <c r="G3674"/>
      <c r="H3674" s="19"/>
      <c r="I3674" s="19"/>
      <c r="J3674" s="19"/>
      <c r="M3674" s="7"/>
    </row>
    <row r="3675" spans="2:13" x14ac:dyDescent="0.25">
      <c r="B3675"/>
      <c r="C3675"/>
      <c r="D3675"/>
      <c r="E3675"/>
      <c r="F3675"/>
      <c r="G3675"/>
      <c r="H3675" s="19"/>
      <c r="I3675" s="19"/>
      <c r="J3675" s="19"/>
      <c r="M3675" s="7"/>
    </row>
    <row r="3676" spans="2:13" x14ac:dyDescent="0.25">
      <c r="B3676"/>
      <c r="C3676"/>
      <c r="D3676"/>
      <c r="E3676"/>
      <c r="F3676"/>
      <c r="G3676"/>
      <c r="H3676" s="19"/>
      <c r="I3676" s="19"/>
      <c r="J3676" s="19"/>
      <c r="M3676" s="7"/>
    </row>
    <row r="3677" spans="2:13" x14ac:dyDescent="0.25">
      <c r="B3677"/>
      <c r="C3677"/>
      <c r="D3677"/>
      <c r="E3677"/>
      <c r="F3677"/>
      <c r="G3677"/>
      <c r="H3677" s="19"/>
      <c r="I3677" s="19"/>
      <c r="J3677" s="19"/>
      <c r="M3677" s="7"/>
    </row>
    <row r="3678" spans="2:13" x14ac:dyDescent="0.25">
      <c r="B3678"/>
      <c r="C3678"/>
      <c r="D3678"/>
      <c r="E3678"/>
      <c r="F3678"/>
      <c r="G3678"/>
      <c r="H3678" s="19"/>
      <c r="I3678" s="19"/>
      <c r="J3678" s="19"/>
      <c r="M3678" s="7"/>
    </row>
    <row r="3679" spans="2:13" x14ac:dyDescent="0.25">
      <c r="B3679"/>
      <c r="C3679"/>
      <c r="D3679"/>
      <c r="E3679"/>
      <c r="F3679"/>
      <c r="G3679"/>
      <c r="H3679" s="19"/>
      <c r="I3679" s="19"/>
      <c r="J3679" s="19"/>
      <c r="M3679" s="7"/>
    </row>
    <row r="3680" spans="2:13" x14ac:dyDescent="0.25">
      <c r="B3680"/>
      <c r="C3680"/>
      <c r="D3680"/>
      <c r="E3680"/>
      <c r="F3680"/>
      <c r="G3680"/>
      <c r="H3680" s="19"/>
      <c r="I3680" s="19"/>
      <c r="J3680" s="19"/>
      <c r="M3680" s="7"/>
    </row>
    <row r="3681" spans="2:13" x14ac:dyDescent="0.25">
      <c r="B3681"/>
      <c r="C3681"/>
      <c r="D3681"/>
      <c r="E3681"/>
      <c r="F3681"/>
      <c r="G3681"/>
      <c r="H3681" s="19"/>
      <c r="I3681" s="19"/>
      <c r="J3681" s="19"/>
      <c r="M3681" s="7"/>
    </row>
    <row r="3682" spans="2:13" x14ac:dyDescent="0.25">
      <c r="B3682"/>
      <c r="C3682"/>
      <c r="D3682"/>
      <c r="E3682"/>
      <c r="F3682"/>
      <c r="G3682"/>
      <c r="H3682" s="19"/>
      <c r="I3682" s="19"/>
      <c r="J3682" s="19"/>
      <c r="M3682" s="7"/>
    </row>
    <row r="3683" spans="2:13" x14ac:dyDescent="0.25">
      <c r="B3683"/>
      <c r="C3683"/>
      <c r="D3683"/>
      <c r="E3683"/>
      <c r="F3683"/>
      <c r="G3683"/>
      <c r="H3683" s="19"/>
      <c r="I3683" s="19"/>
      <c r="J3683" s="19"/>
      <c r="M3683" s="7"/>
    </row>
    <row r="3684" spans="2:13" x14ac:dyDescent="0.25">
      <c r="B3684"/>
      <c r="C3684"/>
      <c r="D3684"/>
      <c r="E3684"/>
      <c r="F3684"/>
      <c r="G3684"/>
      <c r="H3684" s="19"/>
      <c r="I3684" s="19"/>
      <c r="J3684" s="19"/>
      <c r="M3684" s="7"/>
    </row>
    <row r="3685" spans="2:13" x14ac:dyDescent="0.25">
      <c r="B3685"/>
      <c r="C3685"/>
      <c r="D3685"/>
      <c r="E3685"/>
      <c r="F3685"/>
      <c r="G3685"/>
      <c r="H3685" s="19"/>
      <c r="I3685" s="19"/>
      <c r="J3685" s="19"/>
      <c r="M3685" s="7"/>
    </row>
    <row r="3686" spans="2:13" x14ac:dyDescent="0.25">
      <c r="B3686"/>
      <c r="C3686"/>
      <c r="D3686"/>
      <c r="E3686"/>
      <c r="F3686"/>
      <c r="G3686"/>
      <c r="H3686" s="19"/>
      <c r="I3686" s="19"/>
      <c r="J3686" s="19"/>
      <c r="M3686" s="7"/>
    </row>
    <row r="3687" spans="2:13" x14ac:dyDescent="0.25">
      <c r="B3687"/>
      <c r="C3687"/>
      <c r="D3687"/>
      <c r="E3687"/>
      <c r="F3687"/>
      <c r="G3687"/>
      <c r="H3687" s="19"/>
      <c r="I3687" s="19"/>
      <c r="J3687" s="19"/>
      <c r="M3687" s="7"/>
    </row>
    <row r="3688" spans="2:13" x14ac:dyDescent="0.25">
      <c r="B3688"/>
      <c r="C3688"/>
      <c r="D3688"/>
      <c r="E3688"/>
      <c r="F3688"/>
      <c r="G3688"/>
      <c r="H3688" s="19"/>
      <c r="I3688" s="19"/>
      <c r="J3688" s="19"/>
      <c r="M3688" s="7"/>
    </row>
    <row r="3689" spans="2:13" x14ac:dyDescent="0.25">
      <c r="B3689"/>
      <c r="C3689"/>
      <c r="D3689"/>
      <c r="E3689"/>
      <c r="F3689"/>
      <c r="G3689"/>
      <c r="H3689" s="19"/>
      <c r="I3689" s="19"/>
      <c r="J3689" s="19"/>
      <c r="M3689" s="7"/>
    </row>
    <row r="3690" spans="2:13" x14ac:dyDescent="0.25">
      <c r="B3690"/>
      <c r="C3690"/>
      <c r="D3690"/>
      <c r="E3690"/>
      <c r="F3690"/>
      <c r="G3690"/>
      <c r="H3690" s="19"/>
      <c r="I3690" s="19"/>
      <c r="J3690" s="19"/>
      <c r="M3690" s="7"/>
    </row>
    <row r="3691" spans="2:13" x14ac:dyDescent="0.25">
      <c r="B3691"/>
      <c r="C3691"/>
      <c r="D3691"/>
      <c r="E3691"/>
      <c r="F3691"/>
      <c r="G3691"/>
      <c r="H3691" s="19"/>
      <c r="I3691" s="19"/>
      <c r="J3691" s="19"/>
      <c r="M3691" s="7"/>
    </row>
    <row r="3692" spans="2:13" x14ac:dyDescent="0.25">
      <c r="B3692"/>
      <c r="C3692"/>
      <c r="D3692"/>
      <c r="E3692"/>
      <c r="F3692"/>
      <c r="G3692"/>
      <c r="H3692" s="19"/>
      <c r="I3692" s="19"/>
      <c r="J3692" s="19"/>
      <c r="M3692" s="7"/>
    </row>
    <row r="3693" spans="2:13" x14ac:dyDescent="0.25">
      <c r="B3693"/>
      <c r="C3693"/>
      <c r="D3693"/>
      <c r="E3693"/>
      <c r="F3693"/>
      <c r="G3693"/>
      <c r="H3693" s="19"/>
      <c r="I3693" s="19"/>
      <c r="J3693" s="19"/>
      <c r="M3693" s="7"/>
    </row>
    <row r="3694" spans="2:13" x14ac:dyDescent="0.25">
      <c r="B3694"/>
      <c r="C3694"/>
      <c r="D3694"/>
      <c r="E3694"/>
      <c r="F3694"/>
      <c r="G3694"/>
      <c r="H3694" s="19"/>
      <c r="I3694" s="19"/>
      <c r="J3694" s="19"/>
      <c r="M3694" s="7"/>
    </row>
    <row r="3695" spans="2:13" x14ac:dyDescent="0.25">
      <c r="B3695"/>
      <c r="C3695"/>
      <c r="D3695"/>
      <c r="E3695"/>
      <c r="F3695"/>
      <c r="G3695"/>
      <c r="H3695" s="19"/>
      <c r="I3695" s="19"/>
      <c r="J3695" s="19"/>
      <c r="M3695" s="7"/>
    </row>
    <row r="3696" spans="2:13" x14ac:dyDescent="0.25">
      <c r="B3696"/>
      <c r="C3696"/>
      <c r="D3696"/>
      <c r="E3696"/>
      <c r="F3696"/>
      <c r="G3696"/>
      <c r="H3696" s="19"/>
      <c r="I3696" s="19"/>
      <c r="J3696" s="19"/>
      <c r="M3696" s="7"/>
    </row>
    <row r="3697" spans="2:13" x14ac:dyDescent="0.25">
      <c r="B3697"/>
      <c r="C3697"/>
      <c r="D3697"/>
      <c r="E3697"/>
      <c r="F3697"/>
      <c r="G3697"/>
      <c r="H3697" s="19"/>
      <c r="I3697" s="19"/>
      <c r="J3697" s="19"/>
      <c r="M3697" s="7"/>
    </row>
    <row r="3698" spans="2:13" x14ac:dyDescent="0.25">
      <c r="B3698"/>
      <c r="C3698"/>
      <c r="D3698"/>
      <c r="E3698"/>
      <c r="F3698"/>
      <c r="G3698"/>
      <c r="H3698" s="19"/>
      <c r="I3698" s="19"/>
      <c r="J3698" s="19"/>
      <c r="M3698" s="7"/>
    </row>
    <row r="3699" spans="2:13" x14ac:dyDescent="0.25">
      <c r="B3699"/>
      <c r="C3699"/>
      <c r="D3699"/>
      <c r="E3699"/>
      <c r="F3699"/>
      <c r="G3699"/>
      <c r="H3699" s="19"/>
      <c r="I3699" s="19"/>
      <c r="J3699" s="19"/>
      <c r="M3699" s="7"/>
    </row>
    <row r="3700" spans="2:13" x14ac:dyDescent="0.25">
      <c r="B3700"/>
      <c r="C3700"/>
      <c r="D3700"/>
      <c r="E3700"/>
      <c r="F3700"/>
      <c r="G3700"/>
      <c r="H3700" s="19"/>
      <c r="I3700" s="19"/>
      <c r="J3700" s="19"/>
      <c r="M3700" s="7"/>
    </row>
    <row r="3701" spans="2:13" x14ac:dyDescent="0.25">
      <c r="B3701"/>
      <c r="C3701"/>
      <c r="D3701"/>
      <c r="E3701"/>
      <c r="F3701"/>
      <c r="G3701"/>
      <c r="H3701" s="19"/>
      <c r="I3701" s="19"/>
      <c r="J3701" s="19"/>
      <c r="M3701" s="7"/>
    </row>
    <row r="3702" spans="2:13" x14ac:dyDescent="0.25">
      <c r="B3702"/>
      <c r="C3702"/>
      <c r="D3702"/>
      <c r="E3702"/>
      <c r="F3702"/>
      <c r="G3702"/>
      <c r="H3702" s="19"/>
      <c r="I3702" s="19"/>
      <c r="J3702" s="19"/>
      <c r="M3702" s="7"/>
    </row>
    <row r="3703" spans="2:13" x14ac:dyDescent="0.25">
      <c r="B3703"/>
      <c r="C3703"/>
      <c r="D3703"/>
      <c r="E3703"/>
      <c r="F3703"/>
      <c r="G3703"/>
      <c r="H3703" s="19"/>
      <c r="I3703" s="19"/>
      <c r="J3703" s="19"/>
      <c r="M3703" s="7"/>
    </row>
    <row r="3704" spans="2:13" x14ac:dyDescent="0.25">
      <c r="B3704"/>
      <c r="C3704"/>
      <c r="D3704"/>
      <c r="E3704"/>
      <c r="F3704"/>
      <c r="G3704"/>
      <c r="H3704" s="19"/>
      <c r="I3704" s="19"/>
      <c r="J3704" s="19"/>
      <c r="M3704" s="7"/>
    </row>
    <row r="3705" spans="2:13" x14ac:dyDescent="0.25">
      <c r="B3705"/>
      <c r="C3705"/>
      <c r="D3705"/>
      <c r="E3705"/>
      <c r="F3705"/>
      <c r="G3705"/>
      <c r="H3705" s="19"/>
      <c r="I3705" s="19"/>
      <c r="J3705" s="19"/>
      <c r="M3705" s="7"/>
    </row>
    <row r="3706" spans="2:13" x14ac:dyDescent="0.25">
      <c r="B3706"/>
      <c r="C3706"/>
      <c r="D3706"/>
      <c r="E3706"/>
      <c r="F3706"/>
      <c r="G3706"/>
      <c r="H3706" s="19"/>
      <c r="I3706" s="19"/>
      <c r="J3706" s="19"/>
      <c r="M3706" s="7"/>
    </row>
    <row r="3707" spans="2:13" x14ac:dyDescent="0.25">
      <c r="B3707"/>
      <c r="C3707"/>
      <c r="D3707"/>
      <c r="E3707"/>
      <c r="F3707"/>
      <c r="G3707"/>
      <c r="H3707" s="19"/>
      <c r="I3707" s="19"/>
      <c r="J3707" s="19"/>
      <c r="M3707" s="7"/>
    </row>
    <row r="3708" spans="2:13" x14ac:dyDescent="0.25">
      <c r="B3708"/>
      <c r="C3708"/>
      <c r="D3708"/>
      <c r="E3708"/>
      <c r="F3708"/>
      <c r="G3708"/>
      <c r="H3708" s="19"/>
      <c r="I3708" s="19"/>
      <c r="J3708" s="19"/>
      <c r="M3708" s="7"/>
    </row>
    <row r="3709" spans="2:13" x14ac:dyDescent="0.25">
      <c r="B3709"/>
      <c r="C3709"/>
      <c r="D3709"/>
      <c r="E3709"/>
      <c r="F3709"/>
      <c r="G3709"/>
      <c r="H3709" s="19"/>
      <c r="I3709" s="19"/>
      <c r="J3709" s="19"/>
      <c r="M3709" s="7"/>
    </row>
    <row r="3710" spans="2:13" x14ac:dyDescent="0.25">
      <c r="B3710"/>
      <c r="C3710"/>
      <c r="D3710"/>
      <c r="E3710"/>
      <c r="F3710"/>
      <c r="G3710"/>
      <c r="H3710" s="19"/>
      <c r="I3710" s="19"/>
      <c r="J3710" s="19"/>
      <c r="M3710" s="7"/>
    </row>
    <row r="3711" spans="2:13" x14ac:dyDescent="0.25">
      <c r="B3711"/>
      <c r="C3711"/>
      <c r="D3711"/>
      <c r="E3711"/>
      <c r="F3711"/>
      <c r="G3711"/>
      <c r="H3711" s="19"/>
      <c r="I3711" s="19"/>
      <c r="J3711" s="19"/>
      <c r="M3711" s="7"/>
    </row>
    <row r="3712" spans="2:13" x14ac:dyDescent="0.25">
      <c r="B3712"/>
      <c r="C3712"/>
      <c r="D3712"/>
      <c r="E3712"/>
      <c r="F3712"/>
      <c r="G3712"/>
      <c r="H3712" s="19"/>
      <c r="I3712" s="19"/>
      <c r="J3712" s="19"/>
      <c r="M3712" s="7"/>
    </row>
    <row r="3713" spans="2:13" x14ac:dyDescent="0.25">
      <c r="B3713"/>
      <c r="C3713"/>
      <c r="D3713"/>
      <c r="E3713"/>
      <c r="F3713"/>
      <c r="G3713"/>
      <c r="H3713" s="19"/>
      <c r="I3713" s="19"/>
      <c r="J3713" s="19"/>
      <c r="M3713" s="7"/>
    </row>
    <row r="3714" spans="2:13" x14ac:dyDescent="0.25">
      <c r="B3714"/>
      <c r="C3714"/>
      <c r="D3714"/>
      <c r="E3714"/>
      <c r="F3714"/>
      <c r="G3714"/>
      <c r="H3714" s="19"/>
      <c r="I3714" s="19"/>
      <c r="J3714" s="19"/>
      <c r="M3714" s="7"/>
    </row>
    <row r="3715" spans="2:13" x14ac:dyDescent="0.25">
      <c r="B3715"/>
      <c r="C3715"/>
      <c r="D3715"/>
      <c r="E3715"/>
      <c r="F3715"/>
      <c r="G3715"/>
      <c r="H3715" s="19"/>
      <c r="I3715" s="19"/>
      <c r="J3715" s="19"/>
      <c r="M3715" s="7"/>
    </row>
    <row r="3716" spans="2:13" x14ac:dyDescent="0.25">
      <c r="B3716"/>
      <c r="C3716"/>
      <c r="D3716"/>
      <c r="E3716"/>
      <c r="F3716"/>
      <c r="G3716"/>
      <c r="H3716" s="19"/>
      <c r="I3716" s="19"/>
      <c r="J3716" s="19"/>
      <c r="M3716" s="7"/>
    </row>
    <row r="3717" spans="2:13" x14ac:dyDescent="0.25">
      <c r="B3717"/>
      <c r="C3717"/>
      <c r="D3717"/>
      <c r="E3717"/>
      <c r="F3717"/>
      <c r="G3717"/>
      <c r="H3717" s="19"/>
      <c r="I3717" s="19"/>
      <c r="J3717" s="19"/>
      <c r="M3717" s="7"/>
    </row>
    <row r="3718" spans="2:13" x14ac:dyDescent="0.25">
      <c r="B3718"/>
      <c r="C3718"/>
      <c r="D3718"/>
      <c r="E3718"/>
      <c r="F3718"/>
      <c r="G3718"/>
      <c r="H3718" s="19"/>
      <c r="I3718" s="19"/>
      <c r="J3718" s="19"/>
      <c r="M3718" s="7"/>
    </row>
    <row r="3719" spans="2:13" x14ac:dyDescent="0.25">
      <c r="B3719"/>
      <c r="C3719"/>
      <c r="D3719"/>
      <c r="E3719"/>
      <c r="F3719"/>
      <c r="G3719"/>
      <c r="H3719" s="19"/>
      <c r="I3719" s="19"/>
      <c r="J3719" s="19"/>
      <c r="M3719" s="7"/>
    </row>
    <row r="3720" spans="2:13" x14ac:dyDescent="0.25">
      <c r="B3720"/>
      <c r="C3720"/>
      <c r="D3720"/>
      <c r="E3720"/>
      <c r="F3720"/>
      <c r="G3720"/>
      <c r="H3720" s="19"/>
      <c r="I3720" s="19"/>
      <c r="J3720" s="19"/>
      <c r="M3720" s="7"/>
    </row>
    <row r="3721" spans="2:13" x14ac:dyDescent="0.25">
      <c r="B3721"/>
      <c r="C3721"/>
      <c r="D3721"/>
      <c r="E3721"/>
      <c r="F3721"/>
      <c r="G3721"/>
      <c r="H3721" s="19"/>
      <c r="I3721" s="19"/>
      <c r="J3721" s="19"/>
      <c r="M3721" s="7"/>
    </row>
    <row r="3722" spans="2:13" x14ac:dyDescent="0.25">
      <c r="B3722"/>
      <c r="C3722"/>
      <c r="D3722"/>
      <c r="E3722"/>
      <c r="F3722"/>
      <c r="G3722"/>
      <c r="H3722" s="19"/>
      <c r="I3722" s="19"/>
      <c r="J3722" s="19"/>
      <c r="M3722" s="7"/>
    </row>
    <row r="3723" spans="2:13" x14ac:dyDescent="0.25">
      <c r="B3723"/>
      <c r="C3723"/>
      <c r="D3723"/>
      <c r="E3723"/>
      <c r="F3723"/>
      <c r="G3723"/>
      <c r="H3723" s="19"/>
      <c r="I3723" s="19"/>
      <c r="J3723" s="19"/>
      <c r="M3723" s="7"/>
    </row>
    <row r="3724" spans="2:13" x14ac:dyDescent="0.25">
      <c r="B3724"/>
      <c r="C3724"/>
      <c r="D3724"/>
      <c r="E3724"/>
      <c r="F3724"/>
      <c r="G3724"/>
      <c r="H3724" s="19"/>
      <c r="I3724" s="19"/>
      <c r="J3724" s="19"/>
      <c r="M3724" s="7"/>
    </row>
    <row r="3725" spans="2:13" x14ac:dyDescent="0.25">
      <c r="B3725"/>
      <c r="C3725"/>
      <c r="D3725"/>
      <c r="E3725"/>
      <c r="F3725"/>
      <c r="G3725"/>
      <c r="H3725" s="19"/>
      <c r="I3725" s="19"/>
      <c r="J3725" s="19"/>
      <c r="M3725" s="7"/>
    </row>
    <row r="3726" spans="2:13" x14ac:dyDescent="0.25">
      <c r="B3726"/>
      <c r="C3726"/>
      <c r="D3726"/>
      <c r="E3726"/>
      <c r="F3726"/>
      <c r="G3726"/>
      <c r="H3726" s="19"/>
      <c r="I3726" s="19"/>
      <c r="J3726" s="19"/>
      <c r="M3726" s="7"/>
    </row>
    <row r="3727" spans="2:13" x14ac:dyDescent="0.25">
      <c r="B3727"/>
      <c r="C3727"/>
      <c r="D3727"/>
      <c r="E3727"/>
      <c r="F3727"/>
      <c r="G3727"/>
      <c r="H3727" s="19"/>
      <c r="I3727" s="19"/>
      <c r="J3727" s="19"/>
      <c r="M3727" s="7"/>
    </row>
    <row r="3728" spans="2:13" x14ac:dyDescent="0.25">
      <c r="B3728"/>
      <c r="C3728"/>
      <c r="D3728"/>
      <c r="E3728"/>
      <c r="F3728"/>
      <c r="G3728"/>
      <c r="H3728" s="19"/>
      <c r="I3728" s="19"/>
      <c r="J3728" s="19"/>
      <c r="M3728" s="7"/>
    </row>
    <row r="3729" spans="2:13" x14ac:dyDescent="0.25">
      <c r="B3729"/>
      <c r="C3729"/>
      <c r="D3729"/>
      <c r="E3729"/>
      <c r="F3729"/>
      <c r="G3729"/>
      <c r="H3729" s="19"/>
      <c r="I3729" s="19"/>
      <c r="J3729" s="19"/>
      <c r="M3729" s="7"/>
    </row>
    <row r="3730" spans="2:13" x14ac:dyDescent="0.25">
      <c r="B3730"/>
      <c r="C3730"/>
      <c r="D3730"/>
      <c r="E3730"/>
      <c r="F3730"/>
      <c r="G3730"/>
      <c r="H3730" s="19"/>
      <c r="I3730" s="19"/>
      <c r="J3730" s="19"/>
      <c r="M3730" s="7"/>
    </row>
    <row r="3731" spans="2:13" x14ac:dyDescent="0.25">
      <c r="B3731"/>
      <c r="C3731"/>
      <c r="D3731"/>
      <c r="E3731"/>
      <c r="F3731"/>
      <c r="G3731"/>
      <c r="H3731" s="19"/>
      <c r="I3731" s="19"/>
      <c r="J3731" s="19"/>
      <c r="M3731" s="7"/>
    </row>
    <row r="3732" spans="2:13" x14ac:dyDescent="0.25">
      <c r="B3732"/>
      <c r="C3732"/>
      <c r="D3732"/>
      <c r="E3732"/>
      <c r="F3732"/>
      <c r="G3732"/>
      <c r="H3732" s="19"/>
      <c r="I3732" s="19"/>
      <c r="J3732" s="19"/>
      <c r="M3732" s="7"/>
    </row>
    <row r="3733" spans="2:13" x14ac:dyDescent="0.25">
      <c r="B3733"/>
      <c r="C3733"/>
      <c r="D3733"/>
      <c r="E3733"/>
      <c r="F3733"/>
      <c r="G3733"/>
      <c r="H3733" s="19"/>
      <c r="I3733" s="19"/>
      <c r="J3733" s="19"/>
      <c r="M3733" s="7"/>
    </row>
    <row r="3734" spans="2:13" x14ac:dyDescent="0.25">
      <c r="B3734"/>
      <c r="C3734"/>
      <c r="D3734"/>
      <c r="E3734"/>
      <c r="F3734"/>
      <c r="G3734"/>
      <c r="H3734" s="19"/>
      <c r="I3734" s="19"/>
      <c r="J3734" s="19"/>
      <c r="M3734" s="7"/>
    </row>
    <row r="3735" spans="2:13" x14ac:dyDescent="0.25">
      <c r="B3735"/>
      <c r="C3735"/>
      <c r="D3735"/>
      <c r="E3735"/>
      <c r="F3735"/>
      <c r="G3735"/>
      <c r="H3735" s="19"/>
      <c r="I3735" s="19"/>
      <c r="J3735" s="19"/>
      <c r="M3735" s="7"/>
    </row>
    <row r="3736" spans="2:13" x14ac:dyDescent="0.25">
      <c r="B3736"/>
      <c r="C3736"/>
      <c r="D3736"/>
      <c r="E3736"/>
      <c r="F3736"/>
      <c r="G3736"/>
      <c r="H3736" s="19"/>
      <c r="I3736" s="19"/>
      <c r="J3736" s="19"/>
      <c r="M3736" s="7"/>
    </row>
    <row r="3737" spans="2:13" x14ac:dyDescent="0.25">
      <c r="B3737"/>
      <c r="C3737"/>
      <c r="D3737"/>
      <c r="E3737"/>
      <c r="F3737"/>
      <c r="G3737"/>
      <c r="H3737" s="19"/>
      <c r="I3737" s="19"/>
      <c r="J3737" s="19"/>
      <c r="M3737" s="7"/>
    </row>
    <row r="3738" spans="2:13" x14ac:dyDescent="0.25">
      <c r="B3738"/>
      <c r="C3738"/>
      <c r="D3738"/>
      <c r="E3738"/>
      <c r="F3738"/>
      <c r="G3738"/>
      <c r="H3738" s="19"/>
      <c r="I3738" s="19"/>
      <c r="J3738" s="19"/>
      <c r="M3738" s="7"/>
    </row>
    <row r="3739" spans="2:13" x14ac:dyDescent="0.25">
      <c r="B3739"/>
      <c r="C3739"/>
      <c r="D3739"/>
      <c r="E3739"/>
      <c r="F3739"/>
      <c r="G3739"/>
      <c r="H3739" s="19"/>
      <c r="I3739" s="19"/>
      <c r="J3739" s="19"/>
      <c r="M3739" s="7"/>
    </row>
    <row r="3740" spans="2:13" x14ac:dyDescent="0.25">
      <c r="B3740"/>
      <c r="C3740"/>
      <c r="D3740"/>
      <c r="E3740"/>
      <c r="F3740"/>
      <c r="G3740"/>
      <c r="H3740" s="19"/>
      <c r="I3740" s="19"/>
      <c r="J3740" s="19"/>
      <c r="M3740" s="7"/>
    </row>
    <row r="3741" spans="2:13" x14ac:dyDescent="0.25">
      <c r="B3741"/>
      <c r="C3741"/>
      <c r="D3741"/>
      <c r="E3741"/>
      <c r="F3741"/>
      <c r="G3741"/>
      <c r="H3741" s="19"/>
      <c r="I3741" s="19"/>
      <c r="J3741" s="19"/>
      <c r="M3741" s="7"/>
    </row>
    <row r="3742" spans="2:13" x14ac:dyDescent="0.25">
      <c r="B3742"/>
      <c r="C3742"/>
      <c r="D3742"/>
      <c r="E3742"/>
      <c r="F3742"/>
      <c r="G3742"/>
      <c r="H3742" s="19"/>
      <c r="I3742" s="19"/>
      <c r="J3742" s="19"/>
      <c r="M3742" s="7"/>
    </row>
    <row r="3743" spans="2:13" x14ac:dyDescent="0.25">
      <c r="B3743"/>
      <c r="C3743"/>
      <c r="D3743"/>
      <c r="E3743"/>
      <c r="F3743"/>
      <c r="G3743"/>
      <c r="H3743" s="19"/>
      <c r="I3743" s="19"/>
      <c r="J3743" s="19"/>
      <c r="M3743" s="7"/>
    </row>
    <row r="3744" spans="2:13" x14ac:dyDescent="0.25">
      <c r="B3744"/>
      <c r="C3744"/>
      <c r="D3744"/>
      <c r="E3744"/>
      <c r="F3744"/>
      <c r="G3744"/>
      <c r="H3744" s="19"/>
      <c r="I3744" s="19"/>
      <c r="J3744" s="19"/>
      <c r="M3744" s="7"/>
    </row>
    <row r="3745" spans="2:13" x14ac:dyDescent="0.25">
      <c r="B3745"/>
      <c r="C3745"/>
      <c r="D3745"/>
      <c r="E3745"/>
      <c r="F3745"/>
      <c r="G3745"/>
      <c r="H3745" s="19"/>
      <c r="I3745" s="19"/>
      <c r="J3745" s="19"/>
      <c r="M3745" s="7"/>
    </row>
    <row r="3746" spans="2:13" x14ac:dyDescent="0.25">
      <c r="B3746"/>
      <c r="C3746"/>
      <c r="D3746"/>
      <c r="E3746"/>
      <c r="F3746"/>
      <c r="G3746"/>
      <c r="H3746" s="19"/>
      <c r="I3746" s="19"/>
      <c r="J3746" s="19"/>
      <c r="M3746" s="7"/>
    </row>
    <row r="3747" spans="2:13" x14ac:dyDescent="0.25">
      <c r="B3747"/>
      <c r="C3747"/>
      <c r="D3747"/>
      <c r="E3747"/>
      <c r="F3747"/>
      <c r="G3747"/>
      <c r="H3747" s="19"/>
      <c r="I3747" s="19"/>
      <c r="J3747" s="19"/>
      <c r="M3747" s="7"/>
    </row>
    <row r="3748" spans="2:13" x14ac:dyDescent="0.25">
      <c r="B3748"/>
      <c r="C3748"/>
      <c r="D3748"/>
      <c r="E3748"/>
      <c r="F3748"/>
      <c r="G3748"/>
      <c r="H3748" s="19"/>
      <c r="I3748" s="19"/>
      <c r="J3748" s="19"/>
      <c r="M3748" s="7"/>
    </row>
    <row r="3749" spans="2:13" x14ac:dyDescent="0.25">
      <c r="B3749"/>
      <c r="C3749"/>
      <c r="D3749"/>
      <c r="E3749"/>
      <c r="F3749"/>
      <c r="G3749"/>
      <c r="H3749" s="19"/>
      <c r="I3749" s="19"/>
      <c r="J3749" s="19"/>
      <c r="M3749" s="7"/>
    </row>
    <row r="3750" spans="2:13" x14ac:dyDescent="0.25">
      <c r="B3750"/>
      <c r="C3750"/>
      <c r="D3750"/>
      <c r="E3750"/>
      <c r="F3750"/>
      <c r="G3750"/>
      <c r="H3750" s="19"/>
      <c r="I3750" s="19"/>
      <c r="J3750" s="19"/>
      <c r="M3750" s="7"/>
    </row>
    <row r="3751" spans="2:13" x14ac:dyDescent="0.25">
      <c r="B3751"/>
      <c r="C3751"/>
      <c r="D3751"/>
      <c r="E3751"/>
      <c r="F3751"/>
      <c r="G3751"/>
      <c r="H3751" s="19"/>
      <c r="I3751" s="19"/>
      <c r="J3751" s="19"/>
      <c r="M3751" s="7"/>
    </row>
    <row r="3752" spans="2:13" x14ac:dyDescent="0.25">
      <c r="B3752"/>
      <c r="C3752"/>
      <c r="D3752"/>
      <c r="E3752"/>
      <c r="F3752"/>
      <c r="G3752"/>
      <c r="H3752" s="19"/>
      <c r="I3752" s="19"/>
      <c r="J3752" s="19"/>
      <c r="M3752" s="7"/>
    </row>
    <row r="3753" spans="2:13" x14ac:dyDescent="0.25">
      <c r="B3753"/>
      <c r="C3753"/>
      <c r="D3753"/>
      <c r="E3753"/>
      <c r="F3753"/>
      <c r="G3753"/>
      <c r="H3753" s="19"/>
      <c r="I3753" s="19"/>
      <c r="J3753" s="19"/>
      <c r="M3753" s="7"/>
    </row>
    <row r="3754" spans="2:13" x14ac:dyDescent="0.25">
      <c r="B3754"/>
      <c r="C3754"/>
      <c r="D3754"/>
      <c r="E3754"/>
      <c r="F3754"/>
      <c r="G3754"/>
      <c r="H3754" s="19"/>
      <c r="I3754" s="19"/>
      <c r="J3754" s="19"/>
      <c r="M3754" s="7"/>
    </row>
    <row r="3755" spans="2:13" x14ac:dyDescent="0.25">
      <c r="B3755"/>
      <c r="C3755"/>
      <c r="D3755"/>
      <c r="E3755"/>
      <c r="F3755"/>
      <c r="G3755"/>
      <c r="H3755" s="19"/>
      <c r="I3755" s="19"/>
      <c r="J3755" s="19"/>
      <c r="M3755" s="7"/>
    </row>
    <row r="3756" spans="2:13" x14ac:dyDescent="0.25">
      <c r="B3756"/>
      <c r="C3756"/>
      <c r="D3756"/>
      <c r="E3756"/>
      <c r="F3756"/>
      <c r="G3756"/>
      <c r="H3756" s="19"/>
      <c r="I3756" s="19"/>
      <c r="J3756" s="19"/>
      <c r="M3756" s="7"/>
    </row>
    <row r="3757" spans="2:13" x14ac:dyDescent="0.25">
      <c r="B3757"/>
      <c r="C3757"/>
      <c r="D3757"/>
      <c r="E3757"/>
      <c r="F3757"/>
      <c r="G3757"/>
      <c r="H3757" s="19"/>
      <c r="I3757" s="19"/>
      <c r="J3757" s="19"/>
      <c r="M3757" s="7"/>
    </row>
    <row r="3758" spans="2:13" x14ac:dyDescent="0.25">
      <c r="B3758"/>
      <c r="C3758"/>
      <c r="D3758"/>
      <c r="E3758"/>
      <c r="F3758"/>
      <c r="G3758"/>
      <c r="H3758" s="19"/>
      <c r="I3758" s="19"/>
      <c r="J3758" s="19"/>
      <c r="M3758" s="7"/>
    </row>
    <row r="3759" spans="2:13" x14ac:dyDescent="0.25">
      <c r="B3759"/>
      <c r="C3759"/>
      <c r="D3759"/>
      <c r="E3759"/>
      <c r="F3759"/>
      <c r="G3759"/>
      <c r="H3759" s="19"/>
      <c r="I3759" s="19"/>
      <c r="J3759" s="19"/>
      <c r="M3759" s="7"/>
    </row>
    <row r="3760" spans="2:13" x14ac:dyDescent="0.25">
      <c r="B3760"/>
      <c r="C3760"/>
      <c r="D3760"/>
      <c r="E3760"/>
      <c r="F3760"/>
      <c r="G3760"/>
      <c r="H3760" s="19"/>
      <c r="I3760" s="19"/>
      <c r="J3760" s="19"/>
      <c r="M3760" s="7"/>
    </row>
    <row r="3761" spans="2:13" x14ac:dyDescent="0.25">
      <c r="B3761"/>
      <c r="C3761"/>
      <c r="D3761"/>
      <c r="E3761"/>
      <c r="F3761"/>
      <c r="G3761"/>
      <c r="H3761" s="19"/>
      <c r="I3761" s="19"/>
      <c r="J3761" s="19"/>
      <c r="M3761" s="7"/>
    </row>
    <row r="3762" spans="2:13" x14ac:dyDescent="0.25">
      <c r="B3762"/>
      <c r="C3762"/>
      <c r="D3762"/>
      <c r="E3762"/>
      <c r="F3762"/>
      <c r="G3762"/>
      <c r="H3762" s="19"/>
      <c r="I3762" s="19"/>
      <c r="J3762" s="19"/>
      <c r="M3762" s="7"/>
    </row>
    <row r="3763" spans="2:13" x14ac:dyDescent="0.25">
      <c r="B3763"/>
      <c r="C3763"/>
      <c r="D3763"/>
      <c r="E3763"/>
      <c r="F3763"/>
      <c r="G3763"/>
      <c r="H3763" s="19"/>
      <c r="I3763" s="19"/>
      <c r="J3763" s="19"/>
      <c r="M3763" s="7"/>
    </row>
    <row r="3764" spans="2:13" x14ac:dyDescent="0.25">
      <c r="B3764"/>
      <c r="C3764"/>
      <c r="D3764"/>
      <c r="E3764"/>
      <c r="F3764"/>
      <c r="G3764"/>
      <c r="H3764" s="19"/>
      <c r="I3764" s="19"/>
      <c r="J3764" s="19"/>
      <c r="M3764" s="7"/>
    </row>
    <row r="3765" spans="2:13" x14ac:dyDescent="0.25">
      <c r="B3765"/>
      <c r="C3765"/>
      <c r="D3765"/>
      <c r="E3765"/>
      <c r="F3765"/>
      <c r="G3765"/>
      <c r="H3765" s="19"/>
      <c r="I3765" s="19"/>
      <c r="J3765" s="19"/>
      <c r="M3765" s="7"/>
    </row>
    <row r="3766" spans="2:13" x14ac:dyDescent="0.25">
      <c r="B3766"/>
      <c r="C3766"/>
      <c r="D3766"/>
      <c r="E3766"/>
      <c r="F3766"/>
      <c r="G3766"/>
      <c r="H3766" s="19"/>
      <c r="I3766" s="19"/>
      <c r="J3766" s="19"/>
      <c r="M3766" s="7"/>
    </row>
    <row r="3767" spans="2:13" x14ac:dyDescent="0.25">
      <c r="B3767"/>
      <c r="C3767"/>
      <c r="D3767"/>
      <c r="E3767"/>
      <c r="F3767"/>
      <c r="G3767"/>
      <c r="H3767" s="19"/>
      <c r="I3767" s="19"/>
      <c r="J3767" s="19"/>
      <c r="M3767" s="7"/>
    </row>
    <row r="3768" spans="2:13" x14ac:dyDescent="0.25">
      <c r="B3768"/>
      <c r="C3768"/>
      <c r="D3768"/>
      <c r="E3768"/>
      <c r="F3768"/>
      <c r="G3768"/>
      <c r="H3768" s="19"/>
      <c r="I3768" s="19"/>
      <c r="J3768" s="19"/>
      <c r="M3768" s="7"/>
    </row>
    <row r="3769" spans="2:13" x14ac:dyDescent="0.25">
      <c r="B3769"/>
      <c r="C3769"/>
      <c r="D3769"/>
      <c r="E3769"/>
      <c r="F3769"/>
      <c r="G3769"/>
      <c r="H3769" s="19"/>
      <c r="I3769" s="19"/>
      <c r="J3769" s="19"/>
      <c r="M3769" s="7"/>
    </row>
    <row r="3770" spans="2:13" x14ac:dyDescent="0.25">
      <c r="B3770"/>
      <c r="C3770"/>
      <c r="D3770"/>
      <c r="E3770"/>
      <c r="F3770"/>
      <c r="G3770"/>
      <c r="H3770" s="19"/>
      <c r="I3770" s="19"/>
      <c r="J3770" s="19"/>
      <c r="M3770" s="7"/>
    </row>
    <row r="3771" spans="2:13" x14ac:dyDescent="0.25">
      <c r="B3771"/>
      <c r="C3771"/>
      <c r="D3771"/>
      <c r="E3771"/>
      <c r="F3771"/>
      <c r="G3771"/>
      <c r="H3771" s="19"/>
      <c r="I3771" s="19"/>
      <c r="J3771" s="19"/>
      <c r="M3771" s="7"/>
    </row>
    <row r="3772" spans="2:13" x14ac:dyDescent="0.25">
      <c r="B3772"/>
      <c r="C3772"/>
      <c r="D3772"/>
      <c r="E3772"/>
      <c r="F3772"/>
      <c r="G3772"/>
      <c r="H3772" s="19"/>
      <c r="I3772" s="19"/>
      <c r="J3772" s="19"/>
      <c r="M3772" s="7"/>
    </row>
    <row r="3773" spans="2:13" x14ac:dyDescent="0.25">
      <c r="B3773"/>
      <c r="C3773"/>
      <c r="D3773"/>
      <c r="E3773"/>
      <c r="F3773"/>
      <c r="G3773"/>
      <c r="H3773" s="19"/>
      <c r="I3773" s="19"/>
      <c r="J3773" s="19"/>
      <c r="M3773" s="7"/>
    </row>
    <row r="3774" spans="2:13" x14ac:dyDescent="0.25">
      <c r="B3774"/>
      <c r="C3774"/>
      <c r="D3774"/>
      <c r="E3774"/>
      <c r="F3774"/>
      <c r="G3774"/>
      <c r="H3774" s="19"/>
      <c r="I3774" s="19"/>
      <c r="J3774" s="19"/>
      <c r="M3774" s="7"/>
    </row>
    <row r="3775" spans="2:13" x14ac:dyDescent="0.25">
      <c r="B3775"/>
      <c r="C3775"/>
      <c r="D3775"/>
      <c r="E3775"/>
      <c r="F3775"/>
      <c r="G3775"/>
      <c r="H3775" s="19"/>
      <c r="I3775" s="19"/>
      <c r="J3775" s="19"/>
      <c r="M3775" s="7"/>
    </row>
    <row r="3776" spans="2:13" x14ac:dyDescent="0.25">
      <c r="B3776"/>
      <c r="C3776"/>
      <c r="D3776"/>
      <c r="E3776"/>
      <c r="F3776"/>
      <c r="G3776"/>
      <c r="H3776" s="19"/>
      <c r="I3776" s="19"/>
      <c r="J3776" s="19"/>
      <c r="M3776" s="7"/>
    </row>
    <row r="3777" spans="2:13" x14ac:dyDescent="0.25">
      <c r="B3777"/>
      <c r="C3777"/>
      <c r="D3777"/>
      <c r="E3777"/>
      <c r="F3777"/>
      <c r="G3777"/>
      <c r="H3777" s="19"/>
      <c r="I3777" s="19"/>
      <c r="J3777" s="19"/>
      <c r="M3777" s="7"/>
    </row>
    <row r="3778" spans="2:13" x14ac:dyDescent="0.25">
      <c r="B3778"/>
      <c r="C3778"/>
      <c r="D3778"/>
      <c r="E3778"/>
      <c r="F3778"/>
      <c r="G3778"/>
      <c r="H3778" s="19"/>
      <c r="I3778" s="19"/>
      <c r="J3778" s="19"/>
      <c r="M3778" s="7"/>
    </row>
    <row r="3779" spans="2:13" x14ac:dyDescent="0.25">
      <c r="B3779"/>
      <c r="C3779"/>
      <c r="D3779"/>
      <c r="E3779"/>
      <c r="F3779"/>
      <c r="G3779"/>
      <c r="H3779" s="19"/>
      <c r="I3779" s="19"/>
      <c r="J3779" s="19"/>
      <c r="M3779" s="7"/>
    </row>
    <row r="3780" spans="2:13" x14ac:dyDescent="0.25">
      <c r="B3780"/>
      <c r="C3780"/>
      <c r="D3780"/>
      <c r="E3780"/>
      <c r="F3780"/>
      <c r="G3780"/>
      <c r="H3780" s="19"/>
      <c r="I3780" s="19"/>
      <c r="J3780" s="19"/>
      <c r="M3780" s="7"/>
    </row>
    <row r="3781" spans="2:13" x14ac:dyDescent="0.25">
      <c r="B3781"/>
      <c r="C3781"/>
      <c r="D3781"/>
      <c r="E3781"/>
      <c r="F3781"/>
      <c r="G3781"/>
      <c r="H3781" s="19"/>
      <c r="I3781" s="19"/>
      <c r="J3781" s="19"/>
      <c r="M3781" s="7"/>
    </row>
    <row r="3782" spans="2:13" x14ac:dyDescent="0.25">
      <c r="B3782"/>
      <c r="C3782"/>
      <c r="D3782"/>
      <c r="E3782"/>
      <c r="F3782"/>
      <c r="G3782"/>
      <c r="H3782" s="19"/>
      <c r="I3782" s="19"/>
      <c r="J3782" s="19"/>
      <c r="M3782" s="7"/>
    </row>
    <row r="3783" spans="2:13" x14ac:dyDescent="0.25">
      <c r="B3783"/>
      <c r="C3783"/>
      <c r="D3783"/>
      <c r="E3783"/>
      <c r="F3783"/>
      <c r="G3783"/>
      <c r="H3783" s="19"/>
      <c r="I3783" s="19"/>
      <c r="J3783" s="19"/>
      <c r="M3783" s="7"/>
    </row>
    <row r="3784" spans="2:13" x14ac:dyDescent="0.25">
      <c r="B3784"/>
      <c r="C3784"/>
      <c r="D3784"/>
      <c r="E3784"/>
      <c r="F3784"/>
      <c r="G3784"/>
      <c r="H3784" s="19"/>
      <c r="I3784" s="19"/>
      <c r="J3784" s="19"/>
      <c r="M3784" s="7"/>
    </row>
    <row r="3785" spans="2:13" x14ac:dyDescent="0.25">
      <c r="B3785"/>
      <c r="C3785"/>
      <c r="D3785"/>
      <c r="E3785"/>
      <c r="F3785"/>
      <c r="G3785"/>
      <c r="H3785" s="19"/>
      <c r="I3785" s="19"/>
      <c r="J3785" s="19"/>
      <c r="M3785" s="7"/>
    </row>
    <row r="3786" spans="2:13" x14ac:dyDescent="0.25">
      <c r="B3786"/>
      <c r="C3786"/>
      <c r="D3786"/>
      <c r="E3786"/>
      <c r="F3786"/>
      <c r="G3786"/>
      <c r="H3786" s="19"/>
      <c r="I3786" s="19"/>
      <c r="J3786" s="19"/>
      <c r="M3786" s="7"/>
    </row>
    <row r="3787" spans="2:13" x14ac:dyDescent="0.25">
      <c r="B3787"/>
      <c r="C3787"/>
      <c r="D3787"/>
      <c r="E3787"/>
      <c r="F3787"/>
      <c r="G3787"/>
      <c r="H3787" s="19"/>
      <c r="I3787" s="19"/>
      <c r="J3787" s="19"/>
      <c r="M3787" s="7"/>
    </row>
    <row r="3788" spans="2:13" x14ac:dyDescent="0.25">
      <c r="B3788"/>
      <c r="C3788"/>
      <c r="D3788"/>
      <c r="E3788"/>
      <c r="F3788"/>
      <c r="G3788"/>
      <c r="H3788" s="19"/>
      <c r="I3788" s="19"/>
      <c r="J3788" s="19"/>
      <c r="M3788" s="7"/>
    </row>
    <row r="3789" spans="2:13" x14ac:dyDescent="0.25">
      <c r="B3789"/>
      <c r="C3789"/>
      <c r="D3789"/>
      <c r="E3789"/>
      <c r="F3789"/>
      <c r="G3789"/>
      <c r="H3789" s="19"/>
      <c r="I3789" s="19"/>
      <c r="J3789" s="19"/>
      <c r="M3789" s="7"/>
    </row>
    <row r="3790" spans="2:13" x14ac:dyDescent="0.25">
      <c r="B3790"/>
      <c r="C3790"/>
      <c r="D3790"/>
      <c r="E3790"/>
      <c r="F3790"/>
      <c r="G3790"/>
      <c r="H3790" s="19"/>
      <c r="I3790" s="19"/>
      <c r="J3790" s="19"/>
      <c r="M3790" s="7"/>
    </row>
    <row r="3791" spans="2:13" x14ac:dyDescent="0.25">
      <c r="B3791"/>
      <c r="C3791"/>
      <c r="D3791"/>
      <c r="E3791"/>
      <c r="F3791"/>
      <c r="G3791"/>
      <c r="H3791" s="19"/>
      <c r="I3791" s="19"/>
      <c r="J3791" s="19"/>
      <c r="M3791" s="7"/>
    </row>
    <row r="3792" spans="2:13" x14ac:dyDescent="0.25">
      <c r="B3792"/>
      <c r="C3792"/>
      <c r="D3792"/>
      <c r="E3792"/>
      <c r="F3792"/>
      <c r="G3792"/>
      <c r="H3792" s="19"/>
      <c r="I3792" s="19"/>
      <c r="J3792" s="19"/>
      <c r="M3792" s="7"/>
    </row>
    <row r="3793" spans="2:13" x14ac:dyDescent="0.25">
      <c r="B3793"/>
      <c r="C3793"/>
      <c r="D3793"/>
      <c r="E3793"/>
      <c r="F3793"/>
      <c r="G3793"/>
      <c r="H3793" s="19"/>
      <c r="I3793" s="19"/>
      <c r="J3793" s="19"/>
      <c r="M3793" s="7"/>
    </row>
    <row r="3794" spans="2:13" x14ac:dyDescent="0.25">
      <c r="B3794"/>
      <c r="C3794"/>
      <c r="D3794"/>
      <c r="E3794"/>
      <c r="F3794"/>
      <c r="G3794"/>
      <c r="H3794" s="19"/>
      <c r="I3794" s="19"/>
      <c r="J3794" s="19"/>
      <c r="M3794" s="7"/>
    </row>
    <row r="3795" spans="2:13" x14ac:dyDescent="0.25">
      <c r="B3795"/>
      <c r="C3795"/>
      <c r="D3795"/>
      <c r="E3795"/>
      <c r="F3795"/>
      <c r="G3795"/>
      <c r="H3795" s="19"/>
      <c r="I3795" s="19"/>
      <c r="J3795" s="19"/>
      <c r="M3795" s="7"/>
    </row>
    <row r="3796" spans="2:13" x14ac:dyDescent="0.25">
      <c r="B3796"/>
      <c r="C3796"/>
      <c r="D3796"/>
      <c r="E3796"/>
      <c r="F3796"/>
      <c r="G3796"/>
      <c r="H3796" s="19"/>
      <c r="I3796" s="19"/>
      <c r="J3796" s="19"/>
      <c r="M3796" s="7"/>
    </row>
    <row r="3797" spans="2:13" x14ac:dyDescent="0.25">
      <c r="B3797"/>
      <c r="C3797"/>
      <c r="D3797"/>
      <c r="E3797"/>
      <c r="F3797"/>
      <c r="G3797"/>
      <c r="H3797" s="19"/>
      <c r="I3797" s="19"/>
      <c r="J3797" s="19"/>
      <c r="M3797" s="7"/>
    </row>
    <row r="3798" spans="2:13" x14ac:dyDescent="0.25">
      <c r="B3798"/>
      <c r="C3798"/>
      <c r="D3798"/>
      <c r="E3798"/>
      <c r="F3798"/>
      <c r="G3798"/>
      <c r="H3798" s="19"/>
      <c r="I3798" s="19"/>
      <c r="J3798" s="19"/>
      <c r="M3798" s="7"/>
    </row>
    <row r="3799" spans="2:13" x14ac:dyDescent="0.25">
      <c r="B3799"/>
      <c r="C3799"/>
      <c r="D3799"/>
      <c r="E3799"/>
      <c r="F3799"/>
      <c r="G3799"/>
      <c r="H3799" s="19"/>
      <c r="I3799" s="19"/>
      <c r="J3799" s="19"/>
      <c r="M3799" s="7"/>
    </row>
    <row r="3800" spans="2:13" x14ac:dyDescent="0.25">
      <c r="B3800"/>
      <c r="C3800"/>
      <c r="D3800"/>
      <c r="E3800"/>
      <c r="F3800"/>
      <c r="G3800"/>
      <c r="H3800" s="19"/>
      <c r="I3800" s="19"/>
      <c r="J3800" s="19"/>
      <c r="M3800" s="7"/>
    </row>
    <row r="3801" spans="2:13" x14ac:dyDescent="0.25">
      <c r="B3801"/>
      <c r="C3801"/>
      <c r="D3801"/>
      <c r="E3801"/>
      <c r="F3801"/>
      <c r="G3801"/>
      <c r="H3801" s="19"/>
      <c r="I3801" s="19"/>
      <c r="J3801" s="19"/>
      <c r="M3801" s="7"/>
    </row>
    <row r="3802" spans="2:13" x14ac:dyDescent="0.25">
      <c r="B3802"/>
      <c r="C3802"/>
      <c r="D3802"/>
      <c r="E3802"/>
      <c r="F3802"/>
      <c r="G3802"/>
      <c r="H3802" s="19"/>
      <c r="I3802" s="19"/>
      <c r="J3802" s="19"/>
      <c r="M3802" s="7"/>
    </row>
    <row r="3803" spans="2:13" x14ac:dyDescent="0.25">
      <c r="B3803"/>
      <c r="C3803"/>
      <c r="D3803"/>
      <c r="E3803"/>
      <c r="F3803"/>
      <c r="G3803"/>
      <c r="H3803" s="19"/>
      <c r="I3803" s="19"/>
      <c r="J3803" s="19"/>
      <c r="M3803" s="7"/>
    </row>
    <row r="3804" spans="2:13" x14ac:dyDescent="0.25">
      <c r="B3804"/>
      <c r="C3804"/>
      <c r="D3804"/>
      <c r="E3804"/>
      <c r="F3804"/>
      <c r="G3804"/>
      <c r="H3804" s="19"/>
      <c r="I3804" s="19"/>
      <c r="J3804" s="19"/>
      <c r="M3804" s="7"/>
    </row>
    <row r="3805" spans="2:13" x14ac:dyDescent="0.25">
      <c r="B3805"/>
      <c r="C3805"/>
      <c r="D3805"/>
      <c r="E3805"/>
      <c r="F3805"/>
      <c r="G3805"/>
      <c r="H3805" s="19"/>
      <c r="I3805" s="19"/>
      <c r="J3805" s="19"/>
      <c r="M3805" s="7"/>
    </row>
    <row r="3806" spans="2:13" x14ac:dyDescent="0.25">
      <c r="B3806"/>
      <c r="C3806"/>
      <c r="D3806"/>
      <c r="E3806"/>
      <c r="F3806"/>
      <c r="G3806"/>
      <c r="H3806" s="19"/>
      <c r="I3806" s="19"/>
      <c r="J3806" s="19"/>
      <c r="M3806" s="7"/>
    </row>
    <row r="3807" spans="2:13" x14ac:dyDescent="0.25">
      <c r="B3807"/>
      <c r="C3807"/>
      <c r="D3807"/>
      <c r="E3807"/>
      <c r="F3807"/>
      <c r="G3807"/>
      <c r="H3807" s="19"/>
      <c r="I3807" s="19"/>
      <c r="J3807" s="19"/>
      <c r="M3807" s="7"/>
    </row>
    <row r="3808" spans="2:13" x14ac:dyDescent="0.25">
      <c r="B3808"/>
      <c r="C3808"/>
      <c r="D3808"/>
      <c r="E3808"/>
      <c r="F3808"/>
      <c r="G3808"/>
      <c r="H3808" s="19"/>
      <c r="I3808" s="19"/>
      <c r="J3808" s="19"/>
      <c r="M3808" s="7"/>
    </row>
    <row r="3809" spans="2:13" x14ac:dyDescent="0.25">
      <c r="B3809"/>
      <c r="C3809"/>
      <c r="D3809"/>
      <c r="E3809"/>
      <c r="F3809"/>
      <c r="G3809"/>
      <c r="H3809" s="19"/>
      <c r="I3809" s="19"/>
      <c r="J3809" s="19"/>
      <c r="M3809" s="7"/>
    </row>
    <row r="3810" spans="2:13" x14ac:dyDescent="0.25">
      <c r="B3810"/>
      <c r="C3810"/>
      <c r="D3810"/>
      <c r="E3810"/>
      <c r="F3810"/>
      <c r="G3810"/>
      <c r="H3810" s="19"/>
      <c r="I3810" s="19"/>
      <c r="J3810" s="19"/>
      <c r="M3810" s="7"/>
    </row>
    <row r="3811" spans="2:13" x14ac:dyDescent="0.25">
      <c r="B3811"/>
      <c r="C3811"/>
      <c r="D3811"/>
      <c r="E3811"/>
      <c r="F3811"/>
      <c r="G3811"/>
      <c r="H3811" s="19"/>
      <c r="I3811" s="19"/>
      <c r="J3811" s="19"/>
      <c r="M3811" s="7"/>
    </row>
    <row r="3812" spans="2:13" x14ac:dyDescent="0.25">
      <c r="B3812"/>
      <c r="C3812"/>
      <c r="D3812"/>
      <c r="E3812"/>
      <c r="F3812"/>
      <c r="G3812"/>
      <c r="H3812" s="19"/>
      <c r="I3812" s="19"/>
      <c r="J3812" s="19"/>
      <c r="M3812" s="7"/>
    </row>
    <row r="3813" spans="2:13" x14ac:dyDescent="0.25">
      <c r="B3813"/>
      <c r="C3813"/>
      <c r="D3813"/>
      <c r="E3813"/>
      <c r="F3813"/>
      <c r="G3813"/>
      <c r="H3813" s="19"/>
      <c r="I3813" s="19"/>
      <c r="J3813" s="19"/>
      <c r="M3813" s="7"/>
    </row>
    <row r="3814" spans="2:13" x14ac:dyDescent="0.25">
      <c r="B3814"/>
      <c r="C3814"/>
      <c r="D3814"/>
      <c r="E3814"/>
      <c r="F3814"/>
      <c r="G3814"/>
      <c r="H3814" s="19"/>
      <c r="I3814" s="19"/>
      <c r="J3814" s="19"/>
      <c r="M3814" s="7"/>
    </row>
    <row r="3815" spans="2:13" x14ac:dyDescent="0.25">
      <c r="B3815"/>
      <c r="C3815"/>
      <c r="D3815"/>
      <c r="E3815"/>
      <c r="F3815"/>
      <c r="G3815"/>
      <c r="H3815" s="19"/>
      <c r="I3815" s="19"/>
      <c r="J3815" s="19"/>
      <c r="M3815" s="7"/>
    </row>
    <row r="3816" spans="2:13" x14ac:dyDescent="0.25">
      <c r="B3816"/>
      <c r="C3816"/>
      <c r="D3816"/>
      <c r="E3816"/>
      <c r="F3816"/>
      <c r="G3816"/>
      <c r="H3816" s="19"/>
      <c r="I3816" s="19"/>
      <c r="J3816" s="19"/>
      <c r="M3816" s="7"/>
    </row>
    <row r="3817" spans="2:13" x14ac:dyDescent="0.25">
      <c r="B3817"/>
      <c r="C3817"/>
      <c r="D3817"/>
      <c r="E3817"/>
      <c r="F3817"/>
      <c r="G3817"/>
      <c r="H3817" s="19"/>
      <c r="I3817" s="19"/>
      <c r="J3817" s="19"/>
      <c r="M3817" s="7"/>
    </row>
    <row r="3818" spans="2:13" x14ac:dyDescent="0.25">
      <c r="B3818"/>
      <c r="C3818"/>
      <c r="D3818"/>
      <c r="E3818"/>
      <c r="F3818"/>
      <c r="G3818"/>
      <c r="H3818" s="19"/>
      <c r="I3818" s="19"/>
      <c r="J3818" s="19"/>
      <c r="M3818" s="7"/>
    </row>
    <row r="3819" spans="2:13" x14ac:dyDescent="0.25">
      <c r="B3819"/>
      <c r="C3819"/>
      <c r="D3819"/>
      <c r="E3819"/>
      <c r="F3819"/>
      <c r="G3819"/>
      <c r="H3819" s="19"/>
      <c r="I3819" s="19"/>
      <c r="J3819" s="19"/>
      <c r="M3819" s="7"/>
    </row>
    <row r="3820" spans="2:13" x14ac:dyDescent="0.25">
      <c r="B3820"/>
      <c r="C3820"/>
      <c r="D3820"/>
      <c r="E3820"/>
      <c r="F3820"/>
      <c r="G3820"/>
      <c r="H3820" s="19"/>
      <c r="I3820" s="19"/>
      <c r="J3820" s="19"/>
      <c r="M3820" s="7"/>
    </row>
    <row r="3821" spans="2:13" x14ac:dyDescent="0.25">
      <c r="B3821"/>
      <c r="C3821"/>
      <c r="D3821"/>
      <c r="E3821"/>
      <c r="F3821"/>
      <c r="G3821"/>
      <c r="H3821" s="19"/>
      <c r="I3821" s="19"/>
      <c r="J3821" s="19"/>
      <c r="M3821" s="7"/>
    </row>
    <row r="3822" spans="2:13" x14ac:dyDescent="0.25">
      <c r="B3822"/>
      <c r="C3822"/>
      <c r="D3822"/>
      <c r="E3822"/>
      <c r="F3822"/>
      <c r="G3822"/>
      <c r="H3822" s="19"/>
      <c r="I3822" s="19"/>
      <c r="J3822" s="19"/>
      <c r="M3822" s="7"/>
    </row>
    <row r="3823" spans="2:13" x14ac:dyDescent="0.25">
      <c r="B3823"/>
      <c r="C3823"/>
      <c r="D3823"/>
      <c r="E3823"/>
      <c r="F3823"/>
      <c r="G3823"/>
      <c r="H3823" s="19"/>
      <c r="I3823" s="19"/>
      <c r="J3823" s="19"/>
      <c r="M3823" s="7"/>
    </row>
    <row r="3824" spans="2:13" x14ac:dyDescent="0.25">
      <c r="B3824"/>
      <c r="C3824"/>
      <c r="D3824"/>
      <c r="E3824"/>
      <c r="F3824"/>
      <c r="G3824"/>
      <c r="H3824" s="19"/>
      <c r="I3824" s="19"/>
      <c r="J3824" s="19"/>
      <c r="M3824" s="7"/>
    </row>
    <row r="3825" spans="2:13" x14ac:dyDescent="0.25">
      <c r="B3825"/>
      <c r="C3825"/>
      <c r="D3825"/>
      <c r="E3825"/>
      <c r="F3825"/>
      <c r="G3825"/>
      <c r="H3825" s="19"/>
      <c r="I3825" s="19"/>
      <c r="J3825" s="19"/>
      <c r="M3825" s="7"/>
    </row>
    <row r="3826" spans="2:13" x14ac:dyDescent="0.25">
      <c r="B3826"/>
      <c r="C3826"/>
      <c r="D3826"/>
      <c r="E3826"/>
      <c r="F3826"/>
      <c r="G3826"/>
      <c r="H3826" s="19"/>
      <c r="I3826" s="19"/>
      <c r="J3826" s="19"/>
      <c r="M3826" s="7"/>
    </row>
    <row r="3827" spans="2:13" x14ac:dyDescent="0.25">
      <c r="B3827"/>
      <c r="C3827"/>
      <c r="D3827"/>
      <c r="E3827"/>
      <c r="F3827"/>
      <c r="G3827"/>
      <c r="H3827" s="19"/>
      <c r="I3827" s="19"/>
      <c r="J3827" s="19"/>
      <c r="M3827" s="7"/>
    </row>
    <row r="3828" spans="2:13" x14ac:dyDescent="0.25">
      <c r="B3828"/>
      <c r="C3828"/>
      <c r="D3828"/>
      <c r="E3828"/>
      <c r="F3828"/>
      <c r="G3828"/>
      <c r="H3828" s="19"/>
      <c r="I3828" s="19"/>
      <c r="J3828" s="19"/>
      <c r="M3828" s="7"/>
    </row>
    <row r="3829" spans="2:13" x14ac:dyDescent="0.25">
      <c r="B3829"/>
      <c r="C3829"/>
      <c r="D3829"/>
      <c r="E3829"/>
      <c r="F3829"/>
      <c r="G3829"/>
      <c r="H3829" s="19"/>
      <c r="I3829" s="19"/>
      <c r="J3829" s="19"/>
      <c r="M3829" s="7"/>
    </row>
    <row r="3830" spans="2:13" x14ac:dyDescent="0.25">
      <c r="B3830"/>
      <c r="C3830"/>
      <c r="D3830"/>
      <c r="E3830"/>
      <c r="F3830"/>
      <c r="G3830"/>
      <c r="H3830" s="19"/>
      <c r="I3830" s="19"/>
      <c r="J3830" s="19"/>
      <c r="M3830" s="7"/>
    </row>
    <row r="3831" spans="2:13" x14ac:dyDescent="0.25">
      <c r="B3831"/>
      <c r="C3831"/>
      <c r="D3831"/>
      <c r="E3831"/>
      <c r="F3831"/>
      <c r="G3831"/>
      <c r="H3831" s="19"/>
      <c r="I3831" s="19"/>
      <c r="J3831" s="19"/>
      <c r="M3831" s="7"/>
    </row>
    <row r="3832" spans="2:13" x14ac:dyDescent="0.25">
      <c r="B3832"/>
      <c r="C3832"/>
      <c r="D3832"/>
      <c r="E3832"/>
      <c r="F3832"/>
      <c r="G3832"/>
      <c r="H3832" s="19"/>
      <c r="I3832" s="19"/>
      <c r="J3832" s="19"/>
      <c r="M3832" s="7"/>
    </row>
    <row r="3833" spans="2:13" x14ac:dyDescent="0.25">
      <c r="B3833"/>
      <c r="C3833"/>
      <c r="D3833"/>
      <c r="E3833"/>
      <c r="F3833"/>
      <c r="G3833"/>
      <c r="H3833" s="19"/>
      <c r="I3833" s="19"/>
      <c r="J3833" s="19"/>
      <c r="M3833" s="7"/>
    </row>
    <row r="3834" spans="2:13" x14ac:dyDescent="0.25">
      <c r="B3834"/>
      <c r="C3834"/>
      <c r="D3834"/>
      <c r="E3834"/>
      <c r="F3834"/>
      <c r="G3834"/>
      <c r="H3834" s="19"/>
      <c r="I3834" s="19"/>
      <c r="J3834" s="19"/>
      <c r="M3834" s="7"/>
    </row>
    <row r="3835" spans="2:13" x14ac:dyDescent="0.25">
      <c r="B3835"/>
      <c r="C3835"/>
      <c r="D3835"/>
      <c r="E3835"/>
      <c r="F3835"/>
      <c r="G3835"/>
      <c r="H3835" s="19"/>
      <c r="I3835" s="19"/>
      <c r="J3835" s="19"/>
      <c r="M3835" s="7"/>
    </row>
    <row r="3836" spans="2:13" x14ac:dyDescent="0.25">
      <c r="B3836"/>
      <c r="C3836"/>
      <c r="D3836"/>
      <c r="E3836"/>
      <c r="F3836"/>
      <c r="G3836"/>
      <c r="H3836" s="19"/>
      <c r="I3836" s="19"/>
      <c r="J3836" s="19"/>
      <c r="M3836" s="7"/>
    </row>
    <row r="3837" spans="2:13" x14ac:dyDescent="0.25">
      <c r="B3837"/>
      <c r="C3837"/>
      <c r="D3837"/>
      <c r="E3837"/>
      <c r="F3837"/>
      <c r="G3837"/>
      <c r="H3837" s="19"/>
      <c r="I3837" s="19"/>
      <c r="J3837" s="19"/>
      <c r="M3837" s="7"/>
    </row>
    <row r="3838" spans="2:13" x14ac:dyDescent="0.25">
      <c r="B3838"/>
      <c r="C3838"/>
      <c r="D3838"/>
      <c r="E3838"/>
      <c r="F3838"/>
      <c r="G3838"/>
      <c r="H3838" s="19"/>
      <c r="I3838" s="19"/>
      <c r="J3838" s="19"/>
      <c r="M3838" s="7"/>
    </row>
    <row r="3839" spans="2:13" x14ac:dyDescent="0.25">
      <c r="B3839"/>
      <c r="C3839"/>
      <c r="D3839"/>
      <c r="E3839"/>
      <c r="F3839"/>
      <c r="G3839"/>
      <c r="H3839" s="19"/>
      <c r="I3839" s="19"/>
      <c r="J3839" s="19"/>
      <c r="M3839" s="7"/>
    </row>
    <row r="3840" spans="2:13" x14ac:dyDescent="0.25">
      <c r="B3840"/>
      <c r="C3840"/>
      <c r="D3840"/>
      <c r="E3840"/>
      <c r="F3840"/>
      <c r="G3840"/>
      <c r="H3840" s="19"/>
      <c r="I3840" s="19"/>
      <c r="J3840" s="19"/>
      <c r="M3840" s="7"/>
    </row>
    <row r="3841" spans="2:13" x14ac:dyDescent="0.25">
      <c r="B3841"/>
      <c r="C3841"/>
      <c r="D3841"/>
      <c r="E3841"/>
      <c r="F3841"/>
      <c r="G3841"/>
      <c r="H3841" s="19"/>
      <c r="I3841" s="19"/>
      <c r="J3841" s="19"/>
      <c r="M3841" s="7"/>
    </row>
    <row r="3842" spans="2:13" x14ac:dyDescent="0.25">
      <c r="B3842"/>
      <c r="C3842"/>
      <c r="D3842"/>
      <c r="E3842"/>
      <c r="F3842"/>
      <c r="G3842"/>
      <c r="H3842" s="19"/>
      <c r="I3842" s="19"/>
      <c r="J3842" s="19"/>
      <c r="M3842" s="7"/>
    </row>
    <row r="3843" spans="2:13" x14ac:dyDescent="0.25">
      <c r="B3843"/>
      <c r="C3843"/>
      <c r="D3843"/>
      <c r="E3843"/>
      <c r="F3843"/>
      <c r="G3843"/>
      <c r="H3843" s="19"/>
      <c r="I3843" s="19"/>
      <c r="J3843" s="19"/>
      <c r="M3843" s="7"/>
    </row>
    <row r="3844" spans="2:13" x14ac:dyDescent="0.25">
      <c r="B3844"/>
      <c r="C3844"/>
      <c r="D3844"/>
      <c r="E3844"/>
      <c r="F3844"/>
      <c r="G3844"/>
      <c r="H3844" s="19"/>
      <c r="I3844" s="19"/>
      <c r="J3844" s="19"/>
      <c r="M3844" s="7"/>
    </row>
    <row r="3845" spans="2:13" x14ac:dyDescent="0.25">
      <c r="B3845"/>
      <c r="C3845"/>
      <c r="D3845"/>
      <c r="E3845"/>
      <c r="F3845"/>
      <c r="G3845"/>
      <c r="H3845" s="19"/>
      <c r="I3845" s="19"/>
      <c r="J3845" s="19"/>
      <c r="M3845" s="7"/>
    </row>
    <row r="3846" spans="2:13" x14ac:dyDescent="0.25">
      <c r="B3846"/>
      <c r="C3846"/>
      <c r="D3846"/>
      <c r="E3846"/>
      <c r="F3846"/>
      <c r="G3846"/>
      <c r="H3846" s="19"/>
      <c r="I3846" s="19"/>
      <c r="J3846" s="19"/>
      <c r="M3846" s="7"/>
    </row>
    <row r="3847" spans="2:13" x14ac:dyDescent="0.25">
      <c r="B3847"/>
      <c r="C3847"/>
      <c r="D3847"/>
      <c r="E3847"/>
      <c r="F3847"/>
      <c r="G3847"/>
      <c r="H3847" s="19"/>
      <c r="I3847" s="19"/>
      <c r="J3847" s="19"/>
      <c r="M3847" s="7"/>
    </row>
    <row r="3848" spans="2:13" x14ac:dyDescent="0.25">
      <c r="B3848"/>
      <c r="C3848"/>
      <c r="D3848"/>
      <c r="E3848"/>
      <c r="F3848"/>
      <c r="G3848"/>
      <c r="H3848" s="19"/>
      <c r="I3848" s="19"/>
      <c r="J3848" s="19"/>
      <c r="M3848" s="7"/>
    </row>
    <row r="3849" spans="2:13" x14ac:dyDescent="0.25">
      <c r="B3849"/>
      <c r="C3849"/>
      <c r="D3849"/>
      <c r="E3849"/>
      <c r="F3849"/>
      <c r="G3849"/>
      <c r="H3849" s="19"/>
      <c r="I3849" s="19"/>
      <c r="J3849" s="19"/>
      <c r="M3849" s="7"/>
    </row>
    <row r="3850" spans="2:13" x14ac:dyDescent="0.25">
      <c r="B3850"/>
      <c r="C3850"/>
      <c r="D3850"/>
      <c r="E3850"/>
      <c r="F3850"/>
      <c r="G3850"/>
      <c r="H3850" s="19"/>
      <c r="I3850" s="19"/>
      <c r="J3850" s="19"/>
      <c r="M3850" s="7"/>
    </row>
    <row r="3851" spans="2:13" x14ac:dyDescent="0.25">
      <c r="B3851"/>
      <c r="C3851"/>
      <c r="D3851"/>
      <c r="E3851"/>
      <c r="F3851"/>
      <c r="G3851"/>
      <c r="H3851" s="19"/>
      <c r="I3851" s="19"/>
      <c r="J3851" s="19"/>
      <c r="M3851" s="7"/>
    </row>
    <row r="3852" spans="2:13" x14ac:dyDescent="0.25">
      <c r="B3852"/>
      <c r="C3852"/>
      <c r="D3852"/>
      <c r="E3852"/>
      <c r="F3852"/>
      <c r="G3852"/>
      <c r="H3852" s="19"/>
      <c r="I3852" s="19"/>
      <c r="J3852" s="19"/>
      <c r="M3852" s="7"/>
    </row>
    <row r="3853" spans="2:13" x14ac:dyDescent="0.25">
      <c r="B3853"/>
      <c r="C3853"/>
      <c r="D3853"/>
      <c r="E3853"/>
      <c r="F3853"/>
      <c r="G3853"/>
      <c r="H3853" s="19"/>
      <c r="I3853" s="19"/>
      <c r="J3853" s="19"/>
      <c r="M3853" s="7"/>
    </row>
    <row r="3854" spans="2:13" x14ac:dyDescent="0.25">
      <c r="B3854"/>
      <c r="C3854"/>
      <c r="D3854"/>
      <c r="E3854"/>
      <c r="F3854"/>
      <c r="G3854"/>
      <c r="H3854" s="19"/>
      <c r="I3854" s="19"/>
      <c r="J3854" s="19"/>
      <c r="M3854" s="7"/>
    </row>
    <row r="3855" spans="2:13" x14ac:dyDescent="0.25">
      <c r="B3855"/>
      <c r="C3855"/>
      <c r="D3855"/>
      <c r="E3855"/>
      <c r="F3855"/>
      <c r="G3855"/>
      <c r="H3855" s="19"/>
      <c r="I3855" s="19"/>
      <c r="J3855" s="19"/>
      <c r="M3855" s="7"/>
    </row>
    <row r="3856" spans="2:13" x14ac:dyDescent="0.25">
      <c r="B3856"/>
      <c r="C3856"/>
      <c r="D3856"/>
      <c r="E3856"/>
      <c r="F3856"/>
      <c r="G3856"/>
      <c r="H3856" s="19"/>
      <c r="I3856" s="19"/>
      <c r="J3856" s="19"/>
      <c r="M3856" s="7"/>
    </row>
    <row r="3857" spans="2:13" x14ac:dyDescent="0.25">
      <c r="B3857"/>
      <c r="C3857"/>
      <c r="D3857"/>
      <c r="E3857"/>
      <c r="F3857"/>
      <c r="G3857"/>
      <c r="H3857" s="19"/>
      <c r="I3857" s="19"/>
      <c r="J3857" s="19"/>
      <c r="M3857" s="7"/>
    </row>
    <row r="3858" spans="2:13" x14ac:dyDescent="0.25">
      <c r="B3858"/>
      <c r="C3858"/>
      <c r="D3858"/>
      <c r="E3858"/>
      <c r="F3858"/>
      <c r="G3858"/>
      <c r="H3858" s="19"/>
      <c r="I3858" s="19"/>
      <c r="J3858" s="19"/>
      <c r="M3858" s="7"/>
    </row>
    <row r="3859" spans="2:13" x14ac:dyDescent="0.25">
      <c r="B3859"/>
      <c r="C3859"/>
      <c r="D3859"/>
      <c r="E3859"/>
      <c r="F3859"/>
      <c r="G3859"/>
      <c r="H3859" s="19"/>
      <c r="I3859" s="19"/>
      <c r="J3859" s="19"/>
      <c r="M3859" s="7"/>
    </row>
    <row r="3860" spans="2:13" x14ac:dyDescent="0.25">
      <c r="B3860"/>
      <c r="C3860"/>
      <c r="D3860"/>
      <c r="E3860"/>
      <c r="F3860"/>
      <c r="G3860"/>
      <c r="H3860" s="19"/>
      <c r="I3860" s="19"/>
      <c r="J3860" s="19"/>
      <c r="M3860" s="7"/>
    </row>
    <row r="3861" spans="2:13" x14ac:dyDescent="0.25">
      <c r="B3861"/>
      <c r="C3861"/>
      <c r="D3861"/>
      <c r="E3861"/>
      <c r="F3861"/>
      <c r="G3861"/>
      <c r="H3861" s="19"/>
      <c r="I3861" s="19"/>
      <c r="J3861" s="19"/>
      <c r="M3861" s="7"/>
    </row>
    <row r="3862" spans="2:13" x14ac:dyDescent="0.25">
      <c r="B3862"/>
      <c r="C3862"/>
      <c r="D3862"/>
      <c r="E3862"/>
      <c r="F3862"/>
      <c r="G3862"/>
      <c r="H3862" s="19"/>
      <c r="I3862" s="19"/>
      <c r="J3862" s="19"/>
      <c r="M3862" s="7"/>
    </row>
    <row r="3863" spans="2:13" x14ac:dyDescent="0.25">
      <c r="B3863"/>
      <c r="C3863"/>
      <c r="D3863"/>
      <c r="E3863"/>
      <c r="F3863"/>
      <c r="G3863"/>
      <c r="H3863" s="19"/>
      <c r="I3863" s="19"/>
      <c r="J3863" s="19"/>
      <c r="M3863" s="7"/>
    </row>
    <row r="3864" spans="2:13" x14ac:dyDescent="0.25">
      <c r="B3864"/>
      <c r="C3864"/>
      <c r="D3864"/>
      <c r="E3864"/>
      <c r="F3864"/>
      <c r="G3864"/>
      <c r="H3864" s="19"/>
      <c r="I3864" s="19"/>
      <c r="J3864" s="19"/>
      <c r="M3864" s="7"/>
    </row>
    <row r="3865" spans="2:13" x14ac:dyDescent="0.25">
      <c r="B3865"/>
      <c r="C3865"/>
      <c r="D3865"/>
      <c r="E3865"/>
      <c r="F3865"/>
      <c r="G3865"/>
      <c r="H3865" s="19"/>
      <c r="I3865" s="19"/>
      <c r="J3865" s="19"/>
      <c r="M3865" s="7"/>
    </row>
    <row r="3866" spans="2:13" x14ac:dyDescent="0.25">
      <c r="B3866"/>
      <c r="C3866"/>
      <c r="D3866"/>
      <c r="E3866"/>
      <c r="F3866"/>
      <c r="G3866"/>
      <c r="H3866" s="19"/>
      <c r="I3866" s="19"/>
      <c r="J3866" s="19"/>
      <c r="M3866" s="7"/>
    </row>
    <row r="3867" spans="2:13" x14ac:dyDescent="0.25">
      <c r="B3867"/>
      <c r="C3867"/>
      <c r="D3867"/>
      <c r="E3867"/>
      <c r="F3867"/>
      <c r="G3867"/>
      <c r="H3867" s="19"/>
      <c r="I3867" s="19"/>
      <c r="J3867" s="19"/>
      <c r="M3867" s="7"/>
    </row>
    <row r="3868" spans="2:13" x14ac:dyDescent="0.25">
      <c r="B3868"/>
      <c r="C3868"/>
      <c r="D3868"/>
      <c r="E3868"/>
      <c r="F3868"/>
      <c r="G3868"/>
      <c r="H3868" s="19"/>
      <c r="I3868" s="19"/>
      <c r="J3868" s="19"/>
      <c r="M3868" s="7"/>
    </row>
    <row r="3869" spans="2:13" x14ac:dyDescent="0.25">
      <c r="B3869"/>
      <c r="C3869"/>
      <c r="D3869"/>
      <c r="E3869"/>
      <c r="F3869"/>
      <c r="G3869"/>
      <c r="H3869" s="19"/>
      <c r="I3869" s="19"/>
      <c r="J3869" s="19"/>
      <c r="M3869" s="7"/>
    </row>
    <row r="3870" spans="2:13" x14ac:dyDescent="0.25">
      <c r="B3870"/>
      <c r="C3870"/>
      <c r="D3870"/>
      <c r="E3870"/>
      <c r="F3870"/>
      <c r="G3870"/>
      <c r="H3870" s="19"/>
      <c r="I3870" s="19"/>
      <c r="J3870" s="19"/>
      <c r="M3870" s="7"/>
    </row>
    <row r="3871" spans="2:13" x14ac:dyDescent="0.25">
      <c r="B3871"/>
      <c r="C3871"/>
      <c r="D3871"/>
      <c r="E3871"/>
      <c r="F3871"/>
      <c r="G3871"/>
      <c r="H3871" s="19"/>
      <c r="I3871" s="19"/>
      <c r="J3871" s="19"/>
      <c r="M3871" s="7"/>
    </row>
    <row r="3872" spans="2:13" x14ac:dyDescent="0.25">
      <c r="B3872"/>
      <c r="C3872"/>
      <c r="D3872"/>
      <c r="E3872"/>
      <c r="F3872"/>
      <c r="G3872"/>
      <c r="H3872" s="19"/>
      <c r="I3872" s="19"/>
      <c r="J3872" s="19"/>
      <c r="M3872" s="7"/>
    </row>
    <row r="3873" spans="2:13" x14ac:dyDescent="0.25">
      <c r="B3873"/>
      <c r="C3873"/>
      <c r="D3873"/>
      <c r="E3873"/>
      <c r="F3873"/>
      <c r="G3873"/>
      <c r="H3873" s="19"/>
      <c r="I3873" s="19"/>
      <c r="J3873" s="19"/>
      <c r="M3873" s="7"/>
    </row>
    <row r="3874" spans="2:13" x14ac:dyDescent="0.25">
      <c r="B3874"/>
      <c r="C3874"/>
      <c r="D3874"/>
      <c r="E3874"/>
      <c r="F3874"/>
      <c r="G3874"/>
      <c r="H3874" s="19"/>
      <c r="I3874" s="19"/>
      <c r="J3874" s="19"/>
      <c r="M3874" s="7"/>
    </row>
    <row r="3875" spans="2:13" x14ac:dyDescent="0.25">
      <c r="B3875"/>
      <c r="C3875"/>
      <c r="D3875"/>
      <c r="E3875"/>
      <c r="F3875"/>
      <c r="G3875"/>
      <c r="H3875" s="19"/>
      <c r="I3875" s="19"/>
      <c r="J3875" s="19"/>
      <c r="M3875" s="7"/>
    </row>
    <row r="3876" spans="2:13" x14ac:dyDescent="0.25">
      <c r="B3876"/>
      <c r="C3876"/>
      <c r="D3876"/>
      <c r="E3876"/>
      <c r="F3876"/>
      <c r="G3876"/>
      <c r="H3876" s="19"/>
      <c r="I3876" s="19"/>
      <c r="J3876" s="19"/>
      <c r="M3876" s="7"/>
    </row>
    <row r="3877" spans="2:13" x14ac:dyDescent="0.25">
      <c r="B3877"/>
      <c r="C3877"/>
      <c r="D3877"/>
      <c r="E3877"/>
      <c r="F3877"/>
      <c r="G3877"/>
      <c r="H3877" s="19"/>
      <c r="I3877" s="19"/>
      <c r="J3877" s="19"/>
      <c r="M3877" s="7"/>
    </row>
    <row r="3878" spans="2:13" x14ac:dyDescent="0.25">
      <c r="B3878"/>
      <c r="C3878"/>
      <c r="D3878"/>
      <c r="E3878"/>
      <c r="F3878"/>
      <c r="G3878"/>
      <c r="H3878" s="19"/>
      <c r="I3878" s="19"/>
      <c r="J3878" s="19"/>
      <c r="M3878" s="7"/>
    </row>
    <row r="3879" spans="2:13" x14ac:dyDescent="0.25">
      <c r="B3879"/>
      <c r="C3879"/>
      <c r="D3879"/>
      <c r="E3879"/>
      <c r="F3879"/>
      <c r="G3879"/>
      <c r="H3879" s="19"/>
      <c r="I3879" s="19"/>
      <c r="J3879" s="19"/>
      <c r="M3879" s="7"/>
    </row>
    <row r="3880" spans="2:13" x14ac:dyDescent="0.25">
      <c r="B3880"/>
      <c r="C3880"/>
      <c r="D3880"/>
      <c r="E3880"/>
      <c r="F3880"/>
      <c r="G3880"/>
      <c r="H3880" s="19"/>
      <c r="I3880" s="19"/>
      <c r="J3880" s="19"/>
      <c r="M3880" s="7"/>
    </row>
    <row r="3881" spans="2:13" x14ac:dyDescent="0.25">
      <c r="B3881"/>
      <c r="C3881"/>
      <c r="D3881"/>
      <c r="E3881"/>
      <c r="F3881"/>
      <c r="G3881"/>
      <c r="H3881" s="19"/>
      <c r="I3881" s="19"/>
      <c r="J3881" s="19"/>
      <c r="M3881" s="7"/>
    </row>
    <row r="3882" spans="2:13" x14ac:dyDescent="0.25">
      <c r="B3882"/>
      <c r="C3882"/>
      <c r="D3882"/>
      <c r="E3882"/>
      <c r="F3882"/>
      <c r="G3882"/>
      <c r="H3882" s="19"/>
      <c r="I3882" s="19"/>
      <c r="J3882" s="19"/>
      <c r="M3882" s="7"/>
    </row>
    <row r="3883" spans="2:13" x14ac:dyDescent="0.25">
      <c r="B3883"/>
      <c r="C3883"/>
      <c r="D3883"/>
      <c r="E3883"/>
      <c r="F3883"/>
      <c r="G3883"/>
      <c r="H3883" s="19"/>
      <c r="I3883" s="19"/>
      <c r="J3883" s="19"/>
      <c r="M3883" s="7"/>
    </row>
    <row r="3884" spans="2:13" x14ac:dyDescent="0.25">
      <c r="B3884"/>
      <c r="C3884"/>
      <c r="D3884"/>
      <c r="E3884"/>
      <c r="F3884"/>
      <c r="G3884"/>
      <c r="H3884" s="19"/>
      <c r="I3884" s="19"/>
      <c r="J3884" s="19"/>
      <c r="M3884" s="7"/>
    </row>
    <row r="3885" spans="2:13" x14ac:dyDescent="0.25">
      <c r="B3885"/>
      <c r="C3885"/>
      <c r="D3885"/>
      <c r="E3885"/>
      <c r="F3885"/>
      <c r="G3885"/>
      <c r="H3885" s="19"/>
      <c r="I3885" s="19"/>
      <c r="J3885" s="19"/>
      <c r="M3885" s="7"/>
    </row>
    <row r="3886" spans="2:13" x14ac:dyDescent="0.25">
      <c r="B3886"/>
      <c r="C3886"/>
      <c r="D3886"/>
      <c r="E3886"/>
      <c r="F3886"/>
      <c r="G3886"/>
      <c r="H3886" s="19"/>
      <c r="I3886" s="19"/>
      <c r="J3886" s="19"/>
      <c r="M3886" s="7"/>
    </row>
    <row r="3887" spans="2:13" x14ac:dyDescent="0.25">
      <c r="B3887"/>
      <c r="C3887"/>
      <c r="D3887"/>
      <c r="E3887"/>
      <c r="F3887"/>
      <c r="G3887"/>
      <c r="H3887" s="19"/>
      <c r="I3887" s="19"/>
      <c r="J3887" s="19"/>
      <c r="M3887" s="7"/>
    </row>
    <row r="3888" spans="2:13" x14ac:dyDescent="0.25">
      <c r="B3888"/>
      <c r="C3888"/>
      <c r="D3888"/>
      <c r="E3888"/>
      <c r="F3888"/>
      <c r="G3888"/>
      <c r="H3888" s="19"/>
      <c r="I3888" s="19"/>
      <c r="J3888" s="19"/>
      <c r="M3888" s="7"/>
    </row>
    <row r="3889" spans="2:13" x14ac:dyDescent="0.25">
      <c r="B3889"/>
      <c r="C3889"/>
      <c r="D3889"/>
      <c r="E3889"/>
      <c r="F3889"/>
      <c r="G3889"/>
      <c r="H3889" s="19"/>
      <c r="I3889" s="19"/>
      <c r="J3889" s="19"/>
      <c r="M3889" s="7"/>
    </row>
    <row r="3890" spans="2:13" x14ac:dyDescent="0.25">
      <c r="B3890"/>
      <c r="C3890"/>
      <c r="D3890"/>
      <c r="E3890"/>
      <c r="F3890"/>
      <c r="G3890"/>
      <c r="H3890" s="19"/>
      <c r="I3890" s="19"/>
      <c r="J3890" s="19"/>
      <c r="M3890" s="7"/>
    </row>
    <row r="3891" spans="2:13" x14ac:dyDescent="0.25">
      <c r="B3891"/>
      <c r="C3891"/>
      <c r="D3891"/>
      <c r="E3891"/>
      <c r="F3891"/>
      <c r="G3891"/>
      <c r="H3891" s="19"/>
      <c r="I3891" s="19"/>
      <c r="J3891" s="19"/>
      <c r="M3891" s="7"/>
    </row>
    <row r="3892" spans="2:13" x14ac:dyDescent="0.25">
      <c r="B3892"/>
      <c r="C3892"/>
      <c r="D3892"/>
      <c r="E3892"/>
      <c r="F3892"/>
      <c r="G3892"/>
      <c r="H3892" s="19"/>
      <c r="I3892" s="19"/>
      <c r="J3892" s="19"/>
      <c r="M3892" s="7"/>
    </row>
    <row r="3893" spans="2:13" x14ac:dyDescent="0.25">
      <c r="B3893"/>
      <c r="C3893"/>
      <c r="D3893"/>
      <c r="E3893"/>
      <c r="F3893"/>
      <c r="G3893"/>
      <c r="H3893" s="19"/>
      <c r="I3893" s="19"/>
      <c r="J3893" s="19"/>
      <c r="M3893" s="7"/>
    </row>
    <row r="3894" spans="2:13" x14ac:dyDescent="0.25">
      <c r="B3894"/>
      <c r="C3894"/>
      <c r="D3894"/>
      <c r="E3894"/>
      <c r="F3894"/>
      <c r="G3894"/>
      <c r="H3894" s="19"/>
      <c r="I3894" s="19"/>
      <c r="J3894" s="19"/>
      <c r="M3894" s="7"/>
    </row>
    <row r="3895" spans="2:13" x14ac:dyDescent="0.25">
      <c r="B3895"/>
      <c r="C3895"/>
      <c r="D3895"/>
      <c r="E3895"/>
      <c r="F3895"/>
      <c r="G3895"/>
      <c r="H3895" s="19"/>
      <c r="I3895" s="19"/>
      <c r="J3895" s="19"/>
      <c r="M3895" s="7"/>
    </row>
    <row r="3896" spans="2:13" x14ac:dyDescent="0.25">
      <c r="B3896"/>
      <c r="C3896"/>
      <c r="D3896"/>
      <c r="E3896"/>
      <c r="F3896"/>
      <c r="G3896"/>
      <c r="H3896" s="19"/>
      <c r="I3896" s="19"/>
      <c r="J3896" s="19"/>
      <c r="M3896" s="7"/>
    </row>
    <row r="3897" spans="2:13" x14ac:dyDescent="0.25">
      <c r="B3897"/>
      <c r="C3897"/>
      <c r="D3897"/>
      <c r="E3897"/>
      <c r="F3897"/>
      <c r="G3897"/>
      <c r="H3897" s="19"/>
      <c r="I3897" s="19"/>
      <c r="J3897" s="19"/>
      <c r="M3897" s="7"/>
    </row>
    <row r="3898" spans="2:13" x14ac:dyDescent="0.25">
      <c r="B3898"/>
      <c r="C3898"/>
      <c r="D3898"/>
      <c r="E3898"/>
      <c r="F3898"/>
      <c r="G3898"/>
      <c r="H3898" s="19"/>
      <c r="I3898" s="19"/>
      <c r="J3898" s="19"/>
      <c r="M3898" s="7"/>
    </row>
    <row r="3899" spans="2:13" x14ac:dyDescent="0.25">
      <c r="B3899"/>
      <c r="C3899"/>
      <c r="D3899"/>
      <c r="E3899"/>
      <c r="F3899"/>
      <c r="G3899"/>
      <c r="H3899" s="19"/>
      <c r="I3899" s="19"/>
      <c r="J3899" s="19"/>
      <c r="M3899" s="7"/>
    </row>
    <row r="3900" spans="2:13" x14ac:dyDescent="0.25">
      <c r="B3900"/>
      <c r="C3900"/>
      <c r="D3900"/>
      <c r="E3900"/>
      <c r="F3900"/>
      <c r="G3900"/>
      <c r="H3900" s="19"/>
      <c r="I3900" s="19"/>
      <c r="J3900" s="19"/>
      <c r="M3900" s="7"/>
    </row>
    <row r="3901" spans="2:13" x14ac:dyDescent="0.25">
      <c r="B3901"/>
      <c r="C3901"/>
      <c r="D3901"/>
      <c r="E3901"/>
      <c r="F3901"/>
      <c r="G3901"/>
      <c r="H3901" s="19"/>
      <c r="I3901" s="19"/>
      <c r="J3901" s="19"/>
      <c r="M3901" s="7"/>
    </row>
    <row r="3902" spans="2:13" x14ac:dyDescent="0.25">
      <c r="B3902"/>
      <c r="C3902"/>
      <c r="D3902"/>
      <c r="E3902"/>
      <c r="F3902"/>
      <c r="G3902"/>
      <c r="H3902" s="19"/>
      <c r="I3902" s="19"/>
      <c r="J3902" s="19"/>
      <c r="M3902" s="7"/>
    </row>
    <row r="3903" spans="2:13" x14ac:dyDescent="0.25">
      <c r="B3903"/>
      <c r="C3903"/>
      <c r="D3903"/>
      <c r="E3903"/>
      <c r="F3903"/>
      <c r="G3903"/>
      <c r="H3903" s="19"/>
      <c r="I3903" s="19"/>
      <c r="J3903" s="19"/>
      <c r="M3903" s="7"/>
    </row>
    <row r="3904" spans="2:13" x14ac:dyDescent="0.25">
      <c r="B3904"/>
      <c r="C3904"/>
      <c r="D3904"/>
      <c r="E3904"/>
      <c r="F3904"/>
      <c r="G3904"/>
      <c r="H3904" s="19"/>
      <c r="I3904" s="19"/>
      <c r="J3904" s="19"/>
      <c r="M3904" s="7"/>
    </row>
    <row r="3905" spans="2:13" x14ac:dyDescent="0.25">
      <c r="B3905"/>
      <c r="C3905"/>
      <c r="D3905"/>
      <c r="E3905"/>
      <c r="F3905"/>
      <c r="G3905"/>
      <c r="H3905" s="19"/>
      <c r="I3905" s="19"/>
      <c r="J3905" s="19"/>
      <c r="M3905" s="7"/>
    </row>
    <row r="3906" spans="2:13" x14ac:dyDescent="0.25">
      <c r="B3906"/>
      <c r="C3906"/>
      <c r="D3906"/>
      <c r="E3906"/>
      <c r="F3906"/>
      <c r="G3906"/>
      <c r="H3906" s="19"/>
      <c r="I3906" s="19"/>
      <c r="J3906" s="19"/>
      <c r="M3906" s="7"/>
    </row>
    <row r="3907" spans="2:13" x14ac:dyDescent="0.25">
      <c r="B3907"/>
      <c r="C3907"/>
      <c r="D3907"/>
      <c r="E3907"/>
      <c r="F3907"/>
      <c r="G3907"/>
      <c r="H3907" s="19"/>
      <c r="I3907" s="19"/>
      <c r="J3907" s="19"/>
      <c r="M3907" s="7"/>
    </row>
    <row r="3908" spans="2:13" x14ac:dyDescent="0.25">
      <c r="B3908"/>
      <c r="C3908"/>
      <c r="D3908"/>
      <c r="E3908"/>
      <c r="F3908"/>
      <c r="G3908"/>
      <c r="H3908" s="19"/>
      <c r="I3908" s="19"/>
      <c r="J3908" s="19"/>
      <c r="M3908" s="7"/>
    </row>
    <row r="3909" spans="2:13" x14ac:dyDescent="0.25">
      <c r="B3909"/>
      <c r="C3909"/>
      <c r="D3909"/>
      <c r="E3909"/>
      <c r="F3909"/>
      <c r="G3909"/>
      <c r="H3909" s="19"/>
      <c r="I3909" s="19"/>
      <c r="J3909" s="19"/>
      <c r="M3909" s="7"/>
    </row>
    <row r="3910" spans="2:13" x14ac:dyDescent="0.25">
      <c r="B3910"/>
      <c r="C3910"/>
      <c r="D3910"/>
      <c r="E3910"/>
      <c r="F3910"/>
      <c r="G3910"/>
      <c r="H3910" s="19"/>
      <c r="I3910" s="19"/>
      <c r="J3910" s="19"/>
      <c r="M3910" s="7"/>
    </row>
    <row r="3911" spans="2:13" x14ac:dyDescent="0.25">
      <c r="B3911"/>
      <c r="C3911"/>
      <c r="D3911"/>
      <c r="E3911"/>
      <c r="F3911"/>
      <c r="G3911"/>
      <c r="H3911" s="19"/>
      <c r="I3911" s="19"/>
      <c r="J3911" s="19"/>
      <c r="M3911" s="7"/>
    </row>
    <row r="3912" spans="2:13" x14ac:dyDescent="0.25">
      <c r="B3912"/>
      <c r="C3912"/>
      <c r="D3912"/>
      <c r="E3912"/>
      <c r="F3912"/>
      <c r="G3912"/>
      <c r="H3912" s="19"/>
      <c r="I3912" s="19"/>
      <c r="J3912" s="19"/>
      <c r="M3912" s="7"/>
    </row>
    <row r="3913" spans="2:13" x14ac:dyDescent="0.25">
      <c r="B3913"/>
      <c r="C3913"/>
      <c r="D3913"/>
      <c r="E3913"/>
      <c r="F3913"/>
      <c r="G3913"/>
      <c r="H3913" s="19"/>
      <c r="I3913" s="19"/>
      <c r="J3913" s="19"/>
      <c r="M3913" s="7"/>
    </row>
    <row r="3914" spans="2:13" x14ac:dyDescent="0.25">
      <c r="B3914"/>
      <c r="C3914"/>
      <c r="D3914"/>
      <c r="E3914"/>
      <c r="F3914"/>
      <c r="G3914"/>
      <c r="H3914" s="19"/>
      <c r="I3914" s="19"/>
      <c r="J3914" s="19"/>
      <c r="M3914" s="7"/>
    </row>
    <row r="3915" spans="2:13" x14ac:dyDescent="0.25">
      <c r="B3915"/>
      <c r="C3915"/>
      <c r="D3915"/>
      <c r="E3915"/>
      <c r="F3915"/>
      <c r="G3915"/>
      <c r="H3915" s="19"/>
      <c r="I3915" s="19"/>
      <c r="J3915" s="19"/>
      <c r="M3915" s="7"/>
    </row>
    <row r="3916" spans="2:13" x14ac:dyDescent="0.25">
      <c r="B3916"/>
      <c r="C3916"/>
      <c r="D3916"/>
      <c r="E3916"/>
      <c r="F3916"/>
      <c r="G3916"/>
      <c r="H3916" s="19"/>
      <c r="I3916" s="19"/>
      <c r="J3916" s="19"/>
      <c r="M3916" s="7"/>
    </row>
    <row r="3917" spans="2:13" x14ac:dyDescent="0.25">
      <c r="B3917"/>
      <c r="C3917"/>
      <c r="D3917"/>
      <c r="E3917"/>
      <c r="F3917"/>
      <c r="G3917"/>
      <c r="H3917" s="19"/>
      <c r="I3917" s="19"/>
      <c r="J3917" s="19"/>
      <c r="M3917" s="7"/>
    </row>
    <row r="3918" spans="2:13" x14ac:dyDescent="0.25">
      <c r="B3918"/>
      <c r="C3918"/>
      <c r="D3918"/>
      <c r="E3918"/>
      <c r="F3918"/>
      <c r="G3918"/>
      <c r="H3918" s="19"/>
      <c r="I3918" s="19"/>
      <c r="J3918" s="19"/>
      <c r="M3918" s="7"/>
    </row>
    <row r="3919" spans="2:13" x14ac:dyDescent="0.25">
      <c r="B3919"/>
      <c r="C3919"/>
      <c r="D3919"/>
      <c r="E3919"/>
      <c r="F3919"/>
      <c r="G3919"/>
      <c r="H3919" s="19"/>
      <c r="I3919" s="19"/>
      <c r="J3919" s="19"/>
      <c r="M3919" s="7"/>
    </row>
    <row r="3920" spans="2:13" x14ac:dyDescent="0.25">
      <c r="B3920"/>
      <c r="C3920"/>
      <c r="D3920"/>
      <c r="E3920"/>
      <c r="F3920"/>
      <c r="G3920"/>
      <c r="H3920" s="19"/>
      <c r="I3920" s="19"/>
      <c r="J3920" s="19"/>
      <c r="M3920" s="7"/>
    </row>
    <row r="3921" spans="2:13" x14ac:dyDescent="0.25">
      <c r="B3921"/>
      <c r="C3921"/>
      <c r="D3921"/>
      <c r="E3921"/>
      <c r="F3921"/>
      <c r="G3921"/>
      <c r="H3921" s="19"/>
      <c r="I3921" s="19"/>
      <c r="J3921" s="19"/>
      <c r="M3921" s="7"/>
    </row>
    <row r="3922" spans="2:13" x14ac:dyDescent="0.25">
      <c r="B3922"/>
      <c r="C3922"/>
      <c r="D3922"/>
      <c r="E3922"/>
      <c r="F3922"/>
      <c r="G3922"/>
      <c r="H3922" s="19"/>
      <c r="I3922" s="19"/>
      <c r="J3922" s="19"/>
      <c r="M3922" s="7"/>
    </row>
    <row r="3923" spans="2:13" x14ac:dyDescent="0.25">
      <c r="B3923"/>
      <c r="C3923"/>
      <c r="D3923"/>
      <c r="E3923"/>
      <c r="F3923"/>
      <c r="G3923"/>
      <c r="H3923" s="19"/>
      <c r="I3923" s="19"/>
      <c r="J3923" s="19"/>
      <c r="M3923" s="7"/>
    </row>
    <row r="3924" spans="2:13" x14ac:dyDescent="0.25">
      <c r="B3924"/>
      <c r="C3924"/>
      <c r="D3924"/>
      <c r="E3924"/>
      <c r="F3924"/>
      <c r="G3924"/>
      <c r="H3924" s="19"/>
      <c r="I3924" s="19"/>
      <c r="J3924" s="19"/>
      <c r="M3924" s="7"/>
    </row>
    <row r="3925" spans="2:13" x14ac:dyDescent="0.25">
      <c r="B3925"/>
      <c r="C3925"/>
      <c r="D3925"/>
      <c r="E3925"/>
      <c r="F3925"/>
      <c r="G3925"/>
      <c r="H3925" s="19"/>
      <c r="I3925" s="19"/>
      <c r="J3925" s="19"/>
      <c r="M3925" s="7"/>
    </row>
    <row r="3926" spans="2:13" x14ac:dyDescent="0.25">
      <c r="B3926"/>
      <c r="C3926"/>
      <c r="D3926"/>
      <c r="E3926"/>
      <c r="F3926"/>
      <c r="G3926"/>
      <c r="H3926" s="19"/>
      <c r="I3926" s="19"/>
      <c r="J3926" s="19"/>
      <c r="M3926" s="7"/>
    </row>
    <row r="3927" spans="2:13" x14ac:dyDescent="0.25">
      <c r="B3927"/>
      <c r="C3927"/>
      <c r="D3927"/>
      <c r="E3927"/>
      <c r="F3927"/>
      <c r="G3927"/>
      <c r="H3927" s="19"/>
      <c r="I3927" s="19"/>
      <c r="J3927" s="19"/>
      <c r="M3927" s="7"/>
    </row>
    <row r="3928" spans="2:13" x14ac:dyDescent="0.25">
      <c r="B3928"/>
      <c r="C3928"/>
      <c r="D3928"/>
      <c r="E3928"/>
      <c r="F3928"/>
      <c r="G3928"/>
      <c r="H3928" s="19"/>
      <c r="I3928" s="19"/>
      <c r="J3928" s="19"/>
      <c r="M3928" s="7"/>
    </row>
    <row r="3929" spans="2:13" x14ac:dyDescent="0.25">
      <c r="B3929"/>
      <c r="C3929"/>
      <c r="D3929"/>
      <c r="E3929"/>
      <c r="F3929"/>
      <c r="G3929"/>
      <c r="H3929" s="19"/>
      <c r="I3929" s="19"/>
      <c r="J3929" s="19"/>
      <c r="M3929" s="7"/>
    </row>
    <row r="3930" spans="2:13" x14ac:dyDescent="0.25">
      <c r="B3930"/>
      <c r="C3930"/>
      <c r="D3930"/>
      <c r="E3930"/>
      <c r="F3930"/>
      <c r="G3930"/>
      <c r="H3930" s="19"/>
      <c r="I3930" s="19"/>
      <c r="J3930" s="19"/>
      <c r="M3930" s="7"/>
    </row>
    <row r="3931" spans="2:13" x14ac:dyDescent="0.25">
      <c r="B3931"/>
      <c r="C3931"/>
      <c r="D3931"/>
      <c r="E3931"/>
      <c r="F3931"/>
      <c r="G3931"/>
      <c r="H3931" s="19"/>
      <c r="I3931" s="19"/>
      <c r="J3931" s="19"/>
      <c r="M3931" s="7"/>
    </row>
    <row r="3932" spans="2:13" x14ac:dyDescent="0.25">
      <c r="B3932"/>
      <c r="C3932"/>
      <c r="D3932"/>
      <c r="E3932"/>
      <c r="F3932"/>
      <c r="G3932"/>
      <c r="H3932" s="19"/>
      <c r="I3932" s="19"/>
      <c r="J3932" s="19"/>
      <c r="M3932" s="7"/>
    </row>
    <row r="3933" spans="2:13" x14ac:dyDescent="0.25">
      <c r="B3933"/>
      <c r="C3933"/>
      <c r="D3933"/>
      <c r="E3933"/>
      <c r="F3933"/>
      <c r="G3933"/>
      <c r="H3933" s="19"/>
      <c r="I3933" s="19"/>
      <c r="J3933" s="19"/>
      <c r="M3933" s="7"/>
    </row>
    <row r="3934" spans="2:13" x14ac:dyDescent="0.25">
      <c r="B3934"/>
      <c r="C3934"/>
      <c r="D3934"/>
      <c r="E3934"/>
      <c r="F3934"/>
      <c r="G3934"/>
      <c r="H3934" s="19"/>
      <c r="I3934" s="19"/>
      <c r="J3934" s="19"/>
      <c r="M3934" s="7"/>
    </row>
    <row r="3935" spans="2:13" x14ac:dyDescent="0.25">
      <c r="B3935"/>
      <c r="C3935"/>
      <c r="D3935"/>
      <c r="E3935"/>
      <c r="F3935"/>
      <c r="G3935"/>
      <c r="H3935" s="19"/>
      <c r="I3935" s="19"/>
      <c r="J3935" s="19"/>
      <c r="M3935" s="7"/>
    </row>
    <row r="3936" spans="2:13" x14ac:dyDescent="0.25">
      <c r="B3936"/>
      <c r="C3936"/>
      <c r="D3936"/>
      <c r="E3936"/>
      <c r="F3936"/>
      <c r="G3936"/>
      <c r="H3936" s="19"/>
      <c r="I3936" s="19"/>
      <c r="J3936" s="19"/>
      <c r="M3936" s="7"/>
    </row>
    <row r="3937" spans="2:13" x14ac:dyDescent="0.25">
      <c r="B3937"/>
      <c r="C3937"/>
      <c r="D3937"/>
      <c r="E3937"/>
      <c r="F3937"/>
      <c r="G3937"/>
      <c r="H3937" s="19"/>
      <c r="I3937" s="19"/>
      <c r="J3937" s="19"/>
      <c r="M3937" s="7"/>
    </row>
    <row r="3938" spans="2:13" x14ac:dyDescent="0.25">
      <c r="B3938"/>
      <c r="C3938"/>
      <c r="D3938"/>
      <c r="E3938"/>
      <c r="F3938"/>
      <c r="G3938"/>
      <c r="H3938" s="19"/>
      <c r="I3938" s="19"/>
      <c r="J3938" s="19"/>
      <c r="M3938" s="7"/>
    </row>
    <row r="3939" spans="2:13" x14ac:dyDescent="0.25">
      <c r="B3939"/>
      <c r="C3939"/>
      <c r="D3939"/>
      <c r="E3939"/>
      <c r="F3939"/>
      <c r="G3939"/>
      <c r="H3939" s="19"/>
      <c r="I3939" s="19"/>
      <c r="J3939" s="19"/>
      <c r="M3939" s="7"/>
    </row>
    <row r="3940" spans="2:13" x14ac:dyDescent="0.25">
      <c r="B3940"/>
      <c r="C3940"/>
      <c r="D3940"/>
      <c r="E3940"/>
      <c r="F3940"/>
      <c r="G3940"/>
      <c r="H3940" s="19"/>
      <c r="I3940" s="19"/>
      <c r="J3940" s="19"/>
      <c r="M3940" s="7"/>
    </row>
    <row r="3941" spans="2:13" x14ac:dyDescent="0.25">
      <c r="B3941"/>
      <c r="C3941"/>
      <c r="D3941"/>
      <c r="E3941"/>
      <c r="F3941"/>
      <c r="G3941"/>
      <c r="H3941" s="19"/>
      <c r="I3941" s="19"/>
      <c r="J3941" s="19"/>
      <c r="M3941" s="7"/>
    </row>
    <row r="3942" spans="2:13" x14ac:dyDescent="0.25">
      <c r="B3942"/>
      <c r="C3942"/>
      <c r="D3942"/>
      <c r="E3942"/>
      <c r="F3942"/>
      <c r="G3942"/>
      <c r="H3942" s="19"/>
      <c r="I3942" s="19"/>
      <c r="J3942" s="19"/>
      <c r="M3942" s="7"/>
    </row>
    <row r="3943" spans="2:13" x14ac:dyDescent="0.25">
      <c r="B3943"/>
      <c r="C3943"/>
      <c r="D3943"/>
      <c r="E3943"/>
      <c r="F3943"/>
      <c r="G3943"/>
      <c r="H3943" s="19"/>
      <c r="I3943" s="19"/>
      <c r="J3943" s="19"/>
      <c r="M3943" s="7"/>
    </row>
    <row r="3944" spans="2:13" x14ac:dyDescent="0.25">
      <c r="B3944"/>
      <c r="C3944"/>
      <c r="D3944"/>
      <c r="E3944"/>
      <c r="F3944"/>
      <c r="G3944"/>
      <c r="H3944" s="19"/>
      <c r="I3944" s="19"/>
      <c r="J3944" s="19"/>
      <c r="M3944" s="7"/>
    </row>
    <row r="3945" spans="2:13" x14ac:dyDescent="0.25">
      <c r="B3945"/>
      <c r="C3945"/>
      <c r="D3945"/>
      <c r="E3945"/>
      <c r="F3945"/>
      <c r="G3945"/>
      <c r="H3945" s="19"/>
      <c r="I3945" s="19"/>
      <c r="J3945" s="19"/>
      <c r="M3945" s="7"/>
    </row>
    <row r="3946" spans="2:13" x14ac:dyDescent="0.25">
      <c r="B3946"/>
      <c r="C3946"/>
      <c r="D3946"/>
      <c r="E3946"/>
      <c r="F3946"/>
      <c r="G3946"/>
      <c r="H3946" s="19"/>
      <c r="I3946" s="19"/>
      <c r="J3946" s="19"/>
      <c r="M3946" s="7"/>
    </row>
    <row r="3947" spans="2:13" x14ac:dyDescent="0.25">
      <c r="B3947"/>
      <c r="C3947"/>
      <c r="D3947"/>
      <c r="E3947"/>
      <c r="F3947"/>
      <c r="G3947"/>
      <c r="H3947" s="19"/>
      <c r="I3947" s="19"/>
      <c r="J3947" s="19"/>
      <c r="M3947" s="7"/>
    </row>
    <row r="3948" spans="2:13" x14ac:dyDescent="0.25">
      <c r="B3948"/>
      <c r="C3948"/>
      <c r="D3948"/>
      <c r="E3948"/>
      <c r="F3948"/>
      <c r="G3948"/>
      <c r="H3948" s="19"/>
      <c r="I3948" s="19"/>
      <c r="J3948" s="19"/>
      <c r="M3948" s="7"/>
    </row>
    <row r="3949" spans="2:13" x14ac:dyDescent="0.25">
      <c r="B3949"/>
      <c r="C3949"/>
      <c r="D3949"/>
      <c r="E3949"/>
      <c r="F3949"/>
      <c r="G3949"/>
      <c r="H3949" s="19"/>
      <c r="I3949" s="19"/>
      <c r="J3949" s="19"/>
      <c r="M3949" s="7"/>
    </row>
    <row r="3950" spans="2:13" x14ac:dyDescent="0.25">
      <c r="B3950"/>
      <c r="C3950"/>
      <c r="D3950"/>
      <c r="E3950"/>
      <c r="F3950"/>
      <c r="G3950"/>
      <c r="H3950" s="19"/>
      <c r="I3950" s="19"/>
      <c r="J3950" s="19"/>
      <c r="M3950" s="7"/>
    </row>
    <row r="3951" spans="2:13" x14ac:dyDescent="0.25">
      <c r="B3951"/>
      <c r="C3951"/>
      <c r="D3951"/>
      <c r="E3951"/>
      <c r="F3951"/>
      <c r="G3951"/>
      <c r="H3951" s="19"/>
      <c r="I3951" s="19"/>
      <c r="J3951" s="19"/>
      <c r="M3951" s="7"/>
    </row>
    <row r="3952" spans="2:13" x14ac:dyDescent="0.25">
      <c r="B3952"/>
      <c r="C3952"/>
      <c r="D3952"/>
      <c r="E3952"/>
      <c r="F3952"/>
      <c r="G3952"/>
      <c r="H3952" s="19"/>
      <c r="I3952" s="19"/>
      <c r="J3952" s="19"/>
      <c r="M3952" s="7"/>
    </row>
    <row r="3953" spans="2:13" x14ac:dyDescent="0.25">
      <c r="B3953"/>
      <c r="C3953"/>
      <c r="D3953"/>
      <c r="E3953"/>
      <c r="F3953"/>
      <c r="G3953"/>
      <c r="H3953" s="19"/>
      <c r="I3953" s="19"/>
      <c r="J3953" s="19"/>
      <c r="M3953" s="7"/>
    </row>
    <row r="3954" spans="2:13" x14ac:dyDescent="0.25">
      <c r="B3954"/>
      <c r="C3954"/>
      <c r="D3954"/>
      <c r="E3954"/>
      <c r="F3954"/>
      <c r="G3954"/>
      <c r="H3954" s="19"/>
      <c r="I3954" s="19"/>
      <c r="J3954" s="19"/>
      <c r="M3954" s="7"/>
    </row>
    <row r="3955" spans="2:13" x14ac:dyDescent="0.25">
      <c r="B3955"/>
      <c r="C3955"/>
      <c r="D3955"/>
      <c r="E3955"/>
      <c r="F3955"/>
      <c r="G3955"/>
      <c r="H3955" s="19"/>
      <c r="I3955" s="19"/>
      <c r="J3955" s="19"/>
      <c r="M3955" s="7"/>
    </row>
    <row r="3956" spans="2:13" x14ac:dyDescent="0.25">
      <c r="B3956"/>
      <c r="C3956"/>
      <c r="D3956"/>
      <c r="E3956"/>
      <c r="F3956"/>
      <c r="G3956"/>
      <c r="H3956" s="19"/>
      <c r="I3956" s="19"/>
      <c r="J3956" s="19"/>
      <c r="M3956" s="7"/>
    </row>
    <row r="3957" spans="2:13" x14ac:dyDescent="0.25">
      <c r="B3957"/>
      <c r="C3957"/>
      <c r="D3957"/>
      <c r="E3957"/>
      <c r="F3957"/>
      <c r="G3957"/>
      <c r="H3957" s="19"/>
      <c r="I3957" s="19"/>
      <c r="J3957" s="19"/>
      <c r="M3957" s="7"/>
    </row>
    <row r="3958" spans="2:13" x14ac:dyDescent="0.25">
      <c r="B3958"/>
      <c r="C3958"/>
      <c r="D3958"/>
      <c r="E3958"/>
      <c r="F3958"/>
      <c r="G3958"/>
      <c r="H3958" s="19"/>
      <c r="I3958" s="19"/>
      <c r="J3958" s="19"/>
      <c r="M3958" s="7"/>
    </row>
    <row r="3959" spans="2:13" x14ac:dyDescent="0.25">
      <c r="B3959"/>
      <c r="C3959"/>
      <c r="D3959"/>
      <c r="E3959"/>
      <c r="F3959"/>
      <c r="G3959"/>
      <c r="H3959" s="19"/>
      <c r="I3959" s="19"/>
      <c r="J3959" s="19"/>
      <c r="M3959" s="7"/>
    </row>
    <row r="3960" spans="2:13" x14ac:dyDescent="0.25">
      <c r="B3960"/>
      <c r="C3960"/>
      <c r="D3960"/>
      <c r="E3960"/>
      <c r="F3960"/>
      <c r="G3960"/>
      <c r="H3960" s="19"/>
      <c r="I3960" s="19"/>
      <c r="J3960" s="19"/>
      <c r="M3960" s="7"/>
    </row>
    <row r="3961" spans="2:13" x14ac:dyDescent="0.25">
      <c r="B3961"/>
      <c r="C3961"/>
      <c r="D3961"/>
      <c r="E3961"/>
      <c r="F3961"/>
      <c r="G3961"/>
      <c r="H3961" s="19"/>
      <c r="I3961" s="19"/>
      <c r="J3961" s="19"/>
      <c r="M3961" s="7"/>
    </row>
    <row r="3962" spans="2:13" x14ac:dyDescent="0.25">
      <c r="B3962"/>
      <c r="C3962"/>
      <c r="D3962"/>
      <c r="E3962"/>
      <c r="F3962"/>
      <c r="G3962"/>
      <c r="H3962" s="19"/>
      <c r="I3962" s="19"/>
      <c r="J3962" s="19"/>
      <c r="M3962" s="7"/>
    </row>
    <row r="3963" spans="2:13" x14ac:dyDescent="0.25">
      <c r="B3963"/>
      <c r="C3963"/>
      <c r="D3963"/>
      <c r="E3963"/>
      <c r="F3963"/>
      <c r="G3963"/>
      <c r="H3963" s="19"/>
      <c r="I3963" s="19"/>
      <c r="J3963" s="19"/>
      <c r="M3963" s="7"/>
    </row>
    <row r="3964" spans="2:13" x14ac:dyDescent="0.25">
      <c r="B3964"/>
      <c r="C3964"/>
      <c r="D3964"/>
      <c r="E3964"/>
      <c r="F3964"/>
      <c r="G3964"/>
      <c r="H3964" s="19"/>
      <c r="I3964" s="19"/>
      <c r="J3964" s="19"/>
      <c r="M3964" s="7"/>
    </row>
    <row r="3965" spans="2:13" x14ac:dyDescent="0.25">
      <c r="B3965"/>
      <c r="C3965"/>
      <c r="D3965"/>
      <c r="E3965"/>
      <c r="F3965"/>
      <c r="G3965"/>
      <c r="H3965" s="19"/>
      <c r="I3965" s="19"/>
      <c r="J3965" s="19"/>
      <c r="M3965" s="7"/>
    </row>
    <row r="3966" spans="2:13" x14ac:dyDescent="0.25">
      <c r="B3966"/>
      <c r="C3966"/>
      <c r="D3966"/>
      <c r="E3966"/>
      <c r="F3966"/>
      <c r="G3966"/>
      <c r="H3966" s="19"/>
      <c r="I3966" s="19"/>
      <c r="J3966" s="19"/>
      <c r="M3966" s="7"/>
    </row>
    <row r="3967" spans="2:13" x14ac:dyDescent="0.25">
      <c r="B3967"/>
      <c r="C3967"/>
      <c r="D3967"/>
      <c r="E3967"/>
      <c r="F3967"/>
      <c r="G3967"/>
      <c r="H3967" s="19"/>
      <c r="I3967" s="19"/>
      <c r="J3967" s="19"/>
      <c r="M3967" s="7"/>
    </row>
    <row r="3968" spans="2:13" x14ac:dyDescent="0.25">
      <c r="B3968"/>
      <c r="C3968"/>
      <c r="D3968"/>
      <c r="E3968"/>
      <c r="F3968"/>
      <c r="G3968"/>
      <c r="H3968" s="19"/>
      <c r="I3968" s="19"/>
      <c r="J3968" s="19"/>
      <c r="M3968" s="7"/>
    </row>
    <row r="3969" spans="2:13" x14ac:dyDescent="0.25">
      <c r="B3969"/>
      <c r="C3969"/>
      <c r="D3969"/>
      <c r="E3969"/>
      <c r="F3969"/>
      <c r="G3969"/>
      <c r="H3969" s="19"/>
      <c r="I3969" s="19"/>
      <c r="J3969" s="19"/>
      <c r="M3969" s="7"/>
    </row>
    <row r="3970" spans="2:13" x14ac:dyDescent="0.25">
      <c r="B3970"/>
      <c r="C3970"/>
      <c r="D3970"/>
      <c r="E3970"/>
      <c r="F3970"/>
      <c r="G3970"/>
      <c r="H3970" s="19"/>
      <c r="I3970" s="19"/>
      <c r="J3970" s="19"/>
      <c r="M3970" s="7"/>
    </row>
    <row r="3971" spans="2:13" x14ac:dyDescent="0.25">
      <c r="B3971"/>
      <c r="C3971"/>
      <c r="D3971"/>
      <c r="E3971"/>
      <c r="F3971"/>
      <c r="G3971"/>
      <c r="H3971" s="19"/>
      <c r="I3971" s="19"/>
      <c r="J3971" s="19"/>
      <c r="M3971" s="7"/>
    </row>
    <row r="3972" spans="2:13" x14ac:dyDescent="0.25">
      <c r="B3972"/>
      <c r="C3972"/>
      <c r="D3972"/>
      <c r="E3972"/>
      <c r="F3972"/>
      <c r="G3972"/>
      <c r="H3972" s="19"/>
      <c r="I3972" s="19"/>
      <c r="J3972" s="19"/>
      <c r="M3972" s="7"/>
    </row>
    <row r="3973" spans="2:13" x14ac:dyDescent="0.25">
      <c r="B3973"/>
      <c r="C3973"/>
      <c r="D3973"/>
      <c r="E3973"/>
      <c r="F3973"/>
      <c r="G3973"/>
      <c r="H3973" s="19"/>
      <c r="I3973" s="19"/>
      <c r="J3973" s="19"/>
      <c r="M3973" s="7"/>
    </row>
    <row r="3974" spans="2:13" x14ac:dyDescent="0.25">
      <c r="B3974"/>
      <c r="C3974"/>
      <c r="D3974"/>
      <c r="E3974"/>
      <c r="F3974"/>
      <c r="G3974"/>
      <c r="H3974" s="19"/>
      <c r="I3974" s="19"/>
      <c r="J3974" s="19"/>
      <c r="M3974" s="7"/>
    </row>
    <row r="3975" spans="2:13" x14ac:dyDescent="0.25">
      <c r="B3975"/>
      <c r="C3975"/>
      <c r="D3975"/>
      <c r="E3975"/>
      <c r="F3975"/>
      <c r="G3975"/>
      <c r="H3975" s="19"/>
      <c r="I3975" s="19"/>
      <c r="J3975" s="19"/>
      <c r="M3975" s="7"/>
    </row>
    <row r="3976" spans="2:13" x14ac:dyDescent="0.25">
      <c r="B3976"/>
      <c r="C3976"/>
      <c r="D3976"/>
      <c r="E3976"/>
      <c r="F3976"/>
      <c r="G3976"/>
      <c r="H3976" s="19"/>
      <c r="I3976" s="19"/>
      <c r="J3976" s="19"/>
      <c r="M3976" s="7"/>
    </row>
    <row r="3977" spans="2:13" x14ac:dyDescent="0.25">
      <c r="B3977"/>
      <c r="C3977"/>
      <c r="D3977"/>
      <c r="E3977"/>
      <c r="F3977"/>
      <c r="G3977"/>
      <c r="H3977" s="19"/>
      <c r="I3977" s="19"/>
      <c r="J3977" s="19"/>
      <c r="M3977" s="7"/>
    </row>
    <row r="3978" spans="2:13" x14ac:dyDescent="0.25">
      <c r="B3978"/>
      <c r="C3978"/>
      <c r="D3978"/>
      <c r="E3978"/>
      <c r="F3978"/>
      <c r="G3978"/>
      <c r="H3978" s="19"/>
      <c r="I3978" s="19"/>
      <c r="J3978" s="19"/>
      <c r="M3978" s="7"/>
    </row>
    <row r="3979" spans="2:13" x14ac:dyDescent="0.25">
      <c r="B3979"/>
      <c r="C3979"/>
      <c r="D3979"/>
      <c r="E3979"/>
      <c r="F3979"/>
      <c r="G3979"/>
      <c r="H3979" s="19"/>
      <c r="I3979" s="19"/>
      <c r="J3979" s="19"/>
      <c r="M3979" s="7"/>
    </row>
    <row r="3980" spans="2:13" x14ac:dyDescent="0.25">
      <c r="B3980"/>
      <c r="C3980"/>
      <c r="D3980"/>
      <c r="E3980"/>
      <c r="F3980"/>
      <c r="G3980"/>
      <c r="H3980" s="19"/>
      <c r="I3980" s="19"/>
      <c r="J3980" s="19"/>
      <c r="M3980" s="7"/>
    </row>
    <row r="3981" spans="2:13" x14ac:dyDescent="0.25">
      <c r="B3981"/>
      <c r="C3981"/>
      <c r="D3981"/>
      <c r="E3981"/>
      <c r="F3981"/>
      <c r="G3981"/>
      <c r="H3981" s="19"/>
      <c r="I3981" s="19"/>
      <c r="J3981" s="19"/>
      <c r="M3981" s="7"/>
    </row>
    <row r="3982" spans="2:13" x14ac:dyDescent="0.25">
      <c r="B3982"/>
      <c r="C3982"/>
      <c r="D3982"/>
      <c r="E3982"/>
      <c r="F3982"/>
      <c r="G3982"/>
      <c r="H3982" s="19"/>
      <c r="I3982" s="19"/>
      <c r="J3982" s="19"/>
      <c r="M3982" s="7"/>
    </row>
    <row r="3983" spans="2:13" x14ac:dyDescent="0.25">
      <c r="B3983"/>
      <c r="C3983"/>
      <c r="D3983"/>
      <c r="E3983"/>
      <c r="F3983"/>
      <c r="G3983"/>
      <c r="H3983" s="19"/>
      <c r="I3983" s="19"/>
      <c r="J3983" s="19"/>
      <c r="M3983" s="7"/>
    </row>
    <row r="3984" spans="2:13" x14ac:dyDescent="0.25">
      <c r="B3984"/>
      <c r="C3984"/>
      <c r="D3984"/>
      <c r="E3984"/>
      <c r="F3984"/>
      <c r="G3984"/>
      <c r="H3984" s="19"/>
      <c r="I3984" s="19"/>
      <c r="J3984" s="19"/>
      <c r="M3984" s="7"/>
    </row>
    <row r="3985" spans="2:13" x14ac:dyDescent="0.25">
      <c r="B3985"/>
      <c r="C3985"/>
      <c r="D3985"/>
      <c r="E3985"/>
      <c r="F3985"/>
      <c r="G3985"/>
      <c r="H3985" s="19"/>
      <c r="I3985" s="19"/>
      <c r="J3985" s="19"/>
      <c r="M3985" s="7"/>
    </row>
    <row r="3986" spans="2:13" x14ac:dyDescent="0.25">
      <c r="B3986"/>
      <c r="C3986"/>
      <c r="D3986"/>
      <c r="E3986"/>
      <c r="F3986"/>
      <c r="G3986"/>
      <c r="H3986" s="19"/>
      <c r="I3986" s="19"/>
      <c r="J3986" s="19"/>
      <c r="M3986" s="7"/>
    </row>
    <row r="3987" spans="2:13" x14ac:dyDescent="0.25">
      <c r="B3987"/>
      <c r="C3987"/>
      <c r="D3987"/>
      <c r="E3987"/>
      <c r="F3987"/>
      <c r="G3987"/>
      <c r="H3987" s="19"/>
      <c r="I3987" s="19"/>
      <c r="J3987" s="19"/>
      <c r="M3987" s="7"/>
    </row>
    <row r="3988" spans="2:13" x14ac:dyDescent="0.25">
      <c r="B3988"/>
      <c r="C3988"/>
      <c r="D3988"/>
      <c r="E3988"/>
      <c r="F3988"/>
      <c r="G3988"/>
      <c r="H3988" s="19"/>
      <c r="I3988" s="19"/>
      <c r="J3988" s="19"/>
      <c r="M3988" s="7"/>
    </row>
    <row r="3989" spans="2:13" x14ac:dyDescent="0.25">
      <c r="B3989"/>
      <c r="C3989"/>
      <c r="D3989"/>
      <c r="E3989"/>
      <c r="F3989"/>
      <c r="G3989"/>
      <c r="H3989" s="19"/>
      <c r="I3989" s="19"/>
      <c r="J3989" s="19"/>
      <c r="M3989" s="7"/>
    </row>
    <row r="3990" spans="2:13" x14ac:dyDescent="0.25">
      <c r="B3990"/>
      <c r="C3990"/>
      <c r="D3990"/>
      <c r="E3990"/>
      <c r="F3990"/>
      <c r="G3990"/>
      <c r="H3990" s="19"/>
      <c r="I3990" s="19"/>
      <c r="J3990" s="19"/>
      <c r="M3990" s="7"/>
    </row>
    <row r="3991" spans="2:13" x14ac:dyDescent="0.25">
      <c r="B3991"/>
      <c r="C3991"/>
      <c r="D3991"/>
      <c r="E3991"/>
      <c r="F3991"/>
      <c r="G3991"/>
      <c r="H3991" s="19"/>
      <c r="I3991" s="19"/>
      <c r="J3991" s="19"/>
      <c r="M3991" s="7"/>
    </row>
    <row r="3992" spans="2:13" x14ac:dyDescent="0.25">
      <c r="B3992"/>
      <c r="C3992"/>
      <c r="D3992"/>
      <c r="E3992"/>
      <c r="F3992"/>
      <c r="G3992"/>
      <c r="H3992" s="19"/>
      <c r="I3992" s="19"/>
      <c r="J3992" s="19"/>
      <c r="M3992" s="7"/>
    </row>
    <row r="3993" spans="2:13" x14ac:dyDescent="0.25">
      <c r="B3993"/>
      <c r="C3993"/>
      <c r="D3993"/>
      <c r="E3993"/>
      <c r="F3993"/>
      <c r="G3993"/>
      <c r="H3993" s="19"/>
      <c r="I3993" s="19"/>
      <c r="J3993" s="19"/>
      <c r="M3993" s="7"/>
    </row>
    <row r="3994" spans="2:13" x14ac:dyDescent="0.25">
      <c r="B3994"/>
      <c r="C3994"/>
      <c r="D3994"/>
      <c r="E3994"/>
      <c r="F3994"/>
      <c r="G3994"/>
      <c r="H3994" s="19"/>
      <c r="I3994" s="19"/>
      <c r="J3994" s="19"/>
      <c r="M3994" s="7"/>
    </row>
    <row r="3995" spans="2:13" x14ac:dyDescent="0.25">
      <c r="B3995"/>
      <c r="C3995"/>
      <c r="D3995"/>
      <c r="E3995"/>
      <c r="F3995"/>
      <c r="G3995"/>
      <c r="H3995" s="19"/>
      <c r="I3995" s="19"/>
      <c r="J3995" s="19"/>
      <c r="M3995" s="7"/>
    </row>
    <row r="3996" spans="2:13" x14ac:dyDescent="0.25">
      <c r="B3996"/>
      <c r="C3996"/>
      <c r="D3996"/>
      <c r="E3996"/>
      <c r="F3996"/>
      <c r="G3996"/>
      <c r="H3996" s="19"/>
      <c r="I3996" s="19"/>
      <c r="J3996" s="19"/>
      <c r="M3996" s="7"/>
    </row>
    <row r="3997" spans="2:13" x14ac:dyDescent="0.25">
      <c r="B3997"/>
      <c r="C3997"/>
      <c r="D3997"/>
      <c r="E3997"/>
      <c r="F3997"/>
      <c r="G3997"/>
      <c r="H3997" s="19"/>
      <c r="I3997" s="19"/>
      <c r="J3997" s="19"/>
      <c r="M3997" s="7"/>
    </row>
    <row r="3998" spans="2:13" x14ac:dyDescent="0.25">
      <c r="B3998"/>
      <c r="C3998"/>
      <c r="D3998"/>
      <c r="E3998"/>
      <c r="F3998"/>
      <c r="G3998"/>
      <c r="H3998" s="19"/>
      <c r="I3998" s="19"/>
      <c r="J3998" s="19"/>
      <c r="M3998" s="7"/>
    </row>
    <row r="3999" spans="2:13" x14ac:dyDescent="0.25">
      <c r="B3999"/>
      <c r="C3999"/>
      <c r="D3999"/>
      <c r="E3999"/>
      <c r="F3999"/>
      <c r="G3999"/>
      <c r="H3999" s="19"/>
      <c r="I3999" s="19"/>
      <c r="J3999" s="19"/>
      <c r="M3999" s="7"/>
    </row>
    <row r="4000" spans="2:13" x14ac:dyDescent="0.25">
      <c r="B4000"/>
      <c r="C4000"/>
      <c r="D4000"/>
      <c r="E4000"/>
      <c r="F4000"/>
      <c r="G4000"/>
      <c r="H4000" s="19"/>
      <c r="I4000" s="19"/>
      <c r="J4000" s="19"/>
      <c r="M4000" s="7"/>
    </row>
    <row r="4001" spans="2:13" x14ac:dyDescent="0.25">
      <c r="B4001"/>
      <c r="C4001"/>
      <c r="D4001"/>
      <c r="E4001"/>
      <c r="F4001"/>
      <c r="G4001"/>
      <c r="H4001" s="19"/>
      <c r="I4001" s="19"/>
      <c r="J4001" s="19"/>
      <c r="M4001" s="7"/>
    </row>
    <row r="4002" spans="2:13" x14ac:dyDescent="0.25">
      <c r="B4002"/>
      <c r="C4002"/>
      <c r="D4002"/>
      <c r="E4002"/>
      <c r="F4002"/>
      <c r="G4002"/>
      <c r="H4002" s="19"/>
      <c r="I4002" s="19"/>
      <c r="J4002" s="19"/>
      <c r="M4002" s="7"/>
    </row>
    <row r="4003" spans="2:13" x14ac:dyDescent="0.25">
      <c r="B4003"/>
      <c r="C4003"/>
      <c r="D4003"/>
      <c r="E4003"/>
      <c r="F4003"/>
      <c r="G4003"/>
      <c r="H4003" s="19"/>
      <c r="I4003" s="19"/>
      <c r="J4003" s="19"/>
      <c r="M4003" s="7"/>
    </row>
    <row r="4004" spans="2:13" x14ac:dyDescent="0.25">
      <c r="B4004"/>
      <c r="C4004"/>
      <c r="D4004"/>
      <c r="E4004"/>
      <c r="F4004"/>
      <c r="G4004"/>
      <c r="H4004" s="19"/>
      <c r="I4004" s="19"/>
      <c r="J4004" s="19"/>
      <c r="M4004" s="7"/>
    </row>
    <row r="4005" spans="2:13" x14ac:dyDescent="0.25">
      <c r="B4005"/>
      <c r="C4005"/>
      <c r="D4005"/>
      <c r="E4005"/>
      <c r="F4005"/>
      <c r="G4005"/>
      <c r="H4005" s="19"/>
      <c r="I4005" s="19"/>
      <c r="J4005" s="19"/>
      <c r="M4005" s="7"/>
    </row>
    <row r="4006" spans="2:13" x14ac:dyDescent="0.25">
      <c r="B4006"/>
      <c r="C4006"/>
      <c r="D4006"/>
      <c r="E4006"/>
      <c r="F4006"/>
      <c r="G4006"/>
      <c r="H4006" s="19"/>
      <c r="I4006" s="19"/>
      <c r="J4006" s="19"/>
      <c r="M4006" s="7"/>
    </row>
    <row r="4007" spans="2:13" x14ac:dyDescent="0.25">
      <c r="B4007"/>
      <c r="C4007"/>
      <c r="D4007"/>
      <c r="E4007"/>
      <c r="F4007"/>
      <c r="G4007"/>
      <c r="H4007" s="19"/>
      <c r="I4007" s="19"/>
      <c r="J4007" s="19"/>
      <c r="M4007" s="7"/>
    </row>
    <row r="4008" spans="2:13" x14ac:dyDescent="0.25">
      <c r="B4008"/>
      <c r="C4008"/>
      <c r="D4008"/>
      <c r="E4008"/>
      <c r="F4008"/>
      <c r="G4008"/>
      <c r="H4008" s="19"/>
      <c r="I4008" s="19"/>
      <c r="J4008" s="19"/>
      <c r="M4008" s="7"/>
    </row>
    <row r="4009" spans="2:13" x14ac:dyDescent="0.25">
      <c r="B4009"/>
      <c r="C4009"/>
      <c r="D4009"/>
      <c r="E4009"/>
      <c r="F4009"/>
      <c r="G4009"/>
      <c r="H4009" s="19"/>
      <c r="I4009" s="19"/>
      <c r="J4009" s="19"/>
      <c r="M4009" s="7"/>
    </row>
    <row r="4010" spans="2:13" x14ac:dyDescent="0.25">
      <c r="B4010"/>
      <c r="C4010"/>
      <c r="D4010"/>
      <c r="E4010"/>
      <c r="F4010"/>
      <c r="G4010"/>
      <c r="H4010" s="19"/>
      <c r="I4010" s="19"/>
      <c r="J4010" s="19"/>
      <c r="M4010" s="7"/>
    </row>
    <row r="4011" spans="2:13" x14ac:dyDescent="0.25">
      <c r="B4011"/>
      <c r="C4011"/>
      <c r="D4011"/>
      <c r="E4011"/>
      <c r="F4011"/>
      <c r="G4011"/>
      <c r="H4011" s="19"/>
      <c r="I4011" s="19"/>
      <c r="J4011" s="19"/>
      <c r="M4011" s="7"/>
    </row>
    <row r="4012" spans="2:13" x14ac:dyDescent="0.25">
      <c r="B4012"/>
      <c r="C4012"/>
      <c r="D4012"/>
      <c r="E4012"/>
      <c r="F4012"/>
      <c r="G4012"/>
      <c r="H4012" s="19"/>
      <c r="I4012" s="19"/>
      <c r="J4012" s="19"/>
      <c r="M4012" s="7"/>
    </row>
    <row r="4013" spans="2:13" x14ac:dyDescent="0.25">
      <c r="B4013"/>
      <c r="C4013"/>
      <c r="D4013"/>
      <c r="E4013"/>
      <c r="F4013"/>
      <c r="G4013"/>
      <c r="H4013" s="19"/>
      <c r="I4013" s="19"/>
      <c r="J4013" s="19"/>
      <c r="M4013" s="7"/>
    </row>
    <row r="4014" spans="2:13" x14ac:dyDescent="0.25">
      <c r="B4014"/>
      <c r="C4014"/>
      <c r="D4014"/>
      <c r="E4014"/>
      <c r="F4014"/>
      <c r="G4014"/>
      <c r="H4014" s="19"/>
      <c r="I4014" s="19"/>
      <c r="J4014" s="19"/>
      <c r="M4014" s="7"/>
    </row>
    <row r="4015" spans="2:13" x14ac:dyDescent="0.25">
      <c r="B4015"/>
      <c r="C4015"/>
      <c r="D4015"/>
      <c r="E4015"/>
      <c r="F4015"/>
      <c r="G4015"/>
      <c r="H4015" s="19"/>
      <c r="I4015" s="19"/>
      <c r="J4015" s="19"/>
      <c r="M4015" s="7"/>
    </row>
    <row r="4016" spans="2:13" x14ac:dyDescent="0.25">
      <c r="B4016"/>
      <c r="C4016"/>
      <c r="D4016"/>
      <c r="E4016"/>
      <c r="F4016"/>
      <c r="G4016"/>
      <c r="H4016" s="19"/>
      <c r="I4016" s="19"/>
      <c r="J4016" s="19"/>
      <c r="M4016" s="7"/>
    </row>
    <row r="4017" spans="2:13" x14ac:dyDescent="0.25">
      <c r="B4017"/>
      <c r="C4017"/>
      <c r="D4017"/>
      <c r="E4017"/>
      <c r="F4017"/>
      <c r="G4017"/>
      <c r="H4017" s="19"/>
      <c r="I4017" s="19"/>
      <c r="J4017" s="19"/>
      <c r="M4017" s="7"/>
    </row>
    <row r="4018" spans="2:13" x14ac:dyDescent="0.25">
      <c r="B4018"/>
      <c r="C4018"/>
      <c r="D4018"/>
      <c r="E4018"/>
      <c r="F4018"/>
      <c r="G4018"/>
      <c r="H4018" s="19"/>
      <c r="I4018" s="19"/>
      <c r="J4018" s="19"/>
      <c r="M4018" s="7"/>
    </row>
    <row r="4019" spans="2:13" x14ac:dyDescent="0.25">
      <c r="B4019"/>
      <c r="C4019"/>
      <c r="D4019"/>
      <c r="E4019"/>
      <c r="F4019"/>
      <c r="G4019"/>
      <c r="H4019" s="19"/>
      <c r="I4019" s="19"/>
      <c r="J4019" s="19"/>
      <c r="M4019" s="7"/>
    </row>
    <row r="4020" spans="2:13" x14ac:dyDescent="0.25">
      <c r="B4020"/>
      <c r="C4020"/>
      <c r="D4020"/>
      <c r="E4020"/>
      <c r="F4020"/>
      <c r="G4020"/>
      <c r="H4020" s="19"/>
      <c r="I4020" s="19"/>
      <c r="J4020" s="19"/>
      <c r="M4020" s="7"/>
    </row>
    <row r="4021" spans="2:13" x14ac:dyDescent="0.25">
      <c r="B4021"/>
      <c r="C4021"/>
      <c r="D4021"/>
      <c r="E4021"/>
      <c r="F4021"/>
      <c r="G4021"/>
      <c r="H4021" s="19"/>
      <c r="I4021" s="19"/>
      <c r="J4021" s="19"/>
      <c r="M4021" s="7"/>
    </row>
    <row r="4022" spans="2:13" x14ac:dyDescent="0.25">
      <c r="B4022"/>
      <c r="C4022"/>
      <c r="D4022"/>
      <c r="E4022"/>
      <c r="F4022"/>
      <c r="G4022"/>
      <c r="H4022" s="19"/>
      <c r="I4022" s="19"/>
      <c r="J4022" s="19"/>
      <c r="M4022" s="7"/>
    </row>
    <row r="4023" spans="2:13" x14ac:dyDescent="0.25">
      <c r="B4023"/>
      <c r="C4023"/>
      <c r="D4023"/>
      <c r="E4023"/>
      <c r="F4023"/>
      <c r="G4023"/>
      <c r="H4023" s="19"/>
      <c r="I4023" s="19"/>
      <c r="J4023" s="19"/>
      <c r="M4023" s="7"/>
    </row>
    <row r="4024" spans="2:13" x14ac:dyDescent="0.25">
      <c r="B4024"/>
      <c r="C4024"/>
      <c r="D4024"/>
      <c r="E4024"/>
      <c r="F4024"/>
      <c r="G4024"/>
      <c r="H4024" s="19"/>
      <c r="I4024" s="19"/>
      <c r="J4024" s="19"/>
      <c r="M4024" s="7"/>
    </row>
    <row r="4025" spans="2:13" x14ac:dyDescent="0.25">
      <c r="B4025"/>
      <c r="C4025"/>
      <c r="D4025"/>
      <c r="E4025"/>
      <c r="F4025"/>
      <c r="G4025"/>
      <c r="H4025" s="19"/>
      <c r="I4025" s="19"/>
      <c r="J4025" s="19"/>
      <c r="M4025" s="7"/>
    </row>
    <row r="4026" spans="2:13" x14ac:dyDescent="0.25">
      <c r="B4026"/>
      <c r="C4026"/>
      <c r="D4026"/>
      <c r="E4026"/>
      <c r="F4026"/>
      <c r="G4026"/>
      <c r="H4026" s="19"/>
      <c r="I4026" s="19"/>
      <c r="J4026" s="19"/>
      <c r="M4026" s="7"/>
    </row>
    <row r="4027" spans="2:13" x14ac:dyDescent="0.25">
      <c r="B4027"/>
      <c r="C4027"/>
      <c r="D4027"/>
      <c r="E4027"/>
      <c r="F4027"/>
      <c r="G4027"/>
      <c r="H4027" s="19"/>
      <c r="I4027" s="19"/>
      <c r="J4027" s="19"/>
      <c r="M4027" s="7"/>
    </row>
    <row r="4028" spans="2:13" x14ac:dyDescent="0.25">
      <c r="B4028"/>
      <c r="C4028"/>
      <c r="D4028"/>
      <c r="E4028"/>
      <c r="F4028"/>
      <c r="G4028"/>
      <c r="H4028" s="19"/>
      <c r="I4028" s="19"/>
      <c r="J4028" s="19"/>
      <c r="M4028" s="7"/>
    </row>
    <row r="4029" spans="2:13" x14ac:dyDescent="0.25">
      <c r="B4029"/>
      <c r="C4029"/>
      <c r="D4029"/>
      <c r="E4029"/>
      <c r="F4029"/>
      <c r="G4029"/>
      <c r="H4029" s="19"/>
      <c r="I4029" s="19"/>
      <c r="J4029" s="19"/>
      <c r="M4029" s="7"/>
    </row>
    <row r="4030" spans="2:13" x14ac:dyDescent="0.25">
      <c r="B4030"/>
      <c r="C4030"/>
      <c r="D4030"/>
      <c r="E4030"/>
      <c r="F4030"/>
      <c r="G4030"/>
      <c r="H4030" s="19"/>
      <c r="I4030" s="19"/>
      <c r="J4030" s="19"/>
      <c r="M4030" s="7"/>
    </row>
    <row r="4031" spans="2:13" x14ac:dyDescent="0.25">
      <c r="B4031"/>
      <c r="C4031"/>
      <c r="D4031"/>
      <c r="E4031"/>
      <c r="F4031"/>
      <c r="G4031"/>
      <c r="H4031" s="19"/>
      <c r="I4031" s="19"/>
      <c r="J4031" s="19"/>
      <c r="M4031" s="7"/>
    </row>
    <row r="4032" spans="2:13" x14ac:dyDescent="0.25">
      <c r="B4032"/>
      <c r="C4032"/>
      <c r="D4032"/>
      <c r="E4032"/>
      <c r="F4032"/>
      <c r="G4032"/>
      <c r="H4032" s="19"/>
      <c r="I4032" s="19"/>
      <c r="J4032" s="19"/>
      <c r="M4032" s="7"/>
    </row>
    <row r="4033" spans="2:13" x14ac:dyDescent="0.25">
      <c r="B4033"/>
      <c r="C4033"/>
      <c r="D4033"/>
      <c r="E4033"/>
      <c r="F4033"/>
      <c r="G4033"/>
      <c r="H4033" s="19"/>
      <c r="I4033" s="19"/>
      <c r="J4033" s="19"/>
      <c r="M4033" s="7"/>
    </row>
    <row r="4034" spans="2:13" x14ac:dyDescent="0.25">
      <c r="B4034"/>
      <c r="C4034"/>
      <c r="D4034"/>
      <c r="E4034"/>
      <c r="F4034"/>
      <c r="G4034"/>
      <c r="H4034" s="19"/>
      <c r="I4034" s="19"/>
      <c r="J4034" s="19"/>
      <c r="M4034" s="7"/>
    </row>
    <row r="4035" spans="2:13" x14ac:dyDescent="0.25">
      <c r="B4035"/>
      <c r="C4035"/>
      <c r="D4035"/>
      <c r="E4035"/>
      <c r="F4035"/>
      <c r="G4035"/>
      <c r="H4035" s="19"/>
      <c r="I4035" s="19"/>
      <c r="J4035" s="19"/>
      <c r="M4035" s="7"/>
    </row>
    <row r="4036" spans="2:13" x14ac:dyDescent="0.25">
      <c r="B4036"/>
      <c r="C4036"/>
      <c r="D4036"/>
      <c r="E4036"/>
      <c r="F4036"/>
      <c r="G4036"/>
      <c r="H4036" s="19"/>
      <c r="I4036" s="19"/>
      <c r="J4036" s="19"/>
      <c r="M4036" s="7"/>
    </row>
    <row r="4037" spans="2:13" x14ac:dyDescent="0.25">
      <c r="B4037"/>
      <c r="C4037"/>
      <c r="D4037"/>
      <c r="E4037"/>
      <c r="F4037"/>
      <c r="G4037"/>
      <c r="H4037" s="19"/>
      <c r="I4037" s="19"/>
      <c r="J4037" s="19"/>
      <c r="M4037" s="7"/>
    </row>
    <row r="4038" spans="2:13" x14ac:dyDescent="0.25">
      <c r="B4038"/>
      <c r="C4038"/>
      <c r="D4038"/>
      <c r="E4038"/>
      <c r="F4038"/>
      <c r="G4038"/>
      <c r="H4038" s="19"/>
      <c r="I4038" s="19"/>
      <c r="J4038" s="19"/>
      <c r="M4038" s="7"/>
    </row>
    <row r="4039" spans="2:13" x14ac:dyDescent="0.25">
      <c r="B4039"/>
      <c r="C4039"/>
      <c r="D4039"/>
      <c r="E4039"/>
      <c r="F4039"/>
      <c r="G4039"/>
      <c r="H4039" s="19"/>
      <c r="I4039" s="19"/>
      <c r="J4039" s="19"/>
      <c r="M4039" s="7"/>
    </row>
    <row r="4040" spans="2:13" x14ac:dyDescent="0.25">
      <c r="B4040"/>
      <c r="C4040"/>
      <c r="D4040"/>
      <c r="E4040"/>
      <c r="F4040"/>
      <c r="G4040"/>
      <c r="H4040" s="19"/>
      <c r="I4040" s="19"/>
      <c r="J4040" s="19"/>
      <c r="M4040" s="7"/>
    </row>
    <row r="4041" spans="2:13" x14ac:dyDescent="0.25">
      <c r="B4041"/>
      <c r="C4041"/>
      <c r="D4041"/>
      <c r="E4041"/>
      <c r="F4041"/>
      <c r="G4041"/>
      <c r="H4041" s="19"/>
      <c r="I4041" s="19"/>
      <c r="J4041" s="19"/>
      <c r="M4041" s="7"/>
    </row>
    <row r="4042" spans="2:13" x14ac:dyDescent="0.25">
      <c r="B4042"/>
      <c r="C4042"/>
      <c r="D4042"/>
      <c r="E4042"/>
      <c r="F4042"/>
      <c r="G4042"/>
      <c r="H4042" s="19"/>
      <c r="I4042" s="19"/>
      <c r="J4042" s="19"/>
      <c r="M4042" s="7"/>
    </row>
    <row r="4043" spans="2:13" x14ac:dyDescent="0.25">
      <c r="B4043"/>
      <c r="C4043"/>
      <c r="D4043"/>
      <c r="E4043"/>
      <c r="F4043"/>
      <c r="G4043"/>
      <c r="H4043" s="19"/>
      <c r="I4043" s="19"/>
      <c r="J4043" s="19"/>
      <c r="M4043" s="7"/>
    </row>
    <row r="4044" spans="2:13" x14ac:dyDescent="0.25">
      <c r="B4044"/>
      <c r="C4044"/>
      <c r="D4044"/>
      <c r="E4044"/>
      <c r="F4044"/>
      <c r="G4044"/>
      <c r="H4044" s="19"/>
      <c r="I4044" s="19"/>
      <c r="J4044" s="19"/>
      <c r="M4044" s="7"/>
    </row>
    <row r="4045" spans="2:13" x14ac:dyDescent="0.25">
      <c r="B4045"/>
      <c r="C4045"/>
      <c r="D4045"/>
      <c r="E4045"/>
      <c r="F4045"/>
      <c r="G4045"/>
      <c r="H4045" s="19"/>
      <c r="I4045" s="19"/>
      <c r="J4045" s="19"/>
      <c r="M4045" s="7"/>
    </row>
    <row r="4046" spans="2:13" x14ac:dyDescent="0.25">
      <c r="B4046"/>
      <c r="C4046"/>
      <c r="D4046"/>
      <c r="E4046"/>
      <c r="F4046"/>
      <c r="G4046"/>
      <c r="H4046" s="19"/>
      <c r="I4046" s="19"/>
      <c r="J4046" s="19"/>
      <c r="M4046" s="7"/>
    </row>
    <row r="4047" spans="2:13" x14ac:dyDescent="0.25">
      <c r="B4047"/>
      <c r="C4047"/>
      <c r="D4047"/>
      <c r="E4047"/>
      <c r="F4047"/>
      <c r="G4047"/>
      <c r="H4047" s="19"/>
      <c r="I4047" s="19"/>
      <c r="J4047" s="19"/>
      <c r="M4047" s="7"/>
    </row>
    <row r="4048" spans="2:13" x14ac:dyDescent="0.25">
      <c r="B4048"/>
      <c r="C4048"/>
      <c r="D4048"/>
      <c r="E4048"/>
      <c r="F4048"/>
      <c r="G4048"/>
      <c r="H4048" s="19"/>
      <c r="I4048" s="19"/>
      <c r="J4048" s="19"/>
      <c r="M4048" s="7"/>
    </row>
    <row r="4049" spans="2:13" x14ac:dyDescent="0.25">
      <c r="B4049"/>
      <c r="C4049"/>
      <c r="D4049"/>
      <c r="E4049"/>
      <c r="F4049"/>
      <c r="G4049"/>
      <c r="H4049" s="19"/>
      <c r="I4049" s="19"/>
      <c r="J4049" s="19"/>
      <c r="M4049" s="7"/>
    </row>
    <row r="4050" spans="2:13" x14ac:dyDescent="0.25">
      <c r="B4050"/>
      <c r="C4050"/>
      <c r="D4050"/>
      <c r="E4050"/>
      <c r="F4050"/>
      <c r="G4050"/>
      <c r="H4050" s="19"/>
      <c r="I4050" s="19"/>
      <c r="J4050" s="19"/>
      <c r="M4050" s="7"/>
    </row>
    <row r="4051" spans="2:13" x14ac:dyDescent="0.25">
      <c r="B4051"/>
      <c r="C4051"/>
      <c r="D4051"/>
      <c r="E4051"/>
      <c r="F4051"/>
      <c r="G4051"/>
      <c r="H4051" s="19"/>
      <c r="I4051" s="19"/>
      <c r="J4051" s="19"/>
      <c r="M4051" s="7"/>
    </row>
    <row r="4052" spans="2:13" x14ac:dyDescent="0.25">
      <c r="B4052"/>
      <c r="C4052"/>
      <c r="D4052"/>
      <c r="E4052"/>
      <c r="F4052"/>
      <c r="G4052"/>
      <c r="H4052" s="19"/>
      <c r="I4052" s="19"/>
      <c r="J4052" s="19"/>
      <c r="M4052" s="7"/>
    </row>
    <row r="4053" spans="2:13" x14ac:dyDescent="0.25">
      <c r="B4053"/>
      <c r="C4053"/>
      <c r="D4053"/>
      <c r="E4053"/>
      <c r="F4053"/>
      <c r="G4053"/>
      <c r="H4053" s="19"/>
      <c r="I4053" s="19"/>
      <c r="J4053" s="19"/>
      <c r="M4053" s="7"/>
    </row>
    <row r="4054" spans="2:13" x14ac:dyDescent="0.25">
      <c r="B4054"/>
      <c r="C4054"/>
      <c r="D4054"/>
      <c r="E4054"/>
      <c r="F4054"/>
      <c r="G4054"/>
      <c r="H4054" s="19"/>
      <c r="I4054" s="19"/>
      <c r="J4054" s="19"/>
      <c r="M4054" s="7"/>
    </row>
    <row r="4055" spans="2:13" x14ac:dyDescent="0.25">
      <c r="B4055"/>
      <c r="C4055"/>
      <c r="D4055"/>
      <c r="E4055"/>
      <c r="F4055"/>
      <c r="G4055"/>
      <c r="H4055" s="19"/>
      <c r="I4055" s="19"/>
      <c r="J4055" s="19"/>
      <c r="M4055" s="7"/>
    </row>
    <row r="4056" spans="2:13" x14ac:dyDescent="0.25">
      <c r="B4056"/>
      <c r="C4056"/>
      <c r="D4056"/>
      <c r="E4056"/>
      <c r="F4056"/>
      <c r="G4056"/>
      <c r="H4056" s="19"/>
      <c r="I4056" s="19"/>
      <c r="J4056" s="19"/>
      <c r="M4056" s="7"/>
    </row>
    <row r="4057" spans="2:13" x14ac:dyDescent="0.25">
      <c r="B4057"/>
      <c r="C4057"/>
      <c r="D4057"/>
      <c r="E4057"/>
      <c r="F4057"/>
      <c r="G4057"/>
      <c r="H4057" s="19"/>
      <c r="I4057" s="19"/>
      <c r="J4057" s="19"/>
      <c r="M4057" s="7"/>
    </row>
    <row r="4058" spans="2:13" x14ac:dyDescent="0.25">
      <c r="B4058"/>
      <c r="C4058"/>
      <c r="D4058"/>
      <c r="E4058"/>
      <c r="F4058"/>
      <c r="G4058"/>
      <c r="H4058" s="19"/>
      <c r="I4058" s="19"/>
      <c r="J4058" s="19"/>
      <c r="M4058" s="7"/>
    </row>
    <row r="4059" spans="2:13" x14ac:dyDescent="0.25">
      <c r="B4059"/>
      <c r="C4059"/>
      <c r="D4059"/>
      <c r="E4059"/>
      <c r="F4059"/>
      <c r="G4059"/>
      <c r="H4059" s="19"/>
      <c r="I4059" s="19"/>
      <c r="J4059" s="19"/>
      <c r="M4059" s="7"/>
    </row>
    <row r="4060" spans="2:13" x14ac:dyDescent="0.25">
      <c r="B4060"/>
      <c r="C4060"/>
      <c r="D4060"/>
      <c r="E4060"/>
      <c r="F4060"/>
      <c r="G4060"/>
      <c r="H4060" s="19"/>
      <c r="I4060" s="19"/>
      <c r="J4060" s="19"/>
      <c r="M4060" s="7"/>
    </row>
    <row r="4061" spans="2:13" x14ac:dyDescent="0.25">
      <c r="B4061"/>
      <c r="C4061"/>
      <c r="D4061"/>
      <c r="E4061"/>
      <c r="F4061"/>
      <c r="G4061"/>
      <c r="H4061" s="19"/>
      <c r="I4061" s="19"/>
      <c r="J4061" s="19"/>
      <c r="M4061" s="7"/>
    </row>
    <row r="4062" spans="2:13" x14ac:dyDescent="0.25">
      <c r="B4062"/>
      <c r="C4062"/>
      <c r="D4062"/>
      <c r="E4062"/>
      <c r="F4062"/>
      <c r="G4062"/>
      <c r="H4062" s="19"/>
      <c r="I4062" s="19"/>
      <c r="J4062" s="19"/>
      <c r="M4062" s="7"/>
    </row>
    <row r="4063" spans="2:13" x14ac:dyDescent="0.25">
      <c r="B4063"/>
      <c r="C4063"/>
      <c r="D4063"/>
      <c r="E4063"/>
      <c r="F4063"/>
      <c r="G4063"/>
      <c r="H4063" s="19"/>
      <c r="I4063" s="19"/>
      <c r="J4063" s="19"/>
      <c r="M4063" s="7"/>
    </row>
    <row r="4064" spans="2:13" x14ac:dyDescent="0.25">
      <c r="B4064"/>
      <c r="C4064"/>
      <c r="D4064"/>
      <c r="E4064"/>
      <c r="F4064"/>
      <c r="G4064"/>
      <c r="H4064" s="19"/>
      <c r="I4064" s="19"/>
      <c r="J4064" s="19"/>
      <c r="M4064" s="7"/>
    </row>
    <row r="4065" spans="2:13" x14ac:dyDescent="0.25">
      <c r="B4065"/>
      <c r="C4065"/>
      <c r="D4065"/>
      <c r="E4065"/>
      <c r="F4065"/>
      <c r="G4065"/>
      <c r="H4065" s="19"/>
      <c r="I4065" s="19"/>
      <c r="J4065" s="19"/>
      <c r="M4065" s="7"/>
    </row>
    <row r="4066" spans="2:13" x14ac:dyDescent="0.25">
      <c r="B4066"/>
      <c r="C4066"/>
      <c r="D4066"/>
      <c r="E4066"/>
      <c r="F4066"/>
      <c r="G4066"/>
      <c r="H4066" s="19"/>
      <c r="I4066" s="19"/>
      <c r="J4066" s="19"/>
      <c r="M4066" s="7"/>
    </row>
    <row r="4067" spans="2:13" x14ac:dyDescent="0.25">
      <c r="B4067"/>
      <c r="C4067"/>
      <c r="D4067"/>
      <c r="E4067"/>
      <c r="F4067"/>
      <c r="G4067"/>
      <c r="H4067" s="19"/>
      <c r="I4067" s="19"/>
      <c r="J4067" s="19"/>
      <c r="M4067" s="7"/>
    </row>
    <row r="4068" spans="2:13" x14ac:dyDescent="0.25">
      <c r="B4068"/>
      <c r="C4068"/>
      <c r="D4068"/>
      <c r="E4068"/>
      <c r="F4068"/>
      <c r="G4068"/>
      <c r="H4068" s="19"/>
      <c r="I4068" s="19"/>
      <c r="J4068" s="19"/>
      <c r="M4068" s="7"/>
    </row>
    <row r="4069" spans="2:13" x14ac:dyDescent="0.25">
      <c r="B4069"/>
      <c r="C4069"/>
      <c r="D4069"/>
      <c r="E4069"/>
      <c r="F4069"/>
      <c r="G4069"/>
      <c r="H4069" s="19"/>
      <c r="I4069" s="19"/>
      <c r="J4069" s="19"/>
      <c r="M4069" s="7"/>
    </row>
    <row r="4070" spans="2:13" x14ac:dyDescent="0.25">
      <c r="B4070"/>
      <c r="C4070"/>
      <c r="D4070"/>
      <c r="E4070"/>
      <c r="F4070"/>
      <c r="G4070"/>
      <c r="H4070" s="19"/>
      <c r="I4070" s="19"/>
      <c r="J4070" s="19"/>
      <c r="M4070" s="7"/>
    </row>
    <row r="4071" spans="2:13" x14ac:dyDescent="0.25">
      <c r="B4071"/>
      <c r="C4071"/>
      <c r="D4071"/>
      <c r="E4071"/>
      <c r="F4071"/>
      <c r="G4071"/>
      <c r="H4071" s="19"/>
      <c r="I4071" s="19"/>
      <c r="J4071" s="19"/>
      <c r="M4071" s="7"/>
    </row>
    <row r="4072" spans="2:13" x14ac:dyDescent="0.25">
      <c r="B4072"/>
      <c r="C4072"/>
      <c r="D4072"/>
      <c r="E4072"/>
      <c r="F4072"/>
      <c r="G4072"/>
      <c r="H4072" s="19"/>
      <c r="I4072" s="19"/>
      <c r="J4072" s="19"/>
      <c r="M4072" s="7"/>
    </row>
    <row r="4073" spans="2:13" x14ac:dyDescent="0.25">
      <c r="B4073"/>
      <c r="C4073"/>
      <c r="D4073"/>
      <c r="E4073"/>
      <c r="F4073"/>
      <c r="G4073"/>
      <c r="H4073" s="19"/>
      <c r="I4073" s="19"/>
      <c r="J4073" s="19"/>
      <c r="M4073" s="7"/>
    </row>
    <row r="4074" spans="2:13" x14ac:dyDescent="0.25">
      <c r="B4074"/>
      <c r="C4074"/>
      <c r="D4074"/>
      <c r="E4074"/>
      <c r="F4074"/>
      <c r="G4074"/>
      <c r="H4074" s="19"/>
      <c r="I4074" s="19"/>
      <c r="J4074" s="19"/>
      <c r="M4074" s="7"/>
    </row>
    <row r="4075" spans="2:13" x14ac:dyDescent="0.25">
      <c r="B4075"/>
      <c r="C4075"/>
      <c r="D4075"/>
      <c r="E4075"/>
      <c r="F4075"/>
      <c r="G4075"/>
      <c r="H4075" s="19"/>
      <c r="I4075" s="19"/>
      <c r="J4075" s="19"/>
      <c r="M4075" s="7"/>
    </row>
    <row r="4076" spans="2:13" x14ac:dyDescent="0.25">
      <c r="B4076"/>
      <c r="C4076"/>
      <c r="D4076"/>
      <c r="E4076"/>
      <c r="F4076"/>
      <c r="G4076"/>
      <c r="H4076" s="19"/>
      <c r="I4076" s="19"/>
      <c r="J4076" s="19"/>
      <c r="M4076" s="7"/>
    </row>
    <row r="4077" spans="2:13" x14ac:dyDescent="0.25">
      <c r="B4077"/>
      <c r="C4077"/>
      <c r="D4077"/>
      <c r="E4077"/>
      <c r="F4077"/>
      <c r="G4077"/>
      <c r="H4077" s="19"/>
      <c r="I4077" s="19"/>
      <c r="J4077" s="19"/>
      <c r="M4077" s="7"/>
    </row>
    <row r="4078" spans="2:13" x14ac:dyDescent="0.25">
      <c r="B4078"/>
      <c r="C4078"/>
      <c r="D4078"/>
      <c r="E4078"/>
      <c r="F4078"/>
      <c r="G4078"/>
      <c r="H4078" s="19"/>
      <c r="I4078" s="19"/>
      <c r="J4078" s="19"/>
      <c r="M4078" s="7"/>
    </row>
    <row r="4079" spans="2:13" x14ac:dyDescent="0.25">
      <c r="B4079"/>
      <c r="C4079"/>
      <c r="D4079"/>
      <c r="E4079"/>
      <c r="F4079"/>
      <c r="G4079"/>
      <c r="H4079" s="19"/>
      <c r="I4079" s="19"/>
      <c r="J4079" s="19"/>
      <c r="M4079" s="7"/>
    </row>
    <row r="4080" spans="2:13" x14ac:dyDescent="0.25">
      <c r="B4080"/>
      <c r="C4080"/>
      <c r="D4080"/>
      <c r="E4080"/>
      <c r="F4080"/>
      <c r="G4080"/>
      <c r="H4080" s="19"/>
      <c r="I4080" s="19"/>
      <c r="J4080" s="19"/>
      <c r="M4080" s="7"/>
    </row>
    <row r="4081" spans="2:13" x14ac:dyDescent="0.25">
      <c r="B4081"/>
      <c r="C4081"/>
      <c r="D4081"/>
      <c r="E4081"/>
      <c r="F4081"/>
      <c r="G4081"/>
      <c r="H4081" s="19"/>
      <c r="I4081" s="19"/>
      <c r="J4081" s="19"/>
      <c r="M4081" s="7"/>
    </row>
    <row r="4082" spans="2:13" x14ac:dyDescent="0.25">
      <c r="B4082"/>
      <c r="C4082"/>
      <c r="D4082"/>
      <c r="E4082"/>
      <c r="F4082"/>
      <c r="G4082"/>
      <c r="H4082" s="19"/>
      <c r="I4082" s="19"/>
      <c r="J4082" s="19"/>
      <c r="M4082" s="7"/>
    </row>
    <row r="4083" spans="2:13" x14ac:dyDescent="0.25">
      <c r="B4083"/>
      <c r="C4083"/>
      <c r="D4083"/>
      <c r="E4083"/>
      <c r="F4083"/>
      <c r="G4083"/>
      <c r="H4083" s="19"/>
      <c r="I4083" s="19"/>
      <c r="J4083" s="19"/>
      <c r="M4083" s="7"/>
    </row>
    <row r="4084" spans="2:13" x14ac:dyDescent="0.25">
      <c r="B4084"/>
      <c r="C4084"/>
      <c r="D4084"/>
      <c r="E4084"/>
      <c r="F4084"/>
      <c r="G4084"/>
      <c r="H4084" s="19"/>
      <c r="I4084" s="19"/>
      <c r="J4084" s="19"/>
      <c r="M4084" s="7"/>
    </row>
    <row r="4085" spans="2:13" x14ac:dyDescent="0.25">
      <c r="B4085"/>
      <c r="C4085"/>
      <c r="D4085"/>
      <c r="E4085"/>
      <c r="F4085"/>
      <c r="G4085"/>
      <c r="H4085" s="19"/>
      <c r="I4085" s="19"/>
      <c r="J4085" s="19"/>
      <c r="M4085" s="7"/>
    </row>
    <row r="4086" spans="2:13" x14ac:dyDescent="0.25">
      <c r="B4086"/>
      <c r="C4086"/>
      <c r="D4086"/>
      <c r="E4086"/>
      <c r="F4086"/>
      <c r="G4086"/>
      <c r="H4086" s="19"/>
      <c r="I4086" s="19"/>
      <c r="J4086" s="19"/>
      <c r="M4086" s="7"/>
    </row>
    <row r="4087" spans="2:13" x14ac:dyDescent="0.25">
      <c r="B4087"/>
      <c r="C4087"/>
      <c r="D4087"/>
      <c r="E4087"/>
      <c r="F4087"/>
      <c r="G4087"/>
      <c r="H4087" s="19"/>
      <c r="I4087" s="19"/>
      <c r="J4087" s="19"/>
      <c r="M4087" s="7"/>
    </row>
    <row r="4088" spans="2:13" x14ac:dyDescent="0.25">
      <c r="B4088"/>
      <c r="C4088"/>
      <c r="D4088"/>
      <c r="E4088"/>
      <c r="F4088"/>
      <c r="G4088"/>
      <c r="H4088" s="19"/>
      <c r="I4088" s="19"/>
      <c r="J4088" s="19"/>
      <c r="M4088" s="7"/>
    </row>
    <row r="4089" spans="2:13" x14ac:dyDescent="0.25">
      <c r="B4089"/>
      <c r="C4089"/>
      <c r="D4089"/>
      <c r="E4089"/>
      <c r="F4089"/>
      <c r="G4089"/>
      <c r="H4089" s="19"/>
      <c r="I4089" s="19"/>
      <c r="J4089" s="19"/>
      <c r="M4089" s="7"/>
    </row>
    <row r="4090" spans="2:13" x14ac:dyDescent="0.25">
      <c r="B4090"/>
      <c r="C4090"/>
      <c r="D4090"/>
      <c r="E4090"/>
      <c r="F4090"/>
      <c r="G4090"/>
      <c r="H4090" s="19"/>
      <c r="I4090" s="19"/>
      <c r="J4090" s="19"/>
      <c r="M4090" s="7"/>
    </row>
    <row r="4091" spans="2:13" x14ac:dyDescent="0.25">
      <c r="B4091"/>
      <c r="C4091"/>
      <c r="D4091"/>
      <c r="E4091"/>
      <c r="F4091"/>
      <c r="G4091"/>
      <c r="H4091" s="19"/>
      <c r="I4091" s="19"/>
      <c r="J4091" s="19"/>
      <c r="M4091" s="7"/>
    </row>
    <row r="4092" spans="2:13" x14ac:dyDescent="0.25">
      <c r="B4092"/>
      <c r="C4092"/>
      <c r="D4092"/>
      <c r="E4092"/>
      <c r="F4092"/>
      <c r="G4092"/>
      <c r="H4092" s="19"/>
      <c r="I4092" s="19"/>
      <c r="J4092" s="19"/>
      <c r="M4092" s="7"/>
    </row>
    <row r="4093" spans="2:13" x14ac:dyDescent="0.25">
      <c r="B4093"/>
      <c r="C4093"/>
      <c r="D4093"/>
      <c r="E4093"/>
      <c r="F4093"/>
      <c r="G4093"/>
      <c r="H4093" s="19"/>
      <c r="I4093" s="19"/>
      <c r="J4093" s="19"/>
      <c r="M4093" s="7"/>
    </row>
    <row r="4094" spans="2:13" x14ac:dyDescent="0.25">
      <c r="B4094"/>
      <c r="C4094"/>
      <c r="D4094"/>
      <c r="E4094"/>
      <c r="F4094"/>
      <c r="G4094"/>
      <c r="H4094" s="19"/>
      <c r="I4094" s="19"/>
      <c r="J4094" s="19"/>
      <c r="M4094" s="7"/>
    </row>
    <row r="4095" spans="2:13" x14ac:dyDescent="0.25">
      <c r="B4095"/>
      <c r="C4095"/>
      <c r="D4095"/>
      <c r="E4095"/>
      <c r="F4095"/>
      <c r="G4095"/>
      <c r="H4095" s="19"/>
      <c r="I4095" s="19"/>
      <c r="J4095" s="19"/>
      <c r="M4095" s="7"/>
    </row>
    <row r="4096" spans="2:13" x14ac:dyDescent="0.25">
      <c r="B4096"/>
      <c r="C4096"/>
      <c r="D4096"/>
      <c r="E4096"/>
      <c r="F4096"/>
      <c r="G4096"/>
      <c r="H4096" s="19"/>
      <c r="I4096" s="19"/>
      <c r="J4096" s="19"/>
      <c r="M4096" s="7"/>
    </row>
    <row r="4097" spans="2:13" x14ac:dyDescent="0.25">
      <c r="B4097"/>
      <c r="C4097"/>
      <c r="D4097"/>
      <c r="E4097"/>
      <c r="F4097"/>
      <c r="G4097"/>
      <c r="H4097" s="19"/>
      <c r="I4097" s="19"/>
      <c r="J4097" s="19"/>
      <c r="M4097" s="7"/>
    </row>
    <row r="4098" spans="2:13" x14ac:dyDescent="0.25">
      <c r="B4098"/>
      <c r="C4098"/>
      <c r="D4098"/>
      <c r="E4098"/>
      <c r="F4098"/>
      <c r="G4098"/>
      <c r="H4098" s="19"/>
      <c r="I4098" s="19"/>
      <c r="J4098" s="19"/>
      <c r="M4098" s="7"/>
    </row>
    <row r="4099" spans="2:13" x14ac:dyDescent="0.25">
      <c r="B4099"/>
      <c r="C4099"/>
      <c r="D4099"/>
      <c r="E4099"/>
      <c r="F4099"/>
      <c r="G4099"/>
      <c r="H4099" s="19"/>
      <c r="I4099" s="19"/>
      <c r="J4099" s="19"/>
      <c r="M4099" s="7"/>
    </row>
    <row r="4100" spans="2:13" x14ac:dyDescent="0.25">
      <c r="B4100"/>
      <c r="C4100"/>
      <c r="D4100"/>
      <c r="E4100"/>
      <c r="F4100"/>
      <c r="G4100"/>
      <c r="H4100" s="19"/>
      <c r="I4100" s="19"/>
      <c r="J4100" s="19"/>
      <c r="M4100" s="7"/>
    </row>
    <row r="4101" spans="2:13" x14ac:dyDescent="0.25">
      <c r="B4101"/>
      <c r="C4101"/>
      <c r="D4101"/>
      <c r="E4101"/>
      <c r="F4101"/>
      <c r="G4101"/>
      <c r="H4101" s="19"/>
      <c r="I4101" s="19"/>
      <c r="J4101" s="19"/>
      <c r="M4101" s="7"/>
    </row>
    <row r="4102" spans="2:13" x14ac:dyDescent="0.25">
      <c r="B4102"/>
      <c r="C4102"/>
      <c r="D4102"/>
      <c r="E4102"/>
      <c r="F4102"/>
      <c r="G4102"/>
      <c r="H4102" s="19"/>
      <c r="I4102" s="19"/>
      <c r="J4102" s="19"/>
      <c r="M4102" s="7"/>
    </row>
    <row r="4103" spans="2:13" x14ac:dyDescent="0.25">
      <c r="B4103"/>
      <c r="C4103"/>
      <c r="D4103"/>
      <c r="E4103"/>
      <c r="F4103"/>
      <c r="G4103"/>
      <c r="H4103" s="19"/>
      <c r="I4103" s="19"/>
      <c r="J4103" s="19"/>
      <c r="M4103" s="7"/>
    </row>
    <row r="4104" spans="2:13" x14ac:dyDescent="0.25">
      <c r="B4104"/>
      <c r="C4104"/>
      <c r="D4104"/>
      <c r="E4104"/>
      <c r="F4104"/>
      <c r="G4104"/>
      <c r="H4104" s="19"/>
      <c r="I4104" s="19"/>
      <c r="J4104" s="19"/>
      <c r="M4104" s="7"/>
    </row>
    <row r="4105" spans="2:13" x14ac:dyDescent="0.25">
      <c r="B4105"/>
      <c r="C4105"/>
      <c r="D4105"/>
      <c r="E4105"/>
      <c r="F4105"/>
      <c r="G4105"/>
      <c r="H4105" s="19"/>
      <c r="I4105" s="19"/>
      <c r="J4105" s="19"/>
      <c r="M4105" s="7"/>
    </row>
    <row r="4106" spans="2:13" x14ac:dyDescent="0.25">
      <c r="B4106"/>
      <c r="C4106"/>
      <c r="D4106"/>
      <c r="E4106"/>
      <c r="F4106"/>
      <c r="G4106"/>
      <c r="H4106" s="19"/>
      <c r="I4106" s="19"/>
      <c r="J4106" s="19"/>
      <c r="M4106" s="7"/>
    </row>
    <row r="4107" spans="2:13" x14ac:dyDescent="0.25">
      <c r="B4107"/>
      <c r="C4107"/>
      <c r="D4107"/>
      <c r="E4107"/>
      <c r="F4107"/>
      <c r="G4107"/>
      <c r="H4107" s="19"/>
      <c r="I4107" s="19"/>
      <c r="J4107" s="19"/>
      <c r="M4107" s="7"/>
    </row>
    <row r="4108" spans="2:13" x14ac:dyDescent="0.25">
      <c r="B4108"/>
      <c r="C4108"/>
      <c r="D4108"/>
      <c r="E4108"/>
      <c r="F4108"/>
      <c r="G4108"/>
      <c r="H4108" s="19"/>
      <c r="I4108" s="19"/>
      <c r="J4108" s="19"/>
      <c r="M4108" s="7"/>
    </row>
    <row r="4109" spans="2:13" x14ac:dyDescent="0.25">
      <c r="B4109"/>
      <c r="C4109"/>
      <c r="D4109"/>
      <c r="E4109"/>
      <c r="F4109"/>
      <c r="G4109"/>
      <c r="H4109" s="19"/>
      <c r="I4109" s="19"/>
      <c r="J4109" s="19"/>
      <c r="M4109" s="7"/>
    </row>
    <row r="4110" spans="2:13" x14ac:dyDescent="0.25">
      <c r="B4110"/>
      <c r="C4110"/>
      <c r="D4110"/>
      <c r="E4110"/>
      <c r="F4110"/>
      <c r="G4110"/>
      <c r="H4110" s="19"/>
      <c r="I4110" s="19"/>
      <c r="J4110" s="19"/>
      <c r="M4110" s="7"/>
    </row>
    <row r="4111" spans="2:13" x14ac:dyDescent="0.25">
      <c r="B4111"/>
      <c r="C4111"/>
      <c r="D4111"/>
      <c r="E4111"/>
      <c r="F4111"/>
      <c r="G4111"/>
      <c r="H4111" s="19"/>
      <c r="I4111" s="19"/>
      <c r="J4111" s="19"/>
      <c r="M4111" s="7"/>
    </row>
    <row r="4112" spans="2:13" x14ac:dyDescent="0.25">
      <c r="B4112"/>
      <c r="C4112"/>
      <c r="D4112"/>
      <c r="E4112"/>
      <c r="F4112"/>
      <c r="G4112"/>
      <c r="H4112" s="19"/>
      <c r="I4112" s="19"/>
      <c r="J4112" s="19"/>
      <c r="M4112" s="7"/>
    </row>
    <row r="4113" spans="2:13" x14ac:dyDescent="0.25">
      <c r="B4113"/>
      <c r="C4113"/>
      <c r="D4113"/>
      <c r="E4113"/>
      <c r="F4113"/>
      <c r="G4113"/>
      <c r="H4113" s="19"/>
      <c r="I4113" s="19"/>
      <c r="J4113" s="19"/>
      <c r="M4113" s="7"/>
    </row>
    <row r="4114" spans="2:13" x14ac:dyDescent="0.25">
      <c r="B4114"/>
      <c r="C4114"/>
      <c r="D4114"/>
      <c r="E4114"/>
      <c r="F4114"/>
      <c r="G4114"/>
      <c r="H4114" s="19"/>
      <c r="I4114" s="19"/>
      <c r="J4114" s="19"/>
      <c r="M4114" s="7"/>
    </row>
    <row r="4115" spans="2:13" x14ac:dyDescent="0.25">
      <c r="B4115"/>
      <c r="C4115"/>
      <c r="D4115"/>
      <c r="E4115"/>
      <c r="F4115"/>
      <c r="G4115"/>
      <c r="H4115" s="19"/>
      <c r="I4115" s="19"/>
      <c r="J4115" s="19"/>
      <c r="M4115" s="7"/>
    </row>
    <row r="4116" spans="2:13" x14ac:dyDescent="0.25">
      <c r="B4116"/>
      <c r="C4116"/>
      <c r="D4116"/>
      <c r="E4116"/>
      <c r="F4116"/>
      <c r="G4116"/>
      <c r="H4116" s="19"/>
      <c r="I4116" s="19"/>
      <c r="J4116" s="19"/>
      <c r="M4116" s="7"/>
    </row>
    <row r="4117" spans="2:13" x14ac:dyDescent="0.25">
      <c r="B4117"/>
      <c r="C4117"/>
      <c r="D4117"/>
      <c r="E4117"/>
      <c r="F4117"/>
      <c r="G4117"/>
      <c r="H4117" s="19"/>
      <c r="I4117" s="19"/>
      <c r="J4117" s="19"/>
      <c r="M4117" s="7"/>
    </row>
    <row r="4118" spans="2:13" x14ac:dyDescent="0.25">
      <c r="B4118"/>
      <c r="C4118"/>
      <c r="D4118"/>
      <c r="E4118"/>
      <c r="F4118"/>
      <c r="G4118"/>
      <c r="H4118" s="19"/>
      <c r="I4118" s="19"/>
      <c r="J4118" s="19"/>
      <c r="M4118" s="7"/>
    </row>
    <row r="4119" spans="2:13" x14ac:dyDescent="0.25">
      <c r="B4119"/>
      <c r="C4119"/>
      <c r="D4119"/>
      <c r="E4119"/>
      <c r="F4119"/>
      <c r="G4119"/>
      <c r="H4119" s="19"/>
      <c r="I4119" s="19"/>
      <c r="J4119" s="19"/>
      <c r="M4119" s="7"/>
    </row>
    <row r="4120" spans="2:13" x14ac:dyDescent="0.25">
      <c r="B4120"/>
      <c r="C4120"/>
      <c r="D4120"/>
      <c r="E4120"/>
      <c r="F4120"/>
      <c r="G4120"/>
      <c r="H4120" s="19"/>
      <c r="I4120" s="19"/>
      <c r="J4120" s="19"/>
      <c r="M4120" s="7"/>
    </row>
    <row r="4121" spans="2:13" x14ac:dyDescent="0.25">
      <c r="B4121"/>
      <c r="C4121"/>
      <c r="D4121"/>
      <c r="E4121"/>
      <c r="F4121"/>
      <c r="G4121"/>
      <c r="H4121" s="19"/>
      <c r="I4121" s="19"/>
      <c r="J4121" s="19"/>
      <c r="M4121" s="7"/>
    </row>
    <row r="4122" spans="2:13" x14ac:dyDescent="0.25">
      <c r="B4122"/>
      <c r="C4122"/>
      <c r="D4122"/>
      <c r="E4122"/>
      <c r="F4122"/>
      <c r="G4122"/>
      <c r="H4122" s="19"/>
      <c r="I4122" s="19"/>
      <c r="J4122" s="19"/>
      <c r="M4122" s="7"/>
    </row>
    <row r="4123" spans="2:13" x14ac:dyDescent="0.25">
      <c r="B4123"/>
      <c r="C4123"/>
      <c r="D4123"/>
      <c r="E4123"/>
      <c r="F4123"/>
      <c r="G4123"/>
      <c r="H4123" s="19"/>
      <c r="I4123" s="19"/>
      <c r="J4123" s="19"/>
      <c r="M4123" s="7"/>
    </row>
    <row r="4124" spans="2:13" x14ac:dyDescent="0.25">
      <c r="B4124"/>
      <c r="C4124"/>
      <c r="D4124"/>
      <c r="E4124"/>
      <c r="F4124"/>
      <c r="G4124"/>
      <c r="H4124" s="19"/>
      <c r="I4124" s="19"/>
      <c r="J4124" s="19"/>
      <c r="M4124" s="7"/>
    </row>
    <row r="4125" spans="2:13" x14ac:dyDescent="0.25">
      <c r="B4125"/>
      <c r="C4125"/>
      <c r="D4125"/>
      <c r="E4125"/>
      <c r="F4125"/>
      <c r="G4125"/>
      <c r="H4125" s="19"/>
      <c r="I4125" s="19"/>
      <c r="J4125" s="19"/>
      <c r="M4125" s="7"/>
    </row>
    <row r="4126" spans="2:13" x14ac:dyDescent="0.25">
      <c r="B4126"/>
      <c r="C4126"/>
      <c r="D4126"/>
      <c r="E4126"/>
      <c r="F4126"/>
      <c r="G4126"/>
      <c r="H4126" s="19"/>
      <c r="I4126" s="19"/>
      <c r="J4126" s="19"/>
      <c r="M4126" s="7"/>
    </row>
    <row r="4127" spans="2:13" x14ac:dyDescent="0.25">
      <c r="B4127"/>
      <c r="C4127"/>
      <c r="D4127"/>
      <c r="E4127"/>
      <c r="F4127"/>
      <c r="G4127"/>
      <c r="H4127" s="19"/>
      <c r="I4127" s="19"/>
      <c r="J4127" s="19"/>
      <c r="M4127" s="7"/>
    </row>
    <row r="4128" spans="2:13" x14ac:dyDescent="0.25">
      <c r="B4128"/>
      <c r="C4128"/>
      <c r="D4128"/>
      <c r="E4128"/>
      <c r="F4128"/>
      <c r="G4128"/>
      <c r="H4128" s="19"/>
      <c r="I4128" s="19"/>
      <c r="J4128" s="19"/>
      <c r="M4128" s="7"/>
    </row>
    <row r="4129" spans="2:13" x14ac:dyDescent="0.25">
      <c r="B4129"/>
      <c r="C4129"/>
      <c r="D4129"/>
      <c r="E4129"/>
      <c r="F4129"/>
      <c r="G4129"/>
      <c r="H4129" s="19"/>
      <c r="I4129" s="19"/>
      <c r="J4129" s="19"/>
      <c r="M4129" s="7"/>
    </row>
    <row r="4130" spans="2:13" x14ac:dyDescent="0.25">
      <c r="B4130"/>
      <c r="C4130"/>
      <c r="D4130"/>
      <c r="E4130"/>
      <c r="F4130"/>
      <c r="G4130"/>
      <c r="H4130" s="19"/>
      <c r="I4130" s="19"/>
      <c r="J4130" s="19"/>
      <c r="M4130" s="7"/>
    </row>
    <row r="4131" spans="2:13" x14ac:dyDescent="0.25">
      <c r="B4131"/>
      <c r="C4131"/>
      <c r="D4131"/>
      <c r="E4131"/>
      <c r="F4131"/>
      <c r="G4131"/>
      <c r="H4131" s="19"/>
      <c r="I4131" s="19"/>
      <c r="J4131" s="19"/>
      <c r="M4131" s="7"/>
    </row>
    <row r="4132" spans="2:13" x14ac:dyDescent="0.25">
      <c r="B4132"/>
      <c r="C4132"/>
      <c r="D4132"/>
      <c r="E4132"/>
      <c r="F4132"/>
      <c r="G4132"/>
      <c r="H4132" s="19"/>
      <c r="I4132" s="19"/>
      <c r="J4132" s="19"/>
      <c r="M4132" s="7"/>
    </row>
    <row r="4133" spans="2:13" x14ac:dyDescent="0.25">
      <c r="B4133"/>
      <c r="C4133"/>
      <c r="D4133"/>
      <c r="E4133"/>
      <c r="F4133"/>
      <c r="G4133"/>
      <c r="H4133" s="19"/>
      <c r="I4133" s="19"/>
      <c r="J4133" s="19"/>
      <c r="M4133" s="7"/>
    </row>
    <row r="4134" spans="2:13" x14ac:dyDescent="0.25">
      <c r="B4134"/>
      <c r="C4134"/>
      <c r="D4134"/>
      <c r="E4134"/>
      <c r="F4134"/>
      <c r="G4134"/>
      <c r="H4134" s="19"/>
      <c r="I4134" s="19"/>
      <c r="J4134" s="19"/>
      <c r="M4134" s="7"/>
    </row>
    <row r="4135" spans="2:13" x14ac:dyDescent="0.25">
      <c r="B4135"/>
      <c r="C4135"/>
      <c r="D4135"/>
      <c r="E4135"/>
      <c r="F4135"/>
      <c r="G4135"/>
      <c r="H4135" s="19"/>
      <c r="I4135" s="19"/>
      <c r="J4135" s="19"/>
      <c r="M4135" s="7"/>
    </row>
    <row r="4136" spans="2:13" x14ac:dyDescent="0.25">
      <c r="B4136"/>
      <c r="C4136"/>
      <c r="D4136"/>
      <c r="E4136"/>
      <c r="F4136"/>
      <c r="G4136"/>
      <c r="H4136" s="19"/>
      <c r="I4136" s="19"/>
      <c r="J4136" s="19"/>
      <c r="M4136" s="7"/>
    </row>
    <row r="4137" spans="2:13" x14ac:dyDescent="0.25">
      <c r="B4137"/>
      <c r="C4137"/>
      <c r="D4137"/>
      <c r="E4137"/>
      <c r="F4137"/>
      <c r="G4137"/>
      <c r="H4137" s="19"/>
      <c r="I4137" s="19"/>
      <c r="J4137" s="19"/>
      <c r="M4137" s="7"/>
    </row>
    <row r="4138" spans="2:13" x14ac:dyDescent="0.25">
      <c r="B4138"/>
      <c r="C4138"/>
      <c r="D4138"/>
      <c r="E4138"/>
      <c r="F4138"/>
      <c r="G4138"/>
      <c r="H4138" s="19"/>
      <c r="I4138" s="19"/>
      <c r="J4138" s="19"/>
      <c r="M4138" s="7"/>
    </row>
    <row r="4139" spans="2:13" x14ac:dyDescent="0.25">
      <c r="B4139"/>
      <c r="C4139"/>
      <c r="D4139"/>
      <c r="E4139"/>
      <c r="F4139"/>
      <c r="G4139"/>
      <c r="H4139" s="19"/>
      <c r="I4139" s="19"/>
      <c r="J4139" s="19"/>
      <c r="M4139" s="7"/>
    </row>
    <row r="4140" spans="2:13" x14ac:dyDescent="0.25">
      <c r="B4140"/>
      <c r="C4140"/>
      <c r="D4140"/>
      <c r="E4140"/>
      <c r="F4140"/>
      <c r="G4140"/>
      <c r="H4140" s="19"/>
      <c r="I4140" s="19"/>
      <c r="J4140" s="19"/>
      <c r="M4140" s="7"/>
    </row>
    <row r="4141" spans="2:13" x14ac:dyDescent="0.25">
      <c r="B4141"/>
      <c r="C4141"/>
      <c r="D4141"/>
      <c r="E4141"/>
      <c r="F4141"/>
      <c r="G4141"/>
      <c r="H4141" s="19"/>
      <c r="I4141" s="19"/>
      <c r="J4141" s="19"/>
      <c r="M4141" s="7"/>
    </row>
    <row r="4142" spans="2:13" x14ac:dyDescent="0.25">
      <c r="B4142"/>
      <c r="C4142"/>
      <c r="D4142"/>
      <c r="E4142"/>
      <c r="F4142"/>
      <c r="G4142"/>
      <c r="H4142" s="19"/>
      <c r="I4142" s="19"/>
      <c r="J4142" s="19"/>
      <c r="M4142" s="7"/>
    </row>
    <row r="4143" spans="2:13" x14ac:dyDescent="0.25">
      <c r="B4143"/>
      <c r="C4143"/>
      <c r="D4143"/>
      <c r="E4143"/>
      <c r="F4143"/>
      <c r="G4143"/>
      <c r="H4143" s="19"/>
      <c r="I4143" s="19"/>
      <c r="J4143" s="19"/>
      <c r="M4143" s="7"/>
    </row>
    <row r="4144" spans="2:13" x14ac:dyDescent="0.25">
      <c r="B4144"/>
      <c r="C4144"/>
      <c r="D4144"/>
      <c r="E4144"/>
      <c r="F4144"/>
      <c r="G4144"/>
      <c r="H4144" s="19"/>
      <c r="I4144" s="19"/>
      <c r="J4144" s="19"/>
      <c r="M4144" s="7"/>
    </row>
    <row r="4145" spans="2:13" x14ac:dyDescent="0.25">
      <c r="B4145"/>
      <c r="C4145"/>
      <c r="D4145"/>
      <c r="E4145"/>
      <c r="F4145"/>
      <c r="G4145"/>
      <c r="H4145" s="19"/>
      <c r="I4145" s="19"/>
      <c r="J4145" s="19"/>
      <c r="M4145" s="7"/>
    </row>
    <row r="4146" spans="2:13" x14ac:dyDescent="0.25">
      <c r="B4146"/>
      <c r="C4146"/>
      <c r="D4146"/>
      <c r="E4146"/>
      <c r="F4146"/>
      <c r="G4146"/>
      <c r="H4146" s="19"/>
      <c r="I4146" s="19"/>
      <c r="J4146" s="19"/>
      <c r="M4146" s="7"/>
    </row>
    <row r="4147" spans="2:13" x14ac:dyDescent="0.25">
      <c r="B4147"/>
      <c r="C4147"/>
      <c r="D4147"/>
      <c r="E4147"/>
      <c r="F4147"/>
      <c r="G4147"/>
      <c r="H4147" s="19"/>
      <c r="I4147" s="19"/>
      <c r="J4147" s="19"/>
      <c r="M4147" s="7"/>
    </row>
    <row r="4148" spans="2:13" x14ac:dyDescent="0.25">
      <c r="B4148"/>
      <c r="C4148"/>
      <c r="D4148"/>
      <c r="E4148"/>
      <c r="F4148"/>
      <c r="G4148"/>
      <c r="H4148" s="19"/>
      <c r="I4148" s="19"/>
      <c r="J4148" s="19"/>
      <c r="M4148" s="7"/>
    </row>
    <row r="4149" spans="2:13" x14ac:dyDescent="0.25">
      <c r="B4149"/>
      <c r="C4149"/>
      <c r="D4149"/>
      <c r="E4149"/>
      <c r="F4149"/>
      <c r="G4149"/>
      <c r="H4149" s="19"/>
      <c r="I4149" s="19"/>
      <c r="J4149" s="19"/>
      <c r="M4149" s="7"/>
    </row>
    <row r="4150" spans="2:13" x14ac:dyDescent="0.25">
      <c r="B4150"/>
      <c r="C4150"/>
      <c r="D4150"/>
      <c r="E4150"/>
      <c r="F4150"/>
      <c r="G4150"/>
      <c r="H4150" s="19"/>
      <c r="I4150" s="19"/>
      <c r="J4150" s="19"/>
      <c r="M4150" s="7"/>
    </row>
    <row r="4151" spans="2:13" x14ac:dyDescent="0.25">
      <c r="B4151"/>
      <c r="C4151"/>
      <c r="D4151"/>
      <c r="E4151"/>
      <c r="F4151"/>
      <c r="G4151"/>
      <c r="H4151" s="19"/>
      <c r="I4151" s="19"/>
      <c r="J4151" s="19"/>
      <c r="M4151" s="7"/>
    </row>
    <row r="4152" spans="2:13" x14ac:dyDescent="0.25">
      <c r="B4152"/>
      <c r="C4152"/>
      <c r="D4152"/>
      <c r="E4152"/>
      <c r="F4152"/>
      <c r="G4152"/>
      <c r="H4152" s="19"/>
      <c r="I4152" s="19"/>
      <c r="J4152" s="19"/>
      <c r="M4152" s="7"/>
    </row>
    <row r="4153" spans="2:13" x14ac:dyDescent="0.25">
      <c r="B4153"/>
      <c r="C4153"/>
      <c r="D4153"/>
      <c r="E4153"/>
      <c r="F4153"/>
      <c r="G4153"/>
      <c r="H4153" s="19"/>
      <c r="I4153" s="19"/>
      <c r="J4153" s="19"/>
      <c r="M4153" s="7"/>
    </row>
    <row r="4154" spans="2:13" x14ac:dyDescent="0.25">
      <c r="B4154"/>
      <c r="C4154"/>
      <c r="D4154"/>
      <c r="E4154"/>
      <c r="F4154"/>
      <c r="G4154"/>
      <c r="H4154" s="19"/>
      <c r="I4154" s="19"/>
      <c r="J4154" s="19"/>
      <c r="M4154" s="7"/>
    </row>
    <row r="4155" spans="2:13" x14ac:dyDescent="0.25">
      <c r="B4155"/>
      <c r="C4155"/>
      <c r="D4155"/>
      <c r="E4155"/>
      <c r="F4155"/>
      <c r="G4155"/>
      <c r="H4155" s="19"/>
      <c r="I4155" s="19"/>
      <c r="J4155" s="19"/>
      <c r="M4155" s="7"/>
    </row>
    <row r="4156" spans="2:13" x14ac:dyDescent="0.25">
      <c r="B4156"/>
      <c r="C4156"/>
      <c r="D4156"/>
      <c r="E4156"/>
      <c r="F4156"/>
      <c r="G4156"/>
      <c r="H4156" s="19"/>
      <c r="I4156" s="19"/>
      <c r="J4156" s="19"/>
      <c r="M4156" s="7"/>
    </row>
    <row r="4157" spans="2:13" x14ac:dyDescent="0.25">
      <c r="B4157"/>
      <c r="C4157"/>
      <c r="D4157"/>
      <c r="E4157"/>
      <c r="F4157"/>
      <c r="G4157"/>
      <c r="H4157" s="19"/>
      <c r="I4157" s="19"/>
      <c r="J4157" s="19"/>
      <c r="M4157" s="7"/>
    </row>
    <row r="4158" spans="2:13" x14ac:dyDescent="0.25">
      <c r="B4158"/>
      <c r="C4158"/>
      <c r="D4158"/>
      <c r="E4158"/>
      <c r="F4158"/>
      <c r="G4158"/>
      <c r="H4158" s="19"/>
      <c r="I4158" s="19"/>
      <c r="J4158" s="19"/>
      <c r="M4158" s="7"/>
    </row>
    <row r="4159" spans="2:13" x14ac:dyDescent="0.25">
      <c r="B4159"/>
      <c r="C4159"/>
      <c r="D4159"/>
      <c r="E4159"/>
      <c r="F4159"/>
      <c r="G4159"/>
      <c r="H4159" s="19"/>
      <c r="I4159" s="19"/>
      <c r="J4159" s="19"/>
      <c r="M4159" s="7"/>
    </row>
    <row r="4160" spans="2:13" x14ac:dyDescent="0.25">
      <c r="B4160"/>
      <c r="C4160"/>
      <c r="D4160"/>
      <c r="E4160"/>
      <c r="F4160"/>
      <c r="G4160"/>
      <c r="H4160" s="19"/>
      <c r="I4160" s="19"/>
      <c r="J4160" s="19"/>
      <c r="M4160" s="7"/>
    </row>
    <row r="4161" spans="2:13" x14ac:dyDescent="0.25">
      <c r="B4161"/>
      <c r="C4161"/>
      <c r="D4161"/>
      <c r="E4161"/>
      <c r="F4161"/>
      <c r="G4161"/>
      <c r="H4161" s="19"/>
      <c r="I4161" s="19"/>
      <c r="J4161" s="19"/>
      <c r="M4161" s="7"/>
    </row>
    <row r="4162" spans="2:13" x14ac:dyDescent="0.25">
      <c r="B4162"/>
      <c r="C4162"/>
      <c r="D4162"/>
      <c r="E4162"/>
      <c r="F4162"/>
      <c r="G4162"/>
      <c r="H4162" s="19"/>
      <c r="I4162" s="19"/>
      <c r="J4162" s="19"/>
      <c r="M4162" s="7"/>
    </row>
    <row r="4163" spans="2:13" x14ac:dyDescent="0.25">
      <c r="B4163"/>
      <c r="C4163"/>
      <c r="D4163"/>
      <c r="E4163"/>
      <c r="F4163"/>
      <c r="G4163"/>
      <c r="H4163" s="19"/>
      <c r="I4163" s="19"/>
      <c r="J4163" s="19"/>
      <c r="M4163" s="7"/>
    </row>
    <row r="4164" spans="2:13" x14ac:dyDescent="0.25">
      <c r="B4164"/>
      <c r="C4164"/>
      <c r="D4164"/>
      <c r="E4164"/>
      <c r="F4164"/>
      <c r="G4164"/>
      <c r="H4164" s="19"/>
      <c r="I4164" s="19"/>
      <c r="J4164" s="19"/>
      <c r="M4164" s="7"/>
    </row>
    <row r="4165" spans="2:13" x14ac:dyDescent="0.25">
      <c r="B4165"/>
      <c r="C4165"/>
      <c r="D4165"/>
      <c r="E4165"/>
      <c r="F4165"/>
      <c r="G4165"/>
      <c r="H4165" s="19"/>
      <c r="I4165" s="19"/>
      <c r="J4165" s="19"/>
      <c r="M4165" s="7"/>
    </row>
    <row r="4166" spans="2:13" x14ac:dyDescent="0.25">
      <c r="B4166"/>
      <c r="C4166"/>
      <c r="D4166"/>
      <c r="E4166"/>
      <c r="F4166"/>
      <c r="G4166"/>
      <c r="H4166" s="19"/>
      <c r="I4166" s="19"/>
      <c r="J4166" s="19"/>
      <c r="M4166" s="7"/>
    </row>
    <row r="4167" spans="2:13" x14ac:dyDescent="0.25">
      <c r="B4167"/>
      <c r="C4167"/>
      <c r="D4167"/>
      <c r="E4167"/>
      <c r="F4167"/>
      <c r="G4167"/>
      <c r="H4167" s="19"/>
      <c r="I4167" s="19"/>
      <c r="J4167" s="19"/>
      <c r="M4167" s="7"/>
    </row>
    <row r="4168" spans="2:13" x14ac:dyDescent="0.25">
      <c r="B4168"/>
      <c r="C4168"/>
      <c r="D4168"/>
      <c r="E4168"/>
      <c r="F4168"/>
      <c r="G4168"/>
      <c r="H4168" s="19"/>
      <c r="I4168" s="19"/>
      <c r="J4168" s="19"/>
      <c r="M4168" s="7"/>
    </row>
    <row r="4169" spans="2:13" x14ac:dyDescent="0.25">
      <c r="B4169"/>
      <c r="C4169"/>
      <c r="D4169"/>
      <c r="E4169"/>
      <c r="F4169"/>
      <c r="G4169"/>
      <c r="H4169" s="19"/>
      <c r="I4169" s="19"/>
      <c r="J4169" s="19"/>
      <c r="M4169" s="7"/>
    </row>
    <row r="4170" spans="2:13" x14ac:dyDescent="0.25">
      <c r="B4170"/>
      <c r="C4170"/>
      <c r="D4170"/>
      <c r="E4170"/>
      <c r="F4170"/>
      <c r="G4170"/>
      <c r="H4170" s="19"/>
      <c r="I4170" s="19"/>
      <c r="J4170" s="19"/>
      <c r="M4170" s="7"/>
    </row>
    <row r="4171" spans="2:13" x14ac:dyDescent="0.25">
      <c r="B4171"/>
      <c r="C4171"/>
      <c r="D4171"/>
      <c r="E4171"/>
      <c r="F4171"/>
      <c r="G4171"/>
      <c r="H4171" s="19"/>
      <c r="I4171" s="19"/>
      <c r="J4171" s="19"/>
      <c r="M4171" s="7"/>
    </row>
    <row r="4172" spans="2:13" x14ac:dyDescent="0.25">
      <c r="B4172"/>
      <c r="C4172"/>
      <c r="D4172"/>
      <c r="E4172"/>
      <c r="F4172"/>
      <c r="G4172"/>
      <c r="H4172" s="19"/>
      <c r="I4172" s="19"/>
      <c r="J4172" s="19"/>
      <c r="M4172" s="7"/>
    </row>
    <row r="4173" spans="2:13" x14ac:dyDescent="0.25">
      <c r="B4173"/>
      <c r="C4173"/>
      <c r="D4173"/>
      <c r="E4173"/>
      <c r="F4173"/>
      <c r="G4173"/>
      <c r="H4173" s="19"/>
      <c r="I4173" s="19"/>
      <c r="J4173" s="19"/>
      <c r="M4173" s="7"/>
    </row>
    <row r="4174" spans="2:13" x14ac:dyDescent="0.25">
      <c r="B4174"/>
      <c r="C4174"/>
      <c r="D4174"/>
      <c r="E4174"/>
      <c r="F4174"/>
      <c r="G4174"/>
      <c r="H4174" s="19"/>
      <c r="I4174" s="19"/>
      <c r="J4174" s="19"/>
      <c r="M4174" s="7"/>
    </row>
    <row r="4175" spans="2:13" x14ac:dyDescent="0.25">
      <c r="B4175"/>
      <c r="C4175"/>
      <c r="D4175"/>
      <c r="E4175"/>
      <c r="F4175"/>
      <c r="G4175"/>
      <c r="H4175" s="19"/>
      <c r="I4175" s="19"/>
      <c r="J4175" s="19"/>
      <c r="M4175" s="7"/>
    </row>
    <row r="4176" spans="2:13" x14ac:dyDescent="0.25">
      <c r="B4176"/>
      <c r="C4176"/>
      <c r="D4176"/>
      <c r="E4176"/>
      <c r="F4176"/>
      <c r="G4176"/>
      <c r="H4176" s="19"/>
      <c r="I4176" s="19"/>
      <c r="J4176" s="19"/>
      <c r="M4176" s="7"/>
    </row>
    <row r="4177" spans="2:13" x14ac:dyDescent="0.25">
      <c r="B4177"/>
      <c r="C4177"/>
      <c r="D4177"/>
      <c r="E4177"/>
      <c r="F4177"/>
      <c r="G4177"/>
      <c r="H4177" s="19"/>
      <c r="I4177" s="19"/>
      <c r="J4177" s="19"/>
      <c r="M4177" s="7"/>
    </row>
    <row r="4178" spans="2:13" x14ac:dyDescent="0.25">
      <c r="B4178"/>
      <c r="C4178"/>
      <c r="D4178"/>
      <c r="E4178"/>
      <c r="F4178"/>
      <c r="G4178"/>
      <c r="H4178" s="19"/>
      <c r="I4178" s="19"/>
      <c r="J4178" s="19"/>
      <c r="M4178" s="7"/>
    </row>
    <row r="4179" spans="2:13" x14ac:dyDescent="0.25">
      <c r="B4179"/>
      <c r="C4179"/>
      <c r="D4179"/>
      <c r="E4179"/>
      <c r="F4179"/>
      <c r="G4179"/>
      <c r="H4179" s="19"/>
      <c r="I4179" s="19"/>
      <c r="J4179" s="19"/>
      <c r="M4179" s="7"/>
    </row>
    <row r="4180" spans="2:13" x14ac:dyDescent="0.25">
      <c r="B4180"/>
      <c r="C4180"/>
      <c r="D4180"/>
      <c r="E4180"/>
      <c r="F4180"/>
      <c r="G4180"/>
      <c r="H4180" s="19"/>
      <c r="I4180" s="19"/>
      <c r="J4180" s="19"/>
      <c r="M4180" s="7"/>
    </row>
    <row r="4181" spans="2:13" x14ac:dyDescent="0.25">
      <c r="B4181"/>
      <c r="C4181"/>
      <c r="D4181"/>
      <c r="E4181"/>
      <c r="F4181"/>
      <c r="G4181"/>
      <c r="H4181" s="19"/>
      <c r="I4181" s="19"/>
      <c r="J4181" s="19"/>
      <c r="M4181" s="7"/>
    </row>
    <row r="4182" spans="2:13" x14ac:dyDescent="0.25">
      <c r="B4182"/>
      <c r="C4182"/>
      <c r="D4182"/>
      <c r="E4182"/>
      <c r="F4182"/>
      <c r="G4182"/>
      <c r="H4182" s="19"/>
      <c r="I4182" s="19"/>
      <c r="J4182" s="19"/>
      <c r="M4182" s="7"/>
    </row>
    <row r="4183" spans="2:13" x14ac:dyDescent="0.25">
      <c r="B4183"/>
      <c r="C4183"/>
      <c r="D4183"/>
      <c r="E4183"/>
      <c r="F4183"/>
      <c r="G4183"/>
      <c r="H4183" s="19"/>
      <c r="I4183" s="19"/>
      <c r="J4183" s="19"/>
      <c r="M4183" s="7"/>
    </row>
    <row r="4184" spans="2:13" x14ac:dyDescent="0.25">
      <c r="B4184"/>
      <c r="C4184"/>
      <c r="D4184"/>
      <c r="E4184"/>
      <c r="F4184"/>
      <c r="G4184"/>
      <c r="H4184" s="19"/>
      <c r="I4184" s="19"/>
      <c r="J4184" s="19"/>
      <c r="M4184" s="7"/>
    </row>
    <row r="4185" spans="2:13" x14ac:dyDescent="0.25">
      <c r="B4185"/>
      <c r="C4185"/>
      <c r="D4185"/>
      <c r="E4185"/>
      <c r="F4185"/>
      <c r="G4185"/>
      <c r="H4185" s="19"/>
      <c r="I4185" s="19"/>
      <c r="J4185" s="19"/>
      <c r="M4185" s="7"/>
    </row>
    <row r="4186" spans="2:13" x14ac:dyDescent="0.25">
      <c r="B4186"/>
      <c r="C4186"/>
      <c r="D4186"/>
      <c r="E4186"/>
      <c r="F4186"/>
      <c r="G4186"/>
      <c r="H4186" s="19"/>
      <c r="I4186" s="19"/>
      <c r="J4186" s="19"/>
      <c r="M4186" s="7"/>
    </row>
    <row r="4187" spans="2:13" x14ac:dyDescent="0.25">
      <c r="B4187"/>
      <c r="C4187"/>
      <c r="D4187"/>
      <c r="E4187"/>
      <c r="F4187"/>
      <c r="G4187"/>
      <c r="H4187" s="19"/>
      <c r="I4187" s="19"/>
      <c r="J4187" s="19"/>
      <c r="M4187" s="7"/>
    </row>
    <row r="4188" spans="2:13" x14ac:dyDescent="0.25">
      <c r="B4188"/>
      <c r="C4188"/>
      <c r="D4188"/>
      <c r="E4188"/>
      <c r="F4188"/>
      <c r="G4188"/>
      <c r="H4188" s="19"/>
      <c r="I4188" s="19"/>
      <c r="J4188" s="19"/>
      <c r="M4188" s="7"/>
    </row>
    <row r="4189" spans="2:13" x14ac:dyDescent="0.25">
      <c r="B4189"/>
      <c r="C4189"/>
      <c r="D4189"/>
      <c r="E4189"/>
      <c r="F4189"/>
      <c r="G4189"/>
      <c r="H4189" s="19"/>
      <c r="I4189" s="19"/>
      <c r="J4189" s="19"/>
      <c r="M4189" s="7"/>
    </row>
    <row r="4190" spans="2:13" x14ac:dyDescent="0.25">
      <c r="B4190"/>
      <c r="C4190"/>
      <c r="D4190"/>
      <c r="E4190"/>
      <c r="F4190"/>
      <c r="G4190"/>
      <c r="H4190" s="19"/>
      <c r="I4190" s="19"/>
      <c r="J4190" s="19"/>
      <c r="M4190" s="7"/>
    </row>
    <row r="4191" spans="2:13" x14ac:dyDescent="0.25">
      <c r="B4191"/>
      <c r="C4191"/>
      <c r="D4191"/>
      <c r="E4191"/>
      <c r="F4191"/>
      <c r="G4191"/>
      <c r="H4191" s="19"/>
      <c r="I4191" s="19"/>
      <c r="J4191" s="19"/>
      <c r="M4191" s="7"/>
    </row>
    <row r="4192" spans="2:13" x14ac:dyDescent="0.25">
      <c r="B4192"/>
      <c r="C4192"/>
      <c r="D4192"/>
      <c r="E4192"/>
      <c r="F4192"/>
      <c r="G4192"/>
      <c r="H4192" s="19"/>
      <c r="I4192" s="19"/>
      <c r="J4192" s="19"/>
      <c r="M4192" s="7"/>
    </row>
    <row r="4193" spans="2:13" x14ac:dyDescent="0.25">
      <c r="B4193"/>
      <c r="C4193"/>
      <c r="D4193"/>
      <c r="E4193"/>
      <c r="F4193"/>
      <c r="G4193"/>
      <c r="H4193" s="19"/>
      <c r="I4193" s="19"/>
      <c r="J4193" s="19"/>
      <c r="M4193" s="7"/>
    </row>
    <row r="4194" spans="2:13" x14ac:dyDescent="0.25">
      <c r="B4194"/>
      <c r="C4194"/>
      <c r="D4194"/>
      <c r="E4194"/>
      <c r="F4194"/>
      <c r="G4194"/>
      <c r="H4194" s="19"/>
      <c r="I4194" s="19"/>
      <c r="J4194" s="19"/>
      <c r="M4194" s="7"/>
    </row>
    <row r="4195" spans="2:13" x14ac:dyDescent="0.25">
      <c r="B4195"/>
      <c r="C4195"/>
      <c r="D4195"/>
      <c r="E4195"/>
      <c r="F4195"/>
      <c r="G4195"/>
      <c r="H4195" s="19"/>
      <c r="I4195" s="19"/>
      <c r="J4195" s="19"/>
      <c r="M4195" s="7"/>
    </row>
    <row r="4196" spans="2:13" x14ac:dyDescent="0.25">
      <c r="B4196"/>
      <c r="C4196"/>
      <c r="D4196"/>
      <c r="E4196"/>
      <c r="F4196"/>
      <c r="G4196"/>
      <c r="H4196" s="19"/>
      <c r="I4196" s="19"/>
      <c r="J4196" s="19"/>
      <c r="M4196" s="7"/>
    </row>
    <row r="4197" spans="2:13" x14ac:dyDescent="0.25">
      <c r="B4197"/>
      <c r="C4197"/>
      <c r="D4197"/>
      <c r="E4197"/>
      <c r="F4197"/>
      <c r="G4197"/>
      <c r="H4197" s="19"/>
      <c r="I4197" s="19"/>
      <c r="J4197" s="19"/>
      <c r="M4197" s="7"/>
    </row>
    <row r="4198" spans="2:13" x14ac:dyDescent="0.25">
      <c r="B4198"/>
      <c r="C4198"/>
      <c r="D4198"/>
      <c r="E4198"/>
      <c r="F4198"/>
      <c r="G4198"/>
      <c r="H4198" s="19"/>
      <c r="I4198" s="19"/>
      <c r="J4198" s="19"/>
      <c r="M4198" s="7"/>
    </row>
    <row r="4199" spans="2:13" x14ac:dyDescent="0.25">
      <c r="B4199"/>
      <c r="C4199"/>
      <c r="D4199"/>
      <c r="E4199"/>
      <c r="F4199"/>
      <c r="G4199"/>
      <c r="H4199" s="19"/>
      <c r="I4199" s="19"/>
      <c r="J4199" s="19"/>
      <c r="M4199" s="7"/>
    </row>
    <row r="4200" spans="2:13" x14ac:dyDescent="0.25">
      <c r="B4200"/>
      <c r="C4200"/>
      <c r="D4200"/>
      <c r="E4200"/>
      <c r="F4200"/>
      <c r="G4200"/>
      <c r="H4200" s="19"/>
      <c r="I4200" s="19"/>
      <c r="J4200" s="19"/>
      <c r="M4200" s="7"/>
    </row>
    <row r="4201" spans="2:13" x14ac:dyDescent="0.25">
      <c r="B4201"/>
      <c r="C4201"/>
      <c r="D4201"/>
      <c r="E4201"/>
      <c r="F4201"/>
      <c r="G4201"/>
      <c r="H4201" s="19"/>
      <c r="I4201" s="19"/>
      <c r="J4201" s="19"/>
      <c r="M4201" s="7"/>
    </row>
    <row r="4202" spans="2:13" x14ac:dyDescent="0.25">
      <c r="B4202"/>
      <c r="C4202"/>
      <c r="D4202"/>
      <c r="E4202"/>
      <c r="F4202"/>
      <c r="G4202"/>
      <c r="H4202" s="19"/>
      <c r="I4202" s="19"/>
      <c r="J4202" s="19"/>
      <c r="M4202" s="7"/>
    </row>
    <row r="4203" spans="2:13" x14ac:dyDescent="0.25">
      <c r="B4203"/>
      <c r="C4203"/>
      <c r="D4203"/>
      <c r="E4203"/>
      <c r="F4203"/>
      <c r="G4203"/>
      <c r="H4203" s="19"/>
      <c r="I4203" s="19"/>
      <c r="J4203" s="19"/>
      <c r="M4203" s="7"/>
    </row>
    <row r="4204" spans="2:13" x14ac:dyDescent="0.25">
      <c r="B4204"/>
      <c r="C4204"/>
      <c r="D4204"/>
      <c r="E4204"/>
      <c r="F4204"/>
      <c r="G4204"/>
      <c r="H4204" s="19"/>
      <c r="I4204" s="19"/>
      <c r="J4204" s="19"/>
      <c r="M4204" s="7"/>
    </row>
    <row r="4205" spans="2:13" x14ac:dyDescent="0.25">
      <c r="B4205"/>
      <c r="C4205"/>
      <c r="D4205"/>
      <c r="E4205"/>
      <c r="F4205"/>
      <c r="G4205"/>
      <c r="H4205" s="19"/>
      <c r="I4205" s="19"/>
      <c r="J4205" s="19"/>
      <c r="M4205" s="7"/>
    </row>
    <row r="4206" spans="2:13" x14ac:dyDescent="0.25">
      <c r="B4206"/>
      <c r="C4206"/>
      <c r="D4206"/>
      <c r="E4206"/>
      <c r="F4206"/>
      <c r="G4206"/>
      <c r="H4206" s="19"/>
      <c r="I4206" s="19"/>
      <c r="J4206" s="19"/>
      <c r="M4206" s="7"/>
    </row>
    <row r="4207" spans="2:13" x14ac:dyDescent="0.25">
      <c r="B4207"/>
      <c r="C4207"/>
      <c r="D4207"/>
      <c r="E4207"/>
      <c r="F4207"/>
      <c r="G4207"/>
      <c r="H4207" s="19"/>
      <c r="I4207" s="19"/>
      <c r="J4207" s="19"/>
      <c r="M4207" s="7"/>
    </row>
    <row r="4208" spans="2:13" x14ac:dyDescent="0.25">
      <c r="B4208"/>
      <c r="C4208"/>
      <c r="D4208"/>
      <c r="E4208"/>
      <c r="F4208"/>
      <c r="G4208"/>
      <c r="H4208" s="19"/>
      <c r="I4208" s="19"/>
      <c r="J4208" s="19"/>
      <c r="M4208" s="7"/>
    </row>
    <row r="4209" spans="2:13" x14ac:dyDescent="0.25">
      <c r="B4209"/>
      <c r="C4209"/>
      <c r="D4209"/>
      <c r="E4209"/>
      <c r="F4209"/>
      <c r="G4209"/>
      <c r="H4209" s="19"/>
      <c r="I4209" s="19"/>
      <c r="J4209" s="19"/>
      <c r="M4209" s="7"/>
    </row>
    <row r="4210" spans="2:13" x14ac:dyDescent="0.25">
      <c r="B4210"/>
      <c r="C4210"/>
      <c r="D4210"/>
      <c r="E4210"/>
      <c r="F4210"/>
      <c r="G4210"/>
      <c r="H4210" s="19"/>
      <c r="I4210" s="19"/>
      <c r="J4210" s="19"/>
      <c r="M4210" s="7"/>
    </row>
    <row r="4211" spans="2:13" x14ac:dyDescent="0.25">
      <c r="B4211"/>
      <c r="C4211"/>
      <c r="D4211"/>
      <c r="E4211"/>
      <c r="F4211"/>
      <c r="G4211"/>
      <c r="H4211" s="19"/>
      <c r="I4211" s="19"/>
      <c r="J4211" s="19"/>
      <c r="M4211" s="7"/>
    </row>
    <row r="4212" spans="2:13" x14ac:dyDescent="0.25">
      <c r="B4212"/>
      <c r="C4212"/>
      <c r="D4212"/>
      <c r="E4212"/>
      <c r="F4212"/>
      <c r="G4212"/>
      <c r="H4212" s="19"/>
      <c r="I4212" s="19"/>
      <c r="J4212" s="19"/>
      <c r="M4212" s="7"/>
    </row>
    <row r="4213" spans="2:13" x14ac:dyDescent="0.25">
      <c r="B4213"/>
      <c r="C4213"/>
      <c r="D4213"/>
      <c r="E4213"/>
      <c r="F4213"/>
      <c r="G4213"/>
      <c r="H4213" s="19"/>
      <c r="I4213" s="19"/>
      <c r="J4213" s="19"/>
      <c r="M4213" s="7"/>
    </row>
    <row r="4214" spans="2:13" x14ac:dyDescent="0.25">
      <c r="B4214"/>
      <c r="C4214"/>
      <c r="D4214"/>
      <c r="E4214"/>
      <c r="F4214"/>
      <c r="G4214"/>
      <c r="H4214" s="19"/>
      <c r="I4214" s="19"/>
      <c r="J4214" s="19"/>
      <c r="M4214" s="7"/>
    </row>
    <row r="4215" spans="2:13" x14ac:dyDescent="0.25">
      <c r="B4215"/>
      <c r="C4215"/>
      <c r="D4215"/>
      <c r="E4215"/>
      <c r="F4215"/>
      <c r="G4215"/>
      <c r="H4215" s="19"/>
      <c r="I4215" s="19"/>
      <c r="J4215" s="19"/>
      <c r="M4215" s="7"/>
    </row>
    <row r="4216" spans="2:13" x14ac:dyDescent="0.25">
      <c r="B4216"/>
      <c r="C4216"/>
      <c r="D4216"/>
      <c r="E4216"/>
      <c r="F4216"/>
      <c r="G4216"/>
      <c r="H4216" s="19"/>
      <c r="I4216" s="19"/>
      <c r="J4216" s="19"/>
      <c r="M4216" s="7"/>
    </row>
    <row r="4217" spans="2:13" x14ac:dyDescent="0.25">
      <c r="B4217"/>
      <c r="C4217"/>
      <c r="D4217"/>
      <c r="E4217"/>
      <c r="F4217"/>
      <c r="G4217"/>
      <c r="H4217" s="19"/>
      <c r="I4217" s="19"/>
      <c r="J4217" s="19"/>
      <c r="M4217" s="7"/>
    </row>
    <row r="4218" spans="2:13" x14ac:dyDescent="0.25">
      <c r="B4218"/>
      <c r="C4218"/>
      <c r="D4218"/>
      <c r="E4218"/>
      <c r="F4218"/>
      <c r="G4218"/>
      <c r="H4218" s="19"/>
      <c r="I4218" s="19"/>
      <c r="J4218" s="19"/>
      <c r="M4218" s="7"/>
    </row>
    <row r="4219" spans="2:13" x14ac:dyDescent="0.25">
      <c r="B4219"/>
      <c r="C4219"/>
      <c r="D4219"/>
      <c r="E4219"/>
      <c r="F4219"/>
      <c r="G4219"/>
      <c r="H4219" s="19"/>
      <c r="I4219" s="19"/>
      <c r="J4219" s="19"/>
      <c r="M4219" s="7"/>
    </row>
    <row r="4220" spans="2:13" x14ac:dyDescent="0.25">
      <c r="B4220"/>
      <c r="C4220"/>
      <c r="D4220"/>
      <c r="E4220"/>
      <c r="F4220"/>
      <c r="G4220"/>
      <c r="H4220" s="19"/>
      <c r="I4220" s="19"/>
      <c r="J4220" s="19"/>
      <c r="M4220" s="7"/>
    </row>
    <row r="4221" spans="2:13" x14ac:dyDescent="0.25">
      <c r="B4221"/>
      <c r="C4221"/>
      <c r="D4221"/>
      <c r="E4221"/>
      <c r="F4221"/>
      <c r="G4221"/>
      <c r="H4221" s="19"/>
      <c r="I4221" s="19"/>
      <c r="J4221" s="19"/>
      <c r="M4221" s="7"/>
    </row>
    <row r="4222" spans="2:13" x14ac:dyDescent="0.25">
      <c r="B4222"/>
      <c r="C4222"/>
      <c r="D4222"/>
      <c r="E4222"/>
      <c r="F4222"/>
      <c r="G4222"/>
      <c r="H4222" s="19"/>
      <c r="I4222" s="19"/>
      <c r="J4222" s="19"/>
      <c r="M4222" s="7"/>
    </row>
    <row r="4223" spans="2:13" x14ac:dyDescent="0.25">
      <c r="B4223"/>
      <c r="C4223"/>
      <c r="D4223"/>
      <c r="E4223"/>
      <c r="F4223"/>
      <c r="G4223"/>
      <c r="H4223" s="19"/>
      <c r="I4223" s="19"/>
      <c r="J4223" s="19"/>
      <c r="M4223" s="7"/>
    </row>
    <row r="4224" spans="2:13" x14ac:dyDescent="0.25">
      <c r="B4224"/>
      <c r="C4224"/>
      <c r="D4224"/>
      <c r="E4224"/>
      <c r="F4224"/>
      <c r="G4224"/>
      <c r="H4224" s="19"/>
      <c r="I4224" s="19"/>
      <c r="J4224" s="19"/>
      <c r="M4224" s="7"/>
    </row>
    <row r="4225" spans="2:13" x14ac:dyDescent="0.25">
      <c r="B4225"/>
      <c r="C4225"/>
      <c r="D4225"/>
      <c r="E4225"/>
      <c r="F4225"/>
      <c r="G4225"/>
      <c r="H4225" s="19"/>
      <c r="I4225" s="19"/>
      <c r="J4225" s="19"/>
      <c r="M4225" s="7"/>
    </row>
    <row r="4226" spans="2:13" x14ac:dyDescent="0.25">
      <c r="B4226"/>
      <c r="C4226"/>
      <c r="D4226"/>
      <c r="E4226"/>
      <c r="F4226"/>
      <c r="G4226"/>
      <c r="H4226" s="19"/>
      <c r="I4226" s="19"/>
      <c r="J4226" s="19"/>
      <c r="M4226" s="7"/>
    </row>
    <row r="4227" spans="2:13" x14ac:dyDescent="0.25">
      <c r="B4227"/>
      <c r="C4227"/>
      <c r="D4227"/>
      <c r="E4227"/>
      <c r="F4227"/>
      <c r="G4227"/>
      <c r="H4227" s="19"/>
      <c r="I4227" s="19"/>
      <c r="J4227" s="19"/>
      <c r="M4227" s="7"/>
    </row>
    <row r="4228" spans="2:13" x14ac:dyDescent="0.25">
      <c r="B4228"/>
      <c r="C4228"/>
      <c r="D4228"/>
      <c r="E4228"/>
      <c r="F4228"/>
      <c r="G4228"/>
      <c r="H4228" s="19"/>
      <c r="I4228" s="19"/>
      <c r="J4228" s="19"/>
      <c r="M4228" s="7"/>
    </row>
    <row r="4229" spans="2:13" x14ac:dyDescent="0.25">
      <c r="B4229"/>
      <c r="C4229"/>
      <c r="D4229"/>
      <c r="E4229"/>
      <c r="F4229"/>
      <c r="G4229"/>
      <c r="H4229" s="19"/>
      <c r="I4229" s="19"/>
      <c r="J4229" s="19"/>
      <c r="M4229" s="7"/>
    </row>
    <row r="4230" spans="2:13" x14ac:dyDescent="0.25">
      <c r="B4230"/>
      <c r="C4230"/>
      <c r="D4230"/>
      <c r="E4230"/>
      <c r="F4230"/>
      <c r="G4230"/>
      <c r="H4230" s="19"/>
      <c r="I4230" s="19"/>
      <c r="J4230" s="19"/>
      <c r="M4230" s="7"/>
    </row>
    <row r="4231" spans="2:13" x14ac:dyDescent="0.25">
      <c r="B4231"/>
      <c r="C4231"/>
      <c r="D4231"/>
      <c r="E4231"/>
      <c r="F4231"/>
      <c r="G4231"/>
      <c r="H4231" s="19"/>
      <c r="I4231" s="19"/>
      <c r="J4231" s="19"/>
      <c r="M4231" s="7"/>
    </row>
    <row r="4232" spans="2:13" x14ac:dyDescent="0.25">
      <c r="B4232"/>
      <c r="C4232"/>
      <c r="D4232"/>
      <c r="E4232"/>
      <c r="F4232"/>
      <c r="G4232"/>
      <c r="H4232" s="19"/>
      <c r="I4232" s="19"/>
      <c r="J4232" s="19"/>
      <c r="M4232" s="7"/>
    </row>
    <row r="4233" spans="2:13" x14ac:dyDescent="0.25">
      <c r="B4233"/>
      <c r="C4233"/>
      <c r="D4233"/>
      <c r="E4233"/>
      <c r="F4233"/>
      <c r="G4233"/>
      <c r="H4233" s="19"/>
      <c r="I4233" s="19"/>
      <c r="J4233" s="19"/>
      <c r="M4233" s="7"/>
    </row>
    <row r="4234" spans="2:13" x14ac:dyDescent="0.25">
      <c r="B4234"/>
      <c r="C4234"/>
      <c r="D4234"/>
      <c r="E4234"/>
      <c r="F4234"/>
      <c r="G4234"/>
      <c r="H4234" s="19"/>
      <c r="I4234" s="19"/>
      <c r="J4234" s="19"/>
      <c r="M4234" s="7"/>
    </row>
    <row r="4235" spans="2:13" x14ac:dyDescent="0.25">
      <c r="B4235"/>
      <c r="C4235"/>
      <c r="D4235"/>
      <c r="E4235"/>
      <c r="F4235"/>
      <c r="G4235"/>
      <c r="H4235" s="19"/>
      <c r="I4235" s="19"/>
      <c r="J4235" s="19"/>
      <c r="M4235" s="7"/>
    </row>
    <row r="4236" spans="2:13" x14ac:dyDescent="0.25">
      <c r="B4236"/>
      <c r="C4236"/>
      <c r="D4236"/>
      <c r="E4236"/>
      <c r="F4236"/>
      <c r="G4236"/>
      <c r="H4236" s="19"/>
      <c r="I4236" s="19"/>
      <c r="J4236" s="19"/>
      <c r="M4236" s="7"/>
    </row>
    <row r="4237" spans="2:13" x14ac:dyDescent="0.25">
      <c r="B4237"/>
      <c r="C4237"/>
      <c r="D4237"/>
      <c r="E4237"/>
      <c r="F4237"/>
      <c r="G4237"/>
      <c r="H4237" s="19"/>
      <c r="I4237" s="19"/>
      <c r="J4237" s="19"/>
      <c r="M4237" s="7"/>
    </row>
    <row r="4238" spans="2:13" x14ac:dyDescent="0.25">
      <c r="B4238"/>
      <c r="C4238"/>
      <c r="D4238"/>
      <c r="E4238"/>
      <c r="F4238"/>
      <c r="G4238"/>
      <c r="H4238" s="19"/>
      <c r="I4238" s="19"/>
      <c r="J4238" s="19"/>
      <c r="M4238" s="7"/>
    </row>
    <row r="4239" spans="2:13" x14ac:dyDescent="0.25">
      <c r="B4239"/>
      <c r="C4239"/>
      <c r="D4239"/>
      <c r="E4239"/>
      <c r="F4239"/>
      <c r="G4239"/>
      <c r="H4239" s="19"/>
      <c r="I4239" s="19"/>
      <c r="J4239" s="19"/>
      <c r="M4239" s="7"/>
    </row>
    <row r="4240" spans="2:13" x14ac:dyDescent="0.25">
      <c r="B4240"/>
      <c r="C4240"/>
      <c r="D4240"/>
      <c r="E4240"/>
      <c r="F4240"/>
      <c r="G4240"/>
      <c r="H4240" s="19"/>
      <c r="I4240" s="19"/>
      <c r="J4240" s="19"/>
      <c r="M4240" s="7"/>
    </row>
    <row r="4241" spans="2:13" x14ac:dyDescent="0.25">
      <c r="B4241"/>
      <c r="C4241"/>
      <c r="D4241"/>
      <c r="E4241"/>
      <c r="F4241"/>
      <c r="G4241"/>
      <c r="H4241" s="19"/>
      <c r="I4241" s="19"/>
      <c r="J4241" s="19"/>
      <c r="M4241" s="7"/>
    </row>
    <row r="4242" spans="2:13" x14ac:dyDescent="0.25">
      <c r="B4242"/>
      <c r="C4242"/>
      <c r="D4242"/>
      <c r="E4242"/>
      <c r="F4242"/>
      <c r="G4242"/>
      <c r="H4242" s="19"/>
      <c r="I4242" s="19"/>
      <c r="J4242" s="19"/>
      <c r="M4242" s="7"/>
    </row>
    <row r="4243" spans="2:13" x14ac:dyDescent="0.25">
      <c r="B4243"/>
      <c r="C4243"/>
      <c r="D4243"/>
      <c r="E4243"/>
      <c r="F4243"/>
      <c r="G4243"/>
      <c r="H4243" s="19"/>
      <c r="I4243" s="19"/>
      <c r="J4243" s="19"/>
      <c r="M4243" s="7"/>
    </row>
    <row r="4244" spans="2:13" x14ac:dyDescent="0.25">
      <c r="B4244"/>
      <c r="C4244"/>
      <c r="D4244"/>
      <c r="E4244"/>
      <c r="F4244"/>
      <c r="G4244"/>
      <c r="H4244" s="19"/>
      <c r="I4244" s="19"/>
      <c r="J4244" s="19"/>
      <c r="M4244" s="7"/>
    </row>
    <row r="4245" spans="2:13" x14ac:dyDescent="0.25">
      <c r="B4245"/>
      <c r="C4245"/>
      <c r="D4245"/>
      <c r="E4245"/>
      <c r="F4245"/>
      <c r="G4245"/>
      <c r="H4245" s="19"/>
      <c r="I4245" s="19"/>
      <c r="J4245" s="19"/>
      <c r="M4245" s="7"/>
    </row>
    <row r="4246" spans="2:13" x14ac:dyDescent="0.25">
      <c r="B4246"/>
      <c r="C4246"/>
      <c r="D4246"/>
      <c r="E4246"/>
      <c r="F4246"/>
      <c r="G4246"/>
      <c r="H4246" s="19"/>
      <c r="I4246" s="19"/>
      <c r="J4246" s="19"/>
      <c r="M4246" s="7"/>
    </row>
    <row r="4247" spans="2:13" x14ac:dyDescent="0.25">
      <c r="B4247"/>
      <c r="C4247"/>
      <c r="D4247"/>
      <c r="E4247"/>
      <c r="F4247"/>
      <c r="G4247"/>
      <c r="H4247" s="19"/>
      <c r="I4247" s="19"/>
      <c r="J4247" s="19"/>
      <c r="M4247" s="7"/>
    </row>
    <row r="4248" spans="2:13" x14ac:dyDescent="0.25">
      <c r="B4248"/>
      <c r="C4248"/>
      <c r="D4248"/>
      <c r="E4248"/>
      <c r="F4248"/>
      <c r="G4248"/>
      <c r="H4248" s="19"/>
      <c r="I4248" s="19"/>
      <c r="J4248" s="19"/>
      <c r="M4248" s="7"/>
    </row>
    <row r="4249" spans="2:13" x14ac:dyDescent="0.25">
      <c r="B4249"/>
      <c r="C4249"/>
      <c r="D4249"/>
      <c r="E4249"/>
      <c r="F4249"/>
      <c r="G4249"/>
      <c r="H4249" s="19"/>
      <c r="I4249" s="19"/>
      <c r="J4249" s="19"/>
      <c r="M4249" s="7"/>
    </row>
    <row r="4250" spans="2:13" x14ac:dyDescent="0.25">
      <c r="B4250"/>
      <c r="C4250"/>
      <c r="D4250"/>
      <c r="E4250"/>
      <c r="F4250"/>
      <c r="G4250"/>
      <c r="H4250" s="19"/>
      <c r="I4250" s="19"/>
      <c r="J4250" s="19"/>
      <c r="M4250" s="7"/>
    </row>
    <row r="4251" spans="2:13" x14ac:dyDescent="0.25">
      <c r="B4251"/>
      <c r="C4251"/>
      <c r="D4251"/>
      <c r="E4251"/>
      <c r="F4251"/>
      <c r="G4251"/>
      <c r="H4251" s="19"/>
      <c r="I4251" s="19"/>
      <c r="J4251" s="19"/>
      <c r="M4251" s="7"/>
    </row>
    <row r="4252" spans="2:13" x14ac:dyDescent="0.25">
      <c r="B4252"/>
      <c r="C4252"/>
      <c r="D4252"/>
      <c r="E4252"/>
      <c r="F4252"/>
      <c r="G4252"/>
      <c r="H4252" s="19"/>
      <c r="I4252" s="19"/>
      <c r="J4252" s="19"/>
      <c r="M4252" s="7"/>
    </row>
    <row r="4253" spans="2:13" x14ac:dyDescent="0.25">
      <c r="B4253"/>
      <c r="C4253"/>
      <c r="D4253"/>
      <c r="E4253"/>
      <c r="F4253"/>
      <c r="G4253"/>
      <c r="H4253" s="19"/>
      <c r="I4253" s="19"/>
      <c r="J4253" s="19"/>
      <c r="M4253" s="7"/>
    </row>
    <row r="4254" spans="2:13" x14ac:dyDescent="0.25">
      <c r="B4254"/>
      <c r="C4254"/>
      <c r="D4254"/>
      <c r="E4254"/>
      <c r="F4254"/>
      <c r="G4254"/>
      <c r="H4254" s="19"/>
      <c r="I4254" s="19"/>
      <c r="J4254" s="19"/>
      <c r="M4254" s="7"/>
    </row>
    <row r="4255" spans="2:13" x14ac:dyDescent="0.25">
      <c r="B4255"/>
      <c r="C4255"/>
      <c r="D4255"/>
      <c r="E4255"/>
      <c r="F4255"/>
      <c r="G4255"/>
      <c r="H4255" s="19"/>
      <c r="I4255" s="19"/>
      <c r="J4255" s="19"/>
      <c r="M4255" s="7"/>
    </row>
    <row r="4256" spans="2:13" x14ac:dyDescent="0.25">
      <c r="B4256"/>
      <c r="C4256"/>
      <c r="D4256"/>
      <c r="E4256"/>
      <c r="F4256"/>
      <c r="G4256"/>
      <c r="H4256" s="19"/>
      <c r="I4256" s="19"/>
      <c r="J4256" s="19"/>
      <c r="M4256" s="7"/>
    </row>
    <row r="4257" spans="2:13" x14ac:dyDescent="0.25">
      <c r="B4257"/>
      <c r="C4257"/>
      <c r="D4257"/>
      <c r="E4257"/>
      <c r="F4257"/>
      <c r="G4257"/>
      <c r="H4257" s="19"/>
      <c r="I4257" s="19"/>
      <c r="J4257" s="19"/>
      <c r="M4257" s="7"/>
    </row>
    <row r="4258" spans="2:13" x14ac:dyDescent="0.25">
      <c r="B4258"/>
      <c r="C4258"/>
      <c r="D4258"/>
      <c r="E4258"/>
      <c r="F4258"/>
      <c r="G4258"/>
      <c r="H4258" s="19"/>
      <c r="I4258" s="19"/>
      <c r="J4258" s="19"/>
      <c r="M4258" s="7"/>
    </row>
    <row r="4259" spans="2:13" x14ac:dyDescent="0.25">
      <c r="B4259"/>
      <c r="C4259"/>
      <c r="D4259"/>
      <c r="E4259"/>
      <c r="F4259"/>
      <c r="G4259"/>
      <c r="H4259" s="19"/>
      <c r="I4259" s="19"/>
      <c r="J4259" s="19"/>
      <c r="M4259" s="7"/>
    </row>
    <row r="4260" spans="2:13" x14ac:dyDescent="0.25">
      <c r="B4260"/>
      <c r="C4260"/>
      <c r="D4260"/>
      <c r="E4260"/>
      <c r="F4260"/>
      <c r="G4260"/>
      <c r="H4260" s="19"/>
      <c r="I4260" s="19"/>
      <c r="J4260" s="19"/>
      <c r="M4260" s="7"/>
    </row>
    <row r="4261" spans="2:13" x14ac:dyDescent="0.25">
      <c r="B4261"/>
      <c r="C4261"/>
      <c r="D4261"/>
      <c r="E4261"/>
      <c r="F4261"/>
      <c r="G4261"/>
      <c r="H4261" s="19"/>
      <c r="I4261" s="19"/>
      <c r="J4261" s="19"/>
      <c r="M4261" s="7"/>
    </row>
    <row r="4262" spans="2:13" x14ac:dyDescent="0.25">
      <c r="B4262"/>
      <c r="C4262"/>
      <c r="D4262"/>
      <c r="E4262"/>
      <c r="F4262"/>
      <c r="G4262"/>
      <c r="H4262" s="19"/>
      <c r="I4262" s="19"/>
      <c r="J4262" s="19"/>
      <c r="M4262" s="7"/>
    </row>
    <row r="4263" spans="2:13" x14ac:dyDescent="0.25">
      <c r="B4263"/>
      <c r="C4263"/>
      <c r="D4263"/>
      <c r="E4263"/>
      <c r="F4263"/>
      <c r="G4263"/>
      <c r="H4263" s="19"/>
      <c r="I4263" s="19"/>
      <c r="J4263" s="19"/>
      <c r="M4263" s="7"/>
    </row>
    <row r="4264" spans="2:13" x14ac:dyDescent="0.25">
      <c r="B4264"/>
      <c r="C4264"/>
      <c r="D4264"/>
      <c r="E4264"/>
      <c r="F4264"/>
      <c r="G4264"/>
      <c r="H4264" s="19"/>
      <c r="I4264" s="19"/>
      <c r="J4264" s="19"/>
      <c r="M4264" s="7"/>
    </row>
    <row r="4265" spans="2:13" x14ac:dyDescent="0.25">
      <c r="B4265"/>
      <c r="C4265"/>
      <c r="D4265"/>
      <c r="E4265"/>
      <c r="F4265"/>
      <c r="G4265"/>
      <c r="H4265" s="19"/>
      <c r="I4265" s="19"/>
      <c r="J4265" s="19"/>
      <c r="M4265" s="7"/>
    </row>
    <row r="4266" spans="2:13" x14ac:dyDescent="0.25">
      <c r="B4266"/>
      <c r="C4266"/>
      <c r="D4266"/>
      <c r="E4266"/>
      <c r="F4266"/>
      <c r="G4266"/>
      <c r="H4266" s="19"/>
      <c r="I4266" s="19"/>
      <c r="J4266" s="19"/>
      <c r="M4266" s="7"/>
    </row>
    <row r="4267" spans="2:13" x14ac:dyDescent="0.25">
      <c r="B4267"/>
      <c r="C4267"/>
      <c r="D4267"/>
      <c r="E4267"/>
      <c r="F4267"/>
      <c r="G4267"/>
      <c r="H4267" s="19"/>
      <c r="I4267" s="19"/>
      <c r="J4267" s="19"/>
      <c r="M4267" s="7"/>
    </row>
    <row r="4268" spans="2:13" x14ac:dyDescent="0.25">
      <c r="B4268"/>
      <c r="C4268"/>
      <c r="D4268"/>
      <c r="E4268"/>
      <c r="F4268"/>
      <c r="G4268"/>
      <c r="H4268" s="19"/>
      <c r="I4268" s="19"/>
      <c r="J4268" s="19"/>
      <c r="M4268" s="7"/>
    </row>
    <row r="4269" spans="2:13" x14ac:dyDescent="0.25">
      <c r="B4269"/>
      <c r="C4269"/>
      <c r="D4269"/>
      <c r="E4269"/>
      <c r="F4269"/>
      <c r="G4269"/>
      <c r="H4269" s="19"/>
      <c r="I4269" s="19"/>
      <c r="J4269" s="19"/>
      <c r="M4269" s="7"/>
    </row>
    <row r="4270" spans="2:13" x14ac:dyDescent="0.25">
      <c r="B4270"/>
      <c r="C4270"/>
      <c r="D4270"/>
      <c r="E4270"/>
      <c r="F4270"/>
      <c r="G4270"/>
      <c r="H4270" s="19"/>
      <c r="I4270" s="19"/>
      <c r="J4270" s="19"/>
      <c r="M4270" s="7"/>
    </row>
    <row r="4271" spans="2:13" x14ac:dyDescent="0.25">
      <c r="B4271"/>
      <c r="C4271"/>
      <c r="D4271"/>
      <c r="E4271"/>
      <c r="F4271"/>
      <c r="G4271"/>
      <c r="H4271" s="19"/>
      <c r="I4271" s="19"/>
      <c r="J4271" s="19"/>
      <c r="M4271" s="7"/>
    </row>
    <row r="4272" spans="2:13" x14ac:dyDescent="0.25">
      <c r="B4272"/>
      <c r="C4272"/>
      <c r="D4272"/>
      <c r="E4272"/>
      <c r="F4272"/>
      <c r="G4272"/>
      <c r="H4272" s="19"/>
      <c r="I4272" s="19"/>
      <c r="J4272" s="19"/>
      <c r="M4272" s="7"/>
    </row>
    <row r="4273" spans="2:13" x14ac:dyDescent="0.25">
      <c r="B4273"/>
      <c r="C4273"/>
      <c r="D4273"/>
      <c r="E4273"/>
      <c r="F4273"/>
      <c r="G4273"/>
      <c r="H4273" s="19"/>
      <c r="I4273" s="19"/>
      <c r="J4273" s="19"/>
      <c r="M4273" s="7"/>
    </row>
    <row r="4274" spans="2:13" x14ac:dyDescent="0.25">
      <c r="B4274"/>
      <c r="C4274"/>
      <c r="D4274"/>
      <c r="E4274"/>
      <c r="F4274"/>
      <c r="G4274"/>
      <c r="H4274" s="19"/>
      <c r="I4274" s="19"/>
      <c r="J4274" s="19"/>
      <c r="M4274" s="7"/>
    </row>
    <row r="4275" spans="2:13" x14ac:dyDescent="0.25">
      <c r="B4275"/>
      <c r="C4275"/>
      <c r="D4275"/>
      <c r="E4275"/>
      <c r="F4275"/>
      <c r="G4275"/>
      <c r="H4275" s="19"/>
      <c r="I4275" s="19"/>
      <c r="J4275" s="19"/>
      <c r="M4275" s="7"/>
    </row>
    <row r="4276" spans="2:13" x14ac:dyDescent="0.25">
      <c r="B4276"/>
      <c r="C4276"/>
      <c r="D4276"/>
      <c r="E4276"/>
      <c r="F4276"/>
      <c r="G4276"/>
      <c r="H4276" s="19"/>
      <c r="I4276" s="19"/>
      <c r="J4276" s="19"/>
      <c r="M4276" s="7"/>
    </row>
    <row r="4277" spans="2:13" x14ac:dyDescent="0.25">
      <c r="B4277"/>
      <c r="C4277"/>
      <c r="D4277"/>
      <c r="E4277"/>
      <c r="F4277"/>
      <c r="G4277"/>
      <c r="H4277" s="19"/>
      <c r="I4277" s="19"/>
      <c r="J4277" s="19"/>
      <c r="M4277" s="7"/>
    </row>
    <row r="4278" spans="2:13" x14ac:dyDescent="0.25">
      <c r="B4278"/>
      <c r="C4278"/>
      <c r="D4278"/>
      <c r="E4278"/>
      <c r="F4278"/>
      <c r="G4278"/>
      <c r="H4278" s="19"/>
      <c r="I4278" s="19"/>
      <c r="J4278" s="19"/>
      <c r="M4278" s="7"/>
    </row>
    <row r="4279" spans="2:13" x14ac:dyDescent="0.25">
      <c r="B4279"/>
      <c r="C4279"/>
      <c r="D4279"/>
      <c r="E4279"/>
      <c r="F4279"/>
      <c r="G4279"/>
      <c r="H4279" s="19"/>
      <c r="I4279" s="19"/>
      <c r="J4279" s="19"/>
      <c r="M4279" s="7"/>
    </row>
    <row r="4280" spans="2:13" x14ac:dyDescent="0.25">
      <c r="B4280"/>
      <c r="C4280"/>
      <c r="D4280"/>
      <c r="E4280"/>
      <c r="F4280"/>
      <c r="G4280"/>
      <c r="H4280" s="19"/>
      <c r="I4280" s="19"/>
      <c r="J4280" s="19"/>
      <c r="M4280" s="7"/>
    </row>
    <row r="4281" spans="2:13" x14ac:dyDescent="0.25">
      <c r="B4281"/>
      <c r="C4281"/>
      <c r="D4281"/>
      <c r="E4281"/>
      <c r="F4281"/>
      <c r="G4281"/>
      <c r="H4281" s="19"/>
      <c r="I4281" s="19"/>
      <c r="J4281" s="19"/>
      <c r="M4281" s="7"/>
    </row>
    <row r="4282" spans="2:13" x14ac:dyDescent="0.25">
      <c r="B4282"/>
      <c r="C4282"/>
      <c r="D4282"/>
      <c r="E4282"/>
      <c r="F4282"/>
      <c r="G4282"/>
      <c r="H4282" s="19"/>
      <c r="I4282" s="19"/>
      <c r="J4282" s="19"/>
      <c r="M4282" s="7"/>
    </row>
    <row r="4283" spans="2:13" x14ac:dyDescent="0.25">
      <c r="B4283"/>
      <c r="C4283"/>
      <c r="D4283"/>
      <c r="E4283"/>
      <c r="F4283"/>
      <c r="G4283"/>
      <c r="H4283" s="19"/>
      <c r="I4283" s="19"/>
      <c r="J4283" s="19"/>
      <c r="M4283" s="7"/>
    </row>
    <row r="4284" spans="2:13" x14ac:dyDescent="0.25">
      <c r="B4284"/>
      <c r="C4284"/>
      <c r="D4284"/>
      <c r="E4284"/>
      <c r="F4284"/>
      <c r="G4284"/>
      <c r="H4284" s="19"/>
      <c r="I4284" s="19"/>
      <c r="J4284" s="19"/>
      <c r="M4284" s="7"/>
    </row>
    <row r="4285" spans="2:13" x14ac:dyDescent="0.25">
      <c r="B4285"/>
      <c r="C4285"/>
      <c r="D4285"/>
      <c r="E4285"/>
      <c r="F4285"/>
      <c r="G4285"/>
      <c r="H4285" s="19"/>
      <c r="I4285" s="19"/>
      <c r="J4285" s="19"/>
      <c r="M4285" s="7"/>
    </row>
    <row r="4286" spans="2:13" x14ac:dyDescent="0.25">
      <c r="B4286"/>
      <c r="C4286"/>
      <c r="D4286"/>
      <c r="E4286"/>
      <c r="F4286"/>
      <c r="G4286"/>
      <c r="H4286" s="19"/>
      <c r="I4286" s="19"/>
      <c r="J4286" s="19"/>
      <c r="M4286" s="7"/>
    </row>
    <row r="4287" spans="2:13" x14ac:dyDescent="0.25">
      <c r="B4287"/>
      <c r="C4287"/>
      <c r="D4287"/>
      <c r="E4287"/>
      <c r="F4287"/>
      <c r="G4287"/>
      <c r="H4287" s="19"/>
      <c r="I4287" s="19"/>
      <c r="J4287" s="19"/>
      <c r="M4287" s="7"/>
    </row>
    <row r="4288" spans="2:13" x14ac:dyDescent="0.25">
      <c r="B4288"/>
      <c r="C4288"/>
      <c r="D4288"/>
      <c r="E4288"/>
      <c r="F4288"/>
      <c r="G4288"/>
      <c r="H4288" s="19"/>
      <c r="I4288" s="19"/>
      <c r="J4288" s="19"/>
      <c r="M4288" s="7"/>
    </row>
    <row r="4289" spans="2:13" x14ac:dyDescent="0.25">
      <c r="B4289"/>
      <c r="C4289"/>
      <c r="D4289"/>
      <c r="E4289"/>
      <c r="F4289"/>
      <c r="G4289"/>
      <c r="H4289" s="19"/>
      <c r="I4289" s="19"/>
      <c r="J4289" s="19"/>
      <c r="M4289" s="7"/>
    </row>
    <row r="4290" spans="2:13" x14ac:dyDescent="0.25">
      <c r="B4290"/>
      <c r="C4290"/>
      <c r="D4290"/>
      <c r="E4290"/>
      <c r="F4290"/>
      <c r="G4290"/>
      <c r="H4290" s="19"/>
      <c r="I4290" s="19"/>
      <c r="J4290" s="19"/>
      <c r="M4290" s="7"/>
    </row>
    <row r="4291" spans="2:13" x14ac:dyDescent="0.25">
      <c r="B4291"/>
      <c r="C4291"/>
      <c r="D4291"/>
      <c r="E4291"/>
      <c r="F4291"/>
      <c r="G4291"/>
      <c r="H4291" s="19"/>
      <c r="I4291" s="19"/>
      <c r="J4291" s="19"/>
      <c r="M4291" s="7"/>
    </row>
    <row r="4292" spans="2:13" x14ac:dyDescent="0.25">
      <c r="B4292"/>
      <c r="C4292"/>
      <c r="D4292"/>
      <c r="E4292"/>
      <c r="F4292"/>
      <c r="G4292"/>
      <c r="H4292" s="19"/>
      <c r="I4292" s="19"/>
      <c r="J4292" s="19"/>
      <c r="M4292" s="7"/>
    </row>
    <row r="4293" spans="2:13" x14ac:dyDescent="0.25">
      <c r="B4293"/>
      <c r="C4293"/>
      <c r="D4293"/>
      <c r="E4293"/>
      <c r="F4293"/>
      <c r="G4293"/>
      <c r="H4293" s="19"/>
      <c r="I4293" s="19"/>
      <c r="J4293" s="19"/>
      <c r="M4293" s="7"/>
    </row>
    <row r="4294" spans="2:13" x14ac:dyDescent="0.25">
      <c r="B4294"/>
      <c r="C4294"/>
      <c r="D4294"/>
      <c r="E4294"/>
      <c r="F4294"/>
      <c r="G4294"/>
      <c r="H4294" s="19"/>
      <c r="I4294" s="19"/>
      <c r="J4294" s="19"/>
      <c r="M4294" s="7"/>
    </row>
    <row r="4295" spans="2:13" x14ac:dyDescent="0.25">
      <c r="B4295"/>
      <c r="C4295"/>
      <c r="D4295"/>
      <c r="E4295"/>
      <c r="F4295"/>
      <c r="G4295"/>
      <c r="H4295" s="19"/>
      <c r="I4295" s="19"/>
      <c r="J4295" s="19"/>
      <c r="M4295" s="7"/>
    </row>
    <row r="4296" spans="2:13" x14ac:dyDescent="0.25">
      <c r="B4296"/>
      <c r="C4296"/>
      <c r="D4296"/>
      <c r="E4296"/>
      <c r="F4296"/>
      <c r="G4296"/>
      <c r="H4296" s="19"/>
      <c r="I4296" s="19"/>
      <c r="J4296" s="19"/>
      <c r="M4296" s="7"/>
    </row>
    <row r="4297" spans="2:13" x14ac:dyDescent="0.25">
      <c r="B4297"/>
      <c r="C4297"/>
      <c r="D4297"/>
      <c r="E4297"/>
      <c r="F4297"/>
      <c r="G4297"/>
      <c r="H4297" s="19"/>
      <c r="I4297" s="19"/>
      <c r="J4297" s="19"/>
      <c r="M4297" s="7"/>
    </row>
    <row r="4298" spans="2:13" x14ac:dyDescent="0.25">
      <c r="B4298"/>
      <c r="C4298"/>
      <c r="D4298"/>
      <c r="E4298"/>
      <c r="F4298"/>
      <c r="G4298"/>
      <c r="H4298" s="19"/>
      <c r="I4298" s="19"/>
      <c r="J4298" s="19"/>
      <c r="M4298" s="7"/>
    </row>
    <row r="4299" spans="2:13" x14ac:dyDescent="0.25">
      <c r="B4299"/>
      <c r="C4299"/>
      <c r="D4299"/>
      <c r="E4299"/>
      <c r="F4299"/>
      <c r="G4299"/>
      <c r="H4299" s="19"/>
      <c r="I4299" s="19"/>
      <c r="J4299" s="19"/>
      <c r="M4299" s="7"/>
    </row>
    <row r="4300" spans="2:13" x14ac:dyDescent="0.25">
      <c r="B4300"/>
      <c r="C4300"/>
      <c r="D4300"/>
      <c r="E4300"/>
      <c r="F4300"/>
      <c r="G4300"/>
      <c r="H4300" s="19"/>
      <c r="I4300" s="19"/>
      <c r="J4300" s="19"/>
      <c r="M4300" s="7"/>
    </row>
    <row r="4301" spans="2:13" x14ac:dyDescent="0.25">
      <c r="B4301"/>
      <c r="C4301"/>
      <c r="D4301"/>
      <c r="E4301"/>
      <c r="F4301"/>
      <c r="G4301"/>
      <c r="H4301" s="19"/>
      <c r="I4301" s="19"/>
      <c r="J4301" s="19"/>
      <c r="M4301" s="7"/>
    </row>
    <row r="4302" spans="2:13" x14ac:dyDescent="0.25">
      <c r="B4302"/>
      <c r="C4302"/>
      <c r="D4302"/>
      <c r="E4302"/>
      <c r="F4302"/>
      <c r="G4302"/>
      <c r="H4302" s="19"/>
      <c r="I4302" s="19"/>
      <c r="J4302" s="19"/>
      <c r="M4302" s="7"/>
    </row>
    <row r="4303" spans="2:13" x14ac:dyDescent="0.25">
      <c r="B4303"/>
      <c r="C4303"/>
      <c r="D4303"/>
      <c r="E4303"/>
      <c r="F4303"/>
      <c r="G4303"/>
      <c r="H4303" s="19"/>
      <c r="I4303" s="19"/>
      <c r="J4303" s="19"/>
      <c r="M4303" s="7"/>
    </row>
    <row r="4304" spans="2:13" x14ac:dyDescent="0.25">
      <c r="B4304"/>
      <c r="C4304"/>
      <c r="D4304"/>
      <c r="E4304"/>
      <c r="F4304"/>
      <c r="G4304"/>
      <c r="H4304" s="19"/>
      <c r="I4304" s="19"/>
      <c r="J4304" s="19"/>
      <c r="M4304" s="7"/>
    </row>
    <row r="4305" spans="2:13" x14ac:dyDescent="0.25">
      <c r="B4305"/>
      <c r="C4305"/>
      <c r="D4305"/>
      <c r="E4305"/>
      <c r="F4305"/>
      <c r="G4305"/>
      <c r="H4305" s="19"/>
      <c r="I4305" s="19"/>
      <c r="J4305" s="19"/>
      <c r="M4305" s="7"/>
    </row>
    <row r="4306" spans="2:13" x14ac:dyDescent="0.25">
      <c r="B4306"/>
      <c r="C4306"/>
      <c r="D4306"/>
      <c r="E4306"/>
      <c r="F4306"/>
      <c r="G4306"/>
      <c r="H4306" s="19"/>
      <c r="I4306" s="19"/>
      <c r="J4306" s="19"/>
      <c r="M4306" s="7"/>
    </row>
    <row r="4307" spans="2:13" x14ac:dyDescent="0.25">
      <c r="B4307"/>
      <c r="C4307"/>
      <c r="D4307"/>
      <c r="E4307"/>
      <c r="F4307"/>
      <c r="G4307"/>
      <c r="H4307" s="19"/>
      <c r="I4307" s="19"/>
      <c r="J4307" s="19"/>
      <c r="M4307" s="7"/>
    </row>
    <row r="4308" spans="2:13" x14ac:dyDescent="0.25">
      <c r="B4308"/>
      <c r="C4308"/>
      <c r="D4308"/>
      <c r="E4308"/>
      <c r="F4308"/>
      <c r="G4308"/>
      <c r="H4308" s="19"/>
      <c r="I4308" s="19"/>
      <c r="J4308" s="19"/>
      <c r="M4308" s="7"/>
    </row>
    <row r="4309" spans="2:13" x14ac:dyDescent="0.25">
      <c r="B4309"/>
      <c r="C4309"/>
      <c r="D4309"/>
      <c r="E4309"/>
      <c r="F4309"/>
      <c r="G4309"/>
      <c r="H4309" s="19"/>
      <c r="I4309" s="19"/>
      <c r="J4309" s="19"/>
      <c r="M4309" s="7"/>
    </row>
    <row r="4310" spans="2:13" x14ac:dyDescent="0.25">
      <c r="B4310"/>
      <c r="C4310"/>
      <c r="D4310"/>
      <c r="E4310"/>
      <c r="F4310"/>
      <c r="G4310"/>
      <c r="H4310" s="19"/>
      <c r="I4310" s="19"/>
      <c r="J4310" s="19"/>
      <c r="M4310" s="7"/>
    </row>
    <row r="4311" spans="2:13" x14ac:dyDescent="0.25">
      <c r="B4311"/>
      <c r="C4311"/>
      <c r="D4311"/>
      <c r="E4311"/>
      <c r="F4311"/>
      <c r="G4311"/>
      <c r="H4311" s="19"/>
      <c r="I4311" s="19"/>
      <c r="J4311" s="19"/>
      <c r="M4311" s="7"/>
    </row>
    <row r="4312" spans="2:13" x14ac:dyDescent="0.25">
      <c r="B4312"/>
      <c r="C4312"/>
      <c r="D4312"/>
      <c r="E4312"/>
      <c r="F4312"/>
      <c r="G4312"/>
      <c r="H4312" s="19"/>
      <c r="I4312" s="19"/>
      <c r="J4312" s="19"/>
      <c r="M4312" s="7"/>
    </row>
    <row r="4313" spans="2:13" x14ac:dyDescent="0.25">
      <c r="B4313"/>
      <c r="C4313"/>
      <c r="D4313"/>
      <c r="E4313"/>
      <c r="F4313"/>
      <c r="G4313"/>
      <c r="H4313" s="19"/>
      <c r="I4313" s="19"/>
      <c r="J4313" s="19"/>
      <c r="M4313" s="7"/>
    </row>
    <row r="4314" spans="2:13" x14ac:dyDescent="0.25">
      <c r="B4314"/>
      <c r="C4314"/>
      <c r="D4314"/>
      <c r="E4314"/>
      <c r="F4314"/>
      <c r="G4314"/>
      <c r="H4314" s="19"/>
      <c r="I4314" s="19"/>
      <c r="J4314" s="19"/>
      <c r="M4314" s="7"/>
    </row>
    <row r="4315" spans="2:13" x14ac:dyDescent="0.25">
      <c r="B4315"/>
      <c r="C4315"/>
      <c r="D4315"/>
      <c r="E4315"/>
      <c r="F4315"/>
      <c r="G4315"/>
      <c r="H4315" s="19"/>
      <c r="I4315" s="19"/>
      <c r="J4315" s="19"/>
      <c r="M4315" s="7"/>
    </row>
    <row r="4316" spans="2:13" x14ac:dyDescent="0.25">
      <c r="B4316"/>
      <c r="C4316"/>
      <c r="D4316"/>
      <c r="E4316"/>
      <c r="F4316"/>
      <c r="G4316"/>
      <c r="H4316" s="19"/>
      <c r="I4316" s="19"/>
      <c r="J4316" s="19"/>
      <c r="M4316" s="7"/>
    </row>
    <row r="4317" spans="2:13" x14ac:dyDescent="0.25">
      <c r="B4317"/>
      <c r="C4317"/>
      <c r="D4317"/>
      <c r="E4317"/>
      <c r="F4317"/>
      <c r="G4317"/>
      <c r="H4317" s="19"/>
      <c r="I4317" s="19"/>
      <c r="J4317" s="19"/>
      <c r="M4317" s="7"/>
    </row>
    <row r="4318" spans="2:13" x14ac:dyDescent="0.25">
      <c r="B4318"/>
      <c r="C4318"/>
      <c r="D4318"/>
      <c r="E4318"/>
      <c r="F4318"/>
      <c r="G4318"/>
      <c r="H4318" s="19"/>
      <c r="I4318" s="19"/>
      <c r="J4318" s="19"/>
      <c r="M4318" s="7"/>
    </row>
    <row r="4319" spans="2:13" x14ac:dyDescent="0.25">
      <c r="B4319"/>
      <c r="C4319"/>
      <c r="D4319"/>
      <c r="E4319"/>
      <c r="F4319"/>
      <c r="G4319"/>
      <c r="H4319" s="19"/>
      <c r="I4319" s="19"/>
      <c r="J4319" s="19"/>
      <c r="M4319" s="7"/>
    </row>
    <row r="4320" spans="2:13" x14ac:dyDescent="0.25">
      <c r="B4320"/>
      <c r="C4320"/>
      <c r="D4320"/>
      <c r="E4320"/>
      <c r="F4320"/>
      <c r="G4320"/>
      <c r="H4320" s="19"/>
      <c r="I4320" s="19"/>
      <c r="J4320" s="19"/>
      <c r="M4320" s="7"/>
    </row>
    <row r="4321" spans="2:13" x14ac:dyDescent="0.25">
      <c r="B4321"/>
      <c r="C4321"/>
      <c r="D4321"/>
      <c r="E4321"/>
      <c r="F4321"/>
      <c r="G4321"/>
      <c r="H4321" s="19"/>
      <c r="I4321" s="19"/>
      <c r="J4321" s="19"/>
      <c r="M4321" s="7"/>
    </row>
    <row r="4322" spans="2:13" x14ac:dyDescent="0.25">
      <c r="B4322"/>
      <c r="C4322"/>
      <c r="D4322"/>
      <c r="E4322"/>
      <c r="F4322"/>
      <c r="G4322"/>
      <c r="H4322" s="19"/>
      <c r="I4322" s="19"/>
      <c r="J4322" s="19"/>
      <c r="M4322" s="7"/>
    </row>
    <row r="4323" spans="2:13" x14ac:dyDescent="0.25">
      <c r="B4323"/>
      <c r="C4323"/>
      <c r="D4323"/>
      <c r="E4323"/>
      <c r="F4323"/>
      <c r="G4323"/>
      <c r="H4323" s="19"/>
      <c r="I4323" s="19"/>
      <c r="J4323" s="19"/>
      <c r="M4323" s="7"/>
    </row>
    <row r="4324" spans="2:13" x14ac:dyDescent="0.25">
      <c r="B4324"/>
      <c r="C4324"/>
      <c r="D4324"/>
      <c r="E4324"/>
      <c r="F4324"/>
      <c r="G4324"/>
      <c r="H4324" s="19"/>
      <c r="I4324" s="19"/>
      <c r="J4324" s="19"/>
      <c r="M4324" s="7"/>
    </row>
    <row r="4325" spans="2:13" x14ac:dyDescent="0.25">
      <c r="B4325"/>
      <c r="C4325"/>
      <c r="D4325"/>
      <c r="E4325"/>
      <c r="F4325"/>
      <c r="G4325"/>
      <c r="H4325" s="19"/>
      <c r="I4325" s="19"/>
      <c r="J4325" s="19"/>
      <c r="M4325" s="7"/>
    </row>
    <row r="4326" spans="2:13" x14ac:dyDescent="0.25">
      <c r="B4326"/>
      <c r="C4326"/>
      <c r="D4326"/>
      <c r="E4326"/>
      <c r="F4326"/>
      <c r="G4326"/>
      <c r="H4326" s="19"/>
      <c r="I4326" s="19"/>
      <c r="J4326" s="19"/>
      <c r="M4326" s="7"/>
    </row>
    <row r="4327" spans="2:13" x14ac:dyDescent="0.25">
      <c r="B4327"/>
      <c r="C4327"/>
      <c r="D4327"/>
      <c r="E4327"/>
      <c r="F4327"/>
      <c r="G4327"/>
      <c r="H4327" s="19"/>
      <c r="I4327" s="19"/>
      <c r="J4327" s="19"/>
      <c r="M4327" s="7"/>
    </row>
    <row r="4328" spans="2:13" x14ac:dyDescent="0.25">
      <c r="B4328"/>
      <c r="C4328"/>
      <c r="D4328"/>
      <c r="E4328"/>
      <c r="F4328"/>
      <c r="G4328"/>
      <c r="H4328" s="19"/>
      <c r="I4328" s="19"/>
      <c r="J4328" s="19"/>
      <c r="M4328" s="7"/>
    </row>
    <row r="4329" spans="2:13" x14ac:dyDescent="0.25">
      <c r="B4329"/>
      <c r="C4329"/>
      <c r="D4329"/>
      <c r="E4329"/>
      <c r="F4329"/>
      <c r="G4329"/>
      <c r="H4329" s="19"/>
      <c r="I4329" s="19"/>
      <c r="J4329" s="19"/>
      <c r="M4329" s="7"/>
    </row>
    <row r="4330" spans="2:13" x14ac:dyDescent="0.25">
      <c r="B4330"/>
      <c r="C4330"/>
      <c r="D4330"/>
      <c r="E4330"/>
      <c r="F4330"/>
      <c r="G4330"/>
      <c r="H4330" s="19"/>
      <c r="I4330" s="19"/>
      <c r="J4330" s="19"/>
      <c r="M4330" s="7"/>
    </row>
    <row r="4331" spans="2:13" x14ac:dyDescent="0.25">
      <c r="B4331"/>
      <c r="C4331"/>
      <c r="D4331"/>
      <c r="E4331"/>
      <c r="F4331"/>
      <c r="G4331"/>
      <c r="H4331" s="19"/>
      <c r="I4331" s="19"/>
      <c r="J4331" s="19"/>
      <c r="M4331" s="7"/>
    </row>
    <row r="4332" spans="2:13" x14ac:dyDescent="0.25">
      <c r="B4332"/>
      <c r="C4332"/>
      <c r="D4332"/>
      <c r="E4332"/>
      <c r="F4332"/>
      <c r="G4332"/>
      <c r="H4332" s="19"/>
      <c r="I4332" s="19"/>
      <c r="J4332" s="19"/>
      <c r="M4332" s="7"/>
    </row>
    <row r="4333" spans="2:13" x14ac:dyDescent="0.25">
      <c r="B4333"/>
      <c r="C4333"/>
      <c r="D4333"/>
      <c r="E4333"/>
      <c r="F4333"/>
      <c r="G4333"/>
      <c r="H4333" s="19"/>
      <c r="I4333" s="19"/>
      <c r="J4333" s="19"/>
      <c r="M4333" s="7"/>
    </row>
    <row r="4334" spans="2:13" x14ac:dyDescent="0.25">
      <c r="B4334"/>
      <c r="C4334"/>
      <c r="D4334"/>
      <c r="E4334"/>
      <c r="F4334"/>
      <c r="G4334"/>
      <c r="H4334" s="19"/>
      <c r="I4334" s="19"/>
      <c r="J4334" s="19"/>
      <c r="M4334" s="7"/>
    </row>
    <row r="4335" spans="2:13" x14ac:dyDescent="0.25">
      <c r="B4335"/>
      <c r="C4335"/>
      <c r="D4335"/>
      <c r="E4335"/>
      <c r="F4335"/>
      <c r="G4335"/>
      <c r="H4335" s="19"/>
      <c r="I4335" s="19"/>
      <c r="J4335" s="19"/>
      <c r="M4335" s="7"/>
    </row>
    <row r="4336" spans="2:13" x14ac:dyDescent="0.25">
      <c r="B4336"/>
      <c r="C4336"/>
      <c r="D4336"/>
      <c r="E4336"/>
      <c r="F4336"/>
      <c r="G4336"/>
      <c r="H4336" s="19"/>
      <c r="I4336" s="19"/>
      <c r="J4336" s="19"/>
      <c r="M4336" s="7"/>
    </row>
    <row r="4337" spans="2:13" x14ac:dyDescent="0.25">
      <c r="B4337"/>
      <c r="C4337"/>
      <c r="D4337"/>
      <c r="E4337"/>
      <c r="F4337"/>
      <c r="G4337"/>
      <c r="H4337" s="19"/>
      <c r="I4337" s="19"/>
      <c r="J4337" s="19"/>
      <c r="M4337" s="7"/>
    </row>
    <row r="4338" spans="2:13" x14ac:dyDescent="0.25">
      <c r="B4338"/>
      <c r="C4338"/>
      <c r="D4338"/>
      <c r="E4338"/>
      <c r="F4338"/>
      <c r="G4338"/>
      <c r="H4338" s="19"/>
      <c r="I4338" s="19"/>
      <c r="J4338" s="19"/>
      <c r="M4338" s="7"/>
    </row>
    <row r="4339" spans="2:13" x14ac:dyDescent="0.25">
      <c r="B4339"/>
      <c r="C4339"/>
      <c r="D4339"/>
      <c r="E4339"/>
      <c r="F4339"/>
      <c r="G4339"/>
      <c r="H4339" s="19"/>
      <c r="I4339" s="19"/>
      <c r="J4339" s="19"/>
      <c r="M4339" s="7"/>
    </row>
    <row r="4340" spans="2:13" x14ac:dyDescent="0.25">
      <c r="B4340"/>
      <c r="C4340"/>
      <c r="D4340"/>
      <c r="E4340"/>
      <c r="F4340"/>
      <c r="G4340"/>
      <c r="H4340" s="19"/>
      <c r="I4340" s="19"/>
      <c r="J4340" s="19"/>
      <c r="M4340" s="7"/>
    </row>
    <row r="4341" spans="2:13" x14ac:dyDescent="0.25">
      <c r="B4341"/>
      <c r="C4341"/>
      <c r="D4341"/>
      <c r="E4341"/>
      <c r="F4341"/>
      <c r="G4341"/>
      <c r="H4341" s="19"/>
      <c r="I4341" s="19"/>
      <c r="J4341" s="19"/>
      <c r="M4341" s="7"/>
    </row>
    <row r="4342" spans="2:13" x14ac:dyDescent="0.25">
      <c r="B4342"/>
      <c r="C4342"/>
      <c r="D4342"/>
      <c r="E4342"/>
      <c r="F4342"/>
      <c r="G4342"/>
      <c r="H4342" s="19"/>
      <c r="I4342" s="19"/>
      <c r="J4342" s="19"/>
      <c r="M4342" s="7"/>
    </row>
    <row r="4343" spans="2:13" x14ac:dyDescent="0.25">
      <c r="B4343"/>
      <c r="C4343"/>
      <c r="D4343"/>
      <c r="E4343"/>
      <c r="F4343"/>
      <c r="G4343"/>
      <c r="H4343" s="19"/>
      <c r="I4343" s="19"/>
      <c r="J4343" s="19"/>
      <c r="M4343" s="7"/>
    </row>
    <row r="4344" spans="2:13" x14ac:dyDescent="0.25">
      <c r="B4344"/>
      <c r="C4344"/>
      <c r="D4344"/>
      <c r="E4344"/>
      <c r="F4344"/>
      <c r="G4344"/>
      <c r="H4344" s="19"/>
      <c r="I4344" s="19"/>
      <c r="J4344" s="19"/>
      <c r="M4344" s="7"/>
    </row>
    <row r="4345" spans="2:13" x14ac:dyDescent="0.25">
      <c r="B4345"/>
      <c r="C4345"/>
      <c r="D4345"/>
      <c r="E4345"/>
      <c r="F4345"/>
      <c r="G4345"/>
      <c r="H4345" s="19"/>
      <c r="I4345" s="19"/>
      <c r="J4345" s="19"/>
      <c r="M4345" s="7"/>
    </row>
    <row r="4346" spans="2:13" x14ac:dyDescent="0.25">
      <c r="B4346"/>
      <c r="C4346"/>
      <c r="D4346"/>
      <c r="E4346"/>
      <c r="F4346"/>
      <c r="G4346"/>
      <c r="H4346" s="19"/>
      <c r="I4346" s="19"/>
      <c r="J4346" s="19"/>
      <c r="M4346" s="7"/>
    </row>
    <row r="4347" spans="2:13" x14ac:dyDescent="0.25">
      <c r="B4347"/>
      <c r="C4347"/>
      <c r="D4347"/>
      <c r="E4347"/>
      <c r="F4347"/>
      <c r="G4347"/>
      <c r="H4347" s="19"/>
      <c r="I4347" s="19"/>
      <c r="J4347" s="19"/>
      <c r="M4347" s="7"/>
    </row>
    <row r="4348" spans="2:13" x14ac:dyDescent="0.25">
      <c r="B4348"/>
      <c r="C4348"/>
      <c r="D4348"/>
      <c r="E4348"/>
      <c r="F4348"/>
      <c r="G4348"/>
      <c r="H4348" s="19"/>
      <c r="I4348" s="19"/>
      <c r="J4348" s="19"/>
      <c r="M4348" s="7"/>
    </row>
    <row r="4349" spans="2:13" x14ac:dyDescent="0.25">
      <c r="B4349"/>
      <c r="C4349"/>
      <c r="D4349"/>
      <c r="E4349"/>
      <c r="F4349"/>
      <c r="G4349"/>
      <c r="H4349" s="19"/>
      <c r="I4349" s="19"/>
      <c r="J4349" s="19"/>
      <c r="M4349" s="7"/>
    </row>
    <row r="4350" spans="2:13" x14ac:dyDescent="0.25">
      <c r="B4350"/>
      <c r="C4350"/>
      <c r="D4350"/>
      <c r="E4350"/>
      <c r="F4350"/>
      <c r="G4350"/>
      <c r="H4350" s="19"/>
      <c r="I4350" s="19"/>
      <c r="J4350" s="19"/>
      <c r="M4350" s="7"/>
    </row>
    <row r="4351" spans="2:13" x14ac:dyDescent="0.25">
      <c r="B4351"/>
      <c r="C4351"/>
      <c r="D4351"/>
      <c r="E4351"/>
      <c r="F4351"/>
      <c r="G4351"/>
      <c r="H4351" s="19"/>
      <c r="I4351" s="19"/>
      <c r="J4351" s="19"/>
      <c r="M4351" s="7"/>
    </row>
    <row r="4352" spans="2:13" x14ac:dyDescent="0.25">
      <c r="B4352"/>
      <c r="C4352"/>
      <c r="D4352"/>
      <c r="E4352"/>
      <c r="F4352"/>
      <c r="G4352"/>
      <c r="H4352" s="19"/>
      <c r="I4352" s="19"/>
      <c r="J4352" s="19"/>
      <c r="M4352" s="7"/>
    </row>
    <row r="4353" spans="2:13" x14ac:dyDescent="0.25">
      <c r="B4353"/>
      <c r="C4353"/>
      <c r="D4353"/>
      <c r="E4353"/>
      <c r="F4353"/>
      <c r="G4353"/>
      <c r="H4353" s="19"/>
      <c r="I4353" s="19"/>
      <c r="J4353" s="19"/>
      <c r="M4353" s="7"/>
    </row>
    <row r="4354" spans="2:13" x14ac:dyDescent="0.25">
      <c r="B4354"/>
      <c r="C4354"/>
      <c r="D4354"/>
      <c r="E4354"/>
      <c r="F4354"/>
      <c r="G4354"/>
      <c r="H4354" s="19"/>
      <c r="I4354" s="19"/>
      <c r="J4354" s="19"/>
      <c r="M4354" s="7"/>
    </row>
    <row r="4355" spans="2:13" x14ac:dyDescent="0.25">
      <c r="B4355"/>
      <c r="C4355"/>
      <c r="D4355"/>
      <c r="E4355"/>
      <c r="F4355"/>
      <c r="G4355"/>
      <c r="H4355" s="19"/>
      <c r="I4355" s="19"/>
      <c r="J4355" s="19"/>
      <c r="M4355" s="7"/>
    </row>
    <row r="4356" spans="2:13" x14ac:dyDescent="0.25">
      <c r="B4356"/>
      <c r="C4356"/>
      <c r="D4356"/>
      <c r="E4356"/>
      <c r="F4356"/>
      <c r="G4356"/>
      <c r="H4356" s="19"/>
      <c r="I4356" s="19"/>
      <c r="J4356" s="19"/>
      <c r="M4356" s="7"/>
    </row>
    <row r="4357" spans="2:13" x14ac:dyDescent="0.25">
      <c r="B4357"/>
      <c r="C4357"/>
      <c r="D4357"/>
      <c r="E4357"/>
      <c r="F4357"/>
      <c r="G4357"/>
      <c r="H4357" s="19"/>
      <c r="I4357" s="19"/>
      <c r="J4357" s="19"/>
      <c r="M4357" s="7"/>
    </row>
    <row r="4358" spans="2:13" x14ac:dyDescent="0.25">
      <c r="B4358"/>
      <c r="C4358"/>
      <c r="D4358"/>
      <c r="E4358"/>
      <c r="F4358"/>
      <c r="G4358"/>
      <c r="H4358" s="19"/>
      <c r="I4358" s="19"/>
      <c r="J4358" s="19"/>
      <c r="M4358" s="7"/>
    </row>
    <row r="4359" spans="2:13" x14ac:dyDescent="0.25">
      <c r="B4359"/>
      <c r="C4359"/>
      <c r="D4359"/>
      <c r="E4359"/>
      <c r="F4359"/>
      <c r="G4359"/>
      <c r="H4359" s="19"/>
      <c r="I4359" s="19"/>
      <c r="J4359" s="19"/>
      <c r="M4359" s="7"/>
    </row>
    <row r="4360" spans="2:13" x14ac:dyDescent="0.25">
      <c r="B4360"/>
      <c r="C4360"/>
      <c r="D4360"/>
      <c r="E4360"/>
      <c r="F4360"/>
      <c r="G4360"/>
      <c r="H4360" s="19"/>
      <c r="I4360" s="19"/>
      <c r="J4360" s="19"/>
      <c r="M4360" s="7"/>
    </row>
    <row r="4361" spans="2:13" x14ac:dyDescent="0.25">
      <c r="B4361"/>
      <c r="C4361"/>
      <c r="D4361"/>
      <c r="E4361"/>
      <c r="F4361"/>
      <c r="G4361"/>
      <c r="H4361" s="19"/>
      <c r="I4361" s="19"/>
      <c r="J4361" s="19"/>
      <c r="M4361" s="7"/>
    </row>
    <row r="4362" spans="2:13" x14ac:dyDescent="0.25">
      <c r="B4362"/>
      <c r="C4362"/>
      <c r="D4362"/>
      <c r="E4362"/>
      <c r="F4362"/>
      <c r="G4362"/>
      <c r="H4362" s="19"/>
      <c r="I4362" s="19"/>
      <c r="J4362" s="19"/>
      <c r="M4362" s="7"/>
    </row>
    <row r="4363" spans="2:13" x14ac:dyDescent="0.25">
      <c r="B4363"/>
      <c r="C4363"/>
      <c r="D4363"/>
      <c r="E4363"/>
      <c r="F4363"/>
      <c r="G4363"/>
      <c r="H4363" s="19"/>
      <c r="I4363" s="19"/>
      <c r="J4363" s="19"/>
      <c r="M4363" s="7"/>
    </row>
    <row r="4364" spans="2:13" x14ac:dyDescent="0.25">
      <c r="B4364"/>
      <c r="C4364"/>
      <c r="D4364"/>
      <c r="E4364"/>
      <c r="F4364"/>
      <c r="G4364"/>
      <c r="H4364" s="19"/>
      <c r="I4364" s="19"/>
      <c r="J4364" s="19"/>
      <c r="M4364" s="7"/>
    </row>
    <row r="4365" spans="2:13" x14ac:dyDescent="0.25">
      <c r="B4365"/>
      <c r="C4365"/>
      <c r="D4365"/>
      <c r="E4365"/>
      <c r="F4365"/>
      <c r="G4365"/>
      <c r="H4365" s="19"/>
      <c r="I4365" s="19"/>
      <c r="J4365" s="19"/>
      <c r="M4365" s="7"/>
    </row>
    <row r="4366" spans="2:13" x14ac:dyDescent="0.25">
      <c r="B4366"/>
      <c r="C4366"/>
      <c r="D4366"/>
      <c r="E4366"/>
      <c r="F4366"/>
      <c r="G4366"/>
      <c r="H4366" s="19"/>
      <c r="I4366" s="19"/>
      <c r="J4366" s="19"/>
      <c r="M4366" s="7"/>
    </row>
    <row r="4367" spans="2:13" x14ac:dyDescent="0.25">
      <c r="B4367"/>
      <c r="C4367"/>
      <c r="D4367"/>
      <c r="E4367"/>
      <c r="F4367"/>
      <c r="G4367"/>
      <c r="H4367" s="19"/>
      <c r="I4367" s="19"/>
      <c r="J4367" s="19"/>
      <c r="M4367" s="7"/>
    </row>
    <row r="4368" spans="2:13" x14ac:dyDescent="0.25">
      <c r="B4368"/>
      <c r="C4368"/>
      <c r="D4368"/>
      <c r="E4368"/>
      <c r="F4368"/>
      <c r="G4368"/>
      <c r="H4368" s="19"/>
      <c r="I4368" s="19"/>
      <c r="J4368" s="19"/>
      <c r="M4368" s="7"/>
    </row>
    <row r="4369" spans="2:13" x14ac:dyDescent="0.25">
      <c r="B4369"/>
      <c r="C4369"/>
      <c r="D4369"/>
      <c r="E4369"/>
      <c r="F4369"/>
      <c r="G4369"/>
      <c r="H4369" s="19"/>
      <c r="I4369" s="19"/>
      <c r="J4369" s="19"/>
      <c r="M4369" s="7"/>
    </row>
    <row r="4370" spans="2:13" x14ac:dyDescent="0.25">
      <c r="B4370"/>
      <c r="C4370"/>
      <c r="D4370"/>
      <c r="E4370"/>
      <c r="F4370"/>
      <c r="G4370"/>
      <c r="H4370" s="19"/>
      <c r="I4370" s="19"/>
      <c r="J4370" s="19"/>
      <c r="M4370" s="7"/>
    </row>
    <row r="4371" spans="2:13" x14ac:dyDescent="0.25">
      <c r="B4371"/>
      <c r="C4371"/>
      <c r="D4371"/>
      <c r="E4371"/>
      <c r="F4371"/>
      <c r="G4371"/>
      <c r="H4371" s="19"/>
      <c r="I4371" s="19"/>
      <c r="J4371" s="19"/>
      <c r="M4371" s="7"/>
    </row>
    <row r="4372" spans="2:13" x14ac:dyDescent="0.25">
      <c r="B4372"/>
      <c r="C4372"/>
      <c r="D4372"/>
      <c r="E4372"/>
      <c r="F4372"/>
      <c r="G4372"/>
      <c r="H4372" s="19"/>
      <c r="I4372" s="19"/>
      <c r="J4372" s="19"/>
      <c r="M4372" s="7"/>
    </row>
    <row r="4373" spans="2:13" x14ac:dyDescent="0.25">
      <c r="B4373"/>
      <c r="C4373"/>
      <c r="D4373"/>
      <c r="E4373"/>
      <c r="F4373"/>
      <c r="G4373"/>
      <c r="H4373" s="19"/>
      <c r="I4373" s="19"/>
      <c r="J4373" s="19"/>
      <c r="M4373" s="7"/>
    </row>
    <row r="4374" spans="2:13" x14ac:dyDescent="0.25">
      <c r="B4374"/>
      <c r="C4374"/>
      <c r="D4374"/>
      <c r="E4374"/>
      <c r="F4374"/>
      <c r="G4374"/>
      <c r="H4374" s="19"/>
      <c r="I4374" s="19"/>
      <c r="J4374" s="19"/>
      <c r="M4374" s="7"/>
    </row>
    <row r="4375" spans="2:13" x14ac:dyDescent="0.25">
      <c r="B4375"/>
      <c r="C4375"/>
      <c r="D4375"/>
      <c r="E4375"/>
      <c r="F4375"/>
      <c r="G4375"/>
      <c r="H4375" s="19"/>
      <c r="I4375" s="19"/>
      <c r="J4375" s="19"/>
      <c r="M4375" s="7"/>
    </row>
    <row r="4376" spans="2:13" x14ac:dyDescent="0.25">
      <c r="B4376"/>
      <c r="C4376"/>
      <c r="D4376"/>
      <c r="E4376"/>
      <c r="F4376"/>
      <c r="G4376"/>
      <c r="H4376" s="19"/>
      <c r="I4376" s="19"/>
      <c r="J4376" s="19"/>
      <c r="M4376" s="7"/>
    </row>
    <row r="4377" spans="2:13" x14ac:dyDescent="0.25">
      <c r="B4377"/>
      <c r="C4377"/>
      <c r="D4377"/>
      <c r="E4377"/>
      <c r="F4377"/>
      <c r="G4377"/>
      <c r="H4377" s="19"/>
      <c r="I4377" s="19"/>
      <c r="J4377" s="19"/>
      <c r="M4377" s="7"/>
    </row>
    <row r="4378" spans="2:13" x14ac:dyDescent="0.25">
      <c r="B4378"/>
      <c r="C4378"/>
      <c r="D4378"/>
      <c r="E4378"/>
      <c r="F4378"/>
      <c r="G4378"/>
      <c r="H4378" s="19"/>
      <c r="I4378" s="19"/>
      <c r="J4378" s="19"/>
      <c r="M4378" s="7"/>
    </row>
    <row r="4379" spans="2:13" x14ac:dyDescent="0.25">
      <c r="B4379"/>
      <c r="C4379"/>
      <c r="D4379"/>
      <c r="E4379"/>
      <c r="F4379"/>
      <c r="G4379"/>
      <c r="H4379" s="19"/>
      <c r="I4379" s="19"/>
      <c r="J4379" s="19"/>
      <c r="M4379" s="7"/>
    </row>
    <row r="4380" spans="2:13" x14ac:dyDescent="0.25">
      <c r="B4380"/>
      <c r="C4380"/>
      <c r="D4380"/>
      <c r="E4380"/>
      <c r="F4380"/>
      <c r="G4380"/>
      <c r="H4380" s="19"/>
      <c r="I4380" s="19"/>
      <c r="J4380" s="19"/>
      <c r="M4380" s="7"/>
    </row>
    <row r="4381" spans="2:13" x14ac:dyDescent="0.25">
      <c r="B4381"/>
      <c r="C4381"/>
      <c r="D4381"/>
      <c r="E4381"/>
      <c r="F4381"/>
      <c r="G4381"/>
      <c r="H4381" s="19"/>
      <c r="I4381" s="19"/>
      <c r="J4381" s="19"/>
      <c r="M4381" s="7"/>
    </row>
    <row r="4382" spans="2:13" x14ac:dyDescent="0.25">
      <c r="B4382"/>
      <c r="C4382"/>
      <c r="D4382"/>
      <c r="E4382"/>
      <c r="F4382"/>
      <c r="G4382"/>
      <c r="H4382" s="19"/>
      <c r="I4382" s="19"/>
      <c r="J4382" s="19"/>
      <c r="M4382" s="7"/>
    </row>
    <row r="4383" spans="2:13" x14ac:dyDescent="0.25">
      <c r="B4383"/>
      <c r="C4383"/>
      <c r="D4383"/>
      <c r="E4383"/>
      <c r="F4383"/>
      <c r="G4383"/>
      <c r="H4383" s="19"/>
      <c r="I4383" s="19"/>
      <c r="J4383" s="19"/>
      <c r="M4383" s="7"/>
    </row>
    <row r="4384" spans="2:13" x14ac:dyDescent="0.25">
      <c r="B4384"/>
      <c r="C4384"/>
      <c r="D4384"/>
      <c r="E4384"/>
      <c r="F4384"/>
      <c r="G4384"/>
      <c r="H4384" s="19"/>
      <c r="I4384" s="19"/>
      <c r="J4384" s="19"/>
      <c r="M4384" s="7"/>
    </row>
    <row r="4385" spans="2:13" x14ac:dyDescent="0.25">
      <c r="B4385"/>
      <c r="C4385"/>
      <c r="D4385"/>
      <c r="E4385"/>
      <c r="F4385"/>
      <c r="G4385"/>
      <c r="H4385" s="19"/>
      <c r="I4385" s="19"/>
      <c r="J4385" s="19"/>
      <c r="M4385" s="7"/>
    </row>
    <row r="4386" spans="2:13" x14ac:dyDescent="0.25">
      <c r="B4386"/>
      <c r="C4386"/>
      <c r="D4386"/>
      <c r="E4386"/>
      <c r="F4386"/>
      <c r="G4386"/>
      <c r="H4386" s="19"/>
      <c r="I4386" s="19"/>
      <c r="J4386" s="19"/>
      <c r="M4386" s="7"/>
    </row>
    <row r="4387" spans="2:13" x14ac:dyDescent="0.25">
      <c r="B4387"/>
      <c r="C4387"/>
      <c r="D4387"/>
      <c r="E4387"/>
      <c r="F4387"/>
      <c r="G4387"/>
      <c r="H4387" s="19"/>
      <c r="I4387" s="19"/>
      <c r="J4387" s="19"/>
      <c r="M4387" s="7"/>
    </row>
    <row r="4388" spans="2:13" x14ac:dyDescent="0.25">
      <c r="B4388"/>
      <c r="C4388"/>
      <c r="D4388"/>
      <c r="E4388"/>
      <c r="F4388"/>
      <c r="G4388"/>
      <c r="H4388" s="19"/>
      <c r="I4388" s="19"/>
      <c r="J4388" s="19"/>
      <c r="M4388" s="7"/>
    </row>
    <row r="4389" spans="2:13" x14ac:dyDescent="0.25">
      <c r="B4389"/>
      <c r="C4389"/>
      <c r="D4389"/>
      <c r="E4389"/>
      <c r="F4389"/>
      <c r="G4389"/>
      <c r="H4389" s="19"/>
      <c r="I4389" s="19"/>
      <c r="J4389" s="19"/>
      <c r="M4389" s="7"/>
    </row>
    <row r="4390" spans="2:13" x14ac:dyDescent="0.25">
      <c r="B4390"/>
      <c r="C4390"/>
      <c r="D4390"/>
      <c r="E4390"/>
      <c r="F4390"/>
      <c r="G4390"/>
      <c r="H4390" s="19"/>
      <c r="I4390" s="19"/>
      <c r="J4390" s="19"/>
      <c r="M4390" s="7"/>
    </row>
    <row r="4391" spans="2:13" x14ac:dyDescent="0.25">
      <c r="B4391"/>
      <c r="C4391"/>
      <c r="D4391"/>
      <c r="E4391"/>
      <c r="F4391"/>
      <c r="G4391"/>
      <c r="H4391" s="19"/>
      <c r="I4391" s="19"/>
      <c r="J4391" s="19"/>
      <c r="M4391" s="7"/>
    </row>
    <row r="4392" spans="2:13" x14ac:dyDescent="0.25">
      <c r="B4392"/>
      <c r="C4392"/>
      <c r="D4392"/>
      <c r="E4392"/>
      <c r="F4392"/>
      <c r="G4392"/>
      <c r="H4392" s="19"/>
      <c r="I4392" s="19"/>
      <c r="J4392" s="19"/>
      <c r="M4392" s="7"/>
    </row>
    <row r="4393" spans="2:13" x14ac:dyDescent="0.25">
      <c r="B4393"/>
      <c r="C4393"/>
      <c r="D4393"/>
      <c r="E4393"/>
      <c r="F4393"/>
      <c r="G4393"/>
      <c r="H4393" s="19"/>
      <c r="I4393" s="19"/>
      <c r="J4393" s="19"/>
      <c r="M4393" s="7"/>
    </row>
    <row r="4394" spans="2:13" x14ac:dyDescent="0.25">
      <c r="B4394"/>
      <c r="C4394"/>
      <c r="D4394"/>
      <c r="E4394"/>
      <c r="F4394"/>
      <c r="G4394"/>
      <c r="H4394" s="19"/>
      <c r="I4394" s="19"/>
      <c r="J4394" s="19"/>
      <c r="M4394" s="7"/>
    </row>
    <row r="4395" spans="2:13" x14ac:dyDescent="0.25">
      <c r="B4395"/>
      <c r="C4395"/>
      <c r="D4395"/>
      <c r="E4395"/>
      <c r="F4395"/>
      <c r="G4395"/>
      <c r="H4395" s="19"/>
      <c r="I4395" s="19"/>
      <c r="J4395" s="19"/>
      <c r="M4395" s="7"/>
    </row>
    <row r="4396" spans="2:13" x14ac:dyDescent="0.25">
      <c r="B4396"/>
      <c r="C4396"/>
      <c r="D4396"/>
      <c r="E4396"/>
      <c r="F4396"/>
      <c r="G4396"/>
      <c r="H4396" s="19"/>
      <c r="I4396" s="19"/>
      <c r="J4396" s="19"/>
      <c r="M4396" s="7"/>
    </row>
    <row r="4397" spans="2:13" x14ac:dyDescent="0.25">
      <c r="B4397"/>
      <c r="C4397"/>
      <c r="D4397"/>
      <c r="E4397"/>
      <c r="F4397"/>
      <c r="G4397"/>
      <c r="H4397" s="19"/>
      <c r="I4397" s="19"/>
      <c r="J4397" s="19"/>
      <c r="M4397" s="7"/>
    </row>
    <row r="4398" spans="2:13" x14ac:dyDescent="0.25">
      <c r="B4398"/>
      <c r="C4398"/>
      <c r="D4398"/>
      <c r="E4398"/>
      <c r="F4398"/>
      <c r="G4398"/>
      <c r="H4398" s="19"/>
      <c r="I4398" s="19"/>
      <c r="J4398" s="19"/>
      <c r="M4398" s="7"/>
    </row>
    <row r="4399" spans="2:13" x14ac:dyDescent="0.25">
      <c r="B4399"/>
      <c r="C4399"/>
      <c r="D4399"/>
      <c r="E4399"/>
      <c r="F4399"/>
      <c r="G4399"/>
      <c r="H4399" s="19"/>
      <c r="I4399" s="19"/>
      <c r="J4399" s="19"/>
      <c r="M4399" s="7"/>
    </row>
    <row r="4400" spans="2:13" x14ac:dyDescent="0.25">
      <c r="B4400"/>
      <c r="C4400"/>
      <c r="D4400"/>
      <c r="E4400"/>
      <c r="F4400"/>
      <c r="G4400"/>
      <c r="H4400" s="19"/>
      <c r="I4400" s="19"/>
      <c r="J4400" s="19"/>
      <c r="M4400" s="7"/>
    </row>
    <row r="4401" spans="2:13" x14ac:dyDescent="0.25">
      <c r="B4401"/>
      <c r="C4401"/>
      <c r="D4401"/>
      <c r="E4401"/>
      <c r="F4401"/>
      <c r="G4401"/>
      <c r="H4401" s="19"/>
      <c r="I4401" s="19"/>
      <c r="J4401" s="19"/>
      <c r="M4401" s="7"/>
    </row>
    <row r="4402" spans="2:13" x14ac:dyDescent="0.25">
      <c r="B4402"/>
      <c r="C4402"/>
      <c r="D4402"/>
      <c r="E4402"/>
      <c r="F4402"/>
      <c r="G4402"/>
      <c r="H4402" s="19"/>
      <c r="I4402" s="19"/>
      <c r="J4402" s="19"/>
      <c r="M4402" s="7"/>
    </row>
    <row r="4403" spans="2:13" x14ac:dyDescent="0.25">
      <c r="B4403"/>
      <c r="C4403"/>
      <c r="D4403"/>
      <c r="E4403"/>
      <c r="F4403"/>
      <c r="G4403"/>
      <c r="H4403" s="19"/>
      <c r="I4403" s="19"/>
      <c r="J4403" s="19"/>
      <c r="M4403" s="7"/>
    </row>
    <row r="4404" spans="2:13" x14ac:dyDescent="0.25">
      <c r="B4404"/>
      <c r="C4404"/>
      <c r="D4404"/>
      <c r="E4404"/>
      <c r="F4404"/>
      <c r="G4404"/>
      <c r="H4404" s="19"/>
      <c r="I4404" s="19"/>
      <c r="J4404" s="19"/>
      <c r="M4404" s="7"/>
    </row>
    <row r="4405" spans="2:13" x14ac:dyDescent="0.25">
      <c r="B4405"/>
      <c r="C4405"/>
      <c r="D4405"/>
      <c r="E4405"/>
      <c r="F4405"/>
      <c r="G4405"/>
      <c r="H4405" s="19"/>
      <c r="I4405" s="19"/>
      <c r="J4405" s="19"/>
      <c r="M4405" s="7"/>
    </row>
    <row r="4406" spans="2:13" x14ac:dyDescent="0.25">
      <c r="B4406"/>
      <c r="C4406"/>
      <c r="D4406"/>
      <c r="E4406"/>
      <c r="F4406"/>
      <c r="G4406"/>
      <c r="H4406" s="19"/>
      <c r="I4406" s="19"/>
      <c r="J4406" s="19"/>
      <c r="M4406" s="7"/>
    </row>
    <row r="4407" spans="2:13" x14ac:dyDescent="0.25">
      <c r="B4407"/>
      <c r="C4407"/>
      <c r="D4407"/>
      <c r="E4407"/>
      <c r="F4407"/>
      <c r="G4407"/>
      <c r="H4407" s="19"/>
      <c r="I4407" s="19"/>
      <c r="J4407" s="19"/>
      <c r="M4407" s="7"/>
    </row>
    <row r="4408" spans="2:13" x14ac:dyDescent="0.25">
      <c r="B4408"/>
      <c r="C4408"/>
      <c r="D4408"/>
      <c r="E4408"/>
      <c r="F4408"/>
      <c r="G4408"/>
      <c r="H4408" s="19"/>
      <c r="I4408" s="19"/>
      <c r="J4408" s="19"/>
      <c r="M4408" s="7"/>
    </row>
    <row r="4409" spans="2:13" x14ac:dyDescent="0.25">
      <c r="B4409"/>
      <c r="C4409"/>
      <c r="D4409"/>
      <c r="E4409"/>
      <c r="F4409"/>
      <c r="G4409"/>
      <c r="H4409" s="19"/>
      <c r="I4409" s="19"/>
      <c r="J4409" s="19"/>
      <c r="M4409" s="7"/>
    </row>
    <row r="4410" spans="2:13" x14ac:dyDescent="0.25">
      <c r="B4410"/>
      <c r="C4410"/>
      <c r="D4410"/>
      <c r="E4410"/>
      <c r="F4410"/>
      <c r="G4410"/>
      <c r="H4410" s="19"/>
      <c r="I4410" s="19"/>
      <c r="J4410" s="19"/>
      <c r="M4410" s="7"/>
    </row>
    <row r="4411" spans="2:13" x14ac:dyDescent="0.25">
      <c r="B4411"/>
      <c r="C4411"/>
      <c r="D4411"/>
      <c r="E4411"/>
      <c r="F4411"/>
      <c r="G4411"/>
      <c r="H4411" s="19"/>
      <c r="I4411" s="19"/>
      <c r="J4411" s="19"/>
      <c r="M4411" s="7"/>
    </row>
    <row r="4412" spans="2:13" x14ac:dyDescent="0.25">
      <c r="B4412"/>
      <c r="C4412"/>
      <c r="D4412"/>
      <c r="E4412"/>
      <c r="F4412"/>
      <c r="G4412"/>
      <c r="H4412" s="19"/>
      <c r="I4412" s="19"/>
      <c r="J4412" s="19"/>
      <c r="M4412" s="7"/>
    </row>
    <row r="4413" spans="2:13" x14ac:dyDescent="0.25">
      <c r="B4413"/>
      <c r="C4413"/>
      <c r="D4413"/>
      <c r="E4413"/>
      <c r="F4413"/>
      <c r="G4413"/>
      <c r="H4413" s="19"/>
      <c r="I4413" s="19"/>
      <c r="J4413" s="19"/>
      <c r="M4413" s="7"/>
    </row>
    <row r="4414" spans="2:13" x14ac:dyDescent="0.25">
      <c r="B4414"/>
      <c r="C4414"/>
      <c r="D4414"/>
      <c r="E4414"/>
      <c r="F4414"/>
      <c r="G4414"/>
      <c r="H4414" s="19"/>
      <c r="I4414" s="19"/>
      <c r="J4414" s="19"/>
      <c r="M4414" s="7"/>
    </row>
    <row r="4415" spans="2:13" x14ac:dyDescent="0.25">
      <c r="B4415"/>
      <c r="C4415"/>
      <c r="D4415"/>
      <c r="E4415"/>
      <c r="F4415"/>
      <c r="G4415"/>
      <c r="H4415" s="19"/>
      <c r="I4415" s="19"/>
      <c r="J4415" s="19"/>
      <c r="M4415" s="7"/>
    </row>
    <row r="4416" spans="2:13" x14ac:dyDescent="0.25">
      <c r="B4416"/>
      <c r="C4416"/>
      <c r="D4416"/>
      <c r="E4416"/>
      <c r="F4416"/>
      <c r="G4416"/>
      <c r="H4416" s="19"/>
      <c r="I4416" s="19"/>
      <c r="J4416" s="19"/>
      <c r="M4416" s="7"/>
    </row>
    <row r="4417" spans="2:13" x14ac:dyDescent="0.25">
      <c r="B4417"/>
      <c r="C4417"/>
      <c r="D4417"/>
      <c r="E4417"/>
      <c r="F4417"/>
      <c r="G4417"/>
      <c r="H4417" s="19"/>
      <c r="I4417" s="19"/>
      <c r="J4417" s="19"/>
      <c r="M4417" s="7"/>
    </row>
    <row r="4418" spans="2:13" x14ac:dyDescent="0.25">
      <c r="B4418"/>
      <c r="C4418"/>
      <c r="D4418"/>
      <c r="E4418"/>
      <c r="F4418"/>
      <c r="G4418"/>
      <c r="H4418" s="19"/>
      <c r="I4418" s="19"/>
      <c r="J4418" s="19"/>
      <c r="M4418" s="7"/>
    </row>
    <row r="4419" spans="2:13" x14ac:dyDescent="0.25">
      <c r="B4419"/>
      <c r="C4419"/>
      <c r="D4419"/>
      <c r="E4419"/>
      <c r="F4419"/>
      <c r="G4419"/>
      <c r="H4419" s="19"/>
      <c r="I4419" s="19"/>
      <c r="J4419" s="19"/>
      <c r="M4419" s="7"/>
    </row>
    <row r="4420" spans="2:13" x14ac:dyDescent="0.25">
      <c r="B4420"/>
      <c r="C4420"/>
      <c r="D4420"/>
      <c r="E4420"/>
      <c r="F4420"/>
      <c r="G4420"/>
      <c r="H4420" s="19"/>
      <c r="I4420" s="19"/>
      <c r="J4420" s="19"/>
      <c r="M4420" s="7"/>
    </row>
    <row r="4421" spans="2:13" x14ac:dyDescent="0.25">
      <c r="B4421"/>
      <c r="C4421"/>
      <c r="D4421"/>
      <c r="E4421"/>
      <c r="F4421"/>
      <c r="G4421"/>
      <c r="H4421" s="19"/>
      <c r="I4421" s="19"/>
      <c r="J4421" s="19"/>
      <c r="M4421" s="7"/>
    </row>
    <row r="4422" spans="2:13" x14ac:dyDescent="0.25">
      <c r="B4422"/>
      <c r="C4422"/>
      <c r="D4422"/>
      <c r="E4422"/>
      <c r="F4422"/>
      <c r="G4422"/>
      <c r="H4422" s="19"/>
      <c r="I4422" s="19"/>
      <c r="J4422" s="19"/>
      <c r="M4422" s="7"/>
    </row>
    <row r="4423" spans="2:13" x14ac:dyDescent="0.25">
      <c r="B4423"/>
      <c r="C4423"/>
      <c r="D4423"/>
      <c r="E4423"/>
      <c r="F4423"/>
      <c r="G4423"/>
      <c r="H4423" s="19"/>
      <c r="I4423" s="19"/>
      <c r="J4423" s="19"/>
      <c r="M4423" s="7"/>
    </row>
    <row r="4424" spans="2:13" x14ac:dyDescent="0.25">
      <c r="B4424"/>
      <c r="C4424"/>
      <c r="D4424"/>
      <c r="E4424"/>
      <c r="F4424"/>
      <c r="G4424"/>
      <c r="H4424" s="19"/>
      <c r="I4424" s="19"/>
      <c r="J4424" s="19"/>
      <c r="M4424" s="7"/>
    </row>
    <row r="4425" spans="2:13" x14ac:dyDescent="0.25">
      <c r="B4425"/>
      <c r="C4425"/>
      <c r="D4425"/>
      <c r="E4425"/>
      <c r="F4425"/>
      <c r="G4425"/>
      <c r="H4425" s="19"/>
      <c r="I4425" s="19"/>
      <c r="J4425" s="19"/>
      <c r="M4425" s="7"/>
    </row>
    <row r="4426" spans="2:13" x14ac:dyDescent="0.25">
      <c r="B4426"/>
      <c r="C4426"/>
      <c r="D4426"/>
      <c r="E4426"/>
      <c r="F4426"/>
      <c r="G4426"/>
      <c r="H4426" s="19"/>
      <c r="I4426" s="19"/>
      <c r="J4426" s="19"/>
      <c r="M4426" s="7"/>
    </row>
    <row r="4427" spans="2:13" x14ac:dyDescent="0.25">
      <c r="B4427"/>
      <c r="C4427"/>
      <c r="D4427"/>
      <c r="E4427"/>
      <c r="F4427"/>
      <c r="G4427"/>
      <c r="H4427" s="19"/>
      <c r="I4427" s="19"/>
      <c r="J4427" s="19"/>
      <c r="M4427" s="7"/>
    </row>
    <row r="4428" spans="2:13" x14ac:dyDescent="0.25">
      <c r="B4428"/>
      <c r="C4428"/>
      <c r="D4428"/>
      <c r="E4428"/>
      <c r="F4428"/>
      <c r="G4428"/>
      <c r="H4428" s="19"/>
      <c r="I4428" s="19"/>
      <c r="J4428" s="19"/>
      <c r="M4428" s="7"/>
    </row>
    <row r="4429" spans="2:13" x14ac:dyDescent="0.25">
      <c r="B4429"/>
      <c r="C4429"/>
      <c r="D4429"/>
      <c r="E4429"/>
      <c r="F4429"/>
      <c r="G4429"/>
      <c r="H4429" s="19"/>
      <c r="I4429" s="19"/>
      <c r="J4429" s="19"/>
      <c r="M4429" s="7"/>
    </row>
    <row r="4430" spans="2:13" x14ac:dyDescent="0.25">
      <c r="B4430"/>
      <c r="C4430"/>
      <c r="D4430"/>
      <c r="E4430"/>
      <c r="F4430"/>
      <c r="G4430"/>
      <c r="H4430" s="19"/>
      <c r="I4430" s="19"/>
      <c r="J4430" s="19"/>
      <c r="M4430" s="7"/>
    </row>
    <row r="4431" spans="2:13" x14ac:dyDescent="0.25">
      <c r="B4431"/>
      <c r="C4431"/>
      <c r="D4431"/>
      <c r="E4431"/>
      <c r="F4431"/>
      <c r="G4431"/>
      <c r="H4431" s="19"/>
      <c r="I4431" s="19"/>
      <c r="J4431" s="19"/>
      <c r="M4431" s="7"/>
    </row>
    <row r="4432" spans="2:13" x14ac:dyDescent="0.25">
      <c r="B4432"/>
      <c r="C4432"/>
      <c r="D4432"/>
      <c r="E4432"/>
      <c r="F4432"/>
      <c r="G4432"/>
      <c r="H4432" s="19"/>
      <c r="I4432" s="19"/>
      <c r="J4432" s="19"/>
      <c r="M4432" s="7"/>
    </row>
    <row r="4433" spans="2:13" x14ac:dyDescent="0.25">
      <c r="B4433"/>
      <c r="C4433"/>
      <c r="D4433"/>
      <c r="E4433"/>
      <c r="F4433"/>
      <c r="G4433"/>
      <c r="H4433" s="19"/>
      <c r="I4433" s="19"/>
      <c r="J4433" s="19"/>
      <c r="M4433" s="7"/>
    </row>
    <row r="4434" spans="2:13" x14ac:dyDescent="0.25">
      <c r="B4434"/>
      <c r="C4434"/>
      <c r="D4434"/>
      <c r="E4434"/>
      <c r="F4434"/>
      <c r="G4434"/>
      <c r="H4434" s="19"/>
      <c r="I4434" s="19"/>
      <c r="J4434" s="19"/>
      <c r="M4434" s="7"/>
    </row>
    <row r="4435" spans="2:13" x14ac:dyDescent="0.25">
      <c r="B4435"/>
      <c r="C4435"/>
      <c r="D4435"/>
      <c r="E4435"/>
      <c r="F4435"/>
      <c r="G4435"/>
      <c r="H4435" s="19"/>
      <c r="I4435" s="19"/>
      <c r="J4435" s="19"/>
      <c r="M4435" s="7"/>
    </row>
    <row r="4436" spans="2:13" x14ac:dyDescent="0.25">
      <c r="B4436"/>
      <c r="C4436"/>
      <c r="D4436"/>
      <c r="E4436"/>
      <c r="F4436"/>
      <c r="G4436"/>
      <c r="H4436" s="19"/>
      <c r="I4436" s="19"/>
      <c r="J4436" s="19"/>
      <c r="M4436" s="7"/>
    </row>
    <row r="4437" spans="2:13" x14ac:dyDescent="0.25">
      <c r="B4437"/>
      <c r="C4437"/>
      <c r="D4437"/>
      <c r="E4437"/>
      <c r="F4437"/>
      <c r="G4437"/>
      <c r="H4437" s="19"/>
      <c r="I4437" s="19"/>
      <c r="J4437" s="19"/>
      <c r="M4437" s="7"/>
    </row>
    <row r="4438" spans="2:13" x14ac:dyDescent="0.25">
      <c r="B4438"/>
      <c r="C4438"/>
      <c r="D4438"/>
      <c r="E4438"/>
      <c r="F4438"/>
      <c r="G4438"/>
      <c r="H4438" s="19"/>
      <c r="I4438" s="19"/>
      <c r="J4438" s="19"/>
      <c r="M4438" s="7"/>
    </row>
    <row r="4439" spans="2:13" x14ac:dyDescent="0.25">
      <c r="B4439"/>
      <c r="C4439"/>
      <c r="D4439"/>
      <c r="E4439"/>
      <c r="F4439"/>
      <c r="G4439"/>
      <c r="H4439" s="19"/>
      <c r="I4439" s="19"/>
      <c r="J4439" s="19"/>
      <c r="M4439" s="7"/>
    </row>
    <row r="4440" spans="2:13" x14ac:dyDescent="0.25">
      <c r="B4440"/>
      <c r="C4440"/>
      <c r="D4440"/>
      <c r="E4440"/>
      <c r="F4440"/>
      <c r="G4440"/>
      <c r="H4440" s="19"/>
      <c r="I4440" s="19"/>
      <c r="J4440" s="19"/>
      <c r="M4440" s="7"/>
    </row>
    <row r="4441" spans="2:13" x14ac:dyDescent="0.25">
      <c r="B4441"/>
      <c r="C4441"/>
      <c r="D4441"/>
      <c r="E4441"/>
      <c r="F4441"/>
      <c r="G4441"/>
      <c r="H4441" s="19"/>
      <c r="I4441" s="19"/>
      <c r="J4441" s="19"/>
      <c r="M4441" s="7"/>
    </row>
    <row r="4442" spans="2:13" x14ac:dyDescent="0.25">
      <c r="B4442"/>
      <c r="C4442"/>
      <c r="D4442"/>
      <c r="E4442"/>
      <c r="F4442"/>
      <c r="G4442"/>
      <c r="H4442" s="19"/>
      <c r="I4442" s="19"/>
      <c r="J4442" s="19"/>
      <c r="M4442" s="7"/>
    </row>
    <row r="4443" spans="2:13" x14ac:dyDescent="0.25">
      <c r="B4443"/>
      <c r="C4443"/>
      <c r="D4443"/>
      <c r="E4443"/>
      <c r="F4443"/>
      <c r="G4443"/>
      <c r="H4443" s="19"/>
      <c r="I4443" s="19"/>
      <c r="J4443" s="19"/>
      <c r="M4443" s="7"/>
    </row>
    <row r="4444" spans="2:13" x14ac:dyDescent="0.25">
      <c r="B4444"/>
      <c r="C4444"/>
      <c r="D4444"/>
      <c r="E4444"/>
      <c r="F4444"/>
      <c r="G4444"/>
      <c r="H4444" s="19"/>
      <c r="I4444" s="19"/>
      <c r="J4444" s="19"/>
      <c r="M4444" s="7"/>
    </row>
    <row r="4445" spans="2:13" x14ac:dyDescent="0.25">
      <c r="B4445"/>
      <c r="C4445"/>
      <c r="D4445"/>
      <c r="E4445"/>
      <c r="F4445"/>
      <c r="G4445"/>
      <c r="H4445" s="19"/>
      <c r="I4445" s="19"/>
      <c r="J4445" s="19"/>
      <c r="M4445" s="7"/>
    </row>
    <row r="4446" spans="2:13" x14ac:dyDescent="0.25">
      <c r="B4446"/>
      <c r="C4446"/>
      <c r="D4446"/>
      <c r="E4446"/>
      <c r="F4446"/>
      <c r="G4446"/>
      <c r="H4446" s="19"/>
      <c r="I4446" s="19"/>
      <c r="J4446" s="19"/>
      <c r="M4446" s="7"/>
    </row>
    <row r="4447" spans="2:13" x14ac:dyDescent="0.25">
      <c r="B4447"/>
      <c r="C4447"/>
      <c r="D4447"/>
      <c r="E4447"/>
      <c r="F4447"/>
      <c r="G4447"/>
      <c r="H4447" s="19"/>
      <c r="I4447" s="19"/>
      <c r="J4447" s="19"/>
      <c r="M4447" s="7"/>
    </row>
    <row r="4448" spans="2:13" x14ac:dyDescent="0.25">
      <c r="B4448"/>
      <c r="C4448"/>
      <c r="D4448"/>
      <c r="E4448"/>
      <c r="F4448"/>
      <c r="G4448"/>
      <c r="H4448" s="19"/>
      <c r="I4448" s="19"/>
      <c r="J4448" s="19"/>
      <c r="M4448" s="7"/>
    </row>
    <row r="4449" spans="2:13" x14ac:dyDescent="0.25">
      <c r="B4449"/>
      <c r="C4449"/>
      <c r="D4449"/>
      <c r="E4449"/>
      <c r="F4449"/>
      <c r="G4449"/>
      <c r="H4449" s="19"/>
      <c r="I4449" s="19"/>
      <c r="J4449" s="19"/>
      <c r="M4449" s="7"/>
    </row>
    <row r="4450" spans="2:13" x14ac:dyDescent="0.25">
      <c r="B4450"/>
      <c r="C4450"/>
      <c r="D4450"/>
      <c r="E4450"/>
      <c r="F4450"/>
      <c r="G4450"/>
      <c r="H4450" s="19"/>
      <c r="I4450" s="19"/>
      <c r="J4450" s="19"/>
      <c r="M4450" s="7"/>
    </row>
    <row r="4451" spans="2:13" x14ac:dyDescent="0.25">
      <c r="B4451"/>
      <c r="C4451"/>
      <c r="D4451"/>
      <c r="E4451"/>
      <c r="F4451"/>
      <c r="G4451"/>
      <c r="H4451" s="19"/>
      <c r="I4451" s="19"/>
      <c r="J4451" s="19"/>
      <c r="M4451" s="7"/>
    </row>
    <row r="4452" spans="2:13" x14ac:dyDescent="0.25">
      <c r="B4452"/>
      <c r="C4452"/>
      <c r="D4452"/>
      <c r="E4452"/>
      <c r="F4452"/>
      <c r="G4452"/>
      <c r="H4452" s="19"/>
      <c r="I4452" s="19"/>
      <c r="J4452" s="19"/>
      <c r="M4452" s="7"/>
    </row>
    <row r="4453" spans="2:13" x14ac:dyDescent="0.25">
      <c r="B4453"/>
      <c r="C4453"/>
      <c r="D4453"/>
      <c r="E4453"/>
      <c r="F4453"/>
      <c r="G4453"/>
      <c r="H4453" s="19"/>
      <c r="I4453" s="19"/>
      <c r="J4453" s="19"/>
      <c r="M4453" s="7"/>
    </row>
    <row r="4454" spans="2:13" x14ac:dyDescent="0.25">
      <c r="B4454"/>
      <c r="C4454"/>
      <c r="D4454"/>
      <c r="E4454"/>
      <c r="F4454"/>
      <c r="G4454"/>
      <c r="H4454" s="19"/>
      <c r="I4454" s="19"/>
      <c r="J4454" s="19"/>
      <c r="M4454" s="7"/>
    </row>
    <row r="4455" spans="2:13" x14ac:dyDescent="0.25">
      <c r="B4455"/>
      <c r="C4455"/>
      <c r="D4455"/>
      <c r="E4455"/>
      <c r="F4455"/>
      <c r="G4455"/>
      <c r="H4455" s="19"/>
      <c r="I4455" s="19"/>
      <c r="J4455" s="19"/>
      <c r="M4455" s="7"/>
    </row>
    <row r="4456" spans="2:13" x14ac:dyDescent="0.25">
      <c r="B4456"/>
      <c r="C4456"/>
      <c r="D4456"/>
      <c r="E4456"/>
      <c r="F4456"/>
      <c r="G4456"/>
      <c r="H4456" s="19"/>
      <c r="I4456" s="19"/>
      <c r="J4456" s="19"/>
      <c r="M4456" s="7"/>
    </row>
    <row r="4457" spans="2:13" x14ac:dyDescent="0.25">
      <c r="B4457"/>
      <c r="C4457"/>
      <c r="D4457"/>
      <c r="E4457"/>
      <c r="F4457"/>
      <c r="G4457"/>
      <c r="H4457" s="19"/>
      <c r="I4457" s="19"/>
      <c r="J4457" s="19"/>
      <c r="M4457" s="7"/>
    </row>
    <row r="4458" spans="2:13" x14ac:dyDescent="0.25">
      <c r="B4458"/>
      <c r="C4458"/>
      <c r="D4458"/>
      <c r="E4458"/>
      <c r="F4458"/>
      <c r="G4458"/>
      <c r="H4458" s="19"/>
      <c r="I4458" s="19"/>
      <c r="J4458" s="19"/>
      <c r="M4458" s="7"/>
    </row>
    <row r="4459" spans="2:13" x14ac:dyDescent="0.25">
      <c r="B4459"/>
      <c r="C4459"/>
      <c r="D4459"/>
      <c r="E4459"/>
      <c r="F4459"/>
      <c r="G4459"/>
      <c r="H4459" s="19"/>
      <c r="I4459" s="19"/>
      <c r="J4459" s="19"/>
      <c r="M4459" s="7"/>
    </row>
    <row r="4460" spans="2:13" x14ac:dyDescent="0.25">
      <c r="B4460"/>
      <c r="C4460"/>
      <c r="D4460"/>
      <c r="E4460"/>
      <c r="F4460"/>
      <c r="G4460"/>
      <c r="H4460" s="19"/>
      <c r="I4460" s="19"/>
      <c r="J4460" s="19"/>
      <c r="M4460" s="7"/>
    </row>
    <row r="4461" spans="2:13" x14ac:dyDescent="0.25">
      <c r="B4461"/>
      <c r="C4461"/>
      <c r="D4461"/>
      <c r="E4461"/>
      <c r="F4461"/>
      <c r="G4461"/>
      <c r="H4461" s="19"/>
      <c r="I4461" s="19"/>
      <c r="J4461" s="19"/>
      <c r="M4461" s="7"/>
    </row>
    <row r="4462" spans="2:13" x14ac:dyDescent="0.25">
      <c r="B4462"/>
      <c r="C4462"/>
      <c r="D4462"/>
      <c r="E4462"/>
      <c r="F4462"/>
      <c r="G4462"/>
      <c r="H4462" s="19"/>
      <c r="I4462" s="19"/>
      <c r="J4462" s="19"/>
      <c r="M4462" s="7"/>
    </row>
    <row r="4463" spans="2:13" x14ac:dyDescent="0.25">
      <c r="B4463"/>
      <c r="C4463"/>
      <c r="D4463"/>
      <c r="E4463"/>
      <c r="F4463"/>
      <c r="G4463"/>
      <c r="H4463" s="19"/>
      <c r="I4463" s="19"/>
      <c r="J4463" s="19"/>
      <c r="M4463" s="7"/>
    </row>
    <row r="4464" spans="2:13" x14ac:dyDescent="0.25">
      <c r="B4464"/>
      <c r="C4464"/>
      <c r="D4464"/>
      <c r="E4464"/>
      <c r="F4464"/>
      <c r="G4464"/>
      <c r="H4464" s="19"/>
      <c r="I4464" s="19"/>
      <c r="J4464" s="19"/>
      <c r="M4464" s="7"/>
    </row>
    <row r="4465" spans="2:13" x14ac:dyDescent="0.25">
      <c r="B4465"/>
      <c r="C4465"/>
      <c r="D4465"/>
      <c r="E4465"/>
      <c r="F4465"/>
      <c r="G4465"/>
      <c r="H4465" s="19"/>
      <c r="I4465" s="19"/>
      <c r="J4465" s="19"/>
      <c r="M4465" s="7"/>
    </row>
    <row r="4466" spans="2:13" x14ac:dyDescent="0.25">
      <c r="B4466"/>
      <c r="C4466"/>
      <c r="D4466"/>
      <c r="E4466"/>
      <c r="F4466"/>
      <c r="G4466"/>
      <c r="H4466" s="19"/>
      <c r="I4466" s="19"/>
      <c r="J4466" s="19"/>
      <c r="M4466" s="7"/>
    </row>
    <row r="4467" spans="2:13" x14ac:dyDescent="0.25">
      <c r="B4467"/>
      <c r="C4467"/>
      <c r="D4467"/>
      <c r="E4467"/>
      <c r="F4467"/>
      <c r="G4467"/>
      <c r="H4467" s="19"/>
      <c r="I4467" s="19"/>
      <c r="J4467" s="19"/>
      <c r="M4467" s="7"/>
    </row>
    <row r="4468" spans="2:13" x14ac:dyDescent="0.25">
      <c r="B4468"/>
      <c r="C4468"/>
      <c r="D4468"/>
      <c r="E4468"/>
      <c r="F4468"/>
      <c r="G4468"/>
      <c r="H4468" s="19"/>
      <c r="I4468" s="19"/>
      <c r="J4468" s="19"/>
      <c r="M4468" s="7"/>
    </row>
    <row r="4469" spans="2:13" x14ac:dyDescent="0.25">
      <c r="B4469"/>
      <c r="C4469"/>
      <c r="D4469"/>
      <c r="E4469"/>
      <c r="F4469"/>
      <c r="G4469"/>
      <c r="H4469" s="19"/>
      <c r="I4469" s="19"/>
      <c r="J4469" s="19"/>
      <c r="M4469" s="7"/>
    </row>
    <row r="4470" spans="2:13" x14ac:dyDescent="0.25">
      <c r="B4470"/>
      <c r="C4470"/>
      <c r="D4470"/>
      <c r="E4470"/>
      <c r="F4470"/>
      <c r="G4470"/>
      <c r="H4470" s="19"/>
      <c r="I4470" s="19"/>
      <c r="J4470" s="19"/>
      <c r="M4470" s="7"/>
    </row>
    <row r="4471" spans="2:13" x14ac:dyDescent="0.25">
      <c r="B4471"/>
      <c r="C4471"/>
      <c r="D4471"/>
      <c r="E4471"/>
      <c r="F4471"/>
      <c r="G4471"/>
      <c r="H4471" s="19"/>
      <c r="I4471" s="19"/>
      <c r="J4471" s="19"/>
      <c r="M4471" s="7"/>
    </row>
    <row r="4472" spans="2:13" x14ac:dyDescent="0.25">
      <c r="B4472"/>
      <c r="C4472"/>
      <c r="D4472"/>
      <c r="E4472"/>
      <c r="F4472"/>
      <c r="G4472"/>
      <c r="H4472" s="19"/>
      <c r="I4472" s="19"/>
      <c r="J4472" s="19"/>
      <c r="M4472" s="7"/>
    </row>
    <row r="4473" spans="2:13" x14ac:dyDescent="0.25">
      <c r="B4473"/>
      <c r="C4473"/>
      <c r="D4473"/>
      <c r="E4473"/>
      <c r="F4473"/>
      <c r="G4473"/>
      <c r="H4473" s="19"/>
      <c r="I4473" s="19"/>
      <c r="J4473" s="19"/>
      <c r="M4473" s="7"/>
    </row>
    <row r="4474" spans="2:13" x14ac:dyDescent="0.25">
      <c r="B4474"/>
      <c r="C4474"/>
      <c r="D4474"/>
      <c r="E4474"/>
      <c r="F4474"/>
      <c r="G4474"/>
      <c r="H4474" s="19"/>
      <c r="I4474" s="19"/>
      <c r="J4474" s="19"/>
      <c r="M4474" s="7"/>
    </row>
    <row r="4475" spans="2:13" x14ac:dyDescent="0.25">
      <c r="B4475"/>
      <c r="C4475"/>
      <c r="D4475"/>
      <c r="E4475"/>
      <c r="F4475"/>
      <c r="G4475"/>
      <c r="H4475" s="19"/>
      <c r="I4475" s="19"/>
      <c r="J4475" s="19"/>
      <c r="M4475" s="7"/>
    </row>
    <row r="4476" spans="2:13" x14ac:dyDescent="0.25">
      <c r="B4476"/>
      <c r="C4476"/>
      <c r="D4476"/>
      <c r="E4476"/>
      <c r="F4476"/>
      <c r="G4476"/>
      <c r="H4476" s="19"/>
      <c r="I4476" s="19"/>
      <c r="J4476" s="19"/>
      <c r="M4476" s="7"/>
    </row>
    <row r="4477" spans="2:13" x14ac:dyDescent="0.25">
      <c r="B4477"/>
      <c r="C4477"/>
      <c r="D4477"/>
      <c r="E4477"/>
      <c r="F4477"/>
      <c r="G4477"/>
      <c r="H4477" s="19"/>
      <c r="I4477" s="19"/>
      <c r="J4477" s="19"/>
      <c r="M4477" s="7"/>
    </row>
    <row r="4478" spans="2:13" x14ac:dyDescent="0.25">
      <c r="B4478"/>
      <c r="C4478"/>
      <c r="D4478"/>
      <c r="E4478"/>
      <c r="F4478"/>
      <c r="G4478"/>
      <c r="H4478" s="19"/>
      <c r="I4478" s="19"/>
      <c r="J4478" s="19"/>
      <c r="M4478" s="7"/>
    </row>
    <row r="4479" spans="2:13" x14ac:dyDescent="0.25">
      <c r="B4479"/>
      <c r="C4479"/>
      <c r="D4479"/>
      <c r="E4479"/>
      <c r="F4479"/>
      <c r="G4479"/>
      <c r="H4479" s="19"/>
      <c r="I4479" s="19"/>
      <c r="J4479" s="19"/>
      <c r="M4479" s="7"/>
    </row>
    <row r="4480" spans="2:13" x14ac:dyDescent="0.25">
      <c r="B4480"/>
      <c r="C4480"/>
      <c r="D4480"/>
      <c r="E4480"/>
      <c r="F4480"/>
      <c r="G4480"/>
      <c r="H4480" s="19"/>
      <c r="I4480" s="19"/>
      <c r="J4480" s="19"/>
      <c r="M4480" s="7"/>
    </row>
    <row r="4481" spans="2:13" x14ac:dyDescent="0.25">
      <c r="B4481"/>
      <c r="C4481"/>
      <c r="D4481"/>
      <c r="E4481"/>
      <c r="F4481"/>
      <c r="G4481"/>
      <c r="H4481" s="19"/>
      <c r="I4481" s="19"/>
      <c r="J4481" s="19"/>
      <c r="M4481" s="7"/>
    </row>
    <row r="4482" spans="2:13" x14ac:dyDescent="0.25">
      <c r="B4482"/>
      <c r="C4482"/>
      <c r="D4482"/>
      <c r="E4482"/>
      <c r="F4482"/>
      <c r="G4482"/>
      <c r="H4482" s="19"/>
      <c r="I4482" s="19"/>
      <c r="J4482" s="19"/>
      <c r="M4482" s="7"/>
    </row>
    <row r="4483" spans="2:13" x14ac:dyDescent="0.25">
      <c r="B4483"/>
      <c r="C4483"/>
      <c r="D4483"/>
      <c r="E4483"/>
      <c r="F4483"/>
      <c r="G4483"/>
      <c r="H4483" s="19"/>
      <c r="I4483" s="19"/>
      <c r="J4483" s="19"/>
      <c r="M4483" s="7"/>
    </row>
    <row r="4484" spans="2:13" x14ac:dyDescent="0.25">
      <c r="B4484"/>
      <c r="C4484"/>
      <c r="D4484"/>
      <c r="E4484"/>
      <c r="F4484"/>
      <c r="G4484"/>
      <c r="H4484" s="19"/>
      <c r="I4484" s="19"/>
      <c r="J4484" s="19"/>
      <c r="M4484" s="7"/>
    </row>
    <row r="4485" spans="2:13" x14ac:dyDescent="0.25">
      <c r="B4485"/>
      <c r="C4485"/>
      <c r="D4485"/>
      <c r="E4485"/>
      <c r="F4485"/>
      <c r="G4485"/>
      <c r="H4485" s="19"/>
      <c r="I4485" s="19"/>
      <c r="J4485" s="19"/>
      <c r="M4485" s="7"/>
    </row>
    <row r="4486" spans="2:13" x14ac:dyDescent="0.25">
      <c r="B4486"/>
      <c r="C4486"/>
      <c r="D4486"/>
      <c r="E4486"/>
      <c r="F4486"/>
      <c r="G4486"/>
      <c r="H4486" s="19"/>
      <c r="I4486" s="19"/>
      <c r="J4486" s="19"/>
      <c r="M4486" s="7"/>
    </row>
    <row r="4487" spans="2:13" x14ac:dyDescent="0.25">
      <c r="B4487"/>
      <c r="C4487"/>
      <c r="D4487"/>
      <c r="E4487"/>
      <c r="F4487"/>
      <c r="G4487"/>
      <c r="H4487" s="19"/>
      <c r="I4487" s="19"/>
      <c r="J4487" s="19"/>
      <c r="M4487" s="7"/>
    </row>
    <row r="4488" spans="2:13" x14ac:dyDescent="0.25">
      <c r="B4488"/>
      <c r="C4488"/>
      <c r="D4488"/>
      <c r="E4488"/>
      <c r="F4488"/>
      <c r="G4488"/>
      <c r="H4488" s="19"/>
      <c r="I4488" s="19"/>
      <c r="J4488" s="19"/>
      <c r="M4488" s="7"/>
    </row>
    <row r="4489" spans="2:13" x14ac:dyDescent="0.25">
      <c r="B4489"/>
      <c r="C4489"/>
      <c r="D4489"/>
      <c r="E4489"/>
      <c r="F4489"/>
      <c r="G4489"/>
      <c r="H4489" s="19"/>
      <c r="I4489" s="19"/>
      <c r="J4489" s="19"/>
      <c r="M4489" s="7"/>
    </row>
    <row r="4490" spans="2:13" x14ac:dyDescent="0.25">
      <c r="B4490"/>
      <c r="C4490"/>
      <c r="D4490"/>
      <c r="E4490"/>
      <c r="F4490"/>
      <c r="G4490"/>
      <c r="H4490" s="19"/>
      <c r="I4490" s="19"/>
      <c r="J4490" s="19"/>
      <c r="M4490" s="7"/>
    </row>
    <row r="4491" spans="2:13" x14ac:dyDescent="0.25">
      <c r="B4491"/>
      <c r="C4491"/>
      <c r="D4491"/>
      <c r="E4491"/>
      <c r="F4491"/>
      <c r="G4491"/>
      <c r="H4491" s="19"/>
      <c r="I4491" s="19"/>
      <c r="J4491" s="19"/>
      <c r="M4491" s="7"/>
    </row>
    <row r="4492" spans="2:13" x14ac:dyDescent="0.25">
      <c r="B4492"/>
      <c r="C4492"/>
      <c r="D4492"/>
      <c r="E4492"/>
      <c r="F4492"/>
      <c r="G4492"/>
      <c r="H4492" s="19"/>
      <c r="I4492" s="19"/>
      <c r="J4492" s="19"/>
      <c r="M4492" s="7"/>
    </row>
    <row r="4493" spans="2:13" x14ac:dyDescent="0.25">
      <c r="B4493"/>
      <c r="C4493"/>
      <c r="D4493"/>
      <c r="E4493"/>
      <c r="F4493"/>
      <c r="G4493"/>
      <c r="H4493" s="19"/>
      <c r="I4493" s="19"/>
      <c r="J4493" s="19"/>
      <c r="M4493" s="7"/>
    </row>
    <row r="4494" spans="2:13" x14ac:dyDescent="0.25">
      <c r="B4494"/>
      <c r="C4494"/>
      <c r="D4494"/>
      <c r="E4494"/>
      <c r="F4494"/>
      <c r="G4494"/>
      <c r="H4494" s="19"/>
      <c r="I4494" s="19"/>
      <c r="J4494" s="19"/>
      <c r="M4494" s="7"/>
    </row>
    <row r="4495" spans="2:13" x14ac:dyDescent="0.25">
      <c r="B4495"/>
      <c r="C4495"/>
      <c r="D4495"/>
      <c r="E4495"/>
      <c r="F4495"/>
      <c r="G4495"/>
      <c r="H4495" s="19"/>
      <c r="I4495" s="19"/>
      <c r="J4495" s="19"/>
      <c r="M4495" s="7"/>
    </row>
    <row r="4496" spans="2:13" x14ac:dyDescent="0.25">
      <c r="B4496"/>
      <c r="C4496"/>
      <c r="D4496"/>
      <c r="E4496"/>
      <c r="F4496"/>
      <c r="G4496"/>
      <c r="H4496" s="19"/>
      <c r="I4496" s="19"/>
      <c r="J4496" s="19"/>
      <c r="M4496" s="7"/>
    </row>
    <row r="4497" spans="2:13" x14ac:dyDescent="0.25">
      <c r="B4497"/>
      <c r="C4497"/>
      <c r="D4497"/>
      <c r="E4497"/>
      <c r="F4497"/>
      <c r="G4497"/>
      <c r="H4497" s="19"/>
      <c r="I4497" s="19"/>
      <c r="J4497" s="19"/>
      <c r="M4497" s="7"/>
    </row>
    <row r="4498" spans="2:13" x14ac:dyDescent="0.25">
      <c r="B4498"/>
      <c r="C4498"/>
      <c r="D4498"/>
      <c r="E4498"/>
      <c r="F4498"/>
      <c r="G4498"/>
      <c r="H4498" s="19"/>
      <c r="I4498" s="19"/>
      <c r="J4498" s="19"/>
      <c r="M4498" s="7"/>
    </row>
    <row r="4499" spans="2:13" x14ac:dyDescent="0.25">
      <c r="B4499"/>
      <c r="C4499"/>
      <c r="D4499"/>
      <c r="E4499"/>
      <c r="F4499"/>
      <c r="G4499"/>
      <c r="H4499" s="19"/>
      <c r="I4499" s="19"/>
      <c r="J4499" s="19"/>
      <c r="M4499" s="7"/>
    </row>
    <row r="4500" spans="2:13" x14ac:dyDescent="0.25">
      <c r="B4500"/>
      <c r="C4500"/>
      <c r="D4500"/>
      <c r="E4500"/>
      <c r="F4500"/>
      <c r="G4500"/>
      <c r="H4500" s="19"/>
      <c r="I4500" s="19"/>
      <c r="J4500" s="19"/>
      <c r="M4500" s="7"/>
    </row>
    <row r="4501" spans="2:13" x14ac:dyDescent="0.25">
      <c r="B4501"/>
      <c r="C4501"/>
      <c r="D4501"/>
      <c r="E4501"/>
      <c r="F4501"/>
      <c r="G4501"/>
      <c r="H4501" s="19"/>
      <c r="I4501" s="19"/>
      <c r="J4501" s="19"/>
      <c r="M4501" s="7"/>
    </row>
    <row r="4502" spans="2:13" x14ac:dyDescent="0.25">
      <c r="B4502"/>
      <c r="C4502"/>
      <c r="D4502"/>
      <c r="E4502"/>
      <c r="F4502"/>
      <c r="G4502"/>
      <c r="H4502" s="19"/>
      <c r="I4502" s="19"/>
      <c r="J4502" s="19"/>
      <c r="M4502" s="7"/>
    </row>
    <row r="4503" spans="2:13" x14ac:dyDescent="0.25">
      <c r="B4503"/>
      <c r="C4503"/>
      <c r="D4503"/>
      <c r="E4503"/>
      <c r="F4503"/>
      <c r="G4503"/>
      <c r="H4503" s="19"/>
      <c r="I4503" s="19"/>
      <c r="J4503" s="19"/>
      <c r="M4503" s="7"/>
    </row>
    <row r="4504" spans="2:13" x14ac:dyDescent="0.25">
      <c r="B4504"/>
      <c r="C4504"/>
      <c r="D4504"/>
      <c r="E4504"/>
      <c r="F4504"/>
      <c r="G4504"/>
      <c r="H4504" s="19"/>
      <c r="I4504" s="19"/>
      <c r="J4504" s="19"/>
      <c r="M4504" s="7"/>
    </row>
    <row r="4505" spans="2:13" x14ac:dyDescent="0.25">
      <c r="B4505"/>
      <c r="C4505"/>
      <c r="D4505"/>
      <c r="E4505"/>
      <c r="F4505"/>
      <c r="G4505"/>
      <c r="H4505" s="19"/>
      <c r="I4505" s="19"/>
      <c r="J4505" s="19"/>
      <c r="M4505" s="7"/>
    </row>
    <row r="4506" spans="2:13" x14ac:dyDescent="0.25">
      <c r="B4506"/>
      <c r="C4506"/>
      <c r="D4506"/>
      <c r="E4506"/>
      <c r="F4506"/>
      <c r="G4506"/>
      <c r="H4506" s="19"/>
      <c r="I4506" s="19"/>
      <c r="J4506" s="19"/>
      <c r="M4506" s="7"/>
    </row>
    <row r="4507" spans="2:13" x14ac:dyDescent="0.25">
      <c r="B4507"/>
      <c r="C4507"/>
      <c r="D4507"/>
      <c r="E4507"/>
      <c r="F4507"/>
      <c r="G4507"/>
      <c r="H4507" s="19"/>
      <c r="I4507" s="19"/>
      <c r="J4507" s="19"/>
      <c r="M4507" s="7"/>
    </row>
    <row r="4508" spans="2:13" x14ac:dyDescent="0.25">
      <c r="B4508"/>
      <c r="C4508"/>
      <c r="D4508"/>
      <c r="E4508"/>
      <c r="F4508"/>
      <c r="G4508"/>
      <c r="H4508" s="19"/>
      <c r="I4508" s="19"/>
      <c r="J4508" s="19"/>
      <c r="M4508" s="7"/>
    </row>
    <row r="4509" spans="2:13" x14ac:dyDescent="0.25">
      <c r="B4509"/>
      <c r="C4509"/>
      <c r="D4509"/>
      <c r="E4509"/>
      <c r="F4509"/>
      <c r="G4509"/>
      <c r="H4509" s="19"/>
      <c r="I4509" s="19"/>
      <c r="J4509" s="19"/>
      <c r="M4509" s="7"/>
    </row>
    <row r="4510" spans="2:13" x14ac:dyDescent="0.25">
      <c r="B4510"/>
      <c r="C4510"/>
      <c r="D4510"/>
      <c r="E4510"/>
      <c r="F4510"/>
      <c r="G4510"/>
      <c r="H4510" s="19"/>
      <c r="I4510" s="19"/>
      <c r="J4510" s="19"/>
      <c r="M4510" s="7"/>
    </row>
    <row r="4511" spans="2:13" x14ac:dyDescent="0.25">
      <c r="B4511"/>
      <c r="C4511"/>
      <c r="D4511"/>
      <c r="E4511"/>
      <c r="F4511"/>
      <c r="G4511"/>
      <c r="H4511" s="19"/>
      <c r="I4511" s="19"/>
      <c r="J4511" s="19"/>
      <c r="M4511" s="7"/>
    </row>
    <row r="4512" spans="2:13" x14ac:dyDescent="0.25">
      <c r="B4512"/>
      <c r="C4512"/>
      <c r="D4512"/>
      <c r="E4512"/>
      <c r="F4512"/>
      <c r="G4512"/>
      <c r="H4512" s="19"/>
      <c r="I4512" s="19"/>
      <c r="J4512" s="19"/>
      <c r="M4512" s="7"/>
    </row>
    <row r="4513" spans="2:13" x14ac:dyDescent="0.25">
      <c r="B4513"/>
      <c r="C4513"/>
      <c r="D4513"/>
      <c r="E4513"/>
      <c r="F4513"/>
      <c r="G4513"/>
      <c r="H4513" s="19"/>
      <c r="I4513" s="19"/>
      <c r="J4513" s="19"/>
      <c r="M4513" s="7"/>
    </row>
    <row r="4514" spans="2:13" x14ac:dyDescent="0.25">
      <c r="B4514"/>
      <c r="C4514"/>
      <c r="D4514"/>
      <c r="E4514"/>
      <c r="F4514"/>
      <c r="G4514"/>
      <c r="H4514" s="19"/>
      <c r="I4514" s="19"/>
      <c r="J4514" s="19"/>
      <c r="M4514" s="7"/>
    </row>
    <row r="4515" spans="2:13" x14ac:dyDescent="0.25">
      <c r="B4515"/>
      <c r="C4515"/>
      <c r="D4515"/>
      <c r="E4515"/>
      <c r="F4515"/>
      <c r="G4515"/>
      <c r="H4515" s="19"/>
      <c r="I4515" s="19"/>
      <c r="J4515" s="19"/>
      <c r="M4515" s="7"/>
    </row>
    <row r="4516" spans="2:13" x14ac:dyDescent="0.25">
      <c r="B4516"/>
      <c r="C4516"/>
      <c r="D4516"/>
      <c r="E4516"/>
      <c r="F4516"/>
      <c r="G4516"/>
      <c r="H4516" s="19"/>
      <c r="I4516" s="19"/>
      <c r="J4516" s="19"/>
      <c r="M4516" s="7"/>
    </row>
    <row r="4517" spans="2:13" x14ac:dyDescent="0.25">
      <c r="B4517"/>
      <c r="C4517"/>
      <c r="D4517"/>
      <c r="E4517"/>
      <c r="F4517"/>
      <c r="G4517"/>
      <c r="H4517" s="19"/>
      <c r="I4517" s="19"/>
      <c r="J4517" s="19"/>
      <c r="M4517" s="7"/>
    </row>
    <row r="4518" spans="2:13" x14ac:dyDescent="0.25">
      <c r="B4518"/>
      <c r="C4518"/>
      <c r="D4518"/>
      <c r="E4518"/>
      <c r="F4518"/>
      <c r="G4518"/>
      <c r="H4518" s="19"/>
      <c r="I4518" s="19"/>
      <c r="J4518" s="19"/>
      <c r="M4518" s="7"/>
    </row>
    <row r="4519" spans="2:13" x14ac:dyDescent="0.25">
      <c r="B4519"/>
      <c r="C4519"/>
      <c r="D4519"/>
      <c r="E4519"/>
      <c r="F4519"/>
      <c r="G4519"/>
      <c r="H4519" s="19"/>
      <c r="I4519" s="19"/>
      <c r="J4519" s="19"/>
      <c r="M4519" s="7"/>
    </row>
    <row r="4520" spans="2:13" x14ac:dyDescent="0.25">
      <c r="B4520"/>
      <c r="C4520"/>
      <c r="D4520"/>
      <c r="E4520"/>
      <c r="F4520"/>
      <c r="G4520"/>
      <c r="H4520" s="19"/>
      <c r="I4520" s="19"/>
      <c r="J4520" s="19"/>
      <c r="M4520" s="7"/>
    </row>
    <row r="4521" spans="2:13" x14ac:dyDescent="0.25">
      <c r="B4521"/>
      <c r="C4521"/>
      <c r="D4521"/>
      <c r="E4521"/>
      <c r="F4521"/>
      <c r="G4521"/>
      <c r="H4521" s="19"/>
      <c r="I4521" s="19"/>
      <c r="J4521" s="19"/>
      <c r="M4521" s="7"/>
    </row>
    <row r="4522" spans="2:13" x14ac:dyDescent="0.25">
      <c r="B4522"/>
      <c r="C4522"/>
      <c r="D4522"/>
      <c r="E4522"/>
      <c r="F4522"/>
      <c r="G4522"/>
      <c r="H4522" s="19"/>
      <c r="I4522" s="19"/>
      <c r="J4522" s="19"/>
      <c r="M4522" s="7"/>
    </row>
    <row r="4523" spans="2:13" x14ac:dyDescent="0.25">
      <c r="B4523"/>
      <c r="C4523"/>
      <c r="D4523"/>
      <c r="E4523"/>
      <c r="F4523"/>
      <c r="G4523"/>
      <c r="H4523" s="19"/>
      <c r="I4523" s="19"/>
      <c r="J4523" s="19"/>
      <c r="M4523" s="7"/>
    </row>
    <row r="4524" spans="2:13" x14ac:dyDescent="0.25">
      <c r="B4524"/>
      <c r="C4524"/>
      <c r="D4524"/>
      <c r="E4524"/>
      <c r="F4524"/>
      <c r="G4524"/>
      <c r="H4524" s="19"/>
      <c r="I4524" s="19"/>
      <c r="J4524" s="19"/>
      <c r="M4524" s="7"/>
    </row>
    <row r="4525" spans="2:13" x14ac:dyDescent="0.25">
      <c r="B4525"/>
      <c r="C4525"/>
      <c r="D4525"/>
      <c r="E4525"/>
      <c r="F4525"/>
      <c r="G4525"/>
      <c r="H4525" s="19"/>
      <c r="I4525" s="19"/>
      <c r="J4525" s="19"/>
      <c r="M4525" s="7"/>
    </row>
    <row r="4526" spans="2:13" x14ac:dyDescent="0.25">
      <c r="B4526"/>
      <c r="C4526"/>
      <c r="D4526"/>
      <c r="E4526"/>
      <c r="F4526"/>
      <c r="G4526"/>
      <c r="H4526" s="19"/>
      <c r="I4526" s="19"/>
      <c r="J4526" s="19"/>
      <c r="M4526" s="7"/>
    </row>
    <row r="4527" spans="2:13" x14ac:dyDescent="0.25">
      <c r="B4527"/>
      <c r="C4527"/>
      <c r="D4527"/>
      <c r="E4527"/>
      <c r="F4527"/>
      <c r="G4527"/>
      <c r="H4527" s="19"/>
      <c r="I4527" s="19"/>
      <c r="J4527" s="19"/>
      <c r="M4527" s="7"/>
    </row>
    <row r="4528" spans="2:13" x14ac:dyDescent="0.25">
      <c r="B4528"/>
      <c r="C4528"/>
      <c r="D4528"/>
      <c r="E4528"/>
      <c r="F4528"/>
      <c r="G4528"/>
      <c r="H4528" s="19"/>
      <c r="I4528" s="19"/>
      <c r="J4528" s="19"/>
      <c r="M4528" s="7"/>
    </row>
    <row r="4529" spans="2:13" x14ac:dyDescent="0.25">
      <c r="B4529"/>
      <c r="C4529"/>
      <c r="D4529"/>
      <c r="E4529"/>
      <c r="F4529"/>
      <c r="G4529"/>
      <c r="H4529" s="19"/>
      <c r="I4529" s="19"/>
      <c r="J4529" s="19"/>
      <c r="M4529" s="7"/>
    </row>
    <row r="4530" spans="2:13" x14ac:dyDescent="0.25">
      <c r="B4530"/>
      <c r="C4530"/>
      <c r="D4530"/>
      <c r="E4530"/>
      <c r="F4530"/>
      <c r="G4530"/>
      <c r="H4530" s="19"/>
      <c r="I4530" s="19"/>
      <c r="J4530" s="19"/>
      <c r="M4530" s="7"/>
    </row>
    <row r="4531" spans="2:13" x14ac:dyDescent="0.25">
      <c r="B4531"/>
      <c r="C4531"/>
      <c r="D4531"/>
      <c r="E4531"/>
      <c r="F4531"/>
      <c r="G4531"/>
      <c r="H4531" s="19"/>
      <c r="I4531" s="19"/>
      <c r="J4531" s="19"/>
      <c r="M4531" s="7"/>
    </row>
    <row r="4532" spans="2:13" x14ac:dyDescent="0.25">
      <c r="B4532"/>
      <c r="C4532"/>
      <c r="D4532"/>
      <c r="E4532"/>
      <c r="F4532"/>
      <c r="G4532"/>
      <c r="H4532" s="19"/>
      <c r="I4532" s="19"/>
      <c r="J4532" s="19"/>
      <c r="M4532" s="7"/>
    </row>
    <row r="4533" spans="2:13" x14ac:dyDescent="0.25">
      <c r="B4533"/>
      <c r="C4533"/>
      <c r="D4533"/>
      <c r="E4533"/>
      <c r="F4533"/>
      <c r="G4533"/>
      <c r="H4533" s="19"/>
      <c r="I4533" s="19"/>
      <c r="J4533" s="19"/>
      <c r="M4533" s="7"/>
    </row>
    <row r="4534" spans="2:13" x14ac:dyDescent="0.25">
      <c r="B4534"/>
      <c r="C4534"/>
      <c r="D4534"/>
      <c r="E4534"/>
      <c r="F4534"/>
      <c r="G4534"/>
      <c r="H4534" s="19"/>
      <c r="I4534" s="19"/>
      <c r="J4534" s="19"/>
      <c r="M4534" s="7"/>
    </row>
    <row r="4535" spans="2:13" x14ac:dyDescent="0.25">
      <c r="B4535"/>
      <c r="C4535"/>
      <c r="D4535"/>
      <c r="E4535"/>
      <c r="F4535"/>
      <c r="G4535"/>
      <c r="H4535" s="19"/>
      <c r="I4535" s="19"/>
      <c r="J4535" s="19"/>
      <c r="M4535" s="7"/>
    </row>
    <row r="4536" spans="2:13" x14ac:dyDescent="0.25">
      <c r="B4536"/>
      <c r="C4536"/>
      <c r="D4536"/>
      <c r="E4536"/>
      <c r="F4536"/>
      <c r="G4536"/>
      <c r="H4536" s="19"/>
      <c r="I4536" s="19"/>
      <c r="J4536" s="19"/>
      <c r="M4536" s="7"/>
    </row>
    <row r="4537" spans="2:13" x14ac:dyDescent="0.25">
      <c r="B4537"/>
      <c r="C4537"/>
      <c r="D4537"/>
      <c r="E4537"/>
      <c r="F4537"/>
      <c r="G4537"/>
      <c r="H4537" s="19"/>
      <c r="I4537" s="19"/>
      <c r="J4537" s="19"/>
      <c r="M4537" s="7"/>
    </row>
    <row r="4538" spans="2:13" x14ac:dyDescent="0.25">
      <c r="B4538"/>
      <c r="C4538"/>
      <c r="D4538"/>
      <c r="E4538"/>
      <c r="F4538"/>
      <c r="G4538"/>
      <c r="H4538" s="19"/>
      <c r="I4538" s="19"/>
      <c r="J4538" s="19"/>
      <c r="M4538" s="7"/>
    </row>
    <row r="4539" spans="2:13" x14ac:dyDescent="0.25">
      <c r="B4539"/>
      <c r="C4539"/>
      <c r="D4539"/>
      <c r="E4539"/>
      <c r="F4539"/>
      <c r="G4539"/>
      <c r="H4539" s="19"/>
      <c r="I4539" s="19"/>
      <c r="J4539" s="19"/>
      <c r="M4539" s="7"/>
    </row>
    <row r="4540" spans="2:13" x14ac:dyDescent="0.25">
      <c r="B4540"/>
      <c r="C4540"/>
      <c r="D4540"/>
      <c r="E4540"/>
      <c r="F4540"/>
      <c r="G4540"/>
      <c r="H4540" s="19"/>
      <c r="I4540" s="19"/>
      <c r="J4540" s="19"/>
      <c r="M4540" s="7"/>
    </row>
    <row r="4541" spans="2:13" x14ac:dyDescent="0.25">
      <c r="B4541"/>
      <c r="C4541"/>
      <c r="D4541"/>
      <c r="E4541"/>
      <c r="F4541"/>
      <c r="G4541"/>
      <c r="H4541" s="19"/>
      <c r="I4541" s="19"/>
      <c r="J4541" s="19"/>
      <c r="M4541" s="7"/>
    </row>
    <row r="4542" spans="2:13" x14ac:dyDescent="0.25">
      <c r="B4542"/>
      <c r="C4542"/>
      <c r="D4542"/>
      <c r="E4542"/>
      <c r="F4542"/>
      <c r="G4542"/>
      <c r="H4542" s="19"/>
      <c r="I4542" s="19"/>
      <c r="J4542" s="19"/>
      <c r="M4542" s="7"/>
    </row>
    <row r="4543" spans="2:13" x14ac:dyDescent="0.25">
      <c r="B4543"/>
      <c r="C4543"/>
      <c r="D4543"/>
      <c r="E4543"/>
      <c r="F4543"/>
      <c r="G4543"/>
      <c r="H4543" s="19"/>
      <c r="I4543" s="19"/>
      <c r="J4543" s="19"/>
      <c r="M4543" s="7"/>
    </row>
    <row r="4544" spans="2:13" x14ac:dyDescent="0.25">
      <c r="B4544"/>
      <c r="C4544"/>
      <c r="D4544"/>
      <c r="E4544"/>
      <c r="F4544"/>
      <c r="G4544"/>
      <c r="H4544" s="19"/>
      <c r="I4544" s="19"/>
      <c r="J4544" s="19"/>
      <c r="M4544" s="7"/>
    </row>
    <row r="4545" spans="2:13" x14ac:dyDescent="0.25">
      <c r="B4545"/>
      <c r="C4545"/>
      <c r="D4545"/>
      <c r="E4545"/>
      <c r="F4545"/>
      <c r="G4545"/>
      <c r="H4545" s="19"/>
      <c r="I4545" s="19"/>
      <c r="J4545" s="19"/>
      <c r="M4545" s="7"/>
    </row>
    <row r="4546" spans="2:13" x14ac:dyDescent="0.25">
      <c r="B4546"/>
      <c r="C4546"/>
      <c r="D4546"/>
      <c r="E4546"/>
      <c r="F4546"/>
      <c r="G4546"/>
      <c r="H4546" s="19"/>
      <c r="I4546" s="19"/>
      <c r="J4546" s="19"/>
      <c r="M4546" s="7"/>
    </row>
    <row r="4547" spans="2:13" x14ac:dyDescent="0.25">
      <c r="B4547"/>
      <c r="C4547"/>
      <c r="D4547"/>
      <c r="E4547"/>
      <c r="F4547"/>
      <c r="G4547"/>
      <c r="H4547" s="19"/>
      <c r="I4547" s="19"/>
      <c r="J4547" s="19"/>
      <c r="M4547" s="7"/>
    </row>
    <row r="4548" spans="2:13" x14ac:dyDescent="0.25">
      <c r="B4548"/>
      <c r="C4548"/>
      <c r="D4548"/>
      <c r="E4548"/>
      <c r="F4548"/>
      <c r="G4548"/>
      <c r="H4548" s="19"/>
      <c r="I4548" s="19"/>
      <c r="J4548" s="19"/>
      <c r="M4548" s="7"/>
    </row>
    <row r="4549" spans="2:13" x14ac:dyDescent="0.25">
      <c r="B4549"/>
      <c r="C4549"/>
      <c r="D4549"/>
      <c r="E4549"/>
      <c r="F4549"/>
      <c r="G4549"/>
      <c r="H4549" s="19"/>
      <c r="I4549" s="19"/>
      <c r="J4549" s="19"/>
      <c r="M4549" s="7"/>
    </row>
    <row r="4550" spans="2:13" x14ac:dyDescent="0.25">
      <c r="B4550"/>
      <c r="C4550"/>
      <c r="D4550"/>
      <c r="E4550"/>
      <c r="F4550"/>
      <c r="G4550"/>
      <c r="H4550" s="19"/>
      <c r="I4550" s="19"/>
      <c r="J4550" s="19"/>
      <c r="M4550" s="7"/>
    </row>
    <row r="4551" spans="2:13" x14ac:dyDescent="0.25">
      <c r="B4551"/>
      <c r="C4551"/>
      <c r="D4551"/>
      <c r="E4551"/>
      <c r="F4551"/>
      <c r="G4551"/>
      <c r="H4551" s="19"/>
      <c r="I4551" s="19"/>
      <c r="J4551" s="19"/>
      <c r="M4551" s="7"/>
    </row>
    <row r="4552" spans="2:13" x14ac:dyDescent="0.25">
      <c r="B4552"/>
      <c r="C4552"/>
      <c r="D4552"/>
      <c r="E4552"/>
      <c r="F4552"/>
      <c r="G4552"/>
      <c r="H4552" s="19"/>
      <c r="I4552" s="19"/>
      <c r="J4552" s="19"/>
      <c r="M4552" s="7"/>
    </row>
    <row r="4553" spans="2:13" x14ac:dyDescent="0.25">
      <c r="B4553"/>
      <c r="C4553"/>
      <c r="D4553"/>
      <c r="E4553"/>
      <c r="F4553"/>
      <c r="G4553"/>
      <c r="H4553" s="19"/>
      <c r="I4553" s="19"/>
      <c r="J4553" s="19"/>
      <c r="M4553" s="7"/>
    </row>
    <row r="4554" spans="2:13" x14ac:dyDescent="0.25">
      <c r="B4554"/>
      <c r="C4554"/>
      <c r="D4554"/>
      <c r="E4554"/>
      <c r="F4554"/>
      <c r="G4554"/>
      <c r="H4554" s="19"/>
      <c r="I4554" s="19"/>
      <c r="J4554" s="19"/>
      <c r="M4554" s="7"/>
    </row>
    <row r="4555" spans="2:13" x14ac:dyDescent="0.25">
      <c r="B4555"/>
      <c r="C4555"/>
      <c r="D4555"/>
      <c r="E4555"/>
      <c r="F4555"/>
      <c r="G4555"/>
      <c r="H4555" s="19"/>
      <c r="I4555" s="19"/>
      <c r="J4555" s="19"/>
      <c r="M4555" s="7"/>
    </row>
    <row r="4556" spans="2:13" x14ac:dyDescent="0.25">
      <c r="B4556"/>
      <c r="C4556"/>
      <c r="D4556"/>
      <c r="E4556"/>
      <c r="F4556"/>
      <c r="G4556"/>
      <c r="H4556" s="19"/>
      <c r="I4556" s="19"/>
      <c r="J4556" s="19"/>
      <c r="M4556" s="7"/>
    </row>
    <row r="4557" spans="2:13" x14ac:dyDescent="0.25">
      <c r="B4557"/>
      <c r="C4557"/>
      <c r="D4557"/>
      <c r="E4557"/>
      <c r="F4557"/>
      <c r="G4557"/>
      <c r="H4557" s="19"/>
      <c r="I4557" s="19"/>
      <c r="J4557" s="19"/>
      <c r="M4557" s="7"/>
    </row>
    <row r="4558" spans="2:13" x14ac:dyDescent="0.25">
      <c r="B4558"/>
      <c r="C4558"/>
      <c r="D4558"/>
      <c r="E4558"/>
      <c r="F4558"/>
      <c r="G4558"/>
      <c r="H4558" s="19"/>
      <c r="I4558" s="19"/>
      <c r="J4558" s="19"/>
      <c r="M4558" s="7"/>
    </row>
    <row r="4559" spans="2:13" x14ac:dyDescent="0.25">
      <c r="B4559"/>
      <c r="C4559"/>
      <c r="D4559"/>
      <c r="E4559"/>
      <c r="F4559"/>
      <c r="G4559"/>
      <c r="H4559" s="19"/>
      <c r="I4559" s="19"/>
      <c r="J4559" s="19"/>
      <c r="M4559" s="7"/>
    </row>
    <row r="4560" spans="2:13" x14ac:dyDescent="0.25">
      <c r="B4560"/>
      <c r="C4560"/>
      <c r="D4560"/>
      <c r="E4560"/>
      <c r="F4560"/>
      <c r="G4560"/>
      <c r="H4560" s="19"/>
      <c r="I4560" s="19"/>
      <c r="J4560" s="19"/>
      <c r="M4560" s="7"/>
    </row>
    <row r="4561" spans="2:13" x14ac:dyDescent="0.25">
      <c r="B4561"/>
      <c r="C4561"/>
      <c r="D4561"/>
      <c r="E4561"/>
      <c r="F4561"/>
      <c r="G4561"/>
      <c r="H4561" s="19"/>
      <c r="I4561" s="19"/>
      <c r="J4561" s="19"/>
      <c r="M4561" s="7"/>
    </row>
    <row r="4562" spans="2:13" x14ac:dyDescent="0.25">
      <c r="B4562"/>
      <c r="C4562"/>
      <c r="D4562"/>
      <c r="E4562"/>
      <c r="F4562"/>
      <c r="G4562"/>
      <c r="H4562" s="19"/>
      <c r="I4562" s="19"/>
      <c r="J4562" s="19"/>
      <c r="M4562" s="7"/>
    </row>
    <row r="4563" spans="2:13" x14ac:dyDescent="0.25">
      <c r="B4563"/>
      <c r="C4563"/>
      <c r="D4563"/>
      <c r="E4563"/>
      <c r="F4563"/>
      <c r="G4563"/>
      <c r="H4563" s="19"/>
      <c r="I4563" s="19"/>
      <c r="J4563" s="19"/>
      <c r="M4563" s="7"/>
    </row>
    <row r="4564" spans="2:13" x14ac:dyDescent="0.25">
      <c r="B4564"/>
      <c r="C4564"/>
      <c r="D4564"/>
      <c r="E4564"/>
      <c r="F4564"/>
      <c r="G4564"/>
      <c r="H4564" s="19"/>
      <c r="I4564" s="19"/>
      <c r="J4564" s="19"/>
      <c r="M4564" s="7"/>
    </row>
    <row r="4565" spans="2:13" x14ac:dyDescent="0.25">
      <c r="B4565"/>
      <c r="C4565"/>
      <c r="D4565"/>
      <c r="E4565"/>
      <c r="F4565"/>
      <c r="G4565"/>
      <c r="H4565" s="19"/>
      <c r="I4565" s="19"/>
      <c r="J4565" s="19"/>
      <c r="M4565" s="7"/>
    </row>
    <row r="4566" spans="2:13" x14ac:dyDescent="0.25">
      <c r="B4566"/>
      <c r="C4566"/>
      <c r="D4566"/>
      <c r="E4566"/>
      <c r="F4566"/>
      <c r="G4566"/>
      <c r="H4566" s="19"/>
      <c r="I4566" s="19"/>
      <c r="J4566" s="19"/>
      <c r="M4566" s="7"/>
    </row>
    <row r="4567" spans="2:13" x14ac:dyDescent="0.25">
      <c r="B4567"/>
      <c r="C4567"/>
      <c r="D4567"/>
      <c r="E4567"/>
      <c r="F4567"/>
      <c r="G4567"/>
      <c r="H4567" s="19"/>
      <c r="I4567" s="19"/>
      <c r="J4567" s="19"/>
      <c r="M4567" s="7"/>
    </row>
    <row r="4568" spans="2:13" x14ac:dyDescent="0.25">
      <c r="B4568"/>
      <c r="C4568"/>
      <c r="D4568"/>
      <c r="E4568"/>
      <c r="F4568"/>
      <c r="G4568"/>
      <c r="H4568" s="19"/>
      <c r="I4568" s="19"/>
      <c r="J4568" s="19"/>
      <c r="M4568" s="7"/>
    </row>
    <row r="4569" spans="2:13" x14ac:dyDescent="0.25">
      <c r="B4569"/>
      <c r="C4569"/>
      <c r="D4569"/>
      <c r="E4569"/>
      <c r="F4569"/>
      <c r="G4569"/>
      <c r="H4569" s="19"/>
      <c r="I4569" s="19"/>
      <c r="J4569" s="19"/>
      <c r="M4569" s="7"/>
    </row>
    <row r="4570" spans="2:13" x14ac:dyDescent="0.25">
      <c r="B4570"/>
      <c r="C4570"/>
      <c r="D4570"/>
      <c r="E4570"/>
      <c r="F4570"/>
      <c r="G4570"/>
      <c r="H4570" s="19"/>
      <c r="I4570" s="19"/>
      <c r="J4570" s="19"/>
      <c r="M4570" s="7"/>
    </row>
    <row r="4571" spans="2:13" x14ac:dyDescent="0.25">
      <c r="B4571"/>
      <c r="C4571"/>
      <c r="D4571"/>
      <c r="E4571"/>
      <c r="F4571"/>
      <c r="G4571"/>
      <c r="H4571" s="19"/>
      <c r="I4571" s="19"/>
      <c r="J4571" s="19"/>
      <c r="M4571" s="7"/>
    </row>
    <row r="4572" spans="2:13" x14ac:dyDescent="0.25">
      <c r="B4572"/>
      <c r="C4572"/>
      <c r="D4572"/>
      <c r="E4572"/>
      <c r="F4572"/>
      <c r="G4572"/>
      <c r="H4572" s="19"/>
      <c r="I4572" s="19"/>
      <c r="J4572" s="19"/>
      <c r="M4572" s="7"/>
    </row>
    <row r="4573" spans="2:13" x14ac:dyDescent="0.25">
      <c r="B4573"/>
      <c r="C4573"/>
      <c r="D4573"/>
      <c r="E4573"/>
      <c r="F4573"/>
      <c r="G4573"/>
      <c r="H4573" s="19"/>
      <c r="I4573" s="19"/>
      <c r="J4573" s="19"/>
      <c r="M4573" s="7"/>
    </row>
    <row r="4574" spans="2:13" x14ac:dyDescent="0.25">
      <c r="B4574"/>
      <c r="C4574"/>
      <c r="D4574"/>
      <c r="E4574"/>
      <c r="F4574"/>
      <c r="G4574"/>
      <c r="H4574" s="19"/>
      <c r="I4574" s="19"/>
      <c r="J4574" s="19"/>
      <c r="M4574" s="7"/>
    </row>
    <row r="4575" spans="2:13" x14ac:dyDescent="0.25">
      <c r="B4575"/>
      <c r="C4575"/>
      <c r="D4575"/>
      <c r="E4575"/>
      <c r="F4575"/>
      <c r="G4575"/>
      <c r="H4575" s="19"/>
      <c r="I4575" s="19"/>
      <c r="J4575" s="19"/>
      <c r="M4575" s="7"/>
    </row>
    <row r="4576" spans="2:13" x14ac:dyDescent="0.25">
      <c r="B4576"/>
      <c r="C4576"/>
      <c r="D4576"/>
      <c r="E4576"/>
      <c r="F4576"/>
      <c r="G4576"/>
      <c r="H4576" s="19"/>
      <c r="I4576" s="19"/>
      <c r="J4576" s="19"/>
      <c r="M4576" s="7"/>
    </row>
    <row r="4577" spans="2:13" x14ac:dyDescent="0.25">
      <c r="B4577"/>
      <c r="C4577"/>
      <c r="D4577"/>
      <c r="E4577"/>
      <c r="F4577"/>
      <c r="G4577"/>
      <c r="H4577" s="19"/>
      <c r="I4577" s="19"/>
      <c r="J4577" s="19"/>
      <c r="M4577" s="7"/>
    </row>
    <row r="4578" spans="2:13" x14ac:dyDescent="0.25">
      <c r="B4578"/>
      <c r="C4578"/>
      <c r="D4578"/>
      <c r="E4578"/>
      <c r="F4578"/>
      <c r="G4578"/>
      <c r="H4578" s="19"/>
      <c r="I4578" s="19"/>
      <c r="J4578" s="19"/>
      <c r="M4578" s="7"/>
    </row>
    <row r="4579" spans="2:13" x14ac:dyDescent="0.25">
      <c r="B4579"/>
      <c r="C4579"/>
      <c r="D4579"/>
      <c r="E4579"/>
      <c r="F4579"/>
      <c r="G4579"/>
      <c r="H4579" s="19"/>
      <c r="I4579" s="19"/>
      <c r="J4579" s="19"/>
      <c r="M4579" s="7"/>
    </row>
    <row r="4580" spans="2:13" x14ac:dyDescent="0.25">
      <c r="B4580"/>
      <c r="C4580"/>
      <c r="D4580"/>
      <c r="E4580"/>
      <c r="F4580"/>
      <c r="G4580"/>
      <c r="H4580" s="19"/>
      <c r="I4580" s="19"/>
      <c r="J4580" s="19"/>
      <c r="M4580" s="7"/>
    </row>
    <row r="4581" spans="2:13" x14ac:dyDescent="0.25">
      <c r="B4581"/>
      <c r="C4581"/>
      <c r="D4581"/>
      <c r="E4581"/>
      <c r="F4581"/>
      <c r="G4581"/>
      <c r="H4581" s="19"/>
      <c r="I4581" s="19"/>
      <c r="J4581" s="19"/>
      <c r="M4581" s="7"/>
    </row>
    <row r="4582" spans="2:13" x14ac:dyDescent="0.25">
      <c r="B4582"/>
      <c r="C4582"/>
      <c r="D4582"/>
      <c r="E4582"/>
      <c r="F4582"/>
      <c r="G4582"/>
      <c r="H4582" s="19"/>
      <c r="I4582" s="19"/>
      <c r="J4582" s="19"/>
      <c r="M4582" s="7"/>
    </row>
    <row r="4583" spans="2:13" x14ac:dyDescent="0.25">
      <c r="B4583"/>
      <c r="C4583"/>
      <c r="D4583"/>
      <c r="E4583"/>
      <c r="F4583"/>
      <c r="G4583"/>
      <c r="H4583" s="19"/>
      <c r="I4583" s="19"/>
      <c r="J4583" s="19"/>
      <c r="M4583" s="7"/>
    </row>
    <row r="4584" spans="2:13" x14ac:dyDescent="0.25">
      <c r="B4584"/>
      <c r="C4584"/>
      <c r="D4584"/>
      <c r="E4584"/>
      <c r="F4584"/>
      <c r="G4584"/>
      <c r="H4584" s="19"/>
      <c r="I4584" s="19"/>
      <c r="J4584" s="19"/>
      <c r="M4584" s="7"/>
    </row>
    <row r="4585" spans="2:13" x14ac:dyDescent="0.25">
      <c r="B4585"/>
      <c r="C4585"/>
      <c r="D4585"/>
      <c r="E4585"/>
      <c r="F4585"/>
      <c r="G4585"/>
      <c r="H4585" s="19"/>
      <c r="I4585" s="19"/>
      <c r="J4585" s="19"/>
      <c r="M4585" s="7"/>
    </row>
    <row r="4586" spans="2:13" x14ac:dyDescent="0.25">
      <c r="B4586"/>
      <c r="C4586"/>
      <c r="D4586"/>
      <c r="E4586"/>
      <c r="F4586"/>
      <c r="G4586"/>
      <c r="H4586" s="19"/>
      <c r="I4586" s="19"/>
      <c r="J4586" s="19"/>
      <c r="M4586" s="7"/>
    </row>
    <row r="4587" spans="2:13" x14ac:dyDescent="0.25">
      <c r="B4587"/>
      <c r="C4587"/>
      <c r="D4587"/>
      <c r="E4587"/>
      <c r="F4587"/>
      <c r="G4587"/>
      <c r="H4587" s="19"/>
      <c r="I4587" s="19"/>
      <c r="J4587" s="19"/>
      <c r="M4587" s="7"/>
    </row>
    <row r="4588" spans="2:13" x14ac:dyDescent="0.25">
      <c r="B4588"/>
      <c r="C4588"/>
      <c r="D4588"/>
      <c r="E4588"/>
      <c r="F4588"/>
      <c r="G4588"/>
      <c r="H4588" s="19"/>
      <c r="I4588" s="19"/>
      <c r="J4588" s="19"/>
      <c r="M4588" s="7"/>
    </row>
    <row r="4589" spans="2:13" x14ac:dyDescent="0.25">
      <c r="B4589"/>
      <c r="C4589"/>
      <c r="D4589"/>
      <c r="E4589"/>
      <c r="F4589"/>
      <c r="G4589"/>
      <c r="H4589" s="19"/>
      <c r="I4589" s="19"/>
      <c r="J4589" s="19"/>
      <c r="M4589" s="7"/>
    </row>
    <row r="4590" spans="2:13" x14ac:dyDescent="0.25">
      <c r="B4590"/>
      <c r="C4590"/>
      <c r="D4590"/>
      <c r="E4590"/>
      <c r="F4590"/>
      <c r="G4590"/>
      <c r="H4590" s="19"/>
      <c r="I4590" s="19"/>
      <c r="J4590" s="19"/>
      <c r="M4590" s="7"/>
    </row>
    <row r="4591" spans="2:13" x14ac:dyDescent="0.25">
      <c r="B4591"/>
      <c r="C4591"/>
      <c r="D4591"/>
      <c r="E4591"/>
      <c r="F4591"/>
      <c r="G4591"/>
      <c r="H4591" s="19"/>
      <c r="I4591" s="19"/>
      <c r="J4591" s="19"/>
      <c r="M4591" s="7"/>
    </row>
    <row r="4592" spans="2:13" x14ac:dyDescent="0.25">
      <c r="B4592"/>
      <c r="C4592"/>
      <c r="D4592"/>
      <c r="E4592"/>
      <c r="F4592"/>
      <c r="G4592"/>
      <c r="H4592" s="19"/>
      <c r="I4592" s="19"/>
      <c r="J4592" s="19"/>
      <c r="M4592" s="7"/>
    </row>
    <row r="4593" spans="2:13" x14ac:dyDescent="0.25">
      <c r="B4593"/>
      <c r="C4593"/>
      <c r="D4593"/>
      <c r="E4593"/>
      <c r="F4593"/>
      <c r="G4593"/>
      <c r="H4593" s="19"/>
      <c r="I4593" s="19"/>
      <c r="J4593" s="19"/>
      <c r="M4593" s="7"/>
    </row>
    <row r="4594" spans="2:13" x14ac:dyDescent="0.25">
      <c r="B4594"/>
      <c r="C4594"/>
      <c r="D4594"/>
      <c r="E4594"/>
      <c r="F4594"/>
      <c r="G4594"/>
      <c r="H4594" s="19"/>
      <c r="I4594" s="19"/>
      <c r="J4594" s="19"/>
      <c r="M4594" s="7"/>
    </row>
    <row r="4595" spans="2:13" x14ac:dyDescent="0.25">
      <c r="B4595"/>
      <c r="C4595"/>
      <c r="D4595"/>
      <c r="E4595"/>
      <c r="F4595"/>
      <c r="G4595"/>
      <c r="H4595" s="19"/>
      <c r="I4595" s="19"/>
      <c r="J4595" s="19"/>
      <c r="M4595" s="7"/>
    </row>
    <row r="4596" spans="2:13" x14ac:dyDescent="0.25">
      <c r="B4596"/>
      <c r="C4596"/>
      <c r="D4596"/>
      <c r="E4596"/>
      <c r="F4596"/>
      <c r="G4596"/>
      <c r="H4596" s="19"/>
      <c r="I4596" s="19"/>
      <c r="J4596" s="19"/>
      <c r="M4596" s="7"/>
    </row>
    <row r="4597" spans="2:13" x14ac:dyDescent="0.25">
      <c r="B4597"/>
      <c r="C4597"/>
      <c r="D4597"/>
      <c r="E4597"/>
      <c r="F4597"/>
      <c r="G4597"/>
      <c r="H4597" s="19"/>
      <c r="I4597" s="19"/>
      <c r="J4597" s="19"/>
      <c r="M4597" s="7"/>
    </row>
    <row r="4598" spans="2:13" x14ac:dyDescent="0.25">
      <c r="B4598"/>
      <c r="C4598"/>
      <c r="D4598"/>
      <c r="E4598"/>
      <c r="F4598"/>
      <c r="G4598"/>
      <c r="H4598" s="19"/>
      <c r="I4598" s="19"/>
      <c r="J4598" s="19"/>
      <c r="M4598" s="7"/>
    </row>
    <row r="4599" spans="2:13" x14ac:dyDescent="0.25">
      <c r="B4599"/>
      <c r="C4599"/>
      <c r="D4599"/>
      <c r="E4599"/>
      <c r="F4599"/>
      <c r="G4599"/>
      <c r="H4599" s="19"/>
      <c r="I4599" s="19"/>
      <c r="J4599" s="19"/>
      <c r="M4599" s="7"/>
    </row>
    <row r="4600" spans="2:13" x14ac:dyDescent="0.25">
      <c r="B4600"/>
      <c r="C4600"/>
      <c r="D4600"/>
      <c r="E4600"/>
      <c r="F4600"/>
      <c r="G4600"/>
      <c r="H4600" s="19"/>
      <c r="I4600" s="19"/>
      <c r="J4600" s="19"/>
      <c r="M4600" s="7"/>
    </row>
    <row r="4601" spans="2:13" x14ac:dyDescent="0.25">
      <c r="B4601"/>
      <c r="C4601"/>
      <c r="D4601"/>
      <c r="E4601"/>
      <c r="F4601"/>
      <c r="G4601"/>
      <c r="H4601" s="19"/>
      <c r="I4601" s="19"/>
      <c r="J4601" s="19"/>
      <c r="M4601" s="7"/>
    </row>
    <row r="4602" spans="2:13" x14ac:dyDescent="0.25">
      <c r="B4602"/>
      <c r="C4602"/>
      <c r="D4602"/>
      <c r="E4602"/>
      <c r="F4602"/>
      <c r="G4602"/>
      <c r="H4602" s="19"/>
      <c r="I4602" s="19"/>
      <c r="J4602" s="19"/>
      <c r="M4602" s="7"/>
    </row>
    <row r="4603" spans="2:13" x14ac:dyDescent="0.25">
      <c r="B4603"/>
      <c r="C4603"/>
      <c r="D4603"/>
      <c r="E4603"/>
      <c r="F4603"/>
      <c r="G4603"/>
      <c r="H4603" s="19"/>
      <c r="I4603" s="19"/>
      <c r="J4603" s="19"/>
      <c r="M4603" s="7"/>
    </row>
    <row r="4604" spans="2:13" x14ac:dyDescent="0.25">
      <c r="B4604"/>
      <c r="C4604"/>
      <c r="D4604"/>
      <c r="E4604"/>
      <c r="F4604"/>
      <c r="G4604"/>
      <c r="H4604" s="19"/>
      <c r="I4604" s="19"/>
      <c r="J4604" s="19"/>
      <c r="M4604" s="7"/>
    </row>
    <row r="4605" spans="2:13" x14ac:dyDescent="0.25">
      <c r="B4605"/>
      <c r="C4605"/>
      <c r="D4605"/>
      <c r="E4605"/>
      <c r="F4605"/>
      <c r="G4605"/>
      <c r="H4605" s="19"/>
      <c r="I4605" s="19"/>
      <c r="J4605" s="19"/>
      <c r="M4605" s="7"/>
    </row>
    <row r="4606" spans="2:13" x14ac:dyDescent="0.25">
      <c r="B4606"/>
      <c r="C4606"/>
      <c r="D4606"/>
      <c r="E4606"/>
      <c r="F4606"/>
      <c r="G4606"/>
      <c r="H4606" s="19"/>
      <c r="I4606" s="19"/>
      <c r="J4606" s="19"/>
      <c r="M4606" s="7"/>
    </row>
    <row r="4607" spans="2:13" x14ac:dyDescent="0.25">
      <c r="B4607"/>
      <c r="C4607"/>
      <c r="D4607"/>
      <c r="E4607"/>
      <c r="F4607"/>
      <c r="G4607"/>
      <c r="H4607" s="19"/>
      <c r="I4607" s="19"/>
      <c r="J4607" s="19"/>
      <c r="M4607" s="7"/>
    </row>
    <row r="4608" spans="2:13" x14ac:dyDescent="0.25">
      <c r="B4608"/>
      <c r="C4608"/>
      <c r="D4608"/>
      <c r="E4608"/>
      <c r="F4608"/>
      <c r="G4608"/>
      <c r="H4608" s="19"/>
      <c r="I4608" s="19"/>
      <c r="J4608" s="19"/>
      <c r="M4608" s="7"/>
    </row>
    <row r="4609" spans="2:13" x14ac:dyDescent="0.25">
      <c r="B4609"/>
      <c r="C4609"/>
      <c r="D4609"/>
      <c r="E4609"/>
      <c r="F4609"/>
      <c r="G4609"/>
      <c r="H4609" s="19"/>
      <c r="I4609" s="19"/>
      <c r="J4609" s="19"/>
      <c r="M4609" s="7"/>
    </row>
    <row r="4610" spans="2:13" x14ac:dyDescent="0.25">
      <c r="B4610"/>
      <c r="C4610"/>
      <c r="D4610"/>
      <c r="E4610"/>
      <c r="F4610"/>
      <c r="G4610"/>
      <c r="H4610" s="19"/>
      <c r="I4610" s="19"/>
      <c r="J4610" s="19"/>
      <c r="M4610" s="7"/>
    </row>
    <row r="4611" spans="2:13" x14ac:dyDescent="0.25">
      <c r="B4611"/>
      <c r="C4611"/>
      <c r="D4611"/>
      <c r="E4611"/>
      <c r="F4611"/>
      <c r="G4611"/>
      <c r="H4611" s="19"/>
      <c r="I4611" s="19"/>
      <c r="J4611" s="19"/>
      <c r="M4611" s="7"/>
    </row>
    <row r="4612" spans="2:13" x14ac:dyDescent="0.25">
      <c r="B4612"/>
      <c r="C4612"/>
      <c r="D4612"/>
      <c r="E4612"/>
      <c r="F4612"/>
      <c r="G4612"/>
      <c r="H4612" s="19"/>
      <c r="I4612" s="19"/>
      <c r="J4612" s="19"/>
      <c r="M4612" s="7"/>
    </row>
    <row r="4613" spans="2:13" x14ac:dyDescent="0.25">
      <c r="B4613"/>
      <c r="C4613"/>
      <c r="D4613"/>
      <c r="E4613"/>
      <c r="F4613"/>
      <c r="G4613"/>
      <c r="H4613" s="19"/>
      <c r="I4613" s="19"/>
      <c r="J4613" s="19"/>
      <c r="M4613" s="7"/>
    </row>
    <row r="4614" spans="2:13" x14ac:dyDescent="0.25">
      <c r="B4614"/>
      <c r="C4614"/>
      <c r="D4614"/>
      <c r="E4614"/>
      <c r="F4614"/>
      <c r="G4614"/>
      <c r="H4614" s="19"/>
      <c r="I4614" s="19"/>
      <c r="J4614" s="19"/>
      <c r="M4614" s="7"/>
    </row>
    <row r="4615" spans="2:13" x14ac:dyDescent="0.25">
      <c r="B4615"/>
      <c r="C4615"/>
      <c r="D4615"/>
      <c r="E4615"/>
      <c r="F4615"/>
      <c r="G4615"/>
      <c r="H4615" s="19"/>
      <c r="I4615" s="19"/>
      <c r="J4615" s="19"/>
      <c r="M4615" s="7"/>
    </row>
    <row r="4616" spans="2:13" x14ac:dyDescent="0.25">
      <c r="B4616"/>
      <c r="C4616"/>
      <c r="D4616"/>
      <c r="E4616"/>
      <c r="F4616"/>
      <c r="G4616"/>
      <c r="H4616" s="19"/>
      <c r="I4616" s="19"/>
      <c r="J4616" s="19"/>
      <c r="M4616" s="7"/>
    </row>
    <row r="4617" spans="2:13" x14ac:dyDescent="0.25">
      <c r="B4617"/>
      <c r="C4617"/>
      <c r="D4617"/>
      <c r="E4617"/>
      <c r="F4617"/>
      <c r="G4617"/>
      <c r="H4617" s="19"/>
      <c r="I4617" s="19"/>
      <c r="J4617" s="19"/>
      <c r="M4617" s="7"/>
    </row>
    <row r="4618" spans="2:13" x14ac:dyDescent="0.25">
      <c r="B4618"/>
      <c r="C4618"/>
      <c r="D4618"/>
      <c r="E4618"/>
      <c r="F4618"/>
      <c r="G4618"/>
      <c r="H4618" s="19"/>
      <c r="I4618" s="19"/>
      <c r="J4618" s="19"/>
      <c r="M4618" s="7"/>
    </row>
    <row r="4619" spans="2:13" x14ac:dyDescent="0.25">
      <c r="B4619"/>
      <c r="C4619"/>
      <c r="D4619"/>
      <c r="E4619"/>
      <c r="F4619"/>
      <c r="G4619"/>
      <c r="H4619" s="19"/>
      <c r="I4619" s="19"/>
      <c r="J4619" s="19"/>
      <c r="M4619" s="7"/>
    </row>
    <row r="4620" spans="2:13" x14ac:dyDescent="0.25">
      <c r="B4620"/>
      <c r="C4620"/>
      <c r="D4620"/>
      <c r="E4620"/>
      <c r="F4620"/>
      <c r="G4620"/>
      <c r="H4620" s="19"/>
      <c r="I4620" s="19"/>
      <c r="J4620" s="19"/>
      <c r="M4620" s="7"/>
    </row>
    <row r="4621" spans="2:13" x14ac:dyDescent="0.25">
      <c r="B4621"/>
      <c r="C4621"/>
      <c r="D4621"/>
      <c r="E4621"/>
      <c r="F4621"/>
      <c r="G4621"/>
      <c r="H4621" s="19"/>
      <c r="I4621" s="19"/>
      <c r="J4621" s="19"/>
      <c r="M4621" s="7"/>
    </row>
    <row r="4622" spans="2:13" x14ac:dyDescent="0.25">
      <c r="B4622"/>
      <c r="C4622"/>
      <c r="D4622"/>
      <c r="E4622"/>
      <c r="F4622"/>
      <c r="G4622"/>
      <c r="H4622" s="19"/>
      <c r="I4622" s="19"/>
      <c r="J4622" s="19"/>
      <c r="M4622" s="7"/>
    </row>
    <row r="4623" spans="2:13" x14ac:dyDescent="0.25">
      <c r="B4623"/>
      <c r="C4623"/>
      <c r="D4623"/>
      <c r="E4623"/>
      <c r="F4623"/>
      <c r="G4623"/>
      <c r="H4623" s="19"/>
      <c r="I4623" s="19"/>
      <c r="J4623" s="19"/>
      <c r="M4623" s="7"/>
    </row>
    <row r="4624" spans="2:13" x14ac:dyDescent="0.25">
      <c r="B4624"/>
      <c r="C4624"/>
      <c r="D4624"/>
      <c r="E4624"/>
      <c r="F4624"/>
      <c r="G4624"/>
      <c r="H4624" s="19"/>
      <c r="I4624" s="19"/>
      <c r="J4624" s="19"/>
      <c r="M4624" s="7"/>
    </row>
    <row r="4625" spans="2:13" x14ac:dyDescent="0.25">
      <c r="B4625"/>
      <c r="C4625"/>
      <c r="D4625"/>
      <c r="E4625"/>
      <c r="F4625"/>
      <c r="G4625"/>
      <c r="H4625" s="19"/>
      <c r="I4625" s="19"/>
      <c r="J4625" s="19"/>
      <c r="M4625" s="7"/>
    </row>
    <row r="4626" spans="2:13" x14ac:dyDescent="0.25">
      <c r="B4626"/>
      <c r="C4626"/>
      <c r="D4626"/>
      <c r="E4626"/>
      <c r="F4626"/>
      <c r="G4626"/>
      <c r="H4626" s="19"/>
      <c r="I4626" s="19"/>
      <c r="J4626" s="19"/>
      <c r="M4626" s="7"/>
    </row>
    <row r="4627" spans="2:13" x14ac:dyDescent="0.25">
      <c r="B4627"/>
      <c r="C4627"/>
      <c r="D4627"/>
      <c r="E4627"/>
      <c r="F4627"/>
      <c r="G4627"/>
      <c r="H4627" s="19"/>
      <c r="I4627" s="19"/>
      <c r="J4627" s="19"/>
      <c r="M4627" s="7"/>
    </row>
    <row r="4628" spans="2:13" x14ac:dyDescent="0.25">
      <c r="B4628"/>
      <c r="C4628"/>
      <c r="D4628"/>
      <c r="E4628"/>
      <c r="F4628"/>
      <c r="G4628"/>
      <c r="H4628" s="19"/>
      <c r="I4628" s="19"/>
      <c r="J4628" s="19"/>
      <c r="M4628" s="7"/>
    </row>
    <row r="4629" spans="2:13" x14ac:dyDescent="0.25">
      <c r="B4629"/>
      <c r="C4629"/>
      <c r="D4629"/>
      <c r="E4629"/>
      <c r="F4629"/>
      <c r="G4629"/>
      <c r="H4629" s="19"/>
      <c r="I4629" s="19"/>
      <c r="J4629" s="19"/>
      <c r="M4629" s="7"/>
    </row>
    <row r="4630" spans="2:13" x14ac:dyDescent="0.25">
      <c r="B4630"/>
      <c r="C4630"/>
      <c r="D4630"/>
      <c r="E4630"/>
      <c r="F4630"/>
      <c r="G4630"/>
      <c r="H4630" s="19"/>
      <c r="I4630" s="19"/>
      <c r="J4630" s="19"/>
      <c r="M4630" s="7"/>
    </row>
    <row r="4631" spans="2:13" x14ac:dyDescent="0.25">
      <c r="B4631"/>
      <c r="C4631"/>
      <c r="D4631"/>
      <c r="E4631"/>
      <c r="F4631"/>
      <c r="G4631"/>
      <c r="H4631" s="19"/>
      <c r="I4631" s="19"/>
      <c r="J4631" s="19"/>
      <c r="M4631" s="7"/>
    </row>
    <row r="4632" spans="2:13" x14ac:dyDescent="0.25">
      <c r="B4632"/>
      <c r="C4632"/>
      <c r="D4632"/>
      <c r="E4632"/>
      <c r="F4632"/>
      <c r="G4632"/>
      <c r="H4632" s="19"/>
      <c r="I4632" s="19"/>
      <c r="J4632" s="19"/>
      <c r="M4632" s="7"/>
    </row>
    <row r="4633" spans="2:13" x14ac:dyDescent="0.25">
      <c r="B4633"/>
      <c r="C4633"/>
      <c r="D4633"/>
      <c r="E4633"/>
      <c r="F4633"/>
      <c r="G4633"/>
      <c r="H4633" s="19"/>
      <c r="I4633" s="19"/>
      <c r="J4633" s="19"/>
      <c r="M4633" s="7"/>
    </row>
    <row r="4634" spans="2:13" x14ac:dyDescent="0.25">
      <c r="B4634"/>
      <c r="C4634"/>
      <c r="D4634"/>
      <c r="E4634"/>
      <c r="F4634"/>
      <c r="G4634"/>
      <c r="H4634" s="19"/>
      <c r="I4634" s="19"/>
      <c r="J4634" s="19"/>
      <c r="M4634" s="7"/>
    </row>
    <row r="4635" spans="2:13" x14ac:dyDescent="0.25">
      <c r="B4635"/>
      <c r="C4635"/>
      <c r="D4635"/>
      <c r="E4635"/>
      <c r="F4635"/>
      <c r="G4635"/>
      <c r="H4635" s="19"/>
      <c r="I4635" s="19"/>
      <c r="J4635" s="19"/>
      <c r="M4635" s="7"/>
    </row>
    <row r="4636" spans="2:13" x14ac:dyDescent="0.25">
      <c r="B4636"/>
      <c r="C4636"/>
      <c r="D4636"/>
      <c r="E4636"/>
      <c r="F4636"/>
      <c r="G4636"/>
      <c r="H4636" s="19"/>
      <c r="I4636" s="19"/>
      <c r="J4636" s="19"/>
      <c r="M4636" s="7"/>
    </row>
    <row r="4637" spans="2:13" x14ac:dyDescent="0.25">
      <c r="B4637"/>
      <c r="C4637"/>
      <c r="D4637"/>
      <c r="E4637"/>
      <c r="F4637"/>
      <c r="G4637"/>
      <c r="H4637" s="19"/>
      <c r="I4637" s="19"/>
      <c r="J4637" s="19"/>
      <c r="M4637" s="7"/>
    </row>
    <row r="4638" spans="2:13" x14ac:dyDescent="0.25">
      <c r="B4638"/>
      <c r="C4638"/>
      <c r="D4638"/>
      <c r="E4638"/>
      <c r="F4638"/>
      <c r="G4638"/>
      <c r="H4638" s="19"/>
      <c r="I4638" s="19"/>
      <c r="J4638" s="19"/>
      <c r="M4638" s="7"/>
    </row>
    <row r="4639" spans="2:13" x14ac:dyDescent="0.25">
      <c r="B4639"/>
      <c r="C4639"/>
      <c r="D4639"/>
      <c r="E4639"/>
      <c r="F4639"/>
      <c r="G4639"/>
      <c r="H4639" s="19"/>
      <c r="I4639" s="19"/>
      <c r="J4639" s="19"/>
      <c r="M4639" s="7"/>
    </row>
    <row r="4640" spans="2:13" x14ac:dyDescent="0.25">
      <c r="B4640"/>
      <c r="C4640"/>
      <c r="D4640"/>
      <c r="E4640"/>
      <c r="F4640"/>
      <c r="G4640"/>
      <c r="H4640" s="19"/>
      <c r="I4640" s="19"/>
      <c r="J4640" s="19"/>
      <c r="M4640" s="7"/>
    </row>
    <row r="4641" spans="2:13" x14ac:dyDescent="0.25">
      <c r="B4641"/>
      <c r="C4641"/>
      <c r="D4641"/>
      <c r="E4641"/>
      <c r="F4641"/>
      <c r="G4641"/>
      <c r="H4641" s="19"/>
      <c r="I4641" s="19"/>
      <c r="J4641" s="19"/>
      <c r="M4641" s="7"/>
    </row>
    <row r="4642" spans="2:13" x14ac:dyDescent="0.25">
      <c r="B4642"/>
      <c r="C4642"/>
      <c r="D4642"/>
      <c r="E4642"/>
      <c r="F4642"/>
      <c r="G4642"/>
      <c r="H4642" s="19"/>
      <c r="I4642" s="19"/>
      <c r="J4642" s="19"/>
      <c r="M4642" s="7"/>
    </row>
    <row r="4643" spans="2:13" x14ac:dyDescent="0.25">
      <c r="B4643"/>
      <c r="C4643"/>
      <c r="D4643"/>
      <c r="E4643"/>
      <c r="F4643"/>
      <c r="G4643"/>
      <c r="H4643" s="19"/>
      <c r="I4643" s="19"/>
      <c r="J4643" s="19"/>
      <c r="M4643" s="7"/>
    </row>
    <row r="4644" spans="2:13" x14ac:dyDescent="0.25">
      <c r="B4644"/>
      <c r="C4644"/>
      <c r="D4644"/>
      <c r="E4644"/>
      <c r="F4644"/>
      <c r="G4644"/>
      <c r="H4644" s="19"/>
      <c r="I4644" s="19"/>
      <c r="J4644" s="19"/>
      <c r="M4644" s="7"/>
    </row>
    <row r="4645" spans="2:13" x14ac:dyDescent="0.25">
      <c r="B4645"/>
      <c r="C4645"/>
      <c r="D4645"/>
      <c r="E4645"/>
      <c r="F4645"/>
      <c r="G4645"/>
      <c r="H4645" s="19"/>
      <c r="I4645" s="19"/>
      <c r="J4645" s="19"/>
      <c r="M4645" s="7"/>
    </row>
    <row r="4646" spans="2:13" x14ac:dyDescent="0.25">
      <c r="B4646"/>
      <c r="C4646"/>
      <c r="D4646"/>
      <c r="E4646"/>
      <c r="F4646"/>
      <c r="G4646"/>
      <c r="H4646" s="19"/>
      <c r="I4646" s="19"/>
      <c r="J4646" s="19"/>
      <c r="M4646" s="7"/>
    </row>
    <row r="4647" spans="2:13" x14ac:dyDescent="0.25">
      <c r="B4647"/>
      <c r="C4647"/>
      <c r="D4647"/>
      <c r="E4647"/>
      <c r="F4647"/>
      <c r="G4647"/>
      <c r="H4647" s="19"/>
      <c r="I4647" s="19"/>
      <c r="J4647" s="19"/>
      <c r="M4647" s="7"/>
    </row>
    <row r="4648" spans="2:13" x14ac:dyDescent="0.25">
      <c r="B4648"/>
      <c r="C4648"/>
      <c r="D4648"/>
      <c r="E4648"/>
      <c r="F4648"/>
      <c r="G4648"/>
      <c r="H4648" s="19"/>
      <c r="I4648" s="19"/>
      <c r="J4648" s="19"/>
      <c r="M4648" s="7"/>
    </row>
    <row r="4649" spans="2:13" x14ac:dyDescent="0.25">
      <c r="B4649"/>
      <c r="C4649"/>
      <c r="D4649"/>
      <c r="E4649"/>
      <c r="F4649"/>
      <c r="G4649"/>
      <c r="H4649" s="19"/>
      <c r="I4649" s="19"/>
      <c r="J4649" s="19"/>
      <c r="M4649" s="7"/>
    </row>
    <row r="4650" spans="2:13" x14ac:dyDescent="0.25">
      <c r="B4650"/>
      <c r="C4650"/>
      <c r="D4650"/>
      <c r="E4650"/>
      <c r="F4650"/>
      <c r="G4650"/>
      <c r="H4650" s="19"/>
      <c r="I4650" s="19"/>
      <c r="J4650" s="19"/>
      <c r="M4650" s="7"/>
    </row>
    <row r="4651" spans="2:13" x14ac:dyDescent="0.25">
      <c r="B4651"/>
      <c r="C4651"/>
      <c r="D4651"/>
      <c r="E4651"/>
      <c r="F4651"/>
      <c r="G4651"/>
      <c r="H4651" s="19"/>
      <c r="I4651" s="19"/>
      <c r="J4651" s="19"/>
      <c r="M4651" s="7"/>
    </row>
    <row r="4652" spans="2:13" x14ac:dyDescent="0.25">
      <c r="B4652"/>
      <c r="C4652"/>
      <c r="D4652"/>
      <c r="E4652"/>
      <c r="F4652"/>
      <c r="G4652"/>
      <c r="H4652" s="19"/>
      <c r="I4652" s="19"/>
      <c r="J4652" s="19"/>
      <c r="M4652" s="7"/>
    </row>
    <row r="4653" spans="2:13" x14ac:dyDescent="0.25">
      <c r="B4653"/>
      <c r="C4653"/>
      <c r="D4653"/>
      <c r="E4653"/>
      <c r="F4653"/>
      <c r="G4653"/>
      <c r="H4653" s="19"/>
      <c r="I4653" s="19"/>
      <c r="J4653" s="19"/>
      <c r="M4653" s="7"/>
    </row>
    <row r="4654" spans="2:13" x14ac:dyDescent="0.25">
      <c r="B4654"/>
      <c r="C4654"/>
      <c r="D4654"/>
      <c r="E4654"/>
      <c r="F4654"/>
      <c r="G4654"/>
      <c r="H4654" s="19"/>
      <c r="I4654" s="19"/>
      <c r="J4654" s="19"/>
      <c r="M4654" s="7"/>
    </row>
    <row r="4655" spans="2:13" x14ac:dyDescent="0.25">
      <c r="B4655"/>
      <c r="C4655"/>
      <c r="D4655"/>
      <c r="E4655"/>
      <c r="F4655"/>
      <c r="G4655"/>
      <c r="H4655" s="19"/>
      <c r="I4655" s="19"/>
      <c r="J4655" s="19"/>
      <c r="M4655" s="7"/>
    </row>
    <row r="4656" spans="2:13" x14ac:dyDescent="0.25">
      <c r="B4656"/>
      <c r="C4656"/>
      <c r="D4656"/>
      <c r="E4656"/>
      <c r="F4656"/>
      <c r="G4656"/>
      <c r="H4656" s="19"/>
      <c r="I4656" s="19"/>
      <c r="J4656" s="19"/>
      <c r="M4656" s="7"/>
    </row>
    <row r="4657" spans="2:13" x14ac:dyDescent="0.25">
      <c r="B4657"/>
      <c r="C4657"/>
      <c r="D4657"/>
      <c r="E4657"/>
      <c r="F4657"/>
      <c r="G4657"/>
      <c r="H4657" s="19"/>
      <c r="I4657" s="19"/>
      <c r="J4657" s="19"/>
      <c r="M4657" s="7"/>
    </row>
    <row r="4658" spans="2:13" x14ac:dyDescent="0.25">
      <c r="B4658"/>
      <c r="C4658"/>
      <c r="D4658"/>
      <c r="E4658"/>
      <c r="F4658"/>
      <c r="G4658"/>
      <c r="H4658" s="19"/>
      <c r="I4658" s="19"/>
      <c r="J4658" s="19"/>
      <c r="M4658" s="7"/>
    </row>
    <row r="4659" spans="2:13" x14ac:dyDescent="0.25">
      <c r="B4659"/>
      <c r="C4659"/>
      <c r="D4659"/>
      <c r="E4659"/>
      <c r="F4659"/>
      <c r="G4659"/>
      <c r="H4659" s="19"/>
      <c r="I4659" s="19"/>
      <c r="J4659" s="19"/>
      <c r="M4659" s="7"/>
    </row>
    <row r="4660" spans="2:13" x14ac:dyDescent="0.25">
      <c r="B4660"/>
      <c r="C4660"/>
      <c r="D4660"/>
      <c r="E4660"/>
      <c r="F4660"/>
      <c r="G4660"/>
      <c r="H4660" s="19"/>
      <c r="I4660" s="19"/>
      <c r="J4660" s="19"/>
      <c r="M4660" s="7"/>
    </row>
    <row r="4661" spans="2:13" x14ac:dyDescent="0.25">
      <c r="B4661"/>
      <c r="C4661"/>
      <c r="D4661"/>
      <c r="E4661"/>
      <c r="F4661"/>
      <c r="G4661"/>
      <c r="H4661" s="19"/>
      <c r="I4661" s="19"/>
      <c r="J4661" s="19"/>
      <c r="M4661" s="7"/>
    </row>
    <row r="4662" spans="2:13" x14ac:dyDescent="0.25">
      <c r="B4662"/>
      <c r="C4662"/>
      <c r="D4662"/>
      <c r="E4662"/>
      <c r="F4662"/>
      <c r="G4662"/>
      <c r="H4662" s="19"/>
      <c r="I4662" s="19"/>
      <c r="J4662" s="19"/>
      <c r="M4662" s="7"/>
    </row>
    <row r="4663" spans="2:13" x14ac:dyDescent="0.25">
      <c r="B4663"/>
      <c r="C4663"/>
      <c r="D4663"/>
      <c r="E4663"/>
      <c r="F4663"/>
      <c r="G4663"/>
      <c r="H4663" s="19"/>
      <c r="I4663" s="19"/>
      <c r="J4663" s="19"/>
      <c r="M4663" s="7"/>
    </row>
    <row r="4664" spans="2:13" x14ac:dyDescent="0.25">
      <c r="B4664"/>
      <c r="C4664"/>
      <c r="D4664"/>
      <c r="E4664"/>
      <c r="F4664"/>
      <c r="G4664"/>
      <c r="H4664" s="19"/>
      <c r="I4664" s="19"/>
      <c r="J4664" s="19"/>
      <c r="M4664" s="7"/>
    </row>
    <row r="4665" spans="2:13" x14ac:dyDescent="0.25">
      <c r="B4665"/>
      <c r="C4665"/>
      <c r="D4665"/>
      <c r="E4665"/>
      <c r="F4665"/>
      <c r="G4665"/>
      <c r="H4665" s="19"/>
      <c r="I4665" s="19"/>
      <c r="J4665" s="19"/>
      <c r="M4665" s="7"/>
    </row>
    <row r="4666" spans="2:13" x14ac:dyDescent="0.25">
      <c r="B4666"/>
      <c r="C4666"/>
      <c r="D4666"/>
      <c r="E4666"/>
      <c r="F4666"/>
      <c r="G4666"/>
      <c r="H4666" s="19"/>
      <c r="I4666" s="19"/>
      <c r="J4666" s="19"/>
      <c r="M4666" s="7"/>
    </row>
    <row r="4667" spans="2:13" x14ac:dyDescent="0.25">
      <c r="B4667"/>
      <c r="C4667"/>
      <c r="D4667"/>
      <c r="E4667"/>
      <c r="F4667"/>
      <c r="G4667"/>
      <c r="H4667" s="19"/>
      <c r="I4667" s="19"/>
      <c r="J4667" s="19"/>
      <c r="M4667" s="7"/>
    </row>
    <row r="4668" spans="2:13" x14ac:dyDescent="0.25">
      <c r="B4668"/>
      <c r="C4668"/>
      <c r="D4668"/>
      <c r="E4668"/>
      <c r="F4668"/>
      <c r="G4668"/>
      <c r="H4668" s="19"/>
      <c r="I4668" s="19"/>
      <c r="J4668" s="19"/>
      <c r="M4668" s="7"/>
    </row>
    <row r="4669" spans="2:13" x14ac:dyDescent="0.25">
      <c r="B4669"/>
      <c r="C4669"/>
      <c r="D4669"/>
      <c r="E4669"/>
      <c r="F4669"/>
      <c r="G4669"/>
      <c r="H4669" s="19"/>
      <c r="I4669" s="19"/>
      <c r="J4669" s="19"/>
      <c r="M4669" s="7"/>
    </row>
    <row r="4670" spans="2:13" x14ac:dyDescent="0.25">
      <c r="B4670"/>
      <c r="C4670"/>
      <c r="D4670"/>
      <c r="E4670"/>
      <c r="F4670"/>
      <c r="G4670"/>
      <c r="H4670" s="19"/>
      <c r="I4670" s="19"/>
      <c r="J4670" s="19"/>
      <c r="M4670" s="7"/>
    </row>
    <row r="4671" spans="2:13" x14ac:dyDescent="0.25">
      <c r="B4671"/>
      <c r="C4671"/>
      <c r="D4671"/>
      <c r="E4671"/>
      <c r="F4671"/>
      <c r="G4671"/>
      <c r="H4671" s="19"/>
      <c r="I4671" s="19"/>
      <c r="J4671" s="19"/>
      <c r="M4671" s="7"/>
    </row>
    <row r="4672" spans="2:13" x14ac:dyDescent="0.25">
      <c r="B4672"/>
      <c r="C4672"/>
      <c r="D4672"/>
      <c r="E4672"/>
      <c r="F4672"/>
      <c r="G4672"/>
      <c r="H4672" s="19"/>
      <c r="I4672" s="19"/>
      <c r="J4672" s="19"/>
      <c r="M4672" s="7"/>
    </row>
    <row r="4673" spans="2:13" x14ac:dyDescent="0.25">
      <c r="B4673"/>
      <c r="C4673"/>
      <c r="D4673"/>
      <c r="E4673"/>
      <c r="F4673"/>
      <c r="G4673"/>
      <c r="H4673" s="19"/>
      <c r="I4673" s="19"/>
      <c r="J4673" s="19"/>
      <c r="M4673" s="7"/>
    </row>
    <row r="4674" spans="2:13" x14ac:dyDescent="0.25">
      <c r="B4674"/>
      <c r="C4674"/>
      <c r="D4674"/>
      <c r="E4674"/>
      <c r="F4674"/>
      <c r="G4674"/>
      <c r="H4674" s="19"/>
      <c r="I4674" s="19"/>
      <c r="J4674" s="19"/>
      <c r="M4674" s="7"/>
    </row>
    <row r="4675" spans="2:13" x14ac:dyDescent="0.25">
      <c r="B4675"/>
      <c r="C4675"/>
      <c r="D4675"/>
      <c r="E4675"/>
      <c r="F4675"/>
      <c r="G4675"/>
      <c r="H4675" s="19"/>
      <c r="I4675" s="19"/>
      <c r="J4675" s="19"/>
      <c r="M4675" s="7"/>
    </row>
    <row r="4676" spans="2:13" x14ac:dyDescent="0.25">
      <c r="B4676"/>
      <c r="C4676"/>
      <c r="D4676"/>
      <c r="E4676"/>
      <c r="F4676"/>
      <c r="G4676"/>
      <c r="H4676" s="19"/>
      <c r="I4676" s="19"/>
      <c r="J4676" s="19"/>
      <c r="M4676" s="7"/>
    </row>
    <row r="4677" spans="2:13" x14ac:dyDescent="0.25">
      <c r="B4677"/>
      <c r="C4677"/>
      <c r="D4677"/>
      <c r="E4677"/>
      <c r="F4677"/>
      <c r="G4677"/>
      <c r="H4677" s="19"/>
      <c r="I4677" s="19"/>
      <c r="J4677" s="19"/>
      <c r="M4677" s="7"/>
    </row>
    <row r="4678" spans="2:13" x14ac:dyDescent="0.25">
      <c r="B4678"/>
      <c r="C4678"/>
      <c r="D4678"/>
      <c r="E4678"/>
      <c r="F4678"/>
      <c r="G4678"/>
      <c r="H4678" s="19"/>
      <c r="I4678" s="19"/>
      <c r="J4678" s="19"/>
      <c r="M4678" s="7"/>
    </row>
    <row r="4679" spans="2:13" x14ac:dyDescent="0.25">
      <c r="B4679"/>
      <c r="C4679"/>
      <c r="D4679"/>
      <c r="E4679"/>
      <c r="F4679"/>
      <c r="G4679"/>
      <c r="H4679" s="19"/>
      <c r="I4679" s="19"/>
      <c r="J4679" s="19"/>
      <c r="M4679" s="7"/>
    </row>
    <row r="4680" spans="2:13" x14ac:dyDescent="0.25">
      <c r="B4680"/>
      <c r="C4680"/>
      <c r="D4680"/>
      <c r="E4680"/>
      <c r="F4680"/>
      <c r="G4680"/>
      <c r="H4680" s="19"/>
      <c r="I4680" s="19"/>
      <c r="J4680" s="19"/>
      <c r="M4680" s="7"/>
    </row>
    <row r="4681" spans="2:13" x14ac:dyDescent="0.25">
      <c r="B4681"/>
      <c r="C4681"/>
      <c r="D4681"/>
      <c r="E4681"/>
      <c r="F4681"/>
      <c r="G4681"/>
      <c r="H4681" s="19"/>
      <c r="I4681" s="19"/>
      <c r="J4681" s="19"/>
      <c r="M4681" s="7"/>
    </row>
    <row r="4682" spans="2:13" x14ac:dyDescent="0.25">
      <c r="B4682"/>
      <c r="C4682"/>
      <c r="D4682"/>
      <c r="E4682"/>
      <c r="F4682"/>
      <c r="G4682"/>
      <c r="H4682" s="19"/>
      <c r="I4682" s="19"/>
      <c r="J4682" s="19"/>
      <c r="M4682" s="7"/>
    </row>
    <row r="4683" spans="2:13" x14ac:dyDescent="0.25">
      <c r="B4683"/>
      <c r="C4683"/>
      <c r="D4683"/>
      <c r="E4683"/>
      <c r="F4683"/>
      <c r="G4683"/>
      <c r="H4683" s="19"/>
      <c r="I4683" s="19"/>
      <c r="J4683" s="19"/>
      <c r="M4683" s="7"/>
    </row>
    <row r="4684" spans="2:13" x14ac:dyDescent="0.25">
      <c r="B4684"/>
      <c r="C4684"/>
      <c r="D4684"/>
      <c r="E4684"/>
      <c r="F4684"/>
      <c r="G4684"/>
      <c r="H4684" s="19"/>
      <c r="I4684" s="19"/>
      <c r="J4684" s="19"/>
      <c r="M4684" s="7"/>
    </row>
    <row r="4685" spans="2:13" x14ac:dyDescent="0.25">
      <c r="B4685"/>
      <c r="C4685"/>
      <c r="D4685"/>
      <c r="E4685"/>
      <c r="F4685"/>
      <c r="G4685"/>
      <c r="H4685" s="19"/>
      <c r="I4685" s="19"/>
      <c r="J4685" s="19"/>
      <c r="M4685" s="7"/>
    </row>
    <row r="4686" spans="2:13" x14ac:dyDescent="0.25">
      <c r="B4686"/>
      <c r="C4686"/>
      <c r="D4686"/>
      <c r="E4686"/>
      <c r="F4686"/>
      <c r="G4686"/>
      <c r="H4686" s="19"/>
      <c r="I4686" s="19"/>
      <c r="J4686" s="19"/>
      <c r="M4686" s="7"/>
    </row>
    <row r="4687" spans="2:13" x14ac:dyDescent="0.25">
      <c r="B4687"/>
      <c r="C4687"/>
      <c r="D4687"/>
      <c r="E4687"/>
      <c r="F4687"/>
      <c r="G4687"/>
      <c r="H4687" s="19"/>
      <c r="I4687" s="19"/>
      <c r="J4687" s="19"/>
      <c r="M4687" s="7"/>
    </row>
    <row r="4688" spans="2:13" x14ac:dyDescent="0.25">
      <c r="B4688"/>
      <c r="C4688"/>
      <c r="D4688"/>
      <c r="E4688"/>
      <c r="F4688"/>
      <c r="G4688"/>
      <c r="H4688" s="19"/>
      <c r="I4688" s="19"/>
      <c r="J4688" s="19"/>
      <c r="M4688" s="7"/>
    </row>
    <row r="4689" spans="2:13" x14ac:dyDescent="0.25">
      <c r="B4689"/>
      <c r="C4689"/>
      <c r="D4689"/>
      <c r="E4689"/>
      <c r="F4689"/>
      <c r="G4689"/>
      <c r="H4689" s="19"/>
      <c r="I4689" s="19"/>
      <c r="J4689" s="19"/>
      <c r="M4689" s="7"/>
    </row>
    <row r="4690" spans="2:13" x14ac:dyDescent="0.25">
      <c r="B4690"/>
      <c r="C4690"/>
      <c r="D4690"/>
      <c r="E4690"/>
      <c r="F4690"/>
      <c r="G4690"/>
      <c r="H4690" s="19"/>
      <c r="I4690" s="19"/>
      <c r="J4690" s="19"/>
      <c r="M4690" s="7"/>
    </row>
    <row r="4691" spans="2:13" x14ac:dyDescent="0.25">
      <c r="B4691"/>
      <c r="C4691"/>
      <c r="D4691"/>
      <c r="E4691"/>
      <c r="F4691"/>
      <c r="G4691"/>
      <c r="H4691" s="19"/>
      <c r="I4691" s="19"/>
      <c r="J4691" s="19"/>
      <c r="M4691" s="7"/>
    </row>
    <row r="4692" spans="2:13" x14ac:dyDescent="0.25">
      <c r="B4692"/>
      <c r="C4692"/>
      <c r="D4692"/>
      <c r="E4692"/>
      <c r="F4692"/>
      <c r="G4692"/>
      <c r="H4692" s="19"/>
      <c r="I4692" s="19"/>
      <c r="J4692" s="19"/>
      <c r="M4692" s="7"/>
    </row>
    <row r="4693" spans="2:13" x14ac:dyDescent="0.25">
      <c r="B4693"/>
      <c r="C4693"/>
      <c r="D4693"/>
      <c r="E4693"/>
      <c r="F4693"/>
      <c r="G4693"/>
      <c r="H4693" s="19"/>
      <c r="I4693" s="19"/>
      <c r="J4693" s="19"/>
      <c r="M4693" s="7"/>
    </row>
    <row r="4694" spans="2:13" x14ac:dyDescent="0.25">
      <c r="B4694"/>
      <c r="C4694"/>
      <c r="D4694"/>
      <c r="E4694"/>
      <c r="F4694"/>
      <c r="G4694"/>
      <c r="H4694" s="19"/>
      <c r="I4694" s="19"/>
      <c r="J4694" s="19"/>
      <c r="M4694" s="7"/>
    </row>
    <row r="4695" spans="2:13" x14ac:dyDescent="0.25">
      <c r="B4695"/>
      <c r="C4695"/>
      <c r="D4695"/>
      <c r="E4695"/>
      <c r="F4695"/>
      <c r="G4695"/>
      <c r="H4695" s="19"/>
      <c r="I4695" s="19"/>
      <c r="J4695" s="19"/>
      <c r="M4695" s="7"/>
    </row>
    <row r="4696" spans="2:13" x14ac:dyDescent="0.25">
      <c r="B4696"/>
      <c r="C4696"/>
      <c r="D4696"/>
      <c r="E4696"/>
      <c r="F4696"/>
      <c r="G4696"/>
      <c r="H4696" s="19"/>
      <c r="I4696" s="19"/>
      <c r="J4696" s="19"/>
      <c r="M4696" s="7"/>
    </row>
    <row r="4697" spans="2:13" x14ac:dyDescent="0.25">
      <c r="B4697"/>
      <c r="C4697"/>
      <c r="D4697"/>
      <c r="E4697"/>
      <c r="F4697"/>
      <c r="G4697"/>
      <c r="H4697" s="19"/>
      <c r="I4697" s="19"/>
      <c r="J4697" s="19"/>
      <c r="M4697" s="7"/>
    </row>
    <row r="4698" spans="2:13" x14ac:dyDescent="0.25">
      <c r="B4698"/>
      <c r="C4698"/>
      <c r="D4698"/>
      <c r="E4698"/>
      <c r="F4698"/>
      <c r="G4698"/>
      <c r="H4698" s="19"/>
      <c r="I4698" s="19"/>
      <c r="J4698" s="19"/>
      <c r="M4698" s="7"/>
    </row>
    <row r="4699" spans="2:13" x14ac:dyDescent="0.25">
      <c r="B4699"/>
      <c r="C4699"/>
      <c r="D4699"/>
      <c r="E4699"/>
      <c r="F4699"/>
      <c r="G4699"/>
      <c r="H4699" s="19"/>
      <c r="I4699" s="19"/>
      <c r="J4699" s="19"/>
      <c r="M4699" s="7"/>
    </row>
    <row r="4700" spans="2:13" x14ac:dyDescent="0.25">
      <c r="B4700"/>
      <c r="C4700"/>
      <c r="D4700"/>
      <c r="E4700"/>
      <c r="F4700"/>
      <c r="G4700"/>
      <c r="H4700" s="19"/>
      <c r="I4700" s="19"/>
      <c r="J4700" s="19"/>
      <c r="M4700" s="7"/>
    </row>
    <row r="4701" spans="2:13" x14ac:dyDescent="0.25">
      <c r="B4701"/>
      <c r="C4701"/>
      <c r="D4701"/>
      <c r="E4701"/>
      <c r="F4701"/>
      <c r="G4701"/>
      <c r="H4701" s="19"/>
      <c r="I4701" s="19"/>
      <c r="J4701" s="19"/>
      <c r="M4701" s="7"/>
    </row>
    <row r="4702" spans="2:13" x14ac:dyDescent="0.25">
      <c r="B4702"/>
      <c r="C4702"/>
      <c r="D4702"/>
      <c r="E4702"/>
      <c r="F4702"/>
      <c r="G4702"/>
      <c r="H4702" s="19"/>
      <c r="I4702" s="19"/>
      <c r="J4702" s="19"/>
      <c r="M4702" s="7"/>
    </row>
    <row r="4703" spans="2:13" x14ac:dyDescent="0.25">
      <c r="B4703"/>
      <c r="C4703"/>
      <c r="D4703"/>
      <c r="E4703"/>
      <c r="F4703"/>
      <c r="G4703"/>
      <c r="H4703" s="19"/>
      <c r="I4703" s="19"/>
      <c r="J4703" s="19"/>
      <c r="M4703" s="7"/>
    </row>
    <row r="4704" spans="2:13" x14ac:dyDescent="0.25">
      <c r="B4704"/>
      <c r="C4704"/>
      <c r="D4704"/>
      <c r="E4704"/>
      <c r="F4704"/>
      <c r="G4704"/>
      <c r="H4704" s="19"/>
      <c r="I4704" s="19"/>
      <c r="J4704" s="19"/>
      <c r="M4704" s="7"/>
    </row>
    <row r="4705" spans="2:13" x14ac:dyDescent="0.25">
      <c r="B4705"/>
      <c r="C4705"/>
      <c r="D4705"/>
      <c r="E4705"/>
      <c r="F4705"/>
      <c r="G4705"/>
      <c r="H4705" s="19"/>
      <c r="I4705" s="19"/>
      <c r="J4705" s="19"/>
      <c r="M4705" s="7"/>
    </row>
    <row r="4706" spans="2:13" x14ac:dyDescent="0.25">
      <c r="B4706"/>
      <c r="C4706"/>
      <c r="D4706"/>
      <c r="E4706"/>
      <c r="F4706"/>
      <c r="G4706"/>
      <c r="H4706" s="19"/>
      <c r="I4706" s="19"/>
      <c r="J4706" s="19"/>
      <c r="M4706" s="7"/>
    </row>
    <row r="4707" spans="2:13" x14ac:dyDescent="0.25">
      <c r="B4707"/>
      <c r="C4707"/>
      <c r="D4707"/>
      <c r="E4707"/>
      <c r="F4707"/>
      <c r="G4707"/>
      <c r="H4707" s="19"/>
      <c r="I4707" s="19"/>
      <c r="J4707" s="19"/>
      <c r="M4707" s="7"/>
    </row>
    <row r="4708" spans="2:13" x14ac:dyDescent="0.25">
      <c r="B4708"/>
      <c r="C4708"/>
      <c r="D4708"/>
      <c r="E4708"/>
      <c r="F4708"/>
      <c r="G4708"/>
      <c r="H4708" s="19"/>
      <c r="I4708" s="19"/>
      <c r="J4708" s="19"/>
      <c r="M4708" s="7"/>
    </row>
    <row r="4709" spans="2:13" x14ac:dyDescent="0.25">
      <c r="B4709"/>
      <c r="C4709"/>
      <c r="D4709"/>
      <c r="E4709"/>
      <c r="F4709"/>
      <c r="G4709"/>
      <c r="H4709" s="19"/>
      <c r="I4709" s="19"/>
      <c r="J4709" s="19"/>
      <c r="M4709" s="7"/>
    </row>
    <row r="4710" spans="2:13" x14ac:dyDescent="0.25">
      <c r="B4710"/>
      <c r="C4710"/>
      <c r="D4710"/>
      <c r="E4710"/>
      <c r="F4710"/>
      <c r="G4710"/>
      <c r="H4710" s="19"/>
      <c r="I4710" s="19"/>
      <c r="J4710" s="19"/>
      <c r="M4710" s="7"/>
    </row>
    <row r="4711" spans="2:13" x14ac:dyDescent="0.25">
      <c r="B4711"/>
      <c r="C4711"/>
      <c r="D4711"/>
      <c r="E4711"/>
      <c r="F4711"/>
      <c r="G4711"/>
      <c r="H4711" s="19"/>
      <c r="I4711" s="19"/>
      <c r="J4711" s="19"/>
      <c r="M4711" s="7"/>
    </row>
    <row r="4712" spans="2:13" x14ac:dyDescent="0.25">
      <c r="B4712"/>
      <c r="C4712"/>
      <c r="D4712"/>
      <c r="E4712"/>
      <c r="F4712"/>
      <c r="G4712"/>
      <c r="H4712" s="19"/>
      <c r="I4712" s="19"/>
      <c r="J4712" s="19"/>
      <c r="M4712" s="7"/>
    </row>
    <row r="4713" spans="2:13" x14ac:dyDescent="0.25">
      <c r="B4713"/>
      <c r="C4713"/>
      <c r="D4713"/>
      <c r="E4713"/>
      <c r="F4713"/>
      <c r="G4713"/>
      <c r="H4713" s="19"/>
      <c r="I4713" s="19"/>
      <c r="J4713" s="19"/>
      <c r="M4713" s="7"/>
    </row>
    <row r="4714" spans="2:13" x14ac:dyDescent="0.25">
      <c r="B4714"/>
      <c r="C4714"/>
      <c r="D4714"/>
      <c r="E4714"/>
      <c r="F4714"/>
      <c r="G4714"/>
      <c r="H4714" s="19"/>
      <c r="I4714" s="19"/>
      <c r="J4714" s="19"/>
      <c r="M4714" s="7"/>
    </row>
    <row r="4715" spans="2:13" x14ac:dyDescent="0.25">
      <c r="B4715"/>
      <c r="C4715"/>
      <c r="D4715"/>
      <c r="E4715"/>
      <c r="F4715"/>
      <c r="G4715"/>
      <c r="H4715" s="19"/>
      <c r="I4715" s="19"/>
      <c r="J4715" s="19"/>
      <c r="M4715" s="7"/>
    </row>
    <row r="4716" spans="2:13" x14ac:dyDescent="0.25">
      <c r="B4716"/>
      <c r="C4716"/>
      <c r="D4716"/>
      <c r="E4716"/>
      <c r="F4716"/>
      <c r="G4716"/>
      <c r="H4716" s="19"/>
      <c r="I4716" s="19"/>
      <c r="J4716" s="19"/>
      <c r="M4716" s="7"/>
    </row>
    <row r="4717" spans="2:13" x14ac:dyDescent="0.25">
      <c r="B4717"/>
      <c r="C4717"/>
      <c r="D4717"/>
      <c r="E4717"/>
      <c r="F4717"/>
      <c r="G4717"/>
      <c r="H4717" s="19"/>
      <c r="I4717" s="19"/>
      <c r="J4717" s="19"/>
      <c r="M4717" s="7"/>
    </row>
    <row r="4718" spans="2:13" x14ac:dyDescent="0.25">
      <c r="B4718"/>
      <c r="C4718"/>
      <c r="D4718"/>
      <c r="E4718"/>
      <c r="F4718"/>
      <c r="G4718"/>
      <c r="H4718" s="19"/>
      <c r="I4718" s="19"/>
      <c r="J4718" s="19"/>
      <c r="M4718" s="7"/>
    </row>
    <row r="4719" spans="2:13" x14ac:dyDescent="0.25">
      <c r="B4719"/>
      <c r="C4719"/>
      <c r="D4719"/>
      <c r="E4719"/>
      <c r="F4719"/>
      <c r="G4719"/>
      <c r="H4719" s="19"/>
      <c r="I4719" s="19"/>
      <c r="J4719" s="19"/>
      <c r="M4719" s="7"/>
    </row>
    <row r="4720" spans="2:13" x14ac:dyDescent="0.25">
      <c r="B4720"/>
      <c r="C4720"/>
      <c r="D4720"/>
      <c r="E4720"/>
      <c r="F4720"/>
      <c r="G4720"/>
      <c r="H4720" s="19"/>
      <c r="I4720" s="19"/>
      <c r="J4720" s="19"/>
      <c r="M4720" s="7"/>
    </row>
    <row r="4721" spans="2:13" x14ac:dyDescent="0.25">
      <c r="B4721"/>
      <c r="C4721"/>
      <c r="D4721"/>
      <c r="E4721"/>
      <c r="F4721"/>
      <c r="G4721"/>
      <c r="H4721" s="19"/>
      <c r="I4721" s="19"/>
      <c r="J4721" s="19"/>
      <c r="M4721" s="7"/>
    </row>
    <row r="4722" spans="2:13" x14ac:dyDescent="0.25">
      <c r="B4722"/>
      <c r="C4722"/>
      <c r="D4722"/>
      <c r="E4722"/>
      <c r="F4722"/>
      <c r="G4722"/>
      <c r="H4722" s="19"/>
      <c r="I4722" s="19"/>
      <c r="J4722" s="19"/>
      <c r="M4722" s="7"/>
    </row>
    <row r="4723" spans="2:13" x14ac:dyDescent="0.25">
      <c r="B4723"/>
      <c r="C4723"/>
      <c r="D4723"/>
      <c r="E4723"/>
      <c r="F4723"/>
      <c r="G4723"/>
      <c r="H4723" s="19"/>
      <c r="I4723" s="19"/>
      <c r="J4723" s="19"/>
      <c r="M4723" s="7"/>
    </row>
    <row r="4724" spans="2:13" x14ac:dyDescent="0.25">
      <c r="B4724"/>
      <c r="C4724"/>
      <c r="D4724"/>
      <c r="E4724"/>
      <c r="F4724"/>
      <c r="G4724"/>
      <c r="H4724" s="19"/>
      <c r="I4724" s="19"/>
      <c r="J4724" s="19"/>
      <c r="M4724" s="7"/>
    </row>
    <row r="4725" spans="2:13" x14ac:dyDescent="0.25">
      <c r="B4725"/>
      <c r="C4725"/>
      <c r="D4725"/>
      <c r="E4725"/>
      <c r="F4725"/>
      <c r="G4725"/>
      <c r="H4725" s="19"/>
      <c r="I4725" s="19"/>
      <c r="J4725" s="19"/>
      <c r="M4725" s="7"/>
    </row>
    <row r="4726" spans="2:13" x14ac:dyDescent="0.25">
      <c r="B4726"/>
      <c r="C4726"/>
      <c r="D4726"/>
      <c r="E4726"/>
      <c r="F4726"/>
      <c r="G4726"/>
      <c r="H4726" s="19"/>
      <c r="I4726" s="19"/>
      <c r="J4726" s="19"/>
      <c r="M4726" s="7"/>
    </row>
    <row r="4727" spans="2:13" x14ac:dyDescent="0.25">
      <c r="B4727"/>
      <c r="C4727"/>
      <c r="D4727"/>
      <c r="E4727"/>
      <c r="F4727"/>
      <c r="G4727"/>
      <c r="H4727" s="19"/>
      <c r="I4727" s="19"/>
      <c r="J4727" s="19"/>
      <c r="M4727" s="7"/>
    </row>
    <row r="4728" spans="2:13" x14ac:dyDescent="0.25">
      <c r="B4728"/>
      <c r="C4728"/>
      <c r="D4728"/>
      <c r="E4728"/>
      <c r="F4728"/>
      <c r="G4728"/>
      <c r="H4728" s="19"/>
      <c r="I4728" s="19"/>
      <c r="J4728" s="19"/>
      <c r="M4728" s="7"/>
    </row>
    <row r="4729" spans="2:13" x14ac:dyDescent="0.25">
      <c r="B4729"/>
      <c r="C4729"/>
      <c r="D4729"/>
      <c r="E4729"/>
      <c r="F4729"/>
      <c r="G4729"/>
      <c r="H4729" s="19"/>
      <c r="I4729" s="19"/>
      <c r="J4729" s="19"/>
      <c r="M4729" s="7"/>
    </row>
    <row r="4730" spans="2:13" x14ac:dyDescent="0.25">
      <c r="B4730"/>
      <c r="C4730"/>
      <c r="D4730"/>
      <c r="E4730"/>
      <c r="F4730"/>
      <c r="G4730"/>
      <c r="H4730" s="19"/>
      <c r="I4730" s="19"/>
      <c r="J4730" s="19"/>
      <c r="M4730" s="7"/>
    </row>
    <row r="4731" spans="2:13" x14ac:dyDescent="0.25">
      <c r="B4731"/>
      <c r="C4731"/>
      <c r="D4731"/>
      <c r="E4731"/>
      <c r="F4731"/>
      <c r="G4731"/>
      <c r="H4731" s="19"/>
      <c r="I4731" s="19"/>
      <c r="J4731" s="19"/>
      <c r="M4731" s="7"/>
    </row>
    <row r="4732" spans="2:13" x14ac:dyDescent="0.25">
      <c r="B4732"/>
      <c r="C4732"/>
      <c r="D4732"/>
      <c r="E4732"/>
      <c r="F4732"/>
      <c r="G4732"/>
      <c r="H4732" s="19"/>
      <c r="I4732" s="19"/>
      <c r="J4732" s="19"/>
      <c r="M4732" s="7"/>
    </row>
    <row r="4733" spans="2:13" x14ac:dyDescent="0.25">
      <c r="B4733"/>
      <c r="C4733"/>
      <c r="D4733"/>
      <c r="E4733"/>
      <c r="F4733"/>
      <c r="G4733"/>
      <c r="H4733" s="19"/>
      <c r="I4733" s="19"/>
      <c r="J4733" s="19"/>
      <c r="M4733" s="7"/>
    </row>
    <row r="4734" spans="2:13" x14ac:dyDescent="0.25">
      <c r="B4734"/>
      <c r="C4734"/>
      <c r="D4734"/>
      <c r="E4734"/>
      <c r="F4734"/>
      <c r="G4734"/>
      <c r="H4734" s="19"/>
      <c r="I4734" s="19"/>
      <c r="J4734" s="19"/>
      <c r="M4734" s="7"/>
    </row>
    <row r="4735" spans="2:13" x14ac:dyDescent="0.25">
      <c r="B4735"/>
      <c r="C4735"/>
      <c r="D4735"/>
      <c r="E4735"/>
      <c r="F4735"/>
      <c r="G4735"/>
      <c r="H4735" s="19"/>
      <c r="I4735" s="19"/>
      <c r="J4735" s="19"/>
      <c r="M4735" s="7"/>
    </row>
    <row r="4736" spans="2:13" x14ac:dyDescent="0.25">
      <c r="B4736"/>
      <c r="C4736"/>
      <c r="D4736"/>
      <c r="E4736"/>
      <c r="F4736"/>
      <c r="G4736"/>
      <c r="H4736" s="19"/>
      <c r="I4736" s="19"/>
      <c r="J4736" s="19"/>
      <c r="M4736" s="7"/>
    </row>
    <row r="4737" spans="2:13" x14ac:dyDescent="0.25">
      <c r="B4737"/>
      <c r="C4737"/>
      <c r="D4737"/>
      <c r="E4737"/>
      <c r="F4737"/>
      <c r="G4737"/>
      <c r="H4737" s="19"/>
      <c r="I4737" s="19"/>
      <c r="J4737" s="19"/>
      <c r="M4737" s="7"/>
    </row>
    <row r="4738" spans="2:13" x14ac:dyDescent="0.25">
      <c r="B4738"/>
      <c r="C4738"/>
      <c r="D4738"/>
      <c r="E4738"/>
      <c r="F4738"/>
      <c r="G4738"/>
      <c r="H4738" s="19"/>
      <c r="I4738" s="19"/>
      <c r="J4738" s="19"/>
      <c r="M4738" s="7"/>
    </row>
    <row r="4739" spans="2:13" x14ac:dyDescent="0.25">
      <c r="B4739"/>
      <c r="C4739"/>
      <c r="D4739"/>
      <c r="E4739"/>
      <c r="F4739"/>
      <c r="G4739"/>
      <c r="H4739" s="19"/>
      <c r="I4739" s="19"/>
      <c r="J4739" s="19"/>
      <c r="M4739" s="7"/>
    </row>
    <row r="4740" spans="2:13" x14ac:dyDescent="0.25">
      <c r="B4740"/>
      <c r="C4740"/>
      <c r="D4740"/>
      <c r="E4740"/>
      <c r="F4740"/>
      <c r="G4740"/>
      <c r="H4740" s="19"/>
      <c r="I4740" s="19"/>
      <c r="J4740" s="19"/>
      <c r="M4740" s="7"/>
    </row>
    <row r="4741" spans="2:13" x14ac:dyDescent="0.25">
      <c r="B4741"/>
      <c r="C4741"/>
      <c r="D4741"/>
      <c r="E4741"/>
      <c r="F4741"/>
      <c r="G4741"/>
      <c r="H4741" s="19"/>
      <c r="I4741" s="19"/>
      <c r="J4741" s="19"/>
      <c r="M4741" s="7"/>
    </row>
    <row r="4742" spans="2:13" x14ac:dyDescent="0.25">
      <c r="B4742"/>
      <c r="C4742"/>
      <c r="D4742"/>
      <c r="E4742"/>
      <c r="F4742"/>
      <c r="G4742"/>
      <c r="H4742" s="19"/>
      <c r="I4742" s="19"/>
      <c r="J4742" s="19"/>
      <c r="M4742" s="7"/>
    </row>
    <row r="4743" spans="2:13" x14ac:dyDescent="0.25">
      <c r="B4743"/>
      <c r="C4743"/>
      <c r="D4743"/>
      <c r="E4743"/>
      <c r="F4743"/>
      <c r="G4743"/>
      <c r="H4743" s="19"/>
      <c r="I4743" s="19"/>
      <c r="J4743" s="19"/>
      <c r="M4743" s="7"/>
    </row>
    <row r="4744" spans="2:13" x14ac:dyDescent="0.25">
      <c r="B4744"/>
      <c r="C4744"/>
      <c r="D4744"/>
      <c r="E4744"/>
      <c r="F4744"/>
      <c r="G4744"/>
      <c r="H4744" s="19"/>
      <c r="I4744" s="19"/>
      <c r="J4744" s="19"/>
      <c r="M4744" s="7"/>
    </row>
    <row r="4745" spans="2:13" x14ac:dyDescent="0.25">
      <c r="B4745"/>
      <c r="C4745"/>
      <c r="D4745"/>
      <c r="E4745"/>
      <c r="F4745"/>
      <c r="G4745"/>
      <c r="H4745" s="19"/>
      <c r="I4745" s="19"/>
      <c r="J4745" s="19"/>
      <c r="M4745" s="7"/>
    </row>
    <row r="4746" spans="2:13" x14ac:dyDescent="0.25">
      <c r="B4746"/>
      <c r="C4746"/>
      <c r="D4746"/>
      <c r="E4746"/>
      <c r="F4746"/>
      <c r="G4746"/>
      <c r="H4746" s="19"/>
      <c r="I4746" s="19"/>
      <c r="J4746" s="19"/>
      <c r="M4746" s="7"/>
    </row>
    <row r="4747" spans="2:13" x14ac:dyDescent="0.25">
      <c r="B4747"/>
      <c r="C4747"/>
      <c r="D4747"/>
      <c r="E4747"/>
      <c r="F4747"/>
      <c r="G4747"/>
      <c r="H4747" s="19"/>
      <c r="I4747" s="19"/>
      <c r="J4747" s="19"/>
      <c r="M4747" s="7"/>
    </row>
    <row r="4748" spans="2:13" x14ac:dyDescent="0.25">
      <c r="B4748"/>
      <c r="C4748"/>
      <c r="D4748"/>
      <c r="E4748"/>
      <c r="F4748"/>
      <c r="G4748"/>
      <c r="H4748" s="19"/>
      <c r="I4748" s="19"/>
      <c r="J4748" s="19"/>
      <c r="M4748" s="7"/>
    </row>
    <row r="4749" spans="2:13" x14ac:dyDescent="0.25">
      <c r="B4749"/>
      <c r="C4749"/>
      <c r="D4749"/>
      <c r="E4749"/>
      <c r="F4749"/>
      <c r="G4749"/>
      <c r="H4749" s="19"/>
      <c r="I4749" s="19"/>
      <c r="J4749" s="19"/>
      <c r="M4749" s="7"/>
    </row>
    <row r="4750" spans="2:13" x14ac:dyDescent="0.25">
      <c r="B4750"/>
      <c r="C4750"/>
      <c r="D4750"/>
      <c r="E4750"/>
      <c r="F4750"/>
      <c r="G4750"/>
      <c r="H4750" s="19"/>
      <c r="I4750" s="19"/>
      <c r="J4750" s="19"/>
      <c r="M4750" s="7"/>
    </row>
    <row r="4751" spans="2:13" x14ac:dyDescent="0.25">
      <c r="B4751"/>
      <c r="C4751"/>
      <c r="D4751"/>
      <c r="E4751"/>
      <c r="F4751"/>
      <c r="G4751"/>
      <c r="H4751" s="19"/>
      <c r="I4751" s="19"/>
      <c r="J4751" s="19"/>
      <c r="M4751" s="7"/>
    </row>
    <row r="4752" spans="2:13" x14ac:dyDescent="0.25">
      <c r="B4752"/>
      <c r="C4752"/>
      <c r="D4752"/>
      <c r="E4752"/>
      <c r="F4752"/>
      <c r="G4752"/>
      <c r="H4752" s="19"/>
      <c r="I4752" s="19"/>
      <c r="J4752" s="19"/>
      <c r="M4752" s="7"/>
    </row>
    <row r="4753" spans="2:13" x14ac:dyDescent="0.25">
      <c r="B4753"/>
      <c r="C4753"/>
      <c r="D4753"/>
      <c r="E4753"/>
      <c r="F4753"/>
      <c r="G4753"/>
      <c r="H4753" s="19"/>
      <c r="I4753" s="19"/>
      <c r="J4753" s="19"/>
      <c r="M4753" s="7"/>
    </row>
    <row r="4754" spans="2:13" x14ac:dyDescent="0.25">
      <c r="B4754"/>
      <c r="C4754"/>
      <c r="D4754"/>
      <c r="E4754"/>
      <c r="F4754"/>
      <c r="G4754"/>
      <c r="H4754" s="19"/>
      <c r="I4754" s="19"/>
      <c r="J4754" s="19"/>
      <c r="M4754" s="7"/>
    </row>
    <row r="4755" spans="2:13" x14ac:dyDescent="0.25">
      <c r="B4755"/>
      <c r="C4755"/>
      <c r="D4755"/>
      <c r="E4755"/>
      <c r="F4755"/>
      <c r="G4755"/>
      <c r="H4755" s="19"/>
      <c r="I4755" s="19"/>
      <c r="J4755" s="19"/>
      <c r="M4755" s="7"/>
    </row>
    <row r="4756" spans="2:13" x14ac:dyDescent="0.25">
      <c r="B4756"/>
      <c r="C4756"/>
      <c r="D4756"/>
      <c r="E4756"/>
      <c r="F4756"/>
      <c r="G4756"/>
      <c r="H4756" s="19"/>
      <c r="I4756" s="19"/>
      <c r="J4756" s="19"/>
      <c r="M4756" s="7"/>
    </row>
    <row r="4757" spans="2:13" x14ac:dyDescent="0.25">
      <c r="B4757"/>
      <c r="C4757"/>
      <c r="D4757"/>
      <c r="E4757"/>
      <c r="F4757"/>
      <c r="G4757"/>
      <c r="H4757" s="19"/>
      <c r="I4757" s="19"/>
      <c r="J4757" s="19"/>
      <c r="M4757" s="7"/>
    </row>
    <row r="4758" spans="2:13" x14ac:dyDescent="0.25">
      <c r="B4758"/>
      <c r="C4758"/>
      <c r="D4758"/>
      <c r="E4758"/>
      <c r="F4758"/>
      <c r="G4758"/>
      <c r="H4758" s="19"/>
      <c r="I4758" s="19"/>
      <c r="J4758" s="19"/>
      <c r="M4758" s="7"/>
    </row>
    <row r="4759" spans="2:13" x14ac:dyDescent="0.25">
      <c r="B4759"/>
      <c r="C4759"/>
      <c r="D4759"/>
      <c r="E4759"/>
      <c r="F4759"/>
      <c r="G4759"/>
      <c r="H4759" s="19"/>
      <c r="I4759" s="19"/>
      <c r="J4759" s="19"/>
      <c r="M4759" s="7"/>
    </row>
    <row r="4760" spans="2:13" x14ac:dyDescent="0.25">
      <c r="B4760"/>
      <c r="C4760"/>
      <c r="D4760"/>
      <c r="E4760"/>
      <c r="F4760"/>
      <c r="G4760"/>
      <c r="H4760" s="19"/>
      <c r="I4760" s="19"/>
      <c r="J4760" s="19"/>
      <c r="M4760" s="7"/>
    </row>
    <row r="4761" spans="2:13" x14ac:dyDescent="0.25">
      <c r="B4761"/>
      <c r="C4761"/>
      <c r="D4761"/>
      <c r="E4761"/>
      <c r="F4761"/>
      <c r="G4761"/>
      <c r="H4761" s="19"/>
      <c r="I4761" s="19"/>
      <c r="J4761" s="19"/>
      <c r="M4761" s="7"/>
    </row>
    <row r="4762" spans="2:13" x14ac:dyDescent="0.25">
      <c r="B4762"/>
      <c r="C4762"/>
      <c r="D4762"/>
      <c r="E4762"/>
      <c r="F4762"/>
      <c r="G4762"/>
      <c r="H4762" s="19"/>
      <c r="I4762" s="19"/>
      <c r="J4762" s="19"/>
      <c r="M4762" s="7"/>
    </row>
    <row r="4763" spans="2:13" x14ac:dyDescent="0.25">
      <c r="B4763"/>
      <c r="C4763"/>
      <c r="D4763"/>
      <c r="E4763"/>
      <c r="F4763"/>
      <c r="G4763"/>
      <c r="H4763" s="19"/>
      <c r="I4763" s="19"/>
      <c r="J4763" s="19"/>
      <c r="M4763" s="7"/>
    </row>
    <row r="4764" spans="2:13" x14ac:dyDescent="0.25">
      <c r="B4764"/>
      <c r="C4764"/>
      <c r="D4764"/>
      <c r="E4764"/>
      <c r="F4764"/>
      <c r="G4764"/>
      <c r="H4764" s="19"/>
      <c r="I4764" s="19"/>
      <c r="J4764" s="19"/>
      <c r="M4764" s="7"/>
    </row>
    <row r="4765" spans="2:13" x14ac:dyDescent="0.25">
      <c r="B4765"/>
      <c r="C4765"/>
      <c r="D4765"/>
      <c r="E4765"/>
      <c r="F4765"/>
      <c r="G4765"/>
      <c r="H4765" s="19"/>
      <c r="I4765" s="19"/>
      <c r="J4765" s="19"/>
      <c r="M4765" s="7"/>
    </row>
    <row r="4766" spans="2:13" x14ac:dyDescent="0.25">
      <c r="B4766"/>
      <c r="C4766"/>
      <c r="D4766"/>
      <c r="E4766"/>
      <c r="F4766"/>
      <c r="G4766"/>
      <c r="H4766" s="19"/>
      <c r="I4766" s="19"/>
      <c r="J4766" s="19"/>
      <c r="M4766" s="7"/>
    </row>
    <row r="4767" spans="2:13" x14ac:dyDescent="0.25">
      <c r="B4767"/>
      <c r="C4767"/>
      <c r="D4767"/>
      <c r="E4767"/>
      <c r="F4767"/>
      <c r="G4767"/>
      <c r="H4767" s="19"/>
      <c r="I4767" s="19"/>
      <c r="J4767" s="19"/>
      <c r="M4767" s="7"/>
    </row>
    <row r="4768" spans="2:13" x14ac:dyDescent="0.25">
      <c r="B4768"/>
      <c r="C4768"/>
      <c r="D4768"/>
      <c r="E4768"/>
      <c r="F4768"/>
      <c r="G4768"/>
      <c r="H4768" s="19"/>
      <c r="I4768" s="19"/>
      <c r="J4768" s="19"/>
      <c r="M4768" s="7"/>
    </row>
    <row r="4769" spans="2:13" x14ac:dyDescent="0.25">
      <c r="B4769"/>
      <c r="C4769"/>
      <c r="D4769"/>
      <c r="E4769"/>
      <c r="F4769"/>
      <c r="G4769"/>
      <c r="H4769" s="19"/>
      <c r="I4769" s="19"/>
      <c r="J4769" s="19"/>
      <c r="M4769" s="7"/>
    </row>
    <row r="4770" spans="2:13" x14ac:dyDescent="0.25">
      <c r="B4770"/>
      <c r="C4770"/>
      <c r="D4770"/>
      <c r="E4770"/>
      <c r="F4770"/>
      <c r="G4770"/>
      <c r="H4770" s="19"/>
      <c r="I4770" s="19"/>
      <c r="J4770" s="19"/>
      <c r="M4770" s="7"/>
    </row>
    <row r="4771" spans="2:13" x14ac:dyDescent="0.25">
      <c r="B4771"/>
      <c r="C4771"/>
      <c r="D4771"/>
      <c r="E4771"/>
      <c r="F4771"/>
      <c r="G4771"/>
      <c r="H4771" s="19"/>
      <c r="I4771" s="19"/>
      <c r="J4771" s="19"/>
      <c r="M4771" s="7"/>
    </row>
    <row r="4772" spans="2:13" x14ac:dyDescent="0.25">
      <c r="B4772"/>
      <c r="C4772"/>
      <c r="D4772"/>
      <c r="E4772"/>
      <c r="F4772"/>
      <c r="G4772"/>
      <c r="H4772" s="19"/>
      <c r="I4772" s="19"/>
      <c r="J4772" s="19"/>
      <c r="M4772" s="7"/>
    </row>
    <row r="4773" spans="2:13" x14ac:dyDescent="0.25">
      <c r="B4773"/>
      <c r="C4773"/>
      <c r="D4773"/>
      <c r="E4773"/>
      <c r="F4773"/>
      <c r="G4773"/>
      <c r="H4773" s="19"/>
      <c r="I4773" s="19"/>
      <c r="J4773" s="19"/>
      <c r="M4773" s="7"/>
    </row>
    <row r="4774" spans="2:13" x14ac:dyDescent="0.25">
      <c r="B4774"/>
      <c r="C4774"/>
      <c r="D4774"/>
      <c r="E4774"/>
      <c r="F4774"/>
      <c r="G4774"/>
      <c r="H4774" s="19"/>
      <c r="I4774" s="19"/>
      <c r="J4774" s="19"/>
      <c r="M4774" s="7"/>
    </row>
    <row r="4775" spans="2:13" x14ac:dyDescent="0.25">
      <c r="B4775"/>
      <c r="C4775"/>
      <c r="D4775"/>
      <c r="E4775"/>
      <c r="F4775"/>
      <c r="G4775"/>
      <c r="H4775" s="19"/>
      <c r="I4775" s="19"/>
      <c r="J4775" s="19"/>
      <c r="M4775" s="7"/>
    </row>
    <row r="4776" spans="2:13" x14ac:dyDescent="0.25">
      <c r="B4776"/>
      <c r="C4776"/>
      <c r="D4776"/>
      <c r="E4776"/>
      <c r="F4776"/>
      <c r="G4776"/>
      <c r="H4776" s="19"/>
      <c r="I4776" s="19"/>
      <c r="J4776" s="19"/>
      <c r="M4776" s="7"/>
    </row>
    <row r="4777" spans="2:13" x14ac:dyDescent="0.25">
      <c r="B4777"/>
      <c r="C4777"/>
      <c r="D4777"/>
      <c r="E4777"/>
      <c r="F4777"/>
      <c r="G4777"/>
      <c r="H4777" s="19"/>
      <c r="I4777" s="19"/>
      <c r="J4777" s="19"/>
      <c r="M4777" s="7"/>
    </row>
    <row r="4778" spans="2:13" x14ac:dyDescent="0.25">
      <c r="B4778"/>
      <c r="C4778"/>
      <c r="D4778"/>
      <c r="E4778"/>
      <c r="F4778"/>
      <c r="G4778"/>
      <c r="H4778" s="19"/>
      <c r="I4778" s="19"/>
      <c r="J4778" s="19"/>
      <c r="M4778" s="7"/>
    </row>
    <row r="4779" spans="2:13" x14ac:dyDescent="0.25">
      <c r="B4779"/>
      <c r="C4779"/>
      <c r="D4779"/>
      <c r="E4779"/>
      <c r="F4779"/>
      <c r="G4779"/>
      <c r="H4779" s="19"/>
      <c r="I4779" s="19"/>
      <c r="J4779" s="19"/>
      <c r="M4779" s="7"/>
    </row>
    <row r="4780" spans="2:13" x14ac:dyDescent="0.25">
      <c r="B4780"/>
      <c r="C4780"/>
      <c r="D4780"/>
      <c r="E4780"/>
      <c r="F4780"/>
      <c r="G4780"/>
      <c r="H4780" s="19"/>
      <c r="I4780" s="19"/>
      <c r="J4780" s="19"/>
      <c r="M4780" s="7"/>
    </row>
    <row r="4781" spans="2:13" x14ac:dyDescent="0.25">
      <c r="B4781"/>
      <c r="C4781"/>
      <c r="D4781"/>
      <c r="E4781"/>
      <c r="F4781"/>
      <c r="G4781"/>
      <c r="H4781" s="19"/>
      <c r="I4781" s="19"/>
      <c r="J4781" s="19"/>
      <c r="M4781" s="7"/>
    </row>
    <row r="4782" spans="2:13" x14ac:dyDescent="0.25">
      <c r="B4782"/>
      <c r="C4782"/>
      <c r="D4782"/>
      <c r="E4782"/>
      <c r="F4782"/>
      <c r="G4782"/>
      <c r="H4782" s="19"/>
      <c r="I4782" s="19"/>
      <c r="J4782" s="19"/>
      <c r="M4782" s="7"/>
    </row>
    <row r="4783" spans="2:13" x14ac:dyDescent="0.25">
      <c r="B4783"/>
      <c r="C4783"/>
      <c r="D4783"/>
      <c r="E4783"/>
      <c r="F4783"/>
      <c r="G4783"/>
      <c r="H4783" s="19"/>
      <c r="I4783" s="19"/>
      <c r="J4783" s="19"/>
      <c r="M4783" s="7"/>
    </row>
    <row r="4784" spans="2:13" x14ac:dyDescent="0.25">
      <c r="B4784"/>
      <c r="C4784"/>
      <c r="D4784"/>
      <c r="E4784"/>
      <c r="F4784"/>
      <c r="G4784"/>
      <c r="H4784" s="19"/>
      <c r="I4784" s="19"/>
      <c r="J4784" s="19"/>
      <c r="M4784" s="7"/>
    </row>
    <row r="4785" spans="2:13" x14ac:dyDescent="0.25">
      <c r="B4785"/>
      <c r="C4785"/>
      <c r="D4785"/>
      <c r="E4785"/>
      <c r="F4785"/>
      <c r="G4785"/>
      <c r="H4785" s="19"/>
      <c r="I4785" s="19"/>
      <c r="J4785" s="19"/>
      <c r="M4785" s="7"/>
    </row>
    <row r="4786" spans="2:13" x14ac:dyDescent="0.25">
      <c r="B4786"/>
      <c r="C4786"/>
      <c r="D4786"/>
      <c r="E4786"/>
      <c r="F4786"/>
      <c r="G4786"/>
      <c r="H4786" s="19"/>
      <c r="I4786" s="19"/>
      <c r="J4786" s="19"/>
      <c r="M4786" s="7"/>
    </row>
    <row r="4787" spans="2:13" x14ac:dyDescent="0.25">
      <c r="B4787"/>
      <c r="C4787"/>
      <c r="D4787"/>
      <c r="E4787"/>
      <c r="F4787"/>
      <c r="G4787"/>
      <c r="H4787" s="19"/>
      <c r="I4787" s="19"/>
      <c r="J4787" s="19"/>
      <c r="M4787" s="7"/>
    </row>
    <row r="4788" spans="2:13" x14ac:dyDescent="0.25">
      <c r="B4788"/>
      <c r="C4788"/>
      <c r="D4788"/>
      <c r="E4788"/>
      <c r="F4788"/>
      <c r="G4788"/>
      <c r="H4788" s="19"/>
      <c r="I4788" s="19"/>
      <c r="J4788" s="19"/>
      <c r="M4788" s="7"/>
    </row>
    <row r="4789" spans="2:13" x14ac:dyDescent="0.25">
      <c r="B4789"/>
      <c r="C4789"/>
      <c r="D4789"/>
      <c r="E4789"/>
      <c r="F4789"/>
      <c r="G4789"/>
      <c r="H4789" s="19"/>
      <c r="I4789" s="19"/>
      <c r="J4789" s="19"/>
      <c r="M4789" s="7"/>
    </row>
    <row r="4790" spans="2:13" x14ac:dyDescent="0.25">
      <c r="B4790"/>
      <c r="C4790"/>
      <c r="D4790"/>
      <c r="E4790"/>
      <c r="F4790"/>
      <c r="G4790"/>
      <c r="H4790" s="19"/>
      <c r="I4790" s="19"/>
      <c r="J4790" s="19"/>
      <c r="M4790" s="7"/>
    </row>
    <row r="4791" spans="2:13" x14ac:dyDescent="0.25">
      <c r="B4791"/>
      <c r="C4791"/>
      <c r="D4791"/>
      <c r="E4791"/>
      <c r="F4791"/>
      <c r="G4791"/>
      <c r="H4791" s="19"/>
      <c r="I4791" s="19"/>
      <c r="J4791" s="19"/>
      <c r="M4791" s="7"/>
    </row>
    <row r="4792" spans="2:13" x14ac:dyDescent="0.25">
      <c r="B4792"/>
      <c r="C4792"/>
      <c r="D4792"/>
      <c r="E4792"/>
      <c r="F4792"/>
      <c r="G4792"/>
      <c r="H4792" s="19"/>
      <c r="I4792" s="19"/>
      <c r="J4792" s="19"/>
      <c r="M4792" s="7"/>
    </row>
    <row r="4793" spans="2:13" x14ac:dyDescent="0.25">
      <c r="B4793"/>
      <c r="C4793"/>
      <c r="D4793"/>
      <c r="E4793"/>
      <c r="F4793"/>
      <c r="G4793"/>
      <c r="H4793" s="19"/>
      <c r="I4793" s="19"/>
      <c r="J4793" s="19"/>
      <c r="M4793" s="7"/>
    </row>
    <row r="4794" spans="2:13" x14ac:dyDescent="0.25">
      <c r="B4794"/>
      <c r="C4794"/>
      <c r="D4794"/>
      <c r="E4794"/>
      <c r="F4794"/>
      <c r="G4794"/>
      <c r="H4794" s="19"/>
      <c r="I4794" s="19"/>
      <c r="J4794" s="19"/>
      <c r="M4794" s="7"/>
    </row>
    <row r="4795" spans="2:13" x14ac:dyDescent="0.25">
      <c r="B4795"/>
      <c r="C4795"/>
      <c r="D4795"/>
      <c r="E4795"/>
      <c r="F4795"/>
      <c r="G4795"/>
      <c r="H4795" s="19"/>
      <c r="I4795" s="19"/>
      <c r="J4795" s="19"/>
      <c r="M4795" s="7"/>
    </row>
    <row r="4796" spans="2:13" x14ac:dyDescent="0.25">
      <c r="B4796"/>
      <c r="C4796"/>
      <c r="D4796"/>
      <c r="E4796"/>
      <c r="F4796"/>
      <c r="G4796"/>
      <c r="H4796" s="19"/>
      <c r="I4796" s="19"/>
      <c r="J4796" s="19"/>
      <c r="M4796" s="7"/>
    </row>
    <row r="4797" spans="2:13" x14ac:dyDescent="0.25">
      <c r="B4797"/>
      <c r="C4797"/>
      <c r="D4797"/>
      <c r="E4797"/>
      <c r="F4797"/>
      <c r="G4797"/>
      <c r="H4797" s="19"/>
      <c r="I4797" s="19"/>
      <c r="J4797" s="19"/>
      <c r="M4797" s="7"/>
    </row>
    <row r="4798" spans="2:13" x14ac:dyDescent="0.25">
      <c r="B4798"/>
      <c r="C4798"/>
      <c r="D4798"/>
      <c r="E4798"/>
      <c r="F4798"/>
      <c r="G4798"/>
      <c r="H4798" s="19"/>
      <c r="I4798" s="19"/>
      <c r="J4798" s="19"/>
      <c r="M4798" s="7"/>
    </row>
    <row r="4799" spans="2:13" x14ac:dyDescent="0.25">
      <c r="B4799"/>
      <c r="C4799"/>
      <c r="D4799"/>
      <c r="E4799"/>
      <c r="F4799"/>
      <c r="G4799"/>
      <c r="H4799" s="19"/>
      <c r="I4799" s="19"/>
      <c r="J4799" s="19"/>
      <c r="M4799" s="7"/>
    </row>
    <row r="4800" spans="2:13" x14ac:dyDescent="0.25">
      <c r="B4800"/>
      <c r="C4800"/>
      <c r="D4800"/>
      <c r="E4800"/>
      <c r="F4800"/>
      <c r="G4800"/>
      <c r="H4800" s="19"/>
      <c r="I4800" s="19"/>
      <c r="J4800" s="19"/>
      <c r="M4800" s="7"/>
    </row>
    <row r="4801" spans="2:13" x14ac:dyDescent="0.25">
      <c r="B4801"/>
      <c r="C4801"/>
      <c r="D4801"/>
      <c r="E4801"/>
      <c r="F4801"/>
      <c r="G4801"/>
      <c r="H4801" s="19"/>
      <c r="I4801" s="19"/>
      <c r="J4801" s="19"/>
      <c r="M4801" s="7"/>
    </row>
    <row r="4802" spans="2:13" x14ac:dyDescent="0.25">
      <c r="B4802"/>
      <c r="C4802"/>
      <c r="D4802"/>
      <c r="E4802"/>
      <c r="F4802"/>
      <c r="G4802"/>
      <c r="H4802" s="19"/>
      <c r="I4802" s="19"/>
      <c r="J4802" s="19"/>
      <c r="M4802" s="7"/>
    </row>
    <row r="4803" spans="2:13" x14ac:dyDescent="0.25">
      <c r="B4803"/>
      <c r="C4803"/>
      <c r="D4803"/>
      <c r="E4803"/>
      <c r="F4803"/>
      <c r="G4803"/>
      <c r="H4803" s="19"/>
      <c r="I4803" s="19"/>
      <c r="J4803" s="19"/>
      <c r="M4803" s="7"/>
    </row>
    <row r="4804" spans="2:13" x14ac:dyDescent="0.25">
      <c r="B4804"/>
      <c r="C4804"/>
      <c r="D4804"/>
      <c r="E4804"/>
      <c r="F4804"/>
      <c r="G4804"/>
      <c r="H4804" s="19"/>
      <c r="I4804" s="19"/>
      <c r="J4804" s="19"/>
      <c r="M4804" s="7"/>
    </row>
    <row r="4805" spans="2:13" x14ac:dyDescent="0.25">
      <c r="B4805"/>
      <c r="C4805"/>
      <c r="D4805"/>
      <c r="E4805"/>
      <c r="F4805"/>
      <c r="G4805"/>
      <c r="H4805" s="19"/>
      <c r="I4805" s="19"/>
      <c r="J4805" s="19"/>
      <c r="M4805" s="7"/>
    </row>
    <row r="4806" spans="2:13" x14ac:dyDescent="0.25">
      <c r="B4806"/>
      <c r="C4806"/>
      <c r="D4806"/>
      <c r="E4806"/>
      <c r="F4806"/>
      <c r="G4806"/>
      <c r="H4806" s="19"/>
      <c r="I4806" s="19"/>
      <c r="J4806" s="19"/>
      <c r="M4806" s="7"/>
    </row>
    <row r="4807" spans="2:13" x14ac:dyDescent="0.25">
      <c r="B4807"/>
      <c r="C4807"/>
      <c r="D4807"/>
      <c r="E4807"/>
      <c r="F4807"/>
      <c r="G4807"/>
      <c r="H4807" s="19"/>
      <c r="I4807" s="19"/>
      <c r="J4807" s="19"/>
      <c r="M4807" s="7"/>
    </row>
    <row r="4808" spans="2:13" x14ac:dyDescent="0.25">
      <c r="B4808"/>
      <c r="C4808"/>
      <c r="D4808"/>
      <c r="E4808"/>
      <c r="F4808"/>
      <c r="G4808"/>
      <c r="H4808" s="19"/>
      <c r="I4808" s="19"/>
      <c r="J4808" s="19"/>
      <c r="M4808" s="7"/>
    </row>
    <row r="4809" spans="2:13" x14ac:dyDescent="0.25">
      <c r="B4809"/>
      <c r="C4809"/>
      <c r="D4809"/>
      <c r="E4809"/>
      <c r="F4809"/>
      <c r="G4809"/>
      <c r="H4809" s="19"/>
      <c r="I4809" s="19"/>
      <c r="J4809" s="19"/>
      <c r="M4809" s="7"/>
    </row>
    <row r="4810" spans="2:13" x14ac:dyDescent="0.25">
      <c r="B4810"/>
      <c r="C4810"/>
      <c r="D4810"/>
      <c r="E4810"/>
      <c r="F4810"/>
      <c r="G4810"/>
      <c r="H4810" s="19"/>
      <c r="I4810" s="19"/>
      <c r="J4810" s="19"/>
      <c r="M4810" s="7"/>
    </row>
    <row r="4811" spans="2:13" x14ac:dyDescent="0.25">
      <c r="B4811"/>
      <c r="C4811"/>
      <c r="D4811"/>
      <c r="E4811"/>
      <c r="F4811"/>
      <c r="G4811"/>
      <c r="H4811" s="19"/>
      <c r="I4811" s="19"/>
      <c r="J4811" s="19"/>
      <c r="M4811" s="7"/>
    </row>
    <row r="4812" spans="2:13" x14ac:dyDescent="0.25">
      <c r="B4812"/>
      <c r="C4812"/>
      <c r="D4812"/>
      <c r="E4812"/>
      <c r="F4812"/>
      <c r="G4812"/>
      <c r="H4812" s="19"/>
      <c r="I4812" s="19"/>
      <c r="J4812" s="19"/>
      <c r="M4812" s="7"/>
    </row>
    <row r="4813" spans="2:13" x14ac:dyDescent="0.25">
      <c r="B4813"/>
      <c r="C4813"/>
      <c r="D4813"/>
      <c r="E4813"/>
      <c r="F4813"/>
      <c r="G4813"/>
      <c r="H4813" s="19"/>
      <c r="I4813" s="19"/>
      <c r="J4813" s="19"/>
      <c r="M4813" s="7"/>
    </row>
    <row r="4814" spans="2:13" x14ac:dyDescent="0.25">
      <c r="B4814"/>
      <c r="C4814"/>
      <c r="D4814"/>
      <c r="E4814"/>
      <c r="F4814"/>
      <c r="G4814"/>
      <c r="H4814" s="19"/>
      <c r="I4814" s="19"/>
      <c r="J4814" s="19"/>
      <c r="M4814" s="7"/>
    </row>
    <row r="4815" spans="2:13" x14ac:dyDescent="0.25">
      <c r="B4815"/>
      <c r="C4815"/>
      <c r="D4815"/>
      <c r="E4815"/>
      <c r="F4815"/>
      <c r="G4815"/>
      <c r="H4815" s="19"/>
      <c r="I4815" s="19"/>
      <c r="J4815" s="19"/>
      <c r="M4815" s="7"/>
    </row>
    <row r="4816" spans="2:13" x14ac:dyDescent="0.25">
      <c r="B4816"/>
      <c r="C4816"/>
      <c r="D4816"/>
      <c r="E4816"/>
      <c r="F4816"/>
      <c r="G4816"/>
      <c r="H4816" s="19"/>
      <c r="I4816" s="19"/>
      <c r="J4816" s="19"/>
      <c r="M4816" s="7"/>
    </row>
    <row r="4817" spans="2:13" x14ac:dyDescent="0.25">
      <c r="B4817"/>
      <c r="C4817"/>
      <c r="D4817"/>
      <c r="E4817"/>
      <c r="F4817"/>
      <c r="G4817"/>
      <c r="H4817" s="19"/>
      <c r="I4817" s="19"/>
      <c r="J4817" s="19"/>
      <c r="M4817" s="7"/>
    </row>
    <row r="4818" spans="2:13" x14ac:dyDescent="0.25">
      <c r="B4818"/>
      <c r="C4818"/>
      <c r="D4818"/>
      <c r="E4818"/>
      <c r="F4818"/>
      <c r="G4818"/>
      <c r="H4818" s="19"/>
      <c r="I4818" s="19"/>
      <c r="J4818" s="19"/>
      <c r="M4818" s="7"/>
    </row>
    <row r="4819" spans="2:13" x14ac:dyDescent="0.25">
      <c r="B4819"/>
      <c r="C4819"/>
      <c r="D4819"/>
      <c r="E4819"/>
      <c r="F4819"/>
      <c r="G4819"/>
      <c r="H4819" s="19"/>
      <c r="I4819" s="19"/>
      <c r="J4819" s="19"/>
      <c r="M4819" s="7"/>
    </row>
    <row r="4820" spans="2:13" x14ac:dyDescent="0.25">
      <c r="B4820"/>
      <c r="C4820"/>
      <c r="D4820"/>
      <c r="E4820"/>
      <c r="F4820"/>
      <c r="G4820"/>
      <c r="H4820" s="19"/>
      <c r="I4820" s="19"/>
      <c r="J4820" s="19"/>
      <c r="M4820" s="7"/>
    </row>
    <row r="4821" spans="2:13" x14ac:dyDescent="0.25">
      <c r="B4821"/>
      <c r="C4821"/>
      <c r="D4821"/>
      <c r="E4821"/>
      <c r="F4821"/>
      <c r="G4821"/>
      <c r="H4821" s="19"/>
      <c r="I4821" s="19"/>
      <c r="J4821" s="19"/>
      <c r="M4821" s="7"/>
    </row>
    <row r="4822" spans="2:13" x14ac:dyDescent="0.25">
      <c r="B4822"/>
      <c r="C4822"/>
      <c r="D4822"/>
      <c r="E4822"/>
      <c r="F4822"/>
      <c r="G4822"/>
      <c r="H4822" s="19"/>
      <c r="I4822" s="19"/>
      <c r="J4822" s="19"/>
      <c r="M4822" s="7"/>
    </row>
    <row r="4823" spans="2:13" x14ac:dyDescent="0.25">
      <c r="B4823"/>
      <c r="C4823"/>
      <c r="D4823"/>
      <c r="E4823"/>
      <c r="F4823"/>
      <c r="G4823"/>
      <c r="H4823" s="19"/>
      <c r="I4823" s="19"/>
      <c r="J4823" s="19"/>
      <c r="M4823" s="7"/>
    </row>
    <row r="4824" spans="2:13" x14ac:dyDescent="0.25">
      <c r="B4824"/>
      <c r="C4824"/>
      <c r="D4824"/>
      <c r="E4824"/>
      <c r="F4824"/>
      <c r="G4824"/>
      <c r="H4824" s="19"/>
      <c r="I4824" s="19"/>
      <c r="J4824" s="19"/>
      <c r="M4824" s="7"/>
    </row>
    <row r="4825" spans="2:13" x14ac:dyDescent="0.25">
      <c r="B4825"/>
      <c r="C4825"/>
      <c r="D4825"/>
      <c r="E4825"/>
      <c r="F4825"/>
      <c r="G4825"/>
      <c r="H4825" s="19"/>
      <c r="I4825" s="19"/>
      <c r="J4825" s="19"/>
      <c r="M4825" s="7"/>
    </row>
    <row r="4826" spans="2:13" x14ac:dyDescent="0.25">
      <c r="B4826"/>
      <c r="C4826"/>
      <c r="D4826"/>
      <c r="E4826"/>
      <c r="F4826"/>
      <c r="G4826"/>
      <c r="H4826" s="19"/>
      <c r="I4826" s="19"/>
      <c r="J4826" s="19"/>
      <c r="M4826" s="7"/>
    </row>
    <row r="4827" spans="2:13" x14ac:dyDescent="0.25">
      <c r="B4827"/>
      <c r="C4827"/>
      <c r="D4827"/>
      <c r="E4827"/>
      <c r="F4827"/>
      <c r="G4827"/>
      <c r="H4827" s="19"/>
      <c r="I4827" s="19"/>
      <c r="J4827" s="19"/>
      <c r="M4827" s="7"/>
    </row>
    <row r="4828" spans="2:13" x14ac:dyDescent="0.25">
      <c r="B4828"/>
      <c r="C4828"/>
      <c r="D4828"/>
      <c r="E4828"/>
      <c r="F4828"/>
      <c r="G4828"/>
      <c r="H4828" s="19"/>
      <c r="I4828" s="19"/>
      <c r="J4828" s="19"/>
      <c r="M4828" s="7"/>
    </row>
    <row r="4829" spans="2:13" x14ac:dyDescent="0.25">
      <c r="B4829"/>
      <c r="C4829"/>
      <c r="D4829"/>
      <c r="E4829"/>
      <c r="F4829"/>
      <c r="G4829"/>
      <c r="H4829" s="19"/>
      <c r="I4829" s="19"/>
      <c r="J4829" s="19"/>
      <c r="M4829" s="7"/>
    </row>
    <row r="4830" spans="2:13" x14ac:dyDescent="0.25">
      <c r="B4830"/>
      <c r="C4830"/>
      <c r="D4830"/>
      <c r="E4830"/>
      <c r="F4830"/>
      <c r="G4830"/>
      <c r="H4830" s="19"/>
      <c r="I4830" s="19"/>
      <c r="J4830" s="19"/>
      <c r="M4830" s="7"/>
    </row>
    <row r="4831" spans="2:13" x14ac:dyDescent="0.25">
      <c r="B4831"/>
      <c r="C4831"/>
      <c r="D4831"/>
      <c r="E4831"/>
      <c r="F4831"/>
      <c r="G4831"/>
      <c r="H4831" s="19"/>
      <c r="I4831" s="19"/>
      <c r="J4831" s="19"/>
      <c r="M4831" s="7"/>
    </row>
    <row r="4832" spans="2:13" x14ac:dyDescent="0.25">
      <c r="B4832"/>
      <c r="C4832"/>
      <c r="D4832"/>
      <c r="E4832"/>
      <c r="F4832"/>
      <c r="G4832"/>
      <c r="H4832" s="19"/>
      <c r="I4832" s="19"/>
      <c r="J4832" s="19"/>
      <c r="M4832" s="7"/>
    </row>
    <row r="4833" spans="2:13" x14ac:dyDescent="0.25">
      <c r="B4833"/>
      <c r="C4833"/>
      <c r="D4833"/>
      <c r="E4833"/>
      <c r="F4833"/>
      <c r="G4833"/>
      <c r="H4833" s="19"/>
      <c r="I4833" s="19"/>
      <c r="J4833" s="19"/>
      <c r="M4833" s="7"/>
    </row>
    <row r="4834" spans="2:13" x14ac:dyDescent="0.25">
      <c r="B4834"/>
      <c r="C4834"/>
      <c r="D4834"/>
      <c r="E4834"/>
      <c r="F4834"/>
      <c r="G4834"/>
      <c r="H4834" s="19"/>
      <c r="I4834" s="19"/>
      <c r="J4834" s="19"/>
      <c r="M4834" s="7"/>
    </row>
    <row r="4835" spans="2:13" x14ac:dyDescent="0.25">
      <c r="B4835"/>
      <c r="C4835"/>
      <c r="D4835"/>
      <c r="E4835"/>
      <c r="F4835"/>
      <c r="G4835"/>
      <c r="H4835" s="19"/>
      <c r="I4835" s="19"/>
      <c r="J4835" s="19"/>
      <c r="M4835" s="7"/>
    </row>
    <row r="4836" spans="2:13" x14ac:dyDescent="0.25">
      <c r="B4836"/>
      <c r="C4836"/>
      <c r="D4836"/>
      <c r="E4836"/>
      <c r="F4836"/>
      <c r="G4836"/>
      <c r="H4836" s="19"/>
      <c r="I4836" s="19"/>
      <c r="J4836" s="19"/>
      <c r="M4836" s="7"/>
    </row>
    <row r="4837" spans="2:13" x14ac:dyDescent="0.25">
      <c r="B4837"/>
      <c r="C4837"/>
      <c r="D4837"/>
      <c r="E4837"/>
      <c r="F4837"/>
      <c r="G4837"/>
      <c r="H4837" s="19"/>
      <c r="I4837" s="19"/>
      <c r="J4837" s="19"/>
      <c r="M4837" s="7"/>
    </row>
    <row r="4838" spans="2:13" x14ac:dyDescent="0.25">
      <c r="B4838"/>
      <c r="C4838"/>
      <c r="D4838"/>
      <c r="E4838"/>
      <c r="F4838"/>
      <c r="G4838"/>
      <c r="H4838" s="19"/>
      <c r="I4838" s="19"/>
      <c r="J4838" s="19"/>
      <c r="M4838" s="7"/>
    </row>
    <row r="4839" spans="2:13" x14ac:dyDescent="0.25">
      <c r="B4839"/>
      <c r="C4839"/>
      <c r="D4839"/>
      <c r="E4839"/>
      <c r="F4839"/>
      <c r="G4839"/>
      <c r="H4839" s="19"/>
      <c r="I4839" s="19"/>
      <c r="J4839" s="19"/>
      <c r="M4839" s="7"/>
    </row>
    <row r="4840" spans="2:13" x14ac:dyDescent="0.25">
      <c r="B4840"/>
      <c r="C4840"/>
      <c r="D4840"/>
      <c r="E4840"/>
      <c r="F4840"/>
      <c r="G4840"/>
      <c r="H4840" s="19"/>
      <c r="I4840" s="19"/>
      <c r="J4840" s="19"/>
      <c r="M4840" s="7"/>
    </row>
    <row r="4841" spans="2:13" x14ac:dyDescent="0.25">
      <c r="B4841"/>
      <c r="C4841"/>
      <c r="D4841"/>
      <c r="E4841"/>
      <c r="F4841"/>
      <c r="G4841"/>
      <c r="H4841" s="19"/>
      <c r="I4841" s="19"/>
      <c r="J4841" s="19"/>
      <c r="M4841" s="7"/>
    </row>
    <row r="4842" spans="2:13" x14ac:dyDescent="0.25">
      <c r="B4842"/>
      <c r="C4842"/>
      <c r="D4842"/>
      <c r="E4842"/>
      <c r="F4842"/>
      <c r="G4842"/>
      <c r="H4842" s="19"/>
      <c r="I4842" s="19"/>
      <c r="J4842" s="19"/>
      <c r="M4842" s="7"/>
    </row>
    <row r="4843" spans="2:13" x14ac:dyDescent="0.25">
      <c r="B4843"/>
      <c r="C4843"/>
      <c r="D4843"/>
      <c r="E4843"/>
      <c r="F4843"/>
      <c r="G4843"/>
      <c r="H4843" s="19"/>
      <c r="I4843" s="19"/>
      <c r="J4843" s="19"/>
      <c r="M4843" s="7"/>
    </row>
    <row r="4844" spans="2:13" x14ac:dyDescent="0.25">
      <c r="B4844"/>
      <c r="C4844"/>
      <c r="D4844"/>
      <c r="E4844"/>
      <c r="F4844"/>
      <c r="G4844"/>
      <c r="H4844" s="19"/>
      <c r="I4844" s="19"/>
      <c r="J4844" s="19"/>
      <c r="M4844" s="7"/>
    </row>
    <row r="4845" spans="2:13" x14ac:dyDescent="0.25">
      <c r="B4845"/>
      <c r="C4845"/>
      <c r="D4845"/>
      <c r="E4845"/>
      <c r="F4845"/>
      <c r="G4845"/>
      <c r="H4845" s="19"/>
      <c r="I4845" s="19"/>
      <c r="J4845" s="19"/>
      <c r="M4845" s="7"/>
    </row>
    <row r="4846" spans="2:13" x14ac:dyDescent="0.25">
      <c r="B4846"/>
      <c r="C4846"/>
      <c r="D4846"/>
      <c r="E4846"/>
      <c r="F4846"/>
      <c r="G4846"/>
      <c r="H4846" s="19"/>
      <c r="I4846" s="19"/>
      <c r="J4846" s="19"/>
      <c r="M4846" s="7"/>
    </row>
    <row r="4847" spans="2:13" x14ac:dyDescent="0.25">
      <c r="B4847"/>
      <c r="C4847"/>
      <c r="D4847"/>
      <c r="E4847"/>
      <c r="F4847"/>
      <c r="G4847"/>
      <c r="H4847" s="19"/>
      <c r="I4847" s="19"/>
      <c r="J4847" s="19"/>
      <c r="M4847" s="7"/>
    </row>
    <row r="4848" spans="2:13" x14ac:dyDescent="0.25">
      <c r="B4848"/>
      <c r="C4848"/>
      <c r="D4848"/>
      <c r="E4848"/>
      <c r="F4848"/>
      <c r="G4848"/>
      <c r="H4848" s="19"/>
      <c r="I4848" s="19"/>
      <c r="J4848" s="19"/>
      <c r="M4848" s="7"/>
    </row>
    <row r="4849" spans="2:13" x14ac:dyDescent="0.25">
      <c r="B4849"/>
      <c r="C4849"/>
      <c r="D4849"/>
      <c r="E4849"/>
      <c r="F4849"/>
      <c r="G4849"/>
      <c r="H4849" s="19"/>
      <c r="I4849" s="19"/>
      <c r="J4849" s="19"/>
      <c r="M4849" s="7"/>
    </row>
    <row r="4850" spans="2:13" x14ac:dyDescent="0.25">
      <c r="B4850"/>
      <c r="C4850"/>
      <c r="D4850"/>
      <c r="E4850"/>
      <c r="F4850"/>
      <c r="G4850"/>
      <c r="H4850" s="19"/>
      <c r="I4850" s="19"/>
      <c r="J4850" s="19"/>
      <c r="M4850" s="7"/>
    </row>
    <row r="4851" spans="2:13" x14ac:dyDescent="0.25">
      <c r="B4851"/>
      <c r="C4851"/>
      <c r="D4851"/>
      <c r="E4851"/>
      <c r="F4851"/>
      <c r="G4851"/>
      <c r="H4851" s="19"/>
      <c r="I4851" s="19"/>
      <c r="J4851" s="19"/>
      <c r="M4851" s="7"/>
    </row>
    <row r="4852" spans="2:13" x14ac:dyDescent="0.25">
      <c r="B4852"/>
      <c r="C4852"/>
      <c r="D4852"/>
      <c r="E4852"/>
      <c r="F4852"/>
      <c r="G4852"/>
      <c r="H4852" s="19"/>
      <c r="I4852" s="19"/>
      <c r="J4852" s="19"/>
      <c r="M4852" s="7"/>
    </row>
    <row r="4853" spans="2:13" x14ac:dyDescent="0.25">
      <c r="B4853"/>
      <c r="C4853"/>
      <c r="D4853"/>
      <c r="E4853"/>
      <c r="F4853"/>
      <c r="G4853"/>
      <c r="H4853" s="19"/>
      <c r="I4853" s="19"/>
      <c r="J4853" s="19"/>
      <c r="M4853" s="7"/>
    </row>
    <row r="4854" spans="2:13" x14ac:dyDescent="0.25">
      <c r="B4854"/>
      <c r="C4854"/>
      <c r="D4854"/>
      <c r="E4854"/>
      <c r="F4854"/>
      <c r="G4854"/>
      <c r="H4854" s="19"/>
      <c r="I4854" s="19"/>
      <c r="J4854" s="19"/>
      <c r="M4854" s="7"/>
    </row>
    <row r="4855" spans="2:13" x14ac:dyDescent="0.25">
      <c r="B4855"/>
      <c r="C4855"/>
      <c r="D4855"/>
      <c r="E4855"/>
      <c r="F4855"/>
      <c r="G4855"/>
      <c r="H4855" s="19"/>
      <c r="I4855" s="19"/>
      <c r="J4855" s="19"/>
      <c r="M4855" s="7"/>
    </row>
    <row r="4856" spans="2:13" x14ac:dyDescent="0.25">
      <c r="B4856"/>
      <c r="C4856"/>
      <c r="D4856"/>
      <c r="E4856"/>
      <c r="F4856"/>
      <c r="G4856"/>
      <c r="H4856" s="19"/>
      <c r="I4856" s="19"/>
      <c r="J4856" s="19"/>
      <c r="M4856" s="7"/>
    </row>
    <row r="4857" spans="2:13" x14ac:dyDescent="0.25">
      <c r="B4857"/>
      <c r="C4857"/>
      <c r="D4857"/>
      <c r="E4857"/>
      <c r="F4857"/>
      <c r="G4857"/>
      <c r="H4857" s="19"/>
      <c r="I4857" s="19"/>
      <c r="J4857" s="19"/>
      <c r="M4857" s="7"/>
    </row>
    <row r="4858" spans="2:13" x14ac:dyDescent="0.25">
      <c r="B4858"/>
      <c r="C4858"/>
      <c r="D4858"/>
      <c r="E4858"/>
      <c r="F4858"/>
      <c r="G4858"/>
      <c r="H4858" s="19"/>
      <c r="I4858" s="19"/>
      <c r="J4858" s="19"/>
      <c r="M4858" s="7"/>
    </row>
    <row r="4859" spans="2:13" x14ac:dyDescent="0.25">
      <c r="B4859"/>
      <c r="C4859"/>
      <c r="D4859"/>
      <c r="E4859"/>
      <c r="F4859"/>
      <c r="G4859"/>
      <c r="H4859" s="19"/>
      <c r="I4859" s="19"/>
      <c r="J4859" s="19"/>
      <c r="M4859" s="7"/>
    </row>
    <row r="4860" spans="2:13" x14ac:dyDescent="0.25">
      <c r="B4860"/>
      <c r="C4860"/>
      <c r="D4860"/>
      <c r="E4860"/>
      <c r="F4860"/>
      <c r="G4860"/>
      <c r="H4860" s="19"/>
      <c r="I4860" s="19"/>
      <c r="J4860" s="19"/>
      <c r="M4860" s="7"/>
    </row>
    <row r="4861" spans="2:13" x14ac:dyDescent="0.25">
      <c r="B4861"/>
      <c r="C4861"/>
      <c r="D4861"/>
      <c r="E4861"/>
      <c r="F4861"/>
      <c r="G4861"/>
      <c r="H4861" s="19"/>
      <c r="I4861" s="19"/>
      <c r="J4861" s="19"/>
      <c r="M4861" s="7"/>
    </row>
    <row r="4862" spans="2:13" x14ac:dyDescent="0.25">
      <c r="B4862"/>
      <c r="C4862"/>
      <c r="D4862"/>
      <c r="E4862"/>
      <c r="F4862"/>
      <c r="G4862"/>
      <c r="H4862" s="19"/>
      <c r="I4862" s="19"/>
      <c r="J4862" s="19"/>
      <c r="M4862" s="7"/>
    </row>
    <row r="4863" spans="2:13" x14ac:dyDescent="0.25">
      <c r="B4863"/>
      <c r="C4863"/>
      <c r="D4863"/>
      <c r="E4863"/>
      <c r="F4863"/>
      <c r="G4863"/>
      <c r="H4863" s="19"/>
      <c r="I4863" s="19"/>
      <c r="J4863" s="19"/>
      <c r="M4863" s="7"/>
    </row>
    <row r="4864" spans="2:13" x14ac:dyDescent="0.25">
      <c r="B4864"/>
      <c r="C4864"/>
      <c r="D4864"/>
      <c r="E4864"/>
      <c r="F4864"/>
      <c r="G4864"/>
      <c r="H4864" s="19"/>
      <c r="I4864" s="19"/>
      <c r="J4864" s="19"/>
      <c r="M4864" s="7"/>
    </row>
    <row r="4865" spans="2:13" x14ac:dyDescent="0.25">
      <c r="B4865"/>
      <c r="C4865"/>
      <c r="D4865"/>
      <c r="E4865"/>
      <c r="F4865"/>
      <c r="G4865"/>
      <c r="H4865" s="19"/>
      <c r="I4865" s="19"/>
      <c r="J4865" s="19"/>
      <c r="M4865" s="7"/>
    </row>
    <row r="4866" spans="2:13" x14ac:dyDescent="0.25">
      <c r="B4866"/>
      <c r="C4866"/>
      <c r="D4866"/>
      <c r="E4866"/>
      <c r="F4866"/>
      <c r="G4866"/>
      <c r="H4866" s="19"/>
      <c r="I4866" s="19"/>
      <c r="J4866" s="19"/>
      <c r="M4866" s="7"/>
    </row>
    <row r="4867" spans="2:13" x14ac:dyDescent="0.25">
      <c r="B4867"/>
      <c r="C4867"/>
      <c r="D4867"/>
      <c r="E4867"/>
      <c r="F4867"/>
      <c r="G4867"/>
      <c r="H4867" s="19"/>
      <c r="I4867" s="19"/>
      <c r="J4867" s="19"/>
      <c r="M4867" s="7"/>
    </row>
    <row r="4868" spans="2:13" x14ac:dyDescent="0.25">
      <c r="B4868"/>
      <c r="C4868"/>
      <c r="D4868"/>
      <c r="E4868"/>
      <c r="F4868"/>
      <c r="G4868"/>
      <c r="H4868" s="19"/>
      <c r="I4868" s="19"/>
      <c r="J4868" s="19"/>
      <c r="M4868" s="7"/>
    </row>
    <row r="4869" spans="2:13" x14ac:dyDescent="0.25">
      <c r="B4869"/>
      <c r="C4869"/>
      <c r="D4869"/>
      <c r="E4869"/>
      <c r="F4869"/>
      <c r="G4869"/>
      <c r="H4869" s="19"/>
      <c r="I4869" s="19"/>
      <c r="J4869" s="19"/>
      <c r="M4869" s="7"/>
    </row>
    <row r="4870" spans="2:13" x14ac:dyDescent="0.25">
      <c r="B4870"/>
      <c r="C4870"/>
      <c r="D4870"/>
      <c r="E4870"/>
      <c r="F4870"/>
      <c r="G4870"/>
      <c r="H4870" s="19"/>
      <c r="I4870" s="19"/>
      <c r="J4870" s="19"/>
      <c r="M4870" s="7"/>
    </row>
    <row r="4871" spans="2:13" x14ac:dyDescent="0.25">
      <c r="B4871"/>
      <c r="C4871"/>
      <c r="D4871"/>
      <c r="E4871"/>
      <c r="F4871"/>
      <c r="G4871"/>
      <c r="H4871" s="19"/>
      <c r="I4871" s="19"/>
      <c r="J4871" s="19"/>
      <c r="M4871" s="7"/>
    </row>
    <row r="4872" spans="2:13" x14ac:dyDescent="0.25">
      <c r="B4872"/>
      <c r="C4872"/>
      <c r="D4872"/>
      <c r="E4872"/>
      <c r="F4872"/>
      <c r="G4872"/>
      <c r="H4872" s="19"/>
      <c r="I4872" s="19"/>
      <c r="J4872" s="19"/>
      <c r="M4872" s="7"/>
    </row>
    <row r="4873" spans="2:13" x14ac:dyDescent="0.25">
      <c r="B4873"/>
      <c r="C4873"/>
      <c r="D4873"/>
      <c r="E4873"/>
      <c r="F4873"/>
      <c r="G4873"/>
      <c r="H4873" s="19"/>
      <c r="I4873" s="19"/>
      <c r="J4873" s="19"/>
      <c r="M4873" s="7"/>
    </row>
    <row r="4874" spans="2:13" x14ac:dyDescent="0.25">
      <c r="B4874"/>
      <c r="C4874"/>
      <c r="D4874"/>
      <c r="E4874"/>
      <c r="F4874"/>
      <c r="G4874"/>
      <c r="H4874" s="19"/>
      <c r="I4874" s="19"/>
      <c r="J4874" s="19"/>
      <c r="M4874" s="7"/>
    </row>
    <row r="4875" spans="2:13" x14ac:dyDescent="0.25">
      <c r="B4875"/>
      <c r="C4875"/>
      <c r="D4875"/>
      <c r="E4875"/>
      <c r="F4875"/>
      <c r="G4875"/>
      <c r="H4875" s="19"/>
      <c r="I4875" s="19"/>
      <c r="J4875" s="19"/>
      <c r="M4875" s="7"/>
    </row>
    <row r="4876" spans="2:13" x14ac:dyDescent="0.25">
      <c r="B4876"/>
      <c r="C4876"/>
      <c r="D4876"/>
      <c r="E4876"/>
      <c r="F4876"/>
      <c r="G4876"/>
      <c r="H4876" s="19"/>
      <c r="I4876" s="19"/>
      <c r="J4876" s="19"/>
      <c r="M4876" s="7"/>
    </row>
    <row r="4877" spans="2:13" x14ac:dyDescent="0.25">
      <c r="B4877"/>
      <c r="C4877"/>
      <c r="D4877"/>
      <c r="E4877"/>
      <c r="F4877"/>
      <c r="G4877"/>
      <c r="H4877" s="19"/>
      <c r="I4877" s="19"/>
      <c r="J4877" s="19"/>
      <c r="M4877" s="7"/>
    </row>
    <row r="4878" spans="2:13" x14ac:dyDescent="0.25">
      <c r="B4878"/>
      <c r="C4878"/>
      <c r="D4878"/>
      <c r="E4878"/>
      <c r="F4878"/>
      <c r="G4878"/>
      <c r="H4878" s="19"/>
      <c r="I4878" s="19"/>
      <c r="J4878" s="19"/>
      <c r="M4878" s="7"/>
    </row>
    <row r="4879" spans="2:13" x14ac:dyDescent="0.25">
      <c r="B4879"/>
      <c r="C4879"/>
      <c r="D4879"/>
      <c r="E4879"/>
      <c r="F4879"/>
      <c r="G4879"/>
      <c r="H4879" s="19"/>
      <c r="I4879" s="19"/>
      <c r="J4879" s="19"/>
      <c r="M4879" s="7"/>
    </row>
    <row r="4880" spans="2:13" x14ac:dyDescent="0.25">
      <c r="B4880"/>
      <c r="C4880"/>
      <c r="D4880"/>
      <c r="E4880"/>
      <c r="F4880"/>
      <c r="G4880"/>
      <c r="H4880" s="19"/>
      <c r="I4880" s="19"/>
      <c r="J4880" s="19"/>
      <c r="M4880" s="7"/>
    </row>
    <row r="4881" spans="2:13" x14ac:dyDescent="0.25">
      <c r="B4881"/>
      <c r="C4881"/>
      <c r="D4881"/>
      <c r="E4881"/>
      <c r="F4881"/>
      <c r="G4881"/>
      <c r="H4881" s="19"/>
      <c r="I4881" s="19"/>
      <c r="J4881" s="19"/>
      <c r="M4881" s="7"/>
    </row>
    <row r="4882" spans="2:13" x14ac:dyDescent="0.25">
      <c r="B4882"/>
      <c r="C4882"/>
      <c r="D4882"/>
      <c r="E4882"/>
      <c r="F4882"/>
      <c r="G4882"/>
      <c r="H4882" s="19"/>
      <c r="I4882" s="19"/>
      <c r="J4882" s="19"/>
      <c r="M4882" s="7"/>
    </row>
    <row r="4883" spans="2:13" x14ac:dyDescent="0.25">
      <c r="B4883"/>
      <c r="C4883"/>
      <c r="D4883"/>
      <c r="E4883"/>
      <c r="F4883"/>
      <c r="G4883"/>
      <c r="H4883" s="19"/>
      <c r="I4883" s="19"/>
      <c r="J4883" s="19"/>
      <c r="M4883" s="7"/>
    </row>
    <row r="4884" spans="2:13" x14ac:dyDescent="0.25">
      <c r="B4884"/>
      <c r="C4884"/>
      <c r="D4884"/>
      <c r="E4884"/>
      <c r="F4884"/>
      <c r="G4884"/>
      <c r="H4884" s="19"/>
      <c r="I4884" s="19"/>
      <c r="J4884" s="19"/>
      <c r="M4884" s="7"/>
    </row>
    <row r="4885" spans="2:13" x14ac:dyDescent="0.25">
      <c r="B4885"/>
      <c r="C4885"/>
      <c r="D4885"/>
      <c r="E4885"/>
      <c r="F4885"/>
      <c r="G4885"/>
      <c r="H4885" s="19"/>
      <c r="I4885" s="19"/>
      <c r="J4885" s="19"/>
      <c r="M4885" s="7"/>
    </row>
    <row r="4886" spans="2:13" x14ac:dyDescent="0.25">
      <c r="B4886"/>
      <c r="C4886"/>
      <c r="D4886"/>
      <c r="E4886"/>
      <c r="F4886"/>
      <c r="G4886"/>
      <c r="H4886" s="19"/>
      <c r="I4886" s="19"/>
      <c r="J4886" s="19"/>
      <c r="M4886" s="7"/>
    </row>
    <row r="4887" spans="2:13" x14ac:dyDescent="0.25">
      <c r="B4887"/>
      <c r="C4887"/>
      <c r="D4887"/>
      <c r="E4887"/>
      <c r="F4887"/>
      <c r="G4887"/>
      <c r="H4887" s="19"/>
      <c r="I4887" s="19"/>
      <c r="J4887" s="19"/>
      <c r="M4887" s="7"/>
    </row>
    <row r="4888" spans="2:13" x14ac:dyDescent="0.25">
      <c r="B4888"/>
      <c r="C4888"/>
      <c r="D4888"/>
      <c r="E4888"/>
      <c r="F4888"/>
      <c r="G4888"/>
      <c r="H4888" s="19"/>
      <c r="I4888" s="19"/>
      <c r="J4888" s="19"/>
      <c r="M4888" s="7"/>
    </row>
    <row r="4889" spans="2:13" x14ac:dyDescent="0.25">
      <c r="B4889"/>
      <c r="C4889"/>
      <c r="D4889"/>
      <c r="E4889"/>
      <c r="F4889"/>
      <c r="G4889"/>
      <c r="H4889" s="19"/>
      <c r="I4889" s="19"/>
      <c r="J4889" s="19"/>
      <c r="M4889" s="7"/>
    </row>
    <row r="4890" spans="2:13" x14ac:dyDescent="0.25">
      <c r="B4890"/>
      <c r="C4890"/>
      <c r="D4890"/>
      <c r="E4890"/>
      <c r="F4890"/>
      <c r="G4890"/>
      <c r="H4890" s="19"/>
      <c r="I4890" s="19"/>
      <c r="J4890" s="19"/>
      <c r="M4890" s="7"/>
    </row>
    <row r="4891" spans="2:13" x14ac:dyDescent="0.25">
      <c r="B4891"/>
      <c r="C4891"/>
      <c r="D4891"/>
      <c r="E4891"/>
      <c r="F4891"/>
      <c r="G4891"/>
      <c r="H4891" s="19"/>
      <c r="I4891" s="19"/>
      <c r="J4891" s="19"/>
      <c r="M4891" s="7"/>
    </row>
    <row r="4892" spans="2:13" x14ac:dyDescent="0.25">
      <c r="B4892"/>
      <c r="C4892"/>
      <c r="D4892"/>
      <c r="E4892"/>
      <c r="F4892"/>
      <c r="G4892"/>
      <c r="H4892" s="19"/>
      <c r="I4892" s="19"/>
      <c r="J4892" s="19"/>
      <c r="M4892" s="7"/>
    </row>
    <row r="4893" spans="2:13" x14ac:dyDescent="0.25">
      <c r="B4893"/>
      <c r="C4893"/>
      <c r="D4893"/>
      <c r="E4893"/>
      <c r="F4893"/>
      <c r="G4893"/>
      <c r="H4893" s="19"/>
      <c r="I4893" s="19"/>
      <c r="J4893" s="19"/>
      <c r="M4893" s="7"/>
    </row>
    <row r="4894" spans="2:13" x14ac:dyDescent="0.25">
      <c r="B4894"/>
      <c r="C4894"/>
      <c r="D4894"/>
      <c r="E4894"/>
      <c r="F4894"/>
      <c r="G4894"/>
      <c r="H4894" s="19"/>
      <c r="I4894" s="19"/>
      <c r="J4894" s="19"/>
      <c r="M4894" s="7"/>
    </row>
    <row r="4895" spans="2:13" x14ac:dyDescent="0.25">
      <c r="B4895"/>
      <c r="C4895"/>
      <c r="D4895"/>
      <c r="E4895"/>
      <c r="F4895"/>
      <c r="G4895"/>
      <c r="H4895" s="19"/>
      <c r="I4895" s="19"/>
      <c r="J4895" s="19"/>
      <c r="M4895" s="7"/>
    </row>
    <row r="4896" spans="2:13" x14ac:dyDescent="0.25">
      <c r="B4896"/>
      <c r="C4896"/>
      <c r="D4896"/>
      <c r="E4896"/>
      <c r="F4896"/>
      <c r="G4896"/>
      <c r="H4896" s="19"/>
      <c r="I4896" s="19"/>
      <c r="J4896" s="19"/>
      <c r="M4896" s="7"/>
    </row>
    <row r="4897" spans="2:13" x14ac:dyDescent="0.25">
      <c r="B4897"/>
      <c r="C4897"/>
      <c r="D4897"/>
      <c r="E4897"/>
      <c r="F4897"/>
      <c r="G4897"/>
      <c r="H4897" s="19"/>
      <c r="I4897" s="19"/>
      <c r="J4897" s="19"/>
      <c r="M4897" s="7"/>
    </row>
    <row r="4898" spans="2:13" x14ac:dyDescent="0.25">
      <c r="B4898"/>
      <c r="C4898"/>
      <c r="D4898"/>
      <c r="E4898"/>
      <c r="F4898"/>
      <c r="G4898"/>
      <c r="H4898" s="19"/>
      <c r="I4898" s="19"/>
      <c r="J4898" s="19"/>
      <c r="M4898" s="7"/>
    </row>
    <row r="4899" spans="2:13" x14ac:dyDescent="0.25">
      <c r="B4899"/>
      <c r="C4899"/>
      <c r="D4899"/>
      <c r="E4899"/>
      <c r="F4899"/>
      <c r="G4899"/>
      <c r="H4899" s="19"/>
      <c r="I4899" s="19"/>
      <c r="J4899" s="19"/>
      <c r="M4899" s="7"/>
    </row>
    <row r="4900" spans="2:13" x14ac:dyDescent="0.25">
      <c r="B4900"/>
      <c r="C4900"/>
      <c r="D4900"/>
      <c r="E4900"/>
      <c r="F4900"/>
      <c r="G4900"/>
      <c r="H4900" s="19"/>
      <c r="I4900" s="19"/>
      <c r="J4900" s="19"/>
      <c r="M4900" s="7"/>
    </row>
    <row r="4901" spans="2:13" x14ac:dyDescent="0.25">
      <c r="B4901"/>
      <c r="C4901"/>
      <c r="D4901"/>
      <c r="E4901"/>
      <c r="F4901"/>
      <c r="G4901"/>
      <c r="H4901" s="19"/>
      <c r="I4901" s="19"/>
      <c r="J4901" s="19"/>
      <c r="M4901" s="7"/>
    </row>
    <row r="4902" spans="2:13" x14ac:dyDescent="0.25">
      <c r="B4902"/>
      <c r="C4902"/>
      <c r="D4902"/>
      <c r="E4902"/>
      <c r="F4902"/>
      <c r="G4902"/>
      <c r="H4902" s="19"/>
      <c r="I4902" s="19"/>
      <c r="J4902" s="19"/>
      <c r="M4902" s="7"/>
    </row>
    <row r="4903" spans="2:13" x14ac:dyDescent="0.25">
      <c r="B4903"/>
      <c r="C4903"/>
      <c r="D4903"/>
      <c r="E4903"/>
      <c r="F4903"/>
      <c r="G4903"/>
      <c r="H4903" s="19"/>
      <c r="I4903" s="19"/>
      <c r="J4903" s="19"/>
      <c r="M4903" s="7"/>
    </row>
    <row r="4904" spans="2:13" x14ac:dyDescent="0.25">
      <c r="B4904"/>
      <c r="C4904"/>
      <c r="D4904"/>
      <c r="E4904"/>
      <c r="F4904"/>
      <c r="G4904"/>
      <c r="H4904" s="19"/>
      <c r="I4904" s="19"/>
      <c r="J4904" s="19"/>
      <c r="M4904" s="7"/>
    </row>
    <row r="4905" spans="2:13" x14ac:dyDescent="0.25">
      <c r="B4905"/>
      <c r="C4905"/>
      <c r="D4905"/>
      <c r="E4905"/>
      <c r="F4905"/>
      <c r="G4905"/>
      <c r="H4905" s="19"/>
      <c r="I4905" s="19"/>
      <c r="J4905" s="19"/>
      <c r="M4905" s="7"/>
    </row>
    <row r="4906" spans="2:13" x14ac:dyDescent="0.25">
      <c r="B4906"/>
      <c r="C4906"/>
      <c r="D4906"/>
      <c r="E4906"/>
      <c r="F4906"/>
      <c r="G4906"/>
      <c r="H4906" s="19"/>
      <c r="I4906" s="19"/>
      <c r="J4906" s="19"/>
      <c r="M4906" s="7"/>
    </row>
    <row r="4907" spans="2:13" x14ac:dyDescent="0.25">
      <c r="B4907"/>
      <c r="C4907"/>
      <c r="D4907"/>
      <c r="E4907"/>
      <c r="F4907"/>
      <c r="G4907"/>
      <c r="H4907" s="19"/>
      <c r="I4907" s="19"/>
      <c r="J4907" s="19"/>
      <c r="M4907" s="7"/>
    </row>
    <row r="4908" spans="2:13" x14ac:dyDescent="0.25">
      <c r="B4908"/>
      <c r="C4908"/>
      <c r="D4908"/>
      <c r="E4908"/>
      <c r="F4908"/>
      <c r="G4908"/>
      <c r="H4908" s="19"/>
      <c r="I4908" s="19"/>
      <c r="J4908" s="19"/>
      <c r="M4908" s="7"/>
    </row>
    <row r="4909" spans="2:13" x14ac:dyDescent="0.25">
      <c r="B4909"/>
      <c r="C4909"/>
      <c r="D4909"/>
      <c r="E4909"/>
      <c r="F4909"/>
      <c r="G4909"/>
      <c r="H4909" s="19"/>
      <c r="I4909" s="19"/>
      <c r="J4909" s="19"/>
      <c r="M4909" s="7"/>
    </row>
    <row r="4910" spans="2:13" x14ac:dyDescent="0.25">
      <c r="B4910"/>
      <c r="C4910"/>
      <c r="D4910"/>
      <c r="E4910"/>
      <c r="F4910"/>
      <c r="G4910"/>
      <c r="H4910" s="19"/>
      <c r="I4910" s="19"/>
      <c r="J4910" s="19"/>
      <c r="M4910" s="7"/>
    </row>
    <row r="4911" spans="2:13" x14ac:dyDescent="0.25">
      <c r="B4911"/>
      <c r="C4911"/>
      <c r="D4911"/>
      <c r="E4911"/>
      <c r="F4911"/>
      <c r="G4911"/>
      <c r="H4911" s="19"/>
      <c r="I4911" s="19"/>
      <c r="J4911" s="19"/>
      <c r="M4911" s="7"/>
    </row>
    <row r="4912" spans="2:13" x14ac:dyDescent="0.25">
      <c r="B4912"/>
      <c r="C4912"/>
      <c r="D4912"/>
      <c r="E4912"/>
      <c r="F4912"/>
      <c r="G4912"/>
      <c r="H4912" s="19"/>
      <c r="I4912" s="19"/>
      <c r="J4912" s="19"/>
      <c r="M4912" s="7"/>
    </row>
    <row r="4913" spans="2:13" x14ac:dyDescent="0.25">
      <c r="B4913"/>
      <c r="C4913"/>
      <c r="D4913"/>
      <c r="E4913"/>
      <c r="F4913"/>
      <c r="G4913"/>
      <c r="H4913" s="19"/>
      <c r="I4913" s="19"/>
      <c r="J4913" s="19"/>
      <c r="M4913" s="7"/>
    </row>
    <row r="4914" spans="2:13" x14ac:dyDescent="0.25">
      <c r="B4914"/>
      <c r="C4914"/>
      <c r="D4914"/>
      <c r="E4914"/>
      <c r="F4914"/>
      <c r="G4914"/>
      <c r="H4914" s="19"/>
      <c r="I4914" s="19"/>
      <c r="J4914" s="19"/>
      <c r="M4914" s="7"/>
    </row>
    <row r="4915" spans="2:13" x14ac:dyDescent="0.25">
      <c r="B4915"/>
      <c r="C4915"/>
      <c r="D4915"/>
      <c r="E4915"/>
      <c r="F4915"/>
      <c r="G4915"/>
      <c r="H4915" s="19"/>
      <c r="I4915" s="19"/>
      <c r="J4915" s="19"/>
      <c r="M4915" s="7"/>
    </row>
    <row r="4916" spans="2:13" x14ac:dyDescent="0.25">
      <c r="B4916"/>
      <c r="C4916"/>
      <c r="D4916"/>
      <c r="E4916"/>
      <c r="F4916"/>
      <c r="G4916"/>
      <c r="H4916" s="19"/>
      <c r="I4916" s="19"/>
      <c r="J4916" s="19"/>
      <c r="M4916" s="7"/>
    </row>
    <row r="4917" spans="2:13" x14ac:dyDescent="0.25">
      <c r="B4917"/>
      <c r="C4917"/>
      <c r="D4917"/>
      <c r="E4917"/>
      <c r="F4917"/>
      <c r="G4917"/>
      <c r="H4917" s="19"/>
      <c r="I4917" s="19"/>
      <c r="J4917" s="19"/>
      <c r="M4917" s="7"/>
    </row>
    <row r="4918" spans="2:13" x14ac:dyDescent="0.25">
      <c r="B4918"/>
      <c r="C4918"/>
      <c r="D4918"/>
      <c r="E4918"/>
      <c r="F4918"/>
      <c r="G4918"/>
      <c r="H4918" s="19"/>
      <c r="I4918" s="19"/>
      <c r="J4918" s="19"/>
      <c r="M4918" s="7"/>
    </row>
    <row r="4919" spans="2:13" x14ac:dyDescent="0.25">
      <c r="B4919"/>
      <c r="C4919"/>
      <c r="D4919"/>
      <c r="E4919"/>
      <c r="F4919"/>
      <c r="G4919"/>
      <c r="H4919" s="19"/>
      <c r="I4919" s="19"/>
      <c r="J4919" s="19"/>
      <c r="M4919" s="7"/>
    </row>
    <row r="4920" spans="2:13" x14ac:dyDescent="0.25">
      <c r="B4920"/>
      <c r="C4920"/>
      <c r="D4920"/>
      <c r="E4920"/>
      <c r="F4920"/>
      <c r="G4920"/>
      <c r="H4920" s="19"/>
      <c r="I4920" s="19"/>
      <c r="J4920" s="19"/>
      <c r="M4920" s="7"/>
    </row>
    <row r="4921" spans="2:13" x14ac:dyDescent="0.25">
      <c r="B4921"/>
      <c r="C4921"/>
      <c r="D4921"/>
      <c r="E4921"/>
      <c r="F4921"/>
      <c r="G4921"/>
      <c r="H4921" s="19"/>
      <c r="I4921" s="19"/>
      <c r="J4921" s="19"/>
      <c r="M4921" s="7"/>
    </row>
    <row r="4922" spans="2:13" x14ac:dyDescent="0.25">
      <c r="B4922"/>
      <c r="C4922"/>
      <c r="D4922"/>
      <c r="E4922"/>
      <c r="F4922"/>
      <c r="G4922"/>
      <c r="H4922" s="19"/>
      <c r="I4922" s="19"/>
      <c r="J4922" s="19"/>
      <c r="M4922" s="7"/>
    </row>
    <row r="4923" spans="2:13" x14ac:dyDescent="0.25">
      <c r="B4923"/>
      <c r="C4923"/>
      <c r="D4923"/>
      <c r="E4923"/>
      <c r="F4923"/>
      <c r="G4923"/>
      <c r="H4923" s="19"/>
      <c r="I4923" s="19"/>
      <c r="J4923" s="19"/>
      <c r="M4923" s="7"/>
    </row>
    <row r="4924" spans="2:13" x14ac:dyDescent="0.25">
      <c r="B4924"/>
      <c r="C4924"/>
      <c r="D4924"/>
      <c r="E4924"/>
      <c r="F4924"/>
      <c r="G4924"/>
      <c r="H4924" s="19"/>
      <c r="I4924" s="19"/>
      <c r="J4924" s="19"/>
      <c r="M4924" s="7"/>
    </row>
    <row r="4925" spans="2:13" x14ac:dyDescent="0.25">
      <c r="B4925"/>
      <c r="C4925"/>
      <c r="D4925"/>
      <c r="E4925"/>
      <c r="F4925"/>
      <c r="G4925"/>
      <c r="H4925" s="19"/>
      <c r="I4925" s="19"/>
      <c r="J4925" s="19"/>
      <c r="M4925" s="7"/>
    </row>
    <row r="4926" spans="2:13" x14ac:dyDescent="0.25">
      <c r="B4926"/>
      <c r="C4926"/>
      <c r="D4926"/>
      <c r="E4926"/>
      <c r="F4926"/>
      <c r="G4926"/>
      <c r="H4926" s="19"/>
      <c r="I4926" s="19"/>
      <c r="J4926" s="19"/>
      <c r="M4926" s="7"/>
    </row>
    <row r="4927" spans="2:13" x14ac:dyDescent="0.25">
      <c r="B4927"/>
      <c r="C4927"/>
      <c r="D4927"/>
      <c r="E4927"/>
      <c r="F4927"/>
      <c r="G4927"/>
      <c r="H4927" s="19"/>
      <c r="I4927" s="19"/>
      <c r="J4927" s="19"/>
      <c r="M4927" s="7"/>
    </row>
    <row r="4928" spans="2:13" x14ac:dyDescent="0.25">
      <c r="B4928"/>
      <c r="C4928"/>
      <c r="D4928"/>
      <c r="E4928"/>
      <c r="F4928"/>
      <c r="G4928"/>
      <c r="H4928" s="19"/>
      <c r="I4928" s="19"/>
      <c r="J4928" s="19"/>
      <c r="M4928" s="7"/>
    </row>
    <row r="4929" spans="2:13" x14ac:dyDescent="0.25">
      <c r="B4929"/>
      <c r="C4929"/>
      <c r="D4929"/>
      <c r="E4929"/>
      <c r="F4929"/>
      <c r="G4929"/>
      <c r="H4929" s="19"/>
      <c r="I4929" s="19"/>
      <c r="J4929" s="19"/>
      <c r="M4929" s="7"/>
    </row>
    <row r="4930" spans="2:13" x14ac:dyDescent="0.25">
      <c r="B4930"/>
      <c r="C4930"/>
      <c r="D4930"/>
      <c r="E4930"/>
      <c r="F4930"/>
      <c r="G4930"/>
      <c r="H4930" s="19"/>
      <c r="I4930" s="19"/>
      <c r="J4930" s="19"/>
      <c r="M4930" s="7"/>
    </row>
    <row r="4931" spans="2:13" x14ac:dyDescent="0.25">
      <c r="B4931"/>
      <c r="C4931"/>
      <c r="D4931"/>
      <c r="E4931"/>
      <c r="F4931"/>
      <c r="G4931"/>
      <c r="H4931" s="19"/>
      <c r="I4931" s="19"/>
      <c r="J4931" s="19"/>
      <c r="M4931" s="7"/>
    </row>
    <row r="4932" spans="2:13" x14ac:dyDescent="0.25">
      <c r="B4932"/>
      <c r="C4932"/>
      <c r="D4932"/>
      <c r="E4932"/>
      <c r="F4932"/>
      <c r="G4932"/>
      <c r="H4932" s="19"/>
      <c r="I4932" s="19"/>
      <c r="J4932" s="19"/>
      <c r="M4932" s="7"/>
    </row>
    <row r="4933" spans="2:13" x14ac:dyDescent="0.25">
      <c r="B4933"/>
      <c r="C4933"/>
      <c r="D4933"/>
      <c r="E4933"/>
      <c r="F4933"/>
      <c r="G4933"/>
      <c r="H4933" s="19"/>
      <c r="I4933" s="19"/>
      <c r="J4933" s="19"/>
      <c r="M4933" s="7"/>
    </row>
    <row r="4934" spans="2:13" x14ac:dyDescent="0.25">
      <c r="B4934"/>
      <c r="C4934"/>
      <c r="D4934"/>
      <c r="E4934"/>
      <c r="F4934"/>
      <c r="G4934"/>
      <c r="H4934" s="19"/>
      <c r="I4934" s="19"/>
      <c r="J4934" s="19"/>
      <c r="M4934" s="7"/>
    </row>
    <row r="4935" spans="2:13" x14ac:dyDescent="0.25">
      <c r="B4935"/>
      <c r="C4935"/>
      <c r="D4935"/>
      <c r="E4935"/>
      <c r="F4935"/>
      <c r="G4935"/>
      <c r="H4935" s="19"/>
      <c r="I4935" s="19"/>
      <c r="J4935" s="19"/>
      <c r="M4935" s="7"/>
    </row>
    <row r="4936" spans="2:13" x14ac:dyDescent="0.25">
      <c r="B4936"/>
      <c r="C4936"/>
      <c r="D4936"/>
      <c r="E4936"/>
      <c r="F4936"/>
      <c r="G4936"/>
      <c r="H4936" s="19"/>
      <c r="I4936" s="19"/>
      <c r="J4936" s="19"/>
      <c r="M4936" s="7"/>
    </row>
    <row r="4937" spans="2:13" x14ac:dyDescent="0.25">
      <c r="B4937"/>
      <c r="C4937"/>
      <c r="D4937"/>
      <c r="E4937"/>
      <c r="F4937"/>
      <c r="G4937"/>
      <c r="H4937" s="19"/>
      <c r="I4937" s="19"/>
      <c r="J4937" s="19"/>
      <c r="M4937" s="7"/>
    </row>
    <row r="4938" spans="2:13" x14ac:dyDescent="0.25">
      <c r="B4938"/>
      <c r="C4938"/>
      <c r="D4938"/>
      <c r="E4938"/>
      <c r="F4938"/>
      <c r="G4938"/>
      <c r="H4938" s="19"/>
      <c r="I4938" s="19"/>
      <c r="J4938" s="19"/>
      <c r="M4938" s="7"/>
    </row>
    <row r="4939" spans="2:13" x14ac:dyDescent="0.25">
      <c r="B4939"/>
      <c r="C4939"/>
      <c r="D4939"/>
      <c r="E4939"/>
      <c r="F4939"/>
      <c r="G4939"/>
      <c r="H4939" s="19"/>
      <c r="I4939" s="19"/>
      <c r="J4939" s="19"/>
      <c r="M4939" s="7"/>
    </row>
    <row r="4940" spans="2:13" x14ac:dyDescent="0.25">
      <c r="B4940"/>
      <c r="C4940"/>
      <c r="D4940"/>
      <c r="E4940"/>
      <c r="F4940"/>
      <c r="G4940"/>
      <c r="H4940" s="19"/>
      <c r="I4940" s="19"/>
      <c r="J4940" s="19"/>
      <c r="M4940" s="7"/>
    </row>
    <row r="4941" spans="2:13" x14ac:dyDescent="0.25">
      <c r="B4941"/>
      <c r="C4941"/>
      <c r="D4941"/>
      <c r="E4941"/>
      <c r="F4941"/>
      <c r="G4941"/>
      <c r="H4941" s="19"/>
      <c r="I4941" s="19"/>
      <c r="J4941" s="19"/>
      <c r="M4941" s="7"/>
    </row>
    <row r="4942" spans="2:13" x14ac:dyDescent="0.25">
      <c r="B4942"/>
      <c r="C4942"/>
      <c r="D4942"/>
      <c r="E4942"/>
      <c r="F4942"/>
      <c r="G4942"/>
      <c r="H4942" s="19"/>
      <c r="I4942" s="19"/>
      <c r="J4942" s="19"/>
      <c r="M4942" s="7"/>
    </row>
    <row r="4943" spans="2:13" x14ac:dyDescent="0.25">
      <c r="B4943"/>
      <c r="C4943"/>
      <c r="D4943"/>
      <c r="E4943"/>
      <c r="F4943"/>
      <c r="G4943"/>
      <c r="H4943" s="19"/>
      <c r="I4943" s="19"/>
      <c r="J4943" s="19"/>
      <c r="M4943" s="7"/>
    </row>
    <row r="4944" spans="2:13" x14ac:dyDescent="0.25">
      <c r="B4944"/>
      <c r="C4944"/>
      <c r="D4944"/>
      <c r="E4944"/>
      <c r="F4944"/>
      <c r="G4944"/>
      <c r="H4944" s="19"/>
      <c r="I4944" s="19"/>
      <c r="J4944" s="19"/>
      <c r="M4944" s="7"/>
    </row>
    <row r="4945" spans="2:13" x14ac:dyDescent="0.25">
      <c r="B4945"/>
      <c r="C4945"/>
      <c r="D4945"/>
      <c r="E4945"/>
      <c r="F4945"/>
      <c r="G4945"/>
      <c r="H4945" s="19"/>
      <c r="I4945" s="19"/>
      <c r="J4945" s="19"/>
      <c r="M4945" s="7"/>
    </row>
    <row r="4946" spans="2:13" x14ac:dyDescent="0.25">
      <c r="B4946"/>
      <c r="C4946"/>
      <c r="D4946"/>
      <c r="E4946"/>
      <c r="F4946"/>
      <c r="G4946"/>
      <c r="H4946" s="19"/>
      <c r="I4946" s="19"/>
      <c r="J4946" s="19"/>
      <c r="M4946" s="7"/>
    </row>
    <row r="4947" spans="2:13" x14ac:dyDescent="0.25">
      <c r="B4947"/>
      <c r="C4947"/>
      <c r="D4947"/>
      <c r="E4947"/>
      <c r="F4947"/>
      <c r="G4947"/>
      <c r="H4947" s="19"/>
      <c r="I4947" s="19"/>
      <c r="J4947" s="19"/>
      <c r="M4947" s="7"/>
    </row>
    <row r="4948" spans="2:13" x14ac:dyDescent="0.25">
      <c r="B4948"/>
      <c r="C4948"/>
      <c r="D4948"/>
      <c r="E4948"/>
      <c r="F4948"/>
      <c r="G4948"/>
      <c r="H4948" s="19"/>
      <c r="I4948" s="19"/>
      <c r="J4948" s="19"/>
      <c r="M4948" s="7"/>
    </row>
    <row r="4949" spans="2:13" x14ac:dyDescent="0.25">
      <c r="B4949"/>
      <c r="C4949"/>
      <c r="D4949"/>
      <c r="E4949"/>
      <c r="F4949"/>
      <c r="G4949"/>
      <c r="H4949" s="19"/>
      <c r="I4949" s="19"/>
      <c r="J4949" s="19"/>
      <c r="M4949" s="7"/>
    </row>
    <row r="4950" spans="2:13" x14ac:dyDescent="0.25">
      <c r="B4950"/>
      <c r="C4950"/>
      <c r="D4950"/>
      <c r="E4950"/>
      <c r="F4950"/>
      <c r="G4950"/>
      <c r="H4950" s="19"/>
      <c r="I4950" s="19"/>
      <c r="J4950" s="19"/>
      <c r="M4950" s="7"/>
    </row>
    <row r="4951" spans="2:13" x14ac:dyDescent="0.25">
      <c r="B4951"/>
      <c r="C4951"/>
      <c r="D4951"/>
      <c r="E4951"/>
      <c r="F4951"/>
      <c r="G4951"/>
      <c r="H4951" s="19"/>
      <c r="I4951" s="19"/>
      <c r="J4951" s="19"/>
      <c r="M4951" s="7"/>
    </row>
    <row r="4952" spans="2:13" x14ac:dyDescent="0.25">
      <c r="B4952"/>
      <c r="C4952"/>
      <c r="D4952"/>
      <c r="E4952"/>
      <c r="F4952"/>
      <c r="G4952"/>
      <c r="H4952" s="19"/>
      <c r="I4952" s="19"/>
      <c r="J4952" s="19"/>
      <c r="M4952" s="7"/>
    </row>
    <row r="4953" spans="2:13" x14ac:dyDescent="0.25">
      <c r="B4953"/>
      <c r="C4953"/>
      <c r="D4953"/>
      <c r="E4953"/>
      <c r="F4953"/>
      <c r="G4953"/>
      <c r="H4953" s="19"/>
      <c r="I4953" s="19"/>
      <c r="J4953" s="19"/>
      <c r="M4953" s="7"/>
    </row>
    <row r="4954" spans="2:13" x14ac:dyDescent="0.25">
      <c r="B4954"/>
      <c r="C4954"/>
      <c r="D4954"/>
      <c r="E4954"/>
      <c r="F4954"/>
      <c r="G4954"/>
      <c r="H4954" s="19"/>
      <c r="I4954" s="19"/>
      <c r="J4954" s="19"/>
      <c r="M4954" s="7"/>
    </row>
    <row r="4955" spans="2:13" x14ac:dyDescent="0.25">
      <c r="B4955"/>
      <c r="C4955"/>
      <c r="D4955"/>
      <c r="E4955"/>
      <c r="F4955"/>
      <c r="G4955"/>
      <c r="H4955" s="19"/>
      <c r="I4955" s="19"/>
      <c r="J4955" s="19"/>
      <c r="M4955" s="7"/>
    </row>
    <row r="4956" spans="2:13" x14ac:dyDescent="0.25">
      <c r="B4956"/>
      <c r="C4956"/>
      <c r="D4956"/>
      <c r="E4956"/>
      <c r="F4956"/>
      <c r="G4956"/>
      <c r="H4956" s="19"/>
      <c r="I4956" s="19"/>
      <c r="J4956" s="19"/>
      <c r="M4956" s="7"/>
    </row>
    <row r="4957" spans="2:13" x14ac:dyDescent="0.25">
      <c r="B4957"/>
      <c r="C4957"/>
      <c r="D4957"/>
      <c r="E4957"/>
      <c r="F4957"/>
      <c r="G4957"/>
      <c r="H4957" s="19"/>
      <c r="I4957" s="19"/>
      <c r="J4957" s="19"/>
      <c r="M4957" s="7"/>
    </row>
    <row r="4958" spans="2:13" x14ac:dyDescent="0.25">
      <c r="B4958"/>
      <c r="C4958"/>
      <c r="D4958"/>
      <c r="E4958"/>
      <c r="F4958"/>
      <c r="G4958"/>
      <c r="H4958" s="19"/>
      <c r="I4958" s="19"/>
      <c r="J4958" s="19"/>
      <c r="M4958" s="7"/>
    </row>
    <row r="4959" spans="2:13" x14ac:dyDescent="0.25">
      <c r="B4959"/>
      <c r="C4959"/>
      <c r="D4959"/>
      <c r="E4959"/>
      <c r="F4959"/>
      <c r="G4959"/>
      <c r="H4959" s="19"/>
      <c r="I4959" s="19"/>
      <c r="J4959" s="19"/>
      <c r="M4959" s="7"/>
    </row>
    <row r="4960" spans="2:13" x14ac:dyDescent="0.25">
      <c r="B4960"/>
      <c r="C4960"/>
      <c r="D4960"/>
      <c r="E4960"/>
      <c r="F4960"/>
      <c r="G4960"/>
      <c r="H4960" s="19"/>
      <c r="I4960" s="19"/>
      <c r="J4960" s="19"/>
      <c r="M4960" s="7"/>
    </row>
    <row r="4961" spans="2:13" x14ac:dyDescent="0.25">
      <c r="B4961"/>
      <c r="C4961"/>
      <c r="D4961"/>
      <c r="E4961"/>
      <c r="F4961"/>
      <c r="G4961"/>
      <c r="H4961" s="19"/>
      <c r="I4961" s="19"/>
      <c r="J4961" s="19"/>
      <c r="M4961" s="7"/>
    </row>
    <row r="4962" spans="2:13" x14ac:dyDescent="0.25">
      <c r="B4962"/>
      <c r="C4962"/>
      <c r="D4962"/>
      <c r="E4962"/>
      <c r="F4962"/>
      <c r="G4962"/>
      <c r="H4962" s="19"/>
      <c r="I4962" s="19"/>
      <c r="J4962" s="19"/>
      <c r="M4962" s="7"/>
    </row>
    <row r="4963" spans="2:13" x14ac:dyDescent="0.25">
      <c r="B4963"/>
      <c r="C4963"/>
      <c r="D4963"/>
      <c r="E4963"/>
      <c r="F4963"/>
      <c r="G4963"/>
      <c r="H4963" s="19"/>
      <c r="I4963" s="19"/>
      <c r="J4963" s="19"/>
      <c r="M4963" s="7"/>
    </row>
    <row r="4964" spans="2:13" x14ac:dyDescent="0.25">
      <c r="B4964"/>
      <c r="C4964"/>
      <c r="D4964"/>
      <c r="E4964"/>
      <c r="F4964"/>
      <c r="G4964"/>
      <c r="H4964" s="19"/>
      <c r="I4964" s="19"/>
      <c r="J4964" s="19"/>
      <c r="M4964" s="7"/>
    </row>
    <row r="4965" spans="2:13" x14ac:dyDescent="0.25">
      <c r="B4965"/>
      <c r="C4965"/>
      <c r="D4965"/>
      <c r="E4965"/>
      <c r="F4965"/>
      <c r="G4965"/>
      <c r="H4965" s="19"/>
      <c r="I4965" s="19"/>
      <c r="J4965" s="19"/>
      <c r="M4965" s="7"/>
    </row>
    <row r="4966" spans="2:13" x14ac:dyDescent="0.25">
      <c r="B4966"/>
      <c r="C4966"/>
      <c r="D4966"/>
      <c r="E4966"/>
      <c r="F4966"/>
      <c r="G4966"/>
      <c r="H4966" s="19"/>
      <c r="I4966" s="19"/>
      <c r="J4966" s="19"/>
      <c r="M4966" s="7"/>
    </row>
    <row r="4967" spans="2:13" x14ac:dyDescent="0.25">
      <c r="B4967"/>
      <c r="C4967"/>
      <c r="D4967"/>
      <c r="E4967"/>
      <c r="F4967"/>
      <c r="G4967"/>
      <c r="H4967" s="19"/>
      <c r="I4967" s="19"/>
      <c r="J4967" s="19"/>
      <c r="M4967" s="7"/>
    </row>
    <row r="4968" spans="2:13" x14ac:dyDescent="0.25">
      <c r="B4968"/>
      <c r="C4968"/>
      <c r="D4968"/>
      <c r="E4968"/>
      <c r="F4968"/>
      <c r="G4968"/>
      <c r="H4968" s="19"/>
      <c r="I4968" s="19"/>
      <c r="J4968" s="19"/>
      <c r="M4968" s="7"/>
    </row>
    <row r="4969" spans="2:13" x14ac:dyDescent="0.25">
      <c r="B4969"/>
      <c r="C4969"/>
      <c r="D4969"/>
      <c r="E4969"/>
      <c r="F4969"/>
      <c r="G4969"/>
      <c r="H4969" s="19"/>
      <c r="I4969" s="19"/>
      <c r="J4969" s="19"/>
      <c r="M4969" s="7"/>
    </row>
    <row r="4970" spans="2:13" x14ac:dyDescent="0.25">
      <c r="B4970"/>
      <c r="C4970"/>
      <c r="D4970"/>
      <c r="E4970"/>
      <c r="F4970"/>
      <c r="G4970"/>
      <c r="H4970" s="19"/>
      <c r="I4970" s="19"/>
      <c r="J4970" s="19"/>
      <c r="M4970" s="7"/>
    </row>
    <row r="4971" spans="2:13" x14ac:dyDescent="0.25">
      <c r="B4971"/>
      <c r="C4971"/>
      <c r="D4971"/>
      <c r="E4971"/>
      <c r="F4971"/>
      <c r="G4971"/>
      <c r="H4971" s="19"/>
      <c r="I4971" s="19"/>
      <c r="J4971" s="19"/>
      <c r="M4971" s="7"/>
    </row>
    <row r="4972" spans="2:13" x14ac:dyDescent="0.25">
      <c r="B4972"/>
      <c r="C4972"/>
      <c r="D4972"/>
      <c r="E4972"/>
      <c r="F4972"/>
      <c r="G4972"/>
      <c r="H4972" s="19"/>
      <c r="I4972" s="19"/>
      <c r="J4972" s="19"/>
      <c r="M4972" s="7"/>
    </row>
    <row r="4973" spans="2:13" x14ac:dyDescent="0.25">
      <c r="B4973"/>
      <c r="C4973"/>
      <c r="D4973"/>
      <c r="E4973"/>
      <c r="F4973"/>
      <c r="G4973"/>
      <c r="H4973" s="19"/>
      <c r="I4973" s="19"/>
      <c r="J4973" s="19"/>
      <c r="M4973" s="7"/>
    </row>
    <row r="4974" spans="2:13" x14ac:dyDescent="0.25">
      <c r="B4974"/>
      <c r="C4974"/>
      <c r="D4974"/>
      <c r="E4974"/>
      <c r="F4974"/>
      <c r="G4974"/>
      <c r="H4974" s="19"/>
      <c r="I4974" s="19"/>
      <c r="J4974" s="19"/>
      <c r="M4974" s="7"/>
    </row>
    <row r="4975" spans="2:13" x14ac:dyDescent="0.25">
      <c r="B4975"/>
      <c r="C4975"/>
      <c r="D4975"/>
      <c r="E4975"/>
      <c r="F4975"/>
      <c r="G4975"/>
      <c r="H4975" s="19"/>
      <c r="I4975" s="19"/>
      <c r="J4975" s="19"/>
      <c r="M4975" s="7"/>
    </row>
    <row r="4976" spans="2:13" x14ac:dyDescent="0.25">
      <c r="B4976"/>
      <c r="C4976"/>
      <c r="D4976"/>
      <c r="E4976"/>
      <c r="F4976"/>
      <c r="G4976"/>
      <c r="H4976" s="19"/>
      <c r="I4976" s="19"/>
      <c r="J4976" s="19"/>
      <c r="M4976" s="7"/>
    </row>
    <row r="4977" spans="2:13" x14ac:dyDescent="0.25">
      <c r="B4977"/>
      <c r="C4977"/>
      <c r="D4977"/>
      <c r="E4977"/>
      <c r="F4977"/>
      <c r="G4977"/>
      <c r="H4977" s="19"/>
      <c r="I4977" s="19"/>
      <c r="J4977" s="19"/>
      <c r="M4977" s="7"/>
    </row>
    <row r="4978" spans="2:13" x14ac:dyDescent="0.25">
      <c r="B4978"/>
      <c r="C4978"/>
      <c r="D4978"/>
      <c r="E4978"/>
      <c r="F4978"/>
      <c r="G4978"/>
      <c r="H4978" s="19"/>
      <c r="I4978" s="19"/>
      <c r="J4978" s="19"/>
      <c r="M4978" s="7"/>
    </row>
    <row r="4979" spans="2:13" x14ac:dyDescent="0.25">
      <c r="B4979"/>
      <c r="C4979"/>
      <c r="D4979"/>
      <c r="E4979"/>
      <c r="F4979"/>
      <c r="G4979"/>
      <c r="H4979" s="19"/>
      <c r="I4979" s="19"/>
      <c r="J4979" s="19"/>
      <c r="M4979" s="7"/>
    </row>
    <row r="4980" spans="2:13" x14ac:dyDescent="0.25">
      <c r="B4980"/>
      <c r="C4980"/>
      <c r="D4980"/>
      <c r="E4980"/>
      <c r="F4980"/>
      <c r="G4980"/>
      <c r="H4980" s="19"/>
      <c r="I4980" s="19"/>
      <c r="J4980" s="19"/>
      <c r="M4980" s="7"/>
    </row>
    <row r="4981" spans="2:13" x14ac:dyDescent="0.25">
      <c r="B4981"/>
      <c r="C4981"/>
      <c r="D4981"/>
      <c r="E4981"/>
      <c r="F4981"/>
      <c r="G4981"/>
      <c r="H4981" s="19"/>
      <c r="I4981" s="19"/>
      <c r="J4981" s="19"/>
      <c r="M4981" s="7"/>
    </row>
    <row r="4982" spans="2:13" x14ac:dyDescent="0.25">
      <c r="B4982"/>
      <c r="C4982"/>
      <c r="D4982"/>
      <c r="E4982"/>
      <c r="F4982"/>
      <c r="G4982"/>
      <c r="H4982" s="19"/>
      <c r="I4982" s="19"/>
      <c r="J4982" s="19"/>
      <c r="M4982" s="7"/>
    </row>
    <row r="4983" spans="2:13" x14ac:dyDescent="0.25">
      <c r="B4983"/>
      <c r="C4983"/>
      <c r="D4983"/>
      <c r="E4983"/>
      <c r="F4983"/>
      <c r="G4983"/>
      <c r="H4983" s="19"/>
      <c r="I4983" s="19"/>
      <c r="J4983" s="19"/>
      <c r="M4983" s="7"/>
    </row>
    <row r="4984" spans="2:13" x14ac:dyDescent="0.25">
      <c r="B4984"/>
      <c r="C4984"/>
      <c r="D4984"/>
      <c r="E4984"/>
      <c r="F4984"/>
      <c r="G4984"/>
      <c r="H4984" s="19"/>
      <c r="I4984" s="19"/>
      <c r="J4984" s="19"/>
      <c r="M4984" s="7"/>
    </row>
    <row r="4985" spans="2:13" x14ac:dyDescent="0.25">
      <c r="B4985"/>
      <c r="C4985"/>
      <c r="D4985"/>
      <c r="E4985"/>
      <c r="F4985"/>
      <c r="G4985"/>
      <c r="H4985" s="19"/>
      <c r="I4985" s="19"/>
      <c r="J4985" s="19"/>
      <c r="M4985" s="7"/>
    </row>
    <row r="4986" spans="2:13" x14ac:dyDescent="0.25">
      <c r="B4986"/>
      <c r="C4986"/>
      <c r="D4986"/>
      <c r="E4986"/>
      <c r="F4986"/>
      <c r="G4986"/>
      <c r="H4986" s="19"/>
      <c r="I4986" s="19"/>
      <c r="J4986" s="19"/>
      <c r="M4986" s="7"/>
    </row>
    <row r="4987" spans="2:13" x14ac:dyDescent="0.25">
      <c r="B4987"/>
      <c r="C4987"/>
      <c r="D4987"/>
      <c r="E4987"/>
      <c r="F4987"/>
      <c r="G4987"/>
      <c r="H4987" s="19"/>
      <c r="I4987" s="19"/>
      <c r="J4987" s="19"/>
      <c r="M4987" s="7"/>
    </row>
    <row r="4988" spans="2:13" x14ac:dyDescent="0.25">
      <c r="B4988"/>
      <c r="C4988"/>
      <c r="D4988"/>
      <c r="E4988"/>
      <c r="F4988"/>
      <c r="G4988"/>
      <c r="H4988" s="19"/>
      <c r="I4988" s="19"/>
      <c r="J4988" s="19"/>
      <c r="M4988" s="7"/>
    </row>
    <row r="4989" spans="2:13" x14ac:dyDescent="0.25">
      <c r="B4989"/>
      <c r="C4989"/>
      <c r="D4989"/>
      <c r="E4989"/>
      <c r="F4989"/>
      <c r="G4989"/>
      <c r="H4989" s="19"/>
      <c r="I4989" s="19"/>
      <c r="J4989" s="19"/>
      <c r="M4989" s="7"/>
    </row>
    <row r="4990" spans="2:13" x14ac:dyDescent="0.25">
      <c r="B4990"/>
      <c r="C4990"/>
      <c r="D4990"/>
      <c r="E4990"/>
      <c r="F4990"/>
      <c r="G4990"/>
      <c r="H4990" s="19"/>
      <c r="I4990" s="19"/>
      <c r="J4990" s="19"/>
      <c r="M4990" s="7"/>
    </row>
    <row r="4991" spans="2:13" x14ac:dyDescent="0.25">
      <c r="B4991"/>
      <c r="C4991"/>
      <c r="D4991"/>
      <c r="E4991"/>
      <c r="F4991"/>
      <c r="G4991"/>
      <c r="H4991" s="19"/>
      <c r="I4991" s="19"/>
      <c r="J4991" s="19"/>
      <c r="M4991" s="7"/>
    </row>
    <row r="4992" spans="2:13" x14ac:dyDescent="0.25">
      <c r="B4992"/>
      <c r="C4992"/>
      <c r="D4992"/>
      <c r="E4992"/>
      <c r="F4992"/>
      <c r="G4992"/>
      <c r="H4992" s="19"/>
      <c r="I4992" s="19"/>
      <c r="J4992" s="19"/>
      <c r="M4992" s="7"/>
    </row>
    <row r="4993" spans="2:13" x14ac:dyDescent="0.25">
      <c r="B4993"/>
      <c r="C4993"/>
      <c r="D4993"/>
      <c r="E4993"/>
      <c r="F4993"/>
      <c r="G4993"/>
      <c r="H4993" s="19"/>
      <c r="I4993" s="19"/>
      <c r="J4993" s="19"/>
      <c r="M4993" s="7"/>
    </row>
    <row r="4994" spans="2:13" x14ac:dyDescent="0.25">
      <c r="B4994"/>
      <c r="C4994"/>
      <c r="D4994"/>
      <c r="E4994"/>
      <c r="F4994"/>
      <c r="G4994"/>
      <c r="H4994" s="19"/>
      <c r="I4994" s="19"/>
      <c r="J4994" s="19"/>
      <c r="M4994" s="7"/>
    </row>
    <row r="4995" spans="2:13" x14ac:dyDescent="0.25">
      <c r="B4995"/>
      <c r="C4995"/>
      <c r="D4995"/>
      <c r="E4995"/>
      <c r="F4995"/>
      <c r="G4995"/>
      <c r="H4995" s="19"/>
      <c r="I4995" s="19"/>
      <c r="J4995" s="19"/>
      <c r="M4995" s="7"/>
    </row>
    <row r="4996" spans="2:13" x14ac:dyDescent="0.25">
      <c r="B4996"/>
      <c r="C4996"/>
      <c r="D4996"/>
      <c r="E4996"/>
      <c r="F4996"/>
      <c r="G4996"/>
      <c r="H4996" s="19"/>
      <c r="I4996" s="19"/>
      <c r="J4996" s="19"/>
      <c r="M4996" s="7"/>
    </row>
    <row r="4997" spans="2:13" x14ac:dyDescent="0.25">
      <c r="B4997"/>
      <c r="C4997"/>
      <c r="D4997"/>
      <c r="E4997"/>
      <c r="F4997"/>
      <c r="G4997"/>
      <c r="H4997" s="19"/>
      <c r="I4997" s="19"/>
      <c r="J4997" s="19"/>
      <c r="M4997" s="7"/>
    </row>
    <row r="4998" spans="2:13" x14ac:dyDescent="0.25">
      <c r="B4998"/>
      <c r="C4998"/>
      <c r="D4998"/>
      <c r="E4998"/>
      <c r="F4998"/>
      <c r="G4998"/>
      <c r="H4998" s="19"/>
      <c r="I4998" s="19"/>
      <c r="J4998" s="19"/>
      <c r="M4998" s="7"/>
    </row>
    <row r="4999" spans="2:13" x14ac:dyDescent="0.25">
      <c r="B4999"/>
      <c r="C4999"/>
      <c r="D4999"/>
      <c r="E4999"/>
      <c r="F4999"/>
      <c r="G4999"/>
      <c r="H4999" s="19"/>
      <c r="I4999" s="19"/>
      <c r="J4999" s="19"/>
      <c r="M4999" s="7"/>
    </row>
    <row r="5000" spans="2:13" x14ac:dyDescent="0.25">
      <c r="B5000"/>
      <c r="C5000"/>
      <c r="D5000"/>
      <c r="E5000"/>
      <c r="F5000"/>
      <c r="G5000"/>
      <c r="H5000" s="19"/>
      <c r="I5000" s="19"/>
      <c r="J5000" s="19"/>
      <c r="M5000" s="7"/>
    </row>
    <row r="5001" spans="2:13" x14ac:dyDescent="0.25">
      <c r="B5001"/>
      <c r="C5001"/>
      <c r="D5001"/>
      <c r="E5001"/>
      <c r="F5001"/>
      <c r="G5001"/>
      <c r="H5001" s="19"/>
      <c r="I5001" s="19"/>
      <c r="J5001" s="19"/>
      <c r="M5001" s="7"/>
    </row>
    <row r="5002" spans="2:13" x14ac:dyDescent="0.25">
      <c r="B5002"/>
      <c r="C5002"/>
      <c r="D5002"/>
      <c r="E5002"/>
      <c r="F5002"/>
      <c r="G5002"/>
      <c r="H5002" s="19"/>
      <c r="I5002" s="19"/>
      <c r="J5002" s="19"/>
      <c r="M5002" s="7"/>
    </row>
    <row r="5003" spans="2:13" x14ac:dyDescent="0.25">
      <c r="B5003"/>
      <c r="C5003"/>
      <c r="D5003"/>
      <c r="E5003"/>
      <c r="F5003"/>
      <c r="G5003"/>
      <c r="H5003" s="19"/>
      <c r="I5003" s="19"/>
      <c r="J5003" s="19"/>
      <c r="M5003" s="7"/>
    </row>
    <row r="5004" spans="2:13" x14ac:dyDescent="0.25">
      <c r="B5004"/>
      <c r="C5004"/>
      <c r="D5004"/>
      <c r="E5004"/>
      <c r="F5004"/>
      <c r="G5004"/>
      <c r="H5004" s="19"/>
      <c r="I5004" s="19"/>
      <c r="J5004" s="19"/>
      <c r="M5004" s="7"/>
    </row>
    <row r="5005" spans="2:13" x14ac:dyDescent="0.25">
      <c r="B5005"/>
      <c r="C5005"/>
      <c r="D5005"/>
      <c r="E5005"/>
      <c r="F5005"/>
      <c r="G5005"/>
      <c r="H5005" s="19"/>
      <c r="I5005" s="19"/>
      <c r="J5005" s="19"/>
      <c r="M5005" s="7"/>
    </row>
    <row r="5006" spans="2:13" x14ac:dyDescent="0.25">
      <c r="B5006"/>
      <c r="C5006"/>
      <c r="D5006"/>
      <c r="E5006"/>
      <c r="F5006"/>
      <c r="G5006"/>
      <c r="H5006" s="19"/>
      <c r="I5006" s="19"/>
      <c r="J5006" s="19"/>
      <c r="M5006" s="7"/>
    </row>
    <row r="5007" spans="2:13" x14ac:dyDescent="0.25">
      <c r="B5007"/>
      <c r="C5007"/>
      <c r="D5007"/>
      <c r="E5007"/>
      <c r="F5007"/>
      <c r="G5007"/>
      <c r="H5007" s="19"/>
      <c r="I5007" s="19"/>
      <c r="J5007" s="19"/>
      <c r="M5007" s="7"/>
    </row>
    <row r="5008" spans="2:13" x14ac:dyDescent="0.25">
      <c r="B5008"/>
      <c r="C5008"/>
      <c r="D5008"/>
      <c r="E5008"/>
      <c r="F5008"/>
      <c r="G5008"/>
      <c r="H5008" s="19"/>
      <c r="I5008" s="19"/>
      <c r="J5008" s="19"/>
      <c r="M5008" s="7"/>
    </row>
    <row r="5009" spans="2:13" x14ac:dyDescent="0.25">
      <c r="B5009"/>
      <c r="C5009"/>
      <c r="D5009"/>
      <c r="E5009"/>
      <c r="F5009"/>
      <c r="G5009"/>
      <c r="H5009" s="19"/>
      <c r="I5009" s="19"/>
      <c r="J5009" s="19"/>
      <c r="M5009" s="7"/>
    </row>
    <row r="5010" spans="2:13" x14ac:dyDescent="0.25">
      <c r="B5010"/>
      <c r="C5010"/>
      <c r="D5010"/>
      <c r="E5010"/>
      <c r="F5010"/>
      <c r="G5010"/>
      <c r="H5010" s="19"/>
      <c r="I5010" s="19"/>
      <c r="J5010" s="19"/>
      <c r="M5010" s="7"/>
    </row>
    <row r="5011" spans="2:13" x14ac:dyDescent="0.25">
      <c r="B5011"/>
      <c r="C5011"/>
      <c r="D5011"/>
      <c r="E5011"/>
      <c r="F5011"/>
      <c r="G5011"/>
      <c r="H5011" s="19"/>
      <c r="I5011" s="19"/>
      <c r="J5011" s="19"/>
      <c r="M5011" s="7"/>
    </row>
    <row r="5012" spans="2:13" x14ac:dyDescent="0.25">
      <c r="B5012"/>
      <c r="C5012"/>
      <c r="D5012"/>
      <c r="E5012"/>
      <c r="F5012"/>
      <c r="G5012"/>
      <c r="H5012" s="19"/>
      <c r="I5012" s="19"/>
      <c r="J5012" s="19"/>
      <c r="M5012" s="7"/>
    </row>
    <row r="5013" spans="2:13" x14ac:dyDescent="0.25">
      <c r="B5013"/>
      <c r="C5013"/>
      <c r="D5013"/>
      <c r="E5013"/>
      <c r="F5013"/>
      <c r="G5013"/>
      <c r="H5013" s="19"/>
      <c r="I5013" s="19"/>
      <c r="J5013" s="19"/>
      <c r="M5013" s="7"/>
    </row>
    <row r="5014" spans="2:13" x14ac:dyDescent="0.25">
      <c r="B5014"/>
      <c r="C5014"/>
      <c r="D5014"/>
      <c r="E5014"/>
      <c r="F5014"/>
      <c r="G5014"/>
      <c r="H5014" s="19"/>
      <c r="I5014" s="19"/>
      <c r="J5014" s="19"/>
      <c r="M5014" s="7"/>
    </row>
    <row r="5015" spans="2:13" x14ac:dyDescent="0.25">
      <c r="B5015"/>
      <c r="C5015"/>
      <c r="D5015"/>
      <c r="E5015"/>
      <c r="F5015"/>
      <c r="G5015"/>
      <c r="H5015" s="19"/>
      <c r="I5015" s="19"/>
      <c r="J5015" s="19"/>
      <c r="M5015" s="7"/>
    </row>
    <row r="5016" spans="2:13" x14ac:dyDescent="0.25">
      <c r="B5016"/>
      <c r="C5016"/>
      <c r="D5016"/>
      <c r="E5016"/>
      <c r="F5016"/>
      <c r="G5016"/>
      <c r="H5016" s="19"/>
      <c r="I5016" s="19"/>
      <c r="J5016" s="19"/>
      <c r="M5016" s="7"/>
    </row>
    <row r="5017" spans="2:13" x14ac:dyDescent="0.25">
      <c r="B5017"/>
      <c r="C5017"/>
      <c r="D5017"/>
      <c r="E5017"/>
      <c r="F5017"/>
      <c r="G5017"/>
      <c r="H5017" s="19"/>
      <c r="I5017" s="19"/>
      <c r="J5017" s="19"/>
      <c r="M5017" s="7"/>
    </row>
    <row r="5018" spans="2:13" x14ac:dyDescent="0.25">
      <c r="B5018"/>
      <c r="C5018"/>
      <c r="D5018"/>
      <c r="E5018"/>
      <c r="F5018"/>
      <c r="G5018"/>
      <c r="H5018" s="19"/>
      <c r="I5018" s="19"/>
      <c r="J5018" s="19"/>
      <c r="M5018" s="7"/>
    </row>
    <row r="5019" spans="2:13" x14ac:dyDescent="0.25">
      <c r="B5019"/>
      <c r="C5019"/>
      <c r="D5019"/>
      <c r="E5019"/>
      <c r="F5019"/>
      <c r="G5019"/>
      <c r="H5019" s="19"/>
      <c r="I5019" s="19"/>
      <c r="J5019" s="19"/>
      <c r="M5019" s="7"/>
    </row>
    <row r="5020" spans="2:13" x14ac:dyDescent="0.25">
      <c r="B5020"/>
      <c r="C5020"/>
      <c r="D5020"/>
      <c r="E5020"/>
      <c r="F5020"/>
      <c r="G5020"/>
      <c r="H5020" s="19"/>
      <c r="I5020" s="19"/>
      <c r="J5020" s="19"/>
      <c r="M5020" s="7"/>
    </row>
    <row r="5021" spans="2:13" x14ac:dyDescent="0.25">
      <c r="B5021"/>
      <c r="C5021"/>
      <c r="D5021"/>
      <c r="E5021"/>
      <c r="F5021"/>
      <c r="G5021"/>
      <c r="H5021" s="19"/>
      <c r="I5021" s="19"/>
      <c r="J5021" s="19"/>
      <c r="M5021" s="7"/>
    </row>
    <row r="5022" spans="2:13" x14ac:dyDescent="0.25">
      <c r="B5022"/>
      <c r="C5022"/>
      <c r="D5022"/>
      <c r="E5022"/>
      <c r="F5022"/>
      <c r="G5022"/>
      <c r="H5022" s="19"/>
      <c r="I5022" s="19"/>
      <c r="J5022" s="19"/>
      <c r="M5022" s="7"/>
    </row>
    <row r="5023" spans="2:13" x14ac:dyDescent="0.25">
      <c r="B5023"/>
      <c r="C5023"/>
      <c r="D5023"/>
      <c r="E5023"/>
      <c r="F5023"/>
      <c r="G5023"/>
      <c r="H5023" s="19"/>
      <c r="I5023" s="19"/>
      <c r="J5023" s="19"/>
      <c r="M5023" s="7"/>
    </row>
    <row r="5024" spans="2:13" x14ac:dyDescent="0.25">
      <c r="B5024"/>
      <c r="C5024"/>
      <c r="D5024"/>
      <c r="E5024"/>
      <c r="F5024"/>
      <c r="G5024"/>
      <c r="H5024" s="19"/>
      <c r="I5024" s="19"/>
      <c r="J5024" s="19"/>
      <c r="M5024" s="7"/>
    </row>
    <row r="5025" spans="2:13" x14ac:dyDescent="0.25">
      <c r="B5025"/>
      <c r="C5025"/>
      <c r="D5025"/>
      <c r="E5025"/>
      <c r="F5025"/>
      <c r="G5025"/>
      <c r="H5025" s="19"/>
      <c r="I5025" s="19"/>
      <c r="J5025" s="19"/>
      <c r="M5025" s="7"/>
    </row>
    <row r="5026" spans="2:13" x14ac:dyDescent="0.25">
      <c r="B5026"/>
      <c r="C5026"/>
      <c r="D5026"/>
      <c r="E5026"/>
      <c r="F5026"/>
      <c r="G5026"/>
      <c r="H5026" s="19"/>
      <c r="I5026" s="19"/>
      <c r="J5026" s="19"/>
      <c r="M5026" s="7"/>
    </row>
    <row r="5027" spans="2:13" x14ac:dyDescent="0.25">
      <c r="B5027"/>
      <c r="C5027"/>
      <c r="D5027"/>
      <c r="E5027"/>
      <c r="F5027"/>
      <c r="G5027"/>
      <c r="H5027" s="19"/>
      <c r="I5027" s="19"/>
      <c r="J5027" s="19"/>
      <c r="M5027" s="7"/>
    </row>
    <row r="5028" spans="2:13" x14ac:dyDescent="0.25">
      <c r="B5028"/>
      <c r="C5028"/>
      <c r="D5028"/>
      <c r="E5028"/>
      <c r="F5028"/>
      <c r="G5028"/>
      <c r="H5028" s="19"/>
      <c r="I5028" s="19"/>
      <c r="J5028" s="19"/>
      <c r="M5028" s="7"/>
    </row>
    <row r="5029" spans="2:13" x14ac:dyDescent="0.25">
      <c r="B5029"/>
      <c r="C5029"/>
      <c r="D5029"/>
      <c r="E5029"/>
      <c r="F5029"/>
      <c r="G5029"/>
      <c r="H5029" s="19"/>
      <c r="I5029" s="19"/>
      <c r="J5029" s="19"/>
      <c r="M5029" s="7"/>
    </row>
    <row r="5030" spans="2:13" x14ac:dyDescent="0.25">
      <c r="B5030"/>
      <c r="C5030"/>
      <c r="D5030"/>
      <c r="E5030"/>
      <c r="F5030"/>
      <c r="G5030"/>
      <c r="H5030" s="19"/>
      <c r="I5030" s="19"/>
      <c r="J5030" s="19"/>
      <c r="M5030" s="7"/>
    </row>
    <row r="5031" spans="2:13" x14ac:dyDescent="0.25">
      <c r="B5031"/>
      <c r="C5031"/>
      <c r="D5031"/>
      <c r="E5031"/>
      <c r="F5031"/>
      <c r="G5031"/>
      <c r="H5031" s="19"/>
      <c r="I5031" s="19"/>
      <c r="J5031" s="19"/>
      <c r="M5031" s="7"/>
    </row>
    <row r="5032" spans="2:13" x14ac:dyDescent="0.25">
      <c r="B5032"/>
      <c r="C5032"/>
      <c r="D5032"/>
      <c r="E5032"/>
      <c r="F5032"/>
      <c r="G5032"/>
      <c r="H5032" s="19"/>
      <c r="I5032" s="19"/>
      <c r="J5032" s="19"/>
      <c r="M5032" s="7"/>
    </row>
    <row r="5033" spans="2:13" x14ac:dyDescent="0.25">
      <c r="B5033"/>
      <c r="C5033"/>
      <c r="D5033"/>
      <c r="E5033"/>
      <c r="F5033"/>
      <c r="G5033"/>
      <c r="H5033" s="19"/>
      <c r="I5033" s="19"/>
      <c r="J5033" s="19"/>
      <c r="M5033" s="7"/>
    </row>
    <row r="5034" spans="2:13" x14ac:dyDescent="0.25">
      <c r="B5034"/>
      <c r="C5034"/>
      <c r="D5034"/>
      <c r="E5034"/>
      <c r="F5034"/>
      <c r="G5034"/>
      <c r="H5034" s="19"/>
      <c r="I5034" s="19"/>
      <c r="J5034" s="19"/>
      <c r="M5034" s="7"/>
    </row>
    <row r="5035" spans="2:13" x14ac:dyDescent="0.25">
      <c r="B5035"/>
      <c r="C5035"/>
      <c r="D5035"/>
      <c r="E5035"/>
      <c r="F5035"/>
      <c r="G5035"/>
      <c r="H5035" s="19"/>
      <c r="I5035" s="19"/>
      <c r="J5035" s="19"/>
      <c r="M5035" s="7"/>
    </row>
    <row r="5036" spans="2:13" x14ac:dyDescent="0.25">
      <c r="B5036"/>
      <c r="C5036"/>
      <c r="D5036"/>
      <c r="E5036"/>
      <c r="F5036"/>
      <c r="G5036"/>
      <c r="H5036" s="19"/>
      <c r="I5036" s="19"/>
      <c r="J5036" s="19"/>
      <c r="M5036" s="7"/>
    </row>
    <row r="5037" spans="2:13" x14ac:dyDescent="0.25">
      <c r="B5037"/>
      <c r="C5037"/>
      <c r="D5037"/>
      <c r="E5037"/>
      <c r="F5037"/>
      <c r="G5037"/>
      <c r="H5037" s="19"/>
      <c r="I5037" s="19"/>
      <c r="J5037" s="19"/>
      <c r="M5037" s="7"/>
    </row>
    <row r="5038" spans="2:13" x14ac:dyDescent="0.25">
      <c r="B5038"/>
      <c r="C5038"/>
      <c r="D5038"/>
      <c r="E5038"/>
      <c r="F5038"/>
      <c r="G5038"/>
      <c r="H5038" s="19"/>
      <c r="I5038" s="19"/>
      <c r="J5038" s="19"/>
      <c r="M5038" s="7"/>
    </row>
    <row r="5039" spans="2:13" x14ac:dyDescent="0.25">
      <c r="B5039"/>
      <c r="C5039"/>
      <c r="D5039"/>
      <c r="E5039"/>
      <c r="F5039"/>
      <c r="G5039"/>
      <c r="H5039" s="19"/>
      <c r="I5039" s="19"/>
      <c r="J5039" s="19"/>
      <c r="M5039" s="7"/>
    </row>
    <row r="5040" spans="2:13" x14ac:dyDescent="0.25">
      <c r="B5040"/>
      <c r="C5040"/>
      <c r="D5040"/>
      <c r="E5040"/>
      <c r="F5040"/>
      <c r="G5040"/>
      <c r="H5040" s="19"/>
      <c r="I5040" s="19"/>
      <c r="J5040" s="19"/>
      <c r="M5040" s="7"/>
    </row>
    <row r="5041" spans="2:13" x14ac:dyDescent="0.25">
      <c r="B5041"/>
      <c r="C5041"/>
      <c r="D5041"/>
      <c r="E5041"/>
      <c r="F5041"/>
      <c r="G5041"/>
      <c r="H5041" s="19"/>
      <c r="I5041" s="19"/>
      <c r="J5041" s="19"/>
      <c r="M5041" s="7"/>
    </row>
    <row r="5042" spans="2:13" x14ac:dyDescent="0.25">
      <c r="B5042"/>
      <c r="C5042"/>
      <c r="D5042"/>
      <c r="E5042"/>
      <c r="F5042"/>
      <c r="G5042"/>
      <c r="H5042" s="19"/>
      <c r="I5042" s="19"/>
      <c r="J5042" s="19"/>
      <c r="M5042" s="7"/>
    </row>
    <row r="5043" spans="2:13" x14ac:dyDescent="0.25">
      <c r="B5043"/>
      <c r="C5043"/>
      <c r="D5043"/>
      <c r="E5043"/>
      <c r="F5043"/>
      <c r="G5043"/>
      <c r="H5043" s="19"/>
      <c r="I5043" s="19"/>
      <c r="J5043" s="19"/>
      <c r="M5043" s="7"/>
    </row>
    <row r="5044" spans="2:13" x14ac:dyDescent="0.25">
      <c r="B5044"/>
      <c r="C5044"/>
      <c r="D5044"/>
      <c r="E5044"/>
      <c r="F5044"/>
      <c r="G5044"/>
      <c r="H5044" s="19"/>
      <c r="I5044" s="19"/>
      <c r="J5044" s="19"/>
      <c r="M5044" s="7"/>
    </row>
    <row r="5045" spans="2:13" x14ac:dyDescent="0.25">
      <c r="B5045"/>
      <c r="C5045"/>
      <c r="D5045"/>
      <c r="E5045"/>
      <c r="F5045"/>
      <c r="G5045"/>
      <c r="H5045" s="19"/>
      <c r="I5045" s="19"/>
      <c r="J5045" s="19"/>
      <c r="M5045" s="7"/>
    </row>
    <row r="5046" spans="2:13" x14ac:dyDescent="0.25">
      <c r="B5046"/>
      <c r="C5046"/>
      <c r="D5046"/>
      <c r="E5046"/>
      <c r="F5046"/>
      <c r="G5046"/>
      <c r="H5046" s="19"/>
      <c r="I5046" s="19"/>
      <c r="J5046" s="19"/>
      <c r="M5046" s="7"/>
    </row>
    <row r="5047" spans="2:13" x14ac:dyDescent="0.25">
      <c r="B5047"/>
      <c r="C5047"/>
      <c r="D5047"/>
      <c r="E5047"/>
      <c r="F5047"/>
      <c r="G5047"/>
      <c r="H5047" s="19"/>
      <c r="I5047" s="19"/>
      <c r="J5047" s="19"/>
      <c r="M5047" s="7"/>
    </row>
    <row r="5048" spans="2:13" x14ac:dyDescent="0.25">
      <c r="B5048"/>
      <c r="C5048"/>
      <c r="D5048"/>
      <c r="E5048"/>
      <c r="F5048"/>
      <c r="G5048"/>
      <c r="H5048" s="19"/>
      <c r="I5048" s="19"/>
      <c r="J5048" s="19"/>
      <c r="M5048" s="7"/>
    </row>
    <row r="5049" spans="2:13" x14ac:dyDescent="0.25">
      <c r="B5049"/>
      <c r="C5049"/>
      <c r="D5049"/>
      <c r="E5049"/>
      <c r="F5049"/>
      <c r="G5049"/>
      <c r="H5049" s="19"/>
      <c r="I5049" s="19"/>
      <c r="J5049" s="19"/>
      <c r="M5049" s="7"/>
    </row>
    <row r="5050" spans="2:13" x14ac:dyDescent="0.25">
      <c r="B5050"/>
      <c r="C5050"/>
      <c r="D5050"/>
      <c r="E5050"/>
      <c r="F5050"/>
      <c r="G5050"/>
      <c r="H5050" s="19"/>
      <c r="I5050" s="19"/>
      <c r="J5050" s="19"/>
      <c r="M5050" s="7"/>
    </row>
    <row r="5051" spans="2:13" x14ac:dyDescent="0.25">
      <c r="B5051"/>
      <c r="C5051"/>
      <c r="D5051"/>
      <c r="E5051"/>
      <c r="F5051"/>
      <c r="G5051"/>
      <c r="H5051" s="19"/>
      <c r="I5051" s="19"/>
      <c r="J5051" s="19"/>
      <c r="M5051" s="7"/>
    </row>
    <row r="5052" spans="2:13" x14ac:dyDescent="0.25">
      <c r="B5052"/>
      <c r="C5052"/>
      <c r="D5052"/>
      <c r="E5052"/>
      <c r="F5052"/>
      <c r="G5052"/>
      <c r="H5052" s="19"/>
      <c r="I5052" s="19"/>
      <c r="J5052" s="19"/>
      <c r="M5052" s="7"/>
    </row>
    <row r="5053" spans="2:13" x14ac:dyDescent="0.25">
      <c r="B5053"/>
      <c r="C5053"/>
      <c r="D5053"/>
      <c r="E5053"/>
      <c r="F5053"/>
      <c r="G5053"/>
      <c r="H5053" s="19"/>
      <c r="I5053" s="19"/>
      <c r="J5053" s="19"/>
      <c r="M5053" s="7"/>
    </row>
    <row r="5054" spans="2:13" x14ac:dyDescent="0.25">
      <c r="B5054"/>
      <c r="C5054"/>
      <c r="D5054"/>
      <c r="E5054"/>
      <c r="F5054"/>
      <c r="G5054"/>
      <c r="H5054" s="19"/>
      <c r="I5054" s="19"/>
      <c r="J5054" s="19"/>
      <c r="M5054" s="7"/>
    </row>
    <row r="5055" spans="2:13" x14ac:dyDescent="0.25">
      <c r="B5055"/>
      <c r="C5055"/>
      <c r="D5055"/>
      <c r="E5055"/>
      <c r="F5055"/>
      <c r="G5055"/>
      <c r="H5055" s="19"/>
      <c r="I5055" s="19"/>
      <c r="J5055" s="19"/>
      <c r="M5055" s="7"/>
    </row>
    <row r="5056" spans="2:13" x14ac:dyDescent="0.25">
      <c r="B5056"/>
      <c r="C5056"/>
      <c r="D5056"/>
      <c r="E5056"/>
      <c r="F5056"/>
      <c r="G5056"/>
      <c r="H5056" s="19"/>
      <c r="I5056" s="19"/>
      <c r="J5056" s="19"/>
      <c r="M5056" s="7"/>
    </row>
    <row r="5057" spans="2:13" x14ac:dyDescent="0.25">
      <c r="B5057"/>
      <c r="C5057"/>
      <c r="D5057"/>
      <c r="E5057"/>
      <c r="F5057"/>
      <c r="G5057"/>
      <c r="H5057" s="19"/>
      <c r="I5057" s="19"/>
      <c r="J5057" s="19"/>
      <c r="M5057" s="7"/>
    </row>
    <row r="5058" spans="2:13" x14ac:dyDescent="0.25">
      <c r="B5058"/>
      <c r="C5058"/>
      <c r="D5058"/>
      <c r="E5058"/>
      <c r="F5058"/>
      <c r="G5058"/>
      <c r="H5058" s="19"/>
      <c r="I5058" s="19"/>
      <c r="J5058" s="19"/>
      <c r="M5058" s="7"/>
    </row>
    <row r="5059" spans="2:13" x14ac:dyDescent="0.25">
      <c r="B5059"/>
      <c r="C5059"/>
      <c r="D5059"/>
      <c r="E5059"/>
      <c r="F5059"/>
      <c r="G5059"/>
      <c r="H5059" s="19"/>
      <c r="I5059" s="19"/>
      <c r="J5059" s="19"/>
      <c r="M5059" s="7"/>
    </row>
    <row r="5060" spans="2:13" x14ac:dyDescent="0.25">
      <c r="B5060"/>
      <c r="C5060"/>
      <c r="D5060"/>
      <c r="E5060"/>
      <c r="F5060"/>
      <c r="G5060"/>
      <c r="H5060" s="19"/>
      <c r="I5060" s="19"/>
      <c r="J5060" s="19"/>
      <c r="M5060" s="7"/>
    </row>
    <row r="5061" spans="2:13" x14ac:dyDescent="0.25">
      <c r="B5061"/>
      <c r="C5061"/>
      <c r="D5061"/>
      <c r="E5061"/>
      <c r="F5061"/>
      <c r="G5061"/>
      <c r="H5061" s="19"/>
      <c r="I5061" s="19"/>
      <c r="J5061" s="19"/>
      <c r="M5061" s="7"/>
    </row>
    <row r="5062" spans="2:13" x14ac:dyDescent="0.25">
      <c r="B5062"/>
      <c r="C5062"/>
      <c r="D5062"/>
      <c r="E5062"/>
      <c r="F5062"/>
      <c r="G5062"/>
      <c r="H5062" s="19"/>
      <c r="I5062" s="19"/>
      <c r="J5062" s="19"/>
      <c r="M5062" s="7"/>
    </row>
    <row r="5063" spans="2:13" x14ac:dyDescent="0.25">
      <c r="B5063"/>
      <c r="C5063"/>
      <c r="D5063"/>
      <c r="E5063"/>
      <c r="F5063"/>
      <c r="G5063"/>
      <c r="H5063" s="19"/>
      <c r="I5063" s="19"/>
      <c r="J5063" s="19"/>
      <c r="M5063" s="7"/>
    </row>
    <row r="5064" spans="2:13" x14ac:dyDescent="0.25">
      <c r="B5064"/>
      <c r="C5064"/>
      <c r="D5064"/>
      <c r="E5064"/>
      <c r="F5064"/>
      <c r="G5064"/>
      <c r="H5064" s="19"/>
      <c r="I5064" s="19"/>
      <c r="J5064" s="19"/>
      <c r="M5064" s="7"/>
    </row>
    <row r="5065" spans="2:13" x14ac:dyDescent="0.25">
      <c r="B5065"/>
      <c r="C5065"/>
      <c r="D5065"/>
      <c r="E5065"/>
      <c r="F5065"/>
      <c r="G5065"/>
      <c r="H5065" s="19"/>
      <c r="I5065" s="19"/>
      <c r="J5065" s="19"/>
      <c r="M5065" s="7"/>
    </row>
    <row r="5066" spans="2:13" x14ac:dyDescent="0.25">
      <c r="B5066"/>
      <c r="C5066"/>
      <c r="D5066"/>
      <c r="E5066"/>
      <c r="F5066"/>
      <c r="G5066"/>
      <c r="H5066" s="19"/>
      <c r="I5066" s="19"/>
      <c r="J5066" s="19"/>
      <c r="M5066" s="7"/>
    </row>
    <row r="5067" spans="2:13" x14ac:dyDescent="0.25">
      <c r="B5067"/>
      <c r="C5067"/>
      <c r="D5067"/>
      <c r="E5067"/>
      <c r="F5067"/>
      <c r="G5067"/>
      <c r="H5067" s="19"/>
      <c r="I5067" s="19"/>
      <c r="J5067" s="19"/>
      <c r="M5067" s="7"/>
    </row>
    <row r="5068" spans="2:13" x14ac:dyDescent="0.25">
      <c r="B5068"/>
      <c r="C5068"/>
      <c r="D5068"/>
      <c r="E5068"/>
      <c r="F5068"/>
      <c r="G5068"/>
      <c r="H5068" s="19"/>
      <c r="I5068" s="19"/>
      <c r="J5068" s="19"/>
      <c r="M5068" s="7"/>
    </row>
    <row r="5069" spans="2:13" x14ac:dyDescent="0.25">
      <c r="B5069"/>
      <c r="C5069"/>
      <c r="D5069"/>
      <c r="E5069"/>
      <c r="F5069"/>
      <c r="G5069"/>
      <c r="H5069" s="19"/>
      <c r="I5069" s="19"/>
      <c r="J5069" s="19"/>
      <c r="M5069" s="7"/>
    </row>
    <row r="5070" spans="2:13" x14ac:dyDescent="0.25">
      <c r="B5070"/>
      <c r="C5070"/>
      <c r="D5070"/>
      <c r="E5070"/>
      <c r="F5070"/>
      <c r="G5070"/>
      <c r="H5070" s="19"/>
      <c r="I5070" s="19"/>
      <c r="J5070" s="19"/>
      <c r="M5070" s="7"/>
    </row>
    <row r="5071" spans="2:13" x14ac:dyDescent="0.25">
      <c r="B5071"/>
      <c r="C5071"/>
      <c r="D5071"/>
      <c r="E5071"/>
      <c r="F5071"/>
      <c r="G5071"/>
      <c r="H5071" s="19"/>
      <c r="I5071" s="19"/>
      <c r="J5071" s="19"/>
      <c r="M5071" s="7"/>
    </row>
    <row r="5072" spans="2:13" x14ac:dyDescent="0.25">
      <c r="B5072"/>
      <c r="C5072"/>
      <c r="D5072"/>
      <c r="E5072"/>
      <c r="F5072"/>
      <c r="G5072"/>
      <c r="H5072" s="19"/>
      <c r="I5072" s="19"/>
      <c r="J5072" s="19"/>
      <c r="M5072" s="7"/>
    </row>
    <row r="5073" spans="2:13" x14ac:dyDescent="0.25">
      <c r="B5073"/>
      <c r="C5073"/>
      <c r="D5073"/>
      <c r="E5073"/>
      <c r="F5073"/>
      <c r="G5073"/>
      <c r="H5073" s="19"/>
      <c r="I5073" s="19"/>
      <c r="J5073" s="19"/>
      <c r="M5073" s="7"/>
    </row>
    <row r="5074" spans="2:13" x14ac:dyDescent="0.25">
      <c r="B5074"/>
      <c r="C5074"/>
      <c r="D5074"/>
      <c r="E5074"/>
      <c r="F5074"/>
      <c r="G5074"/>
      <c r="H5074" s="19"/>
      <c r="I5074" s="19"/>
      <c r="J5074" s="19"/>
      <c r="M5074" s="7"/>
    </row>
    <row r="5075" spans="2:13" x14ac:dyDescent="0.25">
      <c r="B5075"/>
      <c r="C5075"/>
      <c r="D5075"/>
      <c r="E5075"/>
      <c r="F5075"/>
      <c r="G5075"/>
      <c r="H5075" s="19"/>
      <c r="I5075" s="19"/>
      <c r="J5075" s="19"/>
      <c r="M5075" s="7"/>
    </row>
    <row r="5076" spans="2:13" x14ac:dyDescent="0.25">
      <c r="B5076"/>
      <c r="C5076"/>
      <c r="D5076"/>
      <c r="E5076"/>
      <c r="F5076"/>
      <c r="G5076"/>
      <c r="H5076" s="19"/>
      <c r="I5076" s="19"/>
      <c r="J5076" s="19"/>
      <c r="M5076" s="7"/>
    </row>
    <row r="5077" spans="2:13" x14ac:dyDescent="0.25">
      <c r="B5077"/>
      <c r="C5077"/>
      <c r="D5077"/>
      <c r="E5077"/>
      <c r="F5077"/>
      <c r="G5077"/>
      <c r="H5077" s="19"/>
      <c r="I5077" s="19"/>
      <c r="J5077" s="19"/>
      <c r="M5077" s="7"/>
    </row>
    <row r="5078" spans="2:13" x14ac:dyDescent="0.25">
      <c r="B5078"/>
      <c r="C5078"/>
      <c r="D5078"/>
      <c r="E5078"/>
      <c r="F5078"/>
      <c r="G5078"/>
      <c r="H5078" s="19"/>
      <c r="I5078" s="19"/>
      <c r="J5078" s="19"/>
      <c r="M5078" s="7"/>
    </row>
    <row r="5079" spans="2:13" x14ac:dyDescent="0.25">
      <c r="B5079"/>
      <c r="C5079"/>
      <c r="D5079"/>
      <c r="E5079"/>
      <c r="F5079"/>
      <c r="G5079"/>
      <c r="H5079" s="19"/>
      <c r="I5079" s="19"/>
      <c r="J5079" s="19"/>
      <c r="M5079" s="7"/>
    </row>
    <row r="5080" spans="2:13" x14ac:dyDescent="0.25">
      <c r="B5080"/>
      <c r="C5080"/>
      <c r="D5080"/>
      <c r="E5080"/>
      <c r="F5080"/>
      <c r="G5080"/>
      <c r="H5080" s="19"/>
      <c r="I5080" s="19"/>
      <c r="J5080" s="19"/>
      <c r="M5080" s="7"/>
    </row>
    <row r="5081" spans="2:13" x14ac:dyDescent="0.25">
      <c r="B5081"/>
      <c r="C5081"/>
      <c r="D5081"/>
      <c r="E5081"/>
      <c r="F5081"/>
      <c r="G5081"/>
      <c r="H5081" s="19"/>
      <c r="I5081" s="19"/>
      <c r="J5081" s="19"/>
      <c r="M5081" s="7"/>
    </row>
    <row r="5082" spans="2:13" x14ac:dyDescent="0.25">
      <c r="B5082"/>
      <c r="C5082"/>
      <c r="D5082"/>
      <c r="E5082"/>
      <c r="F5082"/>
      <c r="G5082"/>
      <c r="H5082" s="19"/>
      <c r="I5082" s="19"/>
      <c r="J5082" s="19"/>
      <c r="M5082" s="7"/>
    </row>
    <row r="5083" spans="2:13" x14ac:dyDescent="0.25">
      <c r="B5083"/>
      <c r="C5083"/>
      <c r="D5083"/>
      <c r="E5083"/>
      <c r="F5083"/>
      <c r="G5083"/>
      <c r="H5083" s="19"/>
      <c r="I5083" s="19"/>
      <c r="J5083" s="19"/>
      <c r="M5083" s="7"/>
    </row>
    <row r="5084" spans="2:13" x14ac:dyDescent="0.25">
      <c r="B5084"/>
      <c r="C5084"/>
      <c r="D5084"/>
      <c r="E5084"/>
      <c r="F5084"/>
      <c r="G5084"/>
      <c r="H5084" s="19"/>
      <c r="I5084" s="19"/>
      <c r="J5084" s="19"/>
      <c r="M5084" s="7"/>
    </row>
    <row r="5085" spans="2:13" x14ac:dyDescent="0.25">
      <c r="B5085"/>
      <c r="C5085"/>
      <c r="D5085"/>
      <c r="E5085"/>
      <c r="F5085"/>
      <c r="G5085"/>
      <c r="H5085" s="19"/>
      <c r="I5085" s="19"/>
      <c r="J5085" s="19"/>
      <c r="M5085" s="7"/>
    </row>
    <row r="5086" spans="2:13" x14ac:dyDescent="0.25">
      <c r="B5086"/>
      <c r="C5086"/>
      <c r="D5086"/>
      <c r="E5086"/>
      <c r="F5086"/>
      <c r="G5086"/>
      <c r="H5086" s="19"/>
      <c r="I5086" s="19"/>
      <c r="J5086" s="19"/>
      <c r="M5086" s="7"/>
    </row>
    <row r="5087" spans="2:13" x14ac:dyDescent="0.25">
      <c r="B5087"/>
      <c r="C5087"/>
      <c r="D5087"/>
      <c r="E5087"/>
      <c r="F5087"/>
      <c r="G5087"/>
      <c r="H5087" s="19"/>
      <c r="I5087" s="19"/>
      <c r="J5087" s="19"/>
      <c r="M5087" s="7"/>
    </row>
    <row r="5088" spans="2:13" x14ac:dyDescent="0.25">
      <c r="B5088"/>
      <c r="C5088"/>
      <c r="D5088"/>
      <c r="E5088"/>
      <c r="F5088"/>
      <c r="G5088"/>
      <c r="H5088" s="19"/>
      <c r="I5088" s="19"/>
      <c r="J5088" s="19"/>
      <c r="M5088" s="7"/>
    </row>
    <row r="5089" spans="2:13" x14ac:dyDescent="0.25">
      <c r="B5089"/>
      <c r="C5089"/>
      <c r="D5089"/>
      <c r="E5089"/>
      <c r="F5089"/>
      <c r="G5089"/>
      <c r="H5089" s="19"/>
      <c r="I5089" s="19"/>
      <c r="J5089" s="19"/>
      <c r="M5089" s="7"/>
    </row>
    <row r="5090" spans="2:13" x14ac:dyDescent="0.25">
      <c r="B5090"/>
      <c r="C5090"/>
      <c r="D5090"/>
      <c r="E5090"/>
      <c r="F5090"/>
      <c r="G5090"/>
      <c r="H5090" s="19"/>
      <c r="I5090" s="19"/>
      <c r="J5090" s="19"/>
      <c r="M5090" s="7"/>
    </row>
    <row r="5091" spans="2:13" x14ac:dyDescent="0.25">
      <c r="B5091"/>
      <c r="C5091"/>
      <c r="D5091"/>
      <c r="E5091"/>
      <c r="F5091"/>
      <c r="G5091"/>
      <c r="H5091" s="19"/>
      <c r="I5091" s="19"/>
      <c r="J5091" s="19"/>
      <c r="M5091" s="7"/>
    </row>
    <row r="5092" spans="2:13" x14ac:dyDescent="0.25">
      <c r="B5092"/>
      <c r="C5092"/>
      <c r="D5092"/>
      <c r="E5092"/>
      <c r="F5092"/>
      <c r="G5092"/>
      <c r="H5092" s="19"/>
      <c r="I5092" s="19"/>
      <c r="J5092" s="19"/>
      <c r="M5092" s="7"/>
    </row>
    <row r="5093" spans="2:13" x14ac:dyDescent="0.25">
      <c r="B5093"/>
      <c r="C5093"/>
      <c r="D5093"/>
      <c r="E5093"/>
      <c r="F5093"/>
      <c r="G5093"/>
      <c r="H5093" s="19"/>
      <c r="I5093" s="19"/>
      <c r="J5093" s="19"/>
      <c r="M5093" s="7"/>
    </row>
    <row r="5094" spans="2:13" x14ac:dyDescent="0.25">
      <c r="B5094"/>
      <c r="C5094"/>
      <c r="D5094"/>
      <c r="E5094"/>
      <c r="F5094"/>
      <c r="G5094"/>
      <c r="H5094" s="19"/>
      <c r="I5094" s="19"/>
      <c r="J5094" s="19"/>
      <c r="M5094" s="7"/>
    </row>
    <row r="5095" spans="2:13" x14ac:dyDescent="0.25">
      <c r="B5095"/>
      <c r="C5095"/>
      <c r="D5095"/>
      <c r="E5095"/>
      <c r="F5095"/>
      <c r="G5095"/>
      <c r="H5095" s="19"/>
      <c r="I5095" s="19"/>
      <c r="J5095" s="19"/>
      <c r="M5095" s="7"/>
    </row>
    <row r="5096" spans="2:13" x14ac:dyDescent="0.25">
      <c r="B5096"/>
      <c r="C5096"/>
      <c r="D5096"/>
      <c r="E5096"/>
      <c r="F5096"/>
      <c r="G5096"/>
      <c r="H5096" s="19"/>
      <c r="I5096" s="19"/>
      <c r="J5096" s="19"/>
      <c r="M5096" s="7"/>
    </row>
    <row r="5097" spans="2:13" x14ac:dyDescent="0.25">
      <c r="B5097"/>
      <c r="C5097"/>
      <c r="D5097"/>
      <c r="E5097"/>
      <c r="F5097"/>
      <c r="G5097"/>
      <c r="H5097" s="19"/>
      <c r="I5097" s="19"/>
      <c r="J5097" s="19"/>
      <c r="M5097" s="7"/>
    </row>
    <row r="5098" spans="2:13" x14ac:dyDescent="0.25">
      <c r="B5098"/>
      <c r="C5098"/>
      <c r="D5098"/>
      <c r="E5098"/>
      <c r="F5098"/>
      <c r="G5098"/>
      <c r="H5098" s="19"/>
      <c r="I5098" s="19"/>
      <c r="J5098" s="19"/>
      <c r="M5098" s="7"/>
    </row>
    <row r="5099" spans="2:13" x14ac:dyDescent="0.25">
      <c r="B5099"/>
      <c r="C5099"/>
      <c r="D5099"/>
      <c r="E5099"/>
      <c r="F5099"/>
      <c r="G5099"/>
      <c r="H5099" s="19"/>
      <c r="I5099" s="19"/>
      <c r="J5099" s="19"/>
      <c r="M5099" s="7"/>
    </row>
    <row r="5100" spans="2:13" x14ac:dyDescent="0.25">
      <c r="B5100"/>
      <c r="C5100"/>
      <c r="D5100"/>
      <c r="E5100"/>
      <c r="F5100"/>
      <c r="G5100"/>
      <c r="H5100" s="19"/>
      <c r="I5100" s="19"/>
      <c r="J5100" s="19"/>
      <c r="M5100" s="7"/>
    </row>
    <row r="5101" spans="2:13" x14ac:dyDescent="0.25">
      <c r="B5101"/>
      <c r="C5101"/>
      <c r="D5101"/>
      <c r="E5101"/>
      <c r="F5101"/>
      <c r="G5101"/>
      <c r="H5101" s="19"/>
      <c r="I5101" s="19"/>
      <c r="J5101" s="19"/>
      <c r="M5101" s="7"/>
    </row>
    <row r="5102" spans="2:13" x14ac:dyDescent="0.25">
      <c r="B5102"/>
      <c r="C5102"/>
      <c r="D5102"/>
      <c r="E5102"/>
      <c r="F5102"/>
      <c r="G5102"/>
      <c r="H5102" s="19"/>
      <c r="I5102" s="19"/>
      <c r="J5102" s="19"/>
      <c r="M5102" s="7"/>
    </row>
    <row r="5103" spans="2:13" x14ac:dyDescent="0.25">
      <c r="B5103"/>
      <c r="C5103"/>
      <c r="D5103"/>
      <c r="E5103"/>
      <c r="F5103"/>
      <c r="G5103"/>
      <c r="H5103" s="19"/>
      <c r="I5103" s="19"/>
      <c r="J5103" s="19"/>
      <c r="M5103" s="7"/>
    </row>
    <row r="5104" spans="2:13" x14ac:dyDescent="0.25">
      <c r="B5104"/>
      <c r="C5104"/>
      <c r="D5104"/>
      <c r="E5104"/>
      <c r="F5104"/>
      <c r="G5104"/>
      <c r="H5104" s="19"/>
      <c r="I5104" s="19"/>
      <c r="J5104" s="19"/>
      <c r="M5104" s="7"/>
    </row>
    <row r="5105" spans="2:13" x14ac:dyDescent="0.25">
      <c r="B5105"/>
      <c r="C5105"/>
      <c r="D5105"/>
      <c r="E5105"/>
      <c r="F5105"/>
      <c r="G5105"/>
      <c r="H5105" s="19"/>
      <c r="I5105" s="19"/>
      <c r="J5105" s="19"/>
      <c r="M5105" s="7"/>
    </row>
    <row r="5106" spans="2:13" x14ac:dyDescent="0.25">
      <c r="B5106"/>
      <c r="C5106"/>
      <c r="D5106"/>
      <c r="E5106"/>
      <c r="F5106"/>
      <c r="G5106"/>
      <c r="H5106" s="19"/>
      <c r="I5106" s="19"/>
      <c r="J5106" s="19"/>
      <c r="M5106" s="7"/>
    </row>
    <row r="5107" spans="2:13" x14ac:dyDescent="0.25">
      <c r="B5107"/>
      <c r="C5107"/>
      <c r="D5107"/>
      <c r="E5107"/>
      <c r="F5107"/>
      <c r="G5107"/>
      <c r="H5107" s="19"/>
      <c r="I5107" s="19"/>
      <c r="J5107" s="19"/>
      <c r="M5107" s="7"/>
    </row>
    <row r="5108" spans="2:13" x14ac:dyDescent="0.25">
      <c r="B5108"/>
      <c r="C5108"/>
      <c r="D5108"/>
      <c r="E5108"/>
      <c r="F5108"/>
      <c r="G5108"/>
      <c r="H5108" s="19"/>
      <c r="I5108" s="19"/>
      <c r="J5108" s="19"/>
      <c r="M5108" s="7"/>
    </row>
    <row r="5109" spans="2:13" x14ac:dyDescent="0.25">
      <c r="B5109"/>
      <c r="C5109"/>
      <c r="D5109"/>
      <c r="E5109"/>
      <c r="F5109"/>
      <c r="G5109"/>
      <c r="H5109" s="19"/>
      <c r="I5109" s="19"/>
      <c r="J5109" s="19"/>
      <c r="M5109" s="7"/>
    </row>
    <row r="5110" spans="2:13" x14ac:dyDescent="0.25">
      <c r="B5110"/>
      <c r="C5110"/>
      <c r="D5110"/>
      <c r="E5110"/>
      <c r="F5110"/>
      <c r="G5110"/>
      <c r="H5110" s="19"/>
      <c r="I5110" s="19"/>
      <c r="J5110" s="19"/>
      <c r="M5110" s="7"/>
    </row>
    <row r="5111" spans="2:13" x14ac:dyDescent="0.25">
      <c r="B5111"/>
      <c r="C5111"/>
      <c r="D5111"/>
      <c r="E5111"/>
      <c r="F5111"/>
      <c r="G5111"/>
      <c r="H5111" s="19"/>
      <c r="I5111" s="19"/>
      <c r="J5111" s="19"/>
      <c r="M5111" s="7"/>
    </row>
    <row r="5112" spans="2:13" x14ac:dyDescent="0.25">
      <c r="B5112"/>
      <c r="C5112"/>
      <c r="D5112"/>
      <c r="E5112"/>
      <c r="F5112"/>
      <c r="G5112"/>
      <c r="H5112" s="19"/>
      <c r="I5112" s="19"/>
      <c r="J5112" s="19"/>
      <c r="M5112" s="7"/>
    </row>
    <row r="5113" spans="2:13" x14ac:dyDescent="0.25">
      <c r="B5113"/>
      <c r="C5113"/>
      <c r="D5113"/>
      <c r="E5113"/>
      <c r="F5113"/>
      <c r="G5113"/>
      <c r="H5113" s="19"/>
      <c r="I5113" s="19"/>
      <c r="J5113" s="19"/>
      <c r="M5113" s="7"/>
    </row>
    <row r="5114" spans="2:13" x14ac:dyDescent="0.25">
      <c r="B5114"/>
      <c r="C5114"/>
      <c r="D5114"/>
      <c r="E5114"/>
      <c r="F5114"/>
      <c r="G5114"/>
      <c r="H5114" s="19"/>
      <c r="I5114" s="19"/>
      <c r="J5114" s="19"/>
      <c r="M5114" s="7"/>
    </row>
    <row r="5115" spans="2:13" x14ac:dyDescent="0.25">
      <c r="B5115"/>
      <c r="C5115"/>
      <c r="D5115"/>
      <c r="E5115"/>
      <c r="F5115"/>
      <c r="G5115"/>
      <c r="H5115" s="19"/>
      <c r="I5115" s="19"/>
      <c r="J5115" s="19"/>
      <c r="M5115" s="7"/>
    </row>
    <row r="5116" spans="2:13" x14ac:dyDescent="0.25">
      <c r="B5116"/>
      <c r="C5116"/>
      <c r="D5116"/>
      <c r="E5116"/>
      <c r="F5116"/>
      <c r="G5116"/>
      <c r="H5116" s="19"/>
      <c r="I5116" s="19"/>
      <c r="J5116" s="19"/>
      <c r="M5116" s="7"/>
    </row>
    <row r="5117" spans="2:13" x14ac:dyDescent="0.25">
      <c r="B5117"/>
      <c r="C5117"/>
      <c r="D5117"/>
      <c r="E5117"/>
      <c r="F5117"/>
      <c r="G5117"/>
      <c r="H5117" s="19"/>
      <c r="I5117" s="19"/>
      <c r="J5117" s="19"/>
      <c r="M5117" s="7"/>
    </row>
    <row r="5118" spans="2:13" x14ac:dyDescent="0.25">
      <c r="B5118"/>
      <c r="C5118"/>
      <c r="D5118"/>
      <c r="E5118"/>
      <c r="F5118"/>
      <c r="G5118"/>
      <c r="H5118" s="19"/>
      <c r="I5118" s="19"/>
      <c r="J5118" s="19"/>
      <c r="M5118" s="7"/>
    </row>
    <row r="5119" spans="2:13" x14ac:dyDescent="0.25">
      <c r="B5119"/>
      <c r="C5119"/>
      <c r="D5119"/>
      <c r="E5119"/>
      <c r="F5119"/>
      <c r="G5119"/>
      <c r="H5119" s="19"/>
      <c r="I5119" s="19"/>
      <c r="J5119" s="19"/>
      <c r="M5119" s="7"/>
    </row>
    <row r="5120" spans="2:13" x14ac:dyDescent="0.25">
      <c r="B5120"/>
      <c r="C5120"/>
      <c r="D5120"/>
      <c r="E5120"/>
      <c r="F5120"/>
      <c r="G5120"/>
      <c r="H5120" s="19"/>
      <c r="I5120" s="19"/>
      <c r="J5120" s="19"/>
      <c r="M5120" s="7"/>
    </row>
    <row r="5121" spans="2:13" x14ac:dyDescent="0.25">
      <c r="B5121"/>
      <c r="C5121"/>
      <c r="D5121"/>
      <c r="E5121"/>
      <c r="F5121"/>
      <c r="G5121"/>
      <c r="H5121" s="19"/>
      <c r="I5121" s="19"/>
      <c r="J5121" s="19"/>
      <c r="M5121" s="7"/>
    </row>
    <row r="5122" spans="2:13" x14ac:dyDescent="0.25">
      <c r="B5122"/>
      <c r="C5122"/>
      <c r="D5122"/>
      <c r="E5122"/>
      <c r="F5122"/>
      <c r="G5122"/>
      <c r="H5122" s="19"/>
      <c r="I5122" s="19"/>
      <c r="J5122" s="19"/>
      <c r="M5122" s="7"/>
    </row>
    <row r="5123" spans="2:13" x14ac:dyDescent="0.25">
      <c r="B5123"/>
      <c r="C5123"/>
      <c r="D5123"/>
      <c r="E5123"/>
      <c r="F5123"/>
      <c r="G5123"/>
      <c r="H5123" s="19"/>
      <c r="I5123" s="19"/>
      <c r="J5123" s="19"/>
      <c r="M5123" s="7"/>
    </row>
    <row r="5124" spans="2:13" x14ac:dyDescent="0.25">
      <c r="B5124"/>
      <c r="C5124"/>
      <c r="D5124"/>
      <c r="E5124"/>
      <c r="F5124"/>
      <c r="G5124"/>
      <c r="H5124" s="19"/>
      <c r="I5124" s="19"/>
      <c r="J5124" s="19"/>
      <c r="M5124" s="7"/>
    </row>
    <row r="5125" spans="2:13" x14ac:dyDescent="0.25">
      <c r="B5125"/>
      <c r="C5125"/>
      <c r="D5125"/>
      <c r="E5125"/>
      <c r="F5125"/>
      <c r="G5125"/>
      <c r="H5125" s="19"/>
      <c r="I5125" s="19"/>
      <c r="J5125" s="19"/>
      <c r="M5125" s="7"/>
    </row>
    <row r="5126" spans="2:13" x14ac:dyDescent="0.25">
      <c r="B5126"/>
      <c r="C5126"/>
      <c r="D5126"/>
      <c r="E5126"/>
      <c r="F5126"/>
      <c r="G5126"/>
      <c r="H5126" s="19"/>
      <c r="I5126" s="19"/>
      <c r="J5126" s="19"/>
      <c r="M5126" s="7"/>
    </row>
    <row r="5127" spans="2:13" x14ac:dyDescent="0.25">
      <c r="B5127"/>
      <c r="C5127"/>
      <c r="D5127"/>
      <c r="E5127"/>
      <c r="F5127"/>
      <c r="G5127"/>
      <c r="H5127" s="19"/>
      <c r="I5127" s="19"/>
      <c r="J5127" s="19"/>
      <c r="M5127" s="7"/>
    </row>
    <row r="5128" spans="2:13" x14ac:dyDescent="0.25">
      <c r="B5128"/>
      <c r="C5128"/>
      <c r="D5128"/>
      <c r="E5128"/>
      <c r="F5128"/>
      <c r="G5128"/>
      <c r="H5128" s="19"/>
      <c r="I5128" s="19"/>
      <c r="J5128" s="19"/>
      <c r="M5128" s="7"/>
    </row>
    <row r="5129" spans="2:13" x14ac:dyDescent="0.25">
      <c r="B5129"/>
      <c r="C5129"/>
      <c r="D5129"/>
      <c r="E5129"/>
      <c r="F5129"/>
      <c r="G5129"/>
      <c r="H5129" s="19"/>
      <c r="I5129" s="19"/>
      <c r="J5129" s="19"/>
      <c r="M5129" s="7"/>
    </row>
    <row r="5130" spans="2:13" x14ac:dyDescent="0.25">
      <c r="B5130"/>
      <c r="C5130"/>
      <c r="D5130"/>
      <c r="E5130"/>
      <c r="F5130"/>
      <c r="G5130"/>
      <c r="H5130" s="19"/>
      <c r="I5130" s="19"/>
      <c r="J5130" s="19"/>
      <c r="M5130" s="7"/>
    </row>
    <row r="5131" spans="2:13" x14ac:dyDescent="0.25">
      <c r="B5131"/>
      <c r="C5131"/>
      <c r="D5131"/>
      <c r="E5131"/>
      <c r="F5131"/>
      <c r="G5131"/>
      <c r="H5131" s="19"/>
      <c r="I5131" s="19"/>
      <c r="J5131" s="19"/>
      <c r="M5131" s="7"/>
    </row>
    <row r="5132" spans="2:13" x14ac:dyDescent="0.25">
      <c r="B5132"/>
      <c r="C5132"/>
      <c r="D5132"/>
      <c r="E5132"/>
      <c r="F5132"/>
      <c r="G5132"/>
      <c r="H5132" s="19"/>
      <c r="I5132" s="19"/>
      <c r="J5132" s="19"/>
      <c r="M5132" s="7"/>
    </row>
    <row r="5133" spans="2:13" x14ac:dyDescent="0.25">
      <c r="B5133"/>
      <c r="C5133"/>
      <c r="D5133"/>
      <c r="E5133"/>
      <c r="F5133"/>
      <c r="G5133"/>
      <c r="H5133" s="19"/>
      <c r="I5133" s="19"/>
      <c r="J5133" s="19"/>
      <c r="M5133" s="7"/>
    </row>
    <row r="5134" spans="2:13" x14ac:dyDescent="0.25">
      <c r="B5134"/>
      <c r="C5134"/>
      <c r="D5134"/>
      <c r="E5134"/>
      <c r="F5134"/>
      <c r="G5134"/>
      <c r="H5134" s="19"/>
      <c r="I5134" s="19"/>
      <c r="J5134" s="19"/>
      <c r="M5134" s="7"/>
    </row>
    <row r="5135" spans="2:13" x14ac:dyDescent="0.25">
      <c r="B5135"/>
      <c r="C5135"/>
      <c r="D5135"/>
      <c r="E5135"/>
      <c r="F5135"/>
      <c r="G5135"/>
      <c r="H5135" s="19"/>
      <c r="I5135" s="19"/>
      <c r="J5135" s="19"/>
      <c r="M5135" s="7"/>
    </row>
    <row r="5136" spans="2:13" x14ac:dyDescent="0.25">
      <c r="B5136"/>
      <c r="C5136"/>
      <c r="D5136"/>
      <c r="E5136"/>
      <c r="F5136"/>
      <c r="G5136"/>
      <c r="H5136" s="19"/>
      <c r="I5136" s="19"/>
      <c r="J5136" s="19"/>
      <c r="M5136" s="7"/>
    </row>
    <row r="5137" spans="2:13" x14ac:dyDescent="0.25">
      <c r="B5137"/>
      <c r="C5137"/>
      <c r="D5137"/>
      <c r="E5137"/>
      <c r="F5137"/>
      <c r="G5137"/>
      <c r="H5137" s="19"/>
      <c r="I5137" s="19"/>
      <c r="J5137" s="19"/>
      <c r="M5137" s="7"/>
    </row>
    <row r="5138" spans="2:13" x14ac:dyDescent="0.25">
      <c r="B5138"/>
      <c r="C5138"/>
      <c r="D5138"/>
      <c r="E5138"/>
      <c r="F5138"/>
      <c r="G5138"/>
      <c r="H5138" s="19"/>
      <c r="I5138" s="19"/>
      <c r="J5138" s="19"/>
      <c r="M5138" s="7"/>
    </row>
    <row r="5139" spans="2:13" x14ac:dyDescent="0.25">
      <c r="B5139"/>
      <c r="C5139"/>
      <c r="D5139"/>
      <c r="E5139"/>
      <c r="F5139"/>
      <c r="G5139"/>
      <c r="H5139" s="19"/>
      <c r="I5139" s="19"/>
      <c r="J5139" s="19"/>
      <c r="M5139" s="7"/>
    </row>
    <row r="5140" spans="2:13" x14ac:dyDescent="0.25">
      <c r="B5140"/>
      <c r="C5140"/>
      <c r="D5140"/>
      <c r="E5140"/>
      <c r="F5140"/>
      <c r="G5140"/>
      <c r="H5140" s="19"/>
      <c r="I5140" s="19"/>
      <c r="J5140" s="19"/>
      <c r="M5140" s="7"/>
    </row>
    <row r="5141" spans="2:13" x14ac:dyDescent="0.25">
      <c r="B5141"/>
      <c r="C5141"/>
      <c r="D5141"/>
      <c r="E5141"/>
      <c r="F5141"/>
      <c r="G5141"/>
      <c r="H5141" s="19"/>
      <c r="I5141" s="19"/>
      <c r="J5141" s="19"/>
      <c r="M5141" s="7"/>
    </row>
    <row r="5142" spans="2:13" x14ac:dyDescent="0.25">
      <c r="B5142"/>
      <c r="C5142"/>
      <c r="D5142"/>
      <c r="E5142"/>
      <c r="F5142"/>
      <c r="G5142"/>
      <c r="H5142" s="19"/>
      <c r="I5142" s="19"/>
      <c r="J5142" s="19"/>
      <c r="M5142" s="7"/>
    </row>
    <row r="5143" spans="2:13" x14ac:dyDescent="0.25">
      <c r="B5143"/>
      <c r="C5143"/>
      <c r="D5143"/>
      <c r="E5143"/>
      <c r="F5143"/>
      <c r="G5143"/>
      <c r="H5143" s="19"/>
      <c r="I5143" s="19"/>
      <c r="J5143" s="19"/>
      <c r="M5143" s="7"/>
    </row>
    <row r="5144" spans="2:13" x14ac:dyDescent="0.25">
      <c r="B5144"/>
      <c r="C5144"/>
      <c r="D5144"/>
      <c r="E5144"/>
      <c r="F5144"/>
      <c r="G5144"/>
      <c r="H5144" s="19"/>
      <c r="I5144" s="19"/>
      <c r="J5144" s="19"/>
      <c r="M5144" s="7"/>
    </row>
    <row r="5145" spans="2:13" x14ac:dyDescent="0.25">
      <c r="B5145"/>
      <c r="C5145"/>
      <c r="D5145"/>
      <c r="E5145"/>
      <c r="F5145"/>
      <c r="G5145"/>
      <c r="H5145" s="19"/>
      <c r="I5145" s="19"/>
      <c r="J5145" s="19"/>
      <c r="M5145" s="7"/>
    </row>
    <row r="5146" spans="2:13" x14ac:dyDescent="0.25">
      <c r="B5146"/>
      <c r="C5146"/>
      <c r="D5146"/>
      <c r="E5146"/>
      <c r="F5146"/>
      <c r="G5146"/>
      <c r="H5146" s="19"/>
      <c r="I5146" s="19"/>
      <c r="J5146" s="19"/>
      <c r="M5146" s="7"/>
    </row>
    <row r="5147" spans="2:13" x14ac:dyDescent="0.25">
      <c r="B5147"/>
      <c r="C5147"/>
      <c r="D5147"/>
      <c r="E5147"/>
      <c r="F5147"/>
      <c r="G5147"/>
      <c r="H5147" s="19"/>
      <c r="I5147" s="19"/>
      <c r="J5147" s="19"/>
      <c r="M5147" s="7"/>
    </row>
    <row r="5148" spans="2:13" x14ac:dyDescent="0.25">
      <c r="B5148"/>
      <c r="C5148"/>
      <c r="D5148"/>
      <c r="E5148"/>
      <c r="F5148"/>
      <c r="G5148"/>
      <c r="H5148" s="19"/>
      <c r="I5148" s="19"/>
      <c r="J5148" s="19"/>
      <c r="M5148" s="7"/>
    </row>
    <row r="5149" spans="2:13" x14ac:dyDescent="0.25">
      <c r="B5149"/>
      <c r="C5149"/>
      <c r="D5149"/>
      <c r="E5149"/>
      <c r="F5149"/>
      <c r="G5149"/>
      <c r="H5149" s="19"/>
      <c r="I5149" s="19"/>
      <c r="J5149" s="19"/>
      <c r="M5149" s="7"/>
    </row>
    <row r="5150" spans="2:13" x14ac:dyDescent="0.25">
      <c r="B5150"/>
      <c r="C5150"/>
      <c r="D5150"/>
      <c r="E5150"/>
      <c r="F5150"/>
      <c r="G5150"/>
      <c r="H5150" s="19"/>
      <c r="I5150" s="19"/>
      <c r="J5150" s="19"/>
      <c r="M5150" s="7"/>
    </row>
    <row r="5151" spans="2:13" x14ac:dyDescent="0.25">
      <c r="B5151"/>
      <c r="C5151"/>
      <c r="D5151"/>
      <c r="E5151"/>
      <c r="F5151"/>
      <c r="G5151"/>
      <c r="H5151" s="19"/>
      <c r="I5151" s="19"/>
      <c r="J5151" s="19"/>
      <c r="M5151" s="7"/>
    </row>
    <row r="5152" spans="2:13" x14ac:dyDescent="0.25">
      <c r="B5152"/>
      <c r="C5152"/>
      <c r="D5152"/>
      <c r="E5152"/>
      <c r="F5152"/>
      <c r="G5152"/>
      <c r="H5152" s="19"/>
      <c r="I5152" s="19"/>
      <c r="J5152" s="19"/>
      <c r="M5152" s="7"/>
    </row>
    <row r="5153" spans="2:13" x14ac:dyDescent="0.25">
      <c r="B5153"/>
      <c r="C5153"/>
      <c r="D5153"/>
      <c r="E5153"/>
      <c r="F5153"/>
      <c r="G5153"/>
      <c r="H5153" s="19"/>
      <c r="I5153" s="19"/>
      <c r="J5153" s="19"/>
      <c r="M5153" s="7"/>
    </row>
    <row r="5154" spans="2:13" x14ac:dyDescent="0.25">
      <c r="B5154"/>
      <c r="C5154"/>
      <c r="D5154"/>
      <c r="E5154"/>
      <c r="F5154"/>
      <c r="G5154"/>
      <c r="H5154" s="19"/>
      <c r="I5154" s="19"/>
      <c r="J5154" s="19"/>
      <c r="M5154" s="7"/>
    </row>
    <row r="5155" spans="2:13" x14ac:dyDescent="0.25">
      <c r="B5155"/>
      <c r="C5155"/>
      <c r="D5155"/>
      <c r="E5155"/>
      <c r="F5155"/>
      <c r="G5155"/>
      <c r="H5155" s="19"/>
      <c r="I5155" s="19"/>
      <c r="J5155" s="19"/>
      <c r="M5155" s="7"/>
    </row>
    <row r="5156" spans="2:13" x14ac:dyDescent="0.25">
      <c r="B5156"/>
      <c r="C5156"/>
      <c r="D5156"/>
      <c r="E5156"/>
      <c r="F5156"/>
      <c r="G5156"/>
      <c r="H5156" s="19"/>
      <c r="I5156" s="19"/>
      <c r="J5156" s="19"/>
      <c r="M5156" s="7"/>
    </row>
    <row r="5157" spans="2:13" x14ac:dyDescent="0.25">
      <c r="B5157"/>
      <c r="C5157"/>
      <c r="D5157"/>
      <c r="E5157"/>
      <c r="F5157"/>
      <c r="G5157"/>
      <c r="H5157" s="19"/>
      <c r="I5157" s="19"/>
      <c r="J5157" s="19"/>
      <c r="M5157" s="7"/>
    </row>
    <row r="5158" spans="2:13" x14ac:dyDescent="0.25">
      <c r="B5158"/>
      <c r="C5158"/>
      <c r="D5158"/>
      <c r="E5158"/>
      <c r="F5158"/>
      <c r="G5158"/>
      <c r="H5158" s="19"/>
      <c r="I5158" s="19"/>
      <c r="J5158" s="19"/>
      <c r="M5158" s="7"/>
    </row>
    <row r="5159" spans="2:13" x14ac:dyDescent="0.25">
      <c r="B5159"/>
      <c r="C5159"/>
      <c r="D5159"/>
      <c r="E5159"/>
      <c r="F5159"/>
      <c r="G5159"/>
      <c r="H5159" s="19"/>
      <c r="I5159" s="19"/>
      <c r="J5159" s="19"/>
      <c r="M5159" s="7"/>
    </row>
    <row r="5160" spans="2:13" x14ac:dyDescent="0.25">
      <c r="B5160"/>
      <c r="C5160"/>
      <c r="D5160"/>
      <c r="E5160"/>
      <c r="F5160"/>
      <c r="G5160"/>
      <c r="H5160" s="19"/>
      <c r="I5160" s="19"/>
      <c r="J5160" s="19"/>
      <c r="M5160" s="7"/>
    </row>
    <row r="5161" spans="2:13" x14ac:dyDescent="0.25">
      <c r="B5161"/>
      <c r="C5161"/>
      <c r="D5161"/>
      <c r="E5161"/>
      <c r="F5161"/>
      <c r="G5161"/>
      <c r="H5161" s="19"/>
      <c r="I5161" s="19"/>
      <c r="J5161" s="19"/>
      <c r="M5161" s="7"/>
    </row>
    <row r="5162" spans="2:13" x14ac:dyDescent="0.25">
      <c r="B5162"/>
      <c r="C5162"/>
      <c r="D5162"/>
      <c r="E5162"/>
      <c r="F5162"/>
      <c r="G5162"/>
      <c r="H5162" s="19"/>
      <c r="I5162" s="19"/>
      <c r="J5162" s="19"/>
      <c r="M5162" s="7"/>
    </row>
    <row r="5163" spans="2:13" x14ac:dyDescent="0.25">
      <c r="B5163"/>
      <c r="C5163"/>
      <c r="D5163"/>
      <c r="E5163"/>
      <c r="F5163"/>
      <c r="G5163"/>
      <c r="H5163" s="19"/>
      <c r="I5163" s="19"/>
      <c r="J5163" s="19"/>
      <c r="M5163" s="7"/>
    </row>
    <row r="5164" spans="2:13" x14ac:dyDescent="0.25">
      <c r="B5164"/>
      <c r="C5164"/>
      <c r="D5164"/>
      <c r="E5164"/>
      <c r="F5164"/>
      <c r="G5164"/>
      <c r="H5164" s="19"/>
      <c r="I5164" s="19"/>
      <c r="J5164" s="19"/>
      <c r="M5164" s="7"/>
    </row>
    <row r="5165" spans="2:13" x14ac:dyDescent="0.25">
      <c r="B5165"/>
      <c r="C5165"/>
      <c r="D5165"/>
      <c r="E5165"/>
      <c r="F5165"/>
      <c r="G5165"/>
      <c r="H5165" s="19"/>
      <c r="I5165" s="19"/>
      <c r="J5165" s="19"/>
      <c r="M5165" s="7"/>
    </row>
    <row r="5166" spans="2:13" x14ac:dyDescent="0.25">
      <c r="B5166"/>
      <c r="C5166"/>
      <c r="D5166"/>
      <c r="E5166"/>
      <c r="F5166"/>
      <c r="G5166"/>
      <c r="H5166" s="19"/>
      <c r="I5166" s="19"/>
      <c r="J5166" s="19"/>
      <c r="M5166" s="7"/>
    </row>
    <row r="5167" spans="2:13" x14ac:dyDescent="0.25">
      <c r="B5167"/>
      <c r="C5167"/>
      <c r="D5167"/>
      <c r="E5167"/>
      <c r="F5167"/>
      <c r="G5167"/>
      <c r="H5167" s="19"/>
      <c r="I5167" s="19"/>
      <c r="J5167" s="19"/>
      <c r="M5167" s="7"/>
    </row>
    <row r="5168" spans="2:13" x14ac:dyDescent="0.25">
      <c r="B5168"/>
      <c r="C5168"/>
      <c r="D5168"/>
      <c r="E5168"/>
      <c r="F5168"/>
      <c r="G5168"/>
      <c r="H5168" s="19"/>
      <c r="I5168" s="19"/>
      <c r="J5168" s="19"/>
      <c r="M5168" s="7"/>
    </row>
    <row r="5169" spans="2:13" x14ac:dyDescent="0.25">
      <c r="B5169"/>
      <c r="C5169"/>
      <c r="D5169"/>
      <c r="E5169"/>
      <c r="F5169"/>
      <c r="G5169"/>
      <c r="H5169" s="19"/>
      <c r="I5169" s="19"/>
      <c r="J5169" s="19"/>
      <c r="M5169" s="7"/>
    </row>
    <row r="5170" spans="2:13" x14ac:dyDescent="0.25">
      <c r="B5170"/>
      <c r="C5170"/>
      <c r="D5170"/>
      <c r="E5170"/>
      <c r="F5170"/>
      <c r="G5170"/>
      <c r="H5170" s="19"/>
      <c r="I5170" s="19"/>
      <c r="J5170" s="19"/>
      <c r="M5170" s="7"/>
    </row>
    <row r="5171" spans="2:13" x14ac:dyDescent="0.25">
      <c r="B5171"/>
      <c r="C5171"/>
      <c r="D5171"/>
      <c r="E5171"/>
      <c r="F5171"/>
      <c r="G5171"/>
      <c r="H5171" s="19"/>
      <c r="I5171" s="19"/>
      <c r="J5171" s="19"/>
      <c r="M5171" s="7"/>
    </row>
    <row r="5172" spans="2:13" x14ac:dyDescent="0.25">
      <c r="B5172"/>
      <c r="C5172"/>
      <c r="D5172"/>
      <c r="E5172"/>
      <c r="F5172"/>
      <c r="G5172"/>
      <c r="H5172" s="19"/>
      <c r="I5172" s="19"/>
      <c r="J5172" s="19"/>
      <c r="M5172" s="7"/>
    </row>
    <row r="5173" spans="2:13" x14ac:dyDescent="0.25">
      <c r="B5173"/>
      <c r="C5173"/>
      <c r="D5173"/>
      <c r="E5173"/>
      <c r="F5173"/>
      <c r="G5173"/>
      <c r="H5173" s="19"/>
      <c r="I5173" s="19"/>
      <c r="J5173" s="19"/>
      <c r="M5173" s="7"/>
    </row>
    <row r="5174" spans="2:13" x14ac:dyDescent="0.25">
      <c r="B5174"/>
      <c r="C5174"/>
      <c r="D5174"/>
      <c r="E5174"/>
      <c r="F5174"/>
      <c r="G5174"/>
      <c r="H5174" s="19"/>
      <c r="I5174" s="19"/>
      <c r="J5174" s="19"/>
      <c r="M5174" s="7"/>
    </row>
    <row r="5175" spans="2:13" x14ac:dyDescent="0.25">
      <c r="B5175"/>
      <c r="C5175"/>
      <c r="D5175"/>
      <c r="E5175"/>
      <c r="F5175"/>
      <c r="G5175"/>
      <c r="H5175" s="19"/>
      <c r="I5175" s="19"/>
      <c r="J5175" s="19"/>
      <c r="M5175" s="7"/>
    </row>
    <row r="5176" spans="2:13" x14ac:dyDescent="0.25">
      <c r="B5176"/>
      <c r="C5176"/>
      <c r="D5176"/>
      <c r="E5176"/>
      <c r="F5176"/>
      <c r="G5176"/>
      <c r="H5176" s="19"/>
      <c r="I5176" s="19"/>
      <c r="J5176" s="19"/>
      <c r="M5176" s="7"/>
    </row>
    <row r="5177" spans="2:13" x14ac:dyDescent="0.25">
      <c r="B5177"/>
      <c r="C5177"/>
      <c r="D5177"/>
      <c r="E5177"/>
      <c r="F5177"/>
      <c r="G5177"/>
      <c r="H5177" s="19"/>
      <c r="I5177" s="19"/>
      <c r="J5177" s="19"/>
      <c r="M5177" s="7"/>
    </row>
    <row r="5178" spans="2:13" x14ac:dyDescent="0.25">
      <c r="B5178"/>
      <c r="C5178"/>
      <c r="D5178"/>
      <c r="E5178"/>
      <c r="F5178"/>
      <c r="G5178"/>
      <c r="H5178" s="19"/>
      <c r="I5178" s="19"/>
      <c r="J5178" s="19"/>
      <c r="M5178" s="7"/>
    </row>
    <row r="5179" spans="2:13" x14ac:dyDescent="0.25">
      <c r="B5179"/>
      <c r="C5179"/>
      <c r="D5179"/>
      <c r="E5179"/>
      <c r="F5179"/>
      <c r="G5179"/>
      <c r="H5179" s="19"/>
      <c r="I5179" s="19"/>
      <c r="J5179" s="19"/>
      <c r="M5179" s="7"/>
    </row>
    <row r="5180" spans="2:13" x14ac:dyDescent="0.25">
      <c r="B5180"/>
      <c r="C5180"/>
      <c r="D5180"/>
      <c r="E5180"/>
      <c r="F5180"/>
      <c r="G5180"/>
      <c r="H5180" s="19"/>
      <c r="I5180" s="19"/>
      <c r="J5180" s="19"/>
      <c r="M5180" s="7"/>
    </row>
    <row r="5181" spans="2:13" x14ac:dyDescent="0.25">
      <c r="B5181"/>
      <c r="C5181"/>
      <c r="D5181"/>
      <c r="E5181"/>
      <c r="F5181"/>
      <c r="G5181"/>
      <c r="H5181" s="19"/>
      <c r="I5181" s="19"/>
      <c r="J5181" s="19"/>
      <c r="M5181" s="7"/>
    </row>
    <row r="5182" spans="2:13" x14ac:dyDescent="0.25">
      <c r="B5182"/>
      <c r="C5182"/>
      <c r="D5182"/>
      <c r="E5182"/>
      <c r="F5182"/>
      <c r="G5182"/>
      <c r="H5182" s="19"/>
      <c r="I5182" s="19"/>
      <c r="J5182" s="19"/>
      <c r="M5182" s="7"/>
    </row>
    <row r="5183" spans="2:13" x14ac:dyDescent="0.25">
      <c r="B5183"/>
      <c r="C5183"/>
      <c r="D5183"/>
      <c r="E5183"/>
      <c r="F5183"/>
      <c r="G5183"/>
      <c r="H5183" s="19"/>
      <c r="I5183" s="19"/>
      <c r="J5183" s="19"/>
      <c r="M5183" s="7"/>
    </row>
    <row r="5184" spans="2:13" x14ac:dyDescent="0.25">
      <c r="B5184"/>
      <c r="C5184"/>
      <c r="D5184"/>
      <c r="E5184"/>
      <c r="F5184"/>
      <c r="G5184"/>
      <c r="H5184" s="19"/>
      <c r="I5184" s="19"/>
      <c r="J5184" s="19"/>
      <c r="M5184" s="7"/>
    </row>
    <row r="5185" spans="2:13" x14ac:dyDescent="0.25">
      <c r="B5185"/>
      <c r="C5185"/>
      <c r="D5185"/>
      <c r="E5185"/>
      <c r="F5185"/>
      <c r="G5185"/>
      <c r="H5185" s="19"/>
      <c r="I5185" s="19"/>
      <c r="J5185" s="19"/>
      <c r="M5185" s="7"/>
    </row>
    <row r="5186" spans="2:13" x14ac:dyDescent="0.25">
      <c r="B5186"/>
      <c r="C5186"/>
      <c r="D5186"/>
      <c r="E5186"/>
      <c r="F5186"/>
      <c r="G5186"/>
      <c r="H5186" s="19"/>
      <c r="I5186" s="19"/>
      <c r="J5186" s="19"/>
      <c r="M5186" s="7"/>
    </row>
    <row r="5187" spans="2:13" x14ac:dyDescent="0.25">
      <c r="B5187"/>
      <c r="C5187"/>
      <c r="D5187"/>
      <c r="E5187"/>
      <c r="F5187"/>
      <c r="G5187"/>
      <c r="H5187" s="19"/>
      <c r="I5187" s="19"/>
      <c r="J5187" s="19"/>
      <c r="M5187" s="7"/>
    </row>
    <row r="5188" spans="2:13" x14ac:dyDescent="0.25">
      <c r="B5188"/>
      <c r="C5188"/>
      <c r="D5188"/>
      <c r="E5188"/>
      <c r="F5188"/>
      <c r="G5188"/>
      <c r="H5188" s="19"/>
      <c r="I5188" s="19"/>
      <c r="J5188" s="19"/>
      <c r="M5188" s="7"/>
    </row>
    <row r="5189" spans="2:13" x14ac:dyDescent="0.25">
      <c r="B5189"/>
      <c r="C5189"/>
      <c r="D5189"/>
      <c r="E5189"/>
      <c r="F5189"/>
      <c r="G5189"/>
      <c r="H5189" s="19"/>
      <c r="I5189" s="19"/>
      <c r="J5189" s="19"/>
      <c r="M5189" s="7"/>
    </row>
    <row r="5190" spans="2:13" x14ac:dyDescent="0.25">
      <c r="B5190"/>
      <c r="C5190"/>
      <c r="D5190"/>
      <c r="E5190"/>
      <c r="F5190"/>
      <c r="G5190"/>
      <c r="H5190" s="19"/>
      <c r="I5190" s="19"/>
      <c r="J5190" s="19"/>
      <c r="M5190" s="7"/>
    </row>
    <row r="5191" spans="2:13" x14ac:dyDescent="0.25">
      <c r="B5191"/>
      <c r="C5191"/>
      <c r="D5191"/>
      <c r="E5191"/>
      <c r="F5191"/>
      <c r="G5191"/>
      <c r="H5191" s="19"/>
      <c r="I5191" s="19"/>
      <c r="J5191" s="19"/>
      <c r="M5191" s="7"/>
    </row>
    <row r="5192" spans="2:13" x14ac:dyDescent="0.25">
      <c r="B5192"/>
      <c r="C5192"/>
      <c r="D5192"/>
      <c r="E5192"/>
      <c r="F5192"/>
      <c r="G5192"/>
      <c r="H5192" s="19"/>
      <c r="I5192" s="19"/>
      <c r="J5192" s="19"/>
      <c r="M5192" s="7"/>
    </row>
    <row r="5193" spans="2:13" x14ac:dyDescent="0.25">
      <c r="B5193"/>
      <c r="C5193"/>
      <c r="D5193"/>
      <c r="E5193"/>
      <c r="F5193"/>
      <c r="G5193"/>
      <c r="H5193" s="19"/>
      <c r="I5193" s="19"/>
      <c r="J5193" s="19"/>
      <c r="M5193" s="7"/>
    </row>
    <row r="5194" spans="2:13" x14ac:dyDescent="0.25">
      <c r="B5194"/>
      <c r="C5194"/>
      <c r="D5194"/>
      <c r="E5194"/>
      <c r="F5194"/>
      <c r="G5194"/>
      <c r="H5194" s="19"/>
      <c r="I5194" s="19"/>
      <c r="J5194" s="19"/>
      <c r="M5194" s="7"/>
    </row>
    <row r="5195" spans="2:13" x14ac:dyDescent="0.25">
      <c r="B5195"/>
      <c r="C5195"/>
      <c r="D5195"/>
      <c r="E5195"/>
      <c r="F5195"/>
      <c r="G5195"/>
      <c r="H5195" s="19"/>
      <c r="I5195" s="19"/>
      <c r="J5195" s="19"/>
      <c r="M5195" s="7"/>
    </row>
    <row r="5196" spans="2:13" x14ac:dyDescent="0.25">
      <c r="B5196"/>
      <c r="C5196"/>
      <c r="D5196"/>
      <c r="E5196"/>
      <c r="F5196"/>
      <c r="G5196"/>
      <c r="H5196" s="19"/>
      <c r="I5196" s="19"/>
      <c r="J5196" s="19"/>
      <c r="M5196" s="7"/>
    </row>
    <row r="5197" spans="2:13" x14ac:dyDescent="0.25">
      <c r="B5197"/>
      <c r="C5197"/>
      <c r="D5197"/>
      <c r="E5197"/>
      <c r="F5197"/>
      <c r="G5197"/>
      <c r="H5197" s="19"/>
      <c r="I5197" s="19"/>
      <c r="J5197" s="19"/>
      <c r="M5197" s="7"/>
    </row>
    <row r="5198" spans="2:13" x14ac:dyDescent="0.25">
      <c r="B5198"/>
      <c r="C5198"/>
      <c r="D5198"/>
      <c r="E5198"/>
      <c r="F5198"/>
      <c r="G5198"/>
      <c r="H5198" s="19"/>
      <c r="I5198" s="19"/>
      <c r="J5198" s="19"/>
      <c r="M5198" s="7"/>
    </row>
    <row r="5199" spans="2:13" x14ac:dyDescent="0.25">
      <c r="B5199"/>
      <c r="C5199"/>
      <c r="D5199"/>
      <c r="E5199"/>
      <c r="F5199"/>
      <c r="G5199"/>
      <c r="H5199" s="19"/>
      <c r="I5199" s="19"/>
      <c r="J5199" s="19"/>
      <c r="M5199" s="7"/>
    </row>
    <row r="5200" spans="2:13" x14ac:dyDescent="0.25">
      <c r="B5200"/>
      <c r="C5200"/>
      <c r="D5200"/>
      <c r="E5200"/>
      <c r="F5200"/>
      <c r="G5200"/>
      <c r="H5200" s="19"/>
      <c r="I5200" s="19"/>
      <c r="J5200" s="19"/>
      <c r="M5200" s="7"/>
    </row>
    <row r="5201" spans="2:13" x14ac:dyDescent="0.25">
      <c r="B5201"/>
      <c r="C5201"/>
      <c r="D5201"/>
      <c r="E5201"/>
      <c r="F5201"/>
      <c r="G5201"/>
      <c r="H5201" s="19"/>
      <c r="I5201" s="19"/>
      <c r="J5201" s="19"/>
      <c r="M5201" s="7"/>
    </row>
    <row r="5202" spans="2:13" x14ac:dyDescent="0.25">
      <c r="B5202"/>
      <c r="C5202"/>
      <c r="D5202"/>
      <c r="E5202"/>
      <c r="F5202"/>
      <c r="G5202"/>
      <c r="H5202" s="19"/>
      <c r="I5202" s="19"/>
      <c r="J5202" s="19"/>
      <c r="M5202" s="7"/>
    </row>
    <row r="5203" spans="2:13" x14ac:dyDescent="0.25">
      <c r="B5203"/>
      <c r="C5203"/>
      <c r="D5203"/>
      <c r="E5203"/>
      <c r="F5203"/>
      <c r="G5203"/>
      <c r="H5203" s="19"/>
      <c r="I5203" s="19"/>
      <c r="J5203" s="19"/>
      <c r="M5203" s="7"/>
    </row>
    <row r="5204" spans="2:13" x14ac:dyDescent="0.25">
      <c r="B5204"/>
      <c r="C5204"/>
      <c r="D5204"/>
      <c r="E5204"/>
      <c r="F5204"/>
      <c r="G5204"/>
      <c r="H5204" s="19"/>
      <c r="I5204" s="19"/>
      <c r="J5204" s="19"/>
      <c r="M5204" s="7"/>
    </row>
    <row r="5205" spans="2:13" x14ac:dyDescent="0.25">
      <c r="B5205"/>
      <c r="C5205"/>
      <c r="D5205"/>
      <c r="E5205"/>
      <c r="F5205"/>
      <c r="G5205"/>
      <c r="H5205" s="19"/>
      <c r="I5205" s="19"/>
      <c r="J5205" s="19"/>
      <c r="M5205" s="7"/>
    </row>
    <row r="5206" spans="2:13" x14ac:dyDescent="0.25">
      <c r="B5206"/>
      <c r="C5206"/>
      <c r="D5206"/>
      <c r="E5206"/>
      <c r="F5206"/>
      <c r="G5206"/>
      <c r="H5206" s="19"/>
      <c r="I5206" s="19"/>
      <c r="J5206" s="19"/>
      <c r="M5206" s="7"/>
    </row>
    <row r="5207" spans="2:13" x14ac:dyDescent="0.25">
      <c r="B5207"/>
      <c r="C5207"/>
      <c r="D5207"/>
      <c r="E5207"/>
      <c r="F5207"/>
      <c r="G5207"/>
      <c r="H5207" s="19"/>
      <c r="I5207" s="19"/>
      <c r="J5207" s="19"/>
      <c r="M5207" s="7"/>
    </row>
    <row r="5208" spans="2:13" x14ac:dyDescent="0.25">
      <c r="B5208"/>
      <c r="C5208"/>
      <c r="D5208"/>
      <c r="E5208"/>
      <c r="F5208"/>
      <c r="G5208"/>
      <c r="H5208" s="19"/>
      <c r="I5208" s="19"/>
      <c r="J5208" s="19"/>
      <c r="M5208" s="7"/>
    </row>
    <row r="5209" spans="2:13" x14ac:dyDescent="0.25">
      <c r="B5209"/>
      <c r="C5209"/>
      <c r="D5209"/>
      <c r="E5209"/>
      <c r="F5209"/>
      <c r="G5209"/>
      <c r="H5209" s="19"/>
      <c r="I5209" s="19"/>
      <c r="J5209" s="19"/>
      <c r="M5209" s="7"/>
    </row>
    <row r="5210" spans="2:13" x14ac:dyDescent="0.25">
      <c r="B5210"/>
      <c r="C5210"/>
      <c r="D5210"/>
      <c r="E5210"/>
      <c r="F5210"/>
      <c r="G5210"/>
      <c r="H5210" s="19"/>
      <c r="I5210" s="19"/>
      <c r="J5210" s="19"/>
      <c r="M5210" s="7"/>
    </row>
    <row r="5211" spans="2:13" x14ac:dyDescent="0.25">
      <c r="B5211"/>
      <c r="C5211"/>
      <c r="D5211"/>
      <c r="E5211"/>
      <c r="F5211"/>
      <c r="G5211"/>
      <c r="H5211" s="19"/>
      <c r="I5211" s="19"/>
      <c r="J5211" s="19"/>
      <c r="M5211" s="7"/>
    </row>
    <row r="5212" spans="2:13" x14ac:dyDescent="0.25">
      <c r="B5212"/>
      <c r="C5212"/>
      <c r="D5212"/>
      <c r="E5212"/>
      <c r="F5212"/>
      <c r="G5212"/>
      <c r="H5212" s="19"/>
      <c r="I5212" s="19"/>
      <c r="J5212" s="19"/>
      <c r="M5212" s="7"/>
    </row>
    <row r="5213" spans="2:13" x14ac:dyDescent="0.25">
      <c r="B5213"/>
      <c r="C5213"/>
      <c r="D5213"/>
      <c r="E5213"/>
      <c r="F5213"/>
      <c r="G5213"/>
      <c r="H5213" s="19"/>
      <c r="I5213" s="19"/>
      <c r="J5213" s="19"/>
      <c r="M5213" s="7"/>
    </row>
    <row r="5214" spans="2:13" x14ac:dyDescent="0.25">
      <c r="B5214"/>
      <c r="C5214"/>
      <c r="D5214"/>
      <c r="E5214"/>
      <c r="F5214"/>
      <c r="G5214"/>
      <c r="H5214" s="19"/>
      <c r="I5214" s="19"/>
      <c r="J5214" s="19"/>
      <c r="M5214" s="7"/>
    </row>
    <row r="5215" spans="2:13" x14ac:dyDescent="0.25">
      <c r="B5215"/>
      <c r="C5215"/>
      <c r="D5215"/>
      <c r="E5215"/>
      <c r="F5215"/>
      <c r="G5215"/>
      <c r="H5215" s="19"/>
      <c r="I5215" s="19"/>
      <c r="J5215" s="19"/>
      <c r="M5215" s="7"/>
    </row>
    <row r="5216" spans="2:13" x14ac:dyDescent="0.25">
      <c r="B5216"/>
      <c r="C5216"/>
      <c r="D5216"/>
      <c r="E5216"/>
      <c r="F5216"/>
      <c r="G5216"/>
      <c r="H5216" s="19"/>
      <c r="I5216" s="19"/>
      <c r="J5216" s="19"/>
      <c r="M5216" s="7"/>
    </row>
    <row r="5217" spans="2:13" x14ac:dyDescent="0.25">
      <c r="B5217"/>
      <c r="C5217"/>
      <c r="D5217"/>
      <c r="E5217"/>
      <c r="F5217"/>
      <c r="G5217"/>
      <c r="H5217" s="19"/>
      <c r="I5217" s="19"/>
      <c r="J5217" s="19"/>
      <c r="M5217" s="7"/>
    </row>
    <row r="5218" spans="2:13" x14ac:dyDescent="0.25">
      <c r="B5218"/>
      <c r="C5218"/>
      <c r="D5218"/>
      <c r="E5218"/>
      <c r="F5218"/>
      <c r="G5218"/>
      <c r="H5218" s="19"/>
      <c r="I5218" s="19"/>
      <c r="J5218" s="19"/>
      <c r="M5218" s="7"/>
    </row>
    <row r="5219" spans="2:13" x14ac:dyDescent="0.25">
      <c r="B5219"/>
      <c r="C5219"/>
      <c r="D5219"/>
      <c r="E5219"/>
      <c r="F5219"/>
      <c r="G5219"/>
      <c r="H5219" s="19"/>
      <c r="I5219" s="19"/>
      <c r="J5219" s="19"/>
      <c r="M5219" s="7"/>
    </row>
    <row r="5220" spans="2:13" x14ac:dyDescent="0.25">
      <c r="B5220"/>
      <c r="C5220"/>
      <c r="D5220"/>
      <c r="E5220"/>
      <c r="F5220"/>
      <c r="G5220"/>
      <c r="H5220" s="19"/>
      <c r="I5220" s="19"/>
      <c r="J5220" s="19"/>
      <c r="M5220" s="7"/>
    </row>
    <row r="5221" spans="2:13" x14ac:dyDescent="0.25">
      <c r="B5221"/>
      <c r="C5221"/>
      <c r="D5221"/>
      <c r="E5221"/>
      <c r="F5221"/>
      <c r="G5221"/>
      <c r="H5221" s="19"/>
      <c r="I5221" s="19"/>
      <c r="J5221" s="19"/>
      <c r="M5221" s="7"/>
    </row>
    <row r="5222" spans="2:13" x14ac:dyDescent="0.25">
      <c r="B5222"/>
      <c r="C5222"/>
      <c r="D5222"/>
      <c r="E5222"/>
      <c r="F5222"/>
      <c r="G5222"/>
      <c r="H5222" s="19"/>
      <c r="I5222" s="19"/>
      <c r="J5222" s="19"/>
      <c r="M5222" s="7"/>
    </row>
    <row r="5223" spans="2:13" x14ac:dyDescent="0.25">
      <c r="B5223"/>
      <c r="C5223"/>
      <c r="D5223"/>
      <c r="E5223"/>
      <c r="F5223"/>
      <c r="G5223"/>
      <c r="H5223" s="19"/>
      <c r="I5223" s="19"/>
      <c r="J5223" s="19"/>
      <c r="M5223" s="7"/>
    </row>
    <row r="5224" spans="2:13" x14ac:dyDescent="0.25">
      <c r="B5224"/>
      <c r="C5224"/>
      <c r="D5224"/>
      <c r="E5224"/>
      <c r="F5224"/>
      <c r="G5224"/>
      <c r="H5224" s="19"/>
      <c r="I5224" s="19"/>
      <c r="J5224" s="19"/>
      <c r="M5224" s="7"/>
    </row>
    <row r="5225" spans="2:13" x14ac:dyDescent="0.25">
      <c r="B5225"/>
      <c r="C5225"/>
      <c r="D5225"/>
      <c r="E5225"/>
      <c r="F5225"/>
      <c r="G5225"/>
      <c r="H5225" s="19"/>
      <c r="I5225" s="19"/>
      <c r="J5225" s="19"/>
      <c r="M5225" s="7"/>
    </row>
    <row r="5226" spans="2:13" x14ac:dyDescent="0.25">
      <c r="B5226"/>
      <c r="C5226"/>
      <c r="D5226"/>
      <c r="E5226"/>
      <c r="F5226"/>
      <c r="G5226"/>
      <c r="H5226" s="19"/>
      <c r="I5226" s="19"/>
      <c r="J5226" s="19"/>
      <c r="M5226" s="7"/>
    </row>
    <row r="5227" spans="2:13" x14ac:dyDescent="0.25">
      <c r="B5227"/>
      <c r="C5227"/>
      <c r="D5227"/>
      <c r="E5227"/>
      <c r="F5227"/>
      <c r="G5227"/>
      <c r="H5227" s="19"/>
      <c r="I5227" s="19"/>
      <c r="J5227" s="19"/>
      <c r="M5227" s="7"/>
    </row>
    <row r="5228" spans="2:13" x14ac:dyDescent="0.25">
      <c r="B5228"/>
      <c r="C5228"/>
      <c r="D5228"/>
      <c r="E5228"/>
      <c r="F5228"/>
      <c r="G5228"/>
      <c r="H5228" s="19"/>
      <c r="I5228" s="19"/>
      <c r="J5228" s="19"/>
      <c r="M5228" s="7"/>
    </row>
    <row r="5229" spans="2:13" x14ac:dyDescent="0.25">
      <c r="B5229"/>
      <c r="C5229"/>
      <c r="D5229"/>
      <c r="E5229"/>
      <c r="F5229"/>
      <c r="G5229"/>
      <c r="H5229" s="19"/>
      <c r="I5229" s="19"/>
      <c r="J5229" s="19"/>
      <c r="M5229" s="7"/>
    </row>
    <row r="5230" spans="2:13" x14ac:dyDescent="0.25">
      <c r="B5230"/>
      <c r="C5230"/>
      <c r="D5230"/>
      <c r="E5230"/>
      <c r="F5230"/>
      <c r="G5230"/>
      <c r="H5230" s="19"/>
      <c r="I5230" s="19"/>
      <c r="J5230" s="19"/>
      <c r="M5230" s="7"/>
    </row>
    <row r="5231" spans="2:13" x14ac:dyDescent="0.25">
      <c r="B5231"/>
      <c r="C5231"/>
      <c r="D5231"/>
      <c r="E5231"/>
      <c r="F5231"/>
      <c r="G5231"/>
      <c r="H5231" s="19"/>
      <c r="I5231" s="19"/>
      <c r="J5231" s="19"/>
      <c r="M5231" s="7"/>
    </row>
    <row r="5232" spans="2:13" x14ac:dyDescent="0.25">
      <c r="B5232"/>
      <c r="C5232"/>
      <c r="D5232"/>
      <c r="E5232"/>
      <c r="F5232"/>
      <c r="G5232"/>
      <c r="H5232" s="19"/>
      <c r="I5232" s="19"/>
      <c r="J5232" s="19"/>
      <c r="M5232" s="7"/>
    </row>
    <row r="5233" spans="2:13" x14ac:dyDescent="0.25">
      <c r="B5233"/>
      <c r="C5233"/>
      <c r="D5233"/>
      <c r="E5233"/>
      <c r="F5233"/>
      <c r="G5233"/>
      <c r="H5233" s="19"/>
      <c r="I5233" s="19"/>
      <c r="J5233" s="19"/>
      <c r="M5233" s="7"/>
    </row>
    <row r="5234" spans="2:13" x14ac:dyDescent="0.25">
      <c r="B5234"/>
      <c r="C5234"/>
      <c r="D5234"/>
      <c r="E5234"/>
      <c r="F5234"/>
      <c r="G5234"/>
      <c r="H5234" s="19"/>
      <c r="I5234" s="19"/>
      <c r="J5234" s="19"/>
      <c r="M5234" s="7"/>
    </row>
    <row r="5235" spans="2:13" x14ac:dyDescent="0.25">
      <c r="B5235"/>
      <c r="C5235"/>
      <c r="D5235"/>
      <c r="E5235"/>
      <c r="F5235"/>
      <c r="G5235"/>
      <c r="H5235" s="19"/>
      <c r="I5235" s="19"/>
      <c r="J5235" s="19"/>
      <c r="M5235" s="7"/>
    </row>
    <row r="5236" spans="2:13" x14ac:dyDescent="0.25">
      <c r="B5236"/>
      <c r="C5236"/>
      <c r="D5236"/>
      <c r="E5236"/>
      <c r="F5236"/>
      <c r="G5236"/>
      <c r="H5236" s="19"/>
      <c r="I5236" s="19"/>
      <c r="J5236" s="19"/>
      <c r="M5236" s="7"/>
    </row>
    <row r="5237" spans="2:13" x14ac:dyDescent="0.25">
      <c r="B5237"/>
      <c r="C5237"/>
      <c r="D5237"/>
      <c r="E5237"/>
      <c r="F5237"/>
      <c r="G5237"/>
      <c r="H5237" s="19"/>
      <c r="I5237" s="19"/>
      <c r="J5237" s="19"/>
      <c r="M5237" s="7"/>
    </row>
    <row r="5238" spans="2:13" x14ac:dyDescent="0.25">
      <c r="B5238"/>
      <c r="C5238"/>
      <c r="D5238"/>
      <c r="E5238"/>
      <c r="F5238"/>
      <c r="G5238"/>
      <c r="H5238" s="19"/>
      <c r="I5238" s="19"/>
      <c r="J5238" s="19"/>
      <c r="M5238" s="7"/>
    </row>
    <row r="5239" spans="2:13" x14ac:dyDescent="0.25">
      <c r="B5239"/>
      <c r="C5239"/>
      <c r="D5239"/>
      <c r="E5239"/>
      <c r="F5239"/>
      <c r="G5239"/>
      <c r="H5239" s="19"/>
      <c r="I5239" s="19"/>
      <c r="J5239" s="19"/>
      <c r="M5239" s="7"/>
    </row>
    <row r="5240" spans="2:13" x14ac:dyDescent="0.25">
      <c r="B5240"/>
      <c r="C5240"/>
      <c r="D5240"/>
      <c r="E5240"/>
      <c r="F5240"/>
      <c r="G5240"/>
      <c r="H5240" s="19"/>
      <c r="I5240" s="19"/>
      <c r="J5240" s="19"/>
      <c r="M5240" s="7"/>
    </row>
    <row r="5241" spans="2:13" x14ac:dyDescent="0.25">
      <c r="B5241"/>
      <c r="C5241"/>
      <c r="D5241"/>
      <c r="E5241"/>
      <c r="F5241"/>
      <c r="G5241"/>
      <c r="H5241" s="19"/>
      <c r="I5241" s="19"/>
      <c r="J5241" s="19"/>
      <c r="M5241" s="7"/>
    </row>
    <row r="5242" spans="2:13" x14ac:dyDescent="0.25">
      <c r="B5242"/>
      <c r="C5242"/>
      <c r="D5242"/>
      <c r="E5242"/>
      <c r="F5242"/>
      <c r="G5242"/>
      <c r="H5242" s="19"/>
      <c r="I5242" s="19"/>
      <c r="J5242" s="19"/>
      <c r="M5242" s="7"/>
    </row>
    <row r="5243" spans="2:13" x14ac:dyDescent="0.25">
      <c r="B5243"/>
      <c r="C5243"/>
      <c r="D5243"/>
      <c r="E5243"/>
      <c r="F5243"/>
      <c r="G5243"/>
      <c r="H5243" s="19"/>
      <c r="I5243" s="19"/>
      <c r="J5243" s="19"/>
      <c r="M5243" s="7"/>
    </row>
    <row r="5244" spans="2:13" x14ac:dyDescent="0.25">
      <c r="B5244"/>
      <c r="C5244"/>
      <c r="D5244"/>
      <c r="E5244"/>
      <c r="F5244"/>
      <c r="G5244"/>
      <c r="H5244" s="19"/>
      <c r="I5244" s="19"/>
      <c r="J5244" s="19"/>
      <c r="M5244" s="7"/>
    </row>
    <row r="5245" spans="2:13" x14ac:dyDescent="0.25">
      <c r="B5245"/>
      <c r="C5245"/>
      <c r="D5245"/>
      <c r="E5245"/>
      <c r="F5245"/>
      <c r="G5245"/>
      <c r="H5245" s="19"/>
      <c r="I5245" s="19"/>
      <c r="J5245" s="19"/>
      <c r="M5245" s="7"/>
    </row>
    <row r="5246" spans="2:13" x14ac:dyDescent="0.25">
      <c r="B5246"/>
      <c r="C5246"/>
      <c r="D5246"/>
      <c r="E5246"/>
      <c r="F5246"/>
      <c r="G5246"/>
      <c r="H5246" s="19"/>
      <c r="I5246" s="19"/>
      <c r="J5246" s="19"/>
      <c r="M5246" s="7"/>
    </row>
    <row r="5247" spans="2:13" x14ac:dyDescent="0.25">
      <c r="B5247"/>
      <c r="C5247"/>
      <c r="D5247"/>
      <c r="E5247"/>
      <c r="F5247"/>
      <c r="G5247"/>
      <c r="H5247" s="19"/>
      <c r="I5247" s="19"/>
      <c r="J5247" s="19"/>
      <c r="M5247" s="7"/>
    </row>
    <row r="5248" spans="2:13" x14ac:dyDescent="0.25">
      <c r="B5248"/>
      <c r="C5248"/>
      <c r="D5248"/>
      <c r="E5248"/>
      <c r="F5248"/>
      <c r="G5248"/>
      <c r="H5248" s="19"/>
      <c r="I5248" s="19"/>
      <c r="J5248" s="19"/>
      <c r="M5248" s="7"/>
    </row>
    <row r="5249" spans="2:13" x14ac:dyDescent="0.25">
      <c r="B5249"/>
      <c r="C5249"/>
      <c r="D5249"/>
      <c r="E5249"/>
      <c r="F5249"/>
      <c r="G5249"/>
      <c r="H5249" s="19"/>
      <c r="I5249" s="19"/>
      <c r="J5249" s="19"/>
      <c r="M5249" s="7"/>
    </row>
    <row r="5250" spans="2:13" x14ac:dyDescent="0.25">
      <c r="B5250"/>
      <c r="C5250"/>
      <c r="D5250"/>
      <c r="E5250"/>
      <c r="F5250"/>
      <c r="G5250"/>
      <c r="H5250" s="19"/>
      <c r="I5250" s="19"/>
      <c r="J5250" s="19"/>
      <c r="M5250" s="7"/>
    </row>
    <row r="5251" spans="2:13" x14ac:dyDescent="0.25">
      <c r="B5251"/>
      <c r="C5251"/>
      <c r="D5251"/>
      <c r="E5251"/>
      <c r="F5251"/>
      <c r="G5251"/>
      <c r="H5251" s="19"/>
      <c r="I5251" s="19"/>
      <c r="J5251" s="19"/>
      <c r="M5251" s="7"/>
    </row>
    <row r="5252" spans="2:13" x14ac:dyDescent="0.25">
      <c r="B5252"/>
      <c r="C5252"/>
      <c r="D5252"/>
      <c r="E5252"/>
      <c r="F5252"/>
      <c r="G5252"/>
      <c r="H5252" s="19"/>
      <c r="I5252" s="19"/>
      <c r="J5252" s="19"/>
      <c r="M5252" s="7"/>
    </row>
    <row r="5253" spans="2:13" x14ac:dyDescent="0.25">
      <c r="B5253"/>
      <c r="C5253"/>
      <c r="D5253"/>
      <c r="E5253"/>
      <c r="F5253"/>
      <c r="G5253"/>
      <c r="H5253" s="19"/>
      <c r="I5253" s="19"/>
      <c r="J5253" s="19"/>
      <c r="M5253" s="7"/>
    </row>
    <row r="5254" spans="2:13" x14ac:dyDescent="0.25">
      <c r="B5254"/>
      <c r="C5254"/>
      <c r="D5254"/>
      <c r="E5254"/>
      <c r="F5254"/>
      <c r="G5254"/>
      <c r="H5254" s="19"/>
      <c r="I5254" s="19"/>
      <c r="J5254" s="19"/>
      <c r="M5254" s="7"/>
    </row>
    <row r="5255" spans="2:13" x14ac:dyDescent="0.25">
      <c r="B5255"/>
      <c r="C5255"/>
      <c r="D5255"/>
      <c r="E5255"/>
      <c r="F5255"/>
      <c r="G5255"/>
      <c r="H5255" s="19"/>
      <c r="I5255" s="19"/>
      <c r="J5255" s="19"/>
      <c r="M5255" s="7"/>
    </row>
    <row r="5256" spans="2:13" x14ac:dyDescent="0.25">
      <c r="B5256"/>
      <c r="C5256"/>
      <c r="D5256"/>
      <c r="E5256"/>
      <c r="F5256"/>
      <c r="G5256"/>
      <c r="H5256" s="19"/>
      <c r="I5256" s="19"/>
      <c r="J5256" s="19"/>
      <c r="M5256" s="7"/>
    </row>
    <row r="5257" spans="2:13" x14ac:dyDescent="0.25">
      <c r="B5257"/>
      <c r="C5257"/>
      <c r="D5257"/>
      <c r="E5257"/>
      <c r="F5257"/>
      <c r="G5257"/>
      <c r="H5257" s="19"/>
      <c r="I5257" s="19"/>
      <c r="J5257" s="19"/>
      <c r="M5257" s="7"/>
    </row>
    <row r="5258" spans="2:13" x14ac:dyDescent="0.25">
      <c r="B5258"/>
      <c r="C5258"/>
      <c r="D5258"/>
      <c r="E5258"/>
      <c r="F5258"/>
      <c r="G5258"/>
      <c r="H5258" s="19"/>
      <c r="I5258" s="19"/>
      <c r="J5258" s="19"/>
      <c r="M5258" s="7"/>
    </row>
    <row r="5259" spans="2:13" x14ac:dyDescent="0.25">
      <c r="B5259"/>
      <c r="C5259"/>
      <c r="D5259"/>
      <c r="E5259"/>
      <c r="F5259"/>
      <c r="G5259"/>
      <c r="H5259" s="19"/>
      <c r="I5259" s="19"/>
      <c r="J5259" s="19"/>
      <c r="M5259" s="7"/>
    </row>
    <row r="5260" spans="2:13" x14ac:dyDescent="0.25">
      <c r="B5260"/>
      <c r="C5260"/>
      <c r="D5260"/>
      <c r="E5260"/>
      <c r="F5260"/>
      <c r="G5260"/>
      <c r="H5260" s="19"/>
      <c r="I5260" s="19"/>
      <c r="J5260" s="19"/>
      <c r="M5260" s="7"/>
    </row>
    <row r="5261" spans="2:13" x14ac:dyDescent="0.25">
      <c r="B5261"/>
      <c r="C5261"/>
      <c r="D5261"/>
      <c r="E5261"/>
      <c r="F5261"/>
      <c r="G5261"/>
      <c r="H5261" s="19"/>
      <c r="I5261" s="19"/>
      <c r="J5261" s="19"/>
      <c r="M5261" s="7"/>
    </row>
    <row r="5262" spans="2:13" x14ac:dyDescent="0.25">
      <c r="B5262"/>
      <c r="C5262"/>
      <c r="D5262"/>
      <c r="E5262"/>
      <c r="F5262"/>
      <c r="G5262"/>
      <c r="H5262" s="19"/>
      <c r="I5262" s="19"/>
      <c r="J5262" s="19"/>
      <c r="M5262" s="7"/>
    </row>
    <row r="5263" spans="2:13" x14ac:dyDescent="0.25">
      <c r="B5263"/>
      <c r="C5263"/>
      <c r="D5263"/>
      <c r="E5263"/>
      <c r="F5263"/>
      <c r="G5263"/>
      <c r="H5263" s="19"/>
      <c r="I5263" s="19"/>
      <c r="J5263" s="19"/>
      <c r="M5263" s="7"/>
    </row>
    <row r="5264" spans="2:13" x14ac:dyDescent="0.25">
      <c r="B5264"/>
      <c r="C5264"/>
      <c r="D5264"/>
      <c r="E5264"/>
      <c r="F5264"/>
      <c r="G5264"/>
      <c r="H5264" s="19"/>
      <c r="I5264" s="19"/>
      <c r="J5264" s="19"/>
      <c r="M5264" s="7"/>
    </row>
    <row r="5265" spans="2:13" x14ac:dyDescent="0.25">
      <c r="B5265"/>
      <c r="C5265"/>
      <c r="D5265"/>
      <c r="E5265"/>
      <c r="F5265"/>
      <c r="G5265"/>
      <c r="H5265" s="19"/>
      <c r="I5265" s="19"/>
      <c r="J5265" s="19"/>
      <c r="M5265" s="7"/>
    </row>
    <row r="5266" spans="2:13" x14ac:dyDescent="0.25">
      <c r="B5266"/>
      <c r="C5266"/>
      <c r="D5266"/>
      <c r="E5266"/>
      <c r="F5266"/>
      <c r="G5266"/>
      <c r="H5266" s="19"/>
      <c r="I5266" s="19"/>
      <c r="J5266" s="19"/>
      <c r="M5266" s="7"/>
    </row>
    <row r="5267" spans="2:13" x14ac:dyDescent="0.25">
      <c r="B5267"/>
      <c r="C5267"/>
      <c r="D5267"/>
      <c r="E5267"/>
      <c r="F5267"/>
      <c r="G5267"/>
      <c r="H5267" s="19"/>
      <c r="I5267" s="19"/>
      <c r="J5267" s="19"/>
      <c r="M5267" s="7"/>
    </row>
    <row r="5268" spans="2:13" x14ac:dyDescent="0.25">
      <c r="B5268"/>
      <c r="C5268"/>
      <c r="D5268"/>
      <c r="E5268"/>
      <c r="F5268"/>
      <c r="G5268"/>
      <c r="H5268" s="19"/>
      <c r="I5268" s="19"/>
      <c r="J5268" s="19"/>
      <c r="M5268" s="7"/>
    </row>
    <row r="5269" spans="2:13" x14ac:dyDescent="0.25">
      <c r="B5269"/>
      <c r="C5269"/>
      <c r="D5269"/>
      <c r="E5269"/>
      <c r="F5269"/>
      <c r="G5269"/>
      <c r="H5269" s="19"/>
      <c r="I5269" s="19"/>
      <c r="J5269" s="19"/>
      <c r="M5269" s="7"/>
    </row>
    <row r="5270" spans="2:13" x14ac:dyDescent="0.25">
      <c r="B5270"/>
      <c r="C5270"/>
      <c r="D5270"/>
      <c r="E5270"/>
      <c r="F5270"/>
      <c r="G5270"/>
      <c r="H5270" s="19"/>
      <c r="I5270" s="19"/>
      <c r="J5270" s="19"/>
      <c r="M5270" s="7"/>
    </row>
    <row r="5271" spans="2:13" x14ac:dyDescent="0.25">
      <c r="B5271"/>
      <c r="C5271"/>
      <c r="D5271"/>
      <c r="E5271"/>
      <c r="F5271"/>
      <c r="G5271"/>
      <c r="H5271" s="19"/>
      <c r="I5271" s="19"/>
      <c r="J5271" s="19"/>
      <c r="M5271" s="7"/>
    </row>
    <row r="5272" spans="2:13" x14ac:dyDescent="0.25">
      <c r="B5272"/>
      <c r="C5272"/>
      <c r="D5272"/>
      <c r="E5272"/>
      <c r="F5272"/>
      <c r="G5272"/>
      <c r="H5272" s="19"/>
      <c r="I5272" s="19"/>
      <c r="J5272" s="19"/>
      <c r="M5272" s="7"/>
    </row>
    <row r="5273" spans="2:13" x14ac:dyDescent="0.25">
      <c r="B5273"/>
      <c r="C5273"/>
      <c r="D5273"/>
      <c r="E5273"/>
      <c r="F5273"/>
      <c r="G5273"/>
      <c r="H5273" s="19"/>
      <c r="I5273" s="19"/>
      <c r="J5273" s="19"/>
      <c r="M5273" s="7"/>
    </row>
    <row r="5274" spans="2:13" x14ac:dyDescent="0.25">
      <c r="B5274"/>
      <c r="C5274"/>
      <c r="D5274"/>
      <c r="E5274"/>
      <c r="F5274"/>
      <c r="G5274"/>
      <c r="H5274" s="19"/>
      <c r="I5274" s="19"/>
      <c r="J5274" s="19"/>
      <c r="M5274" s="7"/>
    </row>
    <row r="5275" spans="2:13" x14ac:dyDescent="0.25">
      <c r="B5275"/>
      <c r="C5275"/>
      <c r="D5275"/>
      <c r="E5275"/>
      <c r="F5275"/>
      <c r="G5275"/>
      <c r="H5275" s="19"/>
      <c r="I5275" s="19"/>
      <c r="J5275" s="19"/>
      <c r="M5275" s="7"/>
    </row>
    <row r="5276" spans="2:13" x14ac:dyDescent="0.25">
      <c r="B5276"/>
      <c r="C5276"/>
      <c r="D5276"/>
      <c r="E5276"/>
      <c r="F5276"/>
      <c r="G5276"/>
      <c r="H5276" s="19"/>
      <c r="I5276" s="19"/>
      <c r="J5276" s="19"/>
      <c r="M5276" s="7"/>
    </row>
    <row r="5277" spans="2:13" x14ac:dyDescent="0.25">
      <c r="B5277"/>
      <c r="C5277"/>
      <c r="D5277"/>
      <c r="E5277"/>
      <c r="F5277"/>
      <c r="G5277"/>
      <c r="H5277" s="19"/>
      <c r="I5277" s="19"/>
      <c r="J5277" s="19"/>
      <c r="M5277" s="7"/>
    </row>
    <row r="5278" spans="2:13" x14ac:dyDescent="0.25">
      <c r="B5278"/>
      <c r="C5278"/>
      <c r="D5278"/>
      <c r="E5278"/>
      <c r="F5278"/>
      <c r="G5278"/>
      <c r="H5278" s="19"/>
      <c r="I5278" s="19"/>
      <c r="J5278" s="19"/>
      <c r="M5278" s="7"/>
    </row>
    <row r="5279" spans="2:13" x14ac:dyDescent="0.25">
      <c r="B5279"/>
      <c r="C5279"/>
      <c r="D5279"/>
      <c r="E5279"/>
      <c r="F5279"/>
      <c r="G5279"/>
      <c r="H5279" s="19"/>
      <c r="I5279" s="19"/>
      <c r="J5279" s="19"/>
      <c r="M5279" s="7"/>
    </row>
    <row r="5280" spans="2:13" x14ac:dyDescent="0.25">
      <c r="B5280"/>
      <c r="C5280"/>
      <c r="D5280"/>
      <c r="E5280"/>
      <c r="F5280"/>
      <c r="G5280"/>
      <c r="H5280" s="19"/>
      <c r="I5280" s="19"/>
      <c r="J5280" s="19"/>
      <c r="M5280" s="7"/>
    </row>
    <row r="5281" spans="2:13" x14ac:dyDescent="0.25">
      <c r="B5281"/>
      <c r="C5281"/>
      <c r="D5281"/>
      <c r="E5281"/>
      <c r="F5281"/>
      <c r="G5281"/>
      <c r="H5281" s="19"/>
      <c r="I5281" s="19"/>
      <c r="J5281" s="19"/>
      <c r="M5281" s="7"/>
    </row>
    <row r="5282" spans="2:13" x14ac:dyDescent="0.25">
      <c r="B5282"/>
      <c r="C5282"/>
      <c r="D5282"/>
      <c r="E5282"/>
      <c r="F5282"/>
      <c r="G5282"/>
      <c r="H5282" s="19"/>
      <c r="I5282" s="19"/>
      <c r="J5282" s="19"/>
      <c r="M5282" s="7"/>
    </row>
    <row r="5283" spans="2:13" x14ac:dyDescent="0.25">
      <c r="B5283"/>
      <c r="C5283"/>
      <c r="D5283"/>
      <c r="E5283"/>
      <c r="F5283"/>
      <c r="G5283"/>
      <c r="H5283" s="19"/>
      <c r="I5283" s="19"/>
      <c r="J5283" s="19"/>
      <c r="M5283" s="7"/>
    </row>
    <row r="5284" spans="2:13" x14ac:dyDescent="0.25">
      <c r="B5284"/>
      <c r="C5284"/>
      <c r="D5284"/>
      <c r="E5284"/>
      <c r="F5284"/>
      <c r="G5284"/>
      <c r="H5284" s="19"/>
      <c r="I5284" s="19"/>
      <c r="J5284" s="19"/>
      <c r="M5284" s="7"/>
    </row>
    <row r="5285" spans="2:13" x14ac:dyDescent="0.25">
      <c r="B5285"/>
      <c r="C5285"/>
      <c r="D5285"/>
      <c r="E5285"/>
      <c r="F5285"/>
      <c r="G5285"/>
      <c r="H5285" s="19"/>
      <c r="I5285" s="19"/>
      <c r="J5285" s="19"/>
      <c r="M5285" s="7"/>
    </row>
    <row r="5286" spans="2:13" x14ac:dyDescent="0.25">
      <c r="B5286"/>
      <c r="C5286"/>
      <c r="D5286"/>
      <c r="E5286"/>
      <c r="F5286"/>
      <c r="G5286"/>
      <c r="H5286" s="19"/>
      <c r="I5286" s="19"/>
      <c r="J5286" s="19"/>
      <c r="M5286" s="7"/>
    </row>
    <row r="5287" spans="2:13" x14ac:dyDescent="0.25">
      <c r="B5287"/>
      <c r="C5287"/>
      <c r="D5287"/>
      <c r="E5287"/>
      <c r="F5287"/>
      <c r="G5287"/>
      <c r="H5287" s="19"/>
      <c r="I5287" s="19"/>
      <c r="J5287" s="19"/>
      <c r="M5287" s="7"/>
    </row>
    <row r="5288" spans="2:13" x14ac:dyDescent="0.25">
      <c r="B5288"/>
      <c r="C5288"/>
      <c r="D5288"/>
      <c r="E5288"/>
      <c r="F5288"/>
      <c r="G5288"/>
      <c r="H5288" s="19"/>
      <c r="I5288" s="19"/>
      <c r="J5288" s="19"/>
      <c r="M5288" s="7"/>
    </row>
    <row r="5289" spans="2:13" x14ac:dyDescent="0.25">
      <c r="B5289"/>
      <c r="C5289"/>
      <c r="D5289"/>
      <c r="E5289"/>
      <c r="F5289"/>
      <c r="G5289"/>
      <c r="H5289" s="19"/>
      <c r="I5289" s="19"/>
      <c r="J5289" s="19"/>
      <c r="M5289" s="7"/>
    </row>
    <row r="5290" spans="2:13" x14ac:dyDescent="0.25">
      <c r="B5290"/>
      <c r="C5290"/>
      <c r="D5290"/>
      <c r="E5290"/>
      <c r="F5290"/>
      <c r="G5290"/>
      <c r="H5290" s="19"/>
      <c r="I5290" s="19"/>
      <c r="J5290" s="19"/>
      <c r="M5290" s="7"/>
    </row>
    <row r="5291" spans="2:13" x14ac:dyDescent="0.25">
      <c r="B5291"/>
      <c r="C5291"/>
      <c r="D5291"/>
      <c r="E5291"/>
      <c r="F5291"/>
      <c r="G5291"/>
      <c r="H5291" s="19"/>
      <c r="I5291" s="19"/>
      <c r="J5291" s="19"/>
      <c r="M5291" s="7"/>
    </row>
    <row r="5292" spans="2:13" x14ac:dyDescent="0.25">
      <c r="B5292"/>
      <c r="C5292"/>
      <c r="D5292"/>
      <c r="E5292"/>
      <c r="F5292"/>
      <c r="G5292"/>
      <c r="H5292" s="19"/>
      <c r="I5292" s="19"/>
      <c r="J5292" s="19"/>
      <c r="M5292" s="7"/>
    </row>
    <row r="5293" spans="2:13" x14ac:dyDescent="0.25">
      <c r="B5293"/>
      <c r="C5293"/>
      <c r="D5293"/>
      <c r="E5293"/>
      <c r="F5293"/>
      <c r="G5293"/>
      <c r="H5293" s="19"/>
      <c r="I5293" s="19"/>
      <c r="J5293" s="19"/>
      <c r="M5293" s="7"/>
    </row>
    <row r="5294" spans="2:13" x14ac:dyDescent="0.25">
      <c r="B5294"/>
      <c r="C5294"/>
      <c r="D5294"/>
      <c r="E5294"/>
      <c r="F5294"/>
      <c r="G5294"/>
      <c r="H5294" s="19"/>
      <c r="I5294" s="19"/>
      <c r="J5294" s="19"/>
      <c r="M5294" s="7"/>
    </row>
    <row r="5295" spans="2:13" x14ac:dyDescent="0.25">
      <c r="B5295"/>
      <c r="C5295"/>
      <c r="D5295"/>
      <c r="E5295"/>
      <c r="F5295"/>
      <c r="G5295"/>
      <c r="H5295" s="19"/>
      <c r="I5295" s="19"/>
      <c r="J5295" s="19"/>
      <c r="M5295" s="7"/>
    </row>
    <row r="5296" spans="2:13" x14ac:dyDescent="0.25">
      <c r="B5296"/>
      <c r="C5296"/>
      <c r="D5296"/>
      <c r="E5296"/>
      <c r="F5296"/>
      <c r="G5296"/>
      <c r="H5296" s="19"/>
      <c r="I5296" s="19"/>
      <c r="J5296" s="19"/>
      <c r="M5296" s="7"/>
    </row>
    <row r="5297" spans="2:13" x14ac:dyDescent="0.25">
      <c r="B5297"/>
      <c r="C5297"/>
      <c r="D5297"/>
      <c r="E5297"/>
      <c r="F5297"/>
      <c r="G5297"/>
      <c r="H5297" s="19"/>
      <c r="I5297" s="19"/>
      <c r="J5297" s="19"/>
      <c r="M5297" s="7"/>
    </row>
    <row r="5298" spans="2:13" x14ac:dyDescent="0.25">
      <c r="B5298"/>
      <c r="C5298"/>
      <c r="D5298"/>
      <c r="E5298"/>
      <c r="F5298"/>
      <c r="G5298"/>
      <c r="H5298" s="19"/>
      <c r="I5298" s="19"/>
      <c r="J5298" s="19"/>
      <c r="M5298" s="7"/>
    </row>
    <row r="5299" spans="2:13" x14ac:dyDescent="0.25">
      <c r="B5299"/>
      <c r="C5299"/>
      <c r="D5299"/>
      <c r="E5299"/>
      <c r="F5299"/>
      <c r="G5299"/>
      <c r="H5299" s="19"/>
      <c r="I5299" s="19"/>
      <c r="J5299" s="19"/>
      <c r="M5299" s="7"/>
    </row>
    <row r="5300" spans="2:13" x14ac:dyDescent="0.25">
      <c r="B5300"/>
      <c r="C5300"/>
      <c r="D5300"/>
      <c r="E5300"/>
      <c r="F5300"/>
      <c r="G5300"/>
      <c r="H5300" s="19"/>
      <c r="I5300" s="19"/>
      <c r="J5300" s="19"/>
      <c r="M5300" s="7"/>
    </row>
    <row r="5301" spans="2:13" x14ac:dyDescent="0.25">
      <c r="B5301"/>
      <c r="C5301"/>
      <c r="D5301"/>
      <c r="E5301"/>
      <c r="F5301"/>
      <c r="G5301"/>
      <c r="H5301" s="19"/>
      <c r="I5301" s="19"/>
      <c r="J5301" s="19"/>
      <c r="M5301" s="7"/>
    </row>
    <row r="5302" spans="2:13" x14ac:dyDescent="0.25">
      <c r="B5302"/>
      <c r="C5302"/>
      <c r="D5302"/>
      <c r="E5302"/>
      <c r="F5302"/>
      <c r="G5302"/>
      <c r="H5302" s="19"/>
      <c r="I5302" s="19"/>
      <c r="J5302" s="19"/>
      <c r="M5302" s="7"/>
    </row>
    <row r="5303" spans="2:13" x14ac:dyDescent="0.25">
      <c r="B5303"/>
      <c r="C5303"/>
      <c r="D5303"/>
      <c r="E5303"/>
      <c r="F5303"/>
      <c r="G5303"/>
      <c r="H5303" s="19"/>
      <c r="I5303" s="19"/>
      <c r="J5303" s="19"/>
      <c r="M5303" s="7"/>
    </row>
    <row r="5304" spans="2:13" x14ac:dyDescent="0.25">
      <c r="B5304"/>
      <c r="C5304"/>
      <c r="D5304"/>
      <c r="E5304"/>
      <c r="F5304"/>
      <c r="G5304"/>
      <c r="H5304" s="19"/>
      <c r="I5304" s="19"/>
      <c r="J5304" s="19"/>
      <c r="M5304" s="7"/>
    </row>
    <row r="5305" spans="2:13" x14ac:dyDescent="0.25">
      <c r="B5305"/>
      <c r="C5305"/>
      <c r="D5305"/>
      <c r="E5305"/>
      <c r="F5305"/>
      <c r="G5305"/>
      <c r="H5305" s="19"/>
      <c r="I5305" s="19"/>
      <c r="J5305" s="19"/>
      <c r="M5305" s="7"/>
    </row>
    <row r="5306" spans="2:13" x14ac:dyDescent="0.25">
      <c r="B5306"/>
      <c r="C5306"/>
      <c r="D5306"/>
      <c r="E5306"/>
      <c r="F5306"/>
      <c r="G5306"/>
      <c r="H5306" s="19"/>
      <c r="I5306" s="19"/>
      <c r="J5306" s="19"/>
      <c r="M5306" s="7"/>
    </row>
    <row r="5307" spans="2:13" x14ac:dyDescent="0.25">
      <c r="B5307"/>
      <c r="C5307"/>
      <c r="D5307"/>
      <c r="E5307"/>
      <c r="F5307"/>
      <c r="G5307"/>
      <c r="H5307" s="19"/>
      <c r="I5307" s="19"/>
      <c r="J5307" s="19"/>
      <c r="M5307" s="7"/>
    </row>
    <row r="5308" spans="2:13" x14ac:dyDescent="0.25">
      <c r="B5308"/>
      <c r="C5308"/>
      <c r="D5308"/>
      <c r="E5308"/>
      <c r="F5308"/>
      <c r="G5308"/>
      <c r="H5308" s="19"/>
      <c r="I5308" s="19"/>
      <c r="J5308" s="19"/>
      <c r="M5308" s="7"/>
    </row>
    <row r="5309" spans="2:13" x14ac:dyDescent="0.25">
      <c r="B5309"/>
      <c r="C5309"/>
      <c r="D5309"/>
      <c r="E5309"/>
      <c r="F5309"/>
      <c r="G5309"/>
      <c r="H5309" s="19"/>
      <c r="I5309" s="19"/>
      <c r="J5309" s="19"/>
      <c r="M5309" s="7"/>
    </row>
    <row r="5310" spans="2:13" x14ac:dyDescent="0.25">
      <c r="B5310"/>
      <c r="C5310"/>
      <c r="D5310"/>
      <c r="E5310"/>
      <c r="F5310"/>
      <c r="G5310"/>
      <c r="H5310" s="19"/>
      <c r="I5310" s="19"/>
      <c r="J5310" s="19"/>
      <c r="M5310" s="7"/>
    </row>
    <row r="5311" spans="2:13" x14ac:dyDescent="0.25">
      <c r="B5311"/>
      <c r="C5311"/>
      <c r="D5311"/>
      <c r="E5311"/>
      <c r="F5311"/>
      <c r="G5311"/>
      <c r="H5311" s="19"/>
      <c r="I5311" s="19"/>
      <c r="J5311" s="19"/>
      <c r="M5311" s="7"/>
    </row>
    <row r="5312" spans="2:13" x14ac:dyDescent="0.25">
      <c r="B5312"/>
      <c r="C5312"/>
      <c r="D5312"/>
      <c r="E5312"/>
      <c r="F5312"/>
      <c r="G5312"/>
      <c r="H5312" s="19"/>
      <c r="I5312" s="19"/>
      <c r="J5312" s="19"/>
      <c r="M5312" s="7"/>
    </row>
    <row r="5313" spans="2:13" x14ac:dyDescent="0.25">
      <c r="B5313"/>
      <c r="C5313"/>
      <c r="D5313"/>
      <c r="E5313"/>
      <c r="F5313"/>
      <c r="G5313"/>
      <c r="H5313" s="19"/>
      <c r="I5313" s="19"/>
      <c r="J5313" s="19"/>
      <c r="M5313" s="7"/>
    </row>
    <row r="5314" spans="2:13" x14ac:dyDescent="0.25">
      <c r="B5314"/>
      <c r="C5314"/>
      <c r="D5314"/>
      <c r="E5314"/>
      <c r="F5314"/>
      <c r="G5314"/>
      <c r="H5314" s="19"/>
      <c r="I5314" s="19"/>
      <c r="J5314" s="19"/>
      <c r="M5314" s="7"/>
    </row>
    <row r="5315" spans="2:13" x14ac:dyDescent="0.25">
      <c r="B5315"/>
      <c r="C5315"/>
      <c r="D5315"/>
      <c r="E5315"/>
      <c r="F5315"/>
      <c r="G5315"/>
      <c r="H5315" s="19"/>
      <c r="I5315" s="19"/>
      <c r="J5315" s="19"/>
      <c r="M5315" s="7"/>
    </row>
    <row r="5316" spans="2:13" x14ac:dyDescent="0.25">
      <c r="B5316"/>
      <c r="C5316"/>
      <c r="D5316"/>
      <c r="E5316"/>
      <c r="F5316"/>
      <c r="G5316"/>
      <c r="H5316" s="19"/>
      <c r="I5316" s="19"/>
      <c r="J5316" s="19"/>
      <c r="M5316" s="7"/>
    </row>
    <row r="5317" spans="2:13" x14ac:dyDescent="0.25">
      <c r="B5317"/>
      <c r="C5317"/>
      <c r="D5317"/>
      <c r="E5317"/>
      <c r="F5317"/>
      <c r="G5317"/>
      <c r="H5317" s="19"/>
      <c r="I5317" s="19"/>
      <c r="J5317" s="19"/>
      <c r="M5317" s="7"/>
    </row>
    <row r="5318" spans="2:13" x14ac:dyDescent="0.25">
      <c r="B5318"/>
      <c r="C5318"/>
      <c r="D5318"/>
      <c r="E5318"/>
      <c r="F5318"/>
      <c r="G5318"/>
      <c r="H5318" s="19"/>
      <c r="I5318" s="19"/>
      <c r="J5318" s="19"/>
      <c r="M5318" s="7"/>
    </row>
    <row r="5319" spans="2:13" x14ac:dyDescent="0.25">
      <c r="B5319"/>
      <c r="C5319"/>
      <c r="D5319"/>
      <c r="E5319"/>
      <c r="F5319"/>
      <c r="G5319"/>
      <c r="H5319" s="19"/>
      <c r="I5319" s="19"/>
      <c r="J5319" s="19"/>
      <c r="M5319" s="7"/>
    </row>
    <row r="5320" spans="2:13" x14ac:dyDescent="0.25">
      <c r="B5320"/>
      <c r="C5320"/>
      <c r="D5320"/>
      <c r="E5320"/>
      <c r="F5320"/>
      <c r="G5320"/>
      <c r="H5320" s="19"/>
      <c r="I5320" s="19"/>
      <c r="J5320" s="19"/>
      <c r="M5320" s="7"/>
    </row>
    <row r="5321" spans="2:13" x14ac:dyDescent="0.25">
      <c r="B5321"/>
      <c r="C5321"/>
      <c r="D5321"/>
      <c r="E5321"/>
      <c r="F5321"/>
      <c r="G5321"/>
      <c r="H5321" s="19"/>
      <c r="I5321" s="19"/>
      <c r="J5321" s="19"/>
      <c r="M5321" s="7"/>
    </row>
    <row r="5322" spans="2:13" x14ac:dyDescent="0.25">
      <c r="B5322"/>
      <c r="C5322"/>
      <c r="D5322"/>
      <c r="E5322"/>
      <c r="F5322"/>
      <c r="G5322"/>
      <c r="H5322" s="19"/>
      <c r="I5322" s="19"/>
      <c r="J5322" s="19"/>
      <c r="M5322" s="7"/>
    </row>
    <row r="5323" spans="2:13" x14ac:dyDescent="0.25">
      <c r="B5323"/>
      <c r="C5323"/>
      <c r="D5323"/>
      <c r="E5323"/>
      <c r="F5323"/>
      <c r="G5323"/>
      <c r="H5323" s="19"/>
      <c r="I5323" s="19"/>
      <c r="J5323" s="19"/>
      <c r="M5323" s="7"/>
    </row>
    <row r="5324" spans="2:13" x14ac:dyDescent="0.25">
      <c r="B5324"/>
      <c r="C5324"/>
      <c r="D5324"/>
      <c r="E5324"/>
      <c r="F5324"/>
      <c r="G5324"/>
      <c r="H5324" s="19"/>
      <c r="I5324" s="19"/>
      <c r="J5324" s="19"/>
      <c r="M5324" s="7"/>
    </row>
    <row r="5325" spans="2:13" x14ac:dyDescent="0.25">
      <c r="B5325"/>
      <c r="C5325"/>
      <c r="D5325"/>
      <c r="E5325"/>
      <c r="F5325"/>
      <c r="G5325"/>
      <c r="H5325" s="19"/>
      <c r="I5325" s="19"/>
      <c r="J5325" s="19"/>
      <c r="M5325" s="7"/>
    </row>
    <row r="5326" spans="2:13" x14ac:dyDescent="0.25">
      <c r="B5326"/>
      <c r="C5326"/>
      <c r="D5326"/>
      <c r="E5326"/>
      <c r="F5326"/>
      <c r="G5326"/>
      <c r="H5326" s="19"/>
      <c r="I5326" s="19"/>
      <c r="J5326" s="19"/>
      <c r="M5326" s="7"/>
    </row>
    <row r="5327" spans="2:13" x14ac:dyDescent="0.25">
      <c r="B5327"/>
      <c r="C5327"/>
      <c r="D5327"/>
      <c r="E5327"/>
      <c r="F5327"/>
      <c r="G5327"/>
      <c r="H5327" s="19"/>
      <c r="I5327" s="19"/>
      <c r="J5327" s="19"/>
      <c r="M5327" s="7"/>
    </row>
    <row r="5328" spans="2:13" x14ac:dyDescent="0.25">
      <c r="B5328"/>
      <c r="C5328"/>
      <c r="D5328"/>
      <c r="E5328"/>
      <c r="F5328"/>
      <c r="G5328"/>
      <c r="H5328" s="19"/>
      <c r="I5328" s="19"/>
      <c r="J5328" s="19"/>
      <c r="M5328" s="7"/>
    </row>
    <row r="5329" spans="2:13" x14ac:dyDescent="0.25">
      <c r="B5329"/>
      <c r="C5329"/>
      <c r="D5329"/>
      <c r="E5329"/>
      <c r="F5329"/>
      <c r="G5329"/>
      <c r="H5329" s="19"/>
      <c r="I5329" s="19"/>
      <c r="J5329" s="19"/>
      <c r="M5329" s="7"/>
    </row>
    <row r="5330" spans="2:13" x14ac:dyDescent="0.25">
      <c r="B5330"/>
      <c r="C5330"/>
      <c r="D5330"/>
      <c r="E5330"/>
      <c r="F5330"/>
      <c r="G5330"/>
      <c r="H5330" s="19"/>
      <c r="I5330" s="19"/>
      <c r="J5330" s="19"/>
      <c r="M5330" s="7"/>
    </row>
    <row r="5331" spans="2:13" x14ac:dyDescent="0.25">
      <c r="B5331"/>
      <c r="C5331"/>
      <c r="D5331"/>
      <c r="E5331"/>
      <c r="F5331"/>
      <c r="G5331"/>
      <c r="H5331" s="19"/>
      <c r="I5331" s="19"/>
      <c r="J5331" s="19"/>
      <c r="M5331" s="7"/>
    </row>
    <row r="5332" spans="2:13" x14ac:dyDescent="0.25">
      <c r="B5332"/>
      <c r="C5332"/>
      <c r="D5332"/>
      <c r="E5332"/>
      <c r="F5332"/>
      <c r="G5332"/>
      <c r="H5332" s="19"/>
      <c r="I5332" s="19"/>
      <c r="J5332" s="19"/>
      <c r="M5332" s="7"/>
    </row>
    <row r="5333" spans="2:13" x14ac:dyDescent="0.25">
      <c r="B5333"/>
      <c r="C5333"/>
      <c r="D5333"/>
      <c r="E5333"/>
      <c r="F5333"/>
      <c r="G5333"/>
      <c r="H5333" s="19"/>
      <c r="I5333" s="19"/>
      <c r="J5333" s="19"/>
      <c r="M5333" s="7"/>
    </row>
    <row r="5334" spans="2:13" x14ac:dyDescent="0.25">
      <c r="B5334"/>
      <c r="C5334"/>
      <c r="D5334"/>
      <c r="E5334"/>
      <c r="F5334"/>
      <c r="G5334"/>
      <c r="H5334" s="19"/>
      <c r="I5334" s="19"/>
      <c r="J5334" s="19"/>
      <c r="M5334" s="7"/>
    </row>
    <row r="5335" spans="2:13" x14ac:dyDescent="0.25">
      <c r="B5335"/>
      <c r="C5335"/>
      <c r="D5335"/>
      <c r="E5335"/>
      <c r="F5335"/>
      <c r="G5335"/>
      <c r="H5335" s="19"/>
      <c r="I5335" s="19"/>
      <c r="J5335" s="19"/>
      <c r="M5335" s="7"/>
    </row>
    <row r="5336" spans="2:13" x14ac:dyDescent="0.25">
      <c r="B5336"/>
      <c r="C5336"/>
      <c r="D5336"/>
      <c r="E5336"/>
      <c r="F5336"/>
      <c r="G5336"/>
      <c r="H5336" s="19"/>
      <c r="I5336" s="19"/>
      <c r="J5336" s="19"/>
      <c r="M5336" s="7"/>
    </row>
    <row r="5337" spans="2:13" x14ac:dyDescent="0.25">
      <c r="B5337"/>
      <c r="C5337"/>
      <c r="D5337"/>
      <c r="E5337"/>
      <c r="F5337"/>
      <c r="G5337"/>
      <c r="H5337" s="19"/>
      <c r="I5337" s="19"/>
      <c r="J5337" s="19"/>
      <c r="M5337" s="7"/>
    </row>
    <row r="5338" spans="2:13" x14ac:dyDescent="0.25">
      <c r="B5338"/>
      <c r="C5338"/>
      <c r="D5338"/>
      <c r="E5338"/>
      <c r="F5338"/>
      <c r="G5338"/>
      <c r="H5338" s="19"/>
      <c r="I5338" s="19"/>
      <c r="J5338" s="19"/>
      <c r="M5338" s="7"/>
    </row>
    <row r="5339" spans="2:13" x14ac:dyDescent="0.25">
      <c r="B5339"/>
      <c r="C5339"/>
      <c r="D5339"/>
      <c r="E5339"/>
      <c r="F5339"/>
      <c r="G5339"/>
      <c r="H5339" s="19"/>
      <c r="I5339" s="19"/>
      <c r="J5339" s="19"/>
      <c r="M5339" s="7"/>
    </row>
    <row r="5340" spans="2:13" x14ac:dyDescent="0.25">
      <c r="B5340"/>
      <c r="C5340"/>
      <c r="D5340"/>
      <c r="E5340"/>
      <c r="F5340"/>
      <c r="G5340"/>
      <c r="H5340" s="19"/>
      <c r="I5340" s="19"/>
      <c r="J5340" s="19"/>
      <c r="M5340" s="7"/>
    </row>
    <row r="5341" spans="2:13" x14ac:dyDescent="0.25">
      <c r="B5341"/>
      <c r="C5341"/>
      <c r="D5341"/>
      <c r="E5341"/>
      <c r="F5341"/>
      <c r="G5341"/>
      <c r="H5341" s="19"/>
      <c r="I5341" s="19"/>
      <c r="J5341" s="19"/>
      <c r="M5341" s="7"/>
    </row>
    <row r="5342" spans="2:13" x14ac:dyDescent="0.25">
      <c r="B5342"/>
      <c r="C5342"/>
      <c r="D5342"/>
      <c r="E5342"/>
      <c r="F5342"/>
      <c r="G5342"/>
      <c r="H5342" s="19"/>
      <c r="I5342" s="19"/>
      <c r="J5342" s="19"/>
      <c r="M5342" s="7"/>
    </row>
    <row r="5343" spans="2:13" x14ac:dyDescent="0.25">
      <c r="B5343"/>
      <c r="C5343"/>
      <c r="D5343"/>
      <c r="E5343"/>
      <c r="F5343"/>
      <c r="G5343"/>
      <c r="H5343" s="19"/>
      <c r="I5343" s="19"/>
      <c r="J5343" s="19"/>
      <c r="M5343" s="7"/>
    </row>
    <row r="5344" spans="2:13" x14ac:dyDescent="0.25">
      <c r="B5344"/>
      <c r="C5344"/>
      <c r="D5344"/>
      <c r="E5344"/>
      <c r="F5344"/>
      <c r="G5344"/>
      <c r="H5344" s="19"/>
      <c r="I5344" s="19"/>
      <c r="J5344" s="19"/>
      <c r="M5344" s="7"/>
    </row>
    <row r="5345" spans="2:13" x14ac:dyDescent="0.25">
      <c r="B5345"/>
      <c r="C5345"/>
      <c r="D5345"/>
      <c r="E5345"/>
      <c r="F5345"/>
      <c r="G5345"/>
      <c r="H5345" s="19"/>
      <c r="I5345" s="19"/>
      <c r="J5345" s="19"/>
      <c r="M5345" s="7"/>
    </row>
    <row r="5346" spans="2:13" x14ac:dyDescent="0.25">
      <c r="B5346"/>
      <c r="C5346"/>
      <c r="D5346"/>
      <c r="E5346"/>
      <c r="F5346"/>
      <c r="G5346"/>
      <c r="H5346" s="19"/>
      <c r="I5346" s="19"/>
      <c r="J5346" s="19"/>
      <c r="M5346" s="7"/>
    </row>
    <row r="5347" spans="2:13" x14ac:dyDescent="0.25">
      <c r="B5347"/>
      <c r="C5347"/>
      <c r="D5347"/>
      <c r="E5347"/>
      <c r="F5347"/>
      <c r="G5347"/>
      <c r="H5347" s="19"/>
      <c r="I5347" s="19"/>
      <c r="J5347" s="19"/>
      <c r="M5347" s="7"/>
    </row>
    <row r="5348" spans="2:13" x14ac:dyDescent="0.25">
      <c r="B5348"/>
      <c r="C5348"/>
      <c r="D5348"/>
      <c r="E5348"/>
      <c r="F5348"/>
      <c r="G5348"/>
      <c r="H5348" s="19"/>
      <c r="I5348" s="19"/>
      <c r="J5348" s="19"/>
      <c r="M5348" s="7"/>
    </row>
    <row r="5349" spans="2:13" x14ac:dyDescent="0.25">
      <c r="B5349"/>
      <c r="C5349"/>
      <c r="D5349"/>
      <c r="E5349"/>
      <c r="F5349"/>
      <c r="G5349"/>
      <c r="H5349" s="19"/>
      <c r="I5349" s="19"/>
      <c r="J5349" s="19"/>
      <c r="M5349" s="7"/>
    </row>
    <row r="5350" spans="2:13" x14ac:dyDescent="0.25">
      <c r="B5350"/>
      <c r="C5350"/>
      <c r="D5350"/>
      <c r="E5350"/>
      <c r="F5350"/>
      <c r="G5350"/>
      <c r="H5350" s="19"/>
      <c r="I5350" s="19"/>
      <c r="J5350" s="19"/>
      <c r="M5350" s="7"/>
    </row>
    <row r="5351" spans="2:13" x14ac:dyDescent="0.25">
      <c r="B5351"/>
      <c r="C5351"/>
      <c r="D5351"/>
      <c r="E5351"/>
      <c r="F5351"/>
      <c r="G5351"/>
      <c r="H5351" s="19"/>
      <c r="I5351" s="19"/>
      <c r="J5351" s="19"/>
      <c r="M5351" s="7"/>
    </row>
    <row r="5352" spans="2:13" x14ac:dyDescent="0.25">
      <c r="B5352"/>
      <c r="C5352"/>
      <c r="D5352"/>
      <c r="E5352"/>
      <c r="F5352"/>
      <c r="G5352"/>
      <c r="H5352" s="19"/>
      <c r="I5352" s="19"/>
      <c r="J5352" s="19"/>
      <c r="M5352" s="7"/>
    </row>
    <row r="5353" spans="2:13" x14ac:dyDescent="0.25">
      <c r="B5353"/>
      <c r="C5353"/>
      <c r="D5353"/>
      <c r="E5353"/>
      <c r="F5353"/>
      <c r="G5353"/>
      <c r="H5353" s="19"/>
      <c r="I5353" s="19"/>
      <c r="J5353" s="19"/>
      <c r="M5353" s="7"/>
    </row>
    <row r="5354" spans="2:13" x14ac:dyDescent="0.25">
      <c r="B5354"/>
      <c r="C5354"/>
      <c r="D5354"/>
      <c r="E5354"/>
      <c r="F5354"/>
      <c r="G5354"/>
      <c r="H5354" s="19"/>
      <c r="I5354" s="19"/>
      <c r="J5354" s="19"/>
      <c r="M5354" s="7"/>
    </row>
    <row r="5355" spans="2:13" x14ac:dyDescent="0.25">
      <c r="B5355"/>
      <c r="C5355"/>
      <c r="D5355"/>
      <c r="E5355"/>
      <c r="F5355"/>
      <c r="G5355"/>
      <c r="H5355" s="19"/>
      <c r="I5355" s="19"/>
      <c r="J5355" s="19"/>
      <c r="M5355" s="7"/>
    </row>
    <row r="5356" spans="2:13" x14ac:dyDescent="0.25">
      <c r="B5356"/>
      <c r="C5356"/>
      <c r="D5356"/>
      <c r="E5356"/>
      <c r="F5356"/>
      <c r="G5356"/>
      <c r="H5356" s="19"/>
      <c r="I5356" s="19"/>
      <c r="J5356" s="19"/>
      <c r="M5356" s="7"/>
    </row>
    <row r="5357" spans="2:13" x14ac:dyDescent="0.25">
      <c r="B5357"/>
      <c r="C5357"/>
      <c r="D5357"/>
      <c r="E5357"/>
      <c r="F5357"/>
      <c r="G5357"/>
      <c r="H5357" s="19"/>
      <c r="I5357" s="19"/>
      <c r="J5357" s="19"/>
      <c r="M5357" s="7"/>
    </row>
    <row r="5358" spans="2:13" x14ac:dyDescent="0.25">
      <c r="B5358"/>
      <c r="C5358"/>
      <c r="D5358"/>
      <c r="E5358"/>
      <c r="F5358"/>
      <c r="G5358"/>
      <c r="H5358" s="19"/>
      <c r="I5358" s="19"/>
      <c r="J5358" s="19"/>
      <c r="M5358" s="7"/>
    </row>
    <row r="5359" spans="2:13" x14ac:dyDescent="0.25">
      <c r="B5359"/>
      <c r="C5359"/>
      <c r="D5359"/>
      <c r="E5359"/>
      <c r="F5359"/>
      <c r="G5359"/>
      <c r="H5359" s="19"/>
      <c r="I5359" s="19"/>
      <c r="J5359" s="19"/>
      <c r="M5359" s="7"/>
    </row>
    <row r="5360" spans="2:13" x14ac:dyDescent="0.25">
      <c r="B5360"/>
      <c r="C5360"/>
      <c r="D5360"/>
      <c r="E5360"/>
      <c r="F5360"/>
      <c r="G5360"/>
      <c r="H5360" s="19"/>
      <c r="I5360" s="19"/>
      <c r="J5360" s="19"/>
      <c r="M5360" s="7"/>
    </row>
    <row r="5361" spans="2:13" x14ac:dyDescent="0.25">
      <c r="B5361"/>
      <c r="C5361"/>
      <c r="D5361"/>
      <c r="E5361"/>
      <c r="F5361"/>
      <c r="G5361"/>
      <c r="H5361" s="19"/>
      <c r="I5361" s="19"/>
      <c r="J5361" s="19"/>
      <c r="M5361" s="7"/>
    </row>
    <row r="5362" spans="2:13" x14ac:dyDescent="0.25">
      <c r="B5362"/>
      <c r="C5362"/>
      <c r="D5362"/>
      <c r="E5362"/>
      <c r="F5362"/>
      <c r="G5362"/>
      <c r="H5362" s="19"/>
      <c r="I5362" s="19"/>
      <c r="J5362" s="19"/>
      <c r="M5362" s="7"/>
    </row>
    <row r="5363" spans="2:13" x14ac:dyDescent="0.25">
      <c r="B5363"/>
      <c r="C5363"/>
      <c r="D5363"/>
      <c r="E5363"/>
      <c r="F5363"/>
      <c r="G5363"/>
      <c r="H5363" s="19"/>
      <c r="I5363" s="19"/>
      <c r="J5363" s="19"/>
      <c r="M5363" s="7"/>
    </row>
    <row r="5364" spans="2:13" x14ac:dyDescent="0.25">
      <c r="B5364"/>
      <c r="C5364"/>
      <c r="D5364"/>
      <c r="E5364"/>
      <c r="F5364"/>
      <c r="G5364"/>
      <c r="H5364" s="19"/>
      <c r="I5364" s="19"/>
      <c r="J5364" s="19"/>
      <c r="M5364" s="7"/>
    </row>
    <row r="5365" spans="2:13" x14ac:dyDescent="0.25">
      <c r="B5365"/>
      <c r="C5365"/>
      <c r="D5365"/>
      <c r="E5365"/>
      <c r="F5365"/>
      <c r="G5365"/>
      <c r="H5365" s="19"/>
      <c r="I5365" s="19"/>
      <c r="J5365" s="19"/>
      <c r="M5365" s="7"/>
    </row>
    <row r="5366" spans="2:13" x14ac:dyDescent="0.25">
      <c r="B5366"/>
      <c r="C5366"/>
      <c r="D5366"/>
      <c r="E5366"/>
      <c r="F5366"/>
      <c r="G5366"/>
      <c r="H5366" s="19"/>
      <c r="I5366" s="19"/>
      <c r="J5366" s="19"/>
      <c r="M5366" s="7"/>
    </row>
    <row r="5367" spans="2:13" x14ac:dyDescent="0.25">
      <c r="B5367"/>
      <c r="C5367"/>
      <c r="D5367"/>
      <c r="E5367"/>
      <c r="F5367"/>
      <c r="G5367"/>
      <c r="H5367" s="19"/>
      <c r="I5367" s="19"/>
      <c r="J5367" s="19"/>
      <c r="M5367" s="7"/>
    </row>
    <row r="5368" spans="2:13" x14ac:dyDescent="0.25">
      <c r="B5368"/>
      <c r="C5368"/>
      <c r="D5368"/>
      <c r="E5368"/>
      <c r="F5368"/>
      <c r="G5368"/>
      <c r="H5368" s="19"/>
      <c r="I5368" s="19"/>
      <c r="J5368" s="19"/>
      <c r="M5368" s="7"/>
    </row>
    <row r="5369" spans="2:13" x14ac:dyDescent="0.25">
      <c r="B5369"/>
      <c r="C5369"/>
      <c r="D5369"/>
      <c r="E5369"/>
      <c r="F5369"/>
      <c r="G5369"/>
      <c r="H5369" s="19"/>
      <c r="I5369" s="19"/>
      <c r="J5369" s="19"/>
      <c r="M5369" s="7"/>
    </row>
    <row r="5370" spans="2:13" x14ac:dyDescent="0.25">
      <c r="B5370"/>
      <c r="C5370"/>
      <c r="D5370"/>
      <c r="E5370"/>
      <c r="F5370"/>
      <c r="G5370"/>
      <c r="H5370" s="19"/>
      <c r="I5370" s="19"/>
      <c r="J5370" s="19"/>
      <c r="M5370" s="7"/>
    </row>
    <row r="5371" spans="2:13" x14ac:dyDescent="0.25">
      <c r="B5371"/>
      <c r="C5371"/>
      <c r="D5371"/>
      <c r="E5371"/>
      <c r="F5371"/>
      <c r="G5371"/>
      <c r="H5371" s="19"/>
      <c r="I5371" s="19"/>
      <c r="J5371" s="19"/>
      <c r="M5371" s="7"/>
    </row>
    <row r="5372" spans="2:13" x14ac:dyDescent="0.25">
      <c r="B5372"/>
      <c r="C5372"/>
      <c r="D5372"/>
      <c r="E5372"/>
      <c r="F5372"/>
      <c r="G5372"/>
      <c r="H5372" s="19"/>
      <c r="I5372" s="19"/>
      <c r="J5372" s="19"/>
      <c r="M5372" s="7"/>
    </row>
    <row r="5373" spans="2:13" x14ac:dyDescent="0.25">
      <c r="B5373"/>
      <c r="C5373"/>
      <c r="D5373"/>
      <c r="E5373"/>
      <c r="F5373"/>
      <c r="G5373"/>
      <c r="H5373" s="19"/>
      <c r="I5373" s="19"/>
      <c r="J5373" s="19"/>
      <c r="M5373" s="7"/>
    </row>
    <row r="5374" spans="2:13" x14ac:dyDescent="0.25">
      <c r="B5374"/>
      <c r="C5374"/>
      <c r="D5374"/>
      <c r="E5374"/>
      <c r="F5374"/>
      <c r="G5374"/>
      <c r="H5374" s="19"/>
      <c r="I5374" s="19"/>
      <c r="J5374" s="19"/>
      <c r="M5374" s="7"/>
    </row>
    <row r="5375" spans="2:13" x14ac:dyDescent="0.25">
      <c r="B5375"/>
      <c r="C5375"/>
      <c r="D5375"/>
      <c r="E5375"/>
      <c r="F5375"/>
      <c r="G5375"/>
      <c r="H5375" s="19"/>
      <c r="I5375" s="19"/>
      <c r="J5375" s="19"/>
      <c r="M5375" s="7"/>
    </row>
    <row r="5376" spans="2:13" x14ac:dyDescent="0.25">
      <c r="B5376"/>
      <c r="C5376"/>
      <c r="D5376"/>
      <c r="E5376"/>
      <c r="F5376"/>
      <c r="G5376"/>
      <c r="H5376" s="19"/>
      <c r="I5376" s="19"/>
      <c r="J5376" s="19"/>
      <c r="M5376" s="7"/>
    </row>
    <row r="5377" spans="2:13" x14ac:dyDescent="0.25">
      <c r="B5377"/>
      <c r="C5377"/>
      <c r="D5377"/>
      <c r="E5377"/>
      <c r="F5377"/>
      <c r="G5377"/>
      <c r="H5377" s="19"/>
      <c r="I5377" s="19"/>
      <c r="J5377" s="19"/>
      <c r="M5377" s="7"/>
    </row>
    <row r="5378" spans="2:13" x14ac:dyDescent="0.25">
      <c r="B5378"/>
      <c r="C5378"/>
      <c r="D5378"/>
      <c r="E5378"/>
      <c r="F5378"/>
      <c r="G5378"/>
      <c r="H5378" s="19"/>
      <c r="I5378" s="19"/>
      <c r="J5378" s="19"/>
      <c r="M5378" s="7"/>
    </row>
    <row r="5379" spans="2:13" x14ac:dyDescent="0.25">
      <c r="B5379"/>
      <c r="C5379"/>
      <c r="D5379"/>
      <c r="E5379"/>
      <c r="F5379"/>
      <c r="G5379"/>
      <c r="H5379" s="19"/>
      <c r="I5379" s="19"/>
      <c r="J5379" s="19"/>
      <c r="M5379" s="7"/>
    </row>
    <row r="5380" spans="2:13" x14ac:dyDescent="0.25">
      <c r="B5380"/>
      <c r="C5380"/>
      <c r="D5380"/>
      <c r="E5380"/>
      <c r="F5380"/>
      <c r="G5380"/>
      <c r="H5380" s="19"/>
      <c r="I5380" s="19"/>
      <c r="J5380" s="19"/>
      <c r="M5380" s="7"/>
    </row>
    <row r="5381" spans="2:13" x14ac:dyDescent="0.25">
      <c r="B5381"/>
      <c r="C5381"/>
      <c r="D5381"/>
      <c r="E5381"/>
      <c r="F5381"/>
      <c r="G5381"/>
      <c r="H5381" s="19"/>
      <c r="I5381" s="19"/>
      <c r="J5381" s="19"/>
      <c r="M5381" s="7"/>
    </row>
    <row r="5382" spans="2:13" x14ac:dyDescent="0.25">
      <c r="B5382"/>
      <c r="C5382"/>
      <c r="D5382"/>
      <c r="E5382"/>
      <c r="F5382"/>
      <c r="G5382"/>
      <c r="H5382" s="19"/>
      <c r="I5382" s="19"/>
      <c r="J5382" s="19"/>
      <c r="M5382" s="7"/>
    </row>
    <row r="5383" spans="2:13" x14ac:dyDescent="0.25">
      <c r="B5383"/>
      <c r="C5383"/>
      <c r="D5383"/>
      <c r="E5383"/>
      <c r="F5383"/>
      <c r="G5383"/>
      <c r="H5383" s="19"/>
      <c r="I5383" s="19"/>
      <c r="J5383" s="19"/>
      <c r="M5383" s="7"/>
    </row>
    <row r="5384" spans="2:13" x14ac:dyDescent="0.25">
      <c r="B5384"/>
      <c r="C5384"/>
      <c r="D5384"/>
      <c r="E5384"/>
      <c r="F5384"/>
      <c r="G5384"/>
      <c r="H5384" s="19"/>
      <c r="I5384" s="19"/>
      <c r="J5384" s="19"/>
      <c r="M5384" s="7"/>
    </row>
    <row r="5385" spans="2:13" x14ac:dyDescent="0.25">
      <c r="B5385"/>
      <c r="C5385"/>
      <c r="D5385"/>
      <c r="E5385"/>
      <c r="F5385"/>
      <c r="G5385"/>
      <c r="H5385" s="19"/>
      <c r="I5385" s="19"/>
      <c r="J5385" s="19"/>
      <c r="M5385" s="7"/>
    </row>
    <row r="5386" spans="2:13" x14ac:dyDescent="0.25">
      <c r="B5386"/>
      <c r="C5386"/>
      <c r="D5386"/>
      <c r="E5386"/>
      <c r="F5386"/>
      <c r="G5386"/>
      <c r="H5386" s="19"/>
      <c r="I5386" s="19"/>
      <c r="J5386" s="19"/>
      <c r="M5386" s="7"/>
    </row>
    <row r="5387" spans="2:13" x14ac:dyDescent="0.25">
      <c r="B5387"/>
      <c r="C5387"/>
      <c r="D5387"/>
      <c r="E5387"/>
      <c r="F5387"/>
      <c r="G5387"/>
      <c r="H5387" s="19"/>
      <c r="I5387" s="19"/>
      <c r="J5387" s="19"/>
      <c r="M5387" s="7"/>
    </row>
    <row r="5388" spans="2:13" x14ac:dyDescent="0.25">
      <c r="B5388"/>
      <c r="C5388"/>
      <c r="D5388"/>
      <c r="E5388"/>
      <c r="F5388"/>
      <c r="G5388"/>
      <c r="H5388" s="19"/>
      <c r="I5388" s="19"/>
      <c r="J5388" s="19"/>
      <c r="M5388" s="7"/>
    </row>
    <row r="5389" spans="2:13" x14ac:dyDescent="0.25">
      <c r="B5389"/>
      <c r="C5389"/>
      <c r="D5389"/>
      <c r="E5389"/>
      <c r="F5389"/>
      <c r="G5389"/>
      <c r="H5389" s="19"/>
      <c r="I5389" s="19"/>
      <c r="J5389" s="19"/>
      <c r="M5389" s="7"/>
    </row>
    <row r="5390" spans="2:13" x14ac:dyDescent="0.25">
      <c r="B5390"/>
      <c r="C5390"/>
      <c r="D5390"/>
      <c r="E5390"/>
      <c r="F5390"/>
      <c r="G5390"/>
      <c r="H5390" s="19"/>
      <c r="I5390" s="19"/>
      <c r="J5390" s="19"/>
      <c r="M5390" s="7"/>
    </row>
    <row r="5391" spans="2:13" x14ac:dyDescent="0.25">
      <c r="B5391"/>
      <c r="C5391"/>
      <c r="D5391"/>
      <c r="E5391"/>
      <c r="F5391"/>
      <c r="G5391"/>
      <c r="H5391" s="19"/>
      <c r="I5391" s="19"/>
      <c r="J5391" s="19"/>
      <c r="M5391" s="7"/>
    </row>
    <row r="5392" spans="2:13" x14ac:dyDescent="0.25">
      <c r="B5392"/>
      <c r="C5392"/>
      <c r="D5392"/>
      <c r="E5392"/>
      <c r="F5392"/>
      <c r="G5392"/>
      <c r="H5392" s="19"/>
      <c r="I5392" s="19"/>
      <c r="J5392" s="19"/>
      <c r="M5392" s="7"/>
    </row>
    <row r="5393" spans="2:13" x14ac:dyDescent="0.25">
      <c r="B5393"/>
      <c r="C5393"/>
      <c r="D5393"/>
      <c r="E5393"/>
      <c r="F5393"/>
      <c r="G5393"/>
      <c r="H5393" s="19"/>
      <c r="I5393" s="19"/>
      <c r="J5393" s="19"/>
      <c r="M5393" s="7"/>
    </row>
    <row r="5394" spans="2:13" x14ac:dyDescent="0.25">
      <c r="B5394"/>
      <c r="C5394"/>
      <c r="D5394"/>
      <c r="E5394"/>
      <c r="F5394"/>
      <c r="G5394"/>
      <c r="H5394" s="19"/>
      <c r="I5394" s="19"/>
      <c r="J5394" s="19"/>
      <c r="M5394" s="7"/>
    </row>
    <row r="5395" spans="2:13" x14ac:dyDescent="0.25">
      <c r="B5395"/>
      <c r="C5395"/>
      <c r="D5395"/>
      <c r="E5395"/>
      <c r="F5395"/>
      <c r="G5395"/>
      <c r="H5395" s="19"/>
      <c r="I5395" s="19"/>
      <c r="J5395" s="19"/>
      <c r="M5395" s="7"/>
    </row>
    <row r="5396" spans="2:13" x14ac:dyDescent="0.25">
      <c r="B5396"/>
      <c r="C5396"/>
      <c r="D5396"/>
      <c r="E5396"/>
      <c r="F5396"/>
      <c r="G5396"/>
      <c r="H5396" s="19"/>
      <c r="I5396" s="19"/>
      <c r="J5396" s="19"/>
      <c r="M5396" s="7"/>
    </row>
    <row r="5397" spans="2:13" x14ac:dyDescent="0.25">
      <c r="B5397"/>
      <c r="C5397"/>
      <c r="D5397"/>
      <c r="E5397"/>
      <c r="F5397"/>
      <c r="G5397"/>
      <c r="H5397" s="19"/>
      <c r="I5397" s="19"/>
      <c r="J5397" s="19"/>
      <c r="M5397" s="7"/>
    </row>
    <row r="5398" spans="2:13" x14ac:dyDescent="0.25">
      <c r="B5398"/>
      <c r="C5398"/>
      <c r="D5398"/>
      <c r="E5398"/>
      <c r="F5398"/>
      <c r="G5398"/>
      <c r="H5398" s="19"/>
      <c r="I5398" s="19"/>
      <c r="J5398" s="19"/>
      <c r="M5398" s="7"/>
    </row>
    <row r="5399" spans="2:13" x14ac:dyDescent="0.25">
      <c r="B5399"/>
      <c r="C5399"/>
      <c r="D5399"/>
      <c r="E5399"/>
      <c r="F5399"/>
      <c r="G5399"/>
      <c r="H5399" s="19"/>
      <c r="I5399" s="19"/>
      <c r="J5399" s="19"/>
      <c r="M5399" s="7"/>
    </row>
    <row r="5400" spans="2:13" x14ac:dyDescent="0.25">
      <c r="B5400"/>
      <c r="C5400"/>
      <c r="D5400"/>
      <c r="E5400"/>
      <c r="F5400"/>
      <c r="G5400"/>
      <c r="H5400" s="19"/>
      <c r="I5400" s="19"/>
      <c r="J5400" s="19"/>
      <c r="M5400" s="7"/>
    </row>
    <row r="5401" spans="2:13" x14ac:dyDescent="0.25">
      <c r="B5401"/>
      <c r="C5401"/>
      <c r="D5401"/>
      <c r="E5401"/>
      <c r="F5401"/>
      <c r="G5401"/>
      <c r="H5401" s="19"/>
      <c r="I5401" s="19"/>
      <c r="J5401" s="19"/>
      <c r="M5401" s="7"/>
    </row>
    <row r="5402" spans="2:13" x14ac:dyDescent="0.25">
      <c r="B5402"/>
      <c r="C5402"/>
      <c r="D5402"/>
      <c r="E5402"/>
      <c r="F5402"/>
      <c r="G5402"/>
      <c r="H5402" s="19"/>
      <c r="I5402" s="19"/>
      <c r="J5402" s="19"/>
      <c r="M5402" s="7"/>
    </row>
    <row r="5403" spans="2:13" x14ac:dyDescent="0.25">
      <c r="B5403"/>
      <c r="C5403"/>
      <c r="D5403"/>
      <c r="E5403"/>
      <c r="F5403"/>
      <c r="G5403"/>
      <c r="H5403" s="19"/>
      <c r="I5403" s="19"/>
      <c r="J5403" s="19"/>
      <c r="M5403" s="7"/>
    </row>
    <row r="5404" spans="2:13" x14ac:dyDescent="0.25">
      <c r="B5404"/>
      <c r="C5404"/>
      <c r="D5404"/>
      <c r="E5404"/>
      <c r="F5404"/>
      <c r="G5404"/>
      <c r="H5404" s="19"/>
      <c r="I5404" s="19"/>
      <c r="J5404" s="19"/>
      <c r="M5404" s="7"/>
    </row>
    <row r="5405" spans="2:13" x14ac:dyDescent="0.25">
      <c r="B5405"/>
      <c r="C5405"/>
      <c r="D5405"/>
      <c r="E5405"/>
      <c r="F5405"/>
      <c r="G5405"/>
      <c r="H5405" s="19"/>
      <c r="I5405" s="19"/>
      <c r="J5405" s="19"/>
      <c r="M5405" s="7"/>
    </row>
    <row r="5406" spans="2:13" x14ac:dyDescent="0.25">
      <c r="B5406"/>
      <c r="C5406"/>
      <c r="D5406"/>
      <c r="E5406"/>
      <c r="F5406"/>
      <c r="G5406"/>
      <c r="H5406" s="19"/>
      <c r="I5406" s="19"/>
      <c r="J5406" s="19"/>
      <c r="M5406" s="7"/>
    </row>
    <row r="5407" spans="2:13" x14ac:dyDescent="0.25">
      <c r="B5407"/>
      <c r="C5407"/>
      <c r="D5407"/>
      <c r="E5407"/>
      <c r="F5407"/>
      <c r="G5407"/>
      <c r="H5407" s="19"/>
      <c r="I5407" s="19"/>
      <c r="J5407" s="19"/>
      <c r="M5407" s="7"/>
    </row>
    <row r="5408" spans="2:13" x14ac:dyDescent="0.25">
      <c r="B5408"/>
      <c r="C5408"/>
      <c r="D5408"/>
      <c r="E5408"/>
      <c r="F5408"/>
      <c r="G5408"/>
      <c r="H5408" s="19"/>
      <c r="I5408" s="19"/>
      <c r="J5408" s="19"/>
      <c r="M5408" s="7"/>
    </row>
    <row r="5409" spans="2:13" x14ac:dyDescent="0.25">
      <c r="B5409"/>
      <c r="C5409"/>
      <c r="D5409"/>
      <c r="E5409"/>
      <c r="F5409"/>
      <c r="G5409"/>
      <c r="H5409" s="19"/>
      <c r="I5409" s="19"/>
      <c r="J5409" s="19"/>
      <c r="M5409" s="7"/>
    </row>
    <row r="5410" spans="2:13" x14ac:dyDescent="0.25">
      <c r="B5410"/>
      <c r="C5410"/>
      <c r="D5410"/>
      <c r="E5410"/>
      <c r="F5410"/>
      <c r="G5410"/>
      <c r="H5410" s="19"/>
      <c r="I5410" s="19"/>
      <c r="J5410" s="19"/>
      <c r="M5410" s="7"/>
    </row>
    <row r="5411" spans="2:13" x14ac:dyDescent="0.25">
      <c r="B5411"/>
      <c r="C5411"/>
      <c r="D5411"/>
      <c r="E5411"/>
      <c r="F5411"/>
      <c r="G5411"/>
      <c r="H5411" s="19"/>
      <c r="I5411" s="19"/>
      <c r="J5411" s="19"/>
      <c r="M5411" s="7"/>
    </row>
    <row r="5412" spans="2:13" x14ac:dyDescent="0.25">
      <c r="B5412"/>
      <c r="C5412"/>
      <c r="D5412"/>
      <c r="E5412"/>
      <c r="F5412"/>
      <c r="G5412"/>
      <c r="H5412" s="19"/>
      <c r="I5412" s="19"/>
      <c r="J5412" s="19"/>
      <c r="M5412" s="7"/>
    </row>
    <row r="5413" spans="2:13" x14ac:dyDescent="0.25">
      <c r="B5413"/>
      <c r="C5413"/>
      <c r="D5413"/>
      <c r="E5413"/>
      <c r="F5413"/>
      <c r="G5413"/>
      <c r="H5413" s="19"/>
      <c r="I5413" s="19"/>
      <c r="J5413" s="19"/>
      <c r="M5413" s="7"/>
    </row>
    <row r="5414" spans="2:13" x14ac:dyDescent="0.25">
      <c r="B5414"/>
      <c r="C5414"/>
      <c r="D5414"/>
      <c r="E5414"/>
      <c r="F5414"/>
      <c r="G5414"/>
      <c r="H5414" s="19"/>
      <c r="I5414" s="19"/>
      <c r="J5414" s="19"/>
      <c r="M5414" s="7"/>
    </row>
    <row r="5415" spans="2:13" x14ac:dyDescent="0.25">
      <c r="B5415"/>
      <c r="C5415"/>
      <c r="D5415"/>
      <c r="E5415"/>
      <c r="F5415"/>
      <c r="G5415"/>
      <c r="H5415" s="19"/>
      <c r="I5415" s="19"/>
      <c r="J5415" s="19"/>
      <c r="M5415" s="7"/>
    </row>
    <row r="5416" spans="2:13" x14ac:dyDescent="0.25">
      <c r="B5416"/>
      <c r="C5416"/>
      <c r="D5416"/>
      <c r="E5416"/>
      <c r="F5416"/>
      <c r="G5416"/>
      <c r="H5416" s="19"/>
      <c r="I5416" s="19"/>
      <c r="J5416" s="19"/>
      <c r="M5416" s="7"/>
    </row>
    <row r="5417" spans="2:13" x14ac:dyDescent="0.25">
      <c r="B5417"/>
      <c r="C5417"/>
      <c r="D5417"/>
      <c r="E5417"/>
      <c r="F5417"/>
      <c r="G5417"/>
      <c r="H5417" s="19"/>
      <c r="I5417" s="19"/>
      <c r="J5417" s="19"/>
      <c r="M5417" s="7"/>
    </row>
    <row r="5418" spans="2:13" x14ac:dyDescent="0.25">
      <c r="B5418"/>
      <c r="C5418"/>
      <c r="D5418"/>
      <c r="E5418"/>
      <c r="F5418"/>
      <c r="G5418"/>
      <c r="H5418" s="19"/>
      <c r="I5418" s="19"/>
      <c r="J5418" s="19"/>
      <c r="M5418" s="7"/>
    </row>
    <row r="5419" spans="2:13" x14ac:dyDescent="0.25">
      <c r="B5419"/>
      <c r="C5419"/>
      <c r="D5419"/>
      <c r="E5419"/>
      <c r="F5419"/>
      <c r="G5419"/>
      <c r="H5419" s="19"/>
      <c r="I5419" s="19"/>
      <c r="J5419" s="19"/>
      <c r="M5419" s="7"/>
    </row>
    <row r="5420" spans="2:13" x14ac:dyDescent="0.25">
      <c r="B5420"/>
      <c r="C5420"/>
      <c r="D5420"/>
      <c r="E5420"/>
      <c r="F5420"/>
      <c r="G5420"/>
      <c r="H5420" s="19"/>
      <c r="I5420" s="19"/>
      <c r="J5420" s="19"/>
      <c r="M5420" s="7"/>
    </row>
    <row r="5421" spans="2:13" x14ac:dyDescent="0.25">
      <c r="B5421"/>
      <c r="C5421"/>
      <c r="D5421"/>
      <c r="E5421"/>
      <c r="F5421"/>
      <c r="G5421"/>
      <c r="H5421" s="19"/>
      <c r="I5421" s="19"/>
      <c r="J5421" s="19"/>
      <c r="M5421" s="7"/>
    </row>
    <row r="5422" spans="2:13" x14ac:dyDescent="0.25">
      <c r="B5422"/>
      <c r="C5422"/>
      <c r="D5422"/>
      <c r="E5422"/>
      <c r="F5422"/>
      <c r="G5422"/>
      <c r="H5422" s="19"/>
      <c r="I5422" s="19"/>
      <c r="J5422" s="19"/>
      <c r="M5422" s="7"/>
    </row>
    <row r="5423" spans="2:13" x14ac:dyDescent="0.25">
      <c r="B5423"/>
      <c r="C5423"/>
      <c r="D5423"/>
      <c r="E5423"/>
      <c r="F5423"/>
      <c r="G5423"/>
      <c r="H5423" s="19"/>
      <c r="I5423" s="19"/>
      <c r="J5423" s="19"/>
      <c r="M5423" s="7"/>
    </row>
    <row r="5424" spans="2:13" x14ac:dyDescent="0.25">
      <c r="B5424"/>
      <c r="C5424"/>
      <c r="D5424"/>
      <c r="E5424"/>
      <c r="F5424"/>
      <c r="G5424"/>
      <c r="H5424" s="19"/>
      <c r="I5424" s="19"/>
      <c r="J5424" s="19"/>
      <c r="M5424" s="7"/>
    </row>
    <row r="5425" spans="2:13" x14ac:dyDescent="0.25">
      <c r="B5425"/>
      <c r="C5425"/>
      <c r="D5425"/>
      <c r="E5425"/>
      <c r="F5425"/>
      <c r="G5425"/>
      <c r="H5425" s="19"/>
      <c r="I5425" s="19"/>
      <c r="J5425" s="19"/>
      <c r="M5425" s="7"/>
    </row>
    <row r="5426" spans="2:13" x14ac:dyDescent="0.25">
      <c r="B5426"/>
      <c r="C5426"/>
      <c r="D5426"/>
      <c r="E5426"/>
      <c r="F5426"/>
      <c r="G5426"/>
      <c r="H5426" s="19"/>
      <c r="I5426" s="19"/>
      <c r="J5426" s="19"/>
      <c r="M5426" s="7"/>
    </row>
    <row r="5427" spans="2:13" x14ac:dyDescent="0.25">
      <c r="B5427"/>
      <c r="C5427"/>
      <c r="D5427"/>
      <c r="E5427"/>
      <c r="F5427"/>
      <c r="G5427"/>
      <c r="H5427" s="19"/>
      <c r="I5427" s="19"/>
      <c r="J5427" s="19"/>
      <c r="M5427" s="7"/>
    </row>
    <row r="5428" spans="2:13" x14ac:dyDescent="0.25">
      <c r="B5428"/>
      <c r="C5428"/>
      <c r="D5428"/>
      <c r="E5428"/>
      <c r="F5428"/>
      <c r="G5428"/>
      <c r="H5428" s="19"/>
      <c r="I5428" s="19"/>
      <c r="J5428" s="19"/>
      <c r="M5428" s="7"/>
    </row>
    <row r="5429" spans="2:13" x14ac:dyDescent="0.25">
      <c r="B5429"/>
      <c r="C5429"/>
      <c r="D5429"/>
      <c r="E5429"/>
      <c r="F5429"/>
      <c r="G5429"/>
      <c r="H5429" s="19"/>
      <c r="I5429" s="19"/>
      <c r="J5429" s="19"/>
      <c r="M5429" s="7"/>
    </row>
    <row r="5430" spans="2:13" x14ac:dyDescent="0.25">
      <c r="B5430"/>
      <c r="C5430"/>
      <c r="D5430"/>
      <c r="E5430"/>
      <c r="F5430"/>
      <c r="G5430"/>
      <c r="H5430" s="19"/>
      <c r="I5430" s="19"/>
      <c r="J5430" s="19"/>
      <c r="M5430" s="7"/>
    </row>
    <row r="5431" spans="2:13" x14ac:dyDescent="0.25">
      <c r="B5431"/>
      <c r="C5431"/>
      <c r="D5431"/>
      <c r="E5431"/>
      <c r="F5431"/>
      <c r="G5431"/>
      <c r="H5431" s="19"/>
      <c r="I5431" s="19"/>
      <c r="J5431" s="19"/>
      <c r="M5431" s="7"/>
    </row>
    <row r="5432" spans="2:13" x14ac:dyDescent="0.25">
      <c r="B5432"/>
      <c r="C5432"/>
      <c r="D5432"/>
      <c r="E5432"/>
      <c r="F5432"/>
      <c r="G5432"/>
      <c r="H5432" s="19"/>
      <c r="I5432" s="19"/>
      <c r="J5432" s="19"/>
      <c r="M5432" s="7"/>
    </row>
    <row r="5433" spans="2:13" x14ac:dyDescent="0.25">
      <c r="B5433"/>
      <c r="C5433"/>
      <c r="D5433"/>
      <c r="E5433"/>
      <c r="F5433"/>
      <c r="G5433"/>
      <c r="H5433" s="19"/>
      <c r="I5433" s="19"/>
      <c r="J5433" s="19"/>
      <c r="M5433" s="7"/>
    </row>
    <row r="5434" spans="2:13" x14ac:dyDescent="0.25">
      <c r="B5434"/>
      <c r="C5434"/>
      <c r="D5434"/>
      <c r="E5434"/>
      <c r="F5434"/>
      <c r="G5434"/>
      <c r="H5434" s="19"/>
      <c r="I5434" s="19"/>
      <c r="J5434" s="19"/>
      <c r="M5434" s="7"/>
    </row>
    <row r="5435" spans="2:13" x14ac:dyDescent="0.25">
      <c r="B5435"/>
      <c r="C5435"/>
      <c r="D5435"/>
      <c r="E5435"/>
      <c r="F5435"/>
      <c r="G5435"/>
      <c r="H5435" s="19"/>
      <c r="I5435" s="19"/>
      <c r="J5435" s="19"/>
      <c r="M5435" s="7"/>
    </row>
    <row r="5436" spans="2:13" x14ac:dyDescent="0.25">
      <c r="B5436"/>
      <c r="C5436"/>
      <c r="D5436"/>
      <c r="E5436"/>
      <c r="F5436"/>
      <c r="G5436"/>
      <c r="H5436" s="19"/>
      <c r="I5436" s="19"/>
      <c r="J5436" s="19"/>
      <c r="M5436" s="7"/>
    </row>
    <row r="5437" spans="2:13" x14ac:dyDescent="0.25">
      <c r="B5437"/>
      <c r="C5437"/>
      <c r="D5437"/>
      <c r="E5437"/>
      <c r="F5437"/>
      <c r="G5437"/>
      <c r="H5437" s="19"/>
      <c r="I5437" s="19"/>
      <c r="J5437" s="19"/>
      <c r="M5437" s="7"/>
    </row>
    <row r="5438" spans="2:13" x14ac:dyDescent="0.25">
      <c r="B5438"/>
      <c r="C5438"/>
      <c r="D5438"/>
      <c r="E5438"/>
      <c r="F5438"/>
      <c r="G5438"/>
      <c r="H5438" s="19"/>
      <c r="I5438" s="19"/>
      <c r="J5438" s="19"/>
      <c r="M5438" s="7"/>
    </row>
    <row r="5439" spans="2:13" x14ac:dyDescent="0.25">
      <c r="B5439"/>
      <c r="C5439"/>
      <c r="D5439"/>
      <c r="E5439"/>
      <c r="F5439"/>
      <c r="G5439"/>
      <c r="H5439" s="19"/>
      <c r="I5439" s="19"/>
      <c r="J5439" s="19"/>
      <c r="M5439" s="7"/>
    </row>
    <row r="5440" spans="2:13" x14ac:dyDescent="0.25">
      <c r="B5440"/>
      <c r="C5440"/>
      <c r="D5440"/>
      <c r="E5440"/>
      <c r="F5440"/>
      <c r="G5440"/>
      <c r="H5440" s="19"/>
      <c r="I5440" s="19"/>
      <c r="J5440" s="19"/>
      <c r="M5440" s="7"/>
    </row>
    <row r="5441" spans="2:13" x14ac:dyDescent="0.25">
      <c r="B5441"/>
      <c r="C5441"/>
      <c r="D5441"/>
      <c r="E5441"/>
      <c r="F5441"/>
      <c r="G5441"/>
      <c r="H5441" s="19"/>
      <c r="I5441" s="19"/>
      <c r="J5441" s="19"/>
      <c r="M5441" s="7"/>
    </row>
    <row r="5442" spans="2:13" x14ac:dyDescent="0.25">
      <c r="B5442"/>
      <c r="C5442"/>
      <c r="D5442"/>
      <c r="E5442"/>
      <c r="F5442"/>
      <c r="G5442"/>
      <c r="H5442" s="19"/>
      <c r="I5442" s="19"/>
      <c r="J5442" s="19"/>
      <c r="M5442" s="7"/>
    </row>
    <row r="5443" spans="2:13" x14ac:dyDescent="0.25">
      <c r="B5443"/>
      <c r="C5443"/>
      <c r="D5443"/>
      <c r="E5443"/>
      <c r="F5443"/>
      <c r="G5443"/>
      <c r="H5443" s="19"/>
      <c r="I5443" s="19"/>
      <c r="J5443" s="19"/>
      <c r="M5443" s="7"/>
    </row>
    <row r="5444" spans="2:13" x14ac:dyDescent="0.25">
      <c r="B5444"/>
      <c r="C5444"/>
      <c r="D5444"/>
      <c r="E5444"/>
      <c r="F5444"/>
      <c r="G5444"/>
      <c r="H5444" s="19"/>
      <c r="I5444" s="19"/>
      <c r="J5444" s="19"/>
      <c r="M5444" s="7"/>
    </row>
    <row r="5445" spans="2:13" x14ac:dyDescent="0.25">
      <c r="B5445"/>
      <c r="C5445"/>
      <c r="D5445"/>
      <c r="E5445"/>
      <c r="F5445"/>
      <c r="G5445"/>
      <c r="H5445" s="19"/>
      <c r="I5445" s="19"/>
      <c r="J5445" s="19"/>
      <c r="M5445" s="7"/>
    </row>
    <row r="5446" spans="2:13" x14ac:dyDescent="0.25">
      <c r="B5446"/>
      <c r="C5446"/>
      <c r="D5446"/>
      <c r="E5446"/>
      <c r="F5446"/>
      <c r="G5446"/>
      <c r="H5446" s="19"/>
      <c r="I5446" s="19"/>
      <c r="J5446" s="19"/>
      <c r="M5446" s="7"/>
    </row>
    <row r="5447" spans="2:13" x14ac:dyDescent="0.25">
      <c r="B5447"/>
      <c r="C5447"/>
      <c r="D5447"/>
      <c r="E5447"/>
      <c r="F5447"/>
      <c r="G5447"/>
      <c r="H5447" s="19"/>
      <c r="I5447" s="19"/>
      <c r="J5447" s="19"/>
      <c r="M5447" s="7"/>
    </row>
    <row r="5448" spans="2:13" x14ac:dyDescent="0.25">
      <c r="B5448"/>
      <c r="C5448"/>
      <c r="D5448"/>
      <c r="E5448"/>
      <c r="F5448"/>
      <c r="G5448"/>
      <c r="H5448" s="19"/>
      <c r="I5448" s="19"/>
      <c r="J5448" s="19"/>
      <c r="M5448" s="7"/>
    </row>
    <row r="5449" spans="2:13" x14ac:dyDescent="0.25">
      <c r="B5449"/>
      <c r="C5449"/>
      <c r="D5449"/>
      <c r="E5449"/>
      <c r="F5449"/>
      <c r="G5449"/>
      <c r="H5449" s="19"/>
      <c r="I5449" s="19"/>
      <c r="J5449" s="19"/>
      <c r="M5449" s="7"/>
    </row>
    <row r="5450" spans="2:13" x14ac:dyDescent="0.25">
      <c r="B5450"/>
      <c r="C5450"/>
      <c r="D5450"/>
      <c r="E5450"/>
      <c r="F5450"/>
      <c r="G5450"/>
      <c r="H5450" s="19"/>
      <c r="I5450" s="19"/>
      <c r="J5450" s="19"/>
      <c r="M5450" s="7"/>
    </row>
    <row r="5451" spans="2:13" x14ac:dyDescent="0.25">
      <c r="B5451"/>
      <c r="C5451"/>
      <c r="D5451"/>
      <c r="E5451"/>
      <c r="F5451"/>
      <c r="G5451"/>
      <c r="H5451" s="19"/>
      <c r="I5451" s="19"/>
      <c r="J5451" s="19"/>
      <c r="M5451" s="7"/>
    </row>
    <row r="5452" spans="2:13" x14ac:dyDescent="0.25">
      <c r="B5452"/>
      <c r="C5452"/>
      <c r="D5452"/>
      <c r="E5452"/>
      <c r="F5452"/>
      <c r="G5452"/>
      <c r="H5452" s="19"/>
      <c r="I5452" s="19"/>
      <c r="J5452" s="19"/>
      <c r="M5452" s="7"/>
    </row>
    <row r="5453" spans="2:13" x14ac:dyDescent="0.25">
      <c r="B5453"/>
      <c r="C5453"/>
      <c r="D5453"/>
      <c r="E5453"/>
      <c r="F5453"/>
      <c r="G5453"/>
      <c r="H5453" s="19"/>
      <c r="I5453" s="19"/>
      <c r="J5453" s="19"/>
      <c r="M5453" s="7"/>
    </row>
    <row r="5454" spans="2:13" x14ac:dyDescent="0.25">
      <c r="B5454"/>
      <c r="C5454"/>
      <c r="D5454"/>
      <c r="E5454"/>
      <c r="F5454"/>
      <c r="G5454"/>
      <c r="H5454" s="19"/>
      <c r="I5454" s="19"/>
      <c r="J5454" s="19"/>
      <c r="M5454" s="7"/>
    </row>
    <row r="5455" spans="2:13" x14ac:dyDescent="0.25">
      <c r="B5455"/>
      <c r="C5455"/>
      <c r="D5455"/>
      <c r="E5455"/>
      <c r="F5455"/>
      <c r="G5455"/>
      <c r="H5455" s="19"/>
      <c r="I5455" s="19"/>
      <c r="J5455" s="19"/>
      <c r="M5455" s="7"/>
    </row>
    <row r="5456" spans="2:13" x14ac:dyDescent="0.25">
      <c r="B5456"/>
      <c r="C5456"/>
      <c r="D5456"/>
      <c r="E5456"/>
      <c r="F5456"/>
      <c r="G5456"/>
      <c r="H5456" s="19"/>
      <c r="I5456" s="19"/>
      <c r="J5456" s="19"/>
      <c r="M5456" s="7"/>
    </row>
    <row r="5457" spans="2:13" x14ac:dyDescent="0.25">
      <c r="B5457"/>
      <c r="C5457"/>
      <c r="D5457"/>
      <c r="E5457"/>
      <c r="F5457"/>
      <c r="G5457"/>
      <c r="H5457" s="19"/>
      <c r="I5457" s="19"/>
      <c r="J5457" s="19"/>
      <c r="M5457" s="7"/>
    </row>
    <row r="5458" spans="2:13" x14ac:dyDescent="0.25">
      <c r="B5458"/>
      <c r="C5458"/>
      <c r="D5458"/>
      <c r="E5458"/>
      <c r="F5458"/>
      <c r="G5458"/>
      <c r="H5458" s="19"/>
      <c r="I5458" s="19"/>
      <c r="J5458" s="19"/>
      <c r="M5458" s="7"/>
    </row>
    <row r="5459" spans="2:13" x14ac:dyDescent="0.25">
      <c r="B5459"/>
      <c r="C5459"/>
      <c r="D5459"/>
      <c r="E5459"/>
      <c r="F5459"/>
      <c r="G5459"/>
      <c r="H5459" s="19"/>
      <c r="I5459" s="19"/>
      <c r="J5459" s="19"/>
      <c r="M5459" s="7"/>
    </row>
    <row r="5460" spans="2:13" x14ac:dyDescent="0.25">
      <c r="B5460"/>
      <c r="C5460"/>
      <c r="D5460"/>
      <c r="E5460"/>
      <c r="F5460"/>
      <c r="G5460"/>
      <c r="H5460" s="19"/>
      <c r="I5460" s="19"/>
      <c r="J5460" s="19"/>
      <c r="M5460" s="7"/>
    </row>
    <row r="5461" spans="2:13" x14ac:dyDescent="0.25">
      <c r="B5461"/>
      <c r="C5461"/>
      <c r="D5461"/>
      <c r="E5461"/>
      <c r="F5461"/>
      <c r="G5461"/>
      <c r="H5461" s="19"/>
      <c r="I5461" s="19"/>
      <c r="J5461" s="19"/>
      <c r="M5461" s="7"/>
    </row>
    <row r="5462" spans="2:13" x14ac:dyDescent="0.25">
      <c r="B5462"/>
      <c r="C5462"/>
      <c r="D5462"/>
      <c r="E5462"/>
      <c r="F5462"/>
      <c r="G5462"/>
      <c r="H5462" s="19"/>
      <c r="I5462" s="19"/>
      <c r="J5462" s="19"/>
      <c r="M5462" s="7"/>
    </row>
    <row r="5463" spans="2:13" x14ac:dyDescent="0.25">
      <c r="B5463"/>
      <c r="C5463"/>
      <c r="D5463"/>
      <c r="E5463"/>
      <c r="F5463"/>
      <c r="G5463"/>
      <c r="H5463" s="19"/>
      <c r="I5463" s="19"/>
      <c r="J5463" s="19"/>
      <c r="M5463" s="7"/>
    </row>
    <row r="5464" spans="2:13" x14ac:dyDescent="0.25">
      <c r="B5464"/>
      <c r="C5464"/>
      <c r="D5464"/>
      <c r="E5464"/>
      <c r="F5464"/>
      <c r="G5464"/>
      <c r="H5464" s="19"/>
      <c r="I5464" s="19"/>
      <c r="J5464" s="19"/>
      <c r="M5464" s="7"/>
    </row>
    <row r="5465" spans="2:13" x14ac:dyDescent="0.25">
      <c r="B5465"/>
      <c r="C5465"/>
      <c r="D5465"/>
      <c r="E5465"/>
      <c r="F5465"/>
      <c r="G5465"/>
      <c r="H5465" s="19"/>
      <c r="I5465" s="19"/>
      <c r="J5465" s="19"/>
      <c r="M5465" s="7"/>
    </row>
    <row r="5466" spans="2:13" x14ac:dyDescent="0.25">
      <c r="B5466"/>
      <c r="C5466"/>
      <c r="D5466"/>
      <c r="E5466"/>
      <c r="F5466"/>
      <c r="G5466"/>
      <c r="H5466" s="19"/>
      <c r="I5466" s="19"/>
      <c r="J5466" s="19"/>
      <c r="M5466" s="7"/>
    </row>
    <row r="5467" spans="2:13" x14ac:dyDescent="0.25">
      <c r="B5467"/>
      <c r="C5467"/>
      <c r="D5467"/>
      <c r="E5467"/>
      <c r="F5467"/>
      <c r="G5467"/>
      <c r="H5467" s="19"/>
      <c r="I5467" s="19"/>
      <c r="J5467" s="19"/>
      <c r="M5467" s="7"/>
    </row>
    <row r="5468" spans="2:13" x14ac:dyDescent="0.25">
      <c r="B5468"/>
      <c r="C5468"/>
      <c r="D5468"/>
      <c r="E5468"/>
      <c r="F5468"/>
      <c r="G5468"/>
      <c r="H5468" s="19"/>
      <c r="I5468" s="19"/>
      <c r="J5468" s="19"/>
      <c r="M5468" s="7"/>
    </row>
    <row r="5469" spans="2:13" x14ac:dyDescent="0.25">
      <c r="B5469"/>
      <c r="C5469"/>
      <c r="D5469"/>
      <c r="E5469"/>
      <c r="F5469"/>
      <c r="G5469"/>
      <c r="H5469" s="19"/>
      <c r="I5469" s="19"/>
      <c r="J5469" s="19"/>
      <c r="M5469" s="7"/>
    </row>
    <row r="5470" spans="2:13" x14ac:dyDescent="0.25">
      <c r="B5470"/>
      <c r="C5470"/>
      <c r="D5470"/>
      <c r="E5470"/>
      <c r="F5470"/>
      <c r="G5470"/>
      <c r="H5470" s="19"/>
      <c r="I5470" s="19"/>
      <c r="J5470" s="19"/>
      <c r="M5470" s="7"/>
    </row>
    <row r="5471" spans="2:13" x14ac:dyDescent="0.25">
      <c r="B5471"/>
      <c r="C5471"/>
      <c r="D5471"/>
      <c r="E5471"/>
      <c r="F5471"/>
      <c r="G5471"/>
      <c r="H5471" s="19"/>
      <c r="I5471" s="19"/>
      <c r="J5471" s="19"/>
      <c r="M5471" s="7"/>
    </row>
    <row r="5472" spans="2:13" x14ac:dyDescent="0.25">
      <c r="B5472"/>
      <c r="C5472"/>
      <c r="D5472"/>
      <c r="E5472"/>
      <c r="F5472"/>
      <c r="G5472"/>
      <c r="H5472" s="19"/>
      <c r="I5472" s="19"/>
      <c r="J5472" s="19"/>
      <c r="M5472" s="7"/>
    </row>
    <row r="5473" spans="2:13" x14ac:dyDescent="0.25">
      <c r="B5473"/>
      <c r="C5473"/>
      <c r="D5473"/>
      <c r="E5473"/>
      <c r="F5473"/>
      <c r="G5473"/>
      <c r="H5473" s="19"/>
      <c r="I5473" s="19"/>
      <c r="J5473" s="19"/>
      <c r="M5473" s="7"/>
    </row>
    <row r="5474" spans="2:13" x14ac:dyDescent="0.25">
      <c r="B5474"/>
      <c r="C5474"/>
      <c r="D5474"/>
      <c r="E5474"/>
      <c r="F5474"/>
      <c r="G5474"/>
      <c r="H5474" s="19"/>
      <c r="I5474" s="19"/>
      <c r="J5474" s="19"/>
      <c r="M5474" s="7"/>
    </row>
    <row r="5475" spans="2:13" x14ac:dyDescent="0.25">
      <c r="B5475"/>
      <c r="C5475"/>
      <c r="D5475"/>
      <c r="E5475"/>
      <c r="F5475"/>
      <c r="G5475"/>
      <c r="H5475" s="19"/>
      <c r="I5475" s="19"/>
      <c r="J5475" s="19"/>
      <c r="M5475" s="7"/>
    </row>
    <row r="5476" spans="2:13" x14ac:dyDescent="0.25">
      <c r="B5476"/>
      <c r="C5476"/>
      <c r="D5476"/>
      <c r="E5476"/>
      <c r="F5476"/>
      <c r="G5476"/>
      <c r="H5476" s="19"/>
      <c r="I5476" s="19"/>
      <c r="J5476" s="19"/>
      <c r="M5476" s="7"/>
    </row>
    <row r="5477" spans="2:13" x14ac:dyDescent="0.25">
      <c r="B5477"/>
      <c r="C5477"/>
      <c r="D5477"/>
      <c r="E5477"/>
      <c r="F5477"/>
      <c r="G5477"/>
      <c r="H5477" s="19"/>
      <c r="I5477" s="19"/>
      <c r="J5477" s="19"/>
      <c r="M5477" s="7"/>
    </row>
    <row r="5478" spans="2:13" x14ac:dyDescent="0.25">
      <c r="B5478"/>
      <c r="C5478"/>
      <c r="D5478"/>
      <c r="E5478"/>
      <c r="F5478"/>
      <c r="G5478"/>
      <c r="H5478" s="19"/>
      <c r="I5478" s="19"/>
      <c r="J5478" s="19"/>
      <c r="M5478" s="7"/>
    </row>
    <row r="5479" spans="2:13" x14ac:dyDescent="0.25">
      <c r="B5479"/>
      <c r="C5479"/>
      <c r="D5479"/>
      <c r="E5479"/>
      <c r="F5479"/>
      <c r="G5479"/>
      <c r="H5479" s="19"/>
      <c r="I5479" s="19"/>
      <c r="J5479" s="19"/>
      <c r="M5479" s="7"/>
    </row>
    <row r="5480" spans="2:13" x14ac:dyDescent="0.25">
      <c r="B5480"/>
      <c r="C5480"/>
      <c r="D5480"/>
      <c r="E5480"/>
      <c r="F5480"/>
      <c r="G5480"/>
      <c r="H5480" s="19"/>
      <c r="I5480" s="19"/>
      <c r="J5480" s="19"/>
      <c r="M5480" s="7"/>
    </row>
    <row r="5481" spans="2:13" x14ac:dyDescent="0.25">
      <c r="B5481"/>
      <c r="C5481"/>
      <c r="D5481"/>
      <c r="E5481"/>
      <c r="F5481"/>
      <c r="G5481"/>
      <c r="H5481" s="19"/>
      <c r="I5481" s="19"/>
      <c r="J5481" s="19"/>
      <c r="M5481" s="7"/>
    </row>
    <row r="5482" spans="2:13" x14ac:dyDescent="0.25">
      <c r="B5482"/>
      <c r="C5482"/>
      <c r="D5482"/>
      <c r="E5482"/>
      <c r="F5482"/>
      <c r="G5482"/>
      <c r="H5482" s="19"/>
      <c r="I5482" s="19"/>
      <c r="J5482" s="19"/>
      <c r="M5482" s="7"/>
    </row>
    <row r="5483" spans="2:13" x14ac:dyDescent="0.25">
      <c r="B5483"/>
      <c r="C5483"/>
      <c r="D5483"/>
      <c r="E5483"/>
      <c r="F5483"/>
      <c r="G5483"/>
      <c r="H5483" s="19"/>
      <c r="I5483" s="19"/>
      <c r="J5483" s="19"/>
      <c r="M5483" s="7"/>
    </row>
    <row r="5484" spans="2:13" x14ac:dyDescent="0.25">
      <c r="B5484"/>
      <c r="C5484"/>
      <c r="D5484"/>
      <c r="E5484"/>
      <c r="F5484"/>
      <c r="G5484"/>
      <c r="H5484" s="19"/>
      <c r="I5484" s="19"/>
      <c r="J5484" s="19"/>
      <c r="M5484" s="7"/>
    </row>
    <row r="5485" spans="2:13" x14ac:dyDescent="0.25">
      <c r="B5485"/>
      <c r="C5485"/>
      <c r="D5485"/>
      <c r="E5485"/>
      <c r="F5485"/>
      <c r="G5485"/>
      <c r="H5485" s="19"/>
      <c r="I5485" s="19"/>
      <c r="J5485" s="19"/>
      <c r="M5485" s="7"/>
    </row>
    <row r="5486" spans="2:13" x14ac:dyDescent="0.25">
      <c r="B5486"/>
      <c r="C5486"/>
      <c r="D5486"/>
      <c r="E5486"/>
      <c r="F5486"/>
      <c r="G5486"/>
      <c r="H5486" s="19"/>
      <c r="I5486" s="19"/>
      <c r="J5486" s="19"/>
      <c r="M5486" s="7"/>
    </row>
    <row r="5487" spans="2:13" x14ac:dyDescent="0.25">
      <c r="B5487"/>
      <c r="C5487"/>
      <c r="D5487"/>
      <c r="E5487"/>
      <c r="F5487"/>
      <c r="G5487"/>
      <c r="H5487" s="19"/>
      <c r="I5487" s="19"/>
      <c r="J5487" s="19"/>
      <c r="M5487" s="7"/>
    </row>
    <row r="5488" spans="2:13" x14ac:dyDescent="0.25">
      <c r="B5488"/>
      <c r="C5488"/>
      <c r="D5488"/>
      <c r="E5488"/>
      <c r="F5488"/>
      <c r="G5488"/>
      <c r="H5488" s="19"/>
      <c r="I5488" s="19"/>
      <c r="J5488" s="19"/>
      <c r="M5488" s="7"/>
    </row>
    <row r="5489" spans="2:13" x14ac:dyDescent="0.25">
      <c r="B5489"/>
      <c r="C5489"/>
      <c r="D5489"/>
      <c r="E5489"/>
      <c r="F5489"/>
      <c r="G5489"/>
      <c r="H5489" s="19"/>
      <c r="I5489" s="19"/>
      <c r="J5489" s="19"/>
      <c r="M5489" s="7"/>
    </row>
    <row r="5490" spans="2:13" x14ac:dyDescent="0.25">
      <c r="B5490"/>
      <c r="C5490"/>
      <c r="D5490"/>
      <c r="E5490"/>
      <c r="F5490"/>
      <c r="G5490"/>
      <c r="H5490" s="19"/>
      <c r="I5490" s="19"/>
      <c r="J5490" s="19"/>
      <c r="M5490" s="7"/>
    </row>
    <row r="5491" spans="2:13" x14ac:dyDescent="0.25">
      <c r="B5491"/>
      <c r="C5491"/>
      <c r="D5491"/>
      <c r="E5491"/>
      <c r="F5491"/>
      <c r="G5491"/>
      <c r="H5491" s="19"/>
      <c r="I5491" s="19"/>
      <c r="J5491" s="19"/>
      <c r="M5491" s="7"/>
    </row>
    <row r="5492" spans="2:13" x14ac:dyDescent="0.25">
      <c r="B5492"/>
      <c r="C5492"/>
      <c r="D5492"/>
      <c r="E5492"/>
      <c r="F5492"/>
      <c r="G5492"/>
      <c r="H5492" s="19"/>
      <c r="I5492" s="19"/>
      <c r="J5492" s="19"/>
      <c r="M5492" s="7"/>
    </row>
    <row r="5493" spans="2:13" x14ac:dyDescent="0.25">
      <c r="B5493"/>
      <c r="C5493"/>
      <c r="D5493"/>
      <c r="E5493"/>
      <c r="F5493"/>
      <c r="G5493"/>
      <c r="H5493" s="19"/>
      <c r="I5493" s="19"/>
      <c r="J5493" s="19"/>
      <c r="M5493" s="7"/>
    </row>
    <row r="5494" spans="2:13" x14ac:dyDescent="0.25">
      <c r="B5494"/>
      <c r="C5494"/>
      <c r="D5494"/>
      <c r="E5494"/>
      <c r="F5494"/>
      <c r="G5494"/>
      <c r="H5494" s="19"/>
      <c r="I5494" s="19"/>
      <c r="J5494" s="19"/>
      <c r="M5494" s="7"/>
    </row>
    <row r="5495" spans="2:13" x14ac:dyDescent="0.25">
      <c r="B5495"/>
      <c r="C5495"/>
      <c r="D5495"/>
      <c r="E5495"/>
      <c r="F5495"/>
      <c r="G5495"/>
      <c r="H5495" s="19"/>
      <c r="I5495" s="19"/>
      <c r="J5495" s="19"/>
      <c r="M5495" s="7"/>
    </row>
    <row r="5496" spans="2:13" x14ac:dyDescent="0.25">
      <c r="B5496"/>
      <c r="C5496"/>
      <c r="D5496"/>
      <c r="E5496"/>
      <c r="F5496"/>
      <c r="G5496"/>
      <c r="H5496" s="19"/>
      <c r="I5496" s="19"/>
      <c r="J5496" s="19"/>
      <c r="M5496" s="7"/>
    </row>
    <row r="5497" spans="2:13" x14ac:dyDescent="0.25">
      <c r="B5497"/>
      <c r="C5497"/>
      <c r="D5497"/>
      <c r="E5497"/>
      <c r="F5497"/>
      <c r="G5497"/>
      <c r="H5497" s="19"/>
      <c r="I5497" s="19"/>
      <c r="J5497" s="19"/>
      <c r="M5497" s="7"/>
    </row>
    <row r="5498" spans="2:13" x14ac:dyDescent="0.25">
      <c r="B5498"/>
      <c r="C5498"/>
      <c r="D5498"/>
      <c r="E5498"/>
      <c r="F5498"/>
      <c r="G5498"/>
      <c r="H5498" s="19"/>
      <c r="I5498" s="19"/>
      <c r="J5498" s="19"/>
      <c r="M5498" s="7"/>
    </row>
    <row r="5499" spans="2:13" x14ac:dyDescent="0.25">
      <c r="B5499"/>
      <c r="C5499"/>
      <c r="D5499"/>
      <c r="E5499"/>
      <c r="F5499"/>
      <c r="G5499"/>
      <c r="H5499" s="19"/>
      <c r="I5499" s="19"/>
      <c r="J5499" s="19"/>
      <c r="M5499" s="7"/>
    </row>
    <row r="5500" spans="2:13" x14ac:dyDescent="0.25">
      <c r="B5500"/>
      <c r="C5500"/>
      <c r="D5500"/>
      <c r="E5500"/>
      <c r="F5500"/>
      <c r="G5500"/>
      <c r="H5500" s="19"/>
      <c r="I5500" s="19"/>
      <c r="J5500" s="19"/>
      <c r="M5500" s="7"/>
    </row>
    <row r="5501" spans="2:13" x14ac:dyDescent="0.25">
      <c r="B5501"/>
      <c r="C5501"/>
      <c r="D5501"/>
      <c r="E5501"/>
      <c r="F5501"/>
      <c r="G5501"/>
      <c r="H5501" s="19"/>
      <c r="I5501" s="19"/>
      <c r="J5501" s="19"/>
      <c r="M5501" s="7"/>
    </row>
    <row r="5502" spans="2:13" x14ac:dyDescent="0.25">
      <c r="B5502"/>
      <c r="C5502"/>
      <c r="D5502"/>
      <c r="E5502"/>
      <c r="F5502"/>
      <c r="G5502"/>
      <c r="H5502" s="19"/>
      <c r="I5502" s="19"/>
      <c r="J5502" s="19"/>
      <c r="M5502" s="7"/>
    </row>
    <row r="5503" spans="2:13" x14ac:dyDescent="0.25">
      <c r="B5503"/>
      <c r="C5503"/>
      <c r="D5503"/>
      <c r="E5503"/>
      <c r="F5503"/>
      <c r="G5503"/>
      <c r="H5503" s="19"/>
      <c r="I5503" s="19"/>
      <c r="J5503" s="19"/>
      <c r="M5503" s="7"/>
    </row>
    <row r="5504" spans="2:13" x14ac:dyDescent="0.25">
      <c r="B5504"/>
      <c r="C5504"/>
      <c r="D5504"/>
      <c r="E5504"/>
      <c r="F5504"/>
      <c r="G5504"/>
      <c r="H5504" s="19"/>
      <c r="I5504" s="19"/>
      <c r="J5504" s="19"/>
      <c r="M5504" s="7"/>
    </row>
    <row r="5505" spans="2:13" x14ac:dyDescent="0.25">
      <c r="B5505"/>
      <c r="C5505"/>
      <c r="D5505"/>
      <c r="E5505"/>
      <c r="F5505"/>
      <c r="G5505"/>
      <c r="H5505" s="19"/>
      <c r="I5505" s="19"/>
      <c r="J5505" s="19"/>
      <c r="M5505" s="7"/>
    </row>
    <row r="5506" spans="2:13" x14ac:dyDescent="0.25">
      <c r="B5506"/>
      <c r="C5506"/>
      <c r="D5506"/>
      <c r="E5506"/>
      <c r="F5506"/>
      <c r="G5506"/>
      <c r="H5506" s="19"/>
      <c r="I5506" s="19"/>
      <c r="J5506" s="19"/>
      <c r="M5506" s="7"/>
    </row>
    <row r="5507" spans="2:13" x14ac:dyDescent="0.25">
      <c r="B5507"/>
      <c r="C5507"/>
      <c r="D5507"/>
      <c r="E5507"/>
      <c r="F5507"/>
      <c r="G5507"/>
      <c r="H5507" s="19"/>
      <c r="I5507" s="19"/>
      <c r="J5507" s="19"/>
      <c r="M5507" s="7"/>
    </row>
    <row r="5508" spans="2:13" x14ac:dyDescent="0.25">
      <c r="B5508"/>
      <c r="C5508"/>
      <c r="D5508"/>
      <c r="E5508"/>
      <c r="F5508"/>
      <c r="G5508"/>
      <c r="H5508" s="19"/>
      <c r="I5508" s="19"/>
      <c r="J5508" s="19"/>
      <c r="M5508" s="7"/>
    </row>
    <row r="5509" spans="2:13" x14ac:dyDescent="0.25">
      <c r="B5509"/>
      <c r="C5509"/>
      <c r="D5509"/>
      <c r="E5509"/>
      <c r="F5509"/>
      <c r="G5509"/>
      <c r="H5509" s="19"/>
      <c r="I5509" s="19"/>
      <c r="J5509" s="19"/>
      <c r="M5509" s="7"/>
    </row>
    <row r="5510" spans="2:13" x14ac:dyDescent="0.25">
      <c r="B5510"/>
      <c r="C5510"/>
      <c r="D5510"/>
      <c r="E5510"/>
      <c r="F5510"/>
      <c r="G5510"/>
      <c r="H5510" s="19"/>
      <c r="I5510" s="19"/>
      <c r="J5510" s="19"/>
      <c r="M5510" s="7"/>
    </row>
    <row r="5511" spans="2:13" x14ac:dyDescent="0.25">
      <c r="B5511"/>
      <c r="C5511"/>
      <c r="D5511"/>
      <c r="E5511"/>
      <c r="F5511"/>
      <c r="G5511"/>
      <c r="H5511" s="19"/>
      <c r="I5511" s="19"/>
      <c r="J5511" s="19"/>
      <c r="M5511" s="7"/>
    </row>
    <row r="5512" spans="2:13" x14ac:dyDescent="0.25">
      <c r="B5512"/>
      <c r="C5512"/>
      <c r="D5512"/>
      <c r="E5512"/>
      <c r="F5512"/>
      <c r="G5512"/>
      <c r="H5512" s="19"/>
      <c r="I5512" s="19"/>
      <c r="J5512" s="19"/>
      <c r="M5512" s="7"/>
    </row>
    <row r="5513" spans="2:13" x14ac:dyDescent="0.25">
      <c r="B5513"/>
      <c r="C5513"/>
      <c r="D5513"/>
      <c r="E5513"/>
      <c r="F5513"/>
      <c r="G5513"/>
      <c r="H5513" s="19"/>
      <c r="I5513" s="19"/>
      <c r="J5513" s="19"/>
      <c r="M5513" s="7"/>
    </row>
    <row r="5514" spans="2:13" x14ac:dyDescent="0.25">
      <c r="B5514"/>
      <c r="C5514"/>
      <c r="D5514"/>
      <c r="E5514"/>
      <c r="F5514"/>
      <c r="G5514"/>
      <c r="H5514" s="19"/>
      <c r="I5514" s="19"/>
      <c r="J5514" s="19"/>
      <c r="M5514" s="7"/>
    </row>
    <row r="5515" spans="2:13" x14ac:dyDescent="0.25">
      <c r="B5515"/>
      <c r="C5515"/>
      <c r="D5515"/>
      <c r="E5515"/>
      <c r="F5515"/>
      <c r="G5515"/>
      <c r="H5515" s="19"/>
      <c r="I5515" s="19"/>
      <c r="J5515" s="19"/>
      <c r="M5515" s="7"/>
    </row>
    <row r="5516" spans="2:13" x14ac:dyDescent="0.25">
      <c r="B5516"/>
      <c r="C5516"/>
      <c r="D5516"/>
      <c r="E5516"/>
      <c r="F5516"/>
      <c r="G5516"/>
      <c r="H5516" s="19"/>
      <c r="I5516" s="19"/>
      <c r="J5516" s="19"/>
      <c r="M5516" s="7"/>
    </row>
    <row r="5517" spans="2:13" x14ac:dyDescent="0.25">
      <c r="B5517"/>
      <c r="C5517"/>
      <c r="D5517"/>
      <c r="E5517"/>
      <c r="F5517"/>
      <c r="G5517"/>
      <c r="H5517" s="19"/>
      <c r="I5517" s="19"/>
      <c r="J5517" s="19"/>
      <c r="M5517" s="7"/>
    </row>
    <row r="5518" spans="2:13" x14ac:dyDescent="0.25">
      <c r="B5518"/>
      <c r="C5518"/>
      <c r="D5518"/>
      <c r="E5518"/>
      <c r="F5518"/>
      <c r="G5518"/>
      <c r="H5518" s="19"/>
      <c r="I5518" s="19"/>
      <c r="J5518" s="19"/>
      <c r="M5518" s="7"/>
    </row>
    <row r="5519" spans="2:13" x14ac:dyDescent="0.25">
      <c r="B5519"/>
      <c r="C5519"/>
      <c r="D5519"/>
      <c r="E5519"/>
      <c r="F5519"/>
      <c r="G5519"/>
      <c r="H5519" s="19"/>
      <c r="I5519" s="19"/>
      <c r="J5519" s="19"/>
      <c r="M5519" s="7"/>
    </row>
    <row r="5520" spans="2:13" x14ac:dyDescent="0.25">
      <c r="B5520"/>
      <c r="C5520"/>
      <c r="D5520"/>
      <c r="E5520"/>
      <c r="F5520"/>
      <c r="G5520"/>
      <c r="H5520" s="19"/>
      <c r="I5520" s="19"/>
      <c r="J5520" s="19"/>
      <c r="M5520" s="7"/>
    </row>
    <row r="5521" spans="2:13" x14ac:dyDescent="0.25">
      <c r="B5521"/>
      <c r="C5521"/>
      <c r="D5521"/>
      <c r="E5521"/>
      <c r="F5521"/>
      <c r="G5521"/>
      <c r="H5521" s="19"/>
      <c r="I5521" s="19"/>
      <c r="J5521" s="19"/>
      <c r="M5521" s="7"/>
    </row>
    <row r="5522" spans="2:13" x14ac:dyDescent="0.25">
      <c r="B5522"/>
      <c r="C5522"/>
      <c r="D5522"/>
      <c r="E5522"/>
      <c r="F5522"/>
      <c r="G5522"/>
      <c r="H5522" s="19"/>
      <c r="I5522" s="19"/>
      <c r="J5522" s="19"/>
      <c r="M5522" s="7"/>
    </row>
    <row r="5523" spans="2:13" x14ac:dyDescent="0.25">
      <c r="B5523"/>
      <c r="C5523"/>
      <c r="D5523"/>
      <c r="E5523"/>
      <c r="F5523"/>
      <c r="G5523"/>
      <c r="H5523" s="19"/>
      <c r="I5523" s="19"/>
      <c r="J5523" s="19"/>
      <c r="M5523" s="7"/>
    </row>
    <row r="5524" spans="2:13" x14ac:dyDescent="0.25">
      <c r="B5524"/>
      <c r="C5524"/>
      <c r="D5524"/>
      <c r="E5524"/>
      <c r="F5524"/>
      <c r="G5524"/>
      <c r="H5524" s="19"/>
      <c r="I5524" s="19"/>
      <c r="J5524" s="19"/>
      <c r="M5524" s="7"/>
    </row>
    <row r="5525" spans="2:13" x14ac:dyDescent="0.25">
      <c r="B5525"/>
      <c r="C5525"/>
      <c r="D5525"/>
      <c r="E5525"/>
      <c r="F5525"/>
      <c r="G5525"/>
      <c r="H5525" s="19"/>
      <c r="I5525" s="19"/>
      <c r="J5525" s="19"/>
      <c r="M5525" s="7"/>
    </row>
    <row r="5526" spans="2:13" x14ac:dyDescent="0.25">
      <c r="B5526"/>
      <c r="C5526"/>
      <c r="D5526"/>
      <c r="E5526"/>
      <c r="F5526"/>
      <c r="G5526"/>
      <c r="H5526" s="19"/>
      <c r="I5526" s="19"/>
      <c r="J5526" s="19"/>
      <c r="M5526" s="7"/>
    </row>
    <row r="5527" spans="2:13" x14ac:dyDescent="0.25">
      <c r="B5527"/>
      <c r="C5527"/>
      <c r="D5527"/>
      <c r="E5527"/>
      <c r="F5527"/>
      <c r="G5527"/>
      <c r="H5527" s="19"/>
      <c r="I5527" s="19"/>
      <c r="J5527" s="19"/>
      <c r="M5527" s="7"/>
    </row>
    <row r="5528" spans="2:13" x14ac:dyDescent="0.25">
      <c r="B5528"/>
      <c r="C5528"/>
      <c r="D5528"/>
      <c r="E5528"/>
      <c r="F5528"/>
      <c r="G5528"/>
      <c r="H5528" s="19"/>
      <c r="I5528" s="19"/>
      <c r="J5528" s="19"/>
      <c r="M5528" s="7"/>
    </row>
    <row r="5529" spans="2:13" x14ac:dyDescent="0.25">
      <c r="B5529"/>
      <c r="C5529"/>
      <c r="D5529"/>
      <c r="E5529"/>
      <c r="F5529"/>
      <c r="G5529"/>
      <c r="H5529" s="19"/>
      <c r="I5529" s="19"/>
      <c r="J5529" s="19"/>
      <c r="M5529" s="7"/>
    </row>
    <row r="5530" spans="2:13" x14ac:dyDescent="0.25">
      <c r="B5530"/>
      <c r="C5530"/>
      <c r="D5530"/>
      <c r="E5530"/>
      <c r="F5530"/>
      <c r="G5530"/>
      <c r="H5530" s="19"/>
      <c r="I5530" s="19"/>
      <c r="J5530" s="19"/>
      <c r="M5530" s="7"/>
    </row>
    <row r="5531" spans="2:13" x14ac:dyDescent="0.25">
      <c r="B5531"/>
      <c r="C5531"/>
      <c r="D5531"/>
      <c r="E5531"/>
      <c r="F5531"/>
      <c r="G5531"/>
      <c r="H5531" s="19"/>
      <c r="I5531" s="19"/>
      <c r="J5531" s="19"/>
      <c r="M5531" s="7"/>
    </row>
    <row r="5532" spans="2:13" x14ac:dyDescent="0.25">
      <c r="B5532"/>
      <c r="C5532"/>
      <c r="D5532"/>
      <c r="E5532"/>
      <c r="F5532"/>
      <c r="G5532"/>
      <c r="H5532" s="19"/>
      <c r="I5532" s="19"/>
      <c r="J5532" s="19"/>
      <c r="M5532" s="7"/>
    </row>
    <row r="5533" spans="2:13" x14ac:dyDescent="0.25">
      <c r="B5533"/>
      <c r="C5533"/>
      <c r="D5533"/>
      <c r="E5533"/>
      <c r="F5533"/>
      <c r="G5533"/>
      <c r="H5533" s="19"/>
      <c r="I5533" s="19"/>
      <c r="J5533" s="19"/>
      <c r="M5533" s="7"/>
    </row>
    <row r="5534" spans="2:13" x14ac:dyDescent="0.25">
      <c r="B5534"/>
      <c r="C5534"/>
      <c r="D5534"/>
      <c r="E5534"/>
      <c r="F5534"/>
      <c r="G5534"/>
      <c r="H5534" s="19"/>
      <c r="I5534" s="19"/>
      <c r="J5534" s="19"/>
      <c r="M5534" s="7"/>
    </row>
    <row r="5535" spans="2:13" x14ac:dyDescent="0.25">
      <c r="B5535"/>
      <c r="C5535"/>
      <c r="D5535"/>
      <c r="E5535"/>
      <c r="F5535"/>
      <c r="G5535"/>
      <c r="H5535" s="19"/>
      <c r="I5535" s="19"/>
      <c r="J5535" s="19"/>
      <c r="M5535" s="7"/>
    </row>
    <row r="5536" spans="2:13" x14ac:dyDescent="0.25">
      <c r="B5536"/>
      <c r="C5536"/>
      <c r="D5536"/>
      <c r="E5536"/>
      <c r="F5536"/>
      <c r="G5536"/>
      <c r="H5536" s="19"/>
      <c r="I5536" s="19"/>
      <c r="J5536" s="19"/>
      <c r="M5536" s="7"/>
    </row>
    <row r="5537" spans="2:13" x14ac:dyDescent="0.25">
      <c r="B5537"/>
      <c r="C5537"/>
      <c r="D5537"/>
      <c r="E5537"/>
      <c r="F5537"/>
      <c r="G5537"/>
      <c r="H5537" s="19"/>
      <c r="I5537" s="19"/>
      <c r="J5537" s="19"/>
      <c r="M5537" s="7"/>
    </row>
    <row r="5538" spans="2:13" x14ac:dyDescent="0.25">
      <c r="B5538"/>
      <c r="C5538"/>
      <c r="D5538"/>
      <c r="E5538"/>
      <c r="F5538"/>
      <c r="G5538"/>
      <c r="H5538" s="19"/>
      <c r="I5538" s="19"/>
      <c r="J5538" s="19"/>
      <c r="M5538" s="7"/>
    </row>
    <row r="5539" spans="2:13" x14ac:dyDescent="0.25">
      <c r="B5539"/>
      <c r="C5539"/>
      <c r="D5539"/>
      <c r="E5539"/>
      <c r="F5539"/>
      <c r="G5539"/>
      <c r="H5539" s="19"/>
      <c r="I5539" s="19"/>
      <c r="J5539" s="19"/>
      <c r="M5539" s="7"/>
    </row>
    <row r="5540" spans="2:13" x14ac:dyDescent="0.25">
      <c r="B5540"/>
      <c r="C5540"/>
      <c r="D5540"/>
      <c r="E5540"/>
      <c r="F5540"/>
      <c r="G5540"/>
      <c r="H5540" s="19"/>
      <c r="I5540" s="19"/>
      <c r="J5540" s="19"/>
      <c r="M5540" s="7"/>
    </row>
    <row r="5541" spans="2:13" x14ac:dyDescent="0.25">
      <c r="B5541"/>
      <c r="C5541"/>
      <c r="D5541"/>
      <c r="E5541"/>
      <c r="F5541"/>
      <c r="G5541"/>
      <c r="H5541" s="19"/>
      <c r="I5541" s="19"/>
      <c r="J5541" s="19"/>
      <c r="M5541" s="7"/>
    </row>
    <row r="5542" spans="2:13" x14ac:dyDescent="0.25">
      <c r="B5542"/>
      <c r="C5542"/>
      <c r="D5542"/>
      <c r="E5542"/>
      <c r="F5542"/>
      <c r="G5542"/>
      <c r="H5542" s="19"/>
      <c r="I5542" s="19"/>
      <c r="J5542" s="19"/>
      <c r="M5542" s="7"/>
    </row>
    <row r="5543" spans="2:13" x14ac:dyDescent="0.25">
      <c r="B5543"/>
      <c r="C5543"/>
      <c r="D5543"/>
      <c r="E5543"/>
      <c r="F5543"/>
      <c r="G5543"/>
      <c r="H5543" s="19"/>
      <c r="I5543" s="19"/>
      <c r="J5543" s="19"/>
      <c r="M5543" s="7"/>
    </row>
    <row r="5544" spans="2:13" x14ac:dyDescent="0.25">
      <c r="B5544"/>
      <c r="C5544"/>
      <c r="D5544"/>
      <c r="E5544"/>
      <c r="F5544"/>
      <c r="G5544"/>
      <c r="H5544" s="19"/>
      <c r="I5544" s="19"/>
      <c r="J5544" s="19"/>
      <c r="M5544" s="7"/>
    </row>
    <row r="5545" spans="2:13" x14ac:dyDescent="0.25">
      <c r="B5545"/>
      <c r="C5545"/>
      <c r="D5545"/>
      <c r="E5545"/>
      <c r="F5545"/>
      <c r="G5545"/>
      <c r="H5545" s="19"/>
      <c r="I5545" s="19"/>
      <c r="J5545" s="19"/>
      <c r="M5545" s="7"/>
    </row>
    <row r="5546" spans="2:13" x14ac:dyDescent="0.25">
      <c r="B5546"/>
      <c r="C5546"/>
      <c r="D5546"/>
      <c r="E5546"/>
      <c r="F5546"/>
      <c r="G5546"/>
      <c r="H5546" s="19"/>
      <c r="I5546" s="19"/>
      <c r="J5546" s="19"/>
      <c r="M5546" s="7"/>
    </row>
    <row r="5547" spans="2:13" x14ac:dyDescent="0.25">
      <c r="B5547"/>
      <c r="C5547"/>
      <c r="D5547"/>
      <c r="E5547"/>
      <c r="F5547"/>
      <c r="G5547"/>
      <c r="H5547" s="19"/>
      <c r="I5547" s="19"/>
      <c r="J5547" s="19"/>
      <c r="M5547" s="7"/>
    </row>
    <row r="5548" spans="2:13" x14ac:dyDescent="0.25">
      <c r="B5548"/>
      <c r="C5548"/>
      <c r="D5548"/>
      <c r="E5548"/>
      <c r="F5548"/>
      <c r="G5548"/>
      <c r="H5548" s="19"/>
      <c r="I5548" s="19"/>
      <c r="J5548" s="19"/>
      <c r="M5548" s="7"/>
    </row>
    <row r="5549" spans="2:13" x14ac:dyDescent="0.25">
      <c r="B5549"/>
      <c r="C5549"/>
      <c r="D5549"/>
      <c r="E5549"/>
      <c r="F5549"/>
      <c r="G5549"/>
      <c r="H5549" s="19"/>
      <c r="I5549" s="19"/>
      <c r="J5549" s="19"/>
      <c r="M5549" s="7"/>
    </row>
    <row r="5550" spans="2:13" x14ac:dyDescent="0.25">
      <c r="B5550"/>
      <c r="C5550"/>
      <c r="D5550"/>
      <c r="E5550"/>
      <c r="F5550"/>
      <c r="G5550"/>
      <c r="H5550" s="19"/>
      <c r="I5550" s="19"/>
      <c r="J5550" s="19"/>
      <c r="M5550" s="7"/>
    </row>
    <row r="5551" spans="2:13" x14ac:dyDescent="0.25">
      <c r="B5551"/>
      <c r="C5551"/>
      <c r="D5551"/>
      <c r="E5551"/>
      <c r="F5551"/>
      <c r="G5551"/>
      <c r="H5551" s="19"/>
      <c r="I5551" s="19"/>
      <c r="J5551" s="19"/>
      <c r="M5551" s="7"/>
    </row>
    <row r="5552" spans="2:13" x14ac:dyDescent="0.25">
      <c r="B5552"/>
      <c r="C5552"/>
      <c r="D5552"/>
      <c r="E5552"/>
      <c r="F5552"/>
      <c r="G5552"/>
      <c r="H5552" s="19"/>
      <c r="I5552" s="19"/>
      <c r="J5552" s="19"/>
      <c r="M5552" s="7"/>
    </row>
    <row r="5553" spans="2:13" x14ac:dyDescent="0.25">
      <c r="B5553"/>
      <c r="C5553"/>
      <c r="D5553"/>
      <c r="E5553"/>
      <c r="F5553"/>
      <c r="G5553"/>
      <c r="H5553" s="19"/>
      <c r="I5553" s="19"/>
      <c r="J5553" s="19"/>
      <c r="M5553" s="7"/>
    </row>
    <row r="5554" spans="2:13" x14ac:dyDescent="0.25">
      <c r="B5554"/>
      <c r="C5554"/>
      <c r="D5554"/>
      <c r="E5554"/>
      <c r="F5554"/>
      <c r="G5554"/>
      <c r="H5554" s="19"/>
      <c r="I5554" s="19"/>
      <c r="J5554" s="19"/>
      <c r="M5554" s="7"/>
    </row>
    <row r="5555" spans="2:13" x14ac:dyDescent="0.25">
      <c r="B5555"/>
      <c r="C5555"/>
      <c r="D5555"/>
      <c r="E5555"/>
      <c r="F5555"/>
      <c r="G5555"/>
      <c r="H5555" s="19"/>
      <c r="I5555" s="19"/>
      <c r="J5555" s="19"/>
      <c r="M5555" s="7"/>
    </row>
    <row r="5556" spans="2:13" x14ac:dyDescent="0.25">
      <c r="B5556"/>
      <c r="C5556"/>
      <c r="D5556"/>
      <c r="E5556"/>
      <c r="F5556"/>
      <c r="G5556"/>
      <c r="H5556" s="19"/>
      <c r="I5556" s="19"/>
      <c r="J5556" s="19"/>
      <c r="M5556" s="7"/>
    </row>
    <row r="5557" spans="2:13" x14ac:dyDescent="0.25">
      <c r="B5557"/>
      <c r="C5557"/>
      <c r="D5557"/>
      <c r="E5557"/>
      <c r="F5557"/>
      <c r="G5557"/>
      <c r="H5557" s="19"/>
      <c r="I5557" s="19"/>
      <c r="J5557" s="19"/>
      <c r="M5557" s="7"/>
    </row>
    <row r="5558" spans="2:13" x14ac:dyDescent="0.25">
      <c r="B5558"/>
      <c r="C5558"/>
      <c r="D5558"/>
      <c r="E5558"/>
      <c r="F5558"/>
      <c r="G5558"/>
      <c r="H5558" s="19"/>
      <c r="I5558" s="19"/>
      <c r="J5558" s="19"/>
      <c r="M5558" s="7"/>
    </row>
    <row r="5559" spans="2:13" x14ac:dyDescent="0.25">
      <c r="B5559"/>
      <c r="C5559"/>
      <c r="D5559"/>
      <c r="E5559"/>
      <c r="F5559"/>
      <c r="G5559"/>
      <c r="H5559" s="19"/>
      <c r="I5559" s="19"/>
      <c r="J5559" s="19"/>
      <c r="M5559" s="7"/>
    </row>
    <row r="5560" spans="2:13" x14ac:dyDescent="0.25">
      <c r="B5560"/>
      <c r="C5560"/>
      <c r="D5560"/>
      <c r="E5560"/>
      <c r="F5560"/>
      <c r="G5560"/>
      <c r="H5560" s="19"/>
      <c r="I5560" s="19"/>
      <c r="J5560" s="19"/>
      <c r="M5560" s="7"/>
    </row>
    <row r="5561" spans="2:13" x14ac:dyDescent="0.25">
      <c r="B5561"/>
      <c r="C5561"/>
      <c r="D5561"/>
      <c r="E5561"/>
      <c r="F5561"/>
      <c r="G5561"/>
      <c r="H5561" s="19"/>
      <c r="I5561" s="19"/>
      <c r="J5561" s="19"/>
      <c r="M5561" s="7"/>
    </row>
    <row r="5562" spans="2:13" x14ac:dyDescent="0.25">
      <c r="B5562"/>
      <c r="C5562"/>
      <c r="D5562"/>
      <c r="E5562"/>
      <c r="F5562"/>
      <c r="G5562"/>
      <c r="H5562" s="19"/>
      <c r="I5562" s="19"/>
      <c r="J5562" s="19"/>
      <c r="M5562" s="7"/>
    </row>
    <row r="5563" spans="2:13" x14ac:dyDescent="0.25">
      <c r="B5563"/>
      <c r="C5563"/>
      <c r="D5563"/>
      <c r="E5563"/>
      <c r="F5563"/>
      <c r="G5563"/>
      <c r="H5563" s="19"/>
      <c r="I5563" s="19"/>
      <c r="J5563" s="19"/>
      <c r="M5563" s="7"/>
    </row>
    <row r="5564" spans="2:13" x14ac:dyDescent="0.25">
      <c r="B5564"/>
      <c r="C5564"/>
      <c r="D5564"/>
      <c r="E5564"/>
      <c r="F5564"/>
      <c r="G5564"/>
      <c r="H5564" s="19"/>
      <c r="I5564" s="19"/>
      <c r="J5564" s="19"/>
      <c r="M5564" s="7"/>
    </row>
    <row r="5565" spans="2:13" x14ac:dyDescent="0.25">
      <c r="B5565"/>
      <c r="C5565"/>
      <c r="D5565"/>
      <c r="E5565"/>
      <c r="F5565"/>
      <c r="G5565"/>
      <c r="H5565" s="19"/>
      <c r="I5565" s="19"/>
      <c r="J5565" s="19"/>
      <c r="M5565" s="7"/>
    </row>
    <row r="5566" spans="2:13" x14ac:dyDescent="0.25">
      <c r="B5566"/>
      <c r="C5566"/>
      <c r="D5566"/>
      <c r="E5566"/>
      <c r="F5566"/>
      <c r="G5566"/>
      <c r="H5566" s="19"/>
      <c r="I5566" s="19"/>
      <c r="J5566" s="19"/>
      <c r="M5566" s="7"/>
    </row>
    <row r="5567" spans="2:13" x14ac:dyDescent="0.25">
      <c r="B5567"/>
      <c r="C5567"/>
      <c r="D5567"/>
      <c r="E5567"/>
      <c r="F5567"/>
      <c r="G5567"/>
      <c r="H5567" s="19"/>
      <c r="I5567" s="19"/>
      <c r="J5567" s="19"/>
      <c r="M5567" s="7"/>
    </row>
    <row r="5568" spans="2:13" x14ac:dyDescent="0.25">
      <c r="B5568"/>
      <c r="C5568"/>
      <c r="D5568"/>
      <c r="E5568"/>
      <c r="F5568"/>
      <c r="G5568"/>
      <c r="H5568" s="19"/>
      <c r="I5568" s="19"/>
      <c r="J5568" s="19"/>
      <c r="M5568" s="7"/>
    </row>
    <row r="5569" spans="2:13" x14ac:dyDescent="0.25">
      <c r="B5569"/>
      <c r="C5569"/>
      <c r="D5569"/>
      <c r="E5569"/>
      <c r="F5569"/>
      <c r="G5569"/>
      <c r="H5569" s="19"/>
      <c r="I5569" s="19"/>
      <c r="J5569" s="19"/>
      <c r="M5569" s="7"/>
    </row>
    <row r="5570" spans="2:13" x14ac:dyDescent="0.25">
      <c r="B5570"/>
      <c r="C5570"/>
      <c r="D5570"/>
      <c r="E5570"/>
      <c r="F5570"/>
      <c r="G5570"/>
      <c r="H5570" s="19"/>
      <c r="I5570" s="19"/>
      <c r="J5570" s="19"/>
      <c r="M5570" s="7"/>
    </row>
    <row r="5571" spans="2:13" x14ac:dyDescent="0.25">
      <c r="B5571"/>
      <c r="C5571"/>
      <c r="D5571"/>
      <c r="E5571"/>
      <c r="F5571"/>
      <c r="G5571"/>
      <c r="H5571" s="19"/>
      <c r="I5571" s="19"/>
      <c r="J5571" s="19"/>
      <c r="M5571" s="7"/>
    </row>
    <row r="5572" spans="2:13" x14ac:dyDescent="0.25">
      <c r="B5572"/>
      <c r="C5572"/>
      <c r="D5572"/>
      <c r="E5572"/>
      <c r="F5572"/>
      <c r="G5572"/>
      <c r="H5572" s="19"/>
      <c r="I5572" s="19"/>
      <c r="J5572" s="19"/>
      <c r="M5572" s="7"/>
    </row>
    <row r="5573" spans="2:13" x14ac:dyDescent="0.25">
      <c r="B5573"/>
      <c r="C5573"/>
      <c r="D5573"/>
      <c r="E5573"/>
      <c r="F5573"/>
      <c r="G5573"/>
      <c r="H5573" s="19"/>
      <c r="I5573" s="19"/>
      <c r="J5573" s="19"/>
      <c r="M5573" s="7"/>
    </row>
    <row r="5574" spans="2:13" x14ac:dyDescent="0.25">
      <c r="B5574"/>
      <c r="C5574"/>
      <c r="D5574"/>
      <c r="E5574"/>
      <c r="F5574"/>
      <c r="G5574"/>
      <c r="H5574" s="19"/>
      <c r="I5574" s="19"/>
      <c r="J5574" s="19"/>
      <c r="M5574" s="7"/>
    </row>
    <row r="5575" spans="2:13" x14ac:dyDescent="0.25">
      <c r="B5575"/>
      <c r="C5575"/>
      <c r="D5575"/>
      <c r="E5575"/>
      <c r="F5575"/>
      <c r="G5575"/>
      <c r="H5575" s="19"/>
      <c r="I5575" s="19"/>
      <c r="J5575" s="19"/>
      <c r="M5575" s="7"/>
    </row>
    <row r="5576" spans="2:13" x14ac:dyDescent="0.25">
      <c r="B5576"/>
      <c r="C5576"/>
      <c r="D5576"/>
      <c r="E5576"/>
      <c r="F5576"/>
      <c r="G5576"/>
      <c r="H5576" s="19"/>
      <c r="I5576" s="19"/>
      <c r="J5576" s="19"/>
      <c r="M5576" s="7"/>
    </row>
    <row r="5577" spans="2:13" x14ac:dyDescent="0.25">
      <c r="B5577"/>
      <c r="C5577"/>
      <c r="D5577"/>
      <c r="E5577"/>
      <c r="F5577"/>
      <c r="G5577"/>
      <c r="H5577" s="19"/>
      <c r="I5577" s="19"/>
      <c r="J5577" s="19"/>
      <c r="M5577" s="7"/>
    </row>
    <row r="5578" spans="2:13" x14ac:dyDescent="0.25">
      <c r="B5578"/>
      <c r="C5578"/>
      <c r="D5578"/>
      <c r="E5578"/>
      <c r="F5578"/>
      <c r="G5578"/>
      <c r="H5578" s="19"/>
      <c r="I5578" s="19"/>
      <c r="J5578" s="19"/>
      <c r="M5578" s="7"/>
    </row>
    <row r="5579" spans="2:13" x14ac:dyDescent="0.25">
      <c r="B5579"/>
      <c r="C5579"/>
      <c r="D5579"/>
      <c r="E5579"/>
      <c r="F5579"/>
      <c r="G5579"/>
      <c r="H5579" s="19"/>
      <c r="I5579" s="19"/>
      <c r="J5579" s="19"/>
      <c r="M5579" s="7"/>
    </row>
    <row r="5580" spans="2:13" x14ac:dyDescent="0.25">
      <c r="B5580"/>
      <c r="C5580"/>
      <c r="D5580"/>
      <c r="E5580"/>
      <c r="F5580"/>
      <c r="G5580"/>
      <c r="H5580" s="19"/>
      <c r="I5580" s="19"/>
      <c r="J5580" s="19"/>
      <c r="M5580" s="7"/>
    </row>
    <row r="5581" spans="2:13" x14ac:dyDescent="0.25">
      <c r="B5581"/>
      <c r="C5581"/>
      <c r="D5581"/>
      <c r="E5581"/>
      <c r="F5581"/>
      <c r="G5581"/>
      <c r="H5581" s="19"/>
      <c r="I5581" s="19"/>
      <c r="J5581" s="19"/>
      <c r="M5581" s="7"/>
    </row>
    <row r="5582" spans="2:13" x14ac:dyDescent="0.25">
      <c r="B5582"/>
      <c r="C5582"/>
      <c r="D5582"/>
      <c r="E5582"/>
      <c r="F5582"/>
      <c r="G5582"/>
      <c r="H5582" s="19"/>
      <c r="I5582" s="19"/>
      <c r="J5582" s="19"/>
      <c r="M5582" s="7"/>
    </row>
    <row r="5583" spans="2:13" x14ac:dyDescent="0.25">
      <c r="B5583"/>
      <c r="C5583"/>
      <c r="D5583"/>
      <c r="E5583"/>
      <c r="F5583"/>
      <c r="G5583"/>
      <c r="H5583" s="19"/>
      <c r="I5583" s="19"/>
      <c r="J5583" s="19"/>
      <c r="M5583" s="7"/>
    </row>
    <row r="5584" spans="2:13" x14ac:dyDescent="0.25">
      <c r="B5584"/>
      <c r="C5584"/>
      <c r="D5584"/>
      <c r="E5584"/>
      <c r="F5584"/>
      <c r="G5584"/>
      <c r="H5584" s="19"/>
      <c r="I5584" s="19"/>
      <c r="J5584" s="19"/>
      <c r="M5584" s="7"/>
    </row>
    <row r="5585" spans="2:13" x14ac:dyDescent="0.25">
      <c r="B5585"/>
      <c r="C5585"/>
      <c r="D5585"/>
      <c r="E5585"/>
      <c r="F5585"/>
      <c r="G5585"/>
      <c r="H5585" s="19"/>
      <c r="I5585" s="19"/>
      <c r="J5585" s="19"/>
      <c r="M5585" s="7"/>
    </row>
    <row r="5586" spans="2:13" x14ac:dyDescent="0.25">
      <c r="B5586"/>
      <c r="C5586"/>
      <c r="D5586"/>
      <c r="E5586"/>
      <c r="F5586"/>
      <c r="G5586"/>
      <c r="H5586" s="19"/>
      <c r="I5586" s="19"/>
      <c r="J5586" s="19"/>
      <c r="M5586" s="7"/>
    </row>
    <row r="5587" spans="2:13" x14ac:dyDescent="0.25">
      <c r="B5587"/>
      <c r="C5587"/>
      <c r="D5587"/>
      <c r="E5587"/>
      <c r="F5587"/>
      <c r="G5587"/>
      <c r="H5587" s="19"/>
      <c r="I5587" s="19"/>
      <c r="J5587" s="19"/>
      <c r="M5587" s="7"/>
    </row>
    <row r="5588" spans="2:13" x14ac:dyDescent="0.25">
      <c r="B5588"/>
      <c r="C5588"/>
      <c r="D5588"/>
      <c r="E5588"/>
      <c r="F5588"/>
      <c r="G5588"/>
      <c r="H5588" s="19"/>
      <c r="I5588" s="19"/>
      <c r="J5588" s="19"/>
      <c r="M5588" s="7"/>
    </row>
    <row r="5589" spans="2:13" x14ac:dyDescent="0.25">
      <c r="B5589"/>
      <c r="C5589"/>
      <c r="D5589"/>
      <c r="E5589"/>
      <c r="F5589"/>
      <c r="G5589"/>
      <c r="H5589" s="19"/>
      <c r="I5589" s="19"/>
      <c r="J5589" s="19"/>
      <c r="M5589" s="7"/>
    </row>
    <row r="5590" spans="2:13" x14ac:dyDescent="0.25">
      <c r="B5590"/>
      <c r="C5590"/>
      <c r="D5590"/>
      <c r="E5590"/>
      <c r="F5590"/>
      <c r="G5590"/>
      <c r="H5590" s="19"/>
      <c r="I5590" s="19"/>
      <c r="J5590" s="19"/>
      <c r="M5590" s="7"/>
    </row>
    <row r="5591" spans="2:13" x14ac:dyDescent="0.25">
      <c r="B5591"/>
      <c r="C5591"/>
      <c r="D5591"/>
      <c r="E5591"/>
      <c r="F5591"/>
      <c r="G5591"/>
      <c r="H5591" s="19"/>
      <c r="I5591" s="19"/>
      <c r="J5591" s="19"/>
      <c r="M5591" s="7"/>
    </row>
    <row r="5592" spans="2:13" x14ac:dyDescent="0.25">
      <c r="B5592"/>
      <c r="C5592"/>
      <c r="D5592"/>
      <c r="E5592"/>
      <c r="F5592"/>
      <c r="G5592"/>
      <c r="H5592" s="19"/>
      <c r="I5592" s="19"/>
      <c r="J5592" s="19"/>
      <c r="M5592" s="7"/>
    </row>
    <row r="5593" spans="2:13" x14ac:dyDescent="0.25">
      <c r="B5593"/>
      <c r="C5593"/>
      <c r="D5593"/>
      <c r="E5593"/>
      <c r="F5593"/>
      <c r="G5593"/>
      <c r="H5593" s="19"/>
      <c r="I5593" s="19"/>
      <c r="J5593" s="19"/>
      <c r="M5593" s="7"/>
    </row>
    <row r="5594" spans="2:13" x14ac:dyDescent="0.25">
      <c r="B5594"/>
      <c r="C5594"/>
      <c r="D5594"/>
      <c r="E5594"/>
      <c r="F5594"/>
      <c r="G5594"/>
      <c r="H5594" s="19"/>
      <c r="I5594" s="19"/>
      <c r="J5594" s="19"/>
      <c r="M5594" s="7"/>
    </row>
    <row r="5595" spans="2:13" x14ac:dyDescent="0.25">
      <c r="B5595"/>
      <c r="C5595"/>
      <c r="D5595"/>
      <c r="E5595"/>
      <c r="F5595"/>
      <c r="G5595"/>
      <c r="H5595" s="19"/>
      <c r="I5595" s="19"/>
      <c r="J5595" s="19"/>
      <c r="M5595" s="7"/>
    </row>
    <row r="5596" spans="2:13" x14ac:dyDescent="0.25">
      <c r="B5596"/>
      <c r="C5596"/>
      <c r="D5596"/>
      <c r="E5596"/>
      <c r="F5596"/>
      <c r="G5596"/>
      <c r="H5596" s="19"/>
      <c r="I5596" s="19"/>
      <c r="J5596" s="19"/>
      <c r="M5596" s="7"/>
    </row>
    <row r="5597" spans="2:13" x14ac:dyDescent="0.25">
      <c r="B5597"/>
      <c r="C5597"/>
      <c r="D5597"/>
      <c r="E5597"/>
      <c r="F5597"/>
      <c r="G5597"/>
      <c r="H5597" s="19"/>
      <c r="I5597" s="19"/>
      <c r="J5597" s="19"/>
      <c r="M5597" s="7"/>
    </row>
    <row r="5598" spans="2:13" x14ac:dyDescent="0.25">
      <c r="B5598"/>
      <c r="C5598"/>
      <c r="D5598"/>
      <c r="E5598"/>
      <c r="F5598"/>
      <c r="G5598"/>
      <c r="H5598" s="19"/>
      <c r="I5598" s="19"/>
      <c r="J5598" s="19"/>
      <c r="M5598" s="7"/>
    </row>
    <row r="5599" spans="2:13" x14ac:dyDescent="0.25">
      <c r="B5599"/>
      <c r="C5599"/>
      <c r="D5599"/>
      <c r="E5599"/>
      <c r="F5599"/>
      <c r="G5599"/>
      <c r="H5599" s="19"/>
      <c r="I5599" s="19"/>
      <c r="J5599" s="19"/>
      <c r="M5599" s="7"/>
    </row>
    <row r="5600" spans="2:13" x14ac:dyDescent="0.25">
      <c r="B5600"/>
      <c r="C5600"/>
      <c r="D5600"/>
      <c r="E5600"/>
      <c r="F5600"/>
      <c r="G5600"/>
      <c r="H5600" s="19"/>
      <c r="I5600" s="19"/>
      <c r="J5600" s="19"/>
      <c r="M5600" s="7"/>
    </row>
    <row r="5601" spans="2:13" x14ac:dyDescent="0.25">
      <c r="B5601"/>
      <c r="C5601"/>
      <c r="D5601"/>
      <c r="E5601"/>
      <c r="F5601"/>
      <c r="G5601"/>
      <c r="H5601" s="19"/>
      <c r="I5601" s="19"/>
      <c r="J5601" s="19"/>
      <c r="M5601" s="7"/>
    </row>
    <row r="5602" spans="2:13" x14ac:dyDescent="0.25">
      <c r="B5602"/>
      <c r="C5602"/>
      <c r="D5602"/>
      <c r="E5602"/>
      <c r="F5602"/>
      <c r="G5602"/>
      <c r="H5602" s="19"/>
      <c r="I5602" s="19"/>
      <c r="J5602" s="19"/>
      <c r="M5602" s="7"/>
    </row>
    <row r="5603" spans="2:13" x14ac:dyDescent="0.25">
      <c r="B5603"/>
      <c r="C5603"/>
      <c r="D5603"/>
      <c r="E5603"/>
      <c r="F5603"/>
      <c r="G5603"/>
      <c r="H5603" s="19"/>
      <c r="I5603" s="19"/>
      <c r="J5603" s="19"/>
      <c r="M5603" s="7"/>
    </row>
    <row r="5604" spans="2:13" x14ac:dyDescent="0.25">
      <c r="B5604"/>
      <c r="C5604"/>
      <c r="D5604"/>
      <c r="E5604"/>
      <c r="F5604"/>
      <c r="G5604"/>
      <c r="H5604" s="19"/>
      <c r="I5604" s="19"/>
      <c r="J5604" s="19"/>
      <c r="M5604" s="7"/>
    </row>
    <row r="5605" spans="2:13" x14ac:dyDescent="0.25">
      <c r="B5605"/>
      <c r="C5605"/>
      <c r="D5605"/>
      <c r="E5605"/>
      <c r="F5605"/>
      <c r="G5605"/>
      <c r="H5605" s="19"/>
      <c r="I5605" s="19"/>
      <c r="J5605" s="19"/>
      <c r="M5605" s="7"/>
    </row>
    <row r="5606" spans="2:13" x14ac:dyDescent="0.25">
      <c r="B5606"/>
      <c r="C5606"/>
      <c r="D5606"/>
      <c r="E5606"/>
      <c r="F5606"/>
      <c r="G5606"/>
      <c r="H5606" s="19"/>
      <c r="I5606" s="19"/>
      <c r="J5606" s="19"/>
      <c r="M5606" s="7"/>
    </row>
    <row r="5607" spans="2:13" x14ac:dyDescent="0.25">
      <c r="B5607"/>
      <c r="C5607"/>
      <c r="D5607"/>
      <c r="E5607"/>
      <c r="F5607"/>
      <c r="G5607"/>
      <c r="H5607" s="19"/>
      <c r="I5607" s="19"/>
      <c r="J5607" s="19"/>
      <c r="M5607" s="7"/>
    </row>
    <row r="5608" spans="2:13" x14ac:dyDescent="0.25">
      <c r="B5608"/>
      <c r="C5608"/>
      <c r="D5608"/>
      <c r="E5608"/>
      <c r="F5608"/>
      <c r="G5608"/>
      <c r="H5608" s="19"/>
      <c r="I5608" s="19"/>
      <c r="J5608" s="19"/>
      <c r="M5608" s="7"/>
    </row>
    <row r="5609" spans="2:13" x14ac:dyDescent="0.25">
      <c r="B5609"/>
      <c r="C5609"/>
      <c r="D5609"/>
      <c r="E5609"/>
      <c r="F5609"/>
      <c r="G5609"/>
      <c r="H5609" s="19"/>
      <c r="I5609" s="19"/>
      <c r="J5609" s="19"/>
      <c r="M5609" s="7"/>
    </row>
    <row r="5610" spans="2:13" x14ac:dyDescent="0.25">
      <c r="B5610"/>
      <c r="C5610"/>
      <c r="D5610"/>
      <c r="E5610"/>
      <c r="F5610"/>
      <c r="G5610"/>
      <c r="H5610" s="19"/>
      <c r="I5610" s="19"/>
      <c r="J5610" s="19"/>
      <c r="M5610" s="7"/>
    </row>
    <row r="5611" spans="2:13" x14ac:dyDescent="0.25">
      <c r="B5611"/>
      <c r="C5611"/>
      <c r="D5611"/>
      <c r="E5611"/>
      <c r="F5611"/>
      <c r="G5611"/>
      <c r="H5611" s="19"/>
      <c r="I5611" s="19"/>
      <c r="J5611" s="19"/>
      <c r="M5611" s="7"/>
    </row>
    <row r="5612" spans="2:13" x14ac:dyDescent="0.25">
      <c r="B5612"/>
      <c r="C5612"/>
      <c r="D5612"/>
      <c r="E5612"/>
      <c r="F5612"/>
      <c r="G5612"/>
      <c r="H5612" s="19"/>
      <c r="I5612" s="19"/>
      <c r="J5612" s="19"/>
      <c r="M5612" s="7"/>
    </row>
    <row r="5613" spans="2:13" x14ac:dyDescent="0.25">
      <c r="B5613"/>
      <c r="C5613"/>
      <c r="D5613"/>
      <c r="E5613"/>
      <c r="F5613"/>
      <c r="G5613"/>
      <c r="H5613" s="19"/>
      <c r="I5613" s="19"/>
      <c r="J5613" s="19"/>
      <c r="M5613" s="7"/>
    </row>
    <row r="5614" spans="2:13" x14ac:dyDescent="0.25">
      <c r="B5614"/>
      <c r="C5614"/>
      <c r="D5614"/>
      <c r="E5614"/>
      <c r="F5614"/>
      <c r="G5614"/>
      <c r="H5614" s="19"/>
      <c r="I5614" s="19"/>
      <c r="J5614" s="19"/>
      <c r="M5614" s="7"/>
    </row>
    <row r="5615" spans="2:13" x14ac:dyDescent="0.25">
      <c r="B5615"/>
      <c r="C5615"/>
      <c r="D5615"/>
      <c r="E5615"/>
      <c r="F5615"/>
      <c r="G5615"/>
      <c r="H5615" s="19"/>
      <c r="I5615" s="19"/>
      <c r="J5615" s="19"/>
      <c r="M5615" s="7"/>
    </row>
    <row r="5616" spans="2:13" x14ac:dyDescent="0.25">
      <c r="B5616"/>
      <c r="C5616"/>
      <c r="D5616"/>
      <c r="E5616"/>
      <c r="F5616"/>
      <c r="G5616"/>
      <c r="H5616" s="19"/>
      <c r="I5616" s="19"/>
      <c r="J5616" s="19"/>
      <c r="M5616" s="7"/>
    </row>
    <row r="5617" spans="2:13" x14ac:dyDescent="0.25">
      <c r="B5617"/>
      <c r="C5617"/>
      <c r="D5617"/>
      <c r="E5617"/>
      <c r="F5617"/>
      <c r="G5617"/>
      <c r="H5617" s="19"/>
      <c r="I5617" s="19"/>
      <c r="J5617" s="19"/>
      <c r="M5617" s="7"/>
    </row>
    <row r="5618" spans="2:13" x14ac:dyDescent="0.25">
      <c r="B5618"/>
      <c r="C5618"/>
      <c r="D5618"/>
      <c r="E5618"/>
      <c r="F5618"/>
      <c r="G5618"/>
      <c r="H5618" s="19"/>
      <c r="I5618" s="19"/>
      <c r="J5618" s="19"/>
      <c r="M5618" s="7"/>
    </row>
    <row r="5619" spans="2:13" x14ac:dyDescent="0.25">
      <c r="B5619"/>
      <c r="C5619"/>
      <c r="D5619"/>
      <c r="E5619"/>
      <c r="F5619"/>
      <c r="G5619"/>
      <c r="H5619" s="19"/>
      <c r="I5619" s="19"/>
      <c r="J5619" s="19"/>
      <c r="M5619" s="7"/>
    </row>
    <row r="5620" spans="2:13" x14ac:dyDescent="0.25">
      <c r="B5620"/>
      <c r="C5620"/>
      <c r="D5620"/>
      <c r="E5620"/>
      <c r="F5620"/>
      <c r="G5620"/>
      <c r="H5620" s="19"/>
      <c r="I5620" s="19"/>
      <c r="J5620" s="19"/>
      <c r="M5620" s="7"/>
    </row>
    <row r="5621" spans="2:13" x14ac:dyDescent="0.25">
      <c r="B5621"/>
      <c r="C5621"/>
      <c r="D5621"/>
      <c r="E5621"/>
      <c r="F5621"/>
      <c r="G5621"/>
      <c r="H5621" s="19"/>
      <c r="I5621" s="19"/>
      <c r="J5621" s="19"/>
      <c r="M5621" s="7"/>
    </row>
    <row r="5622" spans="2:13" x14ac:dyDescent="0.25">
      <c r="B5622"/>
      <c r="C5622"/>
      <c r="D5622"/>
      <c r="E5622"/>
      <c r="F5622"/>
      <c r="G5622"/>
      <c r="H5622" s="19"/>
      <c r="I5622" s="19"/>
      <c r="J5622" s="19"/>
      <c r="M5622" s="7"/>
    </row>
    <row r="5623" spans="2:13" x14ac:dyDescent="0.25">
      <c r="B5623"/>
      <c r="C5623"/>
      <c r="D5623"/>
      <c r="E5623"/>
      <c r="F5623"/>
      <c r="G5623"/>
      <c r="H5623" s="19"/>
      <c r="I5623" s="19"/>
      <c r="J5623" s="19"/>
      <c r="M5623" s="7"/>
    </row>
    <row r="5624" spans="2:13" x14ac:dyDescent="0.25">
      <c r="B5624"/>
      <c r="C5624"/>
      <c r="D5624"/>
      <c r="E5624"/>
      <c r="F5624"/>
      <c r="G5624"/>
      <c r="H5624" s="19"/>
      <c r="I5624" s="19"/>
      <c r="J5624" s="19"/>
      <c r="M5624" s="7"/>
    </row>
    <row r="5625" spans="2:13" x14ac:dyDescent="0.25">
      <c r="B5625"/>
      <c r="C5625"/>
      <c r="D5625"/>
      <c r="E5625"/>
      <c r="F5625"/>
      <c r="G5625"/>
      <c r="H5625" s="19"/>
      <c r="I5625" s="19"/>
      <c r="J5625" s="19"/>
      <c r="M5625" s="7"/>
    </row>
    <row r="5626" spans="2:13" x14ac:dyDescent="0.25">
      <c r="B5626"/>
      <c r="C5626"/>
      <c r="D5626"/>
      <c r="E5626"/>
      <c r="F5626"/>
      <c r="G5626"/>
      <c r="H5626" s="19"/>
      <c r="I5626" s="19"/>
      <c r="J5626" s="19"/>
      <c r="M5626" s="7"/>
    </row>
    <row r="5627" spans="2:13" x14ac:dyDescent="0.25">
      <c r="B5627"/>
      <c r="C5627"/>
      <c r="D5627"/>
      <c r="E5627"/>
      <c r="F5627"/>
      <c r="G5627"/>
      <c r="H5627" s="19"/>
      <c r="I5627" s="19"/>
      <c r="J5627" s="19"/>
      <c r="M5627" s="7"/>
    </row>
    <row r="5628" spans="2:13" x14ac:dyDescent="0.25">
      <c r="B5628"/>
      <c r="C5628"/>
      <c r="D5628"/>
      <c r="E5628"/>
      <c r="F5628"/>
      <c r="G5628"/>
      <c r="H5628" s="19"/>
      <c r="I5628" s="19"/>
      <c r="J5628" s="19"/>
      <c r="M5628" s="7"/>
    </row>
    <row r="5629" spans="2:13" x14ac:dyDescent="0.25">
      <c r="B5629"/>
      <c r="C5629"/>
      <c r="D5629"/>
      <c r="E5629"/>
      <c r="F5629"/>
      <c r="G5629"/>
      <c r="H5629" s="19"/>
      <c r="I5629" s="19"/>
      <c r="J5629" s="19"/>
      <c r="M5629" s="7"/>
    </row>
    <row r="5630" spans="2:13" x14ac:dyDescent="0.25">
      <c r="B5630"/>
      <c r="C5630"/>
      <c r="D5630"/>
      <c r="E5630"/>
      <c r="F5630"/>
      <c r="G5630"/>
      <c r="H5630" s="19"/>
      <c r="I5630" s="19"/>
      <c r="J5630" s="19"/>
      <c r="M5630" s="7"/>
    </row>
    <row r="5631" spans="2:13" x14ac:dyDescent="0.25">
      <c r="B5631"/>
      <c r="C5631"/>
      <c r="D5631"/>
      <c r="E5631"/>
      <c r="F5631"/>
      <c r="G5631"/>
      <c r="H5631" s="19"/>
      <c r="I5631" s="19"/>
      <c r="J5631" s="19"/>
      <c r="M5631" s="7"/>
    </row>
    <row r="5632" spans="2:13" x14ac:dyDescent="0.25">
      <c r="B5632"/>
      <c r="C5632"/>
      <c r="D5632"/>
      <c r="E5632"/>
      <c r="F5632"/>
      <c r="G5632"/>
      <c r="H5632" s="19"/>
      <c r="I5632" s="19"/>
      <c r="J5632" s="19"/>
      <c r="M5632" s="7"/>
    </row>
    <row r="5633" spans="2:13" x14ac:dyDescent="0.25">
      <c r="B5633"/>
      <c r="C5633"/>
      <c r="D5633"/>
      <c r="E5633"/>
      <c r="F5633"/>
      <c r="G5633"/>
      <c r="H5633" s="19"/>
      <c r="I5633" s="19"/>
      <c r="J5633" s="19"/>
      <c r="M5633" s="7"/>
    </row>
    <row r="5634" spans="2:13" x14ac:dyDescent="0.25">
      <c r="B5634"/>
      <c r="C5634"/>
      <c r="D5634"/>
      <c r="E5634"/>
      <c r="F5634"/>
      <c r="G5634"/>
      <c r="H5634" s="19"/>
      <c r="I5634" s="19"/>
      <c r="J5634" s="19"/>
      <c r="M5634" s="7"/>
    </row>
    <row r="5635" spans="2:13" x14ac:dyDescent="0.25">
      <c r="B5635"/>
      <c r="C5635"/>
      <c r="D5635"/>
      <c r="E5635"/>
      <c r="F5635"/>
      <c r="G5635"/>
      <c r="H5635" s="19"/>
      <c r="I5635" s="19"/>
      <c r="J5635" s="19"/>
      <c r="M5635" s="7"/>
    </row>
    <row r="5636" spans="2:13" x14ac:dyDescent="0.25">
      <c r="B5636"/>
      <c r="C5636"/>
      <c r="D5636"/>
      <c r="E5636"/>
      <c r="F5636"/>
      <c r="G5636"/>
      <c r="H5636" s="19"/>
      <c r="I5636" s="19"/>
      <c r="J5636" s="19"/>
      <c r="M5636" s="7"/>
    </row>
    <row r="5637" spans="2:13" x14ac:dyDescent="0.25">
      <c r="B5637"/>
      <c r="C5637"/>
      <c r="D5637"/>
      <c r="E5637"/>
      <c r="F5637"/>
      <c r="G5637"/>
      <c r="H5637" s="19"/>
      <c r="I5637" s="19"/>
      <c r="J5637" s="19"/>
      <c r="M5637" s="7"/>
    </row>
    <row r="5638" spans="2:13" x14ac:dyDescent="0.25">
      <c r="B5638"/>
      <c r="C5638"/>
      <c r="D5638"/>
      <c r="E5638"/>
      <c r="F5638"/>
      <c r="G5638"/>
      <c r="H5638" s="19"/>
      <c r="I5638" s="19"/>
      <c r="J5638" s="19"/>
      <c r="M5638" s="7"/>
    </row>
    <row r="5639" spans="2:13" x14ac:dyDescent="0.25">
      <c r="B5639"/>
      <c r="C5639"/>
      <c r="D5639"/>
      <c r="E5639"/>
      <c r="F5639"/>
      <c r="G5639"/>
      <c r="H5639" s="19"/>
      <c r="I5639" s="19"/>
      <c r="J5639" s="19"/>
      <c r="M5639" s="7"/>
    </row>
    <row r="5640" spans="2:13" x14ac:dyDescent="0.25">
      <c r="B5640"/>
      <c r="C5640"/>
      <c r="D5640"/>
      <c r="E5640"/>
      <c r="F5640"/>
      <c r="G5640"/>
      <c r="H5640" s="19"/>
      <c r="I5640" s="19"/>
      <c r="J5640" s="19"/>
      <c r="M5640" s="7"/>
    </row>
    <row r="5641" spans="2:13" x14ac:dyDescent="0.25">
      <c r="B5641"/>
      <c r="C5641"/>
      <c r="D5641"/>
      <c r="E5641"/>
      <c r="F5641"/>
      <c r="G5641"/>
      <c r="H5641" s="19"/>
      <c r="I5641" s="19"/>
      <c r="J5641" s="19"/>
      <c r="M5641" s="7"/>
    </row>
    <row r="5642" spans="2:13" x14ac:dyDescent="0.25">
      <c r="B5642"/>
      <c r="C5642"/>
      <c r="D5642"/>
      <c r="E5642"/>
      <c r="F5642"/>
      <c r="G5642"/>
      <c r="H5642" s="19"/>
      <c r="I5642" s="19"/>
      <c r="J5642" s="19"/>
      <c r="M5642" s="7"/>
    </row>
    <row r="5643" spans="2:13" x14ac:dyDescent="0.25">
      <c r="B5643"/>
      <c r="C5643"/>
      <c r="D5643"/>
      <c r="E5643"/>
      <c r="F5643"/>
      <c r="G5643"/>
      <c r="H5643" s="19"/>
      <c r="I5643" s="19"/>
      <c r="J5643" s="19"/>
      <c r="M5643" s="7"/>
    </row>
    <row r="5644" spans="2:13" x14ac:dyDescent="0.25">
      <c r="B5644"/>
      <c r="C5644"/>
      <c r="D5644"/>
      <c r="E5644"/>
      <c r="F5644"/>
      <c r="G5644"/>
      <c r="H5644" s="19"/>
      <c r="I5644" s="19"/>
      <c r="J5644" s="19"/>
      <c r="M5644" s="7"/>
    </row>
    <row r="5645" spans="2:13" x14ac:dyDescent="0.25">
      <c r="B5645"/>
      <c r="C5645"/>
      <c r="D5645"/>
      <c r="E5645"/>
      <c r="F5645"/>
      <c r="G5645"/>
      <c r="H5645" s="19"/>
      <c r="I5645" s="19"/>
      <c r="J5645" s="19"/>
      <c r="M5645" s="7"/>
    </row>
    <row r="5646" spans="2:13" x14ac:dyDescent="0.25">
      <c r="B5646"/>
      <c r="C5646"/>
      <c r="D5646"/>
      <c r="E5646"/>
      <c r="F5646"/>
      <c r="G5646"/>
      <c r="H5646" s="19"/>
      <c r="I5646" s="19"/>
      <c r="J5646" s="19"/>
      <c r="M5646" s="7"/>
    </row>
    <row r="5647" spans="2:13" x14ac:dyDescent="0.25">
      <c r="B5647"/>
      <c r="C5647"/>
      <c r="D5647"/>
      <c r="E5647"/>
      <c r="F5647"/>
      <c r="G5647"/>
      <c r="H5647" s="19"/>
      <c r="I5647" s="19"/>
      <c r="J5647" s="19"/>
      <c r="M5647" s="7"/>
    </row>
    <row r="5648" spans="2:13" x14ac:dyDescent="0.25">
      <c r="B5648"/>
      <c r="C5648"/>
      <c r="D5648"/>
      <c r="E5648"/>
      <c r="F5648"/>
      <c r="G5648"/>
      <c r="H5648" s="19"/>
      <c r="I5648" s="19"/>
      <c r="J5648" s="19"/>
      <c r="M5648" s="7"/>
    </row>
    <row r="5649" spans="2:13" x14ac:dyDescent="0.25">
      <c r="B5649"/>
      <c r="C5649"/>
      <c r="D5649"/>
      <c r="E5649"/>
      <c r="F5649"/>
      <c r="G5649"/>
      <c r="H5649" s="19"/>
      <c r="I5649" s="19"/>
      <c r="J5649" s="19"/>
      <c r="M5649" s="7"/>
    </row>
    <row r="5650" spans="2:13" x14ac:dyDescent="0.25">
      <c r="B5650"/>
      <c r="C5650"/>
      <c r="D5650"/>
      <c r="E5650"/>
      <c r="F5650"/>
      <c r="G5650"/>
      <c r="H5650" s="19"/>
      <c r="I5650" s="19"/>
      <c r="J5650" s="19"/>
      <c r="M5650" s="7"/>
    </row>
    <row r="5651" spans="2:13" x14ac:dyDescent="0.25">
      <c r="B5651"/>
      <c r="C5651"/>
      <c r="D5651"/>
      <c r="E5651"/>
      <c r="F5651"/>
      <c r="G5651"/>
      <c r="H5651" s="19"/>
      <c r="I5651" s="19"/>
      <c r="J5651" s="19"/>
      <c r="M5651" s="7"/>
    </row>
    <row r="5652" spans="2:13" x14ac:dyDescent="0.25">
      <c r="B5652"/>
      <c r="C5652"/>
      <c r="D5652"/>
      <c r="E5652"/>
      <c r="F5652"/>
      <c r="G5652"/>
      <c r="H5652" s="19"/>
      <c r="I5652" s="19"/>
      <c r="J5652" s="19"/>
      <c r="M5652" s="7"/>
    </row>
    <row r="5653" spans="2:13" x14ac:dyDescent="0.25">
      <c r="B5653"/>
      <c r="C5653"/>
      <c r="D5653"/>
      <c r="E5653"/>
      <c r="F5653"/>
      <c r="G5653"/>
      <c r="H5653" s="19"/>
      <c r="I5653" s="19"/>
      <c r="J5653" s="19"/>
      <c r="M5653" s="7"/>
    </row>
    <row r="5654" spans="2:13" x14ac:dyDescent="0.25">
      <c r="B5654"/>
      <c r="C5654"/>
      <c r="D5654"/>
      <c r="E5654"/>
      <c r="F5654"/>
      <c r="G5654"/>
      <c r="H5654" s="19"/>
      <c r="I5654" s="19"/>
      <c r="J5654" s="19"/>
      <c r="M5654" s="7"/>
    </row>
    <row r="5655" spans="2:13" x14ac:dyDescent="0.25">
      <c r="B5655"/>
      <c r="C5655"/>
      <c r="D5655"/>
      <c r="E5655"/>
      <c r="F5655"/>
      <c r="G5655"/>
      <c r="H5655" s="19"/>
      <c r="I5655" s="19"/>
      <c r="J5655" s="19"/>
      <c r="M5655" s="7"/>
    </row>
    <row r="5656" spans="2:13" x14ac:dyDescent="0.25">
      <c r="B5656"/>
      <c r="C5656"/>
      <c r="D5656"/>
      <c r="E5656"/>
      <c r="F5656"/>
      <c r="G5656"/>
      <c r="H5656" s="19"/>
      <c r="I5656" s="19"/>
      <c r="J5656" s="19"/>
      <c r="M5656" s="7"/>
    </row>
    <row r="5657" spans="2:13" x14ac:dyDescent="0.25">
      <c r="B5657"/>
      <c r="C5657"/>
      <c r="D5657"/>
      <c r="E5657"/>
      <c r="F5657"/>
      <c r="G5657"/>
      <c r="H5657" s="19"/>
      <c r="I5657" s="19"/>
      <c r="J5657" s="19"/>
      <c r="M5657" s="7"/>
    </row>
    <row r="5658" spans="2:13" x14ac:dyDescent="0.25">
      <c r="B5658"/>
      <c r="C5658"/>
      <c r="D5658"/>
      <c r="E5658"/>
      <c r="F5658"/>
      <c r="G5658"/>
      <c r="H5658" s="19"/>
      <c r="I5658" s="19"/>
      <c r="J5658" s="19"/>
      <c r="M5658" s="7"/>
    </row>
    <row r="5659" spans="2:13" x14ac:dyDescent="0.25">
      <c r="B5659"/>
      <c r="C5659"/>
      <c r="D5659"/>
      <c r="E5659"/>
      <c r="F5659"/>
      <c r="G5659"/>
      <c r="H5659" s="19"/>
      <c r="I5659" s="19"/>
      <c r="J5659" s="19"/>
      <c r="M5659" s="7"/>
    </row>
    <row r="5660" spans="2:13" x14ac:dyDescent="0.25">
      <c r="B5660"/>
      <c r="C5660"/>
      <c r="D5660"/>
      <c r="E5660"/>
      <c r="F5660"/>
      <c r="G5660"/>
      <c r="H5660" s="19"/>
      <c r="I5660" s="19"/>
      <c r="J5660" s="19"/>
      <c r="M5660" s="7"/>
    </row>
    <row r="5661" spans="2:13" x14ac:dyDescent="0.25">
      <c r="B5661"/>
      <c r="C5661"/>
      <c r="D5661"/>
      <c r="E5661"/>
      <c r="F5661"/>
      <c r="G5661"/>
      <c r="H5661" s="19"/>
      <c r="I5661" s="19"/>
      <c r="J5661" s="19"/>
      <c r="M5661" s="7"/>
    </row>
    <row r="5662" spans="2:13" x14ac:dyDescent="0.25">
      <c r="B5662"/>
      <c r="C5662"/>
      <c r="D5662"/>
      <c r="E5662"/>
      <c r="F5662"/>
      <c r="G5662"/>
      <c r="H5662" s="19"/>
      <c r="I5662" s="19"/>
      <c r="J5662" s="19"/>
      <c r="M5662" s="7"/>
    </row>
    <row r="5663" spans="2:13" x14ac:dyDescent="0.25">
      <c r="B5663"/>
      <c r="C5663"/>
      <c r="D5663"/>
      <c r="E5663"/>
      <c r="F5663"/>
      <c r="G5663"/>
      <c r="H5663" s="19"/>
      <c r="I5663" s="19"/>
      <c r="J5663" s="19"/>
      <c r="M5663" s="7"/>
    </row>
    <row r="5664" spans="2:13" x14ac:dyDescent="0.25">
      <c r="B5664"/>
      <c r="C5664"/>
      <c r="D5664"/>
      <c r="E5664"/>
      <c r="F5664"/>
      <c r="G5664"/>
      <c r="H5664" s="19"/>
      <c r="I5664" s="19"/>
      <c r="J5664" s="19"/>
      <c r="M5664" s="7"/>
    </row>
    <row r="5665" spans="2:13" x14ac:dyDescent="0.25">
      <c r="B5665"/>
      <c r="C5665"/>
      <c r="D5665"/>
      <c r="E5665"/>
      <c r="F5665"/>
      <c r="G5665"/>
      <c r="H5665" s="19"/>
      <c r="I5665" s="19"/>
      <c r="J5665" s="19"/>
      <c r="M5665" s="7"/>
    </row>
    <row r="5666" spans="2:13" x14ac:dyDescent="0.25">
      <c r="B5666"/>
      <c r="C5666"/>
      <c r="D5666"/>
      <c r="E5666"/>
      <c r="F5666"/>
      <c r="G5666"/>
      <c r="H5666" s="19"/>
      <c r="I5666" s="19"/>
      <c r="J5666" s="19"/>
      <c r="M5666" s="7"/>
    </row>
    <row r="5667" spans="2:13" x14ac:dyDescent="0.25">
      <c r="B5667"/>
      <c r="C5667"/>
      <c r="D5667"/>
      <c r="E5667"/>
      <c r="F5667"/>
      <c r="G5667"/>
      <c r="H5667" s="19"/>
      <c r="I5667" s="19"/>
      <c r="J5667" s="19"/>
      <c r="M5667" s="7"/>
    </row>
    <row r="5668" spans="2:13" x14ac:dyDescent="0.25">
      <c r="B5668"/>
      <c r="C5668"/>
      <c r="D5668"/>
      <c r="E5668"/>
      <c r="F5668"/>
      <c r="G5668"/>
      <c r="H5668" s="19"/>
      <c r="I5668" s="19"/>
      <c r="J5668" s="19"/>
      <c r="M5668" s="7"/>
    </row>
    <row r="5669" spans="2:13" x14ac:dyDescent="0.25">
      <c r="B5669"/>
      <c r="C5669"/>
      <c r="D5669"/>
      <c r="E5669"/>
      <c r="F5669"/>
      <c r="G5669"/>
      <c r="H5669" s="19"/>
      <c r="I5669" s="19"/>
      <c r="J5669" s="19"/>
      <c r="M5669" s="7"/>
    </row>
    <row r="5670" spans="2:13" x14ac:dyDescent="0.25">
      <c r="B5670"/>
      <c r="C5670"/>
      <c r="D5670"/>
      <c r="E5670"/>
      <c r="F5670"/>
      <c r="G5670"/>
      <c r="H5670" s="19"/>
      <c r="I5670" s="19"/>
      <c r="J5670" s="19"/>
      <c r="M5670" s="7"/>
    </row>
    <row r="5671" spans="2:13" x14ac:dyDescent="0.25">
      <c r="B5671"/>
      <c r="C5671"/>
      <c r="D5671"/>
      <c r="E5671"/>
      <c r="F5671"/>
      <c r="G5671"/>
      <c r="H5671" s="19"/>
      <c r="I5671" s="19"/>
      <c r="J5671" s="19"/>
      <c r="M5671" s="7"/>
    </row>
    <row r="5672" spans="2:13" x14ac:dyDescent="0.25">
      <c r="B5672"/>
      <c r="C5672"/>
      <c r="D5672"/>
      <c r="E5672"/>
      <c r="F5672"/>
      <c r="G5672"/>
      <c r="H5672" s="19"/>
      <c r="I5672" s="19"/>
      <c r="J5672" s="19"/>
      <c r="M5672" s="7"/>
    </row>
    <row r="5673" spans="2:13" x14ac:dyDescent="0.25">
      <c r="B5673"/>
      <c r="C5673"/>
      <c r="D5673"/>
      <c r="E5673"/>
      <c r="F5673"/>
      <c r="G5673"/>
      <c r="H5673" s="19"/>
      <c r="I5673" s="19"/>
      <c r="J5673" s="19"/>
      <c r="M5673" s="7"/>
    </row>
    <row r="5674" spans="2:13" x14ac:dyDescent="0.25">
      <c r="B5674"/>
      <c r="C5674"/>
      <c r="D5674"/>
      <c r="E5674"/>
      <c r="F5674"/>
      <c r="G5674"/>
      <c r="H5674" s="19"/>
      <c r="I5674" s="19"/>
      <c r="J5674" s="19"/>
      <c r="M5674" s="7"/>
    </row>
    <row r="5675" spans="2:13" x14ac:dyDescent="0.25">
      <c r="B5675"/>
      <c r="C5675"/>
      <c r="D5675"/>
      <c r="E5675"/>
      <c r="F5675"/>
      <c r="G5675"/>
      <c r="H5675" s="19"/>
      <c r="I5675" s="19"/>
      <c r="J5675" s="19"/>
      <c r="M5675" s="7"/>
    </row>
    <row r="5676" spans="2:13" x14ac:dyDescent="0.25">
      <c r="B5676"/>
      <c r="C5676"/>
      <c r="D5676"/>
      <c r="E5676"/>
      <c r="F5676"/>
      <c r="G5676"/>
      <c r="H5676" s="19"/>
      <c r="I5676" s="19"/>
      <c r="J5676" s="19"/>
      <c r="M5676" s="7"/>
    </row>
    <row r="5677" spans="2:13" x14ac:dyDescent="0.25">
      <c r="B5677"/>
      <c r="C5677"/>
      <c r="D5677"/>
      <c r="E5677"/>
      <c r="F5677"/>
      <c r="G5677"/>
      <c r="H5677" s="19"/>
      <c r="I5677" s="19"/>
      <c r="J5677" s="19"/>
      <c r="M5677" s="7"/>
    </row>
    <row r="5678" spans="2:13" x14ac:dyDescent="0.25">
      <c r="B5678"/>
      <c r="C5678"/>
      <c r="D5678"/>
      <c r="E5678"/>
      <c r="F5678"/>
      <c r="G5678"/>
      <c r="H5678" s="19"/>
      <c r="I5678" s="19"/>
      <c r="J5678" s="19"/>
      <c r="M5678" s="7"/>
    </row>
    <row r="5679" spans="2:13" x14ac:dyDescent="0.25">
      <c r="B5679"/>
      <c r="C5679"/>
      <c r="D5679"/>
      <c r="E5679"/>
      <c r="F5679"/>
      <c r="G5679"/>
      <c r="H5679" s="19"/>
      <c r="I5679" s="19"/>
      <c r="J5679" s="19"/>
      <c r="M5679" s="7"/>
    </row>
    <row r="5680" spans="2:13" x14ac:dyDescent="0.25">
      <c r="B5680"/>
      <c r="C5680"/>
      <c r="D5680"/>
      <c r="E5680"/>
      <c r="F5680"/>
      <c r="G5680"/>
      <c r="H5680" s="19"/>
      <c r="I5680" s="19"/>
      <c r="J5680" s="19"/>
      <c r="M5680" s="7"/>
    </row>
    <row r="5681" spans="2:13" x14ac:dyDescent="0.25">
      <c r="B5681"/>
      <c r="C5681"/>
      <c r="D5681"/>
      <c r="E5681"/>
      <c r="F5681"/>
      <c r="G5681"/>
      <c r="H5681" s="19"/>
      <c r="I5681" s="19"/>
      <c r="J5681" s="19"/>
      <c r="M5681" s="7"/>
    </row>
    <row r="5682" spans="2:13" x14ac:dyDescent="0.25">
      <c r="B5682"/>
      <c r="C5682"/>
      <c r="D5682"/>
      <c r="E5682"/>
      <c r="F5682"/>
      <c r="G5682"/>
      <c r="H5682" s="19"/>
      <c r="I5682" s="19"/>
      <c r="J5682" s="19"/>
      <c r="M5682" s="7"/>
    </row>
    <row r="5683" spans="2:13" x14ac:dyDescent="0.25">
      <c r="B5683"/>
      <c r="C5683"/>
      <c r="D5683"/>
      <c r="E5683"/>
      <c r="F5683"/>
      <c r="G5683"/>
      <c r="H5683" s="19"/>
      <c r="I5683" s="19"/>
      <c r="J5683" s="19"/>
      <c r="M5683" s="7"/>
    </row>
    <row r="5684" spans="2:13" x14ac:dyDescent="0.25">
      <c r="B5684"/>
      <c r="C5684"/>
      <c r="D5684"/>
      <c r="E5684"/>
      <c r="F5684"/>
      <c r="G5684"/>
      <c r="H5684" s="19"/>
      <c r="I5684" s="19"/>
      <c r="J5684" s="19"/>
      <c r="M5684" s="7"/>
    </row>
    <row r="5685" spans="2:13" x14ac:dyDescent="0.25">
      <c r="B5685"/>
      <c r="C5685"/>
      <c r="D5685"/>
      <c r="E5685"/>
      <c r="F5685"/>
      <c r="G5685"/>
      <c r="H5685" s="19"/>
      <c r="I5685" s="19"/>
      <c r="J5685" s="19"/>
      <c r="M5685" s="7"/>
    </row>
    <row r="5686" spans="2:13" x14ac:dyDescent="0.25">
      <c r="B5686"/>
      <c r="C5686"/>
      <c r="D5686"/>
      <c r="E5686"/>
      <c r="F5686"/>
      <c r="G5686"/>
      <c r="H5686" s="19"/>
      <c r="I5686" s="19"/>
      <c r="J5686" s="19"/>
      <c r="M5686" s="7"/>
    </row>
    <row r="5687" spans="2:13" x14ac:dyDescent="0.25">
      <c r="B5687"/>
      <c r="C5687"/>
      <c r="D5687"/>
      <c r="E5687"/>
      <c r="F5687"/>
      <c r="G5687"/>
      <c r="H5687" s="19"/>
      <c r="I5687" s="19"/>
      <c r="J5687" s="19"/>
      <c r="M5687" s="7"/>
    </row>
    <row r="5688" spans="2:13" x14ac:dyDescent="0.25">
      <c r="B5688"/>
      <c r="C5688"/>
      <c r="D5688"/>
      <c r="E5688"/>
      <c r="F5688"/>
      <c r="G5688"/>
      <c r="H5688" s="19"/>
      <c r="I5688" s="19"/>
      <c r="J5688" s="19"/>
      <c r="M5688" s="7"/>
    </row>
    <row r="5689" spans="2:13" x14ac:dyDescent="0.25">
      <c r="B5689"/>
      <c r="C5689"/>
      <c r="D5689"/>
      <c r="E5689"/>
      <c r="F5689"/>
      <c r="G5689"/>
      <c r="H5689" s="19"/>
      <c r="I5689" s="19"/>
      <c r="J5689" s="19"/>
      <c r="M5689" s="7"/>
    </row>
    <row r="5690" spans="2:13" x14ac:dyDescent="0.25">
      <c r="B5690"/>
      <c r="C5690"/>
      <c r="D5690"/>
      <c r="E5690"/>
      <c r="F5690"/>
      <c r="G5690"/>
      <c r="H5690" s="19"/>
      <c r="I5690" s="19"/>
      <c r="J5690" s="19"/>
      <c r="M5690" s="7"/>
    </row>
    <row r="5691" spans="2:13" x14ac:dyDescent="0.25">
      <c r="B5691"/>
      <c r="C5691"/>
      <c r="D5691"/>
      <c r="E5691"/>
      <c r="F5691"/>
      <c r="G5691"/>
      <c r="H5691" s="19"/>
      <c r="I5691" s="19"/>
      <c r="J5691" s="19"/>
      <c r="M5691" s="7"/>
    </row>
    <row r="5692" spans="2:13" x14ac:dyDescent="0.25">
      <c r="B5692"/>
      <c r="C5692"/>
      <c r="D5692"/>
      <c r="E5692"/>
      <c r="F5692"/>
      <c r="G5692"/>
      <c r="H5692" s="19"/>
      <c r="I5692" s="19"/>
      <c r="J5692" s="19"/>
      <c r="M5692" s="7"/>
    </row>
    <row r="5693" spans="2:13" x14ac:dyDescent="0.25">
      <c r="B5693"/>
      <c r="C5693"/>
      <c r="D5693"/>
      <c r="E5693"/>
      <c r="F5693"/>
      <c r="G5693"/>
      <c r="H5693" s="19"/>
      <c r="I5693" s="19"/>
      <c r="J5693" s="19"/>
      <c r="M5693" s="7"/>
    </row>
    <row r="5694" spans="2:13" x14ac:dyDescent="0.25">
      <c r="B5694"/>
      <c r="C5694"/>
      <c r="D5694"/>
      <c r="E5694"/>
      <c r="F5694"/>
      <c r="G5694"/>
      <c r="H5694" s="19"/>
      <c r="I5694" s="19"/>
      <c r="J5694" s="19"/>
      <c r="M5694" s="7"/>
    </row>
    <row r="5695" spans="2:13" x14ac:dyDescent="0.25">
      <c r="B5695"/>
      <c r="C5695"/>
      <c r="D5695"/>
      <c r="E5695"/>
      <c r="F5695"/>
      <c r="G5695"/>
      <c r="H5695" s="19"/>
      <c r="I5695" s="19"/>
      <c r="J5695" s="19"/>
      <c r="M5695" s="7"/>
    </row>
    <row r="5696" spans="2:13" x14ac:dyDescent="0.25">
      <c r="B5696"/>
      <c r="C5696"/>
      <c r="D5696"/>
      <c r="E5696"/>
      <c r="F5696"/>
      <c r="G5696"/>
      <c r="H5696" s="19"/>
      <c r="I5696" s="19"/>
      <c r="J5696" s="19"/>
      <c r="M5696" s="7"/>
    </row>
    <row r="5697" spans="2:13" x14ac:dyDescent="0.25">
      <c r="B5697"/>
      <c r="C5697"/>
      <c r="D5697"/>
      <c r="E5697"/>
      <c r="F5697"/>
      <c r="G5697"/>
      <c r="H5697" s="19"/>
      <c r="I5697" s="19"/>
      <c r="J5697" s="19"/>
      <c r="M5697" s="7"/>
    </row>
    <row r="5698" spans="2:13" x14ac:dyDescent="0.25">
      <c r="B5698"/>
      <c r="C5698"/>
      <c r="D5698"/>
      <c r="E5698"/>
      <c r="F5698"/>
      <c r="G5698"/>
      <c r="H5698" s="19"/>
      <c r="I5698" s="19"/>
      <c r="J5698" s="19"/>
      <c r="M5698" s="7"/>
    </row>
    <row r="5699" spans="2:13" x14ac:dyDescent="0.25">
      <c r="B5699"/>
      <c r="C5699"/>
      <c r="D5699"/>
      <c r="E5699"/>
      <c r="F5699"/>
      <c r="G5699"/>
      <c r="H5699" s="19"/>
      <c r="I5699" s="19"/>
      <c r="J5699" s="19"/>
      <c r="M5699" s="7"/>
    </row>
    <row r="5700" spans="2:13" x14ac:dyDescent="0.25">
      <c r="B5700"/>
      <c r="C5700"/>
      <c r="D5700"/>
      <c r="E5700"/>
      <c r="F5700"/>
      <c r="G5700"/>
      <c r="H5700" s="19"/>
      <c r="I5700" s="19"/>
      <c r="J5700" s="19"/>
      <c r="M5700" s="7"/>
    </row>
    <row r="5701" spans="2:13" x14ac:dyDescent="0.25">
      <c r="B5701"/>
      <c r="C5701"/>
      <c r="D5701"/>
      <c r="E5701"/>
      <c r="F5701"/>
      <c r="G5701"/>
      <c r="H5701" s="19"/>
      <c r="I5701" s="19"/>
      <c r="J5701" s="19"/>
      <c r="M5701" s="7"/>
    </row>
    <row r="5702" spans="2:13" x14ac:dyDescent="0.25">
      <c r="B5702"/>
      <c r="C5702"/>
      <c r="D5702"/>
      <c r="E5702"/>
      <c r="F5702"/>
      <c r="G5702"/>
      <c r="H5702" s="19"/>
      <c r="I5702" s="19"/>
      <c r="J5702" s="19"/>
      <c r="M5702" s="7"/>
    </row>
    <row r="5703" spans="2:13" x14ac:dyDescent="0.25">
      <c r="B5703"/>
      <c r="C5703"/>
      <c r="D5703"/>
      <c r="E5703"/>
      <c r="F5703"/>
      <c r="G5703"/>
      <c r="H5703" s="19"/>
      <c r="I5703" s="19"/>
      <c r="J5703" s="19"/>
      <c r="M5703" s="7"/>
    </row>
    <row r="5704" spans="2:13" x14ac:dyDescent="0.25">
      <c r="B5704"/>
      <c r="C5704"/>
      <c r="D5704"/>
      <c r="E5704"/>
      <c r="F5704"/>
      <c r="G5704"/>
      <c r="H5704" s="19"/>
      <c r="I5704" s="19"/>
      <c r="J5704" s="19"/>
      <c r="M5704" s="7"/>
    </row>
    <row r="5705" spans="2:13" x14ac:dyDescent="0.25">
      <c r="B5705"/>
      <c r="C5705"/>
      <c r="D5705"/>
      <c r="E5705"/>
      <c r="F5705"/>
      <c r="G5705"/>
      <c r="H5705" s="19"/>
      <c r="I5705" s="19"/>
      <c r="J5705" s="19"/>
      <c r="M5705" s="7"/>
    </row>
    <row r="5706" spans="2:13" x14ac:dyDescent="0.25">
      <c r="B5706"/>
      <c r="C5706"/>
      <c r="D5706"/>
      <c r="E5706"/>
      <c r="F5706"/>
      <c r="G5706"/>
      <c r="H5706" s="19"/>
      <c r="I5706" s="19"/>
      <c r="J5706" s="19"/>
      <c r="M5706" s="7"/>
    </row>
    <row r="5707" spans="2:13" x14ac:dyDescent="0.25">
      <c r="B5707"/>
      <c r="C5707"/>
      <c r="D5707"/>
      <c r="E5707"/>
      <c r="F5707"/>
      <c r="G5707"/>
      <c r="H5707" s="19"/>
      <c r="I5707" s="19"/>
      <c r="J5707" s="19"/>
      <c r="M5707" s="7"/>
    </row>
    <row r="5708" spans="2:13" x14ac:dyDescent="0.25">
      <c r="B5708"/>
      <c r="C5708"/>
      <c r="D5708"/>
      <c r="E5708"/>
      <c r="F5708"/>
      <c r="G5708"/>
      <c r="H5708" s="19"/>
      <c r="I5708" s="19"/>
      <c r="J5708" s="19"/>
      <c r="M5708" s="7"/>
    </row>
    <row r="5709" spans="2:13" x14ac:dyDescent="0.25">
      <c r="B5709"/>
      <c r="C5709"/>
      <c r="D5709"/>
      <c r="E5709"/>
      <c r="F5709"/>
      <c r="G5709"/>
      <c r="H5709" s="19"/>
      <c r="I5709" s="19"/>
      <c r="J5709" s="19"/>
      <c r="M5709" s="7"/>
    </row>
    <row r="5710" spans="2:13" x14ac:dyDescent="0.25">
      <c r="B5710"/>
      <c r="C5710"/>
      <c r="D5710"/>
      <c r="E5710"/>
      <c r="F5710"/>
      <c r="G5710"/>
      <c r="H5710" s="19"/>
      <c r="I5710" s="19"/>
      <c r="J5710" s="19"/>
      <c r="M5710" s="7"/>
    </row>
    <row r="5711" spans="2:13" x14ac:dyDescent="0.25">
      <c r="B5711"/>
      <c r="C5711"/>
      <c r="D5711"/>
      <c r="E5711"/>
      <c r="F5711"/>
      <c r="G5711"/>
      <c r="H5711" s="19"/>
      <c r="I5711" s="19"/>
      <c r="J5711" s="19"/>
      <c r="M5711" s="7"/>
    </row>
    <row r="5712" spans="2:13" x14ac:dyDescent="0.25">
      <c r="B5712"/>
      <c r="C5712"/>
      <c r="D5712"/>
      <c r="E5712"/>
      <c r="F5712"/>
      <c r="G5712"/>
      <c r="H5712" s="19"/>
      <c r="I5712" s="19"/>
      <c r="J5712" s="19"/>
      <c r="M5712" s="7"/>
    </row>
    <row r="5713" spans="2:13" x14ac:dyDescent="0.25">
      <c r="B5713"/>
      <c r="C5713"/>
      <c r="D5713"/>
      <c r="E5713"/>
      <c r="F5713"/>
      <c r="G5713"/>
      <c r="H5713" s="19"/>
      <c r="I5713" s="19"/>
      <c r="J5713" s="19"/>
      <c r="M5713" s="7"/>
    </row>
    <row r="5714" spans="2:13" x14ac:dyDescent="0.25">
      <c r="B5714"/>
      <c r="C5714"/>
      <c r="D5714"/>
      <c r="E5714"/>
      <c r="F5714"/>
      <c r="G5714"/>
      <c r="H5714" s="19"/>
      <c r="I5714" s="19"/>
      <c r="J5714" s="19"/>
      <c r="M5714" s="7"/>
    </row>
    <row r="5715" spans="2:13" x14ac:dyDescent="0.25">
      <c r="B5715"/>
      <c r="C5715"/>
      <c r="D5715"/>
      <c r="E5715"/>
      <c r="F5715"/>
      <c r="G5715"/>
      <c r="H5715" s="19"/>
      <c r="I5715" s="19"/>
      <c r="J5715" s="19"/>
      <c r="M5715" s="7"/>
    </row>
    <row r="5716" spans="2:13" x14ac:dyDescent="0.25">
      <c r="B5716"/>
      <c r="C5716"/>
      <c r="D5716"/>
      <c r="E5716"/>
      <c r="F5716"/>
      <c r="G5716"/>
      <c r="H5716" s="19"/>
      <c r="I5716" s="19"/>
      <c r="J5716" s="19"/>
      <c r="M5716" s="7"/>
    </row>
    <row r="5717" spans="2:13" x14ac:dyDescent="0.25">
      <c r="B5717"/>
      <c r="C5717"/>
      <c r="D5717"/>
      <c r="E5717"/>
      <c r="F5717"/>
      <c r="G5717"/>
      <c r="H5717" s="19"/>
      <c r="I5717" s="19"/>
      <c r="J5717" s="19"/>
      <c r="M5717" s="7"/>
    </row>
    <row r="5718" spans="2:13" x14ac:dyDescent="0.25">
      <c r="B5718"/>
      <c r="C5718"/>
      <c r="D5718"/>
      <c r="E5718"/>
      <c r="F5718"/>
      <c r="G5718"/>
      <c r="H5718" s="19"/>
      <c r="I5718" s="19"/>
      <c r="J5718" s="19"/>
      <c r="M5718" s="7"/>
    </row>
    <row r="5719" spans="2:13" x14ac:dyDescent="0.25">
      <c r="B5719"/>
      <c r="C5719"/>
      <c r="D5719"/>
      <c r="E5719"/>
      <c r="F5719"/>
      <c r="G5719"/>
      <c r="H5719" s="19"/>
      <c r="I5719" s="19"/>
      <c r="J5719" s="19"/>
      <c r="M5719" s="7"/>
    </row>
    <row r="5720" spans="2:13" x14ac:dyDescent="0.25">
      <c r="B5720"/>
      <c r="C5720"/>
      <c r="D5720"/>
      <c r="E5720"/>
      <c r="F5720"/>
      <c r="G5720"/>
      <c r="H5720" s="19"/>
      <c r="I5720" s="19"/>
      <c r="J5720" s="19"/>
      <c r="M5720" s="7"/>
    </row>
    <row r="5721" spans="2:13" x14ac:dyDescent="0.25">
      <c r="B5721"/>
      <c r="C5721"/>
      <c r="D5721"/>
      <c r="E5721"/>
      <c r="F5721"/>
      <c r="G5721"/>
      <c r="H5721" s="19"/>
      <c r="I5721" s="19"/>
      <c r="J5721" s="19"/>
      <c r="M5721" s="7"/>
    </row>
    <row r="5722" spans="2:13" x14ac:dyDescent="0.25">
      <c r="B5722"/>
      <c r="C5722"/>
      <c r="D5722"/>
      <c r="E5722"/>
      <c r="F5722"/>
      <c r="G5722"/>
      <c r="H5722" s="19"/>
      <c r="I5722" s="19"/>
      <c r="J5722" s="19"/>
      <c r="M5722" s="7"/>
    </row>
    <row r="5723" spans="2:13" x14ac:dyDescent="0.25">
      <c r="B5723"/>
      <c r="C5723"/>
      <c r="D5723"/>
      <c r="E5723"/>
      <c r="F5723"/>
      <c r="G5723"/>
      <c r="H5723" s="19"/>
      <c r="I5723" s="19"/>
      <c r="J5723" s="19"/>
      <c r="M5723" s="7"/>
    </row>
    <row r="5724" spans="2:13" x14ac:dyDescent="0.25">
      <c r="B5724"/>
      <c r="C5724"/>
      <c r="D5724"/>
      <c r="E5724"/>
      <c r="F5724"/>
      <c r="G5724"/>
      <c r="H5724" s="19"/>
      <c r="I5724" s="19"/>
      <c r="J5724" s="19"/>
      <c r="M5724" s="7"/>
    </row>
    <row r="5725" spans="2:13" x14ac:dyDescent="0.25">
      <c r="B5725"/>
      <c r="C5725"/>
      <c r="D5725"/>
      <c r="E5725"/>
      <c r="F5725"/>
      <c r="G5725"/>
      <c r="H5725" s="19"/>
      <c r="I5725" s="19"/>
      <c r="J5725" s="19"/>
      <c r="M5725" s="7"/>
    </row>
    <row r="5726" spans="2:13" x14ac:dyDescent="0.25">
      <c r="B5726"/>
      <c r="C5726"/>
      <c r="D5726"/>
      <c r="E5726"/>
      <c r="F5726"/>
      <c r="G5726"/>
      <c r="H5726" s="19"/>
      <c r="I5726" s="19"/>
      <c r="J5726" s="19"/>
      <c r="M5726" s="7"/>
    </row>
    <row r="5727" spans="2:13" x14ac:dyDescent="0.25">
      <c r="B5727"/>
      <c r="C5727"/>
      <c r="D5727"/>
      <c r="E5727"/>
      <c r="F5727"/>
      <c r="G5727"/>
      <c r="H5727" s="19"/>
      <c r="I5727" s="19"/>
      <c r="J5727" s="19"/>
      <c r="M5727" s="7"/>
    </row>
    <row r="5728" spans="2:13" x14ac:dyDescent="0.25">
      <c r="B5728"/>
      <c r="C5728"/>
      <c r="D5728"/>
      <c r="E5728"/>
      <c r="F5728"/>
      <c r="G5728"/>
      <c r="H5728" s="19"/>
      <c r="I5728" s="19"/>
      <c r="J5728" s="19"/>
      <c r="M5728" s="7"/>
    </row>
    <row r="5729" spans="2:13" x14ac:dyDescent="0.25">
      <c r="B5729"/>
      <c r="C5729"/>
      <c r="D5729"/>
      <c r="E5729"/>
      <c r="F5729"/>
      <c r="G5729"/>
      <c r="H5729" s="19"/>
      <c r="I5729" s="19"/>
      <c r="J5729" s="19"/>
      <c r="M5729" s="7"/>
    </row>
    <row r="5730" spans="2:13" x14ac:dyDescent="0.25">
      <c r="B5730"/>
      <c r="C5730"/>
      <c r="D5730"/>
      <c r="E5730"/>
      <c r="F5730"/>
      <c r="G5730"/>
      <c r="H5730" s="19"/>
      <c r="I5730" s="19"/>
      <c r="J5730" s="19"/>
      <c r="M5730" s="7"/>
    </row>
    <row r="5731" spans="2:13" x14ac:dyDescent="0.25">
      <c r="B5731"/>
      <c r="C5731"/>
      <c r="D5731"/>
      <c r="E5731"/>
      <c r="F5731"/>
      <c r="G5731"/>
      <c r="H5731" s="19"/>
      <c r="I5731" s="19"/>
      <c r="J5731" s="19"/>
      <c r="M5731" s="7"/>
    </row>
    <row r="5732" spans="2:13" x14ac:dyDescent="0.25">
      <c r="B5732"/>
      <c r="C5732"/>
      <c r="D5732"/>
      <c r="E5732"/>
      <c r="F5732"/>
      <c r="G5732"/>
      <c r="H5732" s="19"/>
      <c r="I5732" s="19"/>
      <c r="J5732" s="19"/>
      <c r="M5732" s="7"/>
    </row>
    <row r="5733" spans="2:13" x14ac:dyDescent="0.25">
      <c r="B5733"/>
      <c r="C5733"/>
      <c r="D5733"/>
      <c r="E5733"/>
      <c r="F5733"/>
      <c r="G5733"/>
      <c r="H5733" s="19"/>
      <c r="I5733" s="19"/>
      <c r="J5733" s="19"/>
      <c r="M5733" s="7"/>
    </row>
    <row r="5734" spans="2:13" x14ac:dyDescent="0.25">
      <c r="B5734"/>
      <c r="C5734"/>
      <c r="D5734"/>
      <c r="E5734"/>
      <c r="F5734"/>
      <c r="G5734"/>
      <c r="H5734" s="19"/>
      <c r="I5734" s="19"/>
      <c r="J5734" s="19"/>
      <c r="M5734" s="7"/>
    </row>
    <row r="5735" spans="2:13" x14ac:dyDescent="0.25">
      <c r="B5735"/>
      <c r="C5735"/>
      <c r="D5735"/>
      <c r="E5735"/>
      <c r="F5735"/>
      <c r="G5735"/>
      <c r="H5735" s="19"/>
      <c r="I5735" s="19"/>
      <c r="J5735" s="19"/>
      <c r="M5735" s="7"/>
    </row>
    <row r="5736" spans="2:13" x14ac:dyDescent="0.25">
      <c r="B5736"/>
      <c r="C5736"/>
      <c r="D5736"/>
      <c r="E5736"/>
      <c r="F5736"/>
      <c r="G5736"/>
      <c r="H5736" s="19"/>
      <c r="I5736" s="19"/>
      <c r="J5736" s="19"/>
      <c r="M5736" s="7"/>
    </row>
    <row r="5737" spans="2:13" x14ac:dyDescent="0.25">
      <c r="B5737"/>
      <c r="C5737"/>
      <c r="D5737"/>
      <c r="E5737"/>
      <c r="F5737"/>
      <c r="G5737"/>
      <c r="H5737" s="19"/>
      <c r="I5737" s="19"/>
      <c r="J5737" s="19"/>
      <c r="M5737" s="7"/>
    </row>
    <row r="5738" spans="2:13" x14ac:dyDescent="0.25">
      <c r="B5738"/>
      <c r="C5738"/>
      <c r="D5738"/>
      <c r="E5738"/>
      <c r="F5738"/>
      <c r="G5738"/>
      <c r="H5738" s="19"/>
      <c r="I5738" s="19"/>
      <c r="J5738" s="19"/>
      <c r="M5738" s="7"/>
    </row>
    <row r="5739" spans="2:13" x14ac:dyDescent="0.25">
      <c r="B5739"/>
      <c r="C5739"/>
      <c r="D5739"/>
      <c r="E5739"/>
      <c r="F5739"/>
      <c r="G5739"/>
      <c r="H5739" s="19"/>
      <c r="I5739" s="19"/>
      <c r="J5739" s="19"/>
      <c r="M5739" s="7"/>
    </row>
    <row r="5740" spans="2:13" x14ac:dyDescent="0.25">
      <c r="B5740"/>
      <c r="C5740"/>
      <c r="D5740"/>
      <c r="E5740"/>
      <c r="F5740"/>
      <c r="G5740"/>
      <c r="H5740" s="19"/>
      <c r="I5740" s="19"/>
      <c r="J5740" s="19"/>
      <c r="M5740" s="7"/>
    </row>
    <row r="5741" spans="2:13" x14ac:dyDescent="0.25">
      <c r="B5741"/>
      <c r="C5741"/>
      <c r="D5741"/>
      <c r="E5741"/>
      <c r="F5741"/>
      <c r="G5741"/>
      <c r="H5741" s="19"/>
      <c r="I5741" s="19"/>
      <c r="J5741" s="19"/>
      <c r="M5741" s="7"/>
    </row>
    <row r="5742" spans="2:13" x14ac:dyDescent="0.25">
      <c r="B5742"/>
      <c r="C5742"/>
      <c r="D5742"/>
      <c r="E5742"/>
      <c r="F5742"/>
      <c r="G5742"/>
      <c r="H5742" s="19"/>
      <c r="I5742" s="19"/>
      <c r="J5742" s="19"/>
      <c r="M5742" s="7"/>
    </row>
    <row r="5743" spans="2:13" x14ac:dyDescent="0.25">
      <c r="B5743"/>
      <c r="C5743"/>
      <c r="D5743"/>
      <c r="E5743"/>
      <c r="F5743"/>
      <c r="G5743"/>
      <c r="H5743" s="19"/>
      <c r="I5743" s="19"/>
      <c r="J5743" s="19"/>
      <c r="M5743" s="7"/>
    </row>
    <row r="5744" spans="2:13" x14ac:dyDescent="0.25">
      <c r="B5744"/>
      <c r="C5744"/>
      <c r="D5744"/>
      <c r="E5744"/>
      <c r="F5744"/>
      <c r="G5744"/>
      <c r="H5744" s="19"/>
      <c r="I5744" s="19"/>
      <c r="J5744" s="19"/>
      <c r="M5744" s="7"/>
    </row>
    <row r="5745" spans="2:13" x14ac:dyDescent="0.25">
      <c r="B5745"/>
      <c r="C5745"/>
      <c r="D5745"/>
      <c r="E5745"/>
      <c r="F5745"/>
      <c r="G5745"/>
      <c r="H5745" s="19"/>
      <c r="I5745" s="19"/>
      <c r="J5745" s="19"/>
      <c r="M5745" s="7"/>
    </row>
    <row r="5746" spans="2:13" x14ac:dyDescent="0.25">
      <c r="B5746"/>
      <c r="C5746"/>
      <c r="D5746"/>
      <c r="E5746"/>
      <c r="F5746"/>
      <c r="G5746"/>
      <c r="H5746" s="19"/>
      <c r="I5746" s="19"/>
      <c r="J5746" s="19"/>
      <c r="M5746" s="7"/>
    </row>
    <row r="5747" spans="2:13" x14ac:dyDescent="0.25">
      <c r="B5747"/>
      <c r="C5747"/>
      <c r="D5747"/>
      <c r="E5747"/>
      <c r="F5747"/>
      <c r="G5747"/>
      <c r="H5747" s="19"/>
      <c r="I5747" s="19"/>
      <c r="J5747" s="19"/>
      <c r="M5747" s="7"/>
    </row>
    <row r="5748" spans="2:13" x14ac:dyDescent="0.25">
      <c r="B5748"/>
      <c r="C5748"/>
      <c r="D5748"/>
      <c r="E5748"/>
      <c r="F5748"/>
      <c r="G5748"/>
      <c r="H5748" s="19"/>
      <c r="I5748" s="19"/>
      <c r="J5748" s="19"/>
      <c r="M5748" s="7"/>
    </row>
    <row r="5749" spans="2:13" x14ac:dyDescent="0.25">
      <c r="B5749"/>
      <c r="C5749"/>
      <c r="D5749"/>
      <c r="E5749"/>
      <c r="F5749"/>
      <c r="G5749"/>
      <c r="H5749" s="19"/>
      <c r="I5749" s="19"/>
      <c r="J5749" s="19"/>
      <c r="M5749" s="7"/>
    </row>
    <row r="5750" spans="2:13" x14ac:dyDescent="0.25">
      <c r="B5750"/>
      <c r="C5750"/>
      <c r="D5750"/>
      <c r="E5750"/>
      <c r="F5750"/>
      <c r="G5750"/>
      <c r="H5750" s="19"/>
      <c r="I5750" s="19"/>
      <c r="J5750" s="19"/>
      <c r="M5750" s="7"/>
    </row>
    <row r="5751" spans="2:13" x14ac:dyDescent="0.25">
      <c r="B5751"/>
      <c r="C5751"/>
      <c r="D5751"/>
      <c r="E5751"/>
      <c r="F5751"/>
      <c r="G5751"/>
      <c r="H5751" s="19"/>
      <c r="I5751" s="19"/>
      <c r="J5751" s="19"/>
      <c r="M5751" s="7"/>
    </row>
    <row r="5752" spans="2:13" x14ac:dyDescent="0.25">
      <c r="B5752"/>
      <c r="C5752"/>
      <c r="D5752"/>
      <c r="E5752"/>
      <c r="F5752"/>
      <c r="G5752"/>
      <c r="H5752" s="19"/>
      <c r="I5752" s="19"/>
      <c r="J5752" s="19"/>
      <c r="M5752" s="7"/>
    </row>
    <row r="5753" spans="2:13" x14ac:dyDescent="0.25">
      <c r="B5753"/>
      <c r="C5753"/>
      <c r="D5753"/>
      <c r="E5753"/>
      <c r="F5753"/>
      <c r="G5753"/>
      <c r="H5753" s="19"/>
      <c r="I5753" s="19"/>
      <c r="J5753" s="19"/>
      <c r="M5753" s="7"/>
    </row>
    <row r="5754" spans="2:13" x14ac:dyDescent="0.25">
      <c r="B5754"/>
      <c r="C5754"/>
      <c r="D5754"/>
      <c r="E5754"/>
      <c r="F5754"/>
      <c r="G5754"/>
      <c r="H5754" s="19"/>
      <c r="I5754" s="19"/>
      <c r="J5754" s="19"/>
      <c r="M5754" s="7"/>
    </row>
    <row r="5755" spans="2:13" x14ac:dyDescent="0.25">
      <c r="B5755"/>
      <c r="C5755"/>
      <c r="D5755"/>
      <c r="E5755"/>
      <c r="F5755"/>
      <c r="G5755"/>
      <c r="H5755" s="19"/>
      <c r="I5755" s="19"/>
      <c r="J5755" s="19"/>
      <c r="M5755" s="7"/>
    </row>
    <row r="5756" spans="2:13" x14ac:dyDescent="0.25">
      <c r="B5756"/>
      <c r="C5756"/>
      <c r="D5756"/>
      <c r="E5756"/>
      <c r="F5756"/>
      <c r="G5756"/>
      <c r="H5756" s="19"/>
      <c r="I5756" s="19"/>
      <c r="J5756" s="19"/>
      <c r="M5756" s="7"/>
    </row>
    <row r="5757" spans="2:13" x14ac:dyDescent="0.25">
      <c r="B5757"/>
      <c r="C5757"/>
      <c r="D5757"/>
      <c r="E5757"/>
      <c r="F5757"/>
      <c r="G5757"/>
      <c r="H5757" s="19"/>
      <c r="I5757" s="19"/>
      <c r="J5757" s="19"/>
      <c r="M5757" s="7"/>
    </row>
    <row r="5758" spans="2:13" x14ac:dyDescent="0.25">
      <c r="B5758"/>
      <c r="C5758"/>
      <c r="D5758"/>
      <c r="E5758"/>
      <c r="F5758"/>
      <c r="G5758"/>
      <c r="H5758" s="19"/>
      <c r="I5758" s="19"/>
      <c r="J5758" s="19"/>
      <c r="M5758" s="7"/>
    </row>
    <row r="5759" spans="2:13" x14ac:dyDescent="0.25">
      <c r="B5759"/>
      <c r="C5759"/>
      <c r="D5759"/>
      <c r="E5759"/>
      <c r="F5759"/>
      <c r="G5759"/>
      <c r="H5759" s="19"/>
      <c r="I5759" s="19"/>
      <c r="J5759" s="19"/>
      <c r="M5759" s="7"/>
    </row>
    <row r="5760" spans="2:13" x14ac:dyDescent="0.25">
      <c r="B5760"/>
      <c r="C5760"/>
      <c r="D5760"/>
      <c r="E5760"/>
      <c r="F5760"/>
      <c r="G5760"/>
      <c r="H5760" s="19"/>
      <c r="I5760" s="19"/>
      <c r="J5760" s="19"/>
      <c r="M5760" s="7"/>
    </row>
    <row r="5761" spans="2:13" x14ac:dyDescent="0.25">
      <c r="B5761"/>
      <c r="C5761"/>
      <c r="D5761"/>
      <c r="E5761"/>
      <c r="F5761"/>
      <c r="G5761"/>
      <c r="H5761" s="19"/>
      <c r="I5761" s="19"/>
      <c r="J5761" s="19"/>
      <c r="M5761" s="7"/>
    </row>
    <row r="5762" spans="2:13" x14ac:dyDescent="0.25">
      <c r="B5762"/>
      <c r="C5762"/>
      <c r="D5762"/>
      <c r="E5762"/>
      <c r="F5762"/>
      <c r="G5762"/>
      <c r="H5762" s="19"/>
      <c r="I5762" s="19"/>
      <c r="J5762" s="19"/>
      <c r="M5762" s="7"/>
    </row>
    <row r="5763" spans="2:13" x14ac:dyDescent="0.25">
      <c r="B5763"/>
      <c r="C5763"/>
      <c r="D5763"/>
      <c r="E5763"/>
      <c r="F5763"/>
      <c r="G5763"/>
      <c r="H5763" s="19"/>
      <c r="I5763" s="19"/>
      <c r="J5763" s="19"/>
      <c r="M5763" s="7"/>
    </row>
    <row r="5764" spans="2:13" x14ac:dyDescent="0.25">
      <c r="B5764"/>
      <c r="C5764"/>
      <c r="D5764"/>
      <c r="E5764"/>
      <c r="F5764"/>
      <c r="G5764"/>
      <c r="H5764" s="19"/>
      <c r="I5764" s="19"/>
      <c r="J5764" s="19"/>
      <c r="M5764" s="7"/>
    </row>
    <row r="5765" spans="2:13" x14ac:dyDescent="0.25">
      <c r="B5765"/>
      <c r="C5765"/>
      <c r="D5765"/>
      <c r="E5765"/>
      <c r="F5765"/>
      <c r="G5765"/>
      <c r="H5765" s="19"/>
      <c r="I5765" s="19"/>
      <c r="J5765" s="19"/>
      <c r="M5765" s="7"/>
    </row>
    <row r="5766" spans="2:13" x14ac:dyDescent="0.25">
      <c r="B5766"/>
      <c r="C5766"/>
      <c r="D5766"/>
      <c r="E5766"/>
      <c r="F5766"/>
      <c r="G5766"/>
      <c r="H5766" s="19"/>
      <c r="I5766" s="19"/>
      <c r="J5766" s="19"/>
      <c r="M5766" s="7"/>
    </row>
    <row r="5767" spans="2:13" x14ac:dyDescent="0.25">
      <c r="B5767"/>
      <c r="C5767"/>
      <c r="D5767"/>
      <c r="E5767"/>
      <c r="F5767"/>
      <c r="G5767"/>
      <c r="H5767" s="19"/>
      <c r="I5767" s="19"/>
      <c r="J5767" s="19"/>
      <c r="M5767" s="7"/>
    </row>
    <row r="5768" spans="2:13" x14ac:dyDescent="0.25">
      <c r="B5768"/>
      <c r="C5768"/>
      <c r="D5768"/>
      <c r="E5768"/>
      <c r="F5768"/>
      <c r="G5768"/>
      <c r="H5768" s="19"/>
      <c r="I5768" s="19"/>
      <c r="J5768" s="19"/>
      <c r="M5768" s="7"/>
    </row>
    <row r="5769" spans="2:13" x14ac:dyDescent="0.25">
      <c r="B5769"/>
      <c r="C5769"/>
      <c r="D5769"/>
      <c r="E5769"/>
      <c r="F5769"/>
      <c r="G5769"/>
      <c r="H5769" s="19"/>
      <c r="I5769" s="19"/>
      <c r="J5769" s="19"/>
      <c r="M5769" s="7"/>
    </row>
    <row r="5770" spans="2:13" x14ac:dyDescent="0.25">
      <c r="B5770"/>
      <c r="C5770"/>
      <c r="D5770"/>
      <c r="E5770"/>
      <c r="F5770"/>
      <c r="G5770"/>
      <c r="H5770" s="19"/>
      <c r="I5770" s="19"/>
      <c r="J5770" s="19"/>
      <c r="M5770" s="7"/>
    </row>
    <row r="5771" spans="2:13" x14ac:dyDescent="0.25">
      <c r="B5771"/>
      <c r="C5771"/>
      <c r="D5771"/>
      <c r="E5771"/>
      <c r="F5771"/>
      <c r="G5771"/>
      <c r="H5771" s="19"/>
      <c r="I5771" s="19"/>
      <c r="J5771" s="19"/>
      <c r="M5771" s="7"/>
    </row>
    <row r="5772" spans="2:13" x14ac:dyDescent="0.25">
      <c r="B5772"/>
      <c r="C5772"/>
      <c r="D5772"/>
      <c r="E5772"/>
      <c r="F5772"/>
      <c r="G5772"/>
      <c r="H5772" s="19"/>
      <c r="I5772" s="19"/>
      <c r="J5772" s="19"/>
      <c r="M5772" s="7"/>
    </row>
    <row r="5773" spans="2:13" x14ac:dyDescent="0.25">
      <c r="B5773"/>
      <c r="C5773"/>
      <c r="D5773"/>
      <c r="E5773"/>
      <c r="F5773"/>
      <c r="G5773"/>
      <c r="H5773" s="19"/>
      <c r="I5773" s="19"/>
      <c r="J5773" s="19"/>
      <c r="M5773" s="7"/>
    </row>
    <row r="5774" spans="2:13" x14ac:dyDescent="0.25">
      <c r="B5774"/>
      <c r="C5774"/>
      <c r="D5774"/>
      <c r="E5774"/>
      <c r="F5774"/>
      <c r="G5774"/>
      <c r="H5774" s="19"/>
      <c r="I5774" s="19"/>
      <c r="J5774" s="19"/>
      <c r="M5774" s="7"/>
    </row>
    <row r="5775" spans="2:13" x14ac:dyDescent="0.25">
      <c r="B5775"/>
      <c r="C5775"/>
      <c r="D5775"/>
      <c r="E5775"/>
      <c r="F5775"/>
      <c r="G5775"/>
      <c r="H5775" s="19"/>
      <c r="I5775" s="19"/>
      <c r="J5775" s="19"/>
      <c r="M5775" s="7"/>
    </row>
    <row r="5776" spans="2:13" x14ac:dyDescent="0.25">
      <c r="B5776"/>
      <c r="C5776"/>
      <c r="D5776"/>
      <c r="E5776"/>
      <c r="F5776"/>
      <c r="G5776"/>
      <c r="H5776" s="19"/>
      <c r="I5776" s="19"/>
      <c r="J5776" s="19"/>
      <c r="M5776" s="7"/>
    </row>
    <row r="5777" spans="2:13" x14ac:dyDescent="0.25">
      <c r="B5777"/>
      <c r="C5777"/>
      <c r="D5777"/>
      <c r="E5777"/>
      <c r="F5777"/>
      <c r="G5777"/>
      <c r="H5777" s="19"/>
      <c r="I5777" s="19"/>
      <c r="J5777" s="19"/>
      <c r="M5777" s="7"/>
    </row>
    <row r="5778" spans="2:13" x14ac:dyDescent="0.25">
      <c r="B5778"/>
      <c r="C5778"/>
      <c r="D5778"/>
      <c r="E5778"/>
      <c r="F5778"/>
      <c r="G5778"/>
      <c r="H5778" s="19"/>
      <c r="I5778" s="19"/>
      <c r="J5778" s="19"/>
      <c r="M5778" s="7"/>
    </row>
    <row r="5779" spans="2:13" x14ac:dyDescent="0.25">
      <c r="B5779"/>
      <c r="C5779"/>
      <c r="D5779"/>
      <c r="E5779"/>
      <c r="F5779"/>
      <c r="G5779"/>
      <c r="H5779" s="19"/>
      <c r="I5779" s="19"/>
      <c r="J5779" s="19"/>
      <c r="M5779" s="7"/>
    </row>
    <row r="5780" spans="2:13" x14ac:dyDescent="0.25">
      <c r="B5780"/>
      <c r="C5780"/>
      <c r="D5780"/>
      <c r="E5780"/>
      <c r="F5780"/>
      <c r="G5780"/>
      <c r="H5780" s="19"/>
      <c r="I5780" s="19"/>
      <c r="J5780" s="19"/>
      <c r="M5780" s="7"/>
    </row>
    <row r="5781" spans="2:13" x14ac:dyDescent="0.25">
      <c r="B5781"/>
      <c r="C5781"/>
      <c r="D5781"/>
      <c r="E5781"/>
      <c r="F5781"/>
      <c r="G5781"/>
      <c r="H5781" s="19"/>
      <c r="I5781" s="19"/>
      <c r="J5781" s="19"/>
      <c r="M5781" s="7"/>
    </row>
    <row r="5782" spans="2:13" x14ac:dyDescent="0.25">
      <c r="B5782"/>
      <c r="C5782"/>
      <c r="D5782"/>
      <c r="E5782"/>
      <c r="F5782"/>
      <c r="G5782"/>
      <c r="H5782" s="19"/>
      <c r="I5782" s="19"/>
      <c r="J5782" s="19"/>
      <c r="M5782" s="7"/>
    </row>
    <row r="5783" spans="2:13" x14ac:dyDescent="0.25">
      <c r="B5783"/>
      <c r="C5783"/>
      <c r="D5783"/>
      <c r="E5783"/>
      <c r="F5783"/>
      <c r="G5783"/>
      <c r="H5783" s="19"/>
      <c r="I5783" s="19"/>
      <c r="J5783" s="19"/>
      <c r="M5783" s="7"/>
    </row>
    <row r="5784" spans="2:13" x14ac:dyDescent="0.25">
      <c r="B5784"/>
      <c r="C5784"/>
      <c r="D5784"/>
      <c r="E5784"/>
      <c r="F5784"/>
      <c r="G5784"/>
      <c r="H5784" s="19"/>
      <c r="I5784" s="19"/>
      <c r="J5784" s="19"/>
      <c r="M5784" s="7"/>
    </row>
    <row r="5785" spans="2:13" x14ac:dyDescent="0.25">
      <c r="B5785"/>
      <c r="C5785"/>
      <c r="D5785"/>
      <c r="E5785"/>
      <c r="F5785"/>
      <c r="G5785"/>
      <c r="H5785" s="19"/>
      <c r="I5785" s="19"/>
      <c r="J5785" s="19"/>
      <c r="M5785" s="7"/>
    </row>
    <row r="5786" spans="2:13" x14ac:dyDescent="0.25">
      <c r="B5786"/>
      <c r="C5786"/>
      <c r="D5786"/>
      <c r="E5786"/>
      <c r="F5786"/>
      <c r="G5786"/>
      <c r="H5786" s="19"/>
      <c r="I5786" s="19"/>
      <c r="J5786" s="19"/>
      <c r="M5786" s="7"/>
    </row>
    <row r="5787" spans="2:13" x14ac:dyDescent="0.25">
      <c r="B5787"/>
      <c r="C5787"/>
      <c r="D5787"/>
      <c r="E5787"/>
      <c r="F5787"/>
      <c r="G5787"/>
      <c r="H5787" s="19"/>
      <c r="I5787" s="19"/>
      <c r="J5787" s="19"/>
      <c r="M5787" s="7"/>
    </row>
    <row r="5788" spans="2:13" x14ac:dyDescent="0.25">
      <c r="B5788"/>
      <c r="C5788"/>
      <c r="D5788"/>
      <c r="E5788"/>
      <c r="F5788"/>
      <c r="G5788"/>
      <c r="H5788" s="19"/>
      <c r="I5788" s="19"/>
      <c r="J5788" s="19"/>
      <c r="M5788" s="7"/>
    </row>
    <row r="5789" spans="2:13" x14ac:dyDescent="0.25">
      <c r="B5789"/>
      <c r="C5789"/>
      <c r="D5789"/>
      <c r="E5789"/>
      <c r="F5789"/>
      <c r="G5789"/>
      <c r="H5789" s="19"/>
      <c r="I5789" s="19"/>
      <c r="J5789" s="19"/>
      <c r="M5789" s="7"/>
    </row>
    <row r="5790" spans="2:13" x14ac:dyDescent="0.25">
      <c r="B5790"/>
      <c r="C5790"/>
      <c r="D5790"/>
      <c r="E5790"/>
      <c r="F5790"/>
      <c r="G5790"/>
      <c r="H5790" s="19"/>
      <c r="I5790" s="19"/>
      <c r="J5790" s="19"/>
      <c r="M5790" s="7"/>
    </row>
    <row r="5791" spans="2:13" x14ac:dyDescent="0.25">
      <c r="B5791"/>
      <c r="C5791"/>
      <c r="D5791"/>
      <c r="E5791"/>
      <c r="F5791"/>
      <c r="G5791"/>
      <c r="H5791" s="19"/>
      <c r="I5791" s="19"/>
      <c r="J5791" s="19"/>
      <c r="M5791" s="7"/>
    </row>
    <row r="5792" spans="2:13" x14ac:dyDescent="0.25">
      <c r="B5792"/>
      <c r="C5792"/>
      <c r="D5792"/>
      <c r="E5792"/>
      <c r="F5792"/>
      <c r="G5792"/>
      <c r="H5792" s="19"/>
      <c r="I5792" s="19"/>
      <c r="J5792" s="19"/>
      <c r="M5792" s="7"/>
    </row>
    <row r="5793" spans="2:13" x14ac:dyDescent="0.25">
      <c r="B5793"/>
      <c r="C5793"/>
      <c r="D5793"/>
      <c r="E5793"/>
      <c r="F5793"/>
      <c r="G5793"/>
      <c r="H5793" s="19"/>
      <c r="I5793" s="19"/>
      <c r="J5793" s="19"/>
      <c r="M5793" s="7"/>
    </row>
    <row r="5794" spans="2:13" x14ac:dyDescent="0.25">
      <c r="B5794"/>
      <c r="C5794"/>
      <c r="D5794"/>
      <c r="E5794"/>
      <c r="F5794"/>
      <c r="G5794"/>
      <c r="H5794" s="19"/>
      <c r="I5794" s="19"/>
      <c r="J5794" s="19"/>
      <c r="M5794" s="7"/>
    </row>
    <row r="5795" spans="2:13" x14ac:dyDescent="0.25">
      <c r="B5795"/>
      <c r="C5795"/>
      <c r="D5795"/>
      <c r="E5795"/>
      <c r="F5795"/>
      <c r="G5795"/>
      <c r="H5795" s="19"/>
      <c r="I5795" s="19"/>
      <c r="J5795" s="19"/>
      <c r="M5795" s="7"/>
    </row>
    <row r="5796" spans="2:13" x14ac:dyDescent="0.25">
      <c r="B5796"/>
      <c r="C5796"/>
      <c r="D5796"/>
      <c r="E5796"/>
      <c r="F5796"/>
      <c r="G5796"/>
      <c r="H5796" s="19"/>
      <c r="I5796" s="19"/>
      <c r="J5796" s="19"/>
      <c r="M5796" s="7"/>
    </row>
    <row r="5797" spans="2:13" x14ac:dyDescent="0.25">
      <c r="B5797"/>
      <c r="C5797"/>
      <c r="D5797"/>
      <c r="E5797"/>
      <c r="F5797"/>
      <c r="G5797"/>
      <c r="H5797" s="19"/>
      <c r="I5797" s="19"/>
      <c r="J5797" s="19"/>
      <c r="M5797" s="7"/>
    </row>
    <row r="5798" spans="2:13" x14ac:dyDescent="0.25">
      <c r="B5798"/>
      <c r="C5798"/>
      <c r="D5798"/>
      <c r="E5798"/>
      <c r="F5798"/>
      <c r="G5798"/>
      <c r="H5798" s="19"/>
      <c r="I5798" s="19"/>
      <c r="J5798" s="19"/>
      <c r="M5798" s="7"/>
    </row>
    <row r="5799" spans="2:13" x14ac:dyDescent="0.25">
      <c r="B5799"/>
      <c r="C5799"/>
      <c r="D5799"/>
      <c r="E5799"/>
      <c r="F5799"/>
      <c r="G5799"/>
      <c r="H5799" s="19"/>
      <c r="I5799" s="19"/>
      <c r="J5799" s="19"/>
      <c r="M5799" s="7"/>
    </row>
    <row r="5800" spans="2:13" x14ac:dyDescent="0.25">
      <c r="B5800"/>
      <c r="C5800"/>
      <c r="D5800"/>
      <c r="E5800"/>
      <c r="F5800"/>
      <c r="G5800"/>
      <c r="H5800" s="19"/>
      <c r="I5800" s="19"/>
      <c r="J5800" s="19"/>
      <c r="M5800" s="7"/>
    </row>
    <row r="5801" spans="2:13" x14ac:dyDescent="0.25">
      <c r="B5801"/>
      <c r="C5801"/>
      <c r="D5801"/>
      <c r="E5801"/>
      <c r="F5801"/>
      <c r="G5801"/>
      <c r="H5801" s="19"/>
      <c r="I5801" s="19"/>
      <c r="J5801" s="19"/>
      <c r="M5801" s="7"/>
    </row>
    <row r="5802" spans="2:13" x14ac:dyDescent="0.25">
      <c r="B5802"/>
      <c r="C5802"/>
      <c r="D5802"/>
      <c r="E5802"/>
      <c r="F5802"/>
      <c r="G5802"/>
      <c r="H5802" s="19"/>
      <c r="I5802" s="19"/>
      <c r="J5802" s="19"/>
      <c r="M5802" s="7"/>
    </row>
    <row r="5803" spans="2:13" x14ac:dyDescent="0.25">
      <c r="B5803"/>
      <c r="C5803"/>
      <c r="D5803"/>
      <c r="E5803"/>
      <c r="F5803"/>
      <c r="G5803"/>
      <c r="H5803" s="19"/>
      <c r="I5803" s="19"/>
      <c r="J5803" s="19"/>
      <c r="M5803" s="7"/>
    </row>
    <row r="5804" spans="2:13" x14ac:dyDescent="0.25">
      <c r="B5804"/>
      <c r="C5804"/>
      <c r="D5804"/>
      <c r="E5804"/>
      <c r="F5804"/>
      <c r="G5804"/>
      <c r="H5804" s="19"/>
      <c r="I5804" s="19"/>
      <c r="J5804" s="19"/>
      <c r="M5804" s="7"/>
    </row>
    <row r="5805" spans="2:13" x14ac:dyDescent="0.25">
      <c r="B5805"/>
      <c r="C5805"/>
      <c r="D5805"/>
      <c r="E5805"/>
      <c r="F5805"/>
      <c r="G5805"/>
      <c r="H5805" s="19"/>
      <c r="I5805" s="19"/>
      <c r="J5805" s="19"/>
      <c r="M5805" s="7"/>
    </row>
    <row r="5806" spans="2:13" x14ac:dyDescent="0.25">
      <c r="B5806"/>
      <c r="C5806"/>
      <c r="D5806"/>
      <c r="E5806"/>
      <c r="F5806"/>
      <c r="G5806"/>
      <c r="H5806" s="19"/>
      <c r="I5806" s="19"/>
      <c r="J5806" s="19"/>
      <c r="M5806" s="7"/>
    </row>
    <row r="5807" spans="2:13" x14ac:dyDescent="0.25">
      <c r="B5807"/>
      <c r="C5807"/>
      <c r="D5807"/>
      <c r="E5807"/>
      <c r="F5807"/>
      <c r="G5807"/>
      <c r="H5807" s="19"/>
      <c r="I5807" s="19"/>
      <c r="J5807" s="19"/>
      <c r="M5807" s="7"/>
    </row>
    <row r="5808" spans="2:13" x14ac:dyDescent="0.25">
      <c r="B5808"/>
      <c r="C5808"/>
      <c r="D5808"/>
      <c r="E5808"/>
      <c r="F5808"/>
      <c r="G5808"/>
      <c r="H5808" s="19"/>
      <c r="I5808" s="19"/>
      <c r="J5808" s="19"/>
      <c r="M5808" s="7"/>
    </row>
    <row r="5809" spans="2:13" x14ac:dyDescent="0.25">
      <c r="B5809"/>
      <c r="C5809"/>
      <c r="D5809"/>
      <c r="E5809"/>
      <c r="F5809"/>
      <c r="G5809"/>
      <c r="H5809" s="19"/>
      <c r="I5809" s="19"/>
      <c r="J5809" s="19"/>
      <c r="M5809" s="7"/>
    </row>
    <row r="5810" spans="2:13" x14ac:dyDescent="0.25">
      <c r="B5810"/>
      <c r="C5810"/>
      <c r="D5810"/>
      <c r="E5810"/>
      <c r="F5810"/>
      <c r="G5810"/>
      <c r="H5810" s="19"/>
      <c r="I5810" s="19"/>
      <c r="J5810" s="19"/>
      <c r="M5810" s="7"/>
    </row>
    <row r="5811" spans="2:13" x14ac:dyDescent="0.25">
      <c r="B5811"/>
      <c r="C5811"/>
      <c r="D5811"/>
      <c r="E5811"/>
      <c r="F5811"/>
      <c r="G5811"/>
      <c r="H5811" s="19"/>
      <c r="I5811" s="19"/>
      <c r="J5811" s="19"/>
      <c r="M5811" s="7"/>
    </row>
    <row r="5812" spans="2:13" x14ac:dyDescent="0.25">
      <c r="B5812"/>
      <c r="C5812"/>
      <c r="D5812"/>
      <c r="E5812"/>
      <c r="F5812"/>
      <c r="G5812"/>
      <c r="H5812" s="19"/>
      <c r="I5812" s="19"/>
      <c r="J5812" s="19"/>
      <c r="M5812" s="7"/>
    </row>
    <row r="5813" spans="2:13" x14ac:dyDescent="0.25">
      <c r="B5813"/>
      <c r="C5813"/>
      <c r="D5813"/>
      <c r="E5813"/>
      <c r="F5813"/>
      <c r="G5813"/>
      <c r="H5813" s="19"/>
      <c r="I5813" s="19"/>
      <c r="J5813" s="19"/>
      <c r="M5813" s="7"/>
    </row>
    <row r="5814" spans="2:13" x14ac:dyDescent="0.25">
      <c r="B5814"/>
      <c r="C5814"/>
      <c r="D5814"/>
      <c r="E5814"/>
      <c r="F5814"/>
      <c r="G5814"/>
      <c r="H5814" s="19"/>
      <c r="I5814" s="19"/>
      <c r="J5814" s="19"/>
      <c r="M5814" s="7"/>
    </row>
    <row r="5815" spans="2:13" x14ac:dyDescent="0.25">
      <c r="B5815"/>
      <c r="C5815"/>
      <c r="D5815"/>
      <c r="E5815"/>
      <c r="F5815"/>
      <c r="G5815"/>
      <c r="H5815" s="19"/>
      <c r="I5815" s="19"/>
      <c r="J5815" s="19"/>
      <c r="M5815" s="7"/>
    </row>
    <row r="5816" spans="2:13" x14ac:dyDescent="0.25">
      <c r="B5816"/>
      <c r="C5816"/>
      <c r="D5816"/>
      <c r="E5816"/>
      <c r="F5816"/>
      <c r="G5816"/>
      <c r="H5816" s="19"/>
      <c r="I5816" s="19"/>
      <c r="J5816" s="19"/>
      <c r="M5816" s="7"/>
    </row>
    <row r="5817" spans="2:13" x14ac:dyDescent="0.25">
      <c r="B5817"/>
      <c r="C5817"/>
      <c r="D5817"/>
      <c r="E5817"/>
      <c r="F5817"/>
      <c r="G5817"/>
      <c r="H5817" s="19"/>
      <c r="I5817" s="19"/>
      <c r="J5817" s="19"/>
      <c r="M5817" s="7"/>
    </row>
    <row r="5818" spans="2:13" x14ac:dyDescent="0.25">
      <c r="B5818"/>
      <c r="C5818"/>
      <c r="D5818"/>
      <c r="E5818"/>
      <c r="F5818"/>
      <c r="G5818"/>
      <c r="H5818" s="19"/>
      <c r="I5818" s="19"/>
      <c r="J5818" s="19"/>
      <c r="M5818" s="7"/>
    </row>
    <row r="5819" spans="2:13" x14ac:dyDescent="0.25">
      <c r="B5819"/>
      <c r="C5819"/>
      <c r="D5819"/>
      <c r="E5819"/>
      <c r="F5819"/>
      <c r="G5819"/>
      <c r="H5819" s="19"/>
      <c r="I5819" s="19"/>
      <c r="J5819" s="19"/>
      <c r="M5819" s="7"/>
    </row>
    <row r="5820" spans="2:13" x14ac:dyDescent="0.25">
      <c r="B5820"/>
      <c r="C5820"/>
      <c r="D5820"/>
      <c r="E5820"/>
      <c r="F5820"/>
      <c r="G5820"/>
      <c r="H5820" s="19"/>
      <c r="I5820" s="19"/>
      <c r="J5820" s="19"/>
      <c r="M5820" s="7"/>
    </row>
    <row r="5821" spans="2:13" x14ac:dyDescent="0.25">
      <c r="B5821"/>
      <c r="C5821"/>
      <c r="D5821"/>
      <c r="E5821"/>
      <c r="F5821"/>
      <c r="G5821"/>
      <c r="H5821" s="19"/>
      <c r="I5821" s="19"/>
      <c r="J5821" s="19"/>
      <c r="M5821" s="7"/>
    </row>
    <row r="5822" spans="2:13" x14ac:dyDescent="0.25">
      <c r="B5822"/>
      <c r="C5822"/>
      <c r="D5822"/>
      <c r="E5822"/>
      <c r="F5822"/>
      <c r="G5822"/>
      <c r="H5822" s="19"/>
      <c r="I5822" s="19"/>
      <c r="J5822" s="19"/>
      <c r="M5822" s="7"/>
    </row>
    <row r="5823" spans="2:13" x14ac:dyDescent="0.25">
      <c r="B5823"/>
      <c r="C5823"/>
      <c r="D5823"/>
      <c r="E5823"/>
      <c r="F5823"/>
      <c r="G5823"/>
      <c r="H5823" s="19"/>
      <c r="I5823" s="19"/>
      <c r="J5823" s="19"/>
      <c r="M5823" s="7"/>
    </row>
    <row r="5824" spans="2:13" x14ac:dyDescent="0.25">
      <c r="B5824"/>
      <c r="C5824"/>
      <c r="D5824"/>
      <c r="E5824"/>
      <c r="F5824"/>
      <c r="G5824"/>
      <c r="H5824" s="19"/>
      <c r="I5824" s="19"/>
      <c r="J5824" s="19"/>
      <c r="M5824" s="7"/>
    </row>
    <row r="5825" spans="2:13" x14ac:dyDescent="0.25">
      <c r="B5825"/>
      <c r="C5825"/>
      <c r="D5825"/>
      <c r="E5825"/>
      <c r="F5825"/>
      <c r="G5825"/>
      <c r="H5825" s="19"/>
      <c r="I5825" s="19"/>
      <c r="J5825" s="19"/>
      <c r="M5825" s="7"/>
    </row>
    <row r="5826" spans="2:13" x14ac:dyDescent="0.25">
      <c r="B5826"/>
      <c r="C5826"/>
      <c r="D5826"/>
      <c r="E5826"/>
      <c r="F5826"/>
      <c r="G5826"/>
      <c r="H5826" s="19"/>
      <c r="I5826" s="19"/>
      <c r="J5826" s="19"/>
      <c r="M5826" s="7"/>
    </row>
    <row r="5827" spans="2:13" x14ac:dyDescent="0.25">
      <c r="B5827"/>
      <c r="C5827"/>
      <c r="D5827"/>
      <c r="E5827"/>
      <c r="F5827"/>
      <c r="G5827"/>
      <c r="H5827" s="19"/>
      <c r="I5827" s="19"/>
      <c r="J5827" s="19"/>
      <c r="M5827" s="7"/>
    </row>
    <row r="5828" spans="2:13" x14ac:dyDescent="0.25">
      <c r="B5828"/>
      <c r="C5828"/>
      <c r="D5828"/>
      <c r="E5828"/>
      <c r="F5828"/>
      <c r="G5828"/>
      <c r="H5828" s="19"/>
      <c r="I5828" s="19"/>
      <c r="J5828" s="19"/>
      <c r="M5828" s="7"/>
    </row>
    <row r="5829" spans="2:13" x14ac:dyDescent="0.25">
      <c r="B5829"/>
      <c r="C5829"/>
      <c r="D5829"/>
      <c r="E5829"/>
      <c r="F5829"/>
      <c r="G5829"/>
      <c r="H5829" s="19"/>
      <c r="I5829" s="19"/>
      <c r="J5829" s="19"/>
      <c r="M5829" s="7"/>
    </row>
    <row r="5830" spans="2:13" x14ac:dyDescent="0.25">
      <c r="B5830"/>
      <c r="C5830"/>
      <c r="D5830"/>
      <c r="E5830"/>
      <c r="F5830"/>
      <c r="G5830"/>
      <c r="H5830" s="19"/>
      <c r="I5830" s="19"/>
      <c r="J5830" s="19"/>
      <c r="M5830" s="7"/>
    </row>
    <row r="5831" spans="2:13" x14ac:dyDescent="0.25">
      <c r="B5831"/>
      <c r="C5831"/>
      <c r="D5831"/>
      <c r="E5831"/>
      <c r="F5831"/>
      <c r="G5831"/>
      <c r="H5831" s="19"/>
      <c r="I5831" s="19"/>
      <c r="J5831" s="19"/>
      <c r="M5831" s="7"/>
    </row>
    <row r="5832" spans="2:13" x14ac:dyDescent="0.25">
      <c r="B5832"/>
      <c r="C5832"/>
      <c r="D5832"/>
      <c r="E5832"/>
      <c r="F5832"/>
      <c r="G5832"/>
      <c r="H5832" s="19"/>
      <c r="I5832" s="19"/>
      <c r="J5832" s="19"/>
      <c r="M5832" s="7"/>
    </row>
    <row r="5833" spans="2:13" x14ac:dyDescent="0.25">
      <c r="B5833"/>
      <c r="C5833"/>
      <c r="D5833"/>
      <c r="E5833"/>
      <c r="F5833"/>
      <c r="G5833"/>
      <c r="H5833" s="19"/>
      <c r="I5833" s="19"/>
      <c r="J5833" s="19"/>
      <c r="M5833" s="7"/>
    </row>
    <row r="5834" spans="2:13" x14ac:dyDescent="0.25">
      <c r="B5834"/>
      <c r="C5834"/>
      <c r="D5834"/>
      <c r="E5834"/>
      <c r="F5834"/>
      <c r="G5834"/>
      <c r="H5834" s="19"/>
      <c r="I5834" s="19"/>
      <c r="J5834" s="19"/>
      <c r="M5834" s="7"/>
    </row>
    <row r="5835" spans="2:13" x14ac:dyDescent="0.25">
      <c r="B5835"/>
      <c r="C5835"/>
      <c r="D5835"/>
      <c r="E5835"/>
      <c r="F5835"/>
      <c r="G5835"/>
      <c r="H5835" s="19"/>
      <c r="I5835" s="19"/>
      <c r="J5835" s="19"/>
      <c r="M5835" s="7"/>
    </row>
    <row r="5836" spans="2:13" x14ac:dyDescent="0.25">
      <c r="B5836"/>
      <c r="C5836"/>
      <c r="D5836"/>
      <c r="E5836"/>
      <c r="F5836"/>
      <c r="G5836"/>
      <c r="H5836" s="19"/>
      <c r="I5836" s="19"/>
      <c r="J5836" s="19"/>
      <c r="M5836" s="7"/>
    </row>
    <row r="5837" spans="2:13" x14ac:dyDescent="0.25">
      <c r="B5837"/>
      <c r="C5837"/>
      <c r="D5837"/>
      <c r="E5837"/>
      <c r="F5837"/>
      <c r="G5837"/>
      <c r="H5837" s="19"/>
      <c r="I5837" s="19"/>
      <c r="J5837" s="19"/>
      <c r="M5837" s="7"/>
    </row>
    <row r="5838" spans="2:13" x14ac:dyDescent="0.25">
      <c r="B5838"/>
      <c r="C5838"/>
      <c r="D5838"/>
      <c r="E5838"/>
      <c r="F5838"/>
      <c r="G5838"/>
      <c r="H5838" s="19"/>
      <c r="I5838" s="19"/>
      <c r="J5838" s="19"/>
      <c r="M5838" s="7"/>
    </row>
    <row r="5839" spans="2:13" x14ac:dyDescent="0.25">
      <c r="B5839"/>
      <c r="C5839"/>
      <c r="D5839"/>
      <c r="E5839"/>
      <c r="F5839"/>
      <c r="G5839"/>
      <c r="H5839" s="19"/>
      <c r="I5839" s="19"/>
      <c r="J5839" s="19"/>
      <c r="M5839" s="7"/>
    </row>
    <row r="5840" spans="2:13" x14ac:dyDescent="0.25">
      <c r="B5840"/>
      <c r="C5840"/>
      <c r="D5840"/>
      <c r="E5840"/>
      <c r="F5840"/>
      <c r="G5840"/>
      <c r="H5840" s="19"/>
      <c r="I5840" s="19"/>
      <c r="J5840" s="19"/>
      <c r="M5840" s="7"/>
    </row>
    <row r="5841" spans="2:13" x14ac:dyDescent="0.25">
      <c r="B5841"/>
      <c r="C5841"/>
      <c r="D5841"/>
      <c r="E5841"/>
      <c r="F5841"/>
      <c r="G5841"/>
      <c r="H5841" s="19"/>
      <c r="I5841" s="19"/>
      <c r="J5841" s="19"/>
      <c r="M5841" s="7"/>
    </row>
    <row r="5842" spans="2:13" x14ac:dyDescent="0.25">
      <c r="B5842"/>
      <c r="C5842"/>
      <c r="D5842"/>
      <c r="E5842"/>
      <c r="F5842"/>
      <c r="G5842"/>
      <c r="H5842" s="19"/>
      <c r="I5842" s="19"/>
      <c r="J5842" s="19"/>
      <c r="M5842" s="7"/>
    </row>
    <row r="5843" spans="2:13" x14ac:dyDescent="0.25">
      <c r="B5843"/>
      <c r="C5843"/>
      <c r="D5843"/>
      <c r="E5843"/>
      <c r="F5843"/>
      <c r="G5843"/>
      <c r="H5843" s="19"/>
      <c r="I5843" s="19"/>
      <c r="J5843" s="19"/>
      <c r="M5843" s="7"/>
    </row>
    <row r="5844" spans="2:13" x14ac:dyDescent="0.25">
      <c r="B5844"/>
      <c r="C5844"/>
      <c r="D5844"/>
      <c r="E5844"/>
      <c r="F5844"/>
      <c r="G5844"/>
      <c r="H5844" s="19"/>
      <c r="I5844" s="19"/>
      <c r="J5844" s="19"/>
      <c r="M5844" s="7"/>
    </row>
    <row r="5845" spans="2:13" x14ac:dyDescent="0.25">
      <c r="B5845"/>
      <c r="C5845"/>
      <c r="D5845"/>
      <c r="E5845"/>
      <c r="F5845"/>
      <c r="G5845"/>
      <c r="H5845" s="19"/>
      <c r="I5845" s="19"/>
      <c r="J5845" s="19"/>
      <c r="M5845" s="7"/>
    </row>
    <row r="5846" spans="2:13" x14ac:dyDescent="0.25">
      <c r="B5846"/>
      <c r="C5846"/>
      <c r="D5846"/>
      <c r="E5846"/>
      <c r="F5846"/>
      <c r="G5846"/>
      <c r="H5846" s="19"/>
      <c r="I5846" s="19"/>
      <c r="J5846" s="19"/>
      <c r="M5846" s="7"/>
    </row>
    <row r="5847" spans="2:13" x14ac:dyDescent="0.25">
      <c r="B5847"/>
      <c r="C5847"/>
      <c r="D5847"/>
      <c r="E5847"/>
      <c r="F5847"/>
      <c r="G5847"/>
      <c r="H5847" s="19"/>
      <c r="I5847" s="19"/>
      <c r="J5847" s="19"/>
      <c r="M5847" s="7"/>
    </row>
    <row r="5848" spans="2:13" x14ac:dyDescent="0.25">
      <c r="B5848"/>
      <c r="C5848"/>
      <c r="D5848"/>
      <c r="E5848"/>
      <c r="F5848"/>
      <c r="G5848"/>
      <c r="H5848" s="19"/>
      <c r="I5848" s="19"/>
      <c r="J5848" s="19"/>
      <c r="M5848" s="7"/>
    </row>
    <row r="5849" spans="2:13" x14ac:dyDescent="0.25">
      <c r="B5849"/>
      <c r="C5849"/>
      <c r="D5849"/>
      <c r="E5849"/>
      <c r="F5849"/>
      <c r="G5849"/>
      <c r="H5849" s="19"/>
      <c r="I5849" s="19"/>
      <c r="J5849" s="19"/>
      <c r="M5849" s="7"/>
    </row>
    <row r="5850" spans="2:13" x14ac:dyDescent="0.25">
      <c r="B5850"/>
      <c r="C5850"/>
      <c r="D5850"/>
      <c r="E5850"/>
      <c r="F5850"/>
      <c r="G5850"/>
      <c r="H5850" s="19"/>
      <c r="I5850" s="19"/>
      <c r="J5850" s="19"/>
      <c r="M5850" s="7"/>
    </row>
    <row r="5851" spans="2:13" x14ac:dyDescent="0.25">
      <c r="B5851"/>
      <c r="C5851"/>
      <c r="D5851"/>
      <c r="E5851"/>
      <c r="F5851"/>
      <c r="G5851"/>
      <c r="H5851" s="19"/>
      <c r="I5851" s="19"/>
      <c r="J5851" s="19"/>
      <c r="M5851" s="7"/>
    </row>
    <row r="5852" spans="2:13" x14ac:dyDescent="0.25">
      <c r="B5852"/>
      <c r="C5852"/>
      <c r="D5852"/>
      <c r="E5852"/>
      <c r="F5852"/>
      <c r="G5852"/>
      <c r="H5852" s="19"/>
      <c r="I5852" s="19"/>
      <c r="J5852" s="19"/>
      <c r="M5852" s="7"/>
    </row>
    <row r="5853" spans="2:13" x14ac:dyDescent="0.25">
      <c r="B5853"/>
      <c r="C5853"/>
      <c r="D5853"/>
      <c r="E5853"/>
      <c r="F5853"/>
      <c r="G5853"/>
      <c r="H5853" s="19"/>
      <c r="I5853" s="19"/>
      <c r="J5853" s="19"/>
      <c r="M5853" s="7"/>
    </row>
    <row r="5854" spans="2:13" x14ac:dyDescent="0.25">
      <c r="B5854"/>
      <c r="C5854"/>
      <c r="D5854"/>
      <c r="E5854"/>
      <c r="F5854"/>
      <c r="G5854"/>
      <c r="H5854" s="19"/>
      <c r="I5854" s="19"/>
      <c r="J5854" s="19"/>
      <c r="M5854" s="7"/>
    </row>
    <row r="5855" spans="2:13" x14ac:dyDescent="0.25">
      <c r="B5855"/>
      <c r="C5855"/>
      <c r="D5855"/>
      <c r="E5855"/>
      <c r="F5855"/>
      <c r="G5855"/>
      <c r="H5855" s="19"/>
      <c r="I5855" s="19"/>
      <c r="J5855" s="19"/>
      <c r="M5855" s="7"/>
    </row>
    <row r="5856" spans="2:13" x14ac:dyDescent="0.25">
      <c r="B5856"/>
      <c r="C5856"/>
      <c r="D5856"/>
      <c r="E5856"/>
      <c r="F5856"/>
      <c r="G5856"/>
      <c r="H5856" s="19"/>
      <c r="I5856" s="19"/>
      <c r="J5856" s="19"/>
      <c r="M5856" s="7"/>
    </row>
    <row r="5857" spans="2:13" x14ac:dyDescent="0.25">
      <c r="B5857"/>
      <c r="C5857"/>
      <c r="D5857"/>
      <c r="E5857"/>
      <c r="F5857"/>
      <c r="G5857"/>
      <c r="H5857" s="19"/>
      <c r="I5857" s="19"/>
      <c r="J5857" s="19"/>
      <c r="M5857" s="7"/>
    </row>
    <row r="5858" spans="2:13" x14ac:dyDescent="0.25">
      <c r="B5858"/>
      <c r="C5858"/>
      <c r="D5858"/>
      <c r="E5858"/>
      <c r="F5858"/>
      <c r="G5858"/>
      <c r="H5858" s="19"/>
      <c r="I5858" s="19"/>
      <c r="J5858" s="19"/>
      <c r="M5858" s="7"/>
    </row>
    <row r="5859" spans="2:13" x14ac:dyDescent="0.25">
      <c r="B5859"/>
      <c r="C5859"/>
      <c r="D5859"/>
      <c r="E5859"/>
      <c r="F5859"/>
      <c r="G5859"/>
      <c r="H5859" s="19"/>
      <c r="I5859" s="19"/>
      <c r="J5859" s="19"/>
      <c r="M5859" s="7"/>
    </row>
    <row r="5860" spans="2:13" x14ac:dyDescent="0.25">
      <c r="B5860"/>
      <c r="C5860"/>
      <c r="D5860"/>
      <c r="E5860"/>
      <c r="F5860"/>
      <c r="G5860"/>
      <c r="H5860" s="19"/>
      <c r="I5860" s="19"/>
      <c r="J5860" s="19"/>
      <c r="M5860" s="7"/>
    </row>
    <row r="5861" spans="2:13" x14ac:dyDescent="0.25">
      <c r="B5861"/>
      <c r="C5861"/>
      <c r="D5861"/>
      <c r="E5861"/>
      <c r="F5861"/>
      <c r="G5861"/>
      <c r="H5861" s="19"/>
      <c r="I5861" s="19"/>
      <c r="J5861" s="19"/>
      <c r="M5861" s="7"/>
    </row>
    <row r="5862" spans="2:13" x14ac:dyDescent="0.25">
      <c r="B5862"/>
      <c r="C5862"/>
      <c r="D5862"/>
      <c r="E5862"/>
      <c r="F5862"/>
      <c r="G5862"/>
      <c r="H5862" s="19"/>
      <c r="I5862" s="19"/>
      <c r="J5862" s="19"/>
      <c r="M5862" s="7"/>
    </row>
    <row r="5863" spans="2:13" x14ac:dyDescent="0.25">
      <c r="B5863"/>
      <c r="C5863"/>
      <c r="D5863"/>
      <c r="E5863"/>
      <c r="F5863"/>
      <c r="G5863"/>
      <c r="H5863" s="19"/>
      <c r="I5863" s="19"/>
      <c r="J5863" s="19"/>
      <c r="M5863" s="7"/>
    </row>
    <row r="5864" spans="2:13" x14ac:dyDescent="0.25">
      <c r="B5864"/>
      <c r="C5864"/>
      <c r="D5864"/>
      <c r="E5864"/>
      <c r="F5864"/>
      <c r="G5864"/>
      <c r="H5864" s="19"/>
      <c r="I5864" s="19"/>
      <c r="J5864" s="19"/>
      <c r="M5864" s="7"/>
    </row>
    <row r="5865" spans="2:13" x14ac:dyDescent="0.25">
      <c r="B5865"/>
      <c r="C5865"/>
      <c r="D5865"/>
      <c r="E5865"/>
      <c r="F5865"/>
      <c r="G5865"/>
      <c r="H5865" s="19"/>
      <c r="I5865" s="19"/>
      <c r="J5865" s="19"/>
      <c r="M5865" s="7"/>
    </row>
    <row r="5866" spans="2:13" x14ac:dyDescent="0.25">
      <c r="B5866"/>
      <c r="C5866"/>
      <c r="D5866"/>
      <c r="E5866"/>
      <c r="F5866"/>
      <c r="G5866"/>
      <c r="H5866" s="19"/>
      <c r="I5866" s="19"/>
      <c r="J5866" s="19"/>
      <c r="M5866" s="7"/>
    </row>
    <row r="5867" spans="2:13" x14ac:dyDescent="0.25">
      <c r="B5867"/>
      <c r="C5867"/>
      <c r="D5867"/>
      <c r="E5867"/>
      <c r="F5867"/>
      <c r="G5867"/>
      <c r="H5867" s="19"/>
      <c r="I5867" s="19"/>
      <c r="J5867" s="19"/>
      <c r="M5867" s="7"/>
    </row>
    <row r="5868" spans="2:13" x14ac:dyDescent="0.25">
      <c r="B5868"/>
      <c r="C5868"/>
      <c r="D5868"/>
      <c r="E5868"/>
      <c r="F5868"/>
      <c r="G5868"/>
      <c r="H5868" s="19"/>
      <c r="I5868" s="19"/>
      <c r="J5868" s="19"/>
      <c r="M5868" s="7"/>
    </row>
    <row r="5869" spans="2:13" x14ac:dyDescent="0.25">
      <c r="B5869"/>
      <c r="C5869"/>
      <c r="D5869"/>
      <c r="E5869"/>
      <c r="F5869"/>
      <c r="G5869"/>
      <c r="H5869" s="19"/>
      <c r="I5869" s="19"/>
      <c r="J5869" s="19"/>
      <c r="M5869" s="7"/>
    </row>
    <row r="5870" spans="2:13" x14ac:dyDescent="0.25">
      <c r="B5870"/>
      <c r="C5870"/>
      <c r="D5870"/>
      <c r="E5870"/>
      <c r="F5870"/>
      <c r="G5870"/>
      <c r="H5870" s="19"/>
      <c r="I5870" s="19"/>
      <c r="J5870" s="19"/>
      <c r="M5870" s="7"/>
    </row>
    <row r="5871" spans="2:13" x14ac:dyDescent="0.25">
      <c r="B5871"/>
      <c r="C5871"/>
      <c r="D5871"/>
      <c r="E5871"/>
      <c r="F5871"/>
      <c r="G5871"/>
      <c r="H5871" s="19"/>
      <c r="I5871" s="19"/>
      <c r="J5871" s="19"/>
      <c r="M5871" s="7"/>
    </row>
    <row r="5872" spans="2:13" x14ac:dyDescent="0.25">
      <c r="B5872"/>
      <c r="C5872"/>
      <c r="D5872"/>
      <c r="E5872"/>
      <c r="F5872"/>
      <c r="G5872"/>
      <c r="H5872" s="19"/>
      <c r="I5872" s="19"/>
      <c r="J5872" s="19"/>
      <c r="M5872" s="7"/>
    </row>
    <row r="5873" spans="2:13" x14ac:dyDescent="0.25">
      <c r="B5873"/>
      <c r="C5873"/>
      <c r="D5873"/>
      <c r="E5873"/>
      <c r="F5873"/>
      <c r="G5873"/>
      <c r="H5873" s="19"/>
      <c r="I5873" s="19"/>
      <c r="J5873" s="19"/>
      <c r="M5873" s="7"/>
    </row>
    <row r="5874" spans="2:13" x14ac:dyDescent="0.25">
      <c r="B5874"/>
      <c r="C5874"/>
      <c r="D5874"/>
      <c r="E5874"/>
      <c r="F5874"/>
      <c r="G5874"/>
      <c r="H5874" s="19"/>
      <c r="I5874" s="19"/>
      <c r="J5874" s="19"/>
      <c r="M5874" s="7"/>
    </row>
    <row r="5875" spans="2:13" x14ac:dyDescent="0.25">
      <c r="B5875"/>
      <c r="C5875"/>
      <c r="D5875"/>
      <c r="E5875"/>
      <c r="F5875"/>
      <c r="G5875"/>
      <c r="H5875" s="19"/>
      <c r="I5875" s="19"/>
      <c r="J5875" s="19"/>
      <c r="M5875" s="7"/>
    </row>
    <row r="5876" spans="2:13" x14ac:dyDescent="0.25">
      <c r="B5876"/>
      <c r="C5876"/>
      <c r="D5876"/>
      <c r="E5876"/>
      <c r="F5876"/>
      <c r="G5876"/>
      <c r="H5876" s="19"/>
      <c r="I5876" s="19"/>
      <c r="J5876" s="19"/>
      <c r="M5876" s="7"/>
    </row>
    <row r="5877" spans="2:13" x14ac:dyDescent="0.25">
      <c r="B5877"/>
      <c r="C5877"/>
      <c r="D5877"/>
      <c r="E5877"/>
      <c r="F5877"/>
      <c r="G5877"/>
      <c r="H5877" s="19"/>
      <c r="I5877" s="19"/>
      <c r="J5877" s="19"/>
      <c r="M5877" s="7"/>
    </row>
    <row r="5878" spans="2:13" x14ac:dyDescent="0.25">
      <c r="B5878"/>
      <c r="C5878"/>
      <c r="D5878"/>
      <c r="E5878"/>
      <c r="F5878"/>
      <c r="G5878"/>
      <c r="H5878" s="19"/>
      <c r="I5878" s="19"/>
      <c r="J5878" s="19"/>
      <c r="M5878" s="7"/>
    </row>
    <row r="5879" spans="2:13" x14ac:dyDescent="0.25">
      <c r="B5879"/>
      <c r="C5879"/>
      <c r="D5879"/>
      <c r="E5879"/>
      <c r="F5879"/>
      <c r="G5879"/>
      <c r="H5879" s="19"/>
      <c r="I5879" s="19"/>
      <c r="J5879" s="19"/>
      <c r="M5879" s="7"/>
    </row>
    <row r="5880" spans="2:13" x14ac:dyDescent="0.25">
      <c r="B5880"/>
      <c r="C5880"/>
      <c r="D5880"/>
      <c r="E5880"/>
      <c r="F5880"/>
      <c r="G5880"/>
      <c r="H5880" s="19"/>
      <c r="I5880" s="19"/>
      <c r="J5880" s="19"/>
      <c r="M5880" s="7"/>
    </row>
    <row r="5881" spans="2:13" x14ac:dyDescent="0.25">
      <c r="B5881"/>
      <c r="C5881"/>
      <c r="D5881"/>
      <c r="E5881"/>
      <c r="F5881"/>
      <c r="G5881"/>
      <c r="H5881" s="19"/>
      <c r="I5881" s="19"/>
      <c r="J5881" s="19"/>
      <c r="M5881" s="7"/>
    </row>
    <row r="5882" spans="2:13" x14ac:dyDescent="0.25">
      <c r="B5882"/>
      <c r="C5882"/>
      <c r="D5882"/>
      <c r="E5882"/>
      <c r="F5882"/>
      <c r="G5882"/>
      <c r="H5882" s="19"/>
      <c r="I5882" s="19"/>
      <c r="J5882" s="19"/>
      <c r="M5882" s="7"/>
    </row>
    <row r="5883" spans="2:13" x14ac:dyDescent="0.25">
      <c r="B5883"/>
      <c r="C5883"/>
      <c r="D5883"/>
      <c r="E5883"/>
      <c r="F5883"/>
      <c r="G5883"/>
      <c r="H5883" s="19"/>
      <c r="I5883" s="19"/>
      <c r="J5883" s="19"/>
      <c r="M5883" s="7"/>
    </row>
    <row r="5884" spans="2:13" x14ac:dyDescent="0.25">
      <c r="B5884"/>
      <c r="C5884"/>
      <c r="D5884"/>
      <c r="E5884"/>
      <c r="F5884"/>
      <c r="G5884"/>
      <c r="H5884" s="19"/>
      <c r="I5884" s="19"/>
      <c r="J5884" s="19"/>
      <c r="M5884" s="7"/>
    </row>
    <row r="5885" spans="2:13" x14ac:dyDescent="0.25">
      <c r="B5885"/>
      <c r="C5885"/>
      <c r="D5885"/>
      <c r="E5885"/>
      <c r="F5885"/>
      <c r="G5885"/>
      <c r="H5885" s="19"/>
      <c r="I5885" s="19"/>
      <c r="J5885" s="19"/>
      <c r="M5885" s="7"/>
    </row>
    <row r="5886" spans="2:13" x14ac:dyDescent="0.25">
      <c r="B5886"/>
      <c r="C5886"/>
      <c r="D5886"/>
      <c r="E5886"/>
      <c r="F5886"/>
      <c r="G5886"/>
      <c r="H5886" s="19"/>
      <c r="I5886" s="19"/>
      <c r="J5886" s="19"/>
      <c r="M5886" s="7"/>
    </row>
    <row r="5887" spans="2:13" x14ac:dyDescent="0.25">
      <c r="B5887"/>
      <c r="C5887"/>
      <c r="D5887"/>
      <c r="E5887"/>
      <c r="F5887"/>
      <c r="G5887"/>
      <c r="H5887" s="19"/>
      <c r="I5887" s="19"/>
      <c r="J5887" s="19"/>
      <c r="M5887" s="7"/>
    </row>
    <row r="5888" spans="2:13" x14ac:dyDescent="0.25">
      <c r="B5888"/>
      <c r="C5888"/>
      <c r="D5888"/>
      <c r="E5888"/>
      <c r="F5888"/>
      <c r="G5888"/>
      <c r="H5888" s="19"/>
      <c r="I5888" s="19"/>
      <c r="J5888" s="19"/>
      <c r="M5888" s="7"/>
    </row>
    <row r="5889" spans="2:13" x14ac:dyDescent="0.25">
      <c r="B5889"/>
      <c r="C5889"/>
      <c r="D5889"/>
      <c r="E5889"/>
      <c r="F5889"/>
      <c r="G5889"/>
      <c r="H5889" s="19"/>
      <c r="I5889" s="19"/>
      <c r="J5889" s="19"/>
      <c r="M5889" s="7"/>
    </row>
    <row r="5890" spans="2:13" x14ac:dyDescent="0.25">
      <c r="B5890"/>
      <c r="C5890"/>
      <c r="D5890"/>
      <c r="E5890"/>
      <c r="F5890"/>
      <c r="G5890"/>
      <c r="H5890" s="19"/>
      <c r="I5890" s="19"/>
      <c r="J5890" s="19"/>
      <c r="M5890" s="7"/>
    </row>
    <row r="5891" spans="2:13" x14ac:dyDescent="0.25">
      <c r="B5891"/>
      <c r="C5891"/>
      <c r="D5891"/>
      <c r="E5891"/>
      <c r="F5891"/>
      <c r="G5891"/>
      <c r="H5891" s="19"/>
      <c r="I5891" s="19"/>
      <c r="J5891" s="19"/>
      <c r="M5891" s="7"/>
    </row>
    <row r="5892" spans="2:13" x14ac:dyDescent="0.25">
      <c r="B5892"/>
      <c r="C5892"/>
      <c r="D5892"/>
      <c r="E5892"/>
      <c r="F5892"/>
      <c r="G5892"/>
      <c r="H5892" s="19"/>
      <c r="I5892" s="19"/>
      <c r="J5892" s="19"/>
      <c r="M5892" s="7"/>
    </row>
    <row r="5893" spans="2:13" x14ac:dyDescent="0.25">
      <c r="B5893"/>
      <c r="C5893"/>
      <c r="D5893"/>
      <c r="E5893"/>
      <c r="F5893"/>
      <c r="G5893"/>
      <c r="H5893" s="19"/>
      <c r="I5893" s="19"/>
      <c r="J5893" s="19"/>
      <c r="M5893" s="7"/>
    </row>
    <row r="5894" spans="2:13" x14ac:dyDescent="0.25">
      <c r="B5894"/>
      <c r="C5894"/>
      <c r="D5894"/>
      <c r="E5894"/>
      <c r="F5894"/>
      <c r="G5894"/>
      <c r="H5894" s="19"/>
      <c r="I5894" s="19"/>
      <c r="J5894" s="19"/>
      <c r="M5894" s="7"/>
    </row>
    <row r="5895" spans="2:13" x14ac:dyDescent="0.25">
      <c r="B5895"/>
      <c r="C5895"/>
      <c r="D5895"/>
      <c r="E5895"/>
      <c r="F5895"/>
      <c r="G5895"/>
      <c r="H5895" s="19"/>
      <c r="I5895" s="19"/>
      <c r="J5895" s="19"/>
      <c r="M5895" s="7"/>
    </row>
    <row r="5896" spans="2:13" x14ac:dyDescent="0.25">
      <c r="B5896"/>
      <c r="C5896"/>
      <c r="D5896"/>
      <c r="E5896"/>
      <c r="F5896"/>
      <c r="G5896"/>
      <c r="H5896" s="19"/>
      <c r="I5896" s="19"/>
      <c r="J5896" s="19"/>
      <c r="M5896" s="7"/>
    </row>
    <row r="5897" spans="2:13" x14ac:dyDescent="0.25">
      <c r="B5897"/>
      <c r="C5897"/>
      <c r="D5897"/>
      <c r="E5897"/>
      <c r="F5897"/>
      <c r="G5897"/>
      <c r="H5897" s="19"/>
      <c r="I5897" s="19"/>
      <c r="J5897" s="19"/>
      <c r="M5897" s="7"/>
    </row>
    <row r="5898" spans="2:13" x14ac:dyDescent="0.25">
      <c r="B5898"/>
      <c r="C5898"/>
      <c r="D5898"/>
      <c r="E5898"/>
      <c r="F5898"/>
      <c r="G5898"/>
      <c r="H5898" s="19"/>
      <c r="I5898" s="19"/>
      <c r="J5898" s="19"/>
      <c r="M5898" s="7"/>
    </row>
    <row r="5899" spans="2:13" x14ac:dyDescent="0.25">
      <c r="B5899"/>
      <c r="C5899"/>
      <c r="D5899"/>
      <c r="E5899"/>
      <c r="F5899"/>
      <c r="G5899"/>
      <c r="H5899" s="19"/>
      <c r="I5899" s="19"/>
      <c r="J5899" s="19"/>
      <c r="M5899" s="7"/>
    </row>
    <row r="5900" spans="2:13" x14ac:dyDescent="0.25">
      <c r="B5900"/>
      <c r="C5900"/>
      <c r="D5900"/>
      <c r="E5900"/>
      <c r="F5900"/>
      <c r="G5900"/>
      <c r="H5900" s="19"/>
      <c r="I5900" s="19"/>
      <c r="J5900" s="19"/>
      <c r="M5900" s="7"/>
    </row>
    <row r="5901" spans="2:13" x14ac:dyDescent="0.25">
      <c r="B5901"/>
      <c r="C5901"/>
      <c r="D5901"/>
      <c r="E5901"/>
      <c r="F5901"/>
      <c r="G5901"/>
      <c r="H5901" s="19"/>
      <c r="I5901" s="19"/>
      <c r="J5901" s="19"/>
      <c r="M5901" s="7"/>
    </row>
    <row r="5902" spans="2:13" x14ac:dyDescent="0.25">
      <c r="B5902"/>
      <c r="C5902"/>
      <c r="D5902"/>
      <c r="E5902"/>
      <c r="F5902"/>
      <c r="G5902"/>
      <c r="H5902" s="19"/>
      <c r="I5902" s="19"/>
      <c r="J5902" s="19"/>
      <c r="M5902" s="7"/>
    </row>
    <row r="5903" spans="2:13" x14ac:dyDescent="0.25">
      <c r="B5903"/>
      <c r="C5903"/>
      <c r="D5903"/>
      <c r="E5903"/>
      <c r="F5903"/>
      <c r="G5903"/>
      <c r="H5903" s="19"/>
      <c r="I5903" s="19"/>
      <c r="J5903" s="19"/>
      <c r="M5903" s="7"/>
    </row>
    <row r="5904" spans="2:13" x14ac:dyDescent="0.25">
      <c r="B5904"/>
      <c r="C5904"/>
      <c r="D5904"/>
      <c r="E5904"/>
      <c r="F5904"/>
      <c r="G5904"/>
      <c r="H5904" s="19"/>
      <c r="I5904" s="19"/>
      <c r="J5904" s="19"/>
      <c r="M5904" s="7"/>
    </row>
    <row r="5905" spans="2:13" x14ac:dyDescent="0.25">
      <c r="B5905"/>
      <c r="C5905"/>
      <c r="D5905"/>
      <c r="E5905"/>
      <c r="F5905"/>
      <c r="G5905"/>
      <c r="H5905" s="19"/>
      <c r="I5905" s="19"/>
      <c r="J5905" s="19"/>
      <c r="M5905" s="7"/>
    </row>
    <row r="5906" spans="2:13" x14ac:dyDescent="0.25">
      <c r="B5906"/>
      <c r="C5906"/>
      <c r="D5906"/>
      <c r="E5906"/>
      <c r="F5906"/>
      <c r="G5906"/>
      <c r="H5906" s="19"/>
      <c r="I5906" s="19"/>
      <c r="J5906" s="19"/>
      <c r="M5906" s="7"/>
    </row>
    <row r="5907" spans="2:13" x14ac:dyDescent="0.25">
      <c r="B5907"/>
      <c r="C5907"/>
      <c r="D5907"/>
      <c r="E5907"/>
      <c r="F5907"/>
      <c r="G5907"/>
      <c r="H5907" s="19"/>
      <c r="I5907" s="19"/>
      <c r="J5907" s="19"/>
      <c r="M5907" s="7"/>
    </row>
    <row r="5908" spans="2:13" x14ac:dyDescent="0.25">
      <c r="B5908"/>
      <c r="C5908"/>
      <c r="D5908"/>
      <c r="E5908"/>
      <c r="F5908"/>
      <c r="G5908"/>
      <c r="H5908" s="19"/>
      <c r="I5908" s="19"/>
      <c r="J5908" s="19"/>
      <c r="M5908" s="7"/>
    </row>
    <row r="5909" spans="2:13" x14ac:dyDescent="0.25">
      <c r="B5909"/>
      <c r="C5909"/>
      <c r="D5909"/>
      <c r="E5909"/>
      <c r="F5909"/>
      <c r="G5909"/>
      <c r="H5909" s="19"/>
      <c r="I5909" s="19"/>
      <c r="J5909" s="19"/>
      <c r="M5909" s="7"/>
    </row>
    <row r="5910" spans="2:13" x14ac:dyDescent="0.25">
      <c r="B5910"/>
      <c r="C5910"/>
      <c r="D5910"/>
      <c r="E5910"/>
      <c r="F5910"/>
      <c r="G5910"/>
      <c r="H5910" s="19"/>
      <c r="I5910" s="19"/>
      <c r="J5910" s="19"/>
      <c r="M5910" s="7"/>
    </row>
    <row r="5911" spans="2:13" x14ac:dyDescent="0.25">
      <c r="B5911"/>
      <c r="C5911"/>
      <c r="D5911"/>
      <c r="E5911"/>
      <c r="F5911"/>
      <c r="G5911"/>
      <c r="H5911" s="19"/>
      <c r="I5911" s="19"/>
      <c r="J5911" s="19"/>
      <c r="M5911" s="7"/>
    </row>
    <row r="5912" spans="2:13" x14ac:dyDescent="0.25">
      <c r="B5912"/>
      <c r="C5912"/>
      <c r="D5912"/>
      <c r="E5912"/>
      <c r="F5912"/>
      <c r="G5912"/>
      <c r="H5912" s="19"/>
      <c r="I5912" s="19"/>
      <c r="J5912" s="19"/>
      <c r="M5912" s="7"/>
    </row>
    <row r="5913" spans="2:13" x14ac:dyDescent="0.25">
      <c r="B5913"/>
      <c r="C5913"/>
      <c r="D5913"/>
      <c r="E5913"/>
      <c r="F5913"/>
      <c r="G5913"/>
      <c r="H5913" s="19"/>
      <c r="I5913" s="19"/>
      <c r="J5913" s="19"/>
      <c r="M5913" s="7"/>
    </row>
    <row r="5914" spans="2:13" x14ac:dyDescent="0.25">
      <c r="B5914"/>
      <c r="C5914"/>
      <c r="D5914"/>
      <c r="E5914"/>
      <c r="F5914"/>
      <c r="G5914"/>
      <c r="H5914" s="19"/>
      <c r="I5914" s="19"/>
      <c r="J5914" s="19"/>
      <c r="M5914" s="7"/>
    </row>
    <row r="5915" spans="2:13" x14ac:dyDescent="0.25">
      <c r="B5915"/>
      <c r="C5915"/>
      <c r="D5915"/>
      <c r="E5915"/>
      <c r="F5915"/>
      <c r="G5915"/>
      <c r="H5915" s="19"/>
      <c r="I5915" s="19"/>
      <c r="J5915" s="19"/>
      <c r="M5915" s="7"/>
    </row>
    <row r="5916" spans="2:13" x14ac:dyDescent="0.25">
      <c r="B5916"/>
      <c r="C5916"/>
      <c r="D5916"/>
      <c r="E5916"/>
      <c r="F5916"/>
      <c r="G5916"/>
      <c r="H5916" s="19"/>
      <c r="I5916" s="19"/>
      <c r="J5916" s="19"/>
      <c r="M5916" s="7"/>
    </row>
    <row r="5917" spans="2:13" x14ac:dyDescent="0.25">
      <c r="B5917"/>
      <c r="C5917"/>
      <c r="D5917"/>
      <c r="E5917"/>
      <c r="F5917"/>
      <c r="G5917"/>
      <c r="H5917" s="19"/>
      <c r="I5917" s="19"/>
      <c r="J5917" s="19"/>
      <c r="M5917" s="7"/>
    </row>
    <row r="5918" spans="2:13" x14ac:dyDescent="0.25">
      <c r="B5918"/>
      <c r="C5918"/>
      <c r="D5918"/>
      <c r="E5918"/>
      <c r="F5918"/>
      <c r="G5918"/>
      <c r="H5918" s="19"/>
      <c r="I5918" s="19"/>
      <c r="J5918" s="19"/>
      <c r="M5918" s="7"/>
    </row>
    <row r="5919" spans="2:13" x14ac:dyDescent="0.25">
      <c r="B5919"/>
      <c r="C5919"/>
      <c r="D5919"/>
      <c r="E5919"/>
      <c r="F5919"/>
      <c r="G5919"/>
      <c r="H5919" s="19"/>
      <c r="I5919" s="19"/>
      <c r="J5919" s="19"/>
      <c r="M5919" s="7"/>
    </row>
    <row r="5920" spans="2:13" x14ac:dyDescent="0.25">
      <c r="B5920"/>
      <c r="C5920"/>
      <c r="D5920"/>
      <c r="E5920"/>
      <c r="F5920"/>
      <c r="G5920"/>
      <c r="H5920" s="19"/>
      <c r="I5920" s="19"/>
      <c r="J5920" s="19"/>
      <c r="M5920" s="7"/>
    </row>
    <row r="5921" spans="2:13" x14ac:dyDescent="0.25">
      <c r="B5921"/>
      <c r="C5921"/>
      <c r="D5921"/>
      <c r="E5921"/>
      <c r="F5921"/>
      <c r="G5921"/>
      <c r="H5921" s="19"/>
      <c r="I5921" s="19"/>
      <c r="J5921" s="19"/>
      <c r="M5921" s="7"/>
    </row>
    <row r="5922" spans="2:13" x14ac:dyDescent="0.25">
      <c r="B5922"/>
      <c r="C5922"/>
      <c r="D5922"/>
      <c r="E5922"/>
      <c r="F5922"/>
      <c r="G5922"/>
      <c r="H5922" s="19"/>
      <c r="I5922" s="19"/>
      <c r="J5922" s="19"/>
      <c r="M5922" s="7"/>
    </row>
    <row r="5923" spans="2:13" x14ac:dyDescent="0.25">
      <c r="B5923"/>
      <c r="C5923"/>
      <c r="D5923"/>
      <c r="E5923"/>
      <c r="F5923"/>
      <c r="G5923"/>
      <c r="H5923" s="19"/>
      <c r="I5923" s="19"/>
      <c r="J5923" s="19"/>
      <c r="M5923" s="7"/>
    </row>
    <row r="5924" spans="2:13" x14ac:dyDescent="0.25">
      <c r="B5924"/>
      <c r="C5924"/>
      <c r="D5924"/>
      <c r="E5924"/>
      <c r="F5924"/>
      <c r="G5924"/>
      <c r="H5924" s="19"/>
      <c r="I5924" s="19"/>
      <c r="J5924" s="19"/>
      <c r="M5924" s="7"/>
    </row>
    <row r="5925" spans="2:13" x14ac:dyDescent="0.25">
      <c r="B5925"/>
      <c r="C5925"/>
      <c r="D5925"/>
      <c r="E5925"/>
      <c r="F5925"/>
      <c r="G5925"/>
      <c r="H5925" s="19"/>
      <c r="I5925" s="19"/>
      <c r="J5925" s="19"/>
      <c r="M5925" s="7"/>
    </row>
    <row r="5926" spans="2:13" x14ac:dyDescent="0.25">
      <c r="B5926"/>
      <c r="C5926"/>
      <c r="D5926"/>
      <c r="E5926"/>
      <c r="F5926"/>
      <c r="G5926"/>
      <c r="H5926" s="19"/>
      <c r="I5926" s="19"/>
      <c r="J5926" s="19"/>
      <c r="M5926" s="7"/>
    </row>
    <row r="5927" spans="2:13" x14ac:dyDescent="0.25">
      <c r="B5927"/>
      <c r="C5927"/>
      <c r="D5927"/>
      <c r="E5927"/>
      <c r="F5927"/>
      <c r="G5927"/>
      <c r="H5927" s="19"/>
      <c r="I5927" s="19"/>
      <c r="J5927" s="19"/>
      <c r="M5927" s="7"/>
    </row>
    <row r="5928" spans="2:13" x14ac:dyDescent="0.25">
      <c r="B5928"/>
      <c r="C5928"/>
      <c r="D5928"/>
      <c r="E5928"/>
      <c r="F5928"/>
      <c r="G5928"/>
      <c r="H5928" s="19"/>
      <c r="I5928" s="19"/>
      <c r="J5928" s="19"/>
      <c r="M5928" s="7"/>
    </row>
    <row r="5929" spans="2:13" x14ac:dyDescent="0.25">
      <c r="B5929"/>
      <c r="C5929"/>
      <c r="D5929"/>
      <c r="E5929"/>
      <c r="F5929"/>
      <c r="G5929"/>
      <c r="H5929" s="19"/>
      <c r="I5929" s="19"/>
      <c r="J5929" s="19"/>
      <c r="M5929" s="7"/>
    </row>
    <row r="5930" spans="2:13" x14ac:dyDescent="0.25">
      <c r="B5930"/>
      <c r="C5930"/>
      <c r="D5930"/>
      <c r="E5930"/>
      <c r="F5930"/>
      <c r="G5930"/>
      <c r="H5930" s="19"/>
      <c r="I5930" s="19"/>
      <c r="J5930" s="19"/>
      <c r="M5930" s="7"/>
    </row>
    <row r="5931" spans="2:13" x14ac:dyDescent="0.25">
      <c r="B5931"/>
      <c r="C5931"/>
      <c r="D5931"/>
      <c r="E5931"/>
      <c r="F5931"/>
      <c r="G5931"/>
      <c r="H5931" s="19"/>
      <c r="I5931" s="19"/>
      <c r="J5931" s="19"/>
      <c r="M5931" s="7"/>
    </row>
    <row r="5932" spans="2:13" x14ac:dyDescent="0.25">
      <c r="B5932"/>
      <c r="C5932"/>
      <c r="D5932"/>
      <c r="E5932"/>
      <c r="F5932"/>
      <c r="G5932"/>
      <c r="H5932" s="19"/>
      <c r="I5932" s="19"/>
      <c r="J5932" s="19"/>
      <c r="M5932" s="7"/>
    </row>
    <row r="5933" spans="2:13" x14ac:dyDescent="0.25">
      <c r="B5933"/>
      <c r="C5933"/>
      <c r="D5933"/>
      <c r="E5933"/>
      <c r="F5933"/>
      <c r="G5933"/>
      <c r="H5933" s="19"/>
      <c r="I5933" s="19"/>
      <c r="J5933" s="19"/>
      <c r="M5933" s="7"/>
    </row>
    <row r="5934" spans="2:13" x14ac:dyDescent="0.25">
      <c r="B5934"/>
      <c r="C5934"/>
      <c r="D5934"/>
      <c r="E5934"/>
      <c r="F5934"/>
      <c r="G5934"/>
      <c r="H5934" s="19"/>
      <c r="I5934" s="19"/>
      <c r="J5934" s="19"/>
      <c r="M5934" s="7"/>
    </row>
    <row r="5935" spans="2:13" x14ac:dyDescent="0.25">
      <c r="B5935"/>
      <c r="C5935"/>
      <c r="D5935"/>
      <c r="E5935"/>
      <c r="F5935"/>
      <c r="G5935"/>
      <c r="H5935" s="19"/>
      <c r="I5935" s="19"/>
      <c r="J5935" s="19"/>
      <c r="M5935" s="7"/>
    </row>
    <row r="5936" spans="2:13" x14ac:dyDescent="0.25">
      <c r="B5936"/>
      <c r="C5936"/>
      <c r="D5936"/>
      <c r="E5936"/>
      <c r="F5936"/>
      <c r="G5936"/>
      <c r="H5936" s="19"/>
      <c r="I5936" s="19"/>
      <c r="J5936" s="19"/>
      <c r="M5936" s="7"/>
    </row>
    <row r="5937" spans="2:13" x14ac:dyDescent="0.25">
      <c r="B5937"/>
      <c r="C5937"/>
      <c r="D5937"/>
      <c r="E5937"/>
      <c r="F5937"/>
      <c r="G5937"/>
      <c r="H5937" s="19"/>
      <c r="I5937" s="19"/>
      <c r="J5937" s="19"/>
      <c r="M5937" s="7"/>
    </row>
    <row r="5938" spans="2:13" x14ac:dyDescent="0.25">
      <c r="B5938"/>
      <c r="C5938"/>
      <c r="D5938"/>
      <c r="E5938"/>
      <c r="F5938"/>
      <c r="G5938"/>
      <c r="H5938" s="19"/>
      <c r="I5938" s="19"/>
      <c r="J5938" s="19"/>
      <c r="M5938" s="7"/>
    </row>
    <row r="5939" spans="2:13" x14ac:dyDescent="0.25">
      <c r="B5939"/>
      <c r="C5939"/>
      <c r="D5939"/>
      <c r="E5939"/>
      <c r="F5939"/>
      <c r="G5939"/>
      <c r="H5939" s="19"/>
      <c r="I5939" s="19"/>
      <c r="J5939" s="19"/>
      <c r="M5939" s="7"/>
    </row>
    <row r="5940" spans="2:13" x14ac:dyDescent="0.25">
      <c r="B5940"/>
      <c r="C5940"/>
      <c r="D5940"/>
      <c r="E5940"/>
      <c r="F5940"/>
      <c r="G5940"/>
      <c r="H5940" s="19"/>
      <c r="I5940" s="19"/>
      <c r="J5940" s="19"/>
      <c r="M5940" s="7"/>
    </row>
    <row r="5941" spans="2:13" x14ac:dyDescent="0.25">
      <c r="B5941"/>
      <c r="C5941"/>
      <c r="D5941"/>
      <c r="E5941"/>
      <c r="F5941"/>
      <c r="G5941"/>
      <c r="H5941" s="19"/>
      <c r="I5941" s="19"/>
      <c r="J5941" s="19"/>
      <c r="M5941" s="7"/>
    </row>
    <row r="5942" spans="2:13" x14ac:dyDescent="0.25">
      <c r="B5942"/>
      <c r="C5942"/>
      <c r="D5942"/>
      <c r="E5942"/>
      <c r="F5942"/>
      <c r="G5942"/>
      <c r="H5942" s="19"/>
      <c r="I5942" s="19"/>
      <c r="J5942" s="19"/>
      <c r="M5942" s="7"/>
    </row>
    <row r="5943" spans="2:13" x14ac:dyDescent="0.25">
      <c r="B5943"/>
      <c r="C5943"/>
      <c r="D5943"/>
      <c r="E5943"/>
      <c r="F5943"/>
      <c r="G5943"/>
      <c r="H5943" s="19"/>
      <c r="I5943" s="19"/>
      <c r="J5943" s="19"/>
      <c r="M5943" s="7"/>
    </row>
    <row r="5944" spans="2:13" x14ac:dyDescent="0.25">
      <c r="B5944"/>
      <c r="C5944"/>
      <c r="D5944"/>
      <c r="E5944"/>
      <c r="F5944"/>
      <c r="G5944"/>
      <c r="H5944" s="19"/>
      <c r="I5944" s="19"/>
      <c r="J5944" s="19"/>
      <c r="M5944" s="7"/>
    </row>
    <row r="5945" spans="2:13" x14ac:dyDescent="0.25">
      <c r="B5945"/>
      <c r="C5945"/>
      <c r="D5945"/>
      <c r="E5945"/>
      <c r="F5945"/>
      <c r="G5945"/>
      <c r="H5945" s="19"/>
      <c r="I5945" s="19"/>
      <c r="J5945" s="19"/>
      <c r="M5945" s="7"/>
    </row>
    <row r="5946" spans="2:13" x14ac:dyDescent="0.25">
      <c r="B5946"/>
      <c r="C5946"/>
      <c r="D5946"/>
      <c r="E5946"/>
      <c r="F5946"/>
      <c r="G5946"/>
      <c r="H5946" s="19"/>
      <c r="I5946" s="19"/>
      <c r="J5946" s="19"/>
      <c r="M5946" s="7"/>
    </row>
    <row r="5947" spans="2:13" x14ac:dyDescent="0.25">
      <c r="B5947"/>
      <c r="C5947"/>
      <c r="D5947"/>
      <c r="E5947"/>
      <c r="F5947"/>
      <c r="G5947"/>
      <c r="H5947" s="19"/>
      <c r="I5947" s="19"/>
      <c r="J5947" s="19"/>
      <c r="M5947" s="7"/>
    </row>
    <row r="5948" spans="2:13" x14ac:dyDescent="0.25">
      <c r="B5948"/>
      <c r="C5948"/>
      <c r="D5948"/>
      <c r="E5948"/>
      <c r="F5948"/>
      <c r="G5948"/>
      <c r="H5948" s="19"/>
      <c r="I5948" s="19"/>
      <c r="J5948" s="19"/>
      <c r="M5948" s="7"/>
    </row>
    <row r="5949" spans="2:13" x14ac:dyDescent="0.25">
      <c r="B5949"/>
      <c r="C5949"/>
      <c r="D5949"/>
      <c r="E5949"/>
      <c r="F5949"/>
      <c r="G5949"/>
      <c r="H5949" s="19"/>
      <c r="I5949" s="19"/>
      <c r="J5949" s="19"/>
      <c r="M5949" s="7"/>
    </row>
    <row r="5950" spans="2:13" x14ac:dyDescent="0.25">
      <c r="B5950"/>
      <c r="C5950"/>
      <c r="D5950"/>
      <c r="E5950"/>
      <c r="F5950"/>
      <c r="G5950"/>
      <c r="H5950" s="19"/>
      <c r="I5950" s="19"/>
      <c r="J5950" s="19"/>
      <c r="M5950" s="7"/>
    </row>
    <row r="5951" spans="2:13" x14ac:dyDescent="0.25">
      <c r="B5951"/>
      <c r="C5951"/>
      <c r="D5951"/>
      <c r="E5951"/>
      <c r="F5951"/>
      <c r="G5951"/>
      <c r="H5951" s="19"/>
      <c r="I5951" s="19"/>
      <c r="J5951" s="19"/>
      <c r="M5951" s="7"/>
    </row>
    <row r="5952" spans="2:13" x14ac:dyDescent="0.25">
      <c r="B5952"/>
      <c r="C5952"/>
      <c r="D5952"/>
      <c r="E5952"/>
      <c r="F5952"/>
      <c r="G5952"/>
      <c r="H5952" s="19"/>
      <c r="I5952" s="19"/>
      <c r="J5952" s="19"/>
      <c r="M5952" s="7"/>
    </row>
    <row r="5953" spans="2:13" x14ac:dyDescent="0.25">
      <c r="B5953"/>
      <c r="C5953"/>
      <c r="D5953"/>
      <c r="E5953"/>
      <c r="F5953"/>
      <c r="G5953"/>
      <c r="H5953" s="19"/>
      <c r="I5953" s="19"/>
      <c r="J5953" s="19"/>
      <c r="M5953" s="7"/>
    </row>
    <row r="5954" spans="2:13" x14ac:dyDescent="0.25">
      <c r="B5954"/>
      <c r="C5954"/>
      <c r="D5954"/>
      <c r="E5954"/>
      <c r="F5954"/>
      <c r="G5954"/>
      <c r="H5954" s="19"/>
      <c r="I5954" s="19"/>
      <c r="J5954" s="19"/>
      <c r="M5954" s="7"/>
    </row>
    <row r="5955" spans="2:13" x14ac:dyDescent="0.25">
      <c r="B5955"/>
      <c r="C5955"/>
      <c r="D5955"/>
      <c r="E5955"/>
      <c r="F5955"/>
      <c r="G5955"/>
      <c r="H5955" s="19"/>
      <c r="I5955" s="19"/>
      <c r="J5955" s="19"/>
      <c r="M5955" s="7"/>
    </row>
    <row r="5956" spans="2:13" x14ac:dyDescent="0.25">
      <c r="B5956"/>
      <c r="C5956"/>
      <c r="D5956"/>
      <c r="E5956"/>
      <c r="F5956"/>
      <c r="G5956"/>
      <c r="H5956" s="19"/>
      <c r="I5956" s="19"/>
      <c r="J5956" s="19"/>
      <c r="M5956" s="7"/>
    </row>
    <row r="5957" spans="2:13" x14ac:dyDescent="0.25">
      <c r="B5957"/>
      <c r="C5957"/>
      <c r="D5957"/>
      <c r="E5957"/>
      <c r="F5957"/>
      <c r="G5957"/>
      <c r="H5957" s="19"/>
      <c r="I5957" s="19"/>
      <c r="J5957" s="19"/>
      <c r="M5957" s="7"/>
    </row>
    <row r="5958" spans="2:13" x14ac:dyDescent="0.25">
      <c r="B5958"/>
      <c r="C5958"/>
      <c r="D5958"/>
      <c r="E5958"/>
      <c r="F5958"/>
      <c r="G5958"/>
      <c r="H5958" s="19"/>
      <c r="I5958" s="19"/>
      <c r="J5958" s="19"/>
      <c r="M5958" s="7"/>
    </row>
    <row r="5959" spans="2:13" x14ac:dyDescent="0.25">
      <c r="B5959"/>
      <c r="C5959"/>
      <c r="D5959"/>
      <c r="E5959"/>
      <c r="F5959"/>
      <c r="G5959"/>
      <c r="H5959" s="19"/>
      <c r="I5959" s="19"/>
      <c r="J5959" s="19"/>
      <c r="M5959" s="7"/>
    </row>
    <row r="5960" spans="2:13" x14ac:dyDescent="0.25">
      <c r="B5960"/>
      <c r="C5960"/>
      <c r="D5960"/>
      <c r="E5960"/>
      <c r="F5960"/>
      <c r="G5960"/>
      <c r="H5960" s="19"/>
      <c r="I5960" s="19"/>
      <c r="J5960" s="19"/>
      <c r="M5960" s="7"/>
    </row>
    <row r="5961" spans="2:13" x14ac:dyDescent="0.25">
      <c r="B5961"/>
      <c r="C5961"/>
      <c r="D5961"/>
      <c r="E5961"/>
      <c r="F5961"/>
      <c r="G5961"/>
      <c r="H5961" s="19"/>
      <c r="I5961" s="19"/>
      <c r="J5961" s="19"/>
      <c r="M5961" s="7"/>
    </row>
    <row r="5962" spans="2:13" x14ac:dyDescent="0.25">
      <c r="B5962"/>
      <c r="C5962"/>
      <c r="D5962"/>
      <c r="E5962"/>
      <c r="F5962"/>
      <c r="G5962"/>
      <c r="H5962" s="19"/>
      <c r="I5962" s="19"/>
      <c r="J5962" s="19"/>
      <c r="M5962" s="7"/>
    </row>
    <row r="5963" spans="2:13" x14ac:dyDescent="0.25">
      <c r="B5963"/>
      <c r="C5963"/>
      <c r="D5963"/>
      <c r="E5963"/>
      <c r="F5963"/>
      <c r="G5963"/>
      <c r="H5963" s="19"/>
      <c r="I5963" s="19"/>
      <c r="J5963" s="19"/>
      <c r="M5963" s="7"/>
    </row>
    <row r="5964" spans="2:13" x14ac:dyDescent="0.25">
      <c r="B5964"/>
      <c r="C5964"/>
      <c r="D5964"/>
      <c r="E5964"/>
      <c r="F5964"/>
      <c r="G5964"/>
      <c r="H5964" s="19"/>
      <c r="I5964" s="19"/>
      <c r="J5964" s="19"/>
      <c r="M5964" s="7"/>
    </row>
    <row r="5965" spans="2:13" x14ac:dyDescent="0.25">
      <c r="B5965"/>
      <c r="C5965"/>
      <c r="D5965"/>
      <c r="E5965"/>
      <c r="F5965"/>
      <c r="G5965"/>
      <c r="H5965" s="19"/>
      <c r="I5965" s="19"/>
      <c r="J5965" s="19"/>
      <c r="M5965" s="7"/>
    </row>
    <row r="5966" spans="2:13" x14ac:dyDescent="0.25">
      <c r="B5966"/>
      <c r="C5966"/>
      <c r="D5966"/>
      <c r="E5966"/>
      <c r="F5966"/>
      <c r="G5966"/>
      <c r="H5966" s="19"/>
      <c r="I5966" s="19"/>
      <c r="J5966" s="19"/>
      <c r="M5966" s="7"/>
    </row>
    <row r="5967" spans="2:13" x14ac:dyDescent="0.25">
      <c r="B5967"/>
      <c r="C5967"/>
      <c r="D5967"/>
      <c r="E5967"/>
      <c r="F5967"/>
      <c r="G5967"/>
      <c r="H5967" s="19"/>
      <c r="I5967" s="19"/>
      <c r="J5967" s="19"/>
      <c r="M5967" s="7"/>
    </row>
    <row r="5968" spans="2:13" x14ac:dyDescent="0.25">
      <c r="B5968"/>
      <c r="C5968"/>
      <c r="D5968"/>
      <c r="E5968"/>
      <c r="F5968"/>
      <c r="G5968"/>
      <c r="H5968" s="19"/>
      <c r="I5968" s="19"/>
      <c r="J5968" s="19"/>
      <c r="M5968" s="7"/>
    </row>
    <row r="5969" spans="2:13" x14ac:dyDescent="0.25">
      <c r="B5969"/>
      <c r="C5969"/>
      <c r="D5969"/>
      <c r="E5969"/>
      <c r="F5969"/>
      <c r="G5969"/>
      <c r="H5969" s="19"/>
      <c r="I5969" s="19"/>
      <c r="J5969" s="19"/>
      <c r="M5969" s="7"/>
    </row>
    <row r="5970" spans="2:13" x14ac:dyDescent="0.25">
      <c r="B5970"/>
      <c r="C5970"/>
      <c r="D5970"/>
      <c r="E5970"/>
      <c r="F5970"/>
      <c r="G5970"/>
      <c r="H5970" s="19"/>
      <c r="I5970" s="19"/>
      <c r="J5970" s="19"/>
      <c r="M5970" s="7"/>
    </row>
    <row r="5971" spans="2:13" x14ac:dyDescent="0.25">
      <c r="B5971"/>
      <c r="C5971"/>
      <c r="D5971"/>
      <c r="E5971"/>
      <c r="F5971"/>
      <c r="G5971"/>
      <c r="H5971" s="19"/>
      <c r="I5971" s="19"/>
      <c r="J5971" s="19"/>
      <c r="M5971" s="7"/>
    </row>
    <row r="5972" spans="2:13" x14ac:dyDescent="0.25">
      <c r="B5972"/>
      <c r="C5972"/>
      <c r="D5972"/>
      <c r="E5972"/>
      <c r="F5972"/>
      <c r="G5972"/>
      <c r="H5972" s="19"/>
      <c r="I5972" s="19"/>
      <c r="J5972" s="19"/>
      <c r="M5972" s="7"/>
    </row>
    <row r="5973" spans="2:13" x14ac:dyDescent="0.25">
      <c r="B5973"/>
      <c r="C5973"/>
      <c r="D5973"/>
      <c r="E5973"/>
      <c r="F5973"/>
      <c r="G5973"/>
      <c r="H5973" s="19"/>
      <c r="I5973" s="19"/>
      <c r="J5973" s="19"/>
      <c r="M5973" s="7"/>
    </row>
    <row r="5974" spans="2:13" x14ac:dyDescent="0.25">
      <c r="B5974"/>
      <c r="C5974"/>
      <c r="D5974"/>
      <c r="E5974"/>
      <c r="F5974"/>
      <c r="G5974"/>
      <c r="H5974" s="19"/>
      <c r="I5974" s="19"/>
      <c r="J5974" s="19"/>
      <c r="M5974" s="7"/>
    </row>
    <row r="5975" spans="2:13" x14ac:dyDescent="0.25">
      <c r="B5975"/>
      <c r="C5975"/>
      <c r="D5975"/>
      <c r="E5975"/>
      <c r="F5975"/>
      <c r="G5975"/>
      <c r="H5975" s="19"/>
      <c r="I5975" s="19"/>
      <c r="J5975" s="19"/>
      <c r="M5975" s="7"/>
    </row>
    <row r="5976" spans="2:13" x14ac:dyDescent="0.25">
      <c r="B5976"/>
      <c r="C5976"/>
      <c r="D5976"/>
      <c r="E5976"/>
      <c r="F5976"/>
      <c r="G5976"/>
      <c r="H5976" s="19"/>
      <c r="I5976" s="19"/>
      <c r="J5976" s="19"/>
      <c r="M5976" s="7"/>
    </row>
    <row r="5977" spans="2:13" x14ac:dyDescent="0.25">
      <c r="B5977"/>
      <c r="C5977"/>
      <c r="D5977"/>
      <c r="E5977"/>
      <c r="F5977"/>
      <c r="G5977"/>
      <c r="H5977" s="19"/>
      <c r="I5977" s="19"/>
      <c r="J5977" s="19"/>
      <c r="M5977" s="7"/>
    </row>
    <row r="5978" spans="2:13" x14ac:dyDescent="0.25">
      <c r="B5978"/>
      <c r="C5978"/>
      <c r="D5978"/>
      <c r="E5978"/>
      <c r="F5978"/>
      <c r="G5978"/>
      <c r="H5978" s="19"/>
      <c r="I5978" s="19"/>
      <c r="J5978" s="19"/>
      <c r="M5978" s="7"/>
    </row>
    <row r="5979" spans="2:13" x14ac:dyDescent="0.25">
      <c r="B5979"/>
      <c r="C5979"/>
      <c r="D5979"/>
      <c r="E5979"/>
      <c r="F5979"/>
      <c r="G5979"/>
      <c r="H5979" s="19"/>
      <c r="I5979" s="19"/>
      <c r="J5979" s="19"/>
      <c r="M5979" s="7"/>
    </row>
    <row r="5980" spans="2:13" x14ac:dyDescent="0.25">
      <c r="B5980"/>
      <c r="C5980"/>
      <c r="D5980"/>
      <c r="E5980"/>
      <c r="F5980"/>
      <c r="G5980"/>
      <c r="H5980" s="19"/>
      <c r="I5980" s="19"/>
      <c r="J5980" s="19"/>
      <c r="M5980" s="7"/>
    </row>
    <row r="5981" spans="2:13" x14ac:dyDescent="0.25">
      <c r="B5981"/>
      <c r="C5981"/>
      <c r="D5981"/>
      <c r="E5981"/>
      <c r="F5981"/>
      <c r="G5981"/>
      <c r="H5981" s="19"/>
      <c r="I5981" s="19"/>
      <c r="J5981" s="19"/>
      <c r="M5981" s="7"/>
    </row>
    <row r="5982" spans="2:13" x14ac:dyDescent="0.25">
      <c r="B5982"/>
      <c r="C5982"/>
      <c r="D5982"/>
      <c r="E5982"/>
      <c r="F5982"/>
      <c r="G5982"/>
      <c r="H5982" s="19"/>
      <c r="I5982" s="19"/>
      <c r="J5982" s="19"/>
      <c r="M5982" s="7"/>
    </row>
    <row r="5983" spans="2:13" x14ac:dyDescent="0.25">
      <c r="B5983"/>
      <c r="C5983"/>
      <c r="D5983"/>
      <c r="E5983"/>
      <c r="F5983"/>
      <c r="G5983"/>
      <c r="H5983" s="19"/>
      <c r="I5983" s="19"/>
      <c r="J5983" s="19"/>
      <c r="M5983" s="7"/>
    </row>
    <row r="5984" spans="2:13" x14ac:dyDescent="0.25">
      <c r="B5984"/>
      <c r="C5984"/>
      <c r="D5984"/>
      <c r="E5984"/>
      <c r="F5984"/>
      <c r="G5984"/>
      <c r="H5984" s="19"/>
      <c r="I5984" s="19"/>
      <c r="J5984" s="19"/>
      <c r="M5984" s="7"/>
    </row>
    <row r="5985" spans="2:13" x14ac:dyDescent="0.25">
      <c r="B5985"/>
      <c r="C5985"/>
      <c r="D5985"/>
      <c r="E5985"/>
      <c r="F5985"/>
      <c r="G5985"/>
      <c r="H5985" s="19"/>
      <c r="I5985" s="19"/>
      <c r="J5985" s="19"/>
      <c r="M5985" s="7"/>
    </row>
    <row r="5986" spans="2:13" x14ac:dyDescent="0.25">
      <c r="B5986"/>
      <c r="C5986"/>
      <c r="D5986"/>
      <c r="E5986"/>
      <c r="F5986"/>
      <c r="G5986"/>
      <c r="H5986" s="19"/>
      <c r="I5986" s="19"/>
      <c r="J5986" s="19"/>
      <c r="M5986" s="7"/>
    </row>
    <row r="5987" spans="2:13" x14ac:dyDescent="0.25">
      <c r="B5987"/>
      <c r="C5987"/>
      <c r="D5987"/>
      <c r="E5987"/>
      <c r="F5987"/>
      <c r="G5987"/>
      <c r="H5987" s="19"/>
      <c r="I5987" s="19"/>
      <c r="J5987" s="19"/>
      <c r="M5987" s="7"/>
    </row>
    <row r="5988" spans="2:13" x14ac:dyDescent="0.25">
      <c r="B5988"/>
      <c r="C5988"/>
      <c r="D5988"/>
      <c r="E5988"/>
      <c r="F5988"/>
      <c r="G5988"/>
      <c r="H5988" s="19"/>
      <c r="I5988" s="19"/>
      <c r="J5988" s="19"/>
      <c r="M5988" s="7"/>
    </row>
    <row r="5989" spans="2:13" x14ac:dyDescent="0.25">
      <c r="B5989"/>
      <c r="C5989"/>
      <c r="D5989"/>
      <c r="E5989"/>
      <c r="F5989"/>
      <c r="G5989"/>
      <c r="H5989" s="19"/>
      <c r="I5989" s="19"/>
      <c r="J5989" s="19"/>
      <c r="M5989" s="7"/>
    </row>
    <row r="5990" spans="2:13" x14ac:dyDescent="0.25">
      <c r="B5990"/>
      <c r="C5990"/>
      <c r="D5990"/>
      <c r="E5990"/>
      <c r="F5990"/>
      <c r="G5990"/>
      <c r="H5990" s="19"/>
      <c r="I5990" s="19"/>
      <c r="J5990" s="19"/>
      <c r="M5990" s="7"/>
    </row>
    <row r="5991" spans="2:13" x14ac:dyDescent="0.25">
      <c r="B5991"/>
      <c r="C5991"/>
      <c r="D5991"/>
      <c r="E5991"/>
      <c r="F5991"/>
      <c r="G5991"/>
      <c r="H5991" s="19"/>
      <c r="I5991" s="19"/>
      <c r="J5991" s="19"/>
      <c r="M5991" s="7"/>
    </row>
    <row r="5992" spans="2:13" x14ac:dyDescent="0.25">
      <c r="B5992"/>
      <c r="C5992"/>
      <c r="D5992"/>
      <c r="E5992"/>
      <c r="F5992"/>
      <c r="G5992"/>
      <c r="H5992" s="19"/>
      <c r="I5992" s="19"/>
      <c r="J5992" s="19"/>
      <c r="M5992" s="7"/>
    </row>
    <row r="5993" spans="2:13" x14ac:dyDescent="0.25">
      <c r="B5993"/>
      <c r="C5993"/>
      <c r="D5993"/>
      <c r="E5993"/>
      <c r="F5993"/>
      <c r="G5993"/>
      <c r="H5993" s="19"/>
      <c r="I5993" s="19"/>
      <c r="J5993" s="19"/>
      <c r="M5993" s="7"/>
    </row>
    <row r="5994" spans="2:13" x14ac:dyDescent="0.25">
      <c r="B5994"/>
      <c r="C5994"/>
      <c r="D5994"/>
      <c r="E5994"/>
      <c r="F5994"/>
      <c r="G5994"/>
      <c r="H5994" s="19"/>
      <c r="I5994" s="19"/>
      <c r="J5994" s="19"/>
      <c r="M5994" s="7"/>
    </row>
    <row r="5995" spans="2:13" x14ac:dyDescent="0.25">
      <c r="B5995"/>
      <c r="C5995"/>
      <c r="D5995"/>
      <c r="E5995"/>
      <c r="F5995"/>
      <c r="G5995"/>
      <c r="H5995" s="19"/>
      <c r="I5995" s="19"/>
      <c r="J5995" s="19"/>
      <c r="M5995" s="7"/>
    </row>
    <row r="5996" spans="2:13" x14ac:dyDescent="0.25">
      <c r="B5996"/>
      <c r="C5996"/>
      <c r="D5996"/>
      <c r="E5996"/>
      <c r="F5996"/>
      <c r="G5996"/>
      <c r="H5996" s="19"/>
      <c r="I5996" s="19"/>
      <c r="J5996" s="19"/>
      <c r="M5996" s="7"/>
    </row>
  </sheetData>
  <autoFilter ref="B1:TZ285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6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  <filterColumn colId="117" showButton="0"/>
    <filterColumn colId="118" showButton="0"/>
    <filterColumn colId="119" showButton="0"/>
    <filterColumn colId="120" showButton="0"/>
    <filterColumn colId="121" showButton="0"/>
    <filterColumn colId="122" showButton="0"/>
    <filterColumn colId="123" showButton="0"/>
    <filterColumn colId="124" showButton="0"/>
    <filterColumn colId="125" showButton="0"/>
    <filterColumn colId="126" showButton="0"/>
    <filterColumn colId="127" showButton="0"/>
    <filterColumn colId="128" showButton="0"/>
    <filterColumn colId="129" showButton="0"/>
    <filterColumn colId="130" showButton="0"/>
    <filterColumn colId="131" showButton="0"/>
    <filterColumn colId="132" showButton="0"/>
    <filterColumn colId="133" showButton="0"/>
    <filterColumn colId="134" showButton="0"/>
    <filterColumn colId="135" showButton="0"/>
    <filterColumn colId="136" showButton="0"/>
    <filterColumn colId="137" showButton="0"/>
    <filterColumn colId="138" showButton="0"/>
    <filterColumn colId="139" showButton="0"/>
    <filterColumn colId="140" showButton="0"/>
    <filterColumn colId="141" showButton="0"/>
    <filterColumn colId="142" showButton="0"/>
    <filterColumn colId="143" showButton="0"/>
    <filterColumn colId="144" showButton="0"/>
    <filterColumn colId="145" showButton="0"/>
    <filterColumn colId="146" showButton="0"/>
    <filterColumn colId="147" showButton="0"/>
    <filterColumn colId="148" showButton="0"/>
    <filterColumn colId="149" showButton="0"/>
    <filterColumn colId="150" showButton="0"/>
    <filterColumn colId="151" showButton="0"/>
    <filterColumn colId="152" showButton="0"/>
    <filterColumn colId="153" showButton="0"/>
    <filterColumn colId="154" showButton="0"/>
    <filterColumn colId="155" showButton="0"/>
    <filterColumn colId="156" showButton="0"/>
  </autoFilter>
  <mergeCells count="1">
    <mergeCell ref="M1:F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2444"/>
  <sheetViews>
    <sheetView tabSelected="1" zoomScale="85" zoomScaleNormal="85" workbookViewId="0">
      <pane ySplit="1" topLeftCell="A2" activePane="bottomLeft" state="frozen"/>
      <selection pane="bottomLeft" activeCell="L2" sqref="L2"/>
    </sheetView>
  </sheetViews>
  <sheetFormatPr defaultRowHeight="15" x14ac:dyDescent="0.25"/>
  <cols>
    <col min="1" max="2" width="5.7109375" customWidth="1"/>
    <col min="3" max="4" width="18.5703125" style="1" customWidth="1"/>
    <col min="5" max="5" width="23.140625" style="1" bestFit="1" customWidth="1"/>
    <col min="6" max="6" width="38.140625" style="1" bestFit="1" customWidth="1"/>
    <col min="7" max="7" width="34.5703125" style="1" bestFit="1" customWidth="1"/>
    <col min="8" max="8" width="18.5703125" style="1" customWidth="1"/>
    <col min="9" max="11" width="18.5703125" style="3" customWidth="1"/>
    <col min="12" max="12" width="24.85546875" style="24" customWidth="1"/>
    <col min="13" max="13" width="18.5703125" style="2" customWidth="1"/>
    <col min="14" max="14" width="18.5703125" style="1" customWidth="1"/>
    <col min="15" max="15" width="15.5703125" style="30" customWidth="1"/>
  </cols>
  <sheetData>
    <row r="1" spans="1:14" x14ac:dyDescent="0.25">
      <c r="A1" t="str">
        <f t="shared" ref="A1" si="0">+D1&amp;D1</f>
        <v>POPO</v>
      </c>
      <c r="B1" t="str">
        <f t="shared" ref="B1" si="1">+D1&amp;C1</f>
        <v>POARTICLE</v>
      </c>
      <c r="C1" s="25" t="s">
        <v>370</v>
      </c>
      <c r="D1" s="25" t="s">
        <v>371</v>
      </c>
      <c r="E1" s="25" t="s">
        <v>376</v>
      </c>
      <c r="F1" s="25" t="s">
        <v>377</v>
      </c>
      <c r="G1" s="25" t="s">
        <v>378</v>
      </c>
      <c r="H1" s="25" t="s">
        <v>366</v>
      </c>
      <c r="I1" s="29" t="s">
        <v>367</v>
      </c>
      <c r="J1" s="26" t="s">
        <v>368</v>
      </c>
      <c r="K1" s="26" t="s">
        <v>369</v>
      </c>
      <c r="L1" s="21" t="s">
        <v>527</v>
      </c>
      <c r="M1" s="25" t="s">
        <v>372</v>
      </c>
      <c r="N1" s="25" t="s">
        <v>373</v>
      </c>
    </row>
    <row r="2" spans="1:14" x14ac:dyDescent="0.25">
      <c r="A2" t="str">
        <f t="shared" ref="A2:A65" si="2">+D2&amp;D2</f>
        <v>78668507866850</v>
      </c>
      <c r="B2" t="str">
        <f t="shared" ref="B2:B65" si="3">+D2&amp;C2</f>
        <v>7866850GC574EVW-M</v>
      </c>
      <c r="C2" s="1" t="s">
        <v>18</v>
      </c>
      <c r="D2" s="1" t="s">
        <v>257</v>
      </c>
      <c r="E2" s="1" t="s">
        <v>382</v>
      </c>
      <c r="F2" s="1" t="s">
        <v>383</v>
      </c>
      <c r="G2" s="1" t="s">
        <v>390</v>
      </c>
      <c r="H2" s="1">
        <v>282</v>
      </c>
      <c r="I2" s="3">
        <v>46233</v>
      </c>
      <c r="J2" s="3">
        <v>46248</v>
      </c>
      <c r="K2" s="3" t="s">
        <v>2344</v>
      </c>
      <c r="L2" s="22">
        <v>46233.415890312499</v>
      </c>
      <c r="M2" s="20">
        <v>12</v>
      </c>
      <c r="N2" s="1">
        <v>6</v>
      </c>
    </row>
    <row r="3" spans="1:14" x14ac:dyDescent="0.25">
      <c r="A3" t="str">
        <f t="shared" si="2"/>
        <v>78668507866850</v>
      </c>
      <c r="B3" t="str">
        <f t="shared" si="3"/>
        <v>7866850GC574EVW-M</v>
      </c>
      <c r="C3" s="1" t="s">
        <v>18</v>
      </c>
      <c r="D3" s="1" t="s">
        <v>257</v>
      </c>
      <c r="E3" s="1" t="s">
        <v>382</v>
      </c>
      <c r="F3" s="1" t="s">
        <v>383</v>
      </c>
      <c r="G3" s="1" t="s">
        <v>390</v>
      </c>
      <c r="H3" s="1">
        <v>282</v>
      </c>
      <c r="I3" s="3">
        <v>46233</v>
      </c>
      <c r="J3" s="3">
        <v>46248</v>
      </c>
      <c r="K3" s="3" t="s">
        <v>2344</v>
      </c>
      <c r="L3" s="22">
        <v>46233.416072997687</v>
      </c>
      <c r="M3" s="20">
        <v>12</v>
      </c>
      <c r="N3" s="1">
        <v>9</v>
      </c>
    </row>
    <row r="4" spans="1:14" x14ac:dyDescent="0.25">
      <c r="A4" t="str">
        <f t="shared" si="2"/>
        <v>78668507866850</v>
      </c>
      <c r="B4" t="str">
        <f t="shared" si="3"/>
        <v>7866850GC574EVW-M</v>
      </c>
      <c r="C4" s="1" t="s">
        <v>18</v>
      </c>
      <c r="D4" s="1" t="s">
        <v>257</v>
      </c>
      <c r="E4" s="1" t="s">
        <v>382</v>
      </c>
      <c r="F4" s="1" t="s">
        <v>383</v>
      </c>
      <c r="G4" s="1" t="s">
        <v>390</v>
      </c>
      <c r="H4" s="1">
        <v>282</v>
      </c>
      <c r="I4" s="3">
        <v>46233</v>
      </c>
      <c r="J4" s="3">
        <v>46248</v>
      </c>
      <c r="K4" s="3" t="s">
        <v>2344</v>
      </c>
      <c r="L4" s="22">
        <v>46233.416259606478</v>
      </c>
      <c r="M4" s="20">
        <v>12</v>
      </c>
      <c r="N4" s="1">
        <v>15</v>
      </c>
    </row>
    <row r="5" spans="1:14" x14ac:dyDescent="0.25">
      <c r="A5" t="str">
        <f t="shared" si="2"/>
        <v>78668507866850</v>
      </c>
      <c r="B5" t="str">
        <f t="shared" si="3"/>
        <v>7866850GC574EVW-M</v>
      </c>
      <c r="C5" s="1" t="s">
        <v>18</v>
      </c>
      <c r="D5" s="1" t="s">
        <v>257</v>
      </c>
      <c r="E5" s="1" t="s">
        <v>382</v>
      </c>
      <c r="F5" s="1" t="s">
        <v>383</v>
      </c>
      <c r="G5" s="1" t="s">
        <v>390</v>
      </c>
      <c r="H5" s="1">
        <v>282</v>
      </c>
      <c r="I5" s="3">
        <v>46233</v>
      </c>
      <c r="J5" s="3">
        <v>46248</v>
      </c>
      <c r="K5" s="3" t="s">
        <v>2344</v>
      </c>
      <c r="L5" s="22">
        <v>46233.433436840278</v>
      </c>
      <c r="M5" s="20">
        <v>12</v>
      </c>
      <c r="N5" s="1">
        <v>4</v>
      </c>
    </row>
    <row r="6" spans="1:14" x14ac:dyDescent="0.25">
      <c r="A6" t="str">
        <f t="shared" si="2"/>
        <v>78668507866850</v>
      </c>
      <c r="B6" t="str">
        <f t="shared" si="3"/>
        <v>7866850GC574EVW-M</v>
      </c>
      <c r="C6" s="1" t="s">
        <v>18</v>
      </c>
      <c r="D6" s="1" t="s">
        <v>257</v>
      </c>
      <c r="E6" s="1" t="s">
        <v>382</v>
      </c>
      <c r="F6" s="1" t="s">
        <v>383</v>
      </c>
      <c r="G6" s="1" t="s">
        <v>390</v>
      </c>
      <c r="H6" s="1">
        <v>282</v>
      </c>
      <c r="I6" s="3">
        <v>46233</v>
      </c>
      <c r="J6" s="3">
        <v>46248</v>
      </c>
      <c r="K6" s="3" t="s">
        <v>2344</v>
      </c>
      <c r="L6" s="22">
        <v>46233.434306365736</v>
      </c>
      <c r="M6" s="20">
        <v>12</v>
      </c>
      <c r="N6" s="1">
        <v>12</v>
      </c>
    </row>
    <row r="7" spans="1:14" x14ac:dyDescent="0.25">
      <c r="A7" t="str">
        <f t="shared" si="2"/>
        <v>78668507866850</v>
      </c>
      <c r="B7" t="str">
        <f t="shared" si="3"/>
        <v>7866850GC574EVW-M</v>
      </c>
      <c r="C7" s="1" t="s">
        <v>18</v>
      </c>
      <c r="D7" s="1" t="s">
        <v>257</v>
      </c>
      <c r="E7" s="1" t="s">
        <v>382</v>
      </c>
      <c r="F7" s="1" t="s">
        <v>383</v>
      </c>
      <c r="G7" s="1" t="s">
        <v>390</v>
      </c>
      <c r="H7" s="1">
        <v>282</v>
      </c>
      <c r="I7" s="3">
        <v>46233</v>
      </c>
      <c r="J7" s="3">
        <v>46248</v>
      </c>
      <c r="K7" s="3" t="s">
        <v>2344</v>
      </c>
      <c r="L7" s="22">
        <v>46233.449629050927</v>
      </c>
      <c r="M7" s="20">
        <v>12</v>
      </c>
      <c r="N7" s="1">
        <v>16</v>
      </c>
    </row>
    <row r="8" spans="1:14" x14ac:dyDescent="0.25">
      <c r="A8" t="str">
        <f t="shared" si="2"/>
        <v>78668507866850</v>
      </c>
      <c r="B8" t="str">
        <f t="shared" si="3"/>
        <v>7866850GC574EVW-M</v>
      </c>
      <c r="C8" s="1" t="s">
        <v>18</v>
      </c>
      <c r="D8" s="1" t="s">
        <v>257</v>
      </c>
      <c r="E8" s="1" t="s">
        <v>382</v>
      </c>
      <c r="F8" s="1" t="s">
        <v>383</v>
      </c>
      <c r="G8" s="1" t="s">
        <v>390</v>
      </c>
      <c r="H8" s="1">
        <v>282</v>
      </c>
      <c r="I8" s="3">
        <v>46233</v>
      </c>
      <c r="J8" s="3">
        <v>46248</v>
      </c>
      <c r="K8" s="3" t="s">
        <v>2344</v>
      </c>
      <c r="L8" s="22">
        <v>46233.450624571757</v>
      </c>
      <c r="M8" s="20">
        <v>12</v>
      </c>
      <c r="N8" s="1">
        <v>10</v>
      </c>
    </row>
    <row r="9" spans="1:14" x14ac:dyDescent="0.25">
      <c r="A9" t="str">
        <f t="shared" si="2"/>
        <v>78668507866850</v>
      </c>
      <c r="B9" t="str">
        <f t="shared" si="3"/>
        <v>7866850GC574EVW-M</v>
      </c>
      <c r="C9" s="1" t="s">
        <v>18</v>
      </c>
      <c r="D9" s="1" t="s">
        <v>257</v>
      </c>
      <c r="E9" s="1" t="s">
        <v>382</v>
      </c>
      <c r="F9" s="1" t="s">
        <v>383</v>
      </c>
      <c r="G9" s="1" t="s">
        <v>390</v>
      </c>
      <c r="H9" s="1">
        <v>282</v>
      </c>
      <c r="I9" s="3">
        <v>46233</v>
      </c>
      <c r="J9" s="3">
        <v>46248</v>
      </c>
      <c r="K9" s="3" t="s">
        <v>2344</v>
      </c>
      <c r="L9" s="22">
        <v>46233.460602777777</v>
      </c>
      <c r="M9" s="20">
        <v>12</v>
      </c>
      <c r="N9" s="1">
        <v>7</v>
      </c>
    </row>
    <row r="10" spans="1:14" x14ac:dyDescent="0.25">
      <c r="A10" t="str">
        <f t="shared" si="2"/>
        <v>78668507866850</v>
      </c>
      <c r="B10" t="str">
        <f t="shared" si="3"/>
        <v>7866850GC574EVW-M</v>
      </c>
      <c r="C10" s="1" t="s">
        <v>18</v>
      </c>
      <c r="D10" s="1" t="s">
        <v>257</v>
      </c>
      <c r="E10" s="1" t="s">
        <v>382</v>
      </c>
      <c r="F10" s="1" t="s">
        <v>383</v>
      </c>
      <c r="G10" s="1" t="s">
        <v>390</v>
      </c>
      <c r="H10" s="1">
        <v>282</v>
      </c>
      <c r="I10" s="3">
        <v>46233</v>
      </c>
      <c r="J10" s="3">
        <v>46248</v>
      </c>
      <c r="K10" s="3" t="s">
        <v>2344</v>
      </c>
      <c r="L10" s="22">
        <v>46233.460821412038</v>
      </c>
      <c r="M10" s="20">
        <v>12</v>
      </c>
      <c r="N10" s="1">
        <v>18</v>
      </c>
    </row>
    <row r="11" spans="1:14" x14ac:dyDescent="0.25">
      <c r="A11" t="str">
        <f t="shared" si="2"/>
        <v>78668507866850</v>
      </c>
      <c r="B11" t="str">
        <f t="shared" si="3"/>
        <v>7866850GC574EVW-M</v>
      </c>
      <c r="C11" s="1" t="s">
        <v>18</v>
      </c>
      <c r="D11" s="1" t="s">
        <v>257</v>
      </c>
      <c r="E11" s="1" t="s">
        <v>382</v>
      </c>
      <c r="F11" s="1" t="s">
        <v>383</v>
      </c>
      <c r="G11" s="1" t="s">
        <v>390</v>
      </c>
      <c r="H11" s="1">
        <v>282</v>
      </c>
      <c r="I11" s="3">
        <v>46233</v>
      </c>
      <c r="J11" s="3">
        <v>46248</v>
      </c>
      <c r="K11" s="3" t="s">
        <v>2344</v>
      </c>
      <c r="L11" s="22">
        <v>46233.46100077546</v>
      </c>
      <c r="M11" s="20">
        <v>12</v>
      </c>
      <c r="N11" s="1">
        <v>13</v>
      </c>
    </row>
    <row r="12" spans="1:14" x14ac:dyDescent="0.25">
      <c r="A12" t="str">
        <f t="shared" si="2"/>
        <v>78668507866850</v>
      </c>
      <c r="B12" t="str">
        <f t="shared" si="3"/>
        <v>7866850GC574EVW-M</v>
      </c>
      <c r="C12" s="1" t="s">
        <v>18</v>
      </c>
      <c r="D12" s="1" t="s">
        <v>257</v>
      </c>
      <c r="E12" s="1" t="s">
        <v>382</v>
      </c>
      <c r="F12" s="1" t="s">
        <v>383</v>
      </c>
      <c r="G12" s="1" t="s">
        <v>390</v>
      </c>
      <c r="H12" s="1">
        <v>282</v>
      </c>
      <c r="I12" s="3">
        <v>46233</v>
      </c>
      <c r="J12" s="3">
        <v>46248</v>
      </c>
      <c r="K12" s="3" t="s">
        <v>2344</v>
      </c>
      <c r="L12" s="22">
        <v>46233.461907604164</v>
      </c>
      <c r="M12" s="20">
        <v>12</v>
      </c>
      <c r="N12" s="1">
        <v>17</v>
      </c>
    </row>
    <row r="13" spans="1:14" x14ac:dyDescent="0.25">
      <c r="A13" t="str">
        <f t="shared" si="2"/>
        <v>78668507866850</v>
      </c>
      <c r="B13" t="str">
        <f t="shared" si="3"/>
        <v>7866850GC574EVW-M</v>
      </c>
      <c r="C13" s="1" t="s">
        <v>18</v>
      </c>
      <c r="D13" s="1" t="s">
        <v>257</v>
      </c>
      <c r="E13" s="1" t="s">
        <v>382</v>
      </c>
      <c r="F13" s="1" t="s">
        <v>383</v>
      </c>
      <c r="G13" s="1" t="s">
        <v>390</v>
      </c>
      <c r="H13" s="1">
        <v>282</v>
      </c>
      <c r="I13" s="3">
        <v>46233</v>
      </c>
      <c r="J13" s="3">
        <v>46248</v>
      </c>
      <c r="K13" s="3" t="s">
        <v>2344</v>
      </c>
      <c r="L13" s="22">
        <v>46233.468076655088</v>
      </c>
      <c r="M13" s="20">
        <v>12</v>
      </c>
      <c r="N13" s="1">
        <v>3</v>
      </c>
    </row>
    <row r="14" spans="1:14" x14ac:dyDescent="0.25">
      <c r="A14" t="str">
        <f t="shared" si="2"/>
        <v>78668507866850</v>
      </c>
      <c r="B14" t="str">
        <f t="shared" si="3"/>
        <v>7866850GC574EVW-M</v>
      </c>
      <c r="C14" s="1" t="s">
        <v>18</v>
      </c>
      <c r="D14" s="1" t="s">
        <v>257</v>
      </c>
      <c r="E14" s="1" t="s">
        <v>382</v>
      </c>
      <c r="F14" s="1" t="s">
        <v>383</v>
      </c>
      <c r="G14" s="1" t="s">
        <v>390</v>
      </c>
      <c r="H14" s="1">
        <v>282</v>
      </c>
      <c r="I14" s="3">
        <v>46233</v>
      </c>
      <c r="J14" s="3">
        <v>46248</v>
      </c>
      <c r="K14" s="3" t="s">
        <v>2344</v>
      </c>
      <c r="L14" s="22">
        <v>46233.482249270834</v>
      </c>
      <c r="M14" s="20">
        <v>12</v>
      </c>
      <c r="N14" s="1">
        <v>8</v>
      </c>
    </row>
    <row r="15" spans="1:14" x14ac:dyDescent="0.25">
      <c r="A15" t="str">
        <f t="shared" si="2"/>
        <v>78668507866850</v>
      </c>
      <c r="B15" t="str">
        <f t="shared" si="3"/>
        <v>7866850GC574EVW-M</v>
      </c>
      <c r="C15" s="1" t="s">
        <v>18</v>
      </c>
      <c r="D15" s="1" t="s">
        <v>257</v>
      </c>
      <c r="E15" s="1" t="s">
        <v>382</v>
      </c>
      <c r="F15" s="1" t="s">
        <v>383</v>
      </c>
      <c r="G15" s="1" t="s">
        <v>390</v>
      </c>
      <c r="H15" s="1">
        <v>282</v>
      </c>
      <c r="I15" s="3">
        <v>46233</v>
      </c>
      <c r="J15" s="3">
        <v>46248</v>
      </c>
      <c r="K15" s="3" t="s">
        <v>2344</v>
      </c>
      <c r="L15" s="22">
        <v>46233.48283040509</v>
      </c>
      <c r="M15" s="20">
        <v>12</v>
      </c>
      <c r="N15" s="1">
        <v>22</v>
      </c>
    </row>
    <row r="16" spans="1:14" x14ac:dyDescent="0.25">
      <c r="A16" t="str">
        <f t="shared" si="2"/>
        <v>78668507866850</v>
      </c>
      <c r="B16" t="str">
        <f t="shared" si="3"/>
        <v>7866850GC574EVW-M</v>
      </c>
      <c r="C16" s="1" t="s">
        <v>18</v>
      </c>
      <c r="D16" s="1" t="s">
        <v>257</v>
      </c>
      <c r="E16" s="1" t="s">
        <v>382</v>
      </c>
      <c r="F16" s="1" t="s">
        <v>383</v>
      </c>
      <c r="G16" s="1" t="s">
        <v>390</v>
      </c>
      <c r="H16" s="1">
        <v>282</v>
      </c>
      <c r="I16" s="3">
        <v>46233</v>
      </c>
      <c r="J16" s="3">
        <v>46248</v>
      </c>
      <c r="K16" s="3" t="s">
        <v>2344</v>
      </c>
      <c r="L16" s="22">
        <v>46233.55472630787</v>
      </c>
      <c r="M16" s="20">
        <v>12</v>
      </c>
      <c r="N16" s="1">
        <v>19</v>
      </c>
    </row>
    <row r="17" spans="1:14" x14ac:dyDescent="0.25">
      <c r="A17" t="str">
        <f t="shared" si="2"/>
        <v>78668507866850</v>
      </c>
      <c r="B17" t="str">
        <f t="shared" si="3"/>
        <v>7866850GC574EVW-M</v>
      </c>
      <c r="C17" s="1" t="s">
        <v>18</v>
      </c>
      <c r="D17" s="1" t="s">
        <v>257</v>
      </c>
      <c r="E17" s="1" t="s">
        <v>382</v>
      </c>
      <c r="F17" s="1" t="s">
        <v>383</v>
      </c>
      <c r="G17" s="1" t="s">
        <v>390</v>
      </c>
      <c r="H17" s="1">
        <v>282</v>
      </c>
      <c r="I17" s="3">
        <v>46233</v>
      </c>
      <c r="J17" s="3">
        <v>46248</v>
      </c>
      <c r="K17" s="3" t="s">
        <v>2344</v>
      </c>
      <c r="L17" s="22">
        <v>46233.554964201387</v>
      </c>
      <c r="M17" s="20">
        <v>12</v>
      </c>
      <c r="N17" s="1">
        <v>20</v>
      </c>
    </row>
    <row r="18" spans="1:14" x14ac:dyDescent="0.25">
      <c r="A18" t="str">
        <f t="shared" si="2"/>
        <v>78668507866850</v>
      </c>
      <c r="B18" t="str">
        <f t="shared" si="3"/>
        <v>7866850GC574EVW-M</v>
      </c>
      <c r="C18" s="1" t="s">
        <v>18</v>
      </c>
      <c r="D18" s="1" t="s">
        <v>257</v>
      </c>
      <c r="E18" s="1" t="s">
        <v>382</v>
      </c>
      <c r="F18" s="1" t="s">
        <v>383</v>
      </c>
      <c r="G18" s="1" t="s">
        <v>390</v>
      </c>
      <c r="H18" s="1">
        <v>282</v>
      </c>
      <c r="I18" s="3">
        <v>46233</v>
      </c>
      <c r="J18" s="3">
        <v>46248</v>
      </c>
      <c r="K18" s="3" t="s">
        <v>2344</v>
      </c>
      <c r="L18" s="22">
        <v>46233.561334143516</v>
      </c>
      <c r="M18" s="20">
        <v>6</v>
      </c>
      <c r="N18" s="1">
        <v>24</v>
      </c>
    </row>
    <row r="19" spans="1:14" x14ac:dyDescent="0.25">
      <c r="A19" t="str">
        <f t="shared" si="2"/>
        <v>78668507866850</v>
      </c>
      <c r="B19" t="str">
        <f t="shared" si="3"/>
        <v>7866850GC574EVW-M</v>
      </c>
      <c r="C19" s="1" t="s">
        <v>18</v>
      </c>
      <c r="D19" s="1" t="s">
        <v>257</v>
      </c>
      <c r="E19" s="1" t="s">
        <v>382</v>
      </c>
      <c r="F19" s="1" t="s">
        <v>383</v>
      </c>
      <c r="G19" s="1" t="s">
        <v>390</v>
      </c>
      <c r="H19" s="1">
        <v>282</v>
      </c>
      <c r="I19" s="3">
        <v>46233</v>
      </c>
      <c r="J19" s="3">
        <v>46248</v>
      </c>
      <c r="K19" s="3" t="s">
        <v>2344</v>
      </c>
      <c r="L19" s="22">
        <v>46233.563398645834</v>
      </c>
      <c r="M19" s="20">
        <v>6</v>
      </c>
      <c r="N19" s="1">
        <v>25</v>
      </c>
    </row>
    <row r="20" spans="1:14" x14ac:dyDescent="0.25">
      <c r="A20" t="str">
        <f t="shared" si="2"/>
        <v>78668507866850</v>
      </c>
      <c r="B20" t="str">
        <f t="shared" si="3"/>
        <v>7866850GC574EVW-M</v>
      </c>
      <c r="C20" s="1" t="s">
        <v>18</v>
      </c>
      <c r="D20" s="1" t="s">
        <v>257</v>
      </c>
      <c r="E20" s="1" t="s">
        <v>382</v>
      </c>
      <c r="F20" s="1" t="s">
        <v>383</v>
      </c>
      <c r="G20" s="1" t="s">
        <v>390</v>
      </c>
      <c r="H20" s="1">
        <v>282</v>
      </c>
      <c r="I20" s="3">
        <v>46233</v>
      </c>
      <c r="J20" s="3">
        <v>46248</v>
      </c>
      <c r="K20" s="3" t="s">
        <v>2344</v>
      </c>
      <c r="L20" s="22">
        <v>46233.567039351852</v>
      </c>
      <c r="M20" s="20">
        <v>12</v>
      </c>
      <c r="N20" s="1">
        <v>11</v>
      </c>
    </row>
    <row r="21" spans="1:14" x14ac:dyDescent="0.25">
      <c r="A21" t="str">
        <f t="shared" si="2"/>
        <v>78668507866850</v>
      </c>
      <c r="B21" t="str">
        <f t="shared" si="3"/>
        <v>7866850GC574EVW-M</v>
      </c>
      <c r="C21" s="1" t="s">
        <v>18</v>
      </c>
      <c r="D21" s="1" t="s">
        <v>257</v>
      </c>
      <c r="E21" s="1" t="s">
        <v>382</v>
      </c>
      <c r="F21" s="1" t="s">
        <v>383</v>
      </c>
      <c r="G21" s="1" t="s">
        <v>390</v>
      </c>
      <c r="H21" s="1">
        <v>282</v>
      </c>
      <c r="I21" s="3">
        <v>46233</v>
      </c>
      <c r="J21" s="3">
        <v>46248</v>
      </c>
      <c r="K21" s="3" t="s">
        <v>2344</v>
      </c>
      <c r="L21" s="22">
        <v>46233.670725462958</v>
      </c>
      <c r="M21" s="20">
        <v>12</v>
      </c>
      <c r="N21" s="1">
        <v>14</v>
      </c>
    </row>
    <row r="22" spans="1:14" x14ac:dyDescent="0.25">
      <c r="A22" t="str">
        <f t="shared" si="2"/>
        <v>U141252U141252</v>
      </c>
      <c r="B22" t="str">
        <f t="shared" si="3"/>
        <v>U141252ML515NVY-D</v>
      </c>
      <c r="C22" s="1" t="s">
        <v>77</v>
      </c>
      <c r="D22" s="1" t="s">
        <v>262</v>
      </c>
      <c r="E22" s="1" t="s">
        <v>436</v>
      </c>
      <c r="F22" s="1" t="s">
        <v>443</v>
      </c>
      <c r="G22" s="1" t="s">
        <v>457</v>
      </c>
      <c r="H22" s="1">
        <v>1272</v>
      </c>
      <c r="I22" s="3">
        <v>46233</v>
      </c>
      <c r="J22" s="3">
        <v>46260</v>
      </c>
      <c r="K22" s="3" t="s">
        <v>2345</v>
      </c>
      <c r="L22" s="22">
        <v>46233.584815393515</v>
      </c>
      <c r="M22" s="20">
        <v>12</v>
      </c>
      <c r="N22" s="1">
        <v>61</v>
      </c>
    </row>
    <row r="23" spans="1:14" x14ac:dyDescent="0.25">
      <c r="A23" t="str">
        <f t="shared" si="2"/>
        <v>U141252U141252</v>
      </c>
      <c r="B23" t="str">
        <f t="shared" si="3"/>
        <v>U141252ML515NVY-D</v>
      </c>
      <c r="C23" s="1" t="s">
        <v>77</v>
      </c>
      <c r="D23" s="1" t="s">
        <v>262</v>
      </c>
      <c r="E23" s="1" t="s">
        <v>436</v>
      </c>
      <c r="F23" s="1" t="s">
        <v>443</v>
      </c>
      <c r="G23" s="1" t="s">
        <v>457</v>
      </c>
      <c r="H23" s="1">
        <v>1272</v>
      </c>
      <c r="I23" s="3">
        <v>46233</v>
      </c>
      <c r="J23" s="3">
        <v>46260</v>
      </c>
      <c r="K23" s="3" t="s">
        <v>2345</v>
      </c>
      <c r="L23" s="22">
        <v>46233.609179629624</v>
      </c>
      <c r="M23" s="20">
        <v>12</v>
      </c>
      <c r="N23" s="1">
        <v>33</v>
      </c>
    </row>
    <row r="24" spans="1:14" x14ac:dyDescent="0.25">
      <c r="A24" t="str">
        <f t="shared" si="2"/>
        <v>U141252U141252</v>
      </c>
      <c r="B24" t="str">
        <f t="shared" si="3"/>
        <v>U141252ML515NVY-D</v>
      </c>
      <c r="C24" s="1" t="s">
        <v>77</v>
      </c>
      <c r="D24" s="1" t="s">
        <v>262</v>
      </c>
      <c r="E24" s="1" t="s">
        <v>436</v>
      </c>
      <c r="F24" s="1" t="s">
        <v>443</v>
      </c>
      <c r="G24" s="1" t="s">
        <v>457</v>
      </c>
      <c r="H24" s="1">
        <v>1272</v>
      </c>
      <c r="I24" s="3">
        <v>46233</v>
      </c>
      <c r="J24" s="3">
        <v>46260</v>
      </c>
      <c r="K24" s="3" t="s">
        <v>2345</v>
      </c>
      <c r="L24" s="22">
        <v>46233.613128622681</v>
      </c>
      <c r="M24" s="20">
        <v>12</v>
      </c>
      <c r="N24" s="1">
        <v>43</v>
      </c>
    </row>
    <row r="25" spans="1:14" x14ac:dyDescent="0.25">
      <c r="A25" t="str">
        <f t="shared" si="2"/>
        <v>U141252U141252</v>
      </c>
      <c r="B25" t="str">
        <f t="shared" si="3"/>
        <v>U141252ML515NVY-D</v>
      </c>
      <c r="C25" s="1" t="s">
        <v>77</v>
      </c>
      <c r="D25" s="1" t="s">
        <v>262</v>
      </c>
      <c r="E25" s="1" t="s">
        <v>436</v>
      </c>
      <c r="F25" s="1" t="s">
        <v>443</v>
      </c>
      <c r="G25" s="1" t="s">
        <v>457</v>
      </c>
      <c r="H25" s="1">
        <v>1272</v>
      </c>
      <c r="I25" s="3">
        <v>46233</v>
      </c>
      <c r="J25" s="3">
        <v>46260</v>
      </c>
      <c r="K25" s="3" t="s">
        <v>2345</v>
      </c>
      <c r="L25" s="22">
        <v>46233.615854398144</v>
      </c>
      <c r="M25" s="20">
        <v>12</v>
      </c>
      <c r="N25" s="1">
        <v>97</v>
      </c>
    </row>
    <row r="26" spans="1:14" x14ac:dyDescent="0.25">
      <c r="A26" t="str">
        <f t="shared" si="2"/>
        <v>U141252U141252</v>
      </c>
      <c r="B26" t="str">
        <f t="shared" si="3"/>
        <v>U141252ML515NVY-D</v>
      </c>
      <c r="C26" s="1" t="s">
        <v>77</v>
      </c>
      <c r="D26" s="1" t="s">
        <v>262</v>
      </c>
      <c r="E26" s="1" t="s">
        <v>436</v>
      </c>
      <c r="F26" s="1" t="s">
        <v>443</v>
      </c>
      <c r="G26" s="1" t="s">
        <v>457</v>
      </c>
      <c r="H26" s="1">
        <v>1272</v>
      </c>
      <c r="I26" s="3">
        <v>46233</v>
      </c>
      <c r="J26" s="3">
        <v>46260</v>
      </c>
      <c r="K26" s="3" t="s">
        <v>2345</v>
      </c>
      <c r="L26" s="22">
        <v>46233.624722534718</v>
      </c>
      <c r="M26" s="20">
        <v>12</v>
      </c>
      <c r="N26" s="1">
        <v>80</v>
      </c>
    </row>
    <row r="27" spans="1:14" x14ac:dyDescent="0.25">
      <c r="A27" t="str">
        <f t="shared" si="2"/>
        <v>U141252U141252</v>
      </c>
      <c r="B27" t="str">
        <f t="shared" si="3"/>
        <v>U141252ML515NVY-D</v>
      </c>
      <c r="C27" s="1" t="s">
        <v>77</v>
      </c>
      <c r="D27" s="1" t="s">
        <v>262</v>
      </c>
      <c r="E27" s="1" t="s">
        <v>436</v>
      </c>
      <c r="F27" s="1" t="s">
        <v>443</v>
      </c>
      <c r="G27" s="1" t="s">
        <v>457</v>
      </c>
      <c r="H27" s="1">
        <v>1272</v>
      </c>
      <c r="I27" s="3">
        <v>46233</v>
      </c>
      <c r="J27" s="3">
        <v>46260</v>
      </c>
      <c r="K27" s="3" t="s">
        <v>2345</v>
      </c>
      <c r="L27" s="22">
        <v>46233.634761805552</v>
      </c>
      <c r="M27" s="20">
        <v>12</v>
      </c>
      <c r="N27" s="1">
        <v>44</v>
      </c>
    </row>
    <row r="28" spans="1:14" x14ac:dyDescent="0.25">
      <c r="A28" t="str">
        <f t="shared" si="2"/>
        <v>U141252U141252</v>
      </c>
      <c r="B28" t="str">
        <f t="shared" si="3"/>
        <v>U141252ML515NVY-D</v>
      </c>
      <c r="C28" s="1" t="s">
        <v>77</v>
      </c>
      <c r="D28" s="1" t="s">
        <v>262</v>
      </c>
      <c r="E28" s="1" t="s">
        <v>436</v>
      </c>
      <c r="F28" s="1" t="s">
        <v>443</v>
      </c>
      <c r="G28" s="1" t="s">
        <v>457</v>
      </c>
      <c r="H28" s="1">
        <v>1272</v>
      </c>
      <c r="I28" s="3">
        <v>46233</v>
      </c>
      <c r="J28" s="3">
        <v>46260</v>
      </c>
      <c r="K28" s="3" t="s">
        <v>2345</v>
      </c>
      <c r="L28" s="22">
        <v>46233.635669178242</v>
      </c>
      <c r="M28" s="20">
        <v>12</v>
      </c>
      <c r="N28" s="1">
        <v>34</v>
      </c>
    </row>
    <row r="29" spans="1:14" x14ac:dyDescent="0.25">
      <c r="A29" t="str">
        <f t="shared" si="2"/>
        <v>U141252U141252</v>
      </c>
      <c r="B29" t="str">
        <f t="shared" si="3"/>
        <v>U141252ML515NVY-D</v>
      </c>
      <c r="C29" s="1" t="s">
        <v>77</v>
      </c>
      <c r="D29" s="1" t="s">
        <v>262</v>
      </c>
      <c r="E29" s="1" t="s">
        <v>436</v>
      </c>
      <c r="F29" s="1" t="s">
        <v>443</v>
      </c>
      <c r="G29" s="1" t="s">
        <v>457</v>
      </c>
      <c r="H29" s="1">
        <v>1272</v>
      </c>
      <c r="I29" s="3">
        <v>46233</v>
      </c>
      <c r="J29" s="3">
        <v>46260</v>
      </c>
      <c r="K29" s="3" t="s">
        <v>2345</v>
      </c>
      <c r="L29" s="22">
        <v>46233.641748298607</v>
      </c>
      <c r="M29" s="20">
        <v>12</v>
      </c>
      <c r="N29" s="1">
        <v>60</v>
      </c>
    </row>
    <row r="30" spans="1:14" x14ac:dyDescent="0.25">
      <c r="A30" t="str">
        <f t="shared" si="2"/>
        <v>U141252U141252</v>
      </c>
      <c r="B30" t="str">
        <f t="shared" si="3"/>
        <v>U141252ML515NVY-D</v>
      </c>
      <c r="C30" s="1" t="s">
        <v>77</v>
      </c>
      <c r="D30" s="1" t="s">
        <v>262</v>
      </c>
      <c r="E30" s="1" t="s">
        <v>436</v>
      </c>
      <c r="F30" s="1" t="s">
        <v>443</v>
      </c>
      <c r="G30" s="1" t="s">
        <v>457</v>
      </c>
      <c r="H30" s="1">
        <v>1272</v>
      </c>
      <c r="I30" s="3">
        <v>46233</v>
      </c>
      <c r="J30" s="3">
        <v>46260</v>
      </c>
      <c r="K30" s="3" t="s">
        <v>2345</v>
      </c>
      <c r="L30" s="22">
        <v>46233.651263773143</v>
      </c>
      <c r="M30" s="20">
        <v>12</v>
      </c>
      <c r="N30" s="1">
        <v>32</v>
      </c>
    </row>
    <row r="31" spans="1:14" x14ac:dyDescent="0.25">
      <c r="A31" t="str">
        <f t="shared" si="2"/>
        <v>U141252U141252</v>
      </c>
      <c r="B31" t="str">
        <f t="shared" si="3"/>
        <v>U141252ML515NVY-D</v>
      </c>
      <c r="C31" s="1" t="s">
        <v>77</v>
      </c>
      <c r="D31" s="1" t="s">
        <v>262</v>
      </c>
      <c r="E31" s="1" t="s">
        <v>436</v>
      </c>
      <c r="F31" s="1" t="s">
        <v>443</v>
      </c>
      <c r="G31" s="1" t="s">
        <v>457</v>
      </c>
      <c r="H31" s="1">
        <v>1272</v>
      </c>
      <c r="I31" s="3">
        <v>46233</v>
      </c>
      <c r="J31" s="3">
        <v>46260</v>
      </c>
      <c r="K31" s="3" t="s">
        <v>2345</v>
      </c>
      <c r="L31" s="22">
        <v>46233.651989432867</v>
      </c>
      <c r="M31" s="20">
        <v>12</v>
      </c>
      <c r="N31" s="1">
        <v>45</v>
      </c>
    </row>
    <row r="32" spans="1:14" x14ac:dyDescent="0.25">
      <c r="A32" t="str">
        <f t="shared" si="2"/>
        <v>U141252U141252</v>
      </c>
      <c r="B32" t="str">
        <f t="shared" si="3"/>
        <v>U141252ML515NVY-D</v>
      </c>
      <c r="C32" s="1" t="s">
        <v>77</v>
      </c>
      <c r="D32" s="1" t="s">
        <v>262</v>
      </c>
      <c r="E32" s="1" t="s">
        <v>436</v>
      </c>
      <c r="F32" s="1" t="s">
        <v>443</v>
      </c>
      <c r="G32" s="1" t="s">
        <v>457</v>
      </c>
      <c r="H32" s="1">
        <v>1272</v>
      </c>
      <c r="I32" s="3">
        <v>46233</v>
      </c>
      <c r="J32" s="3">
        <v>46260</v>
      </c>
      <c r="K32" s="3" t="s">
        <v>2345</v>
      </c>
      <c r="L32" s="22">
        <v>46233.664613425921</v>
      </c>
      <c r="M32" s="20">
        <v>12</v>
      </c>
      <c r="N32" s="1">
        <v>47</v>
      </c>
    </row>
    <row r="33" spans="1:14" x14ac:dyDescent="0.25">
      <c r="A33" t="str">
        <f t="shared" si="2"/>
        <v>U141252U141252</v>
      </c>
      <c r="B33" t="str">
        <f t="shared" si="3"/>
        <v>U141252ML515NVY-D</v>
      </c>
      <c r="C33" s="1" t="s">
        <v>77</v>
      </c>
      <c r="D33" s="1" t="s">
        <v>262</v>
      </c>
      <c r="E33" s="1" t="s">
        <v>436</v>
      </c>
      <c r="F33" s="1" t="s">
        <v>443</v>
      </c>
      <c r="G33" s="1" t="s">
        <v>457</v>
      </c>
      <c r="H33" s="1">
        <v>1272</v>
      </c>
      <c r="I33" s="3">
        <v>46233</v>
      </c>
      <c r="J33" s="3">
        <v>46260</v>
      </c>
      <c r="K33" s="3" t="s">
        <v>2345</v>
      </c>
      <c r="L33" s="22">
        <v>46233.665129594905</v>
      </c>
      <c r="M33" s="20">
        <v>12</v>
      </c>
      <c r="N33" s="1">
        <v>67</v>
      </c>
    </row>
    <row r="34" spans="1:14" x14ac:dyDescent="0.25">
      <c r="A34" t="str">
        <f t="shared" si="2"/>
        <v>U141252U141252</v>
      </c>
      <c r="B34" t="str">
        <f t="shared" si="3"/>
        <v>U141252ML515NVY-D</v>
      </c>
      <c r="C34" s="1" t="s">
        <v>77</v>
      </c>
      <c r="D34" s="1" t="s">
        <v>262</v>
      </c>
      <c r="E34" s="1" t="s">
        <v>436</v>
      </c>
      <c r="F34" s="1" t="s">
        <v>443</v>
      </c>
      <c r="G34" s="1" t="s">
        <v>457</v>
      </c>
      <c r="H34" s="1">
        <v>1272</v>
      </c>
      <c r="I34" s="3">
        <v>46233</v>
      </c>
      <c r="J34" s="3">
        <v>46260</v>
      </c>
      <c r="K34" s="3" t="s">
        <v>2345</v>
      </c>
      <c r="L34" s="22">
        <v>46233.673029166668</v>
      </c>
      <c r="M34" s="20">
        <v>12</v>
      </c>
      <c r="N34" s="1">
        <v>78</v>
      </c>
    </row>
    <row r="35" spans="1:14" x14ac:dyDescent="0.25">
      <c r="A35" t="str">
        <f t="shared" si="2"/>
        <v>U141252U141252</v>
      </c>
      <c r="B35" t="str">
        <f t="shared" si="3"/>
        <v>U141252ML515NVY-D</v>
      </c>
      <c r="C35" s="1" t="s">
        <v>77</v>
      </c>
      <c r="D35" s="1" t="s">
        <v>262</v>
      </c>
      <c r="E35" s="1" t="s">
        <v>436</v>
      </c>
      <c r="F35" s="1" t="s">
        <v>443</v>
      </c>
      <c r="G35" s="1" t="s">
        <v>457</v>
      </c>
      <c r="H35" s="1">
        <v>1272</v>
      </c>
      <c r="I35" s="3">
        <v>46233</v>
      </c>
      <c r="J35" s="3">
        <v>46260</v>
      </c>
      <c r="K35" s="3" t="s">
        <v>2345</v>
      </c>
      <c r="L35" s="22">
        <v>46233.67334548611</v>
      </c>
      <c r="M35" s="20">
        <v>12</v>
      </c>
      <c r="N35" s="1">
        <v>68</v>
      </c>
    </row>
    <row r="36" spans="1:14" x14ac:dyDescent="0.25">
      <c r="A36" t="str">
        <f t="shared" si="2"/>
        <v>U141252U141252</v>
      </c>
      <c r="B36" t="str">
        <f t="shared" si="3"/>
        <v>U141252ML515NVY-D</v>
      </c>
      <c r="C36" s="1" t="s">
        <v>77</v>
      </c>
      <c r="D36" s="1" t="s">
        <v>262</v>
      </c>
      <c r="E36" s="1" t="s">
        <v>436</v>
      </c>
      <c r="F36" s="1" t="s">
        <v>443</v>
      </c>
      <c r="G36" s="1" t="s">
        <v>457</v>
      </c>
      <c r="H36" s="1">
        <v>1272</v>
      </c>
      <c r="I36" s="3">
        <v>46233</v>
      </c>
      <c r="J36" s="3">
        <v>46260</v>
      </c>
      <c r="K36" s="3" t="s">
        <v>2345</v>
      </c>
      <c r="L36" s="22">
        <v>46233.682900613421</v>
      </c>
      <c r="M36" s="20">
        <v>12</v>
      </c>
      <c r="N36" s="1">
        <v>99</v>
      </c>
    </row>
    <row r="37" spans="1:14" x14ac:dyDescent="0.25">
      <c r="A37" t="str">
        <f t="shared" si="2"/>
        <v>U141252U141252</v>
      </c>
      <c r="B37" t="str">
        <f t="shared" si="3"/>
        <v>U141252ML515NVY-D</v>
      </c>
      <c r="C37" s="1" t="s">
        <v>77</v>
      </c>
      <c r="D37" s="1" t="s">
        <v>262</v>
      </c>
      <c r="E37" s="1" t="s">
        <v>436</v>
      </c>
      <c r="F37" s="1" t="s">
        <v>443</v>
      </c>
      <c r="G37" s="1" t="s">
        <v>457</v>
      </c>
      <c r="H37" s="1">
        <v>1272</v>
      </c>
      <c r="I37" s="3">
        <v>46233</v>
      </c>
      <c r="J37" s="3">
        <v>46260</v>
      </c>
      <c r="K37" s="3" t="s">
        <v>2345</v>
      </c>
      <c r="L37" s="22">
        <v>46233.697458877316</v>
      </c>
      <c r="M37" s="20">
        <v>12</v>
      </c>
      <c r="N37" s="1">
        <v>46</v>
      </c>
    </row>
    <row r="38" spans="1:14" x14ac:dyDescent="0.25">
      <c r="A38" t="str">
        <f t="shared" si="2"/>
        <v>78662127866212</v>
      </c>
      <c r="B38" t="str">
        <f t="shared" si="3"/>
        <v>7866212GC574EVB-M</v>
      </c>
      <c r="C38" s="1" t="s">
        <v>32</v>
      </c>
      <c r="D38" s="1" t="s">
        <v>280</v>
      </c>
      <c r="E38" s="1" t="s">
        <v>385</v>
      </c>
      <c r="F38" s="1" t="s">
        <v>386</v>
      </c>
      <c r="G38" s="1" t="s">
        <v>387</v>
      </c>
      <c r="H38" s="1">
        <v>270</v>
      </c>
      <c r="I38" s="3">
        <v>46234</v>
      </c>
      <c r="J38" s="3">
        <v>46238</v>
      </c>
      <c r="K38" s="3" t="s">
        <v>2346</v>
      </c>
      <c r="L38" s="22">
        <v>46234.453153090275</v>
      </c>
      <c r="M38" s="20">
        <v>12</v>
      </c>
      <c r="N38" s="1">
        <v>2</v>
      </c>
    </row>
    <row r="39" spans="1:14" x14ac:dyDescent="0.25">
      <c r="A39" t="str">
        <f t="shared" si="2"/>
        <v>78662127866212</v>
      </c>
      <c r="B39" t="str">
        <f t="shared" si="3"/>
        <v>7866212GC574EVB-M</v>
      </c>
      <c r="C39" s="1" t="s">
        <v>32</v>
      </c>
      <c r="D39" s="1" t="s">
        <v>280</v>
      </c>
      <c r="E39" s="1" t="s">
        <v>385</v>
      </c>
      <c r="F39" s="1" t="s">
        <v>386</v>
      </c>
      <c r="G39" s="1" t="s">
        <v>387</v>
      </c>
      <c r="H39" s="1">
        <v>270</v>
      </c>
      <c r="I39" s="3">
        <v>46234</v>
      </c>
      <c r="J39" s="3">
        <v>46238</v>
      </c>
      <c r="K39" s="3" t="s">
        <v>2346</v>
      </c>
      <c r="L39" s="22">
        <v>46234.555606678237</v>
      </c>
      <c r="M39" s="20">
        <v>12</v>
      </c>
      <c r="N39" s="1">
        <v>12</v>
      </c>
    </row>
    <row r="40" spans="1:14" x14ac:dyDescent="0.25">
      <c r="A40" t="str">
        <f t="shared" si="2"/>
        <v>78662127866212</v>
      </c>
      <c r="B40" t="str">
        <f t="shared" si="3"/>
        <v>7866212GC574EVB-M</v>
      </c>
      <c r="C40" s="1" t="s">
        <v>32</v>
      </c>
      <c r="D40" s="1" t="s">
        <v>280</v>
      </c>
      <c r="E40" s="1" t="s">
        <v>385</v>
      </c>
      <c r="F40" s="1" t="s">
        <v>386</v>
      </c>
      <c r="G40" s="1" t="s">
        <v>387</v>
      </c>
      <c r="H40" s="1">
        <v>270</v>
      </c>
      <c r="I40" s="3">
        <v>46234</v>
      </c>
      <c r="J40" s="3">
        <v>46238</v>
      </c>
      <c r="K40" s="3" t="s">
        <v>2346</v>
      </c>
      <c r="L40" s="22">
        <v>46234.556195949073</v>
      </c>
      <c r="M40" s="20">
        <v>12</v>
      </c>
      <c r="N40" s="1">
        <v>16</v>
      </c>
    </row>
    <row r="41" spans="1:14" x14ac:dyDescent="0.25">
      <c r="A41" t="str">
        <f t="shared" si="2"/>
        <v>78662127866212</v>
      </c>
      <c r="B41" t="str">
        <f t="shared" si="3"/>
        <v>7866212GC574EVB-M</v>
      </c>
      <c r="C41" s="1" t="s">
        <v>32</v>
      </c>
      <c r="D41" s="1" t="s">
        <v>280</v>
      </c>
      <c r="E41" s="1" t="s">
        <v>385</v>
      </c>
      <c r="F41" s="1" t="s">
        <v>386</v>
      </c>
      <c r="G41" s="1" t="s">
        <v>387</v>
      </c>
      <c r="H41" s="1">
        <v>270</v>
      </c>
      <c r="I41" s="3">
        <v>46234</v>
      </c>
      <c r="J41" s="3">
        <v>46238</v>
      </c>
      <c r="K41" s="3" t="s">
        <v>2346</v>
      </c>
      <c r="L41" s="22">
        <v>46234.557829895828</v>
      </c>
      <c r="M41" s="20">
        <v>12</v>
      </c>
      <c r="N41" s="1">
        <v>1</v>
      </c>
    </row>
    <row r="42" spans="1:14" x14ac:dyDescent="0.25">
      <c r="A42" t="str">
        <f t="shared" si="2"/>
        <v>78662127866212</v>
      </c>
      <c r="B42" t="str">
        <f t="shared" si="3"/>
        <v>7866212GC574EVB-M</v>
      </c>
      <c r="C42" s="1" t="s">
        <v>32</v>
      </c>
      <c r="D42" s="1" t="s">
        <v>280</v>
      </c>
      <c r="E42" s="1" t="s">
        <v>385</v>
      </c>
      <c r="F42" s="1" t="s">
        <v>386</v>
      </c>
      <c r="G42" s="1" t="s">
        <v>387</v>
      </c>
      <c r="H42" s="1">
        <v>270</v>
      </c>
      <c r="I42" s="3">
        <v>46234</v>
      </c>
      <c r="J42" s="3">
        <v>46238</v>
      </c>
      <c r="K42" s="3" t="s">
        <v>2346</v>
      </c>
      <c r="L42" s="22">
        <v>46234.558283298611</v>
      </c>
      <c r="M42" s="20">
        <v>12</v>
      </c>
      <c r="N42" s="1">
        <v>17</v>
      </c>
    </row>
    <row r="43" spans="1:14" x14ac:dyDescent="0.25">
      <c r="A43" t="str">
        <f t="shared" si="2"/>
        <v>78662127866212</v>
      </c>
      <c r="B43" t="str">
        <f t="shared" si="3"/>
        <v>7866212GC574EVB-M</v>
      </c>
      <c r="C43" s="1" t="s">
        <v>32</v>
      </c>
      <c r="D43" s="1" t="s">
        <v>280</v>
      </c>
      <c r="E43" s="1" t="s">
        <v>385</v>
      </c>
      <c r="F43" s="1" t="s">
        <v>386</v>
      </c>
      <c r="G43" s="1" t="s">
        <v>387</v>
      </c>
      <c r="H43" s="1">
        <v>270</v>
      </c>
      <c r="I43" s="3">
        <v>46234</v>
      </c>
      <c r="J43" s="3">
        <v>46238</v>
      </c>
      <c r="K43" s="3" t="s">
        <v>2346</v>
      </c>
      <c r="L43" s="22">
        <v>46234.558728819444</v>
      </c>
      <c r="M43" s="20">
        <v>12</v>
      </c>
      <c r="N43" s="1">
        <v>6</v>
      </c>
    </row>
    <row r="44" spans="1:14" x14ac:dyDescent="0.25">
      <c r="A44" t="str">
        <f t="shared" si="2"/>
        <v>78662127866212</v>
      </c>
      <c r="B44" t="str">
        <f t="shared" si="3"/>
        <v>7866212GC574EVB-M</v>
      </c>
      <c r="C44" s="1" t="s">
        <v>32</v>
      </c>
      <c r="D44" s="1" t="s">
        <v>280</v>
      </c>
      <c r="E44" s="1" t="s">
        <v>385</v>
      </c>
      <c r="F44" s="1" t="s">
        <v>386</v>
      </c>
      <c r="G44" s="1" t="s">
        <v>387</v>
      </c>
      <c r="H44" s="1">
        <v>270</v>
      </c>
      <c r="I44" s="3">
        <v>46234</v>
      </c>
      <c r="J44" s="3">
        <v>46238</v>
      </c>
      <c r="K44" s="3" t="s">
        <v>2346</v>
      </c>
      <c r="L44" s="22">
        <v>46234.558911030093</v>
      </c>
      <c r="M44" s="20">
        <v>12</v>
      </c>
      <c r="N44" s="1">
        <v>5</v>
      </c>
    </row>
    <row r="45" spans="1:14" x14ac:dyDescent="0.25">
      <c r="A45" t="str">
        <f t="shared" si="2"/>
        <v>78662127866212</v>
      </c>
      <c r="B45" t="str">
        <f t="shared" si="3"/>
        <v>7866212GC574EVB-M</v>
      </c>
      <c r="C45" s="1" t="s">
        <v>32</v>
      </c>
      <c r="D45" s="1" t="s">
        <v>280</v>
      </c>
      <c r="E45" s="1" t="s">
        <v>385</v>
      </c>
      <c r="F45" s="1" t="s">
        <v>386</v>
      </c>
      <c r="G45" s="1" t="s">
        <v>387</v>
      </c>
      <c r="H45" s="1">
        <v>270</v>
      </c>
      <c r="I45" s="3">
        <v>46234</v>
      </c>
      <c r="J45" s="3">
        <v>46238</v>
      </c>
      <c r="K45" s="3" t="s">
        <v>2346</v>
      </c>
      <c r="L45" s="22">
        <v>46234.559495451387</v>
      </c>
      <c r="M45" s="20">
        <v>12</v>
      </c>
      <c r="N45" s="1">
        <v>8</v>
      </c>
    </row>
    <row r="46" spans="1:14" x14ac:dyDescent="0.25">
      <c r="A46" t="str">
        <f t="shared" si="2"/>
        <v>78662127866212</v>
      </c>
      <c r="B46" t="str">
        <f t="shared" si="3"/>
        <v>7866212GC574EVB-M</v>
      </c>
      <c r="C46" s="1" t="s">
        <v>32</v>
      </c>
      <c r="D46" s="1" t="s">
        <v>280</v>
      </c>
      <c r="E46" s="1" t="s">
        <v>385</v>
      </c>
      <c r="F46" s="1" t="s">
        <v>386</v>
      </c>
      <c r="G46" s="1" t="s">
        <v>387</v>
      </c>
      <c r="H46" s="1">
        <v>270</v>
      </c>
      <c r="I46" s="3">
        <v>46234</v>
      </c>
      <c r="J46" s="3">
        <v>46238</v>
      </c>
      <c r="K46" s="3" t="s">
        <v>2346</v>
      </c>
      <c r="L46" s="22">
        <v>46234.582460532409</v>
      </c>
      <c r="M46" s="20">
        <v>6</v>
      </c>
      <c r="N46" s="1">
        <v>22</v>
      </c>
    </row>
    <row r="47" spans="1:14" x14ac:dyDescent="0.25">
      <c r="A47" t="str">
        <f t="shared" si="2"/>
        <v>78662127866212</v>
      </c>
      <c r="B47" t="str">
        <f t="shared" si="3"/>
        <v>7866212GC574EVB-M</v>
      </c>
      <c r="C47" s="1" t="s">
        <v>32</v>
      </c>
      <c r="D47" s="1" t="s">
        <v>280</v>
      </c>
      <c r="E47" s="1" t="s">
        <v>385</v>
      </c>
      <c r="F47" s="1" t="s">
        <v>386</v>
      </c>
      <c r="G47" s="1" t="s">
        <v>387</v>
      </c>
      <c r="H47" s="1">
        <v>270</v>
      </c>
      <c r="I47" s="3">
        <v>46234</v>
      </c>
      <c r="J47" s="3">
        <v>46238</v>
      </c>
      <c r="K47" s="3" t="s">
        <v>2346</v>
      </c>
      <c r="L47" s="22">
        <v>46234.58268915509</v>
      </c>
      <c r="M47" s="20">
        <v>12</v>
      </c>
      <c r="N47" s="1">
        <v>7</v>
      </c>
    </row>
    <row r="48" spans="1:14" x14ac:dyDescent="0.25">
      <c r="A48" t="str">
        <f t="shared" si="2"/>
        <v>78662127866212</v>
      </c>
      <c r="B48" t="str">
        <f t="shared" si="3"/>
        <v>7866212GC574EVB-M</v>
      </c>
      <c r="C48" s="1" t="s">
        <v>32</v>
      </c>
      <c r="D48" s="1" t="s">
        <v>280</v>
      </c>
      <c r="E48" s="1" t="s">
        <v>385</v>
      </c>
      <c r="F48" s="1" t="s">
        <v>386</v>
      </c>
      <c r="G48" s="1" t="s">
        <v>387</v>
      </c>
      <c r="H48" s="1">
        <v>270</v>
      </c>
      <c r="I48" s="3">
        <v>46234</v>
      </c>
      <c r="J48" s="3">
        <v>46238</v>
      </c>
      <c r="K48" s="3" t="s">
        <v>2346</v>
      </c>
      <c r="L48" s="22">
        <v>46234.582957523147</v>
      </c>
      <c r="M48" s="20">
        <v>12</v>
      </c>
      <c r="N48" s="1">
        <v>13</v>
      </c>
    </row>
    <row r="49" spans="1:14" x14ac:dyDescent="0.25">
      <c r="A49" t="str">
        <f t="shared" si="2"/>
        <v>78662127866212</v>
      </c>
      <c r="B49" t="str">
        <f t="shared" si="3"/>
        <v>7866212GC574EVB-M</v>
      </c>
      <c r="C49" s="1" t="s">
        <v>32</v>
      </c>
      <c r="D49" s="1" t="s">
        <v>280</v>
      </c>
      <c r="E49" s="1" t="s">
        <v>385</v>
      </c>
      <c r="F49" s="1" t="s">
        <v>386</v>
      </c>
      <c r="G49" s="1" t="s">
        <v>387</v>
      </c>
      <c r="H49" s="1">
        <v>270</v>
      </c>
      <c r="I49" s="3">
        <v>46234</v>
      </c>
      <c r="J49" s="3">
        <v>46238</v>
      </c>
      <c r="K49" s="3" t="s">
        <v>2346</v>
      </c>
      <c r="L49" s="22">
        <v>46234.583133449072</v>
      </c>
      <c r="M49" s="20">
        <v>12</v>
      </c>
      <c r="N49" s="1">
        <v>19</v>
      </c>
    </row>
    <row r="50" spans="1:14" x14ac:dyDescent="0.25">
      <c r="A50" t="str">
        <f t="shared" si="2"/>
        <v>78662127866212</v>
      </c>
      <c r="B50" t="str">
        <f t="shared" si="3"/>
        <v>7866212GC574EVB-M</v>
      </c>
      <c r="C50" s="1" t="s">
        <v>32</v>
      </c>
      <c r="D50" s="1" t="s">
        <v>280</v>
      </c>
      <c r="E50" s="1" t="s">
        <v>385</v>
      </c>
      <c r="F50" s="1" t="s">
        <v>386</v>
      </c>
      <c r="G50" s="1" t="s">
        <v>387</v>
      </c>
      <c r="H50" s="1">
        <v>270</v>
      </c>
      <c r="I50" s="3">
        <v>46234</v>
      </c>
      <c r="J50" s="3">
        <v>46238</v>
      </c>
      <c r="K50" s="3" t="s">
        <v>2346</v>
      </c>
      <c r="L50" s="22">
        <v>46234.583304398147</v>
      </c>
      <c r="M50" s="20">
        <v>12</v>
      </c>
      <c r="N50" s="1">
        <v>4</v>
      </c>
    </row>
    <row r="51" spans="1:14" x14ac:dyDescent="0.25">
      <c r="A51" t="str">
        <f t="shared" si="2"/>
        <v>78662127866212</v>
      </c>
      <c r="B51" t="str">
        <f t="shared" si="3"/>
        <v>7866212GC574EVB-M</v>
      </c>
      <c r="C51" s="1" t="s">
        <v>32</v>
      </c>
      <c r="D51" s="1" t="s">
        <v>280</v>
      </c>
      <c r="E51" s="1" t="s">
        <v>385</v>
      </c>
      <c r="F51" s="1" t="s">
        <v>386</v>
      </c>
      <c r="G51" s="1" t="s">
        <v>387</v>
      </c>
      <c r="H51" s="1">
        <v>270</v>
      </c>
      <c r="I51" s="3">
        <v>46234</v>
      </c>
      <c r="J51" s="3">
        <v>46238</v>
      </c>
      <c r="K51" s="3" t="s">
        <v>2346</v>
      </c>
      <c r="L51" s="22">
        <v>46234.608271099532</v>
      </c>
      <c r="M51" s="20">
        <v>12</v>
      </c>
      <c r="N51" s="1">
        <v>11</v>
      </c>
    </row>
    <row r="52" spans="1:14" x14ac:dyDescent="0.25">
      <c r="A52" t="str">
        <f t="shared" si="2"/>
        <v>78662127866212</v>
      </c>
      <c r="B52" t="str">
        <f t="shared" si="3"/>
        <v>7866212GC574EVB-M</v>
      </c>
      <c r="C52" s="1" t="s">
        <v>32</v>
      </c>
      <c r="D52" s="1" t="s">
        <v>280</v>
      </c>
      <c r="E52" s="1" t="s">
        <v>385</v>
      </c>
      <c r="F52" s="1" t="s">
        <v>386</v>
      </c>
      <c r="G52" s="1" t="s">
        <v>387</v>
      </c>
      <c r="H52" s="1">
        <v>270</v>
      </c>
      <c r="I52" s="3">
        <v>46234</v>
      </c>
      <c r="J52" s="3">
        <v>46238</v>
      </c>
      <c r="K52" s="3" t="s">
        <v>2346</v>
      </c>
      <c r="L52" s="22">
        <v>46234.608450266205</v>
      </c>
      <c r="M52" s="20">
        <v>12</v>
      </c>
      <c r="N52" s="1">
        <v>15</v>
      </c>
    </row>
    <row r="53" spans="1:14" x14ac:dyDescent="0.25">
      <c r="A53" t="str">
        <f t="shared" si="2"/>
        <v>78662127866212</v>
      </c>
      <c r="B53" t="str">
        <f t="shared" si="3"/>
        <v>7866212GC574EVB-M</v>
      </c>
      <c r="C53" s="1" t="s">
        <v>32</v>
      </c>
      <c r="D53" s="1" t="s">
        <v>280</v>
      </c>
      <c r="E53" s="1" t="s">
        <v>385</v>
      </c>
      <c r="F53" s="1" t="s">
        <v>386</v>
      </c>
      <c r="G53" s="1" t="s">
        <v>387</v>
      </c>
      <c r="H53" s="1">
        <v>270</v>
      </c>
      <c r="I53" s="3">
        <v>46234</v>
      </c>
      <c r="J53" s="3">
        <v>46238</v>
      </c>
      <c r="K53" s="3" t="s">
        <v>2346</v>
      </c>
      <c r="L53" s="22">
        <v>46234.60860482639</v>
      </c>
      <c r="M53" s="20">
        <v>6</v>
      </c>
      <c r="N53" s="1">
        <v>24</v>
      </c>
    </row>
    <row r="54" spans="1:14" x14ac:dyDescent="0.25">
      <c r="A54" t="str">
        <f t="shared" si="2"/>
        <v>78662127866212</v>
      </c>
      <c r="B54" t="str">
        <f t="shared" si="3"/>
        <v>7866212GC574EVB-M</v>
      </c>
      <c r="C54" s="1" t="s">
        <v>32</v>
      </c>
      <c r="D54" s="1" t="s">
        <v>280</v>
      </c>
      <c r="E54" s="1" t="s">
        <v>385</v>
      </c>
      <c r="F54" s="1" t="s">
        <v>386</v>
      </c>
      <c r="G54" s="1" t="s">
        <v>387</v>
      </c>
      <c r="H54" s="1">
        <v>270</v>
      </c>
      <c r="I54" s="3">
        <v>46234</v>
      </c>
      <c r="J54" s="3">
        <v>46238</v>
      </c>
      <c r="K54" s="3" t="s">
        <v>2346</v>
      </c>
      <c r="L54" s="22">
        <v>46234.60880887731</v>
      </c>
      <c r="M54" s="20">
        <v>12</v>
      </c>
      <c r="N54" s="1">
        <v>9</v>
      </c>
    </row>
    <row r="55" spans="1:14" x14ac:dyDescent="0.25">
      <c r="A55" t="str">
        <f t="shared" si="2"/>
        <v>78662127866212</v>
      </c>
      <c r="B55" t="str">
        <f t="shared" si="3"/>
        <v>7866212GC574EVB-M</v>
      </c>
      <c r="C55" s="1" t="s">
        <v>32</v>
      </c>
      <c r="D55" s="1" t="s">
        <v>280</v>
      </c>
      <c r="E55" s="1" t="s">
        <v>385</v>
      </c>
      <c r="F55" s="1" t="s">
        <v>386</v>
      </c>
      <c r="G55" s="1" t="s">
        <v>387</v>
      </c>
      <c r="H55" s="1">
        <v>270</v>
      </c>
      <c r="I55" s="3">
        <v>46234</v>
      </c>
      <c r="J55" s="3">
        <v>46238</v>
      </c>
      <c r="K55" s="3" t="s">
        <v>2346</v>
      </c>
      <c r="L55" s="22">
        <v>46234.609023726851</v>
      </c>
      <c r="M55" s="20">
        <v>12</v>
      </c>
      <c r="N55" s="1">
        <v>21</v>
      </c>
    </row>
    <row r="56" spans="1:14" x14ac:dyDescent="0.25">
      <c r="A56" t="str">
        <f t="shared" si="2"/>
        <v>78662127866212</v>
      </c>
      <c r="B56" t="str">
        <f t="shared" si="3"/>
        <v>7866212GC574EVB-M</v>
      </c>
      <c r="C56" s="1" t="s">
        <v>32</v>
      </c>
      <c r="D56" s="1" t="s">
        <v>280</v>
      </c>
      <c r="E56" s="1" t="s">
        <v>385</v>
      </c>
      <c r="F56" s="1" t="s">
        <v>386</v>
      </c>
      <c r="G56" s="1" t="s">
        <v>387</v>
      </c>
      <c r="H56" s="1">
        <v>270</v>
      </c>
      <c r="I56" s="3">
        <v>46234</v>
      </c>
      <c r="J56" s="3">
        <v>46238</v>
      </c>
      <c r="K56" s="3" t="s">
        <v>2346</v>
      </c>
      <c r="L56" s="22">
        <v>46234.609461192129</v>
      </c>
      <c r="M56" s="20">
        <v>12</v>
      </c>
      <c r="N56" s="1">
        <v>20</v>
      </c>
    </row>
    <row r="57" spans="1:14" x14ac:dyDescent="0.25">
      <c r="A57" t="str">
        <f t="shared" si="2"/>
        <v>78662127866212</v>
      </c>
      <c r="B57" t="str">
        <f t="shared" si="3"/>
        <v>7866212GC574EVB-M</v>
      </c>
      <c r="C57" s="1" t="s">
        <v>32</v>
      </c>
      <c r="D57" s="1" t="s">
        <v>280</v>
      </c>
      <c r="E57" s="1" t="s">
        <v>385</v>
      </c>
      <c r="F57" s="1" t="s">
        <v>386</v>
      </c>
      <c r="G57" s="1" t="s">
        <v>387</v>
      </c>
      <c r="H57" s="1">
        <v>270</v>
      </c>
      <c r="I57" s="3">
        <v>46234</v>
      </c>
      <c r="J57" s="3">
        <v>46238</v>
      </c>
      <c r="K57" s="3" t="s">
        <v>2346</v>
      </c>
      <c r="L57" s="22">
        <v>46234.62755424768</v>
      </c>
      <c r="M57" s="20">
        <v>12</v>
      </c>
      <c r="N57" s="1">
        <v>3</v>
      </c>
    </row>
    <row r="58" spans="1:14" x14ac:dyDescent="0.25">
      <c r="A58" t="str">
        <f t="shared" si="2"/>
        <v>78662127866212</v>
      </c>
      <c r="B58" t="str">
        <f t="shared" si="3"/>
        <v>7866212GC574EVB-M</v>
      </c>
      <c r="C58" s="1" t="s">
        <v>32</v>
      </c>
      <c r="D58" s="1" t="s">
        <v>280</v>
      </c>
      <c r="E58" s="1" t="s">
        <v>385</v>
      </c>
      <c r="F58" s="1" t="s">
        <v>386</v>
      </c>
      <c r="G58" s="1" t="s">
        <v>387</v>
      </c>
      <c r="H58" s="1">
        <v>270</v>
      </c>
      <c r="I58" s="3">
        <v>46234</v>
      </c>
      <c r="J58" s="3">
        <v>46238</v>
      </c>
      <c r="K58" s="3" t="s">
        <v>2346</v>
      </c>
      <c r="L58" s="22">
        <v>46234.639870219908</v>
      </c>
      <c r="M58" s="20">
        <v>6</v>
      </c>
      <c r="N58" s="1">
        <v>23</v>
      </c>
    </row>
    <row r="59" spans="1:14" x14ac:dyDescent="0.25">
      <c r="A59" t="str">
        <f t="shared" si="2"/>
        <v>78662397866239</v>
      </c>
      <c r="B59" t="str">
        <f t="shared" si="3"/>
        <v>7866239GC574EVE-M</v>
      </c>
      <c r="C59" s="1" t="s">
        <v>35</v>
      </c>
      <c r="D59" s="1" t="s">
        <v>290</v>
      </c>
      <c r="E59" s="1" t="s">
        <v>385</v>
      </c>
      <c r="F59" s="1" t="s">
        <v>386</v>
      </c>
      <c r="G59" s="1" t="s">
        <v>387</v>
      </c>
      <c r="H59" s="1">
        <v>234</v>
      </c>
      <c r="I59" s="3">
        <v>46234</v>
      </c>
      <c r="J59" s="3">
        <v>46246</v>
      </c>
      <c r="K59" s="3" t="s">
        <v>2347</v>
      </c>
      <c r="L59" s="22">
        <v>46234.627713657406</v>
      </c>
      <c r="M59" s="20">
        <v>12</v>
      </c>
      <c r="N59" s="1">
        <v>16</v>
      </c>
    </row>
    <row r="60" spans="1:14" x14ac:dyDescent="0.25">
      <c r="A60" t="str">
        <f t="shared" si="2"/>
        <v>78662397866239</v>
      </c>
      <c r="B60" t="str">
        <f t="shared" si="3"/>
        <v>7866239GC574EVE-M</v>
      </c>
      <c r="C60" s="1" t="s">
        <v>35</v>
      </c>
      <c r="D60" s="1" t="s">
        <v>290</v>
      </c>
      <c r="E60" s="1" t="s">
        <v>385</v>
      </c>
      <c r="F60" s="1" t="s">
        <v>386</v>
      </c>
      <c r="G60" s="1" t="s">
        <v>387</v>
      </c>
      <c r="H60" s="1">
        <v>234</v>
      </c>
      <c r="I60" s="3">
        <v>46234</v>
      </c>
      <c r="J60" s="3">
        <v>46246</v>
      </c>
      <c r="K60" s="3" t="s">
        <v>2347</v>
      </c>
      <c r="L60" s="22">
        <v>46234.627953275463</v>
      </c>
      <c r="M60" s="20">
        <v>12</v>
      </c>
      <c r="N60" s="1">
        <v>11</v>
      </c>
    </row>
    <row r="61" spans="1:14" x14ac:dyDescent="0.25">
      <c r="A61" t="str">
        <f t="shared" si="2"/>
        <v>78662397866239</v>
      </c>
      <c r="B61" t="str">
        <f t="shared" si="3"/>
        <v>7866239GC574EVE-M</v>
      </c>
      <c r="C61" s="1" t="s">
        <v>35</v>
      </c>
      <c r="D61" s="1" t="s">
        <v>290</v>
      </c>
      <c r="E61" s="1" t="s">
        <v>385</v>
      </c>
      <c r="F61" s="1" t="s">
        <v>386</v>
      </c>
      <c r="G61" s="1" t="s">
        <v>387</v>
      </c>
      <c r="H61" s="1">
        <v>234</v>
      </c>
      <c r="I61" s="3">
        <v>46234</v>
      </c>
      <c r="J61" s="3">
        <v>46246</v>
      </c>
      <c r="K61" s="3" t="s">
        <v>2347</v>
      </c>
      <c r="L61" s="22">
        <v>46234.629019560183</v>
      </c>
      <c r="M61" s="20">
        <v>12</v>
      </c>
      <c r="N61" s="1">
        <v>4</v>
      </c>
    </row>
    <row r="62" spans="1:14" x14ac:dyDescent="0.25">
      <c r="A62" t="str">
        <f t="shared" si="2"/>
        <v>78662397866239</v>
      </c>
      <c r="B62" t="str">
        <f t="shared" si="3"/>
        <v>7866239GC574EVE-M</v>
      </c>
      <c r="C62" s="1" t="s">
        <v>35</v>
      </c>
      <c r="D62" s="1" t="s">
        <v>290</v>
      </c>
      <c r="E62" s="1" t="s">
        <v>385</v>
      </c>
      <c r="F62" s="1" t="s">
        <v>386</v>
      </c>
      <c r="G62" s="1" t="s">
        <v>387</v>
      </c>
      <c r="H62" s="1">
        <v>234</v>
      </c>
      <c r="I62" s="3">
        <v>46234</v>
      </c>
      <c r="J62" s="3">
        <v>46246</v>
      </c>
      <c r="K62" s="3" t="s">
        <v>2347</v>
      </c>
      <c r="L62" s="22">
        <v>46234.629552314815</v>
      </c>
      <c r="M62" s="20">
        <v>12</v>
      </c>
      <c r="N62" s="1">
        <v>6</v>
      </c>
    </row>
    <row r="63" spans="1:14" x14ac:dyDescent="0.25">
      <c r="A63" t="str">
        <f t="shared" si="2"/>
        <v>78662397866239</v>
      </c>
      <c r="B63" t="str">
        <f t="shared" si="3"/>
        <v>7866239GC574EVE-M</v>
      </c>
      <c r="C63" s="1" t="s">
        <v>35</v>
      </c>
      <c r="D63" s="1" t="s">
        <v>290</v>
      </c>
      <c r="E63" s="1" t="s">
        <v>385</v>
      </c>
      <c r="F63" s="1" t="s">
        <v>386</v>
      </c>
      <c r="G63" s="1" t="s">
        <v>387</v>
      </c>
      <c r="H63" s="1">
        <v>234</v>
      </c>
      <c r="I63" s="3">
        <v>46234</v>
      </c>
      <c r="J63" s="3">
        <v>46246</v>
      </c>
      <c r="K63" s="3" t="s">
        <v>2347</v>
      </c>
      <c r="L63" s="22">
        <v>46234.639991053242</v>
      </c>
      <c r="M63" s="20">
        <v>12</v>
      </c>
      <c r="N63" s="1">
        <v>2</v>
      </c>
    </row>
    <row r="64" spans="1:14" x14ac:dyDescent="0.25">
      <c r="A64" t="str">
        <f t="shared" si="2"/>
        <v>78662397866239</v>
      </c>
      <c r="B64" t="str">
        <f t="shared" si="3"/>
        <v>7866239GC574EVE-M</v>
      </c>
      <c r="C64" s="1" t="s">
        <v>35</v>
      </c>
      <c r="D64" s="1" t="s">
        <v>290</v>
      </c>
      <c r="E64" s="1" t="s">
        <v>385</v>
      </c>
      <c r="F64" s="1" t="s">
        <v>386</v>
      </c>
      <c r="G64" s="1" t="s">
        <v>387</v>
      </c>
      <c r="H64" s="1">
        <v>234</v>
      </c>
      <c r="I64" s="3">
        <v>46234</v>
      </c>
      <c r="J64" s="3">
        <v>46246</v>
      </c>
      <c r="K64" s="3" t="s">
        <v>2347</v>
      </c>
      <c r="L64" s="22">
        <v>46234.640464895834</v>
      </c>
      <c r="M64" s="20">
        <v>12</v>
      </c>
      <c r="N64" s="1">
        <v>13</v>
      </c>
    </row>
    <row r="65" spans="1:14" x14ac:dyDescent="0.25">
      <c r="A65" t="str">
        <f t="shared" si="2"/>
        <v>U141252U141252</v>
      </c>
      <c r="B65" t="str">
        <f t="shared" si="3"/>
        <v>U141252ML515NVY-4E</v>
      </c>
      <c r="C65" s="1" t="s">
        <v>72</v>
      </c>
      <c r="D65" s="1" t="s">
        <v>262</v>
      </c>
      <c r="E65" s="1" t="s">
        <v>436</v>
      </c>
      <c r="F65" s="1" t="s">
        <v>443</v>
      </c>
      <c r="G65" s="1" t="s">
        <v>457</v>
      </c>
      <c r="H65" s="1">
        <v>42</v>
      </c>
      <c r="I65" s="3">
        <v>46234</v>
      </c>
      <c r="J65" s="3">
        <v>46234</v>
      </c>
      <c r="K65" s="3" t="s">
        <v>2345</v>
      </c>
      <c r="L65" s="22">
        <v>46234.436975266202</v>
      </c>
      <c r="M65" s="20">
        <v>6</v>
      </c>
      <c r="N65" s="1">
        <v>112</v>
      </c>
    </row>
    <row r="66" spans="1:14" x14ac:dyDescent="0.25">
      <c r="A66" t="str">
        <f t="shared" ref="A66:A129" si="4">+D66&amp;D66</f>
        <v>U141252U141252</v>
      </c>
      <c r="B66" t="str">
        <f t="shared" ref="B66:B129" si="5">+D66&amp;C66</f>
        <v>U141252ML515NVY-4E</v>
      </c>
      <c r="C66" s="1" t="s">
        <v>72</v>
      </c>
      <c r="D66" s="1" t="s">
        <v>262</v>
      </c>
      <c r="E66" s="1" t="s">
        <v>436</v>
      </c>
      <c r="F66" s="1" t="s">
        <v>443</v>
      </c>
      <c r="G66" s="1" t="s">
        <v>457</v>
      </c>
      <c r="H66" s="1">
        <v>42</v>
      </c>
      <c r="I66" s="3">
        <v>46234</v>
      </c>
      <c r="J66" s="3">
        <v>46234</v>
      </c>
      <c r="K66" s="3" t="s">
        <v>2345</v>
      </c>
      <c r="L66" s="22">
        <v>46234.45469100694</v>
      </c>
      <c r="M66" s="20">
        <v>6</v>
      </c>
      <c r="N66" s="1">
        <v>114</v>
      </c>
    </row>
    <row r="67" spans="1:14" x14ac:dyDescent="0.25">
      <c r="A67" t="str">
        <f t="shared" si="4"/>
        <v>U141252U141252</v>
      </c>
      <c r="B67" t="str">
        <f t="shared" si="5"/>
        <v>U141252ML515NVY-4E</v>
      </c>
      <c r="C67" s="1" t="s">
        <v>72</v>
      </c>
      <c r="D67" s="1" t="s">
        <v>262</v>
      </c>
      <c r="E67" s="1" t="s">
        <v>436</v>
      </c>
      <c r="F67" s="1" t="s">
        <v>443</v>
      </c>
      <c r="G67" s="1" t="s">
        <v>457</v>
      </c>
      <c r="H67" s="1">
        <v>42</v>
      </c>
      <c r="I67" s="3">
        <v>46234</v>
      </c>
      <c r="J67" s="3">
        <v>46234</v>
      </c>
      <c r="K67" s="3" t="s">
        <v>2345</v>
      </c>
      <c r="L67" s="22">
        <v>46234.455396493053</v>
      </c>
      <c r="M67" s="20">
        <v>6</v>
      </c>
      <c r="N67" s="1">
        <v>113</v>
      </c>
    </row>
    <row r="68" spans="1:14" x14ac:dyDescent="0.25">
      <c r="A68" t="str">
        <f t="shared" si="4"/>
        <v>U141252U141252</v>
      </c>
      <c r="B68" t="str">
        <f t="shared" si="5"/>
        <v>U141252ML515NVY-4E</v>
      </c>
      <c r="C68" s="1" t="s">
        <v>72</v>
      </c>
      <c r="D68" s="1" t="s">
        <v>262</v>
      </c>
      <c r="E68" s="1" t="s">
        <v>436</v>
      </c>
      <c r="F68" s="1" t="s">
        <v>443</v>
      </c>
      <c r="G68" s="1" t="s">
        <v>457</v>
      </c>
      <c r="H68" s="1">
        <v>42</v>
      </c>
      <c r="I68" s="3">
        <v>46234</v>
      </c>
      <c r="J68" s="3">
        <v>46234</v>
      </c>
      <c r="K68" s="3" t="s">
        <v>2345</v>
      </c>
      <c r="L68" s="22">
        <v>46234.471172835649</v>
      </c>
      <c r="M68" s="20">
        <v>12</v>
      </c>
      <c r="N68" s="1">
        <v>110</v>
      </c>
    </row>
    <row r="69" spans="1:14" x14ac:dyDescent="0.25">
      <c r="A69" t="str">
        <f t="shared" si="4"/>
        <v>U141252U141252</v>
      </c>
      <c r="B69" t="str">
        <f t="shared" si="5"/>
        <v>U141252ML515NVY-4E</v>
      </c>
      <c r="C69" s="1" t="s">
        <v>72</v>
      </c>
      <c r="D69" s="1" t="s">
        <v>262</v>
      </c>
      <c r="E69" s="1" t="s">
        <v>436</v>
      </c>
      <c r="F69" s="1" t="s">
        <v>443</v>
      </c>
      <c r="G69" s="1" t="s">
        <v>457</v>
      </c>
      <c r="H69" s="1">
        <v>42</v>
      </c>
      <c r="I69" s="3">
        <v>46234</v>
      </c>
      <c r="J69" s="3">
        <v>46234</v>
      </c>
      <c r="K69" s="3" t="s">
        <v>2345</v>
      </c>
      <c r="L69" s="22">
        <v>46234.471775150458</v>
      </c>
      <c r="M69" s="20">
        <v>12</v>
      </c>
      <c r="N69" s="1">
        <v>111</v>
      </c>
    </row>
    <row r="70" spans="1:14" x14ac:dyDescent="0.25">
      <c r="A70" t="str">
        <f t="shared" si="4"/>
        <v>78661897866189</v>
      </c>
      <c r="B70" t="str">
        <f t="shared" si="5"/>
        <v>7866189GC574EVK-M</v>
      </c>
      <c r="C70" s="1" t="s">
        <v>33</v>
      </c>
      <c r="D70" s="1" t="s">
        <v>299</v>
      </c>
      <c r="E70" s="1" t="s">
        <v>385</v>
      </c>
      <c r="F70" s="1" t="s">
        <v>386</v>
      </c>
      <c r="G70" s="1" t="s">
        <v>387</v>
      </c>
      <c r="H70" s="1">
        <v>360</v>
      </c>
      <c r="I70" s="3">
        <v>46237</v>
      </c>
      <c r="J70" s="3">
        <v>46253</v>
      </c>
      <c r="K70" s="3" t="s">
        <v>2349</v>
      </c>
      <c r="L70" s="22">
        <v>46237.361855092589</v>
      </c>
      <c r="M70" s="20">
        <v>12</v>
      </c>
      <c r="N70" s="1">
        <v>25</v>
      </c>
    </row>
    <row r="71" spans="1:14" x14ac:dyDescent="0.25">
      <c r="A71" t="str">
        <f t="shared" si="4"/>
        <v>78661897866189</v>
      </c>
      <c r="B71" t="str">
        <f t="shared" si="5"/>
        <v>7866189GC574EVK-M</v>
      </c>
      <c r="C71" s="1" t="s">
        <v>33</v>
      </c>
      <c r="D71" s="1" t="s">
        <v>299</v>
      </c>
      <c r="E71" s="1" t="s">
        <v>385</v>
      </c>
      <c r="F71" s="1" t="s">
        <v>386</v>
      </c>
      <c r="G71" s="1" t="s">
        <v>387</v>
      </c>
      <c r="H71" s="1">
        <v>360</v>
      </c>
      <c r="I71" s="3">
        <v>46237</v>
      </c>
      <c r="J71" s="3">
        <v>46253</v>
      </c>
      <c r="K71" s="3" t="s">
        <v>2349</v>
      </c>
      <c r="L71" s="22">
        <v>46237.363293599534</v>
      </c>
      <c r="M71" s="20">
        <v>12</v>
      </c>
      <c r="N71" s="1">
        <v>4</v>
      </c>
    </row>
    <row r="72" spans="1:14" x14ac:dyDescent="0.25">
      <c r="A72" t="str">
        <f t="shared" si="4"/>
        <v>78661897866189</v>
      </c>
      <c r="B72" t="str">
        <f t="shared" si="5"/>
        <v>7866189GC574EVK-M</v>
      </c>
      <c r="C72" s="1" t="s">
        <v>33</v>
      </c>
      <c r="D72" s="1" t="s">
        <v>299</v>
      </c>
      <c r="E72" s="1" t="s">
        <v>385</v>
      </c>
      <c r="F72" s="1" t="s">
        <v>386</v>
      </c>
      <c r="G72" s="1" t="s">
        <v>387</v>
      </c>
      <c r="H72" s="1">
        <v>360</v>
      </c>
      <c r="I72" s="3">
        <v>46237</v>
      </c>
      <c r="J72" s="3">
        <v>46253</v>
      </c>
      <c r="K72" s="3" t="s">
        <v>2349</v>
      </c>
      <c r="L72" s="22">
        <v>46237.364409224538</v>
      </c>
      <c r="M72" s="20">
        <v>12</v>
      </c>
      <c r="N72" s="1">
        <v>16</v>
      </c>
    </row>
    <row r="73" spans="1:14" x14ac:dyDescent="0.25">
      <c r="A73" t="str">
        <f t="shared" si="4"/>
        <v>78661897866189</v>
      </c>
      <c r="B73" t="str">
        <f t="shared" si="5"/>
        <v>7866189GC574EVK-M</v>
      </c>
      <c r="C73" s="1" t="s">
        <v>33</v>
      </c>
      <c r="D73" s="1" t="s">
        <v>299</v>
      </c>
      <c r="E73" s="1" t="s">
        <v>385</v>
      </c>
      <c r="F73" s="1" t="s">
        <v>386</v>
      </c>
      <c r="G73" s="1" t="s">
        <v>387</v>
      </c>
      <c r="H73" s="1">
        <v>360</v>
      </c>
      <c r="I73" s="3">
        <v>46237</v>
      </c>
      <c r="J73" s="3">
        <v>46253</v>
      </c>
      <c r="K73" s="3" t="s">
        <v>2349</v>
      </c>
      <c r="L73" s="22">
        <v>46237.379290972218</v>
      </c>
      <c r="M73" s="20">
        <v>12</v>
      </c>
      <c r="N73" s="1">
        <v>2</v>
      </c>
    </row>
    <row r="74" spans="1:14" x14ac:dyDescent="0.25">
      <c r="A74" t="str">
        <f t="shared" si="4"/>
        <v>78661897866189</v>
      </c>
      <c r="B74" t="str">
        <f t="shared" si="5"/>
        <v>7866189GC574EVK-M</v>
      </c>
      <c r="C74" s="1" t="s">
        <v>33</v>
      </c>
      <c r="D74" s="1" t="s">
        <v>299</v>
      </c>
      <c r="E74" s="1" t="s">
        <v>385</v>
      </c>
      <c r="F74" s="1" t="s">
        <v>386</v>
      </c>
      <c r="G74" s="1" t="s">
        <v>387</v>
      </c>
      <c r="H74" s="1">
        <v>360</v>
      </c>
      <c r="I74" s="3">
        <v>46237</v>
      </c>
      <c r="J74" s="3">
        <v>46253</v>
      </c>
      <c r="K74" s="3" t="s">
        <v>2349</v>
      </c>
      <c r="L74" s="22">
        <v>46237.381287731478</v>
      </c>
      <c r="M74" s="20">
        <v>12</v>
      </c>
      <c r="N74" s="1">
        <v>9</v>
      </c>
    </row>
    <row r="75" spans="1:14" x14ac:dyDescent="0.25">
      <c r="A75" t="str">
        <f t="shared" si="4"/>
        <v>78661897866189</v>
      </c>
      <c r="B75" t="str">
        <f t="shared" si="5"/>
        <v>7866189GC574EVK-M</v>
      </c>
      <c r="C75" s="1" t="s">
        <v>33</v>
      </c>
      <c r="D75" s="1" t="s">
        <v>299</v>
      </c>
      <c r="E75" s="1" t="s">
        <v>385</v>
      </c>
      <c r="F75" s="1" t="s">
        <v>386</v>
      </c>
      <c r="G75" s="1" t="s">
        <v>387</v>
      </c>
      <c r="H75" s="1">
        <v>360</v>
      </c>
      <c r="I75" s="3">
        <v>46237</v>
      </c>
      <c r="J75" s="3">
        <v>46253</v>
      </c>
      <c r="K75" s="3" t="s">
        <v>2349</v>
      </c>
      <c r="L75" s="22">
        <v>46237.390767048608</v>
      </c>
      <c r="M75" s="20">
        <v>12</v>
      </c>
      <c r="N75" s="1">
        <v>6</v>
      </c>
    </row>
    <row r="76" spans="1:14" x14ac:dyDescent="0.25">
      <c r="A76" t="str">
        <f t="shared" si="4"/>
        <v>78661897866189</v>
      </c>
      <c r="B76" t="str">
        <f t="shared" si="5"/>
        <v>7866189GC574EVK-M</v>
      </c>
      <c r="C76" s="1" t="s">
        <v>33</v>
      </c>
      <c r="D76" s="1" t="s">
        <v>299</v>
      </c>
      <c r="E76" s="1" t="s">
        <v>385</v>
      </c>
      <c r="F76" s="1" t="s">
        <v>386</v>
      </c>
      <c r="G76" s="1" t="s">
        <v>387</v>
      </c>
      <c r="H76" s="1">
        <v>360</v>
      </c>
      <c r="I76" s="3">
        <v>46237</v>
      </c>
      <c r="J76" s="3">
        <v>46253</v>
      </c>
      <c r="K76" s="3" t="s">
        <v>2349</v>
      </c>
      <c r="L76" s="22">
        <v>46237.39116230324</v>
      </c>
      <c r="M76" s="20">
        <v>12</v>
      </c>
      <c r="N76" s="1">
        <v>15</v>
      </c>
    </row>
    <row r="77" spans="1:14" x14ac:dyDescent="0.25">
      <c r="A77" t="str">
        <f t="shared" si="4"/>
        <v>78661897866189</v>
      </c>
      <c r="B77" t="str">
        <f t="shared" si="5"/>
        <v>7866189GC574EVK-M</v>
      </c>
      <c r="C77" s="1" t="s">
        <v>33</v>
      </c>
      <c r="D77" s="1" t="s">
        <v>299</v>
      </c>
      <c r="E77" s="1" t="s">
        <v>385</v>
      </c>
      <c r="F77" s="1" t="s">
        <v>386</v>
      </c>
      <c r="G77" s="1" t="s">
        <v>387</v>
      </c>
      <c r="H77" s="1">
        <v>360</v>
      </c>
      <c r="I77" s="3">
        <v>46237</v>
      </c>
      <c r="J77" s="3">
        <v>46253</v>
      </c>
      <c r="K77" s="3" t="s">
        <v>2349</v>
      </c>
      <c r="L77" s="22">
        <v>46237.391470023147</v>
      </c>
      <c r="M77" s="20">
        <v>12</v>
      </c>
      <c r="N77" s="1">
        <v>10</v>
      </c>
    </row>
    <row r="78" spans="1:14" x14ac:dyDescent="0.25">
      <c r="A78" t="str">
        <f t="shared" si="4"/>
        <v>78661897866189</v>
      </c>
      <c r="B78" t="str">
        <f t="shared" si="5"/>
        <v>7866189GC574EVK-M</v>
      </c>
      <c r="C78" s="1" t="s">
        <v>33</v>
      </c>
      <c r="D78" s="1" t="s">
        <v>299</v>
      </c>
      <c r="E78" s="1" t="s">
        <v>385</v>
      </c>
      <c r="F78" s="1" t="s">
        <v>386</v>
      </c>
      <c r="G78" s="1" t="s">
        <v>387</v>
      </c>
      <c r="H78" s="1">
        <v>360</v>
      </c>
      <c r="I78" s="3">
        <v>46237</v>
      </c>
      <c r="J78" s="3">
        <v>46253</v>
      </c>
      <c r="K78" s="3" t="s">
        <v>2349</v>
      </c>
      <c r="L78" s="22">
        <v>46237.391723229164</v>
      </c>
      <c r="M78" s="20">
        <v>12</v>
      </c>
      <c r="N78" s="1">
        <v>20</v>
      </c>
    </row>
    <row r="79" spans="1:14" x14ac:dyDescent="0.25">
      <c r="A79" t="str">
        <f t="shared" si="4"/>
        <v>78661897866189</v>
      </c>
      <c r="B79" t="str">
        <f t="shared" si="5"/>
        <v>7866189GC574EVK-M</v>
      </c>
      <c r="C79" s="1" t="s">
        <v>33</v>
      </c>
      <c r="D79" s="1" t="s">
        <v>299</v>
      </c>
      <c r="E79" s="1" t="s">
        <v>385</v>
      </c>
      <c r="F79" s="1" t="s">
        <v>386</v>
      </c>
      <c r="G79" s="1" t="s">
        <v>387</v>
      </c>
      <c r="H79" s="1">
        <v>360</v>
      </c>
      <c r="I79" s="3">
        <v>46237</v>
      </c>
      <c r="J79" s="3">
        <v>46253</v>
      </c>
      <c r="K79" s="3" t="s">
        <v>2349</v>
      </c>
      <c r="L79" s="22">
        <v>46237.392004513888</v>
      </c>
      <c r="M79" s="20">
        <v>12</v>
      </c>
      <c r="N79" s="1">
        <v>19</v>
      </c>
    </row>
    <row r="80" spans="1:14" x14ac:dyDescent="0.25">
      <c r="A80" t="str">
        <f t="shared" si="4"/>
        <v>78661897866189</v>
      </c>
      <c r="B80" t="str">
        <f t="shared" si="5"/>
        <v>7866189GC574EVK-M</v>
      </c>
      <c r="C80" s="1" t="s">
        <v>33</v>
      </c>
      <c r="D80" s="1" t="s">
        <v>299</v>
      </c>
      <c r="E80" s="1" t="s">
        <v>385</v>
      </c>
      <c r="F80" s="1" t="s">
        <v>386</v>
      </c>
      <c r="G80" s="1" t="s">
        <v>387</v>
      </c>
      <c r="H80" s="1">
        <v>360</v>
      </c>
      <c r="I80" s="3">
        <v>46237</v>
      </c>
      <c r="J80" s="3">
        <v>46253</v>
      </c>
      <c r="K80" s="3" t="s">
        <v>2349</v>
      </c>
      <c r="L80" s="22">
        <v>46237.392381134254</v>
      </c>
      <c r="M80" s="20">
        <v>12</v>
      </c>
      <c r="N80" s="1">
        <v>11</v>
      </c>
    </row>
    <row r="81" spans="1:14" x14ac:dyDescent="0.25">
      <c r="A81" t="str">
        <f t="shared" si="4"/>
        <v>78661897866189</v>
      </c>
      <c r="B81" t="str">
        <f t="shared" si="5"/>
        <v>7866189GC574EVK-M</v>
      </c>
      <c r="C81" s="1" t="s">
        <v>33</v>
      </c>
      <c r="D81" s="1" t="s">
        <v>299</v>
      </c>
      <c r="E81" s="1" t="s">
        <v>385</v>
      </c>
      <c r="F81" s="1" t="s">
        <v>386</v>
      </c>
      <c r="G81" s="1" t="s">
        <v>387</v>
      </c>
      <c r="H81" s="1">
        <v>360</v>
      </c>
      <c r="I81" s="3">
        <v>46237</v>
      </c>
      <c r="J81" s="3">
        <v>46253</v>
      </c>
      <c r="K81" s="3" t="s">
        <v>2349</v>
      </c>
      <c r="L81" s="22">
        <v>46237.399082719909</v>
      </c>
      <c r="M81" s="20">
        <v>12</v>
      </c>
      <c r="N81" s="1">
        <v>18</v>
      </c>
    </row>
    <row r="82" spans="1:14" x14ac:dyDescent="0.25">
      <c r="A82" t="str">
        <f t="shared" si="4"/>
        <v>78661897866189</v>
      </c>
      <c r="B82" t="str">
        <f t="shared" si="5"/>
        <v>7866189GC574EVK-M</v>
      </c>
      <c r="C82" s="1" t="s">
        <v>33</v>
      </c>
      <c r="D82" s="1" t="s">
        <v>299</v>
      </c>
      <c r="E82" s="1" t="s">
        <v>385</v>
      </c>
      <c r="F82" s="1" t="s">
        <v>386</v>
      </c>
      <c r="G82" s="1" t="s">
        <v>387</v>
      </c>
      <c r="H82" s="1">
        <v>360</v>
      </c>
      <c r="I82" s="3">
        <v>46237</v>
      </c>
      <c r="J82" s="3">
        <v>46253</v>
      </c>
      <c r="K82" s="3" t="s">
        <v>2349</v>
      </c>
      <c r="L82" s="22">
        <v>46237.399452083329</v>
      </c>
      <c r="M82" s="20">
        <v>12</v>
      </c>
      <c r="N82" s="1">
        <v>3</v>
      </c>
    </row>
    <row r="83" spans="1:14" x14ac:dyDescent="0.25">
      <c r="A83" t="str">
        <f t="shared" si="4"/>
        <v>78661897866189</v>
      </c>
      <c r="B83" t="str">
        <f t="shared" si="5"/>
        <v>7866189GC574EVK-M</v>
      </c>
      <c r="C83" s="1" t="s">
        <v>33</v>
      </c>
      <c r="D83" s="1" t="s">
        <v>299</v>
      </c>
      <c r="E83" s="1" t="s">
        <v>385</v>
      </c>
      <c r="F83" s="1" t="s">
        <v>386</v>
      </c>
      <c r="G83" s="1" t="s">
        <v>387</v>
      </c>
      <c r="H83" s="1">
        <v>360</v>
      </c>
      <c r="I83" s="3">
        <v>46237</v>
      </c>
      <c r="J83" s="3">
        <v>46253</v>
      </c>
      <c r="K83" s="3" t="s">
        <v>2349</v>
      </c>
      <c r="L83" s="22">
        <v>46237.400629780088</v>
      </c>
      <c r="M83" s="20">
        <v>12</v>
      </c>
      <c r="N83" s="1">
        <v>26</v>
      </c>
    </row>
    <row r="84" spans="1:14" x14ac:dyDescent="0.25">
      <c r="A84" t="str">
        <f t="shared" si="4"/>
        <v>78661897866189</v>
      </c>
      <c r="B84" t="str">
        <f t="shared" si="5"/>
        <v>7866189GC574EVK-M</v>
      </c>
      <c r="C84" s="1" t="s">
        <v>33</v>
      </c>
      <c r="D84" s="1" t="s">
        <v>299</v>
      </c>
      <c r="E84" s="1" t="s">
        <v>385</v>
      </c>
      <c r="F84" s="1" t="s">
        <v>386</v>
      </c>
      <c r="G84" s="1" t="s">
        <v>387</v>
      </c>
      <c r="H84" s="1">
        <v>360</v>
      </c>
      <c r="I84" s="3">
        <v>46237</v>
      </c>
      <c r="J84" s="3">
        <v>46253</v>
      </c>
      <c r="K84" s="3" t="s">
        <v>2349</v>
      </c>
      <c r="L84" s="22">
        <v>46237.404907060183</v>
      </c>
      <c r="M84" s="20">
        <v>12</v>
      </c>
      <c r="N84" s="1">
        <v>12</v>
      </c>
    </row>
    <row r="85" spans="1:14" x14ac:dyDescent="0.25">
      <c r="A85" t="str">
        <f t="shared" si="4"/>
        <v>78661897866189</v>
      </c>
      <c r="B85" t="str">
        <f t="shared" si="5"/>
        <v>7866189GC574EVK-M</v>
      </c>
      <c r="C85" s="1" t="s">
        <v>33</v>
      </c>
      <c r="D85" s="1" t="s">
        <v>299</v>
      </c>
      <c r="E85" s="1" t="s">
        <v>385</v>
      </c>
      <c r="F85" s="1" t="s">
        <v>386</v>
      </c>
      <c r="G85" s="1" t="s">
        <v>387</v>
      </c>
      <c r="H85" s="1">
        <v>360</v>
      </c>
      <c r="I85" s="3">
        <v>46237</v>
      </c>
      <c r="J85" s="3">
        <v>46253</v>
      </c>
      <c r="K85" s="3" t="s">
        <v>2349</v>
      </c>
      <c r="L85" s="22">
        <v>46237.40513298611</v>
      </c>
      <c r="M85" s="20">
        <v>12</v>
      </c>
      <c r="N85" s="1">
        <v>17</v>
      </c>
    </row>
    <row r="86" spans="1:14" x14ac:dyDescent="0.25">
      <c r="A86" t="str">
        <f t="shared" si="4"/>
        <v>78661897866189</v>
      </c>
      <c r="B86" t="str">
        <f t="shared" si="5"/>
        <v>7866189GC574EVK-M</v>
      </c>
      <c r="C86" s="1" t="s">
        <v>33</v>
      </c>
      <c r="D86" s="1" t="s">
        <v>299</v>
      </c>
      <c r="E86" s="1" t="s">
        <v>385</v>
      </c>
      <c r="F86" s="1" t="s">
        <v>386</v>
      </c>
      <c r="G86" s="1" t="s">
        <v>387</v>
      </c>
      <c r="H86" s="1">
        <v>360</v>
      </c>
      <c r="I86" s="3">
        <v>46237</v>
      </c>
      <c r="J86" s="3">
        <v>46253</v>
      </c>
      <c r="K86" s="3" t="s">
        <v>2349</v>
      </c>
      <c r="L86" s="22">
        <v>46237.405387118051</v>
      </c>
      <c r="M86" s="20">
        <v>12</v>
      </c>
      <c r="N86" s="1">
        <v>27</v>
      </c>
    </row>
    <row r="87" spans="1:14" x14ac:dyDescent="0.25">
      <c r="A87" t="str">
        <f t="shared" si="4"/>
        <v>78661897866189</v>
      </c>
      <c r="B87" t="str">
        <f t="shared" si="5"/>
        <v>7866189GC574EVK-M</v>
      </c>
      <c r="C87" s="1" t="s">
        <v>33</v>
      </c>
      <c r="D87" s="1" t="s">
        <v>299</v>
      </c>
      <c r="E87" s="1" t="s">
        <v>385</v>
      </c>
      <c r="F87" s="1" t="s">
        <v>386</v>
      </c>
      <c r="G87" s="1" t="s">
        <v>387</v>
      </c>
      <c r="H87" s="1">
        <v>360</v>
      </c>
      <c r="I87" s="3">
        <v>46237</v>
      </c>
      <c r="J87" s="3">
        <v>46253</v>
      </c>
      <c r="K87" s="3" t="s">
        <v>2349</v>
      </c>
      <c r="L87" s="22">
        <v>46237.416380358794</v>
      </c>
      <c r="M87" s="20">
        <v>12</v>
      </c>
      <c r="N87" s="1">
        <v>21</v>
      </c>
    </row>
    <row r="88" spans="1:14" x14ac:dyDescent="0.25">
      <c r="A88" t="str">
        <f t="shared" si="4"/>
        <v>78661897866189</v>
      </c>
      <c r="B88" t="str">
        <f t="shared" si="5"/>
        <v>7866189GC574EVK-M</v>
      </c>
      <c r="C88" s="1" t="s">
        <v>33</v>
      </c>
      <c r="D88" s="1" t="s">
        <v>299</v>
      </c>
      <c r="E88" s="1" t="s">
        <v>385</v>
      </c>
      <c r="F88" s="1" t="s">
        <v>386</v>
      </c>
      <c r="G88" s="1" t="s">
        <v>387</v>
      </c>
      <c r="H88" s="1">
        <v>360</v>
      </c>
      <c r="I88" s="3">
        <v>46237</v>
      </c>
      <c r="J88" s="3">
        <v>46253</v>
      </c>
      <c r="K88" s="3" t="s">
        <v>2349</v>
      </c>
      <c r="L88" s="22">
        <v>46237.41661015046</v>
      </c>
      <c r="M88" s="20">
        <v>6</v>
      </c>
      <c r="N88" s="1">
        <v>30</v>
      </c>
    </row>
    <row r="89" spans="1:14" x14ac:dyDescent="0.25">
      <c r="A89" t="str">
        <f t="shared" si="4"/>
        <v>78661897866189</v>
      </c>
      <c r="B89" t="str">
        <f t="shared" si="5"/>
        <v>7866189GC574EVK-M</v>
      </c>
      <c r="C89" s="1" t="s">
        <v>33</v>
      </c>
      <c r="D89" s="1" t="s">
        <v>299</v>
      </c>
      <c r="E89" s="1" t="s">
        <v>385</v>
      </c>
      <c r="F89" s="1" t="s">
        <v>386</v>
      </c>
      <c r="G89" s="1" t="s">
        <v>387</v>
      </c>
      <c r="H89" s="1">
        <v>360</v>
      </c>
      <c r="I89" s="3">
        <v>46237</v>
      </c>
      <c r="J89" s="3">
        <v>46253</v>
      </c>
      <c r="K89" s="3" t="s">
        <v>2349</v>
      </c>
      <c r="L89" s="22">
        <v>46237.416817939811</v>
      </c>
      <c r="M89" s="20">
        <v>12</v>
      </c>
      <c r="N89" s="1">
        <v>5</v>
      </c>
    </row>
    <row r="90" spans="1:14" x14ac:dyDescent="0.25">
      <c r="A90" t="str">
        <f t="shared" si="4"/>
        <v>78661897866189</v>
      </c>
      <c r="B90" t="str">
        <f t="shared" si="5"/>
        <v>7866189GC574EVK-M</v>
      </c>
      <c r="C90" s="1" t="s">
        <v>33</v>
      </c>
      <c r="D90" s="1" t="s">
        <v>299</v>
      </c>
      <c r="E90" s="1" t="s">
        <v>385</v>
      </c>
      <c r="F90" s="1" t="s">
        <v>386</v>
      </c>
      <c r="G90" s="1" t="s">
        <v>387</v>
      </c>
      <c r="H90" s="1">
        <v>360</v>
      </c>
      <c r="I90" s="3">
        <v>46237</v>
      </c>
      <c r="J90" s="3">
        <v>46253</v>
      </c>
      <c r="K90" s="3" t="s">
        <v>2349</v>
      </c>
      <c r="L90" s="22">
        <v>46237.419637303239</v>
      </c>
      <c r="M90" s="20">
        <v>12</v>
      </c>
      <c r="N90" s="1">
        <v>23</v>
      </c>
    </row>
    <row r="91" spans="1:14" x14ac:dyDescent="0.25">
      <c r="A91" t="str">
        <f t="shared" si="4"/>
        <v>78661897866189</v>
      </c>
      <c r="B91" t="str">
        <f t="shared" si="5"/>
        <v>7866189GC574EVK-M</v>
      </c>
      <c r="C91" s="1" t="s">
        <v>33</v>
      </c>
      <c r="D91" s="1" t="s">
        <v>299</v>
      </c>
      <c r="E91" s="1" t="s">
        <v>385</v>
      </c>
      <c r="F91" s="1" t="s">
        <v>386</v>
      </c>
      <c r="G91" s="1" t="s">
        <v>387</v>
      </c>
      <c r="H91" s="1">
        <v>360</v>
      </c>
      <c r="I91" s="3">
        <v>46237</v>
      </c>
      <c r="J91" s="3">
        <v>46253</v>
      </c>
      <c r="K91" s="3" t="s">
        <v>2349</v>
      </c>
      <c r="L91" s="22">
        <v>46237.428248067125</v>
      </c>
      <c r="M91" s="20">
        <v>12</v>
      </c>
      <c r="N91" s="1">
        <v>28</v>
      </c>
    </row>
    <row r="92" spans="1:14" x14ac:dyDescent="0.25">
      <c r="A92" t="str">
        <f t="shared" si="4"/>
        <v>78661897866189</v>
      </c>
      <c r="B92" t="str">
        <f t="shared" si="5"/>
        <v>7866189GC574EVK-M</v>
      </c>
      <c r="C92" s="1" t="s">
        <v>33</v>
      </c>
      <c r="D92" s="1" t="s">
        <v>299</v>
      </c>
      <c r="E92" s="1" t="s">
        <v>385</v>
      </c>
      <c r="F92" s="1" t="s">
        <v>386</v>
      </c>
      <c r="G92" s="1" t="s">
        <v>387</v>
      </c>
      <c r="H92" s="1">
        <v>360</v>
      </c>
      <c r="I92" s="3">
        <v>46237</v>
      </c>
      <c r="J92" s="3">
        <v>46253</v>
      </c>
      <c r="K92" s="3" t="s">
        <v>2349</v>
      </c>
      <c r="L92" s="22">
        <v>46237.44366863426</v>
      </c>
      <c r="M92" s="20">
        <v>12</v>
      </c>
      <c r="N92" s="1">
        <v>22</v>
      </c>
    </row>
    <row r="93" spans="1:14" x14ac:dyDescent="0.25">
      <c r="A93" t="str">
        <f t="shared" si="4"/>
        <v>78661897866189</v>
      </c>
      <c r="B93" t="str">
        <f t="shared" si="5"/>
        <v>7866189GC574EVK-M</v>
      </c>
      <c r="C93" s="1" t="s">
        <v>33</v>
      </c>
      <c r="D93" s="1" t="s">
        <v>299</v>
      </c>
      <c r="E93" s="1" t="s">
        <v>385</v>
      </c>
      <c r="F93" s="1" t="s">
        <v>386</v>
      </c>
      <c r="G93" s="1" t="s">
        <v>387</v>
      </c>
      <c r="H93" s="1">
        <v>360</v>
      </c>
      <c r="I93" s="3">
        <v>46237</v>
      </c>
      <c r="J93" s="3">
        <v>46253</v>
      </c>
      <c r="K93" s="3" t="s">
        <v>2349</v>
      </c>
      <c r="L93" s="22">
        <v>46237.450804282409</v>
      </c>
      <c r="M93" s="20">
        <v>12</v>
      </c>
      <c r="N93" s="1">
        <v>7</v>
      </c>
    </row>
    <row r="94" spans="1:14" x14ac:dyDescent="0.25">
      <c r="A94" t="str">
        <f t="shared" si="4"/>
        <v>78661897866189</v>
      </c>
      <c r="B94" t="str">
        <f t="shared" si="5"/>
        <v>7866189GC574EVK-M</v>
      </c>
      <c r="C94" s="1" t="s">
        <v>33</v>
      </c>
      <c r="D94" s="1" t="s">
        <v>299</v>
      </c>
      <c r="E94" s="1" t="s">
        <v>385</v>
      </c>
      <c r="F94" s="1" t="s">
        <v>386</v>
      </c>
      <c r="G94" s="1" t="s">
        <v>387</v>
      </c>
      <c r="H94" s="1">
        <v>360</v>
      </c>
      <c r="I94" s="3">
        <v>46237</v>
      </c>
      <c r="J94" s="3">
        <v>46253</v>
      </c>
      <c r="K94" s="3" t="s">
        <v>2349</v>
      </c>
      <c r="L94" s="22">
        <v>46237.451282291666</v>
      </c>
      <c r="M94" s="20">
        <v>12</v>
      </c>
      <c r="N94" s="1">
        <v>29</v>
      </c>
    </row>
    <row r="95" spans="1:14" x14ac:dyDescent="0.25">
      <c r="A95" t="str">
        <f t="shared" si="4"/>
        <v>78661897866189</v>
      </c>
      <c r="B95" t="str">
        <f t="shared" si="5"/>
        <v>7866189GC574EVK-M</v>
      </c>
      <c r="C95" s="1" t="s">
        <v>33</v>
      </c>
      <c r="D95" s="1" t="s">
        <v>299</v>
      </c>
      <c r="E95" s="1" t="s">
        <v>385</v>
      </c>
      <c r="F95" s="1" t="s">
        <v>386</v>
      </c>
      <c r="G95" s="1" t="s">
        <v>387</v>
      </c>
      <c r="H95" s="1">
        <v>360</v>
      </c>
      <c r="I95" s="3">
        <v>46237</v>
      </c>
      <c r="J95" s="3">
        <v>46253</v>
      </c>
      <c r="K95" s="3" t="s">
        <v>2349</v>
      </c>
      <c r="L95" s="22">
        <v>46237.617249074072</v>
      </c>
      <c r="M95" s="20">
        <v>12</v>
      </c>
      <c r="N95" s="1">
        <v>14</v>
      </c>
    </row>
    <row r="96" spans="1:14" x14ac:dyDescent="0.25">
      <c r="A96" t="str">
        <f t="shared" si="4"/>
        <v>78661897866189</v>
      </c>
      <c r="B96" t="str">
        <f t="shared" si="5"/>
        <v>7866189GC574EVK-M</v>
      </c>
      <c r="C96" s="1" t="s">
        <v>33</v>
      </c>
      <c r="D96" s="1" t="s">
        <v>299</v>
      </c>
      <c r="E96" s="1" t="s">
        <v>385</v>
      </c>
      <c r="F96" s="1" t="s">
        <v>386</v>
      </c>
      <c r="G96" s="1" t="s">
        <v>387</v>
      </c>
      <c r="H96" s="1">
        <v>360</v>
      </c>
      <c r="I96" s="3">
        <v>46237</v>
      </c>
      <c r="J96" s="3">
        <v>46253</v>
      </c>
      <c r="K96" s="3" t="s">
        <v>2349</v>
      </c>
      <c r="L96" s="22">
        <v>46237.657855787038</v>
      </c>
      <c r="M96" s="20">
        <v>12</v>
      </c>
      <c r="N96" s="1">
        <v>13</v>
      </c>
    </row>
    <row r="97" spans="1:14" x14ac:dyDescent="0.25">
      <c r="A97" t="str">
        <f t="shared" si="4"/>
        <v>78662257866225</v>
      </c>
      <c r="B97" t="str">
        <f t="shared" si="5"/>
        <v>7866225GC574EVG-M</v>
      </c>
      <c r="C97" s="1" t="s">
        <v>224</v>
      </c>
      <c r="D97" s="1" t="s">
        <v>293</v>
      </c>
      <c r="E97" s="1" t="s">
        <v>385</v>
      </c>
      <c r="F97" s="1" t="s">
        <v>386</v>
      </c>
      <c r="G97" s="1" t="s">
        <v>387</v>
      </c>
      <c r="H97" s="1">
        <v>234</v>
      </c>
      <c r="I97" s="3">
        <v>46237</v>
      </c>
      <c r="J97" s="3">
        <v>46240</v>
      </c>
      <c r="K97" s="3" t="s">
        <v>2348</v>
      </c>
      <c r="L97" s="22">
        <v>46237.331773379628</v>
      </c>
      <c r="M97" s="20">
        <v>12</v>
      </c>
      <c r="N97" s="1">
        <v>9</v>
      </c>
    </row>
    <row r="98" spans="1:14" x14ac:dyDescent="0.25">
      <c r="A98" t="str">
        <f t="shared" si="4"/>
        <v>78662257866225</v>
      </c>
      <c r="B98" t="str">
        <f t="shared" si="5"/>
        <v>7866225GC574EVG-M</v>
      </c>
      <c r="C98" s="1" t="s">
        <v>224</v>
      </c>
      <c r="D98" s="1" t="s">
        <v>293</v>
      </c>
      <c r="E98" s="1" t="s">
        <v>385</v>
      </c>
      <c r="F98" s="1" t="s">
        <v>386</v>
      </c>
      <c r="G98" s="1" t="s">
        <v>387</v>
      </c>
      <c r="H98" s="1">
        <v>234</v>
      </c>
      <c r="I98" s="3">
        <v>46237</v>
      </c>
      <c r="J98" s="3">
        <v>46240</v>
      </c>
      <c r="K98" s="3" t="s">
        <v>2348</v>
      </c>
      <c r="L98" s="22">
        <v>46237.331938657408</v>
      </c>
      <c r="M98" s="20">
        <v>12</v>
      </c>
      <c r="N98" s="1">
        <v>14</v>
      </c>
    </row>
    <row r="99" spans="1:14" x14ac:dyDescent="0.25">
      <c r="A99" t="str">
        <f t="shared" si="4"/>
        <v>78662257866225</v>
      </c>
      <c r="B99" t="str">
        <f t="shared" si="5"/>
        <v>7866225GC574EVG-M</v>
      </c>
      <c r="C99" s="1" t="s">
        <v>224</v>
      </c>
      <c r="D99" s="1" t="s">
        <v>293</v>
      </c>
      <c r="E99" s="1" t="s">
        <v>385</v>
      </c>
      <c r="F99" s="1" t="s">
        <v>386</v>
      </c>
      <c r="G99" s="1" t="s">
        <v>387</v>
      </c>
      <c r="H99" s="1">
        <v>234</v>
      </c>
      <c r="I99" s="3">
        <v>46237</v>
      </c>
      <c r="J99" s="3">
        <v>46240</v>
      </c>
      <c r="K99" s="3" t="s">
        <v>2348</v>
      </c>
      <c r="L99" s="22">
        <v>46237.332152083334</v>
      </c>
      <c r="M99" s="20">
        <v>12</v>
      </c>
      <c r="N99" s="1">
        <v>13</v>
      </c>
    </row>
    <row r="100" spans="1:14" x14ac:dyDescent="0.25">
      <c r="A100" t="str">
        <f t="shared" si="4"/>
        <v>78662257866225</v>
      </c>
      <c r="B100" t="str">
        <f t="shared" si="5"/>
        <v>7866225GC574EVG-M</v>
      </c>
      <c r="C100" s="1" t="s">
        <v>224</v>
      </c>
      <c r="D100" s="1" t="s">
        <v>293</v>
      </c>
      <c r="E100" s="1" t="s">
        <v>385</v>
      </c>
      <c r="F100" s="1" t="s">
        <v>386</v>
      </c>
      <c r="G100" s="1" t="s">
        <v>387</v>
      </c>
      <c r="H100" s="1">
        <v>234</v>
      </c>
      <c r="I100" s="3">
        <v>46237</v>
      </c>
      <c r="J100" s="3">
        <v>46240</v>
      </c>
      <c r="K100" s="3" t="s">
        <v>2348</v>
      </c>
      <c r="L100" s="22">
        <v>46237.332351273144</v>
      </c>
      <c r="M100" s="20">
        <v>6</v>
      </c>
      <c r="N100" s="1">
        <v>18</v>
      </c>
    </row>
    <row r="101" spans="1:14" x14ac:dyDescent="0.25">
      <c r="A101" t="str">
        <f t="shared" si="4"/>
        <v>78662257866225</v>
      </c>
      <c r="B101" t="str">
        <f t="shared" si="5"/>
        <v>7866225GC574EVG-M</v>
      </c>
      <c r="C101" s="1" t="s">
        <v>224</v>
      </c>
      <c r="D101" s="1" t="s">
        <v>293</v>
      </c>
      <c r="E101" s="1" t="s">
        <v>385</v>
      </c>
      <c r="F101" s="1" t="s">
        <v>386</v>
      </c>
      <c r="G101" s="1" t="s">
        <v>387</v>
      </c>
      <c r="H101" s="1">
        <v>234</v>
      </c>
      <c r="I101" s="3">
        <v>46237</v>
      </c>
      <c r="J101" s="3">
        <v>46240</v>
      </c>
      <c r="K101" s="3" t="s">
        <v>2348</v>
      </c>
      <c r="L101" s="22">
        <v>46237.333612418981</v>
      </c>
      <c r="M101" s="20">
        <v>12</v>
      </c>
      <c r="N101" s="1">
        <v>12</v>
      </c>
    </row>
    <row r="102" spans="1:14" x14ac:dyDescent="0.25">
      <c r="A102" t="str">
        <f t="shared" si="4"/>
        <v>78662257866225</v>
      </c>
      <c r="B102" t="str">
        <f t="shared" si="5"/>
        <v>7866225GC574EVG-M</v>
      </c>
      <c r="C102" s="1" t="s">
        <v>224</v>
      </c>
      <c r="D102" s="1" t="s">
        <v>293</v>
      </c>
      <c r="E102" s="1" t="s">
        <v>385</v>
      </c>
      <c r="F102" s="1" t="s">
        <v>386</v>
      </c>
      <c r="G102" s="1" t="s">
        <v>387</v>
      </c>
      <c r="H102" s="1">
        <v>234</v>
      </c>
      <c r="I102" s="3">
        <v>46237</v>
      </c>
      <c r="J102" s="3">
        <v>46240</v>
      </c>
      <c r="K102" s="3" t="s">
        <v>2348</v>
      </c>
      <c r="L102" s="22">
        <v>46237.334058020831</v>
      </c>
      <c r="M102" s="20">
        <v>12</v>
      </c>
      <c r="N102" s="1">
        <v>11</v>
      </c>
    </row>
    <row r="103" spans="1:14" x14ac:dyDescent="0.25">
      <c r="A103" t="str">
        <f t="shared" si="4"/>
        <v>78662257866225</v>
      </c>
      <c r="B103" t="str">
        <f t="shared" si="5"/>
        <v>7866225GC574EVG-M</v>
      </c>
      <c r="C103" s="1" t="s">
        <v>224</v>
      </c>
      <c r="D103" s="1" t="s">
        <v>293</v>
      </c>
      <c r="E103" s="1" t="s">
        <v>385</v>
      </c>
      <c r="F103" s="1" t="s">
        <v>386</v>
      </c>
      <c r="G103" s="1" t="s">
        <v>387</v>
      </c>
      <c r="H103" s="1">
        <v>234</v>
      </c>
      <c r="I103" s="3">
        <v>46237</v>
      </c>
      <c r="J103" s="3">
        <v>46240</v>
      </c>
      <c r="K103" s="3" t="s">
        <v>2348</v>
      </c>
      <c r="L103" s="22">
        <v>46237.334396215279</v>
      </c>
      <c r="M103" s="20">
        <v>12</v>
      </c>
      <c r="N103" s="1">
        <v>4</v>
      </c>
    </row>
    <row r="104" spans="1:14" x14ac:dyDescent="0.25">
      <c r="A104" t="str">
        <f t="shared" si="4"/>
        <v>78662257866225</v>
      </c>
      <c r="B104" t="str">
        <f t="shared" si="5"/>
        <v>7866225GC574EVG-M</v>
      </c>
      <c r="C104" s="1" t="s">
        <v>224</v>
      </c>
      <c r="D104" s="1" t="s">
        <v>293</v>
      </c>
      <c r="E104" s="1" t="s">
        <v>385</v>
      </c>
      <c r="F104" s="1" t="s">
        <v>386</v>
      </c>
      <c r="G104" s="1" t="s">
        <v>387</v>
      </c>
      <c r="H104" s="1">
        <v>234</v>
      </c>
      <c r="I104" s="3">
        <v>46237</v>
      </c>
      <c r="J104" s="3">
        <v>46240</v>
      </c>
      <c r="K104" s="3" t="s">
        <v>2348</v>
      </c>
      <c r="L104" s="22">
        <v>46237.335084837963</v>
      </c>
      <c r="M104" s="20">
        <v>12</v>
      </c>
      <c r="N104" s="1">
        <v>7</v>
      </c>
    </row>
    <row r="105" spans="1:14" x14ac:dyDescent="0.25">
      <c r="A105" t="str">
        <f t="shared" si="4"/>
        <v>78662257866225</v>
      </c>
      <c r="B105" t="str">
        <f t="shared" si="5"/>
        <v>7866225GC574EVG-M</v>
      </c>
      <c r="C105" s="1" t="s">
        <v>224</v>
      </c>
      <c r="D105" s="1" t="s">
        <v>293</v>
      </c>
      <c r="E105" s="1" t="s">
        <v>385</v>
      </c>
      <c r="F105" s="1" t="s">
        <v>386</v>
      </c>
      <c r="G105" s="1" t="s">
        <v>387</v>
      </c>
      <c r="H105" s="1">
        <v>234</v>
      </c>
      <c r="I105" s="3">
        <v>46237</v>
      </c>
      <c r="J105" s="3">
        <v>46240</v>
      </c>
      <c r="K105" s="3" t="s">
        <v>2348</v>
      </c>
      <c r="L105" s="22">
        <v>46237.360046261572</v>
      </c>
      <c r="M105" s="20">
        <v>6</v>
      </c>
      <c r="N105" s="1">
        <v>20</v>
      </c>
    </row>
    <row r="106" spans="1:14" x14ac:dyDescent="0.25">
      <c r="A106" t="str">
        <f t="shared" si="4"/>
        <v>78662257866225</v>
      </c>
      <c r="B106" t="str">
        <f t="shared" si="5"/>
        <v>7866225GC574EVG-M</v>
      </c>
      <c r="C106" s="1" t="s">
        <v>224</v>
      </c>
      <c r="D106" s="1" t="s">
        <v>293</v>
      </c>
      <c r="E106" s="1" t="s">
        <v>385</v>
      </c>
      <c r="F106" s="1" t="s">
        <v>386</v>
      </c>
      <c r="G106" s="1" t="s">
        <v>387</v>
      </c>
      <c r="H106" s="1">
        <v>234</v>
      </c>
      <c r="I106" s="3">
        <v>46237</v>
      </c>
      <c r="J106" s="3">
        <v>46240</v>
      </c>
      <c r="K106" s="3" t="s">
        <v>2348</v>
      </c>
      <c r="L106" s="22">
        <v>46237.362140775462</v>
      </c>
      <c r="M106" s="20">
        <v>12</v>
      </c>
      <c r="N106" s="1">
        <v>10</v>
      </c>
    </row>
    <row r="107" spans="1:14" x14ac:dyDescent="0.25">
      <c r="A107" t="str">
        <f t="shared" si="4"/>
        <v>78662257866225</v>
      </c>
      <c r="B107" t="str">
        <f t="shared" si="5"/>
        <v>7866225GC574EVG-M</v>
      </c>
      <c r="C107" s="1" t="s">
        <v>224</v>
      </c>
      <c r="D107" s="1" t="s">
        <v>293</v>
      </c>
      <c r="E107" s="1" t="s">
        <v>385</v>
      </c>
      <c r="F107" s="1" t="s">
        <v>386</v>
      </c>
      <c r="G107" s="1" t="s">
        <v>387</v>
      </c>
      <c r="H107" s="1">
        <v>234</v>
      </c>
      <c r="I107" s="3">
        <v>46237</v>
      </c>
      <c r="J107" s="3">
        <v>46240</v>
      </c>
      <c r="K107" s="3" t="s">
        <v>2348</v>
      </c>
      <c r="L107" s="22">
        <v>46237.362358946761</v>
      </c>
      <c r="M107" s="20">
        <v>12</v>
      </c>
      <c r="N107" s="1">
        <v>15</v>
      </c>
    </row>
    <row r="108" spans="1:14" x14ac:dyDescent="0.25">
      <c r="A108" t="str">
        <f t="shared" si="4"/>
        <v>78662257866225</v>
      </c>
      <c r="B108" t="str">
        <f t="shared" si="5"/>
        <v>7866225GC574EVG-M</v>
      </c>
      <c r="C108" s="1" t="s">
        <v>224</v>
      </c>
      <c r="D108" s="1" t="s">
        <v>293</v>
      </c>
      <c r="E108" s="1" t="s">
        <v>385</v>
      </c>
      <c r="F108" s="1" t="s">
        <v>386</v>
      </c>
      <c r="G108" s="1" t="s">
        <v>387</v>
      </c>
      <c r="H108" s="1">
        <v>234</v>
      </c>
      <c r="I108" s="3">
        <v>46237</v>
      </c>
      <c r="J108" s="3">
        <v>46240</v>
      </c>
      <c r="K108" s="3" t="s">
        <v>2348</v>
      </c>
      <c r="L108" s="22">
        <v>46237.415439004624</v>
      </c>
      <c r="M108" s="20">
        <v>6</v>
      </c>
      <c r="N108" s="1">
        <v>21</v>
      </c>
    </row>
    <row r="109" spans="1:14" x14ac:dyDescent="0.25">
      <c r="A109" t="str">
        <f t="shared" si="4"/>
        <v>78662257866225</v>
      </c>
      <c r="B109" t="str">
        <f t="shared" si="5"/>
        <v>7866225GC574EVG-M</v>
      </c>
      <c r="C109" s="1" t="s">
        <v>224</v>
      </c>
      <c r="D109" s="1" t="s">
        <v>293</v>
      </c>
      <c r="E109" s="1" t="s">
        <v>385</v>
      </c>
      <c r="F109" s="1" t="s">
        <v>386</v>
      </c>
      <c r="G109" s="1" t="s">
        <v>387</v>
      </c>
      <c r="H109" s="1">
        <v>234</v>
      </c>
      <c r="I109" s="3">
        <v>46237</v>
      </c>
      <c r="J109" s="3">
        <v>46240</v>
      </c>
      <c r="K109" s="3" t="s">
        <v>2348</v>
      </c>
      <c r="L109" s="22">
        <v>46237.41617488426</v>
      </c>
      <c r="M109" s="20">
        <v>12</v>
      </c>
      <c r="N109" s="1">
        <v>5</v>
      </c>
    </row>
    <row r="110" spans="1:14" x14ac:dyDescent="0.25">
      <c r="A110" t="str">
        <f t="shared" si="4"/>
        <v>78662257866225</v>
      </c>
      <c r="B110" t="str">
        <f t="shared" si="5"/>
        <v>7866225GC574EVG-M</v>
      </c>
      <c r="C110" s="1" t="s">
        <v>224</v>
      </c>
      <c r="D110" s="1" t="s">
        <v>293</v>
      </c>
      <c r="E110" s="1" t="s">
        <v>385</v>
      </c>
      <c r="F110" s="1" t="s">
        <v>386</v>
      </c>
      <c r="G110" s="1" t="s">
        <v>387</v>
      </c>
      <c r="H110" s="1">
        <v>234</v>
      </c>
      <c r="I110" s="3">
        <v>46237</v>
      </c>
      <c r="J110" s="3">
        <v>46240</v>
      </c>
      <c r="K110" s="3" t="s">
        <v>2348</v>
      </c>
      <c r="L110" s="22">
        <v>46237.450980787034</v>
      </c>
      <c r="M110" s="20">
        <v>12</v>
      </c>
      <c r="N110" s="1">
        <v>2</v>
      </c>
    </row>
    <row r="111" spans="1:14" x14ac:dyDescent="0.25">
      <c r="A111" t="str">
        <f t="shared" si="4"/>
        <v>78662257866225</v>
      </c>
      <c r="B111" t="str">
        <f t="shared" si="5"/>
        <v>7866225GC574EVG-M</v>
      </c>
      <c r="C111" s="1" t="s">
        <v>224</v>
      </c>
      <c r="D111" s="1" t="s">
        <v>293</v>
      </c>
      <c r="E111" s="1" t="s">
        <v>385</v>
      </c>
      <c r="F111" s="1" t="s">
        <v>386</v>
      </c>
      <c r="G111" s="1" t="s">
        <v>387</v>
      </c>
      <c r="H111" s="1">
        <v>234</v>
      </c>
      <c r="I111" s="3">
        <v>46237</v>
      </c>
      <c r="J111" s="3">
        <v>46240</v>
      </c>
      <c r="K111" s="3" t="s">
        <v>2348</v>
      </c>
      <c r="L111" s="22">
        <v>46237.451528935184</v>
      </c>
      <c r="M111" s="20">
        <v>12</v>
      </c>
      <c r="N111" s="1">
        <v>16</v>
      </c>
    </row>
    <row r="112" spans="1:14" x14ac:dyDescent="0.25">
      <c r="A112" t="str">
        <f t="shared" si="4"/>
        <v>78662257866225</v>
      </c>
      <c r="B112" t="str">
        <f t="shared" si="5"/>
        <v>7866225GC574EVG-M</v>
      </c>
      <c r="C112" s="1" t="s">
        <v>224</v>
      </c>
      <c r="D112" s="1" t="s">
        <v>293</v>
      </c>
      <c r="E112" s="1" t="s">
        <v>385</v>
      </c>
      <c r="F112" s="1" t="s">
        <v>386</v>
      </c>
      <c r="G112" s="1" t="s">
        <v>387</v>
      </c>
      <c r="H112" s="1">
        <v>234</v>
      </c>
      <c r="I112" s="3">
        <v>46237</v>
      </c>
      <c r="J112" s="3">
        <v>46240</v>
      </c>
      <c r="K112" s="3" t="s">
        <v>2348</v>
      </c>
      <c r="L112" s="22">
        <v>46237.481312187498</v>
      </c>
      <c r="M112" s="20">
        <v>12</v>
      </c>
      <c r="N112" s="1">
        <v>17</v>
      </c>
    </row>
    <row r="113" spans="1:14" x14ac:dyDescent="0.25">
      <c r="A113" t="str">
        <f t="shared" si="4"/>
        <v>78662257866225</v>
      </c>
      <c r="B113" t="str">
        <f t="shared" si="5"/>
        <v>7866225GC574EVG-M</v>
      </c>
      <c r="C113" s="1" t="s">
        <v>224</v>
      </c>
      <c r="D113" s="1" t="s">
        <v>293</v>
      </c>
      <c r="E113" s="1" t="s">
        <v>385</v>
      </c>
      <c r="F113" s="1" t="s">
        <v>386</v>
      </c>
      <c r="G113" s="1" t="s">
        <v>387</v>
      </c>
      <c r="H113" s="1">
        <v>234</v>
      </c>
      <c r="I113" s="3">
        <v>46237</v>
      </c>
      <c r="J113" s="3">
        <v>46240</v>
      </c>
      <c r="K113" s="3" t="s">
        <v>2348</v>
      </c>
      <c r="L113" s="22">
        <v>46237.601469756941</v>
      </c>
      <c r="M113" s="20">
        <v>12</v>
      </c>
      <c r="N113" s="1">
        <v>8</v>
      </c>
    </row>
    <row r="114" spans="1:14" x14ac:dyDescent="0.25">
      <c r="A114" t="str">
        <f t="shared" si="4"/>
        <v>78662257866225</v>
      </c>
      <c r="B114" t="str">
        <f t="shared" si="5"/>
        <v>7866225GC574EVG-M</v>
      </c>
      <c r="C114" s="1" t="s">
        <v>224</v>
      </c>
      <c r="D114" s="1" t="s">
        <v>293</v>
      </c>
      <c r="E114" s="1" t="s">
        <v>385</v>
      </c>
      <c r="F114" s="1" t="s">
        <v>386</v>
      </c>
      <c r="G114" s="1" t="s">
        <v>387</v>
      </c>
      <c r="H114" s="1">
        <v>234</v>
      </c>
      <c r="I114" s="3">
        <v>46237</v>
      </c>
      <c r="J114" s="3">
        <v>46240</v>
      </c>
      <c r="K114" s="3" t="s">
        <v>2348</v>
      </c>
      <c r="L114" s="22">
        <v>46237.60208167824</v>
      </c>
      <c r="M114" s="20">
        <v>12</v>
      </c>
      <c r="N114" s="1">
        <v>6</v>
      </c>
    </row>
    <row r="115" spans="1:14" x14ac:dyDescent="0.25">
      <c r="A115" t="str">
        <f t="shared" si="4"/>
        <v>78662437866243</v>
      </c>
      <c r="B115" t="str">
        <f t="shared" si="5"/>
        <v>7866243GC574EVW-M</v>
      </c>
      <c r="C115" s="1" t="s">
        <v>18</v>
      </c>
      <c r="D115" s="1" t="s">
        <v>307</v>
      </c>
      <c r="E115" s="1" t="s">
        <v>385</v>
      </c>
      <c r="F115" s="1" t="s">
        <v>386</v>
      </c>
      <c r="G115" s="1" t="s">
        <v>387</v>
      </c>
      <c r="H115" s="1">
        <v>144</v>
      </c>
      <c r="I115" s="3">
        <v>46237</v>
      </c>
      <c r="J115" s="3">
        <v>46240</v>
      </c>
      <c r="K115" s="3" t="s">
        <v>2348</v>
      </c>
      <c r="L115" s="22">
        <v>46237.479237002313</v>
      </c>
      <c r="M115" s="20">
        <v>12</v>
      </c>
      <c r="N115" s="1">
        <v>8</v>
      </c>
    </row>
    <row r="116" spans="1:14" x14ac:dyDescent="0.25">
      <c r="A116" t="str">
        <f t="shared" si="4"/>
        <v>78662437866243</v>
      </c>
      <c r="B116" t="str">
        <f t="shared" si="5"/>
        <v>7866243GC574EVW-M</v>
      </c>
      <c r="C116" s="1" t="s">
        <v>18</v>
      </c>
      <c r="D116" s="1" t="s">
        <v>307</v>
      </c>
      <c r="E116" s="1" t="s">
        <v>385</v>
      </c>
      <c r="F116" s="1" t="s">
        <v>386</v>
      </c>
      <c r="G116" s="1" t="s">
        <v>387</v>
      </c>
      <c r="H116" s="1">
        <v>144</v>
      </c>
      <c r="I116" s="3">
        <v>46237</v>
      </c>
      <c r="J116" s="3">
        <v>46240</v>
      </c>
      <c r="K116" s="3" t="s">
        <v>2348</v>
      </c>
      <c r="L116" s="22">
        <v>46237.555438229167</v>
      </c>
      <c r="M116" s="20">
        <v>12</v>
      </c>
      <c r="N116" s="1">
        <v>3</v>
      </c>
    </row>
    <row r="117" spans="1:14" x14ac:dyDescent="0.25">
      <c r="A117" t="str">
        <f t="shared" si="4"/>
        <v>78662437866243</v>
      </c>
      <c r="B117" t="str">
        <f t="shared" si="5"/>
        <v>7866243GC574EVW-M</v>
      </c>
      <c r="C117" s="1" t="s">
        <v>18</v>
      </c>
      <c r="D117" s="1" t="s">
        <v>307</v>
      </c>
      <c r="E117" s="1" t="s">
        <v>385</v>
      </c>
      <c r="F117" s="1" t="s">
        <v>386</v>
      </c>
      <c r="G117" s="1" t="s">
        <v>387</v>
      </c>
      <c r="H117" s="1">
        <v>144</v>
      </c>
      <c r="I117" s="3">
        <v>46237</v>
      </c>
      <c r="J117" s="3">
        <v>46240</v>
      </c>
      <c r="K117" s="3" t="s">
        <v>2348</v>
      </c>
      <c r="L117" s="22">
        <v>46237.555987731481</v>
      </c>
      <c r="M117" s="20">
        <v>12</v>
      </c>
      <c r="N117" s="1">
        <v>7</v>
      </c>
    </row>
    <row r="118" spans="1:14" x14ac:dyDescent="0.25">
      <c r="A118" t="str">
        <f t="shared" si="4"/>
        <v>78662437866243</v>
      </c>
      <c r="B118" t="str">
        <f t="shared" si="5"/>
        <v>7866243GC574EVW-M</v>
      </c>
      <c r="C118" s="1" t="s">
        <v>18</v>
      </c>
      <c r="D118" s="1" t="s">
        <v>307</v>
      </c>
      <c r="E118" s="1" t="s">
        <v>385</v>
      </c>
      <c r="F118" s="1" t="s">
        <v>386</v>
      </c>
      <c r="G118" s="1" t="s">
        <v>387</v>
      </c>
      <c r="H118" s="1">
        <v>144</v>
      </c>
      <c r="I118" s="3">
        <v>46237</v>
      </c>
      <c r="J118" s="3">
        <v>46240</v>
      </c>
      <c r="K118" s="3" t="s">
        <v>2348</v>
      </c>
      <c r="L118" s="22">
        <v>46237.572460497686</v>
      </c>
      <c r="M118" s="20">
        <v>6</v>
      </c>
      <c r="N118" s="1">
        <v>13</v>
      </c>
    </row>
    <row r="119" spans="1:14" x14ac:dyDescent="0.25">
      <c r="A119" t="str">
        <f t="shared" si="4"/>
        <v>78662437866243</v>
      </c>
      <c r="B119" t="str">
        <f t="shared" si="5"/>
        <v>7866243GC574EVW-M</v>
      </c>
      <c r="C119" s="1" t="s">
        <v>18</v>
      </c>
      <c r="D119" s="1" t="s">
        <v>307</v>
      </c>
      <c r="E119" s="1" t="s">
        <v>385</v>
      </c>
      <c r="F119" s="1" t="s">
        <v>386</v>
      </c>
      <c r="G119" s="1" t="s">
        <v>387</v>
      </c>
      <c r="H119" s="1">
        <v>144</v>
      </c>
      <c r="I119" s="3">
        <v>46237</v>
      </c>
      <c r="J119" s="3">
        <v>46240</v>
      </c>
      <c r="K119" s="3" t="s">
        <v>2348</v>
      </c>
      <c r="L119" s="22">
        <v>46237.573443981477</v>
      </c>
      <c r="M119" s="20">
        <v>12</v>
      </c>
      <c r="N119" s="1">
        <v>6</v>
      </c>
    </row>
    <row r="120" spans="1:14" x14ac:dyDescent="0.25">
      <c r="A120" t="str">
        <f t="shared" si="4"/>
        <v>78662437866243</v>
      </c>
      <c r="B120" t="str">
        <f t="shared" si="5"/>
        <v>7866243GC574EVW-M</v>
      </c>
      <c r="C120" s="1" t="s">
        <v>18</v>
      </c>
      <c r="D120" s="1" t="s">
        <v>307</v>
      </c>
      <c r="E120" s="1" t="s">
        <v>385</v>
      </c>
      <c r="F120" s="1" t="s">
        <v>386</v>
      </c>
      <c r="G120" s="1" t="s">
        <v>387</v>
      </c>
      <c r="H120" s="1">
        <v>144</v>
      </c>
      <c r="I120" s="3">
        <v>46237</v>
      </c>
      <c r="J120" s="3">
        <v>46240</v>
      </c>
      <c r="K120" s="3" t="s">
        <v>2348</v>
      </c>
      <c r="L120" s="22">
        <v>46237.573653900457</v>
      </c>
      <c r="M120" s="20">
        <v>12</v>
      </c>
      <c r="N120" s="1">
        <v>2</v>
      </c>
    </row>
    <row r="121" spans="1:14" x14ac:dyDescent="0.25">
      <c r="A121" t="str">
        <f t="shared" si="4"/>
        <v>78662437866243</v>
      </c>
      <c r="B121" t="str">
        <f t="shared" si="5"/>
        <v>7866243GC574EVW-M</v>
      </c>
      <c r="C121" s="1" t="s">
        <v>18</v>
      </c>
      <c r="D121" s="1" t="s">
        <v>307</v>
      </c>
      <c r="E121" s="1" t="s">
        <v>385</v>
      </c>
      <c r="F121" s="1" t="s">
        <v>386</v>
      </c>
      <c r="G121" s="1" t="s">
        <v>387</v>
      </c>
      <c r="H121" s="1">
        <v>144</v>
      </c>
      <c r="I121" s="3">
        <v>46237</v>
      </c>
      <c r="J121" s="3">
        <v>46240</v>
      </c>
      <c r="K121" s="3" t="s">
        <v>2348</v>
      </c>
      <c r="L121" s="22">
        <v>46237.575545104162</v>
      </c>
      <c r="M121" s="20">
        <v>12</v>
      </c>
      <c r="N121" s="1">
        <v>11</v>
      </c>
    </row>
    <row r="122" spans="1:14" x14ac:dyDescent="0.25">
      <c r="A122" t="str">
        <f t="shared" si="4"/>
        <v>78662437866243</v>
      </c>
      <c r="B122" t="str">
        <f t="shared" si="5"/>
        <v>7866243GC574EVW-M</v>
      </c>
      <c r="C122" s="1" t="s">
        <v>18</v>
      </c>
      <c r="D122" s="1" t="s">
        <v>307</v>
      </c>
      <c r="E122" s="1" t="s">
        <v>385</v>
      </c>
      <c r="F122" s="1" t="s">
        <v>386</v>
      </c>
      <c r="G122" s="1" t="s">
        <v>387</v>
      </c>
      <c r="H122" s="1">
        <v>144</v>
      </c>
      <c r="I122" s="3">
        <v>46237</v>
      </c>
      <c r="J122" s="3">
        <v>46240</v>
      </c>
      <c r="K122" s="3" t="s">
        <v>2348</v>
      </c>
      <c r="L122" s="22">
        <v>46237.575848229164</v>
      </c>
      <c r="M122" s="20">
        <v>12</v>
      </c>
      <c r="N122" s="1">
        <v>1</v>
      </c>
    </row>
    <row r="123" spans="1:14" x14ac:dyDescent="0.25">
      <c r="A123" t="str">
        <f t="shared" si="4"/>
        <v>78662437866243</v>
      </c>
      <c r="B123" t="str">
        <f t="shared" si="5"/>
        <v>7866243GC574EVW-M</v>
      </c>
      <c r="C123" s="1" t="s">
        <v>18</v>
      </c>
      <c r="D123" s="1" t="s">
        <v>307</v>
      </c>
      <c r="E123" s="1" t="s">
        <v>385</v>
      </c>
      <c r="F123" s="1" t="s">
        <v>386</v>
      </c>
      <c r="G123" s="1" t="s">
        <v>387</v>
      </c>
      <c r="H123" s="1">
        <v>144</v>
      </c>
      <c r="I123" s="3">
        <v>46237</v>
      </c>
      <c r="J123" s="3">
        <v>46240</v>
      </c>
      <c r="K123" s="3" t="s">
        <v>2348</v>
      </c>
      <c r="L123" s="22">
        <v>46237.576262581017</v>
      </c>
      <c r="M123" s="20">
        <v>12</v>
      </c>
      <c r="N123" s="1">
        <v>4</v>
      </c>
    </row>
    <row r="124" spans="1:14" x14ac:dyDescent="0.25">
      <c r="A124" t="str">
        <f t="shared" si="4"/>
        <v>78662437866243</v>
      </c>
      <c r="B124" t="str">
        <f t="shared" si="5"/>
        <v>7866243GC574EVW-M</v>
      </c>
      <c r="C124" s="1" t="s">
        <v>18</v>
      </c>
      <c r="D124" s="1" t="s">
        <v>307</v>
      </c>
      <c r="E124" s="1" t="s">
        <v>385</v>
      </c>
      <c r="F124" s="1" t="s">
        <v>386</v>
      </c>
      <c r="G124" s="1" t="s">
        <v>387</v>
      </c>
      <c r="H124" s="1">
        <v>144</v>
      </c>
      <c r="I124" s="3">
        <v>46237</v>
      </c>
      <c r="J124" s="3">
        <v>46240</v>
      </c>
      <c r="K124" s="3" t="s">
        <v>2348</v>
      </c>
      <c r="L124" s="22">
        <v>46237.576625347217</v>
      </c>
      <c r="M124" s="20">
        <v>12</v>
      </c>
      <c r="N124" s="1">
        <v>9</v>
      </c>
    </row>
    <row r="125" spans="1:14" x14ac:dyDescent="0.25">
      <c r="A125" t="str">
        <f t="shared" si="4"/>
        <v>H153246H153246</v>
      </c>
      <c r="B125" t="str">
        <f t="shared" si="5"/>
        <v>H153246PV574EVG-W</v>
      </c>
      <c r="C125" s="1" t="s">
        <v>17</v>
      </c>
      <c r="D125" s="1" t="s">
        <v>337</v>
      </c>
      <c r="E125" s="1" t="s">
        <v>405</v>
      </c>
      <c r="F125" s="1" t="s">
        <v>406</v>
      </c>
      <c r="G125" s="1" t="s">
        <v>404</v>
      </c>
      <c r="H125" s="1">
        <v>540</v>
      </c>
      <c r="I125" s="3">
        <v>46238</v>
      </c>
      <c r="J125" s="3">
        <v>46283</v>
      </c>
      <c r="K125" s="3" t="s">
        <v>2350</v>
      </c>
      <c r="L125" s="22">
        <v>46238.567489895831</v>
      </c>
      <c r="M125" s="20">
        <v>12</v>
      </c>
      <c r="N125" s="1">
        <v>14</v>
      </c>
    </row>
    <row r="126" spans="1:14" x14ac:dyDescent="0.25">
      <c r="A126" t="str">
        <f t="shared" si="4"/>
        <v>H153246H153246</v>
      </c>
      <c r="B126" t="str">
        <f t="shared" si="5"/>
        <v>H153246PV574EVG-W</v>
      </c>
      <c r="C126" s="1" t="s">
        <v>17</v>
      </c>
      <c r="D126" s="1" t="s">
        <v>337</v>
      </c>
      <c r="E126" s="1" t="s">
        <v>405</v>
      </c>
      <c r="F126" s="1" t="s">
        <v>406</v>
      </c>
      <c r="G126" s="1" t="s">
        <v>404</v>
      </c>
      <c r="H126" s="1">
        <v>540</v>
      </c>
      <c r="I126" s="3">
        <v>46238</v>
      </c>
      <c r="J126" s="3">
        <v>46283</v>
      </c>
      <c r="K126" s="3" t="s">
        <v>2350</v>
      </c>
      <c r="L126" s="22">
        <v>46238.567819907403</v>
      </c>
      <c r="M126" s="20">
        <v>12</v>
      </c>
      <c r="N126" s="1">
        <v>36</v>
      </c>
    </row>
    <row r="127" spans="1:14" x14ac:dyDescent="0.25">
      <c r="A127" t="str">
        <f t="shared" si="4"/>
        <v>H153246H153246</v>
      </c>
      <c r="B127" t="str">
        <f t="shared" si="5"/>
        <v>H153246PV574EVG-W</v>
      </c>
      <c r="C127" s="1" t="s">
        <v>17</v>
      </c>
      <c r="D127" s="1" t="s">
        <v>337</v>
      </c>
      <c r="E127" s="1" t="s">
        <v>405</v>
      </c>
      <c r="F127" s="1" t="s">
        <v>406</v>
      </c>
      <c r="G127" s="1" t="s">
        <v>404</v>
      </c>
      <c r="H127" s="1">
        <v>540</v>
      </c>
      <c r="I127" s="3">
        <v>46238</v>
      </c>
      <c r="J127" s="3">
        <v>46283</v>
      </c>
      <c r="K127" s="3" t="s">
        <v>2350</v>
      </c>
      <c r="L127" s="22">
        <v>46238.568440891198</v>
      </c>
      <c r="M127" s="20">
        <v>12</v>
      </c>
      <c r="N127" s="1">
        <v>37</v>
      </c>
    </row>
    <row r="128" spans="1:14" x14ac:dyDescent="0.25">
      <c r="A128" t="str">
        <f t="shared" si="4"/>
        <v>H153246H153246</v>
      </c>
      <c r="B128" t="str">
        <f t="shared" si="5"/>
        <v>H153246PV574EVG-W</v>
      </c>
      <c r="C128" s="1" t="s">
        <v>17</v>
      </c>
      <c r="D128" s="1" t="s">
        <v>337</v>
      </c>
      <c r="E128" s="1" t="s">
        <v>405</v>
      </c>
      <c r="F128" s="1" t="s">
        <v>406</v>
      </c>
      <c r="G128" s="1" t="s">
        <v>404</v>
      </c>
      <c r="H128" s="1">
        <v>540</v>
      </c>
      <c r="I128" s="3">
        <v>46238</v>
      </c>
      <c r="J128" s="3">
        <v>46283</v>
      </c>
      <c r="K128" s="3" t="s">
        <v>2350</v>
      </c>
      <c r="L128" s="22">
        <v>46238.57651608796</v>
      </c>
      <c r="M128" s="20">
        <v>12</v>
      </c>
      <c r="N128" s="1">
        <v>35</v>
      </c>
    </row>
    <row r="129" spans="1:14" x14ac:dyDescent="0.25">
      <c r="A129" t="str">
        <f t="shared" si="4"/>
        <v>H153246H153246</v>
      </c>
      <c r="B129" t="str">
        <f t="shared" si="5"/>
        <v>H153246PV574EVG-W</v>
      </c>
      <c r="C129" s="1" t="s">
        <v>17</v>
      </c>
      <c r="D129" s="1" t="s">
        <v>337</v>
      </c>
      <c r="E129" s="1" t="s">
        <v>405</v>
      </c>
      <c r="F129" s="1" t="s">
        <v>406</v>
      </c>
      <c r="G129" s="1" t="s">
        <v>404</v>
      </c>
      <c r="H129" s="1">
        <v>540</v>
      </c>
      <c r="I129" s="3">
        <v>46238</v>
      </c>
      <c r="J129" s="3">
        <v>46283</v>
      </c>
      <c r="K129" s="3" t="s">
        <v>2350</v>
      </c>
      <c r="L129" s="22">
        <v>46238.577131712962</v>
      </c>
      <c r="M129" s="20">
        <v>12</v>
      </c>
      <c r="N129" s="1">
        <v>30</v>
      </c>
    </row>
    <row r="130" spans="1:14" x14ac:dyDescent="0.25">
      <c r="A130" t="str">
        <f t="shared" ref="A130:A193" si="6">+D130&amp;D130</f>
        <v>H153246H153246</v>
      </c>
      <c r="B130" t="str">
        <f t="shared" ref="B130:B193" si="7">+D130&amp;C130</f>
        <v>H153246PV574EVG-W</v>
      </c>
      <c r="C130" s="1" t="s">
        <v>17</v>
      </c>
      <c r="D130" s="1" t="s">
        <v>337</v>
      </c>
      <c r="E130" s="1" t="s">
        <v>405</v>
      </c>
      <c r="F130" s="1" t="s">
        <v>406</v>
      </c>
      <c r="G130" s="1" t="s">
        <v>404</v>
      </c>
      <c r="H130" s="1">
        <v>540</v>
      </c>
      <c r="I130" s="3">
        <v>46238</v>
      </c>
      <c r="J130" s="3">
        <v>46283</v>
      </c>
      <c r="K130" s="3" t="s">
        <v>2350</v>
      </c>
      <c r="L130" s="22">
        <v>46238.588069988422</v>
      </c>
      <c r="M130" s="20">
        <v>12</v>
      </c>
      <c r="N130" s="1">
        <v>22</v>
      </c>
    </row>
    <row r="131" spans="1:14" x14ac:dyDescent="0.25">
      <c r="A131" t="str">
        <f t="shared" si="6"/>
        <v>H153246H153246</v>
      </c>
      <c r="B131" t="str">
        <f t="shared" si="7"/>
        <v>H153246PV574EVG-W</v>
      </c>
      <c r="C131" s="1" t="s">
        <v>17</v>
      </c>
      <c r="D131" s="1" t="s">
        <v>337</v>
      </c>
      <c r="E131" s="1" t="s">
        <v>405</v>
      </c>
      <c r="F131" s="1" t="s">
        <v>406</v>
      </c>
      <c r="G131" s="1" t="s">
        <v>404</v>
      </c>
      <c r="H131" s="1">
        <v>540</v>
      </c>
      <c r="I131" s="3">
        <v>46238</v>
      </c>
      <c r="J131" s="3">
        <v>46283</v>
      </c>
      <c r="K131" s="3" t="s">
        <v>2350</v>
      </c>
      <c r="L131" s="22">
        <v>46238.601491122681</v>
      </c>
      <c r="M131" s="20">
        <v>12</v>
      </c>
      <c r="N131" s="1">
        <v>15</v>
      </c>
    </row>
    <row r="132" spans="1:14" x14ac:dyDescent="0.25">
      <c r="A132" t="str">
        <f t="shared" si="6"/>
        <v>H153246H153246</v>
      </c>
      <c r="B132" t="str">
        <f t="shared" si="7"/>
        <v>H153246PV574EVG-W</v>
      </c>
      <c r="C132" s="1" t="s">
        <v>17</v>
      </c>
      <c r="D132" s="1" t="s">
        <v>337</v>
      </c>
      <c r="E132" s="1" t="s">
        <v>405</v>
      </c>
      <c r="F132" s="1" t="s">
        <v>406</v>
      </c>
      <c r="G132" s="1" t="s">
        <v>404</v>
      </c>
      <c r="H132" s="1">
        <v>540</v>
      </c>
      <c r="I132" s="3">
        <v>46238</v>
      </c>
      <c r="J132" s="3">
        <v>46283</v>
      </c>
      <c r="K132" s="3" t="s">
        <v>2350</v>
      </c>
      <c r="L132" s="22">
        <v>46238.60744201389</v>
      </c>
      <c r="M132" s="20">
        <v>12</v>
      </c>
      <c r="N132" s="1">
        <v>21</v>
      </c>
    </row>
    <row r="133" spans="1:14" x14ac:dyDescent="0.25">
      <c r="A133" t="str">
        <f t="shared" si="6"/>
        <v>H153246H153246</v>
      </c>
      <c r="B133" t="str">
        <f t="shared" si="7"/>
        <v>H153246PV574EVG-W</v>
      </c>
      <c r="C133" s="1" t="s">
        <v>17</v>
      </c>
      <c r="D133" s="1" t="s">
        <v>337</v>
      </c>
      <c r="E133" s="1" t="s">
        <v>405</v>
      </c>
      <c r="F133" s="1" t="s">
        <v>406</v>
      </c>
      <c r="G133" s="1" t="s">
        <v>404</v>
      </c>
      <c r="H133" s="1">
        <v>540</v>
      </c>
      <c r="I133" s="3">
        <v>46238</v>
      </c>
      <c r="J133" s="3">
        <v>46283</v>
      </c>
      <c r="K133" s="3" t="s">
        <v>2350</v>
      </c>
      <c r="L133" s="22">
        <v>46238.607687418982</v>
      </c>
      <c r="M133" s="20">
        <v>12</v>
      </c>
      <c r="N133" s="1">
        <v>23</v>
      </c>
    </row>
    <row r="134" spans="1:14" x14ac:dyDescent="0.25">
      <c r="A134" t="str">
        <f t="shared" si="6"/>
        <v>H153246H153246</v>
      </c>
      <c r="B134" t="str">
        <f t="shared" si="7"/>
        <v>H153246PV574EVG-W</v>
      </c>
      <c r="C134" s="1" t="s">
        <v>17</v>
      </c>
      <c r="D134" s="1" t="s">
        <v>337</v>
      </c>
      <c r="E134" s="1" t="s">
        <v>405</v>
      </c>
      <c r="F134" s="1" t="s">
        <v>406</v>
      </c>
      <c r="G134" s="1" t="s">
        <v>404</v>
      </c>
      <c r="H134" s="1">
        <v>540</v>
      </c>
      <c r="I134" s="3">
        <v>46238</v>
      </c>
      <c r="J134" s="3">
        <v>46283</v>
      </c>
      <c r="K134" s="3" t="s">
        <v>2350</v>
      </c>
      <c r="L134" s="22">
        <v>46238.614618368054</v>
      </c>
      <c r="M134" s="20">
        <v>12</v>
      </c>
      <c r="N134" s="1">
        <v>13</v>
      </c>
    </row>
    <row r="135" spans="1:14" x14ac:dyDescent="0.25">
      <c r="A135" t="str">
        <f t="shared" si="6"/>
        <v>H153246H153246</v>
      </c>
      <c r="B135" t="str">
        <f t="shared" si="7"/>
        <v>H153246PV574EVG-W</v>
      </c>
      <c r="C135" s="1" t="s">
        <v>17</v>
      </c>
      <c r="D135" s="1" t="s">
        <v>337</v>
      </c>
      <c r="E135" s="1" t="s">
        <v>405</v>
      </c>
      <c r="F135" s="1" t="s">
        <v>406</v>
      </c>
      <c r="G135" s="1" t="s">
        <v>404</v>
      </c>
      <c r="H135" s="1">
        <v>540</v>
      </c>
      <c r="I135" s="3">
        <v>46238</v>
      </c>
      <c r="J135" s="3">
        <v>46283</v>
      </c>
      <c r="K135" s="3" t="s">
        <v>2350</v>
      </c>
      <c r="L135" s="22">
        <v>46238.637272685184</v>
      </c>
      <c r="M135" s="20">
        <v>12</v>
      </c>
      <c r="N135" s="1">
        <v>42</v>
      </c>
    </row>
    <row r="136" spans="1:14" x14ac:dyDescent="0.25">
      <c r="A136" t="str">
        <f t="shared" si="6"/>
        <v>H153246H153246</v>
      </c>
      <c r="B136" t="str">
        <f t="shared" si="7"/>
        <v>H153246PV574EVG-W</v>
      </c>
      <c r="C136" s="1" t="s">
        <v>17</v>
      </c>
      <c r="D136" s="1" t="s">
        <v>337</v>
      </c>
      <c r="E136" s="1" t="s">
        <v>405</v>
      </c>
      <c r="F136" s="1" t="s">
        <v>406</v>
      </c>
      <c r="G136" s="1" t="s">
        <v>404</v>
      </c>
      <c r="H136" s="1">
        <v>540</v>
      </c>
      <c r="I136" s="3">
        <v>46238</v>
      </c>
      <c r="J136" s="3">
        <v>46283</v>
      </c>
      <c r="K136" s="3" t="s">
        <v>2350</v>
      </c>
      <c r="L136" s="22">
        <v>46238.639652743055</v>
      </c>
      <c r="M136" s="20">
        <v>12</v>
      </c>
      <c r="N136" s="1">
        <v>41</v>
      </c>
    </row>
    <row r="137" spans="1:14" x14ac:dyDescent="0.25">
      <c r="A137" t="str">
        <f t="shared" si="6"/>
        <v>H153246H153246</v>
      </c>
      <c r="B137" t="str">
        <f t="shared" si="7"/>
        <v>H153246PV574EVG-W</v>
      </c>
      <c r="C137" s="1" t="s">
        <v>17</v>
      </c>
      <c r="D137" s="1" t="s">
        <v>337</v>
      </c>
      <c r="E137" s="1" t="s">
        <v>405</v>
      </c>
      <c r="F137" s="1" t="s">
        <v>406</v>
      </c>
      <c r="G137" s="1" t="s">
        <v>404</v>
      </c>
      <c r="H137" s="1">
        <v>540</v>
      </c>
      <c r="I137" s="3">
        <v>46238</v>
      </c>
      <c r="J137" s="3">
        <v>46283</v>
      </c>
      <c r="K137" s="3" t="s">
        <v>2350</v>
      </c>
      <c r="L137" s="22">
        <v>46238.654567395832</v>
      </c>
      <c r="M137" s="20">
        <v>12</v>
      </c>
      <c r="N137" s="1">
        <v>31</v>
      </c>
    </row>
    <row r="138" spans="1:14" x14ac:dyDescent="0.25">
      <c r="A138" t="str">
        <f t="shared" si="6"/>
        <v>H153246H153246</v>
      </c>
      <c r="B138" t="str">
        <f t="shared" si="7"/>
        <v>H153246PV574EVG-W</v>
      </c>
      <c r="C138" s="1" t="s">
        <v>17</v>
      </c>
      <c r="D138" s="1" t="s">
        <v>337</v>
      </c>
      <c r="E138" s="1" t="s">
        <v>405</v>
      </c>
      <c r="F138" s="1" t="s">
        <v>406</v>
      </c>
      <c r="G138" s="1" t="s">
        <v>404</v>
      </c>
      <c r="H138" s="1">
        <v>540</v>
      </c>
      <c r="I138" s="3">
        <v>46238</v>
      </c>
      <c r="J138" s="3">
        <v>46283</v>
      </c>
      <c r="K138" s="3" t="s">
        <v>2350</v>
      </c>
      <c r="L138" s="22">
        <v>46238.659098414348</v>
      </c>
      <c r="M138" s="20">
        <v>12</v>
      </c>
      <c r="N138" s="1">
        <v>38</v>
      </c>
    </row>
    <row r="139" spans="1:14" x14ac:dyDescent="0.25">
      <c r="A139" t="str">
        <f t="shared" si="6"/>
        <v>H153246H153246</v>
      </c>
      <c r="B139" t="str">
        <f t="shared" si="7"/>
        <v>H153246PV574EVG-W</v>
      </c>
      <c r="C139" s="1" t="s">
        <v>17</v>
      </c>
      <c r="D139" s="1" t="s">
        <v>337</v>
      </c>
      <c r="E139" s="1" t="s">
        <v>405</v>
      </c>
      <c r="F139" s="1" t="s">
        <v>406</v>
      </c>
      <c r="G139" s="1" t="s">
        <v>404</v>
      </c>
      <c r="H139" s="1">
        <v>540</v>
      </c>
      <c r="I139" s="3">
        <v>46238</v>
      </c>
      <c r="J139" s="3">
        <v>46283</v>
      </c>
      <c r="K139" s="3" t="s">
        <v>2350</v>
      </c>
      <c r="L139" s="22">
        <v>46238.673150196759</v>
      </c>
      <c r="M139" s="20">
        <v>12</v>
      </c>
      <c r="N139" s="1">
        <v>17</v>
      </c>
    </row>
    <row r="140" spans="1:14" x14ac:dyDescent="0.25">
      <c r="A140" t="str">
        <f t="shared" si="6"/>
        <v>H153246H153246</v>
      </c>
      <c r="B140" t="str">
        <f t="shared" si="7"/>
        <v>H153246PV574EVG-W</v>
      </c>
      <c r="C140" s="1" t="s">
        <v>17</v>
      </c>
      <c r="D140" s="1" t="s">
        <v>337</v>
      </c>
      <c r="E140" s="1" t="s">
        <v>405</v>
      </c>
      <c r="F140" s="1" t="s">
        <v>406</v>
      </c>
      <c r="G140" s="1" t="s">
        <v>404</v>
      </c>
      <c r="H140" s="1">
        <v>540</v>
      </c>
      <c r="I140" s="3">
        <v>46238</v>
      </c>
      <c r="J140" s="3">
        <v>46283</v>
      </c>
      <c r="K140" s="3" t="s">
        <v>2350</v>
      </c>
      <c r="L140" s="22">
        <v>46238.686280289352</v>
      </c>
      <c r="M140" s="20">
        <v>12</v>
      </c>
      <c r="N140" s="1">
        <v>20</v>
      </c>
    </row>
    <row r="141" spans="1:14" x14ac:dyDescent="0.25">
      <c r="A141" t="str">
        <f t="shared" si="6"/>
        <v>H153246H153246</v>
      </c>
      <c r="B141" t="str">
        <f t="shared" si="7"/>
        <v>H153246PV574EVG-W</v>
      </c>
      <c r="C141" s="1" t="s">
        <v>17</v>
      </c>
      <c r="D141" s="1" t="s">
        <v>337</v>
      </c>
      <c r="E141" s="1" t="s">
        <v>405</v>
      </c>
      <c r="F141" s="1" t="s">
        <v>406</v>
      </c>
      <c r="G141" s="1" t="s">
        <v>404</v>
      </c>
      <c r="H141" s="1">
        <v>540</v>
      </c>
      <c r="I141" s="3">
        <v>46238</v>
      </c>
      <c r="J141" s="3">
        <v>46283</v>
      </c>
      <c r="K141" s="3" t="s">
        <v>2350</v>
      </c>
      <c r="L141" s="22">
        <v>46238.692135416662</v>
      </c>
      <c r="M141" s="20">
        <v>12</v>
      </c>
      <c r="N141" s="1">
        <v>40</v>
      </c>
    </row>
    <row r="142" spans="1:14" x14ac:dyDescent="0.25">
      <c r="A142" t="str">
        <f t="shared" si="6"/>
        <v>H153246H153246</v>
      </c>
      <c r="B142" t="str">
        <f t="shared" si="7"/>
        <v>H153246PV574EVG-W</v>
      </c>
      <c r="C142" s="1" t="s">
        <v>17</v>
      </c>
      <c r="D142" s="1" t="s">
        <v>337</v>
      </c>
      <c r="E142" s="1" t="s">
        <v>405</v>
      </c>
      <c r="F142" s="1" t="s">
        <v>406</v>
      </c>
      <c r="G142" s="1" t="s">
        <v>404</v>
      </c>
      <c r="H142" s="1">
        <v>540</v>
      </c>
      <c r="I142" s="3">
        <v>46238</v>
      </c>
      <c r="J142" s="3">
        <v>46283</v>
      </c>
      <c r="K142" s="3" t="s">
        <v>2350</v>
      </c>
      <c r="L142" s="22">
        <v>46238.692405937501</v>
      </c>
      <c r="M142" s="20">
        <v>12</v>
      </c>
      <c r="N142" s="1">
        <v>19</v>
      </c>
    </row>
    <row r="143" spans="1:14" x14ac:dyDescent="0.25">
      <c r="A143" t="str">
        <f t="shared" si="6"/>
        <v>H153246H153246</v>
      </c>
      <c r="B143" t="str">
        <f t="shared" si="7"/>
        <v>H153246PV574EVG-W</v>
      </c>
      <c r="C143" s="1" t="s">
        <v>17</v>
      </c>
      <c r="D143" s="1" t="s">
        <v>337</v>
      </c>
      <c r="E143" s="1" t="s">
        <v>405</v>
      </c>
      <c r="F143" s="1" t="s">
        <v>406</v>
      </c>
      <c r="G143" s="1" t="s">
        <v>404</v>
      </c>
      <c r="H143" s="1">
        <v>540</v>
      </c>
      <c r="I143" s="3">
        <v>46238</v>
      </c>
      <c r="J143" s="3">
        <v>46283</v>
      </c>
      <c r="K143" s="3" t="s">
        <v>2350</v>
      </c>
      <c r="L143" s="22">
        <v>46238.707078159721</v>
      </c>
      <c r="M143" s="20">
        <v>12</v>
      </c>
      <c r="N143" s="1">
        <v>18</v>
      </c>
    </row>
    <row r="144" spans="1:14" x14ac:dyDescent="0.25">
      <c r="A144" t="str">
        <f t="shared" si="6"/>
        <v>H153246H153246</v>
      </c>
      <c r="B144" t="str">
        <f t="shared" si="7"/>
        <v>H153246PV574EVG-W</v>
      </c>
      <c r="C144" s="1" t="s">
        <v>17</v>
      </c>
      <c r="D144" s="1" t="s">
        <v>337</v>
      </c>
      <c r="E144" s="1" t="s">
        <v>405</v>
      </c>
      <c r="F144" s="1" t="s">
        <v>406</v>
      </c>
      <c r="G144" s="1" t="s">
        <v>404</v>
      </c>
      <c r="H144" s="1">
        <v>540</v>
      </c>
      <c r="I144" s="3">
        <v>46238</v>
      </c>
      <c r="J144" s="3">
        <v>46283</v>
      </c>
      <c r="K144" s="3" t="s">
        <v>2350</v>
      </c>
      <c r="L144" s="22">
        <v>46238.714635844903</v>
      </c>
      <c r="M144" s="20">
        <v>12</v>
      </c>
      <c r="N144" s="1">
        <v>6</v>
      </c>
    </row>
    <row r="145" spans="1:14" x14ac:dyDescent="0.25">
      <c r="A145" t="str">
        <f t="shared" si="6"/>
        <v>H153246H153246</v>
      </c>
      <c r="B145" t="str">
        <f t="shared" si="7"/>
        <v>H153246PV574EVG-W</v>
      </c>
      <c r="C145" s="1" t="s">
        <v>17</v>
      </c>
      <c r="D145" s="1" t="s">
        <v>337</v>
      </c>
      <c r="E145" s="1" t="s">
        <v>405</v>
      </c>
      <c r="F145" s="1" t="s">
        <v>406</v>
      </c>
      <c r="G145" s="1" t="s">
        <v>404</v>
      </c>
      <c r="H145" s="1">
        <v>540</v>
      </c>
      <c r="I145" s="3">
        <v>46238</v>
      </c>
      <c r="J145" s="3">
        <v>46283</v>
      </c>
      <c r="K145" s="3" t="s">
        <v>2350</v>
      </c>
      <c r="L145" s="22">
        <v>46238.715428900461</v>
      </c>
      <c r="M145" s="20">
        <v>12</v>
      </c>
      <c r="N145" s="1">
        <v>25</v>
      </c>
    </row>
    <row r="146" spans="1:14" x14ac:dyDescent="0.25">
      <c r="A146" t="str">
        <f t="shared" si="6"/>
        <v>H153246H153246</v>
      </c>
      <c r="B146" t="str">
        <f t="shared" si="7"/>
        <v>H153246PV574EVG-W</v>
      </c>
      <c r="C146" s="1" t="s">
        <v>17</v>
      </c>
      <c r="D146" s="1" t="s">
        <v>337</v>
      </c>
      <c r="E146" s="1" t="s">
        <v>405</v>
      </c>
      <c r="F146" s="1" t="s">
        <v>406</v>
      </c>
      <c r="G146" s="1" t="s">
        <v>404</v>
      </c>
      <c r="H146" s="1">
        <v>540</v>
      </c>
      <c r="I146" s="3">
        <v>46238</v>
      </c>
      <c r="J146" s="3">
        <v>46283</v>
      </c>
      <c r="K146" s="3" t="s">
        <v>2350</v>
      </c>
      <c r="L146" s="22">
        <v>46238.715669641198</v>
      </c>
      <c r="M146" s="20">
        <v>12</v>
      </c>
      <c r="N146" s="1">
        <v>34</v>
      </c>
    </row>
    <row r="147" spans="1:14" x14ac:dyDescent="0.25">
      <c r="A147" t="str">
        <f t="shared" si="6"/>
        <v>78662527866252</v>
      </c>
      <c r="B147" t="str">
        <f t="shared" si="7"/>
        <v>7866252PV574EVG-M</v>
      </c>
      <c r="C147" s="1" t="s">
        <v>23</v>
      </c>
      <c r="D147" s="1" t="s">
        <v>352</v>
      </c>
      <c r="E147" s="1" t="s">
        <v>385</v>
      </c>
      <c r="F147" s="1" t="s">
        <v>386</v>
      </c>
      <c r="G147" s="1" t="s">
        <v>387</v>
      </c>
      <c r="H147" s="1">
        <v>144</v>
      </c>
      <c r="I147" s="3">
        <v>46239</v>
      </c>
      <c r="J147" s="3">
        <v>46265</v>
      </c>
      <c r="K147" s="3" t="s">
        <v>2351</v>
      </c>
      <c r="L147" s="22">
        <v>46239.456124108794</v>
      </c>
      <c r="M147" s="20">
        <v>12</v>
      </c>
      <c r="N147" s="1">
        <v>6</v>
      </c>
    </row>
    <row r="148" spans="1:14" x14ac:dyDescent="0.25">
      <c r="A148" t="str">
        <f t="shared" si="6"/>
        <v>78662527866252</v>
      </c>
      <c r="B148" t="str">
        <f t="shared" si="7"/>
        <v>7866252PV574EVG-M</v>
      </c>
      <c r="C148" s="1" t="s">
        <v>23</v>
      </c>
      <c r="D148" s="1" t="s">
        <v>352</v>
      </c>
      <c r="E148" s="1" t="s">
        <v>385</v>
      </c>
      <c r="F148" s="1" t="s">
        <v>386</v>
      </c>
      <c r="G148" s="1" t="s">
        <v>387</v>
      </c>
      <c r="H148" s="1">
        <v>144</v>
      </c>
      <c r="I148" s="3">
        <v>46239</v>
      </c>
      <c r="J148" s="3">
        <v>46265</v>
      </c>
      <c r="K148" s="3" t="s">
        <v>2351</v>
      </c>
      <c r="L148" s="22">
        <v>46239.708917708333</v>
      </c>
      <c r="M148" s="20">
        <v>12</v>
      </c>
      <c r="N148" s="1">
        <v>10</v>
      </c>
    </row>
    <row r="149" spans="1:14" x14ac:dyDescent="0.25">
      <c r="A149" t="str">
        <f t="shared" si="6"/>
        <v>78668697866869</v>
      </c>
      <c r="B149" t="str">
        <f t="shared" si="7"/>
        <v>7866869P204L8K2-M</v>
      </c>
      <c r="C149" s="1" t="s">
        <v>14</v>
      </c>
      <c r="D149" s="1" t="s">
        <v>471</v>
      </c>
      <c r="E149" s="1" t="s">
        <v>385</v>
      </c>
      <c r="F149" s="1" t="s">
        <v>386</v>
      </c>
      <c r="G149" s="1" t="s">
        <v>387</v>
      </c>
      <c r="H149" s="1">
        <v>438</v>
      </c>
      <c r="I149" s="3">
        <v>46240</v>
      </c>
      <c r="J149" s="3">
        <v>46245</v>
      </c>
      <c r="K149" s="3" t="s">
        <v>2352</v>
      </c>
      <c r="L149" s="22">
        <v>46240.595147337961</v>
      </c>
      <c r="M149" s="20">
        <v>12</v>
      </c>
      <c r="N149" s="1">
        <v>13</v>
      </c>
    </row>
    <row r="150" spans="1:14" x14ac:dyDescent="0.25">
      <c r="A150" t="str">
        <f t="shared" si="6"/>
        <v>78668697866869</v>
      </c>
      <c r="B150" t="str">
        <f t="shared" si="7"/>
        <v>7866869P204L8K2-M</v>
      </c>
      <c r="C150" s="1" t="s">
        <v>14</v>
      </c>
      <c r="D150" s="1" t="s">
        <v>471</v>
      </c>
      <c r="E150" s="1" t="s">
        <v>385</v>
      </c>
      <c r="F150" s="1" t="s">
        <v>386</v>
      </c>
      <c r="G150" s="1" t="s">
        <v>387</v>
      </c>
      <c r="H150" s="1">
        <v>438</v>
      </c>
      <c r="I150" s="3">
        <v>46240</v>
      </c>
      <c r="J150" s="3">
        <v>46245</v>
      </c>
      <c r="K150" s="3" t="s">
        <v>2352</v>
      </c>
      <c r="L150" s="22">
        <v>46240.653925381943</v>
      </c>
      <c r="M150" s="20">
        <v>12</v>
      </c>
      <c r="N150" s="1">
        <v>17</v>
      </c>
    </row>
    <row r="151" spans="1:14" x14ac:dyDescent="0.25">
      <c r="A151" t="str">
        <f t="shared" si="6"/>
        <v>78668697866869</v>
      </c>
      <c r="B151" t="str">
        <f t="shared" si="7"/>
        <v>7866869P204L8K2-M</v>
      </c>
      <c r="C151" s="1" t="s">
        <v>14</v>
      </c>
      <c r="D151" s="1" t="s">
        <v>471</v>
      </c>
      <c r="E151" s="1" t="s">
        <v>385</v>
      </c>
      <c r="F151" s="1" t="s">
        <v>386</v>
      </c>
      <c r="G151" s="1" t="s">
        <v>387</v>
      </c>
      <c r="H151" s="1">
        <v>438</v>
      </c>
      <c r="I151" s="3">
        <v>46240</v>
      </c>
      <c r="J151" s="3">
        <v>46245</v>
      </c>
      <c r="K151" s="3" t="s">
        <v>2352</v>
      </c>
      <c r="L151" s="22">
        <v>46240.656756747681</v>
      </c>
      <c r="M151" s="20">
        <v>12</v>
      </c>
      <c r="N151" s="1">
        <v>11</v>
      </c>
    </row>
    <row r="152" spans="1:14" x14ac:dyDescent="0.25">
      <c r="A152" t="str">
        <f t="shared" si="6"/>
        <v>78668697866869</v>
      </c>
      <c r="B152" t="str">
        <f t="shared" si="7"/>
        <v>7866869P204L8K2-M</v>
      </c>
      <c r="C152" s="1" t="s">
        <v>14</v>
      </c>
      <c r="D152" s="1" t="s">
        <v>471</v>
      </c>
      <c r="E152" s="1" t="s">
        <v>385</v>
      </c>
      <c r="F152" s="1" t="s">
        <v>386</v>
      </c>
      <c r="G152" s="1" t="s">
        <v>387</v>
      </c>
      <c r="H152" s="1">
        <v>438</v>
      </c>
      <c r="I152" s="3">
        <v>46240</v>
      </c>
      <c r="J152" s="3">
        <v>46245</v>
      </c>
      <c r="K152" s="3" t="s">
        <v>2352</v>
      </c>
      <c r="L152" s="22">
        <v>46240.657881712963</v>
      </c>
      <c r="M152" s="20">
        <v>12</v>
      </c>
      <c r="N152" s="1">
        <v>14</v>
      </c>
    </row>
    <row r="153" spans="1:14" x14ac:dyDescent="0.25">
      <c r="A153" t="str">
        <f t="shared" si="6"/>
        <v>78668697866869</v>
      </c>
      <c r="B153" t="str">
        <f t="shared" si="7"/>
        <v>7866869P204L8K2-M</v>
      </c>
      <c r="C153" s="1" t="s">
        <v>14</v>
      </c>
      <c r="D153" s="1" t="s">
        <v>471</v>
      </c>
      <c r="E153" s="1" t="s">
        <v>385</v>
      </c>
      <c r="F153" s="1" t="s">
        <v>386</v>
      </c>
      <c r="G153" s="1" t="s">
        <v>387</v>
      </c>
      <c r="H153" s="1">
        <v>438</v>
      </c>
      <c r="I153" s="3">
        <v>46240</v>
      </c>
      <c r="J153" s="3">
        <v>46245</v>
      </c>
      <c r="K153" s="3" t="s">
        <v>2352</v>
      </c>
      <c r="L153" s="22">
        <v>46240.659751041661</v>
      </c>
      <c r="M153" s="20">
        <v>12</v>
      </c>
      <c r="N153" s="1">
        <v>6</v>
      </c>
    </row>
    <row r="154" spans="1:14" x14ac:dyDescent="0.25">
      <c r="A154" t="str">
        <f t="shared" si="6"/>
        <v>78668697866869</v>
      </c>
      <c r="B154" t="str">
        <f t="shared" si="7"/>
        <v>7866869P204L8K2-M</v>
      </c>
      <c r="C154" s="1" t="s">
        <v>14</v>
      </c>
      <c r="D154" s="1" t="s">
        <v>471</v>
      </c>
      <c r="E154" s="1" t="s">
        <v>385</v>
      </c>
      <c r="F154" s="1" t="s">
        <v>386</v>
      </c>
      <c r="G154" s="1" t="s">
        <v>387</v>
      </c>
      <c r="H154" s="1">
        <v>438</v>
      </c>
      <c r="I154" s="3">
        <v>46240</v>
      </c>
      <c r="J154" s="3">
        <v>46245</v>
      </c>
      <c r="K154" s="3" t="s">
        <v>2352</v>
      </c>
      <c r="L154" s="22">
        <v>46240.659908067129</v>
      </c>
      <c r="M154" s="20">
        <v>12</v>
      </c>
      <c r="N154" s="1">
        <v>23</v>
      </c>
    </row>
    <row r="155" spans="1:14" x14ac:dyDescent="0.25">
      <c r="A155" t="str">
        <f t="shared" si="6"/>
        <v>78668697866869</v>
      </c>
      <c r="B155" t="str">
        <f t="shared" si="7"/>
        <v>7866869P204L8K2-M</v>
      </c>
      <c r="C155" s="1" t="s">
        <v>14</v>
      </c>
      <c r="D155" s="1" t="s">
        <v>471</v>
      </c>
      <c r="E155" s="1" t="s">
        <v>385</v>
      </c>
      <c r="F155" s="1" t="s">
        <v>386</v>
      </c>
      <c r="G155" s="1" t="s">
        <v>387</v>
      </c>
      <c r="H155" s="1">
        <v>438</v>
      </c>
      <c r="I155" s="3">
        <v>46240</v>
      </c>
      <c r="J155" s="3">
        <v>46245</v>
      </c>
      <c r="K155" s="3" t="s">
        <v>2352</v>
      </c>
      <c r="L155" s="22">
        <v>46240.660114733793</v>
      </c>
      <c r="M155" s="20">
        <v>12</v>
      </c>
      <c r="N155" s="1">
        <v>9</v>
      </c>
    </row>
    <row r="156" spans="1:14" x14ac:dyDescent="0.25">
      <c r="A156" t="str">
        <f t="shared" si="6"/>
        <v>78668697866869</v>
      </c>
      <c r="B156" t="str">
        <f t="shared" si="7"/>
        <v>7866869P204L8K2-M</v>
      </c>
      <c r="C156" s="1" t="s">
        <v>14</v>
      </c>
      <c r="D156" s="1" t="s">
        <v>471</v>
      </c>
      <c r="E156" s="1" t="s">
        <v>385</v>
      </c>
      <c r="F156" s="1" t="s">
        <v>386</v>
      </c>
      <c r="G156" s="1" t="s">
        <v>387</v>
      </c>
      <c r="H156" s="1">
        <v>438</v>
      </c>
      <c r="I156" s="3">
        <v>46240</v>
      </c>
      <c r="J156" s="3">
        <v>46245</v>
      </c>
      <c r="K156" s="3" t="s">
        <v>2352</v>
      </c>
      <c r="L156" s="22">
        <v>46240.66525917824</v>
      </c>
      <c r="M156" s="20">
        <v>12</v>
      </c>
      <c r="N156" s="1">
        <v>29</v>
      </c>
    </row>
    <row r="157" spans="1:14" x14ac:dyDescent="0.25">
      <c r="A157" t="str">
        <f t="shared" si="6"/>
        <v>78668697866869</v>
      </c>
      <c r="B157" t="str">
        <f t="shared" si="7"/>
        <v>7866869P204L8K2-M</v>
      </c>
      <c r="C157" s="1" t="s">
        <v>14</v>
      </c>
      <c r="D157" s="1" t="s">
        <v>471</v>
      </c>
      <c r="E157" s="1" t="s">
        <v>385</v>
      </c>
      <c r="F157" s="1" t="s">
        <v>386</v>
      </c>
      <c r="G157" s="1" t="s">
        <v>387</v>
      </c>
      <c r="H157" s="1">
        <v>438</v>
      </c>
      <c r="I157" s="3">
        <v>46240</v>
      </c>
      <c r="J157" s="3">
        <v>46245</v>
      </c>
      <c r="K157" s="3" t="s">
        <v>2352</v>
      </c>
      <c r="L157" s="22">
        <v>46240.666802581014</v>
      </c>
      <c r="M157" s="20">
        <v>12</v>
      </c>
      <c r="N157" s="1">
        <v>4</v>
      </c>
    </row>
    <row r="158" spans="1:14" x14ac:dyDescent="0.25">
      <c r="A158" t="str">
        <f t="shared" si="6"/>
        <v>78668697866869</v>
      </c>
      <c r="B158" t="str">
        <f t="shared" si="7"/>
        <v>7866869P204L8K2-M</v>
      </c>
      <c r="C158" s="1" t="s">
        <v>14</v>
      </c>
      <c r="D158" s="1" t="s">
        <v>471</v>
      </c>
      <c r="E158" s="1" t="s">
        <v>385</v>
      </c>
      <c r="F158" s="1" t="s">
        <v>386</v>
      </c>
      <c r="G158" s="1" t="s">
        <v>387</v>
      </c>
      <c r="H158" s="1">
        <v>438</v>
      </c>
      <c r="I158" s="3">
        <v>46240</v>
      </c>
      <c r="J158" s="3">
        <v>46245</v>
      </c>
      <c r="K158" s="3" t="s">
        <v>2352</v>
      </c>
      <c r="L158" s="22">
        <v>46240.671472071757</v>
      </c>
      <c r="M158" s="20">
        <v>12</v>
      </c>
      <c r="N158" s="1">
        <v>18</v>
      </c>
    </row>
    <row r="159" spans="1:14" x14ac:dyDescent="0.25">
      <c r="A159" t="str">
        <f t="shared" si="6"/>
        <v>78668697866869</v>
      </c>
      <c r="B159" t="str">
        <f t="shared" si="7"/>
        <v>7866869P204L8K2-M</v>
      </c>
      <c r="C159" s="1" t="s">
        <v>14</v>
      </c>
      <c r="D159" s="1" t="s">
        <v>471</v>
      </c>
      <c r="E159" s="1" t="s">
        <v>385</v>
      </c>
      <c r="F159" s="1" t="s">
        <v>386</v>
      </c>
      <c r="G159" s="1" t="s">
        <v>387</v>
      </c>
      <c r="H159" s="1">
        <v>438</v>
      </c>
      <c r="I159" s="3">
        <v>46240</v>
      </c>
      <c r="J159" s="3">
        <v>46245</v>
      </c>
      <c r="K159" s="3" t="s">
        <v>2352</v>
      </c>
      <c r="L159" s="22">
        <v>46240.671840543982</v>
      </c>
      <c r="M159" s="20">
        <v>6</v>
      </c>
      <c r="N159" s="1">
        <v>37</v>
      </c>
    </row>
    <row r="160" spans="1:14" x14ac:dyDescent="0.25">
      <c r="A160" t="str">
        <f t="shared" si="6"/>
        <v>78668697866869</v>
      </c>
      <c r="B160" t="str">
        <f t="shared" si="7"/>
        <v>7866869P204L8K2-M</v>
      </c>
      <c r="C160" s="1" t="s">
        <v>14</v>
      </c>
      <c r="D160" s="1" t="s">
        <v>471</v>
      </c>
      <c r="E160" s="1" t="s">
        <v>385</v>
      </c>
      <c r="F160" s="1" t="s">
        <v>386</v>
      </c>
      <c r="G160" s="1" t="s">
        <v>387</v>
      </c>
      <c r="H160" s="1">
        <v>438</v>
      </c>
      <c r="I160" s="3">
        <v>46240</v>
      </c>
      <c r="J160" s="3">
        <v>46245</v>
      </c>
      <c r="K160" s="3" t="s">
        <v>2352</v>
      </c>
      <c r="L160" s="22">
        <v>46240.672001469902</v>
      </c>
      <c r="M160" s="20">
        <v>6</v>
      </c>
      <c r="N160" s="1">
        <v>35</v>
      </c>
    </row>
    <row r="161" spans="1:14" x14ac:dyDescent="0.25">
      <c r="A161" t="str">
        <f t="shared" si="6"/>
        <v>78668697866869</v>
      </c>
      <c r="B161" t="str">
        <f t="shared" si="7"/>
        <v>7866869P204L8K2-M</v>
      </c>
      <c r="C161" s="1" t="s">
        <v>14</v>
      </c>
      <c r="D161" s="1" t="s">
        <v>471</v>
      </c>
      <c r="E161" s="1" t="s">
        <v>385</v>
      </c>
      <c r="F161" s="1" t="s">
        <v>386</v>
      </c>
      <c r="G161" s="1" t="s">
        <v>387</v>
      </c>
      <c r="H161" s="1">
        <v>438</v>
      </c>
      <c r="I161" s="3">
        <v>46240</v>
      </c>
      <c r="J161" s="3">
        <v>46245</v>
      </c>
      <c r="K161" s="3" t="s">
        <v>2352</v>
      </c>
      <c r="L161" s="22">
        <v>46240.676503622686</v>
      </c>
      <c r="M161" s="20">
        <v>12</v>
      </c>
      <c r="N161" s="1">
        <v>5</v>
      </c>
    </row>
    <row r="162" spans="1:14" x14ac:dyDescent="0.25">
      <c r="A162" t="str">
        <f t="shared" si="6"/>
        <v>78668697866869</v>
      </c>
      <c r="B162" t="str">
        <f t="shared" si="7"/>
        <v>7866869P204L8K2-M</v>
      </c>
      <c r="C162" s="1" t="s">
        <v>14</v>
      </c>
      <c r="D162" s="1" t="s">
        <v>471</v>
      </c>
      <c r="E162" s="1" t="s">
        <v>385</v>
      </c>
      <c r="F162" s="1" t="s">
        <v>386</v>
      </c>
      <c r="G162" s="1" t="s">
        <v>387</v>
      </c>
      <c r="H162" s="1">
        <v>438</v>
      </c>
      <c r="I162" s="3">
        <v>46240</v>
      </c>
      <c r="J162" s="3">
        <v>46245</v>
      </c>
      <c r="K162" s="3" t="s">
        <v>2352</v>
      </c>
      <c r="L162" s="22">
        <v>46240.676678043979</v>
      </c>
      <c r="M162" s="20">
        <v>12</v>
      </c>
      <c r="N162" s="1">
        <v>15</v>
      </c>
    </row>
    <row r="163" spans="1:14" x14ac:dyDescent="0.25">
      <c r="A163" t="str">
        <f t="shared" si="6"/>
        <v>78668697866869</v>
      </c>
      <c r="B163" t="str">
        <f t="shared" si="7"/>
        <v>7866869P204L8K2-M</v>
      </c>
      <c r="C163" s="1" t="s">
        <v>14</v>
      </c>
      <c r="D163" s="1" t="s">
        <v>471</v>
      </c>
      <c r="E163" s="1" t="s">
        <v>385</v>
      </c>
      <c r="F163" s="1" t="s">
        <v>386</v>
      </c>
      <c r="G163" s="1" t="s">
        <v>387</v>
      </c>
      <c r="H163" s="1">
        <v>438</v>
      </c>
      <c r="I163" s="3">
        <v>46240</v>
      </c>
      <c r="J163" s="3">
        <v>46245</v>
      </c>
      <c r="K163" s="3" t="s">
        <v>2352</v>
      </c>
      <c r="L163" s="22">
        <v>46240.67725601852</v>
      </c>
      <c r="M163" s="20">
        <v>12</v>
      </c>
      <c r="N163" s="1">
        <v>2</v>
      </c>
    </row>
    <row r="164" spans="1:14" x14ac:dyDescent="0.25">
      <c r="A164" t="str">
        <f t="shared" si="6"/>
        <v>78743317874331</v>
      </c>
      <c r="B164" t="str">
        <f t="shared" si="7"/>
        <v>7874331P204L8K2-M</v>
      </c>
      <c r="C164" s="1" t="s">
        <v>14</v>
      </c>
      <c r="D164" s="1" t="s">
        <v>473</v>
      </c>
      <c r="E164" s="1" t="s">
        <v>392</v>
      </c>
      <c r="F164" s="1" t="s">
        <v>393</v>
      </c>
      <c r="G164" s="1" t="s">
        <v>394</v>
      </c>
      <c r="H164" s="1">
        <v>462</v>
      </c>
      <c r="I164" s="3">
        <v>46240</v>
      </c>
      <c r="J164" s="3">
        <v>46246</v>
      </c>
      <c r="K164" s="3" t="s">
        <v>2353</v>
      </c>
      <c r="L164" s="22">
        <v>46240.67801924768</v>
      </c>
      <c r="M164" s="20">
        <v>12</v>
      </c>
      <c r="N164" s="1">
        <v>33</v>
      </c>
    </row>
    <row r="165" spans="1:14" x14ac:dyDescent="0.25">
      <c r="A165" t="str">
        <f t="shared" si="6"/>
        <v>78743317874331</v>
      </c>
      <c r="B165" t="str">
        <f t="shared" si="7"/>
        <v>7874331P204L8K2-M</v>
      </c>
      <c r="C165" s="1" t="s">
        <v>14</v>
      </c>
      <c r="D165" s="1" t="s">
        <v>473</v>
      </c>
      <c r="E165" s="1" t="s">
        <v>392</v>
      </c>
      <c r="F165" s="1" t="s">
        <v>393</v>
      </c>
      <c r="G165" s="1" t="s">
        <v>394</v>
      </c>
      <c r="H165" s="1">
        <v>462</v>
      </c>
      <c r="I165" s="3">
        <v>46240</v>
      </c>
      <c r="J165" s="3">
        <v>46246</v>
      </c>
      <c r="K165" s="3" t="s">
        <v>2353</v>
      </c>
      <c r="L165" s="22">
        <v>46240.678627662033</v>
      </c>
      <c r="M165" s="20">
        <v>12</v>
      </c>
      <c r="N165" s="1">
        <v>32</v>
      </c>
    </row>
    <row r="166" spans="1:14" x14ac:dyDescent="0.25">
      <c r="A166" t="str">
        <f t="shared" si="6"/>
        <v>78743317874331</v>
      </c>
      <c r="B166" t="str">
        <f t="shared" si="7"/>
        <v>7874331P204L8K2-M</v>
      </c>
      <c r="C166" s="1" t="s">
        <v>14</v>
      </c>
      <c r="D166" s="1" t="s">
        <v>473</v>
      </c>
      <c r="E166" s="1" t="s">
        <v>392</v>
      </c>
      <c r="F166" s="1" t="s">
        <v>393</v>
      </c>
      <c r="G166" s="1" t="s">
        <v>394</v>
      </c>
      <c r="H166" s="1">
        <v>462</v>
      </c>
      <c r="I166" s="3">
        <v>46240</v>
      </c>
      <c r="J166" s="3">
        <v>46246</v>
      </c>
      <c r="K166" s="3" t="s">
        <v>2353</v>
      </c>
      <c r="L166" s="22">
        <v>46240.692659027773</v>
      </c>
      <c r="M166" s="20">
        <v>12</v>
      </c>
      <c r="N166" s="1">
        <v>11</v>
      </c>
    </row>
    <row r="167" spans="1:14" x14ac:dyDescent="0.25">
      <c r="A167" t="str">
        <f t="shared" si="6"/>
        <v>78743317874331</v>
      </c>
      <c r="B167" t="str">
        <f t="shared" si="7"/>
        <v>7874331P204L8K2-M</v>
      </c>
      <c r="C167" s="1" t="s">
        <v>14</v>
      </c>
      <c r="D167" s="1" t="s">
        <v>473</v>
      </c>
      <c r="E167" s="1" t="s">
        <v>392</v>
      </c>
      <c r="F167" s="1" t="s">
        <v>393</v>
      </c>
      <c r="G167" s="1" t="s">
        <v>394</v>
      </c>
      <c r="H167" s="1">
        <v>462</v>
      </c>
      <c r="I167" s="3">
        <v>46240</v>
      </c>
      <c r="J167" s="3">
        <v>46246</v>
      </c>
      <c r="K167" s="3" t="s">
        <v>2353</v>
      </c>
      <c r="L167" s="22">
        <v>46240.69282708333</v>
      </c>
      <c r="M167" s="20">
        <v>12</v>
      </c>
      <c r="N167" s="1">
        <v>20</v>
      </c>
    </row>
    <row r="168" spans="1:14" x14ac:dyDescent="0.25">
      <c r="A168" t="str">
        <f t="shared" si="6"/>
        <v>78743317874331</v>
      </c>
      <c r="B168" t="str">
        <f t="shared" si="7"/>
        <v>7874331P204L8K2-M</v>
      </c>
      <c r="C168" s="1" t="s">
        <v>14</v>
      </c>
      <c r="D168" s="1" t="s">
        <v>473</v>
      </c>
      <c r="E168" s="1" t="s">
        <v>392</v>
      </c>
      <c r="F168" s="1" t="s">
        <v>393</v>
      </c>
      <c r="G168" s="1" t="s">
        <v>394</v>
      </c>
      <c r="H168" s="1">
        <v>462</v>
      </c>
      <c r="I168" s="3">
        <v>46240</v>
      </c>
      <c r="J168" s="3">
        <v>46246</v>
      </c>
      <c r="K168" s="3" t="s">
        <v>2353</v>
      </c>
      <c r="L168" s="22">
        <v>46240.693207638884</v>
      </c>
      <c r="M168" s="20">
        <v>12</v>
      </c>
      <c r="N168" s="1">
        <v>7</v>
      </c>
    </row>
    <row r="169" spans="1:14" x14ac:dyDescent="0.25">
      <c r="A169" t="str">
        <f t="shared" si="6"/>
        <v>78743317874331</v>
      </c>
      <c r="B169" t="str">
        <f t="shared" si="7"/>
        <v>7874331P204L8K2-M</v>
      </c>
      <c r="C169" s="1" t="s">
        <v>14</v>
      </c>
      <c r="D169" s="1" t="s">
        <v>473</v>
      </c>
      <c r="E169" s="1" t="s">
        <v>392</v>
      </c>
      <c r="F169" s="1" t="s">
        <v>393</v>
      </c>
      <c r="G169" s="1" t="s">
        <v>394</v>
      </c>
      <c r="H169" s="1">
        <v>462</v>
      </c>
      <c r="I169" s="3">
        <v>46240</v>
      </c>
      <c r="J169" s="3">
        <v>46246</v>
      </c>
      <c r="K169" s="3" t="s">
        <v>2353</v>
      </c>
      <c r="L169" s="22">
        <v>46240.693350578702</v>
      </c>
      <c r="M169" s="20">
        <v>12</v>
      </c>
      <c r="N169" s="1">
        <v>15</v>
      </c>
    </row>
    <row r="170" spans="1:14" x14ac:dyDescent="0.25">
      <c r="A170" t="str">
        <f t="shared" si="6"/>
        <v>78667817866781</v>
      </c>
      <c r="B170" t="str">
        <f t="shared" si="7"/>
        <v>7866781P5745L4-M</v>
      </c>
      <c r="C170" s="1" t="s">
        <v>470</v>
      </c>
      <c r="D170" s="1" t="s">
        <v>480</v>
      </c>
      <c r="E170" s="1" t="s">
        <v>382</v>
      </c>
      <c r="F170" s="1" t="s">
        <v>383</v>
      </c>
      <c r="G170" s="1" t="s">
        <v>390</v>
      </c>
      <c r="H170" s="1">
        <v>240</v>
      </c>
      <c r="I170" s="3">
        <v>46241</v>
      </c>
      <c r="J170" s="3">
        <v>46273</v>
      </c>
      <c r="K170" s="3" t="s">
        <v>2354</v>
      </c>
      <c r="L170" s="22">
        <v>46241.693695833332</v>
      </c>
      <c r="M170" s="20">
        <v>12</v>
      </c>
      <c r="N170" s="1">
        <v>7</v>
      </c>
    </row>
    <row r="171" spans="1:14" x14ac:dyDescent="0.25">
      <c r="A171" t="str">
        <f t="shared" si="6"/>
        <v>78667817866781</v>
      </c>
      <c r="B171" t="str">
        <f t="shared" si="7"/>
        <v>7866781P5745L4-M</v>
      </c>
      <c r="C171" s="1" t="s">
        <v>470</v>
      </c>
      <c r="D171" s="1" t="s">
        <v>480</v>
      </c>
      <c r="E171" s="1" t="s">
        <v>382</v>
      </c>
      <c r="F171" s="1" t="s">
        <v>383</v>
      </c>
      <c r="G171" s="1" t="s">
        <v>390</v>
      </c>
      <c r="H171" s="1">
        <v>240</v>
      </c>
      <c r="I171" s="3">
        <v>46241</v>
      </c>
      <c r="J171" s="3">
        <v>46273</v>
      </c>
      <c r="K171" s="3" t="s">
        <v>2354</v>
      </c>
      <c r="L171" s="22">
        <v>46241.728501423611</v>
      </c>
      <c r="M171" s="20">
        <v>12</v>
      </c>
      <c r="N171" s="1">
        <v>12</v>
      </c>
    </row>
    <row r="172" spans="1:14" x14ac:dyDescent="0.25">
      <c r="A172" t="str">
        <f t="shared" si="6"/>
        <v>78667817866781</v>
      </c>
      <c r="B172" t="str">
        <f t="shared" si="7"/>
        <v>7866781P5745L4-M</v>
      </c>
      <c r="C172" s="1" t="s">
        <v>470</v>
      </c>
      <c r="D172" s="1" t="s">
        <v>480</v>
      </c>
      <c r="E172" s="1" t="s">
        <v>382</v>
      </c>
      <c r="F172" s="1" t="s">
        <v>383</v>
      </c>
      <c r="G172" s="1" t="s">
        <v>390</v>
      </c>
      <c r="H172" s="1">
        <v>240</v>
      </c>
      <c r="I172" s="3">
        <v>46241</v>
      </c>
      <c r="J172" s="3">
        <v>46273</v>
      </c>
      <c r="K172" s="3" t="s">
        <v>2354</v>
      </c>
      <c r="L172" s="22">
        <v>46241.729940081015</v>
      </c>
      <c r="M172" s="20">
        <v>12</v>
      </c>
      <c r="N172" s="1">
        <v>14</v>
      </c>
    </row>
    <row r="173" spans="1:14" x14ac:dyDescent="0.25">
      <c r="A173" t="str">
        <f t="shared" si="6"/>
        <v>78667817866781</v>
      </c>
      <c r="B173" t="str">
        <f t="shared" si="7"/>
        <v>7866781P5745L4-M</v>
      </c>
      <c r="C173" s="1" t="s">
        <v>470</v>
      </c>
      <c r="D173" s="1" t="s">
        <v>480</v>
      </c>
      <c r="E173" s="1" t="s">
        <v>382</v>
      </c>
      <c r="F173" s="1" t="s">
        <v>383</v>
      </c>
      <c r="G173" s="1" t="s">
        <v>390</v>
      </c>
      <c r="H173" s="1">
        <v>240</v>
      </c>
      <c r="I173" s="3">
        <v>46241</v>
      </c>
      <c r="J173" s="3">
        <v>46273</v>
      </c>
      <c r="K173" s="3" t="s">
        <v>2354</v>
      </c>
      <c r="L173" s="22">
        <v>46241.735227662037</v>
      </c>
      <c r="M173" s="20">
        <v>12</v>
      </c>
      <c r="N173" s="1">
        <v>6</v>
      </c>
    </row>
    <row r="174" spans="1:14" x14ac:dyDescent="0.25">
      <c r="A174" t="str">
        <f t="shared" si="6"/>
        <v>78668837866883</v>
      </c>
      <c r="B174" t="str">
        <f t="shared" si="7"/>
        <v>7866883PC574EVW-M</v>
      </c>
      <c r="C174" s="1" t="s">
        <v>34</v>
      </c>
      <c r="D174" s="1" t="s">
        <v>476</v>
      </c>
      <c r="E174" s="1" t="s">
        <v>382</v>
      </c>
      <c r="F174" s="1" t="s">
        <v>383</v>
      </c>
      <c r="G174" s="1" t="s">
        <v>390</v>
      </c>
      <c r="H174" s="1">
        <v>276</v>
      </c>
      <c r="I174" s="3">
        <v>46241</v>
      </c>
      <c r="J174" s="3">
        <v>46247</v>
      </c>
      <c r="K174" s="3" t="s">
        <v>2353</v>
      </c>
      <c r="L174" s="22">
        <v>46241.458019444442</v>
      </c>
      <c r="M174" s="20">
        <v>12</v>
      </c>
      <c r="N174" s="1">
        <v>12</v>
      </c>
    </row>
    <row r="175" spans="1:14" x14ac:dyDescent="0.25">
      <c r="A175" t="str">
        <f t="shared" si="6"/>
        <v>78668837866883</v>
      </c>
      <c r="B175" t="str">
        <f t="shared" si="7"/>
        <v>7866883PC574EVW-M</v>
      </c>
      <c r="C175" s="1" t="s">
        <v>34</v>
      </c>
      <c r="D175" s="1" t="s">
        <v>476</v>
      </c>
      <c r="E175" s="1" t="s">
        <v>382</v>
      </c>
      <c r="F175" s="1" t="s">
        <v>383</v>
      </c>
      <c r="G175" s="1" t="s">
        <v>390</v>
      </c>
      <c r="H175" s="1">
        <v>276</v>
      </c>
      <c r="I175" s="3">
        <v>46241</v>
      </c>
      <c r="J175" s="3">
        <v>46247</v>
      </c>
      <c r="K175" s="3" t="s">
        <v>2353</v>
      </c>
      <c r="L175" s="22">
        <v>46241.458408645834</v>
      </c>
      <c r="M175" s="20">
        <v>12</v>
      </c>
      <c r="N175" s="1">
        <v>8</v>
      </c>
    </row>
    <row r="176" spans="1:14" x14ac:dyDescent="0.25">
      <c r="A176" t="str">
        <f t="shared" si="6"/>
        <v>78668837866883</v>
      </c>
      <c r="B176" t="str">
        <f t="shared" si="7"/>
        <v>7866883PC574EVW-M</v>
      </c>
      <c r="C176" s="1" t="s">
        <v>34</v>
      </c>
      <c r="D176" s="1" t="s">
        <v>476</v>
      </c>
      <c r="E176" s="1" t="s">
        <v>382</v>
      </c>
      <c r="F176" s="1" t="s">
        <v>383</v>
      </c>
      <c r="G176" s="1" t="s">
        <v>390</v>
      </c>
      <c r="H176" s="1">
        <v>276</v>
      </c>
      <c r="I176" s="3">
        <v>46241</v>
      </c>
      <c r="J176" s="3">
        <v>46247</v>
      </c>
      <c r="K176" s="3" t="s">
        <v>2353</v>
      </c>
      <c r="L176" s="22">
        <v>46241.458808599535</v>
      </c>
      <c r="M176" s="20">
        <v>12</v>
      </c>
      <c r="N176" s="1">
        <v>9</v>
      </c>
    </row>
    <row r="177" spans="1:14" x14ac:dyDescent="0.25">
      <c r="A177" t="str">
        <f t="shared" si="6"/>
        <v>78668837866883</v>
      </c>
      <c r="B177" t="str">
        <f t="shared" si="7"/>
        <v>7866883PC574EVW-M</v>
      </c>
      <c r="C177" s="1" t="s">
        <v>34</v>
      </c>
      <c r="D177" s="1" t="s">
        <v>476</v>
      </c>
      <c r="E177" s="1" t="s">
        <v>382</v>
      </c>
      <c r="F177" s="1" t="s">
        <v>383</v>
      </c>
      <c r="G177" s="1" t="s">
        <v>390</v>
      </c>
      <c r="H177" s="1">
        <v>276</v>
      </c>
      <c r="I177" s="3">
        <v>46241</v>
      </c>
      <c r="J177" s="3">
        <v>46247</v>
      </c>
      <c r="K177" s="3" t="s">
        <v>2353</v>
      </c>
      <c r="L177" s="22">
        <v>46241.459551967593</v>
      </c>
      <c r="M177" s="20">
        <v>12</v>
      </c>
      <c r="N177" s="1">
        <v>20</v>
      </c>
    </row>
    <row r="178" spans="1:14" x14ac:dyDescent="0.25">
      <c r="A178" t="str">
        <f t="shared" si="6"/>
        <v>78668837866883</v>
      </c>
      <c r="B178" t="str">
        <f t="shared" si="7"/>
        <v>7866883PC574EVW-M</v>
      </c>
      <c r="C178" s="1" t="s">
        <v>34</v>
      </c>
      <c r="D178" s="1" t="s">
        <v>476</v>
      </c>
      <c r="E178" s="1" t="s">
        <v>382</v>
      </c>
      <c r="F178" s="1" t="s">
        <v>383</v>
      </c>
      <c r="G178" s="1" t="s">
        <v>390</v>
      </c>
      <c r="H178" s="1">
        <v>276</v>
      </c>
      <c r="I178" s="3">
        <v>46241</v>
      </c>
      <c r="J178" s="3">
        <v>46247</v>
      </c>
      <c r="K178" s="3" t="s">
        <v>2353</v>
      </c>
      <c r="L178" s="22">
        <v>46241.469148958335</v>
      </c>
      <c r="M178" s="20">
        <v>12</v>
      </c>
      <c r="N178" s="1">
        <v>16</v>
      </c>
    </row>
    <row r="179" spans="1:14" x14ac:dyDescent="0.25">
      <c r="A179" t="str">
        <f t="shared" si="6"/>
        <v>78668837866883</v>
      </c>
      <c r="B179" t="str">
        <f t="shared" si="7"/>
        <v>7866883PC574EVW-M</v>
      </c>
      <c r="C179" s="1" t="s">
        <v>34</v>
      </c>
      <c r="D179" s="1" t="s">
        <v>476</v>
      </c>
      <c r="E179" s="1" t="s">
        <v>382</v>
      </c>
      <c r="F179" s="1" t="s">
        <v>383</v>
      </c>
      <c r="G179" s="1" t="s">
        <v>390</v>
      </c>
      <c r="H179" s="1">
        <v>276</v>
      </c>
      <c r="I179" s="3">
        <v>46241</v>
      </c>
      <c r="J179" s="3">
        <v>46247</v>
      </c>
      <c r="K179" s="3" t="s">
        <v>2353</v>
      </c>
      <c r="L179" s="22">
        <v>46241.469325497681</v>
      </c>
      <c r="M179" s="20">
        <v>12</v>
      </c>
      <c r="N179" s="1">
        <v>1</v>
      </c>
    </row>
    <row r="180" spans="1:14" x14ac:dyDescent="0.25">
      <c r="A180" t="str">
        <f t="shared" si="6"/>
        <v>78668837866883</v>
      </c>
      <c r="B180" t="str">
        <f t="shared" si="7"/>
        <v>7866883PC574EVW-M</v>
      </c>
      <c r="C180" s="1" t="s">
        <v>34</v>
      </c>
      <c r="D180" s="1" t="s">
        <v>476</v>
      </c>
      <c r="E180" s="1" t="s">
        <v>382</v>
      </c>
      <c r="F180" s="1" t="s">
        <v>383</v>
      </c>
      <c r="G180" s="1" t="s">
        <v>390</v>
      </c>
      <c r="H180" s="1">
        <v>276</v>
      </c>
      <c r="I180" s="3">
        <v>46241</v>
      </c>
      <c r="J180" s="3">
        <v>46247</v>
      </c>
      <c r="K180" s="3" t="s">
        <v>2353</v>
      </c>
      <c r="L180" s="22">
        <v>46241.552301967589</v>
      </c>
      <c r="M180" s="20">
        <v>12</v>
      </c>
      <c r="N180" s="1">
        <v>14</v>
      </c>
    </row>
    <row r="181" spans="1:14" x14ac:dyDescent="0.25">
      <c r="A181" t="str">
        <f t="shared" si="6"/>
        <v>78668837866883</v>
      </c>
      <c r="B181" t="str">
        <f t="shared" si="7"/>
        <v>7866883PC574EVW-M</v>
      </c>
      <c r="C181" s="1" t="s">
        <v>34</v>
      </c>
      <c r="D181" s="1" t="s">
        <v>476</v>
      </c>
      <c r="E181" s="1" t="s">
        <v>382</v>
      </c>
      <c r="F181" s="1" t="s">
        <v>383</v>
      </c>
      <c r="G181" s="1" t="s">
        <v>390</v>
      </c>
      <c r="H181" s="1">
        <v>276</v>
      </c>
      <c r="I181" s="3">
        <v>46241</v>
      </c>
      <c r="J181" s="3">
        <v>46247</v>
      </c>
      <c r="K181" s="3" t="s">
        <v>2353</v>
      </c>
      <c r="L181" s="22">
        <v>46241.554592673609</v>
      </c>
      <c r="M181" s="20">
        <v>12</v>
      </c>
      <c r="N181" s="1">
        <v>18</v>
      </c>
    </row>
    <row r="182" spans="1:14" x14ac:dyDescent="0.25">
      <c r="A182" t="str">
        <f t="shared" si="6"/>
        <v>78668837866883</v>
      </c>
      <c r="B182" t="str">
        <f t="shared" si="7"/>
        <v>7866883PC574EVW-M</v>
      </c>
      <c r="C182" s="1" t="s">
        <v>34</v>
      </c>
      <c r="D182" s="1" t="s">
        <v>476</v>
      </c>
      <c r="E182" s="1" t="s">
        <v>382</v>
      </c>
      <c r="F182" s="1" t="s">
        <v>383</v>
      </c>
      <c r="G182" s="1" t="s">
        <v>390</v>
      </c>
      <c r="H182" s="1">
        <v>276</v>
      </c>
      <c r="I182" s="3">
        <v>46241</v>
      </c>
      <c r="J182" s="3">
        <v>46247</v>
      </c>
      <c r="K182" s="3" t="s">
        <v>2353</v>
      </c>
      <c r="L182" s="22">
        <v>46241.5548408912</v>
      </c>
      <c r="M182" s="20">
        <v>12</v>
      </c>
      <c r="N182" s="1">
        <v>7</v>
      </c>
    </row>
    <row r="183" spans="1:14" x14ac:dyDescent="0.25">
      <c r="A183" t="str">
        <f t="shared" si="6"/>
        <v>78668837866883</v>
      </c>
      <c r="B183" t="str">
        <f t="shared" si="7"/>
        <v>7866883PC574EVW-M</v>
      </c>
      <c r="C183" s="1" t="s">
        <v>34</v>
      </c>
      <c r="D183" s="1" t="s">
        <v>476</v>
      </c>
      <c r="E183" s="1" t="s">
        <v>382</v>
      </c>
      <c r="F183" s="1" t="s">
        <v>383</v>
      </c>
      <c r="G183" s="1" t="s">
        <v>390</v>
      </c>
      <c r="H183" s="1">
        <v>276</v>
      </c>
      <c r="I183" s="3">
        <v>46241</v>
      </c>
      <c r="J183" s="3">
        <v>46247</v>
      </c>
      <c r="K183" s="3" t="s">
        <v>2353</v>
      </c>
      <c r="L183" s="22">
        <v>46241.555462268516</v>
      </c>
      <c r="M183" s="20">
        <v>12</v>
      </c>
      <c r="N183" s="1">
        <v>19</v>
      </c>
    </row>
    <row r="184" spans="1:14" x14ac:dyDescent="0.25">
      <c r="A184" t="str">
        <f t="shared" si="6"/>
        <v>78668837866883</v>
      </c>
      <c r="B184" t="str">
        <f t="shared" si="7"/>
        <v>7866883PC574EVW-M</v>
      </c>
      <c r="C184" s="1" t="s">
        <v>34</v>
      </c>
      <c r="D184" s="1" t="s">
        <v>476</v>
      </c>
      <c r="E184" s="1" t="s">
        <v>382</v>
      </c>
      <c r="F184" s="1" t="s">
        <v>383</v>
      </c>
      <c r="G184" s="1" t="s">
        <v>390</v>
      </c>
      <c r="H184" s="1">
        <v>276</v>
      </c>
      <c r="I184" s="3">
        <v>46241</v>
      </c>
      <c r="J184" s="3">
        <v>46247</v>
      </c>
      <c r="K184" s="3" t="s">
        <v>2353</v>
      </c>
      <c r="L184" s="22">
        <v>46241.55563052083</v>
      </c>
      <c r="M184" s="20">
        <v>12</v>
      </c>
      <c r="N184" s="1">
        <v>11</v>
      </c>
    </row>
    <row r="185" spans="1:14" x14ac:dyDescent="0.25">
      <c r="A185" t="str">
        <f t="shared" si="6"/>
        <v>78668837866883</v>
      </c>
      <c r="B185" t="str">
        <f t="shared" si="7"/>
        <v>7866883PC574EVW-M</v>
      </c>
      <c r="C185" s="1" t="s">
        <v>34</v>
      </c>
      <c r="D185" s="1" t="s">
        <v>476</v>
      </c>
      <c r="E185" s="1" t="s">
        <v>382</v>
      </c>
      <c r="F185" s="1" t="s">
        <v>383</v>
      </c>
      <c r="G185" s="1" t="s">
        <v>390</v>
      </c>
      <c r="H185" s="1">
        <v>276</v>
      </c>
      <c r="I185" s="3">
        <v>46241</v>
      </c>
      <c r="J185" s="3">
        <v>46247</v>
      </c>
      <c r="K185" s="3" t="s">
        <v>2353</v>
      </c>
      <c r="L185" s="22">
        <v>46241.568220173613</v>
      </c>
      <c r="M185" s="20">
        <v>12</v>
      </c>
      <c r="N185" s="1">
        <v>13</v>
      </c>
    </row>
    <row r="186" spans="1:14" x14ac:dyDescent="0.25">
      <c r="A186" t="str">
        <f t="shared" si="6"/>
        <v>78668837866883</v>
      </c>
      <c r="B186" t="str">
        <f t="shared" si="7"/>
        <v>7866883PC574EVW-M</v>
      </c>
      <c r="C186" s="1" t="s">
        <v>34</v>
      </c>
      <c r="D186" s="1" t="s">
        <v>476</v>
      </c>
      <c r="E186" s="1" t="s">
        <v>382</v>
      </c>
      <c r="F186" s="1" t="s">
        <v>383</v>
      </c>
      <c r="G186" s="1" t="s">
        <v>390</v>
      </c>
      <c r="H186" s="1">
        <v>276</v>
      </c>
      <c r="I186" s="3">
        <v>46241</v>
      </c>
      <c r="J186" s="3">
        <v>46247</v>
      </c>
      <c r="K186" s="3" t="s">
        <v>2353</v>
      </c>
      <c r="L186" s="22">
        <v>46241.568538310181</v>
      </c>
      <c r="M186" s="20">
        <v>12</v>
      </c>
      <c r="N186" s="1">
        <v>6</v>
      </c>
    </row>
    <row r="187" spans="1:14" x14ac:dyDescent="0.25">
      <c r="A187" t="str">
        <f t="shared" si="6"/>
        <v>78668837866883</v>
      </c>
      <c r="B187" t="str">
        <f t="shared" si="7"/>
        <v>7866883PC574EVW-M</v>
      </c>
      <c r="C187" s="1" t="s">
        <v>34</v>
      </c>
      <c r="D187" s="1" t="s">
        <v>476</v>
      </c>
      <c r="E187" s="1" t="s">
        <v>382</v>
      </c>
      <c r="F187" s="1" t="s">
        <v>383</v>
      </c>
      <c r="G187" s="1" t="s">
        <v>390</v>
      </c>
      <c r="H187" s="1">
        <v>276</v>
      </c>
      <c r="I187" s="3">
        <v>46241</v>
      </c>
      <c r="J187" s="3">
        <v>46247</v>
      </c>
      <c r="K187" s="3" t="s">
        <v>2353</v>
      </c>
      <c r="L187" s="22">
        <v>46241.569069675927</v>
      </c>
      <c r="M187" s="20">
        <v>12</v>
      </c>
      <c r="N187" s="1">
        <v>21</v>
      </c>
    </row>
    <row r="188" spans="1:14" x14ac:dyDescent="0.25">
      <c r="A188" t="str">
        <f t="shared" si="6"/>
        <v>78668837866883</v>
      </c>
      <c r="B188" t="str">
        <f t="shared" si="7"/>
        <v>7866883PC574EVW-M</v>
      </c>
      <c r="C188" s="1" t="s">
        <v>34</v>
      </c>
      <c r="D188" s="1" t="s">
        <v>476</v>
      </c>
      <c r="E188" s="1" t="s">
        <v>382</v>
      </c>
      <c r="F188" s="1" t="s">
        <v>383</v>
      </c>
      <c r="G188" s="1" t="s">
        <v>390</v>
      </c>
      <c r="H188" s="1">
        <v>276</v>
      </c>
      <c r="I188" s="3">
        <v>46241</v>
      </c>
      <c r="J188" s="3">
        <v>46247</v>
      </c>
      <c r="K188" s="3" t="s">
        <v>2353</v>
      </c>
      <c r="L188" s="22">
        <v>46241.581614895833</v>
      </c>
      <c r="M188" s="20">
        <v>12</v>
      </c>
      <c r="N188" s="1">
        <v>4</v>
      </c>
    </row>
    <row r="189" spans="1:14" x14ac:dyDescent="0.25">
      <c r="A189" t="str">
        <f t="shared" si="6"/>
        <v>78668837866883</v>
      </c>
      <c r="B189" t="str">
        <f t="shared" si="7"/>
        <v>7866883PC574EVW-M</v>
      </c>
      <c r="C189" s="1" t="s">
        <v>34</v>
      </c>
      <c r="D189" s="1" t="s">
        <v>476</v>
      </c>
      <c r="E189" s="1" t="s">
        <v>382</v>
      </c>
      <c r="F189" s="1" t="s">
        <v>383</v>
      </c>
      <c r="G189" s="1" t="s">
        <v>390</v>
      </c>
      <c r="H189" s="1">
        <v>276</v>
      </c>
      <c r="I189" s="3">
        <v>46241</v>
      </c>
      <c r="J189" s="3">
        <v>46247</v>
      </c>
      <c r="K189" s="3" t="s">
        <v>2353</v>
      </c>
      <c r="L189" s="22">
        <v>46241.581781597219</v>
      </c>
      <c r="M189" s="20">
        <v>12</v>
      </c>
      <c r="N189" s="1">
        <v>15</v>
      </c>
    </row>
    <row r="190" spans="1:14" x14ac:dyDescent="0.25">
      <c r="A190" t="str">
        <f t="shared" si="6"/>
        <v>78668837866883</v>
      </c>
      <c r="B190" t="str">
        <f t="shared" si="7"/>
        <v>7866883PC574EVW-M</v>
      </c>
      <c r="C190" s="1" t="s">
        <v>34</v>
      </c>
      <c r="D190" s="1" t="s">
        <v>476</v>
      </c>
      <c r="E190" s="1" t="s">
        <v>382</v>
      </c>
      <c r="F190" s="1" t="s">
        <v>383</v>
      </c>
      <c r="G190" s="1" t="s">
        <v>390</v>
      </c>
      <c r="H190" s="1">
        <v>276</v>
      </c>
      <c r="I190" s="3">
        <v>46241</v>
      </c>
      <c r="J190" s="3">
        <v>46247</v>
      </c>
      <c r="K190" s="3" t="s">
        <v>2353</v>
      </c>
      <c r="L190" s="22">
        <v>46241.603180011574</v>
      </c>
      <c r="M190" s="20">
        <v>12</v>
      </c>
      <c r="N190" s="1">
        <v>17</v>
      </c>
    </row>
    <row r="191" spans="1:14" x14ac:dyDescent="0.25">
      <c r="A191" t="str">
        <f t="shared" si="6"/>
        <v>78668837866883</v>
      </c>
      <c r="B191" t="str">
        <f t="shared" si="7"/>
        <v>7866883PC574EVW-M</v>
      </c>
      <c r="C191" s="1" t="s">
        <v>34</v>
      </c>
      <c r="D191" s="1" t="s">
        <v>476</v>
      </c>
      <c r="E191" s="1" t="s">
        <v>382</v>
      </c>
      <c r="F191" s="1" t="s">
        <v>383</v>
      </c>
      <c r="G191" s="1" t="s">
        <v>390</v>
      </c>
      <c r="H191" s="1">
        <v>276</v>
      </c>
      <c r="I191" s="3">
        <v>46241</v>
      </c>
      <c r="J191" s="3">
        <v>46247</v>
      </c>
      <c r="K191" s="3" t="s">
        <v>2353</v>
      </c>
      <c r="L191" s="22">
        <v>46241.603640277775</v>
      </c>
      <c r="M191" s="20">
        <v>12</v>
      </c>
      <c r="N191" s="1">
        <v>2</v>
      </c>
    </row>
    <row r="192" spans="1:14" x14ac:dyDescent="0.25">
      <c r="A192" t="str">
        <f t="shared" si="6"/>
        <v>78668837866883</v>
      </c>
      <c r="B192" t="str">
        <f t="shared" si="7"/>
        <v>7866883PC574EVW-M</v>
      </c>
      <c r="C192" s="1" t="s">
        <v>34</v>
      </c>
      <c r="D192" s="1" t="s">
        <v>476</v>
      </c>
      <c r="E192" s="1" t="s">
        <v>382</v>
      </c>
      <c r="F192" s="1" t="s">
        <v>383</v>
      </c>
      <c r="G192" s="1" t="s">
        <v>390</v>
      </c>
      <c r="H192" s="1">
        <v>276</v>
      </c>
      <c r="I192" s="3">
        <v>46241</v>
      </c>
      <c r="J192" s="3">
        <v>46247</v>
      </c>
      <c r="K192" s="3" t="s">
        <v>2353</v>
      </c>
      <c r="L192" s="22">
        <v>46241.614663229164</v>
      </c>
      <c r="M192" s="20">
        <v>6</v>
      </c>
      <c r="N192" s="1">
        <v>23</v>
      </c>
    </row>
    <row r="193" spans="1:14" x14ac:dyDescent="0.25">
      <c r="A193" t="str">
        <f t="shared" si="6"/>
        <v>78668837866883</v>
      </c>
      <c r="B193" t="str">
        <f t="shared" si="7"/>
        <v>7866883PC574EVW-M</v>
      </c>
      <c r="C193" s="1" t="s">
        <v>34</v>
      </c>
      <c r="D193" s="1" t="s">
        <v>476</v>
      </c>
      <c r="E193" s="1" t="s">
        <v>382</v>
      </c>
      <c r="F193" s="1" t="s">
        <v>383</v>
      </c>
      <c r="G193" s="1" t="s">
        <v>390</v>
      </c>
      <c r="H193" s="1">
        <v>276</v>
      </c>
      <c r="I193" s="3">
        <v>46241</v>
      </c>
      <c r="J193" s="3">
        <v>46247</v>
      </c>
      <c r="K193" s="3" t="s">
        <v>2353</v>
      </c>
      <c r="L193" s="22">
        <v>46241.630516701385</v>
      </c>
      <c r="M193" s="20">
        <v>12</v>
      </c>
      <c r="N193" s="1">
        <v>10</v>
      </c>
    </row>
    <row r="194" spans="1:14" x14ac:dyDescent="0.25">
      <c r="A194" t="str">
        <f t="shared" ref="A194:A257" si="8">+D194&amp;D194</f>
        <v>78668837866883</v>
      </c>
      <c r="B194" t="str">
        <f t="shared" ref="B194:B257" si="9">+D194&amp;C194</f>
        <v>7866883PC574EVW-M</v>
      </c>
      <c r="C194" s="1" t="s">
        <v>34</v>
      </c>
      <c r="D194" s="1" t="s">
        <v>476</v>
      </c>
      <c r="E194" s="1" t="s">
        <v>382</v>
      </c>
      <c r="F194" s="1" t="s">
        <v>383</v>
      </c>
      <c r="G194" s="1" t="s">
        <v>390</v>
      </c>
      <c r="H194" s="1">
        <v>276</v>
      </c>
      <c r="I194" s="3">
        <v>46241</v>
      </c>
      <c r="J194" s="3">
        <v>46247</v>
      </c>
      <c r="K194" s="3" t="s">
        <v>2353</v>
      </c>
      <c r="L194" s="22">
        <v>46241.645526388886</v>
      </c>
      <c r="M194" s="20">
        <v>12</v>
      </c>
      <c r="N194" s="1">
        <v>5</v>
      </c>
    </row>
    <row r="195" spans="1:14" x14ac:dyDescent="0.25">
      <c r="A195" t="str">
        <f t="shared" si="8"/>
        <v>78668837866883</v>
      </c>
      <c r="B195" t="str">
        <f t="shared" si="9"/>
        <v>7866883PC574EVW-M</v>
      </c>
      <c r="C195" s="1" t="s">
        <v>34</v>
      </c>
      <c r="D195" s="1" t="s">
        <v>476</v>
      </c>
      <c r="E195" s="1" t="s">
        <v>382</v>
      </c>
      <c r="F195" s="1" t="s">
        <v>383</v>
      </c>
      <c r="G195" s="1" t="s">
        <v>390</v>
      </c>
      <c r="H195" s="1">
        <v>276</v>
      </c>
      <c r="I195" s="3">
        <v>46241</v>
      </c>
      <c r="J195" s="3">
        <v>46247</v>
      </c>
      <c r="K195" s="3" t="s">
        <v>2353</v>
      </c>
      <c r="L195" s="22">
        <v>46241.723019675926</v>
      </c>
      <c r="M195" s="20">
        <v>12</v>
      </c>
      <c r="N195" s="1">
        <v>3</v>
      </c>
    </row>
    <row r="196" spans="1:14" x14ac:dyDescent="0.25">
      <c r="A196" t="str">
        <f t="shared" si="8"/>
        <v>78662117866211</v>
      </c>
      <c r="B196" t="str">
        <f t="shared" si="9"/>
        <v>7866211PV574EVE-M</v>
      </c>
      <c r="C196" s="1" t="s">
        <v>258</v>
      </c>
      <c r="D196" s="1" t="s">
        <v>489</v>
      </c>
      <c r="E196" s="1" t="s">
        <v>385</v>
      </c>
      <c r="F196" s="1" t="s">
        <v>386</v>
      </c>
      <c r="G196" s="1" t="s">
        <v>387</v>
      </c>
      <c r="H196" s="1">
        <v>270</v>
      </c>
      <c r="I196" s="3">
        <v>46244</v>
      </c>
      <c r="J196" s="3">
        <v>46266</v>
      </c>
      <c r="K196" s="3" t="s">
        <v>2355</v>
      </c>
      <c r="L196" s="22">
        <v>46244.56635778935</v>
      </c>
      <c r="M196" s="20">
        <v>12</v>
      </c>
      <c r="N196" s="1">
        <v>13</v>
      </c>
    </row>
    <row r="197" spans="1:14" x14ac:dyDescent="0.25">
      <c r="A197" t="str">
        <f t="shared" si="8"/>
        <v>78662117866211</v>
      </c>
      <c r="B197" t="str">
        <f t="shared" si="9"/>
        <v>7866211PV574EVE-M</v>
      </c>
      <c r="C197" s="1" t="s">
        <v>258</v>
      </c>
      <c r="D197" s="1" t="s">
        <v>489</v>
      </c>
      <c r="E197" s="1" t="s">
        <v>385</v>
      </c>
      <c r="F197" s="1" t="s">
        <v>386</v>
      </c>
      <c r="G197" s="1" t="s">
        <v>387</v>
      </c>
      <c r="H197" s="1">
        <v>270</v>
      </c>
      <c r="I197" s="3">
        <v>46244</v>
      </c>
      <c r="J197" s="3">
        <v>46266</v>
      </c>
      <c r="K197" s="3" t="s">
        <v>2355</v>
      </c>
      <c r="L197" s="22">
        <v>46244.591562881942</v>
      </c>
      <c r="M197" s="20">
        <v>12</v>
      </c>
      <c r="N197" s="1">
        <v>12</v>
      </c>
    </row>
    <row r="198" spans="1:14" x14ac:dyDescent="0.25">
      <c r="A198" t="str">
        <f t="shared" si="8"/>
        <v>78662117866211</v>
      </c>
      <c r="B198" t="str">
        <f t="shared" si="9"/>
        <v>7866211PV574EVE-M</v>
      </c>
      <c r="C198" s="1" t="s">
        <v>258</v>
      </c>
      <c r="D198" s="1" t="s">
        <v>489</v>
      </c>
      <c r="E198" s="1" t="s">
        <v>385</v>
      </c>
      <c r="F198" s="1" t="s">
        <v>386</v>
      </c>
      <c r="G198" s="1" t="s">
        <v>387</v>
      </c>
      <c r="H198" s="1">
        <v>270</v>
      </c>
      <c r="I198" s="3">
        <v>46244</v>
      </c>
      <c r="J198" s="3">
        <v>46266</v>
      </c>
      <c r="K198" s="3" t="s">
        <v>2355</v>
      </c>
      <c r="L198" s="22">
        <v>46244.591750462961</v>
      </c>
      <c r="M198" s="20">
        <v>12</v>
      </c>
      <c r="N198" s="1">
        <v>18</v>
      </c>
    </row>
    <row r="199" spans="1:14" x14ac:dyDescent="0.25">
      <c r="A199" t="str">
        <f t="shared" si="8"/>
        <v>78662117866211</v>
      </c>
      <c r="B199" t="str">
        <f t="shared" si="9"/>
        <v>7866211PV574EVE-M</v>
      </c>
      <c r="C199" s="1" t="s">
        <v>258</v>
      </c>
      <c r="D199" s="1" t="s">
        <v>489</v>
      </c>
      <c r="E199" s="1" t="s">
        <v>385</v>
      </c>
      <c r="F199" s="1" t="s">
        <v>386</v>
      </c>
      <c r="G199" s="1" t="s">
        <v>387</v>
      </c>
      <c r="H199" s="1">
        <v>270</v>
      </c>
      <c r="I199" s="3">
        <v>46244</v>
      </c>
      <c r="J199" s="3">
        <v>46266</v>
      </c>
      <c r="K199" s="3" t="s">
        <v>2355</v>
      </c>
      <c r="L199" s="22">
        <v>46244.591984722218</v>
      </c>
      <c r="M199" s="20">
        <v>12</v>
      </c>
      <c r="N199" s="1">
        <v>11</v>
      </c>
    </row>
    <row r="200" spans="1:14" x14ac:dyDescent="0.25">
      <c r="A200" t="str">
        <f t="shared" si="8"/>
        <v>78662117866211</v>
      </c>
      <c r="B200" t="str">
        <f t="shared" si="9"/>
        <v>7866211PV574EVE-M</v>
      </c>
      <c r="C200" s="1" t="s">
        <v>258</v>
      </c>
      <c r="D200" s="1" t="s">
        <v>489</v>
      </c>
      <c r="E200" s="1" t="s">
        <v>385</v>
      </c>
      <c r="F200" s="1" t="s">
        <v>386</v>
      </c>
      <c r="G200" s="1" t="s">
        <v>387</v>
      </c>
      <c r="H200" s="1">
        <v>270</v>
      </c>
      <c r="I200" s="3">
        <v>46244</v>
      </c>
      <c r="J200" s="3">
        <v>46266</v>
      </c>
      <c r="K200" s="3" t="s">
        <v>2355</v>
      </c>
      <c r="L200" s="22">
        <v>46244.620073877311</v>
      </c>
      <c r="M200" s="20">
        <v>12</v>
      </c>
      <c r="N200" s="1">
        <v>7</v>
      </c>
    </row>
    <row r="201" spans="1:14" x14ac:dyDescent="0.25">
      <c r="A201" t="str">
        <f t="shared" si="8"/>
        <v>78662117866211</v>
      </c>
      <c r="B201" t="str">
        <f t="shared" si="9"/>
        <v>7866211PV574EVE-M</v>
      </c>
      <c r="C201" s="1" t="s">
        <v>258</v>
      </c>
      <c r="D201" s="1" t="s">
        <v>489</v>
      </c>
      <c r="E201" s="1" t="s">
        <v>385</v>
      </c>
      <c r="F201" s="1" t="s">
        <v>386</v>
      </c>
      <c r="G201" s="1" t="s">
        <v>387</v>
      </c>
      <c r="H201" s="1">
        <v>270</v>
      </c>
      <c r="I201" s="3">
        <v>46244</v>
      </c>
      <c r="J201" s="3">
        <v>46266</v>
      </c>
      <c r="K201" s="3" t="s">
        <v>2355</v>
      </c>
      <c r="L201" s="22">
        <v>46244.620319363421</v>
      </c>
      <c r="M201" s="20">
        <v>12</v>
      </c>
      <c r="N201" s="1">
        <v>8</v>
      </c>
    </row>
    <row r="202" spans="1:14" x14ac:dyDescent="0.25">
      <c r="A202" t="str">
        <f t="shared" si="8"/>
        <v>78662117866211</v>
      </c>
      <c r="B202" t="str">
        <f t="shared" si="9"/>
        <v>7866211PV574EVE-M</v>
      </c>
      <c r="C202" s="1" t="s">
        <v>258</v>
      </c>
      <c r="D202" s="1" t="s">
        <v>489</v>
      </c>
      <c r="E202" s="1" t="s">
        <v>385</v>
      </c>
      <c r="F202" s="1" t="s">
        <v>386</v>
      </c>
      <c r="G202" s="1" t="s">
        <v>387</v>
      </c>
      <c r="H202" s="1">
        <v>270</v>
      </c>
      <c r="I202" s="3">
        <v>46244</v>
      </c>
      <c r="J202" s="3">
        <v>46266</v>
      </c>
      <c r="K202" s="3" t="s">
        <v>2355</v>
      </c>
      <c r="L202" s="22">
        <v>46244.621433182867</v>
      </c>
      <c r="M202" s="20">
        <v>12</v>
      </c>
      <c r="N202" s="1">
        <v>17</v>
      </c>
    </row>
    <row r="203" spans="1:14" x14ac:dyDescent="0.25">
      <c r="A203" t="str">
        <f t="shared" si="8"/>
        <v>78662117866211</v>
      </c>
      <c r="B203" t="str">
        <f t="shared" si="9"/>
        <v>7866211PV574EVE-M</v>
      </c>
      <c r="C203" s="1" t="s">
        <v>258</v>
      </c>
      <c r="D203" s="1" t="s">
        <v>489</v>
      </c>
      <c r="E203" s="1" t="s">
        <v>385</v>
      </c>
      <c r="F203" s="1" t="s">
        <v>386</v>
      </c>
      <c r="G203" s="1" t="s">
        <v>387</v>
      </c>
      <c r="H203" s="1">
        <v>270</v>
      </c>
      <c r="I203" s="3">
        <v>46244</v>
      </c>
      <c r="J203" s="3">
        <v>46266</v>
      </c>
      <c r="K203" s="3" t="s">
        <v>2355</v>
      </c>
      <c r="L203" s="22">
        <v>46244.621654016199</v>
      </c>
      <c r="M203" s="20">
        <v>12</v>
      </c>
      <c r="N203" s="1">
        <v>19</v>
      </c>
    </row>
    <row r="204" spans="1:14" x14ac:dyDescent="0.25">
      <c r="A204" t="str">
        <f t="shared" si="8"/>
        <v>78662117866211</v>
      </c>
      <c r="B204" t="str">
        <f t="shared" si="9"/>
        <v>7866211PV574EVE-M</v>
      </c>
      <c r="C204" s="1" t="s">
        <v>258</v>
      </c>
      <c r="D204" s="1" t="s">
        <v>489</v>
      </c>
      <c r="E204" s="1" t="s">
        <v>385</v>
      </c>
      <c r="F204" s="1" t="s">
        <v>386</v>
      </c>
      <c r="G204" s="1" t="s">
        <v>387</v>
      </c>
      <c r="H204" s="1">
        <v>270</v>
      </c>
      <c r="I204" s="3">
        <v>46244</v>
      </c>
      <c r="J204" s="3">
        <v>46266</v>
      </c>
      <c r="K204" s="3" t="s">
        <v>2355</v>
      </c>
      <c r="L204" s="22">
        <v>46244.641546793981</v>
      </c>
      <c r="M204" s="20">
        <v>12</v>
      </c>
      <c r="N204" s="1">
        <v>5</v>
      </c>
    </row>
    <row r="205" spans="1:14" x14ac:dyDescent="0.25">
      <c r="A205" t="str">
        <f t="shared" si="8"/>
        <v>78662117866211</v>
      </c>
      <c r="B205" t="str">
        <f t="shared" si="9"/>
        <v>7866211PV574EVE-M</v>
      </c>
      <c r="C205" s="1" t="s">
        <v>258</v>
      </c>
      <c r="D205" s="1" t="s">
        <v>489</v>
      </c>
      <c r="E205" s="1" t="s">
        <v>385</v>
      </c>
      <c r="F205" s="1" t="s">
        <v>386</v>
      </c>
      <c r="G205" s="1" t="s">
        <v>387</v>
      </c>
      <c r="H205" s="1">
        <v>270</v>
      </c>
      <c r="I205" s="3">
        <v>46244</v>
      </c>
      <c r="J205" s="3">
        <v>46266</v>
      </c>
      <c r="K205" s="3" t="s">
        <v>2355</v>
      </c>
      <c r="L205" s="22">
        <v>46244.643538969904</v>
      </c>
      <c r="M205" s="20">
        <v>12</v>
      </c>
      <c r="N205" s="1">
        <v>9</v>
      </c>
    </row>
    <row r="206" spans="1:14" x14ac:dyDescent="0.25">
      <c r="A206" t="str">
        <f t="shared" si="8"/>
        <v>78662117866211</v>
      </c>
      <c r="B206" t="str">
        <f t="shared" si="9"/>
        <v>7866211PV574EVE-M</v>
      </c>
      <c r="C206" s="1" t="s">
        <v>258</v>
      </c>
      <c r="D206" s="1" t="s">
        <v>489</v>
      </c>
      <c r="E206" s="1" t="s">
        <v>385</v>
      </c>
      <c r="F206" s="1" t="s">
        <v>386</v>
      </c>
      <c r="G206" s="1" t="s">
        <v>387</v>
      </c>
      <c r="H206" s="1">
        <v>270</v>
      </c>
      <c r="I206" s="3">
        <v>46244</v>
      </c>
      <c r="J206" s="3">
        <v>46266</v>
      </c>
      <c r="K206" s="3" t="s">
        <v>2355</v>
      </c>
      <c r="L206" s="22">
        <v>46244.720682523148</v>
      </c>
      <c r="M206" s="20">
        <v>12</v>
      </c>
      <c r="N206" s="1">
        <v>6</v>
      </c>
    </row>
    <row r="207" spans="1:14" x14ac:dyDescent="0.25">
      <c r="A207" t="str">
        <f t="shared" si="8"/>
        <v>78662447866244</v>
      </c>
      <c r="B207" t="str">
        <f t="shared" si="9"/>
        <v>7866244PV574EVB-M</v>
      </c>
      <c r="C207" s="1" t="s">
        <v>19</v>
      </c>
      <c r="D207" s="1" t="s">
        <v>490</v>
      </c>
      <c r="E207" s="1" t="s">
        <v>385</v>
      </c>
      <c r="F207" s="1" t="s">
        <v>386</v>
      </c>
      <c r="G207" s="1" t="s">
        <v>387</v>
      </c>
      <c r="H207" s="1">
        <v>144</v>
      </c>
      <c r="I207" s="3">
        <v>46244</v>
      </c>
      <c r="J207" s="3">
        <v>46253</v>
      </c>
      <c r="K207" s="3" t="s">
        <v>2349</v>
      </c>
      <c r="L207" s="22">
        <v>46244.641056249995</v>
      </c>
      <c r="M207" s="20">
        <v>12</v>
      </c>
      <c r="N207" s="1">
        <v>5</v>
      </c>
    </row>
    <row r="208" spans="1:14" x14ac:dyDescent="0.25">
      <c r="A208" t="str">
        <f t="shared" si="8"/>
        <v>78662447866244</v>
      </c>
      <c r="B208" t="str">
        <f t="shared" si="9"/>
        <v>7866244PV574EVB-M</v>
      </c>
      <c r="C208" s="1" t="s">
        <v>19</v>
      </c>
      <c r="D208" s="1" t="s">
        <v>490</v>
      </c>
      <c r="E208" s="1" t="s">
        <v>385</v>
      </c>
      <c r="F208" s="1" t="s">
        <v>386</v>
      </c>
      <c r="G208" s="1" t="s">
        <v>387</v>
      </c>
      <c r="H208" s="1">
        <v>144</v>
      </c>
      <c r="I208" s="3">
        <v>46244</v>
      </c>
      <c r="J208" s="3">
        <v>46253</v>
      </c>
      <c r="K208" s="3" t="s">
        <v>2349</v>
      </c>
      <c r="L208" s="22">
        <v>46244.644851655088</v>
      </c>
      <c r="M208" s="20">
        <v>12</v>
      </c>
      <c r="N208" s="1">
        <v>9</v>
      </c>
    </row>
    <row r="209" spans="1:14" x14ac:dyDescent="0.25">
      <c r="A209" t="str">
        <f t="shared" si="8"/>
        <v>78662447866244</v>
      </c>
      <c r="B209" t="str">
        <f t="shared" si="9"/>
        <v>7866244PV574EVB-M</v>
      </c>
      <c r="C209" s="1" t="s">
        <v>19</v>
      </c>
      <c r="D209" s="1" t="s">
        <v>490</v>
      </c>
      <c r="E209" s="1" t="s">
        <v>385</v>
      </c>
      <c r="F209" s="1" t="s">
        <v>386</v>
      </c>
      <c r="G209" s="1" t="s">
        <v>387</v>
      </c>
      <c r="H209" s="1">
        <v>144</v>
      </c>
      <c r="I209" s="3">
        <v>46244</v>
      </c>
      <c r="J209" s="3">
        <v>46253</v>
      </c>
      <c r="K209" s="3" t="s">
        <v>2349</v>
      </c>
      <c r="L209" s="22">
        <v>46244.663333796292</v>
      </c>
      <c r="M209" s="20">
        <v>12</v>
      </c>
      <c r="N209" s="1">
        <v>8</v>
      </c>
    </row>
    <row r="210" spans="1:14" x14ac:dyDescent="0.25">
      <c r="A210" t="str">
        <f t="shared" si="8"/>
        <v>78662447866244</v>
      </c>
      <c r="B210" t="str">
        <f t="shared" si="9"/>
        <v>7866244PV574EVB-M</v>
      </c>
      <c r="C210" s="1" t="s">
        <v>19</v>
      </c>
      <c r="D210" s="1" t="s">
        <v>490</v>
      </c>
      <c r="E210" s="1" t="s">
        <v>385</v>
      </c>
      <c r="F210" s="1" t="s">
        <v>386</v>
      </c>
      <c r="G210" s="1" t="s">
        <v>387</v>
      </c>
      <c r="H210" s="1">
        <v>144</v>
      </c>
      <c r="I210" s="3">
        <v>46244</v>
      </c>
      <c r="J210" s="3">
        <v>46253</v>
      </c>
      <c r="K210" s="3" t="s">
        <v>2349</v>
      </c>
      <c r="L210" s="22">
        <v>46244.676118136573</v>
      </c>
      <c r="M210" s="20">
        <v>12</v>
      </c>
      <c r="N210" s="1">
        <v>1</v>
      </c>
    </row>
    <row r="211" spans="1:14" x14ac:dyDescent="0.25">
      <c r="A211" t="str">
        <f t="shared" si="8"/>
        <v>78662447866244</v>
      </c>
      <c r="B211" t="str">
        <f t="shared" si="9"/>
        <v>7866244PV574EVB-M</v>
      </c>
      <c r="C211" s="1" t="s">
        <v>19</v>
      </c>
      <c r="D211" s="1" t="s">
        <v>490</v>
      </c>
      <c r="E211" s="1" t="s">
        <v>385</v>
      </c>
      <c r="F211" s="1" t="s">
        <v>386</v>
      </c>
      <c r="G211" s="1" t="s">
        <v>387</v>
      </c>
      <c r="H211" s="1">
        <v>144</v>
      </c>
      <c r="I211" s="3">
        <v>46244</v>
      </c>
      <c r="J211" s="3">
        <v>46253</v>
      </c>
      <c r="K211" s="3" t="s">
        <v>2349</v>
      </c>
      <c r="L211" s="22">
        <v>46244.686288310186</v>
      </c>
      <c r="M211" s="20">
        <v>12</v>
      </c>
      <c r="N211" s="1">
        <v>4</v>
      </c>
    </row>
    <row r="212" spans="1:14" x14ac:dyDescent="0.25">
      <c r="A212" t="str">
        <f t="shared" si="8"/>
        <v>78662447866244</v>
      </c>
      <c r="B212" t="str">
        <f t="shared" si="9"/>
        <v>7866244PV574EVB-M</v>
      </c>
      <c r="C212" s="1" t="s">
        <v>19</v>
      </c>
      <c r="D212" s="1" t="s">
        <v>490</v>
      </c>
      <c r="E212" s="1" t="s">
        <v>385</v>
      </c>
      <c r="F212" s="1" t="s">
        <v>386</v>
      </c>
      <c r="G212" s="1" t="s">
        <v>387</v>
      </c>
      <c r="H212" s="1">
        <v>144</v>
      </c>
      <c r="I212" s="3">
        <v>46244</v>
      </c>
      <c r="J212" s="3">
        <v>46253</v>
      </c>
      <c r="K212" s="3" t="s">
        <v>2349</v>
      </c>
      <c r="L212" s="22">
        <v>46244.700250497684</v>
      </c>
      <c r="M212" s="20">
        <v>12</v>
      </c>
      <c r="N212" s="1">
        <v>2</v>
      </c>
    </row>
    <row r="213" spans="1:14" x14ac:dyDescent="0.25">
      <c r="A213" t="str">
        <f t="shared" si="8"/>
        <v>78662447866244</v>
      </c>
      <c r="B213" t="str">
        <f t="shared" si="9"/>
        <v>7866244PV574EVB-M</v>
      </c>
      <c r="C213" s="1" t="s">
        <v>19</v>
      </c>
      <c r="D213" s="1" t="s">
        <v>490</v>
      </c>
      <c r="E213" s="1" t="s">
        <v>385</v>
      </c>
      <c r="F213" s="1" t="s">
        <v>386</v>
      </c>
      <c r="G213" s="1" t="s">
        <v>387</v>
      </c>
      <c r="H213" s="1">
        <v>144</v>
      </c>
      <c r="I213" s="3">
        <v>46244</v>
      </c>
      <c r="J213" s="3">
        <v>46253</v>
      </c>
      <c r="K213" s="3" t="s">
        <v>2349</v>
      </c>
      <c r="L213" s="22">
        <v>46244.700448923606</v>
      </c>
      <c r="M213" s="20">
        <v>12</v>
      </c>
      <c r="N213" s="1">
        <v>7</v>
      </c>
    </row>
    <row r="214" spans="1:14" x14ac:dyDescent="0.25">
      <c r="A214" t="str">
        <f t="shared" si="8"/>
        <v>78776047877604</v>
      </c>
      <c r="B214" t="str">
        <f t="shared" si="9"/>
        <v>7877604M997H23Y-D</v>
      </c>
      <c r="C214" s="1" t="s">
        <v>475</v>
      </c>
      <c r="D214" s="1" t="s">
        <v>523</v>
      </c>
      <c r="E214" s="1" t="s">
        <v>382</v>
      </c>
      <c r="F214" s="1" t="s">
        <v>383</v>
      </c>
      <c r="G214" s="1" t="s">
        <v>395</v>
      </c>
      <c r="H214" s="1">
        <v>618</v>
      </c>
      <c r="I214" s="3">
        <v>46246</v>
      </c>
      <c r="J214" s="3">
        <v>46248</v>
      </c>
      <c r="K214" s="3" t="s">
        <v>2344</v>
      </c>
      <c r="L214" s="22">
        <v>46246.627570023149</v>
      </c>
      <c r="M214" s="20">
        <v>12</v>
      </c>
      <c r="N214" s="1">
        <v>27</v>
      </c>
    </row>
    <row r="215" spans="1:14" x14ac:dyDescent="0.25">
      <c r="A215" t="str">
        <f t="shared" si="8"/>
        <v>78776047877604</v>
      </c>
      <c r="B215" t="str">
        <f t="shared" si="9"/>
        <v>7877604M997H23Y-D</v>
      </c>
      <c r="C215" s="1" t="s">
        <v>475</v>
      </c>
      <c r="D215" s="1" t="s">
        <v>523</v>
      </c>
      <c r="E215" s="1" t="s">
        <v>382</v>
      </c>
      <c r="F215" s="1" t="s">
        <v>383</v>
      </c>
      <c r="G215" s="1" t="s">
        <v>395</v>
      </c>
      <c r="H215" s="1">
        <v>618</v>
      </c>
      <c r="I215" s="3">
        <v>46246</v>
      </c>
      <c r="J215" s="3">
        <v>46248</v>
      </c>
      <c r="K215" s="3" t="s">
        <v>2344</v>
      </c>
      <c r="L215" s="22">
        <v>46246.634857094905</v>
      </c>
      <c r="M215" s="20">
        <v>12</v>
      </c>
      <c r="N215" s="1">
        <v>38</v>
      </c>
    </row>
    <row r="216" spans="1:14" x14ac:dyDescent="0.25">
      <c r="A216" t="str">
        <f t="shared" si="8"/>
        <v>78776047877604</v>
      </c>
      <c r="B216" t="str">
        <f t="shared" si="9"/>
        <v>7877604M997H23Y-D</v>
      </c>
      <c r="C216" s="1" t="s">
        <v>475</v>
      </c>
      <c r="D216" s="1" t="s">
        <v>523</v>
      </c>
      <c r="E216" s="1" t="s">
        <v>382</v>
      </c>
      <c r="F216" s="1" t="s">
        <v>383</v>
      </c>
      <c r="G216" s="1" t="s">
        <v>395</v>
      </c>
      <c r="H216" s="1">
        <v>618</v>
      </c>
      <c r="I216" s="3">
        <v>46246</v>
      </c>
      <c r="J216" s="3">
        <v>46248</v>
      </c>
      <c r="K216" s="3" t="s">
        <v>2344</v>
      </c>
      <c r="L216" s="22">
        <v>46246.660133912032</v>
      </c>
      <c r="M216" s="20">
        <v>12</v>
      </c>
      <c r="N216" s="1">
        <v>6</v>
      </c>
    </row>
    <row r="217" spans="1:14" x14ac:dyDescent="0.25">
      <c r="A217" t="str">
        <f t="shared" si="8"/>
        <v>78776047877604</v>
      </c>
      <c r="B217" t="str">
        <f t="shared" si="9"/>
        <v>7877604M997H23Y-D</v>
      </c>
      <c r="C217" s="1" t="s">
        <v>475</v>
      </c>
      <c r="D217" s="1" t="s">
        <v>523</v>
      </c>
      <c r="E217" s="1" t="s">
        <v>382</v>
      </c>
      <c r="F217" s="1" t="s">
        <v>383</v>
      </c>
      <c r="G217" s="1" t="s">
        <v>395</v>
      </c>
      <c r="H217" s="1">
        <v>618</v>
      </c>
      <c r="I217" s="3">
        <v>46246</v>
      </c>
      <c r="J217" s="3">
        <v>46248</v>
      </c>
      <c r="K217" s="3" t="s">
        <v>2344</v>
      </c>
      <c r="L217" s="22">
        <v>46246.667074502315</v>
      </c>
      <c r="M217" s="20">
        <v>12</v>
      </c>
      <c r="N217" s="1">
        <v>2</v>
      </c>
    </row>
    <row r="218" spans="1:14" x14ac:dyDescent="0.25">
      <c r="A218" t="str">
        <f t="shared" si="8"/>
        <v>78776047877604</v>
      </c>
      <c r="B218" t="str">
        <f t="shared" si="9"/>
        <v>7877604M997H23Y-D</v>
      </c>
      <c r="C218" s="1" t="s">
        <v>475</v>
      </c>
      <c r="D218" s="1" t="s">
        <v>523</v>
      </c>
      <c r="E218" s="1" t="s">
        <v>382</v>
      </c>
      <c r="F218" s="1" t="s">
        <v>383</v>
      </c>
      <c r="G218" s="1" t="s">
        <v>395</v>
      </c>
      <c r="H218" s="1">
        <v>618</v>
      </c>
      <c r="I218" s="3">
        <v>46246</v>
      </c>
      <c r="J218" s="3">
        <v>46248</v>
      </c>
      <c r="K218" s="3" t="s">
        <v>2344</v>
      </c>
      <c r="L218" s="22">
        <v>46246.671575266198</v>
      </c>
      <c r="M218" s="20">
        <v>12</v>
      </c>
      <c r="N218" s="1">
        <v>8</v>
      </c>
    </row>
    <row r="219" spans="1:14" x14ac:dyDescent="0.25">
      <c r="A219" t="str">
        <f t="shared" si="8"/>
        <v>78776047877604</v>
      </c>
      <c r="B219" t="str">
        <f t="shared" si="9"/>
        <v>7877604M997H23Y-D</v>
      </c>
      <c r="C219" s="1" t="s">
        <v>475</v>
      </c>
      <c r="D219" s="1" t="s">
        <v>523</v>
      </c>
      <c r="E219" s="1" t="s">
        <v>382</v>
      </c>
      <c r="F219" s="1" t="s">
        <v>383</v>
      </c>
      <c r="G219" s="1" t="s">
        <v>395</v>
      </c>
      <c r="H219" s="1">
        <v>618</v>
      </c>
      <c r="I219" s="3">
        <v>46246</v>
      </c>
      <c r="J219" s="3">
        <v>46248</v>
      </c>
      <c r="K219" s="3" t="s">
        <v>2344</v>
      </c>
      <c r="L219" s="22">
        <v>46246.671780011573</v>
      </c>
      <c r="M219" s="20">
        <v>12</v>
      </c>
      <c r="N219" s="1">
        <v>17</v>
      </c>
    </row>
    <row r="220" spans="1:14" x14ac:dyDescent="0.25">
      <c r="A220" t="str">
        <f t="shared" si="8"/>
        <v>78776047877604</v>
      </c>
      <c r="B220" t="str">
        <f t="shared" si="9"/>
        <v>7877604M997H23Y-D</v>
      </c>
      <c r="C220" s="1" t="s">
        <v>475</v>
      </c>
      <c r="D220" s="1" t="s">
        <v>523</v>
      </c>
      <c r="E220" s="1" t="s">
        <v>382</v>
      </c>
      <c r="F220" s="1" t="s">
        <v>383</v>
      </c>
      <c r="G220" s="1" t="s">
        <v>395</v>
      </c>
      <c r="H220" s="1">
        <v>618</v>
      </c>
      <c r="I220" s="3">
        <v>46246</v>
      </c>
      <c r="J220" s="3">
        <v>46248</v>
      </c>
      <c r="K220" s="3" t="s">
        <v>2344</v>
      </c>
      <c r="L220" s="22">
        <v>46246.672169675927</v>
      </c>
      <c r="M220" s="20">
        <v>12</v>
      </c>
      <c r="N220" s="1">
        <v>37</v>
      </c>
    </row>
    <row r="221" spans="1:14" x14ac:dyDescent="0.25">
      <c r="A221" t="str">
        <f t="shared" si="8"/>
        <v>78776047877604</v>
      </c>
      <c r="B221" t="str">
        <f t="shared" si="9"/>
        <v>7877604M997H23Y-D</v>
      </c>
      <c r="C221" s="1" t="s">
        <v>475</v>
      </c>
      <c r="D221" s="1" t="s">
        <v>523</v>
      </c>
      <c r="E221" s="1" t="s">
        <v>382</v>
      </c>
      <c r="F221" s="1" t="s">
        <v>383</v>
      </c>
      <c r="G221" s="1" t="s">
        <v>395</v>
      </c>
      <c r="H221" s="1">
        <v>618</v>
      </c>
      <c r="I221" s="3">
        <v>46246</v>
      </c>
      <c r="J221" s="3">
        <v>46248</v>
      </c>
      <c r="K221" s="3" t="s">
        <v>2344</v>
      </c>
      <c r="L221" s="22">
        <v>46246.672371956018</v>
      </c>
      <c r="M221" s="20">
        <v>12</v>
      </c>
      <c r="N221" s="1">
        <v>42</v>
      </c>
    </row>
    <row r="222" spans="1:14" x14ac:dyDescent="0.25">
      <c r="A222" t="str">
        <f t="shared" si="8"/>
        <v>78776047877604</v>
      </c>
      <c r="B222" t="str">
        <f t="shared" si="9"/>
        <v>7877604M997H23Y-D</v>
      </c>
      <c r="C222" s="1" t="s">
        <v>475</v>
      </c>
      <c r="D222" s="1" t="s">
        <v>523</v>
      </c>
      <c r="E222" s="1" t="s">
        <v>382</v>
      </c>
      <c r="F222" s="1" t="s">
        <v>383</v>
      </c>
      <c r="G222" s="1" t="s">
        <v>395</v>
      </c>
      <c r="H222" s="1">
        <v>618</v>
      </c>
      <c r="I222" s="3">
        <v>46246</v>
      </c>
      <c r="J222" s="3">
        <v>46248</v>
      </c>
      <c r="K222" s="3" t="s">
        <v>2344</v>
      </c>
      <c r="L222" s="22">
        <v>46246.672784490736</v>
      </c>
      <c r="M222" s="20">
        <v>12</v>
      </c>
      <c r="N222" s="1">
        <v>15</v>
      </c>
    </row>
    <row r="223" spans="1:14" x14ac:dyDescent="0.25">
      <c r="A223" t="str">
        <f t="shared" si="8"/>
        <v>78776047877604</v>
      </c>
      <c r="B223" t="str">
        <f t="shared" si="9"/>
        <v>7877604M997H23Y-D</v>
      </c>
      <c r="C223" s="1" t="s">
        <v>475</v>
      </c>
      <c r="D223" s="1" t="s">
        <v>523</v>
      </c>
      <c r="E223" s="1" t="s">
        <v>382</v>
      </c>
      <c r="F223" s="1" t="s">
        <v>383</v>
      </c>
      <c r="G223" s="1" t="s">
        <v>395</v>
      </c>
      <c r="H223" s="1">
        <v>618</v>
      </c>
      <c r="I223" s="3">
        <v>46246</v>
      </c>
      <c r="J223" s="3">
        <v>46248</v>
      </c>
      <c r="K223" s="3" t="s">
        <v>2344</v>
      </c>
      <c r="L223" s="22">
        <v>46246.672978124996</v>
      </c>
      <c r="M223" s="20">
        <v>12</v>
      </c>
      <c r="N223" s="1">
        <v>45</v>
      </c>
    </row>
    <row r="224" spans="1:14" x14ac:dyDescent="0.25">
      <c r="A224" t="str">
        <f t="shared" si="8"/>
        <v>78776047877604</v>
      </c>
      <c r="B224" t="str">
        <f t="shared" si="9"/>
        <v>7877604M997H23Y-D</v>
      </c>
      <c r="C224" s="1" t="s">
        <v>475</v>
      </c>
      <c r="D224" s="1" t="s">
        <v>523</v>
      </c>
      <c r="E224" s="1" t="s">
        <v>382</v>
      </c>
      <c r="F224" s="1" t="s">
        <v>383</v>
      </c>
      <c r="G224" s="1" t="s">
        <v>395</v>
      </c>
      <c r="H224" s="1">
        <v>618</v>
      </c>
      <c r="I224" s="3">
        <v>46246</v>
      </c>
      <c r="J224" s="3">
        <v>46248</v>
      </c>
      <c r="K224" s="3" t="s">
        <v>2344</v>
      </c>
      <c r="L224" s="22">
        <v>46246.673376192128</v>
      </c>
      <c r="M224" s="20">
        <v>12</v>
      </c>
      <c r="N224" s="1">
        <v>29</v>
      </c>
    </row>
    <row r="225" spans="1:14" x14ac:dyDescent="0.25">
      <c r="A225" t="str">
        <f t="shared" si="8"/>
        <v>78776047877604</v>
      </c>
      <c r="B225" t="str">
        <f t="shared" si="9"/>
        <v>7877604M997H23Y-D</v>
      </c>
      <c r="C225" s="1" t="s">
        <v>475</v>
      </c>
      <c r="D225" s="1" t="s">
        <v>523</v>
      </c>
      <c r="E225" s="1" t="s">
        <v>382</v>
      </c>
      <c r="F225" s="1" t="s">
        <v>383</v>
      </c>
      <c r="G225" s="1" t="s">
        <v>395</v>
      </c>
      <c r="H225" s="1">
        <v>618</v>
      </c>
      <c r="I225" s="3">
        <v>46246</v>
      </c>
      <c r="J225" s="3">
        <v>46248</v>
      </c>
      <c r="K225" s="3" t="s">
        <v>2344</v>
      </c>
      <c r="L225" s="22">
        <v>46246.673556168978</v>
      </c>
      <c r="M225" s="20">
        <v>12</v>
      </c>
      <c r="N225" s="1">
        <v>30</v>
      </c>
    </row>
    <row r="226" spans="1:14" x14ac:dyDescent="0.25">
      <c r="A226" t="str">
        <f t="shared" si="8"/>
        <v>78776107877610</v>
      </c>
      <c r="B226" t="str">
        <f t="shared" si="9"/>
        <v>7877610M997H9T8-D</v>
      </c>
      <c r="C226" s="1" t="s">
        <v>485</v>
      </c>
      <c r="D226" s="1" t="s">
        <v>513</v>
      </c>
      <c r="E226" s="1" t="s">
        <v>382</v>
      </c>
      <c r="F226" s="1" t="s">
        <v>383</v>
      </c>
      <c r="G226" s="1" t="s">
        <v>395</v>
      </c>
      <c r="H226" s="1">
        <v>564</v>
      </c>
      <c r="I226" s="3">
        <v>46246</v>
      </c>
      <c r="J226" s="3">
        <v>46258</v>
      </c>
      <c r="K226" s="3" t="s">
        <v>2356</v>
      </c>
      <c r="L226" s="22">
        <v>46246.548039930552</v>
      </c>
      <c r="M226" s="20">
        <v>12</v>
      </c>
      <c r="N226" s="1">
        <v>6</v>
      </c>
    </row>
    <row r="227" spans="1:14" x14ac:dyDescent="0.25">
      <c r="A227" t="str">
        <f t="shared" si="8"/>
        <v>78776107877610</v>
      </c>
      <c r="B227" t="str">
        <f t="shared" si="9"/>
        <v>7877610M997H9T8-D</v>
      </c>
      <c r="C227" s="1" t="s">
        <v>485</v>
      </c>
      <c r="D227" s="1" t="s">
        <v>513</v>
      </c>
      <c r="E227" s="1" t="s">
        <v>382</v>
      </c>
      <c r="F227" s="1" t="s">
        <v>383</v>
      </c>
      <c r="G227" s="1" t="s">
        <v>395</v>
      </c>
      <c r="H227" s="1">
        <v>564</v>
      </c>
      <c r="I227" s="3">
        <v>46246</v>
      </c>
      <c r="J227" s="3">
        <v>46258</v>
      </c>
      <c r="K227" s="3" t="s">
        <v>2356</v>
      </c>
      <c r="L227" s="22">
        <v>46246.564737928238</v>
      </c>
      <c r="M227" s="20">
        <v>12</v>
      </c>
      <c r="N227" s="1">
        <v>30</v>
      </c>
    </row>
    <row r="228" spans="1:14" x14ac:dyDescent="0.25">
      <c r="A228" t="str">
        <f t="shared" si="8"/>
        <v>78776107877610</v>
      </c>
      <c r="B228" t="str">
        <f t="shared" si="9"/>
        <v>7877610M997H9T8-D</v>
      </c>
      <c r="C228" s="1" t="s">
        <v>485</v>
      </c>
      <c r="D228" s="1" t="s">
        <v>513</v>
      </c>
      <c r="E228" s="1" t="s">
        <v>382</v>
      </c>
      <c r="F228" s="1" t="s">
        <v>383</v>
      </c>
      <c r="G228" s="1" t="s">
        <v>395</v>
      </c>
      <c r="H228" s="1">
        <v>564</v>
      </c>
      <c r="I228" s="3">
        <v>46246</v>
      </c>
      <c r="J228" s="3">
        <v>46258</v>
      </c>
      <c r="K228" s="3" t="s">
        <v>2356</v>
      </c>
      <c r="L228" s="22">
        <v>46246.565127233793</v>
      </c>
      <c r="M228" s="20">
        <v>12</v>
      </c>
      <c r="N228" s="1">
        <v>16</v>
      </c>
    </row>
    <row r="229" spans="1:14" x14ac:dyDescent="0.25">
      <c r="A229" t="str">
        <f t="shared" si="8"/>
        <v>78776107877610</v>
      </c>
      <c r="B229" t="str">
        <f t="shared" si="9"/>
        <v>7877610M997H9T8-D</v>
      </c>
      <c r="C229" s="1" t="s">
        <v>485</v>
      </c>
      <c r="D229" s="1" t="s">
        <v>513</v>
      </c>
      <c r="E229" s="1" t="s">
        <v>382</v>
      </c>
      <c r="F229" s="1" t="s">
        <v>383</v>
      </c>
      <c r="G229" s="1" t="s">
        <v>395</v>
      </c>
      <c r="H229" s="1">
        <v>564</v>
      </c>
      <c r="I229" s="3">
        <v>46246</v>
      </c>
      <c r="J229" s="3">
        <v>46258</v>
      </c>
      <c r="K229" s="3" t="s">
        <v>2356</v>
      </c>
      <c r="L229" s="22">
        <v>46246.566558564809</v>
      </c>
      <c r="M229" s="20">
        <v>12</v>
      </c>
      <c r="N229" s="1">
        <v>3</v>
      </c>
    </row>
    <row r="230" spans="1:14" x14ac:dyDescent="0.25">
      <c r="A230" t="str">
        <f t="shared" si="8"/>
        <v>78776107877610</v>
      </c>
      <c r="B230" t="str">
        <f t="shared" si="9"/>
        <v>7877610M997H9T8-D</v>
      </c>
      <c r="C230" s="1" t="s">
        <v>485</v>
      </c>
      <c r="D230" s="1" t="s">
        <v>513</v>
      </c>
      <c r="E230" s="1" t="s">
        <v>382</v>
      </c>
      <c r="F230" s="1" t="s">
        <v>383</v>
      </c>
      <c r="G230" s="1" t="s">
        <v>395</v>
      </c>
      <c r="H230" s="1">
        <v>564</v>
      </c>
      <c r="I230" s="3">
        <v>46246</v>
      </c>
      <c r="J230" s="3">
        <v>46258</v>
      </c>
      <c r="K230" s="3" t="s">
        <v>2356</v>
      </c>
      <c r="L230" s="22">
        <v>46246.566741053241</v>
      </c>
      <c r="M230" s="20">
        <v>12</v>
      </c>
      <c r="N230" s="1">
        <v>33</v>
      </c>
    </row>
    <row r="231" spans="1:14" x14ac:dyDescent="0.25">
      <c r="A231" t="str">
        <f t="shared" si="8"/>
        <v>78776107877610</v>
      </c>
      <c r="B231" t="str">
        <f t="shared" si="9"/>
        <v>7877610M997H9T8-D</v>
      </c>
      <c r="C231" s="1" t="s">
        <v>485</v>
      </c>
      <c r="D231" s="1" t="s">
        <v>513</v>
      </c>
      <c r="E231" s="1" t="s">
        <v>382</v>
      </c>
      <c r="F231" s="1" t="s">
        <v>383</v>
      </c>
      <c r="G231" s="1" t="s">
        <v>395</v>
      </c>
      <c r="H231" s="1">
        <v>564</v>
      </c>
      <c r="I231" s="3">
        <v>46246</v>
      </c>
      <c r="J231" s="3">
        <v>46258</v>
      </c>
      <c r="K231" s="3" t="s">
        <v>2356</v>
      </c>
      <c r="L231" s="22">
        <v>46246.588495601849</v>
      </c>
      <c r="M231" s="20">
        <v>12</v>
      </c>
      <c r="N231" s="1">
        <v>15</v>
      </c>
    </row>
    <row r="232" spans="1:14" x14ac:dyDescent="0.25">
      <c r="A232" t="str">
        <f t="shared" si="8"/>
        <v>78776107877610</v>
      </c>
      <c r="B232" t="str">
        <f t="shared" si="9"/>
        <v>7877610M997H9T8-D</v>
      </c>
      <c r="C232" s="1" t="s">
        <v>485</v>
      </c>
      <c r="D232" s="1" t="s">
        <v>513</v>
      </c>
      <c r="E232" s="1" t="s">
        <v>382</v>
      </c>
      <c r="F232" s="1" t="s">
        <v>383</v>
      </c>
      <c r="G232" s="1" t="s">
        <v>395</v>
      </c>
      <c r="H232" s="1">
        <v>564</v>
      </c>
      <c r="I232" s="3">
        <v>46246</v>
      </c>
      <c r="J232" s="3">
        <v>46258</v>
      </c>
      <c r="K232" s="3" t="s">
        <v>2356</v>
      </c>
      <c r="L232" s="22">
        <v>46246.588670949073</v>
      </c>
      <c r="M232" s="20">
        <v>12</v>
      </c>
      <c r="N232" s="1">
        <v>5</v>
      </c>
    </row>
    <row r="233" spans="1:14" x14ac:dyDescent="0.25">
      <c r="A233" t="str">
        <f t="shared" si="8"/>
        <v>78776107877610</v>
      </c>
      <c r="B233" t="str">
        <f t="shared" si="9"/>
        <v>7877610M997H9T8-D</v>
      </c>
      <c r="C233" s="1" t="s">
        <v>485</v>
      </c>
      <c r="D233" s="1" t="s">
        <v>513</v>
      </c>
      <c r="E233" s="1" t="s">
        <v>382</v>
      </c>
      <c r="F233" s="1" t="s">
        <v>383</v>
      </c>
      <c r="G233" s="1" t="s">
        <v>395</v>
      </c>
      <c r="H233" s="1">
        <v>564</v>
      </c>
      <c r="I233" s="3">
        <v>46246</v>
      </c>
      <c r="J233" s="3">
        <v>46258</v>
      </c>
      <c r="K233" s="3" t="s">
        <v>2356</v>
      </c>
      <c r="L233" s="22">
        <v>46246.588857604162</v>
      </c>
      <c r="M233" s="20">
        <v>12</v>
      </c>
      <c r="N233" s="1">
        <v>38</v>
      </c>
    </row>
    <row r="234" spans="1:14" x14ac:dyDescent="0.25">
      <c r="A234" t="str">
        <f t="shared" si="8"/>
        <v>78776107877610</v>
      </c>
      <c r="B234" t="str">
        <f t="shared" si="9"/>
        <v>7877610M997H9T8-D</v>
      </c>
      <c r="C234" s="1" t="s">
        <v>485</v>
      </c>
      <c r="D234" s="1" t="s">
        <v>513</v>
      </c>
      <c r="E234" s="1" t="s">
        <v>382</v>
      </c>
      <c r="F234" s="1" t="s">
        <v>383</v>
      </c>
      <c r="G234" s="1" t="s">
        <v>395</v>
      </c>
      <c r="H234" s="1">
        <v>564</v>
      </c>
      <c r="I234" s="3">
        <v>46246</v>
      </c>
      <c r="J234" s="3">
        <v>46258</v>
      </c>
      <c r="K234" s="3" t="s">
        <v>2356</v>
      </c>
      <c r="L234" s="22">
        <v>46246.589069942129</v>
      </c>
      <c r="M234" s="20">
        <v>12</v>
      </c>
      <c r="N234" s="1">
        <v>41</v>
      </c>
    </row>
    <row r="235" spans="1:14" x14ac:dyDescent="0.25">
      <c r="A235" t="str">
        <f t="shared" si="8"/>
        <v>78776107877610</v>
      </c>
      <c r="B235" t="str">
        <f t="shared" si="9"/>
        <v>7877610M997H9T8-D</v>
      </c>
      <c r="C235" s="1" t="s">
        <v>485</v>
      </c>
      <c r="D235" s="1" t="s">
        <v>513</v>
      </c>
      <c r="E235" s="1" t="s">
        <v>382</v>
      </c>
      <c r="F235" s="1" t="s">
        <v>383</v>
      </c>
      <c r="G235" s="1" t="s">
        <v>395</v>
      </c>
      <c r="H235" s="1">
        <v>564</v>
      </c>
      <c r="I235" s="3">
        <v>46246</v>
      </c>
      <c r="J235" s="3">
        <v>46258</v>
      </c>
      <c r="K235" s="3" t="s">
        <v>2356</v>
      </c>
      <c r="L235" s="22">
        <v>46246.591725578699</v>
      </c>
      <c r="M235" s="20">
        <v>12</v>
      </c>
      <c r="N235" s="1">
        <v>42</v>
      </c>
    </row>
    <row r="236" spans="1:14" x14ac:dyDescent="0.25">
      <c r="A236" t="str">
        <f t="shared" si="8"/>
        <v>78776107877610</v>
      </c>
      <c r="B236" t="str">
        <f t="shared" si="9"/>
        <v>7877610M997H9T8-D</v>
      </c>
      <c r="C236" s="1" t="s">
        <v>485</v>
      </c>
      <c r="D236" s="1" t="s">
        <v>513</v>
      </c>
      <c r="E236" s="1" t="s">
        <v>382</v>
      </c>
      <c r="F236" s="1" t="s">
        <v>383</v>
      </c>
      <c r="G236" s="1" t="s">
        <v>395</v>
      </c>
      <c r="H236" s="1">
        <v>564</v>
      </c>
      <c r="I236" s="3">
        <v>46246</v>
      </c>
      <c r="J236" s="3">
        <v>46258</v>
      </c>
      <c r="K236" s="3" t="s">
        <v>2356</v>
      </c>
      <c r="L236" s="22">
        <v>46246.591949456015</v>
      </c>
      <c r="M236" s="20">
        <v>12</v>
      </c>
      <c r="N236" s="1">
        <v>34</v>
      </c>
    </row>
    <row r="237" spans="1:14" x14ac:dyDescent="0.25">
      <c r="A237" t="str">
        <f t="shared" si="8"/>
        <v>78776107877610</v>
      </c>
      <c r="B237" t="str">
        <f t="shared" si="9"/>
        <v>7877610M997H9T8-D</v>
      </c>
      <c r="C237" s="1" t="s">
        <v>485</v>
      </c>
      <c r="D237" s="1" t="s">
        <v>513</v>
      </c>
      <c r="E237" s="1" t="s">
        <v>382</v>
      </c>
      <c r="F237" s="1" t="s">
        <v>383</v>
      </c>
      <c r="G237" s="1" t="s">
        <v>395</v>
      </c>
      <c r="H237" s="1">
        <v>564</v>
      </c>
      <c r="I237" s="3">
        <v>46246</v>
      </c>
      <c r="J237" s="3">
        <v>46258</v>
      </c>
      <c r="K237" s="3" t="s">
        <v>2356</v>
      </c>
      <c r="L237" s="22">
        <v>46246.598080173608</v>
      </c>
      <c r="M237" s="20">
        <v>12</v>
      </c>
      <c r="N237" s="1">
        <v>17</v>
      </c>
    </row>
    <row r="238" spans="1:14" x14ac:dyDescent="0.25">
      <c r="A238" t="str">
        <f t="shared" si="8"/>
        <v>78776107877610</v>
      </c>
      <c r="B238" t="str">
        <f t="shared" si="9"/>
        <v>7877610M997H9T8-D</v>
      </c>
      <c r="C238" s="1" t="s">
        <v>485</v>
      </c>
      <c r="D238" s="1" t="s">
        <v>513</v>
      </c>
      <c r="E238" s="1" t="s">
        <v>382</v>
      </c>
      <c r="F238" s="1" t="s">
        <v>383</v>
      </c>
      <c r="G238" s="1" t="s">
        <v>395</v>
      </c>
      <c r="H238" s="1">
        <v>564</v>
      </c>
      <c r="I238" s="3">
        <v>46246</v>
      </c>
      <c r="J238" s="3">
        <v>46258</v>
      </c>
      <c r="K238" s="3" t="s">
        <v>2356</v>
      </c>
      <c r="L238" s="22">
        <v>46246.598269594906</v>
      </c>
      <c r="M238" s="20">
        <v>12</v>
      </c>
      <c r="N238" s="1">
        <v>37</v>
      </c>
    </row>
    <row r="239" spans="1:14" x14ac:dyDescent="0.25">
      <c r="A239" t="str">
        <f t="shared" si="8"/>
        <v>78776107877610</v>
      </c>
      <c r="B239" t="str">
        <f t="shared" si="9"/>
        <v>7877610M997H9T8-D</v>
      </c>
      <c r="C239" s="1" t="s">
        <v>485</v>
      </c>
      <c r="D239" s="1" t="s">
        <v>513</v>
      </c>
      <c r="E239" s="1" t="s">
        <v>382</v>
      </c>
      <c r="F239" s="1" t="s">
        <v>383</v>
      </c>
      <c r="G239" s="1" t="s">
        <v>395</v>
      </c>
      <c r="H239" s="1">
        <v>564</v>
      </c>
      <c r="I239" s="3">
        <v>46246</v>
      </c>
      <c r="J239" s="3">
        <v>46258</v>
      </c>
      <c r="K239" s="3" t="s">
        <v>2356</v>
      </c>
      <c r="L239" s="22">
        <v>46246.598451122685</v>
      </c>
      <c r="M239" s="20">
        <v>12</v>
      </c>
      <c r="N239" s="1">
        <v>10</v>
      </c>
    </row>
    <row r="240" spans="1:14" x14ac:dyDescent="0.25">
      <c r="A240" t="str">
        <f t="shared" si="8"/>
        <v>78776107877610</v>
      </c>
      <c r="B240" t="str">
        <f t="shared" si="9"/>
        <v>7877610M997H9T8-D</v>
      </c>
      <c r="C240" s="1" t="s">
        <v>485</v>
      </c>
      <c r="D240" s="1" t="s">
        <v>513</v>
      </c>
      <c r="E240" s="1" t="s">
        <v>382</v>
      </c>
      <c r="F240" s="1" t="s">
        <v>383</v>
      </c>
      <c r="G240" s="1" t="s">
        <v>395</v>
      </c>
      <c r="H240" s="1">
        <v>564</v>
      </c>
      <c r="I240" s="3">
        <v>46246</v>
      </c>
      <c r="J240" s="3">
        <v>46258</v>
      </c>
      <c r="K240" s="3" t="s">
        <v>2356</v>
      </c>
      <c r="L240" s="22">
        <v>46246.61696944444</v>
      </c>
      <c r="M240" s="20">
        <v>12</v>
      </c>
      <c r="N240" s="1">
        <v>11</v>
      </c>
    </row>
    <row r="241" spans="1:14" x14ac:dyDescent="0.25">
      <c r="A241" t="str">
        <f t="shared" si="8"/>
        <v>78776107877610</v>
      </c>
      <c r="B241" t="str">
        <f t="shared" si="9"/>
        <v>7877610M997H9T8-D</v>
      </c>
      <c r="C241" s="1" t="s">
        <v>485</v>
      </c>
      <c r="D241" s="1" t="s">
        <v>513</v>
      </c>
      <c r="E241" s="1" t="s">
        <v>382</v>
      </c>
      <c r="F241" s="1" t="s">
        <v>383</v>
      </c>
      <c r="G241" s="1" t="s">
        <v>395</v>
      </c>
      <c r="H241" s="1">
        <v>564</v>
      </c>
      <c r="I241" s="3">
        <v>46246</v>
      </c>
      <c r="J241" s="3">
        <v>46258</v>
      </c>
      <c r="K241" s="3" t="s">
        <v>2356</v>
      </c>
      <c r="L241" s="22">
        <v>46246.618582175921</v>
      </c>
      <c r="M241" s="20">
        <v>12</v>
      </c>
      <c r="N241" s="1">
        <v>9</v>
      </c>
    </row>
    <row r="242" spans="1:14" x14ac:dyDescent="0.25">
      <c r="A242" t="str">
        <f t="shared" si="8"/>
        <v>78776107877610</v>
      </c>
      <c r="B242" t="str">
        <f t="shared" si="9"/>
        <v>7877610M997H9T8-D</v>
      </c>
      <c r="C242" s="1" t="s">
        <v>485</v>
      </c>
      <c r="D242" s="1" t="s">
        <v>513</v>
      </c>
      <c r="E242" s="1" t="s">
        <v>382</v>
      </c>
      <c r="F242" s="1" t="s">
        <v>383</v>
      </c>
      <c r="G242" s="1" t="s">
        <v>395</v>
      </c>
      <c r="H242" s="1">
        <v>564</v>
      </c>
      <c r="I242" s="3">
        <v>46246</v>
      </c>
      <c r="J242" s="3">
        <v>46258</v>
      </c>
      <c r="K242" s="3" t="s">
        <v>2356</v>
      </c>
      <c r="L242" s="22">
        <v>46246.619003703701</v>
      </c>
      <c r="M242" s="20">
        <v>12</v>
      </c>
      <c r="N242" s="1">
        <v>31</v>
      </c>
    </row>
    <row r="243" spans="1:14" x14ac:dyDescent="0.25">
      <c r="A243" t="str">
        <f t="shared" si="8"/>
        <v>78776107877610</v>
      </c>
      <c r="B243" t="str">
        <f t="shared" si="9"/>
        <v>7877610M997H9T8-D</v>
      </c>
      <c r="C243" s="1" t="s">
        <v>485</v>
      </c>
      <c r="D243" s="1" t="s">
        <v>513</v>
      </c>
      <c r="E243" s="1" t="s">
        <v>382</v>
      </c>
      <c r="F243" s="1" t="s">
        <v>383</v>
      </c>
      <c r="G243" s="1" t="s">
        <v>395</v>
      </c>
      <c r="H243" s="1">
        <v>564</v>
      </c>
      <c r="I243" s="3">
        <v>46246</v>
      </c>
      <c r="J243" s="3">
        <v>46258</v>
      </c>
      <c r="K243" s="3" t="s">
        <v>2356</v>
      </c>
      <c r="L243" s="22">
        <v>46246.626420057866</v>
      </c>
      <c r="M243" s="20">
        <v>12</v>
      </c>
      <c r="N243" s="1">
        <v>8</v>
      </c>
    </row>
    <row r="244" spans="1:14" x14ac:dyDescent="0.25">
      <c r="A244" t="str">
        <f t="shared" si="8"/>
        <v>78776107877610</v>
      </c>
      <c r="B244" t="str">
        <f t="shared" si="9"/>
        <v>7877610M997H9T8-D</v>
      </c>
      <c r="C244" s="1" t="s">
        <v>485</v>
      </c>
      <c r="D244" s="1" t="s">
        <v>513</v>
      </c>
      <c r="E244" s="1" t="s">
        <v>382</v>
      </c>
      <c r="F244" s="1" t="s">
        <v>383</v>
      </c>
      <c r="G244" s="1" t="s">
        <v>395</v>
      </c>
      <c r="H244" s="1">
        <v>564</v>
      </c>
      <c r="I244" s="3">
        <v>46246</v>
      </c>
      <c r="J244" s="3">
        <v>46258</v>
      </c>
      <c r="K244" s="3" t="s">
        <v>2356</v>
      </c>
      <c r="L244" s="22">
        <v>46246.672575428238</v>
      </c>
      <c r="M244" s="20">
        <v>12</v>
      </c>
      <c r="N244" s="1">
        <v>21</v>
      </c>
    </row>
    <row r="245" spans="1:14" x14ac:dyDescent="0.25">
      <c r="A245" t="str">
        <f t="shared" si="8"/>
        <v>78782277878227</v>
      </c>
      <c r="B245" t="str">
        <f t="shared" si="9"/>
        <v>7878227M997H27Q-D</v>
      </c>
      <c r="C245" s="1" t="s">
        <v>512</v>
      </c>
      <c r="D245" s="1" t="s">
        <v>514</v>
      </c>
      <c r="E245" s="1" t="s">
        <v>382</v>
      </c>
      <c r="F245" s="1" t="s">
        <v>383</v>
      </c>
      <c r="G245" s="1" t="s">
        <v>395</v>
      </c>
      <c r="H245" s="1">
        <v>342</v>
      </c>
      <c r="I245" s="3">
        <v>46246</v>
      </c>
      <c r="J245" s="3">
        <v>46261</v>
      </c>
      <c r="K245" s="3" t="s">
        <v>2357</v>
      </c>
      <c r="L245" s="22">
        <v>46246.551317245372</v>
      </c>
      <c r="M245" s="20">
        <v>12</v>
      </c>
      <c r="N245" s="1">
        <v>15</v>
      </c>
    </row>
    <row r="246" spans="1:14" x14ac:dyDescent="0.25">
      <c r="A246" t="str">
        <f t="shared" si="8"/>
        <v>78782277878227</v>
      </c>
      <c r="B246" t="str">
        <f t="shared" si="9"/>
        <v>7878227M997H27Q-D</v>
      </c>
      <c r="C246" s="1" t="s">
        <v>512</v>
      </c>
      <c r="D246" s="1" t="s">
        <v>514</v>
      </c>
      <c r="E246" s="1" t="s">
        <v>382</v>
      </c>
      <c r="F246" s="1" t="s">
        <v>383</v>
      </c>
      <c r="G246" s="1" t="s">
        <v>395</v>
      </c>
      <c r="H246" s="1">
        <v>342</v>
      </c>
      <c r="I246" s="3">
        <v>46246</v>
      </c>
      <c r="J246" s="3">
        <v>46261</v>
      </c>
      <c r="K246" s="3" t="s">
        <v>2357</v>
      </c>
      <c r="L246" s="22">
        <v>46246.55406574074</v>
      </c>
      <c r="M246" s="20">
        <v>12</v>
      </c>
      <c r="N246" s="1">
        <v>9</v>
      </c>
    </row>
    <row r="247" spans="1:14" x14ac:dyDescent="0.25">
      <c r="A247" t="str">
        <f t="shared" si="8"/>
        <v>78782277878227</v>
      </c>
      <c r="B247" t="str">
        <f t="shared" si="9"/>
        <v>7878227M997H27Q-D</v>
      </c>
      <c r="C247" s="1" t="s">
        <v>512</v>
      </c>
      <c r="D247" s="1" t="s">
        <v>514</v>
      </c>
      <c r="E247" s="1" t="s">
        <v>382</v>
      </c>
      <c r="F247" s="1" t="s">
        <v>383</v>
      </c>
      <c r="G247" s="1" t="s">
        <v>395</v>
      </c>
      <c r="H247" s="1">
        <v>342</v>
      </c>
      <c r="I247" s="3">
        <v>46246</v>
      </c>
      <c r="J247" s="3">
        <v>46261</v>
      </c>
      <c r="K247" s="3" t="s">
        <v>2357</v>
      </c>
      <c r="L247" s="22">
        <v>46246.562341898149</v>
      </c>
      <c r="M247" s="20">
        <v>12</v>
      </c>
      <c r="N247" s="1">
        <v>4</v>
      </c>
    </row>
    <row r="248" spans="1:14" x14ac:dyDescent="0.25">
      <c r="A248" t="str">
        <f t="shared" si="8"/>
        <v>78782277878227</v>
      </c>
      <c r="B248" t="str">
        <f t="shared" si="9"/>
        <v>7878227M997H27Q-D</v>
      </c>
      <c r="C248" s="1" t="s">
        <v>512</v>
      </c>
      <c r="D248" s="1" t="s">
        <v>514</v>
      </c>
      <c r="E248" s="1" t="s">
        <v>382</v>
      </c>
      <c r="F248" s="1" t="s">
        <v>383</v>
      </c>
      <c r="G248" s="1" t="s">
        <v>395</v>
      </c>
      <c r="H248" s="1">
        <v>342</v>
      </c>
      <c r="I248" s="3">
        <v>46246</v>
      </c>
      <c r="J248" s="3">
        <v>46261</v>
      </c>
      <c r="K248" s="3" t="s">
        <v>2357</v>
      </c>
      <c r="L248" s="22">
        <v>46246.562549456015</v>
      </c>
      <c r="M248" s="20">
        <v>12</v>
      </c>
      <c r="N248" s="1">
        <v>22</v>
      </c>
    </row>
    <row r="249" spans="1:14" x14ac:dyDescent="0.25">
      <c r="A249" t="str">
        <f t="shared" si="8"/>
        <v>78782277878227</v>
      </c>
      <c r="B249" t="str">
        <f t="shared" si="9"/>
        <v>7878227M997H27Q-D</v>
      </c>
      <c r="C249" s="1" t="s">
        <v>512</v>
      </c>
      <c r="D249" s="1" t="s">
        <v>514</v>
      </c>
      <c r="E249" s="1" t="s">
        <v>382</v>
      </c>
      <c r="F249" s="1" t="s">
        <v>383</v>
      </c>
      <c r="G249" s="1" t="s">
        <v>395</v>
      </c>
      <c r="H249" s="1">
        <v>342</v>
      </c>
      <c r="I249" s="3">
        <v>46246</v>
      </c>
      <c r="J249" s="3">
        <v>46261</v>
      </c>
      <c r="K249" s="3" t="s">
        <v>2357</v>
      </c>
      <c r="L249" s="22">
        <v>46246.56344366898</v>
      </c>
      <c r="M249" s="20">
        <v>12</v>
      </c>
      <c r="N249" s="1">
        <v>24</v>
      </c>
    </row>
    <row r="250" spans="1:14" x14ac:dyDescent="0.25">
      <c r="A250" t="str">
        <f t="shared" si="8"/>
        <v>78782277878227</v>
      </c>
      <c r="B250" t="str">
        <f t="shared" si="9"/>
        <v>7878227M997H27Q-D</v>
      </c>
      <c r="C250" s="1" t="s">
        <v>512</v>
      </c>
      <c r="D250" s="1" t="s">
        <v>514</v>
      </c>
      <c r="E250" s="1" t="s">
        <v>382</v>
      </c>
      <c r="F250" s="1" t="s">
        <v>383</v>
      </c>
      <c r="G250" s="1" t="s">
        <v>395</v>
      </c>
      <c r="H250" s="1">
        <v>342</v>
      </c>
      <c r="I250" s="3">
        <v>46246</v>
      </c>
      <c r="J250" s="3">
        <v>46261</v>
      </c>
      <c r="K250" s="3" t="s">
        <v>2357</v>
      </c>
      <c r="L250" s="22">
        <v>46246.563814351852</v>
      </c>
      <c r="M250" s="20">
        <v>12</v>
      </c>
      <c r="N250" s="1">
        <v>2</v>
      </c>
    </row>
    <row r="251" spans="1:14" x14ac:dyDescent="0.25">
      <c r="A251" t="str">
        <f t="shared" si="8"/>
        <v>78782277878227</v>
      </c>
      <c r="B251" t="str">
        <f t="shared" si="9"/>
        <v>7878227M997H27Q-D</v>
      </c>
      <c r="C251" s="1" t="s">
        <v>512</v>
      </c>
      <c r="D251" s="1" t="s">
        <v>514</v>
      </c>
      <c r="E251" s="1" t="s">
        <v>382</v>
      </c>
      <c r="F251" s="1" t="s">
        <v>383</v>
      </c>
      <c r="G251" s="1" t="s">
        <v>395</v>
      </c>
      <c r="H251" s="1">
        <v>342</v>
      </c>
      <c r="I251" s="3">
        <v>46246</v>
      </c>
      <c r="J251" s="3">
        <v>46261</v>
      </c>
      <c r="K251" s="3" t="s">
        <v>2357</v>
      </c>
      <c r="L251" s="22">
        <v>46246.563987731482</v>
      </c>
      <c r="M251" s="20">
        <v>12</v>
      </c>
      <c r="N251" s="1">
        <v>14</v>
      </c>
    </row>
    <row r="252" spans="1:14" x14ac:dyDescent="0.25">
      <c r="A252" t="str">
        <f t="shared" si="8"/>
        <v>78782277878227</v>
      </c>
      <c r="B252" t="str">
        <f t="shared" si="9"/>
        <v>7878227M997H27Q-D</v>
      </c>
      <c r="C252" s="1" t="s">
        <v>512</v>
      </c>
      <c r="D252" s="1" t="s">
        <v>514</v>
      </c>
      <c r="E252" s="1" t="s">
        <v>382</v>
      </c>
      <c r="F252" s="1" t="s">
        <v>383</v>
      </c>
      <c r="G252" s="1" t="s">
        <v>395</v>
      </c>
      <c r="H252" s="1">
        <v>342</v>
      </c>
      <c r="I252" s="3">
        <v>46246</v>
      </c>
      <c r="J252" s="3">
        <v>46261</v>
      </c>
      <c r="K252" s="3" t="s">
        <v>2357</v>
      </c>
      <c r="L252" s="22">
        <v>46246.572694097224</v>
      </c>
      <c r="M252" s="20">
        <v>12</v>
      </c>
      <c r="N252" s="1">
        <v>18</v>
      </c>
    </row>
    <row r="253" spans="1:14" x14ac:dyDescent="0.25">
      <c r="A253" t="str">
        <f t="shared" si="8"/>
        <v>78782277878227</v>
      </c>
      <c r="B253" t="str">
        <f t="shared" si="9"/>
        <v>7878227M997H27Q-D</v>
      </c>
      <c r="C253" s="1" t="s">
        <v>512</v>
      </c>
      <c r="D253" s="1" t="s">
        <v>514</v>
      </c>
      <c r="E253" s="1" t="s">
        <v>382</v>
      </c>
      <c r="F253" s="1" t="s">
        <v>383</v>
      </c>
      <c r="G253" s="1" t="s">
        <v>395</v>
      </c>
      <c r="H253" s="1">
        <v>342</v>
      </c>
      <c r="I253" s="3">
        <v>46246</v>
      </c>
      <c r="J253" s="3">
        <v>46261</v>
      </c>
      <c r="K253" s="3" t="s">
        <v>2357</v>
      </c>
      <c r="L253" s="22">
        <v>46246.572925891203</v>
      </c>
      <c r="M253" s="20">
        <v>12</v>
      </c>
      <c r="N253" s="1">
        <v>6</v>
      </c>
    </row>
    <row r="254" spans="1:14" x14ac:dyDescent="0.25">
      <c r="A254" t="str">
        <f t="shared" si="8"/>
        <v>78782277878227</v>
      </c>
      <c r="B254" t="str">
        <f t="shared" si="9"/>
        <v>7878227M997H27Q-D</v>
      </c>
      <c r="C254" s="1" t="s">
        <v>512</v>
      </c>
      <c r="D254" s="1" t="s">
        <v>514</v>
      </c>
      <c r="E254" s="1" t="s">
        <v>382</v>
      </c>
      <c r="F254" s="1" t="s">
        <v>383</v>
      </c>
      <c r="G254" s="1" t="s">
        <v>395</v>
      </c>
      <c r="H254" s="1">
        <v>342</v>
      </c>
      <c r="I254" s="3">
        <v>46246</v>
      </c>
      <c r="J254" s="3">
        <v>46261</v>
      </c>
      <c r="K254" s="3" t="s">
        <v>2357</v>
      </c>
      <c r="L254" s="22">
        <v>46246.575320833334</v>
      </c>
      <c r="M254" s="20">
        <v>12</v>
      </c>
      <c r="N254" s="1">
        <v>5</v>
      </c>
    </row>
    <row r="255" spans="1:14" x14ac:dyDescent="0.25">
      <c r="A255" t="str">
        <f t="shared" si="8"/>
        <v>78782277878227</v>
      </c>
      <c r="B255" t="str">
        <f t="shared" si="9"/>
        <v>7878227M997H27Q-D</v>
      </c>
      <c r="C255" s="1" t="s">
        <v>512</v>
      </c>
      <c r="D255" s="1" t="s">
        <v>514</v>
      </c>
      <c r="E255" s="1" t="s">
        <v>382</v>
      </c>
      <c r="F255" s="1" t="s">
        <v>383</v>
      </c>
      <c r="G255" s="1" t="s">
        <v>395</v>
      </c>
      <c r="H255" s="1">
        <v>342</v>
      </c>
      <c r="I255" s="3">
        <v>46246</v>
      </c>
      <c r="J255" s="3">
        <v>46261</v>
      </c>
      <c r="K255" s="3" t="s">
        <v>2357</v>
      </c>
      <c r="L255" s="22">
        <v>46246.59654366898</v>
      </c>
      <c r="M255" s="20">
        <v>12</v>
      </c>
      <c r="N255" s="1">
        <v>21</v>
      </c>
    </row>
    <row r="256" spans="1:14" x14ac:dyDescent="0.25">
      <c r="A256" t="str">
        <f t="shared" si="8"/>
        <v>H181786H181786</v>
      </c>
      <c r="B256" t="str">
        <f t="shared" si="9"/>
        <v>H181786G204L1MN-M</v>
      </c>
      <c r="C256" s="1" t="s">
        <v>516</v>
      </c>
      <c r="D256" s="1" t="s">
        <v>517</v>
      </c>
      <c r="E256" s="1" t="s">
        <v>524</v>
      </c>
      <c r="F256" s="1" t="s">
        <v>525</v>
      </c>
      <c r="G256" s="1" t="s">
        <v>404</v>
      </c>
      <c r="H256" s="1">
        <v>1902</v>
      </c>
      <c r="I256" s="3">
        <v>46246</v>
      </c>
      <c r="J256" s="3">
        <v>46272</v>
      </c>
      <c r="K256" s="3" t="s">
        <v>2358</v>
      </c>
      <c r="L256" s="22">
        <v>46246.565821064811</v>
      </c>
      <c r="M256" s="20">
        <v>12</v>
      </c>
      <c r="N256" s="1">
        <v>144</v>
      </c>
    </row>
    <row r="257" spans="1:14" x14ac:dyDescent="0.25">
      <c r="A257" t="str">
        <f t="shared" si="8"/>
        <v>H181786H181786</v>
      </c>
      <c r="B257" t="str">
        <f t="shared" si="9"/>
        <v>H181786G204L1MN-M</v>
      </c>
      <c r="C257" s="1" t="s">
        <v>516</v>
      </c>
      <c r="D257" s="1" t="s">
        <v>517</v>
      </c>
      <c r="E257" s="1" t="s">
        <v>524</v>
      </c>
      <c r="F257" s="1" t="s">
        <v>525</v>
      </c>
      <c r="G257" s="1" t="s">
        <v>404</v>
      </c>
      <c r="H257" s="1">
        <v>1902</v>
      </c>
      <c r="I257" s="3">
        <v>46246</v>
      </c>
      <c r="J257" s="3">
        <v>46272</v>
      </c>
      <c r="K257" s="3" t="s">
        <v>2358</v>
      </c>
      <c r="L257" s="22">
        <v>46246.592160995366</v>
      </c>
      <c r="M257" s="20">
        <v>12</v>
      </c>
      <c r="N257" s="1">
        <v>40</v>
      </c>
    </row>
    <row r="258" spans="1:14" x14ac:dyDescent="0.25">
      <c r="A258" t="str">
        <f t="shared" ref="A258:A321" si="10">+D258&amp;D258</f>
        <v>H181786H181786</v>
      </c>
      <c r="B258" t="str">
        <f t="shared" ref="B258:B321" si="11">+D258&amp;C258</f>
        <v>H181786G204L1MN-M</v>
      </c>
      <c r="C258" s="1" t="s">
        <v>516</v>
      </c>
      <c r="D258" s="1" t="s">
        <v>517</v>
      </c>
      <c r="E258" s="1" t="s">
        <v>524</v>
      </c>
      <c r="F258" s="1" t="s">
        <v>525</v>
      </c>
      <c r="G258" s="1" t="s">
        <v>404</v>
      </c>
      <c r="H258" s="1">
        <v>1902</v>
      </c>
      <c r="I258" s="3">
        <v>46246</v>
      </c>
      <c r="J258" s="3">
        <v>46272</v>
      </c>
      <c r="K258" s="3" t="s">
        <v>2358</v>
      </c>
      <c r="L258" s="22">
        <v>46246.592362037038</v>
      </c>
      <c r="M258" s="20">
        <v>12</v>
      </c>
      <c r="N258" s="1">
        <v>92</v>
      </c>
    </row>
    <row r="259" spans="1:14" x14ac:dyDescent="0.25">
      <c r="A259" t="str">
        <f t="shared" si="10"/>
        <v>H181786H181786</v>
      </c>
      <c r="B259" t="str">
        <f t="shared" si="11"/>
        <v>H181786G204L1MN-M</v>
      </c>
      <c r="C259" s="1" t="s">
        <v>516</v>
      </c>
      <c r="D259" s="1" t="s">
        <v>517</v>
      </c>
      <c r="E259" s="1" t="s">
        <v>524</v>
      </c>
      <c r="F259" s="1" t="s">
        <v>525</v>
      </c>
      <c r="G259" s="1" t="s">
        <v>404</v>
      </c>
      <c r="H259" s="1">
        <v>1902</v>
      </c>
      <c r="I259" s="3">
        <v>46246</v>
      </c>
      <c r="J259" s="3">
        <v>46272</v>
      </c>
      <c r="K259" s="3" t="s">
        <v>2358</v>
      </c>
      <c r="L259" s="22">
        <v>46246.597779282405</v>
      </c>
      <c r="M259" s="20">
        <v>12</v>
      </c>
      <c r="N259" s="1">
        <v>146</v>
      </c>
    </row>
    <row r="260" spans="1:14" x14ac:dyDescent="0.25">
      <c r="A260" t="str">
        <f t="shared" si="10"/>
        <v>H181786H181786</v>
      </c>
      <c r="B260" t="str">
        <f t="shared" si="11"/>
        <v>H181786G204L1MN-M</v>
      </c>
      <c r="C260" s="1" t="s">
        <v>516</v>
      </c>
      <c r="D260" s="1" t="s">
        <v>517</v>
      </c>
      <c r="E260" s="1" t="s">
        <v>524</v>
      </c>
      <c r="F260" s="1" t="s">
        <v>525</v>
      </c>
      <c r="G260" s="1" t="s">
        <v>404</v>
      </c>
      <c r="H260" s="1">
        <v>1902</v>
      </c>
      <c r="I260" s="3">
        <v>46246</v>
      </c>
      <c r="J260" s="3">
        <v>46272</v>
      </c>
      <c r="K260" s="3" t="s">
        <v>2358</v>
      </c>
      <c r="L260" s="22">
        <v>46246.601652233796</v>
      </c>
      <c r="M260" s="20">
        <v>12</v>
      </c>
      <c r="N260" s="1">
        <v>42</v>
      </c>
    </row>
    <row r="261" spans="1:14" x14ac:dyDescent="0.25">
      <c r="A261" t="str">
        <f t="shared" si="10"/>
        <v>H181786H181786</v>
      </c>
      <c r="B261" t="str">
        <f t="shared" si="11"/>
        <v>H181786G204L1MN-M</v>
      </c>
      <c r="C261" s="1" t="s">
        <v>516</v>
      </c>
      <c r="D261" s="1" t="s">
        <v>517</v>
      </c>
      <c r="E261" s="1" t="s">
        <v>524</v>
      </c>
      <c r="F261" s="1" t="s">
        <v>525</v>
      </c>
      <c r="G261" s="1" t="s">
        <v>404</v>
      </c>
      <c r="H261" s="1">
        <v>1902</v>
      </c>
      <c r="I261" s="3">
        <v>46246</v>
      </c>
      <c r="J261" s="3">
        <v>46272</v>
      </c>
      <c r="K261" s="3" t="s">
        <v>2358</v>
      </c>
      <c r="L261" s="22">
        <v>46246.610096643519</v>
      </c>
      <c r="M261" s="20">
        <v>12</v>
      </c>
      <c r="N261" s="1">
        <v>28</v>
      </c>
    </row>
    <row r="262" spans="1:14" x14ac:dyDescent="0.25">
      <c r="A262" t="str">
        <f t="shared" si="10"/>
        <v>H181786H181786</v>
      </c>
      <c r="B262" t="str">
        <f t="shared" si="11"/>
        <v>H181786G204L1MN-M</v>
      </c>
      <c r="C262" s="1" t="s">
        <v>516</v>
      </c>
      <c r="D262" s="1" t="s">
        <v>517</v>
      </c>
      <c r="E262" s="1" t="s">
        <v>524</v>
      </c>
      <c r="F262" s="1" t="s">
        <v>525</v>
      </c>
      <c r="G262" s="1" t="s">
        <v>404</v>
      </c>
      <c r="H262" s="1">
        <v>1902</v>
      </c>
      <c r="I262" s="3">
        <v>46246</v>
      </c>
      <c r="J262" s="3">
        <v>46272</v>
      </c>
      <c r="K262" s="3" t="s">
        <v>2358</v>
      </c>
      <c r="L262" s="22">
        <v>46246.610602280089</v>
      </c>
      <c r="M262" s="20">
        <v>12</v>
      </c>
      <c r="N262" s="1">
        <v>94</v>
      </c>
    </row>
    <row r="263" spans="1:14" x14ac:dyDescent="0.25">
      <c r="A263" t="str">
        <f t="shared" si="10"/>
        <v>H181786H181786</v>
      </c>
      <c r="B263" t="str">
        <f t="shared" si="11"/>
        <v>H181786G204L1MN-M</v>
      </c>
      <c r="C263" s="1" t="s">
        <v>516</v>
      </c>
      <c r="D263" s="1" t="s">
        <v>517</v>
      </c>
      <c r="E263" s="1" t="s">
        <v>524</v>
      </c>
      <c r="F263" s="1" t="s">
        <v>525</v>
      </c>
      <c r="G263" s="1" t="s">
        <v>404</v>
      </c>
      <c r="H263" s="1">
        <v>1902</v>
      </c>
      <c r="I263" s="3">
        <v>46246</v>
      </c>
      <c r="J263" s="3">
        <v>46272</v>
      </c>
      <c r="K263" s="3" t="s">
        <v>2358</v>
      </c>
      <c r="L263" s="22">
        <v>46246.61232508102</v>
      </c>
      <c r="M263" s="20">
        <v>12</v>
      </c>
      <c r="N263" s="1">
        <v>79</v>
      </c>
    </row>
    <row r="264" spans="1:14" x14ac:dyDescent="0.25">
      <c r="A264" t="str">
        <f t="shared" si="10"/>
        <v>H181786H181786</v>
      </c>
      <c r="B264" t="str">
        <f t="shared" si="11"/>
        <v>H181786G204L1MN-M</v>
      </c>
      <c r="C264" s="1" t="s">
        <v>516</v>
      </c>
      <c r="D264" s="1" t="s">
        <v>517</v>
      </c>
      <c r="E264" s="1" t="s">
        <v>524</v>
      </c>
      <c r="F264" s="1" t="s">
        <v>525</v>
      </c>
      <c r="G264" s="1" t="s">
        <v>404</v>
      </c>
      <c r="H264" s="1">
        <v>1902</v>
      </c>
      <c r="I264" s="3">
        <v>46246</v>
      </c>
      <c r="J264" s="3">
        <v>46272</v>
      </c>
      <c r="K264" s="3" t="s">
        <v>2358</v>
      </c>
      <c r="L264" s="22">
        <v>46246.615826388886</v>
      </c>
      <c r="M264" s="20">
        <v>12</v>
      </c>
      <c r="N264" s="1">
        <v>132</v>
      </c>
    </row>
    <row r="265" spans="1:14" x14ac:dyDescent="0.25">
      <c r="A265" t="str">
        <f t="shared" si="10"/>
        <v>H181786H181786</v>
      </c>
      <c r="B265" t="str">
        <f t="shared" si="11"/>
        <v>H181786G204L1MN-M</v>
      </c>
      <c r="C265" s="1" t="s">
        <v>516</v>
      </c>
      <c r="D265" s="1" t="s">
        <v>517</v>
      </c>
      <c r="E265" s="1" t="s">
        <v>524</v>
      </c>
      <c r="F265" s="1" t="s">
        <v>525</v>
      </c>
      <c r="G265" s="1" t="s">
        <v>404</v>
      </c>
      <c r="H265" s="1">
        <v>1902</v>
      </c>
      <c r="I265" s="3">
        <v>46246</v>
      </c>
      <c r="J265" s="3">
        <v>46272</v>
      </c>
      <c r="K265" s="3" t="s">
        <v>2358</v>
      </c>
      <c r="L265" s="22">
        <v>46246.616023414354</v>
      </c>
      <c r="M265" s="20">
        <v>12</v>
      </c>
      <c r="N265" s="1">
        <v>43</v>
      </c>
    </row>
    <row r="266" spans="1:14" x14ac:dyDescent="0.25">
      <c r="A266" t="str">
        <f t="shared" si="10"/>
        <v>H181786H181786</v>
      </c>
      <c r="B266" t="str">
        <f t="shared" si="11"/>
        <v>H181786G204L1MN-M</v>
      </c>
      <c r="C266" s="1" t="s">
        <v>516</v>
      </c>
      <c r="D266" s="1" t="s">
        <v>517</v>
      </c>
      <c r="E266" s="1" t="s">
        <v>524</v>
      </c>
      <c r="F266" s="1" t="s">
        <v>525</v>
      </c>
      <c r="G266" s="1" t="s">
        <v>404</v>
      </c>
      <c r="H266" s="1">
        <v>1902</v>
      </c>
      <c r="I266" s="3">
        <v>46246</v>
      </c>
      <c r="J266" s="3">
        <v>46272</v>
      </c>
      <c r="K266" s="3" t="s">
        <v>2358</v>
      </c>
      <c r="L266" s="22">
        <v>46246.616718865742</v>
      </c>
      <c r="M266" s="20">
        <v>12</v>
      </c>
      <c r="N266" s="1">
        <v>147</v>
      </c>
    </row>
    <row r="267" spans="1:14" x14ac:dyDescent="0.25">
      <c r="A267" t="str">
        <f t="shared" si="10"/>
        <v>H181786H181786</v>
      </c>
      <c r="B267" t="str">
        <f t="shared" si="11"/>
        <v>H181786G204L1MN-M</v>
      </c>
      <c r="C267" s="1" t="s">
        <v>516</v>
      </c>
      <c r="D267" s="1" t="s">
        <v>517</v>
      </c>
      <c r="E267" s="1" t="s">
        <v>524</v>
      </c>
      <c r="F267" s="1" t="s">
        <v>525</v>
      </c>
      <c r="G267" s="1" t="s">
        <v>404</v>
      </c>
      <c r="H267" s="1">
        <v>1902</v>
      </c>
      <c r="I267" s="3">
        <v>46246</v>
      </c>
      <c r="J267" s="3">
        <v>46272</v>
      </c>
      <c r="K267" s="3" t="s">
        <v>2358</v>
      </c>
      <c r="L267" s="22">
        <v>46246.617435416665</v>
      </c>
      <c r="M267" s="20">
        <v>12</v>
      </c>
      <c r="N267" s="1">
        <v>96</v>
      </c>
    </row>
    <row r="268" spans="1:14" x14ac:dyDescent="0.25">
      <c r="A268" t="str">
        <f t="shared" si="10"/>
        <v>H181786H181786</v>
      </c>
      <c r="B268" t="str">
        <f t="shared" si="11"/>
        <v>H181786G204L1MN-M</v>
      </c>
      <c r="C268" s="1" t="s">
        <v>516</v>
      </c>
      <c r="D268" s="1" t="s">
        <v>517</v>
      </c>
      <c r="E268" s="1" t="s">
        <v>524</v>
      </c>
      <c r="F268" s="1" t="s">
        <v>525</v>
      </c>
      <c r="G268" s="1" t="s">
        <v>404</v>
      </c>
      <c r="H268" s="1">
        <v>1902</v>
      </c>
      <c r="I268" s="3">
        <v>46246</v>
      </c>
      <c r="J268" s="3">
        <v>46272</v>
      </c>
      <c r="K268" s="3" t="s">
        <v>2358</v>
      </c>
      <c r="L268" s="22">
        <v>46246.620101041663</v>
      </c>
      <c r="M268" s="20">
        <v>12</v>
      </c>
      <c r="N268" s="1">
        <v>44</v>
      </c>
    </row>
    <row r="269" spans="1:14" x14ac:dyDescent="0.25">
      <c r="A269" t="str">
        <f t="shared" si="10"/>
        <v>H181786H181786</v>
      </c>
      <c r="B269" t="str">
        <f t="shared" si="11"/>
        <v>H181786G204L1MN-M</v>
      </c>
      <c r="C269" s="1" t="s">
        <v>516</v>
      </c>
      <c r="D269" s="1" t="s">
        <v>517</v>
      </c>
      <c r="E269" s="1" t="s">
        <v>524</v>
      </c>
      <c r="F269" s="1" t="s">
        <v>525</v>
      </c>
      <c r="G269" s="1" t="s">
        <v>404</v>
      </c>
      <c r="H269" s="1">
        <v>1902</v>
      </c>
      <c r="I269" s="3">
        <v>46246</v>
      </c>
      <c r="J269" s="3">
        <v>46272</v>
      </c>
      <c r="K269" s="3" t="s">
        <v>2358</v>
      </c>
      <c r="L269" s="22">
        <v>46246.620455868055</v>
      </c>
      <c r="M269" s="20">
        <v>12</v>
      </c>
      <c r="N269" s="1">
        <v>27</v>
      </c>
    </row>
    <row r="270" spans="1:14" x14ac:dyDescent="0.25">
      <c r="A270" t="str">
        <f t="shared" si="10"/>
        <v>H181786H181786</v>
      </c>
      <c r="B270" t="str">
        <f t="shared" si="11"/>
        <v>H181786G204L1MN-M</v>
      </c>
      <c r="C270" s="1" t="s">
        <v>516</v>
      </c>
      <c r="D270" s="1" t="s">
        <v>517</v>
      </c>
      <c r="E270" s="1" t="s">
        <v>524</v>
      </c>
      <c r="F270" s="1" t="s">
        <v>525</v>
      </c>
      <c r="G270" s="1" t="s">
        <v>404</v>
      </c>
      <c r="H270" s="1">
        <v>1902</v>
      </c>
      <c r="I270" s="3">
        <v>46246</v>
      </c>
      <c r="J270" s="3">
        <v>46272</v>
      </c>
      <c r="K270" s="3" t="s">
        <v>2358</v>
      </c>
      <c r="L270" s="22">
        <v>46246.620603668976</v>
      </c>
      <c r="M270" s="20">
        <v>12</v>
      </c>
      <c r="N270" s="1">
        <v>97</v>
      </c>
    </row>
    <row r="271" spans="1:14" x14ac:dyDescent="0.25">
      <c r="A271" t="str">
        <f t="shared" si="10"/>
        <v>H181786H181786</v>
      </c>
      <c r="B271" t="str">
        <f t="shared" si="11"/>
        <v>H181786G204L1MN-M</v>
      </c>
      <c r="C271" s="1" t="s">
        <v>516</v>
      </c>
      <c r="D271" s="1" t="s">
        <v>517</v>
      </c>
      <c r="E271" s="1" t="s">
        <v>524</v>
      </c>
      <c r="F271" s="1" t="s">
        <v>525</v>
      </c>
      <c r="G271" s="1" t="s">
        <v>404</v>
      </c>
      <c r="H271" s="1">
        <v>1902</v>
      </c>
      <c r="I271" s="3">
        <v>46246</v>
      </c>
      <c r="J271" s="3">
        <v>46272</v>
      </c>
      <c r="K271" s="3" t="s">
        <v>2358</v>
      </c>
      <c r="L271" s="22">
        <v>46246.625996643517</v>
      </c>
      <c r="M271" s="20">
        <v>12</v>
      </c>
      <c r="N271" s="1">
        <v>41</v>
      </c>
    </row>
    <row r="272" spans="1:14" x14ac:dyDescent="0.25">
      <c r="A272" t="str">
        <f t="shared" si="10"/>
        <v>H181786H181786</v>
      </c>
      <c r="B272" t="str">
        <f t="shared" si="11"/>
        <v>H181786G204L1MN-M</v>
      </c>
      <c r="C272" s="1" t="s">
        <v>516</v>
      </c>
      <c r="D272" s="1" t="s">
        <v>517</v>
      </c>
      <c r="E272" s="1" t="s">
        <v>524</v>
      </c>
      <c r="F272" s="1" t="s">
        <v>525</v>
      </c>
      <c r="G272" s="1" t="s">
        <v>404</v>
      </c>
      <c r="H272" s="1">
        <v>1902</v>
      </c>
      <c r="I272" s="3">
        <v>46246</v>
      </c>
      <c r="J272" s="3">
        <v>46272</v>
      </c>
      <c r="K272" s="3" t="s">
        <v>2358</v>
      </c>
      <c r="L272" s="22">
        <v>46246.627291238423</v>
      </c>
      <c r="M272" s="20">
        <v>12</v>
      </c>
      <c r="N272" s="1">
        <v>133</v>
      </c>
    </row>
    <row r="273" spans="1:14" x14ac:dyDescent="0.25">
      <c r="A273" t="str">
        <f t="shared" si="10"/>
        <v>H181786H181786</v>
      </c>
      <c r="B273" t="str">
        <f t="shared" si="11"/>
        <v>H181786G204L1MN-M</v>
      </c>
      <c r="C273" s="1" t="s">
        <v>516</v>
      </c>
      <c r="D273" s="1" t="s">
        <v>517</v>
      </c>
      <c r="E273" s="1" t="s">
        <v>524</v>
      </c>
      <c r="F273" s="1" t="s">
        <v>525</v>
      </c>
      <c r="G273" s="1" t="s">
        <v>404</v>
      </c>
      <c r="H273" s="1">
        <v>1902</v>
      </c>
      <c r="I273" s="3">
        <v>46246</v>
      </c>
      <c r="J273" s="3">
        <v>46272</v>
      </c>
      <c r="K273" s="3" t="s">
        <v>2358</v>
      </c>
      <c r="L273" s="22">
        <v>46246.645640775459</v>
      </c>
      <c r="M273" s="20">
        <v>12</v>
      </c>
      <c r="N273" s="1">
        <v>80</v>
      </c>
    </row>
    <row r="274" spans="1:14" x14ac:dyDescent="0.25">
      <c r="A274" t="str">
        <f t="shared" si="10"/>
        <v>H181786H181786</v>
      </c>
      <c r="B274" t="str">
        <f t="shared" si="11"/>
        <v>H181786G204L1MN-M</v>
      </c>
      <c r="C274" s="1" t="s">
        <v>516</v>
      </c>
      <c r="D274" s="1" t="s">
        <v>517</v>
      </c>
      <c r="E274" s="1" t="s">
        <v>524</v>
      </c>
      <c r="F274" s="1" t="s">
        <v>525</v>
      </c>
      <c r="G274" s="1" t="s">
        <v>404</v>
      </c>
      <c r="H274" s="1">
        <v>1902</v>
      </c>
      <c r="I274" s="3">
        <v>46246</v>
      </c>
      <c r="J274" s="3">
        <v>46272</v>
      </c>
      <c r="K274" s="3" t="s">
        <v>2358</v>
      </c>
      <c r="L274" s="22">
        <v>46246.645880439813</v>
      </c>
      <c r="M274" s="20">
        <v>12</v>
      </c>
      <c r="N274" s="1">
        <v>93</v>
      </c>
    </row>
    <row r="275" spans="1:14" x14ac:dyDescent="0.25">
      <c r="A275" t="str">
        <f t="shared" si="10"/>
        <v>H181786H181786</v>
      </c>
      <c r="B275" t="str">
        <f t="shared" si="11"/>
        <v>H181786G204L1MN-M</v>
      </c>
      <c r="C275" s="1" t="s">
        <v>516</v>
      </c>
      <c r="D275" s="1" t="s">
        <v>517</v>
      </c>
      <c r="E275" s="1" t="s">
        <v>524</v>
      </c>
      <c r="F275" s="1" t="s">
        <v>525</v>
      </c>
      <c r="G275" s="1" t="s">
        <v>404</v>
      </c>
      <c r="H275" s="1">
        <v>1902</v>
      </c>
      <c r="I275" s="3">
        <v>46246</v>
      </c>
      <c r="J275" s="3">
        <v>46272</v>
      </c>
      <c r="K275" s="3" t="s">
        <v>2358</v>
      </c>
      <c r="L275" s="22">
        <v>46246.64610528935</v>
      </c>
      <c r="M275" s="20">
        <v>12</v>
      </c>
      <c r="N275" s="1">
        <v>148</v>
      </c>
    </row>
    <row r="276" spans="1:14" x14ac:dyDescent="0.25">
      <c r="A276" t="str">
        <f t="shared" si="10"/>
        <v>H181786H181786</v>
      </c>
      <c r="B276" t="str">
        <f t="shared" si="11"/>
        <v>H181786G204L1MN-M</v>
      </c>
      <c r="C276" s="1" t="s">
        <v>516</v>
      </c>
      <c r="D276" s="1" t="s">
        <v>517</v>
      </c>
      <c r="E276" s="1" t="s">
        <v>524</v>
      </c>
      <c r="F276" s="1" t="s">
        <v>525</v>
      </c>
      <c r="G276" s="1" t="s">
        <v>404</v>
      </c>
      <c r="H276" s="1">
        <v>1902</v>
      </c>
      <c r="I276" s="3">
        <v>46246</v>
      </c>
      <c r="J276" s="3">
        <v>46272</v>
      </c>
      <c r="K276" s="3" t="s">
        <v>2358</v>
      </c>
      <c r="L276" s="22">
        <v>46246.657207407407</v>
      </c>
      <c r="M276" s="20">
        <v>12</v>
      </c>
      <c r="N276" s="1">
        <v>45</v>
      </c>
    </row>
    <row r="277" spans="1:14" x14ac:dyDescent="0.25">
      <c r="A277" t="str">
        <f t="shared" si="10"/>
        <v>H181786H181786</v>
      </c>
      <c r="B277" t="str">
        <f t="shared" si="11"/>
        <v>H181786G204L1MN-M</v>
      </c>
      <c r="C277" s="1" t="s">
        <v>516</v>
      </c>
      <c r="D277" s="1" t="s">
        <v>517</v>
      </c>
      <c r="E277" s="1" t="s">
        <v>524</v>
      </c>
      <c r="F277" s="1" t="s">
        <v>525</v>
      </c>
      <c r="G277" s="1" t="s">
        <v>404</v>
      </c>
      <c r="H277" s="1">
        <v>1902</v>
      </c>
      <c r="I277" s="3">
        <v>46246</v>
      </c>
      <c r="J277" s="3">
        <v>46272</v>
      </c>
      <c r="K277" s="3" t="s">
        <v>2358</v>
      </c>
      <c r="L277" s="22">
        <v>46246.658531678237</v>
      </c>
      <c r="M277" s="20">
        <v>12</v>
      </c>
      <c r="N277" s="1">
        <v>14</v>
      </c>
    </row>
    <row r="278" spans="1:14" x14ac:dyDescent="0.25">
      <c r="A278" t="str">
        <f t="shared" si="10"/>
        <v>H181786H181786</v>
      </c>
      <c r="B278" t="str">
        <f t="shared" si="11"/>
        <v>H181786G204L1MN-M</v>
      </c>
      <c r="C278" s="1" t="s">
        <v>516</v>
      </c>
      <c r="D278" s="1" t="s">
        <v>517</v>
      </c>
      <c r="E278" s="1" t="s">
        <v>524</v>
      </c>
      <c r="F278" s="1" t="s">
        <v>525</v>
      </c>
      <c r="G278" s="1" t="s">
        <v>404</v>
      </c>
      <c r="H278" s="1">
        <v>1902</v>
      </c>
      <c r="I278" s="3">
        <v>46246</v>
      </c>
      <c r="J278" s="3">
        <v>46272</v>
      </c>
      <c r="K278" s="3" t="s">
        <v>2358</v>
      </c>
      <c r="L278" s="22">
        <v>46246.659610798612</v>
      </c>
      <c r="M278" s="20">
        <v>12</v>
      </c>
      <c r="N278" s="1">
        <v>131</v>
      </c>
    </row>
    <row r="279" spans="1:14" x14ac:dyDescent="0.25">
      <c r="A279" t="str">
        <f t="shared" si="10"/>
        <v>H181786H181786</v>
      </c>
      <c r="B279" t="str">
        <f t="shared" si="11"/>
        <v>H181786G204L1MN-M</v>
      </c>
      <c r="C279" s="1" t="s">
        <v>516</v>
      </c>
      <c r="D279" s="1" t="s">
        <v>517</v>
      </c>
      <c r="E279" s="1" t="s">
        <v>524</v>
      </c>
      <c r="F279" s="1" t="s">
        <v>525</v>
      </c>
      <c r="G279" s="1" t="s">
        <v>404</v>
      </c>
      <c r="H279" s="1">
        <v>1902</v>
      </c>
      <c r="I279" s="3">
        <v>46246</v>
      </c>
      <c r="J279" s="3">
        <v>46272</v>
      </c>
      <c r="K279" s="3" t="s">
        <v>2358</v>
      </c>
      <c r="L279" s="22">
        <v>46246.662327546292</v>
      </c>
      <c r="M279" s="20">
        <v>12</v>
      </c>
      <c r="N279" s="1">
        <v>46</v>
      </c>
    </row>
    <row r="280" spans="1:14" x14ac:dyDescent="0.25">
      <c r="A280" t="str">
        <f t="shared" si="10"/>
        <v>H181786H181786</v>
      </c>
      <c r="B280" t="str">
        <f t="shared" si="11"/>
        <v>H181786G204L1MN-M</v>
      </c>
      <c r="C280" s="1" t="s">
        <v>516</v>
      </c>
      <c r="D280" s="1" t="s">
        <v>517</v>
      </c>
      <c r="E280" s="1" t="s">
        <v>524</v>
      </c>
      <c r="F280" s="1" t="s">
        <v>525</v>
      </c>
      <c r="G280" s="1" t="s">
        <v>404</v>
      </c>
      <c r="H280" s="1">
        <v>1902</v>
      </c>
      <c r="I280" s="3">
        <v>46246</v>
      </c>
      <c r="J280" s="3">
        <v>46272</v>
      </c>
      <c r="K280" s="3" t="s">
        <v>2358</v>
      </c>
      <c r="L280" s="22">
        <v>46246.662729201387</v>
      </c>
      <c r="M280" s="20">
        <v>12</v>
      </c>
      <c r="N280" s="1">
        <v>145</v>
      </c>
    </row>
    <row r="281" spans="1:14" x14ac:dyDescent="0.25">
      <c r="A281" t="str">
        <f t="shared" si="10"/>
        <v>H181786H181786</v>
      </c>
      <c r="B281" t="str">
        <f t="shared" si="11"/>
        <v>H181786G204L1MN-M</v>
      </c>
      <c r="C281" s="1" t="s">
        <v>516</v>
      </c>
      <c r="D281" s="1" t="s">
        <v>517</v>
      </c>
      <c r="E281" s="1" t="s">
        <v>524</v>
      </c>
      <c r="F281" s="1" t="s">
        <v>525</v>
      </c>
      <c r="G281" s="1" t="s">
        <v>404</v>
      </c>
      <c r="H281" s="1">
        <v>1902</v>
      </c>
      <c r="I281" s="3">
        <v>46246</v>
      </c>
      <c r="J281" s="3">
        <v>46272</v>
      </c>
      <c r="K281" s="3" t="s">
        <v>2358</v>
      </c>
      <c r="L281" s="22">
        <v>46246.663093090276</v>
      </c>
      <c r="M281" s="20">
        <v>12</v>
      </c>
      <c r="N281" s="1">
        <v>82</v>
      </c>
    </row>
    <row r="282" spans="1:14" x14ac:dyDescent="0.25">
      <c r="A282" t="str">
        <f t="shared" si="10"/>
        <v>H181786H181786</v>
      </c>
      <c r="B282" t="str">
        <f t="shared" si="11"/>
        <v>H181786G204L1MN-M</v>
      </c>
      <c r="C282" s="1" t="s">
        <v>516</v>
      </c>
      <c r="D282" s="1" t="s">
        <v>517</v>
      </c>
      <c r="E282" s="1" t="s">
        <v>524</v>
      </c>
      <c r="F282" s="1" t="s">
        <v>525</v>
      </c>
      <c r="G282" s="1" t="s">
        <v>404</v>
      </c>
      <c r="H282" s="1">
        <v>1902</v>
      </c>
      <c r="I282" s="3">
        <v>46246</v>
      </c>
      <c r="J282" s="3">
        <v>46272</v>
      </c>
      <c r="K282" s="3" t="s">
        <v>2358</v>
      </c>
      <c r="L282" s="22">
        <v>46246.666709375</v>
      </c>
      <c r="M282" s="20">
        <v>12</v>
      </c>
      <c r="N282" s="1">
        <v>15</v>
      </c>
    </row>
    <row r="283" spans="1:14" x14ac:dyDescent="0.25">
      <c r="A283" t="str">
        <f t="shared" si="10"/>
        <v>H181786H181786</v>
      </c>
      <c r="B283" t="str">
        <f t="shared" si="11"/>
        <v>H181786G204L1MN-M</v>
      </c>
      <c r="C283" s="1" t="s">
        <v>516</v>
      </c>
      <c r="D283" s="1" t="s">
        <v>517</v>
      </c>
      <c r="E283" s="1" t="s">
        <v>524</v>
      </c>
      <c r="F283" s="1" t="s">
        <v>525</v>
      </c>
      <c r="G283" s="1" t="s">
        <v>404</v>
      </c>
      <c r="H283" s="1">
        <v>1902</v>
      </c>
      <c r="I283" s="3">
        <v>46246</v>
      </c>
      <c r="J283" s="3">
        <v>46272</v>
      </c>
      <c r="K283" s="3" t="s">
        <v>2358</v>
      </c>
      <c r="L283" s="22">
        <v>46246.667433530092</v>
      </c>
      <c r="M283" s="20">
        <v>12</v>
      </c>
      <c r="N283" s="1">
        <v>149</v>
      </c>
    </row>
    <row r="284" spans="1:14" x14ac:dyDescent="0.25">
      <c r="A284" t="str">
        <f t="shared" si="10"/>
        <v>H181786H181786</v>
      </c>
      <c r="B284" t="str">
        <f t="shared" si="11"/>
        <v>H181786G204L1MN-M</v>
      </c>
      <c r="C284" s="1" t="s">
        <v>516</v>
      </c>
      <c r="D284" s="1" t="s">
        <v>517</v>
      </c>
      <c r="E284" s="1" t="s">
        <v>524</v>
      </c>
      <c r="F284" s="1" t="s">
        <v>525</v>
      </c>
      <c r="G284" s="1" t="s">
        <v>404</v>
      </c>
      <c r="H284" s="1">
        <v>1902</v>
      </c>
      <c r="I284" s="3">
        <v>46246</v>
      </c>
      <c r="J284" s="3">
        <v>46272</v>
      </c>
      <c r="K284" s="3" t="s">
        <v>2358</v>
      </c>
      <c r="L284" s="22">
        <v>46246.670839432867</v>
      </c>
      <c r="M284" s="20">
        <v>12</v>
      </c>
      <c r="N284" s="1">
        <v>81</v>
      </c>
    </row>
    <row r="285" spans="1:14" x14ac:dyDescent="0.25">
      <c r="A285" t="str">
        <f t="shared" si="10"/>
        <v>H181786H181786</v>
      </c>
      <c r="B285" t="str">
        <f t="shared" si="11"/>
        <v>H181786G204L1MN-M</v>
      </c>
      <c r="C285" s="1" t="s">
        <v>516</v>
      </c>
      <c r="D285" s="1" t="s">
        <v>517</v>
      </c>
      <c r="E285" s="1" t="s">
        <v>524</v>
      </c>
      <c r="F285" s="1" t="s">
        <v>525</v>
      </c>
      <c r="G285" s="1" t="s">
        <v>404</v>
      </c>
      <c r="H285" s="1">
        <v>1902</v>
      </c>
      <c r="I285" s="3">
        <v>46246</v>
      </c>
      <c r="J285" s="3">
        <v>46272</v>
      </c>
      <c r="K285" s="3" t="s">
        <v>2358</v>
      </c>
      <c r="L285" s="22">
        <v>46246.670999884256</v>
      </c>
      <c r="M285" s="20">
        <v>12</v>
      </c>
      <c r="N285" s="1">
        <v>134</v>
      </c>
    </row>
    <row r="286" spans="1:14" x14ac:dyDescent="0.25">
      <c r="A286" t="str">
        <f t="shared" si="10"/>
        <v>H181786H181786</v>
      </c>
      <c r="B286" t="str">
        <f t="shared" si="11"/>
        <v>H181786G204L1MN-M</v>
      </c>
      <c r="C286" s="1" t="s">
        <v>516</v>
      </c>
      <c r="D286" s="1" t="s">
        <v>517</v>
      </c>
      <c r="E286" s="1" t="s">
        <v>524</v>
      </c>
      <c r="F286" s="1" t="s">
        <v>525</v>
      </c>
      <c r="G286" s="1" t="s">
        <v>404</v>
      </c>
      <c r="H286" s="1">
        <v>1902</v>
      </c>
      <c r="I286" s="3">
        <v>46246</v>
      </c>
      <c r="J286" s="3">
        <v>46272</v>
      </c>
      <c r="K286" s="3" t="s">
        <v>2358</v>
      </c>
      <c r="L286" s="22">
        <v>46246.671179432866</v>
      </c>
      <c r="M286" s="20">
        <v>12</v>
      </c>
      <c r="N286" s="1">
        <v>29</v>
      </c>
    </row>
    <row r="287" spans="1:14" x14ac:dyDescent="0.25">
      <c r="A287" t="str">
        <f t="shared" si="10"/>
        <v>78734187873418</v>
      </c>
      <c r="B287" t="str">
        <f t="shared" si="11"/>
        <v>7873418M997H23Y-D</v>
      </c>
      <c r="C287" s="1" t="s">
        <v>475</v>
      </c>
      <c r="D287" s="1" t="s">
        <v>528</v>
      </c>
      <c r="E287" s="1" t="s">
        <v>382</v>
      </c>
      <c r="F287" s="1" t="s">
        <v>383</v>
      </c>
      <c r="G287" s="1" t="s">
        <v>384</v>
      </c>
      <c r="H287" s="1">
        <v>2352</v>
      </c>
      <c r="I287" s="3">
        <v>46248</v>
      </c>
      <c r="J287" s="3">
        <v>46261</v>
      </c>
      <c r="K287" s="3" t="s">
        <v>2359</v>
      </c>
      <c r="L287" s="22">
        <v>46248.434873692131</v>
      </c>
      <c r="M287" s="20">
        <v>12</v>
      </c>
      <c r="N287" s="1">
        <v>82</v>
      </c>
    </row>
    <row r="288" spans="1:14" x14ac:dyDescent="0.25">
      <c r="A288" t="str">
        <f t="shared" si="10"/>
        <v>78734187873418</v>
      </c>
      <c r="B288" t="str">
        <f t="shared" si="11"/>
        <v>7873418M997H23Y-D</v>
      </c>
      <c r="C288" s="1" t="s">
        <v>475</v>
      </c>
      <c r="D288" s="1" t="s">
        <v>528</v>
      </c>
      <c r="E288" s="1" t="s">
        <v>382</v>
      </c>
      <c r="F288" s="1" t="s">
        <v>383</v>
      </c>
      <c r="G288" s="1" t="s">
        <v>384</v>
      </c>
      <c r="H288" s="1">
        <v>2352</v>
      </c>
      <c r="I288" s="3">
        <v>46248</v>
      </c>
      <c r="J288" s="3">
        <v>46261</v>
      </c>
      <c r="K288" s="3" t="s">
        <v>2359</v>
      </c>
      <c r="L288" s="22">
        <v>46248.435081481482</v>
      </c>
      <c r="M288" s="20">
        <v>12</v>
      </c>
      <c r="N288" s="1">
        <v>114</v>
      </c>
    </row>
    <row r="289" spans="1:14" x14ac:dyDescent="0.25">
      <c r="A289" t="str">
        <f t="shared" si="10"/>
        <v>78734187873418</v>
      </c>
      <c r="B289" t="str">
        <f t="shared" si="11"/>
        <v>7873418M997H23Y-D</v>
      </c>
      <c r="C289" s="1" t="s">
        <v>475</v>
      </c>
      <c r="D289" s="1" t="s">
        <v>528</v>
      </c>
      <c r="E289" s="1" t="s">
        <v>382</v>
      </c>
      <c r="F289" s="1" t="s">
        <v>383</v>
      </c>
      <c r="G289" s="1" t="s">
        <v>384</v>
      </c>
      <c r="H289" s="1">
        <v>2352</v>
      </c>
      <c r="I289" s="3">
        <v>46248</v>
      </c>
      <c r="J289" s="3">
        <v>46261</v>
      </c>
      <c r="K289" s="3" t="s">
        <v>2359</v>
      </c>
      <c r="L289" s="22">
        <v>46248.435304479164</v>
      </c>
      <c r="M289" s="20">
        <v>12</v>
      </c>
      <c r="N289" s="1">
        <v>185</v>
      </c>
    </row>
    <row r="290" spans="1:14" x14ac:dyDescent="0.25">
      <c r="A290" t="str">
        <f t="shared" si="10"/>
        <v>78734187873418</v>
      </c>
      <c r="B290" t="str">
        <f t="shared" si="11"/>
        <v>7873418M997H23Y-D</v>
      </c>
      <c r="C290" s="1" t="s">
        <v>475</v>
      </c>
      <c r="D290" s="1" t="s">
        <v>528</v>
      </c>
      <c r="E290" s="1" t="s">
        <v>382</v>
      </c>
      <c r="F290" s="1" t="s">
        <v>383</v>
      </c>
      <c r="G290" s="1" t="s">
        <v>384</v>
      </c>
      <c r="H290" s="1">
        <v>2352</v>
      </c>
      <c r="I290" s="3">
        <v>46248</v>
      </c>
      <c r="J290" s="3">
        <v>46261</v>
      </c>
      <c r="K290" s="3" t="s">
        <v>2359</v>
      </c>
      <c r="L290" s="22">
        <v>46248.435527430556</v>
      </c>
      <c r="M290" s="20">
        <v>12</v>
      </c>
      <c r="N290" s="1">
        <v>160</v>
      </c>
    </row>
    <row r="291" spans="1:14" x14ac:dyDescent="0.25">
      <c r="A291" t="str">
        <f t="shared" si="10"/>
        <v>78734187873418</v>
      </c>
      <c r="B291" t="str">
        <f t="shared" si="11"/>
        <v>7873418M997H23Y-D</v>
      </c>
      <c r="C291" s="1" t="s">
        <v>475</v>
      </c>
      <c r="D291" s="1" t="s">
        <v>528</v>
      </c>
      <c r="E291" s="1" t="s">
        <v>382</v>
      </c>
      <c r="F291" s="1" t="s">
        <v>383</v>
      </c>
      <c r="G291" s="1" t="s">
        <v>384</v>
      </c>
      <c r="H291" s="1">
        <v>2352</v>
      </c>
      <c r="I291" s="3">
        <v>46248</v>
      </c>
      <c r="J291" s="3">
        <v>46261</v>
      </c>
      <c r="K291" s="3" t="s">
        <v>2359</v>
      </c>
      <c r="L291" s="22">
        <v>46248.45874008102</v>
      </c>
      <c r="M291" s="20">
        <v>12</v>
      </c>
      <c r="N291" s="1">
        <v>139</v>
      </c>
    </row>
    <row r="292" spans="1:14" x14ac:dyDescent="0.25">
      <c r="A292" t="str">
        <f t="shared" si="10"/>
        <v>78734187873418</v>
      </c>
      <c r="B292" t="str">
        <f t="shared" si="11"/>
        <v>7873418M997H23Y-D</v>
      </c>
      <c r="C292" s="1" t="s">
        <v>475</v>
      </c>
      <c r="D292" s="1" t="s">
        <v>528</v>
      </c>
      <c r="E292" s="1" t="s">
        <v>382</v>
      </c>
      <c r="F292" s="1" t="s">
        <v>383</v>
      </c>
      <c r="G292" s="1" t="s">
        <v>384</v>
      </c>
      <c r="H292" s="1">
        <v>2352</v>
      </c>
      <c r="I292" s="3">
        <v>46248</v>
      </c>
      <c r="J292" s="3">
        <v>46261</v>
      </c>
      <c r="K292" s="3" t="s">
        <v>2359</v>
      </c>
      <c r="L292" s="22">
        <v>46248.458980289353</v>
      </c>
      <c r="M292" s="20">
        <v>12</v>
      </c>
      <c r="N292" s="1">
        <v>113</v>
      </c>
    </row>
    <row r="293" spans="1:14" x14ac:dyDescent="0.25">
      <c r="A293" t="str">
        <f t="shared" si="10"/>
        <v>78734187873418</v>
      </c>
      <c r="B293" t="str">
        <f t="shared" si="11"/>
        <v>7873418M997H23Y-D</v>
      </c>
      <c r="C293" s="1" t="s">
        <v>475</v>
      </c>
      <c r="D293" s="1" t="s">
        <v>528</v>
      </c>
      <c r="E293" s="1" t="s">
        <v>382</v>
      </c>
      <c r="F293" s="1" t="s">
        <v>383</v>
      </c>
      <c r="G293" s="1" t="s">
        <v>384</v>
      </c>
      <c r="H293" s="1">
        <v>2352</v>
      </c>
      <c r="I293" s="3">
        <v>46248</v>
      </c>
      <c r="J293" s="3">
        <v>46261</v>
      </c>
      <c r="K293" s="3" t="s">
        <v>2359</v>
      </c>
      <c r="L293" s="22">
        <v>46248.459223379628</v>
      </c>
      <c r="M293" s="20">
        <v>12</v>
      </c>
      <c r="N293" s="1">
        <v>159</v>
      </c>
    </row>
    <row r="294" spans="1:14" x14ac:dyDescent="0.25">
      <c r="A294" t="str">
        <f t="shared" si="10"/>
        <v>78734187873418</v>
      </c>
      <c r="B294" t="str">
        <f t="shared" si="11"/>
        <v>7873418M997H23Y-D</v>
      </c>
      <c r="C294" s="1" t="s">
        <v>475</v>
      </c>
      <c r="D294" s="1" t="s">
        <v>528</v>
      </c>
      <c r="E294" s="1" t="s">
        <v>382</v>
      </c>
      <c r="F294" s="1" t="s">
        <v>383</v>
      </c>
      <c r="G294" s="1" t="s">
        <v>384</v>
      </c>
      <c r="H294" s="1">
        <v>2352</v>
      </c>
      <c r="I294" s="3">
        <v>46248</v>
      </c>
      <c r="J294" s="3">
        <v>46261</v>
      </c>
      <c r="K294" s="3" t="s">
        <v>2359</v>
      </c>
      <c r="L294" s="22">
        <v>46248.46188657407</v>
      </c>
      <c r="M294" s="20">
        <v>12</v>
      </c>
      <c r="N294" s="1">
        <v>186</v>
      </c>
    </row>
    <row r="295" spans="1:14" x14ac:dyDescent="0.25">
      <c r="A295" t="str">
        <f t="shared" si="10"/>
        <v>78734187873418</v>
      </c>
      <c r="B295" t="str">
        <f t="shared" si="11"/>
        <v>7873418M997H23Y-D</v>
      </c>
      <c r="C295" s="1" t="s">
        <v>475</v>
      </c>
      <c r="D295" s="1" t="s">
        <v>528</v>
      </c>
      <c r="E295" s="1" t="s">
        <v>382</v>
      </c>
      <c r="F295" s="1" t="s">
        <v>383</v>
      </c>
      <c r="G295" s="1" t="s">
        <v>384</v>
      </c>
      <c r="H295" s="1">
        <v>2352</v>
      </c>
      <c r="I295" s="3">
        <v>46248</v>
      </c>
      <c r="J295" s="3">
        <v>46261</v>
      </c>
      <c r="K295" s="3" t="s">
        <v>2359</v>
      </c>
      <c r="L295" s="22">
        <v>46248.463057523149</v>
      </c>
      <c r="M295" s="20">
        <v>12</v>
      </c>
      <c r="N295" s="1">
        <v>84</v>
      </c>
    </row>
    <row r="296" spans="1:14" x14ac:dyDescent="0.25">
      <c r="A296" t="str">
        <f t="shared" si="10"/>
        <v>78734187873418</v>
      </c>
      <c r="B296" t="str">
        <f t="shared" si="11"/>
        <v>7873418M997H23Y-D</v>
      </c>
      <c r="C296" s="1" t="s">
        <v>475</v>
      </c>
      <c r="D296" s="1" t="s">
        <v>528</v>
      </c>
      <c r="E296" s="1" t="s">
        <v>382</v>
      </c>
      <c r="F296" s="1" t="s">
        <v>383</v>
      </c>
      <c r="G296" s="1" t="s">
        <v>384</v>
      </c>
      <c r="H296" s="1">
        <v>2352</v>
      </c>
      <c r="I296" s="3">
        <v>46248</v>
      </c>
      <c r="J296" s="3">
        <v>46261</v>
      </c>
      <c r="K296" s="3" t="s">
        <v>2359</v>
      </c>
      <c r="L296" s="22">
        <v>46248.469517592588</v>
      </c>
      <c r="M296" s="20">
        <v>12</v>
      </c>
      <c r="N296" s="1">
        <v>81</v>
      </c>
    </row>
    <row r="297" spans="1:14" x14ac:dyDescent="0.25">
      <c r="A297" t="str">
        <f t="shared" si="10"/>
        <v>78734187873418</v>
      </c>
      <c r="B297" t="str">
        <f t="shared" si="11"/>
        <v>7873418M997H23Y-D</v>
      </c>
      <c r="C297" s="1" t="s">
        <v>475</v>
      </c>
      <c r="D297" s="1" t="s">
        <v>528</v>
      </c>
      <c r="E297" s="1" t="s">
        <v>382</v>
      </c>
      <c r="F297" s="1" t="s">
        <v>383</v>
      </c>
      <c r="G297" s="1" t="s">
        <v>384</v>
      </c>
      <c r="H297" s="1">
        <v>2352</v>
      </c>
      <c r="I297" s="3">
        <v>46248</v>
      </c>
      <c r="J297" s="3">
        <v>46261</v>
      </c>
      <c r="K297" s="3" t="s">
        <v>2359</v>
      </c>
      <c r="L297" s="22">
        <v>46248.470220752315</v>
      </c>
      <c r="M297" s="20">
        <v>12</v>
      </c>
      <c r="N297" s="1">
        <v>112</v>
      </c>
    </row>
    <row r="298" spans="1:14" x14ac:dyDescent="0.25">
      <c r="A298" t="str">
        <f t="shared" si="10"/>
        <v>78734187873418</v>
      </c>
      <c r="B298" t="str">
        <f t="shared" si="11"/>
        <v>7873418M997H23Y-D</v>
      </c>
      <c r="C298" s="1" t="s">
        <v>475</v>
      </c>
      <c r="D298" s="1" t="s">
        <v>528</v>
      </c>
      <c r="E298" s="1" t="s">
        <v>382</v>
      </c>
      <c r="F298" s="1" t="s">
        <v>383</v>
      </c>
      <c r="G298" s="1" t="s">
        <v>384</v>
      </c>
      <c r="H298" s="1">
        <v>2352</v>
      </c>
      <c r="I298" s="3">
        <v>46248</v>
      </c>
      <c r="J298" s="3">
        <v>46261</v>
      </c>
      <c r="K298" s="3" t="s">
        <v>2359</v>
      </c>
      <c r="L298" s="22">
        <v>46248.551747881946</v>
      </c>
      <c r="M298" s="20">
        <v>12</v>
      </c>
      <c r="N298" s="1">
        <v>111</v>
      </c>
    </row>
    <row r="299" spans="1:14" x14ac:dyDescent="0.25">
      <c r="A299" t="str">
        <f t="shared" si="10"/>
        <v>78734187873418</v>
      </c>
      <c r="B299" t="str">
        <f t="shared" si="11"/>
        <v>7873418M997H23Y-D</v>
      </c>
      <c r="C299" s="1" t="s">
        <v>475</v>
      </c>
      <c r="D299" s="1" t="s">
        <v>528</v>
      </c>
      <c r="E299" s="1" t="s">
        <v>382</v>
      </c>
      <c r="F299" s="1" t="s">
        <v>383</v>
      </c>
      <c r="G299" s="1" t="s">
        <v>384</v>
      </c>
      <c r="H299" s="1">
        <v>2352</v>
      </c>
      <c r="I299" s="3">
        <v>46248</v>
      </c>
      <c r="J299" s="3">
        <v>46261</v>
      </c>
      <c r="K299" s="3" t="s">
        <v>2359</v>
      </c>
      <c r="L299" s="22">
        <v>46248.565892557868</v>
      </c>
      <c r="M299" s="20">
        <v>12</v>
      </c>
      <c r="N299" s="1">
        <v>83</v>
      </c>
    </row>
    <row r="300" spans="1:14" x14ac:dyDescent="0.25">
      <c r="A300" t="str">
        <f t="shared" si="10"/>
        <v>78734187873418</v>
      </c>
      <c r="B300" t="str">
        <f t="shared" si="11"/>
        <v>7873418M997H23Y-D</v>
      </c>
      <c r="C300" s="1" t="s">
        <v>475</v>
      </c>
      <c r="D300" s="1" t="s">
        <v>528</v>
      </c>
      <c r="E300" s="1" t="s">
        <v>382</v>
      </c>
      <c r="F300" s="1" t="s">
        <v>383</v>
      </c>
      <c r="G300" s="1" t="s">
        <v>384</v>
      </c>
      <c r="H300" s="1">
        <v>2352</v>
      </c>
      <c r="I300" s="3">
        <v>46248</v>
      </c>
      <c r="J300" s="3">
        <v>46261</v>
      </c>
      <c r="K300" s="3" t="s">
        <v>2359</v>
      </c>
      <c r="L300" s="22">
        <v>46248.60849525463</v>
      </c>
      <c r="M300" s="20">
        <v>12</v>
      </c>
      <c r="N300" s="1">
        <v>157</v>
      </c>
    </row>
    <row r="301" spans="1:14" x14ac:dyDescent="0.25">
      <c r="A301" t="str">
        <f t="shared" si="10"/>
        <v>78734187873418</v>
      </c>
      <c r="B301" t="str">
        <f t="shared" si="11"/>
        <v>7873418M997H23Y-D</v>
      </c>
      <c r="C301" s="1" t="s">
        <v>475</v>
      </c>
      <c r="D301" s="1" t="s">
        <v>528</v>
      </c>
      <c r="E301" s="1" t="s">
        <v>382</v>
      </c>
      <c r="F301" s="1" t="s">
        <v>383</v>
      </c>
      <c r="G301" s="1" t="s">
        <v>384</v>
      </c>
      <c r="H301" s="1">
        <v>2352</v>
      </c>
      <c r="I301" s="3">
        <v>46248</v>
      </c>
      <c r="J301" s="3">
        <v>46261</v>
      </c>
      <c r="K301" s="3" t="s">
        <v>2359</v>
      </c>
      <c r="L301" s="22">
        <v>46248.61210810185</v>
      </c>
      <c r="M301" s="20">
        <v>12</v>
      </c>
      <c r="N301" s="1">
        <v>195</v>
      </c>
    </row>
    <row r="302" spans="1:14" x14ac:dyDescent="0.25">
      <c r="A302" t="str">
        <f t="shared" si="10"/>
        <v>78734187873418</v>
      </c>
      <c r="B302" t="str">
        <f t="shared" si="11"/>
        <v>7873418M997H23Y-D</v>
      </c>
      <c r="C302" s="1" t="s">
        <v>475</v>
      </c>
      <c r="D302" s="1" t="s">
        <v>528</v>
      </c>
      <c r="E302" s="1" t="s">
        <v>382</v>
      </c>
      <c r="F302" s="1" t="s">
        <v>383</v>
      </c>
      <c r="G302" s="1" t="s">
        <v>384</v>
      </c>
      <c r="H302" s="1">
        <v>2352</v>
      </c>
      <c r="I302" s="3">
        <v>46248</v>
      </c>
      <c r="J302" s="3">
        <v>46261</v>
      </c>
      <c r="K302" s="3" t="s">
        <v>2359</v>
      </c>
      <c r="L302" s="22">
        <v>46248.619607673609</v>
      </c>
      <c r="M302" s="20">
        <v>12</v>
      </c>
      <c r="N302" s="1">
        <v>40</v>
      </c>
    </row>
    <row r="303" spans="1:14" x14ac:dyDescent="0.25">
      <c r="A303" t="str">
        <f t="shared" si="10"/>
        <v>78734187873418</v>
      </c>
      <c r="B303" t="str">
        <f t="shared" si="11"/>
        <v>7873418M997H23Y-D</v>
      </c>
      <c r="C303" s="1" t="s">
        <v>475</v>
      </c>
      <c r="D303" s="1" t="s">
        <v>528</v>
      </c>
      <c r="E303" s="1" t="s">
        <v>382</v>
      </c>
      <c r="F303" s="1" t="s">
        <v>383</v>
      </c>
      <c r="G303" s="1" t="s">
        <v>384</v>
      </c>
      <c r="H303" s="1">
        <v>2352</v>
      </c>
      <c r="I303" s="3">
        <v>46248</v>
      </c>
      <c r="J303" s="3">
        <v>46261</v>
      </c>
      <c r="K303" s="3" t="s">
        <v>2359</v>
      </c>
      <c r="L303" s="22">
        <v>46248.619958067131</v>
      </c>
      <c r="M303" s="20">
        <v>12</v>
      </c>
      <c r="N303" s="1">
        <v>115</v>
      </c>
    </row>
    <row r="304" spans="1:14" x14ac:dyDescent="0.25">
      <c r="A304" t="str">
        <f t="shared" si="10"/>
        <v>78734187873418</v>
      </c>
      <c r="B304" t="str">
        <f t="shared" si="11"/>
        <v>7873418M997H23Y-D</v>
      </c>
      <c r="C304" s="1" t="s">
        <v>475</v>
      </c>
      <c r="D304" s="1" t="s">
        <v>528</v>
      </c>
      <c r="E304" s="1" t="s">
        <v>382</v>
      </c>
      <c r="F304" s="1" t="s">
        <v>383</v>
      </c>
      <c r="G304" s="1" t="s">
        <v>384</v>
      </c>
      <c r="H304" s="1">
        <v>2352</v>
      </c>
      <c r="I304" s="3">
        <v>46248</v>
      </c>
      <c r="J304" s="3">
        <v>46261</v>
      </c>
      <c r="K304" s="3" t="s">
        <v>2359</v>
      </c>
      <c r="L304" s="22">
        <v>46248.62033622685</v>
      </c>
      <c r="M304" s="20">
        <v>12</v>
      </c>
      <c r="N304" s="1">
        <v>136</v>
      </c>
    </row>
    <row r="305" spans="1:14" x14ac:dyDescent="0.25">
      <c r="A305" t="str">
        <f t="shared" si="10"/>
        <v>78734187873418</v>
      </c>
      <c r="B305" t="str">
        <f t="shared" si="11"/>
        <v>7873418M997H23Y-D</v>
      </c>
      <c r="C305" s="1" t="s">
        <v>475</v>
      </c>
      <c r="D305" s="1" t="s">
        <v>528</v>
      </c>
      <c r="E305" s="1" t="s">
        <v>382</v>
      </c>
      <c r="F305" s="1" t="s">
        <v>383</v>
      </c>
      <c r="G305" s="1" t="s">
        <v>384</v>
      </c>
      <c r="H305" s="1">
        <v>2352</v>
      </c>
      <c r="I305" s="3">
        <v>46248</v>
      </c>
      <c r="J305" s="3">
        <v>46261</v>
      </c>
      <c r="K305" s="3" t="s">
        <v>2359</v>
      </c>
      <c r="L305" s="22">
        <v>46248.620870798608</v>
      </c>
      <c r="M305" s="20">
        <v>12</v>
      </c>
      <c r="N305" s="1">
        <v>39</v>
      </c>
    </row>
    <row r="306" spans="1:14" x14ac:dyDescent="0.25">
      <c r="A306" t="str">
        <f t="shared" si="10"/>
        <v>78734187873418</v>
      </c>
      <c r="B306" t="str">
        <f t="shared" si="11"/>
        <v>7873418M997H23Y-D</v>
      </c>
      <c r="C306" s="1" t="s">
        <v>475</v>
      </c>
      <c r="D306" s="1" t="s">
        <v>528</v>
      </c>
      <c r="E306" s="1" t="s">
        <v>382</v>
      </c>
      <c r="F306" s="1" t="s">
        <v>383</v>
      </c>
      <c r="G306" s="1" t="s">
        <v>384</v>
      </c>
      <c r="H306" s="1">
        <v>2352</v>
      </c>
      <c r="I306" s="3">
        <v>46248</v>
      </c>
      <c r="J306" s="3">
        <v>46261</v>
      </c>
      <c r="K306" s="3" t="s">
        <v>2359</v>
      </c>
      <c r="L306" s="22">
        <v>46248.621042708328</v>
      </c>
      <c r="M306" s="20">
        <v>12</v>
      </c>
      <c r="N306" s="1">
        <v>22</v>
      </c>
    </row>
    <row r="307" spans="1:14" x14ac:dyDescent="0.25">
      <c r="A307" t="str">
        <f t="shared" si="10"/>
        <v>78734187873418</v>
      </c>
      <c r="B307" t="str">
        <f t="shared" si="11"/>
        <v>7873418M997H23Y-D</v>
      </c>
      <c r="C307" s="1" t="s">
        <v>475</v>
      </c>
      <c r="D307" s="1" t="s">
        <v>528</v>
      </c>
      <c r="E307" s="1" t="s">
        <v>382</v>
      </c>
      <c r="F307" s="1" t="s">
        <v>383</v>
      </c>
      <c r="G307" s="1" t="s">
        <v>384</v>
      </c>
      <c r="H307" s="1">
        <v>2352</v>
      </c>
      <c r="I307" s="3">
        <v>46248</v>
      </c>
      <c r="J307" s="3">
        <v>46261</v>
      </c>
      <c r="K307" s="3" t="s">
        <v>2359</v>
      </c>
      <c r="L307" s="22">
        <v>46248.622047141202</v>
      </c>
      <c r="M307" s="20">
        <v>12</v>
      </c>
      <c r="N307" s="1">
        <v>143</v>
      </c>
    </row>
    <row r="308" spans="1:14" x14ac:dyDescent="0.25">
      <c r="A308" t="str">
        <f t="shared" si="10"/>
        <v>78734187873418</v>
      </c>
      <c r="B308" t="str">
        <f t="shared" si="11"/>
        <v>7873418M997H23Y-D</v>
      </c>
      <c r="C308" s="1" t="s">
        <v>475</v>
      </c>
      <c r="D308" s="1" t="s">
        <v>528</v>
      </c>
      <c r="E308" s="1" t="s">
        <v>382</v>
      </c>
      <c r="F308" s="1" t="s">
        <v>383</v>
      </c>
      <c r="G308" s="1" t="s">
        <v>384</v>
      </c>
      <c r="H308" s="1">
        <v>2352</v>
      </c>
      <c r="I308" s="3">
        <v>46248</v>
      </c>
      <c r="J308" s="3">
        <v>46261</v>
      </c>
      <c r="K308" s="3" t="s">
        <v>2359</v>
      </c>
      <c r="L308" s="22">
        <v>46248.622541469907</v>
      </c>
      <c r="M308" s="20">
        <v>12</v>
      </c>
      <c r="N308" s="1">
        <v>194</v>
      </c>
    </row>
    <row r="309" spans="1:14" x14ac:dyDescent="0.25">
      <c r="A309" t="str">
        <f t="shared" si="10"/>
        <v>78734187873418</v>
      </c>
      <c r="B309" t="str">
        <f t="shared" si="11"/>
        <v>7873418M997H23Y-D</v>
      </c>
      <c r="C309" s="1" t="s">
        <v>475</v>
      </c>
      <c r="D309" s="1" t="s">
        <v>528</v>
      </c>
      <c r="E309" s="1" t="s">
        <v>382</v>
      </c>
      <c r="F309" s="1" t="s">
        <v>383</v>
      </c>
      <c r="G309" s="1" t="s">
        <v>384</v>
      </c>
      <c r="H309" s="1">
        <v>2352</v>
      </c>
      <c r="I309" s="3">
        <v>46248</v>
      </c>
      <c r="J309" s="3">
        <v>46261</v>
      </c>
      <c r="K309" s="3" t="s">
        <v>2359</v>
      </c>
      <c r="L309" s="22">
        <v>46248.623280092594</v>
      </c>
      <c r="M309" s="20">
        <v>12</v>
      </c>
      <c r="N309" s="1">
        <v>88</v>
      </c>
    </row>
    <row r="310" spans="1:14" x14ac:dyDescent="0.25">
      <c r="A310" t="str">
        <f t="shared" si="10"/>
        <v>78734187873418</v>
      </c>
      <c r="B310" t="str">
        <f t="shared" si="11"/>
        <v>7873418M997H23Y-D</v>
      </c>
      <c r="C310" s="1" t="s">
        <v>475</v>
      </c>
      <c r="D310" s="1" t="s">
        <v>528</v>
      </c>
      <c r="E310" s="1" t="s">
        <v>382</v>
      </c>
      <c r="F310" s="1" t="s">
        <v>383</v>
      </c>
      <c r="G310" s="1" t="s">
        <v>384</v>
      </c>
      <c r="H310" s="1">
        <v>2352</v>
      </c>
      <c r="I310" s="3">
        <v>46248</v>
      </c>
      <c r="J310" s="3">
        <v>46261</v>
      </c>
      <c r="K310" s="3" t="s">
        <v>2359</v>
      </c>
      <c r="L310" s="22">
        <v>46248.639061608796</v>
      </c>
      <c r="M310" s="20">
        <v>12</v>
      </c>
      <c r="N310" s="1">
        <v>142</v>
      </c>
    </row>
    <row r="311" spans="1:14" x14ac:dyDescent="0.25">
      <c r="A311" t="str">
        <f t="shared" si="10"/>
        <v>78734187873418</v>
      </c>
      <c r="B311" t="str">
        <f t="shared" si="11"/>
        <v>7873418M997H23Y-D</v>
      </c>
      <c r="C311" s="1" t="s">
        <v>475</v>
      </c>
      <c r="D311" s="1" t="s">
        <v>528</v>
      </c>
      <c r="E311" s="1" t="s">
        <v>382</v>
      </c>
      <c r="F311" s="1" t="s">
        <v>383</v>
      </c>
      <c r="G311" s="1" t="s">
        <v>384</v>
      </c>
      <c r="H311" s="1">
        <v>2352</v>
      </c>
      <c r="I311" s="3">
        <v>46248</v>
      </c>
      <c r="J311" s="3">
        <v>46261</v>
      </c>
      <c r="K311" s="3" t="s">
        <v>2359</v>
      </c>
      <c r="L311" s="22">
        <v>46248.639370752309</v>
      </c>
      <c r="M311" s="20">
        <v>12</v>
      </c>
      <c r="N311" s="1">
        <v>57</v>
      </c>
    </row>
    <row r="312" spans="1:14" x14ac:dyDescent="0.25">
      <c r="A312" t="str">
        <f t="shared" si="10"/>
        <v>78734187873418</v>
      </c>
      <c r="B312" t="str">
        <f t="shared" si="11"/>
        <v>7873418M997H23Y-D</v>
      </c>
      <c r="C312" s="1" t="s">
        <v>475</v>
      </c>
      <c r="D312" s="1" t="s">
        <v>528</v>
      </c>
      <c r="E312" s="1" t="s">
        <v>382</v>
      </c>
      <c r="F312" s="1" t="s">
        <v>383</v>
      </c>
      <c r="G312" s="1" t="s">
        <v>384</v>
      </c>
      <c r="H312" s="1">
        <v>2352</v>
      </c>
      <c r="I312" s="3">
        <v>46248</v>
      </c>
      <c r="J312" s="3">
        <v>46261</v>
      </c>
      <c r="K312" s="3" t="s">
        <v>2359</v>
      </c>
      <c r="L312" s="22">
        <v>46248.639595567125</v>
      </c>
      <c r="M312" s="20">
        <v>12</v>
      </c>
      <c r="N312" s="1">
        <v>110</v>
      </c>
    </row>
    <row r="313" spans="1:14" x14ac:dyDescent="0.25">
      <c r="A313" t="str">
        <f t="shared" si="10"/>
        <v>78734187873418</v>
      </c>
      <c r="B313" t="str">
        <f t="shared" si="11"/>
        <v>7873418M997H23Y-D</v>
      </c>
      <c r="C313" s="1" t="s">
        <v>475</v>
      </c>
      <c r="D313" s="1" t="s">
        <v>528</v>
      </c>
      <c r="E313" s="1" t="s">
        <v>382</v>
      </c>
      <c r="F313" s="1" t="s">
        <v>383</v>
      </c>
      <c r="G313" s="1" t="s">
        <v>384</v>
      </c>
      <c r="H313" s="1">
        <v>2352</v>
      </c>
      <c r="I313" s="3">
        <v>46248</v>
      </c>
      <c r="J313" s="3">
        <v>46261</v>
      </c>
      <c r="K313" s="3" t="s">
        <v>2359</v>
      </c>
      <c r="L313" s="22">
        <v>46248.644593090277</v>
      </c>
      <c r="M313" s="20">
        <v>12</v>
      </c>
      <c r="N313" s="1">
        <v>25</v>
      </c>
    </row>
    <row r="314" spans="1:14" x14ac:dyDescent="0.25">
      <c r="A314" t="str">
        <f t="shared" si="10"/>
        <v>78734187873418</v>
      </c>
      <c r="B314" t="str">
        <f t="shared" si="11"/>
        <v>7873418M997H23Y-D</v>
      </c>
      <c r="C314" s="1" t="s">
        <v>475</v>
      </c>
      <c r="D314" s="1" t="s">
        <v>528</v>
      </c>
      <c r="E314" s="1" t="s">
        <v>382</v>
      </c>
      <c r="F314" s="1" t="s">
        <v>383</v>
      </c>
      <c r="G314" s="1" t="s">
        <v>384</v>
      </c>
      <c r="H314" s="1">
        <v>2352</v>
      </c>
      <c r="I314" s="3">
        <v>46248</v>
      </c>
      <c r="J314" s="3">
        <v>46261</v>
      </c>
      <c r="K314" s="3" t="s">
        <v>2359</v>
      </c>
      <c r="L314" s="22">
        <v>46248.644827743054</v>
      </c>
      <c r="M314" s="20">
        <v>12</v>
      </c>
      <c r="N314" s="1">
        <v>190</v>
      </c>
    </row>
    <row r="315" spans="1:14" x14ac:dyDescent="0.25">
      <c r="A315" t="str">
        <f t="shared" si="10"/>
        <v>78734187873418</v>
      </c>
      <c r="B315" t="str">
        <f t="shared" si="11"/>
        <v>7873418M997H23Y-D</v>
      </c>
      <c r="C315" s="1" t="s">
        <v>475</v>
      </c>
      <c r="D315" s="1" t="s">
        <v>528</v>
      </c>
      <c r="E315" s="1" t="s">
        <v>382</v>
      </c>
      <c r="F315" s="1" t="s">
        <v>383</v>
      </c>
      <c r="G315" s="1" t="s">
        <v>384</v>
      </c>
      <c r="H315" s="1">
        <v>2352</v>
      </c>
      <c r="I315" s="3">
        <v>46248</v>
      </c>
      <c r="J315" s="3">
        <v>46261</v>
      </c>
      <c r="K315" s="3" t="s">
        <v>2359</v>
      </c>
      <c r="L315" s="22">
        <v>46248.645983333328</v>
      </c>
      <c r="M315" s="20">
        <v>12</v>
      </c>
      <c r="N315" s="1">
        <v>38</v>
      </c>
    </row>
    <row r="316" spans="1:14" x14ac:dyDescent="0.25">
      <c r="A316" t="str">
        <f t="shared" si="10"/>
        <v>78734187873418</v>
      </c>
      <c r="B316" t="str">
        <f t="shared" si="11"/>
        <v>7873418M997H23Y-D</v>
      </c>
      <c r="C316" s="1" t="s">
        <v>475</v>
      </c>
      <c r="D316" s="1" t="s">
        <v>528</v>
      </c>
      <c r="E316" s="1" t="s">
        <v>382</v>
      </c>
      <c r="F316" s="1" t="s">
        <v>383</v>
      </c>
      <c r="G316" s="1" t="s">
        <v>384</v>
      </c>
      <c r="H316" s="1">
        <v>2352</v>
      </c>
      <c r="I316" s="3">
        <v>46248</v>
      </c>
      <c r="J316" s="3">
        <v>46261</v>
      </c>
      <c r="K316" s="3" t="s">
        <v>2359</v>
      </c>
      <c r="L316" s="22">
        <v>46248.652279710645</v>
      </c>
      <c r="M316" s="20">
        <v>12</v>
      </c>
      <c r="N316" s="1">
        <v>120</v>
      </c>
    </row>
    <row r="317" spans="1:14" x14ac:dyDescent="0.25">
      <c r="A317" t="str">
        <f t="shared" si="10"/>
        <v>78734187873418</v>
      </c>
      <c r="B317" t="str">
        <f t="shared" si="11"/>
        <v>7873418M997H23Y-D</v>
      </c>
      <c r="C317" s="1" t="s">
        <v>475</v>
      </c>
      <c r="D317" s="1" t="s">
        <v>528</v>
      </c>
      <c r="E317" s="1" t="s">
        <v>382</v>
      </c>
      <c r="F317" s="1" t="s">
        <v>383</v>
      </c>
      <c r="G317" s="1" t="s">
        <v>384</v>
      </c>
      <c r="H317" s="1">
        <v>2352</v>
      </c>
      <c r="I317" s="3">
        <v>46248</v>
      </c>
      <c r="J317" s="3">
        <v>46261</v>
      </c>
      <c r="K317" s="3" t="s">
        <v>2359</v>
      </c>
      <c r="L317" s="22">
        <v>46248.660029664352</v>
      </c>
      <c r="M317" s="20">
        <v>12</v>
      </c>
      <c r="N317" s="1">
        <v>87</v>
      </c>
    </row>
    <row r="318" spans="1:14" x14ac:dyDescent="0.25">
      <c r="A318" t="str">
        <f t="shared" si="10"/>
        <v>78734187873418</v>
      </c>
      <c r="B318" t="str">
        <f t="shared" si="11"/>
        <v>7873418M997H23Y-D</v>
      </c>
      <c r="C318" s="1" t="s">
        <v>475</v>
      </c>
      <c r="D318" s="1" t="s">
        <v>528</v>
      </c>
      <c r="E318" s="1" t="s">
        <v>382</v>
      </c>
      <c r="F318" s="1" t="s">
        <v>383</v>
      </c>
      <c r="G318" s="1" t="s">
        <v>384</v>
      </c>
      <c r="H318" s="1">
        <v>2352</v>
      </c>
      <c r="I318" s="3">
        <v>46248</v>
      </c>
      <c r="J318" s="3">
        <v>46261</v>
      </c>
      <c r="K318" s="3" t="s">
        <v>2359</v>
      </c>
      <c r="L318" s="22">
        <v>46248.678983599537</v>
      </c>
      <c r="M318" s="20">
        <v>12</v>
      </c>
      <c r="N318" s="1">
        <v>42</v>
      </c>
    </row>
    <row r="319" spans="1:14" x14ac:dyDescent="0.25">
      <c r="A319" t="str">
        <f t="shared" si="10"/>
        <v>78734187873418</v>
      </c>
      <c r="B319" t="str">
        <f t="shared" si="11"/>
        <v>7873418M997H23Y-D</v>
      </c>
      <c r="C319" s="1" t="s">
        <v>475</v>
      </c>
      <c r="D319" s="1" t="s">
        <v>528</v>
      </c>
      <c r="E319" s="1" t="s">
        <v>382</v>
      </c>
      <c r="F319" s="1" t="s">
        <v>383</v>
      </c>
      <c r="G319" s="1" t="s">
        <v>384</v>
      </c>
      <c r="H319" s="1">
        <v>2352</v>
      </c>
      <c r="I319" s="3">
        <v>46248</v>
      </c>
      <c r="J319" s="3">
        <v>46261</v>
      </c>
      <c r="K319" s="3" t="s">
        <v>2359</v>
      </c>
      <c r="L319" s="22">
        <v>46248.681104861113</v>
      </c>
      <c r="M319" s="20">
        <v>12</v>
      </c>
      <c r="N319" s="1">
        <v>138</v>
      </c>
    </row>
    <row r="320" spans="1:14" x14ac:dyDescent="0.25">
      <c r="A320" t="str">
        <f t="shared" si="10"/>
        <v>78734187873418</v>
      </c>
      <c r="B320" t="str">
        <f t="shared" si="11"/>
        <v>7873418M997H23Y-D</v>
      </c>
      <c r="C320" s="1" t="s">
        <v>475</v>
      </c>
      <c r="D320" s="1" t="s">
        <v>528</v>
      </c>
      <c r="E320" s="1" t="s">
        <v>382</v>
      </c>
      <c r="F320" s="1" t="s">
        <v>383</v>
      </c>
      <c r="G320" s="1" t="s">
        <v>384</v>
      </c>
      <c r="H320" s="1">
        <v>2352</v>
      </c>
      <c r="I320" s="3">
        <v>46248</v>
      </c>
      <c r="J320" s="3">
        <v>46261</v>
      </c>
      <c r="K320" s="3" t="s">
        <v>2359</v>
      </c>
      <c r="L320" s="22">
        <v>46248.682409687499</v>
      </c>
      <c r="M320" s="20">
        <v>12</v>
      </c>
      <c r="N320" s="1">
        <v>137</v>
      </c>
    </row>
    <row r="321" spans="1:14" x14ac:dyDescent="0.25">
      <c r="A321" t="str">
        <f t="shared" si="10"/>
        <v>78734187873418</v>
      </c>
      <c r="B321" t="str">
        <f t="shared" si="11"/>
        <v>7873418M997H23Y-D</v>
      </c>
      <c r="C321" s="1" t="s">
        <v>475</v>
      </c>
      <c r="D321" s="1" t="s">
        <v>528</v>
      </c>
      <c r="E321" s="1" t="s">
        <v>382</v>
      </c>
      <c r="F321" s="1" t="s">
        <v>383</v>
      </c>
      <c r="G321" s="1" t="s">
        <v>384</v>
      </c>
      <c r="H321" s="1">
        <v>2352</v>
      </c>
      <c r="I321" s="3">
        <v>46248</v>
      </c>
      <c r="J321" s="3">
        <v>46261</v>
      </c>
      <c r="K321" s="3" t="s">
        <v>2359</v>
      </c>
      <c r="L321" s="22">
        <v>46248.685240081017</v>
      </c>
      <c r="M321" s="20">
        <v>12</v>
      </c>
      <c r="N321" s="1">
        <v>41</v>
      </c>
    </row>
    <row r="322" spans="1:14" x14ac:dyDescent="0.25">
      <c r="A322" t="str">
        <f t="shared" ref="A322:A385" si="12">+D322&amp;D322</f>
        <v>78734187873418</v>
      </c>
      <c r="B322" t="str">
        <f t="shared" ref="B322:B385" si="13">+D322&amp;C322</f>
        <v>7873418M997H23Y-D</v>
      </c>
      <c r="C322" s="1" t="s">
        <v>475</v>
      </c>
      <c r="D322" s="1" t="s">
        <v>528</v>
      </c>
      <c r="E322" s="1" t="s">
        <v>382</v>
      </c>
      <c r="F322" s="1" t="s">
        <v>383</v>
      </c>
      <c r="G322" s="1" t="s">
        <v>384</v>
      </c>
      <c r="H322" s="1">
        <v>2352</v>
      </c>
      <c r="I322" s="3">
        <v>46248</v>
      </c>
      <c r="J322" s="3">
        <v>46261</v>
      </c>
      <c r="K322" s="3" t="s">
        <v>2359</v>
      </c>
      <c r="L322" s="22">
        <v>46248.685451273144</v>
      </c>
      <c r="M322" s="20">
        <v>12</v>
      </c>
      <c r="N322" s="1">
        <v>80</v>
      </c>
    </row>
    <row r="323" spans="1:14" x14ac:dyDescent="0.25">
      <c r="A323" t="str">
        <f t="shared" si="12"/>
        <v>78734187873418</v>
      </c>
      <c r="B323" t="str">
        <f t="shared" si="13"/>
        <v>7873418M997H23Y-D</v>
      </c>
      <c r="C323" s="1" t="s">
        <v>475</v>
      </c>
      <c r="D323" s="1" t="s">
        <v>528</v>
      </c>
      <c r="E323" s="1" t="s">
        <v>382</v>
      </c>
      <c r="F323" s="1" t="s">
        <v>383</v>
      </c>
      <c r="G323" s="1" t="s">
        <v>384</v>
      </c>
      <c r="H323" s="1">
        <v>2352</v>
      </c>
      <c r="I323" s="3">
        <v>46248</v>
      </c>
      <c r="J323" s="3">
        <v>46261</v>
      </c>
      <c r="K323" s="3" t="s">
        <v>2359</v>
      </c>
      <c r="L323" s="22">
        <v>46248.685595601848</v>
      </c>
      <c r="M323" s="20">
        <v>12</v>
      </c>
      <c r="N323" s="1">
        <v>24</v>
      </c>
    </row>
    <row r="324" spans="1:14" x14ac:dyDescent="0.25">
      <c r="A324" t="str">
        <f t="shared" si="12"/>
        <v>78734187873418</v>
      </c>
      <c r="B324" t="str">
        <f t="shared" si="13"/>
        <v>7873418M997H23Y-D</v>
      </c>
      <c r="C324" s="1" t="s">
        <v>475</v>
      </c>
      <c r="D324" s="1" t="s">
        <v>528</v>
      </c>
      <c r="E324" s="1" t="s">
        <v>382</v>
      </c>
      <c r="F324" s="1" t="s">
        <v>383</v>
      </c>
      <c r="G324" s="1" t="s">
        <v>384</v>
      </c>
      <c r="H324" s="1">
        <v>2352</v>
      </c>
      <c r="I324" s="3">
        <v>46248</v>
      </c>
      <c r="J324" s="3">
        <v>46261</v>
      </c>
      <c r="K324" s="3" t="s">
        <v>2359</v>
      </c>
      <c r="L324" s="22">
        <v>46248.685858217592</v>
      </c>
      <c r="M324" s="20">
        <v>12</v>
      </c>
      <c r="N324" s="1">
        <v>92</v>
      </c>
    </row>
    <row r="325" spans="1:14" x14ac:dyDescent="0.25">
      <c r="A325" t="str">
        <f t="shared" si="12"/>
        <v>78734187873418</v>
      </c>
      <c r="B325" t="str">
        <f t="shared" si="13"/>
        <v>7873418M997H23Y-D</v>
      </c>
      <c r="C325" s="1" t="s">
        <v>475</v>
      </c>
      <c r="D325" s="1" t="s">
        <v>528</v>
      </c>
      <c r="E325" s="1" t="s">
        <v>382</v>
      </c>
      <c r="F325" s="1" t="s">
        <v>383</v>
      </c>
      <c r="G325" s="1" t="s">
        <v>384</v>
      </c>
      <c r="H325" s="1">
        <v>2352</v>
      </c>
      <c r="I325" s="3">
        <v>46248</v>
      </c>
      <c r="J325" s="3">
        <v>46261</v>
      </c>
      <c r="K325" s="3" t="s">
        <v>2359</v>
      </c>
      <c r="L325" s="22">
        <v>46248.694978587962</v>
      </c>
      <c r="M325" s="20">
        <v>12</v>
      </c>
      <c r="N325" s="1">
        <v>156</v>
      </c>
    </row>
    <row r="326" spans="1:14" x14ac:dyDescent="0.25">
      <c r="A326" t="str">
        <f t="shared" si="12"/>
        <v>78734187873418</v>
      </c>
      <c r="B326" t="str">
        <f t="shared" si="13"/>
        <v>7873418M997H23Y-D</v>
      </c>
      <c r="C326" s="1" t="s">
        <v>475</v>
      </c>
      <c r="D326" s="1" t="s">
        <v>528</v>
      </c>
      <c r="E326" s="1" t="s">
        <v>382</v>
      </c>
      <c r="F326" s="1" t="s">
        <v>383</v>
      </c>
      <c r="G326" s="1" t="s">
        <v>384</v>
      </c>
      <c r="H326" s="1">
        <v>2352</v>
      </c>
      <c r="I326" s="3">
        <v>46248</v>
      </c>
      <c r="J326" s="3">
        <v>46261</v>
      </c>
      <c r="K326" s="3" t="s">
        <v>2359</v>
      </c>
      <c r="L326" s="22">
        <v>46248.695296377315</v>
      </c>
      <c r="M326" s="20">
        <v>12</v>
      </c>
      <c r="N326" s="1">
        <v>163</v>
      </c>
    </row>
    <row r="327" spans="1:14" x14ac:dyDescent="0.25">
      <c r="A327" t="str">
        <f t="shared" si="12"/>
        <v>78667757866775</v>
      </c>
      <c r="B327" t="str">
        <f t="shared" si="13"/>
        <v>7866775P57442E-M</v>
      </c>
      <c r="C327" s="1" t="s">
        <v>468</v>
      </c>
      <c r="D327" s="1" t="s">
        <v>533</v>
      </c>
      <c r="E327" s="1" t="s">
        <v>382</v>
      </c>
      <c r="F327" s="1" t="s">
        <v>383</v>
      </c>
      <c r="G327" s="1" t="s">
        <v>390</v>
      </c>
      <c r="H327" s="1">
        <v>240</v>
      </c>
      <c r="I327" s="3">
        <v>46252</v>
      </c>
      <c r="J327" s="3">
        <v>46283</v>
      </c>
      <c r="K327" s="3" t="s">
        <v>2350</v>
      </c>
      <c r="L327" s="22">
        <v>46252.714798460649</v>
      </c>
      <c r="M327" s="20">
        <v>12</v>
      </c>
      <c r="N327" s="1">
        <v>15</v>
      </c>
    </row>
    <row r="328" spans="1:14" x14ac:dyDescent="0.25">
      <c r="A328" t="str">
        <f t="shared" si="12"/>
        <v>78667757866775</v>
      </c>
      <c r="B328" t="str">
        <f t="shared" si="13"/>
        <v>7866775P57442E-M</v>
      </c>
      <c r="C328" s="1" t="s">
        <v>468</v>
      </c>
      <c r="D328" s="1" t="s">
        <v>533</v>
      </c>
      <c r="E328" s="1" t="s">
        <v>382</v>
      </c>
      <c r="F328" s="1" t="s">
        <v>383</v>
      </c>
      <c r="G328" s="1" t="s">
        <v>390</v>
      </c>
      <c r="H328" s="1">
        <v>240</v>
      </c>
      <c r="I328" s="3">
        <v>46252</v>
      </c>
      <c r="J328" s="3">
        <v>46283</v>
      </c>
      <c r="K328" s="3" t="s">
        <v>2350</v>
      </c>
      <c r="L328" s="22">
        <v>46252.715166979164</v>
      </c>
      <c r="M328" s="20">
        <v>12</v>
      </c>
      <c r="N328" s="1">
        <v>1</v>
      </c>
    </row>
    <row r="329" spans="1:14" x14ac:dyDescent="0.25">
      <c r="A329" t="str">
        <f t="shared" si="12"/>
        <v>78749007874900</v>
      </c>
      <c r="B329" t="str">
        <f t="shared" si="13"/>
        <v>7874900PV574EVG-M</v>
      </c>
      <c r="C329" s="1" t="s">
        <v>23</v>
      </c>
      <c r="D329" s="1" t="s">
        <v>531</v>
      </c>
      <c r="E329" s="1" t="s">
        <v>392</v>
      </c>
      <c r="F329" s="1" t="s">
        <v>393</v>
      </c>
      <c r="G329" s="1" t="s">
        <v>394</v>
      </c>
      <c r="H329" s="1">
        <v>360</v>
      </c>
      <c r="I329" s="3">
        <v>46252</v>
      </c>
      <c r="J329" s="3">
        <v>46273</v>
      </c>
      <c r="K329" s="3" t="s">
        <v>2360</v>
      </c>
      <c r="L329" s="22">
        <v>46252.58799378472</v>
      </c>
      <c r="M329" s="20">
        <v>12</v>
      </c>
      <c r="N329" s="1">
        <v>26</v>
      </c>
    </row>
    <row r="330" spans="1:14" x14ac:dyDescent="0.25">
      <c r="A330" t="str">
        <f t="shared" si="12"/>
        <v>78749007874900</v>
      </c>
      <c r="B330" t="str">
        <f t="shared" si="13"/>
        <v>7874900PV574EVG-M</v>
      </c>
      <c r="C330" s="1" t="s">
        <v>23</v>
      </c>
      <c r="D330" s="1" t="s">
        <v>531</v>
      </c>
      <c r="E330" s="1" t="s">
        <v>392</v>
      </c>
      <c r="F330" s="1" t="s">
        <v>393</v>
      </c>
      <c r="G330" s="1" t="s">
        <v>394</v>
      </c>
      <c r="H330" s="1">
        <v>360</v>
      </c>
      <c r="I330" s="3">
        <v>46252</v>
      </c>
      <c r="J330" s="3">
        <v>46273</v>
      </c>
      <c r="K330" s="3" t="s">
        <v>2360</v>
      </c>
      <c r="L330" s="22">
        <v>46252.594262465274</v>
      </c>
      <c r="M330" s="20">
        <v>12</v>
      </c>
      <c r="N330" s="1">
        <v>16</v>
      </c>
    </row>
    <row r="331" spans="1:14" x14ac:dyDescent="0.25">
      <c r="A331" t="str">
        <f t="shared" si="12"/>
        <v>78749007874900</v>
      </c>
      <c r="B331" t="str">
        <f t="shared" si="13"/>
        <v>7874900PV574EVG-M</v>
      </c>
      <c r="C331" s="1" t="s">
        <v>23</v>
      </c>
      <c r="D331" s="1" t="s">
        <v>531</v>
      </c>
      <c r="E331" s="1" t="s">
        <v>392</v>
      </c>
      <c r="F331" s="1" t="s">
        <v>393</v>
      </c>
      <c r="G331" s="1" t="s">
        <v>394</v>
      </c>
      <c r="H331" s="1">
        <v>360</v>
      </c>
      <c r="I331" s="3">
        <v>46252</v>
      </c>
      <c r="J331" s="3">
        <v>46273</v>
      </c>
      <c r="K331" s="3" t="s">
        <v>2360</v>
      </c>
      <c r="L331" s="22">
        <v>46252.599566666664</v>
      </c>
      <c r="M331" s="20">
        <v>12</v>
      </c>
      <c r="N331" s="1">
        <v>22</v>
      </c>
    </row>
    <row r="332" spans="1:14" x14ac:dyDescent="0.25">
      <c r="A332" t="str">
        <f t="shared" si="12"/>
        <v>78749007874900</v>
      </c>
      <c r="B332" t="str">
        <f t="shared" si="13"/>
        <v>7874900PV574EVG-M</v>
      </c>
      <c r="C332" s="1" t="s">
        <v>23</v>
      </c>
      <c r="D332" s="1" t="s">
        <v>531</v>
      </c>
      <c r="E332" s="1" t="s">
        <v>392</v>
      </c>
      <c r="F332" s="1" t="s">
        <v>393</v>
      </c>
      <c r="G332" s="1" t="s">
        <v>394</v>
      </c>
      <c r="H332" s="1">
        <v>360</v>
      </c>
      <c r="I332" s="3">
        <v>46252</v>
      </c>
      <c r="J332" s="3">
        <v>46273</v>
      </c>
      <c r="K332" s="3" t="s">
        <v>2360</v>
      </c>
      <c r="L332" s="22">
        <v>46252.600898807868</v>
      </c>
      <c r="M332" s="20">
        <v>12</v>
      </c>
      <c r="N332" s="1">
        <v>5</v>
      </c>
    </row>
    <row r="333" spans="1:14" x14ac:dyDescent="0.25">
      <c r="A333" t="str">
        <f t="shared" si="12"/>
        <v>78749007874900</v>
      </c>
      <c r="B333" t="str">
        <f t="shared" si="13"/>
        <v>7874900PV574EVG-M</v>
      </c>
      <c r="C333" s="1" t="s">
        <v>23</v>
      </c>
      <c r="D333" s="1" t="s">
        <v>531</v>
      </c>
      <c r="E333" s="1" t="s">
        <v>392</v>
      </c>
      <c r="F333" s="1" t="s">
        <v>393</v>
      </c>
      <c r="G333" s="1" t="s">
        <v>394</v>
      </c>
      <c r="H333" s="1">
        <v>360</v>
      </c>
      <c r="I333" s="3">
        <v>46252</v>
      </c>
      <c r="J333" s="3">
        <v>46273</v>
      </c>
      <c r="K333" s="3" t="s">
        <v>2360</v>
      </c>
      <c r="L333" s="22">
        <v>46252.602783680552</v>
      </c>
      <c r="M333" s="20">
        <v>12</v>
      </c>
      <c r="N333" s="1">
        <v>27</v>
      </c>
    </row>
    <row r="334" spans="1:14" x14ac:dyDescent="0.25">
      <c r="A334" t="str">
        <f t="shared" si="12"/>
        <v>78749007874900</v>
      </c>
      <c r="B334" t="str">
        <f t="shared" si="13"/>
        <v>7874900PV574EVG-M</v>
      </c>
      <c r="C334" s="1" t="s">
        <v>23</v>
      </c>
      <c r="D334" s="1" t="s">
        <v>531</v>
      </c>
      <c r="E334" s="1" t="s">
        <v>392</v>
      </c>
      <c r="F334" s="1" t="s">
        <v>393</v>
      </c>
      <c r="G334" s="1" t="s">
        <v>394</v>
      </c>
      <c r="H334" s="1">
        <v>360</v>
      </c>
      <c r="I334" s="3">
        <v>46252</v>
      </c>
      <c r="J334" s="3">
        <v>46273</v>
      </c>
      <c r="K334" s="3" t="s">
        <v>2360</v>
      </c>
      <c r="L334" s="22">
        <v>46252.62818310185</v>
      </c>
      <c r="M334" s="20">
        <v>12</v>
      </c>
      <c r="N334" s="1">
        <v>6</v>
      </c>
    </row>
    <row r="335" spans="1:14" x14ac:dyDescent="0.25">
      <c r="A335" t="str">
        <f t="shared" si="12"/>
        <v>78749007874900</v>
      </c>
      <c r="B335" t="str">
        <f t="shared" si="13"/>
        <v>7874900PV574EVG-M</v>
      </c>
      <c r="C335" s="1" t="s">
        <v>23</v>
      </c>
      <c r="D335" s="1" t="s">
        <v>531</v>
      </c>
      <c r="E335" s="1" t="s">
        <v>392</v>
      </c>
      <c r="F335" s="1" t="s">
        <v>393</v>
      </c>
      <c r="G335" s="1" t="s">
        <v>394</v>
      </c>
      <c r="H335" s="1">
        <v>360</v>
      </c>
      <c r="I335" s="3">
        <v>46252</v>
      </c>
      <c r="J335" s="3">
        <v>46273</v>
      </c>
      <c r="K335" s="3" t="s">
        <v>2360</v>
      </c>
      <c r="L335" s="22">
        <v>46252.628357141199</v>
      </c>
      <c r="M335" s="20">
        <v>12</v>
      </c>
      <c r="N335" s="1">
        <v>23</v>
      </c>
    </row>
    <row r="336" spans="1:14" x14ac:dyDescent="0.25">
      <c r="A336" t="str">
        <f t="shared" si="12"/>
        <v>78749007874900</v>
      </c>
      <c r="B336" t="str">
        <f t="shared" si="13"/>
        <v>7874900PV574EVG-M</v>
      </c>
      <c r="C336" s="1" t="s">
        <v>23</v>
      </c>
      <c r="D336" s="1" t="s">
        <v>531</v>
      </c>
      <c r="E336" s="1" t="s">
        <v>392</v>
      </c>
      <c r="F336" s="1" t="s">
        <v>393</v>
      </c>
      <c r="G336" s="1" t="s">
        <v>394</v>
      </c>
      <c r="H336" s="1">
        <v>360</v>
      </c>
      <c r="I336" s="3">
        <v>46252</v>
      </c>
      <c r="J336" s="3">
        <v>46273</v>
      </c>
      <c r="K336" s="3" t="s">
        <v>2360</v>
      </c>
      <c r="L336" s="22">
        <v>46252.628676736109</v>
      </c>
      <c r="M336" s="20">
        <v>12</v>
      </c>
      <c r="N336" s="1">
        <v>17</v>
      </c>
    </row>
    <row r="337" spans="1:14" x14ac:dyDescent="0.25">
      <c r="A337" t="str">
        <f t="shared" si="12"/>
        <v>78749007874900</v>
      </c>
      <c r="B337" t="str">
        <f t="shared" si="13"/>
        <v>7874900PV574EVG-M</v>
      </c>
      <c r="C337" s="1" t="s">
        <v>23</v>
      </c>
      <c r="D337" s="1" t="s">
        <v>531</v>
      </c>
      <c r="E337" s="1" t="s">
        <v>392</v>
      </c>
      <c r="F337" s="1" t="s">
        <v>393</v>
      </c>
      <c r="G337" s="1" t="s">
        <v>394</v>
      </c>
      <c r="H337" s="1">
        <v>360</v>
      </c>
      <c r="I337" s="3">
        <v>46252</v>
      </c>
      <c r="J337" s="3">
        <v>46273</v>
      </c>
      <c r="K337" s="3" t="s">
        <v>2360</v>
      </c>
      <c r="L337" s="22">
        <v>46252.652310648147</v>
      </c>
      <c r="M337" s="20">
        <v>12</v>
      </c>
      <c r="N337" s="1">
        <v>12</v>
      </c>
    </row>
    <row r="338" spans="1:14" x14ac:dyDescent="0.25">
      <c r="A338" t="str">
        <f t="shared" si="12"/>
        <v>78749007874900</v>
      </c>
      <c r="B338" t="str">
        <f t="shared" si="13"/>
        <v>7874900PV574EVG-M</v>
      </c>
      <c r="C338" s="1" t="s">
        <v>23</v>
      </c>
      <c r="D338" s="1" t="s">
        <v>531</v>
      </c>
      <c r="E338" s="1" t="s">
        <v>392</v>
      </c>
      <c r="F338" s="1" t="s">
        <v>393</v>
      </c>
      <c r="G338" s="1" t="s">
        <v>394</v>
      </c>
      <c r="H338" s="1">
        <v>360</v>
      </c>
      <c r="I338" s="3">
        <v>46252</v>
      </c>
      <c r="J338" s="3">
        <v>46273</v>
      </c>
      <c r="K338" s="3" t="s">
        <v>2360</v>
      </c>
      <c r="L338" s="22">
        <v>46252.663338738421</v>
      </c>
      <c r="M338" s="20">
        <v>12</v>
      </c>
      <c r="N338" s="1">
        <v>29</v>
      </c>
    </row>
    <row r="339" spans="1:14" x14ac:dyDescent="0.25">
      <c r="A339" t="str">
        <f t="shared" si="12"/>
        <v>78749007874900</v>
      </c>
      <c r="B339" t="str">
        <f t="shared" si="13"/>
        <v>7874900PV574EVG-M</v>
      </c>
      <c r="C339" s="1" t="s">
        <v>23</v>
      </c>
      <c r="D339" s="1" t="s">
        <v>531</v>
      </c>
      <c r="E339" s="1" t="s">
        <v>392</v>
      </c>
      <c r="F339" s="1" t="s">
        <v>393</v>
      </c>
      <c r="G339" s="1" t="s">
        <v>394</v>
      </c>
      <c r="H339" s="1">
        <v>360</v>
      </c>
      <c r="I339" s="3">
        <v>46252</v>
      </c>
      <c r="J339" s="3">
        <v>46273</v>
      </c>
      <c r="K339" s="3" t="s">
        <v>2360</v>
      </c>
      <c r="L339" s="22">
        <v>46252.663860914348</v>
      </c>
      <c r="M339" s="20">
        <v>12</v>
      </c>
      <c r="N339" s="1">
        <v>9</v>
      </c>
    </row>
    <row r="340" spans="1:14" x14ac:dyDescent="0.25">
      <c r="A340" t="str">
        <f t="shared" si="12"/>
        <v>78749007874900</v>
      </c>
      <c r="B340" t="str">
        <f t="shared" si="13"/>
        <v>7874900PV574EVG-M</v>
      </c>
      <c r="C340" s="1" t="s">
        <v>23</v>
      </c>
      <c r="D340" s="1" t="s">
        <v>531</v>
      </c>
      <c r="E340" s="1" t="s">
        <v>392</v>
      </c>
      <c r="F340" s="1" t="s">
        <v>393</v>
      </c>
      <c r="G340" s="1" t="s">
        <v>394</v>
      </c>
      <c r="H340" s="1">
        <v>360</v>
      </c>
      <c r="I340" s="3">
        <v>46252</v>
      </c>
      <c r="J340" s="3">
        <v>46273</v>
      </c>
      <c r="K340" s="3" t="s">
        <v>2360</v>
      </c>
      <c r="L340" s="22">
        <v>46252.664504976849</v>
      </c>
      <c r="M340" s="20">
        <v>12</v>
      </c>
      <c r="N340" s="1">
        <v>18</v>
      </c>
    </row>
    <row r="341" spans="1:14" x14ac:dyDescent="0.25">
      <c r="A341" t="str">
        <f t="shared" si="12"/>
        <v>78749007874900</v>
      </c>
      <c r="B341" t="str">
        <f t="shared" si="13"/>
        <v>7874900PV574EVG-M</v>
      </c>
      <c r="C341" s="1" t="s">
        <v>23</v>
      </c>
      <c r="D341" s="1" t="s">
        <v>531</v>
      </c>
      <c r="E341" s="1" t="s">
        <v>392</v>
      </c>
      <c r="F341" s="1" t="s">
        <v>393</v>
      </c>
      <c r="G341" s="1" t="s">
        <v>394</v>
      </c>
      <c r="H341" s="1">
        <v>360</v>
      </c>
      <c r="I341" s="3">
        <v>46252</v>
      </c>
      <c r="J341" s="3">
        <v>46273</v>
      </c>
      <c r="K341" s="3" t="s">
        <v>2360</v>
      </c>
      <c r="L341" s="22">
        <v>46252.664777974533</v>
      </c>
      <c r="M341" s="20">
        <v>12</v>
      </c>
      <c r="N341" s="1">
        <v>24</v>
      </c>
    </row>
    <row r="342" spans="1:14" x14ac:dyDescent="0.25">
      <c r="A342" t="str">
        <f t="shared" si="12"/>
        <v>78749007874900</v>
      </c>
      <c r="B342" t="str">
        <f t="shared" si="13"/>
        <v>7874900PV574EVG-M</v>
      </c>
      <c r="C342" s="1" t="s">
        <v>23</v>
      </c>
      <c r="D342" s="1" t="s">
        <v>531</v>
      </c>
      <c r="E342" s="1" t="s">
        <v>392</v>
      </c>
      <c r="F342" s="1" t="s">
        <v>393</v>
      </c>
      <c r="G342" s="1" t="s">
        <v>394</v>
      </c>
      <c r="H342" s="1">
        <v>360</v>
      </c>
      <c r="I342" s="3">
        <v>46252</v>
      </c>
      <c r="J342" s="3">
        <v>46273</v>
      </c>
      <c r="K342" s="3" t="s">
        <v>2360</v>
      </c>
      <c r="L342" s="22">
        <v>46252.677204363426</v>
      </c>
      <c r="M342" s="20">
        <v>6</v>
      </c>
      <c r="N342" s="1">
        <v>30</v>
      </c>
    </row>
    <row r="343" spans="1:14" x14ac:dyDescent="0.25">
      <c r="A343" t="str">
        <f t="shared" si="12"/>
        <v>78749007874900</v>
      </c>
      <c r="B343" t="str">
        <f t="shared" si="13"/>
        <v>7874900PV574EVG-M</v>
      </c>
      <c r="C343" s="1" t="s">
        <v>23</v>
      </c>
      <c r="D343" s="1" t="s">
        <v>531</v>
      </c>
      <c r="E343" s="1" t="s">
        <v>392</v>
      </c>
      <c r="F343" s="1" t="s">
        <v>393</v>
      </c>
      <c r="G343" s="1" t="s">
        <v>394</v>
      </c>
      <c r="H343" s="1">
        <v>360</v>
      </c>
      <c r="I343" s="3">
        <v>46252</v>
      </c>
      <c r="J343" s="3">
        <v>46273</v>
      </c>
      <c r="K343" s="3" t="s">
        <v>2360</v>
      </c>
      <c r="L343" s="22">
        <v>46252.713858182869</v>
      </c>
      <c r="M343" s="20">
        <v>12</v>
      </c>
      <c r="N343" s="1">
        <v>3</v>
      </c>
    </row>
    <row r="344" spans="1:14" x14ac:dyDescent="0.25">
      <c r="A344" t="str">
        <f t="shared" si="12"/>
        <v>78749007874900</v>
      </c>
      <c r="B344" t="str">
        <f t="shared" si="13"/>
        <v>7874900PV574EVG-M</v>
      </c>
      <c r="C344" s="1" t="s">
        <v>23</v>
      </c>
      <c r="D344" s="1" t="s">
        <v>531</v>
      </c>
      <c r="E344" s="1" t="s">
        <v>392</v>
      </c>
      <c r="F344" s="1" t="s">
        <v>393</v>
      </c>
      <c r="G344" s="1" t="s">
        <v>394</v>
      </c>
      <c r="H344" s="1">
        <v>360</v>
      </c>
      <c r="I344" s="3">
        <v>46252</v>
      </c>
      <c r="J344" s="3">
        <v>46273</v>
      </c>
      <c r="K344" s="3" t="s">
        <v>2360</v>
      </c>
      <c r="L344" s="22">
        <v>46252.714313275465</v>
      </c>
      <c r="M344" s="20">
        <v>12</v>
      </c>
      <c r="N344" s="1">
        <v>13</v>
      </c>
    </row>
    <row r="345" spans="1:14" x14ac:dyDescent="0.25">
      <c r="A345" t="str">
        <f t="shared" si="12"/>
        <v>78749007874900</v>
      </c>
      <c r="B345" t="str">
        <f t="shared" si="13"/>
        <v>7874900PV574EVG-M</v>
      </c>
      <c r="C345" s="1" t="s">
        <v>23</v>
      </c>
      <c r="D345" s="1" t="s">
        <v>531</v>
      </c>
      <c r="E345" s="1" t="s">
        <v>392</v>
      </c>
      <c r="F345" s="1" t="s">
        <v>393</v>
      </c>
      <c r="G345" s="1" t="s">
        <v>394</v>
      </c>
      <c r="H345" s="1">
        <v>360</v>
      </c>
      <c r="I345" s="3">
        <v>46252</v>
      </c>
      <c r="J345" s="3">
        <v>46273</v>
      </c>
      <c r="K345" s="3" t="s">
        <v>2360</v>
      </c>
      <c r="L345" s="22">
        <v>46252.714512418977</v>
      </c>
      <c r="M345" s="20">
        <v>12</v>
      </c>
      <c r="N345" s="1">
        <v>28</v>
      </c>
    </row>
    <row r="346" spans="1:14" x14ac:dyDescent="0.25">
      <c r="A346" t="str">
        <f t="shared" si="12"/>
        <v>78749007874900</v>
      </c>
      <c r="B346" t="str">
        <f t="shared" si="13"/>
        <v>7874900PV574EVG-M</v>
      </c>
      <c r="C346" s="1" t="s">
        <v>23</v>
      </c>
      <c r="D346" s="1" t="s">
        <v>531</v>
      </c>
      <c r="E346" s="1" t="s">
        <v>392</v>
      </c>
      <c r="F346" s="1" t="s">
        <v>393</v>
      </c>
      <c r="G346" s="1" t="s">
        <v>394</v>
      </c>
      <c r="H346" s="1">
        <v>360</v>
      </c>
      <c r="I346" s="3">
        <v>46252</v>
      </c>
      <c r="J346" s="3">
        <v>46273</v>
      </c>
      <c r="K346" s="3" t="s">
        <v>2360</v>
      </c>
      <c r="L346" s="22">
        <v>46252.714644479165</v>
      </c>
      <c r="M346" s="20">
        <v>12</v>
      </c>
      <c r="N346" s="1">
        <v>7</v>
      </c>
    </row>
    <row r="347" spans="1:14" x14ac:dyDescent="0.25">
      <c r="A347" t="str">
        <f t="shared" si="12"/>
        <v>H181788H181788</v>
      </c>
      <c r="B347" t="str">
        <f t="shared" si="13"/>
        <v>H181788G204L9EA-M</v>
      </c>
      <c r="C347" s="1" t="s">
        <v>529</v>
      </c>
      <c r="D347" s="1" t="s">
        <v>530</v>
      </c>
      <c r="E347" s="1" t="s">
        <v>524</v>
      </c>
      <c r="F347" s="1" t="s">
        <v>525</v>
      </c>
      <c r="G347" s="1" t="s">
        <v>404</v>
      </c>
      <c r="H347" s="1">
        <v>330</v>
      </c>
      <c r="I347" s="3">
        <v>46252</v>
      </c>
      <c r="J347" s="3">
        <v>46273</v>
      </c>
      <c r="K347" s="3" t="s">
        <v>2354</v>
      </c>
      <c r="L347" s="22">
        <v>46252.434284756942</v>
      </c>
      <c r="M347" s="20">
        <v>12</v>
      </c>
      <c r="N347" s="1">
        <v>19</v>
      </c>
    </row>
    <row r="348" spans="1:14" x14ac:dyDescent="0.25">
      <c r="A348" t="str">
        <f t="shared" si="12"/>
        <v>H181788H181788</v>
      </c>
      <c r="B348" t="str">
        <f t="shared" si="13"/>
        <v>H181788G204L9EA-M</v>
      </c>
      <c r="C348" s="1" t="s">
        <v>529</v>
      </c>
      <c r="D348" s="1" t="s">
        <v>530</v>
      </c>
      <c r="E348" s="1" t="s">
        <v>524</v>
      </c>
      <c r="F348" s="1" t="s">
        <v>525</v>
      </c>
      <c r="G348" s="1" t="s">
        <v>404</v>
      </c>
      <c r="H348" s="1">
        <v>330</v>
      </c>
      <c r="I348" s="3">
        <v>46252</v>
      </c>
      <c r="J348" s="3">
        <v>46273</v>
      </c>
      <c r="K348" s="3" t="s">
        <v>2354</v>
      </c>
      <c r="L348" s="22">
        <v>46252.447182407406</v>
      </c>
      <c r="M348" s="20">
        <v>12</v>
      </c>
      <c r="N348" s="1">
        <v>21</v>
      </c>
    </row>
    <row r="349" spans="1:14" x14ac:dyDescent="0.25">
      <c r="A349" t="str">
        <f t="shared" si="12"/>
        <v>H181788H181788</v>
      </c>
      <c r="B349" t="str">
        <f t="shared" si="13"/>
        <v>H181788G204L9EA-M</v>
      </c>
      <c r="C349" s="1" t="s">
        <v>529</v>
      </c>
      <c r="D349" s="1" t="s">
        <v>530</v>
      </c>
      <c r="E349" s="1" t="s">
        <v>524</v>
      </c>
      <c r="F349" s="1" t="s">
        <v>525</v>
      </c>
      <c r="G349" s="1" t="s">
        <v>404</v>
      </c>
      <c r="H349" s="1">
        <v>330</v>
      </c>
      <c r="I349" s="3">
        <v>46252</v>
      </c>
      <c r="J349" s="3">
        <v>46273</v>
      </c>
      <c r="K349" s="3" t="s">
        <v>2354</v>
      </c>
      <c r="L349" s="22">
        <v>46252.451789270832</v>
      </c>
      <c r="M349" s="20">
        <v>12</v>
      </c>
      <c r="N349" s="1">
        <v>13</v>
      </c>
    </row>
    <row r="350" spans="1:14" x14ac:dyDescent="0.25">
      <c r="A350" t="str">
        <f t="shared" si="12"/>
        <v>H181788H181788</v>
      </c>
      <c r="B350" t="str">
        <f t="shared" si="13"/>
        <v>H181788G204L9EA-M</v>
      </c>
      <c r="C350" s="1" t="s">
        <v>529</v>
      </c>
      <c r="D350" s="1" t="s">
        <v>530</v>
      </c>
      <c r="E350" s="1" t="s">
        <v>524</v>
      </c>
      <c r="F350" s="1" t="s">
        <v>525</v>
      </c>
      <c r="G350" s="1" t="s">
        <v>404</v>
      </c>
      <c r="H350" s="1">
        <v>330</v>
      </c>
      <c r="I350" s="3">
        <v>46252</v>
      </c>
      <c r="J350" s="3">
        <v>46273</v>
      </c>
      <c r="K350" s="3" t="s">
        <v>2354</v>
      </c>
      <c r="L350" s="22">
        <v>46252.465960532405</v>
      </c>
      <c r="M350" s="20">
        <v>12</v>
      </c>
      <c r="N350" s="1">
        <v>20</v>
      </c>
    </row>
    <row r="351" spans="1:14" x14ac:dyDescent="0.25">
      <c r="A351" t="str">
        <f t="shared" si="12"/>
        <v>H181788H181788</v>
      </c>
      <c r="B351" t="str">
        <f t="shared" si="13"/>
        <v>H181788G204L9EA-M</v>
      </c>
      <c r="C351" s="1" t="s">
        <v>529</v>
      </c>
      <c r="D351" s="1" t="s">
        <v>530</v>
      </c>
      <c r="E351" s="1" t="s">
        <v>524</v>
      </c>
      <c r="F351" s="1" t="s">
        <v>525</v>
      </c>
      <c r="G351" s="1" t="s">
        <v>404</v>
      </c>
      <c r="H351" s="1">
        <v>330</v>
      </c>
      <c r="I351" s="3">
        <v>46252</v>
      </c>
      <c r="J351" s="3">
        <v>46273</v>
      </c>
      <c r="K351" s="3" t="s">
        <v>2354</v>
      </c>
      <c r="L351" s="22">
        <v>46252.466763344906</v>
      </c>
      <c r="M351" s="20">
        <v>12</v>
      </c>
      <c r="N351" s="1">
        <v>8</v>
      </c>
    </row>
    <row r="352" spans="1:14" x14ac:dyDescent="0.25">
      <c r="A352" t="str">
        <f t="shared" si="12"/>
        <v>H181788H181788</v>
      </c>
      <c r="B352" t="str">
        <f t="shared" si="13"/>
        <v>H181788G204L9EA-M</v>
      </c>
      <c r="C352" s="1" t="s">
        <v>529</v>
      </c>
      <c r="D352" s="1" t="s">
        <v>530</v>
      </c>
      <c r="E352" s="1" t="s">
        <v>524</v>
      </c>
      <c r="F352" s="1" t="s">
        <v>525</v>
      </c>
      <c r="G352" s="1" t="s">
        <v>404</v>
      </c>
      <c r="H352" s="1">
        <v>330</v>
      </c>
      <c r="I352" s="3">
        <v>46252</v>
      </c>
      <c r="J352" s="3">
        <v>46273</v>
      </c>
      <c r="K352" s="3" t="s">
        <v>2354</v>
      </c>
      <c r="L352" s="22">
        <v>46252.560118321759</v>
      </c>
      <c r="M352" s="20">
        <v>12</v>
      </c>
      <c r="N352" s="1">
        <v>7</v>
      </c>
    </row>
    <row r="353" spans="1:14" x14ac:dyDescent="0.25">
      <c r="A353" t="str">
        <f t="shared" si="12"/>
        <v>H181788H181788</v>
      </c>
      <c r="B353" t="str">
        <f t="shared" si="13"/>
        <v>H181788G204L9EA-M</v>
      </c>
      <c r="C353" s="1" t="s">
        <v>529</v>
      </c>
      <c r="D353" s="1" t="s">
        <v>530</v>
      </c>
      <c r="E353" s="1" t="s">
        <v>524</v>
      </c>
      <c r="F353" s="1" t="s">
        <v>525</v>
      </c>
      <c r="G353" s="1" t="s">
        <v>404</v>
      </c>
      <c r="H353" s="1">
        <v>330</v>
      </c>
      <c r="I353" s="3">
        <v>46252</v>
      </c>
      <c r="J353" s="3">
        <v>46273</v>
      </c>
      <c r="K353" s="3" t="s">
        <v>2354</v>
      </c>
      <c r="L353" s="22">
        <v>46252.561699039346</v>
      </c>
      <c r="M353" s="20">
        <v>12</v>
      </c>
      <c r="N353" s="1">
        <v>2</v>
      </c>
    </row>
    <row r="354" spans="1:14" x14ac:dyDescent="0.25">
      <c r="A354" t="str">
        <f t="shared" si="12"/>
        <v>H181788H181788</v>
      </c>
      <c r="B354" t="str">
        <f t="shared" si="13"/>
        <v>H181788G204L9EA-M</v>
      </c>
      <c r="C354" s="1" t="s">
        <v>529</v>
      </c>
      <c r="D354" s="1" t="s">
        <v>530</v>
      </c>
      <c r="E354" s="1" t="s">
        <v>524</v>
      </c>
      <c r="F354" s="1" t="s">
        <v>525</v>
      </c>
      <c r="G354" s="1" t="s">
        <v>404</v>
      </c>
      <c r="H354" s="1">
        <v>330</v>
      </c>
      <c r="I354" s="3">
        <v>46252</v>
      </c>
      <c r="J354" s="3">
        <v>46273</v>
      </c>
      <c r="K354" s="3" t="s">
        <v>2354</v>
      </c>
      <c r="L354" s="22">
        <v>46252.606246493051</v>
      </c>
      <c r="M354" s="20">
        <v>12</v>
      </c>
      <c r="N354" s="1">
        <v>1</v>
      </c>
    </row>
    <row r="355" spans="1:14" x14ac:dyDescent="0.25">
      <c r="A355" t="str">
        <f t="shared" si="12"/>
        <v>H181788H181788</v>
      </c>
      <c r="B355" t="str">
        <f t="shared" si="13"/>
        <v>H181788G204L9EA-M</v>
      </c>
      <c r="C355" s="1" t="s">
        <v>529</v>
      </c>
      <c r="D355" s="1" t="s">
        <v>530</v>
      </c>
      <c r="E355" s="1" t="s">
        <v>524</v>
      </c>
      <c r="F355" s="1" t="s">
        <v>525</v>
      </c>
      <c r="G355" s="1" t="s">
        <v>404</v>
      </c>
      <c r="H355" s="1">
        <v>330</v>
      </c>
      <c r="I355" s="3">
        <v>46252</v>
      </c>
      <c r="J355" s="3">
        <v>46273</v>
      </c>
      <c r="K355" s="3" t="s">
        <v>2354</v>
      </c>
      <c r="L355" s="22">
        <v>46252.6071912037</v>
      </c>
      <c r="M355" s="20">
        <v>12</v>
      </c>
      <c r="N355" s="1">
        <v>10</v>
      </c>
    </row>
    <row r="356" spans="1:14" x14ac:dyDescent="0.25">
      <c r="A356" t="str">
        <f t="shared" si="12"/>
        <v>H181788H181788</v>
      </c>
      <c r="B356" t="str">
        <f t="shared" si="13"/>
        <v>H181788G204L9EA-M</v>
      </c>
      <c r="C356" s="1" t="s">
        <v>529</v>
      </c>
      <c r="D356" s="1" t="s">
        <v>530</v>
      </c>
      <c r="E356" s="1" t="s">
        <v>524</v>
      </c>
      <c r="F356" s="1" t="s">
        <v>525</v>
      </c>
      <c r="G356" s="1" t="s">
        <v>404</v>
      </c>
      <c r="H356" s="1">
        <v>330</v>
      </c>
      <c r="I356" s="3">
        <v>46252</v>
      </c>
      <c r="J356" s="3">
        <v>46273</v>
      </c>
      <c r="K356" s="3" t="s">
        <v>2354</v>
      </c>
      <c r="L356" s="22">
        <v>46252.615781018518</v>
      </c>
      <c r="M356" s="20">
        <v>12</v>
      </c>
      <c r="N356" s="1">
        <v>6</v>
      </c>
    </row>
    <row r="357" spans="1:14" x14ac:dyDescent="0.25">
      <c r="A357" t="str">
        <f t="shared" si="12"/>
        <v>H181788H181788</v>
      </c>
      <c r="B357" t="str">
        <f t="shared" si="13"/>
        <v>H181788G204L9EA-M</v>
      </c>
      <c r="C357" s="1" t="s">
        <v>529</v>
      </c>
      <c r="D357" s="1" t="s">
        <v>530</v>
      </c>
      <c r="E357" s="1" t="s">
        <v>524</v>
      </c>
      <c r="F357" s="1" t="s">
        <v>525</v>
      </c>
      <c r="G357" s="1" t="s">
        <v>404</v>
      </c>
      <c r="H357" s="1">
        <v>330</v>
      </c>
      <c r="I357" s="3">
        <v>46252</v>
      </c>
      <c r="J357" s="3">
        <v>46273</v>
      </c>
      <c r="K357" s="3" t="s">
        <v>2354</v>
      </c>
      <c r="L357" s="22">
        <v>46252.647849270834</v>
      </c>
      <c r="M357" s="20">
        <v>12</v>
      </c>
      <c r="N357" s="1">
        <v>3</v>
      </c>
    </row>
    <row r="358" spans="1:14" x14ac:dyDescent="0.25">
      <c r="A358" t="str">
        <f t="shared" si="12"/>
        <v>H181788H181788</v>
      </c>
      <c r="B358" t="str">
        <f t="shared" si="13"/>
        <v>H181788G204L9EA-M</v>
      </c>
      <c r="C358" s="1" t="s">
        <v>529</v>
      </c>
      <c r="D358" s="1" t="s">
        <v>530</v>
      </c>
      <c r="E358" s="1" t="s">
        <v>524</v>
      </c>
      <c r="F358" s="1" t="s">
        <v>525</v>
      </c>
      <c r="G358" s="1" t="s">
        <v>404</v>
      </c>
      <c r="H358" s="1">
        <v>330</v>
      </c>
      <c r="I358" s="3">
        <v>46252</v>
      </c>
      <c r="J358" s="3">
        <v>46273</v>
      </c>
      <c r="K358" s="3" t="s">
        <v>2354</v>
      </c>
      <c r="L358" s="22">
        <v>46252.65995671296</v>
      </c>
      <c r="M358" s="20">
        <v>12</v>
      </c>
      <c r="N358" s="1">
        <v>22</v>
      </c>
    </row>
    <row r="359" spans="1:14" x14ac:dyDescent="0.25">
      <c r="A359" t="str">
        <f t="shared" si="12"/>
        <v>U147490U147490</v>
      </c>
      <c r="B359" t="str">
        <f t="shared" si="13"/>
        <v>U147490G204L7V9-M</v>
      </c>
      <c r="C359" s="1" t="s">
        <v>50</v>
      </c>
      <c r="D359" s="1" t="s">
        <v>532</v>
      </c>
      <c r="E359" s="1" t="s">
        <v>436</v>
      </c>
      <c r="F359" s="1" t="s">
        <v>456</v>
      </c>
      <c r="G359" s="1" t="s">
        <v>438</v>
      </c>
      <c r="H359" s="1">
        <v>1500</v>
      </c>
      <c r="I359" s="3">
        <v>46252</v>
      </c>
      <c r="J359" s="3">
        <v>46273</v>
      </c>
      <c r="K359" s="3" t="s">
        <v>2361</v>
      </c>
      <c r="L359" s="22">
        <v>46252.604216585649</v>
      </c>
      <c r="M359" s="20">
        <v>12</v>
      </c>
      <c r="N359" s="1">
        <v>44</v>
      </c>
    </row>
    <row r="360" spans="1:14" x14ac:dyDescent="0.25">
      <c r="A360" t="str">
        <f t="shared" si="12"/>
        <v>U147490U147490</v>
      </c>
      <c r="B360" t="str">
        <f t="shared" si="13"/>
        <v>U147490G204L7V9-M</v>
      </c>
      <c r="C360" s="1" t="s">
        <v>50</v>
      </c>
      <c r="D360" s="1" t="s">
        <v>532</v>
      </c>
      <c r="E360" s="1" t="s">
        <v>436</v>
      </c>
      <c r="F360" s="1" t="s">
        <v>456</v>
      </c>
      <c r="G360" s="1" t="s">
        <v>438</v>
      </c>
      <c r="H360" s="1">
        <v>1500</v>
      </c>
      <c r="I360" s="3">
        <v>46252</v>
      </c>
      <c r="J360" s="3">
        <v>46273</v>
      </c>
      <c r="K360" s="3" t="s">
        <v>2361</v>
      </c>
      <c r="L360" s="22">
        <v>46252.60458353009</v>
      </c>
      <c r="M360" s="20">
        <v>12</v>
      </c>
      <c r="N360" s="1">
        <v>85</v>
      </c>
    </row>
    <row r="361" spans="1:14" x14ac:dyDescent="0.25">
      <c r="A361" t="str">
        <f t="shared" si="12"/>
        <v>U147490U147490</v>
      </c>
      <c r="B361" t="str">
        <f t="shared" si="13"/>
        <v>U147490G204L7V9-M</v>
      </c>
      <c r="C361" s="1" t="s">
        <v>50</v>
      </c>
      <c r="D361" s="1" t="s">
        <v>532</v>
      </c>
      <c r="E361" s="1" t="s">
        <v>436</v>
      </c>
      <c r="F361" s="1" t="s">
        <v>456</v>
      </c>
      <c r="G361" s="1" t="s">
        <v>438</v>
      </c>
      <c r="H361" s="1">
        <v>1500</v>
      </c>
      <c r="I361" s="3">
        <v>46252</v>
      </c>
      <c r="J361" s="3">
        <v>46273</v>
      </c>
      <c r="K361" s="3" t="s">
        <v>2361</v>
      </c>
      <c r="L361" s="22">
        <v>46252.605965590279</v>
      </c>
      <c r="M361" s="20">
        <v>12</v>
      </c>
      <c r="N361" s="1">
        <v>115</v>
      </c>
    </row>
    <row r="362" spans="1:14" x14ac:dyDescent="0.25">
      <c r="A362" t="str">
        <f t="shared" si="12"/>
        <v>U147490U147490</v>
      </c>
      <c r="B362" t="str">
        <f t="shared" si="13"/>
        <v>U147490G204L7V9-M</v>
      </c>
      <c r="C362" s="1" t="s">
        <v>50</v>
      </c>
      <c r="D362" s="1" t="s">
        <v>532</v>
      </c>
      <c r="E362" s="1" t="s">
        <v>436</v>
      </c>
      <c r="F362" s="1" t="s">
        <v>456</v>
      </c>
      <c r="G362" s="1" t="s">
        <v>438</v>
      </c>
      <c r="H362" s="1">
        <v>1500</v>
      </c>
      <c r="I362" s="3">
        <v>46252</v>
      </c>
      <c r="J362" s="3">
        <v>46273</v>
      </c>
      <c r="K362" s="3" t="s">
        <v>2361</v>
      </c>
      <c r="L362" s="22">
        <v>46252.6068443287</v>
      </c>
      <c r="M362" s="20">
        <v>12</v>
      </c>
      <c r="N362" s="1">
        <v>106</v>
      </c>
    </row>
    <row r="363" spans="1:14" x14ac:dyDescent="0.25">
      <c r="A363" t="str">
        <f t="shared" si="12"/>
        <v>U147490U147490</v>
      </c>
      <c r="B363" t="str">
        <f t="shared" si="13"/>
        <v>U147490G204L7V9-M</v>
      </c>
      <c r="C363" s="1" t="s">
        <v>50</v>
      </c>
      <c r="D363" s="1" t="s">
        <v>532</v>
      </c>
      <c r="E363" s="1" t="s">
        <v>436</v>
      </c>
      <c r="F363" s="1" t="s">
        <v>456</v>
      </c>
      <c r="G363" s="1" t="s">
        <v>438</v>
      </c>
      <c r="H363" s="1">
        <v>1500</v>
      </c>
      <c r="I363" s="3">
        <v>46252</v>
      </c>
      <c r="J363" s="3">
        <v>46273</v>
      </c>
      <c r="K363" s="3" t="s">
        <v>2361</v>
      </c>
      <c r="L363" s="22">
        <v>46252.618739583333</v>
      </c>
      <c r="M363" s="20">
        <v>12</v>
      </c>
      <c r="N363" s="1">
        <v>84</v>
      </c>
    </row>
    <row r="364" spans="1:14" x14ac:dyDescent="0.25">
      <c r="A364" t="str">
        <f t="shared" si="12"/>
        <v>U147490U147490</v>
      </c>
      <c r="B364" t="str">
        <f t="shared" si="13"/>
        <v>U147490G204L7V9-M</v>
      </c>
      <c r="C364" s="1" t="s">
        <v>50</v>
      </c>
      <c r="D364" s="1" t="s">
        <v>532</v>
      </c>
      <c r="E364" s="1" t="s">
        <v>436</v>
      </c>
      <c r="F364" s="1" t="s">
        <v>456</v>
      </c>
      <c r="G364" s="1" t="s">
        <v>438</v>
      </c>
      <c r="H364" s="1">
        <v>1500</v>
      </c>
      <c r="I364" s="3">
        <v>46252</v>
      </c>
      <c r="J364" s="3">
        <v>46273</v>
      </c>
      <c r="K364" s="3" t="s">
        <v>2361</v>
      </c>
      <c r="L364" s="22">
        <v>46252.619004398148</v>
      </c>
      <c r="M364" s="20">
        <v>12</v>
      </c>
      <c r="N364" s="1">
        <v>86</v>
      </c>
    </row>
    <row r="365" spans="1:14" x14ac:dyDescent="0.25">
      <c r="A365" t="str">
        <f t="shared" si="12"/>
        <v>U147490U147490</v>
      </c>
      <c r="B365" t="str">
        <f t="shared" si="13"/>
        <v>U147490G204L7V9-M</v>
      </c>
      <c r="C365" s="1" t="s">
        <v>50</v>
      </c>
      <c r="D365" s="1" t="s">
        <v>532</v>
      </c>
      <c r="E365" s="1" t="s">
        <v>436</v>
      </c>
      <c r="F365" s="1" t="s">
        <v>456</v>
      </c>
      <c r="G365" s="1" t="s">
        <v>438</v>
      </c>
      <c r="H365" s="1">
        <v>1500</v>
      </c>
      <c r="I365" s="3">
        <v>46252</v>
      </c>
      <c r="J365" s="3">
        <v>46273</v>
      </c>
      <c r="K365" s="3" t="s">
        <v>2361</v>
      </c>
      <c r="L365" s="22">
        <v>46252.619341782403</v>
      </c>
      <c r="M365" s="20">
        <v>12</v>
      </c>
      <c r="N365" s="1">
        <v>116</v>
      </c>
    </row>
    <row r="366" spans="1:14" x14ac:dyDescent="0.25">
      <c r="A366" t="str">
        <f t="shared" si="12"/>
        <v>U147490U147490</v>
      </c>
      <c r="B366" t="str">
        <f t="shared" si="13"/>
        <v>U147490G204L7V9-M</v>
      </c>
      <c r="C366" s="1" t="s">
        <v>50</v>
      </c>
      <c r="D366" s="1" t="s">
        <v>532</v>
      </c>
      <c r="E366" s="1" t="s">
        <v>436</v>
      </c>
      <c r="F366" s="1" t="s">
        <v>456</v>
      </c>
      <c r="G366" s="1" t="s">
        <v>438</v>
      </c>
      <c r="H366" s="1">
        <v>1500</v>
      </c>
      <c r="I366" s="3">
        <v>46252</v>
      </c>
      <c r="J366" s="3">
        <v>46273</v>
      </c>
      <c r="K366" s="3" t="s">
        <v>2361</v>
      </c>
      <c r="L366" s="22">
        <v>46252.619509606477</v>
      </c>
      <c r="M366" s="20">
        <v>12</v>
      </c>
      <c r="N366" s="1">
        <v>69</v>
      </c>
    </row>
    <row r="367" spans="1:14" x14ac:dyDescent="0.25">
      <c r="A367" t="str">
        <f t="shared" si="12"/>
        <v>U147490U147490</v>
      </c>
      <c r="B367" t="str">
        <f t="shared" si="13"/>
        <v>U147490G204L7V9-M</v>
      </c>
      <c r="C367" s="1" t="s">
        <v>50</v>
      </c>
      <c r="D367" s="1" t="s">
        <v>532</v>
      </c>
      <c r="E367" s="1" t="s">
        <v>436</v>
      </c>
      <c r="F367" s="1" t="s">
        <v>456</v>
      </c>
      <c r="G367" s="1" t="s">
        <v>438</v>
      </c>
      <c r="H367" s="1">
        <v>1500</v>
      </c>
      <c r="I367" s="3">
        <v>46252</v>
      </c>
      <c r="J367" s="3">
        <v>46273</v>
      </c>
      <c r="K367" s="3" t="s">
        <v>2361</v>
      </c>
      <c r="L367" s="22">
        <v>46252.627191284722</v>
      </c>
      <c r="M367" s="20">
        <v>12</v>
      </c>
      <c r="N367" s="1">
        <v>87</v>
      </c>
    </row>
    <row r="368" spans="1:14" x14ac:dyDescent="0.25">
      <c r="A368" t="str">
        <f t="shared" si="12"/>
        <v>U147490U147490</v>
      </c>
      <c r="B368" t="str">
        <f t="shared" si="13"/>
        <v>U147490G204L7V9-M</v>
      </c>
      <c r="C368" s="1" t="s">
        <v>50</v>
      </c>
      <c r="D368" s="1" t="s">
        <v>532</v>
      </c>
      <c r="E368" s="1" t="s">
        <v>436</v>
      </c>
      <c r="F368" s="1" t="s">
        <v>456</v>
      </c>
      <c r="G368" s="1" t="s">
        <v>438</v>
      </c>
      <c r="H368" s="1">
        <v>1500</v>
      </c>
      <c r="I368" s="3">
        <v>46252</v>
      </c>
      <c r="J368" s="3">
        <v>46273</v>
      </c>
      <c r="K368" s="3" t="s">
        <v>2361</v>
      </c>
      <c r="L368" s="22">
        <v>46252.63859170139</v>
      </c>
      <c r="M368" s="20">
        <v>12</v>
      </c>
      <c r="N368" s="1">
        <v>88</v>
      </c>
    </row>
    <row r="369" spans="1:14" x14ac:dyDescent="0.25">
      <c r="A369" t="str">
        <f t="shared" si="12"/>
        <v>U147490U147490</v>
      </c>
      <c r="B369" t="str">
        <f t="shared" si="13"/>
        <v>U147490G204L7V9-M</v>
      </c>
      <c r="C369" s="1" t="s">
        <v>50</v>
      </c>
      <c r="D369" s="1" t="s">
        <v>532</v>
      </c>
      <c r="E369" s="1" t="s">
        <v>436</v>
      </c>
      <c r="F369" s="1" t="s">
        <v>456</v>
      </c>
      <c r="G369" s="1" t="s">
        <v>438</v>
      </c>
      <c r="H369" s="1">
        <v>1500</v>
      </c>
      <c r="I369" s="3">
        <v>46252</v>
      </c>
      <c r="J369" s="3">
        <v>46273</v>
      </c>
      <c r="K369" s="3" t="s">
        <v>2361</v>
      </c>
      <c r="L369" s="22">
        <v>46252.6387565162</v>
      </c>
      <c r="M369" s="20">
        <v>12</v>
      </c>
      <c r="N369" s="1">
        <v>89</v>
      </c>
    </row>
    <row r="370" spans="1:14" x14ac:dyDescent="0.25">
      <c r="A370" t="str">
        <f t="shared" si="12"/>
        <v>U147490U147490</v>
      </c>
      <c r="B370" t="str">
        <f t="shared" si="13"/>
        <v>U147490G204L7V9-M</v>
      </c>
      <c r="C370" s="1" t="s">
        <v>50</v>
      </c>
      <c r="D370" s="1" t="s">
        <v>532</v>
      </c>
      <c r="E370" s="1" t="s">
        <v>436</v>
      </c>
      <c r="F370" s="1" t="s">
        <v>456</v>
      </c>
      <c r="G370" s="1" t="s">
        <v>438</v>
      </c>
      <c r="H370" s="1">
        <v>1500</v>
      </c>
      <c r="I370" s="3">
        <v>46252</v>
      </c>
      <c r="J370" s="3">
        <v>46273</v>
      </c>
      <c r="K370" s="3" t="s">
        <v>2361</v>
      </c>
      <c r="L370" s="22">
        <v>46252.638945023144</v>
      </c>
      <c r="M370" s="20">
        <v>12</v>
      </c>
      <c r="N370" s="1">
        <v>32</v>
      </c>
    </row>
    <row r="371" spans="1:14" x14ac:dyDescent="0.25">
      <c r="A371" t="str">
        <f t="shared" si="12"/>
        <v>U147490U147490</v>
      </c>
      <c r="B371" t="str">
        <f t="shared" si="13"/>
        <v>U147490G204L7V9-M</v>
      </c>
      <c r="C371" s="1" t="s">
        <v>50</v>
      </c>
      <c r="D371" s="1" t="s">
        <v>532</v>
      </c>
      <c r="E371" s="1" t="s">
        <v>436</v>
      </c>
      <c r="F371" s="1" t="s">
        <v>456</v>
      </c>
      <c r="G371" s="1" t="s">
        <v>438</v>
      </c>
      <c r="H371" s="1">
        <v>1500</v>
      </c>
      <c r="I371" s="3">
        <v>46252</v>
      </c>
      <c r="J371" s="3">
        <v>46273</v>
      </c>
      <c r="K371" s="3" t="s">
        <v>2361</v>
      </c>
      <c r="L371" s="22">
        <v>46252.640067326385</v>
      </c>
      <c r="M371" s="20">
        <v>12</v>
      </c>
      <c r="N371" s="1">
        <v>107</v>
      </c>
    </row>
    <row r="372" spans="1:14" x14ac:dyDescent="0.25">
      <c r="A372" t="str">
        <f t="shared" si="12"/>
        <v>U147490U147490</v>
      </c>
      <c r="B372" t="str">
        <f t="shared" si="13"/>
        <v>U147490G204L7V9-M</v>
      </c>
      <c r="C372" s="1" t="s">
        <v>50</v>
      </c>
      <c r="D372" s="1" t="s">
        <v>532</v>
      </c>
      <c r="E372" s="1" t="s">
        <v>436</v>
      </c>
      <c r="F372" s="1" t="s">
        <v>456</v>
      </c>
      <c r="G372" s="1" t="s">
        <v>438</v>
      </c>
      <c r="H372" s="1">
        <v>1500</v>
      </c>
      <c r="I372" s="3">
        <v>46252</v>
      </c>
      <c r="J372" s="3">
        <v>46273</v>
      </c>
      <c r="K372" s="3" t="s">
        <v>2361</v>
      </c>
      <c r="L372" s="22">
        <v>46252.640453125001</v>
      </c>
      <c r="M372" s="20">
        <v>12</v>
      </c>
      <c r="N372" s="1">
        <v>117</v>
      </c>
    </row>
    <row r="373" spans="1:14" x14ac:dyDescent="0.25">
      <c r="A373" t="str">
        <f t="shared" si="12"/>
        <v>U147490U147490</v>
      </c>
      <c r="B373" t="str">
        <f t="shared" si="13"/>
        <v>U147490G204L7V9-M</v>
      </c>
      <c r="C373" s="1" t="s">
        <v>50</v>
      </c>
      <c r="D373" s="1" t="s">
        <v>532</v>
      </c>
      <c r="E373" s="1" t="s">
        <v>436</v>
      </c>
      <c r="F373" s="1" t="s">
        <v>456</v>
      </c>
      <c r="G373" s="1" t="s">
        <v>438</v>
      </c>
      <c r="H373" s="1">
        <v>1500</v>
      </c>
      <c r="I373" s="3">
        <v>46252</v>
      </c>
      <c r="J373" s="3">
        <v>46273</v>
      </c>
      <c r="K373" s="3" t="s">
        <v>2361</v>
      </c>
      <c r="L373" s="22">
        <v>46252.648048113428</v>
      </c>
      <c r="M373" s="20">
        <v>12</v>
      </c>
      <c r="N373" s="1">
        <v>119</v>
      </c>
    </row>
    <row r="374" spans="1:14" x14ac:dyDescent="0.25">
      <c r="A374" t="str">
        <f t="shared" si="12"/>
        <v>U147490U147490</v>
      </c>
      <c r="B374" t="str">
        <f t="shared" si="13"/>
        <v>U147490G204L7V9-M</v>
      </c>
      <c r="C374" s="1" t="s">
        <v>50</v>
      </c>
      <c r="D374" s="1" t="s">
        <v>532</v>
      </c>
      <c r="E374" s="1" t="s">
        <v>436</v>
      </c>
      <c r="F374" s="1" t="s">
        <v>456</v>
      </c>
      <c r="G374" s="1" t="s">
        <v>438</v>
      </c>
      <c r="H374" s="1">
        <v>1500</v>
      </c>
      <c r="I374" s="3">
        <v>46252</v>
      </c>
      <c r="J374" s="3">
        <v>46273</v>
      </c>
      <c r="K374" s="3" t="s">
        <v>2361</v>
      </c>
      <c r="L374" s="22">
        <v>46252.648281331014</v>
      </c>
      <c r="M374" s="20">
        <v>12</v>
      </c>
      <c r="N374" s="1">
        <v>70</v>
      </c>
    </row>
    <row r="375" spans="1:14" x14ac:dyDescent="0.25">
      <c r="A375" t="str">
        <f t="shared" si="12"/>
        <v>U147490U147490</v>
      </c>
      <c r="B375" t="str">
        <f t="shared" si="13"/>
        <v>U147490G204L7V9-M</v>
      </c>
      <c r="C375" s="1" t="s">
        <v>50</v>
      </c>
      <c r="D375" s="1" t="s">
        <v>532</v>
      </c>
      <c r="E375" s="1" t="s">
        <v>436</v>
      </c>
      <c r="F375" s="1" t="s">
        <v>456</v>
      </c>
      <c r="G375" s="1" t="s">
        <v>438</v>
      </c>
      <c r="H375" s="1">
        <v>1500</v>
      </c>
      <c r="I375" s="3">
        <v>46252</v>
      </c>
      <c r="J375" s="3">
        <v>46273</v>
      </c>
      <c r="K375" s="3" t="s">
        <v>2361</v>
      </c>
      <c r="L375" s="22">
        <v>46252.64850570602</v>
      </c>
      <c r="M375" s="20">
        <v>12</v>
      </c>
      <c r="N375" s="1">
        <v>33</v>
      </c>
    </row>
    <row r="376" spans="1:14" x14ac:dyDescent="0.25">
      <c r="A376" t="str">
        <f t="shared" si="12"/>
        <v>U147490U147490</v>
      </c>
      <c r="B376" t="str">
        <f t="shared" si="13"/>
        <v>U147490G204L7V9-M</v>
      </c>
      <c r="C376" s="1" t="s">
        <v>50</v>
      </c>
      <c r="D376" s="1" t="s">
        <v>532</v>
      </c>
      <c r="E376" s="1" t="s">
        <v>436</v>
      </c>
      <c r="F376" s="1" t="s">
        <v>456</v>
      </c>
      <c r="G376" s="1" t="s">
        <v>438</v>
      </c>
      <c r="H376" s="1">
        <v>1500</v>
      </c>
      <c r="I376" s="3">
        <v>46252</v>
      </c>
      <c r="J376" s="3">
        <v>46273</v>
      </c>
      <c r="K376" s="3" t="s">
        <v>2361</v>
      </c>
      <c r="L376" s="22">
        <v>46252.649267094908</v>
      </c>
      <c r="M376" s="20">
        <v>12</v>
      </c>
      <c r="N376" s="1">
        <v>108</v>
      </c>
    </row>
    <row r="377" spans="1:14" x14ac:dyDescent="0.25">
      <c r="A377" t="str">
        <f t="shared" si="12"/>
        <v>U147490U147490</v>
      </c>
      <c r="B377" t="str">
        <f t="shared" si="13"/>
        <v>U147490G204L7V9-M</v>
      </c>
      <c r="C377" s="1" t="s">
        <v>50</v>
      </c>
      <c r="D377" s="1" t="s">
        <v>532</v>
      </c>
      <c r="E377" s="1" t="s">
        <v>436</v>
      </c>
      <c r="F377" s="1" t="s">
        <v>456</v>
      </c>
      <c r="G377" s="1" t="s">
        <v>438</v>
      </c>
      <c r="H377" s="1">
        <v>1500</v>
      </c>
      <c r="I377" s="3">
        <v>46252</v>
      </c>
      <c r="J377" s="3">
        <v>46273</v>
      </c>
      <c r="K377" s="3" t="s">
        <v>2361</v>
      </c>
      <c r="L377" s="22">
        <v>46252.649745636569</v>
      </c>
      <c r="M377" s="20">
        <v>12</v>
      </c>
      <c r="N377" s="1">
        <v>45</v>
      </c>
    </row>
    <row r="378" spans="1:14" x14ac:dyDescent="0.25">
      <c r="A378" t="str">
        <f t="shared" si="12"/>
        <v>U147490U147490</v>
      </c>
      <c r="B378" t="str">
        <f t="shared" si="13"/>
        <v>U147490G204L7V9-M</v>
      </c>
      <c r="C378" s="1" t="s">
        <v>50</v>
      </c>
      <c r="D378" s="1" t="s">
        <v>532</v>
      </c>
      <c r="E378" s="1" t="s">
        <v>436</v>
      </c>
      <c r="F378" s="1" t="s">
        <v>456</v>
      </c>
      <c r="G378" s="1" t="s">
        <v>438</v>
      </c>
      <c r="H378" s="1">
        <v>1500</v>
      </c>
      <c r="I378" s="3">
        <v>46252</v>
      </c>
      <c r="J378" s="3">
        <v>46273</v>
      </c>
      <c r="K378" s="3" t="s">
        <v>2361</v>
      </c>
      <c r="L378" s="22">
        <v>46252.660945752315</v>
      </c>
      <c r="M378" s="20">
        <v>12</v>
      </c>
      <c r="N378" s="1">
        <v>110</v>
      </c>
    </row>
    <row r="379" spans="1:14" x14ac:dyDescent="0.25">
      <c r="A379" t="str">
        <f t="shared" si="12"/>
        <v>U147490U147490</v>
      </c>
      <c r="B379" t="str">
        <f t="shared" si="13"/>
        <v>U147490G204L7V9-M</v>
      </c>
      <c r="C379" s="1" t="s">
        <v>50</v>
      </c>
      <c r="D379" s="1" t="s">
        <v>532</v>
      </c>
      <c r="E379" s="1" t="s">
        <v>436</v>
      </c>
      <c r="F379" s="1" t="s">
        <v>456</v>
      </c>
      <c r="G379" s="1" t="s">
        <v>438</v>
      </c>
      <c r="H379" s="1">
        <v>1500</v>
      </c>
      <c r="I379" s="3">
        <v>46252</v>
      </c>
      <c r="J379" s="3">
        <v>46273</v>
      </c>
      <c r="K379" s="3" t="s">
        <v>2361</v>
      </c>
      <c r="L379" s="22">
        <v>46252.661119247685</v>
      </c>
      <c r="M379" s="20">
        <v>12</v>
      </c>
      <c r="N379" s="1">
        <v>105</v>
      </c>
    </row>
    <row r="380" spans="1:14" x14ac:dyDescent="0.25">
      <c r="A380" t="str">
        <f t="shared" si="12"/>
        <v>U147490U147490</v>
      </c>
      <c r="B380" t="str">
        <f t="shared" si="13"/>
        <v>U147490G204L7V9-M</v>
      </c>
      <c r="C380" s="1" t="s">
        <v>50</v>
      </c>
      <c r="D380" s="1" t="s">
        <v>532</v>
      </c>
      <c r="E380" s="1" t="s">
        <v>436</v>
      </c>
      <c r="F380" s="1" t="s">
        <v>456</v>
      </c>
      <c r="G380" s="1" t="s">
        <v>438</v>
      </c>
      <c r="H380" s="1">
        <v>1500</v>
      </c>
      <c r="I380" s="3">
        <v>46252</v>
      </c>
      <c r="J380" s="3">
        <v>46273</v>
      </c>
      <c r="K380" s="3" t="s">
        <v>2361</v>
      </c>
      <c r="L380" s="22">
        <v>46252.661593749996</v>
      </c>
      <c r="M380" s="20">
        <v>12</v>
      </c>
      <c r="N380" s="1">
        <v>71</v>
      </c>
    </row>
    <row r="381" spans="1:14" x14ac:dyDescent="0.25">
      <c r="A381" t="str">
        <f t="shared" si="12"/>
        <v>U147490U147490</v>
      </c>
      <c r="B381" t="str">
        <f t="shared" si="13"/>
        <v>U147490G204L7V9-M</v>
      </c>
      <c r="C381" s="1" t="s">
        <v>50</v>
      </c>
      <c r="D381" s="1" t="s">
        <v>532</v>
      </c>
      <c r="E381" s="1" t="s">
        <v>436</v>
      </c>
      <c r="F381" s="1" t="s">
        <v>456</v>
      </c>
      <c r="G381" s="1" t="s">
        <v>438</v>
      </c>
      <c r="H381" s="1">
        <v>1500</v>
      </c>
      <c r="I381" s="3">
        <v>46252</v>
      </c>
      <c r="J381" s="3">
        <v>46273</v>
      </c>
      <c r="K381" s="3" t="s">
        <v>2361</v>
      </c>
      <c r="L381" s="22">
        <v>46252.661770486113</v>
      </c>
      <c r="M381" s="20">
        <v>12</v>
      </c>
      <c r="N381" s="1">
        <v>109</v>
      </c>
    </row>
    <row r="382" spans="1:14" x14ac:dyDescent="0.25">
      <c r="A382" t="str">
        <f t="shared" si="12"/>
        <v>U147490U147490</v>
      </c>
      <c r="B382" t="str">
        <f t="shared" si="13"/>
        <v>U147490G204L7V9-M</v>
      </c>
      <c r="C382" s="1" t="s">
        <v>50</v>
      </c>
      <c r="D382" s="1" t="s">
        <v>532</v>
      </c>
      <c r="E382" s="1" t="s">
        <v>436</v>
      </c>
      <c r="F382" s="1" t="s">
        <v>456</v>
      </c>
      <c r="G382" s="1" t="s">
        <v>438</v>
      </c>
      <c r="H382" s="1">
        <v>1500</v>
      </c>
      <c r="I382" s="3">
        <v>46252</v>
      </c>
      <c r="J382" s="3">
        <v>46273</v>
      </c>
      <c r="K382" s="3" t="s">
        <v>2361</v>
      </c>
      <c r="L382" s="22">
        <v>46252.667517476853</v>
      </c>
      <c r="M382" s="20">
        <v>12</v>
      </c>
      <c r="N382" s="1">
        <v>46</v>
      </c>
    </row>
    <row r="383" spans="1:14" x14ac:dyDescent="0.25">
      <c r="A383" t="str">
        <f t="shared" si="12"/>
        <v>78746937874693</v>
      </c>
      <c r="B383" t="str">
        <f t="shared" si="13"/>
        <v>7874693M5742IX-D</v>
      </c>
      <c r="C383" s="1" t="s">
        <v>487</v>
      </c>
      <c r="D383" s="1" t="s">
        <v>537</v>
      </c>
      <c r="E383" s="1" t="s">
        <v>382</v>
      </c>
      <c r="F383" s="1" t="s">
        <v>2297</v>
      </c>
      <c r="G383" s="1" t="s">
        <v>394</v>
      </c>
      <c r="H383" s="1">
        <v>816</v>
      </c>
      <c r="I383" s="3">
        <v>46253</v>
      </c>
      <c r="J383" s="3">
        <v>46275</v>
      </c>
      <c r="K383" s="3" t="s">
        <v>2360</v>
      </c>
      <c r="L383" s="22">
        <v>46253.6609971875</v>
      </c>
      <c r="M383" s="20">
        <v>6</v>
      </c>
      <c r="N383" s="1">
        <v>25</v>
      </c>
    </row>
    <row r="384" spans="1:14" x14ac:dyDescent="0.25">
      <c r="A384" t="str">
        <f t="shared" si="12"/>
        <v>78746937874693</v>
      </c>
      <c r="B384" t="str">
        <f t="shared" si="13"/>
        <v>7874693M5742IX-D</v>
      </c>
      <c r="C384" s="1" t="s">
        <v>487</v>
      </c>
      <c r="D384" s="1" t="s">
        <v>537</v>
      </c>
      <c r="E384" s="1" t="s">
        <v>382</v>
      </c>
      <c r="F384" s="1" t="s">
        <v>2297</v>
      </c>
      <c r="G384" s="1" t="s">
        <v>394</v>
      </c>
      <c r="H384" s="1">
        <v>816</v>
      </c>
      <c r="I384" s="3">
        <v>46253</v>
      </c>
      <c r="J384" s="3">
        <v>46275</v>
      </c>
      <c r="K384" s="3" t="s">
        <v>2360</v>
      </c>
      <c r="L384" s="22">
        <v>46253.663359722217</v>
      </c>
      <c r="M384" s="20">
        <v>6</v>
      </c>
      <c r="N384" s="1">
        <v>26</v>
      </c>
    </row>
    <row r="385" spans="1:14" x14ac:dyDescent="0.25">
      <c r="A385" t="str">
        <f t="shared" si="12"/>
        <v>78746937874693</v>
      </c>
      <c r="B385" t="str">
        <f t="shared" si="13"/>
        <v>7874693M5742IX-D</v>
      </c>
      <c r="C385" s="1" t="s">
        <v>487</v>
      </c>
      <c r="D385" s="1" t="s">
        <v>537</v>
      </c>
      <c r="E385" s="1" t="s">
        <v>382</v>
      </c>
      <c r="F385" s="1" t="s">
        <v>2297</v>
      </c>
      <c r="G385" s="1" t="s">
        <v>394</v>
      </c>
      <c r="H385" s="1">
        <v>816</v>
      </c>
      <c r="I385" s="3">
        <v>46253</v>
      </c>
      <c r="J385" s="3">
        <v>46275</v>
      </c>
      <c r="K385" s="3" t="s">
        <v>2360</v>
      </c>
      <c r="L385" s="22">
        <v>46253.663680706013</v>
      </c>
      <c r="M385" s="20">
        <v>6</v>
      </c>
      <c r="N385" s="1">
        <v>54</v>
      </c>
    </row>
    <row r="386" spans="1:14" x14ac:dyDescent="0.25">
      <c r="A386" t="str">
        <f t="shared" ref="A386:A449" si="14">+D386&amp;D386</f>
        <v>78746937874693</v>
      </c>
      <c r="B386" t="str">
        <f t="shared" ref="B386:B449" si="15">+D386&amp;C386</f>
        <v>7874693M5742IX-D</v>
      </c>
      <c r="C386" s="1" t="s">
        <v>487</v>
      </c>
      <c r="D386" s="1" t="s">
        <v>537</v>
      </c>
      <c r="E386" s="1" t="s">
        <v>382</v>
      </c>
      <c r="F386" s="1" t="s">
        <v>2297</v>
      </c>
      <c r="G386" s="1" t="s">
        <v>394</v>
      </c>
      <c r="H386" s="1">
        <v>816</v>
      </c>
      <c r="I386" s="3">
        <v>46253</v>
      </c>
      <c r="J386" s="3">
        <v>46275</v>
      </c>
      <c r="K386" s="3" t="s">
        <v>2360</v>
      </c>
      <c r="L386" s="22">
        <v>46253.663938622682</v>
      </c>
      <c r="M386" s="20">
        <v>6</v>
      </c>
      <c r="N386" s="1">
        <v>55</v>
      </c>
    </row>
    <row r="387" spans="1:14" x14ac:dyDescent="0.25">
      <c r="A387" t="str">
        <f t="shared" si="14"/>
        <v>78746937874693</v>
      </c>
      <c r="B387" t="str">
        <f t="shared" si="15"/>
        <v>7874693M5742IX-D</v>
      </c>
      <c r="C387" s="1" t="s">
        <v>487</v>
      </c>
      <c r="D387" s="1" t="s">
        <v>537</v>
      </c>
      <c r="E387" s="1" t="s">
        <v>382</v>
      </c>
      <c r="F387" s="1" t="s">
        <v>2297</v>
      </c>
      <c r="G387" s="1" t="s">
        <v>394</v>
      </c>
      <c r="H387" s="1">
        <v>816</v>
      </c>
      <c r="I387" s="3">
        <v>46253</v>
      </c>
      <c r="J387" s="3">
        <v>46275</v>
      </c>
      <c r="K387" s="3" t="s">
        <v>2360</v>
      </c>
      <c r="L387" s="22">
        <v>46253.669803668978</v>
      </c>
      <c r="M387" s="20">
        <v>6</v>
      </c>
      <c r="N387" s="1">
        <v>28</v>
      </c>
    </row>
    <row r="388" spans="1:14" x14ac:dyDescent="0.25">
      <c r="A388" t="str">
        <f t="shared" si="14"/>
        <v>78746937874693</v>
      </c>
      <c r="B388" t="str">
        <f t="shared" si="15"/>
        <v>7874693M5742IX-D</v>
      </c>
      <c r="C388" s="1" t="s">
        <v>487</v>
      </c>
      <c r="D388" s="1" t="s">
        <v>537</v>
      </c>
      <c r="E388" s="1" t="s">
        <v>382</v>
      </c>
      <c r="F388" s="1" t="s">
        <v>2297</v>
      </c>
      <c r="G388" s="1" t="s">
        <v>394</v>
      </c>
      <c r="H388" s="1">
        <v>816</v>
      </c>
      <c r="I388" s="3">
        <v>46253</v>
      </c>
      <c r="J388" s="3">
        <v>46275</v>
      </c>
      <c r="K388" s="3" t="s">
        <v>2360</v>
      </c>
      <c r="L388" s="22">
        <v>46253.670044525461</v>
      </c>
      <c r="M388" s="20">
        <v>6</v>
      </c>
      <c r="N388" s="1">
        <v>27</v>
      </c>
    </row>
    <row r="389" spans="1:14" x14ac:dyDescent="0.25">
      <c r="A389" t="str">
        <f t="shared" si="14"/>
        <v>78746937874693</v>
      </c>
      <c r="B389" t="str">
        <f t="shared" si="15"/>
        <v>7874693M5742IX-D</v>
      </c>
      <c r="C389" s="1" t="s">
        <v>487</v>
      </c>
      <c r="D389" s="1" t="s">
        <v>537</v>
      </c>
      <c r="E389" s="1" t="s">
        <v>382</v>
      </c>
      <c r="F389" s="1" t="s">
        <v>2297</v>
      </c>
      <c r="G389" s="1" t="s">
        <v>394</v>
      </c>
      <c r="H389" s="1">
        <v>816</v>
      </c>
      <c r="I389" s="3">
        <v>46253</v>
      </c>
      <c r="J389" s="3">
        <v>46275</v>
      </c>
      <c r="K389" s="3" t="s">
        <v>2360</v>
      </c>
      <c r="L389" s="22">
        <v>46253.671697951388</v>
      </c>
      <c r="M389" s="20">
        <v>6</v>
      </c>
      <c r="N389" s="1">
        <v>56</v>
      </c>
    </row>
    <row r="390" spans="1:14" x14ac:dyDescent="0.25">
      <c r="A390" t="str">
        <f t="shared" si="14"/>
        <v>78746937874693</v>
      </c>
      <c r="B390" t="str">
        <f t="shared" si="15"/>
        <v>7874693M5742IX-D</v>
      </c>
      <c r="C390" s="1" t="s">
        <v>487</v>
      </c>
      <c r="D390" s="1" t="s">
        <v>537</v>
      </c>
      <c r="E390" s="1" t="s">
        <v>382</v>
      </c>
      <c r="F390" s="1" t="s">
        <v>2297</v>
      </c>
      <c r="G390" s="1" t="s">
        <v>394</v>
      </c>
      <c r="H390" s="1">
        <v>816</v>
      </c>
      <c r="I390" s="3">
        <v>46253</v>
      </c>
      <c r="J390" s="3">
        <v>46275</v>
      </c>
      <c r="K390" s="3" t="s">
        <v>2360</v>
      </c>
      <c r="L390" s="22">
        <v>46253.68518645833</v>
      </c>
      <c r="M390" s="20">
        <v>6</v>
      </c>
      <c r="N390" s="1">
        <v>18</v>
      </c>
    </row>
    <row r="391" spans="1:14" x14ac:dyDescent="0.25">
      <c r="A391" t="str">
        <f t="shared" si="14"/>
        <v>78746937874693</v>
      </c>
      <c r="B391" t="str">
        <f t="shared" si="15"/>
        <v>7874693M5742IX-D</v>
      </c>
      <c r="C391" s="1" t="s">
        <v>487</v>
      </c>
      <c r="D391" s="1" t="s">
        <v>537</v>
      </c>
      <c r="E391" s="1" t="s">
        <v>382</v>
      </c>
      <c r="F391" s="1" t="s">
        <v>2297</v>
      </c>
      <c r="G391" s="1" t="s">
        <v>394</v>
      </c>
      <c r="H391" s="1">
        <v>816</v>
      </c>
      <c r="I391" s="3">
        <v>46253</v>
      </c>
      <c r="J391" s="3">
        <v>46275</v>
      </c>
      <c r="K391" s="3" t="s">
        <v>2360</v>
      </c>
      <c r="L391" s="22">
        <v>46253.706395057867</v>
      </c>
      <c r="M391" s="20">
        <v>6</v>
      </c>
      <c r="N391" s="1">
        <v>29</v>
      </c>
    </row>
    <row r="392" spans="1:14" x14ac:dyDescent="0.25">
      <c r="A392" t="str">
        <f t="shared" si="14"/>
        <v>78746937874693</v>
      </c>
      <c r="B392" t="str">
        <f t="shared" si="15"/>
        <v>7874693M5742IX-D</v>
      </c>
      <c r="C392" s="1" t="s">
        <v>487</v>
      </c>
      <c r="D392" s="1" t="s">
        <v>537</v>
      </c>
      <c r="E392" s="1" t="s">
        <v>382</v>
      </c>
      <c r="F392" s="1" t="s">
        <v>2297</v>
      </c>
      <c r="G392" s="1" t="s">
        <v>394</v>
      </c>
      <c r="H392" s="1">
        <v>816</v>
      </c>
      <c r="I392" s="3">
        <v>46253</v>
      </c>
      <c r="J392" s="3">
        <v>46275</v>
      </c>
      <c r="K392" s="3" t="s">
        <v>2360</v>
      </c>
      <c r="L392" s="22">
        <v>46253.711000196759</v>
      </c>
      <c r="M392" s="20">
        <v>6</v>
      </c>
      <c r="N392" s="1">
        <v>15</v>
      </c>
    </row>
    <row r="393" spans="1:14" x14ac:dyDescent="0.25">
      <c r="A393" t="str">
        <f t="shared" si="14"/>
        <v>78746937874693</v>
      </c>
      <c r="B393" t="str">
        <f t="shared" si="15"/>
        <v>7874693M5742IX-D</v>
      </c>
      <c r="C393" s="1" t="s">
        <v>487</v>
      </c>
      <c r="D393" s="1" t="s">
        <v>537</v>
      </c>
      <c r="E393" s="1" t="s">
        <v>382</v>
      </c>
      <c r="F393" s="1" t="s">
        <v>2297</v>
      </c>
      <c r="G393" s="1" t="s">
        <v>394</v>
      </c>
      <c r="H393" s="1">
        <v>816</v>
      </c>
      <c r="I393" s="3">
        <v>46253</v>
      </c>
      <c r="J393" s="3">
        <v>46275</v>
      </c>
      <c r="K393" s="3" t="s">
        <v>2360</v>
      </c>
      <c r="L393" s="22">
        <v>46253.717466168979</v>
      </c>
      <c r="M393" s="20">
        <v>6</v>
      </c>
      <c r="N393" s="1">
        <v>57</v>
      </c>
    </row>
    <row r="394" spans="1:14" x14ac:dyDescent="0.25">
      <c r="A394" t="str">
        <f t="shared" si="14"/>
        <v>H156843H156843</v>
      </c>
      <c r="B394" t="str">
        <f t="shared" si="15"/>
        <v>H156843U204L28P-D</v>
      </c>
      <c r="C394" s="1" t="s">
        <v>535</v>
      </c>
      <c r="D394" s="1" t="s">
        <v>536</v>
      </c>
      <c r="E394" s="1" t="s">
        <v>434</v>
      </c>
      <c r="F394" s="1" t="s">
        <v>435</v>
      </c>
      <c r="G394" s="1" t="s">
        <v>404</v>
      </c>
      <c r="H394" s="1">
        <v>1944</v>
      </c>
      <c r="I394" s="3">
        <v>46253</v>
      </c>
      <c r="J394" s="3">
        <v>46289</v>
      </c>
      <c r="K394" s="3" t="s">
        <v>2374</v>
      </c>
      <c r="L394" s="22">
        <v>46253.625557326384</v>
      </c>
      <c r="M394" s="20">
        <v>12</v>
      </c>
      <c r="N394" s="1">
        <v>65</v>
      </c>
    </row>
    <row r="395" spans="1:14" x14ac:dyDescent="0.25">
      <c r="A395" t="str">
        <f t="shared" si="14"/>
        <v>H156843H156843</v>
      </c>
      <c r="B395" t="str">
        <f t="shared" si="15"/>
        <v>H156843U204L28P-D</v>
      </c>
      <c r="C395" s="1" t="s">
        <v>535</v>
      </c>
      <c r="D395" s="1" t="s">
        <v>536</v>
      </c>
      <c r="E395" s="1" t="s">
        <v>434</v>
      </c>
      <c r="F395" s="1" t="s">
        <v>435</v>
      </c>
      <c r="G395" s="1" t="s">
        <v>404</v>
      </c>
      <c r="H395" s="1">
        <v>1944</v>
      </c>
      <c r="I395" s="3">
        <v>46253</v>
      </c>
      <c r="J395" s="3">
        <v>46289</v>
      </c>
      <c r="K395" s="3" t="s">
        <v>2374</v>
      </c>
      <c r="L395" s="22">
        <v>46253.625711956018</v>
      </c>
      <c r="M395" s="20">
        <v>12</v>
      </c>
      <c r="N395" s="1">
        <v>19</v>
      </c>
    </row>
    <row r="396" spans="1:14" x14ac:dyDescent="0.25">
      <c r="A396" t="str">
        <f t="shared" si="14"/>
        <v>H156843H156843</v>
      </c>
      <c r="B396" t="str">
        <f t="shared" si="15"/>
        <v>H156843U204L28P-D</v>
      </c>
      <c r="C396" s="1" t="s">
        <v>535</v>
      </c>
      <c r="D396" s="1" t="s">
        <v>536</v>
      </c>
      <c r="E396" s="1" t="s">
        <v>434</v>
      </c>
      <c r="F396" s="1" t="s">
        <v>435</v>
      </c>
      <c r="G396" s="1" t="s">
        <v>404</v>
      </c>
      <c r="H396" s="1">
        <v>1944</v>
      </c>
      <c r="I396" s="3">
        <v>46253</v>
      </c>
      <c r="J396" s="3">
        <v>46289</v>
      </c>
      <c r="K396" s="3" t="s">
        <v>2374</v>
      </c>
      <c r="L396" s="22">
        <v>46253.626093900464</v>
      </c>
      <c r="M396" s="20">
        <v>12</v>
      </c>
      <c r="N396" s="1">
        <v>111</v>
      </c>
    </row>
    <row r="397" spans="1:14" x14ac:dyDescent="0.25">
      <c r="A397" t="str">
        <f t="shared" si="14"/>
        <v>H156843H156843</v>
      </c>
      <c r="B397" t="str">
        <f t="shared" si="15"/>
        <v>H156843U204L28P-D</v>
      </c>
      <c r="C397" s="1" t="s">
        <v>535</v>
      </c>
      <c r="D397" s="1" t="s">
        <v>536</v>
      </c>
      <c r="E397" s="1" t="s">
        <v>434</v>
      </c>
      <c r="F397" s="1" t="s">
        <v>435</v>
      </c>
      <c r="G397" s="1" t="s">
        <v>404</v>
      </c>
      <c r="H397" s="1">
        <v>1944</v>
      </c>
      <c r="I397" s="3">
        <v>46253</v>
      </c>
      <c r="J397" s="3">
        <v>46289</v>
      </c>
      <c r="K397" s="3" t="s">
        <v>2374</v>
      </c>
      <c r="L397" s="22">
        <v>46253.626607326391</v>
      </c>
      <c r="M397" s="20">
        <v>12</v>
      </c>
      <c r="N397" s="1">
        <v>16</v>
      </c>
    </row>
    <row r="398" spans="1:14" x14ac:dyDescent="0.25">
      <c r="A398" t="str">
        <f t="shared" si="14"/>
        <v>H156843H156843</v>
      </c>
      <c r="B398" t="str">
        <f t="shared" si="15"/>
        <v>H156843U204L28P-D</v>
      </c>
      <c r="C398" s="1" t="s">
        <v>535</v>
      </c>
      <c r="D398" s="1" t="s">
        <v>536</v>
      </c>
      <c r="E398" s="1" t="s">
        <v>434</v>
      </c>
      <c r="F398" s="1" t="s">
        <v>435</v>
      </c>
      <c r="G398" s="1" t="s">
        <v>404</v>
      </c>
      <c r="H398" s="1">
        <v>1944</v>
      </c>
      <c r="I398" s="3">
        <v>46253</v>
      </c>
      <c r="J398" s="3">
        <v>46289</v>
      </c>
      <c r="K398" s="3" t="s">
        <v>2374</v>
      </c>
      <c r="L398" s="22">
        <v>46253.626753935183</v>
      </c>
      <c r="M398" s="20">
        <v>12</v>
      </c>
      <c r="N398" s="1">
        <v>63</v>
      </c>
    </row>
    <row r="399" spans="1:14" x14ac:dyDescent="0.25">
      <c r="A399" t="str">
        <f t="shared" si="14"/>
        <v>H156843H156843</v>
      </c>
      <c r="B399" t="str">
        <f t="shared" si="15"/>
        <v>H156843U204L28P-D</v>
      </c>
      <c r="C399" s="1" t="s">
        <v>535</v>
      </c>
      <c r="D399" s="1" t="s">
        <v>536</v>
      </c>
      <c r="E399" s="1" t="s">
        <v>434</v>
      </c>
      <c r="F399" s="1" t="s">
        <v>435</v>
      </c>
      <c r="G399" s="1" t="s">
        <v>404</v>
      </c>
      <c r="H399" s="1">
        <v>1944</v>
      </c>
      <c r="I399" s="3">
        <v>46253</v>
      </c>
      <c r="J399" s="3">
        <v>46289</v>
      </c>
      <c r="K399" s="3" t="s">
        <v>2374</v>
      </c>
      <c r="L399" s="22">
        <v>46253.626890011576</v>
      </c>
      <c r="M399" s="20">
        <v>12</v>
      </c>
      <c r="N399" s="1">
        <v>18</v>
      </c>
    </row>
    <row r="400" spans="1:14" x14ac:dyDescent="0.25">
      <c r="A400" t="str">
        <f t="shared" si="14"/>
        <v>H156843H156843</v>
      </c>
      <c r="B400" t="str">
        <f t="shared" si="15"/>
        <v>H156843U204L28P-D</v>
      </c>
      <c r="C400" s="1" t="s">
        <v>535</v>
      </c>
      <c r="D400" s="1" t="s">
        <v>536</v>
      </c>
      <c r="E400" s="1" t="s">
        <v>434</v>
      </c>
      <c r="F400" s="1" t="s">
        <v>435</v>
      </c>
      <c r="G400" s="1" t="s">
        <v>404</v>
      </c>
      <c r="H400" s="1">
        <v>1944</v>
      </c>
      <c r="I400" s="3">
        <v>46253</v>
      </c>
      <c r="J400" s="3">
        <v>46289</v>
      </c>
      <c r="K400" s="3" t="s">
        <v>2374</v>
      </c>
      <c r="L400" s="22">
        <v>46253.627039432868</v>
      </c>
      <c r="M400" s="20">
        <v>12</v>
      </c>
      <c r="N400" s="1">
        <v>64</v>
      </c>
    </row>
    <row r="401" spans="1:14" x14ac:dyDescent="0.25">
      <c r="A401" t="str">
        <f t="shared" si="14"/>
        <v>H156843H156843</v>
      </c>
      <c r="B401" t="str">
        <f t="shared" si="15"/>
        <v>H156843U204L28P-D</v>
      </c>
      <c r="C401" s="1" t="s">
        <v>535</v>
      </c>
      <c r="D401" s="1" t="s">
        <v>536</v>
      </c>
      <c r="E401" s="1" t="s">
        <v>434</v>
      </c>
      <c r="F401" s="1" t="s">
        <v>435</v>
      </c>
      <c r="G401" s="1" t="s">
        <v>404</v>
      </c>
      <c r="H401" s="1">
        <v>1944</v>
      </c>
      <c r="I401" s="3">
        <v>46253</v>
      </c>
      <c r="J401" s="3">
        <v>46289</v>
      </c>
      <c r="K401" s="3" t="s">
        <v>2374</v>
      </c>
      <c r="L401" s="22">
        <v>46253.634322569444</v>
      </c>
      <c r="M401" s="20">
        <v>12</v>
      </c>
      <c r="N401" s="1">
        <v>112</v>
      </c>
    </row>
    <row r="402" spans="1:14" x14ac:dyDescent="0.25">
      <c r="A402" t="str">
        <f t="shared" si="14"/>
        <v>H156843H156843</v>
      </c>
      <c r="B402" t="str">
        <f t="shared" si="15"/>
        <v>H156843U204L28P-D</v>
      </c>
      <c r="C402" s="1" t="s">
        <v>535</v>
      </c>
      <c r="D402" s="1" t="s">
        <v>536</v>
      </c>
      <c r="E402" s="1" t="s">
        <v>434</v>
      </c>
      <c r="F402" s="1" t="s">
        <v>435</v>
      </c>
      <c r="G402" s="1" t="s">
        <v>404</v>
      </c>
      <c r="H402" s="1">
        <v>1944</v>
      </c>
      <c r="I402" s="3">
        <v>46253</v>
      </c>
      <c r="J402" s="3">
        <v>46289</v>
      </c>
      <c r="K402" s="3" t="s">
        <v>2374</v>
      </c>
      <c r="L402" s="22">
        <v>46253.634671608794</v>
      </c>
      <c r="M402" s="20">
        <v>12</v>
      </c>
      <c r="N402" s="1">
        <v>21</v>
      </c>
    </row>
    <row r="403" spans="1:14" x14ac:dyDescent="0.25">
      <c r="A403" t="str">
        <f t="shared" si="14"/>
        <v>H156843H156843</v>
      </c>
      <c r="B403" t="str">
        <f t="shared" si="15"/>
        <v>H156843U204L28P-D</v>
      </c>
      <c r="C403" s="1" t="s">
        <v>535</v>
      </c>
      <c r="D403" s="1" t="s">
        <v>536</v>
      </c>
      <c r="E403" s="1" t="s">
        <v>434</v>
      </c>
      <c r="F403" s="1" t="s">
        <v>435</v>
      </c>
      <c r="G403" s="1" t="s">
        <v>404</v>
      </c>
      <c r="H403" s="1">
        <v>1944</v>
      </c>
      <c r="I403" s="3">
        <v>46253</v>
      </c>
      <c r="J403" s="3">
        <v>46289</v>
      </c>
      <c r="K403" s="3" t="s">
        <v>2374</v>
      </c>
      <c r="L403" s="22">
        <v>46253.635093900462</v>
      </c>
      <c r="M403" s="20">
        <v>12</v>
      </c>
      <c r="N403" s="1">
        <v>22</v>
      </c>
    </row>
    <row r="404" spans="1:14" x14ac:dyDescent="0.25">
      <c r="A404" t="str">
        <f t="shared" si="14"/>
        <v>H156843H156843</v>
      </c>
      <c r="B404" t="str">
        <f t="shared" si="15"/>
        <v>H156843U204L28P-D</v>
      </c>
      <c r="C404" s="1" t="s">
        <v>535</v>
      </c>
      <c r="D404" s="1" t="s">
        <v>536</v>
      </c>
      <c r="E404" s="1" t="s">
        <v>434</v>
      </c>
      <c r="F404" s="1" t="s">
        <v>435</v>
      </c>
      <c r="G404" s="1" t="s">
        <v>404</v>
      </c>
      <c r="H404" s="1">
        <v>1944</v>
      </c>
      <c r="I404" s="3">
        <v>46253</v>
      </c>
      <c r="J404" s="3">
        <v>46289</v>
      </c>
      <c r="K404" s="3" t="s">
        <v>2374</v>
      </c>
      <c r="L404" s="22">
        <v>46253.635298148147</v>
      </c>
      <c r="M404" s="20">
        <v>12</v>
      </c>
      <c r="N404" s="1">
        <v>66</v>
      </c>
    </row>
    <row r="405" spans="1:14" x14ac:dyDescent="0.25">
      <c r="A405" t="str">
        <f t="shared" si="14"/>
        <v>H156843H156843</v>
      </c>
      <c r="B405" t="str">
        <f t="shared" si="15"/>
        <v>H156843U204L28P-D</v>
      </c>
      <c r="C405" s="1" t="s">
        <v>535</v>
      </c>
      <c r="D405" s="1" t="s">
        <v>536</v>
      </c>
      <c r="E405" s="1" t="s">
        <v>434</v>
      </c>
      <c r="F405" s="1" t="s">
        <v>435</v>
      </c>
      <c r="G405" s="1" t="s">
        <v>404</v>
      </c>
      <c r="H405" s="1">
        <v>1944</v>
      </c>
      <c r="I405" s="3">
        <v>46253</v>
      </c>
      <c r="J405" s="3">
        <v>46289</v>
      </c>
      <c r="K405" s="3" t="s">
        <v>2374</v>
      </c>
      <c r="L405" s="22">
        <v>46253.635618715278</v>
      </c>
      <c r="M405" s="20">
        <v>12</v>
      </c>
      <c r="N405" s="1">
        <v>17</v>
      </c>
    </row>
    <row r="406" spans="1:14" x14ac:dyDescent="0.25">
      <c r="A406" t="str">
        <f t="shared" si="14"/>
        <v>H156843H156843</v>
      </c>
      <c r="B406" t="str">
        <f t="shared" si="15"/>
        <v>H156843U204L28P-D</v>
      </c>
      <c r="C406" s="1" t="s">
        <v>535</v>
      </c>
      <c r="D406" s="1" t="s">
        <v>536</v>
      </c>
      <c r="E406" s="1" t="s">
        <v>434</v>
      </c>
      <c r="F406" s="1" t="s">
        <v>435</v>
      </c>
      <c r="G406" s="1" t="s">
        <v>404</v>
      </c>
      <c r="H406" s="1">
        <v>1944</v>
      </c>
      <c r="I406" s="3">
        <v>46253</v>
      </c>
      <c r="J406" s="3">
        <v>46289</v>
      </c>
      <c r="K406" s="3" t="s">
        <v>2374</v>
      </c>
      <c r="L406" s="22">
        <v>46253.635817511575</v>
      </c>
      <c r="M406" s="20">
        <v>12</v>
      </c>
      <c r="N406" s="1">
        <v>15</v>
      </c>
    </row>
    <row r="407" spans="1:14" x14ac:dyDescent="0.25">
      <c r="A407" t="str">
        <f t="shared" si="14"/>
        <v>H156843H156843</v>
      </c>
      <c r="B407" t="str">
        <f t="shared" si="15"/>
        <v>H156843U204L28P-D</v>
      </c>
      <c r="C407" s="1" t="s">
        <v>535</v>
      </c>
      <c r="D407" s="1" t="s">
        <v>536</v>
      </c>
      <c r="E407" s="1" t="s">
        <v>434</v>
      </c>
      <c r="F407" s="1" t="s">
        <v>435</v>
      </c>
      <c r="G407" s="1" t="s">
        <v>404</v>
      </c>
      <c r="H407" s="1">
        <v>1944</v>
      </c>
      <c r="I407" s="3">
        <v>46253</v>
      </c>
      <c r="J407" s="3">
        <v>46289</v>
      </c>
      <c r="K407" s="3" t="s">
        <v>2374</v>
      </c>
      <c r="L407" s="22">
        <v>46253.636917245371</v>
      </c>
      <c r="M407" s="20">
        <v>12</v>
      </c>
      <c r="N407" s="1">
        <v>110</v>
      </c>
    </row>
    <row r="408" spans="1:14" x14ac:dyDescent="0.25">
      <c r="A408" t="str">
        <f t="shared" si="14"/>
        <v>H156843H156843</v>
      </c>
      <c r="B408" t="str">
        <f t="shared" si="15"/>
        <v>H156843U204L28P-D</v>
      </c>
      <c r="C408" s="1" t="s">
        <v>535</v>
      </c>
      <c r="D408" s="1" t="s">
        <v>536</v>
      </c>
      <c r="E408" s="1" t="s">
        <v>434</v>
      </c>
      <c r="F408" s="1" t="s">
        <v>435</v>
      </c>
      <c r="G408" s="1" t="s">
        <v>404</v>
      </c>
      <c r="H408" s="1">
        <v>1944</v>
      </c>
      <c r="I408" s="3">
        <v>46253</v>
      </c>
      <c r="J408" s="3">
        <v>46289</v>
      </c>
      <c r="K408" s="3" t="s">
        <v>2374</v>
      </c>
      <c r="L408" s="22">
        <v>46253.637399224535</v>
      </c>
      <c r="M408" s="20">
        <v>12</v>
      </c>
      <c r="N408" s="1">
        <v>62</v>
      </c>
    </row>
    <row r="409" spans="1:14" x14ac:dyDescent="0.25">
      <c r="A409" t="str">
        <f t="shared" si="14"/>
        <v>H156843H156843</v>
      </c>
      <c r="B409" t="str">
        <f t="shared" si="15"/>
        <v>H156843U204L28P-D</v>
      </c>
      <c r="C409" s="1" t="s">
        <v>535</v>
      </c>
      <c r="D409" s="1" t="s">
        <v>536</v>
      </c>
      <c r="E409" s="1" t="s">
        <v>434</v>
      </c>
      <c r="F409" s="1" t="s">
        <v>435</v>
      </c>
      <c r="G409" s="1" t="s">
        <v>404</v>
      </c>
      <c r="H409" s="1">
        <v>1944</v>
      </c>
      <c r="I409" s="3">
        <v>46253</v>
      </c>
      <c r="J409" s="3">
        <v>46289</v>
      </c>
      <c r="K409" s="3" t="s">
        <v>2374</v>
      </c>
      <c r="L409" s="22">
        <v>46253.673236458329</v>
      </c>
      <c r="M409" s="20">
        <v>12</v>
      </c>
      <c r="N409" s="1">
        <v>71</v>
      </c>
    </row>
    <row r="410" spans="1:14" x14ac:dyDescent="0.25">
      <c r="A410" t="str">
        <f t="shared" si="14"/>
        <v>H156843H156843</v>
      </c>
      <c r="B410" t="str">
        <f t="shared" si="15"/>
        <v>H156843U204L28P-D</v>
      </c>
      <c r="C410" s="1" t="s">
        <v>535</v>
      </c>
      <c r="D410" s="1" t="s">
        <v>536</v>
      </c>
      <c r="E410" s="1" t="s">
        <v>434</v>
      </c>
      <c r="F410" s="1" t="s">
        <v>435</v>
      </c>
      <c r="G410" s="1" t="s">
        <v>404</v>
      </c>
      <c r="H410" s="1">
        <v>1944</v>
      </c>
      <c r="I410" s="3">
        <v>46253</v>
      </c>
      <c r="J410" s="3">
        <v>46289</v>
      </c>
      <c r="K410" s="3" t="s">
        <v>2374</v>
      </c>
      <c r="L410" s="22">
        <v>46253.673920023146</v>
      </c>
      <c r="M410" s="20">
        <v>12</v>
      </c>
      <c r="N410" s="1">
        <v>20</v>
      </c>
    </row>
    <row r="411" spans="1:14" x14ac:dyDescent="0.25">
      <c r="A411" t="str">
        <f t="shared" si="14"/>
        <v>H156843H156843</v>
      </c>
      <c r="B411" t="str">
        <f t="shared" si="15"/>
        <v>H156843U204L28P-D</v>
      </c>
      <c r="C411" s="1" t="s">
        <v>535</v>
      </c>
      <c r="D411" s="1" t="s">
        <v>536</v>
      </c>
      <c r="E411" s="1" t="s">
        <v>434</v>
      </c>
      <c r="F411" s="1" t="s">
        <v>435</v>
      </c>
      <c r="G411" s="1" t="s">
        <v>404</v>
      </c>
      <c r="H411" s="1">
        <v>1944</v>
      </c>
      <c r="I411" s="3">
        <v>46253</v>
      </c>
      <c r="J411" s="3">
        <v>46289</v>
      </c>
      <c r="K411" s="3" t="s">
        <v>2374</v>
      </c>
      <c r="L411" s="22">
        <v>46253.674088425927</v>
      </c>
      <c r="M411" s="20">
        <v>12</v>
      </c>
      <c r="N411" s="1">
        <v>114</v>
      </c>
    </row>
    <row r="412" spans="1:14" x14ac:dyDescent="0.25">
      <c r="A412" t="str">
        <f t="shared" si="14"/>
        <v>H156843H156843</v>
      </c>
      <c r="B412" t="str">
        <f t="shared" si="15"/>
        <v>H156843U204L28P-D</v>
      </c>
      <c r="C412" s="1" t="s">
        <v>535</v>
      </c>
      <c r="D412" s="1" t="s">
        <v>536</v>
      </c>
      <c r="E412" s="1" t="s">
        <v>434</v>
      </c>
      <c r="F412" s="1" t="s">
        <v>435</v>
      </c>
      <c r="G412" s="1" t="s">
        <v>404</v>
      </c>
      <c r="H412" s="1">
        <v>1944</v>
      </c>
      <c r="I412" s="3">
        <v>46253</v>
      </c>
      <c r="J412" s="3">
        <v>46289</v>
      </c>
      <c r="K412" s="3" t="s">
        <v>2374</v>
      </c>
      <c r="L412" s="22">
        <v>46253.674852430551</v>
      </c>
      <c r="M412" s="20">
        <v>12</v>
      </c>
      <c r="N412" s="1">
        <v>68</v>
      </c>
    </row>
    <row r="413" spans="1:14" x14ac:dyDescent="0.25">
      <c r="A413" t="str">
        <f t="shared" si="14"/>
        <v>H156843H156843</v>
      </c>
      <c r="B413" t="str">
        <f t="shared" si="15"/>
        <v>H156843U204L28P-D</v>
      </c>
      <c r="C413" s="1" t="s">
        <v>535</v>
      </c>
      <c r="D413" s="1" t="s">
        <v>536</v>
      </c>
      <c r="E413" s="1" t="s">
        <v>434</v>
      </c>
      <c r="F413" s="1" t="s">
        <v>435</v>
      </c>
      <c r="G413" s="1" t="s">
        <v>404</v>
      </c>
      <c r="H413" s="1">
        <v>1944</v>
      </c>
      <c r="I413" s="3">
        <v>46253</v>
      </c>
      <c r="J413" s="3">
        <v>46289</v>
      </c>
      <c r="K413" s="3" t="s">
        <v>2374</v>
      </c>
      <c r="L413" s="22">
        <v>46253.674986493053</v>
      </c>
      <c r="M413" s="20">
        <v>12</v>
      </c>
      <c r="N413" s="1">
        <v>67</v>
      </c>
    </row>
    <row r="414" spans="1:14" x14ac:dyDescent="0.25">
      <c r="A414" t="str">
        <f t="shared" si="14"/>
        <v>H156843H156843</v>
      </c>
      <c r="B414" t="str">
        <f t="shared" si="15"/>
        <v>H156843U204L28P-D</v>
      </c>
      <c r="C414" s="1" t="s">
        <v>535</v>
      </c>
      <c r="D414" s="1" t="s">
        <v>536</v>
      </c>
      <c r="E414" s="1" t="s">
        <v>434</v>
      </c>
      <c r="F414" s="1" t="s">
        <v>435</v>
      </c>
      <c r="G414" s="1" t="s">
        <v>404</v>
      </c>
      <c r="H414" s="1">
        <v>1944</v>
      </c>
      <c r="I414" s="3">
        <v>46253</v>
      </c>
      <c r="J414" s="3">
        <v>46289</v>
      </c>
      <c r="K414" s="3" t="s">
        <v>2374</v>
      </c>
      <c r="L414" s="22">
        <v>46253.675594247681</v>
      </c>
      <c r="M414" s="20">
        <v>12</v>
      </c>
      <c r="N414" s="1">
        <v>113</v>
      </c>
    </row>
    <row r="415" spans="1:14" x14ac:dyDescent="0.25">
      <c r="A415" t="str">
        <f t="shared" si="14"/>
        <v>H171643H171643</v>
      </c>
      <c r="B415" t="str">
        <f t="shared" si="15"/>
        <v>H171643P6036SS-M</v>
      </c>
      <c r="C415" s="1" t="s">
        <v>52</v>
      </c>
      <c r="D415" s="1" t="s">
        <v>534</v>
      </c>
      <c r="E415" s="1" t="s">
        <v>501</v>
      </c>
      <c r="F415" s="1" t="s">
        <v>502</v>
      </c>
      <c r="G415" s="1" t="s">
        <v>404</v>
      </c>
      <c r="H415" s="1">
        <v>558</v>
      </c>
      <c r="I415" s="3">
        <v>46253</v>
      </c>
      <c r="J415" s="3">
        <v>46275</v>
      </c>
      <c r="K415" s="3" t="s">
        <v>2360</v>
      </c>
      <c r="L415" s="22">
        <v>46253.557034803242</v>
      </c>
      <c r="M415" s="20">
        <v>6</v>
      </c>
      <c r="N415" s="1">
        <v>17</v>
      </c>
    </row>
    <row r="416" spans="1:14" x14ac:dyDescent="0.25">
      <c r="A416" t="str">
        <f t="shared" si="14"/>
        <v>H171643H171643</v>
      </c>
      <c r="B416" t="str">
        <f t="shared" si="15"/>
        <v>H171643P6036SS-M</v>
      </c>
      <c r="C416" s="1" t="s">
        <v>52</v>
      </c>
      <c r="D416" s="1" t="s">
        <v>534</v>
      </c>
      <c r="E416" s="1" t="s">
        <v>501</v>
      </c>
      <c r="F416" s="1" t="s">
        <v>502</v>
      </c>
      <c r="G416" s="1" t="s">
        <v>404</v>
      </c>
      <c r="H416" s="1">
        <v>558</v>
      </c>
      <c r="I416" s="3">
        <v>46253</v>
      </c>
      <c r="J416" s="3">
        <v>46275</v>
      </c>
      <c r="K416" s="3" t="s">
        <v>2360</v>
      </c>
      <c r="L416" s="22">
        <v>46253.557268055556</v>
      </c>
      <c r="M416" s="20">
        <v>6</v>
      </c>
      <c r="N416" s="1">
        <v>18</v>
      </c>
    </row>
    <row r="417" spans="1:14" x14ac:dyDescent="0.25">
      <c r="A417" t="str">
        <f t="shared" si="14"/>
        <v>H171643H171643</v>
      </c>
      <c r="B417" t="str">
        <f t="shared" si="15"/>
        <v>H171643P6036SS-M</v>
      </c>
      <c r="C417" s="1" t="s">
        <v>52</v>
      </c>
      <c r="D417" s="1" t="s">
        <v>534</v>
      </c>
      <c r="E417" s="1" t="s">
        <v>501</v>
      </c>
      <c r="F417" s="1" t="s">
        <v>502</v>
      </c>
      <c r="G417" s="1" t="s">
        <v>404</v>
      </c>
      <c r="H417" s="1">
        <v>558</v>
      </c>
      <c r="I417" s="3">
        <v>46253</v>
      </c>
      <c r="J417" s="3">
        <v>46275</v>
      </c>
      <c r="K417" s="3" t="s">
        <v>2360</v>
      </c>
      <c r="L417" s="22">
        <v>46253.557451932866</v>
      </c>
      <c r="M417" s="20">
        <v>6</v>
      </c>
      <c r="N417" s="1">
        <v>21</v>
      </c>
    </row>
    <row r="418" spans="1:14" x14ac:dyDescent="0.25">
      <c r="A418" t="str">
        <f t="shared" si="14"/>
        <v>H171643H171643</v>
      </c>
      <c r="B418" t="str">
        <f t="shared" si="15"/>
        <v>H171643P6036SS-M</v>
      </c>
      <c r="C418" s="1" t="s">
        <v>52</v>
      </c>
      <c r="D418" s="1" t="s">
        <v>534</v>
      </c>
      <c r="E418" s="1" t="s">
        <v>501</v>
      </c>
      <c r="F418" s="1" t="s">
        <v>502</v>
      </c>
      <c r="G418" s="1" t="s">
        <v>404</v>
      </c>
      <c r="H418" s="1">
        <v>558</v>
      </c>
      <c r="I418" s="3">
        <v>46253</v>
      </c>
      <c r="J418" s="3">
        <v>46275</v>
      </c>
      <c r="K418" s="3" t="s">
        <v>2360</v>
      </c>
      <c r="L418" s="22">
        <v>46253.55783943287</v>
      </c>
      <c r="M418" s="20">
        <v>6</v>
      </c>
      <c r="N418" s="1">
        <v>73</v>
      </c>
    </row>
    <row r="419" spans="1:14" x14ac:dyDescent="0.25">
      <c r="A419" t="str">
        <f t="shared" si="14"/>
        <v>H171643H171643</v>
      </c>
      <c r="B419" t="str">
        <f t="shared" si="15"/>
        <v>H171643P6036SS-M</v>
      </c>
      <c r="C419" s="1" t="s">
        <v>52</v>
      </c>
      <c r="D419" s="1" t="s">
        <v>534</v>
      </c>
      <c r="E419" s="1" t="s">
        <v>501</v>
      </c>
      <c r="F419" s="1" t="s">
        <v>502</v>
      </c>
      <c r="G419" s="1" t="s">
        <v>404</v>
      </c>
      <c r="H419" s="1">
        <v>558</v>
      </c>
      <c r="I419" s="3">
        <v>46253</v>
      </c>
      <c r="J419" s="3">
        <v>46275</v>
      </c>
      <c r="K419" s="3" t="s">
        <v>2360</v>
      </c>
      <c r="L419" s="22">
        <v>46253.558074768516</v>
      </c>
      <c r="M419" s="20">
        <v>6</v>
      </c>
      <c r="N419" s="1">
        <v>22</v>
      </c>
    </row>
    <row r="420" spans="1:14" x14ac:dyDescent="0.25">
      <c r="A420" t="str">
        <f t="shared" si="14"/>
        <v>H171643H171643</v>
      </c>
      <c r="B420" t="str">
        <f t="shared" si="15"/>
        <v>H171643P6036SS-M</v>
      </c>
      <c r="C420" s="1" t="s">
        <v>52</v>
      </c>
      <c r="D420" s="1" t="s">
        <v>534</v>
      </c>
      <c r="E420" s="1" t="s">
        <v>501</v>
      </c>
      <c r="F420" s="1" t="s">
        <v>502</v>
      </c>
      <c r="G420" s="1" t="s">
        <v>404</v>
      </c>
      <c r="H420" s="1">
        <v>558</v>
      </c>
      <c r="I420" s="3">
        <v>46253</v>
      </c>
      <c r="J420" s="3">
        <v>46275</v>
      </c>
      <c r="K420" s="3" t="s">
        <v>2360</v>
      </c>
      <c r="L420" s="22">
        <v>46253.558246724533</v>
      </c>
      <c r="M420" s="20">
        <v>6</v>
      </c>
      <c r="N420" s="1">
        <v>39</v>
      </c>
    </row>
    <row r="421" spans="1:14" x14ac:dyDescent="0.25">
      <c r="A421" t="str">
        <f t="shared" si="14"/>
        <v>H171643H171643</v>
      </c>
      <c r="B421" t="str">
        <f t="shared" si="15"/>
        <v>H171643P6036SS-M</v>
      </c>
      <c r="C421" s="1" t="s">
        <v>52</v>
      </c>
      <c r="D421" s="1" t="s">
        <v>534</v>
      </c>
      <c r="E421" s="1" t="s">
        <v>501</v>
      </c>
      <c r="F421" s="1" t="s">
        <v>502</v>
      </c>
      <c r="G421" s="1" t="s">
        <v>404</v>
      </c>
      <c r="H421" s="1">
        <v>558</v>
      </c>
      <c r="I421" s="3">
        <v>46253</v>
      </c>
      <c r="J421" s="3">
        <v>46275</v>
      </c>
      <c r="K421" s="3" t="s">
        <v>2360</v>
      </c>
      <c r="L421" s="22">
        <v>46253.558461342589</v>
      </c>
      <c r="M421" s="20">
        <v>6</v>
      </c>
      <c r="N421" s="1">
        <v>72</v>
      </c>
    </row>
    <row r="422" spans="1:14" x14ac:dyDescent="0.25">
      <c r="A422" t="str">
        <f t="shared" si="14"/>
        <v>H171643H171643</v>
      </c>
      <c r="B422" t="str">
        <f t="shared" si="15"/>
        <v>H171643P6036SS-M</v>
      </c>
      <c r="C422" s="1" t="s">
        <v>52</v>
      </c>
      <c r="D422" s="1" t="s">
        <v>534</v>
      </c>
      <c r="E422" s="1" t="s">
        <v>501</v>
      </c>
      <c r="F422" s="1" t="s">
        <v>502</v>
      </c>
      <c r="G422" s="1" t="s">
        <v>404</v>
      </c>
      <c r="H422" s="1">
        <v>558</v>
      </c>
      <c r="I422" s="3">
        <v>46253</v>
      </c>
      <c r="J422" s="3">
        <v>46275</v>
      </c>
      <c r="K422" s="3" t="s">
        <v>2360</v>
      </c>
      <c r="L422" s="22">
        <v>46253.559002314811</v>
      </c>
      <c r="M422" s="20">
        <v>6</v>
      </c>
      <c r="N422" s="1">
        <v>74</v>
      </c>
    </row>
    <row r="423" spans="1:14" x14ac:dyDescent="0.25">
      <c r="A423" t="str">
        <f t="shared" si="14"/>
        <v>H171643H171643</v>
      </c>
      <c r="B423" t="str">
        <f t="shared" si="15"/>
        <v>H171643P6036SS-M</v>
      </c>
      <c r="C423" s="1" t="s">
        <v>52</v>
      </c>
      <c r="D423" s="1" t="s">
        <v>534</v>
      </c>
      <c r="E423" s="1" t="s">
        <v>501</v>
      </c>
      <c r="F423" s="1" t="s">
        <v>502</v>
      </c>
      <c r="G423" s="1" t="s">
        <v>404</v>
      </c>
      <c r="H423" s="1">
        <v>558</v>
      </c>
      <c r="I423" s="3">
        <v>46253</v>
      </c>
      <c r="J423" s="3">
        <v>46275</v>
      </c>
      <c r="K423" s="3" t="s">
        <v>2360</v>
      </c>
      <c r="L423" s="22">
        <v>46253.559212812499</v>
      </c>
      <c r="M423" s="20">
        <v>6</v>
      </c>
      <c r="N423" s="1">
        <v>68</v>
      </c>
    </row>
    <row r="424" spans="1:14" x14ac:dyDescent="0.25">
      <c r="A424" t="str">
        <f t="shared" si="14"/>
        <v>H171643H171643</v>
      </c>
      <c r="B424" t="str">
        <f t="shared" si="15"/>
        <v>H171643P6036SS-M</v>
      </c>
      <c r="C424" s="1" t="s">
        <v>52</v>
      </c>
      <c r="D424" s="1" t="s">
        <v>534</v>
      </c>
      <c r="E424" s="1" t="s">
        <v>501</v>
      </c>
      <c r="F424" s="1" t="s">
        <v>502</v>
      </c>
      <c r="G424" s="1" t="s">
        <v>404</v>
      </c>
      <c r="H424" s="1">
        <v>558</v>
      </c>
      <c r="I424" s="3">
        <v>46253</v>
      </c>
      <c r="J424" s="3">
        <v>46275</v>
      </c>
      <c r="K424" s="3" t="s">
        <v>2360</v>
      </c>
      <c r="L424" s="22">
        <v>46253.559465243052</v>
      </c>
      <c r="M424" s="20">
        <v>6</v>
      </c>
      <c r="N424" s="1">
        <v>65</v>
      </c>
    </row>
    <row r="425" spans="1:14" x14ac:dyDescent="0.25">
      <c r="A425" t="str">
        <f t="shared" si="14"/>
        <v>H171643H171643</v>
      </c>
      <c r="B425" t="str">
        <f t="shared" si="15"/>
        <v>H171643P6036SS-M</v>
      </c>
      <c r="C425" s="1" t="s">
        <v>52</v>
      </c>
      <c r="D425" s="1" t="s">
        <v>534</v>
      </c>
      <c r="E425" s="1" t="s">
        <v>501</v>
      </c>
      <c r="F425" s="1" t="s">
        <v>502</v>
      </c>
      <c r="G425" s="1" t="s">
        <v>404</v>
      </c>
      <c r="H425" s="1">
        <v>558</v>
      </c>
      <c r="I425" s="3">
        <v>46253</v>
      </c>
      <c r="J425" s="3">
        <v>46275</v>
      </c>
      <c r="K425" s="3" t="s">
        <v>2360</v>
      </c>
      <c r="L425" s="22">
        <v>46253.559701851853</v>
      </c>
      <c r="M425" s="20">
        <v>6</v>
      </c>
      <c r="N425" s="1">
        <v>64</v>
      </c>
    </row>
    <row r="426" spans="1:14" x14ac:dyDescent="0.25">
      <c r="A426" t="str">
        <f t="shared" si="14"/>
        <v>H171643H171643</v>
      </c>
      <c r="B426" t="str">
        <f t="shared" si="15"/>
        <v>H171643P6036SS-M</v>
      </c>
      <c r="C426" s="1" t="s">
        <v>52</v>
      </c>
      <c r="D426" s="1" t="s">
        <v>534</v>
      </c>
      <c r="E426" s="1" t="s">
        <v>501</v>
      </c>
      <c r="F426" s="1" t="s">
        <v>502</v>
      </c>
      <c r="G426" s="1" t="s">
        <v>404</v>
      </c>
      <c r="H426" s="1">
        <v>558</v>
      </c>
      <c r="I426" s="3">
        <v>46253</v>
      </c>
      <c r="J426" s="3">
        <v>46275</v>
      </c>
      <c r="K426" s="3" t="s">
        <v>2360</v>
      </c>
      <c r="L426" s="22">
        <v>46253.560225960646</v>
      </c>
      <c r="M426" s="20">
        <v>6</v>
      </c>
      <c r="N426" s="1">
        <v>11</v>
      </c>
    </row>
    <row r="427" spans="1:14" x14ac:dyDescent="0.25">
      <c r="A427" t="str">
        <f t="shared" si="14"/>
        <v>H171643H171643</v>
      </c>
      <c r="B427" t="str">
        <f t="shared" si="15"/>
        <v>H171643P6036SS-M</v>
      </c>
      <c r="C427" s="1" t="s">
        <v>52</v>
      </c>
      <c r="D427" s="1" t="s">
        <v>534</v>
      </c>
      <c r="E427" s="1" t="s">
        <v>501</v>
      </c>
      <c r="F427" s="1" t="s">
        <v>502</v>
      </c>
      <c r="G427" s="1" t="s">
        <v>404</v>
      </c>
      <c r="H427" s="1">
        <v>558</v>
      </c>
      <c r="I427" s="3">
        <v>46253</v>
      </c>
      <c r="J427" s="3">
        <v>46275</v>
      </c>
      <c r="K427" s="3" t="s">
        <v>2360</v>
      </c>
      <c r="L427" s="22">
        <v>46253.560427511569</v>
      </c>
      <c r="M427" s="20">
        <v>6</v>
      </c>
      <c r="N427" s="1">
        <v>27</v>
      </c>
    </row>
    <row r="428" spans="1:14" x14ac:dyDescent="0.25">
      <c r="A428" t="str">
        <f t="shared" si="14"/>
        <v>H171643H171643</v>
      </c>
      <c r="B428" t="str">
        <f t="shared" si="15"/>
        <v>H171643P6036SS-M</v>
      </c>
      <c r="C428" s="1" t="s">
        <v>52</v>
      </c>
      <c r="D428" s="1" t="s">
        <v>534</v>
      </c>
      <c r="E428" s="1" t="s">
        <v>501</v>
      </c>
      <c r="F428" s="1" t="s">
        <v>502</v>
      </c>
      <c r="G428" s="1" t="s">
        <v>404</v>
      </c>
      <c r="H428" s="1">
        <v>558</v>
      </c>
      <c r="I428" s="3">
        <v>46253</v>
      </c>
      <c r="J428" s="3">
        <v>46275</v>
      </c>
      <c r="K428" s="3" t="s">
        <v>2360</v>
      </c>
      <c r="L428" s="22">
        <v>46253.560816666664</v>
      </c>
      <c r="M428" s="20">
        <v>6</v>
      </c>
      <c r="N428" s="1">
        <v>12</v>
      </c>
    </row>
    <row r="429" spans="1:14" x14ac:dyDescent="0.25">
      <c r="A429" t="str">
        <f t="shared" si="14"/>
        <v>H171643H171643</v>
      </c>
      <c r="B429" t="str">
        <f t="shared" si="15"/>
        <v>H171643P6036SS-M</v>
      </c>
      <c r="C429" s="1" t="s">
        <v>52</v>
      </c>
      <c r="D429" s="1" t="s">
        <v>534</v>
      </c>
      <c r="E429" s="1" t="s">
        <v>501</v>
      </c>
      <c r="F429" s="1" t="s">
        <v>502</v>
      </c>
      <c r="G429" s="1" t="s">
        <v>404</v>
      </c>
      <c r="H429" s="1">
        <v>558</v>
      </c>
      <c r="I429" s="3">
        <v>46253</v>
      </c>
      <c r="J429" s="3">
        <v>46275</v>
      </c>
      <c r="K429" s="3" t="s">
        <v>2360</v>
      </c>
      <c r="L429" s="22">
        <v>46253.561143865736</v>
      </c>
      <c r="M429" s="20">
        <v>6</v>
      </c>
      <c r="N429" s="1">
        <v>28</v>
      </c>
    </row>
    <row r="430" spans="1:14" x14ac:dyDescent="0.25">
      <c r="A430" t="str">
        <f t="shared" si="14"/>
        <v>H171643H171643</v>
      </c>
      <c r="B430" t="str">
        <f t="shared" si="15"/>
        <v>H171643P6036SS-M</v>
      </c>
      <c r="C430" s="1" t="s">
        <v>52</v>
      </c>
      <c r="D430" s="1" t="s">
        <v>534</v>
      </c>
      <c r="E430" s="1" t="s">
        <v>501</v>
      </c>
      <c r="F430" s="1" t="s">
        <v>502</v>
      </c>
      <c r="G430" s="1" t="s">
        <v>404</v>
      </c>
      <c r="H430" s="1">
        <v>558</v>
      </c>
      <c r="I430" s="3">
        <v>46253</v>
      </c>
      <c r="J430" s="3">
        <v>46275</v>
      </c>
      <c r="K430" s="3" t="s">
        <v>2360</v>
      </c>
      <c r="L430" s="22">
        <v>46253.56135142361</v>
      </c>
      <c r="M430" s="20">
        <v>6</v>
      </c>
      <c r="N430" s="1">
        <v>42</v>
      </c>
    </row>
    <row r="431" spans="1:14" x14ac:dyDescent="0.25">
      <c r="A431" t="str">
        <f t="shared" si="14"/>
        <v>H171643H171643</v>
      </c>
      <c r="B431" t="str">
        <f t="shared" si="15"/>
        <v>H171643P6036SS-M</v>
      </c>
      <c r="C431" s="1" t="s">
        <v>52</v>
      </c>
      <c r="D431" s="1" t="s">
        <v>534</v>
      </c>
      <c r="E431" s="1" t="s">
        <v>501</v>
      </c>
      <c r="F431" s="1" t="s">
        <v>502</v>
      </c>
      <c r="G431" s="1" t="s">
        <v>404</v>
      </c>
      <c r="H431" s="1">
        <v>558</v>
      </c>
      <c r="I431" s="3">
        <v>46253</v>
      </c>
      <c r="J431" s="3">
        <v>46275</v>
      </c>
      <c r="K431" s="3" t="s">
        <v>2360</v>
      </c>
      <c r="L431" s="22">
        <v>46253.561527280093</v>
      </c>
      <c r="M431" s="20">
        <v>6</v>
      </c>
      <c r="N431" s="1">
        <v>51</v>
      </c>
    </row>
    <row r="432" spans="1:14" x14ac:dyDescent="0.25">
      <c r="A432" t="str">
        <f t="shared" si="14"/>
        <v>H171643H171643</v>
      </c>
      <c r="B432" t="str">
        <f t="shared" si="15"/>
        <v>H171643P6036SS-M</v>
      </c>
      <c r="C432" s="1" t="s">
        <v>52</v>
      </c>
      <c r="D432" s="1" t="s">
        <v>534</v>
      </c>
      <c r="E432" s="1" t="s">
        <v>501</v>
      </c>
      <c r="F432" s="1" t="s">
        <v>502</v>
      </c>
      <c r="G432" s="1" t="s">
        <v>404</v>
      </c>
      <c r="H432" s="1">
        <v>558</v>
      </c>
      <c r="I432" s="3">
        <v>46253</v>
      </c>
      <c r="J432" s="3">
        <v>46275</v>
      </c>
      <c r="K432" s="3" t="s">
        <v>2360</v>
      </c>
      <c r="L432" s="22">
        <v>46253.563000347218</v>
      </c>
      <c r="M432" s="20">
        <v>6</v>
      </c>
      <c r="N432" s="1">
        <v>70</v>
      </c>
    </row>
    <row r="433" spans="1:14" x14ac:dyDescent="0.25">
      <c r="A433" t="str">
        <f t="shared" si="14"/>
        <v>H171643H171643</v>
      </c>
      <c r="B433" t="str">
        <f t="shared" si="15"/>
        <v>H171643P6036SS-M</v>
      </c>
      <c r="C433" s="1" t="s">
        <v>52</v>
      </c>
      <c r="D433" s="1" t="s">
        <v>534</v>
      </c>
      <c r="E433" s="1" t="s">
        <v>501</v>
      </c>
      <c r="F433" s="1" t="s">
        <v>502</v>
      </c>
      <c r="G433" s="1" t="s">
        <v>404</v>
      </c>
      <c r="H433" s="1">
        <v>558</v>
      </c>
      <c r="I433" s="3">
        <v>46253</v>
      </c>
      <c r="J433" s="3">
        <v>46275</v>
      </c>
      <c r="K433" s="3" t="s">
        <v>2360</v>
      </c>
      <c r="L433" s="22">
        <v>46253.563127858797</v>
      </c>
      <c r="M433" s="20">
        <v>6</v>
      </c>
      <c r="N433" s="1">
        <v>71</v>
      </c>
    </row>
    <row r="434" spans="1:14" x14ac:dyDescent="0.25">
      <c r="A434" t="str">
        <f t="shared" si="14"/>
        <v>H171643H171643</v>
      </c>
      <c r="B434" t="str">
        <f t="shared" si="15"/>
        <v>H171643P6036SS-M</v>
      </c>
      <c r="C434" s="1" t="s">
        <v>52</v>
      </c>
      <c r="D434" s="1" t="s">
        <v>534</v>
      </c>
      <c r="E434" s="1" t="s">
        <v>501</v>
      </c>
      <c r="F434" s="1" t="s">
        <v>502</v>
      </c>
      <c r="G434" s="1" t="s">
        <v>404</v>
      </c>
      <c r="H434" s="1">
        <v>558</v>
      </c>
      <c r="I434" s="3">
        <v>46253</v>
      </c>
      <c r="J434" s="3">
        <v>46275</v>
      </c>
      <c r="K434" s="3" t="s">
        <v>2360</v>
      </c>
      <c r="L434" s="22">
        <v>46253.570396724535</v>
      </c>
      <c r="M434" s="20">
        <v>6</v>
      </c>
      <c r="N434" s="1">
        <v>29</v>
      </c>
    </row>
    <row r="435" spans="1:14" x14ac:dyDescent="0.25">
      <c r="A435" t="str">
        <f t="shared" si="14"/>
        <v>H171643H171643</v>
      </c>
      <c r="B435" t="str">
        <f t="shared" si="15"/>
        <v>H171643P6036SS-M</v>
      </c>
      <c r="C435" s="1" t="s">
        <v>52</v>
      </c>
      <c r="D435" s="1" t="s">
        <v>534</v>
      </c>
      <c r="E435" s="1" t="s">
        <v>501</v>
      </c>
      <c r="F435" s="1" t="s">
        <v>502</v>
      </c>
      <c r="G435" s="1" t="s">
        <v>404</v>
      </c>
      <c r="H435" s="1">
        <v>558</v>
      </c>
      <c r="I435" s="3">
        <v>46253</v>
      </c>
      <c r="J435" s="3">
        <v>46275</v>
      </c>
      <c r="K435" s="3" t="s">
        <v>2360</v>
      </c>
      <c r="L435" s="22">
        <v>46253.570600891202</v>
      </c>
      <c r="M435" s="20">
        <v>6</v>
      </c>
      <c r="N435" s="1">
        <v>67</v>
      </c>
    </row>
    <row r="436" spans="1:14" x14ac:dyDescent="0.25">
      <c r="A436" t="str">
        <f t="shared" si="14"/>
        <v>H171643H171643</v>
      </c>
      <c r="B436" t="str">
        <f t="shared" si="15"/>
        <v>H171643P6036SS-M</v>
      </c>
      <c r="C436" s="1" t="s">
        <v>52</v>
      </c>
      <c r="D436" s="1" t="s">
        <v>534</v>
      </c>
      <c r="E436" s="1" t="s">
        <v>501</v>
      </c>
      <c r="F436" s="1" t="s">
        <v>502</v>
      </c>
      <c r="G436" s="1" t="s">
        <v>404</v>
      </c>
      <c r="H436" s="1">
        <v>558</v>
      </c>
      <c r="I436" s="3">
        <v>46253</v>
      </c>
      <c r="J436" s="3">
        <v>46275</v>
      </c>
      <c r="K436" s="3" t="s">
        <v>2360</v>
      </c>
      <c r="L436" s="22">
        <v>46253.570921643513</v>
      </c>
      <c r="M436" s="20">
        <v>6</v>
      </c>
      <c r="N436" s="1">
        <v>66</v>
      </c>
    </row>
    <row r="437" spans="1:14" x14ac:dyDescent="0.25">
      <c r="A437" t="str">
        <f t="shared" si="14"/>
        <v>H171643H171643</v>
      </c>
      <c r="B437" t="str">
        <f t="shared" si="15"/>
        <v>H171643P6036SS-M</v>
      </c>
      <c r="C437" s="1" t="s">
        <v>52</v>
      </c>
      <c r="D437" s="1" t="s">
        <v>534</v>
      </c>
      <c r="E437" s="1" t="s">
        <v>501</v>
      </c>
      <c r="F437" s="1" t="s">
        <v>502</v>
      </c>
      <c r="G437" s="1" t="s">
        <v>404</v>
      </c>
      <c r="H437" s="1">
        <v>558</v>
      </c>
      <c r="I437" s="3">
        <v>46253</v>
      </c>
      <c r="J437" s="3">
        <v>46275</v>
      </c>
      <c r="K437" s="3" t="s">
        <v>2360</v>
      </c>
      <c r="L437" s="22">
        <v>46253.571233530092</v>
      </c>
      <c r="M437" s="20">
        <v>6</v>
      </c>
      <c r="N437" s="1">
        <v>16</v>
      </c>
    </row>
    <row r="438" spans="1:14" x14ac:dyDescent="0.25">
      <c r="A438" t="str">
        <f t="shared" si="14"/>
        <v>H171643H171643</v>
      </c>
      <c r="B438" t="str">
        <f t="shared" si="15"/>
        <v>H171643P6036SS-M</v>
      </c>
      <c r="C438" s="1" t="s">
        <v>52</v>
      </c>
      <c r="D438" s="1" t="s">
        <v>534</v>
      </c>
      <c r="E438" s="1" t="s">
        <v>501</v>
      </c>
      <c r="F438" s="1" t="s">
        <v>502</v>
      </c>
      <c r="G438" s="1" t="s">
        <v>404</v>
      </c>
      <c r="H438" s="1">
        <v>558</v>
      </c>
      <c r="I438" s="3">
        <v>46253</v>
      </c>
      <c r="J438" s="3">
        <v>46275</v>
      </c>
      <c r="K438" s="3" t="s">
        <v>2360</v>
      </c>
      <c r="L438" s="22">
        <v>46253.571469178241</v>
      </c>
      <c r="M438" s="20">
        <v>6</v>
      </c>
      <c r="N438" s="1">
        <v>19</v>
      </c>
    </row>
    <row r="439" spans="1:14" x14ac:dyDescent="0.25">
      <c r="A439" t="str">
        <f t="shared" si="14"/>
        <v>H171643H171643</v>
      </c>
      <c r="B439" t="str">
        <f t="shared" si="15"/>
        <v>H171643P6036SS-M</v>
      </c>
      <c r="C439" s="1" t="s">
        <v>52</v>
      </c>
      <c r="D439" s="1" t="s">
        <v>534</v>
      </c>
      <c r="E439" s="1" t="s">
        <v>501</v>
      </c>
      <c r="F439" s="1" t="s">
        <v>502</v>
      </c>
      <c r="G439" s="1" t="s">
        <v>404</v>
      </c>
      <c r="H439" s="1">
        <v>558</v>
      </c>
      <c r="I439" s="3">
        <v>46253</v>
      </c>
      <c r="J439" s="3">
        <v>46275</v>
      </c>
      <c r="K439" s="3" t="s">
        <v>2360</v>
      </c>
      <c r="L439" s="22">
        <v>46253.571668946759</v>
      </c>
      <c r="M439" s="20">
        <v>6</v>
      </c>
      <c r="N439" s="1">
        <v>20</v>
      </c>
    </row>
    <row r="440" spans="1:14" x14ac:dyDescent="0.25">
      <c r="A440" t="str">
        <f t="shared" si="14"/>
        <v>H171643H171643</v>
      </c>
      <c r="B440" t="str">
        <f t="shared" si="15"/>
        <v>H171643P6036SS-M</v>
      </c>
      <c r="C440" s="1" t="s">
        <v>52</v>
      </c>
      <c r="D440" s="1" t="s">
        <v>534</v>
      </c>
      <c r="E440" s="1" t="s">
        <v>501</v>
      </c>
      <c r="F440" s="1" t="s">
        <v>502</v>
      </c>
      <c r="G440" s="1" t="s">
        <v>404</v>
      </c>
      <c r="H440" s="1">
        <v>558</v>
      </c>
      <c r="I440" s="3">
        <v>46253</v>
      </c>
      <c r="J440" s="3">
        <v>46275</v>
      </c>
      <c r="K440" s="3" t="s">
        <v>2360</v>
      </c>
      <c r="L440" s="22">
        <v>46253.571914386572</v>
      </c>
      <c r="M440" s="20">
        <v>6</v>
      </c>
      <c r="N440" s="1">
        <v>1</v>
      </c>
    </row>
    <row r="441" spans="1:14" x14ac:dyDescent="0.25">
      <c r="A441" t="str">
        <f t="shared" si="14"/>
        <v>H171643H171643</v>
      </c>
      <c r="B441" t="str">
        <f t="shared" si="15"/>
        <v>H171643P6036SS-M</v>
      </c>
      <c r="C441" s="1" t="s">
        <v>52</v>
      </c>
      <c r="D441" s="1" t="s">
        <v>534</v>
      </c>
      <c r="E441" s="1" t="s">
        <v>501</v>
      </c>
      <c r="F441" s="1" t="s">
        <v>502</v>
      </c>
      <c r="G441" s="1" t="s">
        <v>404</v>
      </c>
      <c r="H441" s="1">
        <v>558</v>
      </c>
      <c r="I441" s="3">
        <v>46253</v>
      </c>
      <c r="J441" s="3">
        <v>46275</v>
      </c>
      <c r="K441" s="3" t="s">
        <v>2360</v>
      </c>
      <c r="L441" s="22">
        <v>46253.572179166666</v>
      </c>
      <c r="M441" s="20">
        <v>6</v>
      </c>
      <c r="N441" s="1">
        <v>52</v>
      </c>
    </row>
    <row r="442" spans="1:14" x14ac:dyDescent="0.25">
      <c r="A442" t="str">
        <f t="shared" si="14"/>
        <v>H171643H171643</v>
      </c>
      <c r="B442" t="str">
        <f t="shared" si="15"/>
        <v>H171643P6036SS-M</v>
      </c>
      <c r="C442" s="1" t="s">
        <v>52</v>
      </c>
      <c r="D442" s="1" t="s">
        <v>534</v>
      </c>
      <c r="E442" s="1" t="s">
        <v>501</v>
      </c>
      <c r="F442" s="1" t="s">
        <v>502</v>
      </c>
      <c r="G442" s="1" t="s">
        <v>404</v>
      </c>
      <c r="H442" s="1">
        <v>558</v>
      </c>
      <c r="I442" s="3">
        <v>46253</v>
      </c>
      <c r="J442" s="3">
        <v>46275</v>
      </c>
      <c r="K442" s="3" t="s">
        <v>2360</v>
      </c>
      <c r="L442" s="22">
        <v>46253.572533136576</v>
      </c>
      <c r="M442" s="20">
        <v>6</v>
      </c>
      <c r="N442" s="1">
        <v>40</v>
      </c>
    </row>
    <row r="443" spans="1:14" x14ac:dyDescent="0.25">
      <c r="A443" t="str">
        <f t="shared" si="14"/>
        <v>H171643H171643</v>
      </c>
      <c r="B443" t="str">
        <f t="shared" si="15"/>
        <v>H171643P6036SS-M</v>
      </c>
      <c r="C443" s="1" t="s">
        <v>52</v>
      </c>
      <c r="D443" s="1" t="s">
        <v>534</v>
      </c>
      <c r="E443" s="1" t="s">
        <v>501</v>
      </c>
      <c r="F443" s="1" t="s">
        <v>502</v>
      </c>
      <c r="G443" s="1" t="s">
        <v>404</v>
      </c>
      <c r="H443" s="1">
        <v>558</v>
      </c>
      <c r="I443" s="3">
        <v>46253</v>
      </c>
      <c r="J443" s="3">
        <v>46275</v>
      </c>
      <c r="K443" s="3" t="s">
        <v>2360</v>
      </c>
      <c r="L443" s="22">
        <v>46253.617084722224</v>
      </c>
      <c r="M443" s="20">
        <v>6</v>
      </c>
      <c r="N443" s="1">
        <v>30</v>
      </c>
    </row>
    <row r="444" spans="1:14" x14ac:dyDescent="0.25">
      <c r="A444" t="str">
        <f t="shared" si="14"/>
        <v>78769107876910</v>
      </c>
      <c r="B444" t="str">
        <f t="shared" si="15"/>
        <v>7876910M997H23Y-D</v>
      </c>
      <c r="C444" s="1" t="s">
        <v>475</v>
      </c>
      <c r="D444" s="1" t="s">
        <v>538</v>
      </c>
      <c r="E444" s="1" t="s">
        <v>385</v>
      </c>
      <c r="F444" s="1" t="s">
        <v>386</v>
      </c>
      <c r="G444" s="1" t="s">
        <v>387</v>
      </c>
      <c r="H444" s="1">
        <v>1836</v>
      </c>
      <c r="I444" s="3">
        <v>46254</v>
      </c>
      <c r="J444" s="3">
        <v>46273</v>
      </c>
      <c r="K444" s="3" t="s">
        <v>2354</v>
      </c>
      <c r="L444" s="22">
        <v>46254.448097881941</v>
      </c>
      <c r="M444" s="20">
        <v>12</v>
      </c>
      <c r="N444" s="1">
        <v>98</v>
      </c>
    </row>
    <row r="445" spans="1:14" x14ac:dyDescent="0.25">
      <c r="A445" t="str">
        <f t="shared" si="14"/>
        <v>78769107876910</v>
      </c>
      <c r="B445" t="str">
        <f t="shared" si="15"/>
        <v>7876910M997H23Y-D</v>
      </c>
      <c r="C445" s="1" t="s">
        <v>475</v>
      </c>
      <c r="D445" s="1" t="s">
        <v>538</v>
      </c>
      <c r="E445" s="1" t="s">
        <v>385</v>
      </c>
      <c r="F445" s="1" t="s">
        <v>386</v>
      </c>
      <c r="G445" s="1" t="s">
        <v>387</v>
      </c>
      <c r="H445" s="1">
        <v>1836</v>
      </c>
      <c r="I445" s="3">
        <v>46254</v>
      </c>
      <c r="J445" s="3">
        <v>46273</v>
      </c>
      <c r="K445" s="3" t="s">
        <v>2354</v>
      </c>
      <c r="L445" s="22">
        <v>46254.448353506945</v>
      </c>
      <c r="M445" s="20">
        <v>12</v>
      </c>
      <c r="N445" s="1">
        <v>120</v>
      </c>
    </row>
    <row r="446" spans="1:14" x14ac:dyDescent="0.25">
      <c r="A446" t="str">
        <f t="shared" si="14"/>
        <v>78769107876910</v>
      </c>
      <c r="B446" t="str">
        <f t="shared" si="15"/>
        <v>7876910M997H23Y-D</v>
      </c>
      <c r="C446" s="1" t="s">
        <v>475</v>
      </c>
      <c r="D446" s="1" t="s">
        <v>538</v>
      </c>
      <c r="E446" s="1" t="s">
        <v>385</v>
      </c>
      <c r="F446" s="1" t="s">
        <v>386</v>
      </c>
      <c r="G446" s="1" t="s">
        <v>387</v>
      </c>
      <c r="H446" s="1">
        <v>1836</v>
      </c>
      <c r="I446" s="3">
        <v>46254</v>
      </c>
      <c r="J446" s="3">
        <v>46273</v>
      </c>
      <c r="K446" s="3" t="s">
        <v>2354</v>
      </c>
      <c r="L446" s="22">
        <v>46254.47286134259</v>
      </c>
      <c r="M446" s="20">
        <v>12</v>
      </c>
      <c r="N446" s="1">
        <v>82</v>
      </c>
    </row>
    <row r="447" spans="1:14" x14ac:dyDescent="0.25">
      <c r="A447" t="str">
        <f t="shared" si="14"/>
        <v>78769107876910</v>
      </c>
      <c r="B447" t="str">
        <f t="shared" si="15"/>
        <v>7876910M997H23Y-D</v>
      </c>
      <c r="C447" s="1" t="s">
        <v>475</v>
      </c>
      <c r="D447" s="1" t="s">
        <v>538</v>
      </c>
      <c r="E447" s="1" t="s">
        <v>385</v>
      </c>
      <c r="F447" s="1" t="s">
        <v>386</v>
      </c>
      <c r="G447" s="1" t="s">
        <v>387</v>
      </c>
      <c r="H447" s="1">
        <v>1836</v>
      </c>
      <c r="I447" s="3">
        <v>46254</v>
      </c>
      <c r="J447" s="3">
        <v>46273</v>
      </c>
      <c r="K447" s="3" t="s">
        <v>2354</v>
      </c>
      <c r="L447" s="22">
        <v>46254.473212881945</v>
      </c>
      <c r="M447" s="20">
        <v>12</v>
      </c>
      <c r="N447" s="1">
        <v>67</v>
      </c>
    </row>
    <row r="448" spans="1:14" x14ac:dyDescent="0.25">
      <c r="A448" t="str">
        <f t="shared" si="14"/>
        <v>78769107876910</v>
      </c>
      <c r="B448" t="str">
        <f t="shared" si="15"/>
        <v>7876910M997H23Y-D</v>
      </c>
      <c r="C448" s="1" t="s">
        <v>475</v>
      </c>
      <c r="D448" s="1" t="s">
        <v>538</v>
      </c>
      <c r="E448" s="1" t="s">
        <v>385</v>
      </c>
      <c r="F448" s="1" t="s">
        <v>386</v>
      </c>
      <c r="G448" s="1" t="s">
        <v>387</v>
      </c>
      <c r="H448" s="1">
        <v>1836</v>
      </c>
      <c r="I448" s="3">
        <v>46254</v>
      </c>
      <c r="J448" s="3">
        <v>46273</v>
      </c>
      <c r="K448" s="3" t="s">
        <v>2354</v>
      </c>
      <c r="L448" s="22">
        <v>46254.474111192125</v>
      </c>
      <c r="M448" s="20">
        <v>12</v>
      </c>
      <c r="N448" s="1">
        <v>119</v>
      </c>
    </row>
    <row r="449" spans="1:14" x14ac:dyDescent="0.25">
      <c r="A449" t="str">
        <f t="shared" si="14"/>
        <v>78769107876910</v>
      </c>
      <c r="B449" t="str">
        <f t="shared" si="15"/>
        <v>7876910M997H23Y-D</v>
      </c>
      <c r="C449" s="1" t="s">
        <v>475</v>
      </c>
      <c r="D449" s="1" t="s">
        <v>538</v>
      </c>
      <c r="E449" s="1" t="s">
        <v>385</v>
      </c>
      <c r="F449" s="1" t="s">
        <v>386</v>
      </c>
      <c r="G449" s="1" t="s">
        <v>387</v>
      </c>
      <c r="H449" s="1">
        <v>1836</v>
      </c>
      <c r="I449" s="3">
        <v>46254</v>
      </c>
      <c r="J449" s="3">
        <v>46273</v>
      </c>
      <c r="K449" s="3" t="s">
        <v>2354</v>
      </c>
      <c r="L449" s="22">
        <v>46254.474435613425</v>
      </c>
      <c r="M449" s="20">
        <v>12</v>
      </c>
      <c r="N449" s="1">
        <v>89</v>
      </c>
    </row>
    <row r="450" spans="1:14" x14ac:dyDescent="0.25">
      <c r="A450" t="str">
        <f t="shared" ref="A450:A513" si="16">+D450&amp;D450</f>
        <v>78769107876910</v>
      </c>
      <c r="B450" t="str">
        <f t="shared" ref="B450:B513" si="17">+D450&amp;C450</f>
        <v>7876910M997H23Y-D</v>
      </c>
      <c r="C450" s="1" t="s">
        <v>475</v>
      </c>
      <c r="D450" s="1" t="s">
        <v>538</v>
      </c>
      <c r="E450" s="1" t="s">
        <v>385</v>
      </c>
      <c r="F450" s="1" t="s">
        <v>386</v>
      </c>
      <c r="G450" s="1" t="s">
        <v>387</v>
      </c>
      <c r="H450" s="1">
        <v>1836</v>
      </c>
      <c r="I450" s="3">
        <v>46254</v>
      </c>
      <c r="J450" s="3">
        <v>46273</v>
      </c>
      <c r="K450" s="3" t="s">
        <v>2354</v>
      </c>
      <c r="L450" s="22">
        <v>46254.475696990739</v>
      </c>
      <c r="M450" s="20">
        <v>12</v>
      </c>
      <c r="N450" s="1">
        <v>99</v>
      </c>
    </row>
    <row r="451" spans="1:14" x14ac:dyDescent="0.25">
      <c r="A451" t="str">
        <f t="shared" si="16"/>
        <v>78769107876910</v>
      </c>
      <c r="B451" t="str">
        <f t="shared" si="17"/>
        <v>7876910M997H23Y-D</v>
      </c>
      <c r="C451" s="1" t="s">
        <v>475</v>
      </c>
      <c r="D451" s="1" t="s">
        <v>538</v>
      </c>
      <c r="E451" s="1" t="s">
        <v>385</v>
      </c>
      <c r="F451" s="1" t="s">
        <v>386</v>
      </c>
      <c r="G451" s="1" t="s">
        <v>387</v>
      </c>
      <c r="H451" s="1">
        <v>1836</v>
      </c>
      <c r="I451" s="3">
        <v>46254</v>
      </c>
      <c r="J451" s="3">
        <v>46273</v>
      </c>
      <c r="K451" s="3" t="s">
        <v>2354</v>
      </c>
      <c r="L451" s="22">
        <v>46254.475982060183</v>
      </c>
      <c r="M451" s="20">
        <v>12</v>
      </c>
      <c r="N451" s="1">
        <v>97</v>
      </c>
    </row>
    <row r="452" spans="1:14" x14ac:dyDescent="0.25">
      <c r="A452" t="str">
        <f t="shared" si="16"/>
        <v>78769107876910</v>
      </c>
      <c r="B452" t="str">
        <f t="shared" si="17"/>
        <v>7876910M997H23Y-D</v>
      </c>
      <c r="C452" s="1" t="s">
        <v>475</v>
      </c>
      <c r="D452" s="1" t="s">
        <v>538</v>
      </c>
      <c r="E452" s="1" t="s">
        <v>385</v>
      </c>
      <c r="F452" s="1" t="s">
        <v>386</v>
      </c>
      <c r="G452" s="1" t="s">
        <v>387</v>
      </c>
      <c r="H452" s="1">
        <v>1836</v>
      </c>
      <c r="I452" s="3">
        <v>46254</v>
      </c>
      <c r="J452" s="3">
        <v>46273</v>
      </c>
      <c r="K452" s="3" t="s">
        <v>2354</v>
      </c>
      <c r="L452" s="22">
        <v>46254.485798495371</v>
      </c>
      <c r="M452" s="20">
        <v>12</v>
      </c>
      <c r="N452" s="1">
        <v>16</v>
      </c>
    </row>
    <row r="453" spans="1:14" x14ac:dyDescent="0.25">
      <c r="A453" t="str">
        <f t="shared" si="16"/>
        <v>78769107876910</v>
      </c>
      <c r="B453" t="str">
        <f t="shared" si="17"/>
        <v>7876910M997H23Y-D</v>
      </c>
      <c r="C453" s="1" t="s">
        <v>475</v>
      </c>
      <c r="D453" s="1" t="s">
        <v>538</v>
      </c>
      <c r="E453" s="1" t="s">
        <v>385</v>
      </c>
      <c r="F453" s="1" t="s">
        <v>386</v>
      </c>
      <c r="G453" s="1" t="s">
        <v>387</v>
      </c>
      <c r="H453" s="1">
        <v>1836</v>
      </c>
      <c r="I453" s="3">
        <v>46254</v>
      </c>
      <c r="J453" s="3">
        <v>46273</v>
      </c>
      <c r="K453" s="3" t="s">
        <v>2354</v>
      </c>
      <c r="L453" s="22">
        <v>46254.566587002315</v>
      </c>
      <c r="M453" s="20">
        <v>12</v>
      </c>
      <c r="N453" s="1">
        <v>78</v>
      </c>
    </row>
    <row r="454" spans="1:14" x14ac:dyDescent="0.25">
      <c r="A454" t="str">
        <f t="shared" si="16"/>
        <v>78769107876910</v>
      </c>
      <c r="B454" t="str">
        <f t="shared" si="17"/>
        <v>7876910M997H23Y-D</v>
      </c>
      <c r="C454" s="1" t="s">
        <v>475</v>
      </c>
      <c r="D454" s="1" t="s">
        <v>538</v>
      </c>
      <c r="E454" s="1" t="s">
        <v>385</v>
      </c>
      <c r="F454" s="1" t="s">
        <v>386</v>
      </c>
      <c r="G454" s="1" t="s">
        <v>387</v>
      </c>
      <c r="H454" s="1">
        <v>1836</v>
      </c>
      <c r="I454" s="3">
        <v>46254</v>
      </c>
      <c r="J454" s="3">
        <v>46273</v>
      </c>
      <c r="K454" s="3" t="s">
        <v>2354</v>
      </c>
      <c r="L454" s="22">
        <v>46254.566912418981</v>
      </c>
      <c r="M454" s="20">
        <v>12</v>
      </c>
      <c r="N454" s="1">
        <v>38</v>
      </c>
    </row>
    <row r="455" spans="1:14" x14ac:dyDescent="0.25">
      <c r="A455" t="str">
        <f t="shared" si="16"/>
        <v>78769107876910</v>
      </c>
      <c r="B455" t="str">
        <f t="shared" si="17"/>
        <v>7876910M997H23Y-D</v>
      </c>
      <c r="C455" s="1" t="s">
        <v>475</v>
      </c>
      <c r="D455" s="1" t="s">
        <v>538</v>
      </c>
      <c r="E455" s="1" t="s">
        <v>385</v>
      </c>
      <c r="F455" s="1" t="s">
        <v>386</v>
      </c>
      <c r="G455" s="1" t="s">
        <v>387</v>
      </c>
      <c r="H455" s="1">
        <v>1836</v>
      </c>
      <c r="I455" s="3">
        <v>46254</v>
      </c>
      <c r="J455" s="3">
        <v>46273</v>
      </c>
      <c r="K455" s="3" t="s">
        <v>2354</v>
      </c>
      <c r="L455" s="22">
        <v>46254.567444479166</v>
      </c>
      <c r="M455" s="20">
        <v>12</v>
      </c>
      <c r="N455" s="1">
        <v>66</v>
      </c>
    </row>
    <row r="456" spans="1:14" x14ac:dyDescent="0.25">
      <c r="A456" t="str">
        <f t="shared" si="16"/>
        <v>78769107876910</v>
      </c>
      <c r="B456" t="str">
        <f t="shared" si="17"/>
        <v>7876910M997H23Y-D</v>
      </c>
      <c r="C456" s="1" t="s">
        <v>475</v>
      </c>
      <c r="D456" s="1" t="s">
        <v>538</v>
      </c>
      <c r="E456" s="1" t="s">
        <v>385</v>
      </c>
      <c r="F456" s="1" t="s">
        <v>386</v>
      </c>
      <c r="G456" s="1" t="s">
        <v>387</v>
      </c>
      <c r="H456" s="1">
        <v>1836</v>
      </c>
      <c r="I456" s="3">
        <v>46254</v>
      </c>
      <c r="J456" s="3">
        <v>46273</v>
      </c>
      <c r="K456" s="3" t="s">
        <v>2354</v>
      </c>
      <c r="L456" s="22">
        <v>46254.568063344908</v>
      </c>
      <c r="M456" s="20">
        <v>12</v>
      </c>
      <c r="N456" s="1">
        <v>24</v>
      </c>
    </row>
    <row r="457" spans="1:14" x14ac:dyDescent="0.25">
      <c r="A457" t="str">
        <f t="shared" si="16"/>
        <v>78769107876910</v>
      </c>
      <c r="B457" t="str">
        <f t="shared" si="17"/>
        <v>7876910M997H23Y-D</v>
      </c>
      <c r="C457" s="1" t="s">
        <v>475</v>
      </c>
      <c r="D457" s="1" t="s">
        <v>538</v>
      </c>
      <c r="E457" s="1" t="s">
        <v>385</v>
      </c>
      <c r="F457" s="1" t="s">
        <v>386</v>
      </c>
      <c r="G457" s="1" t="s">
        <v>387</v>
      </c>
      <c r="H457" s="1">
        <v>1836</v>
      </c>
      <c r="I457" s="3">
        <v>46254</v>
      </c>
      <c r="J457" s="3">
        <v>46273</v>
      </c>
      <c r="K457" s="3" t="s">
        <v>2354</v>
      </c>
      <c r="L457" s="22">
        <v>46254.578922071756</v>
      </c>
      <c r="M457" s="20">
        <v>12</v>
      </c>
      <c r="N457" s="1">
        <v>130</v>
      </c>
    </row>
    <row r="458" spans="1:14" x14ac:dyDescent="0.25">
      <c r="A458" t="str">
        <f t="shared" si="16"/>
        <v>78769107876910</v>
      </c>
      <c r="B458" t="str">
        <f t="shared" si="17"/>
        <v>7876910M997H23Y-D</v>
      </c>
      <c r="C458" s="1" t="s">
        <v>475</v>
      </c>
      <c r="D458" s="1" t="s">
        <v>538</v>
      </c>
      <c r="E458" s="1" t="s">
        <v>385</v>
      </c>
      <c r="F458" s="1" t="s">
        <v>386</v>
      </c>
      <c r="G458" s="1" t="s">
        <v>387</v>
      </c>
      <c r="H458" s="1">
        <v>1836</v>
      </c>
      <c r="I458" s="3">
        <v>46254</v>
      </c>
      <c r="J458" s="3">
        <v>46273</v>
      </c>
      <c r="K458" s="3" t="s">
        <v>2354</v>
      </c>
      <c r="L458" s="22">
        <v>46254.579383599536</v>
      </c>
      <c r="M458" s="20">
        <v>12</v>
      </c>
      <c r="N458" s="1">
        <v>15</v>
      </c>
    </row>
    <row r="459" spans="1:14" x14ac:dyDescent="0.25">
      <c r="A459" t="str">
        <f t="shared" si="16"/>
        <v>78769107876910</v>
      </c>
      <c r="B459" t="str">
        <f t="shared" si="17"/>
        <v>7876910M997H23Y-D</v>
      </c>
      <c r="C459" s="1" t="s">
        <v>475</v>
      </c>
      <c r="D459" s="1" t="s">
        <v>538</v>
      </c>
      <c r="E459" s="1" t="s">
        <v>385</v>
      </c>
      <c r="F459" s="1" t="s">
        <v>386</v>
      </c>
      <c r="G459" s="1" t="s">
        <v>387</v>
      </c>
      <c r="H459" s="1">
        <v>1836</v>
      </c>
      <c r="I459" s="3">
        <v>46254</v>
      </c>
      <c r="J459" s="3">
        <v>46273</v>
      </c>
      <c r="K459" s="3" t="s">
        <v>2354</v>
      </c>
      <c r="L459" s="22">
        <v>46254.590949108795</v>
      </c>
      <c r="M459" s="20">
        <v>12</v>
      </c>
      <c r="N459" s="1">
        <v>60</v>
      </c>
    </row>
    <row r="460" spans="1:14" x14ac:dyDescent="0.25">
      <c r="A460" t="str">
        <f t="shared" si="16"/>
        <v>78769107876910</v>
      </c>
      <c r="B460" t="str">
        <f t="shared" si="17"/>
        <v>7876910M997H23Y-D</v>
      </c>
      <c r="C460" s="1" t="s">
        <v>475</v>
      </c>
      <c r="D460" s="1" t="s">
        <v>538</v>
      </c>
      <c r="E460" s="1" t="s">
        <v>385</v>
      </c>
      <c r="F460" s="1" t="s">
        <v>386</v>
      </c>
      <c r="G460" s="1" t="s">
        <v>387</v>
      </c>
      <c r="H460" s="1">
        <v>1836</v>
      </c>
      <c r="I460" s="3">
        <v>46254</v>
      </c>
      <c r="J460" s="3">
        <v>46273</v>
      </c>
      <c r="K460" s="3" t="s">
        <v>2354</v>
      </c>
      <c r="L460" s="22">
        <v>46254.591559918983</v>
      </c>
      <c r="M460" s="20">
        <v>12</v>
      </c>
      <c r="N460" s="1">
        <v>51</v>
      </c>
    </row>
    <row r="461" spans="1:14" x14ac:dyDescent="0.25">
      <c r="A461" t="str">
        <f t="shared" si="16"/>
        <v>78769107876910</v>
      </c>
      <c r="B461" t="str">
        <f t="shared" si="17"/>
        <v>7876910M997H23Y-D</v>
      </c>
      <c r="C461" s="1" t="s">
        <v>475</v>
      </c>
      <c r="D461" s="1" t="s">
        <v>538</v>
      </c>
      <c r="E461" s="1" t="s">
        <v>385</v>
      </c>
      <c r="F461" s="1" t="s">
        <v>386</v>
      </c>
      <c r="G461" s="1" t="s">
        <v>387</v>
      </c>
      <c r="H461" s="1">
        <v>1836</v>
      </c>
      <c r="I461" s="3">
        <v>46254</v>
      </c>
      <c r="J461" s="3">
        <v>46273</v>
      </c>
      <c r="K461" s="3" t="s">
        <v>2354</v>
      </c>
      <c r="L461" s="22">
        <v>46254.604014548611</v>
      </c>
      <c r="M461" s="20">
        <v>12</v>
      </c>
      <c r="N461" s="1">
        <v>23</v>
      </c>
    </row>
    <row r="462" spans="1:14" x14ac:dyDescent="0.25">
      <c r="A462" t="str">
        <f t="shared" si="16"/>
        <v>78769107876910</v>
      </c>
      <c r="B462" t="str">
        <f t="shared" si="17"/>
        <v>7876910M997H23Y-D</v>
      </c>
      <c r="C462" s="1" t="s">
        <v>475</v>
      </c>
      <c r="D462" s="1" t="s">
        <v>538</v>
      </c>
      <c r="E462" s="1" t="s">
        <v>385</v>
      </c>
      <c r="F462" s="1" t="s">
        <v>386</v>
      </c>
      <c r="G462" s="1" t="s">
        <v>387</v>
      </c>
      <c r="H462" s="1">
        <v>1836</v>
      </c>
      <c r="I462" s="3">
        <v>46254</v>
      </c>
      <c r="J462" s="3">
        <v>46273</v>
      </c>
      <c r="K462" s="3" t="s">
        <v>2354</v>
      </c>
      <c r="L462" s="22">
        <v>46254.604218437496</v>
      </c>
      <c r="M462" s="20">
        <v>12</v>
      </c>
      <c r="N462" s="1">
        <v>87</v>
      </c>
    </row>
    <row r="463" spans="1:14" x14ac:dyDescent="0.25">
      <c r="A463" t="str">
        <f t="shared" si="16"/>
        <v>78769107876910</v>
      </c>
      <c r="B463" t="str">
        <f t="shared" si="17"/>
        <v>7876910M997H23Y-D</v>
      </c>
      <c r="C463" s="1" t="s">
        <v>475</v>
      </c>
      <c r="D463" s="1" t="s">
        <v>538</v>
      </c>
      <c r="E463" s="1" t="s">
        <v>385</v>
      </c>
      <c r="F463" s="1" t="s">
        <v>386</v>
      </c>
      <c r="G463" s="1" t="s">
        <v>387</v>
      </c>
      <c r="H463" s="1">
        <v>1836</v>
      </c>
      <c r="I463" s="3">
        <v>46254</v>
      </c>
      <c r="J463" s="3">
        <v>46273</v>
      </c>
      <c r="K463" s="3" t="s">
        <v>2354</v>
      </c>
      <c r="L463" s="22">
        <v>46254.604397800926</v>
      </c>
      <c r="M463" s="20">
        <v>12</v>
      </c>
      <c r="N463" s="1">
        <v>37</v>
      </c>
    </row>
    <row r="464" spans="1:14" x14ac:dyDescent="0.25">
      <c r="A464" t="str">
        <f t="shared" si="16"/>
        <v>78769107876910</v>
      </c>
      <c r="B464" t="str">
        <f t="shared" si="17"/>
        <v>7876910M997H23Y-D</v>
      </c>
      <c r="C464" s="1" t="s">
        <v>475</v>
      </c>
      <c r="D464" s="1" t="s">
        <v>538</v>
      </c>
      <c r="E464" s="1" t="s">
        <v>385</v>
      </c>
      <c r="F464" s="1" t="s">
        <v>386</v>
      </c>
      <c r="G464" s="1" t="s">
        <v>387</v>
      </c>
      <c r="H464" s="1">
        <v>1836</v>
      </c>
      <c r="I464" s="3">
        <v>46254</v>
      </c>
      <c r="J464" s="3">
        <v>46273</v>
      </c>
      <c r="K464" s="3" t="s">
        <v>2354</v>
      </c>
      <c r="L464" s="22">
        <v>46254.604978622687</v>
      </c>
      <c r="M464" s="20">
        <v>12</v>
      </c>
      <c r="N464" s="1">
        <v>61</v>
      </c>
    </row>
    <row r="465" spans="1:14" x14ac:dyDescent="0.25">
      <c r="A465" t="str">
        <f t="shared" si="16"/>
        <v>78769107876910</v>
      </c>
      <c r="B465" t="str">
        <f t="shared" si="17"/>
        <v>7876910M997H23Y-D</v>
      </c>
      <c r="C465" s="1" t="s">
        <v>475</v>
      </c>
      <c r="D465" s="1" t="s">
        <v>538</v>
      </c>
      <c r="E465" s="1" t="s">
        <v>385</v>
      </c>
      <c r="F465" s="1" t="s">
        <v>386</v>
      </c>
      <c r="G465" s="1" t="s">
        <v>387</v>
      </c>
      <c r="H465" s="1">
        <v>1836</v>
      </c>
      <c r="I465" s="3">
        <v>46254</v>
      </c>
      <c r="J465" s="3">
        <v>46273</v>
      </c>
      <c r="K465" s="3" t="s">
        <v>2354</v>
      </c>
      <c r="L465" s="22">
        <v>46254.605203784718</v>
      </c>
      <c r="M465" s="20">
        <v>12</v>
      </c>
      <c r="N465" s="1">
        <v>50</v>
      </c>
    </row>
    <row r="466" spans="1:14" x14ac:dyDescent="0.25">
      <c r="A466" t="str">
        <f t="shared" si="16"/>
        <v>78769107876910</v>
      </c>
      <c r="B466" t="str">
        <f t="shared" si="17"/>
        <v>7876910M997H23Y-D</v>
      </c>
      <c r="C466" s="1" t="s">
        <v>475</v>
      </c>
      <c r="D466" s="1" t="s">
        <v>538</v>
      </c>
      <c r="E466" s="1" t="s">
        <v>385</v>
      </c>
      <c r="F466" s="1" t="s">
        <v>386</v>
      </c>
      <c r="G466" s="1" t="s">
        <v>387</v>
      </c>
      <c r="H466" s="1">
        <v>1836</v>
      </c>
      <c r="I466" s="3">
        <v>46254</v>
      </c>
      <c r="J466" s="3">
        <v>46273</v>
      </c>
      <c r="K466" s="3" t="s">
        <v>2354</v>
      </c>
      <c r="L466" s="22">
        <v>46254.617197418978</v>
      </c>
      <c r="M466" s="20">
        <v>12</v>
      </c>
      <c r="N466" s="1">
        <v>75</v>
      </c>
    </row>
    <row r="467" spans="1:14" x14ac:dyDescent="0.25">
      <c r="A467" t="str">
        <f t="shared" si="16"/>
        <v>78769107876910</v>
      </c>
      <c r="B467" t="str">
        <f t="shared" si="17"/>
        <v>7876910M997H23Y-D</v>
      </c>
      <c r="C467" s="1" t="s">
        <v>475</v>
      </c>
      <c r="D467" s="1" t="s">
        <v>538</v>
      </c>
      <c r="E467" s="1" t="s">
        <v>385</v>
      </c>
      <c r="F467" s="1" t="s">
        <v>386</v>
      </c>
      <c r="G467" s="1" t="s">
        <v>387</v>
      </c>
      <c r="H467" s="1">
        <v>1836</v>
      </c>
      <c r="I467" s="3">
        <v>46254</v>
      </c>
      <c r="J467" s="3">
        <v>46273</v>
      </c>
      <c r="K467" s="3" t="s">
        <v>2354</v>
      </c>
      <c r="L467" s="22">
        <v>46254.633869328703</v>
      </c>
      <c r="M467" s="20">
        <v>12</v>
      </c>
      <c r="N467" s="1">
        <v>22</v>
      </c>
    </row>
    <row r="468" spans="1:14" x14ac:dyDescent="0.25">
      <c r="A468" t="str">
        <f t="shared" si="16"/>
        <v>78769107876910</v>
      </c>
      <c r="B468" t="str">
        <f t="shared" si="17"/>
        <v>7876910M997H23Y-D</v>
      </c>
      <c r="C468" s="1" t="s">
        <v>475</v>
      </c>
      <c r="D468" s="1" t="s">
        <v>538</v>
      </c>
      <c r="E468" s="1" t="s">
        <v>385</v>
      </c>
      <c r="F468" s="1" t="s">
        <v>386</v>
      </c>
      <c r="G468" s="1" t="s">
        <v>387</v>
      </c>
      <c r="H468" s="1">
        <v>1836</v>
      </c>
      <c r="I468" s="3">
        <v>46254</v>
      </c>
      <c r="J468" s="3">
        <v>46273</v>
      </c>
      <c r="K468" s="3" t="s">
        <v>2354</v>
      </c>
      <c r="L468" s="22">
        <v>46254.650370219904</v>
      </c>
      <c r="M468" s="20">
        <v>12</v>
      </c>
      <c r="N468" s="1">
        <v>129</v>
      </c>
    </row>
    <row r="469" spans="1:14" x14ac:dyDescent="0.25">
      <c r="A469" t="str">
        <f t="shared" si="16"/>
        <v>78769107876910</v>
      </c>
      <c r="B469" t="str">
        <f t="shared" si="17"/>
        <v>7876910M997H23Y-D</v>
      </c>
      <c r="C469" s="1" t="s">
        <v>475</v>
      </c>
      <c r="D469" s="1" t="s">
        <v>538</v>
      </c>
      <c r="E469" s="1" t="s">
        <v>385</v>
      </c>
      <c r="F469" s="1" t="s">
        <v>386</v>
      </c>
      <c r="G469" s="1" t="s">
        <v>387</v>
      </c>
      <c r="H469" s="1">
        <v>1836</v>
      </c>
      <c r="I469" s="3">
        <v>46254</v>
      </c>
      <c r="J469" s="3">
        <v>46273</v>
      </c>
      <c r="K469" s="3" t="s">
        <v>2354</v>
      </c>
      <c r="L469" s="22">
        <v>46254.651635416667</v>
      </c>
      <c r="M469" s="20">
        <v>12</v>
      </c>
      <c r="N469" s="1">
        <v>88</v>
      </c>
    </row>
    <row r="470" spans="1:14" x14ac:dyDescent="0.25">
      <c r="A470" t="str">
        <f t="shared" si="16"/>
        <v>78769107876910</v>
      </c>
      <c r="B470" t="str">
        <f t="shared" si="17"/>
        <v>7876910M997H23Y-D</v>
      </c>
      <c r="C470" s="1" t="s">
        <v>475</v>
      </c>
      <c r="D470" s="1" t="s">
        <v>538</v>
      </c>
      <c r="E470" s="1" t="s">
        <v>385</v>
      </c>
      <c r="F470" s="1" t="s">
        <v>386</v>
      </c>
      <c r="G470" s="1" t="s">
        <v>387</v>
      </c>
      <c r="H470" s="1">
        <v>1836</v>
      </c>
      <c r="I470" s="3">
        <v>46254</v>
      </c>
      <c r="J470" s="3">
        <v>46273</v>
      </c>
      <c r="K470" s="3" t="s">
        <v>2354</v>
      </c>
      <c r="L470" s="22">
        <v>46254.652372372686</v>
      </c>
      <c r="M470" s="20">
        <v>12</v>
      </c>
      <c r="N470" s="1">
        <v>53</v>
      </c>
    </row>
    <row r="471" spans="1:14" x14ac:dyDescent="0.25">
      <c r="A471" t="str">
        <f t="shared" si="16"/>
        <v>78769107876910</v>
      </c>
      <c r="B471" t="str">
        <f t="shared" si="17"/>
        <v>7876910M997H23Y-D</v>
      </c>
      <c r="C471" s="1" t="s">
        <v>475</v>
      </c>
      <c r="D471" s="1" t="s">
        <v>538</v>
      </c>
      <c r="E471" s="1" t="s">
        <v>385</v>
      </c>
      <c r="F471" s="1" t="s">
        <v>386</v>
      </c>
      <c r="G471" s="1" t="s">
        <v>387</v>
      </c>
      <c r="H471" s="1">
        <v>1836</v>
      </c>
      <c r="I471" s="3">
        <v>46254</v>
      </c>
      <c r="J471" s="3">
        <v>46273</v>
      </c>
      <c r="K471" s="3" t="s">
        <v>2354</v>
      </c>
      <c r="L471" s="22">
        <v>46254.652642789348</v>
      </c>
      <c r="M471" s="20">
        <v>12</v>
      </c>
      <c r="N471" s="1">
        <v>43</v>
      </c>
    </row>
    <row r="472" spans="1:14" x14ac:dyDescent="0.25">
      <c r="A472" t="str">
        <f t="shared" si="16"/>
        <v>78769107876910</v>
      </c>
      <c r="B472" t="str">
        <f t="shared" si="17"/>
        <v>7876910M997H23Y-D</v>
      </c>
      <c r="C472" s="1" t="s">
        <v>475</v>
      </c>
      <c r="D472" s="1" t="s">
        <v>538</v>
      </c>
      <c r="E472" s="1" t="s">
        <v>385</v>
      </c>
      <c r="F472" s="1" t="s">
        <v>386</v>
      </c>
      <c r="G472" s="1" t="s">
        <v>387</v>
      </c>
      <c r="H472" s="1">
        <v>1836</v>
      </c>
      <c r="I472" s="3">
        <v>46254</v>
      </c>
      <c r="J472" s="3">
        <v>46273</v>
      </c>
      <c r="K472" s="3" t="s">
        <v>2354</v>
      </c>
      <c r="L472" s="22">
        <v>46254.652815393514</v>
      </c>
      <c r="M472" s="20">
        <v>12</v>
      </c>
      <c r="N472" s="1">
        <v>25</v>
      </c>
    </row>
    <row r="473" spans="1:14" x14ac:dyDescent="0.25">
      <c r="A473" t="str">
        <f t="shared" si="16"/>
        <v>78769107876910</v>
      </c>
      <c r="B473" t="str">
        <f t="shared" si="17"/>
        <v>7876910M997H23Y-D</v>
      </c>
      <c r="C473" s="1" t="s">
        <v>475</v>
      </c>
      <c r="D473" s="1" t="s">
        <v>538</v>
      </c>
      <c r="E473" s="1" t="s">
        <v>385</v>
      </c>
      <c r="F473" s="1" t="s">
        <v>386</v>
      </c>
      <c r="G473" s="1" t="s">
        <v>387</v>
      </c>
      <c r="H473" s="1">
        <v>1836</v>
      </c>
      <c r="I473" s="3">
        <v>46254</v>
      </c>
      <c r="J473" s="3">
        <v>46273</v>
      </c>
      <c r="K473" s="3" t="s">
        <v>2354</v>
      </c>
      <c r="L473" s="22">
        <v>46254.65874097222</v>
      </c>
      <c r="M473" s="20">
        <v>12</v>
      </c>
      <c r="N473" s="1">
        <v>52</v>
      </c>
    </row>
    <row r="474" spans="1:14" x14ac:dyDescent="0.25">
      <c r="A474" t="str">
        <f t="shared" si="16"/>
        <v>78769107876910</v>
      </c>
      <c r="B474" t="str">
        <f t="shared" si="17"/>
        <v>7876910M997H23Y-D</v>
      </c>
      <c r="C474" s="1" t="s">
        <v>475</v>
      </c>
      <c r="D474" s="1" t="s">
        <v>538</v>
      </c>
      <c r="E474" s="1" t="s">
        <v>385</v>
      </c>
      <c r="F474" s="1" t="s">
        <v>386</v>
      </c>
      <c r="G474" s="1" t="s">
        <v>387</v>
      </c>
      <c r="H474" s="1">
        <v>1836</v>
      </c>
      <c r="I474" s="3">
        <v>46254</v>
      </c>
      <c r="J474" s="3">
        <v>46273</v>
      </c>
      <c r="K474" s="3" t="s">
        <v>2354</v>
      </c>
      <c r="L474" s="22">
        <v>46254.658921678238</v>
      </c>
      <c r="M474" s="20">
        <v>12</v>
      </c>
      <c r="N474" s="1">
        <v>40</v>
      </c>
    </row>
    <row r="475" spans="1:14" x14ac:dyDescent="0.25">
      <c r="A475" t="str">
        <f t="shared" si="16"/>
        <v>78769107876910</v>
      </c>
      <c r="B475" t="str">
        <f t="shared" si="17"/>
        <v>7876910M997H23Y-D</v>
      </c>
      <c r="C475" s="1" t="s">
        <v>475</v>
      </c>
      <c r="D475" s="1" t="s">
        <v>538</v>
      </c>
      <c r="E475" s="1" t="s">
        <v>385</v>
      </c>
      <c r="F475" s="1" t="s">
        <v>386</v>
      </c>
      <c r="G475" s="1" t="s">
        <v>387</v>
      </c>
      <c r="H475" s="1">
        <v>1836</v>
      </c>
      <c r="I475" s="3">
        <v>46254</v>
      </c>
      <c r="J475" s="3">
        <v>46273</v>
      </c>
      <c r="K475" s="3" t="s">
        <v>2354</v>
      </c>
      <c r="L475" s="22">
        <v>46254.659087152773</v>
      </c>
      <c r="M475" s="20">
        <v>12</v>
      </c>
      <c r="N475" s="1">
        <v>65</v>
      </c>
    </row>
    <row r="476" spans="1:14" x14ac:dyDescent="0.25">
      <c r="A476" t="str">
        <f t="shared" si="16"/>
        <v>78769107876910</v>
      </c>
      <c r="B476" t="str">
        <f t="shared" si="17"/>
        <v>7876910M997H23Y-D</v>
      </c>
      <c r="C476" s="1" t="s">
        <v>475</v>
      </c>
      <c r="D476" s="1" t="s">
        <v>538</v>
      </c>
      <c r="E476" s="1" t="s">
        <v>385</v>
      </c>
      <c r="F476" s="1" t="s">
        <v>386</v>
      </c>
      <c r="G476" s="1" t="s">
        <v>387</v>
      </c>
      <c r="H476" s="1">
        <v>1836</v>
      </c>
      <c r="I476" s="3">
        <v>46254</v>
      </c>
      <c r="J476" s="3">
        <v>46273</v>
      </c>
      <c r="K476" s="3" t="s">
        <v>2354</v>
      </c>
      <c r="L476" s="22">
        <v>46254.66995899305</v>
      </c>
      <c r="M476" s="20">
        <v>12</v>
      </c>
      <c r="N476" s="1">
        <v>79</v>
      </c>
    </row>
    <row r="477" spans="1:14" x14ac:dyDescent="0.25">
      <c r="A477" t="str">
        <f t="shared" si="16"/>
        <v>78769107876910</v>
      </c>
      <c r="B477" t="str">
        <f t="shared" si="17"/>
        <v>7876910M997H23Y-D</v>
      </c>
      <c r="C477" s="1" t="s">
        <v>475</v>
      </c>
      <c r="D477" s="1" t="s">
        <v>538</v>
      </c>
      <c r="E477" s="1" t="s">
        <v>385</v>
      </c>
      <c r="F477" s="1" t="s">
        <v>386</v>
      </c>
      <c r="G477" s="1" t="s">
        <v>387</v>
      </c>
      <c r="H477" s="1">
        <v>1836</v>
      </c>
      <c r="I477" s="3">
        <v>46254</v>
      </c>
      <c r="J477" s="3">
        <v>46273</v>
      </c>
      <c r="K477" s="3" t="s">
        <v>2354</v>
      </c>
      <c r="L477" s="22">
        <v>46254.670132789353</v>
      </c>
      <c r="M477" s="20">
        <v>12</v>
      </c>
      <c r="N477" s="1">
        <v>115</v>
      </c>
    </row>
    <row r="478" spans="1:14" x14ac:dyDescent="0.25">
      <c r="A478" t="str">
        <f t="shared" si="16"/>
        <v>78769107876910</v>
      </c>
      <c r="B478" t="str">
        <f t="shared" si="17"/>
        <v>7876910M997H23Y-D</v>
      </c>
      <c r="C478" s="1" t="s">
        <v>475</v>
      </c>
      <c r="D478" s="1" t="s">
        <v>538</v>
      </c>
      <c r="E478" s="1" t="s">
        <v>385</v>
      </c>
      <c r="F478" s="1" t="s">
        <v>386</v>
      </c>
      <c r="G478" s="1" t="s">
        <v>387</v>
      </c>
      <c r="H478" s="1">
        <v>1836</v>
      </c>
      <c r="I478" s="3">
        <v>46254</v>
      </c>
      <c r="J478" s="3">
        <v>46273</v>
      </c>
      <c r="K478" s="3" t="s">
        <v>2354</v>
      </c>
      <c r="L478" s="22">
        <v>46254.672973148146</v>
      </c>
      <c r="M478" s="20">
        <v>12</v>
      </c>
      <c r="N478" s="1">
        <v>63</v>
      </c>
    </row>
    <row r="479" spans="1:14" x14ac:dyDescent="0.25">
      <c r="A479" t="str">
        <f t="shared" si="16"/>
        <v>78769107876910</v>
      </c>
      <c r="B479" t="str">
        <f t="shared" si="17"/>
        <v>7876910M997H23Y-D</v>
      </c>
      <c r="C479" s="1" t="s">
        <v>475</v>
      </c>
      <c r="D479" s="1" t="s">
        <v>538</v>
      </c>
      <c r="E479" s="1" t="s">
        <v>385</v>
      </c>
      <c r="F479" s="1" t="s">
        <v>386</v>
      </c>
      <c r="G479" s="1" t="s">
        <v>387</v>
      </c>
      <c r="H479" s="1">
        <v>1836</v>
      </c>
      <c r="I479" s="3">
        <v>46254</v>
      </c>
      <c r="J479" s="3">
        <v>46273</v>
      </c>
      <c r="K479" s="3" t="s">
        <v>2354</v>
      </c>
      <c r="L479" s="22">
        <v>46254.673592326384</v>
      </c>
      <c r="M479" s="20">
        <v>12</v>
      </c>
      <c r="N479" s="1">
        <v>86</v>
      </c>
    </row>
    <row r="480" spans="1:14" x14ac:dyDescent="0.25">
      <c r="A480" t="str">
        <f t="shared" si="16"/>
        <v>78769107876910</v>
      </c>
      <c r="B480" t="str">
        <f t="shared" si="17"/>
        <v>7876910M997H23Y-D</v>
      </c>
      <c r="C480" s="1" t="s">
        <v>475</v>
      </c>
      <c r="D480" s="1" t="s">
        <v>538</v>
      </c>
      <c r="E480" s="1" t="s">
        <v>385</v>
      </c>
      <c r="F480" s="1" t="s">
        <v>386</v>
      </c>
      <c r="G480" s="1" t="s">
        <v>387</v>
      </c>
      <c r="H480" s="1">
        <v>1836</v>
      </c>
      <c r="I480" s="3">
        <v>46254</v>
      </c>
      <c r="J480" s="3">
        <v>46273</v>
      </c>
      <c r="K480" s="3" t="s">
        <v>2354</v>
      </c>
      <c r="L480" s="22">
        <v>46254.674046180553</v>
      </c>
      <c r="M480" s="20">
        <v>12</v>
      </c>
      <c r="N480" s="1">
        <v>74</v>
      </c>
    </row>
    <row r="481" spans="1:14" x14ac:dyDescent="0.25">
      <c r="A481" t="str">
        <f t="shared" si="16"/>
        <v>78769107876910</v>
      </c>
      <c r="B481" t="str">
        <f t="shared" si="17"/>
        <v>7876910M997H23Y-D</v>
      </c>
      <c r="C481" s="1" t="s">
        <v>475</v>
      </c>
      <c r="D481" s="1" t="s">
        <v>538</v>
      </c>
      <c r="E481" s="1" t="s">
        <v>385</v>
      </c>
      <c r="F481" s="1" t="s">
        <v>386</v>
      </c>
      <c r="G481" s="1" t="s">
        <v>387</v>
      </c>
      <c r="H481" s="1">
        <v>1836</v>
      </c>
      <c r="I481" s="3">
        <v>46254</v>
      </c>
      <c r="J481" s="3">
        <v>46273</v>
      </c>
      <c r="K481" s="3" t="s">
        <v>2354</v>
      </c>
      <c r="L481" s="22">
        <v>46254.681685995369</v>
      </c>
      <c r="M481" s="20">
        <v>12</v>
      </c>
      <c r="N481" s="1">
        <v>26</v>
      </c>
    </row>
    <row r="482" spans="1:14" x14ac:dyDescent="0.25">
      <c r="A482" t="str">
        <f t="shared" si="16"/>
        <v>78769107876910</v>
      </c>
      <c r="B482" t="str">
        <f t="shared" si="17"/>
        <v>7876910M997H23Y-D</v>
      </c>
      <c r="C482" s="1" t="s">
        <v>475</v>
      </c>
      <c r="D482" s="1" t="s">
        <v>538</v>
      </c>
      <c r="E482" s="1" t="s">
        <v>385</v>
      </c>
      <c r="F482" s="1" t="s">
        <v>386</v>
      </c>
      <c r="G482" s="1" t="s">
        <v>387</v>
      </c>
      <c r="H482" s="1">
        <v>1836</v>
      </c>
      <c r="I482" s="3">
        <v>46254</v>
      </c>
      <c r="J482" s="3">
        <v>46273</v>
      </c>
      <c r="K482" s="3" t="s">
        <v>2354</v>
      </c>
      <c r="L482" s="22">
        <v>46254.682201932868</v>
      </c>
      <c r="M482" s="20">
        <v>12</v>
      </c>
      <c r="N482" s="1">
        <v>9</v>
      </c>
    </row>
    <row r="483" spans="1:14" x14ac:dyDescent="0.25">
      <c r="A483" t="str">
        <f t="shared" si="16"/>
        <v>78769107876910</v>
      </c>
      <c r="B483" t="str">
        <f t="shared" si="17"/>
        <v>7876910M997H23Y-D</v>
      </c>
      <c r="C483" s="1" t="s">
        <v>475</v>
      </c>
      <c r="D483" s="1" t="s">
        <v>538</v>
      </c>
      <c r="E483" s="1" t="s">
        <v>385</v>
      </c>
      <c r="F483" s="1" t="s">
        <v>386</v>
      </c>
      <c r="G483" s="1" t="s">
        <v>387</v>
      </c>
      <c r="H483" s="1">
        <v>1836</v>
      </c>
      <c r="I483" s="3">
        <v>46254</v>
      </c>
      <c r="J483" s="3">
        <v>46273</v>
      </c>
      <c r="K483" s="3" t="s">
        <v>2354</v>
      </c>
      <c r="L483" s="22">
        <v>46254.682453437497</v>
      </c>
      <c r="M483" s="20">
        <v>12</v>
      </c>
      <c r="N483" s="1">
        <v>21</v>
      </c>
    </row>
    <row r="484" spans="1:14" x14ac:dyDescent="0.25">
      <c r="A484" t="str">
        <f t="shared" si="16"/>
        <v>78769107876910</v>
      </c>
      <c r="B484" t="str">
        <f t="shared" si="17"/>
        <v>7876910M997H23Y-D</v>
      </c>
      <c r="C484" s="1" t="s">
        <v>475</v>
      </c>
      <c r="D484" s="1" t="s">
        <v>538</v>
      </c>
      <c r="E484" s="1" t="s">
        <v>385</v>
      </c>
      <c r="F484" s="1" t="s">
        <v>386</v>
      </c>
      <c r="G484" s="1" t="s">
        <v>387</v>
      </c>
      <c r="H484" s="1">
        <v>1836</v>
      </c>
      <c r="I484" s="3">
        <v>46254</v>
      </c>
      <c r="J484" s="3">
        <v>46273</v>
      </c>
      <c r="K484" s="3" t="s">
        <v>2354</v>
      </c>
      <c r="L484" s="22">
        <v>46254.699862465277</v>
      </c>
      <c r="M484" s="20">
        <v>12</v>
      </c>
      <c r="N484" s="1">
        <v>77</v>
      </c>
    </row>
    <row r="485" spans="1:14" x14ac:dyDescent="0.25">
      <c r="A485" t="str">
        <f t="shared" si="16"/>
        <v>78769107876910</v>
      </c>
      <c r="B485" t="str">
        <f t="shared" si="17"/>
        <v>7876910M997H23Y-D</v>
      </c>
      <c r="C485" s="1" t="s">
        <v>475</v>
      </c>
      <c r="D485" s="1" t="s">
        <v>538</v>
      </c>
      <c r="E485" s="1" t="s">
        <v>385</v>
      </c>
      <c r="F485" s="1" t="s">
        <v>386</v>
      </c>
      <c r="G485" s="1" t="s">
        <v>387</v>
      </c>
      <c r="H485" s="1">
        <v>1836</v>
      </c>
      <c r="I485" s="3">
        <v>46254</v>
      </c>
      <c r="J485" s="3">
        <v>46273</v>
      </c>
      <c r="K485" s="3" t="s">
        <v>2354</v>
      </c>
      <c r="L485" s="22">
        <v>46254.700186458329</v>
      </c>
      <c r="M485" s="20">
        <v>12</v>
      </c>
      <c r="N485" s="1">
        <v>62</v>
      </c>
    </row>
    <row r="486" spans="1:14" x14ac:dyDescent="0.25">
      <c r="A486" t="str">
        <f t="shared" si="16"/>
        <v>78769107876910</v>
      </c>
      <c r="B486" t="str">
        <f t="shared" si="17"/>
        <v>7876910M997H23Y-D</v>
      </c>
      <c r="C486" s="1" t="s">
        <v>475</v>
      </c>
      <c r="D486" s="1" t="s">
        <v>538</v>
      </c>
      <c r="E486" s="1" t="s">
        <v>385</v>
      </c>
      <c r="F486" s="1" t="s">
        <v>386</v>
      </c>
      <c r="G486" s="1" t="s">
        <v>387</v>
      </c>
      <c r="H486" s="1">
        <v>1836</v>
      </c>
      <c r="I486" s="3">
        <v>46254</v>
      </c>
      <c r="J486" s="3">
        <v>46273</v>
      </c>
      <c r="K486" s="3" t="s">
        <v>2354</v>
      </c>
      <c r="L486" s="22">
        <v>46254.700374270833</v>
      </c>
      <c r="M486" s="20">
        <v>12</v>
      </c>
      <c r="N486" s="1">
        <v>35</v>
      </c>
    </row>
    <row r="487" spans="1:14" x14ac:dyDescent="0.25">
      <c r="A487" t="str">
        <f t="shared" si="16"/>
        <v>78769107876910</v>
      </c>
      <c r="B487" t="str">
        <f t="shared" si="17"/>
        <v>7876910M997H23Y-D</v>
      </c>
      <c r="C487" s="1" t="s">
        <v>475</v>
      </c>
      <c r="D487" s="1" t="s">
        <v>538</v>
      </c>
      <c r="E487" s="1" t="s">
        <v>385</v>
      </c>
      <c r="F487" s="1" t="s">
        <v>386</v>
      </c>
      <c r="G487" s="1" t="s">
        <v>387</v>
      </c>
      <c r="H487" s="1">
        <v>1836</v>
      </c>
      <c r="I487" s="3">
        <v>46254</v>
      </c>
      <c r="J487" s="3">
        <v>46273</v>
      </c>
      <c r="K487" s="3" t="s">
        <v>2354</v>
      </c>
      <c r="L487" s="22">
        <v>46254.700670289349</v>
      </c>
      <c r="M487" s="20">
        <v>12</v>
      </c>
      <c r="N487" s="1">
        <v>114</v>
      </c>
    </row>
    <row r="488" spans="1:14" x14ac:dyDescent="0.25">
      <c r="A488" t="str">
        <f t="shared" si="16"/>
        <v>78769107876910</v>
      </c>
      <c r="B488" t="str">
        <f t="shared" si="17"/>
        <v>7876910M997H23Y-D</v>
      </c>
      <c r="C488" s="1" t="s">
        <v>475</v>
      </c>
      <c r="D488" s="1" t="s">
        <v>538</v>
      </c>
      <c r="E488" s="1" t="s">
        <v>385</v>
      </c>
      <c r="F488" s="1" t="s">
        <v>386</v>
      </c>
      <c r="G488" s="1" t="s">
        <v>387</v>
      </c>
      <c r="H488" s="1">
        <v>1836</v>
      </c>
      <c r="I488" s="3">
        <v>46254</v>
      </c>
      <c r="J488" s="3">
        <v>46273</v>
      </c>
      <c r="K488" s="3" t="s">
        <v>2354</v>
      </c>
      <c r="L488" s="22">
        <v>46254.703537847221</v>
      </c>
      <c r="M488" s="20">
        <v>12</v>
      </c>
      <c r="N488" s="1">
        <v>96</v>
      </c>
    </row>
    <row r="489" spans="1:14" x14ac:dyDescent="0.25">
      <c r="A489" t="str">
        <f t="shared" si="16"/>
        <v>78769107876910</v>
      </c>
      <c r="B489" t="str">
        <f t="shared" si="17"/>
        <v>7876910M997H23Y-D</v>
      </c>
      <c r="C489" s="1" t="s">
        <v>475</v>
      </c>
      <c r="D489" s="1" t="s">
        <v>538</v>
      </c>
      <c r="E489" s="1" t="s">
        <v>385</v>
      </c>
      <c r="F489" s="1" t="s">
        <v>386</v>
      </c>
      <c r="G489" s="1" t="s">
        <v>387</v>
      </c>
      <c r="H489" s="1">
        <v>1836</v>
      </c>
      <c r="I489" s="3">
        <v>46254</v>
      </c>
      <c r="J489" s="3">
        <v>46273</v>
      </c>
      <c r="K489" s="3" t="s">
        <v>2354</v>
      </c>
      <c r="L489" s="22">
        <v>46254.703768900465</v>
      </c>
      <c r="M489" s="20">
        <v>12</v>
      </c>
      <c r="N489" s="1">
        <v>84</v>
      </c>
    </row>
    <row r="490" spans="1:14" x14ac:dyDescent="0.25">
      <c r="A490" t="str">
        <f t="shared" si="16"/>
        <v>H174564H174564</v>
      </c>
      <c r="B490" t="str">
        <f t="shared" si="17"/>
        <v>H174564P204L8K2-M</v>
      </c>
      <c r="C490" s="1" t="s">
        <v>14</v>
      </c>
      <c r="D490" s="1" t="s">
        <v>539</v>
      </c>
      <c r="E490" s="1" t="s">
        <v>2292</v>
      </c>
      <c r="F490" s="1" t="s">
        <v>2293</v>
      </c>
      <c r="G490" s="1" t="s">
        <v>404</v>
      </c>
      <c r="H490" s="1">
        <v>204</v>
      </c>
      <c r="I490" s="3">
        <v>46254</v>
      </c>
      <c r="J490" s="3">
        <v>46255</v>
      </c>
      <c r="K490" s="3" t="s">
        <v>2356</v>
      </c>
      <c r="L490" s="22">
        <v>46254.470241238421</v>
      </c>
      <c r="M490" s="20">
        <v>12</v>
      </c>
      <c r="N490" s="1">
        <v>7</v>
      </c>
    </row>
    <row r="491" spans="1:14" x14ac:dyDescent="0.25">
      <c r="A491" t="str">
        <f t="shared" si="16"/>
        <v>H174564H174564</v>
      </c>
      <c r="B491" t="str">
        <f t="shared" si="17"/>
        <v>H174564P204L8K2-M</v>
      </c>
      <c r="C491" s="1" t="s">
        <v>14</v>
      </c>
      <c r="D491" s="1" t="s">
        <v>539</v>
      </c>
      <c r="E491" s="1" t="s">
        <v>2292</v>
      </c>
      <c r="F491" s="1" t="s">
        <v>2293</v>
      </c>
      <c r="G491" s="1" t="s">
        <v>404</v>
      </c>
      <c r="H491" s="1">
        <v>204</v>
      </c>
      <c r="I491" s="3">
        <v>46254</v>
      </c>
      <c r="J491" s="3">
        <v>46255</v>
      </c>
      <c r="K491" s="3" t="s">
        <v>2356</v>
      </c>
      <c r="L491" s="22">
        <v>46254.47935350694</v>
      </c>
      <c r="M491" s="20">
        <v>12</v>
      </c>
      <c r="N491" s="1">
        <v>5</v>
      </c>
    </row>
    <row r="492" spans="1:14" x14ac:dyDescent="0.25">
      <c r="A492" t="str">
        <f t="shared" si="16"/>
        <v>H174564H174564</v>
      </c>
      <c r="B492" t="str">
        <f t="shared" si="17"/>
        <v>H174564P204L8K2-M</v>
      </c>
      <c r="C492" s="1" t="s">
        <v>14</v>
      </c>
      <c r="D492" s="1" t="s">
        <v>539</v>
      </c>
      <c r="E492" s="1" t="s">
        <v>2292</v>
      </c>
      <c r="F492" s="1" t="s">
        <v>2293</v>
      </c>
      <c r="G492" s="1" t="s">
        <v>404</v>
      </c>
      <c r="H492" s="1">
        <v>204</v>
      </c>
      <c r="I492" s="3">
        <v>46254</v>
      </c>
      <c r="J492" s="3">
        <v>46255</v>
      </c>
      <c r="K492" s="3" t="s">
        <v>2356</v>
      </c>
      <c r="L492" s="22">
        <v>46254.479535648148</v>
      </c>
      <c r="M492" s="20">
        <v>12</v>
      </c>
      <c r="N492" s="1">
        <v>6</v>
      </c>
    </row>
    <row r="493" spans="1:14" x14ac:dyDescent="0.25">
      <c r="A493" t="str">
        <f t="shared" si="16"/>
        <v>H174564H174564</v>
      </c>
      <c r="B493" t="str">
        <f t="shared" si="17"/>
        <v>H174564P204L8K2-M</v>
      </c>
      <c r="C493" s="1" t="s">
        <v>14</v>
      </c>
      <c r="D493" s="1" t="s">
        <v>539</v>
      </c>
      <c r="E493" s="1" t="s">
        <v>2292</v>
      </c>
      <c r="F493" s="1" t="s">
        <v>2293</v>
      </c>
      <c r="G493" s="1" t="s">
        <v>404</v>
      </c>
      <c r="H493" s="1">
        <v>204</v>
      </c>
      <c r="I493" s="3">
        <v>46254</v>
      </c>
      <c r="J493" s="3">
        <v>46255</v>
      </c>
      <c r="K493" s="3" t="s">
        <v>2356</v>
      </c>
      <c r="L493" s="22">
        <v>46254.485549999998</v>
      </c>
      <c r="M493" s="20">
        <v>12</v>
      </c>
      <c r="N493" s="1">
        <v>1</v>
      </c>
    </row>
    <row r="494" spans="1:14" x14ac:dyDescent="0.25">
      <c r="A494" t="str">
        <f t="shared" si="16"/>
        <v>H174564H174564</v>
      </c>
      <c r="B494" t="str">
        <f t="shared" si="17"/>
        <v>H174564P204L8K2-M</v>
      </c>
      <c r="C494" s="1" t="s">
        <v>14</v>
      </c>
      <c r="D494" s="1" t="s">
        <v>539</v>
      </c>
      <c r="E494" s="1" t="s">
        <v>2292</v>
      </c>
      <c r="F494" s="1" t="s">
        <v>2293</v>
      </c>
      <c r="G494" s="1" t="s">
        <v>404</v>
      </c>
      <c r="H494" s="1">
        <v>204</v>
      </c>
      <c r="I494" s="3">
        <v>46254</v>
      </c>
      <c r="J494" s="3">
        <v>46255</v>
      </c>
      <c r="K494" s="3" t="s">
        <v>2356</v>
      </c>
      <c r="L494" s="22">
        <v>46254.567270914347</v>
      </c>
      <c r="M494" s="20">
        <v>12</v>
      </c>
      <c r="N494" s="1">
        <v>4</v>
      </c>
    </row>
    <row r="495" spans="1:14" x14ac:dyDescent="0.25">
      <c r="A495" t="str">
        <f t="shared" si="16"/>
        <v>H174564H174564</v>
      </c>
      <c r="B495" t="str">
        <f t="shared" si="17"/>
        <v>H174564P204L8K2-M</v>
      </c>
      <c r="C495" s="1" t="s">
        <v>14</v>
      </c>
      <c r="D495" s="1" t="s">
        <v>539</v>
      </c>
      <c r="E495" s="1" t="s">
        <v>2292</v>
      </c>
      <c r="F495" s="1" t="s">
        <v>2293</v>
      </c>
      <c r="G495" s="1" t="s">
        <v>404</v>
      </c>
      <c r="H495" s="1">
        <v>204</v>
      </c>
      <c r="I495" s="3">
        <v>46254</v>
      </c>
      <c r="J495" s="3">
        <v>46255</v>
      </c>
      <c r="K495" s="3" t="s">
        <v>2356</v>
      </c>
      <c r="L495" s="22">
        <v>46254.655410069441</v>
      </c>
      <c r="M495" s="20">
        <v>12</v>
      </c>
      <c r="N495" s="1">
        <v>2</v>
      </c>
    </row>
    <row r="496" spans="1:14" x14ac:dyDescent="0.25">
      <c r="A496" t="str">
        <f t="shared" si="16"/>
        <v>H174564H174564</v>
      </c>
      <c r="B496" t="str">
        <f t="shared" si="17"/>
        <v>H174564P204L8K2-M</v>
      </c>
      <c r="C496" s="1" t="s">
        <v>14</v>
      </c>
      <c r="D496" s="1" t="s">
        <v>539</v>
      </c>
      <c r="E496" s="1" t="s">
        <v>2292</v>
      </c>
      <c r="F496" s="1" t="s">
        <v>2293</v>
      </c>
      <c r="G496" s="1" t="s">
        <v>404</v>
      </c>
      <c r="H496" s="1">
        <v>204</v>
      </c>
      <c r="I496" s="3">
        <v>46254</v>
      </c>
      <c r="J496" s="3">
        <v>46255</v>
      </c>
      <c r="K496" s="3" t="s">
        <v>2356</v>
      </c>
      <c r="L496" s="22">
        <v>46254.664660300921</v>
      </c>
      <c r="M496" s="20">
        <v>12</v>
      </c>
      <c r="N496" s="1">
        <v>13</v>
      </c>
    </row>
    <row r="497" spans="1:14" x14ac:dyDescent="0.25">
      <c r="A497" t="str">
        <f t="shared" si="16"/>
        <v>H174564H174564</v>
      </c>
      <c r="B497" t="str">
        <f t="shared" si="17"/>
        <v>H174564P204L8K2-M</v>
      </c>
      <c r="C497" s="1" t="s">
        <v>14</v>
      </c>
      <c r="D497" s="1" t="s">
        <v>539</v>
      </c>
      <c r="E497" s="1" t="s">
        <v>2292</v>
      </c>
      <c r="F497" s="1" t="s">
        <v>2293</v>
      </c>
      <c r="G497" s="1" t="s">
        <v>404</v>
      </c>
      <c r="H497" s="1">
        <v>204</v>
      </c>
      <c r="I497" s="3">
        <v>46254</v>
      </c>
      <c r="J497" s="3">
        <v>46255</v>
      </c>
      <c r="K497" s="3" t="s">
        <v>2356</v>
      </c>
      <c r="L497" s="22">
        <v>46254.666844097221</v>
      </c>
      <c r="M497" s="20">
        <v>12</v>
      </c>
      <c r="N497" s="1">
        <v>8</v>
      </c>
    </row>
    <row r="498" spans="1:14" x14ac:dyDescent="0.25">
      <c r="A498" t="str">
        <f t="shared" si="16"/>
        <v>H174564H174564</v>
      </c>
      <c r="B498" t="str">
        <f t="shared" si="17"/>
        <v>H174564P204L8K2-M</v>
      </c>
      <c r="C498" s="1" t="s">
        <v>14</v>
      </c>
      <c r="D498" s="1" t="s">
        <v>539</v>
      </c>
      <c r="E498" s="1" t="s">
        <v>2292</v>
      </c>
      <c r="F498" s="1" t="s">
        <v>2293</v>
      </c>
      <c r="G498" s="1" t="s">
        <v>404</v>
      </c>
      <c r="H498" s="1">
        <v>204</v>
      </c>
      <c r="I498" s="3">
        <v>46254</v>
      </c>
      <c r="J498" s="3">
        <v>46255</v>
      </c>
      <c r="K498" s="3" t="s">
        <v>2356</v>
      </c>
      <c r="L498" s="22">
        <v>46254.667564236108</v>
      </c>
      <c r="M498" s="20">
        <v>12</v>
      </c>
      <c r="N498" s="1">
        <v>14</v>
      </c>
    </row>
    <row r="499" spans="1:14" x14ac:dyDescent="0.25">
      <c r="A499" t="str">
        <f t="shared" si="16"/>
        <v>H174564H174564</v>
      </c>
      <c r="B499" t="str">
        <f t="shared" si="17"/>
        <v>H174564P204L8K2-M</v>
      </c>
      <c r="C499" s="1" t="s">
        <v>14</v>
      </c>
      <c r="D499" s="1" t="s">
        <v>539</v>
      </c>
      <c r="E499" s="1" t="s">
        <v>2292</v>
      </c>
      <c r="F499" s="1" t="s">
        <v>2293</v>
      </c>
      <c r="G499" s="1" t="s">
        <v>404</v>
      </c>
      <c r="H499" s="1">
        <v>204</v>
      </c>
      <c r="I499" s="3">
        <v>46254</v>
      </c>
      <c r="J499" s="3">
        <v>46255</v>
      </c>
      <c r="K499" s="3" t="s">
        <v>2356</v>
      </c>
      <c r="L499" s="22">
        <v>46254.669724189815</v>
      </c>
      <c r="M499" s="20">
        <v>12</v>
      </c>
      <c r="N499" s="1">
        <v>3</v>
      </c>
    </row>
    <row r="500" spans="1:14" x14ac:dyDescent="0.25">
      <c r="A500" t="str">
        <f t="shared" si="16"/>
        <v>H174564H174564</v>
      </c>
      <c r="B500" t="str">
        <f t="shared" si="17"/>
        <v>H174564P204L8K2-M</v>
      </c>
      <c r="C500" s="1" t="s">
        <v>14</v>
      </c>
      <c r="D500" s="1" t="s">
        <v>539</v>
      </c>
      <c r="E500" s="1" t="s">
        <v>2292</v>
      </c>
      <c r="F500" s="1" t="s">
        <v>2293</v>
      </c>
      <c r="G500" s="1" t="s">
        <v>404</v>
      </c>
      <c r="H500" s="1">
        <v>204</v>
      </c>
      <c r="I500" s="3">
        <v>46254</v>
      </c>
      <c r="J500" s="3">
        <v>46255</v>
      </c>
      <c r="K500" s="3" t="s">
        <v>2356</v>
      </c>
      <c r="L500" s="22">
        <v>46254.670974456014</v>
      </c>
      <c r="M500" s="20">
        <v>12</v>
      </c>
      <c r="N500" s="1">
        <v>9</v>
      </c>
    </row>
    <row r="501" spans="1:14" x14ac:dyDescent="0.25">
      <c r="A501" t="str">
        <f t="shared" si="16"/>
        <v>78743437874343</v>
      </c>
      <c r="B501" t="str">
        <f t="shared" si="17"/>
        <v>7874343P204L9OY-M</v>
      </c>
      <c r="C501" s="1" t="s">
        <v>477</v>
      </c>
      <c r="D501" s="1" t="s">
        <v>541</v>
      </c>
      <c r="E501" s="1" t="s">
        <v>392</v>
      </c>
      <c r="F501" s="1" t="s">
        <v>393</v>
      </c>
      <c r="G501" s="1" t="s">
        <v>394</v>
      </c>
      <c r="H501" s="1">
        <v>294</v>
      </c>
      <c r="I501" s="3">
        <v>46255</v>
      </c>
      <c r="J501" s="3">
        <v>46259</v>
      </c>
      <c r="K501" s="3" t="s">
        <v>2357</v>
      </c>
      <c r="L501" s="22">
        <v>46255.622093287035</v>
      </c>
      <c r="M501" s="20">
        <v>12</v>
      </c>
      <c r="N501" s="1">
        <v>20</v>
      </c>
    </row>
    <row r="502" spans="1:14" x14ac:dyDescent="0.25">
      <c r="A502" t="str">
        <f t="shared" si="16"/>
        <v>78743437874343</v>
      </c>
      <c r="B502" t="str">
        <f t="shared" si="17"/>
        <v>7874343P204L9OY-M</v>
      </c>
      <c r="C502" s="1" t="s">
        <v>477</v>
      </c>
      <c r="D502" s="1" t="s">
        <v>541</v>
      </c>
      <c r="E502" s="1" t="s">
        <v>392</v>
      </c>
      <c r="F502" s="1" t="s">
        <v>393</v>
      </c>
      <c r="G502" s="1" t="s">
        <v>394</v>
      </c>
      <c r="H502" s="1">
        <v>294</v>
      </c>
      <c r="I502" s="3">
        <v>46255</v>
      </c>
      <c r="J502" s="3">
        <v>46259</v>
      </c>
      <c r="K502" s="3" t="s">
        <v>2357</v>
      </c>
      <c r="L502" s="22">
        <v>46255.622247997686</v>
      </c>
      <c r="M502" s="20">
        <v>12</v>
      </c>
      <c r="N502" s="1">
        <v>8</v>
      </c>
    </row>
    <row r="503" spans="1:14" x14ac:dyDescent="0.25">
      <c r="A503" t="str">
        <f t="shared" si="16"/>
        <v>78743437874343</v>
      </c>
      <c r="B503" t="str">
        <f t="shared" si="17"/>
        <v>7874343P204L9OY-M</v>
      </c>
      <c r="C503" s="1" t="s">
        <v>477</v>
      </c>
      <c r="D503" s="1" t="s">
        <v>541</v>
      </c>
      <c r="E503" s="1" t="s">
        <v>392</v>
      </c>
      <c r="F503" s="1" t="s">
        <v>393</v>
      </c>
      <c r="G503" s="1" t="s">
        <v>394</v>
      </c>
      <c r="H503" s="1">
        <v>294</v>
      </c>
      <c r="I503" s="3">
        <v>46255</v>
      </c>
      <c r="J503" s="3">
        <v>46259</v>
      </c>
      <c r="K503" s="3" t="s">
        <v>2357</v>
      </c>
      <c r="L503" s="22">
        <v>46255.622616863424</v>
      </c>
      <c r="M503" s="20">
        <v>12</v>
      </c>
      <c r="N503" s="1">
        <v>13</v>
      </c>
    </row>
    <row r="504" spans="1:14" x14ac:dyDescent="0.25">
      <c r="A504" t="str">
        <f t="shared" si="16"/>
        <v>78743437874343</v>
      </c>
      <c r="B504" t="str">
        <f t="shared" si="17"/>
        <v>7874343P204L9OY-M</v>
      </c>
      <c r="C504" s="1" t="s">
        <v>477</v>
      </c>
      <c r="D504" s="1" t="s">
        <v>541</v>
      </c>
      <c r="E504" s="1" t="s">
        <v>392</v>
      </c>
      <c r="F504" s="1" t="s">
        <v>393</v>
      </c>
      <c r="G504" s="1" t="s">
        <v>394</v>
      </c>
      <c r="H504" s="1">
        <v>294</v>
      </c>
      <c r="I504" s="3">
        <v>46255</v>
      </c>
      <c r="J504" s="3">
        <v>46259</v>
      </c>
      <c r="K504" s="3" t="s">
        <v>2357</v>
      </c>
      <c r="L504" s="22">
        <v>46255.622790856476</v>
      </c>
      <c r="M504" s="20">
        <v>12</v>
      </c>
      <c r="N504" s="1">
        <v>12</v>
      </c>
    </row>
    <row r="505" spans="1:14" x14ac:dyDescent="0.25">
      <c r="A505" t="str">
        <f t="shared" si="16"/>
        <v>78743437874343</v>
      </c>
      <c r="B505" t="str">
        <f t="shared" si="17"/>
        <v>7874343P204L9OY-M</v>
      </c>
      <c r="C505" s="1" t="s">
        <v>477</v>
      </c>
      <c r="D505" s="1" t="s">
        <v>541</v>
      </c>
      <c r="E505" s="1" t="s">
        <v>392</v>
      </c>
      <c r="F505" s="1" t="s">
        <v>393</v>
      </c>
      <c r="G505" s="1" t="s">
        <v>394</v>
      </c>
      <c r="H505" s="1">
        <v>294</v>
      </c>
      <c r="I505" s="3">
        <v>46255</v>
      </c>
      <c r="J505" s="3">
        <v>46259</v>
      </c>
      <c r="K505" s="3" t="s">
        <v>2357</v>
      </c>
      <c r="L505" s="22">
        <v>46255.623333645832</v>
      </c>
      <c r="M505" s="20">
        <v>12</v>
      </c>
      <c r="N505" s="1">
        <v>14</v>
      </c>
    </row>
    <row r="506" spans="1:14" x14ac:dyDescent="0.25">
      <c r="A506" t="str">
        <f t="shared" si="16"/>
        <v>78743437874343</v>
      </c>
      <c r="B506" t="str">
        <f t="shared" si="17"/>
        <v>7874343P204L9OY-M</v>
      </c>
      <c r="C506" s="1" t="s">
        <v>477</v>
      </c>
      <c r="D506" s="1" t="s">
        <v>541</v>
      </c>
      <c r="E506" s="1" t="s">
        <v>392</v>
      </c>
      <c r="F506" s="1" t="s">
        <v>393</v>
      </c>
      <c r="G506" s="1" t="s">
        <v>394</v>
      </c>
      <c r="H506" s="1">
        <v>294</v>
      </c>
      <c r="I506" s="3">
        <v>46255</v>
      </c>
      <c r="J506" s="3">
        <v>46259</v>
      </c>
      <c r="K506" s="3" t="s">
        <v>2357</v>
      </c>
      <c r="L506" s="22">
        <v>46255.623481249997</v>
      </c>
      <c r="M506" s="20">
        <v>12</v>
      </c>
      <c r="N506" s="1">
        <v>17</v>
      </c>
    </row>
    <row r="507" spans="1:14" x14ac:dyDescent="0.25">
      <c r="A507" t="str">
        <f t="shared" si="16"/>
        <v>78743437874343</v>
      </c>
      <c r="B507" t="str">
        <f t="shared" si="17"/>
        <v>7874343P204L9OY-M</v>
      </c>
      <c r="C507" s="1" t="s">
        <v>477</v>
      </c>
      <c r="D507" s="1" t="s">
        <v>541</v>
      </c>
      <c r="E507" s="1" t="s">
        <v>392</v>
      </c>
      <c r="F507" s="1" t="s">
        <v>393</v>
      </c>
      <c r="G507" s="1" t="s">
        <v>394</v>
      </c>
      <c r="H507" s="1">
        <v>294</v>
      </c>
      <c r="I507" s="3">
        <v>46255</v>
      </c>
      <c r="J507" s="3">
        <v>46259</v>
      </c>
      <c r="K507" s="3" t="s">
        <v>2357</v>
      </c>
      <c r="L507" s="22">
        <v>46255.639967013885</v>
      </c>
      <c r="M507" s="20">
        <v>12</v>
      </c>
      <c r="N507" s="1">
        <v>18</v>
      </c>
    </row>
    <row r="508" spans="1:14" x14ac:dyDescent="0.25">
      <c r="A508" t="str">
        <f t="shared" si="16"/>
        <v>78743437874343</v>
      </c>
      <c r="B508" t="str">
        <f t="shared" si="17"/>
        <v>7874343P204L9OY-M</v>
      </c>
      <c r="C508" s="1" t="s">
        <v>477</v>
      </c>
      <c r="D508" s="1" t="s">
        <v>541</v>
      </c>
      <c r="E508" s="1" t="s">
        <v>392</v>
      </c>
      <c r="F508" s="1" t="s">
        <v>393</v>
      </c>
      <c r="G508" s="1" t="s">
        <v>394</v>
      </c>
      <c r="H508" s="1">
        <v>294</v>
      </c>
      <c r="I508" s="3">
        <v>46255</v>
      </c>
      <c r="J508" s="3">
        <v>46259</v>
      </c>
      <c r="K508" s="3" t="s">
        <v>2357</v>
      </c>
      <c r="L508" s="22">
        <v>46255.640509259254</v>
      </c>
      <c r="M508" s="20">
        <v>12</v>
      </c>
      <c r="N508" s="1">
        <v>21</v>
      </c>
    </row>
    <row r="509" spans="1:14" x14ac:dyDescent="0.25">
      <c r="A509" t="str">
        <f t="shared" si="16"/>
        <v>78743437874343</v>
      </c>
      <c r="B509" t="str">
        <f t="shared" si="17"/>
        <v>7874343P204L9OY-M</v>
      </c>
      <c r="C509" s="1" t="s">
        <v>477</v>
      </c>
      <c r="D509" s="1" t="s">
        <v>541</v>
      </c>
      <c r="E509" s="1" t="s">
        <v>392</v>
      </c>
      <c r="F509" s="1" t="s">
        <v>393</v>
      </c>
      <c r="G509" s="1" t="s">
        <v>394</v>
      </c>
      <c r="H509" s="1">
        <v>294</v>
      </c>
      <c r="I509" s="3">
        <v>46255</v>
      </c>
      <c r="J509" s="3">
        <v>46259</v>
      </c>
      <c r="K509" s="3" t="s">
        <v>2357</v>
      </c>
      <c r="L509" s="22">
        <v>46255.643665277777</v>
      </c>
      <c r="M509" s="20">
        <v>12</v>
      </c>
      <c r="N509" s="1">
        <v>10</v>
      </c>
    </row>
    <row r="510" spans="1:14" x14ac:dyDescent="0.25">
      <c r="A510" t="str">
        <f t="shared" si="16"/>
        <v>78743437874343</v>
      </c>
      <c r="B510" t="str">
        <f t="shared" si="17"/>
        <v>7874343P204L9OY-M</v>
      </c>
      <c r="C510" s="1" t="s">
        <v>477</v>
      </c>
      <c r="D510" s="1" t="s">
        <v>541</v>
      </c>
      <c r="E510" s="1" t="s">
        <v>392</v>
      </c>
      <c r="F510" s="1" t="s">
        <v>393</v>
      </c>
      <c r="G510" s="1" t="s">
        <v>394</v>
      </c>
      <c r="H510" s="1">
        <v>294</v>
      </c>
      <c r="I510" s="3">
        <v>46255</v>
      </c>
      <c r="J510" s="3">
        <v>46259</v>
      </c>
      <c r="K510" s="3" t="s">
        <v>2357</v>
      </c>
      <c r="L510" s="22">
        <v>46255.651735219908</v>
      </c>
      <c r="M510" s="20">
        <v>12</v>
      </c>
      <c r="N510" s="1">
        <v>16</v>
      </c>
    </row>
    <row r="511" spans="1:14" x14ac:dyDescent="0.25">
      <c r="A511" t="str">
        <f t="shared" si="16"/>
        <v>78743437874343</v>
      </c>
      <c r="B511" t="str">
        <f t="shared" si="17"/>
        <v>7874343P204L9OY-M</v>
      </c>
      <c r="C511" s="1" t="s">
        <v>477</v>
      </c>
      <c r="D511" s="1" t="s">
        <v>541</v>
      </c>
      <c r="E511" s="1" t="s">
        <v>392</v>
      </c>
      <c r="F511" s="1" t="s">
        <v>393</v>
      </c>
      <c r="G511" s="1" t="s">
        <v>394</v>
      </c>
      <c r="H511" s="1">
        <v>294</v>
      </c>
      <c r="I511" s="3">
        <v>46255</v>
      </c>
      <c r="J511" s="3">
        <v>46259</v>
      </c>
      <c r="K511" s="3" t="s">
        <v>2357</v>
      </c>
      <c r="L511" s="22">
        <v>46255.651930671294</v>
      </c>
      <c r="M511" s="20">
        <v>12</v>
      </c>
      <c r="N511" s="1">
        <v>1</v>
      </c>
    </row>
    <row r="512" spans="1:14" x14ac:dyDescent="0.25">
      <c r="A512" t="str">
        <f t="shared" si="16"/>
        <v>78743437874343</v>
      </c>
      <c r="B512" t="str">
        <f t="shared" si="17"/>
        <v>7874343P204L9OY-M</v>
      </c>
      <c r="C512" s="1" t="s">
        <v>477</v>
      </c>
      <c r="D512" s="1" t="s">
        <v>541</v>
      </c>
      <c r="E512" s="1" t="s">
        <v>392</v>
      </c>
      <c r="F512" s="1" t="s">
        <v>393</v>
      </c>
      <c r="G512" s="1" t="s">
        <v>394</v>
      </c>
      <c r="H512" s="1">
        <v>294</v>
      </c>
      <c r="I512" s="3">
        <v>46255</v>
      </c>
      <c r="J512" s="3">
        <v>46259</v>
      </c>
      <c r="K512" s="3" t="s">
        <v>2357</v>
      </c>
      <c r="L512" s="22">
        <v>46255.653631134257</v>
      </c>
      <c r="M512" s="20">
        <v>12</v>
      </c>
      <c r="N512" s="1">
        <v>3</v>
      </c>
    </row>
    <row r="513" spans="1:14" x14ac:dyDescent="0.25">
      <c r="A513" t="str">
        <f t="shared" si="16"/>
        <v>78743437874343</v>
      </c>
      <c r="B513" t="str">
        <f t="shared" si="17"/>
        <v>7874343P204L9OY-M</v>
      </c>
      <c r="C513" s="1" t="s">
        <v>477</v>
      </c>
      <c r="D513" s="1" t="s">
        <v>541</v>
      </c>
      <c r="E513" s="1" t="s">
        <v>392</v>
      </c>
      <c r="F513" s="1" t="s">
        <v>393</v>
      </c>
      <c r="G513" s="1" t="s">
        <v>394</v>
      </c>
      <c r="H513" s="1">
        <v>294</v>
      </c>
      <c r="I513" s="3">
        <v>46255</v>
      </c>
      <c r="J513" s="3">
        <v>46259</v>
      </c>
      <c r="K513" s="3" t="s">
        <v>2357</v>
      </c>
      <c r="L513" s="22">
        <v>46255.653911030087</v>
      </c>
      <c r="M513" s="20">
        <v>12</v>
      </c>
      <c r="N513" s="1">
        <v>6</v>
      </c>
    </row>
    <row r="514" spans="1:14" x14ac:dyDescent="0.25">
      <c r="A514" t="str">
        <f t="shared" ref="A514:A577" si="18">+D514&amp;D514</f>
        <v>78743437874343</v>
      </c>
      <c r="B514" t="str">
        <f t="shared" ref="B514:B577" si="19">+D514&amp;C514</f>
        <v>7874343P204L9OY-M</v>
      </c>
      <c r="C514" s="1" t="s">
        <v>477</v>
      </c>
      <c r="D514" s="1" t="s">
        <v>541</v>
      </c>
      <c r="E514" s="1" t="s">
        <v>392</v>
      </c>
      <c r="F514" s="1" t="s">
        <v>393</v>
      </c>
      <c r="G514" s="1" t="s">
        <v>394</v>
      </c>
      <c r="H514" s="1">
        <v>294</v>
      </c>
      <c r="I514" s="3">
        <v>46255</v>
      </c>
      <c r="J514" s="3">
        <v>46259</v>
      </c>
      <c r="K514" s="3" t="s">
        <v>2357</v>
      </c>
      <c r="L514" s="22">
        <v>46255.672328935187</v>
      </c>
      <c r="M514" s="20">
        <v>12</v>
      </c>
      <c r="N514" s="1">
        <v>4</v>
      </c>
    </row>
    <row r="515" spans="1:14" x14ac:dyDescent="0.25">
      <c r="A515" t="str">
        <f t="shared" si="18"/>
        <v>78743437874343</v>
      </c>
      <c r="B515" t="str">
        <f t="shared" si="19"/>
        <v>7874343P204L9OY-M</v>
      </c>
      <c r="C515" s="1" t="s">
        <v>477</v>
      </c>
      <c r="D515" s="1" t="s">
        <v>541</v>
      </c>
      <c r="E515" s="1" t="s">
        <v>392</v>
      </c>
      <c r="F515" s="1" t="s">
        <v>393</v>
      </c>
      <c r="G515" s="1" t="s">
        <v>394</v>
      </c>
      <c r="H515" s="1">
        <v>294</v>
      </c>
      <c r="I515" s="3">
        <v>46255</v>
      </c>
      <c r="J515" s="3">
        <v>46259</v>
      </c>
      <c r="K515" s="3" t="s">
        <v>2357</v>
      </c>
      <c r="L515" s="22">
        <v>46255.672478622684</v>
      </c>
      <c r="M515" s="20">
        <v>12</v>
      </c>
      <c r="N515" s="1">
        <v>11</v>
      </c>
    </row>
    <row r="516" spans="1:14" x14ac:dyDescent="0.25">
      <c r="A516" t="str">
        <f t="shared" si="18"/>
        <v>78743437874343</v>
      </c>
      <c r="B516" t="str">
        <f t="shared" si="19"/>
        <v>7874343P204L9OY-M</v>
      </c>
      <c r="C516" s="1" t="s">
        <v>477</v>
      </c>
      <c r="D516" s="1" t="s">
        <v>541</v>
      </c>
      <c r="E516" s="1" t="s">
        <v>392</v>
      </c>
      <c r="F516" s="1" t="s">
        <v>393</v>
      </c>
      <c r="G516" s="1" t="s">
        <v>394</v>
      </c>
      <c r="H516" s="1">
        <v>294</v>
      </c>
      <c r="I516" s="3">
        <v>46255</v>
      </c>
      <c r="J516" s="3">
        <v>46259</v>
      </c>
      <c r="K516" s="3" t="s">
        <v>2357</v>
      </c>
      <c r="L516" s="22">
        <v>46255.686351307872</v>
      </c>
      <c r="M516" s="20">
        <v>12</v>
      </c>
      <c r="N516" s="1">
        <v>7</v>
      </c>
    </row>
    <row r="517" spans="1:14" x14ac:dyDescent="0.25">
      <c r="A517" t="str">
        <f t="shared" si="18"/>
        <v>78743437874343</v>
      </c>
      <c r="B517" t="str">
        <f t="shared" si="19"/>
        <v>7874343P204L9OY-M</v>
      </c>
      <c r="C517" s="1" t="s">
        <v>477</v>
      </c>
      <c r="D517" s="1" t="s">
        <v>541</v>
      </c>
      <c r="E517" s="1" t="s">
        <v>392</v>
      </c>
      <c r="F517" s="1" t="s">
        <v>393</v>
      </c>
      <c r="G517" s="1" t="s">
        <v>394</v>
      </c>
      <c r="H517" s="1">
        <v>294</v>
      </c>
      <c r="I517" s="3">
        <v>46255</v>
      </c>
      <c r="J517" s="3">
        <v>46259</v>
      </c>
      <c r="K517" s="3" t="s">
        <v>2357</v>
      </c>
      <c r="L517" s="22">
        <v>46255.686680671293</v>
      </c>
      <c r="M517" s="20">
        <v>12</v>
      </c>
      <c r="N517" s="1">
        <v>19</v>
      </c>
    </row>
    <row r="518" spans="1:14" x14ac:dyDescent="0.25">
      <c r="A518" t="str">
        <f t="shared" si="18"/>
        <v>78747357874735</v>
      </c>
      <c r="B518" t="str">
        <f t="shared" si="19"/>
        <v>7874735P204L9OY-M</v>
      </c>
      <c r="C518" s="1" t="s">
        <v>477</v>
      </c>
      <c r="D518" s="1" t="s">
        <v>542</v>
      </c>
      <c r="E518" s="1" t="s">
        <v>382</v>
      </c>
      <c r="F518" s="1" t="s">
        <v>2297</v>
      </c>
      <c r="G518" s="1" t="s">
        <v>394</v>
      </c>
      <c r="H518" s="1">
        <v>420</v>
      </c>
      <c r="I518" s="3">
        <v>46255</v>
      </c>
      <c r="J518" s="3">
        <v>46259</v>
      </c>
      <c r="K518" s="3" t="s">
        <v>2345</v>
      </c>
      <c r="L518" s="22">
        <v>46255.674121759257</v>
      </c>
      <c r="M518" s="20">
        <v>6</v>
      </c>
      <c r="N518" s="1">
        <v>50</v>
      </c>
    </row>
    <row r="519" spans="1:14" x14ac:dyDescent="0.25">
      <c r="A519" t="str">
        <f t="shared" si="18"/>
        <v>78747357874735</v>
      </c>
      <c r="B519" t="str">
        <f t="shared" si="19"/>
        <v>7874735P204L9OY-M</v>
      </c>
      <c r="C519" s="1" t="s">
        <v>477</v>
      </c>
      <c r="D519" s="1" t="s">
        <v>542</v>
      </c>
      <c r="E519" s="1" t="s">
        <v>382</v>
      </c>
      <c r="F519" s="1" t="s">
        <v>2297</v>
      </c>
      <c r="G519" s="1" t="s">
        <v>394</v>
      </c>
      <c r="H519" s="1">
        <v>420</v>
      </c>
      <c r="I519" s="3">
        <v>46255</v>
      </c>
      <c r="J519" s="3">
        <v>46259</v>
      </c>
      <c r="K519" s="3" t="s">
        <v>2345</v>
      </c>
      <c r="L519" s="22">
        <v>46255.674392442124</v>
      </c>
      <c r="M519" s="20">
        <v>6</v>
      </c>
      <c r="N519" s="1">
        <v>62</v>
      </c>
    </row>
    <row r="520" spans="1:14" x14ac:dyDescent="0.25">
      <c r="A520" t="str">
        <f t="shared" si="18"/>
        <v>78747357874735</v>
      </c>
      <c r="B520" t="str">
        <f t="shared" si="19"/>
        <v>7874735P204L9OY-M</v>
      </c>
      <c r="C520" s="1" t="s">
        <v>477</v>
      </c>
      <c r="D520" s="1" t="s">
        <v>542</v>
      </c>
      <c r="E520" s="1" t="s">
        <v>382</v>
      </c>
      <c r="F520" s="1" t="s">
        <v>2297</v>
      </c>
      <c r="G520" s="1" t="s">
        <v>394</v>
      </c>
      <c r="H520" s="1">
        <v>420</v>
      </c>
      <c r="I520" s="3">
        <v>46255</v>
      </c>
      <c r="J520" s="3">
        <v>46259</v>
      </c>
      <c r="K520" s="3" t="s">
        <v>2345</v>
      </c>
      <c r="L520" s="22">
        <v>46255.674549571755</v>
      </c>
      <c r="M520" s="20">
        <v>6</v>
      </c>
      <c r="N520" s="1">
        <v>52</v>
      </c>
    </row>
    <row r="521" spans="1:14" x14ac:dyDescent="0.25">
      <c r="A521" t="str">
        <f t="shared" si="18"/>
        <v>78747357874735</v>
      </c>
      <c r="B521" t="str">
        <f t="shared" si="19"/>
        <v>7874735P204L9OY-M</v>
      </c>
      <c r="C521" s="1" t="s">
        <v>477</v>
      </c>
      <c r="D521" s="1" t="s">
        <v>542</v>
      </c>
      <c r="E521" s="1" t="s">
        <v>382</v>
      </c>
      <c r="F521" s="1" t="s">
        <v>2297</v>
      </c>
      <c r="G521" s="1" t="s">
        <v>394</v>
      </c>
      <c r="H521" s="1">
        <v>420</v>
      </c>
      <c r="I521" s="3">
        <v>46255</v>
      </c>
      <c r="J521" s="3">
        <v>46259</v>
      </c>
      <c r="K521" s="3" t="s">
        <v>2345</v>
      </c>
      <c r="L521" s="22">
        <v>46255.674742708332</v>
      </c>
      <c r="M521" s="20">
        <v>6</v>
      </c>
      <c r="N521" s="1">
        <v>61</v>
      </c>
    </row>
    <row r="522" spans="1:14" x14ac:dyDescent="0.25">
      <c r="A522" t="str">
        <f t="shared" si="18"/>
        <v>78747357874735</v>
      </c>
      <c r="B522" t="str">
        <f t="shared" si="19"/>
        <v>7874735P204L9OY-M</v>
      </c>
      <c r="C522" s="1" t="s">
        <v>477</v>
      </c>
      <c r="D522" s="1" t="s">
        <v>542</v>
      </c>
      <c r="E522" s="1" t="s">
        <v>382</v>
      </c>
      <c r="F522" s="1" t="s">
        <v>2297</v>
      </c>
      <c r="G522" s="1" t="s">
        <v>394</v>
      </c>
      <c r="H522" s="1">
        <v>420</v>
      </c>
      <c r="I522" s="3">
        <v>46255</v>
      </c>
      <c r="J522" s="3">
        <v>46259</v>
      </c>
      <c r="K522" s="3" t="s">
        <v>2345</v>
      </c>
      <c r="L522" s="22">
        <v>46255.675149999995</v>
      </c>
      <c r="M522" s="20">
        <v>6</v>
      </c>
      <c r="N522" s="1">
        <v>63</v>
      </c>
    </row>
    <row r="523" spans="1:14" x14ac:dyDescent="0.25">
      <c r="A523" t="str">
        <f t="shared" si="18"/>
        <v>78747357874735</v>
      </c>
      <c r="B523" t="str">
        <f t="shared" si="19"/>
        <v>7874735P204L9OY-M</v>
      </c>
      <c r="C523" s="1" t="s">
        <v>477</v>
      </c>
      <c r="D523" s="1" t="s">
        <v>542</v>
      </c>
      <c r="E523" s="1" t="s">
        <v>382</v>
      </c>
      <c r="F523" s="1" t="s">
        <v>2297</v>
      </c>
      <c r="G523" s="1" t="s">
        <v>394</v>
      </c>
      <c r="H523" s="1">
        <v>420</v>
      </c>
      <c r="I523" s="3">
        <v>46255</v>
      </c>
      <c r="J523" s="3">
        <v>46259</v>
      </c>
      <c r="K523" s="3" t="s">
        <v>2345</v>
      </c>
      <c r="L523" s="22">
        <v>46255.685839270831</v>
      </c>
      <c r="M523" s="20">
        <v>6</v>
      </c>
      <c r="N523" s="1">
        <v>44</v>
      </c>
    </row>
    <row r="524" spans="1:14" x14ac:dyDescent="0.25">
      <c r="A524" t="str">
        <f t="shared" si="18"/>
        <v>78747357874735</v>
      </c>
      <c r="B524" t="str">
        <f t="shared" si="19"/>
        <v>7874735P204L9OY-M</v>
      </c>
      <c r="C524" s="1" t="s">
        <v>477</v>
      </c>
      <c r="D524" s="1" t="s">
        <v>542</v>
      </c>
      <c r="E524" s="1" t="s">
        <v>382</v>
      </c>
      <c r="F524" s="1" t="s">
        <v>2297</v>
      </c>
      <c r="G524" s="1" t="s">
        <v>394</v>
      </c>
      <c r="H524" s="1">
        <v>420</v>
      </c>
      <c r="I524" s="3">
        <v>46255</v>
      </c>
      <c r="J524" s="3">
        <v>46259</v>
      </c>
      <c r="K524" s="3" t="s">
        <v>2345</v>
      </c>
      <c r="L524" s="22">
        <v>46255.685975312495</v>
      </c>
      <c r="M524" s="20">
        <v>6</v>
      </c>
      <c r="N524" s="1">
        <v>34</v>
      </c>
    </row>
    <row r="525" spans="1:14" x14ac:dyDescent="0.25">
      <c r="A525" t="str">
        <f t="shared" si="18"/>
        <v>78747357874735</v>
      </c>
      <c r="B525" t="str">
        <f t="shared" si="19"/>
        <v>7874735P204L9OY-M</v>
      </c>
      <c r="C525" s="1" t="s">
        <v>477</v>
      </c>
      <c r="D525" s="1" t="s">
        <v>542</v>
      </c>
      <c r="E525" s="1" t="s">
        <v>382</v>
      </c>
      <c r="F525" s="1" t="s">
        <v>2297</v>
      </c>
      <c r="G525" s="1" t="s">
        <v>394</v>
      </c>
      <c r="H525" s="1">
        <v>420</v>
      </c>
      <c r="I525" s="3">
        <v>46255</v>
      </c>
      <c r="J525" s="3">
        <v>46259</v>
      </c>
      <c r="K525" s="3" t="s">
        <v>2345</v>
      </c>
      <c r="L525" s="22">
        <v>46255.686156134259</v>
      </c>
      <c r="M525" s="20">
        <v>6</v>
      </c>
      <c r="N525" s="1">
        <v>35</v>
      </c>
    </row>
    <row r="526" spans="1:14" x14ac:dyDescent="0.25">
      <c r="A526" t="str">
        <f t="shared" si="18"/>
        <v>78747357874735</v>
      </c>
      <c r="B526" t="str">
        <f t="shared" si="19"/>
        <v>7874735P204L9OY-M</v>
      </c>
      <c r="C526" s="1" t="s">
        <v>477</v>
      </c>
      <c r="D526" s="1" t="s">
        <v>542</v>
      </c>
      <c r="E526" s="1" t="s">
        <v>382</v>
      </c>
      <c r="F526" s="1" t="s">
        <v>2297</v>
      </c>
      <c r="G526" s="1" t="s">
        <v>394</v>
      </c>
      <c r="H526" s="1">
        <v>420</v>
      </c>
      <c r="I526" s="3">
        <v>46255</v>
      </c>
      <c r="J526" s="3">
        <v>46259</v>
      </c>
      <c r="K526" s="3" t="s">
        <v>2345</v>
      </c>
      <c r="L526" s="22">
        <v>46255.686836724533</v>
      </c>
      <c r="M526" s="20">
        <v>6</v>
      </c>
      <c r="N526" s="1">
        <v>51</v>
      </c>
    </row>
    <row r="527" spans="1:14" x14ac:dyDescent="0.25">
      <c r="A527" t="str">
        <f t="shared" si="18"/>
        <v>78755567875556</v>
      </c>
      <c r="B527" t="str">
        <f t="shared" si="19"/>
        <v>7875556M5742IX-D</v>
      </c>
      <c r="C527" s="1" t="s">
        <v>487</v>
      </c>
      <c r="D527" s="1" t="s">
        <v>540</v>
      </c>
      <c r="E527" s="1" t="s">
        <v>481</v>
      </c>
      <c r="F527" s="1" t="s">
        <v>482</v>
      </c>
      <c r="G527" s="1" t="s">
        <v>394</v>
      </c>
      <c r="H527" s="1">
        <v>762</v>
      </c>
      <c r="I527" s="3">
        <v>46255</v>
      </c>
      <c r="J527" s="3">
        <v>46265</v>
      </c>
      <c r="K527" s="3" t="s">
        <v>2358</v>
      </c>
      <c r="L527" s="22">
        <v>46255.598686307865</v>
      </c>
      <c r="M527" s="20">
        <v>12</v>
      </c>
      <c r="N527" s="1">
        <v>12</v>
      </c>
    </row>
    <row r="528" spans="1:14" x14ac:dyDescent="0.25">
      <c r="A528" t="str">
        <f t="shared" si="18"/>
        <v>78755567875556</v>
      </c>
      <c r="B528" t="str">
        <f t="shared" si="19"/>
        <v>7875556M5742IX-D</v>
      </c>
      <c r="C528" s="1" t="s">
        <v>487</v>
      </c>
      <c r="D528" s="1" t="s">
        <v>540</v>
      </c>
      <c r="E528" s="1" t="s">
        <v>481</v>
      </c>
      <c r="F528" s="1" t="s">
        <v>482</v>
      </c>
      <c r="G528" s="1" t="s">
        <v>394</v>
      </c>
      <c r="H528" s="1">
        <v>762</v>
      </c>
      <c r="I528" s="3">
        <v>46255</v>
      </c>
      <c r="J528" s="3">
        <v>46265</v>
      </c>
      <c r="K528" s="3" t="s">
        <v>2358</v>
      </c>
      <c r="L528" s="22">
        <v>46255.618046643518</v>
      </c>
      <c r="M528" s="20">
        <v>12</v>
      </c>
      <c r="N528" s="1">
        <v>1</v>
      </c>
    </row>
    <row r="529" spans="1:14" x14ac:dyDescent="0.25">
      <c r="A529" t="str">
        <f t="shared" si="18"/>
        <v>78755567875556</v>
      </c>
      <c r="B529" t="str">
        <f t="shared" si="19"/>
        <v>7875556M5742IX-D</v>
      </c>
      <c r="C529" s="1" t="s">
        <v>487</v>
      </c>
      <c r="D529" s="1" t="s">
        <v>540</v>
      </c>
      <c r="E529" s="1" t="s">
        <v>481</v>
      </c>
      <c r="F529" s="1" t="s">
        <v>482</v>
      </c>
      <c r="G529" s="1" t="s">
        <v>394</v>
      </c>
      <c r="H529" s="1">
        <v>762</v>
      </c>
      <c r="I529" s="3">
        <v>46255</v>
      </c>
      <c r="J529" s="3">
        <v>46265</v>
      </c>
      <c r="K529" s="3" t="s">
        <v>2358</v>
      </c>
      <c r="L529" s="22">
        <v>46255.628273761569</v>
      </c>
      <c r="M529" s="20">
        <v>12</v>
      </c>
      <c r="N529" s="1">
        <v>17</v>
      </c>
    </row>
    <row r="530" spans="1:14" x14ac:dyDescent="0.25">
      <c r="A530" t="str">
        <f t="shared" si="18"/>
        <v>78755567875556</v>
      </c>
      <c r="B530" t="str">
        <f t="shared" si="19"/>
        <v>7875556M5742IX-D</v>
      </c>
      <c r="C530" s="1" t="s">
        <v>487</v>
      </c>
      <c r="D530" s="1" t="s">
        <v>540</v>
      </c>
      <c r="E530" s="1" t="s">
        <v>481</v>
      </c>
      <c r="F530" s="1" t="s">
        <v>482</v>
      </c>
      <c r="G530" s="1" t="s">
        <v>394</v>
      </c>
      <c r="H530" s="1">
        <v>762</v>
      </c>
      <c r="I530" s="3">
        <v>46255</v>
      </c>
      <c r="J530" s="3">
        <v>46265</v>
      </c>
      <c r="K530" s="3" t="s">
        <v>2358</v>
      </c>
      <c r="L530" s="22">
        <v>46255.635167789347</v>
      </c>
      <c r="M530" s="20">
        <v>12</v>
      </c>
      <c r="N530" s="1">
        <v>28</v>
      </c>
    </row>
    <row r="531" spans="1:14" x14ac:dyDescent="0.25">
      <c r="A531" t="str">
        <f t="shared" si="18"/>
        <v>78755567875556</v>
      </c>
      <c r="B531" t="str">
        <f t="shared" si="19"/>
        <v>7875556M5742IX-D</v>
      </c>
      <c r="C531" s="1" t="s">
        <v>487</v>
      </c>
      <c r="D531" s="1" t="s">
        <v>540</v>
      </c>
      <c r="E531" s="1" t="s">
        <v>481</v>
      </c>
      <c r="F531" s="1" t="s">
        <v>482</v>
      </c>
      <c r="G531" s="1" t="s">
        <v>394</v>
      </c>
      <c r="H531" s="1">
        <v>762</v>
      </c>
      <c r="I531" s="3">
        <v>46255</v>
      </c>
      <c r="J531" s="3">
        <v>46265</v>
      </c>
      <c r="K531" s="3" t="s">
        <v>2358</v>
      </c>
      <c r="L531" s="22">
        <v>46255.635943090274</v>
      </c>
      <c r="M531" s="20">
        <v>12</v>
      </c>
      <c r="N531" s="1">
        <v>29</v>
      </c>
    </row>
    <row r="532" spans="1:14" x14ac:dyDescent="0.25">
      <c r="A532" t="str">
        <f t="shared" si="18"/>
        <v>78755567875556</v>
      </c>
      <c r="B532" t="str">
        <f t="shared" si="19"/>
        <v>7875556M5742IX-D</v>
      </c>
      <c r="C532" s="1" t="s">
        <v>487</v>
      </c>
      <c r="D532" s="1" t="s">
        <v>540</v>
      </c>
      <c r="E532" s="1" t="s">
        <v>481</v>
      </c>
      <c r="F532" s="1" t="s">
        <v>482</v>
      </c>
      <c r="G532" s="1" t="s">
        <v>394</v>
      </c>
      <c r="H532" s="1">
        <v>762</v>
      </c>
      <c r="I532" s="3">
        <v>46255</v>
      </c>
      <c r="J532" s="3">
        <v>46265</v>
      </c>
      <c r="K532" s="3" t="s">
        <v>2358</v>
      </c>
      <c r="L532" s="22">
        <v>46255.639031678242</v>
      </c>
      <c r="M532" s="20">
        <v>12</v>
      </c>
      <c r="N532" s="1">
        <v>4</v>
      </c>
    </row>
    <row r="533" spans="1:14" x14ac:dyDescent="0.25">
      <c r="A533" t="str">
        <f t="shared" si="18"/>
        <v>78755567875556</v>
      </c>
      <c r="B533" t="str">
        <f t="shared" si="19"/>
        <v>7875556M5742IX-D</v>
      </c>
      <c r="C533" s="1" t="s">
        <v>487</v>
      </c>
      <c r="D533" s="1" t="s">
        <v>540</v>
      </c>
      <c r="E533" s="1" t="s">
        <v>481</v>
      </c>
      <c r="F533" s="1" t="s">
        <v>482</v>
      </c>
      <c r="G533" s="1" t="s">
        <v>394</v>
      </c>
      <c r="H533" s="1">
        <v>762</v>
      </c>
      <c r="I533" s="3">
        <v>46255</v>
      </c>
      <c r="J533" s="3">
        <v>46265</v>
      </c>
      <c r="K533" s="3" t="s">
        <v>2358</v>
      </c>
      <c r="L533" s="22">
        <v>46255.646443368052</v>
      </c>
      <c r="M533" s="20">
        <v>12</v>
      </c>
      <c r="N533" s="1">
        <v>31</v>
      </c>
    </row>
    <row r="534" spans="1:14" x14ac:dyDescent="0.25">
      <c r="A534" t="str">
        <f t="shared" si="18"/>
        <v>78755567875556</v>
      </c>
      <c r="B534" t="str">
        <f t="shared" si="19"/>
        <v>7875556M5742IX-D</v>
      </c>
      <c r="C534" s="1" t="s">
        <v>487</v>
      </c>
      <c r="D534" s="1" t="s">
        <v>540</v>
      </c>
      <c r="E534" s="1" t="s">
        <v>481</v>
      </c>
      <c r="F534" s="1" t="s">
        <v>482</v>
      </c>
      <c r="G534" s="1" t="s">
        <v>394</v>
      </c>
      <c r="H534" s="1">
        <v>762</v>
      </c>
      <c r="I534" s="3">
        <v>46255</v>
      </c>
      <c r="J534" s="3">
        <v>46265</v>
      </c>
      <c r="K534" s="3" t="s">
        <v>2358</v>
      </c>
      <c r="L534" s="22">
        <v>46255.683686805554</v>
      </c>
      <c r="M534" s="20">
        <v>12</v>
      </c>
      <c r="N534" s="1">
        <v>18</v>
      </c>
    </row>
    <row r="535" spans="1:14" x14ac:dyDescent="0.25">
      <c r="A535" t="str">
        <f t="shared" si="18"/>
        <v>78755567875556</v>
      </c>
      <c r="B535" t="str">
        <f t="shared" si="19"/>
        <v>7875556M5742IX-D</v>
      </c>
      <c r="C535" s="1" t="s">
        <v>487</v>
      </c>
      <c r="D535" s="1" t="s">
        <v>540</v>
      </c>
      <c r="E535" s="1" t="s">
        <v>481</v>
      </c>
      <c r="F535" s="1" t="s">
        <v>482</v>
      </c>
      <c r="G535" s="1" t="s">
        <v>394</v>
      </c>
      <c r="H535" s="1">
        <v>762</v>
      </c>
      <c r="I535" s="3">
        <v>46255</v>
      </c>
      <c r="J535" s="3">
        <v>46265</v>
      </c>
      <c r="K535" s="3" t="s">
        <v>2358</v>
      </c>
      <c r="L535" s="22">
        <v>46255.709562881944</v>
      </c>
      <c r="M535" s="20">
        <v>12</v>
      </c>
      <c r="N535" s="1">
        <v>30</v>
      </c>
    </row>
    <row r="536" spans="1:14" x14ac:dyDescent="0.25">
      <c r="A536" t="str">
        <f t="shared" si="18"/>
        <v>78755567875556</v>
      </c>
      <c r="B536" t="str">
        <f t="shared" si="19"/>
        <v>7875556M5742IX-D</v>
      </c>
      <c r="C536" s="1" t="s">
        <v>487</v>
      </c>
      <c r="D536" s="1" t="s">
        <v>540</v>
      </c>
      <c r="E536" s="1" t="s">
        <v>481</v>
      </c>
      <c r="F536" s="1" t="s">
        <v>482</v>
      </c>
      <c r="G536" s="1" t="s">
        <v>394</v>
      </c>
      <c r="H536" s="1">
        <v>762</v>
      </c>
      <c r="I536" s="3">
        <v>46255</v>
      </c>
      <c r="J536" s="3">
        <v>46265</v>
      </c>
      <c r="K536" s="3" t="s">
        <v>2358</v>
      </c>
      <c r="L536" s="22">
        <v>46255.715880937496</v>
      </c>
      <c r="M536" s="20">
        <v>12</v>
      </c>
      <c r="N536" s="1">
        <v>13</v>
      </c>
    </row>
    <row r="537" spans="1:14" x14ac:dyDescent="0.25">
      <c r="A537" t="str">
        <f t="shared" si="18"/>
        <v>78755567875556</v>
      </c>
      <c r="B537" t="str">
        <f t="shared" si="19"/>
        <v>7875556M5742IX-D</v>
      </c>
      <c r="C537" s="1" t="s">
        <v>487</v>
      </c>
      <c r="D537" s="1" t="s">
        <v>540</v>
      </c>
      <c r="E537" s="1" t="s">
        <v>481</v>
      </c>
      <c r="F537" s="1" t="s">
        <v>482</v>
      </c>
      <c r="G537" s="1" t="s">
        <v>394</v>
      </c>
      <c r="H537" s="1">
        <v>762</v>
      </c>
      <c r="I537" s="3">
        <v>46255</v>
      </c>
      <c r="J537" s="3">
        <v>46265</v>
      </c>
      <c r="K537" s="3" t="s">
        <v>2358</v>
      </c>
      <c r="L537" s="22">
        <v>46255.716238425921</v>
      </c>
      <c r="M537" s="20">
        <v>12</v>
      </c>
      <c r="N537" s="1">
        <v>21</v>
      </c>
    </row>
    <row r="538" spans="1:14" x14ac:dyDescent="0.25">
      <c r="A538" t="str">
        <f t="shared" si="18"/>
        <v>78755567875556</v>
      </c>
      <c r="B538" t="str">
        <f t="shared" si="19"/>
        <v>7875556M5742IX-D</v>
      </c>
      <c r="C538" s="1" t="s">
        <v>487</v>
      </c>
      <c r="D538" s="1" t="s">
        <v>540</v>
      </c>
      <c r="E538" s="1" t="s">
        <v>481</v>
      </c>
      <c r="F538" s="1" t="s">
        <v>482</v>
      </c>
      <c r="G538" s="1" t="s">
        <v>394</v>
      </c>
      <c r="H538" s="1">
        <v>762</v>
      </c>
      <c r="I538" s="3">
        <v>46255</v>
      </c>
      <c r="J538" s="3">
        <v>46265</v>
      </c>
      <c r="K538" s="3" t="s">
        <v>2358</v>
      </c>
      <c r="L538" s="22">
        <v>46255.71675983796</v>
      </c>
      <c r="M538" s="20">
        <v>12</v>
      </c>
      <c r="N538" s="1">
        <v>39</v>
      </c>
    </row>
    <row r="539" spans="1:14" x14ac:dyDescent="0.25">
      <c r="A539" t="str">
        <f t="shared" si="18"/>
        <v>78755567875556</v>
      </c>
      <c r="B539" t="str">
        <f t="shared" si="19"/>
        <v>7875556M5742IX-D</v>
      </c>
      <c r="C539" s="1" t="s">
        <v>487</v>
      </c>
      <c r="D539" s="1" t="s">
        <v>540</v>
      </c>
      <c r="E539" s="1" t="s">
        <v>481</v>
      </c>
      <c r="F539" s="1" t="s">
        <v>482</v>
      </c>
      <c r="G539" s="1" t="s">
        <v>394</v>
      </c>
      <c r="H539" s="1">
        <v>762</v>
      </c>
      <c r="I539" s="3">
        <v>46255</v>
      </c>
      <c r="J539" s="3">
        <v>46265</v>
      </c>
      <c r="K539" s="3" t="s">
        <v>2358</v>
      </c>
      <c r="L539" s="22">
        <v>46255.71718295139</v>
      </c>
      <c r="M539" s="20">
        <v>12</v>
      </c>
      <c r="N539" s="1">
        <v>40</v>
      </c>
    </row>
    <row r="540" spans="1:14" x14ac:dyDescent="0.25">
      <c r="A540" t="str">
        <f t="shared" si="18"/>
        <v>78755567875556</v>
      </c>
      <c r="B540" t="str">
        <f t="shared" si="19"/>
        <v>7875556M5742IX-D</v>
      </c>
      <c r="C540" s="1" t="s">
        <v>487</v>
      </c>
      <c r="D540" s="1" t="s">
        <v>540</v>
      </c>
      <c r="E540" s="1" t="s">
        <v>481</v>
      </c>
      <c r="F540" s="1" t="s">
        <v>482</v>
      </c>
      <c r="G540" s="1" t="s">
        <v>394</v>
      </c>
      <c r="H540" s="1">
        <v>762</v>
      </c>
      <c r="I540" s="3">
        <v>46255</v>
      </c>
      <c r="J540" s="3">
        <v>46265</v>
      </c>
      <c r="K540" s="3" t="s">
        <v>2358</v>
      </c>
      <c r="L540" s="22">
        <v>46255.717668715275</v>
      </c>
      <c r="M540" s="20">
        <v>12</v>
      </c>
      <c r="N540" s="1">
        <v>5</v>
      </c>
    </row>
    <row r="541" spans="1:14" x14ac:dyDescent="0.25">
      <c r="A541" t="str">
        <f t="shared" si="18"/>
        <v>78755567875556</v>
      </c>
      <c r="B541" t="str">
        <f t="shared" si="19"/>
        <v>7875556M5742IX-D</v>
      </c>
      <c r="C541" s="1" t="s">
        <v>487</v>
      </c>
      <c r="D541" s="1" t="s">
        <v>540</v>
      </c>
      <c r="E541" s="1" t="s">
        <v>481</v>
      </c>
      <c r="F541" s="1" t="s">
        <v>482</v>
      </c>
      <c r="G541" s="1" t="s">
        <v>394</v>
      </c>
      <c r="H541" s="1">
        <v>762</v>
      </c>
      <c r="I541" s="3">
        <v>46255</v>
      </c>
      <c r="J541" s="3">
        <v>46265</v>
      </c>
      <c r="K541" s="3" t="s">
        <v>2358</v>
      </c>
      <c r="L541" s="22">
        <v>46255.722867210643</v>
      </c>
      <c r="M541" s="20">
        <v>12</v>
      </c>
      <c r="N541" s="1">
        <v>33</v>
      </c>
    </row>
    <row r="542" spans="1:14" x14ac:dyDescent="0.25">
      <c r="A542" t="str">
        <f t="shared" si="18"/>
        <v>78755567875556</v>
      </c>
      <c r="B542" t="str">
        <f t="shared" si="19"/>
        <v>7875556M5742IX-D</v>
      </c>
      <c r="C542" s="1" t="s">
        <v>487</v>
      </c>
      <c r="D542" s="1" t="s">
        <v>540</v>
      </c>
      <c r="E542" s="1" t="s">
        <v>481</v>
      </c>
      <c r="F542" s="1" t="s">
        <v>482</v>
      </c>
      <c r="G542" s="1" t="s">
        <v>394</v>
      </c>
      <c r="H542" s="1">
        <v>762</v>
      </c>
      <c r="I542" s="3">
        <v>46255</v>
      </c>
      <c r="J542" s="3">
        <v>46265</v>
      </c>
      <c r="K542" s="3" t="s">
        <v>2358</v>
      </c>
      <c r="L542" s="22">
        <v>46255.731139733791</v>
      </c>
      <c r="M542" s="20">
        <v>12</v>
      </c>
      <c r="N542" s="1">
        <v>2</v>
      </c>
    </row>
    <row r="543" spans="1:14" x14ac:dyDescent="0.25">
      <c r="A543" t="str">
        <f t="shared" si="18"/>
        <v>78755567875556</v>
      </c>
      <c r="B543" t="str">
        <f t="shared" si="19"/>
        <v>7875556M5742IX-D</v>
      </c>
      <c r="C543" s="1" t="s">
        <v>487</v>
      </c>
      <c r="D543" s="1" t="s">
        <v>540</v>
      </c>
      <c r="E543" s="1" t="s">
        <v>481</v>
      </c>
      <c r="F543" s="1" t="s">
        <v>482</v>
      </c>
      <c r="G543" s="1" t="s">
        <v>394</v>
      </c>
      <c r="H543" s="1">
        <v>762</v>
      </c>
      <c r="I543" s="3">
        <v>46255</v>
      </c>
      <c r="J543" s="3">
        <v>46265</v>
      </c>
      <c r="K543" s="3" t="s">
        <v>2358</v>
      </c>
      <c r="L543" s="22">
        <v>46255.731706712962</v>
      </c>
      <c r="M543" s="20">
        <v>12</v>
      </c>
      <c r="N543" s="1">
        <v>55</v>
      </c>
    </row>
    <row r="544" spans="1:14" x14ac:dyDescent="0.25">
      <c r="A544" t="str">
        <f t="shared" si="18"/>
        <v>78755567875556</v>
      </c>
      <c r="B544" t="str">
        <f t="shared" si="19"/>
        <v>7875556M5742IX-D</v>
      </c>
      <c r="C544" s="1" t="s">
        <v>487</v>
      </c>
      <c r="D544" s="1" t="s">
        <v>540</v>
      </c>
      <c r="E544" s="1" t="s">
        <v>481</v>
      </c>
      <c r="F544" s="1" t="s">
        <v>482</v>
      </c>
      <c r="G544" s="1" t="s">
        <v>394</v>
      </c>
      <c r="H544" s="1">
        <v>762</v>
      </c>
      <c r="I544" s="3">
        <v>46255</v>
      </c>
      <c r="J544" s="3">
        <v>46265</v>
      </c>
      <c r="K544" s="3" t="s">
        <v>2358</v>
      </c>
      <c r="L544" s="22">
        <v>46255.733930289352</v>
      </c>
      <c r="M544" s="20">
        <v>12</v>
      </c>
      <c r="N544" s="1">
        <v>20</v>
      </c>
    </row>
    <row r="545" spans="1:14" x14ac:dyDescent="0.25">
      <c r="A545" t="str">
        <f t="shared" si="18"/>
        <v>78755567875556</v>
      </c>
      <c r="B545" t="str">
        <f t="shared" si="19"/>
        <v>7875556M5742IX-D</v>
      </c>
      <c r="C545" s="1" t="s">
        <v>487</v>
      </c>
      <c r="D545" s="1" t="s">
        <v>540</v>
      </c>
      <c r="E545" s="1" t="s">
        <v>481</v>
      </c>
      <c r="F545" s="1" t="s">
        <v>482</v>
      </c>
      <c r="G545" s="1" t="s">
        <v>394</v>
      </c>
      <c r="H545" s="1">
        <v>762</v>
      </c>
      <c r="I545" s="3">
        <v>46255</v>
      </c>
      <c r="J545" s="3">
        <v>46265</v>
      </c>
      <c r="K545" s="3" t="s">
        <v>2358</v>
      </c>
      <c r="L545" s="22">
        <v>46255.73455011574</v>
      </c>
      <c r="M545" s="20">
        <v>12</v>
      </c>
      <c r="N545" s="1">
        <v>32</v>
      </c>
    </row>
    <row r="546" spans="1:14" x14ac:dyDescent="0.25">
      <c r="A546" t="str">
        <f t="shared" si="18"/>
        <v>78755567875556</v>
      </c>
      <c r="B546" t="str">
        <f t="shared" si="19"/>
        <v>7875556M5742IX-D</v>
      </c>
      <c r="C546" s="1" t="s">
        <v>487</v>
      </c>
      <c r="D546" s="1" t="s">
        <v>540</v>
      </c>
      <c r="E546" s="1" t="s">
        <v>481</v>
      </c>
      <c r="F546" s="1" t="s">
        <v>482</v>
      </c>
      <c r="G546" s="1" t="s">
        <v>394</v>
      </c>
      <c r="H546" s="1">
        <v>762</v>
      </c>
      <c r="I546" s="3">
        <v>46255</v>
      </c>
      <c r="J546" s="3">
        <v>46265</v>
      </c>
      <c r="K546" s="3" t="s">
        <v>2358</v>
      </c>
      <c r="L546" s="22">
        <v>46255.734839236109</v>
      </c>
      <c r="M546" s="20">
        <v>12</v>
      </c>
      <c r="N546" s="1">
        <v>22</v>
      </c>
    </row>
    <row r="547" spans="1:14" x14ac:dyDescent="0.25">
      <c r="A547" t="str">
        <f t="shared" si="18"/>
        <v>78755567875556</v>
      </c>
      <c r="B547" t="str">
        <f t="shared" si="19"/>
        <v>7875556M5742IX-D</v>
      </c>
      <c r="C547" s="1" t="s">
        <v>487</v>
      </c>
      <c r="D547" s="1" t="s">
        <v>540</v>
      </c>
      <c r="E547" s="1" t="s">
        <v>481</v>
      </c>
      <c r="F547" s="1" t="s">
        <v>482</v>
      </c>
      <c r="G547" s="1" t="s">
        <v>394</v>
      </c>
      <c r="H547" s="1">
        <v>762</v>
      </c>
      <c r="I547" s="3">
        <v>46255</v>
      </c>
      <c r="J547" s="3">
        <v>46265</v>
      </c>
      <c r="K547" s="3" t="s">
        <v>2358</v>
      </c>
      <c r="L547" s="22">
        <v>46255.73575324074</v>
      </c>
      <c r="M547" s="20">
        <v>12</v>
      </c>
      <c r="N547" s="1">
        <v>19</v>
      </c>
    </row>
    <row r="548" spans="1:14" x14ac:dyDescent="0.25">
      <c r="A548" t="str">
        <f t="shared" si="18"/>
        <v>78755567875556</v>
      </c>
      <c r="B548" t="str">
        <f t="shared" si="19"/>
        <v>7875556M5742IX-D</v>
      </c>
      <c r="C548" s="1" t="s">
        <v>487</v>
      </c>
      <c r="D548" s="1" t="s">
        <v>540</v>
      </c>
      <c r="E548" s="1" t="s">
        <v>481</v>
      </c>
      <c r="F548" s="1" t="s">
        <v>482</v>
      </c>
      <c r="G548" s="1" t="s">
        <v>394</v>
      </c>
      <c r="H548" s="1">
        <v>762</v>
      </c>
      <c r="I548" s="3">
        <v>46255</v>
      </c>
      <c r="J548" s="3">
        <v>46265</v>
      </c>
      <c r="K548" s="3" t="s">
        <v>2358</v>
      </c>
      <c r="L548" s="22">
        <v>46255.738479780091</v>
      </c>
      <c r="M548" s="20">
        <v>12</v>
      </c>
      <c r="N548" s="1">
        <v>23</v>
      </c>
    </row>
    <row r="549" spans="1:14" x14ac:dyDescent="0.25">
      <c r="A549" t="str">
        <f t="shared" si="18"/>
        <v>78661167866116</v>
      </c>
      <c r="B549" t="str">
        <f t="shared" si="19"/>
        <v>7866116GC9060BK-M</v>
      </c>
      <c r="C549" s="1" t="s">
        <v>79</v>
      </c>
      <c r="D549" s="1" t="s">
        <v>543</v>
      </c>
      <c r="E549" s="1" t="s">
        <v>385</v>
      </c>
      <c r="F549" s="1" t="s">
        <v>386</v>
      </c>
      <c r="G549" s="1" t="s">
        <v>387</v>
      </c>
      <c r="H549" s="1">
        <v>1998</v>
      </c>
      <c r="I549" s="3">
        <v>46256</v>
      </c>
      <c r="L549" s="22">
        <v>46256.371110613421</v>
      </c>
      <c r="M549" s="20">
        <v>12</v>
      </c>
      <c r="N549" s="1">
        <v>118</v>
      </c>
    </row>
    <row r="550" spans="1:14" x14ac:dyDescent="0.25">
      <c r="A550" t="str">
        <f t="shared" si="18"/>
        <v>78661167866116</v>
      </c>
      <c r="B550" t="str">
        <f t="shared" si="19"/>
        <v>7866116GC9060BK-M</v>
      </c>
      <c r="C550" s="1" t="s">
        <v>79</v>
      </c>
      <c r="D550" s="1" t="s">
        <v>543</v>
      </c>
      <c r="E550" s="1" t="s">
        <v>385</v>
      </c>
      <c r="F550" s="1" t="s">
        <v>386</v>
      </c>
      <c r="G550" s="1" t="s">
        <v>387</v>
      </c>
      <c r="H550" s="1">
        <v>1998</v>
      </c>
      <c r="I550" s="3">
        <v>46256</v>
      </c>
      <c r="L550" s="22">
        <v>46256.39355818287</v>
      </c>
      <c r="M550" s="20">
        <v>12</v>
      </c>
      <c r="N550" s="1">
        <v>45</v>
      </c>
    </row>
    <row r="551" spans="1:14" x14ac:dyDescent="0.25">
      <c r="A551" t="str">
        <f t="shared" si="18"/>
        <v>78661167866116</v>
      </c>
      <c r="B551" t="str">
        <f t="shared" si="19"/>
        <v>7866116GC9060BK-M</v>
      </c>
      <c r="C551" s="1" t="s">
        <v>79</v>
      </c>
      <c r="D551" s="1" t="s">
        <v>543</v>
      </c>
      <c r="E551" s="1" t="s">
        <v>385</v>
      </c>
      <c r="F551" s="1" t="s">
        <v>386</v>
      </c>
      <c r="G551" s="1" t="s">
        <v>387</v>
      </c>
      <c r="H551" s="1">
        <v>1998</v>
      </c>
      <c r="I551" s="3">
        <v>46256</v>
      </c>
      <c r="L551" s="22">
        <v>46256.396764733792</v>
      </c>
      <c r="M551" s="20">
        <v>12</v>
      </c>
      <c r="N551" s="1">
        <v>117</v>
      </c>
    </row>
    <row r="552" spans="1:14" x14ac:dyDescent="0.25">
      <c r="A552" t="str">
        <f t="shared" si="18"/>
        <v>78661167866116</v>
      </c>
      <c r="B552" t="str">
        <f t="shared" si="19"/>
        <v>7866116GC9060BK-M</v>
      </c>
      <c r="C552" s="1" t="s">
        <v>79</v>
      </c>
      <c r="D552" s="1" t="s">
        <v>543</v>
      </c>
      <c r="E552" s="1" t="s">
        <v>385</v>
      </c>
      <c r="F552" s="1" t="s">
        <v>386</v>
      </c>
      <c r="G552" s="1" t="s">
        <v>387</v>
      </c>
      <c r="H552" s="1">
        <v>1998</v>
      </c>
      <c r="I552" s="3">
        <v>46256</v>
      </c>
      <c r="L552" s="22">
        <v>46256.413936111108</v>
      </c>
      <c r="M552" s="20">
        <v>12</v>
      </c>
      <c r="N552" s="1">
        <v>119</v>
      </c>
    </row>
    <row r="553" spans="1:14" x14ac:dyDescent="0.25">
      <c r="A553" t="str">
        <f t="shared" si="18"/>
        <v>78661167866116</v>
      </c>
      <c r="B553" t="str">
        <f t="shared" si="19"/>
        <v>7866116GC9060BK-M</v>
      </c>
      <c r="C553" s="1" t="s">
        <v>79</v>
      </c>
      <c r="D553" s="1" t="s">
        <v>543</v>
      </c>
      <c r="E553" s="1" t="s">
        <v>385</v>
      </c>
      <c r="F553" s="1" t="s">
        <v>386</v>
      </c>
      <c r="G553" s="1" t="s">
        <v>387</v>
      </c>
      <c r="H553" s="1">
        <v>1998</v>
      </c>
      <c r="I553" s="3">
        <v>46256</v>
      </c>
      <c r="L553" s="22">
        <v>46256.423069907403</v>
      </c>
      <c r="M553" s="20">
        <v>12</v>
      </c>
      <c r="N553" s="1">
        <v>69</v>
      </c>
    </row>
    <row r="554" spans="1:14" x14ac:dyDescent="0.25">
      <c r="A554" t="str">
        <f t="shared" si="18"/>
        <v>78661167866116</v>
      </c>
      <c r="B554" t="str">
        <f t="shared" si="19"/>
        <v>7866116GC9060BK-M</v>
      </c>
      <c r="C554" s="1" t="s">
        <v>79</v>
      </c>
      <c r="D554" s="1" t="s">
        <v>543</v>
      </c>
      <c r="E554" s="1" t="s">
        <v>385</v>
      </c>
      <c r="F554" s="1" t="s">
        <v>386</v>
      </c>
      <c r="G554" s="1" t="s">
        <v>387</v>
      </c>
      <c r="H554" s="1">
        <v>1998</v>
      </c>
      <c r="I554" s="3">
        <v>46256</v>
      </c>
      <c r="L554" s="22">
        <v>46256.426561111111</v>
      </c>
      <c r="M554" s="20">
        <v>12</v>
      </c>
      <c r="N554" s="1">
        <v>26</v>
      </c>
    </row>
    <row r="555" spans="1:14" x14ac:dyDescent="0.25">
      <c r="A555" t="str">
        <f t="shared" si="18"/>
        <v>78661167866116</v>
      </c>
      <c r="B555" t="str">
        <f t="shared" si="19"/>
        <v>7866116GC9060BK-M</v>
      </c>
      <c r="C555" s="1" t="s">
        <v>79</v>
      </c>
      <c r="D555" s="1" t="s">
        <v>543</v>
      </c>
      <c r="E555" s="1" t="s">
        <v>385</v>
      </c>
      <c r="F555" s="1" t="s">
        <v>386</v>
      </c>
      <c r="G555" s="1" t="s">
        <v>387</v>
      </c>
      <c r="H555" s="1">
        <v>1998</v>
      </c>
      <c r="I555" s="3">
        <v>46256</v>
      </c>
      <c r="L555" s="22">
        <v>46256.431735150458</v>
      </c>
      <c r="M555" s="20">
        <v>12</v>
      </c>
      <c r="N555" s="1">
        <v>121</v>
      </c>
    </row>
    <row r="556" spans="1:14" x14ac:dyDescent="0.25">
      <c r="A556" t="str">
        <f t="shared" si="18"/>
        <v>78661167866116</v>
      </c>
      <c r="B556" t="str">
        <f t="shared" si="19"/>
        <v>7866116GC9060BK-M</v>
      </c>
      <c r="C556" s="1" t="s">
        <v>79</v>
      </c>
      <c r="D556" s="1" t="s">
        <v>543</v>
      </c>
      <c r="E556" s="1" t="s">
        <v>385</v>
      </c>
      <c r="F556" s="1" t="s">
        <v>386</v>
      </c>
      <c r="G556" s="1" t="s">
        <v>387</v>
      </c>
      <c r="H556" s="1">
        <v>1998</v>
      </c>
      <c r="I556" s="3">
        <v>46256</v>
      </c>
      <c r="L556" s="22">
        <v>46256.432242511575</v>
      </c>
      <c r="M556" s="20">
        <v>12</v>
      </c>
      <c r="N556" s="1">
        <v>65</v>
      </c>
    </row>
    <row r="557" spans="1:14" x14ac:dyDescent="0.25">
      <c r="A557" t="str">
        <f t="shared" si="18"/>
        <v>78661167866116</v>
      </c>
      <c r="B557" t="str">
        <f t="shared" si="19"/>
        <v>7866116GC9060BK-M</v>
      </c>
      <c r="C557" s="1" t="s">
        <v>79</v>
      </c>
      <c r="D557" s="1" t="s">
        <v>543</v>
      </c>
      <c r="E557" s="1" t="s">
        <v>385</v>
      </c>
      <c r="F557" s="1" t="s">
        <v>386</v>
      </c>
      <c r="G557" s="1" t="s">
        <v>387</v>
      </c>
      <c r="H557" s="1">
        <v>1998</v>
      </c>
      <c r="I557" s="3">
        <v>46256</v>
      </c>
      <c r="L557" s="22">
        <v>46256.432765706013</v>
      </c>
      <c r="M557" s="20">
        <v>12</v>
      </c>
      <c r="N557" s="1">
        <v>25</v>
      </c>
    </row>
    <row r="558" spans="1:14" x14ac:dyDescent="0.25">
      <c r="A558" t="str">
        <f t="shared" si="18"/>
        <v>78661167866116</v>
      </c>
      <c r="B558" t="str">
        <f t="shared" si="19"/>
        <v>7866116GC9060BK-M</v>
      </c>
      <c r="C558" s="1" t="s">
        <v>79</v>
      </c>
      <c r="D558" s="1" t="s">
        <v>543</v>
      </c>
      <c r="E558" s="1" t="s">
        <v>385</v>
      </c>
      <c r="F558" s="1" t="s">
        <v>386</v>
      </c>
      <c r="G558" s="1" t="s">
        <v>387</v>
      </c>
      <c r="H558" s="1">
        <v>1998</v>
      </c>
      <c r="I558" s="3">
        <v>46256</v>
      </c>
      <c r="L558" s="22">
        <v>46256.438153587958</v>
      </c>
      <c r="M558" s="20">
        <v>12</v>
      </c>
      <c r="N558" s="1">
        <v>123</v>
      </c>
    </row>
    <row r="559" spans="1:14" x14ac:dyDescent="0.25">
      <c r="A559" t="str">
        <f t="shared" si="18"/>
        <v>78661167866116</v>
      </c>
      <c r="B559" t="str">
        <f t="shared" si="19"/>
        <v>7866116GC9060BK-M</v>
      </c>
      <c r="C559" s="1" t="s">
        <v>79</v>
      </c>
      <c r="D559" s="1" t="s">
        <v>543</v>
      </c>
      <c r="E559" s="1" t="s">
        <v>385</v>
      </c>
      <c r="F559" s="1" t="s">
        <v>386</v>
      </c>
      <c r="G559" s="1" t="s">
        <v>387</v>
      </c>
      <c r="H559" s="1">
        <v>1998</v>
      </c>
      <c r="I559" s="3">
        <v>46256</v>
      </c>
      <c r="L559" s="22">
        <v>46256.441361886573</v>
      </c>
      <c r="M559" s="20">
        <v>12</v>
      </c>
      <c r="N559" s="1">
        <v>46</v>
      </c>
    </row>
    <row r="560" spans="1:14" x14ac:dyDescent="0.25">
      <c r="A560" t="str">
        <f t="shared" si="18"/>
        <v>78661167866116</v>
      </c>
      <c r="B560" t="str">
        <f t="shared" si="19"/>
        <v>7866116GC9060BK-M</v>
      </c>
      <c r="C560" s="1" t="s">
        <v>79</v>
      </c>
      <c r="D560" s="1" t="s">
        <v>543</v>
      </c>
      <c r="E560" s="1" t="s">
        <v>385</v>
      </c>
      <c r="F560" s="1" t="s">
        <v>386</v>
      </c>
      <c r="G560" s="1" t="s">
        <v>387</v>
      </c>
      <c r="H560" s="1">
        <v>1998</v>
      </c>
      <c r="I560" s="3">
        <v>46256</v>
      </c>
      <c r="L560" s="22">
        <v>46256.444752662035</v>
      </c>
      <c r="M560" s="20">
        <v>12</v>
      </c>
      <c r="N560" s="1">
        <v>120</v>
      </c>
    </row>
    <row r="561" spans="1:14" x14ac:dyDescent="0.25">
      <c r="A561" t="str">
        <f t="shared" si="18"/>
        <v>78661167866116</v>
      </c>
      <c r="B561" t="str">
        <f t="shared" si="19"/>
        <v>7866116GC9060BK-M</v>
      </c>
      <c r="C561" s="1" t="s">
        <v>79</v>
      </c>
      <c r="D561" s="1" t="s">
        <v>543</v>
      </c>
      <c r="E561" s="1" t="s">
        <v>385</v>
      </c>
      <c r="F561" s="1" t="s">
        <v>386</v>
      </c>
      <c r="G561" s="1" t="s">
        <v>387</v>
      </c>
      <c r="H561" s="1">
        <v>1998</v>
      </c>
      <c r="I561" s="3">
        <v>46256</v>
      </c>
      <c r="L561" s="22">
        <v>46256.463899652779</v>
      </c>
      <c r="M561" s="20">
        <v>12</v>
      </c>
      <c r="N561" s="1">
        <v>122</v>
      </c>
    </row>
    <row r="562" spans="1:14" x14ac:dyDescent="0.25">
      <c r="A562" t="str">
        <f t="shared" si="18"/>
        <v>78661167866116</v>
      </c>
      <c r="B562" t="str">
        <f t="shared" si="19"/>
        <v>7866116GC9060BK-M</v>
      </c>
      <c r="C562" s="1" t="s">
        <v>79</v>
      </c>
      <c r="D562" s="1" t="s">
        <v>543</v>
      </c>
      <c r="E562" s="1" t="s">
        <v>385</v>
      </c>
      <c r="F562" s="1" t="s">
        <v>386</v>
      </c>
      <c r="G562" s="1" t="s">
        <v>387</v>
      </c>
      <c r="H562" s="1">
        <v>1998</v>
      </c>
      <c r="I562" s="3">
        <v>46256</v>
      </c>
      <c r="L562" s="22">
        <v>46256.465163622684</v>
      </c>
      <c r="M562" s="20">
        <v>12</v>
      </c>
      <c r="N562" s="1">
        <v>92</v>
      </c>
    </row>
    <row r="563" spans="1:14" x14ac:dyDescent="0.25">
      <c r="A563" t="str">
        <f t="shared" si="18"/>
        <v>78661167866116</v>
      </c>
      <c r="B563" t="str">
        <f t="shared" si="19"/>
        <v>7866116GC9060BK-M</v>
      </c>
      <c r="C563" s="1" t="s">
        <v>79</v>
      </c>
      <c r="D563" s="1" t="s">
        <v>543</v>
      </c>
      <c r="E563" s="1" t="s">
        <v>385</v>
      </c>
      <c r="F563" s="1" t="s">
        <v>386</v>
      </c>
      <c r="G563" s="1" t="s">
        <v>387</v>
      </c>
      <c r="H563" s="1">
        <v>1998</v>
      </c>
      <c r="I563" s="3">
        <v>46256</v>
      </c>
      <c r="L563" s="22">
        <v>46256.474974965276</v>
      </c>
      <c r="M563" s="20">
        <v>12</v>
      </c>
      <c r="N563" s="1">
        <v>66</v>
      </c>
    </row>
    <row r="564" spans="1:14" x14ac:dyDescent="0.25">
      <c r="A564" t="str">
        <f t="shared" si="18"/>
        <v>78661167866116</v>
      </c>
      <c r="B564" t="str">
        <f t="shared" si="19"/>
        <v>7866116GC9060BK-M</v>
      </c>
      <c r="C564" s="1" t="s">
        <v>79</v>
      </c>
      <c r="D564" s="1" t="s">
        <v>543</v>
      </c>
      <c r="E564" s="1" t="s">
        <v>385</v>
      </c>
      <c r="F564" s="1" t="s">
        <v>386</v>
      </c>
      <c r="G564" s="1" t="s">
        <v>387</v>
      </c>
      <c r="H564" s="1">
        <v>1998</v>
      </c>
      <c r="I564" s="3">
        <v>46256</v>
      </c>
      <c r="L564" s="22">
        <v>46256.475285844906</v>
      </c>
      <c r="M564" s="20">
        <v>12</v>
      </c>
      <c r="N564" s="1">
        <v>124</v>
      </c>
    </row>
    <row r="565" spans="1:14" x14ac:dyDescent="0.25">
      <c r="A565" t="str">
        <f t="shared" si="18"/>
        <v>78661167866116</v>
      </c>
      <c r="B565" t="str">
        <f t="shared" si="19"/>
        <v>7866116GC9060BK-M</v>
      </c>
      <c r="C565" s="1" t="s">
        <v>79</v>
      </c>
      <c r="D565" s="1" t="s">
        <v>543</v>
      </c>
      <c r="E565" s="1" t="s">
        <v>385</v>
      </c>
      <c r="F565" s="1" t="s">
        <v>386</v>
      </c>
      <c r="G565" s="1" t="s">
        <v>387</v>
      </c>
      <c r="H565" s="1">
        <v>1998</v>
      </c>
      <c r="I565" s="3">
        <v>46256</v>
      </c>
      <c r="L565" s="22">
        <v>46256.478975347221</v>
      </c>
      <c r="M565" s="20">
        <v>12</v>
      </c>
      <c r="N565" s="1">
        <v>9</v>
      </c>
    </row>
    <row r="566" spans="1:14" x14ac:dyDescent="0.25">
      <c r="A566" t="str">
        <f t="shared" si="18"/>
        <v>78661167866116</v>
      </c>
      <c r="B566" t="str">
        <f t="shared" si="19"/>
        <v>7866116GC9060BK-M</v>
      </c>
      <c r="C566" s="1" t="s">
        <v>79</v>
      </c>
      <c r="D566" s="1" t="s">
        <v>543</v>
      </c>
      <c r="E566" s="1" t="s">
        <v>385</v>
      </c>
      <c r="F566" s="1" t="s">
        <v>386</v>
      </c>
      <c r="G566" s="1" t="s">
        <v>387</v>
      </c>
      <c r="H566" s="1">
        <v>1998</v>
      </c>
      <c r="I566" s="3">
        <v>46256</v>
      </c>
      <c r="L566" s="22">
        <v>46256.482107523145</v>
      </c>
      <c r="M566" s="20">
        <v>12</v>
      </c>
      <c r="N566" s="1">
        <v>27</v>
      </c>
    </row>
    <row r="567" spans="1:14" x14ac:dyDescent="0.25">
      <c r="A567" t="str">
        <f t="shared" si="18"/>
        <v>78661167866116</v>
      </c>
      <c r="B567" t="str">
        <f t="shared" si="19"/>
        <v>7866116GC9060BK-M</v>
      </c>
      <c r="C567" s="1" t="s">
        <v>79</v>
      </c>
      <c r="D567" s="1" t="s">
        <v>543</v>
      </c>
      <c r="E567" s="1" t="s">
        <v>385</v>
      </c>
      <c r="F567" s="1" t="s">
        <v>386</v>
      </c>
      <c r="G567" s="1" t="s">
        <v>387</v>
      </c>
      <c r="H567" s="1">
        <v>1998</v>
      </c>
      <c r="I567" s="3">
        <v>46256</v>
      </c>
      <c r="L567" s="22">
        <v>46256.488718321758</v>
      </c>
      <c r="M567" s="20">
        <v>12</v>
      </c>
      <c r="N567" s="1">
        <v>125</v>
      </c>
    </row>
    <row r="568" spans="1:14" x14ac:dyDescent="0.25">
      <c r="A568" t="str">
        <f t="shared" si="18"/>
        <v>78661167866116</v>
      </c>
      <c r="B568" t="str">
        <f t="shared" si="19"/>
        <v>7866116GC9060BK-M</v>
      </c>
      <c r="C568" s="1" t="s">
        <v>79</v>
      </c>
      <c r="D568" s="1" t="s">
        <v>543</v>
      </c>
      <c r="E568" s="1" t="s">
        <v>385</v>
      </c>
      <c r="F568" s="1" t="s">
        <v>386</v>
      </c>
      <c r="G568" s="1" t="s">
        <v>387</v>
      </c>
      <c r="H568" s="1">
        <v>1998</v>
      </c>
      <c r="I568" s="3">
        <v>46256</v>
      </c>
      <c r="L568" s="22">
        <v>46256.489078553241</v>
      </c>
      <c r="M568" s="20">
        <v>12</v>
      </c>
      <c r="N568" s="1">
        <v>94</v>
      </c>
    </row>
    <row r="569" spans="1:14" x14ac:dyDescent="0.25">
      <c r="A569" t="str">
        <f t="shared" si="18"/>
        <v>78661167866116</v>
      </c>
      <c r="B569" t="str">
        <f t="shared" si="19"/>
        <v>7866116GC9060BK-M</v>
      </c>
      <c r="C569" s="1" t="s">
        <v>79</v>
      </c>
      <c r="D569" s="1" t="s">
        <v>543</v>
      </c>
      <c r="E569" s="1" t="s">
        <v>385</v>
      </c>
      <c r="F569" s="1" t="s">
        <v>386</v>
      </c>
      <c r="G569" s="1" t="s">
        <v>387</v>
      </c>
      <c r="H569" s="1">
        <v>1998</v>
      </c>
      <c r="I569" s="3">
        <v>46256</v>
      </c>
      <c r="L569" s="22">
        <v>46256.489546990742</v>
      </c>
      <c r="M569" s="20">
        <v>12</v>
      </c>
      <c r="N569" s="1">
        <v>13</v>
      </c>
    </row>
    <row r="570" spans="1:14" x14ac:dyDescent="0.25">
      <c r="A570" t="str">
        <f t="shared" si="18"/>
        <v>78661167866116</v>
      </c>
      <c r="B570" t="str">
        <f t="shared" si="19"/>
        <v>7866116GC9060BK-M</v>
      </c>
      <c r="C570" s="1" t="s">
        <v>79</v>
      </c>
      <c r="D570" s="1" t="s">
        <v>543</v>
      </c>
      <c r="E570" s="1" t="s">
        <v>385</v>
      </c>
      <c r="F570" s="1" t="s">
        <v>386</v>
      </c>
      <c r="G570" s="1" t="s">
        <v>387</v>
      </c>
      <c r="H570" s="1">
        <v>1998</v>
      </c>
      <c r="I570" s="3">
        <v>46256</v>
      </c>
      <c r="L570" s="22">
        <v>46256.48994918981</v>
      </c>
      <c r="M570" s="20">
        <v>12</v>
      </c>
      <c r="N570" s="1">
        <v>127</v>
      </c>
    </row>
    <row r="571" spans="1:14" x14ac:dyDescent="0.25">
      <c r="A571" t="str">
        <f t="shared" si="18"/>
        <v>78661167866116</v>
      </c>
      <c r="B571" t="str">
        <f t="shared" si="19"/>
        <v>7866116GC9060BK-M</v>
      </c>
      <c r="C571" s="1" t="s">
        <v>79</v>
      </c>
      <c r="D571" s="1" t="s">
        <v>543</v>
      </c>
      <c r="E571" s="1" t="s">
        <v>385</v>
      </c>
      <c r="F571" s="1" t="s">
        <v>386</v>
      </c>
      <c r="G571" s="1" t="s">
        <v>387</v>
      </c>
      <c r="H571" s="1">
        <v>1998</v>
      </c>
      <c r="I571" s="3">
        <v>46256</v>
      </c>
      <c r="L571" s="22">
        <v>46256.490326354164</v>
      </c>
      <c r="M571" s="20">
        <v>12</v>
      </c>
      <c r="N571" s="1">
        <v>1</v>
      </c>
    </row>
    <row r="572" spans="1:14" x14ac:dyDescent="0.25">
      <c r="A572" t="str">
        <f t="shared" si="18"/>
        <v>78661167866116</v>
      </c>
      <c r="B572" t="str">
        <f t="shared" si="19"/>
        <v>7866116GC9060BK-M</v>
      </c>
      <c r="C572" s="1" t="s">
        <v>79</v>
      </c>
      <c r="D572" s="1" t="s">
        <v>543</v>
      </c>
      <c r="E572" s="1" t="s">
        <v>385</v>
      </c>
      <c r="F572" s="1" t="s">
        <v>386</v>
      </c>
      <c r="G572" s="1" t="s">
        <v>387</v>
      </c>
      <c r="H572" s="1">
        <v>1998</v>
      </c>
      <c r="I572" s="3">
        <v>46256</v>
      </c>
      <c r="L572" s="22">
        <v>46256.490661539348</v>
      </c>
      <c r="M572" s="20">
        <v>12</v>
      </c>
      <c r="N572" s="1">
        <v>73</v>
      </c>
    </row>
    <row r="573" spans="1:14" x14ac:dyDescent="0.25">
      <c r="A573" t="str">
        <f t="shared" si="18"/>
        <v>78661167866116</v>
      </c>
      <c r="B573" t="str">
        <f t="shared" si="19"/>
        <v>7866116GC9060BK-M</v>
      </c>
      <c r="C573" s="1" t="s">
        <v>79</v>
      </c>
      <c r="D573" s="1" t="s">
        <v>543</v>
      </c>
      <c r="E573" s="1" t="s">
        <v>385</v>
      </c>
      <c r="F573" s="1" t="s">
        <v>386</v>
      </c>
      <c r="G573" s="1" t="s">
        <v>387</v>
      </c>
      <c r="H573" s="1">
        <v>1998</v>
      </c>
      <c r="I573" s="3">
        <v>46256</v>
      </c>
      <c r="L573" s="22">
        <v>46256.493320636575</v>
      </c>
      <c r="M573" s="20">
        <v>12</v>
      </c>
      <c r="N573" s="1">
        <v>28</v>
      </c>
    </row>
    <row r="574" spans="1:14" x14ac:dyDescent="0.25">
      <c r="A574" t="str">
        <f t="shared" si="18"/>
        <v>78661167866116</v>
      </c>
      <c r="B574" t="str">
        <f t="shared" si="19"/>
        <v>7866116GC9060BK-M</v>
      </c>
      <c r="C574" s="1" t="s">
        <v>79</v>
      </c>
      <c r="D574" s="1" t="s">
        <v>543</v>
      </c>
      <c r="E574" s="1" t="s">
        <v>385</v>
      </c>
      <c r="F574" s="1" t="s">
        <v>386</v>
      </c>
      <c r="G574" s="1" t="s">
        <v>387</v>
      </c>
      <c r="H574" s="1">
        <v>1998</v>
      </c>
      <c r="I574" s="3">
        <v>46256</v>
      </c>
      <c r="L574" s="22">
        <v>46256.493658182866</v>
      </c>
      <c r="M574" s="20">
        <v>12</v>
      </c>
      <c r="N574" s="1">
        <v>95</v>
      </c>
    </row>
    <row r="575" spans="1:14" x14ac:dyDescent="0.25">
      <c r="A575" t="str">
        <f t="shared" si="18"/>
        <v>78661167866116</v>
      </c>
      <c r="B575" t="str">
        <f t="shared" si="19"/>
        <v>7866116GC9060BK-M</v>
      </c>
      <c r="C575" s="1" t="s">
        <v>79</v>
      </c>
      <c r="D575" s="1" t="s">
        <v>543</v>
      </c>
      <c r="E575" s="1" t="s">
        <v>385</v>
      </c>
      <c r="F575" s="1" t="s">
        <v>386</v>
      </c>
      <c r="G575" s="1" t="s">
        <v>387</v>
      </c>
      <c r="H575" s="1">
        <v>1998</v>
      </c>
      <c r="I575" s="3">
        <v>46256</v>
      </c>
      <c r="L575" s="22">
        <v>46256.49441501157</v>
      </c>
      <c r="M575" s="20">
        <v>12</v>
      </c>
      <c r="N575" s="1">
        <v>74</v>
      </c>
    </row>
    <row r="576" spans="1:14" x14ac:dyDescent="0.25">
      <c r="A576" t="str">
        <f t="shared" si="18"/>
        <v>78661167866116</v>
      </c>
      <c r="B576" t="str">
        <f t="shared" si="19"/>
        <v>7866116GC9060BK-M</v>
      </c>
      <c r="C576" s="1" t="s">
        <v>79</v>
      </c>
      <c r="D576" s="1" t="s">
        <v>543</v>
      </c>
      <c r="E576" s="1" t="s">
        <v>385</v>
      </c>
      <c r="F576" s="1" t="s">
        <v>386</v>
      </c>
      <c r="G576" s="1" t="s">
        <v>387</v>
      </c>
      <c r="H576" s="1">
        <v>1998</v>
      </c>
      <c r="I576" s="3">
        <v>46256</v>
      </c>
      <c r="L576" s="22">
        <v>46256.495818206015</v>
      </c>
      <c r="M576" s="20">
        <v>12</v>
      </c>
      <c r="N576" s="1">
        <v>2</v>
      </c>
    </row>
    <row r="577" spans="1:14" x14ac:dyDescent="0.25">
      <c r="A577" t="str">
        <f t="shared" si="18"/>
        <v>78661167866116</v>
      </c>
      <c r="B577" t="str">
        <f t="shared" si="19"/>
        <v>7866116GC9060BK-M</v>
      </c>
      <c r="C577" s="1" t="s">
        <v>79</v>
      </c>
      <c r="D577" s="1" t="s">
        <v>543</v>
      </c>
      <c r="E577" s="1" t="s">
        <v>385</v>
      </c>
      <c r="F577" s="1" t="s">
        <v>386</v>
      </c>
      <c r="G577" s="1" t="s">
        <v>387</v>
      </c>
      <c r="H577" s="1">
        <v>1998</v>
      </c>
      <c r="I577" s="3">
        <v>46256</v>
      </c>
      <c r="L577" s="22">
        <v>46256.496176620371</v>
      </c>
      <c r="M577" s="20">
        <v>12</v>
      </c>
      <c r="N577" s="1">
        <v>68</v>
      </c>
    </row>
    <row r="578" spans="1:14" x14ac:dyDescent="0.25">
      <c r="A578" t="str">
        <f t="shared" ref="A578:A641" si="20">+D578&amp;D578</f>
        <v>78661167866116</v>
      </c>
      <c r="B578" t="str">
        <f t="shared" ref="B578:B641" si="21">+D578&amp;C578</f>
        <v>7866116GC9060BK-M</v>
      </c>
      <c r="C578" s="1" t="s">
        <v>79</v>
      </c>
      <c r="D578" s="1" t="s">
        <v>543</v>
      </c>
      <c r="E578" s="1" t="s">
        <v>385</v>
      </c>
      <c r="F578" s="1" t="s">
        <v>386</v>
      </c>
      <c r="G578" s="1" t="s">
        <v>387</v>
      </c>
      <c r="H578" s="1">
        <v>1998</v>
      </c>
      <c r="I578" s="3">
        <v>46256</v>
      </c>
      <c r="L578" s="22">
        <v>46256.496489120371</v>
      </c>
      <c r="M578" s="20">
        <v>12</v>
      </c>
      <c r="N578" s="1">
        <v>93</v>
      </c>
    </row>
    <row r="579" spans="1:14" x14ac:dyDescent="0.25">
      <c r="A579" t="str">
        <f t="shared" si="20"/>
        <v>78661167866116</v>
      </c>
      <c r="B579" t="str">
        <f t="shared" si="21"/>
        <v>7866116GC9060BK-M</v>
      </c>
      <c r="C579" s="1" t="s">
        <v>79</v>
      </c>
      <c r="D579" s="1" t="s">
        <v>543</v>
      </c>
      <c r="E579" s="1" t="s">
        <v>385</v>
      </c>
      <c r="F579" s="1" t="s">
        <v>386</v>
      </c>
      <c r="G579" s="1" t="s">
        <v>387</v>
      </c>
      <c r="H579" s="1">
        <v>1998</v>
      </c>
      <c r="I579" s="3">
        <v>46256</v>
      </c>
      <c r="L579" s="22">
        <v>46256.498860416665</v>
      </c>
      <c r="M579" s="20">
        <v>12</v>
      </c>
      <c r="N579" s="1">
        <v>12</v>
      </c>
    </row>
    <row r="580" spans="1:14" x14ac:dyDescent="0.25">
      <c r="A580" t="str">
        <f t="shared" si="20"/>
        <v>78661167866116</v>
      </c>
      <c r="B580" t="str">
        <f t="shared" si="21"/>
        <v>7866116GC9060BK-M</v>
      </c>
      <c r="C580" s="1" t="s">
        <v>79</v>
      </c>
      <c r="D580" s="1" t="s">
        <v>543</v>
      </c>
      <c r="E580" s="1" t="s">
        <v>385</v>
      </c>
      <c r="F580" s="1" t="s">
        <v>386</v>
      </c>
      <c r="G580" s="1" t="s">
        <v>387</v>
      </c>
      <c r="H580" s="1">
        <v>1998</v>
      </c>
      <c r="I580" s="3">
        <v>46256</v>
      </c>
      <c r="L580" s="22">
        <v>46256.499908993057</v>
      </c>
      <c r="M580" s="20">
        <v>12</v>
      </c>
      <c r="N580" s="1">
        <v>72</v>
      </c>
    </row>
    <row r="581" spans="1:14" x14ac:dyDescent="0.25">
      <c r="A581" t="str">
        <f t="shared" si="20"/>
        <v>78661167866116</v>
      </c>
      <c r="B581" t="str">
        <f t="shared" si="21"/>
        <v>7866116GC9060BK-M</v>
      </c>
      <c r="C581" s="1" t="s">
        <v>79</v>
      </c>
      <c r="D581" s="1" t="s">
        <v>543</v>
      </c>
      <c r="E581" s="1" t="s">
        <v>385</v>
      </c>
      <c r="F581" s="1" t="s">
        <v>386</v>
      </c>
      <c r="G581" s="1" t="s">
        <v>387</v>
      </c>
      <c r="H581" s="1">
        <v>1998</v>
      </c>
      <c r="I581" s="3">
        <v>46256</v>
      </c>
      <c r="L581" s="22">
        <v>46256.500189085644</v>
      </c>
      <c r="M581" s="20">
        <v>12</v>
      </c>
      <c r="N581" s="1">
        <v>10</v>
      </c>
    </row>
    <row r="582" spans="1:14" x14ac:dyDescent="0.25">
      <c r="A582" t="str">
        <f t="shared" si="20"/>
        <v>78661167866116</v>
      </c>
      <c r="B582" t="str">
        <f t="shared" si="21"/>
        <v>7866116GC9060BK-M</v>
      </c>
      <c r="C582" s="1" t="s">
        <v>79</v>
      </c>
      <c r="D582" s="1" t="s">
        <v>543</v>
      </c>
      <c r="E582" s="1" t="s">
        <v>385</v>
      </c>
      <c r="F582" s="1" t="s">
        <v>386</v>
      </c>
      <c r="G582" s="1" t="s">
        <v>387</v>
      </c>
      <c r="H582" s="1">
        <v>1998</v>
      </c>
      <c r="I582" s="3">
        <v>46256</v>
      </c>
      <c r="L582" s="22">
        <v>46256.501032407403</v>
      </c>
      <c r="M582" s="20">
        <v>12</v>
      </c>
      <c r="N582" s="1">
        <v>126</v>
      </c>
    </row>
    <row r="583" spans="1:14" x14ac:dyDescent="0.25">
      <c r="A583" t="str">
        <f t="shared" si="20"/>
        <v>H176740H176740</v>
      </c>
      <c r="B583" t="str">
        <f t="shared" si="21"/>
        <v>H176740M5748EK-D</v>
      </c>
      <c r="C583" s="1" t="s">
        <v>544</v>
      </c>
      <c r="D583" s="1" t="s">
        <v>545</v>
      </c>
      <c r="E583" s="1" t="s">
        <v>426</v>
      </c>
      <c r="F583" s="1" t="s">
        <v>427</v>
      </c>
      <c r="G583" s="1">
        <v>0</v>
      </c>
      <c r="H583" s="1">
        <v>2622</v>
      </c>
      <c r="I583" s="3">
        <v>46256</v>
      </c>
      <c r="J583" s="3">
        <v>46286</v>
      </c>
      <c r="K583" s="3" t="s">
        <v>2374</v>
      </c>
      <c r="L583" s="22">
        <v>46256.393167094902</v>
      </c>
      <c r="M583" s="20">
        <v>12</v>
      </c>
      <c r="N583" s="1">
        <v>42</v>
      </c>
    </row>
    <row r="584" spans="1:14" x14ac:dyDescent="0.25">
      <c r="A584" t="str">
        <f t="shared" si="20"/>
        <v>H176740H176740</v>
      </c>
      <c r="B584" t="str">
        <f t="shared" si="21"/>
        <v>H176740M5748EK-D</v>
      </c>
      <c r="C584" s="1" t="s">
        <v>544</v>
      </c>
      <c r="D584" s="1" t="s">
        <v>545</v>
      </c>
      <c r="E584" s="1" t="s">
        <v>426</v>
      </c>
      <c r="F584" s="1" t="s">
        <v>427</v>
      </c>
      <c r="G584" s="1">
        <v>0</v>
      </c>
      <c r="H584" s="1">
        <v>2622</v>
      </c>
      <c r="I584" s="3">
        <v>46256</v>
      </c>
      <c r="J584" s="3">
        <v>46286</v>
      </c>
      <c r="K584" s="3" t="s">
        <v>2374</v>
      </c>
      <c r="L584" s="22">
        <v>46256.400466666666</v>
      </c>
      <c r="M584" s="20">
        <v>12</v>
      </c>
      <c r="N584" s="1">
        <v>173</v>
      </c>
    </row>
    <row r="585" spans="1:14" x14ac:dyDescent="0.25">
      <c r="A585" t="str">
        <f t="shared" si="20"/>
        <v>H176740H176740</v>
      </c>
      <c r="B585" t="str">
        <f t="shared" si="21"/>
        <v>H176740M5748EK-D</v>
      </c>
      <c r="C585" s="1" t="s">
        <v>544</v>
      </c>
      <c r="D585" s="1" t="s">
        <v>545</v>
      </c>
      <c r="E585" s="1" t="s">
        <v>426</v>
      </c>
      <c r="F585" s="1" t="s">
        <v>427</v>
      </c>
      <c r="G585" s="1">
        <v>0</v>
      </c>
      <c r="H585" s="1">
        <v>2622</v>
      </c>
      <c r="I585" s="3">
        <v>46256</v>
      </c>
      <c r="J585" s="3">
        <v>46286</v>
      </c>
      <c r="K585" s="3" t="s">
        <v>2374</v>
      </c>
      <c r="L585" s="22">
        <v>46256.407751122686</v>
      </c>
      <c r="M585" s="20">
        <v>12</v>
      </c>
      <c r="N585" s="1">
        <v>39</v>
      </c>
    </row>
    <row r="586" spans="1:14" x14ac:dyDescent="0.25">
      <c r="A586" t="str">
        <f t="shared" si="20"/>
        <v>H176740H176740</v>
      </c>
      <c r="B586" t="str">
        <f t="shared" si="21"/>
        <v>H176740M5748EK-D</v>
      </c>
      <c r="C586" s="1" t="s">
        <v>544</v>
      </c>
      <c r="D586" s="1" t="s">
        <v>545</v>
      </c>
      <c r="E586" s="1" t="s">
        <v>426</v>
      </c>
      <c r="F586" s="1" t="s">
        <v>427</v>
      </c>
      <c r="G586" s="1">
        <v>0</v>
      </c>
      <c r="H586" s="1">
        <v>2622</v>
      </c>
      <c r="I586" s="3">
        <v>46256</v>
      </c>
      <c r="J586" s="3">
        <v>46286</v>
      </c>
      <c r="K586" s="3" t="s">
        <v>2374</v>
      </c>
      <c r="L586" s="22">
        <v>46256.408239699071</v>
      </c>
      <c r="M586" s="20">
        <v>12</v>
      </c>
      <c r="N586" s="1">
        <v>105</v>
      </c>
    </row>
    <row r="587" spans="1:14" x14ac:dyDescent="0.25">
      <c r="A587" t="str">
        <f t="shared" si="20"/>
        <v>H176740H176740</v>
      </c>
      <c r="B587" t="str">
        <f t="shared" si="21"/>
        <v>H176740M5748EK-D</v>
      </c>
      <c r="C587" s="1" t="s">
        <v>544</v>
      </c>
      <c r="D587" s="1" t="s">
        <v>545</v>
      </c>
      <c r="E587" s="1" t="s">
        <v>426</v>
      </c>
      <c r="F587" s="1" t="s">
        <v>427</v>
      </c>
      <c r="G587" s="1">
        <v>0</v>
      </c>
      <c r="H587" s="1">
        <v>2622</v>
      </c>
      <c r="I587" s="3">
        <v>46256</v>
      </c>
      <c r="J587" s="3">
        <v>46286</v>
      </c>
      <c r="K587" s="3" t="s">
        <v>2374</v>
      </c>
      <c r="L587" s="22">
        <v>46256.408538773147</v>
      </c>
      <c r="M587" s="20">
        <v>12</v>
      </c>
      <c r="N587" s="1">
        <v>43</v>
      </c>
    </row>
    <row r="588" spans="1:14" x14ac:dyDescent="0.25">
      <c r="A588" t="str">
        <f t="shared" si="20"/>
        <v>H176740H176740</v>
      </c>
      <c r="B588" t="str">
        <f t="shared" si="21"/>
        <v>H176740M5748EK-D</v>
      </c>
      <c r="C588" s="1" t="s">
        <v>544</v>
      </c>
      <c r="D588" s="1" t="s">
        <v>545</v>
      </c>
      <c r="E588" s="1" t="s">
        <v>426</v>
      </c>
      <c r="F588" s="1" t="s">
        <v>427</v>
      </c>
      <c r="G588" s="1">
        <v>0</v>
      </c>
      <c r="H588" s="1">
        <v>2622</v>
      </c>
      <c r="I588" s="3">
        <v>46256</v>
      </c>
      <c r="J588" s="3">
        <v>46286</v>
      </c>
      <c r="K588" s="3" t="s">
        <v>2374</v>
      </c>
      <c r="L588" s="22">
        <v>46256.409280208332</v>
      </c>
      <c r="M588" s="20">
        <v>12</v>
      </c>
      <c r="N588" s="1">
        <v>5</v>
      </c>
    </row>
    <row r="589" spans="1:14" x14ac:dyDescent="0.25">
      <c r="A589" t="str">
        <f t="shared" si="20"/>
        <v>H176740H176740</v>
      </c>
      <c r="B589" t="str">
        <f t="shared" si="21"/>
        <v>H176740M5748EK-D</v>
      </c>
      <c r="C589" s="1" t="s">
        <v>544</v>
      </c>
      <c r="D589" s="1" t="s">
        <v>545</v>
      </c>
      <c r="E589" s="1" t="s">
        <v>426</v>
      </c>
      <c r="F589" s="1" t="s">
        <v>427</v>
      </c>
      <c r="G589" s="1">
        <v>0</v>
      </c>
      <c r="H589" s="1">
        <v>2622</v>
      </c>
      <c r="I589" s="3">
        <v>46256</v>
      </c>
      <c r="J589" s="3">
        <v>46286</v>
      </c>
      <c r="K589" s="3" t="s">
        <v>2374</v>
      </c>
      <c r="L589" s="22">
        <v>46256.414176620368</v>
      </c>
      <c r="M589" s="20">
        <v>12</v>
      </c>
      <c r="N589" s="1">
        <v>44</v>
      </c>
    </row>
    <row r="590" spans="1:14" x14ac:dyDescent="0.25">
      <c r="A590" t="str">
        <f t="shared" si="20"/>
        <v>H176740H176740</v>
      </c>
      <c r="B590" t="str">
        <f t="shared" si="21"/>
        <v>H176740M5748EK-D</v>
      </c>
      <c r="C590" s="1" t="s">
        <v>544</v>
      </c>
      <c r="D590" s="1" t="s">
        <v>545</v>
      </c>
      <c r="E590" s="1" t="s">
        <v>426</v>
      </c>
      <c r="F590" s="1" t="s">
        <v>427</v>
      </c>
      <c r="G590" s="1">
        <v>0</v>
      </c>
      <c r="H590" s="1">
        <v>2622</v>
      </c>
      <c r="I590" s="3">
        <v>46256</v>
      </c>
      <c r="J590" s="3">
        <v>46286</v>
      </c>
      <c r="K590" s="3" t="s">
        <v>2374</v>
      </c>
      <c r="L590" s="22">
        <v>46256.414760763888</v>
      </c>
      <c r="M590" s="20">
        <v>12</v>
      </c>
      <c r="N590" s="1">
        <v>6</v>
      </c>
    </row>
    <row r="591" spans="1:14" x14ac:dyDescent="0.25">
      <c r="A591" t="str">
        <f t="shared" si="20"/>
        <v>H176740H176740</v>
      </c>
      <c r="B591" t="str">
        <f t="shared" si="21"/>
        <v>H176740M5748EK-D</v>
      </c>
      <c r="C591" s="1" t="s">
        <v>544</v>
      </c>
      <c r="D591" s="1" t="s">
        <v>545</v>
      </c>
      <c r="E591" s="1" t="s">
        <v>426</v>
      </c>
      <c r="F591" s="1" t="s">
        <v>427</v>
      </c>
      <c r="G591" s="1">
        <v>0</v>
      </c>
      <c r="H591" s="1">
        <v>2622</v>
      </c>
      <c r="I591" s="3">
        <v>46256</v>
      </c>
      <c r="J591" s="3">
        <v>46286</v>
      </c>
      <c r="K591" s="3" t="s">
        <v>2374</v>
      </c>
      <c r="L591" s="22">
        <v>46256.414991550926</v>
      </c>
      <c r="M591" s="20">
        <v>12</v>
      </c>
      <c r="N591" s="1">
        <v>175</v>
      </c>
    </row>
    <row r="592" spans="1:14" x14ac:dyDescent="0.25">
      <c r="A592" t="str">
        <f t="shared" si="20"/>
        <v>H176740H176740</v>
      </c>
      <c r="B592" t="str">
        <f t="shared" si="21"/>
        <v>H176740M5748EK-D</v>
      </c>
      <c r="C592" s="1" t="s">
        <v>544</v>
      </c>
      <c r="D592" s="1" t="s">
        <v>545</v>
      </c>
      <c r="E592" s="1" t="s">
        <v>426</v>
      </c>
      <c r="F592" s="1" t="s">
        <v>427</v>
      </c>
      <c r="G592" s="1">
        <v>0</v>
      </c>
      <c r="H592" s="1">
        <v>2622</v>
      </c>
      <c r="I592" s="3">
        <v>46256</v>
      </c>
      <c r="J592" s="3">
        <v>46286</v>
      </c>
      <c r="K592" s="3" t="s">
        <v>2374</v>
      </c>
      <c r="L592" s="22">
        <v>46256.415208599537</v>
      </c>
      <c r="M592" s="20">
        <v>12</v>
      </c>
      <c r="N592" s="1">
        <v>8</v>
      </c>
    </row>
    <row r="593" spans="1:14" x14ac:dyDescent="0.25">
      <c r="A593" t="str">
        <f t="shared" si="20"/>
        <v>H176740H176740</v>
      </c>
      <c r="B593" t="str">
        <f t="shared" si="21"/>
        <v>H176740M5748EK-D</v>
      </c>
      <c r="C593" s="1" t="s">
        <v>544</v>
      </c>
      <c r="D593" s="1" t="s">
        <v>545</v>
      </c>
      <c r="E593" s="1" t="s">
        <v>426</v>
      </c>
      <c r="F593" s="1" t="s">
        <v>427</v>
      </c>
      <c r="G593" s="1">
        <v>0</v>
      </c>
      <c r="H593" s="1">
        <v>2622</v>
      </c>
      <c r="I593" s="3">
        <v>46256</v>
      </c>
      <c r="J593" s="3">
        <v>46286</v>
      </c>
      <c r="K593" s="3" t="s">
        <v>2374</v>
      </c>
      <c r="L593" s="22">
        <v>46256.41572380787</v>
      </c>
      <c r="M593" s="20">
        <v>12</v>
      </c>
      <c r="N593" s="1">
        <v>106</v>
      </c>
    </row>
    <row r="594" spans="1:14" x14ac:dyDescent="0.25">
      <c r="A594" t="str">
        <f t="shared" si="20"/>
        <v>H176740H176740</v>
      </c>
      <c r="B594" t="str">
        <f t="shared" si="21"/>
        <v>H176740M5748EK-D</v>
      </c>
      <c r="C594" s="1" t="s">
        <v>544</v>
      </c>
      <c r="D594" s="1" t="s">
        <v>545</v>
      </c>
      <c r="E594" s="1" t="s">
        <v>426</v>
      </c>
      <c r="F594" s="1" t="s">
        <v>427</v>
      </c>
      <c r="G594" s="1">
        <v>0</v>
      </c>
      <c r="H594" s="1">
        <v>2622</v>
      </c>
      <c r="I594" s="3">
        <v>46256</v>
      </c>
      <c r="J594" s="3">
        <v>46286</v>
      </c>
      <c r="K594" s="3" t="s">
        <v>2374</v>
      </c>
      <c r="L594" s="22">
        <v>46256.416061145828</v>
      </c>
      <c r="M594" s="20">
        <v>12</v>
      </c>
      <c r="N594" s="1">
        <v>104</v>
      </c>
    </row>
    <row r="595" spans="1:14" x14ac:dyDescent="0.25">
      <c r="A595" t="str">
        <f t="shared" si="20"/>
        <v>H176740H176740</v>
      </c>
      <c r="B595" t="str">
        <f t="shared" si="21"/>
        <v>H176740M5748EK-D</v>
      </c>
      <c r="C595" s="1" t="s">
        <v>544</v>
      </c>
      <c r="D595" s="1" t="s">
        <v>545</v>
      </c>
      <c r="E595" s="1" t="s">
        <v>426</v>
      </c>
      <c r="F595" s="1" t="s">
        <v>427</v>
      </c>
      <c r="G595" s="1">
        <v>0</v>
      </c>
      <c r="H595" s="1">
        <v>2622</v>
      </c>
      <c r="I595" s="3">
        <v>46256</v>
      </c>
      <c r="J595" s="3">
        <v>46286</v>
      </c>
      <c r="K595" s="3" t="s">
        <v>2374</v>
      </c>
      <c r="L595" s="22">
        <v>46256.416742511574</v>
      </c>
      <c r="M595" s="20">
        <v>12</v>
      </c>
      <c r="N595" s="1">
        <v>176</v>
      </c>
    </row>
    <row r="596" spans="1:14" x14ac:dyDescent="0.25">
      <c r="A596" t="str">
        <f t="shared" si="20"/>
        <v>H176740H176740</v>
      </c>
      <c r="B596" t="str">
        <f t="shared" si="21"/>
        <v>H176740M5748EK-D</v>
      </c>
      <c r="C596" s="1" t="s">
        <v>544</v>
      </c>
      <c r="D596" s="1" t="s">
        <v>545</v>
      </c>
      <c r="E596" s="1" t="s">
        <v>426</v>
      </c>
      <c r="F596" s="1" t="s">
        <v>427</v>
      </c>
      <c r="G596" s="1">
        <v>0</v>
      </c>
      <c r="H596" s="1">
        <v>2622</v>
      </c>
      <c r="I596" s="3">
        <v>46256</v>
      </c>
      <c r="J596" s="3">
        <v>46286</v>
      </c>
      <c r="K596" s="3" t="s">
        <v>2374</v>
      </c>
      <c r="L596" s="22">
        <v>46256.41699586805</v>
      </c>
      <c r="M596" s="20">
        <v>12</v>
      </c>
      <c r="N596" s="1">
        <v>182</v>
      </c>
    </row>
    <row r="597" spans="1:14" x14ac:dyDescent="0.25">
      <c r="A597" t="str">
        <f t="shared" si="20"/>
        <v>H176740H176740</v>
      </c>
      <c r="B597" t="str">
        <f t="shared" si="21"/>
        <v>H176740M5748EK-D</v>
      </c>
      <c r="C597" s="1" t="s">
        <v>544</v>
      </c>
      <c r="D597" s="1" t="s">
        <v>545</v>
      </c>
      <c r="E597" s="1" t="s">
        <v>426</v>
      </c>
      <c r="F597" s="1" t="s">
        <v>427</v>
      </c>
      <c r="G597" s="1">
        <v>0</v>
      </c>
      <c r="H597" s="1">
        <v>2622</v>
      </c>
      <c r="I597" s="3">
        <v>46256</v>
      </c>
      <c r="J597" s="3">
        <v>46286</v>
      </c>
      <c r="K597" s="3" t="s">
        <v>2374</v>
      </c>
      <c r="L597" s="22">
        <v>46256.417294675921</v>
      </c>
      <c r="M597" s="20">
        <v>12</v>
      </c>
      <c r="N597" s="1">
        <v>1</v>
      </c>
    </row>
    <row r="598" spans="1:14" x14ac:dyDescent="0.25">
      <c r="A598" t="str">
        <f t="shared" si="20"/>
        <v>H176740H176740</v>
      </c>
      <c r="B598" t="str">
        <f t="shared" si="21"/>
        <v>H176740M5748EK-D</v>
      </c>
      <c r="C598" s="1" t="s">
        <v>544</v>
      </c>
      <c r="D598" s="1" t="s">
        <v>545</v>
      </c>
      <c r="E598" s="1" t="s">
        <v>426</v>
      </c>
      <c r="F598" s="1" t="s">
        <v>427</v>
      </c>
      <c r="G598" s="1">
        <v>0</v>
      </c>
      <c r="H598" s="1">
        <v>2622</v>
      </c>
      <c r="I598" s="3">
        <v>46256</v>
      </c>
      <c r="J598" s="3">
        <v>46286</v>
      </c>
      <c r="K598" s="3" t="s">
        <v>2374</v>
      </c>
      <c r="L598" s="22">
        <v>46256.41757878472</v>
      </c>
      <c r="M598" s="20">
        <v>12</v>
      </c>
      <c r="N598" s="1">
        <v>167</v>
      </c>
    </row>
    <row r="599" spans="1:14" x14ac:dyDescent="0.25">
      <c r="A599" t="str">
        <f t="shared" si="20"/>
        <v>H176740H176740</v>
      </c>
      <c r="B599" t="str">
        <f t="shared" si="21"/>
        <v>H176740M5748EK-D</v>
      </c>
      <c r="C599" s="1" t="s">
        <v>544</v>
      </c>
      <c r="D599" s="1" t="s">
        <v>545</v>
      </c>
      <c r="E599" s="1" t="s">
        <v>426</v>
      </c>
      <c r="F599" s="1" t="s">
        <v>427</v>
      </c>
      <c r="G599" s="1">
        <v>0</v>
      </c>
      <c r="H599" s="1">
        <v>2622</v>
      </c>
      <c r="I599" s="3">
        <v>46256</v>
      </c>
      <c r="J599" s="3">
        <v>46286</v>
      </c>
      <c r="K599" s="3" t="s">
        <v>2374</v>
      </c>
      <c r="L599" s="22">
        <v>46256.417786423612</v>
      </c>
      <c r="M599" s="20">
        <v>12</v>
      </c>
      <c r="N599" s="1">
        <v>40</v>
      </c>
    </row>
    <row r="600" spans="1:14" x14ac:dyDescent="0.25">
      <c r="A600" t="str">
        <f t="shared" si="20"/>
        <v>H176740H176740</v>
      </c>
      <c r="B600" t="str">
        <f t="shared" si="21"/>
        <v>H176740M5748EK-D</v>
      </c>
      <c r="C600" s="1" t="s">
        <v>544</v>
      </c>
      <c r="D600" s="1" t="s">
        <v>545</v>
      </c>
      <c r="E600" s="1" t="s">
        <v>426</v>
      </c>
      <c r="F600" s="1" t="s">
        <v>427</v>
      </c>
      <c r="G600" s="1">
        <v>0</v>
      </c>
      <c r="H600" s="1">
        <v>2622</v>
      </c>
      <c r="I600" s="3">
        <v>46256</v>
      </c>
      <c r="J600" s="3">
        <v>46286</v>
      </c>
      <c r="K600" s="3" t="s">
        <v>2374</v>
      </c>
      <c r="L600" s="22">
        <v>46256.418073958332</v>
      </c>
      <c r="M600" s="20">
        <v>12</v>
      </c>
      <c r="N600" s="1">
        <v>170</v>
      </c>
    </row>
    <row r="601" spans="1:14" x14ac:dyDescent="0.25">
      <c r="A601" t="str">
        <f t="shared" si="20"/>
        <v>H176740H176740</v>
      </c>
      <c r="B601" t="str">
        <f t="shared" si="21"/>
        <v>H176740M5748EK-D</v>
      </c>
      <c r="C601" s="1" t="s">
        <v>544</v>
      </c>
      <c r="D601" s="1" t="s">
        <v>545</v>
      </c>
      <c r="E601" s="1" t="s">
        <v>426</v>
      </c>
      <c r="F601" s="1" t="s">
        <v>427</v>
      </c>
      <c r="G601" s="1">
        <v>0</v>
      </c>
      <c r="H601" s="1">
        <v>2622</v>
      </c>
      <c r="I601" s="3">
        <v>46256</v>
      </c>
      <c r="J601" s="3">
        <v>46286</v>
      </c>
      <c r="K601" s="3" t="s">
        <v>2374</v>
      </c>
      <c r="L601" s="22">
        <v>46256.418589664347</v>
      </c>
      <c r="M601" s="20">
        <v>12</v>
      </c>
      <c r="N601" s="1">
        <v>7</v>
      </c>
    </row>
    <row r="602" spans="1:14" x14ac:dyDescent="0.25">
      <c r="A602" t="str">
        <f t="shared" si="20"/>
        <v>H176740H176740</v>
      </c>
      <c r="B602" t="str">
        <f t="shared" si="21"/>
        <v>H176740M5748EK-D</v>
      </c>
      <c r="C602" s="1" t="s">
        <v>544</v>
      </c>
      <c r="D602" s="1" t="s">
        <v>545</v>
      </c>
      <c r="E602" s="1" t="s">
        <v>426</v>
      </c>
      <c r="F602" s="1" t="s">
        <v>427</v>
      </c>
      <c r="G602" s="1">
        <v>0</v>
      </c>
      <c r="H602" s="1">
        <v>2622</v>
      </c>
      <c r="I602" s="3">
        <v>46256</v>
      </c>
      <c r="J602" s="3">
        <v>46286</v>
      </c>
      <c r="K602" s="3" t="s">
        <v>2374</v>
      </c>
      <c r="L602" s="22">
        <v>46256.418823842592</v>
      </c>
      <c r="M602" s="20">
        <v>12</v>
      </c>
      <c r="N602" s="1">
        <v>41</v>
      </c>
    </row>
    <row r="603" spans="1:14" x14ac:dyDescent="0.25">
      <c r="A603" t="str">
        <f t="shared" si="20"/>
        <v>H176740H176740</v>
      </c>
      <c r="B603" t="str">
        <f t="shared" si="21"/>
        <v>H176740M5748EK-D</v>
      </c>
      <c r="C603" s="1" t="s">
        <v>544</v>
      </c>
      <c r="D603" s="1" t="s">
        <v>545</v>
      </c>
      <c r="E603" s="1" t="s">
        <v>426</v>
      </c>
      <c r="F603" s="1" t="s">
        <v>427</v>
      </c>
      <c r="G603" s="1">
        <v>0</v>
      </c>
      <c r="H603" s="1">
        <v>2622</v>
      </c>
      <c r="I603" s="3">
        <v>46256</v>
      </c>
      <c r="J603" s="3">
        <v>46286</v>
      </c>
      <c r="K603" s="3" t="s">
        <v>2374</v>
      </c>
      <c r="L603" s="22">
        <v>46256.419250891202</v>
      </c>
      <c r="M603" s="20">
        <v>12</v>
      </c>
      <c r="N603" s="1">
        <v>169</v>
      </c>
    </row>
    <row r="604" spans="1:14" x14ac:dyDescent="0.25">
      <c r="A604" t="str">
        <f t="shared" si="20"/>
        <v>H176740H176740</v>
      </c>
      <c r="B604" t="str">
        <f t="shared" si="21"/>
        <v>H176740M5748EK-D</v>
      </c>
      <c r="C604" s="1" t="s">
        <v>544</v>
      </c>
      <c r="D604" s="1" t="s">
        <v>545</v>
      </c>
      <c r="E604" s="1" t="s">
        <v>426</v>
      </c>
      <c r="F604" s="1" t="s">
        <v>427</v>
      </c>
      <c r="G604" s="1">
        <v>0</v>
      </c>
      <c r="H604" s="1">
        <v>2622</v>
      </c>
      <c r="I604" s="3">
        <v>46256</v>
      </c>
      <c r="J604" s="3">
        <v>46286</v>
      </c>
      <c r="K604" s="3" t="s">
        <v>2374</v>
      </c>
      <c r="L604" s="22">
        <v>46256.419518437498</v>
      </c>
      <c r="M604" s="20">
        <v>12</v>
      </c>
      <c r="N604" s="1">
        <v>4</v>
      </c>
    </row>
    <row r="605" spans="1:14" x14ac:dyDescent="0.25">
      <c r="A605" t="str">
        <f t="shared" si="20"/>
        <v>H176740H176740</v>
      </c>
      <c r="B605" t="str">
        <f t="shared" si="21"/>
        <v>H176740M5748EK-D</v>
      </c>
      <c r="C605" s="1" t="s">
        <v>544</v>
      </c>
      <c r="D605" s="1" t="s">
        <v>545</v>
      </c>
      <c r="E605" s="1" t="s">
        <v>426</v>
      </c>
      <c r="F605" s="1" t="s">
        <v>427</v>
      </c>
      <c r="G605" s="1">
        <v>0</v>
      </c>
      <c r="H605" s="1">
        <v>2622</v>
      </c>
      <c r="I605" s="3">
        <v>46256</v>
      </c>
      <c r="J605" s="3">
        <v>46286</v>
      </c>
      <c r="K605" s="3" t="s">
        <v>2374</v>
      </c>
      <c r="L605" s="22">
        <v>46256.421538969902</v>
      </c>
      <c r="M605" s="20">
        <v>12</v>
      </c>
      <c r="N605" s="1">
        <v>38</v>
      </c>
    </row>
    <row r="606" spans="1:14" x14ac:dyDescent="0.25">
      <c r="A606" t="str">
        <f t="shared" si="20"/>
        <v>H176740H176740</v>
      </c>
      <c r="B606" t="str">
        <f t="shared" si="21"/>
        <v>H176740M5748EK-D</v>
      </c>
      <c r="C606" s="1" t="s">
        <v>544</v>
      </c>
      <c r="D606" s="1" t="s">
        <v>545</v>
      </c>
      <c r="E606" s="1" t="s">
        <v>426</v>
      </c>
      <c r="F606" s="1" t="s">
        <v>427</v>
      </c>
      <c r="G606" s="1">
        <v>0</v>
      </c>
      <c r="H606" s="1">
        <v>2622</v>
      </c>
      <c r="I606" s="3">
        <v>46256</v>
      </c>
      <c r="J606" s="3">
        <v>46286</v>
      </c>
      <c r="K606" s="3" t="s">
        <v>2374</v>
      </c>
      <c r="L606" s="22">
        <v>46256.421980983796</v>
      </c>
      <c r="M606" s="20">
        <v>12</v>
      </c>
      <c r="N606" s="1">
        <v>103</v>
      </c>
    </row>
    <row r="607" spans="1:14" x14ac:dyDescent="0.25">
      <c r="A607" t="str">
        <f t="shared" si="20"/>
        <v>H176740H176740</v>
      </c>
      <c r="B607" t="str">
        <f t="shared" si="21"/>
        <v>H176740M5748EK-D</v>
      </c>
      <c r="C607" s="1" t="s">
        <v>544</v>
      </c>
      <c r="D607" s="1" t="s">
        <v>545</v>
      </c>
      <c r="E607" s="1" t="s">
        <v>426</v>
      </c>
      <c r="F607" s="1" t="s">
        <v>427</v>
      </c>
      <c r="G607" s="1">
        <v>0</v>
      </c>
      <c r="H607" s="1">
        <v>2622</v>
      </c>
      <c r="I607" s="3">
        <v>46256</v>
      </c>
      <c r="J607" s="3">
        <v>46286</v>
      </c>
      <c r="K607" s="3" t="s">
        <v>2374</v>
      </c>
      <c r="L607" s="22">
        <v>46256.422341087964</v>
      </c>
      <c r="M607" s="20">
        <v>12</v>
      </c>
      <c r="N607" s="1">
        <v>174</v>
      </c>
    </row>
    <row r="608" spans="1:14" x14ac:dyDescent="0.25">
      <c r="A608" t="str">
        <f t="shared" si="20"/>
        <v>H176740H176740</v>
      </c>
      <c r="B608" t="str">
        <f t="shared" si="21"/>
        <v>H176740M5748EK-D</v>
      </c>
      <c r="C608" s="1" t="s">
        <v>544</v>
      </c>
      <c r="D608" s="1" t="s">
        <v>545</v>
      </c>
      <c r="E608" s="1" t="s">
        <v>426</v>
      </c>
      <c r="F608" s="1" t="s">
        <v>427</v>
      </c>
      <c r="G608" s="1">
        <v>0</v>
      </c>
      <c r="H608" s="1">
        <v>2622</v>
      </c>
      <c r="I608" s="3">
        <v>46256</v>
      </c>
      <c r="J608" s="3">
        <v>46286</v>
      </c>
      <c r="K608" s="3" t="s">
        <v>2374</v>
      </c>
      <c r="L608" s="22">
        <v>46256.423441284722</v>
      </c>
      <c r="M608" s="20">
        <v>12</v>
      </c>
      <c r="N608" s="1">
        <v>168</v>
      </c>
    </row>
    <row r="609" spans="1:14" x14ac:dyDescent="0.25">
      <c r="A609" t="str">
        <f t="shared" si="20"/>
        <v>H176740H176740</v>
      </c>
      <c r="B609" t="str">
        <f t="shared" si="21"/>
        <v>H176740M5748EK-D</v>
      </c>
      <c r="C609" s="1" t="s">
        <v>544</v>
      </c>
      <c r="D609" s="1" t="s">
        <v>545</v>
      </c>
      <c r="E609" s="1" t="s">
        <v>426</v>
      </c>
      <c r="F609" s="1" t="s">
        <v>427</v>
      </c>
      <c r="G609" s="1">
        <v>0</v>
      </c>
      <c r="H609" s="1">
        <v>2622</v>
      </c>
      <c r="I609" s="3">
        <v>46256</v>
      </c>
      <c r="J609" s="3">
        <v>46286</v>
      </c>
      <c r="K609" s="3" t="s">
        <v>2374</v>
      </c>
      <c r="L609" s="22">
        <v>46256.425464930551</v>
      </c>
      <c r="M609" s="20">
        <v>12</v>
      </c>
      <c r="N609" s="1">
        <v>171</v>
      </c>
    </row>
    <row r="610" spans="1:14" x14ac:dyDescent="0.25">
      <c r="A610" t="str">
        <f t="shared" si="20"/>
        <v>H176740H176740</v>
      </c>
      <c r="B610" t="str">
        <f t="shared" si="21"/>
        <v>H176740M5748EK-D</v>
      </c>
      <c r="C610" s="1" t="s">
        <v>544</v>
      </c>
      <c r="D610" s="1" t="s">
        <v>545</v>
      </c>
      <c r="E610" s="1" t="s">
        <v>426</v>
      </c>
      <c r="F610" s="1" t="s">
        <v>427</v>
      </c>
      <c r="G610" s="1">
        <v>0</v>
      </c>
      <c r="H610" s="1">
        <v>2622</v>
      </c>
      <c r="I610" s="3">
        <v>46256</v>
      </c>
      <c r="J610" s="3">
        <v>46286</v>
      </c>
      <c r="K610" s="3" t="s">
        <v>2374</v>
      </c>
      <c r="L610" s="22">
        <v>46256.425758912032</v>
      </c>
      <c r="M610" s="20">
        <v>12</v>
      </c>
      <c r="N610" s="1">
        <v>172</v>
      </c>
    </row>
    <row r="611" spans="1:14" x14ac:dyDescent="0.25">
      <c r="A611" t="str">
        <f t="shared" si="20"/>
        <v>H176740H176740</v>
      </c>
      <c r="B611" t="str">
        <f t="shared" si="21"/>
        <v>H176740M5748EK-D</v>
      </c>
      <c r="C611" s="1" t="s">
        <v>544</v>
      </c>
      <c r="D611" s="1" t="s">
        <v>545</v>
      </c>
      <c r="E611" s="1" t="s">
        <v>426</v>
      </c>
      <c r="F611" s="1" t="s">
        <v>427</v>
      </c>
      <c r="G611" s="1">
        <v>0</v>
      </c>
      <c r="H611" s="1">
        <v>2622</v>
      </c>
      <c r="I611" s="3">
        <v>46256</v>
      </c>
      <c r="J611" s="3">
        <v>46286</v>
      </c>
      <c r="K611" s="3" t="s">
        <v>2374</v>
      </c>
      <c r="L611" s="22">
        <v>46256.426237650463</v>
      </c>
      <c r="M611" s="20">
        <v>12</v>
      </c>
      <c r="N611" s="1">
        <v>9</v>
      </c>
    </row>
    <row r="612" spans="1:14" x14ac:dyDescent="0.25">
      <c r="A612" t="str">
        <f t="shared" si="20"/>
        <v>H176740H176740</v>
      </c>
      <c r="B612" t="str">
        <f t="shared" si="21"/>
        <v>H176740M5748EK-D</v>
      </c>
      <c r="C612" s="1" t="s">
        <v>544</v>
      </c>
      <c r="D612" s="1" t="s">
        <v>545</v>
      </c>
      <c r="E612" s="1" t="s">
        <v>426</v>
      </c>
      <c r="F612" s="1" t="s">
        <v>427</v>
      </c>
      <c r="G612" s="1">
        <v>0</v>
      </c>
      <c r="H612" s="1">
        <v>2622</v>
      </c>
      <c r="I612" s="3">
        <v>46256</v>
      </c>
      <c r="J612" s="3">
        <v>46286</v>
      </c>
      <c r="K612" s="3" t="s">
        <v>2374</v>
      </c>
      <c r="L612" s="22">
        <v>46256.434671261573</v>
      </c>
      <c r="M612" s="20">
        <v>12</v>
      </c>
      <c r="N612" s="1">
        <v>107</v>
      </c>
    </row>
    <row r="613" spans="1:14" x14ac:dyDescent="0.25">
      <c r="A613" t="str">
        <f t="shared" si="20"/>
        <v>H176740H176740</v>
      </c>
      <c r="B613" t="str">
        <f t="shared" si="21"/>
        <v>H176740M5748EK-D</v>
      </c>
      <c r="C613" s="1" t="s">
        <v>544</v>
      </c>
      <c r="D613" s="1" t="s">
        <v>545</v>
      </c>
      <c r="E613" s="1" t="s">
        <v>426</v>
      </c>
      <c r="F613" s="1" t="s">
        <v>427</v>
      </c>
      <c r="G613" s="1">
        <v>0</v>
      </c>
      <c r="H613" s="1">
        <v>2622</v>
      </c>
      <c r="I613" s="3">
        <v>46256</v>
      </c>
      <c r="J613" s="3">
        <v>46286</v>
      </c>
      <c r="K613" s="3" t="s">
        <v>2374</v>
      </c>
      <c r="L613" s="22">
        <v>46256.437831365736</v>
      </c>
      <c r="M613" s="20">
        <v>12</v>
      </c>
      <c r="N613" s="1">
        <v>178</v>
      </c>
    </row>
    <row r="614" spans="1:14" x14ac:dyDescent="0.25">
      <c r="A614" t="str">
        <f t="shared" si="20"/>
        <v>H176740H176740</v>
      </c>
      <c r="B614" t="str">
        <f t="shared" si="21"/>
        <v>H176740M5748EK-D</v>
      </c>
      <c r="C614" s="1" t="s">
        <v>544</v>
      </c>
      <c r="D614" s="1" t="s">
        <v>545</v>
      </c>
      <c r="E614" s="1" t="s">
        <v>426</v>
      </c>
      <c r="F614" s="1" t="s">
        <v>427</v>
      </c>
      <c r="G614" s="1">
        <v>0</v>
      </c>
      <c r="H614" s="1">
        <v>2622</v>
      </c>
      <c r="I614" s="3">
        <v>46256</v>
      </c>
      <c r="J614" s="3">
        <v>46286</v>
      </c>
      <c r="K614" s="3" t="s">
        <v>2374</v>
      </c>
      <c r="L614" s="22">
        <v>46256.441673611109</v>
      </c>
      <c r="M614" s="20">
        <v>12</v>
      </c>
      <c r="N614" s="1">
        <v>45</v>
      </c>
    </row>
    <row r="615" spans="1:14" x14ac:dyDescent="0.25">
      <c r="A615" t="str">
        <f t="shared" si="20"/>
        <v>H176740H176740</v>
      </c>
      <c r="B615" t="str">
        <f t="shared" si="21"/>
        <v>H176740M5748EK-D</v>
      </c>
      <c r="C615" s="1" t="s">
        <v>544</v>
      </c>
      <c r="D615" s="1" t="s">
        <v>545</v>
      </c>
      <c r="E615" s="1" t="s">
        <v>426</v>
      </c>
      <c r="F615" s="1" t="s">
        <v>427</v>
      </c>
      <c r="G615" s="1">
        <v>0</v>
      </c>
      <c r="H615" s="1">
        <v>2622</v>
      </c>
      <c r="I615" s="3">
        <v>46256</v>
      </c>
      <c r="J615" s="3">
        <v>46286</v>
      </c>
      <c r="K615" s="3" t="s">
        <v>2374</v>
      </c>
      <c r="L615" s="22">
        <v>46256.445089386572</v>
      </c>
      <c r="M615" s="20">
        <v>12</v>
      </c>
      <c r="N615" s="1">
        <v>47</v>
      </c>
    </row>
    <row r="616" spans="1:14" x14ac:dyDescent="0.25">
      <c r="A616" t="str">
        <f t="shared" si="20"/>
        <v>H176740H176740</v>
      </c>
      <c r="B616" t="str">
        <f t="shared" si="21"/>
        <v>H176740M5748EK-D</v>
      </c>
      <c r="C616" s="1" t="s">
        <v>544</v>
      </c>
      <c r="D616" s="1" t="s">
        <v>545</v>
      </c>
      <c r="E616" s="1" t="s">
        <v>426</v>
      </c>
      <c r="F616" s="1" t="s">
        <v>427</v>
      </c>
      <c r="G616" s="1">
        <v>0</v>
      </c>
      <c r="H616" s="1">
        <v>2622</v>
      </c>
      <c r="I616" s="3">
        <v>46256</v>
      </c>
      <c r="J616" s="3">
        <v>46286</v>
      </c>
      <c r="K616" s="3" t="s">
        <v>2374</v>
      </c>
      <c r="L616" s="22">
        <v>46256.445420104166</v>
      </c>
      <c r="M616" s="20">
        <v>12</v>
      </c>
      <c r="N616" s="1">
        <v>10</v>
      </c>
    </row>
    <row r="617" spans="1:14" x14ac:dyDescent="0.25">
      <c r="A617" t="str">
        <f t="shared" si="20"/>
        <v>H176740H176740</v>
      </c>
      <c r="B617" t="str">
        <f t="shared" si="21"/>
        <v>H176740M5748EK-D</v>
      </c>
      <c r="C617" s="1" t="s">
        <v>544</v>
      </c>
      <c r="D617" s="1" t="s">
        <v>545</v>
      </c>
      <c r="E617" s="1" t="s">
        <v>426</v>
      </c>
      <c r="F617" s="1" t="s">
        <v>427</v>
      </c>
      <c r="G617" s="1">
        <v>0</v>
      </c>
      <c r="H617" s="1">
        <v>2622</v>
      </c>
      <c r="I617" s="3">
        <v>46256</v>
      </c>
      <c r="J617" s="3">
        <v>46286</v>
      </c>
      <c r="K617" s="3" t="s">
        <v>2374</v>
      </c>
      <c r="L617" s="22">
        <v>46256.457555127316</v>
      </c>
      <c r="M617" s="20">
        <v>12</v>
      </c>
      <c r="N617" s="1">
        <v>177</v>
      </c>
    </row>
    <row r="618" spans="1:14" x14ac:dyDescent="0.25">
      <c r="A618" t="str">
        <f t="shared" si="20"/>
        <v>H176740H176740</v>
      </c>
      <c r="B618" t="str">
        <f t="shared" si="21"/>
        <v>H176740M5748EK-D</v>
      </c>
      <c r="C618" s="1" t="s">
        <v>544</v>
      </c>
      <c r="D618" s="1" t="s">
        <v>545</v>
      </c>
      <c r="E618" s="1" t="s">
        <v>426</v>
      </c>
      <c r="F618" s="1" t="s">
        <v>427</v>
      </c>
      <c r="G618" s="1">
        <v>0</v>
      </c>
      <c r="H618" s="1">
        <v>2622</v>
      </c>
      <c r="I618" s="3">
        <v>46256</v>
      </c>
      <c r="J618" s="3">
        <v>46286</v>
      </c>
      <c r="K618" s="3" t="s">
        <v>2374</v>
      </c>
      <c r="L618" s="22">
        <v>46256.457943900459</v>
      </c>
      <c r="M618" s="20">
        <v>12</v>
      </c>
      <c r="N618" s="1">
        <v>48</v>
      </c>
    </row>
    <row r="619" spans="1:14" x14ac:dyDescent="0.25">
      <c r="A619" t="str">
        <f t="shared" si="20"/>
        <v>H176740H176740</v>
      </c>
      <c r="B619" t="str">
        <f t="shared" si="21"/>
        <v>H176740M5748EK-D</v>
      </c>
      <c r="C619" s="1" t="s">
        <v>544</v>
      </c>
      <c r="D619" s="1" t="s">
        <v>545</v>
      </c>
      <c r="E619" s="1" t="s">
        <v>426</v>
      </c>
      <c r="F619" s="1" t="s">
        <v>427</v>
      </c>
      <c r="G619" s="1">
        <v>0</v>
      </c>
      <c r="H619" s="1">
        <v>2622</v>
      </c>
      <c r="I619" s="3">
        <v>46256</v>
      </c>
      <c r="J619" s="3">
        <v>46286</v>
      </c>
      <c r="K619" s="3" t="s">
        <v>2374</v>
      </c>
      <c r="L619" s="22">
        <v>46256.45835763889</v>
      </c>
      <c r="M619" s="20">
        <v>12</v>
      </c>
      <c r="N619" s="1">
        <v>180</v>
      </c>
    </row>
    <row r="620" spans="1:14" x14ac:dyDescent="0.25">
      <c r="A620" t="str">
        <f t="shared" si="20"/>
        <v>H176740H176740</v>
      </c>
      <c r="B620" t="str">
        <f t="shared" si="21"/>
        <v>H176740M5748EK-D</v>
      </c>
      <c r="C620" s="1" t="s">
        <v>544</v>
      </c>
      <c r="D620" s="1" t="s">
        <v>545</v>
      </c>
      <c r="E620" s="1" t="s">
        <v>426</v>
      </c>
      <c r="F620" s="1" t="s">
        <v>427</v>
      </c>
      <c r="G620" s="1">
        <v>0</v>
      </c>
      <c r="H620" s="1">
        <v>2622</v>
      </c>
      <c r="I620" s="3">
        <v>46256</v>
      </c>
      <c r="J620" s="3">
        <v>46286</v>
      </c>
      <c r="K620" s="3" t="s">
        <v>2374</v>
      </c>
      <c r="L620" s="22">
        <v>46256.464237268519</v>
      </c>
      <c r="M620" s="20">
        <v>12</v>
      </c>
      <c r="N620" s="1">
        <v>108</v>
      </c>
    </row>
    <row r="621" spans="1:14" x14ac:dyDescent="0.25">
      <c r="A621" t="str">
        <f t="shared" si="20"/>
        <v>H176740H176740</v>
      </c>
      <c r="B621" t="str">
        <f t="shared" si="21"/>
        <v>H176740M5748EK-D</v>
      </c>
      <c r="C621" s="1" t="s">
        <v>544</v>
      </c>
      <c r="D621" s="1" t="s">
        <v>545</v>
      </c>
      <c r="E621" s="1" t="s">
        <v>426</v>
      </c>
      <c r="F621" s="1" t="s">
        <v>427</v>
      </c>
      <c r="G621" s="1">
        <v>0</v>
      </c>
      <c r="H621" s="1">
        <v>2622</v>
      </c>
      <c r="I621" s="3">
        <v>46256</v>
      </c>
      <c r="J621" s="3">
        <v>46286</v>
      </c>
      <c r="K621" s="3" t="s">
        <v>2374</v>
      </c>
      <c r="L621" s="22">
        <v>46256.464548067124</v>
      </c>
      <c r="M621" s="20">
        <v>12</v>
      </c>
      <c r="N621" s="1">
        <v>179</v>
      </c>
    </row>
    <row r="622" spans="1:14" x14ac:dyDescent="0.25">
      <c r="A622" t="str">
        <f t="shared" si="20"/>
        <v>H176740H176740</v>
      </c>
      <c r="B622" t="str">
        <f t="shared" si="21"/>
        <v>H176740M5748EK-D</v>
      </c>
      <c r="C622" s="1" t="s">
        <v>544</v>
      </c>
      <c r="D622" s="1" t="s">
        <v>545</v>
      </c>
      <c r="E622" s="1" t="s">
        <v>426</v>
      </c>
      <c r="F622" s="1" t="s">
        <v>427</v>
      </c>
      <c r="G622" s="1">
        <v>0</v>
      </c>
      <c r="H622" s="1">
        <v>2622</v>
      </c>
      <c r="I622" s="3">
        <v>46256</v>
      </c>
      <c r="J622" s="3">
        <v>46286</v>
      </c>
      <c r="K622" s="3" t="s">
        <v>2374</v>
      </c>
      <c r="L622" s="22">
        <v>46256.464852199075</v>
      </c>
      <c r="M622" s="20">
        <v>12</v>
      </c>
      <c r="N622" s="1">
        <v>49</v>
      </c>
    </row>
    <row r="623" spans="1:14" x14ac:dyDescent="0.25">
      <c r="A623" t="str">
        <f t="shared" si="20"/>
        <v>H176740H176740</v>
      </c>
      <c r="B623" t="str">
        <f t="shared" si="21"/>
        <v>H176740M5748EK-D</v>
      </c>
      <c r="C623" s="1" t="s">
        <v>544</v>
      </c>
      <c r="D623" s="1" t="s">
        <v>545</v>
      </c>
      <c r="E623" s="1" t="s">
        <v>426</v>
      </c>
      <c r="F623" s="1" t="s">
        <v>427</v>
      </c>
      <c r="G623" s="1">
        <v>0</v>
      </c>
      <c r="H623" s="1">
        <v>2622</v>
      </c>
      <c r="I623" s="3">
        <v>46256</v>
      </c>
      <c r="J623" s="3">
        <v>46286</v>
      </c>
      <c r="K623" s="3" t="s">
        <v>2374</v>
      </c>
      <c r="L623" s="22">
        <v>46256.468244328702</v>
      </c>
      <c r="M623" s="20">
        <v>12</v>
      </c>
      <c r="N623" s="1">
        <v>50</v>
      </c>
    </row>
    <row r="624" spans="1:14" x14ac:dyDescent="0.25">
      <c r="A624" t="str">
        <f t="shared" si="20"/>
        <v>H176740H176740</v>
      </c>
      <c r="B624" t="str">
        <f t="shared" si="21"/>
        <v>H176740M5748EK-D</v>
      </c>
      <c r="C624" s="1" t="s">
        <v>544</v>
      </c>
      <c r="D624" s="1" t="s">
        <v>545</v>
      </c>
      <c r="E624" s="1" t="s">
        <v>426</v>
      </c>
      <c r="F624" s="1" t="s">
        <v>427</v>
      </c>
      <c r="G624" s="1">
        <v>0</v>
      </c>
      <c r="H624" s="1">
        <v>2622</v>
      </c>
      <c r="I624" s="3">
        <v>46256</v>
      </c>
      <c r="J624" s="3">
        <v>46286</v>
      </c>
      <c r="K624" s="3" t="s">
        <v>2374</v>
      </c>
      <c r="L624" s="22">
        <v>46256.494801620371</v>
      </c>
      <c r="M624" s="20">
        <v>12</v>
      </c>
      <c r="N624" s="1">
        <v>114</v>
      </c>
    </row>
    <row r="625" spans="1:14" x14ac:dyDescent="0.25">
      <c r="A625" t="str">
        <f t="shared" si="20"/>
        <v>H176740H176740</v>
      </c>
      <c r="B625" t="str">
        <f t="shared" si="21"/>
        <v>H176740M5748EK-D</v>
      </c>
      <c r="C625" s="1" t="s">
        <v>544</v>
      </c>
      <c r="D625" s="1" t="s">
        <v>545</v>
      </c>
      <c r="E625" s="1" t="s">
        <v>426</v>
      </c>
      <c r="F625" s="1" t="s">
        <v>427</v>
      </c>
      <c r="G625" s="1">
        <v>0</v>
      </c>
      <c r="H625" s="1">
        <v>2622</v>
      </c>
      <c r="I625" s="3">
        <v>46256</v>
      </c>
      <c r="J625" s="3">
        <v>46286</v>
      </c>
      <c r="K625" s="3" t="s">
        <v>2374</v>
      </c>
      <c r="L625" s="22">
        <v>46256.495148726848</v>
      </c>
      <c r="M625" s="20">
        <v>12</v>
      </c>
      <c r="N625" s="1">
        <v>51</v>
      </c>
    </row>
    <row r="626" spans="1:14" x14ac:dyDescent="0.25">
      <c r="A626" t="str">
        <f t="shared" si="20"/>
        <v>H176740H176740</v>
      </c>
      <c r="B626" t="str">
        <f t="shared" si="21"/>
        <v>H176740M5748EK-D</v>
      </c>
      <c r="C626" s="1" t="s">
        <v>544</v>
      </c>
      <c r="D626" s="1" t="s">
        <v>545</v>
      </c>
      <c r="E626" s="1" t="s">
        <v>426</v>
      </c>
      <c r="F626" s="1" t="s">
        <v>427</v>
      </c>
      <c r="G626" s="1">
        <v>0</v>
      </c>
      <c r="H626" s="1">
        <v>2622</v>
      </c>
      <c r="I626" s="3">
        <v>46256</v>
      </c>
      <c r="J626" s="3">
        <v>46286</v>
      </c>
      <c r="K626" s="3" t="s">
        <v>2374</v>
      </c>
      <c r="L626" s="22">
        <v>46256.499602314812</v>
      </c>
      <c r="M626" s="20">
        <v>12</v>
      </c>
      <c r="N626" s="1">
        <v>12</v>
      </c>
    </row>
    <row r="627" spans="1:14" x14ac:dyDescent="0.25">
      <c r="A627" t="str">
        <f t="shared" si="20"/>
        <v>H176740H176740</v>
      </c>
      <c r="B627" t="str">
        <f t="shared" si="21"/>
        <v>H176740M5748EK-D</v>
      </c>
      <c r="C627" s="1" t="s">
        <v>544</v>
      </c>
      <c r="D627" s="1" t="s">
        <v>545</v>
      </c>
      <c r="E627" s="1" t="s">
        <v>426</v>
      </c>
      <c r="F627" s="1" t="s">
        <v>427</v>
      </c>
      <c r="G627" s="1">
        <v>0</v>
      </c>
      <c r="H627" s="1">
        <v>2622</v>
      </c>
      <c r="I627" s="3">
        <v>46256</v>
      </c>
      <c r="J627" s="3">
        <v>46286</v>
      </c>
      <c r="K627" s="3" t="s">
        <v>2374</v>
      </c>
      <c r="L627" s="22">
        <v>46256.501382372684</v>
      </c>
      <c r="M627" s="20">
        <v>12</v>
      </c>
      <c r="N627" s="1">
        <v>2</v>
      </c>
    </row>
    <row r="628" spans="1:14" x14ac:dyDescent="0.25">
      <c r="A628" t="str">
        <f t="shared" si="20"/>
        <v>H176740H176740</v>
      </c>
      <c r="B628" t="str">
        <f t="shared" si="21"/>
        <v>H176740M5748EK-D</v>
      </c>
      <c r="C628" s="1" t="s">
        <v>544</v>
      </c>
      <c r="D628" s="1" t="s">
        <v>545</v>
      </c>
      <c r="E628" s="1" t="s">
        <v>426</v>
      </c>
      <c r="F628" s="1" t="s">
        <v>427</v>
      </c>
      <c r="G628" s="1">
        <v>0</v>
      </c>
      <c r="H628" s="1">
        <v>2622</v>
      </c>
      <c r="I628" s="3">
        <v>46256</v>
      </c>
      <c r="J628" s="3">
        <v>46286</v>
      </c>
      <c r="K628" s="3" t="s">
        <v>2374</v>
      </c>
      <c r="L628" s="22">
        <v>46256.501681215275</v>
      </c>
      <c r="M628" s="20">
        <v>12</v>
      </c>
      <c r="N628" s="1">
        <v>115</v>
      </c>
    </row>
    <row r="629" spans="1:14" x14ac:dyDescent="0.25">
      <c r="A629" t="str">
        <f t="shared" si="20"/>
        <v>H176740H176740</v>
      </c>
      <c r="B629" t="str">
        <f t="shared" si="21"/>
        <v>H176740M5748EK-D</v>
      </c>
      <c r="C629" s="1" t="s">
        <v>544</v>
      </c>
      <c r="D629" s="1" t="s">
        <v>545</v>
      </c>
      <c r="E629" s="1" t="s">
        <v>426</v>
      </c>
      <c r="F629" s="1" t="s">
        <v>427</v>
      </c>
      <c r="G629" s="1">
        <v>0</v>
      </c>
      <c r="H629" s="1">
        <v>2622</v>
      </c>
      <c r="I629" s="3">
        <v>46256</v>
      </c>
      <c r="J629" s="3">
        <v>46286</v>
      </c>
      <c r="K629" s="3" t="s">
        <v>2374</v>
      </c>
      <c r="L629" s="22">
        <v>46256.501882372686</v>
      </c>
      <c r="M629" s="20">
        <v>12</v>
      </c>
      <c r="N629" s="1">
        <v>155</v>
      </c>
    </row>
    <row r="630" spans="1:14" x14ac:dyDescent="0.25">
      <c r="A630" t="str">
        <f t="shared" si="20"/>
        <v>H176740H176740</v>
      </c>
      <c r="B630" t="str">
        <f t="shared" si="21"/>
        <v>H176740M5748EK-D</v>
      </c>
      <c r="C630" s="1" t="s">
        <v>544</v>
      </c>
      <c r="D630" s="1" t="s">
        <v>545</v>
      </c>
      <c r="E630" s="1" t="s">
        <v>426</v>
      </c>
      <c r="F630" s="1" t="s">
        <v>427</v>
      </c>
      <c r="G630" s="1">
        <v>0</v>
      </c>
      <c r="H630" s="1">
        <v>2622</v>
      </c>
      <c r="I630" s="3">
        <v>46256</v>
      </c>
      <c r="J630" s="3">
        <v>46286</v>
      </c>
      <c r="K630" s="3" t="s">
        <v>2374</v>
      </c>
      <c r="L630" s="22">
        <v>46256.502130439811</v>
      </c>
      <c r="M630" s="20">
        <v>12</v>
      </c>
      <c r="N630" s="1">
        <v>186</v>
      </c>
    </row>
    <row r="631" spans="1:14" x14ac:dyDescent="0.25">
      <c r="A631" t="str">
        <f t="shared" si="20"/>
        <v>H176740H176740</v>
      </c>
      <c r="B631" t="str">
        <f t="shared" si="21"/>
        <v>H176740M5748EK-D</v>
      </c>
      <c r="C631" s="1" t="s">
        <v>544</v>
      </c>
      <c r="D631" s="1" t="s">
        <v>545</v>
      </c>
      <c r="E631" s="1" t="s">
        <v>426</v>
      </c>
      <c r="F631" s="1" t="s">
        <v>427</v>
      </c>
      <c r="G631" s="1">
        <v>0</v>
      </c>
      <c r="H631" s="1">
        <v>2622</v>
      </c>
      <c r="I631" s="3">
        <v>46256</v>
      </c>
      <c r="J631" s="3">
        <v>46286</v>
      </c>
      <c r="K631" s="3" t="s">
        <v>2374</v>
      </c>
      <c r="L631" s="22">
        <v>46256.502623993052</v>
      </c>
      <c r="M631" s="20">
        <v>12</v>
      </c>
      <c r="N631" s="1">
        <v>56</v>
      </c>
    </row>
    <row r="632" spans="1:14" x14ac:dyDescent="0.25">
      <c r="A632" t="str">
        <f t="shared" si="20"/>
        <v>H176740H176740</v>
      </c>
      <c r="B632" t="str">
        <f t="shared" si="21"/>
        <v>H176740M5748EK-D</v>
      </c>
      <c r="C632" s="1" t="s">
        <v>544</v>
      </c>
      <c r="D632" s="1" t="s">
        <v>545</v>
      </c>
      <c r="E632" s="1" t="s">
        <v>426</v>
      </c>
      <c r="F632" s="1" t="s">
        <v>427</v>
      </c>
      <c r="G632" s="1">
        <v>0</v>
      </c>
      <c r="H632" s="1">
        <v>2622</v>
      </c>
      <c r="I632" s="3">
        <v>46256</v>
      </c>
      <c r="J632" s="3">
        <v>46286</v>
      </c>
      <c r="K632" s="3" t="s">
        <v>2374</v>
      </c>
      <c r="L632" s="22">
        <v>46256.502821759255</v>
      </c>
      <c r="M632" s="20">
        <v>12</v>
      </c>
      <c r="N632" s="1">
        <v>15</v>
      </c>
    </row>
    <row r="633" spans="1:14" x14ac:dyDescent="0.25">
      <c r="A633" t="str">
        <f t="shared" si="20"/>
        <v>H176740H176740</v>
      </c>
      <c r="B633" t="str">
        <f t="shared" si="21"/>
        <v>H176740M5748EK-D</v>
      </c>
      <c r="C633" s="1" t="s">
        <v>544</v>
      </c>
      <c r="D633" s="1" t="s">
        <v>545</v>
      </c>
      <c r="E633" s="1" t="s">
        <v>426</v>
      </c>
      <c r="F633" s="1" t="s">
        <v>427</v>
      </c>
      <c r="G633" s="1">
        <v>0</v>
      </c>
      <c r="H633" s="1">
        <v>2622</v>
      </c>
      <c r="I633" s="3">
        <v>46256</v>
      </c>
      <c r="J633" s="3">
        <v>46286</v>
      </c>
      <c r="K633" s="3" t="s">
        <v>2374</v>
      </c>
      <c r="L633" s="22">
        <v>46256.503094363426</v>
      </c>
      <c r="M633" s="20">
        <v>12</v>
      </c>
      <c r="N633" s="1">
        <v>52</v>
      </c>
    </row>
    <row r="634" spans="1:14" x14ac:dyDescent="0.25">
      <c r="A634" t="str">
        <f t="shared" si="20"/>
        <v>H176740H176740</v>
      </c>
      <c r="B634" t="str">
        <f t="shared" si="21"/>
        <v>H176740M5748EK-D</v>
      </c>
      <c r="C634" s="1" t="s">
        <v>544</v>
      </c>
      <c r="D634" s="1" t="s">
        <v>545</v>
      </c>
      <c r="E634" s="1" t="s">
        <v>426</v>
      </c>
      <c r="F634" s="1" t="s">
        <v>427</v>
      </c>
      <c r="G634" s="1">
        <v>0</v>
      </c>
      <c r="H634" s="1">
        <v>2622</v>
      </c>
      <c r="I634" s="3">
        <v>46256</v>
      </c>
      <c r="J634" s="3">
        <v>46286</v>
      </c>
      <c r="K634" s="3" t="s">
        <v>2374</v>
      </c>
      <c r="L634" s="22">
        <v>46256.503278356482</v>
      </c>
      <c r="M634" s="20">
        <v>12</v>
      </c>
      <c r="N634" s="1">
        <v>113</v>
      </c>
    </row>
    <row r="635" spans="1:14" x14ac:dyDescent="0.25">
      <c r="A635" t="str">
        <f t="shared" si="20"/>
        <v>H153483H153483</v>
      </c>
      <c r="B635" t="str">
        <f t="shared" si="21"/>
        <v>H153483G90603SO-M</v>
      </c>
      <c r="C635" s="1" t="s">
        <v>492</v>
      </c>
      <c r="D635" s="1" t="s">
        <v>547</v>
      </c>
      <c r="E635" s="1" t="s">
        <v>412</v>
      </c>
      <c r="F635" s="1" t="s">
        <v>413</v>
      </c>
      <c r="G635" s="1" t="s">
        <v>404</v>
      </c>
      <c r="H635" s="1">
        <v>144</v>
      </c>
      <c r="I635" s="3">
        <v>46258</v>
      </c>
      <c r="J635" s="3">
        <v>46266</v>
      </c>
      <c r="K635" s="3" t="s">
        <v>2363</v>
      </c>
      <c r="L635" s="22">
        <v>46258.619807604162</v>
      </c>
      <c r="M635" s="20">
        <v>12</v>
      </c>
      <c r="N635" s="1">
        <v>5</v>
      </c>
    </row>
    <row r="636" spans="1:14" x14ac:dyDescent="0.25">
      <c r="A636" t="str">
        <f t="shared" si="20"/>
        <v>H153483H153483</v>
      </c>
      <c r="B636" t="str">
        <f t="shared" si="21"/>
        <v>H153483G90603SO-M</v>
      </c>
      <c r="C636" s="1" t="s">
        <v>492</v>
      </c>
      <c r="D636" s="1" t="s">
        <v>547</v>
      </c>
      <c r="E636" s="1" t="s">
        <v>412</v>
      </c>
      <c r="F636" s="1" t="s">
        <v>413</v>
      </c>
      <c r="G636" s="1" t="s">
        <v>404</v>
      </c>
      <c r="H636" s="1">
        <v>144</v>
      </c>
      <c r="I636" s="3">
        <v>46258</v>
      </c>
      <c r="J636" s="3">
        <v>46266</v>
      </c>
      <c r="K636" s="3" t="s">
        <v>2363</v>
      </c>
      <c r="L636" s="22">
        <v>46258.620147650458</v>
      </c>
      <c r="M636" s="20">
        <v>12</v>
      </c>
      <c r="N636" s="1">
        <v>6</v>
      </c>
    </row>
    <row r="637" spans="1:14" x14ac:dyDescent="0.25">
      <c r="A637" t="str">
        <f t="shared" si="20"/>
        <v>H153483H153483</v>
      </c>
      <c r="B637" t="str">
        <f t="shared" si="21"/>
        <v>H153483G90603SO-M</v>
      </c>
      <c r="C637" s="1" t="s">
        <v>492</v>
      </c>
      <c r="D637" s="1" t="s">
        <v>547</v>
      </c>
      <c r="E637" s="1" t="s">
        <v>412</v>
      </c>
      <c r="F637" s="1" t="s">
        <v>413</v>
      </c>
      <c r="G637" s="1" t="s">
        <v>404</v>
      </c>
      <c r="H637" s="1">
        <v>144</v>
      </c>
      <c r="I637" s="3">
        <v>46258</v>
      </c>
      <c r="J637" s="3">
        <v>46266</v>
      </c>
      <c r="K637" s="3" t="s">
        <v>2363</v>
      </c>
      <c r="L637" s="22">
        <v>46258.64679864583</v>
      </c>
      <c r="M637" s="20">
        <v>6</v>
      </c>
      <c r="N637" s="1">
        <v>13</v>
      </c>
    </row>
    <row r="638" spans="1:14" x14ac:dyDescent="0.25">
      <c r="A638" t="str">
        <f t="shared" si="20"/>
        <v>H153483H153483</v>
      </c>
      <c r="B638" t="str">
        <f t="shared" si="21"/>
        <v>H153483G90603SO-M</v>
      </c>
      <c r="C638" s="1" t="s">
        <v>492</v>
      </c>
      <c r="D638" s="1" t="s">
        <v>547</v>
      </c>
      <c r="E638" s="1" t="s">
        <v>412</v>
      </c>
      <c r="F638" s="1" t="s">
        <v>413</v>
      </c>
      <c r="G638" s="1" t="s">
        <v>404</v>
      </c>
      <c r="H638" s="1">
        <v>144</v>
      </c>
      <c r="I638" s="3">
        <v>46258</v>
      </c>
      <c r="J638" s="3">
        <v>46266</v>
      </c>
      <c r="K638" s="3" t="s">
        <v>2363</v>
      </c>
      <c r="L638" s="22">
        <v>46258.647409062498</v>
      </c>
      <c r="M638" s="20">
        <v>12</v>
      </c>
      <c r="N638" s="1">
        <v>3</v>
      </c>
    </row>
    <row r="639" spans="1:14" x14ac:dyDescent="0.25">
      <c r="A639" t="str">
        <f t="shared" si="20"/>
        <v>H171614H171614</v>
      </c>
      <c r="B639" t="str">
        <f t="shared" si="21"/>
        <v>H171614P6036SS-M</v>
      </c>
      <c r="C639" s="1" t="s">
        <v>52</v>
      </c>
      <c r="D639" s="1" t="s">
        <v>548</v>
      </c>
      <c r="E639" s="1" t="s">
        <v>2292</v>
      </c>
      <c r="F639" s="1" t="s">
        <v>2293</v>
      </c>
      <c r="G639" s="1" t="s">
        <v>404</v>
      </c>
      <c r="H639" s="1">
        <v>372</v>
      </c>
      <c r="I639" s="3">
        <v>46258</v>
      </c>
      <c r="J639" s="3">
        <v>46280</v>
      </c>
      <c r="K639" s="3" t="s">
        <v>2364</v>
      </c>
      <c r="L639" s="22">
        <v>46258.66189614583</v>
      </c>
      <c r="M639" s="20">
        <v>12</v>
      </c>
      <c r="N639" s="1">
        <v>14</v>
      </c>
    </row>
    <row r="640" spans="1:14" x14ac:dyDescent="0.25">
      <c r="A640" t="str">
        <f t="shared" si="20"/>
        <v>H171614H171614</v>
      </c>
      <c r="B640" t="str">
        <f t="shared" si="21"/>
        <v>H171614P6036SS-M</v>
      </c>
      <c r="C640" s="1" t="s">
        <v>52</v>
      </c>
      <c r="D640" s="1" t="s">
        <v>548</v>
      </c>
      <c r="E640" s="1" t="s">
        <v>2292</v>
      </c>
      <c r="F640" s="1" t="s">
        <v>2293</v>
      </c>
      <c r="G640" s="1" t="s">
        <v>404</v>
      </c>
      <c r="H640" s="1">
        <v>372</v>
      </c>
      <c r="I640" s="3">
        <v>46258</v>
      </c>
      <c r="J640" s="3">
        <v>46280</v>
      </c>
      <c r="K640" s="3" t="s">
        <v>2364</v>
      </c>
      <c r="L640" s="22">
        <v>46258.685695717591</v>
      </c>
      <c r="M640" s="20">
        <v>12</v>
      </c>
      <c r="N640" s="1">
        <v>16</v>
      </c>
    </row>
    <row r="641" spans="1:14" x14ac:dyDescent="0.25">
      <c r="A641" t="str">
        <f t="shared" si="20"/>
        <v>H171614H171614</v>
      </c>
      <c r="B641" t="str">
        <f t="shared" si="21"/>
        <v>H171614P6036SS-M</v>
      </c>
      <c r="C641" s="1" t="s">
        <v>52</v>
      </c>
      <c r="D641" s="1" t="s">
        <v>548</v>
      </c>
      <c r="E641" s="1" t="s">
        <v>2292</v>
      </c>
      <c r="F641" s="1" t="s">
        <v>2293</v>
      </c>
      <c r="G641" s="1" t="s">
        <v>404</v>
      </c>
      <c r="H641" s="1">
        <v>372</v>
      </c>
      <c r="I641" s="3">
        <v>46258</v>
      </c>
      <c r="J641" s="3">
        <v>46280</v>
      </c>
      <c r="K641" s="3" t="s">
        <v>2364</v>
      </c>
      <c r="L641" s="22">
        <v>46258.686280821756</v>
      </c>
      <c r="M641" s="20">
        <v>12</v>
      </c>
      <c r="N641" s="1">
        <v>13</v>
      </c>
    </row>
    <row r="642" spans="1:14" x14ac:dyDescent="0.25">
      <c r="A642" t="str">
        <f t="shared" ref="A642:A705" si="22">+D642&amp;D642</f>
        <v>H171614H171614</v>
      </c>
      <c r="B642" t="str">
        <f t="shared" ref="B642:B705" si="23">+D642&amp;C642</f>
        <v>H171614P6036SS-M</v>
      </c>
      <c r="C642" s="1" t="s">
        <v>52</v>
      </c>
      <c r="D642" s="1" t="s">
        <v>548</v>
      </c>
      <c r="E642" s="1" t="s">
        <v>2292</v>
      </c>
      <c r="F642" s="1" t="s">
        <v>2293</v>
      </c>
      <c r="G642" s="1" t="s">
        <v>404</v>
      </c>
      <c r="H642" s="1">
        <v>372</v>
      </c>
      <c r="I642" s="3">
        <v>46258</v>
      </c>
      <c r="J642" s="3">
        <v>46280</v>
      </c>
      <c r="K642" s="3" t="s">
        <v>2364</v>
      </c>
      <c r="L642" s="22">
        <v>46258.689402928241</v>
      </c>
      <c r="M642" s="20">
        <v>12</v>
      </c>
      <c r="N642" s="1">
        <v>15</v>
      </c>
    </row>
    <row r="643" spans="1:14" x14ac:dyDescent="0.25">
      <c r="A643" t="str">
        <f t="shared" si="22"/>
        <v>H171614H171614</v>
      </c>
      <c r="B643" t="str">
        <f t="shared" si="23"/>
        <v>H171614P6036SS-M</v>
      </c>
      <c r="C643" s="1" t="s">
        <v>52</v>
      </c>
      <c r="D643" s="1" t="s">
        <v>548</v>
      </c>
      <c r="E643" s="1" t="s">
        <v>2292</v>
      </c>
      <c r="F643" s="1" t="s">
        <v>2293</v>
      </c>
      <c r="G643" s="1" t="s">
        <v>404</v>
      </c>
      <c r="H643" s="1">
        <v>372</v>
      </c>
      <c r="I643" s="3">
        <v>46258</v>
      </c>
      <c r="J643" s="3">
        <v>46280</v>
      </c>
      <c r="K643" s="3" t="s">
        <v>2364</v>
      </c>
      <c r="L643" s="22">
        <v>46258.692098113424</v>
      </c>
      <c r="M643" s="20">
        <v>12</v>
      </c>
      <c r="N643" s="1">
        <v>6</v>
      </c>
    </row>
    <row r="644" spans="1:14" x14ac:dyDescent="0.25">
      <c r="A644" t="str">
        <f t="shared" si="22"/>
        <v>H171614H171614</v>
      </c>
      <c r="B644" t="str">
        <f t="shared" si="23"/>
        <v>H171614P6036SS-M</v>
      </c>
      <c r="C644" s="1" t="s">
        <v>52</v>
      </c>
      <c r="D644" s="1" t="s">
        <v>548</v>
      </c>
      <c r="E644" s="1" t="s">
        <v>2292</v>
      </c>
      <c r="F644" s="1" t="s">
        <v>2293</v>
      </c>
      <c r="G644" s="1" t="s">
        <v>404</v>
      </c>
      <c r="H644" s="1">
        <v>372</v>
      </c>
      <c r="I644" s="3">
        <v>46258</v>
      </c>
      <c r="J644" s="3">
        <v>46280</v>
      </c>
      <c r="K644" s="3" t="s">
        <v>2364</v>
      </c>
      <c r="L644" s="22">
        <v>46258.692440196755</v>
      </c>
      <c r="M644" s="20">
        <v>12</v>
      </c>
      <c r="N644" s="1">
        <v>18</v>
      </c>
    </row>
    <row r="645" spans="1:14" x14ac:dyDescent="0.25">
      <c r="A645" t="str">
        <f t="shared" si="22"/>
        <v>H171614H171614</v>
      </c>
      <c r="B645" t="str">
        <f t="shared" si="23"/>
        <v>H171614P6036SS-M</v>
      </c>
      <c r="C645" s="1" t="s">
        <v>52</v>
      </c>
      <c r="D645" s="1" t="s">
        <v>548</v>
      </c>
      <c r="E645" s="1" t="s">
        <v>2292</v>
      </c>
      <c r="F645" s="1" t="s">
        <v>2293</v>
      </c>
      <c r="G645" s="1" t="s">
        <v>404</v>
      </c>
      <c r="H645" s="1">
        <v>372</v>
      </c>
      <c r="I645" s="3">
        <v>46258</v>
      </c>
      <c r="J645" s="3">
        <v>46280</v>
      </c>
      <c r="K645" s="3" t="s">
        <v>2364</v>
      </c>
      <c r="L645" s="22">
        <v>46258.692765243053</v>
      </c>
      <c r="M645" s="20">
        <v>12</v>
      </c>
      <c r="N645" s="1">
        <v>7</v>
      </c>
    </row>
    <row r="646" spans="1:14" x14ac:dyDescent="0.25">
      <c r="A646" t="str">
        <f t="shared" si="22"/>
        <v>H171614H171614</v>
      </c>
      <c r="B646" t="str">
        <f t="shared" si="23"/>
        <v>H171614P6036SS-M</v>
      </c>
      <c r="C646" s="1" t="s">
        <v>52</v>
      </c>
      <c r="D646" s="1" t="s">
        <v>548</v>
      </c>
      <c r="E646" s="1" t="s">
        <v>2292</v>
      </c>
      <c r="F646" s="1" t="s">
        <v>2293</v>
      </c>
      <c r="G646" s="1" t="s">
        <v>404</v>
      </c>
      <c r="H646" s="1">
        <v>372</v>
      </c>
      <c r="I646" s="3">
        <v>46258</v>
      </c>
      <c r="J646" s="3">
        <v>46280</v>
      </c>
      <c r="K646" s="3" t="s">
        <v>2364</v>
      </c>
      <c r="L646" s="22">
        <v>46258.693770682868</v>
      </c>
      <c r="M646" s="20">
        <v>12</v>
      </c>
      <c r="N646" s="1">
        <v>20</v>
      </c>
    </row>
    <row r="647" spans="1:14" x14ac:dyDescent="0.25">
      <c r="A647" t="str">
        <f t="shared" si="22"/>
        <v>H171614H171614</v>
      </c>
      <c r="B647" t="str">
        <f t="shared" si="23"/>
        <v>H171614P6036SS-M</v>
      </c>
      <c r="C647" s="1" t="s">
        <v>52</v>
      </c>
      <c r="D647" s="1" t="s">
        <v>548</v>
      </c>
      <c r="E647" s="1" t="s">
        <v>2292</v>
      </c>
      <c r="F647" s="1" t="s">
        <v>2293</v>
      </c>
      <c r="G647" s="1" t="s">
        <v>404</v>
      </c>
      <c r="H647" s="1">
        <v>372</v>
      </c>
      <c r="I647" s="3">
        <v>46258</v>
      </c>
      <c r="J647" s="3">
        <v>46280</v>
      </c>
      <c r="K647" s="3" t="s">
        <v>2364</v>
      </c>
      <c r="L647" s="22">
        <v>46258.69412847222</v>
      </c>
      <c r="M647" s="20">
        <v>12</v>
      </c>
      <c r="N647" s="1">
        <v>17</v>
      </c>
    </row>
    <row r="648" spans="1:14" x14ac:dyDescent="0.25">
      <c r="A648" t="str">
        <f t="shared" si="22"/>
        <v>H171614H171614</v>
      </c>
      <c r="B648" t="str">
        <f t="shared" si="23"/>
        <v>H171614P6036SS-M</v>
      </c>
      <c r="C648" s="1" t="s">
        <v>52</v>
      </c>
      <c r="D648" s="1" t="s">
        <v>548</v>
      </c>
      <c r="E648" s="1" t="s">
        <v>2292</v>
      </c>
      <c r="F648" s="1" t="s">
        <v>2293</v>
      </c>
      <c r="G648" s="1" t="s">
        <v>404</v>
      </c>
      <c r="H648" s="1">
        <v>372</v>
      </c>
      <c r="I648" s="3">
        <v>46258</v>
      </c>
      <c r="J648" s="3">
        <v>46280</v>
      </c>
      <c r="K648" s="3" t="s">
        <v>2364</v>
      </c>
      <c r="L648" s="22">
        <v>46258.699072650459</v>
      </c>
      <c r="M648" s="20">
        <v>12</v>
      </c>
      <c r="N648" s="1">
        <v>4</v>
      </c>
    </row>
    <row r="649" spans="1:14" x14ac:dyDescent="0.25">
      <c r="A649" t="str">
        <f t="shared" si="22"/>
        <v>H171614H171614</v>
      </c>
      <c r="B649" t="str">
        <f t="shared" si="23"/>
        <v>H171614P6036SS-M</v>
      </c>
      <c r="C649" s="1" t="s">
        <v>52</v>
      </c>
      <c r="D649" s="1" t="s">
        <v>548</v>
      </c>
      <c r="E649" s="1" t="s">
        <v>2292</v>
      </c>
      <c r="F649" s="1" t="s">
        <v>2293</v>
      </c>
      <c r="G649" s="1" t="s">
        <v>404</v>
      </c>
      <c r="H649" s="1">
        <v>372</v>
      </c>
      <c r="I649" s="3">
        <v>46258</v>
      </c>
      <c r="J649" s="3">
        <v>46280</v>
      </c>
      <c r="K649" s="3" t="s">
        <v>2364</v>
      </c>
      <c r="L649" s="22">
        <v>46258.702328738422</v>
      </c>
      <c r="M649" s="20">
        <v>12</v>
      </c>
      <c r="N649" s="1">
        <v>1</v>
      </c>
    </row>
    <row r="650" spans="1:14" x14ac:dyDescent="0.25">
      <c r="A650" t="str">
        <f t="shared" si="22"/>
        <v>H171614H171614</v>
      </c>
      <c r="B650" t="str">
        <f t="shared" si="23"/>
        <v>H171614P6036SS-M</v>
      </c>
      <c r="C650" s="1" t="s">
        <v>52</v>
      </c>
      <c r="D650" s="1" t="s">
        <v>548</v>
      </c>
      <c r="E650" s="1" t="s">
        <v>2292</v>
      </c>
      <c r="F650" s="1" t="s">
        <v>2293</v>
      </c>
      <c r="G650" s="1" t="s">
        <v>404</v>
      </c>
      <c r="H650" s="1">
        <v>372</v>
      </c>
      <c r="I650" s="3">
        <v>46258</v>
      </c>
      <c r="J650" s="3">
        <v>46280</v>
      </c>
      <c r="K650" s="3" t="s">
        <v>2364</v>
      </c>
      <c r="L650" s="22">
        <v>46258.703368518516</v>
      </c>
      <c r="M650" s="20">
        <v>12</v>
      </c>
      <c r="N650" s="1">
        <v>3</v>
      </c>
    </row>
    <row r="651" spans="1:14" x14ac:dyDescent="0.25">
      <c r="A651" t="str">
        <f t="shared" si="22"/>
        <v>H171614H171614</v>
      </c>
      <c r="B651" t="str">
        <f t="shared" si="23"/>
        <v>H171614P6036SS-M</v>
      </c>
      <c r="C651" s="1" t="s">
        <v>52</v>
      </c>
      <c r="D651" s="1" t="s">
        <v>548</v>
      </c>
      <c r="E651" s="1" t="s">
        <v>2292</v>
      </c>
      <c r="F651" s="1" t="s">
        <v>2293</v>
      </c>
      <c r="G651" s="1" t="s">
        <v>404</v>
      </c>
      <c r="H651" s="1">
        <v>372</v>
      </c>
      <c r="I651" s="3">
        <v>46258</v>
      </c>
      <c r="J651" s="3">
        <v>46280</v>
      </c>
      <c r="K651" s="3" t="s">
        <v>2364</v>
      </c>
      <c r="L651" s="22">
        <v>46258.713200543978</v>
      </c>
      <c r="M651" s="20">
        <v>12</v>
      </c>
      <c r="N651" s="1">
        <v>5</v>
      </c>
    </row>
    <row r="652" spans="1:14" x14ac:dyDescent="0.25">
      <c r="A652" t="str">
        <f t="shared" si="22"/>
        <v>H176885H176885</v>
      </c>
      <c r="B652" t="str">
        <f t="shared" si="23"/>
        <v>H176885GC9060GY-M</v>
      </c>
      <c r="C652" s="1" t="s">
        <v>5</v>
      </c>
      <c r="D652" s="1" t="s">
        <v>546</v>
      </c>
      <c r="E652" s="1" t="s">
        <v>2292</v>
      </c>
      <c r="F652" s="1" t="s">
        <v>2293</v>
      </c>
      <c r="G652" s="1" t="s">
        <v>404</v>
      </c>
      <c r="H652" s="1">
        <v>1116</v>
      </c>
      <c r="I652" s="3">
        <v>46258</v>
      </c>
      <c r="J652" s="3">
        <v>46286</v>
      </c>
      <c r="K652" s="3" t="s">
        <v>2362</v>
      </c>
      <c r="L652" s="22">
        <v>46258.615735763888</v>
      </c>
      <c r="M652" s="20">
        <v>12</v>
      </c>
      <c r="N652" s="1">
        <v>26</v>
      </c>
    </row>
    <row r="653" spans="1:14" x14ac:dyDescent="0.25">
      <c r="A653" t="str">
        <f t="shared" si="22"/>
        <v>H176885H176885</v>
      </c>
      <c r="B653" t="str">
        <f t="shared" si="23"/>
        <v>H176885GC9060GY-M</v>
      </c>
      <c r="C653" s="1" t="s">
        <v>5</v>
      </c>
      <c r="D653" s="1" t="s">
        <v>546</v>
      </c>
      <c r="E653" s="1" t="s">
        <v>2292</v>
      </c>
      <c r="F653" s="1" t="s">
        <v>2293</v>
      </c>
      <c r="G653" s="1" t="s">
        <v>404</v>
      </c>
      <c r="H653" s="1">
        <v>1116</v>
      </c>
      <c r="I653" s="3">
        <v>46258</v>
      </c>
      <c r="J653" s="3">
        <v>46286</v>
      </c>
      <c r="K653" s="3" t="s">
        <v>2362</v>
      </c>
      <c r="L653" s="22">
        <v>46258.615893321759</v>
      </c>
      <c r="M653" s="20">
        <v>12</v>
      </c>
      <c r="N653" s="1">
        <v>13</v>
      </c>
    </row>
    <row r="654" spans="1:14" x14ac:dyDescent="0.25">
      <c r="A654" t="str">
        <f t="shared" si="22"/>
        <v>H176885H176885</v>
      </c>
      <c r="B654" t="str">
        <f t="shared" si="23"/>
        <v>H176885GC9060GY-M</v>
      </c>
      <c r="C654" s="1" t="s">
        <v>5</v>
      </c>
      <c r="D654" s="1" t="s">
        <v>546</v>
      </c>
      <c r="E654" s="1" t="s">
        <v>2292</v>
      </c>
      <c r="F654" s="1" t="s">
        <v>2293</v>
      </c>
      <c r="G654" s="1" t="s">
        <v>404</v>
      </c>
      <c r="H654" s="1">
        <v>1116</v>
      </c>
      <c r="I654" s="3">
        <v>46258</v>
      </c>
      <c r="J654" s="3">
        <v>46286</v>
      </c>
      <c r="K654" s="3" t="s">
        <v>2362</v>
      </c>
      <c r="L654" s="22">
        <v>46258.616142245366</v>
      </c>
      <c r="M654" s="20">
        <v>12</v>
      </c>
      <c r="N654" s="1">
        <v>25</v>
      </c>
    </row>
    <row r="655" spans="1:14" x14ac:dyDescent="0.25">
      <c r="A655" t="str">
        <f t="shared" si="22"/>
        <v>H176885H176885</v>
      </c>
      <c r="B655" t="str">
        <f t="shared" si="23"/>
        <v>H176885GC9060GY-M</v>
      </c>
      <c r="C655" s="1" t="s">
        <v>5</v>
      </c>
      <c r="D655" s="1" t="s">
        <v>546</v>
      </c>
      <c r="E655" s="1" t="s">
        <v>2292</v>
      </c>
      <c r="F655" s="1" t="s">
        <v>2293</v>
      </c>
      <c r="G655" s="1" t="s">
        <v>404</v>
      </c>
      <c r="H655" s="1">
        <v>1116</v>
      </c>
      <c r="I655" s="3">
        <v>46258</v>
      </c>
      <c r="J655" s="3">
        <v>46286</v>
      </c>
      <c r="K655" s="3" t="s">
        <v>2362</v>
      </c>
      <c r="L655" s="22">
        <v>46258.616352465273</v>
      </c>
      <c r="M655" s="20">
        <v>12</v>
      </c>
      <c r="N655" s="1">
        <v>16</v>
      </c>
    </row>
    <row r="656" spans="1:14" x14ac:dyDescent="0.25">
      <c r="A656" t="str">
        <f t="shared" si="22"/>
        <v>H176885H176885</v>
      </c>
      <c r="B656" t="str">
        <f t="shared" si="23"/>
        <v>H176885GC9060GY-M</v>
      </c>
      <c r="C656" s="1" t="s">
        <v>5</v>
      </c>
      <c r="D656" s="1" t="s">
        <v>546</v>
      </c>
      <c r="E656" s="1" t="s">
        <v>2292</v>
      </c>
      <c r="F656" s="1" t="s">
        <v>2293</v>
      </c>
      <c r="G656" s="1" t="s">
        <v>404</v>
      </c>
      <c r="H656" s="1">
        <v>1116</v>
      </c>
      <c r="I656" s="3">
        <v>46258</v>
      </c>
      <c r="J656" s="3">
        <v>46286</v>
      </c>
      <c r="K656" s="3" t="s">
        <v>2362</v>
      </c>
      <c r="L656" s="22">
        <v>46258.616464699073</v>
      </c>
      <c r="M656" s="20">
        <v>12</v>
      </c>
      <c r="N656" s="1">
        <v>2</v>
      </c>
    </row>
    <row r="657" spans="1:14" x14ac:dyDescent="0.25">
      <c r="A657" t="str">
        <f t="shared" si="22"/>
        <v>H176885H176885</v>
      </c>
      <c r="B657" t="str">
        <f t="shared" si="23"/>
        <v>H176885GC9060GY-M</v>
      </c>
      <c r="C657" s="1" t="s">
        <v>5</v>
      </c>
      <c r="D657" s="1" t="s">
        <v>546</v>
      </c>
      <c r="E657" s="1" t="s">
        <v>2292</v>
      </c>
      <c r="F657" s="1" t="s">
        <v>2293</v>
      </c>
      <c r="G657" s="1" t="s">
        <v>404</v>
      </c>
      <c r="H657" s="1">
        <v>1116</v>
      </c>
      <c r="I657" s="3">
        <v>46258</v>
      </c>
      <c r="J657" s="3">
        <v>46286</v>
      </c>
      <c r="K657" s="3" t="s">
        <v>2362</v>
      </c>
      <c r="L657" s="22">
        <v>46258.633220798612</v>
      </c>
      <c r="M657" s="20">
        <v>12</v>
      </c>
      <c r="N657" s="1">
        <v>28</v>
      </c>
    </row>
    <row r="658" spans="1:14" x14ac:dyDescent="0.25">
      <c r="A658" t="str">
        <f t="shared" si="22"/>
        <v>H176885H176885</v>
      </c>
      <c r="B658" t="str">
        <f t="shared" si="23"/>
        <v>H176885GC9060GY-M</v>
      </c>
      <c r="C658" s="1" t="s">
        <v>5</v>
      </c>
      <c r="D658" s="1" t="s">
        <v>546</v>
      </c>
      <c r="E658" s="1" t="s">
        <v>2292</v>
      </c>
      <c r="F658" s="1" t="s">
        <v>2293</v>
      </c>
      <c r="G658" s="1" t="s">
        <v>404</v>
      </c>
      <c r="H658" s="1">
        <v>1116</v>
      </c>
      <c r="I658" s="3">
        <v>46258</v>
      </c>
      <c r="J658" s="3">
        <v>46286</v>
      </c>
      <c r="K658" s="3" t="s">
        <v>2362</v>
      </c>
      <c r="L658" s="22">
        <v>46258.633306284719</v>
      </c>
      <c r="M658" s="20">
        <v>12</v>
      </c>
      <c r="N658" s="1">
        <v>1</v>
      </c>
    </row>
    <row r="659" spans="1:14" x14ac:dyDescent="0.25">
      <c r="A659" t="str">
        <f t="shared" si="22"/>
        <v>H176885H176885</v>
      </c>
      <c r="B659" t="str">
        <f t="shared" si="23"/>
        <v>H176885GC9060GY-M</v>
      </c>
      <c r="C659" s="1" t="s">
        <v>5</v>
      </c>
      <c r="D659" s="1" t="s">
        <v>546</v>
      </c>
      <c r="E659" s="1" t="s">
        <v>2292</v>
      </c>
      <c r="F659" s="1" t="s">
        <v>2293</v>
      </c>
      <c r="G659" s="1" t="s">
        <v>404</v>
      </c>
      <c r="H659" s="1">
        <v>1116</v>
      </c>
      <c r="I659" s="3">
        <v>46258</v>
      </c>
      <c r="J659" s="3">
        <v>46286</v>
      </c>
      <c r="K659" s="3" t="s">
        <v>2362</v>
      </c>
      <c r="L659" s="22">
        <v>46258.633444212959</v>
      </c>
      <c r="M659" s="20">
        <v>12</v>
      </c>
      <c r="N659" s="1">
        <v>15</v>
      </c>
    </row>
    <row r="660" spans="1:14" x14ac:dyDescent="0.25">
      <c r="A660" t="str">
        <f t="shared" si="22"/>
        <v>H176885H176885</v>
      </c>
      <c r="B660" t="str">
        <f t="shared" si="23"/>
        <v>H176885GC9060GY-M</v>
      </c>
      <c r="C660" s="1" t="s">
        <v>5</v>
      </c>
      <c r="D660" s="1" t="s">
        <v>546</v>
      </c>
      <c r="E660" s="1" t="s">
        <v>2292</v>
      </c>
      <c r="F660" s="1" t="s">
        <v>2293</v>
      </c>
      <c r="G660" s="1" t="s">
        <v>404</v>
      </c>
      <c r="H660" s="1">
        <v>1116</v>
      </c>
      <c r="I660" s="3">
        <v>46258</v>
      </c>
      <c r="J660" s="3">
        <v>46286</v>
      </c>
      <c r="K660" s="3" t="s">
        <v>2362</v>
      </c>
      <c r="L660" s="22">
        <v>46258.633586307871</v>
      </c>
      <c r="M660" s="20">
        <v>12</v>
      </c>
      <c r="N660" s="1">
        <v>3</v>
      </c>
    </row>
    <row r="661" spans="1:14" x14ac:dyDescent="0.25">
      <c r="A661" t="str">
        <f t="shared" si="22"/>
        <v>H176885H176885</v>
      </c>
      <c r="B661" t="str">
        <f t="shared" si="23"/>
        <v>H176885GC9060GY-M</v>
      </c>
      <c r="C661" s="1" t="s">
        <v>5</v>
      </c>
      <c r="D661" s="1" t="s">
        <v>546</v>
      </c>
      <c r="E661" s="1" t="s">
        <v>2292</v>
      </c>
      <c r="F661" s="1" t="s">
        <v>2293</v>
      </c>
      <c r="G661" s="1" t="s">
        <v>404</v>
      </c>
      <c r="H661" s="1">
        <v>1116</v>
      </c>
      <c r="I661" s="3">
        <v>46258</v>
      </c>
      <c r="J661" s="3">
        <v>46286</v>
      </c>
      <c r="K661" s="3" t="s">
        <v>2362</v>
      </c>
      <c r="L661" s="22">
        <v>46258.662488657406</v>
      </c>
      <c r="M661" s="20">
        <v>12</v>
      </c>
      <c r="N661" s="1">
        <v>27</v>
      </c>
    </row>
    <row r="662" spans="1:14" x14ac:dyDescent="0.25">
      <c r="A662" t="str">
        <f t="shared" si="22"/>
        <v>H176885H176885</v>
      </c>
      <c r="B662" t="str">
        <f t="shared" si="23"/>
        <v>H176885GC9060GY-M</v>
      </c>
      <c r="C662" s="1" t="s">
        <v>5</v>
      </c>
      <c r="D662" s="1" t="s">
        <v>546</v>
      </c>
      <c r="E662" s="1" t="s">
        <v>2292</v>
      </c>
      <c r="F662" s="1" t="s">
        <v>2293</v>
      </c>
      <c r="G662" s="1" t="s">
        <v>404</v>
      </c>
      <c r="H662" s="1">
        <v>1116</v>
      </c>
      <c r="I662" s="3">
        <v>46258</v>
      </c>
      <c r="J662" s="3">
        <v>46286</v>
      </c>
      <c r="K662" s="3" t="s">
        <v>2362</v>
      </c>
      <c r="L662" s="22">
        <v>46258.676159062496</v>
      </c>
      <c r="M662" s="20">
        <v>12</v>
      </c>
      <c r="N662" s="1">
        <v>50</v>
      </c>
    </row>
    <row r="663" spans="1:14" x14ac:dyDescent="0.25">
      <c r="A663" t="str">
        <f t="shared" si="22"/>
        <v>H176885H176885</v>
      </c>
      <c r="B663" t="str">
        <f t="shared" si="23"/>
        <v>H176885GC9060GY-M</v>
      </c>
      <c r="C663" s="1" t="s">
        <v>5</v>
      </c>
      <c r="D663" s="1" t="s">
        <v>546</v>
      </c>
      <c r="E663" s="1" t="s">
        <v>2292</v>
      </c>
      <c r="F663" s="1" t="s">
        <v>2293</v>
      </c>
      <c r="G663" s="1" t="s">
        <v>404</v>
      </c>
      <c r="H663" s="1">
        <v>1116</v>
      </c>
      <c r="I663" s="3">
        <v>46258</v>
      </c>
      <c r="J663" s="3">
        <v>46286</v>
      </c>
      <c r="K663" s="3" t="s">
        <v>2362</v>
      </c>
      <c r="L663" s="22">
        <v>46258.676402546291</v>
      </c>
      <c r="M663" s="20">
        <v>12</v>
      </c>
      <c r="N663" s="1">
        <v>4</v>
      </c>
    </row>
    <row r="664" spans="1:14" x14ac:dyDescent="0.25">
      <c r="A664" t="str">
        <f t="shared" si="22"/>
        <v>78748527874852</v>
      </c>
      <c r="B664" t="str">
        <f t="shared" si="23"/>
        <v>7874852PC9060BE-M</v>
      </c>
      <c r="C664" s="1" t="s">
        <v>20</v>
      </c>
      <c r="D664" s="1" t="s">
        <v>551</v>
      </c>
      <c r="E664" s="1" t="s">
        <v>392</v>
      </c>
      <c r="F664" s="1" t="s">
        <v>393</v>
      </c>
      <c r="G664" s="1" t="s">
        <v>394</v>
      </c>
      <c r="H664" s="1">
        <v>846</v>
      </c>
      <c r="I664" s="3">
        <v>46259</v>
      </c>
      <c r="J664" s="3">
        <v>46261</v>
      </c>
      <c r="K664" s="3" t="s">
        <v>2357</v>
      </c>
      <c r="L664" s="22">
        <v>46259.451980011574</v>
      </c>
      <c r="M664" s="20">
        <v>12</v>
      </c>
      <c r="N664" s="1">
        <v>23</v>
      </c>
    </row>
    <row r="665" spans="1:14" x14ac:dyDescent="0.25">
      <c r="A665" t="str">
        <f t="shared" si="22"/>
        <v>78748527874852</v>
      </c>
      <c r="B665" t="str">
        <f t="shared" si="23"/>
        <v>7874852PC9060BE-M</v>
      </c>
      <c r="C665" s="1" t="s">
        <v>20</v>
      </c>
      <c r="D665" s="1" t="s">
        <v>551</v>
      </c>
      <c r="E665" s="1" t="s">
        <v>392</v>
      </c>
      <c r="F665" s="1" t="s">
        <v>393</v>
      </c>
      <c r="G665" s="1" t="s">
        <v>394</v>
      </c>
      <c r="H665" s="1">
        <v>846</v>
      </c>
      <c r="I665" s="3">
        <v>46259</v>
      </c>
      <c r="J665" s="3">
        <v>46261</v>
      </c>
      <c r="K665" s="3" t="s">
        <v>2357</v>
      </c>
      <c r="L665" s="22">
        <v>46259.474932488425</v>
      </c>
      <c r="M665" s="20">
        <v>12</v>
      </c>
      <c r="N665" s="1">
        <v>64</v>
      </c>
    </row>
    <row r="666" spans="1:14" x14ac:dyDescent="0.25">
      <c r="A666" t="str">
        <f t="shared" si="22"/>
        <v>78748527874852</v>
      </c>
      <c r="B666" t="str">
        <f t="shared" si="23"/>
        <v>7874852PC9060BE-M</v>
      </c>
      <c r="C666" s="1" t="s">
        <v>20</v>
      </c>
      <c r="D666" s="1" t="s">
        <v>551</v>
      </c>
      <c r="E666" s="1" t="s">
        <v>392</v>
      </c>
      <c r="F666" s="1" t="s">
        <v>393</v>
      </c>
      <c r="G666" s="1" t="s">
        <v>394</v>
      </c>
      <c r="H666" s="1">
        <v>846</v>
      </c>
      <c r="I666" s="3">
        <v>46259</v>
      </c>
      <c r="J666" s="3">
        <v>46261</v>
      </c>
      <c r="K666" s="3" t="s">
        <v>2357</v>
      </c>
      <c r="L666" s="22">
        <v>46259.475102627315</v>
      </c>
      <c r="M666" s="20">
        <v>12</v>
      </c>
      <c r="N666" s="1">
        <v>1</v>
      </c>
    </row>
    <row r="667" spans="1:14" x14ac:dyDescent="0.25">
      <c r="A667" t="str">
        <f t="shared" si="22"/>
        <v>78748527874852</v>
      </c>
      <c r="B667" t="str">
        <f t="shared" si="23"/>
        <v>7874852PC9060BE-M</v>
      </c>
      <c r="C667" s="1" t="s">
        <v>20</v>
      </c>
      <c r="D667" s="1" t="s">
        <v>551</v>
      </c>
      <c r="E667" s="1" t="s">
        <v>392</v>
      </c>
      <c r="F667" s="1" t="s">
        <v>393</v>
      </c>
      <c r="G667" s="1" t="s">
        <v>394</v>
      </c>
      <c r="H667" s="1">
        <v>846</v>
      </c>
      <c r="I667" s="3">
        <v>46259</v>
      </c>
      <c r="J667" s="3">
        <v>46261</v>
      </c>
      <c r="K667" s="3" t="s">
        <v>2357</v>
      </c>
      <c r="L667" s="22">
        <v>46259.479268368057</v>
      </c>
      <c r="M667" s="20">
        <v>12</v>
      </c>
      <c r="N667" s="1">
        <v>41</v>
      </c>
    </row>
    <row r="668" spans="1:14" x14ac:dyDescent="0.25">
      <c r="A668" t="str">
        <f t="shared" si="22"/>
        <v>78748527874852</v>
      </c>
      <c r="B668" t="str">
        <f t="shared" si="23"/>
        <v>7874852PC9060BE-M</v>
      </c>
      <c r="C668" s="1" t="s">
        <v>20</v>
      </c>
      <c r="D668" s="1" t="s">
        <v>551</v>
      </c>
      <c r="E668" s="1" t="s">
        <v>392</v>
      </c>
      <c r="F668" s="1" t="s">
        <v>393</v>
      </c>
      <c r="G668" s="1" t="s">
        <v>394</v>
      </c>
      <c r="H668" s="1">
        <v>846</v>
      </c>
      <c r="I668" s="3">
        <v>46259</v>
      </c>
      <c r="J668" s="3">
        <v>46261</v>
      </c>
      <c r="K668" s="3" t="s">
        <v>2357</v>
      </c>
      <c r="L668" s="22">
        <v>46259.491243553239</v>
      </c>
      <c r="M668" s="20">
        <v>12</v>
      </c>
      <c r="N668" s="1">
        <v>13</v>
      </c>
    </row>
    <row r="669" spans="1:14" x14ac:dyDescent="0.25">
      <c r="A669" t="str">
        <f t="shared" si="22"/>
        <v>H176743H176743</v>
      </c>
      <c r="B669" t="str">
        <f t="shared" si="23"/>
        <v>H176743M5745QV-D</v>
      </c>
      <c r="C669" s="1" t="s">
        <v>549</v>
      </c>
      <c r="D669" s="1" t="s">
        <v>550</v>
      </c>
      <c r="E669" s="1" t="s">
        <v>426</v>
      </c>
      <c r="F669" s="1" t="s">
        <v>427</v>
      </c>
      <c r="G669" s="1">
        <v>0</v>
      </c>
      <c r="H669" s="1">
        <v>2676</v>
      </c>
      <c r="I669" s="3">
        <v>46259</v>
      </c>
      <c r="J669" s="3">
        <v>46286</v>
      </c>
      <c r="K669" s="3" t="s">
        <v>2362</v>
      </c>
      <c r="L669" s="22">
        <v>46259.378622303237</v>
      </c>
      <c r="M669" s="20">
        <v>12</v>
      </c>
      <c r="N669" s="1">
        <v>169</v>
      </c>
    </row>
    <row r="670" spans="1:14" x14ac:dyDescent="0.25">
      <c r="A670" t="str">
        <f t="shared" si="22"/>
        <v>H176743H176743</v>
      </c>
      <c r="B670" t="str">
        <f t="shared" si="23"/>
        <v>H176743M5745QV-D</v>
      </c>
      <c r="C670" s="1" t="s">
        <v>549</v>
      </c>
      <c r="D670" s="1" t="s">
        <v>550</v>
      </c>
      <c r="E670" s="1" t="s">
        <v>426</v>
      </c>
      <c r="F670" s="1" t="s">
        <v>427</v>
      </c>
      <c r="G670" s="1">
        <v>0</v>
      </c>
      <c r="H670" s="1">
        <v>2676</v>
      </c>
      <c r="I670" s="3">
        <v>46259</v>
      </c>
      <c r="J670" s="3">
        <v>46286</v>
      </c>
      <c r="K670" s="3" t="s">
        <v>2362</v>
      </c>
      <c r="L670" s="22">
        <v>46259.386985150464</v>
      </c>
      <c r="M670" s="20">
        <v>12</v>
      </c>
      <c r="N670" s="1">
        <v>105</v>
      </c>
    </row>
    <row r="671" spans="1:14" x14ac:dyDescent="0.25">
      <c r="A671" t="str">
        <f t="shared" si="22"/>
        <v>H176743H176743</v>
      </c>
      <c r="B671" t="str">
        <f t="shared" si="23"/>
        <v>H176743M5745QV-D</v>
      </c>
      <c r="C671" s="1" t="s">
        <v>549</v>
      </c>
      <c r="D671" s="1" t="s">
        <v>550</v>
      </c>
      <c r="E671" s="1" t="s">
        <v>426</v>
      </c>
      <c r="F671" s="1" t="s">
        <v>427</v>
      </c>
      <c r="G671" s="1">
        <v>0</v>
      </c>
      <c r="H671" s="1">
        <v>2676</v>
      </c>
      <c r="I671" s="3">
        <v>46259</v>
      </c>
      <c r="J671" s="3">
        <v>46286</v>
      </c>
      <c r="K671" s="3" t="s">
        <v>2362</v>
      </c>
      <c r="L671" s="22">
        <v>46259.405013229167</v>
      </c>
      <c r="M671" s="20">
        <v>12</v>
      </c>
      <c r="N671" s="1">
        <v>108</v>
      </c>
    </row>
    <row r="672" spans="1:14" x14ac:dyDescent="0.25">
      <c r="A672" t="str">
        <f t="shared" si="22"/>
        <v>H176743H176743</v>
      </c>
      <c r="B672" t="str">
        <f t="shared" si="23"/>
        <v>H176743M5745QV-D</v>
      </c>
      <c r="C672" s="1" t="s">
        <v>549</v>
      </c>
      <c r="D672" s="1" t="s">
        <v>550</v>
      </c>
      <c r="E672" s="1" t="s">
        <v>426</v>
      </c>
      <c r="F672" s="1" t="s">
        <v>427</v>
      </c>
      <c r="G672" s="1">
        <v>0</v>
      </c>
      <c r="H672" s="1">
        <v>2676</v>
      </c>
      <c r="I672" s="3">
        <v>46259</v>
      </c>
      <c r="J672" s="3">
        <v>46286</v>
      </c>
      <c r="K672" s="3" t="s">
        <v>2362</v>
      </c>
      <c r="L672" s="22">
        <v>46259.412609224535</v>
      </c>
      <c r="M672" s="20">
        <v>12</v>
      </c>
      <c r="N672" s="1">
        <v>5</v>
      </c>
    </row>
    <row r="673" spans="1:14" x14ac:dyDescent="0.25">
      <c r="A673" t="str">
        <f t="shared" si="22"/>
        <v>H176743H176743</v>
      </c>
      <c r="B673" t="str">
        <f t="shared" si="23"/>
        <v>H176743M5745QV-D</v>
      </c>
      <c r="C673" s="1" t="s">
        <v>549</v>
      </c>
      <c r="D673" s="1" t="s">
        <v>550</v>
      </c>
      <c r="E673" s="1" t="s">
        <v>426</v>
      </c>
      <c r="F673" s="1" t="s">
        <v>427</v>
      </c>
      <c r="G673" s="1">
        <v>0</v>
      </c>
      <c r="H673" s="1">
        <v>2676</v>
      </c>
      <c r="I673" s="3">
        <v>46259</v>
      </c>
      <c r="J673" s="3">
        <v>46286</v>
      </c>
      <c r="K673" s="3" t="s">
        <v>2362</v>
      </c>
      <c r="L673" s="22">
        <v>46259.413002974536</v>
      </c>
      <c r="M673" s="20">
        <v>12</v>
      </c>
      <c r="N673" s="1">
        <v>106</v>
      </c>
    </row>
    <row r="674" spans="1:14" x14ac:dyDescent="0.25">
      <c r="A674" t="str">
        <f t="shared" si="22"/>
        <v>H176743H176743</v>
      </c>
      <c r="B674" t="str">
        <f t="shared" si="23"/>
        <v>H176743M5745QV-D</v>
      </c>
      <c r="C674" s="1" t="s">
        <v>549</v>
      </c>
      <c r="D674" s="1" t="s">
        <v>550</v>
      </c>
      <c r="E674" s="1" t="s">
        <v>426</v>
      </c>
      <c r="F674" s="1" t="s">
        <v>427</v>
      </c>
      <c r="G674" s="1">
        <v>0</v>
      </c>
      <c r="H674" s="1">
        <v>2676</v>
      </c>
      <c r="I674" s="3">
        <v>46259</v>
      </c>
      <c r="J674" s="3">
        <v>46286</v>
      </c>
      <c r="K674" s="3" t="s">
        <v>2362</v>
      </c>
      <c r="L674" s="22">
        <v>46259.419837349538</v>
      </c>
      <c r="M674" s="20">
        <v>12</v>
      </c>
      <c r="N674" s="1">
        <v>92</v>
      </c>
    </row>
    <row r="675" spans="1:14" x14ac:dyDescent="0.25">
      <c r="A675" t="str">
        <f t="shared" si="22"/>
        <v>H176743H176743</v>
      </c>
      <c r="B675" t="str">
        <f t="shared" si="23"/>
        <v>H176743M5745QV-D</v>
      </c>
      <c r="C675" s="1" t="s">
        <v>549</v>
      </c>
      <c r="D675" s="1" t="s">
        <v>550</v>
      </c>
      <c r="E675" s="1" t="s">
        <v>426</v>
      </c>
      <c r="F675" s="1" t="s">
        <v>427</v>
      </c>
      <c r="G675" s="1">
        <v>0</v>
      </c>
      <c r="H675" s="1">
        <v>2676</v>
      </c>
      <c r="I675" s="3">
        <v>46259</v>
      </c>
      <c r="J675" s="3">
        <v>46286</v>
      </c>
      <c r="K675" s="3" t="s">
        <v>2362</v>
      </c>
      <c r="L675" s="22">
        <v>46259.420171064812</v>
      </c>
      <c r="M675" s="20">
        <v>12</v>
      </c>
      <c r="N675" s="1">
        <v>170</v>
      </c>
    </row>
    <row r="676" spans="1:14" x14ac:dyDescent="0.25">
      <c r="A676" t="str">
        <f t="shared" si="22"/>
        <v>H176743H176743</v>
      </c>
      <c r="B676" t="str">
        <f t="shared" si="23"/>
        <v>H176743M5745QV-D</v>
      </c>
      <c r="C676" s="1" t="s">
        <v>549</v>
      </c>
      <c r="D676" s="1" t="s">
        <v>550</v>
      </c>
      <c r="E676" s="1" t="s">
        <v>426</v>
      </c>
      <c r="F676" s="1" t="s">
        <v>427</v>
      </c>
      <c r="G676" s="1">
        <v>0</v>
      </c>
      <c r="H676" s="1">
        <v>2676</v>
      </c>
      <c r="I676" s="3">
        <v>46259</v>
      </c>
      <c r="J676" s="3">
        <v>46286</v>
      </c>
      <c r="K676" s="3" t="s">
        <v>2362</v>
      </c>
      <c r="L676" s="22">
        <v>46259.424466979166</v>
      </c>
      <c r="M676" s="20">
        <v>12</v>
      </c>
      <c r="N676" s="1">
        <v>157</v>
      </c>
    </row>
    <row r="677" spans="1:14" x14ac:dyDescent="0.25">
      <c r="A677" t="str">
        <f t="shared" si="22"/>
        <v>H176743H176743</v>
      </c>
      <c r="B677" t="str">
        <f t="shared" si="23"/>
        <v>H176743M5745QV-D</v>
      </c>
      <c r="C677" s="1" t="s">
        <v>549</v>
      </c>
      <c r="D677" s="1" t="s">
        <v>550</v>
      </c>
      <c r="E677" s="1" t="s">
        <v>426</v>
      </c>
      <c r="F677" s="1" t="s">
        <v>427</v>
      </c>
      <c r="G677" s="1">
        <v>0</v>
      </c>
      <c r="H677" s="1">
        <v>2676</v>
      </c>
      <c r="I677" s="3">
        <v>46259</v>
      </c>
      <c r="J677" s="3">
        <v>46286</v>
      </c>
      <c r="K677" s="3" t="s">
        <v>2362</v>
      </c>
      <c r="L677" s="22">
        <v>46259.424766631942</v>
      </c>
      <c r="M677" s="20">
        <v>12</v>
      </c>
      <c r="N677" s="1">
        <v>40</v>
      </c>
    </row>
    <row r="678" spans="1:14" x14ac:dyDescent="0.25">
      <c r="A678" t="str">
        <f t="shared" si="22"/>
        <v>H176743H176743</v>
      </c>
      <c r="B678" t="str">
        <f t="shared" si="23"/>
        <v>H176743M5745QV-D</v>
      </c>
      <c r="C678" s="1" t="s">
        <v>549</v>
      </c>
      <c r="D678" s="1" t="s">
        <v>550</v>
      </c>
      <c r="E678" s="1" t="s">
        <v>426</v>
      </c>
      <c r="F678" s="1" t="s">
        <v>427</v>
      </c>
      <c r="G678" s="1">
        <v>0</v>
      </c>
      <c r="H678" s="1">
        <v>2676</v>
      </c>
      <c r="I678" s="3">
        <v>46259</v>
      </c>
      <c r="J678" s="3">
        <v>46286</v>
      </c>
      <c r="K678" s="3" t="s">
        <v>2362</v>
      </c>
      <c r="L678" s="22">
        <v>46259.427187268513</v>
      </c>
      <c r="M678" s="20">
        <v>12</v>
      </c>
      <c r="N678" s="1">
        <v>107</v>
      </c>
    </row>
    <row r="679" spans="1:14" x14ac:dyDescent="0.25">
      <c r="A679" t="str">
        <f t="shared" si="22"/>
        <v>H176743H176743</v>
      </c>
      <c r="B679" t="str">
        <f t="shared" si="23"/>
        <v>H176743M5745QV-D</v>
      </c>
      <c r="C679" s="1" t="s">
        <v>549</v>
      </c>
      <c r="D679" s="1" t="s">
        <v>550</v>
      </c>
      <c r="E679" s="1" t="s">
        <v>426</v>
      </c>
      <c r="F679" s="1" t="s">
        <v>427</v>
      </c>
      <c r="G679" s="1">
        <v>0</v>
      </c>
      <c r="H679" s="1">
        <v>2676</v>
      </c>
      <c r="I679" s="3">
        <v>46259</v>
      </c>
      <c r="J679" s="3">
        <v>46286</v>
      </c>
      <c r="K679" s="3" t="s">
        <v>2362</v>
      </c>
      <c r="L679" s="22">
        <v>46259.43004475694</v>
      </c>
      <c r="M679" s="20">
        <v>12</v>
      </c>
      <c r="N679" s="1">
        <v>43</v>
      </c>
    </row>
    <row r="680" spans="1:14" x14ac:dyDescent="0.25">
      <c r="A680" t="str">
        <f t="shared" si="22"/>
        <v>H176743H176743</v>
      </c>
      <c r="B680" t="str">
        <f t="shared" si="23"/>
        <v>H176743M5745QV-D</v>
      </c>
      <c r="C680" s="1" t="s">
        <v>549</v>
      </c>
      <c r="D680" s="1" t="s">
        <v>550</v>
      </c>
      <c r="E680" s="1" t="s">
        <v>426</v>
      </c>
      <c r="F680" s="1" t="s">
        <v>427</v>
      </c>
      <c r="G680" s="1">
        <v>0</v>
      </c>
      <c r="H680" s="1">
        <v>2676</v>
      </c>
      <c r="I680" s="3">
        <v>46259</v>
      </c>
      <c r="J680" s="3">
        <v>46286</v>
      </c>
      <c r="K680" s="3" t="s">
        <v>2362</v>
      </c>
      <c r="L680" s="22">
        <v>46259.437349305554</v>
      </c>
      <c r="M680" s="20">
        <v>12</v>
      </c>
      <c r="N680" s="1">
        <v>41</v>
      </c>
    </row>
    <row r="681" spans="1:14" x14ac:dyDescent="0.25">
      <c r="A681" t="str">
        <f t="shared" si="22"/>
        <v>H176743H176743</v>
      </c>
      <c r="B681" t="str">
        <f t="shared" si="23"/>
        <v>H176743M5745QV-D</v>
      </c>
      <c r="C681" s="1" t="s">
        <v>549</v>
      </c>
      <c r="D681" s="1" t="s">
        <v>550</v>
      </c>
      <c r="E681" s="1" t="s">
        <v>426</v>
      </c>
      <c r="F681" s="1" t="s">
        <v>427</v>
      </c>
      <c r="G681" s="1">
        <v>0</v>
      </c>
      <c r="H681" s="1">
        <v>2676</v>
      </c>
      <c r="I681" s="3">
        <v>46259</v>
      </c>
      <c r="J681" s="3">
        <v>46286</v>
      </c>
      <c r="K681" s="3" t="s">
        <v>2362</v>
      </c>
      <c r="L681" s="22">
        <v>46259.437678472219</v>
      </c>
      <c r="M681" s="20">
        <v>12</v>
      </c>
      <c r="N681" s="1">
        <v>109</v>
      </c>
    </row>
    <row r="682" spans="1:14" x14ac:dyDescent="0.25">
      <c r="A682" t="str">
        <f t="shared" si="22"/>
        <v>H176743H176743</v>
      </c>
      <c r="B682" t="str">
        <f t="shared" si="23"/>
        <v>H176743M5745QV-D</v>
      </c>
      <c r="C682" s="1" t="s">
        <v>549</v>
      </c>
      <c r="D682" s="1" t="s">
        <v>550</v>
      </c>
      <c r="E682" s="1" t="s">
        <v>426</v>
      </c>
      <c r="F682" s="1" t="s">
        <v>427</v>
      </c>
      <c r="G682" s="1">
        <v>0</v>
      </c>
      <c r="H682" s="1">
        <v>2676</v>
      </c>
      <c r="I682" s="3">
        <v>46259</v>
      </c>
      <c r="J682" s="3">
        <v>46286</v>
      </c>
      <c r="K682" s="3" t="s">
        <v>2362</v>
      </c>
      <c r="L682" s="22">
        <v>46259.438160798607</v>
      </c>
      <c r="M682" s="20">
        <v>12</v>
      </c>
      <c r="N682" s="1">
        <v>207</v>
      </c>
    </row>
    <row r="683" spans="1:14" x14ac:dyDescent="0.25">
      <c r="A683" t="str">
        <f t="shared" si="22"/>
        <v>H176743H176743</v>
      </c>
      <c r="B683" t="str">
        <f t="shared" si="23"/>
        <v>H176743M5745QV-D</v>
      </c>
      <c r="C683" s="1" t="s">
        <v>549</v>
      </c>
      <c r="D683" s="1" t="s">
        <v>550</v>
      </c>
      <c r="E683" s="1" t="s">
        <v>426</v>
      </c>
      <c r="F683" s="1" t="s">
        <v>427</v>
      </c>
      <c r="G683" s="1">
        <v>0</v>
      </c>
      <c r="H683" s="1">
        <v>2676</v>
      </c>
      <c r="I683" s="3">
        <v>46259</v>
      </c>
      <c r="J683" s="3">
        <v>46286</v>
      </c>
      <c r="K683" s="3" t="s">
        <v>2362</v>
      </c>
      <c r="L683" s="22">
        <v>46259.438397418977</v>
      </c>
      <c r="M683" s="20">
        <v>12</v>
      </c>
      <c r="N683" s="1">
        <v>6</v>
      </c>
    </row>
    <row r="684" spans="1:14" x14ac:dyDescent="0.25">
      <c r="A684" t="str">
        <f t="shared" si="22"/>
        <v>H176743H176743</v>
      </c>
      <c r="B684" t="str">
        <f t="shared" si="23"/>
        <v>H176743M5745QV-D</v>
      </c>
      <c r="C684" s="1" t="s">
        <v>549</v>
      </c>
      <c r="D684" s="1" t="s">
        <v>550</v>
      </c>
      <c r="E684" s="1" t="s">
        <v>426</v>
      </c>
      <c r="F684" s="1" t="s">
        <v>427</v>
      </c>
      <c r="G684" s="1">
        <v>0</v>
      </c>
      <c r="H684" s="1">
        <v>2676</v>
      </c>
      <c r="I684" s="3">
        <v>46259</v>
      </c>
      <c r="J684" s="3">
        <v>46286</v>
      </c>
      <c r="K684" s="3" t="s">
        <v>2362</v>
      </c>
      <c r="L684" s="22">
        <v>46259.44079768518</v>
      </c>
      <c r="M684" s="20">
        <v>12</v>
      </c>
      <c r="N684" s="1">
        <v>171</v>
      </c>
    </row>
    <row r="685" spans="1:14" x14ac:dyDescent="0.25">
      <c r="A685" t="str">
        <f t="shared" si="22"/>
        <v>H176743H176743</v>
      </c>
      <c r="B685" t="str">
        <f t="shared" si="23"/>
        <v>H176743M5745QV-D</v>
      </c>
      <c r="C685" s="1" t="s">
        <v>549</v>
      </c>
      <c r="D685" s="1" t="s">
        <v>550</v>
      </c>
      <c r="E685" s="1" t="s">
        <v>426</v>
      </c>
      <c r="F685" s="1" t="s">
        <v>427</v>
      </c>
      <c r="G685" s="1">
        <v>0</v>
      </c>
      <c r="H685" s="1">
        <v>2676</v>
      </c>
      <c r="I685" s="3">
        <v>46259</v>
      </c>
      <c r="J685" s="3">
        <v>46286</v>
      </c>
      <c r="K685" s="3" t="s">
        <v>2362</v>
      </c>
      <c r="L685" s="22">
        <v>46259.460732060186</v>
      </c>
      <c r="M685" s="20">
        <v>12</v>
      </c>
      <c r="N685" s="1">
        <v>42</v>
      </c>
    </row>
    <row r="686" spans="1:14" x14ac:dyDescent="0.25">
      <c r="A686" t="str">
        <f t="shared" si="22"/>
        <v>H176743H176743</v>
      </c>
      <c r="B686" t="str">
        <f t="shared" si="23"/>
        <v>H176743M5745QV-D</v>
      </c>
      <c r="C686" s="1" t="s">
        <v>549</v>
      </c>
      <c r="D686" s="1" t="s">
        <v>550</v>
      </c>
      <c r="E686" s="1" t="s">
        <v>426</v>
      </c>
      <c r="F686" s="1" t="s">
        <v>427</v>
      </c>
      <c r="G686" s="1">
        <v>0</v>
      </c>
      <c r="H686" s="1">
        <v>2676</v>
      </c>
      <c r="I686" s="3">
        <v>46259</v>
      </c>
      <c r="J686" s="3">
        <v>46286</v>
      </c>
      <c r="K686" s="3" t="s">
        <v>2362</v>
      </c>
      <c r="L686" s="22">
        <v>46259.461860069445</v>
      </c>
      <c r="M686" s="20">
        <v>12</v>
      </c>
      <c r="N686" s="1">
        <v>110</v>
      </c>
    </row>
    <row r="687" spans="1:14" x14ac:dyDescent="0.25">
      <c r="A687" t="str">
        <f t="shared" si="22"/>
        <v>H176743H176743</v>
      </c>
      <c r="B687" t="str">
        <f t="shared" si="23"/>
        <v>H176743M5745QV-D</v>
      </c>
      <c r="C687" s="1" t="s">
        <v>549</v>
      </c>
      <c r="D687" s="1" t="s">
        <v>550</v>
      </c>
      <c r="E687" s="1" t="s">
        <v>426</v>
      </c>
      <c r="F687" s="1" t="s">
        <v>427</v>
      </c>
      <c r="G687" s="1">
        <v>0</v>
      </c>
      <c r="H687" s="1">
        <v>2676</v>
      </c>
      <c r="I687" s="3">
        <v>46259</v>
      </c>
      <c r="J687" s="3">
        <v>46286</v>
      </c>
      <c r="K687" s="3" t="s">
        <v>2362</v>
      </c>
      <c r="L687" s="22">
        <v>46259.463068749996</v>
      </c>
      <c r="M687" s="20">
        <v>12</v>
      </c>
      <c r="N687" s="1">
        <v>158</v>
      </c>
    </row>
    <row r="688" spans="1:14" x14ac:dyDescent="0.25">
      <c r="A688" t="str">
        <f t="shared" si="22"/>
        <v>H176743H176743</v>
      </c>
      <c r="B688" t="str">
        <f t="shared" si="23"/>
        <v>H176743M5745QV-D</v>
      </c>
      <c r="C688" s="1" t="s">
        <v>549</v>
      </c>
      <c r="D688" s="1" t="s">
        <v>550</v>
      </c>
      <c r="E688" s="1" t="s">
        <v>426</v>
      </c>
      <c r="F688" s="1" t="s">
        <v>427</v>
      </c>
      <c r="G688" s="1">
        <v>0</v>
      </c>
      <c r="H688" s="1">
        <v>2676</v>
      </c>
      <c r="I688" s="3">
        <v>46259</v>
      </c>
      <c r="J688" s="3">
        <v>46286</v>
      </c>
      <c r="K688" s="3" t="s">
        <v>2362</v>
      </c>
      <c r="L688" s="22">
        <v>46259.464289583331</v>
      </c>
      <c r="M688" s="20">
        <v>12</v>
      </c>
      <c r="N688" s="1">
        <v>112</v>
      </c>
    </row>
    <row r="689" spans="1:14" x14ac:dyDescent="0.25">
      <c r="A689" t="str">
        <f t="shared" si="22"/>
        <v>H176743H176743</v>
      </c>
      <c r="B689" t="str">
        <f t="shared" si="23"/>
        <v>H176743M5745QV-D</v>
      </c>
      <c r="C689" s="1" t="s">
        <v>549</v>
      </c>
      <c r="D689" s="1" t="s">
        <v>550</v>
      </c>
      <c r="E689" s="1" t="s">
        <v>426</v>
      </c>
      <c r="F689" s="1" t="s">
        <v>427</v>
      </c>
      <c r="G689" s="1">
        <v>0</v>
      </c>
      <c r="H689" s="1">
        <v>2676</v>
      </c>
      <c r="I689" s="3">
        <v>46259</v>
      </c>
      <c r="J689" s="3">
        <v>46286</v>
      </c>
      <c r="K689" s="3" t="s">
        <v>2362</v>
      </c>
      <c r="L689" s="22">
        <v>46259.468457326388</v>
      </c>
      <c r="M689" s="20">
        <v>12</v>
      </c>
      <c r="N689" s="1">
        <v>172</v>
      </c>
    </row>
    <row r="690" spans="1:14" x14ac:dyDescent="0.25">
      <c r="A690" t="str">
        <f t="shared" si="22"/>
        <v>H176743H176743</v>
      </c>
      <c r="B690" t="str">
        <f t="shared" si="23"/>
        <v>H176743M5745QV-D</v>
      </c>
      <c r="C690" s="1" t="s">
        <v>549</v>
      </c>
      <c r="D690" s="1" t="s">
        <v>550</v>
      </c>
      <c r="E690" s="1" t="s">
        <v>426</v>
      </c>
      <c r="F690" s="1" t="s">
        <v>427</v>
      </c>
      <c r="G690" s="1">
        <v>0</v>
      </c>
      <c r="H690" s="1">
        <v>2676</v>
      </c>
      <c r="I690" s="3">
        <v>46259</v>
      </c>
      <c r="J690" s="3">
        <v>46286</v>
      </c>
      <c r="K690" s="3" t="s">
        <v>2362</v>
      </c>
      <c r="L690" s="22">
        <v>46259.468805520832</v>
      </c>
      <c r="M690" s="20">
        <v>12</v>
      </c>
      <c r="N690" s="1">
        <v>113</v>
      </c>
    </row>
    <row r="691" spans="1:14" x14ac:dyDescent="0.25">
      <c r="A691" t="str">
        <f t="shared" si="22"/>
        <v>H176743H176743</v>
      </c>
      <c r="B691" t="str">
        <f t="shared" si="23"/>
        <v>H176743M5745QV-D</v>
      </c>
      <c r="C691" s="1" t="s">
        <v>549</v>
      </c>
      <c r="D691" s="1" t="s">
        <v>550</v>
      </c>
      <c r="E691" s="1" t="s">
        <v>426</v>
      </c>
      <c r="F691" s="1" t="s">
        <v>427</v>
      </c>
      <c r="G691" s="1">
        <v>0</v>
      </c>
      <c r="H691" s="1">
        <v>2676</v>
      </c>
      <c r="I691" s="3">
        <v>46259</v>
      </c>
      <c r="J691" s="3">
        <v>46286</v>
      </c>
      <c r="K691" s="3" t="s">
        <v>2362</v>
      </c>
      <c r="L691" s="22">
        <v>46259.469849270834</v>
      </c>
      <c r="M691" s="20">
        <v>12</v>
      </c>
      <c r="N691" s="1">
        <v>7</v>
      </c>
    </row>
    <row r="692" spans="1:14" x14ac:dyDescent="0.25">
      <c r="A692" t="str">
        <f t="shared" si="22"/>
        <v>H176743H176743</v>
      </c>
      <c r="B692" t="str">
        <f t="shared" si="23"/>
        <v>H176743M5745QV-D</v>
      </c>
      <c r="C692" s="1" t="s">
        <v>549</v>
      </c>
      <c r="D692" s="1" t="s">
        <v>550</v>
      </c>
      <c r="E692" s="1" t="s">
        <v>426</v>
      </c>
      <c r="F692" s="1" t="s">
        <v>427</v>
      </c>
      <c r="G692" s="1">
        <v>0</v>
      </c>
      <c r="H692" s="1">
        <v>2676</v>
      </c>
      <c r="I692" s="3">
        <v>46259</v>
      </c>
      <c r="J692" s="3">
        <v>46286</v>
      </c>
      <c r="K692" s="3" t="s">
        <v>2362</v>
      </c>
      <c r="L692" s="22">
        <v>46259.47019482639</v>
      </c>
      <c r="M692" s="20">
        <v>12</v>
      </c>
      <c r="N692" s="1">
        <v>44</v>
      </c>
    </row>
    <row r="693" spans="1:14" x14ac:dyDescent="0.25">
      <c r="A693" t="str">
        <f t="shared" si="22"/>
        <v>H176743H176743</v>
      </c>
      <c r="B693" t="str">
        <f t="shared" si="23"/>
        <v>H176743M5745QV-D</v>
      </c>
      <c r="C693" s="1" t="s">
        <v>549</v>
      </c>
      <c r="D693" s="1" t="s">
        <v>550</v>
      </c>
      <c r="E693" s="1" t="s">
        <v>426</v>
      </c>
      <c r="F693" s="1" t="s">
        <v>427</v>
      </c>
      <c r="G693" s="1">
        <v>0</v>
      </c>
      <c r="H693" s="1">
        <v>2676</v>
      </c>
      <c r="I693" s="3">
        <v>46259</v>
      </c>
      <c r="J693" s="3">
        <v>46286</v>
      </c>
      <c r="K693" s="3" t="s">
        <v>2362</v>
      </c>
      <c r="L693" s="22">
        <v>46259.470519212962</v>
      </c>
      <c r="M693" s="20">
        <v>12</v>
      </c>
      <c r="N693" s="1">
        <v>93</v>
      </c>
    </row>
    <row r="694" spans="1:14" x14ac:dyDescent="0.25">
      <c r="A694" t="str">
        <f t="shared" si="22"/>
        <v>H176743H176743</v>
      </c>
      <c r="B694" t="str">
        <f t="shared" si="23"/>
        <v>H176743M5745QV-D</v>
      </c>
      <c r="C694" s="1" t="s">
        <v>549</v>
      </c>
      <c r="D694" s="1" t="s">
        <v>550</v>
      </c>
      <c r="E694" s="1" t="s">
        <v>426</v>
      </c>
      <c r="F694" s="1" t="s">
        <v>427</v>
      </c>
      <c r="G694" s="1">
        <v>0</v>
      </c>
      <c r="H694" s="1">
        <v>2676</v>
      </c>
      <c r="I694" s="3">
        <v>46259</v>
      </c>
      <c r="J694" s="3">
        <v>46286</v>
      </c>
      <c r="K694" s="3" t="s">
        <v>2362</v>
      </c>
      <c r="L694" s="22">
        <v>46259.484952349536</v>
      </c>
      <c r="M694" s="20">
        <v>12</v>
      </c>
      <c r="N694" s="1">
        <v>173</v>
      </c>
    </row>
    <row r="695" spans="1:14" x14ac:dyDescent="0.25">
      <c r="A695" t="str">
        <f t="shared" si="22"/>
        <v>H176743H176743</v>
      </c>
      <c r="B695" t="str">
        <f t="shared" si="23"/>
        <v>H176743M5745QV-D</v>
      </c>
      <c r="C695" s="1" t="s">
        <v>549</v>
      </c>
      <c r="D695" s="1" t="s">
        <v>550</v>
      </c>
      <c r="E695" s="1" t="s">
        <v>426</v>
      </c>
      <c r="F695" s="1" t="s">
        <v>427</v>
      </c>
      <c r="G695" s="1">
        <v>0</v>
      </c>
      <c r="H695" s="1">
        <v>2676</v>
      </c>
      <c r="I695" s="3">
        <v>46259</v>
      </c>
      <c r="J695" s="3">
        <v>46286</v>
      </c>
      <c r="K695" s="3" t="s">
        <v>2362</v>
      </c>
      <c r="L695" s="22">
        <v>46259.485768252314</v>
      </c>
      <c r="M695" s="20">
        <v>12</v>
      </c>
      <c r="N695" s="1">
        <v>45</v>
      </c>
    </row>
    <row r="696" spans="1:14" x14ac:dyDescent="0.25">
      <c r="A696" t="str">
        <f t="shared" si="22"/>
        <v>H176743H176743</v>
      </c>
      <c r="B696" t="str">
        <f t="shared" si="23"/>
        <v>H176743M5745QV-D</v>
      </c>
      <c r="C696" s="1" t="s">
        <v>549</v>
      </c>
      <c r="D696" s="1" t="s">
        <v>550</v>
      </c>
      <c r="E696" s="1" t="s">
        <v>426</v>
      </c>
      <c r="F696" s="1" t="s">
        <v>427</v>
      </c>
      <c r="G696" s="1">
        <v>0</v>
      </c>
      <c r="H696" s="1">
        <v>2676</v>
      </c>
      <c r="I696" s="3">
        <v>46259</v>
      </c>
      <c r="J696" s="3">
        <v>46286</v>
      </c>
      <c r="K696" s="3" t="s">
        <v>2362</v>
      </c>
      <c r="L696" s="22">
        <v>46259.486270682872</v>
      </c>
      <c r="M696" s="20">
        <v>12</v>
      </c>
      <c r="N696" s="1">
        <v>159</v>
      </c>
    </row>
    <row r="697" spans="1:14" x14ac:dyDescent="0.25">
      <c r="A697" t="str">
        <f t="shared" si="22"/>
        <v>H176743H176743</v>
      </c>
      <c r="B697" t="str">
        <f t="shared" si="23"/>
        <v>H176743M5745QV-D</v>
      </c>
      <c r="C697" s="1" t="s">
        <v>549</v>
      </c>
      <c r="D697" s="1" t="s">
        <v>550</v>
      </c>
      <c r="E697" s="1" t="s">
        <v>426</v>
      </c>
      <c r="F697" s="1" t="s">
        <v>427</v>
      </c>
      <c r="G697" s="1">
        <v>0</v>
      </c>
      <c r="H697" s="1">
        <v>2676</v>
      </c>
      <c r="I697" s="3">
        <v>46259</v>
      </c>
      <c r="J697" s="3">
        <v>46286</v>
      </c>
      <c r="K697" s="3" t="s">
        <v>2362</v>
      </c>
      <c r="L697" s="22">
        <v>46259.48711188657</v>
      </c>
      <c r="M697" s="20">
        <v>12</v>
      </c>
      <c r="N697" s="1">
        <v>111</v>
      </c>
    </row>
    <row r="698" spans="1:14" x14ac:dyDescent="0.25">
      <c r="A698" t="str">
        <f t="shared" si="22"/>
        <v>H176743H176743</v>
      </c>
      <c r="B698" t="str">
        <f t="shared" si="23"/>
        <v>H176743M5745QV-D</v>
      </c>
      <c r="C698" s="1" t="s">
        <v>549</v>
      </c>
      <c r="D698" s="1" t="s">
        <v>550</v>
      </c>
      <c r="E698" s="1" t="s">
        <v>426</v>
      </c>
      <c r="F698" s="1" t="s">
        <v>427</v>
      </c>
      <c r="G698" s="1">
        <v>0</v>
      </c>
      <c r="H698" s="1">
        <v>2676</v>
      </c>
      <c r="I698" s="3">
        <v>46259</v>
      </c>
      <c r="J698" s="3">
        <v>46286</v>
      </c>
      <c r="K698" s="3" t="s">
        <v>2362</v>
      </c>
      <c r="L698" s="22">
        <v>46259.492928784719</v>
      </c>
      <c r="M698" s="20">
        <v>12</v>
      </c>
      <c r="N698" s="1">
        <v>8</v>
      </c>
    </row>
    <row r="699" spans="1:14" x14ac:dyDescent="0.25">
      <c r="A699" t="str">
        <f t="shared" si="22"/>
        <v>H176743H176743</v>
      </c>
      <c r="B699" t="str">
        <f t="shared" si="23"/>
        <v>H176743M5745QV-D</v>
      </c>
      <c r="C699" s="1" t="s">
        <v>549</v>
      </c>
      <c r="D699" s="1" t="s">
        <v>550</v>
      </c>
      <c r="E699" s="1" t="s">
        <v>426</v>
      </c>
      <c r="F699" s="1" t="s">
        <v>427</v>
      </c>
      <c r="G699" s="1">
        <v>0</v>
      </c>
      <c r="H699" s="1">
        <v>2676</v>
      </c>
      <c r="I699" s="3">
        <v>46259</v>
      </c>
      <c r="J699" s="3">
        <v>46286</v>
      </c>
      <c r="K699" s="3" t="s">
        <v>2362</v>
      </c>
      <c r="L699" s="22">
        <v>46259.496117557872</v>
      </c>
      <c r="M699" s="20">
        <v>12</v>
      </c>
      <c r="N699" s="1">
        <v>46</v>
      </c>
    </row>
    <row r="700" spans="1:14" x14ac:dyDescent="0.25">
      <c r="A700" t="str">
        <f t="shared" si="22"/>
        <v>H176743H176743</v>
      </c>
      <c r="B700" t="str">
        <f t="shared" si="23"/>
        <v>H176743M5745QV-D</v>
      </c>
      <c r="C700" s="1" t="s">
        <v>549</v>
      </c>
      <c r="D700" s="1" t="s">
        <v>550</v>
      </c>
      <c r="E700" s="1" t="s">
        <v>426</v>
      </c>
      <c r="F700" s="1" t="s">
        <v>427</v>
      </c>
      <c r="G700" s="1">
        <v>0</v>
      </c>
      <c r="H700" s="1">
        <v>2676</v>
      </c>
      <c r="I700" s="3">
        <v>46259</v>
      </c>
      <c r="J700" s="3">
        <v>46286</v>
      </c>
      <c r="K700" s="3" t="s">
        <v>2362</v>
      </c>
      <c r="L700" s="22">
        <v>46259.496506400465</v>
      </c>
      <c r="M700" s="20">
        <v>12</v>
      </c>
      <c r="N700" s="1">
        <v>94</v>
      </c>
    </row>
    <row r="701" spans="1:14" x14ac:dyDescent="0.25">
      <c r="A701" t="str">
        <f t="shared" si="22"/>
        <v>H176743H176743</v>
      </c>
      <c r="B701" t="str">
        <f t="shared" si="23"/>
        <v>H176743M5745QV-D</v>
      </c>
      <c r="C701" s="1" t="s">
        <v>549</v>
      </c>
      <c r="D701" s="1" t="s">
        <v>550</v>
      </c>
      <c r="E701" s="1" t="s">
        <v>426</v>
      </c>
      <c r="F701" s="1" t="s">
        <v>427</v>
      </c>
      <c r="G701" s="1">
        <v>0</v>
      </c>
      <c r="H701" s="1">
        <v>2676</v>
      </c>
      <c r="I701" s="3">
        <v>46259</v>
      </c>
      <c r="J701" s="3">
        <v>46286</v>
      </c>
      <c r="K701" s="3" t="s">
        <v>2362</v>
      </c>
      <c r="L701" s="22">
        <v>46259.49707237268</v>
      </c>
      <c r="M701" s="20">
        <v>12</v>
      </c>
      <c r="N701" s="1">
        <v>114</v>
      </c>
    </row>
    <row r="702" spans="1:14" x14ac:dyDescent="0.25">
      <c r="A702" t="str">
        <f t="shared" si="22"/>
        <v>H176743H176743</v>
      </c>
      <c r="B702" t="str">
        <f t="shared" si="23"/>
        <v>H176743M5745QV-D</v>
      </c>
      <c r="C702" s="1" t="s">
        <v>549</v>
      </c>
      <c r="D702" s="1" t="s">
        <v>550</v>
      </c>
      <c r="E702" s="1" t="s">
        <v>426</v>
      </c>
      <c r="F702" s="1" t="s">
        <v>427</v>
      </c>
      <c r="G702" s="1">
        <v>0</v>
      </c>
      <c r="H702" s="1">
        <v>2676</v>
      </c>
      <c r="I702" s="3">
        <v>46259</v>
      </c>
      <c r="J702" s="3">
        <v>46286</v>
      </c>
      <c r="K702" s="3" t="s">
        <v>2362</v>
      </c>
      <c r="L702" s="22">
        <v>46259.500313657409</v>
      </c>
      <c r="M702" s="20">
        <v>12</v>
      </c>
      <c r="N702" s="1">
        <v>116</v>
      </c>
    </row>
    <row r="703" spans="1:14" x14ac:dyDescent="0.25">
      <c r="A703" t="str">
        <f t="shared" si="22"/>
        <v>H176751H176751</v>
      </c>
      <c r="B703" t="str">
        <f t="shared" si="23"/>
        <v>H176751M5744FK-D</v>
      </c>
      <c r="C703" s="1" t="s">
        <v>553</v>
      </c>
      <c r="D703" s="1" t="s">
        <v>554</v>
      </c>
      <c r="E703" s="1" t="s">
        <v>426</v>
      </c>
      <c r="F703" s="1" t="s">
        <v>427</v>
      </c>
      <c r="G703" s="1">
        <v>0</v>
      </c>
      <c r="H703" s="1">
        <v>2742</v>
      </c>
      <c r="I703" s="3">
        <v>46260</v>
      </c>
      <c r="J703" s="3">
        <v>46287</v>
      </c>
      <c r="K703" s="3" t="s">
        <v>2365</v>
      </c>
      <c r="L703" s="22">
        <v>46260.720864814815</v>
      </c>
      <c r="M703" s="20">
        <v>12</v>
      </c>
      <c r="N703" s="1">
        <v>173</v>
      </c>
    </row>
    <row r="704" spans="1:14" x14ac:dyDescent="0.25">
      <c r="A704" t="str">
        <f t="shared" si="22"/>
        <v>H176751H176751</v>
      </c>
      <c r="B704" t="str">
        <f t="shared" si="23"/>
        <v>H176751M5744FK-D</v>
      </c>
      <c r="C704" s="1" t="s">
        <v>553</v>
      </c>
      <c r="D704" s="1" t="s">
        <v>554</v>
      </c>
      <c r="E704" s="1" t="s">
        <v>426</v>
      </c>
      <c r="F704" s="1" t="s">
        <v>427</v>
      </c>
      <c r="G704" s="1">
        <v>0</v>
      </c>
      <c r="H704" s="1">
        <v>2742</v>
      </c>
      <c r="I704" s="3">
        <v>46260</v>
      </c>
      <c r="J704" s="3">
        <v>46287</v>
      </c>
      <c r="K704" s="3" t="s">
        <v>2365</v>
      </c>
      <c r="L704" s="22">
        <v>46260.722805092591</v>
      </c>
      <c r="M704" s="20">
        <v>12</v>
      </c>
      <c r="N704" s="1">
        <v>94</v>
      </c>
    </row>
    <row r="705" spans="1:14" x14ac:dyDescent="0.25">
      <c r="A705" t="str">
        <f t="shared" si="22"/>
        <v>H176751H176751</v>
      </c>
      <c r="B705" t="str">
        <f t="shared" si="23"/>
        <v>H176751M5744FK-D</v>
      </c>
      <c r="C705" s="1" t="s">
        <v>553</v>
      </c>
      <c r="D705" s="1" t="s">
        <v>554</v>
      </c>
      <c r="E705" s="1" t="s">
        <v>426</v>
      </c>
      <c r="F705" s="1" t="s">
        <v>427</v>
      </c>
      <c r="G705" s="1">
        <v>0</v>
      </c>
      <c r="H705" s="1">
        <v>2742</v>
      </c>
      <c r="I705" s="3">
        <v>46260</v>
      </c>
      <c r="J705" s="3">
        <v>46287</v>
      </c>
      <c r="K705" s="3" t="s">
        <v>2365</v>
      </c>
      <c r="L705" s="22">
        <v>46260.730881134259</v>
      </c>
      <c r="M705" s="20">
        <v>12</v>
      </c>
      <c r="N705" s="1">
        <v>5</v>
      </c>
    </row>
    <row r="706" spans="1:14" x14ac:dyDescent="0.25">
      <c r="A706" t="str">
        <f t="shared" ref="A706:A769" si="24">+D706&amp;D706</f>
        <v>H176751H176751</v>
      </c>
      <c r="B706" t="str">
        <f t="shared" ref="B706:B769" si="25">+D706&amp;C706</f>
        <v>H176751M5744FK-D</v>
      </c>
      <c r="C706" s="1" t="s">
        <v>553</v>
      </c>
      <c r="D706" s="1" t="s">
        <v>554</v>
      </c>
      <c r="E706" s="1" t="s">
        <v>426</v>
      </c>
      <c r="F706" s="1" t="s">
        <v>427</v>
      </c>
      <c r="G706" s="1">
        <v>0</v>
      </c>
      <c r="H706" s="1">
        <v>2742</v>
      </c>
      <c r="I706" s="3">
        <v>46260</v>
      </c>
      <c r="J706" s="3">
        <v>46287</v>
      </c>
      <c r="K706" s="3" t="s">
        <v>2365</v>
      </c>
      <c r="L706" s="22">
        <v>46260.731296956015</v>
      </c>
      <c r="M706" s="20">
        <v>12</v>
      </c>
      <c r="N706" s="1">
        <v>174</v>
      </c>
    </row>
    <row r="707" spans="1:14" x14ac:dyDescent="0.25">
      <c r="A707" t="str">
        <f t="shared" si="24"/>
        <v>H176751H176751</v>
      </c>
      <c r="B707" t="str">
        <f t="shared" si="25"/>
        <v>H176751M5744FK-D</v>
      </c>
      <c r="C707" s="1" t="s">
        <v>553</v>
      </c>
      <c r="D707" s="1" t="s">
        <v>554</v>
      </c>
      <c r="E707" s="1" t="s">
        <v>426</v>
      </c>
      <c r="F707" s="1" t="s">
        <v>427</v>
      </c>
      <c r="G707" s="1">
        <v>0</v>
      </c>
      <c r="H707" s="1">
        <v>2742</v>
      </c>
      <c r="I707" s="3">
        <v>46260</v>
      </c>
      <c r="J707" s="3">
        <v>46287</v>
      </c>
      <c r="K707" s="3" t="s">
        <v>2365</v>
      </c>
      <c r="L707" s="22">
        <v>46260.735209143517</v>
      </c>
      <c r="M707" s="20">
        <v>12</v>
      </c>
      <c r="N707" s="1">
        <v>43</v>
      </c>
    </row>
    <row r="708" spans="1:14" x14ac:dyDescent="0.25">
      <c r="A708" t="str">
        <f t="shared" si="24"/>
        <v>H176751H176751</v>
      </c>
      <c r="B708" t="str">
        <f t="shared" si="25"/>
        <v>H176751M5744FK-D</v>
      </c>
      <c r="C708" s="1" t="s">
        <v>553</v>
      </c>
      <c r="D708" s="1" t="s">
        <v>554</v>
      </c>
      <c r="E708" s="1" t="s">
        <v>426</v>
      </c>
      <c r="F708" s="1" t="s">
        <v>427</v>
      </c>
      <c r="G708" s="1">
        <v>0</v>
      </c>
      <c r="H708" s="1">
        <v>2742</v>
      </c>
      <c r="I708" s="3">
        <v>46260</v>
      </c>
      <c r="J708" s="3">
        <v>46287</v>
      </c>
      <c r="K708" s="3" t="s">
        <v>2365</v>
      </c>
      <c r="L708" s="22">
        <v>46260.735848842589</v>
      </c>
      <c r="M708" s="20">
        <v>12</v>
      </c>
      <c r="N708" s="1">
        <v>110</v>
      </c>
    </row>
    <row r="709" spans="1:14" x14ac:dyDescent="0.25">
      <c r="A709" t="str">
        <f t="shared" si="24"/>
        <v>H176751H176751</v>
      </c>
      <c r="B709" t="str">
        <f t="shared" si="25"/>
        <v>H176751M5744FK-D</v>
      </c>
      <c r="C709" s="1" t="s">
        <v>553</v>
      </c>
      <c r="D709" s="1" t="s">
        <v>554</v>
      </c>
      <c r="E709" s="1" t="s">
        <v>426</v>
      </c>
      <c r="F709" s="1" t="s">
        <v>427</v>
      </c>
      <c r="G709" s="1">
        <v>0</v>
      </c>
      <c r="H709" s="1">
        <v>2742</v>
      </c>
      <c r="I709" s="3">
        <v>46260</v>
      </c>
      <c r="J709" s="3">
        <v>46287</v>
      </c>
      <c r="K709" s="3" t="s">
        <v>2365</v>
      </c>
      <c r="L709" s="22">
        <v>46260.738233136573</v>
      </c>
      <c r="M709" s="20">
        <v>12</v>
      </c>
      <c r="N709" s="1">
        <v>109</v>
      </c>
    </row>
    <row r="710" spans="1:14" x14ac:dyDescent="0.25">
      <c r="A710" t="str">
        <f t="shared" si="24"/>
        <v>H176751H176751</v>
      </c>
      <c r="B710" t="str">
        <f t="shared" si="25"/>
        <v>H176751M5744FK-D</v>
      </c>
      <c r="C710" s="1" t="s">
        <v>553</v>
      </c>
      <c r="D710" s="1" t="s">
        <v>554</v>
      </c>
      <c r="E710" s="1" t="s">
        <v>426</v>
      </c>
      <c r="F710" s="1" t="s">
        <v>427</v>
      </c>
      <c r="G710" s="1">
        <v>0</v>
      </c>
      <c r="H710" s="1">
        <v>2742</v>
      </c>
      <c r="I710" s="3">
        <v>46260</v>
      </c>
      <c r="J710" s="3">
        <v>46287</v>
      </c>
      <c r="K710" s="3" t="s">
        <v>2365</v>
      </c>
      <c r="L710" s="22">
        <v>46260.738915243055</v>
      </c>
      <c r="M710" s="20">
        <v>12</v>
      </c>
      <c r="N710" s="1">
        <v>107</v>
      </c>
    </row>
    <row r="711" spans="1:14" x14ac:dyDescent="0.25">
      <c r="A711" t="str">
        <f t="shared" si="24"/>
        <v>H176751H176751</v>
      </c>
      <c r="B711" t="str">
        <f t="shared" si="25"/>
        <v>H176751M5744FK-D</v>
      </c>
      <c r="C711" s="1" t="s">
        <v>553</v>
      </c>
      <c r="D711" s="1" t="s">
        <v>554</v>
      </c>
      <c r="E711" s="1" t="s">
        <v>426</v>
      </c>
      <c r="F711" s="1" t="s">
        <v>427</v>
      </c>
      <c r="G711" s="1">
        <v>0</v>
      </c>
      <c r="H711" s="1">
        <v>2742</v>
      </c>
      <c r="I711" s="3">
        <v>46260</v>
      </c>
      <c r="J711" s="3">
        <v>46287</v>
      </c>
      <c r="K711" s="3" t="s">
        <v>2365</v>
      </c>
      <c r="L711" s="22">
        <v>46260.739427581015</v>
      </c>
      <c r="M711" s="20">
        <v>12</v>
      </c>
      <c r="N711" s="1">
        <v>176</v>
      </c>
    </row>
    <row r="712" spans="1:14" x14ac:dyDescent="0.25">
      <c r="A712" t="str">
        <f t="shared" si="24"/>
        <v>H176751H176751</v>
      </c>
      <c r="B712" t="str">
        <f t="shared" si="25"/>
        <v>H176751M5744FK-D</v>
      </c>
      <c r="C712" s="1" t="s">
        <v>553</v>
      </c>
      <c r="D712" s="1" t="s">
        <v>554</v>
      </c>
      <c r="E712" s="1" t="s">
        <v>426</v>
      </c>
      <c r="F712" s="1" t="s">
        <v>427</v>
      </c>
      <c r="G712" s="1">
        <v>0</v>
      </c>
      <c r="H712" s="1">
        <v>2742</v>
      </c>
      <c r="I712" s="3">
        <v>46260</v>
      </c>
      <c r="J712" s="3">
        <v>46287</v>
      </c>
      <c r="K712" s="3" t="s">
        <v>2365</v>
      </c>
      <c r="L712" s="22">
        <v>46260.742388541665</v>
      </c>
      <c r="M712" s="20">
        <v>12</v>
      </c>
      <c r="N712" s="1">
        <v>175</v>
      </c>
    </row>
    <row r="713" spans="1:14" x14ac:dyDescent="0.25">
      <c r="A713" t="str">
        <f t="shared" si="24"/>
        <v>H176978H176978</v>
      </c>
      <c r="B713" t="str">
        <f t="shared" si="25"/>
        <v>H176978GC9060BK-M</v>
      </c>
      <c r="C713" s="1" t="s">
        <v>79</v>
      </c>
      <c r="D713" s="1" t="s">
        <v>552</v>
      </c>
      <c r="E713" s="1" t="s">
        <v>501</v>
      </c>
      <c r="F713" s="1" t="s">
        <v>502</v>
      </c>
      <c r="G713" s="1" t="s">
        <v>404</v>
      </c>
      <c r="H713" s="1">
        <v>756</v>
      </c>
      <c r="I713" s="3">
        <v>46260</v>
      </c>
      <c r="J713" s="3">
        <v>46283</v>
      </c>
      <c r="K713" s="3" t="s">
        <v>2350</v>
      </c>
      <c r="L713" s="22">
        <v>46260.599866400458</v>
      </c>
      <c r="M713" s="20">
        <v>6</v>
      </c>
      <c r="N713" s="1">
        <v>56</v>
      </c>
    </row>
    <row r="714" spans="1:14" x14ac:dyDescent="0.25">
      <c r="A714" t="str">
        <f t="shared" si="24"/>
        <v>H176978H176978</v>
      </c>
      <c r="B714" t="str">
        <f t="shared" si="25"/>
        <v>H176978GC9060BK-M</v>
      </c>
      <c r="C714" s="1" t="s">
        <v>79</v>
      </c>
      <c r="D714" s="1" t="s">
        <v>552</v>
      </c>
      <c r="E714" s="1" t="s">
        <v>501</v>
      </c>
      <c r="F714" s="1" t="s">
        <v>502</v>
      </c>
      <c r="G714" s="1" t="s">
        <v>404</v>
      </c>
      <c r="H714" s="1">
        <v>756</v>
      </c>
      <c r="I714" s="3">
        <v>46260</v>
      </c>
      <c r="J714" s="3">
        <v>46283</v>
      </c>
      <c r="K714" s="3" t="s">
        <v>2350</v>
      </c>
      <c r="L714" s="22">
        <v>46260.603729317125</v>
      </c>
      <c r="M714" s="20">
        <v>6</v>
      </c>
      <c r="N714" s="1">
        <v>29</v>
      </c>
    </row>
    <row r="715" spans="1:14" x14ac:dyDescent="0.25">
      <c r="A715" t="str">
        <f t="shared" si="24"/>
        <v>H176978H176978</v>
      </c>
      <c r="B715" t="str">
        <f t="shared" si="25"/>
        <v>H176978GC9060BK-M</v>
      </c>
      <c r="C715" s="1" t="s">
        <v>79</v>
      </c>
      <c r="D715" s="1" t="s">
        <v>552</v>
      </c>
      <c r="E715" s="1" t="s">
        <v>501</v>
      </c>
      <c r="F715" s="1" t="s">
        <v>502</v>
      </c>
      <c r="G715" s="1" t="s">
        <v>404</v>
      </c>
      <c r="H715" s="1">
        <v>756</v>
      </c>
      <c r="I715" s="3">
        <v>46260</v>
      </c>
      <c r="J715" s="3">
        <v>46283</v>
      </c>
      <c r="K715" s="3" t="s">
        <v>2350</v>
      </c>
      <c r="L715" s="22">
        <v>46260.619965543978</v>
      </c>
      <c r="M715" s="20">
        <v>6</v>
      </c>
      <c r="N715" s="1">
        <v>55</v>
      </c>
    </row>
    <row r="716" spans="1:14" x14ac:dyDescent="0.25">
      <c r="A716" t="str">
        <f t="shared" si="24"/>
        <v>H176978H176978</v>
      </c>
      <c r="B716" t="str">
        <f t="shared" si="25"/>
        <v>H176978GC9060BK-M</v>
      </c>
      <c r="C716" s="1" t="s">
        <v>79</v>
      </c>
      <c r="D716" s="1" t="s">
        <v>552</v>
      </c>
      <c r="E716" s="1" t="s">
        <v>501</v>
      </c>
      <c r="F716" s="1" t="s">
        <v>502</v>
      </c>
      <c r="G716" s="1" t="s">
        <v>404</v>
      </c>
      <c r="H716" s="1">
        <v>756</v>
      </c>
      <c r="I716" s="3">
        <v>46260</v>
      </c>
      <c r="J716" s="3">
        <v>46283</v>
      </c>
      <c r="K716" s="3" t="s">
        <v>2350</v>
      </c>
      <c r="L716" s="22">
        <v>46260.622399039348</v>
      </c>
      <c r="M716" s="20">
        <v>6</v>
      </c>
      <c r="N716" s="1">
        <v>53</v>
      </c>
    </row>
    <row r="717" spans="1:14" x14ac:dyDescent="0.25">
      <c r="A717" t="str">
        <f t="shared" si="24"/>
        <v>H176978H176978</v>
      </c>
      <c r="B717" t="str">
        <f t="shared" si="25"/>
        <v>H176978GC9060BK-M</v>
      </c>
      <c r="C717" s="1" t="s">
        <v>79</v>
      </c>
      <c r="D717" s="1" t="s">
        <v>552</v>
      </c>
      <c r="E717" s="1" t="s">
        <v>501</v>
      </c>
      <c r="F717" s="1" t="s">
        <v>502</v>
      </c>
      <c r="G717" s="1" t="s">
        <v>404</v>
      </c>
      <c r="H717" s="1">
        <v>756</v>
      </c>
      <c r="I717" s="3">
        <v>46260</v>
      </c>
      <c r="J717" s="3">
        <v>46283</v>
      </c>
      <c r="K717" s="3" t="s">
        <v>2350</v>
      </c>
      <c r="L717" s="22">
        <v>46260.627970335649</v>
      </c>
      <c r="M717" s="20">
        <v>6</v>
      </c>
      <c r="N717" s="1">
        <v>30</v>
      </c>
    </row>
    <row r="718" spans="1:14" x14ac:dyDescent="0.25">
      <c r="A718" t="str">
        <f t="shared" si="24"/>
        <v>H176978H176978</v>
      </c>
      <c r="B718" t="str">
        <f t="shared" si="25"/>
        <v>H176978GC9060BK-M</v>
      </c>
      <c r="C718" s="1" t="s">
        <v>79</v>
      </c>
      <c r="D718" s="1" t="s">
        <v>552</v>
      </c>
      <c r="E718" s="1" t="s">
        <v>501</v>
      </c>
      <c r="F718" s="1" t="s">
        <v>502</v>
      </c>
      <c r="G718" s="1" t="s">
        <v>404</v>
      </c>
      <c r="H718" s="1">
        <v>756</v>
      </c>
      <c r="I718" s="3">
        <v>46260</v>
      </c>
      <c r="J718" s="3">
        <v>46283</v>
      </c>
      <c r="K718" s="3" t="s">
        <v>2350</v>
      </c>
      <c r="L718" s="22">
        <v>46260.633640972221</v>
      </c>
      <c r="M718" s="20">
        <v>6</v>
      </c>
      <c r="N718" s="1">
        <v>74</v>
      </c>
    </row>
    <row r="719" spans="1:14" x14ac:dyDescent="0.25">
      <c r="A719" t="str">
        <f t="shared" si="24"/>
        <v>H176978H176978</v>
      </c>
      <c r="B719" t="str">
        <f t="shared" si="25"/>
        <v>H176978GC9060BK-M</v>
      </c>
      <c r="C719" s="1" t="s">
        <v>79</v>
      </c>
      <c r="D719" s="1" t="s">
        <v>552</v>
      </c>
      <c r="E719" s="1" t="s">
        <v>501</v>
      </c>
      <c r="F719" s="1" t="s">
        <v>502</v>
      </c>
      <c r="G719" s="1" t="s">
        <v>404</v>
      </c>
      <c r="H719" s="1">
        <v>756</v>
      </c>
      <c r="I719" s="3">
        <v>46260</v>
      </c>
      <c r="J719" s="3">
        <v>46283</v>
      </c>
      <c r="K719" s="3" t="s">
        <v>2350</v>
      </c>
      <c r="L719" s="22">
        <v>46260.634242974535</v>
      </c>
      <c r="M719" s="20">
        <v>6</v>
      </c>
      <c r="N719" s="1">
        <v>12</v>
      </c>
    </row>
    <row r="720" spans="1:14" x14ac:dyDescent="0.25">
      <c r="A720" t="str">
        <f t="shared" si="24"/>
        <v>H176978H176978</v>
      </c>
      <c r="B720" t="str">
        <f t="shared" si="25"/>
        <v>H176978GC9060BK-M</v>
      </c>
      <c r="C720" s="1" t="s">
        <v>79</v>
      </c>
      <c r="D720" s="1" t="s">
        <v>552</v>
      </c>
      <c r="E720" s="1" t="s">
        <v>501</v>
      </c>
      <c r="F720" s="1" t="s">
        <v>502</v>
      </c>
      <c r="G720" s="1" t="s">
        <v>404</v>
      </c>
      <c r="H720" s="1">
        <v>756</v>
      </c>
      <c r="I720" s="3">
        <v>46260</v>
      </c>
      <c r="J720" s="3">
        <v>46283</v>
      </c>
      <c r="K720" s="3" t="s">
        <v>2350</v>
      </c>
      <c r="L720" s="22">
        <v>46260.636398229166</v>
      </c>
      <c r="M720" s="20">
        <v>6</v>
      </c>
      <c r="N720" s="1">
        <v>113</v>
      </c>
    </row>
    <row r="721" spans="1:14" x14ac:dyDescent="0.25">
      <c r="A721" t="str">
        <f t="shared" si="24"/>
        <v>H176978H176978</v>
      </c>
      <c r="B721" t="str">
        <f t="shared" si="25"/>
        <v>H176978GC9060BK-M</v>
      </c>
      <c r="C721" s="1" t="s">
        <v>79</v>
      </c>
      <c r="D721" s="1" t="s">
        <v>552</v>
      </c>
      <c r="E721" s="1" t="s">
        <v>501</v>
      </c>
      <c r="F721" s="1" t="s">
        <v>502</v>
      </c>
      <c r="G721" s="1" t="s">
        <v>404</v>
      </c>
      <c r="H721" s="1">
        <v>756</v>
      </c>
      <c r="I721" s="3">
        <v>46260</v>
      </c>
      <c r="J721" s="3">
        <v>46283</v>
      </c>
      <c r="K721" s="3" t="s">
        <v>2350</v>
      </c>
      <c r="L721" s="22">
        <v>46260.642408877313</v>
      </c>
      <c r="M721" s="20">
        <v>6</v>
      </c>
      <c r="N721" s="1">
        <v>27</v>
      </c>
    </row>
    <row r="722" spans="1:14" x14ac:dyDescent="0.25">
      <c r="A722" t="str">
        <f t="shared" si="24"/>
        <v>H176978H176978</v>
      </c>
      <c r="B722" t="str">
        <f t="shared" si="25"/>
        <v>H176978GC9060BK-M</v>
      </c>
      <c r="C722" s="1" t="s">
        <v>79</v>
      </c>
      <c r="D722" s="1" t="s">
        <v>552</v>
      </c>
      <c r="E722" s="1" t="s">
        <v>501</v>
      </c>
      <c r="F722" s="1" t="s">
        <v>502</v>
      </c>
      <c r="G722" s="1" t="s">
        <v>404</v>
      </c>
      <c r="H722" s="1">
        <v>756</v>
      </c>
      <c r="I722" s="3">
        <v>46260</v>
      </c>
      <c r="J722" s="3">
        <v>46283</v>
      </c>
      <c r="K722" s="3" t="s">
        <v>2350</v>
      </c>
      <c r="L722" s="22">
        <v>46260.643106284719</v>
      </c>
      <c r="M722" s="20">
        <v>6</v>
      </c>
      <c r="N722" s="1">
        <v>52</v>
      </c>
    </row>
    <row r="723" spans="1:14" x14ac:dyDescent="0.25">
      <c r="A723" t="str">
        <f t="shared" si="24"/>
        <v>H176978H176978</v>
      </c>
      <c r="B723" t="str">
        <f t="shared" si="25"/>
        <v>H176978GC9060BK-M</v>
      </c>
      <c r="C723" s="1" t="s">
        <v>79</v>
      </c>
      <c r="D723" s="1" t="s">
        <v>552</v>
      </c>
      <c r="E723" s="1" t="s">
        <v>501</v>
      </c>
      <c r="F723" s="1" t="s">
        <v>502</v>
      </c>
      <c r="G723" s="1" t="s">
        <v>404</v>
      </c>
      <c r="H723" s="1">
        <v>756</v>
      </c>
      <c r="I723" s="3">
        <v>46260</v>
      </c>
      <c r="J723" s="3">
        <v>46283</v>
      </c>
      <c r="K723" s="3" t="s">
        <v>2350</v>
      </c>
      <c r="L723" s="22">
        <v>46260.650420289348</v>
      </c>
      <c r="M723" s="20">
        <v>6</v>
      </c>
      <c r="N723" s="1">
        <v>50</v>
      </c>
    </row>
    <row r="724" spans="1:14" x14ac:dyDescent="0.25">
      <c r="A724" t="str">
        <f t="shared" si="24"/>
        <v>H176978H176978</v>
      </c>
      <c r="B724" t="str">
        <f t="shared" si="25"/>
        <v>H176978GC9060BK-M</v>
      </c>
      <c r="C724" s="1" t="s">
        <v>79</v>
      </c>
      <c r="D724" s="1" t="s">
        <v>552</v>
      </c>
      <c r="E724" s="1" t="s">
        <v>501</v>
      </c>
      <c r="F724" s="1" t="s">
        <v>502</v>
      </c>
      <c r="G724" s="1" t="s">
        <v>404</v>
      </c>
      <c r="H724" s="1">
        <v>756</v>
      </c>
      <c r="I724" s="3">
        <v>46260</v>
      </c>
      <c r="J724" s="3">
        <v>46283</v>
      </c>
      <c r="K724" s="3" t="s">
        <v>2350</v>
      </c>
      <c r="L724" s="22">
        <v>46260.652917245367</v>
      </c>
      <c r="M724" s="20">
        <v>6</v>
      </c>
      <c r="N724" s="1">
        <v>14</v>
      </c>
    </row>
    <row r="725" spans="1:14" x14ac:dyDescent="0.25">
      <c r="A725" t="str">
        <f t="shared" si="24"/>
        <v>H176978H176978</v>
      </c>
      <c r="B725" t="str">
        <f t="shared" si="25"/>
        <v>H176978GC9060BK-M</v>
      </c>
      <c r="C725" s="1" t="s">
        <v>79</v>
      </c>
      <c r="D725" s="1" t="s">
        <v>552</v>
      </c>
      <c r="E725" s="1" t="s">
        <v>501</v>
      </c>
      <c r="F725" s="1" t="s">
        <v>502</v>
      </c>
      <c r="G725" s="1" t="s">
        <v>404</v>
      </c>
      <c r="H725" s="1">
        <v>756</v>
      </c>
      <c r="I725" s="3">
        <v>46260</v>
      </c>
      <c r="J725" s="3">
        <v>46283</v>
      </c>
      <c r="K725" s="3" t="s">
        <v>2350</v>
      </c>
      <c r="L725" s="22">
        <v>46260.653516354163</v>
      </c>
      <c r="M725" s="20">
        <v>6</v>
      </c>
      <c r="N725" s="1">
        <v>73</v>
      </c>
    </row>
    <row r="726" spans="1:14" x14ac:dyDescent="0.25">
      <c r="A726" t="str">
        <f t="shared" si="24"/>
        <v>H176978H176978</v>
      </c>
      <c r="B726" t="str">
        <f t="shared" si="25"/>
        <v>H176978GC9060BK-M</v>
      </c>
      <c r="C726" s="1" t="s">
        <v>79</v>
      </c>
      <c r="D726" s="1" t="s">
        <v>552</v>
      </c>
      <c r="E726" s="1" t="s">
        <v>501</v>
      </c>
      <c r="F726" s="1" t="s">
        <v>502</v>
      </c>
      <c r="G726" s="1" t="s">
        <v>404</v>
      </c>
      <c r="H726" s="1">
        <v>756</v>
      </c>
      <c r="I726" s="3">
        <v>46260</v>
      </c>
      <c r="J726" s="3">
        <v>46283</v>
      </c>
      <c r="K726" s="3" t="s">
        <v>2350</v>
      </c>
      <c r="L726" s="22">
        <v>46260.656687499999</v>
      </c>
      <c r="M726" s="20">
        <v>6</v>
      </c>
      <c r="N726" s="1">
        <v>34</v>
      </c>
    </row>
    <row r="727" spans="1:14" x14ac:dyDescent="0.25">
      <c r="A727" t="str">
        <f t="shared" si="24"/>
        <v>H176978H176978</v>
      </c>
      <c r="B727" t="str">
        <f t="shared" si="25"/>
        <v>H176978GC9060BK-M</v>
      </c>
      <c r="C727" s="1" t="s">
        <v>79</v>
      </c>
      <c r="D727" s="1" t="s">
        <v>552</v>
      </c>
      <c r="E727" s="1" t="s">
        <v>501</v>
      </c>
      <c r="F727" s="1" t="s">
        <v>502</v>
      </c>
      <c r="G727" s="1" t="s">
        <v>404</v>
      </c>
      <c r="H727" s="1">
        <v>756</v>
      </c>
      <c r="I727" s="3">
        <v>46260</v>
      </c>
      <c r="J727" s="3">
        <v>46283</v>
      </c>
      <c r="K727" s="3" t="s">
        <v>2350</v>
      </c>
      <c r="L727" s="22">
        <v>46260.65860127315</v>
      </c>
      <c r="M727" s="20">
        <v>6</v>
      </c>
      <c r="N727" s="1">
        <v>49</v>
      </c>
    </row>
    <row r="728" spans="1:14" x14ac:dyDescent="0.25">
      <c r="A728" t="str">
        <f t="shared" si="24"/>
        <v>H176978H176978</v>
      </c>
      <c r="B728" t="str">
        <f t="shared" si="25"/>
        <v>H176978GC9060BK-M</v>
      </c>
      <c r="C728" s="1" t="s">
        <v>79</v>
      </c>
      <c r="D728" s="1" t="s">
        <v>552</v>
      </c>
      <c r="E728" s="1" t="s">
        <v>501</v>
      </c>
      <c r="F728" s="1" t="s">
        <v>502</v>
      </c>
      <c r="G728" s="1" t="s">
        <v>404</v>
      </c>
      <c r="H728" s="1">
        <v>756</v>
      </c>
      <c r="I728" s="3">
        <v>46260</v>
      </c>
      <c r="J728" s="3">
        <v>46283</v>
      </c>
      <c r="K728" s="3" t="s">
        <v>2350</v>
      </c>
      <c r="L728" s="22">
        <v>46260.659954710645</v>
      </c>
      <c r="M728" s="20">
        <v>6</v>
      </c>
      <c r="N728" s="1">
        <v>75</v>
      </c>
    </row>
    <row r="729" spans="1:14" x14ac:dyDescent="0.25">
      <c r="A729" t="str">
        <f t="shared" si="24"/>
        <v>H176978H176978</v>
      </c>
      <c r="B729" t="str">
        <f t="shared" si="25"/>
        <v>H176978GC9060BK-M</v>
      </c>
      <c r="C729" s="1" t="s">
        <v>79</v>
      </c>
      <c r="D729" s="1" t="s">
        <v>552</v>
      </c>
      <c r="E729" s="1" t="s">
        <v>501</v>
      </c>
      <c r="F729" s="1" t="s">
        <v>502</v>
      </c>
      <c r="G729" s="1" t="s">
        <v>404</v>
      </c>
      <c r="H729" s="1">
        <v>756</v>
      </c>
      <c r="I729" s="3">
        <v>46260</v>
      </c>
      <c r="J729" s="3">
        <v>46283</v>
      </c>
      <c r="K729" s="3" t="s">
        <v>2350</v>
      </c>
      <c r="L729" s="22">
        <v>46260.666084606477</v>
      </c>
      <c r="M729" s="20">
        <v>6</v>
      </c>
      <c r="N729" s="1">
        <v>48</v>
      </c>
    </row>
    <row r="730" spans="1:14" x14ac:dyDescent="0.25">
      <c r="A730" t="str">
        <f t="shared" si="24"/>
        <v>H176978H176978</v>
      </c>
      <c r="B730" t="str">
        <f t="shared" si="25"/>
        <v>H176978GC9060BK-M</v>
      </c>
      <c r="C730" s="1" t="s">
        <v>79</v>
      </c>
      <c r="D730" s="1" t="s">
        <v>552</v>
      </c>
      <c r="E730" s="1" t="s">
        <v>501</v>
      </c>
      <c r="F730" s="1" t="s">
        <v>502</v>
      </c>
      <c r="G730" s="1" t="s">
        <v>404</v>
      </c>
      <c r="H730" s="1">
        <v>756</v>
      </c>
      <c r="I730" s="3">
        <v>46260</v>
      </c>
      <c r="J730" s="3">
        <v>46283</v>
      </c>
      <c r="K730" s="3" t="s">
        <v>2350</v>
      </c>
      <c r="L730" s="22">
        <v>46260.673426585643</v>
      </c>
      <c r="M730" s="20">
        <v>6</v>
      </c>
      <c r="N730" s="1">
        <v>57</v>
      </c>
    </row>
    <row r="731" spans="1:14" x14ac:dyDescent="0.25">
      <c r="A731" t="str">
        <f t="shared" si="24"/>
        <v>H176978H176978</v>
      </c>
      <c r="B731" t="str">
        <f t="shared" si="25"/>
        <v>H176978GC9060BK-M</v>
      </c>
      <c r="C731" s="1" t="s">
        <v>79</v>
      </c>
      <c r="D731" s="1" t="s">
        <v>552</v>
      </c>
      <c r="E731" s="1" t="s">
        <v>501</v>
      </c>
      <c r="F731" s="1" t="s">
        <v>502</v>
      </c>
      <c r="G731" s="1" t="s">
        <v>404</v>
      </c>
      <c r="H731" s="1">
        <v>756</v>
      </c>
      <c r="I731" s="3">
        <v>46260</v>
      </c>
      <c r="J731" s="3">
        <v>46283</v>
      </c>
      <c r="K731" s="3" t="s">
        <v>2350</v>
      </c>
      <c r="L731" s="22">
        <v>46260.675781215279</v>
      </c>
      <c r="M731" s="20">
        <v>6</v>
      </c>
      <c r="N731" s="1">
        <v>13</v>
      </c>
    </row>
    <row r="732" spans="1:14" x14ac:dyDescent="0.25">
      <c r="A732" t="str">
        <f t="shared" si="24"/>
        <v>H176978H176978</v>
      </c>
      <c r="B732" t="str">
        <f t="shared" si="25"/>
        <v>H176978GC9060BK-M</v>
      </c>
      <c r="C732" s="1" t="s">
        <v>79</v>
      </c>
      <c r="D732" s="1" t="s">
        <v>552</v>
      </c>
      <c r="E732" s="1" t="s">
        <v>501</v>
      </c>
      <c r="F732" s="1" t="s">
        <v>502</v>
      </c>
      <c r="G732" s="1" t="s">
        <v>404</v>
      </c>
      <c r="H732" s="1">
        <v>756</v>
      </c>
      <c r="I732" s="3">
        <v>46260</v>
      </c>
      <c r="J732" s="3">
        <v>46283</v>
      </c>
      <c r="K732" s="3" t="s">
        <v>2350</v>
      </c>
      <c r="L732" s="22">
        <v>46260.676087349537</v>
      </c>
      <c r="M732" s="20">
        <v>6</v>
      </c>
      <c r="N732" s="1">
        <v>118</v>
      </c>
    </row>
    <row r="733" spans="1:14" x14ac:dyDescent="0.25">
      <c r="A733" t="str">
        <f t="shared" si="24"/>
        <v>H176978H176978</v>
      </c>
      <c r="B733" t="str">
        <f t="shared" si="25"/>
        <v>H176978GC9060BK-M</v>
      </c>
      <c r="C733" s="1" t="s">
        <v>79</v>
      </c>
      <c r="D733" s="1" t="s">
        <v>552</v>
      </c>
      <c r="E733" s="1" t="s">
        <v>501</v>
      </c>
      <c r="F733" s="1" t="s">
        <v>502</v>
      </c>
      <c r="G733" s="1" t="s">
        <v>404</v>
      </c>
      <c r="H733" s="1">
        <v>756</v>
      </c>
      <c r="I733" s="3">
        <v>46260</v>
      </c>
      <c r="J733" s="3">
        <v>46283</v>
      </c>
      <c r="K733" s="3" t="s">
        <v>2350</v>
      </c>
      <c r="L733" s="22">
        <v>46260.676647604167</v>
      </c>
      <c r="M733" s="20">
        <v>6</v>
      </c>
      <c r="N733" s="1">
        <v>1</v>
      </c>
    </row>
    <row r="734" spans="1:14" x14ac:dyDescent="0.25">
      <c r="A734" t="str">
        <f t="shared" si="24"/>
        <v>H176978H176978</v>
      </c>
      <c r="B734" t="str">
        <f t="shared" si="25"/>
        <v>H176978GC9060BK-M</v>
      </c>
      <c r="C734" s="1" t="s">
        <v>79</v>
      </c>
      <c r="D734" s="1" t="s">
        <v>552</v>
      </c>
      <c r="E734" s="1" t="s">
        <v>501</v>
      </c>
      <c r="F734" s="1" t="s">
        <v>502</v>
      </c>
      <c r="G734" s="1" t="s">
        <v>404</v>
      </c>
      <c r="H734" s="1">
        <v>756</v>
      </c>
      <c r="I734" s="3">
        <v>46260</v>
      </c>
      <c r="J734" s="3">
        <v>46283</v>
      </c>
      <c r="K734" s="3" t="s">
        <v>2350</v>
      </c>
      <c r="L734" s="22">
        <v>46260.682700266203</v>
      </c>
      <c r="M734" s="20">
        <v>6</v>
      </c>
      <c r="N734" s="1">
        <v>94</v>
      </c>
    </row>
    <row r="735" spans="1:14" x14ac:dyDescent="0.25">
      <c r="A735" t="str">
        <f t="shared" si="24"/>
        <v>H176978H176978</v>
      </c>
      <c r="B735" t="str">
        <f t="shared" si="25"/>
        <v>H176978GC9060BK-M</v>
      </c>
      <c r="C735" s="1" t="s">
        <v>79</v>
      </c>
      <c r="D735" s="1" t="s">
        <v>552</v>
      </c>
      <c r="E735" s="1" t="s">
        <v>501</v>
      </c>
      <c r="F735" s="1" t="s">
        <v>502</v>
      </c>
      <c r="G735" s="1" t="s">
        <v>404</v>
      </c>
      <c r="H735" s="1">
        <v>756</v>
      </c>
      <c r="I735" s="3">
        <v>46260</v>
      </c>
      <c r="J735" s="3">
        <v>46283</v>
      </c>
      <c r="K735" s="3" t="s">
        <v>2350</v>
      </c>
      <c r="L735" s="22">
        <v>46260.685511805554</v>
      </c>
      <c r="M735" s="20">
        <v>6</v>
      </c>
      <c r="N735" s="1">
        <v>58</v>
      </c>
    </row>
    <row r="736" spans="1:14" x14ac:dyDescent="0.25">
      <c r="A736" t="str">
        <f t="shared" si="24"/>
        <v>H176978H176978</v>
      </c>
      <c r="B736" t="str">
        <f t="shared" si="25"/>
        <v>H176978GC9060BK-M</v>
      </c>
      <c r="C736" s="1" t="s">
        <v>79</v>
      </c>
      <c r="D736" s="1" t="s">
        <v>552</v>
      </c>
      <c r="E736" s="1" t="s">
        <v>501</v>
      </c>
      <c r="F736" s="1" t="s">
        <v>502</v>
      </c>
      <c r="G736" s="1" t="s">
        <v>404</v>
      </c>
      <c r="H736" s="1">
        <v>756</v>
      </c>
      <c r="I736" s="3">
        <v>46260</v>
      </c>
      <c r="J736" s="3">
        <v>46283</v>
      </c>
      <c r="K736" s="3" t="s">
        <v>2350</v>
      </c>
      <c r="L736" s="22">
        <v>46260.691462650459</v>
      </c>
      <c r="M736" s="20">
        <v>6</v>
      </c>
      <c r="N736" s="1">
        <v>54</v>
      </c>
    </row>
    <row r="737" spans="1:14" x14ac:dyDescent="0.25">
      <c r="A737" t="str">
        <f t="shared" si="24"/>
        <v>H176978H176978</v>
      </c>
      <c r="B737" t="str">
        <f t="shared" si="25"/>
        <v>H176978GC9060BK-M</v>
      </c>
      <c r="C737" s="1" t="s">
        <v>79</v>
      </c>
      <c r="D737" s="1" t="s">
        <v>552</v>
      </c>
      <c r="E737" s="1" t="s">
        <v>501</v>
      </c>
      <c r="F737" s="1" t="s">
        <v>502</v>
      </c>
      <c r="G737" s="1" t="s">
        <v>404</v>
      </c>
      <c r="H737" s="1">
        <v>756</v>
      </c>
      <c r="I737" s="3">
        <v>46260</v>
      </c>
      <c r="J737" s="3">
        <v>46283</v>
      </c>
      <c r="K737" s="3" t="s">
        <v>2350</v>
      </c>
      <c r="L737" s="22">
        <v>46260.692700266205</v>
      </c>
      <c r="M737" s="20">
        <v>6</v>
      </c>
      <c r="N737" s="1">
        <v>72</v>
      </c>
    </row>
    <row r="738" spans="1:14" x14ac:dyDescent="0.25">
      <c r="A738" t="str">
        <f t="shared" si="24"/>
        <v>H176978H176978</v>
      </c>
      <c r="B738" t="str">
        <f t="shared" si="25"/>
        <v>H176978GC9060BK-M</v>
      </c>
      <c r="C738" s="1" t="s">
        <v>79</v>
      </c>
      <c r="D738" s="1" t="s">
        <v>552</v>
      </c>
      <c r="E738" s="1" t="s">
        <v>501</v>
      </c>
      <c r="F738" s="1" t="s">
        <v>502</v>
      </c>
      <c r="G738" s="1" t="s">
        <v>404</v>
      </c>
      <c r="H738" s="1">
        <v>756</v>
      </c>
      <c r="I738" s="3">
        <v>46260</v>
      </c>
      <c r="J738" s="3">
        <v>46283</v>
      </c>
      <c r="K738" s="3" t="s">
        <v>2350</v>
      </c>
      <c r="L738" s="22">
        <v>46260.693421724536</v>
      </c>
      <c r="M738" s="20">
        <v>6</v>
      </c>
      <c r="N738" s="1">
        <v>28</v>
      </c>
    </row>
    <row r="739" spans="1:14" x14ac:dyDescent="0.25">
      <c r="A739" t="str">
        <f t="shared" si="24"/>
        <v>H176978H176978</v>
      </c>
      <c r="B739" t="str">
        <f t="shared" si="25"/>
        <v>H176978GC9060BK-M</v>
      </c>
      <c r="C739" s="1" t="s">
        <v>79</v>
      </c>
      <c r="D739" s="1" t="s">
        <v>552</v>
      </c>
      <c r="E739" s="1" t="s">
        <v>501</v>
      </c>
      <c r="F739" s="1" t="s">
        <v>502</v>
      </c>
      <c r="G739" s="1" t="s">
        <v>404</v>
      </c>
      <c r="H739" s="1">
        <v>756</v>
      </c>
      <c r="I739" s="3">
        <v>46260</v>
      </c>
      <c r="J739" s="3">
        <v>46283</v>
      </c>
      <c r="K739" s="3" t="s">
        <v>2350</v>
      </c>
      <c r="L739" s="22">
        <v>46260.696547997686</v>
      </c>
      <c r="M739" s="20">
        <v>6</v>
      </c>
      <c r="N739" s="1">
        <v>31</v>
      </c>
    </row>
    <row r="740" spans="1:14" x14ac:dyDescent="0.25">
      <c r="A740" t="str">
        <f t="shared" si="24"/>
        <v>H176978H176978</v>
      </c>
      <c r="B740" t="str">
        <f t="shared" si="25"/>
        <v>H176978GC9060BK-M</v>
      </c>
      <c r="C740" s="1" t="s">
        <v>79</v>
      </c>
      <c r="D740" s="1" t="s">
        <v>552</v>
      </c>
      <c r="E740" s="1" t="s">
        <v>501</v>
      </c>
      <c r="F740" s="1" t="s">
        <v>502</v>
      </c>
      <c r="G740" s="1" t="s">
        <v>404</v>
      </c>
      <c r="H740" s="1">
        <v>756</v>
      </c>
      <c r="I740" s="3">
        <v>46260</v>
      </c>
      <c r="J740" s="3">
        <v>46283</v>
      </c>
      <c r="K740" s="3" t="s">
        <v>2350</v>
      </c>
      <c r="L740" s="22">
        <v>46260.697301851847</v>
      </c>
      <c r="M740" s="20">
        <v>6</v>
      </c>
      <c r="N740" s="1">
        <v>51</v>
      </c>
    </row>
    <row r="741" spans="1:14" x14ac:dyDescent="0.25">
      <c r="A741" t="str">
        <f t="shared" si="24"/>
        <v>H176978H176978</v>
      </c>
      <c r="B741" t="str">
        <f t="shared" si="25"/>
        <v>H176978GC9060BK-M</v>
      </c>
      <c r="C741" s="1" t="s">
        <v>79</v>
      </c>
      <c r="D741" s="1" t="s">
        <v>552</v>
      </c>
      <c r="E741" s="1" t="s">
        <v>501</v>
      </c>
      <c r="F741" s="1" t="s">
        <v>502</v>
      </c>
      <c r="G741" s="1" t="s">
        <v>404</v>
      </c>
      <c r="H741" s="1">
        <v>756</v>
      </c>
      <c r="I741" s="3">
        <v>46260</v>
      </c>
      <c r="J741" s="3">
        <v>46283</v>
      </c>
      <c r="K741" s="3" t="s">
        <v>2350</v>
      </c>
      <c r="L741" s="22">
        <v>46260.702957372683</v>
      </c>
      <c r="M741" s="20">
        <v>6</v>
      </c>
      <c r="N741" s="1">
        <v>47</v>
      </c>
    </row>
    <row r="742" spans="1:14" x14ac:dyDescent="0.25">
      <c r="A742" t="str">
        <f t="shared" si="24"/>
        <v>H176978H176978</v>
      </c>
      <c r="B742" t="str">
        <f t="shared" si="25"/>
        <v>H176978GC9060BK-M</v>
      </c>
      <c r="C742" s="1" t="s">
        <v>79</v>
      </c>
      <c r="D742" s="1" t="s">
        <v>552</v>
      </c>
      <c r="E742" s="1" t="s">
        <v>501</v>
      </c>
      <c r="F742" s="1" t="s">
        <v>502</v>
      </c>
      <c r="G742" s="1" t="s">
        <v>404</v>
      </c>
      <c r="H742" s="1">
        <v>756</v>
      </c>
      <c r="I742" s="3">
        <v>46260</v>
      </c>
      <c r="J742" s="3">
        <v>46283</v>
      </c>
      <c r="K742" s="3" t="s">
        <v>2350</v>
      </c>
      <c r="L742" s="22">
        <v>46260.703249305552</v>
      </c>
      <c r="M742" s="20">
        <v>6</v>
      </c>
      <c r="N742" s="1">
        <v>15</v>
      </c>
    </row>
    <row r="743" spans="1:14" x14ac:dyDescent="0.25">
      <c r="A743" t="str">
        <f t="shared" si="24"/>
        <v>H176978H176978</v>
      </c>
      <c r="B743" t="str">
        <f t="shared" si="25"/>
        <v>H176978GC9060BK-M</v>
      </c>
      <c r="C743" s="1" t="s">
        <v>79</v>
      </c>
      <c r="D743" s="1" t="s">
        <v>552</v>
      </c>
      <c r="E743" s="1" t="s">
        <v>501</v>
      </c>
      <c r="F743" s="1" t="s">
        <v>502</v>
      </c>
      <c r="G743" s="1" t="s">
        <v>404</v>
      </c>
      <c r="H743" s="1">
        <v>756</v>
      </c>
      <c r="I743" s="3">
        <v>46260</v>
      </c>
      <c r="J743" s="3">
        <v>46283</v>
      </c>
      <c r="K743" s="3" t="s">
        <v>2350</v>
      </c>
      <c r="L743" s="22">
        <v>46260.703501585645</v>
      </c>
      <c r="M743" s="20">
        <v>6</v>
      </c>
      <c r="N743" s="1">
        <v>71</v>
      </c>
    </row>
    <row r="744" spans="1:14" x14ac:dyDescent="0.25">
      <c r="A744" t="str">
        <f t="shared" si="24"/>
        <v>H176978H176978</v>
      </c>
      <c r="B744" t="str">
        <f t="shared" si="25"/>
        <v>H176978GC9060BK-M</v>
      </c>
      <c r="C744" s="1" t="s">
        <v>79</v>
      </c>
      <c r="D744" s="1" t="s">
        <v>552</v>
      </c>
      <c r="E744" s="1" t="s">
        <v>501</v>
      </c>
      <c r="F744" s="1" t="s">
        <v>502</v>
      </c>
      <c r="G744" s="1" t="s">
        <v>404</v>
      </c>
      <c r="H744" s="1">
        <v>756</v>
      </c>
      <c r="I744" s="3">
        <v>46260</v>
      </c>
      <c r="J744" s="3">
        <v>46283</v>
      </c>
      <c r="K744" s="3" t="s">
        <v>2350</v>
      </c>
      <c r="L744" s="22">
        <v>46260.703816284724</v>
      </c>
      <c r="M744" s="20">
        <v>6</v>
      </c>
      <c r="N744" s="1">
        <v>117</v>
      </c>
    </row>
    <row r="745" spans="1:14" x14ac:dyDescent="0.25">
      <c r="A745" t="str">
        <f t="shared" si="24"/>
        <v>H176978H176978</v>
      </c>
      <c r="B745" t="str">
        <f t="shared" si="25"/>
        <v>H176978GC9060BK-M</v>
      </c>
      <c r="C745" s="1" t="s">
        <v>79</v>
      </c>
      <c r="D745" s="1" t="s">
        <v>552</v>
      </c>
      <c r="E745" s="1" t="s">
        <v>501</v>
      </c>
      <c r="F745" s="1" t="s">
        <v>502</v>
      </c>
      <c r="G745" s="1" t="s">
        <v>404</v>
      </c>
      <c r="H745" s="1">
        <v>756</v>
      </c>
      <c r="I745" s="3">
        <v>46260</v>
      </c>
      <c r="J745" s="3">
        <v>46283</v>
      </c>
      <c r="K745" s="3" t="s">
        <v>2350</v>
      </c>
      <c r="L745" s="22">
        <v>46260.709764583335</v>
      </c>
      <c r="M745" s="20">
        <v>6</v>
      </c>
      <c r="N745" s="1">
        <v>59</v>
      </c>
    </row>
    <row r="746" spans="1:14" x14ac:dyDescent="0.25">
      <c r="A746" t="str">
        <f t="shared" si="24"/>
        <v>H176978H176978</v>
      </c>
      <c r="B746" t="str">
        <f t="shared" si="25"/>
        <v>H176978GC9060BK-M</v>
      </c>
      <c r="C746" s="1" t="s">
        <v>79</v>
      </c>
      <c r="D746" s="1" t="s">
        <v>552</v>
      </c>
      <c r="E746" s="1" t="s">
        <v>501</v>
      </c>
      <c r="F746" s="1" t="s">
        <v>502</v>
      </c>
      <c r="G746" s="1" t="s">
        <v>404</v>
      </c>
      <c r="H746" s="1">
        <v>756</v>
      </c>
      <c r="I746" s="3">
        <v>46260</v>
      </c>
      <c r="J746" s="3">
        <v>46283</v>
      </c>
      <c r="K746" s="3" t="s">
        <v>2350</v>
      </c>
      <c r="L746" s="22">
        <v>46260.71725173611</v>
      </c>
      <c r="M746" s="20">
        <v>6</v>
      </c>
      <c r="N746" s="1">
        <v>116</v>
      </c>
    </row>
    <row r="747" spans="1:14" x14ac:dyDescent="0.25">
      <c r="A747" t="str">
        <f t="shared" si="24"/>
        <v>H176978H176978</v>
      </c>
      <c r="B747" t="str">
        <f t="shared" si="25"/>
        <v>H176978GC9060BK-M</v>
      </c>
      <c r="C747" s="1" t="s">
        <v>79</v>
      </c>
      <c r="D747" s="1" t="s">
        <v>552</v>
      </c>
      <c r="E747" s="1" t="s">
        <v>501</v>
      </c>
      <c r="F747" s="1" t="s">
        <v>502</v>
      </c>
      <c r="G747" s="1" t="s">
        <v>404</v>
      </c>
      <c r="H747" s="1">
        <v>756</v>
      </c>
      <c r="I747" s="3">
        <v>46260</v>
      </c>
      <c r="J747" s="3">
        <v>46283</v>
      </c>
      <c r="K747" s="3" t="s">
        <v>2350</v>
      </c>
      <c r="L747" s="22">
        <v>46260.717660995368</v>
      </c>
      <c r="M747" s="20">
        <v>6</v>
      </c>
      <c r="N747" s="1">
        <v>33</v>
      </c>
    </row>
    <row r="748" spans="1:14" x14ac:dyDescent="0.25">
      <c r="A748" t="str">
        <f t="shared" si="24"/>
        <v>H176978H176978</v>
      </c>
      <c r="B748" t="str">
        <f t="shared" si="25"/>
        <v>H176978GC9060BK-M</v>
      </c>
      <c r="C748" s="1" t="s">
        <v>79</v>
      </c>
      <c r="D748" s="1" t="s">
        <v>552</v>
      </c>
      <c r="E748" s="1" t="s">
        <v>501</v>
      </c>
      <c r="F748" s="1" t="s">
        <v>502</v>
      </c>
      <c r="G748" s="1" t="s">
        <v>404</v>
      </c>
      <c r="H748" s="1">
        <v>756</v>
      </c>
      <c r="I748" s="3">
        <v>46260</v>
      </c>
      <c r="J748" s="3">
        <v>46283</v>
      </c>
      <c r="K748" s="3" t="s">
        <v>2350</v>
      </c>
      <c r="L748" s="22">
        <v>46260.718129513887</v>
      </c>
      <c r="M748" s="20">
        <v>6</v>
      </c>
      <c r="N748" s="1">
        <v>64</v>
      </c>
    </row>
    <row r="749" spans="1:14" x14ac:dyDescent="0.25">
      <c r="A749" t="str">
        <f t="shared" si="24"/>
        <v>78748767874876</v>
      </c>
      <c r="B749" t="str">
        <f t="shared" si="25"/>
        <v>7874876PC9060ER-M</v>
      </c>
      <c r="C749" s="1" t="s">
        <v>557</v>
      </c>
      <c r="D749" s="1" t="s">
        <v>558</v>
      </c>
      <c r="E749" s="1" t="s">
        <v>392</v>
      </c>
      <c r="F749" s="1" t="s">
        <v>393</v>
      </c>
      <c r="G749" s="1" t="s">
        <v>394</v>
      </c>
      <c r="H749" s="1">
        <v>882</v>
      </c>
      <c r="I749" s="3">
        <v>46261</v>
      </c>
      <c r="J749" s="3">
        <v>46281</v>
      </c>
      <c r="K749" s="3" t="s">
        <v>2366</v>
      </c>
      <c r="L749" s="22">
        <v>46261.590176886573</v>
      </c>
      <c r="M749" s="20">
        <v>12</v>
      </c>
      <c r="N749" s="1">
        <v>62</v>
      </c>
    </row>
    <row r="750" spans="1:14" x14ac:dyDescent="0.25">
      <c r="A750" t="str">
        <f t="shared" si="24"/>
        <v>78748767874876</v>
      </c>
      <c r="B750" t="str">
        <f t="shared" si="25"/>
        <v>7874876PC9060ER-M</v>
      </c>
      <c r="C750" s="1" t="s">
        <v>557</v>
      </c>
      <c r="D750" s="1" t="s">
        <v>558</v>
      </c>
      <c r="E750" s="1" t="s">
        <v>392</v>
      </c>
      <c r="F750" s="1" t="s">
        <v>393</v>
      </c>
      <c r="G750" s="1" t="s">
        <v>394</v>
      </c>
      <c r="H750" s="1">
        <v>882</v>
      </c>
      <c r="I750" s="3">
        <v>46261</v>
      </c>
      <c r="J750" s="3">
        <v>46281</v>
      </c>
      <c r="K750" s="3" t="s">
        <v>2366</v>
      </c>
      <c r="L750" s="22">
        <v>46261.590339849536</v>
      </c>
      <c r="M750" s="20">
        <v>12</v>
      </c>
      <c r="N750" s="1">
        <v>22</v>
      </c>
    </row>
    <row r="751" spans="1:14" x14ac:dyDescent="0.25">
      <c r="A751" t="str">
        <f t="shared" si="24"/>
        <v>78748767874876</v>
      </c>
      <c r="B751" t="str">
        <f t="shared" si="25"/>
        <v>7874876PC9060ER-M</v>
      </c>
      <c r="C751" s="1" t="s">
        <v>557</v>
      </c>
      <c r="D751" s="1" t="s">
        <v>558</v>
      </c>
      <c r="E751" s="1" t="s">
        <v>392</v>
      </c>
      <c r="F751" s="1" t="s">
        <v>393</v>
      </c>
      <c r="G751" s="1" t="s">
        <v>394</v>
      </c>
      <c r="H751" s="1">
        <v>882</v>
      </c>
      <c r="I751" s="3">
        <v>46261</v>
      </c>
      <c r="J751" s="3">
        <v>46281</v>
      </c>
      <c r="K751" s="3" t="s">
        <v>2366</v>
      </c>
      <c r="L751" s="22">
        <v>46261.590498530088</v>
      </c>
      <c r="M751" s="20">
        <v>12</v>
      </c>
      <c r="N751" s="1">
        <v>61</v>
      </c>
    </row>
    <row r="752" spans="1:14" x14ac:dyDescent="0.25">
      <c r="A752" t="str">
        <f t="shared" si="24"/>
        <v>78748767874876</v>
      </c>
      <c r="B752" t="str">
        <f t="shared" si="25"/>
        <v>7874876PC9060ER-M</v>
      </c>
      <c r="C752" s="1" t="s">
        <v>557</v>
      </c>
      <c r="D752" s="1" t="s">
        <v>558</v>
      </c>
      <c r="E752" s="1" t="s">
        <v>392</v>
      </c>
      <c r="F752" s="1" t="s">
        <v>393</v>
      </c>
      <c r="G752" s="1" t="s">
        <v>394</v>
      </c>
      <c r="H752" s="1">
        <v>882</v>
      </c>
      <c r="I752" s="3">
        <v>46261</v>
      </c>
      <c r="J752" s="3">
        <v>46281</v>
      </c>
      <c r="K752" s="3" t="s">
        <v>2366</v>
      </c>
      <c r="L752" s="22">
        <v>46261.590832951384</v>
      </c>
      <c r="M752" s="20">
        <v>12</v>
      </c>
      <c r="N752" s="1">
        <v>52</v>
      </c>
    </row>
    <row r="753" spans="1:14" x14ac:dyDescent="0.25">
      <c r="A753" t="str">
        <f t="shared" si="24"/>
        <v>78748767874876</v>
      </c>
      <c r="B753" t="str">
        <f t="shared" si="25"/>
        <v>7874876PC9060ER-M</v>
      </c>
      <c r="C753" s="1" t="s">
        <v>557</v>
      </c>
      <c r="D753" s="1" t="s">
        <v>558</v>
      </c>
      <c r="E753" s="1" t="s">
        <v>392</v>
      </c>
      <c r="F753" s="1" t="s">
        <v>393</v>
      </c>
      <c r="G753" s="1" t="s">
        <v>394</v>
      </c>
      <c r="H753" s="1">
        <v>882</v>
      </c>
      <c r="I753" s="3">
        <v>46261</v>
      </c>
      <c r="J753" s="3">
        <v>46281</v>
      </c>
      <c r="K753" s="3" t="s">
        <v>2366</v>
      </c>
      <c r="L753" s="22">
        <v>46261.594999768517</v>
      </c>
      <c r="M753" s="20">
        <v>12</v>
      </c>
      <c r="N753" s="1">
        <v>8</v>
      </c>
    </row>
    <row r="754" spans="1:14" x14ac:dyDescent="0.25">
      <c r="A754" t="str">
        <f t="shared" si="24"/>
        <v>78748767874876</v>
      </c>
      <c r="B754" t="str">
        <f t="shared" si="25"/>
        <v>7874876PC9060ER-M</v>
      </c>
      <c r="C754" s="1" t="s">
        <v>557</v>
      </c>
      <c r="D754" s="1" t="s">
        <v>558</v>
      </c>
      <c r="E754" s="1" t="s">
        <v>392</v>
      </c>
      <c r="F754" s="1" t="s">
        <v>393</v>
      </c>
      <c r="G754" s="1" t="s">
        <v>394</v>
      </c>
      <c r="H754" s="1">
        <v>882</v>
      </c>
      <c r="I754" s="3">
        <v>46261</v>
      </c>
      <c r="J754" s="3">
        <v>46281</v>
      </c>
      <c r="K754" s="3" t="s">
        <v>2366</v>
      </c>
      <c r="L754" s="22">
        <v>46261.595283680552</v>
      </c>
      <c r="M754" s="20">
        <v>12</v>
      </c>
      <c r="N754" s="1">
        <v>53</v>
      </c>
    </row>
    <row r="755" spans="1:14" x14ac:dyDescent="0.25">
      <c r="A755" t="str">
        <f t="shared" si="24"/>
        <v>78748767874876</v>
      </c>
      <c r="B755" t="str">
        <f t="shared" si="25"/>
        <v>7874876PC9060ER-M</v>
      </c>
      <c r="C755" s="1" t="s">
        <v>557</v>
      </c>
      <c r="D755" s="1" t="s">
        <v>558</v>
      </c>
      <c r="E755" s="1" t="s">
        <v>392</v>
      </c>
      <c r="F755" s="1" t="s">
        <v>393</v>
      </c>
      <c r="G755" s="1" t="s">
        <v>394</v>
      </c>
      <c r="H755" s="1">
        <v>882</v>
      </c>
      <c r="I755" s="3">
        <v>46261</v>
      </c>
      <c r="J755" s="3">
        <v>46281</v>
      </c>
      <c r="K755" s="3" t="s">
        <v>2366</v>
      </c>
      <c r="L755" s="22">
        <v>46261.607235069445</v>
      </c>
      <c r="M755" s="20">
        <v>12</v>
      </c>
      <c r="N755" s="1">
        <v>14</v>
      </c>
    </row>
    <row r="756" spans="1:14" x14ac:dyDescent="0.25">
      <c r="A756" t="str">
        <f t="shared" si="24"/>
        <v>78748767874876</v>
      </c>
      <c r="B756" t="str">
        <f t="shared" si="25"/>
        <v>7874876PC9060ER-M</v>
      </c>
      <c r="C756" s="1" t="s">
        <v>557</v>
      </c>
      <c r="D756" s="1" t="s">
        <v>558</v>
      </c>
      <c r="E756" s="1" t="s">
        <v>392</v>
      </c>
      <c r="F756" s="1" t="s">
        <v>393</v>
      </c>
      <c r="G756" s="1" t="s">
        <v>394</v>
      </c>
      <c r="H756" s="1">
        <v>882</v>
      </c>
      <c r="I756" s="3">
        <v>46261</v>
      </c>
      <c r="J756" s="3">
        <v>46281</v>
      </c>
      <c r="K756" s="3" t="s">
        <v>2366</v>
      </c>
      <c r="L756" s="22">
        <v>46261.608920335646</v>
      </c>
      <c r="M756" s="20">
        <v>12</v>
      </c>
      <c r="N756" s="1">
        <v>63</v>
      </c>
    </row>
    <row r="757" spans="1:14" x14ac:dyDescent="0.25">
      <c r="A757" t="str">
        <f t="shared" si="24"/>
        <v>78748767874876</v>
      </c>
      <c r="B757" t="str">
        <f t="shared" si="25"/>
        <v>7874876PC9060ER-M</v>
      </c>
      <c r="C757" s="1" t="s">
        <v>557</v>
      </c>
      <c r="D757" s="1" t="s">
        <v>558</v>
      </c>
      <c r="E757" s="1" t="s">
        <v>392</v>
      </c>
      <c r="F757" s="1" t="s">
        <v>393</v>
      </c>
      <c r="G757" s="1" t="s">
        <v>394</v>
      </c>
      <c r="H757" s="1">
        <v>882</v>
      </c>
      <c r="I757" s="3">
        <v>46261</v>
      </c>
      <c r="J757" s="3">
        <v>46281</v>
      </c>
      <c r="K757" s="3" t="s">
        <v>2366</v>
      </c>
      <c r="L757" s="22">
        <v>46261.609680243055</v>
      </c>
      <c r="M757" s="20">
        <v>12</v>
      </c>
      <c r="N757" s="1">
        <v>38</v>
      </c>
    </row>
    <row r="758" spans="1:14" x14ac:dyDescent="0.25">
      <c r="A758" t="str">
        <f t="shared" si="24"/>
        <v>78748767874876</v>
      </c>
      <c r="B758" t="str">
        <f t="shared" si="25"/>
        <v>7874876PC9060ER-M</v>
      </c>
      <c r="C758" s="1" t="s">
        <v>557</v>
      </c>
      <c r="D758" s="1" t="s">
        <v>558</v>
      </c>
      <c r="E758" s="1" t="s">
        <v>392</v>
      </c>
      <c r="F758" s="1" t="s">
        <v>393</v>
      </c>
      <c r="G758" s="1" t="s">
        <v>394</v>
      </c>
      <c r="H758" s="1">
        <v>882</v>
      </c>
      <c r="I758" s="3">
        <v>46261</v>
      </c>
      <c r="J758" s="3">
        <v>46281</v>
      </c>
      <c r="K758" s="3" t="s">
        <v>2366</v>
      </c>
      <c r="L758" s="22">
        <v>46261.615237118051</v>
      </c>
      <c r="M758" s="20">
        <v>12</v>
      </c>
      <c r="N758" s="1">
        <v>9</v>
      </c>
    </row>
    <row r="759" spans="1:14" x14ac:dyDescent="0.25">
      <c r="A759" t="str">
        <f t="shared" si="24"/>
        <v>78748767874876</v>
      </c>
      <c r="B759" t="str">
        <f t="shared" si="25"/>
        <v>7874876PC9060ER-M</v>
      </c>
      <c r="C759" s="1" t="s">
        <v>557</v>
      </c>
      <c r="D759" s="1" t="s">
        <v>558</v>
      </c>
      <c r="E759" s="1" t="s">
        <v>392</v>
      </c>
      <c r="F759" s="1" t="s">
        <v>393</v>
      </c>
      <c r="G759" s="1" t="s">
        <v>394</v>
      </c>
      <c r="H759" s="1">
        <v>882</v>
      </c>
      <c r="I759" s="3">
        <v>46261</v>
      </c>
      <c r="J759" s="3">
        <v>46281</v>
      </c>
      <c r="K759" s="3" t="s">
        <v>2366</v>
      </c>
      <c r="L759" s="22">
        <v>46261.61551851852</v>
      </c>
      <c r="M759" s="20">
        <v>12</v>
      </c>
      <c r="N759" s="1">
        <v>23</v>
      </c>
    </row>
    <row r="760" spans="1:14" x14ac:dyDescent="0.25">
      <c r="A760" t="str">
        <f t="shared" si="24"/>
        <v>78748767874876</v>
      </c>
      <c r="B760" t="str">
        <f t="shared" si="25"/>
        <v>7874876PC9060ER-M</v>
      </c>
      <c r="C760" s="1" t="s">
        <v>557</v>
      </c>
      <c r="D760" s="1" t="s">
        <v>558</v>
      </c>
      <c r="E760" s="1" t="s">
        <v>392</v>
      </c>
      <c r="F760" s="1" t="s">
        <v>393</v>
      </c>
      <c r="G760" s="1" t="s">
        <v>394</v>
      </c>
      <c r="H760" s="1">
        <v>882</v>
      </c>
      <c r="I760" s="3">
        <v>46261</v>
      </c>
      <c r="J760" s="3">
        <v>46281</v>
      </c>
      <c r="K760" s="3" t="s">
        <v>2366</v>
      </c>
      <c r="L760" s="22">
        <v>46261.616617557869</v>
      </c>
      <c r="M760" s="20">
        <v>12</v>
      </c>
      <c r="N760" s="1">
        <v>54</v>
      </c>
    </row>
    <row r="761" spans="1:14" x14ac:dyDescent="0.25">
      <c r="A761" t="str">
        <f t="shared" si="24"/>
        <v>78748767874876</v>
      </c>
      <c r="B761" t="str">
        <f t="shared" si="25"/>
        <v>7874876PC9060ER-M</v>
      </c>
      <c r="C761" s="1" t="s">
        <v>557</v>
      </c>
      <c r="D761" s="1" t="s">
        <v>558</v>
      </c>
      <c r="E761" s="1" t="s">
        <v>392</v>
      </c>
      <c r="F761" s="1" t="s">
        <v>393</v>
      </c>
      <c r="G761" s="1" t="s">
        <v>394</v>
      </c>
      <c r="H761" s="1">
        <v>882</v>
      </c>
      <c r="I761" s="3">
        <v>46261</v>
      </c>
      <c r="J761" s="3">
        <v>46281</v>
      </c>
      <c r="K761" s="3" t="s">
        <v>2366</v>
      </c>
      <c r="L761" s="22">
        <v>46261.617875960648</v>
      </c>
      <c r="M761" s="20">
        <v>12</v>
      </c>
      <c r="N761" s="1">
        <v>64</v>
      </c>
    </row>
    <row r="762" spans="1:14" x14ac:dyDescent="0.25">
      <c r="A762" t="str">
        <f t="shared" si="24"/>
        <v>78748767874876</v>
      </c>
      <c r="B762" t="str">
        <f t="shared" si="25"/>
        <v>7874876PC9060ER-M</v>
      </c>
      <c r="C762" s="1" t="s">
        <v>557</v>
      </c>
      <c r="D762" s="1" t="s">
        <v>558</v>
      </c>
      <c r="E762" s="1" t="s">
        <v>392</v>
      </c>
      <c r="F762" s="1" t="s">
        <v>393</v>
      </c>
      <c r="G762" s="1" t="s">
        <v>394</v>
      </c>
      <c r="H762" s="1">
        <v>882</v>
      </c>
      <c r="I762" s="3">
        <v>46261</v>
      </c>
      <c r="J762" s="3">
        <v>46281</v>
      </c>
      <c r="K762" s="3" t="s">
        <v>2366</v>
      </c>
      <c r="L762" s="22">
        <v>46261.643533530092</v>
      </c>
      <c r="M762" s="20">
        <v>12</v>
      </c>
      <c r="N762" s="1">
        <v>25</v>
      </c>
    </row>
    <row r="763" spans="1:14" x14ac:dyDescent="0.25">
      <c r="A763" t="str">
        <f t="shared" si="24"/>
        <v>78748767874876</v>
      </c>
      <c r="B763" t="str">
        <f t="shared" si="25"/>
        <v>7874876PC9060ER-M</v>
      </c>
      <c r="C763" s="1" t="s">
        <v>557</v>
      </c>
      <c r="D763" s="1" t="s">
        <v>558</v>
      </c>
      <c r="E763" s="1" t="s">
        <v>392</v>
      </c>
      <c r="F763" s="1" t="s">
        <v>393</v>
      </c>
      <c r="G763" s="1" t="s">
        <v>394</v>
      </c>
      <c r="H763" s="1">
        <v>882</v>
      </c>
      <c r="I763" s="3">
        <v>46261</v>
      </c>
      <c r="J763" s="3">
        <v>46281</v>
      </c>
      <c r="K763" s="3" t="s">
        <v>2366</v>
      </c>
      <c r="L763" s="22">
        <v>46261.644740358795</v>
      </c>
      <c r="M763" s="20">
        <v>12</v>
      </c>
      <c r="N763" s="1">
        <v>26</v>
      </c>
    </row>
    <row r="764" spans="1:14" x14ac:dyDescent="0.25">
      <c r="A764" t="str">
        <f t="shared" si="24"/>
        <v>78748767874876</v>
      </c>
      <c r="B764" t="str">
        <f t="shared" si="25"/>
        <v>7874876PC9060ER-M</v>
      </c>
      <c r="C764" s="1" t="s">
        <v>557</v>
      </c>
      <c r="D764" s="1" t="s">
        <v>558</v>
      </c>
      <c r="E764" s="1" t="s">
        <v>392</v>
      </c>
      <c r="F764" s="1" t="s">
        <v>393</v>
      </c>
      <c r="G764" s="1" t="s">
        <v>394</v>
      </c>
      <c r="H764" s="1">
        <v>882</v>
      </c>
      <c r="I764" s="3">
        <v>46261</v>
      </c>
      <c r="J764" s="3">
        <v>46281</v>
      </c>
      <c r="K764" s="3" t="s">
        <v>2366</v>
      </c>
      <c r="L764" s="22">
        <v>46261.645271030087</v>
      </c>
      <c r="M764" s="20">
        <v>12</v>
      </c>
      <c r="N764" s="1">
        <v>39</v>
      </c>
    </row>
    <row r="765" spans="1:14" x14ac:dyDescent="0.25">
      <c r="A765" t="str">
        <f t="shared" si="24"/>
        <v>78748767874876</v>
      </c>
      <c r="B765" t="str">
        <f t="shared" si="25"/>
        <v>7874876PC9060ER-M</v>
      </c>
      <c r="C765" s="1" t="s">
        <v>557</v>
      </c>
      <c r="D765" s="1" t="s">
        <v>558</v>
      </c>
      <c r="E765" s="1" t="s">
        <v>392</v>
      </c>
      <c r="F765" s="1" t="s">
        <v>393</v>
      </c>
      <c r="G765" s="1" t="s">
        <v>394</v>
      </c>
      <c r="H765" s="1">
        <v>882</v>
      </c>
      <c r="I765" s="3">
        <v>46261</v>
      </c>
      <c r="J765" s="3">
        <v>46281</v>
      </c>
      <c r="K765" s="3" t="s">
        <v>2366</v>
      </c>
      <c r="L765" s="22">
        <v>46261.67235231481</v>
      </c>
      <c r="M765" s="20">
        <v>12</v>
      </c>
      <c r="N765" s="1">
        <v>11</v>
      </c>
    </row>
    <row r="766" spans="1:14" x14ac:dyDescent="0.25">
      <c r="A766" t="str">
        <f t="shared" si="24"/>
        <v>78748767874876</v>
      </c>
      <c r="B766" t="str">
        <f t="shared" si="25"/>
        <v>7874876PC9060ER-M</v>
      </c>
      <c r="C766" s="1" t="s">
        <v>557</v>
      </c>
      <c r="D766" s="1" t="s">
        <v>558</v>
      </c>
      <c r="E766" s="1" t="s">
        <v>392</v>
      </c>
      <c r="F766" s="1" t="s">
        <v>393</v>
      </c>
      <c r="G766" s="1" t="s">
        <v>394</v>
      </c>
      <c r="H766" s="1">
        <v>882</v>
      </c>
      <c r="I766" s="3">
        <v>46261</v>
      </c>
      <c r="J766" s="3">
        <v>46281</v>
      </c>
      <c r="K766" s="3" t="s">
        <v>2366</v>
      </c>
      <c r="L766" s="22">
        <v>46261.672676157403</v>
      </c>
      <c r="M766" s="20">
        <v>6</v>
      </c>
      <c r="N766" s="1">
        <v>73</v>
      </c>
    </row>
    <row r="767" spans="1:14" x14ac:dyDescent="0.25">
      <c r="A767" t="str">
        <f t="shared" si="24"/>
        <v>78748767874876</v>
      </c>
      <c r="B767" t="str">
        <f t="shared" si="25"/>
        <v>7874876PC9060ER-M</v>
      </c>
      <c r="C767" s="1" t="s">
        <v>557</v>
      </c>
      <c r="D767" s="1" t="s">
        <v>558</v>
      </c>
      <c r="E767" s="1" t="s">
        <v>392</v>
      </c>
      <c r="F767" s="1" t="s">
        <v>393</v>
      </c>
      <c r="G767" s="1" t="s">
        <v>394</v>
      </c>
      <c r="H767" s="1">
        <v>882</v>
      </c>
      <c r="I767" s="3">
        <v>46261</v>
      </c>
      <c r="J767" s="3">
        <v>46281</v>
      </c>
      <c r="K767" s="3" t="s">
        <v>2366</v>
      </c>
      <c r="L767" s="22">
        <v>46261.674434641202</v>
      </c>
      <c r="M767" s="20">
        <v>12</v>
      </c>
      <c r="N767" s="1">
        <v>27</v>
      </c>
    </row>
    <row r="768" spans="1:14" x14ac:dyDescent="0.25">
      <c r="A768" t="str">
        <f t="shared" si="24"/>
        <v>78748767874876</v>
      </c>
      <c r="B768" t="str">
        <f t="shared" si="25"/>
        <v>7874876PC9060ER-M</v>
      </c>
      <c r="C768" s="1" t="s">
        <v>557</v>
      </c>
      <c r="D768" s="1" t="s">
        <v>558</v>
      </c>
      <c r="E768" s="1" t="s">
        <v>392</v>
      </c>
      <c r="F768" s="1" t="s">
        <v>393</v>
      </c>
      <c r="G768" s="1" t="s">
        <v>394</v>
      </c>
      <c r="H768" s="1">
        <v>882</v>
      </c>
      <c r="I768" s="3">
        <v>46261</v>
      </c>
      <c r="J768" s="3">
        <v>46281</v>
      </c>
      <c r="K768" s="3" t="s">
        <v>2366</v>
      </c>
      <c r="L768" s="22">
        <v>46261.675066550924</v>
      </c>
      <c r="M768" s="20">
        <v>12</v>
      </c>
      <c r="N768" s="1">
        <v>10</v>
      </c>
    </row>
    <row r="769" spans="1:14" x14ac:dyDescent="0.25">
      <c r="A769" t="str">
        <f t="shared" si="24"/>
        <v>78748767874876</v>
      </c>
      <c r="B769" t="str">
        <f t="shared" si="25"/>
        <v>7874876PC9060ER-M</v>
      </c>
      <c r="C769" s="1" t="s">
        <v>557</v>
      </c>
      <c r="D769" s="1" t="s">
        <v>558</v>
      </c>
      <c r="E769" s="1" t="s">
        <v>392</v>
      </c>
      <c r="F769" s="1" t="s">
        <v>393</v>
      </c>
      <c r="G769" s="1" t="s">
        <v>394</v>
      </c>
      <c r="H769" s="1">
        <v>882</v>
      </c>
      <c r="I769" s="3">
        <v>46261</v>
      </c>
      <c r="J769" s="3">
        <v>46281</v>
      </c>
      <c r="K769" s="3" t="s">
        <v>2366</v>
      </c>
      <c r="L769" s="22">
        <v>46261.675218483797</v>
      </c>
      <c r="M769" s="20">
        <v>12</v>
      </c>
      <c r="N769" s="1">
        <v>55</v>
      </c>
    </row>
    <row r="770" spans="1:14" x14ac:dyDescent="0.25">
      <c r="A770" t="str">
        <f t="shared" ref="A770:A833" si="26">+D770&amp;D770</f>
        <v>78748767874876</v>
      </c>
      <c r="B770" t="str">
        <f t="shared" ref="B770:B833" si="27">+D770&amp;C770</f>
        <v>7874876PC9060ER-M</v>
      </c>
      <c r="C770" s="1" t="s">
        <v>557</v>
      </c>
      <c r="D770" s="1" t="s">
        <v>558</v>
      </c>
      <c r="E770" s="1" t="s">
        <v>392</v>
      </c>
      <c r="F770" s="1" t="s">
        <v>393</v>
      </c>
      <c r="G770" s="1" t="s">
        <v>394</v>
      </c>
      <c r="H770" s="1">
        <v>882</v>
      </c>
      <c r="I770" s="3">
        <v>46261</v>
      </c>
      <c r="J770" s="3">
        <v>46281</v>
      </c>
      <c r="K770" s="3" t="s">
        <v>2366</v>
      </c>
      <c r="L770" s="22">
        <v>46261.675479710648</v>
      </c>
      <c r="M770" s="20">
        <v>12</v>
      </c>
      <c r="N770" s="1">
        <v>47</v>
      </c>
    </row>
    <row r="771" spans="1:14" x14ac:dyDescent="0.25">
      <c r="A771" t="str">
        <f t="shared" si="26"/>
        <v>H171613H171613</v>
      </c>
      <c r="B771" t="str">
        <f t="shared" si="27"/>
        <v>H171613P60394T-M</v>
      </c>
      <c r="C771" s="1" t="s">
        <v>49</v>
      </c>
      <c r="D771" s="1" t="s">
        <v>560</v>
      </c>
      <c r="E771" s="1" t="s">
        <v>2292</v>
      </c>
      <c r="F771" s="1" t="s">
        <v>2293</v>
      </c>
      <c r="G771" s="1" t="s">
        <v>404</v>
      </c>
      <c r="H771" s="1">
        <v>204</v>
      </c>
      <c r="I771" s="3">
        <v>46261</v>
      </c>
      <c r="J771" s="3">
        <v>46269</v>
      </c>
      <c r="K771" s="3" t="s">
        <v>2367</v>
      </c>
      <c r="L771" s="22">
        <v>46261.660603703705</v>
      </c>
      <c r="M771" s="20">
        <v>12</v>
      </c>
      <c r="N771" s="1">
        <v>6</v>
      </c>
    </row>
    <row r="772" spans="1:14" x14ac:dyDescent="0.25">
      <c r="A772" t="str">
        <f t="shared" si="26"/>
        <v>H171613H171613</v>
      </c>
      <c r="B772" t="str">
        <f t="shared" si="27"/>
        <v>H171613P60394T-M</v>
      </c>
      <c r="C772" s="1" t="s">
        <v>49</v>
      </c>
      <c r="D772" s="1" t="s">
        <v>560</v>
      </c>
      <c r="E772" s="1" t="s">
        <v>2292</v>
      </c>
      <c r="F772" s="1" t="s">
        <v>2293</v>
      </c>
      <c r="G772" s="1" t="s">
        <v>404</v>
      </c>
      <c r="H772" s="1">
        <v>204</v>
      </c>
      <c r="I772" s="3">
        <v>46261</v>
      </c>
      <c r="J772" s="3">
        <v>46269</v>
      </c>
      <c r="K772" s="3" t="s">
        <v>2367</v>
      </c>
      <c r="L772" s="22">
        <v>46261.661002893517</v>
      </c>
      <c r="M772" s="20">
        <v>12</v>
      </c>
      <c r="N772" s="1">
        <v>4</v>
      </c>
    </row>
    <row r="773" spans="1:14" x14ac:dyDescent="0.25">
      <c r="A773" t="str">
        <f t="shared" si="26"/>
        <v>H171613H171613</v>
      </c>
      <c r="B773" t="str">
        <f t="shared" si="27"/>
        <v>H171613P60394T-M</v>
      </c>
      <c r="C773" s="1" t="s">
        <v>49</v>
      </c>
      <c r="D773" s="1" t="s">
        <v>560</v>
      </c>
      <c r="E773" s="1" t="s">
        <v>2292</v>
      </c>
      <c r="F773" s="1" t="s">
        <v>2293</v>
      </c>
      <c r="G773" s="1" t="s">
        <v>404</v>
      </c>
      <c r="H773" s="1">
        <v>204</v>
      </c>
      <c r="I773" s="3">
        <v>46261</v>
      </c>
      <c r="J773" s="3">
        <v>46269</v>
      </c>
      <c r="K773" s="3" t="s">
        <v>2367</v>
      </c>
      <c r="L773" s="22">
        <v>46261.662169525458</v>
      </c>
      <c r="M773" s="20">
        <v>12</v>
      </c>
      <c r="N773" s="1">
        <v>5</v>
      </c>
    </row>
    <row r="774" spans="1:14" x14ac:dyDescent="0.25">
      <c r="A774" t="str">
        <f t="shared" si="26"/>
        <v>H171613H171613</v>
      </c>
      <c r="B774" t="str">
        <f t="shared" si="27"/>
        <v>H171613P60394T-M</v>
      </c>
      <c r="C774" s="1" t="s">
        <v>49</v>
      </c>
      <c r="D774" s="1" t="s">
        <v>560</v>
      </c>
      <c r="E774" s="1" t="s">
        <v>2292</v>
      </c>
      <c r="F774" s="1" t="s">
        <v>2293</v>
      </c>
      <c r="G774" s="1" t="s">
        <v>404</v>
      </c>
      <c r="H774" s="1">
        <v>204</v>
      </c>
      <c r="I774" s="3">
        <v>46261</v>
      </c>
      <c r="J774" s="3">
        <v>46269</v>
      </c>
      <c r="K774" s="3" t="s">
        <v>2367</v>
      </c>
      <c r="L774" s="22">
        <v>46261.662982754628</v>
      </c>
      <c r="M774" s="20">
        <v>12</v>
      </c>
      <c r="N774" s="1">
        <v>7</v>
      </c>
    </row>
    <row r="775" spans="1:14" x14ac:dyDescent="0.25">
      <c r="A775" t="str">
        <f t="shared" si="26"/>
        <v>H171613H171613</v>
      </c>
      <c r="B775" t="str">
        <f t="shared" si="27"/>
        <v>H171613P60394T-M</v>
      </c>
      <c r="C775" s="1" t="s">
        <v>49</v>
      </c>
      <c r="D775" s="1" t="s">
        <v>560</v>
      </c>
      <c r="E775" s="1" t="s">
        <v>2292</v>
      </c>
      <c r="F775" s="1" t="s">
        <v>2293</v>
      </c>
      <c r="G775" s="1" t="s">
        <v>404</v>
      </c>
      <c r="H775" s="1">
        <v>204</v>
      </c>
      <c r="I775" s="3">
        <v>46261</v>
      </c>
      <c r="J775" s="3">
        <v>46269</v>
      </c>
      <c r="K775" s="3" t="s">
        <v>2367</v>
      </c>
      <c r="L775" s="22">
        <v>46261.663823495372</v>
      </c>
      <c r="M775" s="20">
        <v>12</v>
      </c>
      <c r="N775" s="1">
        <v>8</v>
      </c>
    </row>
    <row r="776" spans="1:14" x14ac:dyDescent="0.25">
      <c r="A776" t="str">
        <f t="shared" si="26"/>
        <v>H171613H171613</v>
      </c>
      <c r="B776" t="str">
        <f t="shared" si="27"/>
        <v>H171613P60394T-M</v>
      </c>
      <c r="C776" s="1" t="s">
        <v>49</v>
      </c>
      <c r="D776" s="1" t="s">
        <v>560</v>
      </c>
      <c r="E776" s="1" t="s">
        <v>2292</v>
      </c>
      <c r="F776" s="1" t="s">
        <v>2293</v>
      </c>
      <c r="G776" s="1" t="s">
        <v>404</v>
      </c>
      <c r="H776" s="1">
        <v>204</v>
      </c>
      <c r="I776" s="3">
        <v>46261</v>
      </c>
      <c r="J776" s="3">
        <v>46269</v>
      </c>
      <c r="K776" s="3" t="s">
        <v>2367</v>
      </c>
      <c r="L776" s="22">
        <v>46261.666932835644</v>
      </c>
      <c r="M776" s="20">
        <v>12</v>
      </c>
      <c r="N776" s="1">
        <v>10</v>
      </c>
    </row>
    <row r="777" spans="1:14" x14ac:dyDescent="0.25">
      <c r="A777" t="str">
        <f t="shared" si="26"/>
        <v>H171613H171613</v>
      </c>
      <c r="B777" t="str">
        <f t="shared" si="27"/>
        <v>H171613P60394T-M</v>
      </c>
      <c r="C777" s="1" t="s">
        <v>49</v>
      </c>
      <c r="D777" s="1" t="s">
        <v>560</v>
      </c>
      <c r="E777" s="1" t="s">
        <v>2292</v>
      </c>
      <c r="F777" s="1" t="s">
        <v>2293</v>
      </c>
      <c r="G777" s="1" t="s">
        <v>404</v>
      </c>
      <c r="H777" s="1">
        <v>204</v>
      </c>
      <c r="I777" s="3">
        <v>46261</v>
      </c>
      <c r="J777" s="3">
        <v>46269</v>
      </c>
      <c r="K777" s="3" t="s">
        <v>2367</v>
      </c>
      <c r="L777" s="22">
        <v>46261.667226655089</v>
      </c>
      <c r="M777" s="20">
        <v>12</v>
      </c>
      <c r="N777" s="1">
        <v>2</v>
      </c>
    </row>
    <row r="778" spans="1:14" x14ac:dyDescent="0.25">
      <c r="A778" t="str">
        <f t="shared" si="26"/>
        <v>H171613H171613</v>
      </c>
      <c r="B778" t="str">
        <f t="shared" si="27"/>
        <v>H171613P60394T-M</v>
      </c>
      <c r="C778" s="1" t="s">
        <v>49</v>
      </c>
      <c r="D778" s="1" t="s">
        <v>560</v>
      </c>
      <c r="E778" s="1" t="s">
        <v>2292</v>
      </c>
      <c r="F778" s="1" t="s">
        <v>2293</v>
      </c>
      <c r="G778" s="1" t="s">
        <v>404</v>
      </c>
      <c r="H778" s="1">
        <v>204</v>
      </c>
      <c r="I778" s="3">
        <v>46261</v>
      </c>
      <c r="J778" s="3">
        <v>46269</v>
      </c>
      <c r="K778" s="3" t="s">
        <v>2367</v>
      </c>
      <c r="L778" s="22">
        <v>46261.667951041665</v>
      </c>
      <c r="M778" s="20">
        <v>12</v>
      </c>
      <c r="N778" s="1">
        <v>9</v>
      </c>
    </row>
    <row r="779" spans="1:14" x14ac:dyDescent="0.25">
      <c r="A779" t="str">
        <f t="shared" si="26"/>
        <v>H171613H171613</v>
      </c>
      <c r="B779" t="str">
        <f t="shared" si="27"/>
        <v>H171613P60394T-M</v>
      </c>
      <c r="C779" s="1" t="s">
        <v>49</v>
      </c>
      <c r="D779" s="1" t="s">
        <v>560</v>
      </c>
      <c r="E779" s="1" t="s">
        <v>2292</v>
      </c>
      <c r="F779" s="1" t="s">
        <v>2293</v>
      </c>
      <c r="G779" s="1" t="s">
        <v>404</v>
      </c>
      <c r="H779" s="1">
        <v>204</v>
      </c>
      <c r="I779" s="3">
        <v>46261</v>
      </c>
      <c r="J779" s="3">
        <v>46269</v>
      </c>
      <c r="K779" s="3" t="s">
        <v>2367</v>
      </c>
      <c r="L779" s="22">
        <v>46261.668314085648</v>
      </c>
      <c r="M779" s="20">
        <v>12</v>
      </c>
      <c r="N779" s="1">
        <v>1</v>
      </c>
    </row>
    <row r="780" spans="1:14" x14ac:dyDescent="0.25">
      <c r="A780" t="str">
        <f t="shared" si="26"/>
        <v>H171613H171613</v>
      </c>
      <c r="B780" t="str">
        <f t="shared" si="27"/>
        <v>H171613P60394T-M</v>
      </c>
      <c r="C780" s="1" t="s">
        <v>49</v>
      </c>
      <c r="D780" s="1" t="s">
        <v>560</v>
      </c>
      <c r="E780" s="1" t="s">
        <v>2292</v>
      </c>
      <c r="F780" s="1" t="s">
        <v>2293</v>
      </c>
      <c r="G780" s="1" t="s">
        <v>404</v>
      </c>
      <c r="H780" s="1">
        <v>204</v>
      </c>
      <c r="I780" s="3">
        <v>46261</v>
      </c>
      <c r="J780" s="3">
        <v>46269</v>
      </c>
      <c r="K780" s="3" t="s">
        <v>2367</v>
      </c>
      <c r="L780" s="22">
        <v>46261.674437928239</v>
      </c>
      <c r="M780" s="20">
        <v>12</v>
      </c>
      <c r="N780" s="1">
        <v>13</v>
      </c>
    </row>
    <row r="781" spans="1:14" x14ac:dyDescent="0.25">
      <c r="A781" t="str">
        <f t="shared" si="26"/>
        <v>H171613H171613</v>
      </c>
      <c r="B781" t="str">
        <f t="shared" si="27"/>
        <v>H171613P60394T-M</v>
      </c>
      <c r="C781" s="1" t="s">
        <v>49</v>
      </c>
      <c r="D781" s="1" t="s">
        <v>560</v>
      </c>
      <c r="E781" s="1" t="s">
        <v>2292</v>
      </c>
      <c r="F781" s="1" t="s">
        <v>2293</v>
      </c>
      <c r="G781" s="1" t="s">
        <v>404</v>
      </c>
      <c r="H781" s="1">
        <v>204</v>
      </c>
      <c r="I781" s="3">
        <v>46261</v>
      </c>
      <c r="J781" s="3">
        <v>46269</v>
      </c>
      <c r="K781" s="3" t="s">
        <v>2367</v>
      </c>
      <c r="L781" s="22">
        <v>46261.674755208332</v>
      </c>
      <c r="M781" s="20">
        <v>12</v>
      </c>
      <c r="N781" s="1">
        <v>12</v>
      </c>
    </row>
    <row r="782" spans="1:14" x14ac:dyDescent="0.25">
      <c r="A782" t="str">
        <f t="shared" si="26"/>
        <v>H171613H171613</v>
      </c>
      <c r="B782" t="str">
        <f t="shared" si="27"/>
        <v>H171613P60394T-M</v>
      </c>
      <c r="C782" s="1" t="s">
        <v>49</v>
      </c>
      <c r="D782" s="1" t="s">
        <v>560</v>
      </c>
      <c r="E782" s="1" t="s">
        <v>2292</v>
      </c>
      <c r="F782" s="1" t="s">
        <v>2293</v>
      </c>
      <c r="G782" s="1" t="s">
        <v>404</v>
      </c>
      <c r="H782" s="1">
        <v>204</v>
      </c>
      <c r="I782" s="3">
        <v>46261</v>
      </c>
      <c r="J782" s="3">
        <v>46269</v>
      </c>
      <c r="K782" s="3" t="s">
        <v>2367</v>
      </c>
      <c r="L782" s="22">
        <v>46261.675539155091</v>
      </c>
      <c r="M782" s="20">
        <v>12</v>
      </c>
      <c r="N782" s="1">
        <v>3</v>
      </c>
    </row>
    <row r="783" spans="1:14" x14ac:dyDescent="0.25">
      <c r="A783" t="str">
        <f t="shared" si="26"/>
        <v>H171613H171613</v>
      </c>
      <c r="B783" t="str">
        <f t="shared" si="27"/>
        <v>H171613P60394T-M</v>
      </c>
      <c r="C783" s="1" t="s">
        <v>49</v>
      </c>
      <c r="D783" s="1" t="s">
        <v>560</v>
      </c>
      <c r="E783" s="1" t="s">
        <v>2292</v>
      </c>
      <c r="F783" s="1" t="s">
        <v>2293</v>
      </c>
      <c r="G783" s="1" t="s">
        <v>404</v>
      </c>
      <c r="H783" s="1">
        <v>204</v>
      </c>
      <c r="I783" s="3">
        <v>46261</v>
      </c>
      <c r="J783" s="3">
        <v>46269</v>
      </c>
      <c r="K783" s="3" t="s">
        <v>2367</v>
      </c>
      <c r="L783" s="22">
        <v>46261.683123379626</v>
      </c>
      <c r="M783" s="20">
        <v>12</v>
      </c>
      <c r="N783" s="1">
        <v>11</v>
      </c>
    </row>
    <row r="784" spans="1:14" x14ac:dyDescent="0.25">
      <c r="A784" t="str">
        <f t="shared" si="26"/>
        <v>H171613H171613</v>
      </c>
      <c r="B784" t="str">
        <f t="shared" si="27"/>
        <v>H171613P60394T-M</v>
      </c>
      <c r="C784" s="1" t="s">
        <v>49</v>
      </c>
      <c r="D784" s="1" t="s">
        <v>560</v>
      </c>
      <c r="E784" s="1" t="s">
        <v>2292</v>
      </c>
      <c r="F784" s="1" t="s">
        <v>2293</v>
      </c>
      <c r="G784" s="1" t="s">
        <v>404</v>
      </c>
      <c r="H784" s="1">
        <v>204</v>
      </c>
      <c r="I784" s="3">
        <v>46261</v>
      </c>
      <c r="J784" s="3">
        <v>46269</v>
      </c>
      <c r="K784" s="3" t="s">
        <v>2367</v>
      </c>
      <c r="L784" s="22">
        <v>46261.683342326389</v>
      </c>
      <c r="M784" s="20">
        <v>12</v>
      </c>
      <c r="N784" s="1">
        <v>14</v>
      </c>
    </row>
    <row r="785" spans="1:14" x14ac:dyDescent="0.25">
      <c r="A785" t="str">
        <f t="shared" si="26"/>
        <v>H176893H176893</v>
      </c>
      <c r="B785" t="str">
        <f t="shared" si="27"/>
        <v>H176893G204L5CB-M</v>
      </c>
      <c r="C785" s="1" t="s">
        <v>6</v>
      </c>
      <c r="D785" s="1" t="s">
        <v>556</v>
      </c>
      <c r="E785" s="1" t="s">
        <v>2292</v>
      </c>
      <c r="F785" s="1" t="s">
        <v>2293</v>
      </c>
      <c r="G785" s="1" t="s">
        <v>404</v>
      </c>
      <c r="H785" s="1">
        <v>396</v>
      </c>
      <c r="I785" s="3">
        <v>46261</v>
      </c>
      <c r="J785" s="3">
        <v>46263</v>
      </c>
      <c r="K785" s="3" t="s">
        <v>2351</v>
      </c>
      <c r="L785" s="22">
        <v>46261.579295868054</v>
      </c>
      <c r="M785" s="20">
        <v>12</v>
      </c>
      <c r="N785" s="1">
        <v>5</v>
      </c>
    </row>
    <row r="786" spans="1:14" x14ac:dyDescent="0.25">
      <c r="A786" t="str">
        <f t="shared" si="26"/>
        <v>H176893H176893</v>
      </c>
      <c r="B786" t="str">
        <f t="shared" si="27"/>
        <v>H176893G204L5CB-M</v>
      </c>
      <c r="C786" s="1" t="s">
        <v>6</v>
      </c>
      <c r="D786" s="1" t="s">
        <v>556</v>
      </c>
      <c r="E786" s="1" t="s">
        <v>2292</v>
      </c>
      <c r="F786" s="1" t="s">
        <v>2293</v>
      </c>
      <c r="G786" s="1" t="s">
        <v>404</v>
      </c>
      <c r="H786" s="1">
        <v>396</v>
      </c>
      <c r="I786" s="3">
        <v>46261</v>
      </c>
      <c r="J786" s="3">
        <v>46263</v>
      </c>
      <c r="K786" s="3" t="s">
        <v>2351</v>
      </c>
      <c r="L786" s="22">
        <v>46261.582880902773</v>
      </c>
      <c r="M786" s="20">
        <v>12</v>
      </c>
      <c r="N786" s="1">
        <v>3</v>
      </c>
    </row>
    <row r="787" spans="1:14" x14ac:dyDescent="0.25">
      <c r="A787" t="str">
        <f t="shared" si="26"/>
        <v>H176893H176893</v>
      </c>
      <c r="B787" t="str">
        <f t="shared" si="27"/>
        <v>H176893G204L5CB-M</v>
      </c>
      <c r="C787" s="1" t="s">
        <v>6</v>
      </c>
      <c r="D787" s="1" t="s">
        <v>556</v>
      </c>
      <c r="E787" s="1" t="s">
        <v>2292</v>
      </c>
      <c r="F787" s="1" t="s">
        <v>2293</v>
      </c>
      <c r="G787" s="1" t="s">
        <v>404</v>
      </c>
      <c r="H787" s="1">
        <v>396</v>
      </c>
      <c r="I787" s="3">
        <v>46261</v>
      </c>
      <c r="J787" s="3">
        <v>46263</v>
      </c>
      <c r="K787" s="3" t="s">
        <v>2351</v>
      </c>
      <c r="L787" s="22">
        <v>46261.583629398148</v>
      </c>
      <c r="M787" s="20">
        <v>12</v>
      </c>
      <c r="N787" s="1">
        <v>6</v>
      </c>
    </row>
    <row r="788" spans="1:14" x14ac:dyDescent="0.25">
      <c r="A788" t="str">
        <f t="shared" si="26"/>
        <v>H176893H176893</v>
      </c>
      <c r="B788" t="str">
        <f t="shared" si="27"/>
        <v>H176893G204L5CB-M</v>
      </c>
      <c r="C788" s="1" t="s">
        <v>6</v>
      </c>
      <c r="D788" s="1" t="s">
        <v>556</v>
      </c>
      <c r="E788" s="1" t="s">
        <v>2292</v>
      </c>
      <c r="F788" s="1" t="s">
        <v>2293</v>
      </c>
      <c r="G788" s="1" t="s">
        <v>404</v>
      </c>
      <c r="H788" s="1">
        <v>396</v>
      </c>
      <c r="I788" s="3">
        <v>46261</v>
      </c>
      <c r="J788" s="3">
        <v>46263</v>
      </c>
      <c r="K788" s="3" t="s">
        <v>2351</v>
      </c>
      <c r="L788" s="22">
        <v>46261.58391119213</v>
      </c>
      <c r="M788" s="20">
        <v>12</v>
      </c>
      <c r="N788" s="1">
        <v>4</v>
      </c>
    </row>
    <row r="789" spans="1:14" x14ac:dyDescent="0.25">
      <c r="A789" t="str">
        <f t="shared" si="26"/>
        <v>H176893H176893</v>
      </c>
      <c r="B789" t="str">
        <f t="shared" si="27"/>
        <v>H176893G204L5CB-M</v>
      </c>
      <c r="C789" s="1" t="s">
        <v>6</v>
      </c>
      <c r="D789" s="1" t="s">
        <v>556</v>
      </c>
      <c r="E789" s="1" t="s">
        <v>2292</v>
      </c>
      <c r="F789" s="1" t="s">
        <v>2293</v>
      </c>
      <c r="G789" s="1" t="s">
        <v>404</v>
      </c>
      <c r="H789" s="1">
        <v>396</v>
      </c>
      <c r="I789" s="3">
        <v>46261</v>
      </c>
      <c r="J789" s="3">
        <v>46263</v>
      </c>
      <c r="K789" s="3" t="s">
        <v>2351</v>
      </c>
      <c r="L789" s="22">
        <v>46261.595148761575</v>
      </c>
      <c r="M789" s="20">
        <v>12</v>
      </c>
      <c r="N789" s="1">
        <v>9</v>
      </c>
    </row>
    <row r="790" spans="1:14" x14ac:dyDescent="0.25">
      <c r="A790" t="str">
        <f t="shared" si="26"/>
        <v>H176893H176893</v>
      </c>
      <c r="B790" t="str">
        <f t="shared" si="27"/>
        <v>H176893G204L5CB-M</v>
      </c>
      <c r="C790" s="1" t="s">
        <v>6</v>
      </c>
      <c r="D790" s="1" t="s">
        <v>556</v>
      </c>
      <c r="E790" s="1" t="s">
        <v>2292</v>
      </c>
      <c r="F790" s="1" t="s">
        <v>2293</v>
      </c>
      <c r="G790" s="1" t="s">
        <v>404</v>
      </c>
      <c r="H790" s="1">
        <v>396</v>
      </c>
      <c r="I790" s="3">
        <v>46261</v>
      </c>
      <c r="J790" s="3">
        <v>46263</v>
      </c>
      <c r="K790" s="3" t="s">
        <v>2351</v>
      </c>
      <c r="L790" s="22">
        <v>46261.595623148147</v>
      </c>
      <c r="M790" s="20">
        <v>12</v>
      </c>
      <c r="N790" s="1">
        <v>11</v>
      </c>
    </row>
    <row r="791" spans="1:14" x14ac:dyDescent="0.25">
      <c r="A791" t="str">
        <f t="shared" si="26"/>
        <v>H176893H176893</v>
      </c>
      <c r="B791" t="str">
        <f t="shared" si="27"/>
        <v>H176893G204L5CB-M</v>
      </c>
      <c r="C791" s="1" t="s">
        <v>6</v>
      </c>
      <c r="D791" s="1" t="s">
        <v>556</v>
      </c>
      <c r="E791" s="1" t="s">
        <v>2292</v>
      </c>
      <c r="F791" s="1" t="s">
        <v>2293</v>
      </c>
      <c r="G791" s="1" t="s">
        <v>404</v>
      </c>
      <c r="H791" s="1">
        <v>396</v>
      </c>
      <c r="I791" s="3">
        <v>46261</v>
      </c>
      <c r="J791" s="3">
        <v>46263</v>
      </c>
      <c r="K791" s="3" t="s">
        <v>2351</v>
      </c>
      <c r="L791" s="22">
        <v>46261.602174652777</v>
      </c>
      <c r="M791" s="20">
        <v>12</v>
      </c>
      <c r="N791" s="1">
        <v>10</v>
      </c>
    </row>
    <row r="792" spans="1:14" x14ac:dyDescent="0.25">
      <c r="A792" t="str">
        <f t="shared" si="26"/>
        <v>H176893H176893</v>
      </c>
      <c r="B792" t="str">
        <f t="shared" si="27"/>
        <v>H176893G204L5CB-M</v>
      </c>
      <c r="C792" s="1" t="s">
        <v>6</v>
      </c>
      <c r="D792" s="1" t="s">
        <v>556</v>
      </c>
      <c r="E792" s="1" t="s">
        <v>2292</v>
      </c>
      <c r="F792" s="1" t="s">
        <v>2293</v>
      </c>
      <c r="G792" s="1" t="s">
        <v>404</v>
      </c>
      <c r="H792" s="1">
        <v>396</v>
      </c>
      <c r="I792" s="3">
        <v>46261</v>
      </c>
      <c r="J792" s="3">
        <v>46263</v>
      </c>
      <c r="K792" s="3" t="s">
        <v>2351</v>
      </c>
      <c r="L792" s="22">
        <v>46261.605087581018</v>
      </c>
      <c r="M792" s="20">
        <v>12</v>
      </c>
      <c r="N792" s="1">
        <v>19</v>
      </c>
    </row>
    <row r="793" spans="1:14" x14ac:dyDescent="0.25">
      <c r="A793" t="str">
        <f t="shared" si="26"/>
        <v>H176893H176893</v>
      </c>
      <c r="B793" t="str">
        <f t="shared" si="27"/>
        <v>H176893G204L5CB-M</v>
      </c>
      <c r="C793" s="1" t="s">
        <v>6</v>
      </c>
      <c r="D793" s="1" t="s">
        <v>556</v>
      </c>
      <c r="E793" s="1" t="s">
        <v>2292</v>
      </c>
      <c r="F793" s="1" t="s">
        <v>2293</v>
      </c>
      <c r="G793" s="1" t="s">
        <v>404</v>
      </c>
      <c r="H793" s="1">
        <v>396</v>
      </c>
      <c r="I793" s="3">
        <v>46261</v>
      </c>
      <c r="J793" s="3">
        <v>46263</v>
      </c>
      <c r="K793" s="3" t="s">
        <v>2351</v>
      </c>
      <c r="L793" s="22">
        <v>46261.613640474534</v>
      </c>
      <c r="M793" s="20">
        <v>12</v>
      </c>
      <c r="N793" s="1">
        <v>8</v>
      </c>
    </row>
    <row r="794" spans="1:14" x14ac:dyDescent="0.25">
      <c r="A794" t="str">
        <f t="shared" si="26"/>
        <v>H176893H176893</v>
      </c>
      <c r="B794" t="str">
        <f t="shared" si="27"/>
        <v>H176893G204L5CB-M</v>
      </c>
      <c r="C794" s="1" t="s">
        <v>6</v>
      </c>
      <c r="D794" s="1" t="s">
        <v>556</v>
      </c>
      <c r="E794" s="1" t="s">
        <v>2292</v>
      </c>
      <c r="F794" s="1" t="s">
        <v>2293</v>
      </c>
      <c r="G794" s="1" t="s">
        <v>404</v>
      </c>
      <c r="H794" s="1">
        <v>396</v>
      </c>
      <c r="I794" s="3">
        <v>46261</v>
      </c>
      <c r="J794" s="3">
        <v>46263</v>
      </c>
      <c r="K794" s="3" t="s">
        <v>2351</v>
      </c>
      <c r="L794" s="22">
        <v>46261.621840972221</v>
      </c>
      <c r="M794" s="20">
        <v>12</v>
      </c>
      <c r="N794" s="1">
        <v>2</v>
      </c>
    </row>
    <row r="795" spans="1:14" x14ac:dyDescent="0.25">
      <c r="A795" t="str">
        <f t="shared" si="26"/>
        <v>H176893H176893</v>
      </c>
      <c r="B795" t="str">
        <f t="shared" si="27"/>
        <v>H176893G204L5CB-M</v>
      </c>
      <c r="C795" s="1" t="s">
        <v>6</v>
      </c>
      <c r="D795" s="1" t="s">
        <v>556</v>
      </c>
      <c r="E795" s="1" t="s">
        <v>2292</v>
      </c>
      <c r="F795" s="1" t="s">
        <v>2293</v>
      </c>
      <c r="G795" s="1" t="s">
        <v>404</v>
      </c>
      <c r="H795" s="1">
        <v>396</v>
      </c>
      <c r="I795" s="3">
        <v>46261</v>
      </c>
      <c r="J795" s="3">
        <v>46263</v>
      </c>
      <c r="K795" s="3" t="s">
        <v>2351</v>
      </c>
      <c r="L795" s="22">
        <v>46261.624936689812</v>
      </c>
      <c r="M795" s="20">
        <v>12</v>
      </c>
      <c r="N795" s="1">
        <v>7</v>
      </c>
    </row>
    <row r="796" spans="1:14" x14ac:dyDescent="0.25">
      <c r="A796" t="str">
        <f t="shared" si="26"/>
        <v>H176893H176893</v>
      </c>
      <c r="B796" t="str">
        <f t="shared" si="27"/>
        <v>H176893G204L5CB-M</v>
      </c>
      <c r="C796" s="1" t="s">
        <v>6</v>
      </c>
      <c r="D796" s="1" t="s">
        <v>556</v>
      </c>
      <c r="E796" s="1" t="s">
        <v>2292</v>
      </c>
      <c r="F796" s="1" t="s">
        <v>2293</v>
      </c>
      <c r="G796" s="1" t="s">
        <v>404</v>
      </c>
      <c r="H796" s="1">
        <v>396</v>
      </c>
      <c r="I796" s="3">
        <v>46261</v>
      </c>
      <c r="J796" s="3">
        <v>46263</v>
      </c>
      <c r="K796" s="3" t="s">
        <v>2351</v>
      </c>
      <c r="L796" s="22">
        <v>46261.633403935186</v>
      </c>
      <c r="M796" s="20">
        <v>12</v>
      </c>
      <c r="N796" s="1">
        <v>1</v>
      </c>
    </row>
    <row r="797" spans="1:14" x14ac:dyDescent="0.25">
      <c r="A797" t="str">
        <f t="shared" si="26"/>
        <v>H176950H176950</v>
      </c>
      <c r="B797" t="str">
        <f t="shared" si="27"/>
        <v>H176950G204L5CB-M</v>
      </c>
      <c r="C797" s="1" t="s">
        <v>6</v>
      </c>
      <c r="D797" s="1" t="s">
        <v>555</v>
      </c>
      <c r="E797" s="1" t="s">
        <v>434</v>
      </c>
      <c r="F797" s="1" t="s">
        <v>435</v>
      </c>
      <c r="G797" s="1" t="s">
        <v>404</v>
      </c>
      <c r="H797" s="1">
        <v>156</v>
      </c>
      <c r="I797" s="3">
        <v>46261</v>
      </c>
      <c r="J797" s="3">
        <v>46262</v>
      </c>
      <c r="K797" s="3" t="s">
        <v>2351</v>
      </c>
      <c r="L797" s="22">
        <v>46261.367587465276</v>
      </c>
      <c r="M797" s="20">
        <v>12</v>
      </c>
      <c r="N797" s="1">
        <v>1</v>
      </c>
    </row>
    <row r="798" spans="1:14" x14ac:dyDescent="0.25">
      <c r="A798" t="str">
        <f t="shared" si="26"/>
        <v>H176950H176950</v>
      </c>
      <c r="B798" t="str">
        <f t="shared" si="27"/>
        <v>H176950G204L5CB-M</v>
      </c>
      <c r="C798" s="1" t="s">
        <v>6</v>
      </c>
      <c r="D798" s="1" t="s">
        <v>555</v>
      </c>
      <c r="E798" s="1" t="s">
        <v>434</v>
      </c>
      <c r="F798" s="1" t="s">
        <v>435</v>
      </c>
      <c r="G798" s="1" t="s">
        <v>404</v>
      </c>
      <c r="H798" s="1">
        <v>156</v>
      </c>
      <c r="I798" s="3">
        <v>46261</v>
      </c>
      <c r="J798" s="3">
        <v>46262</v>
      </c>
      <c r="K798" s="3" t="s">
        <v>2351</v>
      </c>
      <c r="L798" s="22">
        <v>46261.367780057866</v>
      </c>
      <c r="M798" s="20">
        <v>12</v>
      </c>
      <c r="N798" s="1">
        <v>3</v>
      </c>
    </row>
    <row r="799" spans="1:14" x14ac:dyDescent="0.25">
      <c r="A799" t="str">
        <f t="shared" si="26"/>
        <v>H176950H176950</v>
      </c>
      <c r="B799" t="str">
        <f t="shared" si="27"/>
        <v>H176950G204L5CB-M</v>
      </c>
      <c r="C799" s="1" t="s">
        <v>6</v>
      </c>
      <c r="D799" s="1" t="s">
        <v>555</v>
      </c>
      <c r="E799" s="1" t="s">
        <v>434</v>
      </c>
      <c r="F799" s="1" t="s">
        <v>435</v>
      </c>
      <c r="G799" s="1" t="s">
        <v>404</v>
      </c>
      <c r="H799" s="1">
        <v>156</v>
      </c>
      <c r="I799" s="3">
        <v>46261</v>
      </c>
      <c r="J799" s="3">
        <v>46262</v>
      </c>
      <c r="K799" s="3" t="s">
        <v>2351</v>
      </c>
      <c r="L799" s="22">
        <v>46261.374212418981</v>
      </c>
      <c r="M799" s="20">
        <v>12</v>
      </c>
      <c r="N799" s="1">
        <v>7</v>
      </c>
    </row>
    <row r="800" spans="1:14" x14ac:dyDescent="0.25">
      <c r="A800" t="str">
        <f t="shared" si="26"/>
        <v>H176950H176950</v>
      </c>
      <c r="B800" t="str">
        <f t="shared" si="27"/>
        <v>H176950G204L5CB-M</v>
      </c>
      <c r="C800" s="1" t="s">
        <v>6</v>
      </c>
      <c r="D800" s="1" t="s">
        <v>555</v>
      </c>
      <c r="E800" s="1" t="s">
        <v>434</v>
      </c>
      <c r="F800" s="1" t="s">
        <v>435</v>
      </c>
      <c r="G800" s="1" t="s">
        <v>404</v>
      </c>
      <c r="H800" s="1">
        <v>156</v>
      </c>
      <c r="I800" s="3">
        <v>46261</v>
      </c>
      <c r="J800" s="3">
        <v>46262</v>
      </c>
      <c r="K800" s="3" t="s">
        <v>2351</v>
      </c>
      <c r="L800" s="22">
        <v>46261.382172453705</v>
      </c>
      <c r="M800" s="20">
        <v>12</v>
      </c>
      <c r="N800" s="1">
        <v>11</v>
      </c>
    </row>
    <row r="801" spans="1:14" x14ac:dyDescent="0.25">
      <c r="A801" t="str">
        <f t="shared" si="26"/>
        <v>H176950H176950</v>
      </c>
      <c r="B801" t="str">
        <f t="shared" si="27"/>
        <v>H176950G204L5CB-M</v>
      </c>
      <c r="C801" s="1" t="s">
        <v>6</v>
      </c>
      <c r="D801" s="1" t="s">
        <v>555</v>
      </c>
      <c r="E801" s="1" t="s">
        <v>434</v>
      </c>
      <c r="F801" s="1" t="s">
        <v>435</v>
      </c>
      <c r="G801" s="1" t="s">
        <v>404</v>
      </c>
      <c r="H801" s="1">
        <v>156</v>
      </c>
      <c r="I801" s="3">
        <v>46261</v>
      </c>
      <c r="J801" s="3">
        <v>46262</v>
      </c>
      <c r="K801" s="3" t="s">
        <v>2351</v>
      </c>
      <c r="L801" s="22">
        <v>46261.413201620366</v>
      </c>
      <c r="M801" s="20">
        <v>12</v>
      </c>
      <c r="N801" s="1">
        <v>10</v>
      </c>
    </row>
    <row r="802" spans="1:14" x14ac:dyDescent="0.25">
      <c r="A802" t="str">
        <f t="shared" si="26"/>
        <v>H176950H176950</v>
      </c>
      <c r="B802" t="str">
        <f t="shared" si="27"/>
        <v>H176950G204L5CB-M</v>
      </c>
      <c r="C802" s="1" t="s">
        <v>6</v>
      </c>
      <c r="D802" s="1" t="s">
        <v>555</v>
      </c>
      <c r="E802" s="1" t="s">
        <v>434</v>
      </c>
      <c r="F802" s="1" t="s">
        <v>435</v>
      </c>
      <c r="G802" s="1" t="s">
        <v>404</v>
      </c>
      <c r="H802" s="1">
        <v>156</v>
      </c>
      <c r="I802" s="3">
        <v>46261</v>
      </c>
      <c r="J802" s="3">
        <v>46262</v>
      </c>
      <c r="K802" s="3" t="s">
        <v>2351</v>
      </c>
      <c r="L802" s="22">
        <v>46261.413377199075</v>
      </c>
      <c r="M802" s="20">
        <v>12</v>
      </c>
      <c r="N802" s="1">
        <v>6</v>
      </c>
    </row>
    <row r="803" spans="1:14" x14ac:dyDescent="0.25">
      <c r="A803" t="str">
        <f t="shared" si="26"/>
        <v>H176950H176950</v>
      </c>
      <c r="B803" t="str">
        <f t="shared" si="27"/>
        <v>H176950G204L5CB-M</v>
      </c>
      <c r="C803" s="1" t="s">
        <v>6</v>
      </c>
      <c r="D803" s="1" t="s">
        <v>555</v>
      </c>
      <c r="E803" s="1" t="s">
        <v>434</v>
      </c>
      <c r="F803" s="1" t="s">
        <v>435</v>
      </c>
      <c r="G803" s="1" t="s">
        <v>404</v>
      </c>
      <c r="H803" s="1">
        <v>156</v>
      </c>
      <c r="I803" s="3">
        <v>46261</v>
      </c>
      <c r="J803" s="3">
        <v>46262</v>
      </c>
      <c r="K803" s="3" t="s">
        <v>2351</v>
      </c>
      <c r="L803" s="22">
        <v>46261.415333101853</v>
      </c>
      <c r="M803" s="20">
        <v>12</v>
      </c>
      <c r="N803" s="1">
        <v>4</v>
      </c>
    </row>
    <row r="804" spans="1:14" x14ac:dyDescent="0.25">
      <c r="A804" t="str">
        <f t="shared" si="26"/>
        <v>H176950H176950</v>
      </c>
      <c r="B804" t="str">
        <f t="shared" si="27"/>
        <v>H176950G204L5CB-M</v>
      </c>
      <c r="C804" s="1" t="s">
        <v>6</v>
      </c>
      <c r="D804" s="1" t="s">
        <v>555</v>
      </c>
      <c r="E804" s="1" t="s">
        <v>434</v>
      </c>
      <c r="F804" s="1" t="s">
        <v>435</v>
      </c>
      <c r="G804" s="1" t="s">
        <v>404</v>
      </c>
      <c r="H804" s="1">
        <v>156</v>
      </c>
      <c r="I804" s="3">
        <v>46261</v>
      </c>
      <c r="J804" s="3">
        <v>46262</v>
      </c>
      <c r="K804" s="3" t="s">
        <v>2351</v>
      </c>
      <c r="L804" s="22">
        <v>46261.485083483793</v>
      </c>
      <c r="M804" s="20">
        <v>12</v>
      </c>
      <c r="N804" s="1">
        <v>5</v>
      </c>
    </row>
    <row r="805" spans="1:14" x14ac:dyDescent="0.25">
      <c r="A805" t="str">
        <f t="shared" si="26"/>
        <v>H176950H176950</v>
      </c>
      <c r="B805" t="str">
        <f t="shared" si="27"/>
        <v>H176950G204L5CB-M</v>
      </c>
      <c r="C805" s="1" t="s">
        <v>6</v>
      </c>
      <c r="D805" s="1" t="s">
        <v>555</v>
      </c>
      <c r="E805" s="1" t="s">
        <v>434</v>
      </c>
      <c r="F805" s="1" t="s">
        <v>435</v>
      </c>
      <c r="G805" s="1" t="s">
        <v>404</v>
      </c>
      <c r="H805" s="1">
        <v>156</v>
      </c>
      <c r="I805" s="3">
        <v>46261</v>
      </c>
      <c r="J805" s="3">
        <v>46262</v>
      </c>
      <c r="K805" s="3" t="s">
        <v>2351</v>
      </c>
      <c r="L805" s="22">
        <v>46261.604882372681</v>
      </c>
      <c r="M805" s="20">
        <v>12</v>
      </c>
      <c r="N805" s="1">
        <v>2</v>
      </c>
    </row>
    <row r="806" spans="1:14" x14ac:dyDescent="0.25">
      <c r="A806" t="str">
        <f t="shared" si="26"/>
        <v>H176950H176950</v>
      </c>
      <c r="B806" t="str">
        <f t="shared" si="27"/>
        <v>H176950G204L5CB-M</v>
      </c>
      <c r="C806" s="1" t="s">
        <v>6</v>
      </c>
      <c r="D806" s="1" t="s">
        <v>555</v>
      </c>
      <c r="E806" s="1" t="s">
        <v>434</v>
      </c>
      <c r="F806" s="1" t="s">
        <v>435</v>
      </c>
      <c r="G806" s="1" t="s">
        <v>404</v>
      </c>
      <c r="H806" s="1">
        <v>156</v>
      </c>
      <c r="I806" s="3">
        <v>46261</v>
      </c>
      <c r="J806" s="3">
        <v>46262</v>
      </c>
      <c r="K806" s="3" t="s">
        <v>2351</v>
      </c>
      <c r="L806" s="22">
        <v>46261.613032175926</v>
      </c>
      <c r="M806" s="20">
        <v>12</v>
      </c>
      <c r="N806" s="1">
        <v>8</v>
      </c>
    </row>
    <row r="807" spans="1:14" x14ac:dyDescent="0.25">
      <c r="A807" t="str">
        <f t="shared" si="26"/>
        <v>H176950H176950</v>
      </c>
      <c r="B807" t="str">
        <f t="shared" si="27"/>
        <v>H176950G204L5CB-M</v>
      </c>
      <c r="C807" s="1" t="s">
        <v>6</v>
      </c>
      <c r="D807" s="1" t="s">
        <v>555</v>
      </c>
      <c r="E807" s="1" t="s">
        <v>434</v>
      </c>
      <c r="F807" s="1" t="s">
        <v>435</v>
      </c>
      <c r="G807" s="1" t="s">
        <v>404</v>
      </c>
      <c r="H807" s="1">
        <v>156</v>
      </c>
      <c r="I807" s="3">
        <v>46261</v>
      </c>
      <c r="J807" s="3">
        <v>46262</v>
      </c>
      <c r="K807" s="3" t="s">
        <v>2351</v>
      </c>
      <c r="L807" s="22">
        <v>46261.621646493055</v>
      </c>
      <c r="M807" s="20">
        <v>6</v>
      </c>
      <c r="N807" s="1">
        <v>13</v>
      </c>
    </row>
    <row r="808" spans="1:14" x14ac:dyDescent="0.25">
      <c r="A808" t="str">
        <f t="shared" si="26"/>
        <v>H180750H180750</v>
      </c>
      <c r="B808" t="str">
        <f t="shared" si="27"/>
        <v>H180750GC9060GY-M</v>
      </c>
      <c r="C808" s="1" t="s">
        <v>5</v>
      </c>
      <c r="D808" s="1" t="s">
        <v>559</v>
      </c>
      <c r="E808" s="1" t="s">
        <v>2307</v>
      </c>
      <c r="F808" s="1" t="s">
        <v>2308</v>
      </c>
      <c r="G808" s="1" t="s">
        <v>404</v>
      </c>
      <c r="H808" s="1">
        <v>576</v>
      </c>
      <c r="I808" s="3">
        <v>46261</v>
      </c>
      <c r="J808" s="3">
        <v>46267</v>
      </c>
      <c r="K808" s="3" t="s">
        <v>2363</v>
      </c>
      <c r="L808" s="22">
        <v>46261.659755324072</v>
      </c>
      <c r="M808" s="20">
        <v>12</v>
      </c>
      <c r="N808" s="1">
        <v>42</v>
      </c>
    </row>
    <row r="809" spans="1:14" x14ac:dyDescent="0.25">
      <c r="A809" t="str">
        <f t="shared" si="26"/>
        <v>H180750H180750</v>
      </c>
      <c r="B809" t="str">
        <f t="shared" si="27"/>
        <v>H180750GC9060GY-M</v>
      </c>
      <c r="C809" s="1" t="s">
        <v>5</v>
      </c>
      <c r="D809" s="1" t="s">
        <v>559</v>
      </c>
      <c r="E809" s="1" t="s">
        <v>2307</v>
      </c>
      <c r="F809" s="1" t="s">
        <v>2308</v>
      </c>
      <c r="G809" s="1" t="s">
        <v>404</v>
      </c>
      <c r="H809" s="1">
        <v>576</v>
      </c>
      <c r="I809" s="3">
        <v>46261</v>
      </c>
      <c r="J809" s="3">
        <v>46267</v>
      </c>
      <c r="K809" s="3" t="s">
        <v>2363</v>
      </c>
      <c r="L809" s="22">
        <v>46261.661025775458</v>
      </c>
      <c r="M809" s="20">
        <v>12</v>
      </c>
      <c r="N809" s="1">
        <v>19</v>
      </c>
    </row>
    <row r="810" spans="1:14" x14ac:dyDescent="0.25">
      <c r="A810" t="str">
        <f t="shared" si="26"/>
        <v>H180750H180750</v>
      </c>
      <c r="B810" t="str">
        <f t="shared" si="27"/>
        <v>H180750GC9060GY-M</v>
      </c>
      <c r="C810" s="1" t="s">
        <v>5</v>
      </c>
      <c r="D810" s="1" t="s">
        <v>559</v>
      </c>
      <c r="E810" s="1" t="s">
        <v>2307</v>
      </c>
      <c r="F810" s="1" t="s">
        <v>2308</v>
      </c>
      <c r="G810" s="1" t="s">
        <v>404</v>
      </c>
      <c r="H810" s="1">
        <v>576</v>
      </c>
      <c r="I810" s="3">
        <v>46261</v>
      </c>
      <c r="J810" s="3">
        <v>46267</v>
      </c>
      <c r="K810" s="3" t="s">
        <v>2363</v>
      </c>
      <c r="L810" s="22">
        <v>46261.66572931713</v>
      </c>
      <c r="M810" s="20">
        <v>12</v>
      </c>
      <c r="N810" s="1">
        <v>18</v>
      </c>
    </row>
    <row r="811" spans="1:14" x14ac:dyDescent="0.25">
      <c r="A811" t="str">
        <f t="shared" si="26"/>
        <v>H180750H180750</v>
      </c>
      <c r="B811" t="str">
        <f t="shared" si="27"/>
        <v>H180750GC9060GY-M</v>
      </c>
      <c r="C811" s="1" t="s">
        <v>5</v>
      </c>
      <c r="D811" s="1" t="s">
        <v>559</v>
      </c>
      <c r="E811" s="1" t="s">
        <v>2307</v>
      </c>
      <c r="F811" s="1" t="s">
        <v>2308</v>
      </c>
      <c r="G811" s="1" t="s">
        <v>404</v>
      </c>
      <c r="H811" s="1">
        <v>576</v>
      </c>
      <c r="I811" s="3">
        <v>46261</v>
      </c>
      <c r="J811" s="3">
        <v>46267</v>
      </c>
      <c r="K811" s="3" t="s">
        <v>2363</v>
      </c>
      <c r="L811" s="22">
        <v>46261.665893287034</v>
      </c>
      <c r="M811" s="20">
        <v>12</v>
      </c>
      <c r="N811" s="1">
        <v>20</v>
      </c>
    </row>
    <row r="812" spans="1:14" x14ac:dyDescent="0.25">
      <c r="A812" t="str">
        <f t="shared" si="26"/>
        <v>H180750H180750</v>
      </c>
      <c r="B812" t="str">
        <f t="shared" si="27"/>
        <v>H180750GC9060GY-M</v>
      </c>
      <c r="C812" s="1" t="s">
        <v>5</v>
      </c>
      <c r="D812" s="1" t="s">
        <v>559</v>
      </c>
      <c r="E812" s="1" t="s">
        <v>2307</v>
      </c>
      <c r="F812" s="1" t="s">
        <v>2308</v>
      </c>
      <c r="G812" s="1" t="s">
        <v>404</v>
      </c>
      <c r="H812" s="1">
        <v>576</v>
      </c>
      <c r="I812" s="3">
        <v>46261</v>
      </c>
      <c r="J812" s="3">
        <v>46267</v>
      </c>
      <c r="K812" s="3" t="s">
        <v>2363</v>
      </c>
      <c r="L812" s="22">
        <v>46261.667119641199</v>
      </c>
      <c r="M812" s="20">
        <v>12</v>
      </c>
      <c r="N812" s="1">
        <v>36</v>
      </c>
    </row>
    <row r="813" spans="1:14" x14ac:dyDescent="0.25">
      <c r="A813" t="str">
        <f t="shared" si="26"/>
        <v>H180750H180750</v>
      </c>
      <c r="B813" t="str">
        <f t="shared" si="27"/>
        <v>H180750GC9060GY-M</v>
      </c>
      <c r="C813" s="1" t="s">
        <v>5</v>
      </c>
      <c r="D813" s="1" t="s">
        <v>559</v>
      </c>
      <c r="E813" s="1" t="s">
        <v>2307</v>
      </c>
      <c r="F813" s="1" t="s">
        <v>2308</v>
      </c>
      <c r="G813" s="1" t="s">
        <v>404</v>
      </c>
      <c r="H813" s="1">
        <v>576</v>
      </c>
      <c r="I813" s="3">
        <v>46261</v>
      </c>
      <c r="J813" s="3">
        <v>46267</v>
      </c>
      <c r="K813" s="3" t="s">
        <v>2363</v>
      </c>
      <c r="L813" s="22">
        <v>46261.678790543978</v>
      </c>
      <c r="M813" s="20">
        <v>12</v>
      </c>
      <c r="N813" s="1">
        <v>33</v>
      </c>
    </row>
    <row r="814" spans="1:14" x14ac:dyDescent="0.25">
      <c r="A814" t="str">
        <f t="shared" si="26"/>
        <v>H180750H180750</v>
      </c>
      <c r="B814" t="str">
        <f t="shared" si="27"/>
        <v>H180750GC9060GY-M</v>
      </c>
      <c r="C814" s="1" t="s">
        <v>5</v>
      </c>
      <c r="D814" s="1" t="s">
        <v>559</v>
      </c>
      <c r="E814" s="1" t="s">
        <v>2307</v>
      </c>
      <c r="F814" s="1" t="s">
        <v>2308</v>
      </c>
      <c r="G814" s="1" t="s">
        <v>404</v>
      </c>
      <c r="H814" s="1">
        <v>576</v>
      </c>
      <c r="I814" s="3">
        <v>46261</v>
      </c>
      <c r="J814" s="3">
        <v>46267</v>
      </c>
      <c r="K814" s="3" t="s">
        <v>2363</v>
      </c>
      <c r="L814" s="22">
        <v>46261.681166435184</v>
      </c>
      <c r="M814" s="20">
        <v>12</v>
      </c>
      <c r="N814" s="1">
        <v>17</v>
      </c>
    </row>
    <row r="815" spans="1:14" x14ac:dyDescent="0.25">
      <c r="A815" t="str">
        <f t="shared" si="26"/>
        <v>H180750H180750</v>
      </c>
      <c r="B815" t="str">
        <f t="shared" si="27"/>
        <v>H180750GC9060GY-M</v>
      </c>
      <c r="C815" s="1" t="s">
        <v>5</v>
      </c>
      <c r="D815" s="1" t="s">
        <v>559</v>
      </c>
      <c r="E815" s="1" t="s">
        <v>2307</v>
      </c>
      <c r="F815" s="1" t="s">
        <v>2308</v>
      </c>
      <c r="G815" s="1" t="s">
        <v>404</v>
      </c>
      <c r="H815" s="1">
        <v>576</v>
      </c>
      <c r="I815" s="3">
        <v>46261</v>
      </c>
      <c r="J815" s="3">
        <v>46267</v>
      </c>
      <c r="K815" s="3" t="s">
        <v>2363</v>
      </c>
      <c r="L815" s="22">
        <v>46261.682098530087</v>
      </c>
      <c r="M815" s="20">
        <v>12</v>
      </c>
      <c r="N815" s="1">
        <v>12</v>
      </c>
    </row>
    <row r="816" spans="1:14" x14ac:dyDescent="0.25">
      <c r="A816" t="str">
        <f t="shared" si="26"/>
        <v>H180750H180750</v>
      </c>
      <c r="B816" t="str">
        <f t="shared" si="27"/>
        <v>H180750GC9060GY-M</v>
      </c>
      <c r="C816" s="1" t="s">
        <v>5</v>
      </c>
      <c r="D816" s="1" t="s">
        <v>559</v>
      </c>
      <c r="E816" s="1" t="s">
        <v>2307</v>
      </c>
      <c r="F816" s="1" t="s">
        <v>2308</v>
      </c>
      <c r="G816" s="1" t="s">
        <v>404</v>
      </c>
      <c r="H816" s="1">
        <v>576</v>
      </c>
      <c r="I816" s="3">
        <v>46261</v>
      </c>
      <c r="J816" s="3">
        <v>46267</v>
      </c>
      <c r="K816" s="3" t="s">
        <v>2363</v>
      </c>
      <c r="L816" s="22">
        <v>46261.682317395833</v>
      </c>
      <c r="M816" s="20">
        <v>12</v>
      </c>
      <c r="N816" s="1">
        <v>43</v>
      </c>
    </row>
    <row r="817" spans="1:14" x14ac:dyDescent="0.25">
      <c r="A817" t="str">
        <f t="shared" si="26"/>
        <v>H180750H180750</v>
      </c>
      <c r="B817" t="str">
        <f t="shared" si="27"/>
        <v>H180750GC9060GY-M</v>
      </c>
      <c r="C817" s="1" t="s">
        <v>5</v>
      </c>
      <c r="D817" s="1" t="s">
        <v>559</v>
      </c>
      <c r="E817" s="1" t="s">
        <v>2307</v>
      </c>
      <c r="F817" s="1" t="s">
        <v>2308</v>
      </c>
      <c r="G817" s="1" t="s">
        <v>404</v>
      </c>
      <c r="H817" s="1">
        <v>576</v>
      </c>
      <c r="I817" s="3">
        <v>46261</v>
      </c>
      <c r="J817" s="3">
        <v>46267</v>
      </c>
      <c r="K817" s="3" t="s">
        <v>2363</v>
      </c>
      <c r="L817" s="22">
        <v>46261.683164351853</v>
      </c>
      <c r="M817" s="20">
        <v>12</v>
      </c>
      <c r="N817" s="1">
        <v>21</v>
      </c>
    </row>
    <row r="818" spans="1:14" x14ac:dyDescent="0.25">
      <c r="A818" t="str">
        <f t="shared" si="26"/>
        <v>H180750H180750</v>
      </c>
      <c r="B818" t="str">
        <f t="shared" si="27"/>
        <v>H180750GC9060GY-M</v>
      </c>
      <c r="C818" s="1" t="s">
        <v>5</v>
      </c>
      <c r="D818" s="1" t="s">
        <v>559</v>
      </c>
      <c r="E818" s="1" t="s">
        <v>2307</v>
      </c>
      <c r="F818" s="1" t="s">
        <v>2308</v>
      </c>
      <c r="G818" s="1" t="s">
        <v>404</v>
      </c>
      <c r="H818" s="1">
        <v>576</v>
      </c>
      <c r="I818" s="3">
        <v>46261</v>
      </c>
      <c r="J818" s="3">
        <v>46267</v>
      </c>
      <c r="K818" s="3" t="s">
        <v>2363</v>
      </c>
      <c r="L818" s="22">
        <v>46261.687332141199</v>
      </c>
      <c r="M818" s="20">
        <v>12</v>
      </c>
      <c r="N818" s="1">
        <v>26</v>
      </c>
    </row>
    <row r="819" spans="1:14" x14ac:dyDescent="0.25">
      <c r="A819" t="str">
        <f t="shared" si="26"/>
        <v>78755017875501</v>
      </c>
      <c r="B819" t="str">
        <f t="shared" si="27"/>
        <v>7875501GC9060GY-M</v>
      </c>
      <c r="C819" s="1" t="s">
        <v>5</v>
      </c>
      <c r="D819" s="1" t="s">
        <v>562</v>
      </c>
      <c r="E819" s="1" t="s">
        <v>382</v>
      </c>
      <c r="F819" s="1" t="s">
        <v>383</v>
      </c>
      <c r="G819" s="1" t="s">
        <v>390</v>
      </c>
      <c r="H819" s="1">
        <v>1506</v>
      </c>
      <c r="I819" s="3">
        <v>46262</v>
      </c>
      <c r="L819" s="22">
        <v>46262.603515011571</v>
      </c>
      <c r="M819" s="20">
        <v>12</v>
      </c>
      <c r="N819" s="1">
        <v>42</v>
      </c>
    </row>
    <row r="820" spans="1:14" x14ac:dyDescent="0.25">
      <c r="A820" t="str">
        <f t="shared" si="26"/>
        <v>78755017875501</v>
      </c>
      <c r="B820" t="str">
        <f t="shared" si="27"/>
        <v>7875501GC9060GY-M</v>
      </c>
      <c r="C820" s="1" t="s">
        <v>5</v>
      </c>
      <c r="D820" s="1" t="s">
        <v>562</v>
      </c>
      <c r="E820" s="1" t="s">
        <v>382</v>
      </c>
      <c r="F820" s="1" t="s">
        <v>383</v>
      </c>
      <c r="G820" s="1" t="s">
        <v>390</v>
      </c>
      <c r="H820" s="1">
        <v>1506</v>
      </c>
      <c r="I820" s="3">
        <v>46262</v>
      </c>
      <c r="L820" s="22">
        <v>46262.60902989583</v>
      </c>
      <c r="M820" s="20">
        <v>12</v>
      </c>
      <c r="N820" s="1">
        <v>22</v>
      </c>
    </row>
    <row r="821" spans="1:14" x14ac:dyDescent="0.25">
      <c r="A821" t="str">
        <f t="shared" si="26"/>
        <v>78755017875501</v>
      </c>
      <c r="B821" t="str">
        <f t="shared" si="27"/>
        <v>7875501GC9060GY-M</v>
      </c>
      <c r="C821" s="1" t="s">
        <v>5</v>
      </c>
      <c r="D821" s="1" t="s">
        <v>562</v>
      </c>
      <c r="E821" s="1" t="s">
        <v>382</v>
      </c>
      <c r="F821" s="1" t="s">
        <v>383</v>
      </c>
      <c r="G821" s="1" t="s">
        <v>390</v>
      </c>
      <c r="H821" s="1">
        <v>1506</v>
      </c>
      <c r="I821" s="3">
        <v>46262</v>
      </c>
      <c r="L821" s="22">
        <v>46262.619651307868</v>
      </c>
      <c r="M821" s="20">
        <v>12</v>
      </c>
      <c r="N821" s="1">
        <v>77</v>
      </c>
    </row>
    <row r="822" spans="1:14" x14ac:dyDescent="0.25">
      <c r="A822" t="str">
        <f t="shared" si="26"/>
        <v>78755017875501</v>
      </c>
      <c r="B822" t="str">
        <f t="shared" si="27"/>
        <v>7875501GC9060GY-M</v>
      </c>
      <c r="C822" s="1" t="s">
        <v>5</v>
      </c>
      <c r="D822" s="1" t="s">
        <v>562</v>
      </c>
      <c r="E822" s="1" t="s">
        <v>382</v>
      </c>
      <c r="F822" s="1" t="s">
        <v>383</v>
      </c>
      <c r="G822" s="1" t="s">
        <v>390</v>
      </c>
      <c r="H822" s="1">
        <v>1506</v>
      </c>
      <c r="I822" s="3">
        <v>46262</v>
      </c>
      <c r="L822" s="22">
        <v>46262.621896261575</v>
      </c>
      <c r="M822" s="20">
        <v>12</v>
      </c>
      <c r="N822" s="1">
        <v>116</v>
      </c>
    </row>
    <row r="823" spans="1:14" x14ac:dyDescent="0.25">
      <c r="A823" t="str">
        <f t="shared" si="26"/>
        <v>78755017875501</v>
      </c>
      <c r="B823" t="str">
        <f t="shared" si="27"/>
        <v>7875501GC9060GY-M</v>
      </c>
      <c r="C823" s="1" t="s">
        <v>5</v>
      </c>
      <c r="D823" s="1" t="s">
        <v>562</v>
      </c>
      <c r="E823" s="1" t="s">
        <v>382</v>
      </c>
      <c r="F823" s="1" t="s">
        <v>383</v>
      </c>
      <c r="G823" s="1" t="s">
        <v>390</v>
      </c>
      <c r="H823" s="1">
        <v>1506</v>
      </c>
      <c r="I823" s="3">
        <v>46262</v>
      </c>
      <c r="L823" s="22">
        <v>46262.622253622685</v>
      </c>
      <c r="M823" s="20">
        <v>12</v>
      </c>
      <c r="N823" s="1">
        <v>23</v>
      </c>
    </row>
    <row r="824" spans="1:14" x14ac:dyDescent="0.25">
      <c r="A824" t="str">
        <f t="shared" si="26"/>
        <v>78755017875501</v>
      </c>
      <c r="B824" t="str">
        <f t="shared" si="27"/>
        <v>7875501GC9060GY-M</v>
      </c>
      <c r="C824" s="1" t="s">
        <v>5</v>
      </c>
      <c r="D824" s="1" t="s">
        <v>562</v>
      </c>
      <c r="E824" s="1" t="s">
        <v>382</v>
      </c>
      <c r="F824" s="1" t="s">
        <v>383</v>
      </c>
      <c r="G824" s="1" t="s">
        <v>390</v>
      </c>
      <c r="H824" s="1">
        <v>1506</v>
      </c>
      <c r="I824" s="3">
        <v>46262</v>
      </c>
      <c r="L824" s="22">
        <v>46262.622787465276</v>
      </c>
      <c r="M824" s="20">
        <v>12</v>
      </c>
      <c r="N824" s="1">
        <v>94</v>
      </c>
    </row>
    <row r="825" spans="1:14" x14ac:dyDescent="0.25">
      <c r="A825" t="str">
        <f t="shared" si="26"/>
        <v>78755017875501</v>
      </c>
      <c r="B825" t="str">
        <f t="shared" si="27"/>
        <v>7875501GC9060GY-M</v>
      </c>
      <c r="C825" s="1" t="s">
        <v>5</v>
      </c>
      <c r="D825" s="1" t="s">
        <v>562</v>
      </c>
      <c r="E825" s="1" t="s">
        <v>382</v>
      </c>
      <c r="F825" s="1" t="s">
        <v>383</v>
      </c>
      <c r="G825" s="1" t="s">
        <v>390</v>
      </c>
      <c r="H825" s="1">
        <v>1506</v>
      </c>
      <c r="I825" s="3">
        <v>46262</v>
      </c>
      <c r="L825" s="22">
        <v>46262.623244097224</v>
      </c>
      <c r="M825" s="20">
        <v>12</v>
      </c>
      <c r="N825" s="1">
        <v>47</v>
      </c>
    </row>
    <row r="826" spans="1:14" x14ac:dyDescent="0.25">
      <c r="A826" t="str">
        <f t="shared" si="26"/>
        <v>78755017875501</v>
      </c>
      <c r="B826" t="str">
        <f t="shared" si="27"/>
        <v>7875501GC9060GY-M</v>
      </c>
      <c r="C826" s="1" t="s">
        <v>5</v>
      </c>
      <c r="D826" s="1" t="s">
        <v>562</v>
      </c>
      <c r="E826" s="1" t="s">
        <v>382</v>
      </c>
      <c r="F826" s="1" t="s">
        <v>383</v>
      </c>
      <c r="G826" s="1" t="s">
        <v>390</v>
      </c>
      <c r="H826" s="1">
        <v>1506</v>
      </c>
      <c r="I826" s="3">
        <v>46262</v>
      </c>
      <c r="L826" s="22">
        <v>46262.645843900464</v>
      </c>
      <c r="M826" s="20">
        <v>12</v>
      </c>
      <c r="N826" s="1">
        <v>117</v>
      </c>
    </row>
    <row r="827" spans="1:14" x14ac:dyDescent="0.25">
      <c r="A827" t="str">
        <f t="shared" si="26"/>
        <v>78755017875501</v>
      </c>
      <c r="B827" t="str">
        <f t="shared" si="27"/>
        <v>7875501GC9060GY-M</v>
      </c>
      <c r="C827" s="1" t="s">
        <v>5</v>
      </c>
      <c r="D827" s="1" t="s">
        <v>562</v>
      </c>
      <c r="E827" s="1" t="s">
        <v>382</v>
      </c>
      <c r="F827" s="1" t="s">
        <v>383</v>
      </c>
      <c r="G827" s="1" t="s">
        <v>390</v>
      </c>
      <c r="H827" s="1">
        <v>1506</v>
      </c>
      <c r="I827" s="3">
        <v>46262</v>
      </c>
      <c r="L827" s="22">
        <v>46262.649491585646</v>
      </c>
      <c r="M827" s="20">
        <v>12</v>
      </c>
      <c r="N827" s="1">
        <v>48</v>
      </c>
    </row>
    <row r="828" spans="1:14" x14ac:dyDescent="0.25">
      <c r="A828" t="str">
        <f t="shared" si="26"/>
        <v>78755017875501</v>
      </c>
      <c r="B828" t="str">
        <f t="shared" si="27"/>
        <v>7875501GC9060GY-M</v>
      </c>
      <c r="C828" s="1" t="s">
        <v>5</v>
      </c>
      <c r="D828" s="1" t="s">
        <v>562</v>
      </c>
      <c r="E828" s="1" t="s">
        <v>382</v>
      </c>
      <c r="F828" s="1" t="s">
        <v>383</v>
      </c>
      <c r="G828" s="1" t="s">
        <v>390</v>
      </c>
      <c r="H828" s="1">
        <v>1506</v>
      </c>
      <c r="I828" s="3">
        <v>46262</v>
      </c>
      <c r="L828" s="22">
        <v>46262.65023796296</v>
      </c>
      <c r="M828" s="20">
        <v>12</v>
      </c>
      <c r="N828" s="1">
        <v>78</v>
      </c>
    </row>
    <row r="829" spans="1:14" x14ac:dyDescent="0.25">
      <c r="A829" t="str">
        <f t="shared" si="26"/>
        <v>78755017875501</v>
      </c>
      <c r="B829" t="str">
        <f t="shared" si="27"/>
        <v>7875501GC9060GY-M</v>
      </c>
      <c r="C829" s="1" t="s">
        <v>5</v>
      </c>
      <c r="D829" s="1" t="s">
        <v>562</v>
      </c>
      <c r="E829" s="1" t="s">
        <v>382</v>
      </c>
      <c r="F829" s="1" t="s">
        <v>383</v>
      </c>
      <c r="G829" s="1" t="s">
        <v>390</v>
      </c>
      <c r="H829" s="1">
        <v>1506</v>
      </c>
      <c r="I829" s="3">
        <v>46262</v>
      </c>
      <c r="L829" s="22">
        <v>46262.653667708335</v>
      </c>
      <c r="M829" s="20">
        <v>12</v>
      </c>
      <c r="N829" s="1">
        <v>79</v>
      </c>
    </row>
    <row r="830" spans="1:14" x14ac:dyDescent="0.25">
      <c r="A830" t="str">
        <f t="shared" si="26"/>
        <v>78755017875501</v>
      </c>
      <c r="B830" t="str">
        <f t="shared" si="27"/>
        <v>7875501GC9060GY-M</v>
      </c>
      <c r="C830" s="1" t="s">
        <v>5</v>
      </c>
      <c r="D830" s="1" t="s">
        <v>562</v>
      </c>
      <c r="E830" s="1" t="s">
        <v>382</v>
      </c>
      <c r="F830" s="1" t="s">
        <v>383</v>
      </c>
      <c r="G830" s="1" t="s">
        <v>390</v>
      </c>
      <c r="H830" s="1">
        <v>1506</v>
      </c>
      <c r="I830" s="3">
        <v>46262</v>
      </c>
      <c r="L830" s="22">
        <v>46262.654323645831</v>
      </c>
      <c r="M830" s="20">
        <v>12</v>
      </c>
      <c r="N830" s="1">
        <v>108</v>
      </c>
    </row>
    <row r="831" spans="1:14" x14ac:dyDescent="0.25">
      <c r="A831" t="str">
        <f t="shared" si="26"/>
        <v>78755017875501</v>
      </c>
      <c r="B831" t="str">
        <f t="shared" si="27"/>
        <v>7875501GC9060GY-M</v>
      </c>
      <c r="C831" s="1" t="s">
        <v>5</v>
      </c>
      <c r="D831" s="1" t="s">
        <v>562</v>
      </c>
      <c r="E831" s="1" t="s">
        <v>382</v>
      </c>
      <c r="F831" s="1" t="s">
        <v>383</v>
      </c>
      <c r="G831" s="1" t="s">
        <v>390</v>
      </c>
      <c r="H831" s="1">
        <v>1506</v>
      </c>
      <c r="I831" s="3">
        <v>46262</v>
      </c>
      <c r="L831" s="22">
        <v>46262.657515312501</v>
      </c>
      <c r="M831" s="20">
        <v>12</v>
      </c>
      <c r="N831" s="1">
        <v>44</v>
      </c>
    </row>
    <row r="832" spans="1:14" x14ac:dyDescent="0.25">
      <c r="A832" t="str">
        <f t="shared" si="26"/>
        <v>78755017875501</v>
      </c>
      <c r="B832" t="str">
        <f t="shared" si="27"/>
        <v>7875501GC9060GY-M</v>
      </c>
      <c r="C832" s="1" t="s">
        <v>5</v>
      </c>
      <c r="D832" s="1" t="s">
        <v>562</v>
      </c>
      <c r="E832" s="1" t="s">
        <v>382</v>
      </c>
      <c r="F832" s="1" t="s">
        <v>383</v>
      </c>
      <c r="G832" s="1" t="s">
        <v>390</v>
      </c>
      <c r="H832" s="1">
        <v>1506</v>
      </c>
      <c r="I832" s="3">
        <v>46262</v>
      </c>
      <c r="L832" s="22">
        <v>46262.661527199074</v>
      </c>
      <c r="M832" s="20">
        <v>12</v>
      </c>
      <c r="N832" s="1">
        <v>46</v>
      </c>
    </row>
    <row r="833" spans="1:14" x14ac:dyDescent="0.25">
      <c r="A833" t="str">
        <f t="shared" si="26"/>
        <v>78755017875501</v>
      </c>
      <c r="B833" t="str">
        <f t="shared" si="27"/>
        <v>7875501GC9060GY-M</v>
      </c>
      <c r="C833" s="1" t="s">
        <v>5</v>
      </c>
      <c r="D833" s="1" t="s">
        <v>562</v>
      </c>
      <c r="E833" s="1" t="s">
        <v>382</v>
      </c>
      <c r="F833" s="1" t="s">
        <v>383</v>
      </c>
      <c r="G833" s="1" t="s">
        <v>390</v>
      </c>
      <c r="H833" s="1">
        <v>1506</v>
      </c>
      <c r="I833" s="3">
        <v>46262</v>
      </c>
      <c r="L833" s="22">
        <v>46262.662971724538</v>
      </c>
      <c r="M833" s="20">
        <v>12</v>
      </c>
      <c r="N833" s="1">
        <v>24</v>
      </c>
    </row>
    <row r="834" spans="1:14" x14ac:dyDescent="0.25">
      <c r="A834" t="str">
        <f t="shared" ref="A834:A897" si="28">+D834&amp;D834</f>
        <v>78755017875501</v>
      </c>
      <c r="B834" t="str">
        <f t="shared" ref="B834:B897" si="29">+D834&amp;C834</f>
        <v>7875501GC9060GY-M</v>
      </c>
      <c r="C834" s="1" t="s">
        <v>5</v>
      </c>
      <c r="D834" s="1" t="s">
        <v>562</v>
      </c>
      <c r="E834" s="1" t="s">
        <v>382</v>
      </c>
      <c r="F834" s="1" t="s">
        <v>383</v>
      </c>
      <c r="G834" s="1" t="s">
        <v>390</v>
      </c>
      <c r="H834" s="1">
        <v>1506</v>
      </c>
      <c r="I834" s="3">
        <v>46262</v>
      </c>
      <c r="L834" s="22">
        <v>46262.664323958328</v>
      </c>
      <c r="M834" s="20">
        <v>12</v>
      </c>
      <c r="N834" s="1">
        <v>105</v>
      </c>
    </row>
    <row r="835" spans="1:14" x14ac:dyDescent="0.25">
      <c r="A835" t="str">
        <f t="shared" si="28"/>
        <v>78755017875501</v>
      </c>
      <c r="B835" t="str">
        <f t="shared" si="29"/>
        <v>7875501GC9060GY-M</v>
      </c>
      <c r="C835" s="1" t="s">
        <v>5</v>
      </c>
      <c r="D835" s="1" t="s">
        <v>562</v>
      </c>
      <c r="E835" s="1" t="s">
        <v>382</v>
      </c>
      <c r="F835" s="1" t="s">
        <v>383</v>
      </c>
      <c r="G835" s="1" t="s">
        <v>390</v>
      </c>
      <c r="H835" s="1">
        <v>1506</v>
      </c>
      <c r="I835" s="3">
        <v>46262</v>
      </c>
      <c r="L835" s="22">
        <v>46262.687500231477</v>
      </c>
      <c r="M835" s="20">
        <v>12</v>
      </c>
      <c r="N835" s="1">
        <v>45</v>
      </c>
    </row>
    <row r="836" spans="1:14" x14ac:dyDescent="0.25">
      <c r="A836" t="str">
        <f t="shared" si="28"/>
        <v>78755017875501</v>
      </c>
      <c r="B836" t="str">
        <f t="shared" si="29"/>
        <v>7875501GC9060GY-M</v>
      </c>
      <c r="C836" s="1" t="s">
        <v>5</v>
      </c>
      <c r="D836" s="1" t="s">
        <v>562</v>
      </c>
      <c r="E836" s="1" t="s">
        <v>382</v>
      </c>
      <c r="F836" s="1" t="s">
        <v>383</v>
      </c>
      <c r="G836" s="1" t="s">
        <v>390</v>
      </c>
      <c r="H836" s="1">
        <v>1506</v>
      </c>
      <c r="I836" s="3">
        <v>46262</v>
      </c>
      <c r="L836" s="22">
        <v>46262.704072187495</v>
      </c>
      <c r="M836" s="20">
        <v>12</v>
      </c>
      <c r="N836" s="1">
        <v>62</v>
      </c>
    </row>
    <row r="837" spans="1:14" x14ac:dyDescent="0.25">
      <c r="A837" t="str">
        <f t="shared" si="28"/>
        <v>78755017875501</v>
      </c>
      <c r="B837" t="str">
        <f t="shared" si="29"/>
        <v>7875501GC9060GY-M</v>
      </c>
      <c r="C837" s="1" t="s">
        <v>5</v>
      </c>
      <c r="D837" s="1" t="s">
        <v>562</v>
      </c>
      <c r="E837" s="1" t="s">
        <v>382</v>
      </c>
      <c r="F837" s="1" t="s">
        <v>383</v>
      </c>
      <c r="G837" s="1" t="s">
        <v>390</v>
      </c>
      <c r="H837" s="1">
        <v>1506</v>
      </c>
      <c r="I837" s="3">
        <v>46262</v>
      </c>
      <c r="L837" s="22">
        <v>46262.715697534717</v>
      </c>
      <c r="M837" s="20">
        <v>12</v>
      </c>
      <c r="N837" s="1">
        <v>95</v>
      </c>
    </row>
    <row r="838" spans="1:14" x14ac:dyDescent="0.25">
      <c r="A838" t="str">
        <f t="shared" si="28"/>
        <v>78755017875501</v>
      </c>
      <c r="B838" t="str">
        <f t="shared" si="29"/>
        <v>7875501GC9060GY-M</v>
      </c>
      <c r="C838" s="1" t="s">
        <v>5</v>
      </c>
      <c r="D838" s="1" t="s">
        <v>562</v>
      </c>
      <c r="E838" s="1" t="s">
        <v>382</v>
      </c>
      <c r="F838" s="1" t="s">
        <v>383</v>
      </c>
      <c r="G838" s="1" t="s">
        <v>390</v>
      </c>
      <c r="H838" s="1">
        <v>1506</v>
      </c>
      <c r="I838" s="3">
        <v>46262</v>
      </c>
      <c r="L838" s="22">
        <v>46262.716252546292</v>
      </c>
      <c r="M838" s="20">
        <v>12</v>
      </c>
      <c r="N838" s="1">
        <v>107</v>
      </c>
    </row>
    <row r="839" spans="1:14" x14ac:dyDescent="0.25">
      <c r="A839" t="str">
        <f t="shared" si="28"/>
        <v>78755017875501</v>
      </c>
      <c r="B839" t="str">
        <f t="shared" si="29"/>
        <v>7875501GC9060GY-M</v>
      </c>
      <c r="C839" s="1" t="s">
        <v>5</v>
      </c>
      <c r="D839" s="1" t="s">
        <v>562</v>
      </c>
      <c r="E839" s="1" t="s">
        <v>382</v>
      </c>
      <c r="F839" s="1" t="s">
        <v>383</v>
      </c>
      <c r="G839" s="1" t="s">
        <v>390</v>
      </c>
      <c r="H839" s="1">
        <v>1506</v>
      </c>
      <c r="I839" s="3">
        <v>46262</v>
      </c>
      <c r="L839" s="22">
        <v>46262.716634456017</v>
      </c>
      <c r="M839" s="20">
        <v>12</v>
      </c>
      <c r="N839" s="1">
        <v>25</v>
      </c>
    </row>
    <row r="840" spans="1:14" x14ac:dyDescent="0.25">
      <c r="A840" t="str">
        <f t="shared" si="28"/>
        <v>78755017875501</v>
      </c>
      <c r="B840" t="str">
        <f t="shared" si="29"/>
        <v>7875501GC9060GY-M</v>
      </c>
      <c r="C840" s="1" t="s">
        <v>5</v>
      </c>
      <c r="D840" s="1" t="s">
        <v>562</v>
      </c>
      <c r="E840" s="1" t="s">
        <v>382</v>
      </c>
      <c r="F840" s="1" t="s">
        <v>383</v>
      </c>
      <c r="G840" s="1" t="s">
        <v>390</v>
      </c>
      <c r="H840" s="1">
        <v>1506</v>
      </c>
      <c r="I840" s="3">
        <v>46262</v>
      </c>
      <c r="L840" s="22">
        <v>46262.724477696756</v>
      </c>
      <c r="M840" s="20">
        <v>12</v>
      </c>
      <c r="N840" s="1">
        <v>43</v>
      </c>
    </row>
    <row r="841" spans="1:14" x14ac:dyDescent="0.25">
      <c r="A841" t="str">
        <f t="shared" si="28"/>
        <v>78755017875501</v>
      </c>
      <c r="B841" t="str">
        <f t="shared" si="29"/>
        <v>7875501GC9060GY-M</v>
      </c>
      <c r="C841" s="1" t="s">
        <v>5</v>
      </c>
      <c r="D841" s="1" t="s">
        <v>562</v>
      </c>
      <c r="E841" s="1" t="s">
        <v>382</v>
      </c>
      <c r="F841" s="1" t="s">
        <v>383</v>
      </c>
      <c r="G841" s="1" t="s">
        <v>390</v>
      </c>
      <c r="H841" s="1">
        <v>1506</v>
      </c>
      <c r="I841" s="3">
        <v>46262</v>
      </c>
      <c r="L841" s="22">
        <v>46262.726410034724</v>
      </c>
      <c r="M841" s="20">
        <v>12</v>
      </c>
      <c r="N841" s="1">
        <v>106</v>
      </c>
    </row>
    <row r="842" spans="1:14" x14ac:dyDescent="0.25">
      <c r="A842" t="str">
        <f t="shared" si="28"/>
        <v>78755017875501</v>
      </c>
      <c r="B842" t="str">
        <f t="shared" si="29"/>
        <v>7875501GC9060GY-M</v>
      </c>
      <c r="C842" s="1" t="s">
        <v>5</v>
      </c>
      <c r="D842" s="1" t="s">
        <v>562</v>
      </c>
      <c r="E842" s="1" t="s">
        <v>382</v>
      </c>
      <c r="F842" s="1" t="s">
        <v>383</v>
      </c>
      <c r="G842" s="1" t="s">
        <v>390</v>
      </c>
      <c r="H842" s="1">
        <v>1506</v>
      </c>
      <c r="I842" s="3">
        <v>46262</v>
      </c>
      <c r="L842" s="22">
        <v>46262.732143368055</v>
      </c>
      <c r="M842" s="20">
        <v>12</v>
      </c>
      <c r="N842" s="1">
        <v>80</v>
      </c>
    </row>
    <row r="843" spans="1:14" x14ac:dyDescent="0.25">
      <c r="A843" t="str">
        <f t="shared" si="28"/>
        <v>78756587875658</v>
      </c>
      <c r="B843" t="str">
        <f t="shared" si="29"/>
        <v>7875658W60347S-B</v>
      </c>
      <c r="C843" s="1" t="s">
        <v>563</v>
      </c>
      <c r="D843" s="1" t="s">
        <v>564</v>
      </c>
      <c r="E843" s="1" t="s">
        <v>481</v>
      </c>
      <c r="F843" s="1" t="s">
        <v>482</v>
      </c>
      <c r="G843" s="1" t="s">
        <v>394</v>
      </c>
      <c r="H843" s="1">
        <v>306</v>
      </c>
      <c r="I843" s="3">
        <v>46262</v>
      </c>
      <c r="J843" s="3">
        <v>46283</v>
      </c>
      <c r="K843" s="3" t="s">
        <v>2350</v>
      </c>
      <c r="L843" s="22">
        <v>46262.691511956014</v>
      </c>
      <c r="M843" s="20">
        <v>12</v>
      </c>
      <c r="N843" s="1">
        <v>5</v>
      </c>
    </row>
    <row r="844" spans="1:14" x14ac:dyDescent="0.25">
      <c r="A844" t="str">
        <f t="shared" si="28"/>
        <v>78756587875658</v>
      </c>
      <c r="B844" t="str">
        <f t="shared" si="29"/>
        <v>7875658W60347S-B</v>
      </c>
      <c r="C844" s="1" t="s">
        <v>563</v>
      </c>
      <c r="D844" s="1" t="s">
        <v>564</v>
      </c>
      <c r="E844" s="1" t="s">
        <v>481</v>
      </c>
      <c r="F844" s="1" t="s">
        <v>482</v>
      </c>
      <c r="G844" s="1" t="s">
        <v>394</v>
      </c>
      <c r="H844" s="1">
        <v>306</v>
      </c>
      <c r="I844" s="3">
        <v>46262</v>
      </c>
      <c r="J844" s="3">
        <v>46283</v>
      </c>
      <c r="K844" s="3" t="s">
        <v>2350</v>
      </c>
      <c r="L844" s="22">
        <v>46262.691859027778</v>
      </c>
      <c r="M844" s="20">
        <v>12</v>
      </c>
      <c r="N844" s="1">
        <v>10</v>
      </c>
    </row>
    <row r="845" spans="1:14" x14ac:dyDescent="0.25">
      <c r="A845" t="str">
        <f t="shared" si="28"/>
        <v>H180254H180254</v>
      </c>
      <c r="B845" t="str">
        <f t="shared" si="29"/>
        <v>H180254M5742IX-D</v>
      </c>
      <c r="C845" s="1" t="s">
        <v>487</v>
      </c>
      <c r="D845" s="1" t="s">
        <v>561</v>
      </c>
      <c r="E845" s="1" t="s">
        <v>2307</v>
      </c>
      <c r="F845" s="1" t="s">
        <v>2308</v>
      </c>
      <c r="G845" s="1" t="s">
        <v>404</v>
      </c>
      <c r="H845" s="1">
        <v>2310</v>
      </c>
      <c r="I845" s="3">
        <v>46262</v>
      </c>
      <c r="J845" s="3">
        <v>46289</v>
      </c>
      <c r="K845" s="3" t="s">
        <v>2374</v>
      </c>
      <c r="L845" s="22">
        <v>46262.596138159723</v>
      </c>
      <c r="M845" s="20">
        <v>12</v>
      </c>
      <c r="N845" s="1">
        <v>108</v>
      </c>
    </row>
    <row r="846" spans="1:14" x14ac:dyDescent="0.25">
      <c r="A846" t="str">
        <f t="shared" si="28"/>
        <v>H180254H180254</v>
      </c>
      <c r="B846" t="str">
        <f t="shared" si="29"/>
        <v>H180254M5742IX-D</v>
      </c>
      <c r="C846" s="1" t="s">
        <v>487</v>
      </c>
      <c r="D846" s="1" t="s">
        <v>561</v>
      </c>
      <c r="E846" s="1" t="s">
        <v>2307</v>
      </c>
      <c r="F846" s="1" t="s">
        <v>2308</v>
      </c>
      <c r="G846" s="1" t="s">
        <v>404</v>
      </c>
      <c r="H846" s="1">
        <v>2310</v>
      </c>
      <c r="I846" s="3">
        <v>46262</v>
      </c>
      <c r="J846" s="3">
        <v>46289</v>
      </c>
      <c r="K846" s="3" t="s">
        <v>2374</v>
      </c>
      <c r="L846" s="22">
        <v>46262.598194212958</v>
      </c>
      <c r="M846" s="20">
        <v>12</v>
      </c>
      <c r="N846" s="1">
        <v>171</v>
      </c>
    </row>
    <row r="847" spans="1:14" x14ac:dyDescent="0.25">
      <c r="A847" t="str">
        <f t="shared" si="28"/>
        <v>H180254H180254</v>
      </c>
      <c r="B847" t="str">
        <f t="shared" si="29"/>
        <v>H180254M5742IX-D</v>
      </c>
      <c r="C847" s="1" t="s">
        <v>487</v>
      </c>
      <c r="D847" s="1" t="s">
        <v>561</v>
      </c>
      <c r="E847" s="1" t="s">
        <v>2307</v>
      </c>
      <c r="F847" s="1" t="s">
        <v>2308</v>
      </c>
      <c r="G847" s="1" t="s">
        <v>404</v>
      </c>
      <c r="H847" s="1">
        <v>2310</v>
      </c>
      <c r="I847" s="3">
        <v>46262</v>
      </c>
      <c r="J847" s="3">
        <v>46289</v>
      </c>
      <c r="K847" s="3" t="s">
        <v>2374</v>
      </c>
      <c r="L847" s="22">
        <v>46262.608355011573</v>
      </c>
      <c r="M847" s="20">
        <v>12</v>
      </c>
      <c r="N847" s="1">
        <v>152</v>
      </c>
    </row>
    <row r="848" spans="1:14" x14ac:dyDescent="0.25">
      <c r="A848" t="str">
        <f t="shared" si="28"/>
        <v>H180254H180254</v>
      </c>
      <c r="B848" t="str">
        <f t="shared" si="29"/>
        <v>H180254M5742IX-D</v>
      </c>
      <c r="C848" s="1" t="s">
        <v>487</v>
      </c>
      <c r="D848" s="1" t="s">
        <v>561</v>
      </c>
      <c r="E848" s="1" t="s">
        <v>2307</v>
      </c>
      <c r="F848" s="1" t="s">
        <v>2308</v>
      </c>
      <c r="G848" s="1" t="s">
        <v>404</v>
      </c>
      <c r="H848" s="1">
        <v>2310</v>
      </c>
      <c r="I848" s="3">
        <v>46262</v>
      </c>
      <c r="J848" s="3">
        <v>46289</v>
      </c>
      <c r="K848" s="3" t="s">
        <v>2374</v>
      </c>
      <c r="L848" s="22">
        <v>46262.61408634259</v>
      </c>
      <c r="M848" s="20">
        <v>12</v>
      </c>
      <c r="N848" s="1">
        <v>110</v>
      </c>
    </row>
    <row r="849" spans="1:14" x14ac:dyDescent="0.25">
      <c r="A849" t="str">
        <f t="shared" si="28"/>
        <v>H180254H180254</v>
      </c>
      <c r="B849" t="str">
        <f t="shared" si="29"/>
        <v>H180254M5742IX-D</v>
      </c>
      <c r="C849" s="1" t="s">
        <v>487</v>
      </c>
      <c r="D849" s="1" t="s">
        <v>561</v>
      </c>
      <c r="E849" s="1" t="s">
        <v>2307</v>
      </c>
      <c r="F849" s="1" t="s">
        <v>2308</v>
      </c>
      <c r="G849" s="1" t="s">
        <v>404</v>
      </c>
      <c r="H849" s="1">
        <v>2310</v>
      </c>
      <c r="I849" s="3">
        <v>46262</v>
      </c>
      <c r="J849" s="3">
        <v>46289</v>
      </c>
      <c r="K849" s="3" t="s">
        <v>2374</v>
      </c>
      <c r="L849" s="22">
        <v>46262.618372025463</v>
      </c>
      <c r="M849" s="20">
        <v>12</v>
      </c>
      <c r="N849" s="1">
        <v>172</v>
      </c>
    </row>
    <row r="850" spans="1:14" x14ac:dyDescent="0.25">
      <c r="A850" t="str">
        <f t="shared" si="28"/>
        <v>H180254H180254</v>
      </c>
      <c r="B850" t="str">
        <f t="shared" si="29"/>
        <v>H180254M5742IX-D</v>
      </c>
      <c r="C850" s="1" t="s">
        <v>487</v>
      </c>
      <c r="D850" s="1" t="s">
        <v>561</v>
      </c>
      <c r="E850" s="1" t="s">
        <v>2307</v>
      </c>
      <c r="F850" s="1" t="s">
        <v>2308</v>
      </c>
      <c r="G850" s="1" t="s">
        <v>404</v>
      </c>
      <c r="H850" s="1">
        <v>2310</v>
      </c>
      <c r="I850" s="3">
        <v>46262</v>
      </c>
      <c r="J850" s="3">
        <v>46289</v>
      </c>
      <c r="K850" s="3" t="s">
        <v>2374</v>
      </c>
      <c r="L850" s="22">
        <v>46262.645035219903</v>
      </c>
      <c r="M850" s="20">
        <v>12</v>
      </c>
      <c r="N850" s="1">
        <v>154</v>
      </c>
    </row>
    <row r="851" spans="1:14" x14ac:dyDescent="0.25">
      <c r="A851" t="str">
        <f t="shared" si="28"/>
        <v>H180254H180254</v>
      </c>
      <c r="B851" t="str">
        <f t="shared" si="29"/>
        <v>H180254M5742IX-D</v>
      </c>
      <c r="C851" s="1" t="s">
        <v>487</v>
      </c>
      <c r="D851" s="1" t="s">
        <v>561</v>
      </c>
      <c r="E851" s="1" t="s">
        <v>2307</v>
      </c>
      <c r="F851" s="1" t="s">
        <v>2308</v>
      </c>
      <c r="G851" s="1" t="s">
        <v>404</v>
      </c>
      <c r="H851" s="1">
        <v>2310</v>
      </c>
      <c r="I851" s="3">
        <v>46262</v>
      </c>
      <c r="J851" s="3">
        <v>46289</v>
      </c>
      <c r="K851" s="3" t="s">
        <v>2374</v>
      </c>
      <c r="L851" s="22">
        <v>46262.645370682869</v>
      </c>
      <c r="M851" s="20">
        <v>12</v>
      </c>
      <c r="N851" s="1">
        <v>173</v>
      </c>
    </row>
    <row r="852" spans="1:14" x14ac:dyDescent="0.25">
      <c r="A852" t="str">
        <f t="shared" si="28"/>
        <v>H180254H180254</v>
      </c>
      <c r="B852" t="str">
        <f t="shared" si="29"/>
        <v>H180254M5742IX-D</v>
      </c>
      <c r="C852" s="1" t="s">
        <v>487</v>
      </c>
      <c r="D852" s="1" t="s">
        <v>561</v>
      </c>
      <c r="E852" s="1" t="s">
        <v>2307</v>
      </c>
      <c r="F852" s="1" t="s">
        <v>2308</v>
      </c>
      <c r="G852" s="1" t="s">
        <v>404</v>
      </c>
      <c r="H852" s="1">
        <v>2310</v>
      </c>
      <c r="I852" s="3">
        <v>46262</v>
      </c>
      <c r="J852" s="3">
        <v>46289</v>
      </c>
      <c r="K852" s="3" t="s">
        <v>2374</v>
      </c>
      <c r="L852" s="22">
        <v>46262.647690046295</v>
      </c>
      <c r="M852" s="20">
        <v>12</v>
      </c>
      <c r="N852" s="1">
        <v>49</v>
      </c>
    </row>
    <row r="853" spans="1:14" x14ac:dyDescent="0.25">
      <c r="A853" t="str">
        <f t="shared" si="28"/>
        <v>H180254H180254</v>
      </c>
      <c r="B853" t="str">
        <f t="shared" si="29"/>
        <v>H180254M5742IX-D</v>
      </c>
      <c r="C853" s="1" t="s">
        <v>487</v>
      </c>
      <c r="D853" s="1" t="s">
        <v>561</v>
      </c>
      <c r="E853" s="1" t="s">
        <v>2307</v>
      </c>
      <c r="F853" s="1" t="s">
        <v>2308</v>
      </c>
      <c r="G853" s="1" t="s">
        <v>404</v>
      </c>
      <c r="H853" s="1">
        <v>2310</v>
      </c>
      <c r="I853" s="3">
        <v>46262</v>
      </c>
      <c r="J853" s="3">
        <v>46289</v>
      </c>
      <c r="K853" s="3" t="s">
        <v>2374</v>
      </c>
      <c r="L853" s="22">
        <v>46262.648983680556</v>
      </c>
      <c r="M853" s="20">
        <v>12</v>
      </c>
      <c r="N853" s="1">
        <v>109</v>
      </c>
    </row>
    <row r="854" spans="1:14" x14ac:dyDescent="0.25">
      <c r="A854" t="str">
        <f t="shared" si="28"/>
        <v>H180254H180254</v>
      </c>
      <c r="B854" t="str">
        <f t="shared" si="29"/>
        <v>H180254M5742IX-D</v>
      </c>
      <c r="C854" s="1" t="s">
        <v>487</v>
      </c>
      <c r="D854" s="1" t="s">
        <v>561</v>
      </c>
      <c r="E854" s="1" t="s">
        <v>2307</v>
      </c>
      <c r="F854" s="1" t="s">
        <v>2308</v>
      </c>
      <c r="G854" s="1" t="s">
        <v>404</v>
      </c>
      <c r="H854" s="1">
        <v>2310</v>
      </c>
      <c r="I854" s="3">
        <v>46262</v>
      </c>
      <c r="J854" s="3">
        <v>46289</v>
      </c>
      <c r="K854" s="3" t="s">
        <v>2374</v>
      </c>
      <c r="L854" s="22">
        <v>46262.653022256942</v>
      </c>
      <c r="M854" s="20">
        <v>12</v>
      </c>
      <c r="N854" s="1">
        <v>153</v>
      </c>
    </row>
    <row r="855" spans="1:14" x14ac:dyDescent="0.25">
      <c r="A855" t="str">
        <f t="shared" si="28"/>
        <v>H180254H180254</v>
      </c>
      <c r="B855" t="str">
        <f t="shared" si="29"/>
        <v>H180254M5742IX-D</v>
      </c>
      <c r="C855" s="1" t="s">
        <v>487</v>
      </c>
      <c r="D855" s="1" t="s">
        <v>561</v>
      </c>
      <c r="E855" s="1" t="s">
        <v>2307</v>
      </c>
      <c r="F855" s="1" t="s">
        <v>2308</v>
      </c>
      <c r="G855" s="1" t="s">
        <v>404</v>
      </c>
      <c r="H855" s="1">
        <v>2310</v>
      </c>
      <c r="I855" s="3">
        <v>46262</v>
      </c>
      <c r="J855" s="3">
        <v>46289</v>
      </c>
      <c r="K855" s="3" t="s">
        <v>2374</v>
      </c>
      <c r="L855" s="22">
        <v>46262.653965775462</v>
      </c>
      <c r="M855" s="20">
        <v>12</v>
      </c>
      <c r="N855" s="1">
        <v>112</v>
      </c>
    </row>
    <row r="856" spans="1:14" x14ac:dyDescent="0.25">
      <c r="A856" t="str">
        <f t="shared" si="28"/>
        <v>H180254H180254</v>
      </c>
      <c r="B856" t="str">
        <f t="shared" si="29"/>
        <v>H180254M5742IX-D</v>
      </c>
      <c r="C856" s="1" t="s">
        <v>487</v>
      </c>
      <c r="D856" s="1" t="s">
        <v>561</v>
      </c>
      <c r="E856" s="1" t="s">
        <v>2307</v>
      </c>
      <c r="F856" s="1" t="s">
        <v>2308</v>
      </c>
      <c r="G856" s="1" t="s">
        <v>404</v>
      </c>
      <c r="H856" s="1">
        <v>2310</v>
      </c>
      <c r="I856" s="3">
        <v>46262</v>
      </c>
      <c r="J856" s="3">
        <v>46289</v>
      </c>
      <c r="K856" s="3" t="s">
        <v>2374</v>
      </c>
      <c r="L856" s="22">
        <v>46262.657807870368</v>
      </c>
      <c r="M856" s="20">
        <v>12</v>
      </c>
      <c r="N856" s="1">
        <v>50</v>
      </c>
    </row>
    <row r="857" spans="1:14" x14ac:dyDescent="0.25">
      <c r="A857" t="str">
        <f t="shared" si="28"/>
        <v>H180254H180254</v>
      </c>
      <c r="B857" t="str">
        <f t="shared" si="29"/>
        <v>H180254M5742IX-D</v>
      </c>
      <c r="C857" s="1" t="s">
        <v>487</v>
      </c>
      <c r="D857" s="1" t="s">
        <v>561</v>
      </c>
      <c r="E857" s="1" t="s">
        <v>2307</v>
      </c>
      <c r="F857" s="1" t="s">
        <v>2308</v>
      </c>
      <c r="G857" s="1" t="s">
        <v>404</v>
      </c>
      <c r="H857" s="1">
        <v>2310</v>
      </c>
      <c r="I857" s="3">
        <v>46262</v>
      </c>
      <c r="J857" s="3">
        <v>46289</v>
      </c>
      <c r="K857" s="3" t="s">
        <v>2374</v>
      </c>
      <c r="L857" s="22">
        <v>46262.665397604163</v>
      </c>
      <c r="M857" s="20">
        <v>12</v>
      </c>
      <c r="N857" s="1">
        <v>111</v>
      </c>
    </row>
    <row r="858" spans="1:14" x14ac:dyDescent="0.25">
      <c r="A858" t="str">
        <f t="shared" si="28"/>
        <v>H180254H180254</v>
      </c>
      <c r="B858" t="str">
        <f t="shared" si="29"/>
        <v>H180254M5742IX-D</v>
      </c>
      <c r="C858" s="1" t="s">
        <v>487</v>
      </c>
      <c r="D858" s="1" t="s">
        <v>561</v>
      </c>
      <c r="E858" s="1" t="s">
        <v>2307</v>
      </c>
      <c r="F858" s="1" t="s">
        <v>2308</v>
      </c>
      <c r="G858" s="1" t="s">
        <v>404</v>
      </c>
      <c r="H858" s="1">
        <v>2310</v>
      </c>
      <c r="I858" s="3">
        <v>46262</v>
      </c>
      <c r="J858" s="3">
        <v>46289</v>
      </c>
      <c r="K858" s="3" t="s">
        <v>2374</v>
      </c>
      <c r="L858" s="22">
        <v>46262.678069641202</v>
      </c>
      <c r="M858" s="20">
        <v>12</v>
      </c>
      <c r="N858" s="1">
        <v>51</v>
      </c>
    </row>
    <row r="859" spans="1:14" x14ac:dyDescent="0.25">
      <c r="A859" t="str">
        <f t="shared" si="28"/>
        <v>H180254H180254</v>
      </c>
      <c r="B859" t="str">
        <f t="shared" si="29"/>
        <v>H180254M5742IX-D</v>
      </c>
      <c r="C859" s="1" t="s">
        <v>487</v>
      </c>
      <c r="D859" s="1" t="s">
        <v>561</v>
      </c>
      <c r="E859" s="1" t="s">
        <v>2307</v>
      </c>
      <c r="F859" s="1" t="s">
        <v>2308</v>
      </c>
      <c r="G859" s="1" t="s">
        <v>404</v>
      </c>
      <c r="H859" s="1">
        <v>2310</v>
      </c>
      <c r="I859" s="3">
        <v>46262</v>
      </c>
      <c r="J859" s="3">
        <v>46289</v>
      </c>
      <c r="K859" s="3" t="s">
        <v>2374</v>
      </c>
      <c r="L859" s="22">
        <v>46262.684063194443</v>
      </c>
      <c r="M859" s="20">
        <v>12</v>
      </c>
      <c r="N859" s="1">
        <v>113</v>
      </c>
    </row>
    <row r="860" spans="1:14" x14ac:dyDescent="0.25">
      <c r="A860" t="str">
        <f t="shared" si="28"/>
        <v>H180254H180254</v>
      </c>
      <c r="B860" t="str">
        <f t="shared" si="29"/>
        <v>H180254M5742IX-D</v>
      </c>
      <c r="C860" s="1" t="s">
        <v>487</v>
      </c>
      <c r="D860" s="1" t="s">
        <v>561</v>
      </c>
      <c r="E860" s="1" t="s">
        <v>2307</v>
      </c>
      <c r="F860" s="1" t="s">
        <v>2308</v>
      </c>
      <c r="G860" s="1" t="s">
        <v>404</v>
      </c>
      <c r="H860" s="1">
        <v>2310</v>
      </c>
      <c r="I860" s="3">
        <v>46262</v>
      </c>
      <c r="J860" s="3">
        <v>46289</v>
      </c>
      <c r="K860" s="3" t="s">
        <v>2374</v>
      </c>
      <c r="L860" s="22">
        <v>46262.684386886569</v>
      </c>
      <c r="M860" s="20">
        <v>12</v>
      </c>
      <c r="N860" s="1">
        <v>155</v>
      </c>
    </row>
    <row r="861" spans="1:14" x14ac:dyDescent="0.25">
      <c r="A861" t="str">
        <f t="shared" si="28"/>
        <v>H180254H180254</v>
      </c>
      <c r="B861" t="str">
        <f t="shared" si="29"/>
        <v>H180254M5742IX-D</v>
      </c>
      <c r="C861" s="1" t="s">
        <v>487</v>
      </c>
      <c r="D861" s="1" t="s">
        <v>561</v>
      </c>
      <c r="E861" s="1" t="s">
        <v>2307</v>
      </c>
      <c r="F861" s="1" t="s">
        <v>2308</v>
      </c>
      <c r="G861" s="1" t="s">
        <v>404</v>
      </c>
      <c r="H861" s="1">
        <v>2310</v>
      </c>
      <c r="I861" s="3">
        <v>46262</v>
      </c>
      <c r="J861" s="3">
        <v>46289</v>
      </c>
      <c r="K861" s="3" t="s">
        <v>2374</v>
      </c>
      <c r="L861" s="22">
        <v>46262.701563391201</v>
      </c>
      <c r="M861" s="20">
        <v>12</v>
      </c>
      <c r="N861" s="1">
        <v>4</v>
      </c>
    </row>
    <row r="862" spans="1:14" x14ac:dyDescent="0.25">
      <c r="A862" t="str">
        <f t="shared" si="28"/>
        <v>H180254H180254</v>
      </c>
      <c r="B862" t="str">
        <f t="shared" si="29"/>
        <v>H180254M5742IX-D</v>
      </c>
      <c r="C862" s="1" t="s">
        <v>487</v>
      </c>
      <c r="D862" s="1" t="s">
        <v>561</v>
      </c>
      <c r="E862" s="1" t="s">
        <v>2307</v>
      </c>
      <c r="F862" s="1" t="s">
        <v>2308</v>
      </c>
      <c r="G862" s="1" t="s">
        <v>404</v>
      </c>
      <c r="H862" s="1">
        <v>2310</v>
      </c>
      <c r="I862" s="3">
        <v>46262</v>
      </c>
      <c r="J862" s="3">
        <v>46289</v>
      </c>
      <c r="K862" s="3" t="s">
        <v>2374</v>
      </c>
      <c r="L862" s="22">
        <v>46262.737144791667</v>
      </c>
      <c r="M862" s="20">
        <v>12</v>
      </c>
      <c r="N862" s="1">
        <v>114</v>
      </c>
    </row>
    <row r="863" spans="1:14" x14ac:dyDescent="0.25">
      <c r="A863" t="str">
        <f t="shared" si="28"/>
        <v>H180254H180254</v>
      </c>
      <c r="B863" t="str">
        <f t="shared" si="29"/>
        <v>H180254M5742IX-D</v>
      </c>
      <c r="C863" s="1" t="s">
        <v>487</v>
      </c>
      <c r="D863" s="1" t="s">
        <v>561</v>
      </c>
      <c r="E863" s="1" t="s">
        <v>2307</v>
      </c>
      <c r="F863" s="1" t="s">
        <v>2308</v>
      </c>
      <c r="G863" s="1" t="s">
        <v>404</v>
      </c>
      <c r="H863" s="1">
        <v>2310</v>
      </c>
      <c r="I863" s="3">
        <v>46262</v>
      </c>
      <c r="J863" s="3">
        <v>46289</v>
      </c>
      <c r="K863" s="3" t="s">
        <v>2374</v>
      </c>
      <c r="L863" s="22">
        <v>46262.739463344908</v>
      </c>
      <c r="M863" s="20">
        <v>12</v>
      </c>
      <c r="N863" s="1">
        <v>156</v>
      </c>
    </row>
    <row r="864" spans="1:14" x14ac:dyDescent="0.25">
      <c r="A864" t="str">
        <f t="shared" si="28"/>
        <v>H180254H180254</v>
      </c>
      <c r="B864" t="str">
        <f t="shared" si="29"/>
        <v>H180254M5742IX-D</v>
      </c>
      <c r="C864" s="1" t="s">
        <v>487</v>
      </c>
      <c r="D864" s="1" t="s">
        <v>561</v>
      </c>
      <c r="E864" s="1" t="s">
        <v>2307</v>
      </c>
      <c r="F864" s="1" t="s">
        <v>2308</v>
      </c>
      <c r="G864" s="1" t="s">
        <v>404</v>
      </c>
      <c r="H864" s="1">
        <v>2310</v>
      </c>
      <c r="I864" s="3">
        <v>46262</v>
      </c>
      <c r="J864" s="3">
        <v>46289</v>
      </c>
      <c r="K864" s="3" t="s">
        <v>2374</v>
      </c>
      <c r="L864" s="22">
        <v>46262.740090081017</v>
      </c>
      <c r="M864" s="20">
        <v>12</v>
      </c>
      <c r="N864" s="1">
        <v>33</v>
      </c>
    </row>
    <row r="865" spans="1:14" x14ac:dyDescent="0.25">
      <c r="A865" t="str">
        <f t="shared" si="28"/>
        <v>H180254H180254</v>
      </c>
      <c r="B865" t="str">
        <f t="shared" si="29"/>
        <v>H180254M5742IX-D</v>
      </c>
      <c r="C865" s="1" t="s">
        <v>487</v>
      </c>
      <c r="D865" s="1" t="s">
        <v>561</v>
      </c>
      <c r="E865" s="1" t="s">
        <v>2307</v>
      </c>
      <c r="F865" s="1" t="s">
        <v>2308</v>
      </c>
      <c r="G865" s="1" t="s">
        <v>404</v>
      </c>
      <c r="H865" s="1">
        <v>2310</v>
      </c>
      <c r="I865" s="3">
        <v>46262</v>
      </c>
      <c r="J865" s="3">
        <v>46289</v>
      </c>
      <c r="K865" s="3" t="s">
        <v>2374</v>
      </c>
      <c r="L865" s="22">
        <v>46262.74091886574</v>
      </c>
      <c r="M865" s="20">
        <v>12</v>
      </c>
      <c r="N865" s="1">
        <v>174</v>
      </c>
    </row>
    <row r="866" spans="1:14" x14ac:dyDescent="0.25">
      <c r="A866" t="str">
        <f t="shared" si="28"/>
        <v>U146378U146378</v>
      </c>
      <c r="B866" t="str">
        <f t="shared" si="29"/>
        <v>U146378P6036SS-M</v>
      </c>
      <c r="C866" s="1" t="s">
        <v>52</v>
      </c>
      <c r="D866" s="1" t="s">
        <v>565</v>
      </c>
      <c r="E866" s="1" t="s">
        <v>436</v>
      </c>
      <c r="F866" s="1" t="s">
        <v>458</v>
      </c>
      <c r="G866" s="1" t="s">
        <v>438</v>
      </c>
      <c r="H866" s="1">
        <v>1800</v>
      </c>
      <c r="I866" s="3">
        <v>46265</v>
      </c>
      <c r="J866" s="3">
        <v>46275</v>
      </c>
      <c r="K866" s="3" t="s">
        <v>2360</v>
      </c>
      <c r="L866" s="22">
        <v>46265.586362233793</v>
      </c>
      <c r="M866" s="20">
        <v>12</v>
      </c>
      <c r="N866" s="1">
        <v>42</v>
      </c>
    </row>
    <row r="867" spans="1:14" x14ac:dyDescent="0.25">
      <c r="A867" t="str">
        <f t="shared" si="28"/>
        <v>U146378U146378</v>
      </c>
      <c r="B867" t="str">
        <f t="shared" si="29"/>
        <v>U146378P6036SS-M</v>
      </c>
      <c r="C867" s="1" t="s">
        <v>52</v>
      </c>
      <c r="D867" s="1" t="s">
        <v>565</v>
      </c>
      <c r="E867" s="1" t="s">
        <v>436</v>
      </c>
      <c r="F867" s="1" t="s">
        <v>458</v>
      </c>
      <c r="G867" s="1" t="s">
        <v>438</v>
      </c>
      <c r="H867" s="1">
        <v>1800</v>
      </c>
      <c r="I867" s="3">
        <v>46265</v>
      </c>
      <c r="J867" s="3">
        <v>46275</v>
      </c>
      <c r="K867" s="3" t="s">
        <v>2360</v>
      </c>
      <c r="L867" s="22">
        <v>46265.586517592594</v>
      </c>
      <c r="M867" s="20">
        <v>12</v>
      </c>
      <c r="N867" s="1">
        <v>57</v>
      </c>
    </row>
    <row r="868" spans="1:14" x14ac:dyDescent="0.25">
      <c r="A868" t="str">
        <f t="shared" si="28"/>
        <v>U146378U146378</v>
      </c>
      <c r="B868" t="str">
        <f t="shared" si="29"/>
        <v>U146378P6036SS-M</v>
      </c>
      <c r="C868" s="1" t="s">
        <v>52</v>
      </c>
      <c r="D868" s="1" t="s">
        <v>565</v>
      </c>
      <c r="E868" s="1" t="s">
        <v>436</v>
      </c>
      <c r="F868" s="1" t="s">
        <v>458</v>
      </c>
      <c r="G868" s="1" t="s">
        <v>438</v>
      </c>
      <c r="H868" s="1">
        <v>1800</v>
      </c>
      <c r="I868" s="3">
        <v>46265</v>
      </c>
      <c r="J868" s="3">
        <v>46275</v>
      </c>
      <c r="K868" s="3" t="s">
        <v>2360</v>
      </c>
      <c r="L868" s="22">
        <v>46265.586698842591</v>
      </c>
      <c r="M868" s="20">
        <v>12</v>
      </c>
      <c r="N868" s="1">
        <v>19</v>
      </c>
    </row>
    <row r="869" spans="1:14" x14ac:dyDescent="0.25">
      <c r="A869" t="str">
        <f t="shared" si="28"/>
        <v>U146378U146378</v>
      </c>
      <c r="B869" t="str">
        <f t="shared" si="29"/>
        <v>U146378P6036SS-M</v>
      </c>
      <c r="C869" s="1" t="s">
        <v>52</v>
      </c>
      <c r="D869" s="1" t="s">
        <v>565</v>
      </c>
      <c r="E869" s="1" t="s">
        <v>436</v>
      </c>
      <c r="F869" s="1" t="s">
        <v>458</v>
      </c>
      <c r="G869" s="1" t="s">
        <v>438</v>
      </c>
      <c r="H869" s="1">
        <v>1800</v>
      </c>
      <c r="I869" s="3">
        <v>46265</v>
      </c>
      <c r="J869" s="3">
        <v>46275</v>
      </c>
      <c r="K869" s="3" t="s">
        <v>2360</v>
      </c>
      <c r="L869" s="22">
        <v>46265.586857210648</v>
      </c>
      <c r="M869" s="20">
        <v>12</v>
      </c>
      <c r="N869" s="1">
        <v>43</v>
      </c>
    </row>
    <row r="870" spans="1:14" x14ac:dyDescent="0.25">
      <c r="A870" t="str">
        <f t="shared" si="28"/>
        <v>U146378U146378</v>
      </c>
      <c r="B870" t="str">
        <f t="shared" si="29"/>
        <v>U146378P6036SS-M</v>
      </c>
      <c r="C870" s="1" t="s">
        <v>52</v>
      </c>
      <c r="D870" s="1" t="s">
        <v>565</v>
      </c>
      <c r="E870" s="1" t="s">
        <v>436</v>
      </c>
      <c r="F870" s="1" t="s">
        <v>458</v>
      </c>
      <c r="G870" s="1" t="s">
        <v>438</v>
      </c>
      <c r="H870" s="1">
        <v>1800</v>
      </c>
      <c r="I870" s="3">
        <v>46265</v>
      </c>
      <c r="J870" s="3">
        <v>46275</v>
      </c>
      <c r="K870" s="3" t="s">
        <v>2360</v>
      </c>
      <c r="L870" s="22">
        <v>46265.58771018518</v>
      </c>
      <c r="M870" s="20">
        <v>12</v>
      </c>
      <c r="N870" s="1">
        <v>20</v>
      </c>
    </row>
    <row r="871" spans="1:14" x14ac:dyDescent="0.25">
      <c r="A871" t="str">
        <f t="shared" si="28"/>
        <v>U146378U146378</v>
      </c>
      <c r="B871" t="str">
        <f t="shared" si="29"/>
        <v>U146378P6036SS-M</v>
      </c>
      <c r="C871" s="1" t="s">
        <v>52</v>
      </c>
      <c r="D871" s="1" t="s">
        <v>565</v>
      </c>
      <c r="E871" s="1" t="s">
        <v>436</v>
      </c>
      <c r="F871" s="1" t="s">
        <v>458</v>
      </c>
      <c r="G871" s="1" t="s">
        <v>438</v>
      </c>
      <c r="H871" s="1">
        <v>1800</v>
      </c>
      <c r="I871" s="3">
        <v>46265</v>
      </c>
      <c r="J871" s="3">
        <v>46275</v>
      </c>
      <c r="K871" s="3" t="s">
        <v>2360</v>
      </c>
      <c r="L871" s="22">
        <v>46265.590969641198</v>
      </c>
      <c r="M871" s="20">
        <v>12</v>
      </c>
      <c r="N871" s="1">
        <v>10</v>
      </c>
    </row>
    <row r="872" spans="1:14" x14ac:dyDescent="0.25">
      <c r="A872" t="str">
        <f t="shared" si="28"/>
        <v>U146378U146378</v>
      </c>
      <c r="B872" t="str">
        <f t="shared" si="29"/>
        <v>U146378P6036SS-M</v>
      </c>
      <c r="C872" s="1" t="s">
        <v>52</v>
      </c>
      <c r="D872" s="1" t="s">
        <v>565</v>
      </c>
      <c r="E872" s="1" t="s">
        <v>436</v>
      </c>
      <c r="F872" s="1" t="s">
        <v>458</v>
      </c>
      <c r="G872" s="1" t="s">
        <v>438</v>
      </c>
      <c r="H872" s="1">
        <v>1800</v>
      </c>
      <c r="I872" s="3">
        <v>46265</v>
      </c>
      <c r="J872" s="3">
        <v>46275</v>
      </c>
      <c r="K872" s="3" t="s">
        <v>2360</v>
      </c>
      <c r="L872" s="22">
        <v>46265.592159571759</v>
      </c>
      <c r="M872" s="20">
        <v>12</v>
      </c>
      <c r="N872" s="1">
        <v>50</v>
      </c>
    </row>
    <row r="873" spans="1:14" x14ac:dyDescent="0.25">
      <c r="A873" t="str">
        <f t="shared" si="28"/>
        <v>U146378U146378</v>
      </c>
      <c r="B873" t="str">
        <f t="shared" si="29"/>
        <v>U146378P6036SS-M</v>
      </c>
      <c r="C873" s="1" t="s">
        <v>52</v>
      </c>
      <c r="D873" s="1" t="s">
        <v>565</v>
      </c>
      <c r="E873" s="1" t="s">
        <v>436</v>
      </c>
      <c r="F873" s="1" t="s">
        <v>458</v>
      </c>
      <c r="G873" s="1" t="s">
        <v>438</v>
      </c>
      <c r="H873" s="1">
        <v>1800</v>
      </c>
      <c r="I873" s="3">
        <v>46265</v>
      </c>
      <c r="J873" s="3">
        <v>46275</v>
      </c>
      <c r="K873" s="3" t="s">
        <v>2360</v>
      </c>
      <c r="L873" s="22">
        <v>46265.605481747683</v>
      </c>
      <c r="M873" s="20">
        <v>12</v>
      </c>
      <c r="N873" s="1">
        <v>21</v>
      </c>
    </row>
    <row r="874" spans="1:14" x14ac:dyDescent="0.25">
      <c r="A874" t="str">
        <f t="shared" si="28"/>
        <v>U146378U146378</v>
      </c>
      <c r="B874" t="str">
        <f t="shared" si="29"/>
        <v>U146378P6036SS-M</v>
      </c>
      <c r="C874" s="1" t="s">
        <v>52</v>
      </c>
      <c r="D874" s="1" t="s">
        <v>565</v>
      </c>
      <c r="E874" s="1" t="s">
        <v>436</v>
      </c>
      <c r="F874" s="1" t="s">
        <v>458</v>
      </c>
      <c r="G874" s="1" t="s">
        <v>438</v>
      </c>
      <c r="H874" s="1">
        <v>1800</v>
      </c>
      <c r="I874" s="3">
        <v>46265</v>
      </c>
      <c r="J874" s="3">
        <v>46275</v>
      </c>
      <c r="K874" s="3" t="s">
        <v>2360</v>
      </c>
      <c r="L874" s="22">
        <v>46265.609174537036</v>
      </c>
      <c r="M874" s="20">
        <v>12</v>
      </c>
      <c r="N874" s="1">
        <v>9</v>
      </c>
    </row>
    <row r="875" spans="1:14" x14ac:dyDescent="0.25">
      <c r="A875" t="str">
        <f t="shared" si="28"/>
        <v>U146378U146378</v>
      </c>
      <c r="B875" t="str">
        <f t="shared" si="29"/>
        <v>U146378P6036SS-M</v>
      </c>
      <c r="C875" s="1" t="s">
        <v>52</v>
      </c>
      <c r="D875" s="1" t="s">
        <v>565</v>
      </c>
      <c r="E875" s="1" t="s">
        <v>436</v>
      </c>
      <c r="F875" s="1" t="s">
        <v>458</v>
      </c>
      <c r="G875" s="1" t="s">
        <v>438</v>
      </c>
      <c r="H875" s="1">
        <v>1800</v>
      </c>
      <c r="I875" s="3">
        <v>46265</v>
      </c>
      <c r="J875" s="3">
        <v>46275</v>
      </c>
      <c r="K875" s="3" t="s">
        <v>2360</v>
      </c>
      <c r="L875" s="22">
        <v>46265.609336921298</v>
      </c>
      <c r="M875" s="20">
        <v>12</v>
      </c>
      <c r="N875" s="1">
        <v>33</v>
      </c>
    </row>
    <row r="876" spans="1:14" x14ac:dyDescent="0.25">
      <c r="A876" t="str">
        <f t="shared" si="28"/>
        <v>U146378U146378</v>
      </c>
      <c r="B876" t="str">
        <f t="shared" si="29"/>
        <v>U146378P6036SS-M</v>
      </c>
      <c r="C876" s="1" t="s">
        <v>52</v>
      </c>
      <c r="D876" s="1" t="s">
        <v>565</v>
      </c>
      <c r="E876" s="1" t="s">
        <v>436</v>
      </c>
      <c r="F876" s="1" t="s">
        <v>458</v>
      </c>
      <c r="G876" s="1" t="s">
        <v>438</v>
      </c>
      <c r="H876" s="1">
        <v>1800</v>
      </c>
      <c r="I876" s="3">
        <v>46265</v>
      </c>
      <c r="J876" s="3">
        <v>46275</v>
      </c>
      <c r="K876" s="3" t="s">
        <v>2360</v>
      </c>
      <c r="L876" s="22">
        <v>46265.609550578702</v>
      </c>
      <c r="M876" s="20">
        <v>12</v>
      </c>
      <c r="N876" s="1">
        <v>54</v>
      </c>
    </row>
    <row r="877" spans="1:14" x14ac:dyDescent="0.25">
      <c r="A877" t="str">
        <f t="shared" si="28"/>
        <v>U146378U146378</v>
      </c>
      <c r="B877" t="str">
        <f t="shared" si="29"/>
        <v>U146378P6036SS-M</v>
      </c>
      <c r="C877" s="1" t="s">
        <v>52</v>
      </c>
      <c r="D877" s="1" t="s">
        <v>565</v>
      </c>
      <c r="E877" s="1" t="s">
        <v>436</v>
      </c>
      <c r="F877" s="1" t="s">
        <v>458</v>
      </c>
      <c r="G877" s="1" t="s">
        <v>438</v>
      </c>
      <c r="H877" s="1">
        <v>1800</v>
      </c>
      <c r="I877" s="3">
        <v>46265</v>
      </c>
      <c r="J877" s="3">
        <v>46275</v>
      </c>
      <c r="K877" s="3" t="s">
        <v>2360</v>
      </c>
      <c r="L877" s="22">
        <v>46265.624303900462</v>
      </c>
      <c r="M877" s="20">
        <v>12</v>
      </c>
      <c r="N877" s="1">
        <v>11</v>
      </c>
    </row>
    <row r="878" spans="1:14" x14ac:dyDescent="0.25">
      <c r="A878" t="str">
        <f t="shared" si="28"/>
        <v>U146378U146378</v>
      </c>
      <c r="B878" t="str">
        <f t="shared" si="29"/>
        <v>U146378P6036SS-M</v>
      </c>
      <c r="C878" s="1" t="s">
        <v>52</v>
      </c>
      <c r="D878" s="1" t="s">
        <v>565</v>
      </c>
      <c r="E878" s="1" t="s">
        <v>436</v>
      </c>
      <c r="F878" s="1" t="s">
        <v>458</v>
      </c>
      <c r="G878" s="1" t="s">
        <v>438</v>
      </c>
      <c r="H878" s="1">
        <v>1800</v>
      </c>
      <c r="I878" s="3">
        <v>46265</v>
      </c>
      <c r="J878" s="3">
        <v>46275</v>
      </c>
      <c r="K878" s="3" t="s">
        <v>2360</v>
      </c>
      <c r="L878" s="22">
        <v>46265.624479016202</v>
      </c>
      <c r="M878" s="20">
        <v>12</v>
      </c>
      <c r="N878" s="1">
        <v>58</v>
      </c>
    </row>
    <row r="879" spans="1:14" x14ac:dyDescent="0.25">
      <c r="A879" t="str">
        <f t="shared" si="28"/>
        <v>U146378U146378</v>
      </c>
      <c r="B879" t="str">
        <f t="shared" si="29"/>
        <v>U146378P6036SS-M</v>
      </c>
      <c r="C879" s="1" t="s">
        <v>52</v>
      </c>
      <c r="D879" s="1" t="s">
        <v>565</v>
      </c>
      <c r="E879" s="1" t="s">
        <v>436</v>
      </c>
      <c r="F879" s="1" t="s">
        <v>458</v>
      </c>
      <c r="G879" s="1" t="s">
        <v>438</v>
      </c>
      <c r="H879" s="1">
        <v>1800</v>
      </c>
      <c r="I879" s="3">
        <v>46265</v>
      </c>
      <c r="J879" s="3">
        <v>46275</v>
      </c>
      <c r="K879" s="3" t="s">
        <v>2360</v>
      </c>
      <c r="L879" s="22">
        <v>46265.624602546297</v>
      </c>
      <c r="M879" s="20">
        <v>12</v>
      </c>
      <c r="N879" s="1">
        <v>27</v>
      </c>
    </row>
    <row r="880" spans="1:14" x14ac:dyDescent="0.25">
      <c r="A880" t="str">
        <f t="shared" si="28"/>
        <v>U146378U146378</v>
      </c>
      <c r="B880" t="str">
        <f t="shared" si="29"/>
        <v>U146378P6036SS-M</v>
      </c>
      <c r="C880" s="1" t="s">
        <v>52</v>
      </c>
      <c r="D880" s="1" t="s">
        <v>565</v>
      </c>
      <c r="E880" s="1" t="s">
        <v>436</v>
      </c>
      <c r="F880" s="1" t="s">
        <v>458</v>
      </c>
      <c r="G880" s="1" t="s">
        <v>438</v>
      </c>
      <c r="H880" s="1">
        <v>1800</v>
      </c>
      <c r="I880" s="3">
        <v>46265</v>
      </c>
      <c r="J880" s="3">
        <v>46275</v>
      </c>
      <c r="K880" s="3" t="s">
        <v>2360</v>
      </c>
      <c r="L880" s="22">
        <v>46265.624789270834</v>
      </c>
      <c r="M880" s="20">
        <v>12</v>
      </c>
      <c r="N880" s="1">
        <v>18</v>
      </c>
    </row>
    <row r="881" spans="1:14" x14ac:dyDescent="0.25">
      <c r="A881" t="str">
        <f t="shared" si="28"/>
        <v>U146378U146378</v>
      </c>
      <c r="B881" t="str">
        <f t="shared" si="29"/>
        <v>U146378P6036SS-M</v>
      </c>
      <c r="C881" s="1" t="s">
        <v>52</v>
      </c>
      <c r="D881" s="1" t="s">
        <v>565</v>
      </c>
      <c r="E881" s="1" t="s">
        <v>436</v>
      </c>
      <c r="F881" s="1" t="s">
        <v>458</v>
      </c>
      <c r="G881" s="1" t="s">
        <v>438</v>
      </c>
      <c r="H881" s="1">
        <v>1800</v>
      </c>
      <c r="I881" s="3">
        <v>46265</v>
      </c>
      <c r="J881" s="3">
        <v>46275</v>
      </c>
      <c r="K881" s="3" t="s">
        <v>2360</v>
      </c>
      <c r="L881" s="22">
        <v>46265.624948761571</v>
      </c>
      <c r="M881" s="20">
        <v>12</v>
      </c>
      <c r="N881" s="1">
        <v>51</v>
      </c>
    </row>
    <row r="882" spans="1:14" x14ac:dyDescent="0.25">
      <c r="A882" t="str">
        <f t="shared" si="28"/>
        <v>U146378U146378</v>
      </c>
      <c r="B882" t="str">
        <f t="shared" si="29"/>
        <v>U146378P6036SS-M</v>
      </c>
      <c r="C882" s="1" t="s">
        <v>52</v>
      </c>
      <c r="D882" s="1" t="s">
        <v>565</v>
      </c>
      <c r="E882" s="1" t="s">
        <v>436</v>
      </c>
      <c r="F882" s="1" t="s">
        <v>458</v>
      </c>
      <c r="G882" s="1" t="s">
        <v>438</v>
      </c>
      <c r="H882" s="1">
        <v>1800</v>
      </c>
      <c r="I882" s="3">
        <v>46265</v>
      </c>
      <c r="J882" s="3">
        <v>46275</v>
      </c>
      <c r="K882" s="3" t="s">
        <v>2360</v>
      </c>
      <c r="L882" s="22">
        <v>46265.626208877315</v>
      </c>
      <c r="M882" s="20">
        <v>12</v>
      </c>
      <c r="N882" s="1">
        <v>35</v>
      </c>
    </row>
    <row r="883" spans="1:14" x14ac:dyDescent="0.25">
      <c r="A883" t="str">
        <f t="shared" si="28"/>
        <v>U146378U146378</v>
      </c>
      <c r="B883" t="str">
        <f t="shared" si="29"/>
        <v>U146378P6036SS-M</v>
      </c>
      <c r="C883" s="1" t="s">
        <v>52</v>
      </c>
      <c r="D883" s="1" t="s">
        <v>565</v>
      </c>
      <c r="E883" s="1" t="s">
        <v>436</v>
      </c>
      <c r="F883" s="1" t="s">
        <v>458</v>
      </c>
      <c r="G883" s="1" t="s">
        <v>438</v>
      </c>
      <c r="H883" s="1">
        <v>1800</v>
      </c>
      <c r="I883" s="3">
        <v>46265</v>
      </c>
      <c r="J883" s="3">
        <v>46275</v>
      </c>
      <c r="K883" s="3" t="s">
        <v>2360</v>
      </c>
      <c r="L883" s="22">
        <v>46265.631785798607</v>
      </c>
      <c r="M883" s="20">
        <v>12</v>
      </c>
      <c r="N883" s="1">
        <v>12</v>
      </c>
    </row>
    <row r="884" spans="1:14" x14ac:dyDescent="0.25">
      <c r="A884" t="str">
        <f t="shared" si="28"/>
        <v>U146378U146378</v>
      </c>
      <c r="B884" t="str">
        <f t="shared" si="29"/>
        <v>U146378P6036SS-M</v>
      </c>
      <c r="C884" s="1" t="s">
        <v>52</v>
      </c>
      <c r="D884" s="1" t="s">
        <v>565</v>
      </c>
      <c r="E884" s="1" t="s">
        <v>436</v>
      </c>
      <c r="F884" s="1" t="s">
        <v>458</v>
      </c>
      <c r="G884" s="1" t="s">
        <v>438</v>
      </c>
      <c r="H884" s="1">
        <v>1800</v>
      </c>
      <c r="I884" s="3">
        <v>46265</v>
      </c>
      <c r="J884" s="3">
        <v>46275</v>
      </c>
      <c r="K884" s="3" t="s">
        <v>2360</v>
      </c>
      <c r="L884" s="22">
        <v>46265.644801273149</v>
      </c>
      <c r="M884" s="20">
        <v>12</v>
      </c>
      <c r="N884" s="1">
        <v>60</v>
      </c>
    </row>
    <row r="885" spans="1:14" x14ac:dyDescent="0.25">
      <c r="A885" t="str">
        <f t="shared" si="28"/>
        <v>U146378U146378</v>
      </c>
      <c r="B885" t="str">
        <f t="shared" si="29"/>
        <v>U146378P6036SS-M</v>
      </c>
      <c r="C885" s="1" t="s">
        <v>52</v>
      </c>
      <c r="D885" s="1" t="s">
        <v>565</v>
      </c>
      <c r="E885" s="1" t="s">
        <v>436</v>
      </c>
      <c r="F885" s="1" t="s">
        <v>458</v>
      </c>
      <c r="G885" s="1" t="s">
        <v>438</v>
      </c>
      <c r="H885" s="1">
        <v>1800</v>
      </c>
      <c r="I885" s="3">
        <v>46265</v>
      </c>
      <c r="J885" s="3">
        <v>46275</v>
      </c>
      <c r="K885" s="3" t="s">
        <v>2360</v>
      </c>
      <c r="L885" s="22">
        <v>46265.668712233797</v>
      </c>
      <c r="M885" s="20">
        <v>12</v>
      </c>
      <c r="N885" s="1">
        <v>52</v>
      </c>
    </row>
    <row r="886" spans="1:14" x14ac:dyDescent="0.25">
      <c r="A886" t="str">
        <f t="shared" si="28"/>
        <v>U146378U146378</v>
      </c>
      <c r="B886" t="str">
        <f t="shared" si="29"/>
        <v>U146378P6036SS-M</v>
      </c>
      <c r="C886" s="1" t="s">
        <v>52</v>
      </c>
      <c r="D886" s="1" t="s">
        <v>565</v>
      </c>
      <c r="E886" s="1" t="s">
        <v>436</v>
      </c>
      <c r="F886" s="1" t="s">
        <v>458</v>
      </c>
      <c r="G886" s="1" t="s">
        <v>438</v>
      </c>
      <c r="H886" s="1">
        <v>1800</v>
      </c>
      <c r="I886" s="3">
        <v>46265</v>
      </c>
      <c r="J886" s="3">
        <v>46275</v>
      </c>
      <c r="K886" s="3" t="s">
        <v>2360</v>
      </c>
      <c r="L886" s="22">
        <v>46265.668997071756</v>
      </c>
      <c r="M886" s="20">
        <v>12</v>
      </c>
      <c r="N886" s="1">
        <v>44</v>
      </c>
    </row>
    <row r="887" spans="1:14" x14ac:dyDescent="0.25">
      <c r="A887" t="str">
        <f t="shared" si="28"/>
        <v>U146378U146378</v>
      </c>
      <c r="B887" t="str">
        <f t="shared" si="29"/>
        <v>U146378P6036SS-M</v>
      </c>
      <c r="C887" s="1" t="s">
        <v>52</v>
      </c>
      <c r="D887" s="1" t="s">
        <v>565</v>
      </c>
      <c r="E887" s="1" t="s">
        <v>436</v>
      </c>
      <c r="F887" s="1" t="s">
        <v>458</v>
      </c>
      <c r="G887" s="1" t="s">
        <v>438</v>
      </c>
      <c r="H887" s="1">
        <v>1800</v>
      </c>
      <c r="I887" s="3">
        <v>46265</v>
      </c>
      <c r="J887" s="3">
        <v>46275</v>
      </c>
      <c r="K887" s="3" t="s">
        <v>2360</v>
      </c>
      <c r="L887" s="22">
        <v>46265.669228506944</v>
      </c>
      <c r="M887" s="20">
        <v>12</v>
      </c>
      <c r="N887" s="1">
        <v>36</v>
      </c>
    </row>
    <row r="888" spans="1:14" x14ac:dyDescent="0.25">
      <c r="A888" t="str">
        <f t="shared" si="28"/>
        <v>U146378U146378</v>
      </c>
      <c r="B888" t="str">
        <f t="shared" si="29"/>
        <v>U146378P6036SS-M</v>
      </c>
      <c r="C888" s="1" t="s">
        <v>52</v>
      </c>
      <c r="D888" s="1" t="s">
        <v>565</v>
      </c>
      <c r="E888" s="1" t="s">
        <v>436</v>
      </c>
      <c r="F888" s="1" t="s">
        <v>458</v>
      </c>
      <c r="G888" s="1" t="s">
        <v>438</v>
      </c>
      <c r="H888" s="1">
        <v>1800</v>
      </c>
      <c r="I888" s="3">
        <v>46265</v>
      </c>
      <c r="J888" s="3">
        <v>46275</v>
      </c>
      <c r="K888" s="3" t="s">
        <v>2360</v>
      </c>
      <c r="L888" s="22">
        <v>46265.669475543982</v>
      </c>
      <c r="M888" s="20">
        <v>12</v>
      </c>
      <c r="N888" s="1">
        <v>34</v>
      </c>
    </row>
    <row r="889" spans="1:14" x14ac:dyDescent="0.25">
      <c r="A889" t="str">
        <f t="shared" si="28"/>
        <v>U146378U146378</v>
      </c>
      <c r="B889" t="str">
        <f t="shared" si="29"/>
        <v>U146378P6036SS-M</v>
      </c>
      <c r="C889" s="1" t="s">
        <v>52</v>
      </c>
      <c r="D889" s="1" t="s">
        <v>565</v>
      </c>
      <c r="E889" s="1" t="s">
        <v>436</v>
      </c>
      <c r="F889" s="1" t="s">
        <v>458</v>
      </c>
      <c r="G889" s="1" t="s">
        <v>438</v>
      </c>
      <c r="H889" s="1">
        <v>1800</v>
      </c>
      <c r="I889" s="3">
        <v>46265</v>
      </c>
      <c r="J889" s="3">
        <v>46275</v>
      </c>
      <c r="K889" s="3" t="s">
        <v>2360</v>
      </c>
      <c r="L889" s="22">
        <v>46265.670058912037</v>
      </c>
      <c r="M889" s="20">
        <v>12</v>
      </c>
      <c r="N889" s="1">
        <v>59</v>
      </c>
    </row>
    <row r="890" spans="1:14" x14ac:dyDescent="0.25">
      <c r="A890" t="str">
        <f t="shared" si="28"/>
        <v>U146378U146378</v>
      </c>
      <c r="B890" t="str">
        <f t="shared" si="29"/>
        <v>U146378P6036SS-M</v>
      </c>
      <c r="C890" s="1" t="s">
        <v>52</v>
      </c>
      <c r="D890" s="1" t="s">
        <v>565</v>
      </c>
      <c r="E890" s="1" t="s">
        <v>436</v>
      </c>
      <c r="F890" s="1" t="s">
        <v>458</v>
      </c>
      <c r="G890" s="1" t="s">
        <v>438</v>
      </c>
      <c r="H890" s="1">
        <v>1800</v>
      </c>
      <c r="I890" s="3">
        <v>46265</v>
      </c>
      <c r="J890" s="3">
        <v>46275</v>
      </c>
      <c r="K890" s="3" t="s">
        <v>2360</v>
      </c>
      <c r="L890" s="22">
        <v>46265.670345486113</v>
      </c>
      <c r="M890" s="20">
        <v>12</v>
      </c>
      <c r="N890" s="1">
        <v>26</v>
      </c>
    </row>
    <row r="891" spans="1:14" x14ac:dyDescent="0.25">
      <c r="A891" t="str">
        <f t="shared" si="28"/>
        <v>U146378U146378</v>
      </c>
      <c r="B891" t="str">
        <f t="shared" si="29"/>
        <v>U146378P6036SS-M</v>
      </c>
      <c r="C891" s="1" t="s">
        <v>52</v>
      </c>
      <c r="D891" s="1" t="s">
        <v>565</v>
      </c>
      <c r="E891" s="1" t="s">
        <v>436</v>
      </c>
      <c r="F891" s="1" t="s">
        <v>458</v>
      </c>
      <c r="G891" s="1" t="s">
        <v>438</v>
      </c>
      <c r="H891" s="1">
        <v>1800</v>
      </c>
      <c r="I891" s="3">
        <v>46265</v>
      </c>
      <c r="J891" s="3">
        <v>46275</v>
      </c>
      <c r="K891" s="3" t="s">
        <v>2360</v>
      </c>
      <c r="L891" s="22">
        <v>46265.670621331017</v>
      </c>
      <c r="M891" s="20">
        <v>12</v>
      </c>
      <c r="N891" s="1">
        <v>49</v>
      </c>
    </row>
    <row r="892" spans="1:14" x14ac:dyDescent="0.25">
      <c r="A892" t="str">
        <f t="shared" si="28"/>
        <v>U146378U146378</v>
      </c>
      <c r="B892" t="str">
        <f t="shared" si="29"/>
        <v>U146378P6036SS-M</v>
      </c>
      <c r="C892" s="1" t="s">
        <v>52</v>
      </c>
      <c r="D892" s="1" t="s">
        <v>565</v>
      </c>
      <c r="E892" s="1" t="s">
        <v>436</v>
      </c>
      <c r="F892" s="1" t="s">
        <v>458</v>
      </c>
      <c r="G892" s="1" t="s">
        <v>438</v>
      </c>
      <c r="H892" s="1">
        <v>1800</v>
      </c>
      <c r="I892" s="3">
        <v>46265</v>
      </c>
      <c r="J892" s="3">
        <v>46275</v>
      </c>
      <c r="K892" s="3" t="s">
        <v>2360</v>
      </c>
      <c r="L892" s="22">
        <v>46265.670848182868</v>
      </c>
      <c r="M892" s="20">
        <v>12</v>
      </c>
      <c r="N892" s="1">
        <v>41</v>
      </c>
    </row>
    <row r="893" spans="1:14" x14ac:dyDescent="0.25">
      <c r="A893" t="str">
        <f t="shared" si="28"/>
        <v>U146378U146378</v>
      </c>
      <c r="B893" t="str">
        <f t="shared" si="29"/>
        <v>U146378P6036SS-M</v>
      </c>
      <c r="C893" s="1" t="s">
        <v>52</v>
      </c>
      <c r="D893" s="1" t="s">
        <v>565</v>
      </c>
      <c r="E893" s="1" t="s">
        <v>436</v>
      </c>
      <c r="F893" s="1" t="s">
        <v>458</v>
      </c>
      <c r="G893" s="1" t="s">
        <v>438</v>
      </c>
      <c r="H893" s="1">
        <v>1800</v>
      </c>
      <c r="I893" s="3">
        <v>46265</v>
      </c>
      <c r="J893" s="3">
        <v>46275</v>
      </c>
      <c r="K893" s="3" t="s">
        <v>2360</v>
      </c>
      <c r="L893" s="22">
        <v>46265.671338888889</v>
      </c>
      <c r="M893" s="20">
        <v>12</v>
      </c>
      <c r="N893" s="1">
        <v>13</v>
      </c>
    </row>
    <row r="894" spans="1:14" x14ac:dyDescent="0.25">
      <c r="A894" t="str">
        <f t="shared" si="28"/>
        <v>U148000U148000</v>
      </c>
      <c r="B894" t="str">
        <f t="shared" si="29"/>
        <v>U148000W6034FP-B</v>
      </c>
      <c r="C894" s="1" t="s">
        <v>566</v>
      </c>
      <c r="D894" s="1" t="s">
        <v>567</v>
      </c>
      <c r="E894" s="1" t="s">
        <v>436</v>
      </c>
      <c r="F894" s="1" t="s">
        <v>452</v>
      </c>
      <c r="G894" s="1" t="s">
        <v>438</v>
      </c>
      <c r="H894" s="1">
        <v>600</v>
      </c>
      <c r="I894" s="3">
        <v>46265</v>
      </c>
      <c r="J894" s="3">
        <v>46275</v>
      </c>
      <c r="K894" s="3" t="s">
        <v>2360</v>
      </c>
      <c r="L894" s="22">
        <v>46265.689131134255</v>
      </c>
      <c r="M894" s="20">
        <v>12</v>
      </c>
      <c r="N894" s="1">
        <v>18</v>
      </c>
    </row>
    <row r="895" spans="1:14" x14ac:dyDescent="0.25">
      <c r="A895" t="str">
        <f t="shared" si="28"/>
        <v>U148000U148000</v>
      </c>
      <c r="B895" t="str">
        <f t="shared" si="29"/>
        <v>U148000W6034FP-B</v>
      </c>
      <c r="C895" s="1" t="s">
        <v>566</v>
      </c>
      <c r="D895" s="1" t="s">
        <v>567</v>
      </c>
      <c r="E895" s="1" t="s">
        <v>436</v>
      </c>
      <c r="F895" s="1" t="s">
        <v>452</v>
      </c>
      <c r="G895" s="1" t="s">
        <v>438</v>
      </c>
      <c r="H895" s="1">
        <v>600</v>
      </c>
      <c r="I895" s="3">
        <v>46265</v>
      </c>
      <c r="J895" s="3">
        <v>46275</v>
      </c>
      <c r="K895" s="3" t="s">
        <v>2360</v>
      </c>
      <c r="L895" s="22">
        <v>46265.689692164349</v>
      </c>
      <c r="M895" s="20">
        <v>12</v>
      </c>
      <c r="N895" s="1">
        <v>19</v>
      </c>
    </row>
    <row r="896" spans="1:14" x14ac:dyDescent="0.25">
      <c r="A896" t="str">
        <f t="shared" si="28"/>
        <v>U148000U148000</v>
      </c>
      <c r="B896" t="str">
        <f t="shared" si="29"/>
        <v>U148000W6034FP-B</v>
      </c>
      <c r="C896" s="1" t="s">
        <v>566</v>
      </c>
      <c r="D896" s="1" t="s">
        <v>567</v>
      </c>
      <c r="E896" s="1" t="s">
        <v>436</v>
      </c>
      <c r="F896" s="1" t="s">
        <v>452</v>
      </c>
      <c r="G896" s="1" t="s">
        <v>438</v>
      </c>
      <c r="H896" s="1">
        <v>600</v>
      </c>
      <c r="I896" s="3">
        <v>46265</v>
      </c>
      <c r="J896" s="3">
        <v>46275</v>
      </c>
      <c r="K896" s="3" t="s">
        <v>2360</v>
      </c>
      <c r="L896" s="22">
        <v>46265.691640856479</v>
      </c>
      <c r="M896" s="20">
        <v>12</v>
      </c>
      <c r="N896" s="1">
        <v>16</v>
      </c>
    </row>
    <row r="897" spans="1:14" x14ac:dyDescent="0.25">
      <c r="A897" t="str">
        <f t="shared" si="28"/>
        <v>U148000U148000</v>
      </c>
      <c r="B897" t="str">
        <f t="shared" si="29"/>
        <v>U148000W6034FP-B</v>
      </c>
      <c r="C897" s="1" t="s">
        <v>566</v>
      </c>
      <c r="D897" s="1" t="s">
        <v>567</v>
      </c>
      <c r="E897" s="1" t="s">
        <v>436</v>
      </c>
      <c r="F897" s="1" t="s">
        <v>452</v>
      </c>
      <c r="G897" s="1" t="s">
        <v>438</v>
      </c>
      <c r="H897" s="1">
        <v>600</v>
      </c>
      <c r="I897" s="3">
        <v>46265</v>
      </c>
      <c r="J897" s="3">
        <v>46275</v>
      </c>
      <c r="K897" s="3" t="s">
        <v>2360</v>
      </c>
      <c r="L897" s="22">
        <v>46265.692487696761</v>
      </c>
      <c r="M897" s="20">
        <v>12</v>
      </c>
      <c r="N897" s="1">
        <v>23</v>
      </c>
    </row>
    <row r="898" spans="1:14" x14ac:dyDescent="0.25">
      <c r="A898" t="str">
        <f t="shared" ref="A898:A961" si="30">+D898&amp;D898</f>
        <v>78661337866133</v>
      </c>
      <c r="B898" t="str">
        <f t="shared" ref="B898:B961" si="31">+D898&amp;C898</f>
        <v>7866133GC9060GY-M</v>
      </c>
      <c r="C898" s="1" t="s">
        <v>5</v>
      </c>
      <c r="D898" s="1" t="s">
        <v>570</v>
      </c>
      <c r="E898" s="1" t="s">
        <v>385</v>
      </c>
      <c r="F898" s="1" t="s">
        <v>386</v>
      </c>
      <c r="G898" s="1" t="s">
        <v>387</v>
      </c>
      <c r="H898" s="1">
        <v>816</v>
      </c>
      <c r="I898" s="3">
        <v>46266</v>
      </c>
      <c r="J898" s="3">
        <v>46275</v>
      </c>
      <c r="K898" s="3" t="s">
        <v>2368</v>
      </c>
      <c r="L898" s="22">
        <v>46266.455246840276</v>
      </c>
      <c r="M898" s="20">
        <v>12</v>
      </c>
      <c r="N898" s="1">
        <v>59</v>
      </c>
    </row>
    <row r="899" spans="1:14" x14ac:dyDescent="0.25">
      <c r="A899" t="str">
        <f t="shared" si="30"/>
        <v>78661337866133</v>
      </c>
      <c r="B899" t="str">
        <f t="shared" si="31"/>
        <v>7866133GC9060GY-M</v>
      </c>
      <c r="C899" s="1" t="s">
        <v>5</v>
      </c>
      <c r="D899" s="1" t="s">
        <v>570</v>
      </c>
      <c r="E899" s="1" t="s">
        <v>385</v>
      </c>
      <c r="F899" s="1" t="s">
        <v>386</v>
      </c>
      <c r="G899" s="1" t="s">
        <v>387</v>
      </c>
      <c r="H899" s="1">
        <v>816</v>
      </c>
      <c r="I899" s="3">
        <v>46266</v>
      </c>
      <c r="J899" s="3">
        <v>46275</v>
      </c>
      <c r="K899" s="3" t="s">
        <v>2368</v>
      </c>
      <c r="L899" s="22">
        <v>46266.472436377313</v>
      </c>
      <c r="M899" s="20">
        <v>12</v>
      </c>
      <c r="N899" s="1">
        <v>47</v>
      </c>
    </row>
    <row r="900" spans="1:14" x14ac:dyDescent="0.25">
      <c r="A900" t="str">
        <f t="shared" si="30"/>
        <v>78661337866133</v>
      </c>
      <c r="B900" t="str">
        <f t="shared" si="31"/>
        <v>7866133GC9060GY-M</v>
      </c>
      <c r="C900" s="1" t="s">
        <v>5</v>
      </c>
      <c r="D900" s="1" t="s">
        <v>570</v>
      </c>
      <c r="E900" s="1" t="s">
        <v>385</v>
      </c>
      <c r="F900" s="1" t="s">
        <v>386</v>
      </c>
      <c r="G900" s="1" t="s">
        <v>387</v>
      </c>
      <c r="H900" s="1">
        <v>816</v>
      </c>
      <c r="I900" s="3">
        <v>46266</v>
      </c>
      <c r="J900" s="3">
        <v>46275</v>
      </c>
      <c r="K900" s="3" t="s">
        <v>2368</v>
      </c>
      <c r="L900" s="22">
        <v>46266.474774571754</v>
      </c>
      <c r="M900" s="20">
        <v>12</v>
      </c>
      <c r="N900" s="1">
        <v>60</v>
      </c>
    </row>
    <row r="901" spans="1:14" x14ac:dyDescent="0.25">
      <c r="A901" t="str">
        <f t="shared" si="30"/>
        <v>78661337866133</v>
      </c>
      <c r="B901" t="str">
        <f t="shared" si="31"/>
        <v>7866133GC9060GY-M</v>
      </c>
      <c r="C901" s="1" t="s">
        <v>5</v>
      </c>
      <c r="D901" s="1" t="s">
        <v>570</v>
      </c>
      <c r="E901" s="1" t="s">
        <v>385</v>
      </c>
      <c r="F901" s="1" t="s">
        <v>386</v>
      </c>
      <c r="G901" s="1" t="s">
        <v>387</v>
      </c>
      <c r="H901" s="1">
        <v>816</v>
      </c>
      <c r="I901" s="3">
        <v>46266</v>
      </c>
      <c r="J901" s="3">
        <v>46275</v>
      </c>
      <c r="K901" s="3" t="s">
        <v>2368</v>
      </c>
      <c r="L901" s="22">
        <v>46266.556675497683</v>
      </c>
      <c r="M901" s="20">
        <v>12</v>
      </c>
      <c r="N901" s="1">
        <v>62</v>
      </c>
    </row>
    <row r="902" spans="1:14" x14ac:dyDescent="0.25">
      <c r="A902" t="str">
        <f t="shared" si="30"/>
        <v>78661337866133</v>
      </c>
      <c r="B902" t="str">
        <f t="shared" si="31"/>
        <v>7866133GC9060GY-M</v>
      </c>
      <c r="C902" s="1" t="s">
        <v>5</v>
      </c>
      <c r="D902" s="1" t="s">
        <v>570</v>
      </c>
      <c r="E902" s="1" t="s">
        <v>385</v>
      </c>
      <c r="F902" s="1" t="s">
        <v>386</v>
      </c>
      <c r="G902" s="1" t="s">
        <v>387</v>
      </c>
      <c r="H902" s="1">
        <v>816</v>
      </c>
      <c r="I902" s="3">
        <v>46266</v>
      </c>
      <c r="J902" s="3">
        <v>46275</v>
      </c>
      <c r="K902" s="3" t="s">
        <v>2368</v>
      </c>
      <c r="L902" s="22">
        <v>46266.558555405092</v>
      </c>
      <c r="M902" s="20">
        <v>12</v>
      </c>
      <c r="N902" s="1">
        <v>37</v>
      </c>
    </row>
    <row r="903" spans="1:14" x14ac:dyDescent="0.25">
      <c r="A903" t="str">
        <f t="shared" si="30"/>
        <v>78661337866133</v>
      </c>
      <c r="B903" t="str">
        <f t="shared" si="31"/>
        <v>7866133GC9060GY-M</v>
      </c>
      <c r="C903" s="1" t="s">
        <v>5</v>
      </c>
      <c r="D903" s="1" t="s">
        <v>570</v>
      </c>
      <c r="E903" s="1" t="s">
        <v>385</v>
      </c>
      <c r="F903" s="1" t="s">
        <v>386</v>
      </c>
      <c r="G903" s="1" t="s">
        <v>387</v>
      </c>
      <c r="H903" s="1">
        <v>816</v>
      </c>
      <c r="I903" s="3">
        <v>46266</v>
      </c>
      <c r="J903" s="3">
        <v>46275</v>
      </c>
      <c r="K903" s="3" t="s">
        <v>2368</v>
      </c>
      <c r="L903" s="22">
        <v>46266.560375925925</v>
      </c>
      <c r="M903" s="20">
        <v>12</v>
      </c>
      <c r="N903" s="1">
        <v>58</v>
      </c>
    </row>
    <row r="904" spans="1:14" x14ac:dyDescent="0.25">
      <c r="A904" t="str">
        <f t="shared" si="30"/>
        <v>78661337866133</v>
      </c>
      <c r="B904" t="str">
        <f t="shared" si="31"/>
        <v>7866133GC9060GY-M</v>
      </c>
      <c r="C904" s="1" t="s">
        <v>5</v>
      </c>
      <c r="D904" s="1" t="s">
        <v>570</v>
      </c>
      <c r="E904" s="1" t="s">
        <v>385</v>
      </c>
      <c r="F904" s="1" t="s">
        <v>386</v>
      </c>
      <c r="G904" s="1" t="s">
        <v>387</v>
      </c>
      <c r="H904" s="1">
        <v>816</v>
      </c>
      <c r="I904" s="3">
        <v>46266</v>
      </c>
      <c r="J904" s="3">
        <v>46275</v>
      </c>
      <c r="K904" s="3" t="s">
        <v>2368</v>
      </c>
      <c r="L904" s="22">
        <v>46266.576068171293</v>
      </c>
      <c r="M904" s="20">
        <v>12</v>
      </c>
      <c r="N904" s="1">
        <v>38</v>
      </c>
    </row>
    <row r="905" spans="1:14" x14ac:dyDescent="0.25">
      <c r="A905" t="str">
        <f t="shared" si="30"/>
        <v>78661337866133</v>
      </c>
      <c r="B905" t="str">
        <f t="shared" si="31"/>
        <v>7866133GC9060GY-M</v>
      </c>
      <c r="C905" s="1" t="s">
        <v>5</v>
      </c>
      <c r="D905" s="1" t="s">
        <v>570</v>
      </c>
      <c r="E905" s="1" t="s">
        <v>385</v>
      </c>
      <c r="F905" s="1" t="s">
        <v>386</v>
      </c>
      <c r="G905" s="1" t="s">
        <v>387</v>
      </c>
      <c r="H905" s="1">
        <v>816</v>
      </c>
      <c r="I905" s="3">
        <v>46266</v>
      </c>
      <c r="J905" s="3">
        <v>46275</v>
      </c>
      <c r="K905" s="3" t="s">
        <v>2368</v>
      </c>
      <c r="L905" s="22">
        <v>46266.582640162036</v>
      </c>
      <c r="M905" s="20">
        <v>12</v>
      </c>
      <c r="N905" s="1">
        <v>61</v>
      </c>
    </row>
    <row r="906" spans="1:14" x14ac:dyDescent="0.25">
      <c r="A906" t="str">
        <f t="shared" si="30"/>
        <v>78661337866133</v>
      </c>
      <c r="B906" t="str">
        <f t="shared" si="31"/>
        <v>7866133GC9060GY-M</v>
      </c>
      <c r="C906" s="1" t="s">
        <v>5</v>
      </c>
      <c r="D906" s="1" t="s">
        <v>570</v>
      </c>
      <c r="E906" s="1" t="s">
        <v>385</v>
      </c>
      <c r="F906" s="1" t="s">
        <v>386</v>
      </c>
      <c r="G906" s="1" t="s">
        <v>387</v>
      </c>
      <c r="H906" s="1">
        <v>816</v>
      </c>
      <c r="I906" s="3">
        <v>46266</v>
      </c>
      <c r="J906" s="3">
        <v>46275</v>
      </c>
      <c r="K906" s="3" t="s">
        <v>2368</v>
      </c>
      <c r="L906" s="22">
        <v>46266.592487997681</v>
      </c>
      <c r="M906" s="20">
        <v>12</v>
      </c>
      <c r="N906" s="1">
        <v>49</v>
      </c>
    </row>
    <row r="907" spans="1:14" x14ac:dyDescent="0.25">
      <c r="A907" t="str">
        <f t="shared" si="30"/>
        <v>78661337866133</v>
      </c>
      <c r="B907" t="str">
        <f t="shared" si="31"/>
        <v>7866133GC9060GY-M</v>
      </c>
      <c r="C907" s="1" t="s">
        <v>5</v>
      </c>
      <c r="D907" s="1" t="s">
        <v>570</v>
      </c>
      <c r="E907" s="1" t="s">
        <v>385</v>
      </c>
      <c r="F907" s="1" t="s">
        <v>386</v>
      </c>
      <c r="G907" s="1" t="s">
        <v>387</v>
      </c>
      <c r="H907" s="1">
        <v>816</v>
      </c>
      <c r="I907" s="3">
        <v>46266</v>
      </c>
      <c r="J907" s="3">
        <v>46275</v>
      </c>
      <c r="K907" s="3" t="s">
        <v>2368</v>
      </c>
      <c r="L907" s="22">
        <v>46266.603978587962</v>
      </c>
      <c r="M907" s="20">
        <v>12</v>
      </c>
      <c r="N907" s="1">
        <v>63</v>
      </c>
    </row>
    <row r="908" spans="1:14" x14ac:dyDescent="0.25">
      <c r="A908" t="str">
        <f t="shared" si="30"/>
        <v>78661337866133</v>
      </c>
      <c r="B908" t="str">
        <f t="shared" si="31"/>
        <v>7866133GC9060GY-M</v>
      </c>
      <c r="C908" s="1" t="s">
        <v>5</v>
      </c>
      <c r="D908" s="1" t="s">
        <v>570</v>
      </c>
      <c r="E908" s="1" t="s">
        <v>385</v>
      </c>
      <c r="F908" s="1" t="s">
        <v>386</v>
      </c>
      <c r="G908" s="1" t="s">
        <v>387</v>
      </c>
      <c r="H908" s="1">
        <v>816</v>
      </c>
      <c r="I908" s="3">
        <v>46266</v>
      </c>
      <c r="J908" s="3">
        <v>46275</v>
      </c>
      <c r="K908" s="3" t="s">
        <v>2368</v>
      </c>
      <c r="L908" s="22">
        <v>46266.60617673611</v>
      </c>
      <c r="M908" s="20">
        <v>12</v>
      </c>
      <c r="N908" s="1">
        <v>48</v>
      </c>
    </row>
    <row r="909" spans="1:14" x14ac:dyDescent="0.25">
      <c r="A909" t="str">
        <f t="shared" si="30"/>
        <v>78661337866133</v>
      </c>
      <c r="B909" t="str">
        <f t="shared" si="31"/>
        <v>7866133GC9060GY-M</v>
      </c>
      <c r="C909" s="1" t="s">
        <v>5</v>
      </c>
      <c r="D909" s="1" t="s">
        <v>570</v>
      </c>
      <c r="E909" s="1" t="s">
        <v>385</v>
      </c>
      <c r="F909" s="1" t="s">
        <v>386</v>
      </c>
      <c r="G909" s="1" t="s">
        <v>387</v>
      </c>
      <c r="H909" s="1">
        <v>816</v>
      </c>
      <c r="I909" s="3">
        <v>46266</v>
      </c>
      <c r="J909" s="3">
        <v>46275</v>
      </c>
      <c r="K909" s="3" t="s">
        <v>2368</v>
      </c>
      <c r="L909" s="22">
        <v>46266.60792534722</v>
      </c>
      <c r="M909" s="20">
        <v>12</v>
      </c>
      <c r="N909" s="1">
        <v>39</v>
      </c>
    </row>
    <row r="910" spans="1:14" x14ac:dyDescent="0.25">
      <c r="A910" t="str">
        <f t="shared" si="30"/>
        <v>78661337866133</v>
      </c>
      <c r="B910" t="str">
        <f t="shared" si="31"/>
        <v>7866133GC9060GY-M</v>
      </c>
      <c r="C910" s="1" t="s">
        <v>5</v>
      </c>
      <c r="D910" s="1" t="s">
        <v>570</v>
      </c>
      <c r="E910" s="1" t="s">
        <v>385</v>
      </c>
      <c r="F910" s="1" t="s">
        <v>386</v>
      </c>
      <c r="G910" s="1" t="s">
        <v>387</v>
      </c>
      <c r="H910" s="1">
        <v>816</v>
      </c>
      <c r="I910" s="3">
        <v>46266</v>
      </c>
      <c r="J910" s="3">
        <v>46275</v>
      </c>
      <c r="K910" s="3" t="s">
        <v>2368</v>
      </c>
      <c r="L910" s="22">
        <v>46266.61546739583</v>
      </c>
      <c r="M910" s="20">
        <v>12</v>
      </c>
      <c r="N910" s="1">
        <v>26</v>
      </c>
    </row>
    <row r="911" spans="1:14" x14ac:dyDescent="0.25">
      <c r="A911" t="str">
        <f t="shared" si="30"/>
        <v>78661337866133</v>
      </c>
      <c r="B911" t="str">
        <f t="shared" si="31"/>
        <v>7866133GC9060GY-M</v>
      </c>
      <c r="C911" s="1" t="s">
        <v>5</v>
      </c>
      <c r="D911" s="1" t="s">
        <v>570</v>
      </c>
      <c r="E911" s="1" t="s">
        <v>385</v>
      </c>
      <c r="F911" s="1" t="s">
        <v>386</v>
      </c>
      <c r="G911" s="1" t="s">
        <v>387</v>
      </c>
      <c r="H911" s="1">
        <v>816</v>
      </c>
      <c r="I911" s="3">
        <v>46266</v>
      </c>
      <c r="J911" s="3">
        <v>46275</v>
      </c>
      <c r="K911" s="3" t="s">
        <v>2368</v>
      </c>
      <c r="L911" s="22">
        <v>46266.61835640046</v>
      </c>
      <c r="M911" s="20">
        <v>6</v>
      </c>
      <c r="N911" s="1">
        <v>69</v>
      </c>
    </row>
    <row r="912" spans="1:14" x14ac:dyDescent="0.25">
      <c r="A912" t="str">
        <f t="shared" si="30"/>
        <v>78661337866133</v>
      </c>
      <c r="B912" t="str">
        <f t="shared" si="31"/>
        <v>7866133GC9060GY-M</v>
      </c>
      <c r="C912" s="1" t="s">
        <v>5</v>
      </c>
      <c r="D912" s="1" t="s">
        <v>570</v>
      </c>
      <c r="E912" s="1" t="s">
        <v>385</v>
      </c>
      <c r="F912" s="1" t="s">
        <v>386</v>
      </c>
      <c r="G912" s="1" t="s">
        <v>387</v>
      </c>
      <c r="H912" s="1">
        <v>816</v>
      </c>
      <c r="I912" s="3">
        <v>46266</v>
      </c>
      <c r="J912" s="3">
        <v>46275</v>
      </c>
      <c r="K912" s="3" t="s">
        <v>2368</v>
      </c>
      <c r="L912" s="22">
        <v>46266.653898032404</v>
      </c>
      <c r="M912" s="20">
        <v>12</v>
      </c>
      <c r="N912" s="1">
        <v>18</v>
      </c>
    </row>
    <row r="913" spans="1:14" x14ac:dyDescent="0.25">
      <c r="A913" t="str">
        <f t="shared" si="30"/>
        <v>78661337866133</v>
      </c>
      <c r="B913" t="str">
        <f t="shared" si="31"/>
        <v>7866133GC9060GY-M</v>
      </c>
      <c r="C913" s="1" t="s">
        <v>5</v>
      </c>
      <c r="D913" s="1" t="s">
        <v>570</v>
      </c>
      <c r="E913" s="1" t="s">
        <v>385</v>
      </c>
      <c r="F913" s="1" t="s">
        <v>386</v>
      </c>
      <c r="G913" s="1" t="s">
        <v>387</v>
      </c>
      <c r="H913" s="1">
        <v>816</v>
      </c>
      <c r="I913" s="3">
        <v>46266</v>
      </c>
      <c r="J913" s="3">
        <v>46275</v>
      </c>
      <c r="K913" s="3" t="s">
        <v>2368</v>
      </c>
      <c r="L913" s="22">
        <v>46266.664282986108</v>
      </c>
      <c r="M913" s="20">
        <v>6</v>
      </c>
      <c r="N913" s="1">
        <v>70</v>
      </c>
    </row>
    <row r="914" spans="1:14" x14ac:dyDescent="0.25">
      <c r="A914" t="str">
        <f t="shared" si="30"/>
        <v>78661337866133</v>
      </c>
      <c r="B914" t="str">
        <f t="shared" si="31"/>
        <v>7866133GC9060GY-M</v>
      </c>
      <c r="C914" s="1" t="s">
        <v>5</v>
      </c>
      <c r="D914" s="1" t="s">
        <v>570</v>
      </c>
      <c r="E914" s="1" t="s">
        <v>385</v>
      </c>
      <c r="F914" s="1" t="s">
        <v>386</v>
      </c>
      <c r="G914" s="1" t="s">
        <v>387</v>
      </c>
      <c r="H914" s="1">
        <v>816</v>
      </c>
      <c r="I914" s="3">
        <v>46266</v>
      </c>
      <c r="J914" s="3">
        <v>46275</v>
      </c>
      <c r="K914" s="3" t="s">
        <v>2368</v>
      </c>
      <c r="L914" s="22">
        <v>46266.66733556713</v>
      </c>
      <c r="M914" s="20">
        <v>12</v>
      </c>
      <c r="N914" s="1">
        <v>64</v>
      </c>
    </row>
    <row r="915" spans="1:14" x14ac:dyDescent="0.25">
      <c r="A915" t="str">
        <f t="shared" si="30"/>
        <v>78661337866133</v>
      </c>
      <c r="B915" t="str">
        <f t="shared" si="31"/>
        <v>7866133GC9060GY-M</v>
      </c>
      <c r="C915" s="1" t="s">
        <v>5</v>
      </c>
      <c r="D915" s="1" t="s">
        <v>570</v>
      </c>
      <c r="E915" s="1" t="s">
        <v>385</v>
      </c>
      <c r="F915" s="1" t="s">
        <v>386</v>
      </c>
      <c r="G915" s="1" t="s">
        <v>387</v>
      </c>
      <c r="H915" s="1">
        <v>816</v>
      </c>
      <c r="I915" s="3">
        <v>46266</v>
      </c>
      <c r="J915" s="3">
        <v>46275</v>
      </c>
      <c r="K915" s="3" t="s">
        <v>2368</v>
      </c>
      <c r="L915" s="22">
        <v>46266.683566747684</v>
      </c>
      <c r="M915" s="20">
        <v>12</v>
      </c>
      <c r="N915" s="1">
        <v>50</v>
      </c>
    </row>
    <row r="916" spans="1:14" x14ac:dyDescent="0.25">
      <c r="A916" t="str">
        <f t="shared" si="30"/>
        <v>78661497866149</v>
      </c>
      <c r="B916" t="str">
        <f t="shared" si="31"/>
        <v>7866149GC9060GY-M</v>
      </c>
      <c r="C916" s="1" t="s">
        <v>5</v>
      </c>
      <c r="D916" s="1" t="s">
        <v>572</v>
      </c>
      <c r="E916" s="1" t="s">
        <v>385</v>
      </c>
      <c r="F916" s="1" t="s">
        <v>386</v>
      </c>
      <c r="G916" s="1" t="s">
        <v>387</v>
      </c>
      <c r="H916" s="1">
        <v>624</v>
      </c>
      <c r="I916" s="3">
        <v>46266</v>
      </c>
      <c r="J916" s="3">
        <v>46275</v>
      </c>
      <c r="K916" s="3" t="s">
        <v>2368</v>
      </c>
      <c r="L916" s="22">
        <v>46266.583901886574</v>
      </c>
      <c r="M916" s="20">
        <v>12</v>
      </c>
      <c r="N916" s="1">
        <v>30</v>
      </c>
    </row>
    <row r="917" spans="1:14" x14ac:dyDescent="0.25">
      <c r="A917" t="str">
        <f t="shared" si="30"/>
        <v>78661497866149</v>
      </c>
      <c r="B917" t="str">
        <f t="shared" si="31"/>
        <v>7866149GC9060GY-M</v>
      </c>
      <c r="C917" s="1" t="s">
        <v>5</v>
      </c>
      <c r="D917" s="1" t="s">
        <v>572</v>
      </c>
      <c r="E917" s="1" t="s">
        <v>385</v>
      </c>
      <c r="F917" s="1" t="s">
        <v>386</v>
      </c>
      <c r="G917" s="1" t="s">
        <v>387</v>
      </c>
      <c r="H917" s="1">
        <v>624</v>
      </c>
      <c r="I917" s="3">
        <v>46266</v>
      </c>
      <c r="J917" s="3">
        <v>46275</v>
      </c>
      <c r="K917" s="3" t="s">
        <v>2368</v>
      </c>
      <c r="L917" s="22">
        <v>46266.584212581016</v>
      </c>
      <c r="M917" s="20">
        <v>12</v>
      </c>
      <c r="N917" s="1">
        <v>29</v>
      </c>
    </row>
    <row r="918" spans="1:14" x14ac:dyDescent="0.25">
      <c r="A918" t="str">
        <f t="shared" si="30"/>
        <v>78661497866149</v>
      </c>
      <c r="B918" t="str">
        <f t="shared" si="31"/>
        <v>7866149GC9060GY-M</v>
      </c>
      <c r="C918" s="1" t="s">
        <v>5</v>
      </c>
      <c r="D918" s="1" t="s">
        <v>572</v>
      </c>
      <c r="E918" s="1" t="s">
        <v>385</v>
      </c>
      <c r="F918" s="1" t="s">
        <v>386</v>
      </c>
      <c r="G918" s="1" t="s">
        <v>387</v>
      </c>
      <c r="H918" s="1">
        <v>624</v>
      </c>
      <c r="I918" s="3">
        <v>46266</v>
      </c>
      <c r="J918" s="3">
        <v>46275</v>
      </c>
      <c r="K918" s="3" t="s">
        <v>2368</v>
      </c>
      <c r="L918" s="22">
        <v>46266.584362499998</v>
      </c>
      <c r="M918" s="20">
        <v>12</v>
      </c>
      <c r="N918" s="1">
        <v>37</v>
      </c>
    </row>
    <row r="919" spans="1:14" x14ac:dyDescent="0.25">
      <c r="A919" t="str">
        <f t="shared" si="30"/>
        <v>78661497866149</v>
      </c>
      <c r="B919" t="str">
        <f t="shared" si="31"/>
        <v>7866149GC9060GY-M</v>
      </c>
      <c r="C919" s="1" t="s">
        <v>5</v>
      </c>
      <c r="D919" s="1" t="s">
        <v>572</v>
      </c>
      <c r="E919" s="1" t="s">
        <v>385</v>
      </c>
      <c r="F919" s="1" t="s">
        <v>386</v>
      </c>
      <c r="G919" s="1" t="s">
        <v>387</v>
      </c>
      <c r="H919" s="1">
        <v>624</v>
      </c>
      <c r="I919" s="3">
        <v>46266</v>
      </c>
      <c r="J919" s="3">
        <v>46275</v>
      </c>
      <c r="K919" s="3" t="s">
        <v>2368</v>
      </c>
      <c r="L919" s="22">
        <v>46266.584702048611</v>
      </c>
      <c r="M919" s="20">
        <v>12</v>
      </c>
      <c r="N919" s="1">
        <v>36</v>
      </c>
    </row>
    <row r="920" spans="1:14" x14ac:dyDescent="0.25">
      <c r="A920" t="str">
        <f t="shared" si="30"/>
        <v>78661497866149</v>
      </c>
      <c r="B920" t="str">
        <f t="shared" si="31"/>
        <v>7866149GC9060GY-M</v>
      </c>
      <c r="C920" s="1" t="s">
        <v>5</v>
      </c>
      <c r="D920" s="1" t="s">
        <v>572</v>
      </c>
      <c r="E920" s="1" t="s">
        <v>385</v>
      </c>
      <c r="F920" s="1" t="s">
        <v>386</v>
      </c>
      <c r="G920" s="1" t="s">
        <v>387</v>
      </c>
      <c r="H920" s="1">
        <v>624</v>
      </c>
      <c r="I920" s="3">
        <v>46266</v>
      </c>
      <c r="J920" s="3">
        <v>46275</v>
      </c>
      <c r="K920" s="3" t="s">
        <v>2368</v>
      </c>
      <c r="L920" s="22">
        <v>46266.59388645833</v>
      </c>
      <c r="M920" s="20">
        <v>12</v>
      </c>
      <c r="N920" s="1">
        <v>31</v>
      </c>
    </row>
    <row r="921" spans="1:14" x14ac:dyDescent="0.25">
      <c r="A921" t="str">
        <f t="shared" si="30"/>
        <v>78661497866149</v>
      </c>
      <c r="B921" t="str">
        <f t="shared" si="31"/>
        <v>7866149GC9060GY-M</v>
      </c>
      <c r="C921" s="1" t="s">
        <v>5</v>
      </c>
      <c r="D921" s="1" t="s">
        <v>572</v>
      </c>
      <c r="E921" s="1" t="s">
        <v>385</v>
      </c>
      <c r="F921" s="1" t="s">
        <v>386</v>
      </c>
      <c r="G921" s="1" t="s">
        <v>387</v>
      </c>
      <c r="H921" s="1">
        <v>624</v>
      </c>
      <c r="I921" s="3">
        <v>46266</v>
      </c>
      <c r="J921" s="3">
        <v>46275</v>
      </c>
      <c r="K921" s="3" t="s">
        <v>2368</v>
      </c>
      <c r="L921" s="22">
        <v>46266.594458020831</v>
      </c>
      <c r="M921" s="20">
        <v>12</v>
      </c>
      <c r="N921" s="1">
        <v>15</v>
      </c>
    </row>
    <row r="922" spans="1:14" x14ac:dyDescent="0.25">
      <c r="A922" t="str">
        <f t="shared" si="30"/>
        <v>78661497866149</v>
      </c>
      <c r="B922" t="str">
        <f t="shared" si="31"/>
        <v>7866149GC9060GY-M</v>
      </c>
      <c r="C922" s="1" t="s">
        <v>5</v>
      </c>
      <c r="D922" s="1" t="s">
        <v>572</v>
      </c>
      <c r="E922" s="1" t="s">
        <v>385</v>
      </c>
      <c r="F922" s="1" t="s">
        <v>386</v>
      </c>
      <c r="G922" s="1" t="s">
        <v>387</v>
      </c>
      <c r="H922" s="1">
        <v>624</v>
      </c>
      <c r="I922" s="3">
        <v>46266</v>
      </c>
      <c r="J922" s="3">
        <v>46275</v>
      </c>
      <c r="K922" s="3" t="s">
        <v>2368</v>
      </c>
      <c r="L922" s="22">
        <v>46266.594754016201</v>
      </c>
      <c r="M922" s="20">
        <v>12</v>
      </c>
      <c r="N922" s="1">
        <v>38</v>
      </c>
    </row>
    <row r="923" spans="1:14" x14ac:dyDescent="0.25">
      <c r="A923" t="str">
        <f t="shared" si="30"/>
        <v>78661497866149</v>
      </c>
      <c r="B923" t="str">
        <f t="shared" si="31"/>
        <v>7866149GC9060GY-M</v>
      </c>
      <c r="C923" s="1" t="s">
        <v>5</v>
      </c>
      <c r="D923" s="1" t="s">
        <v>572</v>
      </c>
      <c r="E923" s="1" t="s">
        <v>385</v>
      </c>
      <c r="F923" s="1" t="s">
        <v>386</v>
      </c>
      <c r="G923" s="1" t="s">
        <v>387</v>
      </c>
      <c r="H923" s="1">
        <v>624</v>
      </c>
      <c r="I923" s="3">
        <v>46266</v>
      </c>
      <c r="J923" s="3">
        <v>46275</v>
      </c>
      <c r="K923" s="3" t="s">
        <v>2368</v>
      </c>
      <c r="L923" s="22">
        <v>46266.595426539352</v>
      </c>
      <c r="M923" s="20">
        <v>12</v>
      </c>
      <c r="N923" s="1">
        <v>32</v>
      </c>
    </row>
    <row r="924" spans="1:14" x14ac:dyDescent="0.25">
      <c r="A924" t="str">
        <f t="shared" si="30"/>
        <v>78744227874422</v>
      </c>
      <c r="B924" t="str">
        <f t="shared" si="31"/>
        <v>7874422GC9060BE-M</v>
      </c>
      <c r="C924" s="1" t="s">
        <v>43</v>
      </c>
      <c r="D924" s="1" t="s">
        <v>571</v>
      </c>
      <c r="E924" s="1" t="s">
        <v>392</v>
      </c>
      <c r="F924" s="1" t="s">
        <v>393</v>
      </c>
      <c r="G924" s="1" t="s">
        <v>394</v>
      </c>
      <c r="H924" s="1">
        <v>984</v>
      </c>
      <c r="I924" s="3">
        <v>46266</v>
      </c>
      <c r="J924" s="3">
        <v>46269</v>
      </c>
      <c r="K924" s="3" t="s">
        <v>2358</v>
      </c>
      <c r="L924" s="22">
        <v>46266.472806099533</v>
      </c>
      <c r="M924" s="20">
        <v>12</v>
      </c>
      <c r="N924" s="1">
        <v>25</v>
      </c>
    </row>
    <row r="925" spans="1:14" x14ac:dyDescent="0.25">
      <c r="A925" t="str">
        <f t="shared" si="30"/>
        <v>78744227874422</v>
      </c>
      <c r="B925" t="str">
        <f t="shared" si="31"/>
        <v>7874422GC9060BE-M</v>
      </c>
      <c r="C925" s="1" t="s">
        <v>43</v>
      </c>
      <c r="D925" s="1" t="s">
        <v>571</v>
      </c>
      <c r="E925" s="1" t="s">
        <v>392</v>
      </c>
      <c r="F925" s="1" t="s">
        <v>393</v>
      </c>
      <c r="G925" s="1" t="s">
        <v>394</v>
      </c>
      <c r="H925" s="1">
        <v>984</v>
      </c>
      <c r="I925" s="3">
        <v>46266</v>
      </c>
      <c r="J925" s="3">
        <v>46269</v>
      </c>
      <c r="K925" s="3" t="s">
        <v>2358</v>
      </c>
      <c r="L925" s="22">
        <v>46266.473000543978</v>
      </c>
      <c r="M925" s="20">
        <v>12</v>
      </c>
      <c r="N925" s="1">
        <v>30</v>
      </c>
    </row>
    <row r="926" spans="1:14" x14ac:dyDescent="0.25">
      <c r="A926" t="str">
        <f t="shared" si="30"/>
        <v>78744227874422</v>
      </c>
      <c r="B926" t="str">
        <f t="shared" si="31"/>
        <v>7874422GC9060BE-M</v>
      </c>
      <c r="C926" s="1" t="s">
        <v>43</v>
      </c>
      <c r="D926" s="1" t="s">
        <v>571</v>
      </c>
      <c r="E926" s="1" t="s">
        <v>392</v>
      </c>
      <c r="F926" s="1" t="s">
        <v>393</v>
      </c>
      <c r="G926" s="1" t="s">
        <v>394</v>
      </c>
      <c r="H926" s="1">
        <v>984</v>
      </c>
      <c r="I926" s="3">
        <v>46266</v>
      </c>
      <c r="J926" s="3">
        <v>46269</v>
      </c>
      <c r="K926" s="3" t="s">
        <v>2358</v>
      </c>
      <c r="L926" s="22">
        <v>46266.473186261574</v>
      </c>
      <c r="M926" s="20">
        <v>12</v>
      </c>
      <c r="N926" s="1">
        <v>54</v>
      </c>
    </row>
    <row r="927" spans="1:14" x14ac:dyDescent="0.25">
      <c r="A927" t="str">
        <f t="shared" si="30"/>
        <v>78744227874422</v>
      </c>
      <c r="B927" t="str">
        <f t="shared" si="31"/>
        <v>7874422GC9060BE-M</v>
      </c>
      <c r="C927" s="1" t="s">
        <v>43</v>
      </c>
      <c r="D927" s="1" t="s">
        <v>571</v>
      </c>
      <c r="E927" s="1" t="s">
        <v>392</v>
      </c>
      <c r="F927" s="1" t="s">
        <v>393</v>
      </c>
      <c r="G927" s="1" t="s">
        <v>394</v>
      </c>
      <c r="H927" s="1">
        <v>984</v>
      </c>
      <c r="I927" s="3">
        <v>46266</v>
      </c>
      <c r="J927" s="3">
        <v>46269</v>
      </c>
      <c r="K927" s="3" t="s">
        <v>2358</v>
      </c>
      <c r="L927" s="22">
        <v>46266.473344641199</v>
      </c>
      <c r="M927" s="20">
        <v>12</v>
      </c>
      <c r="N927" s="1">
        <v>4</v>
      </c>
    </row>
    <row r="928" spans="1:14" x14ac:dyDescent="0.25">
      <c r="A928" t="str">
        <f t="shared" si="30"/>
        <v>78744227874422</v>
      </c>
      <c r="B928" t="str">
        <f t="shared" si="31"/>
        <v>7874422GC9060BE-M</v>
      </c>
      <c r="C928" s="1" t="s">
        <v>43</v>
      </c>
      <c r="D928" s="1" t="s">
        <v>571</v>
      </c>
      <c r="E928" s="1" t="s">
        <v>392</v>
      </c>
      <c r="F928" s="1" t="s">
        <v>393</v>
      </c>
      <c r="G928" s="1" t="s">
        <v>394</v>
      </c>
      <c r="H928" s="1">
        <v>984</v>
      </c>
      <c r="I928" s="3">
        <v>46266</v>
      </c>
      <c r="J928" s="3">
        <v>46269</v>
      </c>
      <c r="K928" s="3" t="s">
        <v>2358</v>
      </c>
      <c r="L928" s="22">
        <v>46266.473522997687</v>
      </c>
      <c r="M928" s="20">
        <v>12</v>
      </c>
      <c r="N928" s="1">
        <v>53</v>
      </c>
    </row>
    <row r="929" spans="1:14" x14ac:dyDescent="0.25">
      <c r="A929" t="str">
        <f t="shared" si="30"/>
        <v>78744227874422</v>
      </c>
      <c r="B929" t="str">
        <f t="shared" si="31"/>
        <v>7874422GC9060BE-M</v>
      </c>
      <c r="C929" s="1" t="s">
        <v>43</v>
      </c>
      <c r="D929" s="1" t="s">
        <v>571</v>
      </c>
      <c r="E929" s="1" t="s">
        <v>392</v>
      </c>
      <c r="F929" s="1" t="s">
        <v>393</v>
      </c>
      <c r="G929" s="1" t="s">
        <v>394</v>
      </c>
      <c r="H929" s="1">
        <v>984</v>
      </c>
      <c r="I929" s="3">
        <v>46266</v>
      </c>
      <c r="J929" s="3">
        <v>46269</v>
      </c>
      <c r="K929" s="3" t="s">
        <v>2358</v>
      </c>
      <c r="L929" s="22">
        <v>46266.474014004627</v>
      </c>
      <c r="M929" s="20">
        <v>12</v>
      </c>
      <c r="N929" s="1">
        <v>70</v>
      </c>
    </row>
    <row r="930" spans="1:14" x14ac:dyDescent="0.25">
      <c r="A930" t="str">
        <f t="shared" si="30"/>
        <v>78744227874422</v>
      </c>
      <c r="B930" t="str">
        <f t="shared" si="31"/>
        <v>7874422GC9060BE-M</v>
      </c>
      <c r="C930" s="1" t="s">
        <v>43</v>
      </c>
      <c r="D930" s="1" t="s">
        <v>571</v>
      </c>
      <c r="E930" s="1" t="s">
        <v>392</v>
      </c>
      <c r="F930" s="1" t="s">
        <v>393</v>
      </c>
      <c r="G930" s="1" t="s">
        <v>394</v>
      </c>
      <c r="H930" s="1">
        <v>984</v>
      </c>
      <c r="I930" s="3">
        <v>46266</v>
      </c>
      <c r="J930" s="3">
        <v>46269</v>
      </c>
      <c r="K930" s="3" t="s">
        <v>2358</v>
      </c>
      <c r="L930" s="22">
        <v>46266.474549687497</v>
      </c>
      <c r="M930" s="20">
        <v>12</v>
      </c>
      <c r="N930" s="1">
        <v>46</v>
      </c>
    </row>
    <row r="931" spans="1:14" x14ac:dyDescent="0.25">
      <c r="A931" t="str">
        <f t="shared" si="30"/>
        <v>78744227874422</v>
      </c>
      <c r="B931" t="str">
        <f t="shared" si="31"/>
        <v>7874422GC9060BE-M</v>
      </c>
      <c r="C931" s="1" t="s">
        <v>43</v>
      </c>
      <c r="D931" s="1" t="s">
        <v>571</v>
      </c>
      <c r="E931" s="1" t="s">
        <v>392</v>
      </c>
      <c r="F931" s="1" t="s">
        <v>393</v>
      </c>
      <c r="G931" s="1" t="s">
        <v>394</v>
      </c>
      <c r="H931" s="1">
        <v>984</v>
      </c>
      <c r="I931" s="3">
        <v>46266</v>
      </c>
      <c r="J931" s="3">
        <v>46269</v>
      </c>
      <c r="K931" s="3" t="s">
        <v>2358</v>
      </c>
      <c r="L931" s="22">
        <v>46266.47682653935</v>
      </c>
      <c r="M931" s="20">
        <v>12</v>
      </c>
      <c r="N931" s="1">
        <v>69</v>
      </c>
    </row>
    <row r="932" spans="1:14" x14ac:dyDescent="0.25">
      <c r="A932" t="str">
        <f t="shared" si="30"/>
        <v>78744227874422</v>
      </c>
      <c r="B932" t="str">
        <f t="shared" si="31"/>
        <v>7874422GC9060BE-M</v>
      </c>
      <c r="C932" s="1" t="s">
        <v>43</v>
      </c>
      <c r="D932" s="1" t="s">
        <v>571</v>
      </c>
      <c r="E932" s="1" t="s">
        <v>392</v>
      </c>
      <c r="F932" s="1" t="s">
        <v>393</v>
      </c>
      <c r="G932" s="1" t="s">
        <v>394</v>
      </c>
      <c r="H932" s="1">
        <v>984</v>
      </c>
      <c r="I932" s="3">
        <v>46266</v>
      </c>
      <c r="J932" s="3">
        <v>46269</v>
      </c>
      <c r="K932" s="3" t="s">
        <v>2358</v>
      </c>
      <c r="L932" s="22">
        <v>46266.482911886575</v>
      </c>
      <c r="M932" s="20">
        <v>12</v>
      </c>
      <c r="N932" s="1">
        <v>1</v>
      </c>
    </row>
    <row r="933" spans="1:14" x14ac:dyDescent="0.25">
      <c r="A933" t="str">
        <f t="shared" si="30"/>
        <v>78744227874422</v>
      </c>
      <c r="B933" t="str">
        <f t="shared" si="31"/>
        <v>7874422GC9060BE-M</v>
      </c>
      <c r="C933" s="1" t="s">
        <v>43</v>
      </c>
      <c r="D933" s="1" t="s">
        <v>571</v>
      </c>
      <c r="E933" s="1" t="s">
        <v>392</v>
      </c>
      <c r="F933" s="1" t="s">
        <v>393</v>
      </c>
      <c r="G933" s="1" t="s">
        <v>394</v>
      </c>
      <c r="H933" s="1">
        <v>984</v>
      </c>
      <c r="I933" s="3">
        <v>46266</v>
      </c>
      <c r="J933" s="3">
        <v>46269</v>
      </c>
      <c r="K933" s="3" t="s">
        <v>2358</v>
      </c>
      <c r="L933" s="22">
        <v>46266.484990740741</v>
      </c>
      <c r="M933" s="20">
        <v>12</v>
      </c>
      <c r="N933" s="1">
        <v>6</v>
      </c>
    </row>
    <row r="934" spans="1:14" x14ac:dyDescent="0.25">
      <c r="A934" t="str">
        <f t="shared" si="30"/>
        <v>78744227874422</v>
      </c>
      <c r="B934" t="str">
        <f t="shared" si="31"/>
        <v>7874422GC9060BE-M</v>
      </c>
      <c r="C934" s="1" t="s">
        <v>43</v>
      </c>
      <c r="D934" s="1" t="s">
        <v>571</v>
      </c>
      <c r="E934" s="1" t="s">
        <v>392</v>
      </c>
      <c r="F934" s="1" t="s">
        <v>393</v>
      </c>
      <c r="G934" s="1" t="s">
        <v>394</v>
      </c>
      <c r="H934" s="1">
        <v>984</v>
      </c>
      <c r="I934" s="3">
        <v>46266</v>
      </c>
      <c r="J934" s="3">
        <v>46269</v>
      </c>
      <c r="K934" s="3" t="s">
        <v>2358</v>
      </c>
      <c r="L934" s="22">
        <v>46266.559081215273</v>
      </c>
      <c r="M934" s="20">
        <v>6</v>
      </c>
      <c r="N934" s="1">
        <v>83</v>
      </c>
    </row>
    <row r="935" spans="1:14" x14ac:dyDescent="0.25">
      <c r="A935" t="str">
        <f t="shared" si="30"/>
        <v>78744227874422</v>
      </c>
      <c r="B935" t="str">
        <f t="shared" si="31"/>
        <v>7874422GC9060BE-M</v>
      </c>
      <c r="C935" s="1" t="s">
        <v>43</v>
      </c>
      <c r="D935" s="1" t="s">
        <v>571</v>
      </c>
      <c r="E935" s="1" t="s">
        <v>392</v>
      </c>
      <c r="F935" s="1" t="s">
        <v>393</v>
      </c>
      <c r="G935" s="1" t="s">
        <v>394</v>
      </c>
      <c r="H935" s="1">
        <v>984</v>
      </c>
      <c r="I935" s="3">
        <v>46266</v>
      </c>
      <c r="J935" s="3">
        <v>46269</v>
      </c>
      <c r="K935" s="3" t="s">
        <v>2358</v>
      </c>
      <c r="L935" s="22">
        <v>46266.559576354164</v>
      </c>
      <c r="M935" s="20">
        <v>12</v>
      </c>
      <c r="N935" s="1">
        <v>5</v>
      </c>
    </row>
    <row r="936" spans="1:14" x14ac:dyDescent="0.25">
      <c r="A936" t="str">
        <f t="shared" si="30"/>
        <v>78744227874422</v>
      </c>
      <c r="B936" t="str">
        <f t="shared" si="31"/>
        <v>7874422GC9060BE-M</v>
      </c>
      <c r="C936" s="1" t="s">
        <v>43</v>
      </c>
      <c r="D936" s="1" t="s">
        <v>571</v>
      </c>
      <c r="E936" s="1" t="s">
        <v>392</v>
      </c>
      <c r="F936" s="1" t="s">
        <v>393</v>
      </c>
      <c r="G936" s="1" t="s">
        <v>394</v>
      </c>
      <c r="H936" s="1">
        <v>984</v>
      </c>
      <c r="I936" s="3">
        <v>46266</v>
      </c>
      <c r="J936" s="3">
        <v>46269</v>
      </c>
      <c r="K936" s="3" t="s">
        <v>2358</v>
      </c>
      <c r="L936" s="22">
        <v>46266.560524965273</v>
      </c>
      <c r="M936" s="20">
        <v>6</v>
      </c>
      <c r="N936" s="1">
        <v>82</v>
      </c>
    </row>
    <row r="937" spans="1:14" x14ac:dyDescent="0.25">
      <c r="A937" t="str">
        <f t="shared" si="30"/>
        <v>78744227874422</v>
      </c>
      <c r="B937" t="str">
        <f t="shared" si="31"/>
        <v>7874422GC9060BE-M</v>
      </c>
      <c r="C937" s="1" t="s">
        <v>43</v>
      </c>
      <c r="D937" s="1" t="s">
        <v>571</v>
      </c>
      <c r="E937" s="1" t="s">
        <v>392</v>
      </c>
      <c r="F937" s="1" t="s">
        <v>393</v>
      </c>
      <c r="G937" s="1" t="s">
        <v>394</v>
      </c>
      <c r="H937" s="1">
        <v>984</v>
      </c>
      <c r="I937" s="3">
        <v>46266</v>
      </c>
      <c r="J937" s="3">
        <v>46269</v>
      </c>
      <c r="K937" s="3" t="s">
        <v>2358</v>
      </c>
      <c r="L937" s="22">
        <v>46266.560947916667</v>
      </c>
      <c r="M937" s="20">
        <v>12</v>
      </c>
      <c r="N937" s="1">
        <v>27</v>
      </c>
    </row>
    <row r="938" spans="1:14" x14ac:dyDescent="0.25">
      <c r="A938" t="str">
        <f t="shared" si="30"/>
        <v>78744227874422</v>
      </c>
      <c r="B938" t="str">
        <f t="shared" si="31"/>
        <v>7874422GC9060BE-M</v>
      </c>
      <c r="C938" s="1" t="s">
        <v>43</v>
      </c>
      <c r="D938" s="1" t="s">
        <v>571</v>
      </c>
      <c r="E938" s="1" t="s">
        <v>392</v>
      </c>
      <c r="F938" s="1" t="s">
        <v>393</v>
      </c>
      <c r="G938" s="1" t="s">
        <v>394</v>
      </c>
      <c r="H938" s="1">
        <v>984</v>
      </c>
      <c r="I938" s="3">
        <v>46266</v>
      </c>
      <c r="J938" s="3">
        <v>46269</v>
      </c>
      <c r="K938" s="3" t="s">
        <v>2358</v>
      </c>
      <c r="L938" s="22">
        <v>46266.567114849538</v>
      </c>
      <c r="M938" s="20">
        <v>12</v>
      </c>
      <c r="N938" s="1">
        <v>26</v>
      </c>
    </row>
    <row r="939" spans="1:14" x14ac:dyDescent="0.25">
      <c r="A939" t="str">
        <f t="shared" si="30"/>
        <v>78744227874422</v>
      </c>
      <c r="B939" t="str">
        <f t="shared" si="31"/>
        <v>7874422GC9060BE-M</v>
      </c>
      <c r="C939" s="1" t="s">
        <v>43</v>
      </c>
      <c r="D939" s="1" t="s">
        <v>571</v>
      </c>
      <c r="E939" s="1" t="s">
        <v>392</v>
      </c>
      <c r="F939" s="1" t="s">
        <v>393</v>
      </c>
      <c r="G939" s="1" t="s">
        <v>394</v>
      </c>
      <c r="H939" s="1">
        <v>984</v>
      </c>
      <c r="I939" s="3">
        <v>46266</v>
      </c>
      <c r="J939" s="3">
        <v>46269</v>
      </c>
      <c r="K939" s="3" t="s">
        <v>2358</v>
      </c>
      <c r="L939" s="22">
        <v>46266.568380208329</v>
      </c>
      <c r="M939" s="20">
        <v>12</v>
      </c>
      <c r="N939" s="1">
        <v>47</v>
      </c>
    </row>
    <row r="940" spans="1:14" x14ac:dyDescent="0.25">
      <c r="A940" t="str">
        <f t="shared" si="30"/>
        <v>78744227874422</v>
      </c>
      <c r="B940" t="str">
        <f t="shared" si="31"/>
        <v>7874422GC9060BE-M</v>
      </c>
      <c r="C940" s="1" t="s">
        <v>43</v>
      </c>
      <c r="D940" s="1" t="s">
        <v>571</v>
      </c>
      <c r="E940" s="1" t="s">
        <v>392</v>
      </c>
      <c r="F940" s="1" t="s">
        <v>393</v>
      </c>
      <c r="G940" s="1" t="s">
        <v>394</v>
      </c>
      <c r="H940" s="1">
        <v>984</v>
      </c>
      <c r="I940" s="3">
        <v>46266</v>
      </c>
      <c r="J940" s="3">
        <v>46269</v>
      </c>
      <c r="K940" s="3" t="s">
        <v>2358</v>
      </c>
      <c r="L940" s="22">
        <v>46266.569087303236</v>
      </c>
      <c r="M940" s="20">
        <v>12</v>
      </c>
      <c r="N940" s="1">
        <v>7</v>
      </c>
    </row>
    <row r="941" spans="1:14" x14ac:dyDescent="0.25">
      <c r="A941" t="str">
        <f t="shared" si="30"/>
        <v>78744227874422</v>
      </c>
      <c r="B941" t="str">
        <f t="shared" si="31"/>
        <v>7874422GC9060BE-M</v>
      </c>
      <c r="C941" s="1" t="s">
        <v>43</v>
      </c>
      <c r="D941" s="1" t="s">
        <v>571</v>
      </c>
      <c r="E941" s="1" t="s">
        <v>392</v>
      </c>
      <c r="F941" s="1" t="s">
        <v>393</v>
      </c>
      <c r="G941" s="1" t="s">
        <v>394</v>
      </c>
      <c r="H941" s="1">
        <v>984</v>
      </c>
      <c r="I941" s="3">
        <v>46266</v>
      </c>
      <c r="J941" s="3">
        <v>46269</v>
      </c>
      <c r="K941" s="3" t="s">
        <v>2358</v>
      </c>
      <c r="L941" s="22">
        <v>46266.569300891199</v>
      </c>
      <c r="M941" s="20">
        <v>12</v>
      </c>
      <c r="N941" s="1">
        <v>55</v>
      </c>
    </row>
    <row r="942" spans="1:14" x14ac:dyDescent="0.25">
      <c r="A942" t="str">
        <f t="shared" si="30"/>
        <v>78744227874422</v>
      </c>
      <c r="B942" t="str">
        <f t="shared" si="31"/>
        <v>7874422GC9060BE-M</v>
      </c>
      <c r="C942" s="1" t="s">
        <v>43</v>
      </c>
      <c r="D942" s="1" t="s">
        <v>571</v>
      </c>
      <c r="E942" s="1" t="s">
        <v>392</v>
      </c>
      <c r="F942" s="1" t="s">
        <v>393</v>
      </c>
      <c r="G942" s="1" t="s">
        <v>394</v>
      </c>
      <c r="H942" s="1">
        <v>984</v>
      </c>
      <c r="I942" s="3">
        <v>46266</v>
      </c>
      <c r="J942" s="3">
        <v>46269</v>
      </c>
      <c r="K942" s="3" t="s">
        <v>2358</v>
      </c>
      <c r="L942" s="22">
        <v>46266.575502465275</v>
      </c>
      <c r="M942" s="20">
        <v>12</v>
      </c>
      <c r="N942" s="1">
        <v>28</v>
      </c>
    </row>
    <row r="943" spans="1:14" x14ac:dyDescent="0.25">
      <c r="A943" t="str">
        <f t="shared" si="30"/>
        <v>78744227874422</v>
      </c>
      <c r="B943" t="str">
        <f t="shared" si="31"/>
        <v>7874422GC9060BE-M</v>
      </c>
      <c r="C943" s="1" t="s">
        <v>43</v>
      </c>
      <c r="D943" s="1" t="s">
        <v>571</v>
      </c>
      <c r="E943" s="1" t="s">
        <v>392</v>
      </c>
      <c r="F943" s="1" t="s">
        <v>393</v>
      </c>
      <c r="G943" s="1" t="s">
        <v>394</v>
      </c>
      <c r="H943" s="1">
        <v>984</v>
      </c>
      <c r="I943" s="3">
        <v>46266</v>
      </c>
      <c r="J943" s="3">
        <v>46269</v>
      </c>
      <c r="K943" s="3" t="s">
        <v>2358</v>
      </c>
      <c r="L943" s="22">
        <v>46266.575717361113</v>
      </c>
      <c r="M943" s="20">
        <v>12</v>
      </c>
      <c r="N943" s="1">
        <v>71</v>
      </c>
    </row>
    <row r="944" spans="1:14" x14ac:dyDescent="0.25">
      <c r="A944" t="str">
        <f t="shared" si="30"/>
        <v>78744227874422</v>
      </c>
      <c r="B944" t="str">
        <f t="shared" si="31"/>
        <v>7874422GC9060BE-M</v>
      </c>
      <c r="C944" s="1" t="s">
        <v>43</v>
      </c>
      <c r="D944" s="1" t="s">
        <v>571</v>
      </c>
      <c r="E944" s="1" t="s">
        <v>392</v>
      </c>
      <c r="F944" s="1" t="s">
        <v>393</v>
      </c>
      <c r="G944" s="1" t="s">
        <v>394</v>
      </c>
      <c r="H944" s="1">
        <v>984</v>
      </c>
      <c r="I944" s="3">
        <v>46266</v>
      </c>
      <c r="J944" s="3">
        <v>46269</v>
      </c>
      <c r="K944" s="3" t="s">
        <v>2358</v>
      </c>
      <c r="L944" s="22">
        <v>46266.576799849536</v>
      </c>
      <c r="M944" s="20">
        <v>12</v>
      </c>
      <c r="N944" s="1">
        <v>56</v>
      </c>
    </row>
    <row r="945" spans="1:14" x14ac:dyDescent="0.25">
      <c r="A945" t="str">
        <f t="shared" si="30"/>
        <v>78744227874422</v>
      </c>
      <c r="B945" t="str">
        <f t="shared" si="31"/>
        <v>7874422GC9060BE-M</v>
      </c>
      <c r="C945" s="1" t="s">
        <v>43</v>
      </c>
      <c r="D945" s="1" t="s">
        <v>571</v>
      </c>
      <c r="E945" s="1" t="s">
        <v>392</v>
      </c>
      <c r="F945" s="1" t="s">
        <v>393</v>
      </c>
      <c r="G945" s="1" t="s">
        <v>394</v>
      </c>
      <c r="H945" s="1">
        <v>984</v>
      </c>
      <c r="I945" s="3">
        <v>46266</v>
      </c>
      <c r="J945" s="3">
        <v>46269</v>
      </c>
      <c r="K945" s="3" t="s">
        <v>2358</v>
      </c>
      <c r="L945" s="22">
        <v>46266.580043437498</v>
      </c>
      <c r="M945" s="20">
        <v>12</v>
      </c>
      <c r="N945" s="1">
        <v>2</v>
      </c>
    </row>
    <row r="946" spans="1:14" x14ac:dyDescent="0.25">
      <c r="A946" t="str">
        <f t="shared" si="30"/>
        <v>78744227874422</v>
      </c>
      <c r="B946" t="str">
        <f t="shared" si="31"/>
        <v>7874422GC9060BE-M</v>
      </c>
      <c r="C946" s="1" t="s">
        <v>43</v>
      </c>
      <c r="D946" s="1" t="s">
        <v>571</v>
      </c>
      <c r="E946" s="1" t="s">
        <v>392</v>
      </c>
      <c r="F946" s="1" t="s">
        <v>393</v>
      </c>
      <c r="G946" s="1" t="s">
        <v>394</v>
      </c>
      <c r="H946" s="1">
        <v>984</v>
      </c>
      <c r="I946" s="3">
        <v>46266</v>
      </c>
      <c r="J946" s="3">
        <v>46269</v>
      </c>
      <c r="K946" s="3" t="s">
        <v>2358</v>
      </c>
      <c r="L946" s="22">
        <v>46266.581697719907</v>
      </c>
      <c r="M946" s="20">
        <v>12</v>
      </c>
      <c r="N946" s="1">
        <v>74</v>
      </c>
    </row>
    <row r="947" spans="1:14" x14ac:dyDescent="0.25">
      <c r="A947" t="str">
        <f t="shared" si="30"/>
        <v>78744227874422</v>
      </c>
      <c r="B947" t="str">
        <f t="shared" si="31"/>
        <v>7874422GC9060BE-M</v>
      </c>
      <c r="C947" s="1" t="s">
        <v>43</v>
      </c>
      <c r="D947" s="1" t="s">
        <v>571</v>
      </c>
      <c r="E947" s="1" t="s">
        <v>392</v>
      </c>
      <c r="F947" s="1" t="s">
        <v>393</v>
      </c>
      <c r="G947" s="1" t="s">
        <v>394</v>
      </c>
      <c r="H947" s="1">
        <v>984</v>
      </c>
      <c r="I947" s="3">
        <v>46266</v>
      </c>
      <c r="J947" s="3">
        <v>46269</v>
      </c>
      <c r="K947" s="3" t="s">
        <v>2358</v>
      </c>
      <c r="L947" s="22">
        <v>46266.583408564809</v>
      </c>
      <c r="M947" s="20">
        <v>12</v>
      </c>
      <c r="N947" s="1">
        <v>8</v>
      </c>
    </row>
    <row r="948" spans="1:14" x14ac:dyDescent="0.25">
      <c r="A948" t="str">
        <f t="shared" si="30"/>
        <v>78744227874422</v>
      </c>
      <c r="B948" t="str">
        <f t="shared" si="31"/>
        <v>7874422GC9060BE-M</v>
      </c>
      <c r="C948" s="1" t="s">
        <v>43</v>
      </c>
      <c r="D948" s="1" t="s">
        <v>571</v>
      </c>
      <c r="E948" s="1" t="s">
        <v>392</v>
      </c>
      <c r="F948" s="1" t="s">
        <v>393</v>
      </c>
      <c r="G948" s="1" t="s">
        <v>394</v>
      </c>
      <c r="H948" s="1">
        <v>984</v>
      </c>
      <c r="I948" s="3">
        <v>46266</v>
      </c>
      <c r="J948" s="3">
        <v>46269</v>
      </c>
      <c r="K948" s="3" t="s">
        <v>2358</v>
      </c>
      <c r="L948" s="22">
        <v>46266.589179398143</v>
      </c>
      <c r="M948" s="20">
        <v>12</v>
      </c>
      <c r="N948" s="1">
        <v>76</v>
      </c>
    </row>
    <row r="949" spans="1:14" x14ac:dyDescent="0.25">
      <c r="A949" t="str">
        <f t="shared" si="30"/>
        <v>78744227874422</v>
      </c>
      <c r="B949" t="str">
        <f t="shared" si="31"/>
        <v>7874422GC9060BE-M</v>
      </c>
      <c r="C949" s="1" t="s">
        <v>43</v>
      </c>
      <c r="D949" s="1" t="s">
        <v>571</v>
      </c>
      <c r="E949" s="1" t="s">
        <v>392</v>
      </c>
      <c r="F949" s="1" t="s">
        <v>393</v>
      </c>
      <c r="G949" s="1" t="s">
        <v>394</v>
      </c>
      <c r="H949" s="1">
        <v>984</v>
      </c>
      <c r="I949" s="3">
        <v>46266</v>
      </c>
      <c r="J949" s="3">
        <v>46269</v>
      </c>
      <c r="K949" s="3" t="s">
        <v>2358</v>
      </c>
      <c r="L949" s="22">
        <v>46266.589371527778</v>
      </c>
      <c r="M949" s="20">
        <v>12</v>
      </c>
      <c r="N949" s="1">
        <v>73</v>
      </c>
    </row>
    <row r="950" spans="1:14" x14ac:dyDescent="0.25">
      <c r="A950" t="str">
        <f t="shared" si="30"/>
        <v>78744227874422</v>
      </c>
      <c r="B950" t="str">
        <f t="shared" si="31"/>
        <v>7874422GC9060BE-M</v>
      </c>
      <c r="C950" s="1" t="s">
        <v>43</v>
      </c>
      <c r="D950" s="1" t="s">
        <v>571</v>
      </c>
      <c r="E950" s="1" t="s">
        <v>392</v>
      </c>
      <c r="F950" s="1" t="s">
        <v>393</v>
      </c>
      <c r="G950" s="1" t="s">
        <v>394</v>
      </c>
      <c r="H950" s="1">
        <v>984</v>
      </c>
      <c r="I950" s="3">
        <v>46266</v>
      </c>
      <c r="J950" s="3">
        <v>46269</v>
      </c>
      <c r="K950" s="3" t="s">
        <v>2358</v>
      </c>
      <c r="L950" s="22">
        <v>46266.589554317128</v>
      </c>
      <c r="M950" s="20">
        <v>12</v>
      </c>
      <c r="N950" s="1">
        <v>58</v>
      </c>
    </row>
    <row r="951" spans="1:14" x14ac:dyDescent="0.25">
      <c r="A951" t="str">
        <f t="shared" si="30"/>
        <v>78744227874422</v>
      </c>
      <c r="B951" t="str">
        <f t="shared" si="31"/>
        <v>7874422GC9060BE-M</v>
      </c>
      <c r="C951" s="1" t="s">
        <v>43</v>
      </c>
      <c r="D951" s="1" t="s">
        <v>571</v>
      </c>
      <c r="E951" s="1" t="s">
        <v>392</v>
      </c>
      <c r="F951" s="1" t="s">
        <v>393</v>
      </c>
      <c r="G951" s="1" t="s">
        <v>394</v>
      </c>
      <c r="H951" s="1">
        <v>984</v>
      </c>
      <c r="I951" s="3">
        <v>46266</v>
      </c>
      <c r="J951" s="3">
        <v>46269</v>
      </c>
      <c r="K951" s="3" t="s">
        <v>2358</v>
      </c>
      <c r="L951" s="22">
        <v>46266.589750844905</v>
      </c>
      <c r="M951" s="20">
        <v>12</v>
      </c>
      <c r="N951" s="1">
        <v>59</v>
      </c>
    </row>
    <row r="952" spans="1:14" x14ac:dyDescent="0.25">
      <c r="A952" t="str">
        <f t="shared" si="30"/>
        <v>78744227874422</v>
      </c>
      <c r="B952" t="str">
        <f t="shared" si="31"/>
        <v>7874422GC9060BE-M</v>
      </c>
      <c r="C952" s="1" t="s">
        <v>43</v>
      </c>
      <c r="D952" s="1" t="s">
        <v>571</v>
      </c>
      <c r="E952" s="1" t="s">
        <v>392</v>
      </c>
      <c r="F952" s="1" t="s">
        <v>393</v>
      </c>
      <c r="G952" s="1" t="s">
        <v>394</v>
      </c>
      <c r="H952" s="1">
        <v>984</v>
      </c>
      <c r="I952" s="3">
        <v>46266</v>
      </c>
      <c r="J952" s="3">
        <v>46269</v>
      </c>
      <c r="K952" s="3" t="s">
        <v>2358</v>
      </c>
      <c r="L952" s="22">
        <v>46266.590332060186</v>
      </c>
      <c r="M952" s="20">
        <v>12</v>
      </c>
      <c r="N952" s="1">
        <v>72</v>
      </c>
    </row>
    <row r="953" spans="1:14" x14ac:dyDescent="0.25">
      <c r="A953" t="str">
        <f t="shared" si="30"/>
        <v>78744227874422</v>
      </c>
      <c r="B953" t="str">
        <f t="shared" si="31"/>
        <v>7874422GC9060BE-M</v>
      </c>
      <c r="C953" s="1" t="s">
        <v>43</v>
      </c>
      <c r="D953" s="1" t="s">
        <v>571</v>
      </c>
      <c r="E953" s="1" t="s">
        <v>392</v>
      </c>
      <c r="F953" s="1" t="s">
        <v>393</v>
      </c>
      <c r="G953" s="1" t="s">
        <v>394</v>
      </c>
      <c r="H953" s="1">
        <v>984</v>
      </c>
      <c r="I953" s="3">
        <v>46266</v>
      </c>
      <c r="J953" s="3">
        <v>46269</v>
      </c>
      <c r="K953" s="3" t="s">
        <v>2358</v>
      </c>
      <c r="L953" s="22">
        <v>46266.592328622683</v>
      </c>
      <c r="M953" s="20">
        <v>12</v>
      </c>
      <c r="N953" s="1">
        <v>57</v>
      </c>
    </row>
    <row r="954" spans="1:14" x14ac:dyDescent="0.25">
      <c r="A954" t="str">
        <f t="shared" si="30"/>
        <v>78744227874422</v>
      </c>
      <c r="B954" t="str">
        <f t="shared" si="31"/>
        <v>7874422GC9060BE-M</v>
      </c>
      <c r="C954" s="1" t="s">
        <v>43</v>
      </c>
      <c r="D954" s="1" t="s">
        <v>571</v>
      </c>
      <c r="E954" s="1" t="s">
        <v>392</v>
      </c>
      <c r="F954" s="1" t="s">
        <v>393</v>
      </c>
      <c r="G954" s="1" t="s">
        <v>394</v>
      </c>
      <c r="H954" s="1">
        <v>984</v>
      </c>
      <c r="I954" s="3">
        <v>46266</v>
      </c>
      <c r="J954" s="3">
        <v>46269</v>
      </c>
      <c r="K954" s="3" t="s">
        <v>2358</v>
      </c>
      <c r="L954" s="22">
        <v>46266.597774155089</v>
      </c>
      <c r="M954" s="20">
        <v>12</v>
      </c>
      <c r="N954" s="1">
        <v>14</v>
      </c>
    </row>
    <row r="955" spans="1:14" x14ac:dyDescent="0.25">
      <c r="A955" t="str">
        <f t="shared" si="30"/>
        <v>78744227874422</v>
      </c>
      <c r="B955" t="str">
        <f t="shared" si="31"/>
        <v>7874422GC9060BE-M</v>
      </c>
      <c r="C955" s="1" t="s">
        <v>43</v>
      </c>
      <c r="D955" s="1" t="s">
        <v>571</v>
      </c>
      <c r="E955" s="1" t="s">
        <v>392</v>
      </c>
      <c r="F955" s="1" t="s">
        <v>393</v>
      </c>
      <c r="G955" s="1" t="s">
        <v>394</v>
      </c>
      <c r="H955" s="1">
        <v>984</v>
      </c>
      <c r="I955" s="3">
        <v>46266</v>
      </c>
      <c r="J955" s="3">
        <v>46269</v>
      </c>
      <c r="K955" s="3" t="s">
        <v>2358</v>
      </c>
      <c r="L955" s="22">
        <v>46266.602097569441</v>
      </c>
      <c r="M955" s="20">
        <v>12</v>
      </c>
      <c r="N955" s="1">
        <v>48</v>
      </c>
    </row>
    <row r="956" spans="1:14" x14ac:dyDescent="0.25">
      <c r="A956" t="str">
        <f t="shared" si="30"/>
        <v>78744227874422</v>
      </c>
      <c r="B956" t="str">
        <f t="shared" si="31"/>
        <v>7874422GC9060BE-M</v>
      </c>
      <c r="C956" s="1" t="s">
        <v>43</v>
      </c>
      <c r="D956" s="1" t="s">
        <v>571</v>
      </c>
      <c r="E956" s="1" t="s">
        <v>392</v>
      </c>
      <c r="F956" s="1" t="s">
        <v>393</v>
      </c>
      <c r="G956" s="1" t="s">
        <v>394</v>
      </c>
      <c r="H956" s="1">
        <v>984</v>
      </c>
      <c r="I956" s="3">
        <v>46266</v>
      </c>
      <c r="J956" s="3">
        <v>46269</v>
      </c>
      <c r="K956" s="3" t="s">
        <v>2358</v>
      </c>
      <c r="L956" s="22">
        <v>46266.602666435181</v>
      </c>
      <c r="M956" s="20">
        <v>12</v>
      </c>
      <c r="N956" s="1">
        <v>9</v>
      </c>
    </row>
    <row r="957" spans="1:14" x14ac:dyDescent="0.25">
      <c r="A957" t="str">
        <f t="shared" si="30"/>
        <v>78744227874422</v>
      </c>
      <c r="B957" t="str">
        <f t="shared" si="31"/>
        <v>7874422GC9060BE-M</v>
      </c>
      <c r="C957" s="1" t="s">
        <v>43</v>
      </c>
      <c r="D957" s="1" t="s">
        <v>571</v>
      </c>
      <c r="E957" s="1" t="s">
        <v>392</v>
      </c>
      <c r="F957" s="1" t="s">
        <v>393</v>
      </c>
      <c r="G957" s="1" t="s">
        <v>394</v>
      </c>
      <c r="H957" s="1">
        <v>984</v>
      </c>
      <c r="I957" s="3">
        <v>46266</v>
      </c>
      <c r="J957" s="3">
        <v>46269</v>
      </c>
      <c r="K957" s="3" t="s">
        <v>2358</v>
      </c>
      <c r="L957" s="22">
        <v>46266.603819479162</v>
      </c>
      <c r="M957" s="20">
        <v>12</v>
      </c>
      <c r="N957" s="1">
        <v>60</v>
      </c>
    </row>
    <row r="958" spans="1:14" x14ac:dyDescent="0.25">
      <c r="A958" t="str">
        <f t="shared" si="30"/>
        <v>78744227874422</v>
      </c>
      <c r="B958" t="str">
        <f t="shared" si="31"/>
        <v>7874422GC9060BE-M</v>
      </c>
      <c r="C958" s="1" t="s">
        <v>43</v>
      </c>
      <c r="D958" s="1" t="s">
        <v>571</v>
      </c>
      <c r="E958" s="1" t="s">
        <v>392</v>
      </c>
      <c r="F958" s="1" t="s">
        <v>393</v>
      </c>
      <c r="G958" s="1" t="s">
        <v>394</v>
      </c>
      <c r="H958" s="1">
        <v>984</v>
      </c>
      <c r="I958" s="3">
        <v>46266</v>
      </c>
      <c r="J958" s="3">
        <v>46269</v>
      </c>
      <c r="K958" s="3" t="s">
        <v>2358</v>
      </c>
      <c r="L958" s="22">
        <v>46266.605739432867</v>
      </c>
      <c r="M958" s="20">
        <v>12</v>
      </c>
      <c r="N958" s="1">
        <v>75</v>
      </c>
    </row>
    <row r="959" spans="1:14" x14ac:dyDescent="0.25">
      <c r="A959" t="str">
        <f t="shared" si="30"/>
        <v>78744227874422</v>
      </c>
      <c r="B959" t="str">
        <f t="shared" si="31"/>
        <v>7874422GC9060BE-M</v>
      </c>
      <c r="C959" s="1" t="s">
        <v>43</v>
      </c>
      <c r="D959" s="1" t="s">
        <v>571</v>
      </c>
      <c r="E959" s="1" t="s">
        <v>392</v>
      </c>
      <c r="F959" s="1" t="s">
        <v>393</v>
      </c>
      <c r="G959" s="1" t="s">
        <v>394</v>
      </c>
      <c r="H959" s="1">
        <v>984</v>
      </c>
      <c r="I959" s="3">
        <v>46266</v>
      </c>
      <c r="J959" s="3">
        <v>46269</v>
      </c>
      <c r="K959" s="3" t="s">
        <v>2358</v>
      </c>
      <c r="L959" s="22">
        <v>46266.613934872687</v>
      </c>
      <c r="M959" s="20">
        <v>12</v>
      </c>
      <c r="N959" s="1">
        <v>31</v>
      </c>
    </row>
    <row r="960" spans="1:14" x14ac:dyDescent="0.25">
      <c r="A960" t="str">
        <f t="shared" si="30"/>
        <v>78744227874422</v>
      </c>
      <c r="B960" t="str">
        <f t="shared" si="31"/>
        <v>7874422GC9060BE-M</v>
      </c>
      <c r="C960" s="1" t="s">
        <v>43</v>
      </c>
      <c r="D960" s="1" t="s">
        <v>571</v>
      </c>
      <c r="E960" s="1" t="s">
        <v>392</v>
      </c>
      <c r="F960" s="1" t="s">
        <v>393</v>
      </c>
      <c r="G960" s="1" t="s">
        <v>394</v>
      </c>
      <c r="H960" s="1">
        <v>984</v>
      </c>
      <c r="I960" s="3">
        <v>46266</v>
      </c>
      <c r="J960" s="3">
        <v>46269</v>
      </c>
      <c r="K960" s="3" t="s">
        <v>2358</v>
      </c>
      <c r="L960" s="22">
        <v>46266.627962581013</v>
      </c>
      <c r="M960" s="20">
        <v>12</v>
      </c>
      <c r="N960" s="1">
        <v>49</v>
      </c>
    </row>
    <row r="961" spans="1:14" x14ac:dyDescent="0.25">
      <c r="A961" t="str">
        <f t="shared" si="30"/>
        <v>78744227874422</v>
      </c>
      <c r="B961" t="str">
        <f t="shared" si="31"/>
        <v>7874422GC9060BE-M</v>
      </c>
      <c r="C961" s="1" t="s">
        <v>43</v>
      </c>
      <c r="D961" s="1" t="s">
        <v>571</v>
      </c>
      <c r="E961" s="1" t="s">
        <v>392</v>
      </c>
      <c r="F961" s="1" t="s">
        <v>393</v>
      </c>
      <c r="G961" s="1" t="s">
        <v>394</v>
      </c>
      <c r="H961" s="1">
        <v>984</v>
      </c>
      <c r="I961" s="3">
        <v>46266</v>
      </c>
      <c r="J961" s="3">
        <v>46269</v>
      </c>
      <c r="K961" s="3" t="s">
        <v>2358</v>
      </c>
      <c r="L961" s="22">
        <v>46266.646283101851</v>
      </c>
      <c r="M961" s="20">
        <v>12</v>
      </c>
      <c r="N961" s="1">
        <v>32</v>
      </c>
    </row>
    <row r="962" spans="1:14" x14ac:dyDescent="0.25">
      <c r="A962" t="str">
        <f t="shared" ref="A962:A1025" si="32">+D962&amp;D962</f>
        <v>78744227874422</v>
      </c>
      <c r="B962" t="str">
        <f t="shared" ref="B962:B1025" si="33">+D962&amp;C962</f>
        <v>7874422GC9060BE-M</v>
      </c>
      <c r="C962" s="1" t="s">
        <v>43</v>
      </c>
      <c r="D962" s="1" t="s">
        <v>571</v>
      </c>
      <c r="E962" s="1" t="s">
        <v>392</v>
      </c>
      <c r="F962" s="1" t="s">
        <v>393</v>
      </c>
      <c r="G962" s="1" t="s">
        <v>394</v>
      </c>
      <c r="H962" s="1">
        <v>984</v>
      </c>
      <c r="I962" s="3">
        <v>46266</v>
      </c>
      <c r="J962" s="3">
        <v>46269</v>
      </c>
      <c r="K962" s="3" t="s">
        <v>2358</v>
      </c>
      <c r="L962" s="22">
        <v>46266.65510945602</v>
      </c>
      <c r="M962" s="20">
        <v>12</v>
      </c>
      <c r="N962" s="1">
        <v>62</v>
      </c>
    </row>
    <row r="963" spans="1:14" x14ac:dyDescent="0.25">
      <c r="A963" t="str">
        <f t="shared" si="32"/>
        <v>78744227874422</v>
      </c>
      <c r="B963" t="str">
        <f t="shared" si="33"/>
        <v>7874422GC9060BE-M</v>
      </c>
      <c r="C963" s="1" t="s">
        <v>43</v>
      </c>
      <c r="D963" s="1" t="s">
        <v>571</v>
      </c>
      <c r="E963" s="1" t="s">
        <v>392</v>
      </c>
      <c r="F963" s="1" t="s">
        <v>393</v>
      </c>
      <c r="G963" s="1" t="s">
        <v>394</v>
      </c>
      <c r="H963" s="1">
        <v>984</v>
      </c>
      <c r="I963" s="3">
        <v>46266</v>
      </c>
      <c r="J963" s="3">
        <v>46269</v>
      </c>
      <c r="K963" s="3" t="s">
        <v>2358</v>
      </c>
      <c r="L963" s="22">
        <v>46266.681809224538</v>
      </c>
      <c r="M963" s="20">
        <v>12</v>
      </c>
      <c r="N963" s="1">
        <v>61</v>
      </c>
    </row>
    <row r="964" spans="1:14" x14ac:dyDescent="0.25">
      <c r="A964" t="str">
        <f t="shared" si="32"/>
        <v>78744227874422</v>
      </c>
      <c r="B964" t="str">
        <f t="shared" si="33"/>
        <v>7874422GC9060BE-M</v>
      </c>
      <c r="C964" s="1" t="s">
        <v>43</v>
      </c>
      <c r="D964" s="1" t="s">
        <v>571</v>
      </c>
      <c r="E964" s="1" t="s">
        <v>392</v>
      </c>
      <c r="F964" s="1" t="s">
        <v>393</v>
      </c>
      <c r="G964" s="1" t="s">
        <v>394</v>
      </c>
      <c r="H964" s="1">
        <v>984</v>
      </c>
      <c r="I964" s="3">
        <v>46266</v>
      </c>
      <c r="J964" s="3">
        <v>46269</v>
      </c>
      <c r="K964" s="3" t="s">
        <v>2358</v>
      </c>
      <c r="L964" s="22">
        <v>46266.682269907404</v>
      </c>
      <c r="M964" s="20">
        <v>12</v>
      </c>
      <c r="N964" s="1">
        <v>77</v>
      </c>
    </row>
    <row r="965" spans="1:14" x14ac:dyDescent="0.25">
      <c r="A965" t="str">
        <f t="shared" si="32"/>
        <v>78744227874422</v>
      </c>
      <c r="B965" t="str">
        <f t="shared" si="33"/>
        <v>7874422GC9060BE-M</v>
      </c>
      <c r="C965" s="1" t="s">
        <v>43</v>
      </c>
      <c r="D965" s="1" t="s">
        <v>571</v>
      </c>
      <c r="E965" s="1" t="s">
        <v>392</v>
      </c>
      <c r="F965" s="1" t="s">
        <v>393</v>
      </c>
      <c r="G965" s="1" t="s">
        <v>394</v>
      </c>
      <c r="H965" s="1">
        <v>984</v>
      </c>
      <c r="I965" s="3">
        <v>46266</v>
      </c>
      <c r="J965" s="3">
        <v>46269</v>
      </c>
      <c r="K965" s="3" t="s">
        <v>2358</v>
      </c>
      <c r="L965" s="22">
        <v>46266.682534143518</v>
      </c>
      <c r="M965" s="20">
        <v>12</v>
      </c>
      <c r="N965" s="1">
        <v>34</v>
      </c>
    </row>
    <row r="966" spans="1:14" x14ac:dyDescent="0.25">
      <c r="A966" t="str">
        <f t="shared" si="32"/>
        <v>H171627H171627</v>
      </c>
      <c r="B966" t="str">
        <f t="shared" si="33"/>
        <v>H171627I60356H-M</v>
      </c>
      <c r="C966" s="1" t="s">
        <v>568</v>
      </c>
      <c r="D966" s="1" t="s">
        <v>569</v>
      </c>
      <c r="E966" s="1" t="s">
        <v>434</v>
      </c>
      <c r="F966" s="1" t="s">
        <v>435</v>
      </c>
      <c r="G966" s="1" t="s">
        <v>404</v>
      </c>
      <c r="H966" s="1">
        <v>144</v>
      </c>
      <c r="I966" s="3">
        <v>46266</v>
      </c>
      <c r="J966" s="3">
        <v>46266</v>
      </c>
      <c r="K966" s="3" t="s">
        <v>2363</v>
      </c>
      <c r="L966" s="22">
        <v>46266.354556863422</v>
      </c>
      <c r="M966" s="20">
        <v>12</v>
      </c>
      <c r="N966" s="1">
        <v>6</v>
      </c>
    </row>
    <row r="967" spans="1:14" x14ac:dyDescent="0.25">
      <c r="A967" t="str">
        <f t="shared" si="32"/>
        <v>H171627H171627</v>
      </c>
      <c r="B967" t="str">
        <f t="shared" si="33"/>
        <v>H171627I60356H-M</v>
      </c>
      <c r="C967" s="1" t="s">
        <v>568</v>
      </c>
      <c r="D967" s="1" t="s">
        <v>569</v>
      </c>
      <c r="E967" s="1" t="s">
        <v>434</v>
      </c>
      <c r="F967" s="1" t="s">
        <v>435</v>
      </c>
      <c r="G967" s="1" t="s">
        <v>404</v>
      </c>
      <c r="H967" s="1">
        <v>144</v>
      </c>
      <c r="I967" s="3">
        <v>46266</v>
      </c>
      <c r="J967" s="3">
        <v>46266</v>
      </c>
      <c r="K967" s="3" t="s">
        <v>2363</v>
      </c>
      <c r="L967" s="22">
        <v>46266.377994791663</v>
      </c>
      <c r="M967" s="20">
        <v>12</v>
      </c>
      <c r="N967" s="1">
        <v>8</v>
      </c>
    </row>
    <row r="968" spans="1:14" x14ac:dyDescent="0.25">
      <c r="A968" t="str">
        <f t="shared" si="32"/>
        <v>H171627H171627</v>
      </c>
      <c r="B968" t="str">
        <f t="shared" si="33"/>
        <v>H171627I60356H-M</v>
      </c>
      <c r="C968" s="1" t="s">
        <v>568</v>
      </c>
      <c r="D968" s="1" t="s">
        <v>569</v>
      </c>
      <c r="E968" s="1" t="s">
        <v>434</v>
      </c>
      <c r="F968" s="1" t="s">
        <v>435</v>
      </c>
      <c r="G968" s="1" t="s">
        <v>404</v>
      </c>
      <c r="H968" s="1">
        <v>144</v>
      </c>
      <c r="I968" s="3">
        <v>46266</v>
      </c>
      <c r="J968" s="3">
        <v>46266</v>
      </c>
      <c r="K968" s="3" t="s">
        <v>2363</v>
      </c>
      <c r="L968" s="22">
        <v>46266.378371030092</v>
      </c>
      <c r="M968" s="20">
        <v>12</v>
      </c>
      <c r="N968" s="1">
        <v>1</v>
      </c>
    </row>
    <row r="969" spans="1:14" x14ac:dyDescent="0.25">
      <c r="A969" t="str">
        <f t="shared" si="32"/>
        <v>H171627H171627</v>
      </c>
      <c r="B969" t="str">
        <f t="shared" si="33"/>
        <v>H171627I60356H-M</v>
      </c>
      <c r="C969" s="1" t="s">
        <v>568</v>
      </c>
      <c r="D969" s="1" t="s">
        <v>569</v>
      </c>
      <c r="E969" s="1" t="s">
        <v>434</v>
      </c>
      <c r="F969" s="1" t="s">
        <v>435</v>
      </c>
      <c r="G969" s="1" t="s">
        <v>404</v>
      </c>
      <c r="H969" s="1">
        <v>144</v>
      </c>
      <c r="I969" s="3">
        <v>46266</v>
      </c>
      <c r="J969" s="3">
        <v>46266</v>
      </c>
      <c r="K969" s="3" t="s">
        <v>2363</v>
      </c>
      <c r="L969" s="22">
        <v>46266.37857627315</v>
      </c>
      <c r="M969" s="20">
        <v>12</v>
      </c>
      <c r="N969" s="1">
        <v>10</v>
      </c>
    </row>
    <row r="970" spans="1:14" x14ac:dyDescent="0.25">
      <c r="A970" t="str">
        <f t="shared" si="32"/>
        <v>H171627H171627</v>
      </c>
      <c r="B970" t="str">
        <f t="shared" si="33"/>
        <v>H171627I60356H-M</v>
      </c>
      <c r="C970" s="1" t="s">
        <v>568</v>
      </c>
      <c r="D970" s="1" t="s">
        <v>569</v>
      </c>
      <c r="E970" s="1" t="s">
        <v>434</v>
      </c>
      <c r="F970" s="1" t="s">
        <v>435</v>
      </c>
      <c r="G970" s="1" t="s">
        <v>404</v>
      </c>
      <c r="H970" s="1">
        <v>144</v>
      </c>
      <c r="I970" s="3">
        <v>46266</v>
      </c>
      <c r="J970" s="3">
        <v>46266</v>
      </c>
      <c r="K970" s="3" t="s">
        <v>2363</v>
      </c>
      <c r="L970" s="22">
        <v>46266.389277118054</v>
      </c>
      <c r="M970" s="20">
        <v>12</v>
      </c>
      <c r="N970" s="1">
        <v>2</v>
      </c>
    </row>
    <row r="971" spans="1:14" x14ac:dyDescent="0.25">
      <c r="A971" t="str">
        <f t="shared" si="32"/>
        <v>H171627H171627</v>
      </c>
      <c r="B971" t="str">
        <f t="shared" si="33"/>
        <v>H171627I60356H-M</v>
      </c>
      <c r="C971" s="1" t="s">
        <v>568</v>
      </c>
      <c r="D971" s="1" t="s">
        <v>569</v>
      </c>
      <c r="E971" s="1" t="s">
        <v>434</v>
      </c>
      <c r="F971" s="1" t="s">
        <v>435</v>
      </c>
      <c r="G971" s="1" t="s">
        <v>404</v>
      </c>
      <c r="H971" s="1">
        <v>144</v>
      </c>
      <c r="I971" s="3">
        <v>46266</v>
      </c>
      <c r="J971" s="3">
        <v>46266</v>
      </c>
      <c r="K971" s="3" t="s">
        <v>2363</v>
      </c>
      <c r="L971" s="22">
        <v>46266.389790196758</v>
      </c>
      <c r="M971" s="20">
        <v>12</v>
      </c>
      <c r="N971" s="1">
        <v>4</v>
      </c>
    </row>
    <row r="972" spans="1:14" x14ac:dyDescent="0.25">
      <c r="A972" t="str">
        <f t="shared" si="32"/>
        <v>H171627H171627</v>
      </c>
      <c r="B972" t="str">
        <f t="shared" si="33"/>
        <v>H171627I60356H-M</v>
      </c>
      <c r="C972" s="1" t="s">
        <v>568</v>
      </c>
      <c r="D972" s="1" t="s">
        <v>569</v>
      </c>
      <c r="E972" s="1" t="s">
        <v>434</v>
      </c>
      <c r="F972" s="1" t="s">
        <v>435</v>
      </c>
      <c r="G972" s="1" t="s">
        <v>404</v>
      </c>
      <c r="H972" s="1">
        <v>144</v>
      </c>
      <c r="I972" s="3">
        <v>46266</v>
      </c>
      <c r="J972" s="3">
        <v>46266</v>
      </c>
      <c r="K972" s="3" t="s">
        <v>2363</v>
      </c>
      <c r="L972" s="22">
        <v>46266.412505902779</v>
      </c>
      <c r="M972" s="20">
        <v>12</v>
      </c>
      <c r="N972" s="1">
        <v>9</v>
      </c>
    </row>
    <row r="973" spans="1:14" x14ac:dyDescent="0.25">
      <c r="A973" t="str">
        <f t="shared" si="32"/>
        <v>H171627H171627</v>
      </c>
      <c r="B973" t="str">
        <f t="shared" si="33"/>
        <v>H171627I60356H-M</v>
      </c>
      <c r="C973" s="1" t="s">
        <v>568</v>
      </c>
      <c r="D973" s="1" t="s">
        <v>569</v>
      </c>
      <c r="E973" s="1" t="s">
        <v>434</v>
      </c>
      <c r="F973" s="1" t="s">
        <v>435</v>
      </c>
      <c r="G973" s="1" t="s">
        <v>404</v>
      </c>
      <c r="H973" s="1">
        <v>144</v>
      </c>
      <c r="I973" s="3">
        <v>46266</v>
      </c>
      <c r="J973" s="3">
        <v>46266</v>
      </c>
      <c r="K973" s="3" t="s">
        <v>2363</v>
      </c>
      <c r="L973" s="22">
        <v>46266.412700659719</v>
      </c>
      <c r="M973" s="20">
        <v>12</v>
      </c>
      <c r="N973" s="1">
        <v>11</v>
      </c>
    </row>
    <row r="974" spans="1:14" x14ac:dyDescent="0.25">
      <c r="A974" t="str">
        <f t="shared" si="32"/>
        <v>H171627H171627</v>
      </c>
      <c r="B974" t="str">
        <f t="shared" si="33"/>
        <v>H171627I60356H-M</v>
      </c>
      <c r="C974" s="1" t="s">
        <v>568</v>
      </c>
      <c r="D974" s="1" t="s">
        <v>569</v>
      </c>
      <c r="E974" s="1" t="s">
        <v>434</v>
      </c>
      <c r="F974" s="1" t="s">
        <v>435</v>
      </c>
      <c r="G974" s="1" t="s">
        <v>404</v>
      </c>
      <c r="H974" s="1">
        <v>144</v>
      </c>
      <c r="I974" s="3">
        <v>46266</v>
      </c>
      <c r="J974" s="3">
        <v>46266</v>
      </c>
      <c r="K974" s="3" t="s">
        <v>2363</v>
      </c>
      <c r="L974" s="22">
        <v>46266.413082141204</v>
      </c>
      <c r="M974" s="20">
        <v>12</v>
      </c>
      <c r="N974" s="1">
        <v>3</v>
      </c>
    </row>
    <row r="975" spans="1:14" x14ac:dyDescent="0.25">
      <c r="A975" t="str">
        <f t="shared" si="32"/>
        <v>H171627H171627</v>
      </c>
      <c r="B975" t="str">
        <f t="shared" si="33"/>
        <v>H171627I60356H-M</v>
      </c>
      <c r="C975" s="1" t="s">
        <v>568</v>
      </c>
      <c r="D975" s="1" t="s">
        <v>569</v>
      </c>
      <c r="E975" s="1" t="s">
        <v>434</v>
      </c>
      <c r="F975" s="1" t="s">
        <v>435</v>
      </c>
      <c r="G975" s="1" t="s">
        <v>404</v>
      </c>
      <c r="H975" s="1">
        <v>144</v>
      </c>
      <c r="I975" s="3">
        <v>46266</v>
      </c>
      <c r="J975" s="3">
        <v>46266</v>
      </c>
      <c r="K975" s="3" t="s">
        <v>2363</v>
      </c>
      <c r="L975" s="22">
        <v>46266.413786226847</v>
      </c>
      <c r="M975" s="20">
        <v>12</v>
      </c>
      <c r="N975" s="1">
        <v>7</v>
      </c>
    </row>
    <row r="976" spans="1:14" x14ac:dyDescent="0.25">
      <c r="A976" t="str">
        <f t="shared" si="32"/>
        <v>H171627H171627</v>
      </c>
      <c r="B976" t="str">
        <f t="shared" si="33"/>
        <v>H171627I60356H-M</v>
      </c>
      <c r="C976" s="1" t="s">
        <v>568</v>
      </c>
      <c r="D976" s="1" t="s">
        <v>569</v>
      </c>
      <c r="E976" s="1" t="s">
        <v>434</v>
      </c>
      <c r="F976" s="1" t="s">
        <v>435</v>
      </c>
      <c r="G976" s="1" t="s">
        <v>404</v>
      </c>
      <c r="H976" s="1">
        <v>144</v>
      </c>
      <c r="I976" s="3">
        <v>46266</v>
      </c>
      <c r="J976" s="3">
        <v>46266</v>
      </c>
      <c r="K976" s="3" t="s">
        <v>2363</v>
      </c>
      <c r="L976" s="22">
        <v>46266.457494710645</v>
      </c>
      <c r="M976" s="20">
        <v>6</v>
      </c>
      <c r="N976" s="1">
        <v>13</v>
      </c>
    </row>
    <row r="977" spans="1:14" x14ac:dyDescent="0.25">
      <c r="A977" t="str">
        <f t="shared" si="32"/>
        <v>H171627H171627</v>
      </c>
      <c r="B977" t="str">
        <f t="shared" si="33"/>
        <v>H171627I60356H-M</v>
      </c>
      <c r="C977" s="1" t="s">
        <v>568</v>
      </c>
      <c r="D977" s="1" t="s">
        <v>569</v>
      </c>
      <c r="E977" s="1" t="s">
        <v>434</v>
      </c>
      <c r="F977" s="1" t="s">
        <v>435</v>
      </c>
      <c r="G977" s="1" t="s">
        <v>404</v>
      </c>
      <c r="H977" s="1">
        <v>144</v>
      </c>
      <c r="I977" s="3">
        <v>46266</v>
      </c>
      <c r="J977" s="3">
        <v>46266</v>
      </c>
      <c r="K977" s="3" t="s">
        <v>2363</v>
      </c>
      <c r="L977" s="22">
        <v>46266.479628356479</v>
      </c>
      <c r="M977" s="20">
        <v>6</v>
      </c>
      <c r="N977" s="1">
        <v>12</v>
      </c>
    </row>
    <row r="978" spans="1:14" x14ac:dyDescent="0.25">
      <c r="A978" t="str">
        <f t="shared" si="32"/>
        <v>H171627H171627</v>
      </c>
      <c r="B978" t="str">
        <f t="shared" si="33"/>
        <v>H171627I60356H-M</v>
      </c>
      <c r="C978" s="1" t="s">
        <v>568</v>
      </c>
      <c r="D978" s="1" t="s">
        <v>569</v>
      </c>
      <c r="E978" s="1" t="s">
        <v>434</v>
      </c>
      <c r="F978" s="1" t="s">
        <v>435</v>
      </c>
      <c r="G978" s="1" t="s">
        <v>404</v>
      </c>
      <c r="H978" s="1">
        <v>144</v>
      </c>
      <c r="I978" s="3">
        <v>46266</v>
      </c>
      <c r="J978" s="3">
        <v>46266</v>
      </c>
      <c r="K978" s="3" t="s">
        <v>2363</v>
      </c>
      <c r="L978" s="22">
        <v>46266.599004826385</v>
      </c>
      <c r="M978" s="20">
        <v>12</v>
      </c>
      <c r="N978" s="1">
        <v>5</v>
      </c>
    </row>
    <row r="979" spans="1:14" x14ac:dyDescent="0.25">
      <c r="A979" t="str">
        <f t="shared" si="32"/>
        <v>U146473U146473</v>
      </c>
      <c r="B979" t="str">
        <f t="shared" si="33"/>
        <v>U146473G6032Z2-M</v>
      </c>
      <c r="C979" s="1" t="s">
        <v>15</v>
      </c>
      <c r="D979" s="1" t="s">
        <v>573</v>
      </c>
      <c r="E979" s="1" t="s">
        <v>436</v>
      </c>
      <c r="F979" s="1" t="s">
        <v>447</v>
      </c>
      <c r="G979" s="1" t="s">
        <v>438</v>
      </c>
      <c r="H979" s="1">
        <v>672</v>
      </c>
      <c r="I979" s="3">
        <v>46266</v>
      </c>
      <c r="J979" s="3">
        <v>46276</v>
      </c>
      <c r="K979" s="3" t="s">
        <v>2368</v>
      </c>
      <c r="L979" s="22">
        <v>46266.689231828699</v>
      </c>
      <c r="M979" s="20">
        <v>6</v>
      </c>
      <c r="N979" s="1">
        <v>42</v>
      </c>
    </row>
    <row r="980" spans="1:14" x14ac:dyDescent="0.25">
      <c r="A980" t="str">
        <f t="shared" si="32"/>
        <v>U146473U146473</v>
      </c>
      <c r="B980" t="str">
        <f t="shared" si="33"/>
        <v>U146473G6032Z2-M</v>
      </c>
      <c r="C980" s="1" t="s">
        <v>15</v>
      </c>
      <c r="D980" s="1" t="s">
        <v>573</v>
      </c>
      <c r="E980" s="1" t="s">
        <v>436</v>
      </c>
      <c r="F980" s="1" t="s">
        <v>447</v>
      </c>
      <c r="G980" s="1" t="s">
        <v>438</v>
      </c>
      <c r="H980" s="1">
        <v>672</v>
      </c>
      <c r="I980" s="3">
        <v>46266</v>
      </c>
      <c r="J980" s="3">
        <v>46276</v>
      </c>
      <c r="K980" s="3" t="s">
        <v>2368</v>
      </c>
      <c r="L980" s="22">
        <v>46266.689426273144</v>
      </c>
      <c r="M980" s="20">
        <v>6</v>
      </c>
      <c r="N980" s="1">
        <v>41</v>
      </c>
    </row>
    <row r="981" spans="1:14" x14ac:dyDescent="0.25">
      <c r="A981" t="str">
        <f t="shared" si="32"/>
        <v>U146473U146473</v>
      </c>
      <c r="B981" t="str">
        <f t="shared" si="33"/>
        <v>U146473G6032Z2-M</v>
      </c>
      <c r="C981" s="1" t="s">
        <v>15</v>
      </c>
      <c r="D981" s="1" t="s">
        <v>573</v>
      </c>
      <c r="E981" s="1" t="s">
        <v>436</v>
      </c>
      <c r="F981" s="1" t="s">
        <v>447</v>
      </c>
      <c r="G981" s="1" t="s">
        <v>438</v>
      </c>
      <c r="H981" s="1">
        <v>672</v>
      </c>
      <c r="I981" s="3">
        <v>46266</v>
      </c>
      <c r="J981" s="3">
        <v>46276</v>
      </c>
      <c r="K981" s="3" t="s">
        <v>2368</v>
      </c>
      <c r="L981" s="22">
        <v>46266.689604050924</v>
      </c>
      <c r="M981" s="20">
        <v>6</v>
      </c>
      <c r="N981" s="1">
        <v>60</v>
      </c>
    </row>
    <row r="982" spans="1:14" x14ac:dyDescent="0.25">
      <c r="A982" t="str">
        <f t="shared" si="32"/>
        <v>U146473U146473</v>
      </c>
      <c r="B982" t="str">
        <f t="shared" si="33"/>
        <v>U146473G6032Z2-M</v>
      </c>
      <c r="C982" s="1" t="s">
        <v>15</v>
      </c>
      <c r="D982" s="1" t="s">
        <v>573</v>
      </c>
      <c r="E982" s="1" t="s">
        <v>436</v>
      </c>
      <c r="F982" s="1" t="s">
        <v>447</v>
      </c>
      <c r="G982" s="1" t="s">
        <v>438</v>
      </c>
      <c r="H982" s="1">
        <v>672</v>
      </c>
      <c r="I982" s="3">
        <v>46266</v>
      </c>
      <c r="J982" s="3">
        <v>46276</v>
      </c>
      <c r="K982" s="3" t="s">
        <v>2368</v>
      </c>
      <c r="L982" s="22">
        <v>46266.689735567124</v>
      </c>
      <c r="M982" s="20">
        <v>6</v>
      </c>
      <c r="N982" s="1">
        <v>4</v>
      </c>
    </row>
    <row r="983" spans="1:14" x14ac:dyDescent="0.25">
      <c r="A983" t="str">
        <f t="shared" si="32"/>
        <v>U146473U146473</v>
      </c>
      <c r="B983" t="str">
        <f t="shared" si="33"/>
        <v>U146473G6032Z2-M</v>
      </c>
      <c r="C983" s="1" t="s">
        <v>15</v>
      </c>
      <c r="D983" s="1" t="s">
        <v>573</v>
      </c>
      <c r="E983" s="1" t="s">
        <v>436</v>
      </c>
      <c r="F983" s="1" t="s">
        <v>447</v>
      </c>
      <c r="G983" s="1" t="s">
        <v>438</v>
      </c>
      <c r="H983" s="1">
        <v>672</v>
      </c>
      <c r="I983" s="3">
        <v>46266</v>
      </c>
      <c r="J983" s="3">
        <v>46276</v>
      </c>
      <c r="K983" s="3" t="s">
        <v>2368</v>
      </c>
      <c r="L983" s="22">
        <v>46266.689895567128</v>
      </c>
      <c r="M983" s="20">
        <v>6</v>
      </c>
      <c r="N983" s="1">
        <v>5</v>
      </c>
    </row>
    <row r="984" spans="1:14" x14ac:dyDescent="0.25">
      <c r="A984" t="str">
        <f t="shared" si="32"/>
        <v>U146473U146473</v>
      </c>
      <c r="B984" t="str">
        <f t="shared" si="33"/>
        <v>U146473G6032Z2-M</v>
      </c>
      <c r="C984" s="1" t="s">
        <v>15</v>
      </c>
      <c r="D984" s="1" t="s">
        <v>573</v>
      </c>
      <c r="E984" s="1" t="s">
        <v>436</v>
      </c>
      <c r="F984" s="1" t="s">
        <v>447</v>
      </c>
      <c r="G984" s="1" t="s">
        <v>438</v>
      </c>
      <c r="H984" s="1">
        <v>672</v>
      </c>
      <c r="I984" s="3">
        <v>46266</v>
      </c>
      <c r="J984" s="3">
        <v>46276</v>
      </c>
      <c r="K984" s="3" t="s">
        <v>2368</v>
      </c>
      <c r="L984" s="22">
        <v>46266.690071145829</v>
      </c>
      <c r="M984" s="20">
        <v>6</v>
      </c>
      <c r="N984" s="1">
        <v>6</v>
      </c>
    </row>
    <row r="985" spans="1:14" x14ac:dyDescent="0.25">
      <c r="A985" t="str">
        <f t="shared" si="32"/>
        <v>U146473U146473</v>
      </c>
      <c r="B985" t="str">
        <f t="shared" si="33"/>
        <v>U146473G6032Z2-M</v>
      </c>
      <c r="C985" s="1" t="s">
        <v>15</v>
      </c>
      <c r="D985" s="1" t="s">
        <v>573</v>
      </c>
      <c r="E985" s="1" t="s">
        <v>436</v>
      </c>
      <c r="F985" s="1" t="s">
        <v>447</v>
      </c>
      <c r="G985" s="1" t="s">
        <v>438</v>
      </c>
      <c r="H985" s="1">
        <v>672</v>
      </c>
      <c r="I985" s="3">
        <v>46266</v>
      </c>
      <c r="J985" s="3">
        <v>46276</v>
      </c>
      <c r="K985" s="3" t="s">
        <v>2368</v>
      </c>
      <c r="L985" s="22">
        <v>46266.693068900458</v>
      </c>
      <c r="M985" s="20">
        <v>6</v>
      </c>
      <c r="N985" s="1">
        <v>38</v>
      </c>
    </row>
    <row r="986" spans="1:14" x14ac:dyDescent="0.25">
      <c r="A986" t="str">
        <f t="shared" si="32"/>
        <v>U146473U146473</v>
      </c>
      <c r="B986" t="str">
        <f t="shared" si="33"/>
        <v>U146473G6032Z2-M</v>
      </c>
      <c r="C986" s="1" t="s">
        <v>15</v>
      </c>
      <c r="D986" s="1" t="s">
        <v>573</v>
      </c>
      <c r="E986" s="1" t="s">
        <v>436</v>
      </c>
      <c r="F986" s="1" t="s">
        <v>447</v>
      </c>
      <c r="G986" s="1" t="s">
        <v>438</v>
      </c>
      <c r="H986" s="1">
        <v>672</v>
      </c>
      <c r="I986" s="3">
        <v>46266</v>
      </c>
      <c r="J986" s="3">
        <v>46276</v>
      </c>
      <c r="K986" s="3" t="s">
        <v>2368</v>
      </c>
      <c r="L986" s="22">
        <v>46266.693387187501</v>
      </c>
      <c r="M986" s="20">
        <v>6</v>
      </c>
      <c r="N986" s="1">
        <v>30</v>
      </c>
    </row>
    <row r="987" spans="1:14" x14ac:dyDescent="0.25">
      <c r="A987" t="str">
        <f t="shared" si="32"/>
        <v>78746107874610</v>
      </c>
      <c r="B987" t="str">
        <f t="shared" si="33"/>
        <v>7874610I57425Y-M</v>
      </c>
      <c r="C987" s="1" t="s">
        <v>574</v>
      </c>
      <c r="D987" s="1" t="s">
        <v>575</v>
      </c>
      <c r="E987" s="1" t="s">
        <v>392</v>
      </c>
      <c r="F987" s="1" t="s">
        <v>393</v>
      </c>
      <c r="G987" s="1" t="s">
        <v>394</v>
      </c>
      <c r="H987" s="1">
        <v>396</v>
      </c>
      <c r="I987" s="3">
        <v>46267</v>
      </c>
      <c r="J987" s="3">
        <v>46275</v>
      </c>
      <c r="K987" s="3" t="s">
        <v>2368</v>
      </c>
      <c r="L987" s="22">
        <v>46267.363136655091</v>
      </c>
      <c r="M987" s="20">
        <v>12</v>
      </c>
      <c r="N987" s="1">
        <v>24</v>
      </c>
    </row>
    <row r="988" spans="1:14" x14ac:dyDescent="0.25">
      <c r="A988" t="str">
        <f t="shared" si="32"/>
        <v>78746107874610</v>
      </c>
      <c r="B988" t="str">
        <f t="shared" si="33"/>
        <v>7874610I57425Y-M</v>
      </c>
      <c r="C988" s="1" t="s">
        <v>574</v>
      </c>
      <c r="D988" s="1" t="s">
        <v>575</v>
      </c>
      <c r="E988" s="1" t="s">
        <v>392</v>
      </c>
      <c r="F988" s="1" t="s">
        <v>393</v>
      </c>
      <c r="G988" s="1" t="s">
        <v>394</v>
      </c>
      <c r="H988" s="1">
        <v>396</v>
      </c>
      <c r="I988" s="3">
        <v>46267</v>
      </c>
      <c r="J988" s="3">
        <v>46275</v>
      </c>
      <c r="K988" s="3" t="s">
        <v>2368</v>
      </c>
      <c r="L988" s="22">
        <v>46267.367628622684</v>
      </c>
      <c r="M988" s="20">
        <v>12</v>
      </c>
      <c r="N988" s="1">
        <v>16</v>
      </c>
    </row>
    <row r="989" spans="1:14" x14ac:dyDescent="0.25">
      <c r="A989" t="str">
        <f t="shared" si="32"/>
        <v>78746107874610</v>
      </c>
      <c r="B989" t="str">
        <f t="shared" si="33"/>
        <v>7874610I57425Y-M</v>
      </c>
      <c r="C989" s="1" t="s">
        <v>574</v>
      </c>
      <c r="D989" s="1" t="s">
        <v>575</v>
      </c>
      <c r="E989" s="1" t="s">
        <v>392</v>
      </c>
      <c r="F989" s="1" t="s">
        <v>393</v>
      </c>
      <c r="G989" s="1" t="s">
        <v>394</v>
      </c>
      <c r="H989" s="1">
        <v>396</v>
      </c>
      <c r="I989" s="3">
        <v>46267</v>
      </c>
      <c r="J989" s="3">
        <v>46275</v>
      </c>
      <c r="K989" s="3" t="s">
        <v>2368</v>
      </c>
      <c r="L989" s="22">
        <v>46267.416257638884</v>
      </c>
      <c r="M989" s="20">
        <v>12</v>
      </c>
      <c r="N989" s="1">
        <v>23</v>
      </c>
    </row>
    <row r="990" spans="1:14" x14ac:dyDescent="0.25">
      <c r="A990" t="str">
        <f t="shared" si="32"/>
        <v>78746107874610</v>
      </c>
      <c r="B990" t="str">
        <f t="shared" si="33"/>
        <v>7874610I57425Y-M</v>
      </c>
      <c r="C990" s="1" t="s">
        <v>574</v>
      </c>
      <c r="D990" s="1" t="s">
        <v>575</v>
      </c>
      <c r="E990" s="1" t="s">
        <v>392</v>
      </c>
      <c r="F990" s="1" t="s">
        <v>393</v>
      </c>
      <c r="G990" s="1" t="s">
        <v>394</v>
      </c>
      <c r="H990" s="1">
        <v>396</v>
      </c>
      <c r="I990" s="3">
        <v>46267</v>
      </c>
      <c r="J990" s="3">
        <v>46275</v>
      </c>
      <c r="K990" s="3" t="s">
        <v>2368</v>
      </c>
      <c r="L990" s="22">
        <v>46267.41879560185</v>
      </c>
      <c r="M990" s="20">
        <v>12</v>
      </c>
      <c r="N990" s="1">
        <v>10</v>
      </c>
    </row>
    <row r="991" spans="1:14" x14ac:dyDescent="0.25">
      <c r="A991" t="str">
        <f t="shared" si="32"/>
        <v>78746107874610</v>
      </c>
      <c r="B991" t="str">
        <f t="shared" si="33"/>
        <v>7874610I57425Y-M</v>
      </c>
      <c r="C991" s="1" t="s">
        <v>574</v>
      </c>
      <c r="D991" s="1" t="s">
        <v>575</v>
      </c>
      <c r="E991" s="1" t="s">
        <v>392</v>
      </c>
      <c r="F991" s="1" t="s">
        <v>393</v>
      </c>
      <c r="G991" s="1" t="s">
        <v>394</v>
      </c>
      <c r="H991" s="1">
        <v>396</v>
      </c>
      <c r="I991" s="3">
        <v>46267</v>
      </c>
      <c r="J991" s="3">
        <v>46275</v>
      </c>
      <c r="K991" s="3" t="s">
        <v>2368</v>
      </c>
      <c r="L991" s="22">
        <v>46267.419130173606</v>
      </c>
      <c r="M991" s="20">
        <v>12</v>
      </c>
      <c r="N991" s="1">
        <v>9</v>
      </c>
    </row>
    <row r="992" spans="1:14" x14ac:dyDescent="0.25">
      <c r="A992" t="str">
        <f t="shared" si="32"/>
        <v>78746107874610</v>
      </c>
      <c r="B992" t="str">
        <f t="shared" si="33"/>
        <v>7874610I57425Y-M</v>
      </c>
      <c r="C992" s="1" t="s">
        <v>574</v>
      </c>
      <c r="D992" s="1" t="s">
        <v>575</v>
      </c>
      <c r="E992" s="1" t="s">
        <v>392</v>
      </c>
      <c r="F992" s="1" t="s">
        <v>393</v>
      </c>
      <c r="G992" s="1" t="s">
        <v>394</v>
      </c>
      <c r="H992" s="1">
        <v>396</v>
      </c>
      <c r="I992" s="3">
        <v>46267</v>
      </c>
      <c r="J992" s="3">
        <v>46275</v>
      </c>
      <c r="K992" s="3" t="s">
        <v>2368</v>
      </c>
      <c r="L992" s="22">
        <v>46267.444675115737</v>
      </c>
      <c r="M992" s="20">
        <v>12</v>
      </c>
      <c r="N992" s="1">
        <v>11</v>
      </c>
    </row>
    <row r="993" spans="1:14" x14ac:dyDescent="0.25">
      <c r="A993" t="str">
        <f t="shared" si="32"/>
        <v>78746107874610</v>
      </c>
      <c r="B993" t="str">
        <f t="shared" si="33"/>
        <v>7874610I57425Y-M</v>
      </c>
      <c r="C993" s="1" t="s">
        <v>574</v>
      </c>
      <c r="D993" s="1" t="s">
        <v>575</v>
      </c>
      <c r="E993" s="1" t="s">
        <v>392</v>
      </c>
      <c r="F993" s="1" t="s">
        <v>393</v>
      </c>
      <c r="G993" s="1" t="s">
        <v>394</v>
      </c>
      <c r="H993" s="1">
        <v>396</v>
      </c>
      <c r="I993" s="3">
        <v>46267</v>
      </c>
      <c r="J993" s="3">
        <v>46275</v>
      </c>
      <c r="K993" s="3" t="s">
        <v>2368</v>
      </c>
      <c r="L993" s="22">
        <v>46267.449426041661</v>
      </c>
      <c r="M993" s="20">
        <v>12</v>
      </c>
      <c r="N993" s="1">
        <v>25</v>
      </c>
    </row>
    <row r="994" spans="1:14" x14ac:dyDescent="0.25">
      <c r="A994" t="str">
        <f t="shared" si="32"/>
        <v>78746107874610</v>
      </c>
      <c r="B994" t="str">
        <f t="shared" si="33"/>
        <v>7874610I57425Y-M</v>
      </c>
      <c r="C994" s="1" t="s">
        <v>574</v>
      </c>
      <c r="D994" s="1" t="s">
        <v>575</v>
      </c>
      <c r="E994" s="1" t="s">
        <v>392</v>
      </c>
      <c r="F994" s="1" t="s">
        <v>393</v>
      </c>
      <c r="G994" s="1" t="s">
        <v>394</v>
      </c>
      <c r="H994" s="1">
        <v>396</v>
      </c>
      <c r="I994" s="3">
        <v>46267</v>
      </c>
      <c r="J994" s="3">
        <v>46275</v>
      </c>
      <c r="K994" s="3" t="s">
        <v>2368</v>
      </c>
      <c r="L994" s="22">
        <v>46267.459694826386</v>
      </c>
      <c r="M994" s="20">
        <v>12</v>
      </c>
      <c r="N994" s="1">
        <v>18</v>
      </c>
    </row>
    <row r="995" spans="1:14" x14ac:dyDescent="0.25">
      <c r="A995" t="str">
        <f t="shared" si="32"/>
        <v>78746107874610</v>
      </c>
      <c r="B995" t="str">
        <f t="shared" si="33"/>
        <v>7874610I57425Y-M</v>
      </c>
      <c r="C995" s="1" t="s">
        <v>574</v>
      </c>
      <c r="D995" s="1" t="s">
        <v>575</v>
      </c>
      <c r="E995" s="1" t="s">
        <v>392</v>
      </c>
      <c r="F995" s="1" t="s">
        <v>393</v>
      </c>
      <c r="G995" s="1" t="s">
        <v>394</v>
      </c>
      <c r="H995" s="1">
        <v>396</v>
      </c>
      <c r="I995" s="3">
        <v>46267</v>
      </c>
      <c r="J995" s="3">
        <v>46275</v>
      </c>
      <c r="K995" s="3" t="s">
        <v>2368</v>
      </c>
      <c r="L995" s="22">
        <v>46267.48212581018</v>
      </c>
      <c r="M995" s="20">
        <v>12</v>
      </c>
      <c r="N995" s="1">
        <v>5</v>
      </c>
    </row>
    <row r="996" spans="1:14" x14ac:dyDescent="0.25">
      <c r="A996" t="str">
        <f t="shared" si="32"/>
        <v>78746107874610</v>
      </c>
      <c r="B996" t="str">
        <f t="shared" si="33"/>
        <v>7874610I57425Y-M</v>
      </c>
      <c r="C996" s="1" t="s">
        <v>574</v>
      </c>
      <c r="D996" s="1" t="s">
        <v>575</v>
      </c>
      <c r="E996" s="1" t="s">
        <v>392</v>
      </c>
      <c r="F996" s="1" t="s">
        <v>393</v>
      </c>
      <c r="G996" s="1" t="s">
        <v>394</v>
      </c>
      <c r="H996" s="1">
        <v>396</v>
      </c>
      <c r="I996" s="3">
        <v>46267</v>
      </c>
      <c r="J996" s="3">
        <v>46275</v>
      </c>
      <c r="K996" s="3" t="s">
        <v>2368</v>
      </c>
      <c r="L996" s="22">
        <v>46267.48233353009</v>
      </c>
      <c r="M996" s="20">
        <v>12</v>
      </c>
      <c r="N996" s="1">
        <v>8</v>
      </c>
    </row>
    <row r="997" spans="1:14" x14ac:dyDescent="0.25">
      <c r="A997" t="str">
        <f t="shared" si="32"/>
        <v>78746107874610</v>
      </c>
      <c r="B997" t="str">
        <f t="shared" si="33"/>
        <v>7874610I57425Y-M</v>
      </c>
      <c r="C997" s="1" t="s">
        <v>574</v>
      </c>
      <c r="D997" s="1" t="s">
        <v>575</v>
      </c>
      <c r="E997" s="1" t="s">
        <v>392</v>
      </c>
      <c r="F997" s="1" t="s">
        <v>393</v>
      </c>
      <c r="G997" s="1" t="s">
        <v>394</v>
      </c>
      <c r="H997" s="1">
        <v>396</v>
      </c>
      <c r="I997" s="3">
        <v>46267</v>
      </c>
      <c r="J997" s="3">
        <v>46275</v>
      </c>
      <c r="K997" s="3" t="s">
        <v>2368</v>
      </c>
      <c r="L997" s="22">
        <v>46267.482505324071</v>
      </c>
      <c r="M997" s="20">
        <v>12</v>
      </c>
      <c r="N997" s="1">
        <v>29</v>
      </c>
    </row>
    <row r="998" spans="1:14" x14ac:dyDescent="0.25">
      <c r="A998" t="str">
        <f t="shared" si="32"/>
        <v>78746107874610</v>
      </c>
      <c r="B998" t="str">
        <f t="shared" si="33"/>
        <v>7874610I57425Y-M</v>
      </c>
      <c r="C998" s="1" t="s">
        <v>574</v>
      </c>
      <c r="D998" s="1" t="s">
        <v>575</v>
      </c>
      <c r="E998" s="1" t="s">
        <v>392</v>
      </c>
      <c r="F998" s="1" t="s">
        <v>393</v>
      </c>
      <c r="G998" s="1" t="s">
        <v>394</v>
      </c>
      <c r="H998" s="1">
        <v>396</v>
      </c>
      <c r="I998" s="3">
        <v>46267</v>
      </c>
      <c r="J998" s="3">
        <v>46275</v>
      </c>
      <c r="K998" s="3" t="s">
        <v>2368</v>
      </c>
      <c r="L998" s="22">
        <v>46267.482637847221</v>
      </c>
      <c r="M998" s="20">
        <v>12</v>
      </c>
      <c r="N998" s="1">
        <v>19</v>
      </c>
    </row>
    <row r="999" spans="1:14" x14ac:dyDescent="0.25">
      <c r="A999" t="str">
        <f t="shared" si="32"/>
        <v>78746107874610</v>
      </c>
      <c r="B999" t="str">
        <f t="shared" si="33"/>
        <v>7874610I57425Y-M</v>
      </c>
      <c r="C999" s="1" t="s">
        <v>574</v>
      </c>
      <c r="D999" s="1" t="s">
        <v>575</v>
      </c>
      <c r="E999" s="1" t="s">
        <v>392</v>
      </c>
      <c r="F999" s="1" t="s">
        <v>393</v>
      </c>
      <c r="G999" s="1" t="s">
        <v>394</v>
      </c>
      <c r="H999" s="1">
        <v>396</v>
      </c>
      <c r="I999" s="3">
        <v>46267</v>
      </c>
      <c r="J999" s="3">
        <v>46275</v>
      </c>
      <c r="K999" s="3" t="s">
        <v>2368</v>
      </c>
      <c r="L999" s="22">
        <v>46267.482827395834</v>
      </c>
      <c r="M999" s="20">
        <v>12</v>
      </c>
      <c r="N999" s="1">
        <v>27</v>
      </c>
    </row>
    <row r="1000" spans="1:14" x14ac:dyDescent="0.25">
      <c r="A1000" t="str">
        <f t="shared" si="32"/>
        <v>78746107874610</v>
      </c>
      <c r="B1000" t="str">
        <f t="shared" si="33"/>
        <v>7874610I57425Y-M</v>
      </c>
      <c r="C1000" s="1" t="s">
        <v>574</v>
      </c>
      <c r="D1000" s="1" t="s">
        <v>575</v>
      </c>
      <c r="E1000" s="1" t="s">
        <v>392</v>
      </c>
      <c r="F1000" s="1" t="s">
        <v>393</v>
      </c>
      <c r="G1000" s="1" t="s">
        <v>394</v>
      </c>
      <c r="H1000" s="1">
        <v>396</v>
      </c>
      <c r="I1000" s="3">
        <v>46267</v>
      </c>
      <c r="J1000" s="3">
        <v>46275</v>
      </c>
      <c r="K1000" s="3" t="s">
        <v>2368</v>
      </c>
      <c r="L1000" s="22">
        <v>46267.485330439813</v>
      </c>
      <c r="M1000" s="20">
        <v>12</v>
      </c>
      <c r="N1000" s="1">
        <v>7</v>
      </c>
    </row>
    <row r="1001" spans="1:14" x14ac:dyDescent="0.25">
      <c r="A1001" t="str">
        <f t="shared" si="32"/>
        <v>78746107874610</v>
      </c>
      <c r="B1001" t="str">
        <f t="shared" si="33"/>
        <v>7874610I57425Y-M</v>
      </c>
      <c r="C1001" s="1" t="s">
        <v>574</v>
      </c>
      <c r="D1001" s="1" t="s">
        <v>575</v>
      </c>
      <c r="E1001" s="1" t="s">
        <v>392</v>
      </c>
      <c r="F1001" s="1" t="s">
        <v>393</v>
      </c>
      <c r="G1001" s="1" t="s">
        <v>394</v>
      </c>
      <c r="H1001" s="1">
        <v>396</v>
      </c>
      <c r="I1001" s="3">
        <v>46267</v>
      </c>
      <c r="J1001" s="3">
        <v>46275</v>
      </c>
      <c r="K1001" s="3" t="s">
        <v>2368</v>
      </c>
      <c r="L1001" s="22">
        <v>46267.485501076386</v>
      </c>
      <c r="M1001" s="20">
        <v>12</v>
      </c>
      <c r="N1001" s="1">
        <v>22</v>
      </c>
    </row>
    <row r="1002" spans="1:14" x14ac:dyDescent="0.25">
      <c r="A1002" t="str">
        <f t="shared" si="32"/>
        <v>78746107874610</v>
      </c>
      <c r="B1002" t="str">
        <f t="shared" si="33"/>
        <v>7874610I57425Y-M</v>
      </c>
      <c r="C1002" s="1" t="s">
        <v>574</v>
      </c>
      <c r="D1002" s="1" t="s">
        <v>575</v>
      </c>
      <c r="E1002" s="1" t="s">
        <v>392</v>
      </c>
      <c r="F1002" s="1" t="s">
        <v>393</v>
      </c>
      <c r="G1002" s="1" t="s">
        <v>394</v>
      </c>
      <c r="H1002" s="1">
        <v>396</v>
      </c>
      <c r="I1002" s="3">
        <v>46267</v>
      </c>
      <c r="J1002" s="3">
        <v>46275</v>
      </c>
      <c r="K1002" s="3" t="s">
        <v>2368</v>
      </c>
      <c r="L1002" s="22">
        <v>46267.555889467592</v>
      </c>
      <c r="M1002" s="20">
        <v>12</v>
      </c>
      <c r="N1002" s="1">
        <v>3</v>
      </c>
    </row>
    <row r="1003" spans="1:14" x14ac:dyDescent="0.25">
      <c r="A1003" t="str">
        <f t="shared" si="32"/>
        <v>78746107874610</v>
      </c>
      <c r="B1003" t="str">
        <f t="shared" si="33"/>
        <v>7874610I57425Y-M</v>
      </c>
      <c r="C1003" s="1" t="s">
        <v>574</v>
      </c>
      <c r="D1003" s="1" t="s">
        <v>575</v>
      </c>
      <c r="E1003" s="1" t="s">
        <v>392</v>
      </c>
      <c r="F1003" s="1" t="s">
        <v>393</v>
      </c>
      <c r="G1003" s="1" t="s">
        <v>394</v>
      </c>
      <c r="H1003" s="1">
        <v>396</v>
      </c>
      <c r="I1003" s="3">
        <v>46267</v>
      </c>
      <c r="J1003" s="3">
        <v>46275</v>
      </c>
      <c r="K1003" s="3" t="s">
        <v>2368</v>
      </c>
      <c r="L1003" s="22">
        <v>46267.594826238426</v>
      </c>
      <c r="M1003" s="20">
        <v>12</v>
      </c>
      <c r="N1003" s="1">
        <v>17</v>
      </c>
    </row>
    <row r="1004" spans="1:14" x14ac:dyDescent="0.25">
      <c r="A1004" t="str">
        <f t="shared" si="32"/>
        <v>78751187875118</v>
      </c>
      <c r="B1004" t="str">
        <f t="shared" si="33"/>
        <v>7875118U204L9NJ-D</v>
      </c>
      <c r="C1004" s="1" t="s">
        <v>577</v>
      </c>
      <c r="D1004" s="1" t="s">
        <v>578</v>
      </c>
      <c r="E1004" s="1" t="s">
        <v>382</v>
      </c>
      <c r="F1004" s="1" t="s">
        <v>383</v>
      </c>
      <c r="G1004" s="1" t="s">
        <v>390</v>
      </c>
      <c r="H1004" s="1">
        <v>822</v>
      </c>
      <c r="I1004" s="3">
        <v>46267</v>
      </c>
      <c r="L1004" s="22">
        <v>46267.696984525464</v>
      </c>
      <c r="M1004" s="20">
        <v>12</v>
      </c>
      <c r="N1004" s="1">
        <v>25</v>
      </c>
    </row>
    <row r="1005" spans="1:14" x14ac:dyDescent="0.25">
      <c r="A1005" t="str">
        <f t="shared" si="32"/>
        <v>78751187875118</v>
      </c>
      <c r="B1005" t="str">
        <f t="shared" si="33"/>
        <v>7875118U204L9NJ-D</v>
      </c>
      <c r="C1005" s="1" t="s">
        <v>577</v>
      </c>
      <c r="D1005" s="1" t="s">
        <v>578</v>
      </c>
      <c r="E1005" s="1" t="s">
        <v>382</v>
      </c>
      <c r="F1005" s="1" t="s">
        <v>383</v>
      </c>
      <c r="G1005" s="1" t="s">
        <v>390</v>
      </c>
      <c r="H1005" s="1">
        <v>822</v>
      </c>
      <c r="I1005" s="3">
        <v>46267</v>
      </c>
      <c r="L1005" s="22">
        <v>46267.698871446759</v>
      </c>
      <c r="M1005" s="20">
        <v>12</v>
      </c>
      <c r="N1005" s="1">
        <v>26</v>
      </c>
    </row>
    <row r="1006" spans="1:14" x14ac:dyDescent="0.25">
      <c r="A1006" t="str">
        <f t="shared" si="32"/>
        <v>78751187875118</v>
      </c>
      <c r="B1006" t="str">
        <f t="shared" si="33"/>
        <v>7875118U204L9NJ-D</v>
      </c>
      <c r="C1006" s="1" t="s">
        <v>577</v>
      </c>
      <c r="D1006" s="1" t="s">
        <v>578</v>
      </c>
      <c r="E1006" s="1" t="s">
        <v>382</v>
      </c>
      <c r="F1006" s="1" t="s">
        <v>383</v>
      </c>
      <c r="G1006" s="1" t="s">
        <v>390</v>
      </c>
      <c r="H1006" s="1">
        <v>822</v>
      </c>
      <c r="I1006" s="3">
        <v>46267</v>
      </c>
      <c r="L1006" s="22">
        <v>46267.70103275463</v>
      </c>
      <c r="M1006" s="20">
        <v>12</v>
      </c>
      <c r="N1006" s="1">
        <v>16</v>
      </c>
    </row>
    <row r="1007" spans="1:14" x14ac:dyDescent="0.25">
      <c r="A1007" t="str">
        <f t="shared" si="32"/>
        <v>78751187875118</v>
      </c>
      <c r="B1007" t="str">
        <f t="shared" si="33"/>
        <v>7875118U204L9NJ-D</v>
      </c>
      <c r="C1007" s="1" t="s">
        <v>577</v>
      </c>
      <c r="D1007" s="1" t="s">
        <v>578</v>
      </c>
      <c r="E1007" s="1" t="s">
        <v>382</v>
      </c>
      <c r="F1007" s="1" t="s">
        <v>383</v>
      </c>
      <c r="G1007" s="1" t="s">
        <v>390</v>
      </c>
      <c r="H1007" s="1">
        <v>822</v>
      </c>
      <c r="I1007" s="3">
        <v>46267</v>
      </c>
      <c r="L1007" s="22">
        <v>46267.708844560184</v>
      </c>
      <c r="M1007" s="20">
        <v>12</v>
      </c>
      <c r="N1007" s="1">
        <v>36</v>
      </c>
    </row>
    <row r="1008" spans="1:14" x14ac:dyDescent="0.25">
      <c r="A1008" t="str">
        <f t="shared" si="32"/>
        <v>78751187875118</v>
      </c>
      <c r="B1008" t="str">
        <f t="shared" si="33"/>
        <v>7875118U204L9NJ-D</v>
      </c>
      <c r="C1008" s="1" t="s">
        <v>577</v>
      </c>
      <c r="D1008" s="1" t="s">
        <v>578</v>
      </c>
      <c r="E1008" s="1" t="s">
        <v>382</v>
      </c>
      <c r="F1008" s="1" t="s">
        <v>383</v>
      </c>
      <c r="G1008" s="1" t="s">
        <v>390</v>
      </c>
      <c r="H1008" s="1">
        <v>822</v>
      </c>
      <c r="I1008" s="3">
        <v>46267</v>
      </c>
      <c r="L1008" s="22">
        <v>46267.70919163194</v>
      </c>
      <c r="M1008" s="20">
        <v>12</v>
      </c>
      <c r="N1008" s="1">
        <v>58</v>
      </c>
    </row>
    <row r="1009" spans="1:14" x14ac:dyDescent="0.25">
      <c r="A1009" t="str">
        <f t="shared" si="32"/>
        <v>78751187875118</v>
      </c>
      <c r="B1009" t="str">
        <f t="shared" si="33"/>
        <v>7875118U204L9NJ-D</v>
      </c>
      <c r="C1009" s="1" t="s">
        <v>577</v>
      </c>
      <c r="D1009" s="1" t="s">
        <v>578</v>
      </c>
      <c r="E1009" s="1" t="s">
        <v>382</v>
      </c>
      <c r="F1009" s="1" t="s">
        <v>383</v>
      </c>
      <c r="G1009" s="1" t="s">
        <v>390</v>
      </c>
      <c r="H1009" s="1">
        <v>822</v>
      </c>
      <c r="I1009" s="3">
        <v>46267</v>
      </c>
      <c r="L1009" s="22">
        <v>46267.715893518514</v>
      </c>
      <c r="M1009" s="20">
        <v>12</v>
      </c>
      <c r="N1009" s="1">
        <v>57</v>
      </c>
    </row>
    <row r="1010" spans="1:14" x14ac:dyDescent="0.25">
      <c r="A1010" t="str">
        <f t="shared" si="32"/>
        <v>78751187875118</v>
      </c>
      <c r="B1010" t="str">
        <f t="shared" si="33"/>
        <v>7875118U204L9NJ-D</v>
      </c>
      <c r="C1010" s="1" t="s">
        <v>577</v>
      </c>
      <c r="D1010" s="1" t="s">
        <v>578</v>
      </c>
      <c r="E1010" s="1" t="s">
        <v>382</v>
      </c>
      <c r="F1010" s="1" t="s">
        <v>383</v>
      </c>
      <c r="G1010" s="1" t="s">
        <v>390</v>
      </c>
      <c r="H1010" s="1">
        <v>822</v>
      </c>
      <c r="I1010" s="3">
        <v>46267</v>
      </c>
      <c r="L1010" s="22">
        <v>46267.716337465274</v>
      </c>
      <c r="M1010" s="20">
        <v>12</v>
      </c>
      <c r="N1010" s="1">
        <v>17</v>
      </c>
    </row>
    <row r="1011" spans="1:14" x14ac:dyDescent="0.25">
      <c r="A1011" t="str">
        <f t="shared" si="32"/>
        <v>78751187875118</v>
      </c>
      <c r="B1011" t="str">
        <f t="shared" si="33"/>
        <v>7875118U204L9NJ-D</v>
      </c>
      <c r="C1011" s="1" t="s">
        <v>577</v>
      </c>
      <c r="D1011" s="1" t="s">
        <v>578</v>
      </c>
      <c r="E1011" s="1" t="s">
        <v>382</v>
      </c>
      <c r="F1011" s="1" t="s">
        <v>383</v>
      </c>
      <c r="G1011" s="1" t="s">
        <v>390</v>
      </c>
      <c r="H1011" s="1">
        <v>822</v>
      </c>
      <c r="I1011" s="3">
        <v>46267</v>
      </c>
      <c r="L1011" s="22">
        <v>46267.716817858796</v>
      </c>
      <c r="M1011" s="20">
        <v>12</v>
      </c>
      <c r="N1011" s="1">
        <v>49</v>
      </c>
    </row>
    <row r="1012" spans="1:14" x14ac:dyDescent="0.25">
      <c r="A1012" t="str">
        <f t="shared" si="32"/>
        <v>U146377U146377</v>
      </c>
      <c r="B1012" t="str">
        <f t="shared" si="33"/>
        <v>U146377G6032Z2-M</v>
      </c>
      <c r="C1012" s="1" t="s">
        <v>15</v>
      </c>
      <c r="D1012" s="1" t="s">
        <v>576</v>
      </c>
      <c r="E1012" s="1" t="s">
        <v>436</v>
      </c>
      <c r="F1012" s="1" t="s">
        <v>458</v>
      </c>
      <c r="G1012" s="1" t="s">
        <v>438</v>
      </c>
      <c r="H1012" s="1">
        <v>1800</v>
      </c>
      <c r="I1012" s="3">
        <v>46267</v>
      </c>
      <c r="J1012" s="3">
        <v>46289</v>
      </c>
      <c r="K1012" s="3" t="s">
        <v>2374</v>
      </c>
      <c r="L1012" s="22">
        <v>46267.394779317125</v>
      </c>
      <c r="M1012" s="20">
        <v>12</v>
      </c>
      <c r="N1012" s="1">
        <v>71</v>
      </c>
    </row>
    <row r="1013" spans="1:14" x14ac:dyDescent="0.25">
      <c r="A1013" t="str">
        <f t="shared" si="32"/>
        <v>U146377U146377</v>
      </c>
      <c r="B1013" t="str">
        <f t="shared" si="33"/>
        <v>U146377G6032Z2-M</v>
      </c>
      <c r="C1013" s="1" t="s">
        <v>15</v>
      </c>
      <c r="D1013" s="1" t="s">
        <v>576</v>
      </c>
      <c r="E1013" s="1" t="s">
        <v>436</v>
      </c>
      <c r="F1013" s="1" t="s">
        <v>458</v>
      </c>
      <c r="G1013" s="1" t="s">
        <v>438</v>
      </c>
      <c r="H1013" s="1">
        <v>1800</v>
      </c>
      <c r="I1013" s="3">
        <v>46267</v>
      </c>
      <c r="J1013" s="3">
        <v>46289</v>
      </c>
      <c r="K1013" s="3" t="s">
        <v>2374</v>
      </c>
      <c r="L1013" s="22">
        <v>46267.395669756945</v>
      </c>
      <c r="M1013" s="20">
        <v>12</v>
      </c>
      <c r="N1013" s="1">
        <v>42</v>
      </c>
    </row>
    <row r="1014" spans="1:14" x14ac:dyDescent="0.25">
      <c r="A1014" t="str">
        <f t="shared" si="32"/>
        <v>U146377U146377</v>
      </c>
      <c r="B1014" t="str">
        <f t="shared" si="33"/>
        <v>U146377G6032Z2-M</v>
      </c>
      <c r="C1014" s="1" t="s">
        <v>15</v>
      </c>
      <c r="D1014" s="1" t="s">
        <v>576</v>
      </c>
      <c r="E1014" s="1" t="s">
        <v>436</v>
      </c>
      <c r="F1014" s="1" t="s">
        <v>458</v>
      </c>
      <c r="G1014" s="1" t="s">
        <v>438</v>
      </c>
      <c r="H1014" s="1">
        <v>1800</v>
      </c>
      <c r="I1014" s="3">
        <v>46267</v>
      </c>
      <c r="J1014" s="3">
        <v>46289</v>
      </c>
      <c r="K1014" s="3" t="s">
        <v>2374</v>
      </c>
      <c r="L1014" s="22">
        <v>46267.405207951386</v>
      </c>
      <c r="M1014" s="20">
        <v>12</v>
      </c>
      <c r="N1014" s="1">
        <v>65</v>
      </c>
    </row>
    <row r="1015" spans="1:14" x14ac:dyDescent="0.25">
      <c r="A1015" t="str">
        <f t="shared" si="32"/>
        <v>U146377U146377</v>
      </c>
      <c r="B1015" t="str">
        <f t="shared" si="33"/>
        <v>U146377G6032Z2-M</v>
      </c>
      <c r="C1015" s="1" t="s">
        <v>15</v>
      </c>
      <c r="D1015" s="1" t="s">
        <v>576</v>
      </c>
      <c r="E1015" s="1" t="s">
        <v>436</v>
      </c>
      <c r="F1015" s="1" t="s">
        <v>458</v>
      </c>
      <c r="G1015" s="1" t="s">
        <v>438</v>
      </c>
      <c r="H1015" s="1">
        <v>1800</v>
      </c>
      <c r="I1015" s="3">
        <v>46267</v>
      </c>
      <c r="J1015" s="3">
        <v>46289</v>
      </c>
      <c r="K1015" s="3" t="s">
        <v>2374</v>
      </c>
      <c r="L1015" s="22">
        <v>46267.406227511572</v>
      </c>
      <c r="M1015" s="20">
        <v>12</v>
      </c>
      <c r="N1015" s="1">
        <v>72</v>
      </c>
    </row>
    <row r="1016" spans="1:14" x14ac:dyDescent="0.25">
      <c r="A1016" t="str">
        <f t="shared" si="32"/>
        <v>U146377U146377</v>
      </c>
      <c r="B1016" t="str">
        <f t="shared" si="33"/>
        <v>U146377G6032Z2-M</v>
      </c>
      <c r="C1016" s="1" t="s">
        <v>15</v>
      </c>
      <c r="D1016" s="1" t="s">
        <v>576</v>
      </c>
      <c r="E1016" s="1" t="s">
        <v>436</v>
      </c>
      <c r="F1016" s="1" t="s">
        <v>458</v>
      </c>
      <c r="G1016" s="1" t="s">
        <v>438</v>
      </c>
      <c r="H1016" s="1">
        <v>1800</v>
      </c>
      <c r="I1016" s="3">
        <v>46267</v>
      </c>
      <c r="J1016" s="3">
        <v>46289</v>
      </c>
      <c r="K1016" s="3" t="s">
        <v>2374</v>
      </c>
      <c r="L1016" s="22">
        <v>46267.406930902776</v>
      </c>
      <c r="M1016" s="20">
        <v>12</v>
      </c>
      <c r="N1016" s="1">
        <v>2</v>
      </c>
    </row>
    <row r="1017" spans="1:14" x14ac:dyDescent="0.25">
      <c r="A1017" t="str">
        <f t="shared" si="32"/>
        <v>U146377U146377</v>
      </c>
      <c r="B1017" t="str">
        <f t="shared" si="33"/>
        <v>U146377G6032Z2-M</v>
      </c>
      <c r="C1017" s="1" t="s">
        <v>15</v>
      </c>
      <c r="D1017" s="1" t="s">
        <v>576</v>
      </c>
      <c r="E1017" s="1" t="s">
        <v>436</v>
      </c>
      <c r="F1017" s="1" t="s">
        <v>458</v>
      </c>
      <c r="G1017" s="1" t="s">
        <v>438</v>
      </c>
      <c r="H1017" s="1">
        <v>1800</v>
      </c>
      <c r="I1017" s="3">
        <v>46267</v>
      </c>
      <c r="J1017" s="3">
        <v>46289</v>
      </c>
      <c r="K1017" s="3" t="s">
        <v>2374</v>
      </c>
      <c r="L1017" s="22">
        <v>46267.408577696755</v>
      </c>
      <c r="M1017" s="20">
        <v>12</v>
      </c>
      <c r="N1017" s="1">
        <v>73</v>
      </c>
    </row>
    <row r="1018" spans="1:14" x14ac:dyDescent="0.25">
      <c r="A1018" t="str">
        <f t="shared" si="32"/>
        <v>U146377U146377</v>
      </c>
      <c r="B1018" t="str">
        <f t="shared" si="33"/>
        <v>U146377G6032Z2-M</v>
      </c>
      <c r="C1018" s="1" t="s">
        <v>15</v>
      </c>
      <c r="D1018" s="1" t="s">
        <v>576</v>
      </c>
      <c r="E1018" s="1" t="s">
        <v>436</v>
      </c>
      <c r="F1018" s="1" t="s">
        <v>458</v>
      </c>
      <c r="G1018" s="1" t="s">
        <v>438</v>
      </c>
      <c r="H1018" s="1">
        <v>1800</v>
      </c>
      <c r="I1018" s="3">
        <v>46267</v>
      </c>
      <c r="J1018" s="3">
        <v>46289</v>
      </c>
      <c r="K1018" s="3" t="s">
        <v>2374</v>
      </c>
      <c r="L1018" s="22">
        <v>46267.413590625001</v>
      </c>
      <c r="M1018" s="20">
        <v>12</v>
      </c>
      <c r="N1018" s="1">
        <v>17</v>
      </c>
    </row>
    <row r="1019" spans="1:14" x14ac:dyDescent="0.25">
      <c r="A1019" t="str">
        <f t="shared" si="32"/>
        <v>U146377U146377</v>
      </c>
      <c r="B1019" t="str">
        <f t="shared" si="33"/>
        <v>U146377G6032Z2-M</v>
      </c>
      <c r="C1019" s="1" t="s">
        <v>15</v>
      </c>
      <c r="D1019" s="1" t="s">
        <v>576</v>
      </c>
      <c r="E1019" s="1" t="s">
        <v>436</v>
      </c>
      <c r="F1019" s="1" t="s">
        <v>458</v>
      </c>
      <c r="G1019" s="1" t="s">
        <v>438</v>
      </c>
      <c r="H1019" s="1">
        <v>1800</v>
      </c>
      <c r="I1019" s="3">
        <v>46267</v>
      </c>
      <c r="J1019" s="3">
        <v>46289</v>
      </c>
      <c r="K1019" s="3" t="s">
        <v>2374</v>
      </c>
      <c r="L1019" s="22">
        <v>46267.41493900463</v>
      </c>
      <c r="M1019" s="20">
        <v>12</v>
      </c>
      <c r="N1019" s="1">
        <v>40</v>
      </c>
    </row>
    <row r="1020" spans="1:14" x14ac:dyDescent="0.25">
      <c r="A1020" t="str">
        <f t="shared" si="32"/>
        <v>U146377U146377</v>
      </c>
      <c r="B1020" t="str">
        <f t="shared" si="33"/>
        <v>U146377G6032Z2-M</v>
      </c>
      <c r="C1020" s="1" t="s">
        <v>15</v>
      </c>
      <c r="D1020" s="1" t="s">
        <v>576</v>
      </c>
      <c r="E1020" s="1" t="s">
        <v>436</v>
      </c>
      <c r="F1020" s="1" t="s">
        <v>458</v>
      </c>
      <c r="G1020" s="1" t="s">
        <v>438</v>
      </c>
      <c r="H1020" s="1">
        <v>1800</v>
      </c>
      <c r="I1020" s="3">
        <v>46267</v>
      </c>
      <c r="J1020" s="3">
        <v>46289</v>
      </c>
      <c r="K1020" s="3" t="s">
        <v>2374</v>
      </c>
      <c r="L1020" s="22">
        <v>46267.415309722222</v>
      </c>
      <c r="M1020" s="20">
        <v>12</v>
      </c>
      <c r="N1020" s="1">
        <v>66</v>
      </c>
    </row>
    <row r="1021" spans="1:14" x14ac:dyDescent="0.25">
      <c r="A1021" t="str">
        <f t="shared" si="32"/>
        <v>U146377U146377</v>
      </c>
      <c r="B1021" t="str">
        <f t="shared" si="33"/>
        <v>U146377G6032Z2-M</v>
      </c>
      <c r="C1021" s="1" t="s">
        <v>15</v>
      </c>
      <c r="D1021" s="1" t="s">
        <v>576</v>
      </c>
      <c r="E1021" s="1" t="s">
        <v>436</v>
      </c>
      <c r="F1021" s="1" t="s">
        <v>458</v>
      </c>
      <c r="G1021" s="1" t="s">
        <v>438</v>
      </c>
      <c r="H1021" s="1">
        <v>1800</v>
      </c>
      <c r="I1021" s="3">
        <v>46267</v>
      </c>
      <c r="J1021" s="3">
        <v>46289</v>
      </c>
      <c r="K1021" s="3" t="s">
        <v>2374</v>
      </c>
      <c r="L1021" s="22">
        <v>46267.423170833332</v>
      </c>
      <c r="M1021" s="20">
        <v>12</v>
      </c>
      <c r="N1021" s="1">
        <v>1</v>
      </c>
    </row>
    <row r="1022" spans="1:14" x14ac:dyDescent="0.25">
      <c r="A1022" t="str">
        <f t="shared" si="32"/>
        <v>U146377U146377</v>
      </c>
      <c r="B1022" t="str">
        <f t="shared" si="33"/>
        <v>U146377G6032Z2-M</v>
      </c>
      <c r="C1022" s="1" t="s">
        <v>15</v>
      </c>
      <c r="D1022" s="1" t="s">
        <v>576</v>
      </c>
      <c r="E1022" s="1" t="s">
        <v>436</v>
      </c>
      <c r="F1022" s="1" t="s">
        <v>458</v>
      </c>
      <c r="G1022" s="1" t="s">
        <v>438</v>
      </c>
      <c r="H1022" s="1">
        <v>1800</v>
      </c>
      <c r="I1022" s="3">
        <v>46267</v>
      </c>
      <c r="J1022" s="3">
        <v>46289</v>
      </c>
      <c r="K1022" s="3" t="s">
        <v>2374</v>
      </c>
      <c r="L1022" s="22">
        <v>46267.423538969902</v>
      </c>
      <c r="M1022" s="20">
        <v>12</v>
      </c>
      <c r="N1022" s="1">
        <v>67</v>
      </c>
    </row>
    <row r="1023" spans="1:14" x14ac:dyDescent="0.25">
      <c r="A1023" t="str">
        <f t="shared" si="32"/>
        <v>U146377U146377</v>
      </c>
      <c r="B1023" t="str">
        <f t="shared" si="33"/>
        <v>U146377G6032Z2-M</v>
      </c>
      <c r="C1023" s="1" t="s">
        <v>15</v>
      </c>
      <c r="D1023" s="1" t="s">
        <v>576</v>
      </c>
      <c r="E1023" s="1" t="s">
        <v>436</v>
      </c>
      <c r="F1023" s="1" t="s">
        <v>458</v>
      </c>
      <c r="G1023" s="1" t="s">
        <v>438</v>
      </c>
      <c r="H1023" s="1">
        <v>1800</v>
      </c>
      <c r="I1023" s="3">
        <v>46267</v>
      </c>
      <c r="J1023" s="3">
        <v>46289</v>
      </c>
      <c r="K1023" s="3" t="s">
        <v>2374</v>
      </c>
      <c r="L1023" s="22">
        <v>46267.425198726851</v>
      </c>
      <c r="M1023" s="20">
        <v>12</v>
      </c>
      <c r="N1023" s="1">
        <v>69</v>
      </c>
    </row>
    <row r="1024" spans="1:14" x14ac:dyDescent="0.25">
      <c r="A1024" t="str">
        <f t="shared" si="32"/>
        <v>U146377U146377</v>
      </c>
      <c r="B1024" t="str">
        <f t="shared" si="33"/>
        <v>U146377G6032Z2-M</v>
      </c>
      <c r="C1024" s="1" t="s">
        <v>15</v>
      </c>
      <c r="D1024" s="1" t="s">
        <v>576</v>
      </c>
      <c r="E1024" s="1" t="s">
        <v>436</v>
      </c>
      <c r="F1024" s="1" t="s">
        <v>458</v>
      </c>
      <c r="G1024" s="1" t="s">
        <v>438</v>
      </c>
      <c r="H1024" s="1">
        <v>1800</v>
      </c>
      <c r="I1024" s="3">
        <v>46267</v>
      </c>
      <c r="J1024" s="3">
        <v>46289</v>
      </c>
      <c r="K1024" s="3" t="s">
        <v>2374</v>
      </c>
      <c r="L1024" s="22">
        <v>46267.425965428236</v>
      </c>
      <c r="M1024" s="20">
        <v>12</v>
      </c>
      <c r="N1024" s="1">
        <v>41</v>
      </c>
    </row>
    <row r="1025" spans="1:14" x14ac:dyDescent="0.25">
      <c r="A1025" t="str">
        <f t="shared" si="32"/>
        <v>U146377U146377</v>
      </c>
      <c r="B1025" t="str">
        <f t="shared" si="33"/>
        <v>U146377G6032Z2-M</v>
      </c>
      <c r="C1025" s="1" t="s">
        <v>15</v>
      </c>
      <c r="D1025" s="1" t="s">
        <v>576</v>
      </c>
      <c r="E1025" s="1" t="s">
        <v>436</v>
      </c>
      <c r="F1025" s="1" t="s">
        <v>458</v>
      </c>
      <c r="G1025" s="1" t="s">
        <v>438</v>
      </c>
      <c r="H1025" s="1">
        <v>1800</v>
      </c>
      <c r="I1025" s="3">
        <v>46267</v>
      </c>
      <c r="J1025" s="3">
        <v>46289</v>
      </c>
      <c r="K1025" s="3" t="s">
        <v>2374</v>
      </c>
      <c r="L1025" s="22">
        <v>46267.428682604164</v>
      </c>
      <c r="M1025" s="20">
        <v>12</v>
      </c>
      <c r="N1025" s="1">
        <v>43</v>
      </c>
    </row>
    <row r="1026" spans="1:14" x14ac:dyDescent="0.25">
      <c r="A1026" t="str">
        <f t="shared" ref="A1026:A1089" si="34">+D1026&amp;D1026</f>
        <v>U146377U146377</v>
      </c>
      <c r="B1026" t="str">
        <f t="shared" ref="B1026:B1089" si="35">+D1026&amp;C1026</f>
        <v>U146377G6032Z2-M</v>
      </c>
      <c r="C1026" s="1" t="s">
        <v>15</v>
      </c>
      <c r="D1026" s="1" t="s">
        <v>576</v>
      </c>
      <c r="E1026" s="1" t="s">
        <v>436</v>
      </c>
      <c r="F1026" s="1" t="s">
        <v>458</v>
      </c>
      <c r="G1026" s="1" t="s">
        <v>438</v>
      </c>
      <c r="H1026" s="1">
        <v>1800</v>
      </c>
      <c r="I1026" s="3">
        <v>46267</v>
      </c>
      <c r="J1026" s="3">
        <v>46289</v>
      </c>
      <c r="K1026" s="3" t="s">
        <v>2374</v>
      </c>
      <c r="L1026" s="22">
        <v>46267.429152465273</v>
      </c>
      <c r="M1026" s="20">
        <v>12</v>
      </c>
      <c r="N1026" s="1">
        <v>14</v>
      </c>
    </row>
    <row r="1027" spans="1:14" x14ac:dyDescent="0.25">
      <c r="A1027" t="str">
        <f t="shared" si="34"/>
        <v>U146377U146377</v>
      </c>
      <c r="B1027" t="str">
        <f t="shared" si="35"/>
        <v>U146377G6032Z2-M</v>
      </c>
      <c r="C1027" s="1" t="s">
        <v>15</v>
      </c>
      <c r="D1027" s="1" t="s">
        <v>576</v>
      </c>
      <c r="E1027" s="1" t="s">
        <v>436</v>
      </c>
      <c r="F1027" s="1" t="s">
        <v>458</v>
      </c>
      <c r="G1027" s="1" t="s">
        <v>438</v>
      </c>
      <c r="H1027" s="1">
        <v>1800</v>
      </c>
      <c r="I1027" s="3">
        <v>46267</v>
      </c>
      <c r="J1027" s="3">
        <v>46289</v>
      </c>
      <c r="K1027" s="3" t="s">
        <v>2374</v>
      </c>
      <c r="L1027" s="22">
        <v>46267.43111813657</v>
      </c>
      <c r="M1027" s="20">
        <v>12</v>
      </c>
      <c r="N1027" s="1">
        <v>68</v>
      </c>
    </row>
    <row r="1028" spans="1:14" x14ac:dyDescent="0.25">
      <c r="A1028" t="str">
        <f t="shared" si="34"/>
        <v>U146377U146377</v>
      </c>
      <c r="B1028" t="str">
        <f t="shared" si="35"/>
        <v>U146377G6032Z2-M</v>
      </c>
      <c r="C1028" s="1" t="s">
        <v>15</v>
      </c>
      <c r="D1028" s="1" t="s">
        <v>576</v>
      </c>
      <c r="E1028" s="1" t="s">
        <v>436</v>
      </c>
      <c r="F1028" s="1" t="s">
        <v>458</v>
      </c>
      <c r="G1028" s="1" t="s">
        <v>438</v>
      </c>
      <c r="H1028" s="1">
        <v>1800</v>
      </c>
      <c r="I1028" s="3">
        <v>46267</v>
      </c>
      <c r="J1028" s="3">
        <v>46289</v>
      </c>
      <c r="K1028" s="3" t="s">
        <v>2374</v>
      </c>
      <c r="L1028" s="22">
        <v>46267.438045868053</v>
      </c>
      <c r="M1028" s="20">
        <v>12</v>
      </c>
      <c r="N1028" s="1">
        <v>60</v>
      </c>
    </row>
    <row r="1029" spans="1:14" x14ac:dyDescent="0.25">
      <c r="A1029" t="str">
        <f t="shared" si="34"/>
        <v>U146377U146377</v>
      </c>
      <c r="B1029" t="str">
        <f t="shared" si="35"/>
        <v>U146377G6032Z2-M</v>
      </c>
      <c r="C1029" s="1" t="s">
        <v>15</v>
      </c>
      <c r="D1029" s="1" t="s">
        <v>576</v>
      </c>
      <c r="E1029" s="1" t="s">
        <v>436</v>
      </c>
      <c r="F1029" s="1" t="s">
        <v>458</v>
      </c>
      <c r="G1029" s="1" t="s">
        <v>438</v>
      </c>
      <c r="H1029" s="1">
        <v>1800</v>
      </c>
      <c r="I1029" s="3">
        <v>46267</v>
      </c>
      <c r="J1029" s="3">
        <v>46289</v>
      </c>
      <c r="K1029" s="3" t="s">
        <v>2374</v>
      </c>
      <c r="L1029" s="22">
        <v>46267.440777199074</v>
      </c>
      <c r="M1029" s="20">
        <v>12</v>
      </c>
      <c r="N1029" s="1">
        <v>3</v>
      </c>
    </row>
    <row r="1030" spans="1:14" x14ac:dyDescent="0.25">
      <c r="A1030" t="str">
        <f t="shared" si="34"/>
        <v>U146377U146377</v>
      </c>
      <c r="B1030" t="str">
        <f t="shared" si="35"/>
        <v>U146377G6032Z2-M</v>
      </c>
      <c r="C1030" s="1" t="s">
        <v>15</v>
      </c>
      <c r="D1030" s="1" t="s">
        <v>576</v>
      </c>
      <c r="E1030" s="1" t="s">
        <v>436</v>
      </c>
      <c r="F1030" s="1" t="s">
        <v>458</v>
      </c>
      <c r="G1030" s="1" t="s">
        <v>438</v>
      </c>
      <c r="H1030" s="1">
        <v>1800</v>
      </c>
      <c r="I1030" s="3">
        <v>46267</v>
      </c>
      <c r="J1030" s="3">
        <v>46289</v>
      </c>
      <c r="K1030" s="3" t="s">
        <v>2374</v>
      </c>
      <c r="L1030" s="22">
        <v>46267.441179942129</v>
      </c>
      <c r="M1030" s="20">
        <v>12</v>
      </c>
      <c r="N1030" s="1">
        <v>52</v>
      </c>
    </row>
    <row r="1031" spans="1:14" x14ac:dyDescent="0.25">
      <c r="A1031" t="str">
        <f t="shared" si="34"/>
        <v>U146377U146377</v>
      </c>
      <c r="B1031" t="str">
        <f t="shared" si="35"/>
        <v>U146377G6032Z2-M</v>
      </c>
      <c r="C1031" s="1" t="s">
        <v>15</v>
      </c>
      <c r="D1031" s="1" t="s">
        <v>576</v>
      </c>
      <c r="E1031" s="1" t="s">
        <v>436</v>
      </c>
      <c r="F1031" s="1" t="s">
        <v>458</v>
      </c>
      <c r="G1031" s="1" t="s">
        <v>438</v>
      </c>
      <c r="H1031" s="1">
        <v>1800</v>
      </c>
      <c r="I1031" s="3">
        <v>46267</v>
      </c>
      <c r="J1031" s="3">
        <v>46289</v>
      </c>
      <c r="K1031" s="3" t="s">
        <v>2374</v>
      </c>
      <c r="L1031" s="22">
        <v>46267.445167013888</v>
      </c>
      <c r="M1031" s="20">
        <v>12</v>
      </c>
      <c r="N1031" s="1">
        <v>27</v>
      </c>
    </row>
    <row r="1032" spans="1:14" x14ac:dyDescent="0.25">
      <c r="A1032" t="str">
        <f t="shared" si="34"/>
        <v>U146377U146377</v>
      </c>
      <c r="B1032" t="str">
        <f t="shared" si="35"/>
        <v>U146377G6032Z2-M</v>
      </c>
      <c r="C1032" s="1" t="s">
        <v>15</v>
      </c>
      <c r="D1032" s="1" t="s">
        <v>576</v>
      </c>
      <c r="E1032" s="1" t="s">
        <v>436</v>
      </c>
      <c r="F1032" s="1" t="s">
        <v>458</v>
      </c>
      <c r="G1032" s="1" t="s">
        <v>438</v>
      </c>
      <c r="H1032" s="1">
        <v>1800</v>
      </c>
      <c r="I1032" s="3">
        <v>46267</v>
      </c>
      <c r="J1032" s="3">
        <v>46289</v>
      </c>
      <c r="K1032" s="3" t="s">
        <v>2374</v>
      </c>
      <c r="L1032" s="22">
        <v>46267.450677662033</v>
      </c>
      <c r="M1032" s="20">
        <v>12</v>
      </c>
      <c r="N1032" s="1">
        <v>74</v>
      </c>
    </row>
    <row r="1033" spans="1:14" x14ac:dyDescent="0.25">
      <c r="A1033" t="str">
        <f t="shared" si="34"/>
        <v>U146377U146377</v>
      </c>
      <c r="B1033" t="str">
        <f t="shared" si="35"/>
        <v>U146377G6032Z2-M</v>
      </c>
      <c r="C1033" s="1" t="s">
        <v>15</v>
      </c>
      <c r="D1033" s="1" t="s">
        <v>576</v>
      </c>
      <c r="E1033" s="1" t="s">
        <v>436</v>
      </c>
      <c r="F1033" s="1" t="s">
        <v>458</v>
      </c>
      <c r="G1033" s="1" t="s">
        <v>438</v>
      </c>
      <c r="H1033" s="1">
        <v>1800</v>
      </c>
      <c r="I1033" s="3">
        <v>46267</v>
      </c>
      <c r="J1033" s="3">
        <v>46289</v>
      </c>
      <c r="K1033" s="3" t="s">
        <v>2374</v>
      </c>
      <c r="L1033" s="22">
        <v>46267.451005057868</v>
      </c>
      <c r="M1033" s="20">
        <v>12</v>
      </c>
      <c r="N1033" s="1">
        <v>59</v>
      </c>
    </row>
    <row r="1034" spans="1:14" x14ac:dyDescent="0.25">
      <c r="A1034" t="str">
        <f t="shared" si="34"/>
        <v>U146377U146377</v>
      </c>
      <c r="B1034" t="str">
        <f t="shared" si="35"/>
        <v>U146377G6032Z2-M</v>
      </c>
      <c r="C1034" s="1" t="s">
        <v>15</v>
      </c>
      <c r="D1034" s="1" t="s">
        <v>576</v>
      </c>
      <c r="E1034" s="1" t="s">
        <v>436</v>
      </c>
      <c r="F1034" s="1" t="s">
        <v>458</v>
      </c>
      <c r="G1034" s="1" t="s">
        <v>438</v>
      </c>
      <c r="H1034" s="1">
        <v>1800</v>
      </c>
      <c r="I1034" s="3">
        <v>46267</v>
      </c>
      <c r="J1034" s="3">
        <v>46289</v>
      </c>
      <c r="K1034" s="3" t="s">
        <v>2374</v>
      </c>
      <c r="L1034" s="22">
        <v>46267.457222488425</v>
      </c>
      <c r="M1034" s="20">
        <v>12</v>
      </c>
      <c r="N1034" s="1">
        <v>75</v>
      </c>
    </row>
    <row r="1035" spans="1:14" x14ac:dyDescent="0.25">
      <c r="A1035" t="str">
        <f t="shared" si="34"/>
        <v>U146377U146377</v>
      </c>
      <c r="B1035" t="str">
        <f t="shared" si="35"/>
        <v>U146377G6032Z2-M</v>
      </c>
      <c r="C1035" s="1" t="s">
        <v>15</v>
      </c>
      <c r="D1035" s="1" t="s">
        <v>576</v>
      </c>
      <c r="E1035" s="1" t="s">
        <v>436</v>
      </c>
      <c r="F1035" s="1" t="s">
        <v>458</v>
      </c>
      <c r="G1035" s="1" t="s">
        <v>438</v>
      </c>
      <c r="H1035" s="1">
        <v>1800</v>
      </c>
      <c r="I1035" s="3">
        <v>46267</v>
      </c>
      <c r="J1035" s="3">
        <v>46289</v>
      </c>
      <c r="K1035" s="3" t="s">
        <v>2374</v>
      </c>
      <c r="L1035" s="22">
        <v>46267.459602546296</v>
      </c>
      <c r="M1035" s="20">
        <v>12</v>
      </c>
      <c r="N1035" s="1">
        <v>54</v>
      </c>
    </row>
    <row r="1036" spans="1:14" x14ac:dyDescent="0.25">
      <c r="A1036" t="str">
        <f t="shared" si="34"/>
        <v>U146377U146377</v>
      </c>
      <c r="B1036" t="str">
        <f t="shared" si="35"/>
        <v>U146377G6032Z2-M</v>
      </c>
      <c r="C1036" s="1" t="s">
        <v>15</v>
      </c>
      <c r="D1036" s="1" t="s">
        <v>576</v>
      </c>
      <c r="E1036" s="1" t="s">
        <v>436</v>
      </c>
      <c r="F1036" s="1" t="s">
        <v>458</v>
      </c>
      <c r="G1036" s="1" t="s">
        <v>438</v>
      </c>
      <c r="H1036" s="1">
        <v>1800</v>
      </c>
      <c r="I1036" s="3">
        <v>46267</v>
      </c>
      <c r="J1036" s="3">
        <v>46289</v>
      </c>
      <c r="K1036" s="3" t="s">
        <v>2374</v>
      </c>
      <c r="L1036" s="22">
        <v>46267.459927662036</v>
      </c>
      <c r="M1036" s="20">
        <v>12</v>
      </c>
      <c r="N1036" s="1">
        <v>46</v>
      </c>
    </row>
    <row r="1037" spans="1:14" x14ac:dyDescent="0.25">
      <c r="A1037" t="str">
        <f t="shared" si="34"/>
        <v>U146377U146377</v>
      </c>
      <c r="B1037" t="str">
        <f t="shared" si="35"/>
        <v>U146377G6032Z2-M</v>
      </c>
      <c r="C1037" s="1" t="s">
        <v>15</v>
      </c>
      <c r="D1037" s="1" t="s">
        <v>576</v>
      </c>
      <c r="E1037" s="1" t="s">
        <v>436</v>
      </c>
      <c r="F1037" s="1" t="s">
        <v>458</v>
      </c>
      <c r="G1037" s="1" t="s">
        <v>438</v>
      </c>
      <c r="H1037" s="1">
        <v>1800</v>
      </c>
      <c r="I1037" s="3">
        <v>46267</v>
      </c>
      <c r="J1037" s="3">
        <v>46289</v>
      </c>
      <c r="K1037" s="3" t="s">
        <v>2374</v>
      </c>
      <c r="L1037" s="22">
        <v>46267.468982175924</v>
      </c>
      <c r="M1037" s="20">
        <v>12</v>
      </c>
      <c r="N1037" s="1">
        <v>28</v>
      </c>
    </row>
    <row r="1038" spans="1:14" x14ac:dyDescent="0.25">
      <c r="A1038" t="str">
        <f t="shared" si="34"/>
        <v>U146377U146377</v>
      </c>
      <c r="B1038" t="str">
        <f t="shared" si="35"/>
        <v>U146377G6032Z2-M</v>
      </c>
      <c r="C1038" s="1" t="s">
        <v>15</v>
      </c>
      <c r="D1038" s="1" t="s">
        <v>576</v>
      </c>
      <c r="E1038" s="1" t="s">
        <v>436</v>
      </c>
      <c r="F1038" s="1" t="s">
        <v>458</v>
      </c>
      <c r="G1038" s="1" t="s">
        <v>438</v>
      </c>
      <c r="H1038" s="1">
        <v>1800</v>
      </c>
      <c r="I1038" s="3">
        <v>46267</v>
      </c>
      <c r="J1038" s="3">
        <v>46289</v>
      </c>
      <c r="K1038" s="3" t="s">
        <v>2374</v>
      </c>
      <c r="L1038" s="22">
        <v>46267.545733599538</v>
      </c>
      <c r="M1038" s="20">
        <v>12</v>
      </c>
      <c r="N1038" s="1">
        <v>44</v>
      </c>
    </row>
    <row r="1039" spans="1:14" x14ac:dyDescent="0.25">
      <c r="A1039" t="str">
        <f t="shared" si="34"/>
        <v>U146377U146377</v>
      </c>
      <c r="B1039" t="str">
        <f t="shared" si="35"/>
        <v>U146377G6032Z2-M</v>
      </c>
      <c r="C1039" s="1" t="s">
        <v>15</v>
      </c>
      <c r="D1039" s="1" t="s">
        <v>576</v>
      </c>
      <c r="E1039" s="1" t="s">
        <v>436</v>
      </c>
      <c r="F1039" s="1" t="s">
        <v>458</v>
      </c>
      <c r="G1039" s="1" t="s">
        <v>438</v>
      </c>
      <c r="H1039" s="1">
        <v>1800</v>
      </c>
      <c r="I1039" s="3">
        <v>46267</v>
      </c>
      <c r="J1039" s="3">
        <v>46289</v>
      </c>
      <c r="K1039" s="3" t="s">
        <v>2374</v>
      </c>
      <c r="L1039" s="22">
        <v>46267.54958796296</v>
      </c>
      <c r="M1039" s="20">
        <v>12</v>
      </c>
      <c r="N1039" s="1">
        <v>15</v>
      </c>
    </row>
    <row r="1040" spans="1:14" x14ac:dyDescent="0.25">
      <c r="A1040" t="str">
        <f t="shared" si="34"/>
        <v>U146377U146377</v>
      </c>
      <c r="B1040" t="str">
        <f t="shared" si="35"/>
        <v>U146377G6032Z2-M</v>
      </c>
      <c r="C1040" s="1" t="s">
        <v>15</v>
      </c>
      <c r="D1040" s="1" t="s">
        <v>576</v>
      </c>
      <c r="E1040" s="1" t="s">
        <v>436</v>
      </c>
      <c r="F1040" s="1" t="s">
        <v>458</v>
      </c>
      <c r="G1040" s="1" t="s">
        <v>438</v>
      </c>
      <c r="H1040" s="1">
        <v>1800</v>
      </c>
      <c r="I1040" s="3">
        <v>46267</v>
      </c>
      <c r="J1040" s="3">
        <v>46289</v>
      </c>
      <c r="K1040" s="3" t="s">
        <v>2374</v>
      </c>
      <c r="L1040" s="22">
        <v>46267.551636805554</v>
      </c>
      <c r="M1040" s="20">
        <v>12</v>
      </c>
      <c r="N1040" s="1">
        <v>45</v>
      </c>
    </row>
    <row r="1041" spans="1:14" x14ac:dyDescent="0.25">
      <c r="A1041" t="str">
        <f t="shared" si="34"/>
        <v>U146377U146377</v>
      </c>
      <c r="B1041" t="str">
        <f t="shared" si="35"/>
        <v>U146377G6032Z2-M</v>
      </c>
      <c r="C1041" s="1" t="s">
        <v>15</v>
      </c>
      <c r="D1041" s="1" t="s">
        <v>576</v>
      </c>
      <c r="E1041" s="1" t="s">
        <v>436</v>
      </c>
      <c r="F1041" s="1" t="s">
        <v>458</v>
      </c>
      <c r="G1041" s="1" t="s">
        <v>438</v>
      </c>
      <c r="H1041" s="1">
        <v>1800</v>
      </c>
      <c r="I1041" s="3">
        <v>46267</v>
      </c>
      <c r="J1041" s="3">
        <v>46289</v>
      </c>
      <c r="K1041" s="3" t="s">
        <v>2374</v>
      </c>
      <c r="L1041" s="22">
        <v>46267.55243009259</v>
      </c>
      <c r="M1041" s="20">
        <v>12</v>
      </c>
      <c r="N1041" s="1">
        <v>29</v>
      </c>
    </row>
    <row r="1042" spans="1:14" x14ac:dyDescent="0.25">
      <c r="A1042" t="str">
        <f t="shared" si="34"/>
        <v>U146377U146377</v>
      </c>
      <c r="B1042" t="str">
        <f t="shared" si="35"/>
        <v>U146377G6032Z2-M</v>
      </c>
      <c r="C1042" s="1" t="s">
        <v>15</v>
      </c>
      <c r="D1042" s="1" t="s">
        <v>576</v>
      </c>
      <c r="E1042" s="1" t="s">
        <v>436</v>
      </c>
      <c r="F1042" s="1" t="s">
        <v>458</v>
      </c>
      <c r="G1042" s="1" t="s">
        <v>438</v>
      </c>
      <c r="H1042" s="1">
        <v>1800</v>
      </c>
      <c r="I1042" s="3">
        <v>46267</v>
      </c>
      <c r="J1042" s="3">
        <v>46289</v>
      </c>
      <c r="K1042" s="3" t="s">
        <v>2374</v>
      </c>
      <c r="L1042" s="22">
        <v>46267.553077581018</v>
      </c>
      <c r="M1042" s="20">
        <v>12</v>
      </c>
      <c r="N1042" s="1">
        <v>55</v>
      </c>
    </row>
    <row r="1043" spans="1:14" x14ac:dyDescent="0.25">
      <c r="A1043" t="str">
        <f t="shared" si="34"/>
        <v>U146377U146377</v>
      </c>
      <c r="B1043" t="str">
        <f t="shared" si="35"/>
        <v>U146377G6032Z2-M</v>
      </c>
      <c r="C1043" s="1" t="s">
        <v>15</v>
      </c>
      <c r="D1043" s="1" t="s">
        <v>576</v>
      </c>
      <c r="E1043" s="1" t="s">
        <v>436</v>
      </c>
      <c r="F1043" s="1" t="s">
        <v>458</v>
      </c>
      <c r="G1043" s="1" t="s">
        <v>438</v>
      </c>
      <c r="H1043" s="1">
        <v>1800</v>
      </c>
      <c r="I1043" s="3">
        <v>46267</v>
      </c>
      <c r="J1043" s="3">
        <v>46289</v>
      </c>
      <c r="K1043" s="3" t="s">
        <v>2374</v>
      </c>
      <c r="L1043" s="22">
        <v>46267.553672881942</v>
      </c>
      <c r="M1043" s="20">
        <v>12</v>
      </c>
      <c r="N1043" s="1">
        <v>53</v>
      </c>
    </row>
    <row r="1044" spans="1:14" x14ac:dyDescent="0.25">
      <c r="A1044" t="str">
        <f t="shared" si="34"/>
        <v>U146377U146377</v>
      </c>
      <c r="B1044" t="str">
        <f t="shared" si="35"/>
        <v>U146377G6032Z2-M</v>
      </c>
      <c r="C1044" s="1" t="s">
        <v>15</v>
      </c>
      <c r="D1044" s="1" t="s">
        <v>576</v>
      </c>
      <c r="E1044" s="1" t="s">
        <v>436</v>
      </c>
      <c r="F1044" s="1" t="s">
        <v>458</v>
      </c>
      <c r="G1044" s="1" t="s">
        <v>438</v>
      </c>
      <c r="H1044" s="1">
        <v>1800</v>
      </c>
      <c r="I1044" s="3">
        <v>46267</v>
      </c>
      <c r="J1044" s="3">
        <v>46289</v>
      </c>
      <c r="K1044" s="3" t="s">
        <v>2374</v>
      </c>
      <c r="L1044" s="22">
        <v>46267.557284178241</v>
      </c>
      <c r="M1044" s="20">
        <v>12</v>
      </c>
      <c r="N1044" s="1">
        <v>49</v>
      </c>
    </row>
    <row r="1045" spans="1:14" x14ac:dyDescent="0.25">
      <c r="A1045" t="str">
        <f t="shared" si="34"/>
        <v>U146377U146377</v>
      </c>
      <c r="B1045" t="str">
        <f t="shared" si="35"/>
        <v>U146377G6032Z2-M</v>
      </c>
      <c r="C1045" s="1" t="s">
        <v>15</v>
      </c>
      <c r="D1045" s="1" t="s">
        <v>576</v>
      </c>
      <c r="E1045" s="1" t="s">
        <v>436</v>
      </c>
      <c r="F1045" s="1" t="s">
        <v>458</v>
      </c>
      <c r="G1045" s="1" t="s">
        <v>438</v>
      </c>
      <c r="H1045" s="1">
        <v>1800</v>
      </c>
      <c r="I1045" s="3">
        <v>46267</v>
      </c>
      <c r="J1045" s="3">
        <v>46289</v>
      </c>
      <c r="K1045" s="3" t="s">
        <v>2374</v>
      </c>
      <c r="L1045" s="22">
        <v>46267.557958414349</v>
      </c>
      <c r="M1045" s="20">
        <v>12</v>
      </c>
      <c r="N1045" s="1">
        <v>32</v>
      </c>
    </row>
    <row r="1046" spans="1:14" x14ac:dyDescent="0.25">
      <c r="A1046" t="str">
        <f t="shared" si="34"/>
        <v>U146377U146377</v>
      </c>
      <c r="B1046" t="str">
        <f t="shared" si="35"/>
        <v>U146377G6032Z2-M</v>
      </c>
      <c r="C1046" s="1" t="s">
        <v>15</v>
      </c>
      <c r="D1046" s="1" t="s">
        <v>576</v>
      </c>
      <c r="E1046" s="1" t="s">
        <v>436</v>
      </c>
      <c r="F1046" s="1" t="s">
        <v>458</v>
      </c>
      <c r="G1046" s="1" t="s">
        <v>438</v>
      </c>
      <c r="H1046" s="1">
        <v>1800</v>
      </c>
      <c r="I1046" s="3">
        <v>46267</v>
      </c>
      <c r="J1046" s="3">
        <v>46289</v>
      </c>
      <c r="K1046" s="3" t="s">
        <v>2374</v>
      </c>
      <c r="L1046" s="22">
        <v>46267.558258564815</v>
      </c>
      <c r="M1046" s="20">
        <v>12</v>
      </c>
      <c r="N1046" s="1">
        <v>47</v>
      </c>
    </row>
    <row r="1047" spans="1:14" x14ac:dyDescent="0.25">
      <c r="A1047" t="str">
        <f t="shared" si="34"/>
        <v>U146377U146377</v>
      </c>
      <c r="B1047" t="str">
        <f t="shared" si="35"/>
        <v>U146377G6032Z2-M</v>
      </c>
      <c r="C1047" s="1" t="s">
        <v>15</v>
      </c>
      <c r="D1047" s="1" t="s">
        <v>576</v>
      </c>
      <c r="E1047" s="1" t="s">
        <v>436</v>
      </c>
      <c r="F1047" s="1" t="s">
        <v>458</v>
      </c>
      <c r="G1047" s="1" t="s">
        <v>438</v>
      </c>
      <c r="H1047" s="1">
        <v>1800</v>
      </c>
      <c r="I1047" s="3">
        <v>46267</v>
      </c>
      <c r="J1047" s="3">
        <v>46289</v>
      </c>
      <c r="K1047" s="3" t="s">
        <v>2374</v>
      </c>
      <c r="L1047" s="22">
        <v>46267.558578738426</v>
      </c>
      <c r="M1047" s="20">
        <v>12</v>
      </c>
      <c r="N1047" s="1">
        <v>56</v>
      </c>
    </row>
    <row r="1048" spans="1:14" x14ac:dyDescent="0.25">
      <c r="A1048" t="str">
        <f t="shared" si="34"/>
        <v>U146377U146377</v>
      </c>
      <c r="B1048" t="str">
        <f t="shared" si="35"/>
        <v>U146377G6032Z2-M</v>
      </c>
      <c r="C1048" s="1" t="s">
        <v>15</v>
      </c>
      <c r="D1048" s="1" t="s">
        <v>576</v>
      </c>
      <c r="E1048" s="1" t="s">
        <v>436</v>
      </c>
      <c r="F1048" s="1" t="s">
        <v>458</v>
      </c>
      <c r="G1048" s="1" t="s">
        <v>438</v>
      </c>
      <c r="H1048" s="1">
        <v>1800</v>
      </c>
      <c r="I1048" s="3">
        <v>46267</v>
      </c>
      <c r="J1048" s="3">
        <v>46289</v>
      </c>
      <c r="K1048" s="3" t="s">
        <v>2374</v>
      </c>
      <c r="L1048" s="22">
        <v>46267.558899421296</v>
      </c>
      <c r="M1048" s="20">
        <v>12</v>
      </c>
      <c r="N1048" s="1">
        <v>48</v>
      </c>
    </row>
    <row r="1049" spans="1:14" x14ac:dyDescent="0.25">
      <c r="A1049" t="str">
        <f t="shared" si="34"/>
        <v>U146377U146377</v>
      </c>
      <c r="B1049" t="str">
        <f t="shared" si="35"/>
        <v>U146377G6032Z2-M</v>
      </c>
      <c r="C1049" s="1" t="s">
        <v>15</v>
      </c>
      <c r="D1049" s="1" t="s">
        <v>576</v>
      </c>
      <c r="E1049" s="1" t="s">
        <v>436</v>
      </c>
      <c r="F1049" s="1" t="s">
        <v>458</v>
      </c>
      <c r="G1049" s="1" t="s">
        <v>438</v>
      </c>
      <c r="H1049" s="1">
        <v>1800</v>
      </c>
      <c r="I1049" s="3">
        <v>46267</v>
      </c>
      <c r="J1049" s="3">
        <v>46289</v>
      </c>
      <c r="K1049" s="3" t="s">
        <v>2374</v>
      </c>
      <c r="L1049" s="22">
        <v>46267.55923353009</v>
      </c>
      <c r="M1049" s="20">
        <v>12</v>
      </c>
      <c r="N1049" s="1">
        <v>30</v>
      </c>
    </row>
    <row r="1050" spans="1:14" x14ac:dyDescent="0.25">
      <c r="A1050" t="str">
        <f t="shared" si="34"/>
        <v>U146377U146377</v>
      </c>
      <c r="B1050" t="str">
        <f t="shared" si="35"/>
        <v>U146377G6032Z2-M</v>
      </c>
      <c r="C1050" s="1" t="s">
        <v>15</v>
      </c>
      <c r="D1050" s="1" t="s">
        <v>576</v>
      </c>
      <c r="E1050" s="1" t="s">
        <v>436</v>
      </c>
      <c r="F1050" s="1" t="s">
        <v>458</v>
      </c>
      <c r="G1050" s="1" t="s">
        <v>438</v>
      </c>
      <c r="H1050" s="1">
        <v>1800</v>
      </c>
      <c r="I1050" s="3">
        <v>46267</v>
      </c>
      <c r="J1050" s="3">
        <v>46289</v>
      </c>
      <c r="K1050" s="3" t="s">
        <v>2374</v>
      </c>
      <c r="L1050" s="22">
        <v>46267.559549999998</v>
      </c>
      <c r="M1050" s="20">
        <v>12</v>
      </c>
      <c r="N1050" s="1">
        <v>16</v>
      </c>
    </row>
    <row r="1051" spans="1:14" x14ac:dyDescent="0.25">
      <c r="A1051" t="str">
        <f t="shared" si="34"/>
        <v>U146377U146377</v>
      </c>
      <c r="B1051" t="str">
        <f t="shared" si="35"/>
        <v>U146377G6032Z2-M</v>
      </c>
      <c r="C1051" s="1" t="s">
        <v>15</v>
      </c>
      <c r="D1051" s="1" t="s">
        <v>576</v>
      </c>
      <c r="E1051" s="1" t="s">
        <v>436</v>
      </c>
      <c r="F1051" s="1" t="s">
        <v>458</v>
      </c>
      <c r="G1051" s="1" t="s">
        <v>438</v>
      </c>
      <c r="H1051" s="1">
        <v>1800</v>
      </c>
      <c r="I1051" s="3">
        <v>46267</v>
      </c>
      <c r="J1051" s="3">
        <v>46289</v>
      </c>
      <c r="K1051" s="3" t="s">
        <v>2374</v>
      </c>
      <c r="L1051" s="22">
        <v>46267.559849768513</v>
      </c>
      <c r="M1051" s="20">
        <v>12</v>
      </c>
      <c r="N1051" s="1">
        <v>57</v>
      </c>
    </row>
    <row r="1052" spans="1:14" x14ac:dyDescent="0.25">
      <c r="A1052" t="str">
        <f t="shared" si="34"/>
        <v>U146377U146377</v>
      </c>
      <c r="B1052" t="str">
        <f t="shared" si="35"/>
        <v>U146377G6032Z2-M</v>
      </c>
      <c r="C1052" s="1" t="s">
        <v>15</v>
      </c>
      <c r="D1052" s="1" t="s">
        <v>576</v>
      </c>
      <c r="E1052" s="1" t="s">
        <v>436</v>
      </c>
      <c r="F1052" s="1" t="s">
        <v>458</v>
      </c>
      <c r="G1052" s="1" t="s">
        <v>438</v>
      </c>
      <c r="H1052" s="1">
        <v>1800</v>
      </c>
      <c r="I1052" s="3">
        <v>46267</v>
      </c>
      <c r="J1052" s="3">
        <v>46289</v>
      </c>
      <c r="K1052" s="3" t="s">
        <v>2374</v>
      </c>
      <c r="L1052" s="22">
        <v>46267.625072025461</v>
      </c>
      <c r="M1052" s="20">
        <v>12</v>
      </c>
      <c r="N1052" s="1">
        <v>31</v>
      </c>
    </row>
    <row r="1053" spans="1:14" x14ac:dyDescent="0.25">
      <c r="A1053" t="str">
        <f t="shared" si="34"/>
        <v>U146377U146377</v>
      </c>
      <c r="B1053" t="str">
        <f t="shared" si="35"/>
        <v>U146377G6032Z2-M</v>
      </c>
      <c r="C1053" s="1" t="s">
        <v>15</v>
      </c>
      <c r="D1053" s="1" t="s">
        <v>576</v>
      </c>
      <c r="E1053" s="1" t="s">
        <v>436</v>
      </c>
      <c r="F1053" s="1" t="s">
        <v>458</v>
      </c>
      <c r="G1053" s="1" t="s">
        <v>438</v>
      </c>
      <c r="H1053" s="1">
        <v>1800</v>
      </c>
      <c r="I1053" s="3">
        <v>46267</v>
      </c>
      <c r="J1053" s="3">
        <v>46289</v>
      </c>
      <c r="K1053" s="3" t="s">
        <v>2374</v>
      </c>
      <c r="L1053" s="22">
        <v>46267.639765659718</v>
      </c>
      <c r="M1053" s="20">
        <v>12</v>
      </c>
      <c r="N1053" s="1">
        <v>19</v>
      </c>
    </row>
    <row r="1054" spans="1:14" x14ac:dyDescent="0.25">
      <c r="A1054" t="str">
        <f t="shared" si="34"/>
        <v>U146377U146377</v>
      </c>
      <c r="B1054" t="str">
        <f t="shared" si="35"/>
        <v>U146377G6032Z2-M</v>
      </c>
      <c r="C1054" s="1" t="s">
        <v>15</v>
      </c>
      <c r="D1054" s="1" t="s">
        <v>576</v>
      </c>
      <c r="E1054" s="1" t="s">
        <v>436</v>
      </c>
      <c r="F1054" s="1" t="s">
        <v>458</v>
      </c>
      <c r="G1054" s="1" t="s">
        <v>438</v>
      </c>
      <c r="H1054" s="1">
        <v>1800</v>
      </c>
      <c r="I1054" s="3">
        <v>46267</v>
      </c>
      <c r="J1054" s="3">
        <v>46289</v>
      </c>
      <c r="K1054" s="3" t="s">
        <v>2374</v>
      </c>
      <c r="L1054" s="22">
        <v>46267.642699340278</v>
      </c>
      <c r="M1054" s="20">
        <v>12</v>
      </c>
      <c r="N1054" s="1">
        <v>20</v>
      </c>
    </row>
    <row r="1055" spans="1:14" x14ac:dyDescent="0.25">
      <c r="A1055" t="str">
        <f t="shared" si="34"/>
        <v>U146377U146377</v>
      </c>
      <c r="B1055" t="str">
        <f t="shared" si="35"/>
        <v>U146377G6032Z2-M</v>
      </c>
      <c r="C1055" s="1" t="s">
        <v>15</v>
      </c>
      <c r="D1055" s="1" t="s">
        <v>576</v>
      </c>
      <c r="E1055" s="1" t="s">
        <v>436</v>
      </c>
      <c r="F1055" s="1" t="s">
        <v>458</v>
      </c>
      <c r="G1055" s="1" t="s">
        <v>438</v>
      </c>
      <c r="H1055" s="1">
        <v>1800</v>
      </c>
      <c r="I1055" s="3">
        <v>46267</v>
      </c>
      <c r="J1055" s="3">
        <v>46289</v>
      </c>
      <c r="K1055" s="3" t="s">
        <v>2374</v>
      </c>
      <c r="L1055" s="22">
        <v>46267.643029895829</v>
      </c>
      <c r="M1055" s="20">
        <v>12</v>
      </c>
      <c r="N1055" s="1">
        <v>4</v>
      </c>
    </row>
    <row r="1056" spans="1:14" x14ac:dyDescent="0.25">
      <c r="A1056" t="str">
        <f t="shared" si="34"/>
        <v>U146377U146377</v>
      </c>
      <c r="B1056" t="str">
        <f t="shared" si="35"/>
        <v>U146377G6032Z2-M</v>
      </c>
      <c r="C1056" s="1" t="s">
        <v>15</v>
      </c>
      <c r="D1056" s="1" t="s">
        <v>576</v>
      </c>
      <c r="E1056" s="1" t="s">
        <v>436</v>
      </c>
      <c r="F1056" s="1" t="s">
        <v>458</v>
      </c>
      <c r="G1056" s="1" t="s">
        <v>438</v>
      </c>
      <c r="H1056" s="1">
        <v>1800</v>
      </c>
      <c r="I1056" s="3">
        <v>46267</v>
      </c>
      <c r="J1056" s="3">
        <v>46289</v>
      </c>
      <c r="K1056" s="3" t="s">
        <v>2374</v>
      </c>
      <c r="L1056" s="22">
        <v>46267.645299456017</v>
      </c>
      <c r="M1056" s="20">
        <v>12</v>
      </c>
      <c r="N1056" s="1">
        <v>18</v>
      </c>
    </row>
    <row r="1057" spans="1:14" x14ac:dyDescent="0.25">
      <c r="A1057" t="str">
        <f t="shared" si="34"/>
        <v>U146377U146377</v>
      </c>
      <c r="B1057" t="str">
        <f t="shared" si="35"/>
        <v>U146377G6032Z2-M</v>
      </c>
      <c r="C1057" s="1" t="s">
        <v>15</v>
      </c>
      <c r="D1057" s="1" t="s">
        <v>576</v>
      </c>
      <c r="E1057" s="1" t="s">
        <v>436</v>
      </c>
      <c r="F1057" s="1" t="s">
        <v>458</v>
      </c>
      <c r="G1057" s="1" t="s">
        <v>438</v>
      </c>
      <c r="H1057" s="1">
        <v>1800</v>
      </c>
      <c r="I1057" s="3">
        <v>46267</v>
      </c>
      <c r="J1057" s="3">
        <v>46289</v>
      </c>
      <c r="K1057" s="3" t="s">
        <v>2374</v>
      </c>
      <c r="L1057" s="22">
        <v>46267.654750000002</v>
      </c>
      <c r="M1057" s="20">
        <v>12</v>
      </c>
      <c r="N1057" s="1">
        <v>21</v>
      </c>
    </row>
    <row r="1058" spans="1:14" x14ac:dyDescent="0.25">
      <c r="A1058" t="str">
        <f t="shared" si="34"/>
        <v>U146377U146377</v>
      </c>
      <c r="B1058" t="str">
        <f t="shared" si="35"/>
        <v>U146377G6032Z2-M</v>
      </c>
      <c r="C1058" s="1" t="s">
        <v>15</v>
      </c>
      <c r="D1058" s="1" t="s">
        <v>576</v>
      </c>
      <c r="E1058" s="1" t="s">
        <v>436</v>
      </c>
      <c r="F1058" s="1" t="s">
        <v>458</v>
      </c>
      <c r="G1058" s="1" t="s">
        <v>438</v>
      </c>
      <c r="H1058" s="1">
        <v>1800</v>
      </c>
      <c r="I1058" s="3">
        <v>46267</v>
      </c>
      <c r="J1058" s="3">
        <v>46289</v>
      </c>
      <c r="K1058" s="3" t="s">
        <v>2374</v>
      </c>
      <c r="L1058" s="22">
        <v>46267.668706909717</v>
      </c>
      <c r="M1058" s="20">
        <v>12</v>
      </c>
      <c r="N1058" s="1">
        <v>50</v>
      </c>
    </row>
    <row r="1059" spans="1:14" x14ac:dyDescent="0.25">
      <c r="A1059" t="str">
        <f t="shared" si="34"/>
        <v>U146377U146377</v>
      </c>
      <c r="B1059" t="str">
        <f t="shared" si="35"/>
        <v>U146377G6032Z2-M</v>
      </c>
      <c r="C1059" s="1" t="s">
        <v>15</v>
      </c>
      <c r="D1059" s="1" t="s">
        <v>576</v>
      </c>
      <c r="E1059" s="1" t="s">
        <v>436</v>
      </c>
      <c r="F1059" s="1" t="s">
        <v>458</v>
      </c>
      <c r="G1059" s="1" t="s">
        <v>438</v>
      </c>
      <c r="H1059" s="1">
        <v>1800</v>
      </c>
      <c r="I1059" s="3">
        <v>46267</v>
      </c>
      <c r="J1059" s="3">
        <v>46289</v>
      </c>
      <c r="K1059" s="3" t="s">
        <v>2374</v>
      </c>
      <c r="L1059" s="22">
        <v>46267.677571412038</v>
      </c>
      <c r="M1059" s="20">
        <v>12</v>
      </c>
      <c r="N1059" s="1">
        <v>5</v>
      </c>
    </row>
    <row r="1060" spans="1:14" x14ac:dyDescent="0.25">
      <c r="A1060" t="str">
        <f t="shared" si="34"/>
        <v>U146377U146377</v>
      </c>
      <c r="B1060" t="str">
        <f t="shared" si="35"/>
        <v>U146377G6032Z2-M</v>
      </c>
      <c r="C1060" s="1" t="s">
        <v>15</v>
      </c>
      <c r="D1060" s="1" t="s">
        <v>576</v>
      </c>
      <c r="E1060" s="1" t="s">
        <v>436</v>
      </c>
      <c r="F1060" s="1" t="s">
        <v>458</v>
      </c>
      <c r="G1060" s="1" t="s">
        <v>438</v>
      </c>
      <c r="H1060" s="1">
        <v>1800</v>
      </c>
      <c r="I1060" s="3">
        <v>46267</v>
      </c>
      <c r="J1060" s="3">
        <v>46289</v>
      </c>
      <c r="K1060" s="3" t="s">
        <v>2374</v>
      </c>
      <c r="L1060" s="22">
        <v>46267.679349189813</v>
      </c>
      <c r="M1060" s="20">
        <v>12</v>
      </c>
      <c r="N1060" s="1">
        <v>6</v>
      </c>
    </row>
    <row r="1061" spans="1:14" x14ac:dyDescent="0.25">
      <c r="A1061" t="str">
        <f t="shared" si="34"/>
        <v>U146377U146377</v>
      </c>
      <c r="B1061" t="str">
        <f t="shared" si="35"/>
        <v>U146377G6032Z2-M</v>
      </c>
      <c r="C1061" s="1" t="s">
        <v>15</v>
      </c>
      <c r="D1061" s="1" t="s">
        <v>576</v>
      </c>
      <c r="E1061" s="1" t="s">
        <v>436</v>
      </c>
      <c r="F1061" s="1" t="s">
        <v>458</v>
      </c>
      <c r="G1061" s="1" t="s">
        <v>438</v>
      </c>
      <c r="H1061" s="1">
        <v>1800</v>
      </c>
      <c r="I1061" s="3">
        <v>46267</v>
      </c>
      <c r="J1061" s="3">
        <v>46289</v>
      </c>
      <c r="K1061" s="3" t="s">
        <v>2374</v>
      </c>
      <c r="L1061" s="22">
        <v>46267.681946527773</v>
      </c>
      <c r="M1061" s="20">
        <v>12</v>
      </c>
      <c r="N1061" s="1">
        <v>22</v>
      </c>
    </row>
    <row r="1062" spans="1:14" x14ac:dyDescent="0.25">
      <c r="A1062" t="str">
        <f t="shared" si="34"/>
        <v>U146377U146377</v>
      </c>
      <c r="B1062" t="str">
        <f t="shared" si="35"/>
        <v>U146377G6032Z2-M</v>
      </c>
      <c r="C1062" s="1" t="s">
        <v>15</v>
      </c>
      <c r="D1062" s="1" t="s">
        <v>576</v>
      </c>
      <c r="E1062" s="1" t="s">
        <v>436</v>
      </c>
      <c r="F1062" s="1" t="s">
        <v>458</v>
      </c>
      <c r="G1062" s="1" t="s">
        <v>438</v>
      </c>
      <c r="H1062" s="1">
        <v>1800</v>
      </c>
      <c r="I1062" s="3">
        <v>46267</v>
      </c>
      <c r="J1062" s="3">
        <v>46289</v>
      </c>
      <c r="K1062" s="3" t="s">
        <v>2374</v>
      </c>
      <c r="L1062" s="22">
        <v>46267.689028472218</v>
      </c>
      <c r="M1062" s="20">
        <v>12</v>
      </c>
      <c r="N1062" s="1">
        <v>33</v>
      </c>
    </row>
    <row r="1063" spans="1:14" x14ac:dyDescent="0.25">
      <c r="A1063" t="str">
        <f t="shared" si="34"/>
        <v>U146377U146377</v>
      </c>
      <c r="B1063" t="str">
        <f t="shared" si="35"/>
        <v>U146377G6032Z2-M</v>
      </c>
      <c r="C1063" s="1" t="s">
        <v>15</v>
      </c>
      <c r="D1063" s="1" t="s">
        <v>576</v>
      </c>
      <c r="E1063" s="1" t="s">
        <v>436</v>
      </c>
      <c r="F1063" s="1" t="s">
        <v>458</v>
      </c>
      <c r="G1063" s="1" t="s">
        <v>438</v>
      </c>
      <c r="H1063" s="1">
        <v>1800</v>
      </c>
      <c r="I1063" s="3">
        <v>46267</v>
      </c>
      <c r="J1063" s="3">
        <v>46289</v>
      </c>
      <c r="K1063" s="3" t="s">
        <v>2374</v>
      </c>
      <c r="L1063" s="22">
        <v>46267.703814814813</v>
      </c>
      <c r="M1063" s="20">
        <v>12</v>
      </c>
      <c r="N1063" s="1">
        <v>7</v>
      </c>
    </row>
    <row r="1064" spans="1:14" x14ac:dyDescent="0.25">
      <c r="A1064" t="str">
        <f t="shared" si="34"/>
        <v>U146377U146377</v>
      </c>
      <c r="B1064" t="str">
        <f t="shared" si="35"/>
        <v>U146377G6032Z2-M</v>
      </c>
      <c r="C1064" s="1" t="s">
        <v>15</v>
      </c>
      <c r="D1064" s="1" t="s">
        <v>576</v>
      </c>
      <c r="E1064" s="1" t="s">
        <v>436</v>
      </c>
      <c r="F1064" s="1" t="s">
        <v>458</v>
      </c>
      <c r="G1064" s="1" t="s">
        <v>438</v>
      </c>
      <c r="H1064" s="1">
        <v>1800</v>
      </c>
      <c r="I1064" s="3">
        <v>46267</v>
      </c>
      <c r="J1064" s="3">
        <v>46289</v>
      </c>
      <c r="K1064" s="3" t="s">
        <v>2374</v>
      </c>
      <c r="L1064" s="22">
        <v>46267.729108993051</v>
      </c>
      <c r="M1064" s="20">
        <v>12</v>
      </c>
      <c r="N1064" s="1">
        <v>23</v>
      </c>
    </row>
    <row r="1065" spans="1:14" x14ac:dyDescent="0.25">
      <c r="A1065" t="str">
        <f t="shared" si="34"/>
        <v>U146377U146377</v>
      </c>
      <c r="B1065" t="str">
        <f t="shared" si="35"/>
        <v>U146377G6032Z2-M</v>
      </c>
      <c r="C1065" s="1" t="s">
        <v>15</v>
      </c>
      <c r="D1065" s="1" t="s">
        <v>576</v>
      </c>
      <c r="E1065" s="1" t="s">
        <v>436</v>
      </c>
      <c r="F1065" s="1" t="s">
        <v>458</v>
      </c>
      <c r="G1065" s="1" t="s">
        <v>438</v>
      </c>
      <c r="H1065" s="1">
        <v>1800</v>
      </c>
      <c r="I1065" s="3">
        <v>46267</v>
      </c>
      <c r="J1065" s="3">
        <v>46289</v>
      </c>
      <c r="K1065" s="3" t="s">
        <v>2374</v>
      </c>
      <c r="L1065" s="22">
        <v>46267.745826469909</v>
      </c>
      <c r="M1065" s="20">
        <v>12</v>
      </c>
      <c r="N1065" s="1">
        <v>61</v>
      </c>
    </row>
    <row r="1066" spans="1:14" x14ac:dyDescent="0.25">
      <c r="A1066" t="str">
        <f t="shared" si="34"/>
        <v>U146377U146377</v>
      </c>
      <c r="B1066" t="str">
        <f t="shared" si="35"/>
        <v>U146377G6032Z2-M</v>
      </c>
      <c r="C1066" s="1" t="s">
        <v>15</v>
      </c>
      <c r="D1066" s="1" t="s">
        <v>576</v>
      </c>
      <c r="E1066" s="1" t="s">
        <v>436</v>
      </c>
      <c r="F1066" s="1" t="s">
        <v>458</v>
      </c>
      <c r="G1066" s="1" t="s">
        <v>438</v>
      </c>
      <c r="H1066" s="1">
        <v>1800</v>
      </c>
      <c r="I1066" s="3">
        <v>46267</v>
      </c>
      <c r="J1066" s="3">
        <v>46289</v>
      </c>
      <c r="K1066" s="3" t="s">
        <v>2374</v>
      </c>
      <c r="L1066" s="22">
        <v>46267.751038969909</v>
      </c>
      <c r="M1066" s="20">
        <v>12</v>
      </c>
      <c r="N1066" s="1">
        <v>8</v>
      </c>
    </row>
    <row r="1067" spans="1:14" x14ac:dyDescent="0.25">
      <c r="A1067" t="str">
        <f t="shared" si="34"/>
        <v>78661257866125</v>
      </c>
      <c r="B1067" t="str">
        <f t="shared" si="35"/>
        <v>7866125GC9060LL-M</v>
      </c>
      <c r="C1067" s="1" t="s">
        <v>55</v>
      </c>
      <c r="D1067" s="1" t="s">
        <v>580</v>
      </c>
      <c r="E1067" s="1" t="s">
        <v>385</v>
      </c>
      <c r="F1067" s="1" t="s">
        <v>386</v>
      </c>
      <c r="G1067" s="1" t="s">
        <v>387</v>
      </c>
      <c r="H1067" s="1">
        <v>540</v>
      </c>
      <c r="I1067" s="3">
        <v>46268</v>
      </c>
      <c r="J1067" s="3">
        <v>46273</v>
      </c>
      <c r="K1067" s="3" t="s">
        <v>2361</v>
      </c>
      <c r="L1067" s="22">
        <v>46268.412413310187</v>
      </c>
      <c r="M1067" s="20">
        <v>12</v>
      </c>
      <c r="N1067" s="1">
        <v>37</v>
      </c>
    </row>
    <row r="1068" spans="1:14" x14ac:dyDescent="0.25">
      <c r="A1068" t="str">
        <f t="shared" si="34"/>
        <v>78661257866125</v>
      </c>
      <c r="B1068" t="str">
        <f t="shared" si="35"/>
        <v>7866125GC9060LL-M</v>
      </c>
      <c r="C1068" s="1" t="s">
        <v>55</v>
      </c>
      <c r="D1068" s="1" t="s">
        <v>580</v>
      </c>
      <c r="E1068" s="1" t="s">
        <v>385</v>
      </c>
      <c r="F1068" s="1" t="s">
        <v>386</v>
      </c>
      <c r="G1068" s="1" t="s">
        <v>387</v>
      </c>
      <c r="H1068" s="1">
        <v>540</v>
      </c>
      <c r="I1068" s="3">
        <v>46268</v>
      </c>
      <c r="J1068" s="3">
        <v>46273</v>
      </c>
      <c r="K1068" s="3" t="s">
        <v>2361</v>
      </c>
      <c r="L1068" s="22">
        <v>46268.413356747682</v>
      </c>
      <c r="M1068" s="20">
        <v>12</v>
      </c>
      <c r="N1068" s="1">
        <v>42</v>
      </c>
    </row>
    <row r="1069" spans="1:14" x14ac:dyDescent="0.25">
      <c r="A1069" t="str">
        <f t="shared" si="34"/>
        <v>78661257866125</v>
      </c>
      <c r="B1069" t="str">
        <f t="shared" si="35"/>
        <v>7866125GC9060LL-M</v>
      </c>
      <c r="C1069" s="1" t="s">
        <v>55</v>
      </c>
      <c r="D1069" s="1" t="s">
        <v>580</v>
      </c>
      <c r="E1069" s="1" t="s">
        <v>385</v>
      </c>
      <c r="F1069" s="1" t="s">
        <v>386</v>
      </c>
      <c r="G1069" s="1" t="s">
        <v>387</v>
      </c>
      <c r="H1069" s="1">
        <v>540</v>
      </c>
      <c r="I1069" s="3">
        <v>46268</v>
      </c>
      <c r="J1069" s="3">
        <v>46273</v>
      </c>
      <c r="K1069" s="3" t="s">
        <v>2361</v>
      </c>
      <c r="L1069" s="22">
        <v>46268.420606828702</v>
      </c>
      <c r="M1069" s="20">
        <v>12</v>
      </c>
      <c r="N1069" s="1">
        <v>31</v>
      </c>
    </row>
    <row r="1070" spans="1:14" x14ac:dyDescent="0.25">
      <c r="A1070" t="str">
        <f t="shared" si="34"/>
        <v>78661257866125</v>
      </c>
      <c r="B1070" t="str">
        <f t="shared" si="35"/>
        <v>7866125GC9060LL-M</v>
      </c>
      <c r="C1070" s="1" t="s">
        <v>55</v>
      </c>
      <c r="D1070" s="1" t="s">
        <v>580</v>
      </c>
      <c r="E1070" s="1" t="s">
        <v>385</v>
      </c>
      <c r="F1070" s="1" t="s">
        <v>386</v>
      </c>
      <c r="G1070" s="1" t="s">
        <v>387</v>
      </c>
      <c r="H1070" s="1">
        <v>540</v>
      </c>
      <c r="I1070" s="3">
        <v>46268</v>
      </c>
      <c r="J1070" s="3">
        <v>46273</v>
      </c>
      <c r="K1070" s="3" t="s">
        <v>2361</v>
      </c>
      <c r="L1070" s="22">
        <v>46268.420770254626</v>
      </c>
      <c r="M1070" s="20">
        <v>12</v>
      </c>
      <c r="N1070" s="1">
        <v>22</v>
      </c>
    </row>
    <row r="1071" spans="1:14" x14ac:dyDescent="0.25">
      <c r="A1071" t="str">
        <f t="shared" si="34"/>
        <v>78661257866125</v>
      </c>
      <c r="B1071" t="str">
        <f t="shared" si="35"/>
        <v>7866125GC9060LL-M</v>
      </c>
      <c r="C1071" s="1" t="s">
        <v>55</v>
      </c>
      <c r="D1071" s="1" t="s">
        <v>580</v>
      </c>
      <c r="E1071" s="1" t="s">
        <v>385</v>
      </c>
      <c r="F1071" s="1" t="s">
        <v>386</v>
      </c>
      <c r="G1071" s="1" t="s">
        <v>387</v>
      </c>
      <c r="H1071" s="1">
        <v>540</v>
      </c>
      <c r="I1071" s="3">
        <v>46268</v>
      </c>
      <c r="J1071" s="3">
        <v>46273</v>
      </c>
      <c r="K1071" s="3" t="s">
        <v>2361</v>
      </c>
      <c r="L1071" s="22">
        <v>46268.421036689811</v>
      </c>
      <c r="M1071" s="20">
        <v>12</v>
      </c>
      <c r="N1071" s="1">
        <v>40</v>
      </c>
    </row>
    <row r="1072" spans="1:14" x14ac:dyDescent="0.25">
      <c r="A1072" t="str">
        <f t="shared" si="34"/>
        <v>78661257866125</v>
      </c>
      <c r="B1072" t="str">
        <f t="shared" si="35"/>
        <v>7866125GC9060LL-M</v>
      </c>
      <c r="C1072" s="1" t="s">
        <v>55</v>
      </c>
      <c r="D1072" s="1" t="s">
        <v>580</v>
      </c>
      <c r="E1072" s="1" t="s">
        <v>385</v>
      </c>
      <c r="F1072" s="1" t="s">
        <v>386</v>
      </c>
      <c r="G1072" s="1" t="s">
        <v>387</v>
      </c>
      <c r="H1072" s="1">
        <v>540</v>
      </c>
      <c r="I1072" s="3">
        <v>46268</v>
      </c>
      <c r="J1072" s="3">
        <v>46273</v>
      </c>
      <c r="K1072" s="3" t="s">
        <v>2361</v>
      </c>
      <c r="L1072" s="22">
        <v>46268.422184872681</v>
      </c>
      <c r="M1072" s="20">
        <v>12</v>
      </c>
      <c r="N1072" s="1">
        <v>38</v>
      </c>
    </row>
    <row r="1073" spans="1:14" x14ac:dyDescent="0.25">
      <c r="A1073" t="str">
        <f t="shared" si="34"/>
        <v>78661257866125</v>
      </c>
      <c r="B1073" t="str">
        <f t="shared" si="35"/>
        <v>7866125GC9060LL-M</v>
      </c>
      <c r="C1073" s="1" t="s">
        <v>55</v>
      </c>
      <c r="D1073" s="1" t="s">
        <v>580</v>
      </c>
      <c r="E1073" s="1" t="s">
        <v>385</v>
      </c>
      <c r="F1073" s="1" t="s">
        <v>386</v>
      </c>
      <c r="G1073" s="1" t="s">
        <v>387</v>
      </c>
      <c r="H1073" s="1">
        <v>540</v>
      </c>
      <c r="I1073" s="3">
        <v>46268</v>
      </c>
      <c r="J1073" s="3">
        <v>46273</v>
      </c>
      <c r="K1073" s="3" t="s">
        <v>2361</v>
      </c>
      <c r="L1073" s="22">
        <v>46268.424430092593</v>
      </c>
      <c r="M1073" s="20">
        <v>12</v>
      </c>
      <c r="N1073" s="1">
        <v>30</v>
      </c>
    </row>
    <row r="1074" spans="1:14" x14ac:dyDescent="0.25">
      <c r="A1074" t="str">
        <f t="shared" si="34"/>
        <v>78661257866125</v>
      </c>
      <c r="B1074" t="str">
        <f t="shared" si="35"/>
        <v>7866125GC9060LL-M</v>
      </c>
      <c r="C1074" s="1" t="s">
        <v>55</v>
      </c>
      <c r="D1074" s="1" t="s">
        <v>580</v>
      </c>
      <c r="E1074" s="1" t="s">
        <v>385</v>
      </c>
      <c r="F1074" s="1" t="s">
        <v>386</v>
      </c>
      <c r="G1074" s="1" t="s">
        <v>387</v>
      </c>
      <c r="H1074" s="1">
        <v>540</v>
      </c>
      <c r="I1074" s="3">
        <v>46268</v>
      </c>
      <c r="J1074" s="3">
        <v>46273</v>
      </c>
      <c r="K1074" s="3" t="s">
        <v>2361</v>
      </c>
      <c r="L1074" s="22">
        <v>46268.426370717592</v>
      </c>
      <c r="M1074" s="20">
        <v>12</v>
      </c>
      <c r="N1074" s="1">
        <v>23</v>
      </c>
    </row>
    <row r="1075" spans="1:14" x14ac:dyDescent="0.25">
      <c r="A1075" t="str">
        <f t="shared" si="34"/>
        <v>78661257866125</v>
      </c>
      <c r="B1075" t="str">
        <f t="shared" si="35"/>
        <v>7866125GC9060LL-M</v>
      </c>
      <c r="C1075" s="1" t="s">
        <v>55</v>
      </c>
      <c r="D1075" s="1" t="s">
        <v>580</v>
      </c>
      <c r="E1075" s="1" t="s">
        <v>385</v>
      </c>
      <c r="F1075" s="1" t="s">
        <v>386</v>
      </c>
      <c r="G1075" s="1" t="s">
        <v>387</v>
      </c>
      <c r="H1075" s="1">
        <v>540</v>
      </c>
      <c r="I1075" s="3">
        <v>46268</v>
      </c>
      <c r="J1075" s="3">
        <v>46273</v>
      </c>
      <c r="K1075" s="3" t="s">
        <v>2361</v>
      </c>
      <c r="L1075" s="22">
        <v>46268.429145636575</v>
      </c>
      <c r="M1075" s="20">
        <v>12</v>
      </c>
      <c r="N1075" s="1">
        <v>24</v>
      </c>
    </row>
    <row r="1076" spans="1:14" x14ac:dyDescent="0.25">
      <c r="A1076" t="str">
        <f t="shared" si="34"/>
        <v>78661257866125</v>
      </c>
      <c r="B1076" t="str">
        <f t="shared" si="35"/>
        <v>7866125GC9060LL-M</v>
      </c>
      <c r="C1076" s="1" t="s">
        <v>55</v>
      </c>
      <c r="D1076" s="1" t="s">
        <v>580</v>
      </c>
      <c r="E1076" s="1" t="s">
        <v>385</v>
      </c>
      <c r="F1076" s="1" t="s">
        <v>386</v>
      </c>
      <c r="G1076" s="1" t="s">
        <v>387</v>
      </c>
      <c r="H1076" s="1">
        <v>540</v>
      </c>
      <c r="I1076" s="3">
        <v>46268</v>
      </c>
      <c r="J1076" s="3">
        <v>46273</v>
      </c>
      <c r="K1076" s="3" t="s">
        <v>2361</v>
      </c>
      <c r="L1076" s="22">
        <v>46268.44977248842</v>
      </c>
      <c r="M1076" s="20">
        <v>12</v>
      </c>
      <c r="N1076" s="1">
        <v>10</v>
      </c>
    </row>
    <row r="1077" spans="1:14" x14ac:dyDescent="0.25">
      <c r="A1077" t="str">
        <f t="shared" si="34"/>
        <v>78661257866125</v>
      </c>
      <c r="B1077" t="str">
        <f t="shared" si="35"/>
        <v>7866125GC9060LL-M</v>
      </c>
      <c r="C1077" s="1" t="s">
        <v>55</v>
      </c>
      <c r="D1077" s="1" t="s">
        <v>580</v>
      </c>
      <c r="E1077" s="1" t="s">
        <v>385</v>
      </c>
      <c r="F1077" s="1" t="s">
        <v>386</v>
      </c>
      <c r="G1077" s="1" t="s">
        <v>387</v>
      </c>
      <c r="H1077" s="1">
        <v>540</v>
      </c>
      <c r="I1077" s="3">
        <v>46268</v>
      </c>
      <c r="J1077" s="3">
        <v>46273</v>
      </c>
      <c r="K1077" s="3" t="s">
        <v>2361</v>
      </c>
      <c r="L1077" s="22">
        <v>46268.44995667824</v>
      </c>
      <c r="M1077" s="20">
        <v>12</v>
      </c>
      <c r="N1077" s="1">
        <v>26</v>
      </c>
    </row>
    <row r="1078" spans="1:14" x14ac:dyDescent="0.25">
      <c r="A1078" t="str">
        <f t="shared" si="34"/>
        <v>78661257866125</v>
      </c>
      <c r="B1078" t="str">
        <f t="shared" si="35"/>
        <v>7866125GC9060LL-M</v>
      </c>
      <c r="C1078" s="1" t="s">
        <v>55</v>
      </c>
      <c r="D1078" s="1" t="s">
        <v>580</v>
      </c>
      <c r="E1078" s="1" t="s">
        <v>385</v>
      </c>
      <c r="F1078" s="1" t="s">
        <v>386</v>
      </c>
      <c r="G1078" s="1" t="s">
        <v>387</v>
      </c>
      <c r="H1078" s="1">
        <v>540</v>
      </c>
      <c r="I1078" s="3">
        <v>46268</v>
      </c>
      <c r="J1078" s="3">
        <v>46273</v>
      </c>
      <c r="K1078" s="3" t="s">
        <v>2361</v>
      </c>
      <c r="L1078" s="22">
        <v>46268.450185497684</v>
      </c>
      <c r="M1078" s="20">
        <v>12</v>
      </c>
      <c r="N1078" s="1">
        <v>32</v>
      </c>
    </row>
    <row r="1079" spans="1:14" x14ac:dyDescent="0.25">
      <c r="A1079" t="str">
        <f t="shared" si="34"/>
        <v>78661257866125</v>
      </c>
      <c r="B1079" t="str">
        <f t="shared" si="35"/>
        <v>7866125GC9060LL-M</v>
      </c>
      <c r="C1079" s="1" t="s">
        <v>55</v>
      </c>
      <c r="D1079" s="1" t="s">
        <v>580</v>
      </c>
      <c r="E1079" s="1" t="s">
        <v>385</v>
      </c>
      <c r="F1079" s="1" t="s">
        <v>386</v>
      </c>
      <c r="G1079" s="1" t="s">
        <v>387</v>
      </c>
      <c r="H1079" s="1">
        <v>540</v>
      </c>
      <c r="I1079" s="3">
        <v>46268</v>
      </c>
      <c r="J1079" s="3">
        <v>46273</v>
      </c>
      <c r="K1079" s="3" t="s">
        <v>2361</v>
      </c>
      <c r="L1079" s="22">
        <v>46268.450661226852</v>
      </c>
      <c r="M1079" s="20">
        <v>12</v>
      </c>
      <c r="N1079" s="1">
        <v>25</v>
      </c>
    </row>
    <row r="1080" spans="1:14" x14ac:dyDescent="0.25">
      <c r="A1080" t="str">
        <f t="shared" si="34"/>
        <v>78661257866125</v>
      </c>
      <c r="B1080" t="str">
        <f t="shared" si="35"/>
        <v>7866125GC9060LL-M</v>
      </c>
      <c r="C1080" s="1" t="s">
        <v>55</v>
      </c>
      <c r="D1080" s="1" t="s">
        <v>580</v>
      </c>
      <c r="E1080" s="1" t="s">
        <v>385</v>
      </c>
      <c r="F1080" s="1" t="s">
        <v>386</v>
      </c>
      <c r="G1080" s="1" t="s">
        <v>387</v>
      </c>
      <c r="H1080" s="1">
        <v>540</v>
      </c>
      <c r="I1080" s="3">
        <v>46268</v>
      </c>
      <c r="J1080" s="3">
        <v>46273</v>
      </c>
      <c r="K1080" s="3" t="s">
        <v>2361</v>
      </c>
      <c r="L1080" s="22">
        <v>46268.46769262731</v>
      </c>
      <c r="M1080" s="20">
        <v>6</v>
      </c>
      <c r="N1080" s="1">
        <v>47</v>
      </c>
    </row>
    <row r="1081" spans="1:14" x14ac:dyDescent="0.25">
      <c r="A1081" t="str">
        <f t="shared" si="34"/>
        <v>78661257866125</v>
      </c>
      <c r="B1081" t="str">
        <f t="shared" si="35"/>
        <v>7866125GC9060LL-M</v>
      </c>
      <c r="C1081" s="1" t="s">
        <v>55</v>
      </c>
      <c r="D1081" s="1" t="s">
        <v>580</v>
      </c>
      <c r="E1081" s="1" t="s">
        <v>385</v>
      </c>
      <c r="F1081" s="1" t="s">
        <v>386</v>
      </c>
      <c r="G1081" s="1" t="s">
        <v>387</v>
      </c>
      <c r="H1081" s="1">
        <v>540</v>
      </c>
      <c r="I1081" s="3">
        <v>46268</v>
      </c>
      <c r="J1081" s="3">
        <v>46273</v>
      </c>
      <c r="K1081" s="3" t="s">
        <v>2361</v>
      </c>
      <c r="L1081" s="22">
        <v>46268.46793460648</v>
      </c>
      <c r="M1081" s="20">
        <v>12</v>
      </c>
      <c r="N1081" s="1">
        <v>27</v>
      </c>
    </row>
    <row r="1082" spans="1:14" x14ac:dyDescent="0.25">
      <c r="A1082" t="str">
        <f t="shared" si="34"/>
        <v>78661257866125</v>
      </c>
      <c r="B1082" t="str">
        <f t="shared" si="35"/>
        <v>7866125GC9060LL-M</v>
      </c>
      <c r="C1082" s="1" t="s">
        <v>55</v>
      </c>
      <c r="D1082" s="1" t="s">
        <v>580</v>
      </c>
      <c r="E1082" s="1" t="s">
        <v>385</v>
      </c>
      <c r="F1082" s="1" t="s">
        <v>386</v>
      </c>
      <c r="G1082" s="1" t="s">
        <v>387</v>
      </c>
      <c r="H1082" s="1">
        <v>540</v>
      </c>
      <c r="I1082" s="3">
        <v>46268</v>
      </c>
      <c r="J1082" s="3">
        <v>46273</v>
      </c>
      <c r="K1082" s="3" t="s">
        <v>2361</v>
      </c>
      <c r="L1082" s="22">
        <v>46268.556882557867</v>
      </c>
      <c r="M1082" s="20">
        <v>12</v>
      </c>
      <c r="N1082" s="1">
        <v>11</v>
      </c>
    </row>
    <row r="1083" spans="1:14" x14ac:dyDescent="0.25">
      <c r="A1083" t="str">
        <f t="shared" si="34"/>
        <v>78661257866125</v>
      </c>
      <c r="B1083" t="str">
        <f t="shared" si="35"/>
        <v>7866125GC9060LL-M</v>
      </c>
      <c r="C1083" s="1" t="s">
        <v>55</v>
      </c>
      <c r="D1083" s="1" t="s">
        <v>580</v>
      </c>
      <c r="E1083" s="1" t="s">
        <v>385</v>
      </c>
      <c r="F1083" s="1" t="s">
        <v>386</v>
      </c>
      <c r="G1083" s="1" t="s">
        <v>387</v>
      </c>
      <c r="H1083" s="1">
        <v>540</v>
      </c>
      <c r="I1083" s="3">
        <v>46268</v>
      </c>
      <c r="J1083" s="3">
        <v>46273</v>
      </c>
      <c r="K1083" s="3" t="s">
        <v>2361</v>
      </c>
      <c r="L1083" s="22">
        <v>46268.557248958328</v>
      </c>
      <c r="M1083" s="20">
        <v>12</v>
      </c>
      <c r="N1083" s="1">
        <v>15</v>
      </c>
    </row>
    <row r="1084" spans="1:14" x14ac:dyDescent="0.25">
      <c r="A1084" t="str">
        <f t="shared" si="34"/>
        <v>78661257866125</v>
      </c>
      <c r="B1084" t="str">
        <f t="shared" si="35"/>
        <v>7866125GC9060LL-M</v>
      </c>
      <c r="C1084" s="1" t="s">
        <v>55</v>
      </c>
      <c r="D1084" s="1" t="s">
        <v>580</v>
      </c>
      <c r="E1084" s="1" t="s">
        <v>385</v>
      </c>
      <c r="F1084" s="1" t="s">
        <v>386</v>
      </c>
      <c r="G1084" s="1" t="s">
        <v>387</v>
      </c>
      <c r="H1084" s="1">
        <v>540</v>
      </c>
      <c r="I1084" s="3">
        <v>46268</v>
      </c>
      <c r="J1084" s="3">
        <v>46273</v>
      </c>
      <c r="K1084" s="3" t="s">
        <v>2361</v>
      </c>
      <c r="L1084" s="22">
        <v>46268.557448645828</v>
      </c>
      <c r="M1084" s="20">
        <v>12</v>
      </c>
      <c r="N1084" s="1">
        <v>33</v>
      </c>
    </row>
    <row r="1085" spans="1:14" x14ac:dyDescent="0.25">
      <c r="A1085" t="str">
        <f t="shared" si="34"/>
        <v>78661257866125</v>
      </c>
      <c r="B1085" t="str">
        <f t="shared" si="35"/>
        <v>7866125GC9060LL-M</v>
      </c>
      <c r="C1085" s="1" t="s">
        <v>55</v>
      </c>
      <c r="D1085" s="1" t="s">
        <v>580</v>
      </c>
      <c r="E1085" s="1" t="s">
        <v>385</v>
      </c>
      <c r="F1085" s="1" t="s">
        <v>386</v>
      </c>
      <c r="G1085" s="1" t="s">
        <v>387</v>
      </c>
      <c r="H1085" s="1">
        <v>540</v>
      </c>
      <c r="I1085" s="3">
        <v>46268</v>
      </c>
      <c r="J1085" s="3">
        <v>46273</v>
      </c>
      <c r="K1085" s="3" t="s">
        <v>2361</v>
      </c>
      <c r="L1085" s="22">
        <v>46268.56027804398</v>
      </c>
      <c r="M1085" s="20">
        <v>12</v>
      </c>
      <c r="N1085" s="1">
        <v>16</v>
      </c>
    </row>
    <row r="1086" spans="1:14" x14ac:dyDescent="0.25">
      <c r="A1086" t="str">
        <f t="shared" si="34"/>
        <v>78661257866125</v>
      </c>
      <c r="B1086" t="str">
        <f t="shared" si="35"/>
        <v>7866125GC9060LL-M</v>
      </c>
      <c r="C1086" s="1" t="s">
        <v>55</v>
      </c>
      <c r="D1086" s="1" t="s">
        <v>580</v>
      </c>
      <c r="E1086" s="1" t="s">
        <v>385</v>
      </c>
      <c r="F1086" s="1" t="s">
        <v>386</v>
      </c>
      <c r="G1086" s="1" t="s">
        <v>387</v>
      </c>
      <c r="H1086" s="1">
        <v>540</v>
      </c>
      <c r="I1086" s="3">
        <v>46268</v>
      </c>
      <c r="J1086" s="3">
        <v>46273</v>
      </c>
      <c r="K1086" s="3" t="s">
        <v>2361</v>
      </c>
      <c r="L1086" s="22">
        <v>46268.564639039352</v>
      </c>
      <c r="M1086" s="20">
        <v>12</v>
      </c>
      <c r="N1086" s="1">
        <v>12</v>
      </c>
    </row>
    <row r="1087" spans="1:14" x14ac:dyDescent="0.25">
      <c r="A1087" t="str">
        <f t="shared" si="34"/>
        <v>78661257866125</v>
      </c>
      <c r="B1087" t="str">
        <f t="shared" si="35"/>
        <v>7866125GC9060LL-M</v>
      </c>
      <c r="C1087" s="1" t="s">
        <v>55</v>
      </c>
      <c r="D1087" s="1" t="s">
        <v>580</v>
      </c>
      <c r="E1087" s="1" t="s">
        <v>385</v>
      </c>
      <c r="F1087" s="1" t="s">
        <v>386</v>
      </c>
      <c r="G1087" s="1" t="s">
        <v>387</v>
      </c>
      <c r="H1087" s="1">
        <v>540</v>
      </c>
      <c r="I1087" s="3">
        <v>46268</v>
      </c>
      <c r="J1087" s="3">
        <v>46273</v>
      </c>
      <c r="K1087" s="3" t="s">
        <v>2361</v>
      </c>
      <c r="L1087" s="22">
        <v>46268.565868715275</v>
      </c>
      <c r="M1087" s="20">
        <v>12</v>
      </c>
      <c r="N1087" s="1">
        <v>41</v>
      </c>
    </row>
    <row r="1088" spans="1:14" x14ac:dyDescent="0.25">
      <c r="A1088" t="str">
        <f t="shared" si="34"/>
        <v>78661257866125</v>
      </c>
      <c r="B1088" t="str">
        <f t="shared" si="35"/>
        <v>7866125GC9060LL-M</v>
      </c>
      <c r="C1088" s="1" t="s">
        <v>55</v>
      </c>
      <c r="D1088" s="1" t="s">
        <v>580</v>
      </c>
      <c r="E1088" s="1" t="s">
        <v>385</v>
      </c>
      <c r="F1088" s="1" t="s">
        <v>386</v>
      </c>
      <c r="G1088" s="1" t="s">
        <v>387</v>
      </c>
      <c r="H1088" s="1">
        <v>540</v>
      </c>
      <c r="I1088" s="3">
        <v>46268</v>
      </c>
      <c r="J1088" s="3">
        <v>46273</v>
      </c>
      <c r="K1088" s="3" t="s">
        <v>2361</v>
      </c>
      <c r="L1088" s="22">
        <v>46268.566556863421</v>
      </c>
      <c r="M1088" s="20">
        <v>12</v>
      </c>
      <c r="N1088" s="1">
        <v>34</v>
      </c>
    </row>
    <row r="1089" spans="1:14" x14ac:dyDescent="0.25">
      <c r="A1089" t="str">
        <f t="shared" si="34"/>
        <v>78661257866125</v>
      </c>
      <c r="B1089" t="str">
        <f t="shared" si="35"/>
        <v>7866125GC9060LL-M</v>
      </c>
      <c r="C1089" s="1" t="s">
        <v>55</v>
      </c>
      <c r="D1089" s="1" t="s">
        <v>580</v>
      </c>
      <c r="E1089" s="1" t="s">
        <v>385</v>
      </c>
      <c r="F1089" s="1" t="s">
        <v>386</v>
      </c>
      <c r="G1089" s="1" t="s">
        <v>387</v>
      </c>
      <c r="H1089" s="1">
        <v>540</v>
      </c>
      <c r="I1089" s="3">
        <v>46268</v>
      </c>
      <c r="J1089" s="3">
        <v>46273</v>
      </c>
      <c r="K1089" s="3" t="s">
        <v>2361</v>
      </c>
      <c r="L1089" s="22">
        <v>46268.585569247683</v>
      </c>
      <c r="M1089" s="20">
        <v>6</v>
      </c>
      <c r="N1089" s="1">
        <v>46</v>
      </c>
    </row>
    <row r="1090" spans="1:14" x14ac:dyDescent="0.25">
      <c r="A1090" t="str">
        <f t="shared" ref="A1090:A1153" si="36">+D1090&amp;D1090</f>
        <v>78661257866125</v>
      </c>
      <c r="B1090" t="str">
        <f t="shared" ref="B1090:B1153" si="37">+D1090&amp;C1090</f>
        <v>7866125GC9060LL-M</v>
      </c>
      <c r="C1090" s="1" t="s">
        <v>55</v>
      </c>
      <c r="D1090" s="1" t="s">
        <v>580</v>
      </c>
      <c r="E1090" s="1" t="s">
        <v>385</v>
      </c>
      <c r="F1090" s="1" t="s">
        <v>386</v>
      </c>
      <c r="G1090" s="1" t="s">
        <v>387</v>
      </c>
      <c r="H1090" s="1">
        <v>540</v>
      </c>
      <c r="I1090" s="3">
        <v>46268</v>
      </c>
      <c r="J1090" s="3">
        <v>46273</v>
      </c>
      <c r="K1090" s="3" t="s">
        <v>2361</v>
      </c>
      <c r="L1090" s="22">
        <v>46268.59601577546</v>
      </c>
      <c r="M1090" s="20">
        <v>12</v>
      </c>
      <c r="N1090" s="1">
        <v>17</v>
      </c>
    </row>
    <row r="1091" spans="1:14" x14ac:dyDescent="0.25">
      <c r="A1091" t="str">
        <f t="shared" si="36"/>
        <v>78661257866125</v>
      </c>
      <c r="B1091" t="str">
        <f t="shared" si="37"/>
        <v>7866125GC9060LL-M</v>
      </c>
      <c r="C1091" s="1" t="s">
        <v>55</v>
      </c>
      <c r="D1091" s="1" t="s">
        <v>580</v>
      </c>
      <c r="E1091" s="1" t="s">
        <v>385</v>
      </c>
      <c r="F1091" s="1" t="s">
        <v>386</v>
      </c>
      <c r="G1091" s="1" t="s">
        <v>387</v>
      </c>
      <c r="H1091" s="1">
        <v>540</v>
      </c>
      <c r="I1091" s="3">
        <v>46268</v>
      </c>
      <c r="J1091" s="3">
        <v>46273</v>
      </c>
      <c r="K1091" s="3" t="s">
        <v>2361</v>
      </c>
      <c r="L1091" s="22">
        <v>46268.596351423606</v>
      </c>
      <c r="M1091" s="20">
        <v>12</v>
      </c>
      <c r="N1091" s="1">
        <v>18</v>
      </c>
    </row>
    <row r="1092" spans="1:14" x14ac:dyDescent="0.25">
      <c r="A1092" t="str">
        <f t="shared" si="36"/>
        <v>78661257866125</v>
      </c>
      <c r="B1092" t="str">
        <f t="shared" si="37"/>
        <v>7866125GC9060LL-M</v>
      </c>
      <c r="C1092" s="1" t="s">
        <v>55</v>
      </c>
      <c r="D1092" s="1" t="s">
        <v>580</v>
      </c>
      <c r="E1092" s="1" t="s">
        <v>385</v>
      </c>
      <c r="F1092" s="1" t="s">
        <v>386</v>
      </c>
      <c r="G1092" s="1" t="s">
        <v>387</v>
      </c>
      <c r="H1092" s="1">
        <v>540</v>
      </c>
      <c r="I1092" s="3">
        <v>46268</v>
      </c>
      <c r="J1092" s="3">
        <v>46273</v>
      </c>
      <c r="K1092" s="3" t="s">
        <v>2361</v>
      </c>
      <c r="L1092" s="22">
        <v>46268.596861724538</v>
      </c>
      <c r="M1092" s="20">
        <v>12</v>
      </c>
      <c r="N1092" s="1">
        <v>13</v>
      </c>
    </row>
    <row r="1093" spans="1:14" x14ac:dyDescent="0.25">
      <c r="A1093" t="str">
        <f t="shared" si="36"/>
        <v>78661257866125</v>
      </c>
      <c r="B1093" t="str">
        <f t="shared" si="37"/>
        <v>7866125GC9060LL-M</v>
      </c>
      <c r="C1093" s="1" t="s">
        <v>55</v>
      </c>
      <c r="D1093" s="1" t="s">
        <v>580</v>
      </c>
      <c r="E1093" s="1" t="s">
        <v>385</v>
      </c>
      <c r="F1093" s="1" t="s">
        <v>386</v>
      </c>
      <c r="G1093" s="1" t="s">
        <v>387</v>
      </c>
      <c r="H1093" s="1">
        <v>540</v>
      </c>
      <c r="I1093" s="3">
        <v>46268</v>
      </c>
      <c r="J1093" s="3">
        <v>46273</v>
      </c>
      <c r="K1093" s="3" t="s">
        <v>2361</v>
      </c>
      <c r="L1093" s="22">
        <v>46268.599741550926</v>
      </c>
      <c r="M1093" s="20">
        <v>12</v>
      </c>
      <c r="N1093" s="1">
        <v>19</v>
      </c>
    </row>
    <row r="1094" spans="1:14" x14ac:dyDescent="0.25">
      <c r="A1094" t="str">
        <f t="shared" si="36"/>
        <v>78661257866125</v>
      </c>
      <c r="B1094" t="str">
        <f t="shared" si="37"/>
        <v>7866125GC9060LL-M</v>
      </c>
      <c r="C1094" s="1" t="s">
        <v>55</v>
      </c>
      <c r="D1094" s="1" t="s">
        <v>580</v>
      </c>
      <c r="E1094" s="1" t="s">
        <v>385</v>
      </c>
      <c r="F1094" s="1" t="s">
        <v>386</v>
      </c>
      <c r="G1094" s="1" t="s">
        <v>387</v>
      </c>
      <c r="H1094" s="1">
        <v>540</v>
      </c>
      <c r="I1094" s="3">
        <v>46268</v>
      </c>
      <c r="J1094" s="3">
        <v>46273</v>
      </c>
      <c r="K1094" s="3" t="s">
        <v>2361</v>
      </c>
      <c r="L1094" s="22">
        <v>46268.600231747681</v>
      </c>
      <c r="M1094" s="20">
        <v>12</v>
      </c>
      <c r="N1094" s="1">
        <v>28</v>
      </c>
    </row>
    <row r="1095" spans="1:14" x14ac:dyDescent="0.25">
      <c r="A1095" t="str">
        <f t="shared" si="36"/>
        <v>78661257866125</v>
      </c>
      <c r="B1095" t="str">
        <f t="shared" si="37"/>
        <v>7866125GC9060LL-M</v>
      </c>
      <c r="C1095" s="1" t="s">
        <v>55</v>
      </c>
      <c r="D1095" s="1" t="s">
        <v>580</v>
      </c>
      <c r="E1095" s="1" t="s">
        <v>385</v>
      </c>
      <c r="F1095" s="1" t="s">
        <v>386</v>
      </c>
      <c r="G1095" s="1" t="s">
        <v>387</v>
      </c>
      <c r="H1095" s="1">
        <v>540</v>
      </c>
      <c r="I1095" s="3">
        <v>46268</v>
      </c>
      <c r="J1095" s="3">
        <v>46273</v>
      </c>
      <c r="K1095" s="3" t="s">
        <v>2361</v>
      </c>
      <c r="L1095" s="22">
        <v>46268.62635327546</v>
      </c>
      <c r="M1095" s="20">
        <v>6</v>
      </c>
      <c r="N1095" s="1">
        <v>45</v>
      </c>
    </row>
    <row r="1096" spans="1:14" x14ac:dyDescent="0.25">
      <c r="A1096" t="str">
        <f t="shared" si="36"/>
        <v>78661257866125</v>
      </c>
      <c r="B1096" t="str">
        <f t="shared" si="37"/>
        <v>7866125GC9060LL-M</v>
      </c>
      <c r="C1096" s="1" t="s">
        <v>55</v>
      </c>
      <c r="D1096" s="1" t="s">
        <v>580</v>
      </c>
      <c r="E1096" s="1" t="s">
        <v>385</v>
      </c>
      <c r="F1096" s="1" t="s">
        <v>386</v>
      </c>
      <c r="G1096" s="1" t="s">
        <v>387</v>
      </c>
      <c r="H1096" s="1">
        <v>540</v>
      </c>
      <c r="I1096" s="3">
        <v>46268</v>
      </c>
      <c r="J1096" s="3">
        <v>46273</v>
      </c>
      <c r="K1096" s="3" t="s">
        <v>2361</v>
      </c>
      <c r="L1096" s="22">
        <v>46268.627198182869</v>
      </c>
      <c r="M1096" s="20">
        <v>12</v>
      </c>
      <c r="N1096" s="1">
        <v>43</v>
      </c>
    </row>
    <row r="1097" spans="1:14" x14ac:dyDescent="0.25">
      <c r="A1097" t="str">
        <f t="shared" si="36"/>
        <v>78661257866125</v>
      </c>
      <c r="B1097" t="str">
        <f t="shared" si="37"/>
        <v>7866125GC9060LL-M</v>
      </c>
      <c r="C1097" s="1" t="s">
        <v>55</v>
      </c>
      <c r="D1097" s="1" t="s">
        <v>580</v>
      </c>
      <c r="E1097" s="1" t="s">
        <v>385</v>
      </c>
      <c r="F1097" s="1" t="s">
        <v>386</v>
      </c>
      <c r="G1097" s="1" t="s">
        <v>387</v>
      </c>
      <c r="H1097" s="1">
        <v>540</v>
      </c>
      <c r="I1097" s="3">
        <v>46268</v>
      </c>
      <c r="J1097" s="3">
        <v>46273</v>
      </c>
      <c r="K1097" s="3" t="s">
        <v>2361</v>
      </c>
      <c r="L1097" s="22">
        <v>46268.637142673608</v>
      </c>
      <c r="M1097" s="20">
        <v>12</v>
      </c>
      <c r="N1097" s="1">
        <v>39</v>
      </c>
    </row>
    <row r="1098" spans="1:14" x14ac:dyDescent="0.25">
      <c r="A1098" t="str">
        <f t="shared" si="36"/>
        <v>78661257866125</v>
      </c>
      <c r="B1098" t="str">
        <f t="shared" si="37"/>
        <v>7866125GC9060LL-M</v>
      </c>
      <c r="C1098" s="1" t="s">
        <v>55</v>
      </c>
      <c r="D1098" s="1" t="s">
        <v>580</v>
      </c>
      <c r="E1098" s="1" t="s">
        <v>385</v>
      </c>
      <c r="F1098" s="1" t="s">
        <v>386</v>
      </c>
      <c r="G1098" s="1" t="s">
        <v>387</v>
      </c>
      <c r="H1098" s="1">
        <v>540</v>
      </c>
      <c r="I1098" s="3">
        <v>46268</v>
      </c>
      <c r="J1098" s="3">
        <v>46273</v>
      </c>
      <c r="K1098" s="3" t="s">
        <v>2361</v>
      </c>
      <c r="L1098" s="22">
        <v>46268.641837581017</v>
      </c>
      <c r="M1098" s="20">
        <v>12</v>
      </c>
      <c r="N1098" s="1">
        <v>35</v>
      </c>
    </row>
    <row r="1099" spans="1:14" x14ac:dyDescent="0.25">
      <c r="A1099" t="str">
        <f t="shared" si="36"/>
        <v>78661257866125</v>
      </c>
      <c r="B1099" t="str">
        <f t="shared" si="37"/>
        <v>7866125GC9060LL-M</v>
      </c>
      <c r="C1099" s="1" t="s">
        <v>55</v>
      </c>
      <c r="D1099" s="1" t="s">
        <v>580</v>
      </c>
      <c r="E1099" s="1" t="s">
        <v>385</v>
      </c>
      <c r="F1099" s="1" t="s">
        <v>386</v>
      </c>
      <c r="G1099" s="1" t="s">
        <v>387</v>
      </c>
      <c r="H1099" s="1">
        <v>540</v>
      </c>
      <c r="I1099" s="3">
        <v>46268</v>
      </c>
      <c r="J1099" s="3">
        <v>46273</v>
      </c>
      <c r="K1099" s="3" t="s">
        <v>2361</v>
      </c>
      <c r="L1099" s="22">
        <v>46268.65505616898</v>
      </c>
      <c r="M1099" s="20">
        <v>12</v>
      </c>
      <c r="N1099" s="1">
        <v>20</v>
      </c>
    </row>
    <row r="1100" spans="1:14" x14ac:dyDescent="0.25">
      <c r="A1100" t="str">
        <f t="shared" si="36"/>
        <v>78661257866125</v>
      </c>
      <c r="B1100" t="str">
        <f t="shared" si="37"/>
        <v>7866125GC9060LL-M</v>
      </c>
      <c r="C1100" s="1" t="s">
        <v>55</v>
      </c>
      <c r="D1100" s="1" t="s">
        <v>580</v>
      </c>
      <c r="E1100" s="1" t="s">
        <v>385</v>
      </c>
      <c r="F1100" s="1" t="s">
        <v>386</v>
      </c>
      <c r="G1100" s="1" t="s">
        <v>387</v>
      </c>
      <c r="H1100" s="1">
        <v>540</v>
      </c>
      <c r="I1100" s="3">
        <v>46268</v>
      </c>
      <c r="J1100" s="3">
        <v>46273</v>
      </c>
      <c r="K1100" s="3" t="s">
        <v>2361</v>
      </c>
      <c r="L1100" s="22">
        <v>46268.68216866898</v>
      </c>
      <c r="M1100" s="20">
        <v>12</v>
      </c>
      <c r="N1100" s="1">
        <v>21</v>
      </c>
    </row>
    <row r="1101" spans="1:14" x14ac:dyDescent="0.25">
      <c r="A1101" t="str">
        <f t="shared" si="36"/>
        <v>H171615H171615</v>
      </c>
      <c r="B1101" t="str">
        <f t="shared" si="37"/>
        <v>H171615P60347T-M</v>
      </c>
      <c r="C1101" s="1" t="s">
        <v>272</v>
      </c>
      <c r="D1101" s="1" t="s">
        <v>582</v>
      </c>
      <c r="E1101" s="1" t="s">
        <v>2292</v>
      </c>
      <c r="F1101" s="1" t="s">
        <v>2293</v>
      </c>
      <c r="G1101" s="1" t="s">
        <v>404</v>
      </c>
      <c r="H1101" s="1">
        <v>168</v>
      </c>
      <c r="I1101" s="3">
        <v>46268</v>
      </c>
      <c r="J1101" s="3">
        <v>46270</v>
      </c>
      <c r="K1101" s="3" t="s">
        <v>2358</v>
      </c>
      <c r="L1101" s="22">
        <v>46268.567578437498</v>
      </c>
      <c r="M1101" s="20">
        <v>12</v>
      </c>
      <c r="N1101" s="1">
        <v>4</v>
      </c>
    </row>
    <row r="1102" spans="1:14" x14ac:dyDescent="0.25">
      <c r="A1102" t="str">
        <f t="shared" si="36"/>
        <v>H171615H171615</v>
      </c>
      <c r="B1102" t="str">
        <f t="shared" si="37"/>
        <v>H171615P60347T-M</v>
      </c>
      <c r="C1102" s="1" t="s">
        <v>272</v>
      </c>
      <c r="D1102" s="1" t="s">
        <v>582</v>
      </c>
      <c r="E1102" s="1" t="s">
        <v>2292</v>
      </c>
      <c r="F1102" s="1" t="s">
        <v>2293</v>
      </c>
      <c r="G1102" s="1" t="s">
        <v>404</v>
      </c>
      <c r="H1102" s="1">
        <v>168</v>
      </c>
      <c r="I1102" s="3">
        <v>46268</v>
      </c>
      <c r="J1102" s="3">
        <v>46270</v>
      </c>
      <c r="K1102" s="3" t="s">
        <v>2358</v>
      </c>
      <c r="L1102" s="22">
        <v>46268.601172187497</v>
      </c>
      <c r="M1102" s="20">
        <v>12</v>
      </c>
      <c r="N1102" s="1">
        <v>3</v>
      </c>
    </row>
    <row r="1103" spans="1:14" x14ac:dyDescent="0.25">
      <c r="A1103" t="str">
        <f t="shared" si="36"/>
        <v>H171615H171615</v>
      </c>
      <c r="B1103" t="str">
        <f t="shared" si="37"/>
        <v>H171615P60347T-M</v>
      </c>
      <c r="C1103" s="1" t="s">
        <v>272</v>
      </c>
      <c r="D1103" s="1" t="s">
        <v>582</v>
      </c>
      <c r="E1103" s="1" t="s">
        <v>2292</v>
      </c>
      <c r="F1103" s="1" t="s">
        <v>2293</v>
      </c>
      <c r="G1103" s="1" t="s">
        <v>404</v>
      </c>
      <c r="H1103" s="1">
        <v>168</v>
      </c>
      <c r="I1103" s="3">
        <v>46268</v>
      </c>
      <c r="J1103" s="3">
        <v>46270</v>
      </c>
      <c r="K1103" s="3" t="s">
        <v>2358</v>
      </c>
      <c r="L1103" s="22">
        <v>46268.619192939812</v>
      </c>
      <c r="M1103" s="20">
        <v>12</v>
      </c>
      <c r="N1103" s="1">
        <v>6</v>
      </c>
    </row>
    <row r="1104" spans="1:14" x14ac:dyDescent="0.25">
      <c r="A1104" t="str">
        <f t="shared" si="36"/>
        <v>H171615H171615</v>
      </c>
      <c r="B1104" t="str">
        <f t="shared" si="37"/>
        <v>H171615P60347T-M</v>
      </c>
      <c r="C1104" s="1" t="s">
        <v>272</v>
      </c>
      <c r="D1104" s="1" t="s">
        <v>582</v>
      </c>
      <c r="E1104" s="1" t="s">
        <v>2292</v>
      </c>
      <c r="F1104" s="1" t="s">
        <v>2293</v>
      </c>
      <c r="G1104" s="1" t="s">
        <v>404</v>
      </c>
      <c r="H1104" s="1">
        <v>168</v>
      </c>
      <c r="I1104" s="3">
        <v>46268</v>
      </c>
      <c r="J1104" s="3">
        <v>46270</v>
      </c>
      <c r="K1104" s="3" t="s">
        <v>2358</v>
      </c>
      <c r="L1104" s="22">
        <v>46268.662386805554</v>
      </c>
      <c r="M1104" s="20">
        <v>12</v>
      </c>
      <c r="N1104" s="1">
        <v>5</v>
      </c>
    </row>
    <row r="1105" spans="1:14" x14ac:dyDescent="0.25">
      <c r="A1105" t="str">
        <f t="shared" si="36"/>
        <v>U146432U146432</v>
      </c>
      <c r="B1105" t="str">
        <f t="shared" si="37"/>
        <v>U146432G6035F4-M</v>
      </c>
      <c r="C1105" s="1" t="s">
        <v>24</v>
      </c>
      <c r="D1105" s="1" t="s">
        <v>581</v>
      </c>
      <c r="E1105" s="1" t="s">
        <v>436</v>
      </c>
      <c r="F1105" s="1" t="s">
        <v>437</v>
      </c>
      <c r="G1105" s="1" t="s">
        <v>438</v>
      </c>
      <c r="H1105" s="1">
        <v>756</v>
      </c>
      <c r="I1105" s="3">
        <v>46268</v>
      </c>
      <c r="J1105" s="3">
        <v>46279</v>
      </c>
      <c r="K1105" s="3" t="s">
        <v>2369</v>
      </c>
      <c r="L1105" s="22">
        <v>46268.555364548607</v>
      </c>
      <c r="M1105" s="20">
        <v>12</v>
      </c>
      <c r="N1105" s="1">
        <v>41</v>
      </c>
    </row>
    <row r="1106" spans="1:14" x14ac:dyDescent="0.25">
      <c r="A1106" t="str">
        <f t="shared" si="36"/>
        <v>U146432U146432</v>
      </c>
      <c r="B1106" t="str">
        <f t="shared" si="37"/>
        <v>U146432G6035F4-M</v>
      </c>
      <c r="C1106" s="1" t="s">
        <v>24</v>
      </c>
      <c r="D1106" s="1" t="s">
        <v>581</v>
      </c>
      <c r="E1106" s="1" t="s">
        <v>436</v>
      </c>
      <c r="F1106" s="1" t="s">
        <v>437</v>
      </c>
      <c r="G1106" s="1" t="s">
        <v>438</v>
      </c>
      <c r="H1106" s="1">
        <v>756</v>
      </c>
      <c r="I1106" s="3">
        <v>46268</v>
      </c>
      <c r="J1106" s="3">
        <v>46279</v>
      </c>
      <c r="K1106" s="3" t="s">
        <v>2369</v>
      </c>
      <c r="L1106" s="22">
        <v>46268.557707442131</v>
      </c>
      <c r="M1106" s="20">
        <v>12</v>
      </c>
      <c r="N1106" s="1">
        <v>25</v>
      </c>
    </row>
    <row r="1107" spans="1:14" x14ac:dyDescent="0.25">
      <c r="A1107" t="str">
        <f t="shared" si="36"/>
        <v>U146432U146432</v>
      </c>
      <c r="B1107" t="str">
        <f t="shared" si="37"/>
        <v>U146432G6035F4-M</v>
      </c>
      <c r="C1107" s="1" t="s">
        <v>24</v>
      </c>
      <c r="D1107" s="1" t="s">
        <v>581</v>
      </c>
      <c r="E1107" s="1" t="s">
        <v>436</v>
      </c>
      <c r="F1107" s="1" t="s">
        <v>437</v>
      </c>
      <c r="G1107" s="1" t="s">
        <v>438</v>
      </c>
      <c r="H1107" s="1">
        <v>756</v>
      </c>
      <c r="I1107" s="3">
        <v>46268</v>
      </c>
      <c r="J1107" s="3">
        <v>46279</v>
      </c>
      <c r="K1107" s="3" t="s">
        <v>2369</v>
      </c>
      <c r="L1107" s="22">
        <v>46268.557936307865</v>
      </c>
      <c r="M1107" s="20">
        <v>12</v>
      </c>
      <c r="N1107" s="1">
        <v>40</v>
      </c>
    </row>
    <row r="1108" spans="1:14" x14ac:dyDescent="0.25">
      <c r="A1108" t="str">
        <f t="shared" si="36"/>
        <v>U146432U146432</v>
      </c>
      <c r="B1108" t="str">
        <f t="shared" si="37"/>
        <v>U146432G6035F4-M</v>
      </c>
      <c r="C1108" s="1" t="s">
        <v>24</v>
      </c>
      <c r="D1108" s="1" t="s">
        <v>581</v>
      </c>
      <c r="E1108" s="1" t="s">
        <v>436</v>
      </c>
      <c r="F1108" s="1" t="s">
        <v>437</v>
      </c>
      <c r="G1108" s="1" t="s">
        <v>438</v>
      </c>
      <c r="H1108" s="1">
        <v>756</v>
      </c>
      <c r="I1108" s="3">
        <v>46268</v>
      </c>
      <c r="J1108" s="3">
        <v>46279</v>
      </c>
      <c r="K1108" s="3" t="s">
        <v>2369</v>
      </c>
      <c r="L1108" s="22">
        <v>46268.558125312498</v>
      </c>
      <c r="M1108" s="20">
        <v>12</v>
      </c>
      <c r="N1108" s="1">
        <v>35</v>
      </c>
    </row>
    <row r="1109" spans="1:14" x14ac:dyDescent="0.25">
      <c r="A1109" t="str">
        <f t="shared" si="36"/>
        <v>U146432U146432</v>
      </c>
      <c r="B1109" t="str">
        <f t="shared" si="37"/>
        <v>U146432G6035F4-M</v>
      </c>
      <c r="C1109" s="1" t="s">
        <v>24</v>
      </c>
      <c r="D1109" s="1" t="s">
        <v>581</v>
      </c>
      <c r="E1109" s="1" t="s">
        <v>436</v>
      </c>
      <c r="F1109" s="1" t="s">
        <v>437</v>
      </c>
      <c r="G1109" s="1" t="s">
        <v>438</v>
      </c>
      <c r="H1109" s="1">
        <v>756</v>
      </c>
      <c r="I1109" s="3">
        <v>46268</v>
      </c>
      <c r="J1109" s="3">
        <v>46279</v>
      </c>
      <c r="K1109" s="3" t="s">
        <v>2369</v>
      </c>
      <c r="L1109" s="22">
        <v>46268.558326620368</v>
      </c>
      <c r="M1109" s="20">
        <v>12</v>
      </c>
      <c r="N1109" s="1">
        <v>24</v>
      </c>
    </row>
    <row r="1110" spans="1:14" x14ac:dyDescent="0.25">
      <c r="A1110" t="str">
        <f t="shared" si="36"/>
        <v>U146432U146432</v>
      </c>
      <c r="B1110" t="str">
        <f t="shared" si="37"/>
        <v>U146432G6035F4-M</v>
      </c>
      <c r="C1110" s="1" t="s">
        <v>24</v>
      </c>
      <c r="D1110" s="1" t="s">
        <v>581</v>
      </c>
      <c r="E1110" s="1" t="s">
        <v>436</v>
      </c>
      <c r="F1110" s="1" t="s">
        <v>437</v>
      </c>
      <c r="G1110" s="1" t="s">
        <v>438</v>
      </c>
      <c r="H1110" s="1">
        <v>756</v>
      </c>
      <c r="I1110" s="3">
        <v>46268</v>
      </c>
      <c r="J1110" s="3">
        <v>46279</v>
      </c>
      <c r="K1110" s="3" t="s">
        <v>2369</v>
      </c>
      <c r="L1110" s="22">
        <v>46268.558990162033</v>
      </c>
      <c r="M1110" s="20">
        <v>12</v>
      </c>
      <c r="N1110" s="1">
        <v>23</v>
      </c>
    </row>
    <row r="1111" spans="1:14" x14ac:dyDescent="0.25">
      <c r="A1111" t="str">
        <f t="shared" si="36"/>
        <v>U146432U146432</v>
      </c>
      <c r="B1111" t="str">
        <f t="shared" si="37"/>
        <v>U146432G6035F4-M</v>
      </c>
      <c r="C1111" s="1" t="s">
        <v>24</v>
      </c>
      <c r="D1111" s="1" t="s">
        <v>581</v>
      </c>
      <c r="E1111" s="1" t="s">
        <v>436</v>
      </c>
      <c r="F1111" s="1" t="s">
        <v>437</v>
      </c>
      <c r="G1111" s="1" t="s">
        <v>438</v>
      </c>
      <c r="H1111" s="1">
        <v>756</v>
      </c>
      <c r="I1111" s="3">
        <v>46268</v>
      </c>
      <c r="J1111" s="3">
        <v>46279</v>
      </c>
      <c r="K1111" s="3" t="s">
        <v>2369</v>
      </c>
      <c r="L1111" s="22">
        <v>46268.560115243054</v>
      </c>
      <c r="M1111" s="20">
        <v>12</v>
      </c>
      <c r="N1111" s="1">
        <v>4</v>
      </c>
    </row>
    <row r="1112" spans="1:14" x14ac:dyDescent="0.25">
      <c r="A1112" t="str">
        <f t="shared" si="36"/>
        <v>U146432U146432</v>
      </c>
      <c r="B1112" t="str">
        <f t="shared" si="37"/>
        <v>U146432G6035F4-M</v>
      </c>
      <c r="C1112" s="1" t="s">
        <v>24</v>
      </c>
      <c r="D1112" s="1" t="s">
        <v>581</v>
      </c>
      <c r="E1112" s="1" t="s">
        <v>436</v>
      </c>
      <c r="F1112" s="1" t="s">
        <v>437</v>
      </c>
      <c r="G1112" s="1" t="s">
        <v>438</v>
      </c>
      <c r="H1112" s="1">
        <v>756</v>
      </c>
      <c r="I1112" s="3">
        <v>46268</v>
      </c>
      <c r="J1112" s="3">
        <v>46279</v>
      </c>
      <c r="K1112" s="3" t="s">
        <v>2369</v>
      </c>
      <c r="L1112" s="22">
        <v>46268.563358530089</v>
      </c>
      <c r="M1112" s="20">
        <v>12</v>
      </c>
      <c r="N1112" s="1">
        <v>5</v>
      </c>
    </row>
    <row r="1113" spans="1:14" x14ac:dyDescent="0.25">
      <c r="A1113" t="str">
        <f t="shared" si="36"/>
        <v>U146432U146432</v>
      </c>
      <c r="B1113" t="str">
        <f t="shared" si="37"/>
        <v>U146432G6035F4-M</v>
      </c>
      <c r="C1113" s="1" t="s">
        <v>24</v>
      </c>
      <c r="D1113" s="1" t="s">
        <v>581</v>
      </c>
      <c r="E1113" s="1" t="s">
        <v>436</v>
      </c>
      <c r="F1113" s="1" t="s">
        <v>437</v>
      </c>
      <c r="G1113" s="1" t="s">
        <v>438</v>
      </c>
      <c r="H1113" s="1">
        <v>756</v>
      </c>
      <c r="I1113" s="3">
        <v>46268</v>
      </c>
      <c r="J1113" s="3">
        <v>46279</v>
      </c>
      <c r="K1113" s="3" t="s">
        <v>2369</v>
      </c>
      <c r="L1113" s="22">
        <v>46268.564161458329</v>
      </c>
      <c r="M1113" s="20">
        <v>12</v>
      </c>
      <c r="N1113" s="1">
        <v>51</v>
      </c>
    </row>
    <row r="1114" spans="1:14" x14ac:dyDescent="0.25">
      <c r="A1114" t="str">
        <f t="shared" si="36"/>
        <v>U146432U146432</v>
      </c>
      <c r="B1114" t="str">
        <f t="shared" si="37"/>
        <v>U146432G6035F4-M</v>
      </c>
      <c r="C1114" s="1" t="s">
        <v>24</v>
      </c>
      <c r="D1114" s="1" t="s">
        <v>581</v>
      </c>
      <c r="E1114" s="1" t="s">
        <v>436</v>
      </c>
      <c r="F1114" s="1" t="s">
        <v>437</v>
      </c>
      <c r="G1114" s="1" t="s">
        <v>438</v>
      </c>
      <c r="H1114" s="1">
        <v>756</v>
      </c>
      <c r="I1114" s="3">
        <v>46268</v>
      </c>
      <c r="J1114" s="3">
        <v>46279</v>
      </c>
      <c r="K1114" s="3" t="s">
        <v>2369</v>
      </c>
      <c r="L1114" s="22">
        <v>46268.570613657408</v>
      </c>
      <c r="M1114" s="20">
        <v>12</v>
      </c>
      <c r="N1114" s="1">
        <v>16</v>
      </c>
    </row>
    <row r="1115" spans="1:14" x14ac:dyDescent="0.25">
      <c r="A1115" t="str">
        <f t="shared" si="36"/>
        <v>U146432U146432</v>
      </c>
      <c r="B1115" t="str">
        <f t="shared" si="37"/>
        <v>U146432G6035F4-M</v>
      </c>
      <c r="C1115" s="1" t="s">
        <v>24</v>
      </c>
      <c r="D1115" s="1" t="s">
        <v>581</v>
      </c>
      <c r="E1115" s="1" t="s">
        <v>436</v>
      </c>
      <c r="F1115" s="1" t="s">
        <v>437</v>
      </c>
      <c r="G1115" s="1" t="s">
        <v>438</v>
      </c>
      <c r="H1115" s="1">
        <v>756</v>
      </c>
      <c r="I1115" s="3">
        <v>46268</v>
      </c>
      <c r="J1115" s="3">
        <v>46279</v>
      </c>
      <c r="K1115" s="3" t="s">
        <v>2369</v>
      </c>
      <c r="L1115" s="22">
        <v>46268.570787384255</v>
      </c>
      <c r="M1115" s="20">
        <v>12</v>
      </c>
      <c r="N1115" s="1">
        <v>6</v>
      </c>
    </row>
    <row r="1116" spans="1:14" x14ac:dyDescent="0.25">
      <c r="A1116" t="str">
        <f t="shared" si="36"/>
        <v>U146432U146432</v>
      </c>
      <c r="B1116" t="str">
        <f t="shared" si="37"/>
        <v>U146432G6035F4-M</v>
      </c>
      <c r="C1116" s="1" t="s">
        <v>24</v>
      </c>
      <c r="D1116" s="1" t="s">
        <v>581</v>
      </c>
      <c r="E1116" s="1" t="s">
        <v>436</v>
      </c>
      <c r="F1116" s="1" t="s">
        <v>437</v>
      </c>
      <c r="G1116" s="1" t="s">
        <v>438</v>
      </c>
      <c r="H1116" s="1">
        <v>756</v>
      </c>
      <c r="I1116" s="3">
        <v>46268</v>
      </c>
      <c r="J1116" s="3">
        <v>46279</v>
      </c>
      <c r="K1116" s="3" t="s">
        <v>2369</v>
      </c>
      <c r="L1116" s="22">
        <v>46268.571173379627</v>
      </c>
      <c r="M1116" s="20">
        <v>12</v>
      </c>
      <c r="N1116" s="1">
        <v>26</v>
      </c>
    </row>
    <row r="1117" spans="1:14" x14ac:dyDescent="0.25">
      <c r="A1117" t="str">
        <f t="shared" si="36"/>
        <v>U146432U146432</v>
      </c>
      <c r="B1117" t="str">
        <f t="shared" si="37"/>
        <v>U146432G6035F4-M</v>
      </c>
      <c r="C1117" s="1" t="s">
        <v>24</v>
      </c>
      <c r="D1117" s="1" t="s">
        <v>581</v>
      </c>
      <c r="E1117" s="1" t="s">
        <v>436</v>
      </c>
      <c r="F1117" s="1" t="s">
        <v>437</v>
      </c>
      <c r="G1117" s="1" t="s">
        <v>438</v>
      </c>
      <c r="H1117" s="1">
        <v>756</v>
      </c>
      <c r="I1117" s="3">
        <v>46268</v>
      </c>
      <c r="J1117" s="3">
        <v>46279</v>
      </c>
      <c r="K1117" s="3" t="s">
        <v>2369</v>
      </c>
      <c r="L1117" s="22">
        <v>46268.572991863424</v>
      </c>
      <c r="M1117" s="20">
        <v>12</v>
      </c>
      <c r="N1117" s="1">
        <v>36</v>
      </c>
    </row>
    <row r="1118" spans="1:14" x14ac:dyDescent="0.25">
      <c r="A1118" t="str">
        <f t="shared" si="36"/>
        <v>U146432U146432</v>
      </c>
      <c r="B1118" t="str">
        <f t="shared" si="37"/>
        <v>U146432G6035F4-M</v>
      </c>
      <c r="C1118" s="1" t="s">
        <v>24</v>
      </c>
      <c r="D1118" s="1" t="s">
        <v>581</v>
      </c>
      <c r="E1118" s="1" t="s">
        <v>436</v>
      </c>
      <c r="F1118" s="1" t="s">
        <v>437</v>
      </c>
      <c r="G1118" s="1" t="s">
        <v>438</v>
      </c>
      <c r="H1118" s="1">
        <v>756</v>
      </c>
      <c r="I1118" s="3">
        <v>46268</v>
      </c>
      <c r="J1118" s="3">
        <v>46279</v>
      </c>
      <c r="K1118" s="3" t="s">
        <v>2369</v>
      </c>
      <c r="L1118" s="22">
        <v>46268.582740277772</v>
      </c>
      <c r="M1118" s="20">
        <v>12</v>
      </c>
      <c r="N1118" s="1">
        <v>17</v>
      </c>
    </row>
    <row r="1119" spans="1:14" x14ac:dyDescent="0.25">
      <c r="A1119" t="str">
        <f t="shared" si="36"/>
        <v>U146432U146432</v>
      </c>
      <c r="B1119" t="str">
        <f t="shared" si="37"/>
        <v>U146432G6035F4-M</v>
      </c>
      <c r="C1119" s="1" t="s">
        <v>24</v>
      </c>
      <c r="D1119" s="1" t="s">
        <v>581</v>
      </c>
      <c r="E1119" s="1" t="s">
        <v>436</v>
      </c>
      <c r="F1119" s="1" t="s">
        <v>437</v>
      </c>
      <c r="G1119" s="1" t="s">
        <v>438</v>
      </c>
      <c r="H1119" s="1">
        <v>756</v>
      </c>
      <c r="I1119" s="3">
        <v>46268</v>
      </c>
      <c r="J1119" s="3">
        <v>46279</v>
      </c>
      <c r="K1119" s="3" t="s">
        <v>2369</v>
      </c>
      <c r="L1119" s="22">
        <v>46268.583951967594</v>
      </c>
      <c r="M1119" s="20">
        <v>12</v>
      </c>
      <c r="N1119" s="1">
        <v>37</v>
      </c>
    </row>
    <row r="1120" spans="1:14" x14ac:dyDescent="0.25">
      <c r="A1120" t="str">
        <f t="shared" si="36"/>
        <v>U146432U146432</v>
      </c>
      <c r="B1120" t="str">
        <f t="shared" si="37"/>
        <v>U146432G6035F4-M</v>
      </c>
      <c r="C1120" s="1" t="s">
        <v>24</v>
      </c>
      <c r="D1120" s="1" t="s">
        <v>581</v>
      </c>
      <c r="E1120" s="1" t="s">
        <v>436</v>
      </c>
      <c r="F1120" s="1" t="s">
        <v>437</v>
      </c>
      <c r="G1120" s="1" t="s">
        <v>438</v>
      </c>
      <c r="H1120" s="1">
        <v>756</v>
      </c>
      <c r="I1120" s="3">
        <v>46268</v>
      </c>
      <c r="J1120" s="3">
        <v>46279</v>
      </c>
      <c r="K1120" s="3" t="s">
        <v>2369</v>
      </c>
      <c r="L1120" s="22">
        <v>46268.588159953702</v>
      </c>
      <c r="M1120" s="20">
        <v>12</v>
      </c>
      <c r="N1120" s="1">
        <v>53</v>
      </c>
    </row>
    <row r="1121" spans="1:14" x14ac:dyDescent="0.25">
      <c r="A1121" t="str">
        <f t="shared" si="36"/>
        <v>U146432U146432</v>
      </c>
      <c r="B1121" t="str">
        <f t="shared" si="37"/>
        <v>U146432G6035F4-M</v>
      </c>
      <c r="C1121" s="1" t="s">
        <v>24</v>
      </c>
      <c r="D1121" s="1" t="s">
        <v>581</v>
      </c>
      <c r="E1121" s="1" t="s">
        <v>436</v>
      </c>
      <c r="F1121" s="1" t="s">
        <v>437</v>
      </c>
      <c r="G1121" s="1" t="s">
        <v>438</v>
      </c>
      <c r="H1121" s="1">
        <v>756</v>
      </c>
      <c r="I1121" s="3">
        <v>46268</v>
      </c>
      <c r="J1121" s="3">
        <v>46279</v>
      </c>
      <c r="K1121" s="3" t="s">
        <v>2369</v>
      </c>
      <c r="L1121" s="22">
        <v>46268.591596261569</v>
      </c>
      <c r="M1121" s="20">
        <v>12</v>
      </c>
      <c r="N1121" s="1">
        <v>52</v>
      </c>
    </row>
    <row r="1122" spans="1:14" x14ac:dyDescent="0.25">
      <c r="A1122" t="str">
        <f t="shared" si="36"/>
        <v>U146432U146432</v>
      </c>
      <c r="B1122" t="str">
        <f t="shared" si="37"/>
        <v>U146432G6035F4-M</v>
      </c>
      <c r="C1122" s="1" t="s">
        <v>24</v>
      </c>
      <c r="D1122" s="1" t="s">
        <v>581</v>
      </c>
      <c r="E1122" s="1" t="s">
        <v>436</v>
      </c>
      <c r="F1122" s="1" t="s">
        <v>437</v>
      </c>
      <c r="G1122" s="1" t="s">
        <v>438</v>
      </c>
      <c r="H1122" s="1">
        <v>756</v>
      </c>
      <c r="I1122" s="3">
        <v>46268</v>
      </c>
      <c r="J1122" s="3">
        <v>46279</v>
      </c>
      <c r="K1122" s="3" t="s">
        <v>2369</v>
      </c>
      <c r="L1122" s="22">
        <v>46268.612391168979</v>
      </c>
      <c r="M1122" s="20">
        <v>12</v>
      </c>
      <c r="N1122" s="1">
        <v>42</v>
      </c>
    </row>
    <row r="1123" spans="1:14" x14ac:dyDescent="0.25">
      <c r="A1123" t="str">
        <f t="shared" si="36"/>
        <v>U146432U146432</v>
      </c>
      <c r="B1123" t="str">
        <f t="shared" si="37"/>
        <v>U146432G6035F4-M</v>
      </c>
      <c r="C1123" s="1" t="s">
        <v>24</v>
      </c>
      <c r="D1123" s="1" t="s">
        <v>581</v>
      </c>
      <c r="E1123" s="1" t="s">
        <v>436</v>
      </c>
      <c r="F1123" s="1" t="s">
        <v>437</v>
      </c>
      <c r="G1123" s="1" t="s">
        <v>438</v>
      </c>
      <c r="H1123" s="1">
        <v>756</v>
      </c>
      <c r="I1123" s="3">
        <v>46268</v>
      </c>
      <c r="J1123" s="3">
        <v>46279</v>
      </c>
      <c r="K1123" s="3" t="s">
        <v>2369</v>
      </c>
      <c r="L1123" s="22">
        <v>46268.612868171294</v>
      </c>
      <c r="M1123" s="20">
        <v>12</v>
      </c>
      <c r="N1123" s="1">
        <v>54</v>
      </c>
    </row>
    <row r="1124" spans="1:14" x14ac:dyDescent="0.25">
      <c r="A1124" t="str">
        <f t="shared" si="36"/>
        <v>U146432U146432</v>
      </c>
      <c r="B1124" t="str">
        <f t="shared" si="37"/>
        <v>U146432G6035F4-M</v>
      </c>
      <c r="C1124" s="1" t="s">
        <v>24</v>
      </c>
      <c r="D1124" s="1" t="s">
        <v>581</v>
      </c>
      <c r="E1124" s="1" t="s">
        <v>436</v>
      </c>
      <c r="F1124" s="1" t="s">
        <v>437</v>
      </c>
      <c r="G1124" s="1" t="s">
        <v>438</v>
      </c>
      <c r="H1124" s="1">
        <v>756</v>
      </c>
      <c r="I1124" s="3">
        <v>46268</v>
      </c>
      <c r="J1124" s="3">
        <v>46279</v>
      </c>
      <c r="K1124" s="3" t="s">
        <v>2369</v>
      </c>
      <c r="L1124" s="22">
        <v>46268.613732210644</v>
      </c>
      <c r="M1124" s="20">
        <v>12</v>
      </c>
      <c r="N1124" s="1">
        <v>27</v>
      </c>
    </row>
    <row r="1125" spans="1:14" x14ac:dyDescent="0.25">
      <c r="A1125" t="str">
        <f t="shared" si="36"/>
        <v>U146432U146432</v>
      </c>
      <c r="B1125" t="str">
        <f t="shared" si="37"/>
        <v>U146432G6035F4-M</v>
      </c>
      <c r="C1125" s="1" t="s">
        <v>24</v>
      </c>
      <c r="D1125" s="1" t="s">
        <v>581</v>
      </c>
      <c r="E1125" s="1" t="s">
        <v>436</v>
      </c>
      <c r="F1125" s="1" t="s">
        <v>437</v>
      </c>
      <c r="G1125" s="1" t="s">
        <v>438</v>
      </c>
      <c r="H1125" s="1">
        <v>756</v>
      </c>
      <c r="I1125" s="3">
        <v>46268</v>
      </c>
      <c r="J1125" s="3">
        <v>46279</v>
      </c>
      <c r="K1125" s="3" t="s">
        <v>2369</v>
      </c>
      <c r="L1125" s="22">
        <v>46268.621997916664</v>
      </c>
      <c r="M1125" s="20">
        <v>12</v>
      </c>
      <c r="N1125" s="1">
        <v>28</v>
      </c>
    </row>
    <row r="1126" spans="1:14" x14ac:dyDescent="0.25">
      <c r="A1126" t="str">
        <f t="shared" si="36"/>
        <v>U146432U146432</v>
      </c>
      <c r="B1126" t="str">
        <f t="shared" si="37"/>
        <v>U146432G6035F4-M</v>
      </c>
      <c r="C1126" s="1" t="s">
        <v>24</v>
      </c>
      <c r="D1126" s="1" t="s">
        <v>581</v>
      </c>
      <c r="E1126" s="1" t="s">
        <v>436</v>
      </c>
      <c r="F1126" s="1" t="s">
        <v>437</v>
      </c>
      <c r="G1126" s="1" t="s">
        <v>438</v>
      </c>
      <c r="H1126" s="1">
        <v>756</v>
      </c>
      <c r="I1126" s="3">
        <v>46268</v>
      </c>
      <c r="J1126" s="3">
        <v>46279</v>
      </c>
      <c r="K1126" s="3" t="s">
        <v>2369</v>
      </c>
      <c r="L1126" s="22">
        <v>46268.629156249997</v>
      </c>
      <c r="M1126" s="20">
        <v>12</v>
      </c>
      <c r="N1126" s="1">
        <v>55</v>
      </c>
    </row>
    <row r="1127" spans="1:14" x14ac:dyDescent="0.25">
      <c r="A1127" t="str">
        <f t="shared" si="36"/>
        <v>U146432U146432</v>
      </c>
      <c r="B1127" t="str">
        <f t="shared" si="37"/>
        <v>U146432G6035F4-M</v>
      </c>
      <c r="C1127" s="1" t="s">
        <v>24</v>
      </c>
      <c r="D1127" s="1" t="s">
        <v>581</v>
      </c>
      <c r="E1127" s="1" t="s">
        <v>436</v>
      </c>
      <c r="F1127" s="1" t="s">
        <v>437</v>
      </c>
      <c r="G1127" s="1" t="s">
        <v>438</v>
      </c>
      <c r="H1127" s="1">
        <v>756</v>
      </c>
      <c r="I1127" s="3">
        <v>46268</v>
      </c>
      <c r="J1127" s="3">
        <v>46279</v>
      </c>
      <c r="K1127" s="3" t="s">
        <v>2369</v>
      </c>
      <c r="L1127" s="22">
        <v>46268.63050269676</v>
      </c>
      <c r="M1127" s="20">
        <v>12</v>
      </c>
      <c r="N1127" s="1">
        <v>43</v>
      </c>
    </row>
    <row r="1128" spans="1:14" x14ac:dyDescent="0.25">
      <c r="A1128" t="str">
        <f t="shared" si="36"/>
        <v>U146432U146432</v>
      </c>
      <c r="B1128" t="str">
        <f t="shared" si="37"/>
        <v>U146432G6035F4-M</v>
      </c>
      <c r="C1128" s="1" t="s">
        <v>24</v>
      </c>
      <c r="D1128" s="1" t="s">
        <v>581</v>
      </c>
      <c r="E1128" s="1" t="s">
        <v>436</v>
      </c>
      <c r="F1128" s="1" t="s">
        <v>437</v>
      </c>
      <c r="G1128" s="1" t="s">
        <v>438</v>
      </c>
      <c r="H1128" s="1">
        <v>756</v>
      </c>
      <c r="I1128" s="3">
        <v>46268</v>
      </c>
      <c r="J1128" s="3">
        <v>46279</v>
      </c>
      <c r="K1128" s="3" t="s">
        <v>2369</v>
      </c>
      <c r="L1128" s="22">
        <v>46268.636346608793</v>
      </c>
      <c r="M1128" s="20">
        <v>12</v>
      </c>
      <c r="N1128" s="1">
        <v>56</v>
      </c>
    </row>
    <row r="1129" spans="1:14" x14ac:dyDescent="0.25">
      <c r="A1129" t="str">
        <f t="shared" si="36"/>
        <v>U146432U146432</v>
      </c>
      <c r="B1129" t="str">
        <f t="shared" si="37"/>
        <v>U146432G6035F4-M</v>
      </c>
      <c r="C1129" s="1" t="s">
        <v>24</v>
      </c>
      <c r="D1129" s="1" t="s">
        <v>581</v>
      </c>
      <c r="E1129" s="1" t="s">
        <v>436</v>
      </c>
      <c r="F1129" s="1" t="s">
        <v>437</v>
      </c>
      <c r="G1129" s="1" t="s">
        <v>438</v>
      </c>
      <c r="H1129" s="1">
        <v>756</v>
      </c>
      <c r="I1129" s="3">
        <v>46268</v>
      </c>
      <c r="J1129" s="3">
        <v>46279</v>
      </c>
      <c r="K1129" s="3" t="s">
        <v>2369</v>
      </c>
      <c r="L1129" s="22">
        <v>46268.636524733796</v>
      </c>
      <c r="M1129" s="20">
        <v>12</v>
      </c>
      <c r="N1129" s="1">
        <v>44</v>
      </c>
    </row>
    <row r="1130" spans="1:14" x14ac:dyDescent="0.25">
      <c r="A1130" t="str">
        <f t="shared" si="36"/>
        <v>U146432U146432</v>
      </c>
      <c r="B1130" t="str">
        <f t="shared" si="37"/>
        <v>U146432G6035F4-M</v>
      </c>
      <c r="C1130" s="1" t="s">
        <v>24</v>
      </c>
      <c r="D1130" s="1" t="s">
        <v>581</v>
      </c>
      <c r="E1130" s="1" t="s">
        <v>436</v>
      </c>
      <c r="F1130" s="1" t="s">
        <v>437</v>
      </c>
      <c r="G1130" s="1" t="s">
        <v>438</v>
      </c>
      <c r="H1130" s="1">
        <v>756</v>
      </c>
      <c r="I1130" s="3">
        <v>46268</v>
      </c>
      <c r="J1130" s="3">
        <v>46279</v>
      </c>
      <c r="K1130" s="3" t="s">
        <v>2369</v>
      </c>
      <c r="L1130" s="22">
        <v>46268.669317361106</v>
      </c>
      <c r="M1130" s="20">
        <v>12</v>
      </c>
      <c r="N1130" s="1">
        <v>18</v>
      </c>
    </row>
    <row r="1131" spans="1:14" x14ac:dyDescent="0.25">
      <c r="A1131" t="str">
        <f t="shared" si="36"/>
        <v>U146432U146432</v>
      </c>
      <c r="B1131" t="str">
        <f t="shared" si="37"/>
        <v>U146432G6035F4-M</v>
      </c>
      <c r="C1131" s="1" t="s">
        <v>24</v>
      </c>
      <c r="D1131" s="1" t="s">
        <v>581</v>
      </c>
      <c r="E1131" s="1" t="s">
        <v>436</v>
      </c>
      <c r="F1131" s="1" t="s">
        <v>437</v>
      </c>
      <c r="G1131" s="1" t="s">
        <v>438</v>
      </c>
      <c r="H1131" s="1">
        <v>756</v>
      </c>
      <c r="I1131" s="3">
        <v>46268</v>
      </c>
      <c r="J1131" s="3">
        <v>46279</v>
      </c>
      <c r="K1131" s="3" t="s">
        <v>2369</v>
      </c>
      <c r="L1131" s="22">
        <v>46268.669940624997</v>
      </c>
      <c r="M1131" s="20">
        <v>12</v>
      </c>
      <c r="N1131" s="1">
        <v>7</v>
      </c>
    </row>
    <row r="1132" spans="1:14" x14ac:dyDescent="0.25">
      <c r="A1132" t="str">
        <f t="shared" si="36"/>
        <v>U146432U146432</v>
      </c>
      <c r="B1132" t="str">
        <f t="shared" si="37"/>
        <v>U146432G6035F4-M</v>
      </c>
      <c r="C1132" s="1" t="s">
        <v>24</v>
      </c>
      <c r="D1132" s="1" t="s">
        <v>581</v>
      </c>
      <c r="E1132" s="1" t="s">
        <v>436</v>
      </c>
      <c r="F1132" s="1" t="s">
        <v>437</v>
      </c>
      <c r="G1132" s="1" t="s">
        <v>438</v>
      </c>
      <c r="H1132" s="1">
        <v>756</v>
      </c>
      <c r="I1132" s="3">
        <v>46268</v>
      </c>
      <c r="J1132" s="3">
        <v>46279</v>
      </c>
      <c r="K1132" s="3" t="s">
        <v>2369</v>
      </c>
      <c r="L1132" s="22">
        <v>46268.685371296291</v>
      </c>
      <c r="M1132" s="20">
        <v>12</v>
      </c>
      <c r="N1132" s="1">
        <v>31</v>
      </c>
    </row>
    <row r="1133" spans="1:14" x14ac:dyDescent="0.25">
      <c r="A1133" t="str">
        <f t="shared" si="36"/>
        <v>U146432U146432</v>
      </c>
      <c r="B1133" t="str">
        <f t="shared" si="37"/>
        <v>U146432G6035F4-M</v>
      </c>
      <c r="C1133" s="1" t="s">
        <v>24</v>
      </c>
      <c r="D1133" s="1" t="s">
        <v>581</v>
      </c>
      <c r="E1133" s="1" t="s">
        <v>436</v>
      </c>
      <c r="F1133" s="1" t="s">
        <v>437</v>
      </c>
      <c r="G1133" s="1" t="s">
        <v>438</v>
      </c>
      <c r="H1133" s="1">
        <v>756</v>
      </c>
      <c r="I1133" s="3">
        <v>46268</v>
      </c>
      <c r="J1133" s="3">
        <v>46279</v>
      </c>
      <c r="K1133" s="3" t="s">
        <v>2369</v>
      </c>
      <c r="L1133" s="22">
        <v>46268.685708831013</v>
      </c>
      <c r="M1133" s="20">
        <v>12</v>
      </c>
      <c r="N1133" s="1">
        <v>49</v>
      </c>
    </row>
    <row r="1134" spans="1:14" x14ac:dyDescent="0.25">
      <c r="A1134" t="str">
        <f t="shared" si="36"/>
        <v>U146432U146432</v>
      </c>
      <c r="B1134" t="str">
        <f t="shared" si="37"/>
        <v>U146432G6035F4-M</v>
      </c>
      <c r="C1134" s="1" t="s">
        <v>24</v>
      </c>
      <c r="D1134" s="1" t="s">
        <v>581</v>
      </c>
      <c r="E1134" s="1" t="s">
        <v>436</v>
      </c>
      <c r="F1134" s="1" t="s">
        <v>437</v>
      </c>
      <c r="G1134" s="1" t="s">
        <v>438</v>
      </c>
      <c r="H1134" s="1">
        <v>756</v>
      </c>
      <c r="I1134" s="3">
        <v>46268</v>
      </c>
      <c r="J1134" s="3">
        <v>46279</v>
      </c>
      <c r="K1134" s="3" t="s">
        <v>2369</v>
      </c>
      <c r="L1134" s="22">
        <v>46268.6859625</v>
      </c>
      <c r="M1134" s="20">
        <v>12</v>
      </c>
      <c r="N1134" s="1">
        <v>21</v>
      </c>
    </row>
    <row r="1135" spans="1:14" x14ac:dyDescent="0.25">
      <c r="A1135" t="str">
        <f t="shared" si="36"/>
        <v>U146432U146432</v>
      </c>
      <c r="B1135" t="str">
        <f t="shared" si="37"/>
        <v>U146432G6035F4-M</v>
      </c>
      <c r="C1135" s="1" t="s">
        <v>24</v>
      </c>
      <c r="D1135" s="1" t="s">
        <v>581</v>
      </c>
      <c r="E1135" s="1" t="s">
        <v>436</v>
      </c>
      <c r="F1135" s="1" t="s">
        <v>437</v>
      </c>
      <c r="G1135" s="1" t="s">
        <v>438</v>
      </c>
      <c r="H1135" s="1">
        <v>756</v>
      </c>
      <c r="I1135" s="3">
        <v>46268</v>
      </c>
      <c r="J1135" s="3">
        <v>46279</v>
      </c>
      <c r="K1135" s="3" t="s">
        <v>2369</v>
      </c>
      <c r="L1135" s="22">
        <v>46268.686125775464</v>
      </c>
      <c r="M1135" s="20">
        <v>12</v>
      </c>
      <c r="N1135" s="1">
        <v>8</v>
      </c>
    </row>
    <row r="1136" spans="1:14" x14ac:dyDescent="0.25">
      <c r="A1136" t="str">
        <f t="shared" si="36"/>
        <v>U146432U146432</v>
      </c>
      <c r="B1136" t="str">
        <f t="shared" si="37"/>
        <v>U146432G6035F4-M</v>
      </c>
      <c r="C1136" s="1" t="s">
        <v>24</v>
      </c>
      <c r="D1136" s="1" t="s">
        <v>581</v>
      </c>
      <c r="E1136" s="1" t="s">
        <v>436</v>
      </c>
      <c r="F1136" s="1" t="s">
        <v>437</v>
      </c>
      <c r="G1136" s="1" t="s">
        <v>438</v>
      </c>
      <c r="H1136" s="1">
        <v>756</v>
      </c>
      <c r="I1136" s="3">
        <v>46268</v>
      </c>
      <c r="J1136" s="3">
        <v>46279</v>
      </c>
      <c r="K1136" s="3" t="s">
        <v>2369</v>
      </c>
      <c r="L1136" s="22">
        <v>46268.686291168982</v>
      </c>
      <c r="M1136" s="20">
        <v>12</v>
      </c>
      <c r="N1136" s="1">
        <v>29</v>
      </c>
    </row>
    <row r="1137" spans="1:14" x14ac:dyDescent="0.25">
      <c r="A1137" t="str">
        <f t="shared" si="36"/>
        <v>U146432U146432</v>
      </c>
      <c r="B1137" t="str">
        <f t="shared" si="37"/>
        <v>U146432G6035F4-M</v>
      </c>
      <c r="C1137" s="1" t="s">
        <v>24</v>
      </c>
      <c r="D1137" s="1" t="s">
        <v>581</v>
      </c>
      <c r="E1137" s="1" t="s">
        <v>436</v>
      </c>
      <c r="F1137" s="1" t="s">
        <v>437</v>
      </c>
      <c r="G1137" s="1" t="s">
        <v>438</v>
      </c>
      <c r="H1137" s="1">
        <v>756</v>
      </c>
      <c r="I1137" s="3">
        <v>46268</v>
      </c>
      <c r="J1137" s="3">
        <v>46279</v>
      </c>
      <c r="K1137" s="3" t="s">
        <v>2369</v>
      </c>
      <c r="L1137" s="22">
        <v>46268.686623842594</v>
      </c>
      <c r="M1137" s="20">
        <v>12</v>
      </c>
      <c r="N1137" s="1">
        <v>58</v>
      </c>
    </row>
    <row r="1138" spans="1:14" x14ac:dyDescent="0.25">
      <c r="A1138" t="str">
        <f t="shared" si="36"/>
        <v>U146432U146432</v>
      </c>
      <c r="B1138" t="str">
        <f t="shared" si="37"/>
        <v>U146432G6035F4-M</v>
      </c>
      <c r="C1138" s="1" t="s">
        <v>24</v>
      </c>
      <c r="D1138" s="1" t="s">
        <v>581</v>
      </c>
      <c r="E1138" s="1" t="s">
        <v>436</v>
      </c>
      <c r="F1138" s="1" t="s">
        <v>437</v>
      </c>
      <c r="G1138" s="1" t="s">
        <v>438</v>
      </c>
      <c r="H1138" s="1">
        <v>756</v>
      </c>
      <c r="I1138" s="3">
        <v>46268</v>
      </c>
      <c r="J1138" s="3">
        <v>46279</v>
      </c>
      <c r="K1138" s="3" t="s">
        <v>2369</v>
      </c>
      <c r="L1138" s="22">
        <v>46268.686890393517</v>
      </c>
      <c r="M1138" s="20">
        <v>12</v>
      </c>
      <c r="N1138" s="1">
        <v>45</v>
      </c>
    </row>
    <row r="1139" spans="1:14" x14ac:dyDescent="0.25">
      <c r="A1139" t="str">
        <f t="shared" si="36"/>
        <v>U146432U146432</v>
      </c>
      <c r="B1139" t="str">
        <f t="shared" si="37"/>
        <v>U146432G6035F4-M</v>
      </c>
      <c r="C1139" s="1" t="s">
        <v>24</v>
      </c>
      <c r="D1139" s="1" t="s">
        <v>581</v>
      </c>
      <c r="E1139" s="1" t="s">
        <v>436</v>
      </c>
      <c r="F1139" s="1" t="s">
        <v>437</v>
      </c>
      <c r="G1139" s="1" t="s">
        <v>438</v>
      </c>
      <c r="H1139" s="1">
        <v>756</v>
      </c>
      <c r="I1139" s="3">
        <v>46268</v>
      </c>
      <c r="J1139" s="3">
        <v>46279</v>
      </c>
      <c r="K1139" s="3" t="s">
        <v>2369</v>
      </c>
      <c r="L1139" s="22">
        <v>46268.687104282406</v>
      </c>
      <c r="M1139" s="20">
        <v>12</v>
      </c>
      <c r="N1139" s="1">
        <v>48</v>
      </c>
    </row>
    <row r="1140" spans="1:14" x14ac:dyDescent="0.25">
      <c r="A1140" t="str">
        <f t="shared" si="36"/>
        <v>U146432U146432</v>
      </c>
      <c r="B1140" t="str">
        <f t="shared" si="37"/>
        <v>U146432G6035F4-M</v>
      </c>
      <c r="C1140" s="1" t="s">
        <v>24</v>
      </c>
      <c r="D1140" s="1" t="s">
        <v>581</v>
      </c>
      <c r="E1140" s="1" t="s">
        <v>436</v>
      </c>
      <c r="F1140" s="1" t="s">
        <v>437</v>
      </c>
      <c r="G1140" s="1" t="s">
        <v>438</v>
      </c>
      <c r="H1140" s="1">
        <v>756</v>
      </c>
      <c r="I1140" s="3">
        <v>46268</v>
      </c>
      <c r="J1140" s="3">
        <v>46279</v>
      </c>
      <c r="K1140" s="3" t="s">
        <v>2369</v>
      </c>
      <c r="L1140" s="22">
        <v>46268.687605208332</v>
      </c>
      <c r="M1140" s="20">
        <v>12</v>
      </c>
      <c r="N1140" s="1">
        <v>57</v>
      </c>
    </row>
    <row r="1141" spans="1:14" x14ac:dyDescent="0.25">
      <c r="A1141" t="str">
        <f t="shared" si="36"/>
        <v>U146438U146438</v>
      </c>
      <c r="B1141" t="str">
        <f t="shared" si="37"/>
        <v>U146438P6036SS-M</v>
      </c>
      <c r="C1141" s="1" t="s">
        <v>52</v>
      </c>
      <c r="D1141" s="1" t="s">
        <v>583</v>
      </c>
      <c r="E1141" s="1" t="s">
        <v>436</v>
      </c>
      <c r="F1141" s="1" t="s">
        <v>437</v>
      </c>
      <c r="G1141" s="1" t="s">
        <v>438</v>
      </c>
      <c r="H1141" s="1">
        <v>750</v>
      </c>
      <c r="I1141" s="3">
        <v>46268</v>
      </c>
      <c r="J1141" s="3">
        <v>46275</v>
      </c>
      <c r="K1141" s="3" t="s">
        <v>2368</v>
      </c>
      <c r="L1141" s="22">
        <v>46268.624736377315</v>
      </c>
      <c r="M1141" s="20">
        <v>12</v>
      </c>
      <c r="N1141" s="1">
        <v>24</v>
      </c>
    </row>
    <row r="1142" spans="1:14" x14ac:dyDescent="0.25">
      <c r="A1142" t="str">
        <f t="shared" si="36"/>
        <v>U146438U146438</v>
      </c>
      <c r="B1142" t="str">
        <f t="shared" si="37"/>
        <v>U146438P6036SS-M</v>
      </c>
      <c r="C1142" s="1" t="s">
        <v>52</v>
      </c>
      <c r="D1142" s="1" t="s">
        <v>583</v>
      </c>
      <c r="E1142" s="1" t="s">
        <v>436</v>
      </c>
      <c r="F1142" s="1" t="s">
        <v>437</v>
      </c>
      <c r="G1142" s="1" t="s">
        <v>438</v>
      </c>
      <c r="H1142" s="1">
        <v>750</v>
      </c>
      <c r="I1142" s="3">
        <v>46268</v>
      </c>
      <c r="J1142" s="3">
        <v>46275</v>
      </c>
      <c r="K1142" s="3" t="s">
        <v>2368</v>
      </c>
      <c r="L1142" s="22">
        <v>46268.631370219904</v>
      </c>
      <c r="M1142" s="20">
        <v>12</v>
      </c>
      <c r="N1142" s="1">
        <v>1</v>
      </c>
    </row>
    <row r="1143" spans="1:14" x14ac:dyDescent="0.25">
      <c r="A1143" t="str">
        <f t="shared" si="36"/>
        <v>U146438U146438</v>
      </c>
      <c r="B1143" t="str">
        <f t="shared" si="37"/>
        <v>U146438P6036SS-M</v>
      </c>
      <c r="C1143" s="1" t="s">
        <v>52</v>
      </c>
      <c r="D1143" s="1" t="s">
        <v>583</v>
      </c>
      <c r="E1143" s="1" t="s">
        <v>436</v>
      </c>
      <c r="F1143" s="1" t="s">
        <v>437</v>
      </c>
      <c r="G1143" s="1" t="s">
        <v>438</v>
      </c>
      <c r="H1143" s="1">
        <v>750</v>
      </c>
      <c r="I1143" s="3">
        <v>46268</v>
      </c>
      <c r="J1143" s="3">
        <v>46275</v>
      </c>
      <c r="K1143" s="3" t="s">
        <v>2368</v>
      </c>
      <c r="L1143" s="22">
        <v>46268.637322719907</v>
      </c>
      <c r="M1143" s="20">
        <v>12</v>
      </c>
      <c r="N1143" s="1">
        <v>25</v>
      </c>
    </row>
    <row r="1144" spans="1:14" x14ac:dyDescent="0.25">
      <c r="A1144" t="str">
        <f t="shared" si="36"/>
        <v>U146438U146438</v>
      </c>
      <c r="B1144" t="str">
        <f t="shared" si="37"/>
        <v>U146438P6036SS-M</v>
      </c>
      <c r="C1144" s="1" t="s">
        <v>52</v>
      </c>
      <c r="D1144" s="1" t="s">
        <v>583</v>
      </c>
      <c r="E1144" s="1" t="s">
        <v>436</v>
      </c>
      <c r="F1144" s="1" t="s">
        <v>437</v>
      </c>
      <c r="G1144" s="1" t="s">
        <v>438</v>
      </c>
      <c r="H1144" s="1">
        <v>750</v>
      </c>
      <c r="I1144" s="3">
        <v>46268</v>
      </c>
      <c r="J1144" s="3">
        <v>46275</v>
      </c>
      <c r="K1144" s="3" t="s">
        <v>2368</v>
      </c>
      <c r="L1144" s="22">
        <v>46268.662202511572</v>
      </c>
      <c r="M1144" s="20">
        <v>12</v>
      </c>
      <c r="N1144" s="1">
        <v>6</v>
      </c>
    </row>
    <row r="1145" spans="1:14" x14ac:dyDescent="0.25">
      <c r="A1145" t="str">
        <f t="shared" si="36"/>
        <v>U146438U146438</v>
      </c>
      <c r="B1145" t="str">
        <f t="shared" si="37"/>
        <v>U146438P6036SS-M</v>
      </c>
      <c r="C1145" s="1" t="s">
        <v>52</v>
      </c>
      <c r="D1145" s="1" t="s">
        <v>583</v>
      </c>
      <c r="E1145" s="1" t="s">
        <v>436</v>
      </c>
      <c r="F1145" s="1" t="s">
        <v>437</v>
      </c>
      <c r="G1145" s="1" t="s">
        <v>438</v>
      </c>
      <c r="H1145" s="1">
        <v>750</v>
      </c>
      <c r="I1145" s="3">
        <v>46268</v>
      </c>
      <c r="J1145" s="3">
        <v>46275</v>
      </c>
      <c r="K1145" s="3" t="s">
        <v>2368</v>
      </c>
      <c r="L1145" s="22">
        <v>46268.684195023146</v>
      </c>
      <c r="M1145" s="20">
        <v>12</v>
      </c>
      <c r="N1145" s="1">
        <v>53</v>
      </c>
    </row>
    <row r="1146" spans="1:14" x14ac:dyDescent="0.25">
      <c r="A1146" t="str">
        <f t="shared" si="36"/>
        <v>U146438U146438</v>
      </c>
      <c r="B1146" t="str">
        <f t="shared" si="37"/>
        <v>U146438P6036SS-M</v>
      </c>
      <c r="C1146" s="1" t="s">
        <v>52</v>
      </c>
      <c r="D1146" s="1" t="s">
        <v>583</v>
      </c>
      <c r="E1146" s="1" t="s">
        <v>436</v>
      </c>
      <c r="F1146" s="1" t="s">
        <v>437</v>
      </c>
      <c r="G1146" s="1" t="s">
        <v>438</v>
      </c>
      <c r="H1146" s="1">
        <v>750</v>
      </c>
      <c r="I1146" s="3">
        <v>46268</v>
      </c>
      <c r="J1146" s="3">
        <v>46275</v>
      </c>
      <c r="K1146" s="3" t="s">
        <v>2368</v>
      </c>
      <c r="L1146" s="22">
        <v>46268.684358298611</v>
      </c>
      <c r="M1146" s="20">
        <v>12</v>
      </c>
      <c r="N1146" s="1">
        <v>37</v>
      </c>
    </row>
    <row r="1147" spans="1:14" x14ac:dyDescent="0.25">
      <c r="A1147" t="str">
        <f t="shared" si="36"/>
        <v>U146438U146438</v>
      </c>
      <c r="B1147" t="str">
        <f t="shared" si="37"/>
        <v>U146438P6036SS-M</v>
      </c>
      <c r="C1147" s="1" t="s">
        <v>52</v>
      </c>
      <c r="D1147" s="1" t="s">
        <v>583</v>
      </c>
      <c r="E1147" s="1" t="s">
        <v>436</v>
      </c>
      <c r="F1147" s="1" t="s">
        <v>437</v>
      </c>
      <c r="G1147" s="1" t="s">
        <v>438</v>
      </c>
      <c r="H1147" s="1">
        <v>750</v>
      </c>
      <c r="I1147" s="3">
        <v>46268</v>
      </c>
      <c r="J1147" s="3">
        <v>46275</v>
      </c>
      <c r="K1147" s="3" t="s">
        <v>2368</v>
      </c>
      <c r="L1147" s="22">
        <v>46268.684541319446</v>
      </c>
      <c r="M1147" s="20">
        <v>12</v>
      </c>
      <c r="N1147" s="1">
        <v>8</v>
      </c>
    </row>
    <row r="1148" spans="1:14" x14ac:dyDescent="0.25">
      <c r="A1148" t="str">
        <f t="shared" si="36"/>
        <v>U146438U146438</v>
      </c>
      <c r="B1148" t="str">
        <f t="shared" si="37"/>
        <v>U146438P6036SS-M</v>
      </c>
      <c r="C1148" s="1" t="s">
        <v>52</v>
      </c>
      <c r="D1148" s="1" t="s">
        <v>583</v>
      </c>
      <c r="E1148" s="1" t="s">
        <v>436</v>
      </c>
      <c r="F1148" s="1" t="s">
        <v>437</v>
      </c>
      <c r="G1148" s="1" t="s">
        <v>438</v>
      </c>
      <c r="H1148" s="1">
        <v>750</v>
      </c>
      <c r="I1148" s="3">
        <v>46268</v>
      </c>
      <c r="J1148" s="3">
        <v>46275</v>
      </c>
      <c r="K1148" s="3" t="s">
        <v>2368</v>
      </c>
      <c r="L1148" s="22">
        <v>46268.687768784723</v>
      </c>
      <c r="M1148" s="20">
        <v>12</v>
      </c>
      <c r="N1148" s="1">
        <v>7</v>
      </c>
    </row>
    <row r="1149" spans="1:14" x14ac:dyDescent="0.25">
      <c r="A1149" t="str">
        <f t="shared" si="36"/>
        <v>U146438U146438</v>
      </c>
      <c r="B1149" t="str">
        <f t="shared" si="37"/>
        <v>U146438P6036SS-M</v>
      </c>
      <c r="C1149" s="1" t="s">
        <v>52</v>
      </c>
      <c r="D1149" s="1" t="s">
        <v>583</v>
      </c>
      <c r="E1149" s="1" t="s">
        <v>436</v>
      </c>
      <c r="F1149" s="1" t="s">
        <v>437</v>
      </c>
      <c r="G1149" s="1" t="s">
        <v>438</v>
      </c>
      <c r="H1149" s="1">
        <v>750</v>
      </c>
      <c r="I1149" s="3">
        <v>46268</v>
      </c>
      <c r="J1149" s="3">
        <v>46275</v>
      </c>
      <c r="K1149" s="3" t="s">
        <v>2368</v>
      </c>
      <c r="L1149" s="22">
        <v>46268.687949803236</v>
      </c>
      <c r="M1149" s="20">
        <v>12</v>
      </c>
      <c r="N1149" s="1">
        <v>27</v>
      </c>
    </row>
    <row r="1150" spans="1:14" x14ac:dyDescent="0.25">
      <c r="A1150" t="str">
        <f t="shared" si="36"/>
        <v>U146438U146438</v>
      </c>
      <c r="B1150" t="str">
        <f t="shared" si="37"/>
        <v>U146438P6036SS-M</v>
      </c>
      <c r="C1150" s="1" t="s">
        <v>52</v>
      </c>
      <c r="D1150" s="1" t="s">
        <v>583</v>
      </c>
      <c r="E1150" s="1" t="s">
        <v>436</v>
      </c>
      <c r="F1150" s="1" t="s">
        <v>437</v>
      </c>
      <c r="G1150" s="1" t="s">
        <v>438</v>
      </c>
      <c r="H1150" s="1">
        <v>750</v>
      </c>
      <c r="I1150" s="3">
        <v>46268</v>
      </c>
      <c r="J1150" s="3">
        <v>46275</v>
      </c>
      <c r="K1150" s="3" t="s">
        <v>2368</v>
      </c>
      <c r="L1150" s="22">
        <v>46268.688104166664</v>
      </c>
      <c r="M1150" s="20">
        <v>12</v>
      </c>
      <c r="N1150" s="1">
        <v>51</v>
      </c>
    </row>
    <row r="1151" spans="1:14" x14ac:dyDescent="0.25">
      <c r="A1151" t="str">
        <f t="shared" si="36"/>
        <v>U146438U146438</v>
      </c>
      <c r="B1151" t="str">
        <f t="shared" si="37"/>
        <v>U146438P6036SS-M</v>
      </c>
      <c r="C1151" s="1" t="s">
        <v>52</v>
      </c>
      <c r="D1151" s="1" t="s">
        <v>583</v>
      </c>
      <c r="E1151" s="1" t="s">
        <v>436</v>
      </c>
      <c r="F1151" s="1" t="s">
        <v>437</v>
      </c>
      <c r="G1151" s="1" t="s">
        <v>438</v>
      </c>
      <c r="H1151" s="1">
        <v>750</v>
      </c>
      <c r="I1151" s="3">
        <v>46268</v>
      </c>
      <c r="J1151" s="3">
        <v>46275</v>
      </c>
      <c r="K1151" s="3" t="s">
        <v>2368</v>
      </c>
      <c r="L1151" s="22">
        <v>46268.688356481478</v>
      </c>
      <c r="M1151" s="20">
        <v>12</v>
      </c>
      <c r="N1151" s="1">
        <v>54</v>
      </c>
    </row>
    <row r="1152" spans="1:14" x14ac:dyDescent="0.25">
      <c r="A1152" t="str">
        <f t="shared" si="36"/>
        <v>U146445U146445</v>
      </c>
      <c r="B1152" t="str">
        <f t="shared" si="37"/>
        <v>U146445G6032Z2-M</v>
      </c>
      <c r="C1152" s="1" t="s">
        <v>15</v>
      </c>
      <c r="D1152" s="1" t="s">
        <v>579</v>
      </c>
      <c r="E1152" s="1" t="s">
        <v>436</v>
      </c>
      <c r="F1152" s="1" t="s">
        <v>437</v>
      </c>
      <c r="G1152" s="1" t="s">
        <v>438</v>
      </c>
      <c r="H1152" s="1">
        <v>900</v>
      </c>
      <c r="I1152" s="3">
        <v>46268</v>
      </c>
      <c r="J1152" s="3">
        <v>46275</v>
      </c>
      <c r="K1152" s="3" t="s">
        <v>2360</v>
      </c>
      <c r="L1152" s="22">
        <v>46268.39826454861</v>
      </c>
      <c r="M1152" s="20">
        <v>12</v>
      </c>
      <c r="N1152" s="1">
        <v>5</v>
      </c>
    </row>
    <row r="1153" spans="1:14" x14ac:dyDescent="0.25">
      <c r="A1153" t="str">
        <f t="shared" si="36"/>
        <v>U146445U146445</v>
      </c>
      <c r="B1153" t="str">
        <f t="shared" si="37"/>
        <v>U146445G6032Z2-M</v>
      </c>
      <c r="C1153" s="1" t="s">
        <v>15</v>
      </c>
      <c r="D1153" s="1" t="s">
        <v>579</v>
      </c>
      <c r="E1153" s="1" t="s">
        <v>436</v>
      </c>
      <c r="F1153" s="1" t="s">
        <v>437</v>
      </c>
      <c r="G1153" s="1" t="s">
        <v>438</v>
      </c>
      <c r="H1153" s="1">
        <v>900</v>
      </c>
      <c r="I1153" s="3">
        <v>46268</v>
      </c>
      <c r="J1153" s="3">
        <v>46275</v>
      </c>
      <c r="K1153" s="3" t="s">
        <v>2360</v>
      </c>
      <c r="L1153" s="22">
        <v>46268.407047604167</v>
      </c>
      <c r="M1153" s="20">
        <v>12</v>
      </c>
      <c r="N1153" s="1">
        <v>49</v>
      </c>
    </row>
    <row r="1154" spans="1:14" x14ac:dyDescent="0.25">
      <c r="A1154" t="str">
        <f t="shared" ref="A1154:A1217" si="38">+D1154&amp;D1154</f>
        <v>U146445U146445</v>
      </c>
      <c r="B1154" t="str">
        <f t="shared" ref="B1154:B1217" si="39">+D1154&amp;C1154</f>
        <v>U146445G6032Z2-M</v>
      </c>
      <c r="C1154" s="1" t="s">
        <v>15</v>
      </c>
      <c r="D1154" s="1" t="s">
        <v>579</v>
      </c>
      <c r="E1154" s="1" t="s">
        <v>436</v>
      </c>
      <c r="F1154" s="1" t="s">
        <v>437</v>
      </c>
      <c r="G1154" s="1" t="s">
        <v>438</v>
      </c>
      <c r="H1154" s="1">
        <v>900</v>
      </c>
      <c r="I1154" s="3">
        <v>46268</v>
      </c>
      <c r="J1154" s="3">
        <v>46275</v>
      </c>
      <c r="K1154" s="3" t="s">
        <v>2360</v>
      </c>
      <c r="L1154" s="22">
        <v>46268.407217129628</v>
      </c>
      <c r="M1154" s="20">
        <v>12</v>
      </c>
      <c r="N1154" s="1">
        <v>6</v>
      </c>
    </row>
    <row r="1155" spans="1:14" x14ac:dyDescent="0.25">
      <c r="A1155" t="str">
        <f t="shared" si="38"/>
        <v>U146445U146445</v>
      </c>
      <c r="B1155" t="str">
        <f t="shared" si="39"/>
        <v>U146445G6032Z2-M</v>
      </c>
      <c r="C1155" s="1" t="s">
        <v>15</v>
      </c>
      <c r="D1155" s="1" t="s">
        <v>579</v>
      </c>
      <c r="E1155" s="1" t="s">
        <v>436</v>
      </c>
      <c r="F1155" s="1" t="s">
        <v>437</v>
      </c>
      <c r="G1155" s="1" t="s">
        <v>438</v>
      </c>
      <c r="H1155" s="1">
        <v>900</v>
      </c>
      <c r="I1155" s="3">
        <v>46268</v>
      </c>
      <c r="J1155" s="3">
        <v>46275</v>
      </c>
      <c r="K1155" s="3" t="s">
        <v>2360</v>
      </c>
      <c r="L1155" s="22">
        <v>46268.407944675921</v>
      </c>
      <c r="M1155" s="20">
        <v>12</v>
      </c>
      <c r="N1155" s="1">
        <v>7</v>
      </c>
    </row>
    <row r="1156" spans="1:14" x14ac:dyDescent="0.25">
      <c r="A1156" t="str">
        <f t="shared" si="38"/>
        <v>U146445U146445</v>
      </c>
      <c r="B1156" t="str">
        <f t="shared" si="39"/>
        <v>U146445G6032Z2-M</v>
      </c>
      <c r="C1156" s="1" t="s">
        <v>15</v>
      </c>
      <c r="D1156" s="1" t="s">
        <v>579</v>
      </c>
      <c r="E1156" s="1" t="s">
        <v>436</v>
      </c>
      <c r="F1156" s="1" t="s">
        <v>437</v>
      </c>
      <c r="G1156" s="1" t="s">
        <v>438</v>
      </c>
      <c r="H1156" s="1">
        <v>900</v>
      </c>
      <c r="I1156" s="3">
        <v>46268</v>
      </c>
      <c r="J1156" s="3">
        <v>46275</v>
      </c>
      <c r="K1156" s="3" t="s">
        <v>2360</v>
      </c>
      <c r="L1156" s="22">
        <v>46268.43048174768</v>
      </c>
      <c r="M1156" s="20">
        <v>12</v>
      </c>
      <c r="N1156" s="1">
        <v>50</v>
      </c>
    </row>
    <row r="1157" spans="1:14" x14ac:dyDescent="0.25">
      <c r="A1157" t="str">
        <f t="shared" si="38"/>
        <v>U146445U146445</v>
      </c>
      <c r="B1157" t="str">
        <f t="shared" si="39"/>
        <v>U146445G6032Z2-M</v>
      </c>
      <c r="C1157" s="1" t="s">
        <v>15</v>
      </c>
      <c r="D1157" s="1" t="s">
        <v>579</v>
      </c>
      <c r="E1157" s="1" t="s">
        <v>436</v>
      </c>
      <c r="F1157" s="1" t="s">
        <v>437</v>
      </c>
      <c r="G1157" s="1" t="s">
        <v>438</v>
      </c>
      <c r="H1157" s="1">
        <v>900</v>
      </c>
      <c r="I1157" s="3">
        <v>46268</v>
      </c>
      <c r="J1157" s="3">
        <v>46275</v>
      </c>
      <c r="K1157" s="3" t="s">
        <v>2360</v>
      </c>
      <c r="L1157" s="22">
        <v>46268.430733067129</v>
      </c>
      <c r="M1157" s="20">
        <v>12</v>
      </c>
      <c r="N1157" s="1">
        <v>51</v>
      </c>
    </row>
    <row r="1158" spans="1:14" x14ac:dyDescent="0.25">
      <c r="A1158" t="str">
        <f t="shared" si="38"/>
        <v>U146445U146445</v>
      </c>
      <c r="B1158" t="str">
        <f t="shared" si="39"/>
        <v>U146445G6032Z2-M</v>
      </c>
      <c r="C1158" s="1" t="s">
        <v>15</v>
      </c>
      <c r="D1158" s="1" t="s">
        <v>579</v>
      </c>
      <c r="E1158" s="1" t="s">
        <v>436</v>
      </c>
      <c r="F1158" s="1" t="s">
        <v>437</v>
      </c>
      <c r="G1158" s="1" t="s">
        <v>438</v>
      </c>
      <c r="H1158" s="1">
        <v>900</v>
      </c>
      <c r="I1158" s="3">
        <v>46268</v>
      </c>
      <c r="J1158" s="3">
        <v>46275</v>
      </c>
      <c r="K1158" s="3" t="s">
        <v>2360</v>
      </c>
      <c r="L1158" s="22">
        <v>46268.456349537038</v>
      </c>
      <c r="M1158" s="20">
        <v>12</v>
      </c>
      <c r="N1158" s="1">
        <v>9</v>
      </c>
    </row>
    <row r="1159" spans="1:14" x14ac:dyDescent="0.25">
      <c r="A1159" t="str">
        <f t="shared" si="38"/>
        <v>U146445U146445</v>
      </c>
      <c r="B1159" t="str">
        <f t="shared" si="39"/>
        <v>U146445G6032Z2-M</v>
      </c>
      <c r="C1159" s="1" t="s">
        <v>15</v>
      </c>
      <c r="D1159" s="1" t="s">
        <v>579</v>
      </c>
      <c r="E1159" s="1" t="s">
        <v>436</v>
      </c>
      <c r="F1159" s="1" t="s">
        <v>437</v>
      </c>
      <c r="G1159" s="1" t="s">
        <v>438</v>
      </c>
      <c r="H1159" s="1">
        <v>900</v>
      </c>
      <c r="I1159" s="3">
        <v>46268</v>
      </c>
      <c r="J1159" s="3">
        <v>46275</v>
      </c>
      <c r="K1159" s="3" t="s">
        <v>2360</v>
      </c>
      <c r="L1159" s="22">
        <v>46268.456790543976</v>
      </c>
      <c r="M1159" s="20">
        <v>12</v>
      </c>
      <c r="N1159" s="1">
        <v>10</v>
      </c>
    </row>
    <row r="1160" spans="1:14" x14ac:dyDescent="0.25">
      <c r="A1160" t="str">
        <f t="shared" si="38"/>
        <v>U146445U146445</v>
      </c>
      <c r="B1160" t="str">
        <f t="shared" si="39"/>
        <v>U146445G6032Z2-M</v>
      </c>
      <c r="C1160" s="1" t="s">
        <v>15</v>
      </c>
      <c r="D1160" s="1" t="s">
        <v>579</v>
      </c>
      <c r="E1160" s="1" t="s">
        <v>436</v>
      </c>
      <c r="F1160" s="1" t="s">
        <v>437</v>
      </c>
      <c r="G1160" s="1" t="s">
        <v>438</v>
      </c>
      <c r="H1160" s="1">
        <v>900</v>
      </c>
      <c r="I1160" s="3">
        <v>46268</v>
      </c>
      <c r="J1160" s="3">
        <v>46275</v>
      </c>
      <c r="K1160" s="3" t="s">
        <v>2360</v>
      </c>
      <c r="L1160" s="22">
        <v>46268.457834108791</v>
      </c>
      <c r="M1160" s="20">
        <v>12</v>
      </c>
      <c r="N1160" s="1">
        <v>8</v>
      </c>
    </row>
    <row r="1161" spans="1:14" x14ac:dyDescent="0.25">
      <c r="A1161" t="str">
        <f t="shared" si="38"/>
        <v>U146445U146445</v>
      </c>
      <c r="B1161" t="str">
        <f t="shared" si="39"/>
        <v>U146445G6032Z2-M</v>
      </c>
      <c r="C1161" s="1" t="s">
        <v>15</v>
      </c>
      <c r="D1161" s="1" t="s">
        <v>579</v>
      </c>
      <c r="E1161" s="1" t="s">
        <v>436</v>
      </c>
      <c r="F1161" s="1" t="s">
        <v>437</v>
      </c>
      <c r="G1161" s="1" t="s">
        <v>438</v>
      </c>
      <c r="H1161" s="1">
        <v>900</v>
      </c>
      <c r="I1161" s="3">
        <v>46268</v>
      </c>
      <c r="J1161" s="3">
        <v>46275</v>
      </c>
      <c r="K1161" s="3" t="s">
        <v>2360</v>
      </c>
      <c r="L1161" s="22">
        <v>46268.572783599535</v>
      </c>
      <c r="M1161" s="20">
        <v>12</v>
      </c>
      <c r="N1161" s="1">
        <v>11</v>
      </c>
    </row>
    <row r="1162" spans="1:14" x14ac:dyDescent="0.25">
      <c r="A1162" t="str">
        <f t="shared" si="38"/>
        <v>U146445U146445</v>
      </c>
      <c r="B1162" t="str">
        <f t="shared" si="39"/>
        <v>U146445G6032Z2-M</v>
      </c>
      <c r="C1162" s="1" t="s">
        <v>15</v>
      </c>
      <c r="D1162" s="1" t="s">
        <v>579</v>
      </c>
      <c r="E1162" s="1" t="s">
        <v>436</v>
      </c>
      <c r="F1162" s="1" t="s">
        <v>437</v>
      </c>
      <c r="G1162" s="1" t="s">
        <v>438</v>
      </c>
      <c r="H1162" s="1">
        <v>900</v>
      </c>
      <c r="I1162" s="3">
        <v>46268</v>
      </c>
      <c r="J1162" s="3">
        <v>46275</v>
      </c>
      <c r="K1162" s="3" t="s">
        <v>2360</v>
      </c>
      <c r="L1162" s="22">
        <v>46268.613361493051</v>
      </c>
      <c r="M1162" s="20">
        <v>12</v>
      </c>
      <c r="N1162" s="1">
        <v>52</v>
      </c>
    </row>
    <row r="1163" spans="1:14" x14ac:dyDescent="0.25">
      <c r="A1163" t="str">
        <f t="shared" si="38"/>
        <v>U146445U146445</v>
      </c>
      <c r="B1163" t="str">
        <f t="shared" si="39"/>
        <v>U146445G6032Z2-M</v>
      </c>
      <c r="C1163" s="1" t="s">
        <v>15</v>
      </c>
      <c r="D1163" s="1" t="s">
        <v>579</v>
      </c>
      <c r="E1163" s="1" t="s">
        <v>436</v>
      </c>
      <c r="F1163" s="1" t="s">
        <v>437</v>
      </c>
      <c r="G1163" s="1" t="s">
        <v>438</v>
      </c>
      <c r="H1163" s="1">
        <v>900</v>
      </c>
      <c r="I1163" s="3">
        <v>46268</v>
      </c>
      <c r="J1163" s="3">
        <v>46275</v>
      </c>
      <c r="K1163" s="3" t="s">
        <v>2360</v>
      </c>
      <c r="L1163" s="22">
        <v>46268.658518784723</v>
      </c>
      <c r="M1163" s="20">
        <v>12</v>
      </c>
      <c r="N1163" s="1">
        <v>48</v>
      </c>
    </row>
    <row r="1164" spans="1:14" x14ac:dyDescent="0.25">
      <c r="A1164" t="str">
        <f t="shared" si="38"/>
        <v>U146445U146445</v>
      </c>
      <c r="B1164" t="str">
        <f t="shared" si="39"/>
        <v>U146445G6032Z2-M</v>
      </c>
      <c r="C1164" s="1" t="s">
        <v>15</v>
      </c>
      <c r="D1164" s="1" t="s">
        <v>579</v>
      </c>
      <c r="E1164" s="1" t="s">
        <v>436</v>
      </c>
      <c r="F1164" s="1" t="s">
        <v>437</v>
      </c>
      <c r="G1164" s="1" t="s">
        <v>438</v>
      </c>
      <c r="H1164" s="1">
        <v>900</v>
      </c>
      <c r="I1164" s="3">
        <v>46268</v>
      </c>
      <c r="J1164" s="3">
        <v>46275</v>
      </c>
      <c r="K1164" s="3" t="s">
        <v>2360</v>
      </c>
      <c r="L1164" s="22">
        <v>46268.666447025462</v>
      </c>
      <c r="M1164" s="20">
        <v>12</v>
      </c>
      <c r="N1164" s="1">
        <v>28</v>
      </c>
    </row>
    <row r="1165" spans="1:14" x14ac:dyDescent="0.25">
      <c r="A1165" t="str">
        <f t="shared" si="38"/>
        <v>U146445U146445</v>
      </c>
      <c r="B1165" t="str">
        <f t="shared" si="39"/>
        <v>U146445G6032Z2-M</v>
      </c>
      <c r="C1165" s="1" t="s">
        <v>15</v>
      </c>
      <c r="D1165" s="1" t="s">
        <v>579</v>
      </c>
      <c r="E1165" s="1" t="s">
        <v>436</v>
      </c>
      <c r="F1165" s="1" t="s">
        <v>437</v>
      </c>
      <c r="G1165" s="1" t="s">
        <v>438</v>
      </c>
      <c r="H1165" s="1">
        <v>900</v>
      </c>
      <c r="I1165" s="3">
        <v>46268</v>
      </c>
      <c r="J1165" s="3">
        <v>46275</v>
      </c>
      <c r="K1165" s="3" t="s">
        <v>2360</v>
      </c>
      <c r="L1165" s="22">
        <v>46268.68399513889</v>
      </c>
      <c r="M1165" s="20">
        <v>12</v>
      </c>
      <c r="N1165" s="1">
        <v>62</v>
      </c>
    </row>
    <row r="1166" spans="1:14" x14ac:dyDescent="0.25">
      <c r="A1166" t="str">
        <f t="shared" si="38"/>
        <v>U148105U148105</v>
      </c>
      <c r="B1166" t="str">
        <f t="shared" si="39"/>
        <v>U148105GC9060LL-M</v>
      </c>
      <c r="C1166" s="1" t="s">
        <v>55</v>
      </c>
      <c r="D1166" s="1" t="s">
        <v>584</v>
      </c>
      <c r="E1166" s="1" t="s">
        <v>436</v>
      </c>
      <c r="F1166" s="1" t="s">
        <v>455</v>
      </c>
      <c r="G1166" s="1" t="s">
        <v>438</v>
      </c>
      <c r="H1166" s="1">
        <v>1980</v>
      </c>
      <c r="I1166" s="3">
        <v>46268</v>
      </c>
      <c r="J1166" s="3">
        <v>46275</v>
      </c>
      <c r="K1166" s="3" t="s">
        <v>2360</v>
      </c>
      <c r="L1166" s="22">
        <v>46268.632001701386</v>
      </c>
      <c r="M1166" s="20">
        <v>6</v>
      </c>
      <c r="N1166" s="1">
        <v>33</v>
      </c>
    </row>
    <row r="1167" spans="1:14" x14ac:dyDescent="0.25">
      <c r="A1167" t="str">
        <f t="shared" si="38"/>
        <v>U148105U148105</v>
      </c>
      <c r="B1167" t="str">
        <f t="shared" si="39"/>
        <v>U148105GC9060LL-M</v>
      </c>
      <c r="C1167" s="1" t="s">
        <v>55</v>
      </c>
      <c r="D1167" s="1" t="s">
        <v>584</v>
      </c>
      <c r="E1167" s="1" t="s">
        <v>436</v>
      </c>
      <c r="F1167" s="1" t="s">
        <v>455</v>
      </c>
      <c r="G1167" s="1" t="s">
        <v>438</v>
      </c>
      <c r="H1167" s="1">
        <v>1980</v>
      </c>
      <c r="I1167" s="3">
        <v>46268</v>
      </c>
      <c r="J1167" s="3">
        <v>46275</v>
      </c>
      <c r="K1167" s="3" t="s">
        <v>2360</v>
      </c>
      <c r="L1167" s="22">
        <v>46268.63219290509</v>
      </c>
      <c r="M1167" s="20">
        <v>6</v>
      </c>
      <c r="N1167" s="1">
        <v>32</v>
      </c>
    </row>
    <row r="1168" spans="1:14" x14ac:dyDescent="0.25">
      <c r="A1168" t="str">
        <f t="shared" si="38"/>
        <v>U148105U148105</v>
      </c>
      <c r="B1168" t="str">
        <f t="shared" si="39"/>
        <v>U148105GC9060LL-M</v>
      </c>
      <c r="C1168" s="1" t="s">
        <v>55</v>
      </c>
      <c r="D1168" s="1" t="s">
        <v>584</v>
      </c>
      <c r="E1168" s="1" t="s">
        <v>436</v>
      </c>
      <c r="F1168" s="1" t="s">
        <v>455</v>
      </c>
      <c r="G1168" s="1" t="s">
        <v>438</v>
      </c>
      <c r="H1168" s="1">
        <v>1980</v>
      </c>
      <c r="I1168" s="3">
        <v>46268</v>
      </c>
      <c r="J1168" s="3">
        <v>46275</v>
      </c>
      <c r="K1168" s="3" t="s">
        <v>2360</v>
      </c>
      <c r="L1168" s="22">
        <v>46268.635178009259</v>
      </c>
      <c r="M1168" s="20">
        <v>6</v>
      </c>
      <c r="N1168" s="1">
        <v>34</v>
      </c>
    </row>
    <row r="1169" spans="1:14" x14ac:dyDescent="0.25">
      <c r="A1169" t="str">
        <f t="shared" si="38"/>
        <v>U148105U148105</v>
      </c>
      <c r="B1169" t="str">
        <f t="shared" si="39"/>
        <v>U148105GC9060LL-M</v>
      </c>
      <c r="C1169" s="1" t="s">
        <v>55</v>
      </c>
      <c r="D1169" s="1" t="s">
        <v>584</v>
      </c>
      <c r="E1169" s="1" t="s">
        <v>436</v>
      </c>
      <c r="F1169" s="1" t="s">
        <v>455</v>
      </c>
      <c r="G1169" s="1" t="s">
        <v>438</v>
      </c>
      <c r="H1169" s="1">
        <v>1980</v>
      </c>
      <c r="I1169" s="3">
        <v>46268</v>
      </c>
      <c r="J1169" s="3">
        <v>46275</v>
      </c>
      <c r="K1169" s="3" t="s">
        <v>2360</v>
      </c>
      <c r="L1169" s="22">
        <v>46268.641295289352</v>
      </c>
      <c r="M1169" s="20">
        <v>6</v>
      </c>
      <c r="N1169" s="1">
        <v>29</v>
      </c>
    </row>
    <row r="1170" spans="1:14" x14ac:dyDescent="0.25">
      <c r="A1170" t="str">
        <f t="shared" si="38"/>
        <v>U148105U148105</v>
      </c>
      <c r="B1170" t="str">
        <f t="shared" si="39"/>
        <v>U148105GC9060LL-M</v>
      </c>
      <c r="C1170" s="1" t="s">
        <v>55</v>
      </c>
      <c r="D1170" s="1" t="s">
        <v>584</v>
      </c>
      <c r="E1170" s="1" t="s">
        <v>436</v>
      </c>
      <c r="F1170" s="1" t="s">
        <v>455</v>
      </c>
      <c r="G1170" s="1" t="s">
        <v>438</v>
      </c>
      <c r="H1170" s="1">
        <v>1980</v>
      </c>
      <c r="I1170" s="3">
        <v>46268</v>
      </c>
      <c r="J1170" s="3">
        <v>46275</v>
      </c>
      <c r="K1170" s="3" t="s">
        <v>2360</v>
      </c>
      <c r="L1170" s="22">
        <v>46268.641437037033</v>
      </c>
      <c r="M1170" s="20">
        <v>6</v>
      </c>
      <c r="N1170" s="1">
        <v>30</v>
      </c>
    </row>
    <row r="1171" spans="1:14" x14ac:dyDescent="0.25">
      <c r="A1171" t="str">
        <f t="shared" si="38"/>
        <v>U148105U148105</v>
      </c>
      <c r="B1171" t="str">
        <f t="shared" si="39"/>
        <v>U148105GC9060LL-M</v>
      </c>
      <c r="C1171" s="1" t="s">
        <v>55</v>
      </c>
      <c r="D1171" s="1" t="s">
        <v>584</v>
      </c>
      <c r="E1171" s="1" t="s">
        <v>436</v>
      </c>
      <c r="F1171" s="1" t="s">
        <v>455</v>
      </c>
      <c r="G1171" s="1" t="s">
        <v>438</v>
      </c>
      <c r="H1171" s="1">
        <v>1980</v>
      </c>
      <c r="I1171" s="3">
        <v>46268</v>
      </c>
      <c r="J1171" s="3">
        <v>46275</v>
      </c>
      <c r="K1171" s="3" t="s">
        <v>2360</v>
      </c>
      <c r="L1171" s="22">
        <v>46268.641633946754</v>
      </c>
      <c r="M1171" s="20">
        <v>6</v>
      </c>
      <c r="N1171" s="1">
        <v>36</v>
      </c>
    </row>
    <row r="1172" spans="1:14" x14ac:dyDescent="0.25">
      <c r="A1172" t="str">
        <f t="shared" si="38"/>
        <v>U148105U148105</v>
      </c>
      <c r="B1172" t="str">
        <f t="shared" si="39"/>
        <v>U148105GC9060LL-M</v>
      </c>
      <c r="C1172" s="1" t="s">
        <v>55</v>
      </c>
      <c r="D1172" s="1" t="s">
        <v>584</v>
      </c>
      <c r="E1172" s="1" t="s">
        <v>436</v>
      </c>
      <c r="F1172" s="1" t="s">
        <v>455</v>
      </c>
      <c r="G1172" s="1" t="s">
        <v>438</v>
      </c>
      <c r="H1172" s="1">
        <v>1980</v>
      </c>
      <c r="I1172" s="3">
        <v>46268</v>
      </c>
      <c r="J1172" s="3">
        <v>46275</v>
      </c>
      <c r="K1172" s="3" t="s">
        <v>2360</v>
      </c>
      <c r="L1172" s="22">
        <v>46268.642020601852</v>
      </c>
      <c r="M1172" s="20">
        <v>6</v>
      </c>
      <c r="N1172" s="1">
        <v>28</v>
      </c>
    </row>
    <row r="1173" spans="1:14" x14ac:dyDescent="0.25">
      <c r="A1173" t="str">
        <f t="shared" si="38"/>
        <v>U148105U148105</v>
      </c>
      <c r="B1173" t="str">
        <f t="shared" si="39"/>
        <v>U148105GC9060LL-M</v>
      </c>
      <c r="C1173" s="1" t="s">
        <v>55</v>
      </c>
      <c r="D1173" s="1" t="s">
        <v>584</v>
      </c>
      <c r="E1173" s="1" t="s">
        <v>436</v>
      </c>
      <c r="F1173" s="1" t="s">
        <v>455</v>
      </c>
      <c r="G1173" s="1" t="s">
        <v>438</v>
      </c>
      <c r="H1173" s="1">
        <v>1980</v>
      </c>
      <c r="I1173" s="3">
        <v>46268</v>
      </c>
      <c r="J1173" s="3">
        <v>46275</v>
      </c>
      <c r="K1173" s="3" t="s">
        <v>2360</v>
      </c>
      <c r="L1173" s="22">
        <v>46268.64334938657</v>
      </c>
      <c r="M1173" s="20">
        <v>6</v>
      </c>
      <c r="N1173" s="1">
        <v>27</v>
      </c>
    </row>
    <row r="1174" spans="1:14" x14ac:dyDescent="0.25">
      <c r="A1174" t="str">
        <f t="shared" si="38"/>
        <v>U148105U148105</v>
      </c>
      <c r="B1174" t="str">
        <f t="shared" si="39"/>
        <v>U148105GC9060LL-M</v>
      </c>
      <c r="C1174" s="1" t="s">
        <v>55</v>
      </c>
      <c r="D1174" s="1" t="s">
        <v>584</v>
      </c>
      <c r="E1174" s="1" t="s">
        <v>436</v>
      </c>
      <c r="F1174" s="1" t="s">
        <v>455</v>
      </c>
      <c r="G1174" s="1" t="s">
        <v>438</v>
      </c>
      <c r="H1174" s="1">
        <v>1980</v>
      </c>
      <c r="I1174" s="3">
        <v>46268</v>
      </c>
      <c r="J1174" s="3">
        <v>46275</v>
      </c>
      <c r="K1174" s="3" t="s">
        <v>2360</v>
      </c>
      <c r="L1174" s="22">
        <v>46268.65569417824</v>
      </c>
      <c r="M1174" s="20">
        <v>6</v>
      </c>
      <c r="N1174" s="1">
        <v>26</v>
      </c>
    </row>
    <row r="1175" spans="1:14" x14ac:dyDescent="0.25">
      <c r="A1175" t="str">
        <f t="shared" si="38"/>
        <v>U148105U148105</v>
      </c>
      <c r="B1175" t="str">
        <f t="shared" si="39"/>
        <v>U148105GC9060LL-M</v>
      </c>
      <c r="C1175" s="1" t="s">
        <v>55</v>
      </c>
      <c r="D1175" s="1" t="s">
        <v>584</v>
      </c>
      <c r="E1175" s="1" t="s">
        <v>436</v>
      </c>
      <c r="F1175" s="1" t="s">
        <v>455</v>
      </c>
      <c r="G1175" s="1" t="s">
        <v>438</v>
      </c>
      <c r="H1175" s="1">
        <v>1980</v>
      </c>
      <c r="I1175" s="3">
        <v>46268</v>
      </c>
      <c r="J1175" s="3">
        <v>46275</v>
      </c>
      <c r="K1175" s="3" t="s">
        <v>2360</v>
      </c>
      <c r="L1175" s="22">
        <v>46268.65591956018</v>
      </c>
      <c r="M1175" s="20">
        <v>6</v>
      </c>
      <c r="N1175" s="1">
        <v>1</v>
      </c>
    </row>
    <row r="1176" spans="1:14" x14ac:dyDescent="0.25">
      <c r="A1176" t="str">
        <f t="shared" si="38"/>
        <v>U148105U148105</v>
      </c>
      <c r="B1176" t="str">
        <f t="shared" si="39"/>
        <v>U148105GC9060LL-M</v>
      </c>
      <c r="C1176" s="1" t="s">
        <v>55</v>
      </c>
      <c r="D1176" s="1" t="s">
        <v>584</v>
      </c>
      <c r="E1176" s="1" t="s">
        <v>436</v>
      </c>
      <c r="F1176" s="1" t="s">
        <v>455</v>
      </c>
      <c r="G1176" s="1" t="s">
        <v>438</v>
      </c>
      <c r="H1176" s="1">
        <v>1980</v>
      </c>
      <c r="I1176" s="3">
        <v>46268</v>
      </c>
      <c r="J1176" s="3">
        <v>46275</v>
      </c>
      <c r="K1176" s="3" t="s">
        <v>2360</v>
      </c>
      <c r="L1176" s="22">
        <v>46268.662028587962</v>
      </c>
      <c r="M1176" s="20">
        <v>6</v>
      </c>
      <c r="N1176" s="1">
        <v>2</v>
      </c>
    </row>
    <row r="1177" spans="1:14" x14ac:dyDescent="0.25">
      <c r="A1177" t="str">
        <f t="shared" si="38"/>
        <v>U148105U148105</v>
      </c>
      <c r="B1177" t="str">
        <f t="shared" si="39"/>
        <v>U148105GC9060LL-M</v>
      </c>
      <c r="C1177" s="1" t="s">
        <v>55</v>
      </c>
      <c r="D1177" s="1" t="s">
        <v>584</v>
      </c>
      <c r="E1177" s="1" t="s">
        <v>436</v>
      </c>
      <c r="F1177" s="1" t="s">
        <v>455</v>
      </c>
      <c r="G1177" s="1" t="s">
        <v>438</v>
      </c>
      <c r="H1177" s="1">
        <v>1980</v>
      </c>
      <c r="I1177" s="3">
        <v>46268</v>
      </c>
      <c r="J1177" s="3">
        <v>46275</v>
      </c>
      <c r="K1177" s="3" t="s">
        <v>2360</v>
      </c>
      <c r="L1177" s="22">
        <v>46268.667491435182</v>
      </c>
      <c r="M1177" s="20">
        <v>6</v>
      </c>
      <c r="N1177" s="1">
        <v>22</v>
      </c>
    </row>
    <row r="1178" spans="1:14" x14ac:dyDescent="0.25">
      <c r="A1178" t="str">
        <f t="shared" si="38"/>
        <v>U148105U148105</v>
      </c>
      <c r="B1178" t="str">
        <f t="shared" si="39"/>
        <v>U148105GC9060LL-M</v>
      </c>
      <c r="C1178" s="1" t="s">
        <v>55</v>
      </c>
      <c r="D1178" s="1" t="s">
        <v>584</v>
      </c>
      <c r="E1178" s="1" t="s">
        <v>436</v>
      </c>
      <c r="F1178" s="1" t="s">
        <v>455</v>
      </c>
      <c r="G1178" s="1" t="s">
        <v>438</v>
      </c>
      <c r="H1178" s="1">
        <v>1980</v>
      </c>
      <c r="I1178" s="3">
        <v>46268</v>
      </c>
      <c r="J1178" s="3">
        <v>46275</v>
      </c>
      <c r="K1178" s="3" t="s">
        <v>2360</v>
      </c>
      <c r="L1178" s="22">
        <v>46268.668115972221</v>
      </c>
      <c r="M1178" s="20">
        <v>6</v>
      </c>
      <c r="N1178" s="1">
        <v>3</v>
      </c>
    </row>
    <row r="1179" spans="1:14" x14ac:dyDescent="0.25">
      <c r="A1179" t="str">
        <f t="shared" si="38"/>
        <v>U148105U148105</v>
      </c>
      <c r="B1179" t="str">
        <f t="shared" si="39"/>
        <v>U148105GC9060LL-M</v>
      </c>
      <c r="C1179" s="1" t="s">
        <v>55</v>
      </c>
      <c r="D1179" s="1" t="s">
        <v>584</v>
      </c>
      <c r="E1179" s="1" t="s">
        <v>436</v>
      </c>
      <c r="F1179" s="1" t="s">
        <v>455</v>
      </c>
      <c r="G1179" s="1" t="s">
        <v>438</v>
      </c>
      <c r="H1179" s="1">
        <v>1980</v>
      </c>
      <c r="I1179" s="3">
        <v>46268</v>
      </c>
      <c r="J1179" s="3">
        <v>46275</v>
      </c>
      <c r="K1179" s="3" t="s">
        <v>2360</v>
      </c>
      <c r="L1179" s="22">
        <v>46268.672288657406</v>
      </c>
      <c r="M1179" s="20">
        <v>6</v>
      </c>
      <c r="N1179" s="1">
        <v>5</v>
      </c>
    </row>
    <row r="1180" spans="1:14" x14ac:dyDescent="0.25">
      <c r="A1180" t="str">
        <f t="shared" si="38"/>
        <v>U148105U148105</v>
      </c>
      <c r="B1180" t="str">
        <f t="shared" si="39"/>
        <v>U148105GC9060LL-M</v>
      </c>
      <c r="C1180" s="1" t="s">
        <v>55</v>
      </c>
      <c r="D1180" s="1" t="s">
        <v>584</v>
      </c>
      <c r="E1180" s="1" t="s">
        <v>436</v>
      </c>
      <c r="F1180" s="1" t="s">
        <v>455</v>
      </c>
      <c r="G1180" s="1" t="s">
        <v>438</v>
      </c>
      <c r="H1180" s="1">
        <v>1980</v>
      </c>
      <c r="I1180" s="3">
        <v>46268</v>
      </c>
      <c r="J1180" s="3">
        <v>46275</v>
      </c>
      <c r="K1180" s="3" t="s">
        <v>2360</v>
      </c>
      <c r="L1180" s="22">
        <v>46268.680898726852</v>
      </c>
      <c r="M1180" s="20">
        <v>6</v>
      </c>
      <c r="N1180" s="1">
        <v>20</v>
      </c>
    </row>
    <row r="1181" spans="1:14" x14ac:dyDescent="0.25">
      <c r="A1181" t="str">
        <f t="shared" si="38"/>
        <v>U148105U148105</v>
      </c>
      <c r="B1181" t="str">
        <f t="shared" si="39"/>
        <v>U148105GC9060LL-M</v>
      </c>
      <c r="C1181" s="1" t="s">
        <v>55</v>
      </c>
      <c r="D1181" s="1" t="s">
        <v>584</v>
      </c>
      <c r="E1181" s="1" t="s">
        <v>436</v>
      </c>
      <c r="F1181" s="1" t="s">
        <v>455</v>
      </c>
      <c r="G1181" s="1" t="s">
        <v>438</v>
      </c>
      <c r="H1181" s="1">
        <v>1980</v>
      </c>
      <c r="I1181" s="3">
        <v>46268</v>
      </c>
      <c r="J1181" s="3">
        <v>46275</v>
      </c>
      <c r="K1181" s="3" t="s">
        <v>2360</v>
      </c>
      <c r="L1181" s="22">
        <v>46268.681245104162</v>
      </c>
      <c r="M1181" s="20">
        <v>6</v>
      </c>
      <c r="N1181" s="1">
        <v>21</v>
      </c>
    </row>
    <row r="1182" spans="1:14" x14ac:dyDescent="0.25">
      <c r="A1182" t="str">
        <f t="shared" si="38"/>
        <v>78661097866109</v>
      </c>
      <c r="B1182" t="str">
        <f t="shared" si="39"/>
        <v>7866109GC9060LL-M</v>
      </c>
      <c r="C1182" s="1" t="s">
        <v>55</v>
      </c>
      <c r="D1182" s="1" t="s">
        <v>590</v>
      </c>
      <c r="E1182" s="1" t="s">
        <v>385</v>
      </c>
      <c r="F1182" s="1" t="s">
        <v>386</v>
      </c>
      <c r="G1182" s="1" t="s">
        <v>387</v>
      </c>
      <c r="H1182" s="1">
        <v>546</v>
      </c>
      <c r="I1182" s="3">
        <v>46269</v>
      </c>
      <c r="L1182" s="22">
        <v>46269.625926076384</v>
      </c>
      <c r="M1182" s="20">
        <v>12</v>
      </c>
      <c r="N1182" s="1">
        <v>16</v>
      </c>
    </row>
    <row r="1183" spans="1:14" x14ac:dyDescent="0.25">
      <c r="A1183" t="str">
        <f t="shared" si="38"/>
        <v>78661097866109</v>
      </c>
      <c r="B1183" t="str">
        <f t="shared" si="39"/>
        <v>7866109GC9060LL-M</v>
      </c>
      <c r="C1183" s="1" t="s">
        <v>55</v>
      </c>
      <c r="D1183" s="1" t="s">
        <v>590</v>
      </c>
      <c r="E1183" s="1" t="s">
        <v>385</v>
      </c>
      <c r="F1183" s="1" t="s">
        <v>386</v>
      </c>
      <c r="G1183" s="1" t="s">
        <v>387</v>
      </c>
      <c r="H1183" s="1">
        <v>546</v>
      </c>
      <c r="I1183" s="3">
        <v>46269</v>
      </c>
      <c r="L1183" s="22">
        <v>46269.636641469908</v>
      </c>
      <c r="M1183" s="20">
        <v>12</v>
      </c>
      <c r="N1183" s="1">
        <v>38</v>
      </c>
    </row>
    <row r="1184" spans="1:14" x14ac:dyDescent="0.25">
      <c r="A1184" t="str">
        <f t="shared" si="38"/>
        <v>78661097866109</v>
      </c>
      <c r="B1184" t="str">
        <f t="shared" si="39"/>
        <v>7866109GC9060LL-M</v>
      </c>
      <c r="C1184" s="1" t="s">
        <v>55</v>
      </c>
      <c r="D1184" s="1" t="s">
        <v>590</v>
      </c>
      <c r="E1184" s="1" t="s">
        <v>385</v>
      </c>
      <c r="F1184" s="1" t="s">
        <v>386</v>
      </c>
      <c r="G1184" s="1" t="s">
        <v>387</v>
      </c>
      <c r="H1184" s="1">
        <v>546</v>
      </c>
      <c r="I1184" s="3">
        <v>46269</v>
      </c>
      <c r="L1184" s="22">
        <v>46269.647213773147</v>
      </c>
      <c r="M1184" s="20">
        <v>12</v>
      </c>
      <c r="N1184" s="1">
        <v>11</v>
      </c>
    </row>
    <row r="1185" spans="1:14" x14ac:dyDescent="0.25">
      <c r="A1185" t="str">
        <f t="shared" si="38"/>
        <v>78661097866109</v>
      </c>
      <c r="B1185" t="str">
        <f t="shared" si="39"/>
        <v>7866109GC9060LL-M</v>
      </c>
      <c r="C1185" s="1" t="s">
        <v>55</v>
      </c>
      <c r="D1185" s="1" t="s">
        <v>590</v>
      </c>
      <c r="E1185" s="1" t="s">
        <v>385</v>
      </c>
      <c r="F1185" s="1" t="s">
        <v>386</v>
      </c>
      <c r="G1185" s="1" t="s">
        <v>387</v>
      </c>
      <c r="H1185" s="1">
        <v>546</v>
      </c>
      <c r="I1185" s="3">
        <v>46269</v>
      </c>
      <c r="L1185" s="22">
        <v>46269.662540624995</v>
      </c>
      <c r="M1185" s="20">
        <v>12</v>
      </c>
      <c r="N1185" s="1">
        <v>30</v>
      </c>
    </row>
    <row r="1186" spans="1:14" x14ac:dyDescent="0.25">
      <c r="A1186" t="str">
        <f t="shared" si="38"/>
        <v>78661097866109</v>
      </c>
      <c r="B1186" t="str">
        <f t="shared" si="39"/>
        <v>7866109GC9060LL-M</v>
      </c>
      <c r="C1186" s="1" t="s">
        <v>55</v>
      </c>
      <c r="D1186" s="1" t="s">
        <v>590</v>
      </c>
      <c r="E1186" s="1" t="s">
        <v>385</v>
      </c>
      <c r="F1186" s="1" t="s">
        <v>386</v>
      </c>
      <c r="G1186" s="1" t="s">
        <v>387</v>
      </c>
      <c r="H1186" s="1">
        <v>546</v>
      </c>
      <c r="I1186" s="3">
        <v>46269</v>
      </c>
      <c r="L1186" s="22">
        <v>46269.66852068287</v>
      </c>
      <c r="M1186" s="20">
        <v>12</v>
      </c>
      <c r="N1186" s="1">
        <v>17</v>
      </c>
    </row>
    <row r="1187" spans="1:14" x14ac:dyDescent="0.25">
      <c r="A1187" t="str">
        <f t="shared" si="38"/>
        <v>78661097866109</v>
      </c>
      <c r="B1187" t="str">
        <f t="shared" si="39"/>
        <v>7866109GC9060LL-M</v>
      </c>
      <c r="C1187" s="1" t="s">
        <v>55</v>
      </c>
      <c r="D1187" s="1" t="s">
        <v>590</v>
      </c>
      <c r="E1187" s="1" t="s">
        <v>385</v>
      </c>
      <c r="F1187" s="1" t="s">
        <v>386</v>
      </c>
      <c r="G1187" s="1" t="s">
        <v>387</v>
      </c>
      <c r="H1187" s="1">
        <v>546</v>
      </c>
      <c r="I1187" s="3">
        <v>46269</v>
      </c>
      <c r="L1187" s="22">
        <v>46269.671582442126</v>
      </c>
      <c r="M1187" s="20">
        <v>12</v>
      </c>
      <c r="N1187" s="1">
        <v>31</v>
      </c>
    </row>
    <row r="1188" spans="1:14" x14ac:dyDescent="0.25">
      <c r="A1188" t="str">
        <f t="shared" si="38"/>
        <v>78661097866109</v>
      </c>
      <c r="B1188" t="str">
        <f t="shared" si="39"/>
        <v>7866109GC9060LL-M</v>
      </c>
      <c r="C1188" s="1" t="s">
        <v>55</v>
      </c>
      <c r="D1188" s="1" t="s">
        <v>590</v>
      </c>
      <c r="E1188" s="1" t="s">
        <v>385</v>
      </c>
      <c r="F1188" s="1" t="s">
        <v>386</v>
      </c>
      <c r="G1188" s="1" t="s">
        <v>387</v>
      </c>
      <c r="H1188" s="1">
        <v>546</v>
      </c>
      <c r="I1188" s="3">
        <v>46269</v>
      </c>
      <c r="L1188" s="22">
        <v>46269.672623495368</v>
      </c>
      <c r="M1188" s="20">
        <v>12</v>
      </c>
      <c r="N1188" s="1">
        <v>12</v>
      </c>
    </row>
    <row r="1189" spans="1:14" x14ac:dyDescent="0.25">
      <c r="A1189" t="str">
        <f t="shared" si="38"/>
        <v>78661097866109</v>
      </c>
      <c r="B1189" t="str">
        <f t="shared" si="39"/>
        <v>7866109GC9060LL-M</v>
      </c>
      <c r="C1189" s="1" t="s">
        <v>55</v>
      </c>
      <c r="D1189" s="1" t="s">
        <v>590</v>
      </c>
      <c r="E1189" s="1" t="s">
        <v>385</v>
      </c>
      <c r="F1189" s="1" t="s">
        <v>386</v>
      </c>
      <c r="G1189" s="1" t="s">
        <v>387</v>
      </c>
      <c r="H1189" s="1">
        <v>546</v>
      </c>
      <c r="I1189" s="3">
        <v>46269</v>
      </c>
      <c r="L1189" s="22">
        <v>46269.678066053239</v>
      </c>
      <c r="M1189" s="20">
        <v>12</v>
      </c>
      <c r="N1189" s="1">
        <v>23</v>
      </c>
    </row>
    <row r="1190" spans="1:14" x14ac:dyDescent="0.25">
      <c r="A1190" t="str">
        <f t="shared" si="38"/>
        <v>78661097866109</v>
      </c>
      <c r="B1190" t="str">
        <f t="shared" si="39"/>
        <v>7866109GC9060LL-M</v>
      </c>
      <c r="C1190" s="1" t="s">
        <v>55</v>
      </c>
      <c r="D1190" s="1" t="s">
        <v>590</v>
      </c>
      <c r="E1190" s="1" t="s">
        <v>385</v>
      </c>
      <c r="F1190" s="1" t="s">
        <v>386</v>
      </c>
      <c r="G1190" s="1" t="s">
        <v>387</v>
      </c>
      <c r="H1190" s="1">
        <v>546</v>
      </c>
      <c r="I1190" s="3">
        <v>46269</v>
      </c>
      <c r="L1190" s="22">
        <v>46269.686909918979</v>
      </c>
      <c r="M1190" s="20">
        <v>12</v>
      </c>
      <c r="N1190" s="1">
        <v>3</v>
      </c>
    </row>
    <row r="1191" spans="1:14" x14ac:dyDescent="0.25">
      <c r="A1191" t="str">
        <f t="shared" si="38"/>
        <v>78661097866109</v>
      </c>
      <c r="B1191" t="str">
        <f t="shared" si="39"/>
        <v>7866109GC9060LL-M</v>
      </c>
      <c r="C1191" s="1" t="s">
        <v>55</v>
      </c>
      <c r="D1191" s="1" t="s">
        <v>590</v>
      </c>
      <c r="E1191" s="1" t="s">
        <v>385</v>
      </c>
      <c r="F1191" s="1" t="s">
        <v>386</v>
      </c>
      <c r="G1191" s="1" t="s">
        <v>387</v>
      </c>
      <c r="H1191" s="1">
        <v>546</v>
      </c>
      <c r="I1191" s="3">
        <v>46269</v>
      </c>
      <c r="L1191" s="22">
        <v>46269.6877383912</v>
      </c>
      <c r="M1191" s="20">
        <v>12</v>
      </c>
      <c r="N1191" s="1">
        <v>24</v>
      </c>
    </row>
    <row r="1192" spans="1:14" x14ac:dyDescent="0.25">
      <c r="A1192" t="str">
        <f t="shared" si="38"/>
        <v>78661097866109</v>
      </c>
      <c r="B1192" t="str">
        <f t="shared" si="39"/>
        <v>7866109GC9060LL-M</v>
      </c>
      <c r="C1192" s="1" t="s">
        <v>55</v>
      </c>
      <c r="D1192" s="1" t="s">
        <v>590</v>
      </c>
      <c r="E1192" s="1" t="s">
        <v>385</v>
      </c>
      <c r="F1192" s="1" t="s">
        <v>386</v>
      </c>
      <c r="G1192" s="1" t="s">
        <v>387</v>
      </c>
      <c r="H1192" s="1">
        <v>546</v>
      </c>
      <c r="I1192" s="3">
        <v>46269</v>
      </c>
      <c r="L1192" s="22">
        <v>46269.69293769676</v>
      </c>
      <c r="M1192" s="20">
        <v>12</v>
      </c>
      <c r="N1192" s="1">
        <v>32</v>
      </c>
    </row>
    <row r="1193" spans="1:14" x14ac:dyDescent="0.25">
      <c r="A1193" t="str">
        <f t="shared" si="38"/>
        <v>78661097866109</v>
      </c>
      <c r="B1193" t="str">
        <f t="shared" si="39"/>
        <v>7866109GC9060LL-M</v>
      </c>
      <c r="C1193" s="1" t="s">
        <v>55</v>
      </c>
      <c r="D1193" s="1" t="s">
        <v>590</v>
      </c>
      <c r="E1193" s="1" t="s">
        <v>385</v>
      </c>
      <c r="F1193" s="1" t="s">
        <v>386</v>
      </c>
      <c r="G1193" s="1" t="s">
        <v>387</v>
      </c>
      <c r="H1193" s="1">
        <v>546</v>
      </c>
      <c r="I1193" s="3">
        <v>46269</v>
      </c>
      <c r="L1193" s="22">
        <v>46269.694123877314</v>
      </c>
      <c r="M1193" s="20">
        <v>12</v>
      </c>
      <c r="N1193" s="1">
        <v>40</v>
      </c>
    </row>
    <row r="1194" spans="1:14" x14ac:dyDescent="0.25">
      <c r="A1194" t="str">
        <f t="shared" si="38"/>
        <v>78661097866109</v>
      </c>
      <c r="B1194" t="str">
        <f t="shared" si="39"/>
        <v>7866109GC9060LL-M</v>
      </c>
      <c r="C1194" s="1" t="s">
        <v>55</v>
      </c>
      <c r="D1194" s="1" t="s">
        <v>590</v>
      </c>
      <c r="E1194" s="1" t="s">
        <v>385</v>
      </c>
      <c r="F1194" s="1" t="s">
        <v>386</v>
      </c>
      <c r="G1194" s="1" t="s">
        <v>387</v>
      </c>
      <c r="H1194" s="1">
        <v>546</v>
      </c>
      <c r="I1194" s="3">
        <v>46269</v>
      </c>
      <c r="L1194" s="22">
        <v>46269.694715821759</v>
      </c>
      <c r="M1194" s="20">
        <v>12</v>
      </c>
      <c r="N1194" s="1">
        <v>19</v>
      </c>
    </row>
    <row r="1195" spans="1:14" x14ac:dyDescent="0.25">
      <c r="A1195" t="str">
        <f t="shared" si="38"/>
        <v>78661097866109</v>
      </c>
      <c r="B1195" t="str">
        <f t="shared" si="39"/>
        <v>7866109GC9060LL-M</v>
      </c>
      <c r="C1195" s="1" t="s">
        <v>55</v>
      </c>
      <c r="D1195" s="1" t="s">
        <v>590</v>
      </c>
      <c r="E1195" s="1" t="s">
        <v>385</v>
      </c>
      <c r="F1195" s="1" t="s">
        <v>386</v>
      </c>
      <c r="G1195" s="1" t="s">
        <v>387</v>
      </c>
      <c r="H1195" s="1">
        <v>546</v>
      </c>
      <c r="I1195" s="3">
        <v>46269</v>
      </c>
      <c r="L1195" s="22">
        <v>46269.695345682871</v>
      </c>
      <c r="M1195" s="20">
        <v>12</v>
      </c>
      <c r="N1195" s="1">
        <v>39</v>
      </c>
    </row>
    <row r="1196" spans="1:14" x14ac:dyDescent="0.25">
      <c r="A1196" t="str">
        <f t="shared" si="38"/>
        <v>78661097866109</v>
      </c>
      <c r="B1196" t="str">
        <f t="shared" si="39"/>
        <v>7866109GC9060LL-M</v>
      </c>
      <c r="C1196" s="1" t="s">
        <v>55</v>
      </c>
      <c r="D1196" s="1" t="s">
        <v>590</v>
      </c>
      <c r="E1196" s="1" t="s">
        <v>385</v>
      </c>
      <c r="F1196" s="1" t="s">
        <v>386</v>
      </c>
      <c r="G1196" s="1" t="s">
        <v>387</v>
      </c>
      <c r="H1196" s="1">
        <v>546</v>
      </c>
      <c r="I1196" s="3">
        <v>46269</v>
      </c>
      <c r="L1196" s="22">
        <v>46269.695732719905</v>
      </c>
      <c r="M1196" s="20">
        <v>12</v>
      </c>
      <c r="N1196" s="1">
        <v>18</v>
      </c>
    </row>
    <row r="1197" spans="1:14" x14ac:dyDescent="0.25">
      <c r="A1197" t="str">
        <f t="shared" si="38"/>
        <v>78661097866109</v>
      </c>
      <c r="B1197" t="str">
        <f t="shared" si="39"/>
        <v>7866109GC9060LL-M</v>
      </c>
      <c r="C1197" s="1" t="s">
        <v>55</v>
      </c>
      <c r="D1197" s="1" t="s">
        <v>590</v>
      </c>
      <c r="E1197" s="1" t="s">
        <v>385</v>
      </c>
      <c r="F1197" s="1" t="s">
        <v>386</v>
      </c>
      <c r="G1197" s="1" t="s">
        <v>387</v>
      </c>
      <c r="H1197" s="1">
        <v>546</v>
      </c>
      <c r="I1197" s="3">
        <v>46269</v>
      </c>
      <c r="L1197" s="22">
        <v>46269.695963923608</v>
      </c>
      <c r="M1197" s="20">
        <v>12</v>
      </c>
      <c r="N1197" s="1">
        <v>13</v>
      </c>
    </row>
    <row r="1198" spans="1:14" x14ac:dyDescent="0.25">
      <c r="A1198" t="str">
        <f t="shared" si="38"/>
        <v>78661097866109</v>
      </c>
      <c r="B1198" t="str">
        <f t="shared" si="39"/>
        <v>7866109GC9060LL-M</v>
      </c>
      <c r="C1198" s="1" t="s">
        <v>55</v>
      </c>
      <c r="D1198" s="1" t="s">
        <v>590</v>
      </c>
      <c r="E1198" s="1" t="s">
        <v>385</v>
      </c>
      <c r="F1198" s="1" t="s">
        <v>386</v>
      </c>
      <c r="G1198" s="1" t="s">
        <v>387</v>
      </c>
      <c r="H1198" s="1">
        <v>546</v>
      </c>
      <c r="I1198" s="3">
        <v>46269</v>
      </c>
      <c r="L1198" s="22">
        <v>46269.709430902774</v>
      </c>
      <c r="M1198" s="20">
        <v>12</v>
      </c>
      <c r="N1198" s="1">
        <v>1</v>
      </c>
    </row>
    <row r="1199" spans="1:14" x14ac:dyDescent="0.25">
      <c r="A1199" t="str">
        <f t="shared" si="38"/>
        <v>78661097866109</v>
      </c>
      <c r="B1199" t="str">
        <f t="shared" si="39"/>
        <v>7866109GC9060LL-M</v>
      </c>
      <c r="C1199" s="1" t="s">
        <v>55</v>
      </c>
      <c r="D1199" s="1" t="s">
        <v>590</v>
      </c>
      <c r="E1199" s="1" t="s">
        <v>385</v>
      </c>
      <c r="F1199" s="1" t="s">
        <v>386</v>
      </c>
      <c r="G1199" s="1" t="s">
        <v>387</v>
      </c>
      <c r="H1199" s="1">
        <v>546</v>
      </c>
      <c r="I1199" s="3">
        <v>46269</v>
      </c>
      <c r="L1199" s="22">
        <v>46269.709670914352</v>
      </c>
      <c r="M1199" s="20">
        <v>12</v>
      </c>
      <c r="N1199" s="1">
        <v>7</v>
      </c>
    </row>
    <row r="1200" spans="1:14" x14ac:dyDescent="0.25">
      <c r="A1200" t="str">
        <f t="shared" si="38"/>
        <v>78661097866109</v>
      </c>
      <c r="B1200" t="str">
        <f t="shared" si="39"/>
        <v>7866109GC9060LL-M</v>
      </c>
      <c r="C1200" s="1" t="s">
        <v>55</v>
      </c>
      <c r="D1200" s="1" t="s">
        <v>590</v>
      </c>
      <c r="E1200" s="1" t="s">
        <v>385</v>
      </c>
      <c r="F1200" s="1" t="s">
        <v>386</v>
      </c>
      <c r="G1200" s="1" t="s">
        <v>387</v>
      </c>
      <c r="H1200" s="1">
        <v>546</v>
      </c>
      <c r="I1200" s="3">
        <v>46269</v>
      </c>
      <c r="L1200" s="22">
        <v>46269.724473263886</v>
      </c>
      <c r="M1200" s="20">
        <v>12</v>
      </c>
      <c r="N1200" s="1">
        <v>20</v>
      </c>
    </row>
    <row r="1201" spans="1:14" x14ac:dyDescent="0.25">
      <c r="A1201" t="str">
        <f t="shared" si="38"/>
        <v>78746167874616</v>
      </c>
      <c r="B1201" t="str">
        <f t="shared" si="39"/>
        <v>7874616I57429D-M</v>
      </c>
      <c r="C1201" s="1" t="s">
        <v>587</v>
      </c>
      <c r="D1201" s="1" t="s">
        <v>588</v>
      </c>
      <c r="E1201" s="1" t="s">
        <v>392</v>
      </c>
      <c r="F1201" s="1" t="s">
        <v>393</v>
      </c>
      <c r="G1201" s="1" t="s">
        <v>394</v>
      </c>
      <c r="H1201" s="1">
        <v>360</v>
      </c>
      <c r="I1201" s="3">
        <v>46269</v>
      </c>
      <c r="J1201" s="3">
        <v>46288</v>
      </c>
      <c r="K1201" s="3" t="s">
        <v>2371</v>
      </c>
      <c r="L1201" s="22">
        <v>46269.58036550926</v>
      </c>
      <c r="M1201" s="20">
        <v>12</v>
      </c>
      <c r="N1201" s="1">
        <v>11</v>
      </c>
    </row>
    <row r="1202" spans="1:14" x14ac:dyDescent="0.25">
      <c r="A1202" t="str">
        <f t="shared" si="38"/>
        <v>78746167874616</v>
      </c>
      <c r="B1202" t="str">
        <f t="shared" si="39"/>
        <v>7874616I57429D-M</v>
      </c>
      <c r="C1202" s="1" t="s">
        <v>587</v>
      </c>
      <c r="D1202" s="1" t="s">
        <v>588</v>
      </c>
      <c r="E1202" s="1" t="s">
        <v>392</v>
      </c>
      <c r="F1202" s="1" t="s">
        <v>393</v>
      </c>
      <c r="G1202" s="1" t="s">
        <v>394</v>
      </c>
      <c r="H1202" s="1">
        <v>360</v>
      </c>
      <c r="I1202" s="3">
        <v>46269</v>
      </c>
      <c r="J1202" s="3">
        <v>46288</v>
      </c>
      <c r="K1202" s="3" t="s">
        <v>2371</v>
      </c>
      <c r="L1202" s="22">
        <v>46269.592705787036</v>
      </c>
      <c r="M1202" s="20">
        <v>12</v>
      </c>
      <c r="N1202" s="1">
        <v>7</v>
      </c>
    </row>
    <row r="1203" spans="1:14" x14ac:dyDescent="0.25">
      <c r="A1203" t="str">
        <f t="shared" si="38"/>
        <v>78746167874616</v>
      </c>
      <c r="B1203" t="str">
        <f t="shared" si="39"/>
        <v>7874616I57429D-M</v>
      </c>
      <c r="C1203" s="1" t="s">
        <v>587</v>
      </c>
      <c r="D1203" s="1" t="s">
        <v>588</v>
      </c>
      <c r="E1203" s="1" t="s">
        <v>392</v>
      </c>
      <c r="F1203" s="1" t="s">
        <v>393</v>
      </c>
      <c r="G1203" s="1" t="s">
        <v>394</v>
      </c>
      <c r="H1203" s="1">
        <v>360</v>
      </c>
      <c r="I1203" s="3">
        <v>46269</v>
      </c>
      <c r="J1203" s="3">
        <v>46288</v>
      </c>
      <c r="K1203" s="3" t="s">
        <v>2371</v>
      </c>
      <c r="L1203" s="22">
        <v>46269.596583067127</v>
      </c>
      <c r="M1203" s="20">
        <v>12</v>
      </c>
      <c r="N1203" s="1">
        <v>20</v>
      </c>
    </row>
    <row r="1204" spans="1:14" x14ac:dyDescent="0.25">
      <c r="A1204" t="str">
        <f t="shared" si="38"/>
        <v>78746167874616</v>
      </c>
      <c r="B1204" t="str">
        <f t="shared" si="39"/>
        <v>7874616I57429D-M</v>
      </c>
      <c r="C1204" s="1" t="s">
        <v>587</v>
      </c>
      <c r="D1204" s="1" t="s">
        <v>588</v>
      </c>
      <c r="E1204" s="1" t="s">
        <v>392</v>
      </c>
      <c r="F1204" s="1" t="s">
        <v>393</v>
      </c>
      <c r="G1204" s="1" t="s">
        <v>394</v>
      </c>
      <c r="H1204" s="1">
        <v>360</v>
      </c>
      <c r="I1204" s="3">
        <v>46269</v>
      </c>
      <c r="J1204" s="3">
        <v>46288</v>
      </c>
      <c r="K1204" s="3" t="s">
        <v>2371</v>
      </c>
      <c r="L1204" s="22">
        <v>46269.597046180555</v>
      </c>
      <c r="M1204" s="20">
        <v>12</v>
      </c>
      <c r="N1204" s="1">
        <v>17</v>
      </c>
    </row>
    <row r="1205" spans="1:14" x14ac:dyDescent="0.25">
      <c r="A1205" t="str">
        <f t="shared" si="38"/>
        <v>78746167874616</v>
      </c>
      <c r="B1205" t="str">
        <f t="shared" si="39"/>
        <v>7874616I57429D-M</v>
      </c>
      <c r="C1205" s="1" t="s">
        <v>587</v>
      </c>
      <c r="D1205" s="1" t="s">
        <v>588</v>
      </c>
      <c r="E1205" s="1" t="s">
        <v>392</v>
      </c>
      <c r="F1205" s="1" t="s">
        <v>393</v>
      </c>
      <c r="G1205" s="1" t="s">
        <v>394</v>
      </c>
      <c r="H1205" s="1">
        <v>360</v>
      </c>
      <c r="I1205" s="3">
        <v>46269</v>
      </c>
      <c r="J1205" s="3">
        <v>46288</v>
      </c>
      <c r="K1205" s="3" t="s">
        <v>2371</v>
      </c>
      <c r="L1205" s="22">
        <v>46269.598429745369</v>
      </c>
      <c r="M1205" s="20">
        <v>12</v>
      </c>
      <c r="N1205" s="1">
        <v>21</v>
      </c>
    </row>
    <row r="1206" spans="1:14" x14ac:dyDescent="0.25">
      <c r="A1206" t="str">
        <f t="shared" si="38"/>
        <v>78746167874616</v>
      </c>
      <c r="B1206" t="str">
        <f t="shared" si="39"/>
        <v>7874616I57429D-M</v>
      </c>
      <c r="C1206" s="1" t="s">
        <v>587</v>
      </c>
      <c r="D1206" s="1" t="s">
        <v>588</v>
      </c>
      <c r="E1206" s="1" t="s">
        <v>392</v>
      </c>
      <c r="F1206" s="1" t="s">
        <v>393</v>
      </c>
      <c r="G1206" s="1" t="s">
        <v>394</v>
      </c>
      <c r="H1206" s="1">
        <v>360</v>
      </c>
      <c r="I1206" s="3">
        <v>46269</v>
      </c>
      <c r="J1206" s="3">
        <v>46288</v>
      </c>
      <c r="K1206" s="3" t="s">
        <v>2371</v>
      </c>
      <c r="L1206" s="22">
        <v>46269.598568402776</v>
      </c>
      <c r="M1206" s="20">
        <v>12</v>
      </c>
      <c r="N1206" s="1">
        <v>22</v>
      </c>
    </row>
    <row r="1207" spans="1:14" x14ac:dyDescent="0.25">
      <c r="A1207" t="str">
        <f t="shared" si="38"/>
        <v>78746167874616</v>
      </c>
      <c r="B1207" t="str">
        <f t="shared" si="39"/>
        <v>7874616I57429D-M</v>
      </c>
      <c r="C1207" s="1" t="s">
        <v>587</v>
      </c>
      <c r="D1207" s="1" t="s">
        <v>588</v>
      </c>
      <c r="E1207" s="1" t="s">
        <v>392</v>
      </c>
      <c r="F1207" s="1" t="s">
        <v>393</v>
      </c>
      <c r="G1207" s="1" t="s">
        <v>394</v>
      </c>
      <c r="H1207" s="1">
        <v>360</v>
      </c>
      <c r="I1207" s="3">
        <v>46269</v>
      </c>
      <c r="J1207" s="3">
        <v>46288</v>
      </c>
      <c r="K1207" s="3" t="s">
        <v>2371</v>
      </c>
      <c r="L1207" s="22">
        <v>46269.602863854168</v>
      </c>
      <c r="M1207" s="20">
        <v>12</v>
      </c>
      <c r="N1207" s="1">
        <v>24</v>
      </c>
    </row>
    <row r="1208" spans="1:14" x14ac:dyDescent="0.25">
      <c r="A1208" t="str">
        <f t="shared" si="38"/>
        <v>H171626H171626</v>
      </c>
      <c r="B1208" t="str">
        <f t="shared" si="39"/>
        <v>H171626P60347T-M</v>
      </c>
      <c r="C1208" s="1" t="s">
        <v>272</v>
      </c>
      <c r="D1208" s="1" t="s">
        <v>591</v>
      </c>
      <c r="E1208" s="1" t="s">
        <v>434</v>
      </c>
      <c r="F1208" s="1" t="s">
        <v>435</v>
      </c>
      <c r="G1208" s="1" t="s">
        <v>404</v>
      </c>
      <c r="H1208" s="1">
        <v>144</v>
      </c>
      <c r="I1208" s="3">
        <v>46269</v>
      </c>
      <c r="J1208" s="3">
        <v>46272</v>
      </c>
      <c r="K1208" s="3" t="s">
        <v>2354</v>
      </c>
      <c r="L1208" s="22">
        <v>46269.626546180552</v>
      </c>
      <c r="M1208" s="20">
        <v>12</v>
      </c>
      <c r="N1208" s="1">
        <v>4</v>
      </c>
    </row>
    <row r="1209" spans="1:14" x14ac:dyDescent="0.25">
      <c r="A1209" t="str">
        <f t="shared" si="38"/>
        <v>H171626H171626</v>
      </c>
      <c r="B1209" t="str">
        <f t="shared" si="39"/>
        <v>H171626P60347T-M</v>
      </c>
      <c r="C1209" s="1" t="s">
        <v>272</v>
      </c>
      <c r="D1209" s="1" t="s">
        <v>591</v>
      </c>
      <c r="E1209" s="1" t="s">
        <v>434</v>
      </c>
      <c r="F1209" s="1" t="s">
        <v>435</v>
      </c>
      <c r="G1209" s="1" t="s">
        <v>404</v>
      </c>
      <c r="H1209" s="1">
        <v>144</v>
      </c>
      <c r="I1209" s="3">
        <v>46269</v>
      </c>
      <c r="J1209" s="3">
        <v>46272</v>
      </c>
      <c r="K1209" s="3" t="s">
        <v>2354</v>
      </c>
      <c r="L1209" s="22">
        <v>46269.661795405089</v>
      </c>
      <c r="M1209" s="20">
        <v>12</v>
      </c>
      <c r="N1209" s="1">
        <v>7</v>
      </c>
    </row>
    <row r="1210" spans="1:14" x14ac:dyDescent="0.25">
      <c r="A1210" t="str">
        <f t="shared" si="38"/>
        <v>H171626H171626</v>
      </c>
      <c r="B1210" t="str">
        <f t="shared" si="39"/>
        <v>H171626P60347T-M</v>
      </c>
      <c r="C1210" s="1" t="s">
        <v>272</v>
      </c>
      <c r="D1210" s="1" t="s">
        <v>591</v>
      </c>
      <c r="E1210" s="1" t="s">
        <v>434</v>
      </c>
      <c r="F1210" s="1" t="s">
        <v>435</v>
      </c>
      <c r="G1210" s="1" t="s">
        <v>404</v>
      </c>
      <c r="H1210" s="1">
        <v>144</v>
      </c>
      <c r="I1210" s="3">
        <v>46269</v>
      </c>
      <c r="J1210" s="3">
        <v>46272</v>
      </c>
      <c r="K1210" s="3" t="s">
        <v>2354</v>
      </c>
      <c r="L1210" s="22">
        <v>46269.688994907403</v>
      </c>
      <c r="M1210" s="20">
        <v>12</v>
      </c>
      <c r="N1210" s="1">
        <v>9</v>
      </c>
    </row>
    <row r="1211" spans="1:14" x14ac:dyDescent="0.25">
      <c r="A1211" t="str">
        <f t="shared" si="38"/>
        <v>H171641H171641</v>
      </c>
      <c r="B1211" t="str">
        <f t="shared" si="39"/>
        <v>H171641G6035F4-M</v>
      </c>
      <c r="C1211" s="1" t="s">
        <v>24</v>
      </c>
      <c r="D1211" s="1" t="s">
        <v>592</v>
      </c>
      <c r="E1211" s="1" t="s">
        <v>501</v>
      </c>
      <c r="F1211" s="1" t="s">
        <v>502</v>
      </c>
      <c r="G1211" s="1" t="s">
        <v>404</v>
      </c>
      <c r="H1211" s="1">
        <v>582</v>
      </c>
      <c r="I1211" s="3">
        <v>46269</v>
      </c>
      <c r="J1211" s="3">
        <v>46276</v>
      </c>
      <c r="K1211" s="3" t="s">
        <v>2368</v>
      </c>
      <c r="L1211" s="22">
        <v>46269.669431400464</v>
      </c>
      <c r="M1211" s="20">
        <v>6</v>
      </c>
      <c r="N1211" s="1">
        <v>84</v>
      </c>
    </row>
    <row r="1212" spans="1:14" x14ac:dyDescent="0.25">
      <c r="A1212" t="str">
        <f t="shared" si="38"/>
        <v>H171641H171641</v>
      </c>
      <c r="B1212" t="str">
        <f t="shared" si="39"/>
        <v>H171641G6035F4-M</v>
      </c>
      <c r="C1212" s="1" t="s">
        <v>24</v>
      </c>
      <c r="D1212" s="1" t="s">
        <v>592</v>
      </c>
      <c r="E1212" s="1" t="s">
        <v>501</v>
      </c>
      <c r="F1212" s="1" t="s">
        <v>502</v>
      </c>
      <c r="G1212" s="1" t="s">
        <v>404</v>
      </c>
      <c r="H1212" s="1">
        <v>582</v>
      </c>
      <c r="I1212" s="3">
        <v>46269</v>
      </c>
      <c r="J1212" s="3">
        <v>46276</v>
      </c>
      <c r="K1212" s="3" t="s">
        <v>2368</v>
      </c>
      <c r="L1212" s="22">
        <v>46269.670512187498</v>
      </c>
      <c r="M1212" s="20">
        <v>6</v>
      </c>
      <c r="N1212" s="1">
        <v>20</v>
      </c>
    </row>
    <row r="1213" spans="1:14" x14ac:dyDescent="0.25">
      <c r="A1213" t="str">
        <f t="shared" si="38"/>
        <v>H171641H171641</v>
      </c>
      <c r="B1213" t="str">
        <f t="shared" si="39"/>
        <v>H171641G6035F4-M</v>
      </c>
      <c r="C1213" s="1" t="s">
        <v>24</v>
      </c>
      <c r="D1213" s="1" t="s">
        <v>592</v>
      </c>
      <c r="E1213" s="1" t="s">
        <v>501</v>
      </c>
      <c r="F1213" s="1" t="s">
        <v>502</v>
      </c>
      <c r="G1213" s="1" t="s">
        <v>404</v>
      </c>
      <c r="H1213" s="1">
        <v>582</v>
      </c>
      <c r="I1213" s="3">
        <v>46269</v>
      </c>
      <c r="J1213" s="3">
        <v>46276</v>
      </c>
      <c r="K1213" s="3" t="s">
        <v>2368</v>
      </c>
      <c r="L1213" s="22">
        <v>46269.671979976847</v>
      </c>
      <c r="M1213" s="20">
        <v>6</v>
      </c>
      <c r="N1213" s="1">
        <v>83</v>
      </c>
    </row>
    <row r="1214" spans="1:14" x14ac:dyDescent="0.25">
      <c r="A1214" t="str">
        <f t="shared" si="38"/>
        <v>H171641H171641</v>
      </c>
      <c r="B1214" t="str">
        <f t="shared" si="39"/>
        <v>H171641G6035F4-M</v>
      </c>
      <c r="C1214" s="1" t="s">
        <v>24</v>
      </c>
      <c r="D1214" s="1" t="s">
        <v>592</v>
      </c>
      <c r="E1214" s="1" t="s">
        <v>501</v>
      </c>
      <c r="F1214" s="1" t="s">
        <v>502</v>
      </c>
      <c r="G1214" s="1" t="s">
        <v>404</v>
      </c>
      <c r="H1214" s="1">
        <v>582</v>
      </c>
      <c r="I1214" s="3">
        <v>46269</v>
      </c>
      <c r="J1214" s="3">
        <v>46276</v>
      </c>
      <c r="K1214" s="3" t="s">
        <v>2368</v>
      </c>
      <c r="L1214" s="22">
        <v>46269.6728033912</v>
      </c>
      <c r="M1214" s="20">
        <v>6</v>
      </c>
      <c r="N1214" s="1">
        <v>19</v>
      </c>
    </row>
    <row r="1215" spans="1:14" x14ac:dyDescent="0.25">
      <c r="A1215" t="str">
        <f t="shared" si="38"/>
        <v>H171641H171641</v>
      </c>
      <c r="B1215" t="str">
        <f t="shared" si="39"/>
        <v>H171641G6035F4-M</v>
      </c>
      <c r="C1215" s="1" t="s">
        <v>24</v>
      </c>
      <c r="D1215" s="1" t="s">
        <v>592</v>
      </c>
      <c r="E1215" s="1" t="s">
        <v>501</v>
      </c>
      <c r="F1215" s="1" t="s">
        <v>502</v>
      </c>
      <c r="G1215" s="1" t="s">
        <v>404</v>
      </c>
      <c r="H1215" s="1">
        <v>582</v>
      </c>
      <c r="I1215" s="3">
        <v>46269</v>
      </c>
      <c r="J1215" s="3">
        <v>46276</v>
      </c>
      <c r="K1215" s="3" t="s">
        <v>2368</v>
      </c>
      <c r="L1215" s="22">
        <v>46269.673445567125</v>
      </c>
      <c r="M1215" s="20">
        <v>6</v>
      </c>
      <c r="N1215" s="1">
        <v>65</v>
      </c>
    </row>
    <row r="1216" spans="1:14" x14ac:dyDescent="0.25">
      <c r="A1216" t="str">
        <f t="shared" si="38"/>
        <v>H171641H171641</v>
      </c>
      <c r="B1216" t="str">
        <f t="shared" si="39"/>
        <v>H171641G6035F4-M</v>
      </c>
      <c r="C1216" s="1" t="s">
        <v>24</v>
      </c>
      <c r="D1216" s="1" t="s">
        <v>592</v>
      </c>
      <c r="E1216" s="1" t="s">
        <v>501</v>
      </c>
      <c r="F1216" s="1" t="s">
        <v>502</v>
      </c>
      <c r="G1216" s="1" t="s">
        <v>404</v>
      </c>
      <c r="H1216" s="1">
        <v>582</v>
      </c>
      <c r="I1216" s="3">
        <v>46269</v>
      </c>
      <c r="J1216" s="3">
        <v>46276</v>
      </c>
      <c r="K1216" s="3" t="s">
        <v>2368</v>
      </c>
      <c r="L1216" s="22">
        <v>46269.676559953703</v>
      </c>
      <c r="M1216" s="20">
        <v>6</v>
      </c>
      <c r="N1216" s="1">
        <v>1</v>
      </c>
    </row>
    <row r="1217" spans="1:14" x14ac:dyDescent="0.25">
      <c r="A1217" t="str">
        <f t="shared" si="38"/>
        <v>H171641H171641</v>
      </c>
      <c r="B1217" t="str">
        <f t="shared" si="39"/>
        <v>H171641G6035F4-M</v>
      </c>
      <c r="C1217" s="1" t="s">
        <v>24</v>
      </c>
      <c r="D1217" s="1" t="s">
        <v>592</v>
      </c>
      <c r="E1217" s="1" t="s">
        <v>501</v>
      </c>
      <c r="F1217" s="1" t="s">
        <v>502</v>
      </c>
      <c r="G1217" s="1" t="s">
        <v>404</v>
      </c>
      <c r="H1217" s="1">
        <v>582</v>
      </c>
      <c r="I1217" s="3">
        <v>46269</v>
      </c>
      <c r="J1217" s="3">
        <v>46276</v>
      </c>
      <c r="K1217" s="3" t="s">
        <v>2368</v>
      </c>
      <c r="L1217" s="22">
        <v>46269.6767940625</v>
      </c>
      <c r="M1217" s="20">
        <v>6</v>
      </c>
      <c r="N1217" s="1">
        <v>21</v>
      </c>
    </row>
    <row r="1218" spans="1:14" x14ac:dyDescent="0.25">
      <c r="A1218" t="str">
        <f t="shared" ref="A1218:A1281" si="40">+D1218&amp;D1218</f>
        <v>H171641H171641</v>
      </c>
      <c r="B1218" t="str">
        <f t="shared" ref="B1218:B1281" si="41">+D1218&amp;C1218</f>
        <v>H171641G6035F4-M</v>
      </c>
      <c r="C1218" s="1" t="s">
        <v>24</v>
      </c>
      <c r="D1218" s="1" t="s">
        <v>592</v>
      </c>
      <c r="E1218" s="1" t="s">
        <v>501</v>
      </c>
      <c r="F1218" s="1" t="s">
        <v>502</v>
      </c>
      <c r="G1218" s="1" t="s">
        <v>404</v>
      </c>
      <c r="H1218" s="1">
        <v>582</v>
      </c>
      <c r="I1218" s="3">
        <v>46269</v>
      </c>
      <c r="J1218" s="3">
        <v>46276</v>
      </c>
      <c r="K1218" s="3" t="s">
        <v>2368</v>
      </c>
      <c r="L1218" s="22">
        <v>46269.677294560184</v>
      </c>
      <c r="M1218" s="20">
        <v>6</v>
      </c>
      <c r="N1218" s="1">
        <v>9</v>
      </c>
    </row>
    <row r="1219" spans="1:14" x14ac:dyDescent="0.25">
      <c r="A1219" t="str">
        <f t="shared" si="40"/>
        <v>H171641H171641</v>
      </c>
      <c r="B1219" t="str">
        <f t="shared" si="41"/>
        <v>H171641G6035F4-M</v>
      </c>
      <c r="C1219" s="1" t="s">
        <v>24</v>
      </c>
      <c r="D1219" s="1" t="s">
        <v>592</v>
      </c>
      <c r="E1219" s="1" t="s">
        <v>501</v>
      </c>
      <c r="F1219" s="1" t="s">
        <v>502</v>
      </c>
      <c r="G1219" s="1" t="s">
        <v>404</v>
      </c>
      <c r="H1219" s="1">
        <v>582</v>
      </c>
      <c r="I1219" s="3">
        <v>46269</v>
      </c>
      <c r="J1219" s="3">
        <v>46276</v>
      </c>
      <c r="K1219" s="3" t="s">
        <v>2368</v>
      </c>
      <c r="L1219" s="22">
        <v>46269.677615821754</v>
      </c>
      <c r="M1219" s="20">
        <v>6</v>
      </c>
      <c r="N1219" s="1">
        <v>11</v>
      </c>
    </row>
    <row r="1220" spans="1:14" x14ac:dyDescent="0.25">
      <c r="A1220" t="str">
        <f t="shared" si="40"/>
        <v>H171641H171641</v>
      </c>
      <c r="B1220" t="str">
        <f t="shared" si="41"/>
        <v>H171641G6035F4-M</v>
      </c>
      <c r="C1220" s="1" t="s">
        <v>24</v>
      </c>
      <c r="D1220" s="1" t="s">
        <v>592</v>
      </c>
      <c r="E1220" s="1" t="s">
        <v>501</v>
      </c>
      <c r="F1220" s="1" t="s">
        <v>502</v>
      </c>
      <c r="G1220" s="1" t="s">
        <v>404</v>
      </c>
      <c r="H1220" s="1">
        <v>582</v>
      </c>
      <c r="I1220" s="3">
        <v>46269</v>
      </c>
      <c r="J1220" s="3">
        <v>46276</v>
      </c>
      <c r="K1220" s="3" t="s">
        <v>2368</v>
      </c>
      <c r="L1220" s="22">
        <v>46269.680600613421</v>
      </c>
      <c r="M1220" s="20">
        <v>6</v>
      </c>
      <c r="N1220" s="1">
        <v>22</v>
      </c>
    </row>
    <row r="1221" spans="1:14" x14ac:dyDescent="0.25">
      <c r="A1221" t="str">
        <f t="shared" si="40"/>
        <v>H171641H171641</v>
      </c>
      <c r="B1221" t="str">
        <f t="shared" si="41"/>
        <v>H171641G6035F4-M</v>
      </c>
      <c r="C1221" s="1" t="s">
        <v>24</v>
      </c>
      <c r="D1221" s="1" t="s">
        <v>592</v>
      </c>
      <c r="E1221" s="1" t="s">
        <v>501</v>
      </c>
      <c r="F1221" s="1" t="s">
        <v>502</v>
      </c>
      <c r="G1221" s="1" t="s">
        <v>404</v>
      </c>
      <c r="H1221" s="1">
        <v>582</v>
      </c>
      <c r="I1221" s="3">
        <v>46269</v>
      </c>
      <c r="J1221" s="3">
        <v>46276</v>
      </c>
      <c r="K1221" s="3" t="s">
        <v>2368</v>
      </c>
      <c r="L1221" s="22">
        <v>46269.681141747686</v>
      </c>
      <c r="M1221" s="20">
        <v>6</v>
      </c>
      <c r="N1221" s="1">
        <v>82</v>
      </c>
    </row>
    <row r="1222" spans="1:14" x14ac:dyDescent="0.25">
      <c r="A1222" t="str">
        <f t="shared" si="40"/>
        <v>H171641H171641</v>
      </c>
      <c r="B1222" t="str">
        <f t="shared" si="41"/>
        <v>H171641G6035F4-M</v>
      </c>
      <c r="C1222" s="1" t="s">
        <v>24</v>
      </c>
      <c r="D1222" s="1" t="s">
        <v>592</v>
      </c>
      <c r="E1222" s="1" t="s">
        <v>501</v>
      </c>
      <c r="F1222" s="1" t="s">
        <v>502</v>
      </c>
      <c r="G1222" s="1" t="s">
        <v>404</v>
      </c>
      <c r="H1222" s="1">
        <v>582</v>
      </c>
      <c r="I1222" s="3">
        <v>46269</v>
      </c>
      <c r="J1222" s="3">
        <v>46276</v>
      </c>
      <c r="K1222" s="3" t="s">
        <v>2368</v>
      </c>
      <c r="L1222" s="22">
        <v>46269.681540659723</v>
      </c>
      <c r="M1222" s="20">
        <v>6</v>
      </c>
      <c r="N1222" s="1">
        <v>10</v>
      </c>
    </row>
    <row r="1223" spans="1:14" x14ac:dyDescent="0.25">
      <c r="A1223" t="str">
        <f t="shared" si="40"/>
        <v>H171641H171641</v>
      </c>
      <c r="B1223" t="str">
        <f t="shared" si="41"/>
        <v>H171641G6035F4-M</v>
      </c>
      <c r="C1223" s="1" t="s">
        <v>24</v>
      </c>
      <c r="D1223" s="1" t="s">
        <v>592</v>
      </c>
      <c r="E1223" s="1" t="s">
        <v>501</v>
      </c>
      <c r="F1223" s="1" t="s">
        <v>502</v>
      </c>
      <c r="G1223" s="1" t="s">
        <v>404</v>
      </c>
      <c r="H1223" s="1">
        <v>582</v>
      </c>
      <c r="I1223" s="3">
        <v>46269</v>
      </c>
      <c r="J1223" s="3">
        <v>46276</v>
      </c>
      <c r="K1223" s="3" t="s">
        <v>2368</v>
      </c>
      <c r="L1223" s="22">
        <v>46269.681873611109</v>
      </c>
      <c r="M1223" s="20">
        <v>6</v>
      </c>
      <c r="N1223" s="1">
        <v>66</v>
      </c>
    </row>
    <row r="1224" spans="1:14" x14ac:dyDescent="0.25">
      <c r="A1224" t="str">
        <f t="shared" si="40"/>
        <v>H171641H171641</v>
      </c>
      <c r="B1224" t="str">
        <f t="shared" si="41"/>
        <v>H171641G6035F4-M</v>
      </c>
      <c r="C1224" s="1" t="s">
        <v>24</v>
      </c>
      <c r="D1224" s="1" t="s">
        <v>592</v>
      </c>
      <c r="E1224" s="1" t="s">
        <v>501</v>
      </c>
      <c r="F1224" s="1" t="s">
        <v>502</v>
      </c>
      <c r="G1224" s="1" t="s">
        <v>404</v>
      </c>
      <c r="H1224" s="1">
        <v>582</v>
      </c>
      <c r="I1224" s="3">
        <v>46269</v>
      </c>
      <c r="J1224" s="3">
        <v>46276</v>
      </c>
      <c r="K1224" s="3" t="s">
        <v>2368</v>
      </c>
      <c r="L1224" s="22">
        <v>46269.686147604167</v>
      </c>
      <c r="M1224" s="20">
        <v>6</v>
      </c>
      <c r="N1224" s="1">
        <v>68</v>
      </c>
    </row>
    <row r="1225" spans="1:14" x14ac:dyDescent="0.25">
      <c r="A1225" t="str">
        <f t="shared" si="40"/>
        <v>H171641H171641</v>
      </c>
      <c r="B1225" t="str">
        <f t="shared" si="41"/>
        <v>H171641G6035F4-M</v>
      </c>
      <c r="C1225" s="1" t="s">
        <v>24</v>
      </c>
      <c r="D1225" s="1" t="s">
        <v>592</v>
      </c>
      <c r="E1225" s="1" t="s">
        <v>501</v>
      </c>
      <c r="F1225" s="1" t="s">
        <v>502</v>
      </c>
      <c r="G1225" s="1" t="s">
        <v>404</v>
      </c>
      <c r="H1225" s="1">
        <v>582</v>
      </c>
      <c r="I1225" s="3">
        <v>46269</v>
      </c>
      <c r="J1225" s="3">
        <v>46276</v>
      </c>
      <c r="K1225" s="3" t="s">
        <v>2368</v>
      </c>
      <c r="L1225" s="22">
        <v>46269.686327430551</v>
      </c>
      <c r="M1225" s="20">
        <v>6</v>
      </c>
      <c r="N1225" s="1">
        <v>86</v>
      </c>
    </row>
    <row r="1226" spans="1:14" x14ac:dyDescent="0.25">
      <c r="A1226" t="str">
        <f t="shared" si="40"/>
        <v>H171641H171641</v>
      </c>
      <c r="B1226" t="str">
        <f t="shared" si="41"/>
        <v>H171641G6035F4-M</v>
      </c>
      <c r="C1226" s="1" t="s">
        <v>24</v>
      </c>
      <c r="D1226" s="1" t="s">
        <v>592</v>
      </c>
      <c r="E1226" s="1" t="s">
        <v>501</v>
      </c>
      <c r="F1226" s="1" t="s">
        <v>502</v>
      </c>
      <c r="G1226" s="1" t="s">
        <v>404</v>
      </c>
      <c r="H1226" s="1">
        <v>582</v>
      </c>
      <c r="I1226" s="3">
        <v>46269</v>
      </c>
      <c r="J1226" s="3">
        <v>46276</v>
      </c>
      <c r="K1226" s="3" t="s">
        <v>2368</v>
      </c>
      <c r="L1226" s="22">
        <v>46269.689752465274</v>
      </c>
      <c r="M1226" s="20">
        <v>6</v>
      </c>
      <c r="N1226" s="1">
        <v>67</v>
      </c>
    </row>
    <row r="1227" spans="1:14" x14ac:dyDescent="0.25">
      <c r="A1227" t="str">
        <f t="shared" si="40"/>
        <v>H171641H171641</v>
      </c>
      <c r="B1227" t="str">
        <f t="shared" si="41"/>
        <v>H171641G6035F4-M</v>
      </c>
      <c r="C1227" s="1" t="s">
        <v>24</v>
      </c>
      <c r="D1227" s="1" t="s">
        <v>592</v>
      </c>
      <c r="E1227" s="1" t="s">
        <v>501</v>
      </c>
      <c r="F1227" s="1" t="s">
        <v>502</v>
      </c>
      <c r="G1227" s="1" t="s">
        <v>404</v>
      </c>
      <c r="H1227" s="1">
        <v>582</v>
      </c>
      <c r="I1227" s="3">
        <v>46269</v>
      </c>
      <c r="J1227" s="3">
        <v>46276</v>
      </c>
      <c r="K1227" s="3" t="s">
        <v>2368</v>
      </c>
      <c r="L1227" s="22">
        <v>46269.690418368053</v>
      </c>
      <c r="M1227" s="20">
        <v>6</v>
      </c>
      <c r="N1227" s="1">
        <v>85</v>
      </c>
    </row>
    <row r="1228" spans="1:14" x14ac:dyDescent="0.25">
      <c r="A1228" t="str">
        <f t="shared" si="40"/>
        <v>H171641H171641</v>
      </c>
      <c r="B1228" t="str">
        <f t="shared" si="41"/>
        <v>H171641G6035F4-M</v>
      </c>
      <c r="C1228" s="1" t="s">
        <v>24</v>
      </c>
      <c r="D1228" s="1" t="s">
        <v>592</v>
      </c>
      <c r="E1228" s="1" t="s">
        <v>501</v>
      </c>
      <c r="F1228" s="1" t="s">
        <v>502</v>
      </c>
      <c r="G1228" s="1" t="s">
        <v>404</v>
      </c>
      <c r="H1228" s="1">
        <v>582</v>
      </c>
      <c r="I1228" s="3">
        <v>46269</v>
      </c>
      <c r="J1228" s="3">
        <v>46276</v>
      </c>
      <c r="K1228" s="3" t="s">
        <v>2368</v>
      </c>
      <c r="L1228" s="22">
        <v>46269.691204247683</v>
      </c>
      <c r="M1228" s="20">
        <v>6</v>
      </c>
      <c r="N1228" s="1">
        <v>23</v>
      </c>
    </row>
    <row r="1229" spans="1:14" x14ac:dyDescent="0.25">
      <c r="A1229" t="str">
        <f t="shared" si="40"/>
        <v>U146449U146449</v>
      </c>
      <c r="B1229" t="str">
        <f t="shared" si="41"/>
        <v>U146449P6033JZ-M</v>
      </c>
      <c r="C1229" s="1" t="s">
        <v>585</v>
      </c>
      <c r="D1229" s="1" t="s">
        <v>586</v>
      </c>
      <c r="E1229" s="1" t="s">
        <v>436</v>
      </c>
      <c r="F1229" s="1" t="s">
        <v>505</v>
      </c>
      <c r="G1229" s="1" t="s">
        <v>438</v>
      </c>
      <c r="H1229" s="1">
        <v>504</v>
      </c>
      <c r="I1229" s="3">
        <v>46269</v>
      </c>
      <c r="J1229" s="3">
        <v>46281</v>
      </c>
      <c r="K1229" s="3" t="s">
        <v>2370</v>
      </c>
      <c r="L1229" s="22">
        <v>46269.385819560186</v>
      </c>
      <c r="M1229" s="20">
        <v>12</v>
      </c>
      <c r="N1229" s="1">
        <v>19</v>
      </c>
    </row>
    <row r="1230" spans="1:14" x14ac:dyDescent="0.25">
      <c r="A1230" t="str">
        <f t="shared" si="40"/>
        <v>U146449U146449</v>
      </c>
      <c r="B1230" t="str">
        <f t="shared" si="41"/>
        <v>U146449P6033JZ-M</v>
      </c>
      <c r="C1230" s="1" t="s">
        <v>585</v>
      </c>
      <c r="D1230" s="1" t="s">
        <v>586</v>
      </c>
      <c r="E1230" s="1" t="s">
        <v>436</v>
      </c>
      <c r="F1230" s="1" t="s">
        <v>505</v>
      </c>
      <c r="G1230" s="1" t="s">
        <v>438</v>
      </c>
      <c r="H1230" s="1">
        <v>504</v>
      </c>
      <c r="I1230" s="3">
        <v>46269</v>
      </c>
      <c r="J1230" s="3">
        <v>46281</v>
      </c>
      <c r="K1230" s="3" t="s">
        <v>2370</v>
      </c>
      <c r="L1230" s="22">
        <v>46269.392634872682</v>
      </c>
      <c r="M1230" s="20">
        <v>12</v>
      </c>
      <c r="N1230" s="1">
        <v>31</v>
      </c>
    </row>
    <row r="1231" spans="1:14" x14ac:dyDescent="0.25">
      <c r="A1231" t="str">
        <f t="shared" si="40"/>
        <v>U146449U146449</v>
      </c>
      <c r="B1231" t="str">
        <f t="shared" si="41"/>
        <v>U146449P6033JZ-M</v>
      </c>
      <c r="C1231" s="1" t="s">
        <v>585</v>
      </c>
      <c r="D1231" s="1" t="s">
        <v>586</v>
      </c>
      <c r="E1231" s="1" t="s">
        <v>436</v>
      </c>
      <c r="F1231" s="1" t="s">
        <v>505</v>
      </c>
      <c r="G1231" s="1" t="s">
        <v>438</v>
      </c>
      <c r="H1231" s="1">
        <v>504</v>
      </c>
      <c r="I1231" s="3">
        <v>46269</v>
      </c>
      <c r="J1231" s="3">
        <v>46281</v>
      </c>
      <c r="K1231" s="3" t="s">
        <v>2370</v>
      </c>
      <c r="L1231" s="22">
        <v>46269.394145335646</v>
      </c>
      <c r="M1231" s="20">
        <v>12</v>
      </c>
      <c r="N1231" s="1">
        <v>20</v>
      </c>
    </row>
    <row r="1232" spans="1:14" x14ac:dyDescent="0.25">
      <c r="A1232" t="str">
        <f t="shared" si="40"/>
        <v>U146449U146449</v>
      </c>
      <c r="B1232" t="str">
        <f t="shared" si="41"/>
        <v>U146449P6033JZ-M</v>
      </c>
      <c r="C1232" s="1" t="s">
        <v>585</v>
      </c>
      <c r="D1232" s="1" t="s">
        <v>586</v>
      </c>
      <c r="E1232" s="1" t="s">
        <v>436</v>
      </c>
      <c r="F1232" s="1" t="s">
        <v>505</v>
      </c>
      <c r="G1232" s="1" t="s">
        <v>438</v>
      </c>
      <c r="H1232" s="1">
        <v>504</v>
      </c>
      <c r="I1232" s="3">
        <v>46269</v>
      </c>
      <c r="J1232" s="3">
        <v>46281</v>
      </c>
      <c r="K1232" s="3" t="s">
        <v>2370</v>
      </c>
      <c r="L1232" s="22">
        <v>46269.39438020833</v>
      </c>
      <c r="M1232" s="20">
        <v>12</v>
      </c>
      <c r="N1232" s="1">
        <v>12</v>
      </c>
    </row>
    <row r="1233" spans="1:14" x14ac:dyDescent="0.25">
      <c r="A1233" t="str">
        <f t="shared" si="40"/>
        <v>U146449U146449</v>
      </c>
      <c r="B1233" t="str">
        <f t="shared" si="41"/>
        <v>U146449P6033JZ-M</v>
      </c>
      <c r="C1233" s="1" t="s">
        <v>585</v>
      </c>
      <c r="D1233" s="1" t="s">
        <v>586</v>
      </c>
      <c r="E1233" s="1" t="s">
        <v>436</v>
      </c>
      <c r="F1233" s="1" t="s">
        <v>505</v>
      </c>
      <c r="G1233" s="1" t="s">
        <v>438</v>
      </c>
      <c r="H1233" s="1">
        <v>504</v>
      </c>
      <c r="I1233" s="3">
        <v>46269</v>
      </c>
      <c r="J1233" s="3">
        <v>46281</v>
      </c>
      <c r="K1233" s="3" t="s">
        <v>2370</v>
      </c>
      <c r="L1233" s="22">
        <v>46269.403683761571</v>
      </c>
      <c r="M1233" s="20">
        <v>12</v>
      </c>
      <c r="N1233" s="1">
        <v>22</v>
      </c>
    </row>
    <row r="1234" spans="1:14" x14ac:dyDescent="0.25">
      <c r="A1234" t="str">
        <f t="shared" si="40"/>
        <v>U146449U146449</v>
      </c>
      <c r="B1234" t="str">
        <f t="shared" si="41"/>
        <v>U146449P6033JZ-M</v>
      </c>
      <c r="C1234" s="1" t="s">
        <v>585</v>
      </c>
      <c r="D1234" s="1" t="s">
        <v>586</v>
      </c>
      <c r="E1234" s="1" t="s">
        <v>436</v>
      </c>
      <c r="F1234" s="1" t="s">
        <v>505</v>
      </c>
      <c r="G1234" s="1" t="s">
        <v>438</v>
      </c>
      <c r="H1234" s="1">
        <v>504</v>
      </c>
      <c r="I1234" s="3">
        <v>46269</v>
      </c>
      <c r="J1234" s="3">
        <v>46281</v>
      </c>
      <c r="K1234" s="3" t="s">
        <v>2370</v>
      </c>
      <c r="L1234" s="22">
        <v>46269.404046331016</v>
      </c>
      <c r="M1234" s="20">
        <v>12</v>
      </c>
      <c r="N1234" s="1">
        <v>38</v>
      </c>
    </row>
    <row r="1235" spans="1:14" x14ac:dyDescent="0.25">
      <c r="A1235" t="str">
        <f t="shared" si="40"/>
        <v>U146449U146449</v>
      </c>
      <c r="B1235" t="str">
        <f t="shared" si="41"/>
        <v>U146449P6033JZ-M</v>
      </c>
      <c r="C1235" s="1" t="s">
        <v>585</v>
      </c>
      <c r="D1235" s="1" t="s">
        <v>586</v>
      </c>
      <c r="E1235" s="1" t="s">
        <v>436</v>
      </c>
      <c r="F1235" s="1" t="s">
        <v>505</v>
      </c>
      <c r="G1235" s="1" t="s">
        <v>438</v>
      </c>
      <c r="H1235" s="1">
        <v>504</v>
      </c>
      <c r="I1235" s="3">
        <v>46269</v>
      </c>
      <c r="J1235" s="3">
        <v>46281</v>
      </c>
      <c r="K1235" s="3" t="s">
        <v>2370</v>
      </c>
      <c r="L1235" s="22">
        <v>46269.404292013889</v>
      </c>
      <c r="M1235" s="20">
        <v>12</v>
      </c>
      <c r="N1235" s="1">
        <v>29</v>
      </c>
    </row>
    <row r="1236" spans="1:14" x14ac:dyDescent="0.25">
      <c r="A1236" t="str">
        <f t="shared" si="40"/>
        <v>U146449U146449</v>
      </c>
      <c r="B1236" t="str">
        <f t="shared" si="41"/>
        <v>U146449P6033JZ-M</v>
      </c>
      <c r="C1236" s="1" t="s">
        <v>585</v>
      </c>
      <c r="D1236" s="1" t="s">
        <v>586</v>
      </c>
      <c r="E1236" s="1" t="s">
        <v>436</v>
      </c>
      <c r="F1236" s="1" t="s">
        <v>505</v>
      </c>
      <c r="G1236" s="1" t="s">
        <v>438</v>
      </c>
      <c r="H1236" s="1">
        <v>504</v>
      </c>
      <c r="I1236" s="3">
        <v>46269</v>
      </c>
      <c r="J1236" s="3">
        <v>46281</v>
      </c>
      <c r="K1236" s="3" t="s">
        <v>2370</v>
      </c>
      <c r="L1236" s="22">
        <v>46269.404854247681</v>
      </c>
      <c r="M1236" s="20">
        <v>12</v>
      </c>
      <c r="N1236" s="1">
        <v>7</v>
      </c>
    </row>
    <row r="1237" spans="1:14" x14ac:dyDescent="0.25">
      <c r="A1237" t="str">
        <f t="shared" si="40"/>
        <v>U146449U146449</v>
      </c>
      <c r="B1237" t="str">
        <f t="shared" si="41"/>
        <v>U146449P6033JZ-M</v>
      </c>
      <c r="C1237" s="1" t="s">
        <v>585</v>
      </c>
      <c r="D1237" s="1" t="s">
        <v>586</v>
      </c>
      <c r="E1237" s="1" t="s">
        <v>436</v>
      </c>
      <c r="F1237" s="1" t="s">
        <v>505</v>
      </c>
      <c r="G1237" s="1" t="s">
        <v>438</v>
      </c>
      <c r="H1237" s="1">
        <v>504</v>
      </c>
      <c r="I1237" s="3">
        <v>46269</v>
      </c>
      <c r="J1237" s="3">
        <v>46281</v>
      </c>
      <c r="K1237" s="3" t="s">
        <v>2370</v>
      </c>
      <c r="L1237" s="22">
        <v>46269.41647369213</v>
      </c>
      <c r="M1237" s="20">
        <v>12</v>
      </c>
      <c r="N1237" s="1">
        <v>1</v>
      </c>
    </row>
    <row r="1238" spans="1:14" x14ac:dyDescent="0.25">
      <c r="A1238" t="str">
        <f t="shared" si="40"/>
        <v>U146449U146449</v>
      </c>
      <c r="B1238" t="str">
        <f t="shared" si="41"/>
        <v>U146449P6033JZ-M</v>
      </c>
      <c r="C1238" s="1" t="s">
        <v>585</v>
      </c>
      <c r="D1238" s="1" t="s">
        <v>586</v>
      </c>
      <c r="E1238" s="1" t="s">
        <v>436</v>
      </c>
      <c r="F1238" s="1" t="s">
        <v>505</v>
      </c>
      <c r="G1238" s="1" t="s">
        <v>438</v>
      </c>
      <c r="H1238" s="1">
        <v>504</v>
      </c>
      <c r="I1238" s="3">
        <v>46269</v>
      </c>
      <c r="J1238" s="3">
        <v>46281</v>
      </c>
      <c r="K1238" s="3" t="s">
        <v>2370</v>
      </c>
      <c r="L1238" s="22">
        <v>46269.416645798607</v>
      </c>
      <c r="M1238" s="20">
        <v>12</v>
      </c>
      <c r="N1238" s="1">
        <v>32</v>
      </c>
    </row>
    <row r="1239" spans="1:14" x14ac:dyDescent="0.25">
      <c r="A1239" t="str">
        <f t="shared" si="40"/>
        <v>U146449U146449</v>
      </c>
      <c r="B1239" t="str">
        <f t="shared" si="41"/>
        <v>U146449P6033JZ-M</v>
      </c>
      <c r="C1239" s="1" t="s">
        <v>585</v>
      </c>
      <c r="D1239" s="1" t="s">
        <v>586</v>
      </c>
      <c r="E1239" s="1" t="s">
        <v>436</v>
      </c>
      <c r="F1239" s="1" t="s">
        <v>505</v>
      </c>
      <c r="G1239" s="1" t="s">
        <v>438</v>
      </c>
      <c r="H1239" s="1">
        <v>504</v>
      </c>
      <c r="I1239" s="3">
        <v>46269</v>
      </c>
      <c r="J1239" s="3">
        <v>46281</v>
      </c>
      <c r="K1239" s="3" t="s">
        <v>2370</v>
      </c>
      <c r="L1239" s="22">
        <v>46269.416832986106</v>
      </c>
      <c r="M1239" s="20">
        <v>12</v>
      </c>
      <c r="N1239" s="1">
        <v>8</v>
      </c>
    </row>
    <row r="1240" spans="1:14" x14ac:dyDescent="0.25">
      <c r="A1240" t="str">
        <f t="shared" si="40"/>
        <v>U146449U146449</v>
      </c>
      <c r="B1240" t="str">
        <f t="shared" si="41"/>
        <v>U146449P6033JZ-M</v>
      </c>
      <c r="C1240" s="1" t="s">
        <v>585</v>
      </c>
      <c r="D1240" s="1" t="s">
        <v>586</v>
      </c>
      <c r="E1240" s="1" t="s">
        <v>436</v>
      </c>
      <c r="F1240" s="1" t="s">
        <v>505</v>
      </c>
      <c r="G1240" s="1" t="s">
        <v>438</v>
      </c>
      <c r="H1240" s="1">
        <v>504</v>
      </c>
      <c r="I1240" s="3">
        <v>46269</v>
      </c>
      <c r="J1240" s="3">
        <v>46281</v>
      </c>
      <c r="K1240" s="3" t="s">
        <v>2370</v>
      </c>
      <c r="L1240" s="22">
        <v>46269.417011493053</v>
      </c>
      <c r="M1240" s="20">
        <v>12</v>
      </c>
      <c r="N1240" s="1">
        <v>14</v>
      </c>
    </row>
    <row r="1241" spans="1:14" x14ac:dyDescent="0.25">
      <c r="A1241" t="str">
        <f t="shared" si="40"/>
        <v>U146449U146449</v>
      </c>
      <c r="B1241" t="str">
        <f t="shared" si="41"/>
        <v>U146449P6033JZ-M</v>
      </c>
      <c r="C1241" s="1" t="s">
        <v>585</v>
      </c>
      <c r="D1241" s="1" t="s">
        <v>586</v>
      </c>
      <c r="E1241" s="1" t="s">
        <v>436</v>
      </c>
      <c r="F1241" s="1" t="s">
        <v>505</v>
      </c>
      <c r="G1241" s="1" t="s">
        <v>438</v>
      </c>
      <c r="H1241" s="1">
        <v>504</v>
      </c>
      <c r="I1241" s="3">
        <v>46269</v>
      </c>
      <c r="J1241" s="3">
        <v>46281</v>
      </c>
      <c r="K1241" s="3" t="s">
        <v>2370</v>
      </c>
      <c r="L1241" s="22">
        <v>46269.417330787037</v>
      </c>
      <c r="M1241" s="20">
        <v>12</v>
      </c>
      <c r="N1241" s="1">
        <v>21</v>
      </c>
    </row>
    <row r="1242" spans="1:14" x14ac:dyDescent="0.25">
      <c r="A1242" t="str">
        <f t="shared" si="40"/>
        <v>U146449U146449</v>
      </c>
      <c r="B1242" t="str">
        <f t="shared" si="41"/>
        <v>U146449P6033JZ-M</v>
      </c>
      <c r="C1242" s="1" t="s">
        <v>585</v>
      </c>
      <c r="D1242" s="1" t="s">
        <v>586</v>
      </c>
      <c r="E1242" s="1" t="s">
        <v>436</v>
      </c>
      <c r="F1242" s="1" t="s">
        <v>505</v>
      </c>
      <c r="G1242" s="1" t="s">
        <v>438</v>
      </c>
      <c r="H1242" s="1">
        <v>504</v>
      </c>
      <c r="I1242" s="3">
        <v>46269</v>
      </c>
      <c r="J1242" s="3">
        <v>46281</v>
      </c>
      <c r="K1242" s="3" t="s">
        <v>2370</v>
      </c>
      <c r="L1242" s="22">
        <v>46269.44273938657</v>
      </c>
      <c r="M1242" s="20">
        <v>12</v>
      </c>
      <c r="N1242" s="1">
        <v>18</v>
      </c>
    </row>
    <row r="1243" spans="1:14" x14ac:dyDescent="0.25">
      <c r="A1243" t="str">
        <f t="shared" si="40"/>
        <v>U146449U146449</v>
      </c>
      <c r="B1243" t="str">
        <f t="shared" si="41"/>
        <v>U146449P6033JZ-M</v>
      </c>
      <c r="C1243" s="1" t="s">
        <v>585</v>
      </c>
      <c r="D1243" s="1" t="s">
        <v>586</v>
      </c>
      <c r="E1243" s="1" t="s">
        <v>436</v>
      </c>
      <c r="F1243" s="1" t="s">
        <v>505</v>
      </c>
      <c r="G1243" s="1" t="s">
        <v>438</v>
      </c>
      <c r="H1243" s="1">
        <v>504</v>
      </c>
      <c r="I1243" s="3">
        <v>46269</v>
      </c>
      <c r="J1243" s="3">
        <v>46281</v>
      </c>
      <c r="K1243" s="3" t="s">
        <v>2370</v>
      </c>
      <c r="L1243" s="22">
        <v>46269.4492159375</v>
      </c>
      <c r="M1243" s="20">
        <v>12</v>
      </c>
      <c r="N1243" s="1">
        <v>10</v>
      </c>
    </row>
    <row r="1244" spans="1:14" x14ac:dyDescent="0.25">
      <c r="A1244" t="str">
        <f t="shared" si="40"/>
        <v>U146449U146449</v>
      </c>
      <c r="B1244" t="str">
        <f t="shared" si="41"/>
        <v>U146449P6033JZ-M</v>
      </c>
      <c r="C1244" s="1" t="s">
        <v>585</v>
      </c>
      <c r="D1244" s="1" t="s">
        <v>586</v>
      </c>
      <c r="E1244" s="1" t="s">
        <v>436</v>
      </c>
      <c r="F1244" s="1" t="s">
        <v>505</v>
      </c>
      <c r="G1244" s="1" t="s">
        <v>438</v>
      </c>
      <c r="H1244" s="1">
        <v>504</v>
      </c>
      <c r="I1244" s="3">
        <v>46269</v>
      </c>
      <c r="J1244" s="3">
        <v>46281</v>
      </c>
      <c r="K1244" s="3" t="s">
        <v>2370</v>
      </c>
      <c r="L1244" s="22">
        <v>46269.460464317126</v>
      </c>
      <c r="M1244" s="20">
        <v>12</v>
      </c>
      <c r="N1244" s="1">
        <v>5</v>
      </c>
    </row>
    <row r="1245" spans="1:14" x14ac:dyDescent="0.25">
      <c r="A1245" t="str">
        <f t="shared" si="40"/>
        <v>U146449U146449</v>
      </c>
      <c r="B1245" t="str">
        <f t="shared" si="41"/>
        <v>U146449P6033JZ-M</v>
      </c>
      <c r="C1245" s="1" t="s">
        <v>585</v>
      </c>
      <c r="D1245" s="1" t="s">
        <v>586</v>
      </c>
      <c r="E1245" s="1" t="s">
        <v>436</v>
      </c>
      <c r="F1245" s="1" t="s">
        <v>505</v>
      </c>
      <c r="G1245" s="1" t="s">
        <v>438</v>
      </c>
      <c r="H1245" s="1">
        <v>504</v>
      </c>
      <c r="I1245" s="3">
        <v>46269</v>
      </c>
      <c r="J1245" s="3">
        <v>46281</v>
      </c>
      <c r="K1245" s="3" t="s">
        <v>2370</v>
      </c>
      <c r="L1245" s="22">
        <v>46269.461352743056</v>
      </c>
      <c r="M1245" s="20">
        <v>12</v>
      </c>
      <c r="N1245" s="1">
        <v>30</v>
      </c>
    </row>
    <row r="1246" spans="1:14" x14ac:dyDescent="0.25">
      <c r="A1246" t="str">
        <f t="shared" si="40"/>
        <v>U146449U146449</v>
      </c>
      <c r="B1246" t="str">
        <f t="shared" si="41"/>
        <v>U146449P6033JZ-M</v>
      </c>
      <c r="C1246" s="1" t="s">
        <v>585</v>
      </c>
      <c r="D1246" s="1" t="s">
        <v>586</v>
      </c>
      <c r="E1246" s="1" t="s">
        <v>436</v>
      </c>
      <c r="F1246" s="1" t="s">
        <v>505</v>
      </c>
      <c r="G1246" s="1" t="s">
        <v>438</v>
      </c>
      <c r="H1246" s="1">
        <v>504</v>
      </c>
      <c r="I1246" s="3">
        <v>46269</v>
      </c>
      <c r="J1246" s="3">
        <v>46281</v>
      </c>
      <c r="K1246" s="3" t="s">
        <v>2370</v>
      </c>
      <c r="L1246" s="22">
        <v>46269.46175289352</v>
      </c>
      <c r="M1246" s="20">
        <v>12</v>
      </c>
      <c r="N1246" s="1">
        <v>13</v>
      </c>
    </row>
    <row r="1247" spans="1:14" x14ac:dyDescent="0.25">
      <c r="A1247" t="str">
        <f t="shared" si="40"/>
        <v>U146449U146449</v>
      </c>
      <c r="B1247" t="str">
        <f t="shared" si="41"/>
        <v>U146449P6033JZ-M</v>
      </c>
      <c r="C1247" s="1" t="s">
        <v>585</v>
      </c>
      <c r="D1247" s="1" t="s">
        <v>586</v>
      </c>
      <c r="E1247" s="1" t="s">
        <v>436</v>
      </c>
      <c r="F1247" s="1" t="s">
        <v>505</v>
      </c>
      <c r="G1247" s="1" t="s">
        <v>438</v>
      </c>
      <c r="H1247" s="1">
        <v>504</v>
      </c>
      <c r="I1247" s="3">
        <v>46269</v>
      </c>
      <c r="J1247" s="3">
        <v>46281</v>
      </c>
      <c r="K1247" s="3" t="s">
        <v>2370</v>
      </c>
      <c r="L1247" s="22">
        <v>46269.463157789352</v>
      </c>
      <c r="M1247" s="20">
        <v>12</v>
      </c>
      <c r="N1247" s="1">
        <v>23</v>
      </c>
    </row>
    <row r="1248" spans="1:14" x14ac:dyDescent="0.25">
      <c r="A1248" t="str">
        <f t="shared" si="40"/>
        <v>U146449U146449</v>
      </c>
      <c r="B1248" t="str">
        <f t="shared" si="41"/>
        <v>U146449P6033JZ-M</v>
      </c>
      <c r="C1248" s="1" t="s">
        <v>585</v>
      </c>
      <c r="D1248" s="1" t="s">
        <v>586</v>
      </c>
      <c r="E1248" s="1" t="s">
        <v>436</v>
      </c>
      <c r="F1248" s="1" t="s">
        <v>505</v>
      </c>
      <c r="G1248" s="1" t="s">
        <v>438</v>
      </c>
      <c r="H1248" s="1">
        <v>504</v>
      </c>
      <c r="I1248" s="3">
        <v>46269</v>
      </c>
      <c r="J1248" s="3">
        <v>46281</v>
      </c>
      <c r="K1248" s="3" t="s">
        <v>2370</v>
      </c>
      <c r="L1248" s="22">
        <v>46269.58402199074</v>
      </c>
      <c r="M1248" s="20">
        <v>12</v>
      </c>
      <c r="N1248" s="1">
        <v>15</v>
      </c>
    </row>
    <row r="1249" spans="1:14" x14ac:dyDescent="0.25">
      <c r="A1249" t="str">
        <f t="shared" si="40"/>
        <v>U146449U146449</v>
      </c>
      <c r="B1249" t="str">
        <f t="shared" si="41"/>
        <v>U146449P6033JZ-M</v>
      </c>
      <c r="C1249" s="1" t="s">
        <v>585</v>
      </c>
      <c r="D1249" s="1" t="s">
        <v>586</v>
      </c>
      <c r="E1249" s="1" t="s">
        <v>436</v>
      </c>
      <c r="F1249" s="1" t="s">
        <v>505</v>
      </c>
      <c r="G1249" s="1" t="s">
        <v>438</v>
      </c>
      <c r="H1249" s="1">
        <v>504</v>
      </c>
      <c r="I1249" s="3">
        <v>46269</v>
      </c>
      <c r="J1249" s="3">
        <v>46281</v>
      </c>
      <c r="K1249" s="3" t="s">
        <v>2370</v>
      </c>
      <c r="L1249" s="22">
        <v>46269.588569675921</v>
      </c>
      <c r="M1249" s="20">
        <v>12</v>
      </c>
      <c r="N1249" s="1">
        <v>9</v>
      </c>
    </row>
    <row r="1250" spans="1:14" x14ac:dyDescent="0.25">
      <c r="A1250" t="str">
        <f t="shared" si="40"/>
        <v>U146449U146449</v>
      </c>
      <c r="B1250" t="str">
        <f t="shared" si="41"/>
        <v>U146449P6033JZ-M</v>
      </c>
      <c r="C1250" s="1" t="s">
        <v>585</v>
      </c>
      <c r="D1250" s="1" t="s">
        <v>586</v>
      </c>
      <c r="E1250" s="1" t="s">
        <v>436</v>
      </c>
      <c r="F1250" s="1" t="s">
        <v>505</v>
      </c>
      <c r="G1250" s="1" t="s">
        <v>438</v>
      </c>
      <c r="H1250" s="1">
        <v>504</v>
      </c>
      <c r="I1250" s="3">
        <v>46269</v>
      </c>
      <c r="J1250" s="3">
        <v>46281</v>
      </c>
      <c r="K1250" s="3" t="s">
        <v>2370</v>
      </c>
      <c r="L1250" s="22">
        <v>46269.602493715276</v>
      </c>
      <c r="M1250" s="20">
        <v>12</v>
      </c>
      <c r="N1250" s="1">
        <v>34</v>
      </c>
    </row>
    <row r="1251" spans="1:14" x14ac:dyDescent="0.25">
      <c r="A1251" t="str">
        <f t="shared" si="40"/>
        <v>U146449U146449</v>
      </c>
      <c r="B1251" t="str">
        <f t="shared" si="41"/>
        <v>U146449P6033JZ-M</v>
      </c>
      <c r="C1251" s="1" t="s">
        <v>585</v>
      </c>
      <c r="D1251" s="1" t="s">
        <v>586</v>
      </c>
      <c r="E1251" s="1" t="s">
        <v>436</v>
      </c>
      <c r="F1251" s="1" t="s">
        <v>505</v>
      </c>
      <c r="G1251" s="1" t="s">
        <v>438</v>
      </c>
      <c r="H1251" s="1">
        <v>504</v>
      </c>
      <c r="I1251" s="3">
        <v>46269</v>
      </c>
      <c r="J1251" s="3">
        <v>46281</v>
      </c>
      <c r="K1251" s="3" t="s">
        <v>2370</v>
      </c>
      <c r="L1251" s="22">
        <v>46269.603005590274</v>
      </c>
      <c r="M1251" s="20">
        <v>12</v>
      </c>
      <c r="N1251" s="1">
        <v>35</v>
      </c>
    </row>
    <row r="1252" spans="1:14" x14ac:dyDescent="0.25">
      <c r="A1252" t="str">
        <f t="shared" si="40"/>
        <v>U146449U146449</v>
      </c>
      <c r="B1252" t="str">
        <f t="shared" si="41"/>
        <v>U146449P6033JZ-M</v>
      </c>
      <c r="C1252" s="1" t="s">
        <v>585</v>
      </c>
      <c r="D1252" s="1" t="s">
        <v>586</v>
      </c>
      <c r="E1252" s="1" t="s">
        <v>436</v>
      </c>
      <c r="F1252" s="1" t="s">
        <v>505</v>
      </c>
      <c r="G1252" s="1" t="s">
        <v>438</v>
      </c>
      <c r="H1252" s="1">
        <v>504</v>
      </c>
      <c r="I1252" s="3">
        <v>46269</v>
      </c>
      <c r="J1252" s="3">
        <v>46281</v>
      </c>
      <c r="K1252" s="3" t="s">
        <v>2370</v>
      </c>
      <c r="L1252" s="22">
        <v>46269.604536539351</v>
      </c>
      <c r="M1252" s="20">
        <v>12</v>
      </c>
      <c r="N1252" s="1">
        <v>24</v>
      </c>
    </row>
    <row r="1253" spans="1:14" x14ac:dyDescent="0.25">
      <c r="A1253" t="str">
        <f t="shared" si="40"/>
        <v>U146449U146449</v>
      </c>
      <c r="B1253" t="str">
        <f t="shared" si="41"/>
        <v>U146449P6033JZ-M</v>
      </c>
      <c r="C1253" s="1" t="s">
        <v>585</v>
      </c>
      <c r="D1253" s="1" t="s">
        <v>586</v>
      </c>
      <c r="E1253" s="1" t="s">
        <v>436</v>
      </c>
      <c r="F1253" s="1" t="s">
        <v>505</v>
      </c>
      <c r="G1253" s="1" t="s">
        <v>438</v>
      </c>
      <c r="H1253" s="1">
        <v>504</v>
      </c>
      <c r="I1253" s="3">
        <v>46269</v>
      </c>
      <c r="J1253" s="3">
        <v>46281</v>
      </c>
      <c r="K1253" s="3" t="s">
        <v>2370</v>
      </c>
      <c r="L1253" s="22">
        <v>46269.615381863427</v>
      </c>
      <c r="M1253" s="20">
        <v>12</v>
      </c>
      <c r="N1253" s="1">
        <v>36</v>
      </c>
    </row>
    <row r="1254" spans="1:14" x14ac:dyDescent="0.25">
      <c r="A1254" t="str">
        <f t="shared" si="40"/>
        <v>U146449U146449</v>
      </c>
      <c r="B1254" t="str">
        <f t="shared" si="41"/>
        <v>U146449P6033JZ-M</v>
      </c>
      <c r="C1254" s="1" t="s">
        <v>585</v>
      </c>
      <c r="D1254" s="1" t="s">
        <v>586</v>
      </c>
      <c r="E1254" s="1" t="s">
        <v>436</v>
      </c>
      <c r="F1254" s="1" t="s">
        <v>505</v>
      </c>
      <c r="G1254" s="1" t="s">
        <v>438</v>
      </c>
      <c r="H1254" s="1">
        <v>504</v>
      </c>
      <c r="I1254" s="3">
        <v>46269</v>
      </c>
      <c r="J1254" s="3">
        <v>46281</v>
      </c>
      <c r="K1254" s="3" t="s">
        <v>2370</v>
      </c>
      <c r="L1254" s="22">
        <v>46269.616022222217</v>
      </c>
      <c r="M1254" s="20">
        <v>12</v>
      </c>
      <c r="N1254" s="1">
        <v>37</v>
      </c>
    </row>
    <row r="1255" spans="1:14" x14ac:dyDescent="0.25">
      <c r="A1255" t="str">
        <f t="shared" si="40"/>
        <v>U146449U146449</v>
      </c>
      <c r="B1255" t="str">
        <f t="shared" si="41"/>
        <v>U146449P6033JZ-M</v>
      </c>
      <c r="C1255" s="1" t="s">
        <v>585</v>
      </c>
      <c r="D1255" s="1" t="s">
        <v>586</v>
      </c>
      <c r="E1255" s="1" t="s">
        <v>436</v>
      </c>
      <c r="F1255" s="1" t="s">
        <v>505</v>
      </c>
      <c r="G1255" s="1" t="s">
        <v>438</v>
      </c>
      <c r="H1255" s="1">
        <v>504</v>
      </c>
      <c r="I1255" s="3">
        <v>46269</v>
      </c>
      <c r="J1255" s="3">
        <v>46281</v>
      </c>
      <c r="K1255" s="3" t="s">
        <v>2370</v>
      </c>
      <c r="L1255" s="22">
        <v>46269.617140937495</v>
      </c>
      <c r="M1255" s="20">
        <v>12</v>
      </c>
      <c r="N1255" s="1">
        <v>2</v>
      </c>
    </row>
    <row r="1256" spans="1:14" x14ac:dyDescent="0.25">
      <c r="A1256" t="str">
        <f t="shared" si="40"/>
        <v>U146449U146449</v>
      </c>
      <c r="B1256" t="str">
        <f t="shared" si="41"/>
        <v>U146449P6033JZ-M</v>
      </c>
      <c r="C1256" s="1" t="s">
        <v>585</v>
      </c>
      <c r="D1256" s="1" t="s">
        <v>586</v>
      </c>
      <c r="E1256" s="1" t="s">
        <v>436</v>
      </c>
      <c r="F1256" s="1" t="s">
        <v>505</v>
      </c>
      <c r="G1256" s="1" t="s">
        <v>438</v>
      </c>
      <c r="H1256" s="1">
        <v>504</v>
      </c>
      <c r="I1256" s="3">
        <v>46269</v>
      </c>
      <c r="J1256" s="3">
        <v>46281</v>
      </c>
      <c r="K1256" s="3" t="s">
        <v>2370</v>
      </c>
      <c r="L1256" s="22">
        <v>46269.619748993056</v>
      </c>
      <c r="M1256" s="20">
        <v>12</v>
      </c>
      <c r="N1256" s="1">
        <v>25</v>
      </c>
    </row>
    <row r="1257" spans="1:14" x14ac:dyDescent="0.25">
      <c r="A1257" t="str">
        <f t="shared" si="40"/>
        <v>U146449U146449</v>
      </c>
      <c r="B1257" t="str">
        <f t="shared" si="41"/>
        <v>U146449P6033JZ-M</v>
      </c>
      <c r="C1257" s="1" t="s">
        <v>585</v>
      </c>
      <c r="D1257" s="1" t="s">
        <v>586</v>
      </c>
      <c r="E1257" s="1" t="s">
        <v>436</v>
      </c>
      <c r="F1257" s="1" t="s">
        <v>505</v>
      </c>
      <c r="G1257" s="1" t="s">
        <v>438</v>
      </c>
      <c r="H1257" s="1">
        <v>504</v>
      </c>
      <c r="I1257" s="3">
        <v>46269</v>
      </c>
      <c r="J1257" s="3">
        <v>46281</v>
      </c>
      <c r="K1257" s="3" t="s">
        <v>2370</v>
      </c>
      <c r="L1257" s="22">
        <v>46269.631076388891</v>
      </c>
      <c r="M1257" s="20">
        <v>12</v>
      </c>
      <c r="N1257" s="1">
        <v>39</v>
      </c>
    </row>
    <row r="1258" spans="1:14" x14ac:dyDescent="0.25">
      <c r="A1258" t="str">
        <f t="shared" si="40"/>
        <v>U146449U146449</v>
      </c>
      <c r="B1258" t="str">
        <f t="shared" si="41"/>
        <v>U146449P6033JZ-M</v>
      </c>
      <c r="C1258" s="1" t="s">
        <v>585</v>
      </c>
      <c r="D1258" s="1" t="s">
        <v>586</v>
      </c>
      <c r="E1258" s="1" t="s">
        <v>436</v>
      </c>
      <c r="F1258" s="1" t="s">
        <v>505</v>
      </c>
      <c r="G1258" s="1" t="s">
        <v>438</v>
      </c>
      <c r="H1258" s="1">
        <v>504</v>
      </c>
      <c r="I1258" s="3">
        <v>46269</v>
      </c>
      <c r="J1258" s="3">
        <v>46281</v>
      </c>
      <c r="K1258" s="3" t="s">
        <v>2370</v>
      </c>
      <c r="L1258" s="22">
        <v>46269.674635532407</v>
      </c>
      <c r="M1258" s="20">
        <v>12</v>
      </c>
      <c r="N1258" s="1">
        <v>28</v>
      </c>
    </row>
    <row r="1259" spans="1:14" x14ac:dyDescent="0.25">
      <c r="A1259" t="str">
        <f t="shared" si="40"/>
        <v>U146468U146468</v>
      </c>
      <c r="B1259" t="str">
        <f t="shared" si="41"/>
        <v>U146468G6035F4-M</v>
      </c>
      <c r="C1259" s="1" t="s">
        <v>24</v>
      </c>
      <c r="D1259" s="1" t="s">
        <v>589</v>
      </c>
      <c r="E1259" s="1" t="s">
        <v>436</v>
      </c>
      <c r="F1259" s="1" t="s">
        <v>447</v>
      </c>
      <c r="G1259" s="1" t="s">
        <v>438</v>
      </c>
      <c r="H1259" s="1">
        <v>858</v>
      </c>
      <c r="I1259" s="3">
        <v>46269</v>
      </c>
      <c r="J1259" s="3">
        <v>46276</v>
      </c>
      <c r="K1259" s="3" t="s">
        <v>2368</v>
      </c>
      <c r="L1259" s="22">
        <v>46269.622736076388</v>
      </c>
      <c r="M1259" s="20">
        <v>6</v>
      </c>
      <c r="N1259" s="1">
        <v>6</v>
      </c>
    </row>
    <row r="1260" spans="1:14" x14ac:dyDescent="0.25">
      <c r="A1260" t="str">
        <f t="shared" si="40"/>
        <v>U146468U146468</v>
      </c>
      <c r="B1260" t="str">
        <f t="shared" si="41"/>
        <v>U146468G6035F4-M</v>
      </c>
      <c r="C1260" s="1" t="s">
        <v>24</v>
      </c>
      <c r="D1260" s="1" t="s">
        <v>589</v>
      </c>
      <c r="E1260" s="1" t="s">
        <v>436</v>
      </c>
      <c r="F1260" s="1" t="s">
        <v>447</v>
      </c>
      <c r="G1260" s="1" t="s">
        <v>438</v>
      </c>
      <c r="H1260" s="1">
        <v>858</v>
      </c>
      <c r="I1260" s="3">
        <v>46269</v>
      </c>
      <c r="J1260" s="3">
        <v>46276</v>
      </c>
      <c r="K1260" s="3" t="s">
        <v>2368</v>
      </c>
      <c r="L1260" s="22">
        <v>46269.623774386571</v>
      </c>
      <c r="M1260" s="20">
        <v>6</v>
      </c>
      <c r="N1260" s="1">
        <v>14</v>
      </c>
    </row>
    <row r="1261" spans="1:14" x14ac:dyDescent="0.25">
      <c r="A1261" t="str">
        <f t="shared" si="40"/>
        <v>U146468U146468</v>
      </c>
      <c r="B1261" t="str">
        <f t="shared" si="41"/>
        <v>U146468G6035F4-M</v>
      </c>
      <c r="C1261" s="1" t="s">
        <v>24</v>
      </c>
      <c r="D1261" s="1" t="s">
        <v>589</v>
      </c>
      <c r="E1261" s="1" t="s">
        <v>436</v>
      </c>
      <c r="F1261" s="1" t="s">
        <v>447</v>
      </c>
      <c r="G1261" s="1" t="s">
        <v>438</v>
      </c>
      <c r="H1261" s="1">
        <v>858</v>
      </c>
      <c r="I1261" s="3">
        <v>46269</v>
      </c>
      <c r="J1261" s="3">
        <v>46276</v>
      </c>
      <c r="K1261" s="3" t="s">
        <v>2368</v>
      </c>
      <c r="L1261" s="22">
        <v>46269.624129166667</v>
      </c>
      <c r="M1261" s="20">
        <v>6</v>
      </c>
      <c r="N1261" s="1">
        <v>15</v>
      </c>
    </row>
    <row r="1262" spans="1:14" x14ac:dyDescent="0.25">
      <c r="A1262" t="str">
        <f t="shared" si="40"/>
        <v>U146468U146468</v>
      </c>
      <c r="B1262" t="str">
        <f t="shared" si="41"/>
        <v>U146468G6035F4-M</v>
      </c>
      <c r="C1262" s="1" t="s">
        <v>24</v>
      </c>
      <c r="D1262" s="1" t="s">
        <v>589</v>
      </c>
      <c r="E1262" s="1" t="s">
        <v>436</v>
      </c>
      <c r="F1262" s="1" t="s">
        <v>447</v>
      </c>
      <c r="G1262" s="1" t="s">
        <v>438</v>
      </c>
      <c r="H1262" s="1">
        <v>858</v>
      </c>
      <c r="I1262" s="3">
        <v>46269</v>
      </c>
      <c r="J1262" s="3">
        <v>46276</v>
      </c>
      <c r="K1262" s="3" t="s">
        <v>2368</v>
      </c>
      <c r="L1262" s="22">
        <v>46269.624604050921</v>
      </c>
      <c r="M1262" s="20">
        <v>6</v>
      </c>
      <c r="N1262" s="1">
        <v>16</v>
      </c>
    </row>
    <row r="1263" spans="1:14" x14ac:dyDescent="0.25">
      <c r="A1263" t="str">
        <f t="shared" si="40"/>
        <v>U146468U146468</v>
      </c>
      <c r="B1263" t="str">
        <f t="shared" si="41"/>
        <v>U146468G6035F4-M</v>
      </c>
      <c r="C1263" s="1" t="s">
        <v>24</v>
      </c>
      <c r="D1263" s="1" t="s">
        <v>589</v>
      </c>
      <c r="E1263" s="1" t="s">
        <v>436</v>
      </c>
      <c r="F1263" s="1" t="s">
        <v>447</v>
      </c>
      <c r="G1263" s="1" t="s">
        <v>438</v>
      </c>
      <c r="H1263" s="1">
        <v>858</v>
      </c>
      <c r="I1263" s="3">
        <v>46269</v>
      </c>
      <c r="J1263" s="3">
        <v>46276</v>
      </c>
      <c r="K1263" s="3" t="s">
        <v>2368</v>
      </c>
      <c r="L1263" s="22">
        <v>46269.624746331014</v>
      </c>
      <c r="M1263" s="20">
        <v>6</v>
      </c>
      <c r="N1263" s="1">
        <v>19</v>
      </c>
    </row>
    <row r="1264" spans="1:14" x14ac:dyDescent="0.25">
      <c r="A1264" t="str">
        <f t="shared" si="40"/>
        <v>U146468U146468</v>
      </c>
      <c r="B1264" t="str">
        <f t="shared" si="41"/>
        <v>U146468G6035F4-M</v>
      </c>
      <c r="C1264" s="1" t="s">
        <v>24</v>
      </c>
      <c r="D1264" s="1" t="s">
        <v>589</v>
      </c>
      <c r="E1264" s="1" t="s">
        <v>436</v>
      </c>
      <c r="F1264" s="1" t="s">
        <v>447</v>
      </c>
      <c r="G1264" s="1" t="s">
        <v>438</v>
      </c>
      <c r="H1264" s="1">
        <v>858</v>
      </c>
      <c r="I1264" s="3">
        <v>46269</v>
      </c>
      <c r="J1264" s="3">
        <v>46276</v>
      </c>
      <c r="K1264" s="3" t="s">
        <v>2368</v>
      </c>
      <c r="L1264" s="22">
        <v>46269.636215277773</v>
      </c>
      <c r="M1264" s="20">
        <v>6</v>
      </c>
      <c r="N1264" s="1">
        <v>22</v>
      </c>
    </row>
    <row r="1265" spans="1:14" x14ac:dyDescent="0.25">
      <c r="A1265" t="str">
        <f t="shared" si="40"/>
        <v>U146468U146468</v>
      </c>
      <c r="B1265" t="str">
        <f t="shared" si="41"/>
        <v>U146468G6035F4-M</v>
      </c>
      <c r="C1265" s="1" t="s">
        <v>24</v>
      </c>
      <c r="D1265" s="1" t="s">
        <v>589</v>
      </c>
      <c r="E1265" s="1" t="s">
        <v>436</v>
      </c>
      <c r="F1265" s="1" t="s">
        <v>447</v>
      </c>
      <c r="G1265" s="1" t="s">
        <v>438</v>
      </c>
      <c r="H1265" s="1">
        <v>858</v>
      </c>
      <c r="I1265" s="3">
        <v>46269</v>
      </c>
      <c r="J1265" s="3">
        <v>46276</v>
      </c>
      <c r="K1265" s="3" t="s">
        <v>2368</v>
      </c>
      <c r="L1265" s="22">
        <v>46269.636453587962</v>
      </c>
      <c r="M1265" s="20">
        <v>6</v>
      </c>
      <c r="N1265" s="1">
        <v>2</v>
      </c>
    </row>
    <row r="1266" spans="1:14" x14ac:dyDescent="0.25">
      <c r="A1266" t="str">
        <f t="shared" si="40"/>
        <v>U146468U146468</v>
      </c>
      <c r="B1266" t="str">
        <f t="shared" si="41"/>
        <v>U146468G6035F4-M</v>
      </c>
      <c r="C1266" s="1" t="s">
        <v>24</v>
      </c>
      <c r="D1266" s="1" t="s">
        <v>589</v>
      </c>
      <c r="E1266" s="1" t="s">
        <v>436</v>
      </c>
      <c r="F1266" s="1" t="s">
        <v>447</v>
      </c>
      <c r="G1266" s="1" t="s">
        <v>438</v>
      </c>
      <c r="H1266" s="1">
        <v>858</v>
      </c>
      <c r="I1266" s="3">
        <v>46269</v>
      </c>
      <c r="J1266" s="3">
        <v>46276</v>
      </c>
      <c r="K1266" s="3" t="s">
        <v>2368</v>
      </c>
      <c r="L1266" s="22">
        <v>46269.636619641198</v>
      </c>
      <c r="M1266" s="20">
        <v>6</v>
      </c>
      <c r="N1266" s="1">
        <v>5</v>
      </c>
    </row>
    <row r="1267" spans="1:14" x14ac:dyDescent="0.25">
      <c r="A1267" t="str">
        <f t="shared" si="40"/>
        <v>U146468U146468</v>
      </c>
      <c r="B1267" t="str">
        <f t="shared" si="41"/>
        <v>U146468G6035F4-M</v>
      </c>
      <c r="C1267" s="1" t="s">
        <v>24</v>
      </c>
      <c r="D1267" s="1" t="s">
        <v>589</v>
      </c>
      <c r="E1267" s="1" t="s">
        <v>436</v>
      </c>
      <c r="F1267" s="1" t="s">
        <v>447</v>
      </c>
      <c r="G1267" s="1" t="s">
        <v>438</v>
      </c>
      <c r="H1267" s="1">
        <v>858</v>
      </c>
      <c r="I1267" s="3">
        <v>46269</v>
      </c>
      <c r="J1267" s="3">
        <v>46276</v>
      </c>
      <c r="K1267" s="3" t="s">
        <v>2368</v>
      </c>
      <c r="L1267" s="22">
        <v>46269.638576701385</v>
      </c>
      <c r="M1267" s="20">
        <v>6</v>
      </c>
      <c r="N1267" s="1">
        <v>13</v>
      </c>
    </row>
    <row r="1268" spans="1:14" x14ac:dyDescent="0.25">
      <c r="A1268" t="str">
        <f t="shared" si="40"/>
        <v>U146468U146468</v>
      </c>
      <c r="B1268" t="str">
        <f t="shared" si="41"/>
        <v>U146468G6035F4-M</v>
      </c>
      <c r="C1268" s="1" t="s">
        <v>24</v>
      </c>
      <c r="D1268" s="1" t="s">
        <v>589</v>
      </c>
      <c r="E1268" s="1" t="s">
        <v>436</v>
      </c>
      <c r="F1268" s="1" t="s">
        <v>447</v>
      </c>
      <c r="G1268" s="1" t="s">
        <v>438</v>
      </c>
      <c r="H1268" s="1">
        <v>858</v>
      </c>
      <c r="I1268" s="3">
        <v>46269</v>
      </c>
      <c r="J1268" s="3">
        <v>46276</v>
      </c>
      <c r="K1268" s="3" t="s">
        <v>2368</v>
      </c>
      <c r="L1268" s="22">
        <v>46269.638691053238</v>
      </c>
      <c r="M1268" s="20">
        <v>6</v>
      </c>
      <c r="N1268" s="1">
        <v>17</v>
      </c>
    </row>
    <row r="1269" spans="1:14" x14ac:dyDescent="0.25">
      <c r="A1269" t="str">
        <f t="shared" si="40"/>
        <v>U146468U146468</v>
      </c>
      <c r="B1269" t="str">
        <f t="shared" si="41"/>
        <v>U146468G6035F4-M</v>
      </c>
      <c r="C1269" s="1" t="s">
        <v>24</v>
      </c>
      <c r="D1269" s="1" t="s">
        <v>589</v>
      </c>
      <c r="E1269" s="1" t="s">
        <v>436</v>
      </c>
      <c r="F1269" s="1" t="s">
        <v>447</v>
      </c>
      <c r="G1269" s="1" t="s">
        <v>438</v>
      </c>
      <c r="H1269" s="1">
        <v>858</v>
      </c>
      <c r="I1269" s="3">
        <v>46269</v>
      </c>
      <c r="J1269" s="3">
        <v>46276</v>
      </c>
      <c r="K1269" s="3" t="s">
        <v>2368</v>
      </c>
      <c r="L1269" s="22">
        <v>46269.638890624999</v>
      </c>
      <c r="M1269" s="20">
        <v>6</v>
      </c>
      <c r="N1269" s="1">
        <v>18</v>
      </c>
    </row>
    <row r="1270" spans="1:14" x14ac:dyDescent="0.25">
      <c r="A1270" t="str">
        <f t="shared" si="40"/>
        <v>U146468U146468</v>
      </c>
      <c r="B1270" t="str">
        <f t="shared" si="41"/>
        <v>U146468G6035F4-M</v>
      </c>
      <c r="C1270" s="1" t="s">
        <v>24</v>
      </c>
      <c r="D1270" s="1" t="s">
        <v>589</v>
      </c>
      <c r="E1270" s="1" t="s">
        <v>436</v>
      </c>
      <c r="F1270" s="1" t="s">
        <v>447</v>
      </c>
      <c r="G1270" s="1" t="s">
        <v>438</v>
      </c>
      <c r="H1270" s="1">
        <v>858</v>
      </c>
      <c r="I1270" s="3">
        <v>46269</v>
      </c>
      <c r="J1270" s="3">
        <v>46276</v>
      </c>
      <c r="K1270" s="3" t="s">
        <v>2368</v>
      </c>
      <c r="L1270" s="22">
        <v>46269.639069988421</v>
      </c>
      <c r="M1270" s="20">
        <v>6</v>
      </c>
      <c r="N1270" s="1">
        <v>7</v>
      </c>
    </row>
    <row r="1271" spans="1:14" x14ac:dyDescent="0.25">
      <c r="A1271" t="str">
        <f t="shared" si="40"/>
        <v>U146468U146468</v>
      </c>
      <c r="B1271" t="str">
        <f t="shared" si="41"/>
        <v>U146468G6035F4-M</v>
      </c>
      <c r="C1271" s="1" t="s">
        <v>24</v>
      </c>
      <c r="D1271" s="1" t="s">
        <v>589</v>
      </c>
      <c r="E1271" s="1" t="s">
        <v>436</v>
      </c>
      <c r="F1271" s="1" t="s">
        <v>447</v>
      </c>
      <c r="G1271" s="1" t="s">
        <v>438</v>
      </c>
      <c r="H1271" s="1">
        <v>858</v>
      </c>
      <c r="I1271" s="3">
        <v>46269</v>
      </c>
      <c r="J1271" s="3">
        <v>46276</v>
      </c>
      <c r="K1271" s="3" t="s">
        <v>2368</v>
      </c>
      <c r="L1271" s="22">
        <v>46269.639334837964</v>
      </c>
      <c r="M1271" s="20">
        <v>6</v>
      </c>
      <c r="N1271" s="1">
        <v>1</v>
      </c>
    </row>
    <row r="1272" spans="1:14" x14ac:dyDescent="0.25">
      <c r="A1272" t="str">
        <f t="shared" si="40"/>
        <v>U146468U146468</v>
      </c>
      <c r="B1272" t="str">
        <f t="shared" si="41"/>
        <v>U146468G6035F4-M</v>
      </c>
      <c r="C1272" s="1" t="s">
        <v>24</v>
      </c>
      <c r="D1272" s="1" t="s">
        <v>589</v>
      </c>
      <c r="E1272" s="1" t="s">
        <v>436</v>
      </c>
      <c r="F1272" s="1" t="s">
        <v>447</v>
      </c>
      <c r="G1272" s="1" t="s">
        <v>438</v>
      </c>
      <c r="H1272" s="1">
        <v>858</v>
      </c>
      <c r="I1272" s="3">
        <v>46269</v>
      </c>
      <c r="J1272" s="3">
        <v>46276</v>
      </c>
      <c r="K1272" s="3" t="s">
        <v>2368</v>
      </c>
      <c r="L1272" s="22">
        <v>46269.639549074069</v>
      </c>
      <c r="M1272" s="20">
        <v>6</v>
      </c>
      <c r="N1272" s="1">
        <v>20</v>
      </c>
    </row>
    <row r="1273" spans="1:14" x14ac:dyDescent="0.25">
      <c r="A1273" t="str">
        <f t="shared" si="40"/>
        <v>U146468U146468</v>
      </c>
      <c r="B1273" t="str">
        <f t="shared" si="41"/>
        <v>U146468G6035F4-M</v>
      </c>
      <c r="C1273" s="1" t="s">
        <v>24</v>
      </c>
      <c r="D1273" s="1" t="s">
        <v>589</v>
      </c>
      <c r="E1273" s="1" t="s">
        <v>436</v>
      </c>
      <c r="F1273" s="1" t="s">
        <v>447</v>
      </c>
      <c r="G1273" s="1" t="s">
        <v>438</v>
      </c>
      <c r="H1273" s="1">
        <v>858</v>
      </c>
      <c r="I1273" s="3">
        <v>46269</v>
      </c>
      <c r="J1273" s="3">
        <v>46276</v>
      </c>
      <c r="K1273" s="3" t="s">
        <v>2368</v>
      </c>
      <c r="L1273" s="22">
        <v>46269.642436030088</v>
      </c>
      <c r="M1273" s="20">
        <v>6</v>
      </c>
      <c r="N1273" s="1">
        <v>4</v>
      </c>
    </row>
    <row r="1274" spans="1:14" x14ac:dyDescent="0.25">
      <c r="A1274" t="str">
        <f t="shared" si="40"/>
        <v>U146468U146468</v>
      </c>
      <c r="B1274" t="str">
        <f t="shared" si="41"/>
        <v>U146468G6035F4-M</v>
      </c>
      <c r="C1274" s="1" t="s">
        <v>24</v>
      </c>
      <c r="D1274" s="1" t="s">
        <v>589</v>
      </c>
      <c r="E1274" s="1" t="s">
        <v>436</v>
      </c>
      <c r="F1274" s="1" t="s">
        <v>447</v>
      </c>
      <c r="G1274" s="1" t="s">
        <v>438</v>
      </c>
      <c r="H1274" s="1">
        <v>858</v>
      </c>
      <c r="I1274" s="3">
        <v>46269</v>
      </c>
      <c r="J1274" s="3">
        <v>46276</v>
      </c>
      <c r="K1274" s="3" t="s">
        <v>2368</v>
      </c>
      <c r="L1274" s="22">
        <v>46269.642568900461</v>
      </c>
      <c r="M1274" s="20">
        <v>6</v>
      </c>
      <c r="N1274" s="1">
        <v>75</v>
      </c>
    </row>
    <row r="1275" spans="1:14" x14ac:dyDescent="0.25">
      <c r="A1275" t="str">
        <f t="shared" si="40"/>
        <v>U146468U146468</v>
      </c>
      <c r="B1275" t="str">
        <f t="shared" si="41"/>
        <v>U146468G6035F4-M</v>
      </c>
      <c r="C1275" s="1" t="s">
        <v>24</v>
      </c>
      <c r="D1275" s="1" t="s">
        <v>589</v>
      </c>
      <c r="E1275" s="1" t="s">
        <v>436</v>
      </c>
      <c r="F1275" s="1" t="s">
        <v>447</v>
      </c>
      <c r="G1275" s="1" t="s">
        <v>438</v>
      </c>
      <c r="H1275" s="1">
        <v>858</v>
      </c>
      <c r="I1275" s="3">
        <v>46269</v>
      </c>
      <c r="J1275" s="3">
        <v>46276</v>
      </c>
      <c r="K1275" s="3" t="s">
        <v>2368</v>
      </c>
      <c r="L1275" s="22">
        <v>46269.643206944442</v>
      </c>
      <c r="M1275" s="20">
        <v>6</v>
      </c>
      <c r="N1275" s="1">
        <v>12</v>
      </c>
    </row>
    <row r="1276" spans="1:14" x14ac:dyDescent="0.25">
      <c r="A1276" t="str">
        <f t="shared" si="40"/>
        <v>U146468U146468</v>
      </c>
      <c r="B1276" t="str">
        <f t="shared" si="41"/>
        <v>U146468G6035F4-M</v>
      </c>
      <c r="C1276" s="1" t="s">
        <v>24</v>
      </c>
      <c r="D1276" s="1" t="s">
        <v>589</v>
      </c>
      <c r="E1276" s="1" t="s">
        <v>436</v>
      </c>
      <c r="F1276" s="1" t="s">
        <v>447</v>
      </c>
      <c r="G1276" s="1" t="s">
        <v>438</v>
      </c>
      <c r="H1276" s="1">
        <v>858</v>
      </c>
      <c r="I1276" s="3">
        <v>46269</v>
      </c>
      <c r="J1276" s="3">
        <v>46276</v>
      </c>
      <c r="K1276" s="3" t="s">
        <v>2368</v>
      </c>
      <c r="L1276" s="22">
        <v>46269.643363854164</v>
      </c>
      <c r="M1276" s="20">
        <v>6</v>
      </c>
      <c r="N1276" s="1">
        <v>81</v>
      </c>
    </row>
    <row r="1277" spans="1:14" x14ac:dyDescent="0.25">
      <c r="A1277" t="str">
        <f t="shared" si="40"/>
        <v>U146468U146468</v>
      </c>
      <c r="B1277" t="str">
        <f t="shared" si="41"/>
        <v>U146468G6035F4-M</v>
      </c>
      <c r="C1277" s="1" t="s">
        <v>24</v>
      </c>
      <c r="D1277" s="1" t="s">
        <v>589</v>
      </c>
      <c r="E1277" s="1" t="s">
        <v>436</v>
      </c>
      <c r="F1277" s="1" t="s">
        <v>447</v>
      </c>
      <c r="G1277" s="1" t="s">
        <v>438</v>
      </c>
      <c r="H1277" s="1">
        <v>858</v>
      </c>
      <c r="I1277" s="3">
        <v>46269</v>
      </c>
      <c r="J1277" s="3">
        <v>46276</v>
      </c>
      <c r="K1277" s="3" t="s">
        <v>2368</v>
      </c>
      <c r="L1277" s="22">
        <v>46269.643589583335</v>
      </c>
      <c r="M1277" s="20">
        <v>6</v>
      </c>
      <c r="N1277" s="1">
        <v>80</v>
      </c>
    </row>
    <row r="1278" spans="1:14" x14ac:dyDescent="0.25">
      <c r="A1278" t="str">
        <f t="shared" si="40"/>
        <v>U146468U146468</v>
      </c>
      <c r="B1278" t="str">
        <f t="shared" si="41"/>
        <v>U146468G6035F4-M</v>
      </c>
      <c r="C1278" s="1" t="s">
        <v>24</v>
      </c>
      <c r="D1278" s="1" t="s">
        <v>589</v>
      </c>
      <c r="E1278" s="1" t="s">
        <v>436</v>
      </c>
      <c r="F1278" s="1" t="s">
        <v>447</v>
      </c>
      <c r="G1278" s="1" t="s">
        <v>438</v>
      </c>
      <c r="H1278" s="1">
        <v>858</v>
      </c>
      <c r="I1278" s="3">
        <v>46269</v>
      </c>
      <c r="J1278" s="3">
        <v>46276</v>
      </c>
      <c r="K1278" s="3" t="s">
        <v>2368</v>
      </c>
      <c r="L1278" s="22">
        <v>46269.643748842587</v>
      </c>
      <c r="M1278" s="20">
        <v>6</v>
      </c>
      <c r="N1278" s="1">
        <v>9</v>
      </c>
    </row>
    <row r="1279" spans="1:14" x14ac:dyDescent="0.25">
      <c r="A1279" t="str">
        <f t="shared" si="40"/>
        <v>U146468U146468</v>
      </c>
      <c r="B1279" t="str">
        <f t="shared" si="41"/>
        <v>U146468G6035F4-M</v>
      </c>
      <c r="C1279" s="1" t="s">
        <v>24</v>
      </c>
      <c r="D1279" s="1" t="s">
        <v>589</v>
      </c>
      <c r="E1279" s="1" t="s">
        <v>436</v>
      </c>
      <c r="F1279" s="1" t="s">
        <v>447</v>
      </c>
      <c r="G1279" s="1" t="s">
        <v>438</v>
      </c>
      <c r="H1279" s="1">
        <v>858</v>
      </c>
      <c r="I1279" s="3">
        <v>46269</v>
      </c>
      <c r="J1279" s="3">
        <v>46276</v>
      </c>
      <c r="K1279" s="3" t="s">
        <v>2368</v>
      </c>
      <c r="L1279" s="22">
        <v>46269.64394224537</v>
      </c>
      <c r="M1279" s="20">
        <v>6</v>
      </c>
      <c r="N1279" s="1">
        <v>21</v>
      </c>
    </row>
    <row r="1280" spans="1:14" x14ac:dyDescent="0.25">
      <c r="A1280" t="str">
        <f t="shared" si="40"/>
        <v>U146468U146468</v>
      </c>
      <c r="B1280" t="str">
        <f t="shared" si="41"/>
        <v>U146468G6035F4-M</v>
      </c>
      <c r="C1280" s="1" t="s">
        <v>24</v>
      </c>
      <c r="D1280" s="1" t="s">
        <v>589</v>
      </c>
      <c r="E1280" s="1" t="s">
        <v>436</v>
      </c>
      <c r="F1280" s="1" t="s">
        <v>447</v>
      </c>
      <c r="G1280" s="1" t="s">
        <v>438</v>
      </c>
      <c r="H1280" s="1">
        <v>858</v>
      </c>
      <c r="I1280" s="3">
        <v>46269</v>
      </c>
      <c r="J1280" s="3">
        <v>46276</v>
      </c>
      <c r="K1280" s="3" t="s">
        <v>2368</v>
      </c>
      <c r="L1280" s="22">
        <v>46269.648404317129</v>
      </c>
      <c r="M1280" s="20">
        <v>6</v>
      </c>
      <c r="N1280" s="1">
        <v>79</v>
      </c>
    </row>
    <row r="1281" spans="1:14" x14ac:dyDescent="0.25">
      <c r="A1281" t="str">
        <f t="shared" si="40"/>
        <v>U146468U146468</v>
      </c>
      <c r="B1281" t="str">
        <f t="shared" si="41"/>
        <v>U146468G6035F4-M</v>
      </c>
      <c r="C1281" s="1" t="s">
        <v>24</v>
      </c>
      <c r="D1281" s="1" t="s">
        <v>589</v>
      </c>
      <c r="E1281" s="1" t="s">
        <v>436</v>
      </c>
      <c r="F1281" s="1" t="s">
        <v>447</v>
      </c>
      <c r="G1281" s="1" t="s">
        <v>438</v>
      </c>
      <c r="H1281" s="1">
        <v>858</v>
      </c>
      <c r="I1281" s="3">
        <v>46269</v>
      </c>
      <c r="J1281" s="3">
        <v>46276</v>
      </c>
      <c r="K1281" s="3" t="s">
        <v>2368</v>
      </c>
      <c r="L1281" s="22">
        <v>46269.648558182867</v>
      </c>
      <c r="M1281" s="20">
        <v>6</v>
      </c>
      <c r="N1281" s="1">
        <v>3</v>
      </c>
    </row>
    <row r="1282" spans="1:14" x14ac:dyDescent="0.25">
      <c r="A1282" t="str">
        <f t="shared" ref="A1282:A1345" si="42">+D1282&amp;D1282</f>
        <v>U146468U146468</v>
      </c>
      <c r="B1282" t="str">
        <f t="shared" ref="B1282:B1345" si="43">+D1282&amp;C1282</f>
        <v>U146468G6035F4-M</v>
      </c>
      <c r="C1282" s="1" t="s">
        <v>24</v>
      </c>
      <c r="D1282" s="1" t="s">
        <v>589</v>
      </c>
      <c r="E1282" s="1" t="s">
        <v>436</v>
      </c>
      <c r="F1282" s="1" t="s">
        <v>447</v>
      </c>
      <c r="G1282" s="1" t="s">
        <v>438</v>
      </c>
      <c r="H1282" s="1">
        <v>858</v>
      </c>
      <c r="I1282" s="3">
        <v>46269</v>
      </c>
      <c r="J1282" s="3">
        <v>46276</v>
      </c>
      <c r="K1282" s="3" t="s">
        <v>2368</v>
      </c>
      <c r="L1282" s="22">
        <v>46269.648731099536</v>
      </c>
      <c r="M1282" s="20">
        <v>6</v>
      </c>
      <c r="N1282" s="1">
        <v>76</v>
      </c>
    </row>
    <row r="1283" spans="1:14" x14ac:dyDescent="0.25">
      <c r="A1283" t="str">
        <f t="shared" si="42"/>
        <v>U146468U146468</v>
      </c>
      <c r="B1283" t="str">
        <f t="shared" si="43"/>
        <v>U146468G6035F4-M</v>
      </c>
      <c r="C1283" s="1" t="s">
        <v>24</v>
      </c>
      <c r="D1283" s="1" t="s">
        <v>589</v>
      </c>
      <c r="E1283" s="1" t="s">
        <v>436</v>
      </c>
      <c r="F1283" s="1" t="s">
        <v>447</v>
      </c>
      <c r="G1283" s="1" t="s">
        <v>438</v>
      </c>
      <c r="H1283" s="1">
        <v>858</v>
      </c>
      <c r="I1283" s="3">
        <v>46269</v>
      </c>
      <c r="J1283" s="3">
        <v>46276</v>
      </c>
      <c r="K1283" s="3" t="s">
        <v>2368</v>
      </c>
      <c r="L1283" s="22">
        <v>46269.655955902774</v>
      </c>
      <c r="M1283" s="20">
        <v>6</v>
      </c>
      <c r="N1283" s="1">
        <v>11</v>
      </c>
    </row>
    <row r="1284" spans="1:14" x14ac:dyDescent="0.25">
      <c r="A1284" t="str">
        <f t="shared" si="42"/>
        <v>U146468U146468</v>
      </c>
      <c r="B1284" t="str">
        <f t="shared" si="43"/>
        <v>U146468G6035F4-M</v>
      </c>
      <c r="C1284" s="1" t="s">
        <v>24</v>
      </c>
      <c r="D1284" s="1" t="s">
        <v>589</v>
      </c>
      <c r="E1284" s="1" t="s">
        <v>436</v>
      </c>
      <c r="F1284" s="1" t="s">
        <v>447</v>
      </c>
      <c r="G1284" s="1" t="s">
        <v>438</v>
      </c>
      <c r="H1284" s="1">
        <v>858</v>
      </c>
      <c r="I1284" s="3">
        <v>46269</v>
      </c>
      <c r="J1284" s="3">
        <v>46276</v>
      </c>
      <c r="K1284" s="3" t="s">
        <v>2368</v>
      </c>
      <c r="L1284" s="22">
        <v>46269.656176157405</v>
      </c>
      <c r="M1284" s="20">
        <v>6</v>
      </c>
      <c r="N1284" s="1">
        <v>8</v>
      </c>
    </row>
    <row r="1285" spans="1:14" x14ac:dyDescent="0.25">
      <c r="A1285" t="str">
        <f t="shared" si="42"/>
        <v>U146468U146468</v>
      </c>
      <c r="B1285" t="str">
        <f t="shared" si="43"/>
        <v>U146468G6035F4-M</v>
      </c>
      <c r="C1285" s="1" t="s">
        <v>24</v>
      </c>
      <c r="D1285" s="1" t="s">
        <v>589</v>
      </c>
      <c r="E1285" s="1" t="s">
        <v>436</v>
      </c>
      <c r="F1285" s="1" t="s">
        <v>447</v>
      </c>
      <c r="G1285" s="1" t="s">
        <v>438</v>
      </c>
      <c r="H1285" s="1">
        <v>858</v>
      </c>
      <c r="I1285" s="3">
        <v>46269</v>
      </c>
      <c r="J1285" s="3">
        <v>46276</v>
      </c>
      <c r="K1285" s="3" t="s">
        <v>2368</v>
      </c>
      <c r="L1285" s="22">
        <v>46269.656320405091</v>
      </c>
      <c r="M1285" s="20">
        <v>6</v>
      </c>
      <c r="N1285" s="1">
        <v>72</v>
      </c>
    </row>
    <row r="1286" spans="1:14" x14ac:dyDescent="0.25">
      <c r="A1286" t="str">
        <f t="shared" si="42"/>
        <v>U146468U146468</v>
      </c>
      <c r="B1286" t="str">
        <f t="shared" si="43"/>
        <v>U146468G6035F4-M</v>
      </c>
      <c r="C1286" s="1" t="s">
        <v>24</v>
      </c>
      <c r="D1286" s="1" t="s">
        <v>589</v>
      </c>
      <c r="E1286" s="1" t="s">
        <v>436</v>
      </c>
      <c r="F1286" s="1" t="s">
        <v>447</v>
      </c>
      <c r="G1286" s="1" t="s">
        <v>438</v>
      </c>
      <c r="H1286" s="1">
        <v>858</v>
      </c>
      <c r="I1286" s="3">
        <v>46269</v>
      </c>
      <c r="J1286" s="3">
        <v>46276</v>
      </c>
      <c r="K1286" s="3" t="s">
        <v>2368</v>
      </c>
      <c r="L1286" s="22">
        <v>46269.656495601848</v>
      </c>
      <c r="M1286" s="20">
        <v>6</v>
      </c>
      <c r="N1286" s="1">
        <v>78</v>
      </c>
    </row>
    <row r="1287" spans="1:14" x14ac:dyDescent="0.25">
      <c r="A1287" t="str">
        <f t="shared" si="42"/>
        <v>U146468U146468</v>
      </c>
      <c r="B1287" t="str">
        <f t="shared" si="43"/>
        <v>U146468G6035F4-M</v>
      </c>
      <c r="C1287" s="1" t="s">
        <v>24</v>
      </c>
      <c r="D1287" s="1" t="s">
        <v>589</v>
      </c>
      <c r="E1287" s="1" t="s">
        <v>436</v>
      </c>
      <c r="F1287" s="1" t="s">
        <v>447</v>
      </c>
      <c r="G1287" s="1" t="s">
        <v>438</v>
      </c>
      <c r="H1287" s="1">
        <v>858</v>
      </c>
      <c r="I1287" s="3">
        <v>46269</v>
      </c>
      <c r="J1287" s="3">
        <v>46276</v>
      </c>
      <c r="K1287" s="3" t="s">
        <v>2368</v>
      </c>
      <c r="L1287" s="22">
        <v>46269.656703819441</v>
      </c>
      <c r="M1287" s="20">
        <v>6</v>
      </c>
      <c r="N1287" s="1">
        <v>23</v>
      </c>
    </row>
    <row r="1288" spans="1:14" x14ac:dyDescent="0.25">
      <c r="A1288" t="str">
        <f t="shared" si="42"/>
        <v>U146468U146468</v>
      </c>
      <c r="B1288" t="str">
        <f t="shared" si="43"/>
        <v>U146468G6035F4-M</v>
      </c>
      <c r="C1288" s="1" t="s">
        <v>24</v>
      </c>
      <c r="D1288" s="1" t="s">
        <v>589</v>
      </c>
      <c r="E1288" s="1" t="s">
        <v>436</v>
      </c>
      <c r="F1288" s="1" t="s">
        <v>447</v>
      </c>
      <c r="G1288" s="1" t="s">
        <v>438</v>
      </c>
      <c r="H1288" s="1">
        <v>858</v>
      </c>
      <c r="I1288" s="3">
        <v>46269</v>
      </c>
      <c r="J1288" s="3">
        <v>46276</v>
      </c>
      <c r="K1288" s="3" t="s">
        <v>2368</v>
      </c>
      <c r="L1288" s="22">
        <v>46269.656933333332</v>
      </c>
      <c r="M1288" s="20">
        <v>6</v>
      </c>
      <c r="N1288" s="1">
        <v>74</v>
      </c>
    </row>
    <row r="1289" spans="1:14" x14ac:dyDescent="0.25">
      <c r="A1289" t="str">
        <f t="shared" si="42"/>
        <v>U146468U146468</v>
      </c>
      <c r="B1289" t="str">
        <f t="shared" si="43"/>
        <v>U146468G6035F4-M</v>
      </c>
      <c r="C1289" s="1" t="s">
        <v>24</v>
      </c>
      <c r="D1289" s="1" t="s">
        <v>589</v>
      </c>
      <c r="E1289" s="1" t="s">
        <v>436</v>
      </c>
      <c r="F1289" s="1" t="s">
        <v>447</v>
      </c>
      <c r="G1289" s="1" t="s">
        <v>438</v>
      </c>
      <c r="H1289" s="1">
        <v>858</v>
      </c>
      <c r="I1289" s="3">
        <v>46269</v>
      </c>
      <c r="J1289" s="3">
        <v>46276</v>
      </c>
      <c r="K1289" s="3" t="s">
        <v>2368</v>
      </c>
      <c r="L1289" s="22">
        <v>46269.657124305551</v>
      </c>
      <c r="M1289" s="20">
        <v>6</v>
      </c>
      <c r="N1289" s="1">
        <v>10</v>
      </c>
    </row>
    <row r="1290" spans="1:14" x14ac:dyDescent="0.25">
      <c r="A1290" t="str">
        <f t="shared" si="42"/>
        <v>U146468U146468</v>
      </c>
      <c r="B1290" t="str">
        <f t="shared" si="43"/>
        <v>U146468G6035F4-M</v>
      </c>
      <c r="C1290" s="1" t="s">
        <v>24</v>
      </c>
      <c r="D1290" s="1" t="s">
        <v>589</v>
      </c>
      <c r="E1290" s="1" t="s">
        <v>436</v>
      </c>
      <c r="F1290" s="1" t="s">
        <v>447</v>
      </c>
      <c r="G1290" s="1" t="s">
        <v>438</v>
      </c>
      <c r="H1290" s="1">
        <v>858</v>
      </c>
      <c r="I1290" s="3">
        <v>46269</v>
      </c>
      <c r="J1290" s="3">
        <v>46276</v>
      </c>
      <c r="K1290" s="3" t="s">
        <v>2368</v>
      </c>
      <c r="L1290" s="22">
        <v>46269.671793865738</v>
      </c>
      <c r="M1290" s="20">
        <v>6</v>
      </c>
      <c r="N1290" s="1">
        <v>73</v>
      </c>
    </row>
    <row r="1291" spans="1:14" x14ac:dyDescent="0.25">
      <c r="A1291" t="str">
        <f t="shared" si="42"/>
        <v>U146468U146468</v>
      </c>
      <c r="B1291" t="str">
        <f t="shared" si="43"/>
        <v>U146468G6035F4-M</v>
      </c>
      <c r="C1291" s="1" t="s">
        <v>24</v>
      </c>
      <c r="D1291" s="1" t="s">
        <v>589</v>
      </c>
      <c r="E1291" s="1" t="s">
        <v>436</v>
      </c>
      <c r="F1291" s="1" t="s">
        <v>447</v>
      </c>
      <c r="G1291" s="1" t="s">
        <v>438</v>
      </c>
      <c r="H1291" s="1">
        <v>858</v>
      </c>
      <c r="I1291" s="3">
        <v>46269</v>
      </c>
      <c r="J1291" s="3">
        <v>46276</v>
      </c>
      <c r="K1291" s="3" t="s">
        <v>2368</v>
      </c>
      <c r="L1291" s="22">
        <v>46269.672358252312</v>
      </c>
      <c r="M1291" s="20">
        <v>6</v>
      </c>
      <c r="N1291" s="1">
        <v>83</v>
      </c>
    </row>
    <row r="1292" spans="1:14" x14ac:dyDescent="0.25">
      <c r="A1292" t="str">
        <f t="shared" si="42"/>
        <v>U146468U146468</v>
      </c>
      <c r="B1292" t="str">
        <f t="shared" si="43"/>
        <v>U146468G6035F4-M</v>
      </c>
      <c r="C1292" s="1" t="s">
        <v>24</v>
      </c>
      <c r="D1292" s="1" t="s">
        <v>589</v>
      </c>
      <c r="E1292" s="1" t="s">
        <v>436</v>
      </c>
      <c r="F1292" s="1" t="s">
        <v>447</v>
      </c>
      <c r="G1292" s="1" t="s">
        <v>438</v>
      </c>
      <c r="H1292" s="1">
        <v>858</v>
      </c>
      <c r="I1292" s="3">
        <v>46269</v>
      </c>
      <c r="J1292" s="3">
        <v>46276</v>
      </c>
      <c r="K1292" s="3" t="s">
        <v>2368</v>
      </c>
      <c r="L1292" s="22">
        <v>46269.672959525458</v>
      </c>
      <c r="M1292" s="20">
        <v>6</v>
      </c>
      <c r="N1292" s="1">
        <v>82</v>
      </c>
    </row>
    <row r="1293" spans="1:14" x14ac:dyDescent="0.25">
      <c r="A1293" t="str">
        <f t="shared" si="42"/>
        <v>U146468U146468</v>
      </c>
      <c r="B1293" t="str">
        <f t="shared" si="43"/>
        <v>U146468G6035F4-M</v>
      </c>
      <c r="C1293" s="1" t="s">
        <v>24</v>
      </c>
      <c r="D1293" s="1" t="s">
        <v>589</v>
      </c>
      <c r="E1293" s="1" t="s">
        <v>436</v>
      </c>
      <c r="F1293" s="1" t="s">
        <v>447</v>
      </c>
      <c r="G1293" s="1" t="s">
        <v>438</v>
      </c>
      <c r="H1293" s="1">
        <v>858</v>
      </c>
      <c r="I1293" s="3">
        <v>46269</v>
      </c>
      <c r="J1293" s="3">
        <v>46276</v>
      </c>
      <c r="K1293" s="3" t="s">
        <v>2368</v>
      </c>
      <c r="L1293" s="22">
        <v>46269.673203356477</v>
      </c>
      <c r="M1293" s="20">
        <v>6</v>
      </c>
      <c r="N1293" s="1">
        <v>77</v>
      </c>
    </row>
    <row r="1294" spans="1:14" x14ac:dyDescent="0.25">
      <c r="A1294" t="str">
        <f t="shared" si="42"/>
        <v>U146468U146468</v>
      </c>
      <c r="B1294" t="str">
        <f t="shared" si="43"/>
        <v>U146468G6035F4-M</v>
      </c>
      <c r="C1294" s="1" t="s">
        <v>24</v>
      </c>
      <c r="D1294" s="1" t="s">
        <v>589</v>
      </c>
      <c r="E1294" s="1" t="s">
        <v>436</v>
      </c>
      <c r="F1294" s="1" t="s">
        <v>447</v>
      </c>
      <c r="G1294" s="1" t="s">
        <v>438</v>
      </c>
      <c r="H1294" s="1">
        <v>858</v>
      </c>
      <c r="I1294" s="3">
        <v>46269</v>
      </c>
      <c r="J1294" s="3">
        <v>46276</v>
      </c>
      <c r="K1294" s="3" t="s">
        <v>2368</v>
      </c>
      <c r="L1294" s="22">
        <v>46269.689934108792</v>
      </c>
      <c r="M1294" s="20">
        <v>6</v>
      </c>
      <c r="N1294" s="1">
        <v>85</v>
      </c>
    </row>
    <row r="1295" spans="1:14" x14ac:dyDescent="0.25">
      <c r="A1295" t="str">
        <f t="shared" si="42"/>
        <v>U146403U146403</v>
      </c>
      <c r="B1295" t="str">
        <f t="shared" si="43"/>
        <v>U146403P60394T-M</v>
      </c>
      <c r="C1295" s="1" t="s">
        <v>49</v>
      </c>
      <c r="D1295" s="1" t="s">
        <v>595</v>
      </c>
      <c r="E1295" s="1" t="s">
        <v>436</v>
      </c>
      <c r="F1295" s="1" t="s">
        <v>452</v>
      </c>
      <c r="G1295" s="1" t="s">
        <v>438</v>
      </c>
      <c r="H1295" s="1">
        <v>600</v>
      </c>
      <c r="I1295" s="3">
        <v>46270</v>
      </c>
      <c r="J1295" s="3">
        <v>46274</v>
      </c>
      <c r="K1295" s="3" t="s">
        <v>2368</v>
      </c>
      <c r="L1295" s="22">
        <v>46270.47495625</v>
      </c>
      <c r="M1295" s="20">
        <v>12</v>
      </c>
      <c r="N1295" s="1">
        <v>17</v>
      </c>
    </row>
    <row r="1296" spans="1:14" x14ac:dyDescent="0.25">
      <c r="A1296" t="str">
        <f t="shared" si="42"/>
        <v>U146469U146469</v>
      </c>
      <c r="B1296" t="str">
        <f t="shared" si="43"/>
        <v>U146469G6035F4-M</v>
      </c>
      <c r="C1296" s="1" t="s">
        <v>24</v>
      </c>
      <c r="D1296" s="1" t="s">
        <v>594</v>
      </c>
      <c r="E1296" s="1" t="s">
        <v>436</v>
      </c>
      <c r="F1296" s="1" t="s">
        <v>447</v>
      </c>
      <c r="G1296" s="1" t="s">
        <v>438</v>
      </c>
      <c r="H1296" s="1">
        <v>1242</v>
      </c>
      <c r="I1296" s="3">
        <v>46270</v>
      </c>
      <c r="J1296" s="3">
        <v>46283</v>
      </c>
      <c r="K1296" s="3" t="s">
        <v>2350</v>
      </c>
      <c r="L1296" s="22">
        <v>46270.454574652773</v>
      </c>
      <c r="M1296" s="20">
        <v>12</v>
      </c>
      <c r="N1296" s="1">
        <v>42</v>
      </c>
    </row>
    <row r="1297" spans="1:14" x14ac:dyDescent="0.25">
      <c r="A1297" t="str">
        <f t="shared" si="42"/>
        <v>U146469U146469</v>
      </c>
      <c r="B1297" t="str">
        <f t="shared" si="43"/>
        <v>U146469G6035F4-M</v>
      </c>
      <c r="C1297" s="1" t="s">
        <v>24</v>
      </c>
      <c r="D1297" s="1" t="s">
        <v>594</v>
      </c>
      <c r="E1297" s="1" t="s">
        <v>436</v>
      </c>
      <c r="F1297" s="1" t="s">
        <v>447</v>
      </c>
      <c r="G1297" s="1" t="s">
        <v>438</v>
      </c>
      <c r="H1297" s="1">
        <v>1242</v>
      </c>
      <c r="I1297" s="3">
        <v>46270</v>
      </c>
      <c r="J1297" s="3">
        <v>46283</v>
      </c>
      <c r="K1297" s="3" t="s">
        <v>2350</v>
      </c>
      <c r="L1297" s="22">
        <v>46270.475906053238</v>
      </c>
      <c r="M1297" s="20">
        <v>12</v>
      </c>
      <c r="N1297" s="1">
        <v>22</v>
      </c>
    </row>
    <row r="1298" spans="1:14" x14ac:dyDescent="0.25">
      <c r="A1298" t="str">
        <f t="shared" si="42"/>
        <v>U146469U146469</v>
      </c>
      <c r="B1298" t="str">
        <f t="shared" si="43"/>
        <v>U146469G6035F4-M</v>
      </c>
      <c r="C1298" s="1" t="s">
        <v>24</v>
      </c>
      <c r="D1298" s="1" t="s">
        <v>594</v>
      </c>
      <c r="E1298" s="1" t="s">
        <v>436</v>
      </c>
      <c r="F1298" s="1" t="s">
        <v>447</v>
      </c>
      <c r="G1298" s="1" t="s">
        <v>438</v>
      </c>
      <c r="H1298" s="1">
        <v>1242</v>
      </c>
      <c r="I1298" s="3">
        <v>46270</v>
      </c>
      <c r="J1298" s="3">
        <v>46283</v>
      </c>
      <c r="K1298" s="3" t="s">
        <v>2350</v>
      </c>
      <c r="L1298" s="22">
        <v>46270.476171030088</v>
      </c>
      <c r="M1298" s="20">
        <v>12</v>
      </c>
      <c r="N1298" s="1">
        <v>52</v>
      </c>
    </row>
    <row r="1299" spans="1:14" x14ac:dyDescent="0.25">
      <c r="A1299" t="str">
        <f t="shared" si="42"/>
        <v>U146469U146469</v>
      </c>
      <c r="B1299" t="str">
        <f t="shared" si="43"/>
        <v>U146469G6035F4-M</v>
      </c>
      <c r="C1299" s="1" t="s">
        <v>24</v>
      </c>
      <c r="D1299" s="1" t="s">
        <v>594</v>
      </c>
      <c r="E1299" s="1" t="s">
        <v>436</v>
      </c>
      <c r="F1299" s="1" t="s">
        <v>447</v>
      </c>
      <c r="G1299" s="1" t="s">
        <v>438</v>
      </c>
      <c r="H1299" s="1">
        <v>1242</v>
      </c>
      <c r="I1299" s="3">
        <v>46270</v>
      </c>
      <c r="J1299" s="3">
        <v>46283</v>
      </c>
      <c r="K1299" s="3" t="s">
        <v>2350</v>
      </c>
      <c r="L1299" s="22">
        <v>46270.476738541664</v>
      </c>
      <c r="M1299" s="20">
        <v>12</v>
      </c>
      <c r="N1299" s="1">
        <v>53</v>
      </c>
    </row>
    <row r="1300" spans="1:14" x14ac:dyDescent="0.25">
      <c r="A1300" t="str">
        <f t="shared" si="42"/>
        <v>U146469U146469</v>
      </c>
      <c r="B1300" t="str">
        <f t="shared" si="43"/>
        <v>U146469G6035F4-M</v>
      </c>
      <c r="C1300" s="1" t="s">
        <v>24</v>
      </c>
      <c r="D1300" s="1" t="s">
        <v>594</v>
      </c>
      <c r="E1300" s="1" t="s">
        <v>436</v>
      </c>
      <c r="F1300" s="1" t="s">
        <v>447</v>
      </c>
      <c r="G1300" s="1" t="s">
        <v>438</v>
      </c>
      <c r="H1300" s="1">
        <v>1242</v>
      </c>
      <c r="I1300" s="3">
        <v>46270</v>
      </c>
      <c r="J1300" s="3">
        <v>46283</v>
      </c>
      <c r="K1300" s="3" t="s">
        <v>2350</v>
      </c>
      <c r="L1300" s="22">
        <v>46270.476938391199</v>
      </c>
      <c r="M1300" s="20">
        <v>12</v>
      </c>
      <c r="N1300" s="1">
        <v>69</v>
      </c>
    </row>
    <row r="1301" spans="1:14" x14ac:dyDescent="0.25">
      <c r="A1301" t="str">
        <f t="shared" si="42"/>
        <v>U146469U146469</v>
      </c>
      <c r="B1301" t="str">
        <f t="shared" si="43"/>
        <v>U146469G6035F4-M</v>
      </c>
      <c r="C1301" s="1" t="s">
        <v>24</v>
      </c>
      <c r="D1301" s="1" t="s">
        <v>594</v>
      </c>
      <c r="E1301" s="1" t="s">
        <v>436</v>
      </c>
      <c r="F1301" s="1" t="s">
        <v>447</v>
      </c>
      <c r="G1301" s="1" t="s">
        <v>438</v>
      </c>
      <c r="H1301" s="1">
        <v>1242</v>
      </c>
      <c r="I1301" s="3">
        <v>46270</v>
      </c>
      <c r="J1301" s="3">
        <v>46283</v>
      </c>
      <c r="K1301" s="3" t="s">
        <v>2350</v>
      </c>
      <c r="L1301" s="22">
        <v>46270.477186342592</v>
      </c>
      <c r="M1301" s="20">
        <v>12</v>
      </c>
      <c r="N1301" s="1">
        <v>26</v>
      </c>
    </row>
    <row r="1302" spans="1:14" x14ac:dyDescent="0.25">
      <c r="A1302" t="str">
        <f t="shared" si="42"/>
        <v>U146469U146469</v>
      </c>
      <c r="B1302" t="str">
        <f t="shared" si="43"/>
        <v>U146469G6035F4-M</v>
      </c>
      <c r="C1302" s="1" t="s">
        <v>24</v>
      </c>
      <c r="D1302" s="1" t="s">
        <v>594</v>
      </c>
      <c r="E1302" s="1" t="s">
        <v>436</v>
      </c>
      <c r="F1302" s="1" t="s">
        <v>447</v>
      </c>
      <c r="G1302" s="1" t="s">
        <v>438</v>
      </c>
      <c r="H1302" s="1">
        <v>1242</v>
      </c>
      <c r="I1302" s="3">
        <v>46270</v>
      </c>
      <c r="J1302" s="3">
        <v>46283</v>
      </c>
      <c r="K1302" s="3" t="s">
        <v>2350</v>
      </c>
      <c r="L1302" s="22">
        <v>46270.486829942129</v>
      </c>
      <c r="M1302" s="20">
        <v>12</v>
      </c>
      <c r="N1302" s="1">
        <v>25</v>
      </c>
    </row>
    <row r="1303" spans="1:14" x14ac:dyDescent="0.25">
      <c r="A1303" t="str">
        <f t="shared" si="42"/>
        <v>U146469U146469</v>
      </c>
      <c r="B1303" t="str">
        <f t="shared" si="43"/>
        <v>U146469G6035F4-M</v>
      </c>
      <c r="C1303" s="1" t="s">
        <v>24</v>
      </c>
      <c r="D1303" s="1" t="s">
        <v>594</v>
      </c>
      <c r="E1303" s="1" t="s">
        <v>436</v>
      </c>
      <c r="F1303" s="1" t="s">
        <v>447</v>
      </c>
      <c r="G1303" s="1" t="s">
        <v>438</v>
      </c>
      <c r="H1303" s="1">
        <v>1242</v>
      </c>
      <c r="I1303" s="3">
        <v>46270</v>
      </c>
      <c r="J1303" s="3">
        <v>46283</v>
      </c>
      <c r="K1303" s="3" t="s">
        <v>2350</v>
      </c>
      <c r="L1303" s="22">
        <v>46270.487027349533</v>
      </c>
      <c r="M1303" s="20">
        <v>12</v>
      </c>
      <c r="N1303" s="1">
        <v>44</v>
      </c>
    </row>
    <row r="1304" spans="1:14" x14ac:dyDescent="0.25">
      <c r="A1304" t="str">
        <f t="shared" si="42"/>
        <v>U146469U146469</v>
      </c>
      <c r="B1304" t="str">
        <f t="shared" si="43"/>
        <v>U146469G6035F4-M</v>
      </c>
      <c r="C1304" s="1" t="s">
        <v>24</v>
      </c>
      <c r="D1304" s="1" t="s">
        <v>594</v>
      </c>
      <c r="E1304" s="1" t="s">
        <v>436</v>
      </c>
      <c r="F1304" s="1" t="s">
        <v>447</v>
      </c>
      <c r="G1304" s="1" t="s">
        <v>438</v>
      </c>
      <c r="H1304" s="1">
        <v>1242</v>
      </c>
      <c r="I1304" s="3">
        <v>46270</v>
      </c>
      <c r="J1304" s="3">
        <v>46283</v>
      </c>
      <c r="K1304" s="3" t="s">
        <v>2350</v>
      </c>
      <c r="L1304" s="22">
        <v>46270.487386921297</v>
      </c>
      <c r="M1304" s="20">
        <v>12</v>
      </c>
      <c r="N1304" s="1">
        <v>70</v>
      </c>
    </row>
    <row r="1305" spans="1:14" x14ac:dyDescent="0.25">
      <c r="A1305" t="str">
        <f t="shared" si="42"/>
        <v>U146469U146469</v>
      </c>
      <c r="B1305" t="str">
        <f t="shared" si="43"/>
        <v>U146469G6035F4-M</v>
      </c>
      <c r="C1305" s="1" t="s">
        <v>24</v>
      </c>
      <c r="D1305" s="1" t="s">
        <v>594</v>
      </c>
      <c r="E1305" s="1" t="s">
        <v>436</v>
      </c>
      <c r="F1305" s="1" t="s">
        <v>447</v>
      </c>
      <c r="G1305" s="1" t="s">
        <v>438</v>
      </c>
      <c r="H1305" s="1">
        <v>1242</v>
      </c>
      <c r="I1305" s="3">
        <v>46270</v>
      </c>
      <c r="J1305" s="3">
        <v>46283</v>
      </c>
      <c r="K1305" s="3" t="s">
        <v>2350</v>
      </c>
      <c r="L1305" s="22">
        <v>46270.487818553236</v>
      </c>
      <c r="M1305" s="20">
        <v>12</v>
      </c>
      <c r="N1305" s="1">
        <v>43</v>
      </c>
    </row>
    <row r="1306" spans="1:14" x14ac:dyDescent="0.25">
      <c r="A1306" t="str">
        <f t="shared" si="42"/>
        <v>U146475U146475</v>
      </c>
      <c r="B1306" t="str">
        <f t="shared" si="43"/>
        <v>U146475G6032Z2-M</v>
      </c>
      <c r="C1306" s="1" t="s">
        <v>15</v>
      </c>
      <c r="D1306" s="1" t="s">
        <v>593</v>
      </c>
      <c r="E1306" s="1" t="s">
        <v>436</v>
      </c>
      <c r="F1306" s="1" t="s">
        <v>447</v>
      </c>
      <c r="G1306" s="1" t="s">
        <v>438</v>
      </c>
      <c r="H1306" s="1">
        <v>930</v>
      </c>
      <c r="I1306" s="3">
        <v>46270</v>
      </c>
      <c r="J1306" s="3">
        <v>46289</v>
      </c>
      <c r="K1306" s="3" t="s">
        <v>2374</v>
      </c>
      <c r="L1306" s="22">
        <v>46270.343145752311</v>
      </c>
      <c r="M1306" s="20">
        <v>12</v>
      </c>
      <c r="N1306" s="1">
        <v>52</v>
      </c>
    </row>
    <row r="1307" spans="1:14" x14ac:dyDescent="0.25">
      <c r="A1307" t="str">
        <f t="shared" si="42"/>
        <v>U146475U146475</v>
      </c>
      <c r="B1307" t="str">
        <f t="shared" si="43"/>
        <v>U146475G6032Z2-M</v>
      </c>
      <c r="C1307" s="1" t="s">
        <v>15</v>
      </c>
      <c r="D1307" s="1" t="s">
        <v>593</v>
      </c>
      <c r="E1307" s="1" t="s">
        <v>436</v>
      </c>
      <c r="F1307" s="1" t="s">
        <v>447</v>
      </c>
      <c r="G1307" s="1" t="s">
        <v>438</v>
      </c>
      <c r="H1307" s="1">
        <v>930</v>
      </c>
      <c r="I1307" s="3">
        <v>46270</v>
      </c>
      <c r="J1307" s="3">
        <v>46289</v>
      </c>
      <c r="K1307" s="3" t="s">
        <v>2374</v>
      </c>
      <c r="L1307" s="22">
        <v>46270.36218877315</v>
      </c>
      <c r="M1307" s="20">
        <v>12</v>
      </c>
      <c r="N1307" s="1">
        <v>31</v>
      </c>
    </row>
    <row r="1308" spans="1:14" x14ac:dyDescent="0.25">
      <c r="A1308" t="str">
        <f t="shared" si="42"/>
        <v>U146475U146475</v>
      </c>
      <c r="B1308" t="str">
        <f t="shared" si="43"/>
        <v>U146475G6032Z2-M</v>
      </c>
      <c r="C1308" s="1" t="s">
        <v>15</v>
      </c>
      <c r="D1308" s="1" t="s">
        <v>593</v>
      </c>
      <c r="E1308" s="1" t="s">
        <v>436</v>
      </c>
      <c r="F1308" s="1" t="s">
        <v>447</v>
      </c>
      <c r="G1308" s="1" t="s">
        <v>438</v>
      </c>
      <c r="H1308" s="1">
        <v>930</v>
      </c>
      <c r="I1308" s="3">
        <v>46270</v>
      </c>
      <c r="J1308" s="3">
        <v>46289</v>
      </c>
      <c r="K1308" s="3" t="s">
        <v>2374</v>
      </c>
      <c r="L1308" s="22">
        <v>46270.36274950231</v>
      </c>
      <c r="M1308" s="20">
        <v>12</v>
      </c>
      <c r="N1308" s="1">
        <v>53</v>
      </c>
    </row>
    <row r="1309" spans="1:14" x14ac:dyDescent="0.25">
      <c r="A1309" t="str">
        <f t="shared" si="42"/>
        <v>U146475U146475</v>
      </c>
      <c r="B1309" t="str">
        <f t="shared" si="43"/>
        <v>U146475G6032Z2-M</v>
      </c>
      <c r="C1309" s="1" t="s">
        <v>15</v>
      </c>
      <c r="D1309" s="1" t="s">
        <v>593</v>
      </c>
      <c r="E1309" s="1" t="s">
        <v>436</v>
      </c>
      <c r="F1309" s="1" t="s">
        <v>447</v>
      </c>
      <c r="G1309" s="1" t="s">
        <v>438</v>
      </c>
      <c r="H1309" s="1">
        <v>930</v>
      </c>
      <c r="I1309" s="3">
        <v>46270</v>
      </c>
      <c r="J1309" s="3">
        <v>46289</v>
      </c>
      <c r="K1309" s="3" t="s">
        <v>2374</v>
      </c>
      <c r="L1309" s="22">
        <v>46270.363624965277</v>
      </c>
      <c r="M1309" s="20">
        <v>12</v>
      </c>
      <c r="N1309" s="1">
        <v>39</v>
      </c>
    </row>
    <row r="1310" spans="1:14" x14ac:dyDescent="0.25">
      <c r="A1310" t="str">
        <f t="shared" si="42"/>
        <v>U146475U146475</v>
      </c>
      <c r="B1310" t="str">
        <f t="shared" si="43"/>
        <v>U146475G6032Z2-M</v>
      </c>
      <c r="C1310" s="1" t="s">
        <v>15</v>
      </c>
      <c r="D1310" s="1" t="s">
        <v>593</v>
      </c>
      <c r="E1310" s="1" t="s">
        <v>436</v>
      </c>
      <c r="F1310" s="1" t="s">
        <v>447</v>
      </c>
      <c r="G1310" s="1" t="s">
        <v>438</v>
      </c>
      <c r="H1310" s="1">
        <v>930</v>
      </c>
      <c r="I1310" s="3">
        <v>46270</v>
      </c>
      <c r="J1310" s="3">
        <v>46289</v>
      </c>
      <c r="K1310" s="3" t="s">
        <v>2374</v>
      </c>
      <c r="L1310" s="22">
        <v>46270.373740706018</v>
      </c>
      <c r="M1310" s="20">
        <v>12</v>
      </c>
      <c r="N1310" s="1">
        <v>51</v>
      </c>
    </row>
    <row r="1311" spans="1:14" x14ac:dyDescent="0.25">
      <c r="A1311" t="str">
        <f t="shared" si="42"/>
        <v>U146475U146475</v>
      </c>
      <c r="B1311" t="str">
        <f t="shared" si="43"/>
        <v>U146475G6032Z2-M</v>
      </c>
      <c r="C1311" s="1" t="s">
        <v>15</v>
      </c>
      <c r="D1311" s="1" t="s">
        <v>593</v>
      </c>
      <c r="E1311" s="1" t="s">
        <v>436</v>
      </c>
      <c r="F1311" s="1" t="s">
        <v>447</v>
      </c>
      <c r="G1311" s="1" t="s">
        <v>438</v>
      </c>
      <c r="H1311" s="1">
        <v>930</v>
      </c>
      <c r="I1311" s="3">
        <v>46270</v>
      </c>
      <c r="J1311" s="3">
        <v>46289</v>
      </c>
      <c r="K1311" s="3" t="s">
        <v>2374</v>
      </c>
      <c r="L1311" s="22">
        <v>46270.375074618052</v>
      </c>
      <c r="M1311" s="20">
        <v>12</v>
      </c>
      <c r="N1311" s="1">
        <v>19</v>
      </c>
    </row>
    <row r="1312" spans="1:14" x14ac:dyDescent="0.25">
      <c r="A1312" t="str">
        <f t="shared" si="42"/>
        <v>U146475U146475</v>
      </c>
      <c r="B1312" t="str">
        <f t="shared" si="43"/>
        <v>U146475G6032Z2-M</v>
      </c>
      <c r="C1312" s="1" t="s">
        <v>15</v>
      </c>
      <c r="D1312" s="1" t="s">
        <v>593</v>
      </c>
      <c r="E1312" s="1" t="s">
        <v>436</v>
      </c>
      <c r="F1312" s="1" t="s">
        <v>447</v>
      </c>
      <c r="G1312" s="1" t="s">
        <v>438</v>
      </c>
      <c r="H1312" s="1">
        <v>930</v>
      </c>
      <c r="I1312" s="3">
        <v>46270</v>
      </c>
      <c r="J1312" s="3">
        <v>46289</v>
      </c>
      <c r="K1312" s="3" t="s">
        <v>2374</v>
      </c>
      <c r="L1312" s="22">
        <v>46270.376323344906</v>
      </c>
      <c r="M1312" s="20">
        <v>12</v>
      </c>
      <c r="N1312" s="1">
        <v>40</v>
      </c>
    </row>
    <row r="1313" spans="1:14" x14ac:dyDescent="0.25">
      <c r="A1313" t="str">
        <f t="shared" si="42"/>
        <v>U146475U146475</v>
      </c>
      <c r="B1313" t="str">
        <f t="shared" si="43"/>
        <v>U146475G6032Z2-M</v>
      </c>
      <c r="C1313" s="1" t="s">
        <v>15</v>
      </c>
      <c r="D1313" s="1" t="s">
        <v>593</v>
      </c>
      <c r="E1313" s="1" t="s">
        <v>436</v>
      </c>
      <c r="F1313" s="1" t="s">
        <v>447</v>
      </c>
      <c r="G1313" s="1" t="s">
        <v>438</v>
      </c>
      <c r="H1313" s="1">
        <v>930</v>
      </c>
      <c r="I1313" s="3">
        <v>46270</v>
      </c>
      <c r="J1313" s="3">
        <v>46289</v>
      </c>
      <c r="K1313" s="3" t="s">
        <v>2374</v>
      </c>
      <c r="L1313" s="22">
        <v>46270.396296099534</v>
      </c>
      <c r="M1313" s="20">
        <v>12</v>
      </c>
      <c r="N1313" s="1">
        <v>54</v>
      </c>
    </row>
    <row r="1314" spans="1:14" x14ac:dyDescent="0.25">
      <c r="A1314" t="str">
        <f t="shared" si="42"/>
        <v>U146475U146475</v>
      </c>
      <c r="B1314" t="str">
        <f t="shared" si="43"/>
        <v>U146475G6032Z2-M</v>
      </c>
      <c r="C1314" s="1" t="s">
        <v>15</v>
      </c>
      <c r="D1314" s="1" t="s">
        <v>593</v>
      </c>
      <c r="E1314" s="1" t="s">
        <v>436</v>
      </c>
      <c r="F1314" s="1" t="s">
        <v>447</v>
      </c>
      <c r="G1314" s="1" t="s">
        <v>438</v>
      </c>
      <c r="H1314" s="1">
        <v>930</v>
      </c>
      <c r="I1314" s="3">
        <v>46270</v>
      </c>
      <c r="J1314" s="3">
        <v>46289</v>
      </c>
      <c r="K1314" s="3" t="s">
        <v>2374</v>
      </c>
      <c r="L1314" s="22">
        <v>46270.421321608796</v>
      </c>
      <c r="M1314" s="20">
        <v>12</v>
      </c>
      <c r="N1314" s="1">
        <v>41</v>
      </c>
    </row>
    <row r="1315" spans="1:14" x14ac:dyDescent="0.25">
      <c r="A1315" t="str">
        <f t="shared" si="42"/>
        <v>U146475U146475</v>
      </c>
      <c r="B1315" t="str">
        <f t="shared" si="43"/>
        <v>U146475G6032Z2-M</v>
      </c>
      <c r="C1315" s="1" t="s">
        <v>15</v>
      </c>
      <c r="D1315" s="1" t="s">
        <v>593</v>
      </c>
      <c r="E1315" s="1" t="s">
        <v>436</v>
      </c>
      <c r="F1315" s="1" t="s">
        <v>447</v>
      </c>
      <c r="G1315" s="1" t="s">
        <v>438</v>
      </c>
      <c r="H1315" s="1">
        <v>930</v>
      </c>
      <c r="I1315" s="3">
        <v>46270</v>
      </c>
      <c r="J1315" s="3">
        <v>46289</v>
      </c>
      <c r="K1315" s="3" t="s">
        <v>2374</v>
      </c>
      <c r="L1315" s="22">
        <v>46270.424648692126</v>
      </c>
      <c r="M1315" s="20">
        <v>12</v>
      </c>
      <c r="N1315" s="1">
        <v>32</v>
      </c>
    </row>
    <row r="1316" spans="1:14" x14ac:dyDescent="0.25">
      <c r="A1316" t="str">
        <f t="shared" si="42"/>
        <v>U146475U146475</v>
      </c>
      <c r="B1316" t="str">
        <f t="shared" si="43"/>
        <v>U146475G6032Z2-M</v>
      </c>
      <c r="C1316" s="1" t="s">
        <v>15</v>
      </c>
      <c r="D1316" s="1" t="s">
        <v>593</v>
      </c>
      <c r="E1316" s="1" t="s">
        <v>436</v>
      </c>
      <c r="F1316" s="1" t="s">
        <v>447</v>
      </c>
      <c r="G1316" s="1" t="s">
        <v>438</v>
      </c>
      <c r="H1316" s="1">
        <v>930</v>
      </c>
      <c r="I1316" s="3">
        <v>46270</v>
      </c>
      <c r="J1316" s="3">
        <v>46289</v>
      </c>
      <c r="K1316" s="3" t="s">
        <v>2374</v>
      </c>
      <c r="L1316" s="22">
        <v>46270.425030671293</v>
      </c>
      <c r="M1316" s="20">
        <v>12</v>
      </c>
      <c r="N1316" s="1">
        <v>55</v>
      </c>
    </row>
    <row r="1317" spans="1:14" x14ac:dyDescent="0.25">
      <c r="A1317" t="str">
        <f t="shared" si="42"/>
        <v>U146475U146475</v>
      </c>
      <c r="B1317" t="str">
        <f t="shared" si="43"/>
        <v>U146475G6032Z2-M</v>
      </c>
      <c r="C1317" s="1" t="s">
        <v>15</v>
      </c>
      <c r="D1317" s="1" t="s">
        <v>593</v>
      </c>
      <c r="E1317" s="1" t="s">
        <v>436</v>
      </c>
      <c r="F1317" s="1" t="s">
        <v>447</v>
      </c>
      <c r="G1317" s="1" t="s">
        <v>438</v>
      </c>
      <c r="H1317" s="1">
        <v>930</v>
      </c>
      <c r="I1317" s="3">
        <v>46270</v>
      </c>
      <c r="J1317" s="3">
        <v>46289</v>
      </c>
      <c r="K1317" s="3" t="s">
        <v>2374</v>
      </c>
      <c r="L1317" s="22">
        <v>46270.429021990742</v>
      </c>
      <c r="M1317" s="20">
        <v>12</v>
      </c>
      <c r="N1317" s="1">
        <v>43</v>
      </c>
    </row>
    <row r="1318" spans="1:14" x14ac:dyDescent="0.25">
      <c r="A1318" t="str">
        <f t="shared" si="42"/>
        <v>U146475U146475</v>
      </c>
      <c r="B1318" t="str">
        <f t="shared" si="43"/>
        <v>U146475G6032Z2-M</v>
      </c>
      <c r="C1318" s="1" t="s">
        <v>15</v>
      </c>
      <c r="D1318" s="1" t="s">
        <v>593</v>
      </c>
      <c r="E1318" s="1" t="s">
        <v>436</v>
      </c>
      <c r="F1318" s="1" t="s">
        <v>447</v>
      </c>
      <c r="G1318" s="1" t="s">
        <v>438</v>
      </c>
      <c r="H1318" s="1">
        <v>930</v>
      </c>
      <c r="I1318" s="3">
        <v>46270</v>
      </c>
      <c r="J1318" s="3">
        <v>46289</v>
      </c>
      <c r="K1318" s="3" t="s">
        <v>2374</v>
      </c>
      <c r="L1318" s="22">
        <v>46270.429655636573</v>
      </c>
      <c r="M1318" s="20">
        <v>12</v>
      </c>
      <c r="N1318" s="1">
        <v>42</v>
      </c>
    </row>
    <row r="1319" spans="1:14" x14ac:dyDescent="0.25">
      <c r="A1319" t="str">
        <f t="shared" si="42"/>
        <v>U146475U146475</v>
      </c>
      <c r="B1319" t="str">
        <f t="shared" si="43"/>
        <v>U146475G6032Z2-M</v>
      </c>
      <c r="C1319" s="1" t="s">
        <v>15</v>
      </c>
      <c r="D1319" s="1" t="s">
        <v>593</v>
      </c>
      <c r="E1319" s="1" t="s">
        <v>436</v>
      </c>
      <c r="F1319" s="1" t="s">
        <v>447</v>
      </c>
      <c r="G1319" s="1" t="s">
        <v>438</v>
      </c>
      <c r="H1319" s="1">
        <v>930</v>
      </c>
      <c r="I1319" s="3">
        <v>46270</v>
      </c>
      <c r="J1319" s="3">
        <v>46289</v>
      </c>
      <c r="K1319" s="3" t="s">
        <v>2374</v>
      </c>
      <c r="L1319" s="22">
        <v>46270.463726967588</v>
      </c>
      <c r="M1319" s="20">
        <v>12</v>
      </c>
      <c r="N1319" s="1">
        <v>44</v>
      </c>
    </row>
    <row r="1320" spans="1:14" x14ac:dyDescent="0.25">
      <c r="A1320" t="str">
        <f t="shared" si="42"/>
        <v>U146475U146475</v>
      </c>
      <c r="B1320" t="str">
        <f t="shared" si="43"/>
        <v>U146475G6032Z2-M</v>
      </c>
      <c r="C1320" s="1" t="s">
        <v>15</v>
      </c>
      <c r="D1320" s="1" t="s">
        <v>593</v>
      </c>
      <c r="E1320" s="1" t="s">
        <v>436</v>
      </c>
      <c r="F1320" s="1" t="s">
        <v>447</v>
      </c>
      <c r="G1320" s="1" t="s">
        <v>438</v>
      </c>
      <c r="H1320" s="1">
        <v>930</v>
      </c>
      <c r="I1320" s="3">
        <v>46270</v>
      </c>
      <c r="J1320" s="3">
        <v>46289</v>
      </c>
      <c r="K1320" s="3" t="s">
        <v>2374</v>
      </c>
      <c r="L1320" s="22">
        <v>46270.464138622687</v>
      </c>
      <c r="M1320" s="20">
        <v>12</v>
      </c>
      <c r="N1320" s="1">
        <v>1</v>
      </c>
    </row>
    <row r="1321" spans="1:14" x14ac:dyDescent="0.25">
      <c r="A1321" t="str">
        <f t="shared" si="42"/>
        <v>U146475U146475</v>
      </c>
      <c r="B1321" t="str">
        <f t="shared" si="43"/>
        <v>U146475G6032Z2-M</v>
      </c>
      <c r="C1321" s="1" t="s">
        <v>15</v>
      </c>
      <c r="D1321" s="1" t="s">
        <v>593</v>
      </c>
      <c r="E1321" s="1" t="s">
        <v>436</v>
      </c>
      <c r="F1321" s="1" t="s">
        <v>447</v>
      </c>
      <c r="G1321" s="1" t="s">
        <v>438</v>
      </c>
      <c r="H1321" s="1">
        <v>930</v>
      </c>
      <c r="I1321" s="3">
        <v>46270</v>
      </c>
      <c r="J1321" s="3">
        <v>46289</v>
      </c>
      <c r="K1321" s="3" t="s">
        <v>2374</v>
      </c>
      <c r="L1321" s="22">
        <v>46270.473823993052</v>
      </c>
      <c r="M1321" s="20">
        <v>12</v>
      </c>
      <c r="N1321" s="1">
        <v>7</v>
      </c>
    </row>
    <row r="1322" spans="1:14" x14ac:dyDescent="0.25">
      <c r="A1322" t="str">
        <f t="shared" si="42"/>
        <v>U146475U146475</v>
      </c>
      <c r="B1322" t="str">
        <f t="shared" si="43"/>
        <v>U146475G6032Z2-M</v>
      </c>
      <c r="C1322" s="1" t="s">
        <v>15</v>
      </c>
      <c r="D1322" s="1" t="s">
        <v>593</v>
      </c>
      <c r="E1322" s="1" t="s">
        <v>436</v>
      </c>
      <c r="F1322" s="1" t="s">
        <v>447</v>
      </c>
      <c r="G1322" s="1" t="s">
        <v>438</v>
      </c>
      <c r="H1322" s="1">
        <v>930</v>
      </c>
      <c r="I1322" s="3">
        <v>46270</v>
      </c>
      <c r="J1322" s="3">
        <v>46289</v>
      </c>
      <c r="K1322" s="3" t="s">
        <v>2374</v>
      </c>
      <c r="L1322" s="22">
        <v>46270.479834687496</v>
      </c>
      <c r="M1322" s="20">
        <v>12</v>
      </c>
      <c r="N1322" s="1">
        <v>33</v>
      </c>
    </row>
    <row r="1323" spans="1:14" x14ac:dyDescent="0.25">
      <c r="A1323" t="str">
        <f t="shared" si="42"/>
        <v>78661107866110</v>
      </c>
      <c r="B1323" t="str">
        <f t="shared" si="43"/>
        <v>7866110GC9060LL-M</v>
      </c>
      <c r="C1323" s="1" t="s">
        <v>55</v>
      </c>
      <c r="D1323" s="1" t="s">
        <v>596</v>
      </c>
      <c r="E1323" s="1" t="s">
        <v>385</v>
      </c>
      <c r="F1323" s="1" t="s">
        <v>386</v>
      </c>
      <c r="G1323" s="1" t="s">
        <v>387</v>
      </c>
      <c r="H1323" s="1">
        <v>564</v>
      </c>
      <c r="I1323" s="3">
        <v>46272</v>
      </c>
      <c r="J1323" s="3">
        <v>46289</v>
      </c>
      <c r="K1323" s="3" t="s">
        <v>2374</v>
      </c>
      <c r="L1323" s="22">
        <v>46272.430131909721</v>
      </c>
      <c r="M1323" s="20">
        <v>12</v>
      </c>
      <c r="N1323" s="1">
        <v>42</v>
      </c>
    </row>
    <row r="1324" spans="1:14" x14ac:dyDescent="0.25">
      <c r="A1324" t="str">
        <f t="shared" si="42"/>
        <v>78661107866110</v>
      </c>
      <c r="B1324" t="str">
        <f t="shared" si="43"/>
        <v>7866110GC9060LL-M</v>
      </c>
      <c r="C1324" s="1" t="s">
        <v>55</v>
      </c>
      <c r="D1324" s="1" t="s">
        <v>596</v>
      </c>
      <c r="E1324" s="1" t="s">
        <v>385</v>
      </c>
      <c r="F1324" s="1" t="s">
        <v>386</v>
      </c>
      <c r="G1324" s="1" t="s">
        <v>387</v>
      </c>
      <c r="H1324" s="1">
        <v>564</v>
      </c>
      <c r="I1324" s="3">
        <v>46272</v>
      </c>
      <c r="J1324" s="3">
        <v>46289</v>
      </c>
      <c r="K1324" s="3" t="s">
        <v>2374</v>
      </c>
      <c r="L1324" s="22">
        <v>46272.448716550927</v>
      </c>
      <c r="M1324" s="20">
        <v>12</v>
      </c>
      <c r="N1324" s="1">
        <v>44</v>
      </c>
    </row>
    <row r="1325" spans="1:14" x14ac:dyDescent="0.25">
      <c r="A1325" t="str">
        <f t="shared" si="42"/>
        <v>78661107866110</v>
      </c>
      <c r="B1325" t="str">
        <f t="shared" si="43"/>
        <v>7866110GC9060LL-M</v>
      </c>
      <c r="C1325" s="1" t="s">
        <v>55</v>
      </c>
      <c r="D1325" s="1" t="s">
        <v>596</v>
      </c>
      <c r="E1325" s="1" t="s">
        <v>385</v>
      </c>
      <c r="F1325" s="1" t="s">
        <v>386</v>
      </c>
      <c r="G1325" s="1" t="s">
        <v>387</v>
      </c>
      <c r="H1325" s="1">
        <v>564</v>
      </c>
      <c r="I1325" s="3">
        <v>46272</v>
      </c>
      <c r="J1325" s="3">
        <v>46289</v>
      </c>
      <c r="K1325" s="3" t="s">
        <v>2374</v>
      </c>
      <c r="L1325" s="22">
        <v>46272.450306134255</v>
      </c>
      <c r="M1325" s="20">
        <v>12</v>
      </c>
      <c r="N1325" s="1">
        <v>8</v>
      </c>
    </row>
    <row r="1326" spans="1:14" x14ac:dyDescent="0.25">
      <c r="A1326" t="str">
        <f t="shared" si="42"/>
        <v>78661107866110</v>
      </c>
      <c r="B1326" t="str">
        <f t="shared" si="43"/>
        <v>7866110GC9060LL-M</v>
      </c>
      <c r="C1326" s="1" t="s">
        <v>55</v>
      </c>
      <c r="D1326" s="1" t="s">
        <v>596</v>
      </c>
      <c r="E1326" s="1" t="s">
        <v>385</v>
      </c>
      <c r="F1326" s="1" t="s">
        <v>386</v>
      </c>
      <c r="G1326" s="1" t="s">
        <v>387</v>
      </c>
      <c r="H1326" s="1">
        <v>564</v>
      </c>
      <c r="I1326" s="3">
        <v>46272</v>
      </c>
      <c r="J1326" s="3">
        <v>46289</v>
      </c>
      <c r="K1326" s="3" t="s">
        <v>2374</v>
      </c>
      <c r="L1326" s="22">
        <v>46272.450706979165</v>
      </c>
      <c r="M1326" s="20">
        <v>12</v>
      </c>
      <c r="N1326" s="1">
        <v>43</v>
      </c>
    </row>
    <row r="1327" spans="1:14" x14ac:dyDescent="0.25">
      <c r="A1327" t="str">
        <f t="shared" si="42"/>
        <v>78661107866110</v>
      </c>
      <c r="B1327" t="str">
        <f t="shared" si="43"/>
        <v>7866110GC9060LL-M</v>
      </c>
      <c r="C1327" s="1" t="s">
        <v>55</v>
      </c>
      <c r="D1327" s="1" t="s">
        <v>596</v>
      </c>
      <c r="E1327" s="1" t="s">
        <v>385</v>
      </c>
      <c r="F1327" s="1" t="s">
        <v>386</v>
      </c>
      <c r="G1327" s="1" t="s">
        <v>387</v>
      </c>
      <c r="H1327" s="1">
        <v>564</v>
      </c>
      <c r="I1327" s="3">
        <v>46272</v>
      </c>
      <c r="J1327" s="3">
        <v>46289</v>
      </c>
      <c r="K1327" s="3" t="s">
        <v>2374</v>
      </c>
      <c r="L1327" s="22">
        <v>46272.454233530094</v>
      </c>
      <c r="M1327" s="20">
        <v>12</v>
      </c>
      <c r="N1327" s="1">
        <v>35</v>
      </c>
    </row>
    <row r="1328" spans="1:14" x14ac:dyDescent="0.25">
      <c r="A1328" t="str">
        <f t="shared" si="42"/>
        <v>78661107866110</v>
      </c>
      <c r="B1328" t="str">
        <f t="shared" si="43"/>
        <v>7866110GC9060LL-M</v>
      </c>
      <c r="C1328" s="1" t="s">
        <v>55</v>
      </c>
      <c r="D1328" s="1" t="s">
        <v>596</v>
      </c>
      <c r="E1328" s="1" t="s">
        <v>385</v>
      </c>
      <c r="F1328" s="1" t="s">
        <v>386</v>
      </c>
      <c r="G1328" s="1" t="s">
        <v>387</v>
      </c>
      <c r="H1328" s="1">
        <v>564</v>
      </c>
      <c r="I1328" s="3">
        <v>46272</v>
      </c>
      <c r="J1328" s="3">
        <v>46289</v>
      </c>
      <c r="K1328" s="3" t="s">
        <v>2374</v>
      </c>
      <c r="L1328" s="22">
        <v>46272.457172453702</v>
      </c>
      <c r="M1328" s="20">
        <v>12</v>
      </c>
      <c r="N1328" s="1">
        <v>28</v>
      </c>
    </row>
    <row r="1329" spans="1:14" x14ac:dyDescent="0.25">
      <c r="A1329" t="str">
        <f t="shared" si="42"/>
        <v>78661107866110</v>
      </c>
      <c r="B1329" t="str">
        <f t="shared" si="43"/>
        <v>7866110GC9060LL-M</v>
      </c>
      <c r="C1329" s="1" t="s">
        <v>55</v>
      </c>
      <c r="D1329" s="1" t="s">
        <v>596</v>
      </c>
      <c r="E1329" s="1" t="s">
        <v>385</v>
      </c>
      <c r="F1329" s="1" t="s">
        <v>386</v>
      </c>
      <c r="G1329" s="1" t="s">
        <v>387</v>
      </c>
      <c r="H1329" s="1">
        <v>564</v>
      </c>
      <c r="I1329" s="3">
        <v>46272</v>
      </c>
      <c r="J1329" s="3">
        <v>46289</v>
      </c>
      <c r="K1329" s="3" t="s">
        <v>2374</v>
      </c>
      <c r="L1329" s="22">
        <v>46272.467403587958</v>
      </c>
      <c r="M1329" s="20">
        <v>12</v>
      </c>
      <c r="N1329" s="1">
        <v>36</v>
      </c>
    </row>
    <row r="1330" spans="1:14" x14ac:dyDescent="0.25">
      <c r="A1330" t="str">
        <f t="shared" si="42"/>
        <v>78661107866110</v>
      </c>
      <c r="B1330" t="str">
        <f t="shared" si="43"/>
        <v>7866110GC9060LL-M</v>
      </c>
      <c r="C1330" s="1" t="s">
        <v>55</v>
      </c>
      <c r="D1330" s="1" t="s">
        <v>596</v>
      </c>
      <c r="E1330" s="1" t="s">
        <v>385</v>
      </c>
      <c r="F1330" s="1" t="s">
        <v>386</v>
      </c>
      <c r="G1330" s="1" t="s">
        <v>387</v>
      </c>
      <c r="H1330" s="1">
        <v>564</v>
      </c>
      <c r="I1330" s="3">
        <v>46272</v>
      </c>
      <c r="J1330" s="3">
        <v>46289</v>
      </c>
      <c r="K1330" s="3" t="s">
        <v>2374</v>
      </c>
      <c r="L1330" s="22">
        <v>46272.467875578703</v>
      </c>
      <c r="M1330" s="20">
        <v>12</v>
      </c>
      <c r="N1330" s="1">
        <v>45</v>
      </c>
    </row>
    <row r="1331" spans="1:14" x14ac:dyDescent="0.25">
      <c r="A1331" t="str">
        <f t="shared" si="42"/>
        <v>78661107866110</v>
      </c>
      <c r="B1331" t="str">
        <f t="shared" si="43"/>
        <v>7866110GC9060LL-M</v>
      </c>
      <c r="C1331" s="1" t="s">
        <v>55</v>
      </c>
      <c r="D1331" s="1" t="s">
        <v>596</v>
      </c>
      <c r="E1331" s="1" t="s">
        <v>385</v>
      </c>
      <c r="F1331" s="1" t="s">
        <v>386</v>
      </c>
      <c r="G1331" s="1" t="s">
        <v>387</v>
      </c>
      <c r="H1331" s="1">
        <v>564</v>
      </c>
      <c r="I1331" s="3">
        <v>46272</v>
      </c>
      <c r="J1331" s="3">
        <v>46289</v>
      </c>
      <c r="K1331" s="3" t="s">
        <v>2374</v>
      </c>
      <c r="L1331" s="22">
        <v>46272.545849571754</v>
      </c>
      <c r="M1331" s="20">
        <v>12</v>
      </c>
      <c r="N1331" s="1">
        <v>29</v>
      </c>
    </row>
    <row r="1332" spans="1:14" x14ac:dyDescent="0.25">
      <c r="A1332" t="str">
        <f t="shared" si="42"/>
        <v>78661107866110</v>
      </c>
      <c r="B1332" t="str">
        <f t="shared" si="43"/>
        <v>7866110GC9060LL-M</v>
      </c>
      <c r="C1332" s="1" t="s">
        <v>55</v>
      </c>
      <c r="D1332" s="1" t="s">
        <v>596</v>
      </c>
      <c r="E1332" s="1" t="s">
        <v>385</v>
      </c>
      <c r="F1332" s="1" t="s">
        <v>386</v>
      </c>
      <c r="G1332" s="1" t="s">
        <v>387</v>
      </c>
      <c r="H1332" s="1">
        <v>564</v>
      </c>
      <c r="I1332" s="3">
        <v>46272</v>
      </c>
      <c r="J1332" s="3">
        <v>46289</v>
      </c>
      <c r="K1332" s="3" t="s">
        <v>2374</v>
      </c>
      <c r="L1332" s="22">
        <v>46272.553144988422</v>
      </c>
      <c r="M1332" s="20">
        <v>12</v>
      </c>
      <c r="N1332" s="1">
        <v>13</v>
      </c>
    </row>
    <row r="1333" spans="1:14" x14ac:dyDescent="0.25">
      <c r="A1333" t="str">
        <f t="shared" si="42"/>
        <v>78661107866110</v>
      </c>
      <c r="B1333" t="str">
        <f t="shared" si="43"/>
        <v>7866110GC9060LL-M</v>
      </c>
      <c r="C1333" s="1" t="s">
        <v>55</v>
      </c>
      <c r="D1333" s="1" t="s">
        <v>596</v>
      </c>
      <c r="E1333" s="1" t="s">
        <v>385</v>
      </c>
      <c r="F1333" s="1" t="s">
        <v>386</v>
      </c>
      <c r="G1333" s="1" t="s">
        <v>387</v>
      </c>
      <c r="H1333" s="1">
        <v>564</v>
      </c>
      <c r="I1333" s="3">
        <v>46272</v>
      </c>
      <c r="J1333" s="3">
        <v>46289</v>
      </c>
      <c r="K1333" s="3" t="s">
        <v>2374</v>
      </c>
      <c r="L1333" s="22">
        <v>46272.553675844909</v>
      </c>
      <c r="M1333" s="20">
        <v>12</v>
      </c>
      <c r="N1333" s="1">
        <v>9</v>
      </c>
    </row>
    <row r="1334" spans="1:14" x14ac:dyDescent="0.25">
      <c r="A1334" t="str">
        <f t="shared" si="42"/>
        <v>78661107866110</v>
      </c>
      <c r="B1334" t="str">
        <f t="shared" si="43"/>
        <v>7866110GC9060LL-M</v>
      </c>
      <c r="C1334" s="1" t="s">
        <v>55</v>
      </c>
      <c r="D1334" s="1" t="s">
        <v>596</v>
      </c>
      <c r="E1334" s="1" t="s">
        <v>385</v>
      </c>
      <c r="F1334" s="1" t="s">
        <v>386</v>
      </c>
      <c r="G1334" s="1" t="s">
        <v>387</v>
      </c>
      <c r="H1334" s="1">
        <v>564</v>
      </c>
      <c r="I1334" s="3">
        <v>46272</v>
      </c>
      <c r="J1334" s="3">
        <v>46289</v>
      </c>
      <c r="K1334" s="3" t="s">
        <v>2374</v>
      </c>
      <c r="L1334" s="22">
        <v>46272.554176273145</v>
      </c>
      <c r="M1334" s="20">
        <v>12</v>
      </c>
      <c r="N1334" s="1">
        <v>19</v>
      </c>
    </row>
    <row r="1335" spans="1:14" x14ac:dyDescent="0.25">
      <c r="A1335" t="str">
        <f t="shared" si="42"/>
        <v>78661107866110</v>
      </c>
      <c r="B1335" t="str">
        <f t="shared" si="43"/>
        <v>7866110GC9060LL-M</v>
      </c>
      <c r="C1335" s="1" t="s">
        <v>55</v>
      </c>
      <c r="D1335" s="1" t="s">
        <v>596</v>
      </c>
      <c r="E1335" s="1" t="s">
        <v>385</v>
      </c>
      <c r="F1335" s="1" t="s">
        <v>386</v>
      </c>
      <c r="G1335" s="1" t="s">
        <v>387</v>
      </c>
      <c r="H1335" s="1">
        <v>564</v>
      </c>
      <c r="I1335" s="3">
        <v>46272</v>
      </c>
      <c r="J1335" s="3">
        <v>46289</v>
      </c>
      <c r="K1335" s="3" t="s">
        <v>2374</v>
      </c>
      <c r="L1335" s="22">
        <v>46272.560377812501</v>
      </c>
      <c r="M1335" s="20">
        <v>12</v>
      </c>
      <c r="N1335" s="1">
        <v>1</v>
      </c>
    </row>
    <row r="1336" spans="1:14" x14ac:dyDescent="0.25">
      <c r="A1336" t="str">
        <f t="shared" si="42"/>
        <v>78661107866110</v>
      </c>
      <c r="B1336" t="str">
        <f t="shared" si="43"/>
        <v>7866110GC9060LL-M</v>
      </c>
      <c r="C1336" s="1" t="s">
        <v>55</v>
      </c>
      <c r="D1336" s="1" t="s">
        <v>596</v>
      </c>
      <c r="E1336" s="1" t="s">
        <v>385</v>
      </c>
      <c r="F1336" s="1" t="s">
        <v>386</v>
      </c>
      <c r="G1336" s="1" t="s">
        <v>387</v>
      </c>
      <c r="H1336" s="1">
        <v>564</v>
      </c>
      <c r="I1336" s="3">
        <v>46272</v>
      </c>
      <c r="J1336" s="3">
        <v>46289</v>
      </c>
      <c r="K1336" s="3" t="s">
        <v>2374</v>
      </c>
      <c r="L1336" s="22">
        <v>46272.561761770834</v>
      </c>
      <c r="M1336" s="20">
        <v>12</v>
      </c>
      <c r="N1336" s="1">
        <v>39</v>
      </c>
    </row>
    <row r="1337" spans="1:14" x14ac:dyDescent="0.25">
      <c r="A1337" t="str">
        <f t="shared" si="42"/>
        <v>78661107866110</v>
      </c>
      <c r="B1337" t="str">
        <f t="shared" si="43"/>
        <v>7866110GC9060LL-M</v>
      </c>
      <c r="C1337" s="1" t="s">
        <v>55</v>
      </c>
      <c r="D1337" s="1" t="s">
        <v>596</v>
      </c>
      <c r="E1337" s="1" t="s">
        <v>385</v>
      </c>
      <c r="F1337" s="1" t="s">
        <v>386</v>
      </c>
      <c r="G1337" s="1" t="s">
        <v>387</v>
      </c>
      <c r="H1337" s="1">
        <v>564</v>
      </c>
      <c r="I1337" s="3">
        <v>46272</v>
      </c>
      <c r="J1337" s="3">
        <v>46289</v>
      </c>
      <c r="K1337" s="3" t="s">
        <v>2374</v>
      </c>
      <c r="L1337" s="22">
        <v>46272.583098495372</v>
      </c>
      <c r="M1337" s="20">
        <v>12</v>
      </c>
      <c r="N1337" s="1">
        <v>30</v>
      </c>
    </row>
    <row r="1338" spans="1:14" x14ac:dyDescent="0.25">
      <c r="A1338" t="str">
        <f t="shared" si="42"/>
        <v>78661107866110</v>
      </c>
      <c r="B1338" t="str">
        <f t="shared" si="43"/>
        <v>7866110GC9060LL-M</v>
      </c>
      <c r="C1338" s="1" t="s">
        <v>55</v>
      </c>
      <c r="D1338" s="1" t="s">
        <v>596</v>
      </c>
      <c r="E1338" s="1" t="s">
        <v>385</v>
      </c>
      <c r="F1338" s="1" t="s">
        <v>386</v>
      </c>
      <c r="G1338" s="1" t="s">
        <v>387</v>
      </c>
      <c r="H1338" s="1">
        <v>564</v>
      </c>
      <c r="I1338" s="3">
        <v>46272</v>
      </c>
      <c r="J1338" s="3">
        <v>46289</v>
      </c>
      <c r="K1338" s="3" t="s">
        <v>2374</v>
      </c>
      <c r="L1338" s="22">
        <v>46272.596268518515</v>
      </c>
      <c r="M1338" s="20">
        <v>12</v>
      </c>
      <c r="N1338" s="1">
        <v>15</v>
      </c>
    </row>
    <row r="1339" spans="1:14" x14ac:dyDescent="0.25">
      <c r="A1339" t="str">
        <f t="shared" si="42"/>
        <v>78661107866110</v>
      </c>
      <c r="B1339" t="str">
        <f t="shared" si="43"/>
        <v>7866110GC9060LL-M</v>
      </c>
      <c r="C1339" s="1" t="s">
        <v>55</v>
      </c>
      <c r="D1339" s="1" t="s">
        <v>596</v>
      </c>
      <c r="E1339" s="1" t="s">
        <v>385</v>
      </c>
      <c r="F1339" s="1" t="s">
        <v>386</v>
      </c>
      <c r="G1339" s="1" t="s">
        <v>387</v>
      </c>
      <c r="H1339" s="1">
        <v>564</v>
      </c>
      <c r="I1339" s="3">
        <v>46272</v>
      </c>
      <c r="J1339" s="3">
        <v>46289</v>
      </c>
      <c r="K1339" s="3" t="s">
        <v>2374</v>
      </c>
      <c r="L1339" s="22">
        <v>46272.596766631941</v>
      </c>
      <c r="M1339" s="20">
        <v>12</v>
      </c>
      <c r="N1339" s="1">
        <v>20</v>
      </c>
    </row>
    <row r="1340" spans="1:14" x14ac:dyDescent="0.25">
      <c r="A1340" t="str">
        <f t="shared" si="42"/>
        <v>78661107866110</v>
      </c>
      <c r="B1340" t="str">
        <f t="shared" si="43"/>
        <v>7866110GC9060LL-M</v>
      </c>
      <c r="C1340" s="1" t="s">
        <v>55</v>
      </c>
      <c r="D1340" s="1" t="s">
        <v>596</v>
      </c>
      <c r="E1340" s="1" t="s">
        <v>385</v>
      </c>
      <c r="F1340" s="1" t="s">
        <v>386</v>
      </c>
      <c r="G1340" s="1" t="s">
        <v>387</v>
      </c>
      <c r="H1340" s="1">
        <v>564</v>
      </c>
      <c r="I1340" s="3">
        <v>46272</v>
      </c>
      <c r="J1340" s="3">
        <v>46289</v>
      </c>
      <c r="K1340" s="3" t="s">
        <v>2374</v>
      </c>
      <c r="L1340" s="22">
        <v>46272.600195405088</v>
      </c>
      <c r="M1340" s="20">
        <v>12</v>
      </c>
      <c r="N1340" s="1">
        <v>37</v>
      </c>
    </row>
    <row r="1341" spans="1:14" x14ac:dyDescent="0.25">
      <c r="A1341" t="str">
        <f t="shared" si="42"/>
        <v>78661107866110</v>
      </c>
      <c r="B1341" t="str">
        <f t="shared" si="43"/>
        <v>7866110GC9060LL-M</v>
      </c>
      <c r="C1341" s="1" t="s">
        <v>55</v>
      </c>
      <c r="D1341" s="1" t="s">
        <v>596</v>
      </c>
      <c r="E1341" s="1" t="s">
        <v>385</v>
      </c>
      <c r="F1341" s="1" t="s">
        <v>386</v>
      </c>
      <c r="G1341" s="1" t="s">
        <v>387</v>
      </c>
      <c r="H1341" s="1">
        <v>564</v>
      </c>
      <c r="I1341" s="3">
        <v>46272</v>
      </c>
      <c r="J1341" s="3">
        <v>46289</v>
      </c>
      <c r="K1341" s="3" t="s">
        <v>2374</v>
      </c>
      <c r="L1341" s="22">
        <v>46272.608475381945</v>
      </c>
      <c r="M1341" s="20">
        <v>12</v>
      </c>
      <c r="N1341" s="1">
        <v>31</v>
      </c>
    </row>
    <row r="1342" spans="1:14" x14ac:dyDescent="0.25">
      <c r="A1342" t="str">
        <f t="shared" si="42"/>
        <v>78661107866110</v>
      </c>
      <c r="B1342" t="str">
        <f t="shared" si="43"/>
        <v>7866110GC9060LL-M</v>
      </c>
      <c r="C1342" s="1" t="s">
        <v>55</v>
      </c>
      <c r="D1342" s="1" t="s">
        <v>596</v>
      </c>
      <c r="E1342" s="1" t="s">
        <v>385</v>
      </c>
      <c r="F1342" s="1" t="s">
        <v>386</v>
      </c>
      <c r="G1342" s="1" t="s">
        <v>387</v>
      </c>
      <c r="H1342" s="1">
        <v>564</v>
      </c>
      <c r="I1342" s="3">
        <v>46272</v>
      </c>
      <c r="J1342" s="3">
        <v>46289</v>
      </c>
      <c r="K1342" s="3" t="s">
        <v>2374</v>
      </c>
      <c r="L1342" s="22">
        <v>46272.619274537035</v>
      </c>
      <c r="M1342" s="20">
        <v>12</v>
      </c>
      <c r="N1342" s="1">
        <v>10</v>
      </c>
    </row>
    <row r="1343" spans="1:14" x14ac:dyDescent="0.25">
      <c r="A1343" t="str">
        <f t="shared" si="42"/>
        <v>78661107866110</v>
      </c>
      <c r="B1343" t="str">
        <f t="shared" si="43"/>
        <v>7866110GC9060LL-M</v>
      </c>
      <c r="C1343" s="1" t="s">
        <v>55</v>
      </c>
      <c r="D1343" s="1" t="s">
        <v>596</v>
      </c>
      <c r="E1343" s="1" t="s">
        <v>385</v>
      </c>
      <c r="F1343" s="1" t="s">
        <v>386</v>
      </c>
      <c r="G1343" s="1" t="s">
        <v>387</v>
      </c>
      <c r="H1343" s="1">
        <v>564</v>
      </c>
      <c r="I1343" s="3">
        <v>46272</v>
      </c>
      <c r="J1343" s="3">
        <v>46289</v>
      </c>
      <c r="K1343" s="3" t="s">
        <v>2374</v>
      </c>
      <c r="L1343" s="22">
        <v>46272.632959872681</v>
      </c>
      <c r="M1343" s="20">
        <v>12</v>
      </c>
      <c r="N1343" s="1">
        <v>38</v>
      </c>
    </row>
    <row r="1344" spans="1:14" x14ac:dyDescent="0.25">
      <c r="A1344" t="str">
        <f t="shared" si="42"/>
        <v>78661107866110</v>
      </c>
      <c r="B1344" t="str">
        <f t="shared" si="43"/>
        <v>7866110GC9060LL-M</v>
      </c>
      <c r="C1344" s="1" t="s">
        <v>55</v>
      </c>
      <c r="D1344" s="1" t="s">
        <v>596</v>
      </c>
      <c r="E1344" s="1" t="s">
        <v>385</v>
      </c>
      <c r="F1344" s="1" t="s">
        <v>386</v>
      </c>
      <c r="G1344" s="1" t="s">
        <v>387</v>
      </c>
      <c r="H1344" s="1">
        <v>564</v>
      </c>
      <c r="I1344" s="3">
        <v>46272</v>
      </c>
      <c r="J1344" s="3">
        <v>46289</v>
      </c>
      <c r="K1344" s="3" t="s">
        <v>2374</v>
      </c>
      <c r="L1344" s="22">
        <v>46272.640143518518</v>
      </c>
      <c r="M1344" s="20">
        <v>12</v>
      </c>
      <c r="N1344" s="1">
        <v>46</v>
      </c>
    </row>
    <row r="1345" spans="1:14" x14ac:dyDescent="0.25">
      <c r="A1345" t="str">
        <f t="shared" si="42"/>
        <v>78661107866110</v>
      </c>
      <c r="B1345" t="str">
        <f t="shared" si="43"/>
        <v>7866110GC9060LL-M</v>
      </c>
      <c r="C1345" s="1" t="s">
        <v>55</v>
      </c>
      <c r="D1345" s="1" t="s">
        <v>596</v>
      </c>
      <c r="E1345" s="1" t="s">
        <v>385</v>
      </c>
      <c r="F1345" s="1" t="s">
        <v>386</v>
      </c>
      <c r="G1345" s="1" t="s">
        <v>387</v>
      </c>
      <c r="H1345" s="1">
        <v>564</v>
      </c>
      <c r="I1345" s="3">
        <v>46272</v>
      </c>
      <c r="J1345" s="3">
        <v>46289</v>
      </c>
      <c r="K1345" s="3" t="s">
        <v>2374</v>
      </c>
      <c r="L1345" s="22">
        <v>46272.653903854167</v>
      </c>
      <c r="M1345" s="20">
        <v>12</v>
      </c>
      <c r="N1345" s="1">
        <v>21</v>
      </c>
    </row>
    <row r="1346" spans="1:14" x14ac:dyDescent="0.25">
      <c r="A1346" t="str">
        <f t="shared" ref="A1346:A1409" si="44">+D1346&amp;D1346</f>
        <v>78661107866110</v>
      </c>
      <c r="B1346" t="str">
        <f t="shared" ref="B1346:B1409" si="45">+D1346&amp;C1346</f>
        <v>7866110GC9060LL-M</v>
      </c>
      <c r="C1346" s="1" t="s">
        <v>55</v>
      </c>
      <c r="D1346" s="1" t="s">
        <v>596</v>
      </c>
      <c r="E1346" s="1" t="s">
        <v>385</v>
      </c>
      <c r="F1346" s="1" t="s">
        <v>386</v>
      </c>
      <c r="G1346" s="1" t="s">
        <v>387</v>
      </c>
      <c r="H1346" s="1">
        <v>564</v>
      </c>
      <c r="I1346" s="3">
        <v>46272</v>
      </c>
      <c r="J1346" s="3">
        <v>46289</v>
      </c>
      <c r="K1346" s="3" t="s">
        <v>2374</v>
      </c>
      <c r="L1346" s="22">
        <v>46272.656095520833</v>
      </c>
      <c r="M1346" s="20">
        <v>12</v>
      </c>
      <c r="N1346" s="1">
        <v>32</v>
      </c>
    </row>
    <row r="1347" spans="1:14" x14ac:dyDescent="0.25">
      <c r="A1347" t="str">
        <f t="shared" si="44"/>
        <v>78661107866110</v>
      </c>
      <c r="B1347" t="str">
        <f t="shared" si="45"/>
        <v>7866110GC9060LL-M</v>
      </c>
      <c r="C1347" s="1" t="s">
        <v>55</v>
      </c>
      <c r="D1347" s="1" t="s">
        <v>596</v>
      </c>
      <c r="E1347" s="1" t="s">
        <v>385</v>
      </c>
      <c r="F1347" s="1" t="s">
        <v>386</v>
      </c>
      <c r="G1347" s="1" t="s">
        <v>387</v>
      </c>
      <c r="H1347" s="1">
        <v>564</v>
      </c>
      <c r="I1347" s="3">
        <v>46272</v>
      </c>
      <c r="J1347" s="3">
        <v>46289</v>
      </c>
      <c r="K1347" s="3" t="s">
        <v>2374</v>
      </c>
      <c r="L1347" s="22">
        <v>46272.665423379629</v>
      </c>
      <c r="M1347" s="20">
        <v>12</v>
      </c>
      <c r="N1347" s="1">
        <v>14</v>
      </c>
    </row>
    <row r="1348" spans="1:14" x14ac:dyDescent="0.25">
      <c r="A1348" t="str">
        <f t="shared" si="44"/>
        <v>78661107866110</v>
      </c>
      <c r="B1348" t="str">
        <f t="shared" si="45"/>
        <v>7866110GC9060LL-M</v>
      </c>
      <c r="C1348" s="1" t="s">
        <v>55</v>
      </c>
      <c r="D1348" s="1" t="s">
        <v>596</v>
      </c>
      <c r="E1348" s="1" t="s">
        <v>385</v>
      </c>
      <c r="F1348" s="1" t="s">
        <v>386</v>
      </c>
      <c r="G1348" s="1" t="s">
        <v>387</v>
      </c>
      <c r="H1348" s="1">
        <v>564</v>
      </c>
      <c r="I1348" s="3">
        <v>46272</v>
      </c>
      <c r="J1348" s="3">
        <v>46289</v>
      </c>
      <c r="K1348" s="3" t="s">
        <v>2374</v>
      </c>
      <c r="L1348" s="22">
        <v>46272.670096678237</v>
      </c>
      <c r="M1348" s="20">
        <v>12</v>
      </c>
      <c r="N1348" s="1">
        <v>3</v>
      </c>
    </row>
    <row r="1349" spans="1:14" x14ac:dyDescent="0.25">
      <c r="A1349" t="str">
        <f t="shared" si="44"/>
        <v>78661107866110</v>
      </c>
      <c r="B1349" t="str">
        <f t="shared" si="45"/>
        <v>7866110GC9060LL-M</v>
      </c>
      <c r="C1349" s="1" t="s">
        <v>55</v>
      </c>
      <c r="D1349" s="1" t="s">
        <v>596</v>
      </c>
      <c r="E1349" s="1" t="s">
        <v>385</v>
      </c>
      <c r="F1349" s="1" t="s">
        <v>386</v>
      </c>
      <c r="G1349" s="1" t="s">
        <v>387</v>
      </c>
      <c r="H1349" s="1">
        <v>564</v>
      </c>
      <c r="I1349" s="3">
        <v>46272</v>
      </c>
      <c r="J1349" s="3">
        <v>46289</v>
      </c>
      <c r="K1349" s="3" t="s">
        <v>2374</v>
      </c>
      <c r="L1349" s="22">
        <v>46272.681726122682</v>
      </c>
      <c r="M1349" s="20">
        <v>12</v>
      </c>
      <c r="N1349" s="1">
        <v>22</v>
      </c>
    </row>
    <row r="1350" spans="1:14" x14ac:dyDescent="0.25">
      <c r="A1350" t="str">
        <f t="shared" si="44"/>
        <v>78661107866110</v>
      </c>
      <c r="B1350" t="str">
        <f t="shared" si="45"/>
        <v>7866110GC9060LL-M</v>
      </c>
      <c r="C1350" s="1" t="s">
        <v>55</v>
      </c>
      <c r="D1350" s="1" t="s">
        <v>596</v>
      </c>
      <c r="E1350" s="1" t="s">
        <v>385</v>
      </c>
      <c r="F1350" s="1" t="s">
        <v>386</v>
      </c>
      <c r="G1350" s="1" t="s">
        <v>387</v>
      </c>
      <c r="H1350" s="1">
        <v>564</v>
      </c>
      <c r="I1350" s="3">
        <v>46272</v>
      </c>
      <c r="J1350" s="3">
        <v>46289</v>
      </c>
      <c r="K1350" s="3" t="s">
        <v>2374</v>
      </c>
      <c r="L1350" s="22">
        <v>46272.682035451384</v>
      </c>
      <c r="M1350" s="20">
        <v>12</v>
      </c>
      <c r="N1350" s="1">
        <v>12</v>
      </c>
    </row>
    <row r="1351" spans="1:14" x14ac:dyDescent="0.25">
      <c r="A1351" t="str">
        <f t="shared" si="44"/>
        <v>78661107866110</v>
      </c>
      <c r="B1351" t="str">
        <f t="shared" si="45"/>
        <v>7866110GC9060LL-M</v>
      </c>
      <c r="C1351" s="1" t="s">
        <v>55</v>
      </c>
      <c r="D1351" s="1" t="s">
        <v>596</v>
      </c>
      <c r="E1351" s="1" t="s">
        <v>385</v>
      </c>
      <c r="F1351" s="1" t="s">
        <v>386</v>
      </c>
      <c r="G1351" s="1" t="s">
        <v>387</v>
      </c>
      <c r="H1351" s="1">
        <v>564</v>
      </c>
      <c r="I1351" s="3">
        <v>46272</v>
      </c>
      <c r="J1351" s="3">
        <v>46289</v>
      </c>
      <c r="K1351" s="3" t="s">
        <v>2374</v>
      </c>
      <c r="L1351" s="22">
        <v>46272.682635300924</v>
      </c>
      <c r="M1351" s="20">
        <v>12</v>
      </c>
      <c r="N1351" s="1">
        <v>16</v>
      </c>
    </row>
    <row r="1352" spans="1:14" x14ac:dyDescent="0.25">
      <c r="A1352" t="str">
        <f t="shared" si="44"/>
        <v>78661107866110</v>
      </c>
      <c r="B1352" t="str">
        <f t="shared" si="45"/>
        <v>7866110GC9060LL-M</v>
      </c>
      <c r="C1352" s="1" t="s">
        <v>55</v>
      </c>
      <c r="D1352" s="1" t="s">
        <v>596</v>
      </c>
      <c r="E1352" s="1" t="s">
        <v>385</v>
      </c>
      <c r="F1352" s="1" t="s">
        <v>386</v>
      </c>
      <c r="G1352" s="1" t="s">
        <v>387</v>
      </c>
      <c r="H1352" s="1">
        <v>564</v>
      </c>
      <c r="I1352" s="3">
        <v>46272</v>
      </c>
      <c r="J1352" s="3">
        <v>46289</v>
      </c>
      <c r="K1352" s="3" t="s">
        <v>2374</v>
      </c>
      <c r="L1352" s="22">
        <v>46272.682963506944</v>
      </c>
      <c r="M1352" s="20">
        <v>12</v>
      </c>
      <c r="N1352" s="1">
        <v>2</v>
      </c>
    </row>
    <row r="1353" spans="1:14" x14ac:dyDescent="0.25">
      <c r="A1353" t="str">
        <f t="shared" si="44"/>
        <v>78661107866110</v>
      </c>
      <c r="B1353" t="str">
        <f t="shared" si="45"/>
        <v>7866110GC9060LL-M</v>
      </c>
      <c r="C1353" s="1" t="s">
        <v>55</v>
      </c>
      <c r="D1353" s="1" t="s">
        <v>596</v>
      </c>
      <c r="E1353" s="1" t="s">
        <v>385</v>
      </c>
      <c r="F1353" s="1" t="s">
        <v>386</v>
      </c>
      <c r="G1353" s="1" t="s">
        <v>387</v>
      </c>
      <c r="H1353" s="1">
        <v>564</v>
      </c>
      <c r="I1353" s="3">
        <v>46272</v>
      </c>
      <c r="J1353" s="3">
        <v>46289</v>
      </c>
      <c r="K1353" s="3" t="s">
        <v>2374</v>
      </c>
      <c r="L1353" s="22">
        <v>46272.683445636569</v>
      </c>
      <c r="M1353" s="20">
        <v>12</v>
      </c>
      <c r="N1353" s="1">
        <v>5</v>
      </c>
    </row>
    <row r="1354" spans="1:14" x14ac:dyDescent="0.25">
      <c r="A1354" t="str">
        <f t="shared" si="44"/>
        <v>78661107866110</v>
      </c>
      <c r="B1354" t="str">
        <f t="shared" si="45"/>
        <v>7866110GC9060LL-M</v>
      </c>
      <c r="C1354" s="1" t="s">
        <v>55</v>
      </c>
      <c r="D1354" s="1" t="s">
        <v>596</v>
      </c>
      <c r="E1354" s="1" t="s">
        <v>385</v>
      </c>
      <c r="F1354" s="1" t="s">
        <v>386</v>
      </c>
      <c r="G1354" s="1" t="s">
        <v>387</v>
      </c>
      <c r="H1354" s="1">
        <v>564</v>
      </c>
      <c r="I1354" s="3">
        <v>46272</v>
      </c>
      <c r="J1354" s="3">
        <v>46289</v>
      </c>
      <c r="K1354" s="3" t="s">
        <v>2374</v>
      </c>
      <c r="L1354" s="22">
        <v>46272.68928194444</v>
      </c>
      <c r="M1354" s="20">
        <v>12</v>
      </c>
      <c r="N1354" s="1">
        <v>11</v>
      </c>
    </row>
    <row r="1355" spans="1:14" x14ac:dyDescent="0.25">
      <c r="A1355" t="str">
        <f t="shared" si="44"/>
        <v>78661107866110</v>
      </c>
      <c r="B1355" t="str">
        <f t="shared" si="45"/>
        <v>7866110GC9060LL-M</v>
      </c>
      <c r="C1355" s="1" t="s">
        <v>55</v>
      </c>
      <c r="D1355" s="1" t="s">
        <v>596</v>
      </c>
      <c r="E1355" s="1" t="s">
        <v>385</v>
      </c>
      <c r="F1355" s="1" t="s">
        <v>386</v>
      </c>
      <c r="G1355" s="1" t="s">
        <v>387</v>
      </c>
      <c r="H1355" s="1">
        <v>564</v>
      </c>
      <c r="I1355" s="3">
        <v>46272</v>
      </c>
      <c r="J1355" s="3">
        <v>46289</v>
      </c>
      <c r="K1355" s="3" t="s">
        <v>2374</v>
      </c>
      <c r="L1355" s="22">
        <v>46272.689903668979</v>
      </c>
      <c r="M1355" s="20">
        <v>12</v>
      </c>
      <c r="N1355" s="1">
        <v>17</v>
      </c>
    </row>
    <row r="1356" spans="1:14" x14ac:dyDescent="0.25">
      <c r="A1356" t="str">
        <f t="shared" si="44"/>
        <v>78661107866110</v>
      </c>
      <c r="B1356" t="str">
        <f t="shared" si="45"/>
        <v>7866110GC9060LL-M</v>
      </c>
      <c r="C1356" s="1" t="s">
        <v>55</v>
      </c>
      <c r="D1356" s="1" t="s">
        <v>596</v>
      </c>
      <c r="E1356" s="1" t="s">
        <v>385</v>
      </c>
      <c r="F1356" s="1" t="s">
        <v>386</v>
      </c>
      <c r="G1356" s="1" t="s">
        <v>387</v>
      </c>
      <c r="H1356" s="1">
        <v>564</v>
      </c>
      <c r="I1356" s="3">
        <v>46272</v>
      </c>
      <c r="J1356" s="3">
        <v>46289</v>
      </c>
      <c r="K1356" s="3" t="s">
        <v>2374</v>
      </c>
      <c r="L1356" s="22">
        <v>46272.690191747686</v>
      </c>
      <c r="M1356" s="20">
        <v>12</v>
      </c>
      <c r="N1356" s="1">
        <v>4</v>
      </c>
    </row>
    <row r="1357" spans="1:14" x14ac:dyDescent="0.25">
      <c r="A1357" t="str">
        <f t="shared" si="44"/>
        <v>78661107866110</v>
      </c>
      <c r="B1357" t="str">
        <f t="shared" si="45"/>
        <v>7866110GC9060LL-M</v>
      </c>
      <c r="C1357" s="1" t="s">
        <v>55</v>
      </c>
      <c r="D1357" s="1" t="s">
        <v>596</v>
      </c>
      <c r="E1357" s="1" t="s">
        <v>385</v>
      </c>
      <c r="F1357" s="1" t="s">
        <v>386</v>
      </c>
      <c r="G1357" s="1" t="s">
        <v>387</v>
      </c>
      <c r="H1357" s="1">
        <v>564</v>
      </c>
      <c r="I1357" s="3">
        <v>46272</v>
      </c>
      <c r="J1357" s="3">
        <v>46289</v>
      </c>
      <c r="K1357" s="3" t="s">
        <v>2374</v>
      </c>
      <c r="L1357" s="22">
        <v>46272.690513310183</v>
      </c>
      <c r="M1357" s="20">
        <v>12</v>
      </c>
      <c r="N1357" s="1">
        <v>40</v>
      </c>
    </row>
    <row r="1358" spans="1:14" x14ac:dyDescent="0.25">
      <c r="A1358" t="str">
        <f t="shared" si="44"/>
        <v>78661107866110</v>
      </c>
      <c r="B1358" t="str">
        <f t="shared" si="45"/>
        <v>7866110GC9060LL-M</v>
      </c>
      <c r="C1358" s="1" t="s">
        <v>55</v>
      </c>
      <c r="D1358" s="1" t="s">
        <v>596</v>
      </c>
      <c r="E1358" s="1" t="s">
        <v>385</v>
      </c>
      <c r="F1358" s="1" t="s">
        <v>386</v>
      </c>
      <c r="G1358" s="1" t="s">
        <v>387</v>
      </c>
      <c r="H1358" s="1">
        <v>564</v>
      </c>
      <c r="I1358" s="3">
        <v>46272</v>
      </c>
      <c r="J1358" s="3">
        <v>46289</v>
      </c>
      <c r="K1358" s="3" t="s">
        <v>2374</v>
      </c>
      <c r="L1358" s="22">
        <v>46272.69084278935</v>
      </c>
      <c r="M1358" s="20">
        <v>12</v>
      </c>
      <c r="N1358" s="1">
        <v>33</v>
      </c>
    </row>
    <row r="1359" spans="1:14" x14ac:dyDescent="0.25">
      <c r="A1359" t="str">
        <f t="shared" si="44"/>
        <v>78661107866110</v>
      </c>
      <c r="B1359" t="str">
        <f t="shared" si="45"/>
        <v>7866110GC9060LL-M</v>
      </c>
      <c r="C1359" s="1" t="s">
        <v>55</v>
      </c>
      <c r="D1359" s="1" t="s">
        <v>596</v>
      </c>
      <c r="E1359" s="1" t="s">
        <v>385</v>
      </c>
      <c r="F1359" s="1" t="s">
        <v>386</v>
      </c>
      <c r="G1359" s="1" t="s">
        <v>387</v>
      </c>
      <c r="H1359" s="1">
        <v>564</v>
      </c>
      <c r="I1359" s="3">
        <v>46272</v>
      </c>
      <c r="J1359" s="3">
        <v>46289</v>
      </c>
      <c r="K1359" s="3" t="s">
        <v>2374</v>
      </c>
      <c r="L1359" s="22">
        <v>46272.69233961805</v>
      </c>
      <c r="M1359" s="20">
        <v>12</v>
      </c>
      <c r="N1359" s="1">
        <v>23</v>
      </c>
    </row>
    <row r="1360" spans="1:14" x14ac:dyDescent="0.25">
      <c r="A1360" t="str">
        <f t="shared" si="44"/>
        <v>78661107866110</v>
      </c>
      <c r="B1360" t="str">
        <f t="shared" si="45"/>
        <v>7866110GC9060LL-M</v>
      </c>
      <c r="C1360" s="1" t="s">
        <v>55</v>
      </c>
      <c r="D1360" s="1" t="s">
        <v>596</v>
      </c>
      <c r="E1360" s="1" t="s">
        <v>385</v>
      </c>
      <c r="F1360" s="1" t="s">
        <v>386</v>
      </c>
      <c r="G1360" s="1" t="s">
        <v>387</v>
      </c>
      <c r="H1360" s="1">
        <v>564</v>
      </c>
      <c r="I1360" s="3">
        <v>46272</v>
      </c>
      <c r="J1360" s="3">
        <v>46289</v>
      </c>
      <c r="K1360" s="3" t="s">
        <v>2374</v>
      </c>
      <c r="L1360" s="22">
        <v>46272.692942905094</v>
      </c>
      <c r="M1360" s="20">
        <v>12</v>
      </c>
      <c r="N1360" s="1">
        <v>24</v>
      </c>
    </row>
    <row r="1361" spans="1:14" x14ac:dyDescent="0.25">
      <c r="A1361" t="str">
        <f t="shared" si="44"/>
        <v>78661107866110</v>
      </c>
      <c r="B1361" t="str">
        <f t="shared" si="45"/>
        <v>7866110GC9060LL-M</v>
      </c>
      <c r="C1361" s="1" t="s">
        <v>55</v>
      </c>
      <c r="D1361" s="1" t="s">
        <v>596</v>
      </c>
      <c r="E1361" s="1" t="s">
        <v>385</v>
      </c>
      <c r="F1361" s="1" t="s">
        <v>386</v>
      </c>
      <c r="G1361" s="1" t="s">
        <v>387</v>
      </c>
      <c r="H1361" s="1">
        <v>564</v>
      </c>
      <c r="I1361" s="3">
        <v>46272</v>
      </c>
      <c r="J1361" s="3">
        <v>46289</v>
      </c>
      <c r="K1361" s="3" t="s">
        <v>2374</v>
      </c>
      <c r="L1361" s="22">
        <v>46272.69881292824</v>
      </c>
      <c r="M1361" s="20">
        <v>12</v>
      </c>
      <c r="N1361" s="1">
        <v>25</v>
      </c>
    </row>
    <row r="1362" spans="1:14" x14ac:dyDescent="0.25">
      <c r="A1362" t="str">
        <f t="shared" si="44"/>
        <v>78661107866110</v>
      </c>
      <c r="B1362" t="str">
        <f t="shared" si="45"/>
        <v>7866110GC9060LL-M</v>
      </c>
      <c r="C1362" s="1" t="s">
        <v>55</v>
      </c>
      <c r="D1362" s="1" t="s">
        <v>596</v>
      </c>
      <c r="E1362" s="1" t="s">
        <v>385</v>
      </c>
      <c r="F1362" s="1" t="s">
        <v>386</v>
      </c>
      <c r="G1362" s="1" t="s">
        <v>387</v>
      </c>
      <c r="H1362" s="1">
        <v>564</v>
      </c>
      <c r="I1362" s="3">
        <v>46272</v>
      </c>
      <c r="J1362" s="3">
        <v>46289</v>
      </c>
      <c r="K1362" s="3" t="s">
        <v>2374</v>
      </c>
      <c r="L1362" s="22">
        <v>46272.699437152776</v>
      </c>
      <c r="M1362" s="20">
        <v>12</v>
      </c>
      <c r="N1362" s="1">
        <v>6</v>
      </c>
    </row>
    <row r="1363" spans="1:14" x14ac:dyDescent="0.25">
      <c r="A1363" t="str">
        <f t="shared" si="44"/>
        <v>78661107866110</v>
      </c>
      <c r="B1363" t="str">
        <f t="shared" si="45"/>
        <v>7866110GC9060LL-M</v>
      </c>
      <c r="C1363" s="1" t="s">
        <v>55</v>
      </c>
      <c r="D1363" s="1" t="s">
        <v>596</v>
      </c>
      <c r="E1363" s="1" t="s">
        <v>385</v>
      </c>
      <c r="F1363" s="1" t="s">
        <v>386</v>
      </c>
      <c r="G1363" s="1" t="s">
        <v>387</v>
      </c>
      <c r="H1363" s="1">
        <v>564</v>
      </c>
      <c r="I1363" s="3">
        <v>46272</v>
      </c>
      <c r="J1363" s="3">
        <v>46289</v>
      </c>
      <c r="K1363" s="3" t="s">
        <v>2374</v>
      </c>
      <c r="L1363" s="22">
        <v>46272.742441469905</v>
      </c>
      <c r="M1363" s="20">
        <v>12</v>
      </c>
      <c r="N1363" s="1">
        <v>34</v>
      </c>
    </row>
    <row r="1364" spans="1:14" x14ac:dyDescent="0.25">
      <c r="A1364" t="str">
        <f t="shared" si="44"/>
        <v>78661107866110</v>
      </c>
      <c r="B1364" t="str">
        <f t="shared" si="45"/>
        <v>7866110GC9060LL-M</v>
      </c>
      <c r="C1364" s="1" t="s">
        <v>55</v>
      </c>
      <c r="D1364" s="1" t="s">
        <v>596</v>
      </c>
      <c r="E1364" s="1" t="s">
        <v>385</v>
      </c>
      <c r="F1364" s="1" t="s">
        <v>386</v>
      </c>
      <c r="G1364" s="1" t="s">
        <v>387</v>
      </c>
      <c r="H1364" s="1">
        <v>564</v>
      </c>
      <c r="I1364" s="3">
        <v>46272</v>
      </c>
      <c r="J1364" s="3">
        <v>46289</v>
      </c>
      <c r="K1364" s="3" t="s">
        <v>2374</v>
      </c>
      <c r="L1364" s="22">
        <v>46272.742711689811</v>
      </c>
      <c r="M1364" s="20">
        <v>12</v>
      </c>
      <c r="N1364" s="1">
        <v>27</v>
      </c>
    </row>
    <row r="1365" spans="1:14" x14ac:dyDescent="0.25">
      <c r="A1365" t="str">
        <f t="shared" si="44"/>
        <v>78661117866111</v>
      </c>
      <c r="B1365" t="str">
        <f t="shared" si="45"/>
        <v>7866111GC9060LL-M</v>
      </c>
      <c r="C1365" s="1" t="s">
        <v>55</v>
      </c>
      <c r="D1365" s="1" t="s">
        <v>602</v>
      </c>
      <c r="E1365" s="1" t="s">
        <v>385</v>
      </c>
      <c r="F1365" s="1" t="s">
        <v>386</v>
      </c>
      <c r="G1365" s="1" t="s">
        <v>387</v>
      </c>
      <c r="H1365" s="1">
        <v>600</v>
      </c>
      <c r="I1365" s="3">
        <v>46272</v>
      </c>
      <c r="J1365" s="3">
        <v>46289</v>
      </c>
      <c r="K1365" s="3" t="s">
        <v>2374</v>
      </c>
      <c r="L1365" s="22">
        <v>46272.644399999997</v>
      </c>
      <c r="M1365" s="20">
        <v>12</v>
      </c>
      <c r="N1365" s="1">
        <v>40</v>
      </c>
    </row>
    <row r="1366" spans="1:14" x14ac:dyDescent="0.25">
      <c r="A1366" t="str">
        <f t="shared" si="44"/>
        <v>78661117866111</v>
      </c>
      <c r="B1366" t="str">
        <f t="shared" si="45"/>
        <v>7866111GC9060LL-M</v>
      </c>
      <c r="C1366" s="1" t="s">
        <v>55</v>
      </c>
      <c r="D1366" s="1" t="s">
        <v>602</v>
      </c>
      <c r="E1366" s="1" t="s">
        <v>385</v>
      </c>
      <c r="F1366" s="1" t="s">
        <v>386</v>
      </c>
      <c r="G1366" s="1" t="s">
        <v>387</v>
      </c>
      <c r="H1366" s="1">
        <v>600</v>
      </c>
      <c r="I1366" s="3">
        <v>46272</v>
      </c>
      <c r="J1366" s="3">
        <v>46289</v>
      </c>
      <c r="K1366" s="3" t="s">
        <v>2374</v>
      </c>
      <c r="L1366" s="22">
        <v>46272.654284224533</v>
      </c>
      <c r="M1366" s="20">
        <v>12</v>
      </c>
      <c r="N1366" s="1">
        <v>41</v>
      </c>
    </row>
    <row r="1367" spans="1:14" x14ac:dyDescent="0.25">
      <c r="A1367" t="str">
        <f t="shared" si="44"/>
        <v>78661117866111</v>
      </c>
      <c r="B1367" t="str">
        <f t="shared" si="45"/>
        <v>7866111GC9060LL-M</v>
      </c>
      <c r="C1367" s="1" t="s">
        <v>55</v>
      </c>
      <c r="D1367" s="1" t="s">
        <v>602</v>
      </c>
      <c r="E1367" s="1" t="s">
        <v>385</v>
      </c>
      <c r="F1367" s="1" t="s">
        <v>386</v>
      </c>
      <c r="G1367" s="1" t="s">
        <v>387</v>
      </c>
      <c r="H1367" s="1">
        <v>600</v>
      </c>
      <c r="I1367" s="3">
        <v>46272</v>
      </c>
      <c r="J1367" s="3">
        <v>46289</v>
      </c>
      <c r="K1367" s="3" t="s">
        <v>2374</v>
      </c>
      <c r="L1367" s="22">
        <v>46272.673592210645</v>
      </c>
      <c r="M1367" s="20">
        <v>12</v>
      </c>
      <c r="N1367" s="1">
        <v>21</v>
      </c>
    </row>
    <row r="1368" spans="1:14" x14ac:dyDescent="0.25">
      <c r="A1368" t="str">
        <f t="shared" si="44"/>
        <v>78661117866111</v>
      </c>
      <c r="B1368" t="str">
        <f t="shared" si="45"/>
        <v>7866111GC9060LL-M</v>
      </c>
      <c r="C1368" s="1" t="s">
        <v>55</v>
      </c>
      <c r="D1368" s="1" t="s">
        <v>602</v>
      </c>
      <c r="E1368" s="1" t="s">
        <v>385</v>
      </c>
      <c r="F1368" s="1" t="s">
        <v>386</v>
      </c>
      <c r="G1368" s="1" t="s">
        <v>387</v>
      </c>
      <c r="H1368" s="1">
        <v>600</v>
      </c>
      <c r="I1368" s="3">
        <v>46272</v>
      </c>
      <c r="J1368" s="3">
        <v>46289</v>
      </c>
      <c r="K1368" s="3" t="s">
        <v>2374</v>
      </c>
      <c r="L1368" s="22">
        <v>46272.673886886572</v>
      </c>
      <c r="M1368" s="20">
        <v>12</v>
      </c>
      <c r="N1368" s="1">
        <v>42</v>
      </c>
    </row>
    <row r="1369" spans="1:14" x14ac:dyDescent="0.25">
      <c r="A1369" t="str">
        <f t="shared" si="44"/>
        <v>78661117866111</v>
      </c>
      <c r="B1369" t="str">
        <f t="shared" si="45"/>
        <v>7866111GC9060LL-M</v>
      </c>
      <c r="C1369" s="1" t="s">
        <v>55</v>
      </c>
      <c r="D1369" s="1" t="s">
        <v>602</v>
      </c>
      <c r="E1369" s="1" t="s">
        <v>385</v>
      </c>
      <c r="F1369" s="1" t="s">
        <v>386</v>
      </c>
      <c r="G1369" s="1" t="s">
        <v>387</v>
      </c>
      <c r="H1369" s="1">
        <v>600</v>
      </c>
      <c r="I1369" s="3">
        <v>46272</v>
      </c>
      <c r="J1369" s="3">
        <v>46289</v>
      </c>
      <c r="K1369" s="3" t="s">
        <v>2374</v>
      </c>
      <c r="L1369" s="22">
        <v>46272.674492939812</v>
      </c>
      <c r="M1369" s="20">
        <v>12</v>
      </c>
      <c r="N1369" s="1">
        <v>5</v>
      </c>
    </row>
    <row r="1370" spans="1:14" x14ac:dyDescent="0.25">
      <c r="A1370" t="str">
        <f t="shared" si="44"/>
        <v>78661117866111</v>
      </c>
      <c r="B1370" t="str">
        <f t="shared" si="45"/>
        <v>7866111GC9060LL-M</v>
      </c>
      <c r="C1370" s="1" t="s">
        <v>55</v>
      </c>
      <c r="D1370" s="1" t="s">
        <v>602</v>
      </c>
      <c r="E1370" s="1" t="s">
        <v>385</v>
      </c>
      <c r="F1370" s="1" t="s">
        <v>386</v>
      </c>
      <c r="G1370" s="1" t="s">
        <v>387</v>
      </c>
      <c r="H1370" s="1">
        <v>600</v>
      </c>
      <c r="I1370" s="3">
        <v>46272</v>
      </c>
      <c r="J1370" s="3">
        <v>46289</v>
      </c>
      <c r="K1370" s="3" t="s">
        <v>2374</v>
      </c>
      <c r="L1370" s="22">
        <v>46272.675440543979</v>
      </c>
      <c r="M1370" s="20">
        <v>12</v>
      </c>
      <c r="N1370" s="1">
        <v>2</v>
      </c>
    </row>
    <row r="1371" spans="1:14" x14ac:dyDescent="0.25">
      <c r="A1371" t="str">
        <f t="shared" si="44"/>
        <v>78661117866111</v>
      </c>
      <c r="B1371" t="str">
        <f t="shared" si="45"/>
        <v>7866111GC9060LL-M</v>
      </c>
      <c r="C1371" s="1" t="s">
        <v>55</v>
      </c>
      <c r="D1371" s="1" t="s">
        <v>602</v>
      </c>
      <c r="E1371" s="1" t="s">
        <v>385</v>
      </c>
      <c r="F1371" s="1" t="s">
        <v>386</v>
      </c>
      <c r="G1371" s="1" t="s">
        <v>387</v>
      </c>
      <c r="H1371" s="1">
        <v>600</v>
      </c>
      <c r="I1371" s="3">
        <v>46272</v>
      </c>
      <c r="J1371" s="3">
        <v>46289</v>
      </c>
      <c r="K1371" s="3" t="s">
        <v>2374</v>
      </c>
      <c r="L1371" s="22">
        <v>46272.675755706019</v>
      </c>
      <c r="M1371" s="20">
        <v>12</v>
      </c>
      <c r="N1371" s="1">
        <v>43</v>
      </c>
    </row>
    <row r="1372" spans="1:14" x14ac:dyDescent="0.25">
      <c r="A1372" t="str">
        <f t="shared" si="44"/>
        <v>78661117866111</v>
      </c>
      <c r="B1372" t="str">
        <f t="shared" si="45"/>
        <v>7866111GC9060LL-M</v>
      </c>
      <c r="C1372" s="1" t="s">
        <v>55</v>
      </c>
      <c r="D1372" s="1" t="s">
        <v>602</v>
      </c>
      <c r="E1372" s="1" t="s">
        <v>385</v>
      </c>
      <c r="F1372" s="1" t="s">
        <v>386</v>
      </c>
      <c r="G1372" s="1" t="s">
        <v>387</v>
      </c>
      <c r="H1372" s="1">
        <v>600</v>
      </c>
      <c r="I1372" s="3">
        <v>46272</v>
      </c>
      <c r="J1372" s="3">
        <v>46289</v>
      </c>
      <c r="K1372" s="3" t="s">
        <v>2374</v>
      </c>
      <c r="L1372" s="22">
        <v>46272.68231585648</v>
      </c>
      <c r="M1372" s="20">
        <v>12</v>
      </c>
      <c r="N1372" s="1">
        <v>4</v>
      </c>
    </row>
    <row r="1373" spans="1:14" x14ac:dyDescent="0.25">
      <c r="A1373" t="str">
        <f t="shared" si="44"/>
        <v>78661117866111</v>
      </c>
      <c r="B1373" t="str">
        <f t="shared" si="45"/>
        <v>7866111GC9060LL-M</v>
      </c>
      <c r="C1373" s="1" t="s">
        <v>55</v>
      </c>
      <c r="D1373" s="1" t="s">
        <v>602</v>
      </c>
      <c r="E1373" s="1" t="s">
        <v>385</v>
      </c>
      <c r="F1373" s="1" t="s">
        <v>386</v>
      </c>
      <c r="G1373" s="1" t="s">
        <v>387</v>
      </c>
      <c r="H1373" s="1">
        <v>600</v>
      </c>
      <c r="I1373" s="3">
        <v>46272</v>
      </c>
      <c r="J1373" s="3">
        <v>46289</v>
      </c>
      <c r="K1373" s="3" t="s">
        <v>2374</v>
      </c>
      <c r="L1373" s="22">
        <v>46272.685179664353</v>
      </c>
      <c r="M1373" s="20">
        <v>12</v>
      </c>
      <c r="N1373" s="1">
        <v>3</v>
      </c>
    </row>
    <row r="1374" spans="1:14" x14ac:dyDescent="0.25">
      <c r="A1374" t="str">
        <f t="shared" si="44"/>
        <v>78661117866111</v>
      </c>
      <c r="B1374" t="str">
        <f t="shared" si="45"/>
        <v>7866111GC9060LL-M</v>
      </c>
      <c r="C1374" s="1" t="s">
        <v>55</v>
      </c>
      <c r="D1374" s="1" t="s">
        <v>602</v>
      </c>
      <c r="E1374" s="1" t="s">
        <v>385</v>
      </c>
      <c r="F1374" s="1" t="s">
        <v>386</v>
      </c>
      <c r="G1374" s="1" t="s">
        <v>387</v>
      </c>
      <c r="H1374" s="1">
        <v>600</v>
      </c>
      <c r="I1374" s="3">
        <v>46272</v>
      </c>
      <c r="J1374" s="3">
        <v>46289</v>
      </c>
      <c r="K1374" s="3" t="s">
        <v>2374</v>
      </c>
      <c r="L1374" s="22">
        <v>46272.693825775459</v>
      </c>
      <c r="M1374" s="20">
        <v>12</v>
      </c>
      <c r="N1374" s="1">
        <v>1</v>
      </c>
    </row>
    <row r="1375" spans="1:14" x14ac:dyDescent="0.25">
      <c r="A1375" t="str">
        <f t="shared" si="44"/>
        <v>78661117866111</v>
      </c>
      <c r="B1375" t="str">
        <f t="shared" si="45"/>
        <v>7866111GC9060LL-M</v>
      </c>
      <c r="C1375" s="1" t="s">
        <v>55</v>
      </c>
      <c r="D1375" s="1" t="s">
        <v>602</v>
      </c>
      <c r="E1375" s="1" t="s">
        <v>385</v>
      </c>
      <c r="F1375" s="1" t="s">
        <v>386</v>
      </c>
      <c r="G1375" s="1" t="s">
        <v>387</v>
      </c>
      <c r="H1375" s="1">
        <v>600</v>
      </c>
      <c r="I1375" s="3">
        <v>46272</v>
      </c>
      <c r="J1375" s="3">
        <v>46289</v>
      </c>
      <c r="K1375" s="3" t="s">
        <v>2374</v>
      </c>
      <c r="L1375" s="22">
        <v>46272.70876681713</v>
      </c>
      <c r="M1375" s="20">
        <v>12</v>
      </c>
      <c r="N1375" s="1">
        <v>13</v>
      </c>
    </row>
    <row r="1376" spans="1:14" x14ac:dyDescent="0.25">
      <c r="A1376" t="str">
        <f t="shared" si="44"/>
        <v>78661117866111</v>
      </c>
      <c r="B1376" t="str">
        <f t="shared" si="45"/>
        <v>7866111GC9060LL-M</v>
      </c>
      <c r="C1376" s="1" t="s">
        <v>55</v>
      </c>
      <c r="D1376" s="1" t="s">
        <v>602</v>
      </c>
      <c r="E1376" s="1" t="s">
        <v>385</v>
      </c>
      <c r="F1376" s="1" t="s">
        <v>386</v>
      </c>
      <c r="G1376" s="1" t="s">
        <v>387</v>
      </c>
      <c r="H1376" s="1">
        <v>600</v>
      </c>
      <c r="I1376" s="3">
        <v>46272</v>
      </c>
      <c r="J1376" s="3">
        <v>46289</v>
      </c>
      <c r="K1376" s="3" t="s">
        <v>2374</v>
      </c>
      <c r="L1376" s="22">
        <v>46272.741069675925</v>
      </c>
      <c r="M1376" s="20">
        <v>12</v>
      </c>
      <c r="N1376" s="1">
        <v>9</v>
      </c>
    </row>
    <row r="1377" spans="1:14" x14ac:dyDescent="0.25">
      <c r="A1377" t="str">
        <f t="shared" si="44"/>
        <v>78661117866111</v>
      </c>
      <c r="B1377" t="str">
        <f t="shared" si="45"/>
        <v>7866111GC9060LL-M</v>
      </c>
      <c r="C1377" s="1" t="s">
        <v>55</v>
      </c>
      <c r="D1377" s="1" t="s">
        <v>602</v>
      </c>
      <c r="E1377" s="1" t="s">
        <v>385</v>
      </c>
      <c r="F1377" s="1" t="s">
        <v>386</v>
      </c>
      <c r="G1377" s="1" t="s">
        <v>387</v>
      </c>
      <c r="H1377" s="1">
        <v>600</v>
      </c>
      <c r="I1377" s="3">
        <v>46272</v>
      </c>
      <c r="J1377" s="3">
        <v>46289</v>
      </c>
      <c r="K1377" s="3" t="s">
        <v>2374</v>
      </c>
      <c r="L1377" s="22">
        <v>46272.74219513889</v>
      </c>
      <c r="M1377" s="20">
        <v>12</v>
      </c>
      <c r="N1377" s="1">
        <v>44</v>
      </c>
    </row>
    <row r="1378" spans="1:14" x14ac:dyDescent="0.25">
      <c r="A1378" t="str">
        <f t="shared" si="44"/>
        <v>78661207866120</v>
      </c>
      <c r="B1378" t="str">
        <f t="shared" si="45"/>
        <v>7866120M997H9T8-D</v>
      </c>
      <c r="C1378" s="1" t="s">
        <v>485</v>
      </c>
      <c r="D1378" s="1" t="s">
        <v>600</v>
      </c>
      <c r="E1378" s="1" t="s">
        <v>385</v>
      </c>
      <c r="F1378" s="1" t="s">
        <v>386</v>
      </c>
      <c r="G1378" s="1" t="s">
        <v>387</v>
      </c>
      <c r="H1378" s="1">
        <v>1836</v>
      </c>
      <c r="I1378" s="3">
        <v>46272</v>
      </c>
      <c r="L1378" s="22">
        <v>46272.59248313657</v>
      </c>
      <c r="M1378" s="20">
        <v>12</v>
      </c>
      <c r="N1378" s="1">
        <v>130</v>
      </c>
    </row>
    <row r="1379" spans="1:14" x14ac:dyDescent="0.25">
      <c r="A1379" t="str">
        <f t="shared" si="44"/>
        <v>78661207866120</v>
      </c>
      <c r="B1379" t="str">
        <f t="shared" si="45"/>
        <v>7866120M997H9T8-D</v>
      </c>
      <c r="C1379" s="1" t="s">
        <v>485</v>
      </c>
      <c r="D1379" s="1" t="s">
        <v>600</v>
      </c>
      <c r="E1379" s="1" t="s">
        <v>385</v>
      </c>
      <c r="F1379" s="1" t="s">
        <v>386</v>
      </c>
      <c r="G1379" s="1" t="s">
        <v>387</v>
      </c>
      <c r="H1379" s="1">
        <v>1836</v>
      </c>
      <c r="I1379" s="3">
        <v>46272</v>
      </c>
      <c r="L1379" s="22">
        <v>46272.599414004624</v>
      </c>
      <c r="M1379" s="20">
        <v>12</v>
      </c>
      <c r="N1379" s="1">
        <v>142</v>
      </c>
    </row>
    <row r="1380" spans="1:14" x14ac:dyDescent="0.25">
      <c r="A1380" t="str">
        <f t="shared" si="44"/>
        <v>78661207866120</v>
      </c>
      <c r="B1380" t="str">
        <f t="shared" si="45"/>
        <v>7866120M997H9T8-D</v>
      </c>
      <c r="C1380" s="1" t="s">
        <v>485</v>
      </c>
      <c r="D1380" s="1" t="s">
        <v>600</v>
      </c>
      <c r="E1380" s="1" t="s">
        <v>385</v>
      </c>
      <c r="F1380" s="1" t="s">
        <v>386</v>
      </c>
      <c r="G1380" s="1" t="s">
        <v>387</v>
      </c>
      <c r="H1380" s="1">
        <v>1836</v>
      </c>
      <c r="I1380" s="3">
        <v>46272</v>
      </c>
      <c r="L1380" s="22">
        <v>46272.59994699074</v>
      </c>
      <c r="M1380" s="20">
        <v>12</v>
      </c>
      <c r="N1380" s="1">
        <v>111</v>
      </c>
    </row>
    <row r="1381" spans="1:14" x14ac:dyDescent="0.25">
      <c r="A1381" t="str">
        <f t="shared" si="44"/>
        <v>78661207866120</v>
      </c>
      <c r="B1381" t="str">
        <f t="shared" si="45"/>
        <v>7866120M997H9T8-D</v>
      </c>
      <c r="C1381" s="1" t="s">
        <v>485</v>
      </c>
      <c r="D1381" s="1" t="s">
        <v>600</v>
      </c>
      <c r="E1381" s="1" t="s">
        <v>385</v>
      </c>
      <c r="F1381" s="1" t="s">
        <v>386</v>
      </c>
      <c r="G1381" s="1" t="s">
        <v>387</v>
      </c>
      <c r="H1381" s="1">
        <v>1836</v>
      </c>
      <c r="I1381" s="3">
        <v>46272</v>
      </c>
      <c r="L1381" s="22">
        <v>46272.621346527776</v>
      </c>
      <c r="M1381" s="20">
        <v>12</v>
      </c>
      <c r="N1381" s="1">
        <v>129</v>
      </c>
    </row>
    <row r="1382" spans="1:14" x14ac:dyDescent="0.25">
      <c r="A1382" t="str">
        <f t="shared" si="44"/>
        <v>78661207866120</v>
      </c>
      <c r="B1382" t="str">
        <f t="shared" si="45"/>
        <v>7866120M997H9T8-D</v>
      </c>
      <c r="C1382" s="1" t="s">
        <v>485</v>
      </c>
      <c r="D1382" s="1" t="s">
        <v>600</v>
      </c>
      <c r="E1382" s="1" t="s">
        <v>385</v>
      </c>
      <c r="F1382" s="1" t="s">
        <v>386</v>
      </c>
      <c r="G1382" s="1" t="s">
        <v>387</v>
      </c>
      <c r="H1382" s="1">
        <v>1836</v>
      </c>
      <c r="I1382" s="3">
        <v>46272</v>
      </c>
      <c r="L1382" s="22">
        <v>46272.621699884257</v>
      </c>
      <c r="M1382" s="20">
        <v>12</v>
      </c>
      <c r="N1382" s="1">
        <v>99</v>
      </c>
    </row>
    <row r="1383" spans="1:14" x14ac:dyDescent="0.25">
      <c r="A1383" t="str">
        <f t="shared" si="44"/>
        <v>78661207866120</v>
      </c>
      <c r="B1383" t="str">
        <f t="shared" si="45"/>
        <v>7866120M997H9T8-D</v>
      </c>
      <c r="C1383" s="1" t="s">
        <v>485</v>
      </c>
      <c r="D1383" s="1" t="s">
        <v>600</v>
      </c>
      <c r="E1383" s="1" t="s">
        <v>385</v>
      </c>
      <c r="F1383" s="1" t="s">
        <v>386</v>
      </c>
      <c r="G1383" s="1" t="s">
        <v>387</v>
      </c>
      <c r="H1383" s="1">
        <v>1836</v>
      </c>
      <c r="I1383" s="3">
        <v>46272</v>
      </c>
      <c r="L1383" s="22">
        <v>46272.622603321761</v>
      </c>
      <c r="M1383" s="20">
        <v>12</v>
      </c>
      <c r="N1383" s="1">
        <v>141</v>
      </c>
    </row>
    <row r="1384" spans="1:14" x14ac:dyDescent="0.25">
      <c r="A1384" t="str">
        <f t="shared" si="44"/>
        <v>78661207866120</v>
      </c>
      <c r="B1384" t="str">
        <f t="shared" si="45"/>
        <v>7866120M997H9T8-D</v>
      </c>
      <c r="C1384" s="1" t="s">
        <v>485</v>
      </c>
      <c r="D1384" s="1" t="s">
        <v>600</v>
      </c>
      <c r="E1384" s="1" t="s">
        <v>385</v>
      </c>
      <c r="F1384" s="1" t="s">
        <v>386</v>
      </c>
      <c r="G1384" s="1" t="s">
        <v>387</v>
      </c>
      <c r="H1384" s="1">
        <v>1836</v>
      </c>
      <c r="I1384" s="3">
        <v>46272</v>
      </c>
      <c r="L1384" s="22">
        <v>46272.624893402775</v>
      </c>
      <c r="M1384" s="20">
        <v>12</v>
      </c>
      <c r="N1384" s="1">
        <v>110</v>
      </c>
    </row>
    <row r="1385" spans="1:14" x14ac:dyDescent="0.25">
      <c r="A1385" t="str">
        <f t="shared" si="44"/>
        <v>78661207866120</v>
      </c>
      <c r="B1385" t="str">
        <f t="shared" si="45"/>
        <v>7866120M997H9T8-D</v>
      </c>
      <c r="C1385" s="1" t="s">
        <v>485</v>
      </c>
      <c r="D1385" s="1" t="s">
        <v>600</v>
      </c>
      <c r="E1385" s="1" t="s">
        <v>385</v>
      </c>
      <c r="F1385" s="1" t="s">
        <v>386</v>
      </c>
      <c r="G1385" s="1" t="s">
        <v>387</v>
      </c>
      <c r="H1385" s="1">
        <v>1836</v>
      </c>
      <c r="I1385" s="3">
        <v>46272</v>
      </c>
      <c r="L1385" s="22">
        <v>46272.625653506941</v>
      </c>
      <c r="M1385" s="20">
        <v>12</v>
      </c>
      <c r="N1385" s="1">
        <v>121</v>
      </c>
    </row>
    <row r="1386" spans="1:14" x14ac:dyDescent="0.25">
      <c r="A1386" t="str">
        <f t="shared" si="44"/>
        <v>78661207866120</v>
      </c>
      <c r="B1386" t="str">
        <f t="shared" si="45"/>
        <v>7866120M997H9T8-D</v>
      </c>
      <c r="C1386" s="1" t="s">
        <v>485</v>
      </c>
      <c r="D1386" s="1" t="s">
        <v>600</v>
      </c>
      <c r="E1386" s="1" t="s">
        <v>385</v>
      </c>
      <c r="F1386" s="1" t="s">
        <v>386</v>
      </c>
      <c r="G1386" s="1" t="s">
        <v>387</v>
      </c>
      <c r="H1386" s="1">
        <v>1836</v>
      </c>
      <c r="I1386" s="3">
        <v>46272</v>
      </c>
      <c r="L1386" s="22">
        <v>46272.654161805556</v>
      </c>
      <c r="M1386" s="20">
        <v>12</v>
      </c>
      <c r="N1386" s="1">
        <v>98</v>
      </c>
    </row>
    <row r="1387" spans="1:14" x14ac:dyDescent="0.25">
      <c r="A1387" t="str">
        <f t="shared" si="44"/>
        <v>78661207866120</v>
      </c>
      <c r="B1387" t="str">
        <f t="shared" si="45"/>
        <v>7866120M997H9T8-D</v>
      </c>
      <c r="C1387" s="1" t="s">
        <v>485</v>
      </c>
      <c r="D1387" s="1" t="s">
        <v>600</v>
      </c>
      <c r="E1387" s="1" t="s">
        <v>385</v>
      </c>
      <c r="F1387" s="1" t="s">
        <v>386</v>
      </c>
      <c r="G1387" s="1" t="s">
        <v>387</v>
      </c>
      <c r="H1387" s="1">
        <v>1836</v>
      </c>
      <c r="I1387" s="3">
        <v>46272</v>
      </c>
      <c r="L1387" s="22">
        <v>46272.654497719908</v>
      </c>
      <c r="M1387" s="20">
        <v>12</v>
      </c>
      <c r="N1387" s="1">
        <v>122</v>
      </c>
    </row>
    <row r="1388" spans="1:14" x14ac:dyDescent="0.25">
      <c r="A1388" t="str">
        <f t="shared" si="44"/>
        <v>78661207866120</v>
      </c>
      <c r="B1388" t="str">
        <f t="shared" si="45"/>
        <v>7866120M997H9T8-D</v>
      </c>
      <c r="C1388" s="1" t="s">
        <v>485</v>
      </c>
      <c r="D1388" s="1" t="s">
        <v>600</v>
      </c>
      <c r="E1388" s="1" t="s">
        <v>385</v>
      </c>
      <c r="F1388" s="1" t="s">
        <v>386</v>
      </c>
      <c r="G1388" s="1" t="s">
        <v>387</v>
      </c>
      <c r="H1388" s="1">
        <v>1836</v>
      </c>
      <c r="I1388" s="3">
        <v>46272</v>
      </c>
      <c r="L1388" s="22">
        <v>46272.656465474538</v>
      </c>
      <c r="M1388" s="20">
        <v>12</v>
      </c>
      <c r="N1388" s="1">
        <v>132</v>
      </c>
    </row>
    <row r="1389" spans="1:14" x14ac:dyDescent="0.25">
      <c r="A1389" t="str">
        <f t="shared" si="44"/>
        <v>78661207866120</v>
      </c>
      <c r="B1389" t="str">
        <f t="shared" si="45"/>
        <v>7866120M997H9T8-D</v>
      </c>
      <c r="C1389" s="1" t="s">
        <v>485</v>
      </c>
      <c r="D1389" s="1" t="s">
        <v>600</v>
      </c>
      <c r="E1389" s="1" t="s">
        <v>385</v>
      </c>
      <c r="F1389" s="1" t="s">
        <v>386</v>
      </c>
      <c r="G1389" s="1" t="s">
        <v>387</v>
      </c>
      <c r="H1389" s="1">
        <v>1836</v>
      </c>
      <c r="I1389" s="3">
        <v>46272</v>
      </c>
      <c r="L1389" s="22">
        <v>46272.663528356483</v>
      </c>
      <c r="M1389" s="20">
        <v>12</v>
      </c>
      <c r="N1389" s="1">
        <v>113</v>
      </c>
    </row>
    <row r="1390" spans="1:14" x14ac:dyDescent="0.25">
      <c r="A1390" t="str">
        <f t="shared" si="44"/>
        <v>78661207866120</v>
      </c>
      <c r="B1390" t="str">
        <f t="shared" si="45"/>
        <v>7866120M997H9T8-D</v>
      </c>
      <c r="C1390" s="1" t="s">
        <v>485</v>
      </c>
      <c r="D1390" s="1" t="s">
        <v>600</v>
      </c>
      <c r="E1390" s="1" t="s">
        <v>385</v>
      </c>
      <c r="F1390" s="1" t="s">
        <v>386</v>
      </c>
      <c r="G1390" s="1" t="s">
        <v>387</v>
      </c>
      <c r="H1390" s="1">
        <v>1836</v>
      </c>
      <c r="I1390" s="3">
        <v>46272</v>
      </c>
      <c r="L1390" s="22">
        <v>46272.663698576383</v>
      </c>
      <c r="M1390" s="20">
        <v>12</v>
      </c>
      <c r="N1390" s="1">
        <v>137</v>
      </c>
    </row>
    <row r="1391" spans="1:14" x14ac:dyDescent="0.25">
      <c r="A1391" t="str">
        <f t="shared" si="44"/>
        <v>78661207866120</v>
      </c>
      <c r="B1391" t="str">
        <f t="shared" si="45"/>
        <v>7866120M997H9T8-D</v>
      </c>
      <c r="C1391" s="1" t="s">
        <v>485</v>
      </c>
      <c r="D1391" s="1" t="s">
        <v>600</v>
      </c>
      <c r="E1391" s="1" t="s">
        <v>385</v>
      </c>
      <c r="F1391" s="1" t="s">
        <v>386</v>
      </c>
      <c r="G1391" s="1" t="s">
        <v>387</v>
      </c>
      <c r="H1391" s="1">
        <v>1836</v>
      </c>
      <c r="I1391" s="3">
        <v>46272</v>
      </c>
      <c r="L1391" s="22">
        <v>46272.678888229166</v>
      </c>
      <c r="M1391" s="20">
        <v>12</v>
      </c>
      <c r="N1391" s="1">
        <v>134</v>
      </c>
    </row>
    <row r="1392" spans="1:14" x14ac:dyDescent="0.25">
      <c r="A1392" t="str">
        <f t="shared" si="44"/>
        <v>78661207866120</v>
      </c>
      <c r="B1392" t="str">
        <f t="shared" si="45"/>
        <v>7866120M997H9T8-D</v>
      </c>
      <c r="C1392" s="1" t="s">
        <v>485</v>
      </c>
      <c r="D1392" s="1" t="s">
        <v>600</v>
      </c>
      <c r="E1392" s="1" t="s">
        <v>385</v>
      </c>
      <c r="F1392" s="1" t="s">
        <v>386</v>
      </c>
      <c r="G1392" s="1" t="s">
        <v>387</v>
      </c>
      <c r="H1392" s="1">
        <v>1836</v>
      </c>
      <c r="I1392" s="3">
        <v>46272</v>
      </c>
      <c r="L1392" s="22">
        <v>46272.679135416663</v>
      </c>
      <c r="M1392" s="20">
        <v>12</v>
      </c>
      <c r="N1392" s="1">
        <v>91</v>
      </c>
    </row>
    <row r="1393" spans="1:14" x14ac:dyDescent="0.25">
      <c r="A1393" t="str">
        <f t="shared" si="44"/>
        <v>78661207866120</v>
      </c>
      <c r="B1393" t="str">
        <f t="shared" si="45"/>
        <v>7866120M997H9T8-D</v>
      </c>
      <c r="C1393" s="1" t="s">
        <v>485</v>
      </c>
      <c r="D1393" s="1" t="s">
        <v>600</v>
      </c>
      <c r="E1393" s="1" t="s">
        <v>385</v>
      </c>
      <c r="F1393" s="1" t="s">
        <v>386</v>
      </c>
      <c r="G1393" s="1" t="s">
        <v>387</v>
      </c>
      <c r="H1393" s="1">
        <v>1836</v>
      </c>
      <c r="I1393" s="3">
        <v>46272</v>
      </c>
      <c r="L1393" s="22">
        <v>46272.692388854164</v>
      </c>
      <c r="M1393" s="20">
        <v>12</v>
      </c>
      <c r="N1393" s="1">
        <v>101</v>
      </c>
    </row>
    <row r="1394" spans="1:14" x14ac:dyDescent="0.25">
      <c r="A1394" t="str">
        <f t="shared" si="44"/>
        <v>78661207866120</v>
      </c>
      <c r="B1394" t="str">
        <f t="shared" si="45"/>
        <v>7866120M997H9T8-D</v>
      </c>
      <c r="C1394" s="1" t="s">
        <v>485</v>
      </c>
      <c r="D1394" s="1" t="s">
        <v>600</v>
      </c>
      <c r="E1394" s="1" t="s">
        <v>385</v>
      </c>
      <c r="F1394" s="1" t="s">
        <v>386</v>
      </c>
      <c r="G1394" s="1" t="s">
        <v>387</v>
      </c>
      <c r="H1394" s="1">
        <v>1836</v>
      </c>
      <c r="I1394" s="3">
        <v>46272</v>
      </c>
      <c r="L1394" s="22">
        <v>46272.693207523145</v>
      </c>
      <c r="M1394" s="20">
        <v>12</v>
      </c>
      <c r="N1394" s="1">
        <v>90</v>
      </c>
    </row>
    <row r="1395" spans="1:14" x14ac:dyDescent="0.25">
      <c r="A1395" t="str">
        <f t="shared" si="44"/>
        <v>78661207866120</v>
      </c>
      <c r="B1395" t="str">
        <f t="shared" si="45"/>
        <v>7866120M997H9T8-D</v>
      </c>
      <c r="C1395" s="1" t="s">
        <v>485</v>
      </c>
      <c r="D1395" s="1" t="s">
        <v>600</v>
      </c>
      <c r="E1395" s="1" t="s">
        <v>385</v>
      </c>
      <c r="F1395" s="1" t="s">
        <v>386</v>
      </c>
      <c r="G1395" s="1" t="s">
        <v>387</v>
      </c>
      <c r="H1395" s="1">
        <v>1836</v>
      </c>
      <c r="I1395" s="3">
        <v>46272</v>
      </c>
      <c r="L1395" s="22">
        <v>46272.693475462962</v>
      </c>
      <c r="M1395" s="20">
        <v>12</v>
      </c>
      <c r="N1395" s="1">
        <v>125</v>
      </c>
    </row>
    <row r="1396" spans="1:14" x14ac:dyDescent="0.25">
      <c r="A1396" t="str">
        <f t="shared" si="44"/>
        <v>78661207866120</v>
      </c>
      <c r="B1396" t="str">
        <f t="shared" si="45"/>
        <v>7866120M997H9T8-D</v>
      </c>
      <c r="C1396" s="1" t="s">
        <v>485</v>
      </c>
      <c r="D1396" s="1" t="s">
        <v>600</v>
      </c>
      <c r="E1396" s="1" t="s">
        <v>385</v>
      </c>
      <c r="F1396" s="1" t="s">
        <v>386</v>
      </c>
      <c r="G1396" s="1" t="s">
        <v>387</v>
      </c>
      <c r="H1396" s="1">
        <v>1836</v>
      </c>
      <c r="I1396" s="3">
        <v>46272</v>
      </c>
      <c r="L1396" s="22">
        <v>46272.694973958329</v>
      </c>
      <c r="M1396" s="20">
        <v>12</v>
      </c>
      <c r="N1396" s="1">
        <v>115</v>
      </c>
    </row>
    <row r="1397" spans="1:14" x14ac:dyDescent="0.25">
      <c r="A1397" t="str">
        <f t="shared" si="44"/>
        <v>78661207866120</v>
      </c>
      <c r="B1397" t="str">
        <f t="shared" si="45"/>
        <v>7866120M997H9T8-D</v>
      </c>
      <c r="C1397" s="1" t="s">
        <v>485</v>
      </c>
      <c r="D1397" s="1" t="s">
        <v>600</v>
      </c>
      <c r="E1397" s="1" t="s">
        <v>385</v>
      </c>
      <c r="F1397" s="1" t="s">
        <v>386</v>
      </c>
      <c r="G1397" s="1" t="s">
        <v>387</v>
      </c>
      <c r="H1397" s="1">
        <v>1836</v>
      </c>
      <c r="I1397" s="3">
        <v>46272</v>
      </c>
      <c r="L1397" s="22">
        <v>46272.695475347224</v>
      </c>
      <c r="M1397" s="20">
        <v>12</v>
      </c>
      <c r="N1397" s="1">
        <v>144</v>
      </c>
    </row>
    <row r="1398" spans="1:14" x14ac:dyDescent="0.25">
      <c r="A1398" t="str">
        <f t="shared" si="44"/>
        <v>78661207866120</v>
      </c>
      <c r="B1398" t="str">
        <f t="shared" si="45"/>
        <v>7866120M997H9T8-D</v>
      </c>
      <c r="C1398" s="1" t="s">
        <v>485</v>
      </c>
      <c r="D1398" s="1" t="s">
        <v>600</v>
      </c>
      <c r="E1398" s="1" t="s">
        <v>385</v>
      </c>
      <c r="F1398" s="1" t="s">
        <v>386</v>
      </c>
      <c r="G1398" s="1" t="s">
        <v>387</v>
      </c>
      <c r="H1398" s="1">
        <v>1836</v>
      </c>
      <c r="I1398" s="3">
        <v>46272</v>
      </c>
      <c r="L1398" s="22">
        <v>46272.716294826387</v>
      </c>
      <c r="M1398" s="20">
        <v>12</v>
      </c>
      <c r="N1398" s="1">
        <v>114</v>
      </c>
    </row>
    <row r="1399" spans="1:14" x14ac:dyDescent="0.25">
      <c r="A1399" t="str">
        <f t="shared" si="44"/>
        <v>78661207866120</v>
      </c>
      <c r="B1399" t="str">
        <f t="shared" si="45"/>
        <v>7866120M997H9T8-D</v>
      </c>
      <c r="C1399" s="1" t="s">
        <v>485</v>
      </c>
      <c r="D1399" s="1" t="s">
        <v>600</v>
      </c>
      <c r="E1399" s="1" t="s">
        <v>385</v>
      </c>
      <c r="F1399" s="1" t="s">
        <v>386</v>
      </c>
      <c r="G1399" s="1" t="s">
        <v>387</v>
      </c>
      <c r="H1399" s="1">
        <v>1836</v>
      </c>
      <c r="I1399" s="3">
        <v>46272</v>
      </c>
      <c r="L1399" s="22">
        <v>46272.716999456017</v>
      </c>
      <c r="M1399" s="20">
        <v>12</v>
      </c>
      <c r="N1399" s="1">
        <v>100</v>
      </c>
    </row>
    <row r="1400" spans="1:14" x14ac:dyDescent="0.25">
      <c r="A1400" t="str">
        <f t="shared" si="44"/>
        <v>78764617876461</v>
      </c>
      <c r="B1400" t="str">
        <f t="shared" si="45"/>
        <v>7876461P204L9OY-M</v>
      </c>
      <c r="C1400" s="1" t="s">
        <v>477</v>
      </c>
      <c r="D1400" s="1" t="s">
        <v>597</v>
      </c>
      <c r="E1400" s="1" t="s">
        <v>385</v>
      </c>
      <c r="F1400" s="1" t="s">
        <v>386</v>
      </c>
      <c r="G1400" s="1" t="s">
        <v>387</v>
      </c>
      <c r="H1400" s="1">
        <v>522</v>
      </c>
      <c r="I1400" s="3">
        <v>46272</v>
      </c>
      <c r="J1400" s="3">
        <v>46282</v>
      </c>
      <c r="K1400" s="3" t="s">
        <v>2350</v>
      </c>
      <c r="L1400" s="22">
        <v>46272.467736539351</v>
      </c>
      <c r="M1400" s="20">
        <v>12</v>
      </c>
      <c r="N1400" s="1">
        <v>23</v>
      </c>
    </row>
    <row r="1401" spans="1:14" x14ac:dyDescent="0.25">
      <c r="A1401" t="str">
        <f t="shared" si="44"/>
        <v>78764617876461</v>
      </c>
      <c r="B1401" t="str">
        <f t="shared" si="45"/>
        <v>7876461P204L9OY-M</v>
      </c>
      <c r="C1401" s="1" t="s">
        <v>477</v>
      </c>
      <c r="D1401" s="1" t="s">
        <v>597</v>
      </c>
      <c r="E1401" s="1" t="s">
        <v>385</v>
      </c>
      <c r="F1401" s="1" t="s">
        <v>386</v>
      </c>
      <c r="G1401" s="1" t="s">
        <v>387</v>
      </c>
      <c r="H1401" s="1">
        <v>522</v>
      </c>
      <c r="I1401" s="3">
        <v>46272</v>
      </c>
      <c r="J1401" s="3">
        <v>46282</v>
      </c>
      <c r="K1401" s="3" t="s">
        <v>2350</v>
      </c>
      <c r="L1401" s="22">
        <v>46272.576043136571</v>
      </c>
      <c r="M1401" s="20">
        <v>12</v>
      </c>
      <c r="N1401" s="1">
        <v>36</v>
      </c>
    </row>
    <row r="1402" spans="1:14" x14ac:dyDescent="0.25">
      <c r="A1402" t="str">
        <f t="shared" si="44"/>
        <v>78764617876461</v>
      </c>
      <c r="B1402" t="str">
        <f t="shared" si="45"/>
        <v>7876461P204L9OY-M</v>
      </c>
      <c r="C1402" s="1" t="s">
        <v>477</v>
      </c>
      <c r="D1402" s="1" t="s">
        <v>597</v>
      </c>
      <c r="E1402" s="1" t="s">
        <v>385</v>
      </c>
      <c r="F1402" s="1" t="s">
        <v>386</v>
      </c>
      <c r="G1402" s="1" t="s">
        <v>387</v>
      </c>
      <c r="H1402" s="1">
        <v>522</v>
      </c>
      <c r="I1402" s="3">
        <v>46272</v>
      </c>
      <c r="J1402" s="3">
        <v>46282</v>
      </c>
      <c r="K1402" s="3" t="s">
        <v>2350</v>
      </c>
      <c r="L1402" s="22">
        <v>46272.582427893518</v>
      </c>
      <c r="M1402" s="20">
        <v>12</v>
      </c>
      <c r="N1402" s="1">
        <v>18</v>
      </c>
    </row>
    <row r="1403" spans="1:14" x14ac:dyDescent="0.25">
      <c r="A1403" t="str">
        <f t="shared" si="44"/>
        <v>78764617876461</v>
      </c>
      <c r="B1403" t="str">
        <f t="shared" si="45"/>
        <v>7876461P204L9OY-M</v>
      </c>
      <c r="C1403" s="1" t="s">
        <v>477</v>
      </c>
      <c r="D1403" s="1" t="s">
        <v>597</v>
      </c>
      <c r="E1403" s="1" t="s">
        <v>385</v>
      </c>
      <c r="F1403" s="1" t="s">
        <v>386</v>
      </c>
      <c r="G1403" s="1" t="s">
        <v>387</v>
      </c>
      <c r="H1403" s="1">
        <v>522</v>
      </c>
      <c r="I1403" s="3">
        <v>46272</v>
      </c>
      <c r="J1403" s="3">
        <v>46282</v>
      </c>
      <c r="K1403" s="3" t="s">
        <v>2350</v>
      </c>
      <c r="L1403" s="22">
        <v>46272.585465046293</v>
      </c>
      <c r="M1403" s="20">
        <v>12</v>
      </c>
      <c r="N1403" s="1">
        <v>37</v>
      </c>
    </row>
    <row r="1404" spans="1:14" x14ac:dyDescent="0.25">
      <c r="A1404" t="str">
        <f t="shared" si="44"/>
        <v>78764617876461</v>
      </c>
      <c r="B1404" t="str">
        <f t="shared" si="45"/>
        <v>7876461P204L9OY-M</v>
      </c>
      <c r="C1404" s="1" t="s">
        <v>477</v>
      </c>
      <c r="D1404" s="1" t="s">
        <v>597</v>
      </c>
      <c r="E1404" s="1" t="s">
        <v>385</v>
      </c>
      <c r="F1404" s="1" t="s">
        <v>386</v>
      </c>
      <c r="G1404" s="1" t="s">
        <v>387</v>
      </c>
      <c r="H1404" s="1">
        <v>522</v>
      </c>
      <c r="I1404" s="3">
        <v>46272</v>
      </c>
      <c r="J1404" s="3">
        <v>46282</v>
      </c>
      <c r="K1404" s="3" t="s">
        <v>2350</v>
      </c>
      <c r="L1404" s="22">
        <v>46272.596573298608</v>
      </c>
      <c r="M1404" s="20">
        <v>12</v>
      </c>
      <c r="N1404" s="1">
        <v>28</v>
      </c>
    </row>
    <row r="1405" spans="1:14" x14ac:dyDescent="0.25">
      <c r="A1405" t="str">
        <f t="shared" si="44"/>
        <v>78764617876461</v>
      </c>
      <c r="B1405" t="str">
        <f t="shared" si="45"/>
        <v>7876461P204L9OY-M</v>
      </c>
      <c r="C1405" s="1" t="s">
        <v>477</v>
      </c>
      <c r="D1405" s="1" t="s">
        <v>597</v>
      </c>
      <c r="E1405" s="1" t="s">
        <v>385</v>
      </c>
      <c r="F1405" s="1" t="s">
        <v>386</v>
      </c>
      <c r="G1405" s="1" t="s">
        <v>387</v>
      </c>
      <c r="H1405" s="1">
        <v>522</v>
      </c>
      <c r="I1405" s="3">
        <v>46272</v>
      </c>
      <c r="J1405" s="3">
        <v>46282</v>
      </c>
      <c r="K1405" s="3" t="s">
        <v>2350</v>
      </c>
      <c r="L1405" s="22">
        <v>46272.597249999999</v>
      </c>
      <c r="M1405" s="20">
        <v>12</v>
      </c>
      <c r="N1405" s="1">
        <v>25</v>
      </c>
    </row>
    <row r="1406" spans="1:14" x14ac:dyDescent="0.25">
      <c r="A1406" t="str">
        <f t="shared" si="44"/>
        <v>78764617876461</v>
      </c>
      <c r="B1406" t="str">
        <f t="shared" si="45"/>
        <v>7876461P204L9OY-M</v>
      </c>
      <c r="C1406" s="1" t="s">
        <v>477</v>
      </c>
      <c r="D1406" s="1" t="s">
        <v>597</v>
      </c>
      <c r="E1406" s="1" t="s">
        <v>385</v>
      </c>
      <c r="F1406" s="1" t="s">
        <v>386</v>
      </c>
      <c r="G1406" s="1" t="s">
        <v>387</v>
      </c>
      <c r="H1406" s="1">
        <v>522</v>
      </c>
      <c r="I1406" s="3">
        <v>46272</v>
      </c>
      <c r="J1406" s="3">
        <v>46282</v>
      </c>
      <c r="K1406" s="3" t="s">
        <v>2350</v>
      </c>
      <c r="L1406" s="22">
        <v>46272.597408449074</v>
      </c>
      <c r="M1406" s="20">
        <v>12</v>
      </c>
      <c r="N1406" s="1">
        <v>33</v>
      </c>
    </row>
    <row r="1407" spans="1:14" x14ac:dyDescent="0.25">
      <c r="A1407" t="str">
        <f t="shared" si="44"/>
        <v>78764617876461</v>
      </c>
      <c r="B1407" t="str">
        <f t="shared" si="45"/>
        <v>7876461P204L9OY-M</v>
      </c>
      <c r="C1407" s="1" t="s">
        <v>477</v>
      </c>
      <c r="D1407" s="1" t="s">
        <v>597</v>
      </c>
      <c r="E1407" s="1" t="s">
        <v>385</v>
      </c>
      <c r="F1407" s="1" t="s">
        <v>386</v>
      </c>
      <c r="G1407" s="1" t="s">
        <v>387</v>
      </c>
      <c r="H1407" s="1">
        <v>522</v>
      </c>
      <c r="I1407" s="3">
        <v>46272</v>
      </c>
      <c r="J1407" s="3">
        <v>46282</v>
      </c>
      <c r="K1407" s="3" t="s">
        <v>2350</v>
      </c>
      <c r="L1407" s="22">
        <v>46272.597627048606</v>
      </c>
      <c r="M1407" s="20">
        <v>12</v>
      </c>
      <c r="N1407" s="1">
        <v>6</v>
      </c>
    </row>
    <row r="1408" spans="1:14" x14ac:dyDescent="0.25">
      <c r="A1408" t="str">
        <f t="shared" si="44"/>
        <v>78764617876461</v>
      </c>
      <c r="B1408" t="str">
        <f t="shared" si="45"/>
        <v>7876461P204L9OY-M</v>
      </c>
      <c r="C1408" s="1" t="s">
        <v>477</v>
      </c>
      <c r="D1408" s="1" t="s">
        <v>597</v>
      </c>
      <c r="E1408" s="1" t="s">
        <v>385</v>
      </c>
      <c r="F1408" s="1" t="s">
        <v>386</v>
      </c>
      <c r="G1408" s="1" t="s">
        <v>387</v>
      </c>
      <c r="H1408" s="1">
        <v>522</v>
      </c>
      <c r="I1408" s="3">
        <v>46272</v>
      </c>
      <c r="J1408" s="3">
        <v>46282</v>
      </c>
      <c r="K1408" s="3" t="s">
        <v>2350</v>
      </c>
      <c r="L1408" s="22">
        <v>46272.598271261573</v>
      </c>
      <c r="M1408" s="20">
        <v>12</v>
      </c>
      <c r="N1408" s="1">
        <v>12</v>
      </c>
    </row>
    <row r="1409" spans="1:14" x14ac:dyDescent="0.25">
      <c r="A1409" t="str">
        <f t="shared" si="44"/>
        <v>78764617876461</v>
      </c>
      <c r="B1409" t="str">
        <f t="shared" si="45"/>
        <v>7876461P204L9OY-M</v>
      </c>
      <c r="C1409" s="1" t="s">
        <v>477</v>
      </c>
      <c r="D1409" s="1" t="s">
        <v>597</v>
      </c>
      <c r="E1409" s="1" t="s">
        <v>385</v>
      </c>
      <c r="F1409" s="1" t="s">
        <v>386</v>
      </c>
      <c r="G1409" s="1" t="s">
        <v>387</v>
      </c>
      <c r="H1409" s="1">
        <v>522</v>
      </c>
      <c r="I1409" s="3">
        <v>46272</v>
      </c>
      <c r="J1409" s="3">
        <v>46282</v>
      </c>
      <c r="K1409" s="3" t="s">
        <v>2350</v>
      </c>
      <c r="L1409" s="22">
        <v>46272.598419247683</v>
      </c>
      <c r="M1409" s="20">
        <v>12</v>
      </c>
      <c r="N1409" s="1">
        <v>5</v>
      </c>
    </row>
    <row r="1410" spans="1:14" x14ac:dyDescent="0.25">
      <c r="A1410" t="str">
        <f t="shared" ref="A1410:A1473" si="46">+D1410&amp;D1410</f>
        <v>78764617876461</v>
      </c>
      <c r="B1410" t="str">
        <f t="shared" ref="B1410:B1473" si="47">+D1410&amp;C1410</f>
        <v>7876461P204L9OY-M</v>
      </c>
      <c r="C1410" s="1" t="s">
        <v>477</v>
      </c>
      <c r="D1410" s="1" t="s">
        <v>597</v>
      </c>
      <c r="E1410" s="1" t="s">
        <v>385</v>
      </c>
      <c r="F1410" s="1" t="s">
        <v>386</v>
      </c>
      <c r="G1410" s="1" t="s">
        <v>387</v>
      </c>
      <c r="H1410" s="1">
        <v>522</v>
      </c>
      <c r="I1410" s="3">
        <v>46272</v>
      </c>
      <c r="J1410" s="3">
        <v>46282</v>
      </c>
      <c r="K1410" s="3" t="s">
        <v>2350</v>
      </c>
      <c r="L1410" s="22">
        <v>46272.599214155089</v>
      </c>
      <c r="M1410" s="20">
        <v>12</v>
      </c>
      <c r="N1410" s="1">
        <v>21</v>
      </c>
    </row>
    <row r="1411" spans="1:14" x14ac:dyDescent="0.25">
      <c r="A1411" t="str">
        <f t="shared" si="46"/>
        <v>78764617876461</v>
      </c>
      <c r="B1411" t="str">
        <f t="shared" si="47"/>
        <v>7876461P204L9OY-M</v>
      </c>
      <c r="C1411" s="1" t="s">
        <v>477</v>
      </c>
      <c r="D1411" s="1" t="s">
        <v>597</v>
      </c>
      <c r="E1411" s="1" t="s">
        <v>385</v>
      </c>
      <c r="F1411" s="1" t="s">
        <v>386</v>
      </c>
      <c r="G1411" s="1" t="s">
        <v>387</v>
      </c>
      <c r="H1411" s="1">
        <v>522</v>
      </c>
      <c r="I1411" s="3">
        <v>46272</v>
      </c>
      <c r="J1411" s="3">
        <v>46282</v>
      </c>
      <c r="K1411" s="3" t="s">
        <v>2350</v>
      </c>
      <c r="L1411" s="22">
        <v>46272.599562384261</v>
      </c>
      <c r="M1411" s="20">
        <v>12</v>
      </c>
      <c r="N1411" s="1">
        <v>32</v>
      </c>
    </row>
    <row r="1412" spans="1:14" x14ac:dyDescent="0.25">
      <c r="A1412" t="str">
        <f t="shared" si="46"/>
        <v>78764617876461</v>
      </c>
      <c r="B1412" t="str">
        <f t="shared" si="47"/>
        <v>7876461P204L9OY-M</v>
      </c>
      <c r="C1412" s="1" t="s">
        <v>477</v>
      </c>
      <c r="D1412" s="1" t="s">
        <v>597</v>
      </c>
      <c r="E1412" s="1" t="s">
        <v>385</v>
      </c>
      <c r="F1412" s="1" t="s">
        <v>386</v>
      </c>
      <c r="G1412" s="1" t="s">
        <v>387</v>
      </c>
      <c r="H1412" s="1">
        <v>522</v>
      </c>
      <c r="I1412" s="3">
        <v>46272</v>
      </c>
      <c r="J1412" s="3">
        <v>46282</v>
      </c>
      <c r="K1412" s="3" t="s">
        <v>2350</v>
      </c>
      <c r="L1412" s="22">
        <v>46272.608103043982</v>
      </c>
      <c r="M1412" s="20">
        <v>12</v>
      </c>
      <c r="N1412" s="1">
        <v>17</v>
      </c>
    </row>
    <row r="1413" spans="1:14" x14ac:dyDescent="0.25">
      <c r="A1413" t="str">
        <f t="shared" si="46"/>
        <v>78764617876461</v>
      </c>
      <c r="B1413" t="str">
        <f t="shared" si="47"/>
        <v>7876461P204L9OY-M</v>
      </c>
      <c r="C1413" s="1" t="s">
        <v>477</v>
      </c>
      <c r="D1413" s="1" t="s">
        <v>597</v>
      </c>
      <c r="E1413" s="1" t="s">
        <v>385</v>
      </c>
      <c r="F1413" s="1" t="s">
        <v>386</v>
      </c>
      <c r="G1413" s="1" t="s">
        <v>387</v>
      </c>
      <c r="H1413" s="1">
        <v>522</v>
      </c>
      <c r="I1413" s="3">
        <v>46272</v>
      </c>
      <c r="J1413" s="3">
        <v>46282</v>
      </c>
      <c r="K1413" s="3" t="s">
        <v>2350</v>
      </c>
      <c r="L1413" s="22">
        <v>46272.620934722217</v>
      </c>
      <c r="M1413" s="20">
        <v>12</v>
      </c>
      <c r="N1413" s="1">
        <v>39</v>
      </c>
    </row>
    <row r="1414" spans="1:14" x14ac:dyDescent="0.25">
      <c r="A1414" t="str">
        <f t="shared" si="46"/>
        <v>78764617876461</v>
      </c>
      <c r="B1414" t="str">
        <f t="shared" si="47"/>
        <v>7876461P204L9OY-M</v>
      </c>
      <c r="C1414" s="1" t="s">
        <v>477</v>
      </c>
      <c r="D1414" s="1" t="s">
        <v>597</v>
      </c>
      <c r="E1414" s="1" t="s">
        <v>385</v>
      </c>
      <c r="F1414" s="1" t="s">
        <v>386</v>
      </c>
      <c r="G1414" s="1" t="s">
        <v>387</v>
      </c>
      <c r="H1414" s="1">
        <v>522</v>
      </c>
      <c r="I1414" s="3">
        <v>46272</v>
      </c>
      <c r="J1414" s="3">
        <v>46282</v>
      </c>
      <c r="K1414" s="3" t="s">
        <v>2350</v>
      </c>
      <c r="L1414" s="22">
        <v>46272.621185879631</v>
      </c>
      <c r="M1414" s="20">
        <v>12</v>
      </c>
      <c r="N1414" s="1">
        <v>34</v>
      </c>
    </row>
    <row r="1415" spans="1:14" x14ac:dyDescent="0.25">
      <c r="A1415" t="str">
        <f t="shared" si="46"/>
        <v>H180779H180779</v>
      </c>
      <c r="B1415" t="str">
        <f t="shared" si="47"/>
        <v>H180779W51580S-B</v>
      </c>
      <c r="C1415" s="1" t="s">
        <v>598</v>
      </c>
      <c r="D1415" s="1" t="s">
        <v>599</v>
      </c>
      <c r="E1415" s="1" t="s">
        <v>2307</v>
      </c>
      <c r="F1415" s="1" t="s">
        <v>2308</v>
      </c>
      <c r="G1415" s="1" t="s">
        <v>404</v>
      </c>
      <c r="H1415" s="1">
        <v>660</v>
      </c>
      <c r="I1415" s="3">
        <v>46272</v>
      </c>
      <c r="J1415" s="3">
        <v>46282</v>
      </c>
      <c r="K1415" s="3" t="s">
        <v>2370</v>
      </c>
      <c r="L1415" s="22">
        <v>46272.568115740738</v>
      </c>
      <c r="M1415" s="20">
        <v>12</v>
      </c>
      <c r="N1415" s="1">
        <v>29</v>
      </c>
    </row>
    <row r="1416" spans="1:14" x14ac:dyDescent="0.25">
      <c r="A1416" t="str">
        <f t="shared" si="46"/>
        <v>H180779H180779</v>
      </c>
      <c r="B1416" t="str">
        <f t="shared" si="47"/>
        <v>H180779W51580S-B</v>
      </c>
      <c r="C1416" s="1" t="s">
        <v>598</v>
      </c>
      <c r="D1416" s="1" t="s">
        <v>599</v>
      </c>
      <c r="E1416" s="1" t="s">
        <v>2307</v>
      </c>
      <c r="F1416" s="1" t="s">
        <v>2308</v>
      </c>
      <c r="G1416" s="1" t="s">
        <v>404</v>
      </c>
      <c r="H1416" s="1">
        <v>660</v>
      </c>
      <c r="I1416" s="3">
        <v>46272</v>
      </c>
      <c r="J1416" s="3">
        <v>46282</v>
      </c>
      <c r="K1416" s="3" t="s">
        <v>2370</v>
      </c>
      <c r="L1416" s="22">
        <v>46272.570385648149</v>
      </c>
      <c r="M1416" s="20">
        <v>12</v>
      </c>
      <c r="N1416" s="1">
        <v>36</v>
      </c>
    </row>
    <row r="1417" spans="1:14" x14ac:dyDescent="0.25">
      <c r="A1417" t="str">
        <f t="shared" si="46"/>
        <v>H180779H180779</v>
      </c>
      <c r="B1417" t="str">
        <f t="shared" si="47"/>
        <v>H180779W51580S-B</v>
      </c>
      <c r="C1417" s="1" t="s">
        <v>598</v>
      </c>
      <c r="D1417" s="1" t="s">
        <v>599</v>
      </c>
      <c r="E1417" s="1" t="s">
        <v>2307</v>
      </c>
      <c r="F1417" s="1" t="s">
        <v>2308</v>
      </c>
      <c r="G1417" s="1" t="s">
        <v>404</v>
      </c>
      <c r="H1417" s="1">
        <v>660</v>
      </c>
      <c r="I1417" s="3">
        <v>46272</v>
      </c>
      <c r="J1417" s="3">
        <v>46282</v>
      </c>
      <c r="K1417" s="3" t="s">
        <v>2370</v>
      </c>
      <c r="L1417" s="22">
        <v>46272.578120104168</v>
      </c>
      <c r="M1417" s="20">
        <v>12</v>
      </c>
      <c r="N1417" s="1">
        <v>43</v>
      </c>
    </row>
    <row r="1418" spans="1:14" x14ac:dyDescent="0.25">
      <c r="A1418" t="str">
        <f t="shared" si="46"/>
        <v>H180779H180779</v>
      </c>
      <c r="B1418" t="str">
        <f t="shared" si="47"/>
        <v>H180779W51580S-B</v>
      </c>
      <c r="C1418" s="1" t="s">
        <v>598</v>
      </c>
      <c r="D1418" s="1" t="s">
        <v>599</v>
      </c>
      <c r="E1418" s="1" t="s">
        <v>2307</v>
      </c>
      <c r="F1418" s="1" t="s">
        <v>2308</v>
      </c>
      <c r="G1418" s="1" t="s">
        <v>404</v>
      </c>
      <c r="H1418" s="1">
        <v>660</v>
      </c>
      <c r="I1418" s="3">
        <v>46272</v>
      </c>
      <c r="J1418" s="3">
        <v>46282</v>
      </c>
      <c r="K1418" s="3" t="s">
        <v>2370</v>
      </c>
      <c r="L1418" s="22">
        <v>46272.578940891202</v>
      </c>
      <c r="M1418" s="20">
        <v>12</v>
      </c>
      <c r="N1418" s="1">
        <v>27</v>
      </c>
    </row>
    <row r="1419" spans="1:14" x14ac:dyDescent="0.25">
      <c r="A1419" t="str">
        <f t="shared" si="46"/>
        <v>H180779H180779</v>
      </c>
      <c r="B1419" t="str">
        <f t="shared" si="47"/>
        <v>H180779W51580S-B</v>
      </c>
      <c r="C1419" s="1" t="s">
        <v>598</v>
      </c>
      <c r="D1419" s="1" t="s">
        <v>599</v>
      </c>
      <c r="E1419" s="1" t="s">
        <v>2307</v>
      </c>
      <c r="F1419" s="1" t="s">
        <v>2308</v>
      </c>
      <c r="G1419" s="1" t="s">
        <v>404</v>
      </c>
      <c r="H1419" s="1">
        <v>660</v>
      </c>
      <c r="I1419" s="3">
        <v>46272</v>
      </c>
      <c r="J1419" s="3">
        <v>46282</v>
      </c>
      <c r="K1419" s="3" t="s">
        <v>2370</v>
      </c>
      <c r="L1419" s="22">
        <v>46272.586778090277</v>
      </c>
      <c r="M1419" s="20">
        <v>12</v>
      </c>
      <c r="N1419" s="1">
        <v>28</v>
      </c>
    </row>
    <row r="1420" spans="1:14" x14ac:dyDescent="0.25">
      <c r="A1420" t="str">
        <f t="shared" si="46"/>
        <v>H180779H180779</v>
      </c>
      <c r="B1420" t="str">
        <f t="shared" si="47"/>
        <v>H180779W51580S-B</v>
      </c>
      <c r="C1420" s="1" t="s">
        <v>598</v>
      </c>
      <c r="D1420" s="1" t="s">
        <v>599</v>
      </c>
      <c r="E1420" s="1" t="s">
        <v>2307</v>
      </c>
      <c r="F1420" s="1" t="s">
        <v>2308</v>
      </c>
      <c r="G1420" s="1" t="s">
        <v>404</v>
      </c>
      <c r="H1420" s="1">
        <v>660</v>
      </c>
      <c r="I1420" s="3">
        <v>46272</v>
      </c>
      <c r="J1420" s="3">
        <v>46282</v>
      </c>
      <c r="K1420" s="3" t="s">
        <v>2370</v>
      </c>
      <c r="L1420" s="22">
        <v>46272.587505671298</v>
      </c>
      <c r="M1420" s="20">
        <v>12</v>
      </c>
      <c r="N1420" s="1">
        <v>6</v>
      </c>
    </row>
    <row r="1421" spans="1:14" x14ac:dyDescent="0.25">
      <c r="A1421" t="str">
        <f t="shared" si="46"/>
        <v>H180779H180779</v>
      </c>
      <c r="B1421" t="str">
        <f t="shared" si="47"/>
        <v>H180779W51580S-B</v>
      </c>
      <c r="C1421" s="1" t="s">
        <v>598</v>
      </c>
      <c r="D1421" s="1" t="s">
        <v>599</v>
      </c>
      <c r="E1421" s="1" t="s">
        <v>2307</v>
      </c>
      <c r="F1421" s="1" t="s">
        <v>2308</v>
      </c>
      <c r="G1421" s="1" t="s">
        <v>404</v>
      </c>
      <c r="H1421" s="1">
        <v>660</v>
      </c>
      <c r="I1421" s="3">
        <v>46272</v>
      </c>
      <c r="J1421" s="3">
        <v>46282</v>
      </c>
      <c r="K1421" s="3" t="s">
        <v>2370</v>
      </c>
      <c r="L1421" s="22">
        <v>46272.593726423613</v>
      </c>
      <c r="M1421" s="20">
        <v>12</v>
      </c>
      <c r="N1421" s="1">
        <v>38</v>
      </c>
    </row>
    <row r="1422" spans="1:14" x14ac:dyDescent="0.25">
      <c r="A1422" t="str">
        <f t="shared" si="46"/>
        <v>H180779H180779</v>
      </c>
      <c r="B1422" t="str">
        <f t="shared" si="47"/>
        <v>H180779W51580S-B</v>
      </c>
      <c r="C1422" s="1" t="s">
        <v>598</v>
      </c>
      <c r="D1422" s="1" t="s">
        <v>599</v>
      </c>
      <c r="E1422" s="1" t="s">
        <v>2307</v>
      </c>
      <c r="F1422" s="1" t="s">
        <v>2308</v>
      </c>
      <c r="G1422" s="1" t="s">
        <v>404</v>
      </c>
      <c r="H1422" s="1">
        <v>660</v>
      </c>
      <c r="I1422" s="3">
        <v>46272</v>
      </c>
      <c r="J1422" s="3">
        <v>46282</v>
      </c>
      <c r="K1422" s="3" t="s">
        <v>2370</v>
      </c>
      <c r="L1422" s="22">
        <v>46272.59491461805</v>
      </c>
      <c r="M1422" s="20">
        <v>12</v>
      </c>
      <c r="N1422" s="1">
        <v>16</v>
      </c>
    </row>
    <row r="1423" spans="1:14" x14ac:dyDescent="0.25">
      <c r="A1423" t="str">
        <f t="shared" si="46"/>
        <v>H180779H180779</v>
      </c>
      <c r="B1423" t="str">
        <f t="shared" si="47"/>
        <v>H180779W51580S-B</v>
      </c>
      <c r="C1423" s="1" t="s">
        <v>598</v>
      </c>
      <c r="D1423" s="1" t="s">
        <v>599</v>
      </c>
      <c r="E1423" s="1" t="s">
        <v>2307</v>
      </c>
      <c r="F1423" s="1" t="s">
        <v>2308</v>
      </c>
      <c r="G1423" s="1" t="s">
        <v>404</v>
      </c>
      <c r="H1423" s="1">
        <v>660</v>
      </c>
      <c r="I1423" s="3">
        <v>46272</v>
      </c>
      <c r="J1423" s="3">
        <v>46282</v>
      </c>
      <c r="K1423" s="3" t="s">
        <v>2370</v>
      </c>
      <c r="L1423" s="22">
        <v>46272.595896064813</v>
      </c>
      <c r="M1423" s="20">
        <v>12</v>
      </c>
      <c r="N1423" s="1">
        <v>44</v>
      </c>
    </row>
    <row r="1424" spans="1:14" x14ac:dyDescent="0.25">
      <c r="A1424" t="str">
        <f t="shared" si="46"/>
        <v>H180779H180779</v>
      </c>
      <c r="B1424" t="str">
        <f t="shared" si="47"/>
        <v>H180779W51580S-B</v>
      </c>
      <c r="C1424" s="1" t="s">
        <v>598</v>
      </c>
      <c r="D1424" s="1" t="s">
        <v>599</v>
      </c>
      <c r="E1424" s="1" t="s">
        <v>2307</v>
      </c>
      <c r="F1424" s="1" t="s">
        <v>2308</v>
      </c>
      <c r="G1424" s="1" t="s">
        <v>404</v>
      </c>
      <c r="H1424" s="1">
        <v>660</v>
      </c>
      <c r="I1424" s="3">
        <v>46272</v>
      </c>
      <c r="J1424" s="3">
        <v>46282</v>
      </c>
      <c r="K1424" s="3" t="s">
        <v>2370</v>
      </c>
      <c r="L1424" s="22">
        <v>46272.59941362268</v>
      </c>
      <c r="M1424" s="20">
        <v>12</v>
      </c>
      <c r="N1424" s="1">
        <v>19</v>
      </c>
    </row>
    <row r="1425" spans="1:14" x14ac:dyDescent="0.25">
      <c r="A1425" t="str">
        <f t="shared" si="46"/>
        <v>H180779H180779</v>
      </c>
      <c r="B1425" t="str">
        <f t="shared" si="47"/>
        <v>H180779W51580S-B</v>
      </c>
      <c r="C1425" s="1" t="s">
        <v>598</v>
      </c>
      <c r="D1425" s="1" t="s">
        <v>599</v>
      </c>
      <c r="E1425" s="1" t="s">
        <v>2307</v>
      </c>
      <c r="F1425" s="1" t="s">
        <v>2308</v>
      </c>
      <c r="G1425" s="1" t="s">
        <v>404</v>
      </c>
      <c r="H1425" s="1">
        <v>660</v>
      </c>
      <c r="I1425" s="3">
        <v>46272</v>
      </c>
      <c r="J1425" s="3">
        <v>46282</v>
      </c>
      <c r="K1425" s="3" t="s">
        <v>2370</v>
      </c>
      <c r="L1425" s="22">
        <v>46272.610702546292</v>
      </c>
      <c r="M1425" s="20">
        <v>12</v>
      </c>
      <c r="N1425" s="1">
        <v>40</v>
      </c>
    </row>
    <row r="1426" spans="1:14" x14ac:dyDescent="0.25">
      <c r="A1426" t="str">
        <f t="shared" si="46"/>
        <v>H180779H180779</v>
      </c>
      <c r="B1426" t="str">
        <f t="shared" si="47"/>
        <v>H180779W51580S-B</v>
      </c>
      <c r="C1426" s="1" t="s">
        <v>598</v>
      </c>
      <c r="D1426" s="1" t="s">
        <v>599</v>
      </c>
      <c r="E1426" s="1" t="s">
        <v>2307</v>
      </c>
      <c r="F1426" s="1" t="s">
        <v>2308</v>
      </c>
      <c r="G1426" s="1" t="s">
        <v>404</v>
      </c>
      <c r="H1426" s="1">
        <v>660</v>
      </c>
      <c r="I1426" s="3">
        <v>46272</v>
      </c>
      <c r="J1426" s="3">
        <v>46282</v>
      </c>
      <c r="K1426" s="3" t="s">
        <v>2370</v>
      </c>
      <c r="L1426" s="22">
        <v>46272.621071990739</v>
      </c>
      <c r="M1426" s="20">
        <v>12</v>
      </c>
      <c r="N1426" s="1">
        <v>11</v>
      </c>
    </row>
    <row r="1427" spans="1:14" x14ac:dyDescent="0.25">
      <c r="A1427" t="str">
        <f t="shared" si="46"/>
        <v>H180779H180779</v>
      </c>
      <c r="B1427" t="str">
        <f t="shared" si="47"/>
        <v>H180779W51580S-B</v>
      </c>
      <c r="C1427" s="1" t="s">
        <v>598</v>
      </c>
      <c r="D1427" s="1" t="s">
        <v>599</v>
      </c>
      <c r="E1427" s="1" t="s">
        <v>2307</v>
      </c>
      <c r="F1427" s="1" t="s">
        <v>2308</v>
      </c>
      <c r="G1427" s="1" t="s">
        <v>404</v>
      </c>
      <c r="H1427" s="1">
        <v>660</v>
      </c>
      <c r="I1427" s="3">
        <v>46272</v>
      </c>
      <c r="J1427" s="3">
        <v>46282</v>
      </c>
      <c r="K1427" s="3" t="s">
        <v>2370</v>
      </c>
      <c r="L1427" s="22">
        <v>46272.625654479161</v>
      </c>
      <c r="M1427" s="20">
        <v>12</v>
      </c>
      <c r="N1427" s="1">
        <v>41</v>
      </c>
    </row>
    <row r="1428" spans="1:14" x14ac:dyDescent="0.25">
      <c r="A1428" t="str">
        <f t="shared" si="46"/>
        <v>H180779H180779</v>
      </c>
      <c r="B1428" t="str">
        <f t="shared" si="47"/>
        <v>H180779W51580S-B</v>
      </c>
      <c r="C1428" s="1" t="s">
        <v>598</v>
      </c>
      <c r="D1428" s="1" t="s">
        <v>599</v>
      </c>
      <c r="E1428" s="1" t="s">
        <v>2307</v>
      </c>
      <c r="F1428" s="1" t="s">
        <v>2308</v>
      </c>
      <c r="G1428" s="1" t="s">
        <v>404</v>
      </c>
      <c r="H1428" s="1">
        <v>660</v>
      </c>
      <c r="I1428" s="3">
        <v>46272</v>
      </c>
      <c r="J1428" s="3">
        <v>46282</v>
      </c>
      <c r="K1428" s="3" t="s">
        <v>2370</v>
      </c>
      <c r="L1428" s="22">
        <v>46272.632463738424</v>
      </c>
      <c r="M1428" s="20">
        <v>12</v>
      </c>
      <c r="N1428" s="1">
        <v>45</v>
      </c>
    </row>
    <row r="1429" spans="1:14" x14ac:dyDescent="0.25">
      <c r="A1429" t="str">
        <f t="shared" si="46"/>
        <v>H180779H180779</v>
      </c>
      <c r="B1429" t="str">
        <f t="shared" si="47"/>
        <v>H180779W51580S-B</v>
      </c>
      <c r="C1429" s="1" t="s">
        <v>598</v>
      </c>
      <c r="D1429" s="1" t="s">
        <v>599</v>
      </c>
      <c r="E1429" s="1" t="s">
        <v>2307</v>
      </c>
      <c r="F1429" s="1" t="s">
        <v>2308</v>
      </c>
      <c r="G1429" s="1" t="s">
        <v>404</v>
      </c>
      <c r="H1429" s="1">
        <v>660</v>
      </c>
      <c r="I1429" s="3">
        <v>46272</v>
      </c>
      <c r="J1429" s="3">
        <v>46282</v>
      </c>
      <c r="K1429" s="3" t="s">
        <v>2370</v>
      </c>
      <c r="L1429" s="22">
        <v>46272.640688078704</v>
      </c>
      <c r="M1429" s="20">
        <v>12</v>
      </c>
      <c r="N1429" s="1">
        <v>13</v>
      </c>
    </row>
    <row r="1430" spans="1:14" x14ac:dyDescent="0.25">
      <c r="A1430" t="str">
        <f t="shared" si="46"/>
        <v>H180779H180779</v>
      </c>
      <c r="B1430" t="str">
        <f t="shared" si="47"/>
        <v>H180779W51580S-B</v>
      </c>
      <c r="C1430" s="1" t="s">
        <v>598</v>
      </c>
      <c r="D1430" s="1" t="s">
        <v>599</v>
      </c>
      <c r="E1430" s="1" t="s">
        <v>2307</v>
      </c>
      <c r="F1430" s="1" t="s">
        <v>2308</v>
      </c>
      <c r="G1430" s="1" t="s">
        <v>404</v>
      </c>
      <c r="H1430" s="1">
        <v>660</v>
      </c>
      <c r="I1430" s="3">
        <v>46272</v>
      </c>
      <c r="J1430" s="3">
        <v>46282</v>
      </c>
      <c r="K1430" s="3" t="s">
        <v>2370</v>
      </c>
      <c r="L1430" s="22">
        <v>46272.640932719907</v>
      </c>
      <c r="M1430" s="20">
        <v>12</v>
      </c>
      <c r="N1430" s="1">
        <v>20</v>
      </c>
    </row>
    <row r="1431" spans="1:14" x14ac:dyDescent="0.25">
      <c r="A1431" t="str">
        <f t="shared" si="46"/>
        <v>H180779H180779</v>
      </c>
      <c r="B1431" t="str">
        <f t="shared" si="47"/>
        <v>H180779W51580S-B</v>
      </c>
      <c r="C1431" s="1" t="s">
        <v>598</v>
      </c>
      <c r="D1431" s="1" t="s">
        <v>599</v>
      </c>
      <c r="E1431" s="1" t="s">
        <v>2307</v>
      </c>
      <c r="F1431" s="1" t="s">
        <v>2308</v>
      </c>
      <c r="G1431" s="1" t="s">
        <v>404</v>
      </c>
      <c r="H1431" s="1">
        <v>660</v>
      </c>
      <c r="I1431" s="3">
        <v>46272</v>
      </c>
      <c r="J1431" s="3">
        <v>46282</v>
      </c>
      <c r="K1431" s="3" t="s">
        <v>2370</v>
      </c>
      <c r="L1431" s="22">
        <v>46272.641472337964</v>
      </c>
      <c r="M1431" s="20">
        <v>12</v>
      </c>
      <c r="N1431" s="1">
        <v>30</v>
      </c>
    </row>
    <row r="1432" spans="1:14" x14ac:dyDescent="0.25">
      <c r="A1432" t="str">
        <f t="shared" si="46"/>
        <v>H180779H180779</v>
      </c>
      <c r="B1432" t="str">
        <f t="shared" si="47"/>
        <v>H180779W51580S-B</v>
      </c>
      <c r="C1432" s="1" t="s">
        <v>598</v>
      </c>
      <c r="D1432" s="1" t="s">
        <v>599</v>
      </c>
      <c r="E1432" s="1" t="s">
        <v>2307</v>
      </c>
      <c r="F1432" s="1" t="s">
        <v>2308</v>
      </c>
      <c r="G1432" s="1" t="s">
        <v>404</v>
      </c>
      <c r="H1432" s="1">
        <v>660</v>
      </c>
      <c r="I1432" s="3">
        <v>46272</v>
      </c>
      <c r="J1432" s="3">
        <v>46282</v>
      </c>
      <c r="K1432" s="3" t="s">
        <v>2370</v>
      </c>
      <c r="L1432" s="22">
        <v>46272.656381828703</v>
      </c>
      <c r="M1432" s="20">
        <v>12</v>
      </c>
      <c r="N1432" s="1">
        <v>7</v>
      </c>
    </row>
    <row r="1433" spans="1:14" x14ac:dyDescent="0.25">
      <c r="A1433" t="str">
        <f t="shared" si="46"/>
        <v>H180779H180779</v>
      </c>
      <c r="B1433" t="str">
        <f t="shared" si="47"/>
        <v>H180779W51580S-B</v>
      </c>
      <c r="C1433" s="1" t="s">
        <v>598</v>
      </c>
      <c r="D1433" s="1" t="s">
        <v>599</v>
      </c>
      <c r="E1433" s="1" t="s">
        <v>2307</v>
      </c>
      <c r="F1433" s="1" t="s">
        <v>2308</v>
      </c>
      <c r="G1433" s="1" t="s">
        <v>404</v>
      </c>
      <c r="H1433" s="1">
        <v>660</v>
      </c>
      <c r="I1433" s="3">
        <v>46272</v>
      </c>
      <c r="J1433" s="3">
        <v>46282</v>
      </c>
      <c r="K1433" s="3" t="s">
        <v>2370</v>
      </c>
      <c r="L1433" s="22">
        <v>46272.66615744213</v>
      </c>
      <c r="M1433" s="20">
        <v>12</v>
      </c>
      <c r="N1433" s="1">
        <v>25</v>
      </c>
    </row>
    <row r="1434" spans="1:14" x14ac:dyDescent="0.25">
      <c r="A1434" t="str">
        <f t="shared" si="46"/>
        <v>H180779H180779</v>
      </c>
      <c r="B1434" t="str">
        <f t="shared" si="47"/>
        <v>H180779W51580S-B</v>
      </c>
      <c r="C1434" s="1" t="s">
        <v>598</v>
      </c>
      <c r="D1434" s="1" t="s">
        <v>599</v>
      </c>
      <c r="E1434" s="1" t="s">
        <v>2307</v>
      </c>
      <c r="F1434" s="1" t="s">
        <v>2308</v>
      </c>
      <c r="G1434" s="1" t="s">
        <v>404</v>
      </c>
      <c r="H1434" s="1">
        <v>660</v>
      </c>
      <c r="I1434" s="3">
        <v>46272</v>
      </c>
      <c r="J1434" s="3">
        <v>46282</v>
      </c>
      <c r="K1434" s="3" t="s">
        <v>2370</v>
      </c>
      <c r="L1434" s="22">
        <v>46272.671595567124</v>
      </c>
      <c r="M1434" s="20">
        <v>12</v>
      </c>
      <c r="N1434" s="1">
        <v>33</v>
      </c>
    </row>
    <row r="1435" spans="1:14" x14ac:dyDescent="0.25">
      <c r="A1435" t="str">
        <f t="shared" si="46"/>
        <v>H180779H180779</v>
      </c>
      <c r="B1435" t="str">
        <f t="shared" si="47"/>
        <v>H180779W51580S-B</v>
      </c>
      <c r="C1435" s="1" t="s">
        <v>598</v>
      </c>
      <c r="D1435" s="1" t="s">
        <v>599</v>
      </c>
      <c r="E1435" s="1" t="s">
        <v>2307</v>
      </c>
      <c r="F1435" s="1" t="s">
        <v>2308</v>
      </c>
      <c r="G1435" s="1" t="s">
        <v>404</v>
      </c>
      <c r="H1435" s="1">
        <v>660</v>
      </c>
      <c r="I1435" s="3">
        <v>46272</v>
      </c>
      <c r="J1435" s="3">
        <v>46282</v>
      </c>
      <c r="K1435" s="3" t="s">
        <v>2370</v>
      </c>
      <c r="L1435" s="22">
        <v>46272.671885995369</v>
      </c>
      <c r="M1435" s="20">
        <v>12</v>
      </c>
      <c r="N1435" s="1">
        <v>39</v>
      </c>
    </row>
    <row r="1436" spans="1:14" x14ac:dyDescent="0.25">
      <c r="A1436" t="str">
        <f t="shared" si="46"/>
        <v>H180779H180779</v>
      </c>
      <c r="B1436" t="str">
        <f t="shared" si="47"/>
        <v>H180779W51580S-B</v>
      </c>
      <c r="C1436" s="1" t="s">
        <v>598</v>
      </c>
      <c r="D1436" s="1" t="s">
        <v>599</v>
      </c>
      <c r="E1436" s="1" t="s">
        <v>2307</v>
      </c>
      <c r="F1436" s="1" t="s">
        <v>2308</v>
      </c>
      <c r="G1436" s="1" t="s">
        <v>404</v>
      </c>
      <c r="H1436" s="1">
        <v>660</v>
      </c>
      <c r="I1436" s="3">
        <v>46272</v>
      </c>
      <c r="J1436" s="3">
        <v>46282</v>
      </c>
      <c r="K1436" s="3" t="s">
        <v>2370</v>
      </c>
      <c r="L1436" s="22">
        <v>46272.672886539352</v>
      </c>
      <c r="M1436" s="20">
        <v>12</v>
      </c>
      <c r="N1436" s="1">
        <v>34</v>
      </c>
    </row>
    <row r="1437" spans="1:14" x14ac:dyDescent="0.25">
      <c r="A1437" t="str">
        <f t="shared" si="46"/>
        <v>H180779H180779</v>
      </c>
      <c r="B1437" t="str">
        <f t="shared" si="47"/>
        <v>H180779W51580S-B</v>
      </c>
      <c r="C1437" s="1" t="s">
        <v>598</v>
      </c>
      <c r="D1437" s="1" t="s">
        <v>599</v>
      </c>
      <c r="E1437" s="1" t="s">
        <v>2307</v>
      </c>
      <c r="F1437" s="1" t="s">
        <v>2308</v>
      </c>
      <c r="G1437" s="1" t="s">
        <v>404</v>
      </c>
      <c r="H1437" s="1">
        <v>660</v>
      </c>
      <c r="I1437" s="3">
        <v>46272</v>
      </c>
      <c r="J1437" s="3">
        <v>46282</v>
      </c>
      <c r="K1437" s="3" t="s">
        <v>2370</v>
      </c>
      <c r="L1437" s="22">
        <v>46272.673324884257</v>
      </c>
      <c r="M1437" s="20">
        <v>12</v>
      </c>
      <c r="N1437" s="1">
        <v>47</v>
      </c>
    </row>
    <row r="1438" spans="1:14" x14ac:dyDescent="0.25">
      <c r="A1438" t="str">
        <f t="shared" si="46"/>
        <v>H180779H180779</v>
      </c>
      <c r="B1438" t="str">
        <f t="shared" si="47"/>
        <v>H180779W51580S-B</v>
      </c>
      <c r="C1438" s="1" t="s">
        <v>598</v>
      </c>
      <c r="D1438" s="1" t="s">
        <v>599</v>
      </c>
      <c r="E1438" s="1" t="s">
        <v>2307</v>
      </c>
      <c r="F1438" s="1" t="s">
        <v>2308</v>
      </c>
      <c r="G1438" s="1" t="s">
        <v>404</v>
      </c>
      <c r="H1438" s="1">
        <v>660</v>
      </c>
      <c r="I1438" s="3">
        <v>46272</v>
      </c>
      <c r="J1438" s="3">
        <v>46282</v>
      </c>
      <c r="K1438" s="3" t="s">
        <v>2370</v>
      </c>
      <c r="L1438" s="22">
        <v>46272.676196261571</v>
      </c>
      <c r="M1438" s="20">
        <v>12</v>
      </c>
      <c r="N1438" s="1">
        <v>2</v>
      </c>
    </row>
    <row r="1439" spans="1:14" x14ac:dyDescent="0.25">
      <c r="A1439" t="str">
        <f t="shared" si="46"/>
        <v>H180779H180779</v>
      </c>
      <c r="B1439" t="str">
        <f t="shared" si="47"/>
        <v>H180779W51580S-B</v>
      </c>
      <c r="C1439" s="1" t="s">
        <v>598</v>
      </c>
      <c r="D1439" s="1" t="s">
        <v>599</v>
      </c>
      <c r="E1439" s="1" t="s">
        <v>2307</v>
      </c>
      <c r="F1439" s="1" t="s">
        <v>2308</v>
      </c>
      <c r="G1439" s="1" t="s">
        <v>404</v>
      </c>
      <c r="H1439" s="1">
        <v>660</v>
      </c>
      <c r="I1439" s="3">
        <v>46272</v>
      </c>
      <c r="J1439" s="3">
        <v>46282</v>
      </c>
      <c r="K1439" s="3" t="s">
        <v>2370</v>
      </c>
      <c r="L1439" s="22">
        <v>46272.676542824069</v>
      </c>
      <c r="M1439" s="20">
        <v>12</v>
      </c>
      <c r="N1439" s="1">
        <v>12</v>
      </c>
    </row>
    <row r="1440" spans="1:14" x14ac:dyDescent="0.25">
      <c r="A1440" t="str">
        <f t="shared" si="46"/>
        <v>H180779H180779</v>
      </c>
      <c r="B1440" t="str">
        <f t="shared" si="47"/>
        <v>H180779W51580S-B</v>
      </c>
      <c r="C1440" s="1" t="s">
        <v>598</v>
      </c>
      <c r="D1440" s="1" t="s">
        <v>599</v>
      </c>
      <c r="E1440" s="1" t="s">
        <v>2307</v>
      </c>
      <c r="F1440" s="1" t="s">
        <v>2308</v>
      </c>
      <c r="G1440" s="1" t="s">
        <v>404</v>
      </c>
      <c r="H1440" s="1">
        <v>660</v>
      </c>
      <c r="I1440" s="3">
        <v>46272</v>
      </c>
      <c r="J1440" s="3">
        <v>46282</v>
      </c>
      <c r="K1440" s="3" t="s">
        <v>2370</v>
      </c>
      <c r="L1440" s="22">
        <v>46272.6771190625</v>
      </c>
      <c r="M1440" s="20">
        <v>12</v>
      </c>
      <c r="N1440" s="1">
        <v>14</v>
      </c>
    </row>
    <row r="1441" spans="1:14" x14ac:dyDescent="0.25">
      <c r="A1441" t="str">
        <f t="shared" si="46"/>
        <v>H180779H180779</v>
      </c>
      <c r="B1441" t="str">
        <f t="shared" si="47"/>
        <v>H180779W51580S-B</v>
      </c>
      <c r="C1441" s="1" t="s">
        <v>598</v>
      </c>
      <c r="D1441" s="1" t="s">
        <v>599</v>
      </c>
      <c r="E1441" s="1" t="s">
        <v>2307</v>
      </c>
      <c r="F1441" s="1" t="s">
        <v>2308</v>
      </c>
      <c r="G1441" s="1" t="s">
        <v>404</v>
      </c>
      <c r="H1441" s="1">
        <v>660</v>
      </c>
      <c r="I1441" s="3">
        <v>46272</v>
      </c>
      <c r="J1441" s="3">
        <v>46282</v>
      </c>
      <c r="K1441" s="3" t="s">
        <v>2370</v>
      </c>
      <c r="L1441" s="22">
        <v>46272.677373611106</v>
      </c>
      <c r="M1441" s="20">
        <v>12</v>
      </c>
      <c r="N1441" s="1">
        <v>21</v>
      </c>
    </row>
    <row r="1442" spans="1:14" x14ac:dyDescent="0.25">
      <c r="A1442" t="str">
        <f t="shared" si="46"/>
        <v>H180779H180779</v>
      </c>
      <c r="B1442" t="str">
        <f t="shared" si="47"/>
        <v>H180779W51580S-B</v>
      </c>
      <c r="C1442" s="1" t="s">
        <v>598</v>
      </c>
      <c r="D1442" s="1" t="s">
        <v>599</v>
      </c>
      <c r="E1442" s="1" t="s">
        <v>2307</v>
      </c>
      <c r="F1442" s="1" t="s">
        <v>2308</v>
      </c>
      <c r="G1442" s="1" t="s">
        <v>404</v>
      </c>
      <c r="H1442" s="1">
        <v>660</v>
      </c>
      <c r="I1442" s="3">
        <v>46272</v>
      </c>
      <c r="J1442" s="3">
        <v>46282</v>
      </c>
      <c r="K1442" s="3" t="s">
        <v>2370</v>
      </c>
      <c r="L1442" s="22">
        <v>46272.68008903935</v>
      </c>
      <c r="M1442" s="20">
        <v>12</v>
      </c>
      <c r="N1442" s="1">
        <v>8</v>
      </c>
    </row>
    <row r="1443" spans="1:14" x14ac:dyDescent="0.25">
      <c r="A1443" t="str">
        <f t="shared" si="46"/>
        <v>H180779H180779</v>
      </c>
      <c r="B1443" t="str">
        <f t="shared" si="47"/>
        <v>H180779W51580S-B</v>
      </c>
      <c r="C1443" s="1" t="s">
        <v>598</v>
      </c>
      <c r="D1443" s="1" t="s">
        <v>599</v>
      </c>
      <c r="E1443" s="1" t="s">
        <v>2307</v>
      </c>
      <c r="F1443" s="1" t="s">
        <v>2308</v>
      </c>
      <c r="G1443" s="1" t="s">
        <v>404</v>
      </c>
      <c r="H1443" s="1">
        <v>660</v>
      </c>
      <c r="I1443" s="3">
        <v>46272</v>
      </c>
      <c r="J1443" s="3">
        <v>46282</v>
      </c>
      <c r="K1443" s="3" t="s">
        <v>2370</v>
      </c>
      <c r="L1443" s="22">
        <v>46272.681050196756</v>
      </c>
      <c r="M1443" s="20">
        <v>12</v>
      </c>
      <c r="N1443" s="1">
        <v>31</v>
      </c>
    </row>
    <row r="1444" spans="1:14" x14ac:dyDescent="0.25">
      <c r="A1444" t="str">
        <f t="shared" si="46"/>
        <v>H180779H180779</v>
      </c>
      <c r="B1444" t="str">
        <f t="shared" si="47"/>
        <v>H180779W51580S-B</v>
      </c>
      <c r="C1444" s="1" t="s">
        <v>598</v>
      </c>
      <c r="D1444" s="1" t="s">
        <v>599</v>
      </c>
      <c r="E1444" s="1" t="s">
        <v>2307</v>
      </c>
      <c r="F1444" s="1" t="s">
        <v>2308</v>
      </c>
      <c r="G1444" s="1" t="s">
        <v>404</v>
      </c>
      <c r="H1444" s="1">
        <v>660</v>
      </c>
      <c r="I1444" s="3">
        <v>46272</v>
      </c>
      <c r="J1444" s="3">
        <v>46282</v>
      </c>
      <c r="K1444" s="3" t="s">
        <v>2370</v>
      </c>
      <c r="L1444" s="22">
        <v>46272.681385104166</v>
      </c>
      <c r="M1444" s="20">
        <v>12</v>
      </c>
      <c r="N1444" s="1">
        <v>1</v>
      </c>
    </row>
    <row r="1445" spans="1:14" x14ac:dyDescent="0.25">
      <c r="A1445" t="str">
        <f t="shared" si="46"/>
        <v>H180779H180779</v>
      </c>
      <c r="B1445" t="str">
        <f t="shared" si="47"/>
        <v>H180779W51580S-B</v>
      </c>
      <c r="C1445" s="1" t="s">
        <v>598</v>
      </c>
      <c r="D1445" s="1" t="s">
        <v>599</v>
      </c>
      <c r="E1445" s="1" t="s">
        <v>2307</v>
      </c>
      <c r="F1445" s="1" t="s">
        <v>2308</v>
      </c>
      <c r="G1445" s="1" t="s">
        <v>404</v>
      </c>
      <c r="H1445" s="1">
        <v>660</v>
      </c>
      <c r="I1445" s="3">
        <v>46272</v>
      </c>
      <c r="J1445" s="3">
        <v>46282</v>
      </c>
      <c r="K1445" s="3" t="s">
        <v>2370</v>
      </c>
      <c r="L1445" s="22">
        <v>46272.684268784724</v>
      </c>
      <c r="M1445" s="20">
        <v>12</v>
      </c>
      <c r="N1445" s="1">
        <v>17</v>
      </c>
    </row>
    <row r="1446" spans="1:14" x14ac:dyDescent="0.25">
      <c r="A1446" t="str">
        <f t="shared" si="46"/>
        <v>H180779H180779</v>
      </c>
      <c r="B1446" t="str">
        <f t="shared" si="47"/>
        <v>H180779W51580S-B</v>
      </c>
      <c r="C1446" s="1" t="s">
        <v>598</v>
      </c>
      <c r="D1446" s="1" t="s">
        <v>599</v>
      </c>
      <c r="E1446" s="1" t="s">
        <v>2307</v>
      </c>
      <c r="F1446" s="1" t="s">
        <v>2308</v>
      </c>
      <c r="G1446" s="1" t="s">
        <v>404</v>
      </c>
      <c r="H1446" s="1">
        <v>660</v>
      </c>
      <c r="I1446" s="3">
        <v>46272</v>
      </c>
      <c r="J1446" s="3">
        <v>46282</v>
      </c>
      <c r="K1446" s="3" t="s">
        <v>2370</v>
      </c>
      <c r="L1446" s="22">
        <v>46272.684608020834</v>
      </c>
      <c r="M1446" s="20">
        <v>12</v>
      </c>
      <c r="N1446" s="1">
        <v>22</v>
      </c>
    </row>
    <row r="1447" spans="1:14" x14ac:dyDescent="0.25">
      <c r="A1447" t="str">
        <f t="shared" si="46"/>
        <v>H180779H180779</v>
      </c>
      <c r="B1447" t="str">
        <f t="shared" si="47"/>
        <v>H180779W51580S-B</v>
      </c>
      <c r="C1447" s="1" t="s">
        <v>598</v>
      </c>
      <c r="D1447" s="1" t="s">
        <v>599</v>
      </c>
      <c r="E1447" s="1" t="s">
        <v>2307</v>
      </c>
      <c r="F1447" s="1" t="s">
        <v>2308</v>
      </c>
      <c r="G1447" s="1" t="s">
        <v>404</v>
      </c>
      <c r="H1447" s="1">
        <v>660</v>
      </c>
      <c r="I1447" s="3">
        <v>46272</v>
      </c>
      <c r="J1447" s="3">
        <v>46282</v>
      </c>
      <c r="K1447" s="3" t="s">
        <v>2370</v>
      </c>
      <c r="L1447" s="22">
        <v>46272.705470104163</v>
      </c>
      <c r="M1447" s="20">
        <v>12</v>
      </c>
      <c r="N1447" s="1">
        <v>15</v>
      </c>
    </row>
    <row r="1448" spans="1:14" x14ac:dyDescent="0.25">
      <c r="A1448" t="str">
        <f t="shared" si="46"/>
        <v>H180779H180779</v>
      </c>
      <c r="B1448" t="str">
        <f t="shared" si="47"/>
        <v>H180779W51580S-B</v>
      </c>
      <c r="C1448" s="1" t="s">
        <v>598</v>
      </c>
      <c r="D1448" s="1" t="s">
        <v>599</v>
      </c>
      <c r="E1448" s="1" t="s">
        <v>2307</v>
      </c>
      <c r="F1448" s="1" t="s">
        <v>2308</v>
      </c>
      <c r="G1448" s="1" t="s">
        <v>404</v>
      </c>
      <c r="H1448" s="1">
        <v>660</v>
      </c>
      <c r="I1448" s="3">
        <v>46272</v>
      </c>
      <c r="J1448" s="3">
        <v>46282</v>
      </c>
      <c r="K1448" s="3" t="s">
        <v>2370</v>
      </c>
      <c r="L1448" s="22">
        <v>46272.716759456016</v>
      </c>
      <c r="M1448" s="20">
        <v>6</v>
      </c>
      <c r="N1448" s="1">
        <v>57</v>
      </c>
    </row>
    <row r="1449" spans="1:14" x14ac:dyDescent="0.25">
      <c r="A1449" t="str">
        <f t="shared" si="46"/>
        <v>H180779H180779</v>
      </c>
      <c r="B1449" t="str">
        <f t="shared" si="47"/>
        <v>H180779W51580S-B</v>
      </c>
      <c r="C1449" s="1" t="s">
        <v>598</v>
      </c>
      <c r="D1449" s="1" t="s">
        <v>599</v>
      </c>
      <c r="E1449" s="1" t="s">
        <v>2307</v>
      </c>
      <c r="F1449" s="1" t="s">
        <v>2308</v>
      </c>
      <c r="G1449" s="1" t="s">
        <v>404</v>
      </c>
      <c r="H1449" s="1">
        <v>660</v>
      </c>
      <c r="I1449" s="3">
        <v>46272</v>
      </c>
      <c r="J1449" s="3">
        <v>46282</v>
      </c>
      <c r="K1449" s="3" t="s">
        <v>2370</v>
      </c>
      <c r="L1449" s="22">
        <v>46272.72143445602</v>
      </c>
      <c r="M1449" s="20">
        <v>12</v>
      </c>
      <c r="N1449" s="1">
        <v>3</v>
      </c>
    </row>
    <row r="1450" spans="1:14" x14ac:dyDescent="0.25">
      <c r="A1450" t="str">
        <f t="shared" si="46"/>
        <v>H180779H180779</v>
      </c>
      <c r="B1450" t="str">
        <f t="shared" si="47"/>
        <v>H180779W51580S-B</v>
      </c>
      <c r="C1450" s="1" t="s">
        <v>598</v>
      </c>
      <c r="D1450" s="1" t="s">
        <v>599</v>
      </c>
      <c r="E1450" s="1" t="s">
        <v>2307</v>
      </c>
      <c r="F1450" s="1" t="s">
        <v>2308</v>
      </c>
      <c r="G1450" s="1" t="s">
        <v>404</v>
      </c>
      <c r="H1450" s="1">
        <v>660</v>
      </c>
      <c r="I1450" s="3">
        <v>46272</v>
      </c>
      <c r="J1450" s="3">
        <v>46282</v>
      </c>
      <c r="K1450" s="3" t="s">
        <v>2370</v>
      </c>
      <c r="L1450" s="22">
        <v>46272.723938888885</v>
      </c>
      <c r="M1450" s="20">
        <v>12</v>
      </c>
      <c r="N1450" s="1">
        <v>23</v>
      </c>
    </row>
    <row r="1451" spans="1:14" x14ac:dyDescent="0.25">
      <c r="A1451" t="str">
        <f t="shared" si="46"/>
        <v>H180779H180779</v>
      </c>
      <c r="B1451" t="str">
        <f t="shared" si="47"/>
        <v>H180779W51580S-B</v>
      </c>
      <c r="C1451" s="1" t="s">
        <v>598</v>
      </c>
      <c r="D1451" s="1" t="s">
        <v>599</v>
      </c>
      <c r="E1451" s="1" t="s">
        <v>2307</v>
      </c>
      <c r="F1451" s="1" t="s">
        <v>2308</v>
      </c>
      <c r="G1451" s="1" t="s">
        <v>404</v>
      </c>
      <c r="H1451" s="1">
        <v>660</v>
      </c>
      <c r="I1451" s="3">
        <v>46272</v>
      </c>
      <c r="J1451" s="3">
        <v>46282</v>
      </c>
      <c r="K1451" s="3" t="s">
        <v>2370</v>
      </c>
      <c r="L1451" s="22">
        <v>46272.724198067124</v>
      </c>
      <c r="M1451" s="20">
        <v>12</v>
      </c>
      <c r="N1451" s="1">
        <v>9</v>
      </c>
    </row>
    <row r="1452" spans="1:14" x14ac:dyDescent="0.25">
      <c r="A1452" t="str">
        <f t="shared" si="46"/>
        <v>H180779H180779</v>
      </c>
      <c r="B1452" t="str">
        <f t="shared" si="47"/>
        <v>H180779W51580S-B</v>
      </c>
      <c r="C1452" s="1" t="s">
        <v>598</v>
      </c>
      <c r="D1452" s="1" t="s">
        <v>599</v>
      </c>
      <c r="E1452" s="1" t="s">
        <v>2307</v>
      </c>
      <c r="F1452" s="1" t="s">
        <v>2308</v>
      </c>
      <c r="G1452" s="1" t="s">
        <v>404</v>
      </c>
      <c r="H1452" s="1">
        <v>660</v>
      </c>
      <c r="I1452" s="3">
        <v>46272</v>
      </c>
      <c r="J1452" s="3">
        <v>46282</v>
      </c>
      <c r="K1452" s="3" t="s">
        <v>2370</v>
      </c>
      <c r="L1452" s="22">
        <v>46272.724429861111</v>
      </c>
      <c r="M1452" s="20">
        <v>12</v>
      </c>
      <c r="N1452" s="1">
        <v>42</v>
      </c>
    </row>
    <row r="1453" spans="1:14" x14ac:dyDescent="0.25">
      <c r="A1453" t="str">
        <f t="shared" si="46"/>
        <v>H180779H180779</v>
      </c>
      <c r="B1453" t="str">
        <f t="shared" si="47"/>
        <v>H180779W51580S-B</v>
      </c>
      <c r="C1453" s="1" t="s">
        <v>598</v>
      </c>
      <c r="D1453" s="1" t="s">
        <v>599</v>
      </c>
      <c r="E1453" s="1" t="s">
        <v>2307</v>
      </c>
      <c r="F1453" s="1" t="s">
        <v>2308</v>
      </c>
      <c r="G1453" s="1" t="s">
        <v>404</v>
      </c>
      <c r="H1453" s="1">
        <v>660</v>
      </c>
      <c r="I1453" s="3">
        <v>46272</v>
      </c>
      <c r="J1453" s="3">
        <v>46282</v>
      </c>
      <c r="K1453" s="3" t="s">
        <v>2370</v>
      </c>
      <c r="L1453" s="22">
        <v>46272.750553240738</v>
      </c>
      <c r="M1453" s="20">
        <v>12</v>
      </c>
      <c r="N1453" s="1">
        <v>51</v>
      </c>
    </row>
    <row r="1454" spans="1:14" x14ac:dyDescent="0.25">
      <c r="A1454" t="str">
        <f t="shared" si="46"/>
        <v>U146411U146411</v>
      </c>
      <c r="B1454" t="str">
        <f t="shared" si="47"/>
        <v>U146411G6032Z2-M</v>
      </c>
      <c r="C1454" s="1" t="s">
        <v>15</v>
      </c>
      <c r="D1454" s="1" t="s">
        <v>601</v>
      </c>
      <c r="E1454" s="1" t="s">
        <v>436</v>
      </c>
      <c r="F1454" s="1" t="s">
        <v>440</v>
      </c>
      <c r="G1454" s="1" t="s">
        <v>438</v>
      </c>
      <c r="H1454" s="1">
        <v>516</v>
      </c>
      <c r="I1454" s="3">
        <v>46272</v>
      </c>
      <c r="J1454" s="3">
        <v>46288</v>
      </c>
      <c r="L1454" s="22">
        <v>46272.596145370371</v>
      </c>
      <c r="M1454" s="20">
        <v>12</v>
      </c>
      <c r="N1454" s="1">
        <v>10</v>
      </c>
    </row>
    <row r="1455" spans="1:14" x14ac:dyDescent="0.25">
      <c r="A1455" t="str">
        <f t="shared" si="46"/>
        <v>U146411U146411</v>
      </c>
      <c r="B1455" t="str">
        <f t="shared" si="47"/>
        <v>U146411G6032Z2-M</v>
      </c>
      <c r="C1455" s="1" t="s">
        <v>15</v>
      </c>
      <c r="D1455" s="1" t="s">
        <v>601</v>
      </c>
      <c r="E1455" s="1" t="s">
        <v>436</v>
      </c>
      <c r="F1455" s="1" t="s">
        <v>440</v>
      </c>
      <c r="G1455" s="1" t="s">
        <v>438</v>
      </c>
      <c r="H1455" s="1">
        <v>516</v>
      </c>
      <c r="I1455" s="3">
        <v>46272</v>
      </c>
      <c r="J1455" s="3">
        <v>46288</v>
      </c>
      <c r="L1455" s="22">
        <v>46272.596417326386</v>
      </c>
      <c r="M1455" s="20">
        <v>12</v>
      </c>
      <c r="N1455" s="1">
        <v>18</v>
      </c>
    </row>
    <row r="1456" spans="1:14" x14ac:dyDescent="0.25">
      <c r="A1456" t="str">
        <f t="shared" si="46"/>
        <v>U146411U146411</v>
      </c>
      <c r="B1456" t="str">
        <f t="shared" si="47"/>
        <v>U146411G6032Z2-M</v>
      </c>
      <c r="C1456" s="1" t="s">
        <v>15</v>
      </c>
      <c r="D1456" s="1" t="s">
        <v>601</v>
      </c>
      <c r="E1456" s="1" t="s">
        <v>436</v>
      </c>
      <c r="F1456" s="1" t="s">
        <v>440</v>
      </c>
      <c r="G1456" s="1" t="s">
        <v>438</v>
      </c>
      <c r="H1456" s="1">
        <v>516</v>
      </c>
      <c r="I1456" s="3">
        <v>46272</v>
      </c>
      <c r="J1456" s="3">
        <v>46288</v>
      </c>
      <c r="L1456" s="22">
        <v>46272.625091006943</v>
      </c>
      <c r="M1456" s="20">
        <v>12</v>
      </c>
      <c r="N1456" s="1">
        <v>27</v>
      </c>
    </row>
    <row r="1457" spans="1:14" x14ac:dyDescent="0.25">
      <c r="A1457" t="str">
        <f t="shared" si="46"/>
        <v>U146411U146411</v>
      </c>
      <c r="B1457" t="str">
        <f t="shared" si="47"/>
        <v>U146411G6032Z2-M</v>
      </c>
      <c r="C1457" s="1" t="s">
        <v>15</v>
      </c>
      <c r="D1457" s="1" t="s">
        <v>601</v>
      </c>
      <c r="E1457" s="1" t="s">
        <v>436</v>
      </c>
      <c r="F1457" s="1" t="s">
        <v>440</v>
      </c>
      <c r="G1457" s="1" t="s">
        <v>438</v>
      </c>
      <c r="H1457" s="1">
        <v>516</v>
      </c>
      <c r="I1457" s="3">
        <v>46272</v>
      </c>
      <c r="J1457" s="3">
        <v>46288</v>
      </c>
      <c r="L1457" s="22">
        <v>46272.63701875</v>
      </c>
      <c r="M1457" s="20">
        <v>12</v>
      </c>
      <c r="N1457" s="1">
        <v>21</v>
      </c>
    </row>
    <row r="1458" spans="1:14" x14ac:dyDescent="0.25">
      <c r="A1458" t="str">
        <f t="shared" si="46"/>
        <v>U146411U146411</v>
      </c>
      <c r="B1458" t="str">
        <f t="shared" si="47"/>
        <v>U146411G6032Z2-M</v>
      </c>
      <c r="C1458" s="1" t="s">
        <v>15</v>
      </c>
      <c r="D1458" s="1" t="s">
        <v>601</v>
      </c>
      <c r="E1458" s="1" t="s">
        <v>436</v>
      </c>
      <c r="F1458" s="1" t="s">
        <v>440</v>
      </c>
      <c r="G1458" s="1" t="s">
        <v>438</v>
      </c>
      <c r="H1458" s="1">
        <v>516</v>
      </c>
      <c r="I1458" s="3">
        <v>46272</v>
      </c>
      <c r="J1458" s="3">
        <v>46288</v>
      </c>
      <c r="L1458" s="22">
        <v>46272.637885497687</v>
      </c>
      <c r="M1458" s="20">
        <v>12</v>
      </c>
      <c r="N1458" s="1">
        <v>30</v>
      </c>
    </row>
    <row r="1459" spans="1:14" x14ac:dyDescent="0.25">
      <c r="A1459" t="str">
        <f t="shared" si="46"/>
        <v>U146411U146411</v>
      </c>
      <c r="B1459" t="str">
        <f t="shared" si="47"/>
        <v>U146411G6032Z2-M</v>
      </c>
      <c r="C1459" s="1" t="s">
        <v>15</v>
      </c>
      <c r="D1459" s="1" t="s">
        <v>601</v>
      </c>
      <c r="E1459" s="1" t="s">
        <v>436</v>
      </c>
      <c r="F1459" s="1" t="s">
        <v>440</v>
      </c>
      <c r="G1459" s="1" t="s">
        <v>438</v>
      </c>
      <c r="H1459" s="1">
        <v>516</v>
      </c>
      <c r="I1459" s="3">
        <v>46272</v>
      </c>
      <c r="J1459" s="3">
        <v>46288</v>
      </c>
      <c r="L1459" s="22">
        <v>46272.639268402774</v>
      </c>
      <c r="M1459" s="20">
        <v>12</v>
      </c>
      <c r="N1459" s="1">
        <v>1</v>
      </c>
    </row>
    <row r="1460" spans="1:14" x14ac:dyDescent="0.25">
      <c r="A1460" t="str">
        <f t="shared" si="46"/>
        <v>U146411U146411</v>
      </c>
      <c r="B1460" t="str">
        <f t="shared" si="47"/>
        <v>U146411G6032Z2-M</v>
      </c>
      <c r="C1460" s="1" t="s">
        <v>15</v>
      </c>
      <c r="D1460" s="1" t="s">
        <v>601</v>
      </c>
      <c r="E1460" s="1" t="s">
        <v>436</v>
      </c>
      <c r="F1460" s="1" t="s">
        <v>440</v>
      </c>
      <c r="G1460" s="1" t="s">
        <v>438</v>
      </c>
      <c r="H1460" s="1">
        <v>516</v>
      </c>
      <c r="I1460" s="3">
        <v>46272</v>
      </c>
      <c r="J1460" s="3">
        <v>46288</v>
      </c>
      <c r="L1460" s="22">
        <v>46272.657143634256</v>
      </c>
      <c r="M1460" s="20">
        <v>12</v>
      </c>
      <c r="N1460" s="1">
        <v>6</v>
      </c>
    </row>
    <row r="1461" spans="1:14" x14ac:dyDescent="0.25">
      <c r="A1461" t="str">
        <f t="shared" si="46"/>
        <v>U146411U146411</v>
      </c>
      <c r="B1461" t="str">
        <f t="shared" si="47"/>
        <v>U146411G6032Z2-M</v>
      </c>
      <c r="C1461" s="1" t="s">
        <v>15</v>
      </c>
      <c r="D1461" s="1" t="s">
        <v>601</v>
      </c>
      <c r="E1461" s="1" t="s">
        <v>436</v>
      </c>
      <c r="F1461" s="1" t="s">
        <v>440</v>
      </c>
      <c r="G1461" s="1" t="s">
        <v>438</v>
      </c>
      <c r="H1461" s="1">
        <v>516</v>
      </c>
      <c r="I1461" s="3">
        <v>46272</v>
      </c>
      <c r="J1461" s="3">
        <v>46288</v>
      </c>
      <c r="L1461" s="22">
        <v>46272.658020868053</v>
      </c>
      <c r="M1461" s="20">
        <v>12</v>
      </c>
      <c r="N1461" s="1">
        <v>32</v>
      </c>
    </row>
    <row r="1462" spans="1:14" x14ac:dyDescent="0.25">
      <c r="A1462" t="str">
        <f t="shared" si="46"/>
        <v>U146411U146411</v>
      </c>
      <c r="B1462" t="str">
        <f t="shared" si="47"/>
        <v>U146411G6032Z2-M</v>
      </c>
      <c r="C1462" s="1" t="s">
        <v>15</v>
      </c>
      <c r="D1462" s="1" t="s">
        <v>601</v>
      </c>
      <c r="E1462" s="1" t="s">
        <v>436</v>
      </c>
      <c r="F1462" s="1" t="s">
        <v>440</v>
      </c>
      <c r="G1462" s="1" t="s">
        <v>438</v>
      </c>
      <c r="H1462" s="1">
        <v>516</v>
      </c>
      <c r="I1462" s="3">
        <v>46272</v>
      </c>
      <c r="J1462" s="3">
        <v>46288</v>
      </c>
      <c r="L1462" s="22">
        <v>46272.658557372684</v>
      </c>
      <c r="M1462" s="20">
        <v>12</v>
      </c>
      <c r="N1462" s="1">
        <v>26</v>
      </c>
    </row>
    <row r="1463" spans="1:14" x14ac:dyDescent="0.25">
      <c r="A1463" t="str">
        <f t="shared" si="46"/>
        <v>U146411U146411</v>
      </c>
      <c r="B1463" t="str">
        <f t="shared" si="47"/>
        <v>U146411G6032Z2-M</v>
      </c>
      <c r="C1463" s="1" t="s">
        <v>15</v>
      </c>
      <c r="D1463" s="1" t="s">
        <v>601</v>
      </c>
      <c r="E1463" s="1" t="s">
        <v>436</v>
      </c>
      <c r="F1463" s="1" t="s">
        <v>440</v>
      </c>
      <c r="G1463" s="1" t="s">
        <v>438</v>
      </c>
      <c r="H1463" s="1">
        <v>516</v>
      </c>
      <c r="I1463" s="3">
        <v>46272</v>
      </c>
      <c r="J1463" s="3">
        <v>46288</v>
      </c>
      <c r="L1463" s="22">
        <v>46272.664619409719</v>
      </c>
      <c r="M1463" s="20">
        <v>12</v>
      </c>
      <c r="N1463" s="1">
        <v>7</v>
      </c>
    </row>
    <row r="1464" spans="1:14" x14ac:dyDescent="0.25">
      <c r="A1464" t="str">
        <f t="shared" si="46"/>
        <v>U146411U146411</v>
      </c>
      <c r="B1464" t="str">
        <f t="shared" si="47"/>
        <v>U146411G6032Z2-M</v>
      </c>
      <c r="C1464" s="1" t="s">
        <v>15</v>
      </c>
      <c r="D1464" s="1" t="s">
        <v>601</v>
      </c>
      <c r="E1464" s="1" t="s">
        <v>436</v>
      </c>
      <c r="F1464" s="1" t="s">
        <v>440</v>
      </c>
      <c r="G1464" s="1" t="s">
        <v>438</v>
      </c>
      <c r="H1464" s="1">
        <v>516</v>
      </c>
      <c r="I1464" s="3">
        <v>46272</v>
      </c>
      <c r="J1464" s="3">
        <v>46288</v>
      </c>
      <c r="L1464" s="22">
        <v>46272.66958981481</v>
      </c>
      <c r="M1464" s="20">
        <v>12</v>
      </c>
      <c r="N1464" s="1">
        <v>19</v>
      </c>
    </row>
    <row r="1465" spans="1:14" x14ac:dyDescent="0.25">
      <c r="A1465" t="str">
        <f t="shared" si="46"/>
        <v>U146411U146411</v>
      </c>
      <c r="B1465" t="str">
        <f t="shared" si="47"/>
        <v>U146411G6032Z2-M</v>
      </c>
      <c r="C1465" s="1" t="s">
        <v>15</v>
      </c>
      <c r="D1465" s="1" t="s">
        <v>601</v>
      </c>
      <c r="E1465" s="1" t="s">
        <v>436</v>
      </c>
      <c r="F1465" s="1" t="s">
        <v>440</v>
      </c>
      <c r="G1465" s="1" t="s">
        <v>438</v>
      </c>
      <c r="H1465" s="1">
        <v>516</v>
      </c>
      <c r="I1465" s="3">
        <v>46272</v>
      </c>
      <c r="J1465" s="3">
        <v>46288</v>
      </c>
      <c r="L1465" s="22">
        <v>46272.694808715278</v>
      </c>
      <c r="M1465" s="20">
        <v>12</v>
      </c>
      <c r="N1465" s="1">
        <v>24</v>
      </c>
    </row>
    <row r="1466" spans="1:14" x14ac:dyDescent="0.25">
      <c r="A1466" t="str">
        <f t="shared" si="46"/>
        <v>U146411U146411</v>
      </c>
      <c r="B1466" t="str">
        <f t="shared" si="47"/>
        <v>U146411G6032Z2-M</v>
      </c>
      <c r="C1466" s="1" t="s">
        <v>15</v>
      </c>
      <c r="D1466" s="1" t="s">
        <v>601</v>
      </c>
      <c r="E1466" s="1" t="s">
        <v>436</v>
      </c>
      <c r="F1466" s="1" t="s">
        <v>440</v>
      </c>
      <c r="G1466" s="1" t="s">
        <v>438</v>
      </c>
      <c r="H1466" s="1">
        <v>516</v>
      </c>
      <c r="I1466" s="3">
        <v>46272</v>
      </c>
      <c r="J1466" s="3">
        <v>46288</v>
      </c>
      <c r="L1466" s="22">
        <v>46272.715434062498</v>
      </c>
      <c r="M1466" s="20">
        <v>12</v>
      </c>
      <c r="N1466" s="1">
        <v>25</v>
      </c>
    </row>
    <row r="1467" spans="1:14" x14ac:dyDescent="0.25">
      <c r="A1467" t="str">
        <f t="shared" si="46"/>
        <v>U146411U146411</v>
      </c>
      <c r="B1467" t="str">
        <f t="shared" si="47"/>
        <v>U146411G6032Z2-M</v>
      </c>
      <c r="C1467" s="1" t="s">
        <v>15</v>
      </c>
      <c r="D1467" s="1" t="s">
        <v>601</v>
      </c>
      <c r="E1467" s="1" t="s">
        <v>436</v>
      </c>
      <c r="F1467" s="1" t="s">
        <v>440</v>
      </c>
      <c r="G1467" s="1" t="s">
        <v>438</v>
      </c>
      <c r="H1467" s="1">
        <v>516</v>
      </c>
      <c r="I1467" s="3">
        <v>46272</v>
      </c>
      <c r="J1467" s="3">
        <v>46288</v>
      </c>
      <c r="L1467" s="22">
        <v>46272.715867129627</v>
      </c>
      <c r="M1467" s="20">
        <v>12</v>
      </c>
      <c r="N1467" s="1">
        <v>9</v>
      </c>
    </row>
    <row r="1468" spans="1:14" x14ac:dyDescent="0.25">
      <c r="A1468" t="str">
        <f t="shared" si="46"/>
        <v>U146411U146411</v>
      </c>
      <c r="B1468" t="str">
        <f t="shared" si="47"/>
        <v>U146411G6032Z2-M</v>
      </c>
      <c r="C1468" s="1" t="s">
        <v>15</v>
      </c>
      <c r="D1468" s="1" t="s">
        <v>601</v>
      </c>
      <c r="E1468" s="1" t="s">
        <v>436</v>
      </c>
      <c r="F1468" s="1" t="s">
        <v>440</v>
      </c>
      <c r="G1468" s="1" t="s">
        <v>438</v>
      </c>
      <c r="H1468" s="1">
        <v>516</v>
      </c>
      <c r="I1468" s="3">
        <v>46272</v>
      </c>
      <c r="J1468" s="3">
        <v>46288</v>
      </c>
      <c r="L1468" s="22">
        <v>46272.71658364583</v>
      </c>
      <c r="M1468" s="20">
        <v>12</v>
      </c>
      <c r="N1468" s="1">
        <v>23</v>
      </c>
    </row>
    <row r="1469" spans="1:14" x14ac:dyDescent="0.25">
      <c r="A1469" t="str">
        <f t="shared" si="46"/>
        <v>U146411U146411</v>
      </c>
      <c r="B1469" t="str">
        <f t="shared" si="47"/>
        <v>U146411G6032Z2-M</v>
      </c>
      <c r="C1469" s="1" t="s">
        <v>15</v>
      </c>
      <c r="D1469" s="1" t="s">
        <v>601</v>
      </c>
      <c r="E1469" s="1" t="s">
        <v>436</v>
      </c>
      <c r="F1469" s="1" t="s">
        <v>440</v>
      </c>
      <c r="G1469" s="1" t="s">
        <v>438</v>
      </c>
      <c r="H1469" s="1">
        <v>516</v>
      </c>
      <c r="I1469" s="3">
        <v>46272</v>
      </c>
      <c r="J1469" s="3">
        <v>46288</v>
      </c>
      <c r="L1469" s="22">
        <v>46272.719064201388</v>
      </c>
      <c r="M1469" s="20">
        <v>12</v>
      </c>
      <c r="N1469" s="1">
        <v>8</v>
      </c>
    </row>
    <row r="1470" spans="1:14" x14ac:dyDescent="0.25">
      <c r="A1470" t="str">
        <f t="shared" si="46"/>
        <v>U148861U148861</v>
      </c>
      <c r="B1470" t="str">
        <f t="shared" si="47"/>
        <v>U148861WL515WHT-B</v>
      </c>
      <c r="C1470" s="1" t="s">
        <v>4</v>
      </c>
      <c r="D1470" s="1" t="s">
        <v>603</v>
      </c>
      <c r="E1470" s="1" t="s">
        <v>436</v>
      </c>
      <c r="F1470" s="1" t="s">
        <v>440</v>
      </c>
      <c r="G1470" s="1" t="s">
        <v>438</v>
      </c>
      <c r="H1470" s="1">
        <v>612</v>
      </c>
      <c r="I1470" s="3">
        <v>46272</v>
      </c>
      <c r="J1470" s="3">
        <v>46288</v>
      </c>
      <c r="K1470" s="3" t="s">
        <v>2371</v>
      </c>
      <c r="L1470" s="22">
        <v>46272.71237094907</v>
      </c>
      <c r="M1470" s="20">
        <v>12</v>
      </c>
      <c r="N1470" s="1">
        <v>22</v>
      </c>
    </row>
    <row r="1471" spans="1:14" x14ac:dyDescent="0.25">
      <c r="A1471" t="str">
        <f t="shared" si="46"/>
        <v>U148861U148861</v>
      </c>
      <c r="B1471" t="str">
        <f t="shared" si="47"/>
        <v>U148861WL515WHT-B</v>
      </c>
      <c r="C1471" s="1" t="s">
        <v>4</v>
      </c>
      <c r="D1471" s="1" t="s">
        <v>603</v>
      </c>
      <c r="E1471" s="1" t="s">
        <v>436</v>
      </c>
      <c r="F1471" s="1" t="s">
        <v>440</v>
      </c>
      <c r="G1471" s="1" t="s">
        <v>438</v>
      </c>
      <c r="H1471" s="1">
        <v>612</v>
      </c>
      <c r="I1471" s="3">
        <v>46272</v>
      </c>
      <c r="J1471" s="3">
        <v>46288</v>
      </c>
      <c r="K1471" s="3" t="s">
        <v>2371</v>
      </c>
      <c r="L1471" s="22">
        <v>46272.722622719906</v>
      </c>
      <c r="M1471" s="20">
        <v>12</v>
      </c>
      <c r="N1471" s="1">
        <v>37</v>
      </c>
    </row>
    <row r="1472" spans="1:14" x14ac:dyDescent="0.25">
      <c r="A1472" t="str">
        <f t="shared" si="46"/>
        <v>U148861U148861</v>
      </c>
      <c r="B1472" t="str">
        <f t="shared" si="47"/>
        <v>U148861WL515WHT-B</v>
      </c>
      <c r="C1472" s="1" t="s">
        <v>4</v>
      </c>
      <c r="D1472" s="1" t="s">
        <v>603</v>
      </c>
      <c r="E1472" s="1" t="s">
        <v>436</v>
      </c>
      <c r="F1472" s="1" t="s">
        <v>440</v>
      </c>
      <c r="G1472" s="1" t="s">
        <v>438</v>
      </c>
      <c r="H1472" s="1">
        <v>612</v>
      </c>
      <c r="I1472" s="3">
        <v>46272</v>
      </c>
      <c r="J1472" s="3">
        <v>46288</v>
      </c>
      <c r="K1472" s="3" t="s">
        <v>2371</v>
      </c>
      <c r="L1472" s="22">
        <v>46272.722879201385</v>
      </c>
      <c r="M1472" s="20">
        <v>12</v>
      </c>
      <c r="N1472" s="1">
        <v>15</v>
      </c>
    </row>
    <row r="1473" spans="1:14" x14ac:dyDescent="0.25">
      <c r="A1473" t="str">
        <f t="shared" si="46"/>
        <v>U148861U148861</v>
      </c>
      <c r="B1473" t="str">
        <f t="shared" si="47"/>
        <v>U148861WL515WHT-B</v>
      </c>
      <c r="C1473" s="1" t="s">
        <v>4</v>
      </c>
      <c r="D1473" s="1" t="s">
        <v>603</v>
      </c>
      <c r="E1473" s="1" t="s">
        <v>436</v>
      </c>
      <c r="F1473" s="1" t="s">
        <v>440</v>
      </c>
      <c r="G1473" s="1" t="s">
        <v>438</v>
      </c>
      <c r="H1473" s="1">
        <v>612</v>
      </c>
      <c r="I1473" s="3">
        <v>46272</v>
      </c>
      <c r="J1473" s="3">
        <v>46288</v>
      </c>
      <c r="K1473" s="3" t="s">
        <v>2371</v>
      </c>
      <c r="L1473" s="22">
        <v>46272.724970023148</v>
      </c>
      <c r="M1473" s="20">
        <v>12</v>
      </c>
      <c r="N1473" s="1">
        <v>24</v>
      </c>
    </row>
    <row r="1474" spans="1:14" x14ac:dyDescent="0.25">
      <c r="A1474" t="str">
        <f t="shared" ref="A1474:A1537" si="48">+D1474&amp;D1474</f>
        <v>U148861U148861</v>
      </c>
      <c r="B1474" t="str">
        <f t="shared" ref="B1474:B1537" si="49">+D1474&amp;C1474</f>
        <v>U148861WL515WHT-B</v>
      </c>
      <c r="C1474" s="1" t="s">
        <v>4</v>
      </c>
      <c r="D1474" s="1" t="s">
        <v>603</v>
      </c>
      <c r="E1474" s="1" t="s">
        <v>436</v>
      </c>
      <c r="F1474" s="1" t="s">
        <v>440</v>
      </c>
      <c r="G1474" s="1" t="s">
        <v>438</v>
      </c>
      <c r="H1474" s="1">
        <v>612</v>
      </c>
      <c r="I1474" s="3">
        <v>46272</v>
      </c>
      <c r="J1474" s="3">
        <v>46288</v>
      </c>
      <c r="K1474" s="3" t="s">
        <v>2371</v>
      </c>
      <c r="L1474" s="22">
        <v>46272.726992245371</v>
      </c>
      <c r="M1474" s="20">
        <v>12</v>
      </c>
      <c r="N1474" s="1">
        <v>42</v>
      </c>
    </row>
    <row r="1475" spans="1:14" x14ac:dyDescent="0.25">
      <c r="A1475" t="str">
        <f t="shared" si="48"/>
        <v>U148861U148861</v>
      </c>
      <c r="B1475" t="str">
        <f t="shared" si="49"/>
        <v>U148861WL515WHT-B</v>
      </c>
      <c r="C1475" s="1" t="s">
        <v>4</v>
      </c>
      <c r="D1475" s="1" t="s">
        <v>603</v>
      </c>
      <c r="E1475" s="1" t="s">
        <v>436</v>
      </c>
      <c r="F1475" s="1" t="s">
        <v>440</v>
      </c>
      <c r="G1475" s="1" t="s">
        <v>438</v>
      </c>
      <c r="H1475" s="1">
        <v>612</v>
      </c>
      <c r="I1475" s="3">
        <v>46272</v>
      </c>
      <c r="J1475" s="3">
        <v>46288</v>
      </c>
      <c r="K1475" s="3" t="s">
        <v>2371</v>
      </c>
      <c r="L1475" s="22">
        <v>46272.730281284719</v>
      </c>
      <c r="M1475" s="20">
        <v>12</v>
      </c>
      <c r="N1475" s="1">
        <v>14</v>
      </c>
    </row>
    <row r="1476" spans="1:14" x14ac:dyDescent="0.25">
      <c r="A1476" t="str">
        <f t="shared" si="48"/>
        <v>U148861U148861</v>
      </c>
      <c r="B1476" t="str">
        <f t="shared" si="49"/>
        <v>U148861WL515WHT-B</v>
      </c>
      <c r="C1476" s="1" t="s">
        <v>4</v>
      </c>
      <c r="D1476" s="1" t="s">
        <v>603</v>
      </c>
      <c r="E1476" s="1" t="s">
        <v>436</v>
      </c>
      <c r="F1476" s="1" t="s">
        <v>440</v>
      </c>
      <c r="G1476" s="1" t="s">
        <v>438</v>
      </c>
      <c r="H1476" s="1">
        <v>612</v>
      </c>
      <c r="I1476" s="3">
        <v>46272</v>
      </c>
      <c r="J1476" s="3">
        <v>46288</v>
      </c>
      <c r="K1476" s="3" t="s">
        <v>2371</v>
      </c>
      <c r="L1476" s="22">
        <v>46272.736617708331</v>
      </c>
      <c r="M1476" s="20">
        <v>12</v>
      </c>
      <c r="N1476" s="1">
        <v>45</v>
      </c>
    </row>
    <row r="1477" spans="1:14" x14ac:dyDescent="0.25">
      <c r="A1477" t="str">
        <f t="shared" si="48"/>
        <v>U148861U148861</v>
      </c>
      <c r="B1477" t="str">
        <f t="shared" si="49"/>
        <v>U148861WL515WHT-B</v>
      </c>
      <c r="C1477" s="1" t="s">
        <v>4</v>
      </c>
      <c r="D1477" s="1" t="s">
        <v>603</v>
      </c>
      <c r="E1477" s="1" t="s">
        <v>436</v>
      </c>
      <c r="F1477" s="1" t="s">
        <v>440</v>
      </c>
      <c r="G1477" s="1" t="s">
        <v>438</v>
      </c>
      <c r="H1477" s="1">
        <v>612</v>
      </c>
      <c r="I1477" s="3">
        <v>46272</v>
      </c>
      <c r="J1477" s="3">
        <v>46288</v>
      </c>
      <c r="K1477" s="3" t="s">
        <v>2371</v>
      </c>
      <c r="L1477" s="22">
        <v>46272.736891747685</v>
      </c>
      <c r="M1477" s="20">
        <v>12</v>
      </c>
      <c r="N1477" s="1">
        <v>26</v>
      </c>
    </row>
    <row r="1478" spans="1:14" x14ac:dyDescent="0.25">
      <c r="A1478" t="str">
        <f t="shared" si="48"/>
        <v>U148861U148861</v>
      </c>
      <c r="B1478" t="str">
        <f t="shared" si="49"/>
        <v>U148861WL515WHT-B</v>
      </c>
      <c r="C1478" s="1" t="s">
        <v>4</v>
      </c>
      <c r="D1478" s="1" t="s">
        <v>603</v>
      </c>
      <c r="E1478" s="1" t="s">
        <v>436</v>
      </c>
      <c r="F1478" s="1" t="s">
        <v>440</v>
      </c>
      <c r="G1478" s="1" t="s">
        <v>438</v>
      </c>
      <c r="H1478" s="1">
        <v>612</v>
      </c>
      <c r="I1478" s="3">
        <v>46272</v>
      </c>
      <c r="J1478" s="3">
        <v>46288</v>
      </c>
      <c r="K1478" s="3" t="s">
        <v>2371</v>
      </c>
      <c r="L1478" s="22">
        <v>46272.74066319444</v>
      </c>
      <c r="M1478" s="20">
        <v>12</v>
      </c>
      <c r="N1478" s="1">
        <v>36</v>
      </c>
    </row>
    <row r="1479" spans="1:14" x14ac:dyDescent="0.25">
      <c r="A1479" t="str">
        <f t="shared" si="48"/>
        <v>U148861U148861</v>
      </c>
      <c r="B1479" t="str">
        <f t="shared" si="49"/>
        <v>U148861WL515WHT-B</v>
      </c>
      <c r="C1479" s="1" t="s">
        <v>4</v>
      </c>
      <c r="D1479" s="1" t="s">
        <v>603</v>
      </c>
      <c r="E1479" s="1" t="s">
        <v>436</v>
      </c>
      <c r="F1479" s="1" t="s">
        <v>440</v>
      </c>
      <c r="G1479" s="1" t="s">
        <v>438</v>
      </c>
      <c r="H1479" s="1">
        <v>612</v>
      </c>
      <c r="I1479" s="3">
        <v>46272</v>
      </c>
      <c r="J1479" s="3">
        <v>46288</v>
      </c>
      <c r="K1479" s="3" t="s">
        <v>2371</v>
      </c>
      <c r="L1479" s="22">
        <v>46272.743052002312</v>
      </c>
      <c r="M1479" s="20">
        <v>12</v>
      </c>
      <c r="N1479" s="1">
        <v>16</v>
      </c>
    </row>
    <row r="1480" spans="1:14" x14ac:dyDescent="0.25">
      <c r="A1480" t="str">
        <f t="shared" si="48"/>
        <v>U148861U148861</v>
      </c>
      <c r="B1480" t="str">
        <f t="shared" si="49"/>
        <v>U148861WL515WHT-B</v>
      </c>
      <c r="C1480" s="1" t="s">
        <v>4</v>
      </c>
      <c r="D1480" s="1" t="s">
        <v>603</v>
      </c>
      <c r="E1480" s="1" t="s">
        <v>436</v>
      </c>
      <c r="F1480" s="1" t="s">
        <v>440</v>
      </c>
      <c r="G1480" s="1" t="s">
        <v>438</v>
      </c>
      <c r="H1480" s="1">
        <v>612</v>
      </c>
      <c r="I1480" s="3">
        <v>46272</v>
      </c>
      <c r="J1480" s="3">
        <v>46288</v>
      </c>
      <c r="K1480" s="3" t="s">
        <v>2371</v>
      </c>
      <c r="L1480" s="22">
        <v>46272.743373958328</v>
      </c>
      <c r="M1480" s="20">
        <v>12</v>
      </c>
      <c r="N1480" s="1">
        <v>23</v>
      </c>
    </row>
    <row r="1481" spans="1:14" x14ac:dyDescent="0.25">
      <c r="A1481" t="str">
        <f t="shared" si="48"/>
        <v>U148861U148861</v>
      </c>
      <c r="B1481" t="str">
        <f t="shared" si="49"/>
        <v>U148861WL515WHT-B</v>
      </c>
      <c r="C1481" s="1" t="s">
        <v>4</v>
      </c>
      <c r="D1481" s="1" t="s">
        <v>603</v>
      </c>
      <c r="E1481" s="1" t="s">
        <v>436</v>
      </c>
      <c r="F1481" s="1" t="s">
        <v>440</v>
      </c>
      <c r="G1481" s="1" t="s">
        <v>438</v>
      </c>
      <c r="H1481" s="1">
        <v>612</v>
      </c>
      <c r="I1481" s="3">
        <v>46272</v>
      </c>
      <c r="J1481" s="3">
        <v>46288</v>
      </c>
      <c r="K1481" s="3" t="s">
        <v>2371</v>
      </c>
      <c r="L1481" s="22">
        <v>46272.743836539346</v>
      </c>
      <c r="M1481" s="20">
        <v>12</v>
      </c>
      <c r="N1481" s="1">
        <v>21</v>
      </c>
    </row>
    <row r="1482" spans="1:14" x14ac:dyDescent="0.25">
      <c r="A1482" t="str">
        <f t="shared" si="48"/>
        <v>U148861U148861</v>
      </c>
      <c r="B1482" t="str">
        <f t="shared" si="49"/>
        <v>U148861WL515WHT-B</v>
      </c>
      <c r="C1482" s="1" t="s">
        <v>4</v>
      </c>
      <c r="D1482" s="1" t="s">
        <v>603</v>
      </c>
      <c r="E1482" s="1" t="s">
        <v>436</v>
      </c>
      <c r="F1482" s="1" t="s">
        <v>440</v>
      </c>
      <c r="G1482" s="1" t="s">
        <v>438</v>
      </c>
      <c r="H1482" s="1">
        <v>612</v>
      </c>
      <c r="I1482" s="3">
        <v>46272</v>
      </c>
      <c r="J1482" s="3">
        <v>46288</v>
      </c>
      <c r="K1482" s="3" t="s">
        <v>2371</v>
      </c>
      <c r="L1482" s="22">
        <v>46272.746779398149</v>
      </c>
      <c r="M1482" s="20">
        <v>12</v>
      </c>
      <c r="N1482" s="1">
        <v>8</v>
      </c>
    </row>
    <row r="1483" spans="1:14" x14ac:dyDescent="0.25">
      <c r="A1483" t="str">
        <f t="shared" si="48"/>
        <v>U148861U148861</v>
      </c>
      <c r="B1483" t="str">
        <f t="shared" si="49"/>
        <v>U148861WL515WHT-B</v>
      </c>
      <c r="C1483" s="1" t="s">
        <v>4</v>
      </c>
      <c r="D1483" s="1" t="s">
        <v>603</v>
      </c>
      <c r="E1483" s="1" t="s">
        <v>436</v>
      </c>
      <c r="F1483" s="1" t="s">
        <v>440</v>
      </c>
      <c r="G1483" s="1" t="s">
        <v>438</v>
      </c>
      <c r="H1483" s="1">
        <v>612</v>
      </c>
      <c r="I1483" s="3">
        <v>46272</v>
      </c>
      <c r="J1483" s="3">
        <v>46288</v>
      </c>
      <c r="K1483" s="3" t="s">
        <v>2371</v>
      </c>
      <c r="L1483" s="22">
        <v>46272.747011805557</v>
      </c>
      <c r="M1483" s="20">
        <v>12</v>
      </c>
      <c r="N1483" s="1">
        <v>33</v>
      </c>
    </row>
    <row r="1484" spans="1:14" x14ac:dyDescent="0.25">
      <c r="A1484" t="str">
        <f t="shared" si="48"/>
        <v>U148861U148861</v>
      </c>
      <c r="B1484" t="str">
        <f t="shared" si="49"/>
        <v>U148861WL515WHT-B</v>
      </c>
      <c r="C1484" s="1" t="s">
        <v>4</v>
      </c>
      <c r="D1484" s="1" t="s">
        <v>603</v>
      </c>
      <c r="E1484" s="1" t="s">
        <v>436</v>
      </c>
      <c r="F1484" s="1" t="s">
        <v>440</v>
      </c>
      <c r="G1484" s="1" t="s">
        <v>438</v>
      </c>
      <c r="H1484" s="1">
        <v>612</v>
      </c>
      <c r="I1484" s="3">
        <v>46272</v>
      </c>
      <c r="J1484" s="3">
        <v>46288</v>
      </c>
      <c r="K1484" s="3" t="s">
        <v>2371</v>
      </c>
      <c r="L1484" s="22">
        <v>46272.747362766204</v>
      </c>
      <c r="M1484" s="20">
        <v>12</v>
      </c>
      <c r="N1484" s="1">
        <v>41</v>
      </c>
    </row>
    <row r="1485" spans="1:14" x14ac:dyDescent="0.25">
      <c r="A1485" t="str">
        <f t="shared" si="48"/>
        <v>U148861U148861</v>
      </c>
      <c r="B1485" t="str">
        <f t="shared" si="49"/>
        <v>U148861WL515WHT-B</v>
      </c>
      <c r="C1485" s="1" t="s">
        <v>4</v>
      </c>
      <c r="D1485" s="1" t="s">
        <v>603</v>
      </c>
      <c r="E1485" s="1" t="s">
        <v>436</v>
      </c>
      <c r="F1485" s="1" t="s">
        <v>440</v>
      </c>
      <c r="G1485" s="1" t="s">
        <v>438</v>
      </c>
      <c r="H1485" s="1">
        <v>612</v>
      </c>
      <c r="I1485" s="3">
        <v>46272</v>
      </c>
      <c r="J1485" s="3">
        <v>46288</v>
      </c>
      <c r="K1485" s="3" t="s">
        <v>2371</v>
      </c>
      <c r="L1485" s="22">
        <v>46272.7498037037</v>
      </c>
      <c r="M1485" s="20">
        <v>12</v>
      </c>
      <c r="N1485" s="1">
        <v>2</v>
      </c>
    </row>
    <row r="1486" spans="1:14" x14ac:dyDescent="0.25">
      <c r="A1486" t="str">
        <f t="shared" si="48"/>
        <v>78746757874675</v>
      </c>
      <c r="B1486" t="str">
        <f t="shared" si="49"/>
        <v>7874675I906081E-M</v>
      </c>
      <c r="C1486" s="1" t="s">
        <v>611</v>
      </c>
      <c r="D1486" s="1" t="s">
        <v>612</v>
      </c>
      <c r="E1486" s="1" t="s">
        <v>382</v>
      </c>
      <c r="F1486" s="1" t="s">
        <v>2297</v>
      </c>
      <c r="G1486" s="1" t="s">
        <v>394</v>
      </c>
      <c r="H1486" s="1">
        <v>3624</v>
      </c>
      <c r="I1486" s="3">
        <v>46273</v>
      </c>
      <c r="L1486" s="22">
        <v>46273.577175613427</v>
      </c>
      <c r="M1486" s="20">
        <v>6</v>
      </c>
      <c r="N1486" s="1">
        <v>307</v>
      </c>
    </row>
    <row r="1487" spans="1:14" x14ac:dyDescent="0.25">
      <c r="A1487" t="str">
        <f t="shared" si="48"/>
        <v>78746757874675</v>
      </c>
      <c r="B1487" t="str">
        <f t="shared" si="49"/>
        <v>7874675I906081E-M</v>
      </c>
      <c r="C1487" s="1" t="s">
        <v>611</v>
      </c>
      <c r="D1487" s="1" t="s">
        <v>612</v>
      </c>
      <c r="E1487" s="1" t="s">
        <v>382</v>
      </c>
      <c r="F1487" s="1" t="s">
        <v>2297</v>
      </c>
      <c r="G1487" s="1" t="s">
        <v>394</v>
      </c>
      <c r="H1487" s="1">
        <v>3624</v>
      </c>
      <c r="I1487" s="3">
        <v>46273</v>
      </c>
      <c r="L1487" s="22">
        <v>46273.57729001157</v>
      </c>
      <c r="M1487" s="20">
        <v>6</v>
      </c>
      <c r="N1487" s="1">
        <v>449</v>
      </c>
    </row>
    <row r="1488" spans="1:14" x14ac:dyDescent="0.25">
      <c r="A1488" t="str">
        <f t="shared" si="48"/>
        <v>78746757874675</v>
      </c>
      <c r="B1488" t="str">
        <f t="shared" si="49"/>
        <v>7874675I906081E-M</v>
      </c>
      <c r="C1488" s="1" t="s">
        <v>611</v>
      </c>
      <c r="D1488" s="1" t="s">
        <v>612</v>
      </c>
      <c r="E1488" s="1" t="s">
        <v>382</v>
      </c>
      <c r="F1488" s="1" t="s">
        <v>2297</v>
      </c>
      <c r="G1488" s="1" t="s">
        <v>394</v>
      </c>
      <c r="H1488" s="1">
        <v>3624</v>
      </c>
      <c r="I1488" s="3">
        <v>46273</v>
      </c>
      <c r="L1488" s="22">
        <v>46273.578038344902</v>
      </c>
      <c r="M1488" s="20">
        <v>6</v>
      </c>
      <c r="N1488" s="1">
        <v>450</v>
      </c>
    </row>
    <row r="1489" spans="1:14" x14ac:dyDescent="0.25">
      <c r="A1489" t="str">
        <f t="shared" si="48"/>
        <v>78746757874675</v>
      </c>
      <c r="B1489" t="str">
        <f t="shared" si="49"/>
        <v>7874675I906081E-M</v>
      </c>
      <c r="C1489" s="1" t="s">
        <v>611</v>
      </c>
      <c r="D1489" s="1" t="s">
        <v>612</v>
      </c>
      <c r="E1489" s="1" t="s">
        <v>382</v>
      </c>
      <c r="F1489" s="1" t="s">
        <v>2297</v>
      </c>
      <c r="G1489" s="1" t="s">
        <v>394</v>
      </c>
      <c r="H1489" s="1">
        <v>3624</v>
      </c>
      <c r="I1489" s="3">
        <v>46273</v>
      </c>
      <c r="L1489" s="22">
        <v>46273.589157326387</v>
      </c>
      <c r="M1489" s="20">
        <v>6</v>
      </c>
      <c r="N1489" s="1">
        <v>188</v>
      </c>
    </row>
    <row r="1490" spans="1:14" x14ac:dyDescent="0.25">
      <c r="A1490" t="str">
        <f t="shared" si="48"/>
        <v>78746757874675</v>
      </c>
      <c r="B1490" t="str">
        <f t="shared" si="49"/>
        <v>7874675I906081E-M</v>
      </c>
      <c r="C1490" s="1" t="s">
        <v>611</v>
      </c>
      <c r="D1490" s="1" t="s">
        <v>612</v>
      </c>
      <c r="E1490" s="1" t="s">
        <v>382</v>
      </c>
      <c r="F1490" s="1" t="s">
        <v>2297</v>
      </c>
      <c r="G1490" s="1" t="s">
        <v>394</v>
      </c>
      <c r="H1490" s="1">
        <v>3624</v>
      </c>
      <c r="I1490" s="3">
        <v>46273</v>
      </c>
      <c r="L1490" s="22">
        <v>46273.590156516198</v>
      </c>
      <c r="M1490" s="20">
        <v>6</v>
      </c>
      <c r="N1490" s="1">
        <v>305</v>
      </c>
    </row>
    <row r="1491" spans="1:14" x14ac:dyDescent="0.25">
      <c r="A1491" t="str">
        <f t="shared" si="48"/>
        <v>78746757874675</v>
      </c>
      <c r="B1491" t="str">
        <f t="shared" si="49"/>
        <v>7874675I906081E-M</v>
      </c>
      <c r="C1491" s="1" t="s">
        <v>611</v>
      </c>
      <c r="D1491" s="1" t="s">
        <v>612</v>
      </c>
      <c r="E1491" s="1" t="s">
        <v>382</v>
      </c>
      <c r="F1491" s="1" t="s">
        <v>2297</v>
      </c>
      <c r="G1491" s="1" t="s">
        <v>394</v>
      </c>
      <c r="H1491" s="1">
        <v>3624</v>
      </c>
      <c r="I1491" s="3">
        <v>46273</v>
      </c>
      <c r="L1491" s="22">
        <v>46273.590292245368</v>
      </c>
      <c r="M1491" s="20">
        <v>6</v>
      </c>
      <c r="N1491" s="1">
        <v>187</v>
      </c>
    </row>
    <row r="1492" spans="1:14" x14ac:dyDescent="0.25">
      <c r="A1492" t="str">
        <f t="shared" si="48"/>
        <v>78746757874675</v>
      </c>
      <c r="B1492" t="str">
        <f t="shared" si="49"/>
        <v>7874675I906081E-M</v>
      </c>
      <c r="C1492" s="1" t="s">
        <v>611</v>
      </c>
      <c r="D1492" s="1" t="s">
        <v>612</v>
      </c>
      <c r="E1492" s="1" t="s">
        <v>382</v>
      </c>
      <c r="F1492" s="1" t="s">
        <v>2297</v>
      </c>
      <c r="G1492" s="1" t="s">
        <v>394</v>
      </c>
      <c r="H1492" s="1">
        <v>3624</v>
      </c>
      <c r="I1492" s="3">
        <v>46273</v>
      </c>
      <c r="L1492" s="22">
        <v>46273.590654942127</v>
      </c>
      <c r="M1492" s="20">
        <v>6</v>
      </c>
      <c r="N1492" s="1">
        <v>186</v>
      </c>
    </row>
    <row r="1493" spans="1:14" x14ac:dyDescent="0.25">
      <c r="A1493" t="str">
        <f t="shared" si="48"/>
        <v>78746757874675</v>
      </c>
      <c r="B1493" t="str">
        <f t="shared" si="49"/>
        <v>7874675I906081E-M</v>
      </c>
      <c r="C1493" s="1" t="s">
        <v>611</v>
      </c>
      <c r="D1493" s="1" t="s">
        <v>612</v>
      </c>
      <c r="E1493" s="1" t="s">
        <v>382</v>
      </c>
      <c r="F1493" s="1" t="s">
        <v>2297</v>
      </c>
      <c r="G1493" s="1" t="s">
        <v>394</v>
      </c>
      <c r="H1493" s="1">
        <v>3624</v>
      </c>
      <c r="I1493" s="3">
        <v>46273</v>
      </c>
      <c r="L1493" s="22">
        <v>46273.591223692129</v>
      </c>
      <c r="M1493" s="20">
        <v>6</v>
      </c>
      <c r="N1493" s="1">
        <v>306</v>
      </c>
    </row>
    <row r="1494" spans="1:14" x14ac:dyDescent="0.25">
      <c r="A1494" t="str">
        <f t="shared" si="48"/>
        <v>78746757874675</v>
      </c>
      <c r="B1494" t="str">
        <f t="shared" si="49"/>
        <v>7874675I906081E-M</v>
      </c>
      <c r="C1494" s="1" t="s">
        <v>611</v>
      </c>
      <c r="D1494" s="1" t="s">
        <v>612</v>
      </c>
      <c r="E1494" s="1" t="s">
        <v>382</v>
      </c>
      <c r="F1494" s="1" t="s">
        <v>2297</v>
      </c>
      <c r="G1494" s="1" t="s">
        <v>394</v>
      </c>
      <c r="H1494" s="1">
        <v>3624</v>
      </c>
      <c r="I1494" s="3">
        <v>46273</v>
      </c>
      <c r="L1494" s="22">
        <v>46273.621773298612</v>
      </c>
      <c r="M1494" s="20">
        <v>6</v>
      </c>
      <c r="N1494" s="1">
        <v>196</v>
      </c>
    </row>
    <row r="1495" spans="1:14" x14ac:dyDescent="0.25">
      <c r="A1495" t="str">
        <f t="shared" si="48"/>
        <v>78746757874675</v>
      </c>
      <c r="B1495" t="str">
        <f t="shared" si="49"/>
        <v>7874675I906081E-M</v>
      </c>
      <c r="C1495" s="1" t="s">
        <v>611</v>
      </c>
      <c r="D1495" s="1" t="s">
        <v>612</v>
      </c>
      <c r="E1495" s="1" t="s">
        <v>382</v>
      </c>
      <c r="F1495" s="1" t="s">
        <v>2297</v>
      </c>
      <c r="G1495" s="1" t="s">
        <v>394</v>
      </c>
      <c r="H1495" s="1">
        <v>3624</v>
      </c>
      <c r="I1495" s="3">
        <v>46273</v>
      </c>
      <c r="L1495" s="22">
        <v>46273.622125034723</v>
      </c>
      <c r="M1495" s="20">
        <v>6</v>
      </c>
      <c r="N1495" s="1">
        <v>451</v>
      </c>
    </row>
    <row r="1496" spans="1:14" x14ac:dyDescent="0.25">
      <c r="A1496" t="str">
        <f t="shared" si="48"/>
        <v>78746757874675</v>
      </c>
      <c r="B1496" t="str">
        <f t="shared" si="49"/>
        <v>7874675I906081E-M</v>
      </c>
      <c r="C1496" s="1" t="s">
        <v>611</v>
      </c>
      <c r="D1496" s="1" t="s">
        <v>612</v>
      </c>
      <c r="E1496" s="1" t="s">
        <v>382</v>
      </c>
      <c r="F1496" s="1" t="s">
        <v>2297</v>
      </c>
      <c r="G1496" s="1" t="s">
        <v>394</v>
      </c>
      <c r="H1496" s="1">
        <v>3624</v>
      </c>
      <c r="I1496" s="3">
        <v>46273</v>
      </c>
      <c r="L1496" s="22">
        <v>46273.623482905088</v>
      </c>
      <c r="M1496" s="20">
        <v>6</v>
      </c>
      <c r="N1496" s="1">
        <v>199</v>
      </c>
    </row>
    <row r="1497" spans="1:14" x14ac:dyDescent="0.25">
      <c r="A1497" t="str">
        <f t="shared" si="48"/>
        <v>78746757874675</v>
      </c>
      <c r="B1497" t="str">
        <f t="shared" si="49"/>
        <v>7874675I906081E-M</v>
      </c>
      <c r="C1497" s="1" t="s">
        <v>611</v>
      </c>
      <c r="D1497" s="1" t="s">
        <v>612</v>
      </c>
      <c r="E1497" s="1" t="s">
        <v>382</v>
      </c>
      <c r="F1497" s="1" t="s">
        <v>2297</v>
      </c>
      <c r="G1497" s="1" t="s">
        <v>394</v>
      </c>
      <c r="H1497" s="1">
        <v>3624</v>
      </c>
      <c r="I1497" s="3">
        <v>46273</v>
      </c>
      <c r="L1497" s="22">
        <v>46273.623865428242</v>
      </c>
      <c r="M1497" s="20">
        <v>6</v>
      </c>
      <c r="N1497" s="1">
        <v>197</v>
      </c>
    </row>
    <row r="1498" spans="1:14" x14ac:dyDescent="0.25">
      <c r="A1498" t="str">
        <f t="shared" si="48"/>
        <v>78746757874675</v>
      </c>
      <c r="B1498" t="str">
        <f t="shared" si="49"/>
        <v>7874675I906081E-M</v>
      </c>
      <c r="C1498" s="1" t="s">
        <v>611</v>
      </c>
      <c r="D1498" s="1" t="s">
        <v>612</v>
      </c>
      <c r="E1498" s="1" t="s">
        <v>382</v>
      </c>
      <c r="F1498" s="1" t="s">
        <v>2297</v>
      </c>
      <c r="G1498" s="1" t="s">
        <v>394</v>
      </c>
      <c r="H1498" s="1">
        <v>3624</v>
      </c>
      <c r="I1498" s="3">
        <v>46273</v>
      </c>
      <c r="L1498" s="22">
        <v>46273.645090972219</v>
      </c>
      <c r="M1498" s="20">
        <v>6</v>
      </c>
      <c r="N1498" s="1">
        <v>452</v>
      </c>
    </row>
    <row r="1499" spans="1:14" x14ac:dyDescent="0.25">
      <c r="A1499" t="str">
        <f t="shared" si="48"/>
        <v>78746757874675</v>
      </c>
      <c r="B1499" t="str">
        <f t="shared" si="49"/>
        <v>7874675I906081E-M</v>
      </c>
      <c r="C1499" s="1" t="s">
        <v>611</v>
      </c>
      <c r="D1499" s="1" t="s">
        <v>612</v>
      </c>
      <c r="E1499" s="1" t="s">
        <v>382</v>
      </c>
      <c r="F1499" s="1" t="s">
        <v>2297</v>
      </c>
      <c r="G1499" s="1" t="s">
        <v>394</v>
      </c>
      <c r="H1499" s="1">
        <v>3624</v>
      </c>
      <c r="I1499" s="3">
        <v>46273</v>
      </c>
      <c r="L1499" s="22">
        <v>46273.645434641199</v>
      </c>
      <c r="M1499" s="20">
        <v>6</v>
      </c>
      <c r="N1499" s="1">
        <v>189</v>
      </c>
    </row>
    <row r="1500" spans="1:14" x14ac:dyDescent="0.25">
      <c r="A1500" t="str">
        <f t="shared" si="48"/>
        <v>78746757874675</v>
      </c>
      <c r="B1500" t="str">
        <f t="shared" si="49"/>
        <v>7874675I906081E-M</v>
      </c>
      <c r="C1500" s="1" t="s">
        <v>611</v>
      </c>
      <c r="D1500" s="1" t="s">
        <v>612</v>
      </c>
      <c r="E1500" s="1" t="s">
        <v>382</v>
      </c>
      <c r="F1500" s="1" t="s">
        <v>2297</v>
      </c>
      <c r="G1500" s="1" t="s">
        <v>394</v>
      </c>
      <c r="H1500" s="1">
        <v>3624</v>
      </c>
      <c r="I1500" s="3">
        <v>46273</v>
      </c>
      <c r="L1500" s="22">
        <v>46273.645604780089</v>
      </c>
      <c r="M1500" s="20">
        <v>6</v>
      </c>
      <c r="N1500" s="1">
        <v>304</v>
      </c>
    </row>
    <row r="1501" spans="1:14" x14ac:dyDescent="0.25">
      <c r="A1501" t="str">
        <f t="shared" si="48"/>
        <v>78746757874675</v>
      </c>
      <c r="B1501" t="str">
        <f t="shared" si="49"/>
        <v>7874675I906081E-M</v>
      </c>
      <c r="C1501" s="1" t="s">
        <v>611</v>
      </c>
      <c r="D1501" s="1" t="s">
        <v>612</v>
      </c>
      <c r="E1501" s="1" t="s">
        <v>382</v>
      </c>
      <c r="F1501" s="1" t="s">
        <v>2297</v>
      </c>
      <c r="G1501" s="1" t="s">
        <v>394</v>
      </c>
      <c r="H1501" s="1">
        <v>3624</v>
      </c>
      <c r="I1501" s="3">
        <v>46273</v>
      </c>
      <c r="L1501" s="22">
        <v>46273.645924421297</v>
      </c>
      <c r="M1501" s="20">
        <v>6</v>
      </c>
      <c r="N1501" s="1">
        <v>303</v>
      </c>
    </row>
    <row r="1502" spans="1:14" x14ac:dyDescent="0.25">
      <c r="A1502" t="str">
        <f t="shared" si="48"/>
        <v>78746757874675</v>
      </c>
      <c r="B1502" t="str">
        <f t="shared" si="49"/>
        <v>7874675I906081E-M</v>
      </c>
      <c r="C1502" s="1" t="s">
        <v>611</v>
      </c>
      <c r="D1502" s="1" t="s">
        <v>612</v>
      </c>
      <c r="E1502" s="1" t="s">
        <v>382</v>
      </c>
      <c r="F1502" s="1" t="s">
        <v>2297</v>
      </c>
      <c r="G1502" s="1" t="s">
        <v>394</v>
      </c>
      <c r="H1502" s="1">
        <v>3624</v>
      </c>
      <c r="I1502" s="3">
        <v>46273</v>
      </c>
      <c r="L1502" s="22">
        <v>46273.646047800925</v>
      </c>
      <c r="M1502" s="20">
        <v>6</v>
      </c>
      <c r="N1502" s="1">
        <v>454</v>
      </c>
    </row>
    <row r="1503" spans="1:14" x14ac:dyDescent="0.25">
      <c r="A1503" t="str">
        <f t="shared" si="48"/>
        <v>78746757874675</v>
      </c>
      <c r="B1503" t="str">
        <f t="shared" si="49"/>
        <v>7874675I906081E-M</v>
      </c>
      <c r="C1503" s="1" t="s">
        <v>611</v>
      </c>
      <c r="D1503" s="1" t="s">
        <v>612</v>
      </c>
      <c r="E1503" s="1" t="s">
        <v>382</v>
      </c>
      <c r="F1503" s="1" t="s">
        <v>2297</v>
      </c>
      <c r="G1503" s="1" t="s">
        <v>394</v>
      </c>
      <c r="H1503" s="1">
        <v>3624</v>
      </c>
      <c r="I1503" s="3">
        <v>46273</v>
      </c>
      <c r="L1503" s="22">
        <v>46273.646377395831</v>
      </c>
      <c r="M1503" s="20">
        <v>6</v>
      </c>
      <c r="N1503" s="1">
        <v>194</v>
      </c>
    </row>
    <row r="1504" spans="1:14" x14ac:dyDescent="0.25">
      <c r="A1504" t="str">
        <f t="shared" si="48"/>
        <v>78746757874675</v>
      </c>
      <c r="B1504" t="str">
        <f t="shared" si="49"/>
        <v>7874675I906081E-M</v>
      </c>
      <c r="C1504" s="1" t="s">
        <v>611</v>
      </c>
      <c r="D1504" s="1" t="s">
        <v>612</v>
      </c>
      <c r="E1504" s="1" t="s">
        <v>382</v>
      </c>
      <c r="F1504" s="1" t="s">
        <v>2297</v>
      </c>
      <c r="G1504" s="1" t="s">
        <v>394</v>
      </c>
      <c r="H1504" s="1">
        <v>3624</v>
      </c>
      <c r="I1504" s="3">
        <v>46273</v>
      </c>
      <c r="L1504" s="22">
        <v>46273.64652268518</v>
      </c>
      <c r="M1504" s="20">
        <v>6</v>
      </c>
      <c r="N1504" s="1">
        <v>195</v>
      </c>
    </row>
    <row r="1505" spans="1:14" x14ac:dyDescent="0.25">
      <c r="A1505" t="str">
        <f t="shared" si="48"/>
        <v>78746757874675</v>
      </c>
      <c r="B1505" t="str">
        <f t="shared" si="49"/>
        <v>7874675I906081E-M</v>
      </c>
      <c r="C1505" s="1" t="s">
        <v>611</v>
      </c>
      <c r="D1505" s="1" t="s">
        <v>612</v>
      </c>
      <c r="E1505" s="1" t="s">
        <v>382</v>
      </c>
      <c r="F1505" s="1" t="s">
        <v>2297</v>
      </c>
      <c r="G1505" s="1" t="s">
        <v>394</v>
      </c>
      <c r="H1505" s="1">
        <v>3624</v>
      </c>
      <c r="I1505" s="3">
        <v>46273</v>
      </c>
      <c r="L1505" s="22">
        <v>46273.649404861106</v>
      </c>
      <c r="M1505" s="20">
        <v>6</v>
      </c>
      <c r="N1505" s="1">
        <v>190</v>
      </c>
    </row>
    <row r="1506" spans="1:14" x14ac:dyDescent="0.25">
      <c r="A1506" t="str">
        <f t="shared" si="48"/>
        <v>78746757874675</v>
      </c>
      <c r="B1506" t="str">
        <f t="shared" si="49"/>
        <v>7874675I906081E-M</v>
      </c>
      <c r="C1506" s="1" t="s">
        <v>611</v>
      </c>
      <c r="D1506" s="1" t="s">
        <v>612</v>
      </c>
      <c r="E1506" s="1" t="s">
        <v>382</v>
      </c>
      <c r="F1506" s="1" t="s">
        <v>2297</v>
      </c>
      <c r="G1506" s="1" t="s">
        <v>394</v>
      </c>
      <c r="H1506" s="1">
        <v>3624</v>
      </c>
      <c r="I1506" s="3">
        <v>46273</v>
      </c>
      <c r="L1506" s="22">
        <v>46273.649510451389</v>
      </c>
      <c r="M1506" s="20">
        <v>6</v>
      </c>
      <c r="N1506" s="1">
        <v>191</v>
      </c>
    </row>
    <row r="1507" spans="1:14" x14ac:dyDescent="0.25">
      <c r="A1507" t="str">
        <f t="shared" si="48"/>
        <v>H181781H181781</v>
      </c>
      <c r="B1507" t="str">
        <f t="shared" si="49"/>
        <v>H181781P204L351-M</v>
      </c>
      <c r="C1507" s="1" t="s">
        <v>606</v>
      </c>
      <c r="D1507" s="1" t="s">
        <v>607</v>
      </c>
      <c r="E1507" s="1" t="s">
        <v>524</v>
      </c>
      <c r="F1507" s="1" t="s">
        <v>525</v>
      </c>
      <c r="G1507" s="1" t="s">
        <v>404</v>
      </c>
      <c r="H1507" s="1">
        <v>396</v>
      </c>
      <c r="I1507" s="3">
        <v>46273</v>
      </c>
      <c r="J1507" s="3">
        <v>46275</v>
      </c>
      <c r="K1507" s="3" t="s">
        <v>2368</v>
      </c>
      <c r="L1507" s="22">
        <v>46273.466071145835</v>
      </c>
      <c r="M1507" s="20">
        <v>12</v>
      </c>
      <c r="N1507" s="1">
        <v>13</v>
      </c>
    </row>
    <row r="1508" spans="1:14" x14ac:dyDescent="0.25">
      <c r="A1508" t="str">
        <f t="shared" si="48"/>
        <v>H181781H181781</v>
      </c>
      <c r="B1508" t="str">
        <f t="shared" si="49"/>
        <v>H181781P204L351-M</v>
      </c>
      <c r="C1508" s="1" t="s">
        <v>606</v>
      </c>
      <c r="D1508" s="1" t="s">
        <v>607</v>
      </c>
      <c r="E1508" s="1" t="s">
        <v>524</v>
      </c>
      <c r="F1508" s="1" t="s">
        <v>525</v>
      </c>
      <c r="G1508" s="1" t="s">
        <v>404</v>
      </c>
      <c r="H1508" s="1">
        <v>396</v>
      </c>
      <c r="I1508" s="3">
        <v>46273</v>
      </c>
      <c r="J1508" s="3">
        <v>46275</v>
      </c>
      <c r="K1508" s="3" t="s">
        <v>2368</v>
      </c>
      <c r="L1508" s="22">
        <v>46273.466226006945</v>
      </c>
      <c r="M1508" s="20">
        <v>12</v>
      </c>
      <c r="N1508" s="1">
        <v>26</v>
      </c>
    </row>
    <row r="1509" spans="1:14" x14ac:dyDescent="0.25">
      <c r="A1509" t="str">
        <f t="shared" si="48"/>
        <v>H181781H181781</v>
      </c>
      <c r="B1509" t="str">
        <f t="shared" si="49"/>
        <v>H181781P204L351-M</v>
      </c>
      <c r="C1509" s="1" t="s">
        <v>606</v>
      </c>
      <c r="D1509" s="1" t="s">
        <v>607</v>
      </c>
      <c r="E1509" s="1" t="s">
        <v>524</v>
      </c>
      <c r="F1509" s="1" t="s">
        <v>525</v>
      </c>
      <c r="G1509" s="1" t="s">
        <v>404</v>
      </c>
      <c r="H1509" s="1">
        <v>396</v>
      </c>
      <c r="I1509" s="3">
        <v>46273</v>
      </c>
      <c r="J1509" s="3">
        <v>46275</v>
      </c>
      <c r="K1509" s="3" t="s">
        <v>2368</v>
      </c>
      <c r="L1509" s="22">
        <v>46273.466725231483</v>
      </c>
      <c r="M1509" s="20">
        <v>12</v>
      </c>
      <c r="N1509" s="1">
        <v>2</v>
      </c>
    </row>
    <row r="1510" spans="1:14" x14ac:dyDescent="0.25">
      <c r="A1510" t="str">
        <f t="shared" si="48"/>
        <v>H181781H181781</v>
      </c>
      <c r="B1510" t="str">
        <f t="shared" si="49"/>
        <v>H181781P204L351-M</v>
      </c>
      <c r="C1510" s="1" t="s">
        <v>606</v>
      </c>
      <c r="D1510" s="1" t="s">
        <v>607</v>
      </c>
      <c r="E1510" s="1" t="s">
        <v>524</v>
      </c>
      <c r="F1510" s="1" t="s">
        <v>525</v>
      </c>
      <c r="G1510" s="1" t="s">
        <v>404</v>
      </c>
      <c r="H1510" s="1">
        <v>396</v>
      </c>
      <c r="I1510" s="3">
        <v>46273</v>
      </c>
      <c r="J1510" s="3">
        <v>46275</v>
      </c>
      <c r="K1510" s="3" t="s">
        <v>2368</v>
      </c>
      <c r="L1510" s="22">
        <v>46273.466892974538</v>
      </c>
      <c r="M1510" s="20">
        <v>12</v>
      </c>
      <c r="N1510" s="1">
        <v>22</v>
      </c>
    </row>
    <row r="1511" spans="1:14" x14ac:dyDescent="0.25">
      <c r="A1511" t="str">
        <f t="shared" si="48"/>
        <v>H181781H181781</v>
      </c>
      <c r="B1511" t="str">
        <f t="shared" si="49"/>
        <v>H181781P204L351-M</v>
      </c>
      <c r="C1511" s="1" t="s">
        <v>606</v>
      </c>
      <c r="D1511" s="1" t="s">
        <v>607</v>
      </c>
      <c r="E1511" s="1" t="s">
        <v>524</v>
      </c>
      <c r="F1511" s="1" t="s">
        <v>525</v>
      </c>
      <c r="G1511" s="1" t="s">
        <v>404</v>
      </c>
      <c r="H1511" s="1">
        <v>396</v>
      </c>
      <c r="I1511" s="3">
        <v>46273</v>
      </c>
      <c r="J1511" s="3">
        <v>46275</v>
      </c>
      <c r="K1511" s="3" t="s">
        <v>2368</v>
      </c>
      <c r="L1511" s="22">
        <v>46273.467809803238</v>
      </c>
      <c r="M1511" s="20">
        <v>12</v>
      </c>
      <c r="N1511" s="1">
        <v>7</v>
      </c>
    </row>
    <row r="1512" spans="1:14" x14ac:dyDescent="0.25">
      <c r="A1512" t="str">
        <f t="shared" si="48"/>
        <v>H181781H181781</v>
      </c>
      <c r="B1512" t="str">
        <f t="shared" si="49"/>
        <v>H181781P204L351-M</v>
      </c>
      <c r="C1512" s="1" t="s">
        <v>606</v>
      </c>
      <c r="D1512" s="1" t="s">
        <v>607</v>
      </c>
      <c r="E1512" s="1" t="s">
        <v>524</v>
      </c>
      <c r="F1512" s="1" t="s">
        <v>525</v>
      </c>
      <c r="G1512" s="1" t="s">
        <v>404</v>
      </c>
      <c r="H1512" s="1">
        <v>396</v>
      </c>
      <c r="I1512" s="3">
        <v>46273</v>
      </c>
      <c r="J1512" s="3">
        <v>46275</v>
      </c>
      <c r="K1512" s="3" t="s">
        <v>2368</v>
      </c>
      <c r="L1512" s="22">
        <v>46273.468506400459</v>
      </c>
      <c r="M1512" s="20">
        <v>12</v>
      </c>
      <c r="N1512" s="1">
        <v>20</v>
      </c>
    </row>
    <row r="1513" spans="1:14" x14ac:dyDescent="0.25">
      <c r="A1513" t="str">
        <f t="shared" si="48"/>
        <v>H181781H181781</v>
      </c>
      <c r="B1513" t="str">
        <f t="shared" si="49"/>
        <v>H181781P204L351-M</v>
      </c>
      <c r="C1513" s="1" t="s">
        <v>606</v>
      </c>
      <c r="D1513" s="1" t="s">
        <v>607</v>
      </c>
      <c r="E1513" s="1" t="s">
        <v>524</v>
      </c>
      <c r="F1513" s="1" t="s">
        <v>525</v>
      </c>
      <c r="G1513" s="1" t="s">
        <v>404</v>
      </c>
      <c r="H1513" s="1">
        <v>396</v>
      </c>
      <c r="I1513" s="3">
        <v>46273</v>
      </c>
      <c r="J1513" s="3">
        <v>46275</v>
      </c>
      <c r="K1513" s="3" t="s">
        <v>2368</v>
      </c>
      <c r="L1513" s="22">
        <v>46273.468797303241</v>
      </c>
      <c r="M1513" s="20">
        <v>12</v>
      </c>
      <c r="N1513" s="1">
        <v>14</v>
      </c>
    </row>
    <row r="1514" spans="1:14" x14ac:dyDescent="0.25">
      <c r="A1514" t="str">
        <f t="shared" si="48"/>
        <v>H181781H181781</v>
      </c>
      <c r="B1514" t="str">
        <f t="shared" si="49"/>
        <v>H181781P204L351-M</v>
      </c>
      <c r="C1514" s="1" t="s">
        <v>606</v>
      </c>
      <c r="D1514" s="1" t="s">
        <v>607</v>
      </c>
      <c r="E1514" s="1" t="s">
        <v>524</v>
      </c>
      <c r="F1514" s="1" t="s">
        <v>525</v>
      </c>
      <c r="G1514" s="1" t="s">
        <v>404</v>
      </c>
      <c r="H1514" s="1">
        <v>396</v>
      </c>
      <c r="I1514" s="3">
        <v>46273</v>
      </c>
      <c r="J1514" s="3">
        <v>46275</v>
      </c>
      <c r="K1514" s="3" t="s">
        <v>2368</v>
      </c>
      <c r="L1514" s="22">
        <v>46273.469110185186</v>
      </c>
      <c r="M1514" s="20">
        <v>12</v>
      </c>
      <c r="N1514" s="1">
        <v>27</v>
      </c>
    </row>
    <row r="1515" spans="1:14" x14ac:dyDescent="0.25">
      <c r="A1515" t="str">
        <f t="shared" si="48"/>
        <v>H181781H181781</v>
      </c>
      <c r="B1515" t="str">
        <f t="shared" si="49"/>
        <v>H181781P204L351-M</v>
      </c>
      <c r="C1515" s="1" t="s">
        <v>606</v>
      </c>
      <c r="D1515" s="1" t="s">
        <v>607</v>
      </c>
      <c r="E1515" s="1" t="s">
        <v>524</v>
      </c>
      <c r="F1515" s="1" t="s">
        <v>525</v>
      </c>
      <c r="G1515" s="1" t="s">
        <v>404</v>
      </c>
      <c r="H1515" s="1">
        <v>396</v>
      </c>
      <c r="I1515" s="3">
        <v>46273</v>
      </c>
      <c r="J1515" s="3">
        <v>46275</v>
      </c>
      <c r="K1515" s="3" t="s">
        <v>2368</v>
      </c>
      <c r="L1515" s="22">
        <v>46273.560406747682</v>
      </c>
      <c r="M1515" s="20">
        <v>12</v>
      </c>
      <c r="N1515" s="1">
        <v>9</v>
      </c>
    </row>
    <row r="1516" spans="1:14" x14ac:dyDescent="0.25">
      <c r="A1516" t="str">
        <f t="shared" si="48"/>
        <v>H181781H181781</v>
      </c>
      <c r="B1516" t="str">
        <f t="shared" si="49"/>
        <v>H181781P204L351-M</v>
      </c>
      <c r="C1516" s="1" t="s">
        <v>606</v>
      </c>
      <c r="D1516" s="1" t="s">
        <v>607</v>
      </c>
      <c r="E1516" s="1" t="s">
        <v>524</v>
      </c>
      <c r="F1516" s="1" t="s">
        <v>525</v>
      </c>
      <c r="G1516" s="1" t="s">
        <v>404</v>
      </c>
      <c r="H1516" s="1">
        <v>396</v>
      </c>
      <c r="I1516" s="3">
        <v>46273</v>
      </c>
      <c r="J1516" s="3">
        <v>46275</v>
      </c>
      <c r="K1516" s="3" t="s">
        <v>2368</v>
      </c>
      <c r="L1516" s="22">
        <v>46273.560960648145</v>
      </c>
      <c r="M1516" s="20">
        <v>12</v>
      </c>
      <c r="N1516" s="1">
        <v>15</v>
      </c>
    </row>
    <row r="1517" spans="1:14" x14ac:dyDescent="0.25">
      <c r="A1517" t="str">
        <f t="shared" si="48"/>
        <v>H181781H181781</v>
      </c>
      <c r="B1517" t="str">
        <f t="shared" si="49"/>
        <v>H181781P204L351-M</v>
      </c>
      <c r="C1517" s="1" t="s">
        <v>606</v>
      </c>
      <c r="D1517" s="1" t="s">
        <v>607</v>
      </c>
      <c r="E1517" s="1" t="s">
        <v>524</v>
      </c>
      <c r="F1517" s="1" t="s">
        <v>525</v>
      </c>
      <c r="G1517" s="1" t="s">
        <v>404</v>
      </c>
      <c r="H1517" s="1">
        <v>396</v>
      </c>
      <c r="I1517" s="3">
        <v>46273</v>
      </c>
      <c r="J1517" s="3">
        <v>46275</v>
      </c>
      <c r="K1517" s="3" t="s">
        <v>2368</v>
      </c>
      <c r="L1517" s="22">
        <v>46273.571209988426</v>
      </c>
      <c r="M1517" s="20">
        <v>12</v>
      </c>
      <c r="N1517" s="1">
        <v>28</v>
      </c>
    </row>
    <row r="1518" spans="1:14" x14ac:dyDescent="0.25">
      <c r="A1518" t="str">
        <f t="shared" si="48"/>
        <v>H181781H181781</v>
      </c>
      <c r="B1518" t="str">
        <f t="shared" si="49"/>
        <v>H181781P204L351-M</v>
      </c>
      <c r="C1518" s="1" t="s">
        <v>606</v>
      </c>
      <c r="D1518" s="1" t="s">
        <v>607</v>
      </c>
      <c r="E1518" s="1" t="s">
        <v>524</v>
      </c>
      <c r="F1518" s="1" t="s">
        <v>525</v>
      </c>
      <c r="G1518" s="1" t="s">
        <v>404</v>
      </c>
      <c r="H1518" s="1">
        <v>396</v>
      </c>
      <c r="I1518" s="3">
        <v>46273</v>
      </c>
      <c r="J1518" s="3">
        <v>46275</v>
      </c>
      <c r="K1518" s="3" t="s">
        <v>2368</v>
      </c>
      <c r="L1518" s="22">
        <v>46273.587038738428</v>
      </c>
      <c r="M1518" s="20">
        <v>6</v>
      </c>
      <c r="N1518" s="1">
        <v>35</v>
      </c>
    </row>
    <row r="1519" spans="1:14" x14ac:dyDescent="0.25">
      <c r="A1519" t="str">
        <f t="shared" si="48"/>
        <v>H181781H181781</v>
      </c>
      <c r="B1519" t="str">
        <f t="shared" si="49"/>
        <v>H181781P204L351-M</v>
      </c>
      <c r="C1519" s="1" t="s">
        <v>606</v>
      </c>
      <c r="D1519" s="1" t="s">
        <v>607</v>
      </c>
      <c r="E1519" s="1" t="s">
        <v>524</v>
      </c>
      <c r="F1519" s="1" t="s">
        <v>525</v>
      </c>
      <c r="G1519" s="1" t="s">
        <v>404</v>
      </c>
      <c r="H1519" s="1">
        <v>396</v>
      </c>
      <c r="I1519" s="3">
        <v>46273</v>
      </c>
      <c r="J1519" s="3">
        <v>46275</v>
      </c>
      <c r="K1519" s="3" t="s">
        <v>2368</v>
      </c>
      <c r="L1519" s="22">
        <v>46273.594894756941</v>
      </c>
      <c r="M1519" s="20">
        <v>12</v>
      </c>
      <c r="N1519" s="1">
        <v>8</v>
      </c>
    </row>
    <row r="1520" spans="1:14" x14ac:dyDescent="0.25">
      <c r="A1520" t="str">
        <f t="shared" si="48"/>
        <v>H181781H181781</v>
      </c>
      <c r="B1520" t="str">
        <f t="shared" si="49"/>
        <v>H181781P204L351-M</v>
      </c>
      <c r="C1520" s="1" t="s">
        <v>606</v>
      </c>
      <c r="D1520" s="1" t="s">
        <v>607</v>
      </c>
      <c r="E1520" s="1" t="s">
        <v>524</v>
      </c>
      <c r="F1520" s="1" t="s">
        <v>525</v>
      </c>
      <c r="G1520" s="1" t="s">
        <v>404</v>
      </c>
      <c r="H1520" s="1">
        <v>396</v>
      </c>
      <c r="I1520" s="3">
        <v>46273</v>
      </c>
      <c r="J1520" s="3">
        <v>46275</v>
      </c>
      <c r="K1520" s="3" t="s">
        <v>2368</v>
      </c>
      <c r="L1520" s="22">
        <v>46273.596787812501</v>
      </c>
      <c r="M1520" s="20">
        <v>12</v>
      </c>
      <c r="N1520" s="1">
        <v>16</v>
      </c>
    </row>
    <row r="1521" spans="1:14" x14ac:dyDescent="0.25">
      <c r="A1521" t="str">
        <f t="shared" si="48"/>
        <v>H181781H181781</v>
      </c>
      <c r="B1521" t="str">
        <f t="shared" si="49"/>
        <v>H181781P204L351-M</v>
      </c>
      <c r="C1521" s="1" t="s">
        <v>606</v>
      </c>
      <c r="D1521" s="1" t="s">
        <v>607</v>
      </c>
      <c r="E1521" s="1" t="s">
        <v>524</v>
      </c>
      <c r="F1521" s="1" t="s">
        <v>525</v>
      </c>
      <c r="G1521" s="1" t="s">
        <v>404</v>
      </c>
      <c r="H1521" s="1">
        <v>396</v>
      </c>
      <c r="I1521" s="3">
        <v>46273</v>
      </c>
      <c r="J1521" s="3">
        <v>46275</v>
      </c>
      <c r="K1521" s="3" t="s">
        <v>2368</v>
      </c>
      <c r="L1521" s="22">
        <v>46273.597065162037</v>
      </c>
      <c r="M1521" s="20">
        <v>12</v>
      </c>
      <c r="N1521" s="1">
        <v>23</v>
      </c>
    </row>
    <row r="1522" spans="1:14" x14ac:dyDescent="0.25">
      <c r="A1522" t="str">
        <f t="shared" si="48"/>
        <v>H181781H181781</v>
      </c>
      <c r="B1522" t="str">
        <f t="shared" si="49"/>
        <v>H181781P204L351-M</v>
      </c>
      <c r="C1522" s="1" t="s">
        <v>606</v>
      </c>
      <c r="D1522" s="1" t="s">
        <v>607</v>
      </c>
      <c r="E1522" s="1" t="s">
        <v>524</v>
      </c>
      <c r="F1522" s="1" t="s">
        <v>525</v>
      </c>
      <c r="G1522" s="1" t="s">
        <v>404</v>
      </c>
      <c r="H1522" s="1">
        <v>396</v>
      </c>
      <c r="I1522" s="3">
        <v>46273</v>
      </c>
      <c r="J1522" s="3">
        <v>46275</v>
      </c>
      <c r="K1522" s="3" t="s">
        <v>2368</v>
      </c>
      <c r="L1522" s="22">
        <v>46273.597334143516</v>
      </c>
      <c r="M1522" s="20">
        <v>12</v>
      </c>
      <c r="N1522" s="1">
        <v>11</v>
      </c>
    </row>
    <row r="1523" spans="1:14" x14ac:dyDescent="0.25">
      <c r="A1523" t="str">
        <f t="shared" si="48"/>
        <v>H181781H181781</v>
      </c>
      <c r="B1523" t="str">
        <f t="shared" si="49"/>
        <v>H181781P204L351-M</v>
      </c>
      <c r="C1523" s="1" t="s">
        <v>606</v>
      </c>
      <c r="D1523" s="1" t="s">
        <v>607</v>
      </c>
      <c r="E1523" s="1" t="s">
        <v>524</v>
      </c>
      <c r="F1523" s="1" t="s">
        <v>525</v>
      </c>
      <c r="G1523" s="1" t="s">
        <v>404</v>
      </c>
      <c r="H1523" s="1">
        <v>396</v>
      </c>
      <c r="I1523" s="3">
        <v>46273</v>
      </c>
      <c r="J1523" s="3">
        <v>46275</v>
      </c>
      <c r="K1523" s="3" t="s">
        <v>2368</v>
      </c>
      <c r="L1523" s="22">
        <v>46273.604746446756</v>
      </c>
      <c r="M1523" s="20">
        <v>12</v>
      </c>
      <c r="N1523" s="1">
        <v>21</v>
      </c>
    </row>
    <row r="1524" spans="1:14" x14ac:dyDescent="0.25">
      <c r="A1524" t="str">
        <f t="shared" si="48"/>
        <v>H181781H181781</v>
      </c>
      <c r="B1524" t="str">
        <f t="shared" si="49"/>
        <v>H181781P204L351-M</v>
      </c>
      <c r="C1524" s="1" t="s">
        <v>606</v>
      </c>
      <c r="D1524" s="1" t="s">
        <v>607</v>
      </c>
      <c r="E1524" s="1" t="s">
        <v>524</v>
      </c>
      <c r="F1524" s="1" t="s">
        <v>525</v>
      </c>
      <c r="G1524" s="1" t="s">
        <v>404</v>
      </c>
      <c r="H1524" s="1">
        <v>396</v>
      </c>
      <c r="I1524" s="3">
        <v>46273</v>
      </c>
      <c r="J1524" s="3">
        <v>46275</v>
      </c>
      <c r="K1524" s="3" t="s">
        <v>2368</v>
      </c>
      <c r="L1524" s="22">
        <v>46273.607366284719</v>
      </c>
      <c r="M1524" s="20">
        <v>12</v>
      </c>
      <c r="N1524" s="1">
        <v>3</v>
      </c>
    </row>
    <row r="1525" spans="1:14" x14ac:dyDescent="0.25">
      <c r="A1525" t="str">
        <f t="shared" si="48"/>
        <v>H181781H181781</v>
      </c>
      <c r="B1525" t="str">
        <f t="shared" si="49"/>
        <v>H181781P204L351-M</v>
      </c>
      <c r="C1525" s="1" t="s">
        <v>606</v>
      </c>
      <c r="D1525" s="1" t="s">
        <v>607</v>
      </c>
      <c r="E1525" s="1" t="s">
        <v>524</v>
      </c>
      <c r="F1525" s="1" t="s">
        <v>525</v>
      </c>
      <c r="G1525" s="1" t="s">
        <v>404</v>
      </c>
      <c r="H1525" s="1">
        <v>396</v>
      </c>
      <c r="I1525" s="3">
        <v>46273</v>
      </c>
      <c r="J1525" s="3">
        <v>46275</v>
      </c>
      <c r="K1525" s="3" t="s">
        <v>2368</v>
      </c>
      <c r="L1525" s="22">
        <v>46273.607492013885</v>
      </c>
      <c r="M1525" s="20">
        <v>12</v>
      </c>
      <c r="N1525" s="1">
        <v>4</v>
      </c>
    </row>
    <row r="1526" spans="1:14" x14ac:dyDescent="0.25">
      <c r="A1526" t="str">
        <f t="shared" si="48"/>
        <v>H181781H181781</v>
      </c>
      <c r="B1526" t="str">
        <f t="shared" si="49"/>
        <v>H181781P204L351-M</v>
      </c>
      <c r="C1526" s="1" t="s">
        <v>606</v>
      </c>
      <c r="D1526" s="1" t="s">
        <v>607</v>
      </c>
      <c r="E1526" s="1" t="s">
        <v>524</v>
      </c>
      <c r="F1526" s="1" t="s">
        <v>525</v>
      </c>
      <c r="G1526" s="1" t="s">
        <v>404</v>
      </c>
      <c r="H1526" s="1">
        <v>396</v>
      </c>
      <c r="I1526" s="3">
        <v>46273</v>
      </c>
      <c r="J1526" s="3">
        <v>46275</v>
      </c>
      <c r="K1526" s="3" t="s">
        <v>2368</v>
      </c>
      <c r="L1526" s="22">
        <v>46273.608310567128</v>
      </c>
      <c r="M1526" s="20">
        <v>12</v>
      </c>
      <c r="N1526" s="1">
        <v>29</v>
      </c>
    </row>
    <row r="1527" spans="1:14" x14ac:dyDescent="0.25">
      <c r="A1527" t="str">
        <f t="shared" si="48"/>
        <v>H181781H181781</v>
      </c>
      <c r="B1527" t="str">
        <f t="shared" si="49"/>
        <v>H181781P204L351-M</v>
      </c>
      <c r="C1527" s="1" t="s">
        <v>606</v>
      </c>
      <c r="D1527" s="1" t="s">
        <v>607</v>
      </c>
      <c r="E1527" s="1" t="s">
        <v>524</v>
      </c>
      <c r="F1527" s="1" t="s">
        <v>525</v>
      </c>
      <c r="G1527" s="1" t="s">
        <v>404</v>
      </c>
      <c r="H1527" s="1">
        <v>396</v>
      </c>
      <c r="I1527" s="3">
        <v>46273</v>
      </c>
      <c r="J1527" s="3">
        <v>46275</v>
      </c>
      <c r="K1527" s="3" t="s">
        <v>2368</v>
      </c>
      <c r="L1527" s="22">
        <v>46273.608455671296</v>
      </c>
      <c r="M1527" s="20">
        <v>12</v>
      </c>
      <c r="N1527" s="1">
        <v>12</v>
      </c>
    </row>
    <row r="1528" spans="1:14" x14ac:dyDescent="0.25">
      <c r="A1528" t="str">
        <f t="shared" si="48"/>
        <v>H181781H181781</v>
      </c>
      <c r="B1528" t="str">
        <f t="shared" si="49"/>
        <v>H181781P204L351-M</v>
      </c>
      <c r="C1528" s="1" t="s">
        <v>606</v>
      </c>
      <c r="D1528" s="1" t="s">
        <v>607</v>
      </c>
      <c r="E1528" s="1" t="s">
        <v>524</v>
      </c>
      <c r="F1528" s="1" t="s">
        <v>525</v>
      </c>
      <c r="G1528" s="1" t="s">
        <v>404</v>
      </c>
      <c r="H1528" s="1">
        <v>396</v>
      </c>
      <c r="I1528" s="3">
        <v>46273</v>
      </c>
      <c r="J1528" s="3">
        <v>46275</v>
      </c>
      <c r="K1528" s="3" t="s">
        <v>2368</v>
      </c>
      <c r="L1528" s="22">
        <v>46273.620265277779</v>
      </c>
      <c r="M1528" s="20">
        <v>12</v>
      </c>
      <c r="N1528" s="1">
        <v>24</v>
      </c>
    </row>
    <row r="1529" spans="1:14" x14ac:dyDescent="0.25">
      <c r="A1529" t="str">
        <f t="shared" si="48"/>
        <v>H181781H181781</v>
      </c>
      <c r="B1529" t="str">
        <f t="shared" si="49"/>
        <v>H181781P204L351-M</v>
      </c>
      <c r="C1529" s="1" t="s">
        <v>606</v>
      </c>
      <c r="D1529" s="1" t="s">
        <v>607</v>
      </c>
      <c r="E1529" s="1" t="s">
        <v>524</v>
      </c>
      <c r="F1529" s="1" t="s">
        <v>525</v>
      </c>
      <c r="G1529" s="1" t="s">
        <v>404</v>
      </c>
      <c r="H1529" s="1">
        <v>396</v>
      </c>
      <c r="I1529" s="3">
        <v>46273</v>
      </c>
      <c r="J1529" s="3">
        <v>46275</v>
      </c>
      <c r="K1529" s="3" t="s">
        <v>2368</v>
      </c>
      <c r="L1529" s="22">
        <v>46273.620425231478</v>
      </c>
      <c r="M1529" s="20">
        <v>12</v>
      </c>
      <c r="N1529" s="1">
        <v>17</v>
      </c>
    </row>
    <row r="1530" spans="1:14" x14ac:dyDescent="0.25">
      <c r="A1530" t="str">
        <f t="shared" si="48"/>
        <v>H181781H181781</v>
      </c>
      <c r="B1530" t="str">
        <f t="shared" si="49"/>
        <v>H181781P204L351-M</v>
      </c>
      <c r="C1530" s="1" t="s">
        <v>606</v>
      </c>
      <c r="D1530" s="1" t="s">
        <v>607</v>
      </c>
      <c r="E1530" s="1" t="s">
        <v>524</v>
      </c>
      <c r="F1530" s="1" t="s">
        <v>525</v>
      </c>
      <c r="G1530" s="1" t="s">
        <v>404</v>
      </c>
      <c r="H1530" s="1">
        <v>396</v>
      </c>
      <c r="I1530" s="3">
        <v>46273</v>
      </c>
      <c r="J1530" s="3">
        <v>46275</v>
      </c>
      <c r="K1530" s="3" t="s">
        <v>2368</v>
      </c>
      <c r="L1530" s="22">
        <v>46273.620737731479</v>
      </c>
      <c r="M1530" s="20">
        <v>12</v>
      </c>
      <c r="N1530" s="1">
        <v>10</v>
      </c>
    </row>
    <row r="1531" spans="1:14" x14ac:dyDescent="0.25">
      <c r="A1531" t="str">
        <f t="shared" si="48"/>
        <v>H181781H181781</v>
      </c>
      <c r="B1531" t="str">
        <f t="shared" si="49"/>
        <v>H181781P204L351-M</v>
      </c>
      <c r="C1531" s="1" t="s">
        <v>606</v>
      </c>
      <c r="D1531" s="1" t="s">
        <v>607</v>
      </c>
      <c r="E1531" s="1" t="s">
        <v>524</v>
      </c>
      <c r="F1531" s="1" t="s">
        <v>525</v>
      </c>
      <c r="G1531" s="1" t="s">
        <v>404</v>
      </c>
      <c r="H1531" s="1">
        <v>396</v>
      </c>
      <c r="I1531" s="3">
        <v>46273</v>
      </c>
      <c r="J1531" s="3">
        <v>46275</v>
      </c>
      <c r="K1531" s="3" t="s">
        <v>2368</v>
      </c>
      <c r="L1531" s="22">
        <v>46273.620875196757</v>
      </c>
      <c r="M1531" s="20">
        <v>12</v>
      </c>
      <c r="N1531" s="1">
        <v>19</v>
      </c>
    </row>
    <row r="1532" spans="1:14" x14ac:dyDescent="0.25">
      <c r="A1532" t="str">
        <f t="shared" si="48"/>
        <v>H181781H181781</v>
      </c>
      <c r="B1532" t="str">
        <f t="shared" si="49"/>
        <v>H181781P204L351-M</v>
      </c>
      <c r="C1532" s="1" t="s">
        <v>606</v>
      </c>
      <c r="D1532" s="1" t="s">
        <v>607</v>
      </c>
      <c r="E1532" s="1" t="s">
        <v>524</v>
      </c>
      <c r="F1532" s="1" t="s">
        <v>525</v>
      </c>
      <c r="G1532" s="1" t="s">
        <v>404</v>
      </c>
      <c r="H1532" s="1">
        <v>396</v>
      </c>
      <c r="I1532" s="3">
        <v>46273</v>
      </c>
      <c r="J1532" s="3">
        <v>46275</v>
      </c>
      <c r="K1532" s="3" t="s">
        <v>2368</v>
      </c>
      <c r="L1532" s="22">
        <v>46273.625718981479</v>
      </c>
      <c r="M1532" s="20">
        <v>6</v>
      </c>
      <c r="N1532" s="1">
        <v>33</v>
      </c>
    </row>
    <row r="1533" spans="1:14" x14ac:dyDescent="0.25">
      <c r="A1533" t="str">
        <f t="shared" si="48"/>
        <v>H181781H181781</v>
      </c>
      <c r="B1533" t="str">
        <f t="shared" si="49"/>
        <v>H181781P204L351-M</v>
      </c>
      <c r="C1533" s="1" t="s">
        <v>606</v>
      </c>
      <c r="D1533" s="1" t="s">
        <v>607</v>
      </c>
      <c r="E1533" s="1" t="s">
        <v>524</v>
      </c>
      <c r="F1533" s="1" t="s">
        <v>525</v>
      </c>
      <c r="G1533" s="1" t="s">
        <v>404</v>
      </c>
      <c r="H1533" s="1">
        <v>396</v>
      </c>
      <c r="I1533" s="3">
        <v>46273</v>
      </c>
      <c r="J1533" s="3">
        <v>46275</v>
      </c>
      <c r="K1533" s="3" t="s">
        <v>2368</v>
      </c>
      <c r="L1533" s="22">
        <v>46273.636837881946</v>
      </c>
      <c r="M1533" s="20">
        <v>12</v>
      </c>
      <c r="N1533" s="1">
        <v>5</v>
      </c>
    </row>
    <row r="1534" spans="1:14" x14ac:dyDescent="0.25">
      <c r="A1534" t="str">
        <f t="shared" si="48"/>
        <v>H181781H181781</v>
      </c>
      <c r="B1534" t="str">
        <f t="shared" si="49"/>
        <v>H181781P204L351-M</v>
      </c>
      <c r="C1534" s="1" t="s">
        <v>606</v>
      </c>
      <c r="D1534" s="1" t="s">
        <v>607</v>
      </c>
      <c r="E1534" s="1" t="s">
        <v>524</v>
      </c>
      <c r="F1534" s="1" t="s">
        <v>525</v>
      </c>
      <c r="G1534" s="1" t="s">
        <v>404</v>
      </c>
      <c r="H1534" s="1">
        <v>396</v>
      </c>
      <c r="I1534" s="3">
        <v>46273</v>
      </c>
      <c r="J1534" s="3">
        <v>46275</v>
      </c>
      <c r="K1534" s="3" t="s">
        <v>2368</v>
      </c>
      <c r="L1534" s="22">
        <v>46273.63717913194</v>
      </c>
      <c r="M1534" s="20">
        <v>12</v>
      </c>
      <c r="N1534" s="1">
        <v>6</v>
      </c>
    </row>
    <row r="1535" spans="1:14" x14ac:dyDescent="0.25">
      <c r="A1535" t="str">
        <f t="shared" si="48"/>
        <v>H181781H181781</v>
      </c>
      <c r="B1535" t="str">
        <f t="shared" si="49"/>
        <v>H181781P204L351-M</v>
      </c>
      <c r="C1535" s="1" t="s">
        <v>606</v>
      </c>
      <c r="D1535" s="1" t="s">
        <v>607</v>
      </c>
      <c r="E1535" s="1" t="s">
        <v>524</v>
      </c>
      <c r="F1535" s="1" t="s">
        <v>525</v>
      </c>
      <c r="G1535" s="1" t="s">
        <v>404</v>
      </c>
      <c r="H1535" s="1">
        <v>396</v>
      </c>
      <c r="I1535" s="3">
        <v>46273</v>
      </c>
      <c r="J1535" s="3">
        <v>46275</v>
      </c>
      <c r="K1535" s="3" t="s">
        <v>2368</v>
      </c>
      <c r="L1535" s="22">
        <v>46273.637332638886</v>
      </c>
      <c r="M1535" s="20">
        <v>12</v>
      </c>
      <c r="N1535" s="1">
        <v>25</v>
      </c>
    </row>
    <row r="1536" spans="1:14" x14ac:dyDescent="0.25">
      <c r="A1536" t="str">
        <f t="shared" si="48"/>
        <v>H181781H181781</v>
      </c>
      <c r="B1536" t="str">
        <f t="shared" si="49"/>
        <v>H181781P204L351-M</v>
      </c>
      <c r="C1536" s="1" t="s">
        <v>606</v>
      </c>
      <c r="D1536" s="1" t="s">
        <v>607</v>
      </c>
      <c r="E1536" s="1" t="s">
        <v>524</v>
      </c>
      <c r="F1536" s="1" t="s">
        <v>525</v>
      </c>
      <c r="G1536" s="1" t="s">
        <v>404</v>
      </c>
      <c r="H1536" s="1">
        <v>396</v>
      </c>
      <c r="I1536" s="3">
        <v>46273</v>
      </c>
      <c r="J1536" s="3">
        <v>46275</v>
      </c>
      <c r="K1536" s="3" t="s">
        <v>2368</v>
      </c>
      <c r="L1536" s="22">
        <v>46273.653609293979</v>
      </c>
      <c r="M1536" s="20">
        <v>12</v>
      </c>
      <c r="N1536" s="1">
        <v>18</v>
      </c>
    </row>
    <row r="1537" spans="1:14" x14ac:dyDescent="0.25">
      <c r="A1537" t="str">
        <f t="shared" si="48"/>
        <v>H181781H181781</v>
      </c>
      <c r="B1537" t="str">
        <f t="shared" si="49"/>
        <v>H181781P204L351-M</v>
      </c>
      <c r="C1537" s="1" t="s">
        <v>606</v>
      </c>
      <c r="D1537" s="1" t="s">
        <v>607</v>
      </c>
      <c r="E1537" s="1" t="s">
        <v>524</v>
      </c>
      <c r="F1537" s="1" t="s">
        <v>525</v>
      </c>
      <c r="G1537" s="1" t="s">
        <v>404</v>
      </c>
      <c r="H1537" s="1">
        <v>396</v>
      </c>
      <c r="I1537" s="3">
        <v>46273</v>
      </c>
      <c r="J1537" s="3">
        <v>46275</v>
      </c>
      <c r="K1537" s="3" t="s">
        <v>2368</v>
      </c>
      <c r="L1537" s="22">
        <v>46273.676234918981</v>
      </c>
      <c r="M1537" s="20">
        <v>6</v>
      </c>
      <c r="N1537" s="1">
        <v>37</v>
      </c>
    </row>
    <row r="1538" spans="1:14" x14ac:dyDescent="0.25">
      <c r="A1538" t="str">
        <f t="shared" ref="A1538:A1601" si="50">+D1538&amp;D1538</f>
        <v>H181781H181781</v>
      </c>
      <c r="B1538" t="str">
        <f t="shared" ref="B1538:B1601" si="51">+D1538&amp;C1538</f>
        <v>H181781P204L351-M</v>
      </c>
      <c r="C1538" s="1" t="s">
        <v>606</v>
      </c>
      <c r="D1538" s="1" t="s">
        <v>607</v>
      </c>
      <c r="E1538" s="1" t="s">
        <v>524</v>
      </c>
      <c r="F1538" s="1" t="s">
        <v>525</v>
      </c>
      <c r="G1538" s="1" t="s">
        <v>404</v>
      </c>
      <c r="H1538" s="1">
        <v>396</v>
      </c>
      <c r="I1538" s="3">
        <v>46273</v>
      </c>
      <c r="J1538" s="3">
        <v>46275</v>
      </c>
      <c r="K1538" s="3" t="s">
        <v>2368</v>
      </c>
      <c r="L1538" s="22">
        <v>46273.676539930551</v>
      </c>
      <c r="M1538" s="20">
        <v>6</v>
      </c>
      <c r="N1538" s="1">
        <v>32</v>
      </c>
    </row>
    <row r="1539" spans="1:14" x14ac:dyDescent="0.25">
      <c r="A1539" t="str">
        <f t="shared" si="50"/>
        <v>H181787H181787</v>
      </c>
      <c r="B1539" t="str">
        <f t="shared" si="51"/>
        <v>H181787P204L9VE-M</v>
      </c>
      <c r="C1539" s="1" t="s">
        <v>182</v>
      </c>
      <c r="D1539" s="1" t="s">
        <v>614</v>
      </c>
      <c r="E1539" s="1" t="s">
        <v>524</v>
      </c>
      <c r="F1539" s="1" t="s">
        <v>525</v>
      </c>
      <c r="G1539" s="1" t="s">
        <v>404</v>
      </c>
      <c r="H1539" s="1">
        <v>1560</v>
      </c>
      <c r="I1539" s="3">
        <v>46273</v>
      </c>
      <c r="J1539" s="3">
        <v>46284</v>
      </c>
      <c r="K1539" s="3" t="s">
        <v>2350</v>
      </c>
      <c r="L1539" s="22">
        <v>46273.621661377314</v>
      </c>
      <c r="M1539" s="20">
        <v>12</v>
      </c>
      <c r="N1539" s="1">
        <v>64</v>
      </c>
    </row>
    <row r="1540" spans="1:14" x14ac:dyDescent="0.25">
      <c r="A1540" t="str">
        <f t="shared" si="50"/>
        <v>H181787H181787</v>
      </c>
      <c r="B1540" t="str">
        <f t="shared" si="51"/>
        <v>H181787P204L9VE-M</v>
      </c>
      <c r="C1540" s="1" t="s">
        <v>182</v>
      </c>
      <c r="D1540" s="1" t="s">
        <v>614</v>
      </c>
      <c r="E1540" s="1" t="s">
        <v>524</v>
      </c>
      <c r="F1540" s="1" t="s">
        <v>525</v>
      </c>
      <c r="G1540" s="1" t="s">
        <v>404</v>
      </c>
      <c r="H1540" s="1">
        <v>1560</v>
      </c>
      <c r="I1540" s="3">
        <v>46273</v>
      </c>
      <c r="J1540" s="3">
        <v>46284</v>
      </c>
      <c r="K1540" s="3" t="s">
        <v>2350</v>
      </c>
      <c r="L1540" s="22">
        <v>46273.622716585647</v>
      </c>
      <c r="M1540" s="20">
        <v>12</v>
      </c>
      <c r="N1540" s="1">
        <v>96</v>
      </c>
    </row>
    <row r="1541" spans="1:14" x14ac:dyDescent="0.25">
      <c r="A1541" t="str">
        <f t="shared" si="50"/>
        <v>H181787H181787</v>
      </c>
      <c r="B1541" t="str">
        <f t="shared" si="51"/>
        <v>H181787P204L9VE-M</v>
      </c>
      <c r="C1541" s="1" t="s">
        <v>182</v>
      </c>
      <c r="D1541" s="1" t="s">
        <v>614</v>
      </c>
      <c r="E1541" s="1" t="s">
        <v>524</v>
      </c>
      <c r="F1541" s="1" t="s">
        <v>525</v>
      </c>
      <c r="G1541" s="1" t="s">
        <v>404</v>
      </c>
      <c r="H1541" s="1">
        <v>1560</v>
      </c>
      <c r="I1541" s="3">
        <v>46273</v>
      </c>
      <c r="J1541" s="3">
        <v>46284</v>
      </c>
      <c r="K1541" s="3" t="s">
        <v>2350</v>
      </c>
      <c r="L1541" s="22">
        <v>46273.640589351853</v>
      </c>
      <c r="M1541" s="20">
        <v>12</v>
      </c>
      <c r="N1541" s="1">
        <v>43</v>
      </c>
    </row>
    <row r="1542" spans="1:14" x14ac:dyDescent="0.25">
      <c r="A1542" t="str">
        <f t="shared" si="50"/>
        <v>H181787H181787</v>
      </c>
      <c r="B1542" t="str">
        <f t="shared" si="51"/>
        <v>H181787P204L9VE-M</v>
      </c>
      <c r="C1542" s="1" t="s">
        <v>182</v>
      </c>
      <c r="D1542" s="1" t="s">
        <v>614</v>
      </c>
      <c r="E1542" s="1" t="s">
        <v>524</v>
      </c>
      <c r="F1542" s="1" t="s">
        <v>525</v>
      </c>
      <c r="G1542" s="1" t="s">
        <v>404</v>
      </c>
      <c r="H1542" s="1">
        <v>1560</v>
      </c>
      <c r="I1542" s="3">
        <v>46273</v>
      </c>
      <c r="J1542" s="3">
        <v>46284</v>
      </c>
      <c r="K1542" s="3" t="s">
        <v>2350</v>
      </c>
      <c r="L1542" s="22">
        <v>46273.645817048608</v>
      </c>
      <c r="M1542" s="20">
        <v>12</v>
      </c>
      <c r="N1542" s="1">
        <v>98</v>
      </c>
    </row>
    <row r="1543" spans="1:14" x14ac:dyDescent="0.25">
      <c r="A1543" t="str">
        <f t="shared" si="50"/>
        <v>H181787H181787</v>
      </c>
      <c r="B1543" t="str">
        <f t="shared" si="51"/>
        <v>H181787P204L9VE-M</v>
      </c>
      <c r="C1543" s="1" t="s">
        <v>182</v>
      </c>
      <c r="D1543" s="1" t="s">
        <v>614</v>
      </c>
      <c r="E1543" s="1" t="s">
        <v>524</v>
      </c>
      <c r="F1543" s="1" t="s">
        <v>525</v>
      </c>
      <c r="G1543" s="1" t="s">
        <v>404</v>
      </c>
      <c r="H1543" s="1">
        <v>1560</v>
      </c>
      <c r="I1543" s="3">
        <v>46273</v>
      </c>
      <c r="J1543" s="3">
        <v>46284</v>
      </c>
      <c r="K1543" s="3" t="s">
        <v>2350</v>
      </c>
      <c r="L1543" s="22">
        <v>46273.652981168976</v>
      </c>
      <c r="M1543" s="20">
        <v>12</v>
      </c>
      <c r="N1543" s="1">
        <v>66</v>
      </c>
    </row>
    <row r="1544" spans="1:14" x14ac:dyDescent="0.25">
      <c r="A1544" t="str">
        <f t="shared" si="50"/>
        <v>H181787H181787</v>
      </c>
      <c r="B1544" t="str">
        <f t="shared" si="51"/>
        <v>H181787P204L9VE-M</v>
      </c>
      <c r="C1544" s="1" t="s">
        <v>182</v>
      </c>
      <c r="D1544" s="1" t="s">
        <v>614</v>
      </c>
      <c r="E1544" s="1" t="s">
        <v>524</v>
      </c>
      <c r="F1544" s="1" t="s">
        <v>525</v>
      </c>
      <c r="G1544" s="1" t="s">
        <v>404</v>
      </c>
      <c r="H1544" s="1">
        <v>1560</v>
      </c>
      <c r="I1544" s="3">
        <v>46273</v>
      </c>
      <c r="J1544" s="3">
        <v>46284</v>
      </c>
      <c r="K1544" s="3" t="s">
        <v>2350</v>
      </c>
      <c r="L1544" s="22">
        <v>46273.653462303242</v>
      </c>
      <c r="M1544" s="20">
        <v>12</v>
      </c>
      <c r="N1544" s="1">
        <v>67</v>
      </c>
    </row>
    <row r="1545" spans="1:14" x14ac:dyDescent="0.25">
      <c r="A1545" t="str">
        <f t="shared" si="50"/>
        <v>H181787H181787</v>
      </c>
      <c r="B1545" t="str">
        <f t="shared" si="51"/>
        <v>H181787P204L9VE-M</v>
      </c>
      <c r="C1545" s="1" t="s">
        <v>182</v>
      </c>
      <c r="D1545" s="1" t="s">
        <v>614</v>
      </c>
      <c r="E1545" s="1" t="s">
        <v>524</v>
      </c>
      <c r="F1545" s="1" t="s">
        <v>525</v>
      </c>
      <c r="G1545" s="1" t="s">
        <v>404</v>
      </c>
      <c r="H1545" s="1">
        <v>1560</v>
      </c>
      <c r="I1545" s="3">
        <v>46273</v>
      </c>
      <c r="J1545" s="3">
        <v>46284</v>
      </c>
      <c r="K1545" s="3" t="s">
        <v>2350</v>
      </c>
      <c r="L1545" s="22">
        <v>46273.653775578699</v>
      </c>
      <c r="M1545" s="20">
        <v>12</v>
      </c>
      <c r="N1545" s="1">
        <v>44</v>
      </c>
    </row>
    <row r="1546" spans="1:14" x14ac:dyDescent="0.25">
      <c r="A1546" t="str">
        <f t="shared" si="50"/>
        <v>H181787H181787</v>
      </c>
      <c r="B1546" t="str">
        <f t="shared" si="51"/>
        <v>H181787P204L9VE-M</v>
      </c>
      <c r="C1546" s="1" t="s">
        <v>182</v>
      </c>
      <c r="D1546" s="1" t="s">
        <v>614</v>
      </c>
      <c r="E1546" s="1" t="s">
        <v>524</v>
      </c>
      <c r="F1546" s="1" t="s">
        <v>525</v>
      </c>
      <c r="G1546" s="1" t="s">
        <v>404</v>
      </c>
      <c r="H1546" s="1">
        <v>1560</v>
      </c>
      <c r="I1546" s="3">
        <v>46273</v>
      </c>
      <c r="J1546" s="3">
        <v>46284</v>
      </c>
      <c r="K1546" s="3" t="s">
        <v>2350</v>
      </c>
      <c r="L1546" s="22">
        <v>46273.657141400457</v>
      </c>
      <c r="M1546" s="20">
        <v>12</v>
      </c>
      <c r="N1546" s="1">
        <v>99</v>
      </c>
    </row>
    <row r="1547" spans="1:14" x14ac:dyDescent="0.25">
      <c r="A1547" t="str">
        <f t="shared" si="50"/>
        <v>H181787H181787</v>
      </c>
      <c r="B1547" t="str">
        <f t="shared" si="51"/>
        <v>H181787P204L9VE-M</v>
      </c>
      <c r="C1547" s="1" t="s">
        <v>182</v>
      </c>
      <c r="D1547" s="1" t="s">
        <v>614</v>
      </c>
      <c r="E1547" s="1" t="s">
        <v>524</v>
      </c>
      <c r="F1547" s="1" t="s">
        <v>525</v>
      </c>
      <c r="G1547" s="1" t="s">
        <v>404</v>
      </c>
      <c r="H1547" s="1">
        <v>1560</v>
      </c>
      <c r="I1547" s="3">
        <v>46273</v>
      </c>
      <c r="J1547" s="3">
        <v>46284</v>
      </c>
      <c r="K1547" s="3" t="s">
        <v>2350</v>
      </c>
      <c r="L1547" s="22">
        <v>46273.666302662037</v>
      </c>
      <c r="M1547" s="20">
        <v>12</v>
      </c>
      <c r="N1547" s="1">
        <v>97</v>
      </c>
    </row>
    <row r="1548" spans="1:14" x14ac:dyDescent="0.25">
      <c r="A1548" t="str">
        <f t="shared" si="50"/>
        <v>H181787H181787</v>
      </c>
      <c r="B1548" t="str">
        <f t="shared" si="51"/>
        <v>H181787P204L9VE-M</v>
      </c>
      <c r="C1548" s="1" t="s">
        <v>182</v>
      </c>
      <c r="D1548" s="1" t="s">
        <v>614</v>
      </c>
      <c r="E1548" s="1" t="s">
        <v>524</v>
      </c>
      <c r="F1548" s="1" t="s">
        <v>525</v>
      </c>
      <c r="G1548" s="1" t="s">
        <v>404</v>
      </c>
      <c r="H1548" s="1">
        <v>1560</v>
      </c>
      <c r="I1548" s="3">
        <v>46273</v>
      </c>
      <c r="J1548" s="3">
        <v>46284</v>
      </c>
      <c r="K1548" s="3" t="s">
        <v>2350</v>
      </c>
      <c r="L1548" s="22">
        <v>46273.666464502312</v>
      </c>
      <c r="M1548" s="20">
        <v>12</v>
      </c>
      <c r="N1548" s="1">
        <v>104</v>
      </c>
    </row>
    <row r="1549" spans="1:14" x14ac:dyDescent="0.25">
      <c r="A1549" t="str">
        <f t="shared" si="50"/>
        <v>H181787H181787</v>
      </c>
      <c r="B1549" t="str">
        <f t="shared" si="51"/>
        <v>H181787P204L9VE-M</v>
      </c>
      <c r="C1549" s="1" t="s">
        <v>182</v>
      </c>
      <c r="D1549" s="1" t="s">
        <v>614</v>
      </c>
      <c r="E1549" s="1" t="s">
        <v>524</v>
      </c>
      <c r="F1549" s="1" t="s">
        <v>525</v>
      </c>
      <c r="G1549" s="1" t="s">
        <v>404</v>
      </c>
      <c r="H1549" s="1">
        <v>1560</v>
      </c>
      <c r="I1549" s="3">
        <v>46273</v>
      </c>
      <c r="J1549" s="3">
        <v>46284</v>
      </c>
      <c r="K1549" s="3" t="s">
        <v>2350</v>
      </c>
      <c r="L1549" s="22">
        <v>46273.666737037034</v>
      </c>
      <c r="M1549" s="20">
        <v>12</v>
      </c>
      <c r="N1549" s="1">
        <v>100</v>
      </c>
    </row>
    <row r="1550" spans="1:14" x14ac:dyDescent="0.25">
      <c r="A1550" t="str">
        <f t="shared" si="50"/>
        <v>H181787H181787</v>
      </c>
      <c r="B1550" t="str">
        <f t="shared" si="51"/>
        <v>H181787P204L9VE-M</v>
      </c>
      <c r="C1550" s="1" t="s">
        <v>182</v>
      </c>
      <c r="D1550" s="1" t="s">
        <v>614</v>
      </c>
      <c r="E1550" s="1" t="s">
        <v>524</v>
      </c>
      <c r="F1550" s="1" t="s">
        <v>525</v>
      </c>
      <c r="G1550" s="1" t="s">
        <v>404</v>
      </c>
      <c r="H1550" s="1">
        <v>1560</v>
      </c>
      <c r="I1550" s="3">
        <v>46273</v>
      </c>
      <c r="J1550" s="3">
        <v>46284</v>
      </c>
      <c r="K1550" s="3" t="s">
        <v>2350</v>
      </c>
      <c r="L1550" s="22">
        <v>46273.666954594904</v>
      </c>
      <c r="M1550" s="20">
        <v>12</v>
      </c>
      <c r="N1550" s="1">
        <v>68</v>
      </c>
    </row>
    <row r="1551" spans="1:14" x14ac:dyDescent="0.25">
      <c r="A1551" t="str">
        <f t="shared" si="50"/>
        <v>H181787H181787</v>
      </c>
      <c r="B1551" t="str">
        <f t="shared" si="51"/>
        <v>H181787P204L9VE-M</v>
      </c>
      <c r="C1551" s="1" t="s">
        <v>182</v>
      </c>
      <c r="D1551" s="1" t="s">
        <v>614</v>
      </c>
      <c r="E1551" s="1" t="s">
        <v>524</v>
      </c>
      <c r="F1551" s="1" t="s">
        <v>525</v>
      </c>
      <c r="G1551" s="1" t="s">
        <v>404</v>
      </c>
      <c r="H1551" s="1">
        <v>1560</v>
      </c>
      <c r="I1551" s="3">
        <v>46273</v>
      </c>
      <c r="J1551" s="3">
        <v>46284</v>
      </c>
      <c r="K1551" s="3" t="s">
        <v>2350</v>
      </c>
      <c r="L1551" s="22">
        <v>46273.667643171291</v>
      </c>
      <c r="M1551" s="20">
        <v>12</v>
      </c>
      <c r="N1551" s="1">
        <v>45</v>
      </c>
    </row>
    <row r="1552" spans="1:14" x14ac:dyDescent="0.25">
      <c r="A1552" t="str">
        <f t="shared" si="50"/>
        <v>H181787H181787</v>
      </c>
      <c r="B1552" t="str">
        <f t="shared" si="51"/>
        <v>H181787P204L9VE-M</v>
      </c>
      <c r="C1552" s="1" t="s">
        <v>182</v>
      </c>
      <c r="D1552" s="1" t="s">
        <v>614</v>
      </c>
      <c r="E1552" s="1" t="s">
        <v>524</v>
      </c>
      <c r="F1552" s="1" t="s">
        <v>525</v>
      </c>
      <c r="G1552" s="1" t="s">
        <v>404</v>
      </c>
      <c r="H1552" s="1">
        <v>1560</v>
      </c>
      <c r="I1552" s="3">
        <v>46273</v>
      </c>
      <c r="J1552" s="3">
        <v>46284</v>
      </c>
      <c r="K1552" s="3" t="s">
        <v>2350</v>
      </c>
      <c r="L1552" s="22">
        <v>46273.672985763886</v>
      </c>
      <c r="M1552" s="20">
        <v>12</v>
      </c>
      <c r="N1552" s="1">
        <v>102</v>
      </c>
    </row>
    <row r="1553" spans="1:14" x14ac:dyDescent="0.25">
      <c r="A1553" t="str">
        <f t="shared" si="50"/>
        <v>H181787H181787</v>
      </c>
      <c r="B1553" t="str">
        <f t="shared" si="51"/>
        <v>H181787P204L9VE-M</v>
      </c>
      <c r="C1553" s="1" t="s">
        <v>182</v>
      </c>
      <c r="D1553" s="1" t="s">
        <v>614</v>
      </c>
      <c r="E1553" s="1" t="s">
        <v>524</v>
      </c>
      <c r="F1553" s="1" t="s">
        <v>525</v>
      </c>
      <c r="G1553" s="1" t="s">
        <v>404</v>
      </c>
      <c r="H1553" s="1">
        <v>1560</v>
      </c>
      <c r="I1553" s="3">
        <v>46273</v>
      </c>
      <c r="J1553" s="3">
        <v>46284</v>
      </c>
      <c r="K1553" s="3" t="s">
        <v>2350</v>
      </c>
      <c r="L1553" s="22">
        <v>46273.673162812498</v>
      </c>
      <c r="M1553" s="20">
        <v>12</v>
      </c>
      <c r="N1553" s="1">
        <v>70</v>
      </c>
    </row>
    <row r="1554" spans="1:14" x14ac:dyDescent="0.25">
      <c r="A1554" t="str">
        <f t="shared" si="50"/>
        <v>H181787H181787</v>
      </c>
      <c r="B1554" t="str">
        <f t="shared" si="51"/>
        <v>H181787P204L9VE-M</v>
      </c>
      <c r="C1554" s="1" t="s">
        <v>182</v>
      </c>
      <c r="D1554" s="1" t="s">
        <v>614</v>
      </c>
      <c r="E1554" s="1" t="s">
        <v>524</v>
      </c>
      <c r="F1554" s="1" t="s">
        <v>525</v>
      </c>
      <c r="G1554" s="1" t="s">
        <v>404</v>
      </c>
      <c r="H1554" s="1">
        <v>1560</v>
      </c>
      <c r="I1554" s="3">
        <v>46273</v>
      </c>
      <c r="J1554" s="3">
        <v>46284</v>
      </c>
      <c r="K1554" s="3" t="s">
        <v>2350</v>
      </c>
      <c r="L1554" s="22">
        <v>46273.673305706019</v>
      </c>
      <c r="M1554" s="20">
        <v>12</v>
      </c>
      <c r="N1554" s="1">
        <v>101</v>
      </c>
    </row>
    <row r="1555" spans="1:14" x14ac:dyDescent="0.25">
      <c r="A1555" t="str">
        <f t="shared" si="50"/>
        <v>H181787H181787</v>
      </c>
      <c r="B1555" t="str">
        <f t="shared" si="51"/>
        <v>H181787P204L9VE-M</v>
      </c>
      <c r="C1555" s="1" t="s">
        <v>182</v>
      </c>
      <c r="D1555" s="1" t="s">
        <v>614</v>
      </c>
      <c r="E1555" s="1" t="s">
        <v>524</v>
      </c>
      <c r="F1555" s="1" t="s">
        <v>525</v>
      </c>
      <c r="G1555" s="1" t="s">
        <v>404</v>
      </c>
      <c r="H1555" s="1">
        <v>1560</v>
      </c>
      <c r="I1555" s="3">
        <v>46273</v>
      </c>
      <c r="J1555" s="3">
        <v>46284</v>
      </c>
      <c r="K1555" s="3" t="s">
        <v>2350</v>
      </c>
      <c r="L1555" s="22">
        <v>46273.677134606478</v>
      </c>
      <c r="M1555" s="20">
        <v>12</v>
      </c>
      <c r="N1555" s="1">
        <v>73</v>
      </c>
    </row>
    <row r="1556" spans="1:14" x14ac:dyDescent="0.25">
      <c r="A1556" t="str">
        <f t="shared" si="50"/>
        <v>H181787H181787</v>
      </c>
      <c r="B1556" t="str">
        <f t="shared" si="51"/>
        <v>H181787P204L9VE-M</v>
      </c>
      <c r="C1556" s="1" t="s">
        <v>182</v>
      </c>
      <c r="D1556" s="1" t="s">
        <v>614</v>
      </c>
      <c r="E1556" s="1" t="s">
        <v>524</v>
      </c>
      <c r="F1556" s="1" t="s">
        <v>525</v>
      </c>
      <c r="G1556" s="1" t="s">
        <v>404</v>
      </c>
      <c r="H1556" s="1">
        <v>1560</v>
      </c>
      <c r="I1556" s="3">
        <v>46273</v>
      </c>
      <c r="J1556" s="3">
        <v>46284</v>
      </c>
      <c r="K1556" s="3" t="s">
        <v>2350</v>
      </c>
      <c r="L1556" s="22">
        <v>46273.678236956017</v>
      </c>
      <c r="M1556" s="20">
        <v>12</v>
      </c>
      <c r="N1556" s="1">
        <v>48</v>
      </c>
    </row>
    <row r="1557" spans="1:14" x14ac:dyDescent="0.25">
      <c r="A1557" t="str">
        <f t="shared" si="50"/>
        <v>H181787H181787</v>
      </c>
      <c r="B1557" t="str">
        <f t="shared" si="51"/>
        <v>H181787P204L9VE-M</v>
      </c>
      <c r="C1557" s="1" t="s">
        <v>182</v>
      </c>
      <c r="D1557" s="1" t="s">
        <v>614</v>
      </c>
      <c r="E1557" s="1" t="s">
        <v>524</v>
      </c>
      <c r="F1557" s="1" t="s">
        <v>525</v>
      </c>
      <c r="G1557" s="1" t="s">
        <v>404</v>
      </c>
      <c r="H1557" s="1">
        <v>1560</v>
      </c>
      <c r="I1557" s="3">
        <v>46273</v>
      </c>
      <c r="J1557" s="3">
        <v>46284</v>
      </c>
      <c r="K1557" s="3" t="s">
        <v>2350</v>
      </c>
      <c r="L1557" s="22">
        <v>46273.678437268514</v>
      </c>
      <c r="M1557" s="20">
        <v>12</v>
      </c>
      <c r="N1557" s="1">
        <v>106</v>
      </c>
    </row>
    <row r="1558" spans="1:14" x14ac:dyDescent="0.25">
      <c r="A1558" t="str">
        <f t="shared" si="50"/>
        <v>H181787H181787</v>
      </c>
      <c r="B1558" t="str">
        <f t="shared" si="51"/>
        <v>H181787P204L9VE-M</v>
      </c>
      <c r="C1558" s="1" t="s">
        <v>182</v>
      </c>
      <c r="D1558" s="1" t="s">
        <v>614</v>
      </c>
      <c r="E1558" s="1" t="s">
        <v>524</v>
      </c>
      <c r="F1558" s="1" t="s">
        <v>525</v>
      </c>
      <c r="G1558" s="1" t="s">
        <v>404</v>
      </c>
      <c r="H1558" s="1">
        <v>1560</v>
      </c>
      <c r="I1558" s="3">
        <v>46273</v>
      </c>
      <c r="J1558" s="3">
        <v>46284</v>
      </c>
      <c r="K1558" s="3" t="s">
        <v>2350</v>
      </c>
      <c r="L1558" s="22">
        <v>46273.678682986108</v>
      </c>
      <c r="M1558" s="20">
        <v>12</v>
      </c>
      <c r="N1558" s="1">
        <v>71</v>
      </c>
    </row>
    <row r="1559" spans="1:14" x14ac:dyDescent="0.25">
      <c r="A1559" t="str">
        <f t="shared" si="50"/>
        <v>H181787H181787</v>
      </c>
      <c r="B1559" t="str">
        <f t="shared" si="51"/>
        <v>H181787P204L9VE-M</v>
      </c>
      <c r="C1559" s="1" t="s">
        <v>182</v>
      </c>
      <c r="D1559" s="1" t="s">
        <v>614</v>
      </c>
      <c r="E1559" s="1" t="s">
        <v>524</v>
      </c>
      <c r="F1559" s="1" t="s">
        <v>525</v>
      </c>
      <c r="G1559" s="1" t="s">
        <v>404</v>
      </c>
      <c r="H1559" s="1">
        <v>1560</v>
      </c>
      <c r="I1559" s="3">
        <v>46273</v>
      </c>
      <c r="J1559" s="3">
        <v>46284</v>
      </c>
      <c r="K1559" s="3" t="s">
        <v>2350</v>
      </c>
      <c r="L1559" s="22">
        <v>46273.678837766201</v>
      </c>
      <c r="M1559" s="20">
        <v>12</v>
      </c>
      <c r="N1559" s="1">
        <v>105</v>
      </c>
    </row>
    <row r="1560" spans="1:14" x14ac:dyDescent="0.25">
      <c r="A1560" t="str">
        <f t="shared" si="50"/>
        <v>H181787H181787</v>
      </c>
      <c r="B1560" t="str">
        <f t="shared" si="51"/>
        <v>H181787P204L9VE-M</v>
      </c>
      <c r="C1560" s="1" t="s">
        <v>182</v>
      </c>
      <c r="D1560" s="1" t="s">
        <v>614</v>
      </c>
      <c r="E1560" s="1" t="s">
        <v>524</v>
      </c>
      <c r="F1560" s="1" t="s">
        <v>525</v>
      </c>
      <c r="G1560" s="1" t="s">
        <v>404</v>
      </c>
      <c r="H1560" s="1">
        <v>1560</v>
      </c>
      <c r="I1560" s="3">
        <v>46273</v>
      </c>
      <c r="J1560" s="3">
        <v>46284</v>
      </c>
      <c r="K1560" s="3" t="s">
        <v>2350</v>
      </c>
      <c r="L1560" s="22">
        <v>46273.680571446755</v>
      </c>
      <c r="M1560" s="20">
        <v>12</v>
      </c>
      <c r="N1560" s="1">
        <v>72</v>
      </c>
    </row>
    <row r="1561" spans="1:14" x14ac:dyDescent="0.25">
      <c r="A1561" t="str">
        <f t="shared" si="50"/>
        <v>H181787H181787</v>
      </c>
      <c r="B1561" t="str">
        <f t="shared" si="51"/>
        <v>H181787P204L9VE-M</v>
      </c>
      <c r="C1561" s="1" t="s">
        <v>182</v>
      </c>
      <c r="D1561" s="1" t="s">
        <v>614</v>
      </c>
      <c r="E1561" s="1" t="s">
        <v>524</v>
      </c>
      <c r="F1561" s="1" t="s">
        <v>525</v>
      </c>
      <c r="G1561" s="1" t="s">
        <v>404</v>
      </c>
      <c r="H1561" s="1">
        <v>1560</v>
      </c>
      <c r="I1561" s="3">
        <v>46273</v>
      </c>
      <c r="J1561" s="3">
        <v>46284</v>
      </c>
      <c r="K1561" s="3" t="s">
        <v>2350</v>
      </c>
      <c r="L1561" s="22">
        <v>46273.680937152778</v>
      </c>
      <c r="M1561" s="20">
        <v>12</v>
      </c>
      <c r="N1561" s="1">
        <v>103</v>
      </c>
    </row>
    <row r="1562" spans="1:14" x14ac:dyDescent="0.25">
      <c r="A1562" t="str">
        <f t="shared" si="50"/>
        <v>U146414U146414</v>
      </c>
      <c r="B1562" t="str">
        <f t="shared" si="51"/>
        <v>U146414I6039KY-W</v>
      </c>
      <c r="C1562" s="1" t="s">
        <v>61</v>
      </c>
      <c r="D1562" s="1" t="s">
        <v>613</v>
      </c>
      <c r="E1562" s="1" t="s">
        <v>436</v>
      </c>
      <c r="F1562" s="1" t="s">
        <v>440</v>
      </c>
      <c r="G1562" s="1" t="s">
        <v>438</v>
      </c>
      <c r="H1562" s="1">
        <v>492</v>
      </c>
      <c r="I1562" s="3">
        <v>46273</v>
      </c>
      <c r="J1562" s="3">
        <v>46279</v>
      </c>
      <c r="K1562" s="3" t="s">
        <v>2364</v>
      </c>
      <c r="L1562" s="22">
        <v>46273.618314317129</v>
      </c>
      <c r="M1562" s="20">
        <v>12</v>
      </c>
      <c r="N1562" s="1">
        <v>27</v>
      </c>
    </row>
    <row r="1563" spans="1:14" x14ac:dyDescent="0.25">
      <c r="A1563" t="str">
        <f t="shared" si="50"/>
        <v>U146414U146414</v>
      </c>
      <c r="B1563" t="str">
        <f t="shared" si="51"/>
        <v>U146414I6039KY-W</v>
      </c>
      <c r="C1563" s="1" t="s">
        <v>61</v>
      </c>
      <c r="D1563" s="1" t="s">
        <v>613</v>
      </c>
      <c r="E1563" s="1" t="s">
        <v>436</v>
      </c>
      <c r="F1563" s="1" t="s">
        <v>440</v>
      </c>
      <c r="G1563" s="1" t="s">
        <v>438</v>
      </c>
      <c r="H1563" s="1">
        <v>492</v>
      </c>
      <c r="I1563" s="3">
        <v>46273</v>
      </c>
      <c r="J1563" s="3">
        <v>46279</v>
      </c>
      <c r="K1563" s="3" t="s">
        <v>2364</v>
      </c>
      <c r="L1563" s="22">
        <v>46273.618478275464</v>
      </c>
      <c r="M1563" s="20">
        <v>12</v>
      </c>
      <c r="N1563" s="1">
        <v>34</v>
      </c>
    </row>
    <row r="1564" spans="1:14" x14ac:dyDescent="0.25">
      <c r="A1564" t="str">
        <f t="shared" si="50"/>
        <v>U146414U146414</v>
      </c>
      <c r="B1564" t="str">
        <f t="shared" si="51"/>
        <v>U146414I6039KY-W</v>
      </c>
      <c r="C1564" s="1" t="s">
        <v>61</v>
      </c>
      <c r="D1564" s="1" t="s">
        <v>613</v>
      </c>
      <c r="E1564" s="1" t="s">
        <v>436</v>
      </c>
      <c r="F1564" s="1" t="s">
        <v>440</v>
      </c>
      <c r="G1564" s="1" t="s">
        <v>438</v>
      </c>
      <c r="H1564" s="1">
        <v>492</v>
      </c>
      <c r="I1564" s="3">
        <v>46273</v>
      </c>
      <c r="J1564" s="3">
        <v>46279</v>
      </c>
      <c r="K1564" s="3" t="s">
        <v>2364</v>
      </c>
      <c r="L1564" s="22">
        <v>46273.619309374997</v>
      </c>
      <c r="M1564" s="20">
        <v>12</v>
      </c>
      <c r="N1564" s="1">
        <v>25</v>
      </c>
    </row>
    <row r="1565" spans="1:14" x14ac:dyDescent="0.25">
      <c r="A1565" t="str">
        <f t="shared" si="50"/>
        <v>U146414U146414</v>
      </c>
      <c r="B1565" t="str">
        <f t="shared" si="51"/>
        <v>U146414I6039KY-W</v>
      </c>
      <c r="C1565" s="1" t="s">
        <v>61</v>
      </c>
      <c r="D1565" s="1" t="s">
        <v>613</v>
      </c>
      <c r="E1565" s="1" t="s">
        <v>436</v>
      </c>
      <c r="F1565" s="1" t="s">
        <v>440</v>
      </c>
      <c r="G1565" s="1" t="s">
        <v>438</v>
      </c>
      <c r="H1565" s="1">
        <v>492</v>
      </c>
      <c r="I1565" s="3">
        <v>46273</v>
      </c>
      <c r="J1565" s="3">
        <v>46279</v>
      </c>
      <c r="K1565" s="3" t="s">
        <v>2364</v>
      </c>
      <c r="L1565" s="22">
        <v>46273.635550347222</v>
      </c>
      <c r="M1565" s="20">
        <v>12</v>
      </c>
      <c r="N1565" s="1">
        <v>17</v>
      </c>
    </row>
    <row r="1566" spans="1:14" x14ac:dyDescent="0.25">
      <c r="A1566" t="str">
        <f t="shared" si="50"/>
        <v>U146414U146414</v>
      </c>
      <c r="B1566" t="str">
        <f t="shared" si="51"/>
        <v>U146414I6039KY-W</v>
      </c>
      <c r="C1566" s="1" t="s">
        <v>61</v>
      </c>
      <c r="D1566" s="1" t="s">
        <v>613</v>
      </c>
      <c r="E1566" s="1" t="s">
        <v>436</v>
      </c>
      <c r="F1566" s="1" t="s">
        <v>440</v>
      </c>
      <c r="G1566" s="1" t="s">
        <v>438</v>
      </c>
      <c r="H1566" s="1">
        <v>492</v>
      </c>
      <c r="I1566" s="3">
        <v>46273</v>
      </c>
      <c r="J1566" s="3">
        <v>46279</v>
      </c>
      <c r="K1566" s="3" t="s">
        <v>2364</v>
      </c>
      <c r="L1566" s="22">
        <v>46273.63583475694</v>
      </c>
      <c r="M1566" s="20">
        <v>12</v>
      </c>
      <c r="N1566" s="1">
        <v>15</v>
      </c>
    </row>
    <row r="1567" spans="1:14" x14ac:dyDescent="0.25">
      <c r="A1567" t="str">
        <f t="shared" si="50"/>
        <v>U146414U146414</v>
      </c>
      <c r="B1567" t="str">
        <f t="shared" si="51"/>
        <v>U146414I6039KY-W</v>
      </c>
      <c r="C1567" s="1" t="s">
        <v>61</v>
      </c>
      <c r="D1567" s="1" t="s">
        <v>613</v>
      </c>
      <c r="E1567" s="1" t="s">
        <v>436</v>
      </c>
      <c r="F1567" s="1" t="s">
        <v>440</v>
      </c>
      <c r="G1567" s="1" t="s">
        <v>438</v>
      </c>
      <c r="H1567" s="1">
        <v>492</v>
      </c>
      <c r="I1567" s="3">
        <v>46273</v>
      </c>
      <c r="J1567" s="3">
        <v>46279</v>
      </c>
      <c r="K1567" s="3" t="s">
        <v>2364</v>
      </c>
      <c r="L1567" s="22">
        <v>46273.654502893514</v>
      </c>
      <c r="M1567" s="20">
        <v>12</v>
      </c>
      <c r="N1567" s="1">
        <v>1</v>
      </c>
    </row>
    <row r="1568" spans="1:14" x14ac:dyDescent="0.25">
      <c r="A1568" t="str">
        <f t="shared" si="50"/>
        <v>U146414U146414</v>
      </c>
      <c r="B1568" t="str">
        <f t="shared" si="51"/>
        <v>U146414I6039KY-W</v>
      </c>
      <c r="C1568" s="1" t="s">
        <v>61</v>
      </c>
      <c r="D1568" s="1" t="s">
        <v>613</v>
      </c>
      <c r="E1568" s="1" t="s">
        <v>436</v>
      </c>
      <c r="F1568" s="1" t="s">
        <v>440</v>
      </c>
      <c r="G1568" s="1" t="s">
        <v>438</v>
      </c>
      <c r="H1568" s="1">
        <v>492</v>
      </c>
      <c r="I1568" s="3">
        <v>46273</v>
      </c>
      <c r="J1568" s="3">
        <v>46279</v>
      </c>
      <c r="K1568" s="3" t="s">
        <v>2364</v>
      </c>
      <c r="L1568" s="22">
        <v>46273.654666550923</v>
      </c>
      <c r="M1568" s="20">
        <v>12</v>
      </c>
      <c r="N1568" s="1">
        <v>28</v>
      </c>
    </row>
    <row r="1569" spans="1:14" x14ac:dyDescent="0.25">
      <c r="A1569" t="str">
        <f t="shared" si="50"/>
        <v>U146414U146414</v>
      </c>
      <c r="B1569" t="str">
        <f t="shared" si="51"/>
        <v>U146414I6039KY-W</v>
      </c>
      <c r="C1569" s="1" t="s">
        <v>61</v>
      </c>
      <c r="D1569" s="1" t="s">
        <v>613</v>
      </c>
      <c r="E1569" s="1" t="s">
        <v>436</v>
      </c>
      <c r="F1569" s="1" t="s">
        <v>440</v>
      </c>
      <c r="G1569" s="1" t="s">
        <v>438</v>
      </c>
      <c r="H1569" s="1">
        <v>492</v>
      </c>
      <c r="I1569" s="3">
        <v>46273</v>
      </c>
      <c r="J1569" s="3">
        <v>46279</v>
      </c>
      <c r="K1569" s="3" t="s">
        <v>2364</v>
      </c>
      <c r="L1569" s="22">
        <v>46273.654819293981</v>
      </c>
      <c r="M1569" s="20">
        <v>12</v>
      </c>
      <c r="N1569" s="1">
        <v>10</v>
      </c>
    </row>
    <row r="1570" spans="1:14" x14ac:dyDescent="0.25">
      <c r="A1570" t="str">
        <f t="shared" si="50"/>
        <v>U146414U146414</v>
      </c>
      <c r="B1570" t="str">
        <f t="shared" si="51"/>
        <v>U146414I6039KY-W</v>
      </c>
      <c r="C1570" s="1" t="s">
        <v>61</v>
      </c>
      <c r="D1570" s="1" t="s">
        <v>613</v>
      </c>
      <c r="E1570" s="1" t="s">
        <v>436</v>
      </c>
      <c r="F1570" s="1" t="s">
        <v>440</v>
      </c>
      <c r="G1570" s="1" t="s">
        <v>438</v>
      </c>
      <c r="H1570" s="1">
        <v>492</v>
      </c>
      <c r="I1570" s="3">
        <v>46273</v>
      </c>
      <c r="J1570" s="3">
        <v>46279</v>
      </c>
      <c r="K1570" s="3" t="s">
        <v>2364</v>
      </c>
      <c r="L1570" s="22">
        <v>46273.654971064811</v>
      </c>
      <c r="M1570" s="20">
        <v>12</v>
      </c>
      <c r="N1570" s="1">
        <v>32</v>
      </c>
    </row>
    <row r="1571" spans="1:14" x14ac:dyDescent="0.25">
      <c r="A1571" t="str">
        <f t="shared" si="50"/>
        <v>U146414U146414</v>
      </c>
      <c r="B1571" t="str">
        <f t="shared" si="51"/>
        <v>U146414I6039KY-W</v>
      </c>
      <c r="C1571" s="1" t="s">
        <v>61</v>
      </c>
      <c r="D1571" s="1" t="s">
        <v>613</v>
      </c>
      <c r="E1571" s="1" t="s">
        <v>436</v>
      </c>
      <c r="F1571" s="1" t="s">
        <v>440</v>
      </c>
      <c r="G1571" s="1" t="s">
        <v>438</v>
      </c>
      <c r="H1571" s="1">
        <v>492</v>
      </c>
      <c r="I1571" s="3">
        <v>46273</v>
      </c>
      <c r="J1571" s="3">
        <v>46279</v>
      </c>
      <c r="K1571" s="3" t="s">
        <v>2364</v>
      </c>
      <c r="L1571" s="22">
        <v>46273.655119293981</v>
      </c>
      <c r="M1571" s="20">
        <v>12</v>
      </c>
      <c r="N1571" s="1">
        <v>20</v>
      </c>
    </row>
    <row r="1572" spans="1:14" x14ac:dyDescent="0.25">
      <c r="A1572" t="str">
        <f t="shared" si="50"/>
        <v>U146414U146414</v>
      </c>
      <c r="B1572" t="str">
        <f t="shared" si="51"/>
        <v>U146414I6039KY-W</v>
      </c>
      <c r="C1572" s="1" t="s">
        <v>61</v>
      </c>
      <c r="D1572" s="1" t="s">
        <v>613</v>
      </c>
      <c r="E1572" s="1" t="s">
        <v>436</v>
      </c>
      <c r="F1572" s="1" t="s">
        <v>440</v>
      </c>
      <c r="G1572" s="1" t="s">
        <v>438</v>
      </c>
      <c r="H1572" s="1">
        <v>492</v>
      </c>
      <c r="I1572" s="3">
        <v>46273</v>
      </c>
      <c r="J1572" s="3">
        <v>46279</v>
      </c>
      <c r="K1572" s="3" t="s">
        <v>2364</v>
      </c>
      <c r="L1572" s="22">
        <v>46273.655283333334</v>
      </c>
      <c r="M1572" s="20">
        <v>12</v>
      </c>
      <c r="N1572" s="1">
        <v>33</v>
      </c>
    </row>
    <row r="1573" spans="1:14" x14ac:dyDescent="0.25">
      <c r="A1573" t="str">
        <f t="shared" si="50"/>
        <v>U146414U146414</v>
      </c>
      <c r="B1573" t="str">
        <f t="shared" si="51"/>
        <v>U146414I6039KY-W</v>
      </c>
      <c r="C1573" s="1" t="s">
        <v>61</v>
      </c>
      <c r="D1573" s="1" t="s">
        <v>613</v>
      </c>
      <c r="E1573" s="1" t="s">
        <v>436</v>
      </c>
      <c r="F1573" s="1" t="s">
        <v>440</v>
      </c>
      <c r="G1573" s="1" t="s">
        <v>438</v>
      </c>
      <c r="H1573" s="1">
        <v>492</v>
      </c>
      <c r="I1573" s="3">
        <v>46273</v>
      </c>
      <c r="J1573" s="3">
        <v>46279</v>
      </c>
      <c r="K1573" s="3" t="s">
        <v>2364</v>
      </c>
      <c r="L1573" s="22">
        <v>46273.655759293979</v>
      </c>
      <c r="M1573" s="20">
        <v>12</v>
      </c>
      <c r="N1573" s="1">
        <v>36</v>
      </c>
    </row>
    <row r="1574" spans="1:14" x14ac:dyDescent="0.25">
      <c r="A1574" t="str">
        <f t="shared" si="50"/>
        <v>U146414U146414</v>
      </c>
      <c r="B1574" t="str">
        <f t="shared" si="51"/>
        <v>U146414I6039KY-W</v>
      </c>
      <c r="C1574" s="1" t="s">
        <v>61</v>
      </c>
      <c r="D1574" s="1" t="s">
        <v>613</v>
      </c>
      <c r="E1574" s="1" t="s">
        <v>436</v>
      </c>
      <c r="F1574" s="1" t="s">
        <v>440</v>
      </c>
      <c r="G1574" s="1" t="s">
        <v>438</v>
      </c>
      <c r="H1574" s="1">
        <v>492</v>
      </c>
      <c r="I1574" s="3">
        <v>46273</v>
      </c>
      <c r="J1574" s="3">
        <v>46279</v>
      </c>
      <c r="K1574" s="3" t="s">
        <v>2364</v>
      </c>
      <c r="L1574" s="22">
        <v>46273.655900150457</v>
      </c>
      <c r="M1574" s="20">
        <v>12</v>
      </c>
      <c r="N1574" s="1">
        <v>23</v>
      </c>
    </row>
    <row r="1575" spans="1:14" x14ac:dyDescent="0.25">
      <c r="A1575" t="str">
        <f t="shared" si="50"/>
        <v>U146414U146414</v>
      </c>
      <c r="B1575" t="str">
        <f t="shared" si="51"/>
        <v>U146414I6039KY-W</v>
      </c>
      <c r="C1575" s="1" t="s">
        <v>61</v>
      </c>
      <c r="D1575" s="1" t="s">
        <v>613</v>
      </c>
      <c r="E1575" s="1" t="s">
        <v>436</v>
      </c>
      <c r="F1575" s="1" t="s">
        <v>440</v>
      </c>
      <c r="G1575" s="1" t="s">
        <v>438</v>
      </c>
      <c r="H1575" s="1">
        <v>492</v>
      </c>
      <c r="I1575" s="3">
        <v>46273</v>
      </c>
      <c r="J1575" s="3">
        <v>46279</v>
      </c>
      <c r="K1575" s="3" t="s">
        <v>2364</v>
      </c>
      <c r="L1575" s="22">
        <v>46273.656225347222</v>
      </c>
      <c r="M1575" s="20">
        <v>12</v>
      </c>
      <c r="N1575" s="1">
        <v>26</v>
      </c>
    </row>
    <row r="1576" spans="1:14" x14ac:dyDescent="0.25">
      <c r="A1576" t="str">
        <f t="shared" si="50"/>
        <v>U146414U146414</v>
      </c>
      <c r="B1576" t="str">
        <f t="shared" si="51"/>
        <v>U146414I6039KY-W</v>
      </c>
      <c r="C1576" s="1" t="s">
        <v>61</v>
      </c>
      <c r="D1576" s="1" t="s">
        <v>613</v>
      </c>
      <c r="E1576" s="1" t="s">
        <v>436</v>
      </c>
      <c r="F1576" s="1" t="s">
        <v>440</v>
      </c>
      <c r="G1576" s="1" t="s">
        <v>438</v>
      </c>
      <c r="H1576" s="1">
        <v>492</v>
      </c>
      <c r="I1576" s="3">
        <v>46273</v>
      </c>
      <c r="J1576" s="3">
        <v>46279</v>
      </c>
      <c r="K1576" s="3" t="s">
        <v>2364</v>
      </c>
      <c r="L1576" s="22">
        <v>46273.657309756942</v>
      </c>
      <c r="M1576" s="20">
        <v>12</v>
      </c>
      <c r="N1576" s="1">
        <v>11</v>
      </c>
    </row>
    <row r="1577" spans="1:14" x14ac:dyDescent="0.25">
      <c r="A1577" t="str">
        <f t="shared" si="50"/>
        <v>U146414U146414</v>
      </c>
      <c r="B1577" t="str">
        <f t="shared" si="51"/>
        <v>U146414I6039KY-W</v>
      </c>
      <c r="C1577" s="1" t="s">
        <v>61</v>
      </c>
      <c r="D1577" s="1" t="s">
        <v>613</v>
      </c>
      <c r="E1577" s="1" t="s">
        <v>436</v>
      </c>
      <c r="F1577" s="1" t="s">
        <v>440</v>
      </c>
      <c r="G1577" s="1" t="s">
        <v>438</v>
      </c>
      <c r="H1577" s="1">
        <v>492</v>
      </c>
      <c r="I1577" s="3">
        <v>46273</v>
      </c>
      <c r="J1577" s="3">
        <v>46279</v>
      </c>
      <c r="K1577" s="3" t="s">
        <v>2364</v>
      </c>
      <c r="L1577" s="22">
        <v>46273.657459027774</v>
      </c>
      <c r="M1577" s="20">
        <v>12</v>
      </c>
      <c r="N1577" s="1">
        <v>2</v>
      </c>
    </row>
    <row r="1578" spans="1:14" x14ac:dyDescent="0.25">
      <c r="A1578" t="str">
        <f t="shared" si="50"/>
        <v>U146414U146414</v>
      </c>
      <c r="B1578" t="str">
        <f t="shared" si="51"/>
        <v>U146414I6039KY-W</v>
      </c>
      <c r="C1578" s="1" t="s">
        <v>61</v>
      </c>
      <c r="D1578" s="1" t="s">
        <v>613</v>
      </c>
      <c r="E1578" s="1" t="s">
        <v>436</v>
      </c>
      <c r="F1578" s="1" t="s">
        <v>440</v>
      </c>
      <c r="G1578" s="1" t="s">
        <v>438</v>
      </c>
      <c r="H1578" s="1">
        <v>492</v>
      </c>
      <c r="I1578" s="3">
        <v>46273</v>
      </c>
      <c r="J1578" s="3">
        <v>46279</v>
      </c>
      <c r="K1578" s="3" t="s">
        <v>2364</v>
      </c>
      <c r="L1578" s="22">
        <v>46273.657636192125</v>
      </c>
      <c r="M1578" s="20">
        <v>12</v>
      </c>
      <c r="N1578" s="1">
        <v>29</v>
      </c>
    </row>
    <row r="1579" spans="1:14" x14ac:dyDescent="0.25">
      <c r="A1579" t="str">
        <f t="shared" si="50"/>
        <v>U146414U146414</v>
      </c>
      <c r="B1579" t="str">
        <f t="shared" si="51"/>
        <v>U146414I6039KY-W</v>
      </c>
      <c r="C1579" s="1" t="s">
        <v>61</v>
      </c>
      <c r="D1579" s="1" t="s">
        <v>613</v>
      </c>
      <c r="E1579" s="1" t="s">
        <v>436</v>
      </c>
      <c r="F1579" s="1" t="s">
        <v>440</v>
      </c>
      <c r="G1579" s="1" t="s">
        <v>438</v>
      </c>
      <c r="H1579" s="1">
        <v>492</v>
      </c>
      <c r="I1579" s="3">
        <v>46273</v>
      </c>
      <c r="J1579" s="3">
        <v>46279</v>
      </c>
      <c r="K1579" s="3" t="s">
        <v>2364</v>
      </c>
      <c r="L1579" s="22">
        <v>46273.657789120371</v>
      </c>
      <c r="M1579" s="20">
        <v>12</v>
      </c>
      <c r="N1579" s="1">
        <v>35</v>
      </c>
    </row>
    <row r="1580" spans="1:14" x14ac:dyDescent="0.25">
      <c r="A1580" t="str">
        <f t="shared" si="50"/>
        <v>U146414U146414</v>
      </c>
      <c r="B1580" t="str">
        <f t="shared" si="51"/>
        <v>U146414I6039KY-W</v>
      </c>
      <c r="C1580" s="1" t="s">
        <v>61</v>
      </c>
      <c r="D1580" s="1" t="s">
        <v>613</v>
      </c>
      <c r="E1580" s="1" t="s">
        <v>436</v>
      </c>
      <c r="F1580" s="1" t="s">
        <v>440</v>
      </c>
      <c r="G1580" s="1" t="s">
        <v>438</v>
      </c>
      <c r="H1580" s="1">
        <v>492</v>
      </c>
      <c r="I1580" s="3">
        <v>46273</v>
      </c>
      <c r="J1580" s="3">
        <v>46279</v>
      </c>
      <c r="K1580" s="3" t="s">
        <v>2364</v>
      </c>
      <c r="L1580" s="22">
        <v>46273.679310335647</v>
      </c>
      <c r="M1580" s="20">
        <v>12</v>
      </c>
      <c r="N1580" s="1">
        <v>18</v>
      </c>
    </row>
    <row r="1581" spans="1:14" x14ac:dyDescent="0.25">
      <c r="A1581" t="str">
        <f t="shared" si="50"/>
        <v>U146414U146414</v>
      </c>
      <c r="B1581" t="str">
        <f t="shared" si="51"/>
        <v>U146414I6039KY-W</v>
      </c>
      <c r="C1581" s="1" t="s">
        <v>61</v>
      </c>
      <c r="D1581" s="1" t="s">
        <v>613</v>
      </c>
      <c r="E1581" s="1" t="s">
        <v>436</v>
      </c>
      <c r="F1581" s="1" t="s">
        <v>440</v>
      </c>
      <c r="G1581" s="1" t="s">
        <v>438</v>
      </c>
      <c r="H1581" s="1">
        <v>492</v>
      </c>
      <c r="I1581" s="3">
        <v>46273</v>
      </c>
      <c r="J1581" s="3">
        <v>46279</v>
      </c>
      <c r="K1581" s="3" t="s">
        <v>2364</v>
      </c>
      <c r="L1581" s="22">
        <v>46273.679453206016</v>
      </c>
      <c r="M1581" s="20">
        <v>12</v>
      </c>
      <c r="N1581" s="1">
        <v>19</v>
      </c>
    </row>
    <row r="1582" spans="1:14" x14ac:dyDescent="0.25">
      <c r="A1582" t="str">
        <f t="shared" si="50"/>
        <v>U146417U146417</v>
      </c>
      <c r="B1582" t="str">
        <f t="shared" si="51"/>
        <v>U146417P6036SS-M</v>
      </c>
      <c r="C1582" s="1" t="s">
        <v>52</v>
      </c>
      <c r="D1582" s="1" t="s">
        <v>617</v>
      </c>
      <c r="E1582" s="1" t="s">
        <v>436</v>
      </c>
      <c r="F1582" s="1" t="s">
        <v>439</v>
      </c>
      <c r="G1582" s="1" t="s">
        <v>438</v>
      </c>
      <c r="H1582" s="1">
        <v>516</v>
      </c>
      <c r="I1582" s="3">
        <v>46273</v>
      </c>
      <c r="J1582" s="3">
        <v>46275</v>
      </c>
      <c r="K1582" s="3" t="s">
        <v>2360</v>
      </c>
      <c r="L1582" s="22">
        <v>46273.650728321758</v>
      </c>
      <c r="M1582" s="20">
        <v>12</v>
      </c>
      <c r="N1582" s="1">
        <v>5</v>
      </c>
    </row>
    <row r="1583" spans="1:14" x14ac:dyDescent="0.25">
      <c r="A1583" t="str">
        <f t="shared" si="50"/>
        <v>U146417U146417</v>
      </c>
      <c r="B1583" t="str">
        <f t="shared" si="51"/>
        <v>U146417P6036SS-M</v>
      </c>
      <c r="C1583" s="1" t="s">
        <v>52</v>
      </c>
      <c r="D1583" s="1" t="s">
        <v>617</v>
      </c>
      <c r="E1583" s="1" t="s">
        <v>436</v>
      </c>
      <c r="F1583" s="1" t="s">
        <v>439</v>
      </c>
      <c r="G1583" s="1" t="s">
        <v>438</v>
      </c>
      <c r="H1583" s="1">
        <v>516</v>
      </c>
      <c r="I1583" s="3">
        <v>46273</v>
      </c>
      <c r="J1583" s="3">
        <v>46275</v>
      </c>
      <c r="K1583" s="3" t="s">
        <v>2360</v>
      </c>
      <c r="L1583" s="22">
        <v>46273.651212766199</v>
      </c>
      <c r="M1583" s="20">
        <v>12</v>
      </c>
      <c r="N1583" s="1">
        <v>24</v>
      </c>
    </row>
    <row r="1584" spans="1:14" x14ac:dyDescent="0.25">
      <c r="A1584" t="str">
        <f t="shared" si="50"/>
        <v>U146417U146417</v>
      </c>
      <c r="B1584" t="str">
        <f t="shared" si="51"/>
        <v>U146417P6036SS-M</v>
      </c>
      <c r="C1584" s="1" t="s">
        <v>52</v>
      </c>
      <c r="D1584" s="1" t="s">
        <v>617</v>
      </c>
      <c r="E1584" s="1" t="s">
        <v>436</v>
      </c>
      <c r="F1584" s="1" t="s">
        <v>439</v>
      </c>
      <c r="G1584" s="1" t="s">
        <v>438</v>
      </c>
      <c r="H1584" s="1">
        <v>516</v>
      </c>
      <c r="I1584" s="3">
        <v>46273</v>
      </c>
      <c r="J1584" s="3">
        <v>46275</v>
      </c>
      <c r="K1584" s="3" t="s">
        <v>2360</v>
      </c>
      <c r="L1584" s="22">
        <v>46273.659524270828</v>
      </c>
      <c r="M1584" s="20">
        <v>12</v>
      </c>
      <c r="N1584" s="1">
        <v>17</v>
      </c>
    </row>
    <row r="1585" spans="1:14" x14ac:dyDescent="0.25">
      <c r="A1585" t="str">
        <f t="shared" si="50"/>
        <v>U146417U146417</v>
      </c>
      <c r="B1585" t="str">
        <f t="shared" si="51"/>
        <v>U146417P6036SS-M</v>
      </c>
      <c r="C1585" s="1" t="s">
        <v>52</v>
      </c>
      <c r="D1585" s="1" t="s">
        <v>617</v>
      </c>
      <c r="E1585" s="1" t="s">
        <v>436</v>
      </c>
      <c r="F1585" s="1" t="s">
        <v>439</v>
      </c>
      <c r="G1585" s="1" t="s">
        <v>438</v>
      </c>
      <c r="H1585" s="1">
        <v>516</v>
      </c>
      <c r="I1585" s="3">
        <v>46273</v>
      </c>
      <c r="J1585" s="3">
        <v>46275</v>
      </c>
      <c r="K1585" s="3" t="s">
        <v>2360</v>
      </c>
      <c r="L1585" s="22">
        <v>46273.661092708331</v>
      </c>
      <c r="M1585" s="20">
        <v>12</v>
      </c>
      <c r="N1585" s="1">
        <v>43</v>
      </c>
    </row>
    <row r="1586" spans="1:14" x14ac:dyDescent="0.25">
      <c r="A1586" t="str">
        <f t="shared" si="50"/>
        <v>U146417U146417</v>
      </c>
      <c r="B1586" t="str">
        <f t="shared" si="51"/>
        <v>U146417P6036SS-M</v>
      </c>
      <c r="C1586" s="1" t="s">
        <v>52</v>
      </c>
      <c r="D1586" s="1" t="s">
        <v>617</v>
      </c>
      <c r="E1586" s="1" t="s">
        <v>436</v>
      </c>
      <c r="F1586" s="1" t="s">
        <v>439</v>
      </c>
      <c r="G1586" s="1" t="s">
        <v>438</v>
      </c>
      <c r="H1586" s="1">
        <v>516</v>
      </c>
      <c r="I1586" s="3">
        <v>46273</v>
      </c>
      <c r="J1586" s="3">
        <v>46275</v>
      </c>
      <c r="K1586" s="3" t="s">
        <v>2360</v>
      </c>
      <c r="L1586" s="22">
        <v>46273.66294707176</v>
      </c>
      <c r="M1586" s="20">
        <v>12</v>
      </c>
      <c r="N1586" s="1">
        <v>14</v>
      </c>
    </row>
    <row r="1587" spans="1:14" x14ac:dyDescent="0.25">
      <c r="A1587" t="str">
        <f t="shared" si="50"/>
        <v>U146417U146417</v>
      </c>
      <c r="B1587" t="str">
        <f t="shared" si="51"/>
        <v>U146417P6036SS-M</v>
      </c>
      <c r="C1587" s="1" t="s">
        <v>52</v>
      </c>
      <c r="D1587" s="1" t="s">
        <v>617</v>
      </c>
      <c r="E1587" s="1" t="s">
        <v>436</v>
      </c>
      <c r="F1587" s="1" t="s">
        <v>439</v>
      </c>
      <c r="G1587" s="1" t="s">
        <v>438</v>
      </c>
      <c r="H1587" s="1">
        <v>516</v>
      </c>
      <c r="I1587" s="3">
        <v>46273</v>
      </c>
      <c r="J1587" s="3">
        <v>46275</v>
      </c>
      <c r="K1587" s="3" t="s">
        <v>2360</v>
      </c>
      <c r="L1587" s="22">
        <v>46273.663153043977</v>
      </c>
      <c r="M1587" s="20">
        <v>12</v>
      </c>
      <c r="N1587" s="1">
        <v>36</v>
      </c>
    </row>
    <row r="1588" spans="1:14" x14ac:dyDescent="0.25">
      <c r="A1588" t="str">
        <f t="shared" si="50"/>
        <v>U146417U146417</v>
      </c>
      <c r="B1588" t="str">
        <f t="shared" si="51"/>
        <v>U146417P6036SS-M</v>
      </c>
      <c r="C1588" s="1" t="s">
        <v>52</v>
      </c>
      <c r="D1588" s="1" t="s">
        <v>617</v>
      </c>
      <c r="E1588" s="1" t="s">
        <v>436</v>
      </c>
      <c r="F1588" s="1" t="s">
        <v>439</v>
      </c>
      <c r="G1588" s="1" t="s">
        <v>438</v>
      </c>
      <c r="H1588" s="1">
        <v>516</v>
      </c>
      <c r="I1588" s="3">
        <v>46273</v>
      </c>
      <c r="J1588" s="3">
        <v>46275</v>
      </c>
      <c r="K1588" s="3" t="s">
        <v>2360</v>
      </c>
      <c r="L1588" s="22">
        <v>46273.663315046295</v>
      </c>
      <c r="M1588" s="20">
        <v>12</v>
      </c>
      <c r="N1588" s="1">
        <v>33</v>
      </c>
    </row>
    <row r="1589" spans="1:14" x14ac:dyDescent="0.25">
      <c r="A1589" t="str">
        <f t="shared" si="50"/>
        <v>U146417U146417</v>
      </c>
      <c r="B1589" t="str">
        <f t="shared" si="51"/>
        <v>U146417P6036SS-M</v>
      </c>
      <c r="C1589" s="1" t="s">
        <v>52</v>
      </c>
      <c r="D1589" s="1" t="s">
        <v>617</v>
      </c>
      <c r="E1589" s="1" t="s">
        <v>436</v>
      </c>
      <c r="F1589" s="1" t="s">
        <v>439</v>
      </c>
      <c r="G1589" s="1" t="s">
        <v>438</v>
      </c>
      <c r="H1589" s="1">
        <v>516</v>
      </c>
      <c r="I1589" s="3">
        <v>46273</v>
      </c>
      <c r="J1589" s="3">
        <v>46275</v>
      </c>
      <c r="K1589" s="3" t="s">
        <v>2360</v>
      </c>
      <c r="L1589" s="22">
        <v>46273.663501354167</v>
      </c>
      <c r="M1589" s="20">
        <v>12</v>
      </c>
      <c r="N1589" s="1">
        <v>6</v>
      </c>
    </row>
    <row r="1590" spans="1:14" x14ac:dyDescent="0.25">
      <c r="A1590" t="str">
        <f t="shared" si="50"/>
        <v>U146417U146417</v>
      </c>
      <c r="B1590" t="str">
        <f t="shared" si="51"/>
        <v>U146417P6036SS-M</v>
      </c>
      <c r="C1590" s="1" t="s">
        <v>52</v>
      </c>
      <c r="D1590" s="1" t="s">
        <v>617</v>
      </c>
      <c r="E1590" s="1" t="s">
        <v>436</v>
      </c>
      <c r="F1590" s="1" t="s">
        <v>439</v>
      </c>
      <c r="G1590" s="1" t="s">
        <v>438</v>
      </c>
      <c r="H1590" s="1">
        <v>516</v>
      </c>
      <c r="I1590" s="3">
        <v>46273</v>
      </c>
      <c r="J1590" s="3">
        <v>46275</v>
      </c>
      <c r="K1590" s="3" t="s">
        <v>2360</v>
      </c>
      <c r="L1590" s="22">
        <v>46273.663660532402</v>
      </c>
      <c r="M1590" s="20">
        <v>12</v>
      </c>
      <c r="N1590" s="1">
        <v>39</v>
      </c>
    </row>
    <row r="1591" spans="1:14" x14ac:dyDescent="0.25">
      <c r="A1591" t="str">
        <f t="shared" si="50"/>
        <v>U146417U146417</v>
      </c>
      <c r="B1591" t="str">
        <f t="shared" si="51"/>
        <v>U146417P6036SS-M</v>
      </c>
      <c r="C1591" s="1" t="s">
        <v>52</v>
      </c>
      <c r="D1591" s="1" t="s">
        <v>617</v>
      </c>
      <c r="E1591" s="1" t="s">
        <v>436</v>
      </c>
      <c r="F1591" s="1" t="s">
        <v>439</v>
      </c>
      <c r="G1591" s="1" t="s">
        <v>438</v>
      </c>
      <c r="H1591" s="1">
        <v>516</v>
      </c>
      <c r="I1591" s="3">
        <v>46273</v>
      </c>
      <c r="J1591" s="3">
        <v>46275</v>
      </c>
      <c r="K1591" s="3" t="s">
        <v>2360</v>
      </c>
      <c r="L1591" s="22">
        <v>46273.663882326386</v>
      </c>
      <c r="M1591" s="20">
        <v>12</v>
      </c>
      <c r="N1591" s="1">
        <v>18</v>
      </c>
    </row>
    <row r="1592" spans="1:14" x14ac:dyDescent="0.25">
      <c r="A1592" t="str">
        <f t="shared" si="50"/>
        <v>U146417U146417</v>
      </c>
      <c r="B1592" t="str">
        <f t="shared" si="51"/>
        <v>U146417P6036SS-M</v>
      </c>
      <c r="C1592" s="1" t="s">
        <v>52</v>
      </c>
      <c r="D1592" s="1" t="s">
        <v>617</v>
      </c>
      <c r="E1592" s="1" t="s">
        <v>436</v>
      </c>
      <c r="F1592" s="1" t="s">
        <v>439</v>
      </c>
      <c r="G1592" s="1" t="s">
        <v>438</v>
      </c>
      <c r="H1592" s="1">
        <v>516</v>
      </c>
      <c r="I1592" s="3">
        <v>46273</v>
      </c>
      <c r="J1592" s="3">
        <v>46275</v>
      </c>
      <c r="K1592" s="3" t="s">
        <v>2360</v>
      </c>
      <c r="L1592" s="22">
        <v>46273.668944444442</v>
      </c>
      <c r="M1592" s="20">
        <v>12</v>
      </c>
      <c r="N1592" s="1">
        <v>15</v>
      </c>
    </row>
    <row r="1593" spans="1:14" x14ac:dyDescent="0.25">
      <c r="A1593" t="str">
        <f t="shared" si="50"/>
        <v>U146417U146417</v>
      </c>
      <c r="B1593" t="str">
        <f t="shared" si="51"/>
        <v>U146417P6036SS-M</v>
      </c>
      <c r="C1593" s="1" t="s">
        <v>52</v>
      </c>
      <c r="D1593" s="1" t="s">
        <v>617</v>
      </c>
      <c r="E1593" s="1" t="s">
        <v>436</v>
      </c>
      <c r="F1593" s="1" t="s">
        <v>439</v>
      </c>
      <c r="G1593" s="1" t="s">
        <v>438</v>
      </c>
      <c r="H1593" s="1">
        <v>516</v>
      </c>
      <c r="I1593" s="3">
        <v>46273</v>
      </c>
      <c r="J1593" s="3">
        <v>46275</v>
      </c>
      <c r="K1593" s="3" t="s">
        <v>2360</v>
      </c>
      <c r="L1593" s="22">
        <v>46273.669277465277</v>
      </c>
      <c r="M1593" s="20">
        <v>12</v>
      </c>
      <c r="N1593" s="1">
        <v>1</v>
      </c>
    </row>
    <row r="1594" spans="1:14" x14ac:dyDescent="0.25">
      <c r="A1594" t="str">
        <f t="shared" si="50"/>
        <v>U146417U146417</v>
      </c>
      <c r="B1594" t="str">
        <f t="shared" si="51"/>
        <v>U146417P6036SS-M</v>
      </c>
      <c r="C1594" s="1" t="s">
        <v>52</v>
      </c>
      <c r="D1594" s="1" t="s">
        <v>617</v>
      </c>
      <c r="E1594" s="1" t="s">
        <v>436</v>
      </c>
      <c r="F1594" s="1" t="s">
        <v>439</v>
      </c>
      <c r="G1594" s="1" t="s">
        <v>438</v>
      </c>
      <c r="H1594" s="1">
        <v>516</v>
      </c>
      <c r="I1594" s="3">
        <v>46273</v>
      </c>
      <c r="J1594" s="3">
        <v>46275</v>
      </c>
      <c r="K1594" s="3" t="s">
        <v>2360</v>
      </c>
      <c r="L1594" s="22">
        <v>46273.671032060185</v>
      </c>
      <c r="M1594" s="20">
        <v>12</v>
      </c>
      <c r="N1594" s="1">
        <v>10</v>
      </c>
    </row>
    <row r="1595" spans="1:14" x14ac:dyDescent="0.25">
      <c r="A1595" t="str">
        <f t="shared" si="50"/>
        <v>U146417U146417</v>
      </c>
      <c r="B1595" t="str">
        <f t="shared" si="51"/>
        <v>U146417P6036SS-M</v>
      </c>
      <c r="C1595" s="1" t="s">
        <v>52</v>
      </c>
      <c r="D1595" s="1" t="s">
        <v>617</v>
      </c>
      <c r="E1595" s="1" t="s">
        <v>436</v>
      </c>
      <c r="F1595" s="1" t="s">
        <v>439</v>
      </c>
      <c r="G1595" s="1" t="s">
        <v>438</v>
      </c>
      <c r="H1595" s="1">
        <v>516</v>
      </c>
      <c r="I1595" s="3">
        <v>46273</v>
      </c>
      <c r="J1595" s="3">
        <v>46275</v>
      </c>
      <c r="K1595" s="3" t="s">
        <v>2360</v>
      </c>
      <c r="L1595" s="22">
        <v>46273.682805208329</v>
      </c>
      <c r="M1595" s="20">
        <v>12</v>
      </c>
      <c r="N1595" s="1">
        <v>27</v>
      </c>
    </row>
    <row r="1596" spans="1:14" x14ac:dyDescent="0.25">
      <c r="A1596" t="str">
        <f t="shared" si="50"/>
        <v>U146417U146417</v>
      </c>
      <c r="B1596" t="str">
        <f t="shared" si="51"/>
        <v>U146417P6036SS-M</v>
      </c>
      <c r="C1596" s="1" t="s">
        <v>52</v>
      </c>
      <c r="D1596" s="1" t="s">
        <v>617</v>
      </c>
      <c r="E1596" s="1" t="s">
        <v>436</v>
      </c>
      <c r="F1596" s="1" t="s">
        <v>439</v>
      </c>
      <c r="G1596" s="1" t="s">
        <v>438</v>
      </c>
      <c r="H1596" s="1">
        <v>516</v>
      </c>
      <c r="I1596" s="3">
        <v>46273</v>
      </c>
      <c r="J1596" s="3">
        <v>46275</v>
      </c>
      <c r="K1596" s="3" t="s">
        <v>2360</v>
      </c>
      <c r="L1596" s="22">
        <v>46273.683098032408</v>
      </c>
      <c r="M1596" s="20">
        <v>12</v>
      </c>
      <c r="N1596" s="1">
        <v>4</v>
      </c>
    </row>
    <row r="1597" spans="1:14" x14ac:dyDescent="0.25">
      <c r="A1597" t="str">
        <f t="shared" si="50"/>
        <v>U146417U146417</v>
      </c>
      <c r="B1597" t="str">
        <f t="shared" si="51"/>
        <v>U146417P6036SS-M</v>
      </c>
      <c r="C1597" s="1" t="s">
        <v>52</v>
      </c>
      <c r="D1597" s="1" t="s">
        <v>617</v>
      </c>
      <c r="E1597" s="1" t="s">
        <v>436</v>
      </c>
      <c r="F1597" s="1" t="s">
        <v>439</v>
      </c>
      <c r="G1597" s="1" t="s">
        <v>438</v>
      </c>
      <c r="H1597" s="1">
        <v>516</v>
      </c>
      <c r="I1597" s="3">
        <v>46273</v>
      </c>
      <c r="J1597" s="3">
        <v>46275</v>
      </c>
      <c r="K1597" s="3" t="s">
        <v>2360</v>
      </c>
      <c r="L1597" s="22">
        <v>46273.683299224533</v>
      </c>
      <c r="M1597" s="20">
        <v>12</v>
      </c>
      <c r="N1597" s="1">
        <v>19</v>
      </c>
    </row>
    <row r="1598" spans="1:14" x14ac:dyDescent="0.25">
      <c r="A1598" t="str">
        <f t="shared" si="50"/>
        <v>U146444U146444</v>
      </c>
      <c r="B1598" t="str">
        <f t="shared" si="51"/>
        <v>U146444I603283-W</v>
      </c>
      <c r="C1598" s="1" t="s">
        <v>608</v>
      </c>
      <c r="D1598" s="1" t="s">
        <v>609</v>
      </c>
      <c r="E1598" s="1" t="s">
        <v>436</v>
      </c>
      <c r="F1598" s="1" t="s">
        <v>505</v>
      </c>
      <c r="G1598" s="1" t="s">
        <v>438</v>
      </c>
      <c r="H1598" s="1">
        <v>504</v>
      </c>
      <c r="I1598" s="3">
        <v>46273</v>
      </c>
      <c r="J1598" s="3">
        <v>46281</v>
      </c>
      <c r="K1598" s="3" t="s">
        <v>2366</v>
      </c>
      <c r="L1598" s="22">
        <v>46273.555284409718</v>
      </c>
      <c r="M1598" s="20">
        <v>12</v>
      </c>
      <c r="N1598" s="1">
        <v>39</v>
      </c>
    </row>
    <row r="1599" spans="1:14" x14ac:dyDescent="0.25">
      <c r="A1599" t="str">
        <f t="shared" si="50"/>
        <v>U146444U146444</v>
      </c>
      <c r="B1599" t="str">
        <f t="shared" si="51"/>
        <v>U146444I603283-W</v>
      </c>
      <c r="C1599" s="1" t="s">
        <v>608</v>
      </c>
      <c r="D1599" s="1" t="s">
        <v>609</v>
      </c>
      <c r="E1599" s="1" t="s">
        <v>436</v>
      </c>
      <c r="F1599" s="1" t="s">
        <v>505</v>
      </c>
      <c r="G1599" s="1" t="s">
        <v>438</v>
      </c>
      <c r="H1599" s="1">
        <v>504</v>
      </c>
      <c r="I1599" s="3">
        <v>46273</v>
      </c>
      <c r="J1599" s="3">
        <v>46281</v>
      </c>
      <c r="K1599" s="3" t="s">
        <v>2366</v>
      </c>
      <c r="L1599" s="22">
        <v>46273.555677349534</v>
      </c>
      <c r="M1599" s="20">
        <v>12</v>
      </c>
      <c r="N1599" s="1">
        <v>20</v>
      </c>
    </row>
    <row r="1600" spans="1:14" x14ac:dyDescent="0.25">
      <c r="A1600" t="str">
        <f t="shared" si="50"/>
        <v>U146444U146444</v>
      </c>
      <c r="B1600" t="str">
        <f t="shared" si="51"/>
        <v>U146444I603283-W</v>
      </c>
      <c r="C1600" s="1" t="s">
        <v>608</v>
      </c>
      <c r="D1600" s="1" t="s">
        <v>609</v>
      </c>
      <c r="E1600" s="1" t="s">
        <v>436</v>
      </c>
      <c r="F1600" s="1" t="s">
        <v>505</v>
      </c>
      <c r="G1600" s="1" t="s">
        <v>438</v>
      </c>
      <c r="H1600" s="1">
        <v>504</v>
      </c>
      <c r="I1600" s="3">
        <v>46273</v>
      </c>
      <c r="J1600" s="3">
        <v>46281</v>
      </c>
      <c r="K1600" s="3" t="s">
        <v>2366</v>
      </c>
      <c r="L1600" s="22">
        <v>46273.571806481479</v>
      </c>
      <c r="M1600" s="20">
        <v>12</v>
      </c>
      <c r="N1600" s="1">
        <v>38</v>
      </c>
    </row>
    <row r="1601" spans="1:14" x14ac:dyDescent="0.25">
      <c r="A1601" t="str">
        <f t="shared" si="50"/>
        <v>U146444U146444</v>
      </c>
      <c r="B1601" t="str">
        <f t="shared" si="51"/>
        <v>U146444I603283-W</v>
      </c>
      <c r="C1601" s="1" t="s">
        <v>608</v>
      </c>
      <c r="D1601" s="1" t="s">
        <v>609</v>
      </c>
      <c r="E1601" s="1" t="s">
        <v>436</v>
      </c>
      <c r="F1601" s="1" t="s">
        <v>505</v>
      </c>
      <c r="G1601" s="1" t="s">
        <v>438</v>
      </c>
      <c r="H1601" s="1">
        <v>504</v>
      </c>
      <c r="I1601" s="3">
        <v>46273</v>
      </c>
      <c r="J1601" s="3">
        <v>46281</v>
      </c>
      <c r="K1601" s="3" t="s">
        <v>2366</v>
      </c>
      <c r="L1601" s="22">
        <v>46273.572499421294</v>
      </c>
      <c r="M1601" s="20">
        <v>12</v>
      </c>
      <c r="N1601" s="1">
        <v>19</v>
      </c>
    </row>
    <row r="1602" spans="1:14" x14ac:dyDescent="0.25">
      <c r="A1602" t="str">
        <f t="shared" ref="A1602:A1665" si="52">+D1602&amp;D1602</f>
        <v>U146444U146444</v>
      </c>
      <c r="B1602" t="str">
        <f t="shared" ref="B1602:B1665" si="53">+D1602&amp;C1602</f>
        <v>U146444I603283-W</v>
      </c>
      <c r="C1602" s="1" t="s">
        <v>608</v>
      </c>
      <c r="D1602" s="1" t="s">
        <v>609</v>
      </c>
      <c r="E1602" s="1" t="s">
        <v>436</v>
      </c>
      <c r="F1602" s="1" t="s">
        <v>505</v>
      </c>
      <c r="G1602" s="1" t="s">
        <v>438</v>
      </c>
      <c r="H1602" s="1">
        <v>504</v>
      </c>
      <c r="I1602" s="3">
        <v>46273</v>
      </c>
      <c r="J1602" s="3">
        <v>46281</v>
      </c>
      <c r="K1602" s="3" t="s">
        <v>2366</v>
      </c>
      <c r="L1602" s="22">
        <v>46273.586474456017</v>
      </c>
      <c r="M1602" s="20">
        <v>12</v>
      </c>
      <c r="N1602" s="1">
        <v>4</v>
      </c>
    </row>
    <row r="1603" spans="1:14" x14ac:dyDescent="0.25">
      <c r="A1603" t="str">
        <f t="shared" si="52"/>
        <v>U146444U146444</v>
      </c>
      <c r="B1603" t="str">
        <f t="shared" si="53"/>
        <v>U146444I603283-W</v>
      </c>
      <c r="C1603" s="1" t="s">
        <v>608</v>
      </c>
      <c r="D1603" s="1" t="s">
        <v>609</v>
      </c>
      <c r="E1603" s="1" t="s">
        <v>436</v>
      </c>
      <c r="F1603" s="1" t="s">
        <v>505</v>
      </c>
      <c r="G1603" s="1" t="s">
        <v>438</v>
      </c>
      <c r="H1603" s="1">
        <v>504</v>
      </c>
      <c r="I1603" s="3">
        <v>46273</v>
      </c>
      <c r="J1603" s="3">
        <v>46281</v>
      </c>
      <c r="K1603" s="3" t="s">
        <v>2366</v>
      </c>
      <c r="L1603" s="22">
        <v>46273.5867784375</v>
      </c>
      <c r="M1603" s="20">
        <v>12</v>
      </c>
      <c r="N1603" s="1">
        <v>11</v>
      </c>
    </row>
    <row r="1604" spans="1:14" x14ac:dyDescent="0.25">
      <c r="A1604" t="str">
        <f t="shared" si="52"/>
        <v>U146444U146444</v>
      </c>
      <c r="B1604" t="str">
        <f t="shared" si="53"/>
        <v>U146444I603283-W</v>
      </c>
      <c r="C1604" s="1" t="s">
        <v>608</v>
      </c>
      <c r="D1604" s="1" t="s">
        <v>609</v>
      </c>
      <c r="E1604" s="1" t="s">
        <v>436</v>
      </c>
      <c r="F1604" s="1" t="s">
        <v>505</v>
      </c>
      <c r="G1604" s="1" t="s">
        <v>438</v>
      </c>
      <c r="H1604" s="1">
        <v>504</v>
      </c>
      <c r="I1604" s="3">
        <v>46273</v>
      </c>
      <c r="J1604" s="3">
        <v>46281</v>
      </c>
      <c r="K1604" s="3" t="s">
        <v>2366</v>
      </c>
      <c r="L1604" s="22">
        <v>46273.618157870369</v>
      </c>
      <c r="M1604" s="20">
        <v>12</v>
      </c>
      <c r="N1604" s="1">
        <v>7</v>
      </c>
    </row>
    <row r="1605" spans="1:14" x14ac:dyDescent="0.25">
      <c r="A1605" t="str">
        <f t="shared" si="52"/>
        <v>U146444U146444</v>
      </c>
      <c r="B1605" t="str">
        <f t="shared" si="53"/>
        <v>U146444I603283-W</v>
      </c>
      <c r="C1605" s="1" t="s">
        <v>608</v>
      </c>
      <c r="D1605" s="1" t="s">
        <v>609</v>
      </c>
      <c r="E1605" s="1" t="s">
        <v>436</v>
      </c>
      <c r="F1605" s="1" t="s">
        <v>505</v>
      </c>
      <c r="G1605" s="1" t="s">
        <v>438</v>
      </c>
      <c r="H1605" s="1">
        <v>504</v>
      </c>
      <c r="I1605" s="3">
        <v>46273</v>
      </c>
      <c r="J1605" s="3">
        <v>46281</v>
      </c>
      <c r="K1605" s="3" t="s">
        <v>2366</v>
      </c>
      <c r="L1605" s="22">
        <v>46273.634517361112</v>
      </c>
      <c r="M1605" s="20">
        <v>12</v>
      </c>
      <c r="N1605" s="1">
        <v>37</v>
      </c>
    </row>
    <row r="1606" spans="1:14" x14ac:dyDescent="0.25">
      <c r="A1606" t="str">
        <f t="shared" si="52"/>
        <v>U146444U146444</v>
      </c>
      <c r="B1606" t="str">
        <f t="shared" si="53"/>
        <v>U146444I603283-W</v>
      </c>
      <c r="C1606" s="1" t="s">
        <v>608</v>
      </c>
      <c r="D1606" s="1" t="s">
        <v>609</v>
      </c>
      <c r="E1606" s="1" t="s">
        <v>436</v>
      </c>
      <c r="F1606" s="1" t="s">
        <v>505</v>
      </c>
      <c r="G1606" s="1" t="s">
        <v>438</v>
      </c>
      <c r="H1606" s="1">
        <v>504</v>
      </c>
      <c r="I1606" s="3">
        <v>46273</v>
      </c>
      <c r="J1606" s="3">
        <v>46281</v>
      </c>
      <c r="K1606" s="3" t="s">
        <v>2366</v>
      </c>
      <c r="L1606" s="22">
        <v>46273.655582060186</v>
      </c>
      <c r="M1606" s="20">
        <v>12</v>
      </c>
      <c r="N1606" s="1">
        <v>2</v>
      </c>
    </row>
    <row r="1607" spans="1:14" x14ac:dyDescent="0.25">
      <c r="A1607" t="str">
        <f t="shared" si="52"/>
        <v>U146450U146450</v>
      </c>
      <c r="B1607" t="str">
        <f t="shared" si="53"/>
        <v>U146450P60394T-M</v>
      </c>
      <c r="C1607" s="1" t="s">
        <v>49</v>
      </c>
      <c r="D1607" s="1" t="s">
        <v>604</v>
      </c>
      <c r="E1607" s="1" t="s">
        <v>436</v>
      </c>
      <c r="F1607" s="1" t="s">
        <v>437</v>
      </c>
      <c r="G1607" s="1" t="s">
        <v>438</v>
      </c>
      <c r="H1607" s="1">
        <v>648</v>
      </c>
      <c r="I1607" s="3">
        <v>46273</v>
      </c>
      <c r="J1607" s="3">
        <v>46274</v>
      </c>
      <c r="K1607" s="3" t="s">
        <v>2361</v>
      </c>
      <c r="L1607" s="22">
        <v>46273.354567627313</v>
      </c>
      <c r="M1607" s="20">
        <v>12</v>
      </c>
      <c r="N1607" s="1">
        <v>1</v>
      </c>
    </row>
    <row r="1608" spans="1:14" x14ac:dyDescent="0.25">
      <c r="A1608" t="str">
        <f t="shared" si="52"/>
        <v>U146450U146450</v>
      </c>
      <c r="B1608" t="str">
        <f t="shared" si="53"/>
        <v>U146450P60394T-M</v>
      </c>
      <c r="C1608" s="1" t="s">
        <v>49</v>
      </c>
      <c r="D1608" s="1" t="s">
        <v>604</v>
      </c>
      <c r="E1608" s="1" t="s">
        <v>436</v>
      </c>
      <c r="F1608" s="1" t="s">
        <v>437</v>
      </c>
      <c r="G1608" s="1" t="s">
        <v>438</v>
      </c>
      <c r="H1608" s="1">
        <v>648</v>
      </c>
      <c r="I1608" s="3">
        <v>46273</v>
      </c>
      <c r="J1608" s="3">
        <v>46274</v>
      </c>
      <c r="K1608" s="3" t="s">
        <v>2361</v>
      </c>
      <c r="L1608" s="22">
        <v>46273.354754398148</v>
      </c>
      <c r="M1608" s="20">
        <v>12</v>
      </c>
      <c r="N1608" s="1">
        <v>34</v>
      </c>
    </row>
    <row r="1609" spans="1:14" x14ac:dyDescent="0.25">
      <c r="A1609" t="str">
        <f t="shared" si="52"/>
        <v>U146450U146450</v>
      </c>
      <c r="B1609" t="str">
        <f t="shared" si="53"/>
        <v>U146450P60394T-M</v>
      </c>
      <c r="C1609" s="1" t="s">
        <v>49</v>
      </c>
      <c r="D1609" s="1" t="s">
        <v>604</v>
      </c>
      <c r="E1609" s="1" t="s">
        <v>436</v>
      </c>
      <c r="F1609" s="1" t="s">
        <v>437</v>
      </c>
      <c r="G1609" s="1" t="s">
        <v>438</v>
      </c>
      <c r="H1609" s="1">
        <v>648</v>
      </c>
      <c r="I1609" s="3">
        <v>46273</v>
      </c>
      <c r="J1609" s="3">
        <v>46274</v>
      </c>
      <c r="K1609" s="3" t="s">
        <v>2361</v>
      </c>
      <c r="L1609" s="22">
        <v>46273.354918020828</v>
      </c>
      <c r="M1609" s="20">
        <v>12</v>
      </c>
      <c r="N1609" s="1">
        <v>44</v>
      </c>
    </row>
    <row r="1610" spans="1:14" x14ac:dyDescent="0.25">
      <c r="A1610" t="str">
        <f t="shared" si="52"/>
        <v>U146450U146450</v>
      </c>
      <c r="B1610" t="str">
        <f t="shared" si="53"/>
        <v>U146450P60394T-M</v>
      </c>
      <c r="C1610" s="1" t="s">
        <v>49</v>
      </c>
      <c r="D1610" s="1" t="s">
        <v>604</v>
      </c>
      <c r="E1610" s="1" t="s">
        <v>436</v>
      </c>
      <c r="F1610" s="1" t="s">
        <v>437</v>
      </c>
      <c r="G1610" s="1" t="s">
        <v>438</v>
      </c>
      <c r="H1610" s="1">
        <v>648</v>
      </c>
      <c r="I1610" s="3">
        <v>46273</v>
      </c>
      <c r="J1610" s="3">
        <v>46274</v>
      </c>
      <c r="K1610" s="3" t="s">
        <v>2361</v>
      </c>
      <c r="L1610" s="22">
        <v>46273.355239085649</v>
      </c>
      <c r="M1610" s="20">
        <v>12</v>
      </c>
      <c r="N1610" s="1">
        <v>7</v>
      </c>
    </row>
    <row r="1611" spans="1:14" x14ac:dyDescent="0.25">
      <c r="A1611" t="str">
        <f t="shared" si="52"/>
        <v>U146450U146450</v>
      </c>
      <c r="B1611" t="str">
        <f t="shared" si="53"/>
        <v>U146450P60394T-M</v>
      </c>
      <c r="C1611" s="1" t="s">
        <v>49</v>
      </c>
      <c r="D1611" s="1" t="s">
        <v>604</v>
      </c>
      <c r="E1611" s="1" t="s">
        <v>436</v>
      </c>
      <c r="F1611" s="1" t="s">
        <v>437</v>
      </c>
      <c r="G1611" s="1" t="s">
        <v>438</v>
      </c>
      <c r="H1611" s="1">
        <v>648</v>
      </c>
      <c r="I1611" s="3">
        <v>46273</v>
      </c>
      <c r="J1611" s="3">
        <v>46274</v>
      </c>
      <c r="K1611" s="3" t="s">
        <v>2361</v>
      </c>
      <c r="L1611" s="22">
        <v>46273.355397372681</v>
      </c>
      <c r="M1611" s="20">
        <v>12</v>
      </c>
      <c r="N1611" s="1">
        <v>22</v>
      </c>
    </row>
    <row r="1612" spans="1:14" x14ac:dyDescent="0.25">
      <c r="A1612" t="str">
        <f t="shared" si="52"/>
        <v>U146450U146450</v>
      </c>
      <c r="B1612" t="str">
        <f t="shared" si="53"/>
        <v>U146450P60394T-M</v>
      </c>
      <c r="C1612" s="1" t="s">
        <v>49</v>
      </c>
      <c r="D1612" s="1" t="s">
        <v>604</v>
      </c>
      <c r="E1612" s="1" t="s">
        <v>436</v>
      </c>
      <c r="F1612" s="1" t="s">
        <v>437</v>
      </c>
      <c r="G1612" s="1" t="s">
        <v>438</v>
      </c>
      <c r="H1612" s="1">
        <v>648</v>
      </c>
      <c r="I1612" s="3">
        <v>46273</v>
      </c>
      <c r="J1612" s="3">
        <v>46274</v>
      </c>
      <c r="K1612" s="3" t="s">
        <v>2361</v>
      </c>
      <c r="L1612" s="22">
        <v>46273.355719479165</v>
      </c>
      <c r="M1612" s="20">
        <v>12</v>
      </c>
      <c r="N1612" s="1">
        <v>3</v>
      </c>
    </row>
    <row r="1613" spans="1:14" x14ac:dyDescent="0.25">
      <c r="A1613" t="str">
        <f t="shared" si="52"/>
        <v>U146450U146450</v>
      </c>
      <c r="B1613" t="str">
        <f t="shared" si="53"/>
        <v>U146450P60394T-M</v>
      </c>
      <c r="C1613" s="1" t="s">
        <v>49</v>
      </c>
      <c r="D1613" s="1" t="s">
        <v>604</v>
      </c>
      <c r="E1613" s="1" t="s">
        <v>436</v>
      </c>
      <c r="F1613" s="1" t="s">
        <v>437</v>
      </c>
      <c r="G1613" s="1" t="s">
        <v>438</v>
      </c>
      <c r="H1613" s="1">
        <v>648</v>
      </c>
      <c r="I1613" s="3">
        <v>46273</v>
      </c>
      <c r="J1613" s="3">
        <v>46274</v>
      </c>
      <c r="K1613" s="3" t="s">
        <v>2361</v>
      </c>
      <c r="L1613" s="22">
        <v>46273.355873807872</v>
      </c>
      <c r="M1613" s="20">
        <v>12</v>
      </c>
      <c r="N1613" s="1">
        <v>21</v>
      </c>
    </row>
    <row r="1614" spans="1:14" x14ac:dyDescent="0.25">
      <c r="A1614" t="str">
        <f t="shared" si="52"/>
        <v>U146450U146450</v>
      </c>
      <c r="B1614" t="str">
        <f t="shared" si="53"/>
        <v>U146450P60394T-M</v>
      </c>
      <c r="C1614" s="1" t="s">
        <v>49</v>
      </c>
      <c r="D1614" s="1" t="s">
        <v>604</v>
      </c>
      <c r="E1614" s="1" t="s">
        <v>436</v>
      </c>
      <c r="F1614" s="1" t="s">
        <v>437</v>
      </c>
      <c r="G1614" s="1" t="s">
        <v>438</v>
      </c>
      <c r="H1614" s="1">
        <v>648</v>
      </c>
      <c r="I1614" s="3">
        <v>46273</v>
      </c>
      <c r="J1614" s="3">
        <v>46274</v>
      </c>
      <c r="K1614" s="3" t="s">
        <v>2361</v>
      </c>
      <c r="L1614" s="22">
        <v>46273.356667326385</v>
      </c>
      <c r="M1614" s="20">
        <v>12</v>
      </c>
      <c r="N1614" s="1">
        <v>33</v>
      </c>
    </row>
    <row r="1615" spans="1:14" x14ac:dyDescent="0.25">
      <c r="A1615" t="str">
        <f t="shared" si="52"/>
        <v>U146450U146450</v>
      </c>
      <c r="B1615" t="str">
        <f t="shared" si="53"/>
        <v>U146450P60394T-M</v>
      </c>
      <c r="C1615" s="1" t="s">
        <v>49</v>
      </c>
      <c r="D1615" s="1" t="s">
        <v>604</v>
      </c>
      <c r="E1615" s="1" t="s">
        <v>436</v>
      </c>
      <c r="F1615" s="1" t="s">
        <v>437</v>
      </c>
      <c r="G1615" s="1" t="s">
        <v>438</v>
      </c>
      <c r="H1615" s="1">
        <v>648</v>
      </c>
      <c r="I1615" s="3">
        <v>46273</v>
      </c>
      <c r="J1615" s="3">
        <v>46274</v>
      </c>
      <c r="K1615" s="3" t="s">
        <v>2361</v>
      </c>
      <c r="L1615" s="22">
        <v>46273.356825347219</v>
      </c>
      <c r="M1615" s="20">
        <v>12</v>
      </c>
      <c r="N1615" s="1">
        <v>45</v>
      </c>
    </row>
    <row r="1616" spans="1:14" x14ac:dyDescent="0.25">
      <c r="A1616" t="str">
        <f t="shared" si="52"/>
        <v>U146450U146450</v>
      </c>
      <c r="B1616" t="str">
        <f t="shared" si="53"/>
        <v>U146450P60394T-M</v>
      </c>
      <c r="C1616" s="1" t="s">
        <v>49</v>
      </c>
      <c r="D1616" s="1" t="s">
        <v>604</v>
      </c>
      <c r="E1616" s="1" t="s">
        <v>436</v>
      </c>
      <c r="F1616" s="1" t="s">
        <v>437</v>
      </c>
      <c r="G1616" s="1" t="s">
        <v>438</v>
      </c>
      <c r="H1616" s="1">
        <v>648</v>
      </c>
      <c r="I1616" s="3">
        <v>46273</v>
      </c>
      <c r="J1616" s="3">
        <v>46274</v>
      </c>
      <c r="K1616" s="3" t="s">
        <v>2361</v>
      </c>
      <c r="L1616" s="22">
        <v>46273.363571759255</v>
      </c>
      <c r="M1616" s="20">
        <v>12</v>
      </c>
      <c r="N1616" s="1">
        <v>16</v>
      </c>
    </row>
    <row r="1617" spans="1:14" x14ac:dyDescent="0.25">
      <c r="A1617" t="str">
        <f t="shared" si="52"/>
        <v>U146450U146450</v>
      </c>
      <c r="B1617" t="str">
        <f t="shared" si="53"/>
        <v>U146450P60394T-M</v>
      </c>
      <c r="C1617" s="1" t="s">
        <v>49</v>
      </c>
      <c r="D1617" s="1" t="s">
        <v>604</v>
      </c>
      <c r="E1617" s="1" t="s">
        <v>436</v>
      </c>
      <c r="F1617" s="1" t="s">
        <v>437</v>
      </c>
      <c r="G1617" s="1" t="s">
        <v>438</v>
      </c>
      <c r="H1617" s="1">
        <v>648</v>
      </c>
      <c r="I1617" s="3">
        <v>46273</v>
      </c>
      <c r="J1617" s="3">
        <v>46274</v>
      </c>
      <c r="K1617" s="3" t="s">
        <v>2361</v>
      </c>
      <c r="L1617" s="22">
        <v>46273.364368831019</v>
      </c>
      <c r="M1617" s="20">
        <v>12</v>
      </c>
      <c r="N1617" s="1">
        <v>17</v>
      </c>
    </row>
    <row r="1618" spans="1:14" x14ac:dyDescent="0.25">
      <c r="A1618" t="str">
        <f t="shared" si="52"/>
        <v>U146450U146450</v>
      </c>
      <c r="B1618" t="str">
        <f t="shared" si="53"/>
        <v>U146450P60394T-M</v>
      </c>
      <c r="C1618" s="1" t="s">
        <v>49</v>
      </c>
      <c r="D1618" s="1" t="s">
        <v>604</v>
      </c>
      <c r="E1618" s="1" t="s">
        <v>436</v>
      </c>
      <c r="F1618" s="1" t="s">
        <v>437</v>
      </c>
      <c r="G1618" s="1" t="s">
        <v>438</v>
      </c>
      <c r="H1618" s="1">
        <v>648</v>
      </c>
      <c r="I1618" s="3">
        <v>46273</v>
      </c>
      <c r="J1618" s="3">
        <v>46274</v>
      </c>
      <c r="K1618" s="3" t="s">
        <v>2361</v>
      </c>
      <c r="L1618" s="22">
        <v>46273.364822303236</v>
      </c>
      <c r="M1618" s="20">
        <v>12</v>
      </c>
      <c r="N1618" s="1">
        <v>46</v>
      </c>
    </row>
    <row r="1619" spans="1:14" x14ac:dyDescent="0.25">
      <c r="A1619" t="str">
        <f t="shared" si="52"/>
        <v>U146450U146450</v>
      </c>
      <c r="B1619" t="str">
        <f t="shared" si="53"/>
        <v>U146450P60394T-M</v>
      </c>
      <c r="C1619" s="1" t="s">
        <v>49</v>
      </c>
      <c r="D1619" s="1" t="s">
        <v>604</v>
      </c>
      <c r="E1619" s="1" t="s">
        <v>436</v>
      </c>
      <c r="F1619" s="1" t="s">
        <v>437</v>
      </c>
      <c r="G1619" s="1" t="s">
        <v>438</v>
      </c>
      <c r="H1619" s="1">
        <v>648</v>
      </c>
      <c r="I1619" s="3">
        <v>46273</v>
      </c>
      <c r="J1619" s="3">
        <v>46274</v>
      </c>
      <c r="K1619" s="3" t="s">
        <v>2361</v>
      </c>
      <c r="L1619" s="22">
        <v>46273.365363159719</v>
      </c>
      <c r="M1619" s="20">
        <v>12</v>
      </c>
      <c r="N1619" s="1">
        <v>26</v>
      </c>
    </row>
    <row r="1620" spans="1:14" x14ac:dyDescent="0.25">
      <c r="A1620" t="str">
        <f t="shared" si="52"/>
        <v>U146450U146450</v>
      </c>
      <c r="B1620" t="str">
        <f t="shared" si="53"/>
        <v>U146450P60394T-M</v>
      </c>
      <c r="C1620" s="1" t="s">
        <v>49</v>
      </c>
      <c r="D1620" s="1" t="s">
        <v>604</v>
      </c>
      <c r="E1620" s="1" t="s">
        <v>436</v>
      </c>
      <c r="F1620" s="1" t="s">
        <v>437</v>
      </c>
      <c r="G1620" s="1" t="s">
        <v>438</v>
      </c>
      <c r="H1620" s="1">
        <v>648</v>
      </c>
      <c r="I1620" s="3">
        <v>46273</v>
      </c>
      <c r="J1620" s="3">
        <v>46274</v>
      </c>
      <c r="K1620" s="3" t="s">
        <v>2361</v>
      </c>
      <c r="L1620" s="22">
        <v>46273.367775844905</v>
      </c>
      <c r="M1620" s="20">
        <v>12</v>
      </c>
      <c r="N1620" s="1">
        <v>47</v>
      </c>
    </row>
    <row r="1621" spans="1:14" x14ac:dyDescent="0.25">
      <c r="A1621" t="str">
        <f t="shared" si="52"/>
        <v>U146450U146450</v>
      </c>
      <c r="B1621" t="str">
        <f t="shared" si="53"/>
        <v>U146450P60394T-M</v>
      </c>
      <c r="C1621" s="1" t="s">
        <v>49</v>
      </c>
      <c r="D1621" s="1" t="s">
        <v>604</v>
      </c>
      <c r="E1621" s="1" t="s">
        <v>436</v>
      </c>
      <c r="F1621" s="1" t="s">
        <v>437</v>
      </c>
      <c r="G1621" s="1" t="s">
        <v>438</v>
      </c>
      <c r="H1621" s="1">
        <v>648</v>
      </c>
      <c r="I1621" s="3">
        <v>46273</v>
      </c>
      <c r="J1621" s="3">
        <v>46274</v>
      </c>
      <c r="K1621" s="3" t="s">
        <v>2361</v>
      </c>
      <c r="L1621" s="22">
        <v>46273.368052164347</v>
      </c>
      <c r="M1621" s="20">
        <v>12</v>
      </c>
      <c r="N1621" s="1">
        <v>25</v>
      </c>
    </row>
    <row r="1622" spans="1:14" x14ac:dyDescent="0.25">
      <c r="A1622" t="str">
        <f t="shared" si="52"/>
        <v>U146450U146450</v>
      </c>
      <c r="B1622" t="str">
        <f t="shared" si="53"/>
        <v>U146450P60394T-M</v>
      </c>
      <c r="C1622" s="1" t="s">
        <v>49</v>
      </c>
      <c r="D1622" s="1" t="s">
        <v>604</v>
      </c>
      <c r="E1622" s="1" t="s">
        <v>436</v>
      </c>
      <c r="F1622" s="1" t="s">
        <v>437</v>
      </c>
      <c r="G1622" s="1" t="s">
        <v>438</v>
      </c>
      <c r="H1622" s="1">
        <v>648</v>
      </c>
      <c r="I1622" s="3">
        <v>46273</v>
      </c>
      <c r="J1622" s="3">
        <v>46274</v>
      </c>
      <c r="K1622" s="3" t="s">
        <v>2361</v>
      </c>
      <c r="L1622" s="22">
        <v>46273.401989120372</v>
      </c>
      <c r="M1622" s="20">
        <v>12</v>
      </c>
      <c r="N1622" s="1">
        <v>6</v>
      </c>
    </row>
    <row r="1623" spans="1:14" x14ac:dyDescent="0.25">
      <c r="A1623" t="str">
        <f t="shared" si="52"/>
        <v>U146450U146450</v>
      </c>
      <c r="B1623" t="str">
        <f t="shared" si="53"/>
        <v>U146450P60394T-M</v>
      </c>
      <c r="C1623" s="1" t="s">
        <v>49</v>
      </c>
      <c r="D1623" s="1" t="s">
        <v>604</v>
      </c>
      <c r="E1623" s="1" t="s">
        <v>436</v>
      </c>
      <c r="F1623" s="1" t="s">
        <v>437</v>
      </c>
      <c r="G1623" s="1" t="s">
        <v>438</v>
      </c>
      <c r="H1623" s="1">
        <v>648</v>
      </c>
      <c r="I1623" s="3">
        <v>46273</v>
      </c>
      <c r="J1623" s="3">
        <v>46274</v>
      </c>
      <c r="K1623" s="3" t="s">
        <v>2361</v>
      </c>
      <c r="L1623" s="22">
        <v>46273.402143715277</v>
      </c>
      <c r="M1623" s="20">
        <v>12</v>
      </c>
      <c r="N1623" s="1">
        <v>36</v>
      </c>
    </row>
    <row r="1624" spans="1:14" x14ac:dyDescent="0.25">
      <c r="A1624" t="str">
        <f t="shared" si="52"/>
        <v>U146450U146450</v>
      </c>
      <c r="B1624" t="str">
        <f t="shared" si="53"/>
        <v>U146450P60394T-M</v>
      </c>
      <c r="C1624" s="1" t="s">
        <v>49</v>
      </c>
      <c r="D1624" s="1" t="s">
        <v>604</v>
      </c>
      <c r="E1624" s="1" t="s">
        <v>436</v>
      </c>
      <c r="F1624" s="1" t="s">
        <v>437</v>
      </c>
      <c r="G1624" s="1" t="s">
        <v>438</v>
      </c>
      <c r="H1624" s="1">
        <v>648</v>
      </c>
      <c r="I1624" s="3">
        <v>46273</v>
      </c>
      <c r="J1624" s="3">
        <v>46274</v>
      </c>
      <c r="K1624" s="3" t="s">
        <v>2361</v>
      </c>
      <c r="L1624" s="22">
        <v>46273.402383715278</v>
      </c>
      <c r="M1624" s="20">
        <v>12</v>
      </c>
      <c r="N1624" s="1">
        <v>35</v>
      </c>
    </row>
    <row r="1625" spans="1:14" x14ac:dyDescent="0.25">
      <c r="A1625" t="str">
        <f t="shared" si="52"/>
        <v>U146450U146450</v>
      </c>
      <c r="B1625" t="str">
        <f t="shared" si="53"/>
        <v>U146450P60394T-M</v>
      </c>
      <c r="C1625" s="1" t="s">
        <v>49</v>
      </c>
      <c r="D1625" s="1" t="s">
        <v>604</v>
      </c>
      <c r="E1625" s="1" t="s">
        <v>436</v>
      </c>
      <c r="F1625" s="1" t="s">
        <v>437</v>
      </c>
      <c r="G1625" s="1" t="s">
        <v>438</v>
      </c>
      <c r="H1625" s="1">
        <v>648</v>
      </c>
      <c r="I1625" s="3">
        <v>46273</v>
      </c>
      <c r="J1625" s="3">
        <v>46274</v>
      </c>
      <c r="K1625" s="3" t="s">
        <v>2361</v>
      </c>
      <c r="L1625" s="22">
        <v>46273.402717013887</v>
      </c>
      <c r="M1625" s="20">
        <v>12</v>
      </c>
      <c r="N1625" s="1">
        <v>32</v>
      </c>
    </row>
    <row r="1626" spans="1:14" x14ac:dyDescent="0.25">
      <c r="A1626" t="str">
        <f t="shared" si="52"/>
        <v>U146450U146450</v>
      </c>
      <c r="B1626" t="str">
        <f t="shared" si="53"/>
        <v>U146450P60394T-M</v>
      </c>
      <c r="C1626" s="1" t="s">
        <v>49</v>
      </c>
      <c r="D1626" s="1" t="s">
        <v>604</v>
      </c>
      <c r="E1626" s="1" t="s">
        <v>436</v>
      </c>
      <c r="F1626" s="1" t="s">
        <v>437</v>
      </c>
      <c r="G1626" s="1" t="s">
        <v>438</v>
      </c>
      <c r="H1626" s="1">
        <v>648</v>
      </c>
      <c r="I1626" s="3">
        <v>46273</v>
      </c>
      <c r="J1626" s="3">
        <v>46274</v>
      </c>
      <c r="K1626" s="3" t="s">
        <v>2361</v>
      </c>
      <c r="L1626" s="22">
        <v>46273.403041585647</v>
      </c>
      <c r="M1626" s="20">
        <v>12</v>
      </c>
      <c r="N1626" s="1">
        <v>2</v>
      </c>
    </row>
    <row r="1627" spans="1:14" x14ac:dyDescent="0.25">
      <c r="A1627" t="str">
        <f t="shared" si="52"/>
        <v>U146450U146450</v>
      </c>
      <c r="B1627" t="str">
        <f t="shared" si="53"/>
        <v>U146450P60394T-M</v>
      </c>
      <c r="C1627" s="1" t="s">
        <v>49</v>
      </c>
      <c r="D1627" s="1" t="s">
        <v>604</v>
      </c>
      <c r="E1627" s="1" t="s">
        <v>436</v>
      </c>
      <c r="F1627" s="1" t="s">
        <v>437</v>
      </c>
      <c r="G1627" s="1" t="s">
        <v>438</v>
      </c>
      <c r="H1627" s="1">
        <v>648</v>
      </c>
      <c r="I1627" s="3">
        <v>46273</v>
      </c>
      <c r="J1627" s="3">
        <v>46274</v>
      </c>
      <c r="K1627" s="3" t="s">
        <v>2361</v>
      </c>
      <c r="L1627" s="22">
        <v>46273.403336608797</v>
      </c>
      <c r="M1627" s="20">
        <v>12</v>
      </c>
      <c r="N1627" s="1">
        <v>23</v>
      </c>
    </row>
    <row r="1628" spans="1:14" x14ac:dyDescent="0.25">
      <c r="A1628" t="str">
        <f t="shared" si="52"/>
        <v>U146450U146450</v>
      </c>
      <c r="B1628" t="str">
        <f t="shared" si="53"/>
        <v>U146450P60394T-M</v>
      </c>
      <c r="C1628" s="1" t="s">
        <v>49</v>
      </c>
      <c r="D1628" s="1" t="s">
        <v>604</v>
      </c>
      <c r="E1628" s="1" t="s">
        <v>436</v>
      </c>
      <c r="F1628" s="1" t="s">
        <v>437</v>
      </c>
      <c r="G1628" s="1" t="s">
        <v>438</v>
      </c>
      <c r="H1628" s="1">
        <v>648</v>
      </c>
      <c r="I1628" s="3">
        <v>46273</v>
      </c>
      <c r="J1628" s="3">
        <v>46274</v>
      </c>
      <c r="K1628" s="3" t="s">
        <v>2361</v>
      </c>
      <c r="L1628" s="22">
        <v>46273.403476354164</v>
      </c>
      <c r="M1628" s="20">
        <v>12</v>
      </c>
      <c r="N1628" s="1">
        <v>50</v>
      </c>
    </row>
    <row r="1629" spans="1:14" x14ac:dyDescent="0.25">
      <c r="A1629" t="str">
        <f t="shared" si="52"/>
        <v>U146450U146450</v>
      </c>
      <c r="B1629" t="str">
        <f t="shared" si="53"/>
        <v>U146450P60394T-M</v>
      </c>
      <c r="C1629" s="1" t="s">
        <v>49</v>
      </c>
      <c r="D1629" s="1" t="s">
        <v>604</v>
      </c>
      <c r="E1629" s="1" t="s">
        <v>436</v>
      </c>
      <c r="F1629" s="1" t="s">
        <v>437</v>
      </c>
      <c r="G1629" s="1" t="s">
        <v>438</v>
      </c>
      <c r="H1629" s="1">
        <v>648</v>
      </c>
      <c r="I1629" s="3">
        <v>46273</v>
      </c>
      <c r="J1629" s="3">
        <v>46274</v>
      </c>
      <c r="K1629" s="3" t="s">
        <v>2361</v>
      </c>
      <c r="L1629" s="22">
        <v>46273.403629432869</v>
      </c>
      <c r="M1629" s="20">
        <v>12</v>
      </c>
      <c r="N1629" s="1">
        <v>12</v>
      </c>
    </row>
    <row r="1630" spans="1:14" x14ac:dyDescent="0.25">
      <c r="A1630" t="str">
        <f t="shared" si="52"/>
        <v>U146450U146450</v>
      </c>
      <c r="B1630" t="str">
        <f t="shared" si="53"/>
        <v>U146450P60394T-M</v>
      </c>
      <c r="C1630" s="1" t="s">
        <v>49</v>
      </c>
      <c r="D1630" s="1" t="s">
        <v>604</v>
      </c>
      <c r="E1630" s="1" t="s">
        <v>436</v>
      </c>
      <c r="F1630" s="1" t="s">
        <v>437</v>
      </c>
      <c r="G1630" s="1" t="s">
        <v>438</v>
      </c>
      <c r="H1630" s="1">
        <v>648</v>
      </c>
      <c r="I1630" s="3">
        <v>46273</v>
      </c>
      <c r="J1630" s="3">
        <v>46274</v>
      </c>
      <c r="K1630" s="3" t="s">
        <v>2361</v>
      </c>
      <c r="L1630" s="22">
        <v>46273.403803275462</v>
      </c>
      <c r="M1630" s="20">
        <v>12</v>
      </c>
      <c r="N1630" s="1">
        <v>18</v>
      </c>
    </row>
    <row r="1631" spans="1:14" x14ac:dyDescent="0.25">
      <c r="A1631" t="str">
        <f t="shared" si="52"/>
        <v>U146450U146450</v>
      </c>
      <c r="B1631" t="str">
        <f t="shared" si="53"/>
        <v>U146450P60394T-M</v>
      </c>
      <c r="C1631" s="1" t="s">
        <v>49</v>
      </c>
      <c r="D1631" s="1" t="s">
        <v>604</v>
      </c>
      <c r="E1631" s="1" t="s">
        <v>436</v>
      </c>
      <c r="F1631" s="1" t="s">
        <v>437</v>
      </c>
      <c r="G1631" s="1" t="s">
        <v>438</v>
      </c>
      <c r="H1631" s="1">
        <v>648</v>
      </c>
      <c r="I1631" s="3">
        <v>46273</v>
      </c>
      <c r="J1631" s="3">
        <v>46274</v>
      </c>
      <c r="K1631" s="3" t="s">
        <v>2361</v>
      </c>
      <c r="L1631" s="22">
        <v>46273.404118136576</v>
      </c>
      <c r="M1631" s="20">
        <v>12</v>
      </c>
      <c r="N1631" s="1">
        <v>19</v>
      </c>
    </row>
    <row r="1632" spans="1:14" x14ac:dyDescent="0.25">
      <c r="A1632" t="str">
        <f t="shared" si="52"/>
        <v>U146450U146450</v>
      </c>
      <c r="B1632" t="str">
        <f t="shared" si="53"/>
        <v>U146450P60394T-M</v>
      </c>
      <c r="C1632" s="1" t="s">
        <v>49</v>
      </c>
      <c r="D1632" s="1" t="s">
        <v>604</v>
      </c>
      <c r="E1632" s="1" t="s">
        <v>436</v>
      </c>
      <c r="F1632" s="1" t="s">
        <v>437</v>
      </c>
      <c r="G1632" s="1" t="s">
        <v>438</v>
      </c>
      <c r="H1632" s="1">
        <v>648</v>
      </c>
      <c r="I1632" s="3">
        <v>46273</v>
      </c>
      <c r="J1632" s="3">
        <v>46274</v>
      </c>
      <c r="K1632" s="3" t="s">
        <v>2361</v>
      </c>
      <c r="L1632" s="22">
        <v>46273.405736458335</v>
      </c>
      <c r="M1632" s="20">
        <v>12</v>
      </c>
      <c r="N1632" s="1">
        <v>27</v>
      </c>
    </row>
    <row r="1633" spans="1:14" x14ac:dyDescent="0.25">
      <c r="A1633" t="str">
        <f t="shared" si="52"/>
        <v>U146450U146450</v>
      </c>
      <c r="B1633" t="str">
        <f t="shared" si="53"/>
        <v>U146450P60394T-M</v>
      </c>
      <c r="C1633" s="1" t="s">
        <v>49</v>
      </c>
      <c r="D1633" s="1" t="s">
        <v>604</v>
      </c>
      <c r="E1633" s="1" t="s">
        <v>436</v>
      </c>
      <c r="F1633" s="1" t="s">
        <v>437</v>
      </c>
      <c r="G1633" s="1" t="s">
        <v>438</v>
      </c>
      <c r="H1633" s="1">
        <v>648</v>
      </c>
      <c r="I1633" s="3">
        <v>46273</v>
      </c>
      <c r="J1633" s="3">
        <v>46274</v>
      </c>
      <c r="K1633" s="3" t="s">
        <v>2361</v>
      </c>
      <c r="L1633" s="22">
        <v>46273.418485300921</v>
      </c>
      <c r="M1633" s="20">
        <v>12</v>
      </c>
      <c r="N1633" s="1">
        <v>5</v>
      </c>
    </row>
    <row r="1634" spans="1:14" x14ac:dyDescent="0.25">
      <c r="A1634" t="str">
        <f t="shared" si="52"/>
        <v>U146450U146450</v>
      </c>
      <c r="B1634" t="str">
        <f t="shared" si="53"/>
        <v>U146450P60394T-M</v>
      </c>
      <c r="C1634" s="1" t="s">
        <v>49</v>
      </c>
      <c r="D1634" s="1" t="s">
        <v>604</v>
      </c>
      <c r="E1634" s="1" t="s">
        <v>436</v>
      </c>
      <c r="F1634" s="1" t="s">
        <v>437</v>
      </c>
      <c r="G1634" s="1" t="s">
        <v>438</v>
      </c>
      <c r="H1634" s="1">
        <v>648</v>
      </c>
      <c r="I1634" s="3">
        <v>46273</v>
      </c>
      <c r="J1634" s="3">
        <v>46274</v>
      </c>
      <c r="K1634" s="3" t="s">
        <v>2361</v>
      </c>
      <c r="L1634" s="22">
        <v>46273.419130752314</v>
      </c>
      <c r="M1634" s="20">
        <v>12</v>
      </c>
      <c r="N1634" s="1">
        <v>28</v>
      </c>
    </row>
    <row r="1635" spans="1:14" x14ac:dyDescent="0.25">
      <c r="A1635" t="str">
        <f t="shared" si="52"/>
        <v>U146450U146450</v>
      </c>
      <c r="B1635" t="str">
        <f t="shared" si="53"/>
        <v>U146450P60394T-M</v>
      </c>
      <c r="C1635" s="1" t="s">
        <v>49</v>
      </c>
      <c r="D1635" s="1" t="s">
        <v>604</v>
      </c>
      <c r="E1635" s="1" t="s">
        <v>436</v>
      </c>
      <c r="F1635" s="1" t="s">
        <v>437</v>
      </c>
      <c r="G1635" s="1" t="s">
        <v>438</v>
      </c>
      <c r="H1635" s="1">
        <v>648</v>
      </c>
      <c r="I1635" s="3">
        <v>46273</v>
      </c>
      <c r="J1635" s="3">
        <v>46274</v>
      </c>
      <c r="K1635" s="3" t="s">
        <v>2361</v>
      </c>
      <c r="L1635" s="22">
        <v>46273.450761724533</v>
      </c>
      <c r="M1635" s="20">
        <v>12</v>
      </c>
      <c r="N1635" s="1">
        <v>29</v>
      </c>
    </row>
    <row r="1636" spans="1:14" x14ac:dyDescent="0.25">
      <c r="A1636" t="str">
        <f t="shared" si="52"/>
        <v>U146450U146450</v>
      </c>
      <c r="B1636" t="str">
        <f t="shared" si="53"/>
        <v>U146450P60394T-M</v>
      </c>
      <c r="C1636" s="1" t="s">
        <v>49</v>
      </c>
      <c r="D1636" s="1" t="s">
        <v>604</v>
      </c>
      <c r="E1636" s="1" t="s">
        <v>436</v>
      </c>
      <c r="F1636" s="1" t="s">
        <v>437</v>
      </c>
      <c r="G1636" s="1" t="s">
        <v>438</v>
      </c>
      <c r="H1636" s="1">
        <v>648</v>
      </c>
      <c r="I1636" s="3">
        <v>46273</v>
      </c>
      <c r="J1636" s="3">
        <v>46274</v>
      </c>
      <c r="K1636" s="3" t="s">
        <v>2361</v>
      </c>
      <c r="L1636" s="22">
        <v>46273.45092855324</v>
      </c>
      <c r="M1636" s="20">
        <v>12</v>
      </c>
      <c r="N1636" s="1">
        <v>51</v>
      </c>
    </row>
    <row r="1637" spans="1:14" x14ac:dyDescent="0.25">
      <c r="A1637" t="str">
        <f t="shared" si="52"/>
        <v>U146450U146450</v>
      </c>
      <c r="B1637" t="str">
        <f t="shared" si="53"/>
        <v>U146450P60394T-M</v>
      </c>
      <c r="C1637" s="1" t="s">
        <v>49</v>
      </c>
      <c r="D1637" s="1" t="s">
        <v>604</v>
      </c>
      <c r="E1637" s="1" t="s">
        <v>436</v>
      </c>
      <c r="F1637" s="1" t="s">
        <v>437</v>
      </c>
      <c r="G1637" s="1" t="s">
        <v>438</v>
      </c>
      <c r="H1637" s="1">
        <v>648</v>
      </c>
      <c r="I1637" s="3">
        <v>46273</v>
      </c>
      <c r="J1637" s="3">
        <v>46274</v>
      </c>
      <c r="K1637" s="3" t="s">
        <v>2361</v>
      </c>
      <c r="L1637" s="22">
        <v>46273.451234259257</v>
      </c>
      <c r="M1637" s="20">
        <v>12</v>
      </c>
      <c r="N1637" s="1">
        <v>38</v>
      </c>
    </row>
    <row r="1638" spans="1:14" x14ac:dyDescent="0.25">
      <c r="A1638" t="str">
        <f t="shared" si="52"/>
        <v>U146450U146450</v>
      </c>
      <c r="B1638" t="str">
        <f t="shared" si="53"/>
        <v>U146450P60394T-M</v>
      </c>
      <c r="C1638" s="1" t="s">
        <v>49</v>
      </c>
      <c r="D1638" s="1" t="s">
        <v>604</v>
      </c>
      <c r="E1638" s="1" t="s">
        <v>436</v>
      </c>
      <c r="F1638" s="1" t="s">
        <v>437</v>
      </c>
      <c r="G1638" s="1" t="s">
        <v>438</v>
      </c>
      <c r="H1638" s="1">
        <v>648</v>
      </c>
      <c r="I1638" s="3">
        <v>46273</v>
      </c>
      <c r="J1638" s="3">
        <v>46274</v>
      </c>
      <c r="K1638" s="3" t="s">
        <v>2361</v>
      </c>
      <c r="L1638" s="22">
        <v>46273.452424421295</v>
      </c>
      <c r="M1638" s="20">
        <v>12</v>
      </c>
      <c r="N1638" s="1">
        <v>9</v>
      </c>
    </row>
    <row r="1639" spans="1:14" x14ac:dyDescent="0.25">
      <c r="A1639" t="str">
        <f t="shared" si="52"/>
        <v>U146450U146450</v>
      </c>
      <c r="B1639" t="str">
        <f t="shared" si="53"/>
        <v>U146450P60394T-M</v>
      </c>
      <c r="C1639" s="1" t="s">
        <v>49</v>
      </c>
      <c r="D1639" s="1" t="s">
        <v>604</v>
      </c>
      <c r="E1639" s="1" t="s">
        <v>436</v>
      </c>
      <c r="F1639" s="1" t="s">
        <v>437</v>
      </c>
      <c r="G1639" s="1" t="s">
        <v>438</v>
      </c>
      <c r="H1639" s="1">
        <v>648</v>
      </c>
      <c r="I1639" s="3">
        <v>46273</v>
      </c>
      <c r="J1639" s="3">
        <v>46274</v>
      </c>
      <c r="K1639" s="3" t="s">
        <v>2361</v>
      </c>
      <c r="L1639" s="22">
        <v>46273.453426539352</v>
      </c>
      <c r="M1639" s="20">
        <v>12</v>
      </c>
      <c r="N1639" s="1">
        <v>15</v>
      </c>
    </row>
    <row r="1640" spans="1:14" x14ac:dyDescent="0.25">
      <c r="A1640" t="str">
        <f t="shared" si="52"/>
        <v>U146450U146450</v>
      </c>
      <c r="B1640" t="str">
        <f t="shared" si="53"/>
        <v>U146450P60394T-M</v>
      </c>
      <c r="C1640" s="1" t="s">
        <v>49</v>
      </c>
      <c r="D1640" s="1" t="s">
        <v>604</v>
      </c>
      <c r="E1640" s="1" t="s">
        <v>436</v>
      </c>
      <c r="F1640" s="1" t="s">
        <v>437</v>
      </c>
      <c r="G1640" s="1" t="s">
        <v>438</v>
      </c>
      <c r="H1640" s="1">
        <v>648</v>
      </c>
      <c r="I1640" s="3">
        <v>46273</v>
      </c>
      <c r="J1640" s="3">
        <v>46274</v>
      </c>
      <c r="K1640" s="3" t="s">
        <v>2361</v>
      </c>
      <c r="L1640" s="22">
        <v>46273.453626041664</v>
      </c>
      <c r="M1640" s="20">
        <v>12</v>
      </c>
      <c r="N1640" s="1">
        <v>39</v>
      </c>
    </row>
    <row r="1641" spans="1:14" x14ac:dyDescent="0.25">
      <c r="A1641" t="str">
        <f t="shared" si="52"/>
        <v>U146450U146450</v>
      </c>
      <c r="B1641" t="str">
        <f t="shared" si="53"/>
        <v>U146450P60394T-M</v>
      </c>
      <c r="C1641" s="1" t="s">
        <v>49</v>
      </c>
      <c r="D1641" s="1" t="s">
        <v>604</v>
      </c>
      <c r="E1641" s="1" t="s">
        <v>436</v>
      </c>
      <c r="F1641" s="1" t="s">
        <v>437</v>
      </c>
      <c r="G1641" s="1" t="s">
        <v>438</v>
      </c>
      <c r="H1641" s="1">
        <v>648</v>
      </c>
      <c r="I1641" s="3">
        <v>46273</v>
      </c>
      <c r="J1641" s="3">
        <v>46274</v>
      </c>
      <c r="K1641" s="3" t="s">
        <v>2361</v>
      </c>
      <c r="L1641" s="22">
        <v>46273.465393287035</v>
      </c>
      <c r="M1641" s="20">
        <v>12</v>
      </c>
      <c r="N1641" s="1">
        <v>53</v>
      </c>
    </row>
    <row r="1642" spans="1:14" x14ac:dyDescent="0.25">
      <c r="A1642" t="str">
        <f t="shared" si="52"/>
        <v>U146450U146450</v>
      </c>
      <c r="B1642" t="str">
        <f t="shared" si="53"/>
        <v>U146450P60394T-M</v>
      </c>
      <c r="C1642" s="1" t="s">
        <v>49</v>
      </c>
      <c r="D1642" s="1" t="s">
        <v>604</v>
      </c>
      <c r="E1642" s="1" t="s">
        <v>436</v>
      </c>
      <c r="F1642" s="1" t="s">
        <v>437</v>
      </c>
      <c r="G1642" s="1" t="s">
        <v>438</v>
      </c>
      <c r="H1642" s="1">
        <v>648</v>
      </c>
      <c r="I1642" s="3">
        <v>46273</v>
      </c>
      <c r="J1642" s="3">
        <v>46274</v>
      </c>
      <c r="K1642" s="3" t="s">
        <v>2361</v>
      </c>
      <c r="L1642" s="22">
        <v>46273.473529398143</v>
      </c>
      <c r="M1642" s="20">
        <v>12</v>
      </c>
      <c r="N1642" s="1">
        <v>14</v>
      </c>
    </row>
    <row r="1643" spans="1:14" x14ac:dyDescent="0.25">
      <c r="A1643" t="str">
        <f t="shared" si="52"/>
        <v>U146450U146450</v>
      </c>
      <c r="B1643" t="str">
        <f t="shared" si="53"/>
        <v>U146450P60394T-M</v>
      </c>
      <c r="C1643" s="1" t="s">
        <v>49</v>
      </c>
      <c r="D1643" s="1" t="s">
        <v>604</v>
      </c>
      <c r="E1643" s="1" t="s">
        <v>436</v>
      </c>
      <c r="F1643" s="1" t="s">
        <v>437</v>
      </c>
      <c r="G1643" s="1" t="s">
        <v>438</v>
      </c>
      <c r="H1643" s="1">
        <v>648</v>
      </c>
      <c r="I1643" s="3">
        <v>46273</v>
      </c>
      <c r="J1643" s="3">
        <v>46274</v>
      </c>
      <c r="K1643" s="3" t="s">
        <v>2361</v>
      </c>
      <c r="L1643" s="22">
        <v>46273.473865046297</v>
      </c>
      <c r="M1643" s="20">
        <v>12</v>
      </c>
      <c r="N1643" s="1">
        <v>4</v>
      </c>
    </row>
    <row r="1644" spans="1:14" x14ac:dyDescent="0.25">
      <c r="A1644" t="str">
        <f t="shared" si="52"/>
        <v>U146450U146450</v>
      </c>
      <c r="B1644" t="str">
        <f t="shared" si="53"/>
        <v>U146450P60394T-M</v>
      </c>
      <c r="C1644" s="1" t="s">
        <v>49</v>
      </c>
      <c r="D1644" s="1" t="s">
        <v>604</v>
      </c>
      <c r="E1644" s="1" t="s">
        <v>436</v>
      </c>
      <c r="F1644" s="1" t="s">
        <v>437</v>
      </c>
      <c r="G1644" s="1" t="s">
        <v>438</v>
      </c>
      <c r="H1644" s="1">
        <v>648</v>
      </c>
      <c r="I1644" s="3">
        <v>46273</v>
      </c>
      <c r="J1644" s="3">
        <v>46274</v>
      </c>
      <c r="K1644" s="3" t="s">
        <v>2361</v>
      </c>
      <c r="L1644" s="22">
        <v>46273.474101770829</v>
      </c>
      <c r="M1644" s="20">
        <v>12</v>
      </c>
      <c r="N1644" s="1">
        <v>8</v>
      </c>
    </row>
    <row r="1645" spans="1:14" x14ac:dyDescent="0.25">
      <c r="A1645" t="str">
        <f t="shared" si="52"/>
        <v>U146450U146450</v>
      </c>
      <c r="B1645" t="str">
        <f t="shared" si="53"/>
        <v>U146450P60394T-M</v>
      </c>
      <c r="C1645" s="1" t="s">
        <v>49</v>
      </c>
      <c r="D1645" s="1" t="s">
        <v>604</v>
      </c>
      <c r="E1645" s="1" t="s">
        <v>436</v>
      </c>
      <c r="F1645" s="1" t="s">
        <v>437</v>
      </c>
      <c r="G1645" s="1" t="s">
        <v>438</v>
      </c>
      <c r="H1645" s="1">
        <v>648</v>
      </c>
      <c r="I1645" s="3">
        <v>46273</v>
      </c>
      <c r="J1645" s="3">
        <v>46274</v>
      </c>
      <c r="K1645" s="3" t="s">
        <v>2361</v>
      </c>
      <c r="L1645" s="22">
        <v>46273.474698495367</v>
      </c>
      <c r="M1645" s="20">
        <v>12</v>
      </c>
      <c r="N1645" s="1">
        <v>31</v>
      </c>
    </row>
    <row r="1646" spans="1:14" x14ac:dyDescent="0.25">
      <c r="A1646" t="str">
        <f t="shared" si="52"/>
        <v>U146450U146450</v>
      </c>
      <c r="B1646" t="str">
        <f t="shared" si="53"/>
        <v>U146450P60394T-M</v>
      </c>
      <c r="C1646" s="1" t="s">
        <v>49</v>
      </c>
      <c r="D1646" s="1" t="s">
        <v>604</v>
      </c>
      <c r="E1646" s="1" t="s">
        <v>436</v>
      </c>
      <c r="F1646" s="1" t="s">
        <v>437</v>
      </c>
      <c r="G1646" s="1" t="s">
        <v>438</v>
      </c>
      <c r="H1646" s="1">
        <v>648</v>
      </c>
      <c r="I1646" s="3">
        <v>46273</v>
      </c>
      <c r="J1646" s="3">
        <v>46274</v>
      </c>
      <c r="K1646" s="3" t="s">
        <v>2361</v>
      </c>
      <c r="L1646" s="22">
        <v>46273.474866122684</v>
      </c>
      <c r="M1646" s="20">
        <v>12</v>
      </c>
      <c r="N1646" s="1">
        <v>30</v>
      </c>
    </row>
    <row r="1647" spans="1:14" x14ac:dyDescent="0.25">
      <c r="A1647" t="str">
        <f t="shared" si="52"/>
        <v>U146450U146450</v>
      </c>
      <c r="B1647" t="str">
        <f t="shared" si="53"/>
        <v>U146450P60394T-M</v>
      </c>
      <c r="C1647" s="1" t="s">
        <v>49</v>
      </c>
      <c r="D1647" s="1" t="s">
        <v>604</v>
      </c>
      <c r="E1647" s="1" t="s">
        <v>436</v>
      </c>
      <c r="F1647" s="1" t="s">
        <v>437</v>
      </c>
      <c r="G1647" s="1" t="s">
        <v>438</v>
      </c>
      <c r="H1647" s="1">
        <v>648</v>
      </c>
      <c r="I1647" s="3">
        <v>46273</v>
      </c>
      <c r="J1647" s="3">
        <v>46274</v>
      </c>
      <c r="K1647" s="3" t="s">
        <v>2361</v>
      </c>
      <c r="L1647" s="22">
        <v>46273.475066284722</v>
      </c>
      <c r="M1647" s="20">
        <v>12</v>
      </c>
      <c r="N1647" s="1">
        <v>52</v>
      </c>
    </row>
    <row r="1648" spans="1:14" x14ac:dyDescent="0.25">
      <c r="A1648" t="str">
        <f t="shared" si="52"/>
        <v>U146450U146450</v>
      </c>
      <c r="B1648" t="str">
        <f t="shared" si="53"/>
        <v>U146450P60394T-M</v>
      </c>
      <c r="C1648" s="1" t="s">
        <v>49</v>
      </c>
      <c r="D1648" s="1" t="s">
        <v>604</v>
      </c>
      <c r="E1648" s="1" t="s">
        <v>436</v>
      </c>
      <c r="F1648" s="1" t="s">
        <v>437</v>
      </c>
      <c r="G1648" s="1" t="s">
        <v>438</v>
      </c>
      <c r="H1648" s="1">
        <v>648</v>
      </c>
      <c r="I1648" s="3">
        <v>46273</v>
      </c>
      <c r="J1648" s="3">
        <v>46274</v>
      </c>
      <c r="K1648" s="3" t="s">
        <v>2361</v>
      </c>
      <c r="L1648" s="22">
        <v>46273.576570717589</v>
      </c>
      <c r="M1648" s="20">
        <v>12</v>
      </c>
      <c r="N1648" s="1">
        <v>49</v>
      </c>
    </row>
    <row r="1649" spans="1:14" x14ac:dyDescent="0.25">
      <c r="A1649" t="str">
        <f t="shared" si="52"/>
        <v>U146450U146450</v>
      </c>
      <c r="B1649" t="str">
        <f t="shared" si="53"/>
        <v>U146450P60394T-M</v>
      </c>
      <c r="C1649" s="1" t="s">
        <v>49</v>
      </c>
      <c r="D1649" s="1" t="s">
        <v>604</v>
      </c>
      <c r="E1649" s="1" t="s">
        <v>436</v>
      </c>
      <c r="F1649" s="1" t="s">
        <v>437</v>
      </c>
      <c r="G1649" s="1" t="s">
        <v>438</v>
      </c>
      <c r="H1649" s="1">
        <v>648</v>
      </c>
      <c r="I1649" s="3">
        <v>46273</v>
      </c>
      <c r="J1649" s="3">
        <v>46274</v>
      </c>
      <c r="K1649" s="3" t="s">
        <v>2361</v>
      </c>
      <c r="L1649" s="22">
        <v>46273.585600775463</v>
      </c>
      <c r="M1649" s="20">
        <v>12</v>
      </c>
      <c r="N1649" s="1">
        <v>48</v>
      </c>
    </row>
    <row r="1650" spans="1:14" x14ac:dyDescent="0.25">
      <c r="A1650" t="str">
        <f t="shared" si="52"/>
        <v>U146450U146450</v>
      </c>
      <c r="B1650" t="str">
        <f t="shared" si="53"/>
        <v>U146450P60394T-M</v>
      </c>
      <c r="C1650" s="1" t="s">
        <v>49</v>
      </c>
      <c r="D1650" s="1" t="s">
        <v>604</v>
      </c>
      <c r="E1650" s="1" t="s">
        <v>436</v>
      </c>
      <c r="F1650" s="1" t="s">
        <v>437</v>
      </c>
      <c r="G1650" s="1" t="s">
        <v>438</v>
      </c>
      <c r="H1650" s="1">
        <v>648</v>
      </c>
      <c r="I1650" s="3">
        <v>46273</v>
      </c>
      <c r="J1650" s="3">
        <v>46274</v>
      </c>
      <c r="K1650" s="3" t="s">
        <v>2361</v>
      </c>
      <c r="L1650" s="22">
        <v>46273.585928587963</v>
      </c>
      <c r="M1650" s="20">
        <v>12</v>
      </c>
      <c r="N1650" s="1">
        <v>40</v>
      </c>
    </row>
    <row r="1651" spans="1:14" x14ac:dyDescent="0.25">
      <c r="A1651" t="str">
        <f t="shared" si="52"/>
        <v>U146450U146450</v>
      </c>
      <c r="B1651" t="str">
        <f t="shared" si="53"/>
        <v>U146450P60394T-M</v>
      </c>
      <c r="C1651" s="1" t="s">
        <v>49</v>
      </c>
      <c r="D1651" s="1" t="s">
        <v>604</v>
      </c>
      <c r="E1651" s="1" t="s">
        <v>436</v>
      </c>
      <c r="F1651" s="1" t="s">
        <v>437</v>
      </c>
      <c r="G1651" s="1" t="s">
        <v>438</v>
      </c>
      <c r="H1651" s="1">
        <v>648</v>
      </c>
      <c r="I1651" s="3">
        <v>46273</v>
      </c>
      <c r="J1651" s="3">
        <v>46274</v>
      </c>
      <c r="K1651" s="3" t="s">
        <v>2361</v>
      </c>
      <c r="L1651" s="22">
        <v>46273.59762847222</v>
      </c>
      <c r="M1651" s="20">
        <v>12</v>
      </c>
      <c r="N1651" s="1">
        <v>20</v>
      </c>
    </row>
    <row r="1652" spans="1:14" x14ac:dyDescent="0.25">
      <c r="A1652" t="str">
        <f t="shared" si="52"/>
        <v>U146450U146450</v>
      </c>
      <c r="B1652" t="str">
        <f t="shared" si="53"/>
        <v>U146450P60394T-M</v>
      </c>
      <c r="C1652" s="1" t="s">
        <v>49</v>
      </c>
      <c r="D1652" s="1" t="s">
        <v>604</v>
      </c>
      <c r="E1652" s="1" t="s">
        <v>436</v>
      </c>
      <c r="F1652" s="1" t="s">
        <v>437</v>
      </c>
      <c r="G1652" s="1" t="s">
        <v>438</v>
      </c>
      <c r="H1652" s="1">
        <v>648</v>
      </c>
      <c r="I1652" s="3">
        <v>46273</v>
      </c>
      <c r="J1652" s="3">
        <v>46274</v>
      </c>
      <c r="K1652" s="3" t="s">
        <v>2361</v>
      </c>
      <c r="L1652" s="22">
        <v>46273.612237650465</v>
      </c>
      <c r="M1652" s="20">
        <v>6</v>
      </c>
      <c r="N1652" s="1">
        <v>54</v>
      </c>
    </row>
    <row r="1653" spans="1:14" x14ac:dyDescent="0.25">
      <c r="A1653" t="str">
        <f t="shared" si="52"/>
        <v>U146450U146450</v>
      </c>
      <c r="B1653" t="str">
        <f t="shared" si="53"/>
        <v>U146450P60394T-M</v>
      </c>
      <c r="C1653" s="1" t="s">
        <v>49</v>
      </c>
      <c r="D1653" s="1" t="s">
        <v>604</v>
      </c>
      <c r="E1653" s="1" t="s">
        <v>436</v>
      </c>
      <c r="F1653" s="1" t="s">
        <v>437</v>
      </c>
      <c r="G1653" s="1" t="s">
        <v>438</v>
      </c>
      <c r="H1653" s="1">
        <v>648</v>
      </c>
      <c r="I1653" s="3">
        <v>46273</v>
      </c>
      <c r="J1653" s="3">
        <v>46274</v>
      </c>
      <c r="K1653" s="3" t="s">
        <v>2361</v>
      </c>
      <c r="L1653" s="22">
        <v>46273.613863854167</v>
      </c>
      <c r="M1653" s="20">
        <v>12</v>
      </c>
      <c r="N1653" s="1">
        <v>42</v>
      </c>
    </row>
    <row r="1654" spans="1:14" x14ac:dyDescent="0.25">
      <c r="A1654" t="str">
        <f t="shared" si="52"/>
        <v>U146450U146450</v>
      </c>
      <c r="B1654" t="str">
        <f t="shared" si="53"/>
        <v>U146450P60394T-M</v>
      </c>
      <c r="C1654" s="1" t="s">
        <v>49</v>
      </c>
      <c r="D1654" s="1" t="s">
        <v>604</v>
      </c>
      <c r="E1654" s="1" t="s">
        <v>436</v>
      </c>
      <c r="F1654" s="1" t="s">
        <v>437</v>
      </c>
      <c r="G1654" s="1" t="s">
        <v>438</v>
      </c>
      <c r="H1654" s="1">
        <v>648</v>
      </c>
      <c r="I1654" s="3">
        <v>46273</v>
      </c>
      <c r="J1654" s="3">
        <v>46274</v>
      </c>
      <c r="K1654" s="3" t="s">
        <v>2361</v>
      </c>
      <c r="L1654" s="22">
        <v>46273.614176932868</v>
      </c>
      <c r="M1654" s="20">
        <v>12</v>
      </c>
      <c r="N1654" s="1">
        <v>10</v>
      </c>
    </row>
    <row r="1655" spans="1:14" x14ac:dyDescent="0.25">
      <c r="A1655" t="str">
        <f t="shared" si="52"/>
        <v>U146450U146450</v>
      </c>
      <c r="B1655" t="str">
        <f t="shared" si="53"/>
        <v>U146450P60394T-M</v>
      </c>
      <c r="C1655" s="1" t="s">
        <v>49</v>
      </c>
      <c r="D1655" s="1" t="s">
        <v>604</v>
      </c>
      <c r="E1655" s="1" t="s">
        <v>436</v>
      </c>
      <c r="F1655" s="1" t="s">
        <v>437</v>
      </c>
      <c r="G1655" s="1" t="s">
        <v>438</v>
      </c>
      <c r="H1655" s="1">
        <v>648</v>
      </c>
      <c r="I1655" s="3">
        <v>46273</v>
      </c>
      <c r="J1655" s="3">
        <v>46274</v>
      </c>
      <c r="K1655" s="3" t="s">
        <v>2361</v>
      </c>
      <c r="L1655" s="22">
        <v>46273.61463831018</v>
      </c>
      <c r="M1655" s="20">
        <v>12</v>
      </c>
      <c r="N1655" s="1">
        <v>37</v>
      </c>
    </row>
    <row r="1656" spans="1:14" x14ac:dyDescent="0.25">
      <c r="A1656" t="str">
        <f t="shared" si="52"/>
        <v>U146450U146450</v>
      </c>
      <c r="B1656" t="str">
        <f t="shared" si="53"/>
        <v>U146450P60394T-M</v>
      </c>
      <c r="C1656" s="1" t="s">
        <v>49</v>
      </c>
      <c r="D1656" s="1" t="s">
        <v>604</v>
      </c>
      <c r="E1656" s="1" t="s">
        <v>436</v>
      </c>
      <c r="F1656" s="1" t="s">
        <v>437</v>
      </c>
      <c r="G1656" s="1" t="s">
        <v>438</v>
      </c>
      <c r="H1656" s="1">
        <v>648</v>
      </c>
      <c r="I1656" s="3">
        <v>46273</v>
      </c>
      <c r="J1656" s="3">
        <v>46274</v>
      </c>
      <c r="K1656" s="3" t="s">
        <v>2361</v>
      </c>
      <c r="L1656" s="22">
        <v>46273.614941354164</v>
      </c>
      <c r="M1656" s="20">
        <v>12</v>
      </c>
      <c r="N1656" s="1">
        <v>24</v>
      </c>
    </row>
    <row r="1657" spans="1:14" x14ac:dyDescent="0.25">
      <c r="A1657" t="str">
        <f t="shared" si="52"/>
        <v>U146450U146450</v>
      </c>
      <c r="B1657" t="str">
        <f t="shared" si="53"/>
        <v>U146450P60394T-M</v>
      </c>
      <c r="C1657" s="1" t="s">
        <v>49</v>
      </c>
      <c r="D1657" s="1" t="s">
        <v>604</v>
      </c>
      <c r="E1657" s="1" t="s">
        <v>436</v>
      </c>
      <c r="F1657" s="1" t="s">
        <v>437</v>
      </c>
      <c r="G1657" s="1" t="s">
        <v>438</v>
      </c>
      <c r="H1657" s="1">
        <v>648</v>
      </c>
      <c r="I1657" s="3">
        <v>46273</v>
      </c>
      <c r="J1657" s="3">
        <v>46274</v>
      </c>
      <c r="K1657" s="3" t="s">
        <v>2361</v>
      </c>
      <c r="L1657" s="22">
        <v>46273.669112615738</v>
      </c>
      <c r="M1657" s="20">
        <v>12</v>
      </c>
      <c r="N1657" s="1">
        <v>13</v>
      </c>
    </row>
    <row r="1658" spans="1:14" x14ac:dyDescent="0.25">
      <c r="A1658" t="str">
        <f t="shared" si="52"/>
        <v>U146450U146450</v>
      </c>
      <c r="B1658" t="str">
        <f t="shared" si="53"/>
        <v>U146450P60394T-M</v>
      </c>
      <c r="C1658" s="1" t="s">
        <v>49</v>
      </c>
      <c r="D1658" s="1" t="s">
        <v>604</v>
      </c>
      <c r="E1658" s="1" t="s">
        <v>436</v>
      </c>
      <c r="F1658" s="1" t="s">
        <v>437</v>
      </c>
      <c r="G1658" s="1" t="s">
        <v>438</v>
      </c>
      <c r="H1658" s="1">
        <v>648</v>
      </c>
      <c r="I1658" s="3">
        <v>46273</v>
      </c>
      <c r="J1658" s="3">
        <v>46274</v>
      </c>
      <c r="K1658" s="3" t="s">
        <v>2361</v>
      </c>
      <c r="L1658" s="22">
        <v>46273.669448344903</v>
      </c>
      <c r="M1658" s="20">
        <v>12</v>
      </c>
      <c r="N1658" s="1">
        <v>41</v>
      </c>
    </row>
    <row r="1659" spans="1:14" x14ac:dyDescent="0.25">
      <c r="A1659" t="str">
        <f t="shared" si="52"/>
        <v>U148109U148109</v>
      </c>
      <c r="B1659" t="str">
        <f t="shared" si="53"/>
        <v>U148109GC9060LL-M</v>
      </c>
      <c r="C1659" s="1" t="s">
        <v>55</v>
      </c>
      <c r="D1659" s="1" t="s">
        <v>619</v>
      </c>
      <c r="E1659" s="1" t="s">
        <v>436</v>
      </c>
      <c r="F1659" s="1" t="s">
        <v>463</v>
      </c>
      <c r="G1659" s="1" t="s">
        <v>438</v>
      </c>
      <c r="H1659" s="1">
        <v>168</v>
      </c>
      <c r="I1659" s="3">
        <v>46273</v>
      </c>
      <c r="J1659" s="3">
        <v>46279</v>
      </c>
      <c r="K1659" s="3" t="s">
        <v>2364</v>
      </c>
      <c r="L1659" s="22">
        <v>46273.706064895829</v>
      </c>
      <c r="M1659" s="20">
        <v>12</v>
      </c>
      <c r="N1659" s="1">
        <v>2</v>
      </c>
    </row>
    <row r="1660" spans="1:14" x14ac:dyDescent="0.25">
      <c r="A1660" t="str">
        <f t="shared" si="52"/>
        <v>U148109U148109</v>
      </c>
      <c r="B1660" t="str">
        <f t="shared" si="53"/>
        <v>U148109GC9060LL-M</v>
      </c>
      <c r="C1660" s="1" t="s">
        <v>55</v>
      </c>
      <c r="D1660" s="1" t="s">
        <v>619</v>
      </c>
      <c r="E1660" s="1" t="s">
        <v>436</v>
      </c>
      <c r="F1660" s="1" t="s">
        <v>463</v>
      </c>
      <c r="G1660" s="1" t="s">
        <v>438</v>
      </c>
      <c r="H1660" s="1">
        <v>168</v>
      </c>
      <c r="I1660" s="3">
        <v>46273</v>
      </c>
      <c r="J1660" s="3">
        <v>46279</v>
      </c>
      <c r="K1660" s="3" t="s">
        <v>2364</v>
      </c>
      <c r="L1660" s="22">
        <v>46273.708401851851</v>
      </c>
      <c r="M1660" s="20">
        <v>12</v>
      </c>
      <c r="N1660" s="1">
        <v>13</v>
      </c>
    </row>
    <row r="1661" spans="1:14" x14ac:dyDescent="0.25">
      <c r="A1661" t="str">
        <f t="shared" si="52"/>
        <v>U148109U148109</v>
      </c>
      <c r="B1661" t="str">
        <f t="shared" si="53"/>
        <v>U148109GC9060LL-M</v>
      </c>
      <c r="C1661" s="1" t="s">
        <v>55</v>
      </c>
      <c r="D1661" s="1" t="s">
        <v>619</v>
      </c>
      <c r="E1661" s="1" t="s">
        <v>436</v>
      </c>
      <c r="F1661" s="1" t="s">
        <v>463</v>
      </c>
      <c r="G1661" s="1" t="s">
        <v>438</v>
      </c>
      <c r="H1661" s="1">
        <v>168</v>
      </c>
      <c r="I1661" s="3">
        <v>46273</v>
      </c>
      <c r="J1661" s="3">
        <v>46279</v>
      </c>
      <c r="K1661" s="3" t="s">
        <v>2364</v>
      </c>
      <c r="L1661" s="22">
        <v>46273.715989351847</v>
      </c>
      <c r="M1661" s="20">
        <v>12</v>
      </c>
      <c r="N1661" s="1">
        <v>8</v>
      </c>
    </row>
    <row r="1662" spans="1:14" x14ac:dyDescent="0.25">
      <c r="A1662" t="str">
        <f t="shared" si="52"/>
        <v>U148109U148109</v>
      </c>
      <c r="B1662" t="str">
        <f t="shared" si="53"/>
        <v>U148109GC9060LL-M</v>
      </c>
      <c r="C1662" s="1" t="s">
        <v>55</v>
      </c>
      <c r="D1662" s="1" t="s">
        <v>619</v>
      </c>
      <c r="E1662" s="1" t="s">
        <v>436</v>
      </c>
      <c r="F1662" s="1" t="s">
        <v>463</v>
      </c>
      <c r="G1662" s="1" t="s">
        <v>438</v>
      </c>
      <c r="H1662" s="1">
        <v>168</v>
      </c>
      <c r="I1662" s="3">
        <v>46273</v>
      </c>
      <c r="J1662" s="3">
        <v>46279</v>
      </c>
      <c r="K1662" s="3" t="s">
        <v>2364</v>
      </c>
      <c r="L1662" s="22">
        <v>46273.720275</v>
      </c>
      <c r="M1662" s="20">
        <v>12</v>
      </c>
      <c r="N1662" s="1">
        <v>4</v>
      </c>
    </row>
    <row r="1663" spans="1:14" x14ac:dyDescent="0.25">
      <c r="A1663" t="str">
        <f t="shared" si="52"/>
        <v>U148109U148109</v>
      </c>
      <c r="B1663" t="str">
        <f t="shared" si="53"/>
        <v>U148109GC9060LL-M</v>
      </c>
      <c r="C1663" s="1" t="s">
        <v>55</v>
      </c>
      <c r="D1663" s="1" t="s">
        <v>619</v>
      </c>
      <c r="E1663" s="1" t="s">
        <v>436</v>
      </c>
      <c r="F1663" s="1" t="s">
        <v>463</v>
      </c>
      <c r="G1663" s="1" t="s">
        <v>438</v>
      </c>
      <c r="H1663" s="1">
        <v>168</v>
      </c>
      <c r="I1663" s="3">
        <v>46273</v>
      </c>
      <c r="J1663" s="3">
        <v>46279</v>
      </c>
      <c r="K1663" s="3" t="s">
        <v>2364</v>
      </c>
      <c r="L1663" s="22">
        <v>46273.724556400462</v>
      </c>
      <c r="M1663" s="20">
        <v>12</v>
      </c>
      <c r="N1663" s="1">
        <v>6</v>
      </c>
    </row>
    <row r="1664" spans="1:14" x14ac:dyDescent="0.25">
      <c r="A1664" t="str">
        <f t="shared" si="52"/>
        <v>U148109U148109</v>
      </c>
      <c r="B1664" t="str">
        <f t="shared" si="53"/>
        <v>U148109GC9060LL-M</v>
      </c>
      <c r="C1664" s="1" t="s">
        <v>55</v>
      </c>
      <c r="D1664" s="1" t="s">
        <v>619</v>
      </c>
      <c r="E1664" s="1" t="s">
        <v>436</v>
      </c>
      <c r="F1664" s="1" t="s">
        <v>463</v>
      </c>
      <c r="G1664" s="1" t="s">
        <v>438</v>
      </c>
      <c r="H1664" s="1">
        <v>168</v>
      </c>
      <c r="I1664" s="3">
        <v>46273</v>
      </c>
      <c r="J1664" s="3">
        <v>46279</v>
      </c>
      <c r="K1664" s="3" t="s">
        <v>2364</v>
      </c>
      <c r="L1664" s="22">
        <v>46273.732447025461</v>
      </c>
      <c r="M1664" s="20">
        <v>12</v>
      </c>
      <c r="N1664" s="1">
        <v>10</v>
      </c>
    </row>
    <row r="1665" spans="1:14" x14ac:dyDescent="0.25">
      <c r="A1665" t="str">
        <f t="shared" si="52"/>
        <v>U148109U148109</v>
      </c>
      <c r="B1665" t="str">
        <f t="shared" si="53"/>
        <v>U148109GC9060LL-M</v>
      </c>
      <c r="C1665" s="1" t="s">
        <v>55</v>
      </c>
      <c r="D1665" s="1" t="s">
        <v>619</v>
      </c>
      <c r="E1665" s="1" t="s">
        <v>436</v>
      </c>
      <c r="F1665" s="1" t="s">
        <v>463</v>
      </c>
      <c r="G1665" s="1" t="s">
        <v>438</v>
      </c>
      <c r="H1665" s="1">
        <v>168</v>
      </c>
      <c r="I1665" s="3">
        <v>46273</v>
      </c>
      <c r="J1665" s="3">
        <v>46279</v>
      </c>
      <c r="K1665" s="3" t="s">
        <v>2364</v>
      </c>
      <c r="L1665" s="22">
        <v>46273.732939270834</v>
      </c>
      <c r="M1665" s="20">
        <v>12</v>
      </c>
      <c r="N1665" s="1">
        <v>14</v>
      </c>
    </row>
    <row r="1666" spans="1:14" x14ac:dyDescent="0.25">
      <c r="A1666" t="str">
        <f t="shared" ref="A1666:A1729" si="54">+D1666&amp;D1666</f>
        <v>U148109U148109</v>
      </c>
      <c r="B1666" t="str">
        <f t="shared" ref="B1666:B1729" si="55">+D1666&amp;C1666</f>
        <v>U148109GC9060LL-M</v>
      </c>
      <c r="C1666" s="1" t="s">
        <v>55</v>
      </c>
      <c r="D1666" s="1" t="s">
        <v>619</v>
      </c>
      <c r="E1666" s="1" t="s">
        <v>436</v>
      </c>
      <c r="F1666" s="1" t="s">
        <v>463</v>
      </c>
      <c r="G1666" s="1" t="s">
        <v>438</v>
      </c>
      <c r="H1666" s="1">
        <v>168</v>
      </c>
      <c r="I1666" s="3">
        <v>46273</v>
      </c>
      <c r="J1666" s="3">
        <v>46279</v>
      </c>
      <c r="K1666" s="3" t="s">
        <v>2364</v>
      </c>
      <c r="L1666" s="22">
        <v>46273.745493599534</v>
      </c>
      <c r="M1666" s="20">
        <v>12</v>
      </c>
      <c r="N1666" s="1">
        <v>9</v>
      </c>
    </row>
    <row r="1667" spans="1:14" x14ac:dyDescent="0.25">
      <c r="A1667" t="str">
        <f t="shared" si="54"/>
        <v>U148111U148111</v>
      </c>
      <c r="B1667" t="str">
        <f t="shared" si="55"/>
        <v>U148111GC9060LL-M</v>
      </c>
      <c r="C1667" s="1" t="s">
        <v>55</v>
      </c>
      <c r="D1667" s="1" t="s">
        <v>618</v>
      </c>
      <c r="E1667" s="1" t="s">
        <v>436</v>
      </c>
      <c r="F1667" s="1" t="s">
        <v>460</v>
      </c>
      <c r="G1667" s="1" t="s">
        <v>438</v>
      </c>
      <c r="H1667" s="1">
        <v>144</v>
      </c>
      <c r="I1667" s="3">
        <v>46273</v>
      </c>
      <c r="J1667" s="3">
        <v>46282</v>
      </c>
      <c r="K1667" s="3" t="s">
        <v>2370</v>
      </c>
      <c r="L1667" s="22">
        <v>46273.667860150461</v>
      </c>
      <c r="M1667" s="20">
        <v>12</v>
      </c>
      <c r="N1667" s="1">
        <v>4</v>
      </c>
    </row>
    <row r="1668" spans="1:14" x14ac:dyDescent="0.25">
      <c r="A1668" t="str">
        <f t="shared" si="54"/>
        <v>U148111U148111</v>
      </c>
      <c r="B1668" t="str">
        <f t="shared" si="55"/>
        <v>U148111GC9060LL-M</v>
      </c>
      <c r="C1668" s="1" t="s">
        <v>55</v>
      </c>
      <c r="D1668" s="1" t="s">
        <v>618</v>
      </c>
      <c r="E1668" s="1" t="s">
        <v>436</v>
      </c>
      <c r="F1668" s="1" t="s">
        <v>460</v>
      </c>
      <c r="G1668" s="1" t="s">
        <v>438</v>
      </c>
      <c r="H1668" s="1">
        <v>144</v>
      </c>
      <c r="I1668" s="3">
        <v>46273</v>
      </c>
      <c r="J1668" s="3">
        <v>46282</v>
      </c>
      <c r="K1668" s="3" t="s">
        <v>2370</v>
      </c>
      <c r="L1668" s="22">
        <v>46273.683589699074</v>
      </c>
      <c r="M1668" s="20">
        <v>12</v>
      </c>
      <c r="N1668" s="1">
        <v>10</v>
      </c>
    </row>
    <row r="1669" spans="1:14" x14ac:dyDescent="0.25">
      <c r="A1669" t="str">
        <f t="shared" si="54"/>
        <v>U148111U148111</v>
      </c>
      <c r="B1669" t="str">
        <f t="shared" si="55"/>
        <v>U148111GC9060LL-M</v>
      </c>
      <c r="C1669" s="1" t="s">
        <v>55</v>
      </c>
      <c r="D1669" s="1" t="s">
        <v>618</v>
      </c>
      <c r="E1669" s="1" t="s">
        <v>436</v>
      </c>
      <c r="F1669" s="1" t="s">
        <v>460</v>
      </c>
      <c r="G1669" s="1" t="s">
        <v>438</v>
      </c>
      <c r="H1669" s="1">
        <v>144</v>
      </c>
      <c r="I1669" s="3">
        <v>46273</v>
      </c>
      <c r="J1669" s="3">
        <v>46282</v>
      </c>
      <c r="K1669" s="3" t="s">
        <v>2370</v>
      </c>
      <c r="L1669" s="22">
        <v>46273.686819409719</v>
      </c>
      <c r="M1669" s="20">
        <v>12</v>
      </c>
      <c r="N1669" s="1">
        <v>8</v>
      </c>
    </row>
    <row r="1670" spans="1:14" x14ac:dyDescent="0.25">
      <c r="A1670" t="str">
        <f t="shared" si="54"/>
        <v>U148111U148111</v>
      </c>
      <c r="B1670" t="str">
        <f t="shared" si="55"/>
        <v>U148111GC9060LL-M</v>
      </c>
      <c r="C1670" s="1" t="s">
        <v>55</v>
      </c>
      <c r="D1670" s="1" t="s">
        <v>618</v>
      </c>
      <c r="E1670" s="1" t="s">
        <v>436</v>
      </c>
      <c r="F1670" s="1" t="s">
        <v>460</v>
      </c>
      <c r="G1670" s="1" t="s">
        <v>438</v>
      </c>
      <c r="H1670" s="1">
        <v>144</v>
      </c>
      <c r="I1670" s="3">
        <v>46273</v>
      </c>
      <c r="J1670" s="3">
        <v>46282</v>
      </c>
      <c r="K1670" s="3" t="s">
        <v>2370</v>
      </c>
      <c r="L1670" s="22">
        <v>46273.68932395833</v>
      </c>
      <c r="M1670" s="20">
        <v>12</v>
      </c>
      <c r="N1670" s="1">
        <v>6</v>
      </c>
    </row>
    <row r="1671" spans="1:14" x14ac:dyDescent="0.25">
      <c r="A1671" t="str">
        <f t="shared" si="54"/>
        <v>U148111U148111</v>
      </c>
      <c r="B1671" t="str">
        <f t="shared" si="55"/>
        <v>U148111GC9060LL-M</v>
      </c>
      <c r="C1671" s="1" t="s">
        <v>55</v>
      </c>
      <c r="D1671" s="1" t="s">
        <v>618</v>
      </c>
      <c r="E1671" s="1" t="s">
        <v>436</v>
      </c>
      <c r="F1671" s="1" t="s">
        <v>460</v>
      </c>
      <c r="G1671" s="1" t="s">
        <v>438</v>
      </c>
      <c r="H1671" s="1">
        <v>144</v>
      </c>
      <c r="I1671" s="3">
        <v>46273</v>
      </c>
      <c r="J1671" s="3">
        <v>46282</v>
      </c>
      <c r="K1671" s="3" t="s">
        <v>2370</v>
      </c>
      <c r="L1671" s="22">
        <v>46273.694003391203</v>
      </c>
      <c r="M1671" s="20">
        <v>12</v>
      </c>
      <c r="N1671" s="1">
        <v>3</v>
      </c>
    </row>
    <row r="1672" spans="1:14" x14ac:dyDescent="0.25">
      <c r="A1672" t="str">
        <f t="shared" si="54"/>
        <v>U148111U148111</v>
      </c>
      <c r="B1672" t="str">
        <f t="shared" si="55"/>
        <v>U148111GC9060LL-M</v>
      </c>
      <c r="C1672" s="1" t="s">
        <v>55</v>
      </c>
      <c r="D1672" s="1" t="s">
        <v>618</v>
      </c>
      <c r="E1672" s="1" t="s">
        <v>436</v>
      </c>
      <c r="F1672" s="1" t="s">
        <v>460</v>
      </c>
      <c r="G1672" s="1" t="s">
        <v>438</v>
      </c>
      <c r="H1672" s="1">
        <v>144</v>
      </c>
      <c r="I1672" s="3">
        <v>46273</v>
      </c>
      <c r="J1672" s="3">
        <v>46282</v>
      </c>
      <c r="K1672" s="3" t="s">
        <v>2370</v>
      </c>
      <c r="L1672" s="22">
        <v>46273.698241666665</v>
      </c>
      <c r="M1672" s="20">
        <v>12</v>
      </c>
      <c r="N1672" s="1">
        <v>2</v>
      </c>
    </row>
    <row r="1673" spans="1:14" x14ac:dyDescent="0.25">
      <c r="A1673" t="str">
        <f t="shared" si="54"/>
        <v>U148111U148111</v>
      </c>
      <c r="B1673" t="str">
        <f t="shared" si="55"/>
        <v>U148111GC9060LL-M</v>
      </c>
      <c r="C1673" s="1" t="s">
        <v>55</v>
      </c>
      <c r="D1673" s="1" t="s">
        <v>618</v>
      </c>
      <c r="E1673" s="1" t="s">
        <v>436</v>
      </c>
      <c r="F1673" s="1" t="s">
        <v>460</v>
      </c>
      <c r="G1673" s="1" t="s">
        <v>438</v>
      </c>
      <c r="H1673" s="1">
        <v>144</v>
      </c>
      <c r="I1673" s="3">
        <v>46273</v>
      </c>
      <c r="J1673" s="3">
        <v>46282</v>
      </c>
      <c r="K1673" s="3" t="s">
        <v>2370</v>
      </c>
      <c r="L1673" s="22">
        <v>46273.699432789348</v>
      </c>
      <c r="M1673" s="20">
        <v>12</v>
      </c>
      <c r="N1673" s="1">
        <v>5</v>
      </c>
    </row>
    <row r="1674" spans="1:14" x14ac:dyDescent="0.25">
      <c r="A1674" t="str">
        <f t="shared" si="54"/>
        <v>U148111U148111</v>
      </c>
      <c r="B1674" t="str">
        <f t="shared" si="55"/>
        <v>U148111GC9060LL-M</v>
      </c>
      <c r="C1674" s="1" t="s">
        <v>55</v>
      </c>
      <c r="D1674" s="1" t="s">
        <v>618</v>
      </c>
      <c r="E1674" s="1" t="s">
        <v>436</v>
      </c>
      <c r="F1674" s="1" t="s">
        <v>460</v>
      </c>
      <c r="G1674" s="1" t="s">
        <v>438</v>
      </c>
      <c r="H1674" s="1">
        <v>144</v>
      </c>
      <c r="I1674" s="3">
        <v>46273</v>
      </c>
      <c r="J1674" s="3">
        <v>46282</v>
      </c>
      <c r="K1674" s="3" t="s">
        <v>2370</v>
      </c>
      <c r="L1674" s="22">
        <v>46273.714225960648</v>
      </c>
      <c r="M1674" s="20">
        <v>12</v>
      </c>
      <c r="N1674" s="1">
        <v>1</v>
      </c>
    </row>
    <row r="1675" spans="1:14" x14ac:dyDescent="0.25">
      <c r="A1675" t="str">
        <f t="shared" si="54"/>
        <v>U148111U148111</v>
      </c>
      <c r="B1675" t="str">
        <f t="shared" si="55"/>
        <v>U148111GC9060LL-M</v>
      </c>
      <c r="C1675" s="1" t="s">
        <v>55</v>
      </c>
      <c r="D1675" s="1" t="s">
        <v>618</v>
      </c>
      <c r="E1675" s="1" t="s">
        <v>436</v>
      </c>
      <c r="F1675" s="1" t="s">
        <v>460</v>
      </c>
      <c r="G1675" s="1" t="s">
        <v>438</v>
      </c>
      <c r="H1675" s="1">
        <v>144</v>
      </c>
      <c r="I1675" s="3">
        <v>46273</v>
      </c>
      <c r="J1675" s="3">
        <v>46282</v>
      </c>
      <c r="K1675" s="3" t="s">
        <v>2370</v>
      </c>
      <c r="L1675" s="22">
        <v>46273.737492048611</v>
      </c>
      <c r="M1675" s="20">
        <v>12</v>
      </c>
      <c r="N1675" s="1">
        <v>12</v>
      </c>
    </row>
    <row r="1676" spans="1:14" x14ac:dyDescent="0.25">
      <c r="A1676" t="str">
        <f t="shared" si="54"/>
        <v>U148113U148113</v>
      </c>
      <c r="B1676" t="str">
        <f t="shared" si="55"/>
        <v>U148113GC9060LL-M</v>
      </c>
      <c r="C1676" s="1" t="s">
        <v>55</v>
      </c>
      <c r="D1676" s="1" t="s">
        <v>616</v>
      </c>
      <c r="E1676" s="1" t="s">
        <v>436</v>
      </c>
      <c r="F1676" s="1" t="s">
        <v>464</v>
      </c>
      <c r="G1676" s="1" t="s">
        <v>438</v>
      </c>
      <c r="H1676" s="1">
        <v>192</v>
      </c>
      <c r="I1676" s="3">
        <v>46273</v>
      </c>
      <c r="J1676" s="3">
        <v>46286</v>
      </c>
      <c r="K1676" s="3" t="s">
        <v>2362</v>
      </c>
      <c r="L1676" s="22">
        <v>46273.63594594907</v>
      </c>
      <c r="M1676" s="20">
        <v>12</v>
      </c>
      <c r="N1676" s="1">
        <v>8</v>
      </c>
    </row>
    <row r="1677" spans="1:14" x14ac:dyDescent="0.25">
      <c r="A1677" t="str">
        <f t="shared" si="54"/>
        <v>U148113U148113</v>
      </c>
      <c r="B1677" t="str">
        <f t="shared" si="55"/>
        <v>U148113GC9060LL-M</v>
      </c>
      <c r="C1677" s="1" t="s">
        <v>55</v>
      </c>
      <c r="D1677" s="1" t="s">
        <v>616</v>
      </c>
      <c r="E1677" s="1" t="s">
        <v>436</v>
      </c>
      <c r="F1677" s="1" t="s">
        <v>464</v>
      </c>
      <c r="G1677" s="1" t="s">
        <v>438</v>
      </c>
      <c r="H1677" s="1">
        <v>192</v>
      </c>
      <c r="I1677" s="3">
        <v>46273</v>
      </c>
      <c r="J1677" s="3">
        <v>46286</v>
      </c>
      <c r="K1677" s="3" t="s">
        <v>2362</v>
      </c>
      <c r="L1677" s="22">
        <v>46273.638697106479</v>
      </c>
      <c r="M1677" s="20">
        <v>12</v>
      </c>
      <c r="N1677" s="1">
        <v>10</v>
      </c>
    </row>
    <row r="1678" spans="1:14" x14ac:dyDescent="0.25">
      <c r="A1678" t="str">
        <f t="shared" si="54"/>
        <v>U148113U148113</v>
      </c>
      <c r="B1678" t="str">
        <f t="shared" si="55"/>
        <v>U148113GC9060LL-M</v>
      </c>
      <c r="C1678" s="1" t="s">
        <v>55</v>
      </c>
      <c r="D1678" s="1" t="s">
        <v>616</v>
      </c>
      <c r="E1678" s="1" t="s">
        <v>436</v>
      </c>
      <c r="F1678" s="1" t="s">
        <v>464</v>
      </c>
      <c r="G1678" s="1" t="s">
        <v>438</v>
      </c>
      <c r="H1678" s="1">
        <v>192</v>
      </c>
      <c r="I1678" s="3">
        <v>46273</v>
      </c>
      <c r="J1678" s="3">
        <v>46286</v>
      </c>
      <c r="K1678" s="3" t="s">
        <v>2362</v>
      </c>
      <c r="L1678" s="22">
        <v>46273.640072604168</v>
      </c>
      <c r="M1678" s="20">
        <v>12</v>
      </c>
      <c r="N1678" s="1">
        <v>6</v>
      </c>
    </row>
    <row r="1679" spans="1:14" x14ac:dyDescent="0.25">
      <c r="A1679" t="str">
        <f t="shared" si="54"/>
        <v>U148113U148113</v>
      </c>
      <c r="B1679" t="str">
        <f t="shared" si="55"/>
        <v>U148113GC9060LL-M</v>
      </c>
      <c r="C1679" s="1" t="s">
        <v>55</v>
      </c>
      <c r="D1679" s="1" t="s">
        <v>616</v>
      </c>
      <c r="E1679" s="1" t="s">
        <v>436</v>
      </c>
      <c r="F1679" s="1" t="s">
        <v>464</v>
      </c>
      <c r="G1679" s="1" t="s">
        <v>438</v>
      </c>
      <c r="H1679" s="1">
        <v>192</v>
      </c>
      <c r="I1679" s="3">
        <v>46273</v>
      </c>
      <c r="J1679" s="3">
        <v>46286</v>
      </c>
      <c r="K1679" s="3" t="s">
        <v>2362</v>
      </c>
      <c r="L1679" s="22">
        <v>46273.640401620367</v>
      </c>
      <c r="M1679" s="20">
        <v>12</v>
      </c>
      <c r="N1679" s="1">
        <v>14</v>
      </c>
    </row>
    <row r="1680" spans="1:14" x14ac:dyDescent="0.25">
      <c r="A1680" t="str">
        <f t="shared" si="54"/>
        <v>U148113U148113</v>
      </c>
      <c r="B1680" t="str">
        <f t="shared" si="55"/>
        <v>U148113GC9060LL-M</v>
      </c>
      <c r="C1680" s="1" t="s">
        <v>55</v>
      </c>
      <c r="D1680" s="1" t="s">
        <v>616</v>
      </c>
      <c r="E1680" s="1" t="s">
        <v>436</v>
      </c>
      <c r="F1680" s="1" t="s">
        <v>464</v>
      </c>
      <c r="G1680" s="1" t="s">
        <v>438</v>
      </c>
      <c r="H1680" s="1">
        <v>192</v>
      </c>
      <c r="I1680" s="3">
        <v>46273</v>
      </c>
      <c r="J1680" s="3">
        <v>46286</v>
      </c>
      <c r="K1680" s="3" t="s">
        <v>2362</v>
      </c>
      <c r="L1680" s="22">
        <v>46273.643659259258</v>
      </c>
      <c r="M1680" s="20">
        <v>12</v>
      </c>
      <c r="N1680" s="1">
        <v>5</v>
      </c>
    </row>
    <row r="1681" spans="1:14" x14ac:dyDescent="0.25">
      <c r="A1681" t="str">
        <f t="shared" si="54"/>
        <v>U148113U148113</v>
      </c>
      <c r="B1681" t="str">
        <f t="shared" si="55"/>
        <v>U148113GC9060LL-M</v>
      </c>
      <c r="C1681" s="1" t="s">
        <v>55</v>
      </c>
      <c r="D1681" s="1" t="s">
        <v>616</v>
      </c>
      <c r="E1681" s="1" t="s">
        <v>436</v>
      </c>
      <c r="F1681" s="1" t="s">
        <v>464</v>
      </c>
      <c r="G1681" s="1" t="s">
        <v>438</v>
      </c>
      <c r="H1681" s="1">
        <v>192</v>
      </c>
      <c r="I1681" s="3">
        <v>46273</v>
      </c>
      <c r="J1681" s="3">
        <v>46286</v>
      </c>
      <c r="K1681" s="3" t="s">
        <v>2362</v>
      </c>
      <c r="L1681" s="22">
        <v>46273.661467905091</v>
      </c>
      <c r="M1681" s="20">
        <v>12</v>
      </c>
      <c r="N1681" s="1">
        <v>12</v>
      </c>
    </row>
    <row r="1682" spans="1:14" x14ac:dyDescent="0.25">
      <c r="A1682" t="str">
        <f t="shared" si="54"/>
        <v>U148113U148113</v>
      </c>
      <c r="B1682" t="str">
        <f t="shared" si="55"/>
        <v>U148113GC9060LL-M</v>
      </c>
      <c r="C1682" s="1" t="s">
        <v>55</v>
      </c>
      <c r="D1682" s="1" t="s">
        <v>616</v>
      </c>
      <c r="E1682" s="1" t="s">
        <v>436</v>
      </c>
      <c r="F1682" s="1" t="s">
        <v>464</v>
      </c>
      <c r="G1682" s="1" t="s">
        <v>438</v>
      </c>
      <c r="H1682" s="1">
        <v>192</v>
      </c>
      <c r="I1682" s="3">
        <v>46273</v>
      </c>
      <c r="J1682" s="3">
        <v>46286</v>
      </c>
      <c r="K1682" s="3" t="s">
        <v>2362</v>
      </c>
      <c r="L1682" s="22">
        <v>46273.66256921296</v>
      </c>
      <c r="M1682" s="20">
        <v>12</v>
      </c>
      <c r="N1682" s="1">
        <v>15</v>
      </c>
    </row>
    <row r="1683" spans="1:14" x14ac:dyDescent="0.25">
      <c r="A1683" t="str">
        <f t="shared" si="54"/>
        <v>U148113U148113</v>
      </c>
      <c r="B1683" t="str">
        <f t="shared" si="55"/>
        <v>U148113GC9060LL-M</v>
      </c>
      <c r="C1683" s="1" t="s">
        <v>55</v>
      </c>
      <c r="D1683" s="1" t="s">
        <v>616</v>
      </c>
      <c r="E1683" s="1" t="s">
        <v>436</v>
      </c>
      <c r="F1683" s="1" t="s">
        <v>464</v>
      </c>
      <c r="G1683" s="1" t="s">
        <v>438</v>
      </c>
      <c r="H1683" s="1">
        <v>192</v>
      </c>
      <c r="I1683" s="3">
        <v>46273</v>
      </c>
      <c r="J1683" s="3">
        <v>46286</v>
      </c>
      <c r="K1683" s="3" t="s">
        <v>2362</v>
      </c>
      <c r="L1683" s="22">
        <v>46273.668458680557</v>
      </c>
      <c r="M1683" s="20">
        <v>12</v>
      </c>
      <c r="N1683" s="1">
        <v>4</v>
      </c>
    </row>
    <row r="1684" spans="1:14" x14ac:dyDescent="0.25">
      <c r="A1684" t="str">
        <f t="shared" si="54"/>
        <v>U148113U148113</v>
      </c>
      <c r="B1684" t="str">
        <f t="shared" si="55"/>
        <v>U148113GC9060LL-M</v>
      </c>
      <c r="C1684" s="1" t="s">
        <v>55</v>
      </c>
      <c r="D1684" s="1" t="s">
        <v>616</v>
      </c>
      <c r="E1684" s="1" t="s">
        <v>436</v>
      </c>
      <c r="F1684" s="1" t="s">
        <v>464</v>
      </c>
      <c r="G1684" s="1" t="s">
        <v>438</v>
      </c>
      <c r="H1684" s="1">
        <v>192</v>
      </c>
      <c r="I1684" s="3">
        <v>46273</v>
      </c>
      <c r="J1684" s="3">
        <v>46286</v>
      </c>
      <c r="K1684" s="3" t="s">
        <v>2362</v>
      </c>
      <c r="L1684" s="22">
        <v>46273.687465821757</v>
      </c>
      <c r="M1684" s="20">
        <v>12</v>
      </c>
      <c r="N1684" s="1">
        <v>16</v>
      </c>
    </row>
    <row r="1685" spans="1:14" x14ac:dyDescent="0.25">
      <c r="A1685" t="str">
        <f t="shared" si="54"/>
        <v>U148113U148113</v>
      </c>
      <c r="B1685" t="str">
        <f t="shared" si="55"/>
        <v>U148113GC9060LL-M</v>
      </c>
      <c r="C1685" s="1" t="s">
        <v>55</v>
      </c>
      <c r="D1685" s="1" t="s">
        <v>616</v>
      </c>
      <c r="E1685" s="1" t="s">
        <v>436</v>
      </c>
      <c r="F1685" s="1" t="s">
        <v>464</v>
      </c>
      <c r="G1685" s="1" t="s">
        <v>438</v>
      </c>
      <c r="H1685" s="1">
        <v>192</v>
      </c>
      <c r="I1685" s="3">
        <v>46273</v>
      </c>
      <c r="J1685" s="3">
        <v>46286</v>
      </c>
      <c r="K1685" s="3" t="s">
        <v>2362</v>
      </c>
      <c r="L1685" s="22">
        <v>46273.693526620365</v>
      </c>
      <c r="M1685" s="20">
        <v>12</v>
      </c>
      <c r="N1685" s="1">
        <v>11</v>
      </c>
    </row>
    <row r="1686" spans="1:14" x14ac:dyDescent="0.25">
      <c r="A1686" t="str">
        <f t="shared" si="54"/>
        <v>U148113U148113</v>
      </c>
      <c r="B1686" t="str">
        <f t="shared" si="55"/>
        <v>U148113GC9060LL-M</v>
      </c>
      <c r="C1686" s="1" t="s">
        <v>55</v>
      </c>
      <c r="D1686" s="1" t="s">
        <v>616</v>
      </c>
      <c r="E1686" s="1" t="s">
        <v>436</v>
      </c>
      <c r="F1686" s="1" t="s">
        <v>464</v>
      </c>
      <c r="G1686" s="1" t="s">
        <v>438</v>
      </c>
      <c r="H1686" s="1">
        <v>192</v>
      </c>
      <c r="I1686" s="3">
        <v>46273</v>
      </c>
      <c r="J1686" s="3">
        <v>46286</v>
      </c>
      <c r="K1686" s="3" t="s">
        <v>2362</v>
      </c>
      <c r="L1686" s="22">
        <v>46273.707437418976</v>
      </c>
      <c r="M1686" s="20">
        <v>12</v>
      </c>
      <c r="N1686" s="1">
        <v>9</v>
      </c>
    </row>
    <row r="1687" spans="1:14" x14ac:dyDescent="0.25">
      <c r="A1687" t="str">
        <f t="shared" si="54"/>
        <v>U148117U148117</v>
      </c>
      <c r="B1687" t="str">
        <f t="shared" si="55"/>
        <v>U148117GC9060LL-M</v>
      </c>
      <c r="C1687" s="1" t="s">
        <v>55</v>
      </c>
      <c r="D1687" s="1" t="s">
        <v>615</v>
      </c>
      <c r="E1687" s="1" t="s">
        <v>436</v>
      </c>
      <c r="F1687" s="1" t="s">
        <v>462</v>
      </c>
      <c r="G1687" s="1" t="s">
        <v>438</v>
      </c>
      <c r="H1687" s="1">
        <v>168</v>
      </c>
      <c r="I1687" s="3">
        <v>46273</v>
      </c>
      <c r="J1687" s="3">
        <v>46274</v>
      </c>
      <c r="K1687" s="3" t="s">
        <v>2360</v>
      </c>
      <c r="L1687" s="22">
        <v>46273.632863460647</v>
      </c>
      <c r="M1687" s="20">
        <v>12</v>
      </c>
      <c r="N1687" s="1">
        <v>4</v>
      </c>
    </row>
    <row r="1688" spans="1:14" x14ac:dyDescent="0.25">
      <c r="A1688" t="str">
        <f t="shared" si="54"/>
        <v>U148117U148117</v>
      </c>
      <c r="B1688" t="str">
        <f t="shared" si="55"/>
        <v>U148117GC9060LL-M</v>
      </c>
      <c r="C1688" s="1" t="s">
        <v>55</v>
      </c>
      <c r="D1688" s="1" t="s">
        <v>615</v>
      </c>
      <c r="E1688" s="1" t="s">
        <v>436</v>
      </c>
      <c r="F1688" s="1" t="s">
        <v>462</v>
      </c>
      <c r="G1688" s="1" t="s">
        <v>438</v>
      </c>
      <c r="H1688" s="1">
        <v>168</v>
      </c>
      <c r="I1688" s="3">
        <v>46273</v>
      </c>
      <c r="J1688" s="3">
        <v>46274</v>
      </c>
      <c r="K1688" s="3" t="s">
        <v>2360</v>
      </c>
      <c r="L1688" s="22">
        <v>46273.65825393518</v>
      </c>
      <c r="M1688" s="20">
        <v>12</v>
      </c>
      <c r="N1688" s="1">
        <v>10</v>
      </c>
    </row>
    <row r="1689" spans="1:14" x14ac:dyDescent="0.25">
      <c r="A1689" t="str">
        <f t="shared" si="54"/>
        <v>U148117U148117</v>
      </c>
      <c r="B1689" t="str">
        <f t="shared" si="55"/>
        <v>U148117GC9060LL-M</v>
      </c>
      <c r="C1689" s="1" t="s">
        <v>55</v>
      </c>
      <c r="D1689" s="1" t="s">
        <v>615</v>
      </c>
      <c r="E1689" s="1" t="s">
        <v>436</v>
      </c>
      <c r="F1689" s="1" t="s">
        <v>462</v>
      </c>
      <c r="G1689" s="1" t="s">
        <v>438</v>
      </c>
      <c r="H1689" s="1">
        <v>168</v>
      </c>
      <c r="I1689" s="3">
        <v>46273</v>
      </c>
      <c r="J1689" s="3">
        <v>46274</v>
      </c>
      <c r="K1689" s="3" t="s">
        <v>2360</v>
      </c>
      <c r="L1689" s="22">
        <v>46273.658416435181</v>
      </c>
      <c r="M1689" s="20">
        <v>12</v>
      </c>
      <c r="N1689" s="1">
        <v>12</v>
      </c>
    </row>
    <row r="1690" spans="1:14" x14ac:dyDescent="0.25">
      <c r="A1690" t="str">
        <f t="shared" si="54"/>
        <v>U148117U148117</v>
      </c>
      <c r="B1690" t="str">
        <f t="shared" si="55"/>
        <v>U148117GC9060LL-M</v>
      </c>
      <c r="C1690" s="1" t="s">
        <v>55</v>
      </c>
      <c r="D1690" s="1" t="s">
        <v>615</v>
      </c>
      <c r="E1690" s="1" t="s">
        <v>436</v>
      </c>
      <c r="F1690" s="1" t="s">
        <v>462</v>
      </c>
      <c r="G1690" s="1" t="s">
        <v>438</v>
      </c>
      <c r="H1690" s="1">
        <v>168</v>
      </c>
      <c r="I1690" s="3">
        <v>46273</v>
      </c>
      <c r="J1690" s="3">
        <v>46274</v>
      </c>
      <c r="K1690" s="3" t="s">
        <v>2360</v>
      </c>
      <c r="L1690" s="22">
        <v>46273.658978506945</v>
      </c>
      <c r="M1690" s="20">
        <v>12</v>
      </c>
      <c r="N1690" s="1">
        <v>7</v>
      </c>
    </row>
    <row r="1691" spans="1:14" x14ac:dyDescent="0.25">
      <c r="A1691" t="str">
        <f t="shared" si="54"/>
        <v>U148117U148117</v>
      </c>
      <c r="B1691" t="str">
        <f t="shared" si="55"/>
        <v>U148117GC9060LL-M</v>
      </c>
      <c r="C1691" s="1" t="s">
        <v>55</v>
      </c>
      <c r="D1691" s="1" t="s">
        <v>615</v>
      </c>
      <c r="E1691" s="1" t="s">
        <v>436</v>
      </c>
      <c r="F1691" s="1" t="s">
        <v>462</v>
      </c>
      <c r="G1691" s="1" t="s">
        <v>438</v>
      </c>
      <c r="H1691" s="1">
        <v>168</v>
      </c>
      <c r="I1691" s="3">
        <v>46273</v>
      </c>
      <c r="J1691" s="3">
        <v>46274</v>
      </c>
      <c r="K1691" s="3" t="s">
        <v>2360</v>
      </c>
      <c r="L1691" s="22">
        <v>46273.659144444442</v>
      </c>
      <c r="M1691" s="20">
        <v>12</v>
      </c>
      <c r="N1691" s="1">
        <v>8</v>
      </c>
    </row>
    <row r="1692" spans="1:14" x14ac:dyDescent="0.25">
      <c r="A1692" t="str">
        <f t="shared" si="54"/>
        <v>U148117U148117</v>
      </c>
      <c r="B1692" t="str">
        <f t="shared" si="55"/>
        <v>U148117GC9060LL-M</v>
      </c>
      <c r="C1692" s="1" t="s">
        <v>55</v>
      </c>
      <c r="D1692" s="1" t="s">
        <v>615</v>
      </c>
      <c r="E1692" s="1" t="s">
        <v>436</v>
      </c>
      <c r="F1692" s="1" t="s">
        <v>462</v>
      </c>
      <c r="G1692" s="1" t="s">
        <v>438</v>
      </c>
      <c r="H1692" s="1">
        <v>168</v>
      </c>
      <c r="I1692" s="3">
        <v>46273</v>
      </c>
      <c r="J1692" s="3">
        <v>46274</v>
      </c>
      <c r="K1692" s="3" t="s">
        <v>2360</v>
      </c>
      <c r="L1692" s="22">
        <v>46273.659319756945</v>
      </c>
      <c r="M1692" s="20">
        <v>12</v>
      </c>
      <c r="N1692" s="1">
        <v>13</v>
      </c>
    </row>
    <row r="1693" spans="1:14" x14ac:dyDescent="0.25">
      <c r="A1693" t="str">
        <f t="shared" si="54"/>
        <v>U148117U148117</v>
      </c>
      <c r="B1693" t="str">
        <f t="shared" si="55"/>
        <v>U148117GC9060LL-M</v>
      </c>
      <c r="C1693" s="1" t="s">
        <v>55</v>
      </c>
      <c r="D1693" s="1" t="s">
        <v>615</v>
      </c>
      <c r="E1693" s="1" t="s">
        <v>436</v>
      </c>
      <c r="F1693" s="1" t="s">
        <v>462</v>
      </c>
      <c r="G1693" s="1" t="s">
        <v>438</v>
      </c>
      <c r="H1693" s="1">
        <v>168</v>
      </c>
      <c r="I1693" s="3">
        <v>46273</v>
      </c>
      <c r="J1693" s="3">
        <v>46274</v>
      </c>
      <c r="K1693" s="3" t="s">
        <v>2360</v>
      </c>
      <c r="L1693" s="22">
        <v>46273.665160729164</v>
      </c>
      <c r="M1693" s="20">
        <v>12</v>
      </c>
      <c r="N1693" s="1">
        <v>2</v>
      </c>
    </row>
    <row r="1694" spans="1:14" x14ac:dyDescent="0.25">
      <c r="A1694" t="str">
        <f t="shared" si="54"/>
        <v>U148117U148117</v>
      </c>
      <c r="B1694" t="str">
        <f t="shared" si="55"/>
        <v>U148117GC9060LL-M</v>
      </c>
      <c r="C1694" s="1" t="s">
        <v>55</v>
      </c>
      <c r="D1694" s="1" t="s">
        <v>615</v>
      </c>
      <c r="E1694" s="1" t="s">
        <v>436</v>
      </c>
      <c r="F1694" s="1" t="s">
        <v>462</v>
      </c>
      <c r="G1694" s="1" t="s">
        <v>438</v>
      </c>
      <c r="H1694" s="1">
        <v>168</v>
      </c>
      <c r="I1694" s="3">
        <v>46273</v>
      </c>
      <c r="J1694" s="3">
        <v>46274</v>
      </c>
      <c r="K1694" s="3" t="s">
        <v>2360</v>
      </c>
      <c r="L1694" s="22">
        <v>46273.665640891202</v>
      </c>
      <c r="M1694" s="20">
        <v>12</v>
      </c>
      <c r="N1694" s="1">
        <v>3</v>
      </c>
    </row>
    <row r="1695" spans="1:14" x14ac:dyDescent="0.25">
      <c r="A1695" t="str">
        <f t="shared" si="54"/>
        <v>U148117U148117</v>
      </c>
      <c r="B1695" t="str">
        <f t="shared" si="55"/>
        <v>U148117GC9060LL-M</v>
      </c>
      <c r="C1695" s="1" t="s">
        <v>55</v>
      </c>
      <c r="D1695" s="1" t="s">
        <v>615</v>
      </c>
      <c r="E1695" s="1" t="s">
        <v>436</v>
      </c>
      <c r="F1695" s="1" t="s">
        <v>462</v>
      </c>
      <c r="G1695" s="1" t="s">
        <v>438</v>
      </c>
      <c r="H1695" s="1">
        <v>168</v>
      </c>
      <c r="I1695" s="3">
        <v>46273</v>
      </c>
      <c r="J1695" s="3">
        <v>46274</v>
      </c>
      <c r="K1695" s="3" t="s">
        <v>2360</v>
      </c>
      <c r="L1695" s="22">
        <v>46273.665831597224</v>
      </c>
      <c r="M1695" s="20">
        <v>12</v>
      </c>
      <c r="N1695" s="1">
        <v>5</v>
      </c>
    </row>
    <row r="1696" spans="1:14" x14ac:dyDescent="0.25">
      <c r="A1696" t="str">
        <f t="shared" si="54"/>
        <v>U148117U148117</v>
      </c>
      <c r="B1696" t="str">
        <f t="shared" si="55"/>
        <v>U148117GC9060LL-M</v>
      </c>
      <c r="C1696" s="1" t="s">
        <v>55</v>
      </c>
      <c r="D1696" s="1" t="s">
        <v>615</v>
      </c>
      <c r="E1696" s="1" t="s">
        <v>436</v>
      </c>
      <c r="F1696" s="1" t="s">
        <v>462</v>
      </c>
      <c r="G1696" s="1" t="s">
        <v>438</v>
      </c>
      <c r="H1696" s="1">
        <v>168</v>
      </c>
      <c r="I1696" s="3">
        <v>46273</v>
      </c>
      <c r="J1696" s="3">
        <v>46274</v>
      </c>
      <c r="K1696" s="3" t="s">
        <v>2360</v>
      </c>
      <c r="L1696" s="22">
        <v>46273.666005590276</v>
      </c>
      <c r="M1696" s="20">
        <v>12</v>
      </c>
      <c r="N1696" s="1">
        <v>11</v>
      </c>
    </row>
    <row r="1697" spans="1:14" x14ac:dyDescent="0.25">
      <c r="A1697" t="str">
        <f t="shared" si="54"/>
        <v>U148117U148117</v>
      </c>
      <c r="B1697" t="str">
        <f t="shared" si="55"/>
        <v>U148117GC9060LL-M</v>
      </c>
      <c r="C1697" s="1" t="s">
        <v>55</v>
      </c>
      <c r="D1697" s="1" t="s">
        <v>615</v>
      </c>
      <c r="E1697" s="1" t="s">
        <v>436</v>
      </c>
      <c r="F1697" s="1" t="s">
        <v>462</v>
      </c>
      <c r="G1697" s="1" t="s">
        <v>438</v>
      </c>
      <c r="H1697" s="1">
        <v>168</v>
      </c>
      <c r="I1697" s="3">
        <v>46273</v>
      </c>
      <c r="J1697" s="3">
        <v>46274</v>
      </c>
      <c r="K1697" s="3" t="s">
        <v>2360</v>
      </c>
      <c r="L1697" s="22">
        <v>46273.68110616898</v>
      </c>
      <c r="M1697" s="20">
        <v>12</v>
      </c>
      <c r="N1697" s="1">
        <v>1</v>
      </c>
    </row>
    <row r="1698" spans="1:14" x14ac:dyDescent="0.25">
      <c r="A1698" t="str">
        <f t="shared" si="54"/>
        <v>U148860U148860</v>
      </c>
      <c r="B1698" t="str">
        <f t="shared" si="55"/>
        <v>U148860WL515WHT-B</v>
      </c>
      <c r="C1698" s="1" t="s">
        <v>4</v>
      </c>
      <c r="D1698" s="1" t="s">
        <v>610</v>
      </c>
      <c r="E1698" s="1" t="s">
        <v>436</v>
      </c>
      <c r="F1698" s="1" t="s">
        <v>439</v>
      </c>
      <c r="G1698" s="1" t="s">
        <v>438</v>
      </c>
      <c r="H1698" s="1">
        <v>492</v>
      </c>
      <c r="I1698" s="3">
        <v>46273</v>
      </c>
      <c r="J1698" s="3">
        <v>46288</v>
      </c>
      <c r="K1698" s="3" t="s">
        <v>2371</v>
      </c>
      <c r="L1698" s="22">
        <v>46273.562261307867</v>
      </c>
      <c r="M1698" s="20">
        <v>12</v>
      </c>
      <c r="N1698" s="1">
        <v>27</v>
      </c>
    </row>
    <row r="1699" spans="1:14" x14ac:dyDescent="0.25">
      <c r="A1699" t="str">
        <f t="shared" si="54"/>
        <v>U148860U148860</v>
      </c>
      <c r="B1699" t="str">
        <f t="shared" si="55"/>
        <v>U148860WL515WHT-B</v>
      </c>
      <c r="C1699" s="1" t="s">
        <v>4</v>
      </c>
      <c r="D1699" s="1" t="s">
        <v>610</v>
      </c>
      <c r="E1699" s="1" t="s">
        <v>436</v>
      </c>
      <c r="F1699" s="1" t="s">
        <v>439</v>
      </c>
      <c r="G1699" s="1" t="s">
        <v>438</v>
      </c>
      <c r="H1699" s="1">
        <v>492</v>
      </c>
      <c r="I1699" s="3">
        <v>46273</v>
      </c>
      <c r="J1699" s="3">
        <v>46288</v>
      </c>
      <c r="K1699" s="3" t="s">
        <v>2371</v>
      </c>
      <c r="L1699" s="22">
        <v>46273.562890474532</v>
      </c>
      <c r="M1699" s="20">
        <v>12</v>
      </c>
      <c r="N1699" s="1">
        <v>11</v>
      </c>
    </row>
    <row r="1700" spans="1:14" x14ac:dyDescent="0.25">
      <c r="A1700" t="str">
        <f t="shared" si="54"/>
        <v>U148860U148860</v>
      </c>
      <c r="B1700" t="str">
        <f t="shared" si="55"/>
        <v>U148860WL515WHT-B</v>
      </c>
      <c r="C1700" s="1" t="s">
        <v>4</v>
      </c>
      <c r="D1700" s="1" t="s">
        <v>610</v>
      </c>
      <c r="E1700" s="1" t="s">
        <v>436</v>
      </c>
      <c r="F1700" s="1" t="s">
        <v>439</v>
      </c>
      <c r="G1700" s="1" t="s">
        <v>438</v>
      </c>
      <c r="H1700" s="1">
        <v>492</v>
      </c>
      <c r="I1700" s="3">
        <v>46273</v>
      </c>
      <c r="J1700" s="3">
        <v>46288</v>
      </c>
      <c r="K1700" s="3" t="s">
        <v>2371</v>
      </c>
      <c r="L1700" s="22">
        <v>46273.563992939809</v>
      </c>
      <c r="M1700" s="20">
        <v>12</v>
      </c>
      <c r="N1700" s="1">
        <v>17</v>
      </c>
    </row>
    <row r="1701" spans="1:14" x14ac:dyDescent="0.25">
      <c r="A1701" t="str">
        <f t="shared" si="54"/>
        <v>U148860U148860</v>
      </c>
      <c r="B1701" t="str">
        <f t="shared" si="55"/>
        <v>U148860WL515WHT-B</v>
      </c>
      <c r="C1701" s="1" t="s">
        <v>4</v>
      </c>
      <c r="D1701" s="1" t="s">
        <v>610</v>
      </c>
      <c r="E1701" s="1" t="s">
        <v>436</v>
      </c>
      <c r="F1701" s="1" t="s">
        <v>439</v>
      </c>
      <c r="G1701" s="1" t="s">
        <v>438</v>
      </c>
      <c r="H1701" s="1">
        <v>492</v>
      </c>
      <c r="I1701" s="3">
        <v>46273</v>
      </c>
      <c r="J1701" s="3">
        <v>46288</v>
      </c>
      <c r="K1701" s="3" t="s">
        <v>2371</v>
      </c>
      <c r="L1701" s="22">
        <v>46273.566636655094</v>
      </c>
      <c r="M1701" s="20">
        <v>12</v>
      </c>
      <c r="N1701" s="1">
        <v>19</v>
      </c>
    </row>
    <row r="1702" spans="1:14" x14ac:dyDescent="0.25">
      <c r="A1702" t="str">
        <f t="shared" si="54"/>
        <v>U148860U148860</v>
      </c>
      <c r="B1702" t="str">
        <f t="shared" si="55"/>
        <v>U148860WL515WHT-B</v>
      </c>
      <c r="C1702" s="1" t="s">
        <v>4</v>
      </c>
      <c r="D1702" s="1" t="s">
        <v>610</v>
      </c>
      <c r="E1702" s="1" t="s">
        <v>436</v>
      </c>
      <c r="F1702" s="1" t="s">
        <v>439</v>
      </c>
      <c r="G1702" s="1" t="s">
        <v>438</v>
      </c>
      <c r="H1702" s="1">
        <v>492</v>
      </c>
      <c r="I1702" s="3">
        <v>46273</v>
      </c>
      <c r="J1702" s="3">
        <v>46288</v>
      </c>
      <c r="K1702" s="3" t="s">
        <v>2371</v>
      </c>
      <c r="L1702" s="22">
        <v>46273.573819293983</v>
      </c>
      <c r="M1702" s="20">
        <v>12</v>
      </c>
      <c r="N1702" s="1">
        <v>29</v>
      </c>
    </row>
    <row r="1703" spans="1:14" x14ac:dyDescent="0.25">
      <c r="A1703" t="str">
        <f t="shared" si="54"/>
        <v>U148860U148860</v>
      </c>
      <c r="B1703" t="str">
        <f t="shared" si="55"/>
        <v>U148860WL515WHT-B</v>
      </c>
      <c r="C1703" s="1" t="s">
        <v>4</v>
      </c>
      <c r="D1703" s="1" t="s">
        <v>610</v>
      </c>
      <c r="E1703" s="1" t="s">
        <v>436</v>
      </c>
      <c r="F1703" s="1" t="s">
        <v>439</v>
      </c>
      <c r="G1703" s="1" t="s">
        <v>438</v>
      </c>
      <c r="H1703" s="1">
        <v>492</v>
      </c>
      <c r="I1703" s="3">
        <v>46273</v>
      </c>
      <c r="J1703" s="3">
        <v>46288</v>
      </c>
      <c r="K1703" s="3" t="s">
        <v>2371</v>
      </c>
      <c r="L1703" s="22">
        <v>46273.574592592588</v>
      </c>
      <c r="M1703" s="20">
        <v>12</v>
      </c>
      <c r="N1703" s="1">
        <v>6</v>
      </c>
    </row>
    <row r="1704" spans="1:14" x14ac:dyDescent="0.25">
      <c r="A1704" t="str">
        <f t="shared" si="54"/>
        <v>U148860U148860</v>
      </c>
      <c r="B1704" t="str">
        <f t="shared" si="55"/>
        <v>U148860WL515WHT-B</v>
      </c>
      <c r="C1704" s="1" t="s">
        <v>4</v>
      </c>
      <c r="D1704" s="1" t="s">
        <v>610</v>
      </c>
      <c r="E1704" s="1" t="s">
        <v>436</v>
      </c>
      <c r="F1704" s="1" t="s">
        <v>439</v>
      </c>
      <c r="G1704" s="1" t="s">
        <v>438</v>
      </c>
      <c r="H1704" s="1">
        <v>492</v>
      </c>
      <c r="I1704" s="3">
        <v>46273</v>
      </c>
      <c r="J1704" s="3">
        <v>46288</v>
      </c>
      <c r="K1704" s="3" t="s">
        <v>2371</v>
      </c>
      <c r="L1704" s="22">
        <v>46273.574962349536</v>
      </c>
      <c r="M1704" s="20">
        <v>12</v>
      </c>
      <c r="N1704" s="1">
        <v>28</v>
      </c>
    </row>
    <row r="1705" spans="1:14" x14ac:dyDescent="0.25">
      <c r="A1705" t="str">
        <f t="shared" si="54"/>
        <v>U148860U148860</v>
      </c>
      <c r="B1705" t="str">
        <f t="shared" si="55"/>
        <v>U148860WL515WHT-B</v>
      </c>
      <c r="C1705" s="1" t="s">
        <v>4</v>
      </c>
      <c r="D1705" s="1" t="s">
        <v>610</v>
      </c>
      <c r="E1705" s="1" t="s">
        <v>436</v>
      </c>
      <c r="F1705" s="1" t="s">
        <v>439</v>
      </c>
      <c r="G1705" s="1" t="s">
        <v>438</v>
      </c>
      <c r="H1705" s="1">
        <v>492</v>
      </c>
      <c r="I1705" s="3">
        <v>46273</v>
      </c>
      <c r="J1705" s="3">
        <v>46288</v>
      </c>
      <c r="K1705" s="3" t="s">
        <v>2371</v>
      </c>
      <c r="L1705" s="22">
        <v>46273.576009490738</v>
      </c>
      <c r="M1705" s="20">
        <v>12</v>
      </c>
      <c r="N1705" s="1">
        <v>3</v>
      </c>
    </row>
    <row r="1706" spans="1:14" x14ac:dyDescent="0.25">
      <c r="A1706" t="str">
        <f t="shared" si="54"/>
        <v>U148860U148860</v>
      </c>
      <c r="B1706" t="str">
        <f t="shared" si="55"/>
        <v>U148860WL515WHT-B</v>
      </c>
      <c r="C1706" s="1" t="s">
        <v>4</v>
      </c>
      <c r="D1706" s="1" t="s">
        <v>610</v>
      </c>
      <c r="E1706" s="1" t="s">
        <v>436</v>
      </c>
      <c r="F1706" s="1" t="s">
        <v>439</v>
      </c>
      <c r="G1706" s="1" t="s">
        <v>438</v>
      </c>
      <c r="H1706" s="1">
        <v>492</v>
      </c>
      <c r="I1706" s="3">
        <v>46273</v>
      </c>
      <c r="J1706" s="3">
        <v>46288</v>
      </c>
      <c r="K1706" s="3" t="s">
        <v>2371</v>
      </c>
      <c r="L1706" s="22">
        <v>46273.57669765046</v>
      </c>
      <c r="M1706" s="20">
        <v>12</v>
      </c>
      <c r="N1706" s="1">
        <v>20</v>
      </c>
    </row>
    <row r="1707" spans="1:14" x14ac:dyDescent="0.25">
      <c r="A1707" t="str">
        <f t="shared" si="54"/>
        <v>U148860U148860</v>
      </c>
      <c r="B1707" t="str">
        <f t="shared" si="55"/>
        <v>U148860WL515WHT-B</v>
      </c>
      <c r="C1707" s="1" t="s">
        <v>4</v>
      </c>
      <c r="D1707" s="1" t="s">
        <v>610</v>
      </c>
      <c r="E1707" s="1" t="s">
        <v>436</v>
      </c>
      <c r="F1707" s="1" t="s">
        <v>439</v>
      </c>
      <c r="G1707" s="1" t="s">
        <v>438</v>
      </c>
      <c r="H1707" s="1">
        <v>492</v>
      </c>
      <c r="I1707" s="3">
        <v>46273</v>
      </c>
      <c r="J1707" s="3">
        <v>46288</v>
      </c>
      <c r="K1707" s="3" t="s">
        <v>2371</v>
      </c>
      <c r="L1707" s="22">
        <v>46273.578243634256</v>
      </c>
      <c r="M1707" s="20">
        <v>12</v>
      </c>
      <c r="N1707" s="1">
        <v>18</v>
      </c>
    </row>
    <row r="1708" spans="1:14" x14ac:dyDescent="0.25">
      <c r="A1708" t="str">
        <f t="shared" si="54"/>
        <v>U148860U148860</v>
      </c>
      <c r="B1708" t="str">
        <f t="shared" si="55"/>
        <v>U148860WL515WHT-B</v>
      </c>
      <c r="C1708" s="1" t="s">
        <v>4</v>
      </c>
      <c r="D1708" s="1" t="s">
        <v>610</v>
      </c>
      <c r="E1708" s="1" t="s">
        <v>436</v>
      </c>
      <c r="F1708" s="1" t="s">
        <v>439</v>
      </c>
      <c r="G1708" s="1" t="s">
        <v>438</v>
      </c>
      <c r="H1708" s="1">
        <v>492</v>
      </c>
      <c r="I1708" s="3">
        <v>46273</v>
      </c>
      <c r="J1708" s="3">
        <v>46288</v>
      </c>
      <c r="K1708" s="3" t="s">
        <v>2371</v>
      </c>
      <c r="L1708" s="22">
        <v>46273.579421412032</v>
      </c>
      <c r="M1708" s="20">
        <v>12</v>
      </c>
      <c r="N1708" s="1">
        <v>12</v>
      </c>
    </row>
    <row r="1709" spans="1:14" x14ac:dyDescent="0.25">
      <c r="A1709" t="str">
        <f t="shared" si="54"/>
        <v>U148860U148860</v>
      </c>
      <c r="B1709" t="str">
        <f t="shared" si="55"/>
        <v>U148860WL515WHT-B</v>
      </c>
      <c r="C1709" s="1" t="s">
        <v>4</v>
      </c>
      <c r="D1709" s="1" t="s">
        <v>610</v>
      </c>
      <c r="E1709" s="1" t="s">
        <v>436</v>
      </c>
      <c r="F1709" s="1" t="s">
        <v>439</v>
      </c>
      <c r="G1709" s="1" t="s">
        <v>438</v>
      </c>
      <c r="H1709" s="1">
        <v>492</v>
      </c>
      <c r="I1709" s="3">
        <v>46273</v>
      </c>
      <c r="J1709" s="3">
        <v>46288</v>
      </c>
      <c r="K1709" s="3" t="s">
        <v>2371</v>
      </c>
      <c r="L1709" s="22">
        <v>46273.581350381945</v>
      </c>
      <c r="M1709" s="20">
        <v>12</v>
      </c>
      <c r="N1709" s="1">
        <v>14</v>
      </c>
    </row>
    <row r="1710" spans="1:14" x14ac:dyDescent="0.25">
      <c r="A1710" t="str">
        <f t="shared" si="54"/>
        <v>U148860U148860</v>
      </c>
      <c r="B1710" t="str">
        <f t="shared" si="55"/>
        <v>U148860WL515WHT-B</v>
      </c>
      <c r="C1710" s="1" t="s">
        <v>4</v>
      </c>
      <c r="D1710" s="1" t="s">
        <v>610</v>
      </c>
      <c r="E1710" s="1" t="s">
        <v>436</v>
      </c>
      <c r="F1710" s="1" t="s">
        <v>439</v>
      </c>
      <c r="G1710" s="1" t="s">
        <v>438</v>
      </c>
      <c r="H1710" s="1">
        <v>492</v>
      </c>
      <c r="I1710" s="3">
        <v>46273</v>
      </c>
      <c r="J1710" s="3">
        <v>46288</v>
      </c>
      <c r="K1710" s="3" t="s">
        <v>2371</v>
      </c>
      <c r="L1710" s="22">
        <v>46273.583530439813</v>
      </c>
      <c r="M1710" s="20">
        <v>12</v>
      </c>
      <c r="N1710" s="1">
        <v>7</v>
      </c>
    </row>
    <row r="1711" spans="1:14" x14ac:dyDescent="0.25">
      <c r="A1711" t="str">
        <f t="shared" si="54"/>
        <v>U148860U148860</v>
      </c>
      <c r="B1711" t="str">
        <f t="shared" si="55"/>
        <v>U148860WL515WHT-B</v>
      </c>
      <c r="C1711" s="1" t="s">
        <v>4</v>
      </c>
      <c r="D1711" s="1" t="s">
        <v>610</v>
      </c>
      <c r="E1711" s="1" t="s">
        <v>436</v>
      </c>
      <c r="F1711" s="1" t="s">
        <v>439</v>
      </c>
      <c r="G1711" s="1" t="s">
        <v>438</v>
      </c>
      <c r="H1711" s="1">
        <v>492</v>
      </c>
      <c r="I1711" s="3">
        <v>46273</v>
      </c>
      <c r="J1711" s="3">
        <v>46288</v>
      </c>
      <c r="K1711" s="3" t="s">
        <v>2371</v>
      </c>
      <c r="L1711" s="22">
        <v>46273.584200810183</v>
      </c>
      <c r="M1711" s="20">
        <v>12</v>
      </c>
      <c r="N1711" s="1">
        <v>22</v>
      </c>
    </row>
    <row r="1712" spans="1:14" x14ac:dyDescent="0.25">
      <c r="A1712" t="str">
        <f t="shared" si="54"/>
        <v>U148860U148860</v>
      </c>
      <c r="B1712" t="str">
        <f t="shared" si="55"/>
        <v>U148860WL515WHT-B</v>
      </c>
      <c r="C1712" s="1" t="s">
        <v>4</v>
      </c>
      <c r="D1712" s="1" t="s">
        <v>610</v>
      </c>
      <c r="E1712" s="1" t="s">
        <v>436</v>
      </c>
      <c r="F1712" s="1" t="s">
        <v>439</v>
      </c>
      <c r="G1712" s="1" t="s">
        <v>438</v>
      </c>
      <c r="H1712" s="1">
        <v>492</v>
      </c>
      <c r="I1712" s="3">
        <v>46273</v>
      </c>
      <c r="J1712" s="3">
        <v>46288</v>
      </c>
      <c r="K1712" s="3" t="s">
        <v>2371</v>
      </c>
      <c r="L1712" s="22">
        <v>46273.596643055556</v>
      </c>
      <c r="M1712" s="20">
        <v>12</v>
      </c>
      <c r="N1712" s="1">
        <v>37</v>
      </c>
    </row>
    <row r="1713" spans="1:14" x14ac:dyDescent="0.25">
      <c r="A1713" t="str">
        <f t="shared" si="54"/>
        <v>U148860U148860</v>
      </c>
      <c r="B1713" t="str">
        <f t="shared" si="55"/>
        <v>U148860WL515WHT-B</v>
      </c>
      <c r="C1713" s="1" t="s">
        <v>4</v>
      </c>
      <c r="D1713" s="1" t="s">
        <v>610</v>
      </c>
      <c r="E1713" s="1" t="s">
        <v>436</v>
      </c>
      <c r="F1713" s="1" t="s">
        <v>439</v>
      </c>
      <c r="G1713" s="1" t="s">
        <v>438</v>
      </c>
      <c r="H1713" s="1">
        <v>492</v>
      </c>
      <c r="I1713" s="3">
        <v>46273</v>
      </c>
      <c r="J1713" s="3">
        <v>46288</v>
      </c>
      <c r="K1713" s="3" t="s">
        <v>2371</v>
      </c>
      <c r="L1713" s="22">
        <v>46273.596877743053</v>
      </c>
      <c r="M1713" s="20">
        <v>12</v>
      </c>
      <c r="N1713" s="1">
        <v>21</v>
      </c>
    </row>
    <row r="1714" spans="1:14" x14ac:dyDescent="0.25">
      <c r="A1714" t="str">
        <f t="shared" si="54"/>
        <v>U148860U148860</v>
      </c>
      <c r="B1714" t="str">
        <f t="shared" si="55"/>
        <v>U148860WL515WHT-B</v>
      </c>
      <c r="C1714" s="1" t="s">
        <v>4</v>
      </c>
      <c r="D1714" s="1" t="s">
        <v>610</v>
      </c>
      <c r="E1714" s="1" t="s">
        <v>436</v>
      </c>
      <c r="F1714" s="1" t="s">
        <v>439</v>
      </c>
      <c r="G1714" s="1" t="s">
        <v>438</v>
      </c>
      <c r="H1714" s="1">
        <v>492</v>
      </c>
      <c r="I1714" s="3">
        <v>46273</v>
      </c>
      <c r="J1714" s="3">
        <v>46288</v>
      </c>
      <c r="K1714" s="3" t="s">
        <v>2371</v>
      </c>
      <c r="L1714" s="22">
        <v>46273.597194178241</v>
      </c>
      <c r="M1714" s="20">
        <v>12</v>
      </c>
      <c r="N1714" s="1">
        <v>4</v>
      </c>
    </row>
    <row r="1715" spans="1:14" x14ac:dyDescent="0.25">
      <c r="A1715" t="str">
        <f t="shared" si="54"/>
        <v>U148860U148860</v>
      </c>
      <c r="B1715" t="str">
        <f t="shared" si="55"/>
        <v>U148860WL515WHT-B</v>
      </c>
      <c r="C1715" s="1" t="s">
        <v>4</v>
      </c>
      <c r="D1715" s="1" t="s">
        <v>610</v>
      </c>
      <c r="E1715" s="1" t="s">
        <v>436</v>
      </c>
      <c r="F1715" s="1" t="s">
        <v>439</v>
      </c>
      <c r="G1715" s="1" t="s">
        <v>438</v>
      </c>
      <c r="H1715" s="1">
        <v>492</v>
      </c>
      <c r="I1715" s="3">
        <v>46273</v>
      </c>
      <c r="J1715" s="3">
        <v>46288</v>
      </c>
      <c r="K1715" s="3" t="s">
        <v>2371</v>
      </c>
      <c r="L1715" s="22">
        <v>46273.601724571759</v>
      </c>
      <c r="M1715" s="20">
        <v>12</v>
      </c>
      <c r="N1715" s="1">
        <v>1</v>
      </c>
    </row>
    <row r="1716" spans="1:14" x14ac:dyDescent="0.25">
      <c r="A1716" t="str">
        <f t="shared" si="54"/>
        <v>U148860U148860</v>
      </c>
      <c r="B1716" t="str">
        <f t="shared" si="55"/>
        <v>U148860WL515WHT-B</v>
      </c>
      <c r="C1716" s="1" t="s">
        <v>4</v>
      </c>
      <c r="D1716" s="1" t="s">
        <v>610</v>
      </c>
      <c r="E1716" s="1" t="s">
        <v>436</v>
      </c>
      <c r="F1716" s="1" t="s">
        <v>439</v>
      </c>
      <c r="G1716" s="1" t="s">
        <v>438</v>
      </c>
      <c r="H1716" s="1">
        <v>492</v>
      </c>
      <c r="I1716" s="3">
        <v>46273</v>
      </c>
      <c r="J1716" s="3">
        <v>46288</v>
      </c>
      <c r="K1716" s="3" t="s">
        <v>2371</v>
      </c>
      <c r="L1716" s="22">
        <v>46273.602294247685</v>
      </c>
      <c r="M1716" s="20">
        <v>12</v>
      </c>
      <c r="N1716" s="1">
        <v>30</v>
      </c>
    </row>
    <row r="1717" spans="1:14" x14ac:dyDescent="0.25">
      <c r="A1717" t="str">
        <f t="shared" si="54"/>
        <v>U148860U148860</v>
      </c>
      <c r="B1717" t="str">
        <f t="shared" si="55"/>
        <v>U148860WL515WHT-B</v>
      </c>
      <c r="C1717" s="1" t="s">
        <v>4</v>
      </c>
      <c r="D1717" s="1" t="s">
        <v>610</v>
      </c>
      <c r="E1717" s="1" t="s">
        <v>436</v>
      </c>
      <c r="F1717" s="1" t="s">
        <v>439</v>
      </c>
      <c r="G1717" s="1" t="s">
        <v>438</v>
      </c>
      <c r="H1717" s="1">
        <v>492</v>
      </c>
      <c r="I1717" s="3">
        <v>46273</v>
      </c>
      <c r="J1717" s="3">
        <v>46288</v>
      </c>
      <c r="K1717" s="3" t="s">
        <v>2371</v>
      </c>
      <c r="L1717" s="22">
        <v>46273.605729363422</v>
      </c>
      <c r="M1717" s="20">
        <v>12</v>
      </c>
      <c r="N1717" s="1">
        <v>23</v>
      </c>
    </row>
    <row r="1718" spans="1:14" x14ac:dyDescent="0.25">
      <c r="A1718" t="str">
        <f t="shared" si="54"/>
        <v>U148860U148860</v>
      </c>
      <c r="B1718" t="str">
        <f t="shared" si="55"/>
        <v>U148860WL515WHT-B</v>
      </c>
      <c r="C1718" s="1" t="s">
        <v>4</v>
      </c>
      <c r="D1718" s="1" t="s">
        <v>610</v>
      </c>
      <c r="E1718" s="1" t="s">
        <v>436</v>
      </c>
      <c r="F1718" s="1" t="s">
        <v>439</v>
      </c>
      <c r="G1718" s="1" t="s">
        <v>438</v>
      </c>
      <c r="H1718" s="1">
        <v>492</v>
      </c>
      <c r="I1718" s="3">
        <v>46273</v>
      </c>
      <c r="J1718" s="3">
        <v>46288</v>
      </c>
      <c r="K1718" s="3" t="s">
        <v>2371</v>
      </c>
      <c r="L1718" s="22">
        <v>46273.606795520835</v>
      </c>
      <c r="M1718" s="20">
        <v>12</v>
      </c>
      <c r="N1718" s="1">
        <v>9</v>
      </c>
    </row>
    <row r="1719" spans="1:14" x14ac:dyDescent="0.25">
      <c r="A1719" t="str">
        <f t="shared" si="54"/>
        <v>U148860U148860</v>
      </c>
      <c r="B1719" t="str">
        <f t="shared" si="55"/>
        <v>U148860WL515WHT-B</v>
      </c>
      <c r="C1719" s="1" t="s">
        <v>4</v>
      </c>
      <c r="D1719" s="1" t="s">
        <v>610</v>
      </c>
      <c r="E1719" s="1" t="s">
        <v>436</v>
      </c>
      <c r="F1719" s="1" t="s">
        <v>439</v>
      </c>
      <c r="G1719" s="1" t="s">
        <v>438</v>
      </c>
      <c r="H1719" s="1">
        <v>492</v>
      </c>
      <c r="I1719" s="3">
        <v>46273</v>
      </c>
      <c r="J1719" s="3">
        <v>46288</v>
      </c>
      <c r="K1719" s="3" t="s">
        <v>2371</v>
      </c>
      <c r="L1719" s="22">
        <v>46273.615979861112</v>
      </c>
      <c r="M1719" s="20">
        <v>12</v>
      </c>
      <c r="N1719" s="1">
        <v>24</v>
      </c>
    </row>
    <row r="1720" spans="1:14" x14ac:dyDescent="0.25">
      <c r="A1720" t="str">
        <f t="shared" si="54"/>
        <v>U148860U148860</v>
      </c>
      <c r="B1720" t="str">
        <f t="shared" si="55"/>
        <v>U148860WL515WHT-B</v>
      </c>
      <c r="C1720" s="1" t="s">
        <v>4</v>
      </c>
      <c r="D1720" s="1" t="s">
        <v>610</v>
      </c>
      <c r="E1720" s="1" t="s">
        <v>436</v>
      </c>
      <c r="F1720" s="1" t="s">
        <v>439</v>
      </c>
      <c r="G1720" s="1" t="s">
        <v>438</v>
      </c>
      <c r="H1720" s="1">
        <v>492</v>
      </c>
      <c r="I1720" s="3">
        <v>46273</v>
      </c>
      <c r="J1720" s="3">
        <v>46288</v>
      </c>
      <c r="K1720" s="3" t="s">
        <v>2371</v>
      </c>
      <c r="L1720" s="22">
        <v>46273.616321064816</v>
      </c>
      <c r="M1720" s="20">
        <v>12</v>
      </c>
      <c r="N1720" s="1">
        <v>13</v>
      </c>
    </row>
    <row r="1721" spans="1:14" x14ac:dyDescent="0.25">
      <c r="A1721" t="str">
        <f t="shared" si="54"/>
        <v>U148860U148860</v>
      </c>
      <c r="B1721" t="str">
        <f t="shared" si="55"/>
        <v>U148860WL515WHT-B</v>
      </c>
      <c r="C1721" s="1" t="s">
        <v>4</v>
      </c>
      <c r="D1721" s="1" t="s">
        <v>610</v>
      </c>
      <c r="E1721" s="1" t="s">
        <v>436</v>
      </c>
      <c r="F1721" s="1" t="s">
        <v>439</v>
      </c>
      <c r="G1721" s="1" t="s">
        <v>438</v>
      </c>
      <c r="H1721" s="1">
        <v>492</v>
      </c>
      <c r="I1721" s="3">
        <v>46273</v>
      </c>
      <c r="J1721" s="3">
        <v>46288</v>
      </c>
      <c r="K1721" s="3" t="s">
        <v>2371</v>
      </c>
      <c r="L1721" s="22">
        <v>46273.616673761571</v>
      </c>
      <c r="M1721" s="20">
        <v>12</v>
      </c>
      <c r="N1721" s="1">
        <v>33</v>
      </c>
    </row>
    <row r="1722" spans="1:14" x14ac:dyDescent="0.25">
      <c r="A1722" t="str">
        <f t="shared" si="54"/>
        <v>U148860U148860</v>
      </c>
      <c r="B1722" t="str">
        <f t="shared" si="55"/>
        <v>U148860WL515WHT-B</v>
      </c>
      <c r="C1722" s="1" t="s">
        <v>4</v>
      </c>
      <c r="D1722" s="1" t="s">
        <v>610</v>
      </c>
      <c r="E1722" s="1" t="s">
        <v>436</v>
      </c>
      <c r="F1722" s="1" t="s">
        <v>439</v>
      </c>
      <c r="G1722" s="1" t="s">
        <v>438</v>
      </c>
      <c r="H1722" s="1">
        <v>492</v>
      </c>
      <c r="I1722" s="3">
        <v>46273</v>
      </c>
      <c r="J1722" s="3">
        <v>46288</v>
      </c>
      <c r="K1722" s="3" t="s">
        <v>2371</v>
      </c>
      <c r="L1722" s="22">
        <v>46273.617471724538</v>
      </c>
      <c r="M1722" s="20">
        <v>12</v>
      </c>
      <c r="N1722" s="1">
        <v>8</v>
      </c>
    </row>
    <row r="1723" spans="1:14" x14ac:dyDescent="0.25">
      <c r="A1723" t="str">
        <f t="shared" si="54"/>
        <v>U148860U148860</v>
      </c>
      <c r="B1723" t="str">
        <f t="shared" si="55"/>
        <v>U148860WL515WHT-B</v>
      </c>
      <c r="C1723" s="1" t="s">
        <v>4</v>
      </c>
      <c r="D1723" s="1" t="s">
        <v>610</v>
      </c>
      <c r="E1723" s="1" t="s">
        <v>436</v>
      </c>
      <c r="F1723" s="1" t="s">
        <v>439</v>
      </c>
      <c r="G1723" s="1" t="s">
        <v>438</v>
      </c>
      <c r="H1723" s="1">
        <v>492</v>
      </c>
      <c r="I1723" s="3">
        <v>46273</v>
      </c>
      <c r="J1723" s="3">
        <v>46288</v>
      </c>
      <c r="K1723" s="3" t="s">
        <v>2371</v>
      </c>
      <c r="L1723" s="22">
        <v>46273.637492048612</v>
      </c>
      <c r="M1723" s="20">
        <v>12</v>
      </c>
      <c r="N1723" s="1">
        <v>34</v>
      </c>
    </row>
    <row r="1724" spans="1:14" x14ac:dyDescent="0.25">
      <c r="A1724" t="str">
        <f t="shared" si="54"/>
        <v>U148860U148860</v>
      </c>
      <c r="B1724" t="str">
        <f t="shared" si="55"/>
        <v>U148860WL515WHT-B</v>
      </c>
      <c r="C1724" s="1" t="s">
        <v>4</v>
      </c>
      <c r="D1724" s="1" t="s">
        <v>610</v>
      </c>
      <c r="E1724" s="1" t="s">
        <v>436</v>
      </c>
      <c r="F1724" s="1" t="s">
        <v>439</v>
      </c>
      <c r="G1724" s="1" t="s">
        <v>438</v>
      </c>
      <c r="H1724" s="1">
        <v>492</v>
      </c>
      <c r="I1724" s="3">
        <v>46273</v>
      </c>
      <c r="J1724" s="3">
        <v>46288</v>
      </c>
      <c r="K1724" s="3" t="s">
        <v>2371</v>
      </c>
      <c r="L1724" s="22">
        <v>46273.638053819443</v>
      </c>
      <c r="M1724" s="20">
        <v>12</v>
      </c>
      <c r="N1724" s="1">
        <v>40</v>
      </c>
    </row>
    <row r="1725" spans="1:14" x14ac:dyDescent="0.25">
      <c r="A1725" t="str">
        <f t="shared" si="54"/>
        <v>U148860U148860</v>
      </c>
      <c r="B1725" t="str">
        <f t="shared" si="55"/>
        <v>U148860WL515WHT-B</v>
      </c>
      <c r="C1725" s="1" t="s">
        <v>4</v>
      </c>
      <c r="D1725" s="1" t="s">
        <v>610</v>
      </c>
      <c r="E1725" s="1" t="s">
        <v>436</v>
      </c>
      <c r="F1725" s="1" t="s">
        <v>439</v>
      </c>
      <c r="G1725" s="1" t="s">
        <v>438</v>
      </c>
      <c r="H1725" s="1">
        <v>492</v>
      </c>
      <c r="I1725" s="3">
        <v>46273</v>
      </c>
      <c r="J1725" s="3">
        <v>46288</v>
      </c>
      <c r="K1725" s="3" t="s">
        <v>2371</v>
      </c>
      <c r="L1725" s="22">
        <v>46273.638299224534</v>
      </c>
      <c r="M1725" s="20">
        <v>12</v>
      </c>
      <c r="N1725" s="1">
        <v>15</v>
      </c>
    </row>
    <row r="1726" spans="1:14" x14ac:dyDescent="0.25">
      <c r="A1726" t="str">
        <f t="shared" si="54"/>
        <v>U148860U148860</v>
      </c>
      <c r="B1726" t="str">
        <f t="shared" si="55"/>
        <v>U148860WL515WHT-B</v>
      </c>
      <c r="C1726" s="1" t="s">
        <v>4</v>
      </c>
      <c r="D1726" s="1" t="s">
        <v>610</v>
      </c>
      <c r="E1726" s="1" t="s">
        <v>436</v>
      </c>
      <c r="F1726" s="1" t="s">
        <v>439</v>
      </c>
      <c r="G1726" s="1" t="s">
        <v>438</v>
      </c>
      <c r="H1726" s="1">
        <v>492</v>
      </c>
      <c r="I1726" s="3">
        <v>46273</v>
      </c>
      <c r="J1726" s="3">
        <v>46288</v>
      </c>
      <c r="K1726" s="3" t="s">
        <v>2371</v>
      </c>
      <c r="L1726" s="22">
        <v>46273.649003043982</v>
      </c>
      <c r="M1726" s="20">
        <v>12</v>
      </c>
      <c r="N1726" s="1">
        <v>31</v>
      </c>
    </row>
    <row r="1727" spans="1:14" x14ac:dyDescent="0.25">
      <c r="A1727" t="str">
        <f t="shared" si="54"/>
        <v>U148860U148860</v>
      </c>
      <c r="B1727" t="str">
        <f t="shared" si="55"/>
        <v>U148860WL515WHT-B</v>
      </c>
      <c r="C1727" s="1" t="s">
        <v>4</v>
      </c>
      <c r="D1727" s="1" t="s">
        <v>610</v>
      </c>
      <c r="E1727" s="1" t="s">
        <v>436</v>
      </c>
      <c r="F1727" s="1" t="s">
        <v>439</v>
      </c>
      <c r="G1727" s="1" t="s">
        <v>438</v>
      </c>
      <c r="H1727" s="1">
        <v>492</v>
      </c>
      <c r="I1727" s="3">
        <v>46273</v>
      </c>
      <c r="J1727" s="3">
        <v>46288</v>
      </c>
      <c r="K1727" s="3" t="s">
        <v>2371</v>
      </c>
      <c r="L1727" s="22">
        <v>46273.649429166668</v>
      </c>
      <c r="M1727" s="20">
        <v>12</v>
      </c>
      <c r="N1727" s="1">
        <v>25</v>
      </c>
    </row>
    <row r="1728" spans="1:14" x14ac:dyDescent="0.25">
      <c r="A1728" t="str">
        <f t="shared" si="54"/>
        <v>U148860U148860</v>
      </c>
      <c r="B1728" t="str">
        <f t="shared" si="55"/>
        <v>U148860WL515WHT-B</v>
      </c>
      <c r="C1728" s="1" t="s">
        <v>4</v>
      </c>
      <c r="D1728" s="1" t="s">
        <v>610</v>
      </c>
      <c r="E1728" s="1" t="s">
        <v>436</v>
      </c>
      <c r="F1728" s="1" t="s">
        <v>439</v>
      </c>
      <c r="G1728" s="1" t="s">
        <v>438</v>
      </c>
      <c r="H1728" s="1">
        <v>492</v>
      </c>
      <c r="I1728" s="3">
        <v>46273</v>
      </c>
      <c r="J1728" s="3">
        <v>46288</v>
      </c>
      <c r="K1728" s="3" t="s">
        <v>2371</v>
      </c>
      <c r="L1728" s="22">
        <v>46273.651188888885</v>
      </c>
      <c r="M1728" s="20">
        <v>12</v>
      </c>
      <c r="N1728" s="1">
        <v>35</v>
      </c>
    </row>
    <row r="1729" spans="1:14" x14ac:dyDescent="0.25">
      <c r="A1729" t="str">
        <f t="shared" si="54"/>
        <v>U148860U148860</v>
      </c>
      <c r="B1729" t="str">
        <f t="shared" si="55"/>
        <v>U148860WL515WHT-B</v>
      </c>
      <c r="C1729" s="1" t="s">
        <v>4</v>
      </c>
      <c r="D1729" s="1" t="s">
        <v>610</v>
      </c>
      <c r="E1729" s="1" t="s">
        <v>436</v>
      </c>
      <c r="F1729" s="1" t="s">
        <v>439</v>
      </c>
      <c r="G1729" s="1" t="s">
        <v>438</v>
      </c>
      <c r="H1729" s="1">
        <v>492</v>
      </c>
      <c r="I1729" s="3">
        <v>46273</v>
      </c>
      <c r="J1729" s="3">
        <v>46288</v>
      </c>
      <c r="K1729" s="3" t="s">
        <v>2371</v>
      </c>
      <c r="L1729" s="22">
        <v>46273.658570636573</v>
      </c>
      <c r="M1729" s="20">
        <v>12</v>
      </c>
      <c r="N1729" s="1">
        <v>38</v>
      </c>
    </row>
    <row r="1730" spans="1:14" x14ac:dyDescent="0.25">
      <c r="A1730" t="str">
        <f t="shared" ref="A1730:A1793" si="56">+D1730&amp;D1730</f>
        <v>U148860U148860</v>
      </c>
      <c r="B1730" t="str">
        <f t="shared" ref="B1730:B1793" si="57">+D1730&amp;C1730</f>
        <v>U148860WL515WHT-B</v>
      </c>
      <c r="C1730" s="1" t="s">
        <v>4</v>
      </c>
      <c r="D1730" s="1" t="s">
        <v>610</v>
      </c>
      <c r="E1730" s="1" t="s">
        <v>436</v>
      </c>
      <c r="F1730" s="1" t="s">
        <v>439</v>
      </c>
      <c r="G1730" s="1" t="s">
        <v>438</v>
      </c>
      <c r="H1730" s="1">
        <v>492</v>
      </c>
      <c r="I1730" s="3">
        <v>46273</v>
      </c>
      <c r="J1730" s="3">
        <v>46288</v>
      </c>
      <c r="K1730" s="3" t="s">
        <v>2371</v>
      </c>
      <c r="L1730" s="22">
        <v>46273.658904166667</v>
      </c>
      <c r="M1730" s="20">
        <v>12</v>
      </c>
      <c r="N1730" s="1">
        <v>41</v>
      </c>
    </row>
    <row r="1731" spans="1:14" x14ac:dyDescent="0.25">
      <c r="A1731" t="str">
        <f t="shared" si="56"/>
        <v>U148860U148860</v>
      </c>
      <c r="B1731" t="str">
        <f t="shared" si="57"/>
        <v>U148860WL515WHT-B</v>
      </c>
      <c r="C1731" s="1" t="s">
        <v>4</v>
      </c>
      <c r="D1731" s="1" t="s">
        <v>610</v>
      </c>
      <c r="E1731" s="1" t="s">
        <v>436</v>
      </c>
      <c r="F1731" s="1" t="s">
        <v>439</v>
      </c>
      <c r="G1731" s="1" t="s">
        <v>438</v>
      </c>
      <c r="H1731" s="1">
        <v>492</v>
      </c>
      <c r="I1731" s="3">
        <v>46273</v>
      </c>
      <c r="J1731" s="3">
        <v>46288</v>
      </c>
      <c r="K1731" s="3" t="s">
        <v>2371</v>
      </c>
      <c r="L1731" s="22">
        <v>46273.705509756939</v>
      </c>
      <c r="M1731" s="20">
        <v>12</v>
      </c>
      <c r="N1731" s="1">
        <v>2</v>
      </c>
    </row>
    <row r="1732" spans="1:14" x14ac:dyDescent="0.25">
      <c r="A1732" t="str">
        <f t="shared" si="56"/>
        <v>U148860U148860</v>
      </c>
      <c r="B1732" t="str">
        <f t="shared" si="57"/>
        <v>U148860WL515WHT-B</v>
      </c>
      <c r="C1732" s="1" t="s">
        <v>4</v>
      </c>
      <c r="D1732" s="1" t="s">
        <v>610</v>
      </c>
      <c r="E1732" s="1" t="s">
        <v>436</v>
      </c>
      <c r="F1732" s="1" t="s">
        <v>439</v>
      </c>
      <c r="G1732" s="1" t="s">
        <v>438</v>
      </c>
      <c r="H1732" s="1">
        <v>492</v>
      </c>
      <c r="I1732" s="3">
        <v>46273</v>
      </c>
      <c r="J1732" s="3">
        <v>46288</v>
      </c>
      <c r="K1732" s="3" t="s">
        <v>2371</v>
      </c>
      <c r="L1732" s="22">
        <v>46273.713195023149</v>
      </c>
      <c r="M1732" s="20">
        <v>12</v>
      </c>
      <c r="N1732" s="1">
        <v>32</v>
      </c>
    </row>
    <row r="1733" spans="1:14" x14ac:dyDescent="0.25">
      <c r="A1733" t="str">
        <f t="shared" si="56"/>
        <v>U149871U149871</v>
      </c>
      <c r="B1733" t="str">
        <f t="shared" si="57"/>
        <v>U149871W515S7OK-B</v>
      </c>
      <c r="C1733" s="1" t="s">
        <v>102</v>
      </c>
      <c r="D1733" s="1" t="s">
        <v>605</v>
      </c>
      <c r="E1733" s="1" t="s">
        <v>436</v>
      </c>
      <c r="F1733" s="1" t="s">
        <v>443</v>
      </c>
      <c r="G1733" s="1" t="s">
        <v>444</v>
      </c>
      <c r="H1733" s="1">
        <v>366</v>
      </c>
      <c r="I1733" s="3">
        <v>46273</v>
      </c>
      <c r="L1733" s="22">
        <v>46273.452519444443</v>
      </c>
      <c r="M1733" s="20">
        <v>12</v>
      </c>
      <c r="N1733" s="1">
        <v>15</v>
      </c>
    </row>
    <row r="1734" spans="1:14" x14ac:dyDescent="0.25">
      <c r="A1734" t="str">
        <f t="shared" si="56"/>
        <v>U149871U149871</v>
      </c>
      <c r="B1734" t="str">
        <f t="shared" si="57"/>
        <v>U149871W515S7OK-B</v>
      </c>
      <c r="C1734" s="1" t="s">
        <v>102</v>
      </c>
      <c r="D1734" s="1" t="s">
        <v>605</v>
      </c>
      <c r="E1734" s="1" t="s">
        <v>436</v>
      </c>
      <c r="F1734" s="1" t="s">
        <v>443</v>
      </c>
      <c r="G1734" s="1" t="s">
        <v>444</v>
      </c>
      <c r="H1734" s="1">
        <v>366</v>
      </c>
      <c r="I1734" s="3">
        <v>46273</v>
      </c>
      <c r="L1734" s="22">
        <v>46273.452890972221</v>
      </c>
      <c r="M1734" s="20">
        <v>12</v>
      </c>
      <c r="N1734" s="1">
        <v>12</v>
      </c>
    </row>
    <row r="1735" spans="1:14" x14ac:dyDescent="0.25">
      <c r="A1735" t="str">
        <f t="shared" si="56"/>
        <v>U149871U149871</v>
      </c>
      <c r="B1735" t="str">
        <f t="shared" si="57"/>
        <v>U149871W515S7OK-B</v>
      </c>
      <c r="C1735" s="1" t="s">
        <v>102</v>
      </c>
      <c r="D1735" s="1" t="s">
        <v>605</v>
      </c>
      <c r="E1735" s="1" t="s">
        <v>436</v>
      </c>
      <c r="F1735" s="1" t="s">
        <v>443</v>
      </c>
      <c r="G1735" s="1" t="s">
        <v>444</v>
      </c>
      <c r="H1735" s="1">
        <v>366</v>
      </c>
      <c r="I1735" s="3">
        <v>46273</v>
      </c>
      <c r="L1735" s="22">
        <v>46273.453292939812</v>
      </c>
      <c r="M1735" s="20">
        <v>12</v>
      </c>
      <c r="N1735" s="1">
        <v>20</v>
      </c>
    </row>
    <row r="1736" spans="1:14" x14ac:dyDescent="0.25">
      <c r="A1736" t="str">
        <f t="shared" si="56"/>
        <v>U149871U149871</v>
      </c>
      <c r="B1736" t="str">
        <f t="shared" si="57"/>
        <v>U149871W515S7OK-B</v>
      </c>
      <c r="C1736" s="1" t="s">
        <v>102</v>
      </c>
      <c r="D1736" s="1" t="s">
        <v>605</v>
      </c>
      <c r="E1736" s="1" t="s">
        <v>436</v>
      </c>
      <c r="F1736" s="1" t="s">
        <v>443</v>
      </c>
      <c r="G1736" s="1" t="s">
        <v>444</v>
      </c>
      <c r="H1736" s="1">
        <v>366</v>
      </c>
      <c r="I1736" s="3">
        <v>46273</v>
      </c>
      <c r="L1736" s="22">
        <v>46273.555405937499</v>
      </c>
      <c r="M1736" s="20">
        <v>12</v>
      </c>
      <c r="N1736" s="1">
        <v>21</v>
      </c>
    </row>
    <row r="1737" spans="1:14" x14ac:dyDescent="0.25">
      <c r="A1737" t="str">
        <f t="shared" si="56"/>
        <v>U149871U149871</v>
      </c>
      <c r="B1737" t="str">
        <f t="shared" si="57"/>
        <v>U149871W515S7OK-B</v>
      </c>
      <c r="C1737" s="1" t="s">
        <v>102</v>
      </c>
      <c r="D1737" s="1" t="s">
        <v>605</v>
      </c>
      <c r="E1737" s="1" t="s">
        <v>436</v>
      </c>
      <c r="F1737" s="1" t="s">
        <v>443</v>
      </c>
      <c r="G1737" s="1" t="s">
        <v>444</v>
      </c>
      <c r="H1737" s="1">
        <v>366</v>
      </c>
      <c r="I1737" s="3">
        <v>46273</v>
      </c>
      <c r="L1737" s="22">
        <v>46273.563682291664</v>
      </c>
      <c r="M1737" s="20">
        <v>12</v>
      </c>
      <c r="N1737" s="1">
        <v>7</v>
      </c>
    </row>
    <row r="1738" spans="1:14" x14ac:dyDescent="0.25">
      <c r="A1738" t="str">
        <f t="shared" si="56"/>
        <v>U149871U149871</v>
      </c>
      <c r="B1738" t="str">
        <f t="shared" si="57"/>
        <v>U149871W515S7OK-B</v>
      </c>
      <c r="C1738" s="1" t="s">
        <v>102</v>
      </c>
      <c r="D1738" s="1" t="s">
        <v>605</v>
      </c>
      <c r="E1738" s="1" t="s">
        <v>436</v>
      </c>
      <c r="F1738" s="1" t="s">
        <v>443</v>
      </c>
      <c r="G1738" s="1" t="s">
        <v>444</v>
      </c>
      <c r="H1738" s="1">
        <v>366</v>
      </c>
      <c r="I1738" s="3">
        <v>46273</v>
      </c>
      <c r="L1738" s="22">
        <v>46273.565894907406</v>
      </c>
      <c r="M1738" s="20">
        <v>12</v>
      </c>
      <c r="N1738" s="1">
        <v>10</v>
      </c>
    </row>
    <row r="1739" spans="1:14" x14ac:dyDescent="0.25">
      <c r="A1739" t="str">
        <f t="shared" si="56"/>
        <v>U149871U149871</v>
      </c>
      <c r="B1739" t="str">
        <f t="shared" si="57"/>
        <v>U149871W515S7OK-B</v>
      </c>
      <c r="C1739" s="1" t="s">
        <v>102</v>
      </c>
      <c r="D1739" s="1" t="s">
        <v>605</v>
      </c>
      <c r="E1739" s="1" t="s">
        <v>436</v>
      </c>
      <c r="F1739" s="1" t="s">
        <v>443</v>
      </c>
      <c r="G1739" s="1" t="s">
        <v>444</v>
      </c>
      <c r="H1739" s="1">
        <v>366</v>
      </c>
      <c r="I1739" s="3">
        <v>46273</v>
      </c>
      <c r="L1739" s="22">
        <v>46273.566161030089</v>
      </c>
      <c r="M1739" s="20">
        <v>12</v>
      </c>
      <c r="N1739" s="1">
        <v>4</v>
      </c>
    </row>
    <row r="1740" spans="1:14" x14ac:dyDescent="0.25">
      <c r="A1740" t="str">
        <f t="shared" si="56"/>
        <v>U149871U149871</v>
      </c>
      <c r="B1740" t="str">
        <f t="shared" si="57"/>
        <v>U149871W515S7OK-B</v>
      </c>
      <c r="C1740" s="1" t="s">
        <v>102</v>
      </c>
      <c r="D1740" s="1" t="s">
        <v>605</v>
      </c>
      <c r="E1740" s="1" t="s">
        <v>436</v>
      </c>
      <c r="F1740" s="1" t="s">
        <v>443</v>
      </c>
      <c r="G1740" s="1" t="s">
        <v>444</v>
      </c>
      <c r="H1740" s="1">
        <v>366</v>
      </c>
      <c r="I1740" s="3">
        <v>46273</v>
      </c>
      <c r="L1740" s="22">
        <v>46273.567194097217</v>
      </c>
      <c r="M1740" s="20">
        <v>12</v>
      </c>
      <c r="N1740" s="1">
        <v>24</v>
      </c>
    </row>
    <row r="1741" spans="1:14" x14ac:dyDescent="0.25">
      <c r="A1741" t="str">
        <f t="shared" si="56"/>
        <v>U149871U149871</v>
      </c>
      <c r="B1741" t="str">
        <f t="shared" si="57"/>
        <v>U149871W515S7OK-B</v>
      </c>
      <c r="C1741" s="1" t="s">
        <v>102</v>
      </c>
      <c r="D1741" s="1" t="s">
        <v>605</v>
      </c>
      <c r="E1741" s="1" t="s">
        <v>436</v>
      </c>
      <c r="F1741" s="1" t="s">
        <v>443</v>
      </c>
      <c r="G1741" s="1" t="s">
        <v>444</v>
      </c>
      <c r="H1741" s="1">
        <v>366</v>
      </c>
      <c r="I1741" s="3">
        <v>46273</v>
      </c>
      <c r="L1741" s="22">
        <v>46273.56742890046</v>
      </c>
      <c r="M1741" s="20">
        <v>12</v>
      </c>
      <c r="N1741" s="1">
        <v>25</v>
      </c>
    </row>
    <row r="1742" spans="1:14" x14ac:dyDescent="0.25">
      <c r="A1742" t="str">
        <f t="shared" si="56"/>
        <v>U149871U149871</v>
      </c>
      <c r="B1742" t="str">
        <f t="shared" si="57"/>
        <v>U149871W515S7OK-B</v>
      </c>
      <c r="C1742" s="1" t="s">
        <v>102</v>
      </c>
      <c r="D1742" s="1" t="s">
        <v>605</v>
      </c>
      <c r="E1742" s="1" t="s">
        <v>436</v>
      </c>
      <c r="F1742" s="1" t="s">
        <v>443</v>
      </c>
      <c r="G1742" s="1" t="s">
        <v>444</v>
      </c>
      <c r="H1742" s="1">
        <v>366</v>
      </c>
      <c r="I1742" s="3">
        <v>46273</v>
      </c>
      <c r="L1742" s="22">
        <v>46273.567862465279</v>
      </c>
      <c r="M1742" s="20">
        <v>12</v>
      </c>
      <c r="N1742" s="1">
        <v>2</v>
      </c>
    </row>
    <row r="1743" spans="1:14" x14ac:dyDescent="0.25">
      <c r="A1743" t="str">
        <f t="shared" si="56"/>
        <v>U149871U149871</v>
      </c>
      <c r="B1743" t="str">
        <f t="shared" si="57"/>
        <v>U149871W515S7OK-B</v>
      </c>
      <c r="C1743" s="1" t="s">
        <v>102</v>
      </c>
      <c r="D1743" s="1" t="s">
        <v>605</v>
      </c>
      <c r="E1743" s="1" t="s">
        <v>436</v>
      </c>
      <c r="F1743" s="1" t="s">
        <v>443</v>
      </c>
      <c r="G1743" s="1" t="s">
        <v>444</v>
      </c>
      <c r="H1743" s="1">
        <v>366</v>
      </c>
      <c r="I1743" s="3">
        <v>46273</v>
      </c>
      <c r="L1743" s="22">
        <v>46273.568461805553</v>
      </c>
      <c r="M1743" s="20">
        <v>6</v>
      </c>
      <c r="N1743" s="1">
        <v>30</v>
      </c>
    </row>
    <row r="1744" spans="1:14" x14ac:dyDescent="0.25">
      <c r="A1744" t="str">
        <f t="shared" si="56"/>
        <v>U149871U149871</v>
      </c>
      <c r="B1744" t="str">
        <f t="shared" si="57"/>
        <v>U149871W515S7OK-B</v>
      </c>
      <c r="C1744" s="1" t="s">
        <v>102</v>
      </c>
      <c r="D1744" s="1" t="s">
        <v>605</v>
      </c>
      <c r="E1744" s="1" t="s">
        <v>436</v>
      </c>
      <c r="F1744" s="1" t="s">
        <v>443</v>
      </c>
      <c r="G1744" s="1" t="s">
        <v>444</v>
      </c>
      <c r="H1744" s="1">
        <v>366</v>
      </c>
      <c r="I1744" s="3">
        <v>46273</v>
      </c>
      <c r="L1744" s="22">
        <v>46273.572788773148</v>
      </c>
      <c r="M1744" s="20">
        <v>12</v>
      </c>
      <c r="N1744" s="1">
        <v>22</v>
      </c>
    </row>
    <row r="1745" spans="1:14" x14ac:dyDescent="0.25">
      <c r="A1745" t="str">
        <f t="shared" si="56"/>
        <v>U149871U149871</v>
      </c>
      <c r="B1745" t="str">
        <f t="shared" si="57"/>
        <v>U149871W515S7OK-B</v>
      </c>
      <c r="C1745" s="1" t="s">
        <v>102</v>
      </c>
      <c r="D1745" s="1" t="s">
        <v>605</v>
      </c>
      <c r="E1745" s="1" t="s">
        <v>436</v>
      </c>
      <c r="F1745" s="1" t="s">
        <v>443</v>
      </c>
      <c r="G1745" s="1" t="s">
        <v>444</v>
      </c>
      <c r="H1745" s="1">
        <v>366</v>
      </c>
      <c r="I1745" s="3">
        <v>46273</v>
      </c>
      <c r="L1745" s="22">
        <v>46273.573197418977</v>
      </c>
      <c r="M1745" s="20">
        <v>12</v>
      </c>
      <c r="N1745" s="1">
        <v>17</v>
      </c>
    </row>
    <row r="1746" spans="1:14" x14ac:dyDescent="0.25">
      <c r="A1746" t="str">
        <f t="shared" si="56"/>
        <v>U149871U149871</v>
      </c>
      <c r="B1746" t="str">
        <f t="shared" si="57"/>
        <v>U149871W515S7OK-B</v>
      </c>
      <c r="C1746" s="1" t="s">
        <v>102</v>
      </c>
      <c r="D1746" s="1" t="s">
        <v>605</v>
      </c>
      <c r="E1746" s="1" t="s">
        <v>436</v>
      </c>
      <c r="F1746" s="1" t="s">
        <v>443</v>
      </c>
      <c r="G1746" s="1" t="s">
        <v>444</v>
      </c>
      <c r="H1746" s="1">
        <v>366</v>
      </c>
      <c r="I1746" s="3">
        <v>46273</v>
      </c>
      <c r="L1746" s="22">
        <v>46273.580220949072</v>
      </c>
      <c r="M1746" s="20">
        <v>12</v>
      </c>
      <c r="N1746" s="1">
        <v>3</v>
      </c>
    </row>
    <row r="1747" spans="1:14" x14ac:dyDescent="0.25">
      <c r="A1747" t="str">
        <f t="shared" si="56"/>
        <v>U149871U149871</v>
      </c>
      <c r="B1747" t="str">
        <f t="shared" si="57"/>
        <v>U149871W515S7OK-B</v>
      </c>
      <c r="C1747" s="1" t="s">
        <v>102</v>
      </c>
      <c r="D1747" s="1" t="s">
        <v>605</v>
      </c>
      <c r="E1747" s="1" t="s">
        <v>436</v>
      </c>
      <c r="F1747" s="1" t="s">
        <v>443</v>
      </c>
      <c r="G1747" s="1" t="s">
        <v>444</v>
      </c>
      <c r="H1747" s="1">
        <v>366</v>
      </c>
      <c r="I1747" s="3">
        <v>46273</v>
      </c>
      <c r="L1747" s="22">
        <v>46273.596286921296</v>
      </c>
      <c r="M1747" s="20">
        <v>12</v>
      </c>
      <c r="N1747" s="1">
        <v>1</v>
      </c>
    </row>
    <row r="1748" spans="1:14" x14ac:dyDescent="0.25">
      <c r="A1748" t="str">
        <f t="shared" si="56"/>
        <v>U149871U149871</v>
      </c>
      <c r="B1748" t="str">
        <f t="shared" si="57"/>
        <v>U149871W515S7OK-B</v>
      </c>
      <c r="C1748" s="1" t="s">
        <v>102</v>
      </c>
      <c r="D1748" s="1" t="s">
        <v>605</v>
      </c>
      <c r="E1748" s="1" t="s">
        <v>436</v>
      </c>
      <c r="F1748" s="1" t="s">
        <v>443</v>
      </c>
      <c r="G1748" s="1" t="s">
        <v>444</v>
      </c>
      <c r="H1748" s="1">
        <v>366</v>
      </c>
      <c r="I1748" s="3">
        <v>46273</v>
      </c>
      <c r="L1748" s="22">
        <v>46273.615410729166</v>
      </c>
      <c r="M1748" s="20">
        <v>6</v>
      </c>
      <c r="N1748" s="1">
        <v>29</v>
      </c>
    </row>
    <row r="1749" spans="1:14" x14ac:dyDescent="0.25">
      <c r="A1749" t="str">
        <f t="shared" si="56"/>
        <v>U149871U149871</v>
      </c>
      <c r="B1749" t="str">
        <f t="shared" si="57"/>
        <v>U149871W515S7OK-B</v>
      </c>
      <c r="C1749" s="1" t="s">
        <v>102</v>
      </c>
      <c r="D1749" s="1" t="s">
        <v>605</v>
      </c>
      <c r="E1749" s="1" t="s">
        <v>436</v>
      </c>
      <c r="F1749" s="1" t="s">
        <v>443</v>
      </c>
      <c r="G1749" s="1" t="s">
        <v>444</v>
      </c>
      <c r="H1749" s="1">
        <v>366</v>
      </c>
      <c r="I1749" s="3">
        <v>46273</v>
      </c>
      <c r="L1749" s="22">
        <v>46273.617757719905</v>
      </c>
      <c r="M1749" s="20">
        <v>12</v>
      </c>
      <c r="N1749" s="1">
        <v>8</v>
      </c>
    </row>
    <row r="1750" spans="1:14" x14ac:dyDescent="0.25">
      <c r="A1750" t="str">
        <f t="shared" si="56"/>
        <v>U149871U149871</v>
      </c>
      <c r="B1750" t="str">
        <f t="shared" si="57"/>
        <v>U149871W515S7OK-B</v>
      </c>
      <c r="C1750" s="1" t="s">
        <v>102</v>
      </c>
      <c r="D1750" s="1" t="s">
        <v>605</v>
      </c>
      <c r="E1750" s="1" t="s">
        <v>436</v>
      </c>
      <c r="F1750" s="1" t="s">
        <v>443</v>
      </c>
      <c r="G1750" s="1" t="s">
        <v>444</v>
      </c>
      <c r="H1750" s="1">
        <v>366</v>
      </c>
      <c r="I1750" s="3">
        <v>46273</v>
      </c>
      <c r="L1750" s="22">
        <v>46273.625376006945</v>
      </c>
      <c r="M1750" s="20">
        <v>12</v>
      </c>
      <c r="N1750" s="1">
        <v>13</v>
      </c>
    </row>
    <row r="1751" spans="1:14" x14ac:dyDescent="0.25">
      <c r="A1751" t="str">
        <f t="shared" si="56"/>
        <v>U149871U149871</v>
      </c>
      <c r="B1751" t="str">
        <f t="shared" si="57"/>
        <v>U149871W515S7OK-B</v>
      </c>
      <c r="C1751" s="1" t="s">
        <v>102</v>
      </c>
      <c r="D1751" s="1" t="s">
        <v>605</v>
      </c>
      <c r="E1751" s="1" t="s">
        <v>436</v>
      </c>
      <c r="F1751" s="1" t="s">
        <v>443</v>
      </c>
      <c r="G1751" s="1" t="s">
        <v>444</v>
      </c>
      <c r="H1751" s="1">
        <v>366</v>
      </c>
      <c r="I1751" s="3">
        <v>46273</v>
      </c>
      <c r="L1751" s="22">
        <v>46273.628503356478</v>
      </c>
      <c r="M1751" s="20">
        <v>6</v>
      </c>
      <c r="N1751" s="1">
        <v>28</v>
      </c>
    </row>
    <row r="1752" spans="1:14" x14ac:dyDescent="0.25">
      <c r="A1752" t="str">
        <f t="shared" si="56"/>
        <v>U149871U149871</v>
      </c>
      <c r="B1752" t="str">
        <f t="shared" si="57"/>
        <v>U149871W515S7OK-B</v>
      </c>
      <c r="C1752" s="1" t="s">
        <v>102</v>
      </c>
      <c r="D1752" s="1" t="s">
        <v>605</v>
      </c>
      <c r="E1752" s="1" t="s">
        <v>436</v>
      </c>
      <c r="F1752" s="1" t="s">
        <v>443</v>
      </c>
      <c r="G1752" s="1" t="s">
        <v>444</v>
      </c>
      <c r="H1752" s="1">
        <v>366</v>
      </c>
      <c r="I1752" s="3">
        <v>46273</v>
      </c>
      <c r="L1752" s="22">
        <v>46273.634817361111</v>
      </c>
      <c r="M1752" s="20">
        <v>12</v>
      </c>
      <c r="N1752" s="1">
        <v>27</v>
      </c>
    </row>
    <row r="1753" spans="1:14" x14ac:dyDescent="0.25">
      <c r="A1753" t="str">
        <f t="shared" si="56"/>
        <v>U149871U149871</v>
      </c>
      <c r="B1753" t="str">
        <f t="shared" si="57"/>
        <v>U149871W515S7OK-B</v>
      </c>
      <c r="C1753" s="1" t="s">
        <v>102</v>
      </c>
      <c r="D1753" s="1" t="s">
        <v>605</v>
      </c>
      <c r="E1753" s="1" t="s">
        <v>436</v>
      </c>
      <c r="F1753" s="1" t="s">
        <v>443</v>
      </c>
      <c r="G1753" s="1" t="s">
        <v>444</v>
      </c>
      <c r="H1753" s="1">
        <v>366</v>
      </c>
      <c r="I1753" s="3">
        <v>46273</v>
      </c>
      <c r="L1753" s="22">
        <v>46273.644233136569</v>
      </c>
      <c r="M1753" s="20">
        <v>12</v>
      </c>
      <c r="N1753" s="1">
        <v>16</v>
      </c>
    </row>
    <row r="1754" spans="1:14" x14ac:dyDescent="0.25">
      <c r="A1754" t="str">
        <f t="shared" si="56"/>
        <v>U149871U149871</v>
      </c>
      <c r="B1754" t="str">
        <f t="shared" si="57"/>
        <v>U149871W515S7OK-B</v>
      </c>
      <c r="C1754" s="1" t="s">
        <v>102</v>
      </c>
      <c r="D1754" s="1" t="s">
        <v>605</v>
      </c>
      <c r="E1754" s="1" t="s">
        <v>436</v>
      </c>
      <c r="F1754" s="1" t="s">
        <v>443</v>
      </c>
      <c r="G1754" s="1" t="s">
        <v>444</v>
      </c>
      <c r="H1754" s="1">
        <v>366</v>
      </c>
      <c r="I1754" s="3">
        <v>46273</v>
      </c>
      <c r="L1754" s="22">
        <v>46273.710162581017</v>
      </c>
      <c r="M1754" s="20">
        <v>12</v>
      </c>
      <c r="N1754" s="1">
        <v>26</v>
      </c>
    </row>
    <row r="1755" spans="1:14" x14ac:dyDescent="0.25">
      <c r="A1755" t="str">
        <f t="shared" si="56"/>
        <v>U149871U149871</v>
      </c>
      <c r="B1755" t="str">
        <f t="shared" si="57"/>
        <v>U149871W515S7OK-B</v>
      </c>
      <c r="C1755" s="1" t="s">
        <v>102</v>
      </c>
      <c r="D1755" s="1" t="s">
        <v>605</v>
      </c>
      <c r="E1755" s="1" t="s">
        <v>436</v>
      </c>
      <c r="F1755" s="1" t="s">
        <v>443</v>
      </c>
      <c r="G1755" s="1" t="s">
        <v>444</v>
      </c>
      <c r="H1755" s="1">
        <v>366</v>
      </c>
      <c r="I1755" s="3">
        <v>46273</v>
      </c>
      <c r="L1755" s="22">
        <v>46273.723350312495</v>
      </c>
      <c r="M1755" s="20">
        <v>12</v>
      </c>
      <c r="N1755" s="1">
        <v>18</v>
      </c>
    </row>
    <row r="1756" spans="1:14" x14ac:dyDescent="0.25">
      <c r="A1756" t="str">
        <f t="shared" si="56"/>
        <v>U149871U149871</v>
      </c>
      <c r="B1756" t="str">
        <f t="shared" si="57"/>
        <v>U149871W515S7OK-B</v>
      </c>
      <c r="C1756" s="1" t="s">
        <v>102</v>
      </c>
      <c r="D1756" s="1" t="s">
        <v>605</v>
      </c>
      <c r="E1756" s="1" t="s">
        <v>436</v>
      </c>
      <c r="F1756" s="1" t="s">
        <v>443</v>
      </c>
      <c r="G1756" s="1" t="s">
        <v>444</v>
      </c>
      <c r="H1756" s="1">
        <v>366</v>
      </c>
      <c r="I1756" s="3">
        <v>46273</v>
      </c>
      <c r="L1756" s="22">
        <v>46273.737760416661</v>
      </c>
      <c r="M1756" s="20">
        <v>12</v>
      </c>
      <c r="N1756" s="1">
        <v>23</v>
      </c>
    </row>
    <row r="1757" spans="1:14" x14ac:dyDescent="0.25">
      <c r="A1757" t="str">
        <f t="shared" si="56"/>
        <v>U149871U149871</v>
      </c>
      <c r="B1757" t="str">
        <f t="shared" si="57"/>
        <v>U149871W515S7OK-B</v>
      </c>
      <c r="C1757" s="1" t="s">
        <v>102</v>
      </c>
      <c r="D1757" s="1" t="s">
        <v>605</v>
      </c>
      <c r="E1757" s="1" t="s">
        <v>436</v>
      </c>
      <c r="F1757" s="1" t="s">
        <v>443</v>
      </c>
      <c r="G1757" s="1" t="s">
        <v>444</v>
      </c>
      <c r="H1757" s="1">
        <v>366</v>
      </c>
      <c r="I1757" s="3">
        <v>46273</v>
      </c>
      <c r="L1757" s="22">
        <v>46273.738044097219</v>
      </c>
      <c r="M1757" s="20">
        <v>12</v>
      </c>
      <c r="N1757" s="1">
        <v>5</v>
      </c>
    </row>
    <row r="1758" spans="1:14" x14ac:dyDescent="0.25">
      <c r="A1758" t="str">
        <f t="shared" si="56"/>
        <v>78662657866265</v>
      </c>
      <c r="B1758" t="str">
        <f t="shared" si="57"/>
        <v>7866265G6032Z2-M</v>
      </c>
      <c r="C1758" s="27" t="s">
        <v>15</v>
      </c>
      <c r="D1758" s="27" t="s">
        <v>627</v>
      </c>
      <c r="E1758" s="1" t="s">
        <v>385</v>
      </c>
      <c r="F1758" s="1" t="s">
        <v>386</v>
      </c>
      <c r="G1758" s="1" t="s">
        <v>387</v>
      </c>
      <c r="H1758" s="1">
        <v>144</v>
      </c>
      <c r="I1758" s="3">
        <v>46274</v>
      </c>
      <c r="J1758" s="3">
        <v>46276</v>
      </c>
      <c r="K1758" s="3" t="s">
        <v>2368</v>
      </c>
      <c r="L1758" s="31">
        <v>46274.626558020835</v>
      </c>
      <c r="M1758" s="33">
        <v>12</v>
      </c>
      <c r="N1758" s="1">
        <v>5</v>
      </c>
    </row>
    <row r="1759" spans="1:14" x14ac:dyDescent="0.25">
      <c r="A1759" t="str">
        <f t="shared" si="56"/>
        <v>78662657866265</v>
      </c>
      <c r="B1759" t="str">
        <f t="shared" si="57"/>
        <v>7866265G6032Z2-M</v>
      </c>
      <c r="C1759" s="27" t="s">
        <v>15</v>
      </c>
      <c r="D1759" s="27" t="s">
        <v>627</v>
      </c>
      <c r="E1759" s="1" t="s">
        <v>385</v>
      </c>
      <c r="F1759" s="1" t="s">
        <v>386</v>
      </c>
      <c r="G1759" s="1" t="s">
        <v>387</v>
      </c>
      <c r="H1759" s="1">
        <v>144</v>
      </c>
      <c r="I1759" s="3">
        <v>46274</v>
      </c>
      <c r="J1759" s="3">
        <v>46276</v>
      </c>
      <c r="K1759" s="3" t="s">
        <v>2368</v>
      </c>
      <c r="L1759" s="31">
        <v>46274.655631597219</v>
      </c>
      <c r="M1759" s="33">
        <v>12</v>
      </c>
      <c r="N1759" s="1">
        <v>2</v>
      </c>
    </row>
    <row r="1760" spans="1:14" x14ac:dyDescent="0.25">
      <c r="A1760" t="str">
        <f t="shared" si="56"/>
        <v>78662657866265</v>
      </c>
      <c r="B1760" t="str">
        <f t="shared" si="57"/>
        <v>7866265G6032Z2-M</v>
      </c>
      <c r="C1760" s="27" t="s">
        <v>15</v>
      </c>
      <c r="D1760" s="27" t="s">
        <v>627</v>
      </c>
      <c r="E1760" s="1" t="s">
        <v>385</v>
      </c>
      <c r="F1760" s="1" t="s">
        <v>386</v>
      </c>
      <c r="G1760" s="1" t="s">
        <v>387</v>
      </c>
      <c r="H1760" s="1">
        <v>144</v>
      </c>
      <c r="I1760" s="3">
        <v>46274</v>
      </c>
      <c r="J1760" s="3">
        <v>46276</v>
      </c>
      <c r="K1760" s="3" t="s">
        <v>2368</v>
      </c>
      <c r="L1760" s="31">
        <v>46274.660066550925</v>
      </c>
      <c r="M1760" s="33">
        <v>12</v>
      </c>
      <c r="N1760" s="1">
        <v>1</v>
      </c>
    </row>
    <row r="1761" spans="1:14" x14ac:dyDescent="0.25">
      <c r="A1761" t="str">
        <f t="shared" si="56"/>
        <v>78662657866265</v>
      </c>
      <c r="B1761" t="str">
        <f t="shared" si="57"/>
        <v>7866265G6032Z2-M</v>
      </c>
      <c r="C1761" s="27" t="s">
        <v>15</v>
      </c>
      <c r="D1761" s="27" t="s">
        <v>627</v>
      </c>
      <c r="E1761" s="1" t="s">
        <v>385</v>
      </c>
      <c r="F1761" s="1" t="s">
        <v>386</v>
      </c>
      <c r="G1761" s="1" t="s">
        <v>387</v>
      </c>
      <c r="H1761" s="1">
        <v>144</v>
      </c>
      <c r="I1761" s="3">
        <v>46274</v>
      </c>
      <c r="J1761" s="3">
        <v>46276</v>
      </c>
      <c r="K1761" s="3" t="s">
        <v>2368</v>
      </c>
      <c r="L1761" s="31">
        <v>46274.660810879628</v>
      </c>
      <c r="M1761" s="33">
        <v>12</v>
      </c>
      <c r="N1761" s="1">
        <v>3</v>
      </c>
    </row>
    <row r="1762" spans="1:14" x14ac:dyDescent="0.25">
      <c r="A1762" t="str">
        <f t="shared" si="56"/>
        <v>78662657866265</v>
      </c>
      <c r="B1762" t="str">
        <f t="shared" si="57"/>
        <v>7866265G6032Z2-M</v>
      </c>
      <c r="C1762" s="27" t="s">
        <v>15</v>
      </c>
      <c r="D1762" s="27" t="s">
        <v>627</v>
      </c>
      <c r="E1762" s="1" t="s">
        <v>385</v>
      </c>
      <c r="F1762" s="1" t="s">
        <v>386</v>
      </c>
      <c r="G1762" s="1" t="s">
        <v>387</v>
      </c>
      <c r="H1762" s="1">
        <v>144</v>
      </c>
      <c r="I1762" s="3">
        <v>46274</v>
      </c>
      <c r="J1762" s="3">
        <v>46276</v>
      </c>
      <c r="K1762" s="3" t="s">
        <v>2368</v>
      </c>
      <c r="L1762" s="31">
        <v>46274.662894097222</v>
      </c>
      <c r="M1762" s="33">
        <v>12</v>
      </c>
      <c r="N1762" s="1">
        <v>10</v>
      </c>
    </row>
    <row r="1763" spans="1:14" x14ac:dyDescent="0.25">
      <c r="A1763" t="str">
        <f t="shared" si="56"/>
        <v>78662657866265</v>
      </c>
      <c r="B1763" t="str">
        <f t="shared" si="57"/>
        <v>7866265G6032Z2-M</v>
      </c>
      <c r="C1763" s="27" t="s">
        <v>15</v>
      </c>
      <c r="D1763" s="27" t="s">
        <v>627</v>
      </c>
      <c r="E1763" s="1" t="s">
        <v>385</v>
      </c>
      <c r="F1763" s="1" t="s">
        <v>386</v>
      </c>
      <c r="G1763" s="1" t="s">
        <v>387</v>
      </c>
      <c r="H1763" s="1">
        <v>144</v>
      </c>
      <c r="I1763" s="3">
        <v>46274</v>
      </c>
      <c r="J1763" s="3">
        <v>46276</v>
      </c>
      <c r="K1763" s="3" t="s">
        <v>2368</v>
      </c>
      <c r="L1763" s="31">
        <v>46274.663049733797</v>
      </c>
      <c r="M1763" s="33">
        <v>12</v>
      </c>
      <c r="N1763" s="1">
        <v>4</v>
      </c>
    </row>
    <row r="1764" spans="1:14" x14ac:dyDescent="0.25">
      <c r="A1764" t="str">
        <f t="shared" si="56"/>
        <v>78662657866265</v>
      </c>
      <c r="B1764" t="str">
        <f t="shared" si="57"/>
        <v>7866265G6032Z2-M</v>
      </c>
      <c r="C1764" s="27" t="s">
        <v>15</v>
      </c>
      <c r="D1764" s="27" t="s">
        <v>627</v>
      </c>
      <c r="E1764" s="1" t="s">
        <v>385</v>
      </c>
      <c r="F1764" s="1" t="s">
        <v>386</v>
      </c>
      <c r="G1764" s="1" t="s">
        <v>387</v>
      </c>
      <c r="H1764" s="1">
        <v>144</v>
      </c>
      <c r="I1764" s="3">
        <v>46274</v>
      </c>
      <c r="J1764" s="3">
        <v>46276</v>
      </c>
      <c r="K1764" s="3" t="s">
        <v>2368</v>
      </c>
      <c r="L1764" s="31">
        <v>46274.663861840279</v>
      </c>
      <c r="M1764" s="33">
        <v>12</v>
      </c>
      <c r="N1764" s="1">
        <v>7</v>
      </c>
    </row>
    <row r="1765" spans="1:14" x14ac:dyDescent="0.25">
      <c r="A1765" t="str">
        <f t="shared" si="56"/>
        <v>78662657866265</v>
      </c>
      <c r="B1765" t="str">
        <f t="shared" si="57"/>
        <v>7866265G6032Z2-M</v>
      </c>
      <c r="C1765" s="27" t="s">
        <v>15</v>
      </c>
      <c r="D1765" s="27" t="s">
        <v>627</v>
      </c>
      <c r="E1765" s="1" t="s">
        <v>385</v>
      </c>
      <c r="F1765" s="1" t="s">
        <v>386</v>
      </c>
      <c r="G1765" s="1" t="s">
        <v>387</v>
      </c>
      <c r="H1765" s="1">
        <v>144</v>
      </c>
      <c r="I1765" s="3">
        <v>46274</v>
      </c>
      <c r="J1765" s="3">
        <v>46276</v>
      </c>
      <c r="K1765" s="3" t="s">
        <v>2368</v>
      </c>
      <c r="L1765" s="31">
        <v>46274.669879861111</v>
      </c>
      <c r="M1765" s="33">
        <v>6</v>
      </c>
      <c r="N1765" s="1">
        <v>12</v>
      </c>
    </row>
    <row r="1766" spans="1:14" x14ac:dyDescent="0.25">
      <c r="A1766" t="str">
        <f t="shared" si="56"/>
        <v>78662657866265</v>
      </c>
      <c r="B1766" t="str">
        <f t="shared" si="57"/>
        <v>7866265G6032Z2-M</v>
      </c>
      <c r="C1766" s="27" t="s">
        <v>15</v>
      </c>
      <c r="D1766" s="27" t="s">
        <v>627</v>
      </c>
      <c r="E1766" s="1" t="s">
        <v>385</v>
      </c>
      <c r="F1766" s="1" t="s">
        <v>386</v>
      </c>
      <c r="G1766" s="1" t="s">
        <v>387</v>
      </c>
      <c r="H1766" s="1">
        <v>144</v>
      </c>
      <c r="I1766" s="3">
        <v>46274</v>
      </c>
      <c r="J1766" s="3">
        <v>46276</v>
      </c>
      <c r="K1766" s="3" t="s">
        <v>2368</v>
      </c>
      <c r="L1766" s="31">
        <v>46274.672703969904</v>
      </c>
      <c r="M1766" s="33">
        <v>12</v>
      </c>
      <c r="N1766" s="1">
        <v>9</v>
      </c>
    </row>
    <row r="1767" spans="1:14" x14ac:dyDescent="0.25">
      <c r="A1767" t="str">
        <f t="shared" si="56"/>
        <v>78662657866265</v>
      </c>
      <c r="B1767" t="str">
        <f t="shared" si="57"/>
        <v>7866265G6032Z2-M</v>
      </c>
      <c r="C1767" s="27" t="s">
        <v>15</v>
      </c>
      <c r="D1767" s="27" t="s">
        <v>627</v>
      </c>
      <c r="E1767" s="1" t="s">
        <v>385</v>
      </c>
      <c r="F1767" s="1" t="s">
        <v>386</v>
      </c>
      <c r="G1767" s="1" t="s">
        <v>387</v>
      </c>
      <c r="H1767" s="1">
        <v>144</v>
      </c>
      <c r="I1767" s="3">
        <v>46274</v>
      </c>
      <c r="J1767" s="3">
        <v>46276</v>
      </c>
      <c r="K1767" s="3" t="s">
        <v>2368</v>
      </c>
      <c r="L1767" s="31">
        <v>46274.672890162037</v>
      </c>
      <c r="M1767" s="33">
        <v>12</v>
      </c>
      <c r="N1767" s="1">
        <v>8</v>
      </c>
    </row>
    <row r="1768" spans="1:14" x14ac:dyDescent="0.25">
      <c r="A1768" t="str">
        <f t="shared" si="56"/>
        <v>78662657866265</v>
      </c>
      <c r="B1768" t="str">
        <f t="shared" si="57"/>
        <v>7866265G6032Z2-M</v>
      </c>
      <c r="C1768" s="27" t="s">
        <v>15</v>
      </c>
      <c r="D1768" s="27" t="s">
        <v>627</v>
      </c>
      <c r="E1768" s="1" t="s">
        <v>385</v>
      </c>
      <c r="F1768" s="1" t="s">
        <v>386</v>
      </c>
      <c r="G1768" s="1" t="s">
        <v>387</v>
      </c>
      <c r="H1768" s="1">
        <v>144</v>
      </c>
      <c r="I1768" s="3">
        <v>46274</v>
      </c>
      <c r="J1768" s="3">
        <v>46276</v>
      </c>
      <c r="K1768" s="3" t="s">
        <v>2368</v>
      </c>
      <c r="L1768" s="31">
        <v>46274.687128356476</v>
      </c>
      <c r="M1768" s="33">
        <v>6</v>
      </c>
      <c r="N1768" s="1">
        <v>14</v>
      </c>
    </row>
    <row r="1769" spans="1:14" x14ac:dyDescent="0.25">
      <c r="A1769" t="str">
        <f t="shared" si="56"/>
        <v>78662657866265</v>
      </c>
      <c r="B1769" t="str">
        <f t="shared" si="57"/>
        <v>7866265G6032Z2-M</v>
      </c>
      <c r="C1769" s="27" t="s">
        <v>15</v>
      </c>
      <c r="D1769" s="27" t="s">
        <v>627</v>
      </c>
      <c r="E1769" s="1" t="s">
        <v>385</v>
      </c>
      <c r="F1769" s="1" t="s">
        <v>386</v>
      </c>
      <c r="G1769" s="1" t="s">
        <v>387</v>
      </c>
      <c r="H1769" s="1">
        <v>144</v>
      </c>
      <c r="I1769" s="3">
        <v>46274</v>
      </c>
      <c r="J1769" s="3">
        <v>46276</v>
      </c>
      <c r="K1769" s="3" t="s">
        <v>2368</v>
      </c>
      <c r="L1769" s="31">
        <v>46274.693370636574</v>
      </c>
      <c r="M1769" s="33">
        <v>12</v>
      </c>
      <c r="N1769" s="1">
        <v>6</v>
      </c>
    </row>
    <row r="1770" spans="1:14" x14ac:dyDescent="0.25">
      <c r="A1770" t="str">
        <f t="shared" si="56"/>
        <v>78792077879207</v>
      </c>
      <c r="B1770" t="str">
        <f t="shared" si="57"/>
        <v>7879207P60347Q-M</v>
      </c>
      <c r="C1770" s="27" t="s">
        <v>628</v>
      </c>
      <c r="D1770" s="27" t="s">
        <v>629</v>
      </c>
      <c r="E1770" s="1" t="s">
        <v>382</v>
      </c>
      <c r="F1770" s="1" t="s">
        <v>383</v>
      </c>
      <c r="G1770" s="1" t="s">
        <v>395</v>
      </c>
      <c r="H1770" s="1">
        <v>534</v>
      </c>
      <c r="I1770" s="3">
        <v>46274</v>
      </c>
      <c r="J1770" s="3">
        <v>46276</v>
      </c>
      <c r="K1770" s="3" t="s">
        <v>2368</v>
      </c>
      <c r="L1770" s="31">
        <v>46274.642676620366</v>
      </c>
      <c r="M1770" s="33">
        <v>12</v>
      </c>
      <c r="N1770" s="1">
        <v>17</v>
      </c>
    </row>
    <row r="1771" spans="1:14" x14ac:dyDescent="0.25">
      <c r="A1771" t="str">
        <f t="shared" si="56"/>
        <v>78792077879207</v>
      </c>
      <c r="B1771" t="str">
        <f t="shared" si="57"/>
        <v>7879207P60347Q-M</v>
      </c>
      <c r="C1771" s="27" t="s">
        <v>628</v>
      </c>
      <c r="D1771" s="27" t="s">
        <v>629</v>
      </c>
      <c r="E1771" s="1" t="s">
        <v>382</v>
      </c>
      <c r="F1771" s="1" t="s">
        <v>383</v>
      </c>
      <c r="G1771" s="1" t="s">
        <v>395</v>
      </c>
      <c r="H1771" s="1">
        <v>534</v>
      </c>
      <c r="I1771" s="3">
        <v>46274</v>
      </c>
      <c r="J1771" s="3">
        <v>46276</v>
      </c>
      <c r="K1771" s="3" t="s">
        <v>2368</v>
      </c>
      <c r="L1771" s="31">
        <v>46274.644090312497</v>
      </c>
      <c r="M1771" s="33">
        <v>12</v>
      </c>
      <c r="N1771" s="1">
        <v>22</v>
      </c>
    </row>
    <row r="1772" spans="1:14" x14ac:dyDescent="0.25">
      <c r="A1772" t="str">
        <f t="shared" si="56"/>
        <v>78792077879207</v>
      </c>
      <c r="B1772" t="str">
        <f t="shared" si="57"/>
        <v>7879207P60347Q-M</v>
      </c>
      <c r="C1772" s="27" t="s">
        <v>628</v>
      </c>
      <c r="D1772" s="27" t="s">
        <v>629</v>
      </c>
      <c r="E1772" s="1" t="s">
        <v>382</v>
      </c>
      <c r="F1772" s="1" t="s">
        <v>383</v>
      </c>
      <c r="G1772" s="1" t="s">
        <v>395</v>
      </c>
      <c r="H1772" s="1">
        <v>534</v>
      </c>
      <c r="I1772" s="3">
        <v>46274</v>
      </c>
      <c r="J1772" s="3">
        <v>46276</v>
      </c>
      <c r="K1772" s="3" t="s">
        <v>2368</v>
      </c>
      <c r="L1772" s="31">
        <v>46274.644989351851</v>
      </c>
      <c r="M1772" s="33">
        <v>12</v>
      </c>
      <c r="N1772" s="1">
        <v>42</v>
      </c>
    </row>
    <row r="1773" spans="1:14" x14ac:dyDescent="0.25">
      <c r="A1773" t="str">
        <f t="shared" si="56"/>
        <v>78792077879207</v>
      </c>
      <c r="B1773" t="str">
        <f t="shared" si="57"/>
        <v>7879207P60347Q-M</v>
      </c>
      <c r="C1773" s="27" t="s">
        <v>628</v>
      </c>
      <c r="D1773" s="27" t="s">
        <v>629</v>
      </c>
      <c r="E1773" s="1" t="s">
        <v>382</v>
      </c>
      <c r="F1773" s="1" t="s">
        <v>383</v>
      </c>
      <c r="G1773" s="1" t="s">
        <v>395</v>
      </c>
      <c r="H1773" s="1">
        <v>534</v>
      </c>
      <c r="I1773" s="3">
        <v>46274</v>
      </c>
      <c r="J1773" s="3">
        <v>46276</v>
      </c>
      <c r="K1773" s="3" t="s">
        <v>2368</v>
      </c>
      <c r="L1773" s="31">
        <v>46274.66594525463</v>
      </c>
      <c r="M1773" s="33">
        <v>12</v>
      </c>
      <c r="N1773" s="1">
        <v>19</v>
      </c>
    </row>
    <row r="1774" spans="1:14" x14ac:dyDescent="0.25">
      <c r="A1774" t="str">
        <f t="shared" si="56"/>
        <v>78792077879207</v>
      </c>
      <c r="B1774" t="str">
        <f t="shared" si="57"/>
        <v>7879207P60347Q-M</v>
      </c>
      <c r="C1774" s="27" t="s">
        <v>628</v>
      </c>
      <c r="D1774" s="27" t="s">
        <v>629</v>
      </c>
      <c r="E1774" s="1" t="s">
        <v>382</v>
      </c>
      <c r="F1774" s="1" t="s">
        <v>383</v>
      </c>
      <c r="G1774" s="1" t="s">
        <v>395</v>
      </c>
      <c r="H1774" s="1">
        <v>534</v>
      </c>
      <c r="I1774" s="3">
        <v>46274</v>
      </c>
      <c r="J1774" s="3">
        <v>46276</v>
      </c>
      <c r="K1774" s="3" t="s">
        <v>2368</v>
      </c>
      <c r="L1774" s="31">
        <v>46274.666092858795</v>
      </c>
      <c r="M1774" s="33">
        <v>12</v>
      </c>
      <c r="N1774" s="1">
        <v>16</v>
      </c>
    </row>
    <row r="1775" spans="1:14" x14ac:dyDescent="0.25">
      <c r="A1775" t="str">
        <f t="shared" si="56"/>
        <v>78792077879207</v>
      </c>
      <c r="B1775" t="str">
        <f t="shared" si="57"/>
        <v>7879207P60347Q-M</v>
      </c>
      <c r="C1775" s="27" t="s">
        <v>628</v>
      </c>
      <c r="D1775" s="27" t="s">
        <v>629</v>
      </c>
      <c r="E1775" s="1" t="s">
        <v>382</v>
      </c>
      <c r="F1775" s="1" t="s">
        <v>383</v>
      </c>
      <c r="G1775" s="1" t="s">
        <v>395</v>
      </c>
      <c r="H1775" s="1">
        <v>534</v>
      </c>
      <c r="I1775" s="3">
        <v>46274</v>
      </c>
      <c r="J1775" s="3">
        <v>46276</v>
      </c>
      <c r="K1775" s="3" t="s">
        <v>2368</v>
      </c>
      <c r="L1775" s="31">
        <v>46274.666320138887</v>
      </c>
      <c r="M1775" s="33">
        <v>12</v>
      </c>
      <c r="N1775" s="1">
        <v>35</v>
      </c>
    </row>
    <row r="1776" spans="1:14" x14ac:dyDescent="0.25">
      <c r="A1776" t="str">
        <f t="shared" si="56"/>
        <v>78792077879207</v>
      </c>
      <c r="B1776" t="str">
        <f t="shared" si="57"/>
        <v>7879207P60347Q-M</v>
      </c>
      <c r="C1776" s="27" t="s">
        <v>628</v>
      </c>
      <c r="D1776" s="27" t="s">
        <v>629</v>
      </c>
      <c r="E1776" s="1" t="s">
        <v>382</v>
      </c>
      <c r="F1776" s="1" t="s">
        <v>383</v>
      </c>
      <c r="G1776" s="1" t="s">
        <v>395</v>
      </c>
      <c r="H1776" s="1">
        <v>534</v>
      </c>
      <c r="I1776" s="3">
        <v>46274</v>
      </c>
      <c r="J1776" s="3">
        <v>46276</v>
      </c>
      <c r="K1776" s="3" t="s">
        <v>2368</v>
      </c>
      <c r="L1776" s="31">
        <v>46274.666454745369</v>
      </c>
      <c r="M1776" s="33">
        <v>12</v>
      </c>
      <c r="N1776" s="1">
        <v>40</v>
      </c>
    </row>
    <row r="1777" spans="1:14" x14ac:dyDescent="0.25">
      <c r="A1777" t="str">
        <f t="shared" si="56"/>
        <v>78792077879207</v>
      </c>
      <c r="B1777" t="str">
        <f t="shared" si="57"/>
        <v>7879207P60347Q-M</v>
      </c>
      <c r="C1777" s="27" t="s">
        <v>628</v>
      </c>
      <c r="D1777" s="27" t="s">
        <v>629</v>
      </c>
      <c r="E1777" s="1" t="s">
        <v>382</v>
      </c>
      <c r="F1777" s="1" t="s">
        <v>383</v>
      </c>
      <c r="G1777" s="1" t="s">
        <v>395</v>
      </c>
      <c r="H1777" s="1">
        <v>534</v>
      </c>
      <c r="I1777" s="3">
        <v>46274</v>
      </c>
      <c r="J1777" s="3">
        <v>46276</v>
      </c>
      <c r="K1777" s="3" t="s">
        <v>2368</v>
      </c>
      <c r="L1777" s="31">
        <v>46274.677183101849</v>
      </c>
      <c r="M1777" s="33">
        <v>12</v>
      </c>
      <c r="N1777" s="1">
        <v>34</v>
      </c>
    </row>
    <row r="1778" spans="1:14" x14ac:dyDescent="0.25">
      <c r="A1778" t="str">
        <f t="shared" si="56"/>
        <v>78792077879207</v>
      </c>
      <c r="B1778" t="str">
        <f t="shared" si="57"/>
        <v>7879207P60347Q-M</v>
      </c>
      <c r="C1778" s="27" t="s">
        <v>628</v>
      </c>
      <c r="D1778" s="27" t="s">
        <v>629</v>
      </c>
      <c r="E1778" s="1" t="s">
        <v>382</v>
      </c>
      <c r="F1778" s="1" t="s">
        <v>383</v>
      </c>
      <c r="G1778" s="1" t="s">
        <v>395</v>
      </c>
      <c r="H1778" s="1">
        <v>534</v>
      </c>
      <c r="I1778" s="3">
        <v>46274</v>
      </c>
      <c r="J1778" s="3">
        <v>46276</v>
      </c>
      <c r="K1778" s="3" t="s">
        <v>2368</v>
      </c>
      <c r="L1778" s="31">
        <v>46274.67761608796</v>
      </c>
      <c r="M1778" s="33">
        <v>12</v>
      </c>
      <c r="N1778" s="1">
        <v>39</v>
      </c>
    </row>
    <row r="1779" spans="1:14" x14ac:dyDescent="0.25">
      <c r="A1779" t="str">
        <f t="shared" si="56"/>
        <v>78792077879207</v>
      </c>
      <c r="B1779" t="str">
        <f t="shared" si="57"/>
        <v>7879207P60347Q-M</v>
      </c>
      <c r="C1779" s="27" t="s">
        <v>628</v>
      </c>
      <c r="D1779" s="27" t="s">
        <v>629</v>
      </c>
      <c r="E1779" s="1" t="s">
        <v>382</v>
      </c>
      <c r="F1779" s="1" t="s">
        <v>383</v>
      </c>
      <c r="G1779" s="1" t="s">
        <v>395</v>
      </c>
      <c r="H1779" s="1">
        <v>534</v>
      </c>
      <c r="I1779" s="3">
        <v>46274</v>
      </c>
      <c r="J1779" s="3">
        <v>46276</v>
      </c>
      <c r="K1779" s="3" t="s">
        <v>2368</v>
      </c>
      <c r="L1779" s="31">
        <v>46274.678364317129</v>
      </c>
      <c r="M1779" s="33">
        <v>12</v>
      </c>
      <c r="N1779" s="1">
        <v>23</v>
      </c>
    </row>
    <row r="1780" spans="1:14" x14ac:dyDescent="0.25">
      <c r="A1780" t="str">
        <f t="shared" si="56"/>
        <v>78792077879207</v>
      </c>
      <c r="B1780" t="str">
        <f t="shared" si="57"/>
        <v>7879207P60347Q-M</v>
      </c>
      <c r="C1780" s="27" t="s">
        <v>628</v>
      </c>
      <c r="D1780" s="27" t="s">
        <v>629</v>
      </c>
      <c r="E1780" s="1" t="s">
        <v>382</v>
      </c>
      <c r="F1780" s="1" t="s">
        <v>383</v>
      </c>
      <c r="G1780" s="1" t="s">
        <v>395</v>
      </c>
      <c r="H1780" s="1">
        <v>534</v>
      </c>
      <c r="I1780" s="3">
        <v>46274</v>
      </c>
      <c r="J1780" s="3">
        <v>46276</v>
      </c>
      <c r="K1780" s="3" t="s">
        <v>2368</v>
      </c>
      <c r="L1780" s="31">
        <v>46274.678491284722</v>
      </c>
      <c r="M1780" s="33">
        <v>12</v>
      </c>
      <c r="N1780" s="1">
        <v>30</v>
      </c>
    </row>
    <row r="1781" spans="1:14" x14ac:dyDescent="0.25">
      <c r="A1781" t="str">
        <f t="shared" si="56"/>
        <v>78792077879207</v>
      </c>
      <c r="B1781" t="str">
        <f t="shared" si="57"/>
        <v>7879207P60347Q-M</v>
      </c>
      <c r="C1781" s="27" t="s">
        <v>628</v>
      </c>
      <c r="D1781" s="27" t="s">
        <v>629</v>
      </c>
      <c r="E1781" s="1" t="s">
        <v>382</v>
      </c>
      <c r="F1781" s="1" t="s">
        <v>383</v>
      </c>
      <c r="G1781" s="1" t="s">
        <v>395</v>
      </c>
      <c r="H1781" s="1">
        <v>534</v>
      </c>
      <c r="I1781" s="3">
        <v>46274</v>
      </c>
      <c r="J1781" s="3">
        <v>46276</v>
      </c>
      <c r="K1781" s="3" t="s">
        <v>2368</v>
      </c>
      <c r="L1781" s="31">
        <v>46274.67933741898</v>
      </c>
      <c r="M1781" s="33">
        <v>12</v>
      </c>
      <c r="N1781" s="1">
        <v>36</v>
      </c>
    </row>
    <row r="1782" spans="1:14" x14ac:dyDescent="0.25">
      <c r="A1782" t="str">
        <f t="shared" si="56"/>
        <v>78792077879207</v>
      </c>
      <c r="B1782" t="str">
        <f t="shared" si="57"/>
        <v>7879207P60347Q-M</v>
      </c>
      <c r="C1782" s="27" t="s">
        <v>628</v>
      </c>
      <c r="D1782" s="27" t="s">
        <v>629</v>
      </c>
      <c r="E1782" s="1" t="s">
        <v>382</v>
      </c>
      <c r="F1782" s="1" t="s">
        <v>383</v>
      </c>
      <c r="G1782" s="1" t="s">
        <v>395</v>
      </c>
      <c r="H1782" s="1">
        <v>534</v>
      </c>
      <c r="I1782" s="3">
        <v>46274</v>
      </c>
      <c r="J1782" s="3">
        <v>46276</v>
      </c>
      <c r="K1782" s="3" t="s">
        <v>2368</v>
      </c>
      <c r="L1782" s="31">
        <v>46274.684269560181</v>
      </c>
      <c r="M1782" s="33">
        <v>12</v>
      </c>
      <c r="N1782" s="1">
        <v>31</v>
      </c>
    </row>
    <row r="1783" spans="1:14" x14ac:dyDescent="0.25">
      <c r="A1783" t="str">
        <f t="shared" si="56"/>
        <v>78792077879207</v>
      </c>
      <c r="B1783" t="str">
        <f t="shared" si="57"/>
        <v>7879207P60347Q-M</v>
      </c>
      <c r="C1783" s="27" t="s">
        <v>628</v>
      </c>
      <c r="D1783" s="27" t="s">
        <v>629</v>
      </c>
      <c r="E1783" s="1" t="s">
        <v>382</v>
      </c>
      <c r="F1783" s="1" t="s">
        <v>383</v>
      </c>
      <c r="G1783" s="1" t="s">
        <v>395</v>
      </c>
      <c r="H1783" s="1">
        <v>534</v>
      </c>
      <c r="I1783" s="3">
        <v>46274</v>
      </c>
      <c r="J1783" s="3">
        <v>46276</v>
      </c>
      <c r="K1783" s="3" t="s">
        <v>2368</v>
      </c>
      <c r="L1783" s="31">
        <v>46274.685114004627</v>
      </c>
      <c r="M1783" s="33">
        <v>12</v>
      </c>
      <c r="N1783" s="1">
        <v>9</v>
      </c>
    </row>
    <row r="1784" spans="1:14" x14ac:dyDescent="0.25">
      <c r="A1784" t="str">
        <f t="shared" si="56"/>
        <v>78792077879207</v>
      </c>
      <c r="B1784" t="str">
        <f t="shared" si="57"/>
        <v>7879207P60347Q-M</v>
      </c>
      <c r="C1784" s="27" t="s">
        <v>628</v>
      </c>
      <c r="D1784" s="27" t="s">
        <v>629</v>
      </c>
      <c r="E1784" s="1" t="s">
        <v>382</v>
      </c>
      <c r="F1784" s="1" t="s">
        <v>383</v>
      </c>
      <c r="G1784" s="1" t="s">
        <v>395</v>
      </c>
      <c r="H1784" s="1">
        <v>534</v>
      </c>
      <c r="I1784" s="3">
        <v>46274</v>
      </c>
      <c r="J1784" s="3">
        <v>46276</v>
      </c>
      <c r="K1784" s="3" t="s">
        <v>2368</v>
      </c>
      <c r="L1784" s="31">
        <v>46274.68527681713</v>
      </c>
      <c r="M1784" s="33">
        <v>12</v>
      </c>
      <c r="N1784" s="1">
        <v>2</v>
      </c>
    </row>
    <row r="1785" spans="1:14" x14ac:dyDescent="0.25">
      <c r="A1785" t="str">
        <f t="shared" si="56"/>
        <v>78792077879207</v>
      </c>
      <c r="B1785" t="str">
        <f t="shared" si="57"/>
        <v>7879207P60347Q-M</v>
      </c>
      <c r="C1785" s="27" t="s">
        <v>628</v>
      </c>
      <c r="D1785" s="27" t="s">
        <v>629</v>
      </c>
      <c r="E1785" s="1" t="s">
        <v>382</v>
      </c>
      <c r="F1785" s="1" t="s">
        <v>383</v>
      </c>
      <c r="G1785" s="1" t="s">
        <v>395</v>
      </c>
      <c r="H1785" s="1">
        <v>534</v>
      </c>
      <c r="I1785" s="3">
        <v>46274</v>
      </c>
      <c r="J1785" s="3">
        <v>46276</v>
      </c>
      <c r="K1785" s="3" t="s">
        <v>2368</v>
      </c>
      <c r="L1785" s="31">
        <v>46274.685432604165</v>
      </c>
      <c r="M1785" s="33">
        <v>12</v>
      </c>
      <c r="N1785" s="1">
        <v>18</v>
      </c>
    </row>
    <row r="1786" spans="1:14" x14ac:dyDescent="0.25">
      <c r="A1786" t="str">
        <f t="shared" si="56"/>
        <v>78792077879207</v>
      </c>
      <c r="B1786" t="str">
        <f t="shared" si="57"/>
        <v>7879207P60347Q-M</v>
      </c>
      <c r="C1786" s="27" t="s">
        <v>628</v>
      </c>
      <c r="D1786" s="27" t="s">
        <v>629</v>
      </c>
      <c r="E1786" s="1" t="s">
        <v>382</v>
      </c>
      <c r="F1786" s="1" t="s">
        <v>383</v>
      </c>
      <c r="G1786" s="1" t="s">
        <v>395</v>
      </c>
      <c r="H1786" s="1">
        <v>534</v>
      </c>
      <c r="I1786" s="3">
        <v>46274</v>
      </c>
      <c r="J1786" s="3">
        <v>46276</v>
      </c>
      <c r="K1786" s="3" t="s">
        <v>2368</v>
      </c>
      <c r="L1786" s="31">
        <v>46274.68557804398</v>
      </c>
      <c r="M1786" s="33">
        <v>12</v>
      </c>
      <c r="N1786" s="1">
        <v>38</v>
      </c>
    </row>
    <row r="1787" spans="1:14" x14ac:dyDescent="0.25">
      <c r="A1787" t="str">
        <f t="shared" si="56"/>
        <v>78792077879207</v>
      </c>
      <c r="B1787" t="str">
        <f t="shared" si="57"/>
        <v>7879207P60347Q-M</v>
      </c>
      <c r="C1787" s="27" t="s">
        <v>628</v>
      </c>
      <c r="D1787" s="27" t="s">
        <v>629</v>
      </c>
      <c r="E1787" s="1" t="s">
        <v>382</v>
      </c>
      <c r="F1787" s="1" t="s">
        <v>383</v>
      </c>
      <c r="G1787" s="1" t="s">
        <v>395</v>
      </c>
      <c r="H1787" s="1">
        <v>534</v>
      </c>
      <c r="I1787" s="3">
        <v>46274</v>
      </c>
      <c r="J1787" s="3">
        <v>46276</v>
      </c>
      <c r="K1787" s="3" t="s">
        <v>2368</v>
      </c>
      <c r="L1787" s="31">
        <v>46274.685753622682</v>
      </c>
      <c r="M1787" s="33">
        <v>12</v>
      </c>
      <c r="N1787" s="1">
        <v>12</v>
      </c>
    </row>
    <row r="1788" spans="1:14" x14ac:dyDescent="0.25">
      <c r="A1788" t="str">
        <f t="shared" si="56"/>
        <v>78792077879207</v>
      </c>
      <c r="B1788" t="str">
        <f t="shared" si="57"/>
        <v>7879207P60347Q-M</v>
      </c>
      <c r="C1788" s="27" t="s">
        <v>628</v>
      </c>
      <c r="D1788" s="27" t="s">
        <v>629</v>
      </c>
      <c r="E1788" s="1" t="s">
        <v>382</v>
      </c>
      <c r="F1788" s="1" t="s">
        <v>383</v>
      </c>
      <c r="G1788" s="1" t="s">
        <v>395</v>
      </c>
      <c r="H1788" s="1">
        <v>534</v>
      </c>
      <c r="I1788" s="3">
        <v>46274</v>
      </c>
      <c r="J1788" s="3">
        <v>46276</v>
      </c>
      <c r="K1788" s="3" t="s">
        <v>2368</v>
      </c>
      <c r="L1788" s="31">
        <v>46274.687468252312</v>
      </c>
      <c r="M1788" s="33">
        <v>12</v>
      </c>
      <c r="N1788" s="1">
        <v>29</v>
      </c>
    </row>
    <row r="1789" spans="1:14" x14ac:dyDescent="0.25">
      <c r="A1789" t="str">
        <f t="shared" si="56"/>
        <v>78792077879207</v>
      </c>
      <c r="B1789" t="str">
        <f t="shared" si="57"/>
        <v>7879207P60347Q-M</v>
      </c>
      <c r="C1789" s="27" t="s">
        <v>628</v>
      </c>
      <c r="D1789" s="27" t="s">
        <v>629</v>
      </c>
      <c r="E1789" s="1" t="s">
        <v>382</v>
      </c>
      <c r="F1789" s="1" t="s">
        <v>383</v>
      </c>
      <c r="G1789" s="1" t="s">
        <v>395</v>
      </c>
      <c r="H1789" s="1">
        <v>534</v>
      </c>
      <c r="I1789" s="3">
        <v>46274</v>
      </c>
      <c r="J1789" s="3">
        <v>46276</v>
      </c>
      <c r="K1789" s="3" t="s">
        <v>2368</v>
      </c>
      <c r="L1789" s="31">
        <v>46274.687630011569</v>
      </c>
      <c r="M1789" s="33">
        <v>12</v>
      </c>
      <c r="N1789" s="1">
        <v>37</v>
      </c>
    </row>
    <row r="1790" spans="1:14" x14ac:dyDescent="0.25">
      <c r="A1790" t="str">
        <f t="shared" si="56"/>
        <v>78792077879207</v>
      </c>
      <c r="B1790" t="str">
        <f t="shared" si="57"/>
        <v>7879207P60347Q-M</v>
      </c>
      <c r="C1790" s="27" t="s">
        <v>628</v>
      </c>
      <c r="D1790" s="27" t="s">
        <v>629</v>
      </c>
      <c r="E1790" s="1" t="s">
        <v>382</v>
      </c>
      <c r="F1790" s="1" t="s">
        <v>383</v>
      </c>
      <c r="G1790" s="1" t="s">
        <v>395</v>
      </c>
      <c r="H1790" s="1">
        <v>534</v>
      </c>
      <c r="I1790" s="3">
        <v>46274</v>
      </c>
      <c r="J1790" s="3">
        <v>46276</v>
      </c>
      <c r="K1790" s="3" t="s">
        <v>2368</v>
      </c>
      <c r="L1790" s="31">
        <v>46274.687794444442</v>
      </c>
      <c r="M1790" s="33">
        <v>12</v>
      </c>
      <c r="N1790" s="1">
        <v>15</v>
      </c>
    </row>
    <row r="1791" spans="1:14" x14ac:dyDescent="0.25">
      <c r="A1791" t="str">
        <f t="shared" si="56"/>
        <v>78792077879207</v>
      </c>
      <c r="B1791" t="str">
        <f t="shared" si="57"/>
        <v>7879207P60347Q-M</v>
      </c>
      <c r="C1791" s="27" t="s">
        <v>628</v>
      </c>
      <c r="D1791" s="27" t="s">
        <v>629</v>
      </c>
      <c r="E1791" s="1" t="s">
        <v>382</v>
      </c>
      <c r="F1791" s="1" t="s">
        <v>383</v>
      </c>
      <c r="G1791" s="1" t="s">
        <v>395</v>
      </c>
      <c r="H1791" s="1">
        <v>534</v>
      </c>
      <c r="I1791" s="3">
        <v>46274</v>
      </c>
      <c r="J1791" s="3">
        <v>46276</v>
      </c>
      <c r="K1791" s="3" t="s">
        <v>2368</v>
      </c>
      <c r="L1791" s="31">
        <v>46274.701794212961</v>
      </c>
      <c r="M1791" s="33">
        <v>6</v>
      </c>
      <c r="N1791" s="1">
        <v>46</v>
      </c>
    </row>
    <row r="1792" spans="1:14" x14ac:dyDescent="0.25">
      <c r="A1792" t="str">
        <f t="shared" si="56"/>
        <v>78792077879207</v>
      </c>
      <c r="B1792" t="str">
        <f t="shared" si="57"/>
        <v>7879207P60347Q-M</v>
      </c>
      <c r="C1792" s="27" t="s">
        <v>628</v>
      </c>
      <c r="D1792" s="27" t="s">
        <v>629</v>
      </c>
      <c r="E1792" s="1" t="s">
        <v>382</v>
      </c>
      <c r="F1792" s="1" t="s">
        <v>383</v>
      </c>
      <c r="G1792" s="1" t="s">
        <v>395</v>
      </c>
      <c r="H1792" s="1">
        <v>534</v>
      </c>
      <c r="I1792" s="3">
        <v>46274</v>
      </c>
      <c r="J1792" s="3">
        <v>46276</v>
      </c>
      <c r="K1792" s="3" t="s">
        <v>2368</v>
      </c>
      <c r="L1792" s="31">
        <v>46274.702020567129</v>
      </c>
      <c r="M1792" s="33">
        <v>12</v>
      </c>
      <c r="N1792" s="1">
        <v>20</v>
      </c>
    </row>
    <row r="1793" spans="1:14" x14ac:dyDescent="0.25">
      <c r="A1793" t="str">
        <f t="shared" si="56"/>
        <v>78792077879207</v>
      </c>
      <c r="B1793" t="str">
        <f t="shared" si="57"/>
        <v>7879207P60347Q-M</v>
      </c>
      <c r="C1793" s="27" t="s">
        <v>628</v>
      </c>
      <c r="D1793" s="27" t="s">
        <v>629</v>
      </c>
      <c r="E1793" s="1" t="s">
        <v>382</v>
      </c>
      <c r="F1793" s="1" t="s">
        <v>383</v>
      </c>
      <c r="G1793" s="1" t="s">
        <v>395</v>
      </c>
      <c r="H1793" s="1">
        <v>534</v>
      </c>
      <c r="I1793" s="3">
        <v>46274</v>
      </c>
      <c r="J1793" s="3">
        <v>46276</v>
      </c>
      <c r="K1793" s="3" t="s">
        <v>2368</v>
      </c>
      <c r="L1793" s="31">
        <v>46274.702189039352</v>
      </c>
      <c r="M1793" s="33">
        <v>12</v>
      </c>
      <c r="N1793" s="1">
        <v>24</v>
      </c>
    </row>
    <row r="1794" spans="1:14" x14ac:dyDescent="0.25">
      <c r="A1794" t="str">
        <f t="shared" ref="A1794:A1857" si="58">+D1794&amp;D1794</f>
        <v>78792077879207</v>
      </c>
      <c r="B1794" t="str">
        <f t="shared" ref="B1794:B1857" si="59">+D1794&amp;C1794</f>
        <v>7879207P60347Q-M</v>
      </c>
      <c r="C1794" s="27" t="s">
        <v>628</v>
      </c>
      <c r="D1794" s="27" t="s">
        <v>629</v>
      </c>
      <c r="E1794" s="1" t="s">
        <v>382</v>
      </c>
      <c r="F1794" s="1" t="s">
        <v>383</v>
      </c>
      <c r="G1794" s="1" t="s">
        <v>395</v>
      </c>
      <c r="H1794" s="1">
        <v>534</v>
      </c>
      <c r="I1794" s="3">
        <v>46274</v>
      </c>
      <c r="J1794" s="3">
        <v>46276</v>
      </c>
      <c r="K1794" s="3" t="s">
        <v>2368</v>
      </c>
      <c r="L1794" s="31">
        <v>46274.702333715279</v>
      </c>
      <c r="M1794" s="33">
        <v>12</v>
      </c>
      <c r="N1794" s="1">
        <v>41</v>
      </c>
    </row>
    <row r="1795" spans="1:14" x14ac:dyDescent="0.25">
      <c r="A1795" t="str">
        <f t="shared" si="58"/>
        <v>78792077879207</v>
      </c>
      <c r="B1795" t="str">
        <f t="shared" si="59"/>
        <v>7879207P60347Q-M</v>
      </c>
      <c r="C1795" s="27" t="s">
        <v>628</v>
      </c>
      <c r="D1795" s="27" t="s">
        <v>629</v>
      </c>
      <c r="E1795" s="1" t="s">
        <v>382</v>
      </c>
      <c r="F1795" s="1" t="s">
        <v>383</v>
      </c>
      <c r="G1795" s="1" t="s">
        <v>395</v>
      </c>
      <c r="H1795" s="1">
        <v>534</v>
      </c>
      <c r="I1795" s="3">
        <v>46274</v>
      </c>
      <c r="J1795" s="3">
        <v>46276</v>
      </c>
      <c r="K1795" s="3" t="s">
        <v>2368</v>
      </c>
      <c r="L1795" s="31">
        <v>46274.702523229163</v>
      </c>
      <c r="M1795" s="33">
        <v>12</v>
      </c>
      <c r="N1795" s="1">
        <v>11</v>
      </c>
    </row>
    <row r="1796" spans="1:14" x14ac:dyDescent="0.25">
      <c r="A1796" t="str">
        <f t="shared" si="58"/>
        <v>78792077879207</v>
      </c>
      <c r="B1796" t="str">
        <f t="shared" si="59"/>
        <v>7879207P60347Q-M</v>
      </c>
      <c r="C1796" s="27" t="s">
        <v>628</v>
      </c>
      <c r="D1796" s="27" t="s">
        <v>629</v>
      </c>
      <c r="E1796" s="1" t="s">
        <v>382</v>
      </c>
      <c r="F1796" s="1" t="s">
        <v>383</v>
      </c>
      <c r="G1796" s="1" t="s">
        <v>395</v>
      </c>
      <c r="H1796" s="1">
        <v>534</v>
      </c>
      <c r="I1796" s="3">
        <v>46274</v>
      </c>
      <c r="J1796" s="3">
        <v>46276</v>
      </c>
      <c r="K1796" s="3" t="s">
        <v>2368</v>
      </c>
      <c r="L1796" s="31">
        <v>46274.713696678242</v>
      </c>
      <c r="M1796" s="33">
        <v>12</v>
      </c>
      <c r="N1796" s="1">
        <v>13</v>
      </c>
    </row>
    <row r="1797" spans="1:14" x14ac:dyDescent="0.25">
      <c r="A1797" t="str">
        <f t="shared" si="58"/>
        <v>78792077879207</v>
      </c>
      <c r="B1797" t="str">
        <f t="shared" si="59"/>
        <v>7879207P60347Q-M</v>
      </c>
      <c r="C1797" s="27" t="s">
        <v>628</v>
      </c>
      <c r="D1797" s="27" t="s">
        <v>629</v>
      </c>
      <c r="E1797" s="1" t="s">
        <v>382</v>
      </c>
      <c r="F1797" s="1" t="s">
        <v>383</v>
      </c>
      <c r="G1797" s="1" t="s">
        <v>395</v>
      </c>
      <c r="H1797" s="1">
        <v>534</v>
      </c>
      <c r="I1797" s="3">
        <v>46274</v>
      </c>
      <c r="J1797" s="3">
        <v>46276</v>
      </c>
      <c r="K1797" s="3" t="s">
        <v>2368</v>
      </c>
      <c r="L1797" s="31">
        <v>46274.715965277777</v>
      </c>
      <c r="M1797" s="33">
        <v>12</v>
      </c>
      <c r="N1797" s="1">
        <v>8</v>
      </c>
    </row>
    <row r="1798" spans="1:14" x14ac:dyDescent="0.25">
      <c r="A1798" t="str">
        <f t="shared" si="58"/>
        <v>H189175H189175</v>
      </c>
      <c r="B1798" t="str">
        <f t="shared" si="59"/>
        <v>H189175G6032Z2-W</v>
      </c>
      <c r="C1798" s="27" t="s">
        <v>21</v>
      </c>
      <c r="D1798" s="27" t="s">
        <v>630</v>
      </c>
      <c r="E1798" s="1" t="s">
        <v>414</v>
      </c>
      <c r="F1798" s="1" t="s">
        <v>415</v>
      </c>
      <c r="G1798" s="1" t="s">
        <v>404</v>
      </c>
      <c r="H1798" s="1">
        <v>252</v>
      </c>
      <c r="I1798" s="3">
        <v>46274</v>
      </c>
      <c r="J1798" s="3">
        <v>46283</v>
      </c>
      <c r="K1798" s="3" t="s">
        <v>2362</v>
      </c>
      <c r="L1798" s="31">
        <v>46274.660499270831</v>
      </c>
      <c r="M1798" s="33">
        <v>12</v>
      </c>
      <c r="N1798" s="1">
        <v>18</v>
      </c>
    </row>
    <row r="1799" spans="1:14" x14ac:dyDescent="0.25">
      <c r="A1799" t="str">
        <f t="shared" si="58"/>
        <v>H189175H189175</v>
      </c>
      <c r="B1799" t="str">
        <f t="shared" si="59"/>
        <v>H189175G6032Z2-W</v>
      </c>
      <c r="C1799" s="27" t="s">
        <v>21</v>
      </c>
      <c r="D1799" s="27" t="s">
        <v>630</v>
      </c>
      <c r="E1799" s="1" t="s">
        <v>414</v>
      </c>
      <c r="F1799" s="1" t="s">
        <v>415</v>
      </c>
      <c r="G1799" s="1" t="s">
        <v>404</v>
      </c>
      <c r="H1799" s="1">
        <v>252</v>
      </c>
      <c r="I1799" s="3">
        <v>46274</v>
      </c>
      <c r="J1799" s="3">
        <v>46283</v>
      </c>
      <c r="K1799" s="3" t="s">
        <v>2362</v>
      </c>
      <c r="L1799" s="31">
        <v>46274.661638506943</v>
      </c>
      <c r="M1799" s="33">
        <v>12</v>
      </c>
      <c r="N1799" s="1">
        <v>25</v>
      </c>
    </row>
    <row r="1800" spans="1:14" x14ac:dyDescent="0.25">
      <c r="A1800" t="str">
        <f t="shared" si="58"/>
        <v>H189175H189175</v>
      </c>
      <c r="B1800" t="str">
        <f t="shared" si="59"/>
        <v>H189175G6032Z2-W</v>
      </c>
      <c r="C1800" s="27" t="s">
        <v>21</v>
      </c>
      <c r="D1800" s="27" t="s">
        <v>630</v>
      </c>
      <c r="E1800" s="1" t="s">
        <v>414</v>
      </c>
      <c r="F1800" s="1" t="s">
        <v>415</v>
      </c>
      <c r="G1800" s="1" t="s">
        <v>404</v>
      </c>
      <c r="H1800" s="1">
        <v>252</v>
      </c>
      <c r="I1800" s="3">
        <v>46274</v>
      </c>
      <c r="J1800" s="3">
        <v>46283</v>
      </c>
      <c r="K1800" s="3" t="s">
        <v>2362</v>
      </c>
      <c r="L1800" s="31">
        <v>46274.662500196755</v>
      </c>
      <c r="M1800" s="33">
        <v>12</v>
      </c>
      <c r="N1800" s="1">
        <v>31</v>
      </c>
    </row>
    <row r="1801" spans="1:14" x14ac:dyDescent="0.25">
      <c r="A1801" t="str">
        <f t="shared" si="58"/>
        <v>H189175H189175</v>
      </c>
      <c r="B1801" t="str">
        <f t="shared" si="59"/>
        <v>H189175G6032Z2-W</v>
      </c>
      <c r="C1801" s="27" t="s">
        <v>21</v>
      </c>
      <c r="D1801" s="27" t="s">
        <v>630</v>
      </c>
      <c r="E1801" s="1" t="s">
        <v>414</v>
      </c>
      <c r="F1801" s="1" t="s">
        <v>415</v>
      </c>
      <c r="G1801" s="1" t="s">
        <v>404</v>
      </c>
      <c r="H1801" s="1">
        <v>252</v>
      </c>
      <c r="I1801" s="3">
        <v>46274</v>
      </c>
      <c r="J1801" s="3">
        <v>46283</v>
      </c>
      <c r="K1801" s="3" t="s">
        <v>2362</v>
      </c>
      <c r="L1801" s="31">
        <v>46274.666579131939</v>
      </c>
      <c r="M1801" s="33">
        <v>12</v>
      </c>
      <c r="N1801" s="1">
        <v>19</v>
      </c>
    </row>
    <row r="1802" spans="1:14" x14ac:dyDescent="0.25">
      <c r="A1802" t="str">
        <f t="shared" si="58"/>
        <v>H189175H189175</v>
      </c>
      <c r="B1802" t="str">
        <f t="shared" si="59"/>
        <v>H189175G6032Z2-W</v>
      </c>
      <c r="C1802" s="27" t="s">
        <v>21</v>
      </c>
      <c r="D1802" s="27" t="s">
        <v>630</v>
      </c>
      <c r="E1802" s="1" t="s">
        <v>414</v>
      </c>
      <c r="F1802" s="1" t="s">
        <v>415</v>
      </c>
      <c r="G1802" s="1" t="s">
        <v>404</v>
      </c>
      <c r="H1802" s="1">
        <v>252</v>
      </c>
      <c r="I1802" s="3">
        <v>46274</v>
      </c>
      <c r="J1802" s="3">
        <v>46283</v>
      </c>
      <c r="K1802" s="3" t="s">
        <v>2362</v>
      </c>
      <c r="L1802" s="31">
        <v>46274.667733020833</v>
      </c>
      <c r="M1802" s="33">
        <v>12</v>
      </c>
      <c r="N1802" s="1">
        <v>26</v>
      </c>
    </row>
    <row r="1803" spans="1:14" x14ac:dyDescent="0.25">
      <c r="A1803" t="str">
        <f t="shared" si="58"/>
        <v>H189175H189175</v>
      </c>
      <c r="B1803" t="str">
        <f t="shared" si="59"/>
        <v>H189175G6032Z2-W</v>
      </c>
      <c r="C1803" s="27" t="s">
        <v>21</v>
      </c>
      <c r="D1803" s="27" t="s">
        <v>630</v>
      </c>
      <c r="E1803" s="1" t="s">
        <v>414</v>
      </c>
      <c r="F1803" s="1" t="s">
        <v>415</v>
      </c>
      <c r="G1803" s="1" t="s">
        <v>404</v>
      </c>
      <c r="H1803" s="1">
        <v>252</v>
      </c>
      <c r="I1803" s="3">
        <v>46274</v>
      </c>
      <c r="J1803" s="3">
        <v>46283</v>
      </c>
      <c r="K1803" s="3" t="s">
        <v>2362</v>
      </c>
      <c r="L1803" s="31">
        <v>46274.671926273149</v>
      </c>
      <c r="M1803" s="33">
        <v>12</v>
      </c>
      <c r="N1803" s="1">
        <v>27</v>
      </c>
    </row>
    <row r="1804" spans="1:14" x14ac:dyDescent="0.25">
      <c r="A1804" t="str">
        <f t="shared" si="58"/>
        <v>H189175H189175</v>
      </c>
      <c r="B1804" t="str">
        <f t="shared" si="59"/>
        <v>H189175G6032Z2-W</v>
      </c>
      <c r="C1804" s="27" t="s">
        <v>21</v>
      </c>
      <c r="D1804" s="27" t="s">
        <v>630</v>
      </c>
      <c r="E1804" s="1" t="s">
        <v>414</v>
      </c>
      <c r="F1804" s="1" t="s">
        <v>415</v>
      </c>
      <c r="G1804" s="1" t="s">
        <v>404</v>
      </c>
      <c r="H1804" s="1">
        <v>252</v>
      </c>
      <c r="I1804" s="3">
        <v>46274</v>
      </c>
      <c r="J1804" s="3">
        <v>46283</v>
      </c>
      <c r="K1804" s="3" t="s">
        <v>2362</v>
      </c>
      <c r="L1804" s="31">
        <v>46274.673361226851</v>
      </c>
      <c r="M1804" s="33">
        <v>12</v>
      </c>
      <c r="N1804" s="1">
        <v>32</v>
      </c>
    </row>
    <row r="1805" spans="1:14" x14ac:dyDescent="0.25">
      <c r="A1805" t="str">
        <f t="shared" si="58"/>
        <v>H189175H189175</v>
      </c>
      <c r="B1805" t="str">
        <f t="shared" si="59"/>
        <v>H189175G6032Z2-W</v>
      </c>
      <c r="C1805" s="27" t="s">
        <v>21</v>
      </c>
      <c r="D1805" s="27" t="s">
        <v>630</v>
      </c>
      <c r="E1805" s="1" t="s">
        <v>414</v>
      </c>
      <c r="F1805" s="1" t="s">
        <v>415</v>
      </c>
      <c r="G1805" s="1" t="s">
        <v>404</v>
      </c>
      <c r="H1805" s="1">
        <v>252</v>
      </c>
      <c r="I1805" s="3">
        <v>46274</v>
      </c>
      <c r="J1805" s="3">
        <v>46283</v>
      </c>
      <c r="K1805" s="3" t="s">
        <v>2362</v>
      </c>
      <c r="L1805" s="31">
        <v>46274.681554166666</v>
      </c>
      <c r="M1805" s="33">
        <v>12</v>
      </c>
      <c r="N1805" s="1">
        <v>33</v>
      </c>
    </row>
    <row r="1806" spans="1:14" x14ac:dyDescent="0.25">
      <c r="A1806" t="str">
        <f t="shared" si="58"/>
        <v>H189175H189175</v>
      </c>
      <c r="B1806" t="str">
        <f t="shared" si="59"/>
        <v>H189175G6032Z2-W</v>
      </c>
      <c r="C1806" s="27" t="s">
        <v>21</v>
      </c>
      <c r="D1806" s="27" t="s">
        <v>630</v>
      </c>
      <c r="E1806" s="1" t="s">
        <v>414</v>
      </c>
      <c r="F1806" s="1" t="s">
        <v>415</v>
      </c>
      <c r="G1806" s="1" t="s">
        <v>404</v>
      </c>
      <c r="H1806" s="1">
        <v>252</v>
      </c>
      <c r="I1806" s="3">
        <v>46274</v>
      </c>
      <c r="J1806" s="3">
        <v>46283</v>
      </c>
      <c r="K1806" s="3" t="s">
        <v>2362</v>
      </c>
      <c r="L1806" s="31">
        <v>46274.687105011573</v>
      </c>
      <c r="M1806" s="33">
        <v>12</v>
      </c>
      <c r="N1806" s="1">
        <v>20</v>
      </c>
    </row>
    <row r="1807" spans="1:14" x14ac:dyDescent="0.25">
      <c r="A1807" t="str">
        <f t="shared" si="58"/>
        <v>H189175H189175</v>
      </c>
      <c r="B1807" t="str">
        <f t="shared" si="59"/>
        <v>H189175G6032Z2-W</v>
      </c>
      <c r="C1807" s="27" t="s">
        <v>21</v>
      </c>
      <c r="D1807" s="27" t="s">
        <v>630</v>
      </c>
      <c r="E1807" s="1" t="s">
        <v>414</v>
      </c>
      <c r="F1807" s="1" t="s">
        <v>415</v>
      </c>
      <c r="G1807" s="1" t="s">
        <v>404</v>
      </c>
      <c r="H1807" s="1">
        <v>252</v>
      </c>
      <c r="I1807" s="3">
        <v>46274</v>
      </c>
      <c r="J1807" s="3">
        <v>46283</v>
      </c>
      <c r="K1807" s="3" t="s">
        <v>2362</v>
      </c>
      <c r="L1807" s="31">
        <v>46274.701800497685</v>
      </c>
      <c r="M1807" s="33">
        <v>12</v>
      </c>
      <c r="N1807" s="1">
        <v>21</v>
      </c>
    </row>
    <row r="1808" spans="1:14" x14ac:dyDescent="0.25">
      <c r="A1808" t="str">
        <f t="shared" si="58"/>
        <v>H189175H189175</v>
      </c>
      <c r="B1808" t="str">
        <f t="shared" si="59"/>
        <v>H189175G6032Z2-W</v>
      </c>
      <c r="C1808" s="27" t="s">
        <v>21</v>
      </c>
      <c r="D1808" s="27" t="s">
        <v>630</v>
      </c>
      <c r="E1808" s="1" t="s">
        <v>414</v>
      </c>
      <c r="F1808" s="1" t="s">
        <v>415</v>
      </c>
      <c r="G1808" s="1" t="s">
        <v>404</v>
      </c>
      <c r="H1808" s="1">
        <v>252</v>
      </c>
      <c r="I1808" s="3">
        <v>46274</v>
      </c>
      <c r="J1808" s="3">
        <v>46283</v>
      </c>
      <c r="K1808" s="3" t="s">
        <v>2362</v>
      </c>
      <c r="L1808" s="31">
        <v>46274.702365856479</v>
      </c>
      <c r="M1808" s="33">
        <v>12</v>
      </c>
      <c r="N1808" s="1">
        <v>35</v>
      </c>
    </row>
    <row r="1809" spans="1:14" x14ac:dyDescent="0.25">
      <c r="A1809" t="str">
        <f t="shared" si="58"/>
        <v>H189175H189175</v>
      </c>
      <c r="B1809" t="str">
        <f t="shared" si="59"/>
        <v>H189175G6032Z2-W</v>
      </c>
      <c r="C1809" s="27" t="s">
        <v>21</v>
      </c>
      <c r="D1809" s="27" t="s">
        <v>630</v>
      </c>
      <c r="E1809" s="1" t="s">
        <v>414</v>
      </c>
      <c r="F1809" s="1" t="s">
        <v>415</v>
      </c>
      <c r="G1809" s="1" t="s">
        <v>404</v>
      </c>
      <c r="H1809" s="1">
        <v>252</v>
      </c>
      <c r="I1809" s="3">
        <v>46274</v>
      </c>
      <c r="J1809" s="3">
        <v>46283</v>
      </c>
      <c r="K1809" s="3" t="s">
        <v>2362</v>
      </c>
      <c r="L1809" s="31">
        <v>46274.704909918983</v>
      </c>
      <c r="M1809" s="33">
        <v>12</v>
      </c>
      <c r="N1809" s="1">
        <v>28</v>
      </c>
    </row>
    <row r="1810" spans="1:14" x14ac:dyDescent="0.25">
      <c r="A1810" t="str">
        <f t="shared" si="58"/>
        <v>H189175H189175</v>
      </c>
      <c r="B1810" t="str">
        <f t="shared" si="59"/>
        <v>H189175G6032Z2-W</v>
      </c>
      <c r="C1810" s="27" t="s">
        <v>21</v>
      </c>
      <c r="D1810" s="27" t="s">
        <v>630</v>
      </c>
      <c r="E1810" s="1" t="s">
        <v>414</v>
      </c>
      <c r="F1810" s="1" t="s">
        <v>415</v>
      </c>
      <c r="G1810" s="1" t="s">
        <v>404</v>
      </c>
      <c r="H1810" s="1">
        <v>252</v>
      </c>
      <c r="I1810" s="3">
        <v>46274</v>
      </c>
      <c r="J1810" s="3">
        <v>46283</v>
      </c>
      <c r="K1810" s="3" t="s">
        <v>2362</v>
      </c>
      <c r="L1810" s="31">
        <v>46274.706370023145</v>
      </c>
      <c r="M1810" s="33">
        <v>12</v>
      </c>
      <c r="N1810" s="1">
        <v>29</v>
      </c>
    </row>
    <row r="1811" spans="1:14" x14ac:dyDescent="0.25">
      <c r="A1811" t="str">
        <f t="shared" si="58"/>
        <v>H189175H189175</v>
      </c>
      <c r="B1811" t="str">
        <f t="shared" si="59"/>
        <v>H189175G6032Z2-W</v>
      </c>
      <c r="C1811" s="27" t="s">
        <v>21</v>
      </c>
      <c r="D1811" s="27" t="s">
        <v>630</v>
      </c>
      <c r="E1811" s="1" t="s">
        <v>414</v>
      </c>
      <c r="F1811" s="1" t="s">
        <v>415</v>
      </c>
      <c r="G1811" s="1" t="s">
        <v>404</v>
      </c>
      <c r="H1811" s="1">
        <v>252</v>
      </c>
      <c r="I1811" s="3">
        <v>46274</v>
      </c>
      <c r="J1811" s="3">
        <v>46283</v>
      </c>
      <c r="K1811" s="3" t="s">
        <v>2362</v>
      </c>
      <c r="L1811" s="31">
        <v>46274.731773726853</v>
      </c>
      <c r="M1811" s="33">
        <v>6</v>
      </c>
      <c r="N1811" s="1">
        <v>39</v>
      </c>
    </row>
    <row r="1812" spans="1:14" x14ac:dyDescent="0.25">
      <c r="A1812" t="str">
        <f t="shared" si="58"/>
        <v>U146416U146416</v>
      </c>
      <c r="B1812" t="str">
        <f t="shared" si="59"/>
        <v>U146416G6032Z2-M</v>
      </c>
      <c r="C1812" s="27" t="s">
        <v>15</v>
      </c>
      <c r="D1812" s="27" t="s">
        <v>623</v>
      </c>
      <c r="E1812" s="1" t="s">
        <v>436</v>
      </c>
      <c r="F1812" s="1" t="s">
        <v>439</v>
      </c>
      <c r="G1812" s="1" t="s">
        <v>438</v>
      </c>
      <c r="H1812" s="1">
        <v>516</v>
      </c>
      <c r="I1812" s="3">
        <v>46274</v>
      </c>
      <c r="J1812" s="3">
        <v>46286</v>
      </c>
      <c r="K1812" s="3" t="s">
        <v>2362</v>
      </c>
      <c r="L1812" s="31">
        <v>46274.441573113421</v>
      </c>
      <c r="M1812" s="33">
        <v>12</v>
      </c>
      <c r="N1812" s="1">
        <v>36</v>
      </c>
    </row>
    <row r="1813" spans="1:14" x14ac:dyDescent="0.25">
      <c r="A1813" t="str">
        <f t="shared" si="58"/>
        <v>U146416U146416</v>
      </c>
      <c r="B1813" t="str">
        <f t="shared" si="59"/>
        <v>U146416G6032Z2-M</v>
      </c>
      <c r="C1813" s="27" t="s">
        <v>15</v>
      </c>
      <c r="D1813" s="27" t="s">
        <v>623</v>
      </c>
      <c r="E1813" s="1" t="s">
        <v>436</v>
      </c>
      <c r="F1813" s="1" t="s">
        <v>439</v>
      </c>
      <c r="G1813" s="1" t="s">
        <v>438</v>
      </c>
      <c r="H1813" s="1">
        <v>516</v>
      </c>
      <c r="I1813" s="3">
        <v>46274</v>
      </c>
      <c r="J1813" s="3">
        <v>46286</v>
      </c>
      <c r="K1813" s="3" t="s">
        <v>2362</v>
      </c>
      <c r="L1813" s="31">
        <v>46274.445381597223</v>
      </c>
      <c r="M1813" s="33">
        <v>12</v>
      </c>
      <c r="N1813" s="1">
        <v>1</v>
      </c>
    </row>
    <row r="1814" spans="1:14" x14ac:dyDescent="0.25">
      <c r="A1814" t="str">
        <f t="shared" si="58"/>
        <v>U146416U146416</v>
      </c>
      <c r="B1814" t="str">
        <f t="shared" si="59"/>
        <v>U146416G6032Z2-M</v>
      </c>
      <c r="C1814" s="27" t="s">
        <v>15</v>
      </c>
      <c r="D1814" s="27" t="s">
        <v>623</v>
      </c>
      <c r="E1814" s="1" t="s">
        <v>436</v>
      </c>
      <c r="F1814" s="1" t="s">
        <v>439</v>
      </c>
      <c r="G1814" s="1" t="s">
        <v>438</v>
      </c>
      <c r="H1814" s="1">
        <v>516</v>
      </c>
      <c r="I1814" s="3">
        <v>46274</v>
      </c>
      <c r="J1814" s="3">
        <v>46286</v>
      </c>
      <c r="K1814" s="3" t="s">
        <v>2362</v>
      </c>
      <c r="L1814" s="31">
        <v>46274.468491400461</v>
      </c>
      <c r="M1814" s="33">
        <v>12</v>
      </c>
      <c r="N1814" s="1">
        <v>40</v>
      </c>
    </row>
    <row r="1815" spans="1:14" x14ac:dyDescent="0.25">
      <c r="A1815" t="str">
        <f t="shared" si="58"/>
        <v>U146416U146416</v>
      </c>
      <c r="B1815" t="str">
        <f t="shared" si="59"/>
        <v>U146416G6032Z2-M</v>
      </c>
      <c r="C1815" s="27" t="s">
        <v>15</v>
      </c>
      <c r="D1815" s="27" t="s">
        <v>623</v>
      </c>
      <c r="E1815" s="1" t="s">
        <v>436</v>
      </c>
      <c r="F1815" s="1" t="s">
        <v>439</v>
      </c>
      <c r="G1815" s="1" t="s">
        <v>438</v>
      </c>
      <c r="H1815" s="1">
        <v>516</v>
      </c>
      <c r="I1815" s="3">
        <v>46274</v>
      </c>
      <c r="J1815" s="3">
        <v>46286</v>
      </c>
      <c r="K1815" s="3" t="s">
        <v>2362</v>
      </c>
      <c r="L1815" s="31">
        <v>46274.475719363421</v>
      </c>
      <c r="M1815" s="33">
        <v>12</v>
      </c>
      <c r="N1815" s="1">
        <v>25</v>
      </c>
    </row>
    <row r="1816" spans="1:14" x14ac:dyDescent="0.25">
      <c r="A1816" t="str">
        <f t="shared" si="58"/>
        <v>U146416U146416</v>
      </c>
      <c r="B1816" t="str">
        <f t="shared" si="59"/>
        <v>U146416G6032Z2-M</v>
      </c>
      <c r="C1816" s="27" t="s">
        <v>15</v>
      </c>
      <c r="D1816" s="27" t="s">
        <v>623</v>
      </c>
      <c r="E1816" s="1" t="s">
        <v>436</v>
      </c>
      <c r="F1816" s="1" t="s">
        <v>439</v>
      </c>
      <c r="G1816" s="1" t="s">
        <v>438</v>
      </c>
      <c r="H1816" s="1">
        <v>516</v>
      </c>
      <c r="I1816" s="3">
        <v>46274</v>
      </c>
      <c r="J1816" s="3">
        <v>46286</v>
      </c>
      <c r="K1816" s="3" t="s">
        <v>2362</v>
      </c>
      <c r="L1816" s="31">
        <v>46274.555603009256</v>
      </c>
      <c r="M1816" s="33">
        <v>12</v>
      </c>
      <c r="N1816" s="1">
        <v>13</v>
      </c>
    </row>
    <row r="1817" spans="1:14" x14ac:dyDescent="0.25">
      <c r="A1817" t="str">
        <f t="shared" si="58"/>
        <v>U146416U146416</v>
      </c>
      <c r="B1817" t="str">
        <f t="shared" si="59"/>
        <v>U146416G6032Z2-M</v>
      </c>
      <c r="C1817" s="27" t="s">
        <v>15</v>
      </c>
      <c r="D1817" s="27" t="s">
        <v>623</v>
      </c>
      <c r="E1817" s="1" t="s">
        <v>436</v>
      </c>
      <c r="F1817" s="1" t="s">
        <v>439</v>
      </c>
      <c r="G1817" s="1" t="s">
        <v>438</v>
      </c>
      <c r="H1817" s="1">
        <v>516</v>
      </c>
      <c r="I1817" s="3">
        <v>46274</v>
      </c>
      <c r="J1817" s="3">
        <v>46286</v>
      </c>
      <c r="K1817" s="3" t="s">
        <v>2362</v>
      </c>
      <c r="L1817" s="31">
        <v>46274.556834143514</v>
      </c>
      <c r="M1817" s="33">
        <v>12</v>
      </c>
      <c r="N1817" s="1">
        <v>19</v>
      </c>
    </row>
    <row r="1818" spans="1:14" x14ac:dyDescent="0.25">
      <c r="A1818" t="str">
        <f t="shared" si="58"/>
        <v>U146416U146416</v>
      </c>
      <c r="B1818" t="str">
        <f t="shared" si="59"/>
        <v>U146416G6032Z2-M</v>
      </c>
      <c r="C1818" s="27" t="s">
        <v>15</v>
      </c>
      <c r="D1818" s="27" t="s">
        <v>623</v>
      </c>
      <c r="E1818" s="1" t="s">
        <v>436</v>
      </c>
      <c r="F1818" s="1" t="s">
        <v>439</v>
      </c>
      <c r="G1818" s="1" t="s">
        <v>438</v>
      </c>
      <c r="H1818" s="1">
        <v>516</v>
      </c>
      <c r="I1818" s="3">
        <v>46274</v>
      </c>
      <c r="J1818" s="3">
        <v>46286</v>
      </c>
      <c r="K1818" s="3" t="s">
        <v>2362</v>
      </c>
      <c r="L1818" s="31">
        <v>46274.578883831018</v>
      </c>
      <c r="M1818" s="33">
        <v>12</v>
      </c>
      <c r="N1818" s="1">
        <v>6</v>
      </c>
    </row>
    <row r="1819" spans="1:14" x14ac:dyDescent="0.25">
      <c r="A1819" t="str">
        <f t="shared" si="58"/>
        <v>U146416U146416</v>
      </c>
      <c r="B1819" t="str">
        <f t="shared" si="59"/>
        <v>U146416G6032Z2-M</v>
      </c>
      <c r="C1819" s="27" t="s">
        <v>15</v>
      </c>
      <c r="D1819" s="27" t="s">
        <v>623</v>
      </c>
      <c r="E1819" s="1" t="s">
        <v>436</v>
      </c>
      <c r="F1819" s="1" t="s">
        <v>439</v>
      </c>
      <c r="G1819" s="1" t="s">
        <v>438</v>
      </c>
      <c r="H1819" s="1">
        <v>516</v>
      </c>
      <c r="I1819" s="3">
        <v>46274</v>
      </c>
      <c r="J1819" s="3">
        <v>46286</v>
      </c>
      <c r="K1819" s="3" t="s">
        <v>2362</v>
      </c>
      <c r="L1819" s="31">
        <v>46274.579458067128</v>
      </c>
      <c r="M1819" s="33">
        <v>12</v>
      </c>
      <c r="N1819" s="1">
        <v>32</v>
      </c>
    </row>
    <row r="1820" spans="1:14" x14ac:dyDescent="0.25">
      <c r="A1820" t="str">
        <f t="shared" si="58"/>
        <v>U146416U146416</v>
      </c>
      <c r="B1820" t="str">
        <f t="shared" si="59"/>
        <v>U146416G6032Z2-M</v>
      </c>
      <c r="C1820" s="27" t="s">
        <v>15</v>
      </c>
      <c r="D1820" s="27" t="s">
        <v>623</v>
      </c>
      <c r="E1820" s="1" t="s">
        <v>436</v>
      </c>
      <c r="F1820" s="1" t="s">
        <v>439</v>
      </c>
      <c r="G1820" s="1" t="s">
        <v>438</v>
      </c>
      <c r="H1820" s="1">
        <v>516</v>
      </c>
      <c r="I1820" s="3">
        <v>46274</v>
      </c>
      <c r="J1820" s="3">
        <v>46286</v>
      </c>
      <c r="K1820" s="3" t="s">
        <v>2362</v>
      </c>
      <c r="L1820" s="31">
        <v>46274.588602858792</v>
      </c>
      <c r="M1820" s="33">
        <v>12</v>
      </c>
      <c r="N1820" s="1">
        <v>9</v>
      </c>
    </row>
    <row r="1821" spans="1:14" x14ac:dyDescent="0.25">
      <c r="A1821" t="str">
        <f t="shared" si="58"/>
        <v>U146416U146416</v>
      </c>
      <c r="B1821" t="str">
        <f t="shared" si="59"/>
        <v>U146416G6032Z2-M</v>
      </c>
      <c r="C1821" s="27" t="s">
        <v>15</v>
      </c>
      <c r="D1821" s="27" t="s">
        <v>623</v>
      </c>
      <c r="E1821" s="1" t="s">
        <v>436</v>
      </c>
      <c r="F1821" s="1" t="s">
        <v>439</v>
      </c>
      <c r="G1821" s="1" t="s">
        <v>438</v>
      </c>
      <c r="H1821" s="1">
        <v>516</v>
      </c>
      <c r="I1821" s="3">
        <v>46274</v>
      </c>
      <c r="J1821" s="3">
        <v>46286</v>
      </c>
      <c r="K1821" s="3" t="s">
        <v>2362</v>
      </c>
      <c r="L1821" s="31">
        <v>46274.589218749999</v>
      </c>
      <c r="M1821" s="33">
        <v>12</v>
      </c>
      <c r="N1821" s="1">
        <v>30</v>
      </c>
    </row>
    <row r="1822" spans="1:14" x14ac:dyDescent="0.25">
      <c r="A1822" t="str">
        <f t="shared" si="58"/>
        <v>U146416U146416</v>
      </c>
      <c r="B1822" t="str">
        <f t="shared" si="59"/>
        <v>U146416G6032Z2-M</v>
      </c>
      <c r="C1822" s="27" t="s">
        <v>15</v>
      </c>
      <c r="D1822" s="27" t="s">
        <v>623</v>
      </c>
      <c r="E1822" s="1" t="s">
        <v>436</v>
      </c>
      <c r="F1822" s="1" t="s">
        <v>439</v>
      </c>
      <c r="G1822" s="1" t="s">
        <v>438</v>
      </c>
      <c r="H1822" s="1">
        <v>516</v>
      </c>
      <c r="I1822" s="3">
        <v>46274</v>
      </c>
      <c r="J1822" s="3">
        <v>46286</v>
      </c>
      <c r="K1822" s="3" t="s">
        <v>2362</v>
      </c>
      <c r="L1822" s="31">
        <v>46274.596055324073</v>
      </c>
      <c r="M1822" s="33">
        <v>12</v>
      </c>
      <c r="N1822" s="1">
        <v>3</v>
      </c>
    </row>
    <row r="1823" spans="1:14" x14ac:dyDescent="0.25">
      <c r="A1823" t="str">
        <f t="shared" si="58"/>
        <v>U146416U146416</v>
      </c>
      <c r="B1823" t="str">
        <f t="shared" si="59"/>
        <v>U146416G6032Z2-M</v>
      </c>
      <c r="C1823" s="27" t="s">
        <v>15</v>
      </c>
      <c r="D1823" s="27" t="s">
        <v>623</v>
      </c>
      <c r="E1823" s="1" t="s">
        <v>436</v>
      </c>
      <c r="F1823" s="1" t="s">
        <v>439</v>
      </c>
      <c r="G1823" s="1" t="s">
        <v>438</v>
      </c>
      <c r="H1823" s="1">
        <v>516</v>
      </c>
      <c r="I1823" s="3">
        <v>46274</v>
      </c>
      <c r="J1823" s="3">
        <v>46286</v>
      </c>
      <c r="K1823" s="3" t="s">
        <v>2362</v>
      </c>
      <c r="L1823" s="31">
        <v>46274.603729664348</v>
      </c>
      <c r="M1823" s="33">
        <v>12</v>
      </c>
      <c r="N1823" s="1">
        <v>14</v>
      </c>
    </row>
    <row r="1824" spans="1:14" x14ac:dyDescent="0.25">
      <c r="A1824" t="str">
        <f t="shared" si="58"/>
        <v>U146416U146416</v>
      </c>
      <c r="B1824" t="str">
        <f t="shared" si="59"/>
        <v>U146416G6032Z2-M</v>
      </c>
      <c r="C1824" s="27" t="s">
        <v>15</v>
      </c>
      <c r="D1824" s="27" t="s">
        <v>623</v>
      </c>
      <c r="E1824" s="1" t="s">
        <v>436</v>
      </c>
      <c r="F1824" s="1" t="s">
        <v>439</v>
      </c>
      <c r="G1824" s="1" t="s">
        <v>438</v>
      </c>
      <c r="H1824" s="1">
        <v>516</v>
      </c>
      <c r="I1824" s="3">
        <v>46274</v>
      </c>
      <c r="J1824" s="3">
        <v>46286</v>
      </c>
      <c r="K1824" s="3" t="s">
        <v>2362</v>
      </c>
      <c r="L1824" s="31">
        <v>46274.60405887731</v>
      </c>
      <c r="M1824" s="33">
        <v>12</v>
      </c>
      <c r="N1824" s="1">
        <v>20</v>
      </c>
    </row>
    <row r="1825" spans="1:14" x14ac:dyDescent="0.25">
      <c r="A1825" t="str">
        <f t="shared" si="58"/>
        <v>U146416U146416</v>
      </c>
      <c r="B1825" t="str">
        <f t="shared" si="59"/>
        <v>U146416G6032Z2-M</v>
      </c>
      <c r="C1825" s="27" t="s">
        <v>15</v>
      </c>
      <c r="D1825" s="27" t="s">
        <v>623</v>
      </c>
      <c r="E1825" s="1" t="s">
        <v>436</v>
      </c>
      <c r="F1825" s="1" t="s">
        <v>439</v>
      </c>
      <c r="G1825" s="1" t="s">
        <v>438</v>
      </c>
      <c r="H1825" s="1">
        <v>516</v>
      </c>
      <c r="I1825" s="3">
        <v>46274</v>
      </c>
      <c r="J1825" s="3">
        <v>46286</v>
      </c>
      <c r="K1825" s="3" t="s">
        <v>2362</v>
      </c>
      <c r="L1825" s="31">
        <v>46274.604382986108</v>
      </c>
      <c r="M1825" s="33">
        <v>12</v>
      </c>
      <c r="N1825" s="1">
        <v>27</v>
      </c>
    </row>
    <row r="1826" spans="1:14" x14ac:dyDescent="0.25">
      <c r="A1826" t="str">
        <f t="shared" si="58"/>
        <v>U146416U146416</v>
      </c>
      <c r="B1826" t="str">
        <f t="shared" si="59"/>
        <v>U146416G6032Z2-M</v>
      </c>
      <c r="C1826" s="27" t="s">
        <v>15</v>
      </c>
      <c r="D1826" s="27" t="s">
        <v>623</v>
      </c>
      <c r="E1826" s="1" t="s">
        <v>436</v>
      </c>
      <c r="F1826" s="1" t="s">
        <v>439</v>
      </c>
      <c r="G1826" s="1" t="s">
        <v>438</v>
      </c>
      <c r="H1826" s="1">
        <v>516</v>
      </c>
      <c r="I1826" s="3">
        <v>46274</v>
      </c>
      <c r="J1826" s="3">
        <v>46286</v>
      </c>
      <c r="K1826" s="3" t="s">
        <v>2362</v>
      </c>
      <c r="L1826" s="31">
        <v>46274.605092280093</v>
      </c>
      <c r="M1826" s="33">
        <v>12</v>
      </c>
      <c r="N1826" s="1">
        <v>33</v>
      </c>
    </row>
    <row r="1827" spans="1:14" x14ac:dyDescent="0.25">
      <c r="A1827" t="str">
        <f t="shared" si="58"/>
        <v>U146416U146416</v>
      </c>
      <c r="B1827" t="str">
        <f t="shared" si="59"/>
        <v>U146416G6032Z2-M</v>
      </c>
      <c r="C1827" s="27" t="s">
        <v>15</v>
      </c>
      <c r="D1827" s="27" t="s">
        <v>623</v>
      </c>
      <c r="E1827" s="1" t="s">
        <v>436</v>
      </c>
      <c r="F1827" s="1" t="s">
        <v>439</v>
      </c>
      <c r="G1827" s="1" t="s">
        <v>438</v>
      </c>
      <c r="H1827" s="1">
        <v>516</v>
      </c>
      <c r="I1827" s="3">
        <v>46274</v>
      </c>
      <c r="J1827" s="3">
        <v>46286</v>
      </c>
      <c r="K1827" s="3" t="s">
        <v>2362</v>
      </c>
      <c r="L1827" s="31">
        <v>46274.611512731477</v>
      </c>
      <c r="M1827" s="33">
        <v>12</v>
      </c>
      <c r="N1827" s="1">
        <v>16</v>
      </c>
    </row>
    <row r="1828" spans="1:14" x14ac:dyDescent="0.25">
      <c r="A1828" t="str">
        <f t="shared" si="58"/>
        <v>U146416U146416</v>
      </c>
      <c r="B1828" t="str">
        <f t="shared" si="59"/>
        <v>U146416G6032Z2-M</v>
      </c>
      <c r="C1828" s="27" t="s">
        <v>15</v>
      </c>
      <c r="D1828" s="27" t="s">
        <v>623</v>
      </c>
      <c r="E1828" s="1" t="s">
        <v>436</v>
      </c>
      <c r="F1828" s="1" t="s">
        <v>439</v>
      </c>
      <c r="G1828" s="1" t="s">
        <v>438</v>
      </c>
      <c r="H1828" s="1">
        <v>516</v>
      </c>
      <c r="I1828" s="3">
        <v>46274</v>
      </c>
      <c r="J1828" s="3">
        <v>46286</v>
      </c>
      <c r="K1828" s="3" t="s">
        <v>2362</v>
      </c>
      <c r="L1828" s="31">
        <v>46274.611707523145</v>
      </c>
      <c r="M1828" s="33">
        <v>12</v>
      </c>
      <c r="N1828" s="1">
        <v>10</v>
      </c>
    </row>
    <row r="1829" spans="1:14" x14ac:dyDescent="0.25">
      <c r="A1829" t="str">
        <f t="shared" si="58"/>
        <v>U146416U146416</v>
      </c>
      <c r="B1829" t="str">
        <f t="shared" si="59"/>
        <v>U146416G6032Z2-M</v>
      </c>
      <c r="C1829" s="27" t="s">
        <v>15</v>
      </c>
      <c r="D1829" s="27" t="s">
        <v>623</v>
      </c>
      <c r="E1829" s="1" t="s">
        <v>436</v>
      </c>
      <c r="F1829" s="1" t="s">
        <v>439</v>
      </c>
      <c r="G1829" s="1" t="s">
        <v>438</v>
      </c>
      <c r="H1829" s="1">
        <v>516</v>
      </c>
      <c r="I1829" s="3">
        <v>46274</v>
      </c>
      <c r="J1829" s="3">
        <v>46286</v>
      </c>
      <c r="K1829" s="3" t="s">
        <v>2362</v>
      </c>
      <c r="L1829" s="31">
        <v>46274.611895138885</v>
      </c>
      <c r="M1829" s="33">
        <v>12</v>
      </c>
      <c r="N1829" s="1">
        <v>21</v>
      </c>
    </row>
    <row r="1830" spans="1:14" x14ac:dyDescent="0.25">
      <c r="A1830" t="str">
        <f t="shared" si="58"/>
        <v>U146416U146416</v>
      </c>
      <c r="B1830" t="str">
        <f t="shared" si="59"/>
        <v>U146416G6032Z2-M</v>
      </c>
      <c r="C1830" s="27" t="s">
        <v>15</v>
      </c>
      <c r="D1830" s="27" t="s">
        <v>623</v>
      </c>
      <c r="E1830" s="1" t="s">
        <v>436</v>
      </c>
      <c r="F1830" s="1" t="s">
        <v>439</v>
      </c>
      <c r="G1830" s="1" t="s">
        <v>438</v>
      </c>
      <c r="H1830" s="1">
        <v>516</v>
      </c>
      <c r="I1830" s="3">
        <v>46274</v>
      </c>
      <c r="J1830" s="3">
        <v>46286</v>
      </c>
      <c r="K1830" s="3" t="s">
        <v>2362</v>
      </c>
      <c r="L1830" s="31">
        <v>46274.618312002312</v>
      </c>
      <c r="M1830" s="33">
        <v>12</v>
      </c>
      <c r="N1830" s="1">
        <v>28</v>
      </c>
    </row>
    <row r="1831" spans="1:14" x14ac:dyDescent="0.25">
      <c r="A1831" t="str">
        <f t="shared" si="58"/>
        <v>U146416U146416</v>
      </c>
      <c r="B1831" t="str">
        <f t="shared" si="59"/>
        <v>U146416G6032Z2-M</v>
      </c>
      <c r="C1831" s="27" t="s">
        <v>15</v>
      </c>
      <c r="D1831" s="27" t="s">
        <v>623</v>
      </c>
      <c r="E1831" s="1" t="s">
        <v>436</v>
      </c>
      <c r="F1831" s="1" t="s">
        <v>439</v>
      </c>
      <c r="G1831" s="1" t="s">
        <v>438</v>
      </c>
      <c r="H1831" s="1">
        <v>516</v>
      </c>
      <c r="I1831" s="3">
        <v>46274</v>
      </c>
      <c r="J1831" s="3">
        <v>46286</v>
      </c>
      <c r="K1831" s="3" t="s">
        <v>2362</v>
      </c>
      <c r="L1831" s="31">
        <v>46274.619408645834</v>
      </c>
      <c r="M1831" s="33">
        <v>12</v>
      </c>
      <c r="N1831" s="1">
        <v>2</v>
      </c>
    </row>
    <row r="1832" spans="1:14" x14ac:dyDescent="0.25">
      <c r="A1832" t="str">
        <f t="shared" si="58"/>
        <v>U146416U146416</v>
      </c>
      <c r="B1832" t="str">
        <f t="shared" si="59"/>
        <v>U146416G6032Z2-M</v>
      </c>
      <c r="C1832" s="27" t="s">
        <v>15</v>
      </c>
      <c r="D1832" s="27" t="s">
        <v>623</v>
      </c>
      <c r="E1832" s="1" t="s">
        <v>436</v>
      </c>
      <c r="F1832" s="1" t="s">
        <v>439</v>
      </c>
      <c r="G1832" s="1" t="s">
        <v>438</v>
      </c>
      <c r="H1832" s="1">
        <v>516</v>
      </c>
      <c r="I1832" s="3">
        <v>46274</v>
      </c>
      <c r="J1832" s="3">
        <v>46286</v>
      </c>
      <c r="K1832" s="3" t="s">
        <v>2362</v>
      </c>
      <c r="L1832" s="31">
        <v>46274.619742094903</v>
      </c>
      <c r="M1832" s="33">
        <v>12</v>
      </c>
      <c r="N1832" s="1">
        <v>15</v>
      </c>
    </row>
    <row r="1833" spans="1:14" x14ac:dyDescent="0.25">
      <c r="A1833" t="str">
        <f t="shared" si="58"/>
        <v>U146416U146416</v>
      </c>
      <c r="B1833" t="str">
        <f t="shared" si="59"/>
        <v>U146416G6032Z2-M</v>
      </c>
      <c r="C1833" s="27" t="s">
        <v>15</v>
      </c>
      <c r="D1833" s="27" t="s">
        <v>623</v>
      </c>
      <c r="E1833" s="1" t="s">
        <v>436</v>
      </c>
      <c r="F1833" s="1" t="s">
        <v>439</v>
      </c>
      <c r="G1833" s="1" t="s">
        <v>438</v>
      </c>
      <c r="H1833" s="1">
        <v>516</v>
      </c>
      <c r="I1833" s="3">
        <v>46274</v>
      </c>
      <c r="J1833" s="3">
        <v>46286</v>
      </c>
      <c r="K1833" s="3" t="s">
        <v>2362</v>
      </c>
      <c r="L1833" s="31">
        <v>46274.623131134256</v>
      </c>
      <c r="M1833" s="33">
        <v>12</v>
      </c>
      <c r="N1833" s="1">
        <v>22</v>
      </c>
    </row>
    <row r="1834" spans="1:14" x14ac:dyDescent="0.25">
      <c r="A1834" t="str">
        <f t="shared" si="58"/>
        <v>U146416U146416</v>
      </c>
      <c r="B1834" t="str">
        <f t="shared" si="59"/>
        <v>U146416G6032Z2-M</v>
      </c>
      <c r="C1834" s="27" t="s">
        <v>15</v>
      </c>
      <c r="D1834" s="27" t="s">
        <v>623</v>
      </c>
      <c r="E1834" s="1" t="s">
        <v>436</v>
      </c>
      <c r="F1834" s="1" t="s">
        <v>439</v>
      </c>
      <c r="G1834" s="1" t="s">
        <v>438</v>
      </c>
      <c r="H1834" s="1">
        <v>516</v>
      </c>
      <c r="I1834" s="3">
        <v>46274</v>
      </c>
      <c r="J1834" s="3">
        <v>46286</v>
      </c>
      <c r="K1834" s="3" t="s">
        <v>2362</v>
      </c>
      <c r="L1834" s="31">
        <v>46274.640850810181</v>
      </c>
      <c r="M1834" s="33">
        <v>12</v>
      </c>
      <c r="N1834" s="1">
        <v>23</v>
      </c>
    </row>
    <row r="1835" spans="1:14" x14ac:dyDescent="0.25">
      <c r="A1835" t="str">
        <f t="shared" si="58"/>
        <v>U146416U146416</v>
      </c>
      <c r="B1835" t="str">
        <f t="shared" si="59"/>
        <v>U146416G6032Z2-M</v>
      </c>
      <c r="C1835" s="27" t="s">
        <v>15</v>
      </c>
      <c r="D1835" s="27" t="s">
        <v>623</v>
      </c>
      <c r="E1835" s="1" t="s">
        <v>436</v>
      </c>
      <c r="F1835" s="1" t="s">
        <v>439</v>
      </c>
      <c r="G1835" s="1" t="s">
        <v>438</v>
      </c>
      <c r="H1835" s="1">
        <v>516</v>
      </c>
      <c r="I1835" s="3">
        <v>46274</v>
      </c>
      <c r="J1835" s="3">
        <v>46286</v>
      </c>
      <c r="K1835" s="3" t="s">
        <v>2362</v>
      </c>
      <c r="L1835" s="31">
        <v>46274.645411261576</v>
      </c>
      <c r="M1835" s="33">
        <v>12</v>
      </c>
      <c r="N1835" s="1">
        <v>37</v>
      </c>
    </row>
    <row r="1836" spans="1:14" x14ac:dyDescent="0.25">
      <c r="A1836" t="str">
        <f t="shared" si="58"/>
        <v>U146416U146416</v>
      </c>
      <c r="B1836" t="str">
        <f t="shared" si="59"/>
        <v>U146416G6032Z2-M</v>
      </c>
      <c r="C1836" s="27" t="s">
        <v>15</v>
      </c>
      <c r="D1836" s="27" t="s">
        <v>623</v>
      </c>
      <c r="E1836" s="1" t="s">
        <v>436</v>
      </c>
      <c r="F1836" s="1" t="s">
        <v>439</v>
      </c>
      <c r="G1836" s="1" t="s">
        <v>438</v>
      </c>
      <c r="H1836" s="1">
        <v>516</v>
      </c>
      <c r="I1836" s="3">
        <v>46274</v>
      </c>
      <c r="J1836" s="3">
        <v>46286</v>
      </c>
      <c r="K1836" s="3" t="s">
        <v>2362</v>
      </c>
      <c r="L1836" s="31">
        <v>46274.671687499998</v>
      </c>
      <c r="M1836" s="33">
        <v>12</v>
      </c>
      <c r="N1836" s="1">
        <v>31</v>
      </c>
    </row>
    <row r="1837" spans="1:14" x14ac:dyDescent="0.25">
      <c r="A1837" t="str">
        <f t="shared" si="58"/>
        <v>U146416U146416</v>
      </c>
      <c r="B1837" t="str">
        <f t="shared" si="59"/>
        <v>U146416G6032Z2-M</v>
      </c>
      <c r="C1837" s="27" t="s">
        <v>15</v>
      </c>
      <c r="D1837" s="27" t="s">
        <v>623</v>
      </c>
      <c r="E1837" s="1" t="s">
        <v>436</v>
      </c>
      <c r="F1837" s="1" t="s">
        <v>439</v>
      </c>
      <c r="G1837" s="1" t="s">
        <v>438</v>
      </c>
      <c r="H1837" s="1">
        <v>516</v>
      </c>
      <c r="I1837" s="3">
        <v>46274</v>
      </c>
      <c r="J1837" s="3">
        <v>46286</v>
      </c>
      <c r="K1837" s="3" t="s">
        <v>2362</v>
      </c>
      <c r="L1837" s="31">
        <v>46274.685950115738</v>
      </c>
      <c r="M1837" s="33">
        <v>12</v>
      </c>
      <c r="N1837" s="1">
        <v>11</v>
      </c>
    </row>
    <row r="1838" spans="1:14" x14ac:dyDescent="0.25">
      <c r="A1838" t="str">
        <f t="shared" si="58"/>
        <v>U146416U146416</v>
      </c>
      <c r="B1838" t="str">
        <f t="shared" si="59"/>
        <v>U146416G6032Z2-M</v>
      </c>
      <c r="C1838" s="27" t="s">
        <v>15</v>
      </c>
      <c r="D1838" s="27" t="s">
        <v>623</v>
      </c>
      <c r="E1838" s="1" t="s">
        <v>436</v>
      </c>
      <c r="F1838" s="1" t="s">
        <v>439</v>
      </c>
      <c r="G1838" s="1" t="s">
        <v>438</v>
      </c>
      <c r="H1838" s="1">
        <v>516</v>
      </c>
      <c r="I1838" s="3">
        <v>46274</v>
      </c>
      <c r="J1838" s="3">
        <v>46286</v>
      </c>
      <c r="K1838" s="3" t="s">
        <v>2362</v>
      </c>
      <c r="L1838" s="31">
        <v>46274.694539548611</v>
      </c>
      <c r="M1838" s="33">
        <v>12</v>
      </c>
      <c r="N1838" s="1">
        <v>8</v>
      </c>
    </row>
    <row r="1839" spans="1:14" x14ac:dyDescent="0.25">
      <c r="A1839" t="str">
        <f t="shared" si="58"/>
        <v>U146416U146416</v>
      </c>
      <c r="B1839" t="str">
        <f t="shared" si="59"/>
        <v>U146416G6032Z2-M</v>
      </c>
      <c r="C1839" s="27" t="s">
        <v>15</v>
      </c>
      <c r="D1839" s="27" t="s">
        <v>623</v>
      </c>
      <c r="E1839" s="1" t="s">
        <v>436</v>
      </c>
      <c r="F1839" s="1" t="s">
        <v>439</v>
      </c>
      <c r="G1839" s="1" t="s">
        <v>438</v>
      </c>
      <c r="H1839" s="1">
        <v>516</v>
      </c>
      <c r="I1839" s="3">
        <v>46274</v>
      </c>
      <c r="J1839" s="3">
        <v>46286</v>
      </c>
      <c r="K1839" s="3" t="s">
        <v>2362</v>
      </c>
      <c r="L1839" s="31">
        <v>46274.699028009258</v>
      </c>
      <c r="M1839" s="33">
        <v>12</v>
      </c>
      <c r="N1839" s="1">
        <v>38</v>
      </c>
    </row>
    <row r="1840" spans="1:14" x14ac:dyDescent="0.25">
      <c r="A1840" t="str">
        <f t="shared" si="58"/>
        <v>U146416U146416</v>
      </c>
      <c r="B1840" t="str">
        <f t="shared" si="59"/>
        <v>U146416G6032Z2-M</v>
      </c>
      <c r="C1840" s="27" t="s">
        <v>15</v>
      </c>
      <c r="D1840" s="27" t="s">
        <v>623</v>
      </c>
      <c r="E1840" s="1" t="s">
        <v>436</v>
      </c>
      <c r="F1840" s="1" t="s">
        <v>439</v>
      </c>
      <c r="G1840" s="1" t="s">
        <v>438</v>
      </c>
      <c r="H1840" s="1">
        <v>516</v>
      </c>
      <c r="I1840" s="3">
        <v>46274</v>
      </c>
      <c r="J1840" s="3">
        <v>46286</v>
      </c>
      <c r="K1840" s="3" t="s">
        <v>2362</v>
      </c>
      <c r="L1840" s="31">
        <v>46274.699201504627</v>
      </c>
      <c r="M1840" s="33">
        <v>12</v>
      </c>
      <c r="N1840" s="1">
        <v>29</v>
      </c>
    </row>
    <row r="1841" spans="1:14" x14ac:dyDescent="0.25">
      <c r="A1841" t="str">
        <f t="shared" si="58"/>
        <v>U146416U146416</v>
      </c>
      <c r="B1841" t="str">
        <f t="shared" si="59"/>
        <v>U146416G6032Z2-M</v>
      </c>
      <c r="C1841" s="27" t="s">
        <v>15</v>
      </c>
      <c r="D1841" s="27" t="s">
        <v>623</v>
      </c>
      <c r="E1841" s="1" t="s">
        <v>436</v>
      </c>
      <c r="F1841" s="1" t="s">
        <v>439</v>
      </c>
      <c r="G1841" s="1" t="s">
        <v>438</v>
      </c>
      <c r="H1841" s="1">
        <v>516</v>
      </c>
      <c r="I1841" s="3">
        <v>46274</v>
      </c>
      <c r="J1841" s="3">
        <v>46286</v>
      </c>
      <c r="K1841" s="3" t="s">
        <v>2362</v>
      </c>
      <c r="L1841" s="31">
        <v>46274.714519988425</v>
      </c>
      <c r="M1841" s="33">
        <v>12</v>
      </c>
      <c r="N1841" s="1">
        <v>43</v>
      </c>
    </row>
    <row r="1842" spans="1:14" x14ac:dyDescent="0.25">
      <c r="A1842" t="str">
        <f t="shared" si="58"/>
        <v>U146416U146416</v>
      </c>
      <c r="B1842" t="str">
        <f t="shared" si="59"/>
        <v>U146416G6032Z2-M</v>
      </c>
      <c r="C1842" s="27" t="s">
        <v>15</v>
      </c>
      <c r="D1842" s="27" t="s">
        <v>623</v>
      </c>
      <c r="E1842" s="1" t="s">
        <v>436</v>
      </c>
      <c r="F1842" s="1" t="s">
        <v>439</v>
      </c>
      <c r="G1842" s="1" t="s">
        <v>438</v>
      </c>
      <c r="H1842" s="1">
        <v>516</v>
      </c>
      <c r="I1842" s="3">
        <v>46274</v>
      </c>
      <c r="J1842" s="3">
        <v>46286</v>
      </c>
      <c r="K1842" s="3" t="s">
        <v>2362</v>
      </c>
      <c r="L1842" s="31">
        <v>46274.714939351848</v>
      </c>
      <c r="M1842" s="33">
        <v>12</v>
      </c>
      <c r="N1842" s="1">
        <v>34</v>
      </c>
    </row>
    <row r="1843" spans="1:14" x14ac:dyDescent="0.25">
      <c r="A1843" t="str">
        <f t="shared" si="58"/>
        <v>U146429U146429</v>
      </c>
      <c r="B1843" t="str">
        <f t="shared" si="59"/>
        <v>U146429P6036SS-M</v>
      </c>
      <c r="C1843" s="27" t="s">
        <v>52</v>
      </c>
      <c r="D1843" s="27" t="s">
        <v>626</v>
      </c>
      <c r="E1843" s="1" t="s">
        <v>436</v>
      </c>
      <c r="F1843" s="1" t="s">
        <v>440</v>
      </c>
      <c r="G1843" s="1" t="s">
        <v>438</v>
      </c>
      <c r="H1843" s="1">
        <v>516</v>
      </c>
      <c r="I1843" s="3">
        <v>46274</v>
      </c>
      <c r="J1843" s="3">
        <v>46287</v>
      </c>
      <c r="K1843" s="3" t="s">
        <v>2365</v>
      </c>
      <c r="L1843" s="31">
        <v>46274.620104664347</v>
      </c>
      <c r="M1843" s="33">
        <v>12</v>
      </c>
      <c r="N1843" s="1">
        <v>21</v>
      </c>
    </row>
    <row r="1844" spans="1:14" x14ac:dyDescent="0.25">
      <c r="A1844" t="str">
        <f t="shared" si="58"/>
        <v>U146429U146429</v>
      </c>
      <c r="B1844" t="str">
        <f t="shared" si="59"/>
        <v>U146429P6036SS-M</v>
      </c>
      <c r="C1844" s="27" t="s">
        <v>52</v>
      </c>
      <c r="D1844" s="27" t="s">
        <v>626</v>
      </c>
      <c r="E1844" s="1" t="s">
        <v>436</v>
      </c>
      <c r="F1844" s="1" t="s">
        <v>440</v>
      </c>
      <c r="G1844" s="1" t="s">
        <v>438</v>
      </c>
      <c r="H1844" s="1">
        <v>516</v>
      </c>
      <c r="I1844" s="3">
        <v>46274</v>
      </c>
      <c r="J1844" s="3">
        <v>46287</v>
      </c>
      <c r="K1844" s="3" t="s">
        <v>2365</v>
      </c>
      <c r="L1844" s="31">
        <v>46274.621294710647</v>
      </c>
      <c r="M1844" s="33">
        <v>12</v>
      </c>
      <c r="N1844" s="1">
        <v>37</v>
      </c>
    </row>
    <row r="1845" spans="1:14" x14ac:dyDescent="0.25">
      <c r="A1845" t="str">
        <f t="shared" si="58"/>
        <v>U146429U146429</v>
      </c>
      <c r="B1845" t="str">
        <f t="shared" si="59"/>
        <v>U146429P6036SS-M</v>
      </c>
      <c r="C1845" s="27" t="s">
        <v>52</v>
      </c>
      <c r="D1845" s="27" t="s">
        <v>626</v>
      </c>
      <c r="E1845" s="1" t="s">
        <v>436</v>
      </c>
      <c r="F1845" s="1" t="s">
        <v>440</v>
      </c>
      <c r="G1845" s="1" t="s">
        <v>438</v>
      </c>
      <c r="H1845" s="1">
        <v>516</v>
      </c>
      <c r="I1845" s="3">
        <v>46274</v>
      </c>
      <c r="J1845" s="3">
        <v>46287</v>
      </c>
      <c r="K1845" s="3" t="s">
        <v>2365</v>
      </c>
      <c r="L1845" s="31">
        <v>46274.622772951385</v>
      </c>
      <c r="M1845" s="33">
        <v>12</v>
      </c>
      <c r="N1845" s="1">
        <v>29</v>
      </c>
    </row>
    <row r="1846" spans="1:14" x14ac:dyDescent="0.25">
      <c r="A1846" t="str">
        <f t="shared" si="58"/>
        <v>U146429U146429</v>
      </c>
      <c r="B1846" t="str">
        <f t="shared" si="59"/>
        <v>U146429P6036SS-M</v>
      </c>
      <c r="C1846" s="27" t="s">
        <v>52</v>
      </c>
      <c r="D1846" s="27" t="s">
        <v>626</v>
      </c>
      <c r="E1846" s="1" t="s">
        <v>436</v>
      </c>
      <c r="F1846" s="1" t="s">
        <v>440</v>
      </c>
      <c r="G1846" s="1" t="s">
        <v>438</v>
      </c>
      <c r="H1846" s="1">
        <v>516</v>
      </c>
      <c r="I1846" s="3">
        <v>46274</v>
      </c>
      <c r="J1846" s="3">
        <v>46287</v>
      </c>
      <c r="K1846" s="3" t="s">
        <v>2365</v>
      </c>
      <c r="L1846" s="31">
        <v>46274.623332210649</v>
      </c>
      <c r="M1846" s="33">
        <v>12</v>
      </c>
      <c r="N1846" s="1">
        <v>42</v>
      </c>
    </row>
    <row r="1847" spans="1:14" x14ac:dyDescent="0.25">
      <c r="A1847" t="str">
        <f t="shared" si="58"/>
        <v>U146429U146429</v>
      </c>
      <c r="B1847" t="str">
        <f t="shared" si="59"/>
        <v>U146429P6036SS-M</v>
      </c>
      <c r="C1847" s="27" t="s">
        <v>52</v>
      </c>
      <c r="D1847" s="27" t="s">
        <v>626</v>
      </c>
      <c r="E1847" s="1" t="s">
        <v>436</v>
      </c>
      <c r="F1847" s="1" t="s">
        <v>440</v>
      </c>
      <c r="G1847" s="1" t="s">
        <v>438</v>
      </c>
      <c r="H1847" s="1">
        <v>516</v>
      </c>
      <c r="I1847" s="3">
        <v>46274</v>
      </c>
      <c r="J1847" s="3">
        <v>46287</v>
      </c>
      <c r="K1847" s="3" t="s">
        <v>2365</v>
      </c>
      <c r="L1847" s="31">
        <v>46274.6248003125</v>
      </c>
      <c r="M1847" s="33">
        <v>12</v>
      </c>
      <c r="N1847" s="1">
        <v>13</v>
      </c>
    </row>
    <row r="1848" spans="1:14" x14ac:dyDescent="0.25">
      <c r="A1848" t="str">
        <f t="shared" si="58"/>
        <v>U146429U146429</v>
      </c>
      <c r="B1848" t="str">
        <f t="shared" si="59"/>
        <v>U146429P6036SS-M</v>
      </c>
      <c r="C1848" s="27" t="s">
        <v>52</v>
      </c>
      <c r="D1848" s="27" t="s">
        <v>626</v>
      </c>
      <c r="E1848" s="1" t="s">
        <v>436</v>
      </c>
      <c r="F1848" s="1" t="s">
        <v>440</v>
      </c>
      <c r="G1848" s="1" t="s">
        <v>438</v>
      </c>
      <c r="H1848" s="1">
        <v>516</v>
      </c>
      <c r="I1848" s="3">
        <v>46274</v>
      </c>
      <c r="J1848" s="3">
        <v>46287</v>
      </c>
      <c r="K1848" s="3" t="s">
        <v>2365</v>
      </c>
      <c r="L1848" s="31">
        <v>46274.639485335647</v>
      </c>
      <c r="M1848" s="33">
        <v>12</v>
      </c>
      <c r="N1848" s="1">
        <v>7</v>
      </c>
    </row>
    <row r="1849" spans="1:14" x14ac:dyDescent="0.25">
      <c r="A1849" t="str">
        <f t="shared" si="58"/>
        <v>U146429U146429</v>
      </c>
      <c r="B1849" t="str">
        <f t="shared" si="59"/>
        <v>U146429P6036SS-M</v>
      </c>
      <c r="C1849" s="27" t="s">
        <v>52</v>
      </c>
      <c r="D1849" s="27" t="s">
        <v>626</v>
      </c>
      <c r="E1849" s="1" t="s">
        <v>436</v>
      </c>
      <c r="F1849" s="1" t="s">
        <v>440</v>
      </c>
      <c r="G1849" s="1" t="s">
        <v>438</v>
      </c>
      <c r="H1849" s="1">
        <v>516</v>
      </c>
      <c r="I1849" s="3">
        <v>46274</v>
      </c>
      <c r="J1849" s="3">
        <v>46287</v>
      </c>
      <c r="K1849" s="3" t="s">
        <v>2365</v>
      </c>
      <c r="L1849" s="31">
        <v>46274.653764930554</v>
      </c>
      <c r="M1849" s="33">
        <v>12</v>
      </c>
      <c r="N1849" s="1">
        <v>31</v>
      </c>
    </row>
    <row r="1850" spans="1:14" x14ac:dyDescent="0.25">
      <c r="A1850" t="str">
        <f t="shared" si="58"/>
        <v>U146429U146429</v>
      </c>
      <c r="B1850" t="str">
        <f t="shared" si="59"/>
        <v>U146429P6036SS-M</v>
      </c>
      <c r="C1850" s="27" t="s">
        <v>52</v>
      </c>
      <c r="D1850" s="27" t="s">
        <v>626</v>
      </c>
      <c r="E1850" s="1" t="s">
        <v>436</v>
      </c>
      <c r="F1850" s="1" t="s">
        <v>440</v>
      </c>
      <c r="G1850" s="1" t="s">
        <v>438</v>
      </c>
      <c r="H1850" s="1">
        <v>516</v>
      </c>
      <c r="I1850" s="3">
        <v>46274</v>
      </c>
      <c r="J1850" s="3">
        <v>46287</v>
      </c>
      <c r="K1850" s="3" t="s">
        <v>2365</v>
      </c>
      <c r="L1850" s="31">
        <v>46274.654665821756</v>
      </c>
      <c r="M1850" s="33">
        <v>12</v>
      </c>
      <c r="N1850" s="1">
        <v>2</v>
      </c>
    </row>
    <row r="1851" spans="1:14" x14ac:dyDescent="0.25">
      <c r="A1851" t="str">
        <f t="shared" si="58"/>
        <v>U146429U146429</v>
      </c>
      <c r="B1851" t="str">
        <f t="shared" si="59"/>
        <v>U146429P6036SS-M</v>
      </c>
      <c r="C1851" s="27" t="s">
        <v>52</v>
      </c>
      <c r="D1851" s="27" t="s">
        <v>626</v>
      </c>
      <c r="E1851" s="1" t="s">
        <v>436</v>
      </c>
      <c r="F1851" s="1" t="s">
        <v>440</v>
      </c>
      <c r="G1851" s="1" t="s">
        <v>438</v>
      </c>
      <c r="H1851" s="1">
        <v>516</v>
      </c>
      <c r="I1851" s="3">
        <v>46274</v>
      </c>
      <c r="J1851" s="3">
        <v>46287</v>
      </c>
      <c r="K1851" s="3" t="s">
        <v>2365</v>
      </c>
      <c r="L1851" s="31">
        <v>46274.654999421291</v>
      </c>
      <c r="M1851" s="33">
        <v>12</v>
      </c>
      <c r="N1851" s="1">
        <v>20</v>
      </c>
    </row>
    <row r="1852" spans="1:14" x14ac:dyDescent="0.25">
      <c r="A1852" t="str">
        <f t="shared" si="58"/>
        <v>U146429U146429</v>
      </c>
      <c r="B1852" t="str">
        <f t="shared" si="59"/>
        <v>U146429P6036SS-M</v>
      </c>
      <c r="C1852" s="27" t="s">
        <v>52</v>
      </c>
      <c r="D1852" s="27" t="s">
        <v>626</v>
      </c>
      <c r="E1852" s="1" t="s">
        <v>436</v>
      </c>
      <c r="F1852" s="1" t="s">
        <v>440</v>
      </c>
      <c r="G1852" s="1" t="s">
        <v>438</v>
      </c>
      <c r="H1852" s="1">
        <v>516</v>
      </c>
      <c r="I1852" s="3">
        <v>46274</v>
      </c>
      <c r="J1852" s="3">
        <v>46287</v>
      </c>
      <c r="K1852" s="3" t="s">
        <v>2365</v>
      </c>
      <c r="L1852" s="31">
        <v>46274.676065243053</v>
      </c>
      <c r="M1852" s="33">
        <v>12</v>
      </c>
      <c r="N1852" s="1">
        <v>35</v>
      </c>
    </row>
    <row r="1853" spans="1:14" x14ac:dyDescent="0.25">
      <c r="A1853" t="str">
        <f t="shared" si="58"/>
        <v>U146429U146429</v>
      </c>
      <c r="B1853" t="str">
        <f t="shared" si="59"/>
        <v>U146429P6036SS-M</v>
      </c>
      <c r="C1853" s="27" t="s">
        <v>52</v>
      </c>
      <c r="D1853" s="27" t="s">
        <v>626</v>
      </c>
      <c r="E1853" s="1" t="s">
        <v>436</v>
      </c>
      <c r="F1853" s="1" t="s">
        <v>440</v>
      </c>
      <c r="G1853" s="1" t="s">
        <v>438</v>
      </c>
      <c r="H1853" s="1">
        <v>516</v>
      </c>
      <c r="I1853" s="3">
        <v>46274</v>
      </c>
      <c r="J1853" s="3">
        <v>46287</v>
      </c>
      <c r="K1853" s="3" t="s">
        <v>2365</v>
      </c>
      <c r="L1853" s="31">
        <v>46274.676200960646</v>
      </c>
      <c r="M1853" s="33">
        <v>12</v>
      </c>
      <c r="N1853" s="1">
        <v>24</v>
      </c>
    </row>
    <row r="1854" spans="1:14" x14ac:dyDescent="0.25">
      <c r="A1854" t="str">
        <f t="shared" si="58"/>
        <v>U146429U146429</v>
      </c>
      <c r="B1854" t="str">
        <f t="shared" si="59"/>
        <v>U146429P6036SS-M</v>
      </c>
      <c r="C1854" s="27" t="s">
        <v>52</v>
      </c>
      <c r="D1854" s="27" t="s">
        <v>626</v>
      </c>
      <c r="E1854" s="1" t="s">
        <v>436</v>
      </c>
      <c r="F1854" s="1" t="s">
        <v>440</v>
      </c>
      <c r="G1854" s="1" t="s">
        <v>438</v>
      </c>
      <c r="H1854" s="1">
        <v>516</v>
      </c>
      <c r="I1854" s="3">
        <v>46274</v>
      </c>
      <c r="J1854" s="3">
        <v>46287</v>
      </c>
      <c r="K1854" s="3" t="s">
        <v>2365</v>
      </c>
      <c r="L1854" s="31">
        <v>46274.676756516201</v>
      </c>
      <c r="M1854" s="33">
        <v>12</v>
      </c>
      <c r="N1854" s="1">
        <v>36</v>
      </c>
    </row>
    <row r="1855" spans="1:14" x14ac:dyDescent="0.25">
      <c r="A1855" t="str">
        <f t="shared" si="58"/>
        <v>U146429U146429</v>
      </c>
      <c r="B1855" t="str">
        <f t="shared" si="59"/>
        <v>U146429P6036SS-M</v>
      </c>
      <c r="C1855" s="27" t="s">
        <v>52</v>
      </c>
      <c r="D1855" s="27" t="s">
        <v>626</v>
      </c>
      <c r="E1855" s="1" t="s">
        <v>436</v>
      </c>
      <c r="F1855" s="1" t="s">
        <v>440</v>
      </c>
      <c r="G1855" s="1" t="s">
        <v>438</v>
      </c>
      <c r="H1855" s="1">
        <v>516</v>
      </c>
      <c r="I1855" s="3">
        <v>46274</v>
      </c>
      <c r="J1855" s="3">
        <v>46287</v>
      </c>
      <c r="K1855" s="3" t="s">
        <v>2365</v>
      </c>
      <c r="L1855" s="31">
        <v>46274.677934224535</v>
      </c>
      <c r="M1855" s="33">
        <v>12</v>
      </c>
      <c r="N1855" s="1">
        <v>39</v>
      </c>
    </row>
    <row r="1856" spans="1:14" x14ac:dyDescent="0.25">
      <c r="A1856" t="str">
        <f t="shared" si="58"/>
        <v>U146429U146429</v>
      </c>
      <c r="B1856" t="str">
        <f t="shared" si="59"/>
        <v>U146429P6036SS-M</v>
      </c>
      <c r="C1856" s="27" t="s">
        <v>52</v>
      </c>
      <c r="D1856" s="27" t="s">
        <v>626</v>
      </c>
      <c r="E1856" s="1" t="s">
        <v>436</v>
      </c>
      <c r="F1856" s="1" t="s">
        <v>440</v>
      </c>
      <c r="G1856" s="1" t="s">
        <v>438</v>
      </c>
      <c r="H1856" s="1">
        <v>516</v>
      </c>
      <c r="I1856" s="3">
        <v>46274</v>
      </c>
      <c r="J1856" s="3">
        <v>46287</v>
      </c>
      <c r="K1856" s="3" t="s">
        <v>2365</v>
      </c>
      <c r="L1856" s="31">
        <v>46274.679197187499</v>
      </c>
      <c r="M1856" s="33">
        <v>12</v>
      </c>
      <c r="N1856" s="1">
        <v>15</v>
      </c>
    </row>
    <row r="1857" spans="1:14" x14ac:dyDescent="0.25">
      <c r="A1857" t="str">
        <f t="shared" si="58"/>
        <v>U146429U146429</v>
      </c>
      <c r="B1857" t="str">
        <f t="shared" si="59"/>
        <v>U146429P6036SS-M</v>
      </c>
      <c r="C1857" s="27" t="s">
        <v>52</v>
      </c>
      <c r="D1857" s="27" t="s">
        <v>626</v>
      </c>
      <c r="E1857" s="1" t="s">
        <v>436</v>
      </c>
      <c r="F1857" s="1" t="s">
        <v>440</v>
      </c>
      <c r="G1857" s="1" t="s">
        <v>438</v>
      </c>
      <c r="H1857" s="1">
        <v>516</v>
      </c>
      <c r="I1857" s="3">
        <v>46274</v>
      </c>
      <c r="J1857" s="3">
        <v>46287</v>
      </c>
      <c r="K1857" s="3" t="s">
        <v>2365</v>
      </c>
      <c r="L1857" s="31">
        <v>46274.679919097223</v>
      </c>
      <c r="M1857" s="33">
        <v>12</v>
      </c>
      <c r="N1857" s="1">
        <v>19</v>
      </c>
    </row>
    <row r="1858" spans="1:14" x14ac:dyDescent="0.25">
      <c r="A1858" t="str">
        <f t="shared" ref="A1858:A1921" si="60">+D1858&amp;D1858</f>
        <v>U146446U146446</v>
      </c>
      <c r="B1858" t="str">
        <f t="shared" ref="B1858:B1921" si="61">+D1858&amp;C1858</f>
        <v>U146446I6039KY-W</v>
      </c>
      <c r="C1858" s="1" t="s">
        <v>61</v>
      </c>
      <c r="D1858" s="1" t="s">
        <v>622</v>
      </c>
      <c r="E1858" s="1" t="s">
        <v>436</v>
      </c>
      <c r="F1858" s="1" t="s">
        <v>437</v>
      </c>
      <c r="G1858" s="1" t="s">
        <v>438</v>
      </c>
      <c r="H1858" s="1">
        <v>1350</v>
      </c>
      <c r="I1858" s="3">
        <v>46274</v>
      </c>
      <c r="J1858" s="3">
        <v>46287</v>
      </c>
      <c r="K1858" s="3" t="s">
        <v>2365</v>
      </c>
      <c r="L1858" s="22">
        <v>46274.383022453701</v>
      </c>
      <c r="M1858" s="20">
        <v>12</v>
      </c>
      <c r="N1858" s="1">
        <v>62</v>
      </c>
    </row>
    <row r="1859" spans="1:14" x14ac:dyDescent="0.25">
      <c r="A1859" t="str">
        <f t="shared" si="60"/>
        <v>U146446U146446</v>
      </c>
      <c r="B1859" t="str">
        <f t="shared" si="61"/>
        <v>U146446I6039KY-W</v>
      </c>
      <c r="C1859" s="1" t="s">
        <v>61</v>
      </c>
      <c r="D1859" s="1" t="s">
        <v>622</v>
      </c>
      <c r="E1859" s="1" t="s">
        <v>436</v>
      </c>
      <c r="F1859" s="1" t="s">
        <v>437</v>
      </c>
      <c r="G1859" s="1" t="s">
        <v>438</v>
      </c>
      <c r="H1859" s="1">
        <v>1350</v>
      </c>
      <c r="I1859" s="3">
        <v>46274</v>
      </c>
      <c r="J1859" s="3">
        <v>46287</v>
      </c>
      <c r="K1859" s="3" t="s">
        <v>2365</v>
      </c>
      <c r="L1859" s="22">
        <v>46274.383364583329</v>
      </c>
      <c r="M1859" s="20">
        <v>12</v>
      </c>
      <c r="N1859" s="1">
        <v>65</v>
      </c>
    </row>
    <row r="1860" spans="1:14" x14ac:dyDescent="0.25">
      <c r="A1860" t="str">
        <f t="shared" si="60"/>
        <v>U146446U146446</v>
      </c>
      <c r="B1860" t="str">
        <f t="shared" si="61"/>
        <v>U146446I6039KY-W</v>
      </c>
      <c r="C1860" s="1" t="s">
        <v>61</v>
      </c>
      <c r="D1860" s="1" t="s">
        <v>622</v>
      </c>
      <c r="E1860" s="1" t="s">
        <v>436</v>
      </c>
      <c r="F1860" s="1" t="s">
        <v>437</v>
      </c>
      <c r="G1860" s="1" t="s">
        <v>438</v>
      </c>
      <c r="H1860" s="1">
        <v>1350</v>
      </c>
      <c r="I1860" s="3">
        <v>46274</v>
      </c>
      <c r="J1860" s="3">
        <v>46287</v>
      </c>
      <c r="K1860" s="3" t="s">
        <v>2365</v>
      </c>
      <c r="L1860" s="22">
        <v>46274.384155208332</v>
      </c>
      <c r="M1860" s="20">
        <v>12</v>
      </c>
      <c r="N1860" s="1">
        <v>66</v>
      </c>
    </row>
    <row r="1861" spans="1:14" x14ac:dyDescent="0.25">
      <c r="A1861" t="str">
        <f t="shared" si="60"/>
        <v>U146446U146446</v>
      </c>
      <c r="B1861" t="str">
        <f t="shared" si="61"/>
        <v>U146446I6039KY-W</v>
      </c>
      <c r="C1861" s="1" t="s">
        <v>61</v>
      </c>
      <c r="D1861" s="1" t="s">
        <v>622</v>
      </c>
      <c r="E1861" s="1" t="s">
        <v>436</v>
      </c>
      <c r="F1861" s="1" t="s">
        <v>437</v>
      </c>
      <c r="G1861" s="1" t="s">
        <v>438</v>
      </c>
      <c r="H1861" s="1">
        <v>1350</v>
      </c>
      <c r="I1861" s="3">
        <v>46274</v>
      </c>
      <c r="J1861" s="3">
        <v>46287</v>
      </c>
      <c r="K1861" s="3" t="s">
        <v>2365</v>
      </c>
      <c r="L1861" s="22">
        <v>46274.392967395834</v>
      </c>
      <c r="M1861" s="20">
        <v>12</v>
      </c>
      <c r="N1861" s="1">
        <v>43</v>
      </c>
    </row>
    <row r="1862" spans="1:14" x14ac:dyDescent="0.25">
      <c r="A1862" t="str">
        <f t="shared" si="60"/>
        <v>U146446U146446</v>
      </c>
      <c r="B1862" t="str">
        <f t="shared" si="61"/>
        <v>U146446I6039KY-W</v>
      </c>
      <c r="C1862" s="1" t="s">
        <v>61</v>
      </c>
      <c r="D1862" s="1" t="s">
        <v>622</v>
      </c>
      <c r="E1862" s="1" t="s">
        <v>436</v>
      </c>
      <c r="F1862" s="1" t="s">
        <v>437</v>
      </c>
      <c r="G1862" s="1" t="s">
        <v>438</v>
      </c>
      <c r="H1862" s="1">
        <v>1350</v>
      </c>
      <c r="I1862" s="3">
        <v>46274</v>
      </c>
      <c r="J1862" s="3">
        <v>46287</v>
      </c>
      <c r="K1862" s="3" t="s">
        <v>2365</v>
      </c>
      <c r="L1862" s="22">
        <v>46274.393935682871</v>
      </c>
      <c r="M1862" s="20">
        <v>12</v>
      </c>
      <c r="N1862" s="1">
        <v>25</v>
      </c>
    </row>
    <row r="1863" spans="1:14" x14ac:dyDescent="0.25">
      <c r="A1863" t="str">
        <f t="shared" si="60"/>
        <v>U146446U146446</v>
      </c>
      <c r="B1863" t="str">
        <f t="shared" si="61"/>
        <v>U146446I6039KY-W</v>
      </c>
      <c r="C1863" s="27" t="s">
        <v>61</v>
      </c>
      <c r="D1863" s="27" t="s">
        <v>622</v>
      </c>
      <c r="E1863" s="1" t="s">
        <v>436</v>
      </c>
      <c r="F1863" s="1" t="s">
        <v>437</v>
      </c>
      <c r="G1863" s="1" t="s">
        <v>438</v>
      </c>
      <c r="H1863" s="1">
        <v>1350</v>
      </c>
      <c r="I1863" s="3">
        <v>46274</v>
      </c>
      <c r="J1863" s="3">
        <v>46287</v>
      </c>
      <c r="K1863" s="3" t="s">
        <v>2365</v>
      </c>
      <c r="L1863" s="31">
        <v>46274.40718819444</v>
      </c>
      <c r="M1863" s="33">
        <v>12</v>
      </c>
      <c r="N1863" s="1">
        <v>24</v>
      </c>
    </row>
    <row r="1864" spans="1:14" x14ac:dyDescent="0.25">
      <c r="A1864" t="str">
        <f t="shared" si="60"/>
        <v>U146446U146446</v>
      </c>
      <c r="B1864" t="str">
        <f t="shared" si="61"/>
        <v>U146446I6039KY-W</v>
      </c>
      <c r="C1864" s="27" t="s">
        <v>61</v>
      </c>
      <c r="D1864" s="27" t="s">
        <v>622</v>
      </c>
      <c r="E1864" s="1" t="s">
        <v>436</v>
      </c>
      <c r="F1864" s="1" t="s">
        <v>437</v>
      </c>
      <c r="G1864" s="1" t="s">
        <v>438</v>
      </c>
      <c r="H1864" s="1">
        <v>1350</v>
      </c>
      <c r="I1864" s="3">
        <v>46274</v>
      </c>
      <c r="J1864" s="3">
        <v>46287</v>
      </c>
      <c r="K1864" s="3" t="s">
        <v>2365</v>
      </c>
      <c r="L1864" s="31">
        <v>46274.407337118057</v>
      </c>
      <c r="M1864" s="33">
        <v>12</v>
      </c>
      <c r="N1864" s="1">
        <v>88</v>
      </c>
    </row>
    <row r="1865" spans="1:14" x14ac:dyDescent="0.25">
      <c r="A1865" t="str">
        <f t="shared" si="60"/>
        <v>U146446U146446</v>
      </c>
      <c r="B1865" t="str">
        <f t="shared" si="61"/>
        <v>U146446I6039KY-W</v>
      </c>
      <c r="C1865" s="27" t="s">
        <v>61</v>
      </c>
      <c r="D1865" s="27" t="s">
        <v>622</v>
      </c>
      <c r="E1865" s="1" t="s">
        <v>436</v>
      </c>
      <c r="F1865" s="1" t="s">
        <v>437</v>
      </c>
      <c r="G1865" s="1" t="s">
        <v>438</v>
      </c>
      <c r="H1865" s="1">
        <v>1350</v>
      </c>
      <c r="I1865" s="3">
        <v>46274</v>
      </c>
      <c r="J1865" s="3">
        <v>46287</v>
      </c>
      <c r="K1865" s="3" t="s">
        <v>2365</v>
      </c>
      <c r="L1865" s="31">
        <v>46274.407483530093</v>
      </c>
      <c r="M1865" s="33">
        <v>12</v>
      </c>
      <c r="N1865" s="1">
        <v>87</v>
      </c>
    </row>
    <row r="1866" spans="1:14" x14ac:dyDescent="0.25">
      <c r="A1866" t="str">
        <f t="shared" si="60"/>
        <v>U146446U146446</v>
      </c>
      <c r="B1866" t="str">
        <f t="shared" si="61"/>
        <v>U146446I6039KY-W</v>
      </c>
      <c r="C1866" s="27" t="s">
        <v>61</v>
      </c>
      <c r="D1866" s="27" t="s">
        <v>622</v>
      </c>
      <c r="E1866" s="1" t="s">
        <v>436</v>
      </c>
      <c r="F1866" s="1" t="s">
        <v>437</v>
      </c>
      <c r="G1866" s="1" t="s">
        <v>438</v>
      </c>
      <c r="H1866" s="1">
        <v>1350</v>
      </c>
      <c r="I1866" s="3">
        <v>46274</v>
      </c>
      <c r="J1866" s="3">
        <v>46287</v>
      </c>
      <c r="K1866" s="3" t="s">
        <v>2365</v>
      </c>
      <c r="L1866" s="31">
        <v>46274.42257091435</v>
      </c>
      <c r="M1866" s="33">
        <v>12</v>
      </c>
      <c r="N1866" s="1">
        <v>63</v>
      </c>
    </row>
    <row r="1867" spans="1:14" x14ac:dyDescent="0.25">
      <c r="A1867" t="str">
        <f t="shared" si="60"/>
        <v>U146446U146446</v>
      </c>
      <c r="B1867" t="str">
        <f t="shared" si="61"/>
        <v>U146446I6039KY-W</v>
      </c>
      <c r="C1867" s="27" t="s">
        <v>61</v>
      </c>
      <c r="D1867" s="27" t="s">
        <v>622</v>
      </c>
      <c r="E1867" s="1" t="s">
        <v>436</v>
      </c>
      <c r="F1867" s="1" t="s">
        <v>437</v>
      </c>
      <c r="G1867" s="1" t="s">
        <v>438</v>
      </c>
      <c r="H1867" s="1">
        <v>1350</v>
      </c>
      <c r="I1867" s="3">
        <v>46274</v>
      </c>
      <c r="J1867" s="3">
        <v>46287</v>
      </c>
      <c r="K1867" s="3" t="s">
        <v>2365</v>
      </c>
      <c r="L1867" s="31">
        <v>46274.422771099533</v>
      </c>
      <c r="M1867" s="33">
        <v>12</v>
      </c>
      <c r="N1867" s="1">
        <v>42</v>
      </c>
    </row>
    <row r="1868" spans="1:14" x14ac:dyDescent="0.25">
      <c r="A1868" t="str">
        <f t="shared" si="60"/>
        <v>U146446U146446</v>
      </c>
      <c r="B1868" t="str">
        <f t="shared" si="61"/>
        <v>U146446I6039KY-W</v>
      </c>
      <c r="C1868" s="27" t="s">
        <v>61</v>
      </c>
      <c r="D1868" s="27" t="s">
        <v>622</v>
      </c>
      <c r="E1868" s="1" t="s">
        <v>436</v>
      </c>
      <c r="F1868" s="1" t="s">
        <v>437</v>
      </c>
      <c r="G1868" s="1" t="s">
        <v>438</v>
      </c>
      <c r="H1868" s="1">
        <v>1350</v>
      </c>
      <c r="I1868" s="3">
        <v>46274</v>
      </c>
      <c r="J1868" s="3">
        <v>46287</v>
      </c>
      <c r="K1868" s="3" t="s">
        <v>2365</v>
      </c>
      <c r="L1868" s="31">
        <v>46274.423047337958</v>
      </c>
      <c r="M1868" s="33">
        <v>12</v>
      </c>
      <c r="N1868" s="1">
        <v>23</v>
      </c>
    </row>
    <row r="1869" spans="1:14" x14ac:dyDescent="0.25">
      <c r="A1869" t="str">
        <f t="shared" si="60"/>
        <v>U146446U146446</v>
      </c>
      <c r="B1869" t="str">
        <f t="shared" si="61"/>
        <v>U146446I6039KY-W</v>
      </c>
      <c r="C1869" s="27" t="s">
        <v>61</v>
      </c>
      <c r="D1869" s="27" t="s">
        <v>622</v>
      </c>
      <c r="E1869" s="1" t="s">
        <v>436</v>
      </c>
      <c r="F1869" s="1" t="s">
        <v>437</v>
      </c>
      <c r="G1869" s="1" t="s">
        <v>438</v>
      </c>
      <c r="H1869" s="1">
        <v>1350</v>
      </c>
      <c r="I1869" s="3">
        <v>46274</v>
      </c>
      <c r="J1869" s="3">
        <v>46287</v>
      </c>
      <c r="K1869" s="3" t="s">
        <v>2365</v>
      </c>
      <c r="L1869" s="31">
        <v>46274.423206250001</v>
      </c>
      <c r="M1869" s="33">
        <v>12</v>
      </c>
      <c r="N1869" s="1">
        <v>97</v>
      </c>
    </row>
    <row r="1870" spans="1:14" x14ac:dyDescent="0.25">
      <c r="A1870" t="str">
        <f t="shared" si="60"/>
        <v>U146446U146446</v>
      </c>
      <c r="B1870" t="str">
        <f t="shared" si="61"/>
        <v>U146446I6039KY-W</v>
      </c>
      <c r="C1870" s="27" t="s">
        <v>61</v>
      </c>
      <c r="D1870" s="27" t="s">
        <v>622</v>
      </c>
      <c r="E1870" s="1" t="s">
        <v>436</v>
      </c>
      <c r="F1870" s="1" t="s">
        <v>437</v>
      </c>
      <c r="G1870" s="1" t="s">
        <v>438</v>
      </c>
      <c r="H1870" s="1">
        <v>1350</v>
      </c>
      <c r="I1870" s="3">
        <v>46274</v>
      </c>
      <c r="J1870" s="3">
        <v>46287</v>
      </c>
      <c r="K1870" s="3" t="s">
        <v>2365</v>
      </c>
      <c r="L1870" s="31">
        <v>46274.423335960644</v>
      </c>
      <c r="M1870" s="33">
        <v>12</v>
      </c>
      <c r="N1870" s="1">
        <v>64</v>
      </c>
    </row>
    <row r="1871" spans="1:14" x14ac:dyDescent="0.25">
      <c r="A1871" t="str">
        <f t="shared" si="60"/>
        <v>U146446U146446</v>
      </c>
      <c r="B1871" t="str">
        <f t="shared" si="61"/>
        <v>U146446I6039KY-W</v>
      </c>
      <c r="C1871" s="27" t="s">
        <v>61</v>
      </c>
      <c r="D1871" s="27" t="s">
        <v>622</v>
      </c>
      <c r="E1871" s="1" t="s">
        <v>436</v>
      </c>
      <c r="F1871" s="1" t="s">
        <v>437</v>
      </c>
      <c r="G1871" s="1" t="s">
        <v>438</v>
      </c>
      <c r="H1871" s="1">
        <v>1350</v>
      </c>
      <c r="I1871" s="3">
        <v>46274</v>
      </c>
      <c r="J1871" s="3">
        <v>46287</v>
      </c>
      <c r="K1871" s="3" t="s">
        <v>2365</v>
      </c>
      <c r="L1871" s="31">
        <v>46274.44098295139</v>
      </c>
      <c r="M1871" s="33">
        <v>12</v>
      </c>
      <c r="N1871" s="1">
        <v>67</v>
      </c>
    </row>
    <row r="1872" spans="1:14" x14ac:dyDescent="0.25">
      <c r="A1872" t="str">
        <f t="shared" si="60"/>
        <v>U146446U146446</v>
      </c>
      <c r="B1872" t="str">
        <f t="shared" si="61"/>
        <v>U146446I6039KY-W</v>
      </c>
      <c r="C1872" s="27" t="s">
        <v>61</v>
      </c>
      <c r="D1872" s="27" t="s">
        <v>622</v>
      </c>
      <c r="E1872" s="1" t="s">
        <v>436</v>
      </c>
      <c r="F1872" s="1" t="s">
        <v>437</v>
      </c>
      <c r="G1872" s="1" t="s">
        <v>438</v>
      </c>
      <c r="H1872" s="1">
        <v>1350</v>
      </c>
      <c r="I1872" s="3">
        <v>46274</v>
      </c>
      <c r="J1872" s="3">
        <v>46287</v>
      </c>
      <c r="K1872" s="3" t="s">
        <v>2365</v>
      </c>
      <c r="L1872" s="31">
        <v>46274.453471296292</v>
      </c>
      <c r="M1872" s="33">
        <v>12</v>
      </c>
      <c r="N1872" s="1">
        <v>26</v>
      </c>
    </row>
    <row r="1873" spans="1:14" x14ac:dyDescent="0.25">
      <c r="A1873" t="str">
        <f t="shared" si="60"/>
        <v>U146446U146446</v>
      </c>
      <c r="B1873" t="str">
        <f t="shared" si="61"/>
        <v>U146446I6039KY-W</v>
      </c>
      <c r="C1873" s="27" t="s">
        <v>61</v>
      </c>
      <c r="D1873" s="27" t="s">
        <v>622</v>
      </c>
      <c r="E1873" s="1" t="s">
        <v>436</v>
      </c>
      <c r="F1873" s="1" t="s">
        <v>437</v>
      </c>
      <c r="G1873" s="1" t="s">
        <v>438</v>
      </c>
      <c r="H1873" s="1">
        <v>1350</v>
      </c>
      <c r="I1873" s="3">
        <v>46274</v>
      </c>
      <c r="J1873" s="3">
        <v>46287</v>
      </c>
      <c r="K1873" s="3" t="s">
        <v>2365</v>
      </c>
      <c r="L1873" s="31">
        <v>46274.453654201388</v>
      </c>
      <c r="M1873" s="33">
        <v>12</v>
      </c>
      <c r="N1873" s="1">
        <v>72</v>
      </c>
    </row>
    <row r="1874" spans="1:14" x14ac:dyDescent="0.25">
      <c r="A1874" t="str">
        <f t="shared" si="60"/>
        <v>U146446U146446</v>
      </c>
      <c r="B1874" t="str">
        <f t="shared" si="61"/>
        <v>U146446I6039KY-W</v>
      </c>
      <c r="C1874" s="27" t="s">
        <v>61</v>
      </c>
      <c r="D1874" s="27" t="s">
        <v>622</v>
      </c>
      <c r="E1874" s="1" t="s">
        <v>436</v>
      </c>
      <c r="F1874" s="1" t="s">
        <v>437</v>
      </c>
      <c r="G1874" s="1" t="s">
        <v>438</v>
      </c>
      <c r="H1874" s="1">
        <v>1350</v>
      </c>
      <c r="I1874" s="3">
        <v>46274</v>
      </c>
      <c r="J1874" s="3">
        <v>46287</v>
      </c>
      <c r="K1874" s="3" t="s">
        <v>2365</v>
      </c>
      <c r="L1874" s="31">
        <v>46274.454037118056</v>
      </c>
      <c r="M1874" s="33">
        <v>12</v>
      </c>
      <c r="N1874" s="1">
        <v>93</v>
      </c>
    </row>
    <row r="1875" spans="1:14" x14ac:dyDescent="0.25">
      <c r="A1875" t="str">
        <f t="shared" si="60"/>
        <v>U146446U146446</v>
      </c>
      <c r="B1875" t="str">
        <f t="shared" si="61"/>
        <v>U146446I6039KY-W</v>
      </c>
      <c r="C1875" s="27" t="s">
        <v>61</v>
      </c>
      <c r="D1875" s="27" t="s">
        <v>622</v>
      </c>
      <c r="E1875" s="1" t="s">
        <v>436</v>
      </c>
      <c r="F1875" s="1" t="s">
        <v>437</v>
      </c>
      <c r="G1875" s="1" t="s">
        <v>438</v>
      </c>
      <c r="H1875" s="1">
        <v>1350</v>
      </c>
      <c r="I1875" s="3">
        <v>46274</v>
      </c>
      <c r="J1875" s="3">
        <v>46287</v>
      </c>
      <c r="K1875" s="3" t="s">
        <v>2365</v>
      </c>
      <c r="L1875" s="31">
        <v>46274.459924884257</v>
      </c>
      <c r="M1875" s="33">
        <v>12</v>
      </c>
      <c r="N1875" s="1">
        <v>71</v>
      </c>
    </row>
    <row r="1876" spans="1:14" x14ac:dyDescent="0.25">
      <c r="A1876" t="str">
        <f t="shared" si="60"/>
        <v>U146446U146446</v>
      </c>
      <c r="B1876" t="str">
        <f t="shared" si="61"/>
        <v>U146446I6039KY-W</v>
      </c>
      <c r="C1876" s="27" t="s">
        <v>61</v>
      </c>
      <c r="D1876" s="27" t="s">
        <v>622</v>
      </c>
      <c r="E1876" s="1" t="s">
        <v>436</v>
      </c>
      <c r="F1876" s="1" t="s">
        <v>437</v>
      </c>
      <c r="G1876" s="1" t="s">
        <v>438</v>
      </c>
      <c r="H1876" s="1">
        <v>1350</v>
      </c>
      <c r="I1876" s="3">
        <v>46274</v>
      </c>
      <c r="J1876" s="3">
        <v>46287</v>
      </c>
      <c r="K1876" s="3" t="s">
        <v>2365</v>
      </c>
      <c r="L1876" s="31">
        <v>46274.460714201385</v>
      </c>
      <c r="M1876" s="33">
        <v>12</v>
      </c>
      <c r="N1876" s="1">
        <v>90</v>
      </c>
    </row>
    <row r="1877" spans="1:14" x14ac:dyDescent="0.25">
      <c r="A1877" t="str">
        <f t="shared" si="60"/>
        <v>U146446U146446</v>
      </c>
      <c r="B1877" t="str">
        <f t="shared" si="61"/>
        <v>U146446I6039KY-W</v>
      </c>
      <c r="C1877" s="27" t="s">
        <v>61</v>
      </c>
      <c r="D1877" s="27" t="s">
        <v>622</v>
      </c>
      <c r="E1877" s="1" t="s">
        <v>436</v>
      </c>
      <c r="F1877" s="1" t="s">
        <v>437</v>
      </c>
      <c r="G1877" s="1" t="s">
        <v>438</v>
      </c>
      <c r="H1877" s="1">
        <v>1350</v>
      </c>
      <c r="I1877" s="3">
        <v>46274</v>
      </c>
      <c r="J1877" s="3">
        <v>46287</v>
      </c>
      <c r="K1877" s="3" t="s">
        <v>2365</v>
      </c>
      <c r="L1877" s="31">
        <v>46274.460887037036</v>
      </c>
      <c r="M1877" s="33">
        <v>12</v>
      </c>
      <c r="N1877" s="1">
        <v>45</v>
      </c>
    </row>
    <row r="1878" spans="1:14" x14ac:dyDescent="0.25">
      <c r="A1878" t="str">
        <f t="shared" si="60"/>
        <v>U146446U146446</v>
      </c>
      <c r="B1878" t="str">
        <f t="shared" si="61"/>
        <v>U146446I6039KY-W</v>
      </c>
      <c r="C1878" s="27" t="s">
        <v>61</v>
      </c>
      <c r="D1878" s="27" t="s">
        <v>622</v>
      </c>
      <c r="E1878" s="1" t="s">
        <v>436</v>
      </c>
      <c r="F1878" s="1" t="s">
        <v>437</v>
      </c>
      <c r="G1878" s="1" t="s">
        <v>438</v>
      </c>
      <c r="H1878" s="1">
        <v>1350</v>
      </c>
      <c r="I1878" s="3">
        <v>46274</v>
      </c>
      <c r="J1878" s="3">
        <v>46287</v>
      </c>
      <c r="K1878" s="3" t="s">
        <v>2365</v>
      </c>
      <c r="L1878" s="31">
        <v>46274.468044363421</v>
      </c>
      <c r="M1878" s="33">
        <v>12</v>
      </c>
      <c r="N1878" s="1">
        <v>74</v>
      </c>
    </row>
    <row r="1879" spans="1:14" x14ac:dyDescent="0.25">
      <c r="A1879" t="str">
        <f t="shared" si="60"/>
        <v>U146446U146446</v>
      </c>
      <c r="B1879" t="str">
        <f t="shared" si="61"/>
        <v>U146446I6039KY-W</v>
      </c>
      <c r="C1879" s="27" t="s">
        <v>61</v>
      </c>
      <c r="D1879" s="27" t="s">
        <v>622</v>
      </c>
      <c r="E1879" s="1" t="s">
        <v>436</v>
      </c>
      <c r="F1879" s="1" t="s">
        <v>437</v>
      </c>
      <c r="G1879" s="1" t="s">
        <v>438</v>
      </c>
      <c r="H1879" s="1">
        <v>1350</v>
      </c>
      <c r="I1879" s="3">
        <v>46274</v>
      </c>
      <c r="J1879" s="3">
        <v>46287</v>
      </c>
      <c r="K1879" s="3" t="s">
        <v>2365</v>
      </c>
      <c r="L1879" s="31">
        <v>46274.471076192131</v>
      </c>
      <c r="M1879" s="33">
        <v>12</v>
      </c>
      <c r="N1879" s="1">
        <v>73</v>
      </c>
    </row>
    <row r="1880" spans="1:14" x14ac:dyDescent="0.25">
      <c r="A1880" t="str">
        <f t="shared" si="60"/>
        <v>U146446U146446</v>
      </c>
      <c r="B1880" t="str">
        <f t="shared" si="61"/>
        <v>U146446I6039KY-W</v>
      </c>
      <c r="C1880" s="27" t="s">
        <v>61</v>
      </c>
      <c r="D1880" s="27" t="s">
        <v>622</v>
      </c>
      <c r="E1880" s="1" t="s">
        <v>436</v>
      </c>
      <c r="F1880" s="1" t="s">
        <v>437</v>
      </c>
      <c r="G1880" s="1" t="s">
        <v>438</v>
      </c>
      <c r="H1880" s="1">
        <v>1350</v>
      </c>
      <c r="I1880" s="3">
        <v>46274</v>
      </c>
      <c r="J1880" s="3">
        <v>46287</v>
      </c>
      <c r="K1880" s="3" t="s">
        <v>2365</v>
      </c>
      <c r="L1880" s="31">
        <v>46274.472675543977</v>
      </c>
      <c r="M1880" s="33">
        <v>12</v>
      </c>
      <c r="N1880" s="1">
        <v>92</v>
      </c>
    </row>
    <row r="1881" spans="1:14" x14ac:dyDescent="0.25">
      <c r="A1881" t="str">
        <f t="shared" si="60"/>
        <v>U146446U146446</v>
      </c>
      <c r="B1881" t="str">
        <f t="shared" si="61"/>
        <v>U146446I6039KY-W</v>
      </c>
      <c r="C1881" s="27" t="s">
        <v>61</v>
      </c>
      <c r="D1881" s="27" t="s">
        <v>622</v>
      </c>
      <c r="E1881" s="1" t="s">
        <v>436</v>
      </c>
      <c r="F1881" s="1" t="s">
        <v>437</v>
      </c>
      <c r="G1881" s="1" t="s">
        <v>438</v>
      </c>
      <c r="H1881" s="1">
        <v>1350</v>
      </c>
      <c r="I1881" s="3">
        <v>46274</v>
      </c>
      <c r="J1881" s="3">
        <v>46287</v>
      </c>
      <c r="K1881" s="3" t="s">
        <v>2365</v>
      </c>
      <c r="L1881" s="31">
        <v>46274.483543206014</v>
      </c>
      <c r="M1881" s="33">
        <v>12</v>
      </c>
      <c r="N1881" s="1">
        <v>27</v>
      </c>
    </row>
    <row r="1882" spans="1:14" x14ac:dyDescent="0.25">
      <c r="A1882" t="str">
        <f t="shared" si="60"/>
        <v>U146446U146446</v>
      </c>
      <c r="B1882" t="str">
        <f t="shared" si="61"/>
        <v>U146446I6039KY-W</v>
      </c>
      <c r="C1882" s="27" t="s">
        <v>61</v>
      </c>
      <c r="D1882" s="27" t="s">
        <v>622</v>
      </c>
      <c r="E1882" s="1" t="s">
        <v>436</v>
      </c>
      <c r="F1882" s="1" t="s">
        <v>437</v>
      </c>
      <c r="G1882" s="1" t="s">
        <v>438</v>
      </c>
      <c r="H1882" s="1">
        <v>1350</v>
      </c>
      <c r="I1882" s="3">
        <v>46274</v>
      </c>
      <c r="J1882" s="3">
        <v>46287</v>
      </c>
      <c r="K1882" s="3" t="s">
        <v>2365</v>
      </c>
      <c r="L1882" s="31">
        <v>46274.483770833329</v>
      </c>
      <c r="M1882" s="33">
        <v>12</v>
      </c>
      <c r="N1882" s="1">
        <v>46</v>
      </c>
    </row>
    <row r="1883" spans="1:14" x14ac:dyDescent="0.25">
      <c r="A1883" t="str">
        <f t="shared" si="60"/>
        <v>U146446U146446</v>
      </c>
      <c r="B1883" t="str">
        <f t="shared" si="61"/>
        <v>U146446I6039KY-W</v>
      </c>
      <c r="C1883" s="27" t="s">
        <v>61</v>
      </c>
      <c r="D1883" s="27" t="s">
        <v>622</v>
      </c>
      <c r="E1883" s="1" t="s">
        <v>436</v>
      </c>
      <c r="F1883" s="1" t="s">
        <v>437</v>
      </c>
      <c r="G1883" s="1" t="s">
        <v>438</v>
      </c>
      <c r="H1883" s="1">
        <v>1350</v>
      </c>
      <c r="I1883" s="3">
        <v>46274</v>
      </c>
      <c r="J1883" s="3">
        <v>46287</v>
      </c>
      <c r="K1883" s="3" t="s">
        <v>2365</v>
      </c>
      <c r="L1883" s="31">
        <v>46274.48405269676</v>
      </c>
      <c r="M1883" s="33">
        <v>12</v>
      </c>
      <c r="N1883" s="1">
        <v>44</v>
      </c>
    </row>
    <row r="1884" spans="1:14" x14ac:dyDescent="0.25">
      <c r="A1884" t="str">
        <f t="shared" si="60"/>
        <v>U146446U146446</v>
      </c>
      <c r="B1884" t="str">
        <f t="shared" si="61"/>
        <v>U146446I6039KY-W</v>
      </c>
      <c r="C1884" s="27" t="s">
        <v>61</v>
      </c>
      <c r="D1884" s="27" t="s">
        <v>622</v>
      </c>
      <c r="E1884" s="1" t="s">
        <v>436</v>
      </c>
      <c r="F1884" s="1" t="s">
        <v>437</v>
      </c>
      <c r="G1884" s="1" t="s">
        <v>438</v>
      </c>
      <c r="H1884" s="1">
        <v>1350</v>
      </c>
      <c r="I1884" s="3">
        <v>46274</v>
      </c>
      <c r="J1884" s="3">
        <v>46287</v>
      </c>
      <c r="K1884" s="3" t="s">
        <v>2365</v>
      </c>
      <c r="L1884" s="31">
        <v>46274.48417762731</v>
      </c>
      <c r="M1884" s="33">
        <v>12</v>
      </c>
      <c r="N1884" s="1">
        <v>70</v>
      </c>
    </row>
    <row r="1885" spans="1:14" x14ac:dyDescent="0.25">
      <c r="A1885" t="str">
        <f t="shared" si="60"/>
        <v>U146446U146446</v>
      </c>
      <c r="B1885" t="str">
        <f t="shared" si="61"/>
        <v>U146446I6039KY-W</v>
      </c>
      <c r="C1885" s="27" t="s">
        <v>61</v>
      </c>
      <c r="D1885" s="27" t="s">
        <v>622</v>
      </c>
      <c r="E1885" s="1" t="s">
        <v>436</v>
      </c>
      <c r="F1885" s="1" t="s">
        <v>437</v>
      </c>
      <c r="G1885" s="1" t="s">
        <v>438</v>
      </c>
      <c r="H1885" s="1">
        <v>1350</v>
      </c>
      <c r="I1885" s="3">
        <v>46274</v>
      </c>
      <c r="J1885" s="3">
        <v>46287</v>
      </c>
      <c r="K1885" s="3" t="s">
        <v>2365</v>
      </c>
      <c r="L1885" s="31">
        <v>46274.560860185185</v>
      </c>
      <c r="M1885" s="33">
        <v>12</v>
      </c>
      <c r="N1885" s="1">
        <v>91</v>
      </c>
    </row>
    <row r="1886" spans="1:14" x14ac:dyDescent="0.25">
      <c r="A1886" t="str">
        <f t="shared" si="60"/>
        <v>U146446U146446</v>
      </c>
      <c r="B1886" t="str">
        <f t="shared" si="61"/>
        <v>U146446I6039KY-W</v>
      </c>
      <c r="C1886" s="27" t="s">
        <v>61</v>
      </c>
      <c r="D1886" s="27" t="s">
        <v>622</v>
      </c>
      <c r="E1886" s="1" t="s">
        <v>436</v>
      </c>
      <c r="F1886" s="1" t="s">
        <v>437</v>
      </c>
      <c r="G1886" s="1" t="s">
        <v>438</v>
      </c>
      <c r="H1886" s="1">
        <v>1350</v>
      </c>
      <c r="I1886" s="3">
        <v>46274</v>
      </c>
      <c r="J1886" s="3">
        <v>46287</v>
      </c>
      <c r="K1886" s="3" t="s">
        <v>2365</v>
      </c>
      <c r="L1886" s="31">
        <v>46274.560994942127</v>
      </c>
      <c r="M1886" s="33">
        <v>12</v>
      </c>
      <c r="N1886" s="1">
        <v>89</v>
      </c>
    </row>
    <row r="1887" spans="1:14" x14ac:dyDescent="0.25">
      <c r="A1887" t="str">
        <f t="shared" si="60"/>
        <v>U146446U146446</v>
      </c>
      <c r="B1887" t="str">
        <f t="shared" si="61"/>
        <v>U146446I6039KY-W</v>
      </c>
      <c r="C1887" s="27" t="s">
        <v>61</v>
      </c>
      <c r="D1887" s="27" t="s">
        <v>622</v>
      </c>
      <c r="E1887" s="1" t="s">
        <v>436</v>
      </c>
      <c r="F1887" s="1" t="s">
        <v>437</v>
      </c>
      <c r="G1887" s="1" t="s">
        <v>438</v>
      </c>
      <c r="H1887" s="1">
        <v>1350</v>
      </c>
      <c r="I1887" s="3">
        <v>46274</v>
      </c>
      <c r="J1887" s="3">
        <v>46287</v>
      </c>
      <c r="K1887" s="3" t="s">
        <v>2365</v>
      </c>
      <c r="L1887" s="31">
        <v>46274.561313275459</v>
      </c>
      <c r="M1887" s="33">
        <v>12</v>
      </c>
      <c r="N1887" s="1">
        <v>69</v>
      </c>
    </row>
    <row r="1888" spans="1:14" x14ac:dyDescent="0.25">
      <c r="A1888" t="str">
        <f t="shared" si="60"/>
        <v>U146446U146446</v>
      </c>
      <c r="B1888" t="str">
        <f t="shared" si="61"/>
        <v>U146446I6039KY-W</v>
      </c>
      <c r="C1888" s="27" t="s">
        <v>61</v>
      </c>
      <c r="D1888" s="27" t="s">
        <v>622</v>
      </c>
      <c r="E1888" s="1" t="s">
        <v>436</v>
      </c>
      <c r="F1888" s="1" t="s">
        <v>437</v>
      </c>
      <c r="G1888" s="1" t="s">
        <v>438</v>
      </c>
      <c r="H1888" s="1">
        <v>1350</v>
      </c>
      <c r="I1888" s="3">
        <v>46274</v>
      </c>
      <c r="J1888" s="3">
        <v>46287</v>
      </c>
      <c r="K1888" s="3" t="s">
        <v>2365</v>
      </c>
      <c r="L1888" s="31">
        <v>46274.569313969907</v>
      </c>
      <c r="M1888" s="33">
        <v>12</v>
      </c>
      <c r="N1888" s="1">
        <v>29</v>
      </c>
    </row>
    <row r="1889" spans="1:14" x14ac:dyDescent="0.25">
      <c r="A1889" t="str">
        <f t="shared" si="60"/>
        <v>U146446U146446</v>
      </c>
      <c r="B1889" t="str">
        <f t="shared" si="61"/>
        <v>U146446I6039KY-W</v>
      </c>
      <c r="C1889" s="27" t="s">
        <v>61</v>
      </c>
      <c r="D1889" s="27" t="s">
        <v>622</v>
      </c>
      <c r="E1889" s="1" t="s">
        <v>436</v>
      </c>
      <c r="F1889" s="1" t="s">
        <v>437</v>
      </c>
      <c r="G1889" s="1" t="s">
        <v>438</v>
      </c>
      <c r="H1889" s="1">
        <v>1350</v>
      </c>
      <c r="I1889" s="3">
        <v>46274</v>
      </c>
      <c r="J1889" s="3">
        <v>46287</v>
      </c>
      <c r="K1889" s="3" t="s">
        <v>2365</v>
      </c>
      <c r="L1889" s="31">
        <v>46274.569660567126</v>
      </c>
      <c r="M1889" s="33">
        <v>12</v>
      </c>
      <c r="N1889" s="1">
        <v>47</v>
      </c>
    </row>
    <row r="1890" spans="1:14" x14ac:dyDescent="0.25">
      <c r="A1890" t="str">
        <f t="shared" si="60"/>
        <v>U146446U146446</v>
      </c>
      <c r="B1890" t="str">
        <f t="shared" si="61"/>
        <v>U146446I6039KY-W</v>
      </c>
      <c r="C1890" s="27" t="s">
        <v>61</v>
      </c>
      <c r="D1890" s="27" t="s">
        <v>622</v>
      </c>
      <c r="E1890" s="1" t="s">
        <v>436</v>
      </c>
      <c r="F1890" s="1" t="s">
        <v>437</v>
      </c>
      <c r="G1890" s="1" t="s">
        <v>438</v>
      </c>
      <c r="H1890" s="1">
        <v>1350</v>
      </c>
      <c r="I1890" s="3">
        <v>46274</v>
      </c>
      <c r="J1890" s="3">
        <v>46287</v>
      </c>
      <c r="K1890" s="3" t="s">
        <v>2365</v>
      </c>
      <c r="L1890" s="31">
        <v>46274.570058993057</v>
      </c>
      <c r="M1890" s="33">
        <v>12</v>
      </c>
      <c r="N1890" s="1">
        <v>77</v>
      </c>
    </row>
    <row r="1891" spans="1:14" x14ac:dyDescent="0.25">
      <c r="A1891" t="str">
        <f t="shared" si="60"/>
        <v>U146446U146446</v>
      </c>
      <c r="B1891" t="str">
        <f t="shared" si="61"/>
        <v>U146446I6039KY-W</v>
      </c>
      <c r="C1891" s="27" t="s">
        <v>61</v>
      </c>
      <c r="D1891" s="27" t="s">
        <v>622</v>
      </c>
      <c r="E1891" s="1" t="s">
        <v>436</v>
      </c>
      <c r="F1891" s="1" t="s">
        <v>437</v>
      </c>
      <c r="G1891" s="1" t="s">
        <v>438</v>
      </c>
      <c r="H1891" s="1">
        <v>1350</v>
      </c>
      <c r="I1891" s="3">
        <v>46274</v>
      </c>
      <c r="J1891" s="3">
        <v>46287</v>
      </c>
      <c r="K1891" s="3" t="s">
        <v>2365</v>
      </c>
      <c r="L1891" s="31">
        <v>46274.579051736109</v>
      </c>
      <c r="M1891" s="33">
        <v>12</v>
      </c>
      <c r="N1891" s="1">
        <v>76</v>
      </c>
    </row>
    <row r="1892" spans="1:14" x14ac:dyDescent="0.25">
      <c r="A1892" t="str">
        <f t="shared" si="60"/>
        <v>U146446U146446</v>
      </c>
      <c r="B1892" t="str">
        <f t="shared" si="61"/>
        <v>U146446I6039KY-W</v>
      </c>
      <c r="C1892" s="27" t="s">
        <v>61</v>
      </c>
      <c r="D1892" s="27" t="s">
        <v>622</v>
      </c>
      <c r="E1892" s="1" t="s">
        <v>436</v>
      </c>
      <c r="F1892" s="1" t="s">
        <v>437</v>
      </c>
      <c r="G1892" s="1" t="s">
        <v>438</v>
      </c>
      <c r="H1892" s="1">
        <v>1350</v>
      </c>
      <c r="I1892" s="3">
        <v>46274</v>
      </c>
      <c r="J1892" s="3">
        <v>46287</v>
      </c>
      <c r="K1892" s="3" t="s">
        <v>2365</v>
      </c>
      <c r="L1892" s="31">
        <v>46274.602168171295</v>
      </c>
      <c r="M1892" s="33">
        <v>12</v>
      </c>
      <c r="N1892" s="1">
        <v>68</v>
      </c>
    </row>
    <row r="1893" spans="1:14" x14ac:dyDescent="0.25">
      <c r="A1893" t="str">
        <f t="shared" si="60"/>
        <v>U146446U146446</v>
      </c>
      <c r="B1893" t="str">
        <f t="shared" si="61"/>
        <v>U146446I6039KY-W</v>
      </c>
      <c r="C1893" s="27" t="s">
        <v>61</v>
      </c>
      <c r="D1893" s="27" t="s">
        <v>622</v>
      </c>
      <c r="E1893" s="1" t="s">
        <v>436</v>
      </c>
      <c r="F1893" s="1" t="s">
        <v>437</v>
      </c>
      <c r="G1893" s="1" t="s">
        <v>438</v>
      </c>
      <c r="H1893" s="1">
        <v>1350</v>
      </c>
      <c r="I1893" s="3">
        <v>46274</v>
      </c>
      <c r="J1893" s="3">
        <v>46287</v>
      </c>
      <c r="K1893" s="3" t="s">
        <v>2365</v>
      </c>
      <c r="L1893" s="31">
        <v>46274.603260682867</v>
      </c>
      <c r="M1893" s="33">
        <v>12</v>
      </c>
      <c r="N1893" s="1">
        <v>79</v>
      </c>
    </row>
    <row r="1894" spans="1:14" x14ac:dyDescent="0.25">
      <c r="A1894" t="str">
        <f t="shared" si="60"/>
        <v>U146446U146446</v>
      </c>
      <c r="B1894" t="str">
        <f t="shared" si="61"/>
        <v>U146446I6039KY-W</v>
      </c>
      <c r="C1894" s="27" t="s">
        <v>61</v>
      </c>
      <c r="D1894" s="27" t="s">
        <v>622</v>
      </c>
      <c r="E1894" s="1" t="s">
        <v>436</v>
      </c>
      <c r="F1894" s="1" t="s">
        <v>437</v>
      </c>
      <c r="G1894" s="1" t="s">
        <v>438</v>
      </c>
      <c r="H1894" s="1">
        <v>1350</v>
      </c>
      <c r="I1894" s="3">
        <v>46274</v>
      </c>
      <c r="J1894" s="3">
        <v>46287</v>
      </c>
      <c r="K1894" s="3" t="s">
        <v>2365</v>
      </c>
      <c r="L1894" s="31">
        <v>46274.603406168979</v>
      </c>
      <c r="M1894" s="33">
        <v>12</v>
      </c>
      <c r="N1894" s="1">
        <v>48</v>
      </c>
    </row>
    <row r="1895" spans="1:14" x14ac:dyDescent="0.25">
      <c r="A1895" t="str">
        <f t="shared" si="60"/>
        <v>U146446U146446</v>
      </c>
      <c r="B1895" t="str">
        <f t="shared" si="61"/>
        <v>U146446I6039KY-W</v>
      </c>
      <c r="C1895" s="27" t="s">
        <v>61</v>
      </c>
      <c r="D1895" s="27" t="s">
        <v>622</v>
      </c>
      <c r="E1895" s="1" t="s">
        <v>436</v>
      </c>
      <c r="F1895" s="1" t="s">
        <v>437</v>
      </c>
      <c r="G1895" s="1" t="s">
        <v>438</v>
      </c>
      <c r="H1895" s="1">
        <v>1350</v>
      </c>
      <c r="I1895" s="3">
        <v>46274</v>
      </c>
      <c r="J1895" s="3">
        <v>46287</v>
      </c>
      <c r="K1895" s="3" t="s">
        <v>2365</v>
      </c>
      <c r="L1895" s="31">
        <v>46274.60387175926</v>
      </c>
      <c r="M1895" s="33">
        <v>12</v>
      </c>
      <c r="N1895" s="1">
        <v>96</v>
      </c>
    </row>
    <row r="1896" spans="1:14" x14ac:dyDescent="0.25">
      <c r="A1896" t="str">
        <f t="shared" si="60"/>
        <v>U146446U146446</v>
      </c>
      <c r="B1896" t="str">
        <f t="shared" si="61"/>
        <v>U146446I6039KY-W</v>
      </c>
      <c r="C1896" s="27" t="s">
        <v>61</v>
      </c>
      <c r="D1896" s="27" t="s">
        <v>622</v>
      </c>
      <c r="E1896" s="1" t="s">
        <v>436</v>
      </c>
      <c r="F1896" s="1" t="s">
        <v>437</v>
      </c>
      <c r="G1896" s="1" t="s">
        <v>438</v>
      </c>
      <c r="H1896" s="1">
        <v>1350</v>
      </c>
      <c r="I1896" s="3">
        <v>46274</v>
      </c>
      <c r="J1896" s="3">
        <v>46287</v>
      </c>
      <c r="K1896" s="3" t="s">
        <v>2365</v>
      </c>
      <c r="L1896" s="31">
        <v>46274.604188310186</v>
      </c>
      <c r="M1896" s="33">
        <v>12</v>
      </c>
      <c r="N1896" s="1">
        <v>75</v>
      </c>
    </row>
    <row r="1897" spans="1:14" x14ac:dyDescent="0.25">
      <c r="A1897" t="str">
        <f t="shared" si="60"/>
        <v>U146446U146446</v>
      </c>
      <c r="B1897" t="str">
        <f t="shared" si="61"/>
        <v>U146446I6039KY-W</v>
      </c>
      <c r="C1897" s="27" t="s">
        <v>61</v>
      </c>
      <c r="D1897" s="27" t="s">
        <v>622</v>
      </c>
      <c r="E1897" s="1" t="s">
        <v>436</v>
      </c>
      <c r="F1897" s="1" t="s">
        <v>437</v>
      </c>
      <c r="G1897" s="1" t="s">
        <v>438</v>
      </c>
      <c r="H1897" s="1">
        <v>1350</v>
      </c>
      <c r="I1897" s="3">
        <v>46274</v>
      </c>
      <c r="J1897" s="3">
        <v>46287</v>
      </c>
      <c r="K1897" s="3" t="s">
        <v>2365</v>
      </c>
      <c r="L1897" s="31">
        <v>46274.612259525464</v>
      </c>
      <c r="M1897" s="33">
        <v>12</v>
      </c>
      <c r="N1897" s="1">
        <v>31</v>
      </c>
    </row>
    <row r="1898" spans="1:14" x14ac:dyDescent="0.25">
      <c r="A1898" t="str">
        <f t="shared" si="60"/>
        <v>U146446U146446</v>
      </c>
      <c r="B1898" t="str">
        <f t="shared" si="61"/>
        <v>U146446I6039KY-W</v>
      </c>
      <c r="C1898" s="27" t="s">
        <v>61</v>
      </c>
      <c r="D1898" s="27" t="s">
        <v>622</v>
      </c>
      <c r="E1898" s="1" t="s">
        <v>436</v>
      </c>
      <c r="F1898" s="1" t="s">
        <v>437</v>
      </c>
      <c r="G1898" s="1" t="s">
        <v>438</v>
      </c>
      <c r="H1898" s="1">
        <v>1350</v>
      </c>
      <c r="I1898" s="3">
        <v>46274</v>
      </c>
      <c r="J1898" s="3">
        <v>46287</v>
      </c>
      <c r="K1898" s="3" t="s">
        <v>2365</v>
      </c>
      <c r="L1898" s="31">
        <v>46274.612439502314</v>
      </c>
      <c r="M1898" s="33">
        <v>12</v>
      </c>
      <c r="N1898" s="1">
        <v>99</v>
      </c>
    </row>
    <row r="1899" spans="1:14" x14ac:dyDescent="0.25">
      <c r="A1899" t="str">
        <f t="shared" si="60"/>
        <v>U146446U146446</v>
      </c>
      <c r="B1899" t="str">
        <f t="shared" si="61"/>
        <v>U146446I6039KY-W</v>
      </c>
      <c r="C1899" s="27" t="s">
        <v>61</v>
      </c>
      <c r="D1899" s="27" t="s">
        <v>622</v>
      </c>
      <c r="E1899" s="1" t="s">
        <v>436</v>
      </c>
      <c r="F1899" s="1" t="s">
        <v>437</v>
      </c>
      <c r="G1899" s="1" t="s">
        <v>438</v>
      </c>
      <c r="H1899" s="1">
        <v>1350</v>
      </c>
      <c r="I1899" s="3">
        <v>46274</v>
      </c>
      <c r="J1899" s="3">
        <v>46287</v>
      </c>
      <c r="K1899" s="3" t="s">
        <v>2365</v>
      </c>
      <c r="L1899" s="31">
        <v>46274.615810648145</v>
      </c>
      <c r="M1899" s="33">
        <v>12</v>
      </c>
      <c r="N1899" s="1">
        <v>80</v>
      </c>
    </row>
    <row r="1900" spans="1:14" x14ac:dyDescent="0.25">
      <c r="A1900" t="str">
        <f t="shared" si="60"/>
        <v>U146446U146446</v>
      </c>
      <c r="B1900" t="str">
        <f t="shared" si="61"/>
        <v>U146446I6039KY-W</v>
      </c>
      <c r="C1900" s="27" t="s">
        <v>61</v>
      </c>
      <c r="D1900" s="27" t="s">
        <v>622</v>
      </c>
      <c r="E1900" s="1" t="s">
        <v>436</v>
      </c>
      <c r="F1900" s="1" t="s">
        <v>437</v>
      </c>
      <c r="G1900" s="1" t="s">
        <v>438</v>
      </c>
      <c r="H1900" s="1">
        <v>1350</v>
      </c>
      <c r="I1900" s="3">
        <v>46274</v>
      </c>
      <c r="J1900" s="3">
        <v>46287</v>
      </c>
      <c r="K1900" s="3" t="s">
        <v>2365</v>
      </c>
      <c r="L1900" s="31">
        <v>46274.618446875</v>
      </c>
      <c r="M1900" s="33">
        <v>12</v>
      </c>
      <c r="N1900" s="1">
        <v>30</v>
      </c>
    </row>
    <row r="1901" spans="1:14" x14ac:dyDescent="0.25">
      <c r="A1901" t="str">
        <f t="shared" si="60"/>
        <v>U146446U146446</v>
      </c>
      <c r="B1901" t="str">
        <f t="shared" si="61"/>
        <v>U146446I6039KY-W</v>
      </c>
      <c r="C1901" s="27" t="s">
        <v>61</v>
      </c>
      <c r="D1901" s="27" t="s">
        <v>622</v>
      </c>
      <c r="E1901" s="1" t="s">
        <v>436</v>
      </c>
      <c r="F1901" s="1" t="s">
        <v>437</v>
      </c>
      <c r="G1901" s="1" t="s">
        <v>438</v>
      </c>
      <c r="H1901" s="1">
        <v>1350</v>
      </c>
      <c r="I1901" s="3">
        <v>46274</v>
      </c>
      <c r="J1901" s="3">
        <v>46287</v>
      </c>
      <c r="K1901" s="3" t="s">
        <v>2365</v>
      </c>
      <c r="L1901" s="31">
        <v>46274.618593599538</v>
      </c>
      <c r="M1901" s="33">
        <v>12</v>
      </c>
      <c r="N1901" s="1">
        <v>41</v>
      </c>
    </row>
    <row r="1902" spans="1:14" x14ac:dyDescent="0.25">
      <c r="A1902" t="str">
        <f t="shared" si="60"/>
        <v>U146446U146446</v>
      </c>
      <c r="B1902" t="str">
        <f t="shared" si="61"/>
        <v>U146446I6039KY-W</v>
      </c>
      <c r="C1902" s="27" t="s">
        <v>61</v>
      </c>
      <c r="D1902" s="27" t="s">
        <v>622</v>
      </c>
      <c r="E1902" s="1" t="s">
        <v>436</v>
      </c>
      <c r="F1902" s="1" t="s">
        <v>437</v>
      </c>
      <c r="G1902" s="1" t="s">
        <v>438</v>
      </c>
      <c r="H1902" s="1">
        <v>1350</v>
      </c>
      <c r="I1902" s="3">
        <v>46274</v>
      </c>
      <c r="J1902" s="3">
        <v>46287</v>
      </c>
      <c r="K1902" s="3" t="s">
        <v>2365</v>
      </c>
      <c r="L1902" s="31">
        <v>46274.618945104165</v>
      </c>
      <c r="M1902" s="33">
        <v>12</v>
      </c>
      <c r="N1902" s="1">
        <v>78</v>
      </c>
    </row>
    <row r="1903" spans="1:14" x14ac:dyDescent="0.25">
      <c r="A1903" t="str">
        <f t="shared" si="60"/>
        <v>U146446U146446</v>
      </c>
      <c r="B1903" t="str">
        <f t="shared" si="61"/>
        <v>U146446I6039KY-W</v>
      </c>
      <c r="C1903" s="27" t="s">
        <v>61</v>
      </c>
      <c r="D1903" s="27" t="s">
        <v>622</v>
      </c>
      <c r="E1903" s="1" t="s">
        <v>436</v>
      </c>
      <c r="F1903" s="1" t="s">
        <v>437</v>
      </c>
      <c r="G1903" s="1" t="s">
        <v>438</v>
      </c>
      <c r="H1903" s="1">
        <v>1350</v>
      </c>
      <c r="I1903" s="3">
        <v>46274</v>
      </c>
      <c r="J1903" s="3">
        <v>46287</v>
      </c>
      <c r="K1903" s="3" t="s">
        <v>2365</v>
      </c>
      <c r="L1903" s="31">
        <v>46274.619188888886</v>
      </c>
      <c r="M1903" s="33">
        <v>12</v>
      </c>
      <c r="N1903" s="1">
        <v>94</v>
      </c>
    </row>
    <row r="1904" spans="1:14" x14ac:dyDescent="0.25">
      <c r="A1904" t="str">
        <f t="shared" si="60"/>
        <v>U146446U146446</v>
      </c>
      <c r="B1904" t="str">
        <f t="shared" si="61"/>
        <v>U146446I6039KY-W</v>
      </c>
      <c r="C1904" s="27" t="s">
        <v>61</v>
      </c>
      <c r="D1904" s="27" t="s">
        <v>622</v>
      </c>
      <c r="E1904" s="1" t="s">
        <v>436</v>
      </c>
      <c r="F1904" s="1" t="s">
        <v>437</v>
      </c>
      <c r="G1904" s="1" t="s">
        <v>438</v>
      </c>
      <c r="H1904" s="1">
        <v>1350</v>
      </c>
      <c r="I1904" s="3">
        <v>46274</v>
      </c>
      <c r="J1904" s="3">
        <v>46287</v>
      </c>
      <c r="K1904" s="3" t="s">
        <v>2365</v>
      </c>
      <c r="L1904" s="31">
        <v>46274.619551354168</v>
      </c>
      <c r="M1904" s="33">
        <v>12</v>
      </c>
      <c r="N1904" s="1">
        <v>28</v>
      </c>
    </row>
    <row r="1905" spans="1:14" x14ac:dyDescent="0.25">
      <c r="A1905" t="str">
        <f t="shared" si="60"/>
        <v>U146446U146446</v>
      </c>
      <c r="B1905" t="str">
        <f t="shared" si="61"/>
        <v>U146446I6039KY-W</v>
      </c>
      <c r="C1905" s="27" t="s">
        <v>61</v>
      </c>
      <c r="D1905" s="27" t="s">
        <v>622</v>
      </c>
      <c r="E1905" s="1" t="s">
        <v>436</v>
      </c>
      <c r="F1905" s="1" t="s">
        <v>437</v>
      </c>
      <c r="G1905" s="1" t="s">
        <v>438</v>
      </c>
      <c r="H1905" s="1">
        <v>1350</v>
      </c>
      <c r="I1905" s="3">
        <v>46274</v>
      </c>
      <c r="J1905" s="3">
        <v>46287</v>
      </c>
      <c r="K1905" s="3" t="s">
        <v>2365</v>
      </c>
      <c r="L1905" s="31">
        <v>46274.631851388884</v>
      </c>
      <c r="M1905" s="33">
        <v>12</v>
      </c>
      <c r="N1905" s="1">
        <v>82</v>
      </c>
    </row>
    <row r="1906" spans="1:14" x14ac:dyDescent="0.25">
      <c r="A1906" t="str">
        <f t="shared" si="60"/>
        <v>U146446U146446</v>
      </c>
      <c r="B1906" t="str">
        <f t="shared" si="61"/>
        <v>U146446I6039KY-W</v>
      </c>
      <c r="C1906" s="27" t="s">
        <v>61</v>
      </c>
      <c r="D1906" s="27" t="s">
        <v>622</v>
      </c>
      <c r="E1906" s="1" t="s">
        <v>436</v>
      </c>
      <c r="F1906" s="1" t="s">
        <v>437</v>
      </c>
      <c r="G1906" s="1" t="s">
        <v>438</v>
      </c>
      <c r="H1906" s="1">
        <v>1350</v>
      </c>
      <c r="I1906" s="3">
        <v>46274</v>
      </c>
      <c r="J1906" s="3">
        <v>46287</v>
      </c>
      <c r="K1906" s="3" t="s">
        <v>2365</v>
      </c>
      <c r="L1906" s="31">
        <v>46274.644447106482</v>
      </c>
      <c r="M1906" s="33">
        <v>12</v>
      </c>
      <c r="N1906" s="1">
        <v>49</v>
      </c>
    </row>
    <row r="1907" spans="1:14" x14ac:dyDescent="0.25">
      <c r="A1907" t="str">
        <f t="shared" si="60"/>
        <v>U146446U146446</v>
      </c>
      <c r="B1907" t="str">
        <f t="shared" si="61"/>
        <v>U146446I6039KY-W</v>
      </c>
      <c r="C1907" s="27" t="s">
        <v>61</v>
      </c>
      <c r="D1907" s="27" t="s">
        <v>622</v>
      </c>
      <c r="E1907" s="1" t="s">
        <v>436</v>
      </c>
      <c r="F1907" s="1" t="s">
        <v>437</v>
      </c>
      <c r="G1907" s="1" t="s">
        <v>438</v>
      </c>
      <c r="H1907" s="1">
        <v>1350</v>
      </c>
      <c r="I1907" s="3">
        <v>46274</v>
      </c>
      <c r="J1907" s="3">
        <v>46287</v>
      </c>
      <c r="K1907" s="3" t="s">
        <v>2365</v>
      </c>
      <c r="L1907" s="31">
        <v>46274.644626620371</v>
      </c>
      <c r="M1907" s="33">
        <v>12</v>
      </c>
      <c r="N1907" s="1">
        <v>100</v>
      </c>
    </row>
    <row r="1908" spans="1:14" x14ac:dyDescent="0.25">
      <c r="A1908" t="str">
        <f t="shared" si="60"/>
        <v>U146477U146477</v>
      </c>
      <c r="B1908" t="str">
        <f t="shared" si="61"/>
        <v>U146477G6035F4-M</v>
      </c>
      <c r="C1908" s="27" t="s">
        <v>24</v>
      </c>
      <c r="D1908" s="27" t="s">
        <v>624</v>
      </c>
      <c r="E1908" s="1" t="s">
        <v>436</v>
      </c>
      <c r="F1908" s="1" t="s">
        <v>2282</v>
      </c>
      <c r="G1908" s="1" t="s">
        <v>438</v>
      </c>
      <c r="H1908" s="1">
        <v>2400</v>
      </c>
      <c r="I1908" s="3">
        <v>46274</v>
      </c>
      <c r="J1908" s="3">
        <v>46288</v>
      </c>
      <c r="L1908" s="31">
        <v>46274.456117824069</v>
      </c>
      <c r="M1908" s="33">
        <v>12</v>
      </c>
      <c r="N1908" s="1">
        <v>11</v>
      </c>
    </row>
    <row r="1909" spans="1:14" x14ac:dyDescent="0.25">
      <c r="A1909" t="str">
        <f t="shared" si="60"/>
        <v>U146477U146477</v>
      </c>
      <c r="B1909" t="str">
        <f t="shared" si="61"/>
        <v>U146477G6035F4-M</v>
      </c>
      <c r="C1909" s="27" t="s">
        <v>24</v>
      </c>
      <c r="D1909" s="27" t="s">
        <v>624</v>
      </c>
      <c r="E1909" s="1" t="s">
        <v>436</v>
      </c>
      <c r="F1909" s="1" t="s">
        <v>2282</v>
      </c>
      <c r="G1909" s="1" t="s">
        <v>438</v>
      </c>
      <c r="H1909" s="1">
        <v>2400</v>
      </c>
      <c r="I1909" s="3">
        <v>46274</v>
      </c>
      <c r="J1909" s="3">
        <v>46288</v>
      </c>
      <c r="L1909" s="31">
        <v>46274.456284872686</v>
      </c>
      <c r="M1909" s="33">
        <v>12</v>
      </c>
      <c r="N1909" s="1">
        <v>90</v>
      </c>
    </row>
    <row r="1910" spans="1:14" x14ac:dyDescent="0.25">
      <c r="A1910" t="str">
        <f t="shared" si="60"/>
        <v>U146477U146477</v>
      </c>
      <c r="B1910" t="str">
        <f t="shared" si="61"/>
        <v>U146477G6035F4-M</v>
      </c>
      <c r="C1910" s="27" t="s">
        <v>24</v>
      </c>
      <c r="D1910" s="27" t="s">
        <v>624</v>
      </c>
      <c r="E1910" s="1" t="s">
        <v>436</v>
      </c>
      <c r="F1910" s="1" t="s">
        <v>2282</v>
      </c>
      <c r="G1910" s="1" t="s">
        <v>438</v>
      </c>
      <c r="H1910" s="1">
        <v>2400</v>
      </c>
      <c r="I1910" s="3">
        <v>46274</v>
      </c>
      <c r="J1910" s="3">
        <v>46288</v>
      </c>
      <c r="L1910" s="31">
        <v>46274.476483796294</v>
      </c>
      <c r="M1910" s="33">
        <v>12</v>
      </c>
      <c r="N1910" s="1">
        <v>59</v>
      </c>
    </row>
    <row r="1911" spans="1:14" x14ac:dyDescent="0.25">
      <c r="A1911" t="str">
        <f t="shared" si="60"/>
        <v>U146477U146477</v>
      </c>
      <c r="B1911" t="str">
        <f t="shared" si="61"/>
        <v>U146477G6035F4-M</v>
      </c>
      <c r="C1911" s="27" t="s">
        <v>24</v>
      </c>
      <c r="D1911" s="27" t="s">
        <v>624</v>
      </c>
      <c r="E1911" s="1" t="s">
        <v>436</v>
      </c>
      <c r="F1911" s="1" t="s">
        <v>2282</v>
      </c>
      <c r="G1911" s="1" t="s">
        <v>438</v>
      </c>
      <c r="H1911" s="1">
        <v>2400</v>
      </c>
      <c r="I1911" s="3">
        <v>46274</v>
      </c>
      <c r="J1911" s="3">
        <v>46288</v>
      </c>
      <c r="L1911" s="31">
        <v>46274.476675381942</v>
      </c>
      <c r="M1911" s="33">
        <v>12</v>
      </c>
      <c r="N1911" s="1">
        <v>36</v>
      </c>
    </row>
    <row r="1912" spans="1:14" x14ac:dyDescent="0.25">
      <c r="A1912" t="str">
        <f t="shared" si="60"/>
        <v>U146477U146477</v>
      </c>
      <c r="B1912" t="str">
        <f t="shared" si="61"/>
        <v>U146477G6035F4-M</v>
      </c>
      <c r="C1912" s="27" t="s">
        <v>24</v>
      </c>
      <c r="D1912" s="27" t="s">
        <v>624</v>
      </c>
      <c r="E1912" s="1" t="s">
        <v>436</v>
      </c>
      <c r="F1912" s="1" t="s">
        <v>2282</v>
      </c>
      <c r="G1912" s="1" t="s">
        <v>438</v>
      </c>
      <c r="H1912" s="1">
        <v>2400</v>
      </c>
      <c r="I1912" s="3">
        <v>46274</v>
      </c>
      <c r="J1912" s="3">
        <v>46288</v>
      </c>
      <c r="L1912" s="31">
        <v>46274.481935219905</v>
      </c>
      <c r="M1912" s="33">
        <v>12</v>
      </c>
      <c r="N1912" s="1">
        <v>37</v>
      </c>
    </row>
    <row r="1913" spans="1:14" x14ac:dyDescent="0.25">
      <c r="A1913" t="str">
        <f t="shared" si="60"/>
        <v>U146477U146477</v>
      </c>
      <c r="B1913" t="str">
        <f t="shared" si="61"/>
        <v>U146477G6035F4-M</v>
      </c>
      <c r="C1913" s="27" t="s">
        <v>24</v>
      </c>
      <c r="D1913" s="27" t="s">
        <v>624</v>
      </c>
      <c r="E1913" s="1" t="s">
        <v>436</v>
      </c>
      <c r="F1913" s="1" t="s">
        <v>2282</v>
      </c>
      <c r="G1913" s="1" t="s">
        <v>438</v>
      </c>
      <c r="H1913" s="1">
        <v>2400</v>
      </c>
      <c r="I1913" s="3">
        <v>46274</v>
      </c>
      <c r="J1913" s="3">
        <v>46288</v>
      </c>
      <c r="L1913" s="31">
        <v>46274.482143981477</v>
      </c>
      <c r="M1913" s="33">
        <v>12</v>
      </c>
      <c r="N1913" s="1">
        <v>60</v>
      </c>
    </row>
    <row r="1914" spans="1:14" x14ac:dyDescent="0.25">
      <c r="A1914" t="str">
        <f t="shared" si="60"/>
        <v>U146477U146477</v>
      </c>
      <c r="B1914" t="str">
        <f t="shared" si="61"/>
        <v>U146477G6035F4-M</v>
      </c>
      <c r="C1914" s="27" t="s">
        <v>24</v>
      </c>
      <c r="D1914" s="27" t="s">
        <v>624</v>
      </c>
      <c r="E1914" s="1" t="s">
        <v>436</v>
      </c>
      <c r="F1914" s="1" t="s">
        <v>2282</v>
      </c>
      <c r="G1914" s="1" t="s">
        <v>438</v>
      </c>
      <c r="H1914" s="1">
        <v>2400</v>
      </c>
      <c r="I1914" s="3">
        <v>46274</v>
      </c>
      <c r="J1914" s="3">
        <v>46288</v>
      </c>
      <c r="L1914" s="31">
        <v>46274.483186840276</v>
      </c>
      <c r="M1914" s="33">
        <v>12</v>
      </c>
      <c r="N1914" s="1">
        <v>91</v>
      </c>
    </row>
    <row r="1915" spans="1:14" x14ac:dyDescent="0.25">
      <c r="A1915" t="str">
        <f t="shared" si="60"/>
        <v>U146477U146477</v>
      </c>
      <c r="B1915" t="str">
        <f t="shared" si="61"/>
        <v>U146477G6035F4-M</v>
      </c>
      <c r="C1915" s="27" t="s">
        <v>24</v>
      </c>
      <c r="D1915" s="27" t="s">
        <v>624</v>
      </c>
      <c r="E1915" s="1" t="s">
        <v>436</v>
      </c>
      <c r="F1915" s="1" t="s">
        <v>2282</v>
      </c>
      <c r="G1915" s="1" t="s">
        <v>438</v>
      </c>
      <c r="H1915" s="1">
        <v>2400</v>
      </c>
      <c r="I1915" s="3">
        <v>46274</v>
      </c>
      <c r="J1915" s="3">
        <v>46288</v>
      </c>
      <c r="L1915" s="31">
        <v>46274.567137002312</v>
      </c>
      <c r="M1915" s="33">
        <v>12</v>
      </c>
      <c r="N1915" s="1">
        <v>61</v>
      </c>
    </row>
    <row r="1916" spans="1:14" x14ac:dyDescent="0.25">
      <c r="A1916" t="str">
        <f t="shared" si="60"/>
        <v>U146477U146477</v>
      </c>
      <c r="B1916" t="str">
        <f t="shared" si="61"/>
        <v>U146477G6035F4-M</v>
      </c>
      <c r="C1916" s="27" t="s">
        <v>24</v>
      </c>
      <c r="D1916" s="27" t="s">
        <v>624</v>
      </c>
      <c r="E1916" s="1" t="s">
        <v>436</v>
      </c>
      <c r="F1916" s="1" t="s">
        <v>2282</v>
      </c>
      <c r="G1916" s="1" t="s">
        <v>438</v>
      </c>
      <c r="H1916" s="1">
        <v>2400</v>
      </c>
      <c r="I1916" s="3">
        <v>46274</v>
      </c>
      <c r="J1916" s="3">
        <v>46288</v>
      </c>
      <c r="L1916" s="31">
        <v>46274.569862418983</v>
      </c>
      <c r="M1916" s="33">
        <v>12</v>
      </c>
      <c r="N1916" s="1">
        <v>39</v>
      </c>
    </row>
    <row r="1917" spans="1:14" x14ac:dyDescent="0.25">
      <c r="A1917" t="str">
        <f t="shared" si="60"/>
        <v>U146477U146477</v>
      </c>
      <c r="B1917" t="str">
        <f t="shared" si="61"/>
        <v>U146477G6035F4-M</v>
      </c>
      <c r="C1917" s="27" t="s">
        <v>24</v>
      </c>
      <c r="D1917" s="27" t="s">
        <v>624</v>
      </c>
      <c r="E1917" s="1" t="s">
        <v>436</v>
      </c>
      <c r="F1917" s="1" t="s">
        <v>2282</v>
      </c>
      <c r="G1917" s="1" t="s">
        <v>438</v>
      </c>
      <c r="H1917" s="1">
        <v>2400</v>
      </c>
      <c r="I1917" s="3">
        <v>46274</v>
      </c>
      <c r="J1917" s="3">
        <v>46288</v>
      </c>
      <c r="L1917" s="31">
        <v>46274.577923032404</v>
      </c>
      <c r="M1917" s="33">
        <v>12</v>
      </c>
      <c r="N1917" s="1">
        <v>92</v>
      </c>
    </row>
    <row r="1918" spans="1:14" x14ac:dyDescent="0.25">
      <c r="A1918" t="str">
        <f t="shared" si="60"/>
        <v>U146477U146477</v>
      </c>
      <c r="B1918" t="str">
        <f t="shared" si="61"/>
        <v>U146477G6035F4-M</v>
      </c>
      <c r="C1918" s="27" t="s">
        <v>24</v>
      </c>
      <c r="D1918" s="27" t="s">
        <v>624</v>
      </c>
      <c r="E1918" s="1" t="s">
        <v>436</v>
      </c>
      <c r="F1918" s="1" t="s">
        <v>2282</v>
      </c>
      <c r="G1918" s="1" t="s">
        <v>438</v>
      </c>
      <c r="H1918" s="1">
        <v>2400</v>
      </c>
      <c r="I1918" s="3">
        <v>46274</v>
      </c>
      <c r="J1918" s="3">
        <v>46288</v>
      </c>
      <c r="L1918" s="31">
        <v>46274.578063773144</v>
      </c>
      <c r="M1918" s="33">
        <v>12</v>
      </c>
      <c r="N1918" s="1">
        <v>12</v>
      </c>
    </row>
    <row r="1919" spans="1:14" x14ac:dyDescent="0.25">
      <c r="A1919" t="str">
        <f t="shared" si="60"/>
        <v>U146477U146477</v>
      </c>
      <c r="B1919" t="str">
        <f t="shared" si="61"/>
        <v>U146477G6035F4-M</v>
      </c>
      <c r="C1919" s="27" t="s">
        <v>24</v>
      </c>
      <c r="D1919" s="27" t="s">
        <v>624</v>
      </c>
      <c r="E1919" s="1" t="s">
        <v>436</v>
      </c>
      <c r="F1919" s="1" t="s">
        <v>2282</v>
      </c>
      <c r="G1919" s="1" t="s">
        <v>438</v>
      </c>
      <c r="H1919" s="1">
        <v>2400</v>
      </c>
      <c r="I1919" s="3">
        <v>46274</v>
      </c>
      <c r="J1919" s="3">
        <v>46288</v>
      </c>
      <c r="L1919" s="31">
        <v>46274.579928900464</v>
      </c>
      <c r="M1919" s="33">
        <v>12</v>
      </c>
      <c r="N1919" s="1">
        <v>93</v>
      </c>
    </row>
    <row r="1920" spans="1:14" x14ac:dyDescent="0.25">
      <c r="A1920" t="str">
        <f t="shared" si="60"/>
        <v>U146477U146477</v>
      </c>
      <c r="B1920" t="str">
        <f t="shared" si="61"/>
        <v>U146477G6035F4-M</v>
      </c>
      <c r="C1920" s="27" t="s">
        <v>24</v>
      </c>
      <c r="D1920" s="27" t="s">
        <v>624</v>
      </c>
      <c r="E1920" s="1" t="s">
        <v>436</v>
      </c>
      <c r="F1920" s="1" t="s">
        <v>2282</v>
      </c>
      <c r="G1920" s="1" t="s">
        <v>438</v>
      </c>
      <c r="H1920" s="1">
        <v>2400</v>
      </c>
      <c r="I1920" s="3">
        <v>46274</v>
      </c>
      <c r="J1920" s="3">
        <v>46288</v>
      </c>
      <c r="L1920" s="31">
        <v>46274.580100844905</v>
      </c>
      <c r="M1920" s="33">
        <v>12</v>
      </c>
      <c r="N1920" s="1">
        <v>38</v>
      </c>
    </row>
    <row r="1921" spans="1:14" x14ac:dyDescent="0.25">
      <c r="A1921" t="str">
        <f t="shared" si="60"/>
        <v>U146477U146477</v>
      </c>
      <c r="B1921" t="str">
        <f t="shared" si="61"/>
        <v>U146477G6035F4-M</v>
      </c>
      <c r="C1921" s="27" t="s">
        <v>24</v>
      </c>
      <c r="D1921" s="27" t="s">
        <v>624</v>
      </c>
      <c r="E1921" s="1" t="s">
        <v>436</v>
      </c>
      <c r="F1921" s="1" t="s">
        <v>2282</v>
      </c>
      <c r="G1921" s="1" t="s">
        <v>438</v>
      </c>
      <c r="H1921" s="1">
        <v>2400</v>
      </c>
      <c r="I1921" s="3">
        <v>46274</v>
      </c>
      <c r="J1921" s="3">
        <v>46288</v>
      </c>
      <c r="L1921" s="31">
        <v>46274.582321099537</v>
      </c>
      <c r="M1921" s="33">
        <v>12</v>
      </c>
      <c r="N1921" s="1">
        <v>14</v>
      </c>
    </row>
    <row r="1922" spans="1:14" x14ac:dyDescent="0.25">
      <c r="A1922" t="str">
        <f t="shared" ref="A1922:A1985" si="62">+D1922&amp;D1922</f>
        <v>U146477U146477</v>
      </c>
      <c r="B1922" t="str">
        <f t="shared" ref="B1922:B1985" si="63">+D1922&amp;C1922</f>
        <v>U146477G6035F4-M</v>
      </c>
      <c r="C1922" s="27" t="s">
        <v>24</v>
      </c>
      <c r="D1922" s="27" t="s">
        <v>624</v>
      </c>
      <c r="E1922" s="1" t="s">
        <v>436</v>
      </c>
      <c r="F1922" s="1" t="s">
        <v>2282</v>
      </c>
      <c r="G1922" s="1" t="s">
        <v>438</v>
      </c>
      <c r="H1922" s="1">
        <v>2400</v>
      </c>
      <c r="I1922" s="3">
        <v>46274</v>
      </c>
      <c r="J1922" s="3">
        <v>46288</v>
      </c>
      <c r="L1922" s="31">
        <v>46274.582563854165</v>
      </c>
      <c r="M1922" s="33">
        <v>12</v>
      </c>
      <c r="N1922" s="1">
        <v>1</v>
      </c>
    </row>
    <row r="1923" spans="1:14" x14ac:dyDescent="0.25">
      <c r="A1923" t="str">
        <f t="shared" si="62"/>
        <v>U146477U146477</v>
      </c>
      <c r="B1923" t="str">
        <f t="shared" si="63"/>
        <v>U146477G6035F4-M</v>
      </c>
      <c r="C1923" s="27" t="s">
        <v>24</v>
      </c>
      <c r="D1923" s="27" t="s">
        <v>624</v>
      </c>
      <c r="E1923" s="1" t="s">
        <v>436</v>
      </c>
      <c r="F1923" s="1" t="s">
        <v>2282</v>
      </c>
      <c r="G1923" s="1" t="s">
        <v>438</v>
      </c>
      <c r="H1923" s="1">
        <v>2400</v>
      </c>
      <c r="I1923" s="3">
        <v>46274</v>
      </c>
      <c r="J1923" s="3">
        <v>46288</v>
      </c>
      <c r="L1923" s="31">
        <v>46274.590344131946</v>
      </c>
      <c r="M1923" s="33">
        <v>12</v>
      </c>
      <c r="N1923" s="1">
        <v>2</v>
      </c>
    </row>
    <row r="1924" spans="1:14" x14ac:dyDescent="0.25">
      <c r="A1924" t="str">
        <f t="shared" si="62"/>
        <v>U146477U146477</v>
      </c>
      <c r="B1924" t="str">
        <f t="shared" si="63"/>
        <v>U146477G6035F4-M</v>
      </c>
      <c r="C1924" s="27" t="s">
        <v>24</v>
      </c>
      <c r="D1924" s="27" t="s">
        <v>624</v>
      </c>
      <c r="E1924" s="1" t="s">
        <v>436</v>
      </c>
      <c r="F1924" s="1" t="s">
        <v>2282</v>
      </c>
      <c r="G1924" s="1" t="s">
        <v>438</v>
      </c>
      <c r="H1924" s="1">
        <v>2400</v>
      </c>
      <c r="I1924" s="3">
        <v>46274</v>
      </c>
      <c r="J1924" s="3">
        <v>46288</v>
      </c>
      <c r="L1924" s="31">
        <v>46274.591342361113</v>
      </c>
      <c r="M1924" s="33">
        <v>12</v>
      </c>
      <c r="N1924" s="1">
        <v>13</v>
      </c>
    </row>
    <row r="1925" spans="1:14" x14ac:dyDescent="0.25">
      <c r="A1925" t="str">
        <f t="shared" si="62"/>
        <v>U146477U146477</v>
      </c>
      <c r="B1925" t="str">
        <f t="shared" si="63"/>
        <v>U146477G6035F4-M</v>
      </c>
      <c r="C1925" s="27" t="s">
        <v>24</v>
      </c>
      <c r="D1925" s="27" t="s">
        <v>624</v>
      </c>
      <c r="E1925" s="1" t="s">
        <v>436</v>
      </c>
      <c r="F1925" s="1" t="s">
        <v>2282</v>
      </c>
      <c r="G1925" s="1" t="s">
        <v>438</v>
      </c>
      <c r="H1925" s="1">
        <v>2400</v>
      </c>
      <c r="I1925" s="3">
        <v>46274</v>
      </c>
      <c r="J1925" s="3">
        <v>46288</v>
      </c>
      <c r="L1925" s="31">
        <v>46274.594431909718</v>
      </c>
      <c r="M1925" s="33">
        <v>12</v>
      </c>
      <c r="N1925" s="1">
        <v>62</v>
      </c>
    </row>
    <row r="1926" spans="1:14" x14ac:dyDescent="0.25">
      <c r="A1926" t="str">
        <f t="shared" si="62"/>
        <v>U146477U146477</v>
      </c>
      <c r="B1926" t="str">
        <f t="shared" si="63"/>
        <v>U146477G6035F4-M</v>
      </c>
      <c r="C1926" s="27" t="s">
        <v>24</v>
      </c>
      <c r="D1926" s="27" t="s">
        <v>624</v>
      </c>
      <c r="E1926" s="1" t="s">
        <v>436</v>
      </c>
      <c r="F1926" s="1" t="s">
        <v>2282</v>
      </c>
      <c r="G1926" s="1" t="s">
        <v>438</v>
      </c>
      <c r="H1926" s="1">
        <v>2400</v>
      </c>
      <c r="I1926" s="3">
        <v>46274</v>
      </c>
      <c r="J1926" s="3">
        <v>46288</v>
      </c>
      <c r="L1926" s="31">
        <v>46274.61598657407</v>
      </c>
      <c r="M1926" s="33">
        <v>12</v>
      </c>
      <c r="N1926" s="1">
        <v>40</v>
      </c>
    </row>
    <row r="1927" spans="1:14" x14ac:dyDescent="0.25">
      <c r="A1927" t="str">
        <f t="shared" si="62"/>
        <v>U146477U146477</v>
      </c>
      <c r="B1927" t="str">
        <f t="shared" si="63"/>
        <v>U146477G6035F4-M</v>
      </c>
      <c r="C1927" s="27" t="s">
        <v>24</v>
      </c>
      <c r="D1927" s="27" t="s">
        <v>624</v>
      </c>
      <c r="E1927" s="1" t="s">
        <v>436</v>
      </c>
      <c r="F1927" s="1" t="s">
        <v>2282</v>
      </c>
      <c r="G1927" s="1" t="s">
        <v>438</v>
      </c>
      <c r="H1927" s="1">
        <v>2400</v>
      </c>
      <c r="I1927" s="3">
        <v>46274</v>
      </c>
      <c r="J1927" s="3">
        <v>46288</v>
      </c>
      <c r="L1927" s="31">
        <v>46274.623541666668</v>
      </c>
      <c r="M1927" s="33">
        <v>12</v>
      </c>
      <c r="N1927" s="1">
        <v>94</v>
      </c>
    </row>
    <row r="1928" spans="1:14" x14ac:dyDescent="0.25">
      <c r="A1928" t="str">
        <f t="shared" si="62"/>
        <v>U146477U146477</v>
      </c>
      <c r="B1928" t="str">
        <f t="shared" si="63"/>
        <v>U146477G6035F4-M</v>
      </c>
      <c r="C1928" s="27" t="s">
        <v>24</v>
      </c>
      <c r="D1928" s="27" t="s">
        <v>624</v>
      </c>
      <c r="E1928" s="1" t="s">
        <v>436</v>
      </c>
      <c r="F1928" s="1" t="s">
        <v>2282</v>
      </c>
      <c r="G1928" s="1" t="s">
        <v>438</v>
      </c>
      <c r="H1928" s="1">
        <v>2400</v>
      </c>
      <c r="I1928" s="3">
        <v>46274</v>
      </c>
      <c r="J1928" s="3">
        <v>46288</v>
      </c>
      <c r="L1928" s="31">
        <v>46274.625320601852</v>
      </c>
      <c r="M1928" s="33">
        <v>12</v>
      </c>
      <c r="N1928" s="1">
        <v>119</v>
      </c>
    </row>
    <row r="1929" spans="1:14" x14ac:dyDescent="0.25">
      <c r="A1929" t="str">
        <f t="shared" si="62"/>
        <v>U146477U146477</v>
      </c>
      <c r="B1929" t="str">
        <f t="shared" si="63"/>
        <v>U146477G6035F4-M</v>
      </c>
      <c r="C1929" s="27" t="s">
        <v>24</v>
      </c>
      <c r="D1929" s="27" t="s">
        <v>624</v>
      </c>
      <c r="E1929" s="1" t="s">
        <v>436</v>
      </c>
      <c r="F1929" s="1" t="s">
        <v>2282</v>
      </c>
      <c r="G1929" s="1" t="s">
        <v>438</v>
      </c>
      <c r="H1929" s="1">
        <v>2400</v>
      </c>
      <c r="I1929" s="3">
        <v>46274</v>
      </c>
      <c r="J1929" s="3">
        <v>46288</v>
      </c>
      <c r="L1929" s="31">
        <v>46274.625573229168</v>
      </c>
      <c r="M1929" s="33">
        <v>12</v>
      </c>
      <c r="N1929" s="1">
        <v>15</v>
      </c>
    </row>
    <row r="1930" spans="1:14" x14ac:dyDescent="0.25">
      <c r="A1930" t="str">
        <f t="shared" si="62"/>
        <v>U146477U146477</v>
      </c>
      <c r="B1930" t="str">
        <f t="shared" si="63"/>
        <v>U146477G6035F4-M</v>
      </c>
      <c r="C1930" s="27" t="s">
        <v>24</v>
      </c>
      <c r="D1930" s="27" t="s">
        <v>624</v>
      </c>
      <c r="E1930" s="1" t="s">
        <v>436</v>
      </c>
      <c r="F1930" s="1" t="s">
        <v>2282</v>
      </c>
      <c r="G1930" s="1" t="s">
        <v>438</v>
      </c>
      <c r="H1930" s="1">
        <v>2400</v>
      </c>
      <c r="I1930" s="3">
        <v>46274</v>
      </c>
      <c r="J1930" s="3">
        <v>46288</v>
      </c>
      <c r="L1930" s="31">
        <v>46274.625759872681</v>
      </c>
      <c r="M1930" s="33">
        <v>12</v>
      </c>
      <c r="N1930" s="1">
        <v>63</v>
      </c>
    </row>
    <row r="1931" spans="1:14" x14ac:dyDescent="0.25">
      <c r="A1931" t="str">
        <f t="shared" si="62"/>
        <v>U146477U146477</v>
      </c>
      <c r="B1931" t="str">
        <f t="shared" si="63"/>
        <v>U146477G6035F4-M</v>
      </c>
      <c r="C1931" s="27" t="s">
        <v>24</v>
      </c>
      <c r="D1931" s="27" t="s">
        <v>624</v>
      </c>
      <c r="E1931" s="1" t="s">
        <v>436</v>
      </c>
      <c r="F1931" s="1" t="s">
        <v>2282</v>
      </c>
      <c r="G1931" s="1" t="s">
        <v>438</v>
      </c>
      <c r="H1931" s="1">
        <v>2400</v>
      </c>
      <c r="I1931" s="3">
        <v>46274</v>
      </c>
      <c r="J1931" s="3">
        <v>46288</v>
      </c>
      <c r="L1931" s="31">
        <v>46274.641378587963</v>
      </c>
      <c r="M1931" s="33">
        <v>12</v>
      </c>
      <c r="N1931" s="1">
        <v>64</v>
      </c>
    </row>
    <row r="1932" spans="1:14" x14ac:dyDescent="0.25">
      <c r="A1932" t="str">
        <f t="shared" si="62"/>
        <v>U146477U146477</v>
      </c>
      <c r="B1932" t="str">
        <f t="shared" si="63"/>
        <v>U146477G6035F4-M</v>
      </c>
      <c r="C1932" s="27" t="s">
        <v>24</v>
      </c>
      <c r="D1932" s="27" t="s">
        <v>624</v>
      </c>
      <c r="E1932" s="1" t="s">
        <v>436</v>
      </c>
      <c r="F1932" s="1" t="s">
        <v>2282</v>
      </c>
      <c r="G1932" s="1" t="s">
        <v>438</v>
      </c>
      <c r="H1932" s="1">
        <v>2400</v>
      </c>
      <c r="I1932" s="3">
        <v>46274</v>
      </c>
      <c r="J1932" s="3">
        <v>46288</v>
      </c>
      <c r="L1932" s="31">
        <v>46274.642028321759</v>
      </c>
      <c r="M1932" s="33">
        <v>12</v>
      </c>
      <c r="N1932" s="1">
        <v>150</v>
      </c>
    </row>
    <row r="1933" spans="1:14" x14ac:dyDescent="0.25">
      <c r="A1933" t="str">
        <f t="shared" si="62"/>
        <v>U146477U146477</v>
      </c>
      <c r="B1933" t="str">
        <f t="shared" si="63"/>
        <v>U146477G6035F4-M</v>
      </c>
      <c r="C1933" s="27" t="s">
        <v>24</v>
      </c>
      <c r="D1933" s="27" t="s">
        <v>624</v>
      </c>
      <c r="E1933" s="1" t="s">
        <v>436</v>
      </c>
      <c r="F1933" s="1" t="s">
        <v>2282</v>
      </c>
      <c r="G1933" s="1" t="s">
        <v>438</v>
      </c>
      <c r="H1933" s="1">
        <v>2400</v>
      </c>
      <c r="I1933" s="3">
        <v>46274</v>
      </c>
      <c r="J1933" s="3">
        <v>46288</v>
      </c>
      <c r="L1933" s="31">
        <v>46274.686106365742</v>
      </c>
      <c r="M1933" s="33">
        <v>12</v>
      </c>
      <c r="N1933" s="1">
        <v>3</v>
      </c>
    </row>
    <row r="1934" spans="1:14" x14ac:dyDescent="0.25">
      <c r="A1934" t="str">
        <f t="shared" si="62"/>
        <v>U146477U146477</v>
      </c>
      <c r="B1934" t="str">
        <f t="shared" si="63"/>
        <v>U146477G6035F4-M</v>
      </c>
      <c r="C1934" s="27" t="s">
        <v>24</v>
      </c>
      <c r="D1934" s="27" t="s">
        <v>624</v>
      </c>
      <c r="E1934" s="1" t="s">
        <v>436</v>
      </c>
      <c r="F1934" s="1" t="s">
        <v>2282</v>
      </c>
      <c r="G1934" s="1" t="s">
        <v>438</v>
      </c>
      <c r="H1934" s="1">
        <v>2400</v>
      </c>
      <c r="I1934" s="3">
        <v>46274</v>
      </c>
      <c r="J1934" s="3">
        <v>46288</v>
      </c>
      <c r="L1934" s="31">
        <v>46274.686397835649</v>
      </c>
      <c r="M1934" s="33">
        <v>12</v>
      </c>
      <c r="N1934" s="1">
        <v>95</v>
      </c>
    </row>
    <row r="1935" spans="1:14" x14ac:dyDescent="0.25">
      <c r="A1935" t="str">
        <f t="shared" si="62"/>
        <v>U146477U146477</v>
      </c>
      <c r="B1935" t="str">
        <f t="shared" si="63"/>
        <v>U146477G6035F4-M</v>
      </c>
      <c r="C1935" s="27" t="s">
        <v>24</v>
      </c>
      <c r="D1935" s="27" t="s">
        <v>624</v>
      </c>
      <c r="E1935" s="1" t="s">
        <v>436</v>
      </c>
      <c r="F1935" s="1" t="s">
        <v>2282</v>
      </c>
      <c r="G1935" s="1" t="s">
        <v>438</v>
      </c>
      <c r="H1935" s="1">
        <v>2400</v>
      </c>
      <c r="I1935" s="3">
        <v>46274</v>
      </c>
      <c r="J1935" s="3">
        <v>46288</v>
      </c>
      <c r="L1935" s="31">
        <v>46274.686586192125</v>
      </c>
      <c r="M1935" s="33">
        <v>12</v>
      </c>
      <c r="N1935" s="1">
        <v>152</v>
      </c>
    </row>
    <row r="1936" spans="1:14" x14ac:dyDescent="0.25">
      <c r="A1936" t="str">
        <f t="shared" si="62"/>
        <v>U146477U146477</v>
      </c>
      <c r="B1936" t="str">
        <f t="shared" si="63"/>
        <v>U146477G6035F4-M</v>
      </c>
      <c r="C1936" s="27" t="s">
        <v>24</v>
      </c>
      <c r="D1936" s="27" t="s">
        <v>624</v>
      </c>
      <c r="E1936" s="1" t="s">
        <v>436</v>
      </c>
      <c r="F1936" s="1" t="s">
        <v>2282</v>
      </c>
      <c r="G1936" s="1" t="s">
        <v>438</v>
      </c>
      <c r="H1936" s="1">
        <v>2400</v>
      </c>
      <c r="I1936" s="3">
        <v>46274</v>
      </c>
      <c r="J1936" s="3">
        <v>46288</v>
      </c>
      <c r="L1936" s="31">
        <v>46274.686793402776</v>
      </c>
      <c r="M1936" s="33">
        <v>12</v>
      </c>
      <c r="N1936" s="1">
        <v>121</v>
      </c>
    </row>
    <row r="1937" spans="1:14" x14ac:dyDescent="0.25">
      <c r="A1937" t="str">
        <f t="shared" si="62"/>
        <v>U146477U146477</v>
      </c>
      <c r="B1937" t="str">
        <f t="shared" si="63"/>
        <v>U146477G6035F4-M</v>
      </c>
      <c r="C1937" s="27" t="s">
        <v>24</v>
      </c>
      <c r="D1937" s="27" t="s">
        <v>624</v>
      </c>
      <c r="E1937" s="1" t="s">
        <v>436</v>
      </c>
      <c r="F1937" s="1" t="s">
        <v>2282</v>
      </c>
      <c r="G1937" s="1" t="s">
        <v>438</v>
      </c>
      <c r="H1937" s="1">
        <v>2400</v>
      </c>
      <c r="I1937" s="3">
        <v>46274</v>
      </c>
      <c r="J1937" s="3">
        <v>46288</v>
      </c>
      <c r="L1937" s="31">
        <v>46274.686999386569</v>
      </c>
      <c r="M1937" s="33">
        <v>12</v>
      </c>
      <c r="N1937" s="1">
        <v>120</v>
      </c>
    </row>
    <row r="1938" spans="1:14" x14ac:dyDescent="0.25">
      <c r="A1938" t="str">
        <f t="shared" si="62"/>
        <v>U146477U146477</v>
      </c>
      <c r="B1938" t="str">
        <f t="shared" si="63"/>
        <v>U146477G6035F4-M</v>
      </c>
      <c r="C1938" s="27" t="s">
        <v>24</v>
      </c>
      <c r="D1938" s="27" t="s">
        <v>624</v>
      </c>
      <c r="E1938" s="1" t="s">
        <v>436</v>
      </c>
      <c r="F1938" s="1" t="s">
        <v>2282</v>
      </c>
      <c r="G1938" s="1" t="s">
        <v>438</v>
      </c>
      <c r="H1938" s="1">
        <v>2400</v>
      </c>
      <c r="I1938" s="3">
        <v>46274</v>
      </c>
      <c r="J1938" s="3">
        <v>46288</v>
      </c>
      <c r="L1938" s="31">
        <v>46274.687299537036</v>
      </c>
      <c r="M1938" s="33">
        <v>12</v>
      </c>
      <c r="N1938" s="1">
        <v>173</v>
      </c>
    </row>
    <row r="1939" spans="1:14" x14ac:dyDescent="0.25">
      <c r="A1939" t="str">
        <f t="shared" si="62"/>
        <v>U146477U146477</v>
      </c>
      <c r="B1939" t="str">
        <f t="shared" si="63"/>
        <v>U146477G6035F4-M</v>
      </c>
      <c r="C1939" s="27" t="s">
        <v>24</v>
      </c>
      <c r="D1939" s="27" t="s">
        <v>624</v>
      </c>
      <c r="E1939" s="1" t="s">
        <v>436</v>
      </c>
      <c r="F1939" s="1" t="s">
        <v>2282</v>
      </c>
      <c r="G1939" s="1" t="s">
        <v>438</v>
      </c>
      <c r="H1939" s="1">
        <v>2400</v>
      </c>
      <c r="I1939" s="3">
        <v>46274</v>
      </c>
      <c r="J1939" s="3">
        <v>46288</v>
      </c>
      <c r="L1939" s="31">
        <v>46274.689335300922</v>
      </c>
      <c r="M1939" s="33">
        <v>12</v>
      </c>
      <c r="N1939" s="1">
        <v>65</v>
      </c>
    </row>
    <row r="1940" spans="1:14" x14ac:dyDescent="0.25">
      <c r="A1940" t="str">
        <f t="shared" si="62"/>
        <v>U146477U146477</v>
      </c>
      <c r="B1940" t="str">
        <f t="shared" si="63"/>
        <v>U146477G6035F4-M</v>
      </c>
      <c r="C1940" s="27" t="s">
        <v>24</v>
      </c>
      <c r="D1940" s="27" t="s">
        <v>624</v>
      </c>
      <c r="E1940" s="1" t="s">
        <v>436</v>
      </c>
      <c r="F1940" s="1" t="s">
        <v>2282</v>
      </c>
      <c r="G1940" s="1" t="s">
        <v>438</v>
      </c>
      <c r="H1940" s="1">
        <v>2400</v>
      </c>
      <c r="I1940" s="3">
        <v>46274</v>
      </c>
      <c r="J1940" s="3">
        <v>46288</v>
      </c>
      <c r="L1940" s="31">
        <v>46274.697847800926</v>
      </c>
      <c r="M1940" s="33">
        <v>12</v>
      </c>
      <c r="N1940" s="1">
        <v>151</v>
      </c>
    </row>
    <row r="1941" spans="1:14" x14ac:dyDescent="0.25">
      <c r="A1941" t="str">
        <f t="shared" si="62"/>
        <v>U146477U146477</v>
      </c>
      <c r="B1941" t="str">
        <f t="shared" si="63"/>
        <v>U146477G6035F4-M</v>
      </c>
      <c r="C1941" s="27" t="s">
        <v>24</v>
      </c>
      <c r="D1941" s="27" t="s">
        <v>624</v>
      </c>
      <c r="E1941" s="1" t="s">
        <v>436</v>
      </c>
      <c r="F1941" s="1" t="s">
        <v>2282</v>
      </c>
      <c r="G1941" s="1" t="s">
        <v>438</v>
      </c>
      <c r="H1941" s="1">
        <v>2400</v>
      </c>
      <c r="I1941" s="3">
        <v>46274</v>
      </c>
      <c r="J1941" s="3">
        <v>46288</v>
      </c>
      <c r="L1941" s="31">
        <v>46274.700375266199</v>
      </c>
      <c r="M1941" s="33">
        <v>12</v>
      </c>
      <c r="N1941" s="1">
        <v>41</v>
      </c>
    </row>
    <row r="1942" spans="1:14" x14ac:dyDescent="0.25">
      <c r="A1942" t="str">
        <f t="shared" si="62"/>
        <v>U146477U146477</v>
      </c>
      <c r="B1942" t="str">
        <f t="shared" si="63"/>
        <v>U146477G6035F4-M</v>
      </c>
      <c r="C1942" s="27" t="s">
        <v>24</v>
      </c>
      <c r="D1942" s="27" t="s">
        <v>624</v>
      </c>
      <c r="E1942" s="1" t="s">
        <v>436</v>
      </c>
      <c r="F1942" s="1" t="s">
        <v>2282</v>
      </c>
      <c r="G1942" s="1" t="s">
        <v>438</v>
      </c>
      <c r="H1942" s="1">
        <v>2400</v>
      </c>
      <c r="I1942" s="3">
        <v>46274</v>
      </c>
      <c r="J1942" s="3">
        <v>46288</v>
      </c>
      <c r="L1942" s="31">
        <v>46274.701695601849</v>
      </c>
      <c r="M1942" s="33">
        <v>12</v>
      </c>
      <c r="N1942" s="1">
        <v>174</v>
      </c>
    </row>
    <row r="1943" spans="1:14" x14ac:dyDescent="0.25">
      <c r="A1943" t="str">
        <f t="shared" si="62"/>
        <v>U146477U146477</v>
      </c>
      <c r="B1943" t="str">
        <f t="shared" si="63"/>
        <v>U146477G6035F4-M</v>
      </c>
      <c r="C1943" s="27" t="s">
        <v>24</v>
      </c>
      <c r="D1943" s="27" t="s">
        <v>624</v>
      </c>
      <c r="E1943" s="1" t="s">
        <v>436</v>
      </c>
      <c r="F1943" s="1" t="s">
        <v>2282</v>
      </c>
      <c r="G1943" s="1" t="s">
        <v>438</v>
      </c>
      <c r="H1943" s="1">
        <v>2400</v>
      </c>
      <c r="I1943" s="3">
        <v>46274</v>
      </c>
      <c r="J1943" s="3">
        <v>46288</v>
      </c>
      <c r="L1943" s="31">
        <v>46274.71758167824</v>
      </c>
      <c r="M1943" s="33">
        <v>12</v>
      </c>
      <c r="N1943" s="1">
        <v>122</v>
      </c>
    </row>
    <row r="1944" spans="1:14" x14ac:dyDescent="0.25">
      <c r="A1944" t="str">
        <f t="shared" si="62"/>
        <v>U146477U146477</v>
      </c>
      <c r="B1944" t="str">
        <f t="shared" si="63"/>
        <v>U146477G6035F4-M</v>
      </c>
      <c r="C1944" s="27" t="s">
        <v>24</v>
      </c>
      <c r="D1944" s="27" t="s">
        <v>624</v>
      </c>
      <c r="E1944" s="1" t="s">
        <v>436</v>
      </c>
      <c r="F1944" s="1" t="s">
        <v>2282</v>
      </c>
      <c r="G1944" s="1" t="s">
        <v>438</v>
      </c>
      <c r="H1944" s="1">
        <v>2400</v>
      </c>
      <c r="I1944" s="3">
        <v>46274</v>
      </c>
      <c r="J1944" s="3">
        <v>46288</v>
      </c>
      <c r="L1944" s="31">
        <v>46274.717830439811</v>
      </c>
      <c r="M1944" s="33">
        <v>12</v>
      </c>
      <c r="N1944" s="1">
        <v>66</v>
      </c>
    </row>
    <row r="1945" spans="1:14" x14ac:dyDescent="0.25">
      <c r="A1945" t="str">
        <f t="shared" si="62"/>
        <v>U146477U146477</v>
      </c>
      <c r="B1945" t="str">
        <f t="shared" si="63"/>
        <v>U146477G6035F4-M</v>
      </c>
      <c r="C1945" s="27" t="s">
        <v>24</v>
      </c>
      <c r="D1945" s="27" t="s">
        <v>624</v>
      </c>
      <c r="E1945" s="1" t="s">
        <v>436</v>
      </c>
      <c r="F1945" s="1" t="s">
        <v>2282</v>
      </c>
      <c r="G1945" s="1" t="s">
        <v>438</v>
      </c>
      <c r="H1945" s="1">
        <v>2400</v>
      </c>
      <c r="I1945" s="3">
        <v>46274</v>
      </c>
      <c r="J1945" s="3">
        <v>46288</v>
      </c>
      <c r="L1945" s="31">
        <v>46274.733065740736</v>
      </c>
      <c r="M1945" s="33">
        <v>12</v>
      </c>
      <c r="N1945" s="1">
        <v>175</v>
      </c>
    </row>
    <row r="1946" spans="1:14" x14ac:dyDescent="0.25">
      <c r="A1946" t="str">
        <f t="shared" si="62"/>
        <v>U146477U146477</v>
      </c>
      <c r="B1946" t="str">
        <f t="shared" si="63"/>
        <v>U146477G6035F4-M</v>
      </c>
      <c r="C1946" s="27" t="s">
        <v>24</v>
      </c>
      <c r="D1946" s="27" t="s">
        <v>624</v>
      </c>
      <c r="E1946" s="1" t="s">
        <v>436</v>
      </c>
      <c r="F1946" s="1" t="s">
        <v>2282</v>
      </c>
      <c r="G1946" s="1" t="s">
        <v>438</v>
      </c>
      <c r="H1946" s="1">
        <v>2400</v>
      </c>
      <c r="I1946" s="3">
        <v>46274</v>
      </c>
      <c r="J1946" s="3">
        <v>46288</v>
      </c>
      <c r="L1946" s="31">
        <v>46274.733285960647</v>
      </c>
      <c r="M1946" s="33">
        <v>12</v>
      </c>
      <c r="N1946" s="1">
        <v>153</v>
      </c>
    </row>
    <row r="1947" spans="1:14" x14ac:dyDescent="0.25">
      <c r="A1947" t="str">
        <f t="shared" si="62"/>
        <v>U146477U146477</v>
      </c>
      <c r="B1947" t="str">
        <f t="shared" si="63"/>
        <v>U146477G6035F4-M</v>
      </c>
      <c r="C1947" s="27" t="s">
        <v>24</v>
      </c>
      <c r="D1947" s="27" t="s">
        <v>624</v>
      </c>
      <c r="E1947" s="1" t="s">
        <v>436</v>
      </c>
      <c r="F1947" s="1" t="s">
        <v>2282</v>
      </c>
      <c r="G1947" s="1" t="s">
        <v>438</v>
      </c>
      <c r="H1947" s="1">
        <v>2400</v>
      </c>
      <c r="I1947" s="3">
        <v>46274</v>
      </c>
      <c r="J1947" s="3">
        <v>46288</v>
      </c>
      <c r="L1947" s="31">
        <v>46274.739296030093</v>
      </c>
      <c r="M1947" s="33">
        <v>12</v>
      </c>
      <c r="N1947" s="1">
        <v>134</v>
      </c>
    </row>
    <row r="1948" spans="1:14" x14ac:dyDescent="0.25">
      <c r="A1948" t="str">
        <f t="shared" si="62"/>
        <v>U146477U146477</v>
      </c>
      <c r="B1948" t="str">
        <f t="shared" si="63"/>
        <v>U146477G6035F4-M</v>
      </c>
      <c r="C1948" s="27" t="s">
        <v>24</v>
      </c>
      <c r="D1948" s="27" t="s">
        <v>624</v>
      </c>
      <c r="E1948" s="1" t="s">
        <v>436</v>
      </c>
      <c r="F1948" s="1" t="s">
        <v>2282</v>
      </c>
      <c r="G1948" s="1" t="s">
        <v>438</v>
      </c>
      <c r="H1948" s="1">
        <v>2400</v>
      </c>
      <c r="I1948" s="3">
        <v>46274</v>
      </c>
      <c r="J1948" s="3">
        <v>46288</v>
      </c>
      <c r="L1948" s="31">
        <v>46274.739527974532</v>
      </c>
      <c r="M1948" s="33">
        <v>12</v>
      </c>
      <c r="N1948" s="1">
        <v>67</v>
      </c>
    </row>
    <row r="1949" spans="1:14" x14ac:dyDescent="0.25">
      <c r="A1949" t="str">
        <f t="shared" si="62"/>
        <v>U146477U146477</v>
      </c>
      <c r="B1949" t="str">
        <f t="shared" si="63"/>
        <v>U146477G6035F4-M</v>
      </c>
      <c r="C1949" s="27" t="s">
        <v>24</v>
      </c>
      <c r="D1949" s="27" t="s">
        <v>624</v>
      </c>
      <c r="E1949" s="1" t="s">
        <v>436</v>
      </c>
      <c r="F1949" s="1" t="s">
        <v>2282</v>
      </c>
      <c r="G1949" s="1" t="s">
        <v>438</v>
      </c>
      <c r="H1949" s="1">
        <v>2400</v>
      </c>
      <c r="I1949" s="3">
        <v>46274</v>
      </c>
      <c r="J1949" s="3">
        <v>46288</v>
      </c>
      <c r="L1949" s="31">
        <v>46274.740225034722</v>
      </c>
      <c r="M1949" s="33">
        <v>12</v>
      </c>
      <c r="N1949" s="1">
        <v>97</v>
      </c>
    </row>
    <row r="1950" spans="1:14" x14ac:dyDescent="0.25">
      <c r="A1950" t="str">
        <f t="shared" si="62"/>
        <v>U146477U146477</v>
      </c>
      <c r="B1950" t="str">
        <f t="shared" si="63"/>
        <v>U146477G6035F4-M</v>
      </c>
      <c r="C1950" s="27" t="s">
        <v>24</v>
      </c>
      <c r="D1950" s="27" t="s">
        <v>624</v>
      </c>
      <c r="E1950" s="1" t="s">
        <v>436</v>
      </c>
      <c r="F1950" s="1" t="s">
        <v>2282</v>
      </c>
      <c r="G1950" s="1" t="s">
        <v>438</v>
      </c>
      <c r="H1950" s="1">
        <v>2400</v>
      </c>
      <c r="I1950" s="3">
        <v>46274</v>
      </c>
      <c r="J1950" s="3">
        <v>46288</v>
      </c>
      <c r="L1950" s="31">
        <v>46274.74050112268</v>
      </c>
      <c r="M1950" s="33">
        <v>12</v>
      </c>
      <c r="N1950" s="1">
        <v>176</v>
      </c>
    </row>
    <row r="1951" spans="1:14" x14ac:dyDescent="0.25">
      <c r="A1951" t="str">
        <f t="shared" si="62"/>
        <v>U146477U146477</v>
      </c>
      <c r="B1951" t="str">
        <f t="shared" si="63"/>
        <v>U146477G6035F4-M</v>
      </c>
      <c r="C1951" s="27" t="s">
        <v>24</v>
      </c>
      <c r="D1951" s="27" t="s">
        <v>624</v>
      </c>
      <c r="E1951" s="1" t="s">
        <v>436</v>
      </c>
      <c r="F1951" s="1" t="s">
        <v>2282</v>
      </c>
      <c r="G1951" s="1" t="s">
        <v>438</v>
      </c>
      <c r="H1951" s="1">
        <v>2400</v>
      </c>
      <c r="I1951" s="3">
        <v>46274</v>
      </c>
      <c r="J1951" s="3">
        <v>46288</v>
      </c>
      <c r="L1951" s="31">
        <v>46274.740817824073</v>
      </c>
      <c r="M1951" s="33">
        <v>12</v>
      </c>
      <c r="N1951" s="1">
        <v>96</v>
      </c>
    </row>
    <row r="1952" spans="1:14" x14ac:dyDescent="0.25">
      <c r="A1952" t="str">
        <f t="shared" si="62"/>
        <v>U146477U146477</v>
      </c>
      <c r="B1952" t="str">
        <f t="shared" si="63"/>
        <v>U146477G6035F4-M</v>
      </c>
      <c r="C1952" s="27" t="s">
        <v>24</v>
      </c>
      <c r="D1952" s="27" t="s">
        <v>624</v>
      </c>
      <c r="E1952" s="1" t="s">
        <v>436</v>
      </c>
      <c r="F1952" s="1" t="s">
        <v>2282</v>
      </c>
      <c r="G1952" s="1" t="s">
        <v>438</v>
      </c>
      <c r="H1952" s="1">
        <v>2400</v>
      </c>
      <c r="I1952" s="3">
        <v>46274</v>
      </c>
      <c r="J1952" s="3">
        <v>46288</v>
      </c>
      <c r="L1952" s="31">
        <v>46274.741073379628</v>
      </c>
      <c r="M1952" s="33">
        <v>12</v>
      </c>
      <c r="N1952" s="1">
        <v>133</v>
      </c>
    </row>
    <row r="1953" spans="1:14" x14ac:dyDescent="0.25">
      <c r="A1953" t="str">
        <f t="shared" si="62"/>
        <v>U146477U146477</v>
      </c>
      <c r="B1953" t="str">
        <f t="shared" si="63"/>
        <v>U146477G6035F4-M</v>
      </c>
      <c r="C1953" s="27" t="s">
        <v>24</v>
      </c>
      <c r="D1953" s="27" t="s">
        <v>624</v>
      </c>
      <c r="E1953" s="1" t="s">
        <v>436</v>
      </c>
      <c r="F1953" s="1" t="s">
        <v>2282</v>
      </c>
      <c r="G1953" s="1" t="s">
        <v>438</v>
      </c>
      <c r="H1953" s="1">
        <v>2400</v>
      </c>
      <c r="I1953" s="3">
        <v>46274</v>
      </c>
      <c r="J1953" s="3">
        <v>46288</v>
      </c>
      <c r="L1953" s="31">
        <v>46274.741347951385</v>
      </c>
      <c r="M1953" s="33">
        <v>12</v>
      </c>
      <c r="N1953" s="1">
        <v>160</v>
      </c>
    </row>
    <row r="1954" spans="1:14" x14ac:dyDescent="0.25">
      <c r="A1954" t="str">
        <f t="shared" si="62"/>
        <v>U148108U148108</v>
      </c>
      <c r="B1954" t="str">
        <f t="shared" si="63"/>
        <v>U148108GC9060LL-M</v>
      </c>
      <c r="C1954" s="1" t="s">
        <v>55</v>
      </c>
      <c r="D1954" s="1" t="s">
        <v>620</v>
      </c>
      <c r="E1954" s="1" t="s">
        <v>436</v>
      </c>
      <c r="F1954" s="1" t="s">
        <v>454</v>
      </c>
      <c r="G1954" s="1" t="s">
        <v>438</v>
      </c>
      <c r="H1954" s="1">
        <v>2340</v>
      </c>
      <c r="I1954" s="3">
        <v>46274</v>
      </c>
      <c r="J1954" s="3">
        <v>46287</v>
      </c>
      <c r="K1954" s="3" t="s">
        <v>2365</v>
      </c>
      <c r="L1954" s="22">
        <v>46274.344876770832</v>
      </c>
      <c r="M1954" s="20">
        <v>6</v>
      </c>
      <c r="N1954" s="1">
        <v>1</v>
      </c>
    </row>
    <row r="1955" spans="1:14" x14ac:dyDescent="0.25">
      <c r="A1955" t="str">
        <f t="shared" si="62"/>
        <v>U148108U148108</v>
      </c>
      <c r="B1955" t="str">
        <f t="shared" si="63"/>
        <v>U148108GC9060LL-M</v>
      </c>
      <c r="C1955" s="1" t="s">
        <v>55</v>
      </c>
      <c r="D1955" s="1" t="s">
        <v>620</v>
      </c>
      <c r="E1955" s="1" t="s">
        <v>436</v>
      </c>
      <c r="F1955" s="1" t="s">
        <v>454</v>
      </c>
      <c r="G1955" s="1" t="s">
        <v>438</v>
      </c>
      <c r="H1955" s="1">
        <v>2340</v>
      </c>
      <c r="I1955" s="3">
        <v>46274</v>
      </c>
      <c r="J1955" s="3">
        <v>46287</v>
      </c>
      <c r="K1955" s="3" t="s">
        <v>2365</v>
      </c>
      <c r="L1955" s="22">
        <v>46274.349750000001</v>
      </c>
      <c r="M1955" s="20">
        <v>6</v>
      </c>
      <c r="N1955" s="1">
        <v>5</v>
      </c>
    </row>
    <row r="1956" spans="1:14" x14ac:dyDescent="0.25">
      <c r="A1956" t="str">
        <f t="shared" si="62"/>
        <v>U148108U148108</v>
      </c>
      <c r="B1956" t="str">
        <f t="shared" si="63"/>
        <v>U148108GC9060LL-M</v>
      </c>
      <c r="C1956" s="1" t="s">
        <v>55</v>
      </c>
      <c r="D1956" s="1" t="s">
        <v>620</v>
      </c>
      <c r="E1956" s="1" t="s">
        <v>436</v>
      </c>
      <c r="F1956" s="1" t="s">
        <v>454</v>
      </c>
      <c r="G1956" s="1" t="s">
        <v>438</v>
      </c>
      <c r="H1956" s="1">
        <v>2340</v>
      </c>
      <c r="I1956" s="3">
        <v>46274</v>
      </c>
      <c r="J1956" s="3">
        <v>46287</v>
      </c>
      <c r="K1956" s="3" t="s">
        <v>2365</v>
      </c>
      <c r="L1956" s="22">
        <v>46274.349916550927</v>
      </c>
      <c r="M1956" s="20">
        <v>6</v>
      </c>
      <c r="N1956" s="1">
        <v>2</v>
      </c>
    </row>
    <row r="1957" spans="1:14" x14ac:dyDescent="0.25">
      <c r="A1957" t="str">
        <f t="shared" si="62"/>
        <v>U148108U148108</v>
      </c>
      <c r="B1957" t="str">
        <f t="shared" si="63"/>
        <v>U148108GC9060LL-M</v>
      </c>
      <c r="C1957" s="1" t="s">
        <v>55</v>
      </c>
      <c r="D1957" s="1" t="s">
        <v>620</v>
      </c>
      <c r="E1957" s="1" t="s">
        <v>436</v>
      </c>
      <c r="F1957" s="1" t="s">
        <v>454</v>
      </c>
      <c r="G1957" s="1" t="s">
        <v>438</v>
      </c>
      <c r="H1957" s="1">
        <v>2340</v>
      </c>
      <c r="I1957" s="3">
        <v>46274</v>
      </c>
      <c r="J1957" s="3">
        <v>46287</v>
      </c>
      <c r="K1957" s="3" t="s">
        <v>2365</v>
      </c>
      <c r="L1957" s="22">
        <v>46274.350388923609</v>
      </c>
      <c r="M1957" s="20">
        <v>6</v>
      </c>
      <c r="N1957" s="1">
        <v>8</v>
      </c>
    </row>
    <row r="1958" spans="1:14" x14ac:dyDescent="0.25">
      <c r="A1958" t="str">
        <f t="shared" si="62"/>
        <v>U148108U148108</v>
      </c>
      <c r="B1958" t="str">
        <f t="shared" si="63"/>
        <v>U148108GC9060LL-M</v>
      </c>
      <c r="C1958" s="1" t="s">
        <v>55</v>
      </c>
      <c r="D1958" s="1" t="s">
        <v>620</v>
      </c>
      <c r="E1958" s="1" t="s">
        <v>436</v>
      </c>
      <c r="F1958" s="1" t="s">
        <v>454</v>
      </c>
      <c r="G1958" s="1" t="s">
        <v>438</v>
      </c>
      <c r="H1958" s="1">
        <v>2340</v>
      </c>
      <c r="I1958" s="3">
        <v>46274</v>
      </c>
      <c r="J1958" s="3">
        <v>46287</v>
      </c>
      <c r="K1958" s="3" t="s">
        <v>2365</v>
      </c>
      <c r="L1958" s="22">
        <v>46274.359364467593</v>
      </c>
      <c r="M1958" s="20">
        <v>6</v>
      </c>
      <c r="N1958" s="1">
        <v>3</v>
      </c>
    </row>
    <row r="1959" spans="1:14" x14ac:dyDescent="0.25">
      <c r="A1959" t="str">
        <f t="shared" si="62"/>
        <v>U148108U148108</v>
      </c>
      <c r="B1959" t="str">
        <f t="shared" si="63"/>
        <v>U148108GC9060LL-M</v>
      </c>
      <c r="C1959" s="1" t="s">
        <v>55</v>
      </c>
      <c r="D1959" s="1" t="s">
        <v>620</v>
      </c>
      <c r="E1959" s="1" t="s">
        <v>436</v>
      </c>
      <c r="F1959" s="1" t="s">
        <v>454</v>
      </c>
      <c r="G1959" s="1" t="s">
        <v>438</v>
      </c>
      <c r="H1959" s="1">
        <v>2340</v>
      </c>
      <c r="I1959" s="3">
        <v>46274</v>
      </c>
      <c r="J1959" s="3">
        <v>46287</v>
      </c>
      <c r="K1959" s="3" t="s">
        <v>2365</v>
      </c>
      <c r="L1959" s="22">
        <v>46274.361067395832</v>
      </c>
      <c r="M1959" s="20">
        <v>6</v>
      </c>
      <c r="N1959" s="1">
        <v>4</v>
      </c>
    </row>
    <row r="1960" spans="1:14" x14ac:dyDescent="0.25">
      <c r="A1960" t="str">
        <f t="shared" si="62"/>
        <v>U148108U148108</v>
      </c>
      <c r="B1960" t="str">
        <f t="shared" si="63"/>
        <v>U148108GC9060LL-M</v>
      </c>
      <c r="C1960" s="1" t="s">
        <v>55</v>
      </c>
      <c r="D1960" s="1" t="s">
        <v>620</v>
      </c>
      <c r="E1960" s="1" t="s">
        <v>436</v>
      </c>
      <c r="F1960" s="1" t="s">
        <v>454</v>
      </c>
      <c r="G1960" s="1" t="s">
        <v>438</v>
      </c>
      <c r="H1960" s="1">
        <v>2340</v>
      </c>
      <c r="I1960" s="3">
        <v>46274</v>
      </c>
      <c r="J1960" s="3">
        <v>46287</v>
      </c>
      <c r="K1960" s="3" t="s">
        <v>2365</v>
      </c>
      <c r="L1960" s="22">
        <v>46274.361692395833</v>
      </c>
      <c r="M1960" s="20">
        <v>6</v>
      </c>
      <c r="N1960" s="1">
        <v>7</v>
      </c>
    </row>
    <row r="1961" spans="1:14" x14ac:dyDescent="0.25">
      <c r="A1961" t="str">
        <f t="shared" si="62"/>
        <v>U148108U148108</v>
      </c>
      <c r="B1961" t="str">
        <f t="shared" si="63"/>
        <v>U148108GC9060LL-M</v>
      </c>
      <c r="C1961" s="1" t="s">
        <v>55</v>
      </c>
      <c r="D1961" s="1" t="s">
        <v>620</v>
      </c>
      <c r="E1961" s="1" t="s">
        <v>436</v>
      </c>
      <c r="F1961" s="1" t="s">
        <v>454</v>
      </c>
      <c r="G1961" s="1" t="s">
        <v>438</v>
      </c>
      <c r="H1961" s="1">
        <v>2340</v>
      </c>
      <c r="I1961" s="3">
        <v>46274</v>
      </c>
      <c r="J1961" s="3">
        <v>46287</v>
      </c>
      <c r="K1961" s="3" t="s">
        <v>2365</v>
      </c>
      <c r="L1961" s="22">
        <v>46274.373781400463</v>
      </c>
      <c r="M1961" s="20">
        <v>6</v>
      </c>
      <c r="N1961" s="1">
        <v>13</v>
      </c>
    </row>
    <row r="1962" spans="1:14" x14ac:dyDescent="0.25">
      <c r="A1962" t="str">
        <f t="shared" si="62"/>
        <v>U148108U148108</v>
      </c>
      <c r="B1962" t="str">
        <f t="shared" si="63"/>
        <v>U148108GC9060LL-M</v>
      </c>
      <c r="C1962" s="1" t="s">
        <v>55</v>
      </c>
      <c r="D1962" s="1" t="s">
        <v>620</v>
      </c>
      <c r="E1962" s="1" t="s">
        <v>436</v>
      </c>
      <c r="F1962" s="1" t="s">
        <v>454</v>
      </c>
      <c r="G1962" s="1" t="s">
        <v>438</v>
      </c>
      <c r="H1962" s="1">
        <v>2340</v>
      </c>
      <c r="I1962" s="3">
        <v>46274</v>
      </c>
      <c r="J1962" s="3">
        <v>46287</v>
      </c>
      <c r="K1962" s="3" t="s">
        <v>2365</v>
      </c>
      <c r="L1962" s="22">
        <v>46274.374034374996</v>
      </c>
      <c r="M1962" s="20">
        <v>6</v>
      </c>
      <c r="N1962" s="1">
        <v>12</v>
      </c>
    </row>
    <row r="1963" spans="1:14" x14ac:dyDescent="0.25">
      <c r="A1963" t="str">
        <f t="shared" si="62"/>
        <v>U148108U148108</v>
      </c>
      <c r="B1963" t="str">
        <f t="shared" si="63"/>
        <v>U148108GC9060LL-M</v>
      </c>
      <c r="C1963" s="1" t="s">
        <v>55</v>
      </c>
      <c r="D1963" s="1" t="s">
        <v>620</v>
      </c>
      <c r="E1963" s="1" t="s">
        <v>436</v>
      </c>
      <c r="F1963" s="1" t="s">
        <v>454</v>
      </c>
      <c r="G1963" s="1" t="s">
        <v>438</v>
      </c>
      <c r="H1963" s="1">
        <v>2340</v>
      </c>
      <c r="I1963" s="3">
        <v>46274</v>
      </c>
      <c r="J1963" s="3">
        <v>46287</v>
      </c>
      <c r="K1963" s="3" t="s">
        <v>2365</v>
      </c>
      <c r="L1963" s="22">
        <v>46274.374308912033</v>
      </c>
      <c r="M1963" s="20">
        <v>6</v>
      </c>
      <c r="N1963" s="1">
        <v>16</v>
      </c>
    </row>
    <row r="1964" spans="1:14" x14ac:dyDescent="0.25">
      <c r="A1964" t="str">
        <f t="shared" si="62"/>
        <v>U148108U148108</v>
      </c>
      <c r="B1964" t="str">
        <f t="shared" si="63"/>
        <v>U148108GC9060LL-M</v>
      </c>
      <c r="C1964" s="1" t="s">
        <v>55</v>
      </c>
      <c r="D1964" s="1" t="s">
        <v>620</v>
      </c>
      <c r="E1964" s="1" t="s">
        <v>436</v>
      </c>
      <c r="F1964" s="1" t="s">
        <v>454</v>
      </c>
      <c r="G1964" s="1" t="s">
        <v>438</v>
      </c>
      <c r="H1964" s="1">
        <v>2340</v>
      </c>
      <c r="I1964" s="3">
        <v>46274</v>
      </c>
      <c r="J1964" s="3">
        <v>46287</v>
      </c>
      <c r="K1964" s="3" t="s">
        <v>2365</v>
      </c>
      <c r="L1964" s="22">
        <v>46274.38013140046</v>
      </c>
      <c r="M1964" s="20">
        <v>6</v>
      </c>
      <c r="N1964" s="1">
        <v>10</v>
      </c>
    </row>
    <row r="1965" spans="1:14" x14ac:dyDescent="0.25">
      <c r="A1965" t="str">
        <f t="shared" si="62"/>
        <v>U148108U148108</v>
      </c>
      <c r="B1965" t="str">
        <f t="shared" si="63"/>
        <v>U148108GC9060LL-M</v>
      </c>
      <c r="C1965" s="1" t="s">
        <v>55</v>
      </c>
      <c r="D1965" s="1" t="s">
        <v>620</v>
      </c>
      <c r="E1965" s="1" t="s">
        <v>436</v>
      </c>
      <c r="F1965" s="1" t="s">
        <v>454</v>
      </c>
      <c r="G1965" s="1" t="s">
        <v>438</v>
      </c>
      <c r="H1965" s="1">
        <v>2340</v>
      </c>
      <c r="I1965" s="3">
        <v>46274</v>
      </c>
      <c r="J1965" s="3">
        <v>46287</v>
      </c>
      <c r="K1965" s="3" t="s">
        <v>2365</v>
      </c>
      <c r="L1965" s="22">
        <v>46274.38044976852</v>
      </c>
      <c r="M1965" s="20">
        <v>6</v>
      </c>
      <c r="N1965" s="1">
        <v>14</v>
      </c>
    </row>
    <row r="1966" spans="1:14" x14ac:dyDescent="0.25">
      <c r="A1966" t="str">
        <f t="shared" si="62"/>
        <v>U148108U148108</v>
      </c>
      <c r="B1966" t="str">
        <f t="shared" si="63"/>
        <v>U148108GC9060LL-M</v>
      </c>
      <c r="C1966" s="1" t="s">
        <v>55</v>
      </c>
      <c r="D1966" s="1" t="s">
        <v>620</v>
      </c>
      <c r="E1966" s="1" t="s">
        <v>436</v>
      </c>
      <c r="F1966" s="1" t="s">
        <v>454</v>
      </c>
      <c r="G1966" s="1" t="s">
        <v>438</v>
      </c>
      <c r="H1966" s="1">
        <v>2340</v>
      </c>
      <c r="I1966" s="3">
        <v>46274</v>
      </c>
      <c r="J1966" s="3">
        <v>46287</v>
      </c>
      <c r="K1966" s="3" t="s">
        <v>2365</v>
      </c>
      <c r="L1966" s="22">
        <v>46274.380902430552</v>
      </c>
      <c r="M1966" s="20">
        <v>6</v>
      </c>
      <c r="N1966" s="1">
        <v>9</v>
      </c>
    </row>
    <row r="1967" spans="1:14" x14ac:dyDescent="0.25">
      <c r="A1967" t="str">
        <f t="shared" si="62"/>
        <v>U148108U148108</v>
      </c>
      <c r="B1967" t="str">
        <f t="shared" si="63"/>
        <v>U148108GC9060LL-M</v>
      </c>
      <c r="C1967" s="1" t="s">
        <v>55</v>
      </c>
      <c r="D1967" s="1" t="s">
        <v>620</v>
      </c>
      <c r="E1967" s="1" t="s">
        <v>436</v>
      </c>
      <c r="F1967" s="1" t="s">
        <v>454</v>
      </c>
      <c r="G1967" s="1" t="s">
        <v>438</v>
      </c>
      <c r="H1967" s="1">
        <v>2340</v>
      </c>
      <c r="I1967" s="3">
        <v>46274</v>
      </c>
      <c r="J1967" s="3">
        <v>46287</v>
      </c>
      <c r="K1967" s="3" t="s">
        <v>2365</v>
      </c>
      <c r="L1967" s="22">
        <v>46274.386446840275</v>
      </c>
      <c r="M1967" s="20">
        <v>6</v>
      </c>
      <c r="N1967" s="1">
        <v>6</v>
      </c>
    </row>
    <row r="1968" spans="1:14" x14ac:dyDescent="0.25">
      <c r="A1968" t="str">
        <f t="shared" si="62"/>
        <v>U148108U148108</v>
      </c>
      <c r="B1968" t="str">
        <f t="shared" si="63"/>
        <v>U148108GC9060LL-M</v>
      </c>
      <c r="C1968" s="1" t="s">
        <v>55</v>
      </c>
      <c r="D1968" s="1" t="s">
        <v>620</v>
      </c>
      <c r="E1968" s="1" t="s">
        <v>436</v>
      </c>
      <c r="F1968" s="1" t="s">
        <v>454</v>
      </c>
      <c r="G1968" s="1" t="s">
        <v>438</v>
      </c>
      <c r="H1968" s="1">
        <v>2340</v>
      </c>
      <c r="I1968" s="3">
        <v>46274</v>
      </c>
      <c r="J1968" s="3">
        <v>46287</v>
      </c>
      <c r="K1968" s="3" t="s">
        <v>2365</v>
      </c>
      <c r="L1968" s="22">
        <v>46274.387202546292</v>
      </c>
      <c r="M1968" s="20">
        <v>6</v>
      </c>
      <c r="N1968" s="1">
        <v>11</v>
      </c>
    </row>
    <row r="1969" spans="1:14" x14ac:dyDescent="0.25">
      <c r="A1969" t="str">
        <f t="shared" si="62"/>
        <v>U148108U148108</v>
      </c>
      <c r="B1969" t="str">
        <f t="shared" si="63"/>
        <v>U148108GC9060LL-M</v>
      </c>
      <c r="C1969" s="1" t="s">
        <v>55</v>
      </c>
      <c r="D1969" s="1" t="s">
        <v>620</v>
      </c>
      <c r="E1969" s="1" t="s">
        <v>436</v>
      </c>
      <c r="F1969" s="1" t="s">
        <v>454</v>
      </c>
      <c r="G1969" s="1" t="s">
        <v>438</v>
      </c>
      <c r="H1969" s="1">
        <v>2340</v>
      </c>
      <c r="I1969" s="3">
        <v>46274</v>
      </c>
      <c r="J1969" s="3">
        <v>46287</v>
      </c>
      <c r="K1969" s="3" t="s">
        <v>2365</v>
      </c>
      <c r="L1969" s="22">
        <v>46274.387859872681</v>
      </c>
      <c r="M1969" s="20">
        <v>6</v>
      </c>
      <c r="N1969" s="1">
        <v>15</v>
      </c>
    </row>
    <row r="1970" spans="1:14" x14ac:dyDescent="0.25">
      <c r="A1970" t="str">
        <f t="shared" si="62"/>
        <v>U148108U148108</v>
      </c>
      <c r="B1970" t="str">
        <f t="shared" si="63"/>
        <v>U148108GC9060LL-M</v>
      </c>
      <c r="C1970" s="27" t="s">
        <v>55</v>
      </c>
      <c r="D1970" s="27" t="s">
        <v>620</v>
      </c>
      <c r="E1970" s="1" t="s">
        <v>436</v>
      </c>
      <c r="F1970" s="1" t="s">
        <v>454</v>
      </c>
      <c r="G1970" s="1" t="s">
        <v>438</v>
      </c>
      <c r="H1970" s="1">
        <v>2340</v>
      </c>
      <c r="I1970" s="3">
        <v>46274</v>
      </c>
      <c r="J1970" s="3">
        <v>46287</v>
      </c>
      <c r="K1970" s="3" t="s">
        <v>2365</v>
      </c>
      <c r="L1970" s="31">
        <v>46274.399227395828</v>
      </c>
      <c r="M1970" s="33">
        <v>6</v>
      </c>
      <c r="N1970" s="1">
        <v>18</v>
      </c>
    </row>
    <row r="1971" spans="1:14" x14ac:dyDescent="0.25">
      <c r="A1971" t="str">
        <f t="shared" si="62"/>
        <v>U148108U148108</v>
      </c>
      <c r="B1971" t="str">
        <f t="shared" si="63"/>
        <v>U148108GC9060LL-M</v>
      </c>
      <c r="C1971" s="27" t="s">
        <v>55</v>
      </c>
      <c r="D1971" s="27" t="s">
        <v>620</v>
      </c>
      <c r="E1971" s="1" t="s">
        <v>436</v>
      </c>
      <c r="F1971" s="1" t="s">
        <v>454</v>
      </c>
      <c r="G1971" s="1" t="s">
        <v>438</v>
      </c>
      <c r="H1971" s="1">
        <v>2340</v>
      </c>
      <c r="I1971" s="3">
        <v>46274</v>
      </c>
      <c r="J1971" s="3">
        <v>46287</v>
      </c>
      <c r="K1971" s="3" t="s">
        <v>2365</v>
      </c>
      <c r="L1971" s="31">
        <v>46274.401491319441</v>
      </c>
      <c r="M1971" s="33">
        <v>6</v>
      </c>
      <c r="N1971" s="1">
        <v>29</v>
      </c>
    </row>
    <row r="1972" spans="1:14" x14ac:dyDescent="0.25">
      <c r="A1972" t="str">
        <f t="shared" si="62"/>
        <v>U148108U148108</v>
      </c>
      <c r="B1972" t="str">
        <f t="shared" si="63"/>
        <v>U148108GC9060LL-M</v>
      </c>
      <c r="C1972" s="27" t="s">
        <v>55</v>
      </c>
      <c r="D1972" s="27" t="s">
        <v>620</v>
      </c>
      <c r="E1972" s="1" t="s">
        <v>436</v>
      </c>
      <c r="F1972" s="1" t="s">
        <v>454</v>
      </c>
      <c r="G1972" s="1" t="s">
        <v>438</v>
      </c>
      <c r="H1972" s="1">
        <v>2340</v>
      </c>
      <c r="I1972" s="3">
        <v>46274</v>
      </c>
      <c r="J1972" s="3">
        <v>46287</v>
      </c>
      <c r="K1972" s="3" t="s">
        <v>2365</v>
      </c>
      <c r="L1972" s="31">
        <v>46274.4034908912</v>
      </c>
      <c r="M1972" s="33">
        <v>6</v>
      </c>
      <c r="N1972" s="1">
        <v>23</v>
      </c>
    </row>
    <row r="1973" spans="1:14" x14ac:dyDescent="0.25">
      <c r="A1973" t="str">
        <f t="shared" si="62"/>
        <v>U148108U148108</v>
      </c>
      <c r="B1973" t="str">
        <f t="shared" si="63"/>
        <v>U148108GC9060LL-M</v>
      </c>
      <c r="C1973" s="27" t="s">
        <v>55</v>
      </c>
      <c r="D1973" s="27" t="s">
        <v>620</v>
      </c>
      <c r="E1973" s="1" t="s">
        <v>436</v>
      </c>
      <c r="F1973" s="1" t="s">
        <v>454</v>
      </c>
      <c r="G1973" s="1" t="s">
        <v>438</v>
      </c>
      <c r="H1973" s="1">
        <v>2340</v>
      </c>
      <c r="I1973" s="3">
        <v>46274</v>
      </c>
      <c r="J1973" s="3">
        <v>46287</v>
      </c>
      <c r="K1973" s="3" t="s">
        <v>2365</v>
      </c>
      <c r="L1973" s="31">
        <v>46274.413515740736</v>
      </c>
      <c r="M1973" s="33">
        <v>6</v>
      </c>
      <c r="N1973" s="1">
        <v>33</v>
      </c>
    </row>
    <row r="1974" spans="1:14" x14ac:dyDescent="0.25">
      <c r="A1974" t="str">
        <f t="shared" si="62"/>
        <v>U148108U148108</v>
      </c>
      <c r="B1974" t="str">
        <f t="shared" si="63"/>
        <v>U148108GC9060LL-M</v>
      </c>
      <c r="C1974" s="27" t="s">
        <v>55</v>
      </c>
      <c r="D1974" s="27" t="s">
        <v>620</v>
      </c>
      <c r="E1974" s="1" t="s">
        <v>436</v>
      </c>
      <c r="F1974" s="1" t="s">
        <v>454</v>
      </c>
      <c r="G1974" s="1" t="s">
        <v>438</v>
      </c>
      <c r="H1974" s="1">
        <v>2340</v>
      </c>
      <c r="I1974" s="3">
        <v>46274</v>
      </c>
      <c r="J1974" s="3">
        <v>46287</v>
      </c>
      <c r="K1974" s="3" t="s">
        <v>2365</v>
      </c>
      <c r="L1974" s="31">
        <v>46274.431548182867</v>
      </c>
      <c r="M1974" s="33">
        <v>6</v>
      </c>
      <c r="N1974" s="1">
        <v>47</v>
      </c>
    </row>
    <row r="1975" spans="1:14" x14ac:dyDescent="0.25">
      <c r="A1975" t="str">
        <f t="shared" si="62"/>
        <v>U148108U148108</v>
      </c>
      <c r="B1975" t="str">
        <f t="shared" si="63"/>
        <v>U148108GC9060LL-M</v>
      </c>
      <c r="C1975" s="27" t="s">
        <v>55</v>
      </c>
      <c r="D1975" s="27" t="s">
        <v>620</v>
      </c>
      <c r="E1975" s="1" t="s">
        <v>436</v>
      </c>
      <c r="F1975" s="1" t="s">
        <v>454</v>
      </c>
      <c r="G1975" s="1" t="s">
        <v>438</v>
      </c>
      <c r="H1975" s="1">
        <v>2340</v>
      </c>
      <c r="I1975" s="3">
        <v>46274</v>
      </c>
      <c r="J1975" s="3">
        <v>46287</v>
      </c>
      <c r="K1975" s="3" t="s">
        <v>2365</v>
      </c>
      <c r="L1975" s="31">
        <v>46274.456233680554</v>
      </c>
      <c r="M1975" s="33">
        <v>6</v>
      </c>
      <c r="N1975" s="1">
        <v>50</v>
      </c>
    </row>
    <row r="1976" spans="1:14" x14ac:dyDescent="0.25">
      <c r="A1976" t="str">
        <f t="shared" si="62"/>
        <v>U148108U148108</v>
      </c>
      <c r="B1976" t="str">
        <f t="shared" si="63"/>
        <v>U148108GC9060LL-M</v>
      </c>
      <c r="C1976" s="27" t="s">
        <v>55</v>
      </c>
      <c r="D1976" s="27" t="s">
        <v>620</v>
      </c>
      <c r="E1976" s="1" t="s">
        <v>436</v>
      </c>
      <c r="F1976" s="1" t="s">
        <v>454</v>
      </c>
      <c r="G1976" s="1" t="s">
        <v>438</v>
      </c>
      <c r="H1976" s="1">
        <v>2340</v>
      </c>
      <c r="I1976" s="3">
        <v>46274</v>
      </c>
      <c r="J1976" s="3">
        <v>46287</v>
      </c>
      <c r="K1976" s="3" t="s">
        <v>2365</v>
      </c>
      <c r="L1976" s="31">
        <v>46274.456546608795</v>
      </c>
      <c r="M1976" s="33">
        <v>6</v>
      </c>
      <c r="N1976" s="1">
        <v>60</v>
      </c>
    </row>
    <row r="1977" spans="1:14" x14ac:dyDescent="0.25">
      <c r="A1977" t="str">
        <f t="shared" si="62"/>
        <v>U148108U148108</v>
      </c>
      <c r="B1977" t="str">
        <f t="shared" si="63"/>
        <v>U148108GC9060LL-M</v>
      </c>
      <c r="C1977" s="27" t="s">
        <v>55</v>
      </c>
      <c r="D1977" s="27" t="s">
        <v>620</v>
      </c>
      <c r="E1977" s="1" t="s">
        <v>436</v>
      </c>
      <c r="F1977" s="1" t="s">
        <v>454</v>
      </c>
      <c r="G1977" s="1" t="s">
        <v>438</v>
      </c>
      <c r="H1977" s="1">
        <v>2340</v>
      </c>
      <c r="I1977" s="3">
        <v>46274</v>
      </c>
      <c r="J1977" s="3">
        <v>46287</v>
      </c>
      <c r="K1977" s="3" t="s">
        <v>2365</v>
      </c>
      <c r="L1977" s="31">
        <v>46274.456992164349</v>
      </c>
      <c r="M1977" s="33">
        <v>6</v>
      </c>
      <c r="N1977" s="1">
        <v>49</v>
      </c>
    </row>
    <row r="1978" spans="1:14" x14ac:dyDescent="0.25">
      <c r="A1978" t="str">
        <f t="shared" si="62"/>
        <v>U148108U148108</v>
      </c>
      <c r="B1978" t="str">
        <f t="shared" si="63"/>
        <v>U148108GC9060LL-M</v>
      </c>
      <c r="C1978" s="27" t="s">
        <v>55</v>
      </c>
      <c r="D1978" s="27" t="s">
        <v>620</v>
      </c>
      <c r="E1978" s="1" t="s">
        <v>436</v>
      </c>
      <c r="F1978" s="1" t="s">
        <v>454</v>
      </c>
      <c r="G1978" s="1" t="s">
        <v>438</v>
      </c>
      <c r="H1978" s="1">
        <v>2340</v>
      </c>
      <c r="I1978" s="3">
        <v>46274</v>
      </c>
      <c r="J1978" s="3">
        <v>46287</v>
      </c>
      <c r="K1978" s="3" t="s">
        <v>2365</v>
      </c>
      <c r="L1978" s="31">
        <v>46274.457241631942</v>
      </c>
      <c r="M1978" s="33">
        <v>6</v>
      </c>
      <c r="N1978" s="1">
        <v>42</v>
      </c>
    </row>
    <row r="1979" spans="1:14" x14ac:dyDescent="0.25">
      <c r="A1979" t="str">
        <f t="shared" si="62"/>
        <v>U148108U148108</v>
      </c>
      <c r="B1979" t="str">
        <f t="shared" si="63"/>
        <v>U148108GC9060LL-M</v>
      </c>
      <c r="C1979" s="27" t="s">
        <v>55</v>
      </c>
      <c r="D1979" s="27" t="s">
        <v>620</v>
      </c>
      <c r="E1979" s="1" t="s">
        <v>436</v>
      </c>
      <c r="F1979" s="1" t="s">
        <v>454</v>
      </c>
      <c r="G1979" s="1" t="s">
        <v>438</v>
      </c>
      <c r="H1979" s="1">
        <v>2340</v>
      </c>
      <c r="I1979" s="3">
        <v>46274</v>
      </c>
      <c r="J1979" s="3">
        <v>46287</v>
      </c>
      <c r="K1979" s="3" t="s">
        <v>2365</v>
      </c>
      <c r="L1979" s="31">
        <v>46274.470708645829</v>
      </c>
      <c r="M1979" s="33">
        <v>6</v>
      </c>
      <c r="N1979" s="1">
        <v>46</v>
      </c>
    </row>
    <row r="1980" spans="1:14" x14ac:dyDescent="0.25">
      <c r="A1980" t="str">
        <f t="shared" si="62"/>
        <v>U148108U148108</v>
      </c>
      <c r="B1980" t="str">
        <f t="shared" si="63"/>
        <v>U148108GC9060LL-M</v>
      </c>
      <c r="C1980" s="27" t="s">
        <v>55</v>
      </c>
      <c r="D1980" s="27" t="s">
        <v>620</v>
      </c>
      <c r="E1980" s="1" t="s">
        <v>436</v>
      </c>
      <c r="F1980" s="1" t="s">
        <v>454</v>
      </c>
      <c r="G1980" s="1" t="s">
        <v>438</v>
      </c>
      <c r="H1980" s="1">
        <v>2340</v>
      </c>
      <c r="I1980" s="3">
        <v>46274</v>
      </c>
      <c r="J1980" s="3">
        <v>46287</v>
      </c>
      <c r="K1980" s="3" t="s">
        <v>2365</v>
      </c>
      <c r="L1980" s="31">
        <v>46274.546957523147</v>
      </c>
      <c r="M1980" s="33">
        <v>6</v>
      </c>
      <c r="N1980" s="1">
        <v>62</v>
      </c>
    </row>
    <row r="1981" spans="1:14" x14ac:dyDescent="0.25">
      <c r="A1981" t="str">
        <f t="shared" si="62"/>
        <v>U148108U148108</v>
      </c>
      <c r="B1981" t="str">
        <f t="shared" si="63"/>
        <v>U148108GC9060LL-M</v>
      </c>
      <c r="C1981" s="27" t="s">
        <v>55</v>
      </c>
      <c r="D1981" s="27" t="s">
        <v>620</v>
      </c>
      <c r="E1981" s="1" t="s">
        <v>436</v>
      </c>
      <c r="F1981" s="1" t="s">
        <v>454</v>
      </c>
      <c r="G1981" s="1" t="s">
        <v>438</v>
      </c>
      <c r="H1981" s="1">
        <v>2340</v>
      </c>
      <c r="I1981" s="3">
        <v>46274</v>
      </c>
      <c r="J1981" s="3">
        <v>46287</v>
      </c>
      <c r="K1981" s="3" t="s">
        <v>2365</v>
      </c>
      <c r="L1981" s="31">
        <v>46274.547210034718</v>
      </c>
      <c r="M1981" s="33">
        <v>6</v>
      </c>
      <c r="N1981" s="1">
        <v>64</v>
      </c>
    </row>
    <row r="1982" spans="1:14" x14ac:dyDescent="0.25">
      <c r="A1982" t="str">
        <f t="shared" si="62"/>
        <v>U148108U148108</v>
      </c>
      <c r="B1982" t="str">
        <f t="shared" si="63"/>
        <v>U148108GC9060LL-M</v>
      </c>
      <c r="C1982" s="27" t="s">
        <v>55</v>
      </c>
      <c r="D1982" s="27" t="s">
        <v>620</v>
      </c>
      <c r="E1982" s="1" t="s">
        <v>436</v>
      </c>
      <c r="F1982" s="1" t="s">
        <v>454</v>
      </c>
      <c r="G1982" s="1" t="s">
        <v>438</v>
      </c>
      <c r="H1982" s="1">
        <v>2340</v>
      </c>
      <c r="I1982" s="3">
        <v>46274</v>
      </c>
      <c r="J1982" s="3">
        <v>46287</v>
      </c>
      <c r="K1982" s="3" t="s">
        <v>2365</v>
      </c>
      <c r="L1982" s="31">
        <v>46274.54760100694</v>
      </c>
      <c r="M1982" s="33">
        <v>6</v>
      </c>
      <c r="N1982" s="1">
        <v>72</v>
      </c>
    </row>
    <row r="1983" spans="1:14" x14ac:dyDescent="0.25">
      <c r="A1983" t="str">
        <f t="shared" si="62"/>
        <v>U148108U148108</v>
      </c>
      <c r="B1983" t="str">
        <f t="shared" si="63"/>
        <v>U148108GC9060LL-M</v>
      </c>
      <c r="C1983" s="27" t="s">
        <v>55</v>
      </c>
      <c r="D1983" s="27" t="s">
        <v>620</v>
      </c>
      <c r="E1983" s="1" t="s">
        <v>436</v>
      </c>
      <c r="F1983" s="1" t="s">
        <v>454</v>
      </c>
      <c r="G1983" s="1" t="s">
        <v>438</v>
      </c>
      <c r="H1983" s="1">
        <v>2340</v>
      </c>
      <c r="I1983" s="3">
        <v>46274</v>
      </c>
      <c r="J1983" s="3">
        <v>46287</v>
      </c>
      <c r="K1983" s="3" t="s">
        <v>2365</v>
      </c>
      <c r="L1983" s="31">
        <v>46274.549900613427</v>
      </c>
      <c r="M1983" s="33">
        <v>6</v>
      </c>
      <c r="N1983" s="1">
        <v>67</v>
      </c>
    </row>
    <row r="1984" spans="1:14" x14ac:dyDescent="0.25">
      <c r="A1984" t="str">
        <f t="shared" si="62"/>
        <v>U148108U148108</v>
      </c>
      <c r="B1984" t="str">
        <f t="shared" si="63"/>
        <v>U148108GC9060LL-M</v>
      </c>
      <c r="C1984" s="27" t="s">
        <v>55</v>
      </c>
      <c r="D1984" s="27" t="s">
        <v>620</v>
      </c>
      <c r="E1984" s="1" t="s">
        <v>436</v>
      </c>
      <c r="F1984" s="1" t="s">
        <v>454</v>
      </c>
      <c r="G1984" s="1" t="s">
        <v>438</v>
      </c>
      <c r="H1984" s="1">
        <v>2340</v>
      </c>
      <c r="I1984" s="3">
        <v>46274</v>
      </c>
      <c r="J1984" s="3">
        <v>46287</v>
      </c>
      <c r="K1984" s="3" t="s">
        <v>2365</v>
      </c>
      <c r="L1984" s="31">
        <v>46274.551483831019</v>
      </c>
      <c r="M1984" s="33">
        <v>6</v>
      </c>
      <c r="N1984" s="1">
        <v>70</v>
      </c>
    </row>
    <row r="1985" spans="1:14" x14ac:dyDescent="0.25">
      <c r="A1985" t="str">
        <f t="shared" si="62"/>
        <v>U148108U148108</v>
      </c>
      <c r="B1985" t="str">
        <f t="shared" si="63"/>
        <v>U148108GC9060LL-M</v>
      </c>
      <c r="C1985" s="27" t="s">
        <v>55</v>
      </c>
      <c r="D1985" s="27" t="s">
        <v>620</v>
      </c>
      <c r="E1985" s="1" t="s">
        <v>436</v>
      </c>
      <c r="F1985" s="1" t="s">
        <v>454</v>
      </c>
      <c r="G1985" s="1" t="s">
        <v>438</v>
      </c>
      <c r="H1985" s="1">
        <v>2340</v>
      </c>
      <c r="I1985" s="3">
        <v>46274</v>
      </c>
      <c r="J1985" s="3">
        <v>46287</v>
      </c>
      <c r="K1985" s="3" t="s">
        <v>2365</v>
      </c>
      <c r="L1985" s="31">
        <v>46274.552350347221</v>
      </c>
      <c r="M1985" s="33">
        <v>6</v>
      </c>
      <c r="N1985" s="1">
        <v>58</v>
      </c>
    </row>
    <row r="1986" spans="1:14" x14ac:dyDescent="0.25">
      <c r="A1986" t="str">
        <f t="shared" ref="A1986:A2049" si="64">+D1986&amp;D1986</f>
        <v>U148108U148108</v>
      </c>
      <c r="B1986" t="str">
        <f t="shared" ref="B1986:B2049" si="65">+D1986&amp;C1986</f>
        <v>U148108GC9060LL-M</v>
      </c>
      <c r="C1986" s="27" t="s">
        <v>55</v>
      </c>
      <c r="D1986" s="27" t="s">
        <v>620</v>
      </c>
      <c r="E1986" s="1" t="s">
        <v>436</v>
      </c>
      <c r="F1986" s="1" t="s">
        <v>454</v>
      </c>
      <c r="G1986" s="1" t="s">
        <v>438</v>
      </c>
      <c r="H1986" s="1">
        <v>2340</v>
      </c>
      <c r="I1986" s="3">
        <v>46274</v>
      </c>
      <c r="J1986" s="3">
        <v>46287</v>
      </c>
      <c r="K1986" s="3" t="s">
        <v>2365</v>
      </c>
      <c r="L1986" s="31">
        <v>46274.572389155088</v>
      </c>
      <c r="M1986" s="33">
        <v>6</v>
      </c>
      <c r="N1986" s="1">
        <v>90</v>
      </c>
    </row>
    <row r="1987" spans="1:14" x14ac:dyDescent="0.25">
      <c r="A1987" t="str">
        <f t="shared" si="64"/>
        <v>U148108U148108</v>
      </c>
      <c r="B1987" t="str">
        <f t="shared" si="65"/>
        <v>U148108GC9060LL-M</v>
      </c>
      <c r="C1987" s="27" t="s">
        <v>55</v>
      </c>
      <c r="D1987" s="27" t="s">
        <v>620</v>
      </c>
      <c r="E1987" s="1" t="s">
        <v>436</v>
      </c>
      <c r="F1987" s="1" t="s">
        <v>454</v>
      </c>
      <c r="G1987" s="1" t="s">
        <v>438</v>
      </c>
      <c r="H1987" s="1">
        <v>2340</v>
      </c>
      <c r="I1987" s="3">
        <v>46274</v>
      </c>
      <c r="J1987" s="3">
        <v>46287</v>
      </c>
      <c r="K1987" s="3" t="s">
        <v>2365</v>
      </c>
      <c r="L1987" s="31">
        <v>46274.578973263888</v>
      </c>
      <c r="M1987" s="33">
        <v>6</v>
      </c>
      <c r="N1987" s="1">
        <v>98</v>
      </c>
    </row>
    <row r="1988" spans="1:14" x14ac:dyDescent="0.25">
      <c r="A1988" t="str">
        <f t="shared" si="64"/>
        <v>U148108U148108</v>
      </c>
      <c r="B1988" t="str">
        <f t="shared" si="65"/>
        <v>U148108GC9060LL-M</v>
      </c>
      <c r="C1988" s="27" t="s">
        <v>55</v>
      </c>
      <c r="D1988" s="27" t="s">
        <v>620</v>
      </c>
      <c r="E1988" s="1" t="s">
        <v>436</v>
      </c>
      <c r="F1988" s="1" t="s">
        <v>454</v>
      </c>
      <c r="G1988" s="1" t="s">
        <v>438</v>
      </c>
      <c r="H1988" s="1">
        <v>2340</v>
      </c>
      <c r="I1988" s="3">
        <v>46274</v>
      </c>
      <c r="J1988" s="3">
        <v>46287</v>
      </c>
      <c r="K1988" s="3" t="s">
        <v>2365</v>
      </c>
      <c r="L1988" s="31">
        <v>46274.617100266201</v>
      </c>
      <c r="M1988" s="33">
        <v>6</v>
      </c>
      <c r="N1988" s="1">
        <v>110</v>
      </c>
    </row>
    <row r="1989" spans="1:14" x14ac:dyDescent="0.25">
      <c r="A1989" t="str">
        <f t="shared" si="64"/>
        <v>U148108U148108</v>
      </c>
      <c r="B1989" t="str">
        <f t="shared" si="65"/>
        <v>U148108GC9060LL-M</v>
      </c>
      <c r="C1989" s="27" t="s">
        <v>55</v>
      </c>
      <c r="D1989" s="27" t="s">
        <v>620</v>
      </c>
      <c r="E1989" s="1" t="s">
        <v>436</v>
      </c>
      <c r="F1989" s="1" t="s">
        <v>454</v>
      </c>
      <c r="G1989" s="1" t="s">
        <v>438</v>
      </c>
      <c r="H1989" s="1">
        <v>2340</v>
      </c>
      <c r="I1989" s="3">
        <v>46274</v>
      </c>
      <c r="J1989" s="3">
        <v>46287</v>
      </c>
      <c r="K1989" s="3" t="s">
        <v>2365</v>
      </c>
      <c r="L1989" s="31">
        <v>46274.650565081014</v>
      </c>
      <c r="M1989" s="33">
        <v>6</v>
      </c>
      <c r="N1989" s="1">
        <v>104</v>
      </c>
    </row>
    <row r="1990" spans="1:14" x14ac:dyDescent="0.25">
      <c r="A1990" t="str">
        <f t="shared" si="64"/>
        <v>U148108U148108</v>
      </c>
      <c r="B1990" t="str">
        <f t="shared" si="65"/>
        <v>U148108GC9060LL-M</v>
      </c>
      <c r="C1990" s="27" t="s">
        <v>55</v>
      </c>
      <c r="D1990" s="27" t="s">
        <v>620</v>
      </c>
      <c r="E1990" s="1" t="s">
        <v>436</v>
      </c>
      <c r="F1990" s="1" t="s">
        <v>454</v>
      </c>
      <c r="G1990" s="1" t="s">
        <v>438</v>
      </c>
      <c r="H1990" s="1">
        <v>2340</v>
      </c>
      <c r="I1990" s="3">
        <v>46274</v>
      </c>
      <c r="J1990" s="3">
        <v>46287</v>
      </c>
      <c r="K1990" s="3" t="s">
        <v>2365</v>
      </c>
      <c r="L1990" s="31">
        <v>46274.660124768518</v>
      </c>
      <c r="M1990" s="33">
        <v>6</v>
      </c>
      <c r="N1990" s="1">
        <v>109</v>
      </c>
    </row>
    <row r="1991" spans="1:14" x14ac:dyDescent="0.25">
      <c r="A1991" t="str">
        <f t="shared" si="64"/>
        <v>U148108U148108</v>
      </c>
      <c r="B1991" t="str">
        <f t="shared" si="65"/>
        <v>U148108GC9060LL-M</v>
      </c>
      <c r="C1991" s="27" t="s">
        <v>55</v>
      </c>
      <c r="D1991" s="27" t="s">
        <v>620</v>
      </c>
      <c r="E1991" s="1" t="s">
        <v>436</v>
      </c>
      <c r="F1991" s="1" t="s">
        <v>454</v>
      </c>
      <c r="G1991" s="1" t="s">
        <v>438</v>
      </c>
      <c r="H1991" s="1">
        <v>2340</v>
      </c>
      <c r="I1991" s="3">
        <v>46274</v>
      </c>
      <c r="J1991" s="3">
        <v>46287</v>
      </c>
      <c r="K1991" s="3" t="s">
        <v>2365</v>
      </c>
      <c r="L1991" s="31">
        <v>46274.66079008102</v>
      </c>
      <c r="M1991" s="33">
        <v>6</v>
      </c>
      <c r="N1991" s="1">
        <v>100</v>
      </c>
    </row>
    <row r="1992" spans="1:14" x14ac:dyDescent="0.25">
      <c r="A1992" t="str">
        <f t="shared" si="64"/>
        <v>U148108U148108</v>
      </c>
      <c r="B1992" t="str">
        <f t="shared" si="65"/>
        <v>U148108GC9060LL-M</v>
      </c>
      <c r="C1992" s="27" t="s">
        <v>55</v>
      </c>
      <c r="D1992" s="27" t="s">
        <v>620</v>
      </c>
      <c r="E1992" s="1" t="s">
        <v>436</v>
      </c>
      <c r="F1992" s="1" t="s">
        <v>454</v>
      </c>
      <c r="G1992" s="1" t="s">
        <v>438</v>
      </c>
      <c r="H1992" s="1">
        <v>2340</v>
      </c>
      <c r="I1992" s="3">
        <v>46274</v>
      </c>
      <c r="J1992" s="3">
        <v>46287</v>
      </c>
      <c r="K1992" s="3" t="s">
        <v>2365</v>
      </c>
      <c r="L1992" s="31">
        <v>46274.671666817128</v>
      </c>
      <c r="M1992" s="33">
        <v>6</v>
      </c>
      <c r="N1992" s="1">
        <v>111</v>
      </c>
    </row>
    <row r="1993" spans="1:14" x14ac:dyDescent="0.25">
      <c r="A1993" t="str">
        <f t="shared" si="64"/>
        <v>U148108U148108</v>
      </c>
      <c r="B1993" t="str">
        <f t="shared" si="65"/>
        <v>U148108GC9060LL-M</v>
      </c>
      <c r="C1993" s="27" t="s">
        <v>55</v>
      </c>
      <c r="D1993" s="27" t="s">
        <v>620</v>
      </c>
      <c r="E1993" s="1" t="s">
        <v>436</v>
      </c>
      <c r="F1993" s="1" t="s">
        <v>454</v>
      </c>
      <c r="G1993" s="1" t="s">
        <v>438</v>
      </c>
      <c r="H1993" s="1">
        <v>2340</v>
      </c>
      <c r="I1993" s="3">
        <v>46274</v>
      </c>
      <c r="J1993" s="3">
        <v>46287</v>
      </c>
      <c r="K1993" s="3" t="s">
        <v>2365</v>
      </c>
      <c r="L1993" s="31">
        <v>46274.684924687499</v>
      </c>
      <c r="M1993" s="33">
        <v>6</v>
      </c>
      <c r="N1993" s="1">
        <v>112</v>
      </c>
    </row>
    <row r="1994" spans="1:14" x14ac:dyDescent="0.25">
      <c r="A1994" t="str">
        <f t="shared" si="64"/>
        <v>U148108U148108</v>
      </c>
      <c r="B1994" t="str">
        <f t="shared" si="65"/>
        <v>U148108GC9060LL-M</v>
      </c>
      <c r="C1994" s="27" t="s">
        <v>55</v>
      </c>
      <c r="D1994" s="27" t="s">
        <v>620</v>
      </c>
      <c r="E1994" s="1" t="s">
        <v>436</v>
      </c>
      <c r="F1994" s="1" t="s">
        <v>454</v>
      </c>
      <c r="G1994" s="1" t="s">
        <v>438</v>
      </c>
      <c r="H1994" s="1">
        <v>2340</v>
      </c>
      <c r="I1994" s="3">
        <v>46274</v>
      </c>
      <c r="J1994" s="3">
        <v>46287</v>
      </c>
      <c r="K1994" s="3" t="s">
        <v>2365</v>
      </c>
      <c r="L1994" s="31">
        <v>46274.687406400459</v>
      </c>
      <c r="M1994" s="33">
        <v>6</v>
      </c>
      <c r="N1994" s="1">
        <v>118</v>
      </c>
    </row>
    <row r="1995" spans="1:14" x14ac:dyDescent="0.25">
      <c r="A1995" t="str">
        <f t="shared" si="64"/>
        <v>U148108U148108</v>
      </c>
      <c r="B1995" t="str">
        <f t="shared" si="65"/>
        <v>U148108GC9060LL-M</v>
      </c>
      <c r="C1995" s="27" t="s">
        <v>55</v>
      </c>
      <c r="D1995" s="27" t="s">
        <v>620</v>
      </c>
      <c r="E1995" s="1" t="s">
        <v>436</v>
      </c>
      <c r="F1995" s="1" t="s">
        <v>454</v>
      </c>
      <c r="G1995" s="1" t="s">
        <v>438</v>
      </c>
      <c r="H1995" s="1">
        <v>2340</v>
      </c>
      <c r="I1995" s="3">
        <v>46274</v>
      </c>
      <c r="J1995" s="3">
        <v>46287</v>
      </c>
      <c r="K1995" s="3" t="s">
        <v>2365</v>
      </c>
      <c r="L1995" s="31">
        <v>46274.688872685183</v>
      </c>
      <c r="M1995" s="33">
        <v>6</v>
      </c>
      <c r="N1995" s="1">
        <v>116</v>
      </c>
    </row>
    <row r="1996" spans="1:14" x14ac:dyDescent="0.25">
      <c r="A1996" t="str">
        <f t="shared" si="64"/>
        <v>U148108U148108</v>
      </c>
      <c r="B1996" t="str">
        <f t="shared" si="65"/>
        <v>U148108GC9060LL-M</v>
      </c>
      <c r="C1996" s="27" t="s">
        <v>55</v>
      </c>
      <c r="D1996" s="27" t="s">
        <v>620</v>
      </c>
      <c r="E1996" s="1" t="s">
        <v>436</v>
      </c>
      <c r="F1996" s="1" t="s">
        <v>454</v>
      </c>
      <c r="G1996" s="1" t="s">
        <v>438</v>
      </c>
      <c r="H1996" s="1">
        <v>2340</v>
      </c>
      <c r="I1996" s="3">
        <v>46274</v>
      </c>
      <c r="J1996" s="3">
        <v>46287</v>
      </c>
      <c r="K1996" s="3" t="s">
        <v>2365</v>
      </c>
      <c r="L1996" s="31">
        <v>46274.68907743055</v>
      </c>
      <c r="M1996" s="33">
        <v>6</v>
      </c>
      <c r="N1996" s="1">
        <v>117</v>
      </c>
    </row>
    <row r="1997" spans="1:14" x14ac:dyDescent="0.25">
      <c r="A1997" t="str">
        <f t="shared" si="64"/>
        <v>U148108U148108</v>
      </c>
      <c r="B1997" t="str">
        <f t="shared" si="65"/>
        <v>U148108GC9060LL-M</v>
      </c>
      <c r="C1997" s="27" t="s">
        <v>55</v>
      </c>
      <c r="D1997" s="27" t="s">
        <v>620</v>
      </c>
      <c r="E1997" s="1" t="s">
        <v>436</v>
      </c>
      <c r="F1997" s="1" t="s">
        <v>454</v>
      </c>
      <c r="G1997" s="1" t="s">
        <v>438</v>
      </c>
      <c r="H1997" s="1">
        <v>2340</v>
      </c>
      <c r="I1997" s="3">
        <v>46274</v>
      </c>
      <c r="J1997" s="3">
        <v>46287</v>
      </c>
      <c r="K1997" s="3" t="s">
        <v>2365</v>
      </c>
      <c r="L1997" s="31">
        <v>46274.68933105324</v>
      </c>
      <c r="M1997" s="33">
        <v>6</v>
      </c>
      <c r="N1997" s="1">
        <v>114</v>
      </c>
    </row>
    <row r="1998" spans="1:14" x14ac:dyDescent="0.25">
      <c r="A1998" t="str">
        <f t="shared" si="64"/>
        <v>U148108U148108</v>
      </c>
      <c r="B1998" t="str">
        <f t="shared" si="65"/>
        <v>U148108GC9060LL-M</v>
      </c>
      <c r="C1998" s="27" t="s">
        <v>55</v>
      </c>
      <c r="D1998" s="27" t="s">
        <v>620</v>
      </c>
      <c r="E1998" s="1" t="s">
        <v>436</v>
      </c>
      <c r="F1998" s="1" t="s">
        <v>454</v>
      </c>
      <c r="G1998" s="1" t="s">
        <v>438</v>
      </c>
      <c r="H1998" s="1">
        <v>2340</v>
      </c>
      <c r="I1998" s="3">
        <v>46274</v>
      </c>
      <c r="J1998" s="3">
        <v>46287</v>
      </c>
      <c r="K1998" s="3" t="s">
        <v>2365</v>
      </c>
      <c r="L1998" s="31">
        <v>46274.722607986107</v>
      </c>
      <c r="M1998" s="33">
        <v>6</v>
      </c>
      <c r="N1998" s="1">
        <v>77</v>
      </c>
    </row>
    <row r="1999" spans="1:14" x14ac:dyDescent="0.25">
      <c r="A1999" t="str">
        <f t="shared" si="64"/>
        <v>U148108U148108</v>
      </c>
      <c r="B1999" t="str">
        <f t="shared" si="65"/>
        <v>U148108GC9060LL-M</v>
      </c>
      <c r="C1999" s="27" t="s">
        <v>55</v>
      </c>
      <c r="D1999" s="27" t="s">
        <v>620</v>
      </c>
      <c r="E1999" s="1" t="s">
        <v>436</v>
      </c>
      <c r="F1999" s="1" t="s">
        <v>454</v>
      </c>
      <c r="G1999" s="1" t="s">
        <v>438</v>
      </c>
      <c r="H1999" s="1">
        <v>2340</v>
      </c>
      <c r="I1999" s="3">
        <v>46274</v>
      </c>
      <c r="J1999" s="3">
        <v>46287</v>
      </c>
      <c r="K1999" s="3" t="s">
        <v>2365</v>
      </c>
      <c r="L1999" s="31">
        <v>46274.72357913194</v>
      </c>
      <c r="M1999" s="33">
        <v>6</v>
      </c>
      <c r="N1999" s="1">
        <v>75</v>
      </c>
    </row>
    <row r="2000" spans="1:14" x14ac:dyDescent="0.25">
      <c r="A2000" t="str">
        <f t="shared" si="64"/>
        <v>U148108U148108</v>
      </c>
      <c r="B2000" t="str">
        <f t="shared" si="65"/>
        <v>U148108GC9060LL-M</v>
      </c>
      <c r="C2000" s="27" t="s">
        <v>55</v>
      </c>
      <c r="D2000" s="27" t="s">
        <v>620</v>
      </c>
      <c r="E2000" s="1" t="s">
        <v>436</v>
      </c>
      <c r="F2000" s="1" t="s">
        <v>454</v>
      </c>
      <c r="G2000" s="1" t="s">
        <v>438</v>
      </c>
      <c r="H2000" s="1">
        <v>2340</v>
      </c>
      <c r="I2000" s="3">
        <v>46274</v>
      </c>
      <c r="J2000" s="3">
        <v>46287</v>
      </c>
      <c r="K2000" s="3" t="s">
        <v>2365</v>
      </c>
      <c r="L2000" s="31">
        <v>46274.724080011569</v>
      </c>
      <c r="M2000" s="33">
        <v>6</v>
      </c>
      <c r="N2000" s="1">
        <v>80</v>
      </c>
    </row>
    <row r="2001" spans="1:14" x14ac:dyDescent="0.25">
      <c r="A2001" t="str">
        <f t="shared" si="64"/>
        <v>U148108U148108</v>
      </c>
      <c r="B2001" t="str">
        <f t="shared" si="65"/>
        <v>U148108GC9060LL-M</v>
      </c>
      <c r="C2001" s="27" t="s">
        <v>55</v>
      </c>
      <c r="D2001" s="27" t="s">
        <v>620</v>
      </c>
      <c r="E2001" s="1" t="s">
        <v>436</v>
      </c>
      <c r="F2001" s="1" t="s">
        <v>454</v>
      </c>
      <c r="G2001" s="1" t="s">
        <v>438</v>
      </c>
      <c r="H2001" s="1">
        <v>2340</v>
      </c>
      <c r="I2001" s="3">
        <v>46274</v>
      </c>
      <c r="J2001" s="3">
        <v>46287</v>
      </c>
      <c r="K2001" s="3" t="s">
        <v>2365</v>
      </c>
      <c r="L2001" s="31">
        <v>46274.72465142361</v>
      </c>
      <c r="M2001" s="33">
        <v>6</v>
      </c>
      <c r="N2001" s="1">
        <v>53</v>
      </c>
    </row>
    <row r="2002" spans="1:14" x14ac:dyDescent="0.25">
      <c r="A2002" t="str">
        <f t="shared" si="64"/>
        <v>U148108U148108</v>
      </c>
      <c r="B2002" t="str">
        <f t="shared" si="65"/>
        <v>U148108GC9060LL-M</v>
      </c>
      <c r="C2002" s="27" t="s">
        <v>55</v>
      </c>
      <c r="D2002" s="27" t="s">
        <v>620</v>
      </c>
      <c r="E2002" s="1" t="s">
        <v>436</v>
      </c>
      <c r="F2002" s="1" t="s">
        <v>454</v>
      </c>
      <c r="G2002" s="1" t="s">
        <v>438</v>
      </c>
      <c r="H2002" s="1">
        <v>2340</v>
      </c>
      <c r="I2002" s="3">
        <v>46274</v>
      </c>
      <c r="J2002" s="3">
        <v>46287</v>
      </c>
      <c r="K2002" s="3" t="s">
        <v>2365</v>
      </c>
      <c r="L2002" s="31">
        <v>46274.724869988422</v>
      </c>
      <c r="M2002" s="33">
        <v>6</v>
      </c>
      <c r="N2002" s="1">
        <v>92</v>
      </c>
    </row>
    <row r="2003" spans="1:14" x14ac:dyDescent="0.25">
      <c r="A2003" t="str">
        <f t="shared" si="64"/>
        <v>U148108U148108</v>
      </c>
      <c r="B2003" t="str">
        <f t="shared" si="65"/>
        <v>U148108GC9060LL-M</v>
      </c>
      <c r="C2003" s="27" t="s">
        <v>55</v>
      </c>
      <c r="D2003" s="27" t="s">
        <v>620</v>
      </c>
      <c r="E2003" s="1" t="s">
        <v>436</v>
      </c>
      <c r="F2003" s="1" t="s">
        <v>454</v>
      </c>
      <c r="G2003" s="1" t="s">
        <v>438</v>
      </c>
      <c r="H2003" s="1">
        <v>2340</v>
      </c>
      <c r="I2003" s="3">
        <v>46274</v>
      </c>
      <c r="J2003" s="3">
        <v>46287</v>
      </c>
      <c r="K2003" s="3" t="s">
        <v>2365</v>
      </c>
      <c r="L2003" s="31">
        <v>46274.725544444445</v>
      </c>
      <c r="M2003" s="33">
        <v>6</v>
      </c>
      <c r="N2003" s="1">
        <v>113</v>
      </c>
    </row>
    <row r="2004" spans="1:14" x14ac:dyDescent="0.25">
      <c r="A2004" t="str">
        <f t="shared" si="64"/>
        <v>U148120U148120</v>
      </c>
      <c r="B2004" t="str">
        <f t="shared" si="65"/>
        <v>U148120GC9060LL-M</v>
      </c>
      <c r="C2004" s="27" t="s">
        <v>55</v>
      </c>
      <c r="D2004" s="27" t="s">
        <v>631</v>
      </c>
      <c r="E2004" s="1" t="s">
        <v>436</v>
      </c>
      <c r="F2004" s="1" t="s">
        <v>456</v>
      </c>
      <c r="G2004" s="1" t="s">
        <v>438</v>
      </c>
      <c r="H2004" s="1">
        <v>3300</v>
      </c>
      <c r="I2004" s="3">
        <v>46274</v>
      </c>
      <c r="J2004" s="3">
        <v>46281</v>
      </c>
      <c r="K2004" s="3" t="s">
        <v>2370</v>
      </c>
      <c r="L2004" s="31">
        <v>46274.682507060184</v>
      </c>
      <c r="M2004" s="33">
        <v>12</v>
      </c>
      <c r="N2004" s="1">
        <v>177</v>
      </c>
    </row>
    <row r="2005" spans="1:14" x14ac:dyDescent="0.25">
      <c r="A2005" t="str">
        <f t="shared" si="64"/>
        <v>U148120U148120</v>
      </c>
      <c r="B2005" t="str">
        <f t="shared" si="65"/>
        <v>U148120GC9060LL-M</v>
      </c>
      <c r="C2005" s="27" t="s">
        <v>55</v>
      </c>
      <c r="D2005" s="27" t="s">
        <v>631</v>
      </c>
      <c r="E2005" s="1" t="s">
        <v>436</v>
      </c>
      <c r="F2005" s="1" t="s">
        <v>456</v>
      </c>
      <c r="G2005" s="1" t="s">
        <v>438</v>
      </c>
      <c r="H2005" s="1">
        <v>3300</v>
      </c>
      <c r="I2005" s="3">
        <v>46274</v>
      </c>
      <c r="J2005" s="3">
        <v>46281</v>
      </c>
      <c r="K2005" s="3" t="s">
        <v>2370</v>
      </c>
      <c r="L2005" s="31">
        <v>46274.696524849533</v>
      </c>
      <c r="M2005" s="33">
        <v>12</v>
      </c>
      <c r="N2005" s="1">
        <v>176</v>
      </c>
    </row>
    <row r="2006" spans="1:14" x14ac:dyDescent="0.25">
      <c r="A2006" t="str">
        <f t="shared" si="64"/>
        <v>U148120U148120</v>
      </c>
      <c r="B2006" t="str">
        <f t="shared" si="65"/>
        <v>U148120GC9060LL-M</v>
      </c>
      <c r="C2006" s="27" t="s">
        <v>55</v>
      </c>
      <c r="D2006" s="27" t="s">
        <v>631</v>
      </c>
      <c r="E2006" s="1" t="s">
        <v>436</v>
      </c>
      <c r="F2006" s="1" t="s">
        <v>456</v>
      </c>
      <c r="G2006" s="1" t="s">
        <v>438</v>
      </c>
      <c r="H2006" s="1">
        <v>3300</v>
      </c>
      <c r="I2006" s="3">
        <v>46274</v>
      </c>
      <c r="J2006" s="3">
        <v>46281</v>
      </c>
      <c r="K2006" s="3" t="s">
        <v>2370</v>
      </c>
      <c r="L2006" s="31">
        <v>46274.696873148147</v>
      </c>
      <c r="M2006" s="33">
        <v>12</v>
      </c>
      <c r="N2006" s="1">
        <v>2</v>
      </c>
    </row>
    <row r="2007" spans="1:14" x14ac:dyDescent="0.25">
      <c r="A2007" t="str">
        <f t="shared" si="64"/>
        <v>U148120U148120</v>
      </c>
      <c r="B2007" t="str">
        <f t="shared" si="65"/>
        <v>U148120GC9060LL-M</v>
      </c>
      <c r="C2007" s="27" t="s">
        <v>55</v>
      </c>
      <c r="D2007" s="27" t="s">
        <v>631</v>
      </c>
      <c r="E2007" s="1" t="s">
        <v>436</v>
      </c>
      <c r="F2007" s="1" t="s">
        <v>456</v>
      </c>
      <c r="G2007" s="1" t="s">
        <v>438</v>
      </c>
      <c r="H2007" s="1">
        <v>3300</v>
      </c>
      <c r="I2007" s="3">
        <v>46274</v>
      </c>
      <c r="J2007" s="3">
        <v>46281</v>
      </c>
      <c r="K2007" s="3" t="s">
        <v>2370</v>
      </c>
      <c r="L2007" s="31">
        <v>46274.697038229162</v>
      </c>
      <c r="M2007" s="33">
        <v>12</v>
      </c>
      <c r="N2007" s="1">
        <v>175</v>
      </c>
    </row>
    <row r="2008" spans="1:14" x14ac:dyDescent="0.25">
      <c r="A2008" t="str">
        <f t="shared" si="64"/>
        <v>U148120U148120</v>
      </c>
      <c r="B2008" t="str">
        <f t="shared" si="65"/>
        <v>U148120GC9060LL-M</v>
      </c>
      <c r="C2008" s="27" t="s">
        <v>55</v>
      </c>
      <c r="D2008" s="27" t="s">
        <v>631</v>
      </c>
      <c r="E2008" s="1" t="s">
        <v>436</v>
      </c>
      <c r="F2008" s="1" t="s">
        <v>456</v>
      </c>
      <c r="G2008" s="1" t="s">
        <v>438</v>
      </c>
      <c r="H2008" s="1">
        <v>3300</v>
      </c>
      <c r="I2008" s="3">
        <v>46274</v>
      </c>
      <c r="J2008" s="3">
        <v>46281</v>
      </c>
      <c r="K2008" s="3" t="s">
        <v>2370</v>
      </c>
      <c r="L2008" s="31">
        <v>46274.704021956015</v>
      </c>
      <c r="M2008" s="33">
        <v>12</v>
      </c>
      <c r="N2008" s="1">
        <v>178</v>
      </c>
    </row>
    <row r="2009" spans="1:14" x14ac:dyDescent="0.25">
      <c r="A2009" t="str">
        <f t="shared" si="64"/>
        <v>U148120U148120</v>
      </c>
      <c r="B2009" t="str">
        <f t="shared" si="65"/>
        <v>U148120GC9060LL-M</v>
      </c>
      <c r="C2009" s="27" t="s">
        <v>55</v>
      </c>
      <c r="D2009" s="27" t="s">
        <v>631</v>
      </c>
      <c r="E2009" s="1" t="s">
        <v>436</v>
      </c>
      <c r="F2009" s="1" t="s">
        <v>456</v>
      </c>
      <c r="G2009" s="1" t="s">
        <v>438</v>
      </c>
      <c r="H2009" s="1">
        <v>3300</v>
      </c>
      <c r="I2009" s="3">
        <v>46274</v>
      </c>
      <c r="J2009" s="3">
        <v>46281</v>
      </c>
      <c r="K2009" s="3" t="s">
        <v>2370</v>
      </c>
      <c r="L2009" s="31">
        <v>46274.704174039347</v>
      </c>
      <c r="M2009" s="33">
        <v>12</v>
      </c>
      <c r="N2009" s="1">
        <v>1</v>
      </c>
    </row>
    <row r="2010" spans="1:14" x14ac:dyDescent="0.25">
      <c r="A2010" t="str">
        <f t="shared" si="64"/>
        <v>U148121U148121</v>
      </c>
      <c r="B2010" t="str">
        <f t="shared" si="65"/>
        <v>U148121GC9060LL-M</v>
      </c>
      <c r="C2010" s="1" t="s">
        <v>55</v>
      </c>
      <c r="D2010" s="1" t="s">
        <v>621</v>
      </c>
      <c r="E2010" s="1" t="s">
        <v>436</v>
      </c>
      <c r="F2010" s="1" t="s">
        <v>447</v>
      </c>
      <c r="G2010" s="1" t="s">
        <v>438</v>
      </c>
      <c r="H2010" s="1">
        <v>648</v>
      </c>
      <c r="I2010" s="3">
        <v>46274</v>
      </c>
      <c r="J2010" s="3">
        <v>46275</v>
      </c>
      <c r="K2010" s="3" t="s">
        <v>2368</v>
      </c>
      <c r="L2010" s="22">
        <v>46274.357379745372</v>
      </c>
      <c r="M2010" s="20">
        <v>12</v>
      </c>
      <c r="N2010" s="1">
        <v>9</v>
      </c>
    </row>
    <row r="2011" spans="1:14" x14ac:dyDescent="0.25">
      <c r="A2011" t="str">
        <f t="shared" si="64"/>
        <v>U148121U148121</v>
      </c>
      <c r="B2011" t="str">
        <f t="shared" si="65"/>
        <v>U148121GC9060LL-M</v>
      </c>
      <c r="C2011" s="1" t="s">
        <v>55</v>
      </c>
      <c r="D2011" s="1" t="s">
        <v>621</v>
      </c>
      <c r="E2011" s="1" t="s">
        <v>436</v>
      </c>
      <c r="F2011" s="1" t="s">
        <v>447</v>
      </c>
      <c r="G2011" s="1" t="s">
        <v>438</v>
      </c>
      <c r="H2011" s="1">
        <v>648</v>
      </c>
      <c r="I2011" s="3">
        <v>46274</v>
      </c>
      <c r="J2011" s="3">
        <v>46275</v>
      </c>
      <c r="K2011" s="3" t="s">
        <v>2368</v>
      </c>
      <c r="L2011" s="22">
        <v>46274.369961261575</v>
      </c>
      <c r="M2011" s="20">
        <v>12</v>
      </c>
      <c r="N2011" s="1">
        <v>8</v>
      </c>
    </row>
    <row r="2012" spans="1:14" x14ac:dyDescent="0.25">
      <c r="A2012" t="str">
        <f t="shared" si="64"/>
        <v>U148121U148121</v>
      </c>
      <c r="B2012" t="str">
        <f t="shared" si="65"/>
        <v>U148121GC9060LL-M</v>
      </c>
      <c r="C2012" s="1" t="s">
        <v>55</v>
      </c>
      <c r="D2012" s="1" t="s">
        <v>621</v>
      </c>
      <c r="E2012" s="1" t="s">
        <v>436</v>
      </c>
      <c r="F2012" s="1" t="s">
        <v>447</v>
      </c>
      <c r="G2012" s="1" t="s">
        <v>438</v>
      </c>
      <c r="H2012" s="1">
        <v>648</v>
      </c>
      <c r="I2012" s="3">
        <v>46274</v>
      </c>
      <c r="J2012" s="3">
        <v>46275</v>
      </c>
      <c r="K2012" s="3" t="s">
        <v>2368</v>
      </c>
      <c r="L2012" s="22">
        <v>46274.370774537034</v>
      </c>
      <c r="M2012" s="20">
        <v>12</v>
      </c>
      <c r="N2012" s="1">
        <v>6</v>
      </c>
    </row>
    <row r="2013" spans="1:14" x14ac:dyDescent="0.25">
      <c r="A2013" t="str">
        <f t="shared" si="64"/>
        <v>U148121U148121</v>
      </c>
      <c r="B2013" t="str">
        <f t="shared" si="65"/>
        <v>U148121GC9060LL-M</v>
      </c>
      <c r="C2013" s="1" t="s">
        <v>55</v>
      </c>
      <c r="D2013" s="1" t="s">
        <v>621</v>
      </c>
      <c r="E2013" s="1" t="s">
        <v>436</v>
      </c>
      <c r="F2013" s="1" t="s">
        <v>447</v>
      </c>
      <c r="G2013" s="1" t="s">
        <v>438</v>
      </c>
      <c r="H2013" s="1">
        <v>648</v>
      </c>
      <c r="I2013" s="3">
        <v>46274</v>
      </c>
      <c r="J2013" s="3">
        <v>46275</v>
      </c>
      <c r="K2013" s="3" t="s">
        <v>2368</v>
      </c>
      <c r="L2013" s="22">
        <v>46274.371316168981</v>
      </c>
      <c r="M2013" s="20">
        <v>12</v>
      </c>
      <c r="N2013" s="1">
        <v>5</v>
      </c>
    </row>
    <row r="2014" spans="1:14" x14ac:dyDescent="0.25">
      <c r="A2014" t="str">
        <f t="shared" si="64"/>
        <v>U148121U148121</v>
      </c>
      <c r="B2014" t="str">
        <f t="shared" si="65"/>
        <v>U148121GC9060LL-M</v>
      </c>
      <c r="C2014" s="1" t="s">
        <v>55</v>
      </c>
      <c r="D2014" s="1" t="s">
        <v>621</v>
      </c>
      <c r="E2014" s="1" t="s">
        <v>436</v>
      </c>
      <c r="F2014" s="1" t="s">
        <v>447</v>
      </c>
      <c r="G2014" s="1" t="s">
        <v>438</v>
      </c>
      <c r="H2014" s="1">
        <v>648</v>
      </c>
      <c r="I2014" s="3">
        <v>46274</v>
      </c>
      <c r="J2014" s="3">
        <v>46275</v>
      </c>
      <c r="K2014" s="3" t="s">
        <v>2368</v>
      </c>
      <c r="L2014" s="22">
        <v>46274.381159872682</v>
      </c>
      <c r="M2014" s="20">
        <v>12</v>
      </c>
      <c r="N2014" s="1">
        <v>7</v>
      </c>
    </row>
    <row r="2015" spans="1:14" x14ac:dyDescent="0.25">
      <c r="A2015" t="str">
        <f t="shared" si="64"/>
        <v>U148121U148121</v>
      </c>
      <c r="B2015" t="str">
        <f t="shared" si="65"/>
        <v>U148121GC9060LL-M</v>
      </c>
      <c r="C2015" s="1" t="s">
        <v>55</v>
      </c>
      <c r="D2015" s="1" t="s">
        <v>621</v>
      </c>
      <c r="E2015" s="1" t="s">
        <v>436</v>
      </c>
      <c r="F2015" s="1" t="s">
        <v>447</v>
      </c>
      <c r="G2015" s="1" t="s">
        <v>438</v>
      </c>
      <c r="H2015" s="1">
        <v>648</v>
      </c>
      <c r="I2015" s="3">
        <v>46274</v>
      </c>
      <c r="J2015" s="3">
        <v>46275</v>
      </c>
      <c r="K2015" s="3" t="s">
        <v>2368</v>
      </c>
      <c r="L2015" s="22">
        <v>46274.389289155093</v>
      </c>
      <c r="M2015" s="20">
        <v>12</v>
      </c>
      <c r="N2015" s="1">
        <v>28</v>
      </c>
    </row>
    <row r="2016" spans="1:14" x14ac:dyDescent="0.25">
      <c r="A2016" t="str">
        <f t="shared" si="64"/>
        <v>U148121U148121</v>
      </c>
      <c r="B2016" t="str">
        <f t="shared" si="65"/>
        <v>U148121GC9060LL-M</v>
      </c>
      <c r="C2016" s="1" t="s">
        <v>55</v>
      </c>
      <c r="D2016" s="1" t="s">
        <v>621</v>
      </c>
      <c r="E2016" s="1" t="s">
        <v>436</v>
      </c>
      <c r="F2016" s="1" t="s">
        <v>447</v>
      </c>
      <c r="G2016" s="1" t="s">
        <v>438</v>
      </c>
      <c r="H2016" s="1">
        <v>648</v>
      </c>
      <c r="I2016" s="3">
        <v>46274</v>
      </c>
      <c r="J2016" s="3">
        <v>46275</v>
      </c>
      <c r="K2016" s="3" t="s">
        <v>2368</v>
      </c>
      <c r="L2016" s="22">
        <v>46274.389941053239</v>
      </c>
      <c r="M2016" s="20">
        <v>12</v>
      </c>
      <c r="N2016" s="1">
        <v>18</v>
      </c>
    </row>
    <row r="2017" spans="1:14" x14ac:dyDescent="0.25">
      <c r="A2017" t="str">
        <f t="shared" si="64"/>
        <v>U148121U148121</v>
      </c>
      <c r="B2017" t="str">
        <f t="shared" si="65"/>
        <v>U148121GC9060LL-M</v>
      </c>
      <c r="C2017" s="1" t="s">
        <v>55</v>
      </c>
      <c r="D2017" s="1" t="s">
        <v>621</v>
      </c>
      <c r="E2017" s="1" t="s">
        <v>436</v>
      </c>
      <c r="F2017" s="1" t="s">
        <v>447</v>
      </c>
      <c r="G2017" s="1" t="s">
        <v>438</v>
      </c>
      <c r="H2017" s="1">
        <v>648</v>
      </c>
      <c r="I2017" s="3">
        <v>46274</v>
      </c>
      <c r="J2017" s="3">
        <v>46275</v>
      </c>
      <c r="K2017" s="3" t="s">
        <v>2368</v>
      </c>
      <c r="L2017" s="22">
        <v>46274.390569710646</v>
      </c>
      <c r="M2017" s="20">
        <v>12</v>
      </c>
      <c r="N2017" s="1">
        <v>32</v>
      </c>
    </row>
    <row r="2018" spans="1:14" x14ac:dyDescent="0.25">
      <c r="A2018" t="str">
        <f t="shared" si="64"/>
        <v>U148121U148121</v>
      </c>
      <c r="B2018" t="str">
        <f t="shared" si="65"/>
        <v>U148121GC9060LL-M</v>
      </c>
      <c r="C2018" s="27" t="s">
        <v>55</v>
      </c>
      <c r="D2018" s="27" t="s">
        <v>621</v>
      </c>
      <c r="E2018" s="1" t="s">
        <v>436</v>
      </c>
      <c r="F2018" s="1" t="s">
        <v>447</v>
      </c>
      <c r="G2018" s="1" t="s">
        <v>438</v>
      </c>
      <c r="H2018" s="1">
        <v>648</v>
      </c>
      <c r="I2018" s="3">
        <v>46274</v>
      </c>
      <c r="J2018" s="3">
        <v>46275</v>
      </c>
      <c r="K2018" s="3" t="s">
        <v>2368</v>
      </c>
      <c r="L2018" s="31">
        <v>46274.400631099532</v>
      </c>
      <c r="M2018" s="33">
        <v>12</v>
      </c>
      <c r="N2018" s="1">
        <v>31</v>
      </c>
    </row>
    <row r="2019" spans="1:14" x14ac:dyDescent="0.25">
      <c r="A2019" t="str">
        <f t="shared" si="64"/>
        <v>U148121U148121</v>
      </c>
      <c r="B2019" t="str">
        <f t="shared" si="65"/>
        <v>U148121GC9060LL-M</v>
      </c>
      <c r="C2019" s="27" t="s">
        <v>55</v>
      </c>
      <c r="D2019" s="27" t="s">
        <v>621</v>
      </c>
      <c r="E2019" s="1" t="s">
        <v>436</v>
      </c>
      <c r="F2019" s="1" t="s">
        <v>447</v>
      </c>
      <c r="G2019" s="1" t="s">
        <v>438</v>
      </c>
      <c r="H2019" s="1">
        <v>648</v>
      </c>
      <c r="I2019" s="3">
        <v>46274</v>
      </c>
      <c r="J2019" s="3">
        <v>46275</v>
      </c>
      <c r="K2019" s="3" t="s">
        <v>2368</v>
      </c>
      <c r="L2019" s="31">
        <v>46274.40186111111</v>
      </c>
      <c r="M2019" s="33">
        <v>12</v>
      </c>
      <c r="N2019" s="1">
        <v>27</v>
      </c>
    </row>
    <row r="2020" spans="1:14" x14ac:dyDescent="0.25">
      <c r="A2020" t="str">
        <f t="shared" si="64"/>
        <v>U148121U148121</v>
      </c>
      <c r="B2020" t="str">
        <f t="shared" si="65"/>
        <v>U148121GC9060LL-M</v>
      </c>
      <c r="C2020" s="27" t="s">
        <v>55</v>
      </c>
      <c r="D2020" s="27" t="s">
        <v>621</v>
      </c>
      <c r="E2020" s="1" t="s">
        <v>436</v>
      </c>
      <c r="F2020" s="1" t="s">
        <v>447</v>
      </c>
      <c r="G2020" s="1" t="s">
        <v>438</v>
      </c>
      <c r="H2020" s="1">
        <v>648</v>
      </c>
      <c r="I2020" s="3">
        <v>46274</v>
      </c>
      <c r="J2020" s="3">
        <v>46275</v>
      </c>
      <c r="K2020" s="3" t="s">
        <v>2368</v>
      </c>
      <c r="L2020" s="31">
        <v>46274.402533715278</v>
      </c>
      <c r="M2020" s="33">
        <v>12</v>
      </c>
      <c r="N2020" s="1">
        <v>13</v>
      </c>
    </row>
    <row r="2021" spans="1:14" x14ac:dyDescent="0.25">
      <c r="A2021" t="str">
        <f t="shared" si="64"/>
        <v>U148121U148121</v>
      </c>
      <c r="B2021" t="str">
        <f t="shared" si="65"/>
        <v>U148121GC9060LL-M</v>
      </c>
      <c r="C2021" s="27" t="s">
        <v>55</v>
      </c>
      <c r="D2021" s="27" t="s">
        <v>621</v>
      </c>
      <c r="E2021" s="1" t="s">
        <v>436</v>
      </c>
      <c r="F2021" s="1" t="s">
        <v>447</v>
      </c>
      <c r="G2021" s="1" t="s">
        <v>438</v>
      </c>
      <c r="H2021" s="1">
        <v>648</v>
      </c>
      <c r="I2021" s="3">
        <v>46274</v>
      </c>
      <c r="J2021" s="3">
        <v>46275</v>
      </c>
      <c r="K2021" s="3" t="s">
        <v>2368</v>
      </c>
      <c r="L2021" s="31">
        <v>46274.404503206017</v>
      </c>
      <c r="M2021" s="33">
        <v>12</v>
      </c>
      <c r="N2021" s="1">
        <v>22</v>
      </c>
    </row>
    <row r="2022" spans="1:14" x14ac:dyDescent="0.25">
      <c r="A2022" t="str">
        <f t="shared" si="64"/>
        <v>U148121U148121</v>
      </c>
      <c r="B2022" t="str">
        <f t="shared" si="65"/>
        <v>U148121GC9060LL-M</v>
      </c>
      <c r="C2022" s="27" t="s">
        <v>55</v>
      </c>
      <c r="D2022" s="27" t="s">
        <v>621</v>
      </c>
      <c r="E2022" s="1" t="s">
        <v>436</v>
      </c>
      <c r="F2022" s="1" t="s">
        <v>447</v>
      </c>
      <c r="G2022" s="1" t="s">
        <v>438</v>
      </c>
      <c r="H2022" s="1">
        <v>648</v>
      </c>
      <c r="I2022" s="3">
        <v>46274</v>
      </c>
      <c r="J2022" s="3">
        <v>46275</v>
      </c>
      <c r="K2022" s="3" t="s">
        <v>2368</v>
      </c>
      <c r="L2022" s="31">
        <v>46274.405063576385</v>
      </c>
      <c r="M2022" s="33">
        <v>12</v>
      </c>
      <c r="N2022" s="1">
        <v>30</v>
      </c>
    </row>
    <row r="2023" spans="1:14" x14ac:dyDescent="0.25">
      <c r="A2023" t="str">
        <f t="shared" si="64"/>
        <v>U148121U148121</v>
      </c>
      <c r="B2023" t="str">
        <f t="shared" si="65"/>
        <v>U148121GC9060LL-M</v>
      </c>
      <c r="C2023" s="27" t="s">
        <v>55</v>
      </c>
      <c r="D2023" s="27" t="s">
        <v>621</v>
      </c>
      <c r="E2023" s="1" t="s">
        <v>436</v>
      </c>
      <c r="F2023" s="1" t="s">
        <v>447</v>
      </c>
      <c r="G2023" s="1" t="s">
        <v>438</v>
      </c>
      <c r="H2023" s="1">
        <v>648</v>
      </c>
      <c r="I2023" s="3">
        <v>46274</v>
      </c>
      <c r="J2023" s="3">
        <v>46275</v>
      </c>
      <c r="K2023" s="3" t="s">
        <v>2368</v>
      </c>
      <c r="L2023" s="31">
        <v>46274.40996315972</v>
      </c>
      <c r="M2023" s="33">
        <v>12</v>
      </c>
      <c r="N2023" s="1">
        <v>35</v>
      </c>
    </row>
    <row r="2024" spans="1:14" x14ac:dyDescent="0.25">
      <c r="A2024" t="str">
        <f t="shared" si="64"/>
        <v>U148121U148121</v>
      </c>
      <c r="B2024" t="str">
        <f t="shared" si="65"/>
        <v>U148121GC9060LL-M</v>
      </c>
      <c r="C2024" s="27" t="s">
        <v>55</v>
      </c>
      <c r="D2024" s="27" t="s">
        <v>621</v>
      </c>
      <c r="E2024" s="1" t="s">
        <v>436</v>
      </c>
      <c r="F2024" s="1" t="s">
        <v>447</v>
      </c>
      <c r="G2024" s="1" t="s">
        <v>438</v>
      </c>
      <c r="H2024" s="1">
        <v>648</v>
      </c>
      <c r="I2024" s="3">
        <v>46274</v>
      </c>
      <c r="J2024" s="3">
        <v>46275</v>
      </c>
      <c r="K2024" s="3" t="s">
        <v>2368</v>
      </c>
      <c r="L2024" s="31">
        <v>46274.412695752311</v>
      </c>
      <c r="M2024" s="33">
        <v>12</v>
      </c>
      <c r="N2024" s="1">
        <v>38</v>
      </c>
    </row>
    <row r="2025" spans="1:14" x14ac:dyDescent="0.25">
      <c r="A2025" t="str">
        <f t="shared" si="64"/>
        <v>U148121U148121</v>
      </c>
      <c r="B2025" t="str">
        <f t="shared" si="65"/>
        <v>U148121GC9060LL-M</v>
      </c>
      <c r="C2025" s="27" t="s">
        <v>55</v>
      </c>
      <c r="D2025" s="27" t="s">
        <v>621</v>
      </c>
      <c r="E2025" s="1" t="s">
        <v>436</v>
      </c>
      <c r="F2025" s="1" t="s">
        <v>447</v>
      </c>
      <c r="G2025" s="1" t="s">
        <v>438</v>
      </c>
      <c r="H2025" s="1">
        <v>648</v>
      </c>
      <c r="I2025" s="3">
        <v>46274</v>
      </c>
      <c r="J2025" s="3">
        <v>46275</v>
      </c>
      <c r="K2025" s="3" t="s">
        <v>2368</v>
      </c>
      <c r="L2025" s="31">
        <v>46274.412910532403</v>
      </c>
      <c r="M2025" s="33">
        <v>12</v>
      </c>
      <c r="N2025" s="1">
        <v>21</v>
      </c>
    </row>
    <row r="2026" spans="1:14" x14ac:dyDescent="0.25">
      <c r="A2026" t="str">
        <f t="shared" si="64"/>
        <v>U148121U148121</v>
      </c>
      <c r="B2026" t="str">
        <f t="shared" si="65"/>
        <v>U148121GC9060LL-M</v>
      </c>
      <c r="C2026" s="27" t="s">
        <v>55</v>
      </c>
      <c r="D2026" s="27" t="s">
        <v>621</v>
      </c>
      <c r="E2026" s="1" t="s">
        <v>436</v>
      </c>
      <c r="F2026" s="1" t="s">
        <v>447</v>
      </c>
      <c r="G2026" s="1" t="s">
        <v>438</v>
      </c>
      <c r="H2026" s="1">
        <v>648</v>
      </c>
      <c r="I2026" s="3">
        <v>46274</v>
      </c>
      <c r="J2026" s="3">
        <v>46275</v>
      </c>
      <c r="K2026" s="3" t="s">
        <v>2368</v>
      </c>
      <c r="L2026" s="31">
        <v>46274.414556944444</v>
      </c>
      <c r="M2026" s="33">
        <v>12</v>
      </c>
      <c r="N2026" s="1">
        <v>34</v>
      </c>
    </row>
    <row r="2027" spans="1:14" x14ac:dyDescent="0.25">
      <c r="A2027" t="str">
        <f t="shared" si="64"/>
        <v>U148121U148121</v>
      </c>
      <c r="B2027" t="str">
        <f t="shared" si="65"/>
        <v>U148121GC9060LL-M</v>
      </c>
      <c r="C2027" s="27" t="s">
        <v>55</v>
      </c>
      <c r="D2027" s="27" t="s">
        <v>621</v>
      </c>
      <c r="E2027" s="1" t="s">
        <v>436</v>
      </c>
      <c r="F2027" s="1" t="s">
        <v>447</v>
      </c>
      <c r="G2027" s="1" t="s">
        <v>438</v>
      </c>
      <c r="H2027" s="1">
        <v>648</v>
      </c>
      <c r="I2027" s="3">
        <v>46274</v>
      </c>
      <c r="J2027" s="3">
        <v>46275</v>
      </c>
      <c r="K2027" s="3" t="s">
        <v>2368</v>
      </c>
      <c r="L2027" s="31">
        <v>46274.420321793979</v>
      </c>
      <c r="M2027" s="33">
        <v>12</v>
      </c>
      <c r="N2027" s="1">
        <v>26</v>
      </c>
    </row>
    <row r="2028" spans="1:14" x14ac:dyDescent="0.25">
      <c r="A2028" t="str">
        <f t="shared" si="64"/>
        <v>U148121U148121</v>
      </c>
      <c r="B2028" t="str">
        <f t="shared" si="65"/>
        <v>U148121GC9060LL-M</v>
      </c>
      <c r="C2028" s="27" t="s">
        <v>55</v>
      </c>
      <c r="D2028" s="27" t="s">
        <v>621</v>
      </c>
      <c r="E2028" s="1" t="s">
        <v>436</v>
      </c>
      <c r="F2028" s="1" t="s">
        <v>447</v>
      </c>
      <c r="G2028" s="1" t="s">
        <v>438</v>
      </c>
      <c r="H2028" s="1">
        <v>648</v>
      </c>
      <c r="I2028" s="3">
        <v>46274</v>
      </c>
      <c r="J2028" s="3">
        <v>46275</v>
      </c>
      <c r="K2028" s="3" t="s">
        <v>2368</v>
      </c>
      <c r="L2028" s="31">
        <v>46274.435498113424</v>
      </c>
      <c r="M2028" s="33">
        <v>12</v>
      </c>
      <c r="N2028" s="1">
        <v>33</v>
      </c>
    </row>
    <row r="2029" spans="1:14" x14ac:dyDescent="0.25">
      <c r="A2029" t="str">
        <f t="shared" si="64"/>
        <v>U148121U148121</v>
      </c>
      <c r="B2029" t="str">
        <f t="shared" si="65"/>
        <v>U148121GC9060LL-M</v>
      </c>
      <c r="C2029" s="27" t="s">
        <v>55</v>
      </c>
      <c r="D2029" s="27" t="s">
        <v>621</v>
      </c>
      <c r="E2029" s="1" t="s">
        <v>436</v>
      </c>
      <c r="F2029" s="1" t="s">
        <v>447</v>
      </c>
      <c r="G2029" s="1" t="s">
        <v>438</v>
      </c>
      <c r="H2029" s="1">
        <v>648</v>
      </c>
      <c r="I2029" s="3">
        <v>46274</v>
      </c>
      <c r="J2029" s="3">
        <v>46275</v>
      </c>
      <c r="K2029" s="3" t="s">
        <v>2368</v>
      </c>
      <c r="L2029" s="31">
        <v>46274.436243136573</v>
      </c>
      <c r="M2029" s="33">
        <v>12</v>
      </c>
      <c r="N2029" s="1">
        <v>24</v>
      </c>
    </row>
    <row r="2030" spans="1:14" x14ac:dyDescent="0.25">
      <c r="A2030" t="str">
        <f t="shared" si="64"/>
        <v>U148121U148121</v>
      </c>
      <c r="B2030" t="str">
        <f t="shared" si="65"/>
        <v>U148121GC9060LL-M</v>
      </c>
      <c r="C2030" s="27" t="s">
        <v>55</v>
      </c>
      <c r="D2030" s="27" t="s">
        <v>621</v>
      </c>
      <c r="E2030" s="1" t="s">
        <v>436</v>
      </c>
      <c r="F2030" s="1" t="s">
        <v>447</v>
      </c>
      <c r="G2030" s="1" t="s">
        <v>438</v>
      </c>
      <c r="H2030" s="1">
        <v>648</v>
      </c>
      <c r="I2030" s="3">
        <v>46274</v>
      </c>
      <c r="J2030" s="3">
        <v>46275</v>
      </c>
      <c r="K2030" s="3" t="s">
        <v>2368</v>
      </c>
      <c r="L2030" s="31">
        <v>46274.439672835644</v>
      </c>
      <c r="M2030" s="33">
        <v>12</v>
      </c>
      <c r="N2030" s="1">
        <v>11</v>
      </c>
    </row>
    <row r="2031" spans="1:14" x14ac:dyDescent="0.25">
      <c r="A2031" t="str">
        <f t="shared" si="64"/>
        <v>U148121U148121</v>
      </c>
      <c r="B2031" t="str">
        <f t="shared" si="65"/>
        <v>U148121GC9060LL-M</v>
      </c>
      <c r="C2031" s="27" t="s">
        <v>55</v>
      </c>
      <c r="D2031" s="27" t="s">
        <v>621</v>
      </c>
      <c r="E2031" s="1" t="s">
        <v>436</v>
      </c>
      <c r="F2031" s="1" t="s">
        <v>447</v>
      </c>
      <c r="G2031" s="1" t="s">
        <v>438</v>
      </c>
      <c r="H2031" s="1">
        <v>648</v>
      </c>
      <c r="I2031" s="3">
        <v>46274</v>
      </c>
      <c r="J2031" s="3">
        <v>46275</v>
      </c>
      <c r="K2031" s="3" t="s">
        <v>2368</v>
      </c>
      <c r="L2031" s="31">
        <v>46274.445049537033</v>
      </c>
      <c r="M2031" s="33">
        <v>12</v>
      </c>
      <c r="N2031" s="1">
        <v>37</v>
      </c>
    </row>
    <row r="2032" spans="1:14" x14ac:dyDescent="0.25">
      <c r="A2032" t="str">
        <f t="shared" si="64"/>
        <v>U148121U148121</v>
      </c>
      <c r="B2032" t="str">
        <f t="shared" si="65"/>
        <v>U148121GC9060LL-M</v>
      </c>
      <c r="C2032" s="27" t="s">
        <v>55</v>
      </c>
      <c r="D2032" s="27" t="s">
        <v>621</v>
      </c>
      <c r="E2032" s="1" t="s">
        <v>436</v>
      </c>
      <c r="F2032" s="1" t="s">
        <v>447</v>
      </c>
      <c r="G2032" s="1" t="s">
        <v>438</v>
      </c>
      <c r="H2032" s="1">
        <v>648</v>
      </c>
      <c r="I2032" s="3">
        <v>46274</v>
      </c>
      <c r="J2032" s="3">
        <v>46275</v>
      </c>
      <c r="K2032" s="3" t="s">
        <v>2368</v>
      </c>
      <c r="L2032" s="31">
        <v>46274.452086921294</v>
      </c>
      <c r="M2032" s="33">
        <v>12</v>
      </c>
      <c r="N2032" s="1">
        <v>40</v>
      </c>
    </row>
    <row r="2033" spans="1:14" x14ac:dyDescent="0.25">
      <c r="A2033" t="str">
        <f t="shared" si="64"/>
        <v>U148121U148121</v>
      </c>
      <c r="B2033" t="str">
        <f t="shared" si="65"/>
        <v>U148121GC9060LL-M</v>
      </c>
      <c r="C2033" s="27" t="s">
        <v>55</v>
      </c>
      <c r="D2033" s="27" t="s">
        <v>621</v>
      </c>
      <c r="E2033" s="1" t="s">
        <v>436</v>
      </c>
      <c r="F2033" s="1" t="s">
        <v>447</v>
      </c>
      <c r="G2033" s="1" t="s">
        <v>438</v>
      </c>
      <c r="H2033" s="1">
        <v>648</v>
      </c>
      <c r="I2033" s="3">
        <v>46274</v>
      </c>
      <c r="J2033" s="3">
        <v>46275</v>
      </c>
      <c r="K2033" s="3" t="s">
        <v>2368</v>
      </c>
      <c r="L2033" s="31">
        <v>46274.474266006946</v>
      </c>
      <c r="M2033" s="33">
        <v>12</v>
      </c>
      <c r="N2033" s="1">
        <v>14</v>
      </c>
    </row>
    <row r="2034" spans="1:14" x14ac:dyDescent="0.25">
      <c r="A2034" t="str">
        <f t="shared" si="64"/>
        <v>U148121U148121</v>
      </c>
      <c r="B2034" t="str">
        <f t="shared" si="65"/>
        <v>U148121GC9060LL-M</v>
      </c>
      <c r="C2034" s="27" t="s">
        <v>55</v>
      </c>
      <c r="D2034" s="27" t="s">
        <v>621</v>
      </c>
      <c r="E2034" s="1" t="s">
        <v>436</v>
      </c>
      <c r="F2034" s="1" t="s">
        <v>447</v>
      </c>
      <c r="G2034" s="1" t="s">
        <v>438</v>
      </c>
      <c r="H2034" s="1">
        <v>648</v>
      </c>
      <c r="I2034" s="3">
        <v>46274</v>
      </c>
      <c r="J2034" s="3">
        <v>46275</v>
      </c>
      <c r="K2034" s="3" t="s">
        <v>2368</v>
      </c>
      <c r="L2034" s="31">
        <v>46274.474757870368</v>
      </c>
      <c r="M2034" s="33">
        <v>12</v>
      </c>
      <c r="N2034" s="1">
        <v>20</v>
      </c>
    </row>
    <row r="2035" spans="1:14" x14ac:dyDescent="0.25">
      <c r="A2035" t="str">
        <f t="shared" si="64"/>
        <v>U148121U148121</v>
      </c>
      <c r="B2035" t="str">
        <f t="shared" si="65"/>
        <v>U148121GC9060LL-M</v>
      </c>
      <c r="C2035" s="27" t="s">
        <v>55</v>
      </c>
      <c r="D2035" s="27" t="s">
        <v>621</v>
      </c>
      <c r="E2035" s="1" t="s">
        <v>436</v>
      </c>
      <c r="F2035" s="1" t="s">
        <v>447</v>
      </c>
      <c r="G2035" s="1" t="s">
        <v>438</v>
      </c>
      <c r="H2035" s="1">
        <v>648</v>
      </c>
      <c r="I2035" s="3">
        <v>46274</v>
      </c>
      <c r="J2035" s="3">
        <v>46275</v>
      </c>
      <c r="K2035" s="3" t="s">
        <v>2368</v>
      </c>
      <c r="L2035" s="31">
        <v>46274.475108912033</v>
      </c>
      <c r="M2035" s="33">
        <v>12</v>
      </c>
      <c r="N2035" s="1">
        <v>16</v>
      </c>
    </row>
    <row r="2036" spans="1:14" x14ac:dyDescent="0.25">
      <c r="A2036" t="str">
        <f t="shared" si="64"/>
        <v>U148121U148121</v>
      </c>
      <c r="B2036" t="str">
        <f t="shared" si="65"/>
        <v>U148121GC9060LL-M</v>
      </c>
      <c r="C2036" s="27" t="s">
        <v>55</v>
      </c>
      <c r="D2036" s="27" t="s">
        <v>621</v>
      </c>
      <c r="E2036" s="1" t="s">
        <v>436</v>
      </c>
      <c r="F2036" s="1" t="s">
        <v>447</v>
      </c>
      <c r="G2036" s="1" t="s">
        <v>438</v>
      </c>
      <c r="H2036" s="1">
        <v>648</v>
      </c>
      <c r="I2036" s="3">
        <v>46274</v>
      </c>
      <c r="J2036" s="3">
        <v>46275</v>
      </c>
      <c r="K2036" s="3" t="s">
        <v>2368</v>
      </c>
      <c r="L2036" s="31">
        <v>46274.48015802083</v>
      </c>
      <c r="M2036" s="33">
        <v>12</v>
      </c>
      <c r="N2036" s="1">
        <v>12</v>
      </c>
    </row>
    <row r="2037" spans="1:14" x14ac:dyDescent="0.25">
      <c r="A2037" t="str">
        <f t="shared" si="64"/>
        <v>U148121U148121</v>
      </c>
      <c r="B2037" t="str">
        <f t="shared" si="65"/>
        <v>U148121GC9060LL-M</v>
      </c>
      <c r="C2037" s="27" t="s">
        <v>55</v>
      </c>
      <c r="D2037" s="27" t="s">
        <v>621</v>
      </c>
      <c r="E2037" s="1" t="s">
        <v>436</v>
      </c>
      <c r="F2037" s="1" t="s">
        <v>447</v>
      </c>
      <c r="G2037" s="1" t="s">
        <v>438</v>
      </c>
      <c r="H2037" s="1">
        <v>648</v>
      </c>
      <c r="I2037" s="3">
        <v>46274</v>
      </c>
      <c r="J2037" s="3">
        <v>46275</v>
      </c>
      <c r="K2037" s="3" t="s">
        <v>2368</v>
      </c>
      <c r="L2037" s="31">
        <v>46274.48631119213</v>
      </c>
      <c r="M2037" s="33">
        <v>12</v>
      </c>
      <c r="N2037" s="1">
        <v>19</v>
      </c>
    </row>
    <row r="2038" spans="1:14" x14ac:dyDescent="0.25">
      <c r="A2038" t="str">
        <f t="shared" si="64"/>
        <v>U148121U148121</v>
      </c>
      <c r="B2038" t="str">
        <f t="shared" si="65"/>
        <v>U148121GC9060LL-M</v>
      </c>
      <c r="C2038" s="27" t="s">
        <v>55</v>
      </c>
      <c r="D2038" s="27" t="s">
        <v>621</v>
      </c>
      <c r="E2038" s="1" t="s">
        <v>436</v>
      </c>
      <c r="F2038" s="1" t="s">
        <v>447</v>
      </c>
      <c r="G2038" s="1" t="s">
        <v>438</v>
      </c>
      <c r="H2038" s="1">
        <v>648</v>
      </c>
      <c r="I2038" s="3">
        <v>46274</v>
      </c>
      <c r="J2038" s="3">
        <v>46275</v>
      </c>
      <c r="K2038" s="3" t="s">
        <v>2368</v>
      </c>
      <c r="L2038" s="31">
        <v>46274.56324575231</v>
      </c>
      <c r="M2038" s="33">
        <v>12</v>
      </c>
      <c r="N2038" s="1">
        <v>17</v>
      </c>
    </row>
    <row r="2039" spans="1:14" x14ac:dyDescent="0.25">
      <c r="A2039" t="str">
        <f t="shared" si="64"/>
        <v>U148121U148121</v>
      </c>
      <c r="B2039" t="str">
        <f t="shared" si="65"/>
        <v>U148121GC9060LL-M</v>
      </c>
      <c r="C2039" s="27" t="s">
        <v>55</v>
      </c>
      <c r="D2039" s="27" t="s">
        <v>621</v>
      </c>
      <c r="E2039" s="1" t="s">
        <v>436</v>
      </c>
      <c r="F2039" s="1" t="s">
        <v>447</v>
      </c>
      <c r="G2039" s="1" t="s">
        <v>438</v>
      </c>
      <c r="H2039" s="1">
        <v>648</v>
      </c>
      <c r="I2039" s="3">
        <v>46274</v>
      </c>
      <c r="J2039" s="3">
        <v>46275</v>
      </c>
      <c r="K2039" s="3" t="s">
        <v>2368</v>
      </c>
      <c r="L2039" s="31">
        <v>46274.563919178239</v>
      </c>
      <c r="M2039" s="33">
        <v>12</v>
      </c>
      <c r="N2039" s="1">
        <v>15</v>
      </c>
    </row>
    <row r="2040" spans="1:14" x14ac:dyDescent="0.25">
      <c r="A2040" t="str">
        <f t="shared" si="64"/>
        <v>U148121U148121</v>
      </c>
      <c r="B2040" t="str">
        <f t="shared" si="65"/>
        <v>U148121GC9060LL-M</v>
      </c>
      <c r="C2040" s="27" t="s">
        <v>55</v>
      </c>
      <c r="D2040" s="27" t="s">
        <v>621</v>
      </c>
      <c r="E2040" s="1" t="s">
        <v>436</v>
      </c>
      <c r="F2040" s="1" t="s">
        <v>447</v>
      </c>
      <c r="G2040" s="1" t="s">
        <v>438</v>
      </c>
      <c r="H2040" s="1">
        <v>648</v>
      </c>
      <c r="I2040" s="3">
        <v>46274</v>
      </c>
      <c r="J2040" s="3">
        <v>46275</v>
      </c>
      <c r="K2040" s="3" t="s">
        <v>2368</v>
      </c>
      <c r="L2040" s="31">
        <v>46274.600148611113</v>
      </c>
      <c r="M2040" s="33">
        <v>12</v>
      </c>
      <c r="N2040" s="1">
        <v>4</v>
      </c>
    </row>
    <row r="2041" spans="1:14" x14ac:dyDescent="0.25">
      <c r="A2041" t="str">
        <f t="shared" si="64"/>
        <v>U148121U148121</v>
      </c>
      <c r="B2041" t="str">
        <f t="shared" si="65"/>
        <v>U148121GC9060LL-M</v>
      </c>
      <c r="C2041" s="27" t="s">
        <v>55</v>
      </c>
      <c r="D2041" s="27" t="s">
        <v>621</v>
      </c>
      <c r="E2041" s="1" t="s">
        <v>436</v>
      </c>
      <c r="F2041" s="1" t="s">
        <v>447</v>
      </c>
      <c r="G2041" s="1" t="s">
        <v>438</v>
      </c>
      <c r="H2041" s="1">
        <v>648</v>
      </c>
      <c r="I2041" s="3">
        <v>46274</v>
      </c>
      <c r="J2041" s="3">
        <v>46275</v>
      </c>
      <c r="K2041" s="3" t="s">
        <v>2368</v>
      </c>
      <c r="L2041" s="31">
        <v>46274.600522569439</v>
      </c>
      <c r="M2041" s="33">
        <v>12</v>
      </c>
      <c r="N2041" s="1">
        <v>2</v>
      </c>
    </row>
    <row r="2042" spans="1:14" x14ac:dyDescent="0.25">
      <c r="A2042" t="str">
        <f t="shared" si="64"/>
        <v>U148121U148121</v>
      </c>
      <c r="B2042" t="str">
        <f t="shared" si="65"/>
        <v>U148121GC9060LL-M</v>
      </c>
      <c r="C2042" s="27" t="s">
        <v>55</v>
      </c>
      <c r="D2042" s="27" t="s">
        <v>621</v>
      </c>
      <c r="E2042" s="1" t="s">
        <v>436</v>
      </c>
      <c r="F2042" s="1" t="s">
        <v>447</v>
      </c>
      <c r="G2042" s="1" t="s">
        <v>438</v>
      </c>
      <c r="H2042" s="1">
        <v>648</v>
      </c>
      <c r="I2042" s="3">
        <v>46274</v>
      </c>
      <c r="J2042" s="3">
        <v>46275</v>
      </c>
      <c r="K2042" s="3" t="s">
        <v>2368</v>
      </c>
      <c r="L2042" s="31">
        <v>46274.639001307871</v>
      </c>
      <c r="M2042" s="33">
        <v>12</v>
      </c>
      <c r="N2042" s="1">
        <v>3</v>
      </c>
    </row>
    <row r="2043" spans="1:14" x14ac:dyDescent="0.25">
      <c r="A2043" t="str">
        <f t="shared" si="64"/>
        <v>U148121U148121</v>
      </c>
      <c r="B2043" t="str">
        <f t="shared" si="65"/>
        <v>U148121GC9060LL-M</v>
      </c>
      <c r="C2043" s="27" t="s">
        <v>55</v>
      </c>
      <c r="D2043" s="27" t="s">
        <v>621</v>
      </c>
      <c r="E2043" s="1" t="s">
        <v>436</v>
      </c>
      <c r="F2043" s="1" t="s">
        <v>447</v>
      </c>
      <c r="G2043" s="1" t="s">
        <v>438</v>
      </c>
      <c r="H2043" s="1">
        <v>648</v>
      </c>
      <c r="I2043" s="3">
        <v>46274</v>
      </c>
      <c r="J2043" s="3">
        <v>46275</v>
      </c>
      <c r="K2043" s="3" t="s">
        <v>2368</v>
      </c>
      <c r="L2043" s="31">
        <v>46274.649062997683</v>
      </c>
      <c r="M2043" s="33">
        <v>12</v>
      </c>
      <c r="N2043" s="1">
        <v>49</v>
      </c>
    </row>
    <row r="2044" spans="1:14" x14ac:dyDescent="0.25">
      <c r="A2044" t="str">
        <f t="shared" si="64"/>
        <v>U148121U148121</v>
      </c>
      <c r="B2044" t="str">
        <f t="shared" si="65"/>
        <v>U148121GC9060LL-M</v>
      </c>
      <c r="C2044" s="27" t="s">
        <v>55</v>
      </c>
      <c r="D2044" s="27" t="s">
        <v>621</v>
      </c>
      <c r="E2044" s="1" t="s">
        <v>436</v>
      </c>
      <c r="F2044" s="1" t="s">
        <v>447</v>
      </c>
      <c r="G2044" s="1" t="s">
        <v>438</v>
      </c>
      <c r="H2044" s="1">
        <v>648</v>
      </c>
      <c r="I2044" s="3">
        <v>46274</v>
      </c>
      <c r="J2044" s="3">
        <v>46275</v>
      </c>
      <c r="K2044" s="3" t="s">
        <v>2368</v>
      </c>
      <c r="L2044" s="31">
        <v>46274.649698842593</v>
      </c>
      <c r="M2044" s="33">
        <v>12</v>
      </c>
      <c r="N2044" s="1">
        <v>36</v>
      </c>
    </row>
    <row r="2045" spans="1:14" x14ac:dyDescent="0.25">
      <c r="A2045" t="str">
        <f t="shared" si="64"/>
        <v>U148121U148121</v>
      </c>
      <c r="B2045" t="str">
        <f t="shared" si="65"/>
        <v>U148121GC9060LL-M</v>
      </c>
      <c r="C2045" s="27" t="s">
        <v>55</v>
      </c>
      <c r="D2045" s="27" t="s">
        <v>621</v>
      </c>
      <c r="E2045" s="1" t="s">
        <v>436</v>
      </c>
      <c r="F2045" s="1" t="s">
        <v>447</v>
      </c>
      <c r="G2045" s="1" t="s">
        <v>438</v>
      </c>
      <c r="H2045" s="1">
        <v>648</v>
      </c>
      <c r="I2045" s="3">
        <v>46274</v>
      </c>
      <c r="J2045" s="3">
        <v>46275</v>
      </c>
      <c r="K2045" s="3" t="s">
        <v>2368</v>
      </c>
      <c r="L2045" s="31">
        <v>46274.650574340274</v>
      </c>
      <c r="M2045" s="33">
        <v>12</v>
      </c>
      <c r="N2045" s="1">
        <v>43</v>
      </c>
    </row>
    <row r="2046" spans="1:14" x14ac:dyDescent="0.25">
      <c r="A2046" t="str">
        <f t="shared" si="64"/>
        <v>U148121U148121</v>
      </c>
      <c r="B2046" t="str">
        <f t="shared" si="65"/>
        <v>U148121GC9060LL-M</v>
      </c>
      <c r="C2046" s="27" t="s">
        <v>55</v>
      </c>
      <c r="D2046" s="27" t="s">
        <v>621</v>
      </c>
      <c r="E2046" s="1" t="s">
        <v>436</v>
      </c>
      <c r="F2046" s="1" t="s">
        <v>447</v>
      </c>
      <c r="G2046" s="1" t="s">
        <v>438</v>
      </c>
      <c r="H2046" s="1">
        <v>648</v>
      </c>
      <c r="I2046" s="3">
        <v>46274</v>
      </c>
      <c r="J2046" s="3">
        <v>46275</v>
      </c>
      <c r="K2046" s="3" t="s">
        <v>2368</v>
      </c>
      <c r="L2046" s="31">
        <v>46274.650749270833</v>
      </c>
      <c r="M2046" s="33">
        <v>12</v>
      </c>
      <c r="N2046" s="1">
        <v>29</v>
      </c>
    </row>
    <row r="2047" spans="1:14" x14ac:dyDescent="0.25">
      <c r="A2047" t="str">
        <f t="shared" si="64"/>
        <v>U148121U148121</v>
      </c>
      <c r="B2047" t="str">
        <f t="shared" si="65"/>
        <v>U148121GC9060LL-M</v>
      </c>
      <c r="C2047" s="27" t="s">
        <v>55</v>
      </c>
      <c r="D2047" s="27" t="s">
        <v>621</v>
      </c>
      <c r="E2047" s="1" t="s">
        <v>436</v>
      </c>
      <c r="F2047" s="1" t="s">
        <v>447</v>
      </c>
      <c r="G2047" s="1" t="s">
        <v>438</v>
      </c>
      <c r="H2047" s="1">
        <v>648</v>
      </c>
      <c r="I2047" s="3">
        <v>46274</v>
      </c>
      <c r="J2047" s="3">
        <v>46275</v>
      </c>
      <c r="K2047" s="3" t="s">
        <v>2368</v>
      </c>
      <c r="L2047" s="31">
        <v>46274.650913657402</v>
      </c>
      <c r="M2047" s="33">
        <v>12</v>
      </c>
      <c r="N2047" s="1">
        <v>46</v>
      </c>
    </row>
    <row r="2048" spans="1:14" x14ac:dyDescent="0.25">
      <c r="A2048" t="str">
        <f t="shared" si="64"/>
        <v>U148121U148121</v>
      </c>
      <c r="B2048" t="str">
        <f t="shared" si="65"/>
        <v>U148121GC9060LL-M</v>
      </c>
      <c r="C2048" s="27" t="s">
        <v>55</v>
      </c>
      <c r="D2048" s="27" t="s">
        <v>621</v>
      </c>
      <c r="E2048" s="1" t="s">
        <v>436</v>
      </c>
      <c r="F2048" s="1" t="s">
        <v>447</v>
      </c>
      <c r="G2048" s="1" t="s">
        <v>438</v>
      </c>
      <c r="H2048" s="1">
        <v>648</v>
      </c>
      <c r="I2048" s="3">
        <v>46274</v>
      </c>
      <c r="J2048" s="3">
        <v>46275</v>
      </c>
      <c r="K2048" s="3" t="s">
        <v>2368</v>
      </c>
      <c r="L2048" s="31">
        <v>46274.651141585644</v>
      </c>
      <c r="M2048" s="33">
        <v>12</v>
      </c>
      <c r="N2048" s="1">
        <v>54</v>
      </c>
    </row>
    <row r="2049" spans="1:14" x14ac:dyDescent="0.25">
      <c r="A2049" t="str">
        <f t="shared" si="64"/>
        <v>U148121U148121</v>
      </c>
      <c r="B2049" t="str">
        <f t="shared" si="65"/>
        <v>U148121GC9060LL-M</v>
      </c>
      <c r="C2049" s="27" t="s">
        <v>55</v>
      </c>
      <c r="D2049" s="27" t="s">
        <v>621</v>
      </c>
      <c r="E2049" s="1" t="s">
        <v>436</v>
      </c>
      <c r="F2049" s="1" t="s">
        <v>447</v>
      </c>
      <c r="G2049" s="1" t="s">
        <v>438</v>
      </c>
      <c r="H2049" s="1">
        <v>648</v>
      </c>
      <c r="I2049" s="3">
        <v>46274</v>
      </c>
      <c r="J2049" s="3">
        <v>46275</v>
      </c>
      <c r="K2049" s="3" t="s">
        <v>2368</v>
      </c>
      <c r="L2049" s="31">
        <v>46274.651334027774</v>
      </c>
      <c r="M2049" s="33">
        <v>12</v>
      </c>
      <c r="N2049" s="1">
        <v>50</v>
      </c>
    </row>
    <row r="2050" spans="1:14" x14ac:dyDescent="0.25">
      <c r="A2050" t="str">
        <f t="shared" ref="A2050:A2113" si="66">+D2050&amp;D2050</f>
        <v>U148121U148121</v>
      </c>
      <c r="B2050" t="str">
        <f t="shared" ref="B2050:B2113" si="67">+D2050&amp;C2050</f>
        <v>U148121GC9060LL-M</v>
      </c>
      <c r="C2050" s="27" t="s">
        <v>55</v>
      </c>
      <c r="D2050" s="27" t="s">
        <v>621</v>
      </c>
      <c r="E2050" s="1" t="s">
        <v>436</v>
      </c>
      <c r="F2050" s="1" t="s">
        <v>447</v>
      </c>
      <c r="G2050" s="1" t="s">
        <v>438</v>
      </c>
      <c r="H2050" s="1">
        <v>648</v>
      </c>
      <c r="I2050" s="3">
        <v>46274</v>
      </c>
      <c r="J2050" s="3">
        <v>46275</v>
      </c>
      <c r="K2050" s="3" t="s">
        <v>2368</v>
      </c>
      <c r="L2050" s="31">
        <v>46274.65168387731</v>
      </c>
      <c r="M2050" s="33">
        <v>12</v>
      </c>
      <c r="N2050" s="1">
        <v>39</v>
      </c>
    </row>
    <row r="2051" spans="1:14" x14ac:dyDescent="0.25">
      <c r="A2051" t="str">
        <f t="shared" si="66"/>
        <v>U148121U148121</v>
      </c>
      <c r="B2051" t="str">
        <f t="shared" si="67"/>
        <v>U148121GC9060LL-M</v>
      </c>
      <c r="C2051" s="27" t="s">
        <v>55</v>
      </c>
      <c r="D2051" s="27" t="s">
        <v>621</v>
      </c>
      <c r="E2051" s="1" t="s">
        <v>436</v>
      </c>
      <c r="F2051" s="1" t="s">
        <v>447</v>
      </c>
      <c r="G2051" s="1" t="s">
        <v>438</v>
      </c>
      <c r="H2051" s="1">
        <v>648</v>
      </c>
      <c r="I2051" s="3">
        <v>46274</v>
      </c>
      <c r="J2051" s="3">
        <v>46275</v>
      </c>
      <c r="K2051" s="3" t="s">
        <v>2368</v>
      </c>
      <c r="L2051" s="31">
        <v>46274.65182835648</v>
      </c>
      <c r="M2051" s="33">
        <v>12</v>
      </c>
      <c r="N2051" s="1">
        <v>45</v>
      </c>
    </row>
    <row r="2052" spans="1:14" x14ac:dyDescent="0.25">
      <c r="A2052" t="str">
        <f t="shared" si="66"/>
        <v>U148121U148121</v>
      </c>
      <c r="B2052" t="str">
        <f t="shared" si="67"/>
        <v>U148121GC9060LL-M</v>
      </c>
      <c r="C2052" s="27" t="s">
        <v>55</v>
      </c>
      <c r="D2052" s="27" t="s">
        <v>621</v>
      </c>
      <c r="E2052" s="1" t="s">
        <v>436</v>
      </c>
      <c r="F2052" s="1" t="s">
        <v>447</v>
      </c>
      <c r="G2052" s="1" t="s">
        <v>438</v>
      </c>
      <c r="H2052" s="1">
        <v>648</v>
      </c>
      <c r="I2052" s="3">
        <v>46274</v>
      </c>
      <c r="J2052" s="3">
        <v>46275</v>
      </c>
      <c r="K2052" s="3" t="s">
        <v>2368</v>
      </c>
      <c r="L2052" s="31">
        <v>46274.651995682871</v>
      </c>
      <c r="M2052" s="33">
        <v>12</v>
      </c>
      <c r="N2052" s="1">
        <v>48</v>
      </c>
    </row>
    <row r="2053" spans="1:14" x14ac:dyDescent="0.25">
      <c r="A2053" t="str">
        <f t="shared" si="66"/>
        <v>U148121U148121</v>
      </c>
      <c r="B2053" t="str">
        <f t="shared" si="67"/>
        <v>U148121GC9060LL-M</v>
      </c>
      <c r="C2053" s="27" t="s">
        <v>55</v>
      </c>
      <c r="D2053" s="27" t="s">
        <v>621</v>
      </c>
      <c r="E2053" s="1" t="s">
        <v>436</v>
      </c>
      <c r="F2053" s="1" t="s">
        <v>447</v>
      </c>
      <c r="G2053" s="1" t="s">
        <v>438</v>
      </c>
      <c r="H2053" s="1">
        <v>648</v>
      </c>
      <c r="I2053" s="3">
        <v>46274</v>
      </c>
      <c r="J2053" s="3">
        <v>46275</v>
      </c>
      <c r="K2053" s="3" t="s">
        <v>2368</v>
      </c>
      <c r="L2053" s="31">
        <v>46274.652131516203</v>
      </c>
      <c r="M2053" s="33">
        <v>12</v>
      </c>
      <c r="N2053" s="1">
        <v>44</v>
      </c>
    </row>
    <row r="2054" spans="1:14" x14ac:dyDescent="0.25">
      <c r="A2054" t="str">
        <f t="shared" si="66"/>
        <v>U148121U148121</v>
      </c>
      <c r="B2054" t="str">
        <f t="shared" si="67"/>
        <v>U148121GC9060LL-M</v>
      </c>
      <c r="C2054" s="27" t="s">
        <v>55</v>
      </c>
      <c r="D2054" s="27" t="s">
        <v>621</v>
      </c>
      <c r="E2054" s="1" t="s">
        <v>436</v>
      </c>
      <c r="F2054" s="1" t="s">
        <v>447</v>
      </c>
      <c r="G2054" s="1" t="s">
        <v>438</v>
      </c>
      <c r="H2054" s="1">
        <v>648</v>
      </c>
      <c r="I2054" s="3">
        <v>46274</v>
      </c>
      <c r="J2054" s="3">
        <v>46275</v>
      </c>
      <c r="K2054" s="3" t="s">
        <v>2368</v>
      </c>
      <c r="L2054" s="31">
        <v>46274.652310266203</v>
      </c>
      <c r="M2054" s="33">
        <v>12</v>
      </c>
      <c r="N2054" s="1">
        <v>25</v>
      </c>
    </row>
    <row r="2055" spans="1:14" x14ac:dyDescent="0.25">
      <c r="A2055" t="str">
        <f t="shared" si="66"/>
        <v>U148121U148121</v>
      </c>
      <c r="B2055" t="str">
        <f t="shared" si="67"/>
        <v>U148121GC9060LL-M</v>
      </c>
      <c r="C2055" s="27" t="s">
        <v>55</v>
      </c>
      <c r="D2055" s="27" t="s">
        <v>621</v>
      </c>
      <c r="E2055" s="1" t="s">
        <v>436</v>
      </c>
      <c r="F2055" s="1" t="s">
        <v>447</v>
      </c>
      <c r="G2055" s="1" t="s">
        <v>438</v>
      </c>
      <c r="H2055" s="1">
        <v>648</v>
      </c>
      <c r="I2055" s="3">
        <v>46274</v>
      </c>
      <c r="J2055" s="3">
        <v>46275</v>
      </c>
      <c r="K2055" s="3" t="s">
        <v>2368</v>
      </c>
      <c r="L2055" s="31">
        <v>46274.652478009259</v>
      </c>
      <c r="M2055" s="33">
        <v>12</v>
      </c>
      <c r="N2055" s="1">
        <v>41</v>
      </c>
    </row>
    <row r="2056" spans="1:14" x14ac:dyDescent="0.25">
      <c r="A2056" t="str">
        <f t="shared" si="66"/>
        <v>U148121U148121</v>
      </c>
      <c r="B2056" t="str">
        <f t="shared" si="67"/>
        <v>U148121GC9060LL-M</v>
      </c>
      <c r="C2056" s="27" t="s">
        <v>55</v>
      </c>
      <c r="D2056" s="27" t="s">
        <v>621</v>
      </c>
      <c r="E2056" s="1" t="s">
        <v>436</v>
      </c>
      <c r="F2056" s="1" t="s">
        <v>447</v>
      </c>
      <c r="G2056" s="1" t="s">
        <v>438</v>
      </c>
      <c r="H2056" s="1">
        <v>648</v>
      </c>
      <c r="I2056" s="3">
        <v>46274</v>
      </c>
      <c r="J2056" s="3">
        <v>46275</v>
      </c>
      <c r="K2056" s="3" t="s">
        <v>2368</v>
      </c>
      <c r="L2056" s="31">
        <v>46274.652777233794</v>
      </c>
      <c r="M2056" s="33">
        <v>12</v>
      </c>
      <c r="N2056" s="1">
        <v>42</v>
      </c>
    </row>
    <row r="2057" spans="1:14" x14ac:dyDescent="0.25">
      <c r="A2057" t="str">
        <f t="shared" si="66"/>
        <v>U148121U148121</v>
      </c>
      <c r="B2057" t="str">
        <f t="shared" si="67"/>
        <v>U148121GC9060LL-M</v>
      </c>
      <c r="C2057" s="27" t="s">
        <v>55</v>
      </c>
      <c r="D2057" s="27" t="s">
        <v>621</v>
      </c>
      <c r="E2057" s="1" t="s">
        <v>436</v>
      </c>
      <c r="F2057" s="1" t="s">
        <v>447</v>
      </c>
      <c r="G2057" s="1" t="s">
        <v>438</v>
      </c>
      <c r="H2057" s="1">
        <v>648</v>
      </c>
      <c r="I2057" s="3">
        <v>46274</v>
      </c>
      <c r="J2057" s="3">
        <v>46275</v>
      </c>
      <c r="K2057" s="3" t="s">
        <v>2368</v>
      </c>
      <c r="L2057" s="31">
        <v>46274.652964432869</v>
      </c>
      <c r="M2057" s="33">
        <v>12</v>
      </c>
      <c r="N2057" s="1">
        <v>47</v>
      </c>
    </row>
    <row r="2058" spans="1:14" x14ac:dyDescent="0.25">
      <c r="A2058" t="str">
        <f t="shared" si="66"/>
        <v>U148121U148121</v>
      </c>
      <c r="B2058" t="str">
        <f t="shared" si="67"/>
        <v>U148121GC9060LL-M</v>
      </c>
      <c r="C2058" s="27" t="s">
        <v>55</v>
      </c>
      <c r="D2058" s="27" t="s">
        <v>621</v>
      </c>
      <c r="E2058" s="1" t="s">
        <v>436</v>
      </c>
      <c r="F2058" s="1" t="s">
        <v>447</v>
      </c>
      <c r="G2058" s="1" t="s">
        <v>438</v>
      </c>
      <c r="H2058" s="1">
        <v>648</v>
      </c>
      <c r="I2058" s="3">
        <v>46274</v>
      </c>
      <c r="J2058" s="3">
        <v>46275</v>
      </c>
      <c r="K2058" s="3" t="s">
        <v>2368</v>
      </c>
      <c r="L2058" s="31">
        <v>46274.653106215279</v>
      </c>
      <c r="M2058" s="33">
        <v>12</v>
      </c>
      <c r="N2058" s="1">
        <v>51</v>
      </c>
    </row>
    <row r="2059" spans="1:14" x14ac:dyDescent="0.25">
      <c r="A2059" t="str">
        <f t="shared" si="66"/>
        <v>U148121U148121</v>
      </c>
      <c r="B2059" t="str">
        <f t="shared" si="67"/>
        <v>U148121GC9060LL-M</v>
      </c>
      <c r="C2059" s="27" t="s">
        <v>55</v>
      </c>
      <c r="D2059" s="27" t="s">
        <v>621</v>
      </c>
      <c r="E2059" s="1" t="s">
        <v>436</v>
      </c>
      <c r="F2059" s="1" t="s">
        <v>447</v>
      </c>
      <c r="G2059" s="1" t="s">
        <v>438</v>
      </c>
      <c r="H2059" s="1">
        <v>648</v>
      </c>
      <c r="I2059" s="3">
        <v>46274</v>
      </c>
      <c r="J2059" s="3">
        <v>46275</v>
      </c>
      <c r="K2059" s="3" t="s">
        <v>2368</v>
      </c>
      <c r="L2059" s="31">
        <v>46274.678097187498</v>
      </c>
      <c r="M2059" s="33">
        <v>12</v>
      </c>
      <c r="N2059" s="1">
        <v>23</v>
      </c>
    </row>
    <row r="2060" spans="1:14" x14ac:dyDescent="0.25">
      <c r="A2060" t="str">
        <f t="shared" si="66"/>
        <v>U148121U148121</v>
      </c>
      <c r="B2060" t="str">
        <f t="shared" si="67"/>
        <v>U148121GC9060LL-M</v>
      </c>
      <c r="C2060" s="27" t="s">
        <v>55</v>
      </c>
      <c r="D2060" s="27" t="s">
        <v>621</v>
      </c>
      <c r="E2060" s="1" t="s">
        <v>436</v>
      </c>
      <c r="F2060" s="1" t="s">
        <v>447</v>
      </c>
      <c r="G2060" s="1" t="s">
        <v>438</v>
      </c>
      <c r="H2060" s="1">
        <v>648</v>
      </c>
      <c r="I2060" s="3">
        <v>46274</v>
      </c>
      <c r="J2060" s="3">
        <v>46275</v>
      </c>
      <c r="K2060" s="3" t="s">
        <v>2368</v>
      </c>
      <c r="L2060" s="31">
        <v>46274.691036805554</v>
      </c>
      <c r="M2060" s="33">
        <v>12</v>
      </c>
      <c r="N2060" s="1">
        <v>1</v>
      </c>
    </row>
    <row r="2061" spans="1:14" x14ac:dyDescent="0.25">
      <c r="A2061" t="str">
        <f t="shared" si="66"/>
        <v>U148121U148121</v>
      </c>
      <c r="B2061" t="str">
        <f t="shared" si="67"/>
        <v>U148121GC9060LL-M</v>
      </c>
      <c r="C2061" s="27" t="s">
        <v>55</v>
      </c>
      <c r="D2061" s="27" t="s">
        <v>621</v>
      </c>
      <c r="E2061" s="1" t="s">
        <v>436</v>
      </c>
      <c r="F2061" s="1" t="s">
        <v>447</v>
      </c>
      <c r="G2061" s="1" t="s">
        <v>438</v>
      </c>
      <c r="H2061" s="1">
        <v>648</v>
      </c>
      <c r="I2061" s="3">
        <v>46274</v>
      </c>
      <c r="J2061" s="3">
        <v>46275</v>
      </c>
      <c r="K2061" s="3" t="s">
        <v>2368</v>
      </c>
      <c r="L2061" s="31">
        <v>46274.691601736107</v>
      </c>
      <c r="M2061" s="33">
        <v>12</v>
      </c>
      <c r="N2061" s="1">
        <v>53</v>
      </c>
    </row>
    <row r="2062" spans="1:14" x14ac:dyDescent="0.25">
      <c r="A2062" t="str">
        <f t="shared" si="66"/>
        <v>U148127U148127</v>
      </c>
      <c r="B2062" t="str">
        <f t="shared" si="67"/>
        <v>U148127GC9060LL-M</v>
      </c>
      <c r="C2062" s="27" t="s">
        <v>55</v>
      </c>
      <c r="D2062" s="27" t="s">
        <v>625</v>
      </c>
      <c r="E2062" s="1" t="s">
        <v>436</v>
      </c>
      <c r="F2062" s="1" t="s">
        <v>461</v>
      </c>
      <c r="G2062" s="1" t="s">
        <v>438</v>
      </c>
      <c r="H2062" s="1">
        <v>204</v>
      </c>
      <c r="I2062" s="3">
        <v>46274</v>
      </c>
      <c r="J2062" s="3">
        <v>46277</v>
      </c>
      <c r="K2062" s="3" t="s">
        <v>2368</v>
      </c>
      <c r="L2062" s="31">
        <v>46274.593574687497</v>
      </c>
      <c r="M2062" s="33">
        <v>12</v>
      </c>
      <c r="N2062" s="1">
        <v>6</v>
      </c>
    </row>
    <row r="2063" spans="1:14" x14ac:dyDescent="0.25">
      <c r="A2063" t="str">
        <f t="shared" si="66"/>
        <v>U148127U148127</v>
      </c>
      <c r="B2063" t="str">
        <f t="shared" si="67"/>
        <v>U148127GC9060LL-M</v>
      </c>
      <c r="C2063" s="27" t="s">
        <v>55</v>
      </c>
      <c r="D2063" s="27" t="s">
        <v>625</v>
      </c>
      <c r="E2063" s="1" t="s">
        <v>436</v>
      </c>
      <c r="F2063" s="1" t="s">
        <v>461</v>
      </c>
      <c r="G2063" s="1" t="s">
        <v>438</v>
      </c>
      <c r="H2063" s="1">
        <v>204</v>
      </c>
      <c r="I2063" s="3">
        <v>46274</v>
      </c>
      <c r="J2063" s="3">
        <v>46277</v>
      </c>
      <c r="K2063" s="3" t="s">
        <v>2368</v>
      </c>
      <c r="L2063" s="31">
        <v>46274.681827511573</v>
      </c>
      <c r="M2063" s="33">
        <v>12</v>
      </c>
      <c r="N2063" s="1">
        <v>15</v>
      </c>
    </row>
    <row r="2064" spans="1:14" x14ac:dyDescent="0.25">
      <c r="A2064" t="str">
        <f t="shared" si="66"/>
        <v>U148127U148127</v>
      </c>
      <c r="B2064" t="str">
        <f t="shared" si="67"/>
        <v>U148127GC9060LL-M</v>
      </c>
      <c r="C2064" s="27" t="s">
        <v>55</v>
      </c>
      <c r="D2064" s="27" t="s">
        <v>625</v>
      </c>
      <c r="E2064" s="1" t="s">
        <v>436</v>
      </c>
      <c r="F2064" s="1" t="s">
        <v>461</v>
      </c>
      <c r="G2064" s="1" t="s">
        <v>438</v>
      </c>
      <c r="H2064" s="1">
        <v>204</v>
      </c>
      <c r="I2064" s="3">
        <v>46274</v>
      </c>
      <c r="J2064" s="3">
        <v>46277</v>
      </c>
      <c r="K2064" s="3" t="s">
        <v>2368</v>
      </c>
      <c r="L2064" s="31">
        <v>46274.696293946756</v>
      </c>
      <c r="M2064" s="33">
        <v>12</v>
      </c>
      <c r="N2064" s="1">
        <v>16</v>
      </c>
    </row>
    <row r="2065" spans="1:14" x14ac:dyDescent="0.25">
      <c r="A2065" t="str">
        <f t="shared" si="66"/>
        <v>U148127U148127</v>
      </c>
      <c r="B2065" t="str">
        <f t="shared" si="67"/>
        <v>U148127GC9060LL-M</v>
      </c>
      <c r="C2065" s="27" t="s">
        <v>55</v>
      </c>
      <c r="D2065" s="27" t="s">
        <v>625</v>
      </c>
      <c r="E2065" s="1" t="s">
        <v>436</v>
      </c>
      <c r="F2065" s="1" t="s">
        <v>461</v>
      </c>
      <c r="G2065" s="1" t="s">
        <v>438</v>
      </c>
      <c r="H2065" s="1">
        <v>204</v>
      </c>
      <c r="I2065" s="3">
        <v>46274</v>
      </c>
      <c r="J2065" s="3">
        <v>46277</v>
      </c>
      <c r="K2065" s="3" t="s">
        <v>2368</v>
      </c>
      <c r="L2065" s="31">
        <v>46274.697193055552</v>
      </c>
      <c r="M2065" s="33">
        <v>12</v>
      </c>
      <c r="N2065" s="1">
        <v>8</v>
      </c>
    </row>
    <row r="2066" spans="1:14" x14ac:dyDescent="0.25">
      <c r="A2066" t="str">
        <f t="shared" si="66"/>
        <v>U148127U148127</v>
      </c>
      <c r="B2066" t="str">
        <f t="shared" si="67"/>
        <v>U148127GC9060LL-M</v>
      </c>
      <c r="C2066" s="27" t="s">
        <v>55</v>
      </c>
      <c r="D2066" s="27" t="s">
        <v>625</v>
      </c>
      <c r="E2066" s="1" t="s">
        <v>436</v>
      </c>
      <c r="F2066" s="1" t="s">
        <v>461</v>
      </c>
      <c r="G2066" s="1" t="s">
        <v>438</v>
      </c>
      <c r="H2066" s="1">
        <v>204</v>
      </c>
      <c r="I2066" s="3">
        <v>46274</v>
      </c>
      <c r="J2066" s="3">
        <v>46277</v>
      </c>
      <c r="K2066" s="3" t="s">
        <v>2368</v>
      </c>
      <c r="L2066" s="31">
        <v>46274.70022071759</v>
      </c>
      <c r="M2066" s="33">
        <v>12</v>
      </c>
      <c r="N2066" s="1">
        <v>13</v>
      </c>
    </row>
    <row r="2067" spans="1:14" x14ac:dyDescent="0.25">
      <c r="A2067" t="str">
        <f t="shared" si="66"/>
        <v>U148127U148127</v>
      </c>
      <c r="B2067" t="str">
        <f t="shared" si="67"/>
        <v>U148127GC9060LL-M</v>
      </c>
      <c r="C2067" s="27" t="s">
        <v>55</v>
      </c>
      <c r="D2067" s="27" t="s">
        <v>625</v>
      </c>
      <c r="E2067" s="1" t="s">
        <v>436</v>
      </c>
      <c r="F2067" s="1" t="s">
        <v>461</v>
      </c>
      <c r="G2067" s="1" t="s">
        <v>438</v>
      </c>
      <c r="H2067" s="1">
        <v>204</v>
      </c>
      <c r="I2067" s="3">
        <v>46274</v>
      </c>
      <c r="J2067" s="3">
        <v>46277</v>
      </c>
      <c r="K2067" s="3" t="s">
        <v>2368</v>
      </c>
      <c r="L2067" s="31">
        <v>46274.700530474533</v>
      </c>
      <c r="M2067" s="33">
        <v>12</v>
      </c>
      <c r="N2067" s="1">
        <v>4</v>
      </c>
    </row>
    <row r="2068" spans="1:14" x14ac:dyDescent="0.25">
      <c r="A2068" t="str">
        <f t="shared" si="66"/>
        <v>U152786U152786</v>
      </c>
      <c r="B2068" t="str">
        <f t="shared" si="67"/>
        <v>U152786G6032Z2-M</v>
      </c>
      <c r="C2068" s="27" t="s">
        <v>15</v>
      </c>
      <c r="D2068" s="27" t="s">
        <v>632</v>
      </c>
      <c r="E2068" s="1" t="s">
        <v>436</v>
      </c>
      <c r="F2068" s="1" t="s">
        <v>443</v>
      </c>
      <c r="G2068" s="1" t="s">
        <v>444</v>
      </c>
      <c r="H2068" s="1">
        <v>660</v>
      </c>
      <c r="I2068" s="3">
        <v>46274</v>
      </c>
      <c r="L2068" s="31">
        <v>46274.741031712962</v>
      </c>
      <c r="M2068" s="33">
        <v>12</v>
      </c>
      <c r="N2068" s="1">
        <v>38</v>
      </c>
    </row>
    <row r="2069" spans="1:14" x14ac:dyDescent="0.25">
      <c r="A2069" t="str">
        <f t="shared" si="66"/>
        <v>U152786U152786</v>
      </c>
      <c r="B2069" t="str">
        <f t="shared" si="67"/>
        <v>U152786G6032Z2-M</v>
      </c>
      <c r="C2069" s="27" t="s">
        <v>15</v>
      </c>
      <c r="D2069" s="27" t="s">
        <v>632</v>
      </c>
      <c r="E2069" s="1" t="s">
        <v>436</v>
      </c>
      <c r="F2069" s="1" t="s">
        <v>443</v>
      </c>
      <c r="G2069" s="1" t="s">
        <v>444</v>
      </c>
      <c r="H2069" s="1">
        <v>660</v>
      </c>
      <c r="I2069" s="3">
        <v>46274</v>
      </c>
      <c r="L2069" s="31">
        <v>46274.741456631942</v>
      </c>
      <c r="M2069" s="33">
        <v>12</v>
      </c>
      <c r="N2069" s="1">
        <v>31</v>
      </c>
    </row>
    <row r="2070" spans="1:14" x14ac:dyDescent="0.25">
      <c r="A2070" t="str">
        <f t="shared" si="66"/>
        <v>U152786U152786</v>
      </c>
      <c r="B2070" t="str">
        <f t="shared" si="67"/>
        <v>U152786G6032Z2-M</v>
      </c>
      <c r="C2070" s="27" t="s">
        <v>15</v>
      </c>
      <c r="D2070" s="27" t="s">
        <v>632</v>
      </c>
      <c r="E2070" s="1" t="s">
        <v>436</v>
      </c>
      <c r="F2070" s="1" t="s">
        <v>443</v>
      </c>
      <c r="G2070" s="1" t="s">
        <v>444</v>
      </c>
      <c r="H2070" s="1">
        <v>660</v>
      </c>
      <c r="I2070" s="3">
        <v>46274</v>
      </c>
      <c r="L2070" s="31">
        <v>46274.746018055557</v>
      </c>
      <c r="M2070" s="33">
        <v>12</v>
      </c>
      <c r="N2070" s="1">
        <v>40</v>
      </c>
    </row>
    <row r="2071" spans="1:14" x14ac:dyDescent="0.25">
      <c r="A2071" t="str">
        <f t="shared" si="66"/>
        <v>78734177873417</v>
      </c>
      <c r="B2071" t="str">
        <f t="shared" si="67"/>
        <v>7873417M997H9T8-D</v>
      </c>
      <c r="C2071" s="27" t="s">
        <v>485</v>
      </c>
      <c r="D2071" s="27" t="s">
        <v>640</v>
      </c>
      <c r="E2071" s="1" t="s">
        <v>382</v>
      </c>
      <c r="F2071" s="1" t="s">
        <v>383</v>
      </c>
      <c r="G2071" s="1" t="s">
        <v>384</v>
      </c>
      <c r="H2071" s="1">
        <v>2958</v>
      </c>
      <c r="I2071" s="3">
        <v>46275</v>
      </c>
      <c r="L2071" s="31">
        <v>46275.455026701384</v>
      </c>
      <c r="M2071" s="20">
        <v>12</v>
      </c>
      <c r="N2071" s="1">
        <v>191</v>
      </c>
    </row>
    <row r="2072" spans="1:14" x14ac:dyDescent="0.25">
      <c r="A2072" t="str">
        <f t="shared" si="66"/>
        <v>78734177873417</v>
      </c>
      <c r="B2072" t="str">
        <f t="shared" si="67"/>
        <v>7873417M997H9T8-D</v>
      </c>
      <c r="C2072" s="27" t="s">
        <v>485</v>
      </c>
      <c r="D2072" s="27" t="s">
        <v>640</v>
      </c>
      <c r="E2072" s="1" t="s">
        <v>382</v>
      </c>
      <c r="F2072" s="1" t="s">
        <v>383</v>
      </c>
      <c r="G2072" s="1" t="s">
        <v>384</v>
      </c>
      <c r="H2072" s="1">
        <v>2958</v>
      </c>
      <c r="I2072" s="3">
        <v>46275</v>
      </c>
      <c r="L2072" s="31">
        <v>46275.455471840272</v>
      </c>
      <c r="M2072" s="20">
        <v>12</v>
      </c>
      <c r="N2072" s="1">
        <v>165</v>
      </c>
    </row>
    <row r="2073" spans="1:14" x14ac:dyDescent="0.25">
      <c r="A2073" t="str">
        <f t="shared" si="66"/>
        <v>78734177873417</v>
      </c>
      <c r="B2073" t="str">
        <f t="shared" si="67"/>
        <v>7873417M997H9T8-D</v>
      </c>
      <c r="C2073" s="27" t="s">
        <v>485</v>
      </c>
      <c r="D2073" s="27" t="s">
        <v>640</v>
      </c>
      <c r="E2073" s="1" t="s">
        <v>382</v>
      </c>
      <c r="F2073" s="1" t="s">
        <v>383</v>
      </c>
      <c r="G2073" s="1" t="s">
        <v>384</v>
      </c>
      <c r="H2073" s="1">
        <v>2958</v>
      </c>
      <c r="I2073" s="3">
        <v>46275</v>
      </c>
      <c r="L2073" s="31">
        <v>46275.455863807867</v>
      </c>
      <c r="M2073" s="20">
        <v>12</v>
      </c>
      <c r="N2073" s="1">
        <v>69</v>
      </c>
    </row>
    <row r="2074" spans="1:14" x14ac:dyDescent="0.25">
      <c r="A2074" t="str">
        <f t="shared" si="66"/>
        <v>78734177873417</v>
      </c>
      <c r="B2074" t="str">
        <f t="shared" si="67"/>
        <v>7873417M997H9T8-D</v>
      </c>
      <c r="C2074" s="27" t="s">
        <v>485</v>
      </c>
      <c r="D2074" s="27" t="s">
        <v>640</v>
      </c>
      <c r="E2074" s="1" t="s">
        <v>382</v>
      </c>
      <c r="F2074" s="1" t="s">
        <v>383</v>
      </c>
      <c r="G2074" s="1" t="s">
        <v>384</v>
      </c>
      <c r="H2074" s="1">
        <v>2958</v>
      </c>
      <c r="I2074" s="3">
        <v>46275</v>
      </c>
      <c r="L2074" s="31">
        <v>46275.456293368057</v>
      </c>
      <c r="M2074" s="20">
        <v>12</v>
      </c>
      <c r="N2074" s="1">
        <v>211</v>
      </c>
    </row>
    <row r="2075" spans="1:14" x14ac:dyDescent="0.25">
      <c r="A2075" t="str">
        <f t="shared" si="66"/>
        <v>78734177873417</v>
      </c>
      <c r="B2075" t="str">
        <f t="shared" si="67"/>
        <v>7873417M997H9T8-D</v>
      </c>
      <c r="C2075" s="27" t="s">
        <v>485</v>
      </c>
      <c r="D2075" s="27" t="s">
        <v>640</v>
      </c>
      <c r="E2075" s="1" t="s">
        <v>382</v>
      </c>
      <c r="F2075" s="1" t="s">
        <v>383</v>
      </c>
      <c r="G2075" s="1" t="s">
        <v>384</v>
      </c>
      <c r="H2075" s="1">
        <v>2958</v>
      </c>
      <c r="I2075" s="3">
        <v>46275</v>
      </c>
      <c r="L2075" s="31">
        <v>46275.456905752311</v>
      </c>
      <c r="M2075" s="20">
        <v>12</v>
      </c>
      <c r="N2075" s="1">
        <v>134</v>
      </c>
    </row>
    <row r="2076" spans="1:14" x14ac:dyDescent="0.25">
      <c r="A2076" t="str">
        <f t="shared" si="66"/>
        <v>78734177873417</v>
      </c>
      <c r="B2076" t="str">
        <f t="shared" si="67"/>
        <v>7873417M997H9T8-D</v>
      </c>
      <c r="C2076" s="27" t="s">
        <v>485</v>
      </c>
      <c r="D2076" s="27" t="s">
        <v>640</v>
      </c>
      <c r="E2076" s="1" t="s">
        <v>382</v>
      </c>
      <c r="F2076" s="1" t="s">
        <v>383</v>
      </c>
      <c r="G2076" s="1" t="s">
        <v>384</v>
      </c>
      <c r="H2076" s="1">
        <v>2958</v>
      </c>
      <c r="I2076" s="3">
        <v>46275</v>
      </c>
      <c r="L2076" s="31">
        <v>46275.475868784721</v>
      </c>
      <c r="M2076" s="20">
        <v>12</v>
      </c>
      <c r="N2076" s="1">
        <v>68</v>
      </c>
    </row>
    <row r="2077" spans="1:14" x14ac:dyDescent="0.25">
      <c r="A2077" t="str">
        <f t="shared" si="66"/>
        <v>78734177873417</v>
      </c>
      <c r="B2077" t="str">
        <f t="shared" si="67"/>
        <v>7873417M997H9T8-D</v>
      </c>
      <c r="C2077" s="27" t="s">
        <v>485</v>
      </c>
      <c r="D2077" s="27" t="s">
        <v>640</v>
      </c>
      <c r="E2077" s="1" t="s">
        <v>382</v>
      </c>
      <c r="F2077" s="1" t="s">
        <v>383</v>
      </c>
      <c r="G2077" s="1" t="s">
        <v>384</v>
      </c>
      <c r="H2077" s="1">
        <v>2958</v>
      </c>
      <c r="I2077" s="3">
        <v>46275</v>
      </c>
      <c r="L2077" s="31">
        <v>46275.553850613425</v>
      </c>
      <c r="M2077" s="20">
        <v>12</v>
      </c>
      <c r="N2077" s="1">
        <v>227</v>
      </c>
    </row>
    <row r="2078" spans="1:14" x14ac:dyDescent="0.25">
      <c r="A2078" t="str">
        <f t="shared" si="66"/>
        <v>78734177873417</v>
      </c>
      <c r="B2078" t="str">
        <f t="shared" si="67"/>
        <v>7873417M997H9T8-D</v>
      </c>
      <c r="C2078" s="27" t="s">
        <v>485</v>
      </c>
      <c r="D2078" s="27" t="s">
        <v>640</v>
      </c>
      <c r="E2078" s="1" t="s">
        <v>382</v>
      </c>
      <c r="F2078" s="1" t="s">
        <v>383</v>
      </c>
      <c r="G2078" s="1" t="s">
        <v>384</v>
      </c>
      <c r="H2078" s="1">
        <v>2958</v>
      </c>
      <c r="I2078" s="3">
        <v>46275</v>
      </c>
      <c r="L2078" s="31">
        <v>46275.554237071759</v>
      </c>
      <c r="M2078" s="20">
        <v>12</v>
      </c>
      <c r="N2078" s="1">
        <v>164</v>
      </c>
    </row>
    <row r="2079" spans="1:14" x14ac:dyDescent="0.25">
      <c r="A2079" t="str">
        <f t="shared" si="66"/>
        <v>78734177873417</v>
      </c>
      <c r="B2079" t="str">
        <f t="shared" si="67"/>
        <v>7873417M997H9T8-D</v>
      </c>
      <c r="C2079" s="27" t="s">
        <v>485</v>
      </c>
      <c r="D2079" s="27" t="s">
        <v>640</v>
      </c>
      <c r="E2079" s="1" t="s">
        <v>382</v>
      </c>
      <c r="F2079" s="1" t="s">
        <v>383</v>
      </c>
      <c r="G2079" s="1" t="s">
        <v>384</v>
      </c>
      <c r="H2079" s="1">
        <v>2958</v>
      </c>
      <c r="I2079" s="3">
        <v>46275</v>
      </c>
      <c r="L2079" s="31">
        <v>46275.557598761574</v>
      </c>
      <c r="M2079" s="20">
        <v>12</v>
      </c>
      <c r="N2079" s="1">
        <v>163</v>
      </c>
    </row>
    <row r="2080" spans="1:14" x14ac:dyDescent="0.25">
      <c r="A2080" t="str">
        <f t="shared" si="66"/>
        <v>78734177873417</v>
      </c>
      <c r="B2080" t="str">
        <f t="shared" si="67"/>
        <v>7873417M997H9T8-D</v>
      </c>
      <c r="C2080" s="27" t="s">
        <v>485</v>
      </c>
      <c r="D2080" s="27" t="s">
        <v>640</v>
      </c>
      <c r="E2080" s="1" t="s">
        <v>382</v>
      </c>
      <c r="F2080" s="1" t="s">
        <v>383</v>
      </c>
      <c r="G2080" s="1" t="s">
        <v>384</v>
      </c>
      <c r="H2080" s="1">
        <v>2958</v>
      </c>
      <c r="I2080" s="3">
        <v>46275</v>
      </c>
      <c r="L2080" s="31">
        <v>46275.557831365739</v>
      </c>
      <c r="M2080" s="20">
        <v>12</v>
      </c>
      <c r="N2080" s="1">
        <v>133</v>
      </c>
    </row>
    <row r="2081" spans="1:14" x14ac:dyDescent="0.25">
      <c r="A2081" t="str">
        <f t="shared" si="66"/>
        <v>78734177873417</v>
      </c>
      <c r="B2081" t="str">
        <f t="shared" si="67"/>
        <v>7873417M997H9T8-D</v>
      </c>
      <c r="C2081" s="27" t="s">
        <v>485</v>
      </c>
      <c r="D2081" s="27" t="s">
        <v>640</v>
      </c>
      <c r="E2081" s="1" t="s">
        <v>382</v>
      </c>
      <c r="F2081" s="1" t="s">
        <v>383</v>
      </c>
      <c r="G2081" s="1" t="s">
        <v>384</v>
      </c>
      <c r="H2081" s="1">
        <v>2958</v>
      </c>
      <c r="I2081" s="3">
        <v>46275</v>
      </c>
      <c r="L2081" s="31">
        <v>46275.558099305556</v>
      </c>
      <c r="M2081" s="20">
        <v>12</v>
      </c>
      <c r="N2081" s="1">
        <v>190</v>
      </c>
    </row>
    <row r="2082" spans="1:14" x14ac:dyDescent="0.25">
      <c r="A2082" t="str">
        <f t="shared" si="66"/>
        <v>78734177873417</v>
      </c>
      <c r="B2082" t="str">
        <f t="shared" si="67"/>
        <v>7873417M997H9T8-D</v>
      </c>
      <c r="C2082" s="27" t="s">
        <v>485</v>
      </c>
      <c r="D2082" s="27" t="s">
        <v>640</v>
      </c>
      <c r="E2082" s="1" t="s">
        <v>382</v>
      </c>
      <c r="F2082" s="1" t="s">
        <v>383</v>
      </c>
      <c r="G2082" s="1" t="s">
        <v>384</v>
      </c>
      <c r="H2082" s="1">
        <v>2958</v>
      </c>
      <c r="I2082" s="3">
        <v>46275</v>
      </c>
      <c r="L2082" s="31">
        <v>46275.566832210643</v>
      </c>
      <c r="M2082" s="20">
        <v>12</v>
      </c>
      <c r="N2082" s="1">
        <v>226</v>
      </c>
    </row>
    <row r="2083" spans="1:14" x14ac:dyDescent="0.25">
      <c r="A2083" t="str">
        <f t="shared" si="66"/>
        <v>78734177873417</v>
      </c>
      <c r="B2083" t="str">
        <f t="shared" si="67"/>
        <v>7873417M997H9T8-D</v>
      </c>
      <c r="C2083" s="27" t="s">
        <v>485</v>
      </c>
      <c r="D2083" s="27" t="s">
        <v>640</v>
      </c>
      <c r="E2083" s="1" t="s">
        <v>382</v>
      </c>
      <c r="F2083" s="1" t="s">
        <v>383</v>
      </c>
      <c r="G2083" s="1" t="s">
        <v>384</v>
      </c>
      <c r="H2083" s="1">
        <v>2958</v>
      </c>
      <c r="I2083" s="3">
        <v>46275</v>
      </c>
      <c r="L2083" s="31">
        <v>46275.567058101849</v>
      </c>
      <c r="M2083" s="20">
        <v>12</v>
      </c>
      <c r="N2083" s="1">
        <v>212</v>
      </c>
    </row>
    <row r="2084" spans="1:14" x14ac:dyDescent="0.25">
      <c r="A2084" t="str">
        <f t="shared" si="66"/>
        <v>78734177873417</v>
      </c>
      <c r="B2084" t="str">
        <f t="shared" si="67"/>
        <v>7873417M997H9T8-D</v>
      </c>
      <c r="C2084" s="27" t="s">
        <v>485</v>
      </c>
      <c r="D2084" s="27" t="s">
        <v>640</v>
      </c>
      <c r="E2084" s="1" t="s">
        <v>382</v>
      </c>
      <c r="F2084" s="1" t="s">
        <v>383</v>
      </c>
      <c r="G2084" s="1" t="s">
        <v>384</v>
      </c>
      <c r="H2084" s="1">
        <v>2958</v>
      </c>
      <c r="I2084" s="3">
        <v>46275</v>
      </c>
      <c r="L2084" s="31">
        <v>46275.567697418977</v>
      </c>
      <c r="M2084" s="20">
        <v>12</v>
      </c>
      <c r="N2084" s="1">
        <v>189</v>
      </c>
    </row>
    <row r="2085" spans="1:14" x14ac:dyDescent="0.25">
      <c r="A2085" t="str">
        <f t="shared" si="66"/>
        <v>78734177873417</v>
      </c>
      <c r="B2085" t="str">
        <f t="shared" si="67"/>
        <v>7873417M997H9T8-D</v>
      </c>
      <c r="C2085" s="27" t="s">
        <v>485</v>
      </c>
      <c r="D2085" s="27" t="s">
        <v>640</v>
      </c>
      <c r="E2085" s="1" t="s">
        <v>382</v>
      </c>
      <c r="F2085" s="1" t="s">
        <v>383</v>
      </c>
      <c r="G2085" s="1" t="s">
        <v>384</v>
      </c>
      <c r="H2085" s="1">
        <v>2958</v>
      </c>
      <c r="I2085" s="3">
        <v>46275</v>
      </c>
      <c r="L2085" s="31">
        <v>46275.569458761573</v>
      </c>
      <c r="M2085" s="20">
        <v>12</v>
      </c>
      <c r="N2085" s="1">
        <v>210</v>
      </c>
    </row>
    <row r="2086" spans="1:14" x14ac:dyDescent="0.25">
      <c r="A2086" t="str">
        <f t="shared" si="66"/>
        <v>78734177873417</v>
      </c>
      <c r="B2086" t="str">
        <f t="shared" si="67"/>
        <v>7873417M997H9T8-D</v>
      </c>
      <c r="C2086" s="27" t="s">
        <v>485</v>
      </c>
      <c r="D2086" s="27" t="s">
        <v>640</v>
      </c>
      <c r="E2086" s="1" t="s">
        <v>382</v>
      </c>
      <c r="F2086" s="1" t="s">
        <v>383</v>
      </c>
      <c r="G2086" s="1" t="s">
        <v>384</v>
      </c>
      <c r="H2086" s="1">
        <v>2958</v>
      </c>
      <c r="I2086" s="3">
        <v>46275</v>
      </c>
      <c r="L2086" s="31">
        <v>46275.587953240742</v>
      </c>
      <c r="M2086" s="20">
        <v>12</v>
      </c>
      <c r="N2086" s="1">
        <v>196</v>
      </c>
    </row>
    <row r="2087" spans="1:14" x14ac:dyDescent="0.25">
      <c r="A2087" t="str">
        <f t="shared" si="66"/>
        <v>78734177873417</v>
      </c>
      <c r="B2087" t="str">
        <f t="shared" si="67"/>
        <v>7873417M997H9T8-D</v>
      </c>
      <c r="C2087" s="27" t="s">
        <v>485</v>
      </c>
      <c r="D2087" s="27" t="s">
        <v>640</v>
      </c>
      <c r="E2087" s="1" t="s">
        <v>382</v>
      </c>
      <c r="F2087" s="1" t="s">
        <v>383</v>
      </c>
      <c r="G2087" s="1" t="s">
        <v>384</v>
      </c>
      <c r="H2087" s="1">
        <v>2958</v>
      </c>
      <c r="I2087" s="3">
        <v>46275</v>
      </c>
      <c r="L2087" s="31">
        <v>46275.588302928241</v>
      </c>
      <c r="M2087" s="20">
        <v>12</v>
      </c>
      <c r="N2087" s="1">
        <v>96</v>
      </c>
    </row>
    <row r="2088" spans="1:14" x14ac:dyDescent="0.25">
      <c r="A2088" t="str">
        <f t="shared" si="66"/>
        <v>78734177873417</v>
      </c>
      <c r="B2088" t="str">
        <f t="shared" si="67"/>
        <v>7873417M997H9T8-D</v>
      </c>
      <c r="C2088" s="27" t="s">
        <v>485</v>
      </c>
      <c r="D2088" s="27" t="s">
        <v>640</v>
      </c>
      <c r="E2088" s="1" t="s">
        <v>382</v>
      </c>
      <c r="F2088" s="1" t="s">
        <v>383</v>
      </c>
      <c r="G2088" s="1" t="s">
        <v>384</v>
      </c>
      <c r="H2088" s="1">
        <v>2958</v>
      </c>
      <c r="I2088" s="3">
        <v>46275</v>
      </c>
      <c r="L2088" s="31">
        <v>46275.588553784721</v>
      </c>
      <c r="M2088" s="20">
        <v>12</v>
      </c>
      <c r="N2088" s="1">
        <v>67</v>
      </c>
    </row>
    <row r="2089" spans="1:14" x14ac:dyDescent="0.25">
      <c r="A2089" t="str">
        <f t="shared" si="66"/>
        <v>78734177873417</v>
      </c>
      <c r="B2089" t="str">
        <f t="shared" si="67"/>
        <v>7873417M997H9T8-D</v>
      </c>
      <c r="C2089" s="27" t="s">
        <v>485</v>
      </c>
      <c r="D2089" s="27" t="s">
        <v>640</v>
      </c>
      <c r="E2089" s="1" t="s">
        <v>382</v>
      </c>
      <c r="F2089" s="1" t="s">
        <v>383</v>
      </c>
      <c r="G2089" s="1" t="s">
        <v>384</v>
      </c>
      <c r="H2089" s="1">
        <v>2958</v>
      </c>
      <c r="I2089" s="3">
        <v>46275</v>
      </c>
      <c r="L2089" s="31">
        <v>46275.593799305556</v>
      </c>
      <c r="M2089" s="20">
        <v>12</v>
      </c>
      <c r="N2089" s="1">
        <v>166</v>
      </c>
    </row>
    <row r="2090" spans="1:14" x14ac:dyDescent="0.25">
      <c r="A2090" t="str">
        <f t="shared" si="66"/>
        <v>78734177873417</v>
      </c>
      <c r="B2090" t="str">
        <f t="shared" si="67"/>
        <v>7873417M997H9T8-D</v>
      </c>
      <c r="C2090" s="27" t="s">
        <v>485</v>
      </c>
      <c r="D2090" s="27" t="s">
        <v>640</v>
      </c>
      <c r="E2090" s="1" t="s">
        <v>382</v>
      </c>
      <c r="F2090" s="1" t="s">
        <v>383</v>
      </c>
      <c r="G2090" s="1" t="s">
        <v>384</v>
      </c>
      <c r="H2090" s="1">
        <v>2958</v>
      </c>
      <c r="I2090" s="3">
        <v>46275</v>
      </c>
      <c r="L2090" s="31">
        <v>46275.606388391199</v>
      </c>
      <c r="M2090" s="20">
        <v>12</v>
      </c>
      <c r="N2090" s="1">
        <v>225</v>
      </c>
    </row>
    <row r="2091" spans="1:14" x14ac:dyDescent="0.25">
      <c r="A2091" t="str">
        <f t="shared" si="66"/>
        <v>78734177873417</v>
      </c>
      <c r="B2091" t="str">
        <f t="shared" si="67"/>
        <v>7873417M997H9T8-D</v>
      </c>
      <c r="C2091" s="27" t="s">
        <v>485</v>
      </c>
      <c r="D2091" s="27" t="s">
        <v>640</v>
      </c>
      <c r="E2091" s="1" t="s">
        <v>382</v>
      </c>
      <c r="F2091" s="1" t="s">
        <v>383</v>
      </c>
      <c r="G2091" s="1" t="s">
        <v>384</v>
      </c>
      <c r="H2091" s="1">
        <v>2958</v>
      </c>
      <c r="I2091" s="3">
        <v>46275</v>
      </c>
      <c r="L2091" s="31">
        <v>46275.60739837963</v>
      </c>
      <c r="M2091" s="20">
        <v>12</v>
      </c>
      <c r="N2091" s="1">
        <v>170</v>
      </c>
    </row>
    <row r="2092" spans="1:14" x14ac:dyDescent="0.25">
      <c r="A2092" t="str">
        <f t="shared" si="66"/>
        <v>78734177873417</v>
      </c>
      <c r="B2092" t="str">
        <f t="shared" si="67"/>
        <v>7873417M997H9T8-D</v>
      </c>
      <c r="C2092" s="27" t="s">
        <v>485</v>
      </c>
      <c r="D2092" s="27" t="s">
        <v>640</v>
      </c>
      <c r="E2092" s="1" t="s">
        <v>382</v>
      </c>
      <c r="F2092" s="1" t="s">
        <v>383</v>
      </c>
      <c r="G2092" s="1" t="s">
        <v>384</v>
      </c>
      <c r="H2092" s="1">
        <v>2958</v>
      </c>
      <c r="I2092" s="3">
        <v>46275</v>
      </c>
      <c r="L2092" s="31">
        <v>46275.60930034722</v>
      </c>
      <c r="M2092" s="20">
        <v>12</v>
      </c>
      <c r="N2092" s="1">
        <v>195</v>
      </c>
    </row>
    <row r="2093" spans="1:14" x14ac:dyDescent="0.25">
      <c r="A2093" t="str">
        <f t="shared" si="66"/>
        <v>78734177873417</v>
      </c>
      <c r="B2093" t="str">
        <f t="shared" si="67"/>
        <v>7873417M997H9T8-D</v>
      </c>
      <c r="C2093" s="27" t="s">
        <v>485</v>
      </c>
      <c r="D2093" s="27" t="s">
        <v>640</v>
      </c>
      <c r="E2093" s="1" t="s">
        <v>382</v>
      </c>
      <c r="F2093" s="1" t="s">
        <v>383</v>
      </c>
      <c r="G2093" s="1" t="s">
        <v>384</v>
      </c>
      <c r="H2093" s="1">
        <v>2958</v>
      </c>
      <c r="I2093" s="3">
        <v>46275</v>
      </c>
      <c r="L2093" s="31">
        <v>46275.614392129624</v>
      </c>
      <c r="M2093" s="20">
        <v>12</v>
      </c>
      <c r="N2093" s="1">
        <v>44</v>
      </c>
    </row>
    <row r="2094" spans="1:14" x14ac:dyDescent="0.25">
      <c r="A2094" t="str">
        <f t="shared" si="66"/>
        <v>78734177873417</v>
      </c>
      <c r="B2094" t="str">
        <f t="shared" si="67"/>
        <v>7873417M997H9T8-D</v>
      </c>
      <c r="C2094" s="27" t="s">
        <v>485</v>
      </c>
      <c r="D2094" s="27" t="s">
        <v>640</v>
      </c>
      <c r="E2094" s="1" t="s">
        <v>382</v>
      </c>
      <c r="F2094" s="1" t="s">
        <v>383</v>
      </c>
      <c r="G2094" s="1" t="s">
        <v>384</v>
      </c>
      <c r="H2094" s="1">
        <v>2958</v>
      </c>
      <c r="I2094" s="3">
        <v>46275</v>
      </c>
      <c r="L2094" s="31">
        <v>46275.614620798609</v>
      </c>
      <c r="M2094" s="20">
        <v>12</v>
      </c>
      <c r="N2094" s="1">
        <v>169</v>
      </c>
    </row>
    <row r="2095" spans="1:14" x14ac:dyDescent="0.25">
      <c r="A2095" t="str">
        <f t="shared" si="66"/>
        <v>78734177873417</v>
      </c>
      <c r="B2095" t="str">
        <f t="shared" si="67"/>
        <v>7873417M997H9T8-D</v>
      </c>
      <c r="C2095" s="27" t="s">
        <v>485</v>
      </c>
      <c r="D2095" s="27" t="s">
        <v>640</v>
      </c>
      <c r="E2095" s="1" t="s">
        <v>382</v>
      </c>
      <c r="F2095" s="1" t="s">
        <v>383</v>
      </c>
      <c r="G2095" s="1" t="s">
        <v>384</v>
      </c>
      <c r="H2095" s="1">
        <v>2958</v>
      </c>
      <c r="I2095" s="3">
        <v>46275</v>
      </c>
      <c r="L2095" s="31">
        <v>46275.614811921296</v>
      </c>
      <c r="M2095" s="20">
        <v>12</v>
      </c>
      <c r="N2095" s="1">
        <v>132</v>
      </c>
    </row>
    <row r="2096" spans="1:14" x14ac:dyDescent="0.25">
      <c r="A2096" t="str">
        <f t="shared" si="66"/>
        <v>78734177873417</v>
      </c>
      <c r="B2096" t="str">
        <f t="shared" si="67"/>
        <v>7873417M997H9T8-D</v>
      </c>
      <c r="C2096" s="27" t="s">
        <v>485</v>
      </c>
      <c r="D2096" s="27" t="s">
        <v>640</v>
      </c>
      <c r="E2096" s="1" t="s">
        <v>382</v>
      </c>
      <c r="F2096" s="1" t="s">
        <v>383</v>
      </c>
      <c r="G2096" s="1" t="s">
        <v>384</v>
      </c>
      <c r="H2096" s="1">
        <v>2958</v>
      </c>
      <c r="I2096" s="3">
        <v>46275</v>
      </c>
      <c r="L2096" s="31">
        <v>46275.628293171292</v>
      </c>
      <c r="M2096" s="20">
        <v>12</v>
      </c>
      <c r="N2096" s="1">
        <v>29</v>
      </c>
    </row>
    <row r="2097" spans="1:14" x14ac:dyDescent="0.25">
      <c r="A2097" t="str">
        <f t="shared" si="66"/>
        <v>78734177873417</v>
      </c>
      <c r="B2097" t="str">
        <f t="shared" si="67"/>
        <v>7873417M997H9T8-D</v>
      </c>
      <c r="C2097" s="27" t="s">
        <v>485</v>
      </c>
      <c r="D2097" s="27" t="s">
        <v>640</v>
      </c>
      <c r="E2097" s="1" t="s">
        <v>382</v>
      </c>
      <c r="F2097" s="1" t="s">
        <v>383</v>
      </c>
      <c r="G2097" s="1" t="s">
        <v>384</v>
      </c>
      <c r="H2097" s="1">
        <v>2958</v>
      </c>
      <c r="I2097" s="3">
        <v>46275</v>
      </c>
      <c r="L2097" s="31">
        <v>46275.629180173608</v>
      </c>
      <c r="M2097" s="20">
        <v>12</v>
      </c>
      <c r="N2097" s="1">
        <v>194</v>
      </c>
    </row>
    <row r="2098" spans="1:14" x14ac:dyDescent="0.25">
      <c r="A2098" t="str">
        <f t="shared" si="66"/>
        <v>78734177873417</v>
      </c>
      <c r="B2098" t="str">
        <f t="shared" si="67"/>
        <v>7873417M997H9T8-D</v>
      </c>
      <c r="C2098" s="27" t="s">
        <v>485</v>
      </c>
      <c r="D2098" s="27" t="s">
        <v>640</v>
      </c>
      <c r="E2098" s="1" t="s">
        <v>382</v>
      </c>
      <c r="F2098" s="1" t="s">
        <v>383</v>
      </c>
      <c r="G2098" s="1" t="s">
        <v>384</v>
      </c>
      <c r="H2098" s="1">
        <v>2958</v>
      </c>
      <c r="I2098" s="3">
        <v>46275</v>
      </c>
      <c r="L2098" s="31">
        <v>46275.630122604161</v>
      </c>
      <c r="M2098" s="20">
        <v>12</v>
      </c>
      <c r="N2098" s="1">
        <v>213</v>
      </c>
    </row>
    <row r="2099" spans="1:14" x14ac:dyDescent="0.25">
      <c r="A2099" t="str">
        <f t="shared" si="66"/>
        <v>78734177873417</v>
      </c>
      <c r="B2099" t="str">
        <f t="shared" si="67"/>
        <v>7873417M997H9T8-D</v>
      </c>
      <c r="C2099" s="27" t="s">
        <v>485</v>
      </c>
      <c r="D2099" s="27" t="s">
        <v>640</v>
      </c>
      <c r="E2099" s="1" t="s">
        <v>382</v>
      </c>
      <c r="F2099" s="1" t="s">
        <v>383</v>
      </c>
      <c r="G2099" s="1" t="s">
        <v>384</v>
      </c>
      <c r="H2099" s="1">
        <v>2958</v>
      </c>
      <c r="I2099" s="3">
        <v>46275</v>
      </c>
      <c r="L2099" s="31">
        <v>46275.631521099538</v>
      </c>
      <c r="M2099" s="20">
        <v>12</v>
      </c>
      <c r="N2099" s="1">
        <v>97</v>
      </c>
    </row>
    <row r="2100" spans="1:14" x14ac:dyDescent="0.25">
      <c r="A2100" t="str">
        <f t="shared" si="66"/>
        <v>78734177873417</v>
      </c>
      <c r="B2100" t="str">
        <f t="shared" si="67"/>
        <v>7873417M997H9T8-D</v>
      </c>
      <c r="C2100" s="27" t="s">
        <v>485</v>
      </c>
      <c r="D2100" s="27" t="s">
        <v>640</v>
      </c>
      <c r="E2100" s="1" t="s">
        <v>382</v>
      </c>
      <c r="F2100" s="1" t="s">
        <v>383</v>
      </c>
      <c r="G2100" s="1" t="s">
        <v>384</v>
      </c>
      <c r="H2100" s="1">
        <v>2958</v>
      </c>
      <c r="I2100" s="3">
        <v>46275</v>
      </c>
      <c r="L2100" s="31">
        <v>46275.646413194445</v>
      </c>
      <c r="M2100" s="20">
        <v>12</v>
      </c>
      <c r="N2100" s="1">
        <v>193</v>
      </c>
    </row>
    <row r="2101" spans="1:14" x14ac:dyDescent="0.25">
      <c r="A2101" t="str">
        <f t="shared" si="66"/>
        <v>78734177873417</v>
      </c>
      <c r="B2101" t="str">
        <f t="shared" si="67"/>
        <v>7873417M997H9T8-D</v>
      </c>
      <c r="C2101" s="27" t="s">
        <v>485</v>
      </c>
      <c r="D2101" s="27" t="s">
        <v>640</v>
      </c>
      <c r="E2101" s="1" t="s">
        <v>382</v>
      </c>
      <c r="F2101" s="1" t="s">
        <v>383</v>
      </c>
      <c r="G2101" s="1" t="s">
        <v>384</v>
      </c>
      <c r="H2101" s="1">
        <v>2958</v>
      </c>
      <c r="I2101" s="3">
        <v>46275</v>
      </c>
      <c r="L2101" s="31">
        <v>46275.64658695602</v>
      </c>
      <c r="M2101" s="20">
        <v>12</v>
      </c>
      <c r="N2101" s="1">
        <v>168</v>
      </c>
    </row>
    <row r="2102" spans="1:14" x14ac:dyDescent="0.25">
      <c r="A2102" t="str">
        <f t="shared" si="66"/>
        <v>78734177873417</v>
      </c>
      <c r="B2102" t="str">
        <f t="shared" si="67"/>
        <v>7873417M997H9T8-D</v>
      </c>
      <c r="C2102" s="27" t="s">
        <v>485</v>
      </c>
      <c r="D2102" s="27" t="s">
        <v>640</v>
      </c>
      <c r="E2102" s="1" t="s">
        <v>382</v>
      </c>
      <c r="F2102" s="1" t="s">
        <v>383</v>
      </c>
      <c r="G2102" s="1" t="s">
        <v>384</v>
      </c>
      <c r="H2102" s="1">
        <v>2958</v>
      </c>
      <c r="I2102" s="3">
        <v>46275</v>
      </c>
      <c r="L2102" s="31">
        <v>46275.646975497686</v>
      </c>
      <c r="M2102" s="20">
        <v>12</v>
      </c>
      <c r="N2102" s="1">
        <v>229</v>
      </c>
    </row>
    <row r="2103" spans="1:14" x14ac:dyDescent="0.25">
      <c r="A2103" t="str">
        <f t="shared" si="66"/>
        <v>78734177873417</v>
      </c>
      <c r="B2103" t="str">
        <f t="shared" si="67"/>
        <v>7873417M997H9T8-D</v>
      </c>
      <c r="C2103" s="27" t="s">
        <v>485</v>
      </c>
      <c r="D2103" s="27" t="s">
        <v>640</v>
      </c>
      <c r="E2103" s="1" t="s">
        <v>382</v>
      </c>
      <c r="F2103" s="1" t="s">
        <v>383</v>
      </c>
      <c r="G2103" s="1" t="s">
        <v>384</v>
      </c>
      <c r="H2103" s="1">
        <v>2958</v>
      </c>
      <c r="I2103" s="3">
        <v>46275</v>
      </c>
      <c r="L2103" s="31">
        <v>46275.650231793981</v>
      </c>
      <c r="M2103" s="20">
        <v>12</v>
      </c>
      <c r="N2103" s="1">
        <v>48</v>
      </c>
    </row>
    <row r="2104" spans="1:14" x14ac:dyDescent="0.25">
      <c r="A2104" t="str">
        <f t="shared" si="66"/>
        <v>78734177873417</v>
      </c>
      <c r="B2104" t="str">
        <f t="shared" si="67"/>
        <v>7873417M997H9T8-D</v>
      </c>
      <c r="C2104" s="27" t="s">
        <v>485</v>
      </c>
      <c r="D2104" s="27" t="s">
        <v>640</v>
      </c>
      <c r="E2104" s="1" t="s">
        <v>382</v>
      </c>
      <c r="F2104" s="1" t="s">
        <v>383</v>
      </c>
      <c r="G2104" s="1" t="s">
        <v>384</v>
      </c>
      <c r="H2104" s="1">
        <v>2958</v>
      </c>
      <c r="I2104" s="3">
        <v>46275</v>
      </c>
      <c r="L2104" s="31">
        <v>46275.652168831017</v>
      </c>
      <c r="M2104" s="20">
        <v>12</v>
      </c>
      <c r="N2104" s="1">
        <v>98</v>
      </c>
    </row>
    <row r="2105" spans="1:14" x14ac:dyDescent="0.25">
      <c r="A2105" t="str">
        <f t="shared" si="66"/>
        <v>78734177873417</v>
      </c>
      <c r="B2105" t="str">
        <f t="shared" si="67"/>
        <v>7873417M997H9T8-D</v>
      </c>
      <c r="C2105" s="27" t="s">
        <v>485</v>
      </c>
      <c r="D2105" s="27" t="s">
        <v>640</v>
      </c>
      <c r="E2105" s="1" t="s">
        <v>382</v>
      </c>
      <c r="F2105" s="1" t="s">
        <v>383</v>
      </c>
      <c r="G2105" s="1" t="s">
        <v>384</v>
      </c>
      <c r="H2105" s="1">
        <v>2958</v>
      </c>
      <c r="I2105" s="3">
        <v>46275</v>
      </c>
      <c r="L2105" s="31">
        <v>46275.660146215276</v>
      </c>
      <c r="M2105" s="20">
        <v>12</v>
      </c>
      <c r="N2105" s="1">
        <v>217</v>
      </c>
    </row>
    <row r="2106" spans="1:14" x14ac:dyDescent="0.25">
      <c r="A2106" t="str">
        <f t="shared" si="66"/>
        <v>78734177873417</v>
      </c>
      <c r="B2106" t="str">
        <f t="shared" si="67"/>
        <v>7873417M997H9T8-D</v>
      </c>
      <c r="C2106" s="27" t="s">
        <v>485</v>
      </c>
      <c r="D2106" s="27" t="s">
        <v>640</v>
      </c>
      <c r="E2106" s="1" t="s">
        <v>382</v>
      </c>
      <c r="F2106" s="1" t="s">
        <v>383</v>
      </c>
      <c r="G2106" s="1" t="s">
        <v>384</v>
      </c>
      <c r="H2106" s="1">
        <v>2958</v>
      </c>
      <c r="I2106" s="3">
        <v>46275</v>
      </c>
      <c r="L2106" s="31">
        <v>46275.660559374999</v>
      </c>
      <c r="M2106" s="20">
        <v>12</v>
      </c>
      <c r="N2106" s="1">
        <v>167</v>
      </c>
    </row>
    <row r="2107" spans="1:14" x14ac:dyDescent="0.25">
      <c r="A2107" t="str">
        <f t="shared" si="66"/>
        <v>78734177873417</v>
      </c>
      <c r="B2107" t="str">
        <f t="shared" si="67"/>
        <v>7873417M997H9T8-D</v>
      </c>
      <c r="C2107" s="27" t="s">
        <v>485</v>
      </c>
      <c r="D2107" s="27" t="s">
        <v>640</v>
      </c>
      <c r="E2107" s="1" t="s">
        <v>382</v>
      </c>
      <c r="F2107" s="1" t="s">
        <v>383</v>
      </c>
      <c r="G2107" s="1" t="s">
        <v>384</v>
      </c>
      <c r="H2107" s="1">
        <v>2958</v>
      </c>
      <c r="I2107" s="3">
        <v>46275</v>
      </c>
      <c r="L2107" s="31">
        <v>46275.666183530091</v>
      </c>
      <c r="M2107" s="20">
        <v>12</v>
      </c>
      <c r="N2107" s="1">
        <v>241</v>
      </c>
    </row>
    <row r="2108" spans="1:14" x14ac:dyDescent="0.25">
      <c r="A2108" t="str">
        <f t="shared" si="66"/>
        <v>78734177873417</v>
      </c>
      <c r="B2108" t="str">
        <f t="shared" si="67"/>
        <v>7873417M997H9T8-D</v>
      </c>
      <c r="C2108" s="27" t="s">
        <v>485</v>
      </c>
      <c r="D2108" s="27" t="s">
        <v>640</v>
      </c>
      <c r="E2108" s="1" t="s">
        <v>382</v>
      </c>
      <c r="F2108" s="1" t="s">
        <v>383</v>
      </c>
      <c r="G2108" s="1" t="s">
        <v>384</v>
      </c>
      <c r="H2108" s="1">
        <v>2958</v>
      </c>
      <c r="I2108" s="3">
        <v>46275</v>
      </c>
      <c r="L2108" s="31">
        <v>46275.667111574076</v>
      </c>
      <c r="M2108" s="20">
        <v>12</v>
      </c>
      <c r="N2108" s="1">
        <v>102</v>
      </c>
    </row>
    <row r="2109" spans="1:14" x14ac:dyDescent="0.25">
      <c r="A2109" t="str">
        <f t="shared" si="66"/>
        <v>78734177873417</v>
      </c>
      <c r="B2109" t="str">
        <f t="shared" si="67"/>
        <v>7873417M997H9T8-D</v>
      </c>
      <c r="C2109" s="27" t="s">
        <v>485</v>
      </c>
      <c r="D2109" s="27" t="s">
        <v>640</v>
      </c>
      <c r="E2109" s="1" t="s">
        <v>382</v>
      </c>
      <c r="F2109" s="1" t="s">
        <v>383</v>
      </c>
      <c r="G2109" s="1" t="s">
        <v>384</v>
      </c>
      <c r="H2109" s="1">
        <v>2958</v>
      </c>
      <c r="I2109" s="3">
        <v>46275</v>
      </c>
      <c r="L2109" s="31">
        <v>46275.667275891203</v>
      </c>
      <c r="M2109" s="20">
        <v>12</v>
      </c>
      <c r="N2109" s="1">
        <v>136</v>
      </c>
    </row>
    <row r="2110" spans="1:14" x14ac:dyDescent="0.25">
      <c r="A2110" t="str">
        <f t="shared" si="66"/>
        <v>78734177873417</v>
      </c>
      <c r="B2110" t="str">
        <f t="shared" si="67"/>
        <v>7873417M997H9T8-D</v>
      </c>
      <c r="C2110" s="27" t="s">
        <v>485</v>
      </c>
      <c r="D2110" s="27" t="s">
        <v>640</v>
      </c>
      <c r="E2110" s="1" t="s">
        <v>382</v>
      </c>
      <c r="F2110" s="1" t="s">
        <v>383</v>
      </c>
      <c r="G2110" s="1" t="s">
        <v>384</v>
      </c>
      <c r="H2110" s="1">
        <v>2958</v>
      </c>
      <c r="I2110" s="3">
        <v>46275</v>
      </c>
      <c r="L2110" s="31">
        <v>46275.668817013888</v>
      </c>
      <c r="M2110" s="20">
        <v>12</v>
      </c>
      <c r="N2110" s="1">
        <v>192</v>
      </c>
    </row>
    <row r="2111" spans="1:14" x14ac:dyDescent="0.25">
      <c r="A2111" t="str">
        <f t="shared" si="66"/>
        <v>78734177873417</v>
      </c>
      <c r="B2111" t="str">
        <f t="shared" si="67"/>
        <v>7873417M997H9T8-D</v>
      </c>
      <c r="C2111" s="27" t="s">
        <v>485</v>
      </c>
      <c r="D2111" s="27" t="s">
        <v>640</v>
      </c>
      <c r="E2111" s="1" t="s">
        <v>382</v>
      </c>
      <c r="F2111" s="1" t="s">
        <v>383</v>
      </c>
      <c r="G2111" s="1" t="s">
        <v>384</v>
      </c>
      <c r="H2111" s="1">
        <v>2958</v>
      </c>
      <c r="I2111" s="3">
        <v>46275</v>
      </c>
      <c r="L2111" s="31">
        <v>46275.678800543981</v>
      </c>
      <c r="M2111" s="20">
        <v>12</v>
      </c>
      <c r="N2111" s="1">
        <v>71</v>
      </c>
    </row>
    <row r="2112" spans="1:14" x14ac:dyDescent="0.25">
      <c r="A2112" t="str">
        <f t="shared" si="66"/>
        <v>78734177873417</v>
      </c>
      <c r="B2112" t="str">
        <f t="shared" si="67"/>
        <v>7873417M997H9T8-D</v>
      </c>
      <c r="C2112" s="27" t="s">
        <v>485</v>
      </c>
      <c r="D2112" s="27" t="s">
        <v>640</v>
      </c>
      <c r="E2112" s="1" t="s">
        <v>382</v>
      </c>
      <c r="F2112" s="1" t="s">
        <v>383</v>
      </c>
      <c r="G2112" s="1" t="s">
        <v>384</v>
      </c>
      <c r="H2112" s="1">
        <v>2958</v>
      </c>
      <c r="I2112" s="3">
        <v>46275</v>
      </c>
      <c r="L2112" s="31">
        <v>46275.678959641205</v>
      </c>
      <c r="M2112" s="20">
        <v>12</v>
      </c>
      <c r="N2112" s="1">
        <v>232</v>
      </c>
    </row>
    <row r="2113" spans="1:14" x14ac:dyDescent="0.25">
      <c r="A2113" t="str">
        <f t="shared" si="66"/>
        <v>78734177873417</v>
      </c>
      <c r="B2113" t="str">
        <f t="shared" si="67"/>
        <v>7873417M997H9T8-D</v>
      </c>
      <c r="C2113" s="27" t="s">
        <v>485</v>
      </c>
      <c r="D2113" s="27" t="s">
        <v>640</v>
      </c>
      <c r="E2113" s="1" t="s">
        <v>382</v>
      </c>
      <c r="F2113" s="1" t="s">
        <v>383</v>
      </c>
      <c r="G2113" s="1" t="s">
        <v>384</v>
      </c>
      <c r="H2113" s="1">
        <v>2958</v>
      </c>
      <c r="I2113" s="3">
        <v>46275</v>
      </c>
      <c r="L2113" s="31">
        <v>46275.679392361111</v>
      </c>
      <c r="M2113" s="20">
        <v>12</v>
      </c>
      <c r="N2113" s="1">
        <v>95</v>
      </c>
    </row>
    <row r="2114" spans="1:14" x14ac:dyDescent="0.25">
      <c r="A2114" t="str">
        <f t="shared" ref="A2114:A2177" si="68">+D2114&amp;D2114</f>
        <v>78734177873417</v>
      </c>
      <c r="B2114" t="str">
        <f t="shared" ref="B2114:B2177" si="69">+D2114&amp;C2114</f>
        <v>7873417M997H9T8-D</v>
      </c>
      <c r="C2114" s="27" t="s">
        <v>485</v>
      </c>
      <c r="D2114" s="27" t="s">
        <v>640</v>
      </c>
      <c r="E2114" s="1" t="s">
        <v>382</v>
      </c>
      <c r="F2114" s="1" t="s">
        <v>383</v>
      </c>
      <c r="G2114" s="1" t="s">
        <v>384</v>
      </c>
      <c r="H2114" s="1">
        <v>2958</v>
      </c>
      <c r="I2114" s="3">
        <v>46275</v>
      </c>
      <c r="L2114" s="31">
        <v>46275.691703009259</v>
      </c>
      <c r="M2114" s="20">
        <v>12</v>
      </c>
      <c r="N2114" s="1">
        <v>237</v>
      </c>
    </row>
    <row r="2115" spans="1:14" x14ac:dyDescent="0.25">
      <c r="A2115" t="str">
        <f t="shared" si="68"/>
        <v>78734177873417</v>
      </c>
      <c r="B2115" t="str">
        <f t="shared" si="69"/>
        <v>7873417M997H9T8-D</v>
      </c>
      <c r="C2115" s="27" t="s">
        <v>485</v>
      </c>
      <c r="D2115" s="27" t="s">
        <v>640</v>
      </c>
      <c r="E2115" s="1" t="s">
        <v>382</v>
      </c>
      <c r="F2115" s="1" t="s">
        <v>383</v>
      </c>
      <c r="G2115" s="1" t="s">
        <v>384</v>
      </c>
      <c r="H2115" s="1">
        <v>2958</v>
      </c>
      <c r="I2115" s="3">
        <v>46275</v>
      </c>
      <c r="L2115" s="31">
        <v>46275.691976469905</v>
      </c>
      <c r="M2115" s="20">
        <v>12</v>
      </c>
      <c r="N2115" s="1">
        <v>28</v>
      </c>
    </row>
    <row r="2116" spans="1:14" x14ac:dyDescent="0.25">
      <c r="A2116" t="str">
        <f t="shared" si="68"/>
        <v>78734177873417</v>
      </c>
      <c r="B2116" t="str">
        <f t="shared" si="69"/>
        <v>7873417M997H9T8-D</v>
      </c>
      <c r="C2116" s="27" t="s">
        <v>485</v>
      </c>
      <c r="D2116" s="27" t="s">
        <v>640</v>
      </c>
      <c r="E2116" s="1" t="s">
        <v>382</v>
      </c>
      <c r="F2116" s="1" t="s">
        <v>383</v>
      </c>
      <c r="G2116" s="1" t="s">
        <v>384</v>
      </c>
      <c r="H2116" s="1">
        <v>2958</v>
      </c>
      <c r="I2116" s="3">
        <v>46275</v>
      </c>
      <c r="L2116" s="31">
        <v>46275.693890775459</v>
      </c>
      <c r="M2116" s="20">
        <v>12</v>
      </c>
      <c r="N2116" s="1">
        <v>138</v>
      </c>
    </row>
    <row r="2117" spans="1:14" x14ac:dyDescent="0.25">
      <c r="A2117" t="str">
        <f t="shared" si="68"/>
        <v>78734177873417</v>
      </c>
      <c r="B2117" t="str">
        <f t="shared" si="69"/>
        <v>7873417M997H9T8-D</v>
      </c>
      <c r="C2117" s="27" t="s">
        <v>485</v>
      </c>
      <c r="D2117" s="27" t="s">
        <v>640</v>
      </c>
      <c r="E2117" s="1" t="s">
        <v>382</v>
      </c>
      <c r="F2117" s="1" t="s">
        <v>383</v>
      </c>
      <c r="G2117" s="1" t="s">
        <v>384</v>
      </c>
      <c r="H2117" s="1">
        <v>2958</v>
      </c>
      <c r="I2117" s="3">
        <v>46275</v>
      </c>
      <c r="L2117" s="31">
        <v>46275.694267789353</v>
      </c>
      <c r="M2117" s="20">
        <v>12</v>
      </c>
      <c r="N2117" s="1">
        <v>47</v>
      </c>
    </row>
    <row r="2118" spans="1:14" x14ac:dyDescent="0.25">
      <c r="A2118" t="str">
        <f t="shared" si="68"/>
        <v>78734177873417</v>
      </c>
      <c r="B2118" t="str">
        <f t="shared" si="69"/>
        <v>7873417M997H9T8-D</v>
      </c>
      <c r="C2118" s="27" t="s">
        <v>485</v>
      </c>
      <c r="D2118" s="27" t="s">
        <v>640</v>
      </c>
      <c r="E2118" s="1" t="s">
        <v>382</v>
      </c>
      <c r="F2118" s="1" t="s">
        <v>383</v>
      </c>
      <c r="G2118" s="1" t="s">
        <v>384</v>
      </c>
      <c r="H2118" s="1">
        <v>2958</v>
      </c>
      <c r="I2118" s="3">
        <v>46275</v>
      </c>
      <c r="L2118" s="31">
        <v>46275.696396412037</v>
      </c>
      <c r="M2118" s="20">
        <v>12</v>
      </c>
      <c r="N2118" s="1">
        <v>240</v>
      </c>
    </row>
    <row r="2119" spans="1:14" x14ac:dyDescent="0.25">
      <c r="A2119" t="str">
        <f t="shared" si="68"/>
        <v>78734177873417</v>
      </c>
      <c r="B2119" t="str">
        <f t="shared" si="69"/>
        <v>7873417M997H9T8-D</v>
      </c>
      <c r="C2119" s="27" t="s">
        <v>485</v>
      </c>
      <c r="D2119" s="27" t="s">
        <v>640</v>
      </c>
      <c r="E2119" s="1" t="s">
        <v>382</v>
      </c>
      <c r="F2119" s="1" t="s">
        <v>383</v>
      </c>
      <c r="G2119" s="1" t="s">
        <v>384</v>
      </c>
      <c r="H2119" s="1">
        <v>2958</v>
      </c>
      <c r="I2119" s="3">
        <v>46275</v>
      </c>
      <c r="L2119" s="31">
        <v>46275.696616006942</v>
      </c>
      <c r="M2119" s="20">
        <v>12</v>
      </c>
      <c r="N2119" s="1">
        <v>216</v>
      </c>
    </row>
    <row r="2120" spans="1:14" x14ac:dyDescent="0.25">
      <c r="A2120" t="str">
        <f t="shared" si="68"/>
        <v>78734177873417</v>
      </c>
      <c r="B2120" t="str">
        <f t="shared" si="69"/>
        <v>7873417M997H9T8-D</v>
      </c>
      <c r="C2120" s="27" t="s">
        <v>485</v>
      </c>
      <c r="D2120" s="27" t="s">
        <v>640</v>
      </c>
      <c r="E2120" s="1" t="s">
        <v>382</v>
      </c>
      <c r="F2120" s="1" t="s">
        <v>383</v>
      </c>
      <c r="G2120" s="1" t="s">
        <v>384</v>
      </c>
      <c r="H2120" s="1">
        <v>2958</v>
      </c>
      <c r="I2120" s="3">
        <v>46275</v>
      </c>
      <c r="L2120" s="31">
        <v>46275.703132407405</v>
      </c>
      <c r="M2120" s="20">
        <v>12</v>
      </c>
      <c r="N2120" s="1">
        <v>172</v>
      </c>
    </row>
    <row r="2121" spans="1:14" x14ac:dyDescent="0.25">
      <c r="A2121" t="str">
        <f t="shared" si="68"/>
        <v>78734177873417</v>
      </c>
      <c r="B2121" t="str">
        <f t="shared" si="69"/>
        <v>7873417M997H9T8-D</v>
      </c>
      <c r="C2121" s="27" t="s">
        <v>485</v>
      </c>
      <c r="D2121" s="27" t="s">
        <v>640</v>
      </c>
      <c r="E2121" s="1" t="s">
        <v>382</v>
      </c>
      <c r="F2121" s="1" t="s">
        <v>383</v>
      </c>
      <c r="G2121" s="1" t="s">
        <v>384</v>
      </c>
      <c r="H2121" s="1">
        <v>2958</v>
      </c>
      <c r="I2121" s="3">
        <v>46275</v>
      </c>
      <c r="L2121" s="31">
        <v>46275.7033065625</v>
      </c>
      <c r="M2121" s="20">
        <v>12</v>
      </c>
      <c r="N2121" s="1">
        <v>199</v>
      </c>
    </row>
    <row r="2122" spans="1:14" x14ac:dyDescent="0.25">
      <c r="A2122" t="str">
        <f t="shared" si="68"/>
        <v>78734177873417</v>
      </c>
      <c r="B2122" t="str">
        <f t="shared" si="69"/>
        <v>7873417M997H9T8-D</v>
      </c>
      <c r="C2122" s="27" t="s">
        <v>485</v>
      </c>
      <c r="D2122" s="27" t="s">
        <v>640</v>
      </c>
      <c r="E2122" s="1" t="s">
        <v>382</v>
      </c>
      <c r="F2122" s="1" t="s">
        <v>383</v>
      </c>
      <c r="G2122" s="1" t="s">
        <v>384</v>
      </c>
      <c r="H2122" s="1">
        <v>2958</v>
      </c>
      <c r="I2122" s="3">
        <v>46275</v>
      </c>
      <c r="L2122" s="31">
        <v>46275.710388229163</v>
      </c>
      <c r="M2122" s="20">
        <v>12</v>
      </c>
      <c r="N2122" s="1">
        <v>46</v>
      </c>
    </row>
    <row r="2123" spans="1:14" x14ac:dyDescent="0.25">
      <c r="A2123" t="str">
        <f t="shared" si="68"/>
        <v>78734177873417</v>
      </c>
      <c r="B2123" t="str">
        <f t="shared" si="69"/>
        <v>7873417M997H9T8-D</v>
      </c>
      <c r="C2123" s="27" t="s">
        <v>485</v>
      </c>
      <c r="D2123" s="27" t="s">
        <v>640</v>
      </c>
      <c r="E2123" s="1" t="s">
        <v>382</v>
      </c>
      <c r="F2123" s="1" t="s">
        <v>383</v>
      </c>
      <c r="G2123" s="1" t="s">
        <v>384</v>
      </c>
      <c r="H2123" s="1">
        <v>2958</v>
      </c>
      <c r="I2123" s="3">
        <v>46275</v>
      </c>
      <c r="L2123" s="31">
        <v>46275.710611574075</v>
      </c>
      <c r="M2123" s="20">
        <v>12</v>
      </c>
      <c r="N2123" s="1">
        <v>231</v>
      </c>
    </row>
    <row r="2124" spans="1:14" x14ac:dyDescent="0.25">
      <c r="A2124" t="str">
        <f t="shared" si="68"/>
        <v>78734177873417</v>
      </c>
      <c r="B2124" t="str">
        <f t="shared" si="69"/>
        <v>7873417M997H9T8-D</v>
      </c>
      <c r="C2124" s="27" t="s">
        <v>485</v>
      </c>
      <c r="D2124" s="27" t="s">
        <v>640</v>
      </c>
      <c r="E2124" s="1" t="s">
        <v>382</v>
      </c>
      <c r="F2124" s="1" t="s">
        <v>383</v>
      </c>
      <c r="G2124" s="1" t="s">
        <v>384</v>
      </c>
      <c r="H2124" s="1">
        <v>2958</v>
      </c>
      <c r="I2124" s="3">
        <v>46275</v>
      </c>
      <c r="L2124" s="31">
        <v>46275.710800231478</v>
      </c>
      <c r="M2124" s="20">
        <v>12</v>
      </c>
      <c r="N2124" s="1">
        <v>99</v>
      </c>
    </row>
    <row r="2125" spans="1:14" x14ac:dyDescent="0.25">
      <c r="A2125" t="str">
        <f t="shared" si="68"/>
        <v>78734177873417</v>
      </c>
      <c r="B2125" t="str">
        <f t="shared" si="69"/>
        <v>7873417M997H9T8-D</v>
      </c>
      <c r="C2125" s="27" t="s">
        <v>485</v>
      </c>
      <c r="D2125" s="27" t="s">
        <v>640</v>
      </c>
      <c r="E2125" s="1" t="s">
        <v>382</v>
      </c>
      <c r="F2125" s="1" t="s">
        <v>383</v>
      </c>
      <c r="G2125" s="1" t="s">
        <v>384</v>
      </c>
      <c r="H2125" s="1">
        <v>2958</v>
      </c>
      <c r="I2125" s="3">
        <v>46275</v>
      </c>
      <c r="L2125" s="31">
        <v>46275.711007442129</v>
      </c>
      <c r="M2125" s="20">
        <v>12</v>
      </c>
      <c r="N2125" s="1">
        <v>137</v>
      </c>
    </row>
    <row r="2126" spans="1:14" x14ac:dyDescent="0.25">
      <c r="A2126" t="str">
        <f t="shared" si="68"/>
        <v>78750287875028</v>
      </c>
      <c r="B2126" t="str">
        <f t="shared" si="69"/>
        <v>7875028U204L9NJ-D</v>
      </c>
      <c r="C2126" s="27" t="s">
        <v>577</v>
      </c>
      <c r="D2126" s="27" t="s">
        <v>647</v>
      </c>
      <c r="E2126" s="1" t="s">
        <v>379</v>
      </c>
      <c r="F2126" s="1" t="s">
        <v>380</v>
      </c>
      <c r="G2126" s="1" t="s">
        <v>391</v>
      </c>
      <c r="H2126" s="1">
        <v>192</v>
      </c>
      <c r="I2126" s="3">
        <v>46275</v>
      </c>
      <c r="L2126" s="31">
        <v>46275.690717164347</v>
      </c>
      <c r="M2126" s="20">
        <v>12</v>
      </c>
      <c r="N2126" s="1">
        <v>6</v>
      </c>
    </row>
    <row r="2127" spans="1:14" x14ac:dyDescent="0.25">
      <c r="A2127" t="str">
        <f t="shared" si="68"/>
        <v>78750287875028</v>
      </c>
      <c r="B2127" t="str">
        <f t="shared" si="69"/>
        <v>7875028U204L9NJ-D</v>
      </c>
      <c r="C2127" s="27" t="s">
        <v>577</v>
      </c>
      <c r="D2127" s="27" t="s">
        <v>647</v>
      </c>
      <c r="E2127" s="1" t="s">
        <v>379</v>
      </c>
      <c r="F2127" s="1" t="s">
        <v>380</v>
      </c>
      <c r="G2127" s="1" t="s">
        <v>391</v>
      </c>
      <c r="H2127" s="1">
        <v>192</v>
      </c>
      <c r="I2127" s="3">
        <v>46275</v>
      </c>
      <c r="L2127" s="31">
        <v>46275.70770061342</v>
      </c>
      <c r="M2127" s="20">
        <v>12</v>
      </c>
      <c r="N2127" s="1">
        <v>3</v>
      </c>
    </row>
    <row r="2128" spans="1:14" x14ac:dyDescent="0.25">
      <c r="A2128" t="str">
        <f t="shared" si="68"/>
        <v>78750287875028</v>
      </c>
      <c r="B2128" t="str">
        <f t="shared" si="69"/>
        <v>7875028U204L9NJ-D</v>
      </c>
      <c r="C2128" s="27" t="s">
        <v>577</v>
      </c>
      <c r="D2128" s="27" t="s">
        <v>647</v>
      </c>
      <c r="E2128" s="1" t="s">
        <v>379</v>
      </c>
      <c r="F2128" s="1" t="s">
        <v>380</v>
      </c>
      <c r="G2128" s="1" t="s">
        <v>391</v>
      </c>
      <c r="H2128" s="1">
        <v>192</v>
      </c>
      <c r="I2128" s="3">
        <v>46275</v>
      </c>
      <c r="L2128" s="31">
        <v>46275.70791975694</v>
      </c>
      <c r="M2128" s="20">
        <v>12</v>
      </c>
      <c r="N2128" s="1">
        <v>7</v>
      </c>
    </row>
    <row r="2129" spans="1:14" x14ac:dyDescent="0.25">
      <c r="A2129" t="str">
        <f t="shared" si="68"/>
        <v>78759357875935</v>
      </c>
      <c r="B2129" t="str">
        <f t="shared" si="69"/>
        <v>7875935U204L9NJ-D</v>
      </c>
      <c r="C2129" s="27" t="s">
        <v>577</v>
      </c>
      <c r="D2129" s="27" t="s">
        <v>650</v>
      </c>
      <c r="E2129" s="1" t="s">
        <v>388</v>
      </c>
      <c r="F2129" s="1" t="s">
        <v>389</v>
      </c>
      <c r="G2129" s="1" t="s">
        <v>387</v>
      </c>
      <c r="H2129" s="1">
        <v>168</v>
      </c>
      <c r="I2129" s="3">
        <v>46275</v>
      </c>
      <c r="J2129" s="3">
        <v>46287</v>
      </c>
      <c r="K2129" s="3" t="s">
        <v>2365</v>
      </c>
      <c r="L2129" s="31">
        <v>46275.7152130787</v>
      </c>
      <c r="M2129" s="20">
        <v>12</v>
      </c>
      <c r="N2129" s="1">
        <v>7</v>
      </c>
    </row>
    <row r="2130" spans="1:14" x14ac:dyDescent="0.25">
      <c r="A2130" t="str">
        <f t="shared" si="68"/>
        <v>78792057879205</v>
      </c>
      <c r="B2130" t="str">
        <f t="shared" si="69"/>
        <v>7879205G60346H-M</v>
      </c>
      <c r="C2130" s="27" t="s">
        <v>648</v>
      </c>
      <c r="D2130" s="27" t="s">
        <v>649</v>
      </c>
      <c r="E2130" s="1" t="s">
        <v>382</v>
      </c>
      <c r="F2130" s="1" t="s">
        <v>383</v>
      </c>
      <c r="G2130" s="1" t="s">
        <v>395</v>
      </c>
      <c r="H2130" s="1">
        <v>528</v>
      </c>
      <c r="I2130" s="3">
        <v>46275</v>
      </c>
      <c r="J2130" s="3">
        <v>46287</v>
      </c>
      <c r="K2130" s="3" t="s">
        <v>2374</v>
      </c>
      <c r="L2130" s="31">
        <v>46275.692162037034</v>
      </c>
      <c r="M2130" s="20">
        <v>12</v>
      </c>
      <c r="N2130" s="1">
        <v>24</v>
      </c>
    </row>
    <row r="2131" spans="1:14" x14ac:dyDescent="0.25">
      <c r="A2131" t="str">
        <f t="shared" si="68"/>
        <v>78792057879205</v>
      </c>
      <c r="B2131" t="str">
        <f t="shared" si="69"/>
        <v>7879205G60346H-M</v>
      </c>
      <c r="C2131" s="27" t="s">
        <v>648</v>
      </c>
      <c r="D2131" s="27" t="s">
        <v>649</v>
      </c>
      <c r="E2131" s="1" t="s">
        <v>382</v>
      </c>
      <c r="F2131" s="1" t="s">
        <v>383</v>
      </c>
      <c r="G2131" s="1" t="s">
        <v>395</v>
      </c>
      <c r="H2131" s="1">
        <v>528</v>
      </c>
      <c r="I2131" s="3">
        <v>46275</v>
      </c>
      <c r="J2131" s="3">
        <v>46287</v>
      </c>
      <c r="K2131" s="3" t="s">
        <v>2374</v>
      </c>
      <c r="L2131" s="31">
        <v>46275.69448518518</v>
      </c>
      <c r="M2131" s="20">
        <v>12</v>
      </c>
      <c r="N2131" s="1">
        <v>3</v>
      </c>
    </row>
    <row r="2132" spans="1:14" x14ac:dyDescent="0.25">
      <c r="A2132" t="str">
        <f t="shared" si="68"/>
        <v>78792057879205</v>
      </c>
      <c r="B2132" t="str">
        <f t="shared" si="69"/>
        <v>7879205G60346H-M</v>
      </c>
      <c r="C2132" s="27" t="s">
        <v>648</v>
      </c>
      <c r="D2132" s="27" t="s">
        <v>649</v>
      </c>
      <c r="E2132" s="1" t="s">
        <v>382</v>
      </c>
      <c r="F2132" s="1" t="s">
        <v>383</v>
      </c>
      <c r="G2132" s="1" t="s">
        <v>395</v>
      </c>
      <c r="H2132" s="1">
        <v>528</v>
      </c>
      <c r="I2132" s="3">
        <v>46275</v>
      </c>
      <c r="J2132" s="3">
        <v>46287</v>
      </c>
      <c r="K2132" s="3" t="s">
        <v>2374</v>
      </c>
      <c r="L2132" s="31">
        <v>46275.694830520828</v>
      </c>
      <c r="M2132" s="20">
        <v>12</v>
      </c>
      <c r="N2132" s="1">
        <v>31</v>
      </c>
    </row>
    <row r="2133" spans="1:14" x14ac:dyDescent="0.25">
      <c r="A2133" t="str">
        <f t="shared" si="68"/>
        <v>78792057879205</v>
      </c>
      <c r="B2133" t="str">
        <f t="shared" si="69"/>
        <v>7879205G60346H-M</v>
      </c>
      <c r="C2133" s="27" t="s">
        <v>648</v>
      </c>
      <c r="D2133" s="27" t="s">
        <v>649</v>
      </c>
      <c r="E2133" s="1" t="s">
        <v>382</v>
      </c>
      <c r="F2133" s="1" t="s">
        <v>383</v>
      </c>
      <c r="G2133" s="1" t="s">
        <v>395</v>
      </c>
      <c r="H2133" s="1">
        <v>528</v>
      </c>
      <c r="I2133" s="3">
        <v>46275</v>
      </c>
      <c r="J2133" s="3">
        <v>46287</v>
      </c>
      <c r="K2133" s="3" t="s">
        <v>2374</v>
      </c>
      <c r="L2133" s="31">
        <v>46275.695113738424</v>
      </c>
      <c r="M2133" s="20">
        <v>12</v>
      </c>
      <c r="N2133" s="1">
        <v>14</v>
      </c>
    </row>
    <row r="2134" spans="1:14" x14ac:dyDescent="0.25">
      <c r="A2134" t="str">
        <f t="shared" si="68"/>
        <v>78792057879205</v>
      </c>
      <c r="B2134" t="str">
        <f t="shared" si="69"/>
        <v>7879205G60346H-M</v>
      </c>
      <c r="C2134" s="27" t="s">
        <v>648</v>
      </c>
      <c r="D2134" s="27" t="s">
        <v>649</v>
      </c>
      <c r="E2134" s="1" t="s">
        <v>382</v>
      </c>
      <c r="F2134" s="1" t="s">
        <v>383</v>
      </c>
      <c r="G2134" s="1" t="s">
        <v>395</v>
      </c>
      <c r="H2134" s="1">
        <v>528</v>
      </c>
      <c r="I2134" s="3">
        <v>46275</v>
      </c>
      <c r="J2134" s="3">
        <v>46287</v>
      </c>
      <c r="K2134" s="3" t="s">
        <v>2374</v>
      </c>
      <c r="L2134" s="31">
        <v>46275.695336493052</v>
      </c>
      <c r="M2134" s="20">
        <v>12</v>
      </c>
      <c r="N2134" s="1">
        <v>35</v>
      </c>
    </row>
    <row r="2135" spans="1:14" x14ac:dyDescent="0.25">
      <c r="A2135" t="str">
        <f t="shared" si="68"/>
        <v>78792057879205</v>
      </c>
      <c r="B2135" t="str">
        <f t="shared" si="69"/>
        <v>7879205G60346H-M</v>
      </c>
      <c r="C2135" s="27" t="s">
        <v>648</v>
      </c>
      <c r="D2135" s="27" t="s">
        <v>649</v>
      </c>
      <c r="E2135" s="1" t="s">
        <v>382</v>
      </c>
      <c r="F2135" s="1" t="s">
        <v>383</v>
      </c>
      <c r="G2135" s="1" t="s">
        <v>395</v>
      </c>
      <c r="H2135" s="1">
        <v>528</v>
      </c>
      <c r="I2135" s="3">
        <v>46275</v>
      </c>
      <c r="J2135" s="3">
        <v>46287</v>
      </c>
      <c r="K2135" s="3" t="s">
        <v>2374</v>
      </c>
      <c r="L2135" s="31">
        <v>46275.695643715277</v>
      </c>
      <c r="M2135" s="20">
        <v>12</v>
      </c>
      <c r="N2135" s="1">
        <v>12</v>
      </c>
    </row>
    <row r="2136" spans="1:14" x14ac:dyDescent="0.25">
      <c r="A2136" t="str">
        <f t="shared" si="68"/>
        <v>78792057879205</v>
      </c>
      <c r="B2136" t="str">
        <f t="shared" si="69"/>
        <v>7879205G60346H-M</v>
      </c>
      <c r="C2136" s="27" t="s">
        <v>648</v>
      </c>
      <c r="D2136" s="27" t="s">
        <v>649</v>
      </c>
      <c r="E2136" s="1" t="s">
        <v>382</v>
      </c>
      <c r="F2136" s="1" t="s">
        <v>383</v>
      </c>
      <c r="G2136" s="1" t="s">
        <v>395</v>
      </c>
      <c r="H2136" s="1">
        <v>528</v>
      </c>
      <c r="I2136" s="3">
        <v>46275</v>
      </c>
      <c r="J2136" s="3">
        <v>46287</v>
      </c>
      <c r="K2136" s="3" t="s">
        <v>2374</v>
      </c>
      <c r="L2136" s="31">
        <v>46275.695964849532</v>
      </c>
      <c r="M2136" s="20">
        <v>12</v>
      </c>
      <c r="N2136" s="1">
        <v>21</v>
      </c>
    </row>
    <row r="2137" spans="1:14" x14ac:dyDescent="0.25">
      <c r="A2137" t="str">
        <f t="shared" si="68"/>
        <v>78792057879205</v>
      </c>
      <c r="B2137" t="str">
        <f t="shared" si="69"/>
        <v>7879205G60346H-M</v>
      </c>
      <c r="C2137" s="27" t="s">
        <v>648</v>
      </c>
      <c r="D2137" s="27" t="s">
        <v>649</v>
      </c>
      <c r="E2137" s="1" t="s">
        <v>382</v>
      </c>
      <c r="F2137" s="1" t="s">
        <v>383</v>
      </c>
      <c r="G2137" s="1" t="s">
        <v>395</v>
      </c>
      <c r="H2137" s="1">
        <v>528</v>
      </c>
      <c r="I2137" s="3">
        <v>46275</v>
      </c>
      <c r="J2137" s="3">
        <v>46287</v>
      </c>
      <c r="K2137" s="3" t="s">
        <v>2374</v>
      </c>
      <c r="L2137" s="31">
        <v>46275.702731365738</v>
      </c>
      <c r="M2137" s="20">
        <v>12</v>
      </c>
      <c r="N2137" s="1">
        <v>15</v>
      </c>
    </row>
    <row r="2138" spans="1:14" x14ac:dyDescent="0.25">
      <c r="A2138" t="str">
        <f t="shared" si="68"/>
        <v>78792057879205</v>
      </c>
      <c r="B2138" t="str">
        <f t="shared" si="69"/>
        <v>7879205G60346H-M</v>
      </c>
      <c r="C2138" s="27" t="s">
        <v>648</v>
      </c>
      <c r="D2138" s="27" t="s">
        <v>649</v>
      </c>
      <c r="E2138" s="1" t="s">
        <v>382</v>
      </c>
      <c r="F2138" s="1" t="s">
        <v>383</v>
      </c>
      <c r="G2138" s="1" t="s">
        <v>395</v>
      </c>
      <c r="H2138" s="1">
        <v>528</v>
      </c>
      <c r="I2138" s="3">
        <v>46275</v>
      </c>
      <c r="J2138" s="3">
        <v>46287</v>
      </c>
      <c r="K2138" s="3" t="s">
        <v>2374</v>
      </c>
      <c r="L2138" s="31">
        <v>46275.702931828702</v>
      </c>
      <c r="M2138" s="20">
        <v>12</v>
      </c>
      <c r="N2138" s="1">
        <v>38</v>
      </c>
    </row>
    <row r="2139" spans="1:14" x14ac:dyDescent="0.25">
      <c r="A2139" t="str">
        <f t="shared" si="68"/>
        <v>78792057879205</v>
      </c>
      <c r="B2139" t="str">
        <f t="shared" si="69"/>
        <v>7879205G60346H-M</v>
      </c>
      <c r="C2139" s="27" t="s">
        <v>648</v>
      </c>
      <c r="D2139" s="27" t="s">
        <v>649</v>
      </c>
      <c r="E2139" s="1" t="s">
        <v>382</v>
      </c>
      <c r="F2139" s="1" t="s">
        <v>383</v>
      </c>
      <c r="G2139" s="1" t="s">
        <v>395</v>
      </c>
      <c r="H2139" s="1">
        <v>528</v>
      </c>
      <c r="I2139" s="3">
        <v>46275</v>
      </c>
      <c r="J2139" s="3">
        <v>46287</v>
      </c>
      <c r="K2139" s="3" t="s">
        <v>2374</v>
      </c>
      <c r="L2139" s="31">
        <v>46275.703571990736</v>
      </c>
      <c r="M2139" s="20">
        <v>12</v>
      </c>
      <c r="N2139" s="1">
        <v>32</v>
      </c>
    </row>
    <row r="2140" spans="1:14" x14ac:dyDescent="0.25">
      <c r="A2140" t="str">
        <f t="shared" si="68"/>
        <v>H174821H174821</v>
      </c>
      <c r="B2140" t="str">
        <f t="shared" si="69"/>
        <v>H174821P204L8K2-M</v>
      </c>
      <c r="C2140" s="27" t="s">
        <v>14</v>
      </c>
      <c r="D2140" s="27" t="s">
        <v>637</v>
      </c>
      <c r="E2140" s="1" t="s">
        <v>524</v>
      </c>
      <c r="F2140" s="1" t="s">
        <v>525</v>
      </c>
      <c r="G2140" s="1" t="s">
        <v>404</v>
      </c>
      <c r="H2140" s="1">
        <v>216</v>
      </c>
      <c r="I2140" s="3">
        <v>46275</v>
      </c>
      <c r="J2140" s="3">
        <v>46276</v>
      </c>
      <c r="K2140" s="3" t="s">
        <v>2368</v>
      </c>
      <c r="L2140" s="31">
        <v>46275.378102465278</v>
      </c>
      <c r="M2140" s="20">
        <v>12</v>
      </c>
      <c r="N2140" s="1">
        <v>11</v>
      </c>
    </row>
    <row r="2141" spans="1:14" x14ac:dyDescent="0.25">
      <c r="A2141" t="str">
        <f t="shared" si="68"/>
        <v>H174821H174821</v>
      </c>
      <c r="B2141" t="str">
        <f t="shared" si="69"/>
        <v>H174821P204L8K2-M</v>
      </c>
      <c r="C2141" s="27" t="s">
        <v>14</v>
      </c>
      <c r="D2141" s="27" t="s">
        <v>637</v>
      </c>
      <c r="E2141" s="1" t="s">
        <v>524</v>
      </c>
      <c r="F2141" s="1" t="s">
        <v>525</v>
      </c>
      <c r="G2141" s="1" t="s">
        <v>404</v>
      </c>
      <c r="H2141" s="1">
        <v>216</v>
      </c>
      <c r="I2141" s="3">
        <v>46275</v>
      </c>
      <c r="J2141" s="3">
        <v>46276</v>
      </c>
      <c r="K2141" s="3" t="s">
        <v>2368</v>
      </c>
      <c r="L2141" s="31">
        <v>46275.406336458334</v>
      </c>
      <c r="M2141" s="20">
        <v>12</v>
      </c>
      <c r="N2141" s="1">
        <v>7</v>
      </c>
    </row>
    <row r="2142" spans="1:14" x14ac:dyDescent="0.25">
      <c r="A2142" t="str">
        <f t="shared" si="68"/>
        <v>H174821H174821</v>
      </c>
      <c r="B2142" t="str">
        <f t="shared" si="69"/>
        <v>H174821P204L8K2-M</v>
      </c>
      <c r="C2142" s="27" t="s">
        <v>14</v>
      </c>
      <c r="D2142" s="27" t="s">
        <v>637</v>
      </c>
      <c r="E2142" s="1" t="s">
        <v>524</v>
      </c>
      <c r="F2142" s="1" t="s">
        <v>525</v>
      </c>
      <c r="G2142" s="1" t="s">
        <v>404</v>
      </c>
      <c r="H2142" s="1">
        <v>216</v>
      </c>
      <c r="I2142" s="3">
        <v>46275</v>
      </c>
      <c r="J2142" s="3">
        <v>46276</v>
      </c>
      <c r="K2142" s="3" t="s">
        <v>2368</v>
      </c>
      <c r="L2142" s="31">
        <v>46275.421443715277</v>
      </c>
      <c r="M2142" s="20">
        <v>12</v>
      </c>
      <c r="N2142" s="1">
        <v>14</v>
      </c>
    </row>
    <row r="2143" spans="1:14" x14ac:dyDescent="0.25">
      <c r="A2143" t="str">
        <f t="shared" si="68"/>
        <v>H174821H174821</v>
      </c>
      <c r="B2143" t="str">
        <f t="shared" si="69"/>
        <v>H174821P204L8K2-M</v>
      </c>
      <c r="C2143" s="27" t="s">
        <v>14</v>
      </c>
      <c r="D2143" s="27" t="s">
        <v>637</v>
      </c>
      <c r="E2143" s="1" t="s">
        <v>524</v>
      </c>
      <c r="F2143" s="1" t="s">
        <v>525</v>
      </c>
      <c r="G2143" s="1" t="s">
        <v>404</v>
      </c>
      <c r="H2143" s="1">
        <v>216</v>
      </c>
      <c r="I2143" s="3">
        <v>46275</v>
      </c>
      <c r="J2143" s="3">
        <v>46276</v>
      </c>
      <c r="K2143" s="3" t="s">
        <v>2368</v>
      </c>
      <c r="L2143" s="31">
        <v>46275.422020949074</v>
      </c>
      <c r="M2143" s="20">
        <v>12</v>
      </c>
      <c r="N2143" s="1">
        <v>3</v>
      </c>
    </row>
    <row r="2144" spans="1:14" x14ac:dyDescent="0.25">
      <c r="A2144" t="str">
        <f t="shared" si="68"/>
        <v>H174821H174821</v>
      </c>
      <c r="B2144" t="str">
        <f t="shared" si="69"/>
        <v>H174821P204L8K2-M</v>
      </c>
      <c r="C2144" s="27" t="s">
        <v>14</v>
      </c>
      <c r="D2144" s="27" t="s">
        <v>637</v>
      </c>
      <c r="E2144" s="1" t="s">
        <v>524</v>
      </c>
      <c r="F2144" s="1" t="s">
        <v>525</v>
      </c>
      <c r="G2144" s="1" t="s">
        <v>404</v>
      </c>
      <c r="H2144" s="1">
        <v>216</v>
      </c>
      <c r="I2144" s="3">
        <v>46275</v>
      </c>
      <c r="J2144" s="3">
        <v>46276</v>
      </c>
      <c r="K2144" s="3" t="s">
        <v>2368</v>
      </c>
      <c r="L2144" s="31">
        <v>46275.422233599536</v>
      </c>
      <c r="M2144" s="20">
        <v>12</v>
      </c>
      <c r="N2144" s="1">
        <v>9</v>
      </c>
    </row>
    <row r="2145" spans="1:14" x14ac:dyDescent="0.25">
      <c r="A2145" t="str">
        <f t="shared" si="68"/>
        <v>H174821H174821</v>
      </c>
      <c r="B2145" t="str">
        <f t="shared" si="69"/>
        <v>H174821P204L8K2-M</v>
      </c>
      <c r="C2145" s="27" t="s">
        <v>14</v>
      </c>
      <c r="D2145" s="27" t="s">
        <v>637</v>
      </c>
      <c r="E2145" s="1" t="s">
        <v>524</v>
      </c>
      <c r="F2145" s="1" t="s">
        <v>525</v>
      </c>
      <c r="G2145" s="1" t="s">
        <v>404</v>
      </c>
      <c r="H2145" s="1">
        <v>216</v>
      </c>
      <c r="I2145" s="3">
        <v>46275</v>
      </c>
      <c r="J2145" s="3">
        <v>46276</v>
      </c>
      <c r="K2145" s="3" t="s">
        <v>2368</v>
      </c>
      <c r="L2145" s="31">
        <v>46275.424472025465</v>
      </c>
      <c r="M2145" s="20">
        <v>6</v>
      </c>
      <c r="N2145" s="1">
        <v>15</v>
      </c>
    </row>
    <row r="2146" spans="1:14" x14ac:dyDescent="0.25">
      <c r="A2146" t="str">
        <f t="shared" si="68"/>
        <v>H174821H174821</v>
      </c>
      <c r="B2146" t="str">
        <f t="shared" si="69"/>
        <v>H174821P204L8K2-M</v>
      </c>
      <c r="C2146" s="27" t="s">
        <v>14</v>
      </c>
      <c r="D2146" s="27" t="s">
        <v>637</v>
      </c>
      <c r="E2146" s="1" t="s">
        <v>524</v>
      </c>
      <c r="F2146" s="1" t="s">
        <v>525</v>
      </c>
      <c r="G2146" s="1" t="s">
        <v>404</v>
      </c>
      <c r="H2146" s="1">
        <v>216</v>
      </c>
      <c r="I2146" s="3">
        <v>46275</v>
      </c>
      <c r="J2146" s="3">
        <v>46276</v>
      </c>
      <c r="K2146" s="3" t="s">
        <v>2368</v>
      </c>
      <c r="L2146" s="31">
        <v>46275.424674074071</v>
      </c>
      <c r="M2146" s="20">
        <v>12</v>
      </c>
      <c r="N2146" s="1">
        <v>8</v>
      </c>
    </row>
    <row r="2147" spans="1:14" x14ac:dyDescent="0.25">
      <c r="A2147" t="str">
        <f t="shared" si="68"/>
        <v>H174821H174821</v>
      </c>
      <c r="B2147" t="str">
        <f t="shared" si="69"/>
        <v>H174821P204L8K2-M</v>
      </c>
      <c r="C2147" s="27" t="s">
        <v>14</v>
      </c>
      <c r="D2147" s="27" t="s">
        <v>637</v>
      </c>
      <c r="E2147" s="1" t="s">
        <v>524</v>
      </c>
      <c r="F2147" s="1" t="s">
        <v>525</v>
      </c>
      <c r="G2147" s="1" t="s">
        <v>404</v>
      </c>
      <c r="H2147" s="1">
        <v>216</v>
      </c>
      <c r="I2147" s="3">
        <v>46275</v>
      </c>
      <c r="J2147" s="3">
        <v>46276</v>
      </c>
      <c r="K2147" s="3" t="s">
        <v>2368</v>
      </c>
      <c r="L2147" s="31">
        <v>46275.424906168977</v>
      </c>
      <c r="M2147" s="20">
        <v>12</v>
      </c>
      <c r="N2147" s="1">
        <v>5</v>
      </c>
    </row>
    <row r="2148" spans="1:14" x14ac:dyDescent="0.25">
      <c r="A2148" t="str">
        <f t="shared" si="68"/>
        <v>H174821H174821</v>
      </c>
      <c r="B2148" t="str">
        <f t="shared" si="69"/>
        <v>H174821P204L8K2-M</v>
      </c>
      <c r="C2148" s="27" t="s">
        <v>14</v>
      </c>
      <c r="D2148" s="27" t="s">
        <v>637</v>
      </c>
      <c r="E2148" s="1" t="s">
        <v>524</v>
      </c>
      <c r="F2148" s="1" t="s">
        <v>525</v>
      </c>
      <c r="G2148" s="1" t="s">
        <v>404</v>
      </c>
      <c r="H2148" s="1">
        <v>216</v>
      </c>
      <c r="I2148" s="3">
        <v>46275</v>
      </c>
      <c r="J2148" s="3">
        <v>46276</v>
      </c>
      <c r="K2148" s="3" t="s">
        <v>2368</v>
      </c>
      <c r="L2148" s="31">
        <v>46275.425075497682</v>
      </c>
      <c r="M2148" s="20">
        <v>12</v>
      </c>
      <c r="N2148" s="1">
        <v>2</v>
      </c>
    </row>
    <row r="2149" spans="1:14" x14ac:dyDescent="0.25">
      <c r="A2149" t="str">
        <f t="shared" si="68"/>
        <v>H174821H174821</v>
      </c>
      <c r="B2149" t="str">
        <f t="shared" si="69"/>
        <v>H174821P204L8K2-M</v>
      </c>
      <c r="C2149" s="27" t="s">
        <v>14</v>
      </c>
      <c r="D2149" s="27" t="s">
        <v>637</v>
      </c>
      <c r="E2149" s="1" t="s">
        <v>524</v>
      </c>
      <c r="F2149" s="1" t="s">
        <v>525</v>
      </c>
      <c r="G2149" s="1" t="s">
        <v>404</v>
      </c>
      <c r="H2149" s="1">
        <v>216</v>
      </c>
      <c r="I2149" s="3">
        <v>46275</v>
      </c>
      <c r="J2149" s="3">
        <v>46276</v>
      </c>
      <c r="K2149" s="3" t="s">
        <v>2368</v>
      </c>
      <c r="L2149" s="31">
        <v>46275.425415011574</v>
      </c>
      <c r="M2149" s="20">
        <v>6</v>
      </c>
      <c r="N2149" s="1">
        <v>21</v>
      </c>
    </row>
    <row r="2150" spans="1:14" x14ac:dyDescent="0.25">
      <c r="A2150" t="str">
        <f t="shared" si="68"/>
        <v>H174821H174821</v>
      </c>
      <c r="B2150" t="str">
        <f t="shared" si="69"/>
        <v>H174821P204L8K2-M</v>
      </c>
      <c r="C2150" s="27" t="s">
        <v>14</v>
      </c>
      <c r="D2150" s="27" t="s">
        <v>637</v>
      </c>
      <c r="E2150" s="1" t="s">
        <v>524</v>
      </c>
      <c r="F2150" s="1" t="s">
        <v>525</v>
      </c>
      <c r="G2150" s="1" t="s">
        <v>404</v>
      </c>
      <c r="H2150" s="1">
        <v>216</v>
      </c>
      <c r="I2150" s="3">
        <v>46275</v>
      </c>
      <c r="J2150" s="3">
        <v>46276</v>
      </c>
      <c r="K2150" s="3" t="s">
        <v>2368</v>
      </c>
      <c r="L2150" s="31">
        <v>46275.425659803237</v>
      </c>
      <c r="M2150" s="20">
        <v>6</v>
      </c>
      <c r="N2150" s="1">
        <v>20</v>
      </c>
    </row>
    <row r="2151" spans="1:14" x14ac:dyDescent="0.25">
      <c r="A2151" t="str">
        <f t="shared" si="68"/>
        <v>H174821H174821</v>
      </c>
      <c r="B2151" t="str">
        <f t="shared" si="69"/>
        <v>H174821P204L8K2-M</v>
      </c>
      <c r="C2151" s="27" t="s">
        <v>14</v>
      </c>
      <c r="D2151" s="27" t="s">
        <v>637</v>
      </c>
      <c r="E2151" s="1" t="s">
        <v>524</v>
      </c>
      <c r="F2151" s="1" t="s">
        <v>525</v>
      </c>
      <c r="G2151" s="1" t="s">
        <v>404</v>
      </c>
      <c r="H2151" s="1">
        <v>216</v>
      </c>
      <c r="I2151" s="3">
        <v>46275</v>
      </c>
      <c r="J2151" s="3">
        <v>46276</v>
      </c>
      <c r="K2151" s="3" t="s">
        <v>2368</v>
      </c>
      <c r="L2151" s="31">
        <v>46275.454345057871</v>
      </c>
      <c r="M2151" s="20">
        <v>6</v>
      </c>
      <c r="N2151" s="1">
        <v>19</v>
      </c>
    </row>
    <row r="2152" spans="1:14" x14ac:dyDescent="0.25">
      <c r="A2152" t="str">
        <f t="shared" si="68"/>
        <v>H174821H174821</v>
      </c>
      <c r="B2152" t="str">
        <f t="shared" si="69"/>
        <v>H174821P204L8K2-M</v>
      </c>
      <c r="C2152" s="27" t="s">
        <v>14</v>
      </c>
      <c r="D2152" s="27" t="s">
        <v>637</v>
      </c>
      <c r="E2152" s="1" t="s">
        <v>524</v>
      </c>
      <c r="F2152" s="1" t="s">
        <v>525</v>
      </c>
      <c r="G2152" s="1" t="s">
        <v>404</v>
      </c>
      <c r="H2152" s="1">
        <v>216</v>
      </c>
      <c r="I2152" s="3">
        <v>46275</v>
      </c>
      <c r="J2152" s="3">
        <v>46276</v>
      </c>
      <c r="K2152" s="3" t="s">
        <v>2368</v>
      </c>
      <c r="L2152" s="31">
        <v>46275.461243900463</v>
      </c>
      <c r="M2152" s="20">
        <v>12</v>
      </c>
      <c r="N2152" s="1">
        <v>13</v>
      </c>
    </row>
    <row r="2153" spans="1:14" x14ac:dyDescent="0.25">
      <c r="A2153" t="str">
        <f t="shared" si="68"/>
        <v>H174821H174821</v>
      </c>
      <c r="B2153" t="str">
        <f t="shared" si="69"/>
        <v>H174821P204L8K2-M</v>
      </c>
      <c r="C2153" s="27" t="s">
        <v>14</v>
      </c>
      <c r="D2153" s="27" t="s">
        <v>637</v>
      </c>
      <c r="E2153" s="1" t="s">
        <v>524</v>
      </c>
      <c r="F2153" s="1" t="s">
        <v>525</v>
      </c>
      <c r="G2153" s="1" t="s">
        <v>404</v>
      </c>
      <c r="H2153" s="1">
        <v>216</v>
      </c>
      <c r="I2153" s="3">
        <v>46275</v>
      </c>
      <c r="J2153" s="3">
        <v>46276</v>
      </c>
      <c r="K2153" s="3" t="s">
        <v>2368</v>
      </c>
      <c r="L2153" s="31">
        <v>46275.461392627316</v>
      </c>
      <c r="M2153" s="20">
        <v>12</v>
      </c>
      <c r="N2153" s="1">
        <v>12</v>
      </c>
    </row>
    <row r="2154" spans="1:14" x14ac:dyDescent="0.25">
      <c r="A2154" t="str">
        <f t="shared" si="68"/>
        <v>H174821H174821</v>
      </c>
      <c r="B2154" t="str">
        <f t="shared" si="69"/>
        <v>H174821P204L8K2-M</v>
      </c>
      <c r="C2154" s="27" t="s">
        <v>14</v>
      </c>
      <c r="D2154" s="27" t="s">
        <v>637</v>
      </c>
      <c r="E2154" s="1" t="s">
        <v>524</v>
      </c>
      <c r="F2154" s="1" t="s">
        <v>525</v>
      </c>
      <c r="G2154" s="1" t="s">
        <v>404</v>
      </c>
      <c r="H2154" s="1">
        <v>216</v>
      </c>
      <c r="I2154" s="3">
        <v>46275</v>
      </c>
      <c r="J2154" s="3">
        <v>46276</v>
      </c>
      <c r="K2154" s="3" t="s">
        <v>2368</v>
      </c>
      <c r="L2154" s="31">
        <v>46275.553295636571</v>
      </c>
      <c r="M2154" s="20">
        <v>12</v>
      </c>
      <c r="N2154" s="1">
        <v>4</v>
      </c>
    </row>
    <row r="2155" spans="1:14" x14ac:dyDescent="0.25">
      <c r="A2155" t="str">
        <f t="shared" si="68"/>
        <v>H174821H174821</v>
      </c>
      <c r="B2155" t="str">
        <f t="shared" si="69"/>
        <v>H174821P204L8K2-M</v>
      </c>
      <c r="C2155" s="27" t="s">
        <v>14</v>
      </c>
      <c r="D2155" s="27" t="s">
        <v>637</v>
      </c>
      <c r="E2155" s="1" t="s">
        <v>524</v>
      </c>
      <c r="F2155" s="1" t="s">
        <v>525</v>
      </c>
      <c r="G2155" s="1" t="s">
        <v>404</v>
      </c>
      <c r="H2155" s="1">
        <v>216</v>
      </c>
      <c r="I2155" s="3">
        <v>46275</v>
      </c>
      <c r="J2155" s="3">
        <v>46276</v>
      </c>
      <c r="K2155" s="3" t="s">
        <v>2368</v>
      </c>
      <c r="L2155" s="31">
        <v>46275.554009259256</v>
      </c>
      <c r="M2155" s="20">
        <v>6</v>
      </c>
      <c r="N2155" s="1">
        <v>22</v>
      </c>
    </row>
    <row r="2156" spans="1:14" x14ac:dyDescent="0.25">
      <c r="A2156" t="str">
        <f t="shared" si="68"/>
        <v>H174821H174821</v>
      </c>
      <c r="B2156" t="str">
        <f t="shared" si="69"/>
        <v>H174821P204L8K2-M</v>
      </c>
      <c r="C2156" s="27" t="s">
        <v>14</v>
      </c>
      <c r="D2156" s="27" t="s">
        <v>637</v>
      </c>
      <c r="E2156" s="1" t="s">
        <v>524</v>
      </c>
      <c r="F2156" s="1" t="s">
        <v>525</v>
      </c>
      <c r="G2156" s="1" t="s">
        <v>404</v>
      </c>
      <c r="H2156" s="1">
        <v>216</v>
      </c>
      <c r="I2156" s="3">
        <v>46275</v>
      </c>
      <c r="J2156" s="3">
        <v>46276</v>
      </c>
      <c r="K2156" s="3" t="s">
        <v>2368</v>
      </c>
      <c r="L2156" s="31">
        <v>46275.566564351851</v>
      </c>
      <c r="M2156" s="20">
        <v>12</v>
      </c>
      <c r="N2156" s="1">
        <v>6</v>
      </c>
    </row>
    <row r="2157" spans="1:14" x14ac:dyDescent="0.25">
      <c r="A2157" t="str">
        <f t="shared" si="68"/>
        <v>H174821H174821</v>
      </c>
      <c r="B2157" t="str">
        <f t="shared" si="69"/>
        <v>H174821P204L8K2-M</v>
      </c>
      <c r="C2157" s="27" t="s">
        <v>14</v>
      </c>
      <c r="D2157" s="27" t="s">
        <v>637</v>
      </c>
      <c r="E2157" s="1" t="s">
        <v>524</v>
      </c>
      <c r="F2157" s="1" t="s">
        <v>525</v>
      </c>
      <c r="G2157" s="1" t="s">
        <v>404</v>
      </c>
      <c r="H2157" s="1">
        <v>216</v>
      </c>
      <c r="I2157" s="3">
        <v>46275</v>
      </c>
      <c r="J2157" s="3">
        <v>46276</v>
      </c>
      <c r="K2157" s="3" t="s">
        <v>2368</v>
      </c>
      <c r="L2157" s="31">
        <v>46275.573787187495</v>
      </c>
      <c r="M2157" s="20">
        <v>12</v>
      </c>
      <c r="N2157" s="1">
        <v>10</v>
      </c>
    </row>
    <row r="2158" spans="1:14" x14ac:dyDescent="0.25">
      <c r="A2158" t="str">
        <f t="shared" si="68"/>
        <v>H177256H177256</v>
      </c>
      <c r="B2158" t="str">
        <f t="shared" si="69"/>
        <v>H177256U204L9NJ-D</v>
      </c>
      <c r="C2158" s="27" t="s">
        <v>577</v>
      </c>
      <c r="D2158" s="27" t="s">
        <v>646</v>
      </c>
      <c r="E2158" s="1" t="s">
        <v>409</v>
      </c>
      <c r="F2158" s="1" t="s">
        <v>410</v>
      </c>
      <c r="G2158" s="1" t="s">
        <v>411</v>
      </c>
      <c r="H2158" s="1">
        <v>84</v>
      </c>
      <c r="I2158" s="3">
        <v>46275</v>
      </c>
      <c r="J2158" s="3">
        <v>46281</v>
      </c>
      <c r="K2158" s="3" t="s">
        <v>2370</v>
      </c>
      <c r="L2158" s="31">
        <v>46275.690026041666</v>
      </c>
      <c r="M2158" s="20">
        <v>6</v>
      </c>
      <c r="N2158" s="1">
        <v>7</v>
      </c>
    </row>
    <row r="2159" spans="1:14" x14ac:dyDescent="0.25">
      <c r="A2159" t="str">
        <f t="shared" si="68"/>
        <v>H177256H177256</v>
      </c>
      <c r="B2159" t="str">
        <f t="shared" si="69"/>
        <v>H177256U204L9NJ-D</v>
      </c>
      <c r="C2159" s="27" t="s">
        <v>577</v>
      </c>
      <c r="D2159" s="27" t="s">
        <v>646</v>
      </c>
      <c r="E2159" s="1" t="s">
        <v>409</v>
      </c>
      <c r="F2159" s="1" t="s">
        <v>410</v>
      </c>
      <c r="G2159" s="1" t="s">
        <v>411</v>
      </c>
      <c r="H2159" s="1">
        <v>84</v>
      </c>
      <c r="I2159" s="3">
        <v>46275</v>
      </c>
      <c r="J2159" s="3">
        <v>46281</v>
      </c>
      <c r="K2159" s="3" t="s">
        <v>2370</v>
      </c>
      <c r="L2159" s="31">
        <v>46275.691086689811</v>
      </c>
      <c r="M2159" s="20">
        <v>12</v>
      </c>
      <c r="N2159" s="1">
        <v>5</v>
      </c>
    </row>
    <row r="2160" spans="1:14" x14ac:dyDescent="0.25">
      <c r="A2160" t="str">
        <f t="shared" si="68"/>
        <v>H177256H177256</v>
      </c>
      <c r="B2160" t="str">
        <f t="shared" si="69"/>
        <v>H177256U204L9NJ-D</v>
      </c>
      <c r="C2160" s="27" t="s">
        <v>577</v>
      </c>
      <c r="D2160" s="27" t="s">
        <v>646</v>
      </c>
      <c r="E2160" s="1" t="s">
        <v>409</v>
      </c>
      <c r="F2160" s="1" t="s">
        <v>410</v>
      </c>
      <c r="G2160" s="1" t="s">
        <v>411</v>
      </c>
      <c r="H2160" s="1">
        <v>84</v>
      </c>
      <c r="I2160" s="3">
        <v>46275</v>
      </c>
      <c r="J2160" s="3">
        <v>46281</v>
      </c>
      <c r="K2160" s="3" t="s">
        <v>2370</v>
      </c>
      <c r="L2160" s="31">
        <v>46275.715046261575</v>
      </c>
      <c r="M2160" s="20">
        <v>6</v>
      </c>
      <c r="N2160" s="1">
        <v>8</v>
      </c>
    </row>
    <row r="2161" spans="1:14" x14ac:dyDescent="0.25">
      <c r="A2161" t="str">
        <f t="shared" si="68"/>
        <v>H177256H177256</v>
      </c>
      <c r="B2161" t="str">
        <f t="shared" si="69"/>
        <v>H177256U204L9NJ-D</v>
      </c>
      <c r="C2161" s="27" t="s">
        <v>577</v>
      </c>
      <c r="D2161" s="27" t="s">
        <v>646</v>
      </c>
      <c r="E2161" s="1" t="s">
        <v>409</v>
      </c>
      <c r="F2161" s="1" t="s">
        <v>410</v>
      </c>
      <c r="G2161" s="1" t="s">
        <v>411</v>
      </c>
      <c r="H2161" s="1">
        <v>84</v>
      </c>
      <c r="I2161" s="3">
        <v>46275</v>
      </c>
      <c r="J2161" s="3">
        <v>46281</v>
      </c>
      <c r="K2161" s="3" t="s">
        <v>2370</v>
      </c>
      <c r="L2161" s="31">
        <v>46275.715626736106</v>
      </c>
      <c r="M2161" s="20">
        <v>12</v>
      </c>
      <c r="N2161" s="1">
        <v>3</v>
      </c>
    </row>
    <row r="2162" spans="1:14" x14ac:dyDescent="0.25">
      <c r="A2162" t="str">
        <f t="shared" si="68"/>
        <v>H180781H180781</v>
      </c>
      <c r="B2162" t="str">
        <f t="shared" si="69"/>
        <v>H180781W5155N8-B</v>
      </c>
      <c r="C2162" s="27" t="s">
        <v>644</v>
      </c>
      <c r="D2162" s="27" t="s">
        <v>645</v>
      </c>
      <c r="E2162" s="1" t="s">
        <v>2307</v>
      </c>
      <c r="F2162" s="1" t="s">
        <v>2308</v>
      </c>
      <c r="G2162" s="1" t="s">
        <v>404</v>
      </c>
      <c r="H2162" s="1">
        <v>804</v>
      </c>
      <c r="I2162" s="3">
        <v>46275</v>
      </c>
      <c r="J2162" s="3">
        <v>46289</v>
      </c>
      <c r="K2162" s="3" t="s">
        <v>2374</v>
      </c>
      <c r="L2162" s="31">
        <v>46275.628575659721</v>
      </c>
      <c r="M2162" s="20">
        <v>12</v>
      </c>
      <c r="N2162" s="1">
        <v>30</v>
      </c>
    </row>
    <row r="2163" spans="1:14" x14ac:dyDescent="0.25">
      <c r="A2163" t="str">
        <f t="shared" si="68"/>
        <v>H180781H180781</v>
      </c>
      <c r="B2163" t="str">
        <f t="shared" si="69"/>
        <v>H180781W5155N8-B</v>
      </c>
      <c r="C2163" s="27" t="s">
        <v>644</v>
      </c>
      <c r="D2163" s="27" t="s">
        <v>645</v>
      </c>
      <c r="E2163" s="1" t="s">
        <v>2307</v>
      </c>
      <c r="F2163" s="1" t="s">
        <v>2308</v>
      </c>
      <c r="G2163" s="1" t="s">
        <v>404</v>
      </c>
      <c r="H2163" s="1">
        <v>804</v>
      </c>
      <c r="I2163" s="3">
        <v>46275</v>
      </c>
      <c r="J2163" s="3">
        <v>46289</v>
      </c>
      <c r="K2163" s="3" t="s">
        <v>2374</v>
      </c>
      <c r="L2163" s="31">
        <v>46275.633242743053</v>
      </c>
      <c r="M2163" s="20">
        <v>12</v>
      </c>
      <c r="N2163" s="1">
        <v>23</v>
      </c>
    </row>
    <row r="2164" spans="1:14" x14ac:dyDescent="0.25">
      <c r="A2164" t="str">
        <f t="shared" si="68"/>
        <v>H180781H180781</v>
      </c>
      <c r="B2164" t="str">
        <f t="shared" si="69"/>
        <v>H180781W5155N8-B</v>
      </c>
      <c r="C2164" s="27" t="s">
        <v>644</v>
      </c>
      <c r="D2164" s="27" t="s">
        <v>645</v>
      </c>
      <c r="E2164" s="1" t="s">
        <v>2307</v>
      </c>
      <c r="F2164" s="1" t="s">
        <v>2308</v>
      </c>
      <c r="G2164" s="1" t="s">
        <v>404</v>
      </c>
      <c r="H2164" s="1">
        <v>804</v>
      </c>
      <c r="I2164" s="3">
        <v>46275</v>
      </c>
      <c r="J2164" s="3">
        <v>46289</v>
      </c>
      <c r="K2164" s="3" t="s">
        <v>2374</v>
      </c>
      <c r="L2164" s="31">
        <v>46275.640485682867</v>
      </c>
      <c r="M2164" s="20">
        <v>12</v>
      </c>
      <c r="N2164" s="1">
        <v>42</v>
      </c>
    </row>
    <row r="2165" spans="1:14" x14ac:dyDescent="0.25">
      <c r="A2165" t="str">
        <f t="shared" si="68"/>
        <v>H180781H180781</v>
      </c>
      <c r="B2165" t="str">
        <f t="shared" si="69"/>
        <v>H180781W5155N8-B</v>
      </c>
      <c r="C2165" s="27" t="s">
        <v>644</v>
      </c>
      <c r="D2165" s="27" t="s">
        <v>645</v>
      </c>
      <c r="E2165" s="1" t="s">
        <v>2307</v>
      </c>
      <c r="F2165" s="1" t="s">
        <v>2308</v>
      </c>
      <c r="G2165" s="1" t="s">
        <v>404</v>
      </c>
      <c r="H2165" s="1">
        <v>804</v>
      </c>
      <c r="I2165" s="3">
        <v>46275</v>
      </c>
      <c r="J2165" s="3">
        <v>46289</v>
      </c>
      <c r="K2165" s="3" t="s">
        <v>2374</v>
      </c>
      <c r="L2165" s="31">
        <v>46275.648398645833</v>
      </c>
      <c r="M2165" s="20">
        <v>12</v>
      </c>
      <c r="N2165" s="1">
        <v>31</v>
      </c>
    </row>
    <row r="2166" spans="1:14" x14ac:dyDescent="0.25">
      <c r="A2166" t="str">
        <f t="shared" si="68"/>
        <v>H180781H180781</v>
      </c>
      <c r="B2166" t="str">
        <f t="shared" si="69"/>
        <v>H180781W5155N8-B</v>
      </c>
      <c r="C2166" s="27" t="s">
        <v>644</v>
      </c>
      <c r="D2166" s="27" t="s">
        <v>645</v>
      </c>
      <c r="E2166" s="1" t="s">
        <v>2307</v>
      </c>
      <c r="F2166" s="1" t="s">
        <v>2308</v>
      </c>
      <c r="G2166" s="1" t="s">
        <v>404</v>
      </c>
      <c r="H2166" s="1">
        <v>804</v>
      </c>
      <c r="I2166" s="3">
        <v>46275</v>
      </c>
      <c r="J2166" s="3">
        <v>46289</v>
      </c>
      <c r="K2166" s="3" t="s">
        <v>2374</v>
      </c>
      <c r="L2166" s="31">
        <v>46275.649853356481</v>
      </c>
      <c r="M2166" s="20">
        <v>12</v>
      </c>
      <c r="N2166" s="1">
        <v>53</v>
      </c>
    </row>
    <row r="2167" spans="1:14" x14ac:dyDescent="0.25">
      <c r="A2167" t="str">
        <f t="shared" si="68"/>
        <v>H180781H180781</v>
      </c>
      <c r="B2167" t="str">
        <f t="shared" si="69"/>
        <v>H180781W5155N8-B</v>
      </c>
      <c r="C2167" s="27" t="s">
        <v>644</v>
      </c>
      <c r="D2167" s="27" t="s">
        <v>645</v>
      </c>
      <c r="E2167" s="1" t="s">
        <v>2307</v>
      </c>
      <c r="F2167" s="1" t="s">
        <v>2308</v>
      </c>
      <c r="G2167" s="1" t="s">
        <v>404</v>
      </c>
      <c r="H2167" s="1">
        <v>804</v>
      </c>
      <c r="I2167" s="3">
        <v>46275</v>
      </c>
      <c r="J2167" s="3">
        <v>46289</v>
      </c>
      <c r="K2167" s="3" t="s">
        <v>2374</v>
      </c>
      <c r="L2167" s="31">
        <v>46275.650119293983</v>
      </c>
      <c r="M2167" s="20">
        <v>12</v>
      </c>
      <c r="N2167" s="1">
        <v>46</v>
      </c>
    </row>
    <row r="2168" spans="1:14" x14ac:dyDescent="0.25">
      <c r="A2168" t="str">
        <f t="shared" si="68"/>
        <v>H180781H180781</v>
      </c>
      <c r="B2168" t="str">
        <f t="shared" si="69"/>
        <v>H180781W5155N8-B</v>
      </c>
      <c r="C2168" s="27" t="s">
        <v>644</v>
      </c>
      <c r="D2168" s="27" t="s">
        <v>645</v>
      </c>
      <c r="E2168" s="1" t="s">
        <v>2307</v>
      </c>
      <c r="F2168" s="1" t="s">
        <v>2308</v>
      </c>
      <c r="G2168" s="1" t="s">
        <v>404</v>
      </c>
      <c r="H2168" s="1">
        <v>804</v>
      </c>
      <c r="I2168" s="3">
        <v>46275</v>
      </c>
      <c r="J2168" s="3">
        <v>46289</v>
      </c>
      <c r="K2168" s="3" t="s">
        <v>2374</v>
      </c>
      <c r="L2168" s="31">
        <v>46275.655717476853</v>
      </c>
      <c r="M2168" s="20">
        <v>12</v>
      </c>
      <c r="N2168" s="1">
        <v>21</v>
      </c>
    </row>
    <row r="2169" spans="1:14" x14ac:dyDescent="0.25">
      <c r="A2169" t="str">
        <f t="shared" si="68"/>
        <v>H180781H180781</v>
      </c>
      <c r="B2169" t="str">
        <f t="shared" si="69"/>
        <v>H180781W5155N8-B</v>
      </c>
      <c r="C2169" s="27" t="s">
        <v>644</v>
      </c>
      <c r="D2169" s="27" t="s">
        <v>645</v>
      </c>
      <c r="E2169" s="1" t="s">
        <v>2307</v>
      </c>
      <c r="F2169" s="1" t="s">
        <v>2308</v>
      </c>
      <c r="G2169" s="1" t="s">
        <v>404</v>
      </c>
      <c r="H2169" s="1">
        <v>804</v>
      </c>
      <c r="I2169" s="3">
        <v>46275</v>
      </c>
      <c r="J2169" s="3">
        <v>46289</v>
      </c>
      <c r="K2169" s="3" t="s">
        <v>2374</v>
      </c>
      <c r="L2169" s="31">
        <v>46275.655995717592</v>
      </c>
      <c r="M2169" s="20">
        <v>12</v>
      </c>
      <c r="N2169" s="1">
        <v>6</v>
      </c>
    </row>
    <row r="2170" spans="1:14" x14ac:dyDescent="0.25">
      <c r="A2170" t="str">
        <f t="shared" si="68"/>
        <v>H180781H180781</v>
      </c>
      <c r="B2170" t="str">
        <f t="shared" si="69"/>
        <v>H180781W5155N8-B</v>
      </c>
      <c r="C2170" s="27" t="s">
        <v>644</v>
      </c>
      <c r="D2170" s="27" t="s">
        <v>645</v>
      </c>
      <c r="E2170" s="1" t="s">
        <v>2307</v>
      </c>
      <c r="F2170" s="1" t="s">
        <v>2308</v>
      </c>
      <c r="G2170" s="1" t="s">
        <v>404</v>
      </c>
      <c r="H2170" s="1">
        <v>804</v>
      </c>
      <c r="I2170" s="3">
        <v>46275</v>
      </c>
      <c r="J2170" s="3">
        <v>46289</v>
      </c>
      <c r="K2170" s="3" t="s">
        <v>2374</v>
      </c>
      <c r="L2170" s="31">
        <v>46275.656217361109</v>
      </c>
      <c r="M2170" s="20">
        <v>12</v>
      </c>
      <c r="N2170" s="1">
        <v>52</v>
      </c>
    </row>
    <row r="2171" spans="1:14" x14ac:dyDescent="0.25">
      <c r="A2171" t="str">
        <f t="shared" si="68"/>
        <v>H180781H180781</v>
      </c>
      <c r="B2171" t="str">
        <f t="shared" si="69"/>
        <v>H180781W5155N8-B</v>
      </c>
      <c r="C2171" s="27" t="s">
        <v>644</v>
      </c>
      <c r="D2171" s="27" t="s">
        <v>645</v>
      </c>
      <c r="E2171" s="1" t="s">
        <v>2307</v>
      </c>
      <c r="F2171" s="1" t="s">
        <v>2308</v>
      </c>
      <c r="G2171" s="1" t="s">
        <v>404</v>
      </c>
      <c r="H2171" s="1">
        <v>804</v>
      </c>
      <c r="I2171" s="3">
        <v>46275</v>
      </c>
      <c r="J2171" s="3">
        <v>46289</v>
      </c>
      <c r="K2171" s="3" t="s">
        <v>2374</v>
      </c>
      <c r="L2171" s="31">
        <v>46275.658309803242</v>
      </c>
      <c r="M2171" s="20">
        <v>12</v>
      </c>
      <c r="N2171" s="1">
        <v>47</v>
      </c>
    </row>
    <row r="2172" spans="1:14" x14ac:dyDescent="0.25">
      <c r="A2172" t="str">
        <f t="shared" si="68"/>
        <v>H180781H180781</v>
      </c>
      <c r="B2172" t="str">
        <f t="shared" si="69"/>
        <v>H180781W5155N8-B</v>
      </c>
      <c r="C2172" s="27" t="s">
        <v>644</v>
      </c>
      <c r="D2172" s="27" t="s">
        <v>645</v>
      </c>
      <c r="E2172" s="1" t="s">
        <v>2307</v>
      </c>
      <c r="F2172" s="1" t="s">
        <v>2308</v>
      </c>
      <c r="G2172" s="1" t="s">
        <v>404</v>
      </c>
      <c r="H2172" s="1">
        <v>804</v>
      </c>
      <c r="I2172" s="3">
        <v>46275</v>
      </c>
      <c r="J2172" s="3">
        <v>46289</v>
      </c>
      <c r="K2172" s="3" t="s">
        <v>2374</v>
      </c>
      <c r="L2172" s="31">
        <v>46275.658905787037</v>
      </c>
      <c r="M2172" s="20">
        <v>12</v>
      </c>
      <c r="N2172" s="1">
        <v>11</v>
      </c>
    </row>
    <row r="2173" spans="1:14" x14ac:dyDescent="0.25">
      <c r="A2173" t="str">
        <f t="shared" si="68"/>
        <v>H180781H180781</v>
      </c>
      <c r="B2173" t="str">
        <f t="shared" si="69"/>
        <v>H180781W5155N8-B</v>
      </c>
      <c r="C2173" s="27" t="s">
        <v>644</v>
      </c>
      <c r="D2173" s="27" t="s">
        <v>645</v>
      </c>
      <c r="E2173" s="1" t="s">
        <v>2307</v>
      </c>
      <c r="F2173" s="1" t="s">
        <v>2308</v>
      </c>
      <c r="G2173" s="1" t="s">
        <v>404</v>
      </c>
      <c r="H2173" s="1">
        <v>804</v>
      </c>
      <c r="I2173" s="3">
        <v>46275</v>
      </c>
      <c r="J2173" s="3">
        <v>46289</v>
      </c>
      <c r="K2173" s="3" t="s">
        <v>2374</v>
      </c>
      <c r="L2173" s="31">
        <v>46275.659392013884</v>
      </c>
      <c r="M2173" s="20">
        <v>12</v>
      </c>
      <c r="N2173" s="1">
        <v>55</v>
      </c>
    </row>
    <row r="2174" spans="1:14" x14ac:dyDescent="0.25">
      <c r="A2174" t="str">
        <f t="shared" si="68"/>
        <v>H180781H180781</v>
      </c>
      <c r="B2174" t="str">
        <f t="shared" si="69"/>
        <v>H180781W5155N8-B</v>
      </c>
      <c r="C2174" s="27" t="s">
        <v>644</v>
      </c>
      <c r="D2174" s="27" t="s">
        <v>645</v>
      </c>
      <c r="E2174" s="1" t="s">
        <v>2307</v>
      </c>
      <c r="F2174" s="1" t="s">
        <v>2308</v>
      </c>
      <c r="G2174" s="1" t="s">
        <v>404</v>
      </c>
      <c r="H2174" s="1">
        <v>804</v>
      </c>
      <c r="I2174" s="3">
        <v>46275</v>
      </c>
      <c r="J2174" s="3">
        <v>46289</v>
      </c>
      <c r="K2174" s="3" t="s">
        <v>2374</v>
      </c>
      <c r="L2174" s="31">
        <v>46275.659674918978</v>
      </c>
      <c r="M2174" s="20">
        <v>12</v>
      </c>
      <c r="N2174" s="1">
        <v>12</v>
      </c>
    </row>
    <row r="2175" spans="1:14" x14ac:dyDescent="0.25">
      <c r="A2175" t="str">
        <f t="shared" si="68"/>
        <v>H180781H180781</v>
      </c>
      <c r="B2175" t="str">
        <f t="shared" si="69"/>
        <v>H180781W5155N8-B</v>
      </c>
      <c r="C2175" s="27" t="s">
        <v>644</v>
      </c>
      <c r="D2175" s="27" t="s">
        <v>645</v>
      </c>
      <c r="E2175" s="1" t="s">
        <v>2307</v>
      </c>
      <c r="F2175" s="1" t="s">
        <v>2308</v>
      </c>
      <c r="G2175" s="1" t="s">
        <v>404</v>
      </c>
      <c r="H2175" s="1">
        <v>804</v>
      </c>
      <c r="I2175" s="3">
        <v>46275</v>
      </c>
      <c r="J2175" s="3">
        <v>46289</v>
      </c>
      <c r="K2175" s="3" t="s">
        <v>2374</v>
      </c>
      <c r="L2175" s="31">
        <v>46275.66154768518</v>
      </c>
      <c r="M2175" s="20">
        <v>12</v>
      </c>
      <c r="N2175" s="1">
        <v>32</v>
      </c>
    </row>
    <row r="2176" spans="1:14" x14ac:dyDescent="0.25">
      <c r="A2176" t="str">
        <f t="shared" si="68"/>
        <v>H180781H180781</v>
      </c>
      <c r="B2176" t="str">
        <f t="shared" si="69"/>
        <v>H180781W5155N8-B</v>
      </c>
      <c r="C2176" s="27" t="s">
        <v>644</v>
      </c>
      <c r="D2176" s="27" t="s">
        <v>645</v>
      </c>
      <c r="E2176" s="1" t="s">
        <v>2307</v>
      </c>
      <c r="F2176" s="1" t="s">
        <v>2308</v>
      </c>
      <c r="G2176" s="1" t="s">
        <v>404</v>
      </c>
      <c r="H2176" s="1">
        <v>804</v>
      </c>
      <c r="I2176" s="3">
        <v>46275</v>
      </c>
      <c r="J2176" s="3">
        <v>46289</v>
      </c>
      <c r="K2176" s="3" t="s">
        <v>2374</v>
      </c>
      <c r="L2176" s="31">
        <v>46275.664626886573</v>
      </c>
      <c r="M2176" s="20">
        <v>12</v>
      </c>
      <c r="N2176" s="1">
        <v>43</v>
      </c>
    </row>
    <row r="2177" spans="1:14" x14ac:dyDescent="0.25">
      <c r="A2177" t="str">
        <f t="shared" si="68"/>
        <v>H180781H180781</v>
      </c>
      <c r="B2177" t="str">
        <f t="shared" si="69"/>
        <v>H180781W5155N8-B</v>
      </c>
      <c r="C2177" s="27" t="s">
        <v>644</v>
      </c>
      <c r="D2177" s="27" t="s">
        <v>645</v>
      </c>
      <c r="E2177" s="1" t="s">
        <v>2307</v>
      </c>
      <c r="F2177" s="1" t="s">
        <v>2308</v>
      </c>
      <c r="G2177" s="1" t="s">
        <v>404</v>
      </c>
      <c r="H2177" s="1">
        <v>804</v>
      </c>
      <c r="I2177" s="3">
        <v>46275</v>
      </c>
      <c r="J2177" s="3">
        <v>46289</v>
      </c>
      <c r="K2177" s="3" t="s">
        <v>2374</v>
      </c>
      <c r="L2177" s="31">
        <v>46275.671030289348</v>
      </c>
      <c r="M2177" s="20">
        <v>12</v>
      </c>
      <c r="N2177" s="1">
        <v>59</v>
      </c>
    </row>
    <row r="2178" spans="1:14" x14ac:dyDescent="0.25">
      <c r="A2178" t="str">
        <f t="shared" ref="A2178:A2241" si="70">+D2178&amp;D2178</f>
        <v>H180781H180781</v>
      </c>
      <c r="B2178" t="str">
        <f t="shared" ref="B2178:B2241" si="71">+D2178&amp;C2178</f>
        <v>H180781W5155N8-B</v>
      </c>
      <c r="C2178" s="27" t="s">
        <v>644</v>
      </c>
      <c r="D2178" s="27" t="s">
        <v>645</v>
      </c>
      <c r="E2178" s="1" t="s">
        <v>2307</v>
      </c>
      <c r="F2178" s="1" t="s">
        <v>2308</v>
      </c>
      <c r="G2178" s="1" t="s">
        <v>404</v>
      </c>
      <c r="H2178" s="1">
        <v>804</v>
      </c>
      <c r="I2178" s="3">
        <v>46275</v>
      </c>
      <c r="J2178" s="3">
        <v>46289</v>
      </c>
      <c r="K2178" s="3" t="s">
        <v>2374</v>
      </c>
      <c r="L2178" s="31">
        <v>46275.671801122684</v>
      </c>
      <c r="M2178" s="20">
        <v>12</v>
      </c>
      <c r="N2178" s="1">
        <v>14</v>
      </c>
    </row>
    <row r="2179" spans="1:14" x14ac:dyDescent="0.25">
      <c r="A2179" t="str">
        <f t="shared" si="70"/>
        <v>H180781H180781</v>
      </c>
      <c r="B2179" t="str">
        <f t="shared" si="71"/>
        <v>H180781W5155N8-B</v>
      </c>
      <c r="C2179" s="27" t="s">
        <v>644</v>
      </c>
      <c r="D2179" s="27" t="s">
        <v>645</v>
      </c>
      <c r="E2179" s="1" t="s">
        <v>2307</v>
      </c>
      <c r="F2179" s="1" t="s">
        <v>2308</v>
      </c>
      <c r="G2179" s="1" t="s">
        <v>404</v>
      </c>
      <c r="H2179" s="1">
        <v>804</v>
      </c>
      <c r="I2179" s="3">
        <v>46275</v>
      </c>
      <c r="J2179" s="3">
        <v>46289</v>
      </c>
      <c r="K2179" s="3" t="s">
        <v>2374</v>
      </c>
      <c r="L2179" s="31">
        <v>46275.675081909721</v>
      </c>
      <c r="M2179" s="20">
        <v>12</v>
      </c>
      <c r="N2179" s="1">
        <v>24</v>
      </c>
    </row>
    <row r="2180" spans="1:14" x14ac:dyDescent="0.25">
      <c r="A2180" t="str">
        <f t="shared" si="70"/>
        <v>H180781H180781</v>
      </c>
      <c r="B2180" t="str">
        <f t="shared" si="71"/>
        <v>H180781W5155N8-B</v>
      </c>
      <c r="C2180" s="27" t="s">
        <v>644</v>
      </c>
      <c r="D2180" s="27" t="s">
        <v>645</v>
      </c>
      <c r="E2180" s="1" t="s">
        <v>2307</v>
      </c>
      <c r="F2180" s="1" t="s">
        <v>2308</v>
      </c>
      <c r="G2180" s="1" t="s">
        <v>404</v>
      </c>
      <c r="H2180" s="1">
        <v>804</v>
      </c>
      <c r="I2180" s="3">
        <v>46275</v>
      </c>
      <c r="J2180" s="3">
        <v>46289</v>
      </c>
      <c r="K2180" s="3" t="s">
        <v>2374</v>
      </c>
      <c r="L2180" s="31">
        <v>46275.686116898149</v>
      </c>
      <c r="M2180" s="20">
        <v>12</v>
      </c>
      <c r="N2180" s="1">
        <v>1</v>
      </c>
    </row>
    <row r="2181" spans="1:14" x14ac:dyDescent="0.25">
      <c r="A2181" t="str">
        <f t="shared" si="70"/>
        <v>H180781H180781</v>
      </c>
      <c r="B2181" t="str">
        <f t="shared" si="71"/>
        <v>H180781W5155N8-B</v>
      </c>
      <c r="C2181" s="27" t="s">
        <v>644</v>
      </c>
      <c r="D2181" s="27" t="s">
        <v>645</v>
      </c>
      <c r="E2181" s="1" t="s">
        <v>2307</v>
      </c>
      <c r="F2181" s="1" t="s">
        <v>2308</v>
      </c>
      <c r="G2181" s="1" t="s">
        <v>404</v>
      </c>
      <c r="H2181" s="1">
        <v>804</v>
      </c>
      <c r="I2181" s="3">
        <v>46275</v>
      </c>
      <c r="J2181" s="3">
        <v>46289</v>
      </c>
      <c r="K2181" s="3" t="s">
        <v>2374</v>
      </c>
      <c r="L2181" s="31">
        <v>46275.686541516203</v>
      </c>
      <c r="M2181" s="20">
        <v>12</v>
      </c>
      <c r="N2181" s="1">
        <v>13</v>
      </c>
    </row>
    <row r="2182" spans="1:14" x14ac:dyDescent="0.25">
      <c r="A2182" t="str">
        <f t="shared" si="70"/>
        <v>H180781H180781</v>
      </c>
      <c r="B2182" t="str">
        <f t="shared" si="71"/>
        <v>H180781W5155N8-B</v>
      </c>
      <c r="C2182" s="27" t="s">
        <v>644</v>
      </c>
      <c r="D2182" s="27" t="s">
        <v>645</v>
      </c>
      <c r="E2182" s="1" t="s">
        <v>2307</v>
      </c>
      <c r="F2182" s="1" t="s">
        <v>2308</v>
      </c>
      <c r="G2182" s="1" t="s">
        <v>404</v>
      </c>
      <c r="H2182" s="1">
        <v>804</v>
      </c>
      <c r="I2182" s="3">
        <v>46275</v>
      </c>
      <c r="J2182" s="3">
        <v>46289</v>
      </c>
      <c r="K2182" s="3" t="s">
        <v>2374</v>
      </c>
      <c r="L2182" s="31">
        <v>46275.687019062498</v>
      </c>
      <c r="M2182" s="20">
        <v>12</v>
      </c>
      <c r="N2182" s="1">
        <v>34</v>
      </c>
    </row>
    <row r="2183" spans="1:14" x14ac:dyDescent="0.25">
      <c r="A2183" t="str">
        <f t="shared" si="70"/>
        <v>H180781H180781</v>
      </c>
      <c r="B2183" t="str">
        <f t="shared" si="71"/>
        <v>H180781W5155N8-B</v>
      </c>
      <c r="C2183" s="27" t="s">
        <v>644</v>
      </c>
      <c r="D2183" s="27" t="s">
        <v>645</v>
      </c>
      <c r="E2183" s="1" t="s">
        <v>2307</v>
      </c>
      <c r="F2183" s="1" t="s">
        <v>2308</v>
      </c>
      <c r="G2183" s="1" t="s">
        <v>404</v>
      </c>
      <c r="H2183" s="1">
        <v>804</v>
      </c>
      <c r="I2183" s="3">
        <v>46275</v>
      </c>
      <c r="J2183" s="3">
        <v>46289</v>
      </c>
      <c r="K2183" s="3" t="s">
        <v>2374</v>
      </c>
      <c r="L2183" s="31">
        <v>46275.688452743052</v>
      </c>
      <c r="M2183" s="20">
        <v>12</v>
      </c>
      <c r="N2183" s="1">
        <v>22</v>
      </c>
    </row>
    <row r="2184" spans="1:14" x14ac:dyDescent="0.25">
      <c r="A2184" t="str">
        <f t="shared" si="70"/>
        <v>H180781H180781</v>
      </c>
      <c r="B2184" t="str">
        <f t="shared" si="71"/>
        <v>H180781W5155N8-B</v>
      </c>
      <c r="C2184" s="27" t="s">
        <v>644</v>
      </c>
      <c r="D2184" s="27" t="s">
        <v>645</v>
      </c>
      <c r="E2184" s="1" t="s">
        <v>2307</v>
      </c>
      <c r="F2184" s="1" t="s">
        <v>2308</v>
      </c>
      <c r="G2184" s="1" t="s">
        <v>404</v>
      </c>
      <c r="H2184" s="1">
        <v>804</v>
      </c>
      <c r="I2184" s="3">
        <v>46275</v>
      </c>
      <c r="J2184" s="3">
        <v>46289</v>
      </c>
      <c r="K2184" s="3" t="s">
        <v>2374</v>
      </c>
      <c r="L2184" s="31">
        <v>46275.688701122686</v>
      </c>
      <c r="M2184" s="20">
        <v>12</v>
      </c>
      <c r="N2184" s="1">
        <v>44</v>
      </c>
    </row>
    <row r="2185" spans="1:14" x14ac:dyDescent="0.25">
      <c r="A2185" t="str">
        <f t="shared" si="70"/>
        <v>H180781H180781</v>
      </c>
      <c r="B2185" t="str">
        <f t="shared" si="71"/>
        <v>H180781W5155N8-B</v>
      </c>
      <c r="C2185" s="27" t="s">
        <v>644</v>
      </c>
      <c r="D2185" s="27" t="s">
        <v>645</v>
      </c>
      <c r="E2185" s="1" t="s">
        <v>2307</v>
      </c>
      <c r="F2185" s="1" t="s">
        <v>2308</v>
      </c>
      <c r="G2185" s="1" t="s">
        <v>404</v>
      </c>
      <c r="H2185" s="1">
        <v>804</v>
      </c>
      <c r="I2185" s="3">
        <v>46275</v>
      </c>
      <c r="J2185" s="3">
        <v>46289</v>
      </c>
      <c r="K2185" s="3" t="s">
        <v>2374</v>
      </c>
      <c r="L2185" s="31">
        <v>46275.689183645831</v>
      </c>
      <c r="M2185" s="20">
        <v>12</v>
      </c>
      <c r="N2185" s="1">
        <v>35</v>
      </c>
    </row>
    <row r="2186" spans="1:14" x14ac:dyDescent="0.25">
      <c r="A2186" t="str">
        <f t="shared" si="70"/>
        <v>H180781H180781</v>
      </c>
      <c r="B2186" t="str">
        <f t="shared" si="71"/>
        <v>H180781W5155N8-B</v>
      </c>
      <c r="C2186" s="27" t="s">
        <v>644</v>
      </c>
      <c r="D2186" s="27" t="s">
        <v>645</v>
      </c>
      <c r="E2186" s="1" t="s">
        <v>2307</v>
      </c>
      <c r="F2186" s="1" t="s">
        <v>2308</v>
      </c>
      <c r="G2186" s="1" t="s">
        <v>404</v>
      </c>
      <c r="H2186" s="1">
        <v>804</v>
      </c>
      <c r="I2186" s="3">
        <v>46275</v>
      </c>
      <c r="J2186" s="3">
        <v>46289</v>
      </c>
      <c r="K2186" s="3" t="s">
        <v>2374</v>
      </c>
      <c r="L2186" s="31">
        <v>46275.702532326388</v>
      </c>
      <c r="M2186" s="20">
        <v>12</v>
      </c>
      <c r="N2186" s="1">
        <v>45</v>
      </c>
    </row>
    <row r="2187" spans="1:14" x14ac:dyDescent="0.25">
      <c r="A2187" t="str">
        <f t="shared" si="70"/>
        <v>H180781H180781</v>
      </c>
      <c r="B2187" t="str">
        <f t="shared" si="71"/>
        <v>H180781W5155N8-B</v>
      </c>
      <c r="C2187" s="27" t="s">
        <v>644</v>
      </c>
      <c r="D2187" s="27" t="s">
        <v>645</v>
      </c>
      <c r="E2187" s="1" t="s">
        <v>2307</v>
      </c>
      <c r="F2187" s="1" t="s">
        <v>2308</v>
      </c>
      <c r="G2187" s="1" t="s">
        <v>404</v>
      </c>
      <c r="H2187" s="1">
        <v>804</v>
      </c>
      <c r="I2187" s="3">
        <v>46275</v>
      </c>
      <c r="J2187" s="3">
        <v>46289</v>
      </c>
      <c r="K2187" s="3" t="s">
        <v>2374</v>
      </c>
      <c r="L2187" s="31">
        <v>46275.726384606482</v>
      </c>
      <c r="M2187" s="20">
        <v>12</v>
      </c>
      <c r="N2187" s="1">
        <v>2</v>
      </c>
    </row>
    <row r="2188" spans="1:14" x14ac:dyDescent="0.25">
      <c r="A2188" t="str">
        <f t="shared" si="70"/>
        <v>H180781H180781</v>
      </c>
      <c r="B2188" t="str">
        <f t="shared" si="71"/>
        <v>H180781W5155N8-B</v>
      </c>
      <c r="C2188" s="27" t="s">
        <v>644</v>
      </c>
      <c r="D2188" s="27" t="s">
        <v>645</v>
      </c>
      <c r="E2188" s="1" t="s">
        <v>2307</v>
      </c>
      <c r="F2188" s="1" t="s">
        <v>2308</v>
      </c>
      <c r="G2188" s="1" t="s">
        <v>404</v>
      </c>
      <c r="H2188" s="1">
        <v>804</v>
      </c>
      <c r="I2188" s="3">
        <v>46275</v>
      </c>
      <c r="J2188" s="3">
        <v>46289</v>
      </c>
      <c r="K2188" s="3" t="s">
        <v>2374</v>
      </c>
      <c r="L2188" s="31">
        <v>46275.726692708333</v>
      </c>
      <c r="M2188" s="20">
        <v>12</v>
      </c>
      <c r="N2188" s="1">
        <v>58</v>
      </c>
    </row>
    <row r="2189" spans="1:14" x14ac:dyDescent="0.25">
      <c r="A2189" t="str">
        <f t="shared" si="70"/>
        <v>H180781H180781</v>
      </c>
      <c r="B2189" t="str">
        <f t="shared" si="71"/>
        <v>H180781W5155N8-B</v>
      </c>
      <c r="C2189" s="27" t="s">
        <v>644</v>
      </c>
      <c r="D2189" s="27" t="s">
        <v>645</v>
      </c>
      <c r="E2189" s="1" t="s">
        <v>2307</v>
      </c>
      <c r="F2189" s="1" t="s">
        <v>2308</v>
      </c>
      <c r="G2189" s="1" t="s">
        <v>404</v>
      </c>
      <c r="H2189" s="1">
        <v>804</v>
      </c>
      <c r="I2189" s="3">
        <v>46275</v>
      </c>
      <c r="J2189" s="3">
        <v>46289</v>
      </c>
      <c r="K2189" s="3" t="s">
        <v>2374</v>
      </c>
      <c r="L2189" s="31">
        <v>46275.726865972218</v>
      </c>
      <c r="M2189" s="20">
        <v>12</v>
      </c>
      <c r="N2189" s="1">
        <v>50</v>
      </c>
    </row>
    <row r="2190" spans="1:14" x14ac:dyDescent="0.25">
      <c r="A2190" t="str">
        <f t="shared" si="70"/>
        <v>H180781H180781</v>
      </c>
      <c r="B2190" t="str">
        <f t="shared" si="71"/>
        <v>H180781W5155N8-B</v>
      </c>
      <c r="C2190" s="27" t="s">
        <v>644</v>
      </c>
      <c r="D2190" s="27" t="s">
        <v>645</v>
      </c>
      <c r="E2190" s="1" t="s">
        <v>2307</v>
      </c>
      <c r="F2190" s="1" t="s">
        <v>2308</v>
      </c>
      <c r="G2190" s="1" t="s">
        <v>404</v>
      </c>
      <c r="H2190" s="1">
        <v>804</v>
      </c>
      <c r="I2190" s="3">
        <v>46275</v>
      </c>
      <c r="J2190" s="3">
        <v>46289</v>
      </c>
      <c r="K2190" s="3" t="s">
        <v>2374</v>
      </c>
      <c r="L2190" s="31">
        <v>46275.727209375</v>
      </c>
      <c r="M2190" s="20">
        <v>12</v>
      </c>
      <c r="N2190" s="1">
        <v>54</v>
      </c>
    </row>
    <row r="2191" spans="1:14" x14ac:dyDescent="0.25">
      <c r="A2191" t="str">
        <f t="shared" si="70"/>
        <v>H180781H180781</v>
      </c>
      <c r="B2191" t="str">
        <f t="shared" si="71"/>
        <v>H180781W5155N8-B</v>
      </c>
      <c r="C2191" s="27" t="s">
        <v>644</v>
      </c>
      <c r="D2191" s="27" t="s">
        <v>645</v>
      </c>
      <c r="E2191" s="1" t="s">
        <v>2307</v>
      </c>
      <c r="F2191" s="1" t="s">
        <v>2308</v>
      </c>
      <c r="G2191" s="1" t="s">
        <v>404</v>
      </c>
      <c r="H2191" s="1">
        <v>804</v>
      </c>
      <c r="I2191" s="3">
        <v>46275</v>
      </c>
      <c r="J2191" s="3">
        <v>46289</v>
      </c>
      <c r="K2191" s="3" t="s">
        <v>2374</v>
      </c>
      <c r="L2191" s="31">
        <v>46275.731421527773</v>
      </c>
      <c r="M2191" s="20">
        <v>12</v>
      </c>
      <c r="N2191" s="1">
        <v>40</v>
      </c>
    </row>
    <row r="2192" spans="1:14" x14ac:dyDescent="0.25">
      <c r="A2192" t="str">
        <f t="shared" si="70"/>
        <v>H181902H181902</v>
      </c>
      <c r="B2192" t="str">
        <f t="shared" si="71"/>
        <v>H181902W5743HE-B</v>
      </c>
      <c r="C2192" s="27" t="s">
        <v>642</v>
      </c>
      <c r="D2192" s="27" t="s">
        <v>643</v>
      </c>
      <c r="E2192" s="1" t="s">
        <v>2315</v>
      </c>
      <c r="F2192" s="1" t="s">
        <v>431</v>
      </c>
      <c r="G2192" s="1" t="s">
        <v>404</v>
      </c>
      <c r="H2192" s="1">
        <v>282</v>
      </c>
      <c r="I2192" s="3">
        <v>46275</v>
      </c>
      <c r="J2192" s="3">
        <v>46288</v>
      </c>
      <c r="K2192" s="3" t="s">
        <v>2371</v>
      </c>
      <c r="L2192" s="31">
        <v>46275.582586226847</v>
      </c>
      <c r="M2192" s="20">
        <v>12</v>
      </c>
      <c r="N2192" s="1">
        <v>7</v>
      </c>
    </row>
    <row r="2193" spans="1:14" x14ac:dyDescent="0.25">
      <c r="A2193" t="str">
        <f t="shared" si="70"/>
        <v>H181902H181902</v>
      </c>
      <c r="B2193" t="str">
        <f t="shared" si="71"/>
        <v>H181902W5743HE-B</v>
      </c>
      <c r="C2193" s="27" t="s">
        <v>642</v>
      </c>
      <c r="D2193" s="27" t="s">
        <v>643</v>
      </c>
      <c r="E2193" s="1" t="s">
        <v>2315</v>
      </c>
      <c r="F2193" s="1" t="s">
        <v>431</v>
      </c>
      <c r="G2193" s="1" t="s">
        <v>404</v>
      </c>
      <c r="H2193" s="1">
        <v>282</v>
      </c>
      <c r="I2193" s="3">
        <v>46275</v>
      </c>
      <c r="J2193" s="3">
        <v>46288</v>
      </c>
      <c r="K2193" s="3" t="s">
        <v>2371</v>
      </c>
      <c r="L2193" s="31">
        <v>46275.60192040509</v>
      </c>
      <c r="M2193" s="20">
        <v>12</v>
      </c>
      <c r="N2193" s="1">
        <v>12</v>
      </c>
    </row>
    <row r="2194" spans="1:14" x14ac:dyDescent="0.25">
      <c r="A2194" t="str">
        <f t="shared" si="70"/>
        <v>H181902H181902</v>
      </c>
      <c r="B2194" t="str">
        <f t="shared" si="71"/>
        <v>H181902W5743HE-B</v>
      </c>
      <c r="C2194" s="27" t="s">
        <v>642</v>
      </c>
      <c r="D2194" s="27" t="s">
        <v>643</v>
      </c>
      <c r="E2194" s="1" t="s">
        <v>2315</v>
      </c>
      <c r="F2194" s="1" t="s">
        <v>431</v>
      </c>
      <c r="G2194" s="1" t="s">
        <v>404</v>
      </c>
      <c r="H2194" s="1">
        <v>282</v>
      </c>
      <c r="I2194" s="3">
        <v>46275</v>
      </c>
      <c r="J2194" s="3">
        <v>46288</v>
      </c>
      <c r="K2194" s="3" t="s">
        <v>2371</v>
      </c>
      <c r="L2194" s="31">
        <v>46275.614406944442</v>
      </c>
      <c r="M2194" s="20">
        <v>12</v>
      </c>
      <c r="N2194" s="1">
        <v>17</v>
      </c>
    </row>
    <row r="2195" spans="1:14" x14ac:dyDescent="0.25">
      <c r="A2195" t="str">
        <f t="shared" si="70"/>
        <v>H181902H181902</v>
      </c>
      <c r="B2195" t="str">
        <f t="shared" si="71"/>
        <v>H181902W5743HE-B</v>
      </c>
      <c r="C2195" s="27" t="s">
        <v>642</v>
      </c>
      <c r="D2195" s="27" t="s">
        <v>643</v>
      </c>
      <c r="E2195" s="1" t="s">
        <v>2315</v>
      </c>
      <c r="F2195" s="1" t="s">
        <v>431</v>
      </c>
      <c r="G2195" s="1" t="s">
        <v>404</v>
      </c>
      <c r="H2195" s="1">
        <v>282</v>
      </c>
      <c r="I2195" s="3">
        <v>46275</v>
      </c>
      <c r="J2195" s="3">
        <v>46288</v>
      </c>
      <c r="K2195" s="3" t="s">
        <v>2371</v>
      </c>
      <c r="L2195" s="31">
        <v>46275.637486192129</v>
      </c>
      <c r="M2195" s="20">
        <v>12</v>
      </c>
      <c r="N2195" s="1">
        <v>13</v>
      </c>
    </row>
    <row r="2196" spans="1:14" x14ac:dyDescent="0.25">
      <c r="A2196" t="str">
        <f t="shared" si="70"/>
        <v>H181902H181902</v>
      </c>
      <c r="B2196" t="str">
        <f t="shared" si="71"/>
        <v>H181902W5743HE-B</v>
      </c>
      <c r="C2196" s="27" t="s">
        <v>642</v>
      </c>
      <c r="D2196" s="27" t="s">
        <v>643</v>
      </c>
      <c r="E2196" s="1" t="s">
        <v>2315</v>
      </c>
      <c r="F2196" s="1" t="s">
        <v>431</v>
      </c>
      <c r="G2196" s="1" t="s">
        <v>404</v>
      </c>
      <c r="H2196" s="1">
        <v>282</v>
      </c>
      <c r="I2196" s="3">
        <v>46275</v>
      </c>
      <c r="J2196" s="3">
        <v>46288</v>
      </c>
      <c r="K2196" s="3" t="s">
        <v>2371</v>
      </c>
      <c r="L2196" s="31">
        <v>46275.646308530093</v>
      </c>
      <c r="M2196" s="20">
        <v>12</v>
      </c>
      <c r="N2196" s="1">
        <v>8</v>
      </c>
    </row>
    <row r="2197" spans="1:14" x14ac:dyDescent="0.25">
      <c r="A2197" t="str">
        <f t="shared" si="70"/>
        <v>H181902H181902</v>
      </c>
      <c r="B2197" t="str">
        <f t="shared" si="71"/>
        <v>H181902W5743HE-B</v>
      </c>
      <c r="C2197" s="27" t="s">
        <v>642</v>
      </c>
      <c r="D2197" s="27" t="s">
        <v>643</v>
      </c>
      <c r="E2197" s="1" t="s">
        <v>2315</v>
      </c>
      <c r="F2197" s="1" t="s">
        <v>431</v>
      </c>
      <c r="G2197" s="1" t="s">
        <v>404</v>
      </c>
      <c r="H2197" s="1">
        <v>282</v>
      </c>
      <c r="I2197" s="3">
        <v>46275</v>
      </c>
      <c r="J2197" s="3">
        <v>46288</v>
      </c>
      <c r="K2197" s="3" t="s">
        <v>2371</v>
      </c>
      <c r="L2197" s="31">
        <v>46275.670275694443</v>
      </c>
      <c r="M2197" s="20">
        <v>12</v>
      </c>
      <c r="N2197" s="1">
        <v>9</v>
      </c>
    </row>
    <row r="2198" spans="1:14" x14ac:dyDescent="0.25">
      <c r="A2198" t="str">
        <f t="shared" si="70"/>
        <v>H181902H181902</v>
      </c>
      <c r="B2198" t="str">
        <f t="shared" si="71"/>
        <v>H181902W5743HE-B</v>
      </c>
      <c r="C2198" s="27" t="s">
        <v>642</v>
      </c>
      <c r="D2198" s="27" t="s">
        <v>643</v>
      </c>
      <c r="E2198" s="1" t="s">
        <v>2315</v>
      </c>
      <c r="F2198" s="1" t="s">
        <v>431</v>
      </c>
      <c r="G2198" s="1" t="s">
        <v>404</v>
      </c>
      <c r="H2198" s="1">
        <v>282</v>
      </c>
      <c r="I2198" s="3">
        <v>46275</v>
      </c>
      <c r="J2198" s="3">
        <v>46288</v>
      </c>
      <c r="K2198" s="3" t="s">
        <v>2371</v>
      </c>
      <c r="L2198" s="31">
        <v>46275.671300312497</v>
      </c>
      <c r="M2198" s="20">
        <v>12</v>
      </c>
      <c r="N2198" s="1">
        <v>18</v>
      </c>
    </row>
    <row r="2199" spans="1:14" x14ac:dyDescent="0.25">
      <c r="A2199" t="str">
        <f t="shared" si="70"/>
        <v>H181902H181902</v>
      </c>
      <c r="B2199" t="str">
        <f t="shared" si="71"/>
        <v>H181902W5743HE-B</v>
      </c>
      <c r="C2199" s="27" t="s">
        <v>642</v>
      </c>
      <c r="D2199" s="27" t="s">
        <v>643</v>
      </c>
      <c r="E2199" s="1" t="s">
        <v>2315</v>
      </c>
      <c r="F2199" s="1" t="s">
        <v>431</v>
      </c>
      <c r="G2199" s="1" t="s">
        <v>404</v>
      </c>
      <c r="H2199" s="1">
        <v>282</v>
      </c>
      <c r="I2199" s="3">
        <v>46275</v>
      </c>
      <c r="J2199" s="3">
        <v>46288</v>
      </c>
      <c r="K2199" s="3" t="s">
        <v>2371</v>
      </c>
      <c r="L2199" s="31">
        <v>46275.676489351848</v>
      </c>
      <c r="M2199" s="20">
        <v>12</v>
      </c>
      <c r="N2199" s="1">
        <v>20</v>
      </c>
    </row>
    <row r="2200" spans="1:14" x14ac:dyDescent="0.25">
      <c r="A2200" t="str">
        <f t="shared" si="70"/>
        <v>H181902H181902</v>
      </c>
      <c r="B2200" t="str">
        <f t="shared" si="71"/>
        <v>H181902W5743HE-B</v>
      </c>
      <c r="C2200" s="27" t="s">
        <v>642</v>
      </c>
      <c r="D2200" s="27" t="s">
        <v>643</v>
      </c>
      <c r="E2200" s="1" t="s">
        <v>2315</v>
      </c>
      <c r="F2200" s="1" t="s">
        <v>431</v>
      </c>
      <c r="G2200" s="1" t="s">
        <v>404</v>
      </c>
      <c r="H2200" s="1">
        <v>282</v>
      </c>
      <c r="I2200" s="3">
        <v>46275</v>
      </c>
      <c r="J2200" s="3">
        <v>46288</v>
      </c>
      <c r="K2200" s="3" t="s">
        <v>2371</v>
      </c>
      <c r="L2200" s="31">
        <v>46275.677853854162</v>
      </c>
      <c r="M2200" s="20">
        <v>12</v>
      </c>
      <c r="N2200" s="1">
        <v>14</v>
      </c>
    </row>
    <row r="2201" spans="1:14" x14ac:dyDescent="0.25">
      <c r="A2201" t="str">
        <f t="shared" si="70"/>
        <v>H181902H181902</v>
      </c>
      <c r="B2201" t="str">
        <f t="shared" si="71"/>
        <v>H181902W5743HE-B</v>
      </c>
      <c r="C2201" s="27" t="s">
        <v>642</v>
      </c>
      <c r="D2201" s="27" t="s">
        <v>643</v>
      </c>
      <c r="E2201" s="1" t="s">
        <v>2315</v>
      </c>
      <c r="F2201" s="1" t="s">
        <v>431</v>
      </c>
      <c r="G2201" s="1" t="s">
        <v>404</v>
      </c>
      <c r="H2201" s="1">
        <v>282</v>
      </c>
      <c r="I2201" s="3">
        <v>46275</v>
      </c>
      <c r="J2201" s="3">
        <v>46288</v>
      </c>
      <c r="K2201" s="3" t="s">
        <v>2371</v>
      </c>
      <c r="L2201" s="31">
        <v>46275.703113229167</v>
      </c>
      <c r="M2201" s="20">
        <v>12</v>
      </c>
      <c r="N2201" s="1">
        <v>1</v>
      </c>
    </row>
    <row r="2202" spans="1:14" x14ac:dyDescent="0.25">
      <c r="A2202" t="str">
        <f t="shared" si="70"/>
        <v>H181902H181902</v>
      </c>
      <c r="B2202" t="str">
        <f t="shared" si="71"/>
        <v>H181902W5743HE-B</v>
      </c>
      <c r="C2202" s="27" t="s">
        <v>642</v>
      </c>
      <c r="D2202" s="27" t="s">
        <v>643</v>
      </c>
      <c r="E2202" s="1" t="s">
        <v>2315</v>
      </c>
      <c r="F2202" s="1" t="s">
        <v>431</v>
      </c>
      <c r="G2202" s="1" t="s">
        <v>404</v>
      </c>
      <c r="H2202" s="1">
        <v>282</v>
      </c>
      <c r="I2202" s="3">
        <v>46275</v>
      </c>
      <c r="J2202" s="3">
        <v>46288</v>
      </c>
      <c r="K2202" s="3" t="s">
        <v>2371</v>
      </c>
      <c r="L2202" s="31">
        <v>46275.7035783912</v>
      </c>
      <c r="M2202" s="20">
        <v>12</v>
      </c>
      <c r="N2202" s="1">
        <v>6</v>
      </c>
    </row>
    <row r="2203" spans="1:14" x14ac:dyDescent="0.25">
      <c r="A2203" t="str">
        <f t="shared" si="70"/>
        <v>H181902H181902</v>
      </c>
      <c r="B2203" t="str">
        <f t="shared" si="71"/>
        <v>H181902W5743HE-B</v>
      </c>
      <c r="C2203" s="27" t="s">
        <v>642</v>
      </c>
      <c r="D2203" s="27" t="s">
        <v>643</v>
      </c>
      <c r="E2203" s="1" t="s">
        <v>2315</v>
      </c>
      <c r="F2203" s="1" t="s">
        <v>431</v>
      </c>
      <c r="G2203" s="1" t="s">
        <v>404</v>
      </c>
      <c r="H2203" s="1">
        <v>282</v>
      </c>
      <c r="I2203" s="3">
        <v>46275</v>
      </c>
      <c r="J2203" s="3">
        <v>46288</v>
      </c>
      <c r="K2203" s="3" t="s">
        <v>2371</v>
      </c>
      <c r="L2203" s="31">
        <v>46275.703860648144</v>
      </c>
      <c r="M2203" s="20">
        <v>12</v>
      </c>
      <c r="N2203" s="1">
        <v>19</v>
      </c>
    </row>
    <row r="2204" spans="1:14" x14ac:dyDescent="0.25">
      <c r="A2204" t="str">
        <f t="shared" si="70"/>
        <v>H181902H181902</v>
      </c>
      <c r="B2204" t="str">
        <f t="shared" si="71"/>
        <v>H181902W5743HE-B</v>
      </c>
      <c r="C2204" s="27" t="s">
        <v>642</v>
      </c>
      <c r="D2204" s="27" t="s">
        <v>643</v>
      </c>
      <c r="E2204" s="1" t="s">
        <v>2315</v>
      </c>
      <c r="F2204" s="1" t="s">
        <v>431</v>
      </c>
      <c r="G2204" s="1" t="s">
        <v>404</v>
      </c>
      <c r="H2204" s="1">
        <v>282</v>
      </c>
      <c r="I2204" s="3">
        <v>46275</v>
      </c>
      <c r="J2204" s="3">
        <v>46288</v>
      </c>
      <c r="K2204" s="3" t="s">
        <v>2371</v>
      </c>
      <c r="L2204" s="31">
        <v>46275.725375312497</v>
      </c>
      <c r="M2204" s="20">
        <v>12</v>
      </c>
      <c r="N2204" s="1">
        <v>21</v>
      </c>
    </row>
    <row r="2205" spans="1:14" x14ac:dyDescent="0.25">
      <c r="A2205" t="str">
        <f t="shared" si="70"/>
        <v>H181902H181902</v>
      </c>
      <c r="B2205" t="str">
        <f t="shared" si="71"/>
        <v>H181902W5743HE-B</v>
      </c>
      <c r="C2205" s="27" t="s">
        <v>642</v>
      </c>
      <c r="D2205" s="27" t="s">
        <v>643</v>
      </c>
      <c r="E2205" s="1" t="s">
        <v>2315</v>
      </c>
      <c r="F2205" s="1" t="s">
        <v>431</v>
      </c>
      <c r="G2205" s="1" t="s">
        <v>404</v>
      </c>
      <c r="H2205" s="1">
        <v>282</v>
      </c>
      <c r="I2205" s="3">
        <v>46275</v>
      </c>
      <c r="J2205" s="3">
        <v>46288</v>
      </c>
      <c r="K2205" s="3" t="s">
        <v>2371</v>
      </c>
      <c r="L2205" s="31">
        <v>46275.733081053237</v>
      </c>
      <c r="M2205" s="20">
        <v>12</v>
      </c>
      <c r="N2205" s="1">
        <v>15</v>
      </c>
    </row>
    <row r="2206" spans="1:14" x14ac:dyDescent="0.25">
      <c r="A2206" t="str">
        <f t="shared" si="70"/>
        <v>H181902H181902</v>
      </c>
      <c r="B2206" t="str">
        <f t="shared" si="71"/>
        <v>H181902W5743HE-B</v>
      </c>
      <c r="C2206" s="27" t="s">
        <v>642</v>
      </c>
      <c r="D2206" s="27" t="s">
        <v>643</v>
      </c>
      <c r="E2206" s="1" t="s">
        <v>2315</v>
      </c>
      <c r="F2206" s="1" t="s">
        <v>431</v>
      </c>
      <c r="G2206" s="1" t="s">
        <v>404</v>
      </c>
      <c r="H2206" s="1">
        <v>282</v>
      </c>
      <c r="I2206" s="3">
        <v>46275</v>
      </c>
      <c r="J2206" s="3">
        <v>46288</v>
      </c>
      <c r="K2206" s="3" t="s">
        <v>2371</v>
      </c>
      <c r="L2206" s="31">
        <v>46275.737280092588</v>
      </c>
      <c r="M2206" s="20">
        <v>12</v>
      </c>
      <c r="N2206" s="1">
        <v>10</v>
      </c>
    </row>
    <row r="2207" spans="1:14" x14ac:dyDescent="0.25">
      <c r="A2207" t="str">
        <f t="shared" si="70"/>
        <v>H189056H189056</v>
      </c>
      <c r="B2207" t="str">
        <f t="shared" si="71"/>
        <v>H189056G6032Z2-M</v>
      </c>
      <c r="C2207" s="27" t="s">
        <v>15</v>
      </c>
      <c r="D2207" s="27" t="s">
        <v>641</v>
      </c>
      <c r="E2207" s="1" t="s">
        <v>2294</v>
      </c>
      <c r="F2207" s="1" t="s">
        <v>2295</v>
      </c>
      <c r="G2207" s="1" t="s">
        <v>404</v>
      </c>
      <c r="H2207" s="1">
        <v>54</v>
      </c>
      <c r="I2207" s="3">
        <v>46275</v>
      </c>
      <c r="J2207" s="3">
        <v>46275</v>
      </c>
      <c r="K2207" s="3" t="s">
        <v>2368</v>
      </c>
      <c r="L2207" s="31">
        <v>46275.461843749996</v>
      </c>
      <c r="M2207" s="20">
        <v>12</v>
      </c>
      <c r="N2207" s="1">
        <v>3</v>
      </c>
    </row>
    <row r="2208" spans="1:14" x14ac:dyDescent="0.25">
      <c r="A2208" t="str">
        <f t="shared" si="70"/>
        <v>H189056H189056</v>
      </c>
      <c r="B2208" t="str">
        <f t="shared" si="71"/>
        <v>H189056G6032Z2-M</v>
      </c>
      <c r="C2208" s="27" t="s">
        <v>15</v>
      </c>
      <c r="D2208" s="27" t="s">
        <v>641</v>
      </c>
      <c r="E2208" s="1" t="s">
        <v>2294</v>
      </c>
      <c r="F2208" s="1" t="s">
        <v>2295</v>
      </c>
      <c r="G2208" s="1" t="s">
        <v>404</v>
      </c>
      <c r="H2208" s="1">
        <v>54</v>
      </c>
      <c r="I2208" s="3">
        <v>46275</v>
      </c>
      <c r="J2208" s="3">
        <v>46275</v>
      </c>
      <c r="K2208" s="3" t="s">
        <v>2368</v>
      </c>
      <c r="L2208" s="31">
        <v>46275.465262349535</v>
      </c>
      <c r="M2208" s="20">
        <v>6</v>
      </c>
      <c r="N2208" s="1">
        <v>4</v>
      </c>
    </row>
    <row r="2209" spans="1:14" x14ac:dyDescent="0.25">
      <c r="A2209" t="str">
        <f t="shared" si="70"/>
        <v>H189056H189056</v>
      </c>
      <c r="B2209" t="str">
        <f t="shared" si="71"/>
        <v>H189056G6032Z2-M</v>
      </c>
      <c r="C2209" s="27" t="s">
        <v>15</v>
      </c>
      <c r="D2209" s="27" t="s">
        <v>641</v>
      </c>
      <c r="E2209" s="1" t="s">
        <v>2294</v>
      </c>
      <c r="F2209" s="1" t="s">
        <v>2295</v>
      </c>
      <c r="G2209" s="1" t="s">
        <v>404</v>
      </c>
      <c r="H2209" s="1">
        <v>54</v>
      </c>
      <c r="I2209" s="3">
        <v>46275</v>
      </c>
      <c r="J2209" s="3">
        <v>46275</v>
      </c>
      <c r="K2209" s="3" t="s">
        <v>2368</v>
      </c>
      <c r="L2209" s="31">
        <v>46275.475315162032</v>
      </c>
      <c r="M2209" s="20">
        <v>6</v>
      </c>
      <c r="N2209" s="1">
        <v>5</v>
      </c>
    </row>
    <row r="2210" spans="1:14" x14ac:dyDescent="0.25">
      <c r="A2210" t="str">
        <f t="shared" si="70"/>
        <v>H189056H189056</v>
      </c>
      <c r="B2210" t="str">
        <f t="shared" si="71"/>
        <v>H189056G6032Z2-W</v>
      </c>
      <c r="C2210" s="27" t="s">
        <v>21</v>
      </c>
      <c r="D2210" s="27" t="s">
        <v>641</v>
      </c>
      <c r="E2210" s="1" t="s">
        <v>2294</v>
      </c>
      <c r="F2210" s="1" t="s">
        <v>2295</v>
      </c>
      <c r="G2210" s="1" t="s">
        <v>404</v>
      </c>
      <c r="H2210" s="1">
        <v>90</v>
      </c>
      <c r="I2210" s="3">
        <v>46275</v>
      </c>
      <c r="J2210" s="3">
        <v>46275</v>
      </c>
      <c r="K2210" s="3" t="s">
        <v>2368</v>
      </c>
      <c r="L2210" s="31">
        <v>46275.47549409722</v>
      </c>
      <c r="M2210" s="20">
        <v>12</v>
      </c>
      <c r="N2210" s="1">
        <v>9</v>
      </c>
    </row>
    <row r="2211" spans="1:14" x14ac:dyDescent="0.25">
      <c r="A2211" t="str">
        <f t="shared" si="70"/>
        <v>H189056H189056</v>
      </c>
      <c r="B2211" t="str">
        <f t="shared" si="71"/>
        <v>H189056G6032Z2-W</v>
      </c>
      <c r="C2211" s="27" t="s">
        <v>21</v>
      </c>
      <c r="D2211" s="27" t="s">
        <v>641</v>
      </c>
      <c r="E2211" s="1" t="s">
        <v>2294</v>
      </c>
      <c r="F2211" s="1" t="s">
        <v>2295</v>
      </c>
      <c r="G2211" s="1" t="s">
        <v>404</v>
      </c>
      <c r="H2211" s="1">
        <v>90</v>
      </c>
      <c r="I2211" s="3">
        <v>46275</v>
      </c>
      <c r="J2211" s="3">
        <v>46275</v>
      </c>
      <c r="K2211" s="3" t="s">
        <v>2368</v>
      </c>
      <c r="L2211" s="31">
        <v>46275.555695405092</v>
      </c>
      <c r="M2211" s="20">
        <v>12</v>
      </c>
      <c r="N2211" s="1">
        <v>7</v>
      </c>
    </row>
    <row r="2212" spans="1:14" x14ac:dyDescent="0.25">
      <c r="A2212" t="str">
        <f t="shared" si="70"/>
        <v>H189056H189056</v>
      </c>
      <c r="B2212" t="str">
        <f t="shared" si="71"/>
        <v>H189056G6032Z2-W</v>
      </c>
      <c r="C2212" s="27" t="s">
        <v>21</v>
      </c>
      <c r="D2212" s="27" t="s">
        <v>641</v>
      </c>
      <c r="E2212" s="1" t="s">
        <v>2294</v>
      </c>
      <c r="F2212" s="1" t="s">
        <v>2295</v>
      </c>
      <c r="G2212" s="1" t="s">
        <v>404</v>
      </c>
      <c r="H2212" s="1">
        <v>90</v>
      </c>
      <c r="I2212" s="3">
        <v>46275</v>
      </c>
      <c r="J2212" s="3">
        <v>46275</v>
      </c>
      <c r="K2212" s="3" t="s">
        <v>2368</v>
      </c>
      <c r="L2212" s="31">
        <v>46275.565466284723</v>
      </c>
      <c r="M2212" s="20">
        <v>6</v>
      </c>
      <c r="N2212" s="1">
        <v>13</v>
      </c>
    </row>
    <row r="2213" spans="1:14" x14ac:dyDescent="0.25">
      <c r="A2213" t="str">
        <f t="shared" si="70"/>
        <v>H189056H189056</v>
      </c>
      <c r="B2213" t="str">
        <f t="shared" si="71"/>
        <v>H189056G6032Z2-W</v>
      </c>
      <c r="C2213" s="27" t="s">
        <v>21</v>
      </c>
      <c r="D2213" s="27" t="s">
        <v>641</v>
      </c>
      <c r="E2213" s="1" t="s">
        <v>2294</v>
      </c>
      <c r="F2213" s="1" t="s">
        <v>2295</v>
      </c>
      <c r="G2213" s="1" t="s">
        <v>404</v>
      </c>
      <c r="H2213" s="1">
        <v>90</v>
      </c>
      <c r="I2213" s="3">
        <v>46275</v>
      </c>
      <c r="J2213" s="3">
        <v>46275</v>
      </c>
      <c r="K2213" s="3" t="s">
        <v>2368</v>
      </c>
      <c r="L2213" s="31">
        <v>46275.565873807871</v>
      </c>
      <c r="M2213" s="20">
        <v>6</v>
      </c>
      <c r="N2213" s="1">
        <v>14</v>
      </c>
    </row>
    <row r="2214" spans="1:14" x14ac:dyDescent="0.25">
      <c r="A2214" t="str">
        <f t="shared" si="70"/>
        <v>H189056H189056</v>
      </c>
      <c r="B2214" t="str">
        <f t="shared" si="71"/>
        <v>H189056G6032Z2-W</v>
      </c>
      <c r="C2214" s="27" t="s">
        <v>21</v>
      </c>
      <c r="D2214" s="27" t="s">
        <v>641</v>
      </c>
      <c r="E2214" s="1" t="s">
        <v>2294</v>
      </c>
      <c r="F2214" s="1" t="s">
        <v>2295</v>
      </c>
      <c r="G2214" s="1" t="s">
        <v>404</v>
      </c>
      <c r="H2214" s="1">
        <v>90</v>
      </c>
      <c r="I2214" s="3">
        <v>46275</v>
      </c>
      <c r="J2214" s="3">
        <v>46275</v>
      </c>
      <c r="K2214" s="3" t="s">
        <v>2368</v>
      </c>
      <c r="L2214" s="31">
        <v>46275.581668252315</v>
      </c>
      <c r="M2214" s="20">
        <v>12</v>
      </c>
      <c r="N2214" s="1">
        <v>12</v>
      </c>
    </row>
    <row r="2215" spans="1:14" x14ac:dyDescent="0.25">
      <c r="A2215" t="str">
        <f t="shared" si="70"/>
        <v>H189056H189056</v>
      </c>
      <c r="B2215" t="str">
        <f t="shared" si="71"/>
        <v>H189056G6032Z2-M</v>
      </c>
      <c r="C2215" s="27" t="s">
        <v>15</v>
      </c>
      <c r="D2215" s="27" t="s">
        <v>641</v>
      </c>
      <c r="E2215" s="1" t="s">
        <v>2294</v>
      </c>
      <c r="F2215" s="1" t="s">
        <v>2295</v>
      </c>
      <c r="G2215" s="1" t="s">
        <v>404</v>
      </c>
      <c r="H2215" s="1">
        <v>54</v>
      </c>
      <c r="I2215" s="3">
        <v>46275</v>
      </c>
      <c r="J2215" s="3">
        <v>46275</v>
      </c>
      <c r="K2215" s="3" t="s">
        <v>2368</v>
      </c>
      <c r="L2215" s="31">
        <v>46275.581882407409</v>
      </c>
      <c r="M2215" s="20">
        <v>6</v>
      </c>
      <c r="N2215" s="1">
        <v>6</v>
      </c>
    </row>
    <row r="2216" spans="1:14" x14ac:dyDescent="0.25">
      <c r="A2216" t="str">
        <f t="shared" si="70"/>
        <v>H189056H189056</v>
      </c>
      <c r="B2216" t="str">
        <f t="shared" si="71"/>
        <v>H189056G6032Z2-M</v>
      </c>
      <c r="C2216" s="27" t="s">
        <v>15</v>
      </c>
      <c r="D2216" s="27" t="s">
        <v>641</v>
      </c>
      <c r="E2216" s="1" t="s">
        <v>2294</v>
      </c>
      <c r="F2216" s="1" t="s">
        <v>2295</v>
      </c>
      <c r="G2216" s="1" t="s">
        <v>404</v>
      </c>
      <c r="H2216" s="1">
        <v>54</v>
      </c>
      <c r="I2216" s="3">
        <v>46275</v>
      </c>
      <c r="J2216" s="3">
        <v>46275</v>
      </c>
      <c r="K2216" s="3" t="s">
        <v>2368</v>
      </c>
      <c r="L2216" s="31">
        <v>46275.593966782406</v>
      </c>
      <c r="M2216" s="20">
        <v>12</v>
      </c>
      <c r="N2216" s="1">
        <v>2</v>
      </c>
    </row>
    <row r="2217" spans="1:14" x14ac:dyDescent="0.25">
      <c r="A2217" t="str">
        <f t="shared" si="70"/>
        <v>H189056H189056</v>
      </c>
      <c r="B2217" t="str">
        <f t="shared" si="71"/>
        <v>H189056G6032Z2-W</v>
      </c>
      <c r="C2217" s="27" t="s">
        <v>21</v>
      </c>
      <c r="D2217" s="27" t="s">
        <v>641</v>
      </c>
      <c r="E2217" s="1" t="s">
        <v>2294</v>
      </c>
      <c r="F2217" s="1" t="s">
        <v>2295</v>
      </c>
      <c r="G2217" s="1" t="s">
        <v>404</v>
      </c>
      <c r="H2217" s="1">
        <v>90</v>
      </c>
      <c r="I2217" s="3">
        <v>46275</v>
      </c>
      <c r="J2217" s="3">
        <v>46275</v>
      </c>
      <c r="K2217" s="3" t="s">
        <v>2368</v>
      </c>
      <c r="L2217" s="31">
        <v>46275.640071562499</v>
      </c>
      <c r="M2217" s="20">
        <v>12</v>
      </c>
      <c r="N2217" s="1">
        <v>10</v>
      </c>
    </row>
    <row r="2218" spans="1:14" x14ac:dyDescent="0.25">
      <c r="A2218" t="str">
        <f t="shared" si="70"/>
        <v>H189056H189056</v>
      </c>
      <c r="B2218" t="str">
        <f t="shared" si="71"/>
        <v>H189056G6032Z2-W</v>
      </c>
      <c r="C2218" s="27" t="s">
        <v>21</v>
      </c>
      <c r="D2218" s="27" t="s">
        <v>641</v>
      </c>
      <c r="E2218" s="1" t="s">
        <v>2294</v>
      </c>
      <c r="F2218" s="1" t="s">
        <v>2295</v>
      </c>
      <c r="G2218" s="1" t="s">
        <v>404</v>
      </c>
      <c r="H2218" s="1">
        <v>90</v>
      </c>
      <c r="I2218" s="3">
        <v>46275</v>
      </c>
      <c r="J2218" s="3">
        <v>46275</v>
      </c>
      <c r="K2218" s="3" t="s">
        <v>2368</v>
      </c>
      <c r="L2218" s="31">
        <v>46275.64353267361</v>
      </c>
      <c r="M2218" s="20">
        <v>12</v>
      </c>
      <c r="N2218" s="1">
        <v>11</v>
      </c>
    </row>
    <row r="2219" spans="1:14" x14ac:dyDescent="0.25">
      <c r="A2219" t="str">
        <f t="shared" si="70"/>
        <v>H189056H189056</v>
      </c>
      <c r="B2219" t="str">
        <f t="shared" si="71"/>
        <v>H189056G6032Z2-W</v>
      </c>
      <c r="C2219" s="27" t="s">
        <v>21</v>
      </c>
      <c r="D2219" s="27" t="s">
        <v>641</v>
      </c>
      <c r="E2219" s="1" t="s">
        <v>2294</v>
      </c>
      <c r="F2219" s="1" t="s">
        <v>2295</v>
      </c>
      <c r="G2219" s="1" t="s">
        <v>404</v>
      </c>
      <c r="H2219" s="1">
        <v>90</v>
      </c>
      <c r="I2219" s="3">
        <v>46275</v>
      </c>
      <c r="J2219" s="3">
        <v>46275</v>
      </c>
      <c r="K2219" s="3" t="s">
        <v>2368</v>
      </c>
      <c r="L2219" s="31">
        <v>46275.643884803241</v>
      </c>
      <c r="M2219" s="20">
        <v>12</v>
      </c>
      <c r="N2219" s="1">
        <v>8</v>
      </c>
    </row>
    <row r="2220" spans="1:14" x14ac:dyDescent="0.25">
      <c r="A2220" t="str">
        <f t="shared" si="70"/>
        <v>H189056H189056</v>
      </c>
      <c r="B2220" t="str">
        <f t="shared" si="71"/>
        <v>H189056G6032Z2-W</v>
      </c>
      <c r="C2220" s="27" t="s">
        <v>21</v>
      </c>
      <c r="D2220" s="27" t="s">
        <v>641</v>
      </c>
      <c r="E2220" s="1" t="s">
        <v>2294</v>
      </c>
      <c r="F2220" s="1" t="s">
        <v>2295</v>
      </c>
      <c r="G2220" s="1" t="s">
        <v>404</v>
      </c>
      <c r="H2220" s="1">
        <v>90</v>
      </c>
      <c r="I2220" s="3">
        <v>46275</v>
      </c>
      <c r="J2220" s="3">
        <v>46275</v>
      </c>
      <c r="K2220" s="3" t="s">
        <v>2368</v>
      </c>
      <c r="L2220" s="31">
        <v>46275.650024386574</v>
      </c>
      <c r="M2220" s="20">
        <v>6</v>
      </c>
      <c r="N2220" s="1">
        <v>15</v>
      </c>
    </row>
    <row r="2221" spans="1:14" x14ac:dyDescent="0.25">
      <c r="A2221" t="str">
        <f t="shared" si="70"/>
        <v>H189056H189056</v>
      </c>
      <c r="B2221" t="str">
        <f t="shared" si="71"/>
        <v>H189056G6032Z2-M</v>
      </c>
      <c r="C2221" s="27" t="s">
        <v>15</v>
      </c>
      <c r="D2221" s="27" t="s">
        <v>641</v>
      </c>
      <c r="E2221" s="1" t="s">
        <v>2294</v>
      </c>
      <c r="F2221" s="1" t="s">
        <v>2295</v>
      </c>
      <c r="G2221" s="1" t="s">
        <v>404</v>
      </c>
      <c r="H2221" s="1">
        <v>54</v>
      </c>
      <c r="I2221" s="3">
        <v>46275</v>
      </c>
      <c r="J2221" s="3">
        <v>46275</v>
      </c>
      <c r="K2221" s="3" t="s">
        <v>2368</v>
      </c>
      <c r="L2221" s="31">
        <v>46275.662743981477</v>
      </c>
      <c r="M2221" s="20">
        <v>12</v>
      </c>
      <c r="N2221" s="1">
        <v>1</v>
      </c>
    </row>
    <row r="2222" spans="1:14" x14ac:dyDescent="0.25">
      <c r="A2222" t="str">
        <f t="shared" si="70"/>
        <v>H189175H189175</v>
      </c>
      <c r="B2222" t="str">
        <f t="shared" si="71"/>
        <v>H189175G6032Z2-M</v>
      </c>
      <c r="C2222" s="27" t="s">
        <v>15</v>
      </c>
      <c r="D2222" s="27" t="s">
        <v>630</v>
      </c>
      <c r="E2222" s="1" t="s">
        <v>414</v>
      </c>
      <c r="F2222" s="1" t="s">
        <v>415</v>
      </c>
      <c r="G2222" s="1" t="s">
        <v>404</v>
      </c>
      <c r="H2222" s="1">
        <v>198</v>
      </c>
      <c r="I2222" s="3">
        <v>46275</v>
      </c>
      <c r="J2222" s="3">
        <v>46279</v>
      </c>
      <c r="K2222" s="3" t="s">
        <v>2362</v>
      </c>
      <c r="L2222" s="31">
        <v>46275.567474074072</v>
      </c>
      <c r="M2222" s="20">
        <v>12</v>
      </c>
      <c r="N2222" s="1">
        <v>11</v>
      </c>
    </row>
    <row r="2223" spans="1:14" x14ac:dyDescent="0.25">
      <c r="A2223" t="str">
        <f t="shared" si="70"/>
        <v>H189175H189175</v>
      </c>
      <c r="B2223" t="str">
        <f t="shared" si="71"/>
        <v>H189175G6032Z2-M</v>
      </c>
      <c r="C2223" s="27" t="s">
        <v>15</v>
      </c>
      <c r="D2223" s="27" t="s">
        <v>630</v>
      </c>
      <c r="E2223" s="1" t="s">
        <v>414</v>
      </c>
      <c r="F2223" s="1" t="s">
        <v>415</v>
      </c>
      <c r="G2223" s="1" t="s">
        <v>404</v>
      </c>
      <c r="H2223" s="1">
        <v>198</v>
      </c>
      <c r="I2223" s="3">
        <v>46275</v>
      </c>
      <c r="J2223" s="3">
        <v>46279</v>
      </c>
      <c r="K2223" s="3" t="s">
        <v>2362</v>
      </c>
      <c r="L2223" s="31">
        <v>46275.568852083328</v>
      </c>
      <c r="M2223" s="20">
        <v>12</v>
      </c>
      <c r="N2223" s="1">
        <v>6</v>
      </c>
    </row>
    <row r="2224" spans="1:14" x14ac:dyDescent="0.25">
      <c r="A2224" t="str">
        <f t="shared" si="70"/>
        <v>H189175H189175</v>
      </c>
      <c r="B2224" t="str">
        <f t="shared" si="71"/>
        <v>H189175G6032Z2-M</v>
      </c>
      <c r="C2224" s="27" t="s">
        <v>15</v>
      </c>
      <c r="D2224" s="27" t="s">
        <v>630</v>
      </c>
      <c r="E2224" s="1" t="s">
        <v>414</v>
      </c>
      <c r="F2224" s="1" t="s">
        <v>415</v>
      </c>
      <c r="G2224" s="1" t="s">
        <v>404</v>
      </c>
      <c r="H2224" s="1">
        <v>198</v>
      </c>
      <c r="I2224" s="3">
        <v>46275</v>
      </c>
      <c r="J2224" s="3">
        <v>46279</v>
      </c>
      <c r="K2224" s="3" t="s">
        <v>2362</v>
      </c>
      <c r="L2224" s="31">
        <v>46275.583939618053</v>
      </c>
      <c r="M2224" s="20">
        <v>12</v>
      </c>
      <c r="N2224" s="1">
        <v>2</v>
      </c>
    </row>
    <row r="2225" spans="1:14" x14ac:dyDescent="0.25">
      <c r="A2225" t="str">
        <f t="shared" si="70"/>
        <v>H189175H189175</v>
      </c>
      <c r="B2225" t="str">
        <f t="shared" si="71"/>
        <v>H189175G6032Z2-M</v>
      </c>
      <c r="C2225" s="27" t="s">
        <v>15</v>
      </c>
      <c r="D2225" s="27" t="s">
        <v>630</v>
      </c>
      <c r="E2225" s="1" t="s">
        <v>414</v>
      </c>
      <c r="F2225" s="1" t="s">
        <v>415</v>
      </c>
      <c r="G2225" s="1" t="s">
        <v>404</v>
      </c>
      <c r="H2225" s="1">
        <v>198</v>
      </c>
      <c r="I2225" s="3">
        <v>46275</v>
      </c>
      <c r="J2225" s="3">
        <v>46279</v>
      </c>
      <c r="K2225" s="3" t="s">
        <v>2362</v>
      </c>
      <c r="L2225" s="31">
        <v>46275.584991203701</v>
      </c>
      <c r="M2225" s="20">
        <v>12</v>
      </c>
      <c r="N2225" s="1">
        <v>7</v>
      </c>
    </row>
    <row r="2226" spans="1:14" x14ac:dyDescent="0.25">
      <c r="A2226" t="str">
        <f t="shared" si="70"/>
        <v>H189175H189175</v>
      </c>
      <c r="B2226" t="str">
        <f t="shared" si="71"/>
        <v>H189175G6032Z2-M</v>
      </c>
      <c r="C2226" s="27" t="s">
        <v>15</v>
      </c>
      <c r="D2226" s="27" t="s">
        <v>630</v>
      </c>
      <c r="E2226" s="1" t="s">
        <v>414</v>
      </c>
      <c r="F2226" s="1" t="s">
        <v>415</v>
      </c>
      <c r="G2226" s="1" t="s">
        <v>404</v>
      </c>
      <c r="H2226" s="1">
        <v>198</v>
      </c>
      <c r="I2226" s="3">
        <v>46275</v>
      </c>
      <c r="J2226" s="3">
        <v>46279</v>
      </c>
      <c r="K2226" s="3" t="s">
        <v>2362</v>
      </c>
      <c r="L2226" s="31">
        <v>46275.588855706017</v>
      </c>
      <c r="M2226" s="20">
        <v>12</v>
      </c>
      <c r="N2226" s="1">
        <v>8</v>
      </c>
    </row>
    <row r="2227" spans="1:14" x14ac:dyDescent="0.25">
      <c r="A2227" t="str">
        <f t="shared" si="70"/>
        <v>H189175H189175</v>
      </c>
      <c r="B2227" t="str">
        <f t="shared" si="71"/>
        <v>H189175G6032Z2-M</v>
      </c>
      <c r="C2227" s="27" t="s">
        <v>15</v>
      </c>
      <c r="D2227" s="27" t="s">
        <v>630</v>
      </c>
      <c r="E2227" s="1" t="s">
        <v>414</v>
      </c>
      <c r="F2227" s="1" t="s">
        <v>415</v>
      </c>
      <c r="G2227" s="1" t="s">
        <v>404</v>
      </c>
      <c r="H2227" s="1">
        <v>198</v>
      </c>
      <c r="I2227" s="3">
        <v>46275</v>
      </c>
      <c r="J2227" s="3">
        <v>46279</v>
      </c>
      <c r="K2227" s="3" t="s">
        <v>2362</v>
      </c>
      <c r="L2227" s="31">
        <v>46275.59363920139</v>
      </c>
      <c r="M2227" s="20">
        <v>12</v>
      </c>
      <c r="N2227" s="1">
        <v>3</v>
      </c>
    </row>
    <row r="2228" spans="1:14" x14ac:dyDescent="0.25">
      <c r="A2228" t="str">
        <f t="shared" si="70"/>
        <v>H189175H189175</v>
      </c>
      <c r="B2228" t="str">
        <f t="shared" si="71"/>
        <v>H189175G6032Z2-M</v>
      </c>
      <c r="C2228" s="27" t="s">
        <v>15</v>
      </c>
      <c r="D2228" s="27" t="s">
        <v>630</v>
      </c>
      <c r="E2228" s="1" t="s">
        <v>414</v>
      </c>
      <c r="F2228" s="1" t="s">
        <v>415</v>
      </c>
      <c r="G2228" s="1" t="s">
        <v>404</v>
      </c>
      <c r="H2228" s="1">
        <v>198</v>
      </c>
      <c r="I2228" s="3">
        <v>46275</v>
      </c>
      <c r="J2228" s="3">
        <v>46279</v>
      </c>
      <c r="K2228" s="3" t="s">
        <v>2362</v>
      </c>
      <c r="L2228" s="31">
        <v>46275.595076192127</v>
      </c>
      <c r="M2228" s="20">
        <v>12</v>
      </c>
      <c r="N2228" s="1">
        <v>13</v>
      </c>
    </row>
    <row r="2229" spans="1:14" x14ac:dyDescent="0.25">
      <c r="A2229" t="str">
        <f t="shared" si="70"/>
        <v>H189175H189175</v>
      </c>
      <c r="B2229" t="str">
        <f t="shared" si="71"/>
        <v>H189175G6032Z2-M</v>
      </c>
      <c r="C2229" s="27" t="s">
        <v>15</v>
      </c>
      <c r="D2229" s="27" t="s">
        <v>630</v>
      </c>
      <c r="E2229" s="1" t="s">
        <v>414</v>
      </c>
      <c r="F2229" s="1" t="s">
        <v>415</v>
      </c>
      <c r="G2229" s="1" t="s">
        <v>404</v>
      </c>
      <c r="H2229" s="1">
        <v>198</v>
      </c>
      <c r="I2229" s="3">
        <v>46275</v>
      </c>
      <c r="J2229" s="3">
        <v>46279</v>
      </c>
      <c r="K2229" s="3" t="s">
        <v>2362</v>
      </c>
      <c r="L2229" s="31">
        <v>46275.611500462961</v>
      </c>
      <c r="M2229" s="20">
        <v>12</v>
      </c>
      <c r="N2229" s="1">
        <v>4</v>
      </c>
    </row>
    <row r="2230" spans="1:14" x14ac:dyDescent="0.25">
      <c r="A2230" t="str">
        <f t="shared" si="70"/>
        <v>H189175H189175</v>
      </c>
      <c r="B2230" t="str">
        <f t="shared" si="71"/>
        <v>H189175G6032Z2-M</v>
      </c>
      <c r="C2230" s="27" t="s">
        <v>15</v>
      </c>
      <c r="D2230" s="27" t="s">
        <v>630</v>
      </c>
      <c r="E2230" s="1" t="s">
        <v>414</v>
      </c>
      <c r="F2230" s="1" t="s">
        <v>415</v>
      </c>
      <c r="G2230" s="1" t="s">
        <v>404</v>
      </c>
      <c r="H2230" s="1">
        <v>198</v>
      </c>
      <c r="I2230" s="3">
        <v>46275</v>
      </c>
      <c r="J2230" s="3">
        <v>46279</v>
      </c>
      <c r="K2230" s="3" t="s">
        <v>2362</v>
      </c>
      <c r="L2230" s="31">
        <v>46275.612594479164</v>
      </c>
      <c r="M2230" s="20">
        <v>12</v>
      </c>
      <c r="N2230" s="1">
        <v>9</v>
      </c>
    </row>
    <row r="2231" spans="1:14" x14ac:dyDescent="0.25">
      <c r="A2231" t="str">
        <f t="shared" si="70"/>
        <v>H189175H189175</v>
      </c>
      <c r="B2231" t="str">
        <f t="shared" si="71"/>
        <v>H189175G6032Z2-M</v>
      </c>
      <c r="C2231" s="27" t="s">
        <v>15</v>
      </c>
      <c r="D2231" s="27" t="s">
        <v>630</v>
      </c>
      <c r="E2231" s="1" t="s">
        <v>414</v>
      </c>
      <c r="F2231" s="1" t="s">
        <v>415</v>
      </c>
      <c r="G2231" s="1" t="s">
        <v>404</v>
      </c>
      <c r="H2231" s="1">
        <v>198</v>
      </c>
      <c r="I2231" s="3">
        <v>46275</v>
      </c>
      <c r="J2231" s="3">
        <v>46279</v>
      </c>
      <c r="K2231" s="3" t="s">
        <v>2362</v>
      </c>
      <c r="L2231" s="31">
        <v>46275.61400494213</v>
      </c>
      <c r="M2231" s="20">
        <v>12</v>
      </c>
      <c r="N2231" s="1">
        <v>5</v>
      </c>
    </row>
    <row r="2232" spans="1:14" x14ac:dyDescent="0.25">
      <c r="A2232" t="str">
        <f t="shared" si="70"/>
        <v>H189175H189175</v>
      </c>
      <c r="B2232" t="str">
        <f t="shared" si="71"/>
        <v>H189175G6032Z2-M</v>
      </c>
      <c r="C2232" s="27" t="s">
        <v>15</v>
      </c>
      <c r="D2232" s="27" t="s">
        <v>630</v>
      </c>
      <c r="E2232" s="1" t="s">
        <v>414</v>
      </c>
      <c r="F2232" s="1" t="s">
        <v>415</v>
      </c>
      <c r="G2232" s="1" t="s">
        <v>404</v>
      </c>
      <c r="H2232" s="1">
        <v>198</v>
      </c>
      <c r="I2232" s="3">
        <v>46275</v>
      </c>
      <c r="J2232" s="3">
        <v>46279</v>
      </c>
      <c r="K2232" s="3" t="s">
        <v>2362</v>
      </c>
      <c r="L2232" s="31">
        <v>46275.614214664347</v>
      </c>
      <c r="M2232" s="20">
        <v>12</v>
      </c>
      <c r="N2232" s="1">
        <v>12</v>
      </c>
    </row>
    <row r="2233" spans="1:14" x14ac:dyDescent="0.25">
      <c r="A2233" t="str">
        <f t="shared" si="70"/>
        <v>H189175H189175</v>
      </c>
      <c r="B2233" t="str">
        <f t="shared" si="71"/>
        <v>H189175G6032Z2-M</v>
      </c>
      <c r="C2233" s="27" t="s">
        <v>15</v>
      </c>
      <c r="D2233" s="27" t="s">
        <v>630</v>
      </c>
      <c r="E2233" s="1" t="s">
        <v>414</v>
      </c>
      <c r="F2233" s="1" t="s">
        <v>415</v>
      </c>
      <c r="G2233" s="1" t="s">
        <v>404</v>
      </c>
      <c r="H2233" s="1">
        <v>198</v>
      </c>
      <c r="I2233" s="3">
        <v>46275</v>
      </c>
      <c r="J2233" s="3">
        <v>46279</v>
      </c>
      <c r="K2233" s="3" t="s">
        <v>2362</v>
      </c>
      <c r="L2233" s="31">
        <v>46275.639674733793</v>
      </c>
      <c r="M2233" s="20">
        <v>12</v>
      </c>
      <c r="N2233" s="1">
        <v>10</v>
      </c>
    </row>
    <row r="2234" spans="1:14" x14ac:dyDescent="0.25">
      <c r="A2234" t="str">
        <f t="shared" si="70"/>
        <v>H189175H189175</v>
      </c>
      <c r="B2234" t="str">
        <f t="shared" si="71"/>
        <v>H189175G6032Z2-M</v>
      </c>
      <c r="C2234" s="27" t="s">
        <v>15</v>
      </c>
      <c r="D2234" s="27" t="s">
        <v>630</v>
      </c>
      <c r="E2234" s="1" t="s">
        <v>414</v>
      </c>
      <c r="F2234" s="1" t="s">
        <v>415</v>
      </c>
      <c r="G2234" s="1" t="s">
        <v>404</v>
      </c>
      <c r="H2234" s="1">
        <v>198</v>
      </c>
      <c r="I2234" s="3">
        <v>46275</v>
      </c>
      <c r="J2234" s="3">
        <v>46279</v>
      </c>
      <c r="K2234" s="3" t="s">
        <v>2362</v>
      </c>
      <c r="L2234" s="31">
        <v>46275.660738738421</v>
      </c>
      <c r="M2234" s="20">
        <v>12</v>
      </c>
      <c r="N2234" s="1">
        <v>1</v>
      </c>
    </row>
    <row r="2235" spans="1:14" x14ac:dyDescent="0.25">
      <c r="A2235" t="str">
        <f t="shared" si="70"/>
        <v>H189175H189175</v>
      </c>
      <c r="B2235" t="str">
        <f t="shared" si="71"/>
        <v>H189175G6032Z2-M</v>
      </c>
      <c r="C2235" s="27" t="s">
        <v>15</v>
      </c>
      <c r="D2235" s="27" t="s">
        <v>630</v>
      </c>
      <c r="E2235" s="1" t="s">
        <v>414</v>
      </c>
      <c r="F2235" s="1" t="s">
        <v>415</v>
      </c>
      <c r="G2235" s="1" t="s">
        <v>404</v>
      </c>
      <c r="H2235" s="1">
        <v>198</v>
      </c>
      <c r="I2235" s="3">
        <v>46275</v>
      </c>
      <c r="J2235" s="3">
        <v>46279</v>
      </c>
      <c r="K2235" s="3" t="s">
        <v>2362</v>
      </c>
      <c r="L2235" s="31">
        <v>46275.660927199075</v>
      </c>
      <c r="M2235" s="20">
        <v>12</v>
      </c>
      <c r="N2235" s="1">
        <v>14</v>
      </c>
    </row>
    <row r="2236" spans="1:14" x14ac:dyDescent="0.25">
      <c r="A2236" t="str">
        <f t="shared" si="70"/>
        <v>U146407U146407</v>
      </c>
      <c r="B2236" t="str">
        <f t="shared" si="71"/>
        <v>U146407G6035F4-M</v>
      </c>
      <c r="C2236" s="27" t="s">
        <v>24</v>
      </c>
      <c r="D2236" s="27" t="s">
        <v>633</v>
      </c>
      <c r="E2236" s="1" t="s">
        <v>436</v>
      </c>
      <c r="F2236" s="1" t="s">
        <v>440</v>
      </c>
      <c r="G2236" s="1" t="s">
        <v>438</v>
      </c>
      <c r="H2236" s="1">
        <v>708</v>
      </c>
      <c r="I2236" s="3">
        <v>46275</v>
      </c>
      <c r="J2236" s="3">
        <v>46282</v>
      </c>
      <c r="K2236" s="3" t="s">
        <v>2370</v>
      </c>
      <c r="L2236" s="31">
        <v>46275.35185825231</v>
      </c>
      <c r="M2236" s="20">
        <v>12</v>
      </c>
      <c r="N2236" s="1">
        <v>25</v>
      </c>
    </row>
    <row r="2237" spans="1:14" x14ac:dyDescent="0.25">
      <c r="A2237" t="str">
        <f t="shared" si="70"/>
        <v>U146407U146407</v>
      </c>
      <c r="B2237" t="str">
        <f t="shared" si="71"/>
        <v>U146407G6035F4-M</v>
      </c>
      <c r="C2237" s="27" t="s">
        <v>24</v>
      </c>
      <c r="D2237" s="27" t="s">
        <v>633</v>
      </c>
      <c r="E2237" s="1" t="s">
        <v>436</v>
      </c>
      <c r="F2237" s="1" t="s">
        <v>440</v>
      </c>
      <c r="G2237" s="1" t="s">
        <v>438</v>
      </c>
      <c r="H2237" s="1">
        <v>708</v>
      </c>
      <c r="I2237" s="3">
        <v>46275</v>
      </c>
      <c r="J2237" s="3">
        <v>46282</v>
      </c>
      <c r="K2237" s="3" t="s">
        <v>2370</v>
      </c>
      <c r="L2237" s="31">
        <v>46275.374586921294</v>
      </c>
      <c r="M2237" s="20">
        <v>12</v>
      </c>
      <c r="N2237" s="1">
        <v>55</v>
      </c>
    </row>
    <row r="2238" spans="1:14" x14ac:dyDescent="0.25">
      <c r="A2238" t="str">
        <f t="shared" si="70"/>
        <v>U146407U146407</v>
      </c>
      <c r="B2238" t="str">
        <f t="shared" si="71"/>
        <v>U146407G6035F4-M</v>
      </c>
      <c r="C2238" s="27" t="s">
        <v>24</v>
      </c>
      <c r="D2238" s="27" t="s">
        <v>633</v>
      </c>
      <c r="E2238" s="1" t="s">
        <v>436</v>
      </c>
      <c r="F2238" s="1" t="s">
        <v>440</v>
      </c>
      <c r="G2238" s="1" t="s">
        <v>438</v>
      </c>
      <c r="H2238" s="1">
        <v>708</v>
      </c>
      <c r="I2238" s="3">
        <v>46275</v>
      </c>
      <c r="J2238" s="3">
        <v>46282</v>
      </c>
      <c r="K2238" s="3" t="s">
        <v>2370</v>
      </c>
      <c r="L2238" s="31">
        <v>46275.374815659721</v>
      </c>
      <c r="M2238" s="20">
        <v>12</v>
      </c>
      <c r="N2238" s="1">
        <v>26</v>
      </c>
    </row>
    <row r="2239" spans="1:14" x14ac:dyDescent="0.25">
      <c r="A2239" t="str">
        <f t="shared" si="70"/>
        <v>U146407U146407</v>
      </c>
      <c r="B2239" t="str">
        <f t="shared" si="71"/>
        <v>U146407G6035F4-M</v>
      </c>
      <c r="C2239" s="27" t="s">
        <v>24</v>
      </c>
      <c r="D2239" s="27" t="s">
        <v>633</v>
      </c>
      <c r="E2239" s="1" t="s">
        <v>436</v>
      </c>
      <c r="F2239" s="1" t="s">
        <v>440</v>
      </c>
      <c r="G2239" s="1" t="s">
        <v>438</v>
      </c>
      <c r="H2239" s="1">
        <v>708</v>
      </c>
      <c r="I2239" s="3">
        <v>46275</v>
      </c>
      <c r="J2239" s="3">
        <v>46282</v>
      </c>
      <c r="K2239" s="3" t="s">
        <v>2370</v>
      </c>
      <c r="L2239" s="31">
        <v>46275.38818425926</v>
      </c>
      <c r="M2239" s="20">
        <v>12</v>
      </c>
      <c r="N2239" s="1">
        <v>42</v>
      </c>
    </row>
    <row r="2240" spans="1:14" x14ac:dyDescent="0.25">
      <c r="A2240" t="str">
        <f t="shared" si="70"/>
        <v>U146407U146407</v>
      </c>
      <c r="B2240" t="str">
        <f t="shared" si="71"/>
        <v>U146407G6035F4-M</v>
      </c>
      <c r="C2240" s="27" t="s">
        <v>24</v>
      </c>
      <c r="D2240" s="27" t="s">
        <v>633</v>
      </c>
      <c r="E2240" s="1" t="s">
        <v>436</v>
      </c>
      <c r="F2240" s="1" t="s">
        <v>440</v>
      </c>
      <c r="G2240" s="1" t="s">
        <v>438</v>
      </c>
      <c r="H2240" s="1">
        <v>708</v>
      </c>
      <c r="I2240" s="3">
        <v>46275</v>
      </c>
      <c r="J2240" s="3">
        <v>46282</v>
      </c>
      <c r="K2240" s="3" t="s">
        <v>2370</v>
      </c>
      <c r="L2240" s="31">
        <v>46275.391218171295</v>
      </c>
      <c r="M2240" s="20">
        <v>12</v>
      </c>
      <c r="N2240" s="1">
        <v>34</v>
      </c>
    </row>
    <row r="2241" spans="1:14" x14ac:dyDescent="0.25">
      <c r="A2241" t="str">
        <f t="shared" si="70"/>
        <v>U146407U146407</v>
      </c>
      <c r="B2241" t="str">
        <f t="shared" si="71"/>
        <v>U146407G6035F4-M</v>
      </c>
      <c r="C2241" s="27" t="s">
        <v>24</v>
      </c>
      <c r="D2241" s="27" t="s">
        <v>633</v>
      </c>
      <c r="E2241" s="1" t="s">
        <v>436</v>
      </c>
      <c r="F2241" s="1" t="s">
        <v>440</v>
      </c>
      <c r="G2241" s="1" t="s">
        <v>438</v>
      </c>
      <c r="H2241" s="1">
        <v>708</v>
      </c>
      <c r="I2241" s="3">
        <v>46275</v>
      </c>
      <c r="J2241" s="3">
        <v>46282</v>
      </c>
      <c r="K2241" s="3" t="s">
        <v>2370</v>
      </c>
      <c r="L2241" s="31">
        <v>46275.395241203703</v>
      </c>
      <c r="M2241" s="20">
        <v>12</v>
      </c>
      <c r="N2241" s="1">
        <v>18</v>
      </c>
    </row>
    <row r="2242" spans="1:14" x14ac:dyDescent="0.25">
      <c r="A2242" t="str">
        <f t="shared" ref="A2242:A2305" si="72">+D2242&amp;D2242</f>
        <v>U146407U146407</v>
      </c>
      <c r="B2242" t="str">
        <f t="shared" ref="B2242:B2305" si="73">+D2242&amp;C2242</f>
        <v>U146407G6035F4-M</v>
      </c>
      <c r="C2242" s="27" t="s">
        <v>24</v>
      </c>
      <c r="D2242" s="27" t="s">
        <v>633</v>
      </c>
      <c r="E2242" s="1" t="s">
        <v>436</v>
      </c>
      <c r="F2242" s="1" t="s">
        <v>440</v>
      </c>
      <c r="G2242" s="1" t="s">
        <v>438</v>
      </c>
      <c r="H2242" s="1">
        <v>708</v>
      </c>
      <c r="I2242" s="3">
        <v>46275</v>
      </c>
      <c r="J2242" s="3">
        <v>46282</v>
      </c>
      <c r="K2242" s="3" t="s">
        <v>2370</v>
      </c>
      <c r="L2242" s="31">
        <v>46275.395458449071</v>
      </c>
      <c r="M2242" s="20">
        <v>12</v>
      </c>
      <c r="N2242" s="1">
        <v>27</v>
      </c>
    </row>
    <row r="2243" spans="1:14" x14ac:dyDescent="0.25">
      <c r="A2243" t="str">
        <f t="shared" si="72"/>
        <v>U146407U146407</v>
      </c>
      <c r="B2243" t="str">
        <f t="shared" si="73"/>
        <v>U146407G6035F4-M</v>
      </c>
      <c r="C2243" s="27" t="s">
        <v>24</v>
      </c>
      <c r="D2243" s="27" t="s">
        <v>633</v>
      </c>
      <c r="E2243" s="1" t="s">
        <v>436</v>
      </c>
      <c r="F2243" s="1" t="s">
        <v>440</v>
      </c>
      <c r="G2243" s="1" t="s">
        <v>438</v>
      </c>
      <c r="H2243" s="1">
        <v>708</v>
      </c>
      <c r="I2243" s="3">
        <v>46275</v>
      </c>
      <c r="J2243" s="3">
        <v>46282</v>
      </c>
      <c r="K2243" s="3" t="s">
        <v>2370</v>
      </c>
      <c r="L2243" s="31">
        <v>46275.39564563657</v>
      </c>
      <c r="M2243" s="20">
        <v>12</v>
      </c>
      <c r="N2243" s="1">
        <v>11</v>
      </c>
    </row>
    <row r="2244" spans="1:14" x14ac:dyDescent="0.25">
      <c r="A2244" t="str">
        <f t="shared" si="72"/>
        <v>U146407U146407</v>
      </c>
      <c r="B2244" t="str">
        <f t="shared" si="73"/>
        <v>U146407G6035F4-M</v>
      </c>
      <c r="C2244" s="27" t="s">
        <v>24</v>
      </c>
      <c r="D2244" s="27" t="s">
        <v>633</v>
      </c>
      <c r="E2244" s="1" t="s">
        <v>436</v>
      </c>
      <c r="F2244" s="1" t="s">
        <v>440</v>
      </c>
      <c r="G2244" s="1" t="s">
        <v>438</v>
      </c>
      <c r="H2244" s="1">
        <v>708</v>
      </c>
      <c r="I2244" s="3">
        <v>46275</v>
      </c>
      <c r="J2244" s="3">
        <v>46282</v>
      </c>
      <c r="K2244" s="3" t="s">
        <v>2370</v>
      </c>
      <c r="L2244" s="31">
        <v>46275.409023148146</v>
      </c>
      <c r="M2244" s="20">
        <v>12</v>
      </c>
      <c r="N2244" s="1">
        <v>1</v>
      </c>
    </row>
    <row r="2245" spans="1:14" x14ac:dyDescent="0.25">
      <c r="A2245" t="str">
        <f t="shared" si="72"/>
        <v>U146407U146407</v>
      </c>
      <c r="B2245" t="str">
        <f t="shared" si="73"/>
        <v>U146407G6035F4-M</v>
      </c>
      <c r="C2245" s="27" t="s">
        <v>24</v>
      </c>
      <c r="D2245" s="27" t="s">
        <v>633</v>
      </c>
      <c r="E2245" s="1" t="s">
        <v>436</v>
      </c>
      <c r="F2245" s="1" t="s">
        <v>440</v>
      </c>
      <c r="G2245" s="1" t="s">
        <v>438</v>
      </c>
      <c r="H2245" s="1">
        <v>708</v>
      </c>
      <c r="I2245" s="3">
        <v>46275</v>
      </c>
      <c r="J2245" s="3">
        <v>46282</v>
      </c>
      <c r="K2245" s="3" t="s">
        <v>2370</v>
      </c>
      <c r="L2245" s="31">
        <v>46275.409237152773</v>
      </c>
      <c r="M2245" s="20">
        <v>12</v>
      </c>
      <c r="N2245" s="1">
        <v>41</v>
      </c>
    </row>
    <row r="2246" spans="1:14" x14ac:dyDescent="0.25">
      <c r="A2246" t="str">
        <f t="shared" si="72"/>
        <v>U146407U146407</v>
      </c>
      <c r="B2246" t="str">
        <f t="shared" si="73"/>
        <v>U146407G6035F4-M</v>
      </c>
      <c r="C2246" s="27" t="s">
        <v>24</v>
      </c>
      <c r="D2246" s="27" t="s">
        <v>633</v>
      </c>
      <c r="E2246" s="1" t="s">
        <v>436</v>
      </c>
      <c r="F2246" s="1" t="s">
        <v>440</v>
      </c>
      <c r="G2246" s="1" t="s">
        <v>438</v>
      </c>
      <c r="H2246" s="1">
        <v>708</v>
      </c>
      <c r="I2246" s="3">
        <v>46275</v>
      </c>
      <c r="J2246" s="3">
        <v>46282</v>
      </c>
      <c r="K2246" s="3" t="s">
        <v>2370</v>
      </c>
      <c r="L2246" s="31">
        <v>46275.409451539352</v>
      </c>
      <c r="M2246" s="20">
        <v>12</v>
      </c>
      <c r="N2246" s="1">
        <v>10</v>
      </c>
    </row>
    <row r="2247" spans="1:14" x14ac:dyDescent="0.25">
      <c r="A2247" t="str">
        <f t="shared" si="72"/>
        <v>U146407U146407</v>
      </c>
      <c r="B2247" t="str">
        <f t="shared" si="73"/>
        <v>U146407G6035F4-M</v>
      </c>
      <c r="C2247" s="27" t="s">
        <v>24</v>
      </c>
      <c r="D2247" s="27" t="s">
        <v>633</v>
      </c>
      <c r="E2247" s="1" t="s">
        <v>436</v>
      </c>
      <c r="F2247" s="1" t="s">
        <v>440</v>
      </c>
      <c r="G2247" s="1" t="s">
        <v>438</v>
      </c>
      <c r="H2247" s="1">
        <v>708</v>
      </c>
      <c r="I2247" s="3">
        <v>46275</v>
      </c>
      <c r="J2247" s="3">
        <v>46282</v>
      </c>
      <c r="K2247" s="3" t="s">
        <v>2370</v>
      </c>
      <c r="L2247" s="31">
        <v>46275.409684687496</v>
      </c>
      <c r="M2247" s="20">
        <v>12</v>
      </c>
      <c r="N2247" s="1">
        <v>50</v>
      </c>
    </row>
    <row r="2248" spans="1:14" x14ac:dyDescent="0.25">
      <c r="A2248" t="str">
        <f t="shared" si="72"/>
        <v>U146407U146407</v>
      </c>
      <c r="B2248" t="str">
        <f t="shared" si="73"/>
        <v>U146407G6035F4-M</v>
      </c>
      <c r="C2248" s="27" t="s">
        <v>24</v>
      </c>
      <c r="D2248" s="27" t="s">
        <v>633</v>
      </c>
      <c r="E2248" s="1" t="s">
        <v>436</v>
      </c>
      <c r="F2248" s="1" t="s">
        <v>440</v>
      </c>
      <c r="G2248" s="1" t="s">
        <v>438</v>
      </c>
      <c r="H2248" s="1">
        <v>708</v>
      </c>
      <c r="I2248" s="3">
        <v>46275</v>
      </c>
      <c r="J2248" s="3">
        <v>46282</v>
      </c>
      <c r="K2248" s="3" t="s">
        <v>2370</v>
      </c>
      <c r="L2248" s="31">
        <v>46275.409907488422</v>
      </c>
      <c r="M2248" s="20">
        <v>12</v>
      </c>
      <c r="N2248" s="1">
        <v>35</v>
      </c>
    </row>
    <row r="2249" spans="1:14" x14ac:dyDescent="0.25">
      <c r="A2249" t="str">
        <f t="shared" si="72"/>
        <v>U146407U146407</v>
      </c>
      <c r="B2249" t="str">
        <f t="shared" si="73"/>
        <v>U146407G6035F4-M</v>
      </c>
      <c r="C2249" s="27" t="s">
        <v>24</v>
      </c>
      <c r="D2249" s="27" t="s">
        <v>633</v>
      </c>
      <c r="E2249" s="1" t="s">
        <v>436</v>
      </c>
      <c r="F2249" s="1" t="s">
        <v>440</v>
      </c>
      <c r="G2249" s="1" t="s">
        <v>438</v>
      </c>
      <c r="H2249" s="1">
        <v>708</v>
      </c>
      <c r="I2249" s="3">
        <v>46275</v>
      </c>
      <c r="J2249" s="3">
        <v>46282</v>
      </c>
      <c r="K2249" s="3" t="s">
        <v>2370</v>
      </c>
      <c r="L2249" s="31">
        <v>46275.430652777774</v>
      </c>
      <c r="M2249" s="20">
        <v>12</v>
      </c>
      <c r="N2249" s="1">
        <v>28</v>
      </c>
    </row>
    <row r="2250" spans="1:14" x14ac:dyDescent="0.25">
      <c r="A2250" t="str">
        <f t="shared" si="72"/>
        <v>U146407U146407</v>
      </c>
      <c r="B2250" t="str">
        <f t="shared" si="73"/>
        <v>U146407G6035F4-M</v>
      </c>
      <c r="C2250" s="27" t="s">
        <v>24</v>
      </c>
      <c r="D2250" s="27" t="s">
        <v>633</v>
      </c>
      <c r="E2250" s="1" t="s">
        <v>436</v>
      </c>
      <c r="F2250" s="1" t="s">
        <v>440</v>
      </c>
      <c r="G2250" s="1" t="s">
        <v>438</v>
      </c>
      <c r="H2250" s="1">
        <v>708</v>
      </c>
      <c r="I2250" s="3">
        <v>46275</v>
      </c>
      <c r="J2250" s="3">
        <v>46282</v>
      </c>
      <c r="K2250" s="3" t="s">
        <v>2370</v>
      </c>
      <c r="L2250" s="31">
        <v>46275.432113310184</v>
      </c>
      <c r="M2250" s="20">
        <v>12</v>
      </c>
      <c r="N2250" s="1">
        <v>2</v>
      </c>
    </row>
    <row r="2251" spans="1:14" x14ac:dyDescent="0.25">
      <c r="A2251" t="str">
        <f t="shared" si="72"/>
        <v>U146407U146407</v>
      </c>
      <c r="B2251" t="str">
        <f t="shared" si="73"/>
        <v>U146407G6035F4-M</v>
      </c>
      <c r="C2251" s="27" t="s">
        <v>24</v>
      </c>
      <c r="D2251" s="27" t="s">
        <v>633</v>
      </c>
      <c r="E2251" s="1" t="s">
        <v>436</v>
      </c>
      <c r="F2251" s="1" t="s">
        <v>440</v>
      </c>
      <c r="G2251" s="1" t="s">
        <v>438</v>
      </c>
      <c r="H2251" s="1">
        <v>708</v>
      </c>
      <c r="I2251" s="3">
        <v>46275</v>
      </c>
      <c r="J2251" s="3">
        <v>46282</v>
      </c>
      <c r="K2251" s="3" t="s">
        <v>2370</v>
      </c>
      <c r="L2251" s="31">
        <v>46275.445836377316</v>
      </c>
      <c r="M2251" s="20">
        <v>12</v>
      </c>
      <c r="N2251" s="1">
        <v>44</v>
      </c>
    </row>
    <row r="2252" spans="1:14" x14ac:dyDescent="0.25">
      <c r="A2252" t="str">
        <f t="shared" si="72"/>
        <v>U146407U146407</v>
      </c>
      <c r="B2252" t="str">
        <f t="shared" si="73"/>
        <v>U146407G6035F4-M</v>
      </c>
      <c r="C2252" s="27" t="s">
        <v>24</v>
      </c>
      <c r="D2252" s="27" t="s">
        <v>633</v>
      </c>
      <c r="E2252" s="1" t="s">
        <v>436</v>
      </c>
      <c r="F2252" s="1" t="s">
        <v>440</v>
      </c>
      <c r="G2252" s="1" t="s">
        <v>438</v>
      </c>
      <c r="H2252" s="1">
        <v>708</v>
      </c>
      <c r="I2252" s="3">
        <v>46275</v>
      </c>
      <c r="J2252" s="3">
        <v>46282</v>
      </c>
      <c r="K2252" s="3" t="s">
        <v>2370</v>
      </c>
      <c r="L2252" s="31">
        <v>46275.44602210648</v>
      </c>
      <c r="M2252" s="20">
        <v>12</v>
      </c>
      <c r="N2252" s="1">
        <v>13</v>
      </c>
    </row>
    <row r="2253" spans="1:14" x14ac:dyDescent="0.25">
      <c r="A2253" t="str">
        <f t="shared" si="72"/>
        <v>U146407U146407</v>
      </c>
      <c r="B2253" t="str">
        <f t="shared" si="73"/>
        <v>U146407G6035F4-M</v>
      </c>
      <c r="C2253" s="27" t="s">
        <v>24</v>
      </c>
      <c r="D2253" s="27" t="s">
        <v>633</v>
      </c>
      <c r="E2253" s="1" t="s">
        <v>436</v>
      </c>
      <c r="F2253" s="1" t="s">
        <v>440</v>
      </c>
      <c r="G2253" s="1" t="s">
        <v>438</v>
      </c>
      <c r="H2253" s="1">
        <v>708</v>
      </c>
      <c r="I2253" s="3">
        <v>46275</v>
      </c>
      <c r="J2253" s="3">
        <v>46282</v>
      </c>
      <c r="K2253" s="3" t="s">
        <v>2370</v>
      </c>
      <c r="L2253" s="31">
        <v>46275.446196261575</v>
      </c>
      <c r="M2253" s="20">
        <v>12</v>
      </c>
      <c r="N2253" s="1">
        <v>38</v>
      </c>
    </row>
    <row r="2254" spans="1:14" x14ac:dyDescent="0.25">
      <c r="A2254" t="str">
        <f t="shared" si="72"/>
        <v>U146407U146407</v>
      </c>
      <c r="B2254" t="str">
        <f t="shared" si="73"/>
        <v>U146407G6035F4-M</v>
      </c>
      <c r="C2254" s="27" t="s">
        <v>24</v>
      </c>
      <c r="D2254" s="27" t="s">
        <v>633</v>
      </c>
      <c r="E2254" s="1" t="s">
        <v>436</v>
      </c>
      <c r="F2254" s="1" t="s">
        <v>440</v>
      </c>
      <c r="G2254" s="1" t="s">
        <v>438</v>
      </c>
      <c r="H2254" s="1">
        <v>708</v>
      </c>
      <c r="I2254" s="3">
        <v>46275</v>
      </c>
      <c r="J2254" s="3">
        <v>46282</v>
      </c>
      <c r="K2254" s="3" t="s">
        <v>2370</v>
      </c>
      <c r="L2254" s="31">
        <v>46275.447098344906</v>
      </c>
      <c r="M2254" s="20">
        <v>12</v>
      </c>
      <c r="N2254" s="1">
        <v>29</v>
      </c>
    </row>
    <row r="2255" spans="1:14" x14ac:dyDescent="0.25">
      <c r="A2255" t="str">
        <f t="shared" si="72"/>
        <v>U146407U146407</v>
      </c>
      <c r="B2255" t="str">
        <f t="shared" si="73"/>
        <v>U146407G6035F4-M</v>
      </c>
      <c r="C2255" s="27" t="s">
        <v>24</v>
      </c>
      <c r="D2255" s="27" t="s">
        <v>633</v>
      </c>
      <c r="E2255" s="1" t="s">
        <v>436</v>
      </c>
      <c r="F2255" s="1" t="s">
        <v>440</v>
      </c>
      <c r="G2255" s="1" t="s">
        <v>438</v>
      </c>
      <c r="H2255" s="1">
        <v>708</v>
      </c>
      <c r="I2255" s="3">
        <v>46275</v>
      </c>
      <c r="J2255" s="3">
        <v>46282</v>
      </c>
      <c r="K2255" s="3" t="s">
        <v>2370</v>
      </c>
      <c r="L2255" s="31">
        <v>46275.447500578703</v>
      </c>
      <c r="M2255" s="20">
        <v>12</v>
      </c>
      <c r="N2255" s="1">
        <v>20</v>
      </c>
    </row>
    <row r="2256" spans="1:14" x14ac:dyDescent="0.25">
      <c r="A2256" t="str">
        <f t="shared" si="72"/>
        <v>U146407U146407</v>
      </c>
      <c r="B2256" t="str">
        <f t="shared" si="73"/>
        <v>U146407G6035F4-M</v>
      </c>
      <c r="C2256" s="27" t="s">
        <v>24</v>
      </c>
      <c r="D2256" s="27" t="s">
        <v>633</v>
      </c>
      <c r="E2256" s="1" t="s">
        <v>436</v>
      </c>
      <c r="F2256" s="1" t="s">
        <v>440</v>
      </c>
      <c r="G2256" s="1" t="s">
        <v>438</v>
      </c>
      <c r="H2256" s="1">
        <v>708</v>
      </c>
      <c r="I2256" s="3">
        <v>46275</v>
      </c>
      <c r="J2256" s="3">
        <v>46282</v>
      </c>
      <c r="K2256" s="3" t="s">
        <v>2370</v>
      </c>
      <c r="L2256" s="31">
        <v>46275.467124074072</v>
      </c>
      <c r="M2256" s="20">
        <v>12</v>
      </c>
      <c r="N2256" s="1">
        <v>56</v>
      </c>
    </row>
    <row r="2257" spans="1:14" x14ac:dyDescent="0.25">
      <c r="A2257" t="str">
        <f t="shared" si="72"/>
        <v>U146407U146407</v>
      </c>
      <c r="B2257" t="str">
        <f t="shared" si="73"/>
        <v>U146407G6035F4-M</v>
      </c>
      <c r="C2257" s="27" t="s">
        <v>24</v>
      </c>
      <c r="D2257" s="27" t="s">
        <v>633</v>
      </c>
      <c r="E2257" s="1" t="s">
        <v>436</v>
      </c>
      <c r="F2257" s="1" t="s">
        <v>440</v>
      </c>
      <c r="G2257" s="1" t="s">
        <v>438</v>
      </c>
      <c r="H2257" s="1">
        <v>708</v>
      </c>
      <c r="I2257" s="3">
        <v>46275</v>
      </c>
      <c r="J2257" s="3">
        <v>46282</v>
      </c>
      <c r="K2257" s="3" t="s">
        <v>2370</v>
      </c>
      <c r="L2257" s="31">
        <v>46275.467821990736</v>
      </c>
      <c r="M2257" s="20">
        <v>12</v>
      </c>
      <c r="N2257" s="1">
        <v>12</v>
      </c>
    </row>
    <row r="2258" spans="1:14" x14ac:dyDescent="0.25">
      <c r="A2258" t="str">
        <f t="shared" si="72"/>
        <v>U146407U146407</v>
      </c>
      <c r="B2258" t="str">
        <f t="shared" si="73"/>
        <v>U146407G6035F4-M</v>
      </c>
      <c r="C2258" s="27" t="s">
        <v>24</v>
      </c>
      <c r="D2258" s="27" t="s">
        <v>633</v>
      </c>
      <c r="E2258" s="1" t="s">
        <v>436</v>
      </c>
      <c r="F2258" s="1" t="s">
        <v>440</v>
      </c>
      <c r="G2258" s="1" t="s">
        <v>438</v>
      </c>
      <c r="H2258" s="1">
        <v>708</v>
      </c>
      <c r="I2258" s="3">
        <v>46275</v>
      </c>
      <c r="J2258" s="3">
        <v>46282</v>
      </c>
      <c r="K2258" s="3" t="s">
        <v>2370</v>
      </c>
      <c r="L2258" s="31">
        <v>46275.468399108795</v>
      </c>
      <c r="M2258" s="20">
        <v>12</v>
      </c>
      <c r="N2258" s="1">
        <v>49</v>
      </c>
    </row>
    <row r="2259" spans="1:14" x14ac:dyDescent="0.25">
      <c r="A2259" t="str">
        <f t="shared" si="72"/>
        <v>U146407U146407</v>
      </c>
      <c r="B2259" t="str">
        <f t="shared" si="73"/>
        <v>U146407G6035F4-M</v>
      </c>
      <c r="C2259" s="27" t="s">
        <v>24</v>
      </c>
      <c r="D2259" s="27" t="s">
        <v>633</v>
      </c>
      <c r="E2259" s="1" t="s">
        <v>436</v>
      </c>
      <c r="F2259" s="1" t="s">
        <v>440</v>
      </c>
      <c r="G2259" s="1" t="s">
        <v>438</v>
      </c>
      <c r="H2259" s="1">
        <v>708</v>
      </c>
      <c r="I2259" s="3">
        <v>46275</v>
      </c>
      <c r="J2259" s="3">
        <v>46282</v>
      </c>
      <c r="K2259" s="3" t="s">
        <v>2370</v>
      </c>
      <c r="L2259" s="31">
        <v>46275.473044131941</v>
      </c>
      <c r="M2259" s="20">
        <v>12</v>
      </c>
      <c r="N2259" s="1">
        <v>4</v>
      </c>
    </row>
    <row r="2260" spans="1:14" x14ac:dyDescent="0.25">
      <c r="A2260" t="str">
        <f t="shared" si="72"/>
        <v>U146407U146407</v>
      </c>
      <c r="B2260" t="str">
        <f t="shared" si="73"/>
        <v>U146407G6035F4-M</v>
      </c>
      <c r="C2260" s="27" t="s">
        <v>24</v>
      </c>
      <c r="D2260" s="27" t="s">
        <v>633</v>
      </c>
      <c r="E2260" s="1" t="s">
        <v>436</v>
      </c>
      <c r="F2260" s="1" t="s">
        <v>440</v>
      </c>
      <c r="G2260" s="1" t="s">
        <v>438</v>
      </c>
      <c r="H2260" s="1">
        <v>708</v>
      </c>
      <c r="I2260" s="3">
        <v>46275</v>
      </c>
      <c r="J2260" s="3">
        <v>46282</v>
      </c>
      <c r="K2260" s="3" t="s">
        <v>2370</v>
      </c>
      <c r="L2260" s="31">
        <v>46275.473408645834</v>
      </c>
      <c r="M2260" s="20">
        <v>12</v>
      </c>
      <c r="N2260" s="1">
        <v>51</v>
      </c>
    </row>
    <row r="2261" spans="1:14" x14ac:dyDescent="0.25">
      <c r="A2261" t="str">
        <f t="shared" si="72"/>
        <v>U146407U146407</v>
      </c>
      <c r="B2261" t="str">
        <f t="shared" si="73"/>
        <v>U146407G6035F4-M</v>
      </c>
      <c r="C2261" s="27" t="s">
        <v>24</v>
      </c>
      <c r="D2261" s="27" t="s">
        <v>633</v>
      </c>
      <c r="E2261" s="1" t="s">
        <v>436</v>
      </c>
      <c r="F2261" s="1" t="s">
        <v>440</v>
      </c>
      <c r="G2261" s="1" t="s">
        <v>438</v>
      </c>
      <c r="H2261" s="1">
        <v>708</v>
      </c>
      <c r="I2261" s="3">
        <v>46275</v>
      </c>
      <c r="J2261" s="3">
        <v>46282</v>
      </c>
      <c r="K2261" s="3" t="s">
        <v>2370</v>
      </c>
      <c r="L2261" s="31">
        <v>46275.473598182871</v>
      </c>
      <c r="M2261" s="20">
        <v>12</v>
      </c>
      <c r="N2261" s="1">
        <v>43</v>
      </c>
    </row>
    <row r="2262" spans="1:14" x14ac:dyDescent="0.25">
      <c r="A2262" t="str">
        <f t="shared" si="72"/>
        <v>U146407U146407</v>
      </c>
      <c r="B2262" t="str">
        <f t="shared" si="73"/>
        <v>U146407G6035F4-M</v>
      </c>
      <c r="C2262" s="27" t="s">
        <v>24</v>
      </c>
      <c r="D2262" s="27" t="s">
        <v>633</v>
      </c>
      <c r="E2262" s="1" t="s">
        <v>436</v>
      </c>
      <c r="F2262" s="1" t="s">
        <v>440</v>
      </c>
      <c r="G2262" s="1" t="s">
        <v>438</v>
      </c>
      <c r="H2262" s="1">
        <v>708</v>
      </c>
      <c r="I2262" s="3">
        <v>46275</v>
      </c>
      <c r="J2262" s="3">
        <v>46282</v>
      </c>
      <c r="K2262" s="3" t="s">
        <v>2370</v>
      </c>
      <c r="L2262" s="31">
        <v>46275.473772337959</v>
      </c>
      <c r="M2262" s="20">
        <v>12</v>
      </c>
      <c r="N2262" s="1">
        <v>54</v>
      </c>
    </row>
    <row r="2263" spans="1:14" x14ac:dyDescent="0.25">
      <c r="A2263" t="str">
        <f t="shared" si="72"/>
        <v>U146407U146407</v>
      </c>
      <c r="B2263" t="str">
        <f t="shared" si="73"/>
        <v>U146407G6035F4-M</v>
      </c>
      <c r="C2263" s="27" t="s">
        <v>24</v>
      </c>
      <c r="D2263" s="27" t="s">
        <v>633</v>
      </c>
      <c r="E2263" s="1" t="s">
        <v>436</v>
      </c>
      <c r="F2263" s="1" t="s">
        <v>440</v>
      </c>
      <c r="G2263" s="1" t="s">
        <v>438</v>
      </c>
      <c r="H2263" s="1">
        <v>708</v>
      </c>
      <c r="I2263" s="3">
        <v>46275</v>
      </c>
      <c r="J2263" s="3">
        <v>46282</v>
      </c>
      <c r="K2263" s="3" t="s">
        <v>2370</v>
      </c>
      <c r="L2263" s="31">
        <v>46275.474099502309</v>
      </c>
      <c r="M2263" s="20">
        <v>12</v>
      </c>
      <c r="N2263" s="1">
        <v>19</v>
      </c>
    </row>
    <row r="2264" spans="1:14" x14ac:dyDescent="0.25">
      <c r="A2264" t="str">
        <f t="shared" si="72"/>
        <v>U146407U146407</v>
      </c>
      <c r="B2264" t="str">
        <f t="shared" si="73"/>
        <v>U146407G6035F4-M</v>
      </c>
      <c r="C2264" s="27" t="s">
        <v>24</v>
      </c>
      <c r="D2264" s="27" t="s">
        <v>633</v>
      </c>
      <c r="E2264" s="1" t="s">
        <v>436</v>
      </c>
      <c r="F2264" s="1" t="s">
        <v>440</v>
      </c>
      <c r="G2264" s="1" t="s">
        <v>438</v>
      </c>
      <c r="H2264" s="1">
        <v>708</v>
      </c>
      <c r="I2264" s="3">
        <v>46275</v>
      </c>
      <c r="J2264" s="3">
        <v>46282</v>
      </c>
      <c r="K2264" s="3" t="s">
        <v>2370</v>
      </c>
      <c r="L2264" s="31">
        <v>46275.558321296296</v>
      </c>
      <c r="M2264" s="20">
        <v>12</v>
      </c>
      <c r="N2264" s="1">
        <v>57</v>
      </c>
    </row>
    <row r="2265" spans="1:14" x14ac:dyDescent="0.25">
      <c r="A2265" t="str">
        <f t="shared" si="72"/>
        <v>U146407U146407</v>
      </c>
      <c r="B2265" t="str">
        <f t="shared" si="73"/>
        <v>U146407G6035F4-M</v>
      </c>
      <c r="C2265" s="27" t="s">
        <v>24</v>
      </c>
      <c r="D2265" s="27" t="s">
        <v>633</v>
      </c>
      <c r="E2265" s="1" t="s">
        <v>436</v>
      </c>
      <c r="F2265" s="1" t="s">
        <v>440</v>
      </c>
      <c r="G2265" s="1" t="s">
        <v>438</v>
      </c>
      <c r="H2265" s="1">
        <v>708</v>
      </c>
      <c r="I2265" s="3">
        <v>46275</v>
      </c>
      <c r="J2265" s="3">
        <v>46282</v>
      </c>
      <c r="K2265" s="3" t="s">
        <v>2370</v>
      </c>
      <c r="L2265" s="31">
        <v>46275.558548182868</v>
      </c>
      <c r="M2265" s="20">
        <v>12</v>
      </c>
      <c r="N2265" s="1">
        <v>45</v>
      </c>
    </row>
    <row r="2266" spans="1:14" x14ac:dyDescent="0.25">
      <c r="A2266" t="str">
        <f t="shared" si="72"/>
        <v>U146407U146407</v>
      </c>
      <c r="B2266" t="str">
        <f t="shared" si="73"/>
        <v>U146407G6035F4-M</v>
      </c>
      <c r="C2266" s="27" t="s">
        <v>24</v>
      </c>
      <c r="D2266" s="27" t="s">
        <v>633</v>
      </c>
      <c r="E2266" s="1" t="s">
        <v>436</v>
      </c>
      <c r="F2266" s="1" t="s">
        <v>440</v>
      </c>
      <c r="G2266" s="1" t="s">
        <v>438</v>
      </c>
      <c r="H2266" s="1">
        <v>708</v>
      </c>
      <c r="I2266" s="3">
        <v>46275</v>
      </c>
      <c r="J2266" s="3">
        <v>46282</v>
      </c>
      <c r="K2266" s="3" t="s">
        <v>2370</v>
      </c>
      <c r="L2266" s="31">
        <v>46275.558752858793</v>
      </c>
      <c r="M2266" s="20">
        <v>12</v>
      </c>
      <c r="N2266" s="1">
        <v>21</v>
      </c>
    </row>
    <row r="2267" spans="1:14" x14ac:dyDescent="0.25">
      <c r="A2267" t="str">
        <f t="shared" si="72"/>
        <v>U146407U146407</v>
      </c>
      <c r="B2267" t="str">
        <f t="shared" si="73"/>
        <v>U146407G6035F4-M</v>
      </c>
      <c r="C2267" s="27" t="s">
        <v>24</v>
      </c>
      <c r="D2267" s="27" t="s">
        <v>633</v>
      </c>
      <c r="E2267" s="1" t="s">
        <v>436</v>
      </c>
      <c r="F2267" s="1" t="s">
        <v>440</v>
      </c>
      <c r="G2267" s="1" t="s">
        <v>438</v>
      </c>
      <c r="H2267" s="1">
        <v>708</v>
      </c>
      <c r="I2267" s="3">
        <v>46275</v>
      </c>
      <c r="J2267" s="3">
        <v>46282</v>
      </c>
      <c r="K2267" s="3" t="s">
        <v>2370</v>
      </c>
      <c r="L2267" s="31">
        <v>46275.560174305552</v>
      </c>
      <c r="M2267" s="20">
        <v>12</v>
      </c>
      <c r="N2267" s="1">
        <v>8</v>
      </c>
    </row>
    <row r="2268" spans="1:14" x14ac:dyDescent="0.25">
      <c r="A2268" t="str">
        <f t="shared" si="72"/>
        <v>U146407U146407</v>
      </c>
      <c r="B2268" t="str">
        <f t="shared" si="73"/>
        <v>U146407G6035F4-M</v>
      </c>
      <c r="C2268" s="27" t="s">
        <v>24</v>
      </c>
      <c r="D2268" s="27" t="s">
        <v>633</v>
      </c>
      <c r="E2268" s="1" t="s">
        <v>436</v>
      </c>
      <c r="F2268" s="1" t="s">
        <v>440</v>
      </c>
      <c r="G2268" s="1" t="s">
        <v>438</v>
      </c>
      <c r="H2268" s="1">
        <v>708</v>
      </c>
      <c r="I2268" s="3">
        <v>46275</v>
      </c>
      <c r="J2268" s="3">
        <v>46282</v>
      </c>
      <c r="K2268" s="3" t="s">
        <v>2370</v>
      </c>
      <c r="L2268" s="31">
        <v>46275.561130243055</v>
      </c>
      <c r="M2268" s="20">
        <v>12</v>
      </c>
      <c r="N2268" s="1">
        <v>3</v>
      </c>
    </row>
    <row r="2269" spans="1:14" x14ac:dyDescent="0.25">
      <c r="A2269" t="str">
        <f t="shared" si="72"/>
        <v>U146407U146407</v>
      </c>
      <c r="B2269" t="str">
        <f t="shared" si="73"/>
        <v>U146407G6035F4-M</v>
      </c>
      <c r="C2269" s="27" t="s">
        <v>24</v>
      </c>
      <c r="D2269" s="27" t="s">
        <v>633</v>
      </c>
      <c r="E2269" s="1" t="s">
        <v>436</v>
      </c>
      <c r="F2269" s="1" t="s">
        <v>440</v>
      </c>
      <c r="G2269" s="1" t="s">
        <v>438</v>
      </c>
      <c r="H2269" s="1">
        <v>708</v>
      </c>
      <c r="I2269" s="3">
        <v>46275</v>
      </c>
      <c r="J2269" s="3">
        <v>46282</v>
      </c>
      <c r="K2269" s="3" t="s">
        <v>2370</v>
      </c>
      <c r="L2269" s="31">
        <v>46275.562004976848</v>
      </c>
      <c r="M2269" s="20">
        <v>12</v>
      </c>
      <c r="N2269" s="1">
        <v>52</v>
      </c>
    </row>
    <row r="2270" spans="1:14" x14ac:dyDescent="0.25">
      <c r="A2270" t="str">
        <f t="shared" si="72"/>
        <v>U146407U146407</v>
      </c>
      <c r="B2270" t="str">
        <f t="shared" si="73"/>
        <v>U146407G6035F4-M</v>
      </c>
      <c r="C2270" s="27" t="s">
        <v>24</v>
      </c>
      <c r="D2270" s="27" t="s">
        <v>633</v>
      </c>
      <c r="E2270" s="1" t="s">
        <v>436</v>
      </c>
      <c r="F2270" s="1" t="s">
        <v>440</v>
      </c>
      <c r="G2270" s="1" t="s">
        <v>438</v>
      </c>
      <c r="H2270" s="1">
        <v>708</v>
      </c>
      <c r="I2270" s="3">
        <v>46275</v>
      </c>
      <c r="J2270" s="3">
        <v>46282</v>
      </c>
      <c r="K2270" s="3" t="s">
        <v>2370</v>
      </c>
      <c r="L2270" s="31">
        <v>46275.569048761572</v>
      </c>
      <c r="M2270" s="20">
        <v>12</v>
      </c>
      <c r="N2270" s="1">
        <v>37</v>
      </c>
    </row>
    <row r="2271" spans="1:14" x14ac:dyDescent="0.25">
      <c r="A2271" t="str">
        <f t="shared" si="72"/>
        <v>U146407U146407</v>
      </c>
      <c r="B2271" t="str">
        <f t="shared" si="73"/>
        <v>U146407G6035F4-M</v>
      </c>
      <c r="C2271" s="27" t="s">
        <v>24</v>
      </c>
      <c r="D2271" s="27" t="s">
        <v>633</v>
      </c>
      <c r="E2271" s="1" t="s">
        <v>436</v>
      </c>
      <c r="F2271" s="1" t="s">
        <v>440</v>
      </c>
      <c r="G2271" s="1" t="s">
        <v>438</v>
      </c>
      <c r="H2271" s="1">
        <v>708</v>
      </c>
      <c r="I2271" s="3">
        <v>46275</v>
      </c>
      <c r="J2271" s="3">
        <v>46282</v>
      </c>
      <c r="K2271" s="3" t="s">
        <v>2370</v>
      </c>
      <c r="L2271" s="31">
        <v>46275.569278900461</v>
      </c>
      <c r="M2271" s="20">
        <v>12</v>
      </c>
      <c r="N2271" s="1">
        <v>15</v>
      </c>
    </row>
    <row r="2272" spans="1:14" x14ac:dyDescent="0.25">
      <c r="A2272" t="str">
        <f t="shared" si="72"/>
        <v>U146407U146407</v>
      </c>
      <c r="B2272" t="str">
        <f t="shared" si="73"/>
        <v>U146407G6035F4-M</v>
      </c>
      <c r="C2272" s="27" t="s">
        <v>24</v>
      </c>
      <c r="D2272" s="27" t="s">
        <v>633</v>
      </c>
      <c r="E2272" s="1" t="s">
        <v>436</v>
      </c>
      <c r="F2272" s="1" t="s">
        <v>440</v>
      </c>
      <c r="G2272" s="1" t="s">
        <v>438</v>
      </c>
      <c r="H2272" s="1">
        <v>708</v>
      </c>
      <c r="I2272" s="3">
        <v>46275</v>
      </c>
      <c r="J2272" s="3">
        <v>46282</v>
      </c>
      <c r="K2272" s="3" t="s">
        <v>2370</v>
      </c>
      <c r="L2272" s="31">
        <v>46275.577972141204</v>
      </c>
      <c r="M2272" s="20">
        <v>12</v>
      </c>
      <c r="N2272" s="1">
        <v>32</v>
      </c>
    </row>
    <row r="2273" spans="1:14" x14ac:dyDescent="0.25">
      <c r="A2273" t="str">
        <f t="shared" si="72"/>
        <v>U146407U146407</v>
      </c>
      <c r="B2273" t="str">
        <f t="shared" si="73"/>
        <v>U146407G6035F4-M</v>
      </c>
      <c r="C2273" s="27" t="s">
        <v>24</v>
      </c>
      <c r="D2273" s="27" t="s">
        <v>633</v>
      </c>
      <c r="E2273" s="1" t="s">
        <v>436</v>
      </c>
      <c r="F2273" s="1" t="s">
        <v>440</v>
      </c>
      <c r="G2273" s="1" t="s">
        <v>438</v>
      </c>
      <c r="H2273" s="1">
        <v>708</v>
      </c>
      <c r="I2273" s="3">
        <v>46275</v>
      </c>
      <c r="J2273" s="3">
        <v>46282</v>
      </c>
      <c r="K2273" s="3" t="s">
        <v>2370</v>
      </c>
      <c r="L2273" s="31">
        <v>46275.57820737268</v>
      </c>
      <c r="M2273" s="20">
        <v>12</v>
      </c>
      <c r="N2273" s="1">
        <v>14</v>
      </c>
    </row>
    <row r="2274" spans="1:14" x14ac:dyDescent="0.25">
      <c r="A2274" t="str">
        <f t="shared" si="72"/>
        <v>U146407U146407</v>
      </c>
      <c r="B2274" t="str">
        <f t="shared" si="73"/>
        <v>U146407G6035F4-M</v>
      </c>
      <c r="C2274" s="27" t="s">
        <v>24</v>
      </c>
      <c r="D2274" s="27" t="s">
        <v>633</v>
      </c>
      <c r="E2274" s="1" t="s">
        <v>436</v>
      </c>
      <c r="F2274" s="1" t="s">
        <v>440</v>
      </c>
      <c r="G2274" s="1" t="s">
        <v>438</v>
      </c>
      <c r="H2274" s="1">
        <v>708</v>
      </c>
      <c r="I2274" s="3">
        <v>46275</v>
      </c>
      <c r="J2274" s="3">
        <v>46282</v>
      </c>
      <c r="K2274" s="3" t="s">
        <v>2370</v>
      </c>
      <c r="L2274" s="31">
        <v>46275.5903090625</v>
      </c>
      <c r="M2274" s="20">
        <v>12</v>
      </c>
      <c r="N2274" s="1">
        <v>58</v>
      </c>
    </row>
    <row r="2275" spans="1:14" x14ac:dyDescent="0.25">
      <c r="A2275" t="str">
        <f t="shared" si="72"/>
        <v>U146407U146407</v>
      </c>
      <c r="B2275" t="str">
        <f t="shared" si="73"/>
        <v>U146407G6035F4-M</v>
      </c>
      <c r="C2275" s="27" t="s">
        <v>24</v>
      </c>
      <c r="D2275" s="27" t="s">
        <v>633</v>
      </c>
      <c r="E2275" s="1" t="s">
        <v>436</v>
      </c>
      <c r="F2275" s="1" t="s">
        <v>440</v>
      </c>
      <c r="G2275" s="1" t="s">
        <v>438</v>
      </c>
      <c r="H2275" s="1">
        <v>708</v>
      </c>
      <c r="I2275" s="3">
        <v>46275</v>
      </c>
      <c r="J2275" s="3">
        <v>46282</v>
      </c>
      <c r="K2275" s="3" t="s">
        <v>2370</v>
      </c>
      <c r="L2275" s="31">
        <v>46275.590496412035</v>
      </c>
      <c r="M2275" s="20">
        <v>12</v>
      </c>
      <c r="N2275" s="1">
        <v>40</v>
      </c>
    </row>
    <row r="2276" spans="1:14" x14ac:dyDescent="0.25">
      <c r="A2276" t="str">
        <f t="shared" si="72"/>
        <v>U146407U146407</v>
      </c>
      <c r="B2276" t="str">
        <f t="shared" si="73"/>
        <v>U146407G6035F4-M</v>
      </c>
      <c r="C2276" s="27" t="s">
        <v>24</v>
      </c>
      <c r="D2276" s="27" t="s">
        <v>633</v>
      </c>
      <c r="E2276" s="1" t="s">
        <v>436</v>
      </c>
      <c r="F2276" s="1" t="s">
        <v>440</v>
      </c>
      <c r="G2276" s="1" t="s">
        <v>438</v>
      </c>
      <c r="H2276" s="1">
        <v>708</v>
      </c>
      <c r="I2276" s="3">
        <v>46275</v>
      </c>
      <c r="J2276" s="3">
        <v>46282</v>
      </c>
      <c r="K2276" s="3" t="s">
        <v>2370</v>
      </c>
      <c r="L2276" s="31">
        <v>46275.591303009256</v>
      </c>
      <c r="M2276" s="20">
        <v>12</v>
      </c>
      <c r="N2276" s="1">
        <v>46</v>
      </c>
    </row>
    <row r="2277" spans="1:14" x14ac:dyDescent="0.25">
      <c r="A2277" t="str">
        <f t="shared" si="72"/>
        <v>U146407U146407</v>
      </c>
      <c r="B2277" t="str">
        <f t="shared" si="73"/>
        <v>U146407G6035F4-M</v>
      </c>
      <c r="C2277" s="27" t="s">
        <v>24</v>
      </c>
      <c r="D2277" s="27" t="s">
        <v>633</v>
      </c>
      <c r="E2277" s="1" t="s">
        <v>436</v>
      </c>
      <c r="F2277" s="1" t="s">
        <v>440</v>
      </c>
      <c r="G2277" s="1" t="s">
        <v>438</v>
      </c>
      <c r="H2277" s="1">
        <v>708</v>
      </c>
      <c r="I2277" s="3">
        <v>46275</v>
      </c>
      <c r="J2277" s="3">
        <v>46282</v>
      </c>
      <c r="K2277" s="3" t="s">
        <v>2370</v>
      </c>
      <c r="L2277" s="31">
        <v>46275.591549189812</v>
      </c>
      <c r="M2277" s="20">
        <v>12</v>
      </c>
      <c r="N2277" s="1">
        <v>16</v>
      </c>
    </row>
    <row r="2278" spans="1:14" x14ac:dyDescent="0.25">
      <c r="A2278" t="str">
        <f t="shared" si="72"/>
        <v>U146407U146407</v>
      </c>
      <c r="B2278" t="str">
        <f t="shared" si="73"/>
        <v>U146407G6035F4-M</v>
      </c>
      <c r="C2278" s="27" t="s">
        <v>24</v>
      </c>
      <c r="D2278" s="27" t="s">
        <v>633</v>
      </c>
      <c r="E2278" s="1" t="s">
        <v>436</v>
      </c>
      <c r="F2278" s="1" t="s">
        <v>440</v>
      </c>
      <c r="G2278" s="1" t="s">
        <v>438</v>
      </c>
      <c r="H2278" s="1">
        <v>708</v>
      </c>
      <c r="I2278" s="3">
        <v>46275</v>
      </c>
      <c r="J2278" s="3">
        <v>46282</v>
      </c>
      <c r="K2278" s="3" t="s">
        <v>2370</v>
      </c>
      <c r="L2278" s="31">
        <v>46275.592703668983</v>
      </c>
      <c r="M2278" s="20">
        <v>12</v>
      </c>
      <c r="N2278" s="1">
        <v>47</v>
      </c>
    </row>
    <row r="2279" spans="1:14" x14ac:dyDescent="0.25">
      <c r="A2279" t="str">
        <f t="shared" si="72"/>
        <v>U146407U146407</v>
      </c>
      <c r="B2279" t="str">
        <f t="shared" si="73"/>
        <v>U146407G6035F4-M</v>
      </c>
      <c r="C2279" s="27" t="s">
        <v>24</v>
      </c>
      <c r="D2279" s="27" t="s">
        <v>633</v>
      </c>
      <c r="E2279" s="1" t="s">
        <v>436</v>
      </c>
      <c r="F2279" s="1" t="s">
        <v>440</v>
      </c>
      <c r="G2279" s="1" t="s">
        <v>438</v>
      </c>
      <c r="H2279" s="1">
        <v>708</v>
      </c>
      <c r="I2279" s="3">
        <v>46275</v>
      </c>
      <c r="J2279" s="3">
        <v>46282</v>
      </c>
      <c r="K2279" s="3" t="s">
        <v>2370</v>
      </c>
      <c r="L2279" s="31">
        <v>46275.609717476851</v>
      </c>
      <c r="M2279" s="20">
        <v>12</v>
      </c>
      <c r="N2279" s="1">
        <v>5</v>
      </c>
    </row>
    <row r="2280" spans="1:14" x14ac:dyDescent="0.25">
      <c r="A2280" t="str">
        <f t="shared" si="72"/>
        <v>U146407U146407</v>
      </c>
      <c r="B2280" t="str">
        <f t="shared" si="73"/>
        <v>U146407G6035F4-M</v>
      </c>
      <c r="C2280" s="27" t="s">
        <v>24</v>
      </c>
      <c r="D2280" s="27" t="s">
        <v>633</v>
      </c>
      <c r="E2280" s="1" t="s">
        <v>436</v>
      </c>
      <c r="F2280" s="1" t="s">
        <v>440</v>
      </c>
      <c r="G2280" s="1" t="s">
        <v>438</v>
      </c>
      <c r="H2280" s="1">
        <v>708</v>
      </c>
      <c r="I2280" s="3">
        <v>46275</v>
      </c>
      <c r="J2280" s="3">
        <v>46282</v>
      </c>
      <c r="K2280" s="3" t="s">
        <v>2370</v>
      </c>
      <c r="L2280" s="31">
        <v>46275.613053275461</v>
      </c>
      <c r="M2280" s="20">
        <v>12</v>
      </c>
      <c r="N2280" s="1">
        <v>22</v>
      </c>
    </row>
    <row r="2281" spans="1:14" x14ac:dyDescent="0.25">
      <c r="A2281" t="str">
        <f t="shared" si="72"/>
        <v>U146407U146407</v>
      </c>
      <c r="B2281" t="str">
        <f t="shared" si="73"/>
        <v>U146407G6035F4-M</v>
      </c>
      <c r="C2281" s="27" t="s">
        <v>24</v>
      </c>
      <c r="D2281" s="27" t="s">
        <v>633</v>
      </c>
      <c r="E2281" s="1" t="s">
        <v>436</v>
      </c>
      <c r="F2281" s="1" t="s">
        <v>440</v>
      </c>
      <c r="G2281" s="1" t="s">
        <v>438</v>
      </c>
      <c r="H2281" s="1">
        <v>708</v>
      </c>
      <c r="I2281" s="3">
        <v>46275</v>
      </c>
      <c r="J2281" s="3">
        <v>46282</v>
      </c>
      <c r="K2281" s="3" t="s">
        <v>2370</v>
      </c>
      <c r="L2281" s="31">
        <v>46275.613480324071</v>
      </c>
      <c r="M2281" s="20">
        <v>12</v>
      </c>
      <c r="N2281" s="1">
        <v>31</v>
      </c>
    </row>
    <row r="2282" spans="1:14" x14ac:dyDescent="0.25">
      <c r="A2282" t="str">
        <f t="shared" si="72"/>
        <v>U146407U146407</v>
      </c>
      <c r="B2282" t="str">
        <f t="shared" si="73"/>
        <v>U146407G6035F4-M</v>
      </c>
      <c r="C2282" s="27" t="s">
        <v>24</v>
      </c>
      <c r="D2282" s="27" t="s">
        <v>633</v>
      </c>
      <c r="E2282" s="1" t="s">
        <v>436</v>
      </c>
      <c r="F2282" s="1" t="s">
        <v>440</v>
      </c>
      <c r="G2282" s="1" t="s">
        <v>438</v>
      </c>
      <c r="H2282" s="1">
        <v>708</v>
      </c>
      <c r="I2282" s="3">
        <v>46275</v>
      </c>
      <c r="J2282" s="3">
        <v>46282</v>
      </c>
      <c r="K2282" s="3" t="s">
        <v>2370</v>
      </c>
      <c r="L2282" s="31">
        <v>46275.626400578702</v>
      </c>
      <c r="M2282" s="20">
        <v>12</v>
      </c>
      <c r="N2282" s="1">
        <v>53</v>
      </c>
    </row>
    <row r="2283" spans="1:14" x14ac:dyDescent="0.25">
      <c r="A2283" t="str">
        <f t="shared" si="72"/>
        <v>U146407U146407</v>
      </c>
      <c r="B2283" t="str">
        <f t="shared" si="73"/>
        <v>U146407G6035F4-M</v>
      </c>
      <c r="C2283" s="27" t="s">
        <v>24</v>
      </c>
      <c r="D2283" s="27" t="s">
        <v>633</v>
      </c>
      <c r="E2283" s="1" t="s">
        <v>436</v>
      </c>
      <c r="F2283" s="1" t="s">
        <v>440</v>
      </c>
      <c r="G2283" s="1" t="s">
        <v>438</v>
      </c>
      <c r="H2283" s="1">
        <v>708</v>
      </c>
      <c r="I2283" s="3">
        <v>46275</v>
      </c>
      <c r="J2283" s="3">
        <v>46282</v>
      </c>
      <c r="K2283" s="3" t="s">
        <v>2370</v>
      </c>
      <c r="L2283" s="31">
        <v>46275.640281018517</v>
      </c>
      <c r="M2283" s="20">
        <v>12</v>
      </c>
      <c r="N2283" s="1">
        <v>36</v>
      </c>
    </row>
    <row r="2284" spans="1:14" x14ac:dyDescent="0.25">
      <c r="A2284" t="str">
        <f t="shared" si="72"/>
        <v>U146407U146407</v>
      </c>
      <c r="B2284" t="str">
        <f t="shared" si="73"/>
        <v>U146407G6035F4-M</v>
      </c>
      <c r="C2284" s="27" t="s">
        <v>24</v>
      </c>
      <c r="D2284" s="27" t="s">
        <v>633</v>
      </c>
      <c r="E2284" s="1" t="s">
        <v>436</v>
      </c>
      <c r="F2284" s="1" t="s">
        <v>440</v>
      </c>
      <c r="G2284" s="1" t="s">
        <v>438</v>
      </c>
      <c r="H2284" s="1">
        <v>708</v>
      </c>
      <c r="I2284" s="3">
        <v>46275</v>
      </c>
      <c r="J2284" s="3">
        <v>46282</v>
      </c>
      <c r="K2284" s="3" t="s">
        <v>2370</v>
      </c>
      <c r="L2284" s="31">
        <v>46275.646839317131</v>
      </c>
      <c r="M2284" s="20">
        <v>12</v>
      </c>
      <c r="N2284" s="1">
        <v>23</v>
      </c>
    </row>
    <row r="2285" spans="1:14" x14ac:dyDescent="0.25">
      <c r="A2285" t="str">
        <f t="shared" si="72"/>
        <v>U146407U146407</v>
      </c>
      <c r="B2285" t="str">
        <f t="shared" si="73"/>
        <v>U146407G6035F4-M</v>
      </c>
      <c r="C2285" s="27" t="s">
        <v>24</v>
      </c>
      <c r="D2285" s="27" t="s">
        <v>633</v>
      </c>
      <c r="E2285" s="1" t="s">
        <v>436</v>
      </c>
      <c r="F2285" s="1" t="s">
        <v>440</v>
      </c>
      <c r="G2285" s="1" t="s">
        <v>438</v>
      </c>
      <c r="H2285" s="1">
        <v>708</v>
      </c>
      <c r="I2285" s="3">
        <v>46275</v>
      </c>
      <c r="J2285" s="3">
        <v>46282</v>
      </c>
      <c r="K2285" s="3" t="s">
        <v>2370</v>
      </c>
      <c r="L2285" s="31">
        <v>46275.647292789348</v>
      </c>
      <c r="M2285" s="20">
        <v>12</v>
      </c>
      <c r="N2285" s="1">
        <v>30</v>
      </c>
    </row>
    <row r="2286" spans="1:14" x14ac:dyDescent="0.25">
      <c r="A2286" t="str">
        <f t="shared" si="72"/>
        <v>U146407U146407</v>
      </c>
      <c r="B2286" t="str">
        <f t="shared" si="73"/>
        <v>U146407G6035F4-M</v>
      </c>
      <c r="C2286" s="27" t="s">
        <v>24</v>
      </c>
      <c r="D2286" s="27" t="s">
        <v>633</v>
      </c>
      <c r="E2286" s="1" t="s">
        <v>436</v>
      </c>
      <c r="F2286" s="1" t="s">
        <v>440</v>
      </c>
      <c r="G2286" s="1" t="s">
        <v>438</v>
      </c>
      <c r="H2286" s="1">
        <v>708</v>
      </c>
      <c r="I2286" s="3">
        <v>46275</v>
      </c>
      <c r="J2286" s="3">
        <v>46282</v>
      </c>
      <c r="K2286" s="3" t="s">
        <v>2370</v>
      </c>
      <c r="L2286" s="31">
        <v>46275.647467395829</v>
      </c>
      <c r="M2286" s="20">
        <v>12</v>
      </c>
      <c r="N2286" s="1">
        <v>6</v>
      </c>
    </row>
    <row r="2287" spans="1:14" x14ac:dyDescent="0.25">
      <c r="A2287" t="str">
        <f t="shared" si="72"/>
        <v>U146407U146407</v>
      </c>
      <c r="B2287" t="str">
        <f t="shared" si="73"/>
        <v>U146407G6035F4-M</v>
      </c>
      <c r="C2287" s="27" t="s">
        <v>24</v>
      </c>
      <c r="D2287" s="27" t="s">
        <v>633</v>
      </c>
      <c r="E2287" s="1" t="s">
        <v>436</v>
      </c>
      <c r="F2287" s="1" t="s">
        <v>440</v>
      </c>
      <c r="G2287" s="1" t="s">
        <v>438</v>
      </c>
      <c r="H2287" s="1">
        <v>708</v>
      </c>
      <c r="I2287" s="3">
        <v>46275</v>
      </c>
      <c r="J2287" s="3">
        <v>46282</v>
      </c>
      <c r="K2287" s="3" t="s">
        <v>2370</v>
      </c>
      <c r="L2287" s="31">
        <v>46275.664186111106</v>
      </c>
      <c r="M2287" s="20">
        <v>12</v>
      </c>
      <c r="N2287" s="1">
        <v>39</v>
      </c>
    </row>
    <row r="2288" spans="1:14" x14ac:dyDescent="0.25">
      <c r="A2288" t="str">
        <f t="shared" si="72"/>
        <v>U146407U146407</v>
      </c>
      <c r="B2288" t="str">
        <f t="shared" si="73"/>
        <v>U146407G6035F4-M</v>
      </c>
      <c r="C2288" s="27" t="s">
        <v>24</v>
      </c>
      <c r="D2288" s="27" t="s">
        <v>633</v>
      </c>
      <c r="E2288" s="1" t="s">
        <v>436</v>
      </c>
      <c r="F2288" s="1" t="s">
        <v>440</v>
      </c>
      <c r="G2288" s="1" t="s">
        <v>438</v>
      </c>
      <c r="H2288" s="1">
        <v>708</v>
      </c>
      <c r="I2288" s="3">
        <v>46275</v>
      </c>
      <c r="J2288" s="3">
        <v>46282</v>
      </c>
      <c r="K2288" s="3" t="s">
        <v>2370</v>
      </c>
      <c r="L2288" s="31">
        <v>46275.670286493056</v>
      </c>
      <c r="M2288" s="20">
        <v>12</v>
      </c>
      <c r="N2288" s="1">
        <v>33</v>
      </c>
    </row>
    <row r="2289" spans="1:14" x14ac:dyDescent="0.25">
      <c r="A2289" t="str">
        <f t="shared" si="72"/>
        <v>U146408U146408</v>
      </c>
      <c r="B2289" t="str">
        <f t="shared" si="73"/>
        <v>U146408P60394T-M</v>
      </c>
      <c r="C2289" s="27" t="s">
        <v>49</v>
      </c>
      <c r="D2289" s="27" t="s">
        <v>639</v>
      </c>
      <c r="E2289" s="1" t="s">
        <v>436</v>
      </c>
      <c r="F2289" s="1" t="s">
        <v>439</v>
      </c>
      <c r="G2289" s="1" t="s">
        <v>438</v>
      </c>
      <c r="H2289" s="1">
        <v>756</v>
      </c>
      <c r="I2289" s="3">
        <v>46275</v>
      </c>
      <c r="J2289" s="3">
        <v>46279</v>
      </c>
      <c r="K2289" s="3" t="s">
        <v>2369</v>
      </c>
      <c r="L2289" s="31">
        <v>46275.4142965625</v>
      </c>
      <c r="M2289" s="20">
        <v>12</v>
      </c>
      <c r="N2289" s="1">
        <v>53</v>
      </c>
    </row>
    <row r="2290" spans="1:14" x14ac:dyDescent="0.25">
      <c r="A2290" t="str">
        <f t="shared" si="72"/>
        <v>U146408U146408</v>
      </c>
      <c r="B2290" t="str">
        <f t="shared" si="73"/>
        <v>U146408P60394T-M</v>
      </c>
      <c r="C2290" s="27" t="s">
        <v>49</v>
      </c>
      <c r="D2290" s="27" t="s">
        <v>639</v>
      </c>
      <c r="E2290" s="1" t="s">
        <v>436</v>
      </c>
      <c r="F2290" s="1" t="s">
        <v>439</v>
      </c>
      <c r="G2290" s="1" t="s">
        <v>438</v>
      </c>
      <c r="H2290" s="1">
        <v>756</v>
      </c>
      <c r="I2290" s="3">
        <v>46275</v>
      </c>
      <c r="J2290" s="3">
        <v>46279</v>
      </c>
      <c r="K2290" s="3" t="s">
        <v>2369</v>
      </c>
      <c r="L2290" s="31">
        <v>46275.418399733797</v>
      </c>
      <c r="M2290" s="20">
        <v>12</v>
      </c>
      <c r="N2290" s="1">
        <v>26</v>
      </c>
    </row>
    <row r="2291" spans="1:14" x14ac:dyDescent="0.25">
      <c r="A2291" t="str">
        <f t="shared" si="72"/>
        <v>U146408U146408</v>
      </c>
      <c r="B2291" t="str">
        <f t="shared" si="73"/>
        <v>U146408P60394T-M</v>
      </c>
      <c r="C2291" s="27" t="s">
        <v>49</v>
      </c>
      <c r="D2291" s="27" t="s">
        <v>639</v>
      </c>
      <c r="E2291" s="1" t="s">
        <v>436</v>
      </c>
      <c r="F2291" s="1" t="s">
        <v>439</v>
      </c>
      <c r="G2291" s="1" t="s">
        <v>438</v>
      </c>
      <c r="H2291" s="1">
        <v>756</v>
      </c>
      <c r="I2291" s="3">
        <v>46275</v>
      </c>
      <c r="J2291" s="3">
        <v>46279</v>
      </c>
      <c r="K2291" s="3" t="s">
        <v>2369</v>
      </c>
      <c r="L2291" s="31">
        <v>46275.41875853009</v>
      </c>
      <c r="M2291" s="20">
        <v>12</v>
      </c>
      <c r="N2291" s="1">
        <v>37</v>
      </c>
    </row>
    <row r="2292" spans="1:14" x14ac:dyDescent="0.25">
      <c r="A2292" t="str">
        <f t="shared" si="72"/>
        <v>U146408U146408</v>
      </c>
      <c r="B2292" t="str">
        <f t="shared" si="73"/>
        <v>U146408P60394T-M</v>
      </c>
      <c r="C2292" s="27" t="s">
        <v>49</v>
      </c>
      <c r="D2292" s="27" t="s">
        <v>639</v>
      </c>
      <c r="E2292" s="1" t="s">
        <v>436</v>
      </c>
      <c r="F2292" s="1" t="s">
        <v>439</v>
      </c>
      <c r="G2292" s="1" t="s">
        <v>438</v>
      </c>
      <c r="H2292" s="1">
        <v>756</v>
      </c>
      <c r="I2292" s="3">
        <v>46275</v>
      </c>
      <c r="J2292" s="3">
        <v>46279</v>
      </c>
      <c r="K2292" s="3" t="s">
        <v>2369</v>
      </c>
      <c r="L2292" s="31">
        <v>46275.419351851851</v>
      </c>
      <c r="M2292" s="20">
        <v>12</v>
      </c>
      <c r="N2292" s="1">
        <v>50</v>
      </c>
    </row>
    <row r="2293" spans="1:14" x14ac:dyDescent="0.25">
      <c r="A2293" t="str">
        <f t="shared" si="72"/>
        <v>U146408U146408</v>
      </c>
      <c r="B2293" t="str">
        <f t="shared" si="73"/>
        <v>U146408P60394T-M</v>
      </c>
      <c r="C2293" s="27" t="s">
        <v>49</v>
      </c>
      <c r="D2293" s="27" t="s">
        <v>639</v>
      </c>
      <c r="E2293" s="1" t="s">
        <v>436</v>
      </c>
      <c r="F2293" s="1" t="s">
        <v>439</v>
      </c>
      <c r="G2293" s="1" t="s">
        <v>438</v>
      </c>
      <c r="H2293" s="1">
        <v>756</v>
      </c>
      <c r="I2293" s="3">
        <v>46275</v>
      </c>
      <c r="J2293" s="3">
        <v>46279</v>
      </c>
      <c r="K2293" s="3" t="s">
        <v>2369</v>
      </c>
      <c r="L2293" s="31">
        <v>46275.419876469903</v>
      </c>
      <c r="M2293" s="20">
        <v>12</v>
      </c>
      <c r="N2293" s="1">
        <v>51</v>
      </c>
    </row>
    <row r="2294" spans="1:14" x14ac:dyDescent="0.25">
      <c r="A2294" t="str">
        <f t="shared" si="72"/>
        <v>U146408U146408</v>
      </c>
      <c r="B2294" t="str">
        <f t="shared" si="73"/>
        <v>U146408P60394T-M</v>
      </c>
      <c r="C2294" s="27" t="s">
        <v>49</v>
      </c>
      <c r="D2294" s="27" t="s">
        <v>639</v>
      </c>
      <c r="E2294" s="1" t="s">
        <v>436</v>
      </c>
      <c r="F2294" s="1" t="s">
        <v>439</v>
      </c>
      <c r="G2294" s="1" t="s">
        <v>438</v>
      </c>
      <c r="H2294" s="1">
        <v>756</v>
      </c>
      <c r="I2294" s="3">
        <v>46275</v>
      </c>
      <c r="J2294" s="3">
        <v>46279</v>
      </c>
      <c r="K2294" s="3" t="s">
        <v>2369</v>
      </c>
      <c r="L2294" s="31">
        <v>46275.430056979167</v>
      </c>
      <c r="M2294" s="20">
        <v>12</v>
      </c>
      <c r="N2294" s="1">
        <v>28</v>
      </c>
    </row>
    <row r="2295" spans="1:14" x14ac:dyDescent="0.25">
      <c r="A2295" t="str">
        <f t="shared" si="72"/>
        <v>U146408U146408</v>
      </c>
      <c r="B2295" t="str">
        <f t="shared" si="73"/>
        <v>U146408P60394T-M</v>
      </c>
      <c r="C2295" s="27" t="s">
        <v>49</v>
      </c>
      <c r="D2295" s="27" t="s">
        <v>639</v>
      </c>
      <c r="E2295" s="1" t="s">
        <v>436</v>
      </c>
      <c r="F2295" s="1" t="s">
        <v>439</v>
      </c>
      <c r="G2295" s="1" t="s">
        <v>438</v>
      </c>
      <c r="H2295" s="1">
        <v>756</v>
      </c>
      <c r="I2295" s="3">
        <v>46275</v>
      </c>
      <c r="J2295" s="3">
        <v>46279</v>
      </c>
      <c r="K2295" s="3" t="s">
        <v>2369</v>
      </c>
      <c r="L2295" s="31">
        <v>46275.449160682867</v>
      </c>
      <c r="M2295" s="20">
        <v>12</v>
      </c>
      <c r="N2295" s="1">
        <v>42</v>
      </c>
    </row>
    <row r="2296" spans="1:14" x14ac:dyDescent="0.25">
      <c r="A2296" t="str">
        <f t="shared" si="72"/>
        <v>U146408U146408</v>
      </c>
      <c r="B2296" t="str">
        <f t="shared" si="73"/>
        <v>U146408P60394T-M</v>
      </c>
      <c r="C2296" s="27" t="s">
        <v>49</v>
      </c>
      <c r="D2296" s="27" t="s">
        <v>639</v>
      </c>
      <c r="E2296" s="1" t="s">
        <v>436</v>
      </c>
      <c r="F2296" s="1" t="s">
        <v>439</v>
      </c>
      <c r="G2296" s="1" t="s">
        <v>438</v>
      </c>
      <c r="H2296" s="1">
        <v>756</v>
      </c>
      <c r="I2296" s="3">
        <v>46275</v>
      </c>
      <c r="J2296" s="3">
        <v>46279</v>
      </c>
      <c r="K2296" s="3" t="s">
        <v>2369</v>
      </c>
      <c r="L2296" s="31">
        <v>46275.449853587961</v>
      </c>
      <c r="M2296" s="20">
        <v>12</v>
      </c>
      <c r="N2296" s="1">
        <v>27</v>
      </c>
    </row>
    <row r="2297" spans="1:14" x14ac:dyDescent="0.25">
      <c r="A2297" t="str">
        <f t="shared" si="72"/>
        <v>U146408U146408</v>
      </c>
      <c r="B2297" t="str">
        <f t="shared" si="73"/>
        <v>U146408P60394T-M</v>
      </c>
      <c r="C2297" s="27" t="s">
        <v>49</v>
      </c>
      <c r="D2297" s="27" t="s">
        <v>639</v>
      </c>
      <c r="E2297" s="1" t="s">
        <v>436</v>
      </c>
      <c r="F2297" s="1" t="s">
        <v>439</v>
      </c>
      <c r="G2297" s="1" t="s">
        <v>438</v>
      </c>
      <c r="H2297" s="1">
        <v>756</v>
      </c>
      <c r="I2297" s="3">
        <v>46275</v>
      </c>
      <c r="J2297" s="3">
        <v>46279</v>
      </c>
      <c r="K2297" s="3" t="s">
        <v>2369</v>
      </c>
      <c r="L2297" s="31">
        <v>46275.450265277774</v>
      </c>
      <c r="M2297" s="20">
        <v>12</v>
      </c>
      <c r="N2297" s="1">
        <v>46</v>
      </c>
    </row>
    <row r="2298" spans="1:14" x14ac:dyDescent="0.25">
      <c r="A2298" t="str">
        <f t="shared" si="72"/>
        <v>U146408U146408</v>
      </c>
      <c r="B2298" t="str">
        <f t="shared" si="73"/>
        <v>U146408P60394T-M</v>
      </c>
      <c r="C2298" s="27" t="s">
        <v>49</v>
      </c>
      <c r="D2298" s="27" t="s">
        <v>639</v>
      </c>
      <c r="E2298" s="1" t="s">
        <v>436</v>
      </c>
      <c r="F2298" s="1" t="s">
        <v>439</v>
      </c>
      <c r="G2298" s="1" t="s">
        <v>438</v>
      </c>
      <c r="H2298" s="1">
        <v>756</v>
      </c>
      <c r="I2298" s="3">
        <v>46275</v>
      </c>
      <c r="J2298" s="3">
        <v>46279</v>
      </c>
      <c r="K2298" s="3" t="s">
        <v>2369</v>
      </c>
      <c r="L2298" s="31">
        <v>46275.450454548612</v>
      </c>
      <c r="M2298" s="20">
        <v>12</v>
      </c>
      <c r="N2298" s="1">
        <v>17</v>
      </c>
    </row>
    <row r="2299" spans="1:14" x14ac:dyDescent="0.25">
      <c r="A2299" t="str">
        <f t="shared" si="72"/>
        <v>U146408U146408</v>
      </c>
      <c r="B2299" t="str">
        <f t="shared" si="73"/>
        <v>U146408P60394T-M</v>
      </c>
      <c r="C2299" s="27" t="s">
        <v>49</v>
      </c>
      <c r="D2299" s="27" t="s">
        <v>639</v>
      </c>
      <c r="E2299" s="1" t="s">
        <v>436</v>
      </c>
      <c r="F2299" s="1" t="s">
        <v>439</v>
      </c>
      <c r="G2299" s="1" t="s">
        <v>438</v>
      </c>
      <c r="H2299" s="1">
        <v>756</v>
      </c>
      <c r="I2299" s="3">
        <v>46275</v>
      </c>
      <c r="J2299" s="3">
        <v>46279</v>
      </c>
      <c r="K2299" s="3" t="s">
        <v>2369</v>
      </c>
      <c r="L2299" s="31">
        <v>46275.450599733791</v>
      </c>
      <c r="M2299" s="20">
        <v>12</v>
      </c>
      <c r="N2299" s="1">
        <v>59</v>
      </c>
    </row>
    <row r="2300" spans="1:14" x14ac:dyDescent="0.25">
      <c r="A2300" t="str">
        <f t="shared" si="72"/>
        <v>U146408U146408</v>
      </c>
      <c r="B2300" t="str">
        <f t="shared" si="73"/>
        <v>U146408P60394T-M</v>
      </c>
      <c r="C2300" s="27" t="s">
        <v>49</v>
      </c>
      <c r="D2300" s="27" t="s">
        <v>639</v>
      </c>
      <c r="E2300" s="1" t="s">
        <v>436</v>
      </c>
      <c r="F2300" s="1" t="s">
        <v>439</v>
      </c>
      <c r="G2300" s="1" t="s">
        <v>438</v>
      </c>
      <c r="H2300" s="1">
        <v>756</v>
      </c>
      <c r="I2300" s="3">
        <v>46275</v>
      </c>
      <c r="J2300" s="3">
        <v>46279</v>
      </c>
      <c r="K2300" s="3" t="s">
        <v>2369</v>
      </c>
      <c r="L2300" s="31">
        <v>46275.453950081013</v>
      </c>
      <c r="M2300" s="20">
        <v>12</v>
      </c>
      <c r="N2300" s="1">
        <v>29</v>
      </c>
    </row>
    <row r="2301" spans="1:14" x14ac:dyDescent="0.25">
      <c r="A2301" t="str">
        <f t="shared" si="72"/>
        <v>U146408U146408</v>
      </c>
      <c r="B2301" t="str">
        <f t="shared" si="73"/>
        <v>U146408P60394T-M</v>
      </c>
      <c r="C2301" s="27" t="s">
        <v>49</v>
      </c>
      <c r="D2301" s="27" t="s">
        <v>639</v>
      </c>
      <c r="E2301" s="1" t="s">
        <v>436</v>
      </c>
      <c r="F2301" s="1" t="s">
        <v>439</v>
      </c>
      <c r="G2301" s="1" t="s">
        <v>438</v>
      </c>
      <c r="H2301" s="1">
        <v>756</v>
      </c>
      <c r="I2301" s="3">
        <v>46275</v>
      </c>
      <c r="J2301" s="3">
        <v>46279</v>
      </c>
      <c r="K2301" s="3" t="s">
        <v>2369</v>
      </c>
      <c r="L2301" s="31">
        <v>46275.454814201388</v>
      </c>
      <c r="M2301" s="20">
        <v>12</v>
      </c>
      <c r="N2301" s="1">
        <v>39</v>
      </c>
    </row>
    <row r="2302" spans="1:14" x14ac:dyDescent="0.25">
      <c r="A2302" t="str">
        <f t="shared" si="72"/>
        <v>U146408U146408</v>
      </c>
      <c r="B2302" t="str">
        <f t="shared" si="73"/>
        <v>U146408P60394T-M</v>
      </c>
      <c r="C2302" s="27" t="s">
        <v>49</v>
      </c>
      <c r="D2302" s="27" t="s">
        <v>639</v>
      </c>
      <c r="E2302" s="1" t="s">
        <v>436</v>
      </c>
      <c r="F2302" s="1" t="s">
        <v>439</v>
      </c>
      <c r="G2302" s="1" t="s">
        <v>438</v>
      </c>
      <c r="H2302" s="1">
        <v>756</v>
      </c>
      <c r="I2302" s="3">
        <v>46275</v>
      </c>
      <c r="J2302" s="3">
        <v>46279</v>
      </c>
      <c r="K2302" s="3" t="s">
        <v>2369</v>
      </c>
      <c r="L2302" s="31">
        <v>46275.457552743057</v>
      </c>
      <c r="M2302" s="20">
        <v>12</v>
      </c>
      <c r="N2302" s="1">
        <v>16</v>
      </c>
    </row>
    <row r="2303" spans="1:14" x14ac:dyDescent="0.25">
      <c r="A2303" t="str">
        <f t="shared" si="72"/>
        <v>U146408U146408</v>
      </c>
      <c r="B2303" t="str">
        <f t="shared" si="73"/>
        <v>U146408P60394T-M</v>
      </c>
      <c r="C2303" s="27" t="s">
        <v>49</v>
      </c>
      <c r="D2303" s="27" t="s">
        <v>639</v>
      </c>
      <c r="E2303" s="1" t="s">
        <v>436</v>
      </c>
      <c r="F2303" s="1" t="s">
        <v>439</v>
      </c>
      <c r="G2303" s="1" t="s">
        <v>438</v>
      </c>
      <c r="H2303" s="1">
        <v>756</v>
      </c>
      <c r="I2303" s="3">
        <v>46275</v>
      </c>
      <c r="J2303" s="3">
        <v>46279</v>
      </c>
      <c r="K2303" s="3" t="s">
        <v>2369</v>
      </c>
      <c r="L2303" s="31">
        <v>46275.458038923607</v>
      </c>
      <c r="M2303" s="20">
        <v>12</v>
      </c>
      <c r="N2303" s="1">
        <v>54</v>
      </c>
    </row>
    <row r="2304" spans="1:14" x14ac:dyDescent="0.25">
      <c r="A2304" t="str">
        <f t="shared" si="72"/>
        <v>U146408U146408</v>
      </c>
      <c r="B2304" t="str">
        <f t="shared" si="73"/>
        <v>U146408P60394T-M</v>
      </c>
      <c r="C2304" s="27" t="s">
        <v>49</v>
      </c>
      <c r="D2304" s="27" t="s">
        <v>639</v>
      </c>
      <c r="E2304" s="1" t="s">
        <v>436</v>
      </c>
      <c r="F2304" s="1" t="s">
        <v>439</v>
      </c>
      <c r="G2304" s="1" t="s">
        <v>438</v>
      </c>
      <c r="H2304" s="1">
        <v>756</v>
      </c>
      <c r="I2304" s="3">
        <v>46275</v>
      </c>
      <c r="J2304" s="3">
        <v>46279</v>
      </c>
      <c r="K2304" s="3" t="s">
        <v>2369</v>
      </c>
      <c r="L2304" s="31">
        <v>46275.458183449075</v>
      </c>
      <c r="M2304" s="20">
        <v>12</v>
      </c>
      <c r="N2304" s="1">
        <v>38</v>
      </c>
    </row>
    <row r="2305" spans="1:14" x14ac:dyDescent="0.25">
      <c r="A2305" t="str">
        <f t="shared" si="72"/>
        <v>U146408U146408</v>
      </c>
      <c r="B2305" t="str">
        <f t="shared" si="73"/>
        <v>U146408P60394T-M</v>
      </c>
      <c r="C2305" s="27" t="s">
        <v>49</v>
      </c>
      <c r="D2305" s="27" t="s">
        <v>639</v>
      </c>
      <c r="E2305" s="1" t="s">
        <v>436</v>
      </c>
      <c r="F2305" s="1" t="s">
        <v>439</v>
      </c>
      <c r="G2305" s="1" t="s">
        <v>438</v>
      </c>
      <c r="H2305" s="1">
        <v>756</v>
      </c>
      <c r="I2305" s="3">
        <v>46275</v>
      </c>
      <c r="J2305" s="3">
        <v>46279</v>
      </c>
      <c r="K2305" s="3" t="s">
        <v>2369</v>
      </c>
      <c r="L2305" s="31">
        <v>46275.463566203704</v>
      </c>
      <c r="M2305" s="20">
        <v>12</v>
      </c>
      <c r="N2305" s="1">
        <v>21</v>
      </c>
    </row>
    <row r="2306" spans="1:14" x14ac:dyDescent="0.25">
      <c r="A2306" t="str">
        <f t="shared" ref="A2306:A2369" si="74">+D2306&amp;D2306</f>
        <v>U146408U146408</v>
      </c>
      <c r="B2306" t="str">
        <f t="shared" ref="B2306:B2369" si="75">+D2306&amp;C2306</f>
        <v>U146408P60394T-M</v>
      </c>
      <c r="C2306" s="27" t="s">
        <v>49</v>
      </c>
      <c r="D2306" s="27" t="s">
        <v>639</v>
      </c>
      <c r="E2306" s="1" t="s">
        <v>436</v>
      </c>
      <c r="F2306" s="1" t="s">
        <v>439</v>
      </c>
      <c r="G2306" s="1" t="s">
        <v>438</v>
      </c>
      <c r="H2306" s="1">
        <v>756</v>
      </c>
      <c r="I2306" s="3">
        <v>46275</v>
      </c>
      <c r="J2306" s="3">
        <v>46279</v>
      </c>
      <c r="K2306" s="3" t="s">
        <v>2369</v>
      </c>
      <c r="L2306" s="31">
        <v>46275.481754166663</v>
      </c>
      <c r="M2306" s="20">
        <v>12</v>
      </c>
      <c r="N2306" s="1">
        <v>58</v>
      </c>
    </row>
    <row r="2307" spans="1:14" x14ac:dyDescent="0.25">
      <c r="A2307" t="str">
        <f t="shared" si="74"/>
        <v>U146408U146408</v>
      </c>
      <c r="B2307" t="str">
        <f t="shared" si="75"/>
        <v>U146408P60394T-M</v>
      </c>
      <c r="C2307" s="27" t="s">
        <v>49</v>
      </c>
      <c r="D2307" s="27" t="s">
        <v>639</v>
      </c>
      <c r="E2307" s="1" t="s">
        <v>436</v>
      </c>
      <c r="F2307" s="1" t="s">
        <v>439</v>
      </c>
      <c r="G2307" s="1" t="s">
        <v>438</v>
      </c>
      <c r="H2307" s="1">
        <v>756</v>
      </c>
      <c r="I2307" s="3">
        <v>46275</v>
      </c>
      <c r="J2307" s="3">
        <v>46279</v>
      </c>
      <c r="K2307" s="3" t="s">
        <v>2369</v>
      </c>
      <c r="L2307" s="31">
        <v>46275.557423923608</v>
      </c>
      <c r="M2307" s="20">
        <v>12</v>
      </c>
      <c r="N2307" s="1">
        <v>45</v>
      </c>
    </row>
    <row r="2308" spans="1:14" x14ac:dyDescent="0.25">
      <c r="A2308" t="str">
        <f t="shared" si="74"/>
        <v>U146408U146408</v>
      </c>
      <c r="B2308" t="str">
        <f t="shared" si="75"/>
        <v>U146408P60394T-M</v>
      </c>
      <c r="C2308" s="27" t="s">
        <v>49</v>
      </c>
      <c r="D2308" s="27" t="s">
        <v>639</v>
      </c>
      <c r="E2308" s="1" t="s">
        <v>436</v>
      </c>
      <c r="F2308" s="1" t="s">
        <v>439</v>
      </c>
      <c r="G2308" s="1" t="s">
        <v>438</v>
      </c>
      <c r="H2308" s="1">
        <v>756</v>
      </c>
      <c r="I2308" s="3">
        <v>46275</v>
      </c>
      <c r="J2308" s="3">
        <v>46279</v>
      </c>
      <c r="K2308" s="3" t="s">
        <v>2369</v>
      </c>
      <c r="L2308" s="31">
        <v>46275.573321331016</v>
      </c>
      <c r="M2308" s="20">
        <v>12</v>
      </c>
      <c r="N2308" s="1">
        <v>12</v>
      </c>
    </row>
    <row r="2309" spans="1:14" x14ac:dyDescent="0.25">
      <c r="A2309" t="str">
        <f t="shared" si="74"/>
        <v>U146408U146408</v>
      </c>
      <c r="B2309" t="str">
        <f t="shared" si="75"/>
        <v>U146408P60394T-M</v>
      </c>
      <c r="C2309" s="27" t="s">
        <v>49</v>
      </c>
      <c r="D2309" s="27" t="s">
        <v>639</v>
      </c>
      <c r="E2309" s="1" t="s">
        <v>436</v>
      </c>
      <c r="F2309" s="1" t="s">
        <v>439</v>
      </c>
      <c r="G2309" s="1" t="s">
        <v>438</v>
      </c>
      <c r="H2309" s="1">
        <v>756</v>
      </c>
      <c r="I2309" s="3">
        <v>46275</v>
      </c>
      <c r="J2309" s="3">
        <v>46279</v>
      </c>
      <c r="K2309" s="3" t="s">
        <v>2369</v>
      </c>
      <c r="L2309" s="31">
        <v>46275.574171724533</v>
      </c>
      <c r="M2309" s="20">
        <v>12</v>
      </c>
      <c r="N2309" s="1">
        <v>20</v>
      </c>
    </row>
    <row r="2310" spans="1:14" x14ac:dyDescent="0.25">
      <c r="A2310" t="str">
        <f t="shared" si="74"/>
        <v>U146408U146408</v>
      </c>
      <c r="B2310" t="str">
        <f t="shared" si="75"/>
        <v>U146408P60394T-M</v>
      </c>
      <c r="C2310" s="27" t="s">
        <v>49</v>
      </c>
      <c r="D2310" s="27" t="s">
        <v>639</v>
      </c>
      <c r="E2310" s="1" t="s">
        <v>436</v>
      </c>
      <c r="F2310" s="1" t="s">
        <v>439</v>
      </c>
      <c r="G2310" s="1" t="s">
        <v>438</v>
      </c>
      <c r="H2310" s="1">
        <v>756</v>
      </c>
      <c r="I2310" s="3">
        <v>46275</v>
      </c>
      <c r="J2310" s="3">
        <v>46279</v>
      </c>
      <c r="K2310" s="3" t="s">
        <v>2369</v>
      </c>
      <c r="L2310" s="31">
        <v>46275.576585798612</v>
      </c>
      <c r="M2310" s="20">
        <v>12</v>
      </c>
      <c r="N2310" s="1">
        <v>47</v>
      </c>
    </row>
    <row r="2311" spans="1:14" x14ac:dyDescent="0.25">
      <c r="A2311" t="str">
        <f t="shared" si="74"/>
        <v>U146408U146408</v>
      </c>
      <c r="B2311" t="str">
        <f t="shared" si="75"/>
        <v>U146408P60394T-M</v>
      </c>
      <c r="C2311" s="27" t="s">
        <v>49</v>
      </c>
      <c r="D2311" s="27" t="s">
        <v>639</v>
      </c>
      <c r="E2311" s="1" t="s">
        <v>436</v>
      </c>
      <c r="F2311" s="1" t="s">
        <v>439</v>
      </c>
      <c r="G2311" s="1" t="s">
        <v>438</v>
      </c>
      <c r="H2311" s="1">
        <v>756</v>
      </c>
      <c r="I2311" s="3">
        <v>46275</v>
      </c>
      <c r="J2311" s="3">
        <v>46279</v>
      </c>
      <c r="K2311" s="3" t="s">
        <v>2369</v>
      </c>
      <c r="L2311" s="31">
        <v>46275.578437384254</v>
      </c>
      <c r="M2311" s="20">
        <v>12</v>
      </c>
      <c r="N2311" s="1">
        <v>44</v>
      </c>
    </row>
    <row r="2312" spans="1:14" x14ac:dyDescent="0.25">
      <c r="A2312" t="str">
        <f t="shared" si="74"/>
        <v>U146408U146408</v>
      </c>
      <c r="B2312" t="str">
        <f t="shared" si="75"/>
        <v>U146408P60394T-M</v>
      </c>
      <c r="C2312" s="27" t="s">
        <v>49</v>
      </c>
      <c r="D2312" s="27" t="s">
        <v>639</v>
      </c>
      <c r="E2312" s="1" t="s">
        <v>436</v>
      </c>
      <c r="F2312" s="1" t="s">
        <v>439</v>
      </c>
      <c r="G2312" s="1" t="s">
        <v>438</v>
      </c>
      <c r="H2312" s="1">
        <v>756</v>
      </c>
      <c r="I2312" s="3">
        <v>46275</v>
      </c>
      <c r="J2312" s="3">
        <v>46279</v>
      </c>
      <c r="K2312" s="3" t="s">
        <v>2369</v>
      </c>
      <c r="L2312" s="31">
        <v>46275.579492858793</v>
      </c>
      <c r="M2312" s="20">
        <v>12</v>
      </c>
      <c r="N2312" s="1">
        <v>19</v>
      </c>
    </row>
    <row r="2313" spans="1:14" x14ac:dyDescent="0.25">
      <c r="A2313" t="str">
        <f t="shared" si="74"/>
        <v>U146408U146408</v>
      </c>
      <c r="B2313" t="str">
        <f t="shared" si="75"/>
        <v>U146408P60394T-M</v>
      </c>
      <c r="C2313" s="27" t="s">
        <v>49</v>
      </c>
      <c r="D2313" s="27" t="s">
        <v>639</v>
      </c>
      <c r="E2313" s="1" t="s">
        <v>436</v>
      </c>
      <c r="F2313" s="1" t="s">
        <v>439</v>
      </c>
      <c r="G2313" s="1" t="s">
        <v>438</v>
      </c>
      <c r="H2313" s="1">
        <v>756</v>
      </c>
      <c r="I2313" s="3">
        <v>46275</v>
      </c>
      <c r="J2313" s="3">
        <v>46279</v>
      </c>
      <c r="K2313" s="3" t="s">
        <v>2369</v>
      </c>
      <c r="L2313" s="31">
        <v>46275.580793483794</v>
      </c>
      <c r="M2313" s="20">
        <v>12</v>
      </c>
      <c r="N2313" s="1">
        <v>52</v>
      </c>
    </row>
    <row r="2314" spans="1:14" x14ac:dyDescent="0.25">
      <c r="A2314" t="str">
        <f t="shared" si="74"/>
        <v>U146408U146408</v>
      </c>
      <c r="B2314" t="str">
        <f t="shared" si="75"/>
        <v>U146408P60394T-M</v>
      </c>
      <c r="C2314" s="27" t="s">
        <v>49</v>
      </c>
      <c r="D2314" s="27" t="s">
        <v>639</v>
      </c>
      <c r="E2314" s="1" t="s">
        <v>436</v>
      </c>
      <c r="F2314" s="1" t="s">
        <v>439</v>
      </c>
      <c r="G2314" s="1" t="s">
        <v>438</v>
      </c>
      <c r="H2314" s="1">
        <v>756</v>
      </c>
      <c r="I2314" s="3">
        <v>46275</v>
      </c>
      <c r="J2314" s="3">
        <v>46279</v>
      </c>
      <c r="K2314" s="3" t="s">
        <v>2369</v>
      </c>
      <c r="L2314" s="31">
        <v>46275.610350034724</v>
      </c>
      <c r="M2314" s="20">
        <v>12</v>
      </c>
      <c r="N2314" s="1">
        <v>43</v>
      </c>
    </row>
    <row r="2315" spans="1:14" x14ac:dyDescent="0.25">
      <c r="A2315" t="str">
        <f t="shared" si="74"/>
        <v>U146408U146408</v>
      </c>
      <c r="B2315" t="str">
        <f t="shared" si="75"/>
        <v>U146408P60394T-M</v>
      </c>
      <c r="C2315" s="27" t="s">
        <v>49</v>
      </c>
      <c r="D2315" s="27" t="s">
        <v>639</v>
      </c>
      <c r="E2315" s="1" t="s">
        <v>436</v>
      </c>
      <c r="F2315" s="1" t="s">
        <v>439</v>
      </c>
      <c r="G2315" s="1" t="s">
        <v>438</v>
      </c>
      <c r="H2315" s="1">
        <v>756</v>
      </c>
      <c r="I2315" s="3">
        <v>46275</v>
      </c>
      <c r="J2315" s="3">
        <v>46279</v>
      </c>
      <c r="K2315" s="3" t="s">
        <v>2369</v>
      </c>
      <c r="L2315" s="31">
        <v>46275.610738969903</v>
      </c>
      <c r="M2315" s="20">
        <v>12</v>
      </c>
      <c r="N2315" s="1">
        <v>30</v>
      </c>
    </row>
    <row r="2316" spans="1:14" x14ac:dyDescent="0.25">
      <c r="A2316" t="str">
        <f t="shared" si="74"/>
        <v>U146408U146408</v>
      </c>
      <c r="B2316" t="str">
        <f t="shared" si="75"/>
        <v>U146408P60394T-M</v>
      </c>
      <c r="C2316" s="27" t="s">
        <v>49</v>
      </c>
      <c r="D2316" s="27" t="s">
        <v>639</v>
      </c>
      <c r="E2316" s="1" t="s">
        <v>436</v>
      </c>
      <c r="F2316" s="1" t="s">
        <v>439</v>
      </c>
      <c r="G2316" s="1" t="s">
        <v>438</v>
      </c>
      <c r="H2316" s="1">
        <v>756</v>
      </c>
      <c r="I2316" s="3">
        <v>46275</v>
      </c>
      <c r="J2316" s="3">
        <v>46279</v>
      </c>
      <c r="K2316" s="3" t="s">
        <v>2369</v>
      </c>
      <c r="L2316" s="31">
        <v>46275.621221562498</v>
      </c>
      <c r="M2316" s="20">
        <v>12</v>
      </c>
      <c r="N2316" s="1">
        <v>31</v>
      </c>
    </row>
    <row r="2317" spans="1:14" x14ac:dyDescent="0.25">
      <c r="A2317" t="str">
        <f t="shared" si="74"/>
        <v>U146408U146408</v>
      </c>
      <c r="B2317" t="str">
        <f t="shared" si="75"/>
        <v>U146408P60394T-M</v>
      </c>
      <c r="C2317" s="27" t="s">
        <v>49</v>
      </c>
      <c r="D2317" s="27" t="s">
        <v>639</v>
      </c>
      <c r="E2317" s="1" t="s">
        <v>436</v>
      </c>
      <c r="F2317" s="1" t="s">
        <v>439</v>
      </c>
      <c r="G2317" s="1" t="s">
        <v>438</v>
      </c>
      <c r="H2317" s="1">
        <v>756</v>
      </c>
      <c r="I2317" s="3">
        <v>46275</v>
      </c>
      <c r="J2317" s="3">
        <v>46279</v>
      </c>
      <c r="K2317" s="3" t="s">
        <v>2369</v>
      </c>
      <c r="L2317" s="31">
        <v>46275.638360416662</v>
      </c>
      <c r="M2317" s="20">
        <v>12</v>
      </c>
      <c r="N2317" s="1">
        <v>11</v>
      </c>
    </row>
    <row r="2318" spans="1:14" x14ac:dyDescent="0.25">
      <c r="A2318" t="str">
        <f t="shared" si="74"/>
        <v>U146408U146408</v>
      </c>
      <c r="B2318" t="str">
        <f t="shared" si="75"/>
        <v>U146408P60394T-M</v>
      </c>
      <c r="C2318" s="27" t="s">
        <v>49</v>
      </c>
      <c r="D2318" s="27" t="s">
        <v>639</v>
      </c>
      <c r="E2318" s="1" t="s">
        <v>436</v>
      </c>
      <c r="F2318" s="1" t="s">
        <v>439</v>
      </c>
      <c r="G2318" s="1" t="s">
        <v>438</v>
      </c>
      <c r="H2318" s="1">
        <v>756</v>
      </c>
      <c r="I2318" s="3">
        <v>46275</v>
      </c>
      <c r="J2318" s="3">
        <v>46279</v>
      </c>
      <c r="K2318" s="3" t="s">
        <v>2369</v>
      </c>
      <c r="L2318" s="31">
        <v>46275.661309027775</v>
      </c>
      <c r="M2318" s="20">
        <v>12</v>
      </c>
      <c r="N2318" s="1">
        <v>32</v>
      </c>
    </row>
    <row r="2319" spans="1:14" x14ac:dyDescent="0.25">
      <c r="A2319" t="str">
        <f t="shared" si="74"/>
        <v>U146408U146408</v>
      </c>
      <c r="B2319" t="str">
        <f t="shared" si="75"/>
        <v>U146408P60394T-M</v>
      </c>
      <c r="C2319" s="27" t="s">
        <v>49</v>
      </c>
      <c r="D2319" s="27" t="s">
        <v>639</v>
      </c>
      <c r="E2319" s="1" t="s">
        <v>436</v>
      </c>
      <c r="F2319" s="1" t="s">
        <v>439</v>
      </c>
      <c r="G2319" s="1" t="s">
        <v>438</v>
      </c>
      <c r="H2319" s="1">
        <v>756</v>
      </c>
      <c r="I2319" s="3">
        <v>46275</v>
      </c>
      <c r="J2319" s="3">
        <v>46279</v>
      </c>
      <c r="K2319" s="3" t="s">
        <v>2369</v>
      </c>
      <c r="L2319" s="31">
        <v>46275.663686111111</v>
      </c>
      <c r="M2319" s="20">
        <v>12</v>
      </c>
      <c r="N2319" s="1">
        <v>18</v>
      </c>
    </row>
    <row r="2320" spans="1:14" x14ac:dyDescent="0.25">
      <c r="A2320" t="str">
        <f t="shared" si="74"/>
        <v>U146408U146408</v>
      </c>
      <c r="B2320" t="str">
        <f t="shared" si="75"/>
        <v>U146408P60394T-M</v>
      </c>
      <c r="C2320" s="27" t="s">
        <v>49</v>
      </c>
      <c r="D2320" s="27" t="s">
        <v>639</v>
      </c>
      <c r="E2320" s="1" t="s">
        <v>436</v>
      </c>
      <c r="F2320" s="1" t="s">
        <v>439</v>
      </c>
      <c r="G2320" s="1" t="s">
        <v>438</v>
      </c>
      <c r="H2320" s="1">
        <v>756</v>
      </c>
      <c r="I2320" s="3">
        <v>46275</v>
      </c>
      <c r="J2320" s="3">
        <v>46279</v>
      </c>
      <c r="K2320" s="3" t="s">
        <v>2369</v>
      </c>
      <c r="L2320" s="31">
        <v>46275.664028935185</v>
      </c>
      <c r="M2320" s="20">
        <v>12</v>
      </c>
      <c r="N2320" s="1">
        <v>60</v>
      </c>
    </row>
    <row r="2321" spans="1:14" x14ac:dyDescent="0.25">
      <c r="A2321" t="str">
        <f t="shared" si="74"/>
        <v>U146408U146408</v>
      </c>
      <c r="B2321" t="str">
        <f t="shared" si="75"/>
        <v>U146408P60394T-M</v>
      </c>
      <c r="C2321" s="27" t="s">
        <v>49</v>
      </c>
      <c r="D2321" s="27" t="s">
        <v>639</v>
      </c>
      <c r="E2321" s="1" t="s">
        <v>436</v>
      </c>
      <c r="F2321" s="1" t="s">
        <v>439</v>
      </c>
      <c r="G2321" s="1" t="s">
        <v>438</v>
      </c>
      <c r="H2321" s="1">
        <v>756</v>
      </c>
      <c r="I2321" s="3">
        <v>46275</v>
      </c>
      <c r="J2321" s="3">
        <v>46279</v>
      </c>
      <c r="K2321" s="3" t="s">
        <v>2369</v>
      </c>
      <c r="L2321" s="31">
        <v>46275.671770636574</v>
      </c>
      <c r="M2321" s="20">
        <v>12</v>
      </c>
      <c r="N2321" s="1">
        <v>41</v>
      </c>
    </row>
    <row r="2322" spans="1:14" x14ac:dyDescent="0.25">
      <c r="A2322" t="str">
        <f t="shared" si="74"/>
        <v>U146408U146408</v>
      </c>
      <c r="B2322" t="str">
        <f t="shared" si="75"/>
        <v>U146408P60394T-M</v>
      </c>
      <c r="C2322" s="27" t="s">
        <v>49</v>
      </c>
      <c r="D2322" s="27" t="s">
        <v>639</v>
      </c>
      <c r="E2322" s="1" t="s">
        <v>436</v>
      </c>
      <c r="F2322" s="1" t="s">
        <v>439</v>
      </c>
      <c r="G2322" s="1" t="s">
        <v>438</v>
      </c>
      <c r="H2322" s="1">
        <v>756</v>
      </c>
      <c r="I2322" s="3">
        <v>46275</v>
      </c>
      <c r="J2322" s="3">
        <v>46279</v>
      </c>
      <c r="K2322" s="3" t="s">
        <v>2369</v>
      </c>
      <c r="L2322" s="31">
        <v>46275.672806828705</v>
      </c>
      <c r="M2322" s="20">
        <v>12</v>
      </c>
      <c r="N2322" s="1">
        <v>36</v>
      </c>
    </row>
    <row r="2323" spans="1:14" x14ac:dyDescent="0.25">
      <c r="A2323" t="str">
        <f t="shared" si="74"/>
        <v>U146421U146421</v>
      </c>
      <c r="B2323" t="str">
        <f t="shared" si="75"/>
        <v>U146421G6035F4-M</v>
      </c>
      <c r="C2323" s="27" t="s">
        <v>24</v>
      </c>
      <c r="D2323" s="27" t="s">
        <v>636</v>
      </c>
      <c r="E2323" s="1" t="s">
        <v>436</v>
      </c>
      <c r="F2323" s="1" t="s">
        <v>439</v>
      </c>
      <c r="G2323" s="1" t="s">
        <v>438</v>
      </c>
      <c r="H2323" s="1">
        <v>780</v>
      </c>
      <c r="I2323" s="3">
        <v>46275</v>
      </c>
      <c r="J2323" s="3">
        <v>46289</v>
      </c>
      <c r="K2323" s="3" t="s">
        <v>2374</v>
      </c>
      <c r="L2323" s="31">
        <v>46275.37418194444</v>
      </c>
      <c r="M2323" s="20">
        <v>12</v>
      </c>
      <c r="N2323" s="1">
        <v>22</v>
      </c>
    </row>
    <row r="2324" spans="1:14" x14ac:dyDescent="0.25">
      <c r="A2324" t="str">
        <f t="shared" si="74"/>
        <v>U146421U146421</v>
      </c>
      <c r="B2324" t="str">
        <f t="shared" si="75"/>
        <v>U146421G6035F4-M</v>
      </c>
      <c r="C2324" s="27" t="s">
        <v>24</v>
      </c>
      <c r="D2324" s="27" t="s">
        <v>636</v>
      </c>
      <c r="E2324" s="1" t="s">
        <v>436</v>
      </c>
      <c r="F2324" s="1" t="s">
        <v>439</v>
      </c>
      <c r="G2324" s="1" t="s">
        <v>438</v>
      </c>
      <c r="H2324" s="1">
        <v>780</v>
      </c>
      <c r="I2324" s="3">
        <v>46275</v>
      </c>
      <c r="J2324" s="3">
        <v>46289</v>
      </c>
      <c r="K2324" s="3" t="s">
        <v>2374</v>
      </c>
      <c r="L2324" s="31">
        <v>46275.374408680553</v>
      </c>
      <c r="M2324" s="20">
        <v>12</v>
      </c>
      <c r="N2324" s="1">
        <v>9</v>
      </c>
    </row>
    <row r="2325" spans="1:14" x14ac:dyDescent="0.25">
      <c r="A2325" t="str">
        <f t="shared" si="74"/>
        <v>U146421U146421</v>
      </c>
      <c r="B2325" t="str">
        <f t="shared" si="75"/>
        <v>U146421G6035F4-M</v>
      </c>
      <c r="C2325" s="27" t="s">
        <v>24</v>
      </c>
      <c r="D2325" s="27" t="s">
        <v>636</v>
      </c>
      <c r="E2325" s="1" t="s">
        <v>436</v>
      </c>
      <c r="F2325" s="1" t="s">
        <v>439</v>
      </c>
      <c r="G2325" s="1" t="s">
        <v>438</v>
      </c>
      <c r="H2325" s="1">
        <v>780</v>
      </c>
      <c r="I2325" s="3">
        <v>46275</v>
      </c>
      <c r="J2325" s="3">
        <v>46289</v>
      </c>
      <c r="K2325" s="3" t="s">
        <v>2374</v>
      </c>
      <c r="L2325" s="31">
        <v>46275.380072222222</v>
      </c>
      <c r="M2325" s="20">
        <v>12</v>
      </c>
      <c r="N2325" s="1">
        <v>39</v>
      </c>
    </row>
    <row r="2326" spans="1:14" x14ac:dyDescent="0.25">
      <c r="A2326" t="str">
        <f t="shared" si="74"/>
        <v>U146421U146421</v>
      </c>
      <c r="B2326" t="str">
        <f t="shared" si="75"/>
        <v>U146421G6035F4-M</v>
      </c>
      <c r="C2326" s="27" t="s">
        <v>24</v>
      </c>
      <c r="D2326" s="27" t="s">
        <v>636</v>
      </c>
      <c r="E2326" s="1" t="s">
        <v>436</v>
      </c>
      <c r="F2326" s="1" t="s">
        <v>439</v>
      </c>
      <c r="G2326" s="1" t="s">
        <v>438</v>
      </c>
      <c r="H2326" s="1">
        <v>780</v>
      </c>
      <c r="I2326" s="3">
        <v>46275</v>
      </c>
      <c r="J2326" s="3">
        <v>46289</v>
      </c>
      <c r="K2326" s="3" t="s">
        <v>2374</v>
      </c>
      <c r="L2326" s="31">
        <v>46275.390199189816</v>
      </c>
      <c r="M2326" s="20">
        <v>12</v>
      </c>
      <c r="N2326" s="1">
        <v>11</v>
      </c>
    </row>
    <row r="2327" spans="1:14" x14ac:dyDescent="0.25">
      <c r="A2327" t="str">
        <f t="shared" si="74"/>
        <v>U146421U146421</v>
      </c>
      <c r="B2327" t="str">
        <f t="shared" si="75"/>
        <v>U146421G6035F4-M</v>
      </c>
      <c r="C2327" s="27" t="s">
        <v>24</v>
      </c>
      <c r="D2327" s="27" t="s">
        <v>636</v>
      </c>
      <c r="E2327" s="1" t="s">
        <v>436</v>
      </c>
      <c r="F2327" s="1" t="s">
        <v>439</v>
      </c>
      <c r="G2327" s="1" t="s">
        <v>438</v>
      </c>
      <c r="H2327" s="1">
        <v>780</v>
      </c>
      <c r="I2327" s="3">
        <v>46275</v>
      </c>
      <c r="J2327" s="3">
        <v>46289</v>
      </c>
      <c r="K2327" s="3" t="s">
        <v>2374</v>
      </c>
      <c r="L2327" s="31">
        <v>46275.408107094903</v>
      </c>
      <c r="M2327" s="20">
        <v>12</v>
      </c>
      <c r="N2327" s="1">
        <v>10</v>
      </c>
    </row>
    <row r="2328" spans="1:14" x14ac:dyDescent="0.25">
      <c r="A2328" t="str">
        <f t="shared" si="74"/>
        <v>U146421U146421</v>
      </c>
      <c r="B2328" t="str">
        <f t="shared" si="75"/>
        <v>U146421G6035F4-M</v>
      </c>
      <c r="C2328" s="27" t="s">
        <v>24</v>
      </c>
      <c r="D2328" s="27" t="s">
        <v>636</v>
      </c>
      <c r="E2328" s="1" t="s">
        <v>436</v>
      </c>
      <c r="F2328" s="1" t="s">
        <v>439</v>
      </c>
      <c r="G2328" s="1" t="s">
        <v>438</v>
      </c>
      <c r="H2328" s="1">
        <v>780</v>
      </c>
      <c r="I2328" s="3">
        <v>46275</v>
      </c>
      <c r="J2328" s="3">
        <v>46289</v>
      </c>
      <c r="K2328" s="3" t="s">
        <v>2374</v>
      </c>
      <c r="L2328" s="31">
        <v>46275.416197916667</v>
      </c>
      <c r="M2328" s="20">
        <v>12</v>
      </c>
      <c r="N2328" s="1">
        <v>21</v>
      </c>
    </row>
    <row r="2329" spans="1:14" x14ac:dyDescent="0.25">
      <c r="A2329" t="str">
        <f t="shared" si="74"/>
        <v>U146421U146421</v>
      </c>
      <c r="B2329" t="str">
        <f t="shared" si="75"/>
        <v>U146421G6035F4-M</v>
      </c>
      <c r="C2329" s="27" t="s">
        <v>24</v>
      </c>
      <c r="D2329" s="27" t="s">
        <v>636</v>
      </c>
      <c r="E2329" s="1" t="s">
        <v>436</v>
      </c>
      <c r="F2329" s="1" t="s">
        <v>439</v>
      </c>
      <c r="G2329" s="1" t="s">
        <v>438</v>
      </c>
      <c r="H2329" s="1">
        <v>780</v>
      </c>
      <c r="I2329" s="3">
        <v>46275</v>
      </c>
      <c r="J2329" s="3">
        <v>46289</v>
      </c>
      <c r="K2329" s="3" t="s">
        <v>2374</v>
      </c>
      <c r="L2329" s="31">
        <v>46275.417107835645</v>
      </c>
      <c r="M2329" s="20">
        <v>12</v>
      </c>
      <c r="N2329" s="1">
        <v>38</v>
      </c>
    </row>
    <row r="2330" spans="1:14" x14ac:dyDescent="0.25">
      <c r="A2330" t="str">
        <f t="shared" si="74"/>
        <v>U146421U146421</v>
      </c>
      <c r="B2330" t="str">
        <f t="shared" si="75"/>
        <v>U146421G6035F4-M</v>
      </c>
      <c r="C2330" s="27" t="s">
        <v>24</v>
      </c>
      <c r="D2330" s="27" t="s">
        <v>636</v>
      </c>
      <c r="E2330" s="1" t="s">
        <v>436</v>
      </c>
      <c r="F2330" s="1" t="s">
        <v>439</v>
      </c>
      <c r="G2330" s="1" t="s">
        <v>438</v>
      </c>
      <c r="H2330" s="1">
        <v>780</v>
      </c>
      <c r="I2330" s="3">
        <v>46275</v>
      </c>
      <c r="J2330" s="3">
        <v>46289</v>
      </c>
      <c r="K2330" s="3" t="s">
        <v>2374</v>
      </c>
      <c r="L2330" s="31">
        <v>46275.476826967591</v>
      </c>
      <c r="M2330" s="20">
        <v>12</v>
      </c>
      <c r="N2330" s="1">
        <v>53</v>
      </c>
    </row>
    <row r="2331" spans="1:14" x14ac:dyDescent="0.25">
      <c r="A2331" t="str">
        <f t="shared" si="74"/>
        <v>U146421U146421</v>
      </c>
      <c r="B2331" t="str">
        <f t="shared" si="75"/>
        <v>U146421G6035F4-M</v>
      </c>
      <c r="C2331" s="27" t="s">
        <v>24</v>
      </c>
      <c r="D2331" s="27" t="s">
        <v>636</v>
      </c>
      <c r="E2331" s="1" t="s">
        <v>436</v>
      </c>
      <c r="F2331" s="1" t="s">
        <v>439</v>
      </c>
      <c r="G2331" s="1" t="s">
        <v>438</v>
      </c>
      <c r="H2331" s="1">
        <v>780</v>
      </c>
      <c r="I2331" s="3">
        <v>46275</v>
      </c>
      <c r="J2331" s="3">
        <v>46289</v>
      </c>
      <c r="K2331" s="3" t="s">
        <v>2374</v>
      </c>
      <c r="L2331" s="31">
        <v>46275.554697766202</v>
      </c>
      <c r="M2331" s="20">
        <v>12</v>
      </c>
      <c r="N2331" s="1">
        <v>23</v>
      </c>
    </row>
    <row r="2332" spans="1:14" x14ac:dyDescent="0.25">
      <c r="A2332" t="str">
        <f t="shared" si="74"/>
        <v>U146421U146421</v>
      </c>
      <c r="B2332" t="str">
        <f t="shared" si="75"/>
        <v>U146421G6035F4-M</v>
      </c>
      <c r="C2332" s="27" t="s">
        <v>24</v>
      </c>
      <c r="D2332" s="27" t="s">
        <v>636</v>
      </c>
      <c r="E2332" s="1" t="s">
        <v>436</v>
      </c>
      <c r="F2332" s="1" t="s">
        <v>439</v>
      </c>
      <c r="G2332" s="1" t="s">
        <v>438</v>
      </c>
      <c r="H2332" s="1">
        <v>780</v>
      </c>
      <c r="I2332" s="3">
        <v>46275</v>
      </c>
      <c r="J2332" s="3">
        <v>46289</v>
      </c>
      <c r="K2332" s="3" t="s">
        <v>2374</v>
      </c>
      <c r="L2332" s="31">
        <v>46275.555128125001</v>
      </c>
      <c r="M2332" s="20">
        <v>12</v>
      </c>
      <c r="N2332" s="1">
        <v>12</v>
      </c>
    </row>
    <row r="2333" spans="1:14" x14ac:dyDescent="0.25">
      <c r="A2333" t="str">
        <f t="shared" si="74"/>
        <v>U146421U146421</v>
      </c>
      <c r="B2333" t="str">
        <f t="shared" si="75"/>
        <v>U146421G6035F4-M</v>
      </c>
      <c r="C2333" s="27" t="s">
        <v>24</v>
      </c>
      <c r="D2333" s="27" t="s">
        <v>636</v>
      </c>
      <c r="E2333" s="1" t="s">
        <v>436</v>
      </c>
      <c r="F2333" s="1" t="s">
        <v>439</v>
      </c>
      <c r="G2333" s="1" t="s">
        <v>438</v>
      </c>
      <c r="H2333" s="1">
        <v>780</v>
      </c>
      <c r="I2333" s="3">
        <v>46275</v>
      </c>
      <c r="J2333" s="3">
        <v>46289</v>
      </c>
      <c r="K2333" s="3" t="s">
        <v>2374</v>
      </c>
      <c r="L2333" s="31">
        <v>46275.585267511575</v>
      </c>
      <c r="M2333" s="20">
        <v>12</v>
      </c>
      <c r="N2333" s="1">
        <v>14</v>
      </c>
    </row>
    <row r="2334" spans="1:14" x14ac:dyDescent="0.25">
      <c r="A2334" t="str">
        <f t="shared" si="74"/>
        <v>U146421U146421</v>
      </c>
      <c r="B2334" t="str">
        <f t="shared" si="75"/>
        <v>U146421G6035F4-M</v>
      </c>
      <c r="C2334" s="27" t="s">
        <v>24</v>
      </c>
      <c r="D2334" s="27" t="s">
        <v>636</v>
      </c>
      <c r="E2334" s="1" t="s">
        <v>436</v>
      </c>
      <c r="F2334" s="1" t="s">
        <v>439</v>
      </c>
      <c r="G2334" s="1" t="s">
        <v>438</v>
      </c>
      <c r="H2334" s="1">
        <v>780</v>
      </c>
      <c r="I2334" s="3">
        <v>46275</v>
      </c>
      <c r="J2334" s="3">
        <v>46289</v>
      </c>
      <c r="K2334" s="3" t="s">
        <v>2374</v>
      </c>
      <c r="L2334" s="31">
        <v>46275.585469791666</v>
      </c>
      <c r="M2334" s="20">
        <v>12</v>
      </c>
      <c r="N2334" s="1">
        <v>19</v>
      </c>
    </row>
    <row r="2335" spans="1:14" x14ac:dyDescent="0.25">
      <c r="A2335" t="str">
        <f t="shared" si="74"/>
        <v>U146421U146421</v>
      </c>
      <c r="B2335" t="str">
        <f t="shared" si="75"/>
        <v>U146421G6035F4-M</v>
      </c>
      <c r="C2335" s="27" t="s">
        <v>24</v>
      </c>
      <c r="D2335" s="27" t="s">
        <v>636</v>
      </c>
      <c r="E2335" s="1" t="s">
        <v>436</v>
      </c>
      <c r="F2335" s="1" t="s">
        <v>439</v>
      </c>
      <c r="G2335" s="1" t="s">
        <v>438</v>
      </c>
      <c r="H2335" s="1">
        <v>780</v>
      </c>
      <c r="I2335" s="3">
        <v>46275</v>
      </c>
      <c r="J2335" s="3">
        <v>46289</v>
      </c>
      <c r="K2335" s="3" t="s">
        <v>2374</v>
      </c>
      <c r="L2335" s="31">
        <v>46275.589665775464</v>
      </c>
      <c r="M2335" s="20">
        <v>12</v>
      </c>
      <c r="N2335" s="1">
        <v>40</v>
      </c>
    </row>
    <row r="2336" spans="1:14" x14ac:dyDescent="0.25">
      <c r="A2336" t="str">
        <f t="shared" si="74"/>
        <v>U146421U146421</v>
      </c>
      <c r="B2336" t="str">
        <f t="shared" si="75"/>
        <v>U146421G6035F4-M</v>
      </c>
      <c r="C2336" s="27" t="s">
        <v>24</v>
      </c>
      <c r="D2336" s="27" t="s">
        <v>636</v>
      </c>
      <c r="E2336" s="1" t="s">
        <v>436</v>
      </c>
      <c r="F2336" s="1" t="s">
        <v>439</v>
      </c>
      <c r="G2336" s="1" t="s">
        <v>438</v>
      </c>
      <c r="H2336" s="1">
        <v>780</v>
      </c>
      <c r="I2336" s="3">
        <v>46275</v>
      </c>
      <c r="J2336" s="3">
        <v>46289</v>
      </c>
      <c r="K2336" s="3" t="s">
        <v>2374</v>
      </c>
      <c r="L2336" s="31">
        <v>46275.611918136572</v>
      </c>
      <c r="M2336" s="20">
        <v>12</v>
      </c>
      <c r="N2336" s="1">
        <v>27</v>
      </c>
    </row>
    <row r="2337" spans="1:14" x14ac:dyDescent="0.25">
      <c r="A2337" t="str">
        <f t="shared" si="74"/>
        <v>U146421U146421</v>
      </c>
      <c r="B2337" t="str">
        <f t="shared" si="75"/>
        <v>U146421G6035F4-M</v>
      </c>
      <c r="C2337" s="27" t="s">
        <v>24</v>
      </c>
      <c r="D2337" s="27" t="s">
        <v>636</v>
      </c>
      <c r="E2337" s="1" t="s">
        <v>436</v>
      </c>
      <c r="F2337" s="1" t="s">
        <v>439</v>
      </c>
      <c r="G2337" s="1" t="s">
        <v>438</v>
      </c>
      <c r="H2337" s="1">
        <v>780</v>
      </c>
      <c r="I2337" s="3">
        <v>46275</v>
      </c>
      <c r="J2337" s="3">
        <v>46289</v>
      </c>
      <c r="K2337" s="3" t="s">
        <v>2374</v>
      </c>
      <c r="L2337" s="31">
        <v>46275.612874039347</v>
      </c>
      <c r="M2337" s="20">
        <v>12</v>
      </c>
      <c r="N2337" s="1">
        <v>45</v>
      </c>
    </row>
    <row r="2338" spans="1:14" x14ac:dyDescent="0.25">
      <c r="A2338" t="str">
        <f t="shared" si="74"/>
        <v>U146421U146421</v>
      </c>
      <c r="B2338" t="str">
        <f t="shared" si="75"/>
        <v>U146421G6035F4-M</v>
      </c>
      <c r="C2338" s="27" t="s">
        <v>24</v>
      </c>
      <c r="D2338" s="27" t="s">
        <v>636</v>
      </c>
      <c r="E2338" s="1" t="s">
        <v>436</v>
      </c>
      <c r="F2338" s="1" t="s">
        <v>439</v>
      </c>
      <c r="G2338" s="1" t="s">
        <v>438</v>
      </c>
      <c r="H2338" s="1">
        <v>780</v>
      </c>
      <c r="I2338" s="3">
        <v>46275</v>
      </c>
      <c r="J2338" s="3">
        <v>46289</v>
      </c>
      <c r="K2338" s="3" t="s">
        <v>2374</v>
      </c>
      <c r="L2338" s="31">
        <v>46275.613281331018</v>
      </c>
      <c r="M2338" s="20">
        <v>12</v>
      </c>
      <c r="N2338" s="1">
        <v>13</v>
      </c>
    </row>
    <row r="2339" spans="1:14" x14ac:dyDescent="0.25">
      <c r="A2339" t="str">
        <f t="shared" si="74"/>
        <v>U146421U146421</v>
      </c>
      <c r="B2339" t="str">
        <f t="shared" si="75"/>
        <v>U146421G6035F4-M</v>
      </c>
      <c r="C2339" s="27" t="s">
        <v>24</v>
      </c>
      <c r="D2339" s="27" t="s">
        <v>636</v>
      </c>
      <c r="E2339" s="1" t="s">
        <v>436</v>
      </c>
      <c r="F2339" s="1" t="s">
        <v>439</v>
      </c>
      <c r="G2339" s="1" t="s">
        <v>438</v>
      </c>
      <c r="H2339" s="1">
        <v>780</v>
      </c>
      <c r="I2339" s="3">
        <v>46275</v>
      </c>
      <c r="J2339" s="3">
        <v>46289</v>
      </c>
      <c r="K2339" s="3" t="s">
        <v>2374</v>
      </c>
      <c r="L2339" s="31">
        <v>46275.628544328705</v>
      </c>
      <c r="M2339" s="20">
        <v>12</v>
      </c>
      <c r="N2339" s="1">
        <v>20</v>
      </c>
    </row>
    <row r="2340" spans="1:14" x14ac:dyDescent="0.25">
      <c r="A2340" t="str">
        <f t="shared" si="74"/>
        <v>U146421U146421</v>
      </c>
      <c r="B2340" t="str">
        <f t="shared" si="75"/>
        <v>U146421G6035F4-M</v>
      </c>
      <c r="C2340" s="27" t="s">
        <v>24</v>
      </c>
      <c r="D2340" s="27" t="s">
        <v>636</v>
      </c>
      <c r="E2340" s="1" t="s">
        <v>436</v>
      </c>
      <c r="F2340" s="1" t="s">
        <v>439</v>
      </c>
      <c r="G2340" s="1" t="s">
        <v>438</v>
      </c>
      <c r="H2340" s="1">
        <v>780</v>
      </c>
      <c r="I2340" s="3">
        <v>46275</v>
      </c>
      <c r="J2340" s="3">
        <v>46289</v>
      </c>
      <c r="K2340" s="3" t="s">
        <v>2374</v>
      </c>
      <c r="L2340" s="31">
        <v>46275.630715081017</v>
      </c>
      <c r="M2340" s="20">
        <v>12</v>
      </c>
      <c r="N2340" s="1">
        <v>28</v>
      </c>
    </row>
    <row r="2341" spans="1:14" x14ac:dyDescent="0.25">
      <c r="A2341" t="str">
        <f t="shared" si="74"/>
        <v>U146421U146421</v>
      </c>
      <c r="B2341" t="str">
        <f t="shared" si="75"/>
        <v>U146421G6035F4-M</v>
      </c>
      <c r="C2341" s="27" t="s">
        <v>24</v>
      </c>
      <c r="D2341" s="27" t="s">
        <v>636</v>
      </c>
      <c r="E2341" s="1" t="s">
        <v>436</v>
      </c>
      <c r="F2341" s="1" t="s">
        <v>439</v>
      </c>
      <c r="G2341" s="1" t="s">
        <v>438</v>
      </c>
      <c r="H2341" s="1">
        <v>780</v>
      </c>
      <c r="I2341" s="3">
        <v>46275</v>
      </c>
      <c r="J2341" s="3">
        <v>46289</v>
      </c>
      <c r="K2341" s="3" t="s">
        <v>2374</v>
      </c>
      <c r="L2341" s="31">
        <v>46275.63212642361</v>
      </c>
      <c r="M2341" s="20">
        <v>12</v>
      </c>
      <c r="N2341" s="1">
        <v>8</v>
      </c>
    </row>
    <row r="2342" spans="1:14" x14ac:dyDescent="0.25">
      <c r="A2342" t="str">
        <f t="shared" si="74"/>
        <v>U146421U146421</v>
      </c>
      <c r="B2342" t="str">
        <f t="shared" si="75"/>
        <v>U146421G6035F4-M</v>
      </c>
      <c r="C2342" s="27" t="s">
        <v>24</v>
      </c>
      <c r="D2342" s="27" t="s">
        <v>636</v>
      </c>
      <c r="E2342" s="1" t="s">
        <v>436</v>
      </c>
      <c r="F2342" s="1" t="s">
        <v>439</v>
      </c>
      <c r="G2342" s="1" t="s">
        <v>438</v>
      </c>
      <c r="H2342" s="1">
        <v>780</v>
      </c>
      <c r="I2342" s="3">
        <v>46275</v>
      </c>
      <c r="J2342" s="3">
        <v>46289</v>
      </c>
      <c r="K2342" s="3" t="s">
        <v>2374</v>
      </c>
      <c r="L2342" s="31">
        <v>46275.632721724534</v>
      </c>
      <c r="M2342" s="20">
        <v>12</v>
      </c>
      <c r="N2342" s="1">
        <v>54</v>
      </c>
    </row>
    <row r="2343" spans="1:14" x14ac:dyDescent="0.25">
      <c r="A2343" t="str">
        <f t="shared" si="74"/>
        <v>U146421U146421</v>
      </c>
      <c r="B2343" t="str">
        <f t="shared" si="75"/>
        <v>U146421G6035F4-M</v>
      </c>
      <c r="C2343" s="27" t="s">
        <v>24</v>
      </c>
      <c r="D2343" s="27" t="s">
        <v>636</v>
      </c>
      <c r="E2343" s="1" t="s">
        <v>436</v>
      </c>
      <c r="F2343" s="1" t="s">
        <v>439</v>
      </c>
      <c r="G2343" s="1" t="s">
        <v>438</v>
      </c>
      <c r="H2343" s="1">
        <v>780</v>
      </c>
      <c r="I2343" s="3">
        <v>46275</v>
      </c>
      <c r="J2343" s="3">
        <v>46289</v>
      </c>
      <c r="K2343" s="3" t="s">
        <v>2374</v>
      </c>
      <c r="L2343" s="31">
        <v>46275.645463506946</v>
      </c>
      <c r="M2343" s="20">
        <v>12</v>
      </c>
      <c r="N2343" s="1">
        <v>1</v>
      </c>
    </row>
    <row r="2344" spans="1:14" x14ac:dyDescent="0.25">
      <c r="A2344" t="str">
        <f t="shared" si="74"/>
        <v>U146421U146421</v>
      </c>
      <c r="B2344" t="str">
        <f t="shared" si="75"/>
        <v>U146421G6035F4-M</v>
      </c>
      <c r="C2344" s="27" t="s">
        <v>24</v>
      </c>
      <c r="D2344" s="27" t="s">
        <v>636</v>
      </c>
      <c r="E2344" s="1" t="s">
        <v>436</v>
      </c>
      <c r="F2344" s="1" t="s">
        <v>439</v>
      </c>
      <c r="G2344" s="1" t="s">
        <v>438</v>
      </c>
      <c r="H2344" s="1">
        <v>780</v>
      </c>
      <c r="I2344" s="3">
        <v>46275</v>
      </c>
      <c r="J2344" s="3">
        <v>46289</v>
      </c>
      <c r="K2344" s="3" t="s">
        <v>2374</v>
      </c>
      <c r="L2344" s="31">
        <v>46275.658507986111</v>
      </c>
      <c r="M2344" s="20">
        <v>12</v>
      </c>
      <c r="N2344" s="1">
        <v>59</v>
      </c>
    </row>
    <row r="2345" spans="1:14" x14ac:dyDescent="0.25">
      <c r="A2345" t="str">
        <f t="shared" si="74"/>
        <v>U146421U146421</v>
      </c>
      <c r="B2345" t="str">
        <f t="shared" si="75"/>
        <v>U146421G6035F4-M</v>
      </c>
      <c r="C2345" s="27" t="s">
        <v>24</v>
      </c>
      <c r="D2345" s="27" t="s">
        <v>636</v>
      </c>
      <c r="E2345" s="1" t="s">
        <v>436</v>
      </c>
      <c r="F2345" s="1" t="s">
        <v>439</v>
      </c>
      <c r="G2345" s="1" t="s">
        <v>438</v>
      </c>
      <c r="H2345" s="1">
        <v>780</v>
      </c>
      <c r="I2345" s="3">
        <v>46275</v>
      </c>
      <c r="J2345" s="3">
        <v>46289</v>
      </c>
      <c r="K2345" s="3" t="s">
        <v>2374</v>
      </c>
      <c r="L2345" s="31">
        <v>46275.659061886574</v>
      </c>
      <c r="M2345" s="20">
        <v>12</v>
      </c>
      <c r="N2345" s="1">
        <v>46</v>
      </c>
    </row>
    <row r="2346" spans="1:14" x14ac:dyDescent="0.25">
      <c r="A2346" t="str">
        <f t="shared" si="74"/>
        <v>U146421U146421</v>
      </c>
      <c r="B2346" t="str">
        <f t="shared" si="75"/>
        <v>U146421G6035F4-M</v>
      </c>
      <c r="C2346" s="27" t="s">
        <v>24</v>
      </c>
      <c r="D2346" s="27" t="s">
        <v>636</v>
      </c>
      <c r="E2346" s="1" t="s">
        <v>436</v>
      </c>
      <c r="F2346" s="1" t="s">
        <v>439</v>
      </c>
      <c r="G2346" s="1" t="s">
        <v>438</v>
      </c>
      <c r="H2346" s="1">
        <v>780</v>
      </c>
      <c r="I2346" s="3">
        <v>46275</v>
      </c>
      <c r="J2346" s="3">
        <v>46289</v>
      </c>
      <c r="K2346" s="3" t="s">
        <v>2374</v>
      </c>
      <c r="L2346" s="31">
        <v>46275.663856099534</v>
      </c>
      <c r="M2346" s="20">
        <v>12</v>
      </c>
      <c r="N2346" s="1">
        <v>16</v>
      </c>
    </row>
    <row r="2347" spans="1:14" x14ac:dyDescent="0.25">
      <c r="A2347" t="str">
        <f t="shared" si="74"/>
        <v>U149026U149026</v>
      </c>
      <c r="B2347" t="str">
        <f t="shared" si="75"/>
        <v>U149026I90604IM-M</v>
      </c>
      <c r="C2347" s="27" t="s">
        <v>634</v>
      </c>
      <c r="D2347" s="27" t="s">
        <v>635</v>
      </c>
      <c r="E2347" s="1" t="s">
        <v>436</v>
      </c>
      <c r="F2347" s="1" t="s">
        <v>448</v>
      </c>
      <c r="G2347" s="1" t="s">
        <v>438</v>
      </c>
      <c r="H2347" s="1">
        <v>6804</v>
      </c>
      <c r="I2347" s="3">
        <v>46275</v>
      </c>
      <c r="J2347" s="3">
        <v>46289</v>
      </c>
      <c r="L2347" s="31">
        <v>46275.358858136569</v>
      </c>
      <c r="M2347" s="20">
        <v>12</v>
      </c>
      <c r="N2347" s="1">
        <v>296</v>
      </c>
    </row>
    <row r="2348" spans="1:14" x14ac:dyDescent="0.25">
      <c r="A2348" t="str">
        <f t="shared" si="74"/>
        <v>U149026U149026</v>
      </c>
      <c r="B2348" t="str">
        <f t="shared" si="75"/>
        <v>U149026I90604IM-M</v>
      </c>
      <c r="C2348" s="27" t="s">
        <v>634</v>
      </c>
      <c r="D2348" s="27" t="s">
        <v>635</v>
      </c>
      <c r="E2348" s="1" t="s">
        <v>436</v>
      </c>
      <c r="F2348" s="1" t="s">
        <v>448</v>
      </c>
      <c r="G2348" s="1" t="s">
        <v>438</v>
      </c>
      <c r="H2348" s="1">
        <v>6804</v>
      </c>
      <c r="I2348" s="3">
        <v>46275</v>
      </c>
      <c r="J2348" s="3">
        <v>46289</v>
      </c>
      <c r="L2348" s="31">
        <v>46275.369980636569</v>
      </c>
      <c r="M2348" s="20">
        <v>12</v>
      </c>
      <c r="N2348" s="1">
        <v>407</v>
      </c>
    </row>
    <row r="2349" spans="1:14" x14ac:dyDescent="0.25">
      <c r="A2349" t="str">
        <f t="shared" si="74"/>
        <v>U149026U149026</v>
      </c>
      <c r="B2349" t="str">
        <f t="shared" si="75"/>
        <v>U149026I90604IM-M</v>
      </c>
      <c r="C2349" s="27" t="s">
        <v>634</v>
      </c>
      <c r="D2349" s="27" t="s">
        <v>635</v>
      </c>
      <c r="E2349" s="1" t="s">
        <v>436</v>
      </c>
      <c r="F2349" s="1" t="s">
        <v>448</v>
      </c>
      <c r="G2349" s="1" t="s">
        <v>438</v>
      </c>
      <c r="H2349" s="1">
        <v>6804</v>
      </c>
      <c r="I2349" s="3">
        <v>46275</v>
      </c>
      <c r="J2349" s="3">
        <v>46289</v>
      </c>
      <c r="L2349" s="31">
        <v>46275.370294328699</v>
      </c>
      <c r="M2349" s="20">
        <v>12</v>
      </c>
      <c r="N2349" s="1">
        <v>295</v>
      </c>
    </row>
    <row r="2350" spans="1:14" x14ac:dyDescent="0.25">
      <c r="A2350" t="str">
        <f t="shared" si="74"/>
        <v>U152801U152801</v>
      </c>
      <c r="B2350" t="str">
        <f t="shared" si="75"/>
        <v>U152801P6031TJ-M</v>
      </c>
      <c r="C2350" s="27" t="s">
        <v>478</v>
      </c>
      <c r="D2350" s="27" t="s">
        <v>638</v>
      </c>
      <c r="E2350" s="1" t="s">
        <v>436</v>
      </c>
      <c r="F2350" s="1" t="s">
        <v>443</v>
      </c>
      <c r="G2350" s="1" t="s">
        <v>457</v>
      </c>
      <c r="H2350" s="1">
        <v>1698</v>
      </c>
      <c r="I2350" s="3">
        <v>46275</v>
      </c>
      <c r="J2350" s="3">
        <v>46281</v>
      </c>
      <c r="K2350" s="3" t="s">
        <v>2371</v>
      </c>
      <c r="L2350" s="31">
        <v>46275.396471990738</v>
      </c>
      <c r="M2350" s="20">
        <v>12</v>
      </c>
      <c r="N2350" s="1">
        <v>70</v>
      </c>
    </row>
    <row r="2351" spans="1:14" x14ac:dyDescent="0.25">
      <c r="A2351" t="str">
        <f t="shared" si="74"/>
        <v>U152801U152801</v>
      </c>
      <c r="B2351" t="str">
        <f t="shared" si="75"/>
        <v>U152801P6031TJ-M</v>
      </c>
      <c r="C2351" s="27" t="s">
        <v>478</v>
      </c>
      <c r="D2351" s="27" t="s">
        <v>638</v>
      </c>
      <c r="E2351" s="1" t="s">
        <v>436</v>
      </c>
      <c r="F2351" s="1" t="s">
        <v>443</v>
      </c>
      <c r="G2351" s="1" t="s">
        <v>457</v>
      </c>
      <c r="H2351" s="1">
        <v>1698</v>
      </c>
      <c r="I2351" s="3">
        <v>46275</v>
      </c>
      <c r="J2351" s="3">
        <v>46281</v>
      </c>
      <c r="K2351" s="3" t="s">
        <v>2371</v>
      </c>
      <c r="L2351" s="31">
        <v>46275.403000497681</v>
      </c>
      <c r="M2351" s="20">
        <v>12</v>
      </c>
      <c r="N2351" s="1">
        <v>47</v>
      </c>
    </row>
    <row r="2352" spans="1:14" x14ac:dyDescent="0.25">
      <c r="A2352" t="str">
        <f t="shared" si="74"/>
        <v>U152801U152801</v>
      </c>
      <c r="B2352" t="str">
        <f t="shared" si="75"/>
        <v>U152801P6031TJ-M</v>
      </c>
      <c r="C2352" s="27" t="s">
        <v>478</v>
      </c>
      <c r="D2352" s="27" t="s">
        <v>638</v>
      </c>
      <c r="E2352" s="1" t="s">
        <v>436</v>
      </c>
      <c r="F2352" s="1" t="s">
        <v>443</v>
      </c>
      <c r="G2352" s="1" t="s">
        <v>457</v>
      </c>
      <c r="H2352" s="1">
        <v>1698</v>
      </c>
      <c r="I2352" s="3">
        <v>46275</v>
      </c>
      <c r="J2352" s="3">
        <v>46281</v>
      </c>
      <c r="K2352" s="3" t="s">
        <v>2371</v>
      </c>
      <c r="L2352" s="31">
        <v>46275.410533912036</v>
      </c>
      <c r="M2352" s="20">
        <v>12</v>
      </c>
      <c r="N2352" s="1">
        <v>122</v>
      </c>
    </row>
    <row r="2353" spans="1:14" x14ac:dyDescent="0.25">
      <c r="A2353" t="str">
        <f t="shared" si="74"/>
        <v>U152801U152801</v>
      </c>
      <c r="B2353" t="str">
        <f t="shared" si="75"/>
        <v>U152801P6031TJ-M</v>
      </c>
      <c r="C2353" s="27" t="s">
        <v>478</v>
      </c>
      <c r="D2353" s="27" t="s">
        <v>638</v>
      </c>
      <c r="E2353" s="1" t="s">
        <v>436</v>
      </c>
      <c r="F2353" s="1" t="s">
        <v>443</v>
      </c>
      <c r="G2353" s="1" t="s">
        <v>457</v>
      </c>
      <c r="H2353" s="1">
        <v>1698</v>
      </c>
      <c r="I2353" s="3">
        <v>46275</v>
      </c>
      <c r="J2353" s="3">
        <v>46281</v>
      </c>
      <c r="K2353" s="3" t="s">
        <v>2371</v>
      </c>
      <c r="L2353" s="31">
        <v>46275.416853819443</v>
      </c>
      <c r="M2353" s="20">
        <v>12</v>
      </c>
      <c r="N2353" s="1">
        <v>62</v>
      </c>
    </row>
    <row r="2354" spans="1:14" x14ac:dyDescent="0.25">
      <c r="A2354" t="str">
        <f t="shared" si="74"/>
        <v>U152801U152801</v>
      </c>
      <c r="B2354" t="str">
        <f t="shared" si="75"/>
        <v>U152801P6031TJ-M</v>
      </c>
      <c r="C2354" s="27" t="s">
        <v>478</v>
      </c>
      <c r="D2354" s="27" t="s">
        <v>638</v>
      </c>
      <c r="E2354" s="1" t="s">
        <v>436</v>
      </c>
      <c r="F2354" s="1" t="s">
        <v>443</v>
      </c>
      <c r="G2354" s="1" t="s">
        <v>457</v>
      </c>
      <c r="H2354" s="1">
        <v>1698</v>
      </c>
      <c r="I2354" s="3">
        <v>46275</v>
      </c>
      <c r="J2354" s="3">
        <v>46281</v>
      </c>
      <c r="K2354" s="3" t="s">
        <v>2371</v>
      </c>
      <c r="L2354" s="31">
        <v>46275.418551423609</v>
      </c>
      <c r="M2354" s="20">
        <v>12</v>
      </c>
      <c r="N2354" s="1">
        <v>51</v>
      </c>
    </row>
    <row r="2355" spans="1:14" x14ac:dyDescent="0.25">
      <c r="A2355" t="str">
        <f t="shared" si="74"/>
        <v>U152801U152801</v>
      </c>
      <c r="B2355" t="str">
        <f t="shared" si="75"/>
        <v>U152801P6031TJ-M</v>
      </c>
      <c r="C2355" s="27" t="s">
        <v>478</v>
      </c>
      <c r="D2355" s="27" t="s">
        <v>638</v>
      </c>
      <c r="E2355" s="1" t="s">
        <v>436</v>
      </c>
      <c r="F2355" s="1" t="s">
        <v>443</v>
      </c>
      <c r="G2355" s="1" t="s">
        <v>457</v>
      </c>
      <c r="H2355" s="1">
        <v>1698</v>
      </c>
      <c r="I2355" s="3">
        <v>46275</v>
      </c>
      <c r="J2355" s="3">
        <v>46281</v>
      </c>
      <c r="K2355" s="3" t="s">
        <v>2371</v>
      </c>
      <c r="L2355" s="31">
        <v>46275.427361377311</v>
      </c>
      <c r="M2355" s="20">
        <v>12</v>
      </c>
      <c r="N2355" s="1">
        <v>50</v>
      </c>
    </row>
    <row r="2356" spans="1:14" x14ac:dyDescent="0.25">
      <c r="A2356" t="str">
        <f t="shared" si="74"/>
        <v>U152801U152801</v>
      </c>
      <c r="B2356" t="str">
        <f t="shared" si="75"/>
        <v>U152801P6031TJ-M</v>
      </c>
      <c r="C2356" s="27" t="s">
        <v>478</v>
      </c>
      <c r="D2356" s="27" t="s">
        <v>638</v>
      </c>
      <c r="E2356" s="1" t="s">
        <v>436</v>
      </c>
      <c r="F2356" s="1" t="s">
        <v>443</v>
      </c>
      <c r="G2356" s="1" t="s">
        <v>457</v>
      </c>
      <c r="H2356" s="1">
        <v>1698</v>
      </c>
      <c r="I2356" s="3">
        <v>46275</v>
      </c>
      <c r="J2356" s="3">
        <v>46281</v>
      </c>
      <c r="K2356" s="3" t="s">
        <v>2371</v>
      </c>
      <c r="L2356" s="31">
        <v>46275.432336493053</v>
      </c>
      <c r="M2356" s="20">
        <v>12</v>
      </c>
      <c r="N2356" s="1">
        <v>71</v>
      </c>
    </row>
    <row r="2357" spans="1:14" x14ac:dyDescent="0.25">
      <c r="A2357" t="str">
        <f t="shared" si="74"/>
        <v>U152801U152801</v>
      </c>
      <c r="B2357" t="str">
        <f t="shared" si="75"/>
        <v>U152801P6031TJ-M</v>
      </c>
      <c r="C2357" s="27" t="s">
        <v>478</v>
      </c>
      <c r="D2357" s="27" t="s">
        <v>638</v>
      </c>
      <c r="E2357" s="1" t="s">
        <v>436</v>
      </c>
      <c r="F2357" s="1" t="s">
        <v>443</v>
      </c>
      <c r="G2357" s="1" t="s">
        <v>457</v>
      </c>
      <c r="H2357" s="1">
        <v>1698</v>
      </c>
      <c r="I2357" s="3">
        <v>46275</v>
      </c>
      <c r="J2357" s="3">
        <v>46281</v>
      </c>
      <c r="K2357" s="3" t="s">
        <v>2371</v>
      </c>
      <c r="L2357" s="31">
        <v>46275.438258368056</v>
      </c>
      <c r="M2357" s="20">
        <v>12</v>
      </c>
      <c r="N2357" s="1">
        <v>48</v>
      </c>
    </row>
    <row r="2358" spans="1:14" x14ac:dyDescent="0.25">
      <c r="A2358" t="str">
        <f t="shared" si="74"/>
        <v>U152801U152801</v>
      </c>
      <c r="B2358" t="str">
        <f t="shared" si="75"/>
        <v>U152801P6031TJ-M</v>
      </c>
      <c r="C2358" s="27" t="s">
        <v>478</v>
      </c>
      <c r="D2358" s="27" t="s">
        <v>638</v>
      </c>
      <c r="E2358" s="1" t="s">
        <v>436</v>
      </c>
      <c r="F2358" s="1" t="s">
        <v>443</v>
      </c>
      <c r="G2358" s="1" t="s">
        <v>457</v>
      </c>
      <c r="H2358" s="1">
        <v>1698</v>
      </c>
      <c r="I2358" s="3">
        <v>46275</v>
      </c>
      <c r="J2358" s="3">
        <v>46281</v>
      </c>
      <c r="K2358" s="3" t="s">
        <v>2371</v>
      </c>
      <c r="L2358" s="31">
        <v>46275.458694594905</v>
      </c>
      <c r="M2358" s="20">
        <v>12</v>
      </c>
      <c r="N2358" s="1">
        <v>55</v>
      </c>
    </row>
    <row r="2359" spans="1:14" x14ac:dyDescent="0.25">
      <c r="A2359" t="str">
        <f t="shared" si="74"/>
        <v>U152801U152801</v>
      </c>
      <c r="B2359" t="str">
        <f t="shared" si="75"/>
        <v>U152801P6031TJ-M</v>
      </c>
      <c r="C2359" s="27" t="s">
        <v>478</v>
      </c>
      <c r="D2359" s="27" t="s">
        <v>638</v>
      </c>
      <c r="E2359" s="1" t="s">
        <v>436</v>
      </c>
      <c r="F2359" s="1" t="s">
        <v>443</v>
      </c>
      <c r="G2359" s="1" t="s">
        <v>457</v>
      </c>
      <c r="H2359" s="1">
        <v>1698</v>
      </c>
      <c r="I2359" s="3">
        <v>46275</v>
      </c>
      <c r="J2359" s="3">
        <v>46281</v>
      </c>
      <c r="K2359" s="3" t="s">
        <v>2371</v>
      </c>
      <c r="L2359" s="31">
        <v>46275.45904444444</v>
      </c>
      <c r="M2359" s="20">
        <v>12</v>
      </c>
      <c r="N2359" s="1">
        <v>63</v>
      </c>
    </row>
    <row r="2360" spans="1:14" x14ac:dyDescent="0.25">
      <c r="A2360" t="str">
        <f t="shared" si="74"/>
        <v>U152801U152801</v>
      </c>
      <c r="B2360" t="str">
        <f t="shared" si="75"/>
        <v>U152801P6031TJ-M</v>
      </c>
      <c r="C2360" s="27" t="s">
        <v>478</v>
      </c>
      <c r="D2360" s="27" t="s">
        <v>638</v>
      </c>
      <c r="E2360" s="1" t="s">
        <v>436</v>
      </c>
      <c r="F2360" s="1" t="s">
        <v>443</v>
      </c>
      <c r="G2360" s="1" t="s">
        <v>457</v>
      </c>
      <c r="H2360" s="1">
        <v>1698</v>
      </c>
      <c r="I2360" s="3">
        <v>46275</v>
      </c>
      <c r="J2360" s="3">
        <v>46281</v>
      </c>
      <c r="K2360" s="3" t="s">
        <v>2371</v>
      </c>
      <c r="L2360" s="31">
        <v>46275.459849108796</v>
      </c>
      <c r="M2360" s="20">
        <v>12</v>
      </c>
      <c r="N2360" s="1">
        <v>28</v>
      </c>
    </row>
    <row r="2361" spans="1:14" x14ac:dyDescent="0.25">
      <c r="A2361" t="str">
        <f t="shared" si="74"/>
        <v>U152801U152801</v>
      </c>
      <c r="B2361" t="str">
        <f t="shared" si="75"/>
        <v>U152801P6031TJ-M</v>
      </c>
      <c r="C2361" s="27" t="s">
        <v>478</v>
      </c>
      <c r="D2361" s="27" t="s">
        <v>638</v>
      </c>
      <c r="E2361" s="1" t="s">
        <v>436</v>
      </c>
      <c r="F2361" s="1" t="s">
        <v>443</v>
      </c>
      <c r="G2361" s="1" t="s">
        <v>457</v>
      </c>
      <c r="H2361" s="1">
        <v>1698</v>
      </c>
      <c r="I2361" s="3">
        <v>46275</v>
      </c>
      <c r="J2361" s="3">
        <v>46281</v>
      </c>
      <c r="K2361" s="3" t="s">
        <v>2371</v>
      </c>
      <c r="L2361" s="31">
        <v>46275.470715972224</v>
      </c>
      <c r="M2361" s="20">
        <v>12</v>
      </c>
      <c r="N2361" s="1">
        <v>101</v>
      </c>
    </row>
    <row r="2362" spans="1:14" x14ac:dyDescent="0.25">
      <c r="A2362" t="str">
        <f t="shared" si="74"/>
        <v>U152801U152801</v>
      </c>
      <c r="B2362" t="str">
        <f t="shared" si="75"/>
        <v>U152801P6031TJ-M</v>
      </c>
      <c r="C2362" s="27" t="s">
        <v>478</v>
      </c>
      <c r="D2362" s="27" t="s">
        <v>638</v>
      </c>
      <c r="E2362" s="1" t="s">
        <v>436</v>
      </c>
      <c r="F2362" s="1" t="s">
        <v>443</v>
      </c>
      <c r="G2362" s="1" t="s">
        <v>457</v>
      </c>
      <c r="H2362" s="1">
        <v>1698</v>
      </c>
      <c r="I2362" s="3">
        <v>46275</v>
      </c>
      <c r="J2362" s="3">
        <v>46281</v>
      </c>
      <c r="K2362" s="3" t="s">
        <v>2371</v>
      </c>
      <c r="L2362" s="31">
        <v>46275.471096909721</v>
      </c>
      <c r="M2362" s="20">
        <v>12</v>
      </c>
      <c r="N2362" s="1">
        <v>96</v>
      </c>
    </row>
    <row r="2363" spans="1:14" x14ac:dyDescent="0.25">
      <c r="A2363" t="str">
        <f t="shared" si="74"/>
        <v>U152801U152801</v>
      </c>
      <c r="B2363" t="str">
        <f t="shared" si="75"/>
        <v>U152801P6031TJ-M</v>
      </c>
      <c r="C2363" s="27" t="s">
        <v>478</v>
      </c>
      <c r="D2363" s="27" t="s">
        <v>638</v>
      </c>
      <c r="E2363" s="1" t="s">
        <v>436</v>
      </c>
      <c r="F2363" s="1" t="s">
        <v>443</v>
      </c>
      <c r="G2363" s="1" t="s">
        <v>457</v>
      </c>
      <c r="H2363" s="1">
        <v>1698</v>
      </c>
      <c r="I2363" s="3">
        <v>46275</v>
      </c>
      <c r="J2363" s="3">
        <v>46281</v>
      </c>
      <c r="K2363" s="3" t="s">
        <v>2371</v>
      </c>
      <c r="L2363" s="31">
        <v>46275.47123920139</v>
      </c>
      <c r="M2363" s="20">
        <v>12</v>
      </c>
      <c r="N2363" s="1">
        <v>64</v>
      </c>
    </row>
    <row r="2364" spans="1:14" x14ac:dyDescent="0.25">
      <c r="A2364" t="str">
        <f t="shared" si="74"/>
        <v>U152801U152801</v>
      </c>
      <c r="B2364" t="str">
        <f t="shared" si="75"/>
        <v>U152801P6031TJ-M</v>
      </c>
      <c r="C2364" s="27" t="s">
        <v>478</v>
      </c>
      <c r="D2364" s="27" t="s">
        <v>638</v>
      </c>
      <c r="E2364" s="1" t="s">
        <v>436</v>
      </c>
      <c r="F2364" s="1" t="s">
        <v>443</v>
      </c>
      <c r="G2364" s="1" t="s">
        <v>457</v>
      </c>
      <c r="H2364" s="1">
        <v>1698</v>
      </c>
      <c r="I2364" s="3">
        <v>46275</v>
      </c>
      <c r="J2364" s="3">
        <v>46281</v>
      </c>
      <c r="K2364" s="3" t="s">
        <v>2371</v>
      </c>
      <c r="L2364" s="31">
        <v>46275.471707291668</v>
      </c>
      <c r="M2364" s="20">
        <v>12</v>
      </c>
      <c r="N2364" s="1">
        <v>86</v>
      </c>
    </row>
    <row r="2365" spans="1:14" x14ac:dyDescent="0.25">
      <c r="A2365" t="str">
        <f t="shared" si="74"/>
        <v>U152801U152801</v>
      </c>
      <c r="B2365" t="str">
        <f t="shared" si="75"/>
        <v>U152801P6031TJ-M</v>
      </c>
      <c r="C2365" s="27" t="s">
        <v>478</v>
      </c>
      <c r="D2365" s="27" t="s">
        <v>638</v>
      </c>
      <c r="E2365" s="1" t="s">
        <v>436</v>
      </c>
      <c r="F2365" s="1" t="s">
        <v>443</v>
      </c>
      <c r="G2365" s="1" t="s">
        <v>457</v>
      </c>
      <c r="H2365" s="1">
        <v>1698</v>
      </c>
      <c r="I2365" s="3">
        <v>46275</v>
      </c>
      <c r="J2365" s="3">
        <v>46281</v>
      </c>
      <c r="K2365" s="3" t="s">
        <v>2371</v>
      </c>
      <c r="L2365" s="31">
        <v>46275.481230671292</v>
      </c>
      <c r="M2365" s="20">
        <v>12</v>
      </c>
      <c r="N2365" s="1">
        <v>52</v>
      </c>
    </row>
    <row r="2366" spans="1:14" x14ac:dyDescent="0.25">
      <c r="A2366" t="str">
        <f t="shared" si="74"/>
        <v>U152801U152801</v>
      </c>
      <c r="B2366" t="str">
        <f t="shared" si="75"/>
        <v>U152801P6031TJ-M</v>
      </c>
      <c r="C2366" s="27" t="s">
        <v>478</v>
      </c>
      <c r="D2366" s="27" t="s">
        <v>638</v>
      </c>
      <c r="E2366" s="1" t="s">
        <v>436</v>
      </c>
      <c r="F2366" s="1" t="s">
        <v>443</v>
      </c>
      <c r="G2366" s="1" t="s">
        <v>457</v>
      </c>
      <c r="H2366" s="1">
        <v>1698</v>
      </c>
      <c r="I2366" s="3">
        <v>46275</v>
      </c>
      <c r="J2366" s="3">
        <v>46281</v>
      </c>
      <c r="K2366" s="3" t="s">
        <v>2371</v>
      </c>
      <c r="L2366" s="31">
        <v>46275.552087581018</v>
      </c>
      <c r="M2366" s="20">
        <v>12</v>
      </c>
      <c r="N2366" s="1">
        <v>25</v>
      </c>
    </row>
    <row r="2367" spans="1:14" x14ac:dyDescent="0.25">
      <c r="A2367" t="str">
        <f t="shared" si="74"/>
        <v>U152801U152801</v>
      </c>
      <c r="B2367" t="str">
        <f t="shared" si="75"/>
        <v>U152801P6031TJ-M</v>
      </c>
      <c r="C2367" s="27" t="s">
        <v>478</v>
      </c>
      <c r="D2367" s="27" t="s">
        <v>638</v>
      </c>
      <c r="E2367" s="1" t="s">
        <v>436</v>
      </c>
      <c r="F2367" s="1" t="s">
        <v>443</v>
      </c>
      <c r="G2367" s="1" t="s">
        <v>457</v>
      </c>
      <c r="H2367" s="1">
        <v>1698</v>
      </c>
      <c r="I2367" s="3">
        <v>46275</v>
      </c>
      <c r="J2367" s="3">
        <v>46281</v>
      </c>
      <c r="K2367" s="3" t="s">
        <v>2371</v>
      </c>
      <c r="L2367" s="31">
        <v>46275.552314386572</v>
      </c>
      <c r="M2367" s="20">
        <v>12</v>
      </c>
      <c r="N2367" s="1">
        <v>97</v>
      </c>
    </row>
    <row r="2368" spans="1:14" x14ac:dyDescent="0.25">
      <c r="A2368" t="str">
        <f t="shared" si="74"/>
        <v>U152801U152801</v>
      </c>
      <c r="B2368" t="str">
        <f t="shared" si="75"/>
        <v>U152801P6031TJ-M</v>
      </c>
      <c r="C2368" s="27" t="s">
        <v>478</v>
      </c>
      <c r="D2368" s="27" t="s">
        <v>638</v>
      </c>
      <c r="E2368" s="1" t="s">
        <v>436</v>
      </c>
      <c r="F2368" s="1" t="s">
        <v>443</v>
      </c>
      <c r="G2368" s="1" t="s">
        <v>457</v>
      </c>
      <c r="H2368" s="1">
        <v>1698</v>
      </c>
      <c r="I2368" s="3">
        <v>46275</v>
      </c>
      <c r="J2368" s="3">
        <v>46281</v>
      </c>
      <c r="K2368" s="3" t="s">
        <v>2371</v>
      </c>
      <c r="L2368" s="31">
        <v>46275.552701851848</v>
      </c>
      <c r="M2368" s="20">
        <v>12</v>
      </c>
      <c r="N2368" s="1">
        <v>1</v>
      </c>
    </row>
    <row r="2369" spans="1:14" x14ac:dyDescent="0.25">
      <c r="A2369" t="str">
        <f t="shared" si="74"/>
        <v>U152801U152801</v>
      </c>
      <c r="B2369" t="str">
        <f t="shared" si="75"/>
        <v>U152801P6031TJ-M</v>
      </c>
      <c r="C2369" s="27" t="s">
        <v>478</v>
      </c>
      <c r="D2369" s="27" t="s">
        <v>638</v>
      </c>
      <c r="E2369" s="1" t="s">
        <v>436</v>
      </c>
      <c r="F2369" s="1" t="s">
        <v>443</v>
      </c>
      <c r="G2369" s="1" t="s">
        <v>457</v>
      </c>
      <c r="H2369" s="1">
        <v>1698</v>
      </c>
      <c r="I2369" s="3">
        <v>46275</v>
      </c>
      <c r="J2369" s="3">
        <v>46281</v>
      </c>
      <c r="K2369" s="3" t="s">
        <v>2371</v>
      </c>
      <c r="L2369" s="31">
        <v>46275.55610347222</v>
      </c>
      <c r="M2369" s="20">
        <v>12</v>
      </c>
      <c r="N2369" s="1">
        <v>68</v>
      </c>
    </row>
    <row r="2370" spans="1:14" x14ac:dyDescent="0.25">
      <c r="A2370" t="str">
        <f t="shared" ref="A2370:A2433" si="76">+D2370&amp;D2370</f>
        <v>U152801U152801</v>
      </c>
      <c r="B2370" t="str">
        <f t="shared" ref="B2370:B2433" si="77">+D2370&amp;C2370</f>
        <v>U152801P6031TJ-M</v>
      </c>
      <c r="C2370" s="27" t="s">
        <v>478</v>
      </c>
      <c r="D2370" s="27" t="s">
        <v>638</v>
      </c>
      <c r="E2370" s="1" t="s">
        <v>436</v>
      </c>
      <c r="F2370" s="1" t="s">
        <v>443</v>
      </c>
      <c r="G2370" s="1" t="s">
        <v>457</v>
      </c>
      <c r="H2370" s="1">
        <v>1698</v>
      </c>
      <c r="I2370" s="3">
        <v>46275</v>
      </c>
      <c r="J2370" s="3">
        <v>46281</v>
      </c>
      <c r="K2370" s="3" t="s">
        <v>2371</v>
      </c>
      <c r="L2370" s="31">
        <v>46275.571915358792</v>
      </c>
      <c r="M2370" s="20">
        <v>12</v>
      </c>
      <c r="N2370" s="1">
        <v>49</v>
      </c>
    </row>
    <row r="2371" spans="1:14" x14ac:dyDescent="0.25">
      <c r="A2371" t="str">
        <f t="shared" si="76"/>
        <v>U152801U152801</v>
      </c>
      <c r="B2371" t="str">
        <f t="shared" si="77"/>
        <v>U152801P6031TJ-M</v>
      </c>
      <c r="C2371" s="27" t="s">
        <v>478</v>
      </c>
      <c r="D2371" s="27" t="s">
        <v>638</v>
      </c>
      <c r="E2371" s="1" t="s">
        <v>436</v>
      </c>
      <c r="F2371" s="1" t="s">
        <v>443</v>
      </c>
      <c r="G2371" s="1" t="s">
        <v>457</v>
      </c>
      <c r="H2371" s="1">
        <v>1698</v>
      </c>
      <c r="I2371" s="3">
        <v>46275</v>
      </c>
      <c r="J2371" s="3">
        <v>46281</v>
      </c>
      <c r="K2371" s="3" t="s">
        <v>2371</v>
      </c>
      <c r="L2371" s="31">
        <v>46275.572474502311</v>
      </c>
      <c r="M2371" s="20">
        <v>12</v>
      </c>
      <c r="N2371" s="1">
        <v>72</v>
      </c>
    </row>
    <row r="2372" spans="1:14" x14ac:dyDescent="0.25">
      <c r="A2372" t="str">
        <f t="shared" si="76"/>
        <v>U152801U152801</v>
      </c>
      <c r="B2372" t="str">
        <f t="shared" si="77"/>
        <v>U152801P6031TJ-M</v>
      </c>
      <c r="C2372" s="27" t="s">
        <v>478</v>
      </c>
      <c r="D2372" s="27" t="s">
        <v>638</v>
      </c>
      <c r="E2372" s="1" t="s">
        <v>436</v>
      </c>
      <c r="F2372" s="1" t="s">
        <v>443</v>
      </c>
      <c r="G2372" s="1" t="s">
        <v>457</v>
      </c>
      <c r="H2372" s="1">
        <v>1698</v>
      </c>
      <c r="I2372" s="3">
        <v>46275</v>
      </c>
      <c r="J2372" s="3">
        <v>46281</v>
      </c>
      <c r="K2372" s="3" t="s">
        <v>2371</v>
      </c>
      <c r="L2372" s="31">
        <v>46275.597113657408</v>
      </c>
      <c r="M2372" s="20">
        <v>12</v>
      </c>
      <c r="N2372" s="1">
        <v>78</v>
      </c>
    </row>
    <row r="2373" spans="1:14" x14ac:dyDescent="0.25">
      <c r="A2373" t="str">
        <f t="shared" si="76"/>
        <v>U152801U152801</v>
      </c>
      <c r="B2373" t="str">
        <f t="shared" si="77"/>
        <v>U152801P6031TJ-M</v>
      </c>
      <c r="C2373" s="27" t="s">
        <v>478</v>
      </c>
      <c r="D2373" s="27" t="s">
        <v>638</v>
      </c>
      <c r="E2373" s="1" t="s">
        <v>436</v>
      </c>
      <c r="F2373" s="1" t="s">
        <v>443</v>
      </c>
      <c r="G2373" s="1" t="s">
        <v>457</v>
      </c>
      <c r="H2373" s="1">
        <v>1698</v>
      </c>
      <c r="I2373" s="3">
        <v>46275</v>
      </c>
      <c r="J2373" s="3">
        <v>46281</v>
      </c>
      <c r="K2373" s="3" t="s">
        <v>2371</v>
      </c>
      <c r="L2373" s="31">
        <v>46275.597283483796</v>
      </c>
      <c r="M2373" s="20">
        <v>12</v>
      </c>
      <c r="N2373" s="1">
        <v>95</v>
      </c>
    </row>
    <row r="2374" spans="1:14" x14ac:dyDescent="0.25">
      <c r="A2374" t="str">
        <f t="shared" si="76"/>
        <v>U152801U152801</v>
      </c>
      <c r="B2374" t="str">
        <f t="shared" si="77"/>
        <v>U152801P6031TJ-M</v>
      </c>
      <c r="C2374" s="27" t="s">
        <v>478</v>
      </c>
      <c r="D2374" s="27" t="s">
        <v>638</v>
      </c>
      <c r="E2374" s="1" t="s">
        <v>436</v>
      </c>
      <c r="F2374" s="1" t="s">
        <v>443</v>
      </c>
      <c r="G2374" s="1" t="s">
        <v>457</v>
      </c>
      <c r="H2374" s="1">
        <v>1698</v>
      </c>
      <c r="I2374" s="3">
        <v>46275</v>
      </c>
      <c r="J2374" s="3">
        <v>46281</v>
      </c>
      <c r="K2374" s="3" t="s">
        <v>2371</v>
      </c>
      <c r="L2374" s="31">
        <v>46275.597998263889</v>
      </c>
      <c r="M2374" s="20">
        <v>12</v>
      </c>
      <c r="N2374" s="1">
        <v>56</v>
      </c>
    </row>
    <row r="2375" spans="1:14" x14ac:dyDescent="0.25">
      <c r="A2375" t="str">
        <f t="shared" si="76"/>
        <v>U152801U152801</v>
      </c>
      <c r="B2375" t="str">
        <f t="shared" si="77"/>
        <v>U152801P6031TJ-M</v>
      </c>
      <c r="C2375" s="27" t="s">
        <v>478</v>
      </c>
      <c r="D2375" s="27" t="s">
        <v>638</v>
      </c>
      <c r="E2375" s="1" t="s">
        <v>436</v>
      </c>
      <c r="F2375" s="1" t="s">
        <v>443</v>
      </c>
      <c r="G2375" s="1" t="s">
        <v>457</v>
      </c>
      <c r="H2375" s="1">
        <v>1698</v>
      </c>
      <c r="I2375" s="3">
        <v>46275</v>
      </c>
      <c r="J2375" s="3">
        <v>46281</v>
      </c>
      <c r="K2375" s="3" t="s">
        <v>2371</v>
      </c>
      <c r="L2375" s="31">
        <v>46275.6099440162</v>
      </c>
      <c r="M2375" s="20">
        <v>12</v>
      </c>
      <c r="N2375" s="1">
        <v>77</v>
      </c>
    </row>
    <row r="2376" spans="1:14" x14ac:dyDescent="0.25">
      <c r="A2376" t="str">
        <f t="shared" si="76"/>
        <v>U152801U152801</v>
      </c>
      <c r="B2376" t="str">
        <f t="shared" si="77"/>
        <v>U152801P6031TJ-M</v>
      </c>
      <c r="C2376" s="27" t="s">
        <v>478</v>
      </c>
      <c r="D2376" s="27" t="s">
        <v>638</v>
      </c>
      <c r="E2376" s="1" t="s">
        <v>436</v>
      </c>
      <c r="F2376" s="1" t="s">
        <v>443</v>
      </c>
      <c r="G2376" s="1" t="s">
        <v>457</v>
      </c>
      <c r="H2376" s="1">
        <v>1698</v>
      </c>
      <c r="I2376" s="3">
        <v>46275</v>
      </c>
      <c r="J2376" s="3">
        <v>46281</v>
      </c>
      <c r="K2376" s="3" t="s">
        <v>2371</v>
      </c>
      <c r="L2376" s="31">
        <v>46275.620694363424</v>
      </c>
      <c r="M2376" s="20">
        <v>12</v>
      </c>
      <c r="N2376" s="1">
        <v>98</v>
      </c>
    </row>
    <row r="2377" spans="1:14" x14ac:dyDescent="0.25">
      <c r="A2377" t="str">
        <f t="shared" si="76"/>
        <v>U152801U152801</v>
      </c>
      <c r="B2377" t="str">
        <f t="shared" si="77"/>
        <v>U152801P6031TJ-M</v>
      </c>
      <c r="C2377" s="27" t="s">
        <v>478</v>
      </c>
      <c r="D2377" s="27" t="s">
        <v>638</v>
      </c>
      <c r="E2377" s="1" t="s">
        <v>436</v>
      </c>
      <c r="F2377" s="1" t="s">
        <v>443</v>
      </c>
      <c r="G2377" s="1" t="s">
        <v>457</v>
      </c>
      <c r="H2377" s="1">
        <v>1698</v>
      </c>
      <c r="I2377" s="3">
        <v>46275</v>
      </c>
      <c r="J2377" s="3">
        <v>46281</v>
      </c>
      <c r="K2377" s="3" t="s">
        <v>2371</v>
      </c>
      <c r="L2377" s="31">
        <v>46275.620852627311</v>
      </c>
      <c r="M2377" s="20">
        <v>12</v>
      </c>
      <c r="N2377" s="1">
        <v>27</v>
      </c>
    </row>
    <row r="2378" spans="1:14" x14ac:dyDescent="0.25">
      <c r="A2378" t="str">
        <f t="shared" si="76"/>
        <v>U152801U152801</v>
      </c>
      <c r="B2378" t="str">
        <f t="shared" si="77"/>
        <v>U152801P6031TJ-M</v>
      </c>
      <c r="C2378" s="27" t="s">
        <v>478</v>
      </c>
      <c r="D2378" s="27" t="s">
        <v>638</v>
      </c>
      <c r="E2378" s="1" t="s">
        <v>436</v>
      </c>
      <c r="F2378" s="1" t="s">
        <v>443</v>
      </c>
      <c r="G2378" s="1" t="s">
        <v>457</v>
      </c>
      <c r="H2378" s="1">
        <v>1698</v>
      </c>
      <c r="I2378" s="3">
        <v>46275</v>
      </c>
      <c r="J2378" s="3">
        <v>46281</v>
      </c>
      <c r="K2378" s="3" t="s">
        <v>2371</v>
      </c>
      <c r="L2378" s="31">
        <v>46275.621790046294</v>
      </c>
      <c r="M2378" s="20">
        <v>12</v>
      </c>
      <c r="N2378" s="1">
        <v>123</v>
      </c>
    </row>
    <row r="2379" spans="1:14" x14ac:dyDescent="0.25">
      <c r="A2379" t="str">
        <f t="shared" si="76"/>
        <v>U152801U152801</v>
      </c>
      <c r="B2379" t="str">
        <f t="shared" si="77"/>
        <v>U152801P6031TJ-M</v>
      </c>
      <c r="C2379" s="27" t="s">
        <v>478</v>
      </c>
      <c r="D2379" s="27" t="s">
        <v>638</v>
      </c>
      <c r="E2379" s="1" t="s">
        <v>436</v>
      </c>
      <c r="F2379" s="1" t="s">
        <v>443</v>
      </c>
      <c r="G2379" s="1" t="s">
        <v>457</v>
      </c>
      <c r="H2379" s="1">
        <v>1698</v>
      </c>
      <c r="I2379" s="3">
        <v>46275</v>
      </c>
      <c r="J2379" s="3">
        <v>46281</v>
      </c>
      <c r="K2379" s="3" t="s">
        <v>2371</v>
      </c>
      <c r="L2379" s="31">
        <v>46275.637052465274</v>
      </c>
      <c r="M2379" s="20">
        <v>12</v>
      </c>
      <c r="N2379" s="1">
        <v>80</v>
      </c>
    </row>
    <row r="2380" spans="1:14" x14ac:dyDescent="0.25">
      <c r="A2380" t="str">
        <f t="shared" si="76"/>
        <v>U152801U152801</v>
      </c>
      <c r="B2380" t="str">
        <f t="shared" si="77"/>
        <v>U152801P6031TJ-M</v>
      </c>
      <c r="C2380" s="27" t="s">
        <v>478</v>
      </c>
      <c r="D2380" s="27" t="s">
        <v>638</v>
      </c>
      <c r="E2380" s="1" t="s">
        <v>436</v>
      </c>
      <c r="F2380" s="1" t="s">
        <v>443</v>
      </c>
      <c r="G2380" s="1" t="s">
        <v>457</v>
      </c>
      <c r="H2380" s="1">
        <v>1698</v>
      </c>
      <c r="I2380" s="3">
        <v>46275</v>
      </c>
      <c r="J2380" s="3">
        <v>46281</v>
      </c>
      <c r="K2380" s="3" t="s">
        <v>2371</v>
      </c>
      <c r="L2380" s="31">
        <v>46275.637235300921</v>
      </c>
      <c r="M2380" s="20">
        <v>12</v>
      </c>
      <c r="N2380" s="1">
        <v>66</v>
      </c>
    </row>
    <row r="2381" spans="1:14" x14ac:dyDescent="0.25">
      <c r="A2381" t="str">
        <f t="shared" si="76"/>
        <v>U152801U152801</v>
      </c>
      <c r="B2381" t="str">
        <f t="shared" si="77"/>
        <v>U152801P6031TJ-M</v>
      </c>
      <c r="C2381" s="27" t="s">
        <v>478</v>
      </c>
      <c r="D2381" s="27" t="s">
        <v>638</v>
      </c>
      <c r="E2381" s="1" t="s">
        <v>436</v>
      </c>
      <c r="F2381" s="1" t="s">
        <v>443</v>
      </c>
      <c r="G2381" s="1" t="s">
        <v>457</v>
      </c>
      <c r="H2381" s="1">
        <v>1698</v>
      </c>
      <c r="I2381" s="3">
        <v>46275</v>
      </c>
      <c r="J2381" s="3">
        <v>46281</v>
      </c>
      <c r="K2381" s="3" t="s">
        <v>2371</v>
      </c>
      <c r="L2381" s="31">
        <v>46275.637630671292</v>
      </c>
      <c r="M2381" s="20">
        <v>12</v>
      </c>
      <c r="N2381" s="1">
        <v>73</v>
      </c>
    </row>
    <row r="2382" spans="1:14" x14ac:dyDescent="0.25">
      <c r="A2382" t="str">
        <f t="shared" si="76"/>
        <v>U152801U152801</v>
      </c>
      <c r="B2382" t="str">
        <f t="shared" si="77"/>
        <v>U152801P6031TJ-M</v>
      </c>
      <c r="C2382" s="27" t="s">
        <v>478</v>
      </c>
      <c r="D2382" s="27" t="s">
        <v>638</v>
      </c>
      <c r="E2382" s="1" t="s">
        <v>436</v>
      </c>
      <c r="F2382" s="1" t="s">
        <v>443</v>
      </c>
      <c r="G2382" s="1" t="s">
        <v>457</v>
      </c>
      <c r="H2382" s="1">
        <v>1698</v>
      </c>
      <c r="I2382" s="3">
        <v>46275</v>
      </c>
      <c r="J2382" s="3">
        <v>46281</v>
      </c>
      <c r="K2382" s="3" t="s">
        <v>2371</v>
      </c>
      <c r="L2382" s="31">
        <v>46275.637995254627</v>
      </c>
      <c r="M2382" s="20">
        <v>12</v>
      </c>
      <c r="N2382" s="1">
        <v>102</v>
      </c>
    </row>
    <row r="2383" spans="1:14" x14ac:dyDescent="0.25">
      <c r="A2383" t="str">
        <f t="shared" si="76"/>
        <v>U152801U152801</v>
      </c>
      <c r="B2383" t="str">
        <f t="shared" si="77"/>
        <v>U152801P6031TJ-M</v>
      </c>
      <c r="C2383" s="27" t="s">
        <v>478</v>
      </c>
      <c r="D2383" s="27" t="s">
        <v>638</v>
      </c>
      <c r="E2383" s="1" t="s">
        <v>436</v>
      </c>
      <c r="F2383" s="1" t="s">
        <v>443</v>
      </c>
      <c r="G2383" s="1" t="s">
        <v>457</v>
      </c>
      <c r="H2383" s="1">
        <v>1698</v>
      </c>
      <c r="I2383" s="3">
        <v>46275</v>
      </c>
      <c r="J2383" s="3">
        <v>46281</v>
      </c>
      <c r="K2383" s="3" t="s">
        <v>2371</v>
      </c>
      <c r="L2383" s="31">
        <v>46275.645266087959</v>
      </c>
      <c r="M2383" s="20">
        <v>12</v>
      </c>
      <c r="N2383" s="1">
        <v>100</v>
      </c>
    </row>
    <row r="2384" spans="1:14" x14ac:dyDescent="0.25">
      <c r="A2384" t="str">
        <f t="shared" si="76"/>
        <v>U152801U152801</v>
      </c>
      <c r="B2384" t="str">
        <f t="shared" si="77"/>
        <v>U152801P6031TJ-M</v>
      </c>
      <c r="C2384" s="27" t="s">
        <v>478</v>
      </c>
      <c r="D2384" s="27" t="s">
        <v>638</v>
      </c>
      <c r="E2384" s="1" t="s">
        <v>436</v>
      </c>
      <c r="F2384" s="1" t="s">
        <v>443</v>
      </c>
      <c r="G2384" s="1" t="s">
        <v>457</v>
      </c>
      <c r="H2384" s="1">
        <v>1698</v>
      </c>
      <c r="I2384" s="3">
        <v>46275</v>
      </c>
      <c r="J2384" s="3">
        <v>46281</v>
      </c>
      <c r="K2384" s="3" t="s">
        <v>2371</v>
      </c>
      <c r="L2384" s="31">
        <v>46275.661469212959</v>
      </c>
      <c r="M2384" s="20">
        <v>12</v>
      </c>
      <c r="N2384" s="1">
        <v>41</v>
      </c>
    </row>
    <row r="2385" spans="1:14" x14ac:dyDescent="0.25">
      <c r="A2385" t="str">
        <f t="shared" si="76"/>
        <v>U152801U152801</v>
      </c>
      <c r="B2385" t="str">
        <f t="shared" si="77"/>
        <v>U152801P6031TJ-M</v>
      </c>
      <c r="C2385" s="27" t="s">
        <v>478</v>
      </c>
      <c r="D2385" s="27" t="s">
        <v>638</v>
      </c>
      <c r="E2385" s="1" t="s">
        <v>436</v>
      </c>
      <c r="F2385" s="1" t="s">
        <v>443</v>
      </c>
      <c r="G2385" s="1" t="s">
        <v>457</v>
      </c>
      <c r="H2385" s="1">
        <v>1698</v>
      </c>
      <c r="I2385" s="3">
        <v>46275</v>
      </c>
      <c r="J2385" s="3">
        <v>46281</v>
      </c>
      <c r="K2385" s="3" t="s">
        <v>2371</v>
      </c>
      <c r="L2385" s="31">
        <v>46275.663366782406</v>
      </c>
      <c r="M2385" s="20">
        <v>12</v>
      </c>
      <c r="N2385" s="1">
        <v>65</v>
      </c>
    </row>
    <row r="2386" spans="1:14" x14ac:dyDescent="0.25">
      <c r="A2386" t="str">
        <f t="shared" si="76"/>
        <v>U152801U152801</v>
      </c>
      <c r="B2386" t="str">
        <f t="shared" si="77"/>
        <v>U152801P6031TJ-M</v>
      </c>
      <c r="C2386" s="27" t="s">
        <v>478</v>
      </c>
      <c r="D2386" s="27" t="s">
        <v>638</v>
      </c>
      <c r="E2386" s="1" t="s">
        <v>436</v>
      </c>
      <c r="F2386" s="1" t="s">
        <v>443</v>
      </c>
      <c r="G2386" s="1" t="s">
        <v>457</v>
      </c>
      <c r="H2386" s="1">
        <v>1698</v>
      </c>
      <c r="I2386" s="3">
        <v>46275</v>
      </c>
      <c r="J2386" s="3">
        <v>46281</v>
      </c>
      <c r="K2386" s="3" t="s">
        <v>2371</v>
      </c>
      <c r="L2386" s="31">
        <v>46275.66353179398</v>
      </c>
      <c r="M2386" s="20">
        <v>12</v>
      </c>
      <c r="N2386" s="1">
        <v>54</v>
      </c>
    </row>
    <row r="2387" spans="1:14" x14ac:dyDescent="0.25">
      <c r="A2387" t="str">
        <f t="shared" si="76"/>
        <v>U152801U152801</v>
      </c>
      <c r="B2387" t="str">
        <f t="shared" si="77"/>
        <v>U152801P6031TJ-M</v>
      </c>
      <c r="C2387" s="27" t="s">
        <v>478</v>
      </c>
      <c r="D2387" s="27" t="s">
        <v>638</v>
      </c>
      <c r="E2387" s="1" t="s">
        <v>436</v>
      </c>
      <c r="F2387" s="1" t="s">
        <v>443</v>
      </c>
      <c r="G2387" s="1" t="s">
        <v>457</v>
      </c>
      <c r="H2387" s="1">
        <v>1698</v>
      </c>
      <c r="I2387" s="3">
        <v>46275</v>
      </c>
      <c r="J2387" s="3">
        <v>46281</v>
      </c>
      <c r="K2387" s="3" t="s">
        <v>2371</v>
      </c>
      <c r="L2387" s="31">
        <v>46275.671156284719</v>
      </c>
      <c r="M2387" s="20">
        <v>12</v>
      </c>
      <c r="N2387" s="1">
        <v>99</v>
      </c>
    </row>
    <row r="2388" spans="1:14" x14ac:dyDescent="0.25">
      <c r="A2388" t="str">
        <f t="shared" si="76"/>
        <v>U152801U152801</v>
      </c>
      <c r="B2388" t="str">
        <f t="shared" si="77"/>
        <v>U152801P6031TJ-M</v>
      </c>
      <c r="C2388" s="27" t="s">
        <v>478</v>
      </c>
      <c r="D2388" s="27" t="s">
        <v>638</v>
      </c>
      <c r="E2388" s="1" t="s">
        <v>436</v>
      </c>
      <c r="F2388" s="1" t="s">
        <v>443</v>
      </c>
      <c r="G2388" s="1" t="s">
        <v>457</v>
      </c>
      <c r="H2388" s="1">
        <v>1698</v>
      </c>
      <c r="I2388" s="3">
        <v>46275</v>
      </c>
      <c r="J2388" s="3">
        <v>46281</v>
      </c>
      <c r="K2388" s="3" t="s">
        <v>2371</v>
      </c>
      <c r="L2388" s="31">
        <v>46275.693615509255</v>
      </c>
      <c r="M2388" s="20">
        <v>12</v>
      </c>
      <c r="N2388" s="1">
        <v>30</v>
      </c>
    </row>
    <row r="2389" spans="1:14" x14ac:dyDescent="0.25">
      <c r="A2389" t="str">
        <f t="shared" si="76"/>
        <v>78764437876443</v>
      </c>
      <c r="B2389" t="str">
        <f t="shared" si="77"/>
        <v>7876443U204L9NJ-D</v>
      </c>
      <c r="C2389" s="27" t="s">
        <v>577</v>
      </c>
      <c r="D2389" s="27" t="s">
        <v>654</v>
      </c>
      <c r="E2389" s="1" t="s">
        <v>385</v>
      </c>
      <c r="F2389" s="1" t="s">
        <v>386</v>
      </c>
      <c r="G2389" s="1" t="s">
        <v>387</v>
      </c>
      <c r="H2389" s="1">
        <v>540</v>
      </c>
      <c r="I2389" s="3">
        <v>46276</v>
      </c>
      <c r="L2389" s="31">
        <v>46276.426172951389</v>
      </c>
      <c r="M2389" s="20">
        <v>12</v>
      </c>
      <c r="N2389" s="1">
        <v>4</v>
      </c>
    </row>
    <row r="2390" spans="1:14" x14ac:dyDescent="0.25">
      <c r="A2390" t="str">
        <f t="shared" si="76"/>
        <v>78764437876443</v>
      </c>
      <c r="B2390" t="str">
        <f t="shared" si="77"/>
        <v>7876443U204L9NJ-D</v>
      </c>
      <c r="C2390" s="27" t="s">
        <v>577</v>
      </c>
      <c r="D2390" s="27" t="s">
        <v>654</v>
      </c>
      <c r="E2390" s="1" t="s">
        <v>385</v>
      </c>
      <c r="F2390" s="1" t="s">
        <v>386</v>
      </c>
      <c r="G2390" s="1" t="s">
        <v>387</v>
      </c>
      <c r="H2390" s="1">
        <v>540</v>
      </c>
      <c r="I2390" s="3">
        <v>46276</v>
      </c>
      <c r="L2390" s="31">
        <v>46276.443076307871</v>
      </c>
      <c r="M2390" s="20">
        <v>12</v>
      </c>
      <c r="N2390" s="1">
        <v>9</v>
      </c>
    </row>
    <row r="2391" spans="1:14" x14ac:dyDescent="0.25">
      <c r="A2391" t="str">
        <f t="shared" si="76"/>
        <v>78764437876443</v>
      </c>
      <c r="B2391" t="str">
        <f t="shared" si="77"/>
        <v>7876443U204L9NJ-D</v>
      </c>
      <c r="C2391" s="27" t="s">
        <v>577</v>
      </c>
      <c r="D2391" s="27" t="s">
        <v>654</v>
      </c>
      <c r="E2391" s="1" t="s">
        <v>385</v>
      </c>
      <c r="F2391" s="1" t="s">
        <v>386</v>
      </c>
      <c r="G2391" s="1" t="s">
        <v>387</v>
      </c>
      <c r="H2391" s="1">
        <v>540</v>
      </c>
      <c r="I2391" s="3">
        <v>46276</v>
      </c>
      <c r="L2391" s="31">
        <v>46276.465320833333</v>
      </c>
      <c r="M2391" s="20">
        <v>12</v>
      </c>
      <c r="N2391" s="1">
        <v>40</v>
      </c>
    </row>
    <row r="2392" spans="1:14" x14ac:dyDescent="0.25">
      <c r="A2392" t="str">
        <f t="shared" si="76"/>
        <v>78764437876443</v>
      </c>
      <c r="B2392" t="str">
        <f t="shared" si="77"/>
        <v>7876443U204L9NJ-D</v>
      </c>
      <c r="C2392" s="27" t="s">
        <v>577</v>
      </c>
      <c r="D2392" s="27" t="s">
        <v>654</v>
      </c>
      <c r="E2392" s="1" t="s">
        <v>385</v>
      </c>
      <c r="F2392" s="1" t="s">
        <v>386</v>
      </c>
      <c r="G2392" s="1" t="s">
        <v>387</v>
      </c>
      <c r="H2392" s="1">
        <v>540</v>
      </c>
      <c r="I2392" s="3">
        <v>46276</v>
      </c>
      <c r="L2392" s="31">
        <v>46276.467292361107</v>
      </c>
      <c r="M2392" s="20">
        <v>12</v>
      </c>
      <c r="N2392" s="1">
        <v>34</v>
      </c>
    </row>
    <row r="2393" spans="1:14" x14ac:dyDescent="0.25">
      <c r="A2393" t="str">
        <f t="shared" si="76"/>
        <v>78764437876443</v>
      </c>
      <c r="B2393" t="str">
        <f t="shared" si="77"/>
        <v>7876443U204L9NJ-D</v>
      </c>
      <c r="C2393" s="27" t="s">
        <v>577</v>
      </c>
      <c r="D2393" s="27" t="s">
        <v>654</v>
      </c>
      <c r="E2393" s="1" t="s">
        <v>385</v>
      </c>
      <c r="F2393" s="1" t="s">
        <v>386</v>
      </c>
      <c r="G2393" s="1" t="s">
        <v>387</v>
      </c>
      <c r="H2393" s="1">
        <v>540</v>
      </c>
      <c r="I2393" s="3">
        <v>46276</v>
      </c>
      <c r="L2393" s="31">
        <v>46276.56073946759</v>
      </c>
      <c r="M2393" s="20">
        <v>12</v>
      </c>
      <c r="N2393" s="1">
        <v>8</v>
      </c>
    </row>
    <row r="2394" spans="1:14" x14ac:dyDescent="0.25">
      <c r="A2394" t="str">
        <f t="shared" si="76"/>
        <v>78764437876443</v>
      </c>
      <c r="B2394" t="str">
        <f t="shared" si="77"/>
        <v>7876443U204L9NJ-D</v>
      </c>
      <c r="C2394" s="27" t="s">
        <v>577</v>
      </c>
      <c r="D2394" s="27" t="s">
        <v>654</v>
      </c>
      <c r="E2394" s="1" t="s">
        <v>385</v>
      </c>
      <c r="F2394" s="1" t="s">
        <v>386</v>
      </c>
      <c r="G2394" s="1" t="s">
        <v>387</v>
      </c>
      <c r="H2394" s="1">
        <v>540</v>
      </c>
      <c r="I2394" s="3">
        <v>46276</v>
      </c>
      <c r="L2394" s="31">
        <v>46276.562694710643</v>
      </c>
      <c r="M2394" s="20">
        <v>12</v>
      </c>
      <c r="N2394" s="1">
        <v>10</v>
      </c>
    </row>
    <row r="2395" spans="1:14" x14ac:dyDescent="0.25">
      <c r="A2395" t="str">
        <f t="shared" si="76"/>
        <v>78764437876443</v>
      </c>
      <c r="B2395" t="str">
        <f t="shared" si="77"/>
        <v>7876443U204L9NJ-D</v>
      </c>
      <c r="C2395" s="27" t="s">
        <v>577</v>
      </c>
      <c r="D2395" s="27" t="s">
        <v>654</v>
      </c>
      <c r="E2395" s="1" t="s">
        <v>385</v>
      </c>
      <c r="F2395" s="1" t="s">
        <v>386</v>
      </c>
      <c r="G2395" s="1" t="s">
        <v>387</v>
      </c>
      <c r="H2395" s="1">
        <v>540</v>
      </c>
      <c r="I2395" s="3">
        <v>46276</v>
      </c>
      <c r="L2395" s="31">
        <v>46276.563123761574</v>
      </c>
      <c r="M2395" s="20">
        <v>12</v>
      </c>
      <c r="N2395" s="1">
        <v>33</v>
      </c>
    </row>
    <row r="2396" spans="1:14" x14ac:dyDescent="0.25">
      <c r="A2396" t="str">
        <f t="shared" si="76"/>
        <v>78764437876443</v>
      </c>
      <c r="B2396" t="str">
        <f t="shared" si="77"/>
        <v>7876443U204L9NJ-D</v>
      </c>
      <c r="C2396" s="27" t="s">
        <v>577</v>
      </c>
      <c r="D2396" s="27" t="s">
        <v>654</v>
      </c>
      <c r="E2396" s="1" t="s">
        <v>385</v>
      </c>
      <c r="F2396" s="1" t="s">
        <v>386</v>
      </c>
      <c r="G2396" s="1" t="s">
        <v>387</v>
      </c>
      <c r="H2396" s="1">
        <v>540</v>
      </c>
      <c r="I2396" s="3">
        <v>46276</v>
      </c>
      <c r="L2396" s="31">
        <v>46276.572048495371</v>
      </c>
      <c r="M2396" s="20">
        <v>12</v>
      </c>
      <c r="N2396" s="1">
        <v>32</v>
      </c>
    </row>
    <row r="2397" spans="1:14" x14ac:dyDescent="0.25">
      <c r="A2397" t="str">
        <f t="shared" si="76"/>
        <v>78764437876443</v>
      </c>
      <c r="B2397" t="str">
        <f t="shared" si="77"/>
        <v>7876443U204L9NJ-D</v>
      </c>
      <c r="C2397" s="27" t="s">
        <v>577</v>
      </c>
      <c r="D2397" s="27" t="s">
        <v>654</v>
      </c>
      <c r="E2397" s="1" t="s">
        <v>385</v>
      </c>
      <c r="F2397" s="1" t="s">
        <v>386</v>
      </c>
      <c r="G2397" s="1" t="s">
        <v>387</v>
      </c>
      <c r="H2397" s="1">
        <v>540</v>
      </c>
      <c r="I2397" s="3">
        <v>46276</v>
      </c>
      <c r="L2397" s="31">
        <v>46276.593412233793</v>
      </c>
      <c r="M2397" s="20">
        <v>12</v>
      </c>
      <c r="N2397" s="1">
        <v>39</v>
      </c>
    </row>
    <row r="2398" spans="1:14" x14ac:dyDescent="0.25">
      <c r="A2398" t="str">
        <f t="shared" si="76"/>
        <v>78764437876443</v>
      </c>
      <c r="B2398" t="str">
        <f t="shared" si="77"/>
        <v>7876443U204L9NJ-D</v>
      </c>
      <c r="C2398" s="27" t="s">
        <v>577</v>
      </c>
      <c r="D2398" s="27" t="s">
        <v>654</v>
      </c>
      <c r="E2398" s="1" t="s">
        <v>385</v>
      </c>
      <c r="F2398" s="1" t="s">
        <v>386</v>
      </c>
      <c r="G2398" s="1" t="s">
        <v>387</v>
      </c>
      <c r="H2398" s="1">
        <v>540</v>
      </c>
      <c r="I2398" s="3">
        <v>46276</v>
      </c>
      <c r="L2398" s="31">
        <v>46276.594028090272</v>
      </c>
      <c r="M2398" s="20">
        <v>12</v>
      </c>
      <c r="N2398" s="1">
        <v>35</v>
      </c>
    </row>
    <row r="2399" spans="1:14" x14ac:dyDescent="0.25">
      <c r="A2399" t="str">
        <f t="shared" si="76"/>
        <v>78764437876443</v>
      </c>
      <c r="B2399" t="str">
        <f t="shared" si="77"/>
        <v>7876443U204L9NJ-D</v>
      </c>
      <c r="C2399" s="27" t="s">
        <v>577</v>
      </c>
      <c r="D2399" s="27" t="s">
        <v>654</v>
      </c>
      <c r="E2399" s="1" t="s">
        <v>385</v>
      </c>
      <c r="F2399" s="1" t="s">
        <v>386</v>
      </c>
      <c r="G2399" s="1" t="s">
        <v>387</v>
      </c>
      <c r="H2399" s="1">
        <v>540</v>
      </c>
      <c r="I2399" s="3">
        <v>46276</v>
      </c>
      <c r="L2399" s="31">
        <v>46276.617273842588</v>
      </c>
      <c r="M2399" s="20">
        <v>12</v>
      </c>
      <c r="N2399" s="1">
        <v>24</v>
      </c>
    </row>
    <row r="2400" spans="1:14" x14ac:dyDescent="0.25">
      <c r="A2400" t="str">
        <f t="shared" si="76"/>
        <v>78764437876443</v>
      </c>
      <c r="B2400" t="str">
        <f t="shared" si="77"/>
        <v>7876443U204L9NJ-D</v>
      </c>
      <c r="C2400" s="1" t="s">
        <v>577</v>
      </c>
      <c r="D2400" s="1" t="s">
        <v>654</v>
      </c>
      <c r="E2400" s="1" t="s">
        <v>385</v>
      </c>
      <c r="F2400" s="1" t="s">
        <v>386</v>
      </c>
      <c r="G2400" s="1" t="s">
        <v>387</v>
      </c>
      <c r="H2400" s="1">
        <v>540</v>
      </c>
      <c r="I2400" s="3">
        <v>46276</v>
      </c>
      <c r="L2400" s="31">
        <v>46276.699599618056</v>
      </c>
      <c r="M2400" s="20">
        <v>12</v>
      </c>
      <c r="N2400" s="1">
        <v>5</v>
      </c>
    </row>
    <row r="2401" spans="1:14" x14ac:dyDescent="0.25">
      <c r="A2401" t="str">
        <f t="shared" si="76"/>
        <v>78764437876443</v>
      </c>
      <c r="B2401" t="str">
        <f t="shared" si="77"/>
        <v>7876443U204L9NJ-D</v>
      </c>
      <c r="C2401" s="1" t="s">
        <v>577</v>
      </c>
      <c r="D2401" s="1" t="s">
        <v>654</v>
      </c>
      <c r="E2401" s="1" t="s">
        <v>385</v>
      </c>
      <c r="F2401" s="1" t="s">
        <v>386</v>
      </c>
      <c r="G2401" s="1" t="s">
        <v>387</v>
      </c>
      <c r="H2401" s="1">
        <v>540</v>
      </c>
      <c r="I2401" s="3">
        <v>46276</v>
      </c>
      <c r="L2401" s="31">
        <v>46276.726481909718</v>
      </c>
      <c r="M2401" s="20">
        <v>12</v>
      </c>
      <c r="N2401" s="1">
        <v>11</v>
      </c>
    </row>
    <row r="2402" spans="1:14" x14ac:dyDescent="0.25">
      <c r="A2402" t="str">
        <f t="shared" si="76"/>
        <v>78792067879206</v>
      </c>
      <c r="B2402" t="str">
        <f t="shared" si="77"/>
        <v>7879206P6031BQ-M</v>
      </c>
      <c r="C2402" s="27" t="s">
        <v>667</v>
      </c>
      <c r="D2402" s="27" t="s">
        <v>668</v>
      </c>
      <c r="E2402" s="1" t="s">
        <v>382</v>
      </c>
      <c r="F2402" s="1" t="s">
        <v>383</v>
      </c>
      <c r="G2402" s="1" t="s">
        <v>395</v>
      </c>
      <c r="H2402" s="1">
        <v>540</v>
      </c>
      <c r="I2402" s="3">
        <v>46276</v>
      </c>
      <c r="J2402" s="3">
        <v>46287</v>
      </c>
      <c r="K2402" s="3" t="s">
        <v>2374</v>
      </c>
      <c r="L2402" s="31">
        <v>46276.726868020829</v>
      </c>
      <c r="M2402" s="20">
        <v>12</v>
      </c>
      <c r="N2402" s="1">
        <v>23</v>
      </c>
    </row>
    <row r="2403" spans="1:14" x14ac:dyDescent="0.25">
      <c r="A2403" t="str">
        <f t="shared" si="76"/>
        <v>C135238C135238</v>
      </c>
      <c r="B2403" t="str">
        <f t="shared" si="77"/>
        <v>C135238W6033JW-B</v>
      </c>
      <c r="C2403" s="27" t="s">
        <v>656</v>
      </c>
      <c r="D2403" s="27" t="s">
        <v>657</v>
      </c>
      <c r="E2403" s="1" t="s">
        <v>397</v>
      </c>
      <c r="F2403" s="1" t="s">
        <v>400</v>
      </c>
      <c r="G2403" s="1" t="s">
        <v>401</v>
      </c>
      <c r="H2403" s="1">
        <v>486</v>
      </c>
      <c r="I2403" s="3">
        <v>46276</v>
      </c>
      <c r="J2403" s="3">
        <v>46281</v>
      </c>
      <c r="K2403" s="3" t="s">
        <v>2370</v>
      </c>
      <c r="L2403" s="31">
        <v>46276.459968136573</v>
      </c>
      <c r="M2403" s="20">
        <v>12</v>
      </c>
      <c r="N2403" s="1">
        <v>10</v>
      </c>
    </row>
    <row r="2404" spans="1:14" x14ac:dyDescent="0.25">
      <c r="A2404" t="str">
        <f t="shared" si="76"/>
        <v>C135238C135238</v>
      </c>
      <c r="B2404" t="str">
        <f t="shared" si="77"/>
        <v>C135238W6033JW-B</v>
      </c>
      <c r="C2404" s="27" t="s">
        <v>656</v>
      </c>
      <c r="D2404" s="27" t="s">
        <v>657</v>
      </c>
      <c r="E2404" s="1" t="s">
        <v>397</v>
      </c>
      <c r="F2404" s="1" t="s">
        <v>400</v>
      </c>
      <c r="G2404" s="1" t="s">
        <v>401</v>
      </c>
      <c r="H2404" s="1">
        <v>486</v>
      </c>
      <c r="I2404" s="3">
        <v>46276</v>
      </c>
      <c r="J2404" s="3">
        <v>46281</v>
      </c>
      <c r="K2404" s="3" t="s">
        <v>2370</v>
      </c>
      <c r="L2404" s="31">
        <v>46276.460135219902</v>
      </c>
      <c r="M2404" s="20">
        <v>12</v>
      </c>
      <c r="N2404" s="1">
        <v>15</v>
      </c>
    </row>
    <row r="2405" spans="1:14" x14ac:dyDescent="0.25">
      <c r="A2405" t="str">
        <f t="shared" si="76"/>
        <v>C135238C135238</v>
      </c>
      <c r="B2405" t="str">
        <f t="shared" si="77"/>
        <v>C135238W6033JW-B</v>
      </c>
      <c r="C2405" s="27" t="s">
        <v>656</v>
      </c>
      <c r="D2405" s="27" t="s">
        <v>657</v>
      </c>
      <c r="E2405" s="1" t="s">
        <v>397</v>
      </c>
      <c r="F2405" s="1" t="s">
        <v>400</v>
      </c>
      <c r="G2405" s="1" t="s">
        <v>401</v>
      </c>
      <c r="H2405" s="1">
        <v>486</v>
      </c>
      <c r="I2405" s="3">
        <v>46276</v>
      </c>
      <c r="J2405" s="3">
        <v>46281</v>
      </c>
      <c r="K2405" s="3" t="s">
        <v>2370</v>
      </c>
      <c r="L2405" s="31">
        <v>46276.460557986109</v>
      </c>
      <c r="M2405" s="20">
        <v>12</v>
      </c>
      <c r="N2405" s="1">
        <v>5</v>
      </c>
    </row>
    <row r="2406" spans="1:14" x14ac:dyDescent="0.25">
      <c r="A2406" t="str">
        <f t="shared" si="76"/>
        <v>C135238C135238</v>
      </c>
      <c r="B2406" t="str">
        <f t="shared" si="77"/>
        <v>C135238W6033JW-B</v>
      </c>
      <c r="C2406" s="27" t="s">
        <v>656</v>
      </c>
      <c r="D2406" s="27" t="s">
        <v>657</v>
      </c>
      <c r="E2406" s="1" t="s">
        <v>397</v>
      </c>
      <c r="F2406" s="1" t="s">
        <v>400</v>
      </c>
      <c r="G2406" s="1" t="s">
        <v>401</v>
      </c>
      <c r="H2406" s="1">
        <v>486</v>
      </c>
      <c r="I2406" s="3">
        <v>46276</v>
      </c>
      <c r="J2406" s="3">
        <v>46281</v>
      </c>
      <c r="K2406" s="3" t="s">
        <v>2370</v>
      </c>
      <c r="L2406" s="31">
        <v>46276.461583993056</v>
      </c>
      <c r="M2406" s="20">
        <v>12</v>
      </c>
      <c r="N2406" s="1">
        <v>6</v>
      </c>
    </row>
    <row r="2407" spans="1:14" x14ac:dyDescent="0.25">
      <c r="A2407" t="str">
        <f t="shared" si="76"/>
        <v>C135238C135238</v>
      </c>
      <c r="B2407" t="str">
        <f t="shared" si="77"/>
        <v>C135238W6033JW-B</v>
      </c>
      <c r="C2407" s="27" t="s">
        <v>656</v>
      </c>
      <c r="D2407" s="27" t="s">
        <v>657</v>
      </c>
      <c r="E2407" s="1" t="s">
        <v>397</v>
      </c>
      <c r="F2407" s="1" t="s">
        <v>400</v>
      </c>
      <c r="G2407" s="1" t="s">
        <v>401</v>
      </c>
      <c r="H2407" s="1">
        <v>486</v>
      </c>
      <c r="I2407" s="3">
        <v>46276</v>
      </c>
      <c r="J2407" s="3">
        <v>46281</v>
      </c>
      <c r="K2407" s="3" t="s">
        <v>2370</v>
      </c>
      <c r="L2407" s="31">
        <v>46276.555508993057</v>
      </c>
      <c r="M2407" s="20">
        <v>12</v>
      </c>
      <c r="N2407" s="1">
        <v>16</v>
      </c>
    </row>
    <row r="2408" spans="1:14" x14ac:dyDescent="0.25">
      <c r="A2408" t="str">
        <f t="shared" si="76"/>
        <v>C135238C135238</v>
      </c>
      <c r="B2408" t="str">
        <f t="shared" si="77"/>
        <v>C135238W6033JW-B</v>
      </c>
      <c r="C2408" s="27" t="s">
        <v>656</v>
      </c>
      <c r="D2408" s="27" t="s">
        <v>657</v>
      </c>
      <c r="E2408" s="1" t="s">
        <v>397</v>
      </c>
      <c r="F2408" s="1" t="s">
        <v>400</v>
      </c>
      <c r="G2408" s="1" t="s">
        <v>401</v>
      </c>
      <c r="H2408" s="1">
        <v>486</v>
      </c>
      <c r="I2408" s="3">
        <v>46276</v>
      </c>
      <c r="J2408" s="3">
        <v>46281</v>
      </c>
      <c r="K2408" s="3" t="s">
        <v>2370</v>
      </c>
      <c r="L2408" s="31">
        <v>46276.558641550924</v>
      </c>
      <c r="M2408" s="20">
        <v>12</v>
      </c>
      <c r="N2408" s="1">
        <v>17</v>
      </c>
    </row>
    <row r="2409" spans="1:14" x14ac:dyDescent="0.25">
      <c r="A2409" t="str">
        <f t="shared" si="76"/>
        <v>C135238C135238</v>
      </c>
      <c r="B2409" t="str">
        <f t="shared" si="77"/>
        <v>C135238W6033JW-B</v>
      </c>
      <c r="C2409" s="27" t="s">
        <v>656</v>
      </c>
      <c r="D2409" s="27" t="s">
        <v>657</v>
      </c>
      <c r="E2409" s="1" t="s">
        <v>397</v>
      </c>
      <c r="F2409" s="1" t="s">
        <v>400</v>
      </c>
      <c r="G2409" s="1" t="s">
        <v>401</v>
      </c>
      <c r="H2409" s="1">
        <v>486</v>
      </c>
      <c r="I2409" s="3">
        <v>46276</v>
      </c>
      <c r="J2409" s="3">
        <v>46281</v>
      </c>
      <c r="K2409" s="3" t="s">
        <v>2370</v>
      </c>
      <c r="L2409" s="31">
        <v>46276.558952858795</v>
      </c>
      <c r="M2409" s="20">
        <v>12</v>
      </c>
      <c r="N2409" s="1">
        <v>31</v>
      </c>
    </row>
    <row r="2410" spans="1:14" x14ac:dyDescent="0.25">
      <c r="A2410" t="str">
        <f t="shared" si="76"/>
        <v>C135238C135238</v>
      </c>
      <c r="B2410" t="str">
        <f t="shared" si="77"/>
        <v>C135238W6033JW-B</v>
      </c>
      <c r="C2410" s="27" t="s">
        <v>656</v>
      </c>
      <c r="D2410" s="27" t="s">
        <v>657</v>
      </c>
      <c r="E2410" s="1" t="s">
        <v>397</v>
      </c>
      <c r="F2410" s="1" t="s">
        <v>400</v>
      </c>
      <c r="G2410" s="1" t="s">
        <v>401</v>
      </c>
      <c r="H2410" s="1">
        <v>486</v>
      </c>
      <c r="I2410" s="3">
        <v>46276</v>
      </c>
      <c r="J2410" s="3">
        <v>46281</v>
      </c>
      <c r="K2410" s="3" t="s">
        <v>2370</v>
      </c>
      <c r="L2410" s="31">
        <v>46276.560036030089</v>
      </c>
      <c r="M2410" s="20">
        <v>12</v>
      </c>
      <c r="N2410" s="1">
        <v>22</v>
      </c>
    </row>
    <row r="2411" spans="1:14" x14ac:dyDescent="0.25">
      <c r="A2411" t="str">
        <f t="shared" si="76"/>
        <v>C135238C135238</v>
      </c>
      <c r="B2411" t="str">
        <f t="shared" si="77"/>
        <v>C135238W6033JW-B</v>
      </c>
      <c r="C2411" s="27" t="s">
        <v>656</v>
      </c>
      <c r="D2411" s="27" t="s">
        <v>657</v>
      </c>
      <c r="E2411" s="1" t="s">
        <v>397</v>
      </c>
      <c r="F2411" s="1" t="s">
        <v>400</v>
      </c>
      <c r="G2411" s="1" t="s">
        <v>401</v>
      </c>
      <c r="H2411" s="1">
        <v>486</v>
      </c>
      <c r="I2411" s="3">
        <v>46276</v>
      </c>
      <c r="J2411" s="3">
        <v>46281</v>
      </c>
      <c r="K2411" s="3" t="s">
        <v>2370</v>
      </c>
      <c r="L2411" s="31">
        <v>46276.560518020829</v>
      </c>
      <c r="M2411" s="20">
        <v>12</v>
      </c>
      <c r="N2411" s="1">
        <v>21</v>
      </c>
    </row>
    <row r="2412" spans="1:14" x14ac:dyDescent="0.25">
      <c r="A2412" t="str">
        <f t="shared" si="76"/>
        <v>C135238C135238</v>
      </c>
      <c r="B2412" t="str">
        <f t="shared" si="77"/>
        <v>C135238W6033JW-B</v>
      </c>
      <c r="C2412" s="27" t="s">
        <v>656</v>
      </c>
      <c r="D2412" s="27" t="s">
        <v>657</v>
      </c>
      <c r="E2412" s="1" t="s">
        <v>397</v>
      </c>
      <c r="F2412" s="1" t="s">
        <v>400</v>
      </c>
      <c r="G2412" s="1" t="s">
        <v>401</v>
      </c>
      <c r="H2412" s="1">
        <v>486</v>
      </c>
      <c r="I2412" s="3">
        <v>46276</v>
      </c>
      <c r="J2412" s="3">
        <v>46281</v>
      </c>
      <c r="K2412" s="3" t="s">
        <v>2370</v>
      </c>
      <c r="L2412" s="31">
        <v>46276.594770914351</v>
      </c>
      <c r="M2412" s="20">
        <v>12</v>
      </c>
      <c r="N2412" s="1">
        <v>18</v>
      </c>
    </row>
    <row r="2413" spans="1:14" x14ac:dyDescent="0.25">
      <c r="A2413" t="str">
        <f t="shared" si="76"/>
        <v>C135238C135238</v>
      </c>
      <c r="B2413" t="str">
        <f t="shared" si="77"/>
        <v>C135238W6033JW-B</v>
      </c>
      <c r="C2413" s="27" t="s">
        <v>656</v>
      </c>
      <c r="D2413" s="27" t="s">
        <v>657</v>
      </c>
      <c r="E2413" s="1" t="s">
        <v>397</v>
      </c>
      <c r="F2413" s="1" t="s">
        <v>400</v>
      </c>
      <c r="G2413" s="1" t="s">
        <v>401</v>
      </c>
      <c r="H2413" s="1">
        <v>486</v>
      </c>
      <c r="I2413" s="3">
        <v>46276</v>
      </c>
      <c r="J2413" s="3">
        <v>46281</v>
      </c>
      <c r="K2413" s="3" t="s">
        <v>2370</v>
      </c>
      <c r="L2413" s="31">
        <v>46276.595144710649</v>
      </c>
      <c r="M2413" s="20">
        <v>12</v>
      </c>
      <c r="N2413" s="1">
        <v>26</v>
      </c>
    </row>
    <row r="2414" spans="1:14" x14ac:dyDescent="0.25">
      <c r="A2414" t="str">
        <f t="shared" si="76"/>
        <v>C135238C135238</v>
      </c>
      <c r="B2414" t="str">
        <f t="shared" si="77"/>
        <v>C135238W6033JW-B</v>
      </c>
      <c r="C2414" s="27" t="s">
        <v>656</v>
      </c>
      <c r="D2414" s="27" t="s">
        <v>657</v>
      </c>
      <c r="E2414" s="1" t="s">
        <v>397</v>
      </c>
      <c r="F2414" s="1" t="s">
        <v>400</v>
      </c>
      <c r="G2414" s="1" t="s">
        <v>401</v>
      </c>
      <c r="H2414" s="1">
        <v>486</v>
      </c>
      <c r="I2414" s="3">
        <v>46276</v>
      </c>
      <c r="J2414" s="3">
        <v>46281</v>
      </c>
      <c r="K2414" s="3" t="s">
        <v>2370</v>
      </c>
      <c r="L2414" s="31">
        <v>46276.595600034721</v>
      </c>
      <c r="M2414" s="20">
        <v>12</v>
      </c>
      <c r="N2414" s="1">
        <v>8</v>
      </c>
    </row>
    <row r="2415" spans="1:14" x14ac:dyDescent="0.25">
      <c r="A2415" t="str">
        <f t="shared" si="76"/>
        <v>C135238C135238</v>
      </c>
      <c r="B2415" t="str">
        <f t="shared" si="77"/>
        <v>C135238W6033JW-B</v>
      </c>
      <c r="C2415" s="27" t="s">
        <v>656</v>
      </c>
      <c r="D2415" s="27" t="s">
        <v>657</v>
      </c>
      <c r="E2415" s="1" t="s">
        <v>397</v>
      </c>
      <c r="F2415" s="1" t="s">
        <v>400</v>
      </c>
      <c r="G2415" s="1" t="s">
        <v>401</v>
      </c>
      <c r="H2415" s="1">
        <v>486</v>
      </c>
      <c r="I2415" s="3">
        <v>46276</v>
      </c>
      <c r="J2415" s="3">
        <v>46281</v>
      </c>
      <c r="K2415" s="3" t="s">
        <v>2370</v>
      </c>
      <c r="L2415" s="31">
        <v>46276.616022025461</v>
      </c>
      <c r="M2415" s="20">
        <v>12</v>
      </c>
      <c r="N2415" s="1">
        <v>1</v>
      </c>
    </row>
    <row r="2416" spans="1:14" x14ac:dyDescent="0.25">
      <c r="A2416" t="str">
        <f t="shared" si="76"/>
        <v>C135238C135238</v>
      </c>
      <c r="B2416" t="str">
        <f t="shared" si="77"/>
        <v>C135238W6033JW-B</v>
      </c>
      <c r="C2416" s="27" t="s">
        <v>656</v>
      </c>
      <c r="D2416" s="27" t="s">
        <v>657</v>
      </c>
      <c r="E2416" s="1" t="s">
        <v>397</v>
      </c>
      <c r="F2416" s="1" t="s">
        <v>400</v>
      </c>
      <c r="G2416" s="1" t="s">
        <v>401</v>
      </c>
      <c r="H2416" s="1">
        <v>486</v>
      </c>
      <c r="I2416" s="3">
        <v>46276</v>
      </c>
      <c r="J2416" s="3">
        <v>46281</v>
      </c>
      <c r="K2416" s="3" t="s">
        <v>2370</v>
      </c>
      <c r="L2416" s="31">
        <v>46276.616428553236</v>
      </c>
      <c r="M2416" s="20">
        <v>12</v>
      </c>
      <c r="N2416" s="1">
        <v>19</v>
      </c>
    </row>
    <row r="2417" spans="1:14" x14ac:dyDescent="0.25">
      <c r="A2417" t="str">
        <f t="shared" si="76"/>
        <v>C135238C135238</v>
      </c>
      <c r="B2417" t="str">
        <f t="shared" si="77"/>
        <v>C135238W6033JW-B</v>
      </c>
      <c r="C2417" s="27" t="s">
        <v>656</v>
      </c>
      <c r="D2417" s="27" t="s">
        <v>657</v>
      </c>
      <c r="E2417" s="1" t="s">
        <v>397</v>
      </c>
      <c r="F2417" s="1" t="s">
        <v>400</v>
      </c>
      <c r="G2417" s="1" t="s">
        <v>401</v>
      </c>
      <c r="H2417" s="1">
        <v>486</v>
      </c>
      <c r="I2417" s="3">
        <v>46276</v>
      </c>
      <c r="J2417" s="3">
        <v>46281</v>
      </c>
      <c r="K2417" s="3" t="s">
        <v>2370</v>
      </c>
      <c r="L2417" s="31">
        <v>46276.622594062501</v>
      </c>
      <c r="M2417" s="20">
        <v>12</v>
      </c>
      <c r="N2417" s="1">
        <v>35</v>
      </c>
    </row>
    <row r="2418" spans="1:14" x14ac:dyDescent="0.25">
      <c r="A2418" t="str">
        <f t="shared" si="76"/>
        <v>C135238C135238</v>
      </c>
      <c r="B2418" t="str">
        <f t="shared" si="77"/>
        <v>C135238W6033JW-B</v>
      </c>
      <c r="C2418" s="27" t="s">
        <v>656</v>
      </c>
      <c r="D2418" s="27" t="s">
        <v>657</v>
      </c>
      <c r="E2418" s="1" t="s">
        <v>397</v>
      </c>
      <c r="F2418" s="1" t="s">
        <v>400</v>
      </c>
      <c r="G2418" s="1" t="s">
        <v>401</v>
      </c>
      <c r="H2418" s="1">
        <v>486</v>
      </c>
      <c r="I2418" s="3">
        <v>46276</v>
      </c>
      <c r="J2418" s="3">
        <v>46281</v>
      </c>
      <c r="K2418" s="3" t="s">
        <v>2370</v>
      </c>
      <c r="L2418" s="31">
        <v>46276.622836458329</v>
      </c>
      <c r="M2418" s="20">
        <v>12</v>
      </c>
      <c r="N2418" s="1">
        <v>13</v>
      </c>
    </row>
    <row r="2419" spans="1:14" x14ac:dyDescent="0.25">
      <c r="A2419" t="str">
        <f t="shared" si="76"/>
        <v>C135238C135238</v>
      </c>
      <c r="B2419" t="str">
        <f t="shared" si="77"/>
        <v>C135238W6033JW-B</v>
      </c>
      <c r="C2419" s="27" t="s">
        <v>656</v>
      </c>
      <c r="D2419" s="27" t="s">
        <v>657</v>
      </c>
      <c r="E2419" s="1" t="s">
        <v>397</v>
      </c>
      <c r="F2419" s="1" t="s">
        <v>400</v>
      </c>
      <c r="G2419" s="1" t="s">
        <v>401</v>
      </c>
      <c r="H2419" s="1">
        <v>486</v>
      </c>
      <c r="I2419" s="3">
        <v>46276</v>
      </c>
      <c r="J2419" s="3">
        <v>46281</v>
      </c>
      <c r="K2419" s="3" t="s">
        <v>2370</v>
      </c>
      <c r="L2419" s="31">
        <v>46276.623044247681</v>
      </c>
      <c r="M2419" s="20">
        <v>12</v>
      </c>
      <c r="N2419" s="1">
        <v>23</v>
      </c>
    </row>
    <row r="2420" spans="1:14" x14ac:dyDescent="0.25">
      <c r="A2420" t="str">
        <f t="shared" si="76"/>
        <v>C135238C135238</v>
      </c>
      <c r="B2420" t="str">
        <f t="shared" si="77"/>
        <v>C135238W6033JW-B</v>
      </c>
      <c r="C2420" s="27" t="s">
        <v>656</v>
      </c>
      <c r="D2420" s="27" t="s">
        <v>657</v>
      </c>
      <c r="E2420" s="1" t="s">
        <v>397</v>
      </c>
      <c r="F2420" s="1" t="s">
        <v>400</v>
      </c>
      <c r="G2420" s="1" t="s">
        <v>401</v>
      </c>
      <c r="H2420" s="1">
        <v>486</v>
      </c>
      <c r="I2420" s="3">
        <v>46276</v>
      </c>
      <c r="J2420" s="3">
        <v>46281</v>
      </c>
      <c r="K2420" s="3" t="s">
        <v>2370</v>
      </c>
      <c r="L2420" s="31">
        <v>46276.623232754631</v>
      </c>
      <c r="M2420" s="20">
        <v>12</v>
      </c>
      <c r="N2420" s="1">
        <v>28</v>
      </c>
    </row>
    <row r="2421" spans="1:14" x14ac:dyDescent="0.25">
      <c r="A2421" t="str">
        <f t="shared" si="76"/>
        <v>C135238C135238</v>
      </c>
      <c r="B2421" t="str">
        <f t="shared" si="77"/>
        <v>C135238W6033JW-B</v>
      </c>
      <c r="C2421" s="27" t="s">
        <v>656</v>
      </c>
      <c r="D2421" s="27" t="s">
        <v>657</v>
      </c>
      <c r="E2421" s="1" t="s">
        <v>397</v>
      </c>
      <c r="F2421" s="1" t="s">
        <v>400</v>
      </c>
      <c r="G2421" s="1" t="s">
        <v>401</v>
      </c>
      <c r="H2421" s="1">
        <v>486</v>
      </c>
      <c r="I2421" s="3">
        <v>46276</v>
      </c>
      <c r="J2421" s="3">
        <v>46281</v>
      </c>
      <c r="K2421" s="3" t="s">
        <v>2370</v>
      </c>
      <c r="L2421" s="31">
        <v>46276.62361200231</v>
      </c>
      <c r="M2421" s="20">
        <v>12</v>
      </c>
      <c r="N2421" s="1">
        <v>9</v>
      </c>
    </row>
    <row r="2422" spans="1:14" x14ac:dyDescent="0.25">
      <c r="A2422" t="str">
        <f t="shared" si="76"/>
        <v>C135238C135238</v>
      </c>
      <c r="B2422" t="str">
        <f t="shared" si="77"/>
        <v>C135238W6033JW-B</v>
      </c>
      <c r="C2422" s="27" t="s">
        <v>656</v>
      </c>
      <c r="D2422" s="27" t="s">
        <v>657</v>
      </c>
      <c r="E2422" s="1" t="s">
        <v>397</v>
      </c>
      <c r="F2422" s="1" t="s">
        <v>400</v>
      </c>
      <c r="G2422" s="1" t="s">
        <v>401</v>
      </c>
      <c r="H2422" s="1">
        <v>486</v>
      </c>
      <c r="I2422" s="3">
        <v>46276</v>
      </c>
      <c r="J2422" s="3">
        <v>46281</v>
      </c>
      <c r="K2422" s="3" t="s">
        <v>2370</v>
      </c>
      <c r="L2422" s="31">
        <v>46276.624167476853</v>
      </c>
      <c r="M2422" s="20">
        <v>12</v>
      </c>
      <c r="N2422" s="1">
        <v>34</v>
      </c>
    </row>
    <row r="2423" spans="1:14" x14ac:dyDescent="0.25">
      <c r="A2423" t="str">
        <f t="shared" si="76"/>
        <v>C135238C135238</v>
      </c>
      <c r="B2423" t="str">
        <f t="shared" si="77"/>
        <v>C135238W6033JW-B</v>
      </c>
      <c r="C2423" s="27" t="s">
        <v>656</v>
      </c>
      <c r="D2423" s="27" t="s">
        <v>657</v>
      </c>
      <c r="E2423" s="1" t="s">
        <v>397</v>
      </c>
      <c r="F2423" s="1" t="s">
        <v>400</v>
      </c>
      <c r="G2423" s="1" t="s">
        <v>401</v>
      </c>
      <c r="H2423" s="1">
        <v>486</v>
      </c>
      <c r="I2423" s="3">
        <v>46276</v>
      </c>
      <c r="J2423" s="3">
        <v>46281</v>
      </c>
      <c r="K2423" s="3" t="s">
        <v>2370</v>
      </c>
      <c r="L2423" s="31">
        <v>46276.635008067125</v>
      </c>
      <c r="M2423" s="20">
        <v>12</v>
      </c>
      <c r="N2423" s="1">
        <v>32</v>
      </c>
    </row>
    <row r="2424" spans="1:14" x14ac:dyDescent="0.25">
      <c r="A2424" t="str">
        <f t="shared" si="76"/>
        <v>C135238C135238</v>
      </c>
      <c r="B2424" t="str">
        <f t="shared" si="77"/>
        <v>C135238W6033JW-B</v>
      </c>
      <c r="C2424" s="27" t="s">
        <v>656</v>
      </c>
      <c r="D2424" s="27" t="s">
        <v>657</v>
      </c>
      <c r="E2424" s="1" t="s">
        <v>397</v>
      </c>
      <c r="F2424" s="1" t="s">
        <v>400</v>
      </c>
      <c r="G2424" s="1" t="s">
        <v>401</v>
      </c>
      <c r="H2424" s="1">
        <v>486</v>
      </c>
      <c r="I2424" s="3">
        <v>46276</v>
      </c>
      <c r="J2424" s="3">
        <v>46281</v>
      </c>
      <c r="K2424" s="3" t="s">
        <v>2370</v>
      </c>
      <c r="L2424" s="31">
        <v>46276.635638657404</v>
      </c>
      <c r="M2424" s="20">
        <v>12</v>
      </c>
      <c r="N2424" s="1">
        <v>27</v>
      </c>
    </row>
    <row r="2425" spans="1:14" x14ac:dyDescent="0.25">
      <c r="A2425" t="str">
        <f t="shared" si="76"/>
        <v>C135238C135238</v>
      </c>
      <c r="B2425" t="str">
        <f t="shared" si="77"/>
        <v>C135238W6033JW-B</v>
      </c>
      <c r="C2425" s="27" t="s">
        <v>656</v>
      </c>
      <c r="D2425" s="27" t="s">
        <v>657</v>
      </c>
      <c r="E2425" s="1" t="s">
        <v>397</v>
      </c>
      <c r="F2425" s="1" t="s">
        <v>400</v>
      </c>
      <c r="G2425" s="1" t="s">
        <v>401</v>
      </c>
      <c r="H2425" s="1">
        <v>486</v>
      </c>
      <c r="I2425" s="3">
        <v>46276</v>
      </c>
      <c r="J2425" s="3">
        <v>46281</v>
      </c>
      <c r="K2425" s="3" t="s">
        <v>2370</v>
      </c>
      <c r="L2425" s="31">
        <v>46276.642031365736</v>
      </c>
      <c r="M2425" s="20">
        <v>12</v>
      </c>
      <c r="N2425" s="1">
        <v>3</v>
      </c>
    </row>
    <row r="2426" spans="1:14" x14ac:dyDescent="0.25">
      <c r="A2426" t="str">
        <f t="shared" si="76"/>
        <v>C135238C135238</v>
      </c>
      <c r="B2426" t="str">
        <f t="shared" si="77"/>
        <v>C135238W6033JW-B</v>
      </c>
      <c r="C2426" s="27" t="s">
        <v>656</v>
      </c>
      <c r="D2426" s="27" t="s">
        <v>657</v>
      </c>
      <c r="E2426" s="1" t="s">
        <v>397</v>
      </c>
      <c r="F2426" s="1" t="s">
        <v>400</v>
      </c>
      <c r="G2426" s="1" t="s">
        <v>401</v>
      </c>
      <c r="H2426" s="1">
        <v>486</v>
      </c>
      <c r="I2426" s="3">
        <v>46276</v>
      </c>
      <c r="J2426" s="3">
        <v>46281</v>
      </c>
      <c r="K2426" s="3" t="s">
        <v>2370</v>
      </c>
      <c r="L2426" s="31">
        <v>46276.643188113427</v>
      </c>
      <c r="M2426" s="20">
        <v>12</v>
      </c>
      <c r="N2426" s="1">
        <v>11</v>
      </c>
    </row>
    <row r="2427" spans="1:14" x14ac:dyDescent="0.25">
      <c r="A2427" t="str">
        <f t="shared" si="76"/>
        <v>C135238C135238</v>
      </c>
      <c r="B2427" t="str">
        <f t="shared" si="77"/>
        <v>C135238W6033JW-B</v>
      </c>
      <c r="C2427" s="27" t="s">
        <v>656</v>
      </c>
      <c r="D2427" s="27" t="s">
        <v>657</v>
      </c>
      <c r="E2427" s="1" t="s">
        <v>397</v>
      </c>
      <c r="F2427" s="1" t="s">
        <v>400</v>
      </c>
      <c r="G2427" s="1" t="s">
        <v>401</v>
      </c>
      <c r="H2427" s="1">
        <v>486</v>
      </c>
      <c r="I2427" s="3">
        <v>46276</v>
      </c>
      <c r="J2427" s="3">
        <v>46281</v>
      </c>
      <c r="K2427" s="3" t="s">
        <v>2370</v>
      </c>
      <c r="L2427" s="31">
        <v>46276.649217013888</v>
      </c>
      <c r="M2427" s="20">
        <v>12</v>
      </c>
      <c r="N2427" s="1">
        <v>25</v>
      </c>
    </row>
    <row r="2428" spans="1:14" x14ac:dyDescent="0.25">
      <c r="A2428" t="str">
        <f t="shared" si="76"/>
        <v>C135238C135238</v>
      </c>
      <c r="B2428" t="str">
        <f t="shared" si="77"/>
        <v>C135238W6033JW-B</v>
      </c>
      <c r="C2428" s="27" t="s">
        <v>656</v>
      </c>
      <c r="D2428" s="27" t="s">
        <v>657</v>
      </c>
      <c r="E2428" s="1" t="s">
        <v>397</v>
      </c>
      <c r="F2428" s="1" t="s">
        <v>400</v>
      </c>
      <c r="G2428" s="1" t="s">
        <v>401</v>
      </c>
      <c r="H2428" s="1">
        <v>486</v>
      </c>
      <c r="I2428" s="3">
        <v>46276</v>
      </c>
      <c r="J2428" s="3">
        <v>46281</v>
      </c>
      <c r="K2428" s="3" t="s">
        <v>2370</v>
      </c>
      <c r="L2428" s="31">
        <v>46276.649804282402</v>
      </c>
      <c r="M2428" s="20">
        <v>12</v>
      </c>
      <c r="N2428" s="1">
        <v>29</v>
      </c>
    </row>
    <row r="2429" spans="1:14" x14ac:dyDescent="0.25">
      <c r="A2429" t="str">
        <f t="shared" si="76"/>
        <v>C135238C135238</v>
      </c>
      <c r="B2429" t="str">
        <f t="shared" si="77"/>
        <v>C135238W6033JW-B</v>
      </c>
      <c r="C2429" s="27" t="s">
        <v>656</v>
      </c>
      <c r="D2429" s="27" t="s">
        <v>657</v>
      </c>
      <c r="E2429" s="1" t="s">
        <v>397</v>
      </c>
      <c r="F2429" s="1" t="s">
        <v>400</v>
      </c>
      <c r="G2429" s="1" t="s">
        <v>401</v>
      </c>
      <c r="H2429" s="1">
        <v>486</v>
      </c>
      <c r="I2429" s="3">
        <v>46276</v>
      </c>
      <c r="J2429" s="3">
        <v>46281</v>
      </c>
      <c r="K2429" s="3" t="s">
        <v>2370</v>
      </c>
      <c r="L2429" s="31">
        <v>46276.657131018517</v>
      </c>
      <c r="M2429" s="20">
        <v>12</v>
      </c>
      <c r="N2429" s="1">
        <v>4</v>
      </c>
    </row>
    <row r="2430" spans="1:14" x14ac:dyDescent="0.25">
      <c r="A2430" t="str">
        <f t="shared" si="76"/>
        <v>C135238C135238</v>
      </c>
      <c r="B2430" t="str">
        <f t="shared" si="77"/>
        <v>C135238W6033JW-B</v>
      </c>
      <c r="C2430" s="27" t="s">
        <v>656</v>
      </c>
      <c r="D2430" s="27" t="s">
        <v>657</v>
      </c>
      <c r="E2430" s="1" t="s">
        <v>397</v>
      </c>
      <c r="F2430" s="1" t="s">
        <v>400</v>
      </c>
      <c r="G2430" s="1" t="s">
        <v>401</v>
      </c>
      <c r="H2430" s="1">
        <v>486</v>
      </c>
      <c r="I2430" s="3">
        <v>46276</v>
      </c>
      <c r="J2430" s="3">
        <v>46281</v>
      </c>
      <c r="K2430" s="3" t="s">
        <v>2370</v>
      </c>
      <c r="L2430" s="31">
        <v>46276.665402662038</v>
      </c>
      <c r="M2430" s="20">
        <v>12</v>
      </c>
      <c r="N2430" s="1">
        <v>12</v>
      </c>
    </row>
    <row r="2431" spans="1:14" x14ac:dyDescent="0.25">
      <c r="A2431" t="str">
        <f t="shared" si="76"/>
        <v>C135238C135238</v>
      </c>
      <c r="B2431" t="str">
        <f t="shared" si="77"/>
        <v>C135238W6033JW-B</v>
      </c>
      <c r="C2431" s="1" t="s">
        <v>656</v>
      </c>
      <c r="D2431" s="1" t="s">
        <v>657</v>
      </c>
      <c r="E2431" s="1" t="s">
        <v>397</v>
      </c>
      <c r="F2431" s="1" t="s">
        <v>400</v>
      </c>
      <c r="G2431" s="1" t="s">
        <v>401</v>
      </c>
      <c r="H2431" s="1">
        <v>486</v>
      </c>
      <c r="I2431" s="3">
        <v>46276</v>
      </c>
      <c r="J2431" s="3">
        <v>46281</v>
      </c>
      <c r="K2431" s="3" t="s">
        <v>2370</v>
      </c>
      <c r="L2431" s="31">
        <v>46276.70249131944</v>
      </c>
      <c r="M2431" s="20">
        <v>12</v>
      </c>
      <c r="N2431" s="1">
        <v>7</v>
      </c>
    </row>
    <row r="2432" spans="1:14" x14ac:dyDescent="0.25">
      <c r="A2432" t="str">
        <f t="shared" si="76"/>
        <v>C135238C135238</v>
      </c>
      <c r="B2432" t="str">
        <f t="shared" si="77"/>
        <v>C135238W6033JW-B</v>
      </c>
      <c r="C2432" s="27" t="s">
        <v>656</v>
      </c>
      <c r="D2432" s="27" t="s">
        <v>657</v>
      </c>
      <c r="E2432" s="1" t="s">
        <v>397</v>
      </c>
      <c r="F2432" s="1" t="s">
        <v>400</v>
      </c>
      <c r="G2432" s="1" t="s">
        <v>401</v>
      </c>
      <c r="H2432" s="1">
        <v>486</v>
      </c>
      <c r="I2432" s="3">
        <v>46276</v>
      </c>
      <c r="J2432" s="3">
        <v>46281</v>
      </c>
      <c r="K2432" s="3" t="s">
        <v>2370</v>
      </c>
      <c r="L2432" s="31">
        <v>46276.706257835649</v>
      </c>
      <c r="M2432" s="20">
        <v>12</v>
      </c>
      <c r="N2432" s="1">
        <v>36</v>
      </c>
    </row>
    <row r="2433" spans="1:14" x14ac:dyDescent="0.25">
      <c r="A2433" t="str">
        <f t="shared" si="76"/>
        <v>C135238C135238</v>
      </c>
      <c r="B2433" t="str">
        <f t="shared" si="77"/>
        <v>C135238W6033JW-B</v>
      </c>
      <c r="C2433" s="27" t="s">
        <v>656</v>
      </c>
      <c r="D2433" s="27" t="s">
        <v>657</v>
      </c>
      <c r="E2433" s="1" t="s">
        <v>397</v>
      </c>
      <c r="F2433" s="1" t="s">
        <v>400</v>
      </c>
      <c r="G2433" s="1" t="s">
        <v>401</v>
      </c>
      <c r="H2433" s="1">
        <v>486</v>
      </c>
      <c r="I2433" s="3">
        <v>46276</v>
      </c>
      <c r="J2433" s="3">
        <v>46281</v>
      </c>
      <c r="K2433" s="3" t="s">
        <v>2370</v>
      </c>
      <c r="L2433" s="31">
        <v>46276.706500694439</v>
      </c>
      <c r="M2433" s="20">
        <v>12</v>
      </c>
      <c r="N2433" s="1">
        <v>24</v>
      </c>
    </row>
    <row r="2434" spans="1:14" x14ac:dyDescent="0.25">
      <c r="A2434" t="str">
        <f t="shared" ref="A2434:A2497" si="78">+D2434&amp;D2434</f>
        <v>H177668H177668</v>
      </c>
      <c r="B2434" t="str">
        <f t="shared" ref="B2434:B2497" si="79">+D2434&amp;C2434</f>
        <v>H177668GC9060GY-M</v>
      </c>
      <c r="C2434" s="27" t="s">
        <v>5</v>
      </c>
      <c r="D2434" s="27" t="s">
        <v>658</v>
      </c>
      <c r="E2434" s="1" t="s">
        <v>501</v>
      </c>
      <c r="F2434" s="1" t="s">
        <v>502</v>
      </c>
      <c r="G2434" s="1" t="s">
        <v>404</v>
      </c>
      <c r="H2434" s="1">
        <v>960</v>
      </c>
      <c r="I2434" s="3">
        <v>46276</v>
      </c>
      <c r="L2434" s="31">
        <v>46276.585038576384</v>
      </c>
      <c r="M2434" s="20">
        <v>6</v>
      </c>
      <c r="N2434" s="1">
        <v>65</v>
      </c>
    </row>
    <row r="2435" spans="1:14" x14ac:dyDescent="0.25">
      <c r="A2435" t="str">
        <f t="shared" si="78"/>
        <v>H177668H177668</v>
      </c>
      <c r="B2435" t="str">
        <f t="shared" si="79"/>
        <v>H177668GC9060GY-M</v>
      </c>
      <c r="C2435" s="27" t="s">
        <v>5</v>
      </c>
      <c r="D2435" s="27" t="s">
        <v>658</v>
      </c>
      <c r="E2435" s="1" t="s">
        <v>501</v>
      </c>
      <c r="F2435" s="1" t="s">
        <v>502</v>
      </c>
      <c r="G2435" s="1" t="s">
        <v>404</v>
      </c>
      <c r="H2435" s="1">
        <v>960</v>
      </c>
      <c r="I2435" s="3">
        <v>46276</v>
      </c>
      <c r="L2435" s="31">
        <v>46276.590490428236</v>
      </c>
      <c r="M2435" s="20">
        <v>6</v>
      </c>
      <c r="N2435" s="1">
        <v>91</v>
      </c>
    </row>
    <row r="2436" spans="1:14" x14ac:dyDescent="0.25">
      <c r="A2436" t="str">
        <f t="shared" si="78"/>
        <v>H177668H177668</v>
      </c>
      <c r="B2436" t="str">
        <f t="shared" si="79"/>
        <v>H177668GC9060GY-M</v>
      </c>
      <c r="C2436" s="27" t="s">
        <v>5</v>
      </c>
      <c r="D2436" s="27" t="s">
        <v>658</v>
      </c>
      <c r="E2436" s="1" t="s">
        <v>501</v>
      </c>
      <c r="F2436" s="1" t="s">
        <v>502</v>
      </c>
      <c r="G2436" s="1" t="s">
        <v>404</v>
      </c>
      <c r="H2436" s="1">
        <v>960</v>
      </c>
      <c r="I2436" s="3">
        <v>46276</v>
      </c>
      <c r="L2436" s="31">
        <v>46276.590718368054</v>
      </c>
      <c r="M2436" s="20">
        <v>6</v>
      </c>
      <c r="N2436" s="1">
        <v>116</v>
      </c>
    </row>
    <row r="2437" spans="1:14" x14ac:dyDescent="0.25">
      <c r="A2437" t="str">
        <f t="shared" si="78"/>
        <v>H177668H177668</v>
      </c>
      <c r="B2437" t="str">
        <f t="shared" si="79"/>
        <v>H177668GC9060GY-M</v>
      </c>
      <c r="C2437" s="27" t="s">
        <v>5</v>
      </c>
      <c r="D2437" s="27" t="s">
        <v>658</v>
      </c>
      <c r="E2437" s="1" t="s">
        <v>501</v>
      </c>
      <c r="F2437" s="1" t="s">
        <v>502</v>
      </c>
      <c r="G2437" s="1" t="s">
        <v>404</v>
      </c>
      <c r="H2437" s="1">
        <v>960</v>
      </c>
      <c r="I2437" s="3">
        <v>46276</v>
      </c>
      <c r="L2437" s="31">
        <v>46276.591208564816</v>
      </c>
      <c r="M2437" s="20">
        <v>6</v>
      </c>
      <c r="N2437" s="1">
        <v>142</v>
      </c>
    </row>
    <row r="2438" spans="1:14" x14ac:dyDescent="0.25">
      <c r="A2438" t="str">
        <f t="shared" si="78"/>
        <v>H177668H177668</v>
      </c>
      <c r="B2438" t="str">
        <f t="shared" si="79"/>
        <v>H177668GC9060GY-M</v>
      </c>
      <c r="C2438" s="27" t="s">
        <v>5</v>
      </c>
      <c r="D2438" s="27" t="s">
        <v>658</v>
      </c>
      <c r="E2438" s="1" t="s">
        <v>501</v>
      </c>
      <c r="F2438" s="1" t="s">
        <v>502</v>
      </c>
      <c r="G2438" s="1" t="s">
        <v>404</v>
      </c>
      <c r="H2438" s="1">
        <v>960</v>
      </c>
      <c r="I2438" s="3">
        <v>46276</v>
      </c>
      <c r="L2438" s="31">
        <v>46276.591506793979</v>
      </c>
      <c r="M2438" s="20">
        <v>6</v>
      </c>
      <c r="N2438" s="1">
        <v>63</v>
      </c>
    </row>
    <row r="2439" spans="1:14" x14ac:dyDescent="0.25">
      <c r="A2439" t="str">
        <f t="shared" si="78"/>
        <v>H177668H177668</v>
      </c>
      <c r="B2439" t="str">
        <f t="shared" si="79"/>
        <v>H177668GC9060GY-M</v>
      </c>
      <c r="C2439" s="27" t="s">
        <v>5</v>
      </c>
      <c r="D2439" s="27" t="s">
        <v>658</v>
      </c>
      <c r="E2439" s="1" t="s">
        <v>501</v>
      </c>
      <c r="F2439" s="1" t="s">
        <v>502</v>
      </c>
      <c r="G2439" s="1" t="s">
        <v>404</v>
      </c>
      <c r="H2439" s="1">
        <v>960</v>
      </c>
      <c r="I2439" s="3">
        <v>46276</v>
      </c>
      <c r="L2439" s="31">
        <v>46276.599186724532</v>
      </c>
      <c r="M2439" s="20">
        <v>6</v>
      </c>
      <c r="N2439" s="1">
        <v>37</v>
      </c>
    </row>
    <row r="2440" spans="1:14" x14ac:dyDescent="0.25">
      <c r="A2440" t="str">
        <f t="shared" si="78"/>
        <v>H177668H177668</v>
      </c>
      <c r="B2440" t="str">
        <f t="shared" si="79"/>
        <v>H177668GC9060GY-M</v>
      </c>
      <c r="C2440" s="27" t="s">
        <v>5</v>
      </c>
      <c r="D2440" s="27" t="s">
        <v>658</v>
      </c>
      <c r="E2440" s="1" t="s">
        <v>501</v>
      </c>
      <c r="F2440" s="1" t="s">
        <v>502</v>
      </c>
      <c r="G2440" s="1" t="s">
        <v>404</v>
      </c>
      <c r="H2440" s="1">
        <v>960</v>
      </c>
      <c r="I2440" s="3">
        <v>46276</v>
      </c>
      <c r="L2440" s="31">
        <v>46276.599405324072</v>
      </c>
      <c r="M2440" s="20">
        <v>6</v>
      </c>
      <c r="N2440" s="1">
        <v>62</v>
      </c>
    </row>
    <row r="2441" spans="1:14" x14ac:dyDescent="0.25">
      <c r="A2441" t="str">
        <f t="shared" si="78"/>
        <v>H177668H177668</v>
      </c>
      <c r="B2441" t="str">
        <f t="shared" si="79"/>
        <v>H177668GC9060GY-M</v>
      </c>
      <c r="C2441" s="27" t="s">
        <v>5</v>
      </c>
      <c r="D2441" s="27" t="s">
        <v>658</v>
      </c>
      <c r="E2441" s="1" t="s">
        <v>501</v>
      </c>
      <c r="F2441" s="1" t="s">
        <v>502</v>
      </c>
      <c r="G2441" s="1" t="s">
        <v>404</v>
      </c>
      <c r="H2441" s="1">
        <v>960</v>
      </c>
      <c r="I2441" s="3">
        <v>46276</v>
      </c>
      <c r="L2441" s="31">
        <v>46276.599645717593</v>
      </c>
      <c r="M2441" s="20">
        <v>6</v>
      </c>
      <c r="N2441" s="1">
        <v>140</v>
      </c>
    </row>
    <row r="2442" spans="1:14" x14ac:dyDescent="0.25">
      <c r="A2442" t="str">
        <f t="shared" si="78"/>
        <v>H177668H177668</v>
      </c>
      <c r="B2442" t="str">
        <f t="shared" si="79"/>
        <v>H177668GC9060GY-M</v>
      </c>
      <c r="C2442" s="27" t="s">
        <v>5</v>
      </c>
      <c r="D2442" s="27" t="s">
        <v>658</v>
      </c>
      <c r="E2442" s="1" t="s">
        <v>501</v>
      </c>
      <c r="F2442" s="1" t="s">
        <v>502</v>
      </c>
      <c r="G2442" s="1" t="s">
        <v>404</v>
      </c>
      <c r="H2442" s="1">
        <v>960</v>
      </c>
      <c r="I2442" s="3">
        <v>46276</v>
      </c>
      <c r="L2442" s="31">
        <v>46276.599864467593</v>
      </c>
      <c r="M2442" s="20">
        <v>6</v>
      </c>
      <c r="N2442" s="1">
        <v>90</v>
      </c>
    </row>
    <row r="2443" spans="1:14" x14ac:dyDescent="0.25">
      <c r="A2443" t="str">
        <f t="shared" si="78"/>
        <v>H177668H177668</v>
      </c>
      <c r="B2443" t="str">
        <f t="shared" si="79"/>
        <v>H177668GC9060GY-M</v>
      </c>
      <c r="C2443" s="27" t="s">
        <v>5</v>
      </c>
      <c r="D2443" s="27" t="s">
        <v>658</v>
      </c>
      <c r="E2443" s="1" t="s">
        <v>501</v>
      </c>
      <c r="F2443" s="1" t="s">
        <v>502</v>
      </c>
      <c r="G2443" s="1" t="s">
        <v>404</v>
      </c>
      <c r="H2443" s="1">
        <v>960</v>
      </c>
      <c r="I2443" s="3">
        <v>46276</v>
      </c>
      <c r="L2443" s="31">
        <v>46276.600079780088</v>
      </c>
      <c r="M2443" s="20">
        <v>6</v>
      </c>
      <c r="N2443" s="1">
        <v>66</v>
      </c>
    </row>
    <row r="2444" spans="1:14" x14ac:dyDescent="0.25">
      <c r="A2444" t="str">
        <f t="shared" si="78"/>
        <v>H177668H177668</v>
      </c>
      <c r="B2444" t="str">
        <f t="shared" si="79"/>
        <v>H177668GC9060GY-M</v>
      </c>
      <c r="C2444" s="27" t="s">
        <v>5</v>
      </c>
      <c r="D2444" s="27" t="s">
        <v>658</v>
      </c>
      <c r="E2444" s="1" t="s">
        <v>501</v>
      </c>
      <c r="F2444" s="1" t="s">
        <v>502</v>
      </c>
      <c r="G2444" s="1" t="s">
        <v>404</v>
      </c>
      <c r="H2444" s="1">
        <v>960</v>
      </c>
      <c r="I2444" s="3">
        <v>46276</v>
      </c>
      <c r="L2444" s="31">
        <v>46276.601796331015</v>
      </c>
      <c r="M2444" s="20">
        <v>6</v>
      </c>
      <c r="N2444" s="1">
        <v>141</v>
      </c>
    </row>
    <row r="2445" spans="1:14" x14ac:dyDescent="0.25">
      <c r="A2445" t="str">
        <f t="shared" si="78"/>
        <v>H177668H177668</v>
      </c>
      <c r="B2445" t="str">
        <f t="shared" si="79"/>
        <v>H177668GC9060GY-M</v>
      </c>
      <c r="C2445" s="27" t="s">
        <v>5</v>
      </c>
      <c r="D2445" s="27" t="s">
        <v>658</v>
      </c>
      <c r="E2445" s="1" t="s">
        <v>501</v>
      </c>
      <c r="F2445" s="1" t="s">
        <v>502</v>
      </c>
      <c r="G2445" s="1" t="s">
        <v>404</v>
      </c>
      <c r="H2445" s="1">
        <v>960</v>
      </c>
      <c r="I2445" s="3">
        <v>46276</v>
      </c>
      <c r="L2445" s="31">
        <v>46276.607734756944</v>
      </c>
      <c r="M2445" s="20">
        <v>6</v>
      </c>
      <c r="N2445" s="1">
        <v>117</v>
      </c>
    </row>
    <row r="2446" spans="1:14" x14ac:dyDescent="0.25">
      <c r="A2446" t="str">
        <f t="shared" si="78"/>
        <v>H177668H177668</v>
      </c>
      <c r="B2446" t="str">
        <f t="shared" si="79"/>
        <v>H177668GC9060GY-M</v>
      </c>
      <c r="C2446" s="27" t="s">
        <v>5</v>
      </c>
      <c r="D2446" s="27" t="s">
        <v>658</v>
      </c>
      <c r="E2446" s="1" t="s">
        <v>501</v>
      </c>
      <c r="F2446" s="1" t="s">
        <v>502</v>
      </c>
      <c r="G2446" s="1" t="s">
        <v>404</v>
      </c>
      <c r="H2446" s="1">
        <v>960</v>
      </c>
      <c r="I2446" s="3">
        <v>46276</v>
      </c>
      <c r="L2446" s="31">
        <v>46276.608075150463</v>
      </c>
      <c r="M2446" s="20">
        <v>6</v>
      </c>
      <c r="N2446" s="1">
        <v>115</v>
      </c>
    </row>
    <row r="2447" spans="1:14" x14ac:dyDescent="0.25">
      <c r="A2447" t="str">
        <f t="shared" si="78"/>
        <v>H177668H177668</v>
      </c>
      <c r="B2447" t="str">
        <f t="shared" si="79"/>
        <v>H177668GC9060GY-M</v>
      </c>
      <c r="C2447" s="27" t="s">
        <v>5</v>
      </c>
      <c r="D2447" s="27" t="s">
        <v>658</v>
      </c>
      <c r="E2447" s="1" t="s">
        <v>501</v>
      </c>
      <c r="F2447" s="1" t="s">
        <v>502</v>
      </c>
      <c r="G2447" s="1" t="s">
        <v>404</v>
      </c>
      <c r="H2447" s="1">
        <v>960</v>
      </c>
      <c r="I2447" s="3">
        <v>46276</v>
      </c>
      <c r="L2447" s="31">
        <v>46276.60820844907</v>
      </c>
      <c r="M2447" s="20">
        <v>6</v>
      </c>
      <c r="N2447" s="1">
        <v>36</v>
      </c>
    </row>
    <row r="2448" spans="1:14" x14ac:dyDescent="0.25">
      <c r="A2448" t="str">
        <f t="shared" si="78"/>
        <v>H177668H177668</v>
      </c>
      <c r="B2448" t="str">
        <f t="shared" si="79"/>
        <v>H177668GC9060GY-M</v>
      </c>
      <c r="C2448" s="27" t="s">
        <v>5</v>
      </c>
      <c r="D2448" s="27" t="s">
        <v>658</v>
      </c>
      <c r="E2448" s="1" t="s">
        <v>501</v>
      </c>
      <c r="F2448" s="1" t="s">
        <v>502</v>
      </c>
      <c r="G2448" s="1" t="s">
        <v>404</v>
      </c>
      <c r="H2448" s="1">
        <v>960</v>
      </c>
      <c r="I2448" s="3">
        <v>46276</v>
      </c>
      <c r="L2448" s="31">
        <v>46276.609792094903</v>
      </c>
      <c r="M2448" s="20">
        <v>6</v>
      </c>
      <c r="N2448" s="1">
        <v>122</v>
      </c>
    </row>
    <row r="2449" spans="1:14" x14ac:dyDescent="0.25">
      <c r="A2449" t="str">
        <f t="shared" si="78"/>
        <v>H177668H177668</v>
      </c>
      <c r="B2449" t="str">
        <f t="shared" si="79"/>
        <v>H177668GC9060GY-M</v>
      </c>
      <c r="C2449" s="27" t="s">
        <v>5</v>
      </c>
      <c r="D2449" s="27" t="s">
        <v>658</v>
      </c>
      <c r="E2449" s="1" t="s">
        <v>501</v>
      </c>
      <c r="F2449" s="1" t="s">
        <v>502</v>
      </c>
      <c r="G2449" s="1" t="s">
        <v>404</v>
      </c>
      <c r="H2449" s="1">
        <v>960</v>
      </c>
      <c r="I2449" s="3">
        <v>46276</v>
      </c>
      <c r="L2449" s="31">
        <v>46276.610238229165</v>
      </c>
      <c r="M2449" s="20">
        <v>6</v>
      </c>
      <c r="N2449" s="1">
        <v>64</v>
      </c>
    </row>
    <row r="2450" spans="1:14" x14ac:dyDescent="0.25">
      <c r="A2450" t="str">
        <f t="shared" si="78"/>
        <v>H177668H177668</v>
      </c>
      <c r="B2450" t="str">
        <f t="shared" si="79"/>
        <v>H177668GC9060GY-M</v>
      </c>
      <c r="C2450" s="27" t="s">
        <v>5</v>
      </c>
      <c r="D2450" s="27" t="s">
        <v>658</v>
      </c>
      <c r="E2450" s="1" t="s">
        <v>501</v>
      </c>
      <c r="F2450" s="1" t="s">
        <v>502</v>
      </c>
      <c r="G2450" s="1" t="s">
        <v>404</v>
      </c>
      <c r="H2450" s="1">
        <v>960</v>
      </c>
      <c r="I2450" s="3">
        <v>46276</v>
      </c>
      <c r="L2450" s="31">
        <v>46276.61082376157</v>
      </c>
      <c r="M2450" s="20">
        <v>6</v>
      </c>
      <c r="N2450" s="1">
        <v>114</v>
      </c>
    </row>
    <row r="2451" spans="1:14" x14ac:dyDescent="0.25">
      <c r="A2451" t="str">
        <f t="shared" si="78"/>
        <v>H177668H177668</v>
      </c>
      <c r="B2451" t="str">
        <f t="shared" si="79"/>
        <v>H177668GC9060GY-M</v>
      </c>
      <c r="C2451" s="27" t="s">
        <v>5</v>
      </c>
      <c r="D2451" s="27" t="s">
        <v>658</v>
      </c>
      <c r="E2451" s="1" t="s">
        <v>501</v>
      </c>
      <c r="F2451" s="1" t="s">
        <v>502</v>
      </c>
      <c r="G2451" s="1" t="s">
        <v>404</v>
      </c>
      <c r="H2451" s="1">
        <v>960</v>
      </c>
      <c r="I2451" s="3">
        <v>46276</v>
      </c>
      <c r="L2451" s="31">
        <v>46276.617557986108</v>
      </c>
      <c r="M2451" s="20">
        <v>6</v>
      </c>
      <c r="N2451" s="1">
        <v>139</v>
      </c>
    </row>
    <row r="2452" spans="1:14" x14ac:dyDescent="0.25">
      <c r="A2452" t="str">
        <f t="shared" si="78"/>
        <v>H177668H177668</v>
      </c>
      <c r="B2452" t="str">
        <f t="shared" si="79"/>
        <v>H177668GC9060GY-M</v>
      </c>
      <c r="C2452" s="27" t="s">
        <v>5</v>
      </c>
      <c r="D2452" s="27" t="s">
        <v>658</v>
      </c>
      <c r="E2452" s="1" t="s">
        <v>501</v>
      </c>
      <c r="F2452" s="1" t="s">
        <v>502</v>
      </c>
      <c r="G2452" s="1" t="s">
        <v>404</v>
      </c>
      <c r="H2452" s="1">
        <v>960</v>
      </c>
      <c r="I2452" s="3">
        <v>46276</v>
      </c>
      <c r="L2452" s="31">
        <v>46276.619915011572</v>
      </c>
      <c r="M2452" s="20">
        <v>6</v>
      </c>
      <c r="N2452" s="1">
        <v>2</v>
      </c>
    </row>
    <row r="2453" spans="1:14" x14ac:dyDescent="0.25">
      <c r="A2453" t="str">
        <f t="shared" si="78"/>
        <v>H177668H177668</v>
      </c>
      <c r="B2453" t="str">
        <f t="shared" si="79"/>
        <v>H177668GC9060GY-M</v>
      </c>
      <c r="C2453" s="27" t="s">
        <v>5</v>
      </c>
      <c r="D2453" s="27" t="s">
        <v>658</v>
      </c>
      <c r="E2453" s="1" t="s">
        <v>501</v>
      </c>
      <c r="F2453" s="1" t="s">
        <v>502</v>
      </c>
      <c r="G2453" s="1" t="s">
        <v>404</v>
      </c>
      <c r="H2453" s="1">
        <v>960</v>
      </c>
      <c r="I2453" s="3">
        <v>46276</v>
      </c>
      <c r="L2453" s="31">
        <v>46276.62071732639</v>
      </c>
      <c r="M2453" s="20">
        <v>6</v>
      </c>
      <c r="N2453" s="1">
        <v>86</v>
      </c>
    </row>
    <row r="2454" spans="1:14" x14ac:dyDescent="0.25">
      <c r="A2454" t="str">
        <f t="shared" si="78"/>
        <v>H177668H177668</v>
      </c>
      <c r="B2454" t="str">
        <f t="shared" si="79"/>
        <v>H177668GC9060GY-M</v>
      </c>
      <c r="C2454" s="27" t="s">
        <v>5</v>
      </c>
      <c r="D2454" s="27" t="s">
        <v>658</v>
      </c>
      <c r="E2454" s="1" t="s">
        <v>501</v>
      </c>
      <c r="F2454" s="1" t="s">
        <v>502</v>
      </c>
      <c r="G2454" s="1" t="s">
        <v>404</v>
      </c>
      <c r="H2454" s="1">
        <v>960</v>
      </c>
      <c r="I2454" s="3">
        <v>46276</v>
      </c>
      <c r="L2454" s="31">
        <v>46276.621340081016</v>
      </c>
      <c r="M2454" s="20">
        <v>6</v>
      </c>
      <c r="N2454" s="1">
        <v>149</v>
      </c>
    </row>
    <row r="2455" spans="1:14" x14ac:dyDescent="0.25">
      <c r="A2455" t="str">
        <f t="shared" si="78"/>
        <v>H177668H177668</v>
      </c>
      <c r="B2455" t="str">
        <f t="shared" si="79"/>
        <v>H177668GC9060GY-M</v>
      </c>
      <c r="C2455" s="27" t="s">
        <v>5</v>
      </c>
      <c r="D2455" s="27" t="s">
        <v>658</v>
      </c>
      <c r="E2455" s="1" t="s">
        <v>501</v>
      </c>
      <c r="F2455" s="1" t="s">
        <v>502</v>
      </c>
      <c r="G2455" s="1" t="s">
        <v>404</v>
      </c>
      <c r="H2455" s="1">
        <v>960</v>
      </c>
      <c r="I2455" s="3">
        <v>46276</v>
      </c>
      <c r="L2455" s="31">
        <v>46276.625240393514</v>
      </c>
      <c r="M2455" s="20">
        <v>6</v>
      </c>
      <c r="N2455" s="1">
        <v>39</v>
      </c>
    </row>
    <row r="2456" spans="1:14" x14ac:dyDescent="0.25">
      <c r="A2456" t="str">
        <f t="shared" si="78"/>
        <v>H177668H177668</v>
      </c>
      <c r="B2456" t="str">
        <f t="shared" si="79"/>
        <v>H177668GC9060GY-M</v>
      </c>
      <c r="C2456" s="27" t="s">
        <v>5</v>
      </c>
      <c r="D2456" s="27" t="s">
        <v>658</v>
      </c>
      <c r="E2456" s="1" t="s">
        <v>501</v>
      </c>
      <c r="F2456" s="1" t="s">
        <v>502</v>
      </c>
      <c r="G2456" s="1" t="s">
        <v>404</v>
      </c>
      <c r="H2456" s="1">
        <v>960</v>
      </c>
      <c r="I2456" s="3">
        <v>46276</v>
      </c>
      <c r="L2456" s="31">
        <v>46276.625457905087</v>
      </c>
      <c r="M2456" s="20">
        <v>6</v>
      </c>
      <c r="N2456" s="1">
        <v>1</v>
      </c>
    </row>
    <row r="2457" spans="1:14" x14ac:dyDescent="0.25">
      <c r="A2457" t="str">
        <f t="shared" si="78"/>
        <v>H177668H177668</v>
      </c>
      <c r="B2457" t="str">
        <f t="shared" si="79"/>
        <v>H177668GC9060GY-M</v>
      </c>
      <c r="C2457" s="27" t="s">
        <v>5</v>
      </c>
      <c r="D2457" s="27" t="s">
        <v>658</v>
      </c>
      <c r="E2457" s="1" t="s">
        <v>501</v>
      </c>
      <c r="F2457" s="1" t="s">
        <v>502</v>
      </c>
      <c r="G2457" s="1" t="s">
        <v>404</v>
      </c>
      <c r="H2457" s="1">
        <v>960</v>
      </c>
      <c r="I2457" s="3">
        <v>46276</v>
      </c>
      <c r="L2457" s="31">
        <v>46276.626346874997</v>
      </c>
      <c r="M2457" s="20">
        <v>6</v>
      </c>
      <c r="N2457" s="1">
        <v>68</v>
      </c>
    </row>
    <row r="2458" spans="1:14" x14ac:dyDescent="0.25">
      <c r="A2458" t="str">
        <f t="shared" si="78"/>
        <v>H177668H177668</v>
      </c>
      <c r="B2458" t="str">
        <f t="shared" si="79"/>
        <v>H177668GC9060GY-M</v>
      </c>
      <c r="C2458" s="27" t="s">
        <v>5</v>
      </c>
      <c r="D2458" s="27" t="s">
        <v>658</v>
      </c>
      <c r="E2458" s="1" t="s">
        <v>501</v>
      </c>
      <c r="F2458" s="1" t="s">
        <v>502</v>
      </c>
      <c r="G2458" s="1" t="s">
        <v>404</v>
      </c>
      <c r="H2458" s="1">
        <v>960</v>
      </c>
      <c r="I2458" s="3">
        <v>46276</v>
      </c>
      <c r="L2458" s="31">
        <v>46276.627510879625</v>
      </c>
      <c r="M2458" s="20">
        <v>6</v>
      </c>
      <c r="N2458" s="1">
        <v>38</v>
      </c>
    </row>
    <row r="2459" spans="1:14" x14ac:dyDescent="0.25">
      <c r="A2459" t="str">
        <f t="shared" si="78"/>
        <v>H177668H177668</v>
      </c>
      <c r="B2459" t="str">
        <f t="shared" si="79"/>
        <v>H177668GC9060GY-M</v>
      </c>
      <c r="C2459" s="27" t="s">
        <v>5</v>
      </c>
      <c r="D2459" s="27" t="s">
        <v>658</v>
      </c>
      <c r="E2459" s="1" t="s">
        <v>501</v>
      </c>
      <c r="F2459" s="1" t="s">
        <v>502</v>
      </c>
      <c r="G2459" s="1" t="s">
        <v>404</v>
      </c>
      <c r="H2459" s="1">
        <v>960</v>
      </c>
      <c r="I2459" s="3">
        <v>46276</v>
      </c>
      <c r="L2459" s="31">
        <v>46276.627854317128</v>
      </c>
      <c r="M2459" s="20">
        <v>6</v>
      </c>
      <c r="N2459" s="1">
        <v>3</v>
      </c>
    </row>
    <row r="2460" spans="1:14" x14ac:dyDescent="0.25">
      <c r="A2460" t="str">
        <f t="shared" si="78"/>
        <v>H177668H177668</v>
      </c>
      <c r="B2460" t="str">
        <f t="shared" si="79"/>
        <v>H177668GC9060GY-M</v>
      </c>
      <c r="C2460" s="27" t="s">
        <v>5</v>
      </c>
      <c r="D2460" s="27" t="s">
        <v>658</v>
      </c>
      <c r="E2460" s="1" t="s">
        <v>501</v>
      </c>
      <c r="F2460" s="1" t="s">
        <v>502</v>
      </c>
      <c r="G2460" s="1" t="s">
        <v>404</v>
      </c>
      <c r="H2460" s="1">
        <v>960</v>
      </c>
      <c r="I2460" s="3">
        <v>46276</v>
      </c>
      <c r="L2460" s="31">
        <v>46276.635502974532</v>
      </c>
      <c r="M2460" s="20">
        <v>6</v>
      </c>
      <c r="N2460" s="1">
        <v>61</v>
      </c>
    </row>
    <row r="2461" spans="1:14" x14ac:dyDescent="0.25">
      <c r="A2461" t="str">
        <f t="shared" si="78"/>
        <v>H177668H177668</v>
      </c>
      <c r="B2461" t="str">
        <f t="shared" si="79"/>
        <v>H177668GC9060GY-M</v>
      </c>
      <c r="C2461" s="27" t="s">
        <v>5</v>
      </c>
      <c r="D2461" s="27" t="s">
        <v>658</v>
      </c>
      <c r="E2461" s="1" t="s">
        <v>501</v>
      </c>
      <c r="F2461" s="1" t="s">
        <v>502</v>
      </c>
      <c r="G2461" s="1" t="s">
        <v>404</v>
      </c>
      <c r="H2461" s="1">
        <v>960</v>
      </c>
      <c r="I2461" s="3">
        <v>46276</v>
      </c>
      <c r="L2461" s="31">
        <v>46276.635718634258</v>
      </c>
      <c r="M2461" s="20">
        <v>6</v>
      </c>
      <c r="N2461" s="1">
        <v>94</v>
      </c>
    </row>
    <row r="2462" spans="1:14" x14ac:dyDescent="0.25">
      <c r="A2462" t="str">
        <f t="shared" si="78"/>
        <v>H177668H177668</v>
      </c>
      <c r="B2462" t="str">
        <f t="shared" si="79"/>
        <v>H177668GC9060GY-M</v>
      </c>
      <c r="C2462" s="27" t="s">
        <v>5</v>
      </c>
      <c r="D2462" s="27" t="s">
        <v>658</v>
      </c>
      <c r="E2462" s="1" t="s">
        <v>501</v>
      </c>
      <c r="F2462" s="1" t="s">
        <v>502</v>
      </c>
      <c r="G2462" s="1" t="s">
        <v>404</v>
      </c>
      <c r="H2462" s="1">
        <v>960</v>
      </c>
      <c r="I2462" s="3">
        <v>46276</v>
      </c>
      <c r="L2462" s="31">
        <v>46276.635893831015</v>
      </c>
      <c r="M2462" s="20">
        <v>6</v>
      </c>
      <c r="N2462" s="1">
        <v>95</v>
      </c>
    </row>
    <row r="2463" spans="1:14" x14ac:dyDescent="0.25">
      <c r="A2463" t="str">
        <f t="shared" si="78"/>
        <v>H177668H177668</v>
      </c>
      <c r="B2463" t="str">
        <f t="shared" si="79"/>
        <v>H177668GC9060GY-M</v>
      </c>
      <c r="C2463" s="27" t="s">
        <v>5</v>
      </c>
      <c r="D2463" s="27" t="s">
        <v>658</v>
      </c>
      <c r="E2463" s="1" t="s">
        <v>501</v>
      </c>
      <c r="F2463" s="1" t="s">
        <v>502</v>
      </c>
      <c r="G2463" s="1" t="s">
        <v>404</v>
      </c>
      <c r="H2463" s="1">
        <v>960</v>
      </c>
      <c r="I2463" s="3">
        <v>46276</v>
      </c>
      <c r="L2463" s="31">
        <v>46276.636148067126</v>
      </c>
      <c r="M2463" s="20">
        <v>6</v>
      </c>
      <c r="N2463" s="1">
        <v>120</v>
      </c>
    </row>
    <row r="2464" spans="1:14" x14ac:dyDescent="0.25">
      <c r="A2464" t="str">
        <f t="shared" si="78"/>
        <v>H177668H177668</v>
      </c>
      <c r="B2464" t="str">
        <f t="shared" si="79"/>
        <v>H177668GC9060GY-M</v>
      </c>
      <c r="C2464" s="27" t="s">
        <v>5</v>
      </c>
      <c r="D2464" s="27" t="s">
        <v>658</v>
      </c>
      <c r="E2464" s="1" t="s">
        <v>501</v>
      </c>
      <c r="F2464" s="1" t="s">
        <v>502</v>
      </c>
      <c r="G2464" s="1" t="s">
        <v>404</v>
      </c>
      <c r="H2464" s="1">
        <v>960</v>
      </c>
      <c r="I2464" s="3">
        <v>46276</v>
      </c>
      <c r="L2464" s="31">
        <v>46276.636371793982</v>
      </c>
      <c r="M2464" s="20">
        <v>6</v>
      </c>
      <c r="N2464" s="1">
        <v>119</v>
      </c>
    </row>
    <row r="2465" spans="1:14" x14ac:dyDescent="0.25">
      <c r="A2465" t="str">
        <f t="shared" si="78"/>
        <v>H177668H177668</v>
      </c>
      <c r="B2465" t="str">
        <f t="shared" si="79"/>
        <v>H177668GC9060GY-M</v>
      </c>
      <c r="C2465" s="27" t="s">
        <v>5</v>
      </c>
      <c r="D2465" s="27" t="s">
        <v>658</v>
      </c>
      <c r="E2465" s="1" t="s">
        <v>501</v>
      </c>
      <c r="F2465" s="1" t="s">
        <v>502</v>
      </c>
      <c r="G2465" s="1" t="s">
        <v>404</v>
      </c>
      <c r="H2465" s="1">
        <v>960</v>
      </c>
      <c r="I2465" s="3">
        <v>46276</v>
      </c>
      <c r="L2465" s="31">
        <v>46276.639223113423</v>
      </c>
      <c r="M2465" s="20">
        <v>6</v>
      </c>
      <c r="N2465" s="1">
        <v>123</v>
      </c>
    </row>
    <row r="2466" spans="1:14" x14ac:dyDescent="0.25">
      <c r="A2466" t="str">
        <f t="shared" si="78"/>
        <v>H177668H177668</v>
      </c>
      <c r="B2466" t="str">
        <f t="shared" si="79"/>
        <v>H177668GC9060GY-M</v>
      </c>
      <c r="C2466" s="27" t="s">
        <v>5</v>
      </c>
      <c r="D2466" s="27" t="s">
        <v>658</v>
      </c>
      <c r="E2466" s="1" t="s">
        <v>501</v>
      </c>
      <c r="F2466" s="1" t="s">
        <v>502</v>
      </c>
      <c r="G2466" s="1" t="s">
        <v>404</v>
      </c>
      <c r="H2466" s="1">
        <v>960</v>
      </c>
      <c r="I2466" s="3">
        <v>46276</v>
      </c>
      <c r="L2466" s="31">
        <v>46276.639426388887</v>
      </c>
      <c r="M2466" s="20">
        <v>6</v>
      </c>
      <c r="N2466" s="1">
        <v>92</v>
      </c>
    </row>
    <row r="2467" spans="1:14" x14ac:dyDescent="0.25">
      <c r="A2467" t="str">
        <f t="shared" si="78"/>
        <v>H177668H177668</v>
      </c>
      <c r="B2467" t="str">
        <f t="shared" si="79"/>
        <v>H177668GC9060GY-M</v>
      </c>
      <c r="C2467" s="27" t="s">
        <v>5</v>
      </c>
      <c r="D2467" s="27" t="s">
        <v>658</v>
      </c>
      <c r="E2467" s="1" t="s">
        <v>501</v>
      </c>
      <c r="F2467" s="1" t="s">
        <v>502</v>
      </c>
      <c r="G2467" s="1" t="s">
        <v>404</v>
      </c>
      <c r="H2467" s="1">
        <v>960</v>
      </c>
      <c r="I2467" s="3">
        <v>46276</v>
      </c>
      <c r="L2467" s="31">
        <v>46276.639678437496</v>
      </c>
      <c r="M2467" s="20">
        <v>6</v>
      </c>
      <c r="N2467" s="1">
        <v>147</v>
      </c>
    </row>
    <row r="2468" spans="1:14" x14ac:dyDescent="0.25">
      <c r="A2468" t="str">
        <f t="shared" si="78"/>
        <v>H177668H177668</v>
      </c>
      <c r="B2468" t="str">
        <f t="shared" si="79"/>
        <v>H177668GC9060GY-M</v>
      </c>
      <c r="C2468" s="27" t="s">
        <v>5</v>
      </c>
      <c r="D2468" s="27" t="s">
        <v>658</v>
      </c>
      <c r="E2468" s="1" t="s">
        <v>501</v>
      </c>
      <c r="F2468" s="1" t="s">
        <v>502</v>
      </c>
      <c r="G2468" s="1" t="s">
        <v>404</v>
      </c>
      <c r="H2468" s="1">
        <v>960</v>
      </c>
      <c r="I2468" s="3">
        <v>46276</v>
      </c>
      <c r="L2468" s="31">
        <v>46276.642855127313</v>
      </c>
      <c r="M2468" s="20">
        <v>6</v>
      </c>
      <c r="N2468" s="1">
        <v>69</v>
      </c>
    </row>
    <row r="2469" spans="1:14" x14ac:dyDescent="0.25">
      <c r="A2469" t="str">
        <f t="shared" si="78"/>
        <v>H177668H177668</v>
      </c>
      <c r="B2469" t="str">
        <f t="shared" si="79"/>
        <v>H177668GC9060GY-M</v>
      </c>
      <c r="C2469" s="27" t="s">
        <v>5</v>
      </c>
      <c r="D2469" s="27" t="s">
        <v>658</v>
      </c>
      <c r="E2469" s="1" t="s">
        <v>501</v>
      </c>
      <c r="F2469" s="1" t="s">
        <v>502</v>
      </c>
      <c r="G2469" s="1" t="s">
        <v>404</v>
      </c>
      <c r="H2469" s="1">
        <v>960</v>
      </c>
      <c r="I2469" s="3">
        <v>46276</v>
      </c>
      <c r="L2469" s="31">
        <v>46276.643284988422</v>
      </c>
      <c r="M2469" s="20">
        <v>6</v>
      </c>
      <c r="N2469" s="1">
        <v>118</v>
      </c>
    </row>
    <row r="2470" spans="1:14" x14ac:dyDescent="0.25">
      <c r="A2470" t="str">
        <f t="shared" si="78"/>
        <v>H177668H177668</v>
      </c>
      <c r="B2470" t="str">
        <f t="shared" si="79"/>
        <v>H177668GC9060GY-M</v>
      </c>
      <c r="C2470" s="27" t="s">
        <v>5</v>
      </c>
      <c r="D2470" s="27" t="s">
        <v>658</v>
      </c>
      <c r="E2470" s="1" t="s">
        <v>501</v>
      </c>
      <c r="F2470" s="1" t="s">
        <v>502</v>
      </c>
      <c r="G2470" s="1" t="s">
        <v>404</v>
      </c>
      <c r="H2470" s="1">
        <v>960</v>
      </c>
      <c r="I2470" s="3">
        <v>46276</v>
      </c>
      <c r="L2470" s="31">
        <v>46276.643523495368</v>
      </c>
      <c r="M2470" s="20">
        <v>6</v>
      </c>
      <c r="N2470" s="1">
        <v>42</v>
      </c>
    </row>
    <row r="2471" spans="1:14" x14ac:dyDescent="0.25">
      <c r="A2471" t="str">
        <f t="shared" si="78"/>
        <v>H177668H177668</v>
      </c>
      <c r="B2471" t="str">
        <f t="shared" si="79"/>
        <v>H177668GC9060GY-M</v>
      </c>
      <c r="C2471" s="27" t="s">
        <v>5</v>
      </c>
      <c r="D2471" s="27" t="s">
        <v>658</v>
      </c>
      <c r="E2471" s="1" t="s">
        <v>501</v>
      </c>
      <c r="F2471" s="1" t="s">
        <v>502</v>
      </c>
      <c r="G2471" s="1" t="s">
        <v>404</v>
      </c>
      <c r="H2471" s="1">
        <v>960</v>
      </c>
      <c r="I2471" s="3">
        <v>46276</v>
      </c>
      <c r="L2471" s="31">
        <v>46276.644024108791</v>
      </c>
      <c r="M2471" s="20">
        <v>6</v>
      </c>
      <c r="N2471" s="1">
        <v>150</v>
      </c>
    </row>
    <row r="2472" spans="1:14" x14ac:dyDescent="0.25">
      <c r="A2472" t="str">
        <f t="shared" si="78"/>
        <v>H177668H177668</v>
      </c>
      <c r="B2472" t="str">
        <f t="shared" si="79"/>
        <v>H177668GC9060GY-M</v>
      </c>
      <c r="C2472" s="27" t="s">
        <v>5</v>
      </c>
      <c r="D2472" s="27" t="s">
        <v>658</v>
      </c>
      <c r="E2472" s="1" t="s">
        <v>501</v>
      </c>
      <c r="F2472" s="1" t="s">
        <v>502</v>
      </c>
      <c r="G2472" s="1" t="s">
        <v>404</v>
      </c>
      <c r="H2472" s="1">
        <v>960</v>
      </c>
      <c r="I2472" s="3">
        <v>46276</v>
      </c>
      <c r="L2472" s="31">
        <v>46276.648243946758</v>
      </c>
      <c r="M2472" s="20">
        <v>6</v>
      </c>
      <c r="N2472" s="1">
        <v>148</v>
      </c>
    </row>
    <row r="2473" spans="1:14" x14ac:dyDescent="0.25">
      <c r="A2473" t="str">
        <f t="shared" si="78"/>
        <v>H177668H177668</v>
      </c>
      <c r="B2473" t="str">
        <f t="shared" si="79"/>
        <v>H177668GC9060GY-M</v>
      </c>
      <c r="C2473" s="27" t="s">
        <v>5</v>
      </c>
      <c r="D2473" s="27" t="s">
        <v>658</v>
      </c>
      <c r="E2473" s="1" t="s">
        <v>501</v>
      </c>
      <c r="F2473" s="1" t="s">
        <v>502</v>
      </c>
      <c r="G2473" s="1" t="s">
        <v>404</v>
      </c>
      <c r="H2473" s="1">
        <v>960</v>
      </c>
      <c r="I2473" s="3">
        <v>46276</v>
      </c>
      <c r="L2473" s="31">
        <v>46276.648856250002</v>
      </c>
      <c r="M2473" s="20">
        <v>6</v>
      </c>
      <c r="N2473" s="1">
        <v>145</v>
      </c>
    </row>
    <row r="2474" spans="1:14" x14ac:dyDescent="0.25">
      <c r="A2474" t="str">
        <f t="shared" si="78"/>
        <v>H177668H177668</v>
      </c>
      <c r="B2474" t="str">
        <f t="shared" si="79"/>
        <v>H177668GC9060GY-M</v>
      </c>
      <c r="C2474" s="27" t="s">
        <v>5</v>
      </c>
      <c r="D2474" s="27" t="s">
        <v>658</v>
      </c>
      <c r="E2474" s="1" t="s">
        <v>501</v>
      </c>
      <c r="F2474" s="1" t="s">
        <v>502</v>
      </c>
      <c r="G2474" s="1" t="s">
        <v>404</v>
      </c>
      <c r="H2474" s="1">
        <v>960</v>
      </c>
      <c r="I2474" s="3">
        <v>46276</v>
      </c>
      <c r="L2474" s="31">
        <v>46276.649067708335</v>
      </c>
      <c r="M2474" s="20">
        <v>6</v>
      </c>
      <c r="N2474" s="1">
        <v>93</v>
      </c>
    </row>
    <row r="2475" spans="1:14" x14ac:dyDescent="0.25">
      <c r="A2475" t="str">
        <f t="shared" si="78"/>
        <v>H177668H177668</v>
      </c>
      <c r="B2475" t="str">
        <f t="shared" si="79"/>
        <v>H177668GC9060GY-M</v>
      </c>
      <c r="C2475" s="27" t="s">
        <v>5</v>
      </c>
      <c r="D2475" s="27" t="s">
        <v>658</v>
      </c>
      <c r="E2475" s="1" t="s">
        <v>501</v>
      </c>
      <c r="F2475" s="1" t="s">
        <v>502</v>
      </c>
      <c r="G2475" s="1" t="s">
        <v>404</v>
      </c>
      <c r="H2475" s="1">
        <v>960</v>
      </c>
      <c r="I2475" s="3">
        <v>46276</v>
      </c>
      <c r="L2475" s="31">
        <v>46276.652090243057</v>
      </c>
      <c r="M2475" s="20">
        <v>6</v>
      </c>
      <c r="N2475" s="1">
        <v>43</v>
      </c>
    </row>
    <row r="2476" spans="1:14" x14ac:dyDescent="0.25">
      <c r="A2476" t="str">
        <f t="shared" si="78"/>
        <v>H177668H177668</v>
      </c>
      <c r="B2476" t="str">
        <f t="shared" si="79"/>
        <v>H177668GC9060GY-M</v>
      </c>
      <c r="C2476" s="27" t="s">
        <v>5</v>
      </c>
      <c r="D2476" s="27" t="s">
        <v>658</v>
      </c>
      <c r="E2476" s="1" t="s">
        <v>501</v>
      </c>
      <c r="F2476" s="1" t="s">
        <v>502</v>
      </c>
      <c r="G2476" s="1" t="s">
        <v>404</v>
      </c>
      <c r="H2476" s="1">
        <v>960</v>
      </c>
      <c r="I2476" s="3">
        <v>46276</v>
      </c>
      <c r="L2476" s="31">
        <v>46276.655094444446</v>
      </c>
      <c r="M2476" s="20">
        <v>6</v>
      </c>
      <c r="N2476" s="1">
        <v>89</v>
      </c>
    </row>
    <row r="2477" spans="1:14" x14ac:dyDescent="0.25">
      <c r="A2477" t="str">
        <f t="shared" si="78"/>
        <v>H177668H177668</v>
      </c>
      <c r="B2477" t="str">
        <f t="shared" si="79"/>
        <v>H177668GC9060GY-M</v>
      </c>
      <c r="C2477" s="27" t="s">
        <v>5</v>
      </c>
      <c r="D2477" s="27" t="s">
        <v>658</v>
      </c>
      <c r="E2477" s="1" t="s">
        <v>501</v>
      </c>
      <c r="F2477" s="1" t="s">
        <v>502</v>
      </c>
      <c r="G2477" s="1" t="s">
        <v>404</v>
      </c>
      <c r="H2477" s="1">
        <v>960</v>
      </c>
      <c r="I2477" s="3">
        <v>46276</v>
      </c>
      <c r="L2477" s="31">
        <v>46276.655780208333</v>
      </c>
      <c r="M2477" s="20">
        <v>6</v>
      </c>
      <c r="N2477" s="1">
        <v>121</v>
      </c>
    </row>
    <row r="2478" spans="1:14" x14ac:dyDescent="0.25">
      <c r="A2478" t="str">
        <f t="shared" si="78"/>
        <v>H177668H177668</v>
      </c>
      <c r="B2478" t="str">
        <f t="shared" si="79"/>
        <v>H177668GC9060GY-M</v>
      </c>
      <c r="C2478" s="27" t="s">
        <v>5</v>
      </c>
      <c r="D2478" s="27" t="s">
        <v>658</v>
      </c>
      <c r="E2478" s="1" t="s">
        <v>501</v>
      </c>
      <c r="F2478" s="1" t="s">
        <v>502</v>
      </c>
      <c r="G2478" s="1" t="s">
        <v>404</v>
      </c>
      <c r="H2478" s="1">
        <v>960</v>
      </c>
      <c r="I2478" s="3">
        <v>46276</v>
      </c>
      <c r="L2478" s="31">
        <v>46276.65601230324</v>
      </c>
      <c r="M2478" s="20">
        <v>6</v>
      </c>
      <c r="N2478" s="1">
        <v>130</v>
      </c>
    </row>
    <row r="2479" spans="1:14" x14ac:dyDescent="0.25">
      <c r="A2479" t="str">
        <f t="shared" si="78"/>
        <v>H177668H177668</v>
      </c>
      <c r="B2479" t="str">
        <f t="shared" si="79"/>
        <v>H177668GC9060GY-M</v>
      </c>
      <c r="C2479" s="27" t="s">
        <v>5</v>
      </c>
      <c r="D2479" s="27" t="s">
        <v>658</v>
      </c>
      <c r="E2479" s="1" t="s">
        <v>501</v>
      </c>
      <c r="F2479" s="1" t="s">
        <v>502</v>
      </c>
      <c r="G2479" s="1" t="s">
        <v>404</v>
      </c>
      <c r="H2479" s="1">
        <v>960</v>
      </c>
      <c r="I2479" s="3">
        <v>46276</v>
      </c>
      <c r="L2479" s="31">
        <v>46276.656421874999</v>
      </c>
      <c r="M2479" s="20">
        <v>6</v>
      </c>
      <c r="N2479" s="1">
        <v>41</v>
      </c>
    </row>
    <row r="2480" spans="1:14" x14ac:dyDescent="0.25">
      <c r="A2480" t="str">
        <f t="shared" si="78"/>
        <v>H177668H177668</v>
      </c>
      <c r="B2480" t="str">
        <f t="shared" si="79"/>
        <v>H177668GC9060GY-M</v>
      </c>
      <c r="C2480" s="27" t="s">
        <v>5</v>
      </c>
      <c r="D2480" s="27" t="s">
        <v>658</v>
      </c>
      <c r="E2480" s="1" t="s">
        <v>501</v>
      </c>
      <c r="F2480" s="1" t="s">
        <v>502</v>
      </c>
      <c r="G2480" s="1" t="s">
        <v>404</v>
      </c>
      <c r="H2480" s="1">
        <v>960</v>
      </c>
      <c r="I2480" s="3">
        <v>46276</v>
      </c>
      <c r="L2480" s="31">
        <v>46276.660506053238</v>
      </c>
      <c r="M2480" s="20">
        <v>6</v>
      </c>
      <c r="N2480" s="1">
        <v>146</v>
      </c>
    </row>
    <row r="2481" spans="1:14" x14ac:dyDescent="0.25">
      <c r="A2481" t="str">
        <f t="shared" si="78"/>
        <v>H177668H177668</v>
      </c>
      <c r="B2481" t="str">
        <f t="shared" si="79"/>
        <v>H177668GC9060GY-M</v>
      </c>
      <c r="C2481" s="27" t="s">
        <v>5</v>
      </c>
      <c r="D2481" s="27" t="s">
        <v>658</v>
      </c>
      <c r="E2481" s="1" t="s">
        <v>501</v>
      </c>
      <c r="F2481" s="1" t="s">
        <v>502</v>
      </c>
      <c r="G2481" s="1" t="s">
        <v>404</v>
      </c>
      <c r="H2481" s="1">
        <v>960</v>
      </c>
      <c r="I2481" s="3">
        <v>46276</v>
      </c>
      <c r="L2481" s="31">
        <v>46276.660951041667</v>
      </c>
      <c r="M2481" s="20">
        <v>6</v>
      </c>
      <c r="N2481" s="1">
        <v>144</v>
      </c>
    </row>
    <row r="2482" spans="1:14" x14ac:dyDescent="0.25">
      <c r="A2482" t="str">
        <f t="shared" si="78"/>
        <v>H177668H177668</v>
      </c>
      <c r="B2482" t="str">
        <f t="shared" si="79"/>
        <v>H177668GC9060GY-M</v>
      </c>
      <c r="C2482" s="27" t="s">
        <v>5</v>
      </c>
      <c r="D2482" s="27" t="s">
        <v>658</v>
      </c>
      <c r="E2482" s="1" t="s">
        <v>501</v>
      </c>
      <c r="F2482" s="1" t="s">
        <v>502</v>
      </c>
      <c r="G2482" s="1" t="s">
        <v>404</v>
      </c>
      <c r="H2482" s="1">
        <v>960</v>
      </c>
      <c r="I2482" s="3">
        <v>46276</v>
      </c>
      <c r="L2482" s="31">
        <v>46276.661178009257</v>
      </c>
      <c r="M2482" s="20">
        <v>6</v>
      </c>
      <c r="N2482" s="1">
        <v>88</v>
      </c>
    </row>
    <row r="2483" spans="1:14" x14ac:dyDescent="0.25">
      <c r="A2483" t="str">
        <f t="shared" si="78"/>
        <v>H177668H177668</v>
      </c>
      <c r="B2483" t="str">
        <f t="shared" si="79"/>
        <v>H177668GC9060GY-M</v>
      </c>
      <c r="C2483" s="27" t="s">
        <v>5</v>
      </c>
      <c r="D2483" s="27" t="s">
        <v>658</v>
      </c>
      <c r="E2483" s="1" t="s">
        <v>501</v>
      </c>
      <c r="F2483" s="1" t="s">
        <v>502</v>
      </c>
      <c r="G2483" s="1" t="s">
        <v>404</v>
      </c>
      <c r="H2483" s="1">
        <v>960</v>
      </c>
      <c r="I2483" s="3">
        <v>46276</v>
      </c>
      <c r="L2483" s="31">
        <v>46276.661367511573</v>
      </c>
      <c r="M2483" s="20">
        <v>6</v>
      </c>
      <c r="N2483" s="1">
        <v>40</v>
      </c>
    </row>
    <row r="2484" spans="1:14" x14ac:dyDescent="0.25">
      <c r="A2484" t="str">
        <f t="shared" si="78"/>
        <v>H177668H177668</v>
      </c>
      <c r="B2484" t="str">
        <f t="shared" si="79"/>
        <v>H177668GC9060GY-M</v>
      </c>
      <c r="C2484" s="27" t="s">
        <v>5</v>
      </c>
      <c r="D2484" s="27" t="s">
        <v>658</v>
      </c>
      <c r="E2484" s="1" t="s">
        <v>501</v>
      </c>
      <c r="F2484" s="1" t="s">
        <v>502</v>
      </c>
      <c r="G2484" s="1" t="s">
        <v>404</v>
      </c>
      <c r="H2484" s="1">
        <v>960</v>
      </c>
      <c r="I2484" s="3">
        <v>46276</v>
      </c>
      <c r="L2484" s="31">
        <v>46276.680639120372</v>
      </c>
      <c r="M2484" s="20">
        <v>6</v>
      </c>
      <c r="N2484" s="1">
        <v>151</v>
      </c>
    </row>
    <row r="2485" spans="1:14" x14ac:dyDescent="0.25">
      <c r="A2485" t="str">
        <f t="shared" si="78"/>
        <v>H177668H177668</v>
      </c>
      <c r="B2485" t="str">
        <f t="shared" si="79"/>
        <v>H177668GC9060GY-M</v>
      </c>
      <c r="C2485" s="27" t="s">
        <v>5</v>
      </c>
      <c r="D2485" s="27" t="s">
        <v>658</v>
      </c>
      <c r="E2485" s="1" t="s">
        <v>501</v>
      </c>
      <c r="F2485" s="1" t="s">
        <v>502</v>
      </c>
      <c r="G2485" s="1" t="s">
        <v>404</v>
      </c>
      <c r="H2485" s="1">
        <v>960</v>
      </c>
      <c r="I2485" s="3">
        <v>46276</v>
      </c>
      <c r="L2485" s="31">
        <v>46276.681078391201</v>
      </c>
      <c r="M2485" s="20">
        <v>6</v>
      </c>
      <c r="N2485" s="1">
        <v>5</v>
      </c>
    </row>
    <row r="2486" spans="1:14" x14ac:dyDescent="0.25">
      <c r="A2486" t="str">
        <f t="shared" si="78"/>
        <v>H177668H177668</v>
      </c>
      <c r="B2486" t="str">
        <f t="shared" si="79"/>
        <v>H177668GC9060GY-M</v>
      </c>
      <c r="C2486" s="1" t="s">
        <v>5</v>
      </c>
      <c r="D2486" s="1" t="s">
        <v>658</v>
      </c>
      <c r="E2486" s="1" t="s">
        <v>501</v>
      </c>
      <c r="F2486" s="1" t="s">
        <v>502</v>
      </c>
      <c r="G2486" s="1" t="s">
        <v>404</v>
      </c>
      <c r="H2486" s="1">
        <v>960</v>
      </c>
      <c r="I2486" s="3">
        <v>46276</v>
      </c>
      <c r="L2486" s="31">
        <v>46276.682470023145</v>
      </c>
      <c r="M2486" s="20">
        <v>6</v>
      </c>
      <c r="N2486" s="1">
        <v>44</v>
      </c>
    </row>
    <row r="2487" spans="1:14" x14ac:dyDescent="0.25">
      <c r="A2487" t="str">
        <f t="shared" si="78"/>
        <v>H177668H177668</v>
      </c>
      <c r="B2487" t="str">
        <f t="shared" si="79"/>
        <v>H177668GC9060GY-M</v>
      </c>
      <c r="C2487" s="1" t="s">
        <v>5</v>
      </c>
      <c r="D2487" s="1" t="s">
        <v>658</v>
      </c>
      <c r="E2487" s="1" t="s">
        <v>501</v>
      </c>
      <c r="F2487" s="1" t="s">
        <v>502</v>
      </c>
      <c r="G2487" s="1" t="s">
        <v>404</v>
      </c>
      <c r="H2487" s="1">
        <v>960</v>
      </c>
      <c r="I2487" s="3">
        <v>46276</v>
      </c>
      <c r="L2487" s="31">
        <v>46276.684521678239</v>
      </c>
      <c r="M2487" s="20">
        <v>6</v>
      </c>
      <c r="N2487" s="1">
        <v>129</v>
      </c>
    </row>
    <row r="2488" spans="1:14" x14ac:dyDescent="0.25">
      <c r="A2488" t="str">
        <f t="shared" si="78"/>
        <v>H177668H177668</v>
      </c>
      <c r="B2488" t="str">
        <f t="shared" si="79"/>
        <v>H177668GC9060GY-M</v>
      </c>
      <c r="C2488" s="1" t="s">
        <v>5</v>
      </c>
      <c r="D2488" s="1" t="s">
        <v>658</v>
      </c>
      <c r="E2488" s="1" t="s">
        <v>501</v>
      </c>
      <c r="F2488" s="1" t="s">
        <v>502</v>
      </c>
      <c r="G2488" s="1" t="s">
        <v>404</v>
      </c>
      <c r="H2488" s="1">
        <v>960</v>
      </c>
      <c r="I2488" s="3">
        <v>46276</v>
      </c>
      <c r="L2488" s="31">
        <v>46276.684698993056</v>
      </c>
      <c r="M2488" s="20">
        <v>6</v>
      </c>
      <c r="N2488" s="1">
        <v>50</v>
      </c>
    </row>
    <row r="2489" spans="1:14" x14ac:dyDescent="0.25">
      <c r="A2489" t="str">
        <f t="shared" si="78"/>
        <v>H177668H177668</v>
      </c>
      <c r="B2489" t="str">
        <f t="shared" si="79"/>
        <v>H177668GC9060GY-M</v>
      </c>
      <c r="C2489" s="1" t="s">
        <v>5</v>
      </c>
      <c r="D2489" s="1" t="s">
        <v>658</v>
      </c>
      <c r="E2489" s="1" t="s">
        <v>501</v>
      </c>
      <c r="F2489" s="1" t="s">
        <v>502</v>
      </c>
      <c r="G2489" s="1" t="s">
        <v>404</v>
      </c>
      <c r="H2489" s="1">
        <v>960</v>
      </c>
      <c r="I2489" s="3">
        <v>46276</v>
      </c>
      <c r="L2489" s="31">
        <v>46276.685282256942</v>
      </c>
      <c r="M2489" s="20">
        <v>6</v>
      </c>
      <c r="N2489" s="1">
        <v>124</v>
      </c>
    </row>
    <row r="2490" spans="1:14" x14ac:dyDescent="0.25">
      <c r="A2490" t="str">
        <f t="shared" si="78"/>
        <v>H177668H177668</v>
      </c>
      <c r="B2490" t="str">
        <f t="shared" si="79"/>
        <v>H177668GC9060GY-M</v>
      </c>
      <c r="C2490" s="1" t="s">
        <v>5</v>
      </c>
      <c r="D2490" s="1" t="s">
        <v>658</v>
      </c>
      <c r="E2490" s="1" t="s">
        <v>501</v>
      </c>
      <c r="F2490" s="1" t="s">
        <v>502</v>
      </c>
      <c r="G2490" s="1" t="s">
        <v>404</v>
      </c>
      <c r="H2490" s="1">
        <v>960</v>
      </c>
      <c r="I2490" s="3">
        <v>46276</v>
      </c>
      <c r="L2490" s="31">
        <v>46276.685512384254</v>
      </c>
      <c r="M2490" s="20">
        <v>6</v>
      </c>
      <c r="N2490" s="1">
        <v>45</v>
      </c>
    </row>
    <row r="2491" spans="1:14" x14ac:dyDescent="0.25">
      <c r="A2491" t="str">
        <f t="shared" si="78"/>
        <v>H177668H177668</v>
      </c>
      <c r="B2491" t="str">
        <f t="shared" si="79"/>
        <v>H177668GC9060GY-M</v>
      </c>
      <c r="C2491" s="1" t="s">
        <v>5</v>
      </c>
      <c r="D2491" s="1" t="s">
        <v>658</v>
      </c>
      <c r="E2491" s="1" t="s">
        <v>501</v>
      </c>
      <c r="F2491" s="1" t="s">
        <v>502</v>
      </c>
      <c r="G2491" s="1" t="s">
        <v>404</v>
      </c>
      <c r="H2491" s="1">
        <v>960</v>
      </c>
      <c r="I2491" s="3">
        <v>46276</v>
      </c>
      <c r="L2491" s="31">
        <v>46276.688794560185</v>
      </c>
      <c r="M2491" s="20">
        <v>6</v>
      </c>
      <c r="N2491" s="1">
        <v>143</v>
      </c>
    </row>
    <row r="2492" spans="1:14" x14ac:dyDescent="0.25">
      <c r="A2492" t="str">
        <f t="shared" si="78"/>
        <v>H177668H177668</v>
      </c>
      <c r="B2492" t="str">
        <f t="shared" si="79"/>
        <v>H177668GC9060GY-M</v>
      </c>
      <c r="C2492" s="27" t="s">
        <v>5</v>
      </c>
      <c r="D2492" s="27" t="s">
        <v>658</v>
      </c>
      <c r="E2492" s="1" t="s">
        <v>501</v>
      </c>
      <c r="F2492" s="1" t="s">
        <v>502</v>
      </c>
      <c r="G2492" s="1" t="s">
        <v>404</v>
      </c>
      <c r="H2492" s="1">
        <v>960</v>
      </c>
      <c r="I2492" s="3">
        <v>46276</v>
      </c>
      <c r="L2492" s="31">
        <v>46276.688956747683</v>
      </c>
      <c r="M2492" s="20">
        <v>6</v>
      </c>
      <c r="N2492" s="1">
        <v>6</v>
      </c>
    </row>
    <row r="2493" spans="1:14" x14ac:dyDescent="0.25">
      <c r="A2493" t="str">
        <f t="shared" si="78"/>
        <v>H177668H177668</v>
      </c>
      <c r="B2493" t="str">
        <f t="shared" si="79"/>
        <v>H177668GC9060GY-M</v>
      </c>
      <c r="C2493" s="27" t="s">
        <v>5</v>
      </c>
      <c r="D2493" s="27" t="s">
        <v>658</v>
      </c>
      <c r="E2493" s="1" t="s">
        <v>501</v>
      </c>
      <c r="F2493" s="1" t="s">
        <v>502</v>
      </c>
      <c r="G2493" s="1" t="s">
        <v>404</v>
      </c>
      <c r="H2493" s="1">
        <v>960</v>
      </c>
      <c r="I2493" s="3">
        <v>46276</v>
      </c>
      <c r="L2493" s="31">
        <v>46276.689117361107</v>
      </c>
      <c r="M2493" s="20">
        <v>6</v>
      </c>
      <c r="N2493" s="1">
        <v>70</v>
      </c>
    </row>
    <row r="2494" spans="1:14" x14ac:dyDescent="0.25">
      <c r="A2494" t="str">
        <f t="shared" si="78"/>
        <v>H177668H177668</v>
      </c>
      <c r="B2494" t="str">
        <f t="shared" si="79"/>
        <v>H177668GC9060GY-M</v>
      </c>
      <c r="C2494" s="27" t="s">
        <v>5</v>
      </c>
      <c r="D2494" s="27" t="s">
        <v>658</v>
      </c>
      <c r="E2494" s="1" t="s">
        <v>501</v>
      </c>
      <c r="F2494" s="1" t="s">
        <v>502</v>
      </c>
      <c r="G2494" s="1" t="s">
        <v>404</v>
      </c>
      <c r="H2494" s="1">
        <v>960</v>
      </c>
      <c r="I2494" s="3">
        <v>46276</v>
      </c>
      <c r="L2494" s="31">
        <v>46276.689552199074</v>
      </c>
      <c r="M2494" s="20">
        <v>6</v>
      </c>
      <c r="N2494" s="1">
        <v>125</v>
      </c>
    </row>
    <row r="2495" spans="1:14" x14ac:dyDescent="0.25">
      <c r="A2495" t="str">
        <f t="shared" si="78"/>
        <v>H177668H177668</v>
      </c>
      <c r="B2495" t="str">
        <f t="shared" si="79"/>
        <v>H177668GC9060GY-M</v>
      </c>
      <c r="C2495" s="27" t="s">
        <v>5</v>
      </c>
      <c r="D2495" s="27" t="s">
        <v>658</v>
      </c>
      <c r="E2495" s="1" t="s">
        <v>501</v>
      </c>
      <c r="F2495" s="1" t="s">
        <v>502</v>
      </c>
      <c r="G2495" s="1" t="s">
        <v>404</v>
      </c>
      <c r="H2495" s="1">
        <v>960</v>
      </c>
      <c r="I2495" s="3">
        <v>46276</v>
      </c>
      <c r="L2495" s="31">
        <v>46276.689802233792</v>
      </c>
      <c r="M2495" s="20">
        <v>6</v>
      </c>
      <c r="N2495" s="1">
        <v>4</v>
      </c>
    </row>
    <row r="2496" spans="1:14" x14ac:dyDescent="0.25">
      <c r="A2496" t="str">
        <f t="shared" si="78"/>
        <v>H177668H177668</v>
      </c>
      <c r="B2496" t="str">
        <f t="shared" si="79"/>
        <v>H177668GC9060GY-M</v>
      </c>
      <c r="C2496" s="27" t="s">
        <v>5</v>
      </c>
      <c r="D2496" s="27" t="s">
        <v>658</v>
      </c>
      <c r="E2496" s="1" t="s">
        <v>501</v>
      </c>
      <c r="F2496" s="1" t="s">
        <v>502</v>
      </c>
      <c r="G2496" s="1" t="s">
        <v>404</v>
      </c>
      <c r="H2496" s="1">
        <v>960</v>
      </c>
      <c r="I2496" s="3">
        <v>46276</v>
      </c>
      <c r="L2496" s="31">
        <v>46276.689922418976</v>
      </c>
      <c r="M2496" s="20">
        <v>6</v>
      </c>
      <c r="N2496" s="1">
        <v>52</v>
      </c>
    </row>
    <row r="2497" spans="1:14" x14ac:dyDescent="0.25">
      <c r="A2497" t="str">
        <f t="shared" si="78"/>
        <v>H177668H177668</v>
      </c>
      <c r="B2497" t="str">
        <f t="shared" si="79"/>
        <v>H177668GC9060GY-M</v>
      </c>
      <c r="C2497" s="1" t="s">
        <v>5</v>
      </c>
      <c r="D2497" s="1" t="s">
        <v>658</v>
      </c>
      <c r="E2497" s="1" t="s">
        <v>501</v>
      </c>
      <c r="F2497" s="1" t="s">
        <v>502</v>
      </c>
      <c r="G2497" s="1" t="s">
        <v>404</v>
      </c>
      <c r="H2497" s="1">
        <v>960</v>
      </c>
      <c r="I2497" s="3">
        <v>46276</v>
      </c>
      <c r="L2497" s="31">
        <v>46276.690249687497</v>
      </c>
      <c r="M2497" s="20">
        <v>6</v>
      </c>
      <c r="N2497" s="1">
        <v>87</v>
      </c>
    </row>
    <row r="2498" spans="1:14" x14ac:dyDescent="0.25">
      <c r="A2498" t="str">
        <f t="shared" ref="A2498:A2561" si="80">+D2498&amp;D2498</f>
        <v>H177668H177668</v>
      </c>
      <c r="B2498" t="str">
        <f t="shared" ref="B2498:B2561" si="81">+D2498&amp;C2498</f>
        <v>H177668GC9060GY-M</v>
      </c>
      <c r="C2498" s="1" t="s">
        <v>5</v>
      </c>
      <c r="D2498" s="1" t="s">
        <v>658</v>
      </c>
      <c r="E2498" s="1" t="s">
        <v>501</v>
      </c>
      <c r="F2498" s="1" t="s">
        <v>502</v>
      </c>
      <c r="G2498" s="1" t="s">
        <v>404</v>
      </c>
      <c r="H2498" s="1">
        <v>960</v>
      </c>
      <c r="I2498" s="3">
        <v>46276</v>
      </c>
      <c r="L2498" s="31">
        <v>46276.690365590279</v>
      </c>
      <c r="M2498" s="20">
        <v>6</v>
      </c>
      <c r="N2498" s="1">
        <v>51</v>
      </c>
    </row>
    <row r="2499" spans="1:14" x14ac:dyDescent="0.25">
      <c r="A2499" t="str">
        <f t="shared" si="80"/>
        <v>H177668H177668</v>
      </c>
      <c r="B2499" t="str">
        <f t="shared" si="81"/>
        <v>H177668GC9060GY-M</v>
      </c>
      <c r="C2499" s="1" t="s">
        <v>5</v>
      </c>
      <c r="D2499" s="1" t="s">
        <v>658</v>
      </c>
      <c r="E2499" s="1" t="s">
        <v>501</v>
      </c>
      <c r="F2499" s="1" t="s">
        <v>502</v>
      </c>
      <c r="G2499" s="1" t="s">
        <v>404</v>
      </c>
      <c r="H2499" s="1">
        <v>960</v>
      </c>
      <c r="I2499" s="3">
        <v>46276</v>
      </c>
      <c r="L2499" s="31">
        <v>46276.692724502311</v>
      </c>
      <c r="M2499" s="20">
        <v>6</v>
      </c>
      <c r="N2499" s="1">
        <v>104</v>
      </c>
    </row>
    <row r="2500" spans="1:14" x14ac:dyDescent="0.25">
      <c r="A2500" t="str">
        <f t="shared" si="80"/>
        <v>H177668H177668</v>
      </c>
      <c r="B2500" t="str">
        <f t="shared" si="81"/>
        <v>H177668GC9060GY-M</v>
      </c>
      <c r="C2500" s="1" t="s">
        <v>5</v>
      </c>
      <c r="D2500" s="1" t="s">
        <v>658</v>
      </c>
      <c r="E2500" s="1" t="s">
        <v>501</v>
      </c>
      <c r="F2500" s="1" t="s">
        <v>502</v>
      </c>
      <c r="G2500" s="1" t="s">
        <v>404</v>
      </c>
      <c r="H2500" s="1">
        <v>960</v>
      </c>
      <c r="I2500" s="3">
        <v>46276</v>
      </c>
      <c r="L2500" s="31">
        <v>46276.692899652779</v>
      </c>
      <c r="M2500" s="20">
        <v>6</v>
      </c>
      <c r="N2500" s="1">
        <v>53</v>
      </c>
    </row>
    <row r="2501" spans="1:14" x14ac:dyDescent="0.25">
      <c r="A2501" t="str">
        <f t="shared" si="80"/>
        <v>H177668H177668</v>
      </c>
      <c r="B2501" t="str">
        <f t="shared" si="81"/>
        <v>H177668GC9060GY-M</v>
      </c>
      <c r="C2501" s="1" t="s">
        <v>5</v>
      </c>
      <c r="D2501" s="1" t="s">
        <v>658</v>
      </c>
      <c r="E2501" s="1" t="s">
        <v>501</v>
      </c>
      <c r="F2501" s="1" t="s">
        <v>502</v>
      </c>
      <c r="G2501" s="1" t="s">
        <v>404</v>
      </c>
      <c r="H2501" s="1">
        <v>960</v>
      </c>
      <c r="I2501" s="3">
        <v>46276</v>
      </c>
      <c r="L2501" s="31">
        <v>46276.693053738425</v>
      </c>
      <c r="M2501" s="20">
        <v>6</v>
      </c>
      <c r="N2501" s="1">
        <v>46</v>
      </c>
    </row>
    <row r="2502" spans="1:14" x14ac:dyDescent="0.25">
      <c r="A2502" t="str">
        <f t="shared" si="80"/>
        <v>H177668H177668</v>
      </c>
      <c r="B2502" t="str">
        <f t="shared" si="81"/>
        <v>H177668GC9060GY-M</v>
      </c>
      <c r="C2502" s="1" t="s">
        <v>5</v>
      </c>
      <c r="D2502" s="1" t="s">
        <v>658</v>
      </c>
      <c r="E2502" s="1" t="s">
        <v>501</v>
      </c>
      <c r="F2502" s="1" t="s">
        <v>502</v>
      </c>
      <c r="G2502" s="1" t="s">
        <v>404</v>
      </c>
      <c r="H2502" s="1">
        <v>960</v>
      </c>
      <c r="I2502" s="3">
        <v>46276</v>
      </c>
      <c r="L2502" s="31">
        <v>46276.693215624997</v>
      </c>
      <c r="M2502" s="20">
        <v>6</v>
      </c>
      <c r="N2502" s="1">
        <v>128</v>
      </c>
    </row>
    <row r="2503" spans="1:14" x14ac:dyDescent="0.25">
      <c r="A2503" t="str">
        <f t="shared" si="80"/>
        <v>H177668H177668</v>
      </c>
      <c r="B2503" t="str">
        <f t="shared" si="81"/>
        <v>H177668GC9060GY-M</v>
      </c>
      <c r="C2503" s="1" t="s">
        <v>5</v>
      </c>
      <c r="D2503" s="1" t="s">
        <v>658</v>
      </c>
      <c r="E2503" s="1" t="s">
        <v>501</v>
      </c>
      <c r="F2503" s="1" t="s">
        <v>502</v>
      </c>
      <c r="G2503" s="1" t="s">
        <v>404</v>
      </c>
      <c r="H2503" s="1">
        <v>960</v>
      </c>
      <c r="I2503" s="3">
        <v>46276</v>
      </c>
      <c r="L2503" s="31">
        <v>46276.693880439816</v>
      </c>
      <c r="M2503" s="20">
        <v>6</v>
      </c>
      <c r="N2503" s="1">
        <v>126</v>
      </c>
    </row>
    <row r="2504" spans="1:14" x14ac:dyDescent="0.25">
      <c r="A2504" t="str">
        <f t="shared" si="80"/>
        <v>H177668H177668</v>
      </c>
      <c r="B2504" t="str">
        <f t="shared" si="81"/>
        <v>H177668GC9060GY-M</v>
      </c>
      <c r="C2504" s="1" t="s">
        <v>5</v>
      </c>
      <c r="D2504" s="1" t="s">
        <v>658</v>
      </c>
      <c r="E2504" s="1" t="s">
        <v>501</v>
      </c>
      <c r="F2504" s="1" t="s">
        <v>502</v>
      </c>
      <c r="G2504" s="1" t="s">
        <v>404</v>
      </c>
      <c r="H2504" s="1">
        <v>960</v>
      </c>
      <c r="I2504" s="3">
        <v>46276</v>
      </c>
      <c r="L2504" s="31">
        <v>46276.694058136571</v>
      </c>
      <c r="M2504" s="20">
        <v>6</v>
      </c>
      <c r="N2504" s="1">
        <v>49</v>
      </c>
    </row>
    <row r="2505" spans="1:14" x14ac:dyDescent="0.25">
      <c r="A2505" t="str">
        <f t="shared" si="80"/>
        <v>H177668H177668</v>
      </c>
      <c r="B2505" t="str">
        <f t="shared" si="81"/>
        <v>H177668GC9060GY-M</v>
      </c>
      <c r="C2505" s="1" t="s">
        <v>5</v>
      </c>
      <c r="D2505" s="1" t="s">
        <v>658</v>
      </c>
      <c r="E2505" s="1" t="s">
        <v>501</v>
      </c>
      <c r="F2505" s="1" t="s">
        <v>502</v>
      </c>
      <c r="G2505" s="1" t="s">
        <v>404</v>
      </c>
      <c r="H2505" s="1">
        <v>960</v>
      </c>
      <c r="I2505" s="3">
        <v>46276</v>
      </c>
      <c r="L2505" s="31">
        <v>46276.694412812496</v>
      </c>
      <c r="M2505" s="20">
        <v>6</v>
      </c>
      <c r="N2505" s="1">
        <v>105</v>
      </c>
    </row>
    <row r="2506" spans="1:14" x14ac:dyDescent="0.25">
      <c r="A2506" t="str">
        <f t="shared" si="80"/>
        <v>H177668H177668</v>
      </c>
      <c r="B2506" t="str">
        <f t="shared" si="81"/>
        <v>H177668GC9060GY-M</v>
      </c>
      <c r="C2506" s="1" t="s">
        <v>5</v>
      </c>
      <c r="D2506" s="1" t="s">
        <v>658</v>
      </c>
      <c r="E2506" s="1" t="s">
        <v>501</v>
      </c>
      <c r="F2506" s="1" t="s">
        <v>502</v>
      </c>
      <c r="G2506" s="1" t="s">
        <v>404</v>
      </c>
      <c r="H2506" s="1">
        <v>960</v>
      </c>
      <c r="I2506" s="3">
        <v>46276</v>
      </c>
      <c r="L2506" s="31">
        <v>46276.697526736112</v>
      </c>
      <c r="M2506" s="20">
        <v>6</v>
      </c>
      <c r="N2506" s="1">
        <v>47</v>
      </c>
    </row>
    <row r="2507" spans="1:14" x14ac:dyDescent="0.25">
      <c r="A2507" t="str">
        <f t="shared" si="80"/>
        <v>H177668H177668</v>
      </c>
      <c r="B2507" t="str">
        <f t="shared" si="81"/>
        <v>H177668GC9060GY-M</v>
      </c>
      <c r="C2507" s="1" t="s">
        <v>5</v>
      </c>
      <c r="D2507" s="1" t="s">
        <v>658</v>
      </c>
      <c r="E2507" s="1" t="s">
        <v>501</v>
      </c>
      <c r="F2507" s="1" t="s">
        <v>502</v>
      </c>
      <c r="G2507" s="1" t="s">
        <v>404</v>
      </c>
      <c r="H2507" s="1">
        <v>960</v>
      </c>
      <c r="I2507" s="3">
        <v>46276</v>
      </c>
      <c r="L2507" s="31">
        <v>46276.698285150458</v>
      </c>
      <c r="M2507" s="20">
        <v>6</v>
      </c>
      <c r="N2507" s="1">
        <v>131</v>
      </c>
    </row>
    <row r="2508" spans="1:14" x14ac:dyDescent="0.25">
      <c r="A2508" t="str">
        <f t="shared" si="80"/>
        <v>H177668H177668</v>
      </c>
      <c r="B2508" t="str">
        <f t="shared" si="81"/>
        <v>H177668GC9060GY-M</v>
      </c>
      <c r="C2508" s="1" t="s">
        <v>5</v>
      </c>
      <c r="D2508" s="1" t="s">
        <v>658</v>
      </c>
      <c r="E2508" s="1" t="s">
        <v>501</v>
      </c>
      <c r="F2508" s="1" t="s">
        <v>502</v>
      </c>
      <c r="G2508" s="1" t="s">
        <v>404</v>
      </c>
      <c r="H2508" s="1">
        <v>960</v>
      </c>
      <c r="I2508" s="3">
        <v>46276</v>
      </c>
      <c r="L2508" s="31">
        <v>46276.698854201386</v>
      </c>
      <c r="M2508" s="20">
        <v>6</v>
      </c>
      <c r="N2508" s="1">
        <v>72</v>
      </c>
    </row>
    <row r="2509" spans="1:14" x14ac:dyDescent="0.25">
      <c r="A2509" t="str">
        <f t="shared" si="80"/>
        <v>H177668H177668</v>
      </c>
      <c r="B2509" t="str">
        <f t="shared" si="81"/>
        <v>H177668GC9060GY-M</v>
      </c>
      <c r="C2509" s="1" t="s">
        <v>5</v>
      </c>
      <c r="D2509" s="1" t="s">
        <v>658</v>
      </c>
      <c r="E2509" s="1" t="s">
        <v>501</v>
      </c>
      <c r="F2509" s="1" t="s">
        <v>502</v>
      </c>
      <c r="G2509" s="1" t="s">
        <v>404</v>
      </c>
      <c r="H2509" s="1">
        <v>960</v>
      </c>
      <c r="I2509" s="3">
        <v>46276</v>
      </c>
      <c r="L2509" s="31">
        <v>46276.698969826386</v>
      </c>
      <c r="M2509" s="20">
        <v>6</v>
      </c>
      <c r="N2509" s="1">
        <v>7</v>
      </c>
    </row>
    <row r="2510" spans="1:14" x14ac:dyDescent="0.25">
      <c r="A2510" t="str">
        <f t="shared" si="80"/>
        <v>H177668H177668</v>
      </c>
      <c r="B2510" t="str">
        <f t="shared" si="81"/>
        <v>H177668GC9060GY-M</v>
      </c>
      <c r="C2510" s="1" t="s">
        <v>5</v>
      </c>
      <c r="D2510" s="1" t="s">
        <v>658</v>
      </c>
      <c r="E2510" s="1" t="s">
        <v>501</v>
      </c>
      <c r="F2510" s="1" t="s">
        <v>502</v>
      </c>
      <c r="G2510" s="1" t="s">
        <v>404</v>
      </c>
      <c r="H2510" s="1">
        <v>960</v>
      </c>
      <c r="I2510" s="3">
        <v>46276</v>
      </c>
      <c r="L2510" s="31">
        <v>46276.699535497683</v>
      </c>
      <c r="M2510" s="20">
        <v>6</v>
      </c>
      <c r="N2510" s="1">
        <v>48</v>
      </c>
    </row>
    <row r="2511" spans="1:14" x14ac:dyDescent="0.25">
      <c r="A2511" t="str">
        <f t="shared" si="80"/>
        <v>H177668H177668</v>
      </c>
      <c r="B2511" t="str">
        <f t="shared" si="81"/>
        <v>H177668GC9060GY-M</v>
      </c>
      <c r="C2511" s="27" t="s">
        <v>5</v>
      </c>
      <c r="D2511" s="27" t="s">
        <v>658</v>
      </c>
      <c r="E2511" s="1" t="s">
        <v>501</v>
      </c>
      <c r="F2511" s="1" t="s">
        <v>502</v>
      </c>
      <c r="G2511" s="1" t="s">
        <v>404</v>
      </c>
      <c r="H2511" s="1">
        <v>960</v>
      </c>
      <c r="I2511" s="3">
        <v>46276</v>
      </c>
      <c r="L2511" s="31">
        <v>46276.710033877316</v>
      </c>
      <c r="M2511" s="20">
        <v>6</v>
      </c>
      <c r="N2511" s="1">
        <v>100</v>
      </c>
    </row>
    <row r="2512" spans="1:14" x14ac:dyDescent="0.25">
      <c r="A2512" t="str">
        <f t="shared" si="80"/>
        <v>H177668H177668</v>
      </c>
      <c r="B2512" t="str">
        <f t="shared" si="81"/>
        <v>H177668GC9060GY-M</v>
      </c>
      <c r="C2512" s="1" t="s">
        <v>5</v>
      </c>
      <c r="D2512" s="1" t="s">
        <v>658</v>
      </c>
      <c r="E2512" s="1" t="s">
        <v>501</v>
      </c>
      <c r="F2512" s="1" t="s">
        <v>502</v>
      </c>
      <c r="G2512" s="1" t="s">
        <v>404</v>
      </c>
      <c r="H2512" s="1">
        <v>960</v>
      </c>
      <c r="I2512" s="3">
        <v>46276</v>
      </c>
      <c r="L2512" s="31">
        <v>46276.710352118054</v>
      </c>
      <c r="M2512" s="20">
        <v>6</v>
      </c>
      <c r="N2512" s="1">
        <v>101</v>
      </c>
    </row>
    <row r="2513" spans="1:14" x14ac:dyDescent="0.25">
      <c r="A2513" t="str">
        <f t="shared" si="80"/>
        <v>H177668H177668</v>
      </c>
      <c r="B2513" t="str">
        <f t="shared" si="81"/>
        <v>H177668GC9060GY-M</v>
      </c>
      <c r="C2513" s="1" t="s">
        <v>5</v>
      </c>
      <c r="D2513" s="1" t="s">
        <v>658</v>
      </c>
      <c r="E2513" s="1" t="s">
        <v>501</v>
      </c>
      <c r="F2513" s="1" t="s">
        <v>502</v>
      </c>
      <c r="G2513" s="1" t="s">
        <v>404</v>
      </c>
      <c r="H2513" s="1">
        <v>960</v>
      </c>
      <c r="I2513" s="3">
        <v>46276</v>
      </c>
      <c r="L2513" s="31">
        <v>46276.71048603009</v>
      </c>
      <c r="M2513" s="20">
        <v>6</v>
      </c>
      <c r="N2513" s="1">
        <v>54</v>
      </c>
    </row>
    <row r="2514" spans="1:14" x14ac:dyDescent="0.25">
      <c r="A2514" t="str">
        <f t="shared" si="80"/>
        <v>H177668H177668</v>
      </c>
      <c r="B2514" t="str">
        <f t="shared" si="81"/>
        <v>H177668GC9060GY-M</v>
      </c>
      <c r="C2514" s="27" t="s">
        <v>5</v>
      </c>
      <c r="D2514" s="27" t="s">
        <v>658</v>
      </c>
      <c r="E2514" s="1" t="s">
        <v>501</v>
      </c>
      <c r="F2514" s="1" t="s">
        <v>502</v>
      </c>
      <c r="G2514" s="1" t="s">
        <v>404</v>
      </c>
      <c r="H2514" s="1">
        <v>960</v>
      </c>
      <c r="I2514" s="3">
        <v>46276</v>
      </c>
      <c r="L2514" s="31">
        <v>46276.710712465276</v>
      </c>
      <c r="M2514" s="20">
        <v>6</v>
      </c>
      <c r="N2514" s="1">
        <v>67</v>
      </c>
    </row>
    <row r="2515" spans="1:14" x14ac:dyDescent="0.25">
      <c r="A2515" t="str">
        <f t="shared" si="80"/>
        <v>H177668H177668</v>
      </c>
      <c r="B2515" t="str">
        <f t="shared" si="81"/>
        <v>H177668GC9060GY-M</v>
      </c>
      <c r="C2515" s="27" t="s">
        <v>5</v>
      </c>
      <c r="D2515" s="27" t="s">
        <v>658</v>
      </c>
      <c r="E2515" s="1" t="s">
        <v>501</v>
      </c>
      <c r="F2515" s="1" t="s">
        <v>502</v>
      </c>
      <c r="G2515" s="1" t="s">
        <v>404</v>
      </c>
      <c r="H2515" s="1">
        <v>960</v>
      </c>
      <c r="I2515" s="3">
        <v>46276</v>
      </c>
      <c r="L2515" s="31">
        <v>46276.71135853009</v>
      </c>
      <c r="M2515" s="20">
        <v>6</v>
      </c>
      <c r="N2515" s="1">
        <v>137</v>
      </c>
    </row>
    <row r="2516" spans="1:14" x14ac:dyDescent="0.25">
      <c r="A2516" t="str">
        <f t="shared" si="80"/>
        <v>H177668H177668</v>
      </c>
      <c r="B2516" t="str">
        <f t="shared" si="81"/>
        <v>H177668GC9060GY-M</v>
      </c>
      <c r="C2516" s="27" t="s">
        <v>5</v>
      </c>
      <c r="D2516" s="27" t="s">
        <v>658</v>
      </c>
      <c r="E2516" s="1" t="s">
        <v>501</v>
      </c>
      <c r="F2516" s="1" t="s">
        <v>502</v>
      </c>
      <c r="G2516" s="1" t="s">
        <v>404</v>
      </c>
      <c r="H2516" s="1">
        <v>960</v>
      </c>
      <c r="I2516" s="3">
        <v>46276</v>
      </c>
      <c r="L2516" s="31">
        <v>46276.711529942128</v>
      </c>
      <c r="M2516" s="20">
        <v>6</v>
      </c>
      <c r="N2516" s="1">
        <v>73</v>
      </c>
    </row>
    <row r="2517" spans="1:14" x14ac:dyDescent="0.25">
      <c r="A2517" t="str">
        <f t="shared" si="80"/>
        <v>H177668H177668</v>
      </c>
      <c r="B2517" t="str">
        <f t="shared" si="81"/>
        <v>H177668GC9060GY-M</v>
      </c>
      <c r="C2517" s="1" t="s">
        <v>5</v>
      </c>
      <c r="D2517" s="1" t="s">
        <v>658</v>
      </c>
      <c r="E2517" s="1" t="s">
        <v>501</v>
      </c>
      <c r="F2517" s="1" t="s">
        <v>502</v>
      </c>
      <c r="G2517" s="1" t="s">
        <v>404</v>
      </c>
      <c r="H2517" s="1">
        <v>960</v>
      </c>
      <c r="I2517" s="3">
        <v>46276</v>
      </c>
      <c r="L2517" s="31">
        <v>46276.717144131944</v>
      </c>
      <c r="M2517" s="20">
        <v>6</v>
      </c>
      <c r="N2517" s="1">
        <v>55</v>
      </c>
    </row>
    <row r="2518" spans="1:14" x14ac:dyDescent="0.25">
      <c r="A2518" t="str">
        <f t="shared" si="80"/>
        <v>H177668H177668</v>
      </c>
      <c r="B2518" t="str">
        <f t="shared" si="81"/>
        <v>H177668GC9060GY-M</v>
      </c>
      <c r="C2518" s="1" t="s">
        <v>5</v>
      </c>
      <c r="D2518" s="1" t="s">
        <v>658</v>
      </c>
      <c r="E2518" s="1" t="s">
        <v>501</v>
      </c>
      <c r="F2518" s="1" t="s">
        <v>502</v>
      </c>
      <c r="G2518" s="1" t="s">
        <v>404</v>
      </c>
      <c r="H2518" s="1">
        <v>960</v>
      </c>
      <c r="I2518" s="3">
        <v>46276</v>
      </c>
      <c r="L2518" s="31">
        <v>46276.717300810182</v>
      </c>
      <c r="M2518" s="20">
        <v>6</v>
      </c>
      <c r="N2518" s="1">
        <v>103</v>
      </c>
    </row>
    <row r="2519" spans="1:14" x14ac:dyDescent="0.25">
      <c r="A2519" t="str">
        <f t="shared" si="80"/>
        <v>H177668H177668</v>
      </c>
      <c r="B2519" t="str">
        <f t="shared" si="81"/>
        <v>H177668GC9060GY-M</v>
      </c>
      <c r="C2519" s="1" t="s">
        <v>5</v>
      </c>
      <c r="D2519" s="1" t="s">
        <v>658</v>
      </c>
      <c r="E2519" s="1" t="s">
        <v>501</v>
      </c>
      <c r="F2519" s="1" t="s">
        <v>502</v>
      </c>
      <c r="G2519" s="1" t="s">
        <v>404</v>
      </c>
      <c r="H2519" s="1">
        <v>960</v>
      </c>
      <c r="I2519" s="3">
        <v>46276</v>
      </c>
      <c r="L2519" s="31">
        <v>46276.717658599533</v>
      </c>
      <c r="M2519" s="20">
        <v>6</v>
      </c>
      <c r="N2519" s="1">
        <v>99</v>
      </c>
    </row>
    <row r="2520" spans="1:14" x14ac:dyDescent="0.25">
      <c r="A2520" t="str">
        <f t="shared" si="80"/>
        <v>H177668H177668</v>
      </c>
      <c r="B2520" t="str">
        <f t="shared" si="81"/>
        <v>H177668GC9060GY-M</v>
      </c>
      <c r="C2520" s="1" t="s">
        <v>5</v>
      </c>
      <c r="D2520" s="1" t="s">
        <v>658</v>
      </c>
      <c r="E2520" s="1" t="s">
        <v>501</v>
      </c>
      <c r="F2520" s="1" t="s">
        <v>502</v>
      </c>
      <c r="G2520" s="1" t="s">
        <v>404</v>
      </c>
      <c r="H2520" s="1">
        <v>960</v>
      </c>
      <c r="I2520" s="3">
        <v>46276</v>
      </c>
      <c r="L2520" s="31">
        <v>46276.717797719903</v>
      </c>
      <c r="M2520" s="20">
        <v>6</v>
      </c>
      <c r="N2520" s="1">
        <v>102</v>
      </c>
    </row>
    <row r="2521" spans="1:14" x14ac:dyDescent="0.25">
      <c r="A2521" t="str">
        <f t="shared" si="80"/>
        <v>H177668H177668</v>
      </c>
      <c r="B2521" t="str">
        <f t="shared" si="81"/>
        <v>H177668GC9060GY-M</v>
      </c>
      <c r="C2521" s="1" t="s">
        <v>5</v>
      </c>
      <c r="D2521" s="1" t="s">
        <v>658</v>
      </c>
      <c r="E2521" s="1" t="s">
        <v>501</v>
      </c>
      <c r="F2521" s="1" t="s">
        <v>502</v>
      </c>
      <c r="G2521" s="1" t="s">
        <v>404</v>
      </c>
      <c r="H2521" s="1">
        <v>960</v>
      </c>
      <c r="I2521" s="3">
        <v>46276</v>
      </c>
      <c r="L2521" s="31">
        <v>46276.717955787033</v>
      </c>
      <c r="M2521" s="20">
        <v>6</v>
      </c>
      <c r="N2521" s="1">
        <v>74</v>
      </c>
    </row>
    <row r="2522" spans="1:14" x14ac:dyDescent="0.25">
      <c r="A2522" t="str">
        <f t="shared" si="80"/>
        <v>H177668H177668</v>
      </c>
      <c r="B2522" t="str">
        <f t="shared" si="81"/>
        <v>H177668GC9060GY-M</v>
      </c>
      <c r="C2522" s="27" t="s">
        <v>5</v>
      </c>
      <c r="D2522" s="27" t="s">
        <v>658</v>
      </c>
      <c r="E2522" s="1" t="s">
        <v>501</v>
      </c>
      <c r="F2522" s="1" t="s">
        <v>502</v>
      </c>
      <c r="G2522" s="1" t="s">
        <v>404</v>
      </c>
      <c r="H2522" s="1">
        <v>960</v>
      </c>
      <c r="I2522" s="3">
        <v>46276</v>
      </c>
      <c r="L2522" s="31">
        <v>46276.718172071756</v>
      </c>
      <c r="M2522" s="20">
        <v>6</v>
      </c>
      <c r="N2522" s="1">
        <v>158</v>
      </c>
    </row>
    <row r="2523" spans="1:14" x14ac:dyDescent="0.25">
      <c r="A2523" t="str">
        <f t="shared" si="80"/>
        <v>H177668H177668</v>
      </c>
      <c r="B2523" t="str">
        <f t="shared" si="81"/>
        <v>H177668GC9060GY-M</v>
      </c>
      <c r="C2523" s="27" t="s">
        <v>5</v>
      </c>
      <c r="D2523" s="27" t="s">
        <v>658</v>
      </c>
      <c r="E2523" s="1" t="s">
        <v>501</v>
      </c>
      <c r="F2523" s="1" t="s">
        <v>502</v>
      </c>
      <c r="G2523" s="1" t="s">
        <v>404</v>
      </c>
      <c r="H2523" s="1">
        <v>960</v>
      </c>
      <c r="I2523" s="3">
        <v>46276</v>
      </c>
      <c r="L2523" s="31">
        <v>46276.719459293978</v>
      </c>
      <c r="M2523" s="20">
        <v>6</v>
      </c>
      <c r="N2523" s="1">
        <v>138</v>
      </c>
    </row>
    <row r="2524" spans="1:14" x14ac:dyDescent="0.25">
      <c r="A2524" t="str">
        <f t="shared" si="80"/>
        <v>H177668H177668</v>
      </c>
      <c r="B2524" t="str">
        <f t="shared" si="81"/>
        <v>H177668GC9060GY-M</v>
      </c>
      <c r="C2524" s="1" t="s">
        <v>5</v>
      </c>
      <c r="D2524" s="1" t="s">
        <v>658</v>
      </c>
      <c r="E2524" s="1" t="s">
        <v>501</v>
      </c>
      <c r="F2524" s="1" t="s">
        <v>502</v>
      </c>
      <c r="G2524" s="1" t="s">
        <v>404</v>
      </c>
      <c r="H2524" s="1">
        <v>960</v>
      </c>
      <c r="I2524" s="3">
        <v>46276</v>
      </c>
      <c r="L2524" s="31">
        <v>46276.720097685182</v>
      </c>
      <c r="M2524" s="20">
        <v>6</v>
      </c>
      <c r="N2524" s="1">
        <v>71</v>
      </c>
    </row>
    <row r="2525" spans="1:14" x14ac:dyDescent="0.25">
      <c r="A2525" t="str">
        <f t="shared" si="80"/>
        <v>H177668H177668</v>
      </c>
      <c r="B2525" t="str">
        <f t="shared" si="81"/>
        <v>H177668GC9060GY-M</v>
      </c>
      <c r="C2525" s="1" t="s">
        <v>5</v>
      </c>
      <c r="D2525" s="1" t="s">
        <v>658</v>
      </c>
      <c r="E2525" s="1" t="s">
        <v>501</v>
      </c>
      <c r="F2525" s="1" t="s">
        <v>502</v>
      </c>
      <c r="G2525" s="1" t="s">
        <v>404</v>
      </c>
      <c r="H2525" s="1">
        <v>960</v>
      </c>
      <c r="I2525" s="3">
        <v>46276</v>
      </c>
      <c r="L2525" s="31">
        <v>46276.721089780091</v>
      </c>
      <c r="M2525" s="20">
        <v>6</v>
      </c>
      <c r="N2525" s="1">
        <v>98</v>
      </c>
    </row>
    <row r="2526" spans="1:14" x14ac:dyDescent="0.25">
      <c r="A2526" t="str">
        <f t="shared" si="80"/>
        <v>H177668H177668</v>
      </c>
      <c r="B2526" t="str">
        <f t="shared" si="81"/>
        <v>H177668GC9060GY-M</v>
      </c>
      <c r="C2526" s="1" t="s">
        <v>5</v>
      </c>
      <c r="D2526" s="1" t="s">
        <v>658</v>
      </c>
      <c r="E2526" s="1" t="s">
        <v>501</v>
      </c>
      <c r="F2526" s="1" t="s">
        <v>502</v>
      </c>
      <c r="G2526" s="1" t="s">
        <v>404</v>
      </c>
      <c r="H2526" s="1">
        <v>960</v>
      </c>
      <c r="I2526" s="3">
        <v>46276</v>
      </c>
      <c r="L2526" s="31">
        <v>46276.723933449073</v>
      </c>
      <c r="M2526" s="20">
        <v>6</v>
      </c>
      <c r="N2526" s="1">
        <v>157</v>
      </c>
    </row>
    <row r="2527" spans="1:14" x14ac:dyDescent="0.25">
      <c r="A2527" t="str">
        <f t="shared" si="80"/>
        <v>H177668H177668</v>
      </c>
      <c r="B2527" t="str">
        <f t="shared" si="81"/>
        <v>H177668GC9060GY-M</v>
      </c>
      <c r="C2527" s="27" t="s">
        <v>5</v>
      </c>
      <c r="D2527" s="27" t="s">
        <v>658</v>
      </c>
      <c r="E2527" s="1" t="s">
        <v>501</v>
      </c>
      <c r="F2527" s="1" t="s">
        <v>502</v>
      </c>
      <c r="G2527" s="1" t="s">
        <v>404</v>
      </c>
      <c r="H2527" s="1">
        <v>960</v>
      </c>
      <c r="I2527" s="3">
        <v>46276</v>
      </c>
      <c r="L2527" s="31">
        <v>46276.724143634259</v>
      </c>
      <c r="M2527" s="20">
        <v>6</v>
      </c>
      <c r="N2527" s="1">
        <v>96</v>
      </c>
    </row>
    <row r="2528" spans="1:14" x14ac:dyDescent="0.25">
      <c r="A2528" t="str">
        <f t="shared" si="80"/>
        <v>H177668H177668</v>
      </c>
      <c r="B2528" t="str">
        <f t="shared" si="81"/>
        <v>H177668GC9060GY-M</v>
      </c>
      <c r="C2528" s="27" t="s">
        <v>5</v>
      </c>
      <c r="D2528" s="27" t="s">
        <v>658</v>
      </c>
      <c r="E2528" s="1" t="s">
        <v>501</v>
      </c>
      <c r="F2528" s="1" t="s">
        <v>502</v>
      </c>
      <c r="G2528" s="1" t="s">
        <v>404</v>
      </c>
      <c r="H2528" s="1">
        <v>960</v>
      </c>
      <c r="I2528" s="3">
        <v>46276</v>
      </c>
      <c r="L2528" s="31">
        <v>46276.724897800923</v>
      </c>
      <c r="M2528" s="20">
        <v>6</v>
      </c>
      <c r="N2528" s="1">
        <v>152</v>
      </c>
    </row>
    <row r="2529" spans="1:14" x14ac:dyDescent="0.25">
      <c r="A2529" t="str">
        <f t="shared" si="80"/>
        <v>H177668H177668</v>
      </c>
      <c r="B2529" t="str">
        <f t="shared" si="81"/>
        <v>H177668GC9060GY-M</v>
      </c>
      <c r="C2529" s="27" t="s">
        <v>5</v>
      </c>
      <c r="D2529" s="27" t="s">
        <v>658</v>
      </c>
      <c r="E2529" s="1" t="s">
        <v>501</v>
      </c>
      <c r="F2529" s="1" t="s">
        <v>502</v>
      </c>
      <c r="G2529" s="1" t="s">
        <v>404</v>
      </c>
      <c r="H2529" s="1">
        <v>960</v>
      </c>
      <c r="I2529" s="3">
        <v>46276</v>
      </c>
      <c r="L2529" s="31">
        <v>46276.725149999998</v>
      </c>
      <c r="M2529" s="20">
        <v>6</v>
      </c>
      <c r="N2529" s="1">
        <v>57</v>
      </c>
    </row>
    <row r="2530" spans="1:14" x14ac:dyDescent="0.25">
      <c r="A2530" t="str">
        <f t="shared" si="80"/>
        <v>H177668H177668</v>
      </c>
      <c r="B2530" t="str">
        <f t="shared" si="81"/>
        <v>H177668GC9060GY-M</v>
      </c>
      <c r="C2530" s="27" t="s">
        <v>5</v>
      </c>
      <c r="D2530" s="27" t="s">
        <v>658</v>
      </c>
      <c r="E2530" s="1" t="s">
        <v>501</v>
      </c>
      <c r="F2530" s="1" t="s">
        <v>502</v>
      </c>
      <c r="G2530" s="1" t="s">
        <v>404</v>
      </c>
      <c r="H2530" s="1">
        <v>960</v>
      </c>
      <c r="I2530" s="3">
        <v>46276</v>
      </c>
      <c r="L2530" s="31">
        <v>46276.725283136569</v>
      </c>
      <c r="M2530" s="20">
        <v>6</v>
      </c>
      <c r="N2530" s="1">
        <v>136</v>
      </c>
    </row>
    <row r="2531" spans="1:14" x14ac:dyDescent="0.25">
      <c r="A2531" t="str">
        <f t="shared" si="80"/>
        <v>H177668H177668</v>
      </c>
      <c r="B2531" t="str">
        <f t="shared" si="81"/>
        <v>H177668GC9060GY-M</v>
      </c>
      <c r="C2531" s="27" t="s">
        <v>5</v>
      </c>
      <c r="D2531" s="27" t="s">
        <v>658</v>
      </c>
      <c r="E2531" s="1" t="s">
        <v>501</v>
      </c>
      <c r="F2531" s="1" t="s">
        <v>502</v>
      </c>
      <c r="G2531" s="1" t="s">
        <v>404</v>
      </c>
      <c r="H2531" s="1">
        <v>960</v>
      </c>
      <c r="I2531" s="3">
        <v>46276</v>
      </c>
      <c r="L2531" s="31">
        <v>46276.725994409717</v>
      </c>
      <c r="M2531" s="20">
        <v>6</v>
      </c>
      <c r="N2531" s="1">
        <v>155</v>
      </c>
    </row>
    <row r="2532" spans="1:14" x14ac:dyDescent="0.25">
      <c r="A2532" t="str">
        <f t="shared" si="80"/>
        <v>H177668H177668</v>
      </c>
      <c r="B2532" t="str">
        <f t="shared" si="81"/>
        <v>H177668GC9060GY-M</v>
      </c>
      <c r="C2532" s="1" t="s">
        <v>5</v>
      </c>
      <c r="D2532" s="1" t="s">
        <v>658</v>
      </c>
      <c r="E2532" s="1" t="s">
        <v>501</v>
      </c>
      <c r="F2532" s="1" t="s">
        <v>502</v>
      </c>
      <c r="G2532" s="1" t="s">
        <v>404</v>
      </c>
      <c r="H2532" s="1">
        <v>960</v>
      </c>
      <c r="I2532" s="3">
        <v>46276</v>
      </c>
      <c r="L2532" s="31">
        <v>46276.727298877311</v>
      </c>
      <c r="M2532" s="20">
        <v>6</v>
      </c>
      <c r="N2532" s="1">
        <v>76</v>
      </c>
    </row>
    <row r="2533" spans="1:14" x14ac:dyDescent="0.25">
      <c r="A2533" t="str">
        <f t="shared" si="80"/>
        <v>H177668H177668</v>
      </c>
      <c r="B2533" t="str">
        <f t="shared" si="81"/>
        <v>H177668GC9060GY-M</v>
      </c>
      <c r="C2533" s="1" t="s">
        <v>5</v>
      </c>
      <c r="D2533" s="1" t="s">
        <v>658</v>
      </c>
      <c r="E2533" s="1" t="s">
        <v>501</v>
      </c>
      <c r="F2533" s="1" t="s">
        <v>502</v>
      </c>
      <c r="G2533" s="1" t="s">
        <v>404</v>
      </c>
      <c r="H2533" s="1">
        <v>960</v>
      </c>
      <c r="I2533" s="3">
        <v>46276</v>
      </c>
      <c r="L2533" s="31">
        <v>46276.728146527777</v>
      </c>
      <c r="M2533" s="20">
        <v>6</v>
      </c>
      <c r="N2533" s="1">
        <v>16</v>
      </c>
    </row>
    <row r="2534" spans="1:14" x14ac:dyDescent="0.25">
      <c r="A2534" t="str">
        <f t="shared" si="80"/>
        <v>H177668H177668</v>
      </c>
      <c r="B2534" t="str">
        <f t="shared" si="81"/>
        <v>H177668GC9060GY-M</v>
      </c>
      <c r="C2534" s="1" t="s">
        <v>5</v>
      </c>
      <c r="D2534" s="1" t="s">
        <v>658</v>
      </c>
      <c r="E2534" s="1" t="s">
        <v>501</v>
      </c>
      <c r="F2534" s="1" t="s">
        <v>502</v>
      </c>
      <c r="G2534" s="1" t="s">
        <v>404</v>
      </c>
      <c r="H2534" s="1">
        <v>960</v>
      </c>
      <c r="I2534" s="3">
        <v>46276</v>
      </c>
      <c r="L2534" s="31">
        <v>46276.729629050926</v>
      </c>
      <c r="M2534" s="20">
        <v>6</v>
      </c>
      <c r="N2534" s="1">
        <v>127</v>
      </c>
    </row>
    <row r="2535" spans="1:14" x14ac:dyDescent="0.25">
      <c r="A2535" t="str">
        <f t="shared" si="80"/>
        <v>H180126H180126</v>
      </c>
      <c r="B2535" t="str">
        <f t="shared" si="81"/>
        <v>H180126P60347Q-M</v>
      </c>
      <c r="C2535" s="27" t="s">
        <v>628</v>
      </c>
      <c r="D2535" s="27" t="s">
        <v>662</v>
      </c>
      <c r="E2535" s="1" t="s">
        <v>2307</v>
      </c>
      <c r="F2535" s="1" t="s">
        <v>2308</v>
      </c>
      <c r="G2535" s="1" t="s">
        <v>404</v>
      </c>
      <c r="H2535" s="1">
        <v>144</v>
      </c>
      <c r="I2535" s="3">
        <v>46276</v>
      </c>
      <c r="J2535" s="3">
        <v>46288</v>
      </c>
      <c r="K2535" s="3" t="s">
        <v>2374</v>
      </c>
      <c r="L2535" s="31">
        <v>46276.666448761571</v>
      </c>
      <c r="M2535" s="20">
        <v>12</v>
      </c>
      <c r="N2535" s="1">
        <v>1</v>
      </c>
    </row>
    <row r="2536" spans="1:14" x14ac:dyDescent="0.25">
      <c r="A2536" t="str">
        <f t="shared" si="80"/>
        <v>H180126H180126</v>
      </c>
      <c r="B2536" t="str">
        <f t="shared" si="81"/>
        <v>H180126P60347Q-M</v>
      </c>
      <c r="C2536" s="27" t="s">
        <v>628</v>
      </c>
      <c r="D2536" s="27" t="s">
        <v>662</v>
      </c>
      <c r="E2536" s="1" t="s">
        <v>2307</v>
      </c>
      <c r="F2536" s="1" t="s">
        <v>2308</v>
      </c>
      <c r="G2536" s="1" t="s">
        <v>404</v>
      </c>
      <c r="H2536" s="1">
        <v>144</v>
      </c>
      <c r="I2536" s="3">
        <v>46276</v>
      </c>
      <c r="J2536" s="3">
        <v>46288</v>
      </c>
      <c r="K2536" s="3" t="s">
        <v>2374</v>
      </c>
      <c r="L2536" s="31">
        <v>46276.666576967589</v>
      </c>
      <c r="M2536" s="20">
        <v>12</v>
      </c>
      <c r="N2536" s="1">
        <v>3</v>
      </c>
    </row>
    <row r="2537" spans="1:14" x14ac:dyDescent="0.25">
      <c r="A2537" t="str">
        <f t="shared" si="80"/>
        <v>H180126H180126</v>
      </c>
      <c r="B2537" t="str">
        <f t="shared" si="81"/>
        <v>H180126P60347Q-M</v>
      </c>
      <c r="C2537" s="27" t="s">
        <v>628</v>
      </c>
      <c r="D2537" s="27" t="s">
        <v>662</v>
      </c>
      <c r="E2537" s="1" t="s">
        <v>2307</v>
      </c>
      <c r="F2537" s="1" t="s">
        <v>2308</v>
      </c>
      <c r="G2537" s="1" t="s">
        <v>404</v>
      </c>
      <c r="H2537" s="1">
        <v>144</v>
      </c>
      <c r="I2537" s="3">
        <v>46276</v>
      </c>
      <c r="J2537" s="3">
        <v>46288</v>
      </c>
      <c r="K2537" s="3" t="s">
        <v>2374</v>
      </c>
      <c r="L2537" s="31">
        <v>46276.680308796291</v>
      </c>
      <c r="M2537" s="20">
        <v>12</v>
      </c>
      <c r="N2537" s="1">
        <v>4</v>
      </c>
    </row>
    <row r="2538" spans="1:14" x14ac:dyDescent="0.25">
      <c r="A2538" t="str">
        <f t="shared" si="80"/>
        <v>H180126H180126</v>
      </c>
      <c r="B2538" t="str">
        <f t="shared" si="81"/>
        <v>H180126P60347Q-M</v>
      </c>
      <c r="C2538" s="27" t="s">
        <v>628</v>
      </c>
      <c r="D2538" s="27" t="s">
        <v>662</v>
      </c>
      <c r="E2538" s="1" t="s">
        <v>2307</v>
      </c>
      <c r="F2538" s="1" t="s">
        <v>2308</v>
      </c>
      <c r="G2538" s="1" t="s">
        <v>404</v>
      </c>
      <c r="H2538" s="1">
        <v>144</v>
      </c>
      <c r="I2538" s="3">
        <v>46276</v>
      </c>
      <c r="J2538" s="3">
        <v>46288</v>
      </c>
      <c r="K2538" s="3" t="s">
        <v>2374</v>
      </c>
      <c r="L2538" s="31">
        <v>46276.680647187495</v>
      </c>
      <c r="M2538" s="20">
        <v>6</v>
      </c>
      <c r="N2538" s="1">
        <v>13</v>
      </c>
    </row>
    <row r="2539" spans="1:14" x14ac:dyDescent="0.25">
      <c r="A2539" t="str">
        <f t="shared" si="80"/>
        <v>H180126H180126</v>
      </c>
      <c r="B2539" t="str">
        <f t="shared" si="81"/>
        <v>H180126P60347Q-M</v>
      </c>
      <c r="C2539" s="1" t="s">
        <v>628</v>
      </c>
      <c r="D2539" s="1" t="s">
        <v>662</v>
      </c>
      <c r="E2539" s="1" t="s">
        <v>2307</v>
      </c>
      <c r="F2539" s="1" t="s">
        <v>2308</v>
      </c>
      <c r="G2539" s="1" t="s">
        <v>404</v>
      </c>
      <c r="H2539" s="1">
        <v>144</v>
      </c>
      <c r="I2539" s="3">
        <v>46276</v>
      </c>
      <c r="J2539" s="3">
        <v>46288</v>
      </c>
      <c r="K2539" s="3" t="s">
        <v>2374</v>
      </c>
      <c r="L2539" s="31">
        <v>46276.682893136574</v>
      </c>
      <c r="M2539" s="20">
        <v>12</v>
      </c>
      <c r="N2539" s="1">
        <v>8</v>
      </c>
    </row>
    <row r="2540" spans="1:14" x14ac:dyDescent="0.25">
      <c r="A2540" t="str">
        <f t="shared" si="80"/>
        <v>H180126H180126</v>
      </c>
      <c r="B2540" t="str">
        <f t="shared" si="81"/>
        <v>H180126P60347Q-M</v>
      </c>
      <c r="C2540" s="1" t="s">
        <v>628</v>
      </c>
      <c r="D2540" s="1" t="s">
        <v>662</v>
      </c>
      <c r="E2540" s="1" t="s">
        <v>2307</v>
      </c>
      <c r="F2540" s="1" t="s">
        <v>2308</v>
      </c>
      <c r="G2540" s="1" t="s">
        <v>404</v>
      </c>
      <c r="H2540" s="1">
        <v>144</v>
      </c>
      <c r="I2540" s="3">
        <v>46276</v>
      </c>
      <c r="J2540" s="3">
        <v>46288</v>
      </c>
      <c r="K2540" s="3" t="s">
        <v>2374</v>
      </c>
      <c r="L2540" s="31">
        <v>46276.683113425926</v>
      </c>
      <c r="M2540" s="20">
        <v>12</v>
      </c>
      <c r="N2540" s="1">
        <v>6</v>
      </c>
    </row>
    <row r="2541" spans="1:14" x14ac:dyDescent="0.25">
      <c r="A2541" t="str">
        <f t="shared" si="80"/>
        <v>H189177H189177</v>
      </c>
      <c r="B2541" t="str">
        <f t="shared" si="81"/>
        <v>H189177P6036SS-W</v>
      </c>
      <c r="C2541" s="27" t="s">
        <v>42</v>
      </c>
      <c r="D2541" s="27" t="s">
        <v>655</v>
      </c>
      <c r="E2541" s="1" t="s">
        <v>414</v>
      </c>
      <c r="F2541" s="1" t="s">
        <v>415</v>
      </c>
      <c r="G2541" s="1" t="s">
        <v>404</v>
      </c>
      <c r="H2541" s="1">
        <v>360</v>
      </c>
      <c r="I2541" s="3">
        <v>46276</v>
      </c>
      <c r="J2541" s="3">
        <v>46287</v>
      </c>
      <c r="L2541" s="31">
        <v>46276.445155289352</v>
      </c>
      <c r="M2541" s="20">
        <v>12</v>
      </c>
      <c r="N2541" s="1">
        <v>27</v>
      </c>
    </row>
    <row r="2542" spans="1:14" x14ac:dyDescent="0.25">
      <c r="A2542" t="str">
        <f t="shared" si="80"/>
        <v>H189177H189177</v>
      </c>
      <c r="B2542" t="str">
        <f t="shared" si="81"/>
        <v>H189177P6036SS-W</v>
      </c>
      <c r="C2542" s="27" t="s">
        <v>42</v>
      </c>
      <c r="D2542" s="27" t="s">
        <v>655</v>
      </c>
      <c r="E2542" s="1" t="s">
        <v>414</v>
      </c>
      <c r="F2542" s="1" t="s">
        <v>415</v>
      </c>
      <c r="G2542" s="1" t="s">
        <v>404</v>
      </c>
      <c r="H2542" s="1">
        <v>360</v>
      </c>
      <c r="I2542" s="3">
        <v>46276</v>
      </c>
      <c r="J2542" s="3">
        <v>46287</v>
      </c>
      <c r="L2542" s="31">
        <v>46276.44541458333</v>
      </c>
      <c r="M2542" s="20">
        <v>12</v>
      </c>
      <c r="N2542" s="1">
        <v>48</v>
      </c>
    </row>
    <row r="2543" spans="1:14" x14ac:dyDescent="0.25">
      <c r="A2543" t="str">
        <f t="shared" si="80"/>
        <v>H189177H189177</v>
      </c>
      <c r="B2543" t="str">
        <f t="shared" si="81"/>
        <v>H189177P6036SS-W</v>
      </c>
      <c r="C2543" s="27" t="s">
        <v>42</v>
      </c>
      <c r="D2543" s="27" t="s">
        <v>655</v>
      </c>
      <c r="E2543" s="1" t="s">
        <v>414</v>
      </c>
      <c r="F2543" s="1" t="s">
        <v>415</v>
      </c>
      <c r="G2543" s="1" t="s">
        <v>404</v>
      </c>
      <c r="H2543" s="1">
        <v>360</v>
      </c>
      <c r="I2543" s="3">
        <v>46276</v>
      </c>
      <c r="J2543" s="3">
        <v>46287</v>
      </c>
      <c r="L2543" s="31">
        <v>46276.44618850694</v>
      </c>
      <c r="M2543" s="20">
        <v>12</v>
      </c>
      <c r="N2543" s="1">
        <v>40</v>
      </c>
    </row>
    <row r="2544" spans="1:14" x14ac:dyDescent="0.25">
      <c r="A2544" t="str">
        <f t="shared" si="80"/>
        <v>H189177H189177</v>
      </c>
      <c r="B2544" t="str">
        <f t="shared" si="81"/>
        <v>H189177P6036SS-W</v>
      </c>
      <c r="C2544" s="27" t="s">
        <v>42</v>
      </c>
      <c r="D2544" s="27" t="s">
        <v>655</v>
      </c>
      <c r="E2544" s="1" t="s">
        <v>414</v>
      </c>
      <c r="F2544" s="1" t="s">
        <v>415</v>
      </c>
      <c r="G2544" s="1" t="s">
        <v>404</v>
      </c>
      <c r="H2544" s="1">
        <v>360</v>
      </c>
      <c r="I2544" s="3">
        <v>46276</v>
      </c>
      <c r="J2544" s="3">
        <v>46287</v>
      </c>
      <c r="L2544" s="31">
        <v>46276.457397569444</v>
      </c>
      <c r="M2544" s="20">
        <v>12</v>
      </c>
      <c r="N2544" s="1">
        <v>31</v>
      </c>
    </row>
    <row r="2545" spans="1:14" x14ac:dyDescent="0.25">
      <c r="A2545" t="str">
        <f t="shared" si="80"/>
        <v>H189177H189177</v>
      </c>
      <c r="B2545" t="str">
        <f t="shared" si="81"/>
        <v>H189177P6036SS-W</v>
      </c>
      <c r="C2545" s="27" t="s">
        <v>42</v>
      </c>
      <c r="D2545" s="27" t="s">
        <v>655</v>
      </c>
      <c r="E2545" s="1" t="s">
        <v>414</v>
      </c>
      <c r="F2545" s="1" t="s">
        <v>415</v>
      </c>
      <c r="G2545" s="1" t="s">
        <v>404</v>
      </c>
      <c r="H2545" s="1">
        <v>360</v>
      </c>
      <c r="I2545" s="3">
        <v>46276</v>
      </c>
      <c r="J2545" s="3">
        <v>46287</v>
      </c>
      <c r="L2545" s="31">
        <v>46276.4577746875</v>
      </c>
      <c r="M2545" s="20">
        <v>12</v>
      </c>
      <c r="N2545" s="1">
        <v>50</v>
      </c>
    </row>
    <row r="2546" spans="1:14" x14ac:dyDescent="0.25">
      <c r="A2546" t="str">
        <f t="shared" si="80"/>
        <v>H189177H189177</v>
      </c>
      <c r="B2546" t="str">
        <f t="shared" si="81"/>
        <v>H189177P6036SS-W</v>
      </c>
      <c r="C2546" s="27" t="s">
        <v>42</v>
      </c>
      <c r="D2546" s="27" t="s">
        <v>655</v>
      </c>
      <c r="E2546" s="1" t="s">
        <v>414</v>
      </c>
      <c r="F2546" s="1" t="s">
        <v>415</v>
      </c>
      <c r="G2546" s="1" t="s">
        <v>404</v>
      </c>
      <c r="H2546" s="1">
        <v>360</v>
      </c>
      <c r="I2546" s="3">
        <v>46276</v>
      </c>
      <c r="J2546" s="3">
        <v>46287</v>
      </c>
      <c r="L2546" s="31">
        <v>46276.458012581017</v>
      </c>
      <c r="M2546" s="20">
        <v>12</v>
      </c>
      <c r="N2546" s="1">
        <v>30</v>
      </c>
    </row>
    <row r="2547" spans="1:14" x14ac:dyDescent="0.25">
      <c r="A2547" t="str">
        <f t="shared" si="80"/>
        <v>H189177H189177</v>
      </c>
      <c r="B2547" t="str">
        <f t="shared" si="81"/>
        <v>H189177P6036SS-W</v>
      </c>
      <c r="C2547" s="27" t="s">
        <v>42</v>
      </c>
      <c r="D2547" s="27" t="s">
        <v>655</v>
      </c>
      <c r="E2547" s="1" t="s">
        <v>414</v>
      </c>
      <c r="F2547" s="1" t="s">
        <v>415</v>
      </c>
      <c r="G2547" s="1" t="s">
        <v>404</v>
      </c>
      <c r="H2547" s="1">
        <v>360</v>
      </c>
      <c r="I2547" s="3">
        <v>46276</v>
      </c>
      <c r="J2547" s="3">
        <v>46287</v>
      </c>
      <c r="L2547" s="31">
        <v>46276.45826107639</v>
      </c>
      <c r="M2547" s="20">
        <v>12</v>
      </c>
      <c r="N2547" s="1">
        <v>34</v>
      </c>
    </row>
    <row r="2548" spans="1:14" x14ac:dyDescent="0.25">
      <c r="A2548" t="str">
        <f t="shared" si="80"/>
        <v>H189177H189177</v>
      </c>
      <c r="B2548" t="str">
        <f t="shared" si="81"/>
        <v>H189177P6036SS-W</v>
      </c>
      <c r="C2548" s="27" t="s">
        <v>42</v>
      </c>
      <c r="D2548" s="27" t="s">
        <v>655</v>
      </c>
      <c r="E2548" s="1" t="s">
        <v>414</v>
      </c>
      <c r="F2548" s="1" t="s">
        <v>415</v>
      </c>
      <c r="G2548" s="1" t="s">
        <v>404</v>
      </c>
      <c r="H2548" s="1">
        <v>360</v>
      </c>
      <c r="I2548" s="3">
        <v>46276</v>
      </c>
      <c r="J2548" s="3">
        <v>46287</v>
      </c>
      <c r="L2548" s="31">
        <v>46276.468685729167</v>
      </c>
      <c r="M2548" s="20">
        <v>12</v>
      </c>
      <c r="N2548" s="1">
        <v>36</v>
      </c>
    </row>
    <row r="2549" spans="1:14" x14ac:dyDescent="0.25">
      <c r="A2549" t="str">
        <f t="shared" si="80"/>
        <v>H189177H189177</v>
      </c>
      <c r="B2549" t="str">
        <f t="shared" si="81"/>
        <v>H189177P6036SS-W</v>
      </c>
      <c r="C2549" s="27" t="s">
        <v>42</v>
      </c>
      <c r="D2549" s="27" t="s">
        <v>655</v>
      </c>
      <c r="E2549" s="1" t="s">
        <v>414</v>
      </c>
      <c r="F2549" s="1" t="s">
        <v>415</v>
      </c>
      <c r="G2549" s="1" t="s">
        <v>404</v>
      </c>
      <c r="H2549" s="1">
        <v>360</v>
      </c>
      <c r="I2549" s="3">
        <v>46276</v>
      </c>
      <c r="J2549" s="3">
        <v>46287</v>
      </c>
      <c r="L2549" s="31">
        <v>46276.469082523145</v>
      </c>
      <c r="M2549" s="20">
        <v>12</v>
      </c>
      <c r="N2549" s="1">
        <v>23</v>
      </c>
    </row>
    <row r="2550" spans="1:14" x14ac:dyDescent="0.25">
      <c r="A2550" t="str">
        <f t="shared" si="80"/>
        <v>H189177H189177</v>
      </c>
      <c r="B2550" t="str">
        <f t="shared" si="81"/>
        <v>H189177P6036SS-W</v>
      </c>
      <c r="C2550" s="27" t="s">
        <v>42</v>
      </c>
      <c r="D2550" s="27" t="s">
        <v>655</v>
      </c>
      <c r="E2550" s="1" t="s">
        <v>414</v>
      </c>
      <c r="F2550" s="1" t="s">
        <v>415</v>
      </c>
      <c r="G2550" s="1" t="s">
        <v>404</v>
      </c>
      <c r="H2550" s="1">
        <v>360</v>
      </c>
      <c r="I2550" s="3">
        <v>46276</v>
      </c>
      <c r="J2550" s="3">
        <v>46287</v>
      </c>
      <c r="L2550" s="31">
        <v>46276.565079201384</v>
      </c>
      <c r="M2550" s="20">
        <v>12</v>
      </c>
      <c r="N2550" s="1">
        <v>51</v>
      </c>
    </row>
    <row r="2551" spans="1:14" x14ac:dyDescent="0.25">
      <c r="A2551" t="str">
        <f t="shared" si="80"/>
        <v>H189177H189177</v>
      </c>
      <c r="B2551" t="str">
        <f t="shared" si="81"/>
        <v>H189177P6036SS-W</v>
      </c>
      <c r="C2551" s="27" t="s">
        <v>42</v>
      </c>
      <c r="D2551" s="27" t="s">
        <v>655</v>
      </c>
      <c r="E2551" s="1" t="s">
        <v>414</v>
      </c>
      <c r="F2551" s="1" t="s">
        <v>415</v>
      </c>
      <c r="G2551" s="1" t="s">
        <v>404</v>
      </c>
      <c r="H2551" s="1">
        <v>360</v>
      </c>
      <c r="I2551" s="3">
        <v>46276</v>
      </c>
      <c r="J2551" s="3">
        <v>46287</v>
      </c>
      <c r="L2551" s="31">
        <v>46276.575695057865</v>
      </c>
      <c r="M2551" s="20">
        <v>12</v>
      </c>
      <c r="N2551" s="1">
        <v>49</v>
      </c>
    </row>
    <row r="2552" spans="1:14" x14ac:dyDescent="0.25">
      <c r="A2552" t="str">
        <f t="shared" si="80"/>
        <v>H189177H189177</v>
      </c>
      <c r="B2552" t="str">
        <f t="shared" si="81"/>
        <v>H189177P6036SS-W</v>
      </c>
      <c r="C2552" s="27" t="s">
        <v>42</v>
      </c>
      <c r="D2552" s="27" t="s">
        <v>655</v>
      </c>
      <c r="E2552" s="1" t="s">
        <v>414</v>
      </c>
      <c r="F2552" s="1" t="s">
        <v>415</v>
      </c>
      <c r="G2552" s="1" t="s">
        <v>404</v>
      </c>
      <c r="H2552" s="1">
        <v>360</v>
      </c>
      <c r="I2552" s="3">
        <v>46276</v>
      </c>
      <c r="J2552" s="3">
        <v>46287</v>
      </c>
      <c r="L2552" s="31">
        <v>46276.577014120368</v>
      </c>
      <c r="M2552" s="20">
        <v>12</v>
      </c>
      <c r="N2552" s="1">
        <v>41</v>
      </c>
    </row>
    <row r="2553" spans="1:14" x14ac:dyDescent="0.25">
      <c r="A2553" t="str">
        <f t="shared" si="80"/>
        <v>H189177H189177</v>
      </c>
      <c r="B2553" t="str">
        <f t="shared" si="81"/>
        <v>H189177P6036SS-W</v>
      </c>
      <c r="C2553" s="27" t="s">
        <v>42</v>
      </c>
      <c r="D2553" s="27" t="s">
        <v>655</v>
      </c>
      <c r="E2553" s="1" t="s">
        <v>414</v>
      </c>
      <c r="F2553" s="1" t="s">
        <v>415</v>
      </c>
      <c r="G2553" s="1" t="s">
        <v>404</v>
      </c>
      <c r="H2553" s="1">
        <v>360</v>
      </c>
      <c r="I2553" s="3">
        <v>46276</v>
      </c>
      <c r="J2553" s="3">
        <v>46287</v>
      </c>
      <c r="L2553" s="31">
        <v>46276.591237465276</v>
      </c>
      <c r="M2553" s="20">
        <v>12</v>
      </c>
      <c r="N2553" s="1">
        <v>26</v>
      </c>
    </row>
    <row r="2554" spans="1:14" x14ac:dyDescent="0.25">
      <c r="A2554" t="str">
        <f t="shared" si="80"/>
        <v>H189177H189177</v>
      </c>
      <c r="B2554" t="str">
        <f t="shared" si="81"/>
        <v>H189177P6036SS-W</v>
      </c>
      <c r="C2554" s="27" t="s">
        <v>42</v>
      </c>
      <c r="D2554" s="27" t="s">
        <v>655</v>
      </c>
      <c r="E2554" s="1" t="s">
        <v>414</v>
      </c>
      <c r="F2554" s="1" t="s">
        <v>415</v>
      </c>
      <c r="G2554" s="1" t="s">
        <v>404</v>
      </c>
      <c r="H2554" s="1">
        <v>360</v>
      </c>
      <c r="I2554" s="3">
        <v>46276</v>
      </c>
      <c r="J2554" s="3">
        <v>46287</v>
      </c>
      <c r="L2554" s="31">
        <v>46276.591998495365</v>
      </c>
      <c r="M2554" s="20">
        <v>12</v>
      </c>
      <c r="N2554" s="1">
        <v>47</v>
      </c>
    </row>
    <row r="2555" spans="1:14" x14ac:dyDescent="0.25">
      <c r="A2555" t="str">
        <f t="shared" si="80"/>
        <v>H189177H189177</v>
      </c>
      <c r="B2555" t="str">
        <f t="shared" si="81"/>
        <v>H189177P6036SS-W</v>
      </c>
      <c r="C2555" s="27" t="s">
        <v>42</v>
      </c>
      <c r="D2555" s="27" t="s">
        <v>655</v>
      </c>
      <c r="E2555" s="1" t="s">
        <v>414</v>
      </c>
      <c r="F2555" s="1" t="s">
        <v>415</v>
      </c>
      <c r="G2555" s="1" t="s">
        <v>404</v>
      </c>
      <c r="H2555" s="1">
        <v>360</v>
      </c>
      <c r="I2555" s="3">
        <v>46276</v>
      </c>
      <c r="J2555" s="3">
        <v>46287</v>
      </c>
      <c r="L2555" s="31">
        <v>46276.609337731483</v>
      </c>
      <c r="M2555" s="20">
        <v>12</v>
      </c>
      <c r="N2555" s="1">
        <v>35</v>
      </c>
    </row>
    <row r="2556" spans="1:14" x14ac:dyDescent="0.25">
      <c r="A2556" t="str">
        <f t="shared" si="80"/>
        <v>H189177H189177</v>
      </c>
      <c r="B2556" t="str">
        <f t="shared" si="81"/>
        <v>H189177P6036SS-W</v>
      </c>
      <c r="C2556" s="27" t="s">
        <v>42</v>
      </c>
      <c r="D2556" s="27" t="s">
        <v>655</v>
      </c>
      <c r="E2556" s="1" t="s">
        <v>414</v>
      </c>
      <c r="F2556" s="1" t="s">
        <v>415</v>
      </c>
      <c r="G2556" s="1" t="s">
        <v>404</v>
      </c>
      <c r="H2556" s="1">
        <v>360</v>
      </c>
      <c r="I2556" s="3">
        <v>46276</v>
      </c>
      <c r="J2556" s="3">
        <v>46287</v>
      </c>
      <c r="L2556" s="31">
        <v>46276.647229016198</v>
      </c>
      <c r="M2556" s="20">
        <v>12</v>
      </c>
      <c r="N2556" s="1">
        <v>24</v>
      </c>
    </row>
    <row r="2557" spans="1:14" x14ac:dyDescent="0.25">
      <c r="A2557" t="str">
        <f t="shared" si="80"/>
        <v>U146427U146427</v>
      </c>
      <c r="B2557" t="str">
        <f t="shared" si="81"/>
        <v>U146427P60394T-M</v>
      </c>
      <c r="C2557" s="27" t="s">
        <v>49</v>
      </c>
      <c r="D2557" s="27" t="s">
        <v>651</v>
      </c>
      <c r="E2557" s="1" t="s">
        <v>436</v>
      </c>
      <c r="F2557" s="1" t="s">
        <v>440</v>
      </c>
      <c r="G2557" s="1" t="s">
        <v>438</v>
      </c>
      <c r="H2557" s="1">
        <v>720</v>
      </c>
      <c r="I2557" s="3">
        <v>46276</v>
      </c>
      <c r="J2557" s="3">
        <v>46280</v>
      </c>
      <c r="K2557" s="3" t="s">
        <v>2366</v>
      </c>
      <c r="L2557" s="31">
        <v>46276.39291412037</v>
      </c>
      <c r="M2557" s="20">
        <v>12</v>
      </c>
      <c r="N2557" s="1">
        <v>42</v>
      </c>
    </row>
    <row r="2558" spans="1:14" x14ac:dyDescent="0.25">
      <c r="A2558" t="str">
        <f t="shared" si="80"/>
        <v>U146427U146427</v>
      </c>
      <c r="B2558" t="str">
        <f t="shared" si="81"/>
        <v>U146427P60394T-M</v>
      </c>
      <c r="C2558" s="27" t="s">
        <v>49</v>
      </c>
      <c r="D2558" s="27" t="s">
        <v>651</v>
      </c>
      <c r="E2558" s="1" t="s">
        <v>436</v>
      </c>
      <c r="F2558" s="1" t="s">
        <v>440</v>
      </c>
      <c r="G2558" s="1" t="s">
        <v>438</v>
      </c>
      <c r="H2558" s="1">
        <v>720</v>
      </c>
      <c r="I2558" s="3">
        <v>46276</v>
      </c>
      <c r="J2558" s="3">
        <v>46280</v>
      </c>
      <c r="K2558" s="3" t="s">
        <v>2366</v>
      </c>
      <c r="L2558" s="31">
        <v>46276.42092060185</v>
      </c>
      <c r="M2558" s="20">
        <v>12</v>
      </c>
      <c r="N2558" s="1">
        <v>24</v>
      </c>
    </row>
    <row r="2559" spans="1:14" x14ac:dyDescent="0.25">
      <c r="A2559" t="str">
        <f t="shared" si="80"/>
        <v>U146427U146427</v>
      </c>
      <c r="B2559" t="str">
        <f t="shared" si="81"/>
        <v>U146427P60394T-M</v>
      </c>
      <c r="C2559" s="27" t="s">
        <v>49</v>
      </c>
      <c r="D2559" s="27" t="s">
        <v>651</v>
      </c>
      <c r="E2559" s="1" t="s">
        <v>436</v>
      </c>
      <c r="F2559" s="1" t="s">
        <v>440</v>
      </c>
      <c r="G2559" s="1" t="s">
        <v>438</v>
      </c>
      <c r="H2559" s="1">
        <v>720</v>
      </c>
      <c r="I2559" s="3">
        <v>46276</v>
      </c>
      <c r="J2559" s="3">
        <v>46280</v>
      </c>
      <c r="K2559" s="3" t="s">
        <v>2366</v>
      </c>
      <c r="L2559" s="31">
        <v>46276.421317974535</v>
      </c>
      <c r="M2559" s="20">
        <v>12</v>
      </c>
      <c r="N2559" s="1">
        <v>17</v>
      </c>
    </row>
    <row r="2560" spans="1:14" x14ac:dyDescent="0.25">
      <c r="A2560" t="str">
        <f t="shared" si="80"/>
        <v>U146427U146427</v>
      </c>
      <c r="B2560" t="str">
        <f t="shared" si="81"/>
        <v>U146427P60394T-M</v>
      </c>
      <c r="C2560" s="27" t="s">
        <v>49</v>
      </c>
      <c r="D2560" s="27" t="s">
        <v>651</v>
      </c>
      <c r="E2560" s="1" t="s">
        <v>436</v>
      </c>
      <c r="F2560" s="1" t="s">
        <v>440</v>
      </c>
      <c r="G2560" s="1" t="s">
        <v>438</v>
      </c>
      <c r="H2560" s="1">
        <v>720</v>
      </c>
      <c r="I2560" s="3">
        <v>46276</v>
      </c>
      <c r="J2560" s="3">
        <v>46280</v>
      </c>
      <c r="K2560" s="3" t="s">
        <v>2366</v>
      </c>
      <c r="L2560" s="31">
        <v>46276.444634409723</v>
      </c>
      <c r="M2560" s="20">
        <v>12</v>
      </c>
      <c r="N2560" s="1">
        <v>41</v>
      </c>
    </row>
    <row r="2561" spans="1:14" x14ac:dyDescent="0.25">
      <c r="A2561" t="str">
        <f t="shared" si="80"/>
        <v>U146427U146427</v>
      </c>
      <c r="B2561" t="str">
        <f t="shared" si="81"/>
        <v>U146427P60394T-M</v>
      </c>
      <c r="C2561" s="27" t="s">
        <v>49</v>
      </c>
      <c r="D2561" s="27" t="s">
        <v>651</v>
      </c>
      <c r="E2561" s="1" t="s">
        <v>436</v>
      </c>
      <c r="F2561" s="1" t="s">
        <v>440</v>
      </c>
      <c r="G2561" s="1" t="s">
        <v>438</v>
      </c>
      <c r="H2561" s="1">
        <v>720</v>
      </c>
      <c r="I2561" s="3">
        <v>46276</v>
      </c>
      <c r="J2561" s="3">
        <v>46280</v>
      </c>
      <c r="K2561" s="3" t="s">
        <v>2366</v>
      </c>
      <c r="L2561" s="31">
        <v>46276.445953969902</v>
      </c>
      <c r="M2561" s="20">
        <v>12</v>
      </c>
      <c r="N2561" s="1">
        <v>25</v>
      </c>
    </row>
    <row r="2562" spans="1:14" x14ac:dyDescent="0.25">
      <c r="A2562" t="str">
        <f t="shared" ref="A2562:A2625" si="82">+D2562&amp;D2562</f>
        <v>U146427U146427</v>
      </c>
      <c r="B2562" t="str">
        <f t="shared" ref="B2562:B2625" si="83">+D2562&amp;C2562</f>
        <v>U146427P60394T-M</v>
      </c>
      <c r="C2562" s="27" t="s">
        <v>49</v>
      </c>
      <c r="D2562" s="27" t="s">
        <v>651</v>
      </c>
      <c r="E2562" s="1" t="s">
        <v>436</v>
      </c>
      <c r="F2562" s="1" t="s">
        <v>440</v>
      </c>
      <c r="G2562" s="1" t="s">
        <v>438</v>
      </c>
      <c r="H2562" s="1">
        <v>720</v>
      </c>
      <c r="I2562" s="3">
        <v>46276</v>
      </c>
      <c r="J2562" s="3">
        <v>46280</v>
      </c>
      <c r="K2562" s="3" t="s">
        <v>2366</v>
      </c>
      <c r="L2562" s="31">
        <v>46276.458754664352</v>
      </c>
      <c r="M2562" s="20">
        <v>12</v>
      </c>
      <c r="N2562" s="1">
        <v>16</v>
      </c>
    </row>
    <row r="2563" spans="1:14" x14ac:dyDescent="0.25">
      <c r="A2563" t="str">
        <f t="shared" si="82"/>
        <v>U146427U146427</v>
      </c>
      <c r="B2563" t="str">
        <f t="shared" si="83"/>
        <v>U146427P60394T-M</v>
      </c>
      <c r="C2563" s="27" t="s">
        <v>49</v>
      </c>
      <c r="D2563" s="27" t="s">
        <v>651</v>
      </c>
      <c r="E2563" s="1" t="s">
        <v>436</v>
      </c>
      <c r="F2563" s="1" t="s">
        <v>440</v>
      </c>
      <c r="G2563" s="1" t="s">
        <v>438</v>
      </c>
      <c r="H2563" s="1">
        <v>720</v>
      </c>
      <c r="I2563" s="3">
        <v>46276</v>
      </c>
      <c r="J2563" s="3">
        <v>46280</v>
      </c>
      <c r="K2563" s="3" t="s">
        <v>2366</v>
      </c>
      <c r="L2563" s="31">
        <v>46276.459730208335</v>
      </c>
      <c r="M2563" s="20">
        <v>12</v>
      </c>
      <c r="N2563" s="1">
        <v>27</v>
      </c>
    </row>
    <row r="2564" spans="1:14" x14ac:dyDescent="0.25">
      <c r="A2564" t="str">
        <f t="shared" si="82"/>
        <v>U146427U146427</v>
      </c>
      <c r="B2564" t="str">
        <f t="shared" si="83"/>
        <v>U146427P60394T-M</v>
      </c>
      <c r="C2564" s="27" t="s">
        <v>49</v>
      </c>
      <c r="D2564" s="27" t="s">
        <v>651</v>
      </c>
      <c r="E2564" s="1" t="s">
        <v>436</v>
      </c>
      <c r="F2564" s="1" t="s">
        <v>440</v>
      </c>
      <c r="G2564" s="1" t="s">
        <v>438</v>
      </c>
      <c r="H2564" s="1">
        <v>720</v>
      </c>
      <c r="I2564" s="3">
        <v>46276</v>
      </c>
      <c r="J2564" s="3">
        <v>46280</v>
      </c>
      <c r="K2564" s="3" t="s">
        <v>2366</v>
      </c>
      <c r="L2564" s="31">
        <v>46276.469442511574</v>
      </c>
      <c r="M2564" s="20">
        <v>12</v>
      </c>
      <c r="N2564" s="1">
        <v>29</v>
      </c>
    </row>
    <row r="2565" spans="1:14" x14ac:dyDescent="0.25">
      <c r="A2565" t="str">
        <f t="shared" si="82"/>
        <v>U146427U146427</v>
      </c>
      <c r="B2565" t="str">
        <f t="shared" si="83"/>
        <v>U146427P60394T-M</v>
      </c>
      <c r="C2565" s="27" t="s">
        <v>49</v>
      </c>
      <c r="D2565" s="27" t="s">
        <v>651</v>
      </c>
      <c r="E2565" s="1" t="s">
        <v>436</v>
      </c>
      <c r="F2565" s="1" t="s">
        <v>440</v>
      </c>
      <c r="G2565" s="1" t="s">
        <v>438</v>
      </c>
      <c r="H2565" s="1">
        <v>720</v>
      </c>
      <c r="I2565" s="3">
        <v>46276</v>
      </c>
      <c r="J2565" s="3">
        <v>46280</v>
      </c>
      <c r="K2565" s="3" t="s">
        <v>2366</v>
      </c>
      <c r="L2565" s="31">
        <v>46276.55240320602</v>
      </c>
      <c r="M2565" s="20">
        <v>12</v>
      </c>
      <c r="N2565" s="1">
        <v>39</v>
      </c>
    </row>
    <row r="2566" spans="1:14" x14ac:dyDescent="0.25">
      <c r="A2566" t="str">
        <f t="shared" si="82"/>
        <v>U146427U146427</v>
      </c>
      <c r="B2566" t="str">
        <f t="shared" si="83"/>
        <v>U146427P60394T-M</v>
      </c>
      <c r="C2566" s="27" t="s">
        <v>49</v>
      </c>
      <c r="D2566" s="27" t="s">
        <v>651</v>
      </c>
      <c r="E2566" s="1" t="s">
        <v>436</v>
      </c>
      <c r="F2566" s="1" t="s">
        <v>440</v>
      </c>
      <c r="G2566" s="1" t="s">
        <v>438</v>
      </c>
      <c r="H2566" s="1">
        <v>720</v>
      </c>
      <c r="I2566" s="3">
        <v>46276</v>
      </c>
      <c r="J2566" s="3">
        <v>46280</v>
      </c>
      <c r="K2566" s="3" t="s">
        <v>2366</v>
      </c>
      <c r="L2566" s="31">
        <v>46276.552877546295</v>
      </c>
      <c r="M2566" s="20">
        <v>12</v>
      </c>
      <c r="N2566" s="1">
        <v>35</v>
      </c>
    </row>
    <row r="2567" spans="1:14" x14ac:dyDescent="0.25">
      <c r="A2567" t="str">
        <f t="shared" si="82"/>
        <v>U146427U146427</v>
      </c>
      <c r="B2567" t="str">
        <f t="shared" si="83"/>
        <v>U146427P60394T-M</v>
      </c>
      <c r="C2567" s="27" t="s">
        <v>49</v>
      </c>
      <c r="D2567" s="27" t="s">
        <v>651</v>
      </c>
      <c r="E2567" s="1" t="s">
        <v>436</v>
      </c>
      <c r="F2567" s="1" t="s">
        <v>440</v>
      </c>
      <c r="G2567" s="1" t="s">
        <v>438</v>
      </c>
      <c r="H2567" s="1">
        <v>720</v>
      </c>
      <c r="I2567" s="3">
        <v>46276</v>
      </c>
      <c r="J2567" s="3">
        <v>46280</v>
      </c>
      <c r="K2567" s="3" t="s">
        <v>2366</v>
      </c>
      <c r="L2567" s="31">
        <v>46276.553090312496</v>
      </c>
      <c r="M2567" s="20">
        <v>12</v>
      </c>
      <c r="N2567" s="1">
        <v>15</v>
      </c>
    </row>
    <row r="2568" spans="1:14" x14ac:dyDescent="0.25">
      <c r="A2568" t="str">
        <f t="shared" si="82"/>
        <v>U146427U146427</v>
      </c>
      <c r="B2568" t="str">
        <f t="shared" si="83"/>
        <v>U146427P60394T-M</v>
      </c>
      <c r="C2568" s="27" t="s">
        <v>49</v>
      </c>
      <c r="D2568" s="27" t="s">
        <v>651</v>
      </c>
      <c r="E2568" s="1" t="s">
        <v>436</v>
      </c>
      <c r="F2568" s="1" t="s">
        <v>440</v>
      </c>
      <c r="G2568" s="1" t="s">
        <v>438</v>
      </c>
      <c r="H2568" s="1">
        <v>720</v>
      </c>
      <c r="I2568" s="3">
        <v>46276</v>
      </c>
      <c r="J2568" s="3">
        <v>46280</v>
      </c>
      <c r="K2568" s="3" t="s">
        <v>2366</v>
      </c>
      <c r="L2568" s="31">
        <v>46276.553421759258</v>
      </c>
      <c r="M2568" s="20">
        <v>12</v>
      </c>
      <c r="N2568" s="1">
        <v>28</v>
      </c>
    </row>
    <row r="2569" spans="1:14" x14ac:dyDescent="0.25">
      <c r="A2569" t="str">
        <f t="shared" si="82"/>
        <v>U146427U146427</v>
      </c>
      <c r="B2569" t="str">
        <f t="shared" si="83"/>
        <v>U146427P60394T-M</v>
      </c>
      <c r="C2569" s="27" t="s">
        <v>49</v>
      </c>
      <c r="D2569" s="27" t="s">
        <v>651</v>
      </c>
      <c r="E2569" s="1" t="s">
        <v>436</v>
      </c>
      <c r="F2569" s="1" t="s">
        <v>440</v>
      </c>
      <c r="G2569" s="1" t="s">
        <v>438</v>
      </c>
      <c r="H2569" s="1">
        <v>720</v>
      </c>
      <c r="I2569" s="3">
        <v>46276</v>
      </c>
      <c r="J2569" s="3">
        <v>46280</v>
      </c>
      <c r="K2569" s="3" t="s">
        <v>2366</v>
      </c>
      <c r="L2569" s="31">
        <v>46276.566479050925</v>
      </c>
      <c r="M2569" s="20">
        <v>12</v>
      </c>
      <c r="N2569" s="1">
        <v>26</v>
      </c>
    </row>
    <row r="2570" spans="1:14" x14ac:dyDescent="0.25">
      <c r="A2570" t="str">
        <f t="shared" si="82"/>
        <v>U146427U146427</v>
      </c>
      <c r="B2570" t="str">
        <f t="shared" si="83"/>
        <v>U146427P60394T-M</v>
      </c>
      <c r="C2570" s="27" t="s">
        <v>49</v>
      </c>
      <c r="D2570" s="27" t="s">
        <v>651</v>
      </c>
      <c r="E2570" s="1" t="s">
        <v>436</v>
      </c>
      <c r="F2570" s="1" t="s">
        <v>440</v>
      </c>
      <c r="G2570" s="1" t="s">
        <v>438</v>
      </c>
      <c r="H2570" s="1">
        <v>720</v>
      </c>
      <c r="I2570" s="3">
        <v>46276</v>
      </c>
      <c r="J2570" s="3">
        <v>46280</v>
      </c>
      <c r="K2570" s="3" t="s">
        <v>2366</v>
      </c>
      <c r="L2570" s="31">
        <v>46276.569842129626</v>
      </c>
      <c r="M2570" s="20">
        <v>12</v>
      </c>
      <c r="N2570" s="1">
        <v>30</v>
      </c>
    </row>
    <row r="2571" spans="1:14" x14ac:dyDescent="0.25">
      <c r="A2571" t="str">
        <f t="shared" si="82"/>
        <v>U146427U146427</v>
      </c>
      <c r="B2571" t="str">
        <f t="shared" si="83"/>
        <v>U146427P60394T-M</v>
      </c>
      <c r="C2571" s="27" t="s">
        <v>49</v>
      </c>
      <c r="D2571" s="27" t="s">
        <v>651</v>
      </c>
      <c r="E2571" s="1" t="s">
        <v>436</v>
      </c>
      <c r="F2571" s="1" t="s">
        <v>440</v>
      </c>
      <c r="G2571" s="1" t="s">
        <v>438</v>
      </c>
      <c r="H2571" s="1">
        <v>720</v>
      </c>
      <c r="I2571" s="3">
        <v>46276</v>
      </c>
      <c r="J2571" s="3">
        <v>46280</v>
      </c>
      <c r="K2571" s="3" t="s">
        <v>2366</v>
      </c>
      <c r="L2571" s="31">
        <v>46276.570026076384</v>
      </c>
      <c r="M2571" s="20">
        <v>12</v>
      </c>
      <c r="N2571" s="1">
        <v>48</v>
      </c>
    </row>
    <row r="2572" spans="1:14" x14ac:dyDescent="0.25">
      <c r="A2572" t="str">
        <f t="shared" si="82"/>
        <v>U146427U146427</v>
      </c>
      <c r="B2572" t="str">
        <f t="shared" si="83"/>
        <v>U146427P60394T-M</v>
      </c>
      <c r="C2572" s="27" t="s">
        <v>49</v>
      </c>
      <c r="D2572" s="27" t="s">
        <v>651</v>
      </c>
      <c r="E2572" s="1" t="s">
        <v>436</v>
      </c>
      <c r="F2572" s="1" t="s">
        <v>440</v>
      </c>
      <c r="G2572" s="1" t="s">
        <v>438</v>
      </c>
      <c r="H2572" s="1">
        <v>720</v>
      </c>
      <c r="I2572" s="3">
        <v>46276</v>
      </c>
      <c r="J2572" s="3">
        <v>46280</v>
      </c>
      <c r="K2572" s="3" t="s">
        <v>2366</v>
      </c>
      <c r="L2572" s="31">
        <v>46276.571036689813</v>
      </c>
      <c r="M2572" s="20">
        <v>12</v>
      </c>
      <c r="N2572" s="1">
        <v>50</v>
      </c>
    </row>
    <row r="2573" spans="1:14" x14ac:dyDescent="0.25">
      <c r="A2573" t="str">
        <f t="shared" si="82"/>
        <v>U146427U146427</v>
      </c>
      <c r="B2573" t="str">
        <f t="shared" si="83"/>
        <v>U146427P60394T-M</v>
      </c>
      <c r="C2573" s="27" t="s">
        <v>49</v>
      </c>
      <c r="D2573" s="27" t="s">
        <v>651</v>
      </c>
      <c r="E2573" s="1" t="s">
        <v>436</v>
      </c>
      <c r="F2573" s="1" t="s">
        <v>440</v>
      </c>
      <c r="G2573" s="1" t="s">
        <v>438</v>
      </c>
      <c r="H2573" s="1">
        <v>720</v>
      </c>
      <c r="I2573" s="3">
        <v>46276</v>
      </c>
      <c r="J2573" s="3">
        <v>46280</v>
      </c>
      <c r="K2573" s="3" t="s">
        <v>2366</v>
      </c>
      <c r="L2573" s="31">
        <v>46276.57123425926</v>
      </c>
      <c r="M2573" s="20">
        <v>12</v>
      </c>
      <c r="N2573" s="1">
        <v>14</v>
      </c>
    </row>
    <row r="2574" spans="1:14" x14ac:dyDescent="0.25">
      <c r="A2574" t="str">
        <f t="shared" si="82"/>
        <v>U146427U146427</v>
      </c>
      <c r="B2574" t="str">
        <f t="shared" si="83"/>
        <v>U146427P60394T-M</v>
      </c>
      <c r="C2574" s="27" t="s">
        <v>49</v>
      </c>
      <c r="D2574" s="27" t="s">
        <v>651</v>
      </c>
      <c r="E2574" s="1" t="s">
        <v>436</v>
      </c>
      <c r="F2574" s="1" t="s">
        <v>440</v>
      </c>
      <c r="G2574" s="1" t="s">
        <v>438</v>
      </c>
      <c r="H2574" s="1">
        <v>720</v>
      </c>
      <c r="I2574" s="3">
        <v>46276</v>
      </c>
      <c r="J2574" s="3">
        <v>46280</v>
      </c>
      <c r="K2574" s="3" t="s">
        <v>2366</v>
      </c>
      <c r="L2574" s="31">
        <v>46276.571856828705</v>
      </c>
      <c r="M2574" s="20">
        <v>12</v>
      </c>
      <c r="N2574" s="1">
        <v>49</v>
      </c>
    </row>
    <row r="2575" spans="1:14" x14ac:dyDescent="0.25">
      <c r="A2575" t="str">
        <f t="shared" si="82"/>
        <v>U146427U146427</v>
      </c>
      <c r="B2575" t="str">
        <f t="shared" si="83"/>
        <v>U146427P60394T-M</v>
      </c>
      <c r="C2575" s="27" t="s">
        <v>49</v>
      </c>
      <c r="D2575" s="27" t="s">
        <v>651</v>
      </c>
      <c r="E2575" s="1" t="s">
        <v>436</v>
      </c>
      <c r="F2575" s="1" t="s">
        <v>440</v>
      </c>
      <c r="G2575" s="1" t="s">
        <v>438</v>
      </c>
      <c r="H2575" s="1">
        <v>720</v>
      </c>
      <c r="I2575" s="3">
        <v>46276</v>
      </c>
      <c r="J2575" s="3">
        <v>46280</v>
      </c>
      <c r="K2575" s="3" t="s">
        <v>2366</v>
      </c>
      <c r="L2575" s="31">
        <v>46276.572473344902</v>
      </c>
      <c r="M2575" s="20">
        <v>12</v>
      </c>
      <c r="N2575" s="1">
        <v>43</v>
      </c>
    </row>
    <row r="2576" spans="1:14" x14ac:dyDescent="0.25">
      <c r="A2576" t="str">
        <f t="shared" si="82"/>
        <v>U146427U146427</v>
      </c>
      <c r="B2576" t="str">
        <f t="shared" si="83"/>
        <v>U146427P60394T-M</v>
      </c>
      <c r="C2576" s="27" t="s">
        <v>49</v>
      </c>
      <c r="D2576" s="27" t="s">
        <v>651</v>
      </c>
      <c r="E2576" s="1" t="s">
        <v>436</v>
      </c>
      <c r="F2576" s="1" t="s">
        <v>440</v>
      </c>
      <c r="G2576" s="1" t="s">
        <v>438</v>
      </c>
      <c r="H2576" s="1">
        <v>720</v>
      </c>
      <c r="I2576" s="3">
        <v>46276</v>
      </c>
      <c r="J2576" s="3">
        <v>46280</v>
      </c>
      <c r="K2576" s="3" t="s">
        <v>2366</v>
      </c>
      <c r="L2576" s="31">
        <v>46276.608799884256</v>
      </c>
      <c r="M2576" s="20">
        <v>12</v>
      </c>
      <c r="N2576" s="1">
        <v>1</v>
      </c>
    </row>
    <row r="2577" spans="1:14" x14ac:dyDescent="0.25">
      <c r="A2577" t="str">
        <f t="shared" si="82"/>
        <v>U146427U146427</v>
      </c>
      <c r="B2577" t="str">
        <f t="shared" si="83"/>
        <v>U146427P60394T-M</v>
      </c>
      <c r="C2577" s="27" t="s">
        <v>49</v>
      </c>
      <c r="D2577" s="27" t="s">
        <v>651</v>
      </c>
      <c r="E2577" s="1" t="s">
        <v>436</v>
      </c>
      <c r="F2577" s="1" t="s">
        <v>440</v>
      </c>
      <c r="G2577" s="1" t="s">
        <v>438</v>
      </c>
      <c r="H2577" s="1">
        <v>720</v>
      </c>
      <c r="I2577" s="3">
        <v>46276</v>
      </c>
      <c r="J2577" s="3">
        <v>46280</v>
      </c>
      <c r="K2577" s="3" t="s">
        <v>2366</v>
      </c>
      <c r="L2577" s="31">
        <v>46276.610614849538</v>
      </c>
      <c r="M2577" s="20">
        <v>12</v>
      </c>
      <c r="N2577" s="1">
        <v>34</v>
      </c>
    </row>
    <row r="2578" spans="1:14" x14ac:dyDescent="0.25">
      <c r="A2578" t="str">
        <f t="shared" si="82"/>
        <v>U146427U146427</v>
      </c>
      <c r="B2578" t="str">
        <f t="shared" si="83"/>
        <v>U146427P60394T-M</v>
      </c>
      <c r="C2578" s="27" t="s">
        <v>49</v>
      </c>
      <c r="D2578" s="27" t="s">
        <v>651</v>
      </c>
      <c r="E2578" s="1" t="s">
        <v>436</v>
      </c>
      <c r="F2578" s="1" t="s">
        <v>440</v>
      </c>
      <c r="G2578" s="1" t="s">
        <v>438</v>
      </c>
      <c r="H2578" s="1">
        <v>720</v>
      </c>
      <c r="I2578" s="3">
        <v>46276</v>
      </c>
      <c r="J2578" s="3">
        <v>46280</v>
      </c>
      <c r="K2578" s="3" t="s">
        <v>2366</v>
      </c>
      <c r="L2578" s="31">
        <v>46276.611411342594</v>
      </c>
      <c r="M2578" s="20">
        <v>12</v>
      </c>
      <c r="N2578" s="1">
        <v>18</v>
      </c>
    </row>
    <row r="2579" spans="1:14" x14ac:dyDescent="0.25">
      <c r="A2579" t="str">
        <f t="shared" si="82"/>
        <v>U146427U146427</v>
      </c>
      <c r="B2579" t="str">
        <f t="shared" si="83"/>
        <v>U146427P60394T-M</v>
      </c>
      <c r="C2579" s="27" t="s">
        <v>49</v>
      </c>
      <c r="D2579" s="27" t="s">
        <v>651</v>
      </c>
      <c r="E2579" s="1" t="s">
        <v>436</v>
      </c>
      <c r="F2579" s="1" t="s">
        <v>440</v>
      </c>
      <c r="G2579" s="1" t="s">
        <v>438</v>
      </c>
      <c r="H2579" s="1">
        <v>720</v>
      </c>
      <c r="I2579" s="3">
        <v>46276</v>
      </c>
      <c r="J2579" s="3">
        <v>46280</v>
      </c>
      <c r="K2579" s="3" t="s">
        <v>2366</v>
      </c>
      <c r="L2579" s="31">
        <v>46276.622036076384</v>
      </c>
      <c r="M2579" s="20">
        <v>12</v>
      </c>
      <c r="N2579" s="1">
        <v>2</v>
      </c>
    </row>
    <row r="2580" spans="1:14" x14ac:dyDescent="0.25">
      <c r="A2580" t="str">
        <f t="shared" si="82"/>
        <v>U146427U146427</v>
      </c>
      <c r="B2580" t="str">
        <f t="shared" si="83"/>
        <v>U146427P60394T-M</v>
      </c>
      <c r="C2580" s="27" t="s">
        <v>49</v>
      </c>
      <c r="D2580" s="27" t="s">
        <v>651</v>
      </c>
      <c r="E2580" s="1" t="s">
        <v>436</v>
      </c>
      <c r="F2580" s="1" t="s">
        <v>440</v>
      </c>
      <c r="G2580" s="1" t="s">
        <v>438</v>
      </c>
      <c r="H2580" s="1">
        <v>720</v>
      </c>
      <c r="I2580" s="3">
        <v>46276</v>
      </c>
      <c r="J2580" s="3">
        <v>46280</v>
      </c>
      <c r="K2580" s="3" t="s">
        <v>2366</v>
      </c>
      <c r="L2580" s="31">
        <v>46276.622202812498</v>
      </c>
      <c r="M2580" s="20">
        <v>12</v>
      </c>
      <c r="N2580" s="1">
        <v>8</v>
      </c>
    </row>
    <row r="2581" spans="1:14" x14ac:dyDescent="0.25">
      <c r="A2581" t="str">
        <f t="shared" si="82"/>
        <v>U146427U146427</v>
      </c>
      <c r="B2581" t="str">
        <f t="shared" si="83"/>
        <v>U146427P60394T-M</v>
      </c>
      <c r="C2581" s="27" t="s">
        <v>49</v>
      </c>
      <c r="D2581" s="27" t="s">
        <v>651</v>
      </c>
      <c r="E2581" s="1" t="s">
        <v>436</v>
      </c>
      <c r="F2581" s="1" t="s">
        <v>440</v>
      </c>
      <c r="G2581" s="1" t="s">
        <v>438</v>
      </c>
      <c r="H2581" s="1">
        <v>720</v>
      </c>
      <c r="I2581" s="3">
        <v>46276</v>
      </c>
      <c r="J2581" s="3">
        <v>46280</v>
      </c>
      <c r="K2581" s="3" t="s">
        <v>2366</v>
      </c>
      <c r="L2581" s="31">
        <v>46276.622390277778</v>
      </c>
      <c r="M2581" s="20">
        <v>12</v>
      </c>
      <c r="N2581" s="1">
        <v>56</v>
      </c>
    </row>
    <row r="2582" spans="1:14" x14ac:dyDescent="0.25">
      <c r="A2582" t="str">
        <f t="shared" si="82"/>
        <v>U146427U146427</v>
      </c>
      <c r="B2582" t="str">
        <f t="shared" si="83"/>
        <v>U146427P60394T-M</v>
      </c>
      <c r="C2582" s="27" t="s">
        <v>49</v>
      </c>
      <c r="D2582" s="27" t="s">
        <v>651</v>
      </c>
      <c r="E2582" s="1" t="s">
        <v>436</v>
      </c>
      <c r="F2582" s="1" t="s">
        <v>440</v>
      </c>
      <c r="G2582" s="1" t="s">
        <v>438</v>
      </c>
      <c r="H2582" s="1">
        <v>720</v>
      </c>
      <c r="I2582" s="3">
        <v>46276</v>
      </c>
      <c r="J2582" s="3">
        <v>46280</v>
      </c>
      <c r="K2582" s="3" t="s">
        <v>2366</v>
      </c>
      <c r="L2582" s="31">
        <v>46276.635805011574</v>
      </c>
      <c r="M2582" s="20">
        <v>12</v>
      </c>
      <c r="N2582" s="1">
        <v>20</v>
      </c>
    </row>
    <row r="2583" spans="1:14" x14ac:dyDescent="0.25">
      <c r="A2583" t="str">
        <f t="shared" si="82"/>
        <v>U146427U146427</v>
      </c>
      <c r="B2583" t="str">
        <f t="shared" si="83"/>
        <v>U146427P60394T-M</v>
      </c>
      <c r="C2583" s="27" t="s">
        <v>49</v>
      </c>
      <c r="D2583" s="27" t="s">
        <v>651</v>
      </c>
      <c r="E2583" s="1" t="s">
        <v>436</v>
      </c>
      <c r="F2583" s="1" t="s">
        <v>440</v>
      </c>
      <c r="G2583" s="1" t="s">
        <v>438</v>
      </c>
      <c r="H2583" s="1">
        <v>720</v>
      </c>
      <c r="I2583" s="3">
        <v>46276</v>
      </c>
      <c r="J2583" s="3">
        <v>46280</v>
      </c>
      <c r="K2583" s="3" t="s">
        <v>2366</v>
      </c>
      <c r="L2583" s="31">
        <v>46276.638615312499</v>
      </c>
      <c r="M2583" s="20">
        <v>12</v>
      </c>
      <c r="N2583" s="1">
        <v>19</v>
      </c>
    </row>
    <row r="2584" spans="1:14" x14ac:dyDescent="0.25">
      <c r="A2584" t="str">
        <f t="shared" si="82"/>
        <v>U146427U146427</v>
      </c>
      <c r="B2584" t="str">
        <f t="shared" si="83"/>
        <v>U146427P60394T-M</v>
      </c>
      <c r="C2584" s="27" t="s">
        <v>49</v>
      </c>
      <c r="D2584" s="27" t="s">
        <v>651</v>
      </c>
      <c r="E2584" s="1" t="s">
        <v>436</v>
      </c>
      <c r="F2584" s="1" t="s">
        <v>440</v>
      </c>
      <c r="G2584" s="1" t="s">
        <v>438</v>
      </c>
      <c r="H2584" s="1">
        <v>720</v>
      </c>
      <c r="I2584" s="3">
        <v>46276</v>
      </c>
      <c r="J2584" s="3">
        <v>46280</v>
      </c>
      <c r="K2584" s="3" t="s">
        <v>2366</v>
      </c>
      <c r="L2584" s="31">
        <v>46276.646784918979</v>
      </c>
      <c r="M2584" s="20">
        <v>12</v>
      </c>
      <c r="N2584" s="1">
        <v>55</v>
      </c>
    </row>
    <row r="2585" spans="1:14" x14ac:dyDescent="0.25">
      <c r="A2585" t="str">
        <f t="shared" si="82"/>
        <v>U146427U146427</v>
      </c>
      <c r="B2585" t="str">
        <f t="shared" si="83"/>
        <v>U146427P60394T-M</v>
      </c>
      <c r="C2585" s="27" t="s">
        <v>49</v>
      </c>
      <c r="D2585" s="27" t="s">
        <v>651</v>
      </c>
      <c r="E2585" s="1" t="s">
        <v>436</v>
      </c>
      <c r="F2585" s="1" t="s">
        <v>440</v>
      </c>
      <c r="G2585" s="1" t="s">
        <v>438</v>
      </c>
      <c r="H2585" s="1">
        <v>720</v>
      </c>
      <c r="I2585" s="3">
        <v>46276</v>
      </c>
      <c r="J2585" s="3">
        <v>46280</v>
      </c>
      <c r="K2585" s="3" t="s">
        <v>2366</v>
      </c>
      <c r="L2585" s="31">
        <v>46276.648297337961</v>
      </c>
      <c r="M2585" s="20">
        <v>12</v>
      </c>
      <c r="N2585" s="1">
        <v>40</v>
      </c>
    </row>
    <row r="2586" spans="1:14" x14ac:dyDescent="0.25">
      <c r="A2586" t="str">
        <f t="shared" si="82"/>
        <v>U146427U146427</v>
      </c>
      <c r="B2586" t="str">
        <f t="shared" si="83"/>
        <v>U146427P60394T-M</v>
      </c>
      <c r="C2586" s="27" t="s">
        <v>49</v>
      </c>
      <c r="D2586" s="27" t="s">
        <v>651</v>
      </c>
      <c r="E2586" s="1" t="s">
        <v>436</v>
      </c>
      <c r="F2586" s="1" t="s">
        <v>440</v>
      </c>
      <c r="G2586" s="1" t="s">
        <v>438</v>
      </c>
      <c r="H2586" s="1">
        <v>720</v>
      </c>
      <c r="I2586" s="3">
        <v>46276</v>
      </c>
      <c r="J2586" s="3">
        <v>46280</v>
      </c>
      <c r="K2586" s="3" t="s">
        <v>2366</v>
      </c>
      <c r="L2586" s="31">
        <v>46276.652955474536</v>
      </c>
      <c r="M2586" s="20">
        <v>12</v>
      </c>
      <c r="N2586" s="1">
        <v>7</v>
      </c>
    </row>
    <row r="2587" spans="1:14" x14ac:dyDescent="0.25">
      <c r="A2587" t="str">
        <f t="shared" si="82"/>
        <v>U146427U146427</v>
      </c>
      <c r="B2587" t="str">
        <f t="shared" si="83"/>
        <v>U146427P60394T-M</v>
      </c>
      <c r="C2587" s="27" t="s">
        <v>49</v>
      </c>
      <c r="D2587" s="27" t="s">
        <v>651</v>
      </c>
      <c r="E2587" s="1" t="s">
        <v>436</v>
      </c>
      <c r="F2587" s="1" t="s">
        <v>440</v>
      </c>
      <c r="G2587" s="1" t="s">
        <v>438</v>
      </c>
      <c r="H2587" s="1">
        <v>720</v>
      </c>
      <c r="I2587" s="3">
        <v>46276</v>
      </c>
      <c r="J2587" s="3">
        <v>46280</v>
      </c>
      <c r="K2587" s="3" t="s">
        <v>2366</v>
      </c>
      <c r="L2587" s="31">
        <v>46276.65342962963</v>
      </c>
      <c r="M2587" s="20">
        <v>12</v>
      </c>
      <c r="N2587" s="1">
        <v>3</v>
      </c>
    </row>
    <row r="2588" spans="1:14" x14ac:dyDescent="0.25">
      <c r="A2588" t="str">
        <f t="shared" si="82"/>
        <v>U146427U146427</v>
      </c>
      <c r="B2588" t="str">
        <f t="shared" si="83"/>
        <v>U146427P60394T-M</v>
      </c>
      <c r="C2588" s="27" t="s">
        <v>49</v>
      </c>
      <c r="D2588" s="27" t="s">
        <v>651</v>
      </c>
      <c r="E2588" s="1" t="s">
        <v>436</v>
      </c>
      <c r="F2588" s="1" t="s">
        <v>440</v>
      </c>
      <c r="G2588" s="1" t="s">
        <v>438</v>
      </c>
      <c r="H2588" s="1">
        <v>720</v>
      </c>
      <c r="I2588" s="3">
        <v>46276</v>
      </c>
      <c r="J2588" s="3">
        <v>46280</v>
      </c>
      <c r="K2588" s="3" t="s">
        <v>2366</v>
      </c>
      <c r="L2588" s="31">
        <v>46276.653588506946</v>
      </c>
      <c r="M2588" s="20">
        <v>12</v>
      </c>
      <c r="N2588" s="1">
        <v>54</v>
      </c>
    </row>
    <row r="2589" spans="1:14" x14ac:dyDescent="0.25">
      <c r="A2589" t="str">
        <f t="shared" si="82"/>
        <v>U146427U146427</v>
      </c>
      <c r="B2589" t="str">
        <f t="shared" si="83"/>
        <v>U146427P60394T-M</v>
      </c>
      <c r="C2589" s="27" t="s">
        <v>49</v>
      </c>
      <c r="D2589" s="27" t="s">
        <v>651</v>
      </c>
      <c r="E2589" s="1" t="s">
        <v>436</v>
      </c>
      <c r="F2589" s="1" t="s">
        <v>440</v>
      </c>
      <c r="G2589" s="1" t="s">
        <v>438</v>
      </c>
      <c r="H2589" s="1">
        <v>720</v>
      </c>
      <c r="I2589" s="3">
        <v>46276</v>
      </c>
      <c r="J2589" s="3">
        <v>46280</v>
      </c>
      <c r="K2589" s="3" t="s">
        <v>2366</v>
      </c>
      <c r="L2589" s="31">
        <v>46276.655031249997</v>
      </c>
      <c r="M2589" s="20">
        <v>12</v>
      </c>
      <c r="N2589" s="1">
        <v>44</v>
      </c>
    </row>
    <row r="2590" spans="1:14" x14ac:dyDescent="0.25">
      <c r="A2590" t="str">
        <f t="shared" si="82"/>
        <v>U146427U146427</v>
      </c>
      <c r="B2590" t="str">
        <f t="shared" si="83"/>
        <v>U146427P60394T-M</v>
      </c>
      <c r="C2590" s="27" t="s">
        <v>49</v>
      </c>
      <c r="D2590" s="27" t="s">
        <v>651</v>
      </c>
      <c r="E2590" s="1" t="s">
        <v>436</v>
      </c>
      <c r="F2590" s="1" t="s">
        <v>440</v>
      </c>
      <c r="G2590" s="1" t="s">
        <v>438</v>
      </c>
      <c r="H2590" s="1">
        <v>720</v>
      </c>
      <c r="I2590" s="3">
        <v>46276</v>
      </c>
      <c r="J2590" s="3">
        <v>46280</v>
      </c>
      <c r="K2590" s="3" t="s">
        <v>2366</v>
      </c>
      <c r="L2590" s="31">
        <v>46276.666298807868</v>
      </c>
      <c r="M2590" s="20">
        <v>12</v>
      </c>
      <c r="N2590" s="1">
        <v>32</v>
      </c>
    </row>
    <row r="2591" spans="1:14" x14ac:dyDescent="0.25">
      <c r="A2591" t="str">
        <f t="shared" si="82"/>
        <v>U146427U146427</v>
      </c>
      <c r="B2591" t="str">
        <f t="shared" si="83"/>
        <v>U146427P60394T-M</v>
      </c>
      <c r="C2591" s="27" t="s">
        <v>49</v>
      </c>
      <c r="D2591" s="27" t="s">
        <v>651</v>
      </c>
      <c r="E2591" s="1" t="s">
        <v>436</v>
      </c>
      <c r="F2591" s="1" t="s">
        <v>440</v>
      </c>
      <c r="G2591" s="1" t="s">
        <v>438</v>
      </c>
      <c r="H2591" s="1">
        <v>720</v>
      </c>
      <c r="I2591" s="3">
        <v>46276</v>
      </c>
      <c r="J2591" s="3">
        <v>46280</v>
      </c>
      <c r="K2591" s="3" t="s">
        <v>2366</v>
      </c>
      <c r="L2591" s="31">
        <v>46276.679807256944</v>
      </c>
      <c r="M2591" s="20">
        <v>12</v>
      </c>
      <c r="N2591" s="1">
        <v>45</v>
      </c>
    </row>
    <row r="2592" spans="1:14" x14ac:dyDescent="0.25">
      <c r="A2592" t="str">
        <f t="shared" si="82"/>
        <v>U146427U146427</v>
      </c>
      <c r="B2592" t="str">
        <f t="shared" si="83"/>
        <v>U146427P60394T-M</v>
      </c>
      <c r="C2592" s="1" t="s">
        <v>49</v>
      </c>
      <c r="D2592" s="1" t="s">
        <v>651</v>
      </c>
      <c r="E2592" s="1" t="s">
        <v>436</v>
      </c>
      <c r="F2592" s="1" t="s">
        <v>440</v>
      </c>
      <c r="G2592" s="1" t="s">
        <v>438</v>
      </c>
      <c r="H2592" s="1">
        <v>720</v>
      </c>
      <c r="I2592" s="3">
        <v>46276</v>
      </c>
      <c r="J2592" s="3">
        <v>46280</v>
      </c>
      <c r="K2592" s="3" t="s">
        <v>2366</v>
      </c>
      <c r="L2592" s="31">
        <v>46276.699066354166</v>
      </c>
      <c r="M2592" s="20">
        <v>12</v>
      </c>
      <c r="N2592" s="1">
        <v>59</v>
      </c>
    </row>
    <row r="2593" spans="1:14" x14ac:dyDescent="0.25">
      <c r="A2593" t="str">
        <f t="shared" si="82"/>
        <v>U146427U146427</v>
      </c>
      <c r="B2593" t="str">
        <f t="shared" si="83"/>
        <v>U146427P60394T-M</v>
      </c>
      <c r="C2593" s="1" t="s">
        <v>49</v>
      </c>
      <c r="D2593" s="1" t="s">
        <v>651</v>
      </c>
      <c r="E2593" s="1" t="s">
        <v>436</v>
      </c>
      <c r="F2593" s="1" t="s">
        <v>440</v>
      </c>
      <c r="G2593" s="1" t="s">
        <v>438</v>
      </c>
      <c r="H2593" s="1">
        <v>720</v>
      </c>
      <c r="I2593" s="3">
        <v>46276</v>
      </c>
      <c r="J2593" s="3">
        <v>46280</v>
      </c>
      <c r="K2593" s="3" t="s">
        <v>2366</v>
      </c>
      <c r="L2593" s="31">
        <v>46276.707205011575</v>
      </c>
      <c r="M2593" s="20">
        <v>12</v>
      </c>
      <c r="N2593" s="1">
        <v>21</v>
      </c>
    </row>
    <row r="2594" spans="1:14" x14ac:dyDescent="0.25">
      <c r="A2594" t="str">
        <f t="shared" si="82"/>
        <v>U146427U146427</v>
      </c>
      <c r="B2594" t="str">
        <f t="shared" si="83"/>
        <v>U146427P60394T-M</v>
      </c>
      <c r="C2594" s="1" t="s">
        <v>49</v>
      </c>
      <c r="D2594" s="1" t="s">
        <v>651</v>
      </c>
      <c r="E2594" s="1" t="s">
        <v>436</v>
      </c>
      <c r="F2594" s="1" t="s">
        <v>440</v>
      </c>
      <c r="G2594" s="1" t="s">
        <v>438</v>
      </c>
      <c r="H2594" s="1">
        <v>720</v>
      </c>
      <c r="I2594" s="3">
        <v>46276</v>
      </c>
      <c r="J2594" s="3">
        <v>46280</v>
      </c>
      <c r="K2594" s="3" t="s">
        <v>2366</v>
      </c>
      <c r="L2594" s="31">
        <v>46276.708241400462</v>
      </c>
      <c r="M2594" s="20">
        <v>12</v>
      </c>
      <c r="N2594" s="1">
        <v>58</v>
      </c>
    </row>
    <row r="2595" spans="1:14" x14ac:dyDescent="0.25">
      <c r="A2595" t="str">
        <f t="shared" si="82"/>
        <v>U146427U146427</v>
      </c>
      <c r="B2595" t="str">
        <f t="shared" si="83"/>
        <v>U146427P60394T-M</v>
      </c>
      <c r="C2595" s="27" t="s">
        <v>49</v>
      </c>
      <c r="D2595" s="27" t="s">
        <v>651</v>
      </c>
      <c r="E2595" s="1" t="s">
        <v>436</v>
      </c>
      <c r="F2595" s="1" t="s">
        <v>440</v>
      </c>
      <c r="G2595" s="1" t="s">
        <v>438</v>
      </c>
      <c r="H2595" s="1">
        <v>720</v>
      </c>
      <c r="I2595" s="3">
        <v>46276</v>
      </c>
      <c r="J2595" s="3">
        <v>46280</v>
      </c>
      <c r="K2595" s="3" t="s">
        <v>2366</v>
      </c>
      <c r="L2595" s="31">
        <v>46276.708532719902</v>
      </c>
      <c r="M2595" s="20">
        <v>12</v>
      </c>
      <c r="N2595" s="1">
        <v>53</v>
      </c>
    </row>
    <row r="2596" spans="1:14" x14ac:dyDescent="0.25">
      <c r="A2596" t="str">
        <f t="shared" si="82"/>
        <v>U146427U146427</v>
      </c>
      <c r="B2596" t="str">
        <f t="shared" si="83"/>
        <v>U146427P60394T-M</v>
      </c>
      <c r="C2596" s="27" t="s">
        <v>49</v>
      </c>
      <c r="D2596" s="27" t="s">
        <v>651</v>
      </c>
      <c r="E2596" s="1" t="s">
        <v>436</v>
      </c>
      <c r="F2596" s="1" t="s">
        <v>440</v>
      </c>
      <c r="G2596" s="1" t="s">
        <v>438</v>
      </c>
      <c r="H2596" s="1">
        <v>720</v>
      </c>
      <c r="I2596" s="3">
        <v>46276</v>
      </c>
      <c r="J2596" s="3">
        <v>46280</v>
      </c>
      <c r="K2596" s="3" t="s">
        <v>2366</v>
      </c>
      <c r="L2596" s="31">
        <v>46276.709272534717</v>
      </c>
      <c r="M2596" s="20">
        <v>12</v>
      </c>
      <c r="N2596" s="1">
        <v>46</v>
      </c>
    </row>
    <row r="2597" spans="1:14" x14ac:dyDescent="0.25">
      <c r="A2597" t="str">
        <f t="shared" si="82"/>
        <v>U148009U148009</v>
      </c>
      <c r="B2597" t="str">
        <f t="shared" si="83"/>
        <v>U148009W6033JW-B</v>
      </c>
      <c r="C2597" s="1" t="s">
        <v>656</v>
      </c>
      <c r="D2597" s="1" t="s">
        <v>666</v>
      </c>
      <c r="E2597" s="1" t="s">
        <v>436</v>
      </c>
      <c r="F2597" s="1" t="s">
        <v>439</v>
      </c>
      <c r="G2597" s="1" t="s">
        <v>438</v>
      </c>
      <c r="H2597" s="1">
        <v>1788</v>
      </c>
      <c r="I2597" s="3">
        <v>46276</v>
      </c>
      <c r="L2597" s="31">
        <v>46276.723340474535</v>
      </c>
      <c r="M2597" s="20">
        <v>12</v>
      </c>
      <c r="N2597" s="1">
        <v>135</v>
      </c>
    </row>
    <row r="2598" spans="1:14" x14ac:dyDescent="0.25">
      <c r="A2598" t="str">
        <f t="shared" si="82"/>
        <v>U149840U149840</v>
      </c>
      <c r="B2598" t="str">
        <f t="shared" si="83"/>
        <v>U149840GC574EVE-M</v>
      </c>
      <c r="C2598" s="27" t="s">
        <v>35</v>
      </c>
      <c r="D2598" s="27" t="s">
        <v>665</v>
      </c>
      <c r="E2598" s="1" t="s">
        <v>436</v>
      </c>
      <c r="F2598" s="1" t="s">
        <v>443</v>
      </c>
      <c r="G2598" s="1" t="s">
        <v>444</v>
      </c>
      <c r="H2598" s="1">
        <v>378</v>
      </c>
      <c r="I2598" s="3">
        <v>46276</v>
      </c>
      <c r="J2598" s="3">
        <v>46288</v>
      </c>
      <c r="K2598" s="3" t="s">
        <v>2371</v>
      </c>
      <c r="L2598" s="31">
        <v>46276.704622800928</v>
      </c>
      <c r="M2598" s="20">
        <v>12</v>
      </c>
      <c r="N2598" s="1">
        <v>11</v>
      </c>
    </row>
    <row r="2599" spans="1:14" x14ac:dyDescent="0.25">
      <c r="A2599" t="str">
        <f t="shared" si="82"/>
        <v>U149840U149840</v>
      </c>
      <c r="B2599" t="str">
        <f t="shared" si="83"/>
        <v>U149840GC574EVE-M</v>
      </c>
      <c r="C2599" s="27" t="s">
        <v>35</v>
      </c>
      <c r="D2599" s="27" t="s">
        <v>665</v>
      </c>
      <c r="E2599" s="1" t="s">
        <v>436</v>
      </c>
      <c r="F2599" s="1" t="s">
        <v>443</v>
      </c>
      <c r="G2599" s="1" t="s">
        <v>444</v>
      </c>
      <c r="H2599" s="1">
        <v>378</v>
      </c>
      <c r="I2599" s="3">
        <v>46276</v>
      </c>
      <c r="J2599" s="3">
        <v>46288</v>
      </c>
      <c r="K2599" s="3" t="s">
        <v>2371</v>
      </c>
      <c r="L2599" s="31">
        <v>46276.704946446756</v>
      </c>
      <c r="M2599" s="20">
        <v>12</v>
      </c>
      <c r="N2599" s="1">
        <v>14</v>
      </c>
    </row>
    <row r="2600" spans="1:14" x14ac:dyDescent="0.25">
      <c r="A2600" t="str">
        <f t="shared" si="82"/>
        <v>U149840U149840</v>
      </c>
      <c r="B2600" t="str">
        <f t="shared" si="83"/>
        <v>U149840GC574EVE-M</v>
      </c>
      <c r="C2600" s="27" t="s">
        <v>35</v>
      </c>
      <c r="D2600" s="27" t="s">
        <v>665</v>
      </c>
      <c r="E2600" s="1" t="s">
        <v>436</v>
      </c>
      <c r="F2600" s="1" t="s">
        <v>443</v>
      </c>
      <c r="G2600" s="1" t="s">
        <v>444</v>
      </c>
      <c r="H2600" s="1">
        <v>378</v>
      </c>
      <c r="I2600" s="3">
        <v>46276</v>
      </c>
      <c r="J2600" s="3">
        <v>46288</v>
      </c>
      <c r="K2600" s="3" t="s">
        <v>2371</v>
      </c>
      <c r="L2600" s="31">
        <v>46276.705118252314</v>
      </c>
      <c r="M2600" s="20">
        <v>12</v>
      </c>
      <c r="N2600" s="1">
        <v>15</v>
      </c>
    </row>
    <row r="2601" spans="1:14" x14ac:dyDescent="0.25">
      <c r="A2601" t="str">
        <f t="shared" si="82"/>
        <v>U149840U149840</v>
      </c>
      <c r="B2601" t="str">
        <f t="shared" si="83"/>
        <v>U149840GC574EVE-M</v>
      </c>
      <c r="C2601" s="27" t="s">
        <v>35</v>
      </c>
      <c r="D2601" s="27" t="s">
        <v>665</v>
      </c>
      <c r="E2601" s="1" t="s">
        <v>436</v>
      </c>
      <c r="F2601" s="1" t="s">
        <v>443</v>
      </c>
      <c r="G2601" s="1" t="s">
        <v>444</v>
      </c>
      <c r="H2601" s="1">
        <v>378</v>
      </c>
      <c r="I2601" s="3">
        <v>46276</v>
      </c>
      <c r="J2601" s="3">
        <v>46288</v>
      </c>
      <c r="K2601" s="3" t="s">
        <v>2371</v>
      </c>
      <c r="L2601" s="31">
        <v>46276.708882951389</v>
      </c>
      <c r="M2601" s="20">
        <v>12</v>
      </c>
      <c r="N2601" s="1">
        <v>27</v>
      </c>
    </row>
    <row r="2602" spans="1:14" x14ac:dyDescent="0.25">
      <c r="A2602" t="str">
        <f t="shared" si="82"/>
        <v>U149840U149840</v>
      </c>
      <c r="B2602" t="str">
        <f t="shared" si="83"/>
        <v>U149840GC574EVE-M</v>
      </c>
      <c r="C2602" s="1" t="s">
        <v>35</v>
      </c>
      <c r="D2602" s="1" t="s">
        <v>665</v>
      </c>
      <c r="E2602" s="1" t="s">
        <v>436</v>
      </c>
      <c r="F2602" s="1" t="s">
        <v>443</v>
      </c>
      <c r="G2602" s="1" t="s">
        <v>444</v>
      </c>
      <c r="H2602" s="1">
        <v>378</v>
      </c>
      <c r="I2602" s="3">
        <v>46276</v>
      </c>
      <c r="J2602" s="3">
        <v>46288</v>
      </c>
      <c r="K2602" s="3" t="s">
        <v>2371</v>
      </c>
      <c r="L2602" s="31">
        <v>46276.716611770833</v>
      </c>
      <c r="M2602" s="20">
        <v>12</v>
      </c>
      <c r="N2602" s="1">
        <v>6</v>
      </c>
    </row>
    <row r="2603" spans="1:14" x14ac:dyDescent="0.25">
      <c r="A2603" t="str">
        <f t="shared" si="82"/>
        <v>U149840U149840</v>
      </c>
      <c r="B2603" t="str">
        <f t="shared" si="83"/>
        <v>U149840GC574EVE-M</v>
      </c>
      <c r="C2603" s="1" t="s">
        <v>35</v>
      </c>
      <c r="D2603" s="1" t="s">
        <v>665</v>
      </c>
      <c r="E2603" s="1" t="s">
        <v>436</v>
      </c>
      <c r="F2603" s="1" t="s">
        <v>443</v>
      </c>
      <c r="G2603" s="1" t="s">
        <v>444</v>
      </c>
      <c r="H2603" s="1">
        <v>378</v>
      </c>
      <c r="I2603" s="3">
        <v>46276</v>
      </c>
      <c r="J2603" s="3">
        <v>46288</v>
      </c>
      <c r="K2603" s="3" t="s">
        <v>2371</v>
      </c>
      <c r="L2603" s="31">
        <v>46276.716762465279</v>
      </c>
      <c r="M2603" s="20">
        <v>12</v>
      </c>
      <c r="N2603" s="1">
        <v>22</v>
      </c>
    </row>
    <row r="2604" spans="1:14" x14ac:dyDescent="0.25">
      <c r="A2604" t="str">
        <f t="shared" si="82"/>
        <v>U149840U149840</v>
      </c>
      <c r="B2604" t="str">
        <f t="shared" si="83"/>
        <v>U149840GC574EVE-M</v>
      </c>
      <c r="C2604" s="27" t="s">
        <v>35</v>
      </c>
      <c r="D2604" s="27" t="s">
        <v>665</v>
      </c>
      <c r="E2604" s="1" t="s">
        <v>436</v>
      </c>
      <c r="F2604" s="1" t="s">
        <v>443</v>
      </c>
      <c r="G2604" s="1" t="s">
        <v>444</v>
      </c>
      <c r="H2604" s="1">
        <v>378</v>
      </c>
      <c r="I2604" s="3">
        <v>46276</v>
      </c>
      <c r="J2604" s="3">
        <v>46288</v>
      </c>
      <c r="K2604" s="3" t="s">
        <v>2371</v>
      </c>
      <c r="L2604" s="31">
        <v>46276.718805937497</v>
      </c>
      <c r="M2604" s="20">
        <v>12</v>
      </c>
      <c r="N2604" s="1">
        <v>28</v>
      </c>
    </row>
    <row r="2605" spans="1:14" x14ac:dyDescent="0.25">
      <c r="A2605" t="str">
        <f t="shared" si="82"/>
        <v>U149840U149840</v>
      </c>
      <c r="B2605" t="str">
        <f t="shared" si="83"/>
        <v>U149840GC574EVE-M</v>
      </c>
      <c r="C2605" s="1" t="s">
        <v>35</v>
      </c>
      <c r="D2605" s="1" t="s">
        <v>665</v>
      </c>
      <c r="E2605" s="1" t="s">
        <v>436</v>
      </c>
      <c r="F2605" s="1" t="s">
        <v>443</v>
      </c>
      <c r="G2605" s="1" t="s">
        <v>444</v>
      </c>
      <c r="H2605" s="1">
        <v>378</v>
      </c>
      <c r="I2605" s="3">
        <v>46276</v>
      </c>
      <c r="J2605" s="3">
        <v>46288</v>
      </c>
      <c r="K2605" s="3" t="s">
        <v>2371</v>
      </c>
      <c r="L2605" s="31">
        <v>46276.728889664351</v>
      </c>
      <c r="M2605" s="20">
        <v>12</v>
      </c>
      <c r="N2605" s="1">
        <v>17</v>
      </c>
    </row>
    <row r="2606" spans="1:14" x14ac:dyDescent="0.25">
      <c r="A2606" t="str">
        <f t="shared" si="82"/>
        <v>U149840U149840</v>
      </c>
      <c r="B2606" t="str">
        <f t="shared" si="83"/>
        <v>U149840GC574EVE-M</v>
      </c>
      <c r="C2606" s="1" t="s">
        <v>35</v>
      </c>
      <c r="D2606" s="1" t="s">
        <v>665</v>
      </c>
      <c r="E2606" s="1" t="s">
        <v>436</v>
      </c>
      <c r="F2606" s="1" t="s">
        <v>443</v>
      </c>
      <c r="G2606" s="1" t="s">
        <v>444</v>
      </c>
      <c r="H2606" s="1">
        <v>378</v>
      </c>
      <c r="I2606" s="3">
        <v>46276</v>
      </c>
      <c r="J2606" s="3">
        <v>46288</v>
      </c>
      <c r="K2606" s="3" t="s">
        <v>2371</v>
      </c>
      <c r="L2606" s="31">
        <v>46276.729066435182</v>
      </c>
      <c r="M2606" s="20">
        <v>12</v>
      </c>
      <c r="N2606" s="1">
        <v>19</v>
      </c>
    </row>
    <row r="2607" spans="1:14" x14ac:dyDescent="0.25">
      <c r="A2607" t="str">
        <f t="shared" si="82"/>
        <v>U149840U149840</v>
      </c>
      <c r="B2607" t="str">
        <f t="shared" si="83"/>
        <v>U149840GC574EVE-M</v>
      </c>
      <c r="C2607" s="1" t="s">
        <v>35</v>
      </c>
      <c r="D2607" s="1" t="s">
        <v>665</v>
      </c>
      <c r="E2607" s="1" t="s">
        <v>436</v>
      </c>
      <c r="F2607" s="1" t="s">
        <v>443</v>
      </c>
      <c r="G2607" s="1" t="s">
        <v>444</v>
      </c>
      <c r="H2607" s="1">
        <v>378</v>
      </c>
      <c r="I2607" s="3">
        <v>46276</v>
      </c>
      <c r="J2607" s="3">
        <v>46288</v>
      </c>
      <c r="K2607" s="3" t="s">
        <v>2371</v>
      </c>
      <c r="L2607" s="31">
        <v>46276.729224999995</v>
      </c>
      <c r="M2607" s="20">
        <v>12</v>
      </c>
      <c r="N2607" s="1">
        <v>10</v>
      </c>
    </row>
    <row r="2608" spans="1:14" x14ac:dyDescent="0.25">
      <c r="A2608" t="str">
        <f t="shared" si="82"/>
        <v>U149840U149840</v>
      </c>
      <c r="B2608" t="str">
        <f t="shared" si="83"/>
        <v>U149840GC574EVE-M</v>
      </c>
      <c r="C2608" s="1" t="s">
        <v>35</v>
      </c>
      <c r="D2608" s="1" t="s">
        <v>665</v>
      </c>
      <c r="E2608" s="1" t="s">
        <v>436</v>
      </c>
      <c r="F2608" s="1" t="s">
        <v>443</v>
      </c>
      <c r="G2608" s="1" t="s">
        <v>444</v>
      </c>
      <c r="H2608" s="1">
        <v>378</v>
      </c>
      <c r="I2608" s="3">
        <v>46276</v>
      </c>
      <c r="J2608" s="3">
        <v>46288</v>
      </c>
      <c r="K2608" s="3" t="s">
        <v>2371</v>
      </c>
      <c r="L2608" s="31">
        <v>46276.730133796293</v>
      </c>
      <c r="M2608" s="20">
        <v>12</v>
      </c>
      <c r="N2608" s="1">
        <v>23</v>
      </c>
    </row>
    <row r="2609" spans="1:14" x14ac:dyDescent="0.25">
      <c r="A2609" t="str">
        <f t="shared" si="82"/>
        <v>U150104U150104</v>
      </c>
      <c r="B2609" t="str">
        <f t="shared" si="83"/>
        <v>U150104U204L5YB-D</v>
      </c>
      <c r="C2609" s="27" t="s">
        <v>660</v>
      </c>
      <c r="D2609" s="27" t="s">
        <v>661</v>
      </c>
      <c r="E2609" s="1" t="s">
        <v>436</v>
      </c>
      <c r="F2609" s="1" t="s">
        <v>443</v>
      </c>
      <c r="G2609" s="1" t="s">
        <v>444</v>
      </c>
      <c r="H2609" s="1">
        <v>2646</v>
      </c>
      <c r="I2609" s="3">
        <v>46276</v>
      </c>
      <c r="L2609" s="31">
        <v>46276.631828506943</v>
      </c>
      <c r="M2609" s="20">
        <v>12</v>
      </c>
      <c r="N2609" s="1">
        <v>152</v>
      </c>
    </row>
    <row r="2610" spans="1:14" x14ac:dyDescent="0.25">
      <c r="A2610" t="str">
        <f t="shared" si="82"/>
        <v>U150104U150104</v>
      </c>
      <c r="B2610" t="str">
        <f t="shared" si="83"/>
        <v>U150104U204L5YB-D</v>
      </c>
      <c r="C2610" s="27" t="s">
        <v>660</v>
      </c>
      <c r="D2610" s="27" t="s">
        <v>661</v>
      </c>
      <c r="E2610" s="1" t="s">
        <v>436</v>
      </c>
      <c r="F2610" s="1" t="s">
        <v>443</v>
      </c>
      <c r="G2610" s="1" t="s">
        <v>444</v>
      </c>
      <c r="H2610" s="1">
        <v>2646</v>
      </c>
      <c r="I2610" s="3">
        <v>46276</v>
      </c>
      <c r="L2610" s="31">
        <v>46276.632485381946</v>
      </c>
      <c r="M2610" s="20">
        <v>12</v>
      </c>
      <c r="N2610" s="1">
        <v>181</v>
      </c>
    </row>
    <row r="2611" spans="1:14" x14ac:dyDescent="0.25">
      <c r="A2611" t="str">
        <f t="shared" si="82"/>
        <v>U150104U150104</v>
      </c>
      <c r="B2611" t="str">
        <f t="shared" si="83"/>
        <v>U150104U204L5YB-D</v>
      </c>
      <c r="C2611" s="27" t="s">
        <v>660</v>
      </c>
      <c r="D2611" s="27" t="s">
        <v>661</v>
      </c>
      <c r="E2611" s="1" t="s">
        <v>436</v>
      </c>
      <c r="F2611" s="1" t="s">
        <v>443</v>
      </c>
      <c r="G2611" s="1" t="s">
        <v>444</v>
      </c>
      <c r="H2611" s="1">
        <v>2646</v>
      </c>
      <c r="I2611" s="3">
        <v>46276</v>
      </c>
      <c r="L2611" s="31">
        <v>46276.634007986111</v>
      </c>
      <c r="M2611" s="20">
        <v>12</v>
      </c>
      <c r="N2611" s="1">
        <v>150</v>
      </c>
    </row>
    <row r="2612" spans="1:14" x14ac:dyDescent="0.25">
      <c r="A2612" t="str">
        <f t="shared" si="82"/>
        <v>U150104U150104</v>
      </c>
      <c r="B2612" t="str">
        <f t="shared" si="83"/>
        <v>U150104U204L5YB-D</v>
      </c>
      <c r="C2612" s="27" t="s">
        <v>660</v>
      </c>
      <c r="D2612" s="27" t="s">
        <v>661</v>
      </c>
      <c r="E2612" s="1" t="s">
        <v>436</v>
      </c>
      <c r="F2612" s="1" t="s">
        <v>443</v>
      </c>
      <c r="G2612" s="1" t="s">
        <v>444</v>
      </c>
      <c r="H2612" s="1">
        <v>2646</v>
      </c>
      <c r="I2612" s="3">
        <v>46276</v>
      </c>
      <c r="L2612" s="31">
        <v>46276.634199652777</v>
      </c>
      <c r="M2612" s="20">
        <v>12</v>
      </c>
      <c r="N2612" s="1">
        <v>164</v>
      </c>
    </row>
    <row r="2613" spans="1:14" x14ac:dyDescent="0.25">
      <c r="A2613" t="str">
        <f t="shared" si="82"/>
        <v>U150104U150104</v>
      </c>
      <c r="B2613" t="str">
        <f t="shared" si="83"/>
        <v>U150104U204L5YB-D</v>
      </c>
      <c r="C2613" s="27" t="s">
        <v>660</v>
      </c>
      <c r="D2613" s="27" t="s">
        <v>661</v>
      </c>
      <c r="E2613" s="1" t="s">
        <v>436</v>
      </c>
      <c r="F2613" s="1" t="s">
        <v>443</v>
      </c>
      <c r="G2613" s="1" t="s">
        <v>444</v>
      </c>
      <c r="H2613" s="1">
        <v>2646</v>
      </c>
      <c r="I2613" s="3">
        <v>46276</v>
      </c>
      <c r="L2613" s="31">
        <v>46276.660200613427</v>
      </c>
      <c r="M2613" s="20">
        <v>12</v>
      </c>
      <c r="N2613" s="1">
        <v>153</v>
      </c>
    </row>
    <row r="2614" spans="1:14" x14ac:dyDescent="0.25">
      <c r="A2614" t="str">
        <f t="shared" si="82"/>
        <v>U150104U150104</v>
      </c>
      <c r="B2614" t="str">
        <f t="shared" si="83"/>
        <v>U150104U204L5YB-D</v>
      </c>
      <c r="C2614" s="27" t="s">
        <v>660</v>
      </c>
      <c r="D2614" s="27" t="s">
        <v>661</v>
      </c>
      <c r="E2614" s="1" t="s">
        <v>436</v>
      </c>
      <c r="F2614" s="1" t="s">
        <v>443</v>
      </c>
      <c r="G2614" s="1" t="s">
        <v>444</v>
      </c>
      <c r="H2614" s="1">
        <v>2646</v>
      </c>
      <c r="I2614" s="3">
        <v>46276</v>
      </c>
      <c r="L2614" s="31">
        <v>46276.660403437498</v>
      </c>
      <c r="M2614" s="20">
        <v>12</v>
      </c>
      <c r="N2614" s="1">
        <v>172</v>
      </c>
    </row>
    <row r="2615" spans="1:14" x14ac:dyDescent="0.25">
      <c r="A2615" t="str">
        <f t="shared" si="82"/>
        <v>U150104U150104</v>
      </c>
      <c r="B2615" t="str">
        <f t="shared" si="83"/>
        <v>U150104U204L5YB-D</v>
      </c>
      <c r="C2615" s="27" t="s">
        <v>660</v>
      </c>
      <c r="D2615" s="27" t="s">
        <v>661</v>
      </c>
      <c r="E2615" s="1" t="s">
        <v>436</v>
      </c>
      <c r="F2615" s="1" t="s">
        <v>443</v>
      </c>
      <c r="G2615" s="1" t="s">
        <v>444</v>
      </c>
      <c r="H2615" s="1">
        <v>2646</v>
      </c>
      <c r="I2615" s="3">
        <v>46276</v>
      </c>
      <c r="L2615" s="31">
        <v>46276.662755439815</v>
      </c>
      <c r="M2615" s="20">
        <v>12</v>
      </c>
      <c r="N2615" s="1">
        <v>151</v>
      </c>
    </row>
    <row r="2616" spans="1:14" x14ac:dyDescent="0.25">
      <c r="A2616" t="str">
        <f t="shared" si="82"/>
        <v>U150104U150104</v>
      </c>
      <c r="B2616" t="str">
        <f t="shared" si="83"/>
        <v>U150104U204L5YB-D</v>
      </c>
      <c r="C2616" s="27" t="s">
        <v>660</v>
      </c>
      <c r="D2616" s="27" t="s">
        <v>661</v>
      </c>
      <c r="E2616" s="1" t="s">
        <v>436</v>
      </c>
      <c r="F2616" s="1" t="s">
        <v>443</v>
      </c>
      <c r="G2616" s="1" t="s">
        <v>444</v>
      </c>
      <c r="H2616" s="1">
        <v>2646</v>
      </c>
      <c r="I2616" s="3">
        <v>46276</v>
      </c>
      <c r="L2616" s="31">
        <v>46276.663119178236</v>
      </c>
      <c r="M2616" s="20">
        <v>12</v>
      </c>
      <c r="N2616" s="1">
        <v>183</v>
      </c>
    </row>
    <row r="2617" spans="1:14" x14ac:dyDescent="0.25">
      <c r="A2617" t="str">
        <f t="shared" si="82"/>
        <v>U150104U150104</v>
      </c>
      <c r="B2617" t="str">
        <f t="shared" si="83"/>
        <v>U150104U204L5YB-D</v>
      </c>
      <c r="C2617" s="27" t="s">
        <v>660</v>
      </c>
      <c r="D2617" s="27" t="s">
        <v>661</v>
      </c>
      <c r="E2617" s="1" t="s">
        <v>436</v>
      </c>
      <c r="F2617" s="1" t="s">
        <v>443</v>
      </c>
      <c r="G2617" s="1" t="s">
        <v>444</v>
      </c>
      <c r="H2617" s="1">
        <v>2646</v>
      </c>
      <c r="I2617" s="3">
        <v>46276</v>
      </c>
      <c r="L2617" s="31">
        <v>46276.675388391202</v>
      </c>
      <c r="M2617" s="20">
        <v>12</v>
      </c>
      <c r="N2617" s="1">
        <v>182</v>
      </c>
    </row>
    <row r="2618" spans="1:14" x14ac:dyDescent="0.25">
      <c r="A2618" t="str">
        <f t="shared" si="82"/>
        <v>U150104U150104</v>
      </c>
      <c r="B2618" t="str">
        <f t="shared" si="83"/>
        <v>U150104U204L5YB-D</v>
      </c>
      <c r="C2618" s="27" t="s">
        <v>660</v>
      </c>
      <c r="D2618" s="27" t="s">
        <v>661</v>
      </c>
      <c r="E2618" s="1" t="s">
        <v>436</v>
      </c>
      <c r="F2618" s="1" t="s">
        <v>443</v>
      </c>
      <c r="G2618" s="1" t="s">
        <v>444</v>
      </c>
      <c r="H2618" s="1">
        <v>2646</v>
      </c>
      <c r="I2618" s="3">
        <v>46276</v>
      </c>
      <c r="L2618" s="31">
        <v>46276.6894565162</v>
      </c>
      <c r="M2618" s="20">
        <v>12</v>
      </c>
      <c r="N2618" s="1">
        <v>166</v>
      </c>
    </row>
    <row r="2619" spans="1:14" x14ac:dyDescent="0.25">
      <c r="A2619" t="str">
        <f t="shared" si="82"/>
        <v>U150104U150104</v>
      </c>
      <c r="B2619" t="str">
        <f t="shared" si="83"/>
        <v>U150104U204L5YB-D</v>
      </c>
      <c r="C2619" s="27" t="s">
        <v>660</v>
      </c>
      <c r="D2619" s="27" t="s">
        <v>661</v>
      </c>
      <c r="E2619" s="1" t="s">
        <v>436</v>
      </c>
      <c r="F2619" s="1" t="s">
        <v>443</v>
      </c>
      <c r="G2619" s="1" t="s">
        <v>444</v>
      </c>
      <c r="H2619" s="1">
        <v>2646</v>
      </c>
      <c r="I2619" s="3">
        <v>46276</v>
      </c>
      <c r="L2619" s="31">
        <v>46276.68966481481</v>
      </c>
      <c r="M2619" s="20">
        <v>12</v>
      </c>
      <c r="N2619" s="1">
        <v>167</v>
      </c>
    </row>
    <row r="2620" spans="1:14" x14ac:dyDescent="0.25">
      <c r="A2620" t="str">
        <f t="shared" si="82"/>
        <v>U150104U150104</v>
      </c>
      <c r="B2620" t="str">
        <f t="shared" si="83"/>
        <v>U150104U204L5YB-D</v>
      </c>
      <c r="C2620" s="27" t="s">
        <v>660</v>
      </c>
      <c r="D2620" s="27" t="s">
        <v>661</v>
      </c>
      <c r="E2620" s="1" t="s">
        <v>436</v>
      </c>
      <c r="F2620" s="1" t="s">
        <v>443</v>
      </c>
      <c r="G2620" s="1" t="s">
        <v>444</v>
      </c>
      <c r="H2620" s="1">
        <v>2646</v>
      </c>
      <c r="I2620" s="3">
        <v>46276</v>
      </c>
      <c r="L2620" s="31">
        <v>46276.68984579861</v>
      </c>
      <c r="M2620" s="20">
        <v>12</v>
      </c>
      <c r="N2620" s="1">
        <v>190</v>
      </c>
    </row>
    <row r="2621" spans="1:14" x14ac:dyDescent="0.25">
      <c r="A2621" t="str">
        <f t="shared" si="82"/>
        <v>U150104U150104</v>
      </c>
      <c r="B2621" t="str">
        <f t="shared" si="83"/>
        <v>U150104U204L5YB-D</v>
      </c>
      <c r="C2621" s="1" t="s">
        <v>660</v>
      </c>
      <c r="D2621" s="1" t="s">
        <v>661</v>
      </c>
      <c r="E2621" s="1" t="s">
        <v>436</v>
      </c>
      <c r="F2621" s="1" t="s">
        <v>443</v>
      </c>
      <c r="G2621" s="1" t="s">
        <v>444</v>
      </c>
      <c r="H2621" s="1">
        <v>2646</v>
      </c>
      <c r="I2621" s="3">
        <v>46276</v>
      </c>
      <c r="L2621" s="31">
        <v>46276.692686724535</v>
      </c>
      <c r="M2621" s="20">
        <v>12</v>
      </c>
      <c r="N2621" s="1">
        <v>189</v>
      </c>
    </row>
    <row r="2622" spans="1:14" x14ac:dyDescent="0.25">
      <c r="A2622" t="str">
        <f t="shared" si="82"/>
        <v>U150104U150104</v>
      </c>
      <c r="B2622" t="str">
        <f t="shared" si="83"/>
        <v>U150104U204L5YB-D</v>
      </c>
      <c r="C2622" s="27" t="s">
        <v>660</v>
      </c>
      <c r="D2622" s="27" t="s">
        <v>661</v>
      </c>
      <c r="E2622" s="1" t="s">
        <v>436</v>
      </c>
      <c r="F2622" s="1" t="s">
        <v>443</v>
      </c>
      <c r="G2622" s="1" t="s">
        <v>444</v>
      </c>
      <c r="H2622" s="1">
        <v>2646</v>
      </c>
      <c r="I2622" s="3">
        <v>46276</v>
      </c>
      <c r="L2622" s="31">
        <v>46276.708703506942</v>
      </c>
      <c r="M2622" s="20">
        <v>12</v>
      </c>
      <c r="N2622" s="1">
        <v>168</v>
      </c>
    </row>
    <row r="2623" spans="1:14" x14ac:dyDescent="0.25">
      <c r="A2623" t="str">
        <f t="shared" si="82"/>
        <v>U150104U150104</v>
      </c>
      <c r="B2623" t="str">
        <f t="shared" si="83"/>
        <v>U150104U204L5YB-D</v>
      </c>
      <c r="C2623" s="27" t="s">
        <v>660</v>
      </c>
      <c r="D2623" s="27" t="s">
        <v>661</v>
      </c>
      <c r="E2623" s="1" t="s">
        <v>436</v>
      </c>
      <c r="F2623" s="1" t="s">
        <v>443</v>
      </c>
      <c r="G2623" s="1" t="s">
        <v>444</v>
      </c>
      <c r="H2623" s="1">
        <v>2646</v>
      </c>
      <c r="I2623" s="3">
        <v>46276</v>
      </c>
      <c r="L2623" s="31">
        <v>46276.712275266204</v>
      </c>
      <c r="M2623" s="20">
        <v>12</v>
      </c>
      <c r="N2623" s="1">
        <v>192</v>
      </c>
    </row>
    <row r="2624" spans="1:14" x14ac:dyDescent="0.25">
      <c r="A2624" t="str">
        <f t="shared" si="82"/>
        <v>U150104U150104</v>
      </c>
      <c r="B2624" t="str">
        <f t="shared" si="83"/>
        <v>U150104U204L5YB-D</v>
      </c>
      <c r="C2624" s="27" t="s">
        <v>660</v>
      </c>
      <c r="D2624" s="27" t="s">
        <v>661</v>
      </c>
      <c r="E2624" s="1" t="s">
        <v>436</v>
      </c>
      <c r="F2624" s="1" t="s">
        <v>443</v>
      </c>
      <c r="G2624" s="1" t="s">
        <v>444</v>
      </c>
      <c r="H2624" s="1">
        <v>2646</v>
      </c>
      <c r="I2624" s="3">
        <v>46276</v>
      </c>
      <c r="L2624" s="31">
        <v>46276.712495023145</v>
      </c>
      <c r="M2624" s="20">
        <v>12</v>
      </c>
      <c r="N2624" s="1">
        <v>191</v>
      </c>
    </row>
    <row r="2625" spans="1:14" x14ac:dyDescent="0.25">
      <c r="A2625" t="str">
        <f t="shared" si="82"/>
        <v>U150104U150104</v>
      </c>
      <c r="B2625" t="str">
        <f t="shared" si="83"/>
        <v>U150104U204L5YB-D</v>
      </c>
      <c r="C2625" s="1" t="s">
        <v>660</v>
      </c>
      <c r="D2625" s="1" t="s">
        <v>661</v>
      </c>
      <c r="E2625" s="1" t="s">
        <v>436</v>
      </c>
      <c r="F2625" s="1" t="s">
        <v>443</v>
      </c>
      <c r="G2625" s="1" t="s">
        <v>444</v>
      </c>
      <c r="H2625" s="1">
        <v>2646</v>
      </c>
      <c r="I2625" s="3">
        <v>46276</v>
      </c>
      <c r="L2625" s="31">
        <v>46276.720934988422</v>
      </c>
      <c r="M2625" s="20">
        <v>12</v>
      </c>
      <c r="N2625" s="1">
        <v>197</v>
      </c>
    </row>
    <row r="2626" spans="1:14" x14ac:dyDescent="0.25">
      <c r="A2626" t="str">
        <f t="shared" ref="A2626:A2689" si="84">+D2626&amp;D2626</f>
        <v>U152783U152783</v>
      </c>
      <c r="B2626" t="str">
        <f t="shared" ref="B2626:B2689" si="85">+D2626&amp;C2626</f>
        <v>U152783G6037LU-M</v>
      </c>
      <c r="C2626" s="1" t="s">
        <v>486</v>
      </c>
      <c r="D2626" s="1" t="s">
        <v>663</v>
      </c>
      <c r="E2626" s="1" t="s">
        <v>436</v>
      </c>
      <c r="F2626" s="1" t="s">
        <v>443</v>
      </c>
      <c r="G2626" s="1" t="s">
        <v>457</v>
      </c>
      <c r="H2626" s="1">
        <v>606</v>
      </c>
      <c r="I2626" s="3">
        <v>46276</v>
      </c>
      <c r="J2626" s="3">
        <v>46287</v>
      </c>
      <c r="K2626" s="3" t="s">
        <v>2374</v>
      </c>
      <c r="L2626" s="31">
        <v>46276.70113966435</v>
      </c>
      <c r="M2626" s="20">
        <v>12</v>
      </c>
      <c r="N2626" s="1">
        <v>1</v>
      </c>
    </row>
    <row r="2627" spans="1:14" x14ac:dyDescent="0.25">
      <c r="A2627" t="str">
        <f t="shared" si="84"/>
        <v>U152783U152783</v>
      </c>
      <c r="B2627" t="str">
        <f t="shared" si="85"/>
        <v>U152783G6037LU-W</v>
      </c>
      <c r="C2627" s="1" t="s">
        <v>664</v>
      </c>
      <c r="D2627" s="1" t="s">
        <v>663</v>
      </c>
      <c r="E2627" s="1" t="s">
        <v>436</v>
      </c>
      <c r="F2627" s="1" t="s">
        <v>443</v>
      </c>
      <c r="G2627" s="1" t="s">
        <v>457</v>
      </c>
      <c r="H2627" s="1">
        <v>180</v>
      </c>
      <c r="I2627" s="3">
        <v>46276</v>
      </c>
      <c r="J2627" s="3">
        <v>46289</v>
      </c>
      <c r="K2627" s="3" t="s">
        <v>2374</v>
      </c>
      <c r="L2627" s="31">
        <v>46276.70317789352</v>
      </c>
      <c r="M2627" s="20">
        <v>12</v>
      </c>
      <c r="N2627" s="1">
        <v>63</v>
      </c>
    </row>
    <row r="2628" spans="1:14" x14ac:dyDescent="0.25">
      <c r="A2628" t="str">
        <f t="shared" si="84"/>
        <v>U152783U152783</v>
      </c>
      <c r="B2628" t="str">
        <f t="shared" si="85"/>
        <v>U152783G6037LU-W</v>
      </c>
      <c r="C2628" s="1" t="s">
        <v>664</v>
      </c>
      <c r="D2628" s="1" t="s">
        <v>663</v>
      </c>
      <c r="E2628" s="1" t="s">
        <v>436</v>
      </c>
      <c r="F2628" s="1" t="s">
        <v>443</v>
      </c>
      <c r="G2628" s="1" t="s">
        <v>457</v>
      </c>
      <c r="H2628" s="1">
        <v>180</v>
      </c>
      <c r="I2628" s="3">
        <v>46276</v>
      </c>
      <c r="J2628" s="3">
        <v>46289</v>
      </c>
      <c r="K2628" s="3" t="s">
        <v>2374</v>
      </c>
      <c r="L2628" s="31">
        <v>46276.703394988421</v>
      </c>
      <c r="M2628" s="20">
        <v>12</v>
      </c>
      <c r="N2628" s="1">
        <v>64</v>
      </c>
    </row>
    <row r="2629" spans="1:14" x14ac:dyDescent="0.25">
      <c r="A2629" t="str">
        <f t="shared" si="84"/>
        <v>U152783U152783</v>
      </c>
      <c r="B2629" t="str">
        <f t="shared" si="85"/>
        <v>U152783G6037LU-W</v>
      </c>
      <c r="C2629" s="1" t="s">
        <v>664</v>
      </c>
      <c r="D2629" s="1" t="s">
        <v>663</v>
      </c>
      <c r="E2629" s="1" t="s">
        <v>436</v>
      </c>
      <c r="F2629" s="1" t="s">
        <v>443</v>
      </c>
      <c r="G2629" s="1" t="s">
        <v>457</v>
      </c>
      <c r="H2629" s="1">
        <v>180</v>
      </c>
      <c r="I2629" s="3">
        <v>46276</v>
      </c>
      <c r="J2629" s="3">
        <v>46289</v>
      </c>
      <c r="K2629" s="3" t="s">
        <v>2374</v>
      </c>
      <c r="L2629" s="31">
        <v>46276.703540277776</v>
      </c>
      <c r="M2629" s="20">
        <v>6</v>
      </c>
      <c r="N2629" s="1">
        <v>69</v>
      </c>
    </row>
    <row r="2630" spans="1:14" x14ac:dyDescent="0.25">
      <c r="A2630" t="str">
        <f t="shared" si="84"/>
        <v>U152783U152783</v>
      </c>
      <c r="B2630" t="str">
        <f t="shared" si="85"/>
        <v>U152783G6037LU-W</v>
      </c>
      <c r="C2630" s="1" t="s">
        <v>664</v>
      </c>
      <c r="D2630" s="1" t="s">
        <v>663</v>
      </c>
      <c r="E2630" s="1" t="s">
        <v>436</v>
      </c>
      <c r="F2630" s="1" t="s">
        <v>443</v>
      </c>
      <c r="G2630" s="1" t="s">
        <v>457</v>
      </c>
      <c r="H2630" s="1">
        <v>180</v>
      </c>
      <c r="I2630" s="3">
        <v>46276</v>
      </c>
      <c r="J2630" s="3">
        <v>46289</v>
      </c>
      <c r="K2630" s="3" t="s">
        <v>2374</v>
      </c>
      <c r="L2630" s="31">
        <v>46276.703747800922</v>
      </c>
      <c r="M2630" s="20">
        <v>6</v>
      </c>
      <c r="N2630" s="1">
        <v>68</v>
      </c>
    </row>
    <row r="2631" spans="1:14" x14ac:dyDescent="0.25">
      <c r="A2631" t="str">
        <f t="shared" si="84"/>
        <v>U152783U152783</v>
      </c>
      <c r="B2631" t="str">
        <f t="shared" si="85"/>
        <v>U152783G6037LU-W</v>
      </c>
      <c r="C2631" s="27" t="s">
        <v>664</v>
      </c>
      <c r="D2631" s="27" t="s">
        <v>663</v>
      </c>
      <c r="E2631" s="1" t="s">
        <v>436</v>
      </c>
      <c r="F2631" s="1" t="s">
        <v>443</v>
      </c>
      <c r="G2631" s="1" t="s">
        <v>457</v>
      </c>
      <c r="H2631" s="1">
        <v>180</v>
      </c>
      <c r="I2631" s="3">
        <v>46276</v>
      </c>
      <c r="J2631" s="3">
        <v>46289</v>
      </c>
      <c r="K2631" s="3" t="s">
        <v>2374</v>
      </c>
      <c r="L2631" s="31">
        <v>46276.712110682871</v>
      </c>
      <c r="M2631" s="20">
        <v>12</v>
      </c>
      <c r="N2631" s="1">
        <v>60</v>
      </c>
    </row>
    <row r="2632" spans="1:14" x14ac:dyDescent="0.25">
      <c r="A2632" t="str">
        <f t="shared" si="84"/>
        <v>U152783U152783</v>
      </c>
      <c r="B2632" t="str">
        <f t="shared" si="85"/>
        <v>U152783G6037LU-W</v>
      </c>
      <c r="C2632" s="1" t="s">
        <v>664</v>
      </c>
      <c r="D2632" s="1" t="s">
        <v>663</v>
      </c>
      <c r="E2632" s="1" t="s">
        <v>436</v>
      </c>
      <c r="F2632" s="1" t="s">
        <v>443</v>
      </c>
      <c r="G2632" s="1" t="s">
        <v>457</v>
      </c>
      <c r="H2632" s="1">
        <v>180</v>
      </c>
      <c r="I2632" s="3">
        <v>46276</v>
      </c>
      <c r="J2632" s="3">
        <v>46289</v>
      </c>
      <c r="K2632" s="3" t="s">
        <v>2374</v>
      </c>
      <c r="L2632" s="31">
        <v>46276.714491631945</v>
      </c>
      <c r="M2632" s="20">
        <v>12</v>
      </c>
      <c r="N2632" s="1">
        <v>56</v>
      </c>
    </row>
    <row r="2633" spans="1:14" x14ac:dyDescent="0.25">
      <c r="A2633" t="str">
        <f t="shared" si="84"/>
        <v>U152783U152783</v>
      </c>
      <c r="B2633" t="str">
        <f t="shared" si="85"/>
        <v>U152783G6037LU-M</v>
      </c>
      <c r="C2633" s="27" t="s">
        <v>486</v>
      </c>
      <c r="D2633" s="27" t="s">
        <v>663</v>
      </c>
      <c r="E2633" s="1" t="s">
        <v>436</v>
      </c>
      <c r="F2633" s="1" t="s">
        <v>443</v>
      </c>
      <c r="G2633" s="1" t="s">
        <v>457</v>
      </c>
      <c r="H2633" s="1">
        <v>606</v>
      </c>
      <c r="I2633" s="3">
        <v>46276</v>
      </c>
      <c r="J2633" s="3">
        <v>46287</v>
      </c>
      <c r="K2633" s="3" t="s">
        <v>2374</v>
      </c>
      <c r="L2633" s="31">
        <v>46276.719608449072</v>
      </c>
      <c r="M2633" s="20">
        <v>12</v>
      </c>
      <c r="N2633" s="1">
        <v>12</v>
      </c>
    </row>
    <row r="2634" spans="1:14" x14ac:dyDescent="0.25">
      <c r="A2634" t="str">
        <f t="shared" si="84"/>
        <v>U152783U152783</v>
      </c>
      <c r="B2634" t="str">
        <f t="shared" si="85"/>
        <v>U152783G6037LU-M</v>
      </c>
      <c r="C2634" s="1" t="s">
        <v>486</v>
      </c>
      <c r="D2634" s="1" t="s">
        <v>663</v>
      </c>
      <c r="E2634" s="1" t="s">
        <v>436</v>
      </c>
      <c r="F2634" s="1" t="s">
        <v>443</v>
      </c>
      <c r="G2634" s="1" t="s">
        <v>457</v>
      </c>
      <c r="H2634" s="1">
        <v>606</v>
      </c>
      <c r="I2634" s="3">
        <v>46276</v>
      </c>
      <c r="J2634" s="3">
        <v>46287</v>
      </c>
      <c r="K2634" s="3" t="s">
        <v>2374</v>
      </c>
      <c r="L2634" s="31">
        <v>46276.723514965277</v>
      </c>
      <c r="M2634" s="20">
        <v>12</v>
      </c>
      <c r="N2634" s="1">
        <v>2</v>
      </c>
    </row>
    <row r="2635" spans="1:14" x14ac:dyDescent="0.25">
      <c r="A2635" t="str">
        <f t="shared" si="84"/>
        <v>U152783U152783</v>
      </c>
      <c r="B2635" t="str">
        <f t="shared" si="85"/>
        <v>U152783G6037LU-W</v>
      </c>
      <c r="C2635" s="1" t="s">
        <v>664</v>
      </c>
      <c r="D2635" s="1" t="s">
        <v>663</v>
      </c>
      <c r="E2635" s="1" t="s">
        <v>436</v>
      </c>
      <c r="F2635" s="1" t="s">
        <v>443</v>
      </c>
      <c r="G2635" s="1" t="s">
        <v>457</v>
      </c>
      <c r="H2635" s="1">
        <v>180</v>
      </c>
      <c r="I2635" s="3">
        <v>46276</v>
      </c>
      <c r="J2635" s="3">
        <v>46289</v>
      </c>
      <c r="K2635" s="3" t="s">
        <v>2374</v>
      </c>
      <c r="L2635" s="31">
        <v>46276.723661226853</v>
      </c>
      <c r="M2635" s="20">
        <v>6</v>
      </c>
      <c r="N2635" s="1">
        <v>67</v>
      </c>
    </row>
    <row r="2636" spans="1:14" x14ac:dyDescent="0.25">
      <c r="A2636" t="str">
        <f t="shared" si="84"/>
        <v>U152783U152783</v>
      </c>
      <c r="B2636" t="str">
        <f t="shared" si="85"/>
        <v>U152783G6037LU-W</v>
      </c>
      <c r="C2636" s="27" t="s">
        <v>664</v>
      </c>
      <c r="D2636" s="27" t="s">
        <v>663</v>
      </c>
      <c r="E2636" s="1" t="s">
        <v>436</v>
      </c>
      <c r="F2636" s="1" t="s">
        <v>443</v>
      </c>
      <c r="G2636" s="1" t="s">
        <v>457</v>
      </c>
      <c r="H2636" s="1">
        <v>180</v>
      </c>
      <c r="I2636" s="3">
        <v>46276</v>
      </c>
      <c r="J2636" s="3">
        <v>46289</v>
      </c>
      <c r="K2636" s="3" t="s">
        <v>2374</v>
      </c>
      <c r="L2636" s="31">
        <v>46276.724041168978</v>
      </c>
      <c r="M2636" s="20">
        <v>12</v>
      </c>
      <c r="N2636" s="1">
        <v>57</v>
      </c>
    </row>
    <row r="2637" spans="1:14" x14ac:dyDescent="0.25">
      <c r="A2637" t="str">
        <f t="shared" si="84"/>
        <v>U152783U152783</v>
      </c>
      <c r="B2637" t="str">
        <f t="shared" si="85"/>
        <v>U152783G6037LU-M</v>
      </c>
      <c r="C2637" s="27" t="s">
        <v>486</v>
      </c>
      <c r="D2637" s="27" t="s">
        <v>663</v>
      </c>
      <c r="E2637" s="1" t="s">
        <v>436</v>
      </c>
      <c r="F2637" s="1" t="s">
        <v>443</v>
      </c>
      <c r="G2637" s="1" t="s">
        <v>457</v>
      </c>
      <c r="H2637" s="1">
        <v>606</v>
      </c>
      <c r="I2637" s="3">
        <v>46276</v>
      </c>
      <c r="J2637" s="3">
        <v>46287</v>
      </c>
      <c r="K2637" s="3" t="s">
        <v>2374</v>
      </c>
      <c r="L2637" s="31">
        <v>46276.724221331016</v>
      </c>
      <c r="M2637" s="20">
        <v>12</v>
      </c>
      <c r="N2637" s="1">
        <v>3</v>
      </c>
    </row>
    <row r="2638" spans="1:14" x14ac:dyDescent="0.25">
      <c r="A2638" t="str">
        <f t="shared" si="84"/>
        <v>U152783U152783</v>
      </c>
      <c r="B2638" t="str">
        <f t="shared" si="85"/>
        <v>U152783G6037LU-M</v>
      </c>
      <c r="C2638" s="27" t="s">
        <v>486</v>
      </c>
      <c r="D2638" s="27" t="s">
        <v>663</v>
      </c>
      <c r="E2638" s="1" t="s">
        <v>436</v>
      </c>
      <c r="F2638" s="1" t="s">
        <v>443</v>
      </c>
      <c r="G2638" s="1" t="s">
        <v>457</v>
      </c>
      <c r="H2638" s="1">
        <v>606</v>
      </c>
      <c r="I2638" s="3">
        <v>46276</v>
      </c>
      <c r="J2638" s="3">
        <v>46287</v>
      </c>
      <c r="K2638" s="3" t="s">
        <v>2374</v>
      </c>
      <c r="L2638" s="31">
        <v>46276.724581979164</v>
      </c>
      <c r="M2638" s="20">
        <v>12</v>
      </c>
      <c r="N2638" s="1">
        <v>13</v>
      </c>
    </row>
    <row r="2639" spans="1:14" x14ac:dyDescent="0.25">
      <c r="A2639" t="str">
        <f t="shared" si="84"/>
        <v>U152783U152783</v>
      </c>
      <c r="B2639" t="str">
        <f t="shared" si="85"/>
        <v>U152783G6037LU-W</v>
      </c>
      <c r="C2639" s="27" t="s">
        <v>664</v>
      </c>
      <c r="D2639" s="27" t="s">
        <v>663</v>
      </c>
      <c r="E2639" s="1" t="s">
        <v>436</v>
      </c>
      <c r="F2639" s="1" t="s">
        <v>443</v>
      </c>
      <c r="G2639" s="1" t="s">
        <v>457</v>
      </c>
      <c r="H2639" s="1">
        <v>180</v>
      </c>
      <c r="I2639" s="3">
        <v>46276</v>
      </c>
      <c r="J2639" s="3">
        <v>46289</v>
      </c>
      <c r="K2639" s="3" t="s">
        <v>2374</v>
      </c>
      <c r="L2639" s="31">
        <v>46276.724934756945</v>
      </c>
      <c r="M2639" s="20">
        <v>12</v>
      </c>
      <c r="N2639" s="1">
        <v>53</v>
      </c>
    </row>
    <row r="2640" spans="1:14" x14ac:dyDescent="0.25">
      <c r="A2640" t="str">
        <f t="shared" si="84"/>
        <v>U152789U152789</v>
      </c>
      <c r="B2640" t="str">
        <f t="shared" si="85"/>
        <v>U152789G6035EQ-W</v>
      </c>
      <c r="C2640" s="27" t="s">
        <v>652</v>
      </c>
      <c r="D2640" s="27" t="s">
        <v>653</v>
      </c>
      <c r="E2640" s="1" t="s">
        <v>436</v>
      </c>
      <c r="F2640" s="1" t="s">
        <v>443</v>
      </c>
      <c r="G2640" s="1" t="s">
        <v>457</v>
      </c>
      <c r="H2640" s="1">
        <v>630</v>
      </c>
      <c r="I2640" s="3">
        <v>46276</v>
      </c>
      <c r="J2640" s="3">
        <v>46283</v>
      </c>
      <c r="K2640" s="3" t="s">
        <v>2371</v>
      </c>
      <c r="L2640" s="31">
        <v>46276.40392650463</v>
      </c>
      <c r="M2640" s="20">
        <v>12</v>
      </c>
      <c r="N2640" s="1">
        <v>100</v>
      </c>
    </row>
    <row r="2641" spans="1:14" x14ac:dyDescent="0.25">
      <c r="A2641" t="str">
        <f t="shared" si="84"/>
        <v>U152789U152789</v>
      </c>
      <c r="B2641" t="str">
        <f t="shared" si="85"/>
        <v>U152789G6035EQ-W</v>
      </c>
      <c r="C2641" s="27" t="s">
        <v>652</v>
      </c>
      <c r="D2641" s="27" t="s">
        <v>653</v>
      </c>
      <c r="E2641" s="1" t="s">
        <v>436</v>
      </c>
      <c r="F2641" s="1" t="s">
        <v>443</v>
      </c>
      <c r="G2641" s="1" t="s">
        <v>457</v>
      </c>
      <c r="H2641" s="1">
        <v>630</v>
      </c>
      <c r="I2641" s="3">
        <v>46276</v>
      </c>
      <c r="J2641" s="3">
        <v>46283</v>
      </c>
      <c r="K2641" s="3" t="s">
        <v>2371</v>
      </c>
      <c r="L2641" s="31">
        <v>46276.404432523144</v>
      </c>
      <c r="M2641" s="20">
        <v>12</v>
      </c>
      <c r="N2641" s="1">
        <v>70</v>
      </c>
    </row>
    <row r="2642" spans="1:14" x14ac:dyDescent="0.25">
      <c r="A2642" t="str">
        <f t="shared" si="84"/>
        <v>U152789U152789</v>
      </c>
      <c r="B2642" t="str">
        <f t="shared" si="85"/>
        <v>U152789G6035EQ-W</v>
      </c>
      <c r="C2642" s="27" t="s">
        <v>652</v>
      </c>
      <c r="D2642" s="27" t="s">
        <v>653</v>
      </c>
      <c r="E2642" s="1" t="s">
        <v>436</v>
      </c>
      <c r="F2642" s="1" t="s">
        <v>443</v>
      </c>
      <c r="G2642" s="1" t="s">
        <v>457</v>
      </c>
      <c r="H2642" s="1">
        <v>630</v>
      </c>
      <c r="I2642" s="3">
        <v>46276</v>
      </c>
      <c r="J2642" s="3">
        <v>46283</v>
      </c>
      <c r="K2642" s="3" t="s">
        <v>2371</v>
      </c>
      <c r="L2642" s="31">
        <v>46276.408595173612</v>
      </c>
      <c r="M2642" s="20">
        <v>12</v>
      </c>
      <c r="N2642" s="1">
        <v>113</v>
      </c>
    </row>
    <row r="2643" spans="1:14" x14ac:dyDescent="0.25">
      <c r="A2643" t="str">
        <f t="shared" si="84"/>
        <v>U152789U152789</v>
      </c>
      <c r="B2643" t="str">
        <f t="shared" si="85"/>
        <v>U152789G6035EQ-W</v>
      </c>
      <c r="C2643" s="27" t="s">
        <v>652</v>
      </c>
      <c r="D2643" s="27" t="s">
        <v>653</v>
      </c>
      <c r="E2643" s="1" t="s">
        <v>436</v>
      </c>
      <c r="F2643" s="1" t="s">
        <v>443</v>
      </c>
      <c r="G2643" s="1" t="s">
        <v>457</v>
      </c>
      <c r="H2643" s="1">
        <v>630</v>
      </c>
      <c r="I2643" s="3">
        <v>46276</v>
      </c>
      <c r="J2643" s="3">
        <v>46283</v>
      </c>
      <c r="K2643" s="3" t="s">
        <v>2371</v>
      </c>
      <c r="L2643" s="31">
        <v>46276.421893900464</v>
      </c>
      <c r="M2643" s="20">
        <v>12</v>
      </c>
      <c r="N2643" s="1">
        <v>92</v>
      </c>
    </row>
    <row r="2644" spans="1:14" x14ac:dyDescent="0.25">
      <c r="A2644" t="str">
        <f t="shared" si="84"/>
        <v>U152789U152789</v>
      </c>
      <c r="B2644" t="str">
        <f t="shared" si="85"/>
        <v>U152789G6035EQ-W</v>
      </c>
      <c r="C2644" s="27" t="s">
        <v>652</v>
      </c>
      <c r="D2644" s="27" t="s">
        <v>653</v>
      </c>
      <c r="E2644" s="1" t="s">
        <v>436</v>
      </c>
      <c r="F2644" s="1" t="s">
        <v>443</v>
      </c>
      <c r="G2644" s="1" t="s">
        <v>457</v>
      </c>
      <c r="H2644" s="1">
        <v>630</v>
      </c>
      <c r="I2644" s="3">
        <v>46276</v>
      </c>
      <c r="J2644" s="3">
        <v>46283</v>
      </c>
      <c r="K2644" s="3" t="s">
        <v>2371</v>
      </c>
      <c r="L2644" s="31">
        <v>46276.437210381941</v>
      </c>
      <c r="M2644" s="20">
        <v>12</v>
      </c>
      <c r="N2644" s="1">
        <v>87</v>
      </c>
    </row>
    <row r="2645" spans="1:14" x14ac:dyDescent="0.25">
      <c r="A2645" t="str">
        <f t="shared" si="84"/>
        <v>U152789U152789</v>
      </c>
      <c r="B2645" t="str">
        <f t="shared" si="85"/>
        <v>U152789G6035EQ-W</v>
      </c>
      <c r="C2645" s="27" t="s">
        <v>652</v>
      </c>
      <c r="D2645" s="27" t="s">
        <v>653</v>
      </c>
      <c r="E2645" s="1" t="s">
        <v>436</v>
      </c>
      <c r="F2645" s="1" t="s">
        <v>443</v>
      </c>
      <c r="G2645" s="1" t="s">
        <v>457</v>
      </c>
      <c r="H2645" s="1">
        <v>630</v>
      </c>
      <c r="I2645" s="3">
        <v>46276</v>
      </c>
      <c r="J2645" s="3">
        <v>46283</v>
      </c>
      <c r="K2645" s="3" t="s">
        <v>2371</v>
      </c>
      <c r="L2645" s="31">
        <v>46276.442040312497</v>
      </c>
      <c r="M2645" s="20">
        <v>12</v>
      </c>
      <c r="N2645" s="1">
        <v>76</v>
      </c>
    </row>
    <row r="2646" spans="1:14" x14ac:dyDescent="0.25">
      <c r="A2646" t="str">
        <f t="shared" si="84"/>
        <v>U152789U152789</v>
      </c>
      <c r="B2646" t="str">
        <f t="shared" si="85"/>
        <v>U152789G6035EQ-W</v>
      </c>
      <c r="C2646" s="27" t="s">
        <v>652</v>
      </c>
      <c r="D2646" s="27" t="s">
        <v>653</v>
      </c>
      <c r="E2646" s="1" t="s">
        <v>436</v>
      </c>
      <c r="F2646" s="1" t="s">
        <v>443</v>
      </c>
      <c r="G2646" s="1" t="s">
        <v>457</v>
      </c>
      <c r="H2646" s="1">
        <v>630</v>
      </c>
      <c r="I2646" s="3">
        <v>46276</v>
      </c>
      <c r="J2646" s="3">
        <v>46283</v>
      </c>
      <c r="K2646" s="3" t="s">
        <v>2371</v>
      </c>
      <c r="L2646" s="31">
        <v>46276.446805057865</v>
      </c>
      <c r="M2646" s="20">
        <v>12</v>
      </c>
      <c r="N2646" s="1">
        <v>77</v>
      </c>
    </row>
    <row r="2647" spans="1:14" x14ac:dyDescent="0.25">
      <c r="A2647" t="str">
        <f t="shared" si="84"/>
        <v>U152789U152789</v>
      </c>
      <c r="B2647" t="str">
        <f t="shared" si="85"/>
        <v>U152789G6035EQ-W</v>
      </c>
      <c r="C2647" s="27" t="s">
        <v>652</v>
      </c>
      <c r="D2647" s="27" t="s">
        <v>653</v>
      </c>
      <c r="E2647" s="1" t="s">
        <v>436</v>
      </c>
      <c r="F2647" s="1" t="s">
        <v>443</v>
      </c>
      <c r="G2647" s="1" t="s">
        <v>457</v>
      </c>
      <c r="H2647" s="1">
        <v>630</v>
      </c>
      <c r="I2647" s="3">
        <v>46276</v>
      </c>
      <c r="J2647" s="3">
        <v>46283</v>
      </c>
      <c r="K2647" s="3" t="s">
        <v>2371</v>
      </c>
      <c r="L2647" s="31">
        <v>46276.447426620369</v>
      </c>
      <c r="M2647" s="20">
        <v>12</v>
      </c>
      <c r="N2647" s="1">
        <v>101</v>
      </c>
    </row>
    <row r="2648" spans="1:14" x14ac:dyDescent="0.25">
      <c r="A2648" t="str">
        <f t="shared" si="84"/>
        <v>U152789U152789</v>
      </c>
      <c r="B2648" t="str">
        <f t="shared" si="85"/>
        <v>U152789G6035EQ-W</v>
      </c>
      <c r="C2648" s="27" t="s">
        <v>652</v>
      </c>
      <c r="D2648" s="27" t="s">
        <v>653</v>
      </c>
      <c r="E2648" s="1" t="s">
        <v>436</v>
      </c>
      <c r="F2648" s="1" t="s">
        <v>443</v>
      </c>
      <c r="G2648" s="1" t="s">
        <v>457</v>
      </c>
      <c r="H2648" s="1">
        <v>630</v>
      </c>
      <c r="I2648" s="3">
        <v>46276</v>
      </c>
      <c r="J2648" s="3">
        <v>46283</v>
      </c>
      <c r="K2648" s="3" t="s">
        <v>2371</v>
      </c>
      <c r="L2648" s="31">
        <v>46276.447823460643</v>
      </c>
      <c r="M2648" s="20">
        <v>12</v>
      </c>
      <c r="N2648" s="1">
        <v>108</v>
      </c>
    </row>
    <row r="2649" spans="1:14" x14ac:dyDescent="0.25">
      <c r="A2649" t="str">
        <f t="shared" si="84"/>
        <v>U152789U152789</v>
      </c>
      <c r="B2649" t="str">
        <f t="shared" si="85"/>
        <v>U152789G6035EQ-W</v>
      </c>
      <c r="C2649" s="27" t="s">
        <v>652</v>
      </c>
      <c r="D2649" s="27" t="s">
        <v>653</v>
      </c>
      <c r="E2649" s="1" t="s">
        <v>436</v>
      </c>
      <c r="F2649" s="1" t="s">
        <v>443</v>
      </c>
      <c r="G2649" s="1" t="s">
        <v>457</v>
      </c>
      <c r="H2649" s="1">
        <v>630</v>
      </c>
      <c r="I2649" s="3">
        <v>46276</v>
      </c>
      <c r="J2649" s="3">
        <v>46283</v>
      </c>
      <c r="K2649" s="3" t="s">
        <v>2371</v>
      </c>
      <c r="L2649" s="31">
        <v>46276.454507291666</v>
      </c>
      <c r="M2649" s="20">
        <v>12</v>
      </c>
      <c r="N2649" s="1">
        <v>88</v>
      </c>
    </row>
    <row r="2650" spans="1:14" x14ac:dyDescent="0.25">
      <c r="A2650" t="str">
        <f t="shared" si="84"/>
        <v>U152789U152789</v>
      </c>
      <c r="B2650" t="str">
        <f t="shared" si="85"/>
        <v>U152789G6035EQ-W</v>
      </c>
      <c r="C2650" s="27" t="s">
        <v>652</v>
      </c>
      <c r="D2650" s="27" t="s">
        <v>653</v>
      </c>
      <c r="E2650" s="1" t="s">
        <v>436</v>
      </c>
      <c r="F2650" s="1" t="s">
        <v>443</v>
      </c>
      <c r="G2650" s="1" t="s">
        <v>457</v>
      </c>
      <c r="H2650" s="1">
        <v>630</v>
      </c>
      <c r="I2650" s="3">
        <v>46276</v>
      </c>
      <c r="J2650" s="3">
        <v>46283</v>
      </c>
      <c r="K2650" s="3" t="s">
        <v>2371</v>
      </c>
      <c r="L2650" s="31">
        <v>46276.454900231482</v>
      </c>
      <c r="M2650" s="20">
        <v>12</v>
      </c>
      <c r="N2650" s="1">
        <v>71</v>
      </c>
    </row>
    <row r="2651" spans="1:14" x14ac:dyDescent="0.25">
      <c r="A2651" t="str">
        <f t="shared" si="84"/>
        <v>U152789U152789</v>
      </c>
      <c r="B2651" t="str">
        <f t="shared" si="85"/>
        <v>U152789G6035EQ-W</v>
      </c>
      <c r="C2651" s="27" t="s">
        <v>652</v>
      </c>
      <c r="D2651" s="27" t="s">
        <v>653</v>
      </c>
      <c r="E2651" s="1" t="s">
        <v>436</v>
      </c>
      <c r="F2651" s="1" t="s">
        <v>443</v>
      </c>
      <c r="G2651" s="1" t="s">
        <v>457</v>
      </c>
      <c r="H2651" s="1">
        <v>630</v>
      </c>
      <c r="I2651" s="3">
        <v>46276</v>
      </c>
      <c r="J2651" s="3">
        <v>46283</v>
      </c>
      <c r="K2651" s="3" t="s">
        <v>2371</v>
      </c>
      <c r="L2651" s="31">
        <v>46276.466135381939</v>
      </c>
      <c r="M2651" s="20">
        <v>12</v>
      </c>
      <c r="N2651" s="1">
        <v>93</v>
      </c>
    </row>
    <row r="2652" spans="1:14" x14ac:dyDescent="0.25">
      <c r="A2652" t="str">
        <f t="shared" si="84"/>
        <v>U152789U152789</v>
      </c>
      <c r="B2652" t="str">
        <f t="shared" si="85"/>
        <v>U152789G6035EQ-W</v>
      </c>
      <c r="C2652" s="27" t="s">
        <v>652</v>
      </c>
      <c r="D2652" s="27" t="s">
        <v>653</v>
      </c>
      <c r="E2652" s="1" t="s">
        <v>436</v>
      </c>
      <c r="F2652" s="1" t="s">
        <v>443</v>
      </c>
      <c r="G2652" s="1" t="s">
        <v>457</v>
      </c>
      <c r="H2652" s="1">
        <v>630</v>
      </c>
      <c r="I2652" s="3">
        <v>46276</v>
      </c>
      <c r="J2652" s="3">
        <v>46283</v>
      </c>
      <c r="K2652" s="3" t="s">
        <v>2371</v>
      </c>
      <c r="L2652" s="31">
        <v>46276.466342094907</v>
      </c>
      <c r="M2652" s="20">
        <v>12</v>
      </c>
      <c r="N2652" s="1">
        <v>80</v>
      </c>
    </row>
    <row r="2653" spans="1:14" x14ac:dyDescent="0.25">
      <c r="A2653" t="str">
        <f t="shared" si="84"/>
        <v>U152789U152789</v>
      </c>
      <c r="B2653" t="str">
        <f t="shared" si="85"/>
        <v>U152789G6035EQ-W</v>
      </c>
      <c r="C2653" s="27" t="s">
        <v>652</v>
      </c>
      <c r="D2653" s="27" t="s">
        <v>653</v>
      </c>
      <c r="E2653" s="1" t="s">
        <v>436</v>
      </c>
      <c r="F2653" s="1" t="s">
        <v>443</v>
      </c>
      <c r="G2653" s="1" t="s">
        <v>457</v>
      </c>
      <c r="H2653" s="1">
        <v>630</v>
      </c>
      <c r="I2653" s="3">
        <v>46276</v>
      </c>
      <c r="J2653" s="3">
        <v>46283</v>
      </c>
      <c r="K2653" s="3" t="s">
        <v>2371</v>
      </c>
      <c r="L2653" s="31">
        <v>46276.466608912036</v>
      </c>
      <c r="M2653" s="20">
        <v>12</v>
      </c>
      <c r="N2653" s="1">
        <v>102</v>
      </c>
    </row>
    <row r="2654" spans="1:14" x14ac:dyDescent="0.25">
      <c r="A2654" t="str">
        <f t="shared" si="84"/>
        <v>U152789U152789</v>
      </c>
      <c r="B2654" t="str">
        <f t="shared" si="85"/>
        <v>U152789G6035EQ-W</v>
      </c>
      <c r="C2654" s="27" t="s">
        <v>652</v>
      </c>
      <c r="D2654" s="27" t="s">
        <v>653</v>
      </c>
      <c r="E2654" s="1" t="s">
        <v>436</v>
      </c>
      <c r="F2654" s="1" t="s">
        <v>443</v>
      </c>
      <c r="G2654" s="1" t="s">
        <v>457</v>
      </c>
      <c r="H2654" s="1">
        <v>630</v>
      </c>
      <c r="I2654" s="3">
        <v>46276</v>
      </c>
      <c r="J2654" s="3">
        <v>46283</v>
      </c>
      <c r="K2654" s="3" t="s">
        <v>2371</v>
      </c>
      <c r="L2654" s="31">
        <v>46276.56141790509</v>
      </c>
      <c r="M2654" s="20">
        <v>12</v>
      </c>
      <c r="N2654" s="1">
        <v>90</v>
      </c>
    </row>
    <row r="2655" spans="1:14" x14ac:dyDescent="0.25">
      <c r="A2655" t="str">
        <f t="shared" si="84"/>
        <v>U152789U152789</v>
      </c>
      <c r="B2655" t="str">
        <f t="shared" si="85"/>
        <v>U152789G6035EQ-W</v>
      </c>
      <c r="C2655" s="27" t="s">
        <v>652</v>
      </c>
      <c r="D2655" s="27" t="s">
        <v>653</v>
      </c>
      <c r="E2655" s="1" t="s">
        <v>436</v>
      </c>
      <c r="F2655" s="1" t="s">
        <v>443</v>
      </c>
      <c r="G2655" s="1" t="s">
        <v>457</v>
      </c>
      <c r="H2655" s="1">
        <v>630</v>
      </c>
      <c r="I2655" s="3">
        <v>46276</v>
      </c>
      <c r="J2655" s="3">
        <v>46283</v>
      </c>
      <c r="K2655" s="3" t="s">
        <v>2371</v>
      </c>
      <c r="L2655" s="31">
        <v>46276.563837118054</v>
      </c>
      <c r="M2655" s="20">
        <v>12</v>
      </c>
      <c r="N2655" s="1">
        <v>109</v>
      </c>
    </row>
    <row r="2656" spans="1:14" x14ac:dyDescent="0.25">
      <c r="A2656" t="str">
        <f t="shared" si="84"/>
        <v>U152789U152789</v>
      </c>
      <c r="B2656" t="str">
        <f t="shared" si="85"/>
        <v>U152789G6035EQ-W</v>
      </c>
      <c r="C2656" s="27" t="s">
        <v>652</v>
      </c>
      <c r="D2656" s="27" t="s">
        <v>653</v>
      </c>
      <c r="E2656" s="1" t="s">
        <v>436</v>
      </c>
      <c r="F2656" s="1" t="s">
        <v>443</v>
      </c>
      <c r="G2656" s="1" t="s">
        <v>457</v>
      </c>
      <c r="H2656" s="1">
        <v>630</v>
      </c>
      <c r="I2656" s="3">
        <v>46276</v>
      </c>
      <c r="J2656" s="3">
        <v>46283</v>
      </c>
      <c r="K2656" s="3" t="s">
        <v>2371</v>
      </c>
      <c r="L2656" s="31">
        <v>46276.564259108796</v>
      </c>
      <c r="M2656" s="20">
        <v>12</v>
      </c>
      <c r="N2656" s="1">
        <v>103</v>
      </c>
    </row>
    <row r="2657" spans="1:14" x14ac:dyDescent="0.25">
      <c r="A2657" t="str">
        <f t="shared" si="84"/>
        <v>U152789U152789</v>
      </c>
      <c r="B2657" t="str">
        <f t="shared" si="85"/>
        <v>U152789G6035EQ-W</v>
      </c>
      <c r="C2657" s="27" t="s">
        <v>652</v>
      </c>
      <c r="D2657" s="27" t="s">
        <v>653</v>
      </c>
      <c r="E2657" s="1" t="s">
        <v>436</v>
      </c>
      <c r="F2657" s="1" t="s">
        <v>443</v>
      </c>
      <c r="G2657" s="1" t="s">
        <v>457</v>
      </c>
      <c r="H2657" s="1">
        <v>630</v>
      </c>
      <c r="I2657" s="3">
        <v>46276</v>
      </c>
      <c r="J2657" s="3">
        <v>46283</v>
      </c>
      <c r="K2657" s="3" t="s">
        <v>2371</v>
      </c>
      <c r="L2657" s="31">
        <v>46276.567935879626</v>
      </c>
      <c r="M2657" s="20">
        <v>12</v>
      </c>
      <c r="N2657" s="1">
        <v>78</v>
      </c>
    </row>
    <row r="2658" spans="1:14" x14ac:dyDescent="0.25">
      <c r="A2658" t="str">
        <f t="shared" si="84"/>
        <v>U152789U152789</v>
      </c>
      <c r="B2658" t="str">
        <f t="shared" si="85"/>
        <v>U152789G6035EQ-W</v>
      </c>
      <c r="C2658" s="27" t="s">
        <v>652</v>
      </c>
      <c r="D2658" s="27" t="s">
        <v>653</v>
      </c>
      <c r="E2658" s="1" t="s">
        <v>436</v>
      </c>
      <c r="F2658" s="1" t="s">
        <v>443</v>
      </c>
      <c r="G2658" s="1" t="s">
        <v>457</v>
      </c>
      <c r="H2658" s="1">
        <v>630</v>
      </c>
      <c r="I2658" s="3">
        <v>46276</v>
      </c>
      <c r="J2658" s="3">
        <v>46283</v>
      </c>
      <c r="K2658" s="3" t="s">
        <v>2371</v>
      </c>
      <c r="L2658" s="31">
        <v>46276.568160798612</v>
      </c>
      <c r="M2658" s="20">
        <v>12</v>
      </c>
      <c r="N2658" s="1">
        <v>104</v>
      </c>
    </row>
    <row r="2659" spans="1:14" x14ac:dyDescent="0.25">
      <c r="A2659" t="str">
        <f t="shared" si="84"/>
        <v>U152789U152789</v>
      </c>
      <c r="B2659" t="str">
        <f t="shared" si="85"/>
        <v>U152789G6035EQ-W</v>
      </c>
      <c r="C2659" s="27" t="s">
        <v>652</v>
      </c>
      <c r="D2659" s="27" t="s">
        <v>653</v>
      </c>
      <c r="E2659" s="1" t="s">
        <v>436</v>
      </c>
      <c r="F2659" s="1" t="s">
        <v>443</v>
      </c>
      <c r="G2659" s="1" t="s">
        <v>457</v>
      </c>
      <c r="H2659" s="1">
        <v>630</v>
      </c>
      <c r="I2659" s="3">
        <v>46276</v>
      </c>
      <c r="J2659" s="3">
        <v>46283</v>
      </c>
      <c r="K2659" s="3" t="s">
        <v>2371</v>
      </c>
      <c r="L2659" s="31">
        <v>46276.569191400464</v>
      </c>
      <c r="M2659" s="20">
        <v>12</v>
      </c>
      <c r="N2659" s="1">
        <v>82</v>
      </c>
    </row>
    <row r="2660" spans="1:14" x14ac:dyDescent="0.25">
      <c r="A2660" t="str">
        <f t="shared" si="84"/>
        <v>U152789U152789</v>
      </c>
      <c r="B2660" t="str">
        <f t="shared" si="85"/>
        <v>U152789G6035EQ-W</v>
      </c>
      <c r="C2660" s="27" t="s">
        <v>652</v>
      </c>
      <c r="D2660" s="27" t="s">
        <v>653</v>
      </c>
      <c r="E2660" s="1" t="s">
        <v>436</v>
      </c>
      <c r="F2660" s="1" t="s">
        <v>443</v>
      </c>
      <c r="G2660" s="1" t="s">
        <v>457</v>
      </c>
      <c r="H2660" s="1">
        <v>630</v>
      </c>
      <c r="I2660" s="3">
        <v>46276</v>
      </c>
      <c r="J2660" s="3">
        <v>46283</v>
      </c>
      <c r="K2660" s="3" t="s">
        <v>2371</v>
      </c>
      <c r="L2660" s="31">
        <v>46276.600771331017</v>
      </c>
      <c r="M2660" s="20">
        <v>12</v>
      </c>
      <c r="N2660" s="1">
        <v>89</v>
      </c>
    </row>
    <row r="2661" spans="1:14" x14ac:dyDescent="0.25">
      <c r="A2661" t="str">
        <f t="shared" si="84"/>
        <v>U152789U152789</v>
      </c>
      <c r="B2661" t="str">
        <f t="shared" si="85"/>
        <v>U152789G6035EQ-W</v>
      </c>
      <c r="C2661" s="27" t="s">
        <v>652</v>
      </c>
      <c r="D2661" s="27" t="s">
        <v>653</v>
      </c>
      <c r="E2661" s="1" t="s">
        <v>436</v>
      </c>
      <c r="F2661" s="1" t="s">
        <v>443</v>
      </c>
      <c r="G2661" s="1" t="s">
        <v>457</v>
      </c>
      <c r="H2661" s="1">
        <v>630</v>
      </c>
      <c r="I2661" s="3">
        <v>46276</v>
      </c>
      <c r="J2661" s="3">
        <v>46283</v>
      </c>
      <c r="K2661" s="3" t="s">
        <v>2371</v>
      </c>
      <c r="L2661" s="31">
        <v>46276.602908993053</v>
      </c>
      <c r="M2661" s="20">
        <v>12</v>
      </c>
      <c r="N2661" s="1">
        <v>94</v>
      </c>
    </row>
    <row r="2662" spans="1:14" x14ac:dyDescent="0.25">
      <c r="A2662" t="str">
        <f t="shared" si="84"/>
        <v>U152789U152789</v>
      </c>
      <c r="B2662" t="str">
        <f t="shared" si="85"/>
        <v>U152789G6035EQ-W</v>
      </c>
      <c r="C2662" s="27" t="s">
        <v>652</v>
      </c>
      <c r="D2662" s="27" t="s">
        <v>653</v>
      </c>
      <c r="E2662" s="1" t="s">
        <v>436</v>
      </c>
      <c r="F2662" s="1" t="s">
        <v>443</v>
      </c>
      <c r="G2662" s="1" t="s">
        <v>457</v>
      </c>
      <c r="H2662" s="1">
        <v>630</v>
      </c>
      <c r="I2662" s="3">
        <v>46276</v>
      </c>
      <c r="J2662" s="3">
        <v>46283</v>
      </c>
      <c r="K2662" s="3" t="s">
        <v>2371</v>
      </c>
      <c r="L2662" s="31">
        <v>46276.606657175922</v>
      </c>
      <c r="M2662" s="20">
        <v>12</v>
      </c>
      <c r="N2662" s="1">
        <v>110</v>
      </c>
    </row>
    <row r="2663" spans="1:14" x14ac:dyDescent="0.25">
      <c r="A2663" t="str">
        <f t="shared" si="84"/>
        <v>U152789U152789</v>
      </c>
      <c r="B2663" t="str">
        <f t="shared" si="85"/>
        <v>U152789G6035EQ-W</v>
      </c>
      <c r="C2663" s="27" t="s">
        <v>652</v>
      </c>
      <c r="D2663" s="27" t="s">
        <v>653</v>
      </c>
      <c r="E2663" s="1" t="s">
        <v>436</v>
      </c>
      <c r="F2663" s="1" t="s">
        <v>443</v>
      </c>
      <c r="G2663" s="1" t="s">
        <v>457</v>
      </c>
      <c r="H2663" s="1">
        <v>630</v>
      </c>
      <c r="I2663" s="3">
        <v>46276</v>
      </c>
      <c r="J2663" s="3">
        <v>46283</v>
      </c>
      <c r="K2663" s="3" t="s">
        <v>2371</v>
      </c>
      <c r="L2663" s="31">
        <v>46276.607157905091</v>
      </c>
      <c r="M2663" s="20">
        <v>12</v>
      </c>
      <c r="N2663" s="1">
        <v>81</v>
      </c>
    </row>
    <row r="2664" spans="1:14" x14ac:dyDescent="0.25">
      <c r="A2664" t="str">
        <f t="shared" si="84"/>
        <v>U152789U152789</v>
      </c>
      <c r="B2664" t="str">
        <f t="shared" si="85"/>
        <v>U152789G6035EQ-W</v>
      </c>
      <c r="C2664" s="27" t="s">
        <v>652</v>
      </c>
      <c r="D2664" s="27" t="s">
        <v>653</v>
      </c>
      <c r="E2664" s="1" t="s">
        <v>436</v>
      </c>
      <c r="F2664" s="1" t="s">
        <v>443</v>
      </c>
      <c r="G2664" s="1" t="s">
        <v>457</v>
      </c>
      <c r="H2664" s="1">
        <v>630</v>
      </c>
      <c r="I2664" s="3">
        <v>46276</v>
      </c>
      <c r="J2664" s="3">
        <v>46283</v>
      </c>
      <c r="K2664" s="3" t="s">
        <v>2371</v>
      </c>
      <c r="L2664" s="31">
        <v>46276.641121412038</v>
      </c>
      <c r="M2664" s="20">
        <v>12</v>
      </c>
      <c r="N2664" s="1">
        <v>105</v>
      </c>
    </row>
    <row r="2665" spans="1:14" x14ac:dyDescent="0.25">
      <c r="A2665" t="str">
        <f t="shared" si="84"/>
        <v>U152789U152789</v>
      </c>
      <c r="B2665" t="str">
        <f t="shared" si="85"/>
        <v>U152789G6035EQ-W</v>
      </c>
      <c r="C2665" s="27" t="s">
        <v>652</v>
      </c>
      <c r="D2665" s="27" t="s">
        <v>653</v>
      </c>
      <c r="E2665" s="1" t="s">
        <v>436</v>
      </c>
      <c r="F2665" s="1" t="s">
        <v>443</v>
      </c>
      <c r="G2665" s="1" t="s">
        <v>457</v>
      </c>
      <c r="H2665" s="1">
        <v>630</v>
      </c>
      <c r="I2665" s="3">
        <v>46276</v>
      </c>
      <c r="J2665" s="3">
        <v>46283</v>
      </c>
      <c r="K2665" s="3" t="s">
        <v>2371</v>
      </c>
      <c r="L2665" s="31">
        <v>46276.674945914347</v>
      </c>
      <c r="M2665" s="20">
        <v>12</v>
      </c>
      <c r="N2665" s="1">
        <v>83</v>
      </c>
    </row>
    <row r="2666" spans="1:14" x14ac:dyDescent="0.25">
      <c r="A2666" t="str">
        <f t="shared" si="84"/>
        <v>U152789U152789</v>
      </c>
      <c r="B2666" t="str">
        <f t="shared" si="85"/>
        <v>U152789G6035EQ-W</v>
      </c>
      <c r="C2666" s="27" t="s">
        <v>652</v>
      </c>
      <c r="D2666" s="27" t="s">
        <v>653</v>
      </c>
      <c r="E2666" s="1" t="s">
        <v>436</v>
      </c>
      <c r="F2666" s="1" t="s">
        <v>443</v>
      </c>
      <c r="G2666" s="1" t="s">
        <v>457</v>
      </c>
      <c r="H2666" s="1">
        <v>630</v>
      </c>
      <c r="I2666" s="3">
        <v>46276</v>
      </c>
      <c r="J2666" s="3">
        <v>46283</v>
      </c>
      <c r="K2666" s="3" t="s">
        <v>2371</v>
      </c>
      <c r="L2666" s="31">
        <v>46276.675214618052</v>
      </c>
      <c r="M2666" s="20">
        <v>12</v>
      </c>
      <c r="N2666" s="1">
        <v>95</v>
      </c>
    </row>
    <row r="2667" spans="1:14" x14ac:dyDescent="0.25">
      <c r="A2667" t="str">
        <f t="shared" si="84"/>
        <v>U152789U152789</v>
      </c>
      <c r="B2667" t="str">
        <f t="shared" si="85"/>
        <v>U152789G6035EQ-W</v>
      </c>
      <c r="C2667" s="1" t="s">
        <v>652</v>
      </c>
      <c r="D2667" s="1" t="s">
        <v>653</v>
      </c>
      <c r="E2667" s="1" t="s">
        <v>436</v>
      </c>
      <c r="F2667" s="1" t="s">
        <v>443</v>
      </c>
      <c r="G2667" s="1" t="s">
        <v>457</v>
      </c>
      <c r="H2667" s="1">
        <v>630</v>
      </c>
      <c r="I2667" s="3">
        <v>46276</v>
      </c>
      <c r="J2667" s="3">
        <v>46283</v>
      </c>
      <c r="K2667" s="3" t="s">
        <v>2371</v>
      </c>
      <c r="L2667" s="31">
        <v>46276.69008148148</v>
      </c>
      <c r="M2667" s="20">
        <v>12</v>
      </c>
      <c r="N2667" s="1">
        <v>84</v>
      </c>
    </row>
    <row r="2668" spans="1:14" x14ac:dyDescent="0.25">
      <c r="A2668" t="str">
        <f t="shared" si="84"/>
        <v>U152789U152789</v>
      </c>
      <c r="B2668" t="str">
        <f t="shared" si="85"/>
        <v>U152789G6035EQ-W</v>
      </c>
      <c r="C2668" s="1" t="s">
        <v>652</v>
      </c>
      <c r="D2668" s="1" t="s">
        <v>653</v>
      </c>
      <c r="E2668" s="1" t="s">
        <v>436</v>
      </c>
      <c r="F2668" s="1" t="s">
        <v>443</v>
      </c>
      <c r="G2668" s="1" t="s">
        <v>457</v>
      </c>
      <c r="H2668" s="1">
        <v>630</v>
      </c>
      <c r="I2668" s="3">
        <v>46276</v>
      </c>
      <c r="J2668" s="3">
        <v>46283</v>
      </c>
      <c r="K2668" s="3" t="s">
        <v>2371</v>
      </c>
      <c r="L2668" s="31">
        <v>46276.69342491898</v>
      </c>
      <c r="M2668" s="20">
        <v>12</v>
      </c>
      <c r="N2668" s="1">
        <v>96</v>
      </c>
    </row>
    <row r="2669" spans="1:14" x14ac:dyDescent="0.25">
      <c r="A2669" t="str">
        <f t="shared" si="84"/>
        <v>U152789U152789</v>
      </c>
      <c r="B2669" t="str">
        <f t="shared" si="85"/>
        <v>U152789G6035EQ-W</v>
      </c>
      <c r="C2669" s="1" t="s">
        <v>652</v>
      </c>
      <c r="D2669" s="1" t="s">
        <v>653</v>
      </c>
      <c r="E2669" s="1" t="s">
        <v>436</v>
      </c>
      <c r="F2669" s="1" t="s">
        <v>443</v>
      </c>
      <c r="G2669" s="1" t="s">
        <v>457</v>
      </c>
      <c r="H2669" s="1">
        <v>630</v>
      </c>
      <c r="I2669" s="3">
        <v>46276</v>
      </c>
      <c r="J2669" s="3">
        <v>46283</v>
      </c>
      <c r="K2669" s="3" t="s">
        <v>2371</v>
      </c>
      <c r="L2669" s="31">
        <v>46276.695725844904</v>
      </c>
      <c r="M2669" s="20">
        <v>12</v>
      </c>
      <c r="N2669" s="1">
        <v>115</v>
      </c>
    </row>
    <row r="2670" spans="1:14" x14ac:dyDescent="0.25">
      <c r="A2670" t="str">
        <f t="shared" si="84"/>
        <v>U152789U152789</v>
      </c>
      <c r="B2670" t="str">
        <f t="shared" si="85"/>
        <v>U152789G6035EQ-W</v>
      </c>
      <c r="C2670" s="1" t="s">
        <v>652</v>
      </c>
      <c r="D2670" s="1" t="s">
        <v>653</v>
      </c>
      <c r="E2670" s="1" t="s">
        <v>436</v>
      </c>
      <c r="F2670" s="1" t="s">
        <v>443</v>
      </c>
      <c r="G2670" s="1" t="s">
        <v>457</v>
      </c>
      <c r="H2670" s="1">
        <v>630</v>
      </c>
      <c r="I2670" s="3">
        <v>46276</v>
      </c>
      <c r="J2670" s="3">
        <v>46283</v>
      </c>
      <c r="K2670" s="3" t="s">
        <v>2371</v>
      </c>
      <c r="L2670" s="31">
        <v>46276.701804317127</v>
      </c>
      <c r="M2670" s="20">
        <v>12</v>
      </c>
      <c r="N2670" s="1">
        <v>111</v>
      </c>
    </row>
    <row r="2671" spans="1:14" x14ac:dyDescent="0.25">
      <c r="A2671" t="str">
        <f t="shared" si="84"/>
        <v>U152789U152789</v>
      </c>
      <c r="B2671" t="str">
        <f t="shared" si="85"/>
        <v>U152789G6035EQ-W</v>
      </c>
      <c r="C2671" s="27" t="s">
        <v>652</v>
      </c>
      <c r="D2671" s="27" t="s">
        <v>653</v>
      </c>
      <c r="E2671" s="1" t="s">
        <v>436</v>
      </c>
      <c r="F2671" s="1" t="s">
        <v>443</v>
      </c>
      <c r="G2671" s="1" t="s">
        <v>457</v>
      </c>
      <c r="H2671" s="1">
        <v>630</v>
      </c>
      <c r="I2671" s="3">
        <v>46276</v>
      </c>
      <c r="J2671" s="3">
        <v>46283</v>
      </c>
      <c r="K2671" s="3" t="s">
        <v>2371</v>
      </c>
      <c r="L2671" s="31">
        <v>46276.705360335647</v>
      </c>
      <c r="M2671" s="20">
        <v>12</v>
      </c>
      <c r="N2671" s="1">
        <v>97</v>
      </c>
    </row>
    <row r="2672" spans="1:14" x14ac:dyDescent="0.25">
      <c r="A2672" t="str">
        <f t="shared" si="84"/>
        <v>U152789U152789</v>
      </c>
      <c r="B2672" t="str">
        <f t="shared" si="85"/>
        <v>U152789G6035EQ-W</v>
      </c>
      <c r="C2672" s="1" t="s">
        <v>652</v>
      </c>
      <c r="D2672" s="1" t="s">
        <v>653</v>
      </c>
      <c r="E2672" s="1" t="s">
        <v>436</v>
      </c>
      <c r="F2672" s="1" t="s">
        <v>443</v>
      </c>
      <c r="G2672" s="1" t="s">
        <v>457</v>
      </c>
      <c r="H2672" s="1">
        <v>630</v>
      </c>
      <c r="I2672" s="3">
        <v>46276</v>
      </c>
      <c r="J2672" s="3">
        <v>46283</v>
      </c>
      <c r="K2672" s="3" t="s">
        <v>2371</v>
      </c>
      <c r="L2672" s="31">
        <v>46276.714652511575</v>
      </c>
      <c r="M2672" s="20">
        <v>12</v>
      </c>
      <c r="N2672" s="1">
        <v>79</v>
      </c>
    </row>
    <row r="2673" spans="1:14" x14ac:dyDescent="0.25">
      <c r="A2673" t="str">
        <f t="shared" si="84"/>
        <v>U152789U152789</v>
      </c>
      <c r="B2673" t="str">
        <f t="shared" si="85"/>
        <v>U152789G6035EQ-W</v>
      </c>
      <c r="C2673" s="1" t="s">
        <v>652</v>
      </c>
      <c r="D2673" s="1" t="s">
        <v>653</v>
      </c>
      <c r="E2673" s="1" t="s">
        <v>436</v>
      </c>
      <c r="F2673" s="1" t="s">
        <v>443</v>
      </c>
      <c r="G2673" s="1" t="s">
        <v>457</v>
      </c>
      <c r="H2673" s="1">
        <v>630</v>
      </c>
      <c r="I2673" s="3">
        <v>46276</v>
      </c>
      <c r="J2673" s="3">
        <v>46283</v>
      </c>
      <c r="K2673" s="3" t="s">
        <v>2371</v>
      </c>
      <c r="L2673" s="31">
        <v>46276.715031678235</v>
      </c>
      <c r="M2673" s="20">
        <v>12</v>
      </c>
      <c r="N2673" s="1">
        <v>116</v>
      </c>
    </row>
    <row r="2674" spans="1:14" x14ac:dyDescent="0.25">
      <c r="A2674" t="str">
        <f t="shared" si="84"/>
        <v>U152789U152789</v>
      </c>
      <c r="B2674" t="str">
        <f t="shared" si="85"/>
        <v>U152789G6035EQ-W</v>
      </c>
      <c r="C2674" s="1" t="s">
        <v>652</v>
      </c>
      <c r="D2674" s="1" t="s">
        <v>653</v>
      </c>
      <c r="E2674" s="1" t="s">
        <v>436</v>
      </c>
      <c r="F2674" s="1" t="s">
        <v>443</v>
      </c>
      <c r="G2674" s="1" t="s">
        <v>457</v>
      </c>
      <c r="H2674" s="1">
        <v>630</v>
      </c>
      <c r="I2674" s="3">
        <v>46276</v>
      </c>
      <c r="J2674" s="3">
        <v>46283</v>
      </c>
      <c r="K2674" s="3" t="s">
        <v>2371</v>
      </c>
      <c r="L2674" s="31">
        <v>46276.715673148145</v>
      </c>
      <c r="M2674" s="20">
        <v>12</v>
      </c>
      <c r="N2674" s="1">
        <v>86</v>
      </c>
    </row>
    <row r="2675" spans="1:14" x14ac:dyDescent="0.25">
      <c r="A2675" t="str">
        <f t="shared" si="84"/>
        <v>U152789U152789</v>
      </c>
      <c r="B2675" t="str">
        <f t="shared" si="85"/>
        <v>U152789G6035EQ-W</v>
      </c>
      <c r="C2675" s="1" t="s">
        <v>652</v>
      </c>
      <c r="D2675" s="1" t="s">
        <v>653</v>
      </c>
      <c r="E2675" s="1" t="s">
        <v>436</v>
      </c>
      <c r="F2675" s="1" t="s">
        <v>443</v>
      </c>
      <c r="G2675" s="1" t="s">
        <v>457</v>
      </c>
      <c r="H2675" s="1">
        <v>630</v>
      </c>
      <c r="I2675" s="3">
        <v>46276</v>
      </c>
      <c r="J2675" s="3">
        <v>46283</v>
      </c>
      <c r="K2675" s="3" t="s">
        <v>2371</v>
      </c>
      <c r="L2675" s="31">
        <v>46276.715863078702</v>
      </c>
      <c r="M2675" s="20">
        <v>12</v>
      </c>
      <c r="N2675" s="1">
        <v>117</v>
      </c>
    </row>
    <row r="2676" spans="1:14" x14ac:dyDescent="0.25">
      <c r="A2676" t="str">
        <f t="shared" si="84"/>
        <v>U152789U152789</v>
      </c>
      <c r="B2676" t="str">
        <f t="shared" si="85"/>
        <v>U152789G6035EQ-W</v>
      </c>
      <c r="C2676" s="1" t="s">
        <v>652</v>
      </c>
      <c r="D2676" s="1" t="s">
        <v>653</v>
      </c>
      <c r="E2676" s="1" t="s">
        <v>436</v>
      </c>
      <c r="F2676" s="1" t="s">
        <v>443</v>
      </c>
      <c r="G2676" s="1" t="s">
        <v>457</v>
      </c>
      <c r="H2676" s="1">
        <v>630</v>
      </c>
      <c r="I2676" s="3">
        <v>46276</v>
      </c>
      <c r="J2676" s="3">
        <v>46283</v>
      </c>
      <c r="K2676" s="3" t="s">
        <v>2371</v>
      </c>
      <c r="L2676" s="31">
        <v>46276.716029016199</v>
      </c>
      <c r="M2676" s="20">
        <v>12</v>
      </c>
      <c r="N2676" s="1">
        <v>98</v>
      </c>
    </row>
    <row r="2677" spans="1:14" x14ac:dyDescent="0.25">
      <c r="A2677" t="str">
        <f t="shared" si="84"/>
        <v>U152789U152789</v>
      </c>
      <c r="B2677" t="str">
        <f t="shared" si="85"/>
        <v>U152789G6035EQ-W</v>
      </c>
      <c r="C2677" s="1" t="s">
        <v>652</v>
      </c>
      <c r="D2677" s="1" t="s">
        <v>653</v>
      </c>
      <c r="E2677" s="1" t="s">
        <v>436</v>
      </c>
      <c r="F2677" s="1" t="s">
        <v>443</v>
      </c>
      <c r="G2677" s="1" t="s">
        <v>457</v>
      </c>
      <c r="H2677" s="1">
        <v>630</v>
      </c>
      <c r="I2677" s="3">
        <v>46276</v>
      </c>
      <c r="J2677" s="3">
        <v>46283</v>
      </c>
      <c r="K2677" s="3" t="s">
        <v>2371</v>
      </c>
      <c r="L2677" s="31">
        <v>46276.716176932867</v>
      </c>
      <c r="M2677" s="20">
        <v>12</v>
      </c>
      <c r="N2677" s="1">
        <v>85</v>
      </c>
    </row>
    <row r="2678" spans="1:14" x14ac:dyDescent="0.25">
      <c r="A2678" t="str">
        <f t="shared" si="84"/>
        <v>U152789U152789</v>
      </c>
      <c r="B2678" t="str">
        <f t="shared" si="85"/>
        <v>U152789G6035EQ-W</v>
      </c>
      <c r="C2678" s="1" t="s">
        <v>652</v>
      </c>
      <c r="D2678" s="1" t="s">
        <v>653</v>
      </c>
      <c r="E2678" s="1" t="s">
        <v>436</v>
      </c>
      <c r="F2678" s="1" t="s">
        <v>443</v>
      </c>
      <c r="G2678" s="1" t="s">
        <v>457</v>
      </c>
      <c r="H2678" s="1">
        <v>630</v>
      </c>
      <c r="I2678" s="3">
        <v>46276</v>
      </c>
      <c r="J2678" s="3">
        <v>46283</v>
      </c>
      <c r="K2678" s="3" t="s">
        <v>2371</v>
      </c>
      <c r="L2678" s="31">
        <v>46276.71914494213</v>
      </c>
      <c r="M2678" s="20">
        <v>12</v>
      </c>
      <c r="N2678" s="1">
        <v>118</v>
      </c>
    </row>
    <row r="2679" spans="1:14" x14ac:dyDescent="0.25">
      <c r="A2679" t="str">
        <f t="shared" si="84"/>
        <v>U152789U152789</v>
      </c>
      <c r="B2679" t="str">
        <f t="shared" si="85"/>
        <v>U152789G6035EQ-W</v>
      </c>
      <c r="C2679" s="1" t="s">
        <v>652</v>
      </c>
      <c r="D2679" s="1" t="s">
        <v>653</v>
      </c>
      <c r="E2679" s="1" t="s">
        <v>436</v>
      </c>
      <c r="F2679" s="1" t="s">
        <v>443</v>
      </c>
      <c r="G2679" s="1" t="s">
        <v>457</v>
      </c>
      <c r="H2679" s="1">
        <v>630</v>
      </c>
      <c r="I2679" s="3">
        <v>46276</v>
      </c>
      <c r="J2679" s="3">
        <v>46283</v>
      </c>
      <c r="K2679" s="3" t="s">
        <v>2371</v>
      </c>
      <c r="L2679" s="31">
        <v>46276.720254548607</v>
      </c>
      <c r="M2679" s="20">
        <v>12</v>
      </c>
      <c r="N2679" s="1">
        <v>72</v>
      </c>
    </row>
    <row r="2680" spans="1:14" x14ac:dyDescent="0.25">
      <c r="A2680" t="str">
        <f t="shared" si="84"/>
        <v>U152801U152801</v>
      </c>
      <c r="B2680" t="str">
        <f t="shared" si="85"/>
        <v>U152801P6031TJ-W</v>
      </c>
      <c r="C2680" s="27" t="s">
        <v>659</v>
      </c>
      <c r="D2680" s="27" t="s">
        <v>638</v>
      </c>
      <c r="E2680" s="1" t="s">
        <v>436</v>
      </c>
      <c r="F2680" s="1" t="s">
        <v>443</v>
      </c>
      <c r="G2680" s="1" t="s">
        <v>457</v>
      </c>
      <c r="H2680" s="1">
        <v>444</v>
      </c>
      <c r="I2680" s="3">
        <v>46276</v>
      </c>
      <c r="J2680" s="3">
        <v>46279</v>
      </c>
      <c r="K2680" s="3" t="s">
        <v>2371</v>
      </c>
      <c r="L2680" s="31">
        <v>46276.615448229168</v>
      </c>
      <c r="M2680" s="20">
        <v>12</v>
      </c>
      <c r="N2680" s="1">
        <v>174</v>
      </c>
    </row>
    <row r="2681" spans="1:14" x14ac:dyDescent="0.25">
      <c r="A2681" t="str">
        <f t="shared" si="84"/>
        <v>U152801U152801</v>
      </c>
      <c r="B2681" t="str">
        <f t="shared" si="85"/>
        <v>U152801P6031TJ-W</v>
      </c>
      <c r="C2681" s="27" t="s">
        <v>659</v>
      </c>
      <c r="D2681" s="27" t="s">
        <v>638</v>
      </c>
      <c r="E2681" s="1" t="s">
        <v>436</v>
      </c>
      <c r="F2681" s="1" t="s">
        <v>443</v>
      </c>
      <c r="G2681" s="1" t="s">
        <v>457</v>
      </c>
      <c r="H2681" s="1">
        <v>444</v>
      </c>
      <c r="I2681" s="3">
        <v>46276</v>
      </c>
      <c r="J2681" s="3">
        <v>46279</v>
      </c>
      <c r="K2681" s="3" t="s">
        <v>2371</v>
      </c>
      <c r="L2681" s="31">
        <v>46276.62072337963</v>
      </c>
      <c r="M2681" s="20">
        <v>12</v>
      </c>
      <c r="N2681" s="1">
        <v>166</v>
      </c>
    </row>
    <row r="2682" spans="1:14" x14ac:dyDescent="0.25">
      <c r="A2682" t="str">
        <f t="shared" si="84"/>
        <v>U152801U152801</v>
      </c>
      <c r="B2682" t="str">
        <f t="shared" si="85"/>
        <v>U152801P6031TJ-W</v>
      </c>
      <c r="C2682" s="1" t="s">
        <v>659</v>
      </c>
      <c r="D2682" s="1" t="s">
        <v>638</v>
      </c>
      <c r="E2682" s="1" t="s">
        <v>436</v>
      </c>
      <c r="F2682" s="1" t="s">
        <v>443</v>
      </c>
      <c r="G2682" s="1" t="s">
        <v>457</v>
      </c>
      <c r="H2682" s="1">
        <v>444</v>
      </c>
      <c r="I2682" s="3">
        <v>46276</v>
      </c>
      <c r="J2682" s="3">
        <v>46279</v>
      </c>
      <c r="K2682" s="3" t="s">
        <v>2371</v>
      </c>
      <c r="L2682" s="31">
        <v>46276.706865972221</v>
      </c>
      <c r="M2682" s="20">
        <v>12</v>
      </c>
      <c r="N2682" s="1">
        <v>148</v>
      </c>
    </row>
    <row r="2683" spans="1:14" x14ac:dyDescent="0.25">
      <c r="A2683" t="str">
        <f t="shared" si="84"/>
        <v>U152801U152801</v>
      </c>
      <c r="B2683" t="str">
        <f t="shared" si="85"/>
        <v>U152801P6031TJ-W</v>
      </c>
      <c r="C2683" s="1" t="s">
        <v>659</v>
      </c>
      <c r="D2683" s="1" t="s">
        <v>638</v>
      </c>
      <c r="E2683" s="1" t="s">
        <v>436</v>
      </c>
      <c r="F2683" s="1" t="s">
        <v>443</v>
      </c>
      <c r="G2683" s="1" t="s">
        <v>457</v>
      </c>
      <c r="H2683" s="1">
        <v>444</v>
      </c>
      <c r="I2683" s="3">
        <v>46276</v>
      </c>
      <c r="J2683" s="3">
        <v>46279</v>
      </c>
      <c r="K2683" s="3" t="s">
        <v>2371</v>
      </c>
      <c r="L2683" s="31">
        <v>46276.707035219908</v>
      </c>
      <c r="M2683" s="20">
        <v>12</v>
      </c>
      <c r="N2683" s="1">
        <v>164</v>
      </c>
    </row>
    <row r="2684" spans="1:14" x14ac:dyDescent="0.25">
      <c r="A2684" t="str">
        <f t="shared" si="84"/>
        <v>U152801U152801</v>
      </c>
      <c r="B2684" t="str">
        <f t="shared" si="85"/>
        <v>U152801P6031TJ-W</v>
      </c>
      <c r="C2684" s="1" t="s">
        <v>659</v>
      </c>
      <c r="D2684" s="1" t="s">
        <v>638</v>
      </c>
      <c r="E2684" s="1" t="s">
        <v>436</v>
      </c>
      <c r="F2684" s="1" t="s">
        <v>443</v>
      </c>
      <c r="G2684" s="1" t="s">
        <v>457</v>
      </c>
      <c r="H2684" s="1">
        <v>444</v>
      </c>
      <c r="I2684" s="3">
        <v>46276</v>
      </c>
      <c r="J2684" s="3">
        <v>46279</v>
      </c>
      <c r="K2684" s="3" t="s">
        <v>2371</v>
      </c>
      <c r="L2684" s="31">
        <v>46276.707376354163</v>
      </c>
      <c r="M2684" s="20">
        <v>12</v>
      </c>
      <c r="N2684" s="1">
        <v>152</v>
      </c>
    </row>
    <row r="2685" spans="1:14" x14ac:dyDescent="0.25">
      <c r="A2685" t="str">
        <f t="shared" si="84"/>
        <v>U152801U152801</v>
      </c>
      <c r="B2685" t="str">
        <f t="shared" si="85"/>
        <v>U152801P6031TJ-W</v>
      </c>
      <c r="C2685" s="1" t="s">
        <v>659</v>
      </c>
      <c r="D2685" s="1" t="s">
        <v>638</v>
      </c>
      <c r="E2685" s="1" t="s">
        <v>436</v>
      </c>
      <c r="F2685" s="1" t="s">
        <v>443</v>
      </c>
      <c r="G2685" s="1" t="s">
        <v>457</v>
      </c>
      <c r="H2685" s="1">
        <v>444</v>
      </c>
      <c r="I2685" s="3">
        <v>46276</v>
      </c>
      <c r="J2685" s="3">
        <v>46279</v>
      </c>
      <c r="K2685" s="3" t="s">
        <v>2371</v>
      </c>
      <c r="L2685" s="31">
        <v>46276.707770601854</v>
      </c>
      <c r="M2685" s="20">
        <v>12</v>
      </c>
      <c r="N2685" s="1">
        <v>149</v>
      </c>
    </row>
    <row r="2686" spans="1:14" x14ac:dyDescent="0.25">
      <c r="A2686" t="str">
        <f t="shared" si="84"/>
        <v>U152801U152801</v>
      </c>
      <c r="B2686" t="str">
        <f t="shared" si="85"/>
        <v>U152801P6031TJ-W</v>
      </c>
      <c r="C2686" s="27" t="s">
        <v>659</v>
      </c>
      <c r="D2686" s="27" t="s">
        <v>638</v>
      </c>
      <c r="E2686" s="1" t="s">
        <v>436</v>
      </c>
      <c r="F2686" s="1" t="s">
        <v>443</v>
      </c>
      <c r="G2686" s="1" t="s">
        <v>457</v>
      </c>
      <c r="H2686" s="1">
        <v>444</v>
      </c>
      <c r="I2686" s="3">
        <v>46276</v>
      </c>
      <c r="J2686" s="3">
        <v>46279</v>
      </c>
      <c r="K2686" s="3" t="s">
        <v>2371</v>
      </c>
      <c r="L2686" s="31">
        <v>46276.709105405091</v>
      </c>
      <c r="M2686" s="20">
        <v>12</v>
      </c>
      <c r="N2686" s="1">
        <v>153</v>
      </c>
    </row>
    <row r="2687" spans="1:14" x14ac:dyDescent="0.25">
      <c r="A2687" t="str">
        <f t="shared" si="84"/>
        <v>U152801U152801</v>
      </c>
      <c r="B2687" t="str">
        <f t="shared" si="85"/>
        <v>U152801P6031TJ-W</v>
      </c>
      <c r="C2687" s="27" t="s">
        <v>659</v>
      </c>
      <c r="D2687" s="27" t="s">
        <v>638</v>
      </c>
      <c r="E2687" s="1" t="s">
        <v>436</v>
      </c>
      <c r="F2687" s="1" t="s">
        <v>443</v>
      </c>
      <c r="G2687" s="1" t="s">
        <v>457</v>
      </c>
      <c r="H2687" s="1">
        <v>444</v>
      </c>
      <c r="I2687" s="3">
        <v>46276</v>
      </c>
      <c r="J2687" s="3">
        <v>46279</v>
      </c>
      <c r="K2687" s="3" t="s">
        <v>2371</v>
      </c>
      <c r="L2687" s="31">
        <v>46276.711982326386</v>
      </c>
      <c r="M2687" s="20">
        <v>12</v>
      </c>
      <c r="N2687" s="1">
        <v>167</v>
      </c>
    </row>
    <row r="2688" spans="1:14" x14ac:dyDescent="0.25">
      <c r="A2688" t="str">
        <f t="shared" si="84"/>
        <v>U152801U152801</v>
      </c>
      <c r="B2688" t="str">
        <f t="shared" si="85"/>
        <v>U152801P6031TJ-W</v>
      </c>
      <c r="C2688" s="1" t="s">
        <v>659</v>
      </c>
      <c r="D2688" s="1" t="s">
        <v>638</v>
      </c>
      <c r="E2688" s="1" t="s">
        <v>436</v>
      </c>
      <c r="F2688" s="1" t="s">
        <v>443</v>
      </c>
      <c r="G2688" s="1" t="s">
        <v>457</v>
      </c>
      <c r="H2688" s="1">
        <v>444</v>
      </c>
      <c r="I2688" s="3">
        <v>46276</v>
      </c>
      <c r="J2688" s="3">
        <v>46279</v>
      </c>
      <c r="K2688" s="3" t="s">
        <v>2371</v>
      </c>
      <c r="L2688" s="31">
        <v>46276.739593634258</v>
      </c>
      <c r="M2688" s="20">
        <v>12</v>
      </c>
      <c r="N2688" s="1">
        <v>161</v>
      </c>
    </row>
    <row r="2689" spans="1:14" x14ac:dyDescent="0.25">
      <c r="A2689" t="str">
        <f t="shared" si="84"/>
        <v>U152801U152801</v>
      </c>
      <c r="B2689" t="str">
        <f t="shared" si="85"/>
        <v>U152801P6031TJ-W</v>
      </c>
      <c r="C2689" s="1" t="s">
        <v>659</v>
      </c>
      <c r="D2689" s="1" t="s">
        <v>638</v>
      </c>
      <c r="E2689" s="1" t="s">
        <v>436</v>
      </c>
      <c r="F2689" s="1" t="s">
        <v>443</v>
      </c>
      <c r="G2689" s="1" t="s">
        <v>457</v>
      </c>
      <c r="H2689" s="1">
        <v>444</v>
      </c>
      <c r="I2689" s="3">
        <v>46276</v>
      </c>
      <c r="J2689" s="3">
        <v>46279</v>
      </c>
      <c r="K2689" s="3" t="s">
        <v>2371</v>
      </c>
      <c r="L2689" s="31">
        <v>46276.74005674768</v>
      </c>
      <c r="M2689" s="20">
        <v>12</v>
      </c>
      <c r="N2689" s="1">
        <v>177</v>
      </c>
    </row>
    <row r="2690" spans="1:14" x14ac:dyDescent="0.25">
      <c r="A2690" t="str">
        <f t="shared" ref="A2690:A2753" si="86">+D2690&amp;D2690</f>
        <v>H189068H189068</v>
      </c>
      <c r="B2690" t="str">
        <f t="shared" ref="B2690:B2753" si="87">+D2690&amp;C2690</f>
        <v>H189068P60394T-W</v>
      </c>
      <c r="C2690" s="27" t="s">
        <v>54</v>
      </c>
      <c r="D2690" s="27" t="s">
        <v>669</v>
      </c>
      <c r="E2690" s="1" t="s">
        <v>2294</v>
      </c>
      <c r="F2690" s="1" t="s">
        <v>2295</v>
      </c>
      <c r="G2690" s="1" t="s">
        <v>404</v>
      </c>
      <c r="H2690" s="1">
        <v>120</v>
      </c>
      <c r="I2690" s="3">
        <v>46277</v>
      </c>
      <c r="J2690" s="3">
        <v>46283</v>
      </c>
      <c r="K2690" s="3" t="s">
        <v>2362</v>
      </c>
      <c r="L2690" s="31">
        <v>46277.35360023148</v>
      </c>
      <c r="M2690" s="20">
        <v>12</v>
      </c>
      <c r="N2690" s="1">
        <v>8</v>
      </c>
    </row>
    <row r="2691" spans="1:14" x14ac:dyDescent="0.25">
      <c r="A2691" t="str">
        <f t="shared" si="86"/>
        <v>H189068H189068</v>
      </c>
      <c r="B2691" t="str">
        <f t="shared" si="87"/>
        <v>H189068P60394T-W</v>
      </c>
      <c r="C2691" s="27" t="s">
        <v>54</v>
      </c>
      <c r="D2691" s="27" t="s">
        <v>669</v>
      </c>
      <c r="E2691" s="1" t="s">
        <v>2294</v>
      </c>
      <c r="F2691" s="1" t="s">
        <v>2295</v>
      </c>
      <c r="G2691" s="1" t="s">
        <v>404</v>
      </c>
      <c r="H2691" s="1">
        <v>120</v>
      </c>
      <c r="I2691" s="3">
        <v>46277</v>
      </c>
      <c r="J2691" s="3">
        <v>46283</v>
      </c>
      <c r="K2691" s="3" t="s">
        <v>2362</v>
      </c>
      <c r="L2691" s="31">
        <v>46277.353965775459</v>
      </c>
      <c r="M2691" s="20">
        <v>12</v>
      </c>
      <c r="N2691" s="1">
        <v>13</v>
      </c>
    </row>
    <row r="2692" spans="1:14" x14ac:dyDescent="0.25">
      <c r="A2692" t="str">
        <f t="shared" si="86"/>
        <v>H189068H189068</v>
      </c>
      <c r="B2692" t="str">
        <f t="shared" si="87"/>
        <v>H189068P60394T-W</v>
      </c>
      <c r="C2692" s="27" t="s">
        <v>54</v>
      </c>
      <c r="D2692" s="27" t="s">
        <v>669</v>
      </c>
      <c r="E2692" s="1" t="s">
        <v>2294</v>
      </c>
      <c r="F2692" s="1" t="s">
        <v>2295</v>
      </c>
      <c r="G2692" s="1" t="s">
        <v>404</v>
      </c>
      <c r="H2692" s="1">
        <v>120</v>
      </c>
      <c r="I2692" s="3">
        <v>46277</v>
      </c>
      <c r="J2692" s="3">
        <v>46283</v>
      </c>
      <c r="K2692" s="3" t="s">
        <v>2362</v>
      </c>
      <c r="L2692" s="31">
        <v>46277.354525312498</v>
      </c>
      <c r="M2692" s="20">
        <v>12</v>
      </c>
      <c r="N2692" s="1">
        <v>15</v>
      </c>
    </row>
    <row r="2693" spans="1:14" x14ac:dyDescent="0.25">
      <c r="A2693" t="str">
        <f t="shared" si="86"/>
        <v>H189068H189068</v>
      </c>
      <c r="B2693" t="str">
        <f t="shared" si="87"/>
        <v>H189068P60394T-W</v>
      </c>
      <c r="C2693" s="27" t="s">
        <v>54</v>
      </c>
      <c r="D2693" s="27" t="s">
        <v>669</v>
      </c>
      <c r="E2693" s="1" t="s">
        <v>2294</v>
      </c>
      <c r="F2693" s="1" t="s">
        <v>2295</v>
      </c>
      <c r="G2693" s="1" t="s">
        <v>404</v>
      </c>
      <c r="H2693" s="1">
        <v>120</v>
      </c>
      <c r="I2693" s="3">
        <v>46277</v>
      </c>
      <c r="J2693" s="3">
        <v>46283</v>
      </c>
      <c r="K2693" s="3" t="s">
        <v>2362</v>
      </c>
      <c r="L2693" s="31">
        <v>46277.361338657407</v>
      </c>
      <c r="M2693" s="20">
        <v>12</v>
      </c>
      <c r="N2693" s="1">
        <v>9</v>
      </c>
    </row>
    <row r="2694" spans="1:14" x14ac:dyDescent="0.25">
      <c r="A2694" t="str">
        <f t="shared" si="86"/>
        <v>H189068H189068</v>
      </c>
      <c r="B2694" t="str">
        <f t="shared" si="87"/>
        <v>H189068P60394T-W</v>
      </c>
      <c r="C2694" s="27" t="s">
        <v>54</v>
      </c>
      <c r="D2694" s="27" t="s">
        <v>669</v>
      </c>
      <c r="E2694" s="1" t="s">
        <v>2294</v>
      </c>
      <c r="F2694" s="1" t="s">
        <v>2295</v>
      </c>
      <c r="G2694" s="1" t="s">
        <v>404</v>
      </c>
      <c r="H2694" s="1">
        <v>120</v>
      </c>
      <c r="I2694" s="3">
        <v>46277</v>
      </c>
      <c r="J2694" s="3">
        <v>46283</v>
      </c>
      <c r="K2694" s="3" t="s">
        <v>2362</v>
      </c>
      <c r="L2694" s="31">
        <v>46277.36437210648</v>
      </c>
      <c r="M2694" s="20">
        <v>12</v>
      </c>
      <c r="N2694" s="1">
        <v>11</v>
      </c>
    </row>
    <row r="2695" spans="1:14" x14ac:dyDescent="0.25">
      <c r="A2695" t="str">
        <f t="shared" si="86"/>
        <v>H189068H189068</v>
      </c>
      <c r="B2695" t="str">
        <f t="shared" si="87"/>
        <v>H189068P60394T-M</v>
      </c>
      <c r="C2695" s="27" t="s">
        <v>49</v>
      </c>
      <c r="D2695" s="27" t="s">
        <v>669</v>
      </c>
      <c r="E2695" s="1" t="s">
        <v>2294</v>
      </c>
      <c r="F2695" s="1" t="s">
        <v>2295</v>
      </c>
      <c r="G2695" s="1" t="s">
        <v>404</v>
      </c>
      <c r="H2695" s="1">
        <v>60</v>
      </c>
      <c r="I2695" s="3">
        <v>46277</v>
      </c>
      <c r="J2695" s="3">
        <v>46277</v>
      </c>
      <c r="K2695" s="3" t="s">
        <v>2362</v>
      </c>
      <c r="L2695" s="31">
        <v>46277.367358101852</v>
      </c>
      <c r="M2695" s="20">
        <v>12</v>
      </c>
      <c r="N2695" s="1">
        <v>1</v>
      </c>
    </row>
    <row r="2696" spans="1:14" x14ac:dyDescent="0.25">
      <c r="A2696" t="str">
        <f t="shared" si="86"/>
        <v>H189068H189068</v>
      </c>
      <c r="B2696" t="str">
        <f t="shared" si="87"/>
        <v>H189068P60394T-W</v>
      </c>
      <c r="C2696" s="27" t="s">
        <v>54</v>
      </c>
      <c r="D2696" s="27" t="s">
        <v>669</v>
      </c>
      <c r="E2696" s="1" t="s">
        <v>2294</v>
      </c>
      <c r="F2696" s="1" t="s">
        <v>2295</v>
      </c>
      <c r="G2696" s="1" t="s">
        <v>404</v>
      </c>
      <c r="H2696" s="1">
        <v>120</v>
      </c>
      <c r="I2696" s="3">
        <v>46277</v>
      </c>
      <c r="J2696" s="3">
        <v>46283</v>
      </c>
      <c r="K2696" s="3" t="s">
        <v>2362</v>
      </c>
      <c r="L2696" s="31">
        <v>46277.37443758102</v>
      </c>
      <c r="M2696" s="20">
        <v>6</v>
      </c>
      <c r="N2696" s="1">
        <v>16</v>
      </c>
    </row>
    <row r="2697" spans="1:14" x14ac:dyDescent="0.25">
      <c r="A2697" t="str">
        <f t="shared" si="86"/>
        <v>H189068H189068</v>
      </c>
      <c r="B2697" t="str">
        <f t="shared" si="87"/>
        <v>H189068P60394T-W</v>
      </c>
      <c r="C2697" s="27" t="s">
        <v>54</v>
      </c>
      <c r="D2697" s="27" t="s">
        <v>669</v>
      </c>
      <c r="E2697" s="1" t="s">
        <v>2294</v>
      </c>
      <c r="F2697" s="1" t="s">
        <v>2295</v>
      </c>
      <c r="G2697" s="1" t="s">
        <v>404</v>
      </c>
      <c r="H2697" s="1">
        <v>120</v>
      </c>
      <c r="I2697" s="3">
        <v>46277</v>
      </c>
      <c r="J2697" s="3">
        <v>46283</v>
      </c>
      <c r="K2697" s="3" t="s">
        <v>2362</v>
      </c>
      <c r="L2697" s="31">
        <v>46277.37463564815</v>
      </c>
      <c r="M2697" s="20">
        <v>6</v>
      </c>
      <c r="N2697" s="1">
        <v>17</v>
      </c>
    </row>
    <row r="2698" spans="1:14" x14ac:dyDescent="0.25">
      <c r="A2698" t="str">
        <f t="shared" si="86"/>
        <v>H189068H189068</v>
      </c>
      <c r="B2698" t="str">
        <f t="shared" si="87"/>
        <v>H189068P60394T-M</v>
      </c>
      <c r="C2698" s="1" t="s">
        <v>49</v>
      </c>
      <c r="D2698" s="1" t="s">
        <v>669</v>
      </c>
      <c r="E2698" s="1" t="s">
        <v>2294</v>
      </c>
      <c r="F2698" s="1" t="s">
        <v>2295</v>
      </c>
      <c r="G2698" s="1" t="s">
        <v>404</v>
      </c>
      <c r="H2698" s="1">
        <v>60</v>
      </c>
      <c r="I2698" s="3">
        <v>46277</v>
      </c>
      <c r="J2698" s="3">
        <v>46277</v>
      </c>
      <c r="K2698" s="3" t="s">
        <v>2362</v>
      </c>
      <c r="L2698" s="31">
        <v>46277.386311192131</v>
      </c>
      <c r="M2698" s="20">
        <v>12</v>
      </c>
      <c r="N2698" s="1">
        <v>2</v>
      </c>
    </row>
    <row r="2699" spans="1:14" x14ac:dyDescent="0.25">
      <c r="A2699" t="str">
        <f t="shared" si="86"/>
        <v>H189068H189068</v>
      </c>
      <c r="B2699" t="str">
        <f t="shared" si="87"/>
        <v>H189068P60394T-W</v>
      </c>
      <c r="C2699" s="27" t="s">
        <v>54</v>
      </c>
      <c r="D2699" s="27" t="s">
        <v>669</v>
      </c>
      <c r="E2699" s="1" t="s">
        <v>2294</v>
      </c>
      <c r="F2699" s="1" t="s">
        <v>2295</v>
      </c>
      <c r="G2699" s="1" t="s">
        <v>404</v>
      </c>
      <c r="H2699" s="1">
        <v>120</v>
      </c>
      <c r="I2699" s="3">
        <v>46277</v>
      </c>
      <c r="J2699" s="3">
        <v>46283</v>
      </c>
      <c r="K2699" s="3" t="s">
        <v>2362</v>
      </c>
      <c r="L2699" s="31">
        <v>46277.390643634259</v>
      </c>
      <c r="M2699" s="20">
        <v>12</v>
      </c>
      <c r="N2699" s="1">
        <v>14</v>
      </c>
    </row>
    <row r="2700" spans="1:14" x14ac:dyDescent="0.25">
      <c r="A2700" t="str">
        <f t="shared" si="86"/>
        <v>H189068H189068</v>
      </c>
      <c r="B2700" t="str">
        <f t="shared" si="87"/>
        <v>H189068P60394T-M</v>
      </c>
      <c r="C2700" s="27" t="s">
        <v>49</v>
      </c>
      <c r="D2700" s="27" t="s">
        <v>669</v>
      </c>
      <c r="E2700" s="1" t="s">
        <v>2294</v>
      </c>
      <c r="F2700" s="1" t="s">
        <v>2295</v>
      </c>
      <c r="G2700" s="1" t="s">
        <v>404</v>
      </c>
      <c r="H2700" s="1">
        <v>60</v>
      </c>
      <c r="I2700" s="3">
        <v>46277</v>
      </c>
      <c r="J2700" s="3">
        <v>46277</v>
      </c>
      <c r="K2700" s="3" t="s">
        <v>2362</v>
      </c>
      <c r="L2700" s="31">
        <v>46277.392227627315</v>
      </c>
      <c r="M2700" s="20">
        <v>12</v>
      </c>
      <c r="N2700" s="1">
        <v>3</v>
      </c>
    </row>
    <row r="2701" spans="1:14" x14ac:dyDescent="0.25">
      <c r="A2701" t="str">
        <f t="shared" si="86"/>
        <v>H189068H189068</v>
      </c>
      <c r="B2701" t="str">
        <f t="shared" si="87"/>
        <v>H189068P60394T-M</v>
      </c>
      <c r="C2701" s="27" t="s">
        <v>49</v>
      </c>
      <c r="D2701" s="27" t="s">
        <v>669</v>
      </c>
      <c r="E2701" s="1" t="s">
        <v>2294</v>
      </c>
      <c r="F2701" s="1" t="s">
        <v>2295</v>
      </c>
      <c r="G2701" s="1" t="s">
        <v>404</v>
      </c>
      <c r="H2701" s="1">
        <v>60</v>
      </c>
      <c r="I2701" s="3">
        <v>46277</v>
      </c>
      <c r="J2701" s="3">
        <v>46277</v>
      </c>
      <c r="K2701" s="3" t="s">
        <v>2362</v>
      </c>
      <c r="L2701" s="31">
        <v>46277.401584837964</v>
      </c>
      <c r="M2701" s="20">
        <v>6</v>
      </c>
      <c r="N2701" s="1">
        <v>6</v>
      </c>
    </row>
    <row r="2702" spans="1:14" x14ac:dyDescent="0.25">
      <c r="A2702" t="str">
        <f t="shared" si="86"/>
        <v>H189068H189068</v>
      </c>
      <c r="B2702" t="str">
        <f t="shared" si="87"/>
        <v>H189068P60394T-M</v>
      </c>
      <c r="C2702" s="27" t="s">
        <v>49</v>
      </c>
      <c r="D2702" s="27" t="s">
        <v>669</v>
      </c>
      <c r="E2702" s="1" t="s">
        <v>2294</v>
      </c>
      <c r="F2702" s="1" t="s">
        <v>2295</v>
      </c>
      <c r="G2702" s="1" t="s">
        <v>404</v>
      </c>
      <c r="H2702" s="1">
        <v>60</v>
      </c>
      <c r="I2702" s="3">
        <v>46277</v>
      </c>
      <c r="J2702" s="3">
        <v>46277</v>
      </c>
      <c r="K2702" s="3" t="s">
        <v>2362</v>
      </c>
      <c r="L2702" s="31">
        <v>46277.401760844907</v>
      </c>
      <c r="M2702" s="20">
        <v>6</v>
      </c>
      <c r="N2702" s="1">
        <v>5</v>
      </c>
    </row>
    <row r="2703" spans="1:14" x14ac:dyDescent="0.25">
      <c r="A2703" t="str">
        <f t="shared" si="86"/>
        <v>H189068H189068</v>
      </c>
      <c r="B2703" t="str">
        <f t="shared" si="87"/>
        <v>H189068P60394T-W</v>
      </c>
      <c r="C2703" s="1" t="s">
        <v>54</v>
      </c>
      <c r="D2703" s="1" t="s">
        <v>669</v>
      </c>
      <c r="E2703" s="1" t="s">
        <v>2294</v>
      </c>
      <c r="F2703" s="1" t="s">
        <v>2295</v>
      </c>
      <c r="G2703" s="1" t="s">
        <v>404</v>
      </c>
      <c r="H2703" s="1">
        <v>120</v>
      </c>
      <c r="I2703" s="3">
        <v>46277</v>
      </c>
      <c r="J2703" s="3">
        <v>46283</v>
      </c>
      <c r="K2703" s="3" t="s">
        <v>2362</v>
      </c>
      <c r="L2703" s="31">
        <v>46277.454223414352</v>
      </c>
      <c r="M2703" s="20">
        <v>12</v>
      </c>
      <c r="N2703" s="1">
        <v>10</v>
      </c>
    </row>
    <row r="2704" spans="1:14" x14ac:dyDescent="0.25">
      <c r="A2704" t="str">
        <f t="shared" si="86"/>
        <v>H189068H189068</v>
      </c>
      <c r="B2704" t="str">
        <f t="shared" si="87"/>
        <v>H189068P60394T-M</v>
      </c>
      <c r="C2704" s="1" t="s">
        <v>49</v>
      </c>
      <c r="D2704" s="1" t="s">
        <v>669</v>
      </c>
      <c r="E2704" s="1" t="s">
        <v>2294</v>
      </c>
      <c r="F2704" s="1" t="s">
        <v>2295</v>
      </c>
      <c r="G2704" s="1" t="s">
        <v>404</v>
      </c>
      <c r="H2704" s="1">
        <v>60</v>
      </c>
      <c r="I2704" s="3">
        <v>46277</v>
      </c>
      <c r="J2704" s="3">
        <v>46277</v>
      </c>
      <c r="K2704" s="3" t="s">
        <v>2362</v>
      </c>
      <c r="L2704" s="31">
        <v>46277.45515011574</v>
      </c>
      <c r="M2704" s="20">
        <v>12</v>
      </c>
      <c r="N2704" s="1">
        <v>4</v>
      </c>
    </row>
    <row r="2705" spans="1:14" x14ac:dyDescent="0.25">
      <c r="A2705" t="str">
        <f t="shared" si="86"/>
        <v>H189183H189183</v>
      </c>
      <c r="B2705" t="str">
        <f t="shared" si="87"/>
        <v>H189183P60394T-M</v>
      </c>
      <c r="C2705" s="27" t="s">
        <v>49</v>
      </c>
      <c r="D2705" s="27" t="s">
        <v>670</v>
      </c>
      <c r="E2705" s="1" t="s">
        <v>414</v>
      </c>
      <c r="F2705" s="1" t="s">
        <v>415</v>
      </c>
      <c r="G2705" s="1" t="s">
        <v>404</v>
      </c>
      <c r="H2705" s="1">
        <v>240</v>
      </c>
      <c r="I2705" s="3">
        <v>46277</v>
      </c>
      <c r="J2705" s="3">
        <v>46289</v>
      </c>
      <c r="K2705" s="3" t="s">
        <v>2374</v>
      </c>
      <c r="L2705" s="31">
        <v>46277.374236840275</v>
      </c>
      <c r="M2705" s="20">
        <v>12</v>
      </c>
      <c r="N2705" s="1">
        <v>5</v>
      </c>
    </row>
    <row r="2706" spans="1:14" x14ac:dyDescent="0.25">
      <c r="A2706" t="str">
        <f t="shared" si="86"/>
        <v>H189183H189183</v>
      </c>
      <c r="B2706" t="str">
        <f t="shared" si="87"/>
        <v>H189183P60394T-M</v>
      </c>
      <c r="C2706" s="1" t="s">
        <v>49</v>
      </c>
      <c r="D2706" s="1" t="s">
        <v>670</v>
      </c>
      <c r="E2706" s="1" t="s">
        <v>414</v>
      </c>
      <c r="F2706" s="1" t="s">
        <v>415</v>
      </c>
      <c r="G2706" s="1" t="s">
        <v>404</v>
      </c>
      <c r="H2706" s="1">
        <v>240</v>
      </c>
      <c r="I2706" s="3">
        <v>46277</v>
      </c>
      <c r="J2706" s="3">
        <v>46289</v>
      </c>
      <c r="K2706" s="3" t="s">
        <v>2374</v>
      </c>
      <c r="L2706" s="31">
        <v>46277.384766932868</v>
      </c>
      <c r="M2706" s="20">
        <v>12</v>
      </c>
      <c r="N2706" s="1">
        <v>6</v>
      </c>
    </row>
    <row r="2707" spans="1:14" x14ac:dyDescent="0.25">
      <c r="A2707" t="str">
        <f t="shared" si="86"/>
        <v>H189183H189183</v>
      </c>
      <c r="B2707" t="str">
        <f t="shared" si="87"/>
        <v>H189183P60394T-M</v>
      </c>
      <c r="C2707" s="1" t="s">
        <v>49</v>
      </c>
      <c r="D2707" s="1" t="s">
        <v>670</v>
      </c>
      <c r="E2707" s="1" t="s">
        <v>414</v>
      </c>
      <c r="F2707" s="1" t="s">
        <v>415</v>
      </c>
      <c r="G2707" s="1" t="s">
        <v>404</v>
      </c>
      <c r="H2707" s="1">
        <v>240</v>
      </c>
      <c r="I2707" s="3">
        <v>46277</v>
      </c>
      <c r="J2707" s="3">
        <v>46289</v>
      </c>
      <c r="K2707" s="3" t="s">
        <v>2374</v>
      </c>
      <c r="L2707" s="31">
        <v>46277.385340011569</v>
      </c>
      <c r="M2707" s="20">
        <v>12</v>
      </c>
      <c r="N2707" s="1">
        <v>12</v>
      </c>
    </row>
    <row r="2708" spans="1:14" x14ac:dyDescent="0.25">
      <c r="A2708" t="str">
        <f t="shared" si="86"/>
        <v>H189183H189183</v>
      </c>
      <c r="B2708" t="str">
        <f t="shared" si="87"/>
        <v>H189183P60394T-M</v>
      </c>
      <c r="C2708" s="27" t="s">
        <v>49</v>
      </c>
      <c r="D2708" s="27" t="s">
        <v>670</v>
      </c>
      <c r="E2708" s="1" t="s">
        <v>414</v>
      </c>
      <c r="F2708" s="1" t="s">
        <v>415</v>
      </c>
      <c r="G2708" s="1" t="s">
        <v>404</v>
      </c>
      <c r="H2708" s="1">
        <v>240</v>
      </c>
      <c r="I2708" s="3">
        <v>46277</v>
      </c>
      <c r="J2708" s="3">
        <v>46289</v>
      </c>
      <c r="K2708" s="3" t="s">
        <v>2374</v>
      </c>
      <c r="L2708" s="31">
        <v>46277.391447256945</v>
      </c>
      <c r="M2708" s="20">
        <v>12</v>
      </c>
      <c r="N2708" s="1">
        <v>16</v>
      </c>
    </row>
    <row r="2709" spans="1:14" x14ac:dyDescent="0.25">
      <c r="A2709" t="str">
        <f t="shared" si="86"/>
        <v>H189183H189183</v>
      </c>
      <c r="B2709" t="str">
        <f t="shared" si="87"/>
        <v>H189183P60394T-M</v>
      </c>
      <c r="C2709" s="27" t="s">
        <v>49</v>
      </c>
      <c r="D2709" s="27" t="s">
        <v>670</v>
      </c>
      <c r="E2709" s="1" t="s">
        <v>414</v>
      </c>
      <c r="F2709" s="1" t="s">
        <v>415</v>
      </c>
      <c r="G2709" s="1" t="s">
        <v>404</v>
      </c>
      <c r="H2709" s="1">
        <v>240</v>
      </c>
      <c r="I2709" s="3">
        <v>46277</v>
      </c>
      <c r="J2709" s="3">
        <v>46289</v>
      </c>
      <c r="K2709" s="3" t="s">
        <v>2374</v>
      </c>
      <c r="L2709" s="31">
        <v>46277.400169444445</v>
      </c>
      <c r="M2709" s="20">
        <v>12</v>
      </c>
      <c r="N2709" s="1">
        <v>3</v>
      </c>
    </row>
    <row r="2710" spans="1:14" x14ac:dyDescent="0.25">
      <c r="A2710" t="str">
        <f t="shared" si="86"/>
        <v>H189183H189183</v>
      </c>
      <c r="B2710" t="str">
        <f t="shared" si="87"/>
        <v>H189183P60394T-M</v>
      </c>
      <c r="C2710" s="27" t="s">
        <v>49</v>
      </c>
      <c r="D2710" s="27" t="s">
        <v>670</v>
      </c>
      <c r="E2710" s="1" t="s">
        <v>414</v>
      </c>
      <c r="F2710" s="1" t="s">
        <v>415</v>
      </c>
      <c r="G2710" s="1" t="s">
        <v>404</v>
      </c>
      <c r="H2710" s="1">
        <v>240</v>
      </c>
      <c r="I2710" s="3">
        <v>46277</v>
      </c>
      <c r="J2710" s="3">
        <v>46289</v>
      </c>
      <c r="K2710" s="3" t="s">
        <v>2374</v>
      </c>
      <c r="L2710" s="31">
        <v>46277.400667708331</v>
      </c>
      <c r="M2710" s="20">
        <v>12</v>
      </c>
      <c r="N2710" s="1">
        <v>8</v>
      </c>
    </row>
    <row r="2711" spans="1:14" x14ac:dyDescent="0.25">
      <c r="A2711" t="str">
        <f t="shared" si="86"/>
        <v>H189183H189183</v>
      </c>
      <c r="B2711" t="str">
        <f t="shared" si="87"/>
        <v>H189183P60394T-M</v>
      </c>
      <c r="C2711" s="1" t="s">
        <v>49</v>
      </c>
      <c r="D2711" s="1" t="s">
        <v>670</v>
      </c>
      <c r="E2711" s="1" t="s">
        <v>414</v>
      </c>
      <c r="F2711" s="1" t="s">
        <v>415</v>
      </c>
      <c r="G2711" s="1" t="s">
        <v>404</v>
      </c>
      <c r="H2711" s="1">
        <v>240</v>
      </c>
      <c r="I2711" s="3">
        <v>46277</v>
      </c>
      <c r="J2711" s="3">
        <v>46289</v>
      </c>
      <c r="K2711" s="3" t="s">
        <v>2374</v>
      </c>
      <c r="L2711" s="31">
        <v>46277.402194444439</v>
      </c>
      <c r="M2711" s="20">
        <v>12</v>
      </c>
      <c r="N2711" s="1">
        <v>9</v>
      </c>
    </row>
    <row r="2712" spans="1:14" x14ac:dyDescent="0.25">
      <c r="A2712" t="str">
        <f t="shared" si="86"/>
        <v>H189183H189183</v>
      </c>
      <c r="B2712" t="str">
        <f t="shared" si="87"/>
        <v>H189183P60394T-M</v>
      </c>
      <c r="C2712" s="1" t="s">
        <v>49</v>
      </c>
      <c r="D2712" s="1" t="s">
        <v>670</v>
      </c>
      <c r="E2712" s="1" t="s">
        <v>414</v>
      </c>
      <c r="F2712" s="1" t="s">
        <v>415</v>
      </c>
      <c r="G2712" s="1" t="s">
        <v>404</v>
      </c>
      <c r="H2712" s="1">
        <v>240</v>
      </c>
      <c r="I2712" s="3">
        <v>46277</v>
      </c>
      <c r="J2712" s="3">
        <v>46289</v>
      </c>
      <c r="K2712" s="3" t="s">
        <v>2374</v>
      </c>
      <c r="L2712" s="31">
        <v>46277.404642245368</v>
      </c>
      <c r="M2712" s="20">
        <v>12</v>
      </c>
      <c r="N2712" s="1">
        <v>13</v>
      </c>
    </row>
    <row r="2713" spans="1:14" x14ac:dyDescent="0.25">
      <c r="A2713" t="str">
        <f t="shared" si="86"/>
        <v>H189183H189183</v>
      </c>
      <c r="B2713" t="str">
        <f t="shared" si="87"/>
        <v>H189183P60394T-M</v>
      </c>
      <c r="C2713" s="1" t="s">
        <v>49</v>
      </c>
      <c r="D2713" s="1" t="s">
        <v>670</v>
      </c>
      <c r="E2713" s="1" t="s">
        <v>414</v>
      </c>
      <c r="F2713" s="1" t="s">
        <v>415</v>
      </c>
      <c r="G2713" s="1" t="s">
        <v>404</v>
      </c>
      <c r="H2713" s="1">
        <v>240</v>
      </c>
      <c r="I2713" s="3">
        <v>46277</v>
      </c>
      <c r="J2713" s="3">
        <v>46289</v>
      </c>
      <c r="K2713" s="3" t="s">
        <v>2374</v>
      </c>
      <c r="L2713" s="31">
        <v>46277.412457060185</v>
      </c>
      <c r="M2713" s="20">
        <v>12</v>
      </c>
      <c r="N2713" s="1">
        <v>10</v>
      </c>
    </row>
    <row r="2714" spans="1:14" x14ac:dyDescent="0.25">
      <c r="A2714" t="str">
        <f t="shared" si="86"/>
        <v>H189183H189183</v>
      </c>
      <c r="B2714" t="str">
        <f t="shared" si="87"/>
        <v>H189183P60394T-M</v>
      </c>
      <c r="C2714" s="1" t="s">
        <v>49</v>
      </c>
      <c r="D2714" s="1" t="s">
        <v>670</v>
      </c>
      <c r="E2714" s="1" t="s">
        <v>414</v>
      </c>
      <c r="F2714" s="1" t="s">
        <v>415</v>
      </c>
      <c r="G2714" s="1" t="s">
        <v>404</v>
      </c>
      <c r="H2714" s="1">
        <v>240</v>
      </c>
      <c r="I2714" s="3">
        <v>46277</v>
      </c>
      <c r="J2714" s="3">
        <v>46289</v>
      </c>
      <c r="K2714" s="3" t="s">
        <v>2374</v>
      </c>
      <c r="L2714" s="31">
        <v>46277.412660532405</v>
      </c>
      <c r="M2714" s="20">
        <v>12</v>
      </c>
      <c r="N2714" s="1">
        <v>1</v>
      </c>
    </row>
    <row r="2715" spans="1:14" x14ac:dyDescent="0.25">
      <c r="A2715" t="str">
        <f t="shared" si="86"/>
        <v>H189183H189183</v>
      </c>
      <c r="B2715" t="str">
        <f t="shared" si="87"/>
        <v>H189183P60394T-M</v>
      </c>
      <c r="C2715" s="27" t="s">
        <v>49</v>
      </c>
      <c r="D2715" s="27" t="s">
        <v>670</v>
      </c>
      <c r="E2715" s="1" t="s">
        <v>414</v>
      </c>
      <c r="F2715" s="1" t="s">
        <v>415</v>
      </c>
      <c r="G2715" s="1" t="s">
        <v>404</v>
      </c>
      <c r="H2715" s="1">
        <v>240</v>
      </c>
      <c r="I2715" s="3">
        <v>46277</v>
      </c>
      <c r="J2715" s="3">
        <v>46289</v>
      </c>
      <c r="K2715" s="3" t="s">
        <v>2374</v>
      </c>
      <c r="L2715" s="31">
        <v>46277.434540428236</v>
      </c>
      <c r="M2715" s="20">
        <v>12</v>
      </c>
      <c r="N2715" s="1">
        <v>14</v>
      </c>
    </row>
    <row r="2716" spans="1:14" x14ac:dyDescent="0.25">
      <c r="A2716" t="str">
        <f t="shared" si="86"/>
        <v>H189183H189183</v>
      </c>
      <c r="B2716" t="str">
        <f t="shared" si="87"/>
        <v>H189183P60394T-M</v>
      </c>
      <c r="C2716" s="27" t="s">
        <v>49</v>
      </c>
      <c r="D2716" s="27" t="s">
        <v>670</v>
      </c>
      <c r="E2716" s="1" t="s">
        <v>414</v>
      </c>
      <c r="F2716" s="1" t="s">
        <v>415</v>
      </c>
      <c r="G2716" s="1" t="s">
        <v>404</v>
      </c>
      <c r="H2716" s="1">
        <v>240</v>
      </c>
      <c r="I2716" s="3">
        <v>46277</v>
      </c>
      <c r="J2716" s="3">
        <v>46289</v>
      </c>
      <c r="K2716" s="3" t="s">
        <v>2374</v>
      </c>
      <c r="L2716" s="31">
        <v>46277.493026932869</v>
      </c>
      <c r="M2716" s="20">
        <v>12</v>
      </c>
      <c r="N2716" s="1">
        <v>2</v>
      </c>
    </row>
    <row r="2717" spans="1:14" x14ac:dyDescent="0.25">
      <c r="A2717" t="str">
        <f t="shared" si="86"/>
        <v>U152786U152786</v>
      </c>
      <c r="B2717" t="str">
        <f t="shared" si="87"/>
        <v>U152786G6032Z2-W</v>
      </c>
      <c r="C2717" s="27" t="s">
        <v>21</v>
      </c>
      <c r="D2717" s="27" t="s">
        <v>632</v>
      </c>
      <c r="E2717" s="1" t="s">
        <v>436</v>
      </c>
      <c r="F2717" s="1" t="s">
        <v>443</v>
      </c>
      <c r="G2717" s="1" t="s">
        <v>444</v>
      </c>
      <c r="H2717" s="1">
        <v>120</v>
      </c>
      <c r="I2717" s="3">
        <v>46277</v>
      </c>
      <c r="J2717" s="3">
        <v>46288</v>
      </c>
      <c r="L2717" s="31">
        <v>46277.487106712964</v>
      </c>
      <c r="M2717" s="20">
        <v>6</v>
      </c>
      <c r="N2717" s="1">
        <v>66</v>
      </c>
    </row>
    <row r="2718" spans="1:14" x14ac:dyDescent="0.25">
      <c r="A2718" t="str">
        <f t="shared" si="86"/>
        <v>U152786U152786</v>
      </c>
      <c r="B2718" t="str">
        <f t="shared" si="87"/>
        <v>U152786G6032Z2-W</v>
      </c>
      <c r="C2718" s="27" t="s">
        <v>21</v>
      </c>
      <c r="D2718" s="27" t="s">
        <v>632</v>
      </c>
      <c r="E2718" s="1" t="s">
        <v>436</v>
      </c>
      <c r="F2718" s="1" t="s">
        <v>443</v>
      </c>
      <c r="G2718" s="1" t="s">
        <v>444</v>
      </c>
      <c r="H2718" s="1">
        <v>120</v>
      </c>
      <c r="I2718" s="3">
        <v>46277</v>
      </c>
      <c r="J2718" s="3">
        <v>46288</v>
      </c>
      <c r="L2718" s="31">
        <v>46277.487336111109</v>
      </c>
      <c r="M2718" s="20">
        <v>12</v>
      </c>
      <c r="N2718" s="1">
        <v>62</v>
      </c>
    </row>
    <row r="2719" spans="1:14" x14ac:dyDescent="0.25">
      <c r="A2719" t="str">
        <f t="shared" si="86"/>
        <v>U152786U152786</v>
      </c>
      <c r="B2719" t="str">
        <f t="shared" si="87"/>
        <v>U152786G6032Z2-W</v>
      </c>
      <c r="C2719" s="27" t="s">
        <v>21</v>
      </c>
      <c r="D2719" s="27" t="s">
        <v>632</v>
      </c>
      <c r="E2719" s="1" t="s">
        <v>436</v>
      </c>
      <c r="F2719" s="1" t="s">
        <v>443</v>
      </c>
      <c r="G2719" s="1" t="s">
        <v>444</v>
      </c>
      <c r="H2719" s="1">
        <v>120</v>
      </c>
      <c r="I2719" s="3">
        <v>46277</v>
      </c>
      <c r="J2719" s="3">
        <v>46288</v>
      </c>
      <c r="L2719" s="31">
        <v>46277.488472534722</v>
      </c>
      <c r="M2719" s="20">
        <v>6</v>
      </c>
      <c r="N2719" s="1">
        <v>65</v>
      </c>
    </row>
    <row r="2720" spans="1:14" x14ac:dyDescent="0.25">
      <c r="A2720" t="str">
        <f t="shared" si="86"/>
        <v>78660977866097</v>
      </c>
      <c r="B2720" t="str">
        <f t="shared" si="87"/>
        <v>7866097GC9060BE-M</v>
      </c>
      <c r="C2720" s="1" t="s">
        <v>43</v>
      </c>
      <c r="D2720" s="1" t="s">
        <v>684</v>
      </c>
      <c r="E2720" s="1" t="s">
        <v>385</v>
      </c>
      <c r="F2720" s="1" t="s">
        <v>386</v>
      </c>
      <c r="G2720" s="1" t="s">
        <v>387</v>
      </c>
      <c r="H2720" s="1">
        <v>624</v>
      </c>
      <c r="I2720" s="3">
        <v>46279</v>
      </c>
      <c r="J2720" s="3">
        <v>46282</v>
      </c>
      <c r="K2720" s="3" t="s">
        <v>2370</v>
      </c>
      <c r="L2720" s="31">
        <v>46279.670139270835</v>
      </c>
      <c r="M2720" s="20">
        <v>12</v>
      </c>
      <c r="N2720" s="1">
        <v>25</v>
      </c>
    </row>
    <row r="2721" spans="1:14" x14ac:dyDescent="0.25">
      <c r="A2721" t="str">
        <f t="shared" si="86"/>
        <v>78660977866097</v>
      </c>
      <c r="B2721" t="str">
        <f t="shared" si="87"/>
        <v>7866097GC9060BE-M</v>
      </c>
      <c r="C2721" s="1" t="s">
        <v>43</v>
      </c>
      <c r="D2721" s="1" t="s">
        <v>684</v>
      </c>
      <c r="E2721" s="1" t="s">
        <v>385</v>
      </c>
      <c r="F2721" s="1" t="s">
        <v>386</v>
      </c>
      <c r="G2721" s="1" t="s">
        <v>387</v>
      </c>
      <c r="H2721" s="1">
        <v>624</v>
      </c>
      <c r="I2721" s="3">
        <v>46279</v>
      </c>
      <c r="J2721" s="3">
        <v>46282</v>
      </c>
      <c r="K2721" s="3" t="s">
        <v>2370</v>
      </c>
      <c r="L2721" s="31">
        <v>46279.701386030094</v>
      </c>
      <c r="M2721" s="20">
        <v>12</v>
      </c>
      <c r="N2721" s="1">
        <v>26</v>
      </c>
    </row>
    <row r="2722" spans="1:14" x14ac:dyDescent="0.25">
      <c r="A2722" t="str">
        <f t="shared" si="86"/>
        <v>78660977866097</v>
      </c>
      <c r="B2722" t="str">
        <f t="shared" si="87"/>
        <v>7866097GC9060BE-M</v>
      </c>
      <c r="C2722" s="1" t="s">
        <v>43</v>
      </c>
      <c r="D2722" s="1" t="s">
        <v>684</v>
      </c>
      <c r="E2722" s="1" t="s">
        <v>385</v>
      </c>
      <c r="F2722" s="1" t="s">
        <v>386</v>
      </c>
      <c r="G2722" s="1" t="s">
        <v>387</v>
      </c>
      <c r="H2722" s="1">
        <v>624</v>
      </c>
      <c r="I2722" s="3">
        <v>46279</v>
      </c>
      <c r="J2722" s="3">
        <v>46282</v>
      </c>
      <c r="K2722" s="3" t="s">
        <v>2370</v>
      </c>
      <c r="L2722" s="31">
        <v>46279.713399340275</v>
      </c>
      <c r="M2722" s="20">
        <v>12</v>
      </c>
      <c r="N2722" s="1">
        <v>27</v>
      </c>
    </row>
    <row r="2723" spans="1:14" x14ac:dyDescent="0.25">
      <c r="A2723" t="str">
        <f t="shared" si="86"/>
        <v>78660977866097</v>
      </c>
      <c r="B2723" t="str">
        <f t="shared" si="87"/>
        <v>7866097GC9060BE-M</v>
      </c>
      <c r="C2723" s="1" t="s">
        <v>43</v>
      </c>
      <c r="D2723" s="1" t="s">
        <v>684</v>
      </c>
      <c r="E2723" s="1" t="s">
        <v>385</v>
      </c>
      <c r="F2723" s="1" t="s">
        <v>386</v>
      </c>
      <c r="G2723" s="1" t="s">
        <v>387</v>
      </c>
      <c r="H2723" s="1">
        <v>624</v>
      </c>
      <c r="I2723" s="3">
        <v>46279</v>
      </c>
      <c r="J2723" s="3">
        <v>46282</v>
      </c>
      <c r="K2723" s="3" t="s">
        <v>2370</v>
      </c>
      <c r="L2723" s="31">
        <v>46279.713583020828</v>
      </c>
      <c r="M2723" s="20">
        <v>12</v>
      </c>
      <c r="N2723" s="1">
        <v>48</v>
      </c>
    </row>
    <row r="2724" spans="1:14" x14ac:dyDescent="0.25">
      <c r="A2724" t="str">
        <f t="shared" si="86"/>
        <v>78758217875821</v>
      </c>
      <c r="B2724" t="str">
        <f t="shared" si="87"/>
        <v>7875821WL515SB3-B</v>
      </c>
      <c r="C2724" s="27" t="s">
        <v>2</v>
      </c>
      <c r="D2724" s="27" t="s">
        <v>675</v>
      </c>
      <c r="E2724" s="1" t="s">
        <v>388</v>
      </c>
      <c r="F2724" s="1" t="s">
        <v>389</v>
      </c>
      <c r="G2724" s="1" t="s">
        <v>387</v>
      </c>
      <c r="H2724" s="1">
        <v>642</v>
      </c>
      <c r="I2724" s="3">
        <v>46279</v>
      </c>
      <c r="L2724" s="31">
        <v>46279.406923298608</v>
      </c>
      <c r="M2724" s="20">
        <v>12</v>
      </c>
      <c r="N2724" s="1">
        <v>30</v>
      </c>
    </row>
    <row r="2725" spans="1:14" x14ac:dyDescent="0.25">
      <c r="A2725" t="str">
        <f t="shared" si="86"/>
        <v>78758217875821</v>
      </c>
      <c r="B2725" t="str">
        <f t="shared" si="87"/>
        <v>7875821WL515SB3-B</v>
      </c>
      <c r="C2725" s="27" t="s">
        <v>2</v>
      </c>
      <c r="D2725" s="27" t="s">
        <v>675</v>
      </c>
      <c r="E2725" s="1" t="s">
        <v>388</v>
      </c>
      <c r="F2725" s="1" t="s">
        <v>389</v>
      </c>
      <c r="G2725" s="1" t="s">
        <v>387</v>
      </c>
      <c r="H2725" s="1">
        <v>642</v>
      </c>
      <c r="I2725" s="3">
        <v>46279</v>
      </c>
      <c r="L2725" s="31">
        <v>46279.418002812497</v>
      </c>
      <c r="M2725" s="20">
        <v>12</v>
      </c>
      <c r="N2725" s="1">
        <v>46</v>
      </c>
    </row>
    <row r="2726" spans="1:14" x14ac:dyDescent="0.25">
      <c r="A2726" t="str">
        <f t="shared" si="86"/>
        <v>78758217875821</v>
      </c>
      <c r="B2726" t="str">
        <f t="shared" si="87"/>
        <v>7875821WL515SB3-B</v>
      </c>
      <c r="C2726" s="27" t="s">
        <v>2</v>
      </c>
      <c r="D2726" s="27" t="s">
        <v>675</v>
      </c>
      <c r="E2726" s="1" t="s">
        <v>388</v>
      </c>
      <c r="F2726" s="1" t="s">
        <v>389</v>
      </c>
      <c r="G2726" s="1" t="s">
        <v>387</v>
      </c>
      <c r="H2726" s="1">
        <v>642</v>
      </c>
      <c r="I2726" s="3">
        <v>46279</v>
      </c>
      <c r="L2726" s="31">
        <v>46279.418288078705</v>
      </c>
      <c r="M2726" s="20">
        <v>12</v>
      </c>
      <c r="N2726" s="1">
        <v>19</v>
      </c>
    </row>
    <row r="2727" spans="1:14" x14ac:dyDescent="0.25">
      <c r="A2727" t="str">
        <f t="shared" si="86"/>
        <v>78758217875821</v>
      </c>
      <c r="B2727" t="str">
        <f t="shared" si="87"/>
        <v>7875821WL515SB3-B</v>
      </c>
      <c r="C2727" s="1" t="s">
        <v>2</v>
      </c>
      <c r="D2727" s="1" t="s">
        <v>675</v>
      </c>
      <c r="E2727" s="1" t="s">
        <v>388</v>
      </c>
      <c r="F2727" s="1" t="s">
        <v>389</v>
      </c>
      <c r="G2727" s="1" t="s">
        <v>387</v>
      </c>
      <c r="H2727" s="1">
        <v>642</v>
      </c>
      <c r="I2727" s="3">
        <v>46279</v>
      </c>
      <c r="L2727" s="31">
        <v>46279.422012418981</v>
      </c>
      <c r="M2727" s="20">
        <v>12</v>
      </c>
      <c r="N2727" s="1">
        <v>2</v>
      </c>
    </row>
    <row r="2728" spans="1:14" x14ac:dyDescent="0.25">
      <c r="A2728" t="str">
        <f t="shared" si="86"/>
        <v>78758217875821</v>
      </c>
      <c r="B2728" t="str">
        <f t="shared" si="87"/>
        <v>7875821WL515SB3-B</v>
      </c>
      <c r="C2728" s="1" t="s">
        <v>2</v>
      </c>
      <c r="D2728" s="1" t="s">
        <v>675</v>
      </c>
      <c r="E2728" s="1" t="s">
        <v>388</v>
      </c>
      <c r="F2728" s="1" t="s">
        <v>389</v>
      </c>
      <c r="G2728" s="1" t="s">
        <v>387</v>
      </c>
      <c r="H2728" s="1">
        <v>642</v>
      </c>
      <c r="I2728" s="3">
        <v>46279</v>
      </c>
      <c r="L2728" s="31">
        <v>46279.436360219908</v>
      </c>
      <c r="M2728" s="20">
        <v>12</v>
      </c>
      <c r="N2728" s="1">
        <v>20</v>
      </c>
    </row>
    <row r="2729" spans="1:14" x14ac:dyDescent="0.25">
      <c r="A2729" t="str">
        <f t="shared" si="86"/>
        <v>78758217875821</v>
      </c>
      <c r="B2729" t="str">
        <f t="shared" si="87"/>
        <v>7875821WL515SB3-B</v>
      </c>
      <c r="C2729" s="1" t="s">
        <v>2</v>
      </c>
      <c r="D2729" s="1" t="s">
        <v>675</v>
      </c>
      <c r="E2729" s="1" t="s">
        <v>388</v>
      </c>
      <c r="F2729" s="1" t="s">
        <v>389</v>
      </c>
      <c r="G2729" s="1" t="s">
        <v>387</v>
      </c>
      <c r="H2729" s="1">
        <v>642</v>
      </c>
      <c r="I2729" s="3">
        <v>46279</v>
      </c>
      <c r="L2729" s="31">
        <v>46279.437154398147</v>
      </c>
      <c r="M2729" s="20">
        <v>12</v>
      </c>
      <c r="N2729" s="1">
        <v>3</v>
      </c>
    </row>
    <row r="2730" spans="1:14" x14ac:dyDescent="0.25">
      <c r="A2730" t="str">
        <f t="shared" si="86"/>
        <v>78758217875821</v>
      </c>
      <c r="B2730" t="str">
        <f t="shared" si="87"/>
        <v>7875821WL515SB3-B</v>
      </c>
      <c r="C2730" s="1" t="s">
        <v>2</v>
      </c>
      <c r="D2730" s="1" t="s">
        <v>675</v>
      </c>
      <c r="E2730" s="1" t="s">
        <v>388</v>
      </c>
      <c r="F2730" s="1" t="s">
        <v>389</v>
      </c>
      <c r="G2730" s="1" t="s">
        <v>387</v>
      </c>
      <c r="H2730" s="1">
        <v>642</v>
      </c>
      <c r="I2730" s="3">
        <v>46279</v>
      </c>
      <c r="L2730" s="31">
        <v>46279.445894247685</v>
      </c>
      <c r="M2730" s="20">
        <v>12</v>
      </c>
      <c r="N2730" s="1">
        <v>48</v>
      </c>
    </row>
    <row r="2731" spans="1:14" x14ac:dyDescent="0.25">
      <c r="A2731" t="str">
        <f t="shared" si="86"/>
        <v>78758217875821</v>
      </c>
      <c r="B2731" t="str">
        <f t="shared" si="87"/>
        <v>7875821WL515SB3-B</v>
      </c>
      <c r="C2731" s="1" t="s">
        <v>2</v>
      </c>
      <c r="D2731" s="1" t="s">
        <v>675</v>
      </c>
      <c r="E2731" s="1" t="s">
        <v>388</v>
      </c>
      <c r="F2731" s="1" t="s">
        <v>389</v>
      </c>
      <c r="G2731" s="1" t="s">
        <v>387</v>
      </c>
      <c r="H2731" s="1">
        <v>642</v>
      </c>
      <c r="I2731" s="3">
        <v>46279</v>
      </c>
      <c r="L2731" s="31">
        <v>46279.460190590275</v>
      </c>
      <c r="M2731" s="20">
        <v>12</v>
      </c>
      <c r="N2731" s="1">
        <v>29</v>
      </c>
    </row>
    <row r="2732" spans="1:14" x14ac:dyDescent="0.25">
      <c r="A2732" t="str">
        <f t="shared" si="86"/>
        <v>78758217875821</v>
      </c>
      <c r="B2732" t="str">
        <f t="shared" si="87"/>
        <v>7875821WL515SB3-B</v>
      </c>
      <c r="C2732" s="1" t="s">
        <v>2</v>
      </c>
      <c r="D2732" s="1" t="s">
        <v>675</v>
      </c>
      <c r="E2732" s="1" t="s">
        <v>388</v>
      </c>
      <c r="F2732" s="1" t="s">
        <v>389</v>
      </c>
      <c r="G2732" s="1" t="s">
        <v>387</v>
      </c>
      <c r="H2732" s="1">
        <v>642</v>
      </c>
      <c r="I2732" s="3">
        <v>46279</v>
      </c>
      <c r="L2732" s="31">
        <v>46279.467108449069</v>
      </c>
      <c r="M2732" s="20">
        <v>12</v>
      </c>
      <c r="N2732" s="1">
        <v>11</v>
      </c>
    </row>
    <row r="2733" spans="1:14" x14ac:dyDescent="0.25">
      <c r="A2733" t="str">
        <f t="shared" si="86"/>
        <v>78758217875821</v>
      </c>
      <c r="B2733" t="str">
        <f t="shared" si="87"/>
        <v>7875821WL515SB3-B</v>
      </c>
      <c r="C2733" s="1" t="s">
        <v>2</v>
      </c>
      <c r="D2733" s="1" t="s">
        <v>675</v>
      </c>
      <c r="E2733" s="1" t="s">
        <v>388</v>
      </c>
      <c r="F2733" s="1" t="s">
        <v>389</v>
      </c>
      <c r="G2733" s="1" t="s">
        <v>387</v>
      </c>
      <c r="H2733" s="1">
        <v>642</v>
      </c>
      <c r="I2733" s="3">
        <v>46279</v>
      </c>
      <c r="L2733" s="31">
        <v>46279.467756712962</v>
      </c>
      <c r="M2733" s="20">
        <v>12</v>
      </c>
      <c r="N2733" s="1">
        <v>4</v>
      </c>
    </row>
    <row r="2734" spans="1:14" x14ac:dyDescent="0.25">
      <c r="A2734" t="str">
        <f t="shared" si="86"/>
        <v>78758217875821</v>
      </c>
      <c r="B2734" t="str">
        <f t="shared" si="87"/>
        <v>7875821WL515SB3-B</v>
      </c>
      <c r="C2734" s="1" t="s">
        <v>2</v>
      </c>
      <c r="D2734" s="1" t="s">
        <v>675</v>
      </c>
      <c r="E2734" s="1" t="s">
        <v>388</v>
      </c>
      <c r="F2734" s="1" t="s">
        <v>389</v>
      </c>
      <c r="G2734" s="1" t="s">
        <v>387</v>
      </c>
      <c r="H2734" s="1">
        <v>642</v>
      </c>
      <c r="I2734" s="3">
        <v>46279</v>
      </c>
      <c r="L2734" s="31">
        <v>46279.469389548613</v>
      </c>
      <c r="M2734" s="20">
        <v>12</v>
      </c>
      <c r="N2734" s="1">
        <v>39</v>
      </c>
    </row>
    <row r="2735" spans="1:14" x14ac:dyDescent="0.25">
      <c r="A2735" t="str">
        <f t="shared" si="86"/>
        <v>78758217875821</v>
      </c>
      <c r="B2735" t="str">
        <f t="shared" si="87"/>
        <v>7875821WL515SB3-B</v>
      </c>
      <c r="C2735" s="1" t="s">
        <v>2</v>
      </c>
      <c r="D2735" s="1" t="s">
        <v>675</v>
      </c>
      <c r="E2735" s="1" t="s">
        <v>388</v>
      </c>
      <c r="F2735" s="1" t="s">
        <v>389</v>
      </c>
      <c r="G2735" s="1" t="s">
        <v>387</v>
      </c>
      <c r="H2735" s="1">
        <v>642</v>
      </c>
      <c r="I2735" s="3">
        <v>46279</v>
      </c>
      <c r="L2735" s="31">
        <v>46279.545180787034</v>
      </c>
      <c r="M2735" s="20">
        <v>12</v>
      </c>
      <c r="N2735" s="1">
        <v>5</v>
      </c>
    </row>
    <row r="2736" spans="1:14" x14ac:dyDescent="0.25">
      <c r="A2736" t="str">
        <f t="shared" si="86"/>
        <v>78758217875821</v>
      </c>
      <c r="B2736" t="str">
        <f t="shared" si="87"/>
        <v>7875821WL515SB3-B</v>
      </c>
      <c r="C2736" s="1" t="s">
        <v>2</v>
      </c>
      <c r="D2736" s="1" t="s">
        <v>675</v>
      </c>
      <c r="E2736" s="1" t="s">
        <v>388</v>
      </c>
      <c r="F2736" s="1" t="s">
        <v>389</v>
      </c>
      <c r="G2736" s="1" t="s">
        <v>387</v>
      </c>
      <c r="H2736" s="1">
        <v>642</v>
      </c>
      <c r="I2736" s="3">
        <v>46279</v>
      </c>
      <c r="L2736" s="31">
        <v>46279.545723067131</v>
      </c>
      <c r="M2736" s="20">
        <v>12</v>
      </c>
      <c r="N2736" s="1">
        <v>21</v>
      </c>
    </row>
    <row r="2737" spans="1:14" x14ac:dyDescent="0.25">
      <c r="A2737" t="str">
        <f t="shared" si="86"/>
        <v>78758217875821</v>
      </c>
      <c r="B2737" t="str">
        <f t="shared" si="87"/>
        <v>7875821WL515SB3-B</v>
      </c>
      <c r="C2737" s="1" t="s">
        <v>2</v>
      </c>
      <c r="D2737" s="1" t="s">
        <v>675</v>
      </c>
      <c r="E2737" s="1" t="s">
        <v>388</v>
      </c>
      <c r="F2737" s="1" t="s">
        <v>389</v>
      </c>
      <c r="G2737" s="1" t="s">
        <v>387</v>
      </c>
      <c r="H2737" s="1">
        <v>642</v>
      </c>
      <c r="I2737" s="3">
        <v>46279</v>
      </c>
      <c r="L2737" s="31">
        <v>46279.548916979162</v>
      </c>
      <c r="M2737" s="20">
        <v>12</v>
      </c>
      <c r="N2737" s="1">
        <v>24</v>
      </c>
    </row>
    <row r="2738" spans="1:14" x14ac:dyDescent="0.25">
      <c r="A2738" t="str">
        <f t="shared" si="86"/>
        <v>78758217875821</v>
      </c>
      <c r="B2738" t="str">
        <f t="shared" si="87"/>
        <v>7875821WL515SB3-B</v>
      </c>
      <c r="C2738" s="1" t="s">
        <v>2</v>
      </c>
      <c r="D2738" s="1" t="s">
        <v>675</v>
      </c>
      <c r="E2738" s="1" t="s">
        <v>388</v>
      </c>
      <c r="F2738" s="1" t="s">
        <v>389</v>
      </c>
      <c r="G2738" s="1" t="s">
        <v>387</v>
      </c>
      <c r="H2738" s="1">
        <v>642</v>
      </c>
      <c r="I2738" s="3">
        <v>46279</v>
      </c>
      <c r="L2738" s="31">
        <v>46279.549654745366</v>
      </c>
      <c r="M2738" s="20">
        <v>12</v>
      </c>
      <c r="N2738" s="1">
        <v>12</v>
      </c>
    </row>
    <row r="2739" spans="1:14" x14ac:dyDescent="0.25">
      <c r="A2739" t="str">
        <f t="shared" si="86"/>
        <v>78758217875821</v>
      </c>
      <c r="B2739" t="str">
        <f t="shared" si="87"/>
        <v>7875821WL515SB3-B</v>
      </c>
      <c r="C2739" s="1" t="s">
        <v>2</v>
      </c>
      <c r="D2739" s="1" t="s">
        <v>675</v>
      </c>
      <c r="E2739" s="1" t="s">
        <v>388</v>
      </c>
      <c r="F2739" s="1" t="s">
        <v>389</v>
      </c>
      <c r="G2739" s="1" t="s">
        <v>387</v>
      </c>
      <c r="H2739" s="1">
        <v>642</v>
      </c>
      <c r="I2739" s="3">
        <v>46279</v>
      </c>
      <c r="L2739" s="31">
        <v>46279.552953472223</v>
      </c>
      <c r="M2739" s="20">
        <v>12</v>
      </c>
      <c r="N2739" s="1">
        <v>42</v>
      </c>
    </row>
    <row r="2740" spans="1:14" x14ac:dyDescent="0.25">
      <c r="A2740" t="str">
        <f t="shared" si="86"/>
        <v>78758217875821</v>
      </c>
      <c r="B2740" t="str">
        <f t="shared" si="87"/>
        <v>7875821WL515SB3-B</v>
      </c>
      <c r="C2740" s="1" t="s">
        <v>2</v>
      </c>
      <c r="D2740" s="1" t="s">
        <v>675</v>
      </c>
      <c r="E2740" s="1" t="s">
        <v>388</v>
      </c>
      <c r="F2740" s="1" t="s">
        <v>389</v>
      </c>
      <c r="G2740" s="1" t="s">
        <v>387</v>
      </c>
      <c r="H2740" s="1">
        <v>642</v>
      </c>
      <c r="I2740" s="3">
        <v>46279</v>
      </c>
      <c r="L2740" s="31">
        <v>46279.554509803238</v>
      </c>
      <c r="M2740" s="20">
        <v>12</v>
      </c>
      <c r="N2740" s="1">
        <v>33</v>
      </c>
    </row>
    <row r="2741" spans="1:14" x14ac:dyDescent="0.25">
      <c r="A2741" t="str">
        <f t="shared" si="86"/>
        <v>78758217875821</v>
      </c>
      <c r="B2741" t="str">
        <f t="shared" si="87"/>
        <v>7875821WL515SB3-B</v>
      </c>
      <c r="C2741" s="1" t="s">
        <v>2</v>
      </c>
      <c r="D2741" s="1" t="s">
        <v>675</v>
      </c>
      <c r="E2741" s="1" t="s">
        <v>388</v>
      </c>
      <c r="F2741" s="1" t="s">
        <v>389</v>
      </c>
      <c r="G2741" s="1" t="s">
        <v>387</v>
      </c>
      <c r="H2741" s="1">
        <v>642</v>
      </c>
      <c r="I2741" s="3">
        <v>46279</v>
      </c>
      <c r="L2741" s="31">
        <v>46279.556737812498</v>
      </c>
      <c r="M2741" s="20">
        <v>12</v>
      </c>
      <c r="N2741" s="1">
        <v>7</v>
      </c>
    </row>
    <row r="2742" spans="1:14" x14ac:dyDescent="0.25">
      <c r="A2742" t="str">
        <f t="shared" si="86"/>
        <v>78758217875821</v>
      </c>
      <c r="B2742" t="str">
        <f t="shared" si="87"/>
        <v>7875821WL515SB3-B</v>
      </c>
      <c r="C2742" s="1" t="s">
        <v>2</v>
      </c>
      <c r="D2742" s="1" t="s">
        <v>675</v>
      </c>
      <c r="E2742" s="1" t="s">
        <v>388</v>
      </c>
      <c r="F2742" s="1" t="s">
        <v>389</v>
      </c>
      <c r="G2742" s="1" t="s">
        <v>387</v>
      </c>
      <c r="H2742" s="1">
        <v>642</v>
      </c>
      <c r="I2742" s="3">
        <v>46279</v>
      </c>
      <c r="L2742" s="31">
        <v>46279.557013043981</v>
      </c>
      <c r="M2742" s="20">
        <v>12</v>
      </c>
      <c r="N2742" s="1">
        <v>25</v>
      </c>
    </row>
    <row r="2743" spans="1:14" x14ac:dyDescent="0.25">
      <c r="A2743" t="str">
        <f t="shared" si="86"/>
        <v>78758217875821</v>
      </c>
      <c r="B2743" t="str">
        <f t="shared" si="87"/>
        <v>7875821WL515SB3-B</v>
      </c>
      <c r="C2743" s="1" t="s">
        <v>2</v>
      </c>
      <c r="D2743" s="1" t="s">
        <v>675</v>
      </c>
      <c r="E2743" s="1" t="s">
        <v>388</v>
      </c>
      <c r="F2743" s="1" t="s">
        <v>389</v>
      </c>
      <c r="G2743" s="1" t="s">
        <v>387</v>
      </c>
      <c r="H2743" s="1">
        <v>642</v>
      </c>
      <c r="I2743" s="3">
        <v>46279</v>
      </c>
      <c r="L2743" s="31">
        <v>46279.557306712959</v>
      </c>
      <c r="M2743" s="20">
        <v>12</v>
      </c>
      <c r="N2743" s="1">
        <v>50</v>
      </c>
    </row>
    <row r="2744" spans="1:14" x14ac:dyDescent="0.25">
      <c r="A2744" t="str">
        <f t="shared" si="86"/>
        <v>78758217875821</v>
      </c>
      <c r="B2744" t="str">
        <f t="shared" si="87"/>
        <v>7875821WL515SB3-B</v>
      </c>
      <c r="C2744" s="1" t="s">
        <v>2</v>
      </c>
      <c r="D2744" s="1" t="s">
        <v>675</v>
      </c>
      <c r="E2744" s="1" t="s">
        <v>388</v>
      </c>
      <c r="F2744" s="1" t="s">
        <v>389</v>
      </c>
      <c r="G2744" s="1" t="s">
        <v>387</v>
      </c>
      <c r="H2744" s="1">
        <v>642</v>
      </c>
      <c r="I2744" s="3">
        <v>46279</v>
      </c>
      <c r="L2744" s="31">
        <v>46279.558027743056</v>
      </c>
      <c r="M2744" s="20">
        <v>12</v>
      </c>
      <c r="N2744" s="1">
        <v>13</v>
      </c>
    </row>
    <row r="2745" spans="1:14" x14ac:dyDescent="0.25">
      <c r="A2745" t="str">
        <f t="shared" si="86"/>
        <v>78758217875821</v>
      </c>
      <c r="B2745" t="str">
        <f t="shared" si="87"/>
        <v>7875821WL515SB3-B</v>
      </c>
      <c r="C2745" s="1" t="s">
        <v>2</v>
      </c>
      <c r="D2745" s="1" t="s">
        <v>675</v>
      </c>
      <c r="E2745" s="1" t="s">
        <v>388</v>
      </c>
      <c r="F2745" s="1" t="s">
        <v>389</v>
      </c>
      <c r="G2745" s="1" t="s">
        <v>387</v>
      </c>
      <c r="H2745" s="1">
        <v>642</v>
      </c>
      <c r="I2745" s="3">
        <v>46279</v>
      </c>
      <c r="L2745" s="31">
        <v>46279.558501736108</v>
      </c>
      <c r="M2745" s="20">
        <v>12</v>
      </c>
      <c r="N2745" s="1">
        <v>41</v>
      </c>
    </row>
    <row r="2746" spans="1:14" x14ac:dyDescent="0.25">
      <c r="A2746" t="str">
        <f t="shared" si="86"/>
        <v>78758217875821</v>
      </c>
      <c r="B2746" t="str">
        <f t="shared" si="87"/>
        <v>7875821WL515SB3-B</v>
      </c>
      <c r="C2746" s="1" t="s">
        <v>2</v>
      </c>
      <c r="D2746" s="1" t="s">
        <v>675</v>
      </c>
      <c r="E2746" s="1" t="s">
        <v>388</v>
      </c>
      <c r="F2746" s="1" t="s">
        <v>389</v>
      </c>
      <c r="G2746" s="1" t="s">
        <v>387</v>
      </c>
      <c r="H2746" s="1">
        <v>642</v>
      </c>
      <c r="I2746" s="3">
        <v>46279</v>
      </c>
      <c r="L2746" s="31">
        <v>46279.558783483793</v>
      </c>
      <c r="M2746" s="20">
        <v>12</v>
      </c>
      <c r="N2746" s="1">
        <v>51</v>
      </c>
    </row>
    <row r="2747" spans="1:14" x14ac:dyDescent="0.25">
      <c r="A2747" t="str">
        <f t="shared" si="86"/>
        <v>78758217875821</v>
      </c>
      <c r="B2747" t="str">
        <f t="shared" si="87"/>
        <v>7875821WL515SB3-B</v>
      </c>
      <c r="C2747" s="1" t="s">
        <v>2</v>
      </c>
      <c r="D2747" s="1" t="s">
        <v>675</v>
      </c>
      <c r="E2747" s="1" t="s">
        <v>388</v>
      </c>
      <c r="F2747" s="1" t="s">
        <v>389</v>
      </c>
      <c r="G2747" s="1" t="s">
        <v>387</v>
      </c>
      <c r="H2747" s="1">
        <v>642</v>
      </c>
      <c r="I2747" s="3">
        <v>46279</v>
      </c>
      <c r="L2747" s="31">
        <v>46279.570952048613</v>
      </c>
      <c r="M2747" s="20">
        <v>12</v>
      </c>
      <c r="N2747" s="1">
        <v>34</v>
      </c>
    </row>
    <row r="2748" spans="1:14" x14ac:dyDescent="0.25">
      <c r="A2748" t="str">
        <f t="shared" si="86"/>
        <v>78758217875821</v>
      </c>
      <c r="B2748" t="str">
        <f t="shared" si="87"/>
        <v>7875821WL515SB3-B</v>
      </c>
      <c r="C2748" s="1" t="s">
        <v>2</v>
      </c>
      <c r="D2748" s="1" t="s">
        <v>675</v>
      </c>
      <c r="E2748" s="1" t="s">
        <v>388</v>
      </c>
      <c r="F2748" s="1" t="s">
        <v>389</v>
      </c>
      <c r="G2748" s="1" t="s">
        <v>387</v>
      </c>
      <c r="H2748" s="1">
        <v>642</v>
      </c>
      <c r="I2748" s="3">
        <v>46279</v>
      </c>
      <c r="L2748" s="31">
        <v>46279.571517743054</v>
      </c>
      <c r="M2748" s="20">
        <v>12</v>
      </c>
      <c r="N2748" s="1">
        <v>26</v>
      </c>
    </row>
    <row r="2749" spans="1:14" x14ac:dyDescent="0.25">
      <c r="A2749" t="str">
        <f t="shared" si="86"/>
        <v>78758217875821</v>
      </c>
      <c r="B2749" t="str">
        <f t="shared" si="87"/>
        <v>7875821WL515SB3-B</v>
      </c>
      <c r="C2749" s="1" t="s">
        <v>2</v>
      </c>
      <c r="D2749" s="1" t="s">
        <v>675</v>
      </c>
      <c r="E2749" s="1" t="s">
        <v>388</v>
      </c>
      <c r="F2749" s="1" t="s">
        <v>389</v>
      </c>
      <c r="G2749" s="1" t="s">
        <v>387</v>
      </c>
      <c r="H2749" s="1">
        <v>642</v>
      </c>
      <c r="I2749" s="3">
        <v>46279</v>
      </c>
      <c r="L2749" s="31">
        <v>46279.573008449071</v>
      </c>
      <c r="M2749" s="20">
        <v>12</v>
      </c>
      <c r="N2749" s="1">
        <v>6</v>
      </c>
    </row>
    <row r="2750" spans="1:14" x14ac:dyDescent="0.25">
      <c r="A2750" t="str">
        <f t="shared" si="86"/>
        <v>78758217875821</v>
      </c>
      <c r="B2750" t="str">
        <f t="shared" si="87"/>
        <v>7875821WL515SB3-B</v>
      </c>
      <c r="C2750" s="1" t="s">
        <v>2</v>
      </c>
      <c r="D2750" s="1" t="s">
        <v>675</v>
      </c>
      <c r="E2750" s="1" t="s">
        <v>388</v>
      </c>
      <c r="F2750" s="1" t="s">
        <v>389</v>
      </c>
      <c r="G2750" s="1" t="s">
        <v>387</v>
      </c>
      <c r="H2750" s="1">
        <v>642</v>
      </c>
      <c r="I2750" s="3">
        <v>46279</v>
      </c>
      <c r="L2750" s="31">
        <v>46279.577408449069</v>
      </c>
      <c r="M2750" s="20">
        <v>12</v>
      </c>
      <c r="N2750" s="1">
        <v>15</v>
      </c>
    </row>
    <row r="2751" spans="1:14" x14ac:dyDescent="0.25">
      <c r="A2751" t="str">
        <f t="shared" si="86"/>
        <v>78758217875821</v>
      </c>
      <c r="B2751" t="str">
        <f t="shared" si="87"/>
        <v>7875821WL515SB3-B</v>
      </c>
      <c r="C2751" s="1" t="s">
        <v>2</v>
      </c>
      <c r="D2751" s="1" t="s">
        <v>675</v>
      </c>
      <c r="E2751" s="1" t="s">
        <v>388</v>
      </c>
      <c r="F2751" s="1" t="s">
        <v>389</v>
      </c>
      <c r="G2751" s="1" t="s">
        <v>387</v>
      </c>
      <c r="H2751" s="1">
        <v>642</v>
      </c>
      <c r="I2751" s="3">
        <v>46279</v>
      </c>
      <c r="L2751" s="31">
        <v>46279.585842673609</v>
      </c>
      <c r="M2751" s="20">
        <v>12</v>
      </c>
      <c r="N2751" s="1">
        <v>52</v>
      </c>
    </row>
    <row r="2752" spans="1:14" x14ac:dyDescent="0.25">
      <c r="A2752" t="str">
        <f t="shared" si="86"/>
        <v>78758217875821</v>
      </c>
      <c r="B2752" t="str">
        <f t="shared" si="87"/>
        <v>7875821WL515SB3-B</v>
      </c>
      <c r="C2752" s="1" t="s">
        <v>2</v>
      </c>
      <c r="D2752" s="1" t="s">
        <v>675</v>
      </c>
      <c r="E2752" s="1" t="s">
        <v>388</v>
      </c>
      <c r="F2752" s="1" t="s">
        <v>389</v>
      </c>
      <c r="G2752" s="1" t="s">
        <v>387</v>
      </c>
      <c r="H2752" s="1">
        <v>642</v>
      </c>
      <c r="I2752" s="3">
        <v>46279</v>
      </c>
      <c r="L2752" s="31">
        <v>46279.593629976851</v>
      </c>
      <c r="M2752" s="20">
        <v>12</v>
      </c>
      <c r="N2752" s="1">
        <v>35</v>
      </c>
    </row>
    <row r="2753" spans="1:14" x14ac:dyDescent="0.25">
      <c r="A2753" t="str">
        <f t="shared" si="86"/>
        <v>78758217875821</v>
      </c>
      <c r="B2753" t="str">
        <f t="shared" si="87"/>
        <v>7875821WL515SB3-B</v>
      </c>
      <c r="C2753" s="1" t="s">
        <v>2</v>
      </c>
      <c r="D2753" s="1" t="s">
        <v>675</v>
      </c>
      <c r="E2753" s="1" t="s">
        <v>388</v>
      </c>
      <c r="F2753" s="1" t="s">
        <v>389</v>
      </c>
      <c r="G2753" s="1" t="s">
        <v>387</v>
      </c>
      <c r="H2753" s="1">
        <v>642</v>
      </c>
      <c r="I2753" s="3">
        <v>46279</v>
      </c>
      <c r="L2753" s="31">
        <v>46279.594134027779</v>
      </c>
      <c r="M2753" s="20">
        <v>12</v>
      </c>
      <c r="N2753" s="1">
        <v>43</v>
      </c>
    </row>
    <row r="2754" spans="1:14" x14ac:dyDescent="0.25">
      <c r="A2754" t="str">
        <f t="shared" ref="A2754:A2817" si="88">+D2754&amp;D2754</f>
        <v>78758217875821</v>
      </c>
      <c r="B2754" t="str">
        <f t="shared" ref="B2754:B2817" si="89">+D2754&amp;C2754</f>
        <v>7875821WL515SB3-B</v>
      </c>
      <c r="C2754" s="1" t="s">
        <v>2</v>
      </c>
      <c r="D2754" s="1" t="s">
        <v>675</v>
      </c>
      <c r="E2754" s="1" t="s">
        <v>388</v>
      </c>
      <c r="F2754" s="1" t="s">
        <v>389</v>
      </c>
      <c r="G2754" s="1" t="s">
        <v>387</v>
      </c>
      <c r="H2754" s="1">
        <v>642</v>
      </c>
      <c r="I2754" s="3">
        <v>46279</v>
      </c>
      <c r="L2754" s="31">
        <v>46279.600047534717</v>
      </c>
      <c r="M2754" s="20">
        <v>12</v>
      </c>
      <c r="N2754" s="1">
        <v>27</v>
      </c>
    </row>
    <row r="2755" spans="1:14" x14ac:dyDescent="0.25">
      <c r="A2755" t="str">
        <f t="shared" si="88"/>
        <v>78758217875821</v>
      </c>
      <c r="B2755" t="str">
        <f t="shared" si="89"/>
        <v>7875821WL515SB3-B</v>
      </c>
      <c r="C2755" s="1" t="s">
        <v>2</v>
      </c>
      <c r="D2755" s="1" t="s">
        <v>675</v>
      </c>
      <c r="E2755" s="1" t="s">
        <v>388</v>
      </c>
      <c r="F2755" s="1" t="s">
        <v>389</v>
      </c>
      <c r="G2755" s="1" t="s">
        <v>387</v>
      </c>
      <c r="H2755" s="1">
        <v>642</v>
      </c>
      <c r="I2755" s="3">
        <v>46279</v>
      </c>
      <c r="L2755" s="31">
        <v>46279.605424768517</v>
      </c>
      <c r="M2755" s="20">
        <v>12</v>
      </c>
      <c r="N2755" s="1">
        <v>8</v>
      </c>
    </row>
    <row r="2756" spans="1:14" x14ac:dyDescent="0.25">
      <c r="A2756" t="str">
        <f t="shared" si="88"/>
        <v>78758217875821</v>
      </c>
      <c r="B2756" t="str">
        <f t="shared" si="89"/>
        <v>7875821WL515SB3-B</v>
      </c>
      <c r="C2756" s="1" t="s">
        <v>2</v>
      </c>
      <c r="D2756" s="1" t="s">
        <v>675</v>
      </c>
      <c r="E2756" s="1" t="s">
        <v>388</v>
      </c>
      <c r="F2756" s="1" t="s">
        <v>389</v>
      </c>
      <c r="G2756" s="1" t="s">
        <v>387</v>
      </c>
      <c r="H2756" s="1">
        <v>642</v>
      </c>
      <c r="I2756" s="3">
        <v>46279</v>
      </c>
      <c r="L2756" s="31">
        <v>46279.605754629629</v>
      </c>
      <c r="M2756" s="20">
        <v>12</v>
      </c>
      <c r="N2756" s="1">
        <v>22</v>
      </c>
    </row>
    <row r="2757" spans="1:14" x14ac:dyDescent="0.25">
      <c r="A2757" t="str">
        <f t="shared" si="88"/>
        <v>78758217875821</v>
      </c>
      <c r="B2757" t="str">
        <f t="shared" si="89"/>
        <v>7875821WL515SB3-B</v>
      </c>
      <c r="C2757" s="1" t="s">
        <v>2</v>
      </c>
      <c r="D2757" s="1" t="s">
        <v>675</v>
      </c>
      <c r="E2757" s="1" t="s">
        <v>388</v>
      </c>
      <c r="F2757" s="1" t="s">
        <v>389</v>
      </c>
      <c r="G2757" s="1" t="s">
        <v>387</v>
      </c>
      <c r="H2757" s="1">
        <v>642</v>
      </c>
      <c r="I2757" s="3">
        <v>46279</v>
      </c>
      <c r="L2757" s="31">
        <v>46279.616553240739</v>
      </c>
      <c r="M2757" s="20">
        <v>12</v>
      </c>
      <c r="N2757" s="1">
        <v>16</v>
      </c>
    </row>
    <row r="2758" spans="1:14" x14ac:dyDescent="0.25">
      <c r="A2758" t="str">
        <f t="shared" si="88"/>
        <v>78758217875821</v>
      </c>
      <c r="B2758" t="str">
        <f t="shared" si="89"/>
        <v>7875821WL515SB3-B</v>
      </c>
      <c r="C2758" s="1" t="s">
        <v>2</v>
      </c>
      <c r="D2758" s="1" t="s">
        <v>675</v>
      </c>
      <c r="E2758" s="1" t="s">
        <v>388</v>
      </c>
      <c r="F2758" s="1" t="s">
        <v>389</v>
      </c>
      <c r="G2758" s="1" t="s">
        <v>387</v>
      </c>
      <c r="H2758" s="1">
        <v>642</v>
      </c>
      <c r="I2758" s="3">
        <v>46279</v>
      </c>
      <c r="L2758" s="31">
        <v>46279.616797916664</v>
      </c>
      <c r="M2758" s="20">
        <v>12</v>
      </c>
      <c r="N2758" s="1">
        <v>53</v>
      </c>
    </row>
    <row r="2759" spans="1:14" x14ac:dyDescent="0.25">
      <c r="A2759" t="str">
        <f t="shared" si="88"/>
        <v>78758217875821</v>
      </c>
      <c r="B2759" t="str">
        <f t="shared" si="89"/>
        <v>7875821WL515SB3-B</v>
      </c>
      <c r="C2759" s="1" t="s">
        <v>2</v>
      </c>
      <c r="D2759" s="1" t="s">
        <v>675</v>
      </c>
      <c r="E2759" s="1" t="s">
        <v>388</v>
      </c>
      <c r="F2759" s="1" t="s">
        <v>389</v>
      </c>
      <c r="G2759" s="1" t="s">
        <v>387</v>
      </c>
      <c r="H2759" s="1">
        <v>642</v>
      </c>
      <c r="I2759" s="3">
        <v>46279</v>
      </c>
      <c r="L2759" s="31">
        <v>46279.621285300927</v>
      </c>
      <c r="M2759" s="20">
        <v>12</v>
      </c>
      <c r="N2759" s="1">
        <v>14</v>
      </c>
    </row>
    <row r="2760" spans="1:14" x14ac:dyDescent="0.25">
      <c r="A2760" t="str">
        <f t="shared" si="88"/>
        <v>78758217875821</v>
      </c>
      <c r="B2760" t="str">
        <f t="shared" si="89"/>
        <v>7875821WL515SB3-B</v>
      </c>
      <c r="C2760" s="1" t="s">
        <v>2</v>
      </c>
      <c r="D2760" s="1" t="s">
        <v>675</v>
      </c>
      <c r="E2760" s="1" t="s">
        <v>388</v>
      </c>
      <c r="F2760" s="1" t="s">
        <v>389</v>
      </c>
      <c r="G2760" s="1" t="s">
        <v>387</v>
      </c>
      <c r="H2760" s="1">
        <v>642</v>
      </c>
      <c r="I2760" s="3">
        <v>46279</v>
      </c>
      <c r="L2760" s="31">
        <v>46279.621979745367</v>
      </c>
      <c r="M2760" s="20">
        <v>12</v>
      </c>
      <c r="N2760" s="1">
        <v>36</v>
      </c>
    </row>
    <row r="2761" spans="1:14" x14ac:dyDescent="0.25">
      <c r="A2761" t="str">
        <f t="shared" si="88"/>
        <v>78758217875821</v>
      </c>
      <c r="B2761" t="str">
        <f t="shared" si="89"/>
        <v>7875821WL515SB3-B</v>
      </c>
      <c r="C2761" s="1" t="s">
        <v>2</v>
      </c>
      <c r="D2761" s="1" t="s">
        <v>675</v>
      </c>
      <c r="E2761" s="1" t="s">
        <v>388</v>
      </c>
      <c r="F2761" s="1" t="s">
        <v>389</v>
      </c>
      <c r="G2761" s="1" t="s">
        <v>387</v>
      </c>
      <c r="H2761" s="1">
        <v>642</v>
      </c>
      <c r="I2761" s="3">
        <v>46279</v>
      </c>
      <c r="L2761" s="31">
        <v>46279.622616284723</v>
      </c>
      <c r="M2761" s="20">
        <v>12</v>
      </c>
      <c r="N2761" s="1">
        <v>49</v>
      </c>
    </row>
    <row r="2762" spans="1:14" x14ac:dyDescent="0.25">
      <c r="A2762" t="str">
        <f t="shared" si="88"/>
        <v>78758217875821</v>
      </c>
      <c r="B2762" t="str">
        <f t="shared" si="89"/>
        <v>7875821WL515SB3-B</v>
      </c>
      <c r="C2762" s="1" t="s">
        <v>2</v>
      </c>
      <c r="D2762" s="1" t="s">
        <v>675</v>
      </c>
      <c r="E2762" s="1" t="s">
        <v>388</v>
      </c>
      <c r="F2762" s="1" t="s">
        <v>389</v>
      </c>
      <c r="G2762" s="1" t="s">
        <v>387</v>
      </c>
      <c r="H2762" s="1">
        <v>642</v>
      </c>
      <c r="I2762" s="3">
        <v>46279</v>
      </c>
      <c r="L2762" s="31">
        <v>46279.632532870368</v>
      </c>
      <c r="M2762" s="20">
        <v>12</v>
      </c>
      <c r="N2762" s="1">
        <v>44</v>
      </c>
    </row>
    <row r="2763" spans="1:14" x14ac:dyDescent="0.25">
      <c r="A2763" t="str">
        <f t="shared" si="88"/>
        <v>78758217875821</v>
      </c>
      <c r="B2763" t="str">
        <f t="shared" si="89"/>
        <v>7875821WL515SB3-B</v>
      </c>
      <c r="C2763" s="1" t="s">
        <v>2</v>
      </c>
      <c r="D2763" s="1" t="s">
        <v>675</v>
      </c>
      <c r="E2763" s="1" t="s">
        <v>388</v>
      </c>
      <c r="F2763" s="1" t="s">
        <v>389</v>
      </c>
      <c r="G2763" s="1" t="s">
        <v>387</v>
      </c>
      <c r="H2763" s="1">
        <v>642</v>
      </c>
      <c r="I2763" s="3">
        <v>46279</v>
      </c>
      <c r="L2763" s="31">
        <v>46279.653556944446</v>
      </c>
      <c r="M2763" s="20">
        <v>12</v>
      </c>
      <c r="N2763" s="1">
        <v>17</v>
      </c>
    </row>
    <row r="2764" spans="1:14" x14ac:dyDescent="0.25">
      <c r="A2764" t="str">
        <f t="shared" si="88"/>
        <v>78758217875821</v>
      </c>
      <c r="B2764" t="str">
        <f t="shared" si="89"/>
        <v>7875821WL515SB3-B</v>
      </c>
      <c r="C2764" s="1" t="s">
        <v>2</v>
      </c>
      <c r="D2764" s="1" t="s">
        <v>675</v>
      </c>
      <c r="E2764" s="1" t="s">
        <v>388</v>
      </c>
      <c r="F2764" s="1" t="s">
        <v>389</v>
      </c>
      <c r="G2764" s="1" t="s">
        <v>387</v>
      </c>
      <c r="H2764" s="1">
        <v>642</v>
      </c>
      <c r="I2764" s="3">
        <v>46279</v>
      </c>
      <c r="L2764" s="31">
        <v>46279.661492627311</v>
      </c>
      <c r="M2764" s="20">
        <v>12</v>
      </c>
      <c r="N2764" s="1">
        <v>18</v>
      </c>
    </row>
    <row r="2765" spans="1:14" x14ac:dyDescent="0.25">
      <c r="A2765" t="str">
        <f t="shared" si="88"/>
        <v>78758217875821</v>
      </c>
      <c r="B2765" t="str">
        <f t="shared" si="89"/>
        <v>7875821WL515SB3-B</v>
      </c>
      <c r="C2765" s="1" t="s">
        <v>2</v>
      </c>
      <c r="D2765" s="1" t="s">
        <v>675</v>
      </c>
      <c r="E2765" s="1" t="s">
        <v>388</v>
      </c>
      <c r="F2765" s="1" t="s">
        <v>389</v>
      </c>
      <c r="G2765" s="1" t="s">
        <v>387</v>
      </c>
      <c r="H2765" s="1">
        <v>642</v>
      </c>
      <c r="I2765" s="3">
        <v>46279</v>
      </c>
      <c r="L2765" s="31">
        <v>46279.662898414354</v>
      </c>
      <c r="M2765" s="20">
        <v>12</v>
      </c>
      <c r="N2765" s="1">
        <v>32</v>
      </c>
    </row>
    <row r="2766" spans="1:14" x14ac:dyDescent="0.25">
      <c r="A2766" t="str">
        <f t="shared" si="88"/>
        <v>78758217875821</v>
      </c>
      <c r="B2766" t="str">
        <f t="shared" si="89"/>
        <v>7875821WL515SB3-B</v>
      </c>
      <c r="C2766" s="1" t="s">
        <v>2</v>
      </c>
      <c r="D2766" s="1" t="s">
        <v>675</v>
      </c>
      <c r="E2766" s="1" t="s">
        <v>388</v>
      </c>
      <c r="F2766" s="1" t="s">
        <v>389</v>
      </c>
      <c r="G2766" s="1" t="s">
        <v>387</v>
      </c>
      <c r="H2766" s="1">
        <v>642</v>
      </c>
      <c r="I2766" s="3">
        <v>46279</v>
      </c>
      <c r="L2766" s="31">
        <v>46279.663203124997</v>
      </c>
      <c r="M2766" s="20">
        <v>12</v>
      </c>
      <c r="N2766" s="1">
        <v>47</v>
      </c>
    </row>
    <row r="2767" spans="1:14" x14ac:dyDescent="0.25">
      <c r="A2767" t="str">
        <f t="shared" si="88"/>
        <v>78758217875821</v>
      </c>
      <c r="B2767" t="str">
        <f t="shared" si="89"/>
        <v>7875821WL515SB3-B</v>
      </c>
      <c r="C2767" s="1" t="s">
        <v>2</v>
      </c>
      <c r="D2767" s="1" t="s">
        <v>675</v>
      </c>
      <c r="E2767" s="1" t="s">
        <v>388</v>
      </c>
      <c r="F2767" s="1" t="s">
        <v>389</v>
      </c>
      <c r="G2767" s="1" t="s">
        <v>387</v>
      </c>
      <c r="H2767" s="1">
        <v>642</v>
      </c>
      <c r="I2767" s="3">
        <v>46279</v>
      </c>
      <c r="L2767" s="31">
        <v>46279.668124386575</v>
      </c>
      <c r="M2767" s="20">
        <v>12</v>
      </c>
      <c r="N2767" s="1">
        <v>38</v>
      </c>
    </row>
    <row r="2768" spans="1:14" x14ac:dyDescent="0.25">
      <c r="A2768" t="str">
        <f t="shared" si="88"/>
        <v>78758217875821</v>
      </c>
      <c r="B2768" t="str">
        <f t="shared" si="89"/>
        <v>7875821WL515SB3-B</v>
      </c>
      <c r="C2768" s="1" t="s">
        <v>2</v>
      </c>
      <c r="D2768" s="1" t="s">
        <v>675</v>
      </c>
      <c r="E2768" s="1" t="s">
        <v>388</v>
      </c>
      <c r="F2768" s="1" t="s">
        <v>389</v>
      </c>
      <c r="G2768" s="1" t="s">
        <v>387</v>
      </c>
      <c r="H2768" s="1">
        <v>642</v>
      </c>
      <c r="I2768" s="3">
        <v>46279</v>
      </c>
      <c r="L2768" s="31">
        <v>46279.713668946759</v>
      </c>
      <c r="M2768" s="20">
        <v>6</v>
      </c>
      <c r="N2768" s="1">
        <v>54</v>
      </c>
    </row>
    <row r="2769" spans="1:14" x14ac:dyDescent="0.25">
      <c r="A2769" t="str">
        <f t="shared" si="88"/>
        <v>78758217875821</v>
      </c>
      <c r="B2769" t="str">
        <f t="shared" si="89"/>
        <v>7875821WL515SB3-B</v>
      </c>
      <c r="C2769" s="1" t="s">
        <v>2</v>
      </c>
      <c r="D2769" s="1" t="s">
        <v>675</v>
      </c>
      <c r="E2769" s="1" t="s">
        <v>388</v>
      </c>
      <c r="F2769" s="1" t="s">
        <v>389</v>
      </c>
      <c r="G2769" s="1" t="s">
        <v>387</v>
      </c>
      <c r="H2769" s="1">
        <v>642</v>
      </c>
      <c r="I2769" s="3">
        <v>46279</v>
      </c>
      <c r="L2769" s="31">
        <v>46279.714431018518</v>
      </c>
      <c r="M2769" s="20">
        <v>12</v>
      </c>
      <c r="N2769" s="1">
        <v>9</v>
      </c>
    </row>
    <row r="2770" spans="1:14" x14ac:dyDescent="0.25">
      <c r="A2770" t="str">
        <f t="shared" si="88"/>
        <v>78758217875821</v>
      </c>
      <c r="B2770" t="str">
        <f t="shared" si="89"/>
        <v>7875821WL515SB3-B</v>
      </c>
      <c r="C2770" s="1" t="s">
        <v>2</v>
      </c>
      <c r="D2770" s="1" t="s">
        <v>675</v>
      </c>
      <c r="E2770" s="1" t="s">
        <v>388</v>
      </c>
      <c r="F2770" s="1" t="s">
        <v>389</v>
      </c>
      <c r="G2770" s="1" t="s">
        <v>387</v>
      </c>
      <c r="H2770" s="1">
        <v>642</v>
      </c>
      <c r="I2770" s="3">
        <v>46279</v>
      </c>
      <c r="L2770" s="31">
        <v>46279.730709293981</v>
      </c>
      <c r="M2770" s="20">
        <v>12</v>
      </c>
      <c r="N2770" s="1">
        <v>23</v>
      </c>
    </row>
    <row r="2771" spans="1:14" x14ac:dyDescent="0.25">
      <c r="A2771" t="str">
        <f t="shared" si="88"/>
        <v>78807187880718</v>
      </c>
      <c r="B2771" t="str">
        <f t="shared" si="89"/>
        <v>7880718G6035EQ-M</v>
      </c>
      <c r="C2771" s="1" t="s">
        <v>677</v>
      </c>
      <c r="D2771" s="1" t="s">
        <v>683</v>
      </c>
      <c r="E2771" s="1" t="s">
        <v>388</v>
      </c>
      <c r="F2771" s="1" t="s">
        <v>389</v>
      </c>
      <c r="G2771" s="1" t="s">
        <v>387</v>
      </c>
      <c r="H2771" s="1">
        <v>336</v>
      </c>
      <c r="I2771" s="3">
        <v>46279</v>
      </c>
      <c r="L2771" s="31">
        <v>46279.659727048609</v>
      </c>
      <c r="M2771" s="20">
        <v>12</v>
      </c>
      <c r="N2771" s="1">
        <v>24</v>
      </c>
    </row>
    <row r="2772" spans="1:14" x14ac:dyDescent="0.25">
      <c r="A2772" t="str">
        <f t="shared" si="88"/>
        <v>78807187880718</v>
      </c>
      <c r="B2772" t="str">
        <f t="shared" si="89"/>
        <v>7880718G6035EQ-M</v>
      </c>
      <c r="C2772" s="1" t="s">
        <v>677</v>
      </c>
      <c r="D2772" s="1" t="s">
        <v>683</v>
      </c>
      <c r="E2772" s="1" t="s">
        <v>388</v>
      </c>
      <c r="F2772" s="1" t="s">
        <v>389</v>
      </c>
      <c r="G2772" s="1" t="s">
        <v>387</v>
      </c>
      <c r="H2772" s="1">
        <v>336</v>
      </c>
      <c r="I2772" s="3">
        <v>46279</v>
      </c>
      <c r="L2772" s="31">
        <v>46279.660398958331</v>
      </c>
      <c r="M2772" s="20">
        <v>12</v>
      </c>
      <c r="N2772" s="1">
        <v>15</v>
      </c>
    </row>
    <row r="2773" spans="1:14" x14ac:dyDescent="0.25">
      <c r="A2773" t="str">
        <f t="shared" si="88"/>
        <v>78807187880718</v>
      </c>
      <c r="B2773" t="str">
        <f t="shared" si="89"/>
        <v>7880718G6035EQ-M</v>
      </c>
      <c r="C2773" s="1" t="s">
        <v>677</v>
      </c>
      <c r="D2773" s="1" t="s">
        <v>683</v>
      </c>
      <c r="E2773" s="1" t="s">
        <v>388</v>
      </c>
      <c r="F2773" s="1" t="s">
        <v>389</v>
      </c>
      <c r="G2773" s="1" t="s">
        <v>387</v>
      </c>
      <c r="H2773" s="1">
        <v>336</v>
      </c>
      <c r="I2773" s="3">
        <v>46279</v>
      </c>
      <c r="L2773" s="31">
        <v>46279.672097569441</v>
      </c>
      <c r="M2773" s="20">
        <v>12</v>
      </c>
      <c r="N2773" s="1">
        <v>10</v>
      </c>
    </row>
    <row r="2774" spans="1:14" x14ac:dyDescent="0.25">
      <c r="A2774" t="str">
        <f t="shared" si="88"/>
        <v>78807187880718</v>
      </c>
      <c r="B2774" t="str">
        <f t="shared" si="89"/>
        <v>7880718G6035EQ-M</v>
      </c>
      <c r="C2774" s="1" t="s">
        <v>677</v>
      </c>
      <c r="D2774" s="1" t="s">
        <v>683</v>
      </c>
      <c r="E2774" s="1" t="s">
        <v>388</v>
      </c>
      <c r="F2774" s="1" t="s">
        <v>389</v>
      </c>
      <c r="G2774" s="1" t="s">
        <v>387</v>
      </c>
      <c r="H2774" s="1">
        <v>336</v>
      </c>
      <c r="I2774" s="3">
        <v>46279</v>
      </c>
      <c r="L2774" s="31">
        <v>46279.672324305553</v>
      </c>
      <c r="M2774" s="20">
        <v>12</v>
      </c>
      <c r="N2774" s="1">
        <v>23</v>
      </c>
    </row>
    <row r="2775" spans="1:14" x14ac:dyDescent="0.25">
      <c r="A2775" t="str">
        <f t="shared" si="88"/>
        <v>78807187880718</v>
      </c>
      <c r="B2775" t="str">
        <f t="shared" si="89"/>
        <v>7880718G6035EQ-M</v>
      </c>
      <c r="C2775" s="1" t="s">
        <v>677</v>
      </c>
      <c r="D2775" s="1" t="s">
        <v>683</v>
      </c>
      <c r="E2775" s="1" t="s">
        <v>388</v>
      </c>
      <c r="F2775" s="1" t="s">
        <v>389</v>
      </c>
      <c r="G2775" s="1" t="s">
        <v>387</v>
      </c>
      <c r="H2775" s="1">
        <v>336</v>
      </c>
      <c r="I2775" s="3">
        <v>46279</v>
      </c>
      <c r="L2775" s="31">
        <v>46279.672474687497</v>
      </c>
      <c r="M2775" s="20">
        <v>12</v>
      </c>
      <c r="N2775" s="1">
        <v>19</v>
      </c>
    </row>
    <row r="2776" spans="1:14" x14ac:dyDescent="0.25">
      <c r="A2776" t="str">
        <f t="shared" si="88"/>
        <v>78807187880718</v>
      </c>
      <c r="B2776" t="str">
        <f t="shared" si="89"/>
        <v>7880718G6035EQ-M</v>
      </c>
      <c r="C2776" s="1" t="s">
        <v>677</v>
      </c>
      <c r="D2776" s="1" t="s">
        <v>683</v>
      </c>
      <c r="E2776" s="1" t="s">
        <v>388</v>
      </c>
      <c r="F2776" s="1" t="s">
        <v>389</v>
      </c>
      <c r="G2776" s="1" t="s">
        <v>387</v>
      </c>
      <c r="H2776" s="1">
        <v>336</v>
      </c>
      <c r="I2776" s="3">
        <v>46279</v>
      </c>
      <c r="L2776" s="31">
        <v>46279.676712766202</v>
      </c>
      <c r="M2776" s="20">
        <v>12</v>
      </c>
      <c r="N2776" s="1">
        <v>8</v>
      </c>
    </row>
    <row r="2777" spans="1:14" x14ac:dyDescent="0.25">
      <c r="A2777" t="str">
        <f t="shared" si="88"/>
        <v>78807187880718</v>
      </c>
      <c r="B2777" t="str">
        <f t="shared" si="89"/>
        <v>7880718G6035EQ-M</v>
      </c>
      <c r="C2777" s="1" t="s">
        <v>677</v>
      </c>
      <c r="D2777" s="1" t="s">
        <v>683</v>
      </c>
      <c r="E2777" s="1" t="s">
        <v>388</v>
      </c>
      <c r="F2777" s="1" t="s">
        <v>389</v>
      </c>
      <c r="G2777" s="1" t="s">
        <v>387</v>
      </c>
      <c r="H2777" s="1">
        <v>336</v>
      </c>
      <c r="I2777" s="3">
        <v>46279</v>
      </c>
      <c r="L2777" s="31">
        <v>46279.676950775458</v>
      </c>
      <c r="M2777" s="20">
        <v>12</v>
      </c>
      <c r="N2777" s="1">
        <v>12</v>
      </c>
    </row>
    <row r="2778" spans="1:14" x14ac:dyDescent="0.25">
      <c r="A2778" t="str">
        <f t="shared" si="88"/>
        <v>78807187880718</v>
      </c>
      <c r="B2778" t="str">
        <f t="shared" si="89"/>
        <v>7880718G6035EQ-M</v>
      </c>
      <c r="C2778" s="1" t="s">
        <v>677</v>
      </c>
      <c r="D2778" s="1" t="s">
        <v>683</v>
      </c>
      <c r="E2778" s="1" t="s">
        <v>388</v>
      </c>
      <c r="F2778" s="1" t="s">
        <v>389</v>
      </c>
      <c r="G2778" s="1" t="s">
        <v>387</v>
      </c>
      <c r="H2778" s="1">
        <v>336</v>
      </c>
      <c r="I2778" s="3">
        <v>46279</v>
      </c>
      <c r="L2778" s="31">
        <v>46279.677354942127</v>
      </c>
      <c r="M2778" s="20">
        <v>12</v>
      </c>
      <c r="N2778" s="1">
        <v>25</v>
      </c>
    </row>
    <row r="2779" spans="1:14" x14ac:dyDescent="0.25">
      <c r="A2779" t="str">
        <f t="shared" si="88"/>
        <v>78807187880718</v>
      </c>
      <c r="B2779" t="str">
        <f t="shared" si="89"/>
        <v>7880718G6035EQ-M</v>
      </c>
      <c r="C2779" s="1" t="s">
        <v>677</v>
      </c>
      <c r="D2779" s="1" t="s">
        <v>683</v>
      </c>
      <c r="E2779" s="1" t="s">
        <v>388</v>
      </c>
      <c r="F2779" s="1" t="s">
        <v>389</v>
      </c>
      <c r="G2779" s="1" t="s">
        <v>387</v>
      </c>
      <c r="H2779" s="1">
        <v>336</v>
      </c>
      <c r="I2779" s="3">
        <v>46279</v>
      </c>
      <c r="L2779" s="31">
        <v>46279.688303437499</v>
      </c>
      <c r="M2779" s="20">
        <v>12</v>
      </c>
      <c r="N2779" s="1">
        <v>16</v>
      </c>
    </row>
    <row r="2780" spans="1:14" x14ac:dyDescent="0.25">
      <c r="A2780" t="str">
        <f t="shared" si="88"/>
        <v>78807187880718</v>
      </c>
      <c r="B2780" t="str">
        <f t="shared" si="89"/>
        <v>7880718G6035EQ-M</v>
      </c>
      <c r="C2780" s="1" t="s">
        <v>677</v>
      </c>
      <c r="D2780" s="1" t="s">
        <v>683</v>
      </c>
      <c r="E2780" s="1" t="s">
        <v>388</v>
      </c>
      <c r="F2780" s="1" t="s">
        <v>389</v>
      </c>
      <c r="G2780" s="1" t="s">
        <v>387</v>
      </c>
      <c r="H2780" s="1">
        <v>336</v>
      </c>
      <c r="I2780" s="3">
        <v>46279</v>
      </c>
      <c r="L2780" s="31">
        <v>46279.688532488421</v>
      </c>
      <c r="M2780" s="20">
        <v>12</v>
      </c>
      <c r="N2780" s="1">
        <v>1</v>
      </c>
    </row>
    <row r="2781" spans="1:14" x14ac:dyDescent="0.25">
      <c r="A2781" t="str">
        <f t="shared" si="88"/>
        <v>78807187880718</v>
      </c>
      <c r="B2781" t="str">
        <f t="shared" si="89"/>
        <v>7880718G6035EQ-M</v>
      </c>
      <c r="C2781" s="1" t="s">
        <v>677</v>
      </c>
      <c r="D2781" s="1" t="s">
        <v>683</v>
      </c>
      <c r="E2781" s="1" t="s">
        <v>388</v>
      </c>
      <c r="F2781" s="1" t="s">
        <v>389</v>
      </c>
      <c r="G2781" s="1" t="s">
        <v>387</v>
      </c>
      <c r="H2781" s="1">
        <v>336</v>
      </c>
      <c r="I2781" s="3">
        <v>46279</v>
      </c>
      <c r="L2781" s="31">
        <v>46279.700533715273</v>
      </c>
      <c r="M2781" s="20">
        <v>12</v>
      </c>
      <c r="N2781" s="1">
        <v>20</v>
      </c>
    </row>
    <row r="2782" spans="1:14" x14ac:dyDescent="0.25">
      <c r="A2782" t="str">
        <f t="shared" si="88"/>
        <v>78807187880718</v>
      </c>
      <c r="B2782" t="str">
        <f t="shared" si="89"/>
        <v>7880718G6035EQ-M</v>
      </c>
      <c r="C2782" s="1" t="s">
        <v>677</v>
      </c>
      <c r="D2782" s="1" t="s">
        <v>683</v>
      </c>
      <c r="E2782" s="1" t="s">
        <v>388</v>
      </c>
      <c r="F2782" s="1" t="s">
        <v>389</v>
      </c>
      <c r="G2782" s="1" t="s">
        <v>387</v>
      </c>
      <c r="H2782" s="1">
        <v>336</v>
      </c>
      <c r="I2782" s="3">
        <v>46279</v>
      </c>
      <c r="L2782" s="31">
        <v>46279.700947418976</v>
      </c>
      <c r="M2782" s="20">
        <v>12</v>
      </c>
      <c r="N2782" s="1">
        <v>11</v>
      </c>
    </row>
    <row r="2783" spans="1:14" x14ac:dyDescent="0.25">
      <c r="A2783" t="str">
        <f t="shared" si="88"/>
        <v>78807187880718</v>
      </c>
      <c r="B2783" t="str">
        <f t="shared" si="89"/>
        <v>7880718G6035EQ-M</v>
      </c>
      <c r="C2783" s="1" t="s">
        <v>677</v>
      </c>
      <c r="D2783" s="1" t="s">
        <v>683</v>
      </c>
      <c r="E2783" s="1" t="s">
        <v>388</v>
      </c>
      <c r="F2783" s="1" t="s">
        <v>389</v>
      </c>
      <c r="G2783" s="1" t="s">
        <v>387</v>
      </c>
      <c r="H2783" s="1">
        <v>336</v>
      </c>
      <c r="I2783" s="3">
        <v>46279</v>
      </c>
      <c r="L2783" s="31">
        <v>46279.706800150459</v>
      </c>
      <c r="M2783" s="20">
        <v>12</v>
      </c>
      <c r="N2783" s="1">
        <v>9</v>
      </c>
    </row>
    <row r="2784" spans="1:14" x14ac:dyDescent="0.25">
      <c r="A2784" t="str">
        <f t="shared" si="88"/>
        <v>78807187880718</v>
      </c>
      <c r="B2784" t="str">
        <f t="shared" si="89"/>
        <v>7880718G6035EQ-M</v>
      </c>
      <c r="C2784" s="1" t="s">
        <v>677</v>
      </c>
      <c r="D2784" s="1" t="s">
        <v>683</v>
      </c>
      <c r="E2784" s="1" t="s">
        <v>388</v>
      </c>
      <c r="F2784" s="1" t="s">
        <v>389</v>
      </c>
      <c r="G2784" s="1" t="s">
        <v>387</v>
      </c>
      <c r="H2784" s="1">
        <v>336</v>
      </c>
      <c r="I2784" s="3">
        <v>46279</v>
      </c>
      <c r="L2784" s="31">
        <v>46279.707339733795</v>
      </c>
      <c r="M2784" s="20">
        <v>12</v>
      </c>
      <c r="N2784" s="1">
        <v>2</v>
      </c>
    </row>
    <row r="2785" spans="1:14" x14ac:dyDescent="0.25">
      <c r="A2785" t="str">
        <f t="shared" si="88"/>
        <v>C135233C135233</v>
      </c>
      <c r="B2785" t="str">
        <f t="shared" si="89"/>
        <v>C135233M515S54Y-D</v>
      </c>
      <c r="C2785" s="1" t="s">
        <v>95</v>
      </c>
      <c r="D2785" s="1" t="s">
        <v>686</v>
      </c>
      <c r="E2785" s="1" t="s">
        <v>397</v>
      </c>
      <c r="F2785" s="1" t="s">
        <v>400</v>
      </c>
      <c r="G2785" s="1" t="s">
        <v>401</v>
      </c>
      <c r="H2785" s="1">
        <v>30</v>
      </c>
      <c r="I2785" s="3">
        <v>46279</v>
      </c>
      <c r="J2785" s="3">
        <v>46282</v>
      </c>
      <c r="K2785" s="3" t="s">
        <v>2374</v>
      </c>
      <c r="L2785" s="31">
        <v>46279.727692708329</v>
      </c>
      <c r="M2785" s="20">
        <v>6</v>
      </c>
      <c r="N2785" s="1">
        <v>5</v>
      </c>
    </row>
    <row r="2786" spans="1:14" x14ac:dyDescent="0.25">
      <c r="A2786" t="str">
        <f t="shared" si="88"/>
        <v>C135233C135233</v>
      </c>
      <c r="B2786" t="str">
        <f t="shared" si="89"/>
        <v>C135233M515S54Y-4E</v>
      </c>
      <c r="C2786" s="1" t="s">
        <v>89</v>
      </c>
      <c r="D2786" s="1" t="s">
        <v>686</v>
      </c>
      <c r="E2786" s="1" t="s">
        <v>397</v>
      </c>
      <c r="F2786" s="1" t="s">
        <v>400</v>
      </c>
      <c r="G2786" s="1" t="s">
        <v>401</v>
      </c>
      <c r="H2786" s="1">
        <v>36</v>
      </c>
      <c r="I2786" s="3">
        <v>46279</v>
      </c>
      <c r="J2786" s="3">
        <v>46279</v>
      </c>
      <c r="K2786" s="3" t="s">
        <v>2374</v>
      </c>
      <c r="L2786" s="31">
        <v>46279.731273958329</v>
      </c>
      <c r="M2786" s="20">
        <v>6</v>
      </c>
      <c r="N2786" s="1">
        <v>22</v>
      </c>
    </row>
    <row r="2787" spans="1:14" x14ac:dyDescent="0.25">
      <c r="A2787" t="str">
        <f t="shared" si="88"/>
        <v>C135233C135233</v>
      </c>
      <c r="B2787" t="str">
        <f t="shared" si="89"/>
        <v>C135233M515S54Y-4E</v>
      </c>
      <c r="C2787" s="1" t="s">
        <v>89</v>
      </c>
      <c r="D2787" s="1" t="s">
        <v>686</v>
      </c>
      <c r="E2787" s="1" t="s">
        <v>397</v>
      </c>
      <c r="F2787" s="1" t="s">
        <v>400</v>
      </c>
      <c r="G2787" s="1" t="s">
        <v>401</v>
      </c>
      <c r="H2787" s="1">
        <v>36</v>
      </c>
      <c r="I2787" s="3">
        <v>46279</v>
      </c>
      <c r="J2787" s="3">
        <v>46279</v>
      </c>
      <c r="K2787" s="3" t="s">
        <v>2374</v>
      </c>
      <c r="L2787" s="31">
        <v>46279.739815428242</v>
      </c>
      <c r="M2787" s="20">
        <v>6</v>
      </c>
      <c r="N2787" s="1">
        <v>24</v>
      </c>
    </row>
    <row r="2788" spans="1:14" x14ac:dyDescent="0.25">
      <c r="A2788" t="str">
        <f t="shared" si="88"/>
        <v>C135233C135233</v>
      </c>
      <c r="B2788" t="str">
        <f t="shared" si="89"/>
        <v>C135233M515S54Y-D</v>
      </c>
      <c r="C2788" s="1" t="s">
        <v>95</v>
      </c>
      <c r="D2788" s="1" t="s">
        <v>686</v>
      </c>
      <c r="E2788" s="1" t="s">
        <v>397</v>
      </c>
      <c r="F2788" s="1" t="s">
        <v>400</v>
      </c>
      <c r="G2788" s="1" t="s">
        <v>401</v>
      </c>
      <c r="H2788" s="1">
        <v>30</v>
      </c>
      <c r="I2788" s="3">
        <v>46279</v>
      </c>
      <c r="J2788" s="3">
        <v>46282</v>
      </c>
      <c r="K2788" s="3" t="s">
        <v>2374</v>
      </c>
      <c r="L2788" s="31">
        <v>46279.743767164349</v>
      </c>
      <c r="M2788" s="20">
        <v>6</v>
      </c>
      <c r="N2788" s="1">
        <v>2</v>
      </c>
    </row>
    <row r="2789" spans="1:14" x14ac:dyDescent="0.25">
      <c r="A2789" t="str">
        <f t="shared" si="88"/>
        <v>C135233C135233</v>
      </c>
      <c r="B2789" t="str">
        <f t="shared" si="89"/>
        <v>C135233M515S54Y-4E</v>
      </c>
      <c r="C2789" s="1" t="s">
        <v>89</v>
      </c>
      <c r="D2789" s="1" t="s">
        <v>686</v>
      </c>
      <c r="E2789" s="1" t="s">
        <v>397</v>
      </c>
      <c r="F2789" s="1" t="s">
        <v>400</v>
      </c>
      <c r="G2789" s="1" t="s">
        <v>401</v>
      </c>
      <c r="H2789" s="1">
        <v>36</v>
      </c>
      <c r="I2789" s="3">
        <v>46279</v>
      </c>
      <c r="J2789" s="3">
        <v>46279</v>
      </c>
      <c r="K2789" s="3" t="s">
        <v>2374</v>
      </c>
      <c r="L2789" s="31">
        <v>46279.745877662033</v>
      </c>
      <c r="M2789" s="20">
        <v>6</v>
      </c>
      <c r="N2789" s="1">
        <v>21</v>
      </c>
    </row>
    <row r="2790" spans="1:14" x14ac:dyDescent="0.25">
      <c r="A2790" t="str">
        <f t="shared" si="88"/>
        <v>C135233C135233</v>
      </c>
      <c r="B2790" t="str">
        <f t="shared" si="89"/>
        <v>C135233M515S54Y-4E</v>
      </c>
      <c r="C2790" s="1" t="s">
        <v>89</v>
      </c>
      <c r="D2790" s="1" t="s">
        <v>686</v>
      </c>
      <c r="E2790" s="1" t="s">
        <v>397</v>
      </c>
      <c r="F2790" s="1" t="s">
        <v>400</v>
      </c>
      <c r="G2790" s="1" t="s">
        <v>401</v>
      </c>
      <c r="H2790" s="1">
        <v>36</v>
      </c>
      <c r="I2790" s="3">
        <v>46279</v>
      </c>
      <c r="J2790" s="3">
        <v>46279</v>
      </c>
      <c r="K2790" s="3" t="s">
        <v>2374</v>
      </c>
      <c r="L2790" s="31">
        <v>46279.746108333333</v>
      </c>
      <c r="M2790" s="20">
        <v>6</v>
      </c>
      <c r="N2790" s="1">
        <v>23</v>
      </c>
    </row>
    <row r="2791" spans="1:14" x14ac:dyDescent="0.25">
      <c r="A2791" t="str">
        <f t="shared" si="88"/>
        <v>C135233C135233</v>
      </c>
      <c r="B2791" t="str">
        <f t="shared" si="89"/>
        <v>C135233M515S54Y-4E</v>
      </c>
      <c r="C2791" s="1" t="s">
        <v>89</v>
      </c>
      <c r="D2791" s="1" t="s">
        <v>686</v>
      </c>
      <c r="E2791" s="1" t="s">
        <v>397</v>
      </c>
      <c r="F2791" s="1" t="s">
        <v>400</v>
      </c>
      <c r="G2791" s="1" t="s">
        <v>401</v>
      </c>
      <c r="H2791" s="1">
        <v>36</v>
      </c>
      <c r="I2791" s="3">
        <v>46279</v>
      </c>
      <c r="J2791" s="3">
        <v>46279</v>
      </c>
      <c r="K2791" s="3" t="s">
        <v>2374</v>
      </c>
      <c r="L2791" s="31">
        <v>46279.7479383912</v>
      </c>
      <c r="M2791" s="20">
        <v>6</v>
      </c>
      <c r="N2791" s="1">
        <v>25</v>
      </c>
    </row>
    <row r="2792" spans="1:14" x14ac:dyDescent="0.25">
      <c r="A2792" t="str">
        <f t="shared" si="88"/>
        <v>C135233C135233</v>
      </c>
      <c r="B2792" t="str">
        <f t="shared" si="89"/>
        <v>C135233M515S54Y-D</v>
      </c>
      <c r="C2792" s="1" t="s">
        <v>95</v>
      </c>
      <c r="D2792" s="1" t="s">
        <v>686</v>
      </c>
      <c r="E2792" s="1" t="s">
        <v>397</v>
      </c>
      <c r="F2792" s="1" t="s">
        <v>400</v>
      </c>
      <c r="G2792" s="1" t="s">
        <v>401</v>
      </c>
      <c r="H2792" s="1">
        <v>30</v>
      </c>
      <c r="I2792" s="3">
        <v>46279</v>
      </c>
      <c r="J2792" s="3">
        <v>46282</v>
      </c>
      <c r="K2792" s="3" t="s">
        <v>2374</v>
      </c>
      <c r="L2792" s="31">
        <v>46279.749988969903</v>
      </c>
      <c r="M2792" s="20">
        <v>6</v>
      </c>
      <c r="N2792" s="1">
        <v>3</v>
      </c>
    </row>
    <row r="2793" spans="1:14" x14ac:dyDescent="0.25">
      <c r="A2793" t="str">
        <f t="shared" si="88"/>
        <v>C135233C135233</v>
      </c>
      <c r="B2793" t="str">
        <f t="shared" si="89"/>
        <v>C135233M515S54Y-4E</v>
      </c>
      <c r="C2793" s="1" t="s">
        <v>89</v>
      </c>
      <c r="D2793" s="1" t="s">
        <v>686</v>
      </c>
      <c r="E2793" s="1" t="s">
        <v>397</v>
      </c>
      <c r="F2793" s="1" t="s">
        <v>400</v>
      </c>
      <c r="G2793" s="1" t="s">
        <v>401</v>
      </c>
      <c r="H2793" s="1">
        <v>36</v>
      </c>
      <c r="I2793" s="3">
        <v>46279</v>
      </c>
      <c r="J2793" s="3">
        <v>46279</v>
      </c>
      <c r="K2793" s="3" t="s">
        <v>2374</v>
      </c>
      <c r="L2793" s="31">
        <v>46279.752558333334</v>
      </c>
      <c r="M2793" s="20">
        <v>6</v>
      </c>
      <c r="N2793" s="1">
        <v>20</v>
      </c>
    </row>
    <row r="2794" spans="1:14" x14ac:dyDescent="0.25">
      <c r="A2794" t="str">
        <f t="shared" si="88"/>
        <v>C135233C135233</v>
      </c>
      <c r="B2794" t="str">
        <f t="shared" si="89"/>
        <v>C135233M515S54Y-2E</v>
      </c>
      <c r="C2794" s="1" t="s">
        <v>81</v>
      </c>
      <c r="D2794" s="1" t="s">
        <v>686</v>
      </c>
      <c r="E2794" s="1" t="s">
        <v>397</v>
      </c>
      <c r="F2794" s="1" t="s">
        <v>400</v>
      </c>
      <c r="G2794" s="1" t="s">
        <v>401</v>
      </c>
      <c r="H2794" s="1">
        <v>126</v>
      </c>
      <c r="I2794" s="3">
        <v>46279</v>
      </c>
      <c r="J2794" s="3">
        <v>46289</v>
      </c>
      <c r="K2794" s="3" t="s">
        <v>2374</v>
      </c>
      <c r="L2794" s="31">
        <v>46279.75278815972</v>
      </c>
      <c r="M2794" s="20">
        <v>12</v>
      </c>
      <c r="N2794" s="1">
        <v>7</v>
      </c>
    </row>
    <row r="2795" spans="1:14" x14ac:dyDescent="0.25">
      <c r="A2795" t="str">
        <f t="shared" si="88"/>
        <v>C135233C135233</v>
      </c>
      <c r="B2795" t="str">
        <f t="shared" si="89"/>
        <v>C135233M515S54Y-2E</v>
      </c>
      <c r="C2795" s="1" t="s">
        <v>81</v>
      </c>
      <c r="D2795" s="1" t="s">
        <v>686</v>
      </c>
      <c r="E2795" s="1" t="s">
        <v>397</v>
      </c>
      <c r="F2795" s="1" t="s">
        <v>400</v>
      </c>
      <c r="G2795" s="1" t="s">
        <v>401</v>
      </c>
      <c r="H2795" s="1">
        <v>126</v>
      </c>
      <c r="I2795" s="3">
        <v>46279</v>
      </c>
      <c r="J2795" s="3">
        <v>46289</v>
      </c>
      <c r="K2795" s="3" t="s">
        <v>2374</v>
      </c>
      <c r="L2795" s="31">
        <v>46279.753211840274</v>
      </c>
      <c r="M2795" s="20">
        <v>12</v>
      </c>
      <c r="N2795" s="1">
        <v>10</v>
      </c>
    </row>
    <row r="2796" spans="1:14" x14ac:dyDescent="0.25">
      <c r="A2796" t="str">
        <f t="shared" si="88"/>
        <v>C135233C135233</v>
      </c>
      <c r="B2796" t="str">
        <f t="shared" si="89"/>
        <v>C135233M515S54Y-2E</v>
      </c>
      <c r="C2796" s="1" t="s">
        <v>81</v>
      </c>
      <c r="D2796" s="1" t="s">
        <v>686</v>
      </c>
      <c r="E2796" s="1" t="s">
        <v>397</v>
      </c>
      <c r="F2796" s="1" t="s">
        <v>400</v>
      </c>
      <c r="G2796" s="1" t="s">
        <v>401</v>
      </c>
      <c r="H2796" s="1">
        <v>126</v>
      </c>
      <c r="I2796" s="3">
        <v>46279</v>
      </c>
      <c r="J2796" s="3">
        <v>46289</v>
      </c>
      <c r="K2796" s="3" t="s">
        <v>2374</v>
      </c>
      <c r="L2796" s="31">
        <v>46279.753643749995</v>
      </c>
      <c r="M2796" s="20">
        <v>12</v>
      </c>
      <c r="N2796" s="1">
        <v>6</v>
      </c>
    </row>
    <row r="2797" spans="1:14" x14ac:dyDescent="0.25">
      <c r="A2797" t="str">
        <f t="shared" si="88"/>
        <v>C135233C135233</v>
      </c>
      <c r="B2797" t="str">
        <f t="shared" si="89"/>
        <v>C135233M515S54Y-2E</v>
      </c>
      <c r="C2797" s="1" t="s">
        <v>81</v>
      </c>
      <c r="D2797" s="1" t="s">
        <v>686</v>
      </c>
      <c r="E2797" s="1" t="s">
        <v>397</v>
      </c>
      <c r="F2797" s="1" t="s">
        <v>400</v>
      </c>
      <c r="G2797" s="1" t="s">
        <v>401</v>
      </c>
      <c r="H2797" s="1">
        <v>126</v>
      </c>
      <c r="I2797" s="3">
        <v>46279</v>
      </c>
      <c r="J2797" s="3">
        <v>46289</v>
      </c>
      <c r="K2797" s="3" t="s">
        <v>2374</v>
      </c>
      <c r="L2797" s="31">
        <v>46279.753856481482</v>
      </c>
      <c r="M2797" s="20">
        <v>12</v>
      </c>
      <c r="N2797" s="1">
        <v>8</v>
      </c>
    </row>
    <row r="2798" spans="1:14" x14ac:dyDescent="0.25">
      <c r="A2798" t="str">
        <f t="shared" si="88"/>
        <v>H177689H177689</v>
      </c>
      <c r="B2798" t="str">
        <f t="shared" si="89"/>
        <v>H177689GC9060BK-M</v>
      </c>
      <c r="C2798" s="1" t="s">
        <v>79</v>
      </c>
      <c r="D2798" s="1" t="s">
        <v>672</v>
      </c>
      <c r="E2798" s="1" t="s">
        <v>524</v>
      </c>
      <c r="F2798" s="1" t="s">
        <v>525</v>
      </c>
      <c r="G2798" s="1" t="s">
        <v>404</v>
      </c>
      <c r="H2798" s="1">
        <v>516</v>
      </c>
      <c r="I2798" s="3">
        <v>46279</v>
      </c>
      <c r="J2798" s="3">
        <v>46289</v>
      </c>
      <c r="K2798" s="3" t="s">
        <v>2374</v>
      </c>
      <c r="L2798" s="31">
        <v>46279.361451620367</v>
      </c>
      <c r="M2798" s="20">
        <v>12</v>
      </c>
      <c r="N2798" s="1">
        <v>16</v>
      </c>
    </row>
    <row r="2799" spans="1:14" x14ac:dyDescent="0.25">
      <c r="A2799" t="str">
        <f t="shared" si="88"/>
        <v>H177689H177689</v>
      </c>
      <c r="B2799" t="str">
        <f t="shared" si="89"/>
        <v>H177689GC9060BK-M</v>
      </c>
      <c r="C2799" s="1" t="s">
        <v>79</v>
      </c>
      <c r="D2799" s="1" t="s">
        <v>672</v>
      </c>
      <c r="E2799" s="1" t="s">
        <v>524</v>
      </c>
      <c r="F2799" s="1" t="s">
        <v>525</v>
      </c>
      <c r="G2799" s="1" t="s">
        <v>404</v>
      </c>
      <c r="H2799" s="1">
        <v>516</v>
      </c>
      <c r="I2799" s="3">
        <v>46279</v>
      </c>
      <c r="J2799" s="3">
        <v>46289</v>
      </c>
      <c r="K2799" s="3" t="s">
        <v>2374</v>
      </c>
      <c r="L2799" s="31">
        <v>46279.362373229167</v>
      </c>
      <c r="M2799" s="20">
        <v>12</v>
      </c>
      <c r="N2799" s="1">
        <v>15</v>
      </c>
    </row>
    <row r="2800" spans="1:14" x14ac:dyDescent="0.25">
      <c r="A2800" t="str">
        <f t="shared" si="88"/>
        <v>H177689H177689</v>
      </c>
      <c r="B2800" t="str">
        <f t="shared" si="89"/>
        <v>H177689GC9060BK-M</v>
      </c>
      <c r="C2800" s="1" t="s">
        <v>79</v>
      </c>
      <c r="D2800" s="1" t="s">
        <v>672</v>
      </c>
      <c r="E2800" s="1" t="s">
        <v>524</v>
      </c>
      <c r="F2800" s="1" t="s">
        <v>525</v>
      </c>
      <c r="G2800" s="1" t="s">
        <v>404</v>
      </c>
      <c r="H2800" s="1">
        <v>516</v>
      </c>
      <c r="I2800" s="3">
        <v>46279</v>
      </c>
      <c r="J2800" s="3">
        <v>46289</v>
      </c>
      <c r="K2800" s="3" t="s">
        <v>2374</v>
      </c>
      <c r="L2800" s="31">
        <v>46279.369052743052</v>
      </c>
      <c r="M2800" s="20">
        <v>12</v>
      </c>
      <c r="N2800" s="1">
        <v>17</v>
      </c>
    </row>
    <row r="2801" spans="1:14" x14ac:dyDescent="0.25">
      <c r="A2801" t="str">
        <f t="shared" si="88"/>
        <v>H177689H177689</v>
      </c>
      <c r="B2801" t="str">
        <f t="shared" si="89"/>
        <v>H177689GC9060BK-M</v>
      </c>
      <c r="C2801" s="27" t="s">
        <v>79</v>
      </c>
      <c r="D2801" s="27" t="s">
        <v>672</v>
      </c>
      <c r="E2801" s="1" t="s">
        <v>524</v>
      </c>
      <c r="F2801" s="1" t="s">
        <v>525</v>
      </c>
      <c r="G2801" s="1" t="s">
        <v>404</v>
      </c>
      <c r="H2801" s="1">
        <v>516</v>
      </c>
      <c r="I2801" s="3">
        <v>46279</v>
      </c>
      <c r="J2801" s="3">
        <v>46289</v>
      </c>
      <c r="K2801" s="3" t="s">
        <v>2374</v>
      </c>
      <c r="L2801" s="31">
        <v>46279.379051886572</v>
      </c>
      <c r="M2801" s="20">
        <v>12</v>
      </c>
      <c r="N2801" s="1">
        <v>33</v>
      </c>
    </row>
    <row r="2802" spans="1:14" x14ac:dyDescent="0.25">
      <c r="A2802" t="str">
        <f t="shared" si="88"/>
        <v>H177689H177689</v>
      </c>
      <c r="B2802" t="str">
        <f t="shared" si="89"/>
        <v>H177689GC9060BK-M</v>
      </c>
      <c r="C2802" s="27" t="s">
        <v>79</v>
      </c>
      <c r="D2802" s="27" t="s">
        <v>672</v>
      </c>
      <c r="E2802" s="1" t="s">
        <v>524</v>
      </c>
      <c r="F2802" s="1" t="s">
        <v>525</v>
      </c>
      <c r="G2802" s="1" t="s">
        <v>404</v>
      </c>
      <c r="H2802" s="1">
        <v>516</v>
      </c>
      <c r="I2802" s="3">
        <v>46279</v>
      </c>
      <c r="J2802" s="3">
        <v>46289</v>
      </c>
      <c r="K2802" s="3" t="s">
        <v>2374</v>
      </c>
      <c r="L2802" s="31">
        <v>46279.379670486109</v>
      </c>
      <c r="M2802" s="20">
        <v>12</v>
      </c>
      <c r="N2802" s="1">
        <v>13</v>
      </c>
    </row>
    <row r="2803" spans="1:14" x14ac:dyDescent="0.25">
      <c r="A2803" t="str">
        <f t="shared" si="88"/>
        <v>H177689H177689</v>
      </c>
      <c r="B2803" t="str">
        <f t="shared" si="89"/>
        <v>H177689GC9060BK-M</v>
      </c>
      <c r="C2803" s="1" t="s">
        <v>79</v>
      </c>
      <c r="D2803" s="1" t="s">
        <v>672</v>
      </c>
      <c r="E2803" s="1" t="s">
        <v>524</v>
      </c>
      <c r="F2803" s="1" t="s">
        <v>525</v>
      </c>
      <c r="G2803" s="1" t="s">
        <v>404</v>
      </c>
      <c r="H2803" s="1">
        <v>516</v>
      </c>
      <c r="I2803" s="3">
        <v>46279</v>
      </c>
      <c r="J2803" s="3">
        <v>46289</v>
      </c>
      <c r="K2803" s="3" t="s">
        <v>2374</v>
      </c>
      <c r="L2803" s="31">
        <v>46279.390483877316</v>
      </c>
      <c r="M2803" s="20">
        <v>12</v>
      </c>
      <c r="N2803" s="1">
        <v>34</v>
      </c>
    </row>
    <row r="2804" spans="1:14" x14ac:dyDescent="0.25">
      <c r="A2804" t="str">
        <f t="shared" si="88"/>
        <v>H177689H177689</v>
      </c>
      <c r="B2804" t="str">
        <f t="shared" si="89"/>
        <v>H177689GC9060BK-M</v>
      </c>
      <c r="C2804" s="1" t="s">
        <v>79</v>
      </c>
      <c r="D2804" s="1" t="s">
        <v>672</v>
      </c>
      <c r="E2804" s="1" t="s">
        <v>524</v>
      </c>
      <c r="F2804" s="1" t="s">
        <v>525</v>
      </c>
      <c r="G2804" s="1" t="s">
        <v>404</v>
      </c>
      <c r="H2804" s="1">
        <v>516</v>
      </c>
      <c r="I2804" s="3">
        <v>46279</v>
      </c>
      <c r="J2804" s="3">
        <v>46289</v>
      </c>
      <c r="K2804" s="3" t="s">
        <v>2374</v>
      </c>
      <c r="L2804" s="31">
        <v>46279.662015740738</v>
      </c>
      <c r="M2804" s="20">
        <v>12</v>
      </c>
      <c r="N2804" s="1">
        <v>11</v>
      </c>
    </row>
    <row r="2805" spans="1:14" x14ac:dyDescent="0.25">
      <c r="A2805" t="str">
        <f t="shared" si="88"/>
        <v>H180127H180127</v>
      </c>
      <c r="B2805" t="str">
        <f t="shared" si="89"/>
        <v>H180127P60347T-M</v>
      </c>
      <c r="C2805" s="1" t="s">
        <v>272</v>
      </c>
      <c r="D2805" s="1" t="s">
        <v>680</v>
      </c>
      <c r="E2805" s="1" t="s">
        <v>2307</v>
      </c>
      <c r="F2805" s="1" t="s">
        <v>2308</v>
      </c>
      <c r="G2805" s="1" t="s">
        <v>404</v>
      </c>
      <c r="H2805" s="1">
        <v>264</v>
      </c>
      <c r="I2805" s="3">
        <v>46279</v>
      </c>
      <c r="J2805" s="3">
        <v>46280</v>
      </c>
      <c r="K2805" s="3" t="s">
        <v>2364</v>
      </c>
      <c r="L2805" s="31">
        <v>46279.56625196759</v>
      </c>
      <c r="M2805" s="20">
        <v>12</v>
      </c>
      <c r="N2805" s="1">
        <v>12</v>
      </c>
    </row>
    <row r="2806" spans="1:14" x14ac:dyDescent="0.25">
      <c r="A2806" t="str">
        <f t="shared" si="88"/>
        <v>H180127H180127</v>
      </c>
      <c r="B2806" t="str">
        <f t="shared" si="89"/>
        <v>H180127P60347T-M</v>
      </c>
      <c r="C2806" s="1" t="s">
        <v>272</v>
      </c>
      <c r="D2806" s="1" t="s">
        <v>680</v>
      </c>
      <c r="E2806" s="1" t="s">
        <v>2307</v>
      </c>
      <c r="F2806" s="1" t="s">
        <v>2308</v>
      </c>
      <c r="G2806" s="1" t="s">
        <v>404</v>
      </c>
      <c r="H2806" s="1">
        <v>264</v>
      </c>
      <c r="I2806" s="3">
        <v>46279</v>
      </c>
      <c r="J2806" s="3">
        <v>46280</v>
      </c>
      <c r="K2806" s="3" t="s">
        <v>2364</v>
      </c>
      <c r="L2806" s="31">
        <v>46279.566667013889</v>
      </c>
      <c r="M2806" s="20">
        <v>12</v>
      </c>
      <c r="N2806" s="1">
        <v>6</v>
      </c>
    </row>
    <row r="2807" spans="1:14" x14ac:dyDescent="0.25">
      <c r="A2807" t="str">
        <f t="shared" si="88"/>
        <v>H180127H180127</v>
      </c>
      <c r="B2807" t="str">
        <f t="shared" si="89"/>
        <v>H180127P60347T-M</v>
      </c>
      <c r="C2807" s="1" t="s">
        <v>272</v>
      </c>
      <c r="D2807" s="1" t="s">
        <v>680</v>
      </c>
      <c r="E2807" s="1" t="s">
        <v>2307</v>
      </c>
      <c r="F2807" s="1" t="s">
        <v>2308</v>
      </c>
      <c r="G2807" s="1" t="s">
        <v>404</v>
      </c>
      <c r="H2807" s="1">
        <v>264</v>
      </c>
      <c r="I2807" s="3">
        <v>46279</v>
      </c>
      <c r="J2807" s="3">
        <v>46280</v>
      </c>
      <c r="K2807" s="3" t="s">
        <v>2364</v>
      </c>
      <c r="L2807" s="31">
        <v>46279.570183645832</v>
      </c>
      <c r="M2807" s="20">
        <v>12</v>
      </c>
      <c r="N2807" s="1">
        <v>14</v>
      </c>
    </row>
    <row r="2808" spans="1:14" x14ac:dyDescent="0.25">
      <c r="A2808" t="str">
        <f t="shared" si="88"/>
        <v>H180127H180127</v>
      </c>
      <c r="B2808" t="str">
        <f t="shared" si="89"/>
        <v>H180127P60347T-M</v>
      </c>
      <c r="C2808" s="1" t="s">
        <v>272</v>
      </c>
      <c r="D2808" s="1" t="s">
        <v>680</v>
      </c>
      <c r="E2808" s="1" t="s">
        <v>2307</v>
      </c>
      <c r="F2808" s="1" t="s">
        <v>2308</v>
      </c>
      <c r="G2808" s="1" t="s">
        <v>404</v>
      </c>
      <c r="H2808" s="1">
        <v>264</v>
      </c>
      <c r="I2808" s="3">
        <v>46279</v>
      </c>
      <c r="J2808" s="3">
        <v>46280</v>
      </c>
      <c r="K2808" s="3" t="s">
        <v>2364</v>
      </c>
      <c r="L2808" s="31">
        <v>46279.571021608797</v>
      </c>
      <c r="M2808" s="20">
        <v>12</v>
      </c>
      <c r="N2808" s="1">
        <v>13</v>
      </c>
    </row>
    <row r="2809" spans="1:14" x14ac:dyDescent="0.25">
      <c r="A2809" t="str">
        <f t="shared" si="88"/>
        <v>H180127H180127</v>
      </c>
      <c r="B2809" t="str">
        <f t="shared" si="89"/>
        <v>H180127P60347T-M</v>
      </c>
      <c r="C2809" s="1" t="s">
        <v>272</v>
      </c>
      <c r="D2809" s="1" t="s">
        <v>680</v>
      </c>
      <c r="E2809" s="1" t="s">
        <v>2307</v>
      </c>
      <c r="F2809" s="1" t="s">
        <v>2308</v>
      </c>
      <c r="G2809" s="1" t="s">
        <v>404</v>
      </c>
      <c r="H2809" s="1">
        <v>264</v>
      </c>
      <c r="I2809" s="3">
        <v>46279</v>
      </c>
      <c r="J2809" s="3">
        <v>46280</v>
      </c>
      <c r="K2809" s="3" t="s">
        <v>2364</v>
      </c>
      <c r="L2809" s="31">
        <v>46279.579347569445</v>
      </c>
      <c r="M2809" s="20">
        <v>12</v>
      </c>
      <c r="N2809" s="1">
        <v>3</v>
      </c>
    </row>
    <row r="2810" spans="1:14" x14ac:dyDescent="0.25">
      <c r="A2810" t="str">
        <f t="shared" si="88"/>
        <v>H180127H180127</v>
      </c>
      <c r="B2810" t="str">
        <f t="shared" si="89"/>
        <v>H180127P60347T-M</v>
      </c>
      <c r="C2810" s="1" t="s">
        <v>272</v>
      </c>
      <c r="D2810" s="1" t="s">
        <v>680</v>
      </c>
      <c r="E2810" s="1" t="s">
        <v>2307</v>
      </c>
      <c r="F2810" s="1" t="s">
        <v>2308</v>
      </c>
      <c r="G2810" s="1" t="s">
        <v>404</v>
      </c>
      <c r="H2810" s="1">
        <v>264</v>
      </c>
      <c r="I2810" s="3">
        <v>46279</v>
      </c>
      <c r="J2810" s="3">
        <v>46280</v>
      </c>
      <c r="K2810" s="3" t="s">
        <v>2364</v>
      </c>
      <c r="L2810" s="31">
        <v>46279.579746678239</v>
      </c>
      <c r="M2810" s="20">
        <v>12</v>
      </c>
      <c r="N2810" s="1">
        <v>11</v>
      </c>
    </row>
    <row r="2811" spans="1:14" x14ac:dyDescent="0.25">
      <c r="A2811" t="str">
        <f t="shared" si="88"/>
        <v>H180127H180127</v>
      </c>
      <c r="B2811" t="str">
        <f t="shared" si="89"/>
        <v>H180127P60347T-M</v>
      </c>
      <c r="C2811" s="1" t="s">
        <v>272</v>
      </c>
      <c r="D2811" s="1" t="s">
        <v>680</v>
      </c>
      <c r="E2811" s="1" t="s">
        <v>2307</v>
      </c>
      <c r="F2811" s="1" t="s">
        <v>2308</v>
      </c>
      <c r="G2811" s="1" t="s">
        <v>404</v>
      </c>
      <c r="H2811" s="1">
        <v>264</v>
      </c>
      <c r="I2811" s="3">
        <v>46279</v>
      </c>
      <c r="J2811" s="3">
        <v>46280</v>
      </c>
      <c r="K2811" s="3" t="s">
        <v>2364</v>
      </c>
      <c r="L2811" s="31">
        <v>46279.579990162034</v>
      </c>
      <c r="M2811" s="20">
        <v>12</v>
      </c>
      <c r="N2811" s="1">
        <v>7</v>
      </c>
    </row>
    <row r="2812" spans="1:14" x14ac:dyDescent="0.25">
      <c r="A2812" t="str">
        <f t="shared" si="88"/>
        <v>H180127H180127</v>
      </c>
      <c r="B2812" t="str">
        <f t="shared" si="89"/>
        <v>H180127P60347T-M</v>
      </c>
      <c r="C2812" s="1" t="s">
        <v>272</v>
      </c>
      <c r="D2812" s="1" t="s">
        <v>680</v>
      </c>
      <c r="E2812" s="1" t="s">
        <v>2307</v>
      </c>
      <c r="F2812" s="1" t="s">
        <v>2308</v>
      </c>
      <c r="G2812" s="1" t="s">
        <v>404</v>
      </c>
      <c r="H2812" s="1">
        <v>264</v>
      </c>
      <c r="I2812" s="3">
        <v>46279</v>
      </c>
      <c r="J2812" s="3">
        <v>46280</v>
      </c>
      <c r="K2812" s="3" t="s">
        <v>2364</v>
      </c>
      <c r="L2812" s="31">
        <v>46279.580377199069</v>
      </c>
      <c r="M2812" s="20">
        <v>12</v>
      </c>
      <c r="N2812" s="1">
        <v>15</v>
      </c>
    </row>
    <row r="2813" spans="1:14" x14ac:dyDescent="0.25">
      <c r="A2813" t="str">
        <f t="shared" si="88"/>
        <v>H180127H180127</v>
      </c>
      <c r="B2813" t="str">
        <f t="shared" si="89"/>
        <v>H180127P60347T-M</v>
      </c>
      <c r="C2813" s="1" t="s">
        <v>272</v>
      </c>
      <c r="D2813" s="1" t="s">
        <v>680</v>
      </c>
      <c r="E2813" s="1" t="s">
        <v>2307</v>
      </c>
      <c r="F2813" s="1" t="s">
        <v>2308</v>
      </c>
      <c r="G2813" s="1" t="s">
        <v>404</v>
      </c>
      <c r="H2813" s="1">
        <v>264</v>
      </c>
      <c r="I2813" s="3">
        <v>46279</v>
      </c>
      <c r="J2813" s="3">
        <v>46280</v>
      </c>
      <c r="K2813" s="3" t="s">
        <v>2364</v>
      </c>
      <c r="L2813" s="31">
        <v>46279.595207175924</v>
      </c>
      <c r="M2813" s="20">
        <v>12</v>
      </c>
      <c r="N2813" s="1">
        <v>1</v>
      </c>
    </row>
    <row r="2814" spans="1:14" x14ac:dyDescent="0.25">
      <c r="A2814" t="str">
        <f t="shared" si="88"/>
        <v>H180127H180127</v>
      </c>
      <c r="B2814" t="str">
        <f t="shared" si="89"/>
        <v>H180127P60347T-M</v>
      </c>
      <c r="C2814" s="1" t="s">
        <v>272</v>
      </c>
      <c r="D2814" s="1" t="s">
        <v>680</v>
      </c>
      <c r="E2814" s="1" t="s">
        <v>2307</v>
      </c>
      <c r="F2814" s="1" t="s">
        <v>2308</v>
      </c>
      <c r="G2814" s="1" t="s">
        <v>404</v>
      </c>
      <c r="H2814" s="1">
        <v>264</v>
      </c>
      <c r="I2814" s="3">
        <v>46279</v>
      </c>
      <c r="J2814" s="3">
        <v>46280</v>
      </c>
      <c r="K2814" s="3" t="s">
        <v>2364</v>
      </c>
      <c r="L2814" s="31">
        <v>46279.595357638886</v>
      </c>
      <c r="M2814" s="20">
        <v>12</v>
      </c>
      <c r="N2814" s="1">
        <v>4</v>
      </c>
    </row>
    <row r="2815" spans="1:14" x14ac:dyDescent="0.25">
      <c r="A2815" t="str">
        <f t="shared" si="88"/>
        <v>H180127H180127</v>
      </c>
      <c r="B2815" t="str">
        <f t="shared" si="89"/>
        <v>H180127P60347T-M</v>
      </c>
      <c r="C2815" s="1" t="s">
        <v>272</v>
      </c>
      <c r="D2815" s="1" t="s">
        <v>680</v>
      </c>
      <c r="E2815" s="1" t="s">
        <v>2307</v>
      </c>
      <c r="F2815" s="1" t="s">
        <v>2308</v>
      </c>
      <c r="G2815" s="1" t="s">
        <v>404</v>
      </c>
      <c r="H2815" s="1">
        <v>264</v>
      </c>
      <c r="I2815" s="3">
        <v>46279</v>
      </c>
      <c r="J2815" s="3">
        <v>46280</v>
      </c>
      <c r="K2815" s="3" t="s">
        <v>2364</v>
      </c>
      <c r="L2815" s="31">
        <v>46279.595527928235</v>
      </c>
      <c r="M2815" s="20">
        <v>12</v>
      </c>
      <c r="N2815" s="1">
        <v>16</v>
      </c>
    </row>
    <row r="2816" spans="1:14" x14ac:dyDescent="0.25">
      <c r="A2816" t="str">
        <f t="shared" si="88"/>
        <v>H180127H180127</v>
      </c>
      <c r="B2816" t="str">
        <f t="shared" si="89"/>
        <v>H180127P60347T-M</v>
      </c>
      <c r="C2816" s="1" t="s">
        <v>272</v>
      </c>
      <c r="D2816" s="1" t="s">
        <v>680</v>
      </c>
      <c r="E2816" s="1" t="s">
        <v>2307</v>
      </c>
      <c r="F2816" s="1" t="s">
        <v>2308</v>
      </c>
      <c r="G2816" s="1" t="s">
        <v>404</v>
      </c>
      <c r="H2816" s="1">
        <v>264</v>
      </c>
      <c r="I2816" s="3">
        <v>46279</v>
      </c>
      <c r="J2816" s="3">
        <v>46280</v>
      </c>
      <c r="K2816" s="3" t="s">
        <v>2364</v>
      </c>
      <c r="L2816" s="31">
        <v>46279.596356631941</v>
      </c>
      <c r="M2816" s="20">
        <v>12</v>
      </c>
      <c r="N2816" s="1">
        <v>19</v>
      </c>
    </row>
    <row r="2817" spans="1:14" x14ac:dyDescent="0.25">
      <c r="A2817" t="str">
        <f t="shared" si="88"/>
        <v>H180127H180127</v>
      </c>
      <c r="B2817" t="str">
        <f t="shared" si="89"/>
        <v>H180127P60347T-M</v>
      </c>
      <c r="C2817" s="1" t="s">
        <v>272</v>
      </c>
      <c r="D2817" s="1" t="s">
        <v>680</v>
      </c>
      <c r="E2817" s="1" t="s">
        <v>2307</v>
      </c>
      <c r="F2817" s="1" t="s">
        <v>2308</v>
      </c>
      <c r="G2817" s="1" t="s">
        <v>404</v>
      </c>
      <c r="H2817" s="1">
        <v>264</v>
      </c>
      <c r="I2817" s="3">
        <v>46279</v>
      </c>
      <c r="J2817" s="3">
        <v>46280</v>
      </c>
      <c r="K2817" s="3" t="s">
        <v>2364</v>
      </c>
      <c r="L2817" s="31">
        <v>46279.599461805556</v>
      </c>
      <c r="M2817" s="20">
        <v>12</v>
      </c>
      <c r="N2817" s="1">
        <v>5</v>
      </c>
    </row>
    <row r="2818" spans="1:14" x14ac:dyDescent="0.25">
      <c r="A2818" t="str">
        <f t="shared" ref="A2818:A2881" si="90">+D2818&amp;D2818</f>
        <v>H180127H180127</v>
      </c>
      <c r="B2818" t="str">
        <f t="shared" ref="B2818:B2881" si="91">+D2818&amp;C2818</f>
        <v>H180127P60347T-M</v>
      </c>
      <c r="C2818" s="1" t="s">
        <v>272</v>
      </c>
      <c r="D2818" s="1" t="s">
        <v>680</v>
      </c>
      <c r="E2818" s="1" t="s">
        <v>2307</v>
      </c>
      <c r="F2818" s="1" t="s">
        <v>2308</v>
      </c>
      <c r="G2818" s="1" t="s">
        <v>404</v>
      </c>
      <c r="H2818" s="1">
        <v>264</v>
      </c>
      <c r="I2818" s="3">
        <v>46279</v>
      </c>
      <c r="J2818" s="3">
        <v>46280</v>
      </c>
      <c r="K2818" s="3" t="s">
        <v>2364</v>
      </c>
      <c r="L2818" s="31">
        <v>46279.601190196758</v>
      </c>
      <c r="M2818" s="20">
        <v>12</v>
      </c>
      <c r="N2818" s="1">
        <v>2</v>
      </c>
    </row>
    <row r="2819" spans="1:14" x14ac:dyDescent="0.25">
      <c r="A2819" t="str">
        <f t="shared" si="90"/>
        <v>H180127H180127</v>
      </c>
      <c r="B2819" t="str">
        <f t="shared" si="91"/>
        <v>H180127P60347T-M</v>
      </c>
      <c r="C2819" s="1" t="s">
        <v>272</v>
      </c>
      <c r="D2819" s="1" t="s">
        <v>680</v>
      </c>
      <c r="E2819" s="1" t="s">
        <v>2307</v>
      </c>
      <c r="F2819" s="1" t="s">
        <v>2308</v>
      </c>
      <c r="G2819" s="1" t="s">
        <v>404</v>
      </c>
      <c r="H2819" s="1">
        <v>264</v>
      </c>
      <c r="I2819" s="3">
        <v>46279</v>
      </c>
      <c r="J2819" s="3">
        <v>46280</v>
      </c>
      <c r="K2819" s="3" t="s">
        <v>2364</v>
      </c>
      <c r="L2819" s="31">
        <v>46279.601365428236</v>
      </c>
      <c r="M2819" s="20">
        <v>12</v>
      </c>
      <c r="N2819" s="1">
        <v>17</v>
      </c>
    </row>
    <row r="2820" spans="1:14" x14ac:dyDescent="0.25">
      <c r="A2820" t="str">
        <f t="shared" si="90"/>
        <v>H180127H180127</v>
      </c>
      <c r="B2820" t="str">
        <f t="shared" si="91"/>
        <v>H180127P60347T-M</v>
      </c>
      <c r="C2820" s="1" t="s">
        <v>272</v>
      </c>
      <c r="D2820" s="1" t="s">
        <v>680</v>
      </c>
      <c r="E2820" s="1" t="s">
        <v>2307</v>
      </c>
      <c r="F2820" s="1" t="s">
        <v>2308</v>
      </c>
      <c r="G2820" s="1" t="s">
        <v>404</v>
      </c>
      <c r="H2820" s="1">
        <v>264</v>
      </c>
      <c r="I2820" s="3">
        <v>46279</v>
      </c>
      <c r="J2820" s="3">
        <v>46280</v>
      </c>
      <c r="K2820" s="3" t="s">
        <v>2364</v>
      </c>
      <c r="L2820" s="31">
        <v>46279.602349965273</v>
      </c>
      <c r="M2820" s="20">
        <v>6</v>
      </c>
      <c r="N2820" s="1">
        <v>20</v>
      </c>
    </row>
    <row r="2821" spans="1:14" x14ac:dyDescent="0.25">
      <c r="A2821" t="str">
        <f t="shared" si="90"/>
        <v>H180127H180127</v>
      </c>
      <c r="B2821" t="str">
        <f t="shared" si="91"/>
        <v>H180127P60347T-M</v>
      </c>
      <c r="C2821" s="1" t="s">
        <v>272</v>
      </c>
      <c r="D2821" s="1" t="s">
        <v>680</v>
      </c>
      <c r="E2821" s="1" t="s">
        <v>2307</v>
      </c>
      <c r="F2821" s="1" t="s">
        <v>2308</v>
      </c>
      <c r="G2821" s="1" t="s">
        <v>404</v>
      </c>
      <c r="H2821" s="1">
        <v>264</v>
      </c>
      <c r="I2821" s="3">
        <v>46279</v>
      </c>
      <c r="J2821" s="3">
        <v>46280</v>
      </c>
      <c r="K2821" s="3" t="s">
        <v>2364</v>
      </c>
      <c r="L2821" s="31">
        <v>46279.605605011573</v>
      </c>
      <c r="M2821" s="20">
        <v>12</v>
      </c>
      <c r="N2821" s="1">
        <v>8</v>
      </c>
    </row>
    <row r="2822" spans="1:14" x14ac:dyDescent="0.25">
      <c r="A2822" t="str">
        <f t="shared" si="90"/>
        <v>H180127H180127</v>
      </c>
      <c r="B2822" t="str">
        <f t="shared" si="91"/>
        <v>H180127P60347T-M</v>
      </c>
      <c r="C2822" s="1" t="s">
        <v>272</v>
      </c>
      <c r="D2822" s="1" t="s">
        <v>680</v>
      </c>
      <c r="E2822" s="1" t="s">
        <v>2307</v>
      </c>
      <c r="F2822" s="1" t="s">
        <v>2308</v>
      </c>
      <c r="G2822" s="1" t="s">
        <v>404</v>
      </c>
      <c r="H2822" s="1">
        <v>264</v>
      </c>
      <c r="I2822" s="3">
        <v>46279</v>
      </c>
      <c r="J2822" s="3">
        <v>46280</v>
      </c>
      <c r="K2822" s="3" t="s">
        <v>2364</v>
      </c>
      <c r="L2822" s="31">
        <v>46279.606131678236</v>
      </c>
      <c r="M2822" s="20">
        <v>6</v>
      </c>
      <c r="N2822" s="1">
        <v>25</v>
      </c>
    </row>
    <row r="2823" spans="1:14" x14ac:dyDescent="0.25">
      <c r="A2823" t="str">
        <f t="shared" si="90"/>
        <v>H180127H180127</v>
      </c>
      <c r="B2823" t="str">
        <f t="shared" si="91"/>
        <v>H180127P60347T-M</v>
      </c>
      <c r="C2823" s="1" t="s">
        <v>272</v>
      </c>
      <c r="D2823" s="1" t="s">
        <v>680</v>
      </c>
      <c r="E2823" s="1" t="s">
        <v>2307</v>
      </c>
      <c r="F2823" s="1" t="s">
        <v>2308</v>
      </c>
      <c r="G2823" s="1" t="s">
        <v>404</v>
      </c>
      <c r="H2823" s="1">
        <v>264</v>
      </c>
      <c r="I2823" s="3">
        <v>46279</v>
      </c>
      <c r="J2823" s="3">
        <v>46280</v>
      </c>
      <c r="K2823" s="3" t="s">
        <v>2364</v>
      </c>
      <c r="L2823" s="31">
        <v>46279.606745289348</v>
      </c>
      <c r="M2823" s="20">
        <v>12</v>
      </c>
      <c r="N2823" s="1">
        <v>10</v>
      </c>
    </row>
    <row r="2824" spans="1:14" x14ac:dyDescent="0.25">
      <c r="A2824" t="str">
        <f t="shared" si="90"/>
        <v>H180127H180127</v>
      </c>
      <c r="B2824" t="str">
        <f t="shared" si="91"/>
        <v>H180127P60347T-M</v>
      </c>
      <c r="C2824" s="1" t="s">
        <v>272</v>
      </c>
      <c r="D2824" s="1" t="s">
        <v>680</v>
      </c>
      <c r="E2824" s="1" t="s">
        <v>2307</v>
      </c>
      <c r="F2824" s="1" t="s">
        <v>2308</v>
      </c>
      <c r="G2824" s="1" t="s">
        <v>404</v>
      </c>
      <c r="H2824" s="1">
        <v>264</v>
      </c>
      <c r="I2824" s="3">
        <v>46279</v>
      </c>
      <c r="J2824" s="3">
        <v>46280</v>
      </c>
      <c r="K2824" s="3" t="s">
        <v>2364</v>
      </c>
      <c r="L2824" s="31">
        <v>46279.613107604164</v>
      </c>
      <c r="M2824" s="20">
        <v>6</v>
      </c>
      <c r="N2824" s="1">
        <v>22</v>
      </c>
    </row>
    <row r="2825" spans="1:14" x14ac:dyDescent="0.25">
      <c r="A2825" t="str">
        <f t="shared" si="90"/>
        <v>H180127H180127</v>
      </c>
      <c r="B2825" t="str">
        <f t="shared" si="91"/>
        <v>H180127P60347T-M</v>
      </c>
      <c r="C2825" s="1" t="s">
        <v>272</v>
      </c>
      <c r="D2825" s="1" t="s">
        <v>680</v>
      </c>
      <c r="E2825" s="1" t="s">
        <v>2307</v>
      </c>
      <c r="F2825" s="1" t="s">
        <v>2308</v>
      </c>
      <c r="G2825" s="1" t="s">
        <v>404</v>
      </c>
      <c r="H2825" s="1">
        <v>264</v>
      </c>
      <c r="I2825" s="3">
        <v>46279</v>
      </c>
      <c r="J2825" s="3">
        <v>46280</v>
      </c>
      <c r="K2825" s="3" t="s">
        <v>2364</v>
      </c>
      <c r="L2825" s="31">
        <v>46279.613749884258</v>
      </c>
      <c r="M2825" s="20">
        <v>12</v>
      </c>
      <c r="N2825" s="1">
        <v>18</v>
      </c>
    </row>
    <row r="2826" spans="1:14" x14ac:dyDescent="0.25">
      <c r="A2826" t="str">
        <f t="shared" si="90"/>
        <v>H180127H180127</v>
      </c>
      <c r="B2826" t="str">
        <f t="shared" si="91"/>
        <v>H180127P60347T-M</v>
      </c>
      <c r="C2826" s="1" t="s">
        <v>272</v>
      </c>
      <c r="D2826" s="1" t="s">
        <v>680</v>
      </c>
      <c r="E2826" s="1" t="s">
        <v>2307</v>
      </c>
      <c r="F2826" s="1" t="s">
        <v>2308</v>
      </c>
      <c r="G2826" s="1" t="s">
        <v>404</v>
      </c>
      <c r="H2826" s="1">
        <v>264</v>
      </c>
      <c r="I2826" s="3">
        <v>46279</v>
      </c>
      <c r="J2826" s="3">
        <v>46280</v>
      </c>
      <c r="K2826" s="3" t="s">
        <v>2364</v>
      </c>
      <c r="L2826" s="31">
        <v>46279.635537766204</v>
      </c>
      <c r="M2826" s="20">
        <v>6</v>
      </c>
      <c r="N2826" s="1">
        <v>23</v>
      </c>
    </row>
    <row r="2827" spans="1:14" x14ac:dyDescent="0.25">
      <c r="A2827" t="str">
        <f t="shared" si="90"/>
        <v>H180127H180127</v>
      </c>
      <c r="B2827" t="str">
        <f t="shared" si="91"/>
        <v>H180127P60347T-M</v>
      </c>
      <c r="C2827" s="1" t="s">
        <v>272</v>
      </c>
      <c r="D2827" s="1" t="s">
        <v>680</v>
      </c>
      <c r="E2827" s="1" t="s">
        <v>2307</v>
      </c>
      <c r="F2827" s="1" t="s">
        <v>2308</v>
      </c>
      <c r="G2827" s="1" t="s">
        <v>404</v>
      </c>
      <c r="H2827" s="1">
        <v>264</v>
      </c>
      <c r="I2827" s="3">
        <v>46279</v>
      </c>
      <c r="J2827" s="3">
        <v>46280</v>
      </c>
      <c r="K2827" s="3" t="s">
        <v>2364</v>
      </c>
      <c r="L2827" s="31">
        <v>46279.655306562498</v>
      </c>
      <c r="M2827" s="20">
        <v>12</v>
      </c>
      <c r="N2827" s="1">
        <v>9</v>
      </c>
    </row>
    <row r="2828" spans="1:14" x14ac:dyDescent="0.25">
      <c r="A2828" t="str">
        <f t="shared" si="90"/>
        <v>H180127H180127</v>
      </c>
      <c r="B2828" t="str">
        <f t="shared" si="91"/>
        <v>H180127P60347T-M</v>
      </c>
      <c r="C2828" s="1" t="s">
        <v>272</v>
      </c>
      <c r="D2828" s="1" t="s">
        <v>680</v>
      </c>
      <c r="E2828" s="1" t="s">
        <v>2307</v>
      </c>
      <c r="F2828" s="1" t="s">
        <v>2308</v>
      </c>
      <c r="G2828" s="1" t="s">
        <v>404</v>
      </c>
      <c r="H2828" s="1">
        <v>264</v>
      </c>
      <c r="I2828" s="3">
        <v>46279</v>
      </c>
      <c r="J2828" s="3">
        <v>46280</v>
      </c>
      <c r="K2828" s="3" t="s">
        <v>2364</v>
      </c>
      <c r="L2828" s="31">
        <v>46279.702354016204</v>
      </c>
      <c r="M2828" s="20">
        <v>6</v>
      </c>
      <c r="N2828" s="1">
        <v>21</v>
      </c>
    </row>
    <row r="2829" spans="1:14" x14ac:dyDescent="0.25">
      <c r="A2829" t="str">
        <f t="shared" si="90"/>
        <v>H189060H189060</v>
      </c>
      <c r="B2829" t="str">
        <f t="shared" si="91"/>
        <v>H189060P6036SS-M</v>
      </c>
      <c r="C2829" s="1" t="s">
        <v>52</v>
      </c>
      <c r="D2829" s="1" t="s">
        <v>685</v>
      </c>
      <c r="E2829" s="1" t="s">
        <v>2294</v>
      </c>
      <c r="F2829" s="1" t="s">
        <v>2295</v>
      </c>
      <c r="G2829" s="1" t="s">
        <v>404</v>
      </c>
      <c r="H2829" s="1">
        <v>60</v>
      </c>
      <c r="I2829" s="3">
        <v>46279</v>
      </c>
      <c r="J2829" s="3">
        <v>46279</v>
      </c>
      <c r="L2829" s="31">
        <v>46279.713898379625</v>
      </c>
      <c r="M2829" s="20">
        <v>12</v>
      </c>
      <c r="N2829" s="1">
        <v>4</v>
      </c>
    </row>
    <row r="2830" spans="1:14" x14ac:dyDescent="0.25">
      <c r="A2830" t="str">
        <f t="shared" si="90"/>
        <v>H189060H189060</v>
      </c>
      <c r="B2830" t="str">
        <f t="shared" si="91"/>
        <v>H189060P6036SS-W</v>
      </c>
      <c r="C2830" s="1" t="s">
        <v>42</v>
      </c>
      <c r="D2830" s="1" t="s">
        <v>685</v>
      </c>
      <c r="E2830" s="1" t="s">
        <v>2294</v>
      </c>
      <c r="F2830" s="1" t="s">
        <v>2295</v>
      </c>
      <c r="G2830" s="1" t="s">
        <v>404</v>
      </c>
      <c r="H2830" s="1">
        <v>120</v>
      </c>
      <c r="I2830" s="3">
        <v>46279</v>
      </c>
      <c r="L2830" s="31">
        <v>46279.721624189813</v>
      </c>
      <c r="M2830" s="20">
        <v>12</v>
      </c>
      <c r="N2830" s="1">
        <v>13</v>
      </c>
    </row>
    <row r="2831" spans="1:14" x14ac:dyDescent="0.25">
      <c r="A2831" t="str">
        <f t="shared" si="90"/>
        <v>H189060H189060</v>
      </c>
      <c r="B2831" t="str">
        <f t="shared" si="91"/>
        <v>H189060P6036SS-M</v>
      </c>
      <c r="C2831" s="1" t="s">
        <v>52</v>
      </c>
      <c r="D2831" s="1" t="s">
        <v>685</v>
      </c>
      <c r="E2831" s="1" t="s">
        <v>2294</v>
      </c>
      <c r="F2831" s="1" t="s">
        <v>2295</v>
      </c>
      <c r="G2831" s="1" t="s">
        <v>404</v>
      </c>
      <c r="H2831" s="1">
        <v>60</v>
      </c>
      <c r="I2831" s="3">
        <v>46279</v>
      </c>
      <c r="J2831" s="3">
        <v>46279</v>
      </c>
      <c r="L2831" s="31">
        <v>46279.72197554398</v>
      </c>
      <c r="M2831" s="20">
        <v>12</v>
      </c>
      <c r="N2831" s="1">
        <v>3</v>
      </c>
    </row>
    <row r="2832" spans="1:14" x14ac:dyDescent="0.25">
      <c r="A2832" t="str">
        <f t="shared" si="90"/>
        <v>H189060H189060</v>
      </c>
      <c r="B2832" t="str">
        <f t="shared" si="91"/>
        <v>H189060P6036SS-W</v>
      </c>
      <c r="C2832" s="1" t="s">
        <v>42</v>
      </c>
      <c r="D2832" s="1" t="s">
        <v>685</v>
      </c>
      <c r="E2832" s="1" t="s">
        <v>2294</v>
      </c>
      <c r="F2832" s="1" t="s">
        <v>2295</v>
      </c>
      <c r="G2832" s="1" t="s">
        <v>404</v>
      </c>
      <c r="H2832" s="1">
        <v>120</v>
      </c>
      <c r="I2832" s="3">
        <v>46279</v>
      </c>
      <c r="L2832" s="31">
        <v>46279.740237731479</v>
      </c>
      <c r="M2832" s="20">
        <v>12</v>
      </c>
      <c r="N2832" s="1">
        <v>9</v>
      </c>
    </row>
    <row r="2833" spans="1:14" x14ac:dyDescent="0.25">
      <c r="A2833" t="str">
        <f t="shared" si="90"/>
        <v>H189060H189060</v>
      </c>
      <c r="B2833" t="str">
        <f t="shared" si="91"/>
        <v>H189060P6036SS-M</v>
      </c>
      <c r="C2833" s="1" t="s">
        <v>52</v>
      </c>
      <c r="D2833" s="1" t="s">
        <v>685</v>
      </c>
      <c r="E2833" s="1" t="s">
        <v>2294</v>
      </c>
      <c r="F2833" s="1" t="s">
        <v>2295</v>
      </c>
      <c r="G2833" s="1" t="s">
        <v>404</v>
      </c>
      <c r="H2833" s="1">
        <v>60</v>
      </c>
      <c r="I2833" s="3">
        <v>46279</v>
      </c>
      <c r="J2833" s="3">
        <v>46279</v>
      </c>
      <c r="L2833" s="31">
        <v>46279.748551770834</v>
      </c>
      <c r="M2833" s="20">
        <v>6</v>
      </c>
      <c r="N2833" s="1">
        <v>5</v>
      </c>
    </row>
    <row r="2834" spans="1:14" x14ac:dyDescent="0.25">
      <c r="A2834" t="str">
        <f t="shared" si="90"/>
        <v>H189060H189060</v>
      </c>
      <c r="B2834" t="str">
        <f t="shared" si="91"/>
        <v>H189060P6036SS-W</v>
      </c>
      <c r="C2834" s="1" t="s">
        <v>42</v>
      </c>
      <c r="D2834" s="1" t="s">
        <v>685</v>
      </c>
      <c r="E2834" s="1" t="s">
        <v>2294</v>
      </c>
      <c r="F2834" s="1" t="s">
        <v>2295</v>
      </c>
      <c r="G2834" s="1" t="s">
        <v>404</v>
      </c>
      <c r="H2834" s="1">
        <v>120</v>
      </c>
      <c r="I2834" s="3">
        <v>46279</v>
      </c>
      <c r="L2834" s="31">
        <v>46279.751781909719</v>
      </c>
      <c r="M2834" s="20">
        <v>12</v>
      </c>
      <c r="N2834" s="1">
        <v>8</v>
      </c>
    </row>
    <row r="2835" spans="1:14" x14ac:dyDescent="0.25">
      <c r="A2835" t="str">
        <f t="shared" si="90"/>
        <v>H189060H189060</v>
      </c>
      <c r="B2835" t="str">
        <f t="shared" si="91"/>
        <v>H189060P6036SS-M</v>
      </c>
      <c r="C2835" s="1" t="s">
        <v>52</v>
      </c>
      <c r="D2835" s="1" t="s">
        <v>685</v>
      </c>
      <c r="E2835" s="1" t="s">
        <v>2294</v>
      </c>
      <c r="F2835" s="1" t="s">
        <v>2295</v>
      </c>
      <c r="G2835" s="1" t="s">
        <v>404</v>
      </c>
      <c r="H2835" s="1">
        <v>60</v>
      </c>
      <c r="I2835" s="3">
        <v>46279</v>
      </c>
      <c r="J2835" s="3">
        <v>46279</v>
      </c>
      <c r="L2835" s="31">
        <v>46279.754020868051</v>
      </c>
      <c r="M2835" s="20">
        <v>6</v>
      </c>
      <c r="N2835" s="1">
        <v>6</v>
      </c>
    </row>
    <row r="2836" spans="1:14" x14ac:dyDescent="0.25">
      <c r="A2836" t="str">
        <f t="shared" si="90"/>
        <v>H189060H189060</v>
      </c>
      <c r="B2836" t="str">
        <f t="shared" si="91"/>
        <v>H189060P6036SS-W</v>
      </c>
      <c r="C2836" s="1" t="s">
        <v>42</v>
      </c>
      <c r="D2836" s="1" t="s">
        <v>685</v>
      </c>
      <c r="E2836" s="1" t="s">
        <v>2294</v>
      </c>
      <c r="F2836" s="1" t="s">
        <v>2295</v>
      </c>
      <c r="G2836" s="1" t="s">
        <v>404</v>
      </c>
      <c r="H2836" s="1">
        <v>120</v>
      </c>
      <c r="I2836" s="3">
        <v>46279</v>
      </c>
      <c r="L2836" s="31">
        <v>46279.754467245366</v>
      </c>
      <c r="M2836" s="20">
        <v>12</v>
      </c>
      <c r="N2836" s="1">
        <v>11</v>
      </c>
    </row>
    <row r="2837" spans="1:14" x14ac:dyDescent="0.25">
      <c r="A2837" t="str">
        <f t="shared" si="90"/>
        <v>H189060H189060</v>
      </c>
      <c r="B2837" t="str">
        <f t="shared" si="91"/>
        <v>H189060P6036SS-M</v>
      </c>
      <c r="C2837" s="1" t="s">
        <v>52</v>
      </c>
      <c r="D2837" s="1" t="s">
        <v>685</v>
      </c>
      <c r="E2837" s="1" t="s">
        <v>2294</v>
      </c>
      <c r="F2837" s="1" t="s">
        <v>2295</v>
      </c>
      <c r="G2837" s="1" t="s">
        <v>404</v>
      </c>
      <c r="H2837" s="1">
        <v>60</v>
      </c>
      <c r="I2837" s="3">
        <v>46279</v>
      </c>
      <c r="J2837" s="3">
        <v>46279</v>
      </c>
      <c r="L2837" s="31">
        <v>46279.754654085649</v>
      </c>
      <c r="M2837" s="20">
        <v>12</v>
      </c>
      <c r="N2837" s="1">
        <v>1</v>
      </c>
    </row>
    <row r="2838" spans="1:14" x14ac:dyDescent="0.25">
      <c r="A2838" t="str">
        <f t="shared" si="90"/>
        <v>H189060H189060</v>
      </c>
      <c r="B2838" t="str">
        <f t="shared" si="91"/>
        <v>H189060P6036SS-M</v>
      </c>
      <c r="C2838" s="1" t="s">
        <v>52</v>
      </c>
      <c r="D2838" s="1" t="s">
        <v>685</v>
      </c>
      <c r="E2838" s="1" t="s">
        <v>2294</v>
      </c>
      <c r="F2838" s="1" t="s">
        <v>2295</v>
      </c>
      <c r="G2838" s="1" t="s">
        <v>404</v>
      </c>
      <c r="H2838" s="1">
        <v>60</v>
      </c>
      <c r="I2838" s="3">
        <v>46279</v>
      </c>
      <c r="J2838" s="3">
        <v>46279</v>
      </c>
      <c r="L2838" s="31">
        <v>46279.756263113421</v>
      </c>
      <c r="M2838" s="20">
        <v>12</v>
      </c>
      <c r="N2838" s="1">
        <v>2</v>
      </c>
    </row>
    <row r="2839" spans="1:14" x14ac:dyDescent="0.25">
      <c r="A2839" t="str">
        <f t="shared" si="90"/>
        <v>H189064H189064</v>
      </c>
      <c r="B2839" t="str">
        <f t="shared" si="91"/>
        <v>H189064G6035F4-M</v>
      </c>
      <c r="C2839" s="27" t="s">
        <v>24</v>
      </c>
      <c r="D2839" s="27" t="s">
        <v>673</v>
      </c>
      <c r="E2839" s="1" t="s">
        <v>2294</v>
      </c>
      <c r="F2839" s="1" t="s">
        <v>2295</v>
      </c>
      <c r="G2839" s="1" t="s">
        <v>404</v>
      </c>
      <c r="H2839" s="1">
        <v>72</v>
      </c>
      <c r="I2839" s="3">
        <v>46279</v>
      </c>
      <c r="J2839" s="3">
        <v>46279</v>
      </c>
      <c r="K2839" s="3" t="s">
        <v>2366</v>
      </c>
      <c r="L2839" s="31">
        <v>46279.37359826389</v>
      </c>
      <c r="M2839" s="20">
        <v>12</v>
      </c>
      <c r="N2839" s="1">
        <v>3</v>
      </c>
    </row>
    <row r="2840" spans="1:14" x14ac:dyDescent="0.25">
      <c r="A2840" t="str">
        <f t="shared" si="90"/>
        <v>H189064H189064</v>
      </c>
      <c r="B2840" t="str">
        <f t="shared" si="91"/>
        <v>H189064G6035F4-M</v>
      </c>
      <c r="C2840" s="27" t="s">
        <v>24</v>
      </c>
      <c r="D2840" s="27" t="s">
        <v>673</v>
      </c>
      <c r="E2840" s="1" t="s">
        <v>2294</v>
      </c>
      <c r="F2840" s="1" t="s">
        <v>2295</v>
      </c>
      <c r="G2840" s="1" t="s">
        <v>404</v>
      </c>
      <c r="H2840" s="1">
        <v>72</v>
      </c>
      <c r="I2840" s="3">
        <v>46279</v>
      </c>
      <c r="J2840" s="3">
        <v>46279</v>
      </c>
      <c r="K2840" s="3" t="s">
        <v>2366</v>
      </c>
      <c r="L2840" s="31">
        <v>46279.394300081018</v>
      </c>
      <c r="M2840" s="20">
        <v>12</v>
      </c>
      <c r="N2840" s="1">
        <v>5</v>
      </c>
    </row>
    <row r="2841" spans="1:14" x14ac:dyDescent="0.25">
      <c r="A2841" t="str">
        <f t="shared" si="90"/>
        <v>H189064H189064</v>
      </c>
      <c r="B2841" t="str">
        <f t="shared" si="91"/>
        <v>H189064G6035F4-M</v>
      </c>
      <c r="C2841" s="1" t="s">
        <v>24</v>
      </c>
      <c r="D2841" s="1" t="s">
        <v>673</v>
      </c>
      <c r="E2841" s="1" t="s">
        <v>2294</v>
      </c>
      <c r="F2841" s="1" t="s">
        <v>2295</v>
      </c>
      <c r="G2841" s="1" t="s">
        <v>404</v>
      </c>
      <c r="H2841" s="1">
        <v>72</v>
      </c>
      <c r="I2841" s="3">
        <v>46279</v>
      </c>
      <c r="J2841" s="3">
        <v>46279</v>
      </c>
      <c r="K2841" s="3" t="s">
        <v>2366</v>
      </c>
      <c r="L2841" s="31">
        <v>46279.424509178236</v>
      </c>
      <c r="M2841" s="20">
        <v>6</v>
      </c>
      <c r="N2841" s="1">
        <v>7</v>
      </c>
    </row>
    <row r="2842" spans="1:14" x14ac:dyDescent="0.25">
      <c r="A2842" t="str">
        <f t="shared" si="90"/>
        <v>H189064H189064</v>
      </c>
      <c r="B2842" t="str">
        <f t="shared" si="91"/>
        <v>H189064G6035F4-M</v>
      </c>
      <c r="C2842" s="1" t="s">
        <v>24</v>
      </c>
      <c r="D2842" s="1" t="s">
        <v>673</v>
      </c>
      <c r="E2842" s="1" t="s">
        <v>2294</v>
      </c>
      <c r="F2842" s="1" t="s">
        <v>2295</v>
      </c>
      <c r="G2842" s="1" t="s">
        <v>404</v>
      </c>
      <c r="H2842" s="1">
        <v>72</v>
      </c>
      <c r="I2842" s="3">
        <v>46279</v>
      </c>
      <c r="J2842" s="3">
        <v>46279</v>
      </c>
      <c r="K2842" s="3" t="s">
        <v>2366</v>
      </c>
      <c r="L2842" s="31">
        <v>46279.461330057871</v>
      </c>
      <c r="M2842" s="20">
        <v>12</v>
      </c>
      <c r="N2842" s="1">
        <v>1</v>
      </c>
    </row>
    <row r="2843" spans="1:14" x14ac:dyDescent="0.25">
      <c r="A2843" t="str">
        <f t="shared" si="90"/>
        <v>H189064H189064</v>
      </c>
      <c r="B2843" t="str">
        <f t="shared" si="91"/>
        <v>H189064G6035F4-M</v>
      </c>
      <c r="C2843" s="1" t="s">
        <v>24</v>
      </c>
      <c r="D2843" s="1" t="s">
        <v>673</v>
      </c>
      <c r="E2843" s="1" t="s">
        <v>2294</v>
      </c>
      <c r="F2843" s="1" t="s">
        <v>2295</v>
      </c>
      <c r="G2843" s="1" t="s">
        <v>404</v>
      </c>
      <c r="H2843" s="1">
        <v>72</v>
      </c>
      <c r="I2843" s="3">
        <v>46279</v>
      </c>
      <c r="J2843" s="3">
        <v>46279</v>
      </c>
      <c r="K2843" s="3" t="s">
        <v>2366</v>
      </c>
      <c r="L2843" s="31">
        <v>46279.473674884255</v>
      </c>
      <c r="M2843" s="20">
        <v>6</v>
      </c>
      <c r="N2843" s="1">
        <v>6</v>
      </c>
    </row>
    <row r="2844" spans="1:14" x14ac:dyDescent="0.25">
      <c r="A2844" t="str">
        <f t="shared" si="90"/>
        <v>H189064H189064</v>
      </c>
      <c r="B2844" t="str">
        <f t="shared" si="91"/>
        <v>H189064G6035F4-W</v>
      </c>
      <c r="C2844" s="1" t="s">
        <v>39</v>
      </c>
      <c r="D2844" s="1" t="s">
        <v>673</v>
      </c>
      <c r="E2844" s="1" t="s">
        <v>2294</v>
      </c>
      <c r="F2844" s="1" t="s">
        <v>2295</v>
      </c>
      <c r="G2844" s="1" t="s">
        <v>404</v>
      </c>
      <c r="H2844" s="1">
        <v>72</v>
      </c>
      <c r="I2844" s="3">
        <v>46279</v>
      </c>
      <c r="J2844" s="3">
        <v>46279</v>
      </c>
      <c r="K2844" s="3" t="s">
        <v>2366</v>
      </c>
      <c r="L2844" s="31">
        <v>46279.553023298606</v>
      </c>
      <c r="M2844" s="20">
        <v>12</v>
      </c>
      <c r="N2844" s="1">
        <v>11</v>
      </c>
    </row>
    <row r="2845" spans="1:14" x14ac:dyDescent="0.25">
      <c r="A2845" t="str">
        <f t="shared" si="90"/>
        <v>H189064H189064</v>
      </c>
      <c r="B2845" t="str">
        <f t="shared" si="91"/>
        <v>H189064G6035F4-W</v>
      </c>
      <c r="C2845" s="1" t="s">
        <v>39</v>
      </c>
      <c r="D2845" s="1" t="s">
        <v>673</v>
      </c>
      <c r="E2845" s="1" t="s">
        <v>2294</v>
      </c>
      <c r="F2845" s="1" t="s">
        <v>2295</v>
      </c>
      <c r="G2845" s="1" t="s">
        <v>404</v>
      </c>
      <c r="H2845" s="1">
        <v>72</v>
      </c>
      <c r="I2845" s="3">
        <v>46279</v>
      </c>
      <c r="J2845" s="3">
        <v>46279</v>
      </c>
      <c r="K2845" s="3" t="s">
        <v>2366</v>
      </c>
      <c r="L2845" s="31">
        <v>46279.565311261569</v>
      </c>
      <c r="M2845" s="20">
        <v>12</v>
      </c>
      <c r="N2845" s="1">
        <v>10</v>
      </c>
    </row>
    <row r="2846" spans="1:14" x14ac:dyDescent="0.25">
      <c r="A2846" t="str">
        <f t="shared" si="90"/>
        <v>H189064H189064</v>
      </c>
      <c r="B2846" t="str">
        <f t="shared" si="91"/>
        <v>H189064G6035F4-W</v>
      </c>
      <c r="C2846" s="1" t="s">
        <v>39</v>
      </c>
      <c r="D2846" s="1" t="s">
        <v>673</v>
      </c>
      <c r="E2846" s="1" t="s">
        <v>2294</v>
      </c>
      <c r="F2846" s="1" t="s">
        <v>2295</v>
      </c>
      <c r="G2846" s="1" t="s">
        <v>404</v>
      </c>
      <c r="H2846" s="1">
        <v>72</v>
      </c>
      <c r="I2846" s="3">
        <v>46279</v>
      </c>
      <c r="J2846" s="3">
        <v>46279</v>
      </c>
      <c r="K2846" s="3" t="s">
        <v>2366</v>
      </c>
      <c r="L2846" s="31">
        <v>46279.565788425927</v>
      </c>
      <c r="M2846" s="20">
        <v>12</v>
      </c>
      <c r="N2846" s="1">
        <v>8</v>
      </c>
    </row>
    <row r="2847" spans="1:14" x14ac:dyDescent="0.25">
      <c r="A2847" t="str">
        <f t="shared" si="90"/>
        <v>H189064H189064</v>
      </c>
      <c r="B2847" t="str">
        <f t="shared" si="91"/>
        <v>H189064G6035F4-W</v>
      </c>
      <c r="C2847" s="1" t="s">
        <v>39</v>
      </c>
      <c r="D2847" s="1" t="s">
        <v>673</v>
      </c>
      <c r="E2847" s="1" t="s">
        <v>2294</v>
      </c>
      <c r="F2847" s="1" t="s">
        <v>2295</v>
      </c>
      <c r="G2847" s="1" t="s">
        <v>404</v>
      </c>
      <c r="H2847" s="1">
        <v>72</v>
      </c>
      <c r="I2847" s="3">
        <v>46279</v>
      </c>
      <c r="J2847" s="3">
        <v>46279</v>
      </c>
      <c r="K2847" s="3" t="s">
        <v>2366</v>
      </c>
      <c r="L2847" s="31">
        <v>46279.602856597223</v>
      </c>
      <c r="M2847" s="20">
        <v>6</v>
      </c>
      <c r="N2847" s="1">
        <v>13</v>
      </c>
    </row>
    <row r="2848" spans="1:14" x14ac:dyDescent="0.25">
      <c r="A2848" t="str">
        <f t="shared" si="90"/>
        <v>H189064H189064</v>
      </c>
      <c r="B2848" t="str">
        <f t="shared" si="91"/>
        <v>H189064G6035F4-W</v>
      </c>
      <c r="C2848" s="1" t="s">
        <v>39</v>
      </c>
      <c r="D2848" s="1" t="s">
        <v>673</v>
      </c>
      <c r="E2848" s="1" t="s">
        <v>2294</v>
      </c>
      <c r="F2848" s="1" t="s">
        <v>2295</v>
      </c>
      <c r="G2848" s="1" t="s">
        <v>404</v>
      </c>
      <c r="H2848" s="1">
        <v>72</v>
      </c>
      <c r="I2848" s="3">
        <v>46279</v>
      </c>
      <c r="J2848" s="3">
        <v>46279</v>
      </c>
      <c r="K2848" s="3" t="s">
        <v>2366</v>
      </c>
      <c r="L2848" s="31">
        <v>46279.603972534722</v>
      </c>
      <c r="M2848" s="20">
        <v>6</v>
      </c>
      <c r="N2848" s="1">
        <v>14</v>
      </c>
    </row>
    <row r="2849" spans="1:14" x14ac:dyDescent="0.25">
      <c r="A2849" t="str">
        <f t="shared" si="90"/>
        <v>H189064H189064</v>
      </c>
      <c r="B2849" t="str">
        <f t="shared" si="91"/>
        <v>H189064G6035F4-W</v>
      </c>
      <c r="C2849" s="1" t="s">
        <v>39</v>
      </c>
      <c r="D2849" s="1" t="s">
        <v>673</v>
      </c>
      <c r="E2849" s="1" t="s">
        <v>2294</v>
      </c>
      <c r="F2849" s="1" t="s">
        <v>2295</v>
      </c>
      <c r="G2849" s="1" t="s">
        <v>404</v>
      </c>
      <c r="H2849" s="1">
        <v>72</v>
      </c>
      <c r="I2849" s="3">
        <v>46279</v>
      </c>
      <c r="J2849" s="3">
        <v>46279</v>
      </c>
      <c r="K2849" s="3" t="s">
        <v>2366</v>
      </c>
      <c r="L2849" s="31">
        <v>46279.604521331014</v>
      </c>
      <c r="M2849" s="20">
        <v>12</v>
      </c>
      <c r="N2849" s="1">
        <v>9</v>
      </c>
    </row>
    <row r="2850" spans="1:14" x14ac:dyDescent="0.25">
      <c r="A2850" t="str">
        <f t="shared" si="90"/>
        <v>H189064H189064</v>
      </c>
      <c r="B2850" t="str">
        <f t="shared" si="91"/>
        <v>H189064G6035F4-M</v>
      </c>
      <c r="C2850" s="1" t="s">
        <v>24</v>
      </c>
      <c r="D2850" s="1" t="s">
        <v>673</v>
      </c>
      <c r="E2850" s="1" t="s">
        <v>2294</v>
      </c>
      <c r="F2850" s="1" t="s">
        <v>2295</v>
      </c>
      <c r="G2850" s="1" t="s">
        <v>404</v>
      </c>
      <c r="H2850" s="1">
        <v>72</v>
      </c>
      <c r="I2850" s="3">
        <v>46279</v>
      </c>
      <c r="J2850" s="3">
        <v>46279</v>
      </c>
      <c r="K2850" s="3" t="s">
        <v>2366</v>
      </c>
      <c r="L2850" s="31">
        <v>46279.608938738427</v>
      </c>
      <c r="M2850" s="20">
        <v>12</v>
      </c>
      <c r="N2850" s="1">
        <v>2</v>
      </c>
    </row>
    <row r="2851" spans="1:14" x14ac:dyDescent="0.25">
      <c r="A2851" t="str">
        <f t="shared" si="90"/>
        <v>H189064H189064</v>
      </c>
      <c r="B2851" t="str">
        <f t="shared" si="91"/>
        <v>H189064G6035F4-W</v>
      </c>
      <c r="C2851" s="1" t="s">
        <v>39</v>
      </c>
      <c r="D2851" s="1" t="s">
        <v>673</v>
      </c>
      <c r="E2851" s="1" t="s">
        <v>2294</v>
      </c>
      <c r="F2851" s="1" t="s">
        <v>2295</v>
      </c>
      <c r="G2851" s="1" t="s">
        <v>404</v>
      </c>
      <c r="H2851" s="1">
        <v>72</v>
      </c>
      <c r="I2851" s="3">
        <v>46279</v>
      </c>
      <c r="J2851" s="3">
        <v>46279</v>
      </c>
      <c r="K2851" s="3" t="s">
        <v>2366</v>
      </c>
      <c r="L2851" s="31">
        <v>46279.616463622682</v>
      </c>
      <c r="M2851" s="20">
        <v>12</v>
      </c>
      <c r="N2851" s="1">
        <v>12</v>
      </c>
    </row>
    <row r="2852" spans="1:14" x14ac:dyDescent="0.25">
      <c r="A2852" t="str">
        <f t="shared" si="90"/>
        <v>H189064H189064</v>
      </c>
      <c r="B2852" t="str">
        <f t="shared" si="91"/>
        <v>H189064G6035F4-M</v>
      </c>
      <c r="C2852" s="1" t="s">
        <v>24</v>
      </c>
      <c r="D2852" s="1" t="s">
        <v>673</v>
      </c>
      <c r="E2852" s="1" t="s">
        <v>2294</v>
      </c>
      <c r="F2852" s="1" t="s">
        <v>2295</v>
      </c>
      <c r="G2852" s="1" t="s">
        <v>404</v>
      </c>
      <c r="H2852" s="1">
        <v>72</v>
      </c>
      <c r="I2852" s="3">
        <v>46279</v>
      </c>
      <c r="J2852" s="3">
        <v>46279</v>
      </c>
      <c r="K2852" s="3" t="s">
        <v>2366</v>
      </c>
      <c r="L2852" s="31">
        <v>46279.624160567131</v>
      </c>
      <c r="M2852" s="20">
        <v>12</v>
      </c>
      <c r="N2852" s="1">
        <v>4</v>
      </c>
    </row>
    <row r="2853" spans="1:14" x14ac:dyDescent="0.25">
      <c r="A2853" t="str">
        <f t="shared" si="90"/>
        <v>H189176H189176</v>
      </c>
      <c r="B2853" t="str">
        <f t="shared" si="91"/>
        <v>H189176G6035F4-M</v>
      </c>
      <c r="C2853" s="1" t="s">
        <v>24</v>
      </c>
      <c r="D2853" s="1" t="s">
        <v>679</v>
      </c>
      <c r="E2853" s="1" t="s">
        <v>414</v>
      </c>
      <c r="F2853" s="1" t="s">
        <v>415</v>
      </c>
      <c r="G2853" s="1" t="s">
        <v>404</v>
      </c>
      <c r="H2853" s="1">
        <v>198</v>
      </c>
      <c r="I2853" s="3">
        <v>46279</v>
      </c>
      <c r="J2853" s="3">
        <v>46286</v>
      </c>
      <c r="K2853" s="3" t="s">
        <v>2371</v>
      </c>
      <c r="L2853" s="31">
        <v>46279.557561574074</v>
      </c>
      <c r="M2853" s="20">
        <v>12</v>
      </c>
      <c r="N2853" s="1">
        <v>10</v>
      </c>
    </row>
    <row r="2854" spans="1:14" x14ac:dyDescent="0.25">
      <c r="A2854" t="str">
        <f t="shared" si="90"/>
        <v>H189176H189176</v>
      </c>
      <c r="B2854" t="str">
        <f t="shared" si="91"/>
        <v>H189176G6035F4-M</v>
      </c>
      <c r="C2854" s="1" t="s">
        <v>24</v>
      </c>
      <c r="D2854" s="1" t="s">
        <v>679</v>
      </c>
      <c r="E2854" s="1" t="s">
        <v>414</v>
      </c>
      <c r="F2854" s="1" t="s">
        <v>415</v>
      </c>
      <c r="G2854" s="1" t="s">
        <v>404</v>
      </c>
      <c r="H2854" s="1">
        <v>198</v>
      </c>
      <c r="I2854" s="3">
        <v>46279</v>
      </c>
      <c r="J2854" s="3">
        <v>46286</v>
      </c>
      <c r="K2854" s="3" t="s">
        <v>2371</v>
      </c>
      <c r="L2854" s="31">
        <v>46279.559086226851</v>
      </c>
      <c r="M2854" s="20">
        <v>12</v>
      </c>
      <c r="N2854" s="1">
        <v>1</v>
      </c>
    </row>
    <row r="2855" spans="1:14" x14ac:dyDescent="0.25">
      <c r="A2855" t="str">
        <f t="shared" si="90"/>
        <v>H189176H189176</v>
      </c>
      <c r="B2855" t="str">
        <f t="shared" si="91"/>
        <v>H189176G6035F4-M</v>
      </c>
      <c r="C2855" s="1" t="s">
        <v>24</v>
      </c>
      <c r="D2855" s="1" t="s">
        <v>679</v>
      </c>
      <c r="E2855" s="1" t="s">
        <v>414</v>
      </c>
      <c r="F2855" s="1" t="s">
        <v>415</v>
      </c>
      <c r="G2855" s="1" t="s">
        <v>404</v>
      </c>
      <c r="H2855" s="1">
        <v>198</v>
      </c>
      <c r="I2855" s="3">
        <v>46279</v>
      </c>
      <c r="J2855" s="3">
        <v>46286</v>
      </c>
      <c r="K2855" s="3" t="s">
        <v>2371</v>
      </c>
      <c r="L2855" s="31">
        <v>46279.559565127311</v>
      </c>
      <c r="M2855" s="20">
        <v>12</v>
      </c>
      <c r="N2855" s="1">
        <v>16</v>
      </c>
    </row>
    <row r="2856" spans="1:14" x14ac:dyDescent="0.25">
      <c r="A2856" t="str">
        <f t="shared" si="90"/>
        <v>H189176H189176</v>
      </c>
      <c r="B2856" t="str">
        <f t="shared" si="91"/>
        <v>H189176G6035F4-M</v>
      </c>
      <c r="C2856" s="1" t="s">
        <v>24</v>
      </c>
      <c r="D2856" s="1" t="s">
        <v>679</v>
      </c>
      <c r="E2856" s="1" t="s">
        <v>414</v>
      </c>
      <c r="F2856" s="1" t="s">
        <v>415</v>
      </c>
      <c r="G2856" s="1" t="s">
        <v>404</v>
      </c>
      <c r="H2856" s="1">
        <v>198</v>
      </c>
      <c r="I2856" s="3">
        <v>46279</v>
      </c>
      <c r="J2856" s="3">
        <v>46286</v>
      </c>
      <c r="K2856" s="3" t="s">
        <v>2371</v>
      </c>
      <c r="L2856" s="31">
        <v>46279.561912384255</v>
      </c>
      <c r="M2856" s="20">
        <v>12</v>
      </c>
      <c r="N2856" s="1">
        <v>9</v>
      </c>
    </row>
    <row r="2857" spans="1:14" x14ac:dyDescent="0.25">
      <c r="A2857" t="str">
        <f t="shared" si="90"/>
        <v>H189176H189176</v>
      </c>
      <c r="B2857" t="str">
        <f t="shared" si="91"/>
        <v>H189176G6035F4-M</v>
      </c>
      <c r="C2857" s="1" t="s">
        <v>24</v>
      </c>
      <c r="D2857" s="1" t="s">
        <v>679</v>
      </c>
      <c r="E2857" s="1" t="s">
        <v>414</v>
      </c>
      <c r="F2857" s="1" t="s">
        <v>415</v>
      </c>
      <c r="G2857" s="1" t="s">
        <v>404</v>
      </c>
      <c r="H2857" s="1">
        <v>198</v>
      </c>
      <c r="I2857" s="3">
        <v>46279</v>
      </c>
      <c r="J2857" s="3">
        <v>46286</v>
      </c>
      <c r="K2857" s="3" t="s">
        <v>2371</v>
      </c>
      <c r="L2857" s="31">
        <v>46279.570539236112</v>
      </c>
      <c r="M2857" s="20">
        <v>12</v>
      </c>
      <c r="N2857" s="1">
        <v>2</v>
      </c>
    </row>
    <row r="2858" spans="1:14" x14ac:dyDescent="0.25">
      <c r="A2858" t="str">
        <f t="shared" si="90"/>
        <v>H189176H189176</v>
      </c>
      <c r="B2858" t="str">
        <f t="shared" si="91"/>
        <v>H189176G6035F4-M</v>
      </c>
      <c r="C2858" s="1" t="s">
        <v>24</v>
      </c>
      <c r="D2858" s="1" t="s">
        <v>679</v>
      </c>
      <c r="E2858" s="1" t="s">
        <v>414</v>
      </c>
      <c r="F2858" s="1" t="s">
        <v>415</v>
      </c>
      <c r="G2858" s="1" t="s">
        <v>404</v>
      </c>
      <c r="H2858" s="1">
        <v>198</v>
      </c>
      <c r="I2858" s="3">
        <v>46279</v>
      </c>
      <c r="J2858" s="3">
        <v>46286</v>
      </c>
      <c r="K2858" s="3" t="s">
        <v>2371</v>
      </c>
      <c r="L2858" s="31">
        <v>46279.576699224534</v>
      </c>
      <c r="M2858" s="20">
        <v>12</v>
      </c>
      <c r="N2858" s="1">
        <v>11</v>
      </c>
    </row>
    <row r="2859" spans="1:14" x14ac:dyDescent="0.25">
      <c r="A2859" t="str">
        <f t="shared" si="90"/>
        <v>H189176H189176</v>
      </c>
      <c r="B2859" t="str">
        <f t="shared" si="91"/>
        <v>H189176G6035F4-M</v>
      </c>
      <c r="C2859" s="1" t="s">
        <v>24</v>
      </c>
      <c r="D2859" s="1" t="s">
        <v>679</v>
      </c>
      <c r="E2859" s="1" t="s">
        <v>414</v>
      </c>
      <c r="F2859" s="1" t="s">
        <v>415</v>
      </c>
      <c r="G2859" s="1" t="s">
        <v>404</v>
      </c>
      <c r="H2859" s="1">
        <v>198</v>
      </c>
      <c r="I2859" s="3">
        <v>46279</v>
      </c>
      <c r="J2859" s="3">
        <v>46286</v>
      </c>
      <c r="K2859" s="3" t="s">
        <v>2371</v>
      </c>
      <c r="L2859" s="31">
        <v>46279.588485729168</v>
      </c>
      <c r="M2859" s="20">
        <v>12</v>
      </c>
      <c r="N2859" s="1">
        <v>5</v>
      </c>
    </row>
    <row r="2860" spans="1:14" x14ac:dyDescent="0.25">
      <c r="A2860" t="str">
        <f t="shared" si="90"/>
        <v>H189176H189176</v>
      </c>
      <c r="B2860" t="str">
        <f t="shared" si="91"/>
        <v>H189176G6035F4-M</v>
      </c>
      <c r="C2860" s="1" t="s">
        <v>24</v>
      </c>
      <c r="D2860" s="1" t="s">
        <v>679</v>
      </c>
      <c r="E2860" s="1" t="s">
        <v>414</v>
      </c>
      <c r="F2860" s="1" t="s">
        <v>415</v>
      </c>
      <c r="G2860" s="1" t="s">
        <v>404</v>
      </c>
      <c r="H2860" s="1">
        <v>198</v>
      </c>
      <c r="I2860" s="3">
        <v>46279</v>
      </c>
      <c r="J2860" s="3">
        <v>46286</v>
      </c>
      <c r="K2860" s="3" t="s">
        <v>2371</v>
      </c>
      <c r="L2860" s="31">
        <v>46279.589161111107</v>
      </c>
      <c r="M2860" s="20">
        <v>12</v>
      </c>
      <c r="N2860" s="1">
        <v>3</v>
      </c>
    </row>
    <row r="2861" spans="1:14" x14ac:dyDescent="0.25">
      <c r="A2861" t="str">
        <f t="shared" si="90"/>
        <v>H189176H189176</v>
      </c>
      <c r="B2861" t="str">
        <f t="shared" si="91"/>
        <v>H189176G6035F4-M</v>
      </c>
      <c r="C2861" s="1" t="s">
        <v>24</v>
      </c>
      <c r="D2861" s="1" t="s">
        <v>679</v>
      </c>
      <c r="E2861" s="1" t="s">
        <v>414</v>
      </c>
      <c r="F2861" s="1" t="s">
        <v>415</v>
      </c>
      <c r="G2861" s="1" t="s">
        <v>404</v>
      </c>
      <c r="H2861" s="1">
        <v>198</v>
      </c>
      <c r="I2861" s="3">
        <v>46279</v>
      </c>
      <c r="J2861" s="3">
        <v>46286</v>
      </c>
      <c r="K2861" s="3" t="s">
        <v>2371</v>
      </c>
      <c r="L2861" s="31">
        <v>46279.596774386569</v>
      </c>
      <c r="M2861" s="20">
        <v>12</v>
      </c>
      <c r="N2861" s="1">
        <v>6</v>
      </c>
    </row>
    <row r="2862" spans="1:14" x14ac:dyDescent="0.25">
      <c r="A2862" t="str">
        <f t="shared" si="90"/>
        <v>H189176H189176</v>
      </c>
      <c r="B2862" t="str">
        <f t="shared" si="91"/>
        <v>H189176G6035F4-M</v>
      </c>
      <c r="C2862" s="1" t="s">
        <v>24</v>
      </c>
      <c r="D2862" s="1" t="s">
        <v>679</v>
      </c>
      <c r="E2862" s="1" t="s">
        <v>414</v>
      </c>
      <c r="F2862" s="1" t="s">
        <v>415</v>
      </c>
      <c r="G2862" s="1" t="s">
        <v>404</v>
      </c>
      <c r="H2862" s="1">
        <v>198</v>
      </c>
      <c r="I2862" s="3">
        <v>46279</v>
      </c>
      <c r="J2862" s="3">
        <v>46286</v>
      </c>
      <c r="K2862" s="3" t="s">
        <v>2371</v>
      </c>
      <c r="L2862" s="31">
        <v>46279.597574849533</v>
      </c>
      <c r="M2862" s="20">
        <v>12</v>
      </c>
      <c r="N2862" s="1">
        <v>12</v>
      </c>
    </row>
    <row r="2863" spans="1:14" x14ac:dyDescent="0.25">
      <c r="A2863" t="str">
        <f t="shared" si="90"/>
        <v>H189176H189176</v>
      </c>
      <c r="B2863" t="str">
        <f t="shared" si="91"/>
        <v>H189176G6035F4-M</v>
      </c>
      <c r="C2863" s="1" t="s">
        <v>24</v>
      </c>
      <c r="D2863" s="1" t="s">
        <v>679</v>
      </c>
      <c r="E2863" s="1" t="s">
        <v>414</v>
      </c>
      <c r="F2863" s="1" t="s">
        <v>415</v>
      </c>
      <c r="G2863" s="1" t="s">
        <v>404</v>
      </c>
      <c r="H2863" s="1">
        <v>198</v>
      </c>
      <c r="I2863" s="3">
        <v>46279</v>
      </c>
      <c r="J2863" s="3">
        <v>46286</v>
      </c>
      <c r="K2863" s="3" t="s">
        <v>2371</v>
      </c>
      <c r="L2863" s="31">
        <v>46279.602034224532</v>
      </c>
      <c r="M2863" s="20">
        <v>12</v>
      </c>
      <c r="N2863" s="1">
        <v>15</v>
      </c>
    </row>
    <row r="2864" spans="1:14" x14ac:dyDescent="0.25">
      <c r="A2864" t="str">
        <f t="shared" si="90"/>
        <v>H189176H189176</v>
      </c>
      <c r="B2864" t="str">
        <f t="shared" si="91"/>
        <v>H189176G6035F4-M</v>
      </c>
      <c r="C2864" s="1" t="s">
        <v>24</v>
      </c>
      <c r="D2864" s="1" t="s">
        <v>679</v>
      </c>
      <c r="E2864" s="1" t="s">
        <v>414</v>
      </c>
      <c r="F2864" s="1" t="s">
        <v>415</v>
      </c>
      <c r="G2864" s="1" t="s">
        <v>404</v>
      </c>
      <c r="H2864" s="1">
        <v>198</v>
      </c>
      <c r="I2864" s="3">
        <v>46279</v>
      </c>
      <c r="J2864" s="3">
        <v>46286</v>
      </c>
      <c r="K2864" s="3" t="s">
        <v>2371</v>
      </c>
      <c r="L2864" s="31">
        <v>46279.60262607639</v>
      </c>
      <c r="M2864" s="20">
        <v>12</v>
      </c>
      <c r="N2864" s="1">
        <v>4</v>
      </c>
    </row>
    <row r="2865" spans="1:14" x14ac:dyDescent="0.25">
      <c r="A2865" t="str">
        <f t="shared" si="90"/>
        <v>H189176H189176</v>
      </c>
      <c r="B2865" t="str">
        <f t="shared" si="91"/>
        <v>H189176G6035F4-M</v>
      </c>
      <c r="C2865" s="1" t="s">
        <v>24</v>
      </c>
      <c r="D2865" s="1" t="s">
        <v>679</v>
      </c>
      <c r="E2865" s="1" t="s">
        <v>414</v>
      </c>
      <c r="F2865" s="1" t="s">
        <v>415</v>
      </c>
      <c r="G2865" s="1" t="s">
        <v>404</v>
      </c>
      <c r="H2865" s="1">
        <v>198</v>
      </c>
      <c r="I2865" s="3">
        <v>46279</v>
      </c>
      <c r="J2865" s="3">
        <v>46286</v>
      </c>
      <c r="K2865" s="3" t="s">
        <v>2371</v>
      </c>
      <c r="L2865" s="31">
        <v>46279.613888078704</v>
      </c>
      <c r="M2865" s="20">
        <v>12</v>
      </c>
      <c r="N2865" s="1">
        <v>7</v>
      </c>
    </row>
    <row r="2866" spans="1:14" x14ac:dyDescent="0.25">
      <c r="A2866" t="str">
        <f t="shared" si="90"/>
        <v>H189176H189176</v>
      </c>
      <c r="B2866" t="str">
        <f t="shared" si="91"/>
        <v>H189176G6035F4-M</v>
      </c>
      <c r="C2866" s="1" t="s">
        <v>24</v>
      </c>
      <c r="D2866" s="1" t="s">
        <v>679</v>
      </c>
      <c r="E2866" s="1" t="s">
        <v>414</v>
      </c>
      <c r="F2866" s="1" t="s">
        <v>415</v>
      </c>
      <c r="G2866" s="1" t="s">
        <v>404</v>
      </c>
      <c r="H2866" s="1">
        <v>198</v>
      </c>
      <c r="I2866" s="3">
        <v>46279</v>
      </c>
      <c r="J2866" s="3">
        <v>46286</v>
      </c>
      <c r="K2866" s="3" t="s">
        <v>2371</v>
      </c>
      <c r="L2866" s="31">
        <v>46279.615565509259</v>
      </c>
      <c r="M2866" s="20">
        <v>12</v>
      </c>
      <c r="N2866" s="1">
        <v>13</v>
      </c>
    </row>
    <row r="2867" spans="1:14" x14ac:dyDescent="0.25">
      <c r="A2867" t="str">
        <f t="shared" si="90"/>
        <v>H189176H189176</v>
      </c>
      <c r="B2867" t="str">
        <f t="shared" si="91"/>
        <v>H189176G6035F4-M</v>
      </c>
      <c r="C2867" s="1" t="s">
        <v>24</v>
      </c>
      <c r="D2867" s="1" t="s">
        <v>679</v>
      </c>
      <c r="E2867" s="1" t="s">
        <v>414</v>
      </c>
      <c r="F2867" s="1" t="s">
        <v>415</v>
      </c>
      <c r="G2867" s="1" t="s">
        <v>404</v>
      </c>
      <c r="H2867" s="1">
        <v>198</v>
      </c>
      <c r="I2867" s="3">
        <v>46279</v>
      </c>
      <c r="J2867" s="3">
        <v>46286</v>
      </c>
      <c r="K2867" s="3" t="s">
        <v>2371</v>
      </c>
      <c r="L2867" s="31">
        <v>46279.629405983796</v>
      </c>
      <c r="M2867" s="20">
        <v>6</v>
      </c>
      <c r="N2867" s="1">
        <v>17</v>
      </c>
    </row>
    <row r="2868" spans="1:14" x14ac:dyDescent="0.25">
      <c r="A2868" t="str">
        <f t="shared" si="90"/>
        <v>H189176H189176</v>
      </c>
      <c r="B2868" t="str">
        <f t="shared" si="91"/>
        <v>H189176G6035F4-M</v>
      </c>
      <c r="C2868" s="1" t="s">
        <v>24</v>
      </c>
      <c r="D2868" s="1" t="s">
        <v>679</v>
      </c>
      <c r="E2868" s="1" t="s">
        <v>414</v>
      </c>
      <c r="F2868" s="1" t="s">
        <v>415</v>
      </c>
      <c r="G2868" s="1" t="s">
        <v>404</v>
      </c>
      <c r="H2868" s="1">
        <v>198</v>
      </c>
      <c r="I2868" s="3">
        <v>46279</v>
      </c>
      <c r="J2868" s="3">
        <v>46286</v>
      </c>
      <c r="K2868" s="3" t="s">
        <v>2371</v>
      </c>
      <c r="L2868" s="31">
        <v>46279.664711655088</v>
      </c>
      <c r="M2868" s="20">
        <v>12</v>
      </c>
      <c r="N2868" s="1">
        <v>8</v>
      </c>
    </row>
    <row r="2869" spans="1:14" x14ac:dyDescent="0.25">
      <c r="A2869" t="str">
        <f t="shared" si="90"/>
        <v>H189183H189183</v>
      </c>
      <c r="B2869" t="str">
        <f t="shared" si="91"/>
        <v>H189183P60394T-W</v>
      </c>
      <c r="C2869" s="1" t="s">
        <v>54</v>
      </c>
      <c r="D2869" s="1" t="s">
        <v>670</v>
      </c>
      <c r="E2869" s="1" t="s">
        <v>414</v>
      </c>
      <c r="F2869" s="1" t="s">
        <v>415</v>
      </c>
      <c r="G2869" s="1" t="s">
        <v>404</v>
      </c>
      <c r="H2869" s="1">
        <v>360</v>
      </c>
      <c r="I2869" s="3">
        <v>46279</v>
      </c>
      <c r="J2869" s="3">
        <v>46289</v>
      </c>
      <c r="K2869" s="3" t="s">
        <v>2374</v>
      </c>
      <c r="L2869" s="31">
        <v>46279.430559374996</v>
      </c>
      <c r="M2869" s="20">
        <v>12</v>
      </c>
      <c r="N2869" s="1">
        <v>46</v>
      </c>
    </row>
    <row r="2870" spans="1:14" x14ac:dyDescent="0.25">
      <c r="A2870" t="str">
        <f t="shared" si="90"/>
        <v>H189183H189183</v>
      </c>
      <c r="B2870" t="str">
        <f t="shared" si="91"/>
        <v>H189183P60394T-W</v>
      </c>
      <c r="C2870" s="1" t="s">
        <v>54</v>
      </c>
      <c r="D2870" s="1" t="s">
        <v>670</v>
      </c>
      <c r="E2870" s="1" t="s">
        <v>414</v>
      </c>
      <c r="F2870" s="1" t="s">
        <v>415</v>
      </c>
      <c r="G2870" s="1" t="s">
        <v>404</v>
      </c>
      <c r="H2870" s="1">
        <v>360</v>
      </c>
      <c r="I2870" s="3">
        <v>46279</v>
      </c>
      <c r="J2870" s="3">
        <v>46289</v>
      </c>
      <c r="K2870" s="3" t="s">
        <v>2374</v>
      </c>
      <c r="L2870" s="31">
        <v>46279.436102002313</v>
      </c>
      <c r="M2870" s="20">
        <v>12</v>
      </c>
      <c r="N2870" s="1">
        <v>47</v>
      </c>
    </row>
    <row r="2871" spans="1:14" x14ac:dyDescent="0.25">
      <c r="A2871" t="str">
        <f t="shared" si="90"/>
        <v>H189183H189183</v>
      </c>
      <c r="B2871" t="str">
        <f t="shared" si="91"/>
        <v>H189183P60394T-W</v>
      </c>
      <c r="C2871" s="1" t="s">
        <v>54</v>
      </c>
      <c r="D2871" s="1" t="s">
        <v>670</v>
      </c>
      <c r="E2871" s="1" t="s">
        <v>414</v>
      </c>
      <c r="F2871" s="1" t="s">
        <v>415</v>
      </c>
      <c r="G2871" s="1" t="s">
        <v>404</v>
      </c>
      <c r="H2871" s="1">
        <v>360</v>
      </c>
      <c r="I2871" s="3">
        <v>46279</v>
      </c>
      <c r="J2871" s="3">
        <v>46289</v>
      </c>
      <c r="K2871" s="3" t="s">
        <v>2374</v>
      </c>
      <c r="L2871" s="31">
        <v>46279.440175891199</v>
      </c>
      <c r="M2871" s="20">
        <v>12</v>
      </c>
      <c r="N2871" s="1">
        <v>41</v>
      </c>
    </row>
    <row r="2872" spans="1:14" x14ac:dyDescent="0.25">
      <c r="A2872" t="str">
        <f t="shared" si="90"/>
        <v>H189183H189183</v>
      </c>
      <c r="B2872" t="str">
        <f t="shared" si="91"/>
        <v>H189183P60394T-W</v>
      </c>
      <c r="C2872" s="1" t="s">
        <v>54</v>
      </c>
      <c r="D2872" s="1" t="s">
        <v>670</v>
      </c>
      <c r="E2872" s="1" t="s">
        <v>414</v>
      </c>
      <c r="F2872" s="1" t="s">
        <v>415</v>
      </c>
      <c r="G2872" s="1" t="s">
        <v>404</v>
      </c>
      <c r="H2872" s="1">
        <v>360</v>
      </c>
      <c r="I2872" s="3">
        <v>46279</v>
      </c>
      <c r="J2872" s="3">
        <v>46289</v>
      </c>
      <c r="K2872" s="3" t="s">
        <v>2374</v>
      </c>
      <c r="L2872" s="31">
        <v>46279.446135532402</v>
      </c>
      <c r="M2872" s="20">
        <v>12</v>
      </c>
      <c r="N2872" s="1">
        <v>37</v>
      </c>
    </row>
    <row r="2873" spans="1:14" x14ac:dyDescent="0.25">
      <c r="A2873" t="str">
        <f t="shared" si="90"/>
        <v>H189183H189183</v>
      </c>
      <c r="B2873" t="str">
        <f t="shared" si="91"/>
        <v>H189183P60394T-W</v>
      </c>
      <c r="C2873" s="1" t="s">
        <v>54</v>
      </c>
      <c r="D2873" s="1" t="s">
        <v>670</v>
      </c>
      <c r="E2873" s="1" t="s">
        <v>414</v>
      </c>
      <c r="F2873" s="1" t="s">
        <v>415</v>
      </c>
      <c r="G2873" s="1" t="s">
        <v>404</v>
      </c>
      <c r="H2873" s="1">
        <v>360</v>
      </c>
      <c r="I2873" s="3">
        <v>46279</v>
      </c>
      <c r="J2873" s="3">
        <v>46289</v>
      </c>
      <c r="K2873" s="3" t="s">
        <v>2374</v>
      </c>
      <c r="L2873" s="31">
        <v>46279.44908799768</v>
      </c>
      <c r="M2873" s="20">
        <v>12</v>
      </c>
      <c r="N2873" s="1">
        <v>48</v>
      </c>
    </row>
    <row r="2874" spans="1:14" x14ac:dyDescent="0.25">
      <c r="A2874" t="str">
        <f t="shared" si="90"/>
        <v>H189183H189183</v>
      </c>
      <c r="B2874" t="str">
        <f t="shared" si="91"/>
        <v>H189183P60394T-W</v>
      </c>
      <c r="C2874" s="1" t="s">
        <v>54</v>
      </c>
      <c r="D2874" s="1" t="s">
        <v>670</v>
      </c>
      <c r="E2874" s="1" t="s">
        <v>414</v>
      </c>
      <c r="F2874" s="1" t="s">
        <v>415</v>
      </c>
      <c r="G2874" s="1" t="s">
        <v>404</v>
      </c>
      <c r="H2874" s="1">
        <v>360</v>
      </c>
      <c r="I2874" s="3">
        <v>46279</v>
      </c>
      <c r="J2874" s="3">
        <v>46289</v>
      </c>
      <c r="K2874" s="3" t="s">
        <v>2374</v>
      </c>
      <c r="L2874" s="31">
        <v>46279.455127627312</v>
      </c>
      <c r="M2874" s="20">
        <v>12</v>
      </c>
      <c r="N2874" s="1">
        <v>31</v>
      </c>
    </row>
    <row r="2875" spans="1:14" x14ac:dyDescent="0.25">
      <c r="A2875" t="str">
        <f t="shared" si="90"/>
        <v>H189183H189183</v>
      </c>
      <c r="B2875" t="str">
        <f t="shared" si="91"/>
        <v>H189183P60394T-W</v>
      </c>
      <c r="C2875" s="1" t="s">
        <v>54</v>
      </c>
      <c r="D2875" s="1" t="s">
        <v>670</v>
      </c>
      <c r="E2875" s="1" t="s">
        <v>414</v>
      </c>
      <c r="F2875" s="1" t="s">
        <v>415</v>
      </c>
      <c r="G2875" s="1" t="s">
        <v>404</v>
      </c>
      <c r="H2875" s="1">
        <v>360</v>
      </c>
      <c r="I2875" s="3">
        <v>46279</v>
      </c>
      <c r="J2875" s="3">
        <v>46289</v>
      </c>
      <c r="K2875" s="3" t="s">
        <v>2374</v>
      </c>
      <c r="L2875" s="31">
        <v>46279.456526192131</v>
      </c>
      <c r="M2875" s="20">
        <v>12</v>
      </c>
      <c r="N2875" s="1">
        <v>26</v>
      </c>
    </row>
    <row r="2876" spans="1:14" x14ac:dyDescent="0.25">
      <c r="A2876" t="str">
        <f t="shared" si="90"/>
        <v>H189183H189183</v>
      </c>
      <c r="B2876" t="str">
        <f t="shared" si="91"/>
        <v>H189183P60394T-W</v>
      </c>
      <c r="C2876" s="1" t="s">
        <v>54</v>
      </c>
      <c r="D2876" s="1" t="s">
        <v>670</v>
      </c>
      <c r="E2876" s="1" t="s">
        <v>414</v>
      </c>
      <c r="F2876" s="1" t="s">
        <v>415</v>
      </c>
      <c r="G2876" s="1" t="s">
        <v>404</v>
      </c>
      <c r="H2876" s="1">
        <v>360</v>
      </c>
      <c r="I2876" s="3">
        <v>46279</v>
      </c>
      <c r="J2876" s="3">
        <v>46289</v>
      </c>
      <c r="K2876" s="3" t="s">
        <v>2374</v>
      </c>
      <c r="L2876" s="31">
        <v>46279.457013460647</v>
      </c>
      <c r="M2876" s="20">
        <v>12</v>
      </c>
      <c r="N2876" s="1">
        <v>42</v>
      </c>
    </row>
    <row r="2877" spans="1:14" x14ac:dyDescent="0.25">
      <c r="A2877" t="str">
        <f t="shared" si="90"/>
        <v>H189183H189183</v>
      </c>
      <c r="B2877" t="str">
        <f t="shared" si="91"/>
        <v>H189183P60394T-W</v>
      </c>
      <c r="C2877" s="1" t="s">
        <v>54</v>
      </c>
      <c r="D2877" s="1" t="s">
        <v>670</v>
      </c>
      <c r="E2877" s="1" t="s">
        <v>414</v>
      </c>
      <c r="F2877" s="1" t="s">
        <v>415</v>
      </c>
      <c r="G2877" s="1" t="s">
        <v>404</v>
      </c>
      <c r="H2877" s="1">
        <v>360</v>
      </c>
      <c r="I2877" s="3">
        <v>46279</v>
      </c>
      <c r="J2877" s="3">
        <v>46289</v>
      </c>
      <c r="K2877" s="3" t="s">
        <v>2374</v>
      </c>
      <c r="L2877" s="31">
        <v>46279.459705173613</v>
      </c>
      <c r="M2877" s="20">
        <v>12</v>
      </c>
      <c r="N2877" s="1">
        <v>34</v>
      </c>
    </row>
    <row r="2878" spans="1:14" x14ac:dyDescent="0.25">
      <c r="A2878" t="str">
        <f t="shared" si="90"/>
        <v>H189183H189183</v>
      </c>
      <c r="B2878" t="str">
        <f t="shared" si="91"/>
        <v>H189183P60394T-W</v>
      </c>
      <c r="C2878" s="1" t="s">
        <v>54</v>
      </c>
      <c r="D2878" s="1" t="s">
        <v>670</v>
      </c>
      <c r="E2878" s="1" t="s">
        <v>414</v>
      </c>
      <c r="F2878" s="1" t="s">
        <v>415</v>
      </c>
      <c r="G2878" s="1" t="s">
        <v>404</v>
      </c>
      <c r="H2878" s="1">
        <v>360</v>
      </c>
      <c r="I2878" s="3">
        <v>46279</v>
      </c>
      <c r="J2878" s="3">
        <v>46289</v>
      </c>
      <c r="K2878" s="3" t="s">
        <v>2374</v>
      </c>
      <c r="L2878" s="31">
        <v>46279.463931979168</v>
      </c>
      <c r="M2878" s="20">
        <v>12</v>
      </c>
      <c r="N2878" s="1">
        <v>49</v>
      </c>
    </row>
    <row r="2879" spans="1:14" x14ac:dyDescent="0.25">
      <c r="A2879" t="str">
        <f t="shared" si="90"/>
        <v>H189183H189183</v>
      </c>
      <c r="B2879" t="str">
        <f t="shared" si="91"/>
        <v>H189183P60394T-W</v>
      </c>
      <c r="C2879" s="1" t="s">
        <v>54</v>
      </c>
      <c r="D2879" s="1" t="s">
        <v>670</v>
      </c>
      <c r="E2879" s="1" t="s">
        <v>414</v>
      </c>
      <c r="F2879" s="1" t="s">
        <v>415</v>
      </c>
      <c r="G2879" s="1" t="s">
        <v>404</v>
      </c>
      <c r="H2879" s="1">
        <v>360</v>
      </c>
      <c r="I2879" s="3">
        <v>46279</v>
      </c>
      <c r="J2879" s="3">
        <v>46289</v>
      </c>
      <c r="K2879" s="3" t="s">
        <v>2374</v>
      </c>
      <c r="L2879" s="31">
        <v>46279.469012696754</v>
      </c>
      <c r="M2879" s="20">
        <v>12</v>
      </c>
      <c r="N2879" s="1">
        <v>29</v>
      </c>
    </row>
    <row r="2880" spans="1:14" x14ac:dyDescent="0.25">
      <c r="A2880" t="str">
        <f t="shared" si="90"/>
        <v>H189183H189183</v>
      </c>
      <c r="B2880" t="str">
        <f t="shared" si="91"/>
        <v>H189183P60394T-W</v>
      </c>
      <c r="C2880" s="1" t="s">
        <v>54</v>
      </c>
      <c r="D2880" s="1" t="s">
        <v>670</v>
      </c>
      <c r="E2880" s="1" t="s">
        <v>414</v>
      </c>
      <c r="F2880" s="1" t="s">
        <v>415</v>
      </c>
      <c r="G2880" s="1" t="s">
        <v>404</v>
      </c>
      <c r="H2880" s="1">
        <v>360</v>
      </c>
      <c r="I2880" s="3">
        <v>46279</v>
      </c>
      <c r="J2880" s="3">
        <v>46289</v>
      </c>
      <c r="K2880" s="3" t="s">
        <v>2374</v>
      </c>
      <c r="L2880" s="31">
        <v>46279.470080011575</v>
      </c>
      <c r="M2880" s="20">
        <v>12</v>
      </c>
      <c r="N2880" s="1">
        <v>27</v>
      </c>
    </row>
    <row r="2881" spans="1:14" x14ac:dyDescent="0.25">
      <c r="A2881" t="str">
        <f t="shared" si="90"/>
        <v>H189183H189183</v>
      </c>
      <c r="B2881" t="str">
        <f t="shared" si="91"/>
        <v>H189183P60394T-W</v>
      </c>
      <c r="C2881" s="1" t="s">
        <v>54</v>
      </c>
      <c r="D2881" s="1" t="s">
        <v>670</v>
      </c>
      <c r="E2881" s="1" t="s">
        <v>414</v>
      </c>
      <c r="F2881" s="1" t="s">
        <v>415</v>
      </c>
      <c r="G2881" s="1" t="s">
        <v>404</v>
      </c>
      <c r="H2881" s="1">
        <v>360</v>
      </c>
      <c r="I2881" s="3">
        <v>46279</v>
      </c>
      <c r="J2881" s="3">
        <v>46289</v>
      </c>
      <c r="K2881" s="3" t="s">
        <v>2374</v>
      </c>
      <c r="L2881" s="31">
        <v>46279.546308912039</v>
      </c>
      <c r="M2881" s="20">
        <v>12</v>
      </c>
      <c r="N2881" s="1">
        <v>43</v>
      </c>
    </row>
    <row r="2882" spans="1:14" x14ac:dyDescent="0.25">
      <c r="A2882" t="str">
        <f t="shared" ref="A2882:A2945" si="92">+D2882&amp;D2882</f>
        <v>H189183H189183</v>
      </c>
      <c r="B2882" t="str">
        <f t="shared" ref="B2882:B2945" si="93">+D2882&amp;C2882</f>
        <v>H189183P60394T-W</v>
      </c>
      <c r="C2882" s="1" t="s">
        <v>54</v>
      </c>
      <c r="D2882" s="1" t="s">
        <v>670</v>
      </c>
      <c r="E2882" s="1" t="s">
        <v>414</v>
      </c>
      <c r="F2882" s="1" t="s">
        <v>415</v>
      </c>
      <c r="G2882" s="1" t="s">
        <v>404</v>
      </c>
      <c r="H2882" s="1">
        <v>360</v>
      </c>
      <c r="I2882" s="3">
        <v>46279</v>
      </c>
      <c r="J2882" s="3">
        <v>46289</v>
      </c>
      <c r="K2882" s="3" t="s">
        <v>2374</v>
      </c>
      <c r="L2882" s="31">
        <v>46279.552705011571</v>
      </c>
      <c r="M2882" s="20">
        <v>12</v>
      </c>
      <c r="N2882" s="1">
        <v>24</v>
      </c>
    </row>
    <row r="2883" spans="1:14" x14ac:dyDescent="0.25">
      <c r="A2883" t="str">
        <f t="shared" si="92"/>
        <v>H189183H189183</v>
      </c>
      <c r="B2883" t="str">
        <f t="shared" si="93"/>
        <v>H189183P60394T-W</v>
      </c>
      <c r="C2883" s="1" t="s">
        <v>54</v>
      </c>
      <c r="D2883" s="1" t="s">
        <v>670</v>
      </c>
      <c r="E2883" s="1" t="s">
        <v>414</v>
      </c>
      <c r="F2883" s="1" t="s">
        <v>415</v>
      </c>
      <c r="G2883" s="1" t="s">
        <v>404</v>
      </c>
      <c r="H2883" s="1">
        <v>360</v>
      </c>
      <c r="I2883" s="3">
        <v>46279</v>
      </c>
      <c r="J2883" s="3">
        <v>46289</v>
      </c>
      <c r="K2883" s="3" t="s">
        <v>2374</v>
      </c>
      <c r="L2883" s="31">
        <v>46279.55381168981</v>
      </c>
      <c r="M2883" s="20">
        <v>12</v>
      </c>
      <c r="N2883" s="1">
        <v>30</v>
      </c>
    </row>
    <row r="2884" spans="1:14" x14ac:dyDescent="0.25">
      <c r="A2884" t="str">
        <f t="shared" si="92"/>
        <v>H189183H189183</v>
      </c>
      <c r="B2884" t="str">
        <f t="shared" si="93"/>
        <v>H189183P60394T-W</v>
      </c>
      <c r="C2884" s="1" t="s">
        <v>54</v>
      </c>
      <c r="D2884" s="1" t="s">
        <v>670</v>
      </c>
      <c r="E2884" s="1" t="s">
        <v>414</v>
      </c>
      <c r="F2884" s="1" t="s">
        <v>415</v>
      </c>
      <c r="G2884" s="1" t="s">
        <v>404</v>
      </c>
      <c r="H2884" s="1">
        <v>360</v>
      </c>
      <c r="I2884" s="3">
        <v>46279</v>
      </c>
      <c r="J2884" s="3">
        <v>46289</v>
      </c>
      <c r="K2884" s="3" t="s">
        <v>2374</v>
      </c>
      <c r="L2884" s="31">
        <v>46279.554086076387</v>
      </c>
      <c r="M2884" s="20">
        <v>12</v>
      </c>
      <c r="N2884" s="1">
        <v>35</v>
      </c>
    </row>
    <row r="2885" spans="1:14" x14ac:dyDescent="0.25">
      <c r="A2885" t="str">
        <f t="shared" si="92"/>
        <v>H189183H189183</v>
      </c>
      <c r="B2885" t="str">
        <f t="shared" si="93"/>
        <v>H189183P60394T-W</v>
      </c>
      <c r="C2885" s="1" t="s">
        <v>54</v>
      </c>
      <c r="D2885" s="1" t="s">
        <v>670</v>
      </c>
      <c r="E2885" s="1" t="s">
        <v>414</v>
      </c>
      <c r="F2885" s="1" t="s">
        <v>415</v>
      </c>
      <c r="G2885" s="1" t="s">
        <v>404</v>
      </c>
      <c r="H2885" s="1">
        <v>360</v>
      </c>
      <c r="I2885" s="3">
        <v>46279</v>
      </c>
      <c r="J2885" s="3">
        <v>46289</v>
      </c>
      <c r="K2885" s="3" t="s">
        <v>2374</v>
      </c>
      <c r="L2885" s="31">
        <v>46279.554715196755</v>
      </c>
      <c r="M2885" s="20">
        <v>12</v>
      </c>
      <c r="N2885" s="1">
        <v>40</v>
      </c>
    </row>
    <row r="2886" spans="1:14" x14ac:dyDescent="0.25">
      <c r="A2886" t="str">
        <f t="shared" si="92"/>
        <v>H189183H189183</v>
      </c>
      <c r="B2886" t="str">
        <f t="shared" si="93"/>
        <v>H189183P60394T-W</v>
      </c>
      <c r="C2886" s="1" t="s">
        <v>54</v>
      </c>
      <c r="D2886" s="1" t="s">
        <v>670</v>
      </c>
      <c r="E2886" s="1" t="s">
        <v>414</v>
      </c>
      <c r="F2886" s="1" t="s">
        <v>415</v>
      </c>
      <c r="G2886" s="1" t="s">
        <v>404</v>
      </c>
      <c r="H2886" s="1">
        <v>360</v>
      </c>
      <c r="I2886" s="3">
        <v>46279</v>
      </c>
      <c r="J2886" s="3">
        <v>46289</v>
      </c>
      <c r="K2886" s="3" t="s">
        <v>2374</v>
      </c>
      <c r="L2886" s="31">
        <v>46279.554943020834</v>
      </c>
      <c r="M2886" s="20">
        <v>12</v>
      </c>
      <c r="N2886" s="1">
        <v>50</v>
      </c>
    </row>
    <row r="2887" spans="1:14" x14ac:dyDescent="0.25">
      <c r="A2887" t="str">
        <f t="shared" si="92"/>
        <v>H189183H189183</v>
      </c>
      <c r="B2887" t="str">
        <f t="shared" si="93"/>
        <v>H189183P60394T-W</v>
      </c>
      <c r="C2887" s="1" t="s">
        <v>54</v>
      </c>
      <c r="D2887" s="1" t="s">
        <v>670</v>
      </c>
      <c r="E2887" s="1" t="s">
        <v>414</v>
      </c>
      <c r="F2887" s="1" t="s">
        <v>415</v>
      </c>
      <c r="G2887" s="1" t="s">
        <v>404</v>
      </c>
      <c r="H2887" s="1">
        <v>360</v>
      </c>
      <c r="I2887" s="3">
        <v>46279</v>
      </c>
      <c r="J2887" s="3">
        <v>46289</v>
      </c>
      <c r="K2887" s="3" t="s">
        <v>2374</v>
      </c>
      <c r="L2887" s="31">
        <v>46279.589650925926</v>
      </c>
      <c r="M2887" s="20">
        <v>12</v>
      </c>
      <c r="N2887" s="1">
        <v>51</v>
      </c>
    </row>
    <row r="2888" spans="1:14" x14ac:dyDescent="0.25">
      <c r="A2888" t="str">
        <f t="shared" si="92"/>
        <v>H189183H189183</v>
      </c>
      <c r="B2888" t="str">
        <f t="shared" si="93"/>
        <v>H189183P60394T-W</v>
      </c>
      <c r="C2888" s="1" t="s">
        <v>54</v>
      </c>
      <c r="D2888" s="1" t="s">
        <v>670</v>
      </c>
      <c r="E2888" s="1" t="s">
        <v>414</v>
      </c>
      <c r="F2888" s="1" t="s">
        <v>415</v>
      </c>
      <c r="G2888" s="1" t="s">
        <v>404</v>
      </c>
      <c r="H2888" s="1">
        <v>360</v>
      </c>
      <c r="I2888" s="3">
        <v>46279</v>
      </c>
      <c r="J2888" s="3">
        <v>46289</v>
      </c>
      <c r="K2888" s="3" t="s">
        <v>2374</v>
      </c>
      <c r="L2888" s="31">
        <v>46279.597884340277</v>
      </c>
      <c r="M2888" s="20">
        <v>12</v>
      </c>
      <c r="N2888" s="1">
        <v>38</v>
      </c>
    </row>
    <row r="2889" spans="1:14" x14ac:dyDescent="0.25">
      <c r="A2889" t="str">
        <f t="shared" si="92"/>
        <v>H189183H189183</v>
      </c>
      <c r="B2889" t="str">
        <f t="shared" si="93"/>
        <v>H189183P60394T-W</v>
      </c>
      <c r="C2889" s="1" t="s">
        <v>54</v>
      </c>
      <c r="D2889" s="1" t="s">
        <v>670</v>
      </c>
      <c r="E2889" s="1" t="s">
        <v>414</v>
      </c>
      <c r="F2889" s="1" t="s">
        <v>415</v>
      </c>
      <c r="G2889" s="1" t="s">
        <v>404</v>
      </c>
      <c r="H2889" s="1">
        <v>360</v>
      </c>
      <c r="I2889" s="3">
        <v>46279</v>
      </c>
      <c r="J2889" s="3">
        <v>46289</v>
      </c>
      <c r="K2889" s="3" t="s">
        <v>2374</v>
      </c>
      <c r="L2889" s="31">
        <v>46279.601752395829</v>
      </c>
      <c r="M2889" s="20">
        <v>12</v>
      </c>
      <c r="N2889" s="1">
        <v>32</v>
      </c>
    </row>
    <row r="2890" spans="1:14" x14ac:dyDescent="0.25">
      <c r="A2890" t="str">
        <f t="shared" si="92"/>
        <v>H189183H189183</v>
      </c>
      <c r="B2890" t="str">
        <f t="shared" si="93"/>
        <v>H189183P60394T-W</v>
      </c>
      <c r="C2890" s="1" t="s">
        <v>54</v>
      </c>
      <c r="D2890" s="1" t="s">
        <v>670</v>
      </c>
      <c r="E2890" s="1" t="s">
        <v>414</v>
      </c>
      <c r="F2890" s="1" t="s">
        <v>415</v>
      </c>
      <c r="G2890" s="1" t="s">
        <v>404</v>
      </c>
      <c r="H2890" s="1">
        <v>360</v>
      </c>
      <c r="I2890" s="3">
        <v>46279</v>
      </c>
      <c r="J2890" s="3">
        <v>46289</v>
      </c>
      <c r="K2890" s="3" t="s">
        <v>2374</v>
      </c>
      <c r="L2890" s="31">
        <v>46279.615275462958</v>
      </c>
      <c r="M2890" s="20">
        <v>12</v>
      </c>
      <c r="N2890" s="1">
        <v>23</v>
      </c>
    </row>
    <row r="2891" spans="1:14" x14ac:dyDescent="0.25">
      <c r="A2891" t="str">
        <f t="shared" si="92"/>
        <v>U146409U146409</v>
      </c>
      <c r="B2891" t="str">
        <f t="shared" si="93"/>
        <v>U146409I603457-W</v>
      </c>
      <c r="C2891" s="1" t="s">
        <v>59</v>
      </c>
      <c r="D2891" s="1" t="s">
        <v>682</v>
      </c>
      <c r="E2891" s="1" t="s">
        <v>436</v>
      </c>
      <c r="F2891" s="1" t="s">
        <v>439</v>
      </c>
      <c r="G2891" s="1" t="s">
        <v>438</v>
      </c>
      <c r="H2891" s="1">
        <v>516</v>
      </c>
      <c r="I2891" s="3">
        <v>46279</v>
      </c>
      <c r="J2891" s="3">
        <v>46283</v>
      </c>
      <c r="K2891" s="3" t="s">
        <v>2350</v>
      </c>
      <c r="L2891" s="31">
        <v>46279.640349687499</v>
      </c>
      <c r="M2891" s="20">
        <v>12</v>
      </c>
      <c r="N2891" s="1">
        <v>17</v>
      </c>
    </row>
    <row r="2892" spans="1:14" x14ac:dyDescent="0.25">
      <c r="A2892" t="str">
        <f t="shared" si="92"/>
        <v>U146409U146409</v>
      </c>
      <c r="B2892" t="str">
        <f t="shared" si="93"/>
        <v>U146409I603457-W</v>
      </c>
      <c r="C2892" s="1" t="s">
        <v>59</v>
      </c>
      <c r="D2892" s="1" t="s">
        <v>682</v>
      </c>
      <c r="E2892" s="1" t="s">
        <v>436</v>
      </c>
      <c r="F2892" s="1" t="s">
        <v>439</v>
      </c>
      <c r="G2892" s="1" t="s">
        <v>438</v>
      </c>
      <c r="H2892" s="1">
        <v>516</v>
      </c>
      <c r="I2892" s="3">
        <v>46279</v>
      </c>
      <c r="J2892" s="3">
        <v>46283</v>
      </c>
      <c r="K2892" s="3" t="s">
        <v>2350</v>
      </c>
      <c r="L2892" s="31">
        <v>46279.640688541665</v>
      </c>
      <c r="M2892" s="20">
        <v>12</v>
      </c>
      <c r="N2892" s="1">
        <v>11</v>
      </c>
    </row>
    <row r="2893" spans="1:14" x14ac:dyDescent="0.25">
      <c r="A2893" t="str">
        <f t="shared" si="92"/>
        <v>U146409U146409</v>
      </c>
      <c r="B2893" t="str">
        <f t="shared" si="93"/>
        <v>U146409I603457-W</v>
      </c>
      <c r="C2893" s="1" t="s">
        <v>59</v>
      </c>
      <c r="D2893" s="1" t="s">
        <v>682</v>
      </c>
      <c r="E2893" s="1" t="s">
        <v>436</v>
      </c>
      <c r="F2893" s="1" t="s">
        <v>439</v>
      </c>
      <c r="G2893" s="1" t="s">
        <v>438</v>
      </c>
      <c r="H2893" s="1">
        <v>516</v>
      </c>
      <c r="I2893" s="3">
        <v>46279</v>
      </c>
      <c r="J2893" s="3">
        <v>46283</v>
      </c>
      <c r="K2893" s="3" t="s">
        <v>2350</v>
      </c>
      <c r="L2893" s="31">
        <v>46279.649419675923</v>
      </c>
      <c r="M2893" s="20">
        <v>12</v>
      </c>
      <c r="N2893" s="1">
        <v>12</v>
      </c>
    </row>
    <row r="2894" spans="1:14" x14ac:dyDescent="0.25">
      <c r="A2894" t="str">
        <f t="shared" si="92"/>
        <v>U146409U146409</v>
      </c>
      <c r="B2894" t="str">
        <f t="shared" si="93"/>
        <v>U146409I603457-W</v>
      </c>
      <c r="C2894" s="1" t="s">
        <v>59</v>
      </c>
      <c r="D2894" s="1" t="s">
        <v>682</v>
      </c>
      <c r="E2894" s="1" t="s">
        <v>436</v>
      </c>
      <c r="F2894" s="1" t="s">
        <v>439</v>
      </c>
      <c r="G2894" s="1" t="s">
        <v>438</v>
      </c>
      <c r="H2894" s="1">
        <v>516</v>
      </c>
      <c r="I2894" s="3">
        <v>46279</v>
      </c>
      <c r="J2894" s="3">
        <v>46283</v>
      </c>
      <c r="K2894" s="3" t="s">
        <v>2350</v>
      </c>
      <c r="L2894" s="31">
        <v>46279.649843599538</v>
      </c>
      <c r="M2894" s="20">
        <v>12</v>
      </c>
      <c r="N2894" s="1">
        <v>34</v>
      </c>
    </row>
    <row r="2895" spans="1:14" x14ac:dyDescent="0.25">
      <c r="A2895" t="str">
        <f t="shared" si="92"/>
        <v>U146409U146409</v>
      </c>
      <c r="B2895" t="str">
        <f t="shared" si="93"/>
        <v>U146409I603457-W</v>
      </c>
      <c r="C2895" s="1" t="s">
        <v>59</v>
      </c>
      <c r="D2895" s="1" t="s">
        <v>682</v>
      </c>
      <c r="E2895" s="1" t="s">
        <v>436</v>
      </c>
      <c r="F2895" s="1" t="s">
        <v>439</v>
      </c>
      <c r="G2895" s="1" t="s">
        <v>438</v>
      </c>
      <c r="H2895" s="1">
        <v>516</v>
      </c>
      <c r="I2895" s="3">
        <v>46279</v>
      </c>
      <c r="J2895" s="3">
        <v>46283</v>
      </c>
      <c r="K2895" s="3" t="s">
        <v>2350</v>
      </c>
      <c r="L2895" s="31">
        <v>46279.661822071757</v>
      </c>
      <c r="M2895" s="20">
        <v>12</v>
      </c>
      <c r="N2895" s="1">
        <v>18</v>
      </c>
    </row>
    <row r="2896" spans="1:14" x14ac:dyDescent="0.25">
      <c r="A2896" t="str">
        <f t="shared" si="92"/>
        <v>U146409U146409</v>
      </c>
      <c r="B2896" t="str">
        <f t="shared" si="93"/>
        <v>U146409I603457-W</v>
      </c>
      <c r="C2896" s="1" t="s">
        <v>59</v>
      </c>
      <c r="D2896" s="1" t="s">
        <v>682</v>
      </c>
      <c r="E2896" s="1" t="s">
        <v>436</v>
      </c>
      <c r="F2896" s="1" t="s">
        <v>439</v>
      </c>
      <c r="G2896" s="1" t="s">
        <v>438</v>
      </c>
      <c r="H2896" s="1">
        <v>516</v>
      </c>
      <c r="I2896" s="3">
        <v>46279</v>
      </c>
      <c r="J2896" s="3">
        <v>46283</v>
      </c>
      <c r="K2896" s="3" t="s">
        <v>2350</v>
      </c>
      <c r="L2896" s="31">
        <v>46279.662023761572</v>
      </c>
      <c r="M2896" s="20">
        <v>12</v>
      </c>
      <c r="N2896" s="1">
        <v>13</v>
      </c>
    </row>
    <row r="2897" spans="1:14" x14ac:dyDescent="0.25">
      <c r="A2897" t="str">
        <f t="shared" si="92"/>
        <v>U146409U146409</v>
      </c>
      <c r="B2897" t="str">
        <f t="shared" si="93"/>
        <v>U146409I603457-W</v>
      </c>
      <c r="C2897" s="1" t="s">
        <v>59</v>
      </c>
      <c r="D2897" s="1" t="s">
        <v>682</v>
      </c>
      <c r="E2897" s="1" t="s">
        <v>436</v>
      </c>
      <c r="F2897" s="1" t="s">
        <v>439</v>
      </c>
      <c r="G2897" s="1" t="s">
        <v>438</v>
      </c>
      <c r="H2897" s="1">
        <v>516</v>
      </c>
      <c r="I2897" s="3">
        <v>46279</v>
      </c>
      <c r="J2897" s="3">
        <v>46283</v>
      </c>
      <c r="K2897" s="3" t="s">
        <v>2350</v>
      </c>
      <c r="L2897" s="31">
        <v>46279.662234571755</v>
      </c>
      <c r="M2897" s="20">
        <v>12</v>
      </c>
      <c r="N2897" s="1">
        <v>36</v>
      </c>
    </row>
    <row r="2898" spans="1:14" x14ac:dyDescent="0.25">
      <c r="A2898" t="str">
        <f t="shared" si="92"/>
        <v>U146409U146409</v>
      </c>
      <c r="B2898" t="str">
        <f t="shared" si="93"/>
        <v>U146409I603457-W</v>
      </c>
      <c r="C2898" s="1" t="s">
        <v>59</v>
      </c>
      <c r="D2898" s="1" t="s">
        <v>682</v>
      </c>
      <c r="E2898" s="1" t="s">
        <v>436</v>
      </c>
      <c r="F2898" s="1" t="s">
        <v>439</v>
      </c>
      <c r="G2898" s="1" t="s">
        <v>438</v>
      </c>
      <c r="H2898" s="1">
        <v>516</v>
      </c>
      <c r="I2898" s="3">
        <v>46279</v>
      </c>
      <c r="J2898" s="3">
        <v>46283</v>
      </c>
      <c r="K2898" s="3" t="s">
        <v>2350</v>
      </c>
      <c r="L2898" s="31">
        <v>46279.66244270833</v>
      </c>
      <c r="M2898" s="20">
        <v>12</v>
      </c>
      <c r="N2898" s="1">
        <v>25</v>
      </c>
    </row>
    <row r="2899" spans="1:14" x14ac:dyDescent="0.25">
      <c r="A2899" t="str">
        <f t="shared" si="92"/>
        <v>U146409U146409</v>
      </c>
      <c r="B2899" t="str">
        <f t="shared" si="93"/>
        <v>U146409I603457-W</v>
      </c>
      <c r="C2899" s="1" t="s">
        <v>59</v>
      </c>
      <c r="D2899" s="1" t="s">
        <v>682</v>
      </c>
      <c r="E2899" s="1" t="s">
        <v>436</v>
      </c>
      <c r="F2899" s="1" t="s">
        <v>439</v>
      </c>
      <c r="G2899" s="1" t="s">
        <v>438</v>
      </c>
      <c r="H2899" s="1">
        <v>516</v>
      </c>
      <c r="I2899" s="3">
        <v>46279</v>
      </c>
      <c r="J2899" s="3">
        <v>46283</v>
      </c>
      <c r="K2899" s="3" t="s">
        <v>2350</v>
      </c>
      <c r="L2899" s="31">
        <v>46279.663137731477</v>
      </c>
      <c r="M2899" s="20">
        <v>12</v>
      </c>
      <c r="N2899" s="1">
        <v>26</v>
      </c>
    </row>
    <row r="2900" spans="1:14" x14ac:dyDescent="0.25">
      <c r="A2900" t="str">
        <f t="shared" si="92"/>
        <v>U146409U146409</v>
      </c>
      <c r="B2900" t="str">
        <f t="shared" si="93"/>
        <v>U146409I603457-W</v>
      </c>
      <c r="C2900" s="1" t="s">
        <v>59</v>
      </c>
      <c r="D2900" s="1" t="s">
        <v>682</v>
      </c>
      <c r="E2900" s="1" t="s">
        <v>436</v>
      </c>
      <c r="F2900" s="1" t="s">
        <v>439</v>
      </c>
      <c r="G2900" s="1" t="s">
        <v>438</v>
      </c>
      <c r="H2900" s="1">
        <v>516</v>
      </c>
      <c r="I2900" s="3">
        <v>46279</v>
      </c>
      <c r="J2900" s="3">
        <v>46283</v>
      </c>
      <c r="K2900" s="3" t="s">
        <v>2350</v>
      </c>
      <c r="L2900" s="31">
        <v>46279.685569907408</v>
      </c>
      <c r="M2900" s="20">
        <v>12</v>
      </c>
      <c r="N2900" s="1">
        <v>19</v>
      </c>
    </row>
    <row r="2901" spans="1:14" x14ac:dyDescent="0.25">
      <c r="A2901" t="str">
        <f t="shared" si="92"/>
        <v>U146409U146409</v>
      </c>
      <c r="B2901" t="str">
        <f t="shared" si="93"/>
        <v>U146409I603457-W</v>
      </c>
      <c r="C2901" s="1" t="s">
        <v>59</v>
      </c>
      <c r="D2901" s="1" t="s">
        <v>682</v>
      </c>
      <c r="E2901" s="1" t="s">
        <v>436</v>
      </c>
      <c r="F2901" s="1" t="s">
        <v>439</v>
      </c>
      <c r="G2901" s="1" t="s">
        <v>438</v>
      </c>
      <c r="H2901" s="1">
        <v>516</v>
      </c>
      <c r="I2901" s="3">
        <v>46279</v>
      </c>
      <c r="J2901" s="3">
        <v>46283</v>
      </c>
      <c r="K2901" s="3" t="s">
        <v>2350</v>
      </c>
      <c r="L2901" s="31">
        <v>46279.685719942128</v>
      </c>
      <c r="M2901" s="20">
        <v>12</v>
      </c>
      <c r="N2901" s="1">
        <v>27</v>
      </c>
    </row>
    <row r="2902" spans="1:14" x14ac:dyDescent="0.25">
      <c r="A2902" t="str">
        <f t="shared" si="92"/>
        <v>U146409U146409</v>
      </c>
      <c r="B2902" t="str">
        <f t="shared" si="93"/>
        <v>U146409I603457-W</v>
      </c>
      <c r="C2902" s="1" t="s">
        <v>59</v>
      </c>
      <c r="D2902" s="1" t="s">
        <v>682</v>
      </c>
      <c r="E2902" s="1" t="s">
        <v>436</v>
      </c>
      <c r="F2902" s="1" t="s">
        <v>439</v>
      </c>
      <c r="G2902" s="1" t="s">
        <v>438</v>
      </c>
      <c r="H2902" s="1">
        <v>516</v>
      </c>
      <c r="I2902" s="3">
        <v>46279</v>
      </c>
      <c r="J2902" s="3">
        <v>46283</v>
      </c>
      <c r="K2902" s="3" t="s">
        <v>2350</v>
      </c>
      <c r="L2902" s="31">
        <v>46279.685925925922</v>
      </c>
      <c r="M2902" s="20">
        <v>12</v>
      </c>
      <c r="N2902" s="1">
        <v>1</v>
      </c>
    </row>
    <row r="2903" spans="1:14" x14ac:dyDescent="0.25">
      <c r="A2903" t="str">
        <f t="shared" si="92"/>
        <v>U146409U146409</v>
      </c>
      <c r="B2903" t="str">
        <f t="shared" si="93"/>
        <v>U146409I603457-W</v>
      </c>
      <c r="C2903" s="1" t="s">
        <v>59</v>
      </c>
      <c r="D2903" s="1" t="s">
        <v>682</v>
      </c>
      <c r="E2903" s="1" t="s">
        <v>436</v>
      </c>
      <c r="F2903" s="1" t="s">
        <v>439</v>
      </c>
      <c r="G2903" s="1" t="s">
        <v>438</v>
      </c>
      <c r="H2903" s="1">
        <v>516</v>
      </c>
      <c r="I2903" s="3">
        <v>46279</v>
      </c>
      <c r="J2903" s="3">
        <v>46283</v>
      </c>
      <c r="K2903" s="3" t="s">
        <v>2350</v>
      </c>
      <c r="L2903" s="31">
        <v>46279.686217708331</v>
      </c>
      <c r="M2903" s="20">
        <v>12</v>
      </c>
      <c r="N2903" s="1">
        <v>29</v>
      </c>
    </row>
    <row r="2904" spans="1:14" x14ac:dyDescent="0.25">
      <c r="A2904" t="str">
        <f t="shared" si="92"/>
        <v>U146409U146409</v>
      </c>
      <c r="B2904" t="str">
        <f t="shared" si="93"/>
        <v>U146409I603457-W</v>
      </c>
      <c r="C2904" s="1" t="s">
        <v>59</v>
      </c>
      <c r="D2904" s="1" t="s">
        <v>682</v>
      </c>
      <c r="E2904" s="1" t="s">
        <v>436</v>
      </c>
      <c r="F2904" s="1" t="s">
        <v>439</v>
      </c>
      <c r="G2904" s="1" t="s">
        <v>438</v>
      </c>
      <c r="H2904" s="1">
        <v>516</v>
      </c>
      <c r="I2904" s="3">
        <v>46279</v>
      </c>
      <c r="J2904" s="3">
        <v>46283</v>
      </c>
      <c r="K2904" s="3" t="s">
        <v>2350</v>
      </c>
      <c r="L2904" s="31">
        <v>46279.686553900458</v>
      </c>
      <c r="M2904" s="20">
        <v>12</v>
      </c>
      <c r="N2904" s="1">
        <v>28</v>
      </c>
    </row>
    <row r="2905" spans="1:14" x14ac:dyDescent="0.25">
      <c r="A2905" t="str">
        <f t="shared" si="92"/>
        <v>U146409U146409</v>
      </c>
      <c r="B2905" t="str">
        <f t="shared" si="93"/>
        <v>U146409I603457-W</v>
      </c>
      <c r="C2905" s="1" t="s">
        <v>59</v>
      </c>
      <c r="D2905" s="1" t="s">
        <v>682</v>
      </c>
      <c r="E2905" s="1" t="s">
        <v>436</v>
      </c>
      <c r="F2905" s="1" t="s">
        <v>439</v>
      </c>
      <c r="G2905" s="1" t="s">
        <v>438</v>
      </c>
      <c r="H2905" s="1">
        <v>516</v>
      </c>
      <c r="I2905" s="3">
        <v>46279</v>
      </c>
      <c r="J2905" s="3">
        <v>46283</v>
      </c>
      <c r="K2905" s="3" t="s">
        <v>2350</v>
      </c>
      <c r="L2905" s="31">
        <v>46279.697177048613</v>
      </c>
      <c r="M2905" s="20">
        <v>12</v>
      </c>
      <c r="N2905" s="1">
        <v>14</v>
      </c>
    </row>
    <row r="2906" spans="1:14" x14ac:dyDescent="0.25">
      <c r="A2906" t="str">
        <f t="shared" si="92"/>
        <v>U146409U146409</v>
      </c>
      <c r="B2906" t="str">
        <f t="shared" si="93"/>
        <v>U146409I603457-W</v>
      </c>
      <c r="C2906" s="1" t="s">
        <v>59</v>
      </c>
      <c r="D2906" s="1" t="s">
        <v>682</v>
      </c>
      <c r="E2906" s="1" t="s">
        <v>436</v>
      </c>
      <c r="F2906" s="1" t="s">
        <v>439</v>
      </c>
      <c r="G2906" s="1" t="s">
        <v>438</v>
      </c>
      <c r="H2906" s="1">
        <v>516</v>
      </c>
      <c r="I2906" s="3">
        <v>46279</v>
      </c>
      <c r="J2906" s="3">
        <v>46283</v>
      </c>
      <c r="K2906" s="3" t="s">
        <v>2350</v>
      </c>
      <c r="L2906" s="31">
        <v>46279.69734097222</v>
      </c>
      <c r="M2906" s="20">
        <v>12</v>
      </c>
      <c r="N2906" s="1">
        <v>6</v>
      </c>
    </row>
    <row r="2907" spans="1:14" x14ac:dyDescent="0.25">
      <c r="A2907" t="str">
        <f t="shared" si="92"/>
        <v>U146409U146409</v>
      </c>
      <c r="B2907" t="str">
        <f t="shared" si="93"/>
        <v>U146409I603457-W</v>
      </c>
      <c r="C2907" s="1" t="s">
        <v>59</v>
      </c>
      <c r="D2907" s="1" t="s">
        <v>682</v>
      </c>
      <c r="E2907" s="1" t="s">
        <v>436</v>
      </c>
      <c r="F2907" s="1" t="s">
        <v>439</v>
      </c>
      <c r="G2907" s="1" t="s">
        <v>438</v>
      </c>
      <c r="H2907" s="1">
        <v>516</v>
      </c>
      <c r="I2907" s="3">
        <v>46279</v>
      </c>
      <c r="J2907" s="3">
        <v>46283</v>
      </c>
      <c r="K2907" s="3" t="s">
        <v>2350</v>
      </c>
      <c r="L2907" s="31">
        <v>46279.697511030092</v>
      </c>
      <c r="M2907" s="20">
        <v>12</v>
      </c>
      <c r="N2907" s="1">
        <v>20</v>
      </c>
    </row>
    <row r="2908" spans="1:14" x14ac:dyDescent="0.25">
      <c r="A2908" t="str">
        <f t="shared" si="92"/>
        <v>U146409U146409</v>
      </c>
      <c r="B2908" t="str">
        <f t="shared" si="93"/>
        <v>U146409I603457-W</v>
      </c>
      <c r="C2908" s="1" t="s">
        <v>59</v>
      </c>
      <c r="D2908" s="1" t="s">
        <v>682</v>
      </c>
      <c r="E2908" s="1" t="s">
        <v>436</v>
      </c>
      <c r="F2908" s="1" t="s">
        <v>439</v>
      </c>
      <c r="G2908" s="1" t="s">
        <v>438</v>
      </c>
      <c r="H2908" s="1">
        <v>516</v>
      </c>
      <c r="I2908" s="3">
        <v>46279</v>
      </c>
      <c r="J2908" s="3">
        <v>46283</v>
      </c>
      <c r="K2908" s="3" t="s">
        <v>2350</v>
      </c>
      <c r="L2908" s="31">
        <v>46279.697732986111</v>
      </c>
      <c r="M2908" s="20">
        <v>12</v>
      </c>
      <c r="N2908" s="1">
        <v>35</v>
      </c>
    </row>
    <row r="2909" spans="1:14" x14ac:dyDescent="0.25">
      <c r="A2909" t="str">
        <f t="shared" si="92"/>
        <v>U146409U146409</v>
      </c>
      <c r="B2909" t="str">
        <f t="shared" si="93"/>
        <v>U146409I603457-W</v>
      </c>
      <c r="C2909" s="1" t="s">
        <v>59</v>
      </c>
      <c r="D2909" s="1" t="s">
        <v>682</v>
      </c>
      <c r="E2909" s="1" t="s">
        <v>436</v>
      </c>
      <c r="F2909" s="1" t="s">
        <v>439</v>
      </c>
      <c r="G2909" s="1" t="s">
        <v>438</v>
      </c>
      <c r="H2909" s="1">
        <v>516</v>
      </c>
      <c r="I2909" s="3">
        <v>46279</v>
      </c>
      <c r="J2909" s="3">
        <v>46283</v>
      </c>
      <c r="K2909" s="3" t="s">
        <v>2350</v>
      </c>
      <c r="L2909" s="31">
        <v>46279.698006712963</v>
      </c>
      <c r="M2909" s="20">
        <v>12</v>
      </c>
      <c r="N2909" s="1">
        <v>30</v>
      </c>
    </row>
    <row r="2910" spans="1:14" x14ac:dyDescent="0.25">
      <c r="A2910" t="str">
        <f t="shared" si="92"/>
        <v>U146409U146409</v>
      </c>
      <c r="B2910" t="str">
        <f t="shared" si="93"/>
        <v>U146409I603457-W</v>
      </c>
      <c r="C2910" s="1" t="s">
        <v>59</v>
      </c>
      <c r="D2910" s="1" t="s">
        <v>682</v>
      </c>
      <c r="E2910" s="1" t="s">
        <v>436</v>
      </c>
      <c r="F2910" s="1" t="s">
        <v>439</v>
      </c>
      <c r="G2910" s="1" t="s">
        <v>438</v>
      </c>
      <c r="H2910" s="1">
        <v>516</v>
      </c>
      <c r="I2910" s="3">
        <v>46279</v>
      </c>
      <c r="J2910" s="3">
        <v>46283</v>
      </c>
      <c r="K2910" s="3" t="s">
        <v>2350</v>
      </c>
      <c r="L2910" s="31">
        <v>46279.720485300924</v>
      </c>
      <c r="M2910" s="20">
        <v>12</v>
      </c>
      <c r="N2910" s="1">
        <v>7</v>
      </c>
    </row>
    <row r="2911" spans="1:14" x14ac:dyDescent="0.25">
      <c r="A2911" t="str">
        <f t="shared" si="92"/>
        <v>U146409U146409</v>
      </c>
      <c r="B2911" t="str">
        <f t="shared" si="93"/>
        <v>U146409I603457-W</v>
      </c>
      <c r="C2911" s="1" t="s">
        <v>59</v>
      </c>
      <c r="D2911" s="1" t="s">
        <v>682</v>
      </c>
      <c r="E2911" s="1" t="s">
        <v>436</v>
      </c>
      <c r="F2911" s="1" t="s">
        <v>439</v>
      </c>
      <c r="G2911" s="1" t="s">
        <v>438</v>
      </c>
      <c r="H2911" s="1">
        <v>516</v>
      </c>
      <c r="I2911" s="3">
        <v>46279</v>
      </c>
      <c r="J2911" s="3">
        <v>46283</v>
      </c>
      <c r="K2911" s="3" t="s">
        <v>2350</v>
      </c>
      <c r="L2911" s="31">
        <v>46279.720642858796</v>
      </c>
      <c r="M2911" s="20">
        <v>12</v>
      </c>
      <c r="N2911" s="1">
        <v>21</v>
      </c>
    </row>
    <row r="2912" spans="1:14" x14ac:dyDescent="0.25">
      <c r="A2912" t="str">
        <f t="shared" si="92"/>
        <v>U146409U146409</v>
      </c>
      <c r="B2912" t="str">
        <f t="shared" si="93"/>
        <v>U146409I603457-W</v>
      </c>
      <c r="C2912" s="1" t="s">
        <v>59</v>
      </c>
      <c r="D2912" s="1" t="s">
        <v>682</v>
      </c>
      <c r="E2912" s="1" t="s">
        <v>436</v>
      </c>
      <c r="F2912" s="1" t="s">
        <v>439</v>
      </c>
      <c r="G2912" s="1" t="s">
        <v>438</v>
      </c>
      <c r="H2912" s="1">
        <v>516</v>
      </c>
      <c r="I2912" s="3">
        <v>46279</v>
      </c>
      <c r="J2912" s="3">
        <v>46283</v>
      </c>
      <c r="K2912" s="3" t="s">
        <v>2350</v>
      </c>
      <c r="L2912" s="31">
        <v>46279.72080239583</v>
      </c>
      <c r="M2912" s="20">
        <v>12</v>
      </c>
      <c r="N2912" s="1">
        <v>31</v>
      </c>
    </row>
    <row r="2913" spans="1:14" x14ac:dyDescent="0.25">
      <c r="A2913" t="str">
        <f t="shared" si="92"/>
        <v>U148110U148110</v>
      </c>
      <c r="B2913" t="str">
        <f t="shared" si="93"/>
        <v>U148110GC9060LL-M</v>
      </c>
      <c r="C2913" s="1" t="s">
        <v>55</v>
      </c>
      <c r="D2913" s="1" t="s">
        <v>676</v>
      </c>
      <c r="E2913" s="1" t="s">
        <v>436</v>
      </c>
      <c r="F2913" s="1" t="s">
        <v>451</v>
      </c>
      <c r="G2913" s="1" t="s">
        <v>438</v>
      </c>
      <c r="H2913" s="1">
        <v>2340</v>
      </c>
      <c r="I2913" s="3">
        <v>46279</v>
      </c>
      <c r="J2913" s="3">
        <v>46289</v>
      </c>
      <c r="K2913" s="3" t="s">
        <v>2374</v>
      </c>
      <c r="L2913" s="31">
        <v>46279.456751157406</v>
      </c>
      <c r="M2913" s="20">
        <v>6</v>
      </c>
      <c r="N2913" s="1">
        <v>4</v>
      </c>
    </row>
    <row r="2914" spans="1:14" x14ac:dyDescent="0.25">
      <c r="A2914" t="str">
        <f t="shared" si="92"/>
        <v>U148110U148110</v>
      </c>
      <c r="B2914" t="str">
        <f t="shared" si="93"/>
        <v>U148110GC9060LL-M</v>
      </c>
      <c r="C2914" s="1" t="s">
        <v>55</v>
      </c>
      <c r="D2914" s="1" t="s">
        <v>676</v>
      </c>
      <c r="E2914" s="1" t="s">
        <v>436</v>
      </c>
      <c r="F2914" s="1" t="s">
        <v>451</v>
      </c>
      <c r="G2914" s="1" t="s">
        <v>438</v>
      </c>
      <c r="H2914" s="1">
        <v>2340</v>
      </c>
      <c r="I2914" s="3">
        <v>46279</v>
      </c>
      <c r="J2914" s="3">
        <v>46289</v>
      </c>
      <c r="K2914" s="3" t="s">
        <v>2374</v>
      </c>
      <c r="L2914" s="31">
        <v>46279.459939085646</v>
      </c>
      <c r="M2914" s="20">
        <v>6</v>
      </c>
      <c r="N2914" s="1">
        <v>3</v>
      </c>
    </row>
    <row r="2915" spans="1:14" x14ac:dyDescent="0.25">
      <c r="A2915" t="str">
        <f t="shared" si="92"/>
        <v>U148110U148110</v>
      </c>
      <c r="B2915" t="str">
        <f t="shared" si="93"/>
        <v>U148110GC9060LL-M</v>
      </c>
      <c r="C2915" s="1" t="s">
        <v>55</v>
      </c>
      <c r="D2915" s="1" t="s">
        <v>676</v>
      </c>
      <c r="E2915" s="1" t="s">
        <v>436</v>
      </c>
      <c r="F2915" s="1" t="s">
        <v>451</v>
      </c>
      <c r="G2915" s="1" t="s">
        <v>438</v>
      </c>
      <c r="H2915" s="1">
        <v>2340</v>
      </c>
      <c r="I2915" s="3">
        <v>46279</v>
      </c>
      <c r="J2915" s="3">
        <v>46289</v>
      </c>
      <c r="K2915" s="3" t="s">
        <v>2374</v>
      </c>
      <c r="L2915" s="31">
        <v>46279.467385069445</v>
      </c>
      <c r="M2915" s="20">
        <v>6</v>
      </c>
      <c r="N2915" s="1">
        <v>7</v>
      </c>
    </row>
    <row r="2916" spans="1:14" x14ac:dyDescent="0.25">
      <c r="A2916" t="str">
        <f t="shared" si="92"/>
        <v>U148110U148110</v>
      </c>
      <c r="B2916" t="str">
        <f t="shared" si="93"/>
        <v>U148110GC9060LL-M</v>
      </c>
      <c r="C2916" s="1" t="s">
        <v>55</v>
      </c>
      <c r="D2916" s="1" t="s">
        <v>676</v>
      </c>
      <c r="E2916" s="1" t="s">
        <v>436</v>
      </c>
      <c r="F2916" s="1" t="s">
        <v>451</v>
      </c>
      <c r="G2916" s="1" t="s">
        <v>438</v>
      </c>
      <c r="H2916" s="1">
        <v>2340</v>
      </c>
      <c r="I2916" s="3">
        <v>46279</v>
      </c>
      <c r="J2916" s="3">
        <v>46289</v>
      </c>
      <c r="K2916" s="3" t="s">
        <v>2374</v>
      </c>
      <c r="L2916" s="31">
        <v>46279.54305980324</v>
      </c>
      <c r="M2916" s="20">
        <v>6</v>
      </c>
      <c r="N2916" s="1">
        <v>16</v>
      </c>
    </row>
    <row r="2917" spans="1:14" x14ac:dyDescent="0.25">
      <c r="A2917" t="str">
        <f t="shared" si="92"/>
        <v>U148110U148110</v>
      </c>
      <c r="B2917" t="str">
        <f t="shared" si="93"/>
        <v>U148110GC9060LL-M</v>
      </c>
      <c r="C2917" s="1" t="s">
        <v>55</v>
      </c>
      <c r="D2917" s="1" t="s">
        <v>676</v>
      </c>
      <c r="E2917" s="1" t="s">
        <v>436</v>
      </c>
      <c r="F2917" s="1" t="s">
        <v>451</v>
      </c>
      <c r="G2917" s="1" t="s">
        <v>438</v>
      </c>
      <c r="H2917" s="1">
        <v>2340</v>
      </c>
      <c r="I2917" s="3">
        <v>46279</v>
      </c>
      <c r="J2917" s="3">
        <v>46289</v>
      </c>
      <c r="K2917" s="3" t="s">
        <v>2374</v>
      </c>
      <c r="L2917" s="31">
        <v>46279.543454247687</v>
      </c>
      <c r="M2917" s="20">
        <v>6</v>
      </c>
      <c r="N2917" s="1">
        <v>2</v>
      </c>
    </row>
    <row r="2918" spans="1:14" x14ac:dyDescent="0.25">
      <c r="A2918" t="str">
        <f t="shared" si="92"/>
        <v>U148110U148110</v>
      </c>
      <c r="B2918" t="str">
        <f t="shared" si="93"/>
        <v>U148110GC9060LL-M</v>
      </c>
      <c r="C2918" s="1" t="s">
        <v>55</v>
      </c>
      <c r="D2918" s="1" t="s">
        <v>676</v>
      </c>
      <c r="E2918" s="1" t="s">
        <v>436</v>
      </c>
      <c r="F2918" s="1" t="s">
        <v>451</v>
      </c>
      <c r="G2918" s="1" t="s">
        <v>438</v>
      </c>
      <c r="H2918" s="1">
        <v>2340</v>
      </c>
      <c r="I2918" s="3">
        <v>46279</v>
      </c>
      <c r="J2918" s="3">
        <v>46289</v>
      </c>
      <c r="K2918" s="3" t="s">
        <v>2374</v>
      </c>
      <c r="L2918" s="31">
        <v>46279.544356828701</v>
      </c>
      <c r="M2918" s="20">
        <v>6</v>
      </c>
      <c r="N2918" s="1">
        <v>18</v>
      </c>
    </row>
    <row r="2919" spans="1:14" x14ac:dyDescent="0.25">
      <c r="A2919" t="str">
        <f t="shared" si="92"/>
        <v>U148110U148110</v>
      </c>
      <c r="B2919" t="str">
        <f t="shared" si="93"/>
        <v>U148110GC9060LL-M</v>
      </c>
      <c r="C2919" s="1" t="s">
        <v>55</v>
      </c>
      <c r="D2919" s="1" t="s">
        <v>676</v>
      </c>
      <c r="E2919" s="1" t="s">
        <v>436</v>
      </c>
      <c r="F2919" s="1" t="s">
        <v>451</v>
      </c>
      <c r="G2919" s="1" t="s">
        <v>438</v>
      </c>
      <c r="H2919" s="1">
        <v>2340</v>
      </c>
      <c r="I2919" s="3">
        <v>46279</v>
      </c>
      <c r="J2919" s="3">
        <v>46289</v>
      </c>
      <c r="K2919" s="3" t="s">
        <v>2374</v>
      </c>
      <c r="L2919" s="31">
        <v>46279.544649918978</v>
      </c>
      <c r="M2919" s="20">
        <v>6</v>
      </c>
      <c r="N2919" s="1">
        <v>8</v>
      </c>
    </row>
    <row r="2920" spans="1:14" x14ac:dyDescent="0.25">
      <c r="A2920" t="str">
        <f t="shared" si="92"/>
        <v>U148110U148110</v>
      </c>
      <c r="B2920" t="str">
        <f t="shared" si="93"/>
        <v>U148110GC9060LL-M</v>
      </c>
      <c r="C2920" s="1" t="s">
        <v>55</v>
      </c>
      <c r="D2920" s="1" t="s">
        <v>676</v>
      </c>
      <c r="E2920" s="1" t="s">
        <v>436</v>
      </c>
      <c r="F2920" s="1" t="s">
        <v>451</v>
      </c>
      <c r="G2920" s="1" t="s">
        <v>438</v>
      </c>
      <c r="H2920" s="1">
        <v>2340</v>
      </c>
      <c r="I2920" s="3">
        <v>46279</v>
      </c>
      <c r="J2920" s="3">
        <v>46289</v>
      </c>
      <c r="K2920" s="3" t="s">
        <v>2374</v>
      </c>
      <c r="L2920" s="31">
        <v>46279.544939930551</v>
      </c>
      <c r="M2920" s="20">
        <v>6</v>
      </c>
      <c r="N2920" s="1">
        <v>10</v>
      </c>
    </row>
    <row r="2921" spans="1:14" x14ac:dyDescent="0.25">
      <c r="A2921" t="str">
        <f t="shared" si="92"/>
        <v>U148110U148110</v>
      </c>
      <c r="B2921" t="str">
        <f t="shared" si="93"/>
        <v>U148110GC9060LL-M</v>
      </c>
      <c r="C2921" s="1" t="s">
        <v>55</v>
      </c>
      <c r="D2921" s="1" t="s">
        <v>676</v>
      </c>
      <c r="E2921" s="1" t="s">
        <v>436</v>
      </c>
      <c r="F2921" s="1" t="s">
        <v>451</v>
      </c>
      <c r="G2921" s="1" t="s">
        <v>438</v>
      </c>
      <c r="H2921" s="1">
        <v>2340</v>
      </c>
      <c r="I2921" s="3">
        <v>46279</v>
      </c>
      <c r="J2921" s="3">
        <v>46289</v>
      </c>
      <c r="K2921" s="3" t="s">
        <v>2374</v>
      </c>
      <c r="L2921" s="31">
        <v>46279.545421412033</v>
      </c>
      <c r="M2921" s="20">
        <v>6</v>
      </c>
      <c r="N2921" s="1">
        <v>11</v>
      </c>
    </row>
    <row r="2922" spans="1:14" x14ac:dyDescent="0.25">
      <c r="A2922" t="str">
        <f t="shared" si="92"/>
        <v>U148110U148110</v>
      </c>
      <c r="B2922" t="str">
        <f t="shared" si="93"/>
        <v>U148110GC9060LL-M</v>
      </c>
      <c r="C2922" s="1" t="s">
        <v>55</v>
      </c>
      <c r="D2922" s="1" t="s">
        <v>676</v>
      </c>
      <c r="E2922" s="1" t="s">
        <v>436</v>
      </c>
      <c r="F2922" s="1" t="s">
        <v>451</v>
      </c>
      <c r="G2922" s="1" t="s">
        <v>438</v>
      </c>
      <c r="H2922" s="1">
        <v>2340</v>
      </c>
      <c r="I2922" s="3">
        <v>46279</v>
      </c>
      <c r="J2922" s="3">
        <v>46289</v>
      </c>
      <c r="K2922" s="3" t="s">
        <v>2374</v>
      </c>
      <c r="L2922" s="31">
        <v>46279.546082407403</v>
      </c>
      <c r="M2922" s="20">
        <v>6</v>
      </c>
      <c r="N2922" s="1">
        <v>9</v>
      </c>
    </row>
    <row r="2923" spans="1:14" x14ac:dyDescent="0.25">
      <c r="A2923" t="str">
        <f t="shared" si="92"/>
        <v>U148110U148110</v>
      </c>
      <c r="B2923" t="str">
        <f t="shared" si="93"/>
        <v>U148110GC9060LL-M</v>
      </c>
      <c r="C2923" s="1" t="s">
        <v>55</v>
      </c>
      <c r="D2923" s="1" t="s">
        <v>676</v>
      </c>
      <c r="E2923" s="1" t="s">
        <v>436</v>
      </c>
      <c r="F2923" s="1" t="s">
        <v>451</v>
      </c>
      <c r="G2923" s="1" t="s">
        <v>438</v>
      </c>
      <c r="H2923" s="1">
        <v>2340</v>
      </c>
      <c r="I2923" s="3">
        <v>46279</v>
      </c>
      <c r="J2923" s="3">
        <v>46289</v>
      </c>
      <c r="K2923" s="3" t="s">
        <v>2374</v>
      </c>
      <c r="L2923" s="31">
        <v>46279.546512499997</v>
      </c>
      <c r="M2923" s="20">
        <v>6</v>
      </c>
      <c r="N2923" s="1">
        <v>14</v>
      </c>
    </row>
    <row r="2924" spans="1:14" x14ac:dyDescent="0.25">
      <c r="A2924" t="str">
        <f t="shared" si="92"/>
        <v>U148110U148110</v>
      </c>
      <c r="B2924" t="str">
        <f t="shared" si="93"/>
        <v>U148110GC9060LL-M</v>
      </c>
      <c r="C2924" s="1" t="s">
        <v>55</v>
      </c>
      <c r="D2924" s="1" t="s">
        <v>676</v>
      </c>
      <c r="E2924" s="1" t="s">
        <v>436</v>
      </c>
      <c r="F2924" s="1" t="s">
        <v>451</v>
      </c>
      <c r="G2924" s="1" t="s">
        <v>438</v>
      </c>
      <c r="H2924" s="1">
        <v>2340</v>
      </c>
      <c r="I2924" s="3">
        <v>46279</v>
      </c>
      <c r="J2924" s="3">
        <v>46289</v>
      </c>
      <c r="K2924" s="3" t="s">
        <v>2374</v>
      </c>
      <c r="L2924" s="31">
        <v>46279.5470096875</v>
      </c>
      <c r="M2924" s="20">
        <v>6</v>
      </c>
      <c r="N2924" s="1">
        <v>12</v>
      </c>
    </row>
    <row r="2925" spans="1:14" x14ac:dyDescent="0.25">
      <c r="A2925" t="str">
        <f t="shared" si="92"/>
        <v>U148110U148110</v>
      </c>
      <c r="B2925" t="str">
        <f t="shared" si="93"/>
        <v>U148110GC9060LL-M</v>
      </c>
      <c r="C2925" s="1" t="s">
        <v>55</v>
      </c>
      <c r="D2925" s="1" t="s">
        <v>676</v>
      </c>
      <c r="E2925" s="1" t="s">
        <v>436</v>
      </c>
      <c r="F2925" s="1" t="s">
        <v>451</v>
      </c>
      <c r="G2925" s="1" t="s">
        <v>438</v>
      </c>
      <c r="H2925" s="1">
        <v>2340</v>
      </c>
      <c r="I2925" s="3">
        <v>46279</v>
      </c>
      <c r="J2925" s="3">
        <v>46289</v>
      </c>
      <c r="K2925" s="3" t="s">
        <v>2374</v>
      </c>
      <c r="L2925" s="31">
        <v>46279.548309143516</v>
      </c>
      <c r="M2925" s="20">
        <v>6</v>
      </c>
      <c r="N2925" s="1">
        <v>19</v>
      </c>
    </row>
    <row r="2926" spans="1:14" x14ac:dyDescent="0.25">
      <c r="A2926" t="str">
        <f t="shared" si="92"/>
        <v>U148110U148110</v>
      </c>
      <c r="B2926" t="str">
        <f t="shared" si="93"/>
        <v>U148110GC9060LL-M</v>
      </c>
      <c r="C2926" s="1" t="s">
        <v>55</v>
      </c>
      <c r="D2926" s="1" t="s">
        <v>676</v>
      </c>
      <c r="E2926" s="1" t="s">
        <v>436</v>
      </c>
      <c r="F2926" s="1" t="s">
        <v>451</v>
      </c>
      <c r="G2926" s="1" t="s">
        <v>438</v>
      </c>
      <c r="H2926" s="1">
        <v>2340</v>
      </c>
      <c r="I2926" s="3">
        <v>46279</v>
      </c>
      <c r="J2926" s="3">
        <v>46289</v>
      </c>
      <c r="K2926" s="3" t="s">
        <v>2374</v>
      </c>
      <c r="L2926" s="31">
        <v>46279.549353437498</v>
      </c>
      <c r="M2926" s="20">
        <v>6</v>
      </c>
      <c r="N2926" s="1">
        <v>20</v>
      </c>
    </row>
    <row r="2927" spans="1:14" x14ac:dyDescent="0.25">
      <c r="A2927" t="str">
        <f t="shared" si="92"/>
        <v>U148110U148110</v>
      </c>
      <c r="B2927" t="str">
        <f t="shared" si="93"/>
        <v>U148110GC9060LL-M</v>
      </c>
      <c r="C2927" s="1" t="s">
        <v>55</v>
      </c>
      <c r="D2927" s="1" t="s">
        <v>676</v>
      </c>
      <c r="E2927" s="1" t="s">
        <v>436</v>
      </c>
      <c r="F2927" s="1" t="s">
        <v>451</v>
      </c>
      <c r="G2927" s="1" t="s">
        <v>438</v>
      </c>
      <c r="H2927" s="1">
        <v>2340</v>
      </c>
      <c r="I2927" s="3">
        <v>46279</v>
      </c>
      <c r="J2927" s="3">
        <v>46289</v>
      </c>
      <c r="K2927" s="3" t="s">
        <v>2374</v>
      </c>
      <c r="L2927" s="31">
        <v>46279.550176504628</v>
      </c>
      <c r="M2927" s="20">
        <v>6</v>
      </c>
      <c r="N2927" s="1">
        <v>22</v>
      </c>
    </row>
    <row r="2928" spans="1:14" x14ac:dyDescent="0.25">
      <c r="A2928" t="str">
        <f t="shared" si="92"/>
        <v>U148110U148110</v>
      </c>
      <c r="B2928" t="str">
        <f t="shared" si="93"/>
        <v>U148110GC9060LL-M</v>
      </c>
      <c r="C2928" s="1" t="s">
        <v>55</v>
      </c>
      <c r="D2928" s="1" t="s">
        <v>676</v>
      </c>
      <c r="E2928" s="1" t="s">
        <v>436</v>
      </c>
      <c r="F2928" s="1" t="s">
        <v>451</v>
      </c>
      <c r="G2928" s="1" t="s">
        <v>438</v>
      </c>
      <c r="H2928" s="1">
        <v>2340</v>
      </c>
      <c r="I2928" s="3">
        <v>46279</v>
      </c>
      <c r="J2928" s="3">
        <v>46289</v>
      </c>
      <c r="K2928" s="3" t="s">
        <v>2374</v>
      </c>
      <c r="L2928" s="31">
        <v>46279.551694791662</v>
      </c>
      <c r="M2928" s="20">
        <v>6</v>
      </c>
      <c r="N2928" s="1">
        <v>17</v>
      </c>
    </row>
    <row r="2929" spans="1:14" x14ac:dyDescent="0.25">
      <c r="A2929" t="str">
        <f t="shared" si="92"/>
        <v>U148110U148110</v>
      </c>
      <c r="B2929" t="str">
        <f t="shared" si="93"/>
        <v>U148110GC9060LL-M</v>
      </c>
      <c r="C2929" s="1" t="s">
        <v>55</v>
      </c>
      <c r="D2929" s="1" t="s">
        <v>676</v>
      </c>
      <c r="E2929" s="1" t="s">
        <v>436</v>
      </c>
      <c r="F2929" s="1" t="s">
        <v>451</v>
      </c>
      <c r="G2929" s="1" t="s">
        <v>438</v>
      </c>
      <c r="H2929" s="1">
        <v>2340</v>
      </c>
      <c r="I2929" s="3">
        <v>46279</v>
      </c>
      <c r="J2929" s="3">
        <v>46289</v>
      </c>
      <c r="K2929" s="3" t="s">
        <v>2374</v>
      </c>
      <c r="L2929" s="31">
        <v>46279.553354976852</v>
      </c>
      <c r="M2929" s="20">
        <v>6</v>
      </c>
      <c r="N2929" s="1">
        <v>23</v>
      </c>
    </row>
    <row r="2930" spans="1:14" x14ac:dyDescent="0.25">
      <c r="A2930" t="str">
        <f t="shared" si="92"/>
        <v>U148110U148110</v>
      </c>
      <c r="B2930" t="str">
        <f t="shared" si="93"/>
        <v>U148110GC9060LL-M</v>
      </c>
      <c r="C2930" s="1" t="s">
        <v>55</v>
      </c>
      <c r="D2930" s="1" t="s">
        <v>676</v>
      </c>
      <c r="E2930" s="1" t="s">
        <v>436</v>
      </c>
      <c r="F2930" s="1" t="s">
        <v>451</v>
      </c>
      <c r="G2930" s="1" t="s">
        <v>438</v>
      </c>
      <c r="H2930" s="1">
        <v>2340</v>
      </c>
      <c r="I2930" s="3">
        <v>46279</v>
      </c>
      <c r="J2930" s="3">
        <v>46289</v>
      </c>
      <c r="K2930" s="3" t="s">
        <v>2374</v>
      </c>
      <c r="L2930" s="31">
        <v>46279.553591238422</v>
      </c>
      <c r="M2930" s="20">
        <v>6</v>
      </c>
      <c r="N2930" s="1">
        <v>28</v>
      </c>
    </row>
    <row r="2931" spans="1:14" x14ac:dyDescent="0.25">
      <c r="A2931" t="str">
        <f t="shared" si="92"/>
        <v>U148110U148110</v>
      </c>
      <c r="B2931" t="str">
        <f t="shared" si="93"/>
        <v>U148110GC9060LL-M</v>
      </c>
      <c r="C2931" s="1" t="s">
        <v>55</v>
      </c>
      <c r="D2931" s="1" t="s">
        <v>676</v>
      </c>
      <c r="E2931" s="1" t="s">
        <v>436</v>
      </c>
      <c r="F2931" s="1" t="s">
        <v>451</v>
      </c>
      <c r="G2931" s="1" t="s">
        <v>438</v>
      </c>
      <c r="H2931" s="1">
        <v>2340</v>
      </c>
      <c r="I2931" s="3">
        <v>46279</v>
      </c>
      <c r="J2931" s="3">
        <v>46289</v>
      </c>
      <c r="K2931" s="3" t="s">
        <v>2374</v>
      </c>
      <c r="L2931" s="31">
        <v>46279.555182407406</v>
      </c>
      <c r="M2931" s="20">
        <v>6</v>
      </c>
      <c r="N2931" s="1">
        <v>27</v>
      </c>
    </row>
    <row r="2932" spans="1:14" x14ac:dyDescent="0.25">
      <c r="A2932" t="str">
        <f t="shared" si="92"/>
        <v>U148110U148110</v>
      </c>
      <c r="B2932" t="str">
        <f t="shared" si="93"/>
        <v>U148110GC9060LL-M</v>
      </c>
      <c r="C2932" s="1" t="s">
        <v>55</v>
      </c>
      <c r="D2932" s="1" t="s">
        <v>676</v>
      </c>
      <c r="E2932" s="1" t="s">
        <v>436</v>
      </c>
      <c r="F2932" s="1" t="s">
        <v>451</v>
      </c>
      <c r="G2932" s="1" t="s">
        <v>438</v>
      </c>
      <c r="H2932" s="1">
        <v>2340</v>
      </c>
      <c r="I2932" s="3">
        <v>46279</v>
      </c>
      <c r="J2932" s="3">
        <v>46289</v>
      </c>
      <c r="K2932" s="3" t="s">
        <v>2374</v>
      </c>
      <c r="L2932" s="31">
        <v>46279.555475266199</v>
      </c>
      <c r="M2932" s="20">
        <v>6</v>
      </c>
      <c r="N2932" s="1">
        <v>6</v>
      </c>
    </row>
    <row r="2933" spans="1:14" x14ac:dyDescent="0.25">
      <c r="A2933" t="str">
        <f t="shared" si="92"/>
        <v>U148110U148110</v>
      </c>
      <c r="B2933" t="str">
        <f t="shared" si="93"/>
        <v>U148110GC9060LL-M</v>
      </c>
      <c r="C2933" s="1" t="s">
        <v>55</v>
      </c>
      <c r="D2933" s="1" t="s">
        <v>676</v>
      </c>
      <c r="E2933" s="1" t="s">
        <v>436</v>
      </c>
      <c r="F2933" s="1" t="s">
        <v>451</v>
      </c>
      <c r="G2933" s="1" t="s">
        <v>438</v>
      </c>
      <c r="H2933" s="1">
        <v>2340</v>
      </c>
      <c r="I2933" s="3">
        <v>46279</v>
      </c>
      <c r="J2933" s="3">
        <v>46289</v>
      </c>
      <c r="K2933" s="3" t="s">
        <v>2374</v>
      </c>
      <c r="L2933" s="31">
        <v>46279.55570034722</v>
      </c>
      <c r="M2933" s="20">
        <v>6</v>
      </c>
      <c r="N2933" s="1">
        <v>25</v>
      </c>
    </row>
    <row r="2934" spans="1:14" x14ac:dyDescent="0.25">
      <c r="A2934" t="str">
        <f t="shared" si="92"/>
        <v>U148110U148110</v>
      </c>
      <c r="B2934" t="str">
        <f t="shared" si="93"/>
        <v>U148110GC9060LL-M</v>
      </c>
      <c r="C2934" s="1" t="s">
        <v>55</v>
      </c>
      <c r="D2934" s="1" t="s">
        <v>676</v>
      </c>
      <c r="E2934" s="1" t="s">
        <v>436</v>
      </c>
      <c r="F2934" s="1" t="s">
        <v>451</v>
      </c>
      <c r="G2934" s="1" t="s">
        <v>438</v>
      </c>
      <c r="H2934" s="1">
        <v>2340</v>
      </c>
      <c r="I2934" s="3">
        <v>46279</v>
      </c>
      <c r="J2934" s="3">
        <v>46289</v>
      </c>
      <c r="K2934" s="3" t="s">
        <v>2374</v>
      </c>
      <c r="L2934" s="31">
        <v>46279.556504745371</v>
      </c>
      <c r="M2934" s="20">
        <v>6</v>
      </c>
      <c r="N2934" s="1">
        <v>26</v>
      </c>
    </row>
    <row r="2935" spans="1:14" x14ac:dyDescent="0.25">
      <c r="A2935" t="str">
        <f t="shared" si="92"/>
        <v>U148110U148110</v>
      </c>
      <c r="B2935" t="str">
        <f t="shared" si="93"/>
        <v>U148110GC9060LL-M</v>
      </c>
      <c r="C2935" s="1" t="s">
        <v>55</v>
      </c>
      <c r="D2935" s="1" t="s">
        <v>676</v>
      </c>
      <c r="E2935" s="1" t="s">
        <v>436</v>
      </c>
      <c r="F2935" s="1" t="s">
        <v>451</v>
      </c>
      <c r="G2935" s="1" t="s">
        <v>438</v>
      </c>
      <c r="H2935" s="1">
        <v>2340</v>
      </c>
      <c r="I2935" s="3">
        <v>46279</v>
      </c>
      <c r="J2935" s="3">
        <v>46289</v>
      </c>
      <c r="K2935" s="3" t="s">
        <v>2374</v>
      </c>
      <c r="L2935" s="31">
        <v>46279.557778703704</v>
      </c>
      <c r="M2935" s="20">
        <v>6</v>
      </c>
      <c r="N2935" s="1">
        <v>21</v>
      </c>
    </row>
    <row r="2936" spans="1:14" x14ac:dyDescent="0.25">
      <c r="A2936" t="str">
        <f t="shared" si="92"/>
        <v>U148110U148110</v>
      </c>
      <c r="B2936" t="str">
        <f t="shared" si="93"/>
        <v>U148110GC9060LL-M</v>
      </c>
      <c r="C2936" s="1" t="s">
        <v>55</v>
      </c>
      <c r="D2936" s="1" t="s">
        <v>676</v>
      </c>
      <c r="E2936" s="1" t="s">
        <v>436</v>
      </c>
      <c r="F2936" s="1" t="s">
        <v>451</v>
      </c>
      <c r="G2936" s="1" t="s">
        <v>438</v>
      </c>
      <c r="H2936" s="1">
        <v>2340</v>
      </c>
      <c r="I2936" s="3">
        <v>46279</v>
      </c>
      <c r="J2936" s="3">
        <v>46289</v>
      </c>
      <c r="K2936" s="3" t="s">
        <v>2374</v>
      </c>
      <c r="L2936" s="31">
        <v>46279.559305937495</v>
      </c>
      <c r="M2936" s="20">
        <v>6</v>
      </c>
      <c r="N2936" s="1">
        <v>15</v>
      </c>
    </row>
    <row r="2937" spans="1:14" x14ac:dyDescent="0.25">
      <c r="A2937" t="str">
        <f t="shared" si="92"/>
        <v>U148110U148110</v>
      </c>
      <c r="B2937" t="str">
        <f t="shared" si="93"/>
        <v>U148110GC9060LL-M</v>
      </c>
      <c r="C2937" s="1" t="s">
        <v>55</v>
      </c>
      <c r="D2937" s="1" t="s">
        <v>676</v>
      </c>
      <c r="E2937" s="1" t="s">
        <v>436</v>
      </c>
      <c r="F2937" s="1" t="s">
        <v>451</v>
      </c>
      <c r="G2937" s="1" t="s">
        <v>438</v>
      </c>
      <c r="H2937" s="1">
        <v>2340</v>
      </c>
      <c r="I2937" s="3">
        <v>46279</v>
      </c>
      <c r="J2937" s="3">
        <v>46289</v>
      </c>
      <c r="K2937" s="3" t="s">
        <v>2374</v>
      </c>
      <c r="L2937" s="31">
        <v>46279.5604809375</v>
      </c>
      <c r="M2937" s="20">
        <v>6</v>
      </c>
      <c r="N2937" s="1">
        <v>24</v>
      </c>
    </row>
    <row r="2938" spans="1:14" x14ac:dyDescent="0.25">
      <c r="A2938" t="str">
        <f t="shared" si="92"/>
        <v>U148110U148110</v>
      </c>
      <c r="B2938" t="str">
        <f t="shared" si="93"/>
        <v>U148110GC9060LL-M</v>
      </c>
      <c r="C2938" s="1" t="s">
        <v>55</v>
      </c>
      <c r="D2938" s="1" t="s">
        <v>676</v>
      </c>
      <c r="E2938" s="1" t="s">
        <v>436</v>
      </c>
      <c r="F2938" s="1" t="s">
        <v>451</v>
      </c>
      <c r="G2938" s="1" t="s">
        <v>438</v>
      </c>
      <c r="H2938" s="1">
        <v>2340</v>
      </c>
      <c r="I2938" s="3">
        <v>46279</v>
      </c>
      <c r="J2938" s="3">
        <v>46289</v>
      </c>
      <c r="K2938" s="3" t="s">
        <v>2374</v>
      </c>
      <c r="L2938" s="31">
        <v>46279.561092129625</v>
      </c>
      <c r="M2938" s="20">
        <v>6</v>
      </c>
      <c r="N2938" s="1">
        <v>43</v>
      </c>
    </row>
    <row r="2939" spans="1:14" x14ac:dyDescent="0.25">
      <c r="A2939" t="str">
        <f t="shared" si="92"/>
        <v>U148110U148110</v>
      </c>
      <c r="B2939" t="str">
        <f t="shared" si="93"/>
        <v>U148110GC9060LL-M</v>
      </c>
      <c r="C2939" s="1" t="s">
        <v>55</v>
      </c>
      <c r="D2939" s="1" t="s">
        <v>676</v>
      </c>
      <c r="E2939" s="1" t="s">
        <v>436</v>
      </c>
      <c r="F2939" s="1" t="s">
        <v>451</v>
      </c>
      <c r="G2939" s="1" t="s">
        <v>438</v>
      </c>
      <c r="H2939" s="1">
        <v>2340</v>
      </c>
      <c r="I2939" s="3">
        <v>46279</v>
      </c>
      <c r="J2939" s="3">
        <v>46289</v>
      </c>
      <c r="K2939" s="3" t="s">
        <v>2374</v>
      </c>
      <c r="L2939" s="31">
        <v>46279.561613344908</v>
      </c>
      <c r="M2939" s="20">
        <v>6</v>
      </c>
      <c r="N2939" s="1">
        <v>1</v>
      </c>
    </row>
    <row r="2940" spans="1:14" x14ac:dyDescent="0.25">
      <c r="A2940" t="str">
        <f t="shared" si="92"/>
        <v>U148110U148110</v>
      </c>
      <c r="B2940" t="str">
        <f t="shared" si="93"/>
        <v>U148110GC9060LL-M</v>
      </c>
      <c r="C2940" s="1" t="s">
        <v>55</v>
      </c>
      <c r="D2940" s="1" t="s">
        <v>676</v>
      </c>
      <c r="E2940" s="1" t="s">
        <v>436</v>
      </c>
      <c r="F2940" s="1" t="s">
        <v>451</v>
      </c>
      <c r="G2940" s="1" t="s">
        <v>438</v>
      </c>
      <c r="H2940" s="1">
        <v>2340</v>
      </c>
      <c r="I2940" s="3">
        <v>46279</v>
      </c>
      <c r="J2940" s="3">
        <v>46289</v>
      </c>
      <c r="K2940" s="3" t="s">
        <v>2374</v>
      </c>
      <c r="L2940" s="31">
        <v>46279.563598148146</v>
      </c>
      <c r="M2940" s="20">
        <v>6</v>
      </c>
      <c r="N2940" s="1">
        <v>48</v>
      </c>
    </row>
    <row r="2941" spans="1:14" x14ac:dyDescent="0.25">
      <c r="A2941" t="str">
        <f t="shared" si="92"/>
        <v>U148110U148110</v>
      </c>
      <c r="B2941" t="str">
        <f t="shared" si="93"/>
        <v>U148110GC9060LL-M</v>
      </c>
      <c r="C2941" s="1" t="s">
        <v>55</v>
      </c>
      <c r="D2941" s="1" t="s">
        <v>676</v>
      </c>
      <c r="E2941" s="1" t="s">
        <v>436</v>
      </c>
      <c r="F2941" s="1" t="s">
        <v>451</v>
      </c>
      <c r="G2941" s="1" t="s">
        <v>438</v>
      </c>
      <c r="H2941" s="1">
        <v>2340</v>
      </c>
      <c r="I2941" s="3">
        <v>46279</v>
      </c>
      <c r="J2941" s="3">
        <v>46289</v>
      </c>
      <c r="K2941" s="3" t="s">
        <v>2374</v>
      </c>
      <c r="L2941" s="31">
        <v>46279.563849537037</v>
      </c>
      <c r="M2941" s="20">
        <v>6</v>
      </c>
      <c r="N2941" s="1">
        <v>44</v>
      </c>
    </row>
    <row r="2942" spans="1:14" x14ac:dyDescent="0.25">
      <c r="A2942" t="str">
        <f t="shared" si="92"/>
        <v>U148110U148110</v>
      </c>
      <c r="B2942" t="str">
        <f t="shared" si="93"/>
        <v>U148110GC9060LL-M</v>
      </c>
      <c r="C2942" s="1" t="s">
        <v>55</v>
      </c>
      <c r="D2942" s="1" t="s">
        <v>676</v>
      </c>
      <c r="E2942" s="1" t="s">
        <v>436</v>
      </c>
      <c r="F2942" s="1" t="s">
        <v>451</v>
      </c>
      <c r="G2942" s="1" t="s">
        <v>438</v>
      </c>
      <c r="H2942" s="1">
        <v>2340</v>
      </c>
      <c r="I2942" s="3">
        <v>46279</v>
      </c>
      <c r="J2942" s="3">
        <v>46289</v>
      </c>
      <c r="K2942" s="3" t="s">
        <v>2374</v>
      </c>
      <c r="L2942" s="31">
        <v>46279.57128128472</v>
      </c>
      <c r="M2942" s="20">
        <v>6</v>
      </c>
      <c r="N2942" s="1">
        <v>45</v>
      </c>
    </row>
    <row r="2943" spans="1:14" x14ac:dyDescent="0.25">
      <c r="A2943" t="str">
        <f t="shared" si="92"/>
        <v>U148110U148110</v>
      </c>
      <c r="B2943" t="str">
        <f t="shared" si="93"/>
        <v>U148110GC9060LL-M</v>
      </c>
      <c r="C2943" s="1" t="s">
        <v>55</v>
      </c>
      <c r="D2943" s="1" t="s">
        <v>676</v>
      </c>
      <c r="E2943" s="1" t="s">
        <v>436</v>
      </c>
      <c r="F2943" s="1" t="s">
        <v>451</v>
      </c>
      <c r="G2943" s="1" t="s">
        <v>438</v>
      </c>
      <c r="H2943" s="1">
        <v>2340</v>
      </c>
      <c r="I2943" s="3">
        <v>46279</v>
      </c>
      <c r="J2943" s="3">
        <v>46289</v>
      </c>
      <c r="K2943" s="3" t="s">
        <v>2374</v>
      </c>
      <c r="L2943" s="31">
        <v>46279.571976967592</v>
      </c>
      <c r="M2943" s="20">
        <v>6</v>
      </c>
      <c r="N2943" s="1">
        <v>5</v>
      </c>
    </row>
    <row r="2944" spans="1:14" x14ac:dyDescent="0.25">
      <c r="A2944" t="str">
        <f t="shared" si="92"/>
        <v>U148110U148110</v>
      </c>
      <c r="B2944" t="str">
        <f t="shared" si="93"/>
        <v>U148110GC9060LL-M</v>
      </c>
      <c r="C2944" s="1" t="s">
        <v>55</v>
      </c>
      <c r="D2944" s="1" t="s">
        <v>676</v>
      </c>
      <c r="E2944" s="1" t="s">
        <v>436</v>
      </c>
      <c r="F2944" s="1" t="s">
        <v>451</v>
      </c>
      <c r="G2944" s="1" t="s">
        <v>438</v>
      </c>
      <c r="H2944" s="1">
        <v>2340</v>
      </c>
      <c r="I2944" s="3">
        <v>46279</v>
      </c>
      <c r="J2944" s="3">
        <v>46289</v>
      </c>
      <c r="K2944" s="3" t="s">
        <v>2374</v>
      </c>
      <c r="L2944" s="31">
        <v>46279.572693865739</v>
      </c>
      <c r="M2944" s="20">
        <v>6</v>
      </c>
      <c r="N2944" s="1">
        <v>46</v>
      </c>
    </row>
    <row r="2945" spans="1:14" x14ac:dyDescent="0.25">
      <c r="A2945" t="str">
        <f t="shared" si="92"/>
        <v>U148110U148110</v>
      </c>
      <c r="B2945" t="str">
        <f t="shared" si="93"/>
        <v>U148110GC9060LL-M</v>
      </c>
      <c r="C2945" s="1" t="s">
        <v>55</v>
      </c>
      <c r="D2945" s="1" t="s">
        <v>676</v>
      </c>
      <c r="E2945" s="1" t="s">
        <v>436</v>
      </c>
      <c r="F2945" s="1" t="s">
        <v>451</v>
      </c>
      <c r="G2945" s="1" t="s">
        <v>438</v>
      </c>
      <c r="H2945" s="1">
        <v>2340</v>
      </c>
      <c r="I2945" s="3">
        <v>46279</v>
      </c>
      <c r="J2945" s="3">
        <v>46289</v>
      </c>
      <c r="K2945" s="3" t="s">
        <v>2374</v>
      </c>
      <c r="L2945" s="31">
        <v>46279.57707353009</v>
      </c>
      <c r="M2945" s="20">
        <v>6</v>
      </c>
      <c r="N2945" s="1">
        <v>47</v>
      </c>
    </row>
    <row r="2946" spans="1:14" x14ac:dyDescent="0.25">
      <c r="A2946" t="str">
        <f t="shared" ref="A2946:A3009" si="94">+D2946&amp;D2946</f>
        <v>U148110U148110</v>
      </c>
      <c r="B2946" t="str">
        <f t="shared" ref="B2946:B3009" si="95">+D2946&amp;C2946</f>
        <v>U148110GC9060LL-M</v>
      </c>
      <c r="C2946" s="1" t="s">
        <v>55</v>
      </c>
      <c r="D2946" s="1" t="s">
        <v>676</v>
      </c>
      <c r="E2946" s="1" t="s">
        <v>436</v>
      </c>
      <c r="F2946" s="1" t="s">
        <v>451</v>
      </c>
      <c r="G2946" s="1" t="s">
        <v>438</v>
      </c>
      <c r="H2946" s="1">
        <v>2340</v>
      </c>
      <c r="I2946" s="3">
        <v>46279</v>
      </c>
      <c r="J2946" s="3">
        <v>46289</v>
      </c>
      <c r="K2946" s="3" t="s">
        <v>2374</v>
      </c>
      <c r="L2946" s="31">
        <v>46279.584838425922</v>
      </c>
      <c r="M2946" s="20">
        <v>6</v>
      </c>
      <c r="N2946" s="1">
        <v>49</v>
      </c>
    </row>
    <row r="2947" spans="1:14" x14ac:dyDescent="0.25">
      <c r="A2947" t="str">
        <f t="shared" si="94"/>
        <v>U148110U148110</v>
      </c>
      <c r="B2947" t="str">
        <f t="shared" si="95"/>
        <v>U148110GC9060LL-M</v>
      </c>
      <c r="C2947" s="1" t="s">
        <v>55</v>
      </c>
      <c r="D2947" s="1" t="s">
        <v>676</v>
      </c>
      <c r="E2947" s="1" t="s">
        <v>436</v>
      </c>
      <c r="F2947" s="1" t="s">
        <v>451</v>
      </c>
      <c r="G2947" s="1" t="s">
        <v>438</v>
      </c>
      <c r="H2947" s="1">
        <v>2340</v>
      </c>
      <c r="I2947" s="3">
        <v>46279</v>
      </c>
      <c r="J2947" s="3">
        <v>46289</v>
      </c>
      <c r="K2947" s="3" t="s">
        <v>2374</v>
      </c>
      <c r="L2947" s="31">
        <v>46279.585054826384</v>
      </c>
      <c r="M2947" s="20">
        <v>6</v>
      </c>
      <c r="N2947" s="1">
        <v>13</v>
      </c>
    </row>
    <row r="2948" spans="1:14" x14ac:dyDescent="0.25">
      <c r="A2948" t="str">
        <f t="shared" si="94"/>
        <v>U148110U148110</v>
      </c>
      <c r="B2948" t="str">
        <f t="shared" si="95"/>
        <v>U148110GC9060LL-M</v>
      </c>
      <c r="C2948" s="1" t="s">
        <v>55</v>
      </c>
      <c r="D2948" s="1" t="s">
        <v>676</v>
      </c>
      <c r="E2948" s="1" t="s">
        <v>436</v>
      </c>
      <c r="F2948" s="1" t="s">
        <v>451</v>
      </c>
      <c r="G2948" s="1" t="s">
        <v>438</v>
      </c>
      <c r="H2948" s="1">
        <v>2340</v>
      </c>
      <c r="I2948" s="3">
        <v>46279</v>
      </c>
      <c r="J2948" s="3">
        <v>46289</v>
      </c>
      <c r="K2948" s="3" t="s">
        <v>2374</v>
      </c>
      <c r="L2948" s="31">
        <v>46279.585582638887</v>
      </c>
      <c r="M2948" s="20">
        <v>6</v>
      </c>
      <c r="N2948" s="1">
        <v>50</v>
      </c>
    </row>
    <row r="2949" spans="1:14" x14ac:dyDescent="0.25">
      <c r="A2949" t="str">
        <f t="shared" si="94"/>
        <v>U148110U148110</v>
      </c>
      <c r="B2949" t="str">
        <f t="shared" si="95"/>
        <v>U148110GC9060LL-M</v>
      </c>
      <c r="C2949" s="1" t="s">
        <v>55</v>
      </c>
      <c r="D2949" s="1" t="s">
        <v>676</v>
      </c>
      <c r="E2949" s="1" t="s">
        <v>436</v>
      </c>
      <c r="F2949" s="1" t="s">
        <v>451</v>
      </c>
      <c r="G2949" s="1" t="s">
        <v>438</v>
      </c>
      <c r="H2949" s="1">
        <v>2340</v>
      </c>
      <c r="I2949" s="3">
        <v>46279</v>
      </c>
      <c r="J2949" s="3">
        <v>46289</v>
      </c>
      <c r="K2949" s="3" t="s">
        <v>2374</v>
      </c>
      <c r="L2949" s="31">
        <v>46279.588224733794</v>
      </c>
      <c r="M2949" s="20">
        <v>6</v>
      </c>
      <c r="N2949" s="1">
        <v>57</v>
      </c>
    </row>
    <row r="2950" spans="1:14" x14ac:dyDescent="0.25">
      <c r="A2950" t="str">
        <f t="shared" si="94"/>
        <v>U148110U148110</v>
      </c>
      <c r="B2950" t="str">
        <f t="shared" si="95"/>
        <v>U148110GC9060LL-M</v>
      </c>
      <c r="C2950" s="1" t="s">
        <v>55</v>
      </c>
      <c r="D2950" s="1" t="s">
        <v>676</v>
      </c>
      <c r="E2950" s="1" t="s">
        <v>436</v>
      </c>
      <c r="F2950" s="1" t="s">
        <v>451</v>
      </c>
      <c r="G2950" s="1" t="s">
        <v>438</v>
      </c>
      <c r="H2950" s="1">
        <v>2340</v>
      </c>
      <c r="I2950" s="3">
        <v>46279</v>
      </c>
      <c r="J2950" s="3">
        <v>46289</v>
      </c>
      <c r="K2950" s="3" t="s">
        <v>2374</v>
      </c>
      <c r="L2950" s="31">
        <v>46279.588702858797</v>
      </c>
      <c r="M2950" s="20">
        <v>6</v>
      </c>
      <c r="N2950" s="1">
        <v>54</v>
      </c>
    </row>
    <row r="2951" spans="1:14" x14ac:dyDescent="0.25">
      <c r="A2951" t="str">
        <f t="shared" si="94"/>
        <v>U148110U148110</v>
      </c>
      <c r="B2951" t="str">
        <f t="shared" si="95"/>
        <v>U148110GC9060LL-M</v>
      </c>
      <c r="C2951" s="1" t="s">
        <v>55</v>
      </c>
      <c r="D2951" s="1" t="s">
        <v>676</v>
      </c>
      <c r="E2951" s="1" t="s">
        <v>436</v>
      </c>
      <c r="F2951" s="1" t="s">
        <v>451</v>
      </c>
      <c r="G2951" s="1" t="s">
        <v>438</v>
      </c>
      <c r="H2951" s="1">
        <v>2340</v>
      </c>
      <c r="I2951" s="3">
        <v>46279</v>
      </c>
      <c r="J2951" s="3">
        <v>46289</v>
      </c>
      <c r="K2951" s="3" t="s">
        <v>2374</v>
      </c>
      <c r="L2951" s="31">
        <v>46279.589384803236</v>
      </c>
      <c r="M2951" s="20">
        <v>6</v>
      </c>
      <c r="N2951" s="1">
        <v>51</v>
      </c>
    </row>
    <row r="2952" spans="1:14" x14ac:dyDescent="0.25">
      <c r="A2952" t="str">
        <f t="shared" si="94"/>
        <v>U148110U148110</v>
      </c>
      <c r="B2952" t="str">
        <f t="shared" si="95"/>
        <v>U148110GC9060LL-M</v>
      </c>
      <c r="C2952" s="1" t="s">
        <v>55</v>
      </c>
      <c r="D2952" s="1" t="s">
        <v>676</v>
      </c>
      <c r="E2952" s="1" t="s">
        <v>436</v>
      </c>
      <c r="F2952" s="1" t="s">
        <v>451</v>
      </c>
      <c r="G2952" s="1" t="s">
        <v>438</v>
      </c>
      <c r="H2952" s="1">
        <v>2340</v>
      </c>
      <c r="I2952" s="3">
        <v>46279</v>
      </c>
      <c r="J2952" s="3">
        <v>46289</v>
      </c>
      <c r="K2952" s="3" t="s">
        <v>2374</v>
      </c>
      <c r="L2952" s="31">
        <v>46279.592841782403</v>
      </c>
      <c r="M2952" s="20">
        <v>6</v>
      </c>
      <c r="N2952" s="1">
        <v>55</v>
      </c>
    </row>
    <row r="2953" spans="1:14" x14ac:dyDescent="0.25">
      <c r="A2953" t="str">
        <f t="shared" si="94"/>
        <v>U148110U148110</v>
      </c>
      <c r="B2953" t="str">
        <f t="shared" si="95"/>
        <v>U148110GC9060LL-M</v>
      </c>
      <c r="C2953" s="1" t="s">
        <v>55</v>
      </c>
      <c r="D2953" s="1" t="s">
        <v>676</v>
      </c>
      <c r="E2953" s="1" t="s">
        <v>436</v>
      </c>
      <c r="F2953" s="1" t="s">
        <v>451</v>
      </c>
      <c r="G2953" s="1" t="s">
        <v>438</v>
      </c>
      <c r="H2953" s="1">
        <v>2340</v>
      </c>
      <c r="I2953" s="3">
        <v>46279</v>
      </c>
      <c r="J2953" s="3">
        <v>46289</v>
      </c>
      <c r="K2953" s="3" t="s">
        <v>2374</v>
      </c>
      <c r="L2953" s="31">
        <v>46279.593011608791</v>
      </c>
      <c r="M2953" s="20">
        <v>6</v>
      </c>
      <c r="N2953" s="1">
        <v>52</v>
      </c>
    </row>
    <row r="2954" spans="1:14" x14ac:dyDescent="0.25">
      <c r="A2954" t="str">
        <f t="shared" si="94"/>
        <v>U148110U148110</v>
      </c>
      <c r="B2954" t="str">
        <f t="shared" si="95"/>
        <v>U148110GC9060LL-M</v>
      </c>
      <c r="C2954" s="1" t="s">
        <v>55</v>
      </c>
      <c r="D2954" s="1" t="s">
        <v>676</v>
      </c>
      <c r="E2954" s="1" t="s">
        <v>436</v>
      </c>
      <c r="F2954" s="1" t="s">
        <v>451</v>
      </c>
      <c r="G2954" s="1" t="s">
        <v>438</v>
      </c>
      <c r="H2954" s="1">
        <v>2340</v>
      </c>
      <c r="I2954" s="3">
        <v>46279</v>
      </c>
      <c r="J2954" s="3">
        <v>46289</v>
      </c>
      <c r="K2954" s="3" t="s">
        <v>2374</v>
      </c>
      <c r="L2954" s="31">
        <v>46279.593312233796</v>
      </c>
      <c r="M2954" s="20">
        <v>6</v>
      </c>
      <c r="N2954" s="1">
        <v>53</v>
      </c>
    </row>
    <row r="2955" spans="1:14" x14ac:dyDescent="0.25">
      <c r="A2955" t="str">
        <f t="shared" si="94"/>
        <v>U148110U148110</v>
      </c>
      <c r="B2955" t="str">
        <f t="shared" si="95"/>
        <v>U148110GC9060LL-M</v>
      </c>
      <c r="C2955" s="1" t="s">
        <v>55</v>
      </c>
      <c r="D2955" s="1" t="s">
        <v>676</v>
      </c>
      <c r="E2955" s="1" t="s">
        <v>436</v>
      </c>
      <c r="F2955" s="1" t="s">
        <v>451</v>
      </c>
      <c r="G2955" s="1" t="s">
        <v>438</v>
      </c>
      <c r="H2955" s="1">
        <v>2340</v>
      </c>
      <c r="I2955" s="3">
        <v>46279</v>
      </c>
      <c r="J2955" s="3">
        <v>46289</v>
      </c>
      <c r="K2955" s="3" t="s">
        <v>2374</v>
      </c>
      <c r="L2955" s="31">
        <v>46279.596536111108</v>
      </c>
      <c r="M2955" s="20">
        <v>6</v>
      </c>
      <c r="N2955" s="1">
        <v>62</v>
      </c>
    </row>
    <row r="2956" spans="1:14" x14ac:dyDescent="0.25">
      <c r="A2956" t="str">
        <f t="shared" si="94"/>
        <v>U148110U148110</v>
      </c>
      <c r="B2956" t="str">
        <f t="shared" si="95"/>
        <v>U148110GC9060LL-M</v>
      </c>
      <c r="C2956" s="1" t="s">
        <v>55</v>
      </c>
      <c r="D2956" s="1" t="s">
        <v>676</v>
      </c>
      <c r="E2956" s="1" t="s">
        <v>436</v>
      </c>
      <c r="F2956" s="1" t="s">
        <v>451</v>
      </c>
      <c r="G2956" s="1" t="s">
        <v>438</v>
      </c>
      <c r="H2956" s="1">
        <v>2340</v>
      </c>
      <c r="I2956" s="3">
        <v>46279</v>
      </c>
      <c r="J2956" s="3">
        <v>46289</v>
      </c>
      <c r="K2956" s="3" t="s">
        <v>2374</v>
      </c>
      <c r="L2956" s="31">
        <v>46279.597026423609</v>
      </c>
      <c r="M2956" s="20">
        <v>6</v>
      </c>
      <c r="N2956" s="1">
        <v>56</v>
      </c>
    </row>
    <row r="2957" spans="1:14" x14ac:dyDescent="0.25">
      <c r="A2957" t="str">
        <f t="shared" si="94"/>
        <v>U148110U148110</v>
      </c>
      <c r="B2957" t="str">
        <f t="shared" si="95"/>
        <v>U148110GC9060LL-M</v>
      </c>
      <c r="C2957" s="1" t="s">
        <v>55</v>
      </c>
      <c r="D2957" s="1" t="s">
        <v>676</v>
      </c>
      <c r="E2957" s="1" t="s">
        <v>436</v>
      </c>
      <c r="F2957" s="1" t="s">
        <v>451</v>
      </c>
      <c r="G2957" s="1" t="s">
        <v>438</v>
      </c>
      <c r="H2957" s="1">
        <v>2340</v>
      </c>
      <c r="I2957" s="3">
        <v>46279</v>
      </c>
      <c r="J2957" s="3">
        <v>46289</v>
      </c>
      <c r="K2957" s="3" t="s">
        <v>2374</v>
      </c>
      <c r="L2957" s="31">
        <v>46279.597277777779</v>
      </c>
      <c r="M2957" s="20">
        <v>6</v>
      </c>
      <c r="N2957" s="1">
        <v>61</v>
      </c>
    </row>
    <row r="2958" spans="1:14" x14ac:dyDescent="0.25">
      <c r="A2958" t="str">
        <f t="shared" si="94"/>
        <v>U148110U148110</v>
      </c>
      <c r="B2958" t="str">
        <f t="shared" si="95"/>
        <v>U148110GC9060LL-M</v>
      </c>
      <c r="C2958" s="1" t="s">
        <v>55</v>
      </c>
      <c r="D2958" s="1" t="s">
        <v>676</v>
      </c>
      <c r="E2958" s="1" t="s">
        <v>436</v>
      </c>
      <c r="F2958" s="1" t="s">
        <v>451</v>
      </c>
      <c r="G2958" s="1" t="s">
        <v>438</v>
      </c>
      <c r="H2958" s="1">
        <v>2340</v>
      </c>
      <c r="I2958" s="3">
        <v>46279</v>
      </c>
      <c r="J2958" s="3">
        <v>46289</v>
      </c>
      <c r="K2958" s="3" t="s">
        <v>2374</v>
      </c>
      <c r="L2958" s="31">
        <v>46279.609950381942</v>
      </c>
      <c r="M2958" s="20">
        <v>6</v>
      </c>
      <c r="N2958" s="1">
        <v>63</v>
      </c>
    </row>
    <row r="2959" spans="1:14" x14ac:dyDescent="0.25">
      <c r="A2959" t="str">
        <f t="shared" si="94"/>
        <v>U148110U148110</v>
      </c>
      <c r="B2959" t="str">
        <f t="shared" si="95"/>
        <v>U148110GC9060LL-M</v>
      </c>
      <c r="C2959" s="1" t="s">
        <v>55</v>
      </c>
      <c r="D2959" s="1" t="s">
        <v>676</v>
      </c>
      <c r="E2959" s="1" t="s">
        <v>436</v>
      </c>
      <c r="F2959" s="1" t="s">
        <v>451</v>
      </c>
      <c r="G2959" s="1" t="s">
        <v>438</v>
      </c>
      <c r="H2959" s="1">
        <v>2340</v>
      </c>
      <c r="I2959" s="3">
        <v>46279</v>
      </c>
      <c r="J2959" s="3">
        <v>46289</v>
      </c>
      <c r="K2959" s="3" t="s">
        <v>2374</v>
      </c>
      <c r="L2959" s="31">
        <v>46279.610183645833</v>
      </c>
      <c r="M2959" s="20">
        <v>6</v>
      </c>
      <c r="N2959" s="1">
        <v>59</v>
      </c>
    </row>
    <row r="2960" spans="1:14" x14ac:dyDescent="0.25">
      <c r="A2960" t="str">
        <f t="shared" si="94"/>
        <v>U148110U148110</v>
      </c>
      <c r="B2960" t="str">
        <f t="shared" si="95"/>
        <v>U148110GC9060LL-M</v>
      </c>
      <c r="C2960" s="1" t="s">
        <v>55</v>
      </c>
      <c r="D2960" s="1" t="s">
        <v>676</v>
      </c>
      <c r="E2960" s="1" t="s">
        <v>436</v>
      </c>
      <c r="F2960" s="1" t="s">
        <v>451</v>
      </c>
      <c r="G2960" s="1" t="s">
        <v>438</v>
      </c>
      <c r="H2960" s="1">
        <v>2340</v>
      </c>
      <c r="I2960" s="3">
        <v>46279</v>
      </c>
      <c r="J2960" s="3">
        <v>46289</v>
      </c>
      <c r="K2960" s="3" t="s">
        <v>2374</v>
      </c>
      <c r="L2960" s="31">
        <v>46279.613632523149</v>
      </c>
      <c r="M2960" s="20">
        <v>6</v>
      </c>
      <c r="N2960" s="1">
        <v>65</v>
      </c>
    </row>
    <row r="2961" spans="1:14" x14ac:dyDescent="0.25">
      <c r="A2961" t="str">
        <f t="shared" si="94"/>
        <v>U148110U148110</v>
      </c>
      <c r="B2961" t="str">
        <f t="shared" si="95"/>
        <v>U148110GC9060LL-M</v>
      </c>
      <c r="C2961" s="1" t="s">
        <v>55</v>
      </c>
      <c r="D2961" s="1" t="s">
        <v>676</v>
      </c>
      <c r="E2961" s="1" t="s">
        <v>436</v>
      </c>
      <c r="F2961" s="1" t="s">
        <v>451</v>
      </c>
      <c r="G2961" s="1" t="s">
        <v>438</v>
      </c>
      <c r="H2961" s="1">
        <v>2340</v>
      </c>
      <c r="I2961" s="3">
        <v>46279</v>
      </c>
      <c r="J2961" s="3">
        <v>46289</v>
      </c>
      <c r="K2961" s="3" t="s">
        <v>2374</v>
      </c>
      <c r="L2961" s="31">
        <v>46279.614166817126</v>
      </c>
      <c r="M2961" s="20">
        <v>6</v>
      </c>
      <c r="N2961" s="1">
        <v>58</v>
      </c>
    </row>
    <row r="2962" spans="1:14" x14ac:dyDescent="0.25">
      <c r="A2962" t="str">
        <f t="shared" si="94"/>
        <v>U148110U148110</v>
      </c>
      <c r="B2962" t="str">
        <f t="shared" si="95"/>
        <v>U148110GC9060LL-M</v>
      </c>
      <c r="C2962" s="1" t="s">
        <v>55</v>
      </c>
      <c r="D2962" s="1" t="s">
        <v>676</v>
      </c>
      <c r="E2962" s="1" t="s">
        <v>436</v>
      </c>
      <c r="F2962" s="1" t="s">
        <v>451</v>
      </c>
      <c r="G2962" s="1" t="s">
        <v>438</v>
      </c>
      <c r="H2962" s="1">
        <v>2340</v>
      </c>
      <c r="I2962" s="3">
        <v>46279</v>
      </c>
      <c r="J2962" s="3">
        <v>46289</v>
      </c>
      <c r="K2962" s="3" t="s">
        <v>2374</v>
      </c>
      <c r="L2962" s="31">
        <v>46279.614691284718</v>
      </c>
      <c r="M2962" s="20">
        <v>6</v>
      </c>
      <c r="N2962" s="1">
        <v>60</v>
      </c>
    </row>
    <row r="2963" spans="1:14" x14ac:dyDescent="0.25">
      <c r="A2963" t="str">
        <f t="shared" si="94"/>
        <v>U148110U148110</v>
      </c>
      <c r="B2963" t="str">
        <f t="shared" si="95"/>
        <v>U148110GC9060LL-M</v>
      </c>
      <c r="C2963" s="1" t="s">
        <v>55</v>
      </c>
      <c r="D2963" s="1" t="s">
        <v>676</v>
      </c>
      <c r="E2963" s="1" t="s">
        <v>436</v>
      </c>
      <c r="F2963" s="1" t="s">
        <v>451</v>
      </c>
      <c r="G2963" s="1" t="s">
        <v>438</v>
      </c>
      <c r="H2963" s="1">
        <v>2340</v>
      </c>
      <c r="I2963" s="3">
        <v>46279</v>
      </c>
      <c r="J2963" s="3">
        <v>46289</v>
      </c>
      <c r="K2963" s="3" t="s">
        <v>2374</v>
      </c>
      <c r="L2963" s="31">
        <v>46279.621545254631</v>
      </c>
      <c r="M2963" s="20">
        <v>6</v>
      </c>
      <c r="N2963" s="1">
        <v>64</v>
      </c>
    </row>
    <row r="2964" spans="1:14" x14ac:dyDescent="0.25">
      <c r="A2964" t="str">
        <f t="shared" si="94"/>
        <v>U148110U148110</v>
      </c>
      <c r="B2964" t="str">
        <f t="shared" si="95"/>
        <v>U148110GC9060LL-M</v>
      </c>
      <c r="C2964" s="1" t="s">
        <v>55</v>
      </c>
      <c r="D2964" s="1" t="s">
        <v>676</v>
      </c>
      <c r="E2964" s="1" t="s">
        <v>436</v>
      </c>
      <c r="F2964" s="1" t="s">
        <v>451</v>
      </c>
      <c r="G2964" s="1" t="s">
        <v>438</v>
      </c>
      <c r="H2964" s="1">
        <v>2340</v>
      </c>
      <c r="I2964" s="3">
        <v>46279</v>
      </c>
      <c r="J2964" s="3">
        <v>46289</v>
      </c>
      <c r="K2964" s="3" t="s">
        <v>2374</v>
      </c>
      <c r="L2964" s="31">
        <v>46279.62234829861</v>
      </c>
      <c r="M2964" s="20">
        <v>6</v>
      </c>
      <c r="N2964" s="1">
        <v>68</v>
      </c>
    </row>
    <row r="2965" spans="1:14" x14ac:dyDescent="0.25">
      <c r="A2965" t="str">
        <f t="shared" si="94"/>
        <v>U148110U148110</v>
      </c>
      <c r="B2965" t="str">
        <f t="shared" si="95"/>
        <v>U148110GC9060LL-M</v>
      </c>
      <c r="C2965" s="1" t="s">
        <v>55</v>
      </c>
      <c r="D2965" s="1" t="s">
        <v>676</v>
      </c>
      <c r="E2965" s="1" t="s">
        <v>436</v>
      </c>
      <c r="F2965" s="1" t="s">
        <v>451</v>
      </c>
      <c r="G2965" s="1" t="s">
        <v>438</v>
      </c>
      <c r="H2965" s="1">
        <v>2340</v>
      </c>
      <c r="I2965" s="3">
        <v>46279</v>
      </c>
      <c r="J2965" s="3">
        <v>46289</v>
      </c>
      <c r="K2965" s="3" t="s">
        <v>2374</v>
      </c>
      <c r="L2965" s="31">
        <v>46279.624805590276</v>
      </c>
      <c r="M2965" s="20">
        <v>6</v>
      </c>
      <c r="N2965" s="1">
        <v>67</v>
      </c>
    </row>
    <row r="2966" spans="1:14" x14ac:dyDescent="0.25">
      <c r="A2966" t="str">
        <f t="shared" si="94"/>
        <v>U148110U148110</v>
      </c>
      <c r="B2966" t="str">
        <f t="shared" si="95"/>
        <v>U148110GC9060LL-M</v>
      </c>
      <c r="C2966" s="1" t="s">
        <v>55</v>
      </c>
      <c r="D2966" s="1" t="s">
        <v>676</v>
      </c>
      <c r="E2966" s="1" t="s">
        <v>436</v>
      </c>
      <c r="F2966" s="1" t="s">
        <v>451</v>
      </c>
      <c r="G2966" s="1" t="s">
        <v>438</v>
      </c>
      <c r="H2966" s="1">
        <v>2340</v>
      </c>
      <c r="I2966" s="3">
        <v>46279</v>
      </c>
      <c r="J2966" s="3">
        <v>46289</v>
      </c>
      <c r="K2966" s="3" t="s">
        <v>2374</v>
      </c>
      <c r="L2966" s="31">
        <v>46279.625718981479</v>
      </c>
      <c r="M2966" s="20">
        <v>6</v>
      </c>
      <c r="N2966" s="1">
        <v>71</v>
      </c>
    </row>
    <row r="2967" spans="1:14" x14ac:dyDescent="0.25">
      <c r="A2967" t="str">
        <f t="shared" si="94"/>
        <v>U148110U148110</v>
      </c>
      <c r="B2967" t="str">
        <f t="shared" si="95"/>
        <v>U148110GC9060LL-M</v>
      </c>
      <c r="C2967" s="1" t="s">
        <v>55</v>
      </c>
      <c r="D2967" s="1" t="s">
        <v>676</v>
      </c>
      <c r="E2967" s="1" t="s">
        <v>436</v>
      </c>
      <c r="F2967" s="1" t="s">
        <v>451</v>
      </c>
      <c r="G2967" s="1" t="s">
        <v>438</v>
      </c>
      <c r="H2967" s="1">
        <v>2340</v>
      </c>
      <c r="I2967" s="3">
        <v>46279</v>
      </c>
      <c r="J2967" s="3">
        <v>46289</v>
      </c>
      <c r="K2967" s="3" t="s">
        <v>2374</v>
      </c>
      <c r="L2967" s="31">
        <v>46279.628447719908</v>
      </c>
      <c r="M2967" s="20">
        <v>6</v>
      </c>
      <c r="N2967" s="1">
        <v>73</v>
      </c>
    </row>
    <row r="2968" spans="1:14" x14ac:dyDescent="0.25">
      <c r="A2968" t="str">
        <f t="shared" si="94"/>
        <v>U148110U148110</v>
      </c>
      <c r="B2968" t="str">
        <f t="shared" si="95"/>
        <v>U148110GC9060LL-M</v>
      </c>
      <c r="C2968" s="1" t="s">
        <v>55</v>
      </c>
      <c r="D2968" s="1" t="s">
        <v>676</v>
      </c>
      <c r="E2968" s="1" t="s">
        <v>436</v>
      </c>
      <c r="F2968" s="1" t="s">
        <v>451</v>
      </c>
      <c r="G2968" s="1" t="s">
        <v>438</v>
      </c>
      <c r="H2968" s="1">
        <v>2340</v>
      </c>
      <c r="I2968" s="3">
        <v>46279</v>
      </c>
      <c r="J2968" s="3">
        <v>46289</v>
      </c>
      <c r="K2968" s="3" t="s">
        <v>2374</v>
      </c>
      <c r="L2968" s="31">
        <v>46279.628899768519</v>
      </c>
      <c r="M2968" s="20">
        <v>6</v>
      </c>
      <c r="N2968" s="1">
        <v>72</v>
      </c>
    </row>
    <row r="2969" spans="1:14" x14ac:dyDescent="0.25">
      <c r="A2969" t="str">
        <f t="shared" si="94"/>
        <v>U148110U148110</v>
      </c>
      <c r="B2969" t="str">
        <f t="shared" si="95"/>
        <v>U148110GC9060LL-M</v>
      </c>
      <c r="C2969" s="1" t="s">
        <v>55</v>
      </c>
      <c r="D2969" s="1" t="s">
        <v>676</v>
      </c>
      <c r="E2969" s="1" t="s">
        <v>436</v>
      </c>
      <c r="F2969" s="1" t="s">
        <v>451</v>
      </c>
      <c r="G2969" s="1" t="s">
        <v>438</v>
      </c>
      <c r="H2969" s="1">
        <v>2340</v>
      </c>
      <c r="I2969" s="3">
        <v>46279</v>
      </c>
      <c r="J2969" s="3">
        <v>46289</v>
      </c>
      <c r="K2969" s="3" t="s">
        <v>2374</v>
      </c>
      <c r="L2969" s="31">
        <v>46279.631532835643</v>
      </c>
      <c r="M2969" s="20">
        <v>6</v>
      </c>
      <c r="N2969" s="1">
        <v>75</v>
      </c>
    </row>
    <row r="2970" spans="1:14" x14ac:dyDescent="0.25">
      <c r="A2970" t="str">
        <f t="shared" si="94"/>
        <v>U148110U148110</v>
      </c>
      <c r="B2970" t="str">
        <f t="shared" si="95"/>
        <v>U148110GC9060LL-M</v>
      </c>
      <c r="C2970" s="1" t="s">
        <v>55</v>
      </c>
      <c r="D2970" s="1" t="s">
        <v>676</v>
      </c>
      <c r="E2970" s="1" t="s">
        <v>436</v>
      </c>
      <c r="F2970" s="1" t="s">
        <v>451</v>
      </c>
      <c r="G2970" s="1" t="s">
        <v>438</v>
      </c>
      <c r="H2970" s="1">
        <v>2340</v>
      </c>
      <c r="I2970" s="3">
        <v>46279</v>
      </c>
      <c r="J2970" s="3">
        <v>46289</v>
      </c>
      <c r="K2970" s="3" t="s">
        <v>2374</v>
      </c>
      <c r="L2970" s="31">
        <v>46279.638155405089</v>
      </c>
      <c r="M2970" s="20">
        <v>6</v>
      </c>
      <c r="N2970" s="1">
        <v>66</v>
      </c>
    </row>
    <row r="2971" spans="1:14" x14ac:dyDescent="0.25">
      <c r="A2971" t="str">
        <f t="shared" si="94"/>
        <v>U148110U148110</v>
      </c>
      <c r="B2971" t="str">
        <f t="shared" si="95"/>
        <v>U148110GC9060LL-M</v>
      </c>
      <c r="C2971" s="1" t="s">
        <v>55</v>
      </c>
      <c r="D2971" s="1" t="s">
        <v>676</v>
      </c>
      <c r="E2971" s="1" t="s">
        <v>436</v>
      </c>
      <c r="F2971" s="1" t="s">
        <v>451</v>
      </c>
      <c r="G2971" s="1" t="s">
        <v>438</v>
      </c>
      <c r="H2971" s="1">
        <v>2340</v>
      </c>
      <c r="I2971" s="3">
        <v>46279</v>
      </c>
      <c r="J2971" s="3">
        <v>46289</v>
      </c>
      <c r="K2971" s="3" t="s">
        <v>2374</v>
      </c>
      <c r="L2971" s="31">
        <v>46279.642729016203</v>
      </c>
      <c r="M2971" s="20">
        <v>6</v>
      </c>
      <c r="N2971" s="1">
        <v>74</v>
      </c>
    </row>
    <row r="2972" spans="1:14" x14ac:dyDescent="0.25">
      <c r="A2972" t="str">
        <f t="shared" si="94"/>
        <v>U148110U148110</v>
      </c>
      <c r="B2972" t="str">
        <f t="shared" si="95"/>
        <v>U148110GC9060LL-M</v>
      </c>
      <c r="C2972" s="1" t="s">
        <v>55</v>
      </c>
      <c r="D2972" s="1" t="s">
        <v>676</v>
      </c>
      <c r="E2972" s="1" t="s">
        <v>436</v>
      </c>
      <c r="F2972" s="1" t="s">
        <v>451</v>
      </c>
      <c r="G2972" s="1" t="s">
        <v>438</v>
      </c>
      <c r="H2972" s="1">
        <v>2340</v>
      </c>
      <c r="I2972" s="3">
        <v>46279</v>
      </c>
      <c r="J2972" s="3">
        <v>46289</v>
      </c>
      <c r="K2972" s="3" t="s">
        <v>2374</v>
      </c>
      <c r="L2972" s="31">
        <v>46279.642934340278</v>
      </c>
      <c r="M2972" s="20">
        <v>6</v>
      </c>
      <c r="N2972" s="1">
        <v>77</v>
      </c>
    </row>
    <row r="2973" spans="1:14" x14ac:dyDescent="0.25">
      <c r="A2973" t="str">
        <f t="shared" si="94"/>
        <v>U148110U148110</v>
      </c>
      <c r="B2973" t="str">
        <f t="shared" si="95"/>
        <v>U148110GC9060LL-M</v>
      </c>
      <c r="C2973" s="1" t="s">
        <v>55</v>
      </c>
      <c r="D2973" s="1" t="s">
        <v>676</v>
      </c>
      <c r="E2973" s="1" t="s">
        <v>436</v>
      </c>
      <c r="F2973" s="1" t="s">
        <v>451</v>
      </c>
      <c r="G2973" s="1" t="s">
        <v>438</v>
      </c>
      <c r="H2973" s="1">
        <v>2340</v>
      </c>
      <c r="I2973" s="3">
        <v>46279</v>
      </c>
      <c r="J2973" s="3">
        <v>46289</v>
      </c>
      <c r="K2973" s="3" t="s">
        <v>2374</v>
      </c>
      <c r="L2973" s="31">
        <v>46279.643678356479</v>
      </c>
      <c r="M2973" s="20">
        <v>6</v>
      </c>
      <c r="N2973" s="1">
        <v>69</v>
      </c>
    </row>
    <row r="2974" spans="1:14" x14ac:dyDescent="0.25">
      <c r="A2974" t="str">
        <f t="shared" si="94"/>
        <v>U148110U148110</v>
      </c>
      <c r="B2974" t="str">
        <f t="shared" si="95"/>
        <v>U148110GC9060LL-M</v>
      </c>
      <c r="C2974" s="1" t="s">
        <v>55</v>
      </c>
      <c r="D2974" s="1" t="s">
        <v>676</v>
      </c>
      <c r="E2974" s="1" t="s">
        <v>436</v>
      </c>
      <c r="F2974" s="1" t="s">
        <v>451</v>
      </c>
      <c r="G2974" s="1" t="s">
        <v>438</v>
      </c>
      <c r="H2974" s="1">
        <v>2340</v>
      </c>
      <c r="I2974" s="3">
        <v>46279</v>
      </c>
      <c r="J2974" s="3">
        <v>46289</v>
      </c>
      <c r="K2974" s="3" t="s">
        <v>2374</v>
      </c>
      <c r="L2974" s="31">
        <v>46279.646669942129</v>
      </c>
      <c r="M2974" s="20">
        <v>6</v>
      </c>
      <c r="N2974" s="1">
        <v>80</v>
      </c>
    </row>
    <row r="2975" spans="1:14" x14ac:dyDescent="0.25">
      <c r="A2975" t="str">
        <f t="shared" si="94"/>
        <v>U148110U148110</v>
      </c>
      <c r="B2975" t="str">
        <f t="shared" si="95"/>
        <v>U148110GC9060LL-M</v>
      </c>
      <c r="C2975" s="1" t="s">
        <v>55</v>
      </c>
      <c r="D2975" s="1" t="s">
        <v>676</v>
      </c>
      <c r="E2975" s="1" t="s">
        <v>436</v>
      </c>
      <c r="F2975" s="1" t="s">
        <v>451</v>
      </c>
      <c r="G2975" s="1" t="s">
        <v>438</v>
      </c>
      <c r="H2975" s="1">
        <v>2340</v>
      </c>
      <c r="I2975" s="3">
        <v>46279</v>
      </c>
      <c r="J2975" s="3">
        <v>46289</v>
      </c>
      <c r="K2975" s="3" t="s">
        <v>2374</v>
      </c>
      <c r="L2975" s="31">
        <v>46279.646898530089</v>
      </c>
      <c r="M2975" s="20">
        <v>6</v>
      </c>
      <c r="N2975" s="1">
        <v>81</v>
      </c>
    </row>
    <row r="2976" spans="1:14" x14ac:dyDescent="0.25">
      <c r="A2976" t="str">
        <f t="shared" si="94"/>
        <v>U148110U148110</v>
      </c>
      <c r="B2976" t="str">
        <f t="shared" si="95"/>
        <v>U148110GC9060LL-M</v>
      </c>
      <c r="C2976" s="1" t="s">
        <v>55</v>
      </c>
      <c r="D2976" s="1" t="s">
        <v>676</v>
      </c>
      <c r="E2976" s="1" t="s">
        <v>436</v>
      </c>
      <c r="F2976" s="1" t="s">
        <v>451</v>
      </c>
      <c r="G2976" s="1" t="s">
        <v>438</v>
      </c>
      <c r="H2976" s="1">
        <v>2340</v>
      </c>
      <c r="I2976" s="3">
        <v>46279</v>
      </c>
      <c r="J2976" s="3">
        <v>46289</v>
      </c>
      <c r="K2976" s="3" t="s">
        <v>2374</v>
      </c>
      <c r="L2976" s="31">
        <v>46279.64711114583</v>
      </c>
      <c r="M2976" s="20">
        <v>6</v>
      </c>
      <c r="N2976" s="1">
        <v>70</v>
      </c>
    </row>
    <row r="2977" spans="1:14" x14ac:dyDescent="0.25">
      <c r="A2977" t="str">
        <f t="shared" si="94"/>
        <v>U148110U148110</v>
      </c>
      <c r="B2977" t="str">
        <f t="shared" si="95"/>
        <v>U148110GC9060LL-M</v>
      </c>
      <c r="C2977" s="1" t="s">
        <v>55</v>
      </c>
      <c r="D2977" s="1" t="s">
        <v>676</v>
      </c>
      <c r="E2977" s="1" t="s">
        <v>436</v>
      </c>
      <c r="F2977" s="1" t="s">
        <v>451</v>
      </c>
      <c r="G2977" s="1" t="s">
        <v>438</v>
      </c>
      <c r="H2977" s="1">
        <v>2340</v>
      </c>
      <c r="I2977" s="3">
        <v>46279</v>
      </c>
      <c r="J2977" s="3">
        <v>46289</v>
      </c>
      <c r="K2977" s="3" t="s">
        <v>2374</v>
      </c>
      <c r="L2977" s="31">
        <v>46279.650678043981</v>
      </c>
      <c r="M2977" s="20">
        <v>6</v>
      </c>
      <c r="N2977" s="1">
        <v>82</v>
      </c>
    </row>
    <row r="2978" spans="1:14" x14ac:dyDescent="0.25">
      <c r="A2978" t="str">
        <f t="shared" si="94"/>
        <v>U148110U148110</v>
      </c>
      <c r="B2978" t="str">
        <f t="shared" si="95"/>
        <v>U148110GC9060LL-M</v>
      </c>
      <c r="C2978" s="1" t="s">
        <v>55</v>
      </c>
      <c r="D2978" s="1" t="s">
        <v>676</v>
      </c>
      <c r="E2978" s="1" t="s">
        <v>436</v>
      </c>
      <c r="F2978" s="1" t="s">
        <v>451</v>
      </c>
      <c r="G2978" s="1" t="s">
        <v>438</v>
      </c>
      <c r="H2978" s="1">
        <v>2340</v>
      </c>
      <c r="I2978" s="3">
        <v>46279</v>
      </c>
      <c r="J2978" s="3">
        <v>46289</v>
      </c>
      <c r="K2978" s="3" t="s">
        <v>2374</v>
      </c>
      <c r="L2978" s="31">
        <v>46279.651545601853</v>
      </c>
      <c r="M2978" s="20">
        <v>6</v>
      </c>
      <c r="N2978" s="1">
        <v>78</v>
      </c>
    </row>
    <row r="2979" spans="1:14" x14ac:dyDescent="0.25">
      <c r="A2979" t="str">
        <f t="shared" si="94"/>
        <v>U148110U148110</v>
      </c>
      <c r="B2979" t="str">
        <f t="shared" si="95"/>
        <v>U148110GC9060LL-M</v>
      </c>
      <c r="C2979" s="1" t="s">
        <v>55</v>
      </c>
      <c r="D2979" s="1" t="s">
        <v>676</v>
      </c>
      <c r="E2979" s="1" t="s">
        <v>436</v>
      </c>
      <c r="F2979" s="1" t="s">
        <v>451</v>
      </c>
      <c r="G2979" s="1" t="s">
        <v>438</v>
      </c>
      <c r="H2979" s="1">
        <v>2340</v>
      </c>
      <c r="I2979" s="3">
        <v>46279</v>
      </c>
      <c r="J2979" s="3">
        <v>46289</v>
      </c>
      <c r="K2979" s="3" t="s">
        <v>2374</v>
      </c>
      <c r="L2979" s="31">
        <v>46279.660088506942</v>
      </c>
      <c r="M2979" s="20">
        <v>6</v>
      </c>
      <c r="N2979" s="1">
        <v>84</v>
      </c>
    </row>
    <row r="2980" spans="1:14" x14ac:dyDescent="0.25">
      <c r="A2980" t="str">
        <f t="shared" si="94"/>
        <v>U148110U148110</v>
      </c>
      <c r="B2980" t="str">
        <f t="shared" si="95"/>
        <v>U148110GC9060LL-M</v>
      </c>
      <c r="C2980" s="1" t="s">
        <v>55</v>
      </c>
      <c r="D2980" s="1" t="s">
        <v>676</v>
      </c>
      <c r="E2980" s="1" t="s">
        <v>436</v>
      </c>
      <c r="F2980" s="1" t="s">
        <v>451</v>
      </c>
      <c r="G2980" s="1" t="s">
        <v>438</v>
      </c>
      <c r="H2980" s="1">
        <v>2340</v>
      </c>
      <c r="I2980" s="3">
        <v>46279</v>
      </c>
      <c r="J2980" s="3">
        <v>46289</v>
      </c>
      <c r="K2980" s="3" t="s">
        <v>2374</v>
      </c>
      <c r="L2980" s="31">
        <v>46279.66034667824</v>
      </c>
      <c r="M2980" s="20">
        <v>6</v>
      </c>
      <c r="N2980" s="1">
        <v>83</v>
      </c>
    </row>
    <row r="2981" spans="1:14" x14ac:dyDescent="0.25">
      <c r="A2981" t="str">
        <f t="shared" si="94"/>
        <v>U148110U148110</v>
      </c>
      <c r="B2981" t="str">
        <f t="shared" si="95"/>
        <v>U148110GC9060LL-M</v>
      </c>
      <c r="C2981" s="1" t="s">
        <v>55</v>
      </c>
      <c r="D2981" s="1" t="s">
        <v>676</v>
      </c>
      <c r="E2981" s="1" t="s">
        <v>436</v>
      </c>
      <c r="F2981" s="1" t="s">
        <v>451</v>
      </c>
      <c r="G2981" s="1" t="s">
        <v>438</v>
      </c>
      <c r="H2981" s="1">
        <v>2340</v>
      </c>
      <c r="I2981" s="3">
        <v>46279</v>
      </c>
      <c r="J2981" s="3">
        <v>46289</v>
      </c>
      <c r="K2981" s="3" t="s">
        <v>2374</v>
      </c>
      <c r="L2981" s="31">
        <v>46279.661730902779</v>
      </c>
      <c r="M2981" s="20">
        <v>6</v>
      </c>
      <c r="N2981" s="1">
        <v>86</v>
      </c>
    </row>
    <row r="2982" spans="1:14" x14ac:dyDescent="0.25">
      <c r="A2982" t="str">
        <f t="shared" si="94"/>
        <v>U148110U148110</v>
      </c>
      <c r="B2982" t="str">
        <f t="shared" si="95"/>
        <v>U148110GC9060LL-M</v>
      </c>
      <c r="C2982" s="1" t="s">
        <v>55</v>
      </c>
      <c r="D2982" s="1" t="s">
        <v>676</v>
      </c>
      <c r="E2982" s="1" t="s">
        <v>436</v>
      </c>
      <c r="F2982" s="1" t="s">
        <v>451</v>
      </c>
      <c r="G2982" s="1" t="s">
        <v>438</v>
      </c>
      <c r="H2982" s="1">
        <v>2340</v>
      </c>
      <c r="I2982" s="3">
        <v>46279</v>
      </c>
      <c r="J2982" s="3">
        <v>46289</v>
      </c>
      <c r="K2982" s="3" t="s">
        <v>2374</v>
      </c>
      <c r="L2982" s="31">
        <v>46279.66264170139</v>
      </c>
      <c r="M2982" s="20">
        <v>6</v>
      </c>
      <c r="N2982" s="1">
        <v>79</v>
      </c>
    </row>
    <row r="2983" spans="1:14" x14ac:dyDescent="0.25">
      <c r="A2983" t="str">
        <f t="shared" si="94"/>
        <v>U148110U148110</v>
      </c>
      <c r="B2983" t="str">
        <f t="shared" si="95"/>
        <v>U148110GC9060LL-M</v>
      </c>
      <c r="C2983" s="1" t="s">
        <v>55</v>
      </c>
      <c r="D2983" s="1" t="s">
        <v>676</v>
      </c>
      <c r="E2983" s="1" t="s">
        <v>436</v>
      </c>
      <c r="F2983" s="1" t="s">
        <v>451</v>
      </c>
      <c r="G2983" s="1" t="s">
        <v>438</v>
      </c>
      <c r="H2983" s="1">
        <v>2340</v>
      </c>
      <c r="I2983" s="3">
        <v>46279</v>
      </c>
      <c r="J2983" s="3">
        <v>46289</v>
      </c>
      <c r="K2983" s="3" t="s">
        <v>2374</v>
      </c>
      <c r="L2983" s="31">
        <v>46279.664504513887</v>
      </c>
      <c r="M2983" s="20">
        <v>6</v>
      </c>
      <c r="N2983" s="1">
        <v>85</v>
      </c>
    </row>
    <row r="2984" spans="1:14" x14ac:dyDescent="0.25">
      <c r="A2984" t="str">
        <f t="shared" si="94"/>
        <v>U148110U148110</v>
      </c>
      <c r="B2984" t="str">
        <f t="shared" si="95"/>
        <v>U148110GC9060LL-M</v>
      </c>
      <c r="C2984" s="1" t="s">
        <v>55</v>
      </c>
      <c r="D2984" s="1" t="s">
        <v>676</v>
      </c>
      <c r="E2984" s="1" t="s">
        <v>436</v>
      </c>
      <c r="F2984" s="1" t="s">
        <v>451</v>
      </c>
      <c r="G2984" s="1" t="s">
        <v>438</v>
      </c>
      <c r="H2984" s="1">
        <v>2340</v>
      </c>
      <c r="I2984" s="3">
        <v>46279</v>
      </c>
      <c r="J2984" s="3">
        <v>46289</v>
      </c>
      <c r="K2984" s="3" t="s">
        <v>2374</v>
      </c>
      <c r="L2984" s="31">
        <v>46279.667892245372</v>
      </c>
      <c r="M2984" s="20">
        <v>6</v>
      </c>
      <c r="N2984" s="1">
        <v>90</v>
      </c>
    </row>
    <row r="2985" spans="1:14" x14ac:dyDescent="0.25">
      <c r="A2985" t="str">
        <f t="shared" si="94"/>
        <v>U148110U148110</v>
      </c>
      <c r="B2985" t="str">
        <f t="shared" si="95"/>
        <v>U148110GC9060LL-M</v>
      </c>
      <c r="C2985" s="1" t="s">
        <v>55</v>
      </c>
      <c r="D2985" s="1" t="s">
        <v>676</v>
      </c>
      <c r="E2985" s="1" t="s">
        <v>436</v>
      </c>
      <c r="F2985" s="1" t="s">
        <v>451</v>
      </c>
      <c r="G2985" s="1" t="s">
        <v>438</v>
      </c>
      <c r="H2985" s="1">
        <v>2340</v>
      </c>
      <c r="I2985" s="3">
        <v>46279</v>
      </c>
      <c r="J2985" s="3">
        <v>46289</v>
      </c>
      <c r="K2985" s="3" t="s">
        <v>2374</v>
      </c>
      <c r="L2985" s="31">
        <v>46279.668420717593</v>
      </c>
      <c r="M2985" s="20">
        <v>6</v>
      </c>
      <c r="N2985" s="1">
        <v>87</v>
      </c>
    </row>
    <row r="2986" spans="1:14" x14ac:dyDescent="0.25">
      <c r="A2986" t="str">
        <f t="shared" si="94"/>
        <v>U148110U148110</v>
      </c>
      <c r="B2986" t="str">
        <f t="shared" si="95"/>
        <v>U148110GC9060LL-M</v>
      </c>
      <c r="C2986" s="1" t="s">
        <v>55</v>
      </c>
      <c r="D2986" s="1" t="s">
        <v>676</v>
      </c>
      <c r="E2986" s="1" t="s">
        <v>436</v>
      </c>
      <c r="F2986" s="1" t="s">
        <v>451</v>
      </c>
      <c r="G2986" s="1" t="s">
        <v>438</v>
      </c>
      <c r="H2986" s="1">
        <v>2340</v>
      </c>
      <c r="I2986" s="3">
        <v>46279</v>
      </c>
      <c r="J2986" s="3">
        <v>46289</v>
      </c>
      <c r="K2986" s="3" t="s">
        <v>2374</v>
      </c>
      <c r="L2986" s="31">
        <v>46279.66939116898</v>
      </c>
      <c r="M2986" s="20">
        <v>6</v>
      </c>
      <c r="N2986" s="1">
        <v>76</v>
      </c>
    </row>
    <row r="2987" spans="1:14" x14ac:dyDescent="0.25">
      <c r="A2987" t="str">
        <f t="shared" si="94"/>
        <v>U148110U148110</v>
      </c>
      <c r="B2987" t="str">
        <f t="shared" si="95"/>
        <v>U148110GC9060LL-M</v>
      </c>
      <c r="C2987" s="1" t="s">
        <v>55</v>
      </c>
      <c r="D2987" s="1" t="s">
        <v>676</v>
      </c>
      <c r="E2987" s="1" t="s">
        <v>436</v>
      </c>
      <c r="F2987" s="1" t="s">
        <v>451</v>
      </c>
      <c r="G2987" s="1" t="s">
        <v>438</v>
      </c>
      <c r="H2987" s="1">
        <v>2340</v>
      </c>
      <c r="I2987" s="3">
        <v>46279</v>
      </c>
      <c r="J2987" s="3">
        <v>46289</v>
      </c>
      <c r="K2987" s="3" t="s">
        <v>2374</v>
      </c>
      <c r="L2987" s="31">
        <v>46279.671912847218</v>
      </c>
      <c r="M2987" s="20">
        <v>6</v>
      </c>
      <c r="N2987" s="1">
        <v>94</v>
      </c>
    </row>
    <row r="2988" spans="1:14" x14ac:dyDescent="0.25">
      <c r="A2988" t="str">
        <f t="shared" si="94"/>
        <v>U148110U148110</v>
      </c>
      <c r="B2988" t="str">
        <f t="shared" si="95"/>
        <v>U148110GC9060LL-M</v>
      </c>
      <c r="C2988" s="1" t="s">
        <v>55</v>
      </c>
      <c r="D2988" s="1" t="s">
        <v>676</v>
      </c>
      <c r="E2988" s="1" t="s">
        <v>436</v>
      </c>
      <c r="F2988" s="1" t="s">
        <v>451</v>
      </c>
      <c r="G2988" s="1" t="s">
        <v>438</v>
      </c>
      <c r="H2988" s="1">
        <v>2340</v>
      </c>
      <c r="I2988" s="3">
        <v>46279</v>
      </c>
      <c r="J2988" s="3">
        <v>46289</v>
      </c>
      <c r="K2988" s="3" t="s">
        <v>2374</v>
      </c>
      <c r="L2988" s="31">
        <v>46279.672532789351</v>
      </c>
      <c r="M2988" s="20">
        <v>6</v>
      </c>
      <c r="N2988" s="1">
        <v>92</v>
      </c>
    </row>
    <row r="2989" spans="1:14" x14ac:dyDescent="0.25">
      <c r="A2989" t="str">
        <f t="shared" si="94"/>
        <v>U148110U148110</v>
      </c>
      <c r="B2989" t="str">
        <f t="shared" si="95"/>
        <v>U148110GC9060LL-M</v>
      </c>
      <c r="C2989" s="1" t="s">
        <v>55</v>
      </c>
      <c r="D2989" s="1" t="s">
        <v>676</v>
      </c>
      <c r="E2989" s="1" t="s">
        <v>436</v>
      </c>
      <c r="F2989" s="1" t="s">
        <v>451</v>
      </c>
      <c r="G2989" s="1" t="s">
        <v>438</v>
      </c>
      <c r="H2989" s="1">
        <v>2340</v>
      </c>
      <c r="I2989" s="3">
        <v>46279</v>
      </c>
      <c r="J2989" s="3">
        <v>46289</v>
      </c>
      <c r="K2989" s="3" t="s">
        <v>2374</v>
      </c>
      <c r="L2989" s="31">
        <v>46279.674938657408</v>
      </c>
      <c r="M2989" s="20">
        <v>6</v>
      </c>
      <c r="N2989" s="1">
        <v>91</v>
      </c>
    </row>
    <row r="2990" spans="1:14" x14ac:dyDescent="0.25">
      <c r="A2990" t="str">
        <f t="shared" si="94"/>
        <v>U148110U148110</v>
      </c>
      <c r="B2990" t="str">
        <f t="shared" si="95"/>
        <v>U148110GC9060LL-M</v>
      </c>
      <c r="C2990" s="1" t="s">
        <v>55</v>
      </c>
      <c r="D2990" s="1" t="s">
        <v>676</v>
      </c>
      <c r="E2990" s="1" t="s">
        <v>436</v>
      </c>
      <c r="F2990" s="1" t="s">
        <v>451</v>
      </c>
      <c r="G2990" s="1" t="s">
        <v>438</v>
      </c>
      <c r="H2990" s="1">
        <v>2340</v>
      </c>
      <c r="I2990" s="3">
        <v>46279</v>
      </c>
      <c r="J2990" s="3">
        <v>46289</v>
      </c>
      <c r="K2990" s="3" t="s">
        <v>2374</v>
      </c>
      <c r="L2990" s="31">
        <v>46279.67800274305</v>
      </c>
      <c r="M2990" s="20">
        <v>6</v>
      </c>
      <c r="N2990" s="1">
        <v>95</v>
      </c>
    </row>
    <row r="2991" spans="1:14" x14ac:dyDescent="0.25">
      <c r="A2991" t="str">
        <f t="shared" si="94"/>
        <v>U148110U148110</v>
      </c>
      <c r="B2991" t="str">
        <f t="shared" si="95"/>
        <v>U148110GC9060LL-M</v>
      </c>
      <c r="C2991" s="1" t="s">
        <v>55</v>
      </c>
      <c r="D2991" s="1" t="s">
        <v>676</v>
      </c>
      <c r="E2991" s="1" t="s">
        <v>436</v>
      </c>
      <c r="F2991" s="1" t="s">
        <v>451</v>
      </c>
      <c r="G2991" s="1" t="s">
        <v>438</v>
      </c>
      <c r="H2991" s="1">
        <v>2340</v>
      </c>
      <c r="I2991" s="3">
        <v>46279</v>
      </c>
      <c r="J2991" s="3">
        <v>46289</v>
      </c>
      <c r="K2991" s="3" t="s">
        <v>2374</v>
      </c>
      <c r="L2991" s="31">
        <v>46279.681292858797</v>
      </c>
      <c r="M2991" s="20">
        <v>6</v>
      </c>
      <c r="N2991" s="1">
        <v>93</v>
      </c>
    </row>
    <row r="2992" spans="1:14" x14ac:dyDescent="0.25">
      <c r="A2992" t="str">
        <f t="shared" si="94"/>
        <v>U148110U148110</v>
      </c>
      <c r="B2992" t="str">
        <f t="shared" si="95"/>
        <v>U148110GC9060LL-M</v>
      </c>
      <c r="C2992" s="1" t="s">
        <v>55</v>
      </c>
      <c r="D2992" s="1" t="s">
        <v>676</v>
      </c>
      <c r="E2992" s="1" t="s">
        <v>436</v>
      </c>
      <c r="F2992" s="1" t="s">
        <v>451</v>
      </c>
      <c r="G2992" s="1" t="s">
        <v>438</v>
      </c>
      <c r="H2992" s="1">
        <v>2340</v>
      </c>
      <c r="I2992" s="3">
        <v>46279</v>
      </c>
      <c r="J2992" s="3">
        <v>46289</v>
      </c>
      <c r="K2992" s="3" t="s">
        <v>2374</v>
      </c>
      <c r="L2992" s="31">
        <v>46279.6814940162</v>
      </c>
      <c r="M2992" s="20">
        <v>6</v>
      </c>
      <c r="N2992" s="1">
        <v>89</v>
      </c>
    </row>
    <row r="2993" spans="1:14" x14ac:dyDescent="0.25">
      <c r="A2993" t="str">
        <f t="shared" si="94"/>
        <v>U148110U148110</v>
      </c>
      <c r="B2993" t="str">
        <f t="shared" si="95"/>
        <v>U148110GC9060LL-M</v>
      </c>
      <c r="C2993" s="1" t="s">
        <v>55</v>
      </c>
      <c r="D2993" s="1" t="s">
        <v>676</v>
      </c>
      <c r="E2993" s="1" t="s">
        <v>436</v>
      </c>
      <c r="F2993" s="1" t="s">
        <v>451</v>
      </c>
      <c r="G2993" s="1" t="s">
        <v>438</v>
      </c>
      <c r="H2993" s="1">
        <v>2340</v>
      </c>
      <c r="I2993" s="3">
        <v>46279</v>
      </c>
      <c r="J2993" s="3">
        <v>46289</v>
      </c>
      <c r="K2993" s="3" t="s">
        <v>2374</v>
      </c>
      <c r="L2993" s="31">
        <v>46279.684280208334</v>
      </c>
      <c r="M2993" s="20">
        <v>6</v>
      </c>
      <c r="N2993" s="1">
        <v>88</v>
      </c>
    </row>
    <row r="2994" spans="1:14" x14ac:dyDescent="0.25">
      <c r="A2994" t="str">
        <f t="shared" si="94"/>
        <v>U148110U148110</v>
      </c>
      <c r="B2994" t="str">
        <f t="shared" si="95"/>
        <v>U148110GC9060LL-M</v>
      </c>
      <c r="C2994" s="1" t="s">
        <v>55</v>
      </c>
      <c r="D2994" s="1" t="s">
        <v>676</v>
      </c>
      <c r="E2994" s="1" t="s">
        <v>436</v>
      </c>
      <c r="F2994" s="1" t="s">
        <v>451</v>
      </c>
      <c r="G2994" s="1" t="s">
        <v>438</v>
      </c>
      <c r="H2994" s="1">
        <v>2340</v>
      </c>
      <c r="I2994" s="3">
        <v>46279</v>
      </c>
      <c r="J2994" s="3">
        <v>46289</v>
      </c>
      <c r="K2994" s="3" t="s">
        <v>2374</v>
      </c>
      <c r="L2994" s="31">
        <v>46279.688062187495</v>
      </c>
      <c r="M2994" s="20">
        <v>6</v>
      </c>
      <c r="N2994" s="1">
        <v>97</v>
      </c>
    </row>
    <row r="2995" spans="1:14" x14ac:dyDescent="0.25">
      <c r="A2995" t="str">
        <f t="shared" si="94"/>
        <v>U148110U148110</v>
      </c>
      <c r="B2995" t="str">
        <f t="shared" si="95"/>
        <v>U148110GC9060LL-M</v>
      </c>
      <c r="C2995" s="1" t="s">
        <v>55</v>
      </c>
      <c r="D2995" s="1" t="s">
        <v>676</v>
      </c>
      <c r="E2995" s="1" t="s">
        <v>436</v>
      </c>
      <c r="F2995" s="1" t="s">
        <v>451</v>
      </c>
      <c r="G2995" s="1" t="s">
        <v>438</v>
      </c>
      <c r="H2995" s="1">
        <v>2340</v>
      </c>
      <c r="I2995" s="3">
        <v>46279</v>
      </c>
      <c r="J2995" s="3">
        <v>46289</v>
      </c>
      <c r="K2995" s="3" t="s">
        <v>2374</v>
      </c>
      <c r="L2995" s="31">
        <v>46279.690355937499</v>
      </c>
      <c r="M2995" s="20">
        <v>6</v>
      </c>
      <c r="N2995" s="1">
        <v>99</v>
      </c>
    </row>
    <row r="2996" spans="1:14" x14ac:dyDescent="0.25">
      <c r="A2996" t="str">
        <f t="shared" si="94"/>
        <v>U148110U148110</v>
      </c>
      <c r="B2996" t="str">
        <f t="shared" si="95"/>
        <v>U148110GC9060LL-M</v>
      </c>
      <c r="C2996" s="1" t="s">
        <v>55</v>
      </c>
      <c r="D2996" s="1" t="s">
        <v>676</v>
      </c>
      <c r="E2996" s="1" t="s">
        <v>436</v>
      </c>
      <c r="F2996" s="1" t="s">
        <v>451</v>
      </c>
      <c r="G2996" s="1" t="s">
        <v>438</v>
      </c>
      <c r="H2996" s="1">
        <v>2340</v>
      </c>
      <c r="I2996" s="3">
        <v>46279</v>
      </c>
      <c r="J2996" s="3">
        <v>46289</v>
      </c>
      <c r="K2996" s="3" t="s">
        <v>2374</v>
      </c>
      <c r="L2996" s="31">
        <v>46279.693880405088</v>
      </c>
      <c r="M2996" s="20">
        <v>6</v>
      </c>
      <c r="N2996" s="1">
        <v>98</v>
      </c>
    </row>
    <row r="2997" spans="1:14" x14ac:dyDescent="0.25">
      <c r="A2997" t="str">
        <f t="shared" si="94"/>
        <v>U148110U148110</v>
      </c>
      <c r="B2997" t="str">
        <f t="shared" si="95"/>
        <v>U148110GC9060LL-M</v>
      </c>
      <c r="C2997" s="1" t="s">
        <v>55</v>
      </c>
      <c r="D2997" s="1" t="s">
        <v>676</v>
      </c>
      <c r="E2997" s="1" t="s">
        <v>436</v>
      </c>
      <c r="F2997" s="1" t="s">
        <v>451</v>
      </c>
      <c r="G2997" s="1" t="s">
        <v>438</v>
      </c>
      <c r="H2997" s="1">
        <v>2340</v>
      </c>
      <c r="I2997" s="3">
        <v>46279</v>
      </c>
      <c r="J2997" s="3">
        <v>46289</v>
      </c>
      <c r="K2997" s="3" t="s">
        <v>2374</v>
      </c>
      <c r="L2997" s="31">
        <v>46279.694135104168</v>
      </c>
      <c r="M2997" s="20">
        <v>6</v>
      </c>
      <c r="N2997" s="1">
        <v>100</v>
      </c>
    </row>
    <row r="2998" spans="1:14" x14ac:dyDescent="0.25">
      <c r="A2998" t="str">
        <f t="shared" si="94"/>
        <v>U148110U148110</v>
      </c>
      <c r="B2998" t="str">
        <f t="shared" si="95"/>
        <v>U148110GC9060LL-M</v>
      </c>
      <c r="C2998" s="1" t="s">
        <v>55</v>
      </c>
      <c r="D2998" s="1" t="s">
        <v>676</v>
      </c>
      <c r="E2998" s="1" t="s">
        <v>436</v>
      </c>
      <c r="F2998" s="1" t="s">
        <v>451</v>
      </c>
      <c r="G2998" s="1" t="s">
        <v>438</v>
      </c>
      <c r="H2998" s="1">
        <v>2340</v>
      </c>
      <c r="I2998" s="3">
        <v>46279</v>
      </c>
      <c r="J2998" s="3">
        <v>46289</v>
      </c>
      <c r="K2998" s="3" t="s">
        <v>2374</v>
      </c>
      <c r="L2998" s="31">
        <v>46279.694726851849</v>
      </c>
      <c r="M2998" s="20">
        <v>6</v>
      </c>
      <c r="N2998" s="1">
        <v>102</v>
      </c>
    </row>
    <row r="2999" spans="1:14" x14ac:dyDescent="0.25">
      <c r="A2999" t="str">
        <f t="shared" si="94"/>
        <v>U148110U148110</v>
      </c>
      <c r="B2999" t="str">
        <f t="shared" si="95"/>
        <v>U148110GC9060LL-M</v>
      </c>
      <c r="C2999" s="1" t="s">
        <v>55</v>
      </c>
      <c r="D2999" s="1" t="s">
        <v>676</v>
      </c>
      <c r="E2999" s="1" t="s">
        <v>436</v>
      </c>
      <c r="F2999" s="1" t="s">
        <v>451</v>
      </c>
      <c r="G2999" s="1" t="s">
        <v>438</v>
      </c>
      <c r="H2999" s="1">
        <v>2340</v>
      </c>
      <c r="I2999" s="3">
        <v>46279</v>
      </c>
      <c r="J2999" s="3">
        <v>46289</v>
      </c>
      <c r="K2999" s="3" t="s">
        <v>2374</v>
      </c>
      <c r="L2999" s="31">
        <v>46279.702128935183</v>
      </c>
      <c r="M2999" s="20">
        <v>6</v>
      </c>
      <c r="N2999" s="1">
        <v>101</v>
      </c>
    </row>
    <row r="3000" spans="1:14" x14ac:dyDescent="0.25">
      <c r="A3000" t="str">
        <f t="shared" si="94"/>
        <v>U148110U148110</v>
      </c>
      <c r="B3000" t="str">
        <f t="shared" si="95"/>
        <v>U148110GC9060LL-M</v>
      </c>
      <c r="C3000" s="1" t="s">
        <v>55</v>
      </c>
      <c r="D3000" s="1" t="s">
        <v>676</v>
      </c>
      <c r="E3000" s="1" t="s">
        <v>436</v>
      </c>
      <c r="F3000" s="1" t="s">
        <v>451</v>
      </c>
      <c r="G3000" s="1" t="s">
        <v>438</v>
      </c>
      <c r="H3000" s="1">
        <v>2340</v>
      </c>
      <c r="I3000" s="3">
        <v>46279</v>
      </c>
      <c r="J3000" s="3">
        <v>46289</v>
      </c>
      <c r="K3000" s="3" t="s">
        <v>2374</v>
      </c>
      <c r="L3000" s="31">
        <v>46279.710259872685</v>
      </c>
      <c r="M3000" s="20">
        <v>6</v>
      </c>
      <c r="N3000" s="1">
        <v>96</v>
      </c>
    </row>
    <row r="3001" spans="1:14" x14ac:dyDescent="0.25">
      <c r="A3001" t="str">
        <f t="shared" si="94"/>
        <v>U148110U148110</v>
      </c>
      <c r="B3001" t="str">
        <f t="shared" si="95"/>
        <v>U148110GC9060LL-M</v>
      </c>
      <c r="C3001" s="1" t="s">
        <v>55</v>
      </c>
      <c r="D3001" s="1" t="s">
        <v>676</v>
      </c>
      <c r="E3001" s="1" t="s">
        <v>436</v>
      </c>
      <c r="F3001" s="1" t="s">
        <v>451</v>
      </c>
      <c r="G3001" s="1" t="s">
        <v>438</v>
      </c>
      <c r="H3001" s="1">
        <v>2340</v>
      </c>
      <c r="I3001" s="3">
        <v>46279</v>
      </c>
      <c r="J3001" s="3">
        <v>46289</v>
      </c>
      <c r="K3001" s="3" t="s">
        <v>2374</v>
      </c>
      <c r="L3001" s="31">
        <v>46279.757702858791</v>
      </c>
      <c r="M3001" s="20">
        <v>6</v>
      </c>
      <c r="N3001" s="1">
        <v>42</v>
      </c>
    </row>
    <row r="3002" spans="1:14" x14ac:dyDescent="0.25">
      <c r="A3002" t="str">
        <f t="shared" si="94"/>
        <v>U148110U148110</v>
      </c>
      <c r="B3002" t="str">
        <f t="shared" si="95"/>
        <v>U148110GC9060LL-M</v>
      </c>
      <c r="C3002" s="1" t="s">
        <v>55</v>
      </c>
      <c r="D3002" s="1" t="s">
        <v>676</v>
      </c>
      <c r="E3002" s="1" t="s">
        <v>436</v>
      </c>
      <c r="F3002" s="1" t="s">
        <v>451</v>
      </c>
      <c r="G3002" s="1" t="s">
        <v>438</v>
      </c>
      <c r="H3002" s="1">
        <v>2340</v>
      </c>
      <c r="I3002" s="3">
        <v>46279</v>
      </c>
      <c r="J3002" s="3">
        <v>46289</v>
      </c>
      <c r="K3002" s="3" t="s">
        <v>2374</v>
      </c>
      <c r="L3002" s="31">
        <v>46279.757927430554</v>
      </c>
      <c r="M3002" s="20">
        <v>6</v>
      </c>
      <c r="N3002" s="1">
        <v>40</v>
      </c>
    </row>
    <row r="3003" spans="1:14" x14ac:dyDescent="0.25">
      <c r="A3003" t="str">
        <f t="shared" si="94"/>
        <v>U148110U148110</v>
      </c>
      <c r="B3003" t="str">
        <f t="shared" si="95"/>
        <v>U148110GC9060LL-M</v>
      </c>
      <c r="C3003" s="1" t="s">
        <v>55</v>
      </c>
      <c r="D3003" s="1" t="s">
        <v>676</v>
      </c>
      <c r="E3003" s="1" t="s">
        <v>436</v>
      </c>
      <c r="F3003" s="1" t="s">
        <v>451</v>
      </c>
      <c r="G3003" s="1" t="s">
        <v>438</v>
      </c>
      <c r="H3003" s="1">
        <v>2340</v>
      </c>
      <c r="I3003" s="3">
        <v>46279</v>
      </c>
      <c r="J3003" s="3">
        <v>46289</v>
      </c>
      <c r="K3003" s="3" t="s">
        <v>2374</v>
      </c>
      <c r="L3003" s="31">
        <v>46279.758056828701</v>
      </c>
      <c r="M3003" s="20">
        <v>6</v>
      </c>
      <c r="N3003" s="1">
        <v>38</v>
      </c>
    </row>
    <row r="3004" spans="1:14" x14ac:dyDescent="0.25">
      <c r="A3004" t="str">
        <f t="shared" si="94"/>
        <v>U148110U148110</v>
      </c>
      <c r="B3004" t="str">
        <f t="shared" si="95"/>
        <v>U148110GC9060LL-M</v>
      </c>
      <c r="C3004" s="1" t="s">
        <v>55</v>
      </c>
      <c r="D3004" s="1" t="s">
        <v>676</v>
      </c>
      <c r="E3004" s="1" t="s">
        <v>436</v>
      </c>
      <c r="F3004" s="1" t="s">
        <v>451</v>
      </c>
      <c r="G3004" s="1" t="s">
        <v>438</v>
      </c>
      <c r="H3004" s="1">
        <v>2340</v>
      </c>
      <c r="I3004" s="3">
        <v>46279</v>
      </c>
      <c r="J3004" s="3">
        <v>46289</v>
      </c>
      <c r="K3004" s="3" t="s">
        <v>2374</v>
      </c>
      <c r="L3004" s="31">
        <v>46279.758262349533</v>
      </c>
      <c r="M3004" s="20">
        <v>6</v>
      </c>
      <c r="N3004" s="1">
        <v>33</v>
      </c>
    </row>
    <row r="3005" spans="1:14" x14ac:dyDescent="0.25">
      <c r="A3005" t="str">
        <f t="shared" si="94"/>
        <v>U148110U148110</v>
      </c>
      <c r="B3005" t="str">
        <f t="shared" si="95"/>
        <v>U148110GC9060LL-M</v>
      </c>
      <c r="C3005" s="1" t="s">
        <v>55</v>
      </c>
      <c r="D3005" s="1" t="s">
        <v>676</v>
      </c>
      <c r="E3005" s="1" t="s">
        <v>436</v>
      </c>
      <c r="F3005" s="1" t="s">
        <v>451</v>
      </c>
      <c r="G3005" s="1" t="s">
        <v>438</v>
      </c>
      <c r="H3005" s="1">
        <v>2340</v>
      </c>
      <c r="I3005" s="3">
        <v>46279</v>
      </c>
      <c r="J3005" s="3">
        <v>46289</v>
      </c>
      <c r="K3005" s="3" t="s">
        <v>2374</v>
      </c>
      <c r="L3005" s="31">
        <v>46279.758424189815</v>
      </c>
      <c r="M3005" s="20">
        <v>6</v>
      </c>
      <c r="N3005" s="1">
        <v>30</v>
      </c>
    </row>
    <row r="3006" spans="1:14" x14ac:dyDescent="0.25">
      <c r="A3006" t="str">
        <f t="shared" si="94"/>
        <v>U148110U148110</v>
      </c>
      <c r="B3006" t="str">
        <f t="shared" si="95"/>
        <v>U148110GC9060LL-M</v>
      </c>
      <c r="C3006" s="1" t="s">
        <v>55</v>
      </c>
      <c r="D3006" s="1" t="s">
        <v>676</v>
      </c>
      <c r="E3006" s="1" t="s">
        <v>436</v>
      </c>
      <c r="F3006" s="1" t="s">
        <v>451</v>
      </c>
      <c r="G3006" s="1" t="s">
        <v>438</v>
      </c>
      <c r="H3006" s="1">
        <v>2340</v>
      </c>
      <c r="I3006" s="3">
        <v>46279</v>
      </c>
      <c r="J3006" s="3">
        <v>46289</v>
      </c>
      <c r="K3006" s="3" t="s">
        <v>2374</v>
      </c>
      <c r="L3006" s="31">
        <v>46279.758620682871</v>
      </c>
      <c r="M3006" s="20">
        <v>6</v>
      </c>
      <c r="N3006" s="1">
        <v>39</v>
      </c>
    </row>
    <row r="3007" spans="1:14" x14ac:dyDescent="0.25">
      <c r="A3007" t="str">
        <f t="shared" si="94"/>
        <v>U148110U148110</v>
      </c>
      <c r="B3007" t="str">
        <f t="shared" si="95"/>
        <v>U148110GC9060LL-M</v>
      </c>
      <c r="C3007" s="1" t="s">
        <v>55</v>
      </c>
      <c r="D3007" s="1" t="s">
        <v>676</v>
      </c>
      <c r="E3007" s="1" t="s">
        <v>436</v>
      </c>
      <c r="F3007" s="1" t="s">
        <v>451</v>
      </c>
      <c r="G3007" s="1" t="s">
        <v>438</v>
      </c>
      <c r="H3007" s="1">
        <v>2340</v>
      </c>
      <c r="I3007" s="3">
        <v>46279</v>
      </c>
      <c r="J3007" s="3">
        <v>46289</v>
      </c>
      <c r="K3007" s="3" t="s">
        <v>2374</v>
      </c>
      <c r="L3007" s="31">
        <v>46279.758772222223</v>
      </c>
      <c r="M3007" s="20">
        <v>6</v>
      </c>
      <c r="N3007" s="1">
        <v>34</v>
      </c>
    </row>
    <row r="3008" spans="1:14" x14ac:dyDescent="0.25">
      <c r="A3008" t="str">
        <f t="shared" si="94"/>
        <v>U148110U148110</v>
      </c>
      <c r="B3008" t="str">
        <f t="shared" si="95"/>
        <v>U148110GC9060LL-M</v>
      </c>
      <c r="C3008" s="1" t="s">
        <v>55</v>
      </c>
      <c r="D3008" s="1" t="s">
        <v>676</v>
      </c>
      <c r="E3008" s="1" t="s">
        <v>436</v>
      </c>
      <c r="F3008" s="1" t="s">
        <v>451</v>
      </c>
      <c r="G3008" s="1" t="s">
        <v>438</v>
      </c>
      <c r="H3008" s="1">
        <v>2340</v>
      </c>
      <c r="I3008" s="3">
        <v>46279</v>
      </c>
      <c r="J3008" s="3">
        <v>46289</v>
      </c>
      <c r="K3008" s="3" t="s">
        <v>2374</v>
      </c>
      <c r="L3008" s="31">
        <v>46279.758982326384</v>
      </c>
      <c r="M3008" s="20">
        <v>6</v>
      </c>
      <c r="N3008" s="1">
        <v>29</v>
      </c>
    </row>
    <row r="3009" spans="1:14" x14ac:dyDescent="0.25">
      <c r="A3009" t="str">
        <f t="shared" si="94"/>
        <v>U148110U148110</v>
      </c>
      <c r="B3009" t="str">
        <f t="shared" si="95"/>
        <v>U148110GC9060LL-M</v>
      </c>
      <c r="C3009" s="1" t="s">
        <v>55</v>
      </c>
      <c r="D3009" s="1" t="s">
        <v>676</v>
      </c>
      <c r="E3009" s="1" t="s">
        <v>436</v>
      </c>
      <c r="F3009" s="1" t="s">
        <v>451</v>
      </c>
      <c r="G3009" s="1" t="s">
        <v>438</v>
      </c>
      <c r="H3009" s="1">
        <v>2340</v>
      </c>
      <c r="I3009" s="3">
        <v>46279</v>
      </c>
      <c r="J3009" s="3">
        <v>46289</v>
      </c>
      <c r="K3009" s="3" t="s">
        <v>2374</v>
      </c>
      <c r="L3009" s="31">
        <v>46279.759117326386</v>
      </c>
      <c r="M3009" s="20">
        <v>6</v>
      </c>
      <c r="N3009" s="1">
        <v>31</v>
      </c>
    </row>
    <row r="3010" spans="1:14" x14ac:dyDescent="0.25">
      <c r="A3010" t="str">
        <f t="shared" ref="A3010:A3073" si="96">+D3010&amp;D3010</f>
        <v>U148110U148110</v>
      </c>
      <c r="B3010" t="str">
        <f t="shared" ref="B3010:B3073" si="97">+D3010&amp;C3010</f>
        <v>U148110GC9060LL-M</v>
      </c>
      <c r="C3010" s="1" t="s">
        <v>55</v>
      </c>
      <c r="D3010" s="1" t="s">
        <v>676</v>
      </c>
      <c r="E3010" s="1" t="s">
        <v>436</v>
      </c>
      <c r="F3010" s="1" t="s">
        <v>451</v>
      </c>
      <c r="G3010" s="1" t="s">
        <v>438</v>
      </c>
      <c r="H3010" s="1">
        <v>2340</v>
      </c>
      <c r="I3010" s="3">
        <v>46279</v>
      </c>
      <c r="J3010" s="3">
        <v>46289</v>
      </c>
      <c r="K3010" s="3" t="s">
        <v>2374</v>
      </c>
      <c r="L3010" s="31">
        <v>46279.759278935184</v>
      </c>
      <c r="M3010" s="20">
        <v>6</v>
      </c>
      <c r="N3010" s="1">
        <v>32</v>
      </c>
    </row>
    <row r="3011" spans="1:14" x14ac:dyDescent="0.25">
      <c r="A3011" t="str">
        <f t="shared" si="96"/>
        <v>U148110U148110</v>
      </c>
      <c r="B3011" t="str">
        <f t="shared" si="97"/>
        <v>U148110GC9060LL-M</v>
      </c>
      <c r="C3011" s="1" t="s">
        <v>55</v>
      </c>
      <c r="D3011" s="1" t="s">
        <v>676</v>
      </c>
      <c r="E3011" s="1" t="s">
        <v>436</v>
      </c>
      <c r="F3011" s="1" t="s">
        <v>451</v>
      </c>
      <c r="G3011" s="1" t="s">
        <v>438</v>
      </c>
      <c r="H3011" s="1">
        <v>2340</v>
      </c>
      <c r="I3011" s="3">
        <v>46279</v>
      </c>
      <c r="J3011" s="3">
        <v>46289</v>
      </c>
      <c r="K3011" s="3" t="s">
        <v>2374</v>
      </c>
      <c r="L3011" s="31">
        <v>46279.759459374996</v>
      </c>
      <c r="M3011" s="20">
        <v>6</v>
      </c>
      <c r="N3011" s="1">
        <v>37</v>
      </c>
    </row>
    <row r="3012" spans="1:14" x14ac:dyDescent="0.25">
      <c r="A3012" t="str">
        <f t="shared" si="96"/>
        <v>U148110U148110</v>
      </c>
      <c r="B3012" t="str">
        <f t="shared" si="97"/>
        <v>U148110GC9060LL-M</v>
      </c>
      <c r="C3012" s="1" t="s">
        <v>55</v>
      </c>
      <c r="D3012" s="1" t="s">
        <v>676</v>
      </c>
      <c r="E3012" s="1" t="s">
        <v>436</v>
      </c>
      <c r="F3012" s="1" t="s">
        <v>451</v>
      </c>
      <c r="G3012" s="1" t="s">
        <v>438</v>
      </c>
      <c r="H3012" s="1">
        <v>2340</v>
      </c>
      <c r="I3012" s="3">
        <v>46279</v>
      </c>
      <c r="J3012" s="3">
        <v>46289</v>
      </c>
      <c r="K3012" s="3" t="s">
        <v>2374</v>
      </c>
      <c r="L3012" s="31">
        <v>46279.759645254628</v>
      </c>
      <c r="M3012" s="20">
        <v>6</v>
      </c>
      <c r="N3012" s="1">
        <v>41</v>
      </c>
    </row>
    <row r="3013" spans="1:14" x14ac:dyDescent="0.25">
      <c r="A3013" t="str">
        <f t="shared" si="96"/>
        <v>U148110U148110</v>
      </c>
      <c r="B3013" t="str">
        <f t="shared" si="97"/>
        <v>U148110GC9060LL-M</v>
      </c>
      <c r="C3013" s="1" t="s">
        <v>55</v>
      </c>
      <c r="D3013" s="1" t="s">
        <v>676</v>
      </c>
      <c r="E3013" s="1" t="s">
        <v>436</v>
      </c>
      <c r="F3013" s="1" t="s">
        <v>451</v>
      </c>
      <c r="G3013" s="1" t="s">
        <v>438</v>
      </c>
      <c r="H3013" s="1">
        <v>2340</v>
      </c>
      <c r="I3013" s="3">
        <v>46279</v>
      </c>
      <c r="J3013" s="3">
        <v>46289</v>
      </c>
      <c r="K3013" s="3" t="s">
        <v>2374</v>
      </c>
      <c r="L3013" s="31">
        <v>46279.759813310186</v>
      </c>
      <c r="M3013" s="20">
        <v>6</v>
      </c>
      <c r="N3013" s="1">
        <v>36</v>
      </c>
    </row>
    <row r="3014" spans="1:14" x14ac:dyDescent="0.25">
      <c r="A3014" t="str">
        <f t="shared" si="96"/>
        <v>U148110U148110</v>
      </c>
      <c r="B3014" t="str">
        <f t="shared" si="97"/>
        <v>U148110GC9060LL-M</v>
      </c>
      <c r="C3014" s="1" t="s">
        <v>55</v>
      </c>
      <c r="D3014" s="1" t="s">
        <v>676</v>
      </c>
      <c r="E3014" s="1" t="s">
        <v>436</v>
      </c>
      <c r="F3014" s="1" t="s">
        <v>451</v>
      </c>
      <c r="G3014" s="1" t="s">
        <v>438</v>
      </c>
      <c r="H3014" s="1">
        <v>2340</v>
      </c>
      <c r="I3014" s="3">
        <v>46279</v>
      </c>
      <c r="J3014" s="3">
        <v>46289</v>
      </c>
      <c r="K3014" s="3" t="s">
        <v>2374</v>
      </c>
      <c r="L3014" s="31">
        <v>46279.759994907407</v>
      </c>
      <c r="M3014" s="20">
        <v>6</v>
      </c>
      <c r="N3014" s="1">
        <v>35</v>
      </c>
    </row>
    <row r="3015" spans="1:14" x14ac:dyDescent="0.25">
      <c r="A3015" t="str">
        <f t="shared" si="96"/>
        <v>U148125U148125</v>
      </c>
      <c r="B3015" t="str">
        <f t="shared" si="97"/>
        <v>U148125GC9060LL-M</v>
      </c>
      <c r="C3015" s="27" t="s">
        <v>55</v>
      </c>
      <c r="D3015" s="27" t="s">
        <v>674</v>
      </c>
      <c r="E3015" s="1" t="s">
        <v>436</v>
      </c>
      <c r="F3015" s="1" t="s">
        <v>447</v>
      </c>
      <c r="G3015" s="1" t="s">
        <v>438</v>
      </c>
      <c r="H3015" s="1">
        <v>942</v>
      </c>
      <c r="I3015" s="3">
        <v>46279</v>
      </c>
      <c r="J3015" s="3">
        <v>46288</v>
      </c>
      <c r="K3015" s="3" t="s">
        <v>2374</v>
      </c>
      <c r="L3015" s="31">
        <v>46279.389104131944</v>
      </c>
      <c r="M3015" s="20">
        <v>12</v>
      </c>
      <c r="N3015" s="1">
        <v>58</v>
      </c>
    </row>
    <row r="3016" spans="1:14" x14ac:dyDescent="0.25">
      <c r="A3016" t="str">
        <f t="shared" si="96"/>
        <v>U148125U148125</v>
      </c>
      <c r="B3016" t="str">
        <f t="shared" si="97"/>
        <v>U148125GC9060LL-M</v>
      </c>
      <c r="C3016" s="27" t="s">
        <v>55</v>
      </c>
      <c r="D3016" s="27" t="s">
        <v>674</v>
      </c>
      <c r="E3016" s="1" t="s">
        <v>436</v>
      </c>
      <c r="F3016" s="1" t="s">
        <v>447</v>
      </c>
      <c r="G3016" s="1" t="s">
        <v>438</v>
      </c>
      <c r="H3016" s="1">
        <v>942</v>
      </c>
      <c r="I3016" s="3">
        <v>46279</v>
      </c>
      <c r="J3016" s="3">
        <v>46288</v>
      </c>
      <c r="K3016" s="3" t="s">
        <v>2374</v>
      </c>
      <c r="L3016" s="31">
        <v>46279.395792905088</v>
      </c>
      <c r="M3016" s="20">
        <v>12</v>
      </c>
      <c r="N3016" s="1">
        <v>46</v>
      </c>
    </row>
    <row r="3017" spans="1:14" x14ac:dyDescent="0.25">
      <c r="A3017" t="str">
        <f t="shared" si="96"/>
        <v>U148125U148125</v>
      </c>
      <c r="B3017" t="str">
        <f t="shared" si="97"/>
        <v>U148125GC9060LL-M</v>
      </c>
      <c r="C3017" s="27" t="s">
        <v>55</v>
      </c>
      <c r="D3017" s="27" t="s">
        <v>674</v>
      </c>
      <c r="E3017" s="1" t="s">
        <v>436</v>
      </c>
      <c r="F3017" s="1" t="s">
        <v>447</v>
      </c>
      <c r="G3017" s="1" t="s">
        <v>438</v>
      </c>
      <c r="H3017" s="1">
        <v>942</v>
      </c>
      <c r="I3017" s="3">
        <v>46279</v>
      </c>
      <c r="J3017" s="3">
        <v>46288</v>
      </c>
      <c r="K3017" s="3" t="s">
        <v>2374</v>
      </c>
      <c r="L3017" s="31">
        <v>46279.396978159719</v>
      </c>
      <c r="M3017" s="20">
        <v>12</v>
      </c>
      <c r="N3017" s="1">
        <v>23</v>
      </c>
    </row>
    <row r="3018" spans="1:14" x14ac:dyDescent="0.25">
      <c r="A3018" t="str">
        <f t="shared" si="96"/>
        <v>U148125U148125</v>
      </c>
      <c r="B3018" t="str">
        <f t="shared" si="97"/>
        <v>U148125GC9060LL-M</v>
      </c>
      <c r="C3018" s="27" t="s">
        <v>55</v>
      </c>
      <c r="D3018" s="27" t="s">
        <v>674</v>
      </c>
      <c r="E3018" s="1" t="s">
        <v>436</v>
      </c>
      <c r="F3018" s="1" t="s">
        <v>447</v>
      </c>
      <c r="G3018" s="1" t="s">
        <v>438</v>
      </c>
      <c r="H3018" s="1">
        <v>942</v>
      </c>
      <c r="I3018" s="3">
        <v>46279</v>
      </c>
      <c r="J3018" s="3">
        <v>46288</v>
      </c>
      <c r="K3018" s="3" t="s">
        <v>2374</v>
      </c>
      <c r="L3018" s="31">
        <v>46279.403434872685</v>
      </c>
      <c r="M3018" s="20">
        <v>12</v>
      </c>
      <c r="N3018" s="1">
        <v>24</v>
      </c>
    </row>
    <row r="3019" spans="1:14" x14ac:dyDescent="0.25">
      <c r="A3019" t="str">
        <f t="shared" si="96"/>
        <v>U148125U148125</v>
      </c>
      <c r="B3019" t="str">
        <f t="shared" si="97"/>
        <v>U148125GC9060LL-M</v>
      </c>
      <c r="C3019" s="27" t="s">
        <v>55</v>
      </c>
      <c r="D3019" s="27" t="s">
        <v>674</v>
      </c>
      <c r="E3019" s="1" t="s">
        <v>436</v>
      </c>
      <c r="F3019" s="1" t="s">
        <v>447</v>
      </c>
      <c r="G3019" s="1" t="s">
        <v>438</v>
      </c>
      <c r="H3019" s="1">
        <v>942</v>
      </c>
      <c r="I3019" s="3">
        <v>46279</v>
      </c>
      <c r="J3019" s="3">
        <v>46288</v>
      </c>
      <c r="K3019" s="3" t="s">
        <v>2374</v>
      </c>
      <c r="L3019" s="31">
        <v>46279.406344675925</v>
      </c>
      <c r="M3019" s="20">
        <v>12</v>
      </c>
      <c r="N3019" s="1">
        <v>67</v>
      </c>
    </row>
    <row r="3020" spans="1:14" x14ac:dyDescent="0.25">
      <c r="A3020" t="str">
        <f t="shared" si="96"/>
        <v>U148125U148125</v>
      </c>
      <c r="B3020" t="str">
        <f t="shared" si="97"/>
        <v>U148125GC9060LL-M</v>
      </c>
      <c r="C3020" s="27" t="s">
        <v>55</v>
      </c>
      <c r="D3020" s="27" t="s">
        <v>674</v>
      </c>
      <c r="E3020" s="1" t="s">
        <v>436</v>
      </c>
      <c r="F3020" s="1" t="s">
        <v>447</v>
      </c>
      <c r="G3020" s="1" t="s">
        <v>438</v>
      </c>
      <c r="H3020" s="1">
        <v>942</v>
      </c>
      <c r="I3020" s="3">
        <v>46279</v>
      </c>
      <c r="J3020" s="3">
        <v>46288</v>
      </c>
      <c r="K3020" s="3" t="s">
        <v>2374</v>
      </c>
      <c r="L3020" s="31">
        <v>46279.409342905092</v>
      </c>
      <c r="M3020" s="20">
        <v>12</v>
      </c>
      <c r="N3020" s="1">
        <v>25</v>
      </c>
    </row>
    <row r="3021" spans="1:14" x14ac:dyDescent="0.25">
      <c r="A3021" t="str">
        <f t="shared" si="96"/>
        <v>U148125U148125</v>
      </c>
      <c r="B3021" t="str">
        <f t="shared" si="97"/>
        <v>U148125GC9060LL-M</v>
      </c>
      <c r="C3021" s="1" t="s">
        <v>55</v>
      </c>
      <c r="D3021" s="1" t="s">
        <v>674</v>
      </c>
      <c r="E3021" s="1" t="s">
        <v>436</v>
      </c>
      <c r="F3021" s="1" t="s">
        <v>447</v>
      </c>
      <c r="G3021" s="1" t="s">
        <v>438</v>
      </c>
      <c r="H3021" s="1">
        <v>942</v>
      </c>
      <c r="I3021" s="3">
        <v>46279</v>
      </c>
      <c r="J3021" s="3">
        <v>46288</v>
      </c>
      <c r="K3021" s="3" t="s">
        <v>2374</v>
      </c>
      <c r="L3021" s="31">
        <v>46279.42996739583</v>
      </c>
      <c r="M3021" s="20">
        <v>12</v>
      </c>
      <c r="N3021" s="1">
        <v>47</v>
      </c>
    </row>
    <row r="3022" spans="1:14" x14ac:dyDescent="0.25">
      <c r="A3022" t="str">
        <f t="shared" si="96"/>
        <v>U148125U148125</v>
      </c>
      <c r="B3022" t="str">
        <f t="shared" si="97"/>
        <v>U148125GC9060LL-M</v>
      </c>
      <c r="C3022" s="1" t="s">
        <v>55</v>
      </c>
      <c r="D3022" s="1" t="s">
        <v>674</v>
      </c>
      <c r="E3022" s="1" t="s">
        <v>436</v>
      </c>
      <c r="F3022" s="1" t="s">
        <v>447</v>
      </c>
      <c r="G3022" s="1" t="s">
        <v>438</v>
      </c>
      <c r="H3022" s="1">
        <v>942</v>
      </c>
      <c r="I3022" s="3">
        <v>46279</v>
      </c>
      <c r="J3022" s="3">
        <v>46288</v>
      </c>
      <c r="K3022" s="3" t="s">
        <v>2374</v>
      </c>
      <c r="L3022" s="31">
        <v>46279.431035219903</v>
      </c>
      <c r="M3022" s="20">
        <v>12</v>
      </c>
      <c r="N3022" s="1">
        <v>68</v>
      </c>
    </row>
    <row r="3023" spans="1:14" x14ac:dyDescent="0.25">
      <c r="A3023" t="str">
        <f t="shared" si="96"/>
        <v>U148125U148125</v>
      </c>
      <c r="B3023" t="str">
        <f t="shared" si="97"/>
        <v>U148125GC9060LL-M</v>
      </c>
      <c r="C3023" s="1" t="s">
        <v>55</v>
      </c>
      <c r="D3023" s="1" t="s">
        <v>674</v>
      </c>
      <c r="E3023" s="1" t="s">
        <v>436</v>
      </c>
      <c r="F3023" s="1" t="s">
        <v>447</v>
      </c>
      <c r="G3023" s="1" t="s">
        <v>438</v>
      </c>
      <c r="H3023" s="1">
        <v>942</v>
      </c>
      <c r="I3023" s="3">
        <v>46279</v>
      </c>
      <c r="J3023" s="3">
        <v>46288</v>
      </c>
      <c r="K3023" s="3" t="s">
        <v>2374</v>
      </c>
      <c r="L3023" s="31">
        <v>46279.439929282409</v>
      </c>
      <c r="M3023" s="20">
        <v>12</v>
      </c>
      <c r="N3023" s="1">
        <v>59</v>
      </c>
    </row>
    <row r="3024" spans="1:14" x14ac:dyDescent="0.25">
      <c r="A3024" t="str">
        <f t="shared" si="96"/>
        <v>U148125U148125</v>
      </c>
      <c r="B3024" t="str">
        <f t="shared" si="97"/>
        <v>U148125GC9060LL-M</v>
      </c>
      <c r="C3024" s="1" t="s">
        <v>55</v>
      </c>
      <c r="D3024" s="1" t="s">
        <v>674</v>
      </c>
      <c r="E3024" s="1" t="s">
        <v>436</v>
      </c>
      <c r="F3024" s="1" t="s">
        <v>447</v>
      </c>
      <c r="G3024" s="1" t="s">
        <v>438</v>
      </c>
      <c r="H3024" s="1">
        <v>942</v>
      </c>
      <c r="I3024" s="3">
        <v>46279</v>
      </c>
      <c r="J3024" s="3">
        <v>46288</v>
      </c>
      <c r="K3024" s="3" t="s">
        <v>2374</v>
      </c>
      <c r="L3024" s="31">
        <v>46279.440743981482</v>
      </c>
      <c r="M3024" s="20">
        <v>12</v>
      </c>
      <c r="N3024" s="1">
        <v>26</v>
      </c>
    </row>
    <row r="3025" spans="1:14" x14ac:dyDescent="0.25">
      <c r="A3025" t="str">
        <f t="shared" si="96"/>
        <v>U148125U148125</v>
      </c>
      <c r="B3025" t="str">
        <f t="shared" si="97"/>
        <v>U148125GC9060LL-M</v>
      </c>
      <c r="C3025" s="1" t="s">
        <v>55</v>
      </c>
      <c r="D3025" s="1" t="s">
        <v>674</v>
      </c>
      <c r="E3025" s="1" t="s">
        <v>436</v>
      </c>
      <c r="F3025" s="1" t="s">
        <v>447</v>
      </c>
      <c r="G3025" s="1" t="s">
        <v>438</v>
      </c>
      <c r="H3025" s="1">
        <v>942</v>
      </c>
      <c r="I3025" s="3">
        <v>46279</v>
      </c>
      <c r="J3025" s="3">
        <v>46288</v>
      </c>
      <c r="K3025" s="3" t="s">
        <v>2374</v>
      </c>
      <c r="L3025" s="31">
        <v>46279.446644444441</v>
      </c>
      <c r="M3025" s="20">
        <v>12</v>
      </c>
      <c r="N3025" s="1">
        <v>27</v>
      </c>
    </row>
    <row r="3026" spans="1:14" x14ac:dyDescent="0.25">
      <c r="A3026" t="str">
        <f t="shared" si="96"/>
        <v>U148125U148125</v>
      </c>
      <c r="B3026" t="str">
        <f t="shared" si="97"/>
        <v>U148125GC9060LL-M</v>
      </c>
      <c r="C3026" s="1" t="s">
        <v>55</v>
      </c>
      <c r="D3026" s="1" t="s">
        <v>674</v>
      </c>
      <c r="E3026" s="1" t="s">
        <v>436</v>
      </c>
      <c r="F3026" s="1" t="s">
        <v>447</v>
      </c>
      <c r="G3026" s="1" t="s">
        <v>438</v>
      </c>
      <c r="H3026" s="1">
        <v>942</v>
      </c>
      <c r="I3026" s="3">
        <v>46279</v>
      </c>
      <c r="J3026" s="3">
        <v>46288</v>
      </c>
      <c r="K3026" s="3" t="s">
        <v>2374</v>
      </c>
      <c r="L3026" s="31">
        <v>46279.702532488423</v>
      </c>
      <c r="M3026" s="20">
        <v>12</v>
      </c>
      <c r="N3026" s="1">
        <v>60</v>
      </c>
    </row>
    <row r="3027" spans="1:14" x14ac:dyDescent="0.25">
      <c r="A3027" t="str">
        <f t="shared" si="96"/>
        <v>U148125U148125</v>
      </c>
      <c r="B3027" t="str">
        <f t="shared" si="97"/>
        <v>U148125GC9060LL-M</v>
      </c>
      <c r="C3027" s="1" t="s">
        <v>55</v>
      </c>
      <c r="D3027" s="1" t="s">
        <v>674</v>
      </c>
      <c r="E3027" s="1" t="s">
        <v>436</v>
      </c>
      <c r="F3027" s="1" t="s">
        <v>447</v>
      </c>
      <c r="G3027" s="1" t="s">
        <v>438</v>
      </c>
      <c r="H3027" s="1">
        <v>942</v>
      </c>
      <c r="I3027" s="3">
        <v>46279</v>
      </c>
      <c r="J3027" s="3">
        <v>46288</v>
      </c>
      <c r="K3027" s="3" t="s">
        <v>2374</v>
      </c>
      <c r="L3027" s="31">
        <v>46279.702825196757</v>
      </c>
      <c r="M3027" s="20">
        <v>12</v>
      </c>
      <c r="N3027" s="1">
        <v>69</v>
      </c>
    </row>
    <row r="3028" spans="1:14" x14ac:dyDescent="0.25">
      <c r="A3028" t="str">
        <f t="shared" si="96"/>
        <v>U149840U149840</v>
      </c>
      <c r="B3028" t="str">
        <f t="shared" si="97"/>
        <v>U149840GC574EVE-W</v>
      </c>
      <c r="C3028" s="1" t="s">
        <v>678</v>
      </c>
      <c r="D3028" s="1" t="s">
        <v>665</v>
      </c>
      <c r="E3028" s="1" t="s">
        <v>436</v>
      </c>
      <c r="F3028" s="1" t="s">
        <v>443</v>
      </c>
      <c r="G3028" s="1" t="s">
        <v>444</v>
      </c>
      <c r="H3028" s="1">
        <v>198</v>
      </c>
      <c r="I3028" s="3">
        <v>46279</v>
      </c>
      <c r="J3028" s="3">
        <v>46288</v>
      </c>
      <c r="K3028" s="3" t="s">
        <v>2371</v>
      </c>
      <c r="L3028" s="31">
        <v>46279.482359687499</v>
      </c>
      <c r="M3028" s="20">
        <v>12</v>
      </c>
      <c r="N3028" s="1">
        <v>47</v>
      </c>
    </row>
    <row r="3029" spans="1:14" x14ac:dyDescent="0.25">
      <c r="A3029" t="str">
        <f t="shared" si="96"/>
        <v>U149840U149840</v>
      </c>
      <c r="B3029" t="str">
        <f t="shared" si="97"/>
        <v>U149840GC574EVE-W</v>
      </c>
      <c r="C3029" s="1" t="s">
        <v>678</v>
      </c>
      <c r="D3029" s="1" t="s">
        <v>665</v>
      </c>
      <c r="E3029" s="1" t="s">
        <v>436</v>
      </c>
      <c r="F3029" s="1" t="s">
        <v>443</v>
      </c>
      <c r="G3029" s="1" t="s">
        <v>444</v>
      </c>
      <c r="H3029" s="1">
        <v>198</v>
      </c>
      <c r="I3029" s="3">
        <v>46279</v>
      </c>
      <c r="J3029" s="3">
        <v>46288</v>
      </c>
      <c r="K3029" s="3" t="s">
        <v>2371</v>
      </c>
      <c r="L3029" s="31">
        <v>46279.652137928242</v>
      </c>
      <c r="M3029" s="20">
        <v>12</v>
      </c>
      <c r="N3029" s="1">
        <v>40</v>
      </c>
    </row>
    <row r="3030" spans="1:14" x14ac:dyDescent="0.25">
      <c r="A3030" t="str">
        <f t="shared" si="96"/>
        <v>U149840U149840</v>
      </c>
      <c r="B3030" t="str">
        <f t="shared" si="97"/>
        <v>U149840GC574EVE-W</v>
      </c>
      <c r="C3030" s="1" t="s">
        <v>678</v>
      </c>
      <c r="D3030" s="1" t="s">
        <v>665</v>
      </c>
      <c r="E3030" s="1" t="s">
        <v>436</v>
      </c>
      <c r="F3030" s="1" t="s">
        <v>443</v>
      </c>
      <c r="G3030" s="1" t="s">
        <v>444</v>
      </c>
      <c r="H3030" s="1">
        <v>198</v>
      </c>
      <c r="I3030" s="3">
        <v>46279</v>
      </c>
      <c r="J3030" s="3">
        <v>46288</v>
      </c>
      <c r="K3030" s="3" t="s">
        <v>2371</v>
      </c>
      <c r="L3030" s="31">
        <v>46279.658465127315</v>
      </c>
      <c r="M3030" s="20">
        <v>12</v>
      </c>
      <c r="N3030" s="1">
        <v>42</v>
      </c>
    </row>
    <row r="3031" spans="1:14" x14ac:dyDescent="0.25">
      <c r="A3031" t="str">
        <f t="shared" si="96"/>
        <v>U149840U149840</v>
      </c>
      <c r="B3031" t="str">
        <f t="shared" si="97"/>
        <v>U149840GC574EVE-W</v>
      </c>
      <c r="C3031" s="1" t="s">
        <v>678</v>
      </c>
      <c r="D3031" s="1" t="s">
        <v>665</v>
      </c>
      <c r="E3031" s="1" t="s">
        <v>436</v>
      </c>
      <c r="F3031" s="1" t="s">
        <v>443</v>
      </c>
      <c r="G3031" s="1" t="s">
        <v>444</v>
      </c>
      <c r="H3031" s="1">
        <v>198</v>
      </c>
      <c r="I3031" s="3">
        <v>46279</v>
      </c>
      <c r="J3031" s="3">
        <v>46288</v>
      </c>
      <c r="K3031" s="3" t="s">
        <v>2371</v>
      </c>
      <c r="L3031" s="31">
        <v>46279.658660613422</v>
      </c>
      <c r="M3031" s="20">
        <v>12</v>
      </c>
      <c r="N3031" s="1">
        <v>44</v>
      </c>
    </row>
    <row r="3032" spans="1:14" x14ac:dyDescent="0.25">
      <c r="A3032" t="str">
        <f t="shared" si="96"/>
        <v>U149840U149840</v>
      </c>
      <c r="B3032" t="str">
        <f t="shared" si="97"/>
        <v>U149840GC574EVE-W</v>
      </c>
      <c r="C3032" s="1" t="s">
        <v>678</v>
      </c>
      <c r="D3032" s="1" t="s">
        <v>665</v>
      </c>
      <c r="E3032" s="1" t="s">
        <v>436</v>
      </c>
      <c r="F3032" s="1" t="s">
        <v>443</v>
      </c>
      <c r="G3032" s="1" t="s">
        <v>444</v>
      </c>
      <c r="H3032" s="1">
        <v>198</v>
      </c>
      <c r="I3032" s="3">
        <v>46279</v>
      </c>
      <c r="J3032" s="3">
        <v>46288</v>
      </c>
      <c r="K3032" s="3" t="s">
        <v>2371</v>
      </c>
      <c r="L3032" s="31">
        <v>46279.663490011575</v>
      </c>
      <c r="M3032" s="20">
        <v>6</v>
      </c>
      <c r="N3032" s="1">
        <v>49</v>
      </c>
    </row>
    <row r="3033" spans="1:14" x14ac:dyDescent="0.25">
      <c r="A3033" t="str">
        <f t="shared" si="96"/>
        <v>U149840U149840</v>
      </c>
      <c r="B3033" t="str">
        <f t="shared" si="97"/>
        <v>U149840GC574EVE-W</v>
      </c>
      <c r="C3033" s="1" t="s">
        <v>678</v>
      </c>
      <c r="D3033" s="1" t="s">
        <v>665</v>
      </c>
      <c r="E3033" s="1" t="s">
        <v>436</v>
      </c>
      <c r="F3033" s="1" t="s">
        <v>443</v>
      </c>
      <c r="G3033" s="1" t="s">
        <v>444</v>
      </c>
      <c r="H3033" s="1">
        <v>198</v>
      </c>
      <c r="I3033" s="3">
        <v>46279</v>
      </c>
      <c r="J3033" s="3">
        <v>46288</v>
      </c>
      <c r="K3033" s="3" t="s">
        <v>2371</v>
      </c>
      <c r="L3033" s="31">
        <v>46279.663919791667</v>
      </c>
      <c r="M3033" s="20">
        <v>12</v>
      </c>
      <c r="N3033" s="1">
        <v>36</v>
      </c>
    </row>
    <row r="3034" spans="1:14" x14ac:dyDescent="0.25">
      <c r="A3034" t="str">
        <f t="shared" si="96"/>
        <v>U149840U149840</v>
      </c>
      <c r="B3034" t="str">
        <f t="shared" si="97"/>
        <v>U149840GC574EVE-W</v>
      </c>
      <c r="C3034" s="1" t="s">
        <v>678</v>
      </c>
      <c r="D3034" s="1" t="s">
        <v>665</v>
      </c>
      <c r="E3034" s="1" t="s">
        <v>436</v>
      </c>
      <c r="F3034" s="1" t="s">
        <v>443</v>
      </c>
      <c r="G3034" s="1" t="s">
        <v>444</v>
      </c>
      <c r="H3034" s="1">
        <v>198</v>
      </c>
      <c r="I3034" s="3">
        <v>46279</v>
      </c>
      <c r="J3034" s="3">
        <v>46288</v>
      </c>
      <c r="K3034" s="3" t="s">
        <v>2371</v>
      </c>
      <c r="L3034" s="31">
        <v>46279.664179861109</v>
      </c>
      <c r="M3034" s="20">
        <v>12</v>
      </c>
      <c r="N3034" s="1">
        <v>41</v>
      </c>
    </row>
    <row r="3035" spans="1:14" x14ac:dyDescent="0.25">
      <c r="A3035" t="str">
        <f t="shared" si="96"/>
        <v>U149840U149840</v>
      </c>
      <c r="B3035" t="str">
        <f t="shared" si="97"/>
        <v>U149840GC574EVE-W</v>
      </c>
      <c r="C3035" s="1" t="s">
        <v>678</v>
      </c>
      <c r="D3035" s="1" t="s">
        <v>665</v>
      </c>
      <c r="E3035" s="1" t="s">
        <v>436</v>
      </c>
      <c r="F3035" s="1" t="s">
        <v>443</v>
      </c>
      <c r="G3035" s="1" t="s">
        <v>444</v>
      </c>
      <c r="H3035" s="1">
        <v>198</v>
      </c>
      <c r="I3035" s="3">
        <v>46279</v>
      </c>
      <c r="J3035" s="3">
        <v>46288</v>
      </c>
      <c r="K3035" s="3" t="s">
        <v>2371</v>
      </c>
      <c r="L3035" s="31">
        <v>46279.664566932872</v>
      </c>
      <c r="M3035" s="20">
        <v>12</v>
      </c>
      <c r="N3035" s="1">
        <v>45</v>
      </c>
    </row>
    <row r="3036" spans="1:14" x14ac:dyDescent="0.25">
      <c r="A3036" t="str">
        <f t="shared" si="96"/>
        <v>U149840U149840</v>
      </c>
      <c r="B3036" t="str">
        <f t="shared" si="97"/>
        <v>U149840GC574EVE-W</v>
      </c>
      <c r="C3036" s="1" t="s">
        <v>678</v>
      </c>
      <c r="D3036" s="1" t="s">
        <v>665</v>
      </c>
      <c r="E3036" s="1" t="s">
        <v>436</v>
      </c>
      <c r="F3036" s="1" t="s">
        <v>443</v>
      </c>
      <c r="G3036" s="1" t="s">
        <v>444</v>
      </c>
      <c r="H3036" s="1">
        <v>198</v>
      </c>
      <c r="I3036" s="3">
        <v>46279</v>
      </c>
      <c r="J3036" s="3">
        <v>46288</v>
      </c>
      <c r="K3036" s="3" t="s">
        <v>2371</v>
      </c>
      <c r="L3036" s="31">
        <v>46279.691024421292</v>
      </c>
      <c r="M3036" s="20">
        <v>12</v>
      </c>
      <c r="N3036" s="1">
        <v>35</v>
      </c>
    </row>
    <row r="3037" spans="1:14" x14ac:dyDescent="0.25">
      <c r="A3037" t="str">
        <f t="shared" si="96"/>
        <v>U149840U149840</v>
      </c>
      <c r="B3037" t="str">
        <f t="shared" si="97"/>
        <v>U149840GC574EVE-W</v>
      </c>
      <c r="C3037" s="1" t="s">
        <v>678</v>
      </c>
      <c r="D3037" s="1" t="s">
        <v>665</v>
      </c>
      <c r="E3037" s="1" t="s">
        <v>436</v>
      </c>
      <c r="F3037" s="1" t="s">
        <v>443</v>
      </c>
      <c r="G3037" s="1" t="s">
        <v>444</v>
      </c>
      <c r="H3037" s="1">
        <v>198</v>
      </c>
      <c r="I3037" s="3">
        <v>46279</v>
      </c>
      <c r="J3037" s="3">
        <v>46288</v>
      </c>
      <c r="K3037" s="3" t="s">
        <v>2371</v>
      </c>
      <c r="L3037" s="31">
        <v>46279.69120887731</v>
      </c>
      <c r="M3037" s="20">
        <v>12</v>
      </c>
      <c r="N3037" s="1">
        <v>48</v>
      </c>
    </row>
    <row r="3038" spans="1:14" x14ac:dyDescent="0.25">
      <c r="A3038" t="str">
        <f t="shared" si="96"/>
        <v>U149840U149840</v>
      </c>
      <c r="B3038" t="str">
        <f t="shared" si="97"/>
        <v>U149840GC574EVE-W</v>
      </c>
      <c r="C3038" s="1" t="s">
        <v>678</v>
      </c>
      <c r="D3038" s="1" t="s">
        <v>665</v>
      </c>
      <c r="E3038" s="1" t="s">
        <v>436</v>
      </c>
      <c r="F3038" s="1" t="s">
        <v>443</v>
      </c>
      <c r="G3038" s="1" t="s">
        <v>444</v>
      </c>
      <c r="H3038" s="1">
        <v>198</v>
      </c>
      <c r="I3038" s="3">
        <v>46279</v>
      </c>
      <c r="J3038" s="3">
        <v>46288</v>
      </c>
      <c r="K3038" s="3" t="s">
        <v>2371</v>
      </c>
      <c r="L3038" s="31">
        <v>46279.717203472217</v>
      </c>
      <c r="M3038" s="20">
        <v>12</v>
      </c>
      <c r="N3038" s="1">
        <v>38</v>
      </c>
    </row>
    <row r="3039" spans="1:14" x14ac:dyDescent="0.25">
      <c r="A3039" t="str">
        <f t="shared" si="96"/>
        <v>U152787U152787</v>
      </c>
      <c r="B3039" t="str">
        <f t="shared" si="97"/>
        <v>U152787P60394T-M</v>
      </c>
      <c r="C3039" s="1" t="s">
        <v>49</v>
      </c>
      <c r="D3039" s="1" t="s">
        <v>671</v>
      </c>
      <c r="E3039" s="1" t="s">
        <v>436</v>
      </c>
      <c r="F3039" s="1" t="s">
        <v>443</v>
      </c>
      <c r="G3039" s="1" t="s">
        <v>444</v>
      </c>
      <c r="H3039" s="1">
        <v>462</v>
      </c>
      <c r="I3039" s="3">
        <v>46279</v>
      </c>
      <c r="J3039" s="3">
        <v>46280</v>
      </c>
      <c r="L3039" s="31">
        <v>46279.349674768513</v>
      </c>
      <c r="M3039" s="20">
        <v>12</v>
      </c>
      <c r="N3039" s="1">
        <v>24</v>
      </c>
    </row>
    <row r="3040" spans="1:14" x14ac:dyDescent="0.25">
      <c r="A3040" t="str">
        <f t="shared" si="96"/>
        <v>U152787U152787</v>
      </c>
      <c r="B3040" t="str">
        <f t="shared" si="97"/>
        <v>U152787P60394T-M</v>
      </c>
      <c r="C3040" s="27" t="s">
        <v>49</v>
      </c>
      <c r="D3040" s="27" t="s">
        <v>671</v>
      </c>
      <c r="E3040" s="1" t="s">
        <v>436</v>
      </c>
      <c r="F3040" s="1" t="s">
        <v>443</v>
      </c>
      <c r="G3040" s="1" t="s">
        <v>444</v>
      </c>
      <c r="H3040" s="1">
        <v>462</v>
      </c>
      <c r="I3040" s="3">
        <v>46279</v>
      </c>
      <c r="J3040" s="3">
        <v>46280</v>
      </c>
      <c r="L3040" s="31">
        <v>46279.352172800922</v>
      </c>
      <c r="M3040" s="20">
        <v>12</v>
      </c>
      <c r="N3040" s="1">
        <v>34</v>
      </c>
    </row>
    <row r="3041" spans="1:14" x14ac:dyDescent="0.25">
      <c r="A3041" t="str">
        <f t="shared" si="96"/>
        <v>U152787U152787</v>
      </c>
      <c r="B3041" t="str">
        <f t="shared" si="97"/>
        <v>U152787P60394T-M</v>
      </c>
      <c r="C3041" s="27" t="s">
        <v>49</v>
      </c>
      <c r="D3041" s="27" t="s">
        <v>671</v>
      </c>
      <c r="E3041" s="1" t="s">
        <v>436</v>
      </c>
      <c r="F3041" s="1" t="s">
        <v>443</v>
      </c>
      <c r="G3041" s="1" t="s">
        <v>444</v>
      </c>
      <c r="H3041" s="1">
        <v>462</v>
      </c>
      <c r="I3041" s="3">
        <v>46279</v>
      </c>
      <c r="J3041" s="3">
        <v>46280</v>
      </c>
      <c r="L3041" s="31">
        <v>46279.35255196759</v>
      </c>
      <c r="M3041" s="20">
        <v>12</v>
      </c>
      <c r="N3041" s="1">
        <v>14</v>
      </c>
    </row>
    <row r="3042" spans="1:14" x14ac:dyDescent="0.25">
      <c r="A3042" t="str">
        <f t="shared" si="96"/>
        <v>U152787U152787</v>
      </c>
      <c r="B3042" t="str">
        <f t="shared" si="97"/>
        <v>U152787P60394T-M</v>
      </c>
      <c r="C3042" s="1" t="s">
        <v>49</v>
      </c>
      <c r="D3042" s="1" t="s">
        <v>671</v>
      </c>
      <c r="E3042" s="1" t="s">
        <v>436</v>
      </c>
      <c r="F3042" s="1" t="s">
        <v>443</v>
      </c>
      <c r="G3042" s="1" t="s">
        <v>444</v>
      </c>
      <c r="H3042" s="1">
        <v>462</v>
      </c>
      <c r="I3042" s="3">
        <v>46279</v>
      </c>
      <c r="J3042" s="3">
        <v>46280</v>
      </c>
      <c r="L3042" s="31">
        <v>46279.360141747682</v>
      </c>
      <c r="M3042" s="20">
        <v>12</v>
      </c>
      <c r="N3042" s="1">
        <v>33</v>
      </c>
    </row>
    <row r="3043" spans="1:14" x14ac:dyDescent="0.25">
      <c r="A3043" t="str">
        <f t="shared" si="96"/>
        <v>U152787U152787</v>
      </c>
      <c r="B3043" t="str">
        <f t="shared" si="97"/>
        <v>U152787P60394T-M</v>
      </c>
      <c r="C3043" s="1" t="s">
        <v>49</v>
      </c>
      <c r="D3043" s="1" t="s">
        <v>671</v>
      </c>
      <c r="E3043" s="1" t="s">
        <v>436</v>
      </c>
      <c r="F3043" s="1" t="s">
        <v>443</v>
      </c>
      <c r="G3043" s="1" t="s">
        <v>444</v>
      </c>
      <c r="H3043" s="1">
        <v>462</v>
      </c>
      <c r="I3043" s="3">
        <v>46279</v>
      </c>
      <c r="J3043" s="3">
        <v>46280</v>
      </c>
      <c r="L3043" s="31">
        <v>46279.360336342594</v>
      </c>
      <c r="M3043" s="20">
        <v>12</v>
      </c>
      <c r="N3043" s="1">
        <v>3</v>
      </c>
    </row>
    <row r="3044" spans="1:14" x14ac:dyDescent="0.25">
      <c r="A3044" t="str">
        <f t="shared" si="96"/>
        <v>U152787U152787</v>
      </c>
      <c r="B3044" t="str">
        <f t="shared" si="97"/>
        <v>U152787P60394T-M</v>
      </c>
      <c r="C3044" s="27" t="s">
        <v>49</v>
      </c>
      <c r="D3044" s="27" t="s">
        <v>671</v>
      </c>
      <c r="E3044" s="1" t="s">
        <v>436</v>
      </c>
      <c r="F3044" s="1" t="s">
        <v>443</v>
      </c>
      <c r="G3044" s="1" t="s">
        <v>444</v>
      </c>
      <c r="H3044" s="1">
        <v>462</v>
      </c>
      <c r="I3044" s="3">
        <v>46279</v>
      </c>
      <c r="J3044" s="3">
        <v>46280</v>
      </c>
      <c r="L3044" s="31">
        <v>46279.367608020832</v>
      </c>
      <c r="M3044" s="20">
        <v>12</v>
      </c>
      <c r="N3044" s="1">
        <v>25</v>
      </c>
    </row>
    <row r="3045" spans="1:14" x14ac:dyDescent="0.25">
      <c r="A3045" t="str">
        <f t="shared" si="96"/>
        <v>U152787U152787</v>
      </c>
      <c r="B3045" t="str">
        <f t="shared" si="97"/>
        <v>U152787P60394T-M</v>
      </c>
      <c r="C3045" s="27" t="s">
        <v>49</v>
      </c>
      <c r="D3045" s="27" t="s">
        <v>671</v>
      </c>
      <c r="E3045" s="1" t="s">
        <v>436</v>
      </c>
      <c r="F3045" s="1" t="s">
        <v>443</v>
      </c>
      <c r="G3045" s="1" t="s">
        <v>444</v>
      </c>
      <c r="H3045" s="1">
        <v>462</v>
      </c>
      <c r="I3045" s="3">
        <v>46279</v>
      </c>
      <c r="J3045" s="3">
        <v>46280</v>
      </c>
      <c r="L3045" s="31">
        <v>46279.368028472221</v>
      </c>
      <c r="M3045" s="20">
        <v>12</v>
      </c>
      <c r="N3045" s="1">
        <v>6</v>
      </c>
    </row>
    <row r="3046" spans="1:14" x14ac:dyDescent="0.25">
      <c r="A3046" t="str">
        <f t="shared" si="96"/>
        <v>U152787U152787</v>
      </c>
      <c r="B3046" t="str">
        <f t="shared" si="97"/>
        <v>U152787P60394T-M</v>
      </c>
      <c r="C3046" s="1" t="s">
        <v>49</v>
      </c>
      <c r="D3046" s="1" t="s">
        <v>671</v>
      </c>
      <c r="E3046" s="1" t="s">
        <v>436</v>
      </c>
      <c r="F3046" s="1" t="s">
        <v>443</v>
      </c>
      <c r="G3046" s="1" t="s">
        <v>444</v>
      </c>
      <c r="H3046" s="1">
        <v>462</v>
      </c>
      <c r="I3046" s="3">
        <v>46279</v>
      </c>
      <c r="J3046" s="3">
        <v>46280</v>
      </c>
      <c r="L3046" s="31">
        <v>46279.368257986112</v>
      </c>
      <c r="M3046" s="20">
        <v>12</v>
      </c>
      <c r="N3046" s="1">
        <v>4</v>
      </c>
    </row>
    <row r="3047" spans="1:14" x14ac:dyDescent="0.25">
      <c r="A3047" t="str">
        <f t="shared" si="96"/>
        <v>U152787U152787</v>
      </c>
      <c r="B3047" t="str">
        <f t="shared" si="97"/>
        <v>U152787P60394T-M</v>
      </c>
      <c r="C3047" s="27" t="s">
        <v>49</v>
      </c>
      <c r="D3047" s="27" t="s">
        <v>671</v>
      </c>
      <c r="E3047" s="1" t="s">
        <v>436</v>
      </c>
      <c r="F3047" s="1" t="s">
        <v>443</v>
      </c>
      <c r="G3047" s="1" t="s">
        <v>444</v>
      </c>
      <c r="H3047" s="1">
        <v>462</v>
      </c>
      <c r="I3047" s="3">
        <v>46279</v>
      </c>
      <c r="J3047" s="3">
        <v>46280</v>
      </c>
      <c r="L3047" s="31">
        <v>46279.382229317125</v>
      </c>
      <c r="M3047" s="20">
        <v>12</v>
      </c>
      <c r="N3047" s="1">
        <v>17</v>
      </c>
    </row>
    <row r="3048" spans="1:14" x14ac:dyDescent="0.25">
      <c r="A3048" t="str">
        <f t="shared" si="96"/>
        <v>U152787U152787</v>
      </c>
      <c r="B3048" t="str">
        <f t="shared" si="97"/>
        <v>U152787P60394T-M</v>
      </c>
      <c r="C3048" s="27" t="s">
        <v>49</v>
      </c>
      <c r="D3048" s="27" t="s">
        <v>671</v>
      </c>
      <c r="E3048" s="1" t="s">
        <v>436</v>
      </c>
      <c r="F3048" s="1" t="s">
        <v>443</v>
      </c>
      <c r="G3048" s="1" t="s">
        <v>444</v>
      </c>
      <c r="H3048" s="1">
        <v>462</v>
      </c>
      <c r="I3048" s="3">
        <v>46279</v>
      </c>
      <c r="J3048" s="3">
        <v>46280</v>
      </c>
      <c r="L3048" s="31">
        <v>46279.390655706018</v>
      </c>
      <c r="M3048" s="20">
        <v>12</v>
      </c>
      <c r="N3048" s="1">
        <v>31</v>
      </c>
    </row>
    <row r="3049" spans="1:14" x14ac:dyDescent="0.25">
      <c r="A3049" t="str">
        <f t="shared" si="96"/>
        <v>U152787U152787</v>
      </c>
      <c r="B3049" t="str">
        <f t="shared" si="97"/>
        <v>U152787P60394T-M</v>
      </c>
      <c r="C3049" s="27" t="s">
        <v>49</v>
      </c>
      <c r="D3049" s="27" t="s">
        <v>671</v>
      </c>
      <c r="E3049" s="1" t="s">
        <v>436</v>
      </c>
      <c r="F3049" s="1" t="s">
        <v>443</v>
      </c>
      <c r="G3049" s="1" t="s">
        <v>444</v>
      </c>
      <c r="H3049" s="1">
        <v>462</v>
      </c>
      <c r="I3049" s="3">
        <v>46279</v>
      </c>
      <c r="J3049" s="3">
        <v>46280</v>
      </c>
      <c r="L3049" s="31">
        <v>46279.390849618052</v>
      </c>
      <c r="M3049" s="20">
        <v>12</v>
      </c>
      <c r="N3049" s="1">
        <v>15</v>
      </c>
    </row>
    <row r="3050" spans="1:14" x14ac:dyDescent="0.25">
      <c r="A3050" t="str">
        <f t="shared" si="96"/>
        <v>U152787U152787</v>
      </c>
      <c r="B3050" t="str">
        <f t="shared" si="97"/>
        <v>U152787P60394T-M</v>
      </c>
      <c r="C3050" s="27" t="s">
        <v>49</v>
      </c>
      <c r="D3050" s="27" t="s">
        <v>671</v>
      </c>
      <c r="E3050" s="1" t="s">
        <v>436</v>
      </c>
      <c r="F3050" s="1" t="s">
        <v>443</v>
      </c>
      <c r="G3050" s="1" t="s">
        <v>444</v>
      </c>
      <c r="H3050" s="1">
        <v>462</v>
      </c>
      <c r="I3050" s="3">
        <v>46279</v>
      </c>
      <c r="J3050" s="3">
        <v>46280</v>
      </c>
      <c r="L3050" s="31">
        <v>46279.393515011572</v>
      </c>
      <c r="M3050" s="20">
        <v>12</v>
      </c>
      <c r="N3050" s="1">
        <v>27</v>
      </c>
    </row>
    <row r="3051" spans="1:14" x14ac:dyDescent="0.25">
      <c r="A3051" t="str">
        <f t="shared" si="96"/>
        <v>U152787U152787</v>
      </c>
      <c r="B3051" t="str">
        <f t="shared" si="97"/>
        <v>U152787P60394T-M</v>
      </c>
      <c r="C3051" s="27" t="s">
        <v>49</v>
      </c>
      <c r="D3051" s="27" t="s">
        <v>671</v>
      </c>
      <c r="E3051" s="1" t="s">
        <v>436</v>
      </c>
      <c r="F3051" s="1" t="s">
        <v>443</v>
      </c>
      <c r="G3051" s="1" t="s">
        <v>444</v>
      </c>
      <c r="H3051" s="1">
        <v>462</v>
      </c>
      <c r="I3051" s="3">
        <v>46279</v>
      </c>
      <c r="J3051" s="3">
        <v>46280</v>
      </c>
      <c r="L3051" s="31">
        <v>46279.393694988423</v>
      </c>
      <c r="M3051" s="20">
        <v>12</v>
      </c>
      <c r="N3051" s="1">
        <v>21</v>
      </c>
    </row>
    <row r="3052" spans="1:14" x14ac:dyDescent="0.25">
      <c r="A3052" t="str">
        <f t="shared" si="96"/>
        <v>U152787U152787</v>
      </c>
      <c r="B3052" t="str">
        <f t="shared" si="97"/>
        <v>U152787P60394T-M</v>
      </c>
      <c r="C3052" s="27" t="s">
        <v>49</v>
      </c>
      <c r="D3052" s="27" t="s">
        <v>671</v>
      </c>
      <c r="E3052" s="1" t="s">
        <v>436</v>
      </c>
      <c r="F3052" s="1" t="s">
        <v>443</v>
      </c>
      <c r="G3052" s="1" t="s">
        <v>444</v>
      </c>
      <c r="H3052" s="1">
        <v>462</v>
      </c>
      <c r="I3052" s="3">
        <v>46279</v>
      </c>
      <c r="J3052" s="3">
        <v>46280</v>
      </c>
      <c r="L3052" s="31">
        <v>46279.415874340273</v>
      </c>
      <c r="M3052" s="20">
        <v>12</v>
      </c>
      <c r="N3052" s="1">
        <v>5</v>
      </c>
    </row>
    <row r="3053" spans="1:14" x14ac:dyDescent="0.25">
      <c r="A3053" t="str">
        <f t="shared" si="96"/>
        <v>U152787U152787</v>
      </c>
      <c r="B3053" t="str">
        <f t="shared" si="97"/>
        <v>U152787P60394T-M</v>
      </c>
      <c r="C3053" s="27" t="s">
        <v>49</v>
      </c>
      <c r="D3053" s="27" t="s">
        <v>671</v>
      </c>
      <c r="E3053" s="1" t="s">
        <v>436</v>
      </c>
      <c r="F3053" s="1" t="s">
        <v>443</v>
      </c>
      <c r="G3053" s="1" t="s">
        <v>444</v>
      </c>
      <c r="H3053" s="1">
        <v>462</v>
      </c>
      <c r="I3053" s="3">
        <v>46279</v>
      </c>
      <c r="J3053" s="3">
        <v>46280</v>
      </c>
      <c r="L3053" s="31">
        <v>46279.416103206015</v>
      </c>
      <c r="M3053" s="20">
        <v>12</v>
      </c>
      <c r="N3053" s="1">
        <v>12</v>
      </c>
    </row>
    <row r="3054" spans="1:14" x14ac:dyDescent="0.25">
      <c r="A3054" t="str">
        <f t="shared" si="96"/>
        <v>U152787U152787</v>
      </c>
      <c r="B3054" t="str">
        <f t="shared" si="97"/>
        <v>U152787P60394T-M</v>
      </c>
      <c r="C3054" s="1" t="s">
        <v>49</v>
      </c>
      <c r="D3054" s="1" t="s">
        <v>671</v>
      </c>
      <c r="E3054" s="1" t="s">
        <v>436</v>
      </c>
      <c r="F3054" s="1" t="s">
        <v>443</v>
      </c>
      <c r="G3054" s="1" t="s">
        <v>444</v>
      </c>
      <c r="H3054" s="1">
        <v>462</v>
      </c>
      <c r="I3054" s="3">
        <v>46279</v>
      </c>
      <c r="J3054" s="3">
        <v>46280</v>
      </c>
      <c r="L3054" s="31">
        <v>46279.41648753472</v>
      </c>
      <c r="M3054" s="20">
        <v>12</v>
      </c>
      <c r="N3054" s="1">
        <v>1</v>
      </c>
    </row>
    <row r="3055" spans="1:14" x14ac:dyDescent="0.25">
      <c r="A3055" t="str">
        <f t="shared" si="96"/>
        <v>U152787U152787</v>
      </c>
      <c r="B3055" t="str">
        <f t="shared" si="97"/>
        <v>U152787P60394T-M</v>
      </c>
      <c r="C3055" s="1" t="s">
        <v>49</v>
      </c>
      <c r="D3055" s="1" t="s">
        <v>671</v>
      </c>
      <c r="E3055" s="1" t="s">
        <v>436</v>
      </c>
      <c r="F3055" s="1" t="s">
        <v>443</v>
      </c>
      <c r="G3055" s="1" t="s">
        <v>444</v>
      </c>
      <c r="H3055" s="1">
        <v>462</v>
      </c>
      <c r="I3055" s="3">
        <v>46279</v>
      </c>
      <c r="J3055" s="3">
        <v>46280</v>
      </c>
      <c r="L3055" s="31">
        <v>46279.416691747683</v>
      </c>
      <c r="M3055" s="20">
        <v>12</v>
      </c>
      <c r="N3055" s="1">
        <v>22</v>
      </c>
    </row>
    <row r="3056" spans="1:14" x14ac:dyDescent="0.25">
      <c r="A3056" t="str">
        <f t="shared" si="96"/>
        <v>U152787U152787</v>
      </c>
      <c r="B3056" t="str">
        <f t="shared" si="97"/>
        <v>U152787P60394T-M</v>
      </c>
      <c r="C3056" s="1" t="s">
        <v>49</v>
      </c>
      <c r="D3056" s="1" t="s">
        <v>671</v>
      </c>
      <c r="E3056" s="1" t="s">
        <v>436</v>
      </c>
      <c r="F3056" s="1" t="s">
        <v>443</v>
      </c>
      <c r="G3056" s="1" t="s">
        <v>444</v>
      </c>
      <c r="H3056" s="1">
        <v>462</v>
      </c>
      <c r="I3056" s="3">
        <v>46279</v>
      </c>
      <c r="J3056" s="3">
        <v>46280</v>
      </c>
      <c r="L3056" s="31">
        <v>46279.416873726848</v>
      </c>
      <c r="M3056" s="20">
        <v>12</v>
      </c>
      <c r="N3056" s="1">
        <v>9</v>
      </c>
    </row>
    <row r="3057" spans="1:14" x14ac:dyDescent="0.25">
      <c r="A3057" t="str">
        <f t="shared" si="96"/>
        <v>U152787U152787</v>
      </c>
      <c r="B3057" t="str">
        <f t="shared" si="97"/>
        <v>U152787P60394T-M</v>
      </c>
      <c r="C3057" s="1" t="s">
        <v>49</v>
      </c>
      <c r="D3057" s="1" t="s">
        <v>671</v>
      </c>
      <c r="E3057" s="1" t="s">
        <v>436</v>
      </c>
      <c r="F3057" s="1" t="s">
        <v>443</v>
      </c>
      <c r="G3057" s="1" t="s">
        <v>444</v>
      </c>
      <c r="H3057" s="1">
        <v>462</v>
      </c>
      <c r="I3057" s="3">
        <v>46279</v>
      </c>
      <c r="J3057" s="3">
        <v>46280</v>
      </c>
      <c r="L3057" s="31">
        <v>46279.439048113425</v>
      </c>
      <c r="M3057" s="20">
        <v>12</v>
      </c>
      <c r="N3057" s="1">
        <v>28</v>
      </c>
    </row>
    <row r="3058" spans="1:14" x14ac:dyDescent="0.25">
      <c r="A3058" t="str">
        <f t="shared" si="96"/>
        <v>U152787U152787</v>
      </c>
      <c r="B3058" t="str">
        <f t="shared" si="97"/>
        <v>U152787P60394T-M</v>
      </c>
      <c r="C3058" s="1" t="s">
        <v>49</v>
      </c>
      <c r="D3058" s="1" t="s">
        <v>671</v>
      </c>
      <c r="E3058" s="1" t="s">
        <v>436</v>
      </c>
      <c r="F3058" s="1" t="s">
        <v>443</v>
      </c>
      <c r="G3058" s="1" t="s">
        <v>444</v>
      </c>
      <c r="H3058" s="1">
        <v>462</v>
      </c>
      <c r="I3058" s="3">
        <v>46279</v>
      </c>
      <c r="J3058" s="3">
        <v>46280</v>
      </c>
      <c r="L3058" s="31">
        <v>46279.466173460649</v>
      </c>
      <c r="M3058" s="20">
        <v>12</v>
      </c>
      <c r="N3058" s="1">
        <v>2</v>
      </c>
    </row>
    <row r="3059" spans="1:14" x14ac:dyDescent="0.25">
      <c r="A3059" t="str">
        <f t="shared" si="96"/>
        <v>U152787U152787</v>
      </c>
      <c r="B3059" t="str">
        <f t="shared" si="97"/>
        <v>U152787P60394T-M</v>
      </c>
      <c r="C3059" s="1" t="s">
        <v>49</v>
      </c>
      <c r="D3059" s="1" t="s">
        <v>671</v>
      </c>
      <c r="E3059" s="1" t="s">
        <v>436</v>
      </c>
      <c r="F3059" s="1" t="s">
        <v>443</v>
      </c>
      <c r="G3059" s="1" t="s">
        <v>444</v>
      </c>
      <c r="H3059" s="1">
        <v>462</v>
      </c>
      <c r="I3059" s="3">
        <v>46279</v>
      </c>
      <c r="J3059" s="3">
        <v>46280</v>
      </c>
      <c r="L3059" s="31">
        <v>46279.466676504628</v>
      </c>
      <c r="M3059" s="20">
        <v>12</v>
      </c>
      <c r="N3059" s="1">
        <v>35</v>
      </c>
    </row>
    <row r="3060" spans="1:14" x14ac:dyDescent="0.25">
      <c r="A3060" t="str">
        <f t="shared" si="96"/>
        <v>U152787U152787</v>
      </c>
      <c r="B3060" t="str">
        <f t="shared" si="97"/>
        <v>U152787P60394T-M</v>
      </c>
      <c r="C3060" s="1" t="s">
        <v>49</v>
      </c>
      <c r="D3060" s="1" t="s">
        <v>671</v>
      </c>
      <c r="E3060" s="1" t="s">
        <v>436</v>
      </c>
      <c r="F3060" s="1" t="s">
        <v>443</v>
      </c>
      <c r="G3060" s="1" t="s">
        <v>444</v>
      </c>
      <c r="H3060" s="1">
        <v>462</v>
      </c>
      <c r="I3060" s="3">
        <v>46279</v>
      </c>
      <c r="J3060" s="3">
        <v>46280</v>
      </c>
      <c r="L3060" s="31">
        <v>46279.467165243055</v>
      </c>
      <c r="M3060" s="20">
        <v>12</v>
      </c>
      <c r="N3060" s="1">
        <v>32</v>
      </c>
    </row>
    <row r="3061" spans="1:14" x14ac:dyDescent="0.25">
      <c r="A3061" t="str">
        <f t="shared" si="96"/>
        <v>U152787U152787</v>
      </c>
      <c r="B3061" t="str">
        <f t="shared" si="97"/>
        <v>U152787P60394T-M</v>
      </c>
      <c r="C3061" s="1" t="s">
        <v>49</v>
      </c>
      <c r="D3061" s="1" t="s">
        <v>671</v>
      </c>
      <c r="E3061" s="1" t="s">
        <v>436</v>
      </c>
      <c r="F3061" s="1" t="s">
        <v>443</v>
      </c>
      <c r="G3061" s="1" t="s">
        <v>444</v>
      </c>
      <c r="H3061" s="1">
        <v>462</v>
      </c>
      <c r="I3061" s="3">
        <v>46279</v>
      </c>
      <c r="J3061" s="3">
        <v>46280</v>
      </c>
      <c r="L3061" s="31">
        <v>46279.468774849534</v>
      </c>
      <c r="M3061" s="20">
        <v>12</v>
      </c>
      <c r="N3061" s="1">
        <v>8</v>
      </c>
    </row>
    <row r="3062" spans="1:14" x14ac:dyDescent="0.25">
      <c r="A3062" t="str">
        <f t="shared" si="96"/>
        <v>U152787U152787</v>
      </c>
      <c r="B3062" t="str">
        <f t="shared" si="97"/>
        <v>U152787P60394T-M</v>
      </c>
      <c r="C3062" s="1" t="s">
        <v>49</v>
      </c>
      <c r="D3062" s="1" t="s">
        <v>671</v>
      </c>
      <c r="E3062" s="1" t="s">
        <v>436</v>
      </c>
      <c r="F3062" s="1" t="s">
        <v>443</v>
      </c>
      <c r="G3062" s="1" t="s">
        <v>444</v>
      </c>
      <c r="H3062" s="1">
        <v>462</v>
      </c>
      <c r="I3062" s="3">
        <v>46279</v>
      </c>
      <c r="J3062" s="3">
        <v>46280</v>
      </c>
      <c r="L3062" s="31">
        <v>46279.672709525461</v>
      </c>
      <c r="M3062" s="20">
        <v>12</v>
      </c>
      <c r="N3062" s="1">
        <v>23</v>
      </c>
    </row>
    <row r="3063" spans="1:14" x14ac:dyDescent="0.25">
      <c r="A3063" t="str">
        <f t="shared" si="96"/>
        <v>U152787U152787</v>
      </c>
      <c r="B3063" t="str">
        <f t="shared" si="97"/>
        <v>U152787P60394T-M</v>
      </c>
      <c r="C3063" s="1" t="s">
        <v>49</v>
      </c>
      <c r="D3063" s="1" t="s">
        <v>671</v>
      </c>
      <c r="E3063" s="1" t="s">
        <v>436</v>
      </c>
      <c r="F3063" s="1" t="s">
        <v>443</v>
      </c>
      <c r="G3063" s="1" t="s">
        <v>444</v>
      </c>
      <c r="H3063" s="1">
        <v>462</v>
      </c>
      <c r="I3063" s="3">
        <v>46279</v>
      </c>
      <c r="J3063" s="3">
        <v>46280</v>
      </c>
      <c r="L3063" s="31">
        <v>46279.701954780088</v>
      </c>
      <c r="M3063" s="20">
        <v>12</v>
      </c>
      <c r="N3063" s="1">
        <v>7</v>
      </c>
    </row>
    <row r="3064" spans="1:14" x14ac:dyDescent="0.25">
      <c r="A3064" t="str">
        <f t="shared" si="96"/>
        <v>U152787U152787</v>
      </c>
      <c r="B3064" t="str">
        <f t="shared" si="97"/>
        <v>U152787P60394T-M</v>
      </c>
      <c r="C3064" s="1" t="s">
        <v>49</v>
      </c>
      <c r="D3064" s="1" t="s">
        <v>671</v>
      </c>
      <c r="E3064" s="1" t="s">
        <v>436</v>
      </c>
      <c r="F3064" s="1" t="s">
        <v>443</v>
      </c>
      <c r="G3064" s="1" t="s">
        <v>444</v>
      </c>
      <c r="H3064" s="1">
        <v>462</v>
      </c>
      <c r="I3064" s="3">
        <v>46279</v>
      </c>
      <c r="J3064" s="3">
        <v>46280</v>
      </c>
      <c r="L3064" s="31">
        <v>46279.702153472223</v>
      </c>
      <c r="M3064" s="20">
        <v>12</v>
      </c>
      <c r="N3064" s="1">
        <v>20</v>
      </c>
    </row>
    <row r="3065" spans="1:14" x14ac:dyDescent="0.25">
      <c r="A3065" t="str">
        <f t="shared" si="96"/>
        <v>U152789U152789</v>
      </c>
      <c r="B3065" t="str">
        <f t="shared" si="97"/>
        <v>U152789G6035EQ-M</v>
      </c>
      <c r="C3065" s="1" t="s">
        <v>677</v>
      </c>
      <c r="D3065" s="1" t="s">
        <v>653</v>
      </c>
      <c r="E3065" s="1" t="s">
        <v>436</v>
      </c>
      <c r="F3065" s="1" t="s">
        <v>443</v>
      </c>
      <c r="G3065" s="1" t="s">
        <v>457</v>
      </c>
      <c r="H3065" s="1">
        <v>810</v>
      </c>
      <c r="I3065" s="3">
        <v>46279</v>
      </c>
      <c r="J3065" s="3">
        <v>46283</v>
      </c>
      <c r="K3065" s="3" t="s">
        <v>2371</v>
      </c>
      <c r="L3065" s="31">
        <v>46279.479252743055</v>
      </c>
      <c r="M3065" s="20">
        <v>12</v>
      </c>
      <c r="N3065" s="1">
        <v>29</v>
      </c>
    </row>
    <row r="3066" spans="1:14" x14ac:dyDescent="0.25">
      <c r="A3066" t="str">
        <f t="shared" si="96"/>
        <v>U152789U152789</v>
      </c>
      <c r="B3066" t="str">
        <f t="shared" si="97"/>
        <v>U152789G6035EQ-M</v>
      </c>
      <c r="C3066" s="1" t="s">
        <v>677</v>
      </c>
      <c r="D3066" s="1" t="s">
        <v>653</v>
      </c>
      <c r="E3066" s="1" t="s">
        <v>436</v>
      </c>
      <c r="F3066" s="1" t="s">
        <v>443</v>
      </c>
      <c r="G3066" s="1" t="s">
        <v>457</v>
      </c>
      <c r="H3066" s="1">
        <v>810</v>
      </c>
      <c r="I3066" s="3">
        <v>46279</v>
      </c>
      <c r="J3066" s="3">
        <v>46283</v>
      </c>
      <c r="K3066" s="3" t="s">
        <v>2371</v>
      </c>
      <c r="L3066" s="31">
        <v>46279.55678194444</v>
      </c>
      <c r="M3066" s="20">
        <v>12</v>
      </c>
      <c r="N3066" s="1">
        <v>45</v>
      </c>
    </row>
    <row r="3067" spans="1:14" x14ac:dyDescent="0.25">
      <c r="A3067" t="str">
        <f t="shared" si="96"/>
        <v>U152789U152789</v>
      </c>
      <c r="B3067" t="str">
        <f t="shared" si="97"/>
        <v>U152789G6035EQ-M</v>
      </c>
      <c r="C3067" s="1" t="s">
        <v>677</v>
      </c>
      <c r="D3067" s="1" t="s">
        <v>653</v>
      </c>
      <c r="E3067" s="1" t="s">
        <v>436</v>
      </c>
      <c r="F3067" s="1" t="s">
        <v>443</v>
      </c>
      <c r="G3067" s="1" t="s">
        <v>457</v>
      </c>
      <c r="H3067" s="1">
        <v>810</v>
      </c>
      <c r="I3067" s="3">
        <v>46279</v>
      </c>
      <c r="J3067" s="3">
        <v>46283</v>
      </c>
      <c r="K3067" s="3" t="s">
        <v>2371</v>
      </c>
      <c r="L3067" s="31">
        <v>46279.57079262731</v>
      </c>
      <c r="M3067" s="20">
        <v>12</v>
      </c>
      <c r="N3067" s="1">
        <v>28</v>
      </c>
    </row>
    <row r="3068" spans="1:14" x14ac:dyDescent="0.25">
      <c r="A3068" t="str">
        <f t="shared" si="96"/>
        <v>U152789U152789</v>
      </c>
      <c r="B3068" t="str">
        <f t="shared" si="97"/>
        <v>U152789G6035EQ-M</v>
      </c>
      <c r="C3068" s="1" t="s">
        <v>677</v>
      </c>
      <c r="D3068" s="1" t="s">
        <v>653</v>
      </c>
      <c r="E3068" s="1" t="s">
        <v>436</v>
      </c>
      <c r="F3068" s="1" t="s">
        <v>443</v>
      </c>
      <c r="G3068" s="1" t="s">
        <v>457</v>
      </c>
      <c r="H3068" s="1">
        <v>810</v>
      </c>
      <c r="I3068" s="3">
        <v>46279</v>
      </c>
      <c r="J3068" s="3">
        <v>46283</v>
      </c>
      <c r="K3068" s="3" t="s">
        <v>2371</v>
      </c>
      <c r="L3068" s="31">
        <v>46279.574496643516</v>
      </c>
      <c r="M3068" s="20">
        <v>12</v>
      </c>
      <c r="N3068" s="1">
        <v>20</v>
      </c>
    </row>
    <row r="3069" spans="1:14" x14ac:dyDescent="0.25">
      <c r="A3069" t="str">
        <f t="shared" si="96"/>
        <v>U152789U152789</v>
      </c>
      <c r="B3069" t="str">
        <f t="shared" si="97"/>
        <v>U152789G6035EQ-M</v>
      </c>
      <c r="C3069" s="1" t="s">
        <v>677</v>
      </c>
      <c r="D3069" s="1" t="s">
        <v>653</v>
      </c>
      <c r="E3069" s="1" t="s">
        <v>436</v>
      </c>
      <c r="F3069" s="1" t="s">
        <v>443</v>
      </c>
      <c r="G3069" s="1" t="s">
        <v>457</v>
      </c>
      <c r="H3069" s="1">
        <v>810</v>
      </c>
      <c r="I3069" s="3">
        <v>46279</v>
      </c>
      <c r="J3069" s="3">
        <v>46283</v>
      </c>
      <c r="K3069" s="3" t="s">
        <v>2371</v>
      </c>
      <c r="L3069" s="31">
        <v>46279.574670868053</v>
      </c>
      <c r="M3069" s="20">
        <v>12</v>
      </c>
      <c r="N3069" s="1">
        <v>1</v>
      </c>
    </row>
    <row r="3070" spans="1:14" x14ac:dyDescent="0.25">
      <c r="A3070" t="str">
        <f t="shared" si="96"/>
        <v>U152789U152789</v>
      </c>
      <c r="B3070" t="str">
        <f t="shared" si="97"/>
        <v>U152789G6035EQ-M</v>
      </c>
      <c r="C3070" s="1" t="s">
        <v>677</v>
      </c>
      <c r="D3070" s="1" t="s">
        <v>653</v>
      </c>
      <c r="E3070" s="1" t="s">
        <v>436</v>
      </c>
      <c r="F3070" s="1" t="s">
        <v>443</v>
      </c>
      <c r="G3070" s="1" t="s">
        <v>457</v>
      </c>
      <c r="H3070" s="1">
        <v>810</v>
      </c>
      <c r="I3070" s="3">
        <v>46279</v>
      </c>
      <c r="J3070" s="3">
        <v>46283</v>
      </c>
      <c r="K3070" s="3" t="s">
        <v>2371</v>
      </c>
      <c r="L3070" s="31">
        <v>46279.581019791665</v>
      </c>
      <c r="M3070" s="20">
        <v>12</v>
      </c>
      <c r="N3070" s="1">
        <v>19</v>
      </c>
    </row>
    <row r="3071" spans="1:14" x14ac:dyDescent="0.25">
      <c r="A3071" t="str">
        <f t="shared" si="96"/>
        <v>U152789U152789</v>
      </c>
      <c r="B3071" t="str">
        <f t="shared" si="97"/>
        <v>U152789G6035EQ-M</v>
      </c>
      <c r="C3071" s="1" t="s">
        <v>677</v>
      </c>
      <c r="D3071" s="1" t="s">
        <v>653</v>
      </c>
      <c r="E3071" s="1" t="s">
        <v>436</v>
      </c>
      <c r="F3071" s="1" t="s">
        <v>443</v>
      </c>
      <c r="G3071" s="1" t="s">
        <v>457</v>
      </c>
      <c r="H3071" s="1">
        <v>810</v>
      </c>
      <c r="I3071" s="3">
        <v>46279</v>
      </c>
      <c r="J3071" s="3">
        <v>46283</v>
      </c>
      <c r="K3071" s="3" t="s">
        <v>2371</v>
      </c>
      <c r="L3071" s="31">
        <v>46279.581231168981</v>
      </c>
      <c r="M3071" s="20">
        <v>12</v>
      </c>
      <c r="N3071" s="1">
        <v>62</v>
      </c>
    </row>
    <row r="3072" spans="1:14" x14ac:dyDescent="0.25">
      <c r="A3072" t="str">
        <f t="shared" si="96"/>
        <v>U152789U152789</v>
      </c>
      <c r="B3072" t="str">
        <f t="shared" si="97"/>
        <v>U152789G6035EQ-M</v>
      </c>
      <c r="C3072" s="1" t="s">
        <v>677</v>
      </c>
      <c r="D3072" s="1" t="s">
        <v>653</v>
      </c>
      <c r="E3072" s="1" t="s">
        <v>436</v>
      </c>
      <c r="F3072" s="1" t="s">
        <v>443</v>
      </c>
      <c r="G3072" s="1" t="s">
        <v>457</v>
      </c>
      <c r="H3072" s="1">
        <v>810</v>
      </c>
      <c r="I3072" s="3">
        <v>46279</v>
      </c>
      <c r="J3072" s="3">
        <v>46283</v>
      </c>
      <c r="K3072" s="3" t="s">
        <v>2371</v>
      </c>
      <c r="L3072" s="31">
        <v>46279.585272337958</v>
      </c>
      <c r="M3072" s="20">
        <v>12</v>
      </c>
      <c r="N3072" s="1">
        <v>21</v>
      </c>
    </row>
    <row r="3073" spans="1:14" x14ac:dyDescent="0.25">
      <c r="A3073" t="str">
        <f t="shared" si="96"/>
        <v>U152789U152789</v>
      </c>
      <c r="B3073" t="str">
        <f t="shared" si="97"/>
        <v>U152789G6035EQ-M</v>
      </c>
      <c r="C3073" s="1" t="s">
        <v>677</v>
      </c>
      <c r="D3073" s="1" t="s">
        <v>653</v>
      </c>
      <c r="E3073" s="1" t="s">
        <v>436</v>
      </c>
      <c r="F3073" s="1" t="s">
        <v>443</v>
      </c>
      <c r="G3073" s="1" t="s">
        <v>457</v>
      </c>
      <c r="H3073" s="1">
        <v>810</v>
      </c>
      <c r="I3073" s="3">
        <v>46279</v>
      </c>
      <c r="J3073" s="3">
        <v>46283</v>
      </c>
      <c r="K3073" s="3" t="s">
        <v>2371</v>
      </c>
      <c r="L3073" s="31">
        <v>46279.585662384256</v>
      </c>
      <c r="M3073" s="20">
        <v>12</v>
      </c>
      <c r="N3073" s="1">
        <v>8</v>
      </c>
    </row>
    <row r="3074" spans="1:14" x14ac:dyDescent="0.25">
      <c r="A3074" t="str">
        <f t="shared" ref="A3074:A3137" si="98">+D3074&amp;D3074</f>
        <v>U152789U152789</v>
      </c>
      <c r="B3074" t="str">
        <f t="shared" ref="B3074:B3137" si="99">+D3074&amp;C3074</f>
        <v>U152789G6035EQ-M</v>
      </c>
      <c r="C3074" s="1" t="s">
        <v>677</v>
      </c>
      <c r="D3074" s="1" t="s">
        <v>653</v>
      </c>
      <c r="E3074" s="1" t="s">
        <v>436</v>
      </c>
      <c r="F3074" s="1" t="s">
        <v>443</v>
      </c>
      <c r="G3074" s="1" t="s">
        <v>457</v>
      </c>
      <c r="H3074" s="1">
        <v>810</v>
      </c>
      <c r="I3074" s="3">
        <v>46279</v>
      </c>
      <c r="J3074" s="3">
        <v>46283</v>
      </c>
      <c r="K3074" s="3" t="s">
        <v>2371</v>
      </c>
      <c r="L3074" s="31">
        <v>46279.585890358794</v>
      </c>
      <c r="M3074" s="20">
        <v>12</v>
      </c>
      <c r="N3074" s="1">
        <v>30</v>
      </c>
    </row>
    <row r="3075" spans="1:14" x14ac:dyDescent="0.25">
      <c r="A3075" t="str">
        <f t="shared" si="98"/>
        <v>U152789U152789</v>
      </c>
      <c r="B3075" t="str">
        <f t="shared" si="99"/>
        <v>U152789G6035EQ-M</v>
      </c>
      <c r="C3075" s="1" t="s">
        <v>677</v>
      </c>
      <c r="D3075" s="1" t="s">
        <v>653</v>
      </c>
      <c r="E3075" s="1" t="s">
        <v>436</v>
      </c>
      <c r="F3075" s="1" t="s">
        <v>443</v>
      </c>
      <c r="G3075" s="1" t="s">
        <v>457</v>
      </c>
      <c r="H3075" s="1">
        <v>810</v>
      </c>
      <c r="I3075" s="3">
        <v>46279</v>
      </c>
      <c r="J3075" s="3">
        <v>46283</v>
      </c>
      <c r="K3075" s="3" t="s">
        <v>2371</v>
      </c>
      <c r="L3075" s="31">
        <v>46279.591874456019</v>
      </c>
      <c r="M3075" s="20">
        <v>12</v>
      </c>
      <c r="N3075" s="1">
        <v>48</v>
      </c>
    </row>
    <row r="3076" spans="1:14" x14ac:dyDescent="0.25">
      <c r="A3076" t="str">
        <f t="shared" si="98"/>
        <v>U152789U152789</v>
      </c>
      <c r="B3076" t="str">
        <f t="shared" si="99"/>
        <v>U152789G6035EQ-M</v>
      </c>
      <c r="C3076" s="1" t="s">
        <v>677</v>
      </c>
      <c r="D3076" s="1" t="s">
        <v>653</v>
      </c>
      <c r="E3076" s="1" t="s">
        <v>436</v>
      </c>
      <c r="F3076" s="1" t="s">
        <v>443</v>
      </c>
      <c r="G3076" s="1" t="s">
        <v>457</v>
      </c>
      <c r="H3076" s="1">
        <v>810</v>
      </c>
      <c r="I3076" s="3">
        <v>46279</v>
      </c>
      <c r="J3076" s="3">
        <v>46283</v>
      </c>
      <c r="K3076" s="3" t="s">
        <v>2371</v>
      </c>
      <c r="L3076" s="31">
        <v>46279.592199421291</v>
      </c>
      <c r="M3076" s="20">
        <v>12</v>
      </c>
      <c r="N3076" s="1">
        <v>46</v>
      </c>
    </row>
    <row r="3077" spans="1:14" x14ac:dyDescent="0.25">
      <c r="A3077" t="str">
        <f t="shared" si="98"/>
        <v>U152789U152789</v>
      </c>
      <c r="B3077" t="str">
        <f t="shared" si="99"/>
        <v>U152789G6035EQ-M</v>
      </c>
      <c r="C3077" s="1" t="s">
        <v>677</v>
      </c>
      <c r="D3077" s="1" t="s">
        <v>653</v>
      </c>
      <c r="E3077" s="1" t="s">
        <v>436</v>
      </c>
      <c r="F3077" s="1" t="s">
        <v>443</v>
      </c>
      <c r="G3077" s="1" t="s">
        <v>457</v>
      </c>
      <c r="H3077" s="1">
        <v>810</v>
      </c>
      <c r="I3077" s="3">
        <v>46279</v>
      </c>
      <c r="J3077" s="3">
        <v>46283</v>
      </c>
      <c r="K3077" s="3" t="s">
        <v>2371</v>
      </c>
      <c r="L3077" s="31">
        <v>46279.600116782407</v>
      </c>
      <c r="M3077" s="20">
        <v>12</v>
      </c>
      <c r="N3077" s="1">
        <v>51</v>
      </c>
    </row>
    <row r="3078" spans="1:14" x14ac:dyDescent="0.25">
      <c r="A3078" t="str">
        <f t="shared" si="98"/>
        <v>U152789U152789</v>
      </c>
      <c r="B3078" t="str">
        <f t="shared" si="99"/>
        <v>U152789G6035EQ-M</v>
      </c>
      <c r="C3078" s="1" t="s">
        <v>677</v>
      </c>
      <c r="D3078" s="1" t="s">
        <v>653</v>
      </c>
      <c r="E3078" s="1" t="s">
        <v>436</v>
      </c>
      <c r="F3078" s="1" t="s">
        <v>443</v>
      </c>
      <c r="G3078" s="1" t="s">
        <v>457</v>
      </c>
      <c r="H3078" s="1">
        <v>810</v>
      </c>
      <c r="I3078" s="3">
        <v>46279</v>
      </c>
      <c r="J3078" s="3">
        <v>46283</v>
      </c>
      <c r="K3078" s="3" t="s">
        <v>2371</v>
      </c>
      <c r="L3078" s="31">
        <v>46279.600296064811</v>
      </c>
      <c r="M3078" s="20">
        <v>12</v>
      </c>
      <c r="N3078" s="1">
        <v>22</v>
      </c>
    </row>
    <row r="3079" spans="1:14" x14ac:dyDescent="0.25">
      <c r="A3079" t="str">
        <f t="shared" si="98"/>
        <v>U152789U152789</v>
      </c>
      <c r="B3079" t="str">
        <f t="shared" si="99"/>
        <v>U152789G6035EQ-M</v>
      </c>
      <c r="C3079" s="1" t="s">
        <v>677</v>
      </c>
      <c r="D3079" s="1" t="s">
        <v>653</v>
      </c>
      <c r="E3079" s="1" t="s">
        <v>436</v>
      </c>
      <c r="F3079" s="1" t="s">
        <v>443</v>
      </c>
      <c r="G3079" s="1" t="s">
        <v>457</v>
      </c>
      <c r="H3079" s="1">
        <v>810</v>
      </c>
      <c r="I3079" s="3">
        <v>46279</v>
      </c>
      <c r="J3079" s="3">
        <v>46283</v>
      </c>
      <c r="K3079" s="3" t="s">
        <v>2371</v>
      </c>
      <c r="L3079" s="31">
        <v>46279.60048645833</v>
      </c>
      <c r="M3079" s="20">
        <v>12</v>
      </c>
      <c r="N3079" s="1">
        <v>4</v>
      </c>
    </row>
    <row r="3080" spans="1:14" x14ac:dyDescent="0.25">
      <c r="A3080" t="str">
        <f t="shared" si="98"/>
        <v>U152789U152789</v>
      </c>
      <c r="B3080" t="str">
        <f t="shared" si="99"/>
        <v>U152789G6035EQ-M</v>
      </c>
      <c r="C3080" s="1" t="s">
        <v>677</v>
      </c>
      <c r="D3080" s="1" t="s">
        <v>653</v>
      </c>
      <c r="E3080" s="1" t="s">
        <v>436</v>
      </c>
      <c r="F3080" s="1" t="s">
        <v>443</v>
      </c>
      <c r="G3080" s="1" t="s">
        <v>457</v>
      </c>
      <c r="H3080" s="1">
        <v>810</v>
      </c>
      <c r="I3080" s="3">
        <v>46279</v>
      </c>
      <c r="J3080" s="3">
        <v>46283</v>
      </c>
      <c r="K3080" s="3" t="s">
        <v>2371</v>
      </c>
      <c r="L3080" s="31">
        <v>46279.600651273147</v>
      </c>
      <c r="M3080" s="20">
        <v>12</v>
      </c>
      <c r="N3080" s="1">
        <v>49</v>
      </c>
    </row>
    <row r="3081" spans="1:14" x14ac:dyDescent="0.25">
      <c r="A3081" t="str">
        <f t="shared" si="98"/>
        <v>U152789U152789</v>
      </c>
      <c r="B3081" t="str">
        <f t="shared" si="99"/>
        <v>U152789G6035EQ-M</v>
      </c>
      <c r="C3081" s="1" t="s">
        <v>677</v>
      </c>
      <c r="D3081" s="1" t="s">
        <v>653</v>
      </c>
      <c r="E3081" s="1" t="s">
        <v>436</v>
      </c>
      <c r="F3081" s="1" t="s">
        <v>443</v>
      </c>
      <c r="G3081" s="1" t="s">
        <v>457</v>
      </c>
      <c r="H3081" s="1">
        <v>810</v>
      </c>
      <c r="I3081" s="3">
        <v>46279</v>
      </c>
      <c r="J3081" s="3">
        <v>46283</v>
      </c>
      <c r="K3081" s="3" t="s">
        <v>2371</v>
      </c>
      <c r="L3081" s="31">
        <v>46279.601011458333</v>
      </c>
      <c r="M3081" s="20">
        <v>12</v>
      </c>
      <c r="N3081" s="1">
        <v>9</v>
      </c>
    </row>
    <row r="3082" spans="1:14" x14ac:dyDescent="0.25">
      <c r="A3082" t="str">
        <f t="shared" si="98"/>
        <v>U152789U152789</v>
      </c>
      <c r="B3082" t="str">
        <f t="shared" si="99"/>
        <v>U152789G6035EQ-M</v>
      </c>
      <c r="C3082" s="1" t="s">
        <v>677</v>
      </c>
      <c r="D3082" s="1" t="s">
        <v>653</v>
      </c>
      <c r="E3082" s="1" t="s">
        <v>436</v>
      </c>
      <c r="F3082" s="1" t="s">
        <v>443</v>
      </c>
      <c r="G3082" s="1" t="s">
        <v>457</v>
      </c>
      <c r="H3082" s="1">
        <v>810</v>
      </c>
      <c r="I3082" s="3">
        <v>46279</v>
      </c>
      <c r="J3082" s="3">
        <v>46283</v>
      </c>
      <c r="K3082" s="3" t="s">
        <v>2371</v>
      </c>
      <c r="L3082" s="31">
        <v>46279.613375000001</v>
      </c>
      <c r="M3082" s="20">
        <v>12</v>
      </c>
      <c r="N3082" s="1">
        <v>23</v>
      </c>
    </row>
    <row r="3083" spans="1:14" x14ac:dyDescent="0.25">
      <c r="A3083" t="str">
        <f t="shared" si="98"/>
        <v>U152789U152789</v>
      </c>
      <c r="B3083" t="str">
        <f t="shared" si="99"/>
        <v>U152789G6035EQ-M</v>
      </c>
      <c r="C3083" s="1" t="s">
        <v>677</v>
      </c>
      <c r="D3083" s="1" t="s">
        <v>653</v>
      </c>
      <c r="E3083" s="1" t="s">
        <v>436</v>
      </c>
      <c r="F3083" s="1" t="s">
        <v>443</v>
      </c>
      <c r="G3083" s="1" t="s">
        <v>457</v>
      </c>
      <c r="H3083" s="1">
        <v>810</v>
      </c>
      <c r="I3083" s="3">
        <v>46279</v>
      </c>
      <c r="J3083" s="3">
        <v>46283</v>
      </c>
      <c r="K3083" s="3" t="s">
        <v>2371</v>
      </c>
      <c r="L3083" s="31">
        <v>46279.613574999996</v>
      </c>
      <c r="M3083" s="20">
        <v>12</v>
      </c>
      <c r="N3083" s="1">
        <v>53</v>
      </c>
    </row>
    <row r="3084" spans="1:14" x14ac:dyDescent="0.25">
      <c r="A3084" t="str">
        <f t="shared" si="98"/>
        <v>U152789U152789</v>
      </c>
      <c r="B3084" t="str">
        <f t="shared" si="99"/>
        <v>U152789G6035EQ-M</v>
      </c>
      <c r="C3084" s="1" t="s">
        <v>677</v>
      </c>
      <c r="D3084" s="1" t="s">
        <v>653</v>
      </c>
      <c r="E3084" s="1" t="s">
        <v>436</v>
      </c>
      <c r="F3084" s="1" t="s">
        <v>443</v>
      </c>
      <c r="G3084" s="1" t="s">
        <v>457</v>
      </c>
      <c r="H3084" s="1">
        <v>810</v>
      </c>
      <c r="I3084" s="3">
        <v>46279</v>
      </c>
      <c r="J3084" s="3">
        <v>46283</v>
      </c>
      <c r="K3084" s="3" t="s">
        <v>2371</v>
      </c>
      <c r="L3084" s="31">
        <v>46279.614007175922</v>
      </c>
      <c r="M3084" s="20">
        <v>12</v>
      </c>
      <c r="N3084" s="1">
        <v>10</v>
      </c>
    </row>
    <row r="3085" spans="1:14" x14ac:dyDescent="0.25">
      <c r="A3085" t="str">
        <f t="shared" si="98"/>
        <v>U152789U152789</v>
      </c>
      <c r="B3085" t="str">
        <f t="shared" si="99"/>
        <v>U152789G6035EQ-M</v>
      </c>
      <c r="C3085" s="1" t="s">
        <v>677</v>
      </c>
      <c r="D3085" s="1" t="s">
        <v>653</v>
      </c>
      <c r="E3085" s="1" t="s">
        <v>436</v>
      </c>
      <c r="F3085" s="1" t="s">
        <v>443</v>
      </c>
      <c r="G3085" s="1" t="s">
        <v>457</v>
      </c>
      <c r="H3085" s="1">
        <v>810</v>
      </c>
      <c r="I3085" s="3">
        <v>46279</v>
      </c>
      <c r="J3085" s="3">
        <v>46283</v>
      </c>
      <c r="K3085" s="3" t="s">
        <v>2371</v>
      </c>
      <c r="L3085" s="31">
        <v>46279.614951423609</v>
      </c>
      <c r="M3085" s="20">
        <v>12</v>
      </c>
      <c r="N3085" s="1">
        <v>32</v>
      </c>
    </row>
    <row r="3086" spans="1:14" x14ac:dyDescent="0.25">
      <c r="A3086" t="str">
        <f t="shared" si="98"/>
        <v>U152789U152789</v>
      </c>
      <c r="B3086" t="str">
        <f t="shared" si="99"/>
        <v>U152789G6035EQ-M</v>
      </c>
      <c r="C3086" s="1" t="s">
        <v>677</v>
      </c>
      <c r="D3086" s="1" t="s">
        <v>653</v>
      </c>
      <c r="E3086" s="1" t="s">
        <v>436</v>
      </c>
      <c r="F3086" s="1" t="s">
        <v>443</v>
      </c>
      <c r="G3086" s="1" t="s">
        <v>457</v>
      </c>
      <c r="H3086" s="1">
        <v>810</v>
      </c>
      <c r="I3086" s="3">
        <v>46279</v>
      </c>
      <c r="J3086" s="3">
        <v>46283</v>
      </c>
      <c r="K3086" s="3" t="s">
        <v>2371</v>
      </c>
      <c r="L3086" s="31">
        <v>46279.619046643515</v>
      </c>
      <c r="M3086" s="20">
        <v>12</v>
      </c>
      <c r="N3086" s="1">
        <v>43</v>
      </c>
    </row>
    <row r="3087" spans="1:14" x14ac:dyDescent="0.25">
      <c r="A3087" t="str">
        <f t="shared" si="98"/>
        <v>U152789U152789</v>
      </c>
      <c r="B3087" t="str">
        <f t="shared" si="99"/>
        <v>U152789G6035EQ-M</v>
      </c>
      <c r="C3087" s="1" t="s">
        <v>677</v>
      </c>
      <c r="D3087" s="1" t="s">
        <v>653</v>
      </c>
      <c r="E3087" s="1" t="s">
        <v>436</v>
      </c>
      <c r="F3087" s="1" t="s">
        <v>443</v>
      </c>
      <c r="G3087" s="1" t="s">
        <v>457</v>
      </c>
      <c r="H3087" s="1">
        <v>810</v>
      </c>
      <c r="I3087" s="3">
        <v>46279</v>
      </c>
      <c r="J3087" s="3">
        <v>46283</v>
      </c>
      <c r="K3087" s="3" t="s">
        <v>2371</v>
      </c>
      <c r="L3087" s="31">
        <v>46279.630297025462</v>
      </c>
      <c r="M3087" s="20">
        <v>12</v>
      </c>
      <c r="N3087" s="1">
        <v>52</v>
      </c>
    </row>
    <row r="3088" spans="1:14" x14ac:dyDescent="0.25">
      <c r="A3088" t="str">
        <f t="shared" si="98"/>
        <v>U152789U152789</v>
      </c>
      <c r="B3088" t="str">
        <f t="shared" si="99"/>
        <v>U152789G6035EQ-M</v>
      </c>
      <c r="C3088" s="1" t="s">
        <v>677</v>
      </c>
      <c r="D3088" s="1" t="s">
        <v>653</v>
      </c>
      <c r="E3088" s="1" t="s">
        <v>436</v>
      </c>
      <c r="F3088" s="1" t="s">
        <v>443</v>
      </c>
      <c r="G3088" s="1" t="s">
        <v>457</v>
      </c>
      <c r="H3088" s="1">
        <v>810</v>
      </c>
      <c r="I3088" s="3">
        <v>46279</v>
      </c>
      <c r="J3088" s="3">
        <v>46283</v>
      </c>
      <c r="K3088" s="3" t="s">
        <v>2371</v>
      </c>
      <c r="L3088" s="31">
        <v>46279.630478472223</v>
      </c>
      <c r="M3088" s="20">
        <v>12</v>
      </c>
      <c r="N3088" s="1">
        <v>58</v>
      </c>
    </row>
    <row r="3089" spans="1:14" x14ac:dyDescent="0.25">
      <c r="A3089" t="str">
        <f t="shared" si="98"/>
        <v>U152789U152789</v>
      </c>
      <c r="B3089" t="str">
        <f t="shared" si="99"/>
        <v>U152789G6035EQ-M</v>
      </c>
      <c r="C3089" s="1" t="s">
        <v>677</v>
      </c>
      <c r="D3089" s="1" t="s">
        <v>653</v>
      </c>
      <c r="E3089" s="1" t="s">
        <v>436</v>
      </c>
      <c r="F3089" s="1" t="s">
        <v>443</v>
      </c>
      <c r="G3089" s="1" t="s">
        <v>457</v>
      </c>
      <c r="H3089" s="1">
        <v>810</v>
      </c>
      <c r="I3089" s="3">
        <v>46279</v>
      </c>
      <c r="J3089" s="3">
        <v>46283</v>
      </c>
      <c r="K3089" s="3" t="s">
        <v>2371</v>
      </c>
      <c r="L3089" s="31">
        <v>46279.638244016205</v>
      </c>
      <c r="M3089" s="20">
        <v>12</v>
      </c>
      <c r="N3089" s="1">
        <v>42</v>
      </c>
    </row>
    <row r="3090" spans="1:14" x14ac:dyDescent="0.25">
      <c r="A3090" t="str">
        <f t="shared" si="98"/>
        <v>U152789U152789</v>
      </c>
      <c r="B3090" t="str">
        <f t="shared" si="99"/>
        <v>U152789G6035EQ-M</v>
      </c>
      <c r="C3090" s="1" t="s">
        <v>677</v>
      </c>
      <c r="D3090" s="1" t="s">
        <v>653</v>
      </c>
      <c r="E3090" s="1" t="s">
        <v>436</v>
      </c>
      <c r="F3090" s="1" t="s">
        <v>443</v>
      </c>
      <c r="G3090" s="1" t="s">
        <v>457</v>
      </c>
      <c r="H3090" s="1">
        <v>810</v>
      </c>
      <c r="I3090" s="3">
        <v>46279</v>
      </c>
      <c r="J3090" s="3">
        <v>46283</v>
      </c>
      <c r="K3090" s="3" t="s">
        <v>2371</v>
      </c>
      <c r="L3090" s="31">
        <v>46279.657755358792</v>
      </c>
      <c r="M3090" s="20">
        <v>12</v>
      </c>
      <c r="N3090" s="1">
        <v>54</v>
      </c>
    </row>
    <row r="3091" spans="1:14" x14ac:dyDescent="0.25">
      <c r="A3091" t="str">
        <f t="shared" si="98"/>
        <v>U152789U152789</v>
      </c>
      <c r="B3091" t="str">
        <f t="shared" si="99"/>
        <v>U152789G6035EQ-M</v>
      </c>
      <c r="C3091" s="1" t="s">
        <v>677</v>
      </c>
      <c r="D3091" s="1" t="s">
        <v>653</v>
      </c>
      <c r="E3091" s="1" t="s">
        <v>436</v>
      </c>
      <c r="F3091" s="1" t="s">
        <v>443</v>
      </c>
      <c r="G3091" s="1" t="s">
        <v>457</v>
      </c>
      <c r="H3091" s="1">
        <v>810</v>
      </c>
      <c r="I3091" s="3">
        <v>46279</v>
      </c>
      <c r="J3091" s="3">
        <v>46283</v>
      </c>
      <c r="K3091" s="3" t="s">
        <v>2371</v>
      </c>
      <c r="L3091" s="31">
        <v>46279.667040509259</v>
      </c>
      <c r="M3091" s="20">
        <v>12</v>
      </c>
      <c r="N3091" s="1">
        <v>24</v>
      </c>
    </row>
    <row r="3092" spans="1:14" x14ac:dyDescent="0.25">
      <c r="A3092" t="str">
        <f t="shared" si="98"/>
        <v>U152789U152789</v>
      </c>
      <c r="B3092" t="str">
        <f t="shared" si="99"/>
        <v>U152789G6035EQ-M</v>
      </c>
      <c r="C3092" s="1" t="s">
        <v>677</v>
      </c>
      <c r="D3092" s="1" t="s">
        <v>653</v>
      </c>
      <c r="E3092" s="1" t="s">
        <v>436</v>
      </c>
      <c r="F3092" s="1" t="s">
        <v>443</v>
      </c>
      <c r="G3092" s="1" t="s">
        <v>457</v>
      </c>
      <c r="H3092" s="1">
        <v>810</v>
      </c>
      <c r="I3092" s="3">
        <v>46279</v>
      </c>
      <c r="J3092" s="3">
        <v>46283</v>
      </c>
      <c r="K3092" s="3" t="s">
        <v>2371</v>
      </c>
      <c r="L3092" s="31">
        <v>46279.678012268516</v>
      </c>
      <c r="M3092" s="20">
        <v>12</v>
      </c>
      <c r="N3092" s="1">
        <v>25</v>
      </c>
    </row>
    <row r="3093" spans="1:14" x14ac:dyDescent="0.25">
      <c r="A3093" t="str">
        <f t="shared" si="98"/>
        <v>U152789U152789</v>
      </c>
      <c r="B3093" t="str">
        <f t="shared" si="99"/>
        <v>U152789G6035EQ-M</v>
      </c>
      <c r="C3093" s="1" t="s">
        <v>677</v>
      </c>
      <c r="D3093" s="1" t="s">
        <v>653</v>
      </c>
      <c r="E3093" s="1" t="s">
        <v>436</v>
      </c>
      <c r="F3093" s="1" t="s">
        <v>443</v>
      </c>
      <c r="G3093" s="1" t="s">
        <v>457</v>
      </c>
      <c r="H3093" s="1">
        <v>810</v>
      </c>
      <c r="I3093" s="3">
        <v>46279</v>
      </c>
      <c r="J3093" s="3">
        <v>46283</v>
      </c>
      <c r="K3093" s="3" t="s">
        <v>2371</v>
      </c>
      <c r="L3093" s="31">
        <v>46279.678970219902</v>
      </c>
      <c r="M3093" s="20">
        <v>12</v>
      </c>
      <c r="N3093" s="1">
        <v>2</v>
      </c>
    </row>
    <row r="3094" spans="1:14" x14ac:dyDescent="0.25">
      <c r="A3094" t="str">
        <f t="shared" si="98"/>
        <v>U152789U152789</v>
      </c>
      <c r="B3094" t="str">
        <f t="shared" si="99"/>
        <v>U152789G6035EQ-M</v>
      </c>
      <c r="C3094" s="1" t="s">
        <v>677</v>
      </c>
      <c r="D3094" s="1" t="s">
        <v>653</v>
      </c>
      <c r="E3094" s="1" t="s">
        <v>436</v>
      </c>
      <c r="F3094" s="1" t="s">
        <v>443</v>
      </c>
      <c r="G3094" s="1" t="s">
        <v>457</v>
      </c>
      <c r="H3094" s="1">
        <v>810</v>
      </c>
      <c r="I3094" s="3">
        <v>46279</v>
      </c>
      <c r="J3094" s="3">
        <v>46283</v>
      </c>
      <c r="K3094" s="3" t="s">
        <v>2371</v>
      </c>
      <c r="L3094" s="31">
        <v>46279.681057407404</v>
      </c>
      <c r="M3094" s="20">
        <v>12</v>
      </c>
      <c r="N3094" s="1">
        <v>50</v>
      </c>
    </row>
    <row r="3095" spans="1:14" x14ac:dyDescent="0.25">
      <c r="A3095" t="str">
        <f t="shared" si="98"/>
        <v>U152789U152789</v>
      </c>
      <c r="B3095" t="str">
        <f t="shared" si="99"/>
        <v>U152789G6035EQ-M</v>
      </c>
      <c r="C3095" s="1" t="s">
        <v>677</v>
      </c>
      <c r="D3095" s="1" t="s">
        <v>653</v>
      </c>
      <c r="E3095" s="1" t="s">
        <v>436</v>
      </c>
      <c r="F3095" s="1" t="s">
        <v>443</v>
      </c>
      <c r="G3095" s="1" t="s">
        <v>457</v>
      </c>
      <c r="H3095" s="1">
        <v>810</v>
      </c>
      <c r="I3095" s="3">
        <v>46279</v>
      </c>
      <c r="J3095" s="3">
        <v>46283</v>
      </c>
      <c r="K3095" s="3" t="s">
        <v>2371</v>
      </c>
      <c r="L3095" s="31">
        <v>46279.681232256946</v>
      </c>
      <c r="M3095" s="20">
        <v>12</v>
      </c>
      <c r="N3095" s="1">
        <v>63</v>
      </c>
    </row>
    <row r="3096" spans="1:14" x14ac:dyDescent="0.25">
      <c r="A3096" t="str">
        <f t="shared" si="98"/>
        <v>U152789U152789</v>
      </c>
      <c r="B3096" t="str">
        <f t="shared" si="99"/>
        <v>U152789G6035EQ-M</v>
      </c>
      <c r="C3096" s="1" t="s">
        <v>677</v>
      </c>
      <c r="D3096" s="1" t="s">
        <v>653</v>
      </c>
      <c r="E3096" s="1" t="s">
        <v>436</v>
      </c>
      <c r="F3096" s="1" t="s">
        <v>443</v>
      </c>
      <c r="G3096" s="1" t="s">
        <v>457</v>
      </c>
      <c r="H3096" s="1">
        <v>810</v>
      </c>
      <c r="I3096" s="3">
        <v>46279</v>
      </c>
      <c r="J3096" s="3">
        <v>46283</v>
      </c>
      <c r="K3096" s="3" t="s">
        <v>2371</v>
      </c>
      <c r="L3096" s="31">
        <v>46279.68273792824</v>
      </c>
      <c r="M3096" s="20">
        <v>12</v>
      </c>
      <c r="N3096" s="1">
        <v>34</v>
      </c>
    </row>
    <row r="3097" spans="1:14" x14ac:dyDescent="0.25">
      <c r="A3097" t="str">
        <f t="shared" si="98"/>
        <v>U152789U152789</v>
      </c>
      <c r="B3097" t="str">
        <f t="shared" si="99"/>
        <v>U152789G6035EQ-M</v>
      </c>
      <c r="C3097" s="1" t="s">
        <v>677</v>
      </c>
      <c r="D3097" s="1" t="s">
        <v>653</v>
      </c>
      <c r="E3097" s="1" t="s">
        <v>436</v>
      </c>
      <c r="F3097" s="1" t="s">
        <v>443</v>
      </c>
      <c r="G3097" s="1" t="s">
        <v>457</v>
      </c>
      <c r="H3097" s="1">
        <v>810</v>
      </c>
      <c r="I3097" s="3">
        <v>46279</v>
      </c>
      <c r="J3097" s="3">
        <v>46283</v>
      </c>
      <c r="K3097" s="3" t="s">
        <v>2371</v>
      </c>
      <c r="L3097" s="31">
        <v>46279.68438475694</v>
      </c>
      <c r="M3097" s="20">
        <v>12</v>
      </c>
      <c r="N3097" s="1">
        <v>59</v>
      </c>
    </row>
    <row r="3098" spans="1:14" x14ac:dyDescent="0.25">
      <c r="A3098" t="str">
        <f t="shared" si="98"/>
        <v>U152789U152789</v>
      </c>
      <c r="B3098" t="str">
        <f t="shared" si="99"/>
        <v>U152789G6035EQ-M</v>
      </c>
      <c r="C3098" s="1" t="s">
        <v>677</v>
      </c>
      <c r="D3098" s="1" t="s">
        <v>653</v>
      </c>
      <c r="E3098" s="1" t="s">
        <v>436</v>
      </c>
      <c r="F3098" s="1" t="s">
        <v>443</v>
      </c>
      <c r="G3098" s="1" t="s">
        <v>457</v>
      </c>
      <c r="H3098" s="1">
        <v>810</v>
      </c>
      <c r="I3098" s="3">
        <v>46279</v>
      </c>
      <c r="J3098" s="3">
        <v>46283</v>
      </c>
      <c r="K3098" s="3" t="s">
        <v>2371</v>
      </c>
      <c r="L3098" s="31">
        <v>46279.68496111111</v>
      </c>
      <c r="M3098" s="20">
        <v>12</v>
      </c>
      <c r="N3098" s="1">
        <v>33</v>
      </c>
    </row>
    <row r="3099" spans="1:14" x14ac:dyDescent="0.25">
      <c r="A3099" t="str">
        <f t="shared" si="98"/>
        <v>U152789U152789</v>
      </c>
      <c r="B3099" t="str">
        <f t="shared" si="99"/>
        <v>U152789G6035EQ-M</v>
      </c>
      <c r="C3099" s="1" t="s">
        <v>677</v>
      </c>
      <c r="D3099" s="1" t="s">
        <v>653</v>
      </c>
      <c r="E3099" s="1" t="s">
        <v>436</v>
      </c>
      <c r="F3099" s="1" t="s">
        <v>443</v>
      </c>
      <c r="G3099" s="1" t="s">
        <v>457</v>
      </c>
      <c r="H3099" s="1">
        <v>810</v>
      </c>
      <c r="I3099" s="3">
        <v>46279</v>
      </c>
      <c r="J3099" s="3">
        <v>46283</v>
      </c>
      <c r="K3099" s="3" t="s">
        <v>2371</v>
      </c>
      <c r="L3099" s="31">
        <v>46279.685171643519</v>
      </c>
      <c r="M3099" s="20">
        <v>12</v>
      </c>
      <c r="N3099" s="1">
        <v>11</v>
      </c>
    </row>
    <row r="3100" spans="1:14" x14ac:dyDescent="0.25">
      <c r="A3100" t="str">
        <f t="shared" si="98"/>
        <v>U152789U152789</v>
      </c>
      <c r="B3100" t="str">
        <f t="shared" si="99"/>
        <v>U152789G6035EQ-M</v>
      </c>
      <c r="C3100" s="1" t="s">
        <v>677</v>
      </c>
      <c r="D3100" s="1" t="s">
        <v>653</v>
      </c>
      <c r="E3100" s="1" t="s">
        <v>436</v>
      </c>
      <c r="F3100" s="1" t="s">
        <v>443</v>
      </c>
      <c r="G3100" s="1" t="s">
        <v>457</v>
      </c>
      <c r="H3100" s="1">
        <v>810</v>
      </c>
      <c r="I3100" s="3">
        <v>46279</v>
      </c>
      <c r="J3100" s="3">
        <v>46283</v>
      </c>
      <c r="K3100" s="3" t="s">
        <v>2371</v>
      </c>
      <c r="L3100" s="31">
        <v>46279.695452349537</v>
      </c>
      <c r="M3100" s="20">
        <v>12</v>
      </c>
      <c r="N3100" s="1">
        <v>35</v>
      </c>
    </row>
    <row r="3101" spans="1:14" x14ac:dyDescent="0.25">
      <c r="A3101" t="str">
        <f t="shared" si="98"/>
        <v>U152789U152789</v>
      </c>
      <c r="B3101" t="str">
        <f t="shared" si="99"/>
        <v>U152789G6035EQ-M</v>
      </c>
      <c r="C3101" s="1" t="s">
        <v>677</v>
      </c>
      <c r="D3101" s="1" t="s">
        <v>653</v>
      </c>
      <c r="E3101" s="1" t="s">
        <v>436</v>
      </c>
      <c r="F3101" s="1" t="s">
        <v>443</v>
      </c>
      <c r="G3101" s="1" t="s">
        <v>457</v>
      </c>
      <c r="H3101" s="1">
        <v>810</v>
      </c>
      <c r="I3101" s="3">
        <v>46279</v>
      </c>
      <c r="J3101" s="3">
        <v>46283</v>
      </c>
      <c r="K3101" s="3" t="s">
        <v>2371</v>
      </c>
      <c r="L3101" s="31">
        <v>46279.705237349532</v>
      </c>
      <c r="M3101" s="20">
        <v>12</v>
      </c>
      <c r="N3101" s="1">
        <v>12</v>
      </c>
    </row>
    <row r="3102" spans="1:14" x14ac:dyDescent="0.25">
      <c r="A3102" t="str">
        <f t="shared" si="98"/>
        <v>U152789U152789</v>
      </c>
      <c r="B3102" t="str">
        <f t="shared" si="99"/>
        <v>U152789G6035EQ-M</v>
      </c>
      <c r="C3102" s="1" t="s">
        <v>677</v>
      </c>
      <c r="D3102" s="1" t="s">
        <v>653</v>
      </c>
      <c r="E3102" s="1" t="s">
        <v>436</v>
      </c>
      <c r="F3102" s="1" t="s">
        <v>443</v>
      </c>
      <c r="G3102" s="1" t="s">
        <v>457</v>
      </c>
      <c r="H3102" s="1">
        <v>810</v>
      </c>
      <c r="I3102" s="3">
        <v>46279</v>
      </c>
      <c r="J3102" s="3">
        <v>46283</v>
      </c>
      <c r="K3102" s="3" t="s">
        <v>2371</v>
      </c>
      <c r="L3102" s="31">
        <v>46279.705721990736</v>
      </c>
      <c r="M3102" s="20">
        <v>12</v>
      </c>
      <c r="N3102" s="1">
        <v>5</v>
      </c>
    </row>
    <row r="3103" spans="1:14" x14ac:dyDescent="0.25">
      <c r="A3103" t="str">
        <f t="shared" si="98"/>
        <v>U152804U152804</v>
      </c>
      <c r="B3103" t="str">
        <f t="shared" si="99"/>
        <v>U152804P60368L-M</v>
      </c>
      <c r="C3103" s="1" t="s">
        <v>48</v>
      </c>
      <c r="D3103" s="1" t="s">
        <v>681</v>
      </c>
      <c r="E3103" s="1" t="s">
        <v>436</v>
      </c>
      <c r="F3103" s="1" t="s">
        <v>443</v>
      </c>
      <c r="G3103" s="1" t="s">
        <v>444</v>
      </c>
      <c r="H3103" s="1">
        <v>246</v>
      </c>
      <c r="I3103" s="3">
        <v>46279</v>
      </c>
      <c r="J3103" s="3">
        <v>46280</v>
      </c>
      <c r="K3103" s="3" t="s">
        <v>2374</v>
      </c>
      <c r="L3103" s="31">
        <v>46279.628767094902</v>
      </c>
      <c r="M3103" s="20">
        <v>12</v>
      </c>
      <c r="N3103" s="1">
        <v>6</v>
      </c>
    </row>
    <row r="3104" spans="1:14" x14ac:dyDescent="0.25">
      <c r="A3104" t="str">
        <f t="shared" si="98"/>
        <v>U152804U152804</v>
      </c>
      <c r="B3104" t="str">
        <f t="shared" si="99"/>
        <v>U152804P60368L-M</v>
      </c>
      <c r="C3104" s="1" t="s">
        <v>48</v>
      </c>
      <c r="D3104" s="1" t="s">
        <v>681</v>
      </c>
      <c r="E3104" s="1" t="s">
        <v>436</v>
      </c>
      <c r="F3104" s="1" t="s">
        <v>443</v>
      </c>
      <c r="G3104" s="1" t="s">
        <v>444</v>
      </c>
      <c r="H3104" s="1">
        <v>246</v>
      </c>
      <c r="I3104" s="3">
        <v>46279</v>
      </c>
      <c r="J3104" s="3">
        <v>46280</v>
      </c>
      <c r="K3104" s="3" t="s">
        <v>2374</v>
      </c>
      <c r="L3104" s="31">
        <v>46279.635792673609</v>
      </c>
      <c r="M3104" s="20">
        <v>12</v>
      </c>
      <c r="N3104" s="1">
        <v>2</v>
      </c>
    </row>
    <row r="3105" spans="1:14" x14ac:dyDescent="0.25">
      <c r="A3105" t="str">
        <f t="shared" si="98"/>
        <v>U152804U152804</v>
      </c>
      <c r="B3105" t="str">
        <f t="shared" si="99"/>
        <v>U152804P60368L-M</v>
      </c>
      <c r="C3105" s="1" t="s">
        <v>48</v>
      </c>
      <c r="D3105" s="1" t="s">
        <v>681</v>
      </c>
      <c r="E3105" s="1" t="s">
        <v>436</v>
      </c>
      <c r="F3105" s="1" t="s">
        <v>443</v>
      </c>
      <c r="G3105" s="1" t="s">
        <v>444</v>
      </c>
      <c r="H3105" s="1">
        <v>246</v>
      </c>
      <c r="I3105" s="3">
        <v>46279</v>
      </c>
      <c r="J3105" s="3">
        <v>46280</v>
      </c>
      <c r="K3105" s="3" t="s">
        <v>2374</v>
      </c>
      <c r="L3105" s="31">
        <v>46279.635961342588</v>
      </c>
      <c r="M3105" s="20">
        <v>12</v>
      </c>
      <c r="N3105" s="1">
        <v>12</v>
      </c>
    </row>
    <row r="3106" spans="1:14" x14ac:dyDescent="0.25">
      <c r="A3106" t="str">
        <f t="shared" si="98"/>
        <v>U152804U152804</v>
      </c>
      <c r="B3106" t="str">
        <f t="shared" si="99"/>
        <v>U152804P60368L-M</v>
      </c>
      <c r="C3106" s="1" t="s">
        <v>48</v>
      </c>
      <c r="D3106" s="1" t="s">
        <v>681</v>
      </c>
      <c r="E3106" s="1" t="s">
        <v>436</v>
      </c>
      <c r="F3106" s="1" t="s">
        <v>443</v>
      </c>
      <c r="G3106" s="1" t="s">
        <v>444</v>
      </c>
      <c r="H3106" s="1">
        <v>246</v>
      </c>
      <c r="I3106" s="3">
        <v>46279</v>
      </c>
      <c r="J3106" s="3">
        <v>46280</v>
      </c>
      <c r="K3106" s="3" t="s">
        <v>2374</v>
      </c>
      <c r="L3106" s="31">
        <v>46279.668807638889</v>
      </c>
      <c r="M3106" s="20">
        <v>12</v>
      </c>
      <c r="N3106" s="1">
        <v>1</v>
      </c>
    </row>
    <row r="3107" spans="1:14" x14ac:dyDescent="0.25">
      <c r="A3107" t="str">
        <f t="shared" si="98"/>
        <v>U152804U152804</v>
      </c>
      <c r="B3107" t="str">
        <f t="shared" si="99"/>
        <v>U152804P60368L-M</v>
      </c>
      <c r="C3107" s="1" t="s">
        <v>48</v>
      </c>
      <c r="D3107" s="1" t="s">
        <v>681</v>
      </c>
      <c r="E3107" s="1" t="s">
        <v>436</v>
      </c>
      <c r="F3107" s="1" t="s">
        <v>443</v>
      </c>
      <c r="G3107" s="1" t="s">
        <v>444</v>
      </c>
      <c r="H3107" s="1">
        <v>246</v>
      </c>
      <c r="I3107" s="3">
        <v>46279</v>
      </c>
      <c r="J3107" s="3">
        <v>46280</v>
      </c>
      <c r="K3107" s="3" t="s">
        <v>2374</v>
      </c>
      <c r="L3107" s="31">
        <v>46279.669591782404</v>
      </c>
      <c r="M3107" s="20">
        <v>12</v>
      </c>
      <c r="N3107" s="1">
        <v>14</v>
      </c>
    </row>
    <row r="3108" spans="1:14" x14ac:dyDescent="0.25">
      <c r="A3108" t="str">
        <f t="shared" si="98"/>
        <v>U152804U152804</v>
      </c>
      <c r="B3108" t="str">
        <f t="shared" si="99"/>
        <v>U152804P60368L-M</v>
      </c>
      <c r="C3108" s="1" t="s">
        <v>48</v>
      </c>
      <c r="D3108" s="1" t="s">
        <v>681</v>
      </c>
      <c r="E3108" s="1" t="s">
        <v>436</v>
      </c>
      <c r="F3108" s="1" t="s">
        <v>443</v>
      </c>
      <c r="G3108" s="1" t="s">
        <v>444</v>
      </c>
      <c r="H3108" s="1">
        <v>246</v>
      </c>
      <c r="I3108" s="3">
        <v>46279</v>
      </c>
      <c r="J3108" s="3">
        <v>46280</v>
      </c>
      <c r="K3108" s="3" t="s">
        <v>2374</v>
      </c>
      <c r="L3108" s="31">
        <v>46279.673403587964</v>
      </c>
      <c r="M3108" s="20">
        <v>12</v>
      </c>
      <c r="N3108" s="1">
        <v>7</v>
      </c>
    </row>
    <row r="3109" spans="1:14" x14ac:dyDescent="0.25">
      <c r="A3109" t="str">
        <f t="shared" si="98"/>
        <v>U152804U152804</v>
      </c>
      <c r="B3109" t="str">
        <f t="shared" si="99"/>
        <v>U152804P60368L-M</v>
      </c>
      <c r="C3109" s="1" t="s">
        <v>48</v>
      </c>
      <c r="D3109" s="1" t="s">
        <v>681</v>
      </c>
      <c r="E3109" s="1" t="s">
        <v>436</v>
      </c>
      <c r="F3109" s="1" t="s">
        <v>443</v>
      </c>
      <c r="G3109" s="1" t="s">
        <v>444</v>
      </c>
      <c r="H3109" s="1">
        <v>246</v>
      </c>
      <c r="I3109" s="3">
        <v>46279</v>
      </c>
      <c r="J3109" s="3">
        <v>46280</v>
      </c>
      <c r="K3109" s="3" t="s">
        <v>2374</v>
      </c>
      <c r="L3109" s="31">
        <v>46279.673811956018</v>
      </c>
      <c r="M3109" s="20">
        <v>12</v>
      </c>
      <c r="N3109" s="1">
        <v>8</v>
      </c>
    </row>
    <row r="3110" spans="1:14" x14ac:dyDescent="0.25">
      <c r="A3110" t="str">
        <f t="shared" si="98"/>
        <v>U152804U152804</v>
      </c>
      <c r="B3110" t="str">
        <f t="shared" si="99"/>
        <v>U152804P60368L-M</v>
      </c>
      <c r="C3110" s="1" t="s">
        <v>48</v>
      </c>
      <c r="D3110" s="1" t="s">
        <v>681</v>
      </c>
      <c r="E3110" s="1" t="s">
        <v>436</v>
      </c>
      <c r="F3110" s="1" t="s">
        <v>443</v>
      </c>
      <c r="G3110" s="1" t="s">
        <v>444</v>
      </c>
      <c r="H3110" s="1">
        <v>246</v>
      </c>
      <c r="I3110" s="3">
        <v>46279</v>
      </c>
      <c r="J3110" s="3">
        <v>46280</v>
      </c>
      <c r="K3110" s="3" t="s">
        <v>2374</v>
      </c>
      <c r="L3110" s="31">
        <v>46279.682353935183</v>
      </c>
      <c r="M3110" s="20">
        <v>12</v>
      </c>
      <c r="N3110" s="1">
        <v>5</v>
      </c>
    </row>
    <row r="3111" spans="1:14" x14ac:dyDescent="0.25">
      <c r="A3111" t="str">
        <f t="shared" si="98"/>
        <v>U152804U152804</v>
      </c>
      <c r="B3111" t="str">
        <f t="shared" si="99"/>
        <v>U152804P60368L-M</v>
      </c>
      <c r="C3111" s="1" t="s">
        <v>48</v>
      </c>
      <c r="D3111" s="1" t="s">
        <v>681</v>
      </c>
      <c r="E3111" s="1" t="s">
        <v>436</v>
      </c>
      <c r="F3111" s="1" t="s">
        <v>443</v>
      </c>
      <c r="G3111" s="1" t="s">
        <v>444</v>
      </c>
      <c r="H3111" s="1">
        <v>246</v>
      </c>
      <c r="I3111" s="3">
        <v>46279</v>
      </c>
      <c r="J3111" s="3">
        <v>46280</v>
      </c>
      <c r="K3111" s="3" t="s">
        <v>2374</v>
      </c>
      <c r="L3111" s="31">
        <v>46279.682939618055</v>
      </c>
      <c r="M3111" s="20">
        <v>12</v>
      </c>
      <c r="N3111" s="1">
        <v>3</v>
      </c>
    </row>
    <row r="3112" spans="1:14" x14ac:dyDescent="0.25">
      <c r="A3112" t="str">
        <f t="shared" si="98"/>
        <v>U152804U152804</v>
      </c>
      <c r="B3112" t="str">
        <f t="shared" si="99"/>
        <v>U152804P60368L-M</v>
      </c>
      <c r="C3112" s="1" t="s">
        <v>48</v>
      </c>
      <c r="D3112" s="1" t="s">
        <v>681</v>
      </c>
      <c r="E3112" s="1" t="s">
        <v>436</v>
      </c>
      <c r="F3112" s="1" t="s">
        <v>443</v>
      </c>
      <c r="G3112" s="1" t="s">
        <v>444</v>
      </c>
      <c r="H3112" s="1">
        <v>246</v>
      </c>
      <c r="I3112" s="3">
        <v>46279</v>
      </c>
      <c r="J3112" s="3">
        <v>46280</v>
      </c>
      <c r="K3112" s="3" t="s">
        <v>2374</v>
      </c>
      <c r="L3112" s="31">
        <v>46279.683106631943</v>
      </c>
      <c r="M3112" s="20">
        <v>12</v>
      </c>
      <c r="N3112" s="1">
        <v>16</v>
      </c>
    </row>
    <row r="3113" spans="1:14" x14ac:dyDescent="0.25">
      <c r="A3113" t="str">
        <f t="shared" si="98"/>
        <v>U152804U152804</v>
      </c>
      <c r="B3113" t="str">
        <f t="shared" si="99"/>
        <v>U152804P60368L-M</v>
      </c>
      <c r="C3113" s="1" t="s">
        <v>48</v>
      </c>
      <c r="D3113" s="1" t="s">
        <v>681</v>
      </c>
      <c r="E3113" s="1" t="s">
        <v>436</v>
      </c>
      <c r="F3113" s="1" t="s">
        <v>443</v>
      </c>
      <c r="G3113" s="1" t="s">
        <v>444</v>
      </c>
      <c r="H3113" s="1">
        <v>246</v>
      </c>
      <c r="I3113" s="3">
        <v>46279</v>
      </c>
      <c r="J3113" s="3">
        <v>46280</v>
      </c>
      <c r="K3113" s="3" t="s">
        <v>2374</v>
      </c>
      <c r="L3113" s="31">
        <v>46279.684060069441</v>
      </c>
      <c r="M3113" s="20">
        <v>12</v>
      </c>
      <c r="N3113" s="1">
        <v>9</v>
      </c>
    </row>
    <row r="3114" spans="1:14" x14ac:dyDescent="0.25">
      <c r="A3114" t="str">
        <f t="shared" si="98"/>
        <v>U152804U152804</v>
      </c>
      <c r="B3114" t="str">
        <f t="shared" si="99"/>
        <v>U152804P60368L-M</v>
      </c>
      <c r="C3114" s="1" t="s">
        <v>48</v>
      </c>
      <c r="D3114" s="1" t="s">
        <v>681</v>
      </c>
      <c r="E3114" s="1" t="s">
        <v>436</v>
      </c>
      <c r="F3114" s="1" t="s">
        <v>443</v>
      </c>
      <c r="G3114" s="1" t="s">
        <v>444</v>
      </c>
      <c r="H3114" s="1">
        <v>246</v>
      </c>
      <c r="I3114" s="3">
        <v>46279</v>
      </c>
      <c r="J3114" s="3">
        <v>46280</v>
      </c>
      <c r="K3114" s="3" t="s">
        <v>2374</v>
      </c>
      <c r="L3114" s="31">
        <v>46279.689125462959</v>
      </c>
      <c r="M3114" s="20">
        <v>12</v>
      </c>
      <c r="N3114" s="1">
        <v>11</v>
      </c>
    </row>
    <row r="3115" spans="1:14" x14ac:dyDescent="0.25">
      <c r="A3115" t="str">
        <f t="shared" si="98"/>
        <v>U152804U152804</v>
      </c>
      <c r="B3115" t="str">
        <f t="shared" si="99"/>
        <v>U152804P60368L-M</v>
      </c>
      <c r="C3115" s="1" t="s">
        <v>48</v>
      </c>
      <c r="D3115" s="1" t="s">
        <v>681</v>
      </c>
      <c r="E3115" s="1" t="s">
        <v>436</v>
      </c>
      <c r="F3115" s="1" t="s">
        <v>443</v>
      </c>
      <c r="G3115" s="1" t="s">
        <v>444</v>
      </c>
      <c r="H3115" s="1">
        <v>246</v>
      </c>
      <c r="I3115" s="3">
        <v>46279</v>
      </c>
      <c r="J3115" s="3">
        <v>46280</v>
      </c>
      <c r="K3115" s="3" t="s">
        <v>2374</v>
      </c>
      <c r="L3115" s="31">
        <v>46279.689261111111</v>
      </c>
      <c r="M3115" s="20">
        <v>6</v>
      </c>
      <c r="N3115" s="1">
        <v>20</v>
      </c>
    </row>
    <row r="3116" spans="1:14" x14ac:dyDescent="0.25">
      <c r="A3116" t="str">
        <f t="shared" si="98"/>
        <v>U152804U152804</v>
      </c>
      <c r="B3116" t="str">
        <f t="shared" si="99"/>
        <v>U152804P60368L-M</v>
      </c>
      <c r="C3116" s="1" t="s">
        <v>48</v>
      </c>
      <c r="D3116" s="1" t="s">
        <v>681</v>
      </c>
      <c r="E3116" s="1" t="s">
        <v>436</v>
      </c>
      <c r="F3116" s="1" t="s">
        <v>443</v>
      </c>
      <c r="G3116" s="1" t="s">
        <v>444</v>
      </c>
      <c r="H3116" s="1">
        <v>246</v>
      </c>
      <c r="I3116" s="3">
        <v>46279</v>
      </c>
      <c r="J3116" s="3">
        <v>46280</v>
      </c>
      <c r="K3116" s="3" t="s">
        <v>2374</v>
      </c>
      <c r="L3116" s="31">
        <v>46279.689525543981</v>
      </c>
      <c r="M3116" s="20">
        <v>6</v>
      </c>
      <c r="N3116" s="1">
        <v>22</v>
      </c>
    </row>
    <row r="3117" spans="1:14" x14ac:dyDescent="0.25">
      <c r="A3117" t="str">
        <f t="shared" si="98"/>
        <v>U152804U152804</v>
      </c>
      <c r="B3117" t="str">
        <f t="shared" si="99"/>
        <v>U152804P60368L-M</v>
      </c>
      <c r="C3117" s="1" t="s">
        <v>48</v>
      </c>
      <c r="D3117" s="1" t="s">
        <v>681</v>
      </c>
      <c r="E3117" s="1" t="s">
        <v>436</v>
      </c>
      <c r="F3117" s="1" t="s">
        <v>443</v>
      </c>
      <c r="G3117" s="1" t="s">
        <v>444</v>
      </c>
      <c r="H3117" s="1">
        <v>246</v>
      </c>
      <c r="I3117" s="3">
        <v>46279</v>
      </c>
      <c r="J3117" s="3">
        <v>46280</v>
      </c>
      <c r="K3117" s="3" t="s">
        <v>2374</v>
      </c>
      <c r="L3117" s="31">
        <v>46279.695282210647</v>
      </c>
      <c r="M3117" s="20">
        <v>12</v>
      </c>
      <c r="N3117" s="1">
        <v>10</v>
      </c>
    </row>
    <row r="3118" spans="1:14" x14ac:dyDescent="0.25">
      <c r="A3118" t="str">
        <f t="shared" si="98"/>
        <v>U152804U152804</v>
      </c>
      <c r="B3118" t="str">
        <f t="shared" si="99"/>
        <v>U152804P60368L-M</v>
      </c>
      <c r="C3118" s="1" t="s">
        <v>48</v>
      </c>
      <c r="D3118" s="1" t="s">
        <v>681</v>
      </c>
      <c r="E3118" s="1" t="s">
        <v>436</v>
      </c>
      <c r="F3118" s="1" t="s">
        <v>443</v>
      </c>
      <c r="G3118" s="1" t="s">
        <v>444</v>
      </c>
      <c r="H3118" s="1">
        <v>246</v>
      </c>
      <c r="I3118" s="3">
        <v>46279</v>
      </c>
      <c r="J3118" s="3">
        <v>46280</v>
      </c>
      <c r="K3118" s="3" t="s">
        <v>2374</v>
      </c>
      <c r="L3118" s="31">
        <v>46279.702514432865</v>
      </c>
      <c r="M3118" s="20">
        <v>6</v>
      </c>
      <c r="N3118" s="1">
        <v>21</v>
      </c>
    </row>
    <row r="3119" spans="1:14" x14ac:dyDescent="0.25">
      <c r="A3119" t="str">
        <f t="shared" si="98"/>
        <v>U152804U152804</v>
      </c>
      <c r="B3119" t="str">
        <f t="shared" si="99"/>
        <v>U152804P60368L-M</v>
      </c>
      <c r="C3119" s="1" t="s">
        <v>48</v>
      </c>
      <c r="D3119" s="1" t="s">
        <v>681</v>
      </c>
      <c r="E3119" s="1" t="s">
        <v>436</v>
      </c>
      <c r="F3119" s="1" t="s">
        <v>443</v>
      </c>
      <c r="G3119" s="1" t="s">
        <v>444</v>
      </c>
      <c r="H3119" s="1">
        <v>246</v>
      </c>
      <c r="I3119" s="3">
        <v>46279</v>
      </c>
      <c r="J3119" s="3">
        <v>46280</v>
      </c>
      <c r="K3119" s="3" t="s">
        <v>2374</v>
      </c>
      <c r="L3119" s="31">
        <v>46279.703351770833</v>
      </c>
      <c r="M3119" s="20">
        <v>12</v>
      </c>
      <c r="N3119" s="1">
        <v>4</v>
      </c>
    </row>
    <row r="3120" spans="1:14" x14ac:dyDescent="0.25">
      <c r="A3120" t="str">
        <f t="shared" si="98"/>
        <v>U152804U152804</v>
      </c>
      <c r="B3120" t="str">
        <f t="shared" si="99"/>
        <v>U152804P60368L-M</v>
      </c>
      <c r="C3120" s="1" t="s">
        <v>48</v>
      </c>
      <c r="D3120" s="1" t="s">
        <v>681</v>
      </c>
      <c r="E3120" s="1" t="s">
        <v>436</v>
      </c>
      <c r="F3120" s="1" t="s">
        <v>443</v>
      </c>
      <c r="G3120" s="1" t="s">
        <v>444</v>
      </c>
      <c r="H3120" s="1">
        <v>246</v>
      </c>
      <c r="I3120" s="3">
        <v>46279</v>
      </c>
      <c r="J3120" s="3">
        <v>46280</v>
      </c>
      <c r="K3120" s="3" t="s">
        <v>2374</v>
      </c>
      <c r="L3120" s="31">
        <v>46279.703833993051</v>
      </c>
      <c r="M3120" s="20">
        <v>12</v>
      </c>
      <c r="N3120" s="1">
        <v>15</v>
      </c>
    </row>
    <row r="3121" spans="1:14" x14ac:dyDescent="0.25">
      <c r="A3121" t="str">
        <f t="shared" si="98"/>
        <v>U152804U152804</v>
      </c>
      <c r="B3121" t="str">
        <f t="shared" si="99"/>
        <v>U152804P60368L-M</v>
      </c>
      <c r="C3121" s="1" t="s">
        <v>48</v>
      </c>
      <c r="D3121" s="1" t="s">
        <v>681</v>
      </c>
      <c r="E3121" s="1" t="s">
        <v>436</v>
      </c>
      <c r="F3121" s="1" t="s">
        <v>443</v>
      </c>
      <c r="G3121" s="1" t="s">
        <v>444</v>
      </c>
      <c r="H3121" s="1">
        <v>246</v>
      </c>
      <c r="I3121" s="3">
        <v>46279</v>
      </c>
      <c r="J3121" s="3">
        <v>46280</v>
      </c>
      <c r="K3121" s="3" t="s">
        <v>2374</v>
      </c>
      <c r="L3121" s="31">
        <v>46279.71422681713</v>
      </c>
      <c r="M3121" s="20">
        <v>6</v>
      </c>
      <c r="N3121" s="1">
        <v>23</v>
      </c>
    </row>
    <row r="3122" spans="1:14" x14ac:dyDescent="0.25">
      <c r="A3122" t="str">
        <f t="shared" si="98"/>
        <v>U152804U152804</v>
      </c>
      <c r="B3122" t="str">
        <f t="shared" si="99"/>
        <v>U152804P60368L-M</v>
      </c>
      <c r="C3122" s="1" t="s">
        <v>48</v>
      </c>
      <c r="D3122" s="1" t="s">
        <v>681</v>
      </c>
      <c r="E3122" s="1" t="s">
        <v>436</v>
      </c>
      <c r="F3122" s="1" t="s">
        <v>443</v>
      </c>
      <c r="G3122" s="1" t="s">
        <v>444</v>
      </c>
      <c r="H3122" s="1">
        <v>246</v>
      </c>
      <c r="I3122" s="3">
        <v>46279</v>
      </c>
      <c r="J3122" s="3">
        <v>46280</v>
      </c>
      <c r="K3122" s="3" t="s">
        <v>2374</v>
      </c>
      <c r="L3122" s="31">
        <v>46279.714538425927</v>
      </c>
      <c r="M3122" s="20">
        <v>6</v>
      </c>
      <c r="N3122" s="1">
        <v>19</v>
      </c>
    </row>
    <row r="3123" spans="1:14" x14ac:dyDescent="0.25">
      <c r="A3123" t="str">
        <f t="shared" si="98"/>
        <v>U152804U152804</v>
      </c>
      <c r="B3123" t="str">
        <f t="shared" si="99"/>
        <v>U152804P60368L-M</v>
      </c>
      <c r="C3123" s="1" t="s">
        <v>48</v>
      </c>
      <c r="D3123" s="1" t="s">
        <v>681</v>
      </c>
      <c r="E3123" s="1" t="s">
        <v>436</v>
      </c>
      <c r="F3123" s="1" t="s">
        <v>443</v>
      </c>
      <c r="G3123" s="1" t="s">
        <v>444</v>
      </c>
      <c r="H3123" s="1">
        <v>246</v>
      </c>
      <c r="I3123" s="3">
        <v>46279</v>
      </c>
      <c r="J3123" s="3">
        <v>46280</v>
      </c>
      <c r="K3123" s="3" t="s">
        <v>2374</v>
      </c>
      <c r="L3123" s="31">
        <v>46279.714725428239</v>
      </c>
      <c r="M3123" s="20">
        <v>12</v>
      </c>
      <c r="N3123" s="1">
        <v>17</v>
      </c>
    </row>
    <row r="3124" spans="1:14" x14ac:dyDescent="0.25">
      <c r="A3124" t="str">
        <f t="shared" si="98"/>
        <v>U152804U152804</v>
      </c>
      <c r="B3124" t="str">
        <f t="shared" si="99"/>
        <v>U152804P60368L-M</v>
      </c>
      <c r="C3124" s="1" t="s">
        <v>48</v>
      </c>
      <c r="D3124" s="1" t="s">
        <v>681</v>
      </c>
      <c r="E3124" s="1" t="s">
        <v>436</v>
      </c>
      <c r="F3124" s="1" t="s">
        <v>443</v>
      </c>
      <c r="G3124" s="1" t="s">
        <v>444</v>
      </c>
      <c r="H3124" s="1">
        <v>246</v>
      </c>
      <c r="I3124" s="3">
        <v>46279</v>
      </c>
      <c r="J3124" s="3">
        <v>46280</v>
      </c>
      <c r="K3124" s="3" t="s">
        <v>2374</v>
      </c>
      <c r="L3124" s="31">
        <v>46279.714843518515</v>
      </c>
      <c r="M3124" s="20">
        <v>6</v>
      </c>
      <c r="N3124" s="1">
        <v>18</v>
      </c>
    </row>
    <row r="3125" spans="1:14" x14ac:dyDescent="0.25">
      <c r="A3125" t="str">
        <f t="shared" si="98"/>
        <v>78660987866098</v>
      </c>
      <c r="B3125" t="str">
        <f t="shared" si="99"/>
        <v>7866098GC9060BE-M</v>
      </c>
      <c r="C3125" s="1" t="s">
        <v>43</v>
      </c>
      <c r="D3125" s="1" t="s">
        <v>706</v>
      </c>
      <c r="E3125" s="1" t="s">
        <v>385</v>
      </c>
      <c r="F3125" s="1" t="s">
        <v>386</v>
      </c>
      <c r="G3125" s="1" t="s">
        <v>387</v>
      </c>
      <c r="H3125" s="1">
        <v>780</v>
      </c>
      <c r="I3125" s="3">
        <v>46280</v>
      </c>
      <c r="J3125" s="3">
        <v>46286</v>
      </c>
      <c r="K3125" s="3" t="s">
        <v>2362</v>
      </c>
      <c r="L3125" s="31">
        <v>46280.691574502314</v>
      </c>
      <c r="M3125" s="20">
        <v>12</v>
      </c>
      <c r="N3125" s="1">
        <v>57</v>
      </c>
    </row>
    <row r="3126" spans="1:14" x14ac:dyDescent="0.25">
      <c r="A3126" t="str">
        <f t="shared" si="98"/>
        <v>78660987866098</v>
      </c>
      <c r="B3126" t="str">
        <f t="shared" si="99"/>
        <v>7866098GC9060BE-M</v>
      </c>
      <c r="C3126" s="1" t="s">
        <v>43</v>
      </c>
      <c r="D3126" s="1" t="s">
        <v>706</v>
      </c>
      <c r="E3126" s="1" t="s">
        <v>385</v>
      </c>
      <c r="F3126" s="1" t="s">
        <v>386</v>
      </c>
      <c r="G3126" s="1" t="s">
        <v>387</v>
      </c>
      <c r="H3126" s="1">
        <v>780</v>
      </c>
      <c r="I3126" s="3">
        <v>46280</v>
      </c>
      <c r="J3126" s="3">
        <v>46286</v>
      </c>
      <c r="K3126" s="3" t="s">
        <v>2362</v>
      </c>
      <c r="L3126" s="31">
        <v>46280.700285914347</v>
      </c>
      <c r="M3126" s="20">
        <v>12</v>
      </c>
      <c r="N3126" s="1">
        <v>19</v>
      </c>
    </row>
    <row r="3127" spans="1:14" x14ac:dyDescent="0.25">
      <c r="A3127" t="str">
        <f t="shared" si="98"/>
        <v>78660987866098</v>
      </c>
      <c r="B3127" t="str">
        <f t="shared" si="99"/>
        <v>7866098GC9060BE-M</v>
      </c>
      <c r="C3127" s="1" t="s">
        <v>43</v>
      </c>
      <c r="D3127" s="1" t="s">
        <v>706</v>
      </c>
      <c r="E3127" s="1" t="s">
        <v>385</v>
      </c>
      <c r="F3127" s="1" t="s">
        <v>386</v>
      </c>
      <c r="G3127" s="1" t="s">
        <v>387</v>
      </c>
      <c r="H3127" s="1">
        <v>780</v>
      </c>
      <c r="I3127" s="3">
        <v>46280</v>
      </c>
      <c r="J3127" s="3">
        <v>46286</v>
      </c>
      <c r="K3127" s="3" t="s">
        <v>2362</v>
      </c>
      <c r="L3127" s="31">
        <v>46280.700439351851</v>
      </c>
      <c r="M3127" s="20">
        <v>12</v>
      </c>
      <c r="N3127" s="1">
        <v>37</v>
      </c>
    </row>
    <row r="3128" spans="1:14" x14ac:dyDescent="0.25">
      <c r="A3128" t="str">
        <f t="shared" si="98"/>
        <v>78660987866098</v>
      </c>
      <c r="B3128" t="str">
        <f t="shared" si="99"/>
        <v>7866098GC9060BE-M</v>
      </c>
      <c r="C3128" s="1" t="s">
        <v>43</v>
      </c>
      <c r="D3128" s="1" t="s">
        <v>706</v>
      </c>
      <c r="E3128" s="1" t="s">
        <v>385</v>
      </c>
      <c r="F3128" s="1" t="s">
        <v>386</v>
      </c>
      <c r="G3128" s="1" t="s">
        <v>387</v>
      </c>
      <c r="H3128" s="1">
        <v>780</v>
      </c>
      <c r="I3128" s="3">
        <v>46280</v>
      </c>
      <c r="J3128" s="3">
        <v>46286</v>
      </c>
      <c r="K3128" s="3" t="s">
        <v>2362</v>
      </c>
      <c r="L3128" s="31">
        <v>46280.700674456013</v>
      </c>
      <c r="M3128" s="20">
        <v>12</v>
      </c>
      <c r="N3128" s="1">
        <v>58</v>
      </c>
    </row>
    <row r="3129" spans="1:14" x14ac:dyDescent="0.25">
      <c r="A3129" t="str">
        <f t="shared" si="98"/>
        <v>78660987866098</v>
      </c>
      <c r="B3129" t="str">
        <f t="shared" si="99"/>
        <v>7866098GC9060BE-M</v>
      </c>
      <c r="C3129" s="1" t="s">
        <v>43</v>
      </c>
      <c r="D3129" s="1" t="s">
        <v>706</v>
      </c>
      <c r="E3129" s="1" t="s">
        <v>385</v>
      </c>
      <c r="F3129" s="1" t="s">
        <v>386</v>
      </c>
      <c r="G3129" s="1" t="s">
        <v>387</v>
      </c>
      <c r="H3129" s="1">
        <v>780</v>
      </c>
      <c r="I3129" s="3">
        <v>46280</v>
      </c>
      <c r="J3129" s="3">
        <v>46286</v>
      </c>
      <c r="K3129" s="3" t="s">
        <v>2362</v>
      </c>
      <c r="L3129" s="31">
        <v>46280.703917395833</v>
      </c>
      <c r="M3129" s="20">
        <v>12</v>
      </c>
      <c r="N3129" s="1">
        <v>47</v>
      </c>
    </row>
    <row r="3130" spans="1:14" x14ac:dyDescent="0.25">
      <c r="A3130" t="str">
        <f t="shared" si="98"/>
        <v>78660987866098</v>
      </c>
      <c r="B3130" t="str">
        <f t="shared" si="99"/>
        <v>7866098GC9060BE-M</v>
      </c>
      <c r="C3130" s="1" t="s">
        <v>43</v>
      </c>
      <c r="D3130" s="1" t="s">
        <v>706</v>
      </c>
      <c r="E3130" s="1" t="s">
        <v>385</v>
      </c>
      <c r="F3130" s="1" t="s">
        <v>386</v>
      </c>
      <c r="G3130" s="1" t="s">
        <v>387</v>
      </c>
      <c r="H3130" s="1">
        <v>780</v>
      </c>
      <c r="I3130" s="3">
        <v>46280</v>
      </c>
      <c r="J3130" s="3">
        <v>46286</v>
      </c>
      <c r="K3130" s="3" t="s">
        <v>2362</v>
      </c>
      <c r="L3130" s="31">
        <v>46280.70565520833</v>
      </c>
      <c r="M3130" s="20">
        <v>12</v>
      </c>
      <c r="N3130" s="1">
        <v>59</v>
      </c>
    </row>
    <row r="3131" spans="1:14" x14ac:dyDescent="0.25">
      <c r="A3131" t="str">
        <f t="shared" si="98"/>
        <v>78660987866098</v>
      </c>
      <c r="B3131" t="str">
        <f t="shared" si="99"/>
        <v>7866098GC9060BE-M</v>
      </c>
      <c r="C3131" s="1" t="s">
        <v>43</v>
      </c>
      <c r="D3131" s="1" t="s">
        <v>706</v>
      </c>
      <c r="E3131" s="1" t="s">
        <v>385</v>
      </c>
      <c r="F3131" s="1" t="s">
        <v>386</v>
      </c>
      <c r="G3131" s="1" t="s">
        <v>387</v>
      </c>
      <c r="H3131" s="1">
        <v>780</v>
      </c>
      <c r="I3131" s="3">
        <v>46280</v>
      </c>
      <c r="J3131" s="3">
        <v>46286</v>
      </c>
      <c r="K3131" s="3" t="s">
        <v>2362</v>
      </c>
      <c r="L3131" s="31">
        <v>46280.709120057865</v>
      </c>
      <c r="M3131" s="20">
        <v>12</v>
      </c>
      <c r="N3131" s="1">
        <v>48</v>
      </c>
    </row>
    <row r="3132" spans="1:14" x14ac:dyDescent="0.25">
      <c r="A3132" t="str">
        <f t="shared" si="98"/>
        <v>78660987866098</v>
      </c>
      <c r="B3132" t="str">
        <f t="shared" si="99"/>
        <v>7866098GC9060BE-M</v>
      </c>
      <c r="C3132" s="1" t="s">
        <v>43</v>
      </c>
      <c r="D3132" s="1" t="s">
        <v>706</v>
      </c>
      <c r="E3132" s="1" t="s">
        <v>385</v>
      </c>
      <c r="F3132" s="1" t="s">
        <v>386</v>
      </c>
      <c r="G3132" s="1" t="s">
        <v>387</v>
      </c>
      <c r="H3132" s="1">
        <v>780</v>
      </c>
      <c r="I3132" s="3">
        <v>46280</v>
      </c>
      <c r="J3132" s="3">
        <v>46286</v>
      </c>
      <c r="K3132" s="3" t="s">
        <v>2362</v>
      </c>
      <c r="L3132" s="31">
        <v>46280.719809571754</v>
      </c>
      <c r="M3132" s="20">
        <v>12</v>
      </c>
      <c r="N3132" s="1">
        <v>27</v>
      </c>
    </row>
    <row r="3133" spans="1:14" x14ac:dyDescent="0.25">
      <c r="A3133" t="str">
        <f t="shared" si="98"/>
        <v>78660987866098</v>
      </c>
      <c r="B3133" t="str">
        <f t="shared" si="99"/>
        <v>7866098GC9060BE-M</v>
      </c>
      <c r="C3133" s="1" t="s">
        <v>43</v>
      </c>
      <c r="D3133" s="1" t="s">
        <v>706</v>
      </c>
      <c r="E3133" s="1" t="s">
        <v>385</v>
      </c>
      <c r="F3133" s="1" t="s">
        <v>386</v>
      </c>
      <c r="G3133" s="1" t="s">
        <v>387</v>
      </c>
      <c r="H3133" s="1">
        <v>780</v>
      </c>
      <c r="I3133" s="3">
        <v>46280</v>
      </c>
      <c r="J3133" s="3">
        <v>46286</v>
      </c>
      <c r="K3133" s="3" t="s">
        <v>2362</v>
      </c>
      <c r="L3133" s="31">
        <v>46280.720054398145</v>
      </c>
      <c r="M3133" s="20">
        <v>12</v>
      </c>
      <c r="N3133" s="1">
        <v>61</v>
      </c>
    </row>
    <row r="3134" spans="1:14" x14ac:dyDescent="0.25">
      <c r="A3134" t="str">
        <f t="shared" si="98"/>
        <v>78660987866098</v>
      </c>
      <c r="B3134" t="str">
        <f t="shared" si="99"/>
        <v>7866098GC9060BE-M</v>
      </c>
      <c r="C3134" s="1" t="s">
        <v>43</v>
      </c>
      <c r="D3134" s="1" t="s">
        <v>706</v>
      </c>
      <c r="E3134" s="1" t="s">
        <v>385</v>
      </c>
      <c r="F3134" s="1" t="s">
        <v>386</v>
      </c>
      <c r="G3134" s="1" t="s">
        <v>387</v>
      </c>
      <c r="H3134" s="1">
        <v>780</v>
      </c>
      <c r="I3134" s="3">
        <v>46280</v>
      </c>
      <c r="J3134" s="3">
        <v>46286</v>
      </c>
      <c r="K3134" s="3" t="s">
        <v>2362</v>
      </c>
      <c r="L3134" s="31">
        <v>46280.720345486108</v>
      </c>
      <c r="M3134" s="20">
        <v>12</v>
      </c>
      <c r="N3134" s="1">
        <v>39</v>
      </c>
    </row>
    <row r="3135" spans="1:14" x14ac:dyDescent="0.25">
      <c r="A3135" t="str">
        <f t="shared" si="98"/>
        <v>78660987866098</v>
      </c>
      <c r="B3135" t="str">
        <f t="shared" si="99"/>
        <v>7866098GC9060BE-M</v>
      </c>
      <c r="C3135" s="1" t="s">
        <v>43</v>
      </c>
      <c r="D3135" s="1" t="s">
        <v>706</v>
      </c>
      <c r="E3135" s="1" t="s">
        <v>385</v>
      </c>
      <c r="F3135" s="1" t="s">
        <v>386</v>
      </c>
      <c r="G3135" s="1" t="s">
        <v>387</v>
      </c>
      <c r="H3135" s="1">
        <v>780</v>
      </c>
      <c r="I3135" s="3">
        <v>46280</v>
      </c>
      <c r="J3135" s="3">
        <v>46286</v>
      </c>
      <c r="K3135" s="3" t="s">
        <v>2362</v>
      </c>
      <c r="L3135" s="31">
        <v>46280.720543518517</v>
      </c>
      <c r="M3135" s="20">
        <v>12</v>
      </c>
      <c r="N3135" s="1">
        <v>60</v>
      </c>
    </row>
    <row r="3136" spans="1:14" x14ac:dyDescent="0.25">
      <c r="A3136" t="str">
        <f t="shared" si="98"/>
        <v>78660987866098</v>
      </c>
      <c r="B3136" t="str">
        <f t="shared" si="99"/>
        <v>7866098GC9060BE-M</v>
      </c>
      <c r="C3136" s="1" t="s">
        <v>43</v>
      </c>
      <c r="D3136" s="1" t="s">
        <v>706</v>
      </c>
      <c r="E3136" s="1" t="s">
        <v>385</v>
      </c>
      <c r="F3136" s="1" t="s">
        <v>386</v>
      </c>
      <c r="G3136" s="1" t="s">
        <v>387</v>
      </c>
      <c r="H3136" s="1">
        <v>780</v>
      </c>
      <c r="I3136" s="3">
        <v>46280</v>
      </c>
      <c r="J3136" s="3">
        <v>46286</v>
      </c>
      <c r="K3136" s="3" t="s">
        <v>2362</v>
      </c>
      <c r="L3136" s="31">
        <v>46280.720903275462</v>
      </c>
      <c r="M3136" s="20">
        <v>12</v>
      </c>
      <c r="N3136" s="1">
        <v>38</v>
      </c>
    </row>
    <row r="3137" spans="1:14" x14ac:dyDescent="0.25">
      <c r="A3137" t="str">
        <f t="shared" si="98"/>
        <v>78661937866193</v>
      </c>
      <c r="B3137" t="str">
        <f t="shared" si="99"/>
        <v>7866193IV9060LL-M</v>
      </c>
      <c r="C3137" s="1" t="s">
        <v>41</v>
      </c>
      <c r="D3137" s="1" t="s">
        <v>698</v>
      </c>
      <c r="E3137" s="1" t="s">
        <v>385</v>
      </c>
      <c r="F3137" s="1" t="s">
        <v>386</v>
      </c>
      <c r="G3137" s="1" t="s">
        <v>387</v>
      </c>
      <c r="H3137" s="1">
        <v>348</v>
      </c>
      <c r="I3137" s="3">
        <v>46280</v>
      </c>
      <c r="L3137" s="31">
        <v>46280.57444788194</v>
      </c>
      <c r="M3137" s="20">
        <v>12</v>
      </c>
      <c r="N3137" s="1">
        <v>23</v>
      </c>
    </row>
    <row r="3138" spans="1:14" x14ac:dyDescent="0.25">
      <c r="A3138" t="str">
        <f t="shared" ref="A3138:A3201" si="100">+D3138&amp;D3138</f>
        <v>78661937866193</v>
      </c>
      <c r="B3138" t="str">
        <f t="shared" ref="B3138:B3201" si="101">+D3138&amp;C3138</f>
        <v>7866193IV9060LL-M</v>
      </c>
      <c r="C3138" s="1" t="s">
        <v>41</v>
      </c>
      <c r="D3138" s="1" t="s">
        <v>698</v>
      </c>
      <c r="E3138" s="1" t="s">
        <v>385</v>
      </c>
      <c r="F3138" s="1" t="s">
        <v>386</v>
      </c>
      <c r="G3138" s="1" t="s">
        <v>387</v>
      </c>
      <c r="H3138" s="1">
        <v>348</v>
      </c>
      <c r="I3138" s="3">
        <v>46280</v>
      </c>
      <c r="L3138" s="31">
        <v>46280.615798877312</v>
      </c>
      <c r="M3138" s="20">
        <v>12</v>
      </c>
      <c r="N3138" s="1">
        <v>18</v>
      </c>
    </row>
    <row r="3139" spans="1:14" x14ac:dyDescent="0.25">
      <c r="A3139" t="str">
        <f t="shared" si="100"/>
        <v>78661937866193</v>
      </c>
      <c r="B3139" t="str">
        <f t="shared" si="101"/>
        <v>7866193IV9060LL-M</v>
      </c>
      <c r="C3139" s="1" t="s">
        <v>41</v>
      </c>
      <c r="D3139" s="1" t="s">
        <v>698</v>
      </c>
      <c r="E3139" s="1" t="s">
        <v>385</v>
      </c>
      <c r="F3139" s="1" t="s">
        <v>386</v>
      </c>
      <c r="G3139" s="1" t="s">
        <v>387</v>
      </c>
      <c r="H3139" s="1">
        <v>348</v>
      </c>
      <c r="I3139" s="3">
        <v>46280</v>
      </c>
      <c r="L3139" s="31">
        <v>46280.617837349535</v>
      </c>
      <c r="M3139" s="20">
        <v>12</v>
      </c>
      <c r="N3139" s="1">
        <v>22</v>
      </c>
    </row>
    <row r="3140" spans="1:14" x14ac:dyDescent="0.25">
      <c r="A3140" t="str">
        <f t="shared" si="100"/>
        <v>78661937866193</v>
      </c>
      <c r="B3140" t="str">
        <f t="shared" si="101"/>
        <v>7866193IV9060LL-M</v>
      </c>
      <c r="C3140" s="1" t="s">
        <v>41</v>
      </c>
      <c r="D3140" s="1" t="s">
        <v>698</v>
      </c>
      <c r="E3140" s="1" t="s">
        <v>385</v>
      </c>
      <c r="F3140" s="1" t="s">
        <v>386</v>
      </c>
      <c r="G3140" s="1" t="s">
        <v>387</v>
      </c>
      <c r="H3140" s="1">
        <v>348</v>
      </c>
      <c r="I3140" s="3">
        <v>46280</v>
      </c>
      <c r="L3140" s="31">
        <v>46280.621393483794</v>
      </c>
      <c r="M3140" s="20">
        <v>6</v>
      </c>
      <c r="N3140" s="1">
        <v>28</v>
      </c>
    </row>
    <row r="3141" spans="1:14" x14ac:dyDescent="0.25">
      <c r="A3141" t="str">
        <f t="shared" si="100"/>
        <v>78661937866193</v>
      </c>
      <c r="B3141" t="str">
        <f t="shared" si="101"/>
        <v>7866193IV9060LL-M</v>
      </c>
      <c r="C3141" s="1" t="s">
        <v>41</v>
      </c>
      <c r="D3141" s="1" t="s">
        <v>698</v>
      </c>
      <c r="E3141" s="1" t="s">
        <v>385</v>
      </c>
      <c r="F3141" s="1" t="s">
        <v>386</v>
      </c>
      <c r="G3141" s="1" t="s">
        <v>387</v>
      </c>
      <c r="H3141" s="1">
        <v>348</v>
      </c>
      <c r="I3141" s="3">
        <v>46280</v>
      </c>
      <c r="L3141" s="31">
        <v>46280.626003275458</v>
      </c>
      <c r="M3141" s="20">
        <v>12</v>
      </c>
      <c r="N3141" s="1">
        <v>14</v>
      </c>
    </row>
    <row r="3142" spans="1:14" x14ac:dyDescent="0.25">
      <c r="A3142" t="str">
        <f t="shared" si="100"/>
        <v>78661937866193</v>
      </c>
      <c r="B3142" t="str">
        <f t="shared" si="101"/>
        <v>7866193IV9060LL-M</v>
      </c>
      <c r="C3142" s="1" t="s">
        <v>41</v>
      </c>
      <c r="D3142" s="1" t="s">
        <v>698</v>
      </c>
      <c r="E3142" s="1" t="s">
        <v>385</v>
      </c>
      <c r="F3142" s="1" t="s">
        <v>386</v>
      </c>
      <c r="G3142" s="1" t="s">
        <v>387</v>
      </c>
      <c r="H3142" s="1">
        <v>348</v>
      </c>
      <c r="I3142" s="3">
        <v>46280</v>
      </c>
      <c r="L3142" s="31">
        <v>46280.630776076388</v>
      </c>
      <c r="M3142" s="20">
        <v>6</v>
      </c>
      <c r="N3142" s="1">
        <v>31</v>
      </c>
    </row>
    <row r="3143" spans="1:14" x14ac:dyDescent="0.25">
      <c r="A3143" t="str">
        <f t="shared" si="100"/>
        <v>78661937866193</v>
      </c>
      <c r="B3143" t="str">
        <f t="shared" si="101"/>
        <v>7866193IV9060LL-M</v>
      </c>
      <c r="C3143" s="1" t="s">
        <v>41</v>
      </c>
      <c r="D3143" s="1" t="s">
        <v>698</v>
      </c>
      <c r="E3143" s="1" t="s">
        <v>385</v>
      </c>
      <c r="F3143" s="1" t="s">
        <v>386</v>
      </c>
      <c r="G3143" s="1" t="s">
        <v>387</v>
      </c>
      <c r="H3143" s="1">
        <v>348</v>
      </c>
      <c r="I3143" s="3">
        <v>46280</v>
      </c>
      <c r="L3143" s="31">
        <v>46280.648016782405</v>
      </c>
      <c r="M3143" s="20">
        <v>12</v>
      </c>
      <c r="N3143" s="1">
        <v>2</v>
      </c>
    </row>
    <row r="3144" spans="1:14" x14ac:dyDescent="0.25">
      <c r="A3144" t="str">
        <f t="shared" si="100"/>
        <v>78661937866193</v>
      </c>
      <c r="B3144" t="str">
        <f t="shared" si="101"/>
        <v>7866193IV9060LL-M</v>
      </c>
      <c r="C3144" s="1" t="s">
        <v>41</v>
      </c>
      <c r="D3144" s="1" t="s">
        <v>698</v>
      </c>
      <c r="E3144" s="1" t="s">
        <v>385</v>
      </c>
      <c r="F3144" s="1" t="s">
        <v>386</v>
      </c>
      <c r="G3144" s="1" t="s">
        <v>387</v>
      </c>
      <c r="H3144" s="1">
        <v>348</v>
      </c>
      <c r="I3144" s="3">
        <v>46280</v>
      </c>
      <c r="L3144" s="31">
        <v>46280.719323530087</v>
      </c>
      <c r="M3144" s="20">
        <v>12</v>
      </c>
      <c r="N3144" s="1">
        <v>19</v>
      </c>
    </row>
    <row r="3145" spans="1:14" x14ac:dyDescent="0.25">
      <c r="A3145" t="str">
        <f t="shared" si="100"/>
        <v>78753197875319</v>
      </c>
      <c r="B3145" t="str">
        <f t="shared" si="101"/>
        <v>7875319IV9060LL-M</v>
      </c>
      <c r="C3145" s="1" t="s">
        <v>41</v>
      </c>
      <c r="D3145" s="1" t="s">
        <v>701</v>
      </c>
      <c r="E3145" s="1" t="s">
        <v>379</v>
      </c>
      <c r="F3145" s="1" t="s">
        <v>380</v>
      </c>
      <c r="G3145" s="1" t="s">
        <v>391</v>
      </c>
      <c r="H3145" s="1">
        <v>156</v>
      </c>
      <c r="I3145" s="3">
        <v>46280</v>
      </c>
      <c r="J3145" s="3">
        <v>46281</v>
      </c>
      <c r="K3145" s="3" t="s">
        <v>2370</v>
      </c>
      <c r="L3145" s="31">
        <v>46280.652863807867</v>
      </c>
      <c r="M3145" s="20">
        <v>12</v>
      </c>
      <c r="N3145" s="1">
        <v>10</v>
      </c>
    </row>
    <row r="3146" spans="1:14" x14ac:dyDescent="0.25">
      <c r="A3146" t="str">
        <f t="shared" si="100"/>
        <v>78753197875319</v>
      </c>
      <c r="B3146" t="str">
        <f t="shared" si="101"/>
        <v>7875319IV9060LL-M</v>
      </c>
      <c r="C3146" s="1" t="s">
        <v>41</v>
      </c>
      <c r="D3146" s="1" t="s">
        <v>701</v>
      </c>
      <c r="E3146" s="1" t="s">
        <v>379</v>
      </c>
      <c r="F3146" s="1" t="s">
        <v>380</v>
      </c>
      <c r="G3146" s="1" t="s">
        <v>391</v>
      </c>
      <c r="H3146" s="1">
        <v>156</v>
      </c>
      <c r="I3146" s="3">
        <v>46280</v>
      </c>
      <c r="J3146" s="3">
        <v>46281</v>
      </c>
      <c r="K3146" s="3" t="s">
        <v>2370</v>
      </c>
      <c r="L3146" s="31">
        <v>46280.697361458333</v>
      </c>
      <c r="M3146" s="20">
        <v>6</v>
      </c>
      <c r="N3146" s="1">
        <v>13</v>
      </c>
    </row>
    <row r="3147" spans="1:14" x14ac:dyDescent="0.25">
      <c r="A3147" t="str">
        <f t="shared" si="100"/>
        <v>78753197875319</v>
      </c>
      <c r="B3147" t="str">
        <f t="shared" si="101"/>
        <v>7875319IV9060LL-M</v>
      </c>
      <c r="C3147" s="1" t="s">
        <v>41</v>
      </c>
      <c r="D3147" s="1" t="s">
        <v>701</v>
      </c>
      <c r="E3147" s="1" t="s">
        <v>379</v>
      </c>
      <c r="F3147" s="1" t="s">
        <v>380</v>
      </c>
      <c r="G3147" s="1" t="s">
        <v>391</v>
      </c>
      <c r="H3147" s="1">
        <v>156</v>
      </c>
      <c r="I3147" s="3">
        <v>46280</v>
      </c>
      <c r="J3147" s="3">
        <v>46281</v>
      </c>
      <c r="K3147" s="3" t="s">
        <v>2370</v>
      </c>
      <c r="L3147" s="31">
        <v>46280.697809027777</v>
      </c>
      <c r="M3147" s="20">
        <v>12</v>
      </c>
      <c r="N3147" s="1">
        <v>4</v>
      </c>
    </row>
    <row r="3148" spans="1:14" x14ac:dyDescent="0.25">
      <c r="A3148" t="str">
        <f t="shared" si="100"/>
        <v>78753197875319</v>
      </c>
      <c r="B3148" t="str">
        <f t="shared" si="101"/>
        <v>7875319IV9060LL-M</v>
      </c>
      <c r="C3148" s="1" t="s">
        <v>41</v>
      </c>
      <c r="D3148" s="1" t="s">
        <v>701</v>
      </c>
      <c r="E3148" s="1" t="s">
        <v>379</v>
      </c>
      <c r="F3148" s="1" t="s">
        <v>380</v>
      </c>
      <c r="G3148" s="1" t="s">
        <v>391</v>
      </c>
      <c r="H3148" s="1">
        <v>156</v>
      </c>
      <c r="I3148" s="3">
        <v>46280</v>
      </c>
      <c r="J3148" s="3">
        <v>46281</v>
      </c>
      <c r="K3148" s="3" t="s">
        <v>2370</v>
      </c>
      <c r="L3148" s="31">
        <v>46280.701415625001</v>
      </c>
      <c r="M3148" s="20">
        <v>12</v>
      </c>
      <c r="N3148" s="1">
        <v>6</v>
      </c>
    </row>
    <row r="3149" spans="1:14" x14ac:dyDescent="0.25">
      <c r="A3149" t="str">
        <f t="shared" si="100"/>
        <v>78753197875319</v>
      </c>
      <c r="B3149" t="str">
        <f t="shared" si="101"/>
        <v>7875319IV9060LL-M</v>
      </c>
      <c r="C3149" s="1" t="s">
        <v>41</v>
      </c>
      <c r="D3149" s="1" t="s">
        <v>701</v>
      </c>
      <c r="E3149" s="1" t="s">
        <v>379</v>
      </c>
      <c r="F3149" s="1" t="s">
        <v>380</v>
      </c>
      <c r="G3149" s="1" t="s">
        <v>391</v>
      </c>
      <c r="H3149" s="1">
        <v>156</v>
      </c>
      <c r="I3149" s="3">
        <v>46280</v>
      </c>
      <c r="J3149" s="3">
        <v>46281</v>
      </c>
      <c r="K3149" s="3" t="s">
        <v>2370</v>
      </c>
      <c r="L3149" s="31">
        <v>46280.718704942126</v>
      </c>
      <c r="M3149" s="20">
        <v>6</v>
      </c>
      <c r="N3149" s="1">
        <v>11</v>
      </c>
    </row>
    <row r="3150" spans="1:14" x14ac:dyDescent="0.25">
      <c r="A3150" t="str">
        <f t="shared" si="100"/>
        <v>78764707876470</v>
      </c>
      <c r="B3150" t="str">
        <f t="shared" si="101"/>
        <v>7876470G90603WC-M</v>
      </c>
      <c r="C3150" s="1" t="s">
        <v>693</v>
      </c>
      <c r="D3150" s="1" t="s">
        <v>694</v>
      </c>
      <c r="E3150" s="1" t="s">
        <v>388</v>
      </c>
      <c r="F3150" s="1" t="s">
        <v>389</v>
      </c>
      <c r="G3150" s="1" t="s">
        <v>387</v>
      </c>
      <c r="H3150" s="1">
        <v>2700</v>
      </c>
      <c r="I3150" s="3">
        <v>46280</v>
      </c>
      <c r="J3150" s="3">
        <v>46287</v>
      </c>
      <c r="K3150" s="3" t="s">
        <v>2374</v>
      </c>
      <c r="L3150" s="31">
        <v>46280.460886724533</v>
      </c>
      <c r="M3150" s="20">
        <v>12</v>
      </c>
      <c r="N3150" s="1">
        <v>10</v>
      </c>
    </row>
    <row r="3151" spans="1:14" x14ac:dyDescent="0.25">
      <c r="A3151" t="str">
        <f t="shared" si="100"/>
        <v>78764707876470</v>
      </c>
      <c r="B3151" t="str">
        <f t="shared" si="101"/>
        <v>7876470G90603WC-M</v>
      </c>
      <c r="C3151" s="1" t="s">
        <v>693</v>
      </c>
      <c r="D3151" s="1" t="s">
        <v>694</v>
      </c>
      <c r="E3151" s="1" t="s">
        <v>388</v>
      </c>
      <c r="F3151" s="1" t="s">
        <v>389</v>
      </c>
      <c r="G3151" s="1" t="s">
        <v>387</v>
      </c>
      <c r="H3151" s="1">
        <v>2700</v>
      </c>
      <c r="I3151" s="3">
        <v>46280</v>
      </c>
      <c r="J3151" s="3">
        <v>46287</v>
      </c>
      <c r="K3151" s="3" t="s">
        <v>2374</v>
      </c>
      <c r="L3151" s="31">
        <v>46280.463118402775</v>
      </c>
      <c r="M3151" s="20">
        <v>12</v>
      </c>
      <c r="N3151" s="1">
        <v>90</v>
      </c>
    </row>
    <row r="3152" spans="1:14" x14ac:dyDescent="0.25">
      <c r="A3152" t="str">
        <f t="shared" si="100"/>
        <v>78764707876470</v>
      </c>
      <c r="B3152" t="str">
        <f t="shared" si="101"/>
        <v>7876470G90603WC-M</v>
      </c>
      <c r="C3152" s="1" t="s">
        <v>693</v>
      </c>
      <c r="D3152" s="1" t="s">
        <v>694</v>
      </c>
      <c r="E3152" s="1" t="s">
        <v>388</v>
      </c>
      <c r="F3152" s="1" t="s">
        <v>389</v>
      </c>
      <c r="G3152" s="1" t="s">
        <v>387</v>
      </c>
      <c r="H3152" s="1">
        <v>2700</v>
      </c>
      <c r="I3152" s="3">
        <v>46280</v>
      </c>
      <c r="J3152" s="3">
        <v>46287</v>
      </c>
      <c r="K3152" s="3" t="s">
        <v>2374</v>
      </c>
      <c r="L3152" s="31">
        <v>46280.46812179398</v>
      </c>
      <c r="M3152" s="20">
        <v>12</v>
      </c>
      <c r="N3152" s="1">
        <v>34</v>
      </c>
    </row>
    <row r="3153" spans="1:14" x14ac:dyDescent="0.25">
      <c r="A3153" t="str">
        <f t="shared" si="100"/>
        <v>78764707876470</v>
      </c>
      <c r="B3153" t="str">
        <f t="shared" si="101"/>
        <v>7876470G90603WC-M</v>
      </c>
      <c r="C3153" s="1" t="s">
        <v>693</v>
      </c>
      <c r="D3153" s="1" t="s">
        <v>694</v>
      </c>
      <c r="E3153" s="1" t="s">
        <v>388</v>
      </c>
      <c r="F3153" s="1" t="s">
        <v>389</v>
      </c>
      <c r="G3153" s="1" t="s">
        <v>387</v>
      </c>
      <c r="H3153" s="1">
        <v>2700</v>
      </c>
      <c r="I3153" s="3">
        <v>46280</v>
      </c>
      <c r="J3153" s="3">
        <v>46287</v>
      </c>
      <c r="K3153" s="3" t="s">
        <v>2374</v>
      </c>
      <c r="L3153" s="31">
        <v>46280.473073761576</v>
      </c>
      <c r="M3153" s="20">
        <v>12</v>
      </c>
      <c r="N3153" s="1">
        <v>195</v>
      </c>
    </row>
    <row r="3154" spans="1:14" x14ac:dyDescent="0.25">
      <c r="A3154" t="str">
        <f t="shared" si="100"/>
        <v>78764707876470</v>
      </c>
      <c r="B3154" t="str">
        <f t="shared" si="101"/>
        <v>7876470G90603WC-M</v>
      </c>
      <c r="C3154" s="1" t="s">
        <v>693</v>
      </c>
      <c r="D3154" s="1" t="s">
        <v>694</v>
      </c>
      <c r="E3154" s="1" t="s">
        <v>388</v>
      </c>
      <c r="F3154" s="1" t="s">
        <v>389</v>
      </c>
      <c r="G3154" s="1" t="s">
        <v>387</v>
      </c>
      <c r="H3154" s="1">
        <v>2700</v>
      </c>
      <c r="I3154" s="3">
        <v>46280</v>
      </c>
      <c r="J3154" s="3">
        <v>46287</v>
      </c>
      <c r="K3154" s="3" t="s">
        <v>2374</v>
      </c>
      <c r="L3154" s="31">
        <v>46280.473318483797</v>
      </c>
      <c r="M3154" s="20">
        <v>12</v>
      </c>
      <c r="N3154" s="1">
        <v>36</v>
      </c>
    </row>
    <row r="3155" spans="1:14" x14ac:dyDescent="0.25">
      <c r="A3155" t="str">
        <f t="shared" si="100"/>
        <v>78764707876470</v>
      </c>
      <c r="B3155" t="str">
        <f t="shared" si="101"/>
        <v>7876470G90603WC-M</v>
      </c>
      <c r="C3155" s="1" t="s">
        <v>693</v>
      </c>
      <c r="D3155" s="1" t="s">
        <v>694</v>
      </c>
      <c r="E3155" s="1" t="s">
        <v>388</v>
      </c>
      <c r="F3155" s="1" t="s">
        <v>389</v>
      </c>
      <c r="G3155" s="1" t="s">
        <v>387</v>
      </c>
      <c r="H3155" s="1">
        <v>2700</v>
      </c>
      <c r="I3155" s="3">
        <v>46280</v>
      </c>
      <c r="J3155" s="3">
        <v>46287</v>
      </c>
      <c r="K3155" s="3" t="s">
        <v>2374</v>
      </c>
      <c r="L3155" s="31">
        <v>46280.476857372683</v>
      </c>
      <c r="M3155" s="20">
        <v>12</v>
      </c>
      <c r="N3155" s="1">
        <v>194</v>
      </c>
    </row>
    <row r="3156" spans="1:14" x14ac:dyDescent="0.25">
      <c r="A3156" t="str">
        <f t="shared" si="100"/>
        <v>78764707876470</v>
      </c>
      <c r="B3156" t="str">
        <f t="shared" si="101"/>
        <v>7876470G90603WC-M</v>
      </c>
      <c r="C3156" s="1" t="s">
        <v>693</v>
      </c>
      <c r="D3156" s="1" t="s">
        <v>694</v>
      </c>
      <c r="E3156" s="1" t="s">
        <v>388</v>
      </c>
      <c r="F3156" s="1" t="s">
        <v>389</v>
      </c>
      <c r="G3156" s="1" t="s">
        <v>387</v>
      </c>
      <c r="H3156" s="1">
        <v>2700</v>
      </c>
      <c r="I3156" s="3">
        <v>46280</v>
      </c>
      <c r="J3156" s="3">
        <v>46287</v>
      </c>
      <c r="K3156" s="3" t="s">
        <v>2374</v>
      </c>
      <c r="L3156" s="31">
        <v>46280.480538460644</v>
      </c>
      <c r="M3156" s="20">
        <v>12</v>
      </c>
      <c r="N3156" s="1">
        <v>66</v>
      </c>
    </row>
    <row r="3157" spans="1:14" x14ac:dyDescent="0.25">
      <c r="A3157" t="str">
        <f t="shared" si="100"/>
        <v>78764707876470</v>
      </c>
      <c r="B3157" t="str">
        <f t="shared" si="101"/>
        <v>7876470G90603WC-M</v>
      </c>
      <c r="C3157" s="1" t="s">
        <v>693</v>
      </c>
      <c r="D3157" s="1" t="s">
        <v>694</v>
      </c>
      <c r="E3157" s="1" t="s">
        <v>388</v>
      </c>
      <c r="F3157" s="1" t="s">
        <v>389</v>
      </c>
      <c r="G3157" s="1" t="s">
        <v>387</v>
      </c>
      <c r="H3157" s="1">
        <v>2700</v>
      </c>
      <c r="I3157" s="3">
        <v>46280</v>
      </c>
      <c r="J3157" s="3">
        <v>46287</v>
      </c>
      <c r="K3157" s="3" t="s">
        <v>2374</v>
      </c>
      <c r="L3157" s="31">
        <v>46280.481455636575</v>
      </c>
      <c r="M3157" s="20">
        <v>12</v>
      </c>
      <c r="N3157" s="1">
        <v>35</v>
      </c>
    </row>
    <row r="3158" spans="1:14" x14ac:dyDescent="0.25">
      <c r="A3158" t="str">
        <f t="shared" si="100"/>
        <v>78764707876470</v>
      </c>
      <c r="B3158" t="str">
        <f t="shared" si="101"/>
        <v>7876470G90603WC-M</v>
      </c>
      <c r="C3158" s="1" t="s">
        <v>693</v>
      </c>
      <c r="D3158" s="1" t="s">
        <v>694</v>
      </c>
      <c r="E3158" s="1" t="s">
        <v>388</v>
      </c>
      <c r="F3158" s="1" t="s">
        <v>389</v>
      </c>
      <c r="G3158" s="1" t="s">
        <v>387</v>
      </c>
      <c r="H3158" s="1">
        <v>2700</v>
      </c>
      <c r="I3158" s="3">
        <v>46280</v>
      </c>
      <c r="J3158" s="3">
        <v>46287</v>
      </c>
      <c r="K3158" s="3" t="s">
        <v>2374</v>
      </c>
      <c r="L3158" s="31">
        <v>46280.481650462963</v>
      </c>
      <c r="M3158" s="20">
        <v>12</v>
      </c>
      <c r="N3158" s="1">
        <v>156</v>
      </c>
    </row>
    <row r="3159" spans="1:14" x14ac:dyDescent="0.25">
      <c r="A3159" t="str">
        <f t="shared" si="100"/>
        <v>78764707876470</v>
      </c>
      <c r="B3159" t="str">
        <f t="shared" si="101"/>
        <v>7876470G90603WC-M</v>
      </c>
      <c r="C3159" s="1" t="s">
        <v>693</v>
      </c>
      <c r="D3159" s="1" t="s">
        <v>694</v>
      </c>
      <c r="E3159" s="1" t="s">
        <v>388</v>
      </c>
      <c r="F3159" s="1" t="s">
        <v>389</v>
      </c>
      <c r="G3159" s="1" t="s">
        <v>387</v>
      </c>
      <c r="H3159" s="1">
        <v>2700</v>
      </c>
      <c r="I3159" s="3">
        <v>46280</v>
      </c>
      <c r="J3159" s="3">
        <v>46287</v>
      </c>
      <c r="K3159" s="3" t="s">
        <v>2374</v>
      </c>
      <c r="L3159" s="31">
        <v>46280.570767395831</v>
      </c>
      <c r="M3159" s="20">
        <v>12</v>
      </c>
      <c r="N3159" s="1">
        <v>33</v>
      </c>
    </row>
    <row r="3160" spans="1:14" x14ac:dyDescent="0.25">
      <c r="A3160" t="str">
        <f t="shared" si="100"/>
        <v>78764707876470</v>
      </c>
      <c r="B3160" t="str">
        <f t="shared" si="101"/>
        <v>7876470G90603WC-M</v>
      </c>
      <c r="C3160" s="1" t="s">
        <v>693</v>
      </c>
      <c r="D3160" s="1" t="s">
        <v>694</v>
      </c>
      <c r="E3160" s="1" t="s">
        <v>388</v>
      </c>
      <c r="F3160" s="1" t="s">
        <v>389</v>
      </c>
      <c r="G3160" s="1" t="s">
        <v>387</v>
      </c>
      <c r="H3160" s="1">
        <v>2700</v>
      </c>
      <c r="I3160" s="3">
        <v>46280</v>
      </c>
      <c r="J3160" s="3">
        <v>46287</v>
      </c>
      <c r="K3160" s="3" t="s">
        <v>2374</v>
      </c>
      <c r="L3160" s="31">
        <v>46280.573568252315</v>
      </c>
      <c r="M3160" s="20">
        <v>12</v>
      </c>
      <c r="N3160" s="1">
        <v>37</v>
      </c>
    </row>
    <row r="3161" spans="1:14" x14ac:dyDescent="0.25">
      <c r="A3161" t="str">
        <f t="shared" si="100"/>
        <v>78764707876470</v>
      </c>
      <c r="B3161" t="str">
        <f t="shared" si="101"/>
        <v>7876470G90603WC-M</v>
      </c>
      <c r="C3161" s="1" t="s">
        <v>693</v>
      </c>
      <c r="D3161" s="1" t="s">
        <v>694</v>
      </c>
      <c r="E3161" s="1" t="s">
        <v>388</v>
      </c>
      <c r="F3161" s="1" t="s">
        <v>389</v>
      </c>
      <c r="G3161" s="1" t="s">
        <v>387</v>
      </c>
      <c r="H3161" s="1">
        <v>2700</v>
      </c>
      <c r="I3161" s="3">
        <v>46280</v>
      </c>
      <c r="J3161" s="3">
        <v>46287</v>
      </c>
      <c r="K3161" s="3" t="s">
        <v>2374</v>
      </c>
      <c r="L3161" s="31">
        <v>46280.573739548607</v>
      </c>
      <c r="M3161" s="20">
        <v>12</v>
      </c>
      <c r="N3161" s="1">
        <v>65</v>
      </c>
    </row>
    <row r="3162" spans="1:14" x14ac:dyDescent="0.25">
      <c r="A3162" t="str">
        <f t="shared" si="100"/>
        <v>78764707876470</v>
      </c>
      <c r="B3162" t="str">
        <f t="shared" si="101"/>
        <v>7876470G90603WC-M</v>
      </c>
      <c r="C3162" s="1" t="s">
        <v>693</v>
      </c>
      <c r="D3162" s="1" t="s">
        <v>694</v>
      </c>
      <c r="E3162" s="1" t="s">
        <v>388</v>
      </c>
      <c r="F3162" s="1" t="s">
        <v>389</v>
      </c>
      <c r="G3162" s="1" t="s">
        <v>387</v>
      </c>
      <c r="H3162" s="1">
        <v>2700</v>
      </c>
      <c r="I3162" s="3">
        <v>46280</v>
      </c>
      <c r="J3162" s="3">
        <v>46287</v>
      </c>
      <c r="K3162" s="3" t="s">
        <v>2374</v>
      </c>
      <c r="L3162" s="31">
        <v>46280.574085300927</v>
      </c>
      <c r="M3162" s="20">
        <v>12</v>
      </c>
      <c r="N3162" s="1">
        <v>155</v>
      </c>
    </row>
    <row r="3163" spans="1:14" x14ac:dyDescent="0.25">
      <c r="A3163" t="str">
        <f t="shared" si="100"/>
        <v>78764707876470</v>
      </c>
      <c r="B3163" t="str">
        <f t="shared" si="101"/>
        <v>7876470G90603WC-M</v>
      </c>
      <c r="C3163" s="1" t="s">
        <v>693</v>
      </c>
      <c r="D3163" s="1" t="s">
        <v>694</v>
      </c>
      <c r="E3163" s="1" t="s">
        <v>388</v>
      </c>
      <c r="F3163" s="1" t="s">
        <v>389</v>
      </c>
      <c r="G3163" s="1" t="s">
        <v>387</v>
      </c>
      <c r="H3163" s="1">
        <v>2700</v>
      </c>
      <c r="I3163" s="3">
        <v>46280</v>
      </c>
      <c r="J3163" s="3">
        <v>46287</v>
      </c>
      <c r="K3163" s="3" t="s">
        <v>2374</v>
      </c>
      <c r="L3163" s="31">
        <v>46280.57428148148</v>
      </c>
      <c r="M3163" s="20">
        <v>12</v>
      </c>
      <c r="N3163" s="1">
        <v>11</v>
      </c>
    </row>
    <row r="3164" spans="1:14" x14ac:dyDescent="0.25">
      <c r="A3164" t="str">
        <f t="shared" si="100"/>
        <v>78764707876470</v>
      </c>
      <c r="B3164" t="str">
        <f t="shared" si="101"/>
        <v>7876470G90603WC-M</v>
      </c>
      <c r="C3164" s="1" t="s">
        <v>693</v>
      </c>
      <c r="D3164" s="1" t="s">
        <v>694</v>
      </c>
      <c r="E3164" s="1" t="s">
        <v>388</v>
      </c>
      <c r="F3164" s="1" t="s">
        <v>389</v>
      </c>
      <c r="G3164" s="1" t="s">
        <v>387</v>
      </c>
      <c r="H3164" s="1">
        <v>2700</v>
      </c>
      <c r="I3164" s="3">
        <v>46280</v>
      </c>
      <c r="J3164" s="3">
        <v>46287</v>
      </c>
      <c r="K3164" s="3" t="s">
        <v>2374</v>
      </c>
      <c r="L3164" s="31">
        <v>46280.574605127316</v>
      </c>
      <c r="M3164" s="20">
        <v>12</v>
      </c>
      <c r="N3164" s="1">
        <v>12</v>
      </c>
    </row>
    <row r="3165" spans="1:14" x14ac:dyDescent="0.25">
      <c r="A3165" t="str">
        <f t="shared" si="100"/>
        <v>78764707876470</v>
      </c>
      <c r="B3165" t="str">
        <f t="shared" si="101"/>
        <v>7876470G90603WC-M</v>
      </c>
      <c r="C3165" s="1" t="s">
        <v>693</v>
      </c>
      <c r="D3165" s="1" t="s">
        <v>694</v>
      </c>
      <c r="E3165" s="1" t="s">
        <v>388</v>
      </c>
      <c r="F3165" s="1" t="s">
        <v>389</v>
      </c>
      <c r="G3165" s="1" t="s">
        <v>387</v>
      </c>
      <c r="H3165" s="1">
        <v>2700</v>
      </c>
      <c r="I3165" s="3">
        <v>46280</v>
      </c>
      <c r="J3165" s="3">
        <v>46287</v>
      </c>
      <c r="K3165" s="3" t="s">
        <v>2374</v>
      </c>
      <c r="L3165" s="31">
        <v>46280.596197650462</v>
      </c>
      <c r="M3165" s="20">
        <v>12</v>
      </c>
      <c r="N3165" s="1">
        <v>9</v>
      </c>
    </row>
    <row r="3166" spans="1:14" x14ac:dyDescent="0.25">
      <c r="A3166" t="str">
        <f t="shared" si="100"/>
        <v>78764707876470</v>
      </c>
      <c r="B3166" t="str">
        <f t="shared" si="101"/>
        <v>7876470G90603WC-M</v>
      </c>
      <c r="C3166" s="1" t="s">
        <v>693</v>
      </c>
      <c r="D3166" s="1" t="s">
        <v>694</v>
      </c>
      <c r="E3166" s="1" t="s">
        <v>388</v>
      </c>
      <c r="F3166" s="1" t="s">
        <v>389</v>
      </c>
      <c r="G3166" s="1" t="s">
        <v>387</v>
      </c>
      <c r="H3166" s="1">
        <v>2700</v>
      </c>
      <c r="I3166" s="3">
        <v>46280</v>
      </c>
      <c r="J3166" s="3">
        <v>46287</v>
      </c>
      <c r="K3166" s="3" t="s">
        <v>2374</v>
      </c>
      <c r="L3166" s="31">
        <v>46280.597587071759</v>
      </c>
      <c r="M3166" s="20">
        <v>12</v>
      </c>
      <c r="N3166" s="1">
        <v>38</v>
      </c>
    </row>
    <row r="3167" spans="1:14" x14ac:dyDescent="0.25">
      <c r="A3167" t="str">
        <f t="shared" si="100"/>
        <v>78764707876470</v>
      </c>
      <c r="B3167" t="str">
        <f t="shared" si="101"/>
        <v>7876470G90603WC-M</v>
      </c>
      <c r="C3167" s="1" t="s">
        <v>693</v>
      </c>
      <c r="D3167" s="1" t="s">
        <v>694</v>
      </c>
      <c r="E3167" s="1" t="s">
        <v>388</v>
      </c>
      <c r="F3167" s="1" t="s">
        <v>389</v>
      </c>
      <c r="G3167" s="1" t="s">
        <v>387</v>
      </c>
      <c r="H3167" s="1">
        <v>2700</v>
      </c>
      <c r="I3167" s="3">
        <v>46280</v>
      </c>
      <c r="J3167" s="3">
        <v>46287</v>
      </c>
      <c r="K3167" s="3" t="s">
        <v>2374</v>
      </c>
      <c r="L3167" s="31">
        <v>46280.611409143516</v>
      </c>
      <c r="M3167" s="20">
        <v>12</v>
      </c>
      <c r="N3167" s="1">
        <v>39</v>
      </c>
    </row>
    <row r="3168" spans="1:14" x14ac:dyDescent="0.25">
      <c r="A3168" t="str">
        <f t="shared" si="100"/>
        <v>78764707876470</v>
      </c>
      <c r="B3168" t="str">
        <f t="shared" si="101"/>
        <v>7876470G90603WC-M</v>
      </c>
      <c r="C3168" s="1" t="s">
        <v>693</v>
      </c>
      <c r="D3168" s="1" t="s">
        <v>694</v>
      </c>
      <c r="E3168" s="1" t="s">
        <v>388</v>
      </c>
      <c r="F3168" s="1" t="s">
        <v>389</v>
      </c>
      <c r="G3168" s="1" t="s">
        <v>387</v>
      </c>
      <c r="H3168" s="1">
        <v>2700</v>
      </c>
      <c r="I3168" s="3">
        <v>46280</v>
      </c>
      <c r="J3168" s="3">
        <v>46287</v>
      </c>
      <c r="K3168" s="3" t="s">
        <v>2374</v>
      </c>
      <c r="L3168" s="31">
        <v>46280.612728587963</v>
      </c>
      <c r="M3168" s="20">
        <v>12</v>
      </c>
      <c r="N3168" s="1">
        <v>67</v>
      </c>
    </row>
    <row r="3169" spans="1:14" x14ac:dyDescent="0.25">
      <c r="A3169" t="str">
        <f t="shared" si="100"/>
        <v>78764707876470</v>
      </c>
      <c r="B3169" t="str">
        <f t="shared" si="101"/>
        <v>7876470G90603WC-M</v>
      </c>
      <c r="C3169" s="1" t="s">
        <v>693</v>
      </c>
      <c r="D3169" s="1" t="s">
        <v>694</v>
      </c>
      <c r="E3169" s="1" t="s">
        <v>388</v>
      </c>
      <c r="F3169" s="1" t="s">
        <v>389</v>
      </c>
      <c r="G3169" s="1" t="s">
        <v>387</v>
      </c>
      <c r="H3169" s="1">
        <v>2700</v>
      </c>
      <c r="I3169" s="3">
        <v>46280</v>
      </c>
      <c r="J3169" s="3">
        <v>46287</v>
      </c>
      <c r="K3169" s="3" t="s">
        <v>2374</v>
      </c>
      <c r="L3169" s="31">
        <v>46280.612951469906</v>
      </c>
      <c r="M3169" s="20">
        <v>12</v>
      </c>
      <c r="N3169" s="1">
        <v>158</v>
      </c>
    </row>
    <row r="3170" spans="1:14" x14ac:dyDescent="0.25">
      <c r="A3170" t="str">
        <f t="shared" si="100"/>
        <v>78764707876470</v>
      </c>
      <c r="B3170" t="str">
        <f t="shared" si="101"/>
        <v>7876470G90603WC-M</v>
      </c>
      <c r="C3170" s="1" t="s">
        <v>693</v>
      </c>
      <c r="D3170" s="1" t="s">
        <v>694</v>
      </c>
      <c r="E3170" s="1" t="s">
        <v>388</v>
      </c>
      <c r="F3170" s="1" t="s">
        <v>389</v>
      </c>
      <c r="G3170" s="1" t="s">
        <v>387</v>
      </c>
      <c r="H3170" s="1">
        <v>2700</v>
      </c>
      <c r="I3170" s="3">
        <v>46280</v>
      </c>
      <c r="J3170" s="3">
        <v>46287</v>
      </c>
      <c r="K3170" s="3" t="s">
        <v>2374</v>
      </c>
      <c r="L3170" s="31">
        <v>46280.614088969909</v>
      </c>
      <c r="M3170" s="20">
        <v>12</v>
      </c>
      <c r="N3170" s="1">
        <v>193</v>
      </c>
    </row>
    <row r="3171" spans="1:14" x14ac:dyDescent="0.25">
      <c r="A3171" t="str">
        <f t="shared" si="100"/>
        <v>78764707876470</v>
      </c>
      <c r="B3171" t="str">
        <f t="shared" si="101"/>
        <v>7876470G90603WC-M</v>
      </c>
      <c r="C3171" s="1" t="s">
        <v>693</v>
      </c>
      <c r="D3171" s="1" t="s">
        <v>694</v>
      </c>
      <c r="E3171" s="1" t="s">
        <v>388</v>
      </c>
      <c r="F3171" s="1" t="s">
        <v>389</v>
      </c>
      <c r="G3171" s="1" t="s">
        <v>387</v>
      </c>
      <c r="H3171" s="1">
        <v>2700</v>
      </c>
      <c r="I3171" s="3">
        <v>46280</v>
      </c>
      <c r="J3171" s="3">
        <v>46287</v>
      </c>
      <c r="K3171" s="3" t="s">
        <v>2374</v>
      </c>
      <c r="L3171" s="31">
        <v>46280.614343437497</v>
      </c>
      <c r="M3171" s="20">
        <v>12</v>
      </c>
      <c r="N3171" s="1">
        <v>192</v>
      </c>
    </row>
    <row r="3172" spans="1:14" x14ac:dyDescent="0.25">
      <c r="A3172" t="str">
        <f t="shared" si="100"/>
        <v>78764707876470</v>
      </c>
      <c r="B3172" t="str">
        <f t="shared" si="101"/>
        <v>7876470G90603WC-M</v>
      </c>
      <c r="C3172" s="1" t="s">
        <v>693</v>
      </c>
      <c r="D3172" s="1" t="s">
        <v>694</v>
      </c>
      <c r="E3172" s="1" t="s">
        <v>388</v>
      </c>
      <c r="F3172" s="1" t="s">
        <v>389</v>
      </c>
      <c r="G3172" s="1" t="s">
        <v>387</v>
      </c>
      <c r="H3172" s="1">
        <v>2700</v>
      </c>
      <c r="I3172" s="3">
        <v>46280</v>
      </c>
      <c r="J3172" s="3">
        <v>46287</v>
      </c>
      <c r="K3172" s="3" t="s">
        <v>2374</v>
      </c>
      <c r="L3172" s="31">
        <v>46280.631351122684</v>
      </c>
      <c r="M3172" s="20">
        <v>12</v>
      </c>
      <c r="N3172" s="1">
        <v>64</v>
      </c>
    </row>
    <row r="3173" spans="1:14" x14ac:dyDescent="0.25">
      <c r="A3173" t="str">
        <f t="shared" si="100"/>
        <v>78764707876470</v>
      </c>
      <c r="B3173" t="str">
        <f t="shared" si="101"/>
        <v>7876470G90603WC-M</v>
      </c>
      <c r="C3173" s="1" t="s">
        <v>693</v>
      </c>
      <c r="D3173" s="1" t="s">
        <v>694</v>
      </c>
      <c r="E3173" s="1" t="s">
        <v>388</v>
      </c>
      <c r="F3173" s="1" t="s">
        <v>389</v>
      </c>
      <c r="G3173" s="1" t="s">
        <v>387</v>
      </c>
      <c r="H3173" s="1">
        <v>2700</v>
      </c>
      <c r="I3173" s="3">
        <v>46280</v>
      </c>
      <c r="J3173" s="3">
        <v>46287</v>
      </c>
      <c r="K3173" s="3" t="s">
        <v>2374</v>
      </c>
      <c r="L3173" s="31">
        <v>46280.631551932871</v>
      </c>
      <c r="M3173" s="20">
        <v>12</v>
      </c>
      <c r="N3173" s="1">
        <v>13</v>
      </c>
    </row>
    <row r="3174" spans="1:14" x14ac:dyDescent="0.25">
      <c r="A3174" t="str">
        <f t="shared" si="100"/>
        <v>78764707876470</v>
      </c>
      <c r="B3174" t="str">
        <f t="shared" si="101"/>
        <v>7876470G90603WC-M</v>
      </c>
      <c r="C3174" s="1" t="s">
        <v>693</v>
      </c>
      <c r="D3174" s="1" t="s">
        <v>694</v>
      </c>
      <c r="E3174" s="1" t="s">
        <v>388</v>
      </c>
      <c r="F3174" s="1" t="s">
        <v>389</v>
      </c>
      <c r="G3174" s="1" t="s">
        <v>387</v>
      </c>
      <c r="H3174" s="1">
        <v>2700</v>
      </c>
      <c r="I3174" s="3">
        <v>46280</v>
      </c>
      <c r="J3174" s="3">
        <v>46287</v>
      </c>
      <c r="K3174" s="3" t="s">
        <v>2374</v>
      </c>
      <c r="L3174" s="31">
        <v>46280.632601620367</v>
      </c>
      <c r="M3174" s="20">
        <v>12</v>
      </c>
      <c r="N3174" s="1">
        <v>157</v>
      </c>
    </row>
    <row r="3175" spans="1:14" x14ac:dyDescent="0.25">
      <c r="A3175" t="str">
        <f t="shared" si="100"/>
        <v>78764707876470</v>
      </c>
      <c r="B3175" t="str">
        <f t="shared" si="101"/>
        <v>7876470G90603WC-M</v>
      </c>
      <c r="C3175" s="1" t="s">
        <v>693</v>
      </c>
      <c r="D3175" s="1" t="s">
        <v>694</v>
      </c>
      <c r="E3175" s="1" t="s">
        <v>388</v>
      </c>
      <c r="F3175" s="1" t="s">
        <v>389</v>
      </c>
      <c r="G3175" s="1" t="s">
        <v>387</v>
      </c>
      <c r="H3175" s="1">
        <v>2700</v>
      </c>
      <c r="I3175" s="3">
        <v>46280</v>
      </c>
      <c r="J3175" s="3">
        <v>46287</v>
      </c>
      <c r="K3175" s="3" t="s">
        <v>2374</v>
      </c>
      <c r="L3175" s="31">
        <v>46280.640781909722</v>
      </c>
      <c r="M3175" s="20">
        <v>12</v>
      </c>
      <c r="N3175" s="1">
        <v>40</v>
      </c>
    </row>
    <row r="3176" spans="1:14" x14ac:dyDescent="0.25">
      <c r="A3176" t="str">
        <f t="shared" si="100"/>
        <v>78764707876470</v>
      </c>
      <c r="B3176" t="str">
        <f t="shared" si="101"/>
        <v>7876470G90603WC-M</v>
      </c>
      <c r="C3176" s="1" t="s">
        <v>693</v>
      </c>
      <c r="D3176" s="1" t="s">
        <v>694</v>
      </c>
      <c r="E3176" s="1" t="s">
        <v>388</v>
      </c>
      <c r="F3176" s="1" t="s">
        <v>389</v>
      </c>
      <c r="G3176" s="1" t="s">
        <v>387</v>
      </c>
      <c r="H3176" s="1">
        <v>2700</v>
      </c>
      <c r="I3176" s="3">
        <v>46280</v>
      </c>
      <c r="J3176" s="3">
        <v>46287</v>
      </c>
      <c r="K3176" s="3" t="s">
        <v>2374</v>
      </c>
      <c r="L3176" s="31">
        <v>46280.665402858795</v>
      </c>
      <c r="M3176" s="20">
        <v>12</v>
      </c>
      <c r="N3176" s="1">
        <v>68</v>
      </c>
    </row>
    <row r="3177" spans="1:14" x14ac:dyDescent="0.25">
      <c r="A3177" t="str">
        <f t="shared" si="100"/>
        <v>78764707876470</v>
      </c>
      <c r="B3177" t="str">
        <f t="shared" si="101"/>
        <v>7876470G90603WC-M</v>
      </c>
      <c r="C3177" s="1" t="s">
        <v>693</v>
      </c>
      <c r="D3177" s="1" t="s">
        <v>694</v>
      </c>
      <c r="E3177" s="1" t="s">
        <v>388</v>
      </c>
      <c r="F3177" s="1" t="s">
        <v>389</v>
      </c>
      <c r="G3177" s="1" t="s">
        <v>387</v>
      </c>
      <c r="H3177" s="1">
        <v>2700</v>
      </c>
      <c r="I3177" s="3">
        <v>46280</v>
      </c>
      <c r="J3177" s="3">
        <v>46287</v>
      </c>
      <c r="K3177" s="3" t="s">
        <v>2374</v>
      </c>
      <c r="L3177" s="31">
        <v>46280.665604363421</v>
      </c>
      <c r="M3177" s="20">
        <v>12</v>
      </c>
      <c r="N3177" s="1">
        <v>161</v>
      </c>
    </row>
    <row r="3178" spans="1:14" x14ac:dyDescent="0.25">
      <c r="A3178" t="str">
        <f t="shared" si="100"/>
        <v>78764707876470</v>
      </c>
      <c r="B3178" t="str">
        <f t="shared" si="101"/>
        <v>7876470G90603WC-M</v>
      </c>
      <c r="C3178" s="1" t="s">
        <v>693</v>
      </c>
      <c r="D3178" s="1" t="s">
        <v>694</v>
      </c>
      <c r="E3178" s="1" t="s">
        <v>388</v>
      </c>
      <c r="F3178" s="1" t="s">
        <v>389</v>
      </c>
      <c r="G3178" s="1" t="s">
        <v>387</v>
      </c>
      <c r="H3178" s="1">
        <v>2700</v>
      </c>
      <c r="I3178" s="3">
        <v>46280</v>
      </c>
      <c r="J3178" s="3">
        <v>46287</v>
      </c>
      <c r="K3178" s="3" t="s">
        <v>2374</v>
      </c>
      <c r="L3178" s="31">
        <v>46280.665866516203</v>
      </c>
      <c r="M3178" s="20">
        <v>12</v>
      </c>
      <c r="N3178" s="1">
        <v>196</v>
      </c>
    </row>
    <row r="3179" spans="1:14" x14ac:dyDescent="0.25">
      <c r="A3179" t="str">
        <f t="shared" si="100"/>
        <v>78764707876470</v>
      </c>
      <c r="B3179" t="str">
        <f t="shared" si="101"/>
        <v>7876470G90603WC-M</v>
      </c>
      <c r="C3179" s="1" t="s">
        <v>693</v>
      </c>
      <c r="D3179" s="1" t="s">
        <v>694</v>
      </c>
      <c r="E3179" s="1" t="s">
        <v>388</v>
      </c>
      <c r="F3179" s="1" t="s">
        <v>389</v>
      </c>
      <c r="G3179" s="1" t="s">
        <v>387</v>
      </c>
      <c r="H3179" s="1">
        <v>2700</v>
      </c>
      <c r="I3179" s="3">
        <v>46280</v>
      </c>
      <c r="J3179" s="3">
        <v>46287</v>
      </c>
      <c r="K3179" s="3" t="s">
        <v>2374</v>
      </c>
      <c r="L3179" s="31">
        <v>46280.66639262731</v>
      </c>
      <c r="M3179" s="20">
        <v>12</v>
      </c>
      <c r="N3179" s="1">
        <v>42</v>
      </c>
    </row>
    <row r="3180" spans="1:14" x14ac:dyDescent="0.25">
      <c r="A3180" t="str">
        <f t="shared" si="100"/>
        <v>78764707876470</v>
      </c>
      <c r="B3180" t="str">
        <f t="shared" si="101"/>
        <v>7876470G90603WC-M</v>
      </c>
      <c r="C3180" s="1" t="s">
        <v>693</v>
      </c>
      <c r="D3180" s="1" t="s">
        <v>694</v>
      </c>
      <c r="E3180" s="1" t="s">
        <v>388</v>
      </c>
      <c r="F3180" s="1" t="s">
        <v>389</v>
      </c>
      <c r="G3180" s="1" t="s">
        <v>387</v>
      </c>
      <c r="H3180" s="1">
        <v>2700</v>
      </c>
      <c r="I3180" s="3">
        <v>46280</v>
      </c>
      <c r="J3180" s="3">
        <v>46287</v>
      </c>
      <c r="K3180" s="3" t="s">
        <v>2374</v>
      </c>
      <c r="L3180" s="31">
        <v>46280.683458449072</v>
      </c>
      <c r="M3180" s="20">
        <v>12</v>
      </c>
      <c r="N3180" s="1">
        <v>41</v>
      </c>
    </row>
    <row r="3181" spans="1:14" x14ac:dyDescent="0.25">
      <c r="A3181" t="str">
        <f t="shared" si="100"/>
        <v>78764707876470</v>
      </c>
      <c r="B3181" t="str">
        <f t="shared" si="101"/>
        <v>7876470G90603WC-M</v>
      </c>
      <c r="C3181" s="1" t="s">
        <v>693</v>
      </c>
      <c r="D3181" s="1" t="s">
        <v>694</v>
      </c>
      <c r="E3181" s="1" t="s">
        <v>388</v>
      </c>
      <c r="F3181" s="1" t="s">
        <v>389</v>
      </c>
      <c r="G3181" s="1" t="s">
        <v>387</v>
      </c>
      <c r="H3181" s="1">
        <v>2700</v>
      </c>
      <c r="I3181" s="3">
        <v>46280</v>
      </c>
      <c r="J3181" s="3">
        <v>46287</v>
      </c>
      <c r="K3181" s="3" t="s">
        <v>2374</v>
      </c>
      <c r="L3181" s="31">
        <v>46280.683805706016</v>
      </c>
      <c r="M3181" s="20">
        <v>12</v>
      </c>
      <c r="N3181" s="1">
        <v>14</v>
      </c>
    </row>
    <row r="3182" spans="1:14" x14ac:dyDescent="0.25">
      <c r="A3182" t="str">
        <f t="shared" si="100"/>
        <v>78764707876470</v>
      </c>
      <c r="B3182" t="str">
        <f t="shared" si="101"/>
        <v>7876470G90603WC-M</v>
      </c>
      <c r="C3182" s="1" t="s">
        <v>693</v>
      </c>
      <c r="D3182" s="1" t="s">
        <v>694</v>
      </c>
      <c r="E3182" s="1" t="s">
        <v>388</v>
      </c>
      <c r="F3182" s="1" t="s">
        <v>389</v>
      </c>
      <c r="G3182" s="1" t="s">
        <v>387</v>
      </c>
      <c r="H3182" s="1">
        <v>2700</v>
      </c>
      <c r="I3182" s="3">
        <v>46280</v>
      </c>
      <c r="J3182" s="3">
        <v>46287</v>
      </c>
      <c r="K3182" s="3" t="s">
        <v>2374</v>
      </c>
      <c r="L3182" s="31">
        <v>46280.684371493051</v>
      </c>
      <c r="M3182" s="20">
        <v>12</v>
      </c>
      <c r="N3182" s="1">
        <v>89</v>
      </c>
    </row>
    <row r="3183" spans="1:14" x14ac:dyDescent="0.25">
      <c r="A3183" t="str">
        <f t="shared" si="100"/>
        <v>78764707876470</v>
      </c>
      <c r="B3183" t="str">
        <f t="shared" si="101"/>
        <v>7876470G90603WC-M</v>
      </c>
      <c r="C3183" s="1" t="s">
        <v>693</v>
      </c>
      <c r="D3183" s="1" t="s">
        <v>694</v>
      </c>
      <c r="E3183" s="1" t="s">
        <v>388</v>
      </c>
      <c r="F3183" s="1" t="s">
        <v>389</v>
      </c>
      <c r="G3183" s="1" t="s">
        <v>387</v>
      </c>
      <c r="H3183" s="1">
        <v>2700</v>
      </c>
      <c r="I3183" s="3">
        <v>46280</v>
      </c>
      <c r="J3183" s="3">
        <v>46287</v>
      </c>
      <c r="K3183" s="3" t="s">
        <v>2374</v>
      </c>
      <c r="L3183" s="31">
        <v>46280.686480590273</v>
      </c>
      <c r="M3183" s="20">
        <v>12</v>
      </c>
      <c r="N3183" s="1">
        <v>197</v>
      </c>
    </row>
    <row r="3184" spans="1:14" x14ac:dyDescent="0.25">
      <c r="A3184" t="str">
        <f t="shared" si="100"/>
        <v>78764707876470</v>
      </c>
      <c r="B3184" t="str">
        <f t="shared" si="101"/>
        <v>7876470G90603WC-M</v>
      </c>
      <c r="C3184" s="1" t="s">
        <v>693</v>
      </c>
      <c r="D3184" s="1" t="s">
        <v>694</v>
      </c>
      <c r="E3184" s="1" t="s">
        <v>388</v>
      </c>
      <c r="F3184" s="1" t="s">
        <v>389</v>
      </c>
      <c r="G3184" s="1" t="s">
        <v>387</v>
      </c>
      <c r="H3184" s="1">
        <v>2700</v>
      </c>
      <c r="I3184" s="3">
        <v>46280</v>
      </c>
      <c r="J3184" s="3">
        <v>46287</v>
      </c>
      <c r="K3184" s="3" t="s">
        <v>2374</v>
      </c>
      <c r="L3184" s="31">
        <v>46280.687768715274</v>
      </c>
      <c r="M3184" s="20">
        <v>12</v>
      </c>
      <c r="N3184" s="1">
        <v>160</v>
      </c>
    </row>
    <row r="3185" spans="1:14" x14ac:dyDescent="0.25">
      <c r="A3185" t="str">
        <f t="shared" si="100"/>
        <v>78764707876470</v>
      </c>
      <c r="B3185" t="str">
        <f t="shared" si="101"/>
        <v>7876470G90603WC-M</v>
      </c>
      <c r="C3185" s="1" t="s">
        <v>693</v>
      </c>
      <c r="D3185" s="1" t="s">
        <v>694</v>
      </c>
      <c r="E3185" s="1" t="s">
        <v>388</v>
      </c>
      <c r="F3185" s="1" t="s">
        <v>389</v>
      </c>
      <c r="G3185" s="1" t="s">
        <v>387</v>
      </c>
      <c r="H3185" s="1">
        <v>2700</v>
      </c>
      <c r="I3185" s="3">
        <v>46280</v>
      </c>
      <c r="J3185" s="3">
        <v>46287</v>
      </c>
      <c r="K3185" s="3" t="s">
        <v>2374</v>
      </c>
      <c r="L3185" s="31">
        <v>46280.688078206018</v>
      </c>
      <c r="M3185" s="20">
        <v>12</v>
      </c>
      <c r="N3185" s="1">
        <v>159</v>
      </c>
    </row>
    <row r="3186" spans="1:14" x14ac:dyDescent="0.25">
      <c r="A3186" t="str">
        <f t="shared" si="100"/>
        <v>78764707876470</v>
      </c>
      <c r="B3186" t="str">
        <f t="shared" si="101"/>
        <v>7876470G90603WC-M</v>
      </c>
      <c r="C3186" s="1" t="s">
        <v>693</v>
      </c>
      <c r="D3186" s="1" t="s">
        <v>694</v>
      </c>
      <c r="E3186" s="1" t="s">
        <v>388</v>
      </c>
      <c r="F3186" s="1" t="s">
        <v>389</v>
      </c>
      <c r="G3186" s="1" t="s">
        <v>387</v>
      </c>
      <c r="H3186" s="1">
        <v>2700</v>
      </c>
      <c r="I3186" s="3">
        <v>46280</v>
      </c>
      <c r="J3186" s="3">
        <v>46287</v>
      </c>
      <c r="K3186" s="3" t="s">
        <v>2374</v>
      </c>
      <c r="L3186" s="31">
        <v>46280.690982905093</v>
      </c>
      <c r="M3186" s="20">
        <v>12</v>
      </c>
      <c r="N3186" s="1">
        <v>43</v>
      </c>
    </row>
    <row r="3187" spans="1:14" x14ac:dyDescent="0.25">
      <c r="A3187" t="str">
        <f t="shared" si="100"/>
        <v>78764707876470</v>
      </c>
      <c r="B3187" t="str">
        <f t="shared" si="101"/>
        <v>7876470G90603WC-M</v>
      </c>
      <c r="C3187" s="1" t="s">
        <v>693</v>
      </c>
      <c r="D3187" s="1" t="s">
        <v>694</v>
      </c>
      <c r="E3187" s="1" t="s">
        <v>388</v>
      </c>
      <c r="F3187" s="1" t="s">
        <v>389</v>
      </c>
      <c r="G3187" s="1" t="s">
        <v>387</v>
      </c>
      <c r="H3187" s="1">
        <v>2700</v>
      </c>
      <c r="I3187" s="3">
        <v>46280</v>
      </c>
      <c r="J3187" s="3">
        <v>46287</v>
      </c>
      <c r="K3187" s="3" t="s">
        <v>2374</v>
      </c>
      <c r="L3187" s="31">
        <v>46280.691260104162</v>
      </c>
      <c r="M3187" s="20">
        <v>12</v>
      </c>
      <c r="N3187" s="1">
        <v>199</v>
      </c>
    </row>
    <row r="3188" spans="1:14" x14ac:dyDescent="0.25">
      <c r="A3188" t="str">
        <f t="shared" si="100"/>
        <v>78764707876470</v>
      </c>
      <c r="B3188" t="str">
        <f t="shared" si="101"/>
        <v>7876470G90603WC-M</v>
      </c>
      <c r="C3188" s="1" t="s">
        <v>693</v>
      </c>
      <c r="D3188" s="1" t="s">
        <v>694</v>
      </c>
      <c r="E3188" s="1" t="s">
        <v>388</v>
      </c>
      <c r="F3188" s="1" t="s">
        <v>389</v>
      </c>
      <c r="G3188" s="1" t="s">
        <v>387</v>
      </c>
      <c r="H3188" s="1">
        <v>2700</v>
      </c>
      <c r="I3188" s="3">
        <v>46280</v>
      </c>
      <c r="J3188" s="3">
        <v>46287</v>
      </c>
      <c r="K3188" s="3" t="s">
        <v>2374</v>
      </c>
      <c r="L3188" s="31">
        <v>46280.700057638889</v>
      </c>
      <c r="M3188" s="20">
        <v>12</v>
      </c>
      <c r="N3188" s="1">
        <v>91</v>
      </c>
    </row>
    <row r="3189" spans="1:14" x14ac:dyDescent="0.25">
      <c r="A3189" t="str">
        <f t="shared" si="100"/>
        <v>78764707876470</v>
      </c>
      <c r="B3189" t="str">
        <f t="shared" si="101"/>
        <v>7876470G90603WC-M</v>
      </c>
      <c r="C3189" s="1" t="s">
        <v>693</v>
      </c>
      <c r="D3189" s="1" t="s">
        <v>694</v>
      </c>
      <c r="E3189" s="1" t="s">
        <v>388</v>
      </c>
      <c r="F3189" s="1" t="s">
        <v>389</v>
      </c>
      <c r="G3189" s="1" t="s">
        <v>387</v>
      </c>
      <c r="H3189" s="1">
        <v>2700</v>
      </c>
      <c r="I3189" s="3">
        <v>46280</v>
      </c>
      <c r="J3189" s="3">
        <v>46287</v>
      </c>
      <c r="K3189" s="3" t="s">
        <v>2374</v>
      </c>
      <c r="L3189" s="31">
        <v>46280.704668136575</v>
      </c>
      <c r="M3189" s="20">
        <v>12</v>
      </c>
      <c r="N3189" s="1">
        <v>200</v>
      </c>
    </row>
    <row r="3190" spans="1:14" x14ac:dyDescent="0.25">
      <c r="A3190" t="str">
        <f t="shared" si="100"/>
        <v>78764707876470</v>
      </c>
      <c r="B3190" t="str">
        <f t="shared" si="101"/>
        <v>7876470G90603WC-M</v>
      </c>
      <c r="C3190" s="1" t="s">
        <v>693</v>
      </c>
      <c r="D3190" s="1" t="s">
        <v>694</v>
      </c>
      <c r="E3190" s="1" t="s">
        <v>388</v>
      </c>
      <c r="F3190" s="1" t="s">
        <v>389</v>
      </c>
      <c r="G3190" s="1" t="s">
        <v>387</v>
      </c>
      <c r="H3190" s="1">
        <v>2700</v>
      </c>
      <c r="I3190" s="3">
        <v>46280</v>
      </c>
      <c r="J3190" s="3">
        <v>46287</v>
      </c>
      <c r="K3190" s="3" t="s">
        <v>2374</v>
      </c>
      <c r="L3190" s="31">
        <v>46280.705813194443</v>
      </c>
      <c r="M3190" s="20">
        <v>12</v>
      </c>
      <c r="N3190" s="1">
        <v>17</v>
      </c>
    </row>
    <row r="3191" spans="1:14" x14ac:dyDescent="0.25">
      <c r="A3191" t="str">
        <f t="shared" si="100"/>
        <v>78764707876470</v>
      </c>
      <c r="B3191" t="str">
        <f t="shared" si="101"/>
        <v>7876470G90603WC-M</v>
      </c>
      <c r="C3191" s="1" t="s">
        <v>693</v>
      </c>
      <c r="D3191" s="1" t="s">
        <v>694</v>
      </c>
      <c r="E3191" s="1" t="s">
        <v>388</v>
      </c>
      <c r="F3191" s="1" t="s">
        <v>389</v>
      </c>
      <c r="G3191" s="1" t="s">
        <v>387</v>
      </c>
      <c r="H3191" s="1">
        <v>2700</v>
      </c>
      <c r="I3191" s="3">
        <v>46280</v>
      </c>
      <c r="J3191" s="3">
        <v>46287</v>
      </c>
      <c r="K3191" s="3" t="s">
        <v>2374</v>
      </c>
      <c r="L3191" s="31">
        <v>46280.715806481479</v>
      </c>
      <c r="M3191" s="20">
        <v>12</v>
      </c>
      <c r="N3191" s="1">
        <v>15</v>
      </c>
    </row>
    <row r="3192" spans="1:14" x14ac:dyDescent="0.25">
      <c r="A3192" t="str">
        <f t="shared" si="100"/>
        <v>78764707876470</v>
      </c>
      <c r="B3192" t="str">
        <f t="shared" si="101"/>
        <v>7876470G90603WC-M</v>
      </c>
      <c r="C3192" s="1" t="s">
        <v>693</v>
      </c>
      <c r="D3192" s="1" t="s">
        <v>694</v>
      </c>
      <c r="E3192" s="1" t="s">
        <v>388</v>
      </c>
      <c r="F3192" s="1" t="s">
        <v>389</v>
      </c>
      <c r="G3192" s="1" t="s">
        <v>387</v>
      </c>
      <c r="H3192" s="1">
        <v>2700</v>
      </c>
      <c r="I3192" s="3">
        <v>46280</v>
      </c>
      <c r="J3192" s="3">
        <v>46287</v>
      </c>
      <c r="K3192" s="3" t="s">
        <v>2374</v>
      </c>
      <c r="L3192" s="31">
        <v>46280.716022488421</v>
      </c>
      <c r="M3192" s="20">
        <v>12</v>
      </c>
      <c r="N3192" s="1">
        <v>198</v>
      </c>
    </row>
    <row r="3193" spans="1:14" x14ac:dyDescent="0.25">
      <c r="A3193" t="str">
        <f t="shared" si="100"/>
        <v>78764707876470</v>
      </c>
      <c r="B3193" t="str">
        <f t="shared" si="101"/>
        <v>7876470G90603WC-M</v>
      </c>
      <c r="C3193" s="1" t="s">
        <v>693</v>
      </c>
      <c r="D3193" s="1" t="s">
        <v>694</v>
      </c>
      <c r="E3193" s="1" t="s">
        <v>388</v>
      </c>
      <c r="F3193" s="1" t="s">
        <v>389</v>
      </c>
      <c r="G3193" s="1" t="s">
        <v>387</v>
      </c>
      <c r="H3193" s="1">
        <v>2700</v>
      </c>
      <c r="I3193" s="3">
        <v>46280</v>
      </c>
      <c r="J3193" s="3">
        <v>46287</v>
      </c>
      <c r="K3193" s="3" t="s">
        <v>2374</v>
      </c>
      <c r="L3193" s="31">
        <v>46280.716240474532</v>
      </c>
      <c r="M3193" s="20">
        <v>12</v>
      </c>
      <c r="N3193" s="1">
        <v>44</v>
      </c>
    </row>
    <row r="3194" spans="1:14" x14ac:dyDescent="0.25">
      <c r="A3194" t="str">
        <f t="shared" si="100"/>
        <v>78807307880730</v>
      </c>
      <c r="B3194" t="str">
        <f t="shared" si="101"/>
        <v>7880730G6037LU-M</v>
      </c>
      <c r="C3194" s="1" t="s">
        <v>486</v>
      </c>
      <c r="D3194" s="1" t="s">
        <v>696</v>
      </c>
      <c r="E3194" s="1" t="s">
        <v>388</v>
      </c>
      <c r="F3194" s="1" t="s">
        <v>389</v>
      </c>
      <c r="G3194" s="1" t="s">
        <v>387</v>
      </c>
      <c r="H3194" s="1">
        <v>1452</v>
      </c>
      <c r="I3194" s="3">
        <v>46280</v>
      </c>
      <c r="L3194" s="31">
        <v>46280.560935150461</v>
      </c>
      <c r="M3194" s="20">
        <v>12</v>
      </c>
      <c r="N3194" s="1">
        <v>35</v>
      </c>
    </row>
    <row r="3195" spans="1:14" x14ac:dyDescent="0.25">
      <c r="A3195" t="str">
        <f t="shared" si="100"/>
        <v>78807307880730</v>
      </c>
      <c r="B3195" t="str">
        <f t="shared" si="101"/>
        <v>7880730G6037LU-M</v>
      </c>
      <c r="C3195" s="1" t="s">
        <v>486</v>
      </c>
      <c r="D3195" s="1" t="s">
        <v>696</v>
      </c>
      <c r="E3195" s="1" t="s">
        <v>388</v>
      </c>
      <c r="F3195" s="1" t="s">
        <v>389</v>
      </c>
      <c r="G3195" s="1" t="s">
        <v>387</v>
      </c>
      <c r="H3195" s="1">
        <v>1452</v>
      </c>
      <c r="I3195" s="3">
        <v>46280</v>
      </c>
      <c r="L3195" s="31">
        <v>46280.561111770832</v>
      </c>
      <c r="M3195" s="20">
        <v>12</v>
      </c>
      <c r="N3195" s="1">
        <v>104</v>
      </c>
    </row>
    <row r="3196" spans="1:14" x14ac:dyDescent="0.25">
      <c r="A3196" t="str">
        <f t="shared" si="100"/>
        <v>78807307880730</v>
      </c>
      <c r="B3196" t="str">
        <f t="shared" si="101"/>
        <v>7880730G6037LU-M</v>
      </c>
      <c r="C3196" s="1" t="s">
        <v>486</v>
      </c>
      <c r="D3196" s="1" t="s">
        <v>696</v>
      </c>
      <c r="E3196" s="1" t="s">
        <v>388</v>
      </c>
      <c r="F3196" s="1" t="s">
        <v>389</v>
      </c>
      <c r="G3196" s="1" t="s">
        <v>387</v>
      </c>
      <c r="H3196" s="1">
        <v>1452</v>
      </c>
      <c r="I3196" s="3">
        <v>46280</v>
      </c>
      <c r="L3196" s="31">
        <v>46280.563261921292</v>
      </c>
      <c r="M3196" s="20">
        <v>12</v>
      </c>
      <c r="N3196" s="1">
        <v>49</v>
      </c>
    </row>
    <row r="3197" spans="1:14" x14ac:dyDescent="0.25">
      <c r="A3197" t="str">
        <f t="shared" si="100"/>
        <v>78807307880730</v>
      </c>
      <c r="B3197" t="str">
        <f t="shared" si="101"/>
        <v>7880730G6037LU-M</v>
      </c>
      <c r="C3197" s="1" t="s">
        <v>486</v>
      </c>
      <c r="D3197" s="1" t="s">
        <v>696</v>
      </c>
      <c r="E3197" s="1" t="s">
        <v>388</v>
      </c>
      <c r="F3197" s="1" t="s">
        <v>389</v>
      </c>
      <c r="G3197" s="1" t="s">
        <v>387</v>
      </c>
      <c r="H3197" s="1">
        <v>1452</v>
      </c>
      <c r="I3197" s="3">
        <v>46280</v>
      </c>
      <c r="L3197" s="31">
        <v>46280.565721145831</v>
      </c>
      <c r="M3197" s="20">
        <v>12</v>
      </c>
      <c r="N3197" s="1">
        <v>87</v>
      </c>
    </row>
    <row r="3198" spans="1:14" x14ac:dyDescent="0.25">
      <c r="A3198" t="str">
        <f t="shared" si="100"/>
        <v>78807307880730</v>
      </c>
      <c r="B3198" t="str">
        <f t="shared" si="101"/>
        <v>7880730G6037LU-M</v>
      </c>
      <c r="C3198" s="1" t="s">
        <v>486</v>
      </c>
      <c r="D3198" s="1" t="s">
        <v>696</v>
      </c>
      <c r="E3198" s="1" t="s">
        <v>388</v>
      </c>
      <c r="F3198" s="1" t="s">
        <v>389</v>
      </c>
      <c r="G3198" s="1" t="s">
        <v>387</v>
      </c>
      <c r="H3198" s="1">
        <v>1452</v>
      </c>
      <c r="I3198" s="3">
        <v>46280</v>
      </c>
      <c r="L3198" s="31">
        <v>46280.565906597221</v>
      </c>
      <c r="M3198" s="20">
        <v>12</v>
      </c>
      <c r="N3198" s="1">
        <v>50</v>
      </c>
    </row>
    <row r="3199" spans="1:14" x14ac:dyDescent="0.25">
      <c r="A3199" t="str">
        <f t="shared" si="100"/>
        <v>78807307880730</v>
      </c>
      <c r="B3199" t="str">
        <f t="shared" si="101"/>
        <v>7880730G6037LU-M</v>
      </c>
      <c r="C3199" s="1" t="s">
        <v>486</v>
      </c>
      <c r="D3199" s="1" t="s">
        <v>696</v>
      </c>
      <c r="E3199" s="1" t="s">
        <v>388</v>
      </c>
      <c r="F3199" s="1" t="s">
        <v>389</v>
      </c>
      <c r="G3199" s="1" t="s">
        <v>387</v>
      </c>
      <c r="H3199" s="1">
        <v>1452</v>
      </c>
      <c r="I3199" s="3">
        <v>46280</v>
      </c>
      <c r="L3199" s="31">
        <v>46280.567799155091</v>
      </c>
      <c r="M3199" s="20">
        <v>12</v>
      </c>
      <c r="N3199" s="1">
        <v>37</v>
      </c>
    </row>
    <row r="3200" spans="1:14" x14ac:dyDescent="0.25">
      <c r="A3200" t="str">
        <f t="shared" si="100"/>
        <v>78807307880730</v>
      </c>
      <c r="B3200" t="str">
        <f t="shared" si="101"/>
        <v>7880730G6037LU-M</v>
      </c>
      <c r="C3200" s="1" t="s">
        <v>486</v>
      </c>
      <c r="D3200" s="1" t="s">
        <v>696</v>
      </c>
      <c r="E3200" s="1" t="s">
        <v>388</v>
      </c>
      <c r="F3200" s="1" t="s">
        <v>389</v>
      </c>
      <c r="G3200" s="1" t="s">
        <v>387</v>
      </c>
      <c r="H3200" s="1">
        <v>1452</v>
      </c>
      <c r="I3200" s="3">
        <v>46280</v>
      </c>
      <c r="L3200" s="31">
        <v>46280.568000347223</v>
      </c>
      <c r="M3200" s="20">
        <v>12</v>
      </c>
      <c r="N3200" s="1">
        <v>51</v>
      </c>
    </row>
    <row r="3201" spans="1:14" x14ac:dyDescent="0.25">
      <c r="A3201" t="str">
        <f t="shared" si="100"/>
        <v>78807307880730</v>
      </c>
      <c r="B3201" t="str">
        <f t="shared" si="101"/>
        <v>7880730G6037LU-M</v>
      </c>
      <c r="C3201" s="1" t="s">
        <v>486</v>
      </c>
      <c r="D3201" s="1" t="s">
        <v>696</v>
      </c>
      <c r="E3201" s="1" t="s">
        <v>388</v>
      </c>
      <c r="F3201" s="1" t="s">
        <v>389</v>
      </c>
      <c r="G3201" s="1" t="s">
        <v>387</v>
      </c>
      <c r="H3201" s="1">
        <v>1452</v>
      </c>
      <c r="I3201" s="3">
        <v>46280</v>
      </c>
      <c r="L3201" s="31">
        <v>46280.568482870367</v>
      </c>
      <c r="M3201" s="20">
        <v>12</v>
      </c>
      <c r="N3201" s="1">
        <v>71</v>
      </c>
    </row>
    <row r="3202" spans="1:14" x14ac:dyDescent="0.25">
      <c r="A3202" t="str">
        <f t="shared" ref="A3202:A3265" si="102">+D3202&amp;D3202</f>
        <v>78807307880730</v>
      </c>
      <c r="B3202" t="str">
        <f t="shared" ref="B3202:B3265" si="103">+D3202&amp;C3202</f>
        <v>7880730G6037LU-M</v>
      </c>
      <c r="C3202" s="1" t="s">
        <v>486</v>
      </c>
      <c r="D3202" s="1" t="s">
        <v>696</v>
      </c>
      <c r="E3202" s="1" t="s">
        <v>388</v>
      </c>
      <c r="F3202" s="1" t="s">
        <v>389</v>
      </c>
      <c r="G3202" s="1" t="s">
        <v>387</v>
      </c>
      <c r="H3202" s="1">
        <v>1452</v>
      </c>
      <c r="I3202" s="3">
        <v>46280</v>
      </c>
      <c r="L3202" s="31">
        <v>46280.568680787037</v>
      </c>
      <c r="M3202" s="20">
        <v>12</v>
      </c>
      <c r="N3202" s="1">
        <v>52</v>
      </c>
    </row>
    <row r="3203" spans="1:14" x14ac:dyDescent="0.25">
      <c r="A3203" t="str">
        <f t="shared" si="102"/>
        <v>78807307880730</v>
      </c>
      <c r="B3203" t="str">
        <f t="shared" si="103"/>
        <v>7880730G6037LU-M</v>
      </c>
      <c r="C3203" s="1" t="s">
        <v>486</v>
      </c>
      <c r="D3203" s="1" t="s">
        <v>696</v>
      </c>
      <c r="E3203" s="1" t="s">
        <v>388</v>
      </c>
      <c r="F3203" s="1" t="s">
        <v>389</v>
      </c>
      <c r="G3203" s="1" t="s">
        <v>387</v>
      </c>
      <c r="H3203" s="1">
        <v>1452</v>
      </c>
      <c r="I3203" s="3">
        <v>46280</v>
      </c>
      <c r="L3203" s="31">
        <v>46280.571609293977</v>
      </c>
      <c r="M3203" s="20">
        <v>12</v>
      </c>
      <c r="N3203" s="1">
        <v>84</v>
      </c>
    </row>
    <row r="3204" spans="1:14" x14ac:dyDescent="0.25">
      <c r="A3204" t="str">
        <f t="shared" si="102"/>
        <v>78807307880730</v>
      </c>
      <c r="B3204" t="str">
        <f t="shared" si="103"/>
        <v>7880730G6037LU-M</v>
      </c>
      <c r="C3204" s="1" t="s">
        <v>486</v>
      </c>
      <c r="D3204" s="1" t="s">
        <v>696</v>
      </c>
      <c r="E3204" s="1" t="s">
        <v>388</v>
      </c>
      <c r="F3204" s="1" t="s">
        <v>389</v>
      </c>
      <c r="G3204" s="1" t="s">
        <v>387</v>
      </c>
      <c r="H3204" s="1">
        <v>1452</v>
      </c>
      <c r="I3204" s="3">
        <v>46280</v>
      </c>
      <c r="L3204" s="31">
        <v>46280.571985613424</v>
      </c>
      <c r="M3204" s="20">
        <v>12</v>
      </c>
      <c r="N3204" s="1">
        <v>70</v>
      </c>
    </row>
    <row r="3205" spans="1:14" x14ac:dyDescent="0.25">
      <c r="A3205" t="str">
        <f t="shared" si="102"/>
        <v>78807307880730</v>
      </c>
      <c r="B3205" t="str">
        <f t="shared" si="103"/>
        <v>7880730G6037LU-M</v>
      </c>
      <c r="C3205" s="1" t="s">
        <v>486</v>
      </c>
      <c r="D3205" s="1" t="s">
        <v>696</v>
      </c>
      <c r="E3205" s="1" t="s">
        <v>388</v>
      </c>
      <c r="F3205" s="1" t="s">
        <v>389</v>
      </c>
      <c r="G3205" s="1" t="s">
        <v>387</v>
      </c>
      <c r="H3205" s="1">
        <v>1452</v>
      </c>
      <c r="I3205" s="3">
        <v>46280</v>
      </c>
      <c r="L3205" s="31">
        <v>46280.573050115738</v>
      </c>
      <c r="M3205" s="20">
        <v>12</v>
      </c>
      <c r="N3205" s="1">
        <v>69</v>
      </c>
    </row>
    <row r="3206" spans="1:14" x14ac:dyDescent="0.25">
      <c r="A3206" t="str">
        <f t="shared" si="102"/>
        <v>78807307880730</v>
      </c>
      <c r="B3206" t="str">
        <f t="shared" si="103"/>
        <v>7880730G6037LU-M</v>
      </c>
      <c r="C3206" s="1" t="s">
        <v>486</v>
      </c>
      <c r="D3206" s="1" t="s">
        <v>696</v>
      </c>
      <c r="E3206" s="1" t="s">
        <v>388</v>
      </c>
      <c r="F3206" s="1" t="s">
        <v>389</v>
      </c>
      <c r="G3206" s="1" t="s">
        <v>387</v>
      </c>
      <c r="H3206" s="1">
        <v>1452</v>
      </c>
      <c r="I3206" s="3">
        <v>46280</v>
      </c>
      <c r="L3206" s="31">
        <v>46280.580067395829</v>
      </c>
      <c r="M3206" s="20">
        <v>12</v>
      </c>
      <c r="N3206" s="1">
        <v>85</v>
      </c>
    </row>
    <row r="3207" spans="1:14" x14ac:dyDescent="0.25">
      <c r="A3207" t="str">
        <f t="shared" si="102"/>
        <v>78807307880730</v>
      </c>
      <c r="B3207" t="str">
        <f t="shared" si="103"/>
        <v>7880730G6037LU-M</v>
      </c>
      <c r="C3207" s="1" t="s">
        <v>486</v>
      </c>
      <c r="D3207" s="1" t="s">
        <v>696</v>
      </c>
      <c r="E3207" s="1" t="s">
        <v>388</v>
      </c>
      <c r="F3207" s="1" t="s">
        <v>389</v>
      </c>
      <c r="G3207" s="1" t="s">
        <v>387</v>
      </c>
      <c r="H3207" s="1">
        <v>1452</v>
      </c>
      <c r="I3207" s="3">
        <v>46280</v>
      </c>
      <c r="L3207" s="31">
        <v>46280.58061863426</v>
      </c>
      <c r="M3207" s="20">
        <v>12</v>
      </c>
      <c r="N3207" s="1">
        <v>36</v>
      </c>
    </row>
    <row r="3208" spans="1:14" x14ac:dyDescent="0.25">
      <c r="A3208" t="str">
        <f t="shared" si="102"/>
        <v>78807307880730</v>
      </c>
      <c r="B3208" t="str">
        <f t="shared" si="103"/>
        <v>7880730G6037LU-M</v>
      </c>
      <c r="C3208" s="1" t="s">
        <v>486</v>
      </c>
      <c r="D3208" s="1" t="s">
        <v>696</v>
      </c>
      <c r="E3208" s="1" t="s">
        <v>388</v>
      </c>
      <c r="F3208" s="1" t="s">
        <v>389</v>
      </c>
      <c r="G3208" s="1" t="s">
        <v>387</v>
      </c>
      <c r="H3208" s="1">
        <v>1452</v>
      </c>
      <c r="I3208" s="3">
        <v>46280</v>
      </c>
      <c r="L3208" s="31">
        <v>46280.580976817131</v>
      </c>
      <c r="M3208" s="20">
        <v>12</v>
      </c>
      <c r="N3208" s="1">
        <v>90</v>
      </c>
    </row>
    <row r="3209" spans="1:14" x14ac:dyDescent="0.25">
      <c r="A3209" t="str">
        <f t="shared" si="102"/>
        <v>78807307880730</v>
      </c>
      <c r="B3209" t="str">
        <f t="shared" si="103"/>
        <v>7880730G6037LU-M</v>
      </c>
      <c r="C3209" s="1" t="s">
        <v>486</v>
      </c>
      <c r="D3209" s="1" t="s">
        <v>696</v>
      </c>
      <c r="E3209" s="1" t="s">
        <v>388</v>
      </c>
      <c r="F3209" s="1" t="s">
        <v>389</v>
      </c>
      <c r="G3209" s="1" t="s">
        <v>387</v>
      </c>
      <c r="H3209" s="1">
        <v>1452</v>
      </c>
      <c r="I3209" s="3">
        <v>46280</v>
      </c>
      <c r="L3209" s="31">
        <v>46280.581345451385</v>
      </c>
      <c r="M3209" s="20">
        <v>12</v>
      </c>
      <c r="N3209" s="1">
        <v>88</v>
      </c>
    </row>
    <row r="3210" spans="1:14" x14ac:dyDescent="0.25">
      <c r="A3210" t="str">
        <f t="shared" si="102"/>
        <v>78807307880730</v>
      </c>
      <c r="B3210" t="str">
        <f t="shared" si="103"/>
        <v>7880730G6037LU-M</v>
      </c>
      <c r="C3210" s="1" t="s">
        <v>486</v>
      </c>
      <c r="D3210" s="1" t="s">
        <v>696</v>
      </c>
      <c r="E3210" s="1" t="s">
        <v>388</v>
      </c>
      <c r="F3210" s="1" t="s">
        <v>389</v>
      </c>
      <c r="G3210" s="1" t="s">
        <v>387</v>
      </c>
      <c r="H3210" s="1">
        <v>1452</v>
      </c>
      <c r="I3210" s="3">
        <v>46280</v>
      </c>
      <c r="L3210" s="31">
        <v>46280.582197604163</v>
      </c>
      <c r="M3210" s="20">
        <v>12</v>
      </c>
      <c r="N3210" s="1">
        <v>86</v>
      </c>
    </row>
    <row r="3211" spans="1:14" x14ac:dyDescent="0.25">
      <c r="A3211" t="str">
        <f t="shared" si="102"/>
        <v>78807307880730</v>
      </c>
      <c r="B3211" t="str">
        <f t="shared" si="103"/>
        <v>7880730G6037LU-M</v>
      </c>
      <c r="C3211" s="1" t="s">
        <v>486</v>
      </c>
      <c r="D3211" s="1" t="s">
        <v>696</v>
      </c>
      <c r="E3211" s="1" t="s">
        <v>388</v>
      </c>
      <c r="F3211" s="1" t="s">
        <v>389</v>
      </c>
      <c r="G3211" s="1" t="s">
        <v>387</v>
      </c>
      <c r="H3211" s="1">
        <v>1452</v>
      </c>
      <c r="I3211" s="3">
        <v>46280</v>
      </c>
      <c r="L3211" s="31">
        <v>46280.584890775463</v>
      </c>
      <c r="M3211" s="20">
        <v>12</v>
      </c>
      <c r="N3211" s="1">
        <v>105</v>
      </c>
    </row>
    <row r="3212" spans="1:14" x14ac:dyDescent="0.25">
      <c r="A3212" t="str">
        <f t="shared" si="102"/>
        <v>78807307880730</v>
      </c>
      <c r="B3212" t="str">
        <f t="shared" si="103"/>
        <v>7880730G6037LU-M</v>
      </c>
      <c r="C3212" s="1" t="s">
        <v>486</v>
      </c>
      <c r="D3212" s="1" t="s">
        <v>696</v>
      </c>
      <c r="E3212" s="1" t="s">
        <v>388</v>
      </c>
      <c r="F3212" s="1" t="s">
        <v>389</v>
      </c>
      <c r="G3212" s="1" t="s">
        <v>387</v>
      </c>
      <c r="H3212" s="1">
        <v>1452</v>
      </c>
      <c r="I3212" s="3">
        <v>46280</v>
      </c>
      <c r="L3212" s="31">
        <v>46280.585129942127</v>
      </c>
      <c r="M3212" s="20">
        <v>12</v>
      </c>
      <c r="N3212" s="1">
        <v>91</v>
      </c>
    </row>
    <row r="3213" spans="1:14" x14ac:dyDescent="0.25">
      <c r="A3213" t="str">
        <f t="shared" si="102"/>
        <v>78807307880730</v>
      </c>
      <c r="B3213" t="str">
        <f t="shared" si="103"/>
        <v>7880730G6037LU-M</v>
      </c>
      <c r="C3213" s="1" t="s">
        <v>486</v>
      </c>
      <c r="D3213" s="1" t="s">
        <v>696</v>
      </c>
      <c r="E3213" s="1" t="s">
        <v>388</v>
      </c>
      <c r="F3213" s="1" t="s">
        <v>389</v>
      </c>
      <c r="G3213" s="1" t="s">
        <v>387</v>
      </c>
      <c r="H3213" s="1">
        <v>1452</v>
      </c>
      <c r="I3213" s="3">
        <v>46280</v>
      </c>
      <c r="L3213" s="31">
        <v>46280.585591979165</v>
      </c>
      <c r="M3213" s="20">
        <v>12</v>
      </c>
      <c r="N3213" s="1">
        <v>89</v>
      </c>
    </row>
    <row r="3214" spans="1:14" x14ac:dyDescent="0.25">
      <c r="A3214" t="str">
        <f t="shared" si="102"/>
        <v>78807307880730</v>
      </c>
      <c r="B3214" t="str">
        <f t="shared" si="103"/>
        <v>7880730G6037LU-M</v>
      </c>
      <c r="C3214" s="1" t="s">
        <v>486</v>
      </c>
      <c r="D3214" s="1" t="s">
        <v>696</v>
      </c>
      <c r="E3214" s="1" t="s">
        <v>388</v>
      </c>
      <c r="F3214" s="1" t="s">
        <v>389</v>
      </c>
      <c r="G3214" s="1" t="s">
        <v>387</v>
      </c>
      <c r="H3214" s="1">
        <v>1452</v>
      </c>
      <c r="I3214" s="3">
        <v>46280</v>
      </c>
      <c r="L3214" s="31">
        <v>46280.585783483795</v>
      </c>
      <c r="M3214" s="20">
        <v>12</v>
      </c>
      <c r="N3214" s="1">
        <v>96</v>
      </c>
    </row>
    <row r="3215" spans="1:14" x14ac:dyDescent="0.25">
      <c r="A3215" t="str">
        <f t="shared" si="102"/>
        <v>78807307880730</v>
      </c>
      <c r="B3215" t="str">
        <f t="shared" si="103"/>
        <v>7880730G6037LU-M</v>
      </c>
      <c r="C3215" s="1" t="s">
        <v>486</v>
      </c>
      <c r="D3215" s="1" t="s">
        <v>696</v>
      </c>
      <c r="E3215" s="1" t="s">
        <v>388</v>
      </c>
      <c r="F3215" s="1" t="s">
        <v>389</v>
      </c>
      <c r="G3215" s="1" t="s">
        <v>387</v>
      </c>
      <c r="H3215" s="1">
        <v>1452</v>
      </c>
      <c r="I3215" s="3">
        <v>46280</v>
      </c>
      <c r="L3215" s="31">
        <v>46280.588541898149</v>
      </c>
      <c r="M3215" s="20">
        <v>12</v>
      </c>
      <c r="N3215" s="1">
        <v>106</v>
      </c>
    </row>
    <row r="3216" spans="1:14" x14ac:dyDescent="0.25">
      <c r="A3216" t="str">
        <f t="shared" si="102"/>
        <v>78807307880730</v>
      </c>
      <c r="B3216" t="str">
        <f t="shared" si="103"/>
        <v>7880730G6037LU-M</v>
      </c>
      <c r="C3216" s="1" t="s">
        <v>486</v>
      </c>
      <c r="D3216" s="1" t="s">
        <v>696</v>
      </c>
      <c r="E3216" s="1" t="s">
        <v>388</v>
      </c>
      <c r="F3216" s="1" t="s">
        <v>389</v>
      </c>
      <c r="G3216" s="1" t="s">
        <v>387</v>
      </c>
      <c r="H3216" s="1">
        <v>1452</v>
      </c>
      <c r="I3216" s="3">
        <v>46280</v>
      </c>
      <c r="L3216" s="31">
        <v>46280.588735532408</v>
      </c>
      <c r="M3216" s="20">
        <v>12</v>
      </c>
      <c r="N3216" s="1">
        <v>92</v>
      </c>
    </row>
    <row r="3217" spans="1:14" x14ac:dyDescent="0.25">
      <c r="A3217" t="str">
        <f t="shared" si="102"/>
        <v>78807307880730</v>
      </c>
      <c r="B3217" t="str">
        <f t="shared" si="103"/>
        <v>7880730G6037LU-M</v>
      </c>
      <c r="C3217" s="1" t="s">
        <v>486</v>
      </c>
      <c r="D3217" s="1" t="s">
        <v>696</v>
      </c>
      <c r="E3217" s="1" t="s">
        <v>388</v>
      </c>
      <c r="F3217" s="1" t="s">
        <v>389</v>
      </c>
      <c r="G3217" s="1" t="s">
        <v>387</v>
      </c>
      <c r="H3217" s="1">
        <v>1452</v>
      </c>
      <c r="I3217" s="3">
        <v>46280</v>
      </c>
      <c r="L3217" s="31">
        <v>46280.589501736111</v>
      </c>
      <c r="M3217" s="20">
        <v>12</v>
      </c>
      <c r="N3217" s="1">
        <v>97</v>
      </c>
    </row>
    <row r="3218" spans="1:14" x14ac:dyDescent="0.25">
      <c r="A3218" t="str">
        <f t="shared" si="102"/>
        <v>78807307880730</v>
      </c>
      <c r="B3218" t="str">
        <f t="shared" si="103"/>
        <v>7880730G6037LU-M</v>
      </c>
      <c r="C3218" s="1" t="s">
        <v>486</v>
      </c>
      <c r="D3218" s="1" t="s">
        <v>696</v>
      </c>
      <c r="E3218" s="1" t="s">
        <v>388</v>
      </c>
      <c r="F3218" s="1" t="s">
        <v>389</v>
      </c>
      <c r="G3218" s="1" t="s">
        <v>387</v>
      </c>
      <c r="H3218" s="1">
        <v>1452</v>
      </c>
      <c r="I3218" s="3">
        <v>46280</v>
      </c>
      <c r="L3218" s="31">
        <v>46280.611838969904</v>
      </c>
      <c r="M3218" s="20">
        <v>12</v>
      </c>
      <c r="N3218" s="1">
        <v>93</v>
      </c>
    </row>
    <row r="3219" spans="1:14" x14ac:dyDescent="0.25">
      <c r="A3219" t="str">
        <f t="shared" si="102"/>
        <v>78807307880730</v>
      </c>
      <c r="B3219" t="str">
        <f t="shared" si="103"/>
        <v>7880730G6037LU-M</v>
      </c>
      <c r="C3219" s="1" t="s">
        <v>486</v>
      </c>
      <c r="D3219" s="1" t="s">
        <v>696</v>
      </c>
      <c r="E3219" s="1" t="s">
        <v>388</v>
      </c>
      <c r="F3219" s="1" t="s">
        <v>389</v>
      </c>
      <c r="G3219" s="1" t="s">
        <v>387</v>
      </c>
      <c r="H3219" s="1">
        <v>1452</v>
      </c>
      <c r="I3219" s="3">
        <v>46280</v>
      </c>
      <c r="L3219" s="31">
        <v>46280.612296064814</v>
      </c>
      <c r="M3219" s="20">
        <v>12</v>
      </c>
      <c r="N3219" s="1">
        <v>53</v>
      </c>
    </row>
    <row r="3220" spans="1:14" x14ac:dyDescent="0.25">
      <c r="A3220" t="str">
        <f t="shared" si="102"/>
        <v>78807307880730</v>
      </c>
      <c r="B3220" t="str">
        <f t="shared" si="103"/>
        <v>7880730G6037LU-M</v>
      </c>
      <c r="C3220" s="1" t="s">
        <v>486</v>
      </c>
      <c r="D3220" s="1" t="s">
        <v>696</v>
      </c>
      <c r="E3220" s="1" t="s">
        <v>388</v>
      </c>
      <c r="F3220" s="1" t="s">
        <v>389</v>
      </c>
      <c r="G3220" s="1" t="s">
        <v>387</v>
      </c>
      <c r="H3220" s="1">
        <v>1452</v>
      </c>
      <c r="I3220" s="3">
        <v>46280</v>
      </c>
      <c r="L3220" s="31">
        <v>46280.612528275458</v>
      </c>
      <c r="M3220" s="20">
        <v>12</v>
      </c>
      <c r="N3220" s="1">
        <v>38</v>
      </c>
    </row>
    <row r="3221" spans="1:14" x14ac:dyDescent="0.25">
      <c r="A3221" t="str">
        <f t="shared" si="102"/>
        <v>78807307880730</v>
      </c>
      <c r="B3221" t="str">
        <f t="shared" si="103"/>
        <v>7880730G6037LU-M</v>
      </c>
      <c r="C3221" s="1" t="s">
        <v>486</v>
      </c>
      <c r="D3221" s="1" t="s">
        <v>696</v>
      </c>
      <c r="E3221" s="1" t="s">
        <v>388</v>
      </c>
      <c r="F3221" s="1" t="s">
        <v>389</v>
      </c>
      <c r="G3221" s="1" t="s">
        <v>387</v>
      </c>
      <c r="H3221" s="1">
        <v>1452</v>
      </c>
      <c r="I3221" s="3">
        <v>46280</v>
      </c>
      <c r="L3221" s="31">
        <v>46280.614975775461</v>
      </c>
      <c r="M3221" s="20">
        <v>12</v>
      </c>
      <c r="N3221" s="1">
        <v>107</v>
      </c>
    </row>
    <row r="3222" spans="1:14" x14ac:dyDescent="0.25">
      <c r="A3222" t="str">
        <f t="shared" si="102"/>
        <v>78807307880730</v>
      </c>
      <c r="B3222" t="str">
        <f t="shared" si="103"/>
        <v>7880730G6037LU-M</v>
      </c>
      <c r="C3222" s="1" t="s">
        <v>486</v>
      </c>
      <c r="D3222" s="1" t="s">
        <v>696</v>
      </c>
      <c r="E3222" s="1" t="s">
        <v>388</v>
      </c>
      <c r="F3222" s="1" t="s">
        <v>389</v>
      </c>
      <c r="G3222" s="1" t="s">
        <v>387</v>
      </c>
      <c r="H3222" s="1">
        <v>1452</v>
      </c>
      <c r="I3222" s="3">
        <v>46280</v>
      </c>
      <c r="L3222" s="31">
        <v>46280.620056053238</v>
      </c>
      <c r="M3222" s="20">
        <v>12</v>
      </c>
      <c r="N3222" s="1">
        <v>54</v>
      </c>
    </row>
    <row r="3223" spans="1:14" x14ac:dyDescent="0.25">
      <c r="A3223" t="str">
        <f t="shared" si="102"/>
        <v>78807307880730</v>
      </c>
      <c r="B3223" t="str">
        <f t="shared" si="103"/>
        <v>7880730G6037LU-M</v>
      </c>
      <c r="C3223" s="1" t="s">
        <v>486</v>
      </c>
      <c r="D3223" s="1" t="s">
        <v>696</v>
      </c>
      <c r="E3223" s="1" t="s">
        <v>388</v>
      </c>
      <c r="F3223" s="1" t="s">
        <v>389</v>
      </c>
      <c r="G3223" s="1" t="s">
        <v>387</v>
      </c>
      <c r="H3223" s="1">
        <v>1452</v>
      </c>
      <c r="I3223" s="3">
        <v>46280</v>
      </c>
      <c r="L3223" s="31">
        <v>46280.630004976847</v>
      </c>
      <c r="M3223" s="20">
        <v>12</v>
      </c>
      <c r="N3223" s="1">
        <v>94</v>
      </c>
    </row>
    <row r="3224" spans="1:14" x14ac:dyDescent="0.25">
      <c r="A3224" t="str">
        <f t="shared" si="102"/>
        <v>78807307880730</v>
      </c>
      <c r="B3224" t="str">
        <f t="shared" si="103"/>
        <v>7880730G6037LU-M</v>
      </c>
      <c r="C3224" s="1" t="s">
        <v>486</v>
      </c>
      <c r="D3224" s="1" t="s">
        <v>696</v>
      </c>
      <c r="E3224" s="1" t="s">
        <v>388</v>
      </c>
      <c r="F3224" s="1" t="s">
        <v>389</v>
      </c>
      <c r="G3224" s="1" t="s">
        <v>387</v>
      </c>
      <c r="H3224" s="1">
        <v>1452</v>
      </c>
      <c r="I3224" s="3">
        <v>46280</v>
      </c>
      <c r="L3224" s="31">
        <v>46280.638845370369</v>
      </c>
      <c r="M3224" s="20">
        <v>12</v>
      </c>
      <c r="N3224" s="1">
        <v>39</v>
      </c>
    </row>
    <row r="3225" spans="1:14" x14ac:dyDescent="0.25">
      <c r="A3225" t="str">
        <f t="shared" si="102"/>
        <v>78807307880730</v>
      </c>
      <c r="B3225" t="str">
        <f t="shared" si="103"/>
        <v>7880730G6037LU-M</v>
      </c>
      <c r="C3225" s="1" t="s">
        <v>486</v>
      </c>
      <c r="D3225" s="1" t="s">
        <v>696</v>
      </c>
      <c r="E3225" s="1" t="s">
        <v>388</v>
      </c>
      <c r="F3225" s="1" t="s">
        <v>389</v>
      </c>
      <c r="G3225" s="1" t="s">
        <v>387</v>
      </c>
      <c r="H3225" s="1">
        <v>1452</v>
      </c>
      <c r="I3225" s="3">
        <v>46280</v>
      </c>
      <c r="L3225" s="31">
        <v>46280.639487002314</v>
      </c>
      <c r="M3225" s="20">
        <v>12</v>
      </c>
      <c r="N3225" s="1">
        <v>95</v>
      </c>
    </row>
    <row r="3226" spans="1:14" x14ac:dyDescent="0.25">
      <c r="A3226" t="str">
        <f t="shared" si="102"/>
        <v>78807307880730</v>
      </c>
      <c r="B3226" t="str">
        <f t="shared" si="103"/>
        <v>7880730G6037LU-M</v>
      </c>
      <c r="C3226" s="1" t="s">
        <v>486</v>
      </c>
      <c r="D3226" s="1" t="s">
        <v>696</v>
      </c>
      <c r="E3226" s="1" t="s">
        <v>388</v>
      </c>
      <c r="F3226" s="1" t="s">
        <v>389</v>
      </c>
      <c r="G3226" s="1" t="s">
        <v>387</v>
      </c>
      <c r="H3226" s="1">
        <v>1452</v>
      </c>
      <c r="I3226" s="3">
        <v>46280</v>
      </c>
      <c r="L3226" s="31">
        <v>46280.656708761569</v>
      </c>
      <c r="M3226" s="20">
        <v>12</v>
      </c>
      <c r="N3226" s="1">
        <v>56</v>
      </c>
    </row>
    <row r="3227" spans="1:14" x14ac:dyDescent="0.25">
      <c r="A3227" t="str">
        <f t="shared" si="102"/>
        <v>78807307880730</v>
      </c>
      <c r="B3227" t="str">
        <f t="shared" si="103"/>
        <v>7880730G6037LU-M</v>
      </c>
      <c r="C3227" s="1" t="s">
        <v>486</v>
      </c>
      <c r="D3227" s="1" t="s">
        <v>696</v>
      </c>
      <c r="E3227" s="1" t="s">
        <v>388</v>
      </c>
      <c r="F3227" s="1" t="s">
        <v>389</v>
      </c>
      <c r="G3227" s="1" t="s">
        <v>387</v>
      </c>
      <c r="H3227" s="1">
        <v>1452</v>
      </c>
      <c r="I3227" s="3">
        <v>46280</v>
      </c>
      <c r="L3227" s="31">
        <v>46280.657010150462</v>
      </c>
      <c r="M3227" s="20">
        <v>12</v>
      </c>
      <c r="N3227" s="1">
        <v>19</v>
      </c>
    </row>
    <row r="3228" spans="1:14" x14ac:dyDescent="0.25">
      <c r="A3228" t="str">
        <f t="shared" si="102"/>
        <v>78807307880730</v>
      </c>
      <c r="B3228" t="str">
        <f t="shared" si="103"/>
        <v>7880730G6037LU-M</v>
      </c>
      <c r="C3228" s="1" t="s">
        <v>486</v>
      </c>
      <c r="D3228" s="1" t="s">
        <v>696</v>
      </c>
      <c r="E3228" s="1" t="s">
        <v>388</v>
      </c>
      <c r="F3228" s="1" t="s">
        <v>389</v>
      </c>
      <c r="G3228" s="1" t="s">
        <v>387</v>
      </c>
      <c r="H3228" s="1">
        <v>1452</v>
      </c>
      <c r="I3228" s="3">
        <v>46280</v>
      </c>
      <c r="L3228" s="31">
        <v>46280.676048842593</v>
      </c>
      <c r="M3228" s="20">
        <v>12</v>
      </c>
      <c r="N3228" s="1">
        <v>72</v>
      </c>
    </row>
    <row r="3229" spans="1:14" x14ac:dyDescent="0.25">
      <c r="A3229" t="str">
        <f t="shared" si="102"/>
        <v>78807307880730</v>
      </c>
      <c r="B3229" t="str">
        <f t="shared" si="103"/>
        <v>7880730G6037LU-M</v>
      </c>
      <c r="C3229" s="1" t="s">
        <v>486</v>
      </c>
      <c r="D3229" s="1" t="s">
        <v>696</v>
      </c>
      <c r="E3229" s="1" t="s">
        <v>388</v>
      </c>
      <c r="F3229" s="1" t="s">
        <v>389</v>
      </c>
      <c r="G3229" s="1" t="s">
        <v>387</v>
      </c>
      <c r="H3229" s="1">
        <v>1452</v>
      </c>
      <c r="I3229" s="3">
        <v>46280</v>
      </c>
      <c r="L3229" s="31">
        <v>46280.71262233796</v>
      </c>
      <c r="M3229" s="20">
        <v>12</v>
      </c>
      <c r="N3229" s="1">
        <v>20</v>
      </c>
    </row>
    <row r="3230" spans="1:14" x14ac:dyDescent="0.25">
      <c r="A3230" t="str">
        <f t="shared" si="102"/>
        <v>78807307880730</v>
      </c>
      <c r="B3230" t="str">
        <f t="shared" si="103"/>
        <v>7880730G6037LU-M</v>
      </c>
      <c r="C3230" s="1" t="s">
        <v>486</v>
      </c>
      <c r="D3230" s="1" t="s">
        <v>696</v>
      </c>
      <c r="E3230" s="1" t="s">
        <v>388</v>
      </c>
      <c r="F3230" s="1" t="s">
        <v>389</v>
      </c>
      <c r="G3230" s="1" t="s">
        <v>387</v>
      </c>
      <c r="H3230" s="1">
        <v>1452</v>
      </c>
      <c r="I3230" s="3">
        <v>46280</v>
      </c>
      <c r="L3230" s="31">
        <v>46280.713240659723</v>
      </c>
      <c r="M3230" s="20">
        <v>12</v>
      </c>
      <c r="N3230" s="1">
        <v>23</v>
      </c>
    </row>
    <row r="3231" spans="1:14" x14ac:dyDescent="0.25">
      <c r="A3231" t="str">
        <f t="shared" si="102"/>
        <v>78807307880730</v>
      </c>
      <c r="B3231" t="str">
        <f t="shared" si="103"/>
        <v>7880730G6037LU-M</v>
      </c>
      <c r="C3231" s="1" t="s">
        <v>486</v>
      </c>
      <c r="D3231" s="1" t="s">
        <v>696</v>
      </c>
      <c r="E3231" s="1" t="s">
        <v>388</v>
      </c>
      <c r="F3231" s="1" t="s">
        <v>389</v>
      </c>
      <c r="G3231" s="1" t="s">
        <v>387</v>
      </c>
      <c r="H3231" s="1">
        <v>1452</v>
      </c>
      <c r="I3231" s="3">
        <v>46280</v>
      </c>
      <c r="L3231" s="31">
        <v>46280.713431018514</v>
      </c>
      <c r="M3231" s="20">
        <v>12</v>
      </c>
      <c r="N3231" s="1">
        <v>55</v>
      </c>
    </row>
    <row r="3232" spans="1:14" x14ac:dyDescent="0.25">
      <c r="A3232" t="str">
        <f t="shared" si="102"/>
        <v>78808887880888</v>
      </c>
      <c r="B3232" t="str">
        <f t="shared" si="103"/>
        <v>7880888P6031TJ-M</v>
      </c>
      <c r="C3232" s="1" t="s">
        <v>478</v>
      </c>
      <c r="D3232" s="1" t="s">
        <v>707</v>
      </c>
      <c r="E3232" s="1" t="s">
        <v>388</v>
      </c>
      <c r="F3232" s="1" t="s">
        <v>389</v>
      </c>
      <c r="G3232" s="1" t="s">
        <v>387</v>
      </c>
      <c r="H3232" s="1">
        <v>438</v>
      </c>
      <c r="I3232" s="3">
        <v>46280</v>
      </c>
      <c r="L3232" s="31">
        <v>46280.693026041663</v>
      </c>
      <c r="M3232" s="20">
        <v>12</v>
      </c>
      <c r="N3232" s="1">
        <v>16</v>
      </c>
    </row>
    <row r="3233" spans="1:14" x14ac:dyDescent="0.25">
      <c r="A3233" t="str">
        <f t="shared" si="102"/>
        <v>78845947884594</v>
      </c>
      <c r="B3233" t="str">
        <f t="shared" si="103"/>
        <v>7884594G6037VE-M</v>
      </c>
      <c r="C3233" s="1" t="s">
        <v>53</v>
      </c>
      <c r="D3233" s="1" t="s">
        <v>703</v>
      </c>
      <c r="E3233" s="1" t="s">
        <v>382</v>
      </c>
      <c r="F3233" s="1" t="s">
        <v>383</v>
      </c>
      <c r="G3233" s="1" t="s">
        <v>395</v>
      </c>
      <c r="H3233" s="1">
        <v>378</v>
      </c>
      <c r="I3233" s="3">
        <v>46280</v>
      </c>
      <c r="L3233" s="31">
        <v>46280.673387615738</v>
      </c>
      <c r="M3233" s="20">
        <v>12</v>
      </c>
      <c r="N3233" s="1">
        <v>22</v>
      </c>
    </row>
    <row r="3234" spans="1:14" x14ac:dyDescent="0.25">
      <c r="A3234" t="str">
        <f t="shared" si="102"/>
        <v>78845947884594</v>
      </c>
      <c r="B3234" t="str">
        <f t="shared" si="103"/>
        <v>7884594G6037VE-M</v>
      </c>
      <c r="C3234" s="1" t="s">
        <v>53</v>
      </c>
      <c r="D3234" s="1" t="s">
        <v>703</v>
      </c>
      <c r="E3234" s="1" t="s">
        <v>382</v>
      </c>
      <c r="F3234" s="1" t="s">
        <v>383</v>
      </c>
      <c r="G3234" s="1" t="s">
        <v>395</v>
      </c>
      <c r="H3234" s="1">
        <v>378</v>
      </c>
      <c r="I3234" s="3">
        <v>46280</v>
      </c>
      <c r="L3234" s="31">
        <v>46280.689511805555</v>
      </c>
      <c r="M3234" s="20">
        <v>12</v>
      </c>
      <c r="N3234" s="1">
        <v>15</v>
      </c>
    </row>
    <row r="3235" spans="1:14" x14ac:dyDescent="0.25">
      <c r="A3235" t="str">
        <f t="shared" si="102"/>
        <v>78845947884594</v>
      </c>
      <c r="B3235" t="str">
        <f t="shared" si="103"/>
        <v>7884594G6037VE-M</v>
      </c>
      <c r="C3235" s="1" t="s">
        <v>53</v>
      </c>
      <c r="D3235" s="1" t="s">
        <v>703</v>
      </c>
      <c r="E3235" s="1" t="s">
        <v>382</v>
      </c>
      <c r="F3235" s="1" t="s">
        <v>383</v>
      </c>
      <c r="G3235" s="1" t="s">
        <v>395</v>
      </c>
      <c r="H3235" s="1">
        <v>378</v>
      </c>
      <c r="I3235" s="3">
        <v>46280</v>
      </c>
      <c r="L3235" s="31">
        <v>46280.690145567125</v>
      </c>
      <c r="M3235" s="20">
        <v>12</v>
      </c>
      <c r="N3235" s="1">
        <v>4</v>
      </c>
    </row>
    <row r="3236" spans="1:14" x14ac:dyDescent="0.25">
      <c r="A3236" t="str">
        <f t="shared" si="102"/>
        <v>78845947884594</v>
      </c>
      <c r="B3236" t="str">
        <f t="shared" si="103"/>
        <v>7884594G6037VE-M</v>
      </c>
      <c r="C3236" s="1" t="s">
        <v>53</v>
      </c>
      <c r="D3236" s="1" t="s">
        <v>703</v>
      </c>
      <c r="E3236" s="1" t="s">
        <v>382</v>
      </c>
      <c r="F3236" s="1" t="s">
        <v>383</v>
      </c>
      <c r="G3236" s="1" t="s">
        <v>395</v>
      </c>
      <c r="H3236" s="1">
        <v>378</v>
      </c>
      <c r="I3236" s="3">
        <v>46280</v>
      </c>
      <c r="L3236" s="31">
        <v>46280.690497303236</v>
      </c>
      <c r="M3236" s="20">
        <v>12</v>
      </c>
      <c r="N3236" s="1">
        <v>8</v>
      </c>
    </row>
    <row r="3237" spans="1:14" x14ac:dyDescent="0.25">
      <c r="A3237" t="str">
        <f t="shared" si="102"/>
        <v>78845947884594</v>
      </c>
      <c r="B3237" t="str">
        <f t="shared" si="103"/>
        <v>7884594G6037VE-M</v>
      </c>
      <c r="C3237" s="1" t="s">
        <v>53</v>
      </c>
      <c r="D3237" s="1" t="s">
        <v>703</v>
      </c>
      <c r="E3237" s="1" t="s">
        <v>382</v>
      </c>
      <c r="F3237" s="1" t="s">
        <v>383</v>
      </c>
      <c r="G3237" s="1" t="s">
        <v>395</v>
      </c>
      <c r="H3237" s="1">
        <v>378</v>
      </c>
      <c r="I3237" s="3">
        <v>46280</v>
      </c>
      <c r="L3237" s="31">
        <v>46280.709286886573</v>
      </c>
      <c r="M3237" s="20">
        <v>12</v>
      </c>
      <c r="N3237" s="1">
        <v>9</v>
      </c>
    </row>
    <row r="3238" spans="1:14" x14ac:dyDescent="0.25">
      <c r="A3238" t="str">
        <f t="shared" si="102"/>
        <v>78845947884594</v>
      </c>
      <c r="B3238" t="str">
        <f t="shared" si="103"/>
        <v>7884594G6037VE-M</v>
      </c>
      <c r="C3238" s="1" t="s">
        <v>53</v>
      </c>
      <c r="D3238" s="1" t="s">
        <v>703</v>
      </c>
      <c r="E3238" s="1" t="s">
        <v>382</v>
      </c>
      <c r="F3238" s="1" t="s">
        <v>383</v>
      </c>
      <c r="G3238" s="1" t="s">
        <v>395</v>
      </c>
      <c r="H3238" s="1">
        <v>378</v>
      </c>
      <c r="I3238" s="3">
        <v>46280</v>
      </c>
      <c r="L3238" s="31">
        <v>46280.709458182871</v>
      </c>
      <c r="M3238" s="20">
        <v>12</v>
      </c>
      <c r="N3238" s="1">
        <v>24</v>
      </c>
    </row>
    <row r="3239" spans="1:14" x14ac:dyDescent="0.25">
      <c r="A3239" t="str">
        <f t="shared" si="102"/>
        <v>78845947884594</v>
      </c>
      <c r="B3239" t="str">
        <f t="shared" si="103"/>
        <v>7884594G6037VE-M</v>
      </c>
      <c r="C3239" s="1" t="s">
        <v>53</v>
      </c>
      <c r="D3239" s="1" t="s">
        <v>703</v>
      </c>
      <c r="E3239" s="1" t="s">
        <v>382</v>
      </c>
      <c r="F3239" s="1" t="s">
        <v>383</v>
      </c>
      <c r="G3239" s="1" t="s">
        <v>395</v>
      </c>
      <c r="H3239" s="1">
        <v>378</v>
      </c>
      <c r="I3239" s="3">
        <v>46280</v>
      </c>
      <c r="L3239" s="31">
        <v>46280.710929942128</v>
      </c>
      <c r="M3239" s="20">
        <v>12</v>
      </c>
      <c r="N3239" s="1">
        <v>23</v>
      </c>
    </row>
    <row r="3240" spans="1:14" x14ac:dyDescent="0.25">
      <c r="A3240" t="str">
        <f t="shared" si="102"/>
        <v>78845947884594</v>
      </c>
      <c r="B3240" t="str">
        <f t="shared" si="103"/>
        <v>7884594G6037VE-M</v>
      </c>
      <c r="C3240" s="1" t="s">
        <v>53</v>
      </c>
      <c r="D3240" s="1" t="s">
        <v>703</v>
      </c>
      <c r="E3240" s="1" t="s">
        <v>382</v>
      </c>
      <c r="F3240" s="1" t="s">
        <v>383</v>
      </c>
      <c r="G3240" s="1" t="s">
        <v>395</v>
      </c>
      <c r="H3240" s="1">
        <v>378</v>
      </c>
      <c r="I3240" s="3">
        <v>46280</v>
      </c>
      <c r="L3240" s="31">
        <v>46280.711092858794</v>
      </c>
      <c r="M3240" s="20">
        <v>12</v>
      </c>
      <c r="N3240" s="1">
        <v>16</v>
      </c>
    </row>
    <row r="3241" spans="1:14" x14ac:dyDescent="0.25">
      <c r="A3241" t="str">
        <f t="shared" si="102"/>
        <v>78845947884594</v>
      </c>
      <c r="B3241" t="str">
        <f t="shared" si="103"/>
        <v>7884594G6037VE-M</v>
      </c>
      <c r="C3241" s="1" t="s">
        <v>53</v>
      </c>
      <c r="D3241" s="1" t="s">
        <v>703</v>
      </c>
      <c r="E3241" s="1" t="s">
        <v>382</v>
      </c>
      <c r="F3241" s="1" t="s">
        <v>383</v>
      </c>
      <c r="G3241" s="1" t="s">
        <v>395</v>
      </c>
      <c r="H3241" s="1">
        <v>378</v>
      </c>
      <c r="I3241" s="3">
        <v>46280</v>
      </c>
      <c r="L3241" s="31">
        <v>46280.712474618056</v>
      </c>
      <c r="M3241" s="20">
        <v>12</v>
      </c>
      <c r="N3241" s="1">
        <v>25</v>
      </c>
    </row>
    <row r="3242" spans="1:14" x14ac:dyDescent="0.25">
      <c r="A3242" t="str">
        <f t="shared" si="102"/>
        <v>78845947884594</v>
      </c>
      <c r="B3242" t="str">
        <f t="shared" si="103"/>
        <v>7884594G6037VE-M</v>
      </c>
      <c r="C3242" s="1" t="s">
        <v>53</v>
      </c>
      <c r="D3242" s="1" t="s">
        <v>703</v>
      </c>
      <c r="E3242" s="1" t="s">
        <v>382</v>
      </c>
      <c r="F3242" s="1" t="s">
        <v>383</v>
      </c>
      <c r="G3242" s="1" t="s">
        <v>395</v>
      </c>
      <c r="H3242" s="1">
        <v>378</v>
      </c>
      <c r="I3242" s="3">
        <v>46280</v>
      </c>
      <c r="L3242" s="31">
        <v>46280.713025659723</v>
      </c>
      <c r="M3242" s="20">
        <v>12</v>
      </c>
      <c r="N3242" s="1">
        <v>1</v>
      </c>
    </row>
    <row r="3243" spans="1:14" x14ac:dyDescent="0.25">
      <c r="A3243" t="str">
        <f t="shared" si="102"/>
        <v>C135360C135360</v>
      </c>
      <c r="B3243" t="str">
        <f t="shared" si="103"/>
        <v>C135360W515S7OK-B</v>
      </c>
      <c r="C3243" s="1" t="s">
        <v>102</v>
      </c>
      <c r="D3243" s="1" t="s">
        <v>697</v>
      </c>
      <c r="E3243" s="1" t="s">
        <v>397</v>
      </c>
      <c r="F3243" s="1" t="s">
        <v>2322</v>
      </c>
      <c r="G3243" s="1" t="s">
        <v>399</v>
      </c>
      <c r="H3243" s="1">
        <v>504</v>
      </c>
      <c r="I3243" s="3">
        <v>46280</v>
      </c>
      <c r="L3243" s="31">
        <v>46280.574250844904</v>
      </c>
      <c r="M3243" s="20">
        <v>12</v>
      </c>
      <c r="N3243" s="1">
        <v>5</v>
      </c>
    </row>
    <row r="3244" spans="1:14" x14ac:dyDescent="0.25">
      <c r="A3244" t="str">
        <f t="shared" si="102"/>
        <v>C135360C135360</v>
      </c>
      <c r="B3244" t="str">
        <f t="shared" si="103"/>
        <v>C135360W515S7OK-B</v>
      </c>
      <c r="C3244" s="1" t="s">
        <v>102</v>
      </c>
      <c r="D3244" s="1" t="s">
        <v>697</v>
      </c>
      <c r="E3244" s="1" t="s">
        <v>397</v>
      </c>
      <c r="F3244" s="1" t="s">
        <v>2322</v>
      </c>
      <c r="G3244" s="1" t="s">
        <v>399</v>
      </c>
      <c r="H3244" s="1">
        <v>504</v>
      </c>
      <c r="I3244" s="3">
        <v>46280</v>
      </c>
      <c r="L3244" s="31">
        <v>46280.574968900459</v>
      </c>
      <c r="M3244" s="20">
        <v>12</v>
      </c>
      <c r="N3244" s="1">
        <v>6</v>
      </c>
    </row>
    <row r="3245" spans="1:14" x14ac:dyDescent="0.25">
      <c r="A3245" t="str">
        <f t="shared" si="102"/>
        <v>C135360C135360</v>
      </c>
      <c r="B3245" t="str">
        <f t="shared" si="103"/>
        <v>C135360W515S7OK-B</v>
      </c>
      <c r="C3245" s="1" t="s">
        <v>102</v>
      </c>
      <c r="D3245" s="1" t="s">
        <v>697</v>
      </c>
      <c r="E3245" s="1" t="s">
        <v>397</v>
      </c>
      <c r="F3245" s="1" t="s">
        <v>2322</v>
      </c>
      <c r="G3245" s="1" t="s">
        <v>399</v>
      </c>
      <c r="H3245" s="1">
        <v>504</v>
      </c>
      <c r="I3245" s="3">
        <v>46280</v>
      </c>
      <c r="L3245" s="31">
        <v>46280.581499108797</v>
      </c>
      <c r="M3245" s="20">
        <v>12</v>
      </c>
      <c r="N3245" s="1">
        <v>4</v>
      </c>
    </row>
    <row r="3246" spans="1:14" x14ac:dyDescent="0.25">
      <c r="A3246" t="str">
        <f t="shared" si="102"/>
        <v>C135360C135360</v>
      </c>
      <c r="B3246" t="str">
        <f t="shared" si="103"/>
        <v>C135360W515S7OK-B</v>
      </c>
      <c r="C3246" s="1" t="s">
        <v>102</v>
      </c>
      <c r="D3246" s="1" t="s">
        <v>697</v>
      </c>
      <c r="E3246" s="1" t="s">
        <v>397</v>
      </c>
      <c r="F3246" s="1" t="s">
        <v>2322</v>
      </c>
      <c r="G3246" s="1" t="s">
        <v>399</v>
      </c>
      <c r="H3246" s="1">
        <v>504</v>
      </c>
      <c r="I3246" s="3">
        <v>46280</v>
      </c>
      <c r="L3246" s="31">
        <v>46280.581835567129</v>
      </c>
      <c r="M3246" s="20">
        <v>12</v>
      </c>
      <c r="N3246" s="1">
        <v>27</v>
      </c>
    </row>
    <row r="3247" spans="1:14" x14ac:dyDescent="0.25">
      <c r="A3247" t="str">
        <f t="shared" si="102"/>
        <v>C135360C135360</v>
      </c>
      <c r="B3247" t="str">
        <f t="shared" si="103"/>
        <v>C135360W515S7OK-B</v>
      </c>
      <c r="C3247" s="1" t="s">
        <v>102</v>
      </c>
      <c r="D3247" s="1" t="s">
        <v>697</v>
      </c>
      <c r="E3247" s="1" t="s">
        <v>397</v>
      </c>
      <c r="F3247" s="1" t="s">
        <v>2322</v>
      </c>
      <c r="G3247" s="1" t="s">
        <v>399</v>
      </c>
      <c r="H3247" s="1">
        <v>504</v>
      </c>
      <c r="I3247" s="3">
        <v>46280</v>
      </c>
      <c r="L3247" s="31">
        <v>46280.584902974537</v>
      </c>
      <c r="M3247" s="20">
        <v>12</v>
      </c>
      <c r="N3247" s="1">
        <v>9</v>
      </c>
    </row>
    <row r="3248" spans="1:14" x14ac:dyDescent="0.25">
      <c r="A3248" t="str">
        <f t="shared" si="102"/>
        <v>C135360C135360</v>
      </c>
      <c r="B3248" t="str">
        <f t="shared" si="103"/>
        <v>C135360W515S7OK-B</v>
      </c>
      <c r="C3248" s="1" t="s">
        <v>102</v>
      </c>
      <c r="D3248" s="1" t="s">
        <v>697</v>
      </c>
      <c r="E3248" s="1" t="s">
        <v>397</v>
      </c>
      <c r="F3248" s="1" t="s">
        <v>2322</v>
      </c>
      <c r="G3248" s="1" t="s">
        <v>399</v>
      </c>
      <c r="H3248" s="1">
        <v>504</v>
      </c>
      <c r="I3248" s="3">
        <v>46280</v>
      </c>
      <c r="L3248" s="31">
        <v>46280.588614849534</v>
      </c>
      <c r="M3248" s="20">
        <v>12</v>
      </c>
      <c r="N3248" s="1">
        <v>3</v>
      </c>
    </row>
    <row r="3249" spans="1:14" x14ac:dyDescent="0.25">
      <c r="A3249" t="str">
        <f t="shared" si="102"/>
        <v>C135360C135360</v>
      </c>
      <c r="B3249" t="str">
        <f t="shared" si="103"/>
        <v>C135360W515S7OK-B</v>
      </c>
      <c r="C3249" s="1" t="s">
        <v>102</v>
      </c>
      <c r="D3249" s="1" t="s">
        <v>697</v>
      </c>
      <c r="E3249" s="1" t="s">
        <v>397</v>
      </c>
      <c r="F3249" s="1" t="s">
        <v>2322</v>
      </c>
      <c r="G3249" s="1" t="s">
        <v>399</v>
      </c>
      <c r="H3249" s="1">
        <v>504</v>
      </c>
      <c r="I3249" s="3">
        <v>46280</v>
      </c>
      <c r="L3249" s="31">
        <v>46280.589200613424</v>
      </c>
      <c r="M3249" s="20">
        <v>12</v>
      </c>
      <c r="N3249" s="1">
        <v>7</v>
      </c>
    </row>
    <row r="3250" spans="1:14" x14ac:dyDescent="0.25">
      <c r="A3250" t="str">
        <f t="shared" si="102"/>
        <v>C135360C135360</v>
      </c>
      <c r="B3250" t="str">
        <f t="shared" si="103"/>
        <v>C135360W515S7OK-B</v>
      </c>
      <c r="C3250" s="1" t="s">
        <v>102</v>
      </c>
      <c r="D3250" s="1" t="s">
        <v>697</v>
      </c>
      <c r="E3250" s="1" t="s">
        <v>397</v>
      </c>
      <c r="F3250" s="1" t="s">
        <v>2322</v>
      </c>
      <c r="G3250" s="1" t="s">
        <v>399</v>
      </c>
      <c r="H3250" s="1">
        <v>504</v>
      </c>
      <c r="I3250" s="3">
        <v>46280</v>
      </c>
      <c r="L3250" s="31">
        <v>46280.59014818287</v>
      </c>
      <c r="M3250" s="20">
        <v>12</v>
      </c>
      <c r="N3250" s="1">
        <v>8</v>
      </c>
    </row>
    <row r="3251" spans="1:14" x14ac:dyDescent="0.25">
      <c r="A3251" t="str">
        <f t="shared" si="102"/>
        <v>C135360C135360</v>
      </c>
      <c r="B3251" t="str">
        <f t="shared" si="103"/>
        <v>C135360W515S7OK-B</v>
      </c>
      <c r="C3251" s="1" t="s">
        <v>102</v>
      </c>
      <c r="D3251" s="1" t="s">
        <v>697</v>
      </c>
      <c r="E3251" s="1" t="s">
        <v>397</v>
      </c>
      <c r="F3251" s="1" t="s">
        <v>2322</v>
      </c>
      <c r="G3251" s="1" t="s">
        <v>399</v>
      </c>
      <c r="H3251" s="1">
        <v>504</v>
      </c>
      <c r="I3251" s="3">
        <v>46280</v>
      </c>
      <c r="L3251" s="31">
        <v>46280.590398460648</v>
      </c>
      <c r="M3251" s="20">
        <v>12</v>
      </c>
      <c r="N3251" s="1">
        <v>10</v>
      </c>
    </row>
    <row r="3252" spans="1:14" x14ac:dyDescent="0.25">
      <c r="A3252" t="str">
        <f t="shared" si="102"/>
        <v>C135360C135360</v>
      </c>
      <c r="B3252" t="str">
        <f t="shared" si="103"/>
        <v>C135360W515S7OK-B</v>
      </c>
      <c r="C3252" s="1" t="s">
        <v>102</v>
      </c>
      <c r="D3252" s="1" t="s">
        <v>697</v>
      </c>
      <c r="E3252" s="1" t="s">
        <v>397</v>
      </c>
      <c r="F3252" s="1" t="s">
        <v>2322</v>
      </c>
      <c r="G3252" s="1" t="s">
        <v>399</v>
      </c>
      <c r="H3252" s="1">
        <v>504</v>
      </c>
      <c r="I3252" s="3">
        <v>46280</v>
      </c>
      <c r="L3252" s="31">
        <v>46280.593471064814</v>
      </c>
      <c r="M3252" s="20">
        <v>12</v>
      </c>
      <c r="N3252" s="1">
        <v>2</v>
      </c>
    </row>
    <row r="3253" spans="1:14" x14ac:dyDescent="0.25">
      <c r="A3253" t="str">
        <f t="shared" si="102"/>
        <v>C135360C135360</v>
      </c>
      <c r="B3253" t="str">
        <f t="shared" si="103"/>
        <v>C135360W515S7OK-B</v>
      </c>
      <c r="C3253" s="1" t="s">
        <v>102</v>
      </c>
      <c r="D3253" s="1" t="s">
        <v>697</v>
      </c>
      <c r="E3253" s="1" t="s">
        <v>397</v>
      </c>
      <c r="F3253" s="1" t="s">
        <v>2322</v>
      </c>
      <c r="G3253" s="1" t="s">
        <v>399</v>
      </c>
      <c r="H3253" s="1">
        <v>504</v>
      </c>
      <c r="I3253" s="3">
        <v>46280</v>
      </c>
      <c r="L3253" s="31">
        <v>46280.594139664347</v>
      </c>
      <c r="M3253" s="20">
        <v>12</v>
      </c>
      <c r="N3253" s="1">
        <v>1</v>
      </c>
    </row>
    <row r="3254" spans="1:14" x14ac:dyDescent="0.25">
      <c r="A3254" t="str">
        <f t="shared" si="102"/>
        <v>C135360C135360</v>
      </c>
      <c r="B3254" t="str">
        <f t="shared" si="103"/>
        <v>C135360W515S7OK-B</v>
      </c>
      <c r="C3254" s="1" t="s">
        <v>102</v>
      </c>
      <c r="D3254" s="1" t="s">
        <v>697</v>
      </c>
      <c r="E3254" s="1" t="s">
        <v>397</v>
      </c>
      <c r="F3254" s="1" t="s">
        <v>2322</v>
      </c>
      <c r="G3254" s="1" t="s">
        <v>399</v>
      </c>
      <c r="H3254" s="1">
        <v>504</v>
      </c>
      <c r="I3254" s="3">
        <v>46280</v>
      </c>
      <c r="L3254" s="31">
        <v>46280.5947443287</v>
      </c>
      <c r="M3254" s="20">
        <v>12</v>
      </c>
      <c r="N3254" s="1">
        <v>11</v>
      </c>
    </row>
    <row r="3255" spans="1:14" x14ac:dyDescent="0.25">
      <c r="A3255" t="str">
        <f t="shared" si="102"/>
        <v>C135360C135360</v>
      </c>
      <c r="B3255" t="str">
        <f t="shared" si="103"/>
        <v>C135360W515S7OK-B</v>
      </c>
      <c r="C3255" s="1" t="s">
        <v>102</v>
      </c>
      <c r="D3255" s="1" t="s">
        <v>697</v>
      </c>
      <c r="E3255" s="1" t="s">
        <v>397</v>
      </c>
      <c r="F3255" s="1" t="s">
        <v>2322</v>
      </c>
      <c r="G3255" s="1" t="s">
        <v>399</v>
      </c>
      <c r="H3255" s="1">
        <v>504</v>
      </c>
      <c r="I3255" s="3">
        <v>46280</v>
      </c>
      <c r="L3255" s="31">
        <v>46280.600297881945</v>
      </c>
      <c r="M3255" s="20">
        <v>12</v>
      </c>
      <c r="N3255" s="1">
        <v>13</v>
      </c>
    </row>
    <row r="3256" spans="1:14" x14ac:dyDescent="0.25">
      <c r="A3256" t="str">
        <f t="shared" si="102"/>
        <v>C135360C135360</v>
      </c>
      <c r="B3256" t="str">
        <f t="shared" si="103"/>
        <v>C135360W515S7OK-B</v>
      </c>
      <c r="C3256" s="1" t="s">
        <v>102</v>
      </c>
      <c r="D3256" s="1" t="s">
        <v>697</v>
      </c>
      <c r="E3256" s="1" t="s">
        <v>397</v>
      </c>
      <c r="F3256" s="1" t="s">
        <v>2322</v>
      </c>
      <c r="G3256" s="1" t="s">
        <v>399</v>
      </c>
      <c r="H3256" s="1">
        <v>504</v>
      </c>
      <c r="I3256" s="3">
        <v>46280</v>
      </c>
      <c r="L3256" s="31">
        <v>46280.610498414353</v>
      </c>
      <c r="M3256" s="20">
        <v>12</v>
      </c>
      <c r="N3256" s="1">
        <v>14</v>
      </c>
    </row>
    <row r="3257" spans="1:14" x14ac:dyDescent="0.25">
      <c r="A3257" t="str">
        <f t="shared" si="102"/>
        <v>C135360C135360</v>
      </c>
      <c r="B3257" t="str">
        <f t="shared" si="103"/>
        <v>C135360W515S7OK-B</v>
      </c>
      <c r="C3257" s="1" t="s">
        <v>102</v>
      </c>
      <c r="D3257" s="1" t="s">
        <v>697</v>
      </c>
      <c r="E3257" s="1" t="s">
        <v>397</v>
      </c>
      <c r="F3257" s="1" t="s">
        <v>2322</v>
      </c>
      <c r="G3257" s="1" t="s">
        <v>399</v>
      </c>
      <c r="H3257" s="1">
        <v>504</v>
      </c>
      <c r="I3257" s="3">
        <v>46280</v>
      </c>
      <c r="L3257" s="31">
        <v>46280.614155324074</v>
      </c>
      <c r="M3257" s="20">
        <v>12</v>
      </c>
      <c r="N3257" s="1">
        <v>12</v>
      </c>
    </row>
    <row r="3258" spans="1:14" x14ac:dyDescent="0.25">
      <c r="A3258" t="str">
        <f t="shared" si="102"/>
        <v>C135360C135360</v>
      </c>
      <c r="B3258" t="str">
        <f t="shared" si="103"/>
        <v>C135360W515S7OK-B</v>
      </c>
      <c r="C3258" s="1" t="s">
        <v>102</v>
      </c>
      <c r="D3258" s="1" t="s">
        <v>697</v>
      </c>
      <c r="E3258" s="1" t="s">
        <v>397</v>
      </c>
      <c r="F3258" s="1" t="s">
        <v>2322</v>
      </c>
      <c r="G3258" s="1" t="s">
        <v>399</v>
      </c>
      <c r="H3258" s="1">
        <v>504</v>
      </c>
      <c r="I3258" s="3">
        <v>46280</v>
      </c>
      <c r="L3258" s="31">
        <v>46280.61667693287</v>
      </c>
      <c r="M3258" s="20">
        <v>12</v>
      </c>
      <c r="N3258" s="1">
        <v>15</v>
      </c>
    </row>
    <row r="3259" spans="1:14" x14ac:dyDescent="0.25">
      <c r="A3259" t="str">
        <f t="shared" si="102"/>
        <v>C135360C135360</v>
      </c>
      <c r="B3259" t="str">
        <f t="shared" si="103"/>
        <v>C135360W515S7OK-B</v>
      </c>
      <c r="C3259" s="1" t="s">
        <v>102</v>
      </c>
      <c r="D3259" s="1" t="s">
        <v>697</v>
      </c>
      <c r="E3259" s="1" t="s">
        <v>397</v>
      </c>
      <c r="F3259" s="1" t="s">
        <v>2322</v>
      </c>
      <c r="G3259" s="1" t="s">
        <v>399</v>
      </c>
      <c r="H3259" s="1">
        <v>504</v>
      </c>
      <c r="I3259" s="3">
        <v>46280</v>
      </c>
      <c r="L3259" s="31">
        <v>46280.630290624998</v>
      </c>
      <c r="M3259" s="20">
        <v>12</v>
      </c>
      <c r="N3259" s="1">
        <v>18</v>
      </c>
    </row>
    <row r="3260" spans="1:14" x14ac:dyDescent="0.25">
      <c r="A3260" t="str">
        <f t="shared" si="102"/>
        <v>C135360C135360</v>
      </c>
      <c r="B3260" t="str">
        <f t="shared" si="103"/>
        <v>C135360W515S7OK-B</v>
      </c>
      <c r="C3260" s="1" t="s">
        <v>102</v>
      </c>
      <c r="D3260" s="1" t="s">
        <v>697</v>
      </c>
      <c r="E3260" s="1" t="s">
        <v>397</v>
      </c>
      <c r="F3260" s="1" t="s">
        <v>2322</v>
      </c>
      <c r="G3260" s="1" t="s">
        <v>399</v>
      </c>
      <c r="H3260" s="1">
        <v>504</v>
      </c>
      <c r="I3260" s="3">
        <v>46280</v>
      </c>
      <c r="L3260" s="31">
        <v>46280.632241006941</v>
      </c>
      <c r="M3260" s="20">
        <v>12</v>
      </c>
      <c r="N3260" s="1">
        <v>20</v>
      </c>
    </row>
    <row r="3261" spans="1:14" x14ac:dyDescent="0.25">
      <c r="A3261" t="str">
        <f t="shared" si="102"/>
        <v>C135360C135360</v>
      </c>
      <c r="B3261" t="str">
        <f t="shared" si="103"/>
        <v>C135360W515S7OK-B</v>
      </c>
      <c r="C3261" s="1" t="s">
        <v>102</v>
      </c>
      <c r="D3261" s="1" t="s">
        <v>697</v>
      </c>
      <c r="E3261" s="1" t="s">
        <v>397</v>
      </c>
      <c r="F3261" s="1" t="s">
        <v>2322</v>
      </c>
      <c r="G3261" s="1" t="s">
        <v>399</v>
      </c>
      <c r="H3261" s="1">
        <v>504</v>
      </c>
      <c r="I3261" s="3">
        <v>46280</v>
      </c>
      <c r="L3261" s="31">
        <v>46280.638991817126</v>
      </c>
      <c r="M3261" s="20">
        <v>12</v>
      </c>
      <c r="N3261" s="1">
        <v>17</v>
      </c>
    </row>
    <row r="3262" spans="1:14" x14ac:dyDescent="0.25">
      <c r="A3262" t="str">
        <f t="shared" si="102"/>
        <v>C135360C135360</v>
      </c>
      <c r="B3262" t="str">
        <f t="shared" si="103"/>
        <v>C135360W515S7OK-B</v>
      </c>
      <c r="C3262" s="1" t="s">
        <v>102</v>
      </c>
      <c r="D3262" s="1" t="s">
        <v>697</v>
      </c>
      <c r="E3262" s="1" t="s">
        <v>397</v>
      </c>
      <c r="F3262" s="1" t="s">
        <v>2322</v>
      </c>
      <c r="G3262" s="1" t="s">
        <v>399</v>
      </c>
      <c r="H3262" s="1">
        <v>504</v>
      </c>
      <c r="I3262" s="3">
        <v>46280</v>
      </c>
      <c r="L3262" s="31">
        <v>46280.639752974537</v>
      </c>
      <c r="M3262" s="20">
        <v>12</v>
      </c>
      <c r="N3262" s="1">
        <v>21</v>
      </c>
    </row>
    <row r="3263" spans="1:14" x14ac:dyDescent="0.25">
      <c r="A3263" t="str">
        <f t="shared" si="102"/>
        <v>C135360C135360</v>
      </c>
      <c r="B3263" t="str">
        <f t="shared" si="103"/>
        <v>C135360W515S7OK-B</v>
      </c>
      <c r="C3263" s="1" t="s">
        <v>102</v>
      </c>
      <c r="D3263" s="1" t="s">
        <v>697</v>
      </c>
      <c r="E3263" s="1" t="s">
        <v>397</v>
      </c>
      <c r="F3263" s="1" t="s">
        <v>2322</v>
      </c>
      <c r="G3263" s="1" t="s">
        <v>399</v>
      </c>
      <c r="H3263" s="1">
        <v>504</v>
      </c>
      <c r="I3263" s="3">
        <v>46280</v>
      </c>
      <c r="L3263" s="31">
        <v>46280.648586111107</v>
      </c>
      <c r="M3263" s="20">
        <v>12</v>
      </c>
      <c r="N3263" s="1">
        <v>19</v>
      </c>
    </row>
    <row r="3264" spans="1:14" x14ac:dyDescent="0.25">
      <c r="A3264" t="str">
        <f t="shared" si="102"/>
        <v>C135360C135360</v>
      </c>
      <c r="B3264" t="str">
        <f t="shared" si="103"/>
        <v>C135360W515S7OK-B</v>
      </c>
      <c r="C3264" s="1" t="s">
        <v>102</v>
      </c>
      <c r="D3264" s="1" t="s">
        <v>697</v>
      </c>
      <c r="E3264" s="1" t="s">
        <v>397</v>
      </c>
      <c r="F3264" s="1" t="s">
        <v>2322</v>
      </c>
      <c r="G3264" s="1" t="s">
        <v>399</v>
      </c>
      <c r="H3264" s="1">
        <v>504</v>
      </c>
      <c r="I3264" s="3">
        <v>46280</v>
      </c>
      <c r="L3264" s="31">
        <v>46280.652999074075</v>
      </c>
      <c r="M3264" s="20">
        <v>12</v>
      </c>
      <c r="N3264" s="1">
        <v>22</v>
      </c>
    </row>
    <row r="3265" spans="1:14" x14ac:dyDescent="0.25">
      <c r="A3265" t="str">
        <f t="shared" si="102"/>
        <v>C135360C135360</v>
      </c>
      <c r="B3265" t="str">
        <f t="shared" si="103"/>
        <v>C135360W515S7OK-B</v>
      </c>
      <c r="C3265" s="1" t="s">
        <v>102</v>
      </c>
      <c r="D3265" s="1" t="s">
        <v>697</v>
      </c>
      <c r="E3265" s="1" t="s">
        <v>397</v>
      </c>
      <c r="F3265" s="1" t="s">
        <v>2322</v>
      </c>
      <c r="G3265" s="1" t="s">
        <v>399</v>
      </c>
      <c r="H3265" s="1">
        <v>504</v>
      </c>
      <c r="I3265" s="3">
        <v>46280</v>
      </c>
      <c r="L3265" s="31">
        <v>46280.653566400462</v>
      </c>
      <c r="M3265" s="20">
        <v>12</v>
      </c>
      <c r="N3265" s="1">
        <v>23</v>
      </c>
    </row>
    <row r="3266" spans="1:14" x14ac:dyDescent="0.25">
      <c r="A3266" t="str">
        <f t="shared" ref="A3266:A3329" si="104">+D3266&amp;D3266</f>
        <v>C135360C135360</v>
      </c>
      <c r="B3266" t="str">
        <f t="shared" ref="B3266:B3329" si="105">+D3266&amp;C3266</f>
        <v>C135360W515S7OK-B</v>
      </c>
      <c r="C3266" s="1" t="s">
        <v>102</v>
      </c>
      <c r="D3266" s="1" t="s">
        <v>697</v>
      </c>
      <c r="E3266" s="1" t="s">
        <v>397</v>
      </c>
      <c r="F3266" s="1" t="s">
        <v>2322</v>
      </c>
      <c r="G3266" s="1" t="s">
        <v>399</v>
      </c>
      <c r="H3266" s="1">
        <v>504</v>
      </c>
      <c r="I3266" s="3">
        <v>46280</v>
      </c>
      <c r="L3266" s="31">
        <v>46280.657878587961</v>
      </c>
      <c r="M3266" s="20">
        <v>12</v>
      </c>
      <c r="N3266" s="1">
        <v>24</v>
      </c>
    </row>
    <row r="3267" spans="1:14" x14ac:dyDescent="0.25">
      <c r="A3267" t="str">
        <f t="shared" si="104"/>
        <v>C135360C135360</v>
      </c>
      <c r="B3267" t="str">
        <f t="shared" si="105"/>
        <v>C135360W515S7OK-B</v>
      </c>
      <c r="C3267" s="1" t="s">
        <v>102</v>
      </c>
      <c r="D3267" s="1" t="s">
        <v>697</v>
      </c>
      <c r="E3267" s="1" t="s">
        <v>397</v>
      </c>
      <c r="F3267" s="1" t="s">
        <v>2322</v>
      </c>
      <c r="G3267" s="1" t="s">
        <v>399</v>
      </c>
      <c r="H3267" s="1">
        <v>504</v>
      </c>
      <c r="I3267" s="3">
        <v>46280</v>
      </c>
      <c r="L3267" s="31">
        <v>46280.660424456015</v>
      </c>
      <c r="M3267" s="20">
        <v>12</v>
      </c>
      <c r="N3267" s="1">
        <v>16</v>
      </c>
    </row>
    <row r="3268" spans="1:14" x14ac:dyDescent="0.25">
      <c r="A3268" t="str">
        <f t="shared" si="104"/>
        <v>C135360C135360</v>
      </c>
      <c r="B3268" t="str">
        <f t="shared" si="105"/>
        <v>C135360W515S7OK-B</v>
      </c>
      <c r="C3268" s="1" t="s">
        <v>102</v>
      </c>
      <c r="D3268" s="1" t="s">
        <v>697</v>
      </c>
      <c r="E3268" s="1" t="s">
        <v>397</v>
      </c>
      <c r="F3268" s="1" t="s">
        <v>2322</v>
      </c>
      <c r="G3268" s="1" t="s">
        <v>399</v>
      </c>
      <c r="H3268" s="1">
        <v>504</v>
      </c>
      <c r="I3268" s="3">
        <v>46280</v>
      </c>
      <c r="L3268" s="31">
        <v>46280.671995138888</v>
      </c>
      <c r="M3268" s="20">
        <v>12</v>
      </c>
      <c r="N3268" s="1">
        <v>29</v>
      </c>
    </row>
    <row r="3269" spans="1:14" x14ac:dyDescent="0.25">
      <c r="A3269" t="str">
        <f t="shared" si="104"/>
        <v>C135360C135360</v>
      </c>
      <c r="B3269" t="str">
        <f t="shared" si="105"/>
        <v>C135360W515S7OK-B</v>
      </c>
      <c r="C3269" s="1" t="s">
        <v>102</v>
      </c>
      <c r="D3269" s="1" t="s">
        <v>697</v>
      </c>
      <c r="E3269" s="1" t="s">
        <v>397</v>
      </c>
      <c r="F3269" s="1" t="s">
        <v>2322</v>
      </c>
      <c r="G3269" s="1" t="s">
        <v>399</v>
      </c>
      <c r="H3269" s="1">
        <v>504</v>
      </c>
      <c r="I3269" s="3">
        <v>46280</v>
      </c>
      <c r="L3269" s="31">
        <v>46280.675854664347</v>
      </c>
      <c r="M3269" s="20">
        <v>12</v>
      </c>
      <c r="N3269" s="1">
        <v>26</v>
      </c>
    </row>
    <row r="3270" spans="1:14" x14ac:dyDescent="0.25">
      <c r="A3270" t="str">
        <f t="shared" si="104"/>
        <v>C135360C135360</v>
      </c>
      <c r="B3270" t="str">
        <f t="shared" si="105"/>
        <v>C135360W515S7OK-B</v>
      </c>
      <c r="C3270" s="1" t="s">
        <v>102</v>
      </c>
      <c r="D3270" s="1" t="s">
        <v>697</v>
      </c>
      <c r="E3270" s="1" t="s">
        <v>397</v>
      </c>
      <c r="F3270" s="1" t="s">
        <v>2322</v>
      </c>
      <c r="G3270" s="1" t="s">
        <v>399</v>
      </c>
      <c r="H3270" s="1">
        <v>504</v>
      </c>
      <c r="I3270" s="3">
        <v>46280</v>
      </c>
      <c r="L3270" s="31">
        <v>46280.676330208335</v>
      </c>
      <c r="M3270" s="20">
        <v>12</v>
      </c>
      <c r="N3270" s="1">
        <v>28</v>
      </c>
    </row>
    <row r="3271" spans="1:14" x14ac:dyDescent="0.25">
      <c r="A3271" t="str">
        <f t="shared" si="104"/>
        <v>C135360C135360</v>
      </c>
      <c r="B3271" t="str">
        <f t="shared" si="105"/>
        <v>C135360W515S7OK-B</v>
      </c>
      <c r="C3271" s="1" t="s">
        <v>102</v>
      </c>
      <c r="D3271" s="1" t="s">
        <v>697</v>
      </c>
      <c r="E3271" s="1" t="s">
        <v>397</v>
      </c>
      <c r="F3271" s="1" t="s">
        <v>2322</v>
      </c>
      <c r="G3271" s="1" t="s">
        <v>399</v>
      </c>
      <c r="H3271" s="1">
        <v>504</v>
      </c>
      <c r="I3271" s="3">
        <v>46280</v>
      </c>
      <c r="L3271" s="31">
        <v>46280.680099386569</v>
      </c>
      <c r="M3271" s="20">
        <v>12</v>
      </c>
      <c r="N3271" s="1">
        <v>30</v>
      </c>
    </row>
    <row r="3272" spans="1:14" x14ac:dyDescent="0.25">
      <c r="A3272" t="str">
        <f t="shared" si="104"/>
        <v>C135360C135360</v>
      </c>
      <c r="B3272" t="str">
        <f t="shared" si="105"/>
        <v>C135360W515S7OK-B</v>
      </c>
      <c r="C3272" s="1" t="s">
        <v>102</v>
      </c>
      <c r="D3272" s="1" t="s">
        <v>697</v>
      </c>
      <c r="E3272" s="1" t="s">
        <v>397</v>
      </c>
      <c r="F3272" s="1" t="s">
        <v>2322</v>
      </c>
      <c r="G3272" s="1" t="s">
        <v>399</v>
      </c>
      <c r="H3272" s="1">
        <v>504</v>
      </c>
      <c r="I3272" s="3">
        <v>46280</v>
      </c>
      <c r="L3272" s="31">
        <v>46280.68515193287</v>
      </c>
      <c r="M3272" s="20">
        <v>12</v>
      </c>
      <c r="N3272" s="1">
        <v>25</v>
      </c>
    </row>
    <row r="3273" spans="1:14" x14ac:dyDescent="0.25">
      <c r="A3273" t="str">
        <f t="shared" si="104"/>
        <v>C135360C135360</v>
      </c>
      <c r="B3273" t="str">
        <f t="shared" si="105"/>
        <v>C135360W515S7OK-B</v>
      </c>
      <c r="C3273" s="1" t="s">
        <v>102</v>
      </c>
      <c r="D3273" s="1" t="s">
        <v>697</v>
      </c>
      <c r="E3273" s="1" t="s">
        <v>397</v>
      </c>
      <c r="F3273" s="1" t="s">
        <v>2322</v>
      </c>
      <c r="G3273" s="1" t="s">
        <v>399</v>
      </c>
      <c r="H3273" s="1">
        <v>504</v>
      </c>
      <c r="I3273" s="3">
        <v>46280</v>
      </c>
      <c r="L3273" s="31">
        <v>46280.686115543976</v>
      </c>
      <c r="M3273" s="20">
        <v>12</v>
      </c>
      <c r="N3273" s="1">
        <v>35</v>
      </c>
    </row>
    <row r="3274" spans="1:14" x14ac:dyDescent="0.25">
      <c r="A3274" t="str">
        <f t="shared" si="104"/>
        <v>C135360C135360</v>
      </c>
      <c r="B3274" t="str">
        <f t="shared" si="105"/>
        <v>C135360W515S7OK-B</v>
      </c>
      <c r="C3274" s="1" t="s">
        <v>102</v>
      </c>
      <c r="D3274" s="1" t="s">
        <v>697</v>
      </c>
      <c r="E3274" s="1" t="s">
        <v>397</v>
      </c>
      <c r="F3274" s="1" t="s">
        <v>2322</v>
      </c>
      <c r="G3274" s="1" t="s">
        <v>399</v>
      </c>
      <c r="H3274" s="1">
        <v>504</v>
      </c>
      <c r="I3274" s="3">
        <v>46280</v>
      </c>
      <c r="L3274" s="31">
        <v>46280.698297488423</v>
      </c>
      <c r="M3274" s="20">
        <v>12</v>
      </c>
      <c r="N3274" s="1">
        <v>37</v>
      </c>
    </row>
    <row r="3275" spans="1:14" x14ac:dyDescent="0.25">
      <c r="A3275" t="str">
        <f t="shared" si="104"/>
        <v>C135360C135360</v>
      </c>
      <c r="B3275" t="str">
        <f t="shared" si="105"/>
        <v>C135360W515S7OK-B</v>
      </c>
      <c r="C3275" s="1" t="s">
        <v>102</v>
      </c>
      <c r="D3275" s="1" t="s">
        <v>697</v>
      </c>
      <c r="E3275" s="1" t="s">
        <v>397</v>
      </c>
      <c r="F3275" s="1" t="s">
        <v>2322</v>
      </c>
      <c r="G3275" s="1" t="s">
        <v>399</v>
      </c>
      <c r="H3275" s="1">
        <v>504</v>
      </c>
      <c r="I3275" s="3">
        <v>46280</v>
      </c>
      <c r="L3275" s="31">
        <v>46280.707646215276</v>
      </c>
      <c r="M3275" s="20">
        <v>12</v>
      </c>
      <c r="N3275" s="1">
        <v>33</v>
      </c>
    </row>
    <row r="3276" spans="1:14" x14ac:dyDescent="0.25">
      <c r="A3276" t="str">
        <f t="shared" si="104"/>
        <v>C135360C135360</v>
      </c>
      <c r="B3276" t="str">
        <f t="shared" si="105"/>
        <v>C135360W515S7OK-B</v>
      </c>
      <c r="C3276" s="1" t="s">
        <v>102</v>
      </c>
      <c r="D3276" s="1" t="s">
        <v>697</v>
      </c>
      <c r="E3276" s="1" t="s">
        <v>397</v>
      </c>
      <c r="F3276" s="1" t="s">
        <v>2322</v>
      </c>
      <c r="G3276" s="1" t="s">
        <v>399</v>
      </c>
      <c r="H3276" s="1">
        <v>504</v>
      </c>
      <c r="I3276" s="3">
        <v>46280</v>
      </c>
      <c r="L3276" s="31">
        <v>46280.708631481481</v>
      </c>
      <c r="M3276" s="20">
        <v>12</v>
      </c>
      <c r="N3276" s="1">
        <v>36</v>
      </c>
    </row>
    <row r="3277" spans="1:14" x14ac:dyDescent="0.25">
      <c r="A3277" t="str">
        <f t="shared" si="104"/>
        <v>C135360C135360</v>
      </c>
      <c r="B3277" t="str">
        <f t="shared" si="105"/>
        <v>C135360W515S7OK-B</v>
      </c>
      <c r="C3277" s="1" t="s">
        <v>102</v>
      </c>
      <c r="D3277" s="1" t="s">
        <v>697</v>
      </c>
      <c r="E3277" s="1" t="s">
        <v>397</v>
      </c>
      <c r="F3277" s="1" t="s">
        <v>2322</v>
      </c>
      <c r="G3277" s="1" t="s">
        <v>399</v>
      </c>
      <c r="H3277" s="1">
        <v>504</v>
      </c>
      <c r="I3277" s="3">
        <v>46280</v>
      </c>
      <c r="L3277" s="31">
        <v>46280.71614193287</v>
      </c>
      <c r="M3277" s="20">
        <v>12</v>
      </c>
      <c r="N3277" s="1">
        <v>34</v>
      </c>
    </row>
    <row r="3278" spans="1:14" x14ac:dyDescent="0.25">
      <c r="A3278" t="str">
        <f t="shared" si="104"/>
        <v>C135360C135360</v>
      </c>
      <c r="B3278" t="str">
        <f t="shared" si="105"/>
        <v>C135360W515S7OK-B</v>
      </c>
      <c r="C3278" s="1" t="s">
        <v>102</v>
      </c>
      <c r="D3278" s="1" t="s">
        <v>697</v>
      </c>
      <c r="E3278" s="1" t="s">
        <v>397</v>
      </c>
      <c r="F3278" s="1" t="s">
        <v>2322</v>
      </c>
      <c r="G3278" s="1" t="s">
        <v>399</v>
      </c>
      <c r="H3278" s="1">
        <v>504</v>
      </c>
      <c r="I3278" s="3">
        <v>46280</v>
      </c>
      <c r="L3278" s="31">
        <v>46280.716438506941</v>
      </c>
      <c r="M3278" s="20">
        <v>12</v>
      </c>
      <c r="N3278" s="1">
        <v>38</v>
      </c>
    </row>
    <row r="3279" spans="1:14" x14ac:dyDescent="0.25">
      <c r="A3279" t="str">
        <f t="shared" si="104"/>
        <v>C135360C135360</v>
      </c>
      <c r="B3279" t="str">
        <f t="shared" si="105"/>
        <v>C135360W515S7OK-B</v>
      </c>
      <c r="C3279" s="1" t="s">
        <v>102</v>
      </c>
      <c r="D3279" s="1" t="s">
        <v>697</v>
      </c>
      <c r="E3279" s="1" t="s">
        <v>397</v>
      </c>
      <c r="F3279" s="1" t="s">
        <v>2322</v>
      </c>
      <c r="G3279" s="1" t="s">
        <v>399</v>
      </c>
      <c r="H3279" s="1">
        <v>504</v>
      </c>
      <c r="I3279" s="3">
        <v>46280</v>
      </c>
      <c r="L3279" s="31">
        <v>46280.72037091435</v>
      </c>
      <c r="M3279" s="20">
        <v>12</v>
      </c>
      <c r="N3279" s="1">
        <v>32</v>
      </c>
    </row>
    <row r="3280" spans="1:14" x14ac:dyDescent="0.25">
      <c r="A3280" t="str">
        <f t="shared" si="104"/>
        <v>C135360C135360</v>
      </c>
      <c r="B3280" t="str">
        <f t="shared" si="105"/>
        <v>C135360W515S7OK-B</v>
      </c>
      <c r="C3280" s="1" t="s">
        <v>102</v>
      </c>
      <c r="D3280" s="1" t="s">
        <v>697</v>
      </c>
      <c r="E3280" s="1" t="s">
        <v>397</v>
      </c>
      <c r="F3280" s="1" t="s">
        <v>2322</v>
      </c>
      <c r="G3280" s="1" t="s">
        <v>399</v>
      </c>
      <c r="H3280" s="1">
        <v>504</v>
      </c>
      <c r="I3280" s="3">
        <v>46280</v>
      </c>
      <c r="L3280" s="31">
        <v>46280.728373877311</v>
      </c>
      <c r="M3280" s="20">
        <v>12</v>
      </c>
      <c r="N3280" s="1">
        <v>31</v>
      </c>
    </row>
    <row r="3281" spans="1:14" x14ac:dyDescent="0.25">
      <c r="A3281" t="str">
        <f t="shared" si="104"/>
        <v>C135360C135360</v>
      </c>
      <c r="B3281" t="str">
        <f t="shared" si="105"/>
        <v>C135360W515S7OK-B</v>
      </c>
      <c r="C3281" s="1" t="s">
        <v>102</v>
      </c>
      <c r="D3281" s="1" t="s">
        <v>697</v>
      </c>
      <c r="E3281" s="1" t="s">
        <v>397</v>
      </c>
      <c r="F3281" s="1" t="s">
        <v>2322</v>
      </c>
      <c r="G3281" s="1" t="s">
        <v>399</v>
      </c>
      <c r="H3281" s="1">
        <v>504</v>
      </c>
      <c r="I3281" s="3">
        <v>46280</v>
      </c>
      <c r="L3281" s="31">
        <v>46280.749329479164</v>
      </c>
      <c r="M3281" s="20">
        <v>12</v>
      </c>
      <c r="N3281" s="1">
        <v>39</v>
      </c>
    </row>
    <row r="3282" spans="1:14" x14ac:dyDescent="0.25">
      <c r="A3282" t="str">
        <f t="shared" si="104"/>
        <v>C135360C135360</v>
      </c>
      <c r="B3282" t="str">
        <f t="shared" si="105"/>
        <v>C135360W515S7OK-B</v>
      </c>
      <c r="C3282" s="1" t="s">
        <v>102</v>
      </c>
      <c r="D3282" s="1" t="s">
        <v>697</v>
      </c>
      <c r="E3282" s="1" t="s">
        <v>397</v>
      </c>
      <c r="F3282" s="1" t="s">
        <v>2322</v>
      </c>
      <c r="G3282" s="1" t="s">
        <v>399</v>
      </c>
      <c r="H3282" s="1">
        <v>504</v>
      </c>
      <c r="I3282" s="3">
        <v>46280</v>
      </c>
      <c r="L3282" s="31">
        <v>46280.755289733796</v>
      </c>
      <c r="M3282" s="20">
        <v>12</v>
      </c>
      <c r="N3282" s="1">
        <v>40</v>
      </c>
    </row>
    <row r="3283" spans="1:14" x14ac:dyDescent="0.25">
      <c r="A3283" t="str">
        <f t="shared" si="104"/>
        <v>C135882C135882</v>
      </c>
      <c r="B3283" t="str">
        <f t="shared" si="105"/>
        <v>C135882M515S54Y-2E</v>
      </c>
      <c r="C3283" s="1" t="s">
        <v>81</v>
      </c>
      <c r="D3283" s="1" t="s">
        <v>687</v>
      </c>
      <c r="E3283" s="1" t="s">
        <v>397</v>
      </c>
      <c r="F3283" s="1" t="s">
        <v>400</v>
      </c>
      <c r="G3283" s="1" t="s">
        <v>401</v>
      </c>
      <c r="H3283" s="1">
        <v>138</v>
      </c>
      <c r="I3283" s="3">
        <v>46280</v>
      </c>
      <c r="L3283" s="31">
        <v>46280.329534490738</v>
      </c>
      <c r="M3283" s="20">
        <v>12</v>
      </c>
      <c r="N3283" s="1">
        <v>35</v>
      </c>
    </row>
    <row r="3284" spans="1:14" x14ac:dyDescent="0.25">
      <c r="A3284" t="str">
        <f t="shared" si="104"/>
        <v>C135882C135882</v>
      </c>
      <c r="B3284" t="str">
        <f t="shared" si="105"/>
        <v>C135882M515S54Y-2E</v>
      </c>
      <c r="C3284" s="1" t="s">
        <v>81</v>
      </c>
      <c r="D3284" s="1" t="s">
        <v>687</v>
      </c>
      <c r="E3284" s="1" t="s">
        <v>397</v>
      </c>
      <c r="F3284" s="1" t="s">
        <v>400</v>
      </c>
      <c r="G3284" s="1" t="s">
        <v>401</v>
      </c>
      <c r="H3284" s="1">
        <v>138</v>
      </c>
      <c r="I3284" s="3">
        <v>46280</v>
      </c>
      <c r="L3284" s="31">
        <v>46280.349110613424</v>
      </c>
      <c r="M3284" s="20">
        <v>12</v>
      </c>
      <c r="N3284" s="1">
        <v>34</v>
      </c>
    </row>
    <row r="3285" spans="1:14" x14ac:dyDescent="0.25">
      <c r="A3285" t="str">
        <f t="shared" si="104"/>
        <v>C135882C135882</v>
      </c>
      <c r="B3285" t="str">
        <f t="shared" si="105"/>
        <v>C135882M515S54Y-2E</v>
      </c>
      <c r="C3285" s="1" t="s">
        <v>81</v>
      </c>
      <c r="D3285" s="1" t="s">
        <v>687</v>
      </c>
      <c r="E3285" s="1" t="s">
        <v>397</v>
      </c>
      <c r="F3285" s="1" t="s">
        <v>400</v>
      </c>
      <c r="G3285" s="1" t="s">
        <v>401</v>
      </c>
      <c r="H3285" s="1">
        <v>138</v>
      </c>
      <c r="I3285" s="3">
        <v>46280</v>
      </c>
      <c r="L3285" s="31">
        <v>46280.355458831014</v>
      </c>
      <c r="M3285" s="20">
        <v>12</v>
      </c>
      <c r="N3285" s="1">
        <v>32</v>
      </c>
    </row>
    <row r="3286" spans="1:14" x14ac:dyDescent="0.25">
      <c r="A3286" t="str">
        <f t="shared" si="104"/>
        <v>C135882C135882</v>
      </c>
      <c r="B3286" t="str">
        <f t="shared" si="105"/>
        <v>C135882M515S54Y-2E</v>
      </c>
      <c r="C3286" s="1" t="s">
        <v>81</v>
      </c>
      <c r="D3286" s="1" t="s">
        <v>687</v>
      </c>
      <c r="E3286" s="1" t="s">
        <v>397</v>
      </c>
      <c r="F3286" s="1" t="s">
        <v>400</v>
      </c>
      <c r="G3286" s="1" t="s">
        <v>401</v>
      </c>
      <c r="H3286" s="1">
        <v>138</v>
      </c>
      <c r="I3286" s="3">
        <v>46280</v>
      </c>
      <c r="L3286" s="31">
        <v>46280.356194178239</v>
      </c>
      <c r="M3286" s="20">
        <v>12</v>
      </c>
      <c r="N3286" s="1">
        <v>30</v>
      </c>
    </row>
    <row r="3287" spans="1:14" x14ac:dyDescent="0.25">
      <c r="A3287" t="str">
        <f t="shared" si="104"/>
        <v>C135882C135882</v>
      </c>
      <c r="B3287" t="str">
        <f t="shared" si="105"/>
        <v>C135882M515S54Y-2E</v>
      </c>
      <c r="C3287" s="1" t="s">
        <v>81</v>
      </c>
      <c r="D3287" s="1" t="s">
        <v>687</v>
      </c>
      <c r="E3287" s="1" t="s">
        <v>397</v>
      </c>
      <c r="F3287" s="1" t="s">
        <v>400</v>
      </c>
      <c r="G3287" s="1" t="s">
        <v>401</v>
      </c>
      <c r="H3287" s="1">
        <v>138</v>
      </c>
      <c r="I3287" s="3">
        <v>46280</v>
      </c>
      <c r="L3287" s="31">
        <v>46280.363741469904</v>
      </c>
      <c r="M3287" s="20">
        <v>12</v>
      </c>
      <c r="N3287" s="1">
        <v>37</v>
      </c>
    </row>
    <row r="3288" spans="1:14" x14ac:dyDescent="0.25">
      <c r="A3288" t="str">
        <f t="shared" si="104"/>
        <v>C135882C135882</v>
      </c>
      <c r="B3288" t="str">
        <f t="shared" si="105"/>
        <v>C135882M515S54Y-D</v>
      </c>
      <c r="C3288" s="1" t="s">
        <v>95</v>
      </c>
      <c r="D3288" s="1" t="s">
        <v>687</v>
      </c>
      <c r="E3288" s="1" t="s">
        <v>397</v>
      </c>
      <c r="F3288" s="1" t="s">
        <v>400</v>
      </c>
      <c r="G3288" s="1" t="s">
        <v>401</v>
      </c>
      <c r="H3288" s="1">
        <v>318</v>
      </c>
      <c r="I3288" s="3">
        <v>46280</v>
      </c>
      <c r="L3288" s="31">
        <v>46280.380138541666</v>
      </c>
      <c r="M3288" s="20">
        <v>12</v>
      </c>
      <c r="N3288" s="1">
        <v>13</v>
      </c>
    </row>
    <row r="3289" spans="1:14" x14ac:dyDescent="0.25">
      <c r="A3289" t="str">
        <f t="shared" si="104"/>
        <v>C135882C135882</v>
      </c>
      <c r="B3289" t="str">
        <f t="shared" si="105"/>
        <v>C135882M515S54Y-2E</v>
      </c>
      <c r="C3289" s="1" t="s">
        <v>81</v>
      </c>
      <c r="D3289" s="1" t="s">
        <v>687</v>
      </c>
      <c r="E3289" s="1" t="s">
        <v>397</v>
      </c>
      <c r="F3289" s="1" t="s">
        <v>400</v>
      </c>
      <c r="G3289" s="1" t="s">
        <v>401</v>
      </c>
      <c r="H3289" s="1">
        <v>138</v>
      </c>
      <c r="I3289" s="3">
        <v>46280</v>
      </c>
      <c r="L3289" s="31">
        <v>46280.380994594903</v>
      </c>
      <c r="M3289" s="20">
        <v>12</v>
      </c>
      <c r="N3289" s="1">
        <v>29</v>
      </c>
    </row>
    <row r="3290" spans="1:14" x14ac:dyDescent="0.25">
      <c r="A3290" t="str">
        <f t="shared" si="104"/>
        <v>C135882C135882</v>
      </c>
      <c r="B3290" t="str">
        <f t="shared" si="105"/>
        <v>C135882M515S54Y-2E</v>
      </c>
      <c r="C3290" s="1" t="s">
        <v>81</v>
      </c>
      <c r="D3290" s="1" t="s">
        <v>687</v>
      </c>
      <c r="E3290" s="1" t="s">
        <v>397</v>
      </c>
      <c r="F3290" s="1" t="s">
        <v>400</v>
      </c>
      <c r="G3290" s="1" t="s">
        <v>401</v>
      </c>
      <c r="H3290" s="1">
        <v>138</v>
      </c>
      <c r="I3290" s="3">
        <v>46280</v>
      </c>
      <c r="L3290" s="31">
        <v>46280.39945193287</v>
      </c>
      <c r="M3290" s="20">
        <v>6</v>
      </c>
      <c r="N3290" s="1">
        <v>42</v>
      </c>
    </row>
    <row r="3291" spans="1:14" x14ac:dyDescent="0.25">
      <c r="A3291" t="str">
        <f t="shared" si="104"/>
        <v>C135882C135882</v>
      </c>
      <c r="B3291" t="str">
        <f t="shared" si="105"/>
        <v>C135882M515S54Y-D</v>
      </c>
      <c r="C3291" s="1" t="s">
        <v>95</v>
      </c>
      <c r="D3291" s="1" t="s">
        <v>687</v>
      </c>
      <c r="E3291" s="1" t="s">
        <v>397</v>
      </c>
      <c r="F3291" s="1" t="s">
        <v>400</v>
      </c>
      <c r="G3291" s="1" t="s">
        <v>401</v>
      </c>
      <c r="H3291" s="1">
        <v>318</v>
      </c>
      <c r="I3291" s="3">
        <v>46280</v>
      </c>
      <c r="L3291" s="31">
        <v>46280.399801122687</v>
      </c>
      <c r="M3291" s="20">
        <v>12</v>
      </c>
      <c r="N3291" s="1">
        <v>17</v>
      </c>
    </row>
    <row r="3292" spans="1:14" x14ac:dyDescent="0.25">
      <c r="A3292" t="str">
        <f t="shared" si="104"/>
        <v>C135882C135882</v>
      </c>
      <c r="B3292" t="str">
        <f t="shared" si="105"/>
        <v>C135882M515S54Y-2E</v>
      </c>
      <c r="C3292" s="1" t="s">
        <v>81</v>
      </c>
      <c r="D3292" s="1" t="s">
        <v>687</v>
      </c>
      <c r="E3292" s="1" t="s">
        <v>397</v>
      </c>
      <c r="F3292" s="1" t="s">
        <v>400</v>
      </c>
      <c r="G3292" s="1" t="s">
        <v>401</v>
      </c>
      <c r="H3292" s="1">
        <v>138</v>
      </c>
      <c r="I3292" s="3">
        <v>46280</v>
      </c>
      <c r="L3292" s="31">
        <v>46280.408058796296</v>
      </c>
      <c r="M3292" s="20">
        <v>12</v>
      </c>
      <c r="N3292" s="1">
        <v>36</v>
      </c>
    </row>
    <row r="3293" spans="1:14" x14ac:dyDescent="0.25">
      <c r="A3293" t="str">
        <f t="shared" si="104"/>
        <v>C135882C135882</v>
      </c>
      <c r="B3293" t="str">
        <f t="shared" si="105"/>
        <v>C135882M515S54Y-D</v>
      </c>
      <c r="C3293" s="1" t="s">
        <v>95</v>
      </c>
      <c r="D3293" s="1" t="s">
        <v>687</v>
      </c>
      <c r="E3293" s="1" t="s">
        <v>397</v>
      </c>
      <c r="F3293" s="1" t="s">
        <v>400</v>
      </c>
      <c r="G3293" s="1" t="s">
        <v>401</v>
      </c>
      <c r="H3293" s="1">
        <v>318</v>
      </c>
      <c r="I3293" s="3">
        <v>46280</v>
      </c>
      <c r="L3293" s="31">
        <v>46280.410620717594</v>
      </c>
      <c r="M3293" s="20">
        <v>12</v>
      </c>
      <c r="N3293" s="1">
        <v>14</v>
      </c>
    </row>
    <row r="3294" spans="1:14" x14ac:dyDescent="0.25">
      <c r="A3294" t="str">
        <f t="shared" si="104"/>
        <v>C135882C135882</v>
      </c>
      <c r="B3294" t="str">
        <f t="shared" si="105"/>
        <v>C135882M515S54Y-4E</v>
      </c>
      <c r="C3294" s="1" t="s">
        <v>89</v>
      </c>
      <c r="D3294" s="1" t="s">
        <v>687</v>
      </c>
      <c r="E3294" s="1" t="s">
        <v>397</v>
      </c>
      <c r="F3294" s="1" t="s">
        <v>400</v>
      </c>
      <c r="G3294" s="1" t="s">
        <v>401</v>
      </c>
      <c r="H3294" s="1">
        <v>18</v>
      </c>
      <c r="I3294" s="3">
        <v>46280</v>
      </c>
      <c r="J3294" s="3">
        <v>46289</v>
      </c>
      <c r="L3294" s="31">
        <v>46280.421466203705</v>
      </c>
      <c r="M3294" s="20">
        <v>6</v>
      </c>
      <c r="N3294" s="1">
        <v>43</v>
      </c>
    </row>
    <row r="3295" spans="1:14" x14ac:dyDescent="0.25">
      <c r="A3295" t="str">
        <f t="shared" si="104"/>
        <v>C135882C135882</v>
      </c>
      <c r="B3295" t="str">
        <f t="shared" si="105"/>
        <v>C135882M515S54Y-D</v>
      </c>
      <c r="C3295" s="1" t="s">
        <v>95</v>
      </c>
      <c r="D3295" s="1" t="s">
        <v>687</v>
      </c>
      <c r="E3295" s="1" t="s">
        <v>397</v>
      </c>
      <c r="F3295" s="1" t="s">
        <v>400</v>
      </c>
      <c r="G3295" s="1" t="s">
        <v>401</v>
      </c>
      <c r="H3295" s="1">
        <v>318</v>
      </c>
      <c r="I3295" s="3">
        <v>46280</v>
      </c>
      <c r="L3295" s="31">
        <v>46280.422054861112</v>
      </c>
      <c r="M3295" s="20">
        <v>12</v>
      </c>
      <c r="N3295" s="1">
        <v>9</v>
      </c>
    </row>
    <row r="3296" spans="1:14" x14ac:dyDescent="0.25">
      <c r="A3296" t="str">
        <f t="shared" si="104"/>
        <v>C135882C135882</v>
      </c>
      <c r="B3296" t="str">
        <f t="shared" si="105"/>
        <v>C135882M515S54Y-D</v>
      </c>
      <c r="C3296" s="1" t="s">
        <v>95</v>
      </c>
      <c r="D3296" s="1" t="s">
        <v>687</v>
      </c>
      <c r="E3296" s="1" t="s">
        <v>397</v>
      </c>
      <c r="F3296" s="1" t="s">
        <v>400</v>
      </c>
      <c r="G3296" s="1" t="s">
        <v>401</v>
      </c>
      <c r="H3296" s="1">
        <v>318</v>
      </c>
      <c r="I3296" s="3">
        <v>46280</v>
      </c>
      <c r="L3296" s="31">
        <v>46280.423026851851</v>
      </c>
      <c r="M3296" s="20">
        <v>12</v>
      </c>
      <c r="N3296" s="1">
        <v>16</v>
      </c>
    </row>
    <row r="3297" spans="1:14" x14ac:dyDescent="0.25">
      <c r="A3297" t="str">
        <f t="shared" si="104"/>
        <v>C135882C135882</v>
      </c>
      <c r="B3297" t="str">
        <f t="shared" si="105"/>
        <v>C135882M515S54Y-4E</v>
      </c>
      <c r="C3297" s="1" t="s">
        <v>89</v>
      </c>
      <c r="D3297" s="1" t="s">
        <v>687</v>
      </c>
      <c r="E3297" s="1" t="s">
        <v>397</v>
      </c>
      <c r="F3297" s="1" t="s">
        <v>400</v>
      </c>
      <c r="G3297" s="1" t="s">
        <v>401</v>
      </c>
      <c r="H3297" s="1">
        <v>18</v>
      </c>
      <c r="I3297" s="3">
        <v>46280</v>
      </c>
      <c r="J3297" s="3">
        <v>46289</v>
      </c>
      <c r="L3297" s="31">
        <v>46280.429450925927</v>
      </c>
      <c r="M3297" s="20">
        <v>6</v>
      </c>
      <c r="N3297" s="1">
        <v>44</v>
      </c>
    </row>
    <row r="3298" spans="1:14" x14ac:dyDescent="0.25">
      <c r="A3298" t="str">
        <f t="shared" si="104"/>
        <v>C135882C135882</v>
      </c>
      <c r="B3298" t="str">
        <f t="shared" si="105"/>
        <v>C135882M515S54Y-D</v>
      </c>
      <c r="C3298" s="1" t="s">
        <v>95</v>
      </c>
      <c r="D3298" s="1" t="s">
        <v>687</v>
      </c>
      <c r="E3298" s="1" t="s">
        <v>397</v>
      </c>
      <c r="F3298" s="1" t="s">
        <v>400</v>
      </c>
      <c r="G3298" s="1" t="s">
        <v>401</v>
      </c>
      <c r="H3298" s="1">
        <v>318</v>
      </c>
      <c r="I3298" s="3">
        <v>46280</v>
      </c>
      <c r="L3298" s="31">
        <v>46280.434008414348</v>
      </c>
      <c r="M3298" s="20">
        <v>12</v>
      </c>
      <c r="N3298" s="1">
        <v>1</v>
      </c>
    </row>
    <row r="3299" spans="1:14" x14ac:dyDescent="0.25">
      <c r="A3299" t="str">
        <f t="shared" si="104"/>
        <v>C135882C135882</v>
      </c>
      <c r="B3299" t="str">
        <f t="shared" si="105"/>
        <v>C135882M515S54Y-D</v>
      </c>
      <c r="C3299" s="1" t="s">
        <v>95</v>
      </c>
      <c r="D3299" s="1" t="s">
        <v>687</v>
      </c>
      <c r="E3299" s="1" t="s">
        <v>397</v>
      </c>
      <c r="F3299" s="1" t="s">
        <v>400</v>
      </c>
      <c r="G3299" s="1" t="s">
        <v>401</v>
      </c>
      <c r="H3299" s="1">
        <v>318</v>
      </c>
      <c r="I3299" s="3">
        <v>46280</v>
      </c>
      <c r="L3299" s="31">
        <v>46280.47584864583</v>
      </c>
      <c r="M3299" s="20">
        <v>12</v>
      </c>
      <c r="N3299" s="1">
        <v>4</v>
      </c>
    </row>
    <row r="3300" spans="1:14" x14ac:dyDescent="0.25">
      <c r="A3300" t="str">
        <f t="shared" si="104"/>
        <v>C135882C135882</v>
      </c>
      <c r="B3300" t="str">
        <f t="shared" si="105"/>
        <v>C135882M515S54Y-2E</v>
      </c>
      <c r="C3300" s="1" t="s">
        <v>81</v>
      </c>
      <c r="D3300" s="1" t="s">
        <v>687</v>
      </c>
      <c r="E3300" s="1" t="s">
        <v>397</v>
      </c>
      <c r="F3300" s="1" t="s">
        <v>400</v>
      </c>
      <c r="G3300" s="1" t="s">
        <v>401</v>
      </c>
      <c r="H3300" s="1">
        <v>138</v>
      </c>
      <c r="I3300" s="3">
        <v>46280</v>
      </c>
      <c r="L3300" s="31">
        <v>46280.544139548612</v>
      </c>
      <c r="M3300" s="20">
        <v>6</v>
      </c>
      <c r="N3300" s="1">
        <v>41</v>
      </c>
    </row>
    <row r="3301" spans="1:14" x14ac:dyDescent="0.25">
      <c r="A3301" t="str">
        <f t="shared" si="104"/>
        <v>C135882C135882</v>
      </c>
      <c r="B3301" t="str">
        <f t="shared" si="105"/>
        <v>C135882M515S54Y-D</v>
      </c>
      <c r="C3301" s="1" t="s">
        <v>95</v>
      </c>
      <c r="D3301" s="1" t="s">
        <v>687</v>
      </c>
      <c r="E3301" s="1" t="s">
        <v>397</v>
      </c>
      <c r="F3301" s="1" t="s">
        <v>400</v>
      </c>
      <c r="G3301" s="1" t="s">
        <v>401</v>
      </c>
      <c r="H3301" s="1">
        <v>318</v>
      </c>
      <c r="I3301" s="3">
        <v>46280</v>
      </c>
      <c r="L3301" s="31">
        <v>46280.544532789347</v>
      </c>
      <c r="M3301" s="20">
        <v>12</v>
      </c>
      <c r="N3301" s="1">
        <v>11</v>
      </c>
    </row>
    <row r="3302" spans="1:14" x14ac:dyDescent="0.25">
      <c r="A3302" t="str">
        <f t="shared" si="104"/>
        <v>C135882C135882</v>
      </c>
      <c r="B3302" t="str">
        <f t="shared" si="105"/>
        <v>C135882M515S54Y-D</v>
      </c>
      <c r="C3302" s="1" t="s">
        <v>95</v>
      </c>
      <c r="D3302" s="1" t="s">
        <v>687</v>
      </c>
      <c r="E3302" s="1" t="s">
        <v>397</v>
      </c>
      <c r="F3302" s="1" t="s">
        <v>400</v>
      </c>
      <c r="G3302" s="1" t="s">
        <v>401</v>
      </c>
      <c r="H3302" s="1">
        <v>318</v>
      </c>
      <c r="I3302" s="3">
        <v>46280</v>
      </c>
      <c r="L3302" s="31">
        <v>46280.545179745372</v>
      </c>
      <c r="M3302" s="20">
        <v>12</v>
      </c>
      <c r="N3302" s="1">
        <v>7</v>
      </c>
    </row>
    <row r="3303" spans="1:14" x14ac:dyDescent="0.25">
      <c r="A3303" t="str">
        <f t="shared" si="104"/>
        <v>C135882C135882</v>
      </c>
      <c r="B3303" t="str">
        <f t="shared" si="105"/>
        <v>C135882M515S54Y-D</v>
      </c>
      <c r="C3303" s="1" t="s">
        <v>95</v>
      </c>
      <c r="D3303" s="1" t="s">
        <v>687</v>
      </c>
      <c r="E3303" s="1" t="s">
        <v>397</v>
      </c>
      <c r="F3303" s="1" t="s">
        <v>400</v>
      </c>
      <c r="G3303" s="1" t="s">
        <v>401</v>
      </c>
      <c r="H3303" s="1">
        <v>318</v>
      </c>
      <c r="I3303" s="3">
        <v>46280</v>
      </c>
      <c r="L3303" s="31">
        <v>46280.547307442124</v>
      </c>
      <c r="M3303" s="20">
        <v>12</v>
      </c>
      <c r="N3303" s="1">
        <v>2</v>
      </c>
    </row>
    <row r="3304" spans="1:14" x14ac:dyDescent="0.25">
      <c r="A3304" t="str">
        <f t="shared" si="104"/>
        <v>C135882C135882</v>
      </c>
      <c r="B3304" t="str">
        <f t="shared" si="105"/>
        <v>C135882M515S54Y-D</v>
      </c>
      <c r="C3304" s="1" t="s">
        <v>95</v>
      </c>
      <c r="D3304" s="1" t="s">
        <v>687</v>
      </c>
      <c r="E3304" s="1" t="s">
        <v>397</v>
      </c>
      <c r="F3304" s="1" t="s">
        <v>400</v>
      </c>
      <c r="G3304" s="1" t="s">
        <v>401</v>
      </c>
      <c r="H3304" s="1">
        <v>318</v>
      </c>
      <c r="I3304" s="3">
        <v>46280</v>
      </c>
      <c r="L3304" s="31">
        <v>46280.611018483796</v>
      </c>
      <c r="M3304" s="20">
        <v>12</v>
      </c>
      <c r="N3304" s="1">
        <v>19</v>
      </c>
    </row>
    <row r="3305" spans="1:14" x14ac:dyDescent="0.25">
      <c r="A3305" t="str">
        <f t="shared" si="104"/>
        <v>C135882C135882</v>
      </c>
      <c r="B3305" t="str">
        <f t="shared" si="105"/>
        <v>C135882M515S54Y-D</v>
      </c>
      <c r="C3305" s="1" t="s">
        <v>95</v>
      </c>
      <c r="D3305" s="1" t="s">
        <v>687</v>
      </c>
      <c r="E3305" s="1" t="s">
        <v>397</v>
      </c>
      <c r="F3305" s="1" t="s">
        <v>400</v>
      </c>
      <c r="G3305" s="1" t="s">
        <v>401</v>
      </c>
      <c r="H3305" s="1">
        <v>318</v>
      </c>
      <c r="I3305" s="3">
        <v>46280</v>
      </c>
      <c r="L3305" s="31">
        <v>46280.616983020831</v>
      </c>
      <c r="M3305" s="20">
        <v>12</v>
      </c>
      <c r="N3305" s="1">
        <v>15</v>
      </c>
    </row>
    <row r="3306" spans="1:14" x14ac:dyDescent="0.25">
      <c r="A3306" t="str">
        <f t="shared" si="104"/>
        <v>H181903H181903</v>
      </c>
      <c r="B3306" t="str">
        <f t="shared" si="105"/>
        <v>H181903W5743HE-B</v>
      </c>
      <c r="C3306" s="1" t="s">
        <v>642</v>
      </c>
      <c r="D3306" s="1" t="s">
        <v>700</v>
      </c>
      <c r="E3306" s="1" t="s">
        <v>2315</v>
      </c>
      <c r="F3306" s="1" t="s">
        <v>431</v>
      </c>
      <c r="G3306" s="1" t="s">
        <v>404</v>
      </c>
      <c r="H3306" s="1">
        <v>264</v>
      </c>
      <c r="I3306" s="3">
        <v>46280</v>
      </c>
      <c r="L3306" s="31">
        <v>46280.606626354165</v>
      </c>
      <c r="M3306" s="20">
        <v>12</v>
      </c>
      <c r="N3306" s="1">
        <v>8</v>
      </c>
    </row>
    <row r="3307" spans="1:14" x14ac:dyDescent="0.25">
      <c r="A3307" t="str">
        <f t="shared" si="104"/>
        <v>H181903H181903</v>
      </c>
      <c r="B3307" t="str">
        <f t="shared" si="105"/>
        <v>H181903W5743HE-B</v>
      </c>
      <c r="C3307" s="1" t="s">
        <v>642</v>
      </c>
      <c r="D3307" s="1" t="s">
        <v>700</v>
      </c>
      <c r="E3307" s="1" t="s">
        <v>2315</v>
      </c>
      <c r="F3307" s="1" t="s">
        <v>431</v>
      </c>
      <c r="G3307" s="1" t="s">
        <v>404</v>
      </c>
      <c r="H3307" s="1">
        <v>264</v>
      </c>
      <c r="I3307" s="3">
        <v>46280</v>
      </c>
      <c r="L3307" s="31">
        <v>46280.610192476852</v>
      </c>
      <c r="M3307" s="20">
        <v>12</v>
      </c>
      <c r="N3307" s="1">
        <v>12</v>
      </c>
    </row>
    <row r="3308" spans="1:14" x14ac:dyDescent="0.25">
      <c r="A3308" t="str">
        <f t="shared" si="104"/>
        <v>H181903H181903</v>
      </c>
      <c r="B3308" t="str">
        <f t="shared" si="105"/>
        <v>H181903W5743HE-B</v>
      </c>
      <c r="C3308" s="1" t="s">
        <v>642</v>
      </c>
      <c r="D3308" s="1" t="s">
        <v>700</v>
      </c>
      <c r="E3308" s="1" t="s">
        <v>2315</v>
      </c>
      <c r="F3308" s="1" t="s">
        <v>431</v>
      </c>
      <c r="G3308" s="1" t="s">
        <v>404</v>
      </c>
      <c r="H3308" s="1">
        <v>264</v>
      </c>
      <c r="I3308" s="3">
        <v>46280</v>
      </c>
      <c r="L3308" s="31">
        <v>46280.632588310182</v>
      </c>
      <c r="M3308" s="20">
        <v>12</v>
      </c>
      <c r="N3308" s="1">
        <v>1</v>
      </c>
    </row>
    <row r="3309" spans="1:14" x14ac:dyDescent="0.25">
      <c r="A3309" t="str">
        <f t="shared" si="104"/>
        <v>H181903H181903</v>
      </c>
      <c r="B3309" t="str">
        <f t="shared" si="105"/>
        <v>H181903W5743HE-B</v>
      </c>
      <c r="C3309" s="1" t="s">
        <v>642</v>
      </c>
      <c r="D3309" s="1" t="s">
        <v>700</v>
      </c>
      <c r="E3309" s="1" t="s">
        <v>2315</v>
      </c>
      <c r="F3309" s="1" t="s">
        <v>431</v>
      </c>
      <c r="G3309" s="1" t="s">
        <v>404</v>
      </c>
      <c r="H3309" s="1">
        <v>264</v>
      </c>
      <c r="I3309" s="3">
        <v>46280</v>
      </c>
      <c r="L3309" s="31">
        <v>46280.648082789347</v>
      </c>
      <c r="M3309" s="20">
        <v>12</v>
      </c>
      <c r="N3309" s="1">
        <v>13</v>
      </c>
    </row>
    <row r="3310" spans="1:14" x14ac:dyDescent="0.25">
      <c r="A3310" t="str">
        <f t="shared" si="104"/>
        <v>H181903H181903</v>
      </c>
      <c r="B3310" t="str">
        <f t="shared" si="105"/>
        <v>H181903W5743HE-B</v>
      </c>
      <c r="C3310" s="1" t="s">
        <v>642</v>
      </c>
      <c r="D3310" s="1" t="s">
        <v>700</v>
      </c>
      <c r="E3310" s="1" t="s">
        <v>2315</v>
      </c>
      <c r="F3310" s="1" t="s">
        <v>431</v>
      </c>
      <c r="G3310" s="1" t="s">
        <v>404</v>
      </c>
      <c r="H3310" s="1">
        <v>264</v>
      </c>
      <c r="I3310" s="3">
        <v>46280</v>
      </c>
      <c r="L3310" s="31">
        <v>46280.653267789348</v>
      </c>
      <c r="M3310" s="20">
        <v>12</v>
      </c>
      <c r="N3310" s="1">
        <v>17</v>
      </c>
    </row>
    <row r="3311" spans="1:14" x14ac:dyDescent="0.25">
      <c r="A3311" t="str">
        <f t="shared" si="104"/>
        <v>H181903H181903</v>
      </c>
      <c r="B3311" t="str">
        <f t="shared" si="105"/>
        <v>H181903W5743HE-B</v>
      </c>
      <c r="C3311" s="1" t="s">
        <v>642</v>
      </c>
      <c r="D3311" s="1" t="s">
        <v>700</v>
      </c>
      <c r="E3311" s="1" t="s">
        <v>2315</v>
      </c>
      <c r="F3311" s="1" t="s">
        <v>431</v>
      </c>
      <c r="G3311" s="1" t="s">
        <v>404</v>
      </c>
      <c r="H3311" s="1">
        <v>264</v>
      </c>
      <c r="I3311" s="3">
        <v>46280</v>
      </c>
      <c r="L3311" s="31">
        <v>46280.68471076389</v>
      </c>
      <c r="M3311" s="20">
        <v>12</v>
      </c>
      <c r="N3311" s="1">
        <v>18</v>
      </c>
    </row>
    <row r="3312" spans="1:14" x14ac:dyDescent="0.25">
      <c r="A3312" t="str">
        <f t="shared" si="104"/>
        <v>H181903H181903</v>
      </c>
      <c r="B3312" t="str">
        <f t="shared" si="105"/>
        <v>H181903W5743HE-B</v>
      </c>
      <c r="C3312" s="1" t="s">
        <v>642</v>
      </c>
      <c r="D3312" s="1" t="s">
        <v>700</v>
      </c>
      <c r="E3312" s="1" t="s">
        <v>2315</v>
      </c>
      <c r="F3312" s="1" t="s">
        <v>431</v>
      </c>
      <c r="G3312" s="1" t="s">
        <v>404</v>
      </c>
      <c r="H3312" s="1">
        <v>264</v>
      </c>
      <c r="I3312" s="3">
        <v>46280</v>
      </c>
      <c r="L3312" s="31">
        <v>46280.69121542824</v>
      </c>
      <c r="M3312" s="20">
        <v>12</v>
      </c>
      <c r="N3312" s="1">
        <v>2</v>
      </c>
    </row>
    <row r="3313" spans="1:14" x14ac:dyDescent="0.25">
      <c r="A3313" t="str">
        <f t="shared" si="104"/>
        <v>H181903H181903</v>
      </c>
      <c r="B3313" t="str">
        <f t="shared" si="105"/>
        <v>H181903W5743HE-B</v>
      </c>
      <c r="C3313" s="1" t="s">
        <v>642</v>
      </c>
      <c r="D3313" s="1" t="s">
        <v>700</v>
      </c>
      <c r="E3313" s="1" t="s">
        <v>2315</v>
      </c>
      <c r="F3313" s="1" t="s">
        <v>431</v>
      </c>
      <c r="G3313" s="1" t="s">
        <v>404</v>
      </c>
      <c r="H3313" s="1">
        <v>264</v>
      </c>
      <c r="I3313" s="3">
        <v>46280</v>
      </c>
      <c r="L3313" s="31">
        <v>46280.709183333332</v>
      </c>
      <c r="M3313" s="20">
        <v>12</v>
      </c>
      <c r="N3313" s="1">
        <v>7</v>
      </c>
    </row>
    <row r="3314" spans="1:14" x14ac:dyDescent="0.25">
      <c r="A3314" t="str">
        <f t="shared" si="104"/>
        <v>H181903H181903</v>
      </c>
      <c r="B3314" t="str">
        <f t="shared" si="105"/>
        <v>H181903W5743HE-B</v>
      </c>
      <c r="C3314" s="1" t="s">
        <v>642</v>
      </c>
      <c r="D3314" s="1" t="s">
        <v>700</v>
      </c>
      <c r="E3314" s="1" t="s">
        <v>2315</v>
      </c>
      <c r="F3314" s="1" t="s">
        <v>431</v>
      </c>
      <c r="G3314" s="1" t="s">
        <v>404</v>
      </c>
      <c r="H3314" s="1">
        <v>264</v>
      </c>
      <c r="I3314" s="3">
        <v>46280</v>
      </c>
      <c r="L3314" s="31">
        <v>46280.709694444442</v>
      </c>
      <c r="M3314" s="20">
        <v>12</v>
      </c>
      <c r="N3314" s="1">
        <v>3</v>
      </c>
    </row>
    <row r="3315" spans="1:14" x14ac:dyDescent="0.25">
      <c r="A3315" t="str">
        <f t="shared" si="104"/>
        <v>H181903H181903</v>
      </c>
      <c r="B3315" t="str">
        <f t="shared" si="105"/>
        <v>H181903W5743HE-B</v>
      </c>
      <c r="C3315" s="1" t="s">
        <v>642</v>
      </c>
      <c r="D3315" s="1" t="s">
        <v>700</v>
      </c>
      <c r="E3315" s="1" t="s">
        <v>2315</v>
      </c>
      <c r="F3315" s="1" t="s">
        <v>431</v>
      </c>
      <c r="G3315" s="1" t="s">
        <v>404</v>
      </c>
      <c r="H3315" s="1">
        <v>264</v>
      </c>
      <c r="I3315" s="3">
        <v>46280</v>
      </c>
      <c r="L3315" s="31">
        <v>46280.75182395833</v>
      </c>
      <c r="M3315" s="20">
        <v>12</v>
      </c>
      <c r="N3315" s="1">
        <v>9</v>
      </c>
    </row>
    <row r="3316" spans="1:14" x14ac:dyDescent="0.25">
      <c r="A3316" t="str">
        <f t="shared" si="104"/>
        <v>H181903H181903</v>
      </c>
      <c r="B3316" t="str">
        <f t="shared" si="105"/>
        <v>H181903W5743HE-B</v>
      </c>
      <c r="C3316" s="1" t="s">
        <v>642</v>
      </c>
      <c r="D3316" s="1" t="s">
        <v>700</v>
      </c>
      <c r="E3316" s="1" t="s">
        <v>2315</v>
      </c>
      <c r="F3316" s="1" t="s">
        <v>431</v>
      </c>
      <c r="G3316" s="1" t="s">
        <v>404</v>
      </c>
      <c r="H3316" s="1">
        <v>264</v>
      </c>
      <c r="I3316" s="3">
        <v>46280</v>
      </c>
      <c r="L3316" s="31">
        <v>46280.760238391202</v>
      </c>
      <c r="M3316" s="20">
        <v>12</v>
      </c>
      <c r="N3316" s="1">
        <v>5</v>
      </c>
    </row>
    <row r="3317" spans="1:14" x14ac:dyDescent="0.25">
      <c r="A3317" t="str">
        <f t="shared" si="104"/>
        <v>H181903H181903</v>
      </c>
      <c r="B3317" t="str">
        <f t="shared" si="105"/>
        <v>H181903W5743HE-B</v>
      </c>
      <c r="C3317" s="1" t="s">
        <v>642</v>
      </c>
      <c r="D3317" s="1" t="s">
        <v>700</v>
      </c>
      <c r="E3317" s="1" t="s">
        <v>2315</v>
      </c>
      <c r="F3317" s="1" t="s">
        <v>431</v>
      </c>
      <c r="G3317" s="1" t="s">
        <v>404</v>
      </c>
      <c r="H3317" s="1">
        <v>264</v>
      </c>
      <c r="I3317" s="3">
        <v>46280</v>
      </c>
      <c r="L3317" s="31">
        <v>46280.760537766204</v>
      </c>
      <c r="M3317" s="20">
        <v>12</v>
      </c>
      <c r="N3317" s="1">
        <v>14</v>
      </c>
    </row>
    <row r="3318" spans="1:14" x14ac:dyDescent="0.25">
      <c r="A3318" t="str">
        <f t="shared" si="104"/>
        <v>H181903H181903</v>
      </c>
      <c r="B3318" t="str">
        <f t="shared" si="105"/>
        <v>H181903W5743HE-B</v>
      </c>
      <c r="C3318" s="1" t="s">
        <v>642</v>
      </c>
      <c r="D3318" s="1" t="s">
        <v>700</v>
      </c>
      <c r="E3318" s="1" t="s">
        <v>2315</v>
      </c>
      <c r="F3318" s="1" t="s">
        <v>431</v>
      </c>
      <c r="G3318" s="1" t="s">
        <v>404</v>
      </c>
      <c r="H3318" s="1">
        <v>264</v>
      </c>
      <c r="I3318" s="3">
        <v>46280</v>
      </c>
      <c r="L3318" s="31">
        <v>46280.76153880787</v>
      </c>
      <c r="M3318" s="20">
        <v>12</v>
      </c>
      <c r="N3318" s="1">
        <v>6</v>
      </c>
    </row>
    <row r="3319" spans="1:14" x14ac:dyDescent="0.25">
      <c r="A3319" t="str">
        <f t="shared" si="104"/>
        <v>H188973H188973</v>
      </c>
      <c r="B3319" t="str">
        <f t="shared" si="105"/>
        <v>H188973GC9060LL-M</v>
      </c>
      <c r="C3319" s="1" t="s">
        <v>55</v>
      </c>
      <c r="D3319" s="1" t="s">
        <v>695</v>
      </c>
      <c r="E3319" s="1" t="s">
        <v>501</v>
      </c>
      <c r="F3319" s="1" t="s">
        <v>502</v>
      </c>
      <c r="G3319" s="1" t="s">
        <v>404</v>
      </c>
      <c r="H3319" s="1">
        <v>756</v>
      </c>
      <c r="I3319" s="3">
        <v>46280</v>
      </c>
      <c r="J3319" s="3">
        <v>46283</v>
      </c>
      <c r="K3319" s="3" t="s">
        <v>2350</v>
      </c>
      <c r="L3319" s="31">
        <v>46280.560257175923</v>
      </c>
      <c r="M3319" s="20">
        <v>6</v>
      </c>
      <c r="N3319" s="1">
        <v>70</v>
      </c>
    </row>
    <row r="3320" spans="1:14" x14ac:dyDescent="0.25">
      <c r="A3320" t="str">
        <f t="shared" si="104"/>
        <v>H188973H188973</v>
      </c>
      <c r="B3320" t="str">
        <f t="shared" si="105"/>
        <v>H188973GC9060LL-M</v>
      </c>
      <c r="C3320" s="1" t="s">
        <v>55</v>
      </c>
      <c r="D3320" s="1" t="s">
        <v>695</v>
      </c>
      <c r="E3320" s="1" t="s">
        <v>501</v>
      </c>
      <c r="F3320" s="1" t="s">
        <v>502</v>
      </c>
      <c r="G3320" s="1" t="s">
        <v>404</v>
      </c>
      <c r="H3320" s="1">
        <v>756</v>
      </c>
      <c r="I3320" s="3">
        <v>46280</v>
      </c>
      <c r="J3320" s="3">
        <v>46283</v>
      </c>
      <c r="K3320" s="3" t="s">
        <v>2350</v>
      </c>
      <c r="L3320" s="31">
        <v>46280.563071874996</v>
      </c>
      <c r="M3320" s="20">
        <v>6</v>
      </c>
      <c r="N3320" s="1">
        <v>72</v>
      </c>
    </row>
    <row r="3321" spans="1:14" x14ac:dyDescent="0.25">
      <c r="A3321" t="str">
        <f t="shared" si="104"/>
        <v>H188973H188973</v>
      </c>
      <c r="B3321" t="str">
        <f t="shared" si="105"/>
        <v>H188973GC9060LL-M</v>
      </c>
      <c r="C3321" s="1" t="s">
        <v>55</v>
      </c>
      <c r="D3321" s="1" t="s">
        <v>695</v>
      </c>
      <c r="E3321" s="1" t="s">
        <v>501</v>
      </c>
      <c r="F3321" s="1" t="s">
        <v>502</v>
      </c>
      <c r="G3321" s="1" t="s">
        <v>404</v>
      </c>
      <c r="H3321" s="1">
        <v>756</v>
      </c>
      <c r="I3321" s="3">
        <v>46280</v>
      </c>
      <c r="J3321" s="3">
        <v>46283</v>
      </c>
      <c r="K3321" s="3" t="s">
        <v>2350</v>
      </c>
      <c r="L3321" s="31">
        <v>46280.569412812496</v>
      </c>
      <c r="M3321" s="20">
        <v>6</v>
      </c>
      <c r="N3321" s="1">
        <v>114</v>
      </c>
    </row>
    <row r="3322" spans="1:14" x14ac:dyDescent="0.25">
      <c r="A3322" t="str">
        <f t="shared" si="104"/>
        <v>H188973H188973</v>
      </c>
      <c r="B3322" t="str">
        <f t="shared" si="105"/>
        <v>H188973GC9060LL-M</v>
      </c>
      <c r="C3322" s="1" t="s">
        <v>55</v>
      </c>
      <c r="D3322" s="1" t="s">
        <v>695</v>
      </c>
      <c r="E3322" s="1" t="s">
        <v>501</v>
      </c>
      <c r="F3322" s="1" t="s">
        <v>502</v>
      </c>
      <c r="G3322" s="1" t="s">
        <v>404</v>
      </c>
      <c r="H3322" s="1">
        <v>756</v>
      </c>
      <c r="I3322" s="3">
        <v>46280</v>
      </c>
      <c r="J3322" s="3">
        <v>46283</v>
      </c>
      <c r="K3322" s="3" t="s">
        <v>2350</v>
      </c>
      <c r="L3322" s="31">
        <v>46280.569739618055</v>
      </c>
      <c r="M3322" s="20">
        <v>6</v>
      </c>
      <c r="N3322" s="1">
        <v>113</v>
      </c>
    </row>
    <row r="3323" spans="1:14" x14ac:dyDescent="0.25">
      <c r="A3323" t="str">
        <f t="shared" si="104"/>
        <v>H188973H188973</v>
      </c>
      <c r="B3323" t="str">
        <f t="shared" si="105"/>
        <v>H188973GC9060LL-M</v>
      </c>
      <c r="C3323" s="1" t="s">
        <v>55</v>
      </c>
      <c r="D3323" s="1" t="s">
        <v>695</v>
      </c>
      <c r="E3323" s="1" t="s">
        <v>501</v>
      </c>
      <c r="F3323" s="1" t="s">
        <v>502</v>
      </c>
      <c r="G3323" s="1" t="s">
        <v>404</v>
      </c>
      <c r="H3323" s="1">
        <v>756</v>
      </c>
      <c r="I3323" s="3">
        <v>46280</v>
      </c>
      <c r="J3323" s="3">
        <v>46283</v>
      </c>
      <c r="K3323" s="3" t="s">
        <v>2350</v>
      </c>
      <c r="L3323" s="31">
        <v>46280.57016427083</v>
      </c>
      <c r="M3323" s="20">
        <v>6</v>
      </c>
      <c r="N3323" s="1">
        <v>116</v>
      </c>
    </row>
    <row r="3324" spans="1:14" x14ac:dyDescent="0.25">
      <c r="A3324" t="str">
        <f t="shared" si="104"/>
        <v>H188973H188973</v>
      </c>
      <c r="B3324" t="str">
        <f t="shared" si="105"/>
        <v>H188973GC9060LL-M</v>
      </c>
      <c r="C3324" s="1" t="s">
        <v>55</v>
      </c>
      <c r="D3324" s="1" t="s">
        <v>695</v>
      </c>
      <c r="E3324" s="1" t="s">
        <v>501</v>
      </c>
      <c r="F3324" s="1" t="s">
        <v>502</v>
      </c>
      <c r="G3324" s="1" t="s">
        <v>404</v>
      </c>
      <c r="H3324" s="1">
        <v>756</v>
      </c>
      <c r="I3324" s="3">
        <v>46280</v>
      </c>
      <c r="J3324" s="3">
        <v>46283</v>
      </c>
      <c r="K3324" s="3" t="s">
        <v>2350</v>
      </c>
      <c r="L3324" s="31">
        <v>46280.570536724532</v>
      </c>
      <c r="M3324" s="20">
        <v>6</v>
      </c>
      <c r="N3324" s="1">
        <v>115</v>
      </c>
    </row>
    <row r="3325" spans="1:14" x14ac:dyDescent="0.25">
      <c r="A3325" t="str">
        <f t="shared" si="104"/>
        <v>H188973H188973</v>
      </c>
      <c r="B3325" t="str">
        <f t="shared" si="105"/>
        <v>H188973GC9060LL-M</v>
      </c>
      <c r="C3325" s="1" t="s">
        <v>55</v>
      </c>
      <c r="D3325" s="1" t="s">
        <v>695</v>
      </c>
      <c r="E3325" s="1" t="s">
        <v>501</v>
      </c>
      <c r="F3325" s="1" t="s">
        <v>502</v>
      </c>
      <c r="G3325" s="1" t="s">
        <v>404</v>
      </c>
      <c r="H3325" s="1">
        <v>756</v>
      </c>
      <c r="I3325" s="3">
        <v>46280</v>
      </c>
      <c r="J3325" s="3">
        <v>46283</v>
      </c>
      <c r="K3325" s="3" t="s">
        <v>2350</v>
      </c>
      <c r="L3325" s="31">
        <v>46280.570912037037</v>
      </c>
      <c r="M3325" s="20">
        <v>6</v>
      </c>
      <c r="N3325" s="1">
        <v>118</v>
      </c>
    </row>
    <row r="3326" spans="1:14" x14ac:dyDescent="0.25">
      <c r="A3326" t="str">
        <f t="shared" si="104"/>
        <v>H188973H188973</v>
      </c>
      <c r="B3326" t="str">
        <f t="shared" si="105"/>
        <v>H188973GC9060LL-M</v>
      </c>
      <c r="C3326" s="1" t="s">
        <v>55</v>
      </c>
      <c r="D3326" s="1" t="s">
        <v>695</v>
      </c>
      <c r="E3326" s="1" t="s">
        <v>501</v>
      </c>
      <c r="F3326" s="1" t="s">
        <v>502</v>
      </c>
      <c r="G3326" s="1" t="s">
        <v>404</v>
      </c>
      <c r="H3326" s="1">
        <v>756</v>
      </c>
      <c r="I3326" s="3">
        <v>46280</v>
      </c>
      <c r="J3326" s="3">
        <v>46283</v>
      </c>
      <c r="K3326" s="3" t="s">
        <v>2350</v>
      </c>
      <c r="L3326" s="31">
        <v>46280.572784641205</v>
      </c>
      <c r="M3326" s="20">
        <v>6</v>
      </c>
      <c r="N3326" s="1">
        <v>117</v>
      </c>
    </row>
    <row r="3327" spans="1:14" x14ac:dyDescent="0.25">
      <c r="A3327" t="str">
        <f t="shared" si="104"/>
        <v>H188973H188973</v>
      </c>
      <c r="B3327" t="str">
        <f t="shared" si="105"/>
        <v>H188973GC9060LL-M</v>
      </c>
      <c r="C3327" s="1" t="s">
        <v>55</v>
      </c>
      <c r="D3327" s="1" t="s">
        <v>695</v>
      </c>
      <c r="E3327" s="1" t="s">
        <v>501</v>
      </c>
      <c r="F3327" s="1" t="s">
        <v>502</v>
      </c>
      <c r="G3327" s="1" t="s">
        <v>404</v>
      </c>
      <c r="H3327" s="1">
        <v>756</v>
      </c>
      <c r="I3327" s="3">
        <v>46280</v>
      </c>
      <c r="J3327" s="3">
        <v>46283</v>
      </c>
      <c r="K3327" s="3" t="s">
        <v>2350</v>
      </c>
      <c r="L3327" s="31">
        <v>46280.573410729165</v>
      </c>
      <c r="M3327" s="20">
        <v>6</v>
      </c>
      <c r="N3327" s="1">
        <v>71</v>
      </c>
    </row>
    <row r="3328" spans="1:14" x14ac:dyDescent="0.25">
      <c r="A3328" t="str">
        <f t="shared" si="104"/>
        <v>H188973H188973</v>
      </c>
      <c r="B3328" t="str">
        <f t="shared" si="105"/>
        <v>H188973GC9060LL-M</v>
      </c>
      <c r="C3328" s="1" t="s">
        <v>55</v>
      </c>
      <c r="D3328" s="1" t="s">
        <v>695</v>
      </c>
      <c r="E3328" s="1" t="s">
        <v>501</v>
      </c>
      <c r="F3328" s="1" t="s">
        <v>502</v>
      </c>
      <c r="G3328" s="1" t="s">
        <v>404</v>
      </c>
      <c r="H3328" s="1">
        <v>756</v>
      </c>
      <c r="I3328" s="3">
        <v>46280</v>
      </c>
      <c r="J3328" s="3">
        <v>46283</v>
      </c>
      <c r="K3328" s="3" t="s">
        <v>2350</v>
      </c>
      <c r="L3328" s="31">
        <v>46280.592027812498</v>
      </c>
      <c r="M3328" s="20">
        <v>6</v>
      </c>
      <c r="N3328" s="1">
        <v>96</v>
      </c>
    </row>
    <row r="3329" spans="1:14" x14ac:dyDescent="0.25">
      <c r="A3329" t="str">
        <f t="shared" si="104"/>
        <v>H188973H188973</v>
      </c>
      <c r="B3329" t="str">
        <f t="shared" si="105"/>
        <v>H188973GC9060LL-M</v>
      </c>
      <c r="C3329" s="1" t="s">
        <v>55</v>
      </c>
      <c r="D3329" s="1" t="s">
        <v>695</v>
      </c>
      <c r="E3329" s="1" t="s">
        <v>501</v>
      </c>
      <c r="F3329" s="1" t="s">
        <v>502</v>
      </c>
      <c r="G3329" s="1" t="s">
        <v>404</v>
      </c>
      <c r="H3329" s="1">
        <v>756</v>
      </c>
      <c r="I3329" s="3">
        <v>46280</v>
      </c>
      <c r="J3329" s="3">
        <v>46283</v>
      </c>
      <c r="K3329" s="3" t="s">
        <v>2350</v>
      </c>
      <c r="L3329" s="31">
        <v>46280.592316469905</v>
      </c>
      <c r="M3329" s="20">
        <v>6</v>
      </c>
      <c r="N3329" s="1">
        <v>94</v>
      </c>
    </row>
    <row r="3330" spans="1:14" x14ac:dyDescent="0.25">
      <c r="A3330" t="str">
        <f t="shared" ref="A3330:A3393" si="106">+D3330&amp;D3330</f>
        <v>H188973H188973</v>
      </c>
      <c r="B3330" t="str">
        <f t="shared" ref="B3330:B3393" si="107">+D3330&amp;C3330</f>
        <v>H188973GC9060LL-M</v>
      </c>
      <c r="C3330" s="1" t="s">
        <v>55</v>
      </c>
      <c r="D3330" s="1" t="s">
        <v>695</v>
      </c>
      <c r="E3330" s="1" t="s">
        <v>501</v>
      </c>
      <c r="F3330" s="1" t="s">
        <v>502</v>
      </c>
      <c r="G3330" s="1" t="s">
        <v>404</v>
      </c>
      <c r="H3330" s="1">
        <v>756</v>
      </c>
      <c r="I3330" s="3">
        <v>46280</v>
      </c>
      <c r="J3330" s="3">
        <v>46283</v>
      </c>
      <c r="K3330" s="3" t="s">
        <v>2350</v>
      </c>
      <c r="L3330" s="31">
        <v>46280.592703472219</v>
      </c>
      <c r="M3330" s="20">
        <v>6</v>
      </c>
      <c r="N3330" s="1">
        <v>93</v>
      </c>
    </row>
    <row r="3331" spans="1:14" x14ac:dyDescent="0.25">
      <c r="A3331" t="str">
        <f t="shared" si="106"/>
        <v>H188973H188973</v>
      </c>
      <c r="B3331" t="str">
        <f t="shared" si="107"/>
        <v>H188973GC9060LL-M</v>
      </c>
      <c r="C3331" s="1" t="s">
        <v>55</v>
      </c>
      <c r="D3331" s="1" t="s">
        <v>695</v>
      </c>
      <c r="E3331" s="1" t="s">
        <v>501</v>
      </c>
      <c r="F3331" s="1" t="s">
        <v>502</v>
      </c>
      <c r="G3331" s="1" t="s">
        <v>404</v>
      </c>
      <c r="H3331" s="1">
        <v>756</v>
      </c>
      <c r="I3331" s="3">
        <v>46280</v>
      </c>
      <c r="J3331" s="3">
        <v>46283</v>
      </c>
      <c r="K3331" s="3" t="s">
        <v>2350</v>
      </c>
      <c r="L3331" s="31">
        <v>46280.592855555551</v>
      </c>
      <c r="M3331" s="20">
        <v>6</v>
      </c>
      <c r="N3331" s="1">
        <v>119</v>
      </c>
    </row>
    <row r="3332" spans="1:14" x14ac:dyDescent="0.25">
      <c r="A3332" t="str">
        <f t="shared" si="106"/>
        <v>H188973H188973</v>
      </c>
      <c r="B3332" t="str">
        <f t="shared" si="107"/>
        <v>H188973GC9060LL-M</v>
      </c>
      <c r="C3332" s="1" t="s">
        <v>55</v>
      </c>
      <c r="D3332" s="1" t="s">
        <v>695</v>
      </c>
      <c r="E3332" s="1" t="s">
        <v>501</v>
      </c>
      <c r="F3332" s="1" t="s">
        <v>502</v>
      </c>
      <c r="G3332" s="1" t="s">
        <v>404</v>
      </c>
      <c r="H3332" s="1">
        <v>756</v>
      </c>
      <c r="I3332" s="3">
        <v>46280</v>
      </c>
      <c r="J3332" s="3">
        <v>46283</v>
      </c>
      <c r="K3332" s="3" t="s">
        <v>2350</v>
      </c>
      <c r="L3332" s="31">
        <v>46280.593240046292</v>
      </c>
      <c r="M3332" s="20">
        <v>6</v>
      </c>
      <c r="N3332" s="1">
        <v>73</v>
      </c>
    </row>
    <row r="3333" spans="1:14" x14ac:dyDescent="0.25">
      <c r="A3333" t="str">
        <f t="shared" si="106"/>
        <v>H188973H188973</v>
      </c>
      <c r="B3333" t="str">
        <f t="shared" si="107"/>
        <v>H188973GC9060LL-M</v>
      </c>
      <c r="C3333" s="1" t="s">
        <v>55</v>
      </c>
      <c r="D3333" s="1" t="s">
        <v>695</v>
      </c>
      <c r="E3333" s="1" t="s">
        <v>501</v>
      </c>
      <c r="F3333" s="1" t="s">
        <v>502</v>
      </c>
      <c r="G3333" s="1" t="s">
        <v>404</v>
      </c>
      <c r="H3333" s="1">
        <v>756</v>
      </c>
      <c r="I3333" s="3">
        <v>46280</v>
      </c>
      <c r="J3333" s="3">
        <v>46283</v>
      </c>
      <c r="K3333" s="3" t="s">
        <v>2350</v>
      </c>
      <c r="L3333" s="31">
        <v>46280.59342164352</v>
      </c>
      <c r="M3333" s="20">
        <v>6</v>
      </c>
      <c r="N3333" s="1">
        <v>99</v>
      </c>
    </row>
    <row r="3334" spans="1:14" x14ac:dyDescent="0.25">
      <c r="A3334" t="str">
        <f t="shared" si="106"/>
        <v>H188973H188973</v>
      </c>
      <c r="B3334" t="str">
        <f t="shared" si="107"/>
        <v>H188973GC9060LL-M</v>
      </c>
      <c r="C3334" s="1" t="s">
        <v>55</v>
      </c>
      <c r="D3334" s="1" t="s">
        <v>695</v>
      </c>
      <c r="E3334" s="1" t="s">
        <v>501</v>
      </c>
      <c r="F3334" s="1" t="s">
        <v>502</v>
      </c>
      <c r="G3334" s="1" t="s">
        <v>404</v>
      </c>
      <c r="H3334" s="1">
        <v>756</v>
      </c>
      <c r="I3334" s="3">
        <v>46280</v>
      </c>
      <c r="J3334" s="3">
        <v>46283</v>
      </c>
      <c r="K3334" s="3" t="s">
        <v>2350</v>
      </c>
      <c r="L3334" s="31">
        <v>46280.593826388889</v>
      </c>
      <c r="M3334" s="20">
        <v>6</v>
      </c>
      <c r="N3334" s="1">
        <v>101</v>
      </c>
    </row>
    <row r="3335" spans="1:14" x14ac:dyDescent="0.25">
      <c r="A3335" t="str">
        <f t="shared" si="106"/>
        <v>H188973H188973</v>
      </c>
      <c r="B3335" t="str">
        <f t="shared" si="107"/>
        <v>H188973GC9060LL-M</v>
      </c>
      <c r="C3335" s="1" t="s">
        <v>55</v>
      </c>
      <c r="D3335" s="1" t="s">
        <v>695</v>
      </c>
      <c r="E3335" s="1" t="s">
        <v>501</v>
      </c>
      <c r="F3335" s="1" t="s">
        <v>502</v>
      </c>
      <c r="G3335" s="1" t="s">
        <v>404</v>
      </c>
      <c r="H3335" s="1">
        <v>756</v>
      </c>
      <c r="I3335" s="3">
        <v>46280</v>
      </c>
      <c r="J3335" s="3">
        <v>46283</v>
      </c>
      <c r="K3335" s="3" t="s">
        <v>2350</v>
      </c>
      <c r="L3335" s="31">
        <v>46280.594001192127</v>
      </c>
      <c r="M3335" s="20">
        <v>6</v>
      </c>
      <c r="N3335" s="1">
        <v>76</v>
      </c>
    </row>
    <row r="3336" spans="1:14" x14ac:dyDescent="0.25">
      <c r="A3336" t="str">
        <f t="shared" si="106"/>
        <v>H188973H188973</v>
      </c>
      <c r="B3336" t="str">
        <f t="shared" si="107"/>
        <v>H188973GC9060LL-M</v>
      </c>
      <c r="C3336" s="1" t="s">
        <v>55</v>
      </c>
      <c r="D3336" s="1" t="s">
        <v>695</v>
      </c>
      <c r="E3336" s="1" t="s">
        <v>501</v>
      </c>
      <c r="F3336" s="1" t="s">
        <v>502</v>
      </c>
      <c r="G3336" s="1" t="s">
        <v>404</v>
      </c>
      <c r="H3336" s="1">
        <v>756</v>
      </c>
      <c r="I3336" s="3">
        <v>46280</v>
      </c>
      <c r="J3336" s="3">
        <v>46283</v>
      </c>
      <c r="K3336" s="3" t="s">
        <v>2350</v>
      </c>
      <c r="L3336" s="31">
        <v>46280.594383067131</v>
      </c>
      <c r="M3336" s="20">
        <v>6</v>
      </c>
      <c r="N3336" s="1">
        <v>102</v>
      </c>
    </row>
    <row r="3337" spans="1:14" x14ac:dyDescent="0.25">
      <c r="A3337" t="str">
        <f t="shared" si="106"/>
        <v>H188973H188973</v>
      </c>
      <c r="B3337" t="str">
        <f t="shared" si="107"/>
        <v>H188973GC9060LL-M</v>
      </c>
      <c r="C3337" s="1" t="s">
        <v>55</v>
      </c>
      <c r="D3337" s="1" t="s">
        <v>695</v>
      </c>
      <c r="E3337" s="1" t="s">
        <v>501</v>
      </c>
      <c r="F3337" s="1" t="s">
        <v>502</v>
      </c>
      <c r="G3337" s="1" t="s">
        <v>404</v>
      </c>
      <c r="H3337" s="1">
        <v>756</v>
      </c>
      <c r="I3337" s="3">
        <v>46280</v>
      </c>
      <c r="J3337" s="3">
        <v>46283</v>
      </c>
      <c r="K3337" s="3" t="s">
        <v>2350</v>
      </c>
      <c r="L3337" s="31">
        <v>46280.594566550921</v>
      </c>
      <c r="M3337" s="20">
        <v>6</v>
      </c>
      <c r="N3337" s="1">
        <v>47</v>
      </c>
    </row>
    <row r="3338" spans="1:14" x14ac:dyDescent="0.25">
      <c r="A3338" t="str">
        <f t="shared" si="106"/>
        <v>H188973H188973</v>
      </c>
      <c r="B3338" t="str">
        <f t="shared" si="107"/>
        <v>H188973GC9060LL-M</v>
      </c>
      <c r="C3338" s="1" t="s">
        <v>55</v>
      </c>
      <c r="D3338" s="1" t="s">
        <v>695</v>
      </c>
      <c r="E3338" s="1" t="s">
        <v>501</v>
      </c>
      <c r="F3338" s="1" t="s">
        <v>502</v>
      </c>
      <c r="G3338" s="1" t="s">
        <v>404</v>
      </c>
      <c r="H3338" s="1">
        <v>756</v>
      </c>
      <c r="I3338" s="3">
        <v>46280</v>
      </c>
      <c r="J3338" s="3">
        <v>46283</v>
      </c>
      <c r="K3338" s="3" t="s">
        <v>2350</v>
      </c>
      <c r="L3338" s="31">
        <v>46280.595045023147</v>
      </c>
      <c r="M3338" s="20">
        <v>6</v>
      </c>
      <c r="N3338" s="1">
        <v>103</v>
      </c>
    </row>
    <row r="3339" spans="1:14" x14ac:dyDescent="0.25">
      <c r="A3339" t="str">
        <f t="shared" si="106"/>
        <v>H188973H188973</v>
      </c>
      <c r="B3339" t="str">
        <f t="shared" si="107"/>
        <v>H188973GC9060LL-M</v>
      </c>
      <c r="C3339" s="1" t="s">
        <v>55</v>
      </c>
      <c r="D3339" s="1" t="s">
        <v>695</v>
      </c>
      <c r="E3339" s="1" t="s">
        <v>501</v>
      </c>
      <c r="F3339" s="1" t="s">
        <v>502</v>
      </c>
      <c r="G3339" s="1" t="s">
        <v>404</v>
      </c>
      <c r="H3339" s="1">
        <v>756</v>
      </c>
      <c r="I3339" s="3">
        <v>46280</v>
      </c>
      <c r="J3339" s="3">
        <v>46283</v>
      </c>
      <c r="K3339" s="3" t="s">
        <v>2350</v>
      </c>
      <c r="L3339" s="31">
        <v>46280.595196215276</v>
      </c>
      <c r="M3339" s="20">
        <v>6</v>
      </c>
      <c r="N3339" s="1">
        <v>100</v>
      </c>
    </row>
    <row r="3340" spans="1:14" x14ac:dyDescent="0.25">
      <c r="A3340" t="str">
        <f t="shared" si="106"/>
        <v>H188973H188973</v>
      </c>
      <c r="B3340" t="str">
        <f t="shared" si="107"/>
        <v>H188973GC9060LL-M</v>
      </c>
      <c r="C3340" s="1" t="s">
        <v>55</v>
      </c>
      <c r="D3340" s="1" t="s">
        <v>695</v>
      </c>
      <c r="E3340" s="1" t="s">
        <v>501</v>
      </c>
      <c r="F3340" s="1" t="s">
        <v>502</v>
      </c>
      <c r="G3340" s="1" t="s">
        <v>404</v>
      </c>
      <c r="H3340" s="1">
        <v>756</v>
      </c>
      <c r="I3340" s="3">
        <v>46280</v>
      </c>
      <c r="J3340" s="3">
        <v>46283</v>
      </c>
      <c r="K3340" s="3" t="s">
        <v>2350</v>
      </c>
      <c r="L3340" s="31">
        <v>46280.59578668981</v>
      </c>
      <c r="M3340" s="20">
        <v>6</v>
      </c>
      <c r="N3340" s="1">
        <v>50</v>
      </c>
    </row>
    <row r="3341" spans="1:14" x14ac:dyDescent="0.25">
      <c r="A3341" t="str">
        <f t="shared" si="106"/>
        <v>H188973H188973</v>
      </c>
      <c r="B3341" t="str">
        <f t="shared" si="107"/>
        <v>H188973GC9060LL-M</v>
      </c>
      <c r="C3341" s="1" t="s">
        <v>55</v>
      </c>
      <c r="D3341" s="1" t="s">
        <v>695</v>
      </c>
      <c r="E3341" s="1" t="s">
        <v>501</v>
      </c>
      <c r="F3341" s="1" t="s">
        <v>502</v>
      </c>
      <c r="G3341" s="1" t="s">
        <v>404</v>
      </c>
      <c r="H3341" s="1">
        <v>756</v>
      </c>
      <c r="I3341" s="3">
        <v>46280</v>
      </c>
      <c r="J3341" s="3">
        <v>46283</v>
      </c>
      <c r="K3341" s="3" t="s">
        <v>2350</v>
      </c>
      <c r="L3341" s="31">
        <v>46280.595989895832</v>
      </c>
      <c r="M3341" s="20">
        <v>6</v>
      </c>
      <c r="N3341" s="1">
        <v>49</v>
      </c>
    </row>
    <row r="3342" spans="1:14" x14ac:dyDescent="0.25">
      <c r="A3342" t="str">
        <f t="shared" si="106"/>
        <v>H188973H188973</v>
      </c>
      <c r="B3342" t="str">
        <f t="shared" si="107"/>
        <v>H188973GC9060LL-M</v>
      </c>
      <c r="C3342" s="1" t="s">
        <v>55</v>
      </c>
      <c r="D3342" s="1" t="s">
        <v>695</v>
      </c>
      <c r="E3342" s="1" t="s">
        <v>501</v>
      </c>
      <c r="F3342" s="1" t="s">
        <v>502</v>
      </c>
      <c r="G3342" s="1" t="s">
        <v>404</v>
      </c>
      <c r="H3342" s="1">
        <v>756</v>
      </c>
      <c r="I3342" s="3">
        <v>46280</v>
      </c>
      <c r="J3342" s="3">
        <v>46283</v>
      </c>
      <c r="K3342" s="3" t="s">
        <v>2350</v>
      </c>
      <c r="L3342" s="31">
        <v>46280.608636423611</v>
      </c>
      <c r="M3342" s="20">
        <v>6</v>
      </c>
      <c r="N3342" s="1">
        <v>74</v>
      </c>
    </row>
    <row r="3343" spans="1:14" x14ac:dyDescent="0.25">
      <c r="A3343" t="str">
        <f t="shared" si="106"/>
        <v>H188973H188973</v>
      </c>
      <c r="B3343" t="str">
        <f t="shared" si="107"/>
        <v>H188973GC9060LL-M</v>
      </c>
      <c r="C3343" s="1" t="s">
        <v>55</v>
      </c>
      <c r="D3343" s="1" t="s">
        <v>695</v>
      </c>
      <c r="E3343" s="1" t="s">
        <v>501</v>
      </c>
      <c r="F3343" s="1" t="s">
        <v>502</v>
      </c>
      <c r="G3343" s="1" t="s">
        <v>404</v>
      </c>
      <c r="H3343" s="1">
        <v>756</v>
      </c>
      <c r="I3343" s="3">
        <v>46280</v>
      </c>
      <c r="J3343" s="3">
        <v>46283</v>
      </c>
      <c r="K3343" s="3" t="s">
        <v>2350</v>
      </c>
      <c r="L3343" s="31">
        <v>46280.609059143513</v>
      </c>
      <c r="M3343" s="20">
        <v>6</v>
      </c>
      <c r="N3343" s="1">
        <v>98</v>
      </c>
    </row>
    <row r="3344" spans="1:14" x14ac:dyDescent="0.25">
      <c r="A3344" t="str">
        <f t="shared" si="106"/>
        <v>H188973H188973</v>
      </c>
      <c r="B3344" t="str">
        <f t="shared" si="107"/>
        <v>H188973GC9060LL-M</v>
      </c>
      <c r="C3344" s="1" t="s">
        <v>55</v>
      </c>
      <c r="D3344" s="1" t="s">
        <v>695</v>
      </c>
      <c r="E3344" s="1" t="s">
        <v>501</v>
      </c>
      <c r="F3344" s="1" t="s">
        <v>502</v>
      </c>
      <c r="G3344" s="1" t="s">
        <v>404</v>
      </c>
      <c r="H3344" s="1">
        <v>756</v>
      </c>
      <c r="I3344" s="3">
        <v>46280</v>
      </c>
      <c r="J3344" s="3">
        <v>46283</v>
      </c>
      <c r="K3344" s="3" t="s">
        <v>2350</v>
      </c>
      <c r="L3344" s="31">
        <v>46280.609672418977</v>
      </c>
      <c r="M3344" s="20">
        <v>6</v>
      </c>
      <c r="N3344" s="1">
        <v>121</v>
      </c>
    </row>
    <row r="3345" spans="1:14" x14ac:dyDescent="0.25">
      <c r="A3345" t="str">
        <f t="shared" si="106"/>
        <v>H188973H188973</v>
      </c>
      <c r="B3345" t="str">
        <f t="shared" si="107"/>
        <v>H188973GC9060LL-M</v>
      </c>
      <c r="C3345" s="1" t="s">
        <v>55</v>
      </c>
      <c r="D3345" s="1" t="s">
        <v>695</v>
      </c>
      <c r="E3345" s="1" t="s">
        <v>501</v>
      </c>
      <c r="F3345" s="1" t="s">
        <v>502</v>
      </c>
      <c r="G3345" s="1" t="s">
        <v>404</v>
      </c>
      <c r="H3345" s="1">
        <v>756</v>
      </c>
      <c r="I3345" s="3">
        <v>46280</v>
      </c>
      <c r="J3345" s="3">
        <v>46283</v>
      </c>
      <c r="K3345" s="3" t="s">
        <v>2350</v>
      </c>
      <c r="L3345" s="31">
        <v>46280.610128391199</v>
      </c>
      <c r="M3345" s="20">
        <v>6</v>
      </c>
      <c r="N3345" s="1">
        <v>48</v>
      </c>
    </row>
    <row r="3346" spans="1:14" x14ac:dyDescent="0.25">
      <c r="A3346" t="str">
        <f t="shared" si="106"/>
        <v>H188973H188973</v>
      </c>
      <c r="B3346" t="str">
        <f t="shared" si="107"/>
        <v>H188973GC9060LL-M</v>
      </c>
      <c r="C3346" s="1" t="s">
        <v>55</v>
      </c>
      <c r="D3346" s="1" t="s">
        <v>695</v>
      </c>
      <c r="E3346" s="1" t="s">
        <v>501</v>
      </c>
      <c r="F3346" s="1" t="s">
        <v>502</v>
      </c>
      <c r="G3346" s="1" t="s">
        <v>404</v>
      </c>
      <c r="H3346" s="1">
        <v>756</v>
      </c>
      <c r="I3346" s="3">
        <v>46280</v>
      </c>
      <c r="J3346" s="3">
        <v>46283</v>
      </c>
      <c r="K3346" s="3" t="s">
        <v>2350</v>
      </c>
      <c r="L3346" s="31">
        <v>46280.610258530091</v>
      </c>
      <c r="M3346" s="20">
        <v>6</v>
      </c>
      <c r="N3346" s="1">
        <v>51</v>
      </c>
    </row>
    <row r="3347" spans="1:14" x14ac:dyDescent="0.25">
      <c r="A3347" t="str">
        <f t="shared" si="106"/>
        <v>H188973H188973</v>
      </c>
      <c r="B3347" t="str">
        <f t="shared" si="107"/>
        <v>H188973GC9060LL-M</v>
      </c>
      <c r="C3347" s="1" t="s">
        <v>55</v>
      </c>
      <c r="D3347" s="1" t="s">
        <v>695</v>
      </c>
      <c r="E3347" s="1" t="s">
        <v>501</v>
      </c>
      <c r="F3347" s="1" t="s">
        <v>502</v>
      </c>
      <c r="G3347" s="1" t="s">
        <v>404</v>
      </c>
      <c r="H3347" s="1">
        <v>756</v>
      </c>
      <c r="I3347" s="3">
        <v>46280</v>
      </c>
      <c r="J3347" s="3">
        <v>46283</v>
      </c>
      <c r="K3347" s="3" t="s">
        <v>2350</v>
      </c>
      <c r="L3347" s="31">
        <v>46280.610798993053</v>
      </c>
      <c r="M3347" s="20">
        <v>6</v>
      </c>
      <c r="N3347" s="1">
        <v>95</v>
      </c>
    </row>
    <row r="3348" spans="1:14" x14ac:dyDescent="0.25">
      <c r="A3348" t="str">
        <f t="shared" si="106"/>
        <v>H188973H188973</v>
      </c>
      <c r="B3348" t="str">
        <f t="shared" si="107"/>
        <v>H188973GC9060LL-M</v>
      </c>
      <c r="C3348" s="1" t="s">
        <v>55</v>
      </c>
      <c r="D3348" s="1" t="s">
        <v>695</v>
      </c>
      <c r="E3348" s="1" t="s">
        <v>501</v>
      </c>
      <c r="F3348" s="1" t="s">
        <v>502</v>
      </c>
      <c r="G3348" s="1" t="s">
        <v>404</v>
      </c>
      <c r="H3348" s="1">
        <v>756</v>
      </c>
      <c r="I3348" s="3">
        <v>46280</v>
      </c>
      <c r="J3348" s="3">
        <v>46283</v>
      </c>
      <c r="K3348" s="3" t="s">
        <v>2350</v>
      </c>
      <c r="L3348" s="31">
        <v>46280.622951655088</v>
      </c>
      <c r="M3348" s="20">
        <v>6</v>
      </c>
      <c r="N3348" s="1">
        <v>52</v>
      </c>
    </row>
    <row r="3349" spans="1:14" x14ac:dyDescent="0.25">
      <c r="A3349" t="str">
        <f t="shared" si="106"/>
        <v>H188973H188973</v>
      </c>
      <c r="B3349" t="str">
        <f t="shared" si="107"/>
        <v>H188973GC9060LL-M</v>
      </c>
      <c r="C3349" s="1" t="s">
        <v>55</v>
      </c>
      <c r="D3349" s="1" t="s">
        <v>695</v>
      </c>
      <c r="E3349" s="1" t="s">
        <v>501</v>
      </c>
      <c r="F3349" s="1" t="s">
        <v>502</v>
      </c>
      <c r="G3349" s="1" t="s">
        <v>404</v>
      </c>
      <c r="H3349" s="1">
        <v>756</v>
      </c>
      <c r="I3349" s="3">
        <v>46280</v>
      </c>
      <c r="J3349" s="3">
        <v>46283</v>
      </c>
      <c r="K3349" s="3" t="s">
        <v>2350</v>
      </c>
      <c r="L3349" s="31">
        <v>46280.623300613421</v>
      </c>
      <c r="M3349" s="20">
        <v>6</v>
      </c>
      <c r="N3349" s="1">
        <v>107</v>
      </c>
    </row>
    <row r="3350" spans="1:14" x14ac:dyDescent="0.25">
      <c r="A3350" t="str">
        <f t="shared" si="106"/>
        <v>H188973H188973</v>
      </c>
      <c r="B3350" t="str">
        <f t="shared" si="107"/>
        <v>H188973GC9060LL-M</v>
      </c>
      <c r="C3350" s="1" t="s">
        <v>55</v>
      </c>
      <c r="D3350" s="1" t="s">
        <v>695</v>
      </c>
      <c r="E3350" s="1" t="s">
        <v>501</v>
      </c>
      <c r="F3350" s="1" t="s">
        <v>502</v>
      </c>
      <c r="G3350" s="1" t="s">
        <v>404</v>
      </c>
      <c r="H3350" s="1">
        <v>756</v>
      </c>
      <c r="I3350" s="3">
        <v>46280</v>
      </c>
      <c r="J3350" s="3">
        <v>46283</v>
      </c>
      <c r="K3350" s="3" t="s">
        <v>2350</v>
      </c>
      <c r="L3350" s="31">
        <v>46280.623600347222</v>
      </c>
      <c r="M3350" s="20">
        <v>6</v>
      </c>
      <c r="N3350" s="1">
        <v>104</v>
      </c>
    </row>
    <row r="3351" spans="1:14" x14ac:dyDescent="0.25">
      <c r="A3351" t="str">
        <f t="shared" si="106"/>
        <v>H188973H188973</v>
      </c>
      <c r="B3351" t="str">
        <f t="shared" si="107"/>
        <v>H188973GC9060LL-M</v>
      </c>
      <c r="C3351" s="1" t="s">
        <v>55</v>
      </c>
      <c r="D3351" s="1" t="s">
        <v>695</v>
      </c>
      <c r="E3351" s="1" t="s">
        <v>501</v>
      </c>
      <c r="F3351" s="1" t="s">
        <v>502</v>
      </c>
      <c r="G3351" s="1" t="s">
        <v>404</v>
      </c>
      <c r="H3351" s="1">
        <v>756</v>
      </c>
      <c r="I3351" s="3">
        <v>46280</v>
      </c>
      <c r="J3351" s="3">
        <v>46283</v>
      </c>
      <c r="K3351" s="3" t="s">
        <v>2350</v>
      </c>
      <c r="L3351" s="31">
        <v>46280.62539927083</v>
      </c>
      <c r="M3351" s="20">
        <v>6</v>
      </c>
      <c r="N3351" s="1">
        <v>53</v>
      </c>
    </row>
    <row r="3352" spans="1:14" x14ac:dyDescent="0.25">
      <c r="A3352" t="str">
        <f t="shared" si="106"/>
        <v>H188973H188973</v>
      </c>
      <c r="B3352" t="str">
        <f t="shared" si="107"/>
        <v>H188973GC9060LL-M</v>
      </c>
      <c r="C3352" s="1" t="s">
        <v>55</v>
      </c>
      <c r="D3352" s="1" t="s">
        <v>695</v>
      </c>
      <c r="E3352" s="1" t="s">
        <v>501</v>
      </c>
      <c r="F3352" s="1" t="s">
        <v>502</v>
      </c>
      <c r="G3352" s="1" t="s">
        <v>404</v>
      </c>
      <c r="H3352" s="1">
        <v>756</v>
      </c>
      <c r="I3352" s="3">
        <v>46280</v>
      </c>
      <c r="J3352" s="3">
        <v>46283</v>
      </c>
      <c r="K3352" s="3" t="s">
        <v>2350</v>
      </c>
      <c r="L3352" s="31">
        <v>46280.627895798607</v>
      </c>
      <c r="M3352" s="20">
        <v>6</v>
      </c>
      <c r="N3352" s="1">
        <v>126</v>
      </c>
    </row>
    <row r="3353" spans="1:14" x14ac:dyDescent="0.25">
      <c r="A3353" t="str">
        <f t="shared" si="106"/>
        <v>H188973H188973</v>
      </c>
      <c r="B3353" t="str">
        <f t="shared" si="107"/>
        <v>H188973GC9060LL-M</v>
      </c>
      <c r="C3353" s="1" t="s">
        <v>55</v>
      </c>
      <c r="D3353" s="1" t="s">
        <v>695</v>
      </c>
      <c r="E3353" s="1" t="s">
        <v>501</v>
      </c>
      <c r="F3353" s="1" t="s">
        <v>502</v>
      </c>
      <c r="G3353" s="1" t="s">
        <v>404</v>
      </c>
      <c r="H3353" s="1">
        <v>756</v>
      </c>
      <c r="I3353" s="3">
        <v>46280</v>
      </c>
      <c r="J3353" s="3">
        <v>46283</v>
      </c>
      <c r="K3353" s="3" t="s">
        <v>2350</v>
      </c>
      <c r="L3353" s="31">
        <v>46280.628472766199</v>
      </c>
      <c r="M3353" s="20">
        <v>6</v>
      </c>
      <c r="N3353" s="1">
        <v>54</v>
      </c>
    </row>
    <row r="3354" spans="1:14" x14ac:dyDescent="0.25">
      <c r="A3354" t="str">
        <f t="shared" si="106"/>
        <v>H188973H188973</v>
      </c>
      <c r="B3354" t="str">
        <f t="shared" si="107"/>
        <v>H188973GC9060LL-M</v>
      </c>
      <c r="C3354" s="1" t="s">
        <v>55</v>
      </c>
      <c r="D3354" s="1" t="s">
        <v>695</v>
      </c>
      <c r="E3354" s="1" t="s">
        <v>501</v>
      </c>
      <c r="F3354" s="1" t="s">
        <v>502</v>
      </c>
      <c r="G3354" s="1" t="s">
        <v>404</v>
      </c>
      <c r="H3354" s="1">
        <v>756</v>
      </c>
      <c r="I3354" s="3">
        <v>46280</v>
      </c>
      <c r="J3354" s="3">
        <v>46283</v>
      </c>
      <c r="K3354" s="3" t="s">
        <v>2350</v>
      </c>
      <c r="L3354" s="31">
        <v>46280.631694826385</v>
      </c>
      <c r="M3354" s="20">
        <v>6</v>
      </c>
      <c r="N3354" s="1">
        <v>105</v>
      </c>
    </row>
    <row r="3355" spans="1:14" x14ac:dyDescent="0.25">
      <c r="A3355" t="str">
        <f t="shared" si="106"/>
        <v>H188973H188973</v>
      </c>
      <c r="B3355" t="str">
        <f t="shared" si="107"/>
        <v>H188973GC9060LL-M</v>
      </c>
      <c r="C3355" s="1" t="s">
        <v>55</v>
      </c>
      <c r="D3355" s="1" t="s">
        <v>695</v>
      </c>
      <c r="E3355" s="1" t="s">
        <v>501</v>
      </c>
      <c r="F3355" s="1" t="s">
        <v>502</v>
      </c>
      <c r="G3355" s="1" t="s">
        <v>404</v>
      </c>
      <c r="H3355" s="1">
        <v>756</v>
      </c>
      <c r="I3355" s="3">
        <v>46280</v>
      </c>
      <c r="J3355" s="3">
        <v>46283</v>
      </c>
      <c r="K3355" s="3" t="s">
        <v>2350</v>
      </c>
      <c r="L3355" s="31">
        <v>46280.632393020831</v>
      </c>
      <c r="M3355" s="20">
        <v>6</v>
      </c>
      <c r="N3355" s="1">
        <v>106</v>
      </c>
    </row>
    <row r="3356" spans="1:14" x14ac:dyDescent="0.25">
      <c r="A3356" t="str">
        <f t="shared" si="106"/>
        <v>H188973H188973</v>
      </c>
      <c r="B3356" t="str">
        <f t="shared" si="107"/>
        <v>H188973GC9060LL-M</v>
      </c>
      <c r="C3356" s="1" t="s">
        <v>55</v>
      </c>
      <c r="D3356" s="1" t="s">
        <v>695</v>
      </c>
      <c r="E3356" s="1" t="s">
        <v>501</v>
      </c>
      <c r="F3356" s="1" t="s">
        <v>502</v>
      </c>
      <c r="G3356" s="1" t="s">
        <v>404</v>
      </c>
      <c r="H3356" s="1">
        <v>756</v>
      </c>
      <c r="I3356" s="3">
        <v>46280</v>
      </c>
      <c r="J3356" s="3">
        <v>46283</v>
      </c>
      <c r="K3356" s="3" t="s">
        <v>2350</v>
      </c>
      <c r="L3356" s="31">
        <v>46280.633338194442</v>
      </c>
      <c r="M3356" s="20">
        <v>6</v>
      </c>
      <c r="N3356" s="1">
        <v>120</v>
      </c>
    </row>
    <row r="3357" spans="1:14" x14ac:dyDescent="0.25">
      <c r="A3357" t="str">
        <f t="shared" si="106"/>
        <v>H188973H188973</v>
      </c>
      <c r="B3357" t="str">
        <f t="shared" si="107"/>
        <v>H188973GC9060LL-M</v>
      </c>
      <c r="C3357" s="1" t="s">
        <v>55</v>
      </c>
      <c r="D3357" s="1" t="s">
        <v>695</v>
      </c>
      <c r="E3357" s="1" t="s">
        <v>501</v>
      </c>
      <c r="F3357" s="1" t="s">
        <v>502</v>
      </c>
      <c r="G3357" s="1" t="s">
        <v>404</v>
      </c>
      <c r="H3357" s="1">
        <v>756</v>
      </c>
      <c r="I3357" s="3">
        <v>46280</v>
      </c>
      <c r="J3357" s="3">
        <v>46283</v>
      </c>
      <c r="K3357" s="3" t="s">
        <v>2350</v>
      </c>
      <c r="L3357" s="31">
        <v>46280.633683414351</v>
      </c>
      <c r="M3357" s="20">
        <v>6</v>
      </c>
      <c r="N3357" s="1">
        <v>108</v>
      </c>
    </row>
    <row r="3358" spans="1:14" x14ac:dyDescent="0.25">
      <c r="A3358" t="str">
        <f t="shared" si="106"/>
        <v>H188973H188973</v>
      </c>
      <c r="B3358" t="str">
        <f t="shared" si="107"/>
        <v>H188973GC9060LL-M</v>
      </c>
      <c r="C3358" s="1" t="s">
        <v>55</v>
      </c>
      <c r="D3358" s="1" t="s">
        <v>695</v>
      </c>
      <c r="E3358" s="1" t="s">
        <v>501</v>
      </c>
      <c r="F3358" s="1" t="s">
        <v>502</v>
      </c>
      <c r="G3358" s="1" t="s">
        <v>404</v>
      </c>
      <c r="H3358" s="1">
        <v>756</v>
      </c>
      <c r="I3358" s="3">
        <v>46280</v>
      </c>
      <c r="J3358" s="3">
        <v>46283</v>
      </c>
      <c r="K3358" s="3" t="s">
        <v>2350</v>
      </c>
      <c r="L3358" s="31">
        <v>46280.634075231479</v>
      </c>
      <c r="M3358" s="20">
        <v>6</v>
      </c>
      <c r="N3358" s="1">
        <v>77</v>
      </c>
    </row>
    <row r="3359" spans="1:14" x14ac:dyDescent="0.25">
      <c r="A3359" t="str">
        <f t="shared" si="106"/>
        <v>H188973H188973</v>
      </c>
      <c r="B3359" t="str">
        <f t="shared" si="107"/>
        <v>H188973GC9060LL-M</v>
      </c>
      <c r="C3359" s="1" t="s">
        <v>55</v>
      </c>
      <c r="D3359" s="1" t="s">
        <v>695</v>
      </c>
      <c r="E3359" s="1" t="s">
        <v>501</v>
      </c>
      <c r="F3359" s="1" t="s">
        <v>502</v>
      </c>
      <c r="G3359" s="1" t="s">
        <v>404</v>
      </c>
      <c r="H3359" s="1">
        <v>756</v>
      </c>
      <c r="I3359" s="3">
        <v>46280</v>
      </c>
      <c r="J3359" s="3">
        <v>46283</v>
      </c>
      <c r="K3359" s="3" t="s">
        <v>2350</v>
      </c>
      <c r="L3359" s="31">
        <v>46280.634460335648</v>
      </c>
      <c r="M3359" s="20">
        <v>6</v>
      </c>
      <c r="N3359" s="1">
        <v>80</v>
      </c>
    </row>
    <row r="3360" spans="1:14" x14ac:dyDescent="0.25">
      <c r="A3360" t="str">
        <f t="shared" si="106"/>
        <v>H188973H188973</v>
      </c>
      <c r="B3360" t="str">
        <f t="shared" si="107"/>
        <v>H188973GC9060LL-M</v>
      </c>
      <c r="C3360" s="1" t="s">
        <v>55</v>
      </c>
      <c r="D3360" s="1" t="s">
        <v>695</v>
      </c>
      <c r="E3360" s="1" t="s">
        <v>501</v>
      </c>
      <c r="F3360" s="1" t="s">
        <v>502</v>
      </c>
      <c r="G3360" s="1" t="s">
        <v>404</v>
      </c>
      <c r="H3360" s="1">
        <v>756</v>
      </c>
      <c r="I3360" s="3">
        <v>46280</v>
      </c>
      <c r="J3360" s="3">
        <v>46283</v>
      </c>
      <c r="K3360" s="3" t="s">
        <v>2350</v>
      </c>
      <c r="L3360" s="31">
        <v>46280.635369247684</v>
      </c>
      <c r="M3360" s="20">
        <v>6</v>
      </c>
      <c r="N3360" s="1">
        <v>124</v>
      </c>
    </row>
    <row r="3361" spans="1:14" x14ac:dyDescent="0.25">
      <c r="A3361" t="str">
        <f t="shared" si="106"/>
        <v>H188973H188973</v>
      </c>
      <c r="B3361" t="str">
        <f t="shared" si="107"/>
        <v>H188973GC9060LL-M</v>
      </c>
      <c r="C3361" s="1" t="s">
        <v>55</v>
      </c>
      <c r="D3361" s="1" t="s">
        <v>695</v>
      </c>
      <c r="E3361" s="1" t="s">
        <v>501</v>
      </c>
      <c r="F3361" s="1" t="s">
        <v>502</v>
      </c>
      <c r="G3361" s="1" t="s">
        <v>404</v>
      </c>
      <c r="H3361" s="1">
        <v>756</v>
      </c>
      <c r="I3361" s="3">
        <v>46280</v>
      </c>
      <c r="J3361" s="3">
        <v>46283</v>
      </c>
      <c r="K3361" s="3" t="s">
        <v>2350</v>
      </c>
      <c r="L3361" s="31">
        <v>46280.635744444444</v>
      </c>
      <c r="M3361" s="20">
        <v>6</v>
      </c>
      <c r="N3361" s="1">
        <v>125</v>
      </c>
    </row>
    <row r="3362" spans="1:14" x14ac:dyDescent="0.25">
      <c r="A3362" t="str">
        <f t="shared" si="106"/>
        <v>H188973H188973</v>
      </c>
      <c r="B3362" t="str">
        <f t="shared" si="107"/>
        <v>H188973GC9060LL-M</v>
      </c>
      <c r="C3362" s="1" t="s">
        <v>55</v>
      </c>
      <c r="D3362" s="1" t="s">
        <v>695</v>
      </c>
      <c r="E3362" s="1" t="s">
        <v>501</v>
      </c>
      <c r="F3362" s="1" t="s">
        <v>502</v>
      </c>
      <c r="G3362" s="1" t="s">
        <v>404</v>
      </c>
      <c r="H3362" s="1">
        <v>756</v>
      </c>
      <c r="I3362" s="3">
        <v>46280</v>
      </c>
      <c r="J3362" s="3">
        <v>46283</v>
      </c>
      <c r="K3362" s="3" t="s">
        <v>2350</v>
      </c>
      <c r="L3362" s="31">
        <v>46280.648963738422</v>
      </c>
      <c r="M3362" s="20">
        <v>6</v>
      </c>
      <c r="N3362" s="1">
        <v>78</v>
      </c>
    </row>
    <row r="3363" spans="1:14" x14ac:dyDescent="0.25">
      <c r="A3363" t="str">
        <f t="shared" si="106"/>
        <v>H188973H188973</v>
      </c>
      <c r="B3363" t="str">
        <f t="shared" si="107"/>
        <v>H188973GC9060LL-M</v>
      </c>
      <c r="C3363" s="1" t="s">
        <v>55</v>
      </c>
      <c r="D3363" s="1" t="s">
        <v>695</v>
      </c>
      <c r="E3363" s="1" t="s">
        <v>501</v>
      </c>
      <c r="F3363" s="1" t="s">
        <v>502</v>
      </c>
      <c r="G3363" s="1" t="s">
        <v>404</v>
      </c>
      <c r="H3363" s="1">
        <v>756</v>
      </c>
      <c r="I3363" s="3">
        <v>46280</v>
      </c>
      <c r="J3363" s="3">
        <v>46283</v>
      </c>
      <c r="K3363" s="3" t="s">
        <v>2350</v>
      </c>
      <c r="L3363" s="31">
        <v>46280.651310150461</v>
      </c>
      <c r="M3363" s="20">
        <v>6</v>
      </c>
      <c r="N3363" s="1">
        <v>39</v>
      </c>
    </row>
    <row r="3364" spans="1:14" x14ac:dyDescent="0.25">
      <c r="A3364" t="str">
        <f t="shared" si="106"/>
        <v>H188973H188973</v>
      </c>
      <c r="B3364" t="str">
        <f t="shared" si="107"/>
        <v>H188973GC9060LL-M</v>
      </c>
      <c r="C3364" s="1" t="s">
        <v>55</v>
      </c>
      <c r="D3364" s="1" t="s">
        <v>695</v>
      </c>
      <c r="E3364" s="1" t="s">
        <v>501</v>
      </c>
      <c r="F3364" s="1" t="s">
        <v>502</v>
      </c>
      <c r="G3364" s="1" t="s">
        <v>404</v>
      </c>
      <c r="H3364" s="1">
        <v>756</v>
      </c>
      <c r="I3364" s="3">
        <v>46280</v>
      </c>
      <c r="J3364" s="3">
        <v>46283</v>
      </c>
      <c r="K3364" s="3" t="s">
        <v>2350</v>
      </c>
      <c r="L3364" s="31">
        <v>46280.651803090273</v>
      </c>
      <c r="M3364" s="20">
        <v>6</v>
      </c>
      <c r="N3364" s="1">
        <v>109</v>
      </c>
    </row>
    <row r="3365" spans="1:14" x14ac:dyDescent="0.25">
      <c r="A3365" t="str">
        <f t="shared" si="106"/>
        <v>H188973H188973</v>
      </c>
      <c r="B3365" t="str">
        <f t="shared" si="107"/>
        <v>H188973GC9060LL-M</v>
      </c>
      <c r="C3365" s="1" t="s">
        <v>55</v>
      </c>
      <c r="D3365" s="1" t="s">
        <v>695</v>
      </c>
      <c r="E3365" s="1" t="s">
        <v>501</v>
      </c>
      <c r="F3365" s="1" t="s">
        <v>502</v>
      </c>
      <c r="G3365" s="1" t="s">
        <v>404</v>
      </c>
      <c r="H3365" s="1">
        <v>756</v>
      </c>
      <c r="I3365" s="3">
        <v>46280</v>
      </c>
      <c r="J3365" s="3">
        <v>46283</v>
      </c>
      <c r="K3365" s="3" t="s">
        <v>2350</v>
      </c>
      <c r="L3365" s="31">
        <v>46280.652059027772</v>
      </c>
      <c r="M3365" s="20">
        <v>6</v>
      </c>
      <c r="N3365" s="1">
        <v>29</v>
      </c>
    </row>
    <row r="3366" spans="1:14" x14ac:dyDescent="0.25">
      <c r="A3366" t="str">
        <f t="shared" si="106"/>
        <v>H188973H188973</v>
      </c>
      <c r="B3366" t="str">
        <f t="shared" si="107"/>
        <v>H188973GC9060LL-M</v>
      </c>
      <c r="C3366" s="1" t="s">
        <v>55</v>
      </c>
      <c r="D3366" s="1" t="s">
        <v>695</v>
      </c>
      <c r="E3366" s="1" t="s">
        <v>501</v>
      </c>
      <c r="F3366" s="1" t="s">
        <v>502</v>
      </c>
      <c r="G3366" s="1" t="s">
        <v>404</v>
      </c>
      <c r="H3366" s="1">
        <v>756</v>
      </c>
      <c r="I3366" s="3">
        <v>46280</v>
      </c>
      <c r="J3366" s="3">
        <v>46283</v>
      </c>
      <c r="K3366" s="3" t="s">
        <v>2350</v>
      </c>
      <c r="L3366" s="31">
        <v>46280.652379317129</v>
      </c>
      <c r="M3366" s="20">
        <v>6</v>
      </c>
      <c r="N3366" s="1">
        <v>82</v>
      </c>
    </row>
    <row r="3367" spans="1:14" x14ac:dyDescent="0.25">
      <c r="A3367" t="str">
        <f t="shared" si="106"/>
        <v>H188973H188973</v>
      </c>
      <c r="B3367" t="str">
        <f t="shared" si="107"/>
        <v>H188973GC9060LL-M</v>
      </c>
      <c r="C3367" s="1" t="s">
        <v>55</v>
      </c>
      <c r="D3367" s="1" t="s">
        <v>695</v>
      </c>
      <c r="E3367" s="1" t="s">
        <v>501</v>
      </c>
      <c r="F3367" s="1" t="s">
        <v>502</v>
      </c>
      <c r="G3367" s="1" t="s">
        <v>404</v>
      </c>
      <c r="H3367" s="1">
        <v>756</v>
      </c>
      <c r="I3367" s="3">
        <v>46280</v>
      </c>
      <c r="J3367" s="3">
        <v>46283</v>
      </c>
      <c r="K3367" s="3" t="s">
        <v>2350</v>
      </c>
      <c r="L3367" s="31">
        <v>46280.652551423613</v>
      </c>
      <c r="M3367" s="20">
        <v>6</v>
      </c>
      <c r="N3367" s="1">
        <v>79</v>
      </c>
    </row>
    <row r="3368" spans="1:14" x14ac:dyDescent="0.25">
      <c r="A3368" t="str">
        <f t="shared" si="106"/>
        <v>H188973H188973</v>
      </c>
      <c r="B3368" t="str">
        <f t="shared" si="107"/>
        <v>H188973GC9060LL-M</v>
      </c>
      <c r="C3368" s="1" t="s">
        <v>55</v>
      </c>
      <c r="D3368" s="1" t="s">
        <v>695</v>
      </c>
      <c r="E3368" s="1" t="s">
        <v>501</v>
      </c>
      <c r="F3368" s="1" t="s">
        <v>502</v>
      </c>
      <c r="G3368" s="1" t="s">
        <v>404</v>
      </c>
      <c r="H3368" s="1">
        <v>756</v>
      </c>
      <c r="I3368" s="3">
        <v>46280</v>
      </c>
      <c r="J3368" s="3">
        <v>46283</v>
      </c>
      <c r="K3368" s="3" t="s">
        <v>2350</v>
      </c>
      <c r="L3368" s="31">
        <v>46280.659951388887</v>
      </c>
      <c r="M3368" s="20">
        <v>6</v>
      </c>
      <c r="N3368" s="1">
        <v>56</v>
      </c>
    </row>
    <row r="3369" spans="1:14" x14ac:dyDescent="0.25">
      <c r="A3369" t="str">
        <f t="shared" si="106"/>
        <v>H188973H188973</v>
      </c>
      <c r="B3369" t="str">
        <f t="shared" si="107"/>
        <v>H188973GC9060LL-M</v>
      </c>
      <c r="C3369" s="1" t="s">
        <v>55</v>
      </c>
      <c r="D3369" s="1" t="s">
        <v>695</v>
      </c>
      <c r="E3369" s="1" t="s">
        <v>501</v>
      </c>
      <c r="F3369" s="1" t="s">
        <v>502</v>
      </c>
      <c r="G3369" s="1" t="s">
        <v>404</v>
      </c>
      <c r="H3369" s="1">
        <v>756</v>
      </c>
      <c r="I3369" s="3">
        <v>46280</v>
      </c>
      <c r="J3369" s="3">
        <v>46283</v>
      </c>
      <c r="K3369" s="3" t="s">
        <v>2350</v>
      </c>
      <c r="L3369" s="31">
        <v>46280.660282175922</v>
      </c>
      <c r="M3369" s="20">
        <v>6</v>
      </c>
      <c r="N3369" s="1">
        <v>31</v>
      </c>
    </row>
    <row r="3370" spans="1:14" x14ac:dyDescent="0.25">
      <c r="A3370" t="str">
        <f t="shared" si="106"/>
        <v>H188973H188973</v>
      </c>
      <c r="B3370" t="str">
        <f t="shared" si="107"/>
        <v>H188973GC9060LL-M</v>
      </c>
      <c r="C3370" s="1" t="s">
        <v>55</v>
      </c>
      <c r="D3370" s="1" t="s">
        <v>695</v>
      </c>
      <c r="E3370" s="1" t="s">
        <v>501</v>
      </c>
      <c r="F3370" s="1" t="s">
        <v>502</v>
      </c>
      <c r="G3370" s="1" t="s">
        <v>404</v>
      </c>
      <c r="H3370" s="1">
        <v>756</v>
      </c>
      <c r="I3370" s="3">
        <v>46280</v>
      </c>
      <c r="J3370" s="3">
        <v>46283</v>
      </c>
      <c r="K3370" s="3" t="s">
        <v>2350</v>
      </c>
      <c r="L3370" s="31">
        <v>46280.662385416668</v>
      </c>
      <c r="M3370" s="20">
        <v>6</v>
      </c>
      <c r="N3370" s="1">
        <v>75</v>
      </c>
    </row>
    <row r="3371" spans="1:14" x14ac:dyDescent="0.25">
      <c r="A3371" t="str">
        <f t="shared" si="106"/>
        <v>H188973H188973</v>
      </c>
      <c r="B3371" t="str">
        <f t="shared" si="107"/>
        <v>H188973GC9060LL-M</v>
      </c>
      <c r="C3371" s="1" t="s">
        <v>55</v>
      </c>
      <c r="D3371" s="1" t="s">
        <v>695</v>
      </c>
      <c r="E3371" s="1" t="s">
        <v>501</v>
      </c>
      <c r="F3371" s="1" t="s">
        <v>502</v>
      </c>
      <c r="G3371" s="1" t="s">
        <v>404</v>
      </c>
      <c r="H3371" s="1">
        <v>756</v>
      </c>
      <c r="I3371" s="3">
        <v>46280</v>
      </c>
      <c r="J3371" s="3">
        <v>46283</v>
      </c>
      <c r="K3371" s="3" t="s">
        <v>2350</v>
      </c>
      <c r="L3371" s="31">
        <v>46280.662819594909</v>
      </c>
      <c r="M3371" s="20">
        <v>6</v>
      </c>
      <c r="N3371" s="1">
        <v>58</v>
      </c>
    </row>
    <row r="3372" spans="1:14" x14ac:dyDescent="0.25">
      <c r="A3372" t="str">
        <f t="shared" si="106"/>
        <v>H188973H188973</v>
      </c>
      <c r="B3372" t="str">
        <f t="shared" si="107"/>
        <v>H188973GC9060LL-M</v>
      </c>
      <c r="C3372" s="1" t="s">
        <v>55</v>
      </c>
      <c r="D3372" s="1" t="s">
        <v>695</v>
      </c>
      <c r="E3372" s="1" t="s">
        <v>501</v>
      </c>
      <c r="F3372" s="1" t="s">
        <v>502</v>
      </c>
      <c r="G3372" s="1" t="s">
        <v>404</v>
      </c>
      <c r="H3372" s="1">
        <v>756</v>
      </c>
      <c r="I3372" s="3">
        <v>46280</v>
      </c>
      <c r="J3372" s="3">
        <v>46283</v>
      </c>
      <c r="K3372" s="3" t="s">
        <v>2350</v>
      </c>
      <c r="L3372" s="31">
        <v>46280.663152511574</v>
      </c>
      <c r="M3372" s="20">
        <v>6</v>
      </c>
      <c r="N3372" s="1">
        <v>32</v>
      </c>
    </row>
    <row r="3373" spans="1:14" x14ac:dyDescent="0.25">
      <c r="A3373" t="str">
        <f t="shared" si="106"/>
        <v>H188973H188973</v>
      </c>
      <c r="B3373" t="str">
        <f t="shared" si="107"/>
        <v>H188973GC9060LL-M</v>
      </c>
      <c r="C3373" s="1" t="s">
        <v>55</v>
      </c>
      <c r="D3373" s="1" t="s">
        <v>695</v>
      </c>
      <c r="E3373" s="1" t="s">
        <v>501</v>
      </c>
      <c r="F3373" s="1" t="s">
        <v>502</v>
      </c>
      <c r="G3373" s="1" t="s">
        <v>404</v>
      </c>
      <c r="H3373" s="1">
        <v>756</v>
      </c>
      <c r="I3373" s="3">
        <v>46280</v>
      </c>
      <c r="J3373" s="3">
        <v>46283</v>
      </c>
      <c r="K3373" s="3" t="s">
        <v>2350</v>
      </c>
      <c r="L3373" s="31">
        <v>46280.663594872683</v>
      </c>
      <c r="M3373" s="20">
        <v>6</v>
      </c>
      <c r="N3373" s="1">
        <v>55</v>
      </c>
    </row>
    <row r="3374" spans="1:14" x14ac:dyDescent="0.25">
      <c r="A3374" t="str">
        <f t="shared" si="106"/>
        <v>H188973H188973</v>
      </c>
      <c r="B3374" t="str">
        <f t="shared" si="107"/>
        <v>H188973GC9060LL-M</v>
      </c>
      <c r="C3374" s="1" t="s">
        <v>55</v>
      </c>
      <c r="D3374" s="1" t="s">
        <v>695</v>
      </c>
      <c r="E3374" s="1" t="s">
        <v>501</v>
      </c>
      <c r="F3374" s="1" t="s">
        <v>502</v>
      </c>
      <c r="G3374" s="1" t="s">
        <v>404</v>
      </c>
      <c r="H3374" s="1">
        <v>756</v>
      </c>
      <c r="I3374" s="3">
        <v>46280</v>
      </c>
      <c r="J3374" s="3">
        <v>46283</v>
      </c>
      <c r="K3374" s="3" t="s">
        <v>2350</v>
      </c>
      <c r="L3374" s="31">
        <v>46280.664142476853</v>
      </c>
      <c r="M3374" s="20">
        <v>6</v>
      </c>
      <c r="N3374" s="1">
        <v>81</v>
      </c>
    </row>
    <row r="3375" spans="1:14" x14ac:dyDescent="0.25">
      <c r="A3375" t="str">
        <f t="shared" si="106"/>
        <v>H188973H188973</v>
      </c>
      <c r="B3375" t="str">
        <f t="shared" si="107"/>
        <v>H188973GC9060LL-M</v>
      </c>
      <c r="C3375" s="1" t="s">
        <v>55</v>
      </c>
      <c r="D3375" s="1" t="s">
        <v>695</v>
      </c>
      <c r="E3375" s="1" t="s">
        <v>501</v>
      </c>
      <c r="F3375" s="1" t="s">
        <v>502</v>
      </c>
      <c r="G3375" s="1" t="s">
        <v>404</v>
      </c>
      <c r="H3375" s="1">
        <v>756</v>
      </c>
      <c r="I3375" s="3">
        <v>46280</v>
      </c>
      <c r="J3375" s="3">
        <v>46283</v>
      </c>
      <c r="K3375" s="3" t="s">
        <v>2350</v>
      </c>
      <c r="L3375" s="31">
        <v>46280.664336458329</v>
      </c>
      <c r="M3375" s="20">
        <v>6</v>
      </c>
      <c r="N3375" s="1">
        <v>30</v>
      </c>
    </row>
    <row r="3376" spans="1:14" x14ac:dyDescent="0.25">
      <c r="A3376" t="str">
        <f t="shared" si="106"/>
        <v>H188973H188973</v>
      </c>
      <c r="B3376" t="str">
        <f t="shared" si="107"/>
        <v>H188973GC9060LL-M</v>
      </c>
      <c r="C3376" s="1" t="s">
        <v>55</v>
      </c>
      <c r="D3376" s="1" t="s">
        <v>695</v>
      </c>
      <c r="E3376" s="1" t="s">
        <v>501</v>
      </c>
      <c r="F3376" s="1" t="s">
        <v>502</v>
      </c>
      <c r="G3376" s="1" t="s">
        <v>404</v>
      </c>
      <c r="H3376" s="1">
        <v>756</v>
      </c>
      <c r="I3376" s="3">
        <v>46280</v>
      </c>
      <c r="J3376" s="3">
        <v>46283</v>
      </c>
      <c r="K3376" s="3" t="s">
        <v>2350</v>
      </c>
      <c r="L3376" s="31">
        <v>46280.675084143513</v>
      </c>
      <c r="M3376" s="20">
        <v>6</v>
      </c>
      <c r="N3376" s="1">
        <v>33</v>
      </c>
    </row>
    <row r="3377" spans="1:14" x14ac:dyDescent="0.25">
      <c r="A3377" t="str">
        <f t="shared" si="106"/>
        <v>H188973H188973</v>
      </c>
      <c r="B3377" t="str">
        <f t="shared" si="107"/>
        <v>H188973GC9060LL-M</v>
      </c>
      <c r="C3377" s="1" t="s">
        <v>55</v>
      </c>
      <c r="D3377" s="1" t="s">
        <v>695</v>
      </c>
      <c r="E3377" s="1" t="s">
        <v>501</v>
      </c>
      <c r="F3377" s="1" t="s">
        <v>502</v>
      </c>
      <c r="G3377" s="1" t="s">
        <v>404</v>
      </c>
      <c r="H3377" s="1">
        <v>756</v>
      </c>
      <c r="I3377" s="3">
        <v>46280</v>
      </c>
      <c r="J3377" s="3">
        <v>46283</v>
      </c>
      <c r="K3377" s="3" t="s">
        <v>2350</v>
      </c>
      <c r="L3377" s="31">
        <v>46280.675260914351</v>
      </c>
      <c r="M3377" s="20">
        <v>6</v>
      </c>
      <c r="N3377" s="1">
        <v>35</v>
      </c>
    </row>
    <row r="3378" spans="1:14" x14ac:dyDescent="0.25">
      <c r="A3378" t="str">
        <f t="shared" si="106"/>
        <v>H188973H188973</v>
      </c>
      <c r="B3378" t="str">
        <f t="shared" si="107"/>
        <v>H188973GC9060LL-M</v>
      </c>
      <c r="C3378" s="1" t="s">
        <v>55</v>
      </c>
      <c r="D3378" s="1" t="s">
        <v>695</v>
      </c>
      <c r="E3378" s="1" t="s">
        <v>501</v>
      </c>
      <c r="F3378" s="1" t="s">
        <v>502</v>
      </c>
      <c r="G3378" s="1" t="s">
        <v>404</v>
      </c>
      <c r="H3378" s="1">
        <v>756</v>
      </c>
      <c r="I3378" s="3">
        <v>46280</v>
      </c>
      <c r="J3378" s="3">
        <v>46283</v>
      </c>
      <c r="K3378" s="3" t="s">
        <v>2350</v>
      </c>
      <c r="L3378" s="31">
        <v>46280.675593715278</v>
      </c>
      <c r="M3378" s="20">
        <v>6</v>
      </c>
      <c r="N3378" s="1">
        <v>61</v>
      </c>
    </row>
    <row r="3379" spans="1:14" x14ac:dyDescent="0.25">
      <c r="A3379" t="str">
        <f t="shared" si="106"/>
        <v>H188973H188973</v>
      </c>
      <c r="B3379" t="str">
        <f t="shared" si="107"/>
        <v>H188973GC9060LL-M</v>
      </c>
      <c r="C3379" s="1" t="s">
        <v>55</v>
      </c>
      <c r="D3379" s="1" t="s">
        <v>695</v>
      </c>
      <c r="E3379" s="1" t="s">
        <v>501</v>
      </c>
      <c r="F3379" s="1" t="s">
        <v>502</v>
      </c>
      <c r="G3379" s="1" t="s">
        <v>404</v>
      </c>
      <c r="H3379" s="1">
        <v>756</v>
      </c>
      <c r="I3379" s="3">
        <v>46280</v>
      </c>
      <c r="J3379" s="3">
        <v>46283</v>
      </c>
      <c r="K3379" s="3" t="s">
        <v>2350</v>
      </c>
      <c r="L3379" s="31">
        <v>46280.675805937499</v>
      </c>
      <c r="M3379" s="20">
        <v>6</v>
      </c>
      <c r="N3379" s="1">
        <v>83</v>
      </c>
    </row>
    <row r="3380" spans="1:14" x14ac:dyDescent="0.25">
      <c r="A3380" t="str">
        <f t="shared" si="106"/>
        <v>H188973H188973</v>
      </c>
      <c r="B3380" t="str">
        <f t="shared" si="107"/>
        <v>H188973GC9060LL-M</v>
      </c>
      <c r="C3380" s="1" t="s">
        <v>55</v>
      </c>
      <c r="D3380" s="1" t="s">
        <v>695</v>
      </c>
      <c r="E3380" s="1" t="s">
        <v>501</v>
      </c>
      <c r="F3380" s="1" t="s">
        <v>502</v>
      </c>
      <c r="G3380" s="1" t="s">
        <v>404</v>
      </c>
      <c r="H3380" s="1">
        <v>756</v>
      </c>
      <c r="I3380" s="3">
        <v>46280</v>
      </c>
      <c r="J3380" s="3">
        <v>46283</v>
      </c>
      <c r="K3380" s="3" t="s">
        <v>2350</v>
      </c>
      <c r="L3380" s="31">
        <v>46280.676605092587</v>
      </c>
      <c r="M3380" s="20">
        <v>6</v>
      </c>
      <c r="N3380" s="1">
        <v>84</v>
      </c>
    </row>
    <row r="3381" spans="1:14" x14ac:dyDescent="0.25">
      <c r="A3381" t="str">
        <f t="shared" si="106"/>
        <v>H188973H188973</v>
      </c>
      <c r="B3381" t="str">
        <f t="shared" si="107"/>
        <v>H188973GC9060LL-M</v>
      </c>
      <c r="C3381" s="1" t="s">
        <v>55</v>
      </c>
      <c r="D3381" s="1" t="s">
        <v>695</v>
      </c>
      <c r="E3381" s="1" t="s">
        <v>501</v>
      </c>
      <c r="F3381" s="1" t="s">
        <v>502</v>
      </c>
      <c r="G3381" s="1" t="s">
        <v>404</v>
      </c>
      <c r="H3381" s="1">
        <v>756</v>
      </c>
      <c r="I3381" s="3">
        <v>46280</v>
      </c>
      <c r="J3381" s="3">
        <v>46283</v>
      </c>
      <c r="K3381" s="3" t="s">
        <v>2350</v>
      </c>
      <c r="L3381" s="31">
        <v>46280.676766585646</v>
      </c>
      <c r="M3381" s="20">
        <v>6</v>
      </c>
      <c r="N3381" s="1">
        <v>57</v>
      </c>
    </row>
    <row r="3382" spans="1:14" x14ac:dyDescent="0.25">
      <c r="A3382" t="str">
        <f t="shared" si="106"/>
        <v>H188973H188973</v>
      </c>
      <c r="B3382" t="str">
        <f t="shared" si="107"/>
        <v>H188973GC9060LL-M</v>
      </c>
      <c r="C3382" s="1" t="s">
        <v>55</v>
      </c>
      <c r="D3382" s="1" t="s">
        <v>695</v>
      </c>
      <c r="E3382" s="1" t="s">
        <v>501</v>
      </c>
      <c r="F3382" s="1" t="s">
        <v>502</v>
      </c>
      <c r="G3382" s="1" t="s">
        <v>404</v>
      </c>
      <c r="H3382" s="1">
        <v>756</v>
      </c>
      <c r="I3382" s="3">
        <v>46280</v>
      </c>
      <c r="J3382" s="3">
        <v>46283</v>
      </c>
      <c r="K3382" s="3" t="s">
        <v>2350</v>
      </c>
      <c r="L3382" s="31">
        <v>46280.677575694441</v>
      </c>
      <c r="M3382" s="20">
        <v>6</v>
      </c>
      <c r="N3382" s="1">
        <v>34</v>
      </c>
    </row>
    <row r="3383" spans="1:14" x14ac:dyDescent="0.25">
      <c r="A3383" t="str">
        <f t="shared" si="106"/>
        <v>H188973H188973</v>
      </c>
      <c r="B3383" t="str">
        <f t="shared" si="107"/>
        <v>H188973GC9060LL-M</v>
      </c>
      <c r="C3383" s="1" t="s">
        <v>55</v>
      </c>
      <c r="D3383" s="1" t="s">
        <v>695</v>
      </c>
      <c r="E3383" s="1" t="s">
        <v>501</v>
      </c>
      <c r="F3383" s="1" t="s">
        <v>502</v>
      </c>
      <c r="G3383" s="1" t="s">
        <v>404</v>
      </c>
      <c r="H3383" s="1">
        <v>756</v>
      </c>
      <c r="I3383" s="3">
        <v>46280</v>
      </c>
      <c r="J3383" s="3">
        <v>46283</v>
      </c>
      <c r="K3383" s="3" t="s">
        <v>2350</v>
      </c>
      <c r="L3383" s="31">
        <v>46280.683213194439</v>
      </c>
      <c r="M3383" s="20">
        <v>6</v>
      </c>
      <c r="N3383" s="1">
        <v>38</v>
      </c>
    </row>
    <row r="3384" spans="1:14" x14ac:dyDescent="0.25">
      <c r="A3384" t="str">
        <f t="shared" si="106"/>
        <v>H188973H188973</v>
      </c>
      <c r="B3384" t="str">
        <f t="shared" si="107"/>
        <v>H188973GC9060LL-M</v>
      </c>
      <c r="C3384" s="1" t="s">
        <v>55</v>
      </c>
      <c r="D3384" s="1" t="s">
        <v>695</v>
      </c>
      <c r="E3384" s="1" t="s">
        <v>501</v>
      </c>
      <c r="F3384" s="1" t="s">
        <v>502</v>
      </c>
      <c r="G3384" s="1" t="s">
        <v>404</v>
      </c>
      <c r="H3384" s="1">
        <v>756</v>
      </c>
      <c r="I3384" s="3">
        <v>46280</v>
      </c>
      <c r="J3384" s="3">
        <v>46283</v>
      </c>
      <c r="K3384" s="3" t="s">
        <v>2350</v>
      </c>
      <c r="L3384" s="31">
        <v>46280.684571030091</v>
      </c>
      <c r="M3384" s="20">
        <v>6</v>
      </c>
      <c r="N3384" s="1">
        <v>59</v>
      </c>
    </row>
    <row r="3385" spans="1:14" x14ac:dyDescent="0.25">
      <c r="A3385" t="str">
        <f t="shared" si="106"/>
        <v>H188973H188973</v>
      </c>
      <c r="B3385" t="str">
        <f t="shared" si="107"/>
        <v>H188973GC9060LL-M</v>
      </c>
      <c r="C3385" s="1" t="s">
        <v>55</v>
      </c>
      <c r="D3385" s="1" t="s">
        <v>695</v>
      </c>
      <c r="E3385" s="1" t="s">
        <v>501</v>
      </c>
      <c r="F3385" s="1" t="s">
        <v>502</v>
      </c>
      <c r="G3385" s="1" t="s">
        <v>404</v>
      </c>
      <c r="H3385" s="1">
        <v>756</v>
      </c>
      <c r="I3385" s="3">
        <v>46280</v>
      </c>
      <c r="J3385" s="3">
        <v>46283</v>
      </c>
      <c r="K3385" s="3" t="s">
        <v>2350</v>
      </c>
      <c r="L3385" s="31">
        <v>46280.684722997685</v>
      </c>
      <c r="M3385" s="20">
        <v>6</v>
      </c>
      <c r="N3385" s="1">
        <v>60</v>
      </c>
    </row>
    <row r="3386" spans="1:14" x14ac:dyDescent="0.25">
      <c r="A3386" t="str">
        <f t="shared" si="106"/>
        <v>H188973H188973</v>
      </c>
      <c r="B3386" t="str">
        <f t="shared" si="107"/>
        <v>H188973GC9060LL-M</v>
      </c>
      <c r="C3386" s="1" t="s">
        <v>55</v>
      </c>
      <c r="D3386" s="1" t="s">
        <v>695</v>
      </c>
      <c r="E3386" s="1" t="s">
        <v>501</v>
      </c>
      <c r="F3386" s="1" t="s">
        <v>502</v>
      </c>
      <c r="G3386" s="1" t="s">
        <v>404</v>
      </c>
      <c r="H3386" s="1">
        <v>756</v>
      </c>
      <c r="I3386" s="3">
        <v>46280</v>
      </c>
      <c r="J3386" s="3">
        <v>46283</v>
      </c>
      <c r="K3386" s="3" t="s">
        <v>2350</v>
      </c>
      <c r="L3386" s="31">
        <v>46280.684946724534</v>
      </c>
      <c r="M3386" s="20">
        <v>6</v>
      </c>
      <c r="N3386" s="1">
        <v>27</v>
      </c>
    </row>
    <row r="3387" spans="1:14" x14ac:dyDescent="0.25">
      <c r="A3387" t="str">
        <f t="shared" si="106"/>
        <v>H188973H188973</v>
      </c>
      <c r="B3387" t="str">
        <f t="shared" si="107"/>
        <v>H188973GC9060LL-M</v>
      </c>
      <c r="C3387" s="1" t="s">
        <v>55</v>
      </c>
      <c r="D3387" s="1" t="s">
        <v>695</v>
      </c>
      <c r="E3387" s="1" t="s">
        <v>501</v>
      </c>
      <c r="F3387" s="1" t="s">
        <v>502</v>
      </c>
      <c r="G3387" s="1" t="s">
        <v>404</v>
      </c>
      <c r="H3387" s="1">
        <v>756</v>
      </c>
      <c r="I3387" s="3">
        <v>46280</v>
      </c>
      <c r="J3387" s="3">
        <v>46283</v>
      </c>
      <c r="K3387" s="3" t="s">
        <v>2350</v>
      </c>
      <c r="L3387" s="31">
        <v>46280.685109259255</v>
      </c>
      <c r="M3387" s="20">
        <v>6</v>
      </c>
      <c r="N3387" s="1">
        <v>28</v>
      </c>
    </row>
    <row r="3388" spans="1:14" x14ac:dyDescent="0.25">
      <c r="A3388" t="str">
        <f t="shared" si="106"/>
        <v>H188973H188973</v>
      </c>
      <c r="B3388" t="str">
        <f t="shared" si="107"/>
        <v>H188973GC9060LL-M</v>
      </c>
      <c r="C3388" s="1" t="s">
        <v>55</v>
      </c>
      <c r="D3388" s="1" t="s">
        <v>695</v>
      </c>
      <c r="E3388" s="1" t="s">
        <v>501</v>
      </c>
      <c r="F3388" s="1" t="s">
        <v>502</v>
      </c>
      <c r="G3388" s="1" t="s">
        <v>404</v>
      </c>
      <c r="H3388" s="1">
        <v>756</v>
      </c>
      <c r="I3388" s="3">
        <v>46280</v>
      </c>
      <c r="J3388" s="3">
        <v>46283</v>
      </c>
      <c r="K3388" s="3" t="s">
        <v>2350</v>
      </c>
      <c r="L3388" s="31">
        <v>46280.687896643518</v>
      </c>
      <c r="M3388" s="20">
        <v>6</v>
      </c>
      <c r="N3388" s="1">
        <v>97</v>
      </c>
    </row>
    <row r="3389" spans="1:14" x14ac:dyDescent="0.25">
      <c r="A3389" t="str">
        <f t="shared" si="106"/>
        <v>H188973H188973</v>
      </c>
      <c r="B3389" t="str">
        <f t="shared" si="107"/>
        <v>H188973GC9060LL-M</v>
      </c>
      <c r="C3389" s="1" t="s">
        <v>55</v>
      </c>
      <c r="D3389" s="1" t="s">
        <v>695</v>
      </c>
      <c r="E3389" s="1" t="s">
        <v>501</v>
      </c>
      <c r="F3389" s="1" t="s">
        <v>502</v>
      </c>
      <c r="G3389" s="1" t="s">
        <v>404</v>
      </c>
      <c r="H3389" s="1">
        <v>756</v>
      </c>
      <c r="I3389" s="3">
        <v>46280</v>
      </c>
      <c r="J3389" s="3">
        <v>46283</v>
      </c>
      <c r="K3389" s="3" t="s">
        <v>2350</v>
      </c>
      <c r="L3389" s="31">
        <v>46280.688204201389</v>
      </c>
      <c r="M3389" s="20">
        <v>6</v>
      </c>
      <c r="N3389" s="1">
        <v>40</v>
      </c>
    </row>
    <row r="3390" spans="1:14" x14ac:dyDescent="0.25">
      <c r="A3390" t="str">
        <f t="shared" si="106"/>
        <v>H188973H188973</v>
      </c>
      <c r="B3390" t="str">
        <f t="shared" si="107"/>
        <v>H188973GC9060LL-M</v>
      </c>
      <c r="C3390" s="1" t="s">
        <v>55</v>
      </c>
      <c r="D3390" s="1" t="s">
        <v>695</v>
      </c>
      <c r="E3390" s="1" t="s">
        <v>501</v>
      </c>
      <c r="F3390" s="1" t="s">
        <v>502</v>
      </c>
      <c r="G3390" s="1" t="s">
        <v>404</v>
      </c>
      <c r="H3390" s="1">
        <v>756</v>
      </c>
      <c r="I3390" s="3">
        <v>46280</v>
      </c>
      <c r="J3390" s="3">
        <v>46283</v>
      </c>
      <c r="K3390" s="3" t="s">
        <v>2350</v>
      </c>
      <c r="L3390" s="31">
        <v>46280.689356631941</v>
      </c>
      <c r="M3390" s="20">
        <v>6</v>
      </c>
      <c r="N3390" s="1">
        <v>85</v>
      </c>
    </row>
    <row r="3391" spans="1:14" x14ac:dyDescent="0.25">
      <c r="A3391" t="str">
        <f t="shared" si="106"/>
        <v>H188973H188973</v>
      </c>
      <c r="B3391" t="str">
        <f t="shared" si="107"/>
        <v>H188973GC9060LL-M</v>
      </c>
      <c r="C3391" s="1" t="s">
        <v>55</v>
      </c>
      <c r="D3391" s="1" t="s">
        <v>695</v>
      </c>
      <c r="E3391" s="1" t="s">
        <v>501</v>
      </c>
      <c r="F3391" s="1" t="s">
        <v>502</v>
      </c>
      <c r="G3391" s="1" t="s">
        <v>404</v>
      </c>
      <c r="H3391" s="1">
        <v>756</v>
      </c>
      <c r="I3391" s="3">
        <v>46280</v>
      </c>
      <c r="J3391" s="3">
        <v>46283</v>
      </c>
      <c r="K3391" s="3" t="s">
        <v>2350</v>
      </c>
      <c r="L3391" s="31">
        <v>46280.689733368054</v>
      </c>
      <c r="M3391" s="20">
        <v>6</v>
      </c>
      <c r="N3391" s="1">
        <v>41</v>
      </c>
    </row>
    <row r="3392" spans="1:14" x14ac:dyDescent="0.25">
      <c r="A3392" t="str">
        <f t="shared" si="106"/>
        <v>H188973H188973</v>
      </c>
      <c r="B3392" t="str">
        <f t="shared" si="107"/>
        <v>H188973GC9060LL-M</v>
      </c>
      <c r="C3392" s="1" t="s">
        <v>55</v>
      </c>
      <c r="D3392" s="1" t="s">
        <v>695</v>
      </c>
      <c r="E3392" s="1" t="s">
        <v>501</v>
      </c>
      <c r="F3392" s="1" t="s">
        <v>502</v>
      </c>
      <c r="G3392" s="1" t="s">
        <v>404</v>
      </c>
      <c r="H3392" s="1">
        <v>756</v>
      </c>
      <c r="I3392" s="3">
        <v>46280</v>
      </c>
      <c r="J3392" s="3">
        <v>46283</v>
      </c>
      <c r="K3392" s="3" t="s">
        <v>2350</v>
      </c>
      <c r="L3392" s="31">
        <v>46280.689973842593</v>
      </c>
      <c r="M3392" s="20">
        <v>6</v>
      </c>
      <c r="N3392" s="1">
        <v>69</v>
      </c>
    </row>
    <row r="3393" spans="1:14" x14ac:dyDescent="0.25">
      <c r="A3393" t="str">
        <f t="shared" si="106"/>
        <v>H188973H188973</v>
      </c>
      <c r="B3393" t="str">
        <f t="shared" si="107"/>
        <v>H188973GC9060LL-M</v>
      </c>
      <c r="C3393" s="1" t="s">
        <v>55</v>
      </c>
      <c r="D3393" s="1" t="s">
        <v>695</v>
      </c>
      <c r="E3393" s="1" t="s">
        <v>501</v>
      </c>
      <c r="F3393" s="1" t="s">
        <v>502</v>
      </c>
      <c r="G3393" s="1" t="s">
        <v>404</v>
      </c>
      <c r="H3393" s="1">
        <v>756</v>
      </c>
      <c r="I3393" s="3">
        <v>46280</v>
      </c>
      <c r="J3393" s="3">
        <v>46283</v>
      </c>
      <c r="K3393" s="3" t="s">
        <v>2350</v>
      </c>
      <c r="L3393" s="31">
        <v>46280.697167708335</v>
      </c>
      <c r="M3393" s="20">
        <v>6</v>
      </c>
      <c r="N3393" s="1">
        <v>13</v>
      </c>
    </row>
    <row r="3394" spans="1:14" x14ac:dyDescent="0.25">
      <c r="A3394" t="str">
        <f t="shared" ref="A3394:A3457" si="108">+D3394&amp;D3394</f>
        <v>H188973H188973</v>
      </c>
      <c r="B3394" t="str">
        <f t="shared" ref="B3394:B3457" si="109">+D3394&amp;C3394</f>
        <v>H188973GC9060LL-M</v>
      </c>
      <c r="C3394" s="1" t="s">
        <v>55</v>
      </c>
      <c r="D3394" s="1" t="s">
        <v>695</v>
      </c>
      <c r="E3394" s="1" t="s">
        <v>501</v>
      </c>
      <c r="F3394" s="1" t="s">
        <v>502</v>
      </c>
      <c r="G3394" s="1" t="s">
        <v>404</v>
      </c>
      <c r="H3394" s="1">
        <v>756</v>
      </c>
      <c r="I3394" s="3">
        <v>46280</v>
      </c>
      <c r="J3394" s="3">
        <v>46283</v>
      </c>
      <c r="K3394" s="3" t="s">
        <v>2350</v>
      </c>
      <c r="L3394" s="31">
        <v>46280.699089236106</v>
      </c>
      <c r="M3394" s="20">
        <v>6</v>
      </c>
      <c r="N3394" s="1">
        <v>86</v>
      </c>
    </row>
    <row r="3395" spans="1:14" x14ac:dyDescent="0.25">
      <c r="A3395" t="str">
        <f t="shared" si="108"/>
        <v>H188973H188973</v>
      </c>
      <c r="B3395" t="str">
        <f t="shared" si="109"/>
        <v>H188973GC9060LL-M</v>
      </c>
      <c r="C3395" s="1" t="s">
        <v>55</v>
      </c>
      <c r="D3395" s="1" t="s">
        <v>695</v>
      </c>
      <c r="E3395" s="1" t="s">
        <v>501</v>
      </c>
      <c r="F3395" s="1" t="s">
        <v>502</v>
      </c>
      <c r="G3395" s="1" t="s">
        <v>404</v>
      </c>
      <c r="H3395" s="1">
        <v>756</v>
      </c>
      <c r="I3395" s="3">
        <v>46280</v>
      </c>
      <c r="J3395" s="3">
        <v>46283</v>
      </c>
      <c r="K3395" s="3" t="s">
        <v>2350</v>
      </c>
      <c r="L3395" s="31">
        <v>46280.699285729163</v>
      </c>
      <c r="M3395" s="20">
        <v>6</v>
      </c>
      <c r="N3395" s="1">
        <v>43</v>
      </c>
    </row>
    <row r="3396" spans="1:14" x14ac:dyDescent="0.25">
      <c r="A3396" t="str">
        <f t="shared" si="108"/>
        <v>H188973H188973</v>
      </c>
      <c r="B3396" t="str">
        <f t="shared" si="109"/>
        <v>H188973GC9060LL-M</v>
      </c>
      <c r="C3396" s="1" t="s">
        <v>55</v>
      </c>
      <c r="D3396" s="1" t="s">
        <v>695</v>
      </c>
      <c r="E3396" s="1" t="s">
        <v>501</v>
      </c>
      <c r="F3396" s="1" t="s">
        <v>502</v>
      </c>
      <c r="G3396" s="1" t="s">
        <v>404</v>
      </c>
      <c r="H3396" s="1">
        <v>756</v>
      </c>
      <c r="I3396" s="3">
        <v>46280</v>
      </c>
      <c r="J3396" s="3">
        <v>46283</v>
      </c>
      <c r="K3396" s="3" t="s">
        <v>2350</v>
      </c>
      <c r="L3396" s="31">
        <v>46280.699692592592</v>
      </c>
      <c r="M3396" s="20">
        <v>6</v>
      </c>
      <c r="N3396" s="1">
        <v>26</v>
      </c>
    </row>
    <row r="3397" spans="1:14" x14ac:dyDescent="0.25">
      <c r="A3397" t="str">
        <f t="shared" si="108"/>
        <v>H188973H188973</v>
      </c>
      <c r="B3397" t="str">
        <f t="shared" si="109"/>
        <v>H188973GC9060LL-M</v>
      </c>
      <c r="C3397" s="1" t="s">
        <v>55</v>
      </c>
      <c r="D3397" s="1" t="s">
        <v>695</v>
      </c>
      <c r="E3397" s="1" t="s">
        <v>501</v>
      </c>
      <c r="F3397" s="1" t="s">
        <v>502</v>
      </c>
      <c r="G3397" s="1" t="s">
        <v>404</v>
      </c>
      <c r="H3397" s="1">
        <v>756</v>
      </c>
      <c r="I3397" s="3">
        <v>46280</v>
      </c>
      <c r="J3397" s="3">
        <v>46283</v>
      </c>
      <c r="K3397" s="3" t="s">
        <v>2350</v>
      </c>
      <c r="L3397" s="31">
        <v>46280.699826886572</v>
      </c>
      <c r="M3397" s="20">
        <v>6</v>
      </c>
      <c r="N3397" s="1">
        <v>14</v>
      </c>
    </row>
    <row r="3398" spans="1:14" x14ac:dyDescent="0.25">
      <c r="A3398" t="str">
        <f t="shared" si="108"/>
        <v>H188973H188973</v>
      </c>
      <c r="B3398" t="str">
        <f t="shared" si="109"/>
        <v>H188973GC9060LL-M</v>
      </c>
      <c r="C3398" s="1" t="s">
        <v>55</v>
      </c>
      <c r="D3398" s="1" t="s">
        <v>695</v>
      </c>
      <c r="E3398" s="1" t="s">
        <v>501</v>
      </c>
      <c r="F3398" s="1" t="s">
        <v>502</v>
      </c>
      <c r="G3398" s="1" t="s">
        <v>404</v>
      </c>
      <c r="H3398" s="1">
        <v>756</v>
      </c>
      <c r="I3398" s="3">
        <v>46280</v>
      </c>
      <c r="J3398" s="3">
        <v>46283</v>
      </c>
      <c r="K3398" s="3" t="s">
        <v>2350</v>
      </c>
      <c r="L3398" s="31">
        <v>46280.704180555556</v>
      </c>
      <c r="M3398" s="20">
        <v>6</v>
      </c>
      <c r="N3398" s="1">
        <v>25</v>
      </c>
    </row>
    <row r="3399" spans="1:14" x14ac:dyDescent="0.25">
      <c r="A3399" t="str">
        <f t="shared" si="108"/>
        <v>H188973H188973</v>
      </c>
      <c r="B3399" t="str">
        <f t="shared" si="109"/>
        <v>H188973GC9060LL-M</v>
      </c>
      <c r="C3399" s="1" t="s">
        <v>55</v>
      </c>
      <c r="D3399" s="1" t="s">
        <v>695</v>
      </c>
      <c r="E3399" s="1" t="s">
        <v>501</v>
      </c>
      <c r="F3399" s="1" t="s">
        <v>502</v>
      </c>
      <c r="G3399" s="1" t="s">
        <v>404</v>
      </c>
      <c r="H3399" s="1">
        <v>756</v>
      </c>
      <c r="I3399" s="3">
        <v>46280</v>
      </c>
      <c r="J3399" s="3">
        <v>46283</v>
      </c>
      <c r="K3399" s="3" t="s">
        <v>2350</v>
      </c>
      <c r="L3399" s="31">
        <v>46280.704347534724</v>
      </c>
      <c r="M3399" s="20">
        <v>6</v>
      </c>
      <c r="N3399" s="1">
        <v>63</v>
      </c>
    </row>
    <row r="3400" spans="1:14" x14ac:dyDescent="0.25">
      <c r="A3400" t="str">
        <f t="shared" si="108"/>
        <v>H188973H188973</v>
      </c>
      <c r="B3400" t="str">
        <f t="shared" si="109"/>
        <v>H188973GC9060LL-M</v>
      </c>
      <c r="C3400" s="1" t="s">
        <v>55</v>
      </c>
      <c r="D3400" s="1" t="s">
        <v>695</v>
      </c>
      <c r="E3400" s="1" t="s">
        <v>501</v>
      </c>
      <c r="F3400" s="1" t="s">
        <v>502</v>
      </c>
      <c r="G3400" s="1" t="s">
        <v>404</v>
      </c>
      <c r="H3400" s="1">
        <v>756</v>
      </c>
      <c r="I3400" s="3">
        <v>46280</v>
      </c>
      <c r="J3400" s="3">
        <v>46283</v>
      </c>
      <c r="K3400" s="3" t="s">
        <v>2350</v>
      </c>
      <c r="L3400" s="31">
        <v>46280.708596724537</v>
      </c>
      <c r="M3400" s="20">
        <v>6</v>
      </c>
      <c r="N3400" s="1">
        <v>42</v>
      </c>
    </row>
    <row r="3401" spans="1:14" x14ac:dyDescent="0.25">
      <c r="A3401" t="str">
        <f t="shared" si="108"/>
        <v>H188973H188973</v>
      </c>
      <c r="B3401" t="str">
        <f t="shared" si="109"/>
        <v>H188973GC9060LL-M</v>
      </c>
      <c r="C3401" s="1" t="s">
        <v>55</v>
      </c>
      <c r="D3401" s="1" t="s">
        <v>695</v>
      </c>
      <c r="E3401" s="1" t="s">
        <v>501</v>
      </c>
      <c r="F3401" s="1" t="s">
        <v>502</v>
      </c>
      <c r="G3401" s="1" t="s">
        <v>404</v>
      </c>
      <c r="H3401" s="1">
        <v>756</v>
      </c>
      <c r="I3401" s="3">
        <v>46280</v>
      </c>
      <c r="J3401" s="3">
        <v>46283</v>
      </c>
      <c r="K3401" s="3" t="s">
        <v>2350</v>
      </c>
      <c r="L3401" s="31">
        <v>46280.714978043979</v>
      </c>
      <c r="M3401" s="20">
        <v>6</v>
      </c>
      <c r="N3401" s="1">
        <v>18</v>
      </c>
    </row>
    <row r="3402" spans="1:14" x14ac:dyDescent="0.25">
      <c r="A3402" t="str">
        <f t="shared" si="108"/>
        <v>H188973H188973</v>
      </c>
      <c r="B3402" t="str">
        <f t="shared" si="109"/>
        <v>H188973GC9060LL-M</v>
      </c>
      <c r="C3402" s="1" t="s">
        <v>55</v>
      </c>
      <c r="D3402" s="1" t="s">
        <v>695</v>
      </c>
      <c r="E3402" s="1" t="s">
        <v>501</v>
      </c>
      <c r="F3402" s="1" t="s">
        <v>502</v>
      </c>
      <c r="G3402" s="1" t="s">
        <v>404</v>
      </c>
      <c r="H3402" s="1">
        <v>756</v>
      </c>
      <c r="I3402" s="3">
        <v>46280</v>
      </c>
      <c r="J3402" s="3">
        <v>46283</v>
      </c>
      <c r="K3402" s="3" t="s">
        <v>2350</v>
      </c>
      <c r="L3402" s="31">
        <v>46280.715164965273</v>
      </c>
      <c r="M3402" s="20">
        <v>6</v>
      </c>
      <c r="N3402" s="1">
        <v>2</v>
      </c>
    </row>
    <row r="3403" spans="1:14" x14ac:dyDescent="0.25">
      <c r="A3403" t="str">
        <f t="shared" si="108"/>
        <v>H189080H189080</v>
      </c>
      <c r="B3403" t="str">
        <f t="shared" si="109"/>
        <v>H189080P60394T-W</v>
      </c>
      <c r="C3403" s="1" t="s">
        <v>54</v>
      </c>
      <c r="D3403" s="1" t="s">
        <v>692</v>
      </c>
      <c r="E3403" s="1" t="s">
        <v>422</v>
      </c>
      <c r="F3403" s="1" t="s">
        <v>423</v>
      </c>
      <c r="G3403" s="1" t="s">
        <v>404</v>
      </c>
      <c r="H3403" s="1">
        <v>1998</v>
      </c>
      <c r="I3403" s="3">
        <v>46280</v>
      </c>
      <c r="J3403" s="3">
        <v>46284</v>
      </c>
      <c r="K3403" s="3" t="s">
        <v>2350</v>
      </c>
      <c r="L3403" s="31">
        <v>46280.397559375</v>
      </c>
      <c r="M3403" s="20">
        <v>12</v>
      </c>
      <c r="N3403" s="1">
        <v>36</v>
      </c>
    </row>
    <row r="3404" spans="1:14" x14ac:dyDescent="0.25">
      <c r="A3404" t="str">
        <f t="shared" si="108"/>
        <v>H189080H189080</v>
      </c>
      <c r="B3404" t="str">
        <f t="shared" si="109"/>
        <v>H189080P60394T-W</v>
      </c>
      <c r="C3404" s="1" t="s">
        <v>54</v>
      </c>
      <c r="D3404" s="1" t="s">
        <v>692</v>
      </c>
      <c r="E3404" s="1" t="s">
        <v>422</v>
      </c>
      <c r="F3404" s="1" t="s">
        <v>423</v>
      </c>
      <c r="G3404" s="1" t="s">
        <v>404</v>
      </c>
      <c r="H3404" s="1">
        <v>1998</v>
      </c>
      <c r="I3404" s="3">
        <v>46280</v>
      </c>
      <c r="J3404" s="3">
        <v>46284</v>
      </c>
      <c r="K3404" s="3" t="s">
        <v>2350</v>
      </c>
      <c r="L3404" s="31">
        <v>46280.404232604167</v>
      </c>
      <c r="M3404" s="20">
        <v>12</v>
      </c>
      <c r="N3404" s="1">
        <v>59</v>
      </c>
    </row>
    <row r="3405" spans="1:14" x14ac:dyDescent="0.25">
      <c r="A3405" t="str">
        <f t="shared" si="108"/>
        <v>H189080H189080</v>
      </c>
      <c r="B3405" t="str">
        <f t="shared" si="109"/>
        <v>H189080P60394T-W</v>
      </c>
      <c r="C3405" s="1" t="s">
        <v>54</v>
      </c>
      <c r="D3405" s="1" t="s">
        <v>692</v>
      </c>
      <c r="E3405" s="1" t="s">
        <v>422</v>
      </c>
      <c r="F3405" s="1" t="s">
        <v>423</v>
      </c>
      <c r="G3405" s="1" t="s">
        <v>404</v>
      </c>
      <c r="H3405" s="1">
        <v>1998</v>
      </c>
      <c r="I3405" s="3">
        <v>46280</v>
      </c>
      <c r="J3405" s="3">
        <v>46284</v>
      </c>
      <c r="K3405" s="3" t="s">
        <v>2350</v>
      </c>
      <c r="L3405" s="31">
        <v>46280.404428819442</v>
      </c>
      <c r="M3405" s="20">
        <v>12</v>
      </c>
      <c r="N3405" s="1">
        <v>135</v>
      </c>
    </row>
    <row r="3406" spans="1:14" x14ac:dyDescent="0.25">
      <c r="A3406" t="str">
        <f t="shared" si="108"/>
        <v>H189080H189080</v>
      </c>
      <c r="B3406" t="str">
        <f t="shared" si="109"/>
        <v>H189080P60394T-W</v>
      </c>
      <c r="C3406" s="1" t="s">
        <v>54</v>
      </c>
      <c r="D3406" s="1" t="s">
        <v>692</v>
      </c>
      <c r="E3406" s="1" t="s">
        <v>422</v>
      </c>
      <c r="F3406" s="1" t="s">
        <v>423</v>
      </c>
      <c r="G3406" s="1" t="s">
        <v>404</v>
      </c>
      <c r="H3406" s="1">
        <v>1998</v>
      </c>
      <c r="I3406" s="3">
        <v>46280</v>
      </c>
      <c r="J3406" s="3">
        <v>46284</v>
      </c>
      <c r="K3406" s="3" t="s">
        <v>2350</v>
      </c>
      <c r="L3406" s="31">
        <v>46280.418533449076</v>
      </c>
      <c r="M3406" s="20">
        <v>12</v>
      </c>
      <c r="N3406" s="1">
        <v>133</v>
      </c>
    </row>
    <row r="3407" spans="1:14" x14ac:dyDescent="0.25">
      <c r="A3407" t="str">
        <f t="shared" si="108"/>
        <v>H189080H189080</v>
      </c>
      <c r="B3407" t="str">
        <f t="shared" si="109"/>
        <v>H189080P60394T-W</v>
      </c>
      <c r="C3407" s="1" t="s">
        <v>54</v>
      </c>
      <c r="D3407" s="1" t="s">
        <v>692</v>
      </c>
      <c r="E3407" s="1" t="s">
        <v>422</v>
      </c>
      <c r="F3407" s="1" t="s">
        <v>423</v>
      </c>
      <c r="G3407" s="1" t="s">
        <v>404</v>
      </c>
      <c r="H3407" s="1">
        <v>1998</v>
      </c>
      <c r="I3407" s="3">
        <v>46280</v>
      </c>
      <c r="J3407" s="3">
        <v>46284</v>
      </c>
      <c r="K3407" s="3" t="s">
        <v>2350</v>
      </c>
      <c r="L3407" s="31">
        <v>46280.420747685181</v>
      </c>
      <c r="M3407" s="20">
        <v>12</v>
      </c>
      <c r="N3407" s="1">
        <v>136</v>
      </c>
    </row>
    <row r="3408" spans="1:14" x14ac:dyDescent="0.25">
      <c r="A3408" t="str">
        <f t="shared" si="108"/>
        <v>H189080H189080</v>
      </c>
      <c r="B3408" t="str">
        <f t="shared" si="109"/>
        <v>H189080P60394T-W</v>
      </c>
      <c r="C3408" s="1" t="s">
        <v>54</v>
      </c>
      <c r="D3408" s="1" t="s">
        <v>692</v>
      </c>
      <c r="E3408" s="1" t="s">
        <v>422</v>
      </c>
      <c r="F3408" s="1" t="s">
        <v>423</v>
      </c>
      <c r="G3408" s="1" t="s">
        <v>404</v>
      </c>
      <c r="H3408" s="1">
        <v>1998</v>
      </c>
      <c r="I3408" s="3">
        <v>46280</v>
      </c>
      <c r="J3408" s="3">
        <v>46284</v>
      </c>
      <c r="K3408" s="3" t="s">
        <v>2350</v>
      </c>
      <c r="L3408" s="31">
        <v>46280.421128391201</v>
      </c>
      <c r="M3408" s="20">
        <v>12</v>
      </c>
      <c r="N3408" s="1">
        <v>132</v>
      </c>
    </row>
    <row r="3409" spans="1:14" x14ac:dyDescent="0.25">
      <c r="A3409" t="str">
        <f t="shared" si="108"/>
        <v>H189080H189080</v>
      </c>
      <c r="B3409" t="str">
        <f t="shared" si="109"/>
        <v>H189080P60394T-W</v>
      </c>
      <c r="C3409" s="1" t="s">
        <v>54</v>
      </c>
      <c r="D3409" s="1" t="s">
        <v>692</v>
      </c>
      <c r="E3409" s="1" t="s">
        <v>422</v>
      </c>
      <c r="F3409" s="1" t="s">
        <v>423</v>
      </c>
      <c r="G3409" s="1" t="s">
        <v>404</v>
      </c>
      <c r="H3409" s="1">
        <v>1998</v>
      </c>
      <c r="I3409" s="3">
        <v>46280</v>
      </c>
      <c r="J3409" s="3">
        <v>46284</v>
      </c>
      <c r="K3409" s="3" t="s">
        <v>2350</v>
      </c>
      <c r="L3409" s="31">
        <v>46280.421314664352</v>
      </c>
      <c r="M3409" s="20">
        <v>12</v>
      </c>
      <c r="N3409" s="1">
        <v>103</v>
      </c>
    </row>
    <row r="3410" spans="1:14" x14ac:dyDescent="0.25">
      <c r="A3410" t="str">
        <f t="shared" si="108"/>
        <v>H189080H189080</v>
      </c>
      <c r="B3410" t="str">
        <f t="shared" si="109"/>
        <v>H189080P60394T-W</v>
      </c>
      <c r="C3410" s="1" t="s">
        <v>54</v>
      </c>
      <c r="D3410" s="1" t="s">
        <v>692</v>
      </c>
      <c r="E3410" s="1" t="s">
        <v>422</v>
      </c>
      <c r="F3410" s="1" t="s">
        <v>423</v>
      </c>
      <c r="G3410" s="1" t="s">
        <v>404</v>
      </c>
      <c r="H3410" s="1">
        <v>1998</v>
      </c>
      <c r="I3410" s="3">
        <v>46280</v>
      </c>
      <c r="J3410" s="3">
        <v>46284</v>
      </c>
      <c r="K3410" s="3" t="s">
        <v>2350</v>
      </c>
      <c r="L3410" s="31">
        <v>46280.421833020831</v>
      </c>
      <c r="M3410" s="20">
        <v>12</v>
      </c>
      <c r="N3410" s="1">
        <v>134</v>
      </c>
    </row>
    <row r="3411" spans="1:14" x14ac:dyDescent="0.25">
      <c r="A3411" t="str">
        <f t="shared" si="108"/>
        <v>H189080H189080</v>
      </c>
      <c r="B3411" t="str">
        <f t="shared" si="109"/>
        <v>H189080P60394T-W</v>
      </c>
      <c r="C3411" s="1" t="s">
        <v>54</v>
      </c>
      <c r="D3411" s="1" t="s">
        <v>692</v>
      </c>
      <c r="E3411" s="1" t="s">
        <v>422</v>
      </c>
      <c r="F3411" s="1" t="s">
        <v>423</v>
      </c>
      <c r="G3411" s="1" t="s">
        <v>404</v>
      </c>
      <c r="H3411" s="1">
        <v>1998</v>
      </c>
      <c r="I3411" s="3">
        <v>46280</v>
      </c>
      <c r="J3411" s="3">
        <v>46284</v>
      </c>
      <c r="K3411" s="3" t="s">
        <v>2350</v>
      </c>
      <c r="L3411" s="31">
        <v>46280.443278321756</v>
      </c>
      <c r="M3411" s="20">
        <v>12</v>
      </c>
      <c r="N3411" s="1">
        <v>55</v>
      </c>
    </row>
    <row r="3412" spans="1:14" x14ac:dyDescent="0.25">
      <c r="A3412" t="str">
        <f t="shared" si="108"/>
        <v>H189080H189080</v>
      </c>
      <c r="B3412" t="str">
        <f t="shared" si="109"/>
        <v>H189080P60394T-W</v>
      </c>
      <c r="C3412" s="1" t="s">
        <v>54</v>
      </c>
      <c r="D3412" s="1" t="s">
        <v>692</v>
      </c>
      <c r="E3412" s="1" t="s">
        <v>422</v>
      </c>
      <c r="F3412" s="1" t="s">
        <v>423</v>
      </c>
      <c r="G3412" s="1" t="s">
        <v>404</v>
      </c>
      <c r="H3412" s="1">
        <v>1998</v>
      </c>
      <c r="I3412" s="3">
        <v>46280</v>
      </c>
      <c r="J3412" s="3">
        <v>46284</v>
      </c>
      <c r="K3412" s="3" t="s">
        <v>2350</v>
      </c>
      <c r="L3412" s="31">
        <v>46280.463896180554</v>
      </c>
      <c r="M3412" s="20">
        <v>12</v>
      </c>
      <c r="N3412" s="1">
        <v>60</v>
      </c>
    </row>
    <row r="3413" spans="1:14" x14ac:dyDescent="0.25">
      <c r="A3413" t="str">
        <f t="shared" si="108"/>
        <v>H189080H189080</v>
      </c>
      <c r="B3413" t="str">
        <f t="shared" si="109"/>
        <v>H189080P60394T-W</v>
      </c>
      <c r="C3413" s="1" t="s">
        <v>54</v>
      </c>
      <c r="D3413" s="1" t="s">
        <v>692</v>
      </c>
      <c r="E3413" s="1" t="s">
        <v>422</v>
      </c>
      <c r="F3413" s="1" t="s">
        <v>423</v>
      </c>
      <c r="G3413" s="1" t="s">
        <v>404</v>
      </c>
      <c r="H3413" s="1">
        <v>1998</v>
      </c>
      <c r="I3413" s="3">
        <v>46280</v>
      </c>
      <c r="J3413" s="3">
        <v>46284</v>
      </c>
      <c r="K3413" s="3" t="s">
        <v>2350</v>
      </c>
      <c r="L3413" s="31">
        <v>46280.464091400463</v>
      </c>
      <c r="M3413" s="20">
        <v>12</v>
      </c>
      <c r="N3413" s="1">
        <v>35</v>
      </c>
    </row>
    <row r="3414" spans="1:14" x14ac:dyDescent="0.25">
      <c r="A3414" t="str">
        <f t="shared" si="108"/>
        <v>H189080H189080</v>
      </c>
      <c r="B3414" t="str">
        <f t="shared" si="109"/>
        <v>H189080P60394T-W</v>
      </c>
      <c r="C3414" s="1" t="s">
        <v>54</v>
      </c>
      <c r="D3414" s="1" t="s">
        <v>692</v>
      </c>
      <c r="E3414" s="1" t="s">
        <v>422</v>
      </c>
      <c r="F3414" s="1" t="s">
        <v>423</v>
      </c>
      <c r="G3414" s="1" t="s">
        <v>404</v>
      </c>
      <c r="H3414" s="1">
        <v>1998</v>
      </c>
      <c r="I3414" s="3">
        <v>46280</v>
      </c>
      <c r="J3414" s="3">
        <v>46284</v>
      </c>
      <c r="K3414" s="3" t="s">
        <v>2350</v>
      </c>
      <c r="L3414" s="31">
        <v>46280.4642465625</v>
      </c>
      <c r="M3414" s="20">
        <v>12</v>
      </c>
      <c r="N3414" s="1">
        <v>61</v>
      </c>
    </row>
    <row r="3415" spans="1:14" x14ac:dyDescent="0.25">
      <c r="A3415" t="str">
        <f t="shared" si="108"/>
        <v>H189080H189080</v>
      </c>
      <c r="B3415" t="str">
        <f t="shared" si="109"/>
        <v>H189080P60394T-W</v>
      </c>
      <c r="C3415" s="1" t="s">
        <v>54</v>
      </c>
      <c r="D3415" s="1" t="s">
        <v>692</v>
      </c>
      <c r="E3415" s="1" t="s">
        <v>422</v>
      </c>
      <c r="F3415" s="1" t="s">
        <v>423</v>
      </c>
      <c r="G3415" s="1" t="s">
        <v>404</v>
      </c>
      <c r="H3415" s="1">
        <v>1998</v>
      </c>
      <c r="I3415" s="3">
        <v>46280</v>
      </c>
      <c r="J3415" s="3">
        <v>46284</v>
      </c>
      <c r="K3415" s="3" t="s">
        <v>2350</v>
      </c>
      <c r="L3415" s="31">
        <v>46280.464430520835</v>
      </c>
      <c r="M3415" s="20">
        <v>12</v>
      </c>
      <c r="N3415" s="1">
        <v>102</v>
      </c>
    </row>
    <row r="3416" spans="1:14" x14ac:dyDescent="0.25">
      <c r="A3416" t="str">
        <f t="shared" si="108"/>
        <v>H189080H189080</v>
      </c>
      <c r="B3416" t="str">
        <f t="shared" si="109"/>
        <v>H189080P60394T-W</v>
      </c>
      <c r="C3416" s="1" t="s">
        <v>54</v>
      </c>
      <c r="D3416" s="1" t="s">
        <v>692</v>
      </c>
      <c r="E3416" s="1" t="s">
        <v>422</v>
      </c>
      <c r="F3416" s="1" t="s">
        <v>423</v>
      </c>
      <c r="G3416" s="1" t="s">
        <v>404</v>
      </c>
      <c r="H3416" s="1">
        <v>1998</v>
      </c>
      <c r="I3416" s="3">
        <v>46280</v>
      </c>
      <c r="J3416" s="3">
        <v>46284</v>
      </c>
      <c r="K3416" s="3" t="s">
        <v>2350</v>
      </c>
      <c r="L3416" s="31">
        <v>46280.465654247681</v>
      </c>
      <c r="M3416" s="20">
        <v>12</v>
      </c>
      <c r="N3416" s="1">
        <v>104</v>
      </c>
    </row>
    <row r="3417" spans="1:14" x14ac:dyDescent="0.25">
      <c r="A3417" t="str">
        <f t="shared" si="108"/>
        <v>H189080H189080</v>
      </c>
      <c r="B3417" t="str">
        <f t="shared" si="109"/>
        <v>H189080P60394T-W</v>
      </c>
      <c r="C3417" s="1" t="s">
        <v>54</v>
      </c>
      <c r="D3417" s="1" t="s">
        <v>692</v>
      </c>
      <c r="E3417" s="1" t="s">
        <v>422</v>
      </c>
      <c r="F3417" s="1" t="s">
        <v>423</v>
      </c>
      <c r="G3417" s="1" t="s">
        <v>404</v>
      </c>
      <c r="H3417" s="1">
        <v>1998</v>
      </c>
      <c r="I3417" s="3">
        <v>46280</v>
      </c>
      <c r="J3417" s="3">
        <v>46284</v>
      </c>
      <c r="K3417" s="3" t="s">
        <v>2350</v>
      </c>
      <c r="L3417" s="31">
        <v>46280.466228738427</v>
      </c>
      <c r="M3417" s="20">
        <v>12</v>
      </c>
      <c r="N3417" s="1">
        <v>131</v>
      </c>
    </row>
    <row r="3418" spans="1:14" x14ac:dyDescent="0.25">
      <c r="A3418" t="str">
        <f t="shared" si="108"/>
        <v>H189080H189080</v>
      </c>
      <c r="B3418" t="str">
        <f t="shared" si="109"/>
        <v>H189080P60394T-W</v>
      </c>
      <c r="C3418" s="1" t="s">
        <v>54</v>
      </c>
      <c r="D3418" s="1" t="s">
        <v>692</v>
      </c>
      <c r="E3418" s="1" t="s">
        <v>422</v>
      </c>
      <c r="F3418" s="1" t="s">
        <v>423</v>
      </c>
      <c r="G3418" s="1" t="s">
        <v>404</v>
      </c>
      <c r="H3418" s="1">
        <v>1998</v>
      </c>
      <c r="I3418" s="3">
        <v>46280</v>
      </c>
      <c r="J3418" s="3">
        <v>46284</v>
      </c>
      <c r="K3418" s="3" t="s">
        <v>2350</v>
      </c>
      <c r="L3418" s="31">
        <v>46280.471687731479</v>
      </c>
      <c r="M3418" s="20">
        <v>12</v>
      </c>
      <c r="N3418" s="1">
        <v>99</v>
      </c>
    </row>
    <row r="3419" spans="1:14" x14ac:dyDescent="0.25">
      <c r="A3419" t="str">
        <f t="shared" si="108"/>
        <v>H189080H189080</v>
      </c>
      <c r="B3419" t="str">
        <f t="shared" si="109"/>
        <v>H189080P60394T-W</v>
      </c>
      <c r="C3419" s="1" t="s">
        <v>54</v>
      </c>
      <c r="D3419" s="1" t="s">
        <v>692</v>
      </c>
      <c r="E3419" s="1" t="s">
        <v>422</v>
      </c>
      <c r="F3419" s="1" t="s">
        <v>423</v>
      </c>
      <c r="G3419" s="1" t="s">
        <v>404</v>
      </c>
      <c r="H3419" s="1">
        <v>1998</v>
      </c>
      <c r="I3419" s="3">
        <v>46280</v>
      </c>
      <c r="J3419" s="3">
        <v>46284</v>
      </c>
      <c r="K3419" s="3" t="s">
        <v>2350</v>
      </c>
      <c r="L3419" s="31">
        <v>46280.471887118052</v>
      </c>
      <c r="M3419" s="20">
        <v>12</v>
      </c>
      <c r="N3419" s="1">
        <v>138</v>
      </c>
    </row>
    <row r="3420" spans="1:14" x14ac:dyDescent="0.25">
      <c r="A3420" t="str">
        <f t="shared" si="108"/>
        <v>H189080H189080</v>
      </c>
      <c r="B3420" t="str">
        <f t="shared" si="109"/>
        <v>H189080P60394T-W</v>
      </c>
      <c r="C3420" s="1" t="s">
        <v>54</v>
      </c>
      <c r="D3420" s="1" t="s">
        <v>692</v>
      </c>
      <c r="E3420" s="1" t="s">
        <v>422</v>
      </c>
      <c r="F3420" s="1" t="s">
        <v>423</v>
      </c>
      <c r="G3420" s="1" t="s">
        <v>404</v>
      </c>
      <c r="H3420" s="1">
        <v>1998</v>
      </c>
      <c r="I3420" s="3">
        <v>46280</v>
      </c>
      <c r="J3420" s="3">
        <v>46284</v>
      </c>
      <c r="K3420" s="3" t="s">
        <v>2350</v>
      </c>
      <c r="L3420" s="31">
        <v>46280.481999884258</v>
      </c>
      <c r="M3420" s="20">
        <v>12</v>
      </c>
      <c r="N3420" s="1">
        <v>15</v>
      </c>
    </row>
    <row r="3421" spans="1:14" x14ac:dyDescent="0.25">
      <c r="A3421" t="str">
        <f t="shared" si="108"/>
        <v>H189080H189080</v>
      </c>
      <c r="B3421" t="str">
        <f t="shared" si="109"/>
        <v>H189080P60394T-W</v>
      </c>
      <c r="C3421" s="1" t="s">
        <v>54</v>
      </c>
      <c r="D3421" s="1" t="s">
        <v>692</v>
      </c>
      <c r="E3421" s="1" t="s">
        <v>422</v>
      </c>
      <c r="F3421" s="1" t="s">
        <v>423</v>
      </c>
      <c r="G3421" s="1" t="s">
        <v>404</v>
      </c>
      <c r="H3421" s="1">
        <v>1998</v>
      </c>
      <c r="I3421" s="3">
        <v>46280</v>
      </c>
      <c r="J3421" s="3">
        <v>46284</v>
      </c>
      <c r="K3421" s="3" t="s">
        <v>2350</v>
      </c>
      <c r="L3421" s="31">
        <v>46280.482208333335</v>
      </c>
      <c r="M3421" s="20">
        <v>12</v>
      </c>
      <c r="N3421" s="1">
        <v>34</v>
      </c>
    </row>
    <row r="3422" spans="1:14" x14ac:dyDescent="0.25">
      <c r="A3422" t="str">
        <f t="shared" si="108"/>
        <v>H189080H189080</v>
      </c>
      <c r="B3422" t="str">
        <f t="shared" si="109"/>
        <v>H189080P60394T-W</v>
      </c>
      <c r="C3422" s="1" t="s">
        <v>54</v>
      </c>
      <c r="D3422" s="1" t="s">
        <v>692</v>
      </c>
      <c r="E3422" s="1" t="s">
        <v>422</v>
      </c>
      <c r="F3422" s="1" t="s">
        <v>423</v>
      </c>
      <c r="G3422" s="1" t="s">
        <v>404</v>
      </c>
      <c r="H3422" s="1">
        <v>1998</v>
      </c>
      <c r="I3422" s="3">
        <v>46280</v>
      </c>
      <c r="J3422" s="3">
        <v>46284</v>
      </c>
      <c r="K3422" s="3" t="s">
        <v>2350</v>
      </c>
      <c r="L3422" s="31">
        <v>46280.482878391202</v>
      </c>
      <c r="M3422" s="20">
        <v>12</v>
      </c>
      <c r="N3422" s="1">
        <v>100</v>
      </c>
    </row>
    <row r="3423" spans="1:14" x14ac:dyDescent="0.25">
      <c r="A3423" t="str">
        <f t="shared" si="108"/>
        <v>H189080H189080</v>
      </c>
      <c r="B3423" t="str">
        <f t="shared" si="109"/>
        <v>H189080P60394T-W</v>
      </c>
      <c r="C3423" s="1" t="s">
        <v>54</v>
      </c>
      <c r="D3423" s="1" t="s">
        <v>692</v>
      </c>
      <c r="E3423" s="1" t="s">
        <v>422</v>
      </c>
      <c r="F3423" s="1" t="s">
        <v>423</v>
      </c>
      <c r="G3423" s="1" t="s">
        <v>404</v>
      </c>
      <c r="H3423" s="1">
        <v>1998</v>
      </c>
      <c r="I3423" s="3">
        <v>46280</v>
      </c>
      <c r="J3423" s="3">
        <v>46284</v>
      </c>
      <c r="K3423" s="3" t="s">
        <v>2350</v>
      </c>
      <c r="L3423" s="31">
        <v>46280.559380706014</v>
      </c>
      <c r="M3423" s="20">
        <v>12</v>
      </c>
      <c r="N3423" s="1">
        <v>16</v>
      </c>
    </row>
    <row r="3424" spans="1:14" x14ac:dyDescent="0.25">
      <c r="A3424" t="str">
        <f t="shared" si="108"/>
        <v>H189080H189080</v>
      </c>
      <c r="B3424" t="str">
        <f t="shared" si="109"/>
        <v>H189080P60394T-W</v>
      </c>
      <c r="C3424" s="1" t="s">
        <v>54</v>
      </c>
      <c r="D3424" s="1" t="s">
        <v>692</v>
      </c>
      <c r="E3424" s="1" t="s">
        <v>422</v>
      </c>
      <c r="F3424" s="1" t="s">
        <v>423</v>
      </c>
      <c r="G3424" s="1" t="s">
        <v>404</v>
      </c>
      <c r="H3424" s="1">
        <v>1998</v>
      </c>
      <c r="I3424" s="3">
        <v>46280</v>
      </c>
      <c r="J3424" s="3">
        <v>46284</v>
      </c>
      <c r="K3424" s="3" t="s">
        <v>2350</v>
      </c>
      <c r="L3424" s="31">
        <v>46280.563709062495</v>
      </c>
      <c r="M3424" s="20">
        <v>12</v>
      </c>
      <c r="N3424" s="1">
        <v>137</v>
      </c>
    </row>
    <row r="3425" spans="1:14" x14ac:dyDescent="0.25">
      <c r="A3425" t="str">
        <f t="shared" si="108"/>
        <v>H189080H189080</v>
      </c>
      <c r="B3425" t="str">
        <f t="shared" si="109"/>
        <v>H189080P60394T-W</v>
      </c>
      <c r="C3425" s="1" t="s">
        <v>54</v>
      </c>
      <c r="D3425" s="1" t="s">
        <v>692</v>
      </c>
      <c r="E3425" s="1" t="s">
        <v>422</v>
      </c>
      <c r="F3425" s="1" t="s">
        <v>423</v>
      </c>
      <c r="G3425" s="1" t="s">
        <v>404</v>
      </c>
      <c r="H3425" s="1">
        <v>1998</v>
      </c>
      <c r="I3425" s="3">
        <v>46280</v>
      </c>
      <c r="J3425" s="3">
        <v>46284</v>
      </c>
      <c r="K3425" s="3" t="s">
        <v>2350</v>
      </c>
      <c r="L3425" s="31">
        <v>46280.563897372682</v>
      </c>
      <c r="M3425" s="20">
        <v>12</v>
      </c>
      <c r="N3425" s="1">
        <v>62</v>
      </c>
    </row>
    <row r="3426" spans="1:14" x14ac:dyDescent="0.25">
      <c r="A3426" t="str">
        <f t="shared" si="108"/>
        <v>H189080H189080</v>
      </c>
      <c r="B3426" t="str">
        <f t="shared" si="109"/>
        <v>H189080P60394T-W</v>
      </c>
      <c r="C3426" s="1" t="s">
        <v>54</v>
      </c>
      <c r="D3426" s="1" t="s">
        <v>692</v>
      </c>
      <c r="E3426" s="1" t="s">
        <v>422</v>
      </c>
      <c r="F3426" s="1" t="s">
        <v>423</v>
      </c>
      <c r="G3426" s="1" t="s">
        <v>404</v>
      </c>
      <c r="H3426" s="1">
        <v>1998</v>
      </c>
      <c r="I3426" s="3">
        <v>46280</v>
      </c>
      <c r="J3426" s="3">
        <v>46284</v>
      </c>
      <c r="K3426" s="3" t="s">
        <v>2350</v>
      </c>
      <c r="L3426" s="31">
        <v>46280.569156053236</v>
      </c>
      <c r="M3426" s="20">
        <v>12</v>
      </c>
      <c r="N3426" s="1">
        <v>101</v>
      </c>
    </row>
    <row r="3427" spans="1:14" x14ac:dyDescent="0.25">
      <c r="A3427" t="str">
        <f t="shared" si="108"/>
        <v>H189080H189080</v>
      </c>
      <c r="B3427" t="str">
        <f t="shared" si="109"/>
        <v>H189080P60394T-W</v>
      </c>
      <c r="C3427" s="1" t="s">
        <v>54</v>
      </c>
      <c r="D3427" s="1" t="s">
        <v>692</v>
      </c>
      <c r="E3427" s="1" t="s">
        <v>422</v>
      </c>
      <c r="F3427" s="1" t="s">
        <v>423</v>
      </c>
      <c r="G3427" s="1" t="s">
        <v>404</v>
      </c>
      <c r="H3427" s="1">
        <v>1998</v>
      </c>
      <c r="I3427" s="3">
        <v>46280</v>
      </c>
      <c r="J3427" s="3">
        <v>46284</v>
      </c>
      <c r="K3427" s="3" t="s">
        <v>2350</v>
      </c>
      <c r="L3427" s="31">
        <v>46280.575849340275</v>
      </c>
      <c r="M3427" s="20">
        <v>12</v>
      </c>
      <c r="N3427" s="1">
        <v>64</v>
      </c>
    </row>
    <row r="3428" spans="1:14" x14ac:dyDescent="0.25">
      <c r="A3428" t="str">
        <f t="shared" si="108"/>
        <v>H189080H189080</v>
      </c>
      <c r="B3428" t="str">
        <f t="shared" si="109"/>
        <v>H189080P60394T-W</v>
      </c>
      <c r="C3428" s="1" t="s">
        <v>54</v>
      </c>
      <c r="D3428" s="1" t="s">
        <v>692</v>
      </c>
      <c r="E3428" s="1" t="s">
        <v>422</v>
      </c>
      <c r="F3428" s="1" t="s">
        <v>423</v>
      </c>
      <c r="G3428" s="1" t="s">
        <v>404</v>
      </c>
      <c r="H3428" s="1">
        <v>1998</v>
      </c>
      <c r="I3428" s="3">
        <v>46280</v>
      </c>
      <c r="J3428" s="3">
        <v>46284</v>
      </c>
      <c r="K3428" s="3" t="s">
        <v>2350</v>
      </c>
      <c r="L3428" s="31">
        <v>46280.576348842587</v>
      </c>
      <c r="M3428" s="20">
        <v>12</v>
      </c>
      <c r="N3428" s="1">
        <v>3</v>
      </c>
    </row>
    <row r="3429" spans="1:14" x14ac:dyDescent="0.25">
      <c r="A3429" t="str">
        <f t="shared" si="108"/>
        <v>H189080H189080</v>
      </c>
      <c r="B3429" t="str">
        <f t="shared" si="109"/>
        <v>H189080P60394T-W</v>
      </c>
      <c r="C3429" s="1" t="s">
        <v>54</v>
      </c>
      <c r="D3429" s="1" t="s">
        <v>692</v>
      </c>
      <c r="E3429" s="1" t="s">
        <v>422</v>
      </c>
      <c r="F3429" s="1" t="s">
        <v>423</v>
      </c>
      <c r="G3429" s="1" t="s">
        <v>404</v>
      </c>
      <c r="H3429" s="1">
        <v>1998</v>
      </c>
      <c r="I3429" s="3">
        <v>46280</v>
      </c>
      <c r="J3429" s="3">
        <v>46284</v>
      </c>
      <c r="K3429" s="3" t="s">
        <v>2350</v>
      </c>
      <c r="L3429" s="31">
        <v>46280.586570983796</v>
      </c>
      <c r="M3429" s="20">
        <v>12</v>
      </c>
      <c r="N3429" s="1">
        <v>63</v>
      </c>
    </row>
    <row r="3430" spans="1:14" x14ac:dyDescent="0.25">
      <c r="A3430" t="str">
        <f t="shared" si="108"/>
        <v>H189080H189080</v>
      </c>
      <c r="B3430" t="str">
        <f t="shared" si="109"/>
        <v>H189080P60394T-W</v>
      </c>
      <c r="C3430" s="1" t="s">
        <v>54</v>
      </c>
      <c r="D3430" s="1" t="s">
        <v>692</v>
      </c>
      <c r="E3430" s="1" t="s">
        <v>422</v>
      </c>
      <c r="F3430" s="1" t="s">
        <v>423</v>
      </c>
      <c r="G3430" s="1" t="s">
        <v>404</v>
      </c>
      <c r="H3430" s="1">
        <v>1998</v>
      </c>
      <c r="I3430" s="3">
        <v>46280</v>
      </c>
      <c r="J3430" s="3">
        <v>46284</v>
      </c>
      <c r="K3430" s="3" t="s">
        <v>2350</v>
      </c>
      <c r="L3430" s="31">
        <v>46280.58676431713</v>
      </c>
      <c r="M3430" s="20">
        <v>12</v>
      </c>
      <c r="N3430" s="1">
        <v>139</v>
      </c>
    </row>
    <row r="3431" spans="1:14" x14ac:dyDescent="0.25">
      <c r="A3431" t="str">
        <f t="shared" si="108"/>
        <v>H189080H189080</v>
      </c>
      <c r="B3431" t="str">
        <f t="shared" si="109"/>
        <v>H189080P60394T-W</v>
      </c>
      <c r="C3431" s="1" t="s">
        <v>54</v>
      </c>
      <c r="D3431" s="1" t="s">
        <v>692</v>
      </c>
      <c r="E3431" s="1" t="s">
        <v>422</v>
      </c>
      <c r="F3431" s="1" t="s">
        <v>423</v>
      </c>
      <c r="G3431" s="1" t="s">
        <v>404</v>
      </c>
      <c r="H3431" s="1">
        <v>1998</v>
      </c>
      <c r="I3431" s="3">
        <v>46280</v>
      </c>
      <c r="J3431" s="3">
        <v>46284</v>
      </c>
      <c r="K3431" s="3" t="s">
        <v>2350</v>
      </c>
      <c r="L3431" s="31">
        <v>46280.58695517361</v>
      </c>
      <c r="M3431" s="20">
        <v>12</v>
      </c>
      <c r="N3431" s="1">
        <v>98</v>
      </c>
    </row>
    <row r="3432" spans="1:14" x14ac:dyDescent="0.25">
      <c r="A3432" t="str">
        <f t="shared" si="108"/>
        <v>H189080H189080</v>
      </c>
      <c r="B3432" t="str">
        <f t="shared" si="109"/>
        <v>H189080P60394T-W</v>
      </c>
      <c r="C3432" s="1" t="s">
        <v>54</v>
      </c>
      <c r="D3432" s="1" t="s">
        <v>692</v>
      </c>
      <c r="E3432" s="1" t="s">
        <v>422</v>
      </c>
      <c r="F3432" s="1" t="s">
        <v>423</v>
      </c>
      <c r="G3432" s="1" t="s">
        <v>404</v>
      </c>
      <c r="H3432" s="1">
        <v>1998</v>
      </c>
      <c r="I3432" s="3">
        <v>46280</v>
      </c>
      <c r="J3432" s="3">
        <v>46284</v>
      </c>
      <c r="K3432" s="3" t="s">
        <v>2350</v>
      </c>
      <c r="L3432" s="31">
        <v>46280.591439664349</v>
      </c>
      <c r="M3432" s="20">
        <v>12</v>
      </c>
      <c r="N3432" s="1">
        <v>92</v>
      </c>
    </row>
    <row r="3433" spans="1:14" x14ac:dyDescent="0.25">
      <c r="A3433" t="str">
        <f t="shared" si="108"/>
        <v>H189080H189080</v>
      </c>
      <c r="B3433" t="str">
        <f t="shared" si="109"/>
        <v>H189080P60394T-W</v>
      </c>
      <c r="C3433" s="1" t="s">
        <v>54</v>
      </c>
      <c r="D3433" s="1" t="s">
        <v>692</v>
      </c>
      <c r="E3433" s="1" t="s">
        <v>422</v>
      </c>
      <c r="F3433" s="1" t="s">
        <v>423</v>
      </c>
      <c r="G3433" s="1" t="s">
        <v>404</v>
      </c>
      <c r="H3433" s="1">
        <v>1998</v>
      </c>
      <c r="I3433" s="3">
        <v>46280</v>
      </c>
      <c r="J3433" s="3">
        <v>46284</v>
      </c>
      <c r="K3433" s="3" t="s">
        <v>2350</v>
      </c>
      <c r="L3433" s="31">
        <v>46280.594189618052</v>
      </c>
      <c r="M3433" s="20">
        <v>12</v>
      </c>
      <c r="N3433" s="1">
        <v>128</v>
      </c>
    </row>
    <row r="3434" spans="1:14" x14ac:dyDescent="0.25">
      <c r="A3434" t="str">
        <f t="shared" si="108"/>
        <v>H189080H189080</v>
      </c>
      <c r="B3434" t="str">
        <f t="shared" si="109"/>
        <v>H189080P60394T-W</v>
      </c>
      <c r="C3434" s="1" t="s">
        <v>54</v>
      </c>
      <c r="D3434" s="1" t="s">
        <v>692</v>
      </c>
      <c r="E3434" s="1" t="s">
        <v>422</v>
      </c>
      <c r="F3434" s="1" t="s">
        <v>423</v>
      </c>
      <c r="G3434" s="1" t="s">
        <v>404</v>
      </c>
      <c r="H3434" s="1">
        <v>1998</v>
      </c>
      <c r="I3434" s="3">
        <v>46280</v>
      </c>
      <c r="J3434" s="3">
        <v>46284</v>
      </c>
      <c r="K3434" s="3" t="s">
        <v>2350</v>
      </c>
      <c r="L3434" s="31">
        <v>46280.602636307871</v>
      </c>
      <c r="M3434" s="20">
        <v>12</v>
      </c>
      <c r="N3434" s="1">
        <v>39</v>
      </c>
    </row>
    <row r="3435" spans="1:14" x14ac:dyDescent="0.25">
      <c r="A3435" t="str">
        <f t="shared" si="108"/>
        <v>H189080H189080</v>
      </c>
      <c r="B3435" t="str">
        <f t="shared" si="109"/>
        <v>H189080P60394T-W</v>
      </c>
      <c r="C3435" s="1" t="s">
        <v>54</v>
      </c>
      <c r="D3435" s="1" t="s">
        <v>692</v>
      </c>
      <c r="E3435" s="1" t="s">
        <v>422</v>
      </c>
      <c r="F3435" s="1" t="s">
        <v>423</v>
      </c>
      <c r="G3435" s="1" t="s">
        <v>404</v>
      </c>
      <c r="H3435" s="1">
        <v>1998</v>
      </c>
      <c r="I3435" s="3">
        <v>46280</v>
      </c>
      <c r="J3435" s="3">
        <v>46284</v>
      </c>
      <c r="K3435" s="3" t="s">
        <v>2350</v>
      </c>
      <c r="L3435" s="31">
        <v>46280.603030208331</v>
      </c>
      <c r="M3435" s="20">
        <v>12</v>
      </c>
      <c r="N3435" s="1">
        <v>65</v>
      </c>
    </row>
    <row r="3436" spans="1:14" x14ac:dyDescent="0.25">
      <c r="A3436" t="str">
        <f t="shared" si="108"/>
        <v>H189080H189080</v>
      </c>
      <c r="B3436" t="str">
        <f t="shared" si="109"/>
        <v>H189080P60394T-W</v>
      </c>
      <c r="C3436" s="1" t="s">
        <v>54</v>
      </c>
      <c r="D3436" s="1" t="s">
        <v>692</v>
      </c>
      <c r="E3436" s="1" t="s">
        <v>422</v>
      </c>
      <c r="F3436" s="1" t="s">
        <v>423</v>
      </c>
      <c r="G3436" s="1" t="s">
        <v>404</v>
      </c>
      <c r="H3436" s="1">
        <v>1998</v>
      </c>
      <c r="I3436" s="3">
        <v>46280</v>
      </c>
      <c r="J3436" s="3">
        <v>46284</v>
      </c>
      <c r="K3436" s="3" t="s">
        <v>2350</v>
      </c>
      <c r="L3436" s="31">
        <v>46280.603812847221</v>
      </c>
      <c r="M3436" s="20">
        <v>12</v>
      </c>
      <c r="N3436" s="1">
        <v>93</v>
      </c>
    </row>
    <row r="3437" spans="1:14" x14ac:dyDescent="0.25">
      <c r="A3437" t="str">
        <f t="shared" si="108"/>
        <v>H189080H189080</v>
      </c>
      <c r="B3437" t="str">
        <f t="shared" si="109"/>
        <v>H189080P60394T-W</v>
      </c>
      <c r="C3437" s="1" t="s">
        <v>54</v>
      </c>
      <c r="D3437" s="1" t="s">
        <v>692</v>
      </c>
      <c r="E3437" s="1" t="s">
        <v>422</v>
      </c>
      <c r="F3437" s="1" t="s">
        <v>423</v>
      </c>
      <c r="G3437" s="1" t="s">
        <v>404</v>
      </c>
      <c r="H3437" s="1">
        <v>1998</v>
      </c>
      <c r="I3437" s="3">
        <v>46280</v>
      </c>
      <c r="J3437" s="3">
        <v>46284</v>
      </c>
      <c r="K3437" s="3" t="s">
        <v>2350</v>
      </c>
      <c r="L3437" s="31">
        <v>46280.604087731481</v>
      </c>
      <c r="M3437" s="20">
        <v>12</v>
      </c>
      <c r="N3437" s="1">
        <v>140</v>
      </c>
    </row>
    <row r="3438" spans="1:14" x14ac:dyDescent="0.25">
      <c r="A3438" t="str">
        <f t="shared" si="108"/>
        <v>H189080H189080</v>
      </c>
      <c r="B3438" t="str">
        <f t="shared" si="109"/>
        <v>H189080P60394T-W</v>
      </c>
      <c r="C3438" s="1" t="s">
        <v>54</v>
      </c>
      <c r="D3438" s="1" t="s">
        <v>692</v>
      </c>
      <c r="E3438" s="1" t="s">
        <v>422</v>
      </c>
      <c r="F3438" s="1" t="s">
        <v>423</v>
      </c>
      <c r="G3438" s="1" t="s">
        <v>404</v>
      </c>
      <c r="H3438" s="1">
        <v>1998</v>
      </c>
      <c r="I3438" s="3">
        <v>46280</v>
      </c>
      <c r="J3438" s="3">
        <v>46284</v>
      </c>
      <c r="K3438" s="3" t="s">
        <v>2350</v>
      </c>
      <c r="L3438" s="31">
        <v>46280.608100613426</v>
      </c>
      <c r="M3438" s="20">
        <v>12</v>
      </c>
      <c r="N3438" s="1">
        <v>2</v>
      </c>
    </row>
    <row r="3439" spans="1:14" x14ac:dyDescent="0.25">
      <c r="A3439" t="str">
        <f t="shared" si="108"/>
        <v>H189080H189080</v>
      </c>
      <c r="B3439" t="str">
        <f t="shared" si="109"/>
        <v>H189080P60394T-W</v>
      </c>
      <c r="C3439" s="1" t="s">
        <v>54</v>
      </c>
      <c r="D3439" s="1" t="s">
        <v>692</v>
      </c>
      <c r="E3439" s="1" t="s">
        <v>422</v>
      </c>
      <c r="F3439" s="1" t="s">
        <v>423</v>
      </c>
      <c r="G3439" s="1" t="s">
        <v>404</v>
      </c>
      <c r="H3439" s="1">
        <v>1998</v>
      </c>
      <c r="I3439" s="3">
        <v>46280</v>
      </c>
      <c r="J3439" s="3">
        <v>46284</v>
      </c>
      <c r="K3439" s="3" t="s">
        <v>2350</v>
      </c>
      <c r="L3439" s="31">
        <v>46280.617207523144</v>
      </c>
      <c r="M3439" s="20">
        <v>12</v>
      </c>
      <c r="N3439" s="1">
        <v>56</v>
      </c>
    </row>
    <row r="3440" spans="1:14" x14ac:dyDescent="0.25">
      <c r="A3440" t="str">
        <f t="shared" si="108"/>
        <v>H189080H189080</v>
      </c>
      <c r="B3440" t="str">
        <f t="shared" si="109"/>
        <v>H189080P60394T-W</v>
      </c>
      <c r="C3440" s="1" t="s">
        <v>54</v>
      </c>
      <c r="D3440" s="1" t="s">
        <v>692</v>
      </c>
      <c r="E3440" s="1" t="s">
        <v>422</v>
      </c>
      <c r="F3440" s="1" t="s">
        <v>423</v>
      </c>
      <c r="G3440" s="1" t="s">
        <v>404</v>
      </c>
      <c r="H3440" s="1">
        <v>1998</v>
      </c>
      <c r="I3440" s="3">
        <v>46280</v>
      </c>
      <c r="J3440" s="3">
        <v>46284</v>
      </c>
      <c r="K3440" s="3" t="s">
        <v>2350</v>
      </c>
      <c r="L3440" s="31">
        <v>46280.618466435182</v>
      </c>
      <c r="M3440" s="20">
        <v>12</v>
      </c>
      <c r="N3440" s="1">
        <v>141</v>
      </c>
    </row>
    <row r="3441" spans="1:14" x14ac:dyDescent="0.25">
      <c r="A3441" t="str">
        <f t="shared" si="108"/>
        <v>H189080H189080</v>
      </c>
      <c r="B3441" t="str">
        <f t="shared" si="109"/>
        <v>H189080P60394T-W</v>
      </c>
      <c r="C3441" s="1" t="s">
        <v>54</v>
      </c>
      <c r="D3441" s="1" t="s">
        <v>692</v>
      </c>
      <c r="E3441" s="1" t="s">
        <v>422</v>
      </c>
      <c r="F3441" s="1" t="s">
        <v>423</v>
      </c>
      <c r="G3441" s="1" t="s">
        <v>404</v>
      </c>
      <c r="H3441" s="1">
        <v>1998</v>
      </c>
      <c r="I3441" s="3">
        <v>46280</v>
      </c>
      <c r="J3441" s="3">
        <v>46284</v>
      </c>
      <c r="K3441" s="3" t="s">
        <v>2350</v>
      </c>
      <c r="L3441" s="31">
        <v>46280.618648263888</v>
      </c>
      <c r="M3441" s="20">
        <v>12</v>
      </c>
      <c r="N3441" s="1">
        <v>66</v>
      </c>
    </row>
    <row r="3442" spans="1:14" x14ac:dyDescent="0.25">
      <c r="A3442" t="str">
        <f t="shared" si="108"/>
        <v>H189080H189080</v>
      </c>
      <c r="B3442" t="str">
        <f t="shared" si="109"/>
        <v>H189080P60394T-W</v>
      </c>
      <c r="C3442" s="1" t="s">
        <v>54</v>
      </c>
      <c r="D3442" s="1" t="s">
        <v>692</v>
      </c>
      <c r="E3442" s="1" t="s">
        <v>422</v>
      </c>
      <c r="F3442" s="1" t="s">
        <v>423</v>
      </c>
      <c r="G3442" s="1" t="s">
        <v>404</v>
      </c>
      <c r="H3442" s="1">
        <v>1998</v>
      </c>
      <c r="I3442" s="3">
        <v>46280</v>
      </c>
      <c r="J3442" s="3">
        <v>46284</v>
      </c>
      <c r="K3442" s="3" t="s">
        <v>2350</v>
      </c>
      <c r="L3442" s="31">
        <v>46280.618955208331</v>
      </c>
      <c r="M3442" s="20">
        <v>12</v>
      </c>
      <c r="N3442" s="1">
        <v>108</v>
      </c>
    </row>
    <row r="3443" spans="1:14" x14ac:dyDescent="0.25">
      <c r="A3443" t="str">
        <f t="shared" si="108"/>
        <v>H189080H189080</v>
      </c>
      <c r="B3443" t="str">
        <f t="shared" si="109"/>
        <v>H189080P60394T-W</v>
      </c>
      <c r="C3443" s="1" t="s">
        <v>54</v>
      </c>
      <c r="D3443" s="1" t="s">
        <v>692</v>
      </c>
      <c r="E3443" s="1" t="s">
        <v>422</v>
      </c>
      <c r="F3443" s="1" t="s">
        <v>423</v>
      </c>
      <c r="G3443" s="1" t="s">
        <v>404</v>
      </c>
      <c r="H3443" s="1">
        <v>1998</v>
      </c>
      <c r="I3443" s="3">
        <v>46280</v>
      </c>
      <c r="J3443" s="3">
        <v>46284</v>
      </c>
      <c r="K3443" s="3" t="s">
        <v>2350</v>
      </c>
      <c r="L3443" s="31">
        <v>46280.619287881942</v>
      </c>
      <c r="M3443" s="20">
        <v>12</v>
      </c>
      <c r="N3443" s="1">
        <v>17</v>
      </c>
    </row>
    <row r="3444" spans="1:14" x14ac:dyDescent="0.25">
      <c r="A3444" t="str">
        <f t="shared" si="108"/>
        <v>H189080H189080</v>
      </c>
      <c r="B3444" t="str">
        <f t="shared" si="109"/>
        <v>H189080P60394T-W</v>
      </c>
      <c r="C3444" s="1" t="s">
        <v>54</v>
      </c>
      <c r="D3444" s="1" t="s">
        <v>692</v>
      </c>
      <c r="E3444" s="1" t="s">
        <v>422</v>
      </c>
      <c r="F3444" s="1" t="s">
        <v>423</v>
      </c>
      <c r="G3444" s="1" t="s">
        <v>404</v>
      </c>
      <c r="H3444" s="1">
        <v>1998</v>
      </c>
      <c r="I3444" s="3">
        <v>46280</v>
      </c>
      <c r="J3444" s="3">
        <v>46284</v>
      </c>
      <c r="K3444" s="3" t="s">
        <v>2350</v>
      </c>
      <c r="L3444" s="31">
        <v>46280.640311921292</v>
      </c>
      <c r="M3444" s="20">
        <v>12</v>
      </c>
      <c r="N3444" s="1">
        <v>38</v>
      </c>
    </row>
    <row r="3445" spans="1:14" x14ac:dyDescent="0.25">
      <c r="A3445" t="str">
        <f t="shared" si="108"/>
        <v>H189080H189080</v>
      </c>
      <c r="B3445" t="str">
        <f t="shared" si="109"/>
        <v>H189080P60394T-W</v>
      </c>
      <c r="C3445" s="1" t="s">
        <v>54</v>
      </c>
      <c r="D3445" s="1" t="s">
        <v>692</v>
      </c>
      <c r="E3445" s="1" t="s">
        <v>422</v>
      </c>
      <c r="F3445" s="1" t="s">
        <v>423</v>
      </c>
      <c r="G3445" s="1" t="s">
        <v>404</v>
      </c>
      <c r="H3445" s="1">
        <v>1998</v>
      </c>
      <c r="I3445" s="3">
        <v>46280</v>
      </c>
      <c r="J3445" s="3">
        <v>46284</v>
      </c>
      <c r="K3445" s="3" t="s">
        <v>2350</v>
      </c>
      <c r="L3445" s="31">
        <v>46280.640969444445</v>
      </c>
      <c r="M3445" s="20">
        <v>12</v>
      </c>
      <c r="N3445" s="1">
        <v>1</v>
      </c>
    </row>
    <row r="3446" spans="1:14" x14ac:dyDescent="0.25">
      <c r="A3446" t="str">
        <f t="shared" si="108"/>
        <v>H189080H189080</v>
      </c>
      <c r="B3446" t="str">
        <f t="shared" si="109"/>
        <v>H189080P60394T-W</v>
      </c>
      <c r="C3446" s="1" t="s">
        <v>54</v>
      </c>
      <c r="D3446" s="1" t="s">
        <v>692</v>
      </c>
      <c r="E3446" s="1" t="s">
        <v>422</v>
      </c>
      <c r="F3446" s="1" t="s">
        <v>423</v>
      </c>
      <c r="G3446" s="1" t="s">
        <v>404</v>
      </c>
      <c r="H3446" s="1">
        <v>1998</v>
      </c>
      <c r="I3446" s="3">
        <v>46280</v>
      </c>
      <c r="J3446" s="3">
        <v>46284</v>
      </c>
      <c r="K3446" s="3" t="s">
        <v>2350</v>
      </c>
      <c r="L3446" s="31">
        <v>46280.648466168983</v>
      </c>
      <c r="M3446" s="20">
        <v>12</v>
      </c>
      <c r="N3446" s="1">
        <v>21</v>
      </c>
    </row>
    <row r="3447" spans="1:14" x14ac:dyDescent="0.25">
      <c r="A3447" t="str">
        <f t="shared" si="108"/>
        <v>H189080H189080</v>
      </c>
      <c r="B3447" t="str">
        <f t="shared" si="109"/>
        <v>H189080P60394T-W</v>
      </c>
      <c r="C3447" s="1" t="s">
        <v>54</v>
      </c>
      <c r="D3447" s="1" t="s">
        <v>692</v>
      </c>
      <c r="E3447" s="1" t="s">
        <v>422</v>
      </c>
      <c r="F3447" s="1" t="s">
        <v>423</v>
      </c>
      <c r="G3447" s="1" t="s">
        <v>404</v>
      </c>
      <c r="H3447" s="1">
        <v>1998</v>
      </c>
      <c r="I3447" s="3">
        <v>46280</v>
      </c>
      <c r="J3447" s="3">
        <v>46284</v>
      </c>
      <c r="K3447" s="3" t="s">
        <v>2350</v>
      </c>
      <c r="L3447" s="31">
        <v>46280.648802199074</v>
      </c>
      <c r="M3447" s="20">
        <v>12</v>
      </c>
      <c r="N3447" s="1">
        <v>67</v>
      </c>
    </row>
    <row r="3448" spans="1:14" x14ac:dyDescent="0.25">
      <c r="A3448" t="str">
        <f t="shared" si="108"/>
        <v>H189080H189080</v>
      </c>
      <c r="B3448" t="str">
        <f t="shared" si="109"/>
        <v>H189080P60394T-W</v>
      </c>
      <c r="C3448" s="1" t="s">
        <v>54</v>
      </c>
      <c r="D3448" s="1" t="s">
        <v>692</v>
      </c>
      <c r="E3448" s="1" t="s">
        <v>422</v>
      </c>
      <c r="F3448" s="1" t="s">
        <v>423</v>
      </c>
      <c r="G3448" s="1" t="s">
        <v>404</v>
      </c>
      <c r="H3448" s="1">
        <v>1998</v>
      </c>
      <c r="I3448" s="3">
        <v>46280</v>
      </c>
      <c r="J3448" s="3">
        <v>46284</v>
      </c>
      <c r="K3448" s="3" t="s">
        <v>2350</v>
      </c>
      <c r="L3448" s="31">
        <v>46280.64911716435</v>
      </c>
      <c r="M3448" s="20">
        <v>12</v>
      </c>
      <c r="N3448" s="1">
        <v>94</v>
      </c>
    </row>
    <row r="3449" spans="1:14" x14ac:dyDescent="0.25">
      <c r="A3449" t="str">
        <f t="shared" si="108"/>
        <v>H189080H189080</v>
      </c>
      <c r="B3449" t="str">
        <f t="shared" si="109"/>
        <v>H189080P60394T-W</v>
      </c>
      <c r="C3449" s="1" t="s">
        <v>54</v>
      </c>
      <c r="D3449" s="1" t="s">
        <v>692</v>
      </c>
      <c r="E3449" s="1" t="s">
        <v>422</v>
      </c>
      <c r="F3449" s="1" t="s">
        <v>423</v>
      </c>
      <c r="G3449" s="1" t="s">
        <v>404</v>
      </c>
      <c r="H3449" s="1">
        <v>1998</v>
      </c>
      <c r="I3449" s="3">
        <v>46280</v>
      </c>
      <c r="J3449" s="3">
        <v>46284</v>
      </c>
      <c r="K3449" s="3" t="s">
        <v>2350</v>
      </c>
      <c r="L3449" s="31">
        <v>46280.654255173606</v>
      </c>
      <c r="M3449" s="20">
        <v>12</v>
      </c>
      <c r="N3449" s="1">
        <v>129</v>
      </c>
    </row>
    <row r="3450" spans="1:14" x14ac:dyDescent="0.25">
      <c r="A3450" t="str">
        <f t="shared" si="108"/>
        <v>H189080H189080</v>
      </c>
      <c r="B3450" t="str">
        <f t="shared" si="109"/>
        <v>H189080P60394T-W</v>
      </c>
      <c r="C3450" s="1" t="s">
        <v>54</v>
      </c>
      <c r="D3450" s="1" t="s">
        <v>692</v>
      </c>
      <c r="E3450" s="1" t="s">
        <v>422</v>
      </c>
      <c r="F3450" s="1" t="s">
        <v>423</v>
      </c>
      <c r="G3450" s="1" t="s">
        <v>404</v>
      </c>
      <c r="H3450" s="1">
        <v>1998</v>
      </c>
      <c r="I3450" s="3">
        <v>46280</v>
      </c>
      <c r="J3450" s="3">
        <v>46284</v>
      </c>
      <c r="K3450" s="3" t="s">
        <v>2350</v>
      </c>
      <c r="L3450" s="31">
        <v>46280.654429548609</v>
      </c>
      <c r="M3450" s="20">
        <v>12</v>
      </c>
      <c r="N3450" s="1">
        <v>95</v>
      </c>
    </row>
    <row r="3451" spans="1:14" x14ac:dyDescent="0.25">
      <c r="A3451" t="str">
        <f t="shared" si="108"/>
        <v>H189080H189080</v>
      </c>
      <c r="B3451" t="str">
        <f t="shared" si="109"/>
        <v>H189080P60394T-W</v>
      </c>
      <c r="C3451" s="1" t="s">
        <v>54</v>
      </c>
      <c r="D3451" s="1" t="s">
        <v>692</v>
      </c>
      <c r="E3451" s="1" t="s">
        <v>422</v>
      </c>
      <c r="F3451" s="1" t="s">
        <v>423</v>
      </c>
      <c r="G3451" s="1" t="s">
        <v>404</v>
      </c>
      <c r="H3451" s="1">
        <v>1998</v>
      </c>
      <c r="I3451" s="3">
        <v>46280</v>
      </c>
      <c r="J3451" s="3">
        <v>46284</v>
      </c>
      <c r="K3451" s="3" t="s">
        <v>2350</v>
      </c>
      <c r="L3451" s="31">
        <v>46280.655048414352</v>
      </c>
      <c r="M3451" s="20">
        <v>12</v>
      </c>
      <c r="N3451" s="1">
        <v>130</v>
      </c>
    </row>
    <row r="3452" spans="1:14" x14ac:dyDescent="0.25">
      <c r="A3452" t="str">
        <f t="shared" si="108"/>
        <v>H189080H189080</v>
      </c>
      <c r="B3452" t="str">
        <f t="shared" si="109"/>
        <v>H189080P60394T-W</v>
      </c>
      <c r="C3452" s="1" t="s">
        <v>54</v>
      </c>
      <c r="D3452" s="1" t="s">
        <v>692</v>
      </c>
      <c r="E3452" s="1" t="s">
        <v>422</v>
      </c>
      <c r="F3452" s="1" t="s">
        <v>423</v>
      </c>
      <c r="G3452" s="1" t="s">
        <v>404</v>
      </c>
      <c r="H3452" s="1">
        <v>1998</v>
      </c>
      <c r="I3452" s="3">
        <v>46280</v>
      </c>
      <c r="J3452" s="3">
        <v>46284</v>
      </c>
      <c r="K3452" s="3" t="s">
        <v>2350</v>
      </c>
      <c r="L3452" s="31">
        <v>46280.659817789347</v>
      </c>
      <c r="M3452" s="20">
        <v>12</v>
      </c>
      <c r="N3452" s="1">
        <v>57</v>
      </c>
    </row>
    <row r="3453" spans="1:14" x14ac:dyDescent="0.25">
      <c r="A3453" t="str">
        <f t="shared" si="108"/>
        <v>H189080H189080</v>
      </c>
      <c r="B3453" t="str">
        <f t="shared" si="109"/>
        <v>H189080P60394T-W</v>
      </c>
      <c r="C3453" s="1" t="s">
        <v>54</v>
      </c>
      <c r="D3453" s="1" t="s">
        <v>692</v>
      </c>
      <c r="E3453" s="1" t="s">
        <v>422</v>
      </c>
      <c r="F3453" s="1" t="s">
        <v>423</v>
      </c>
      <c r="G3453" s="1" t="s">
        <v>404</v>
      </c>
      <c r="H3453" s="1">
        <v>1998</v>
      </c>
      <c r="I3453" s="3">
        <v>46280</v>
      </c>
      <c r="J3453" s="3">
        <v>46284</v>
      </c>
      <c r="K3453" s="3" t="s">
        <v>2350</v>
      </c>
      <c r="L3453" s="31">
        <v>46280.677766284723</v>
      </c>
      <c r="M3453" s="20">
        <v>12</v>
      </c>
      <c r="N3453" s="1">
        <v>18</v>
      </c>
    </row>
    <row r="3454" spans="1:14" x14ac:dyDescent="0.25">
      <c r="A3454" t="str">
        <f t="shared" si="108"/>
        <v>H189080H189080</v>
      </c>
      <c r="B3454" t="str">
        <f t="shared" si="109"/>
        <v>H189080P60394T-W</v>
      </c>
      <c r="C3454" s="1" t="s">
        <v>54</v>
      </c>
      <c r="D3454" s="1" t="s">
        <v>692</v>
      </c>
      <c r="E3454" s="1" t="s">
        <v>422</v>
      </c>
      <c r="F3454" s="1" t="s">
        <v>423</v>
      </c>
      <c r="G3454" s="1" t="s">
        <v>404</v>
      </c>
      <c r="H3454" s="1">
        <v>1998</v>
      </c>
      <c r="I3454" s="3">
        <v>46280</v>
      </c>
      <c r="J3454" s="3">
        <v>46284</v>
      </c>
      <c r="K3454" s="3" t="s">
        <v>2350</v>
      </c>
      <c r="L3454" s="31">
        <v>46280.677999189815</v>
      </c>
      <c r="M3454" s="20">
        <v>12</v>
      </c>
      <c r="N3454" s="1">
        <v>96</v>
      </c>
    </row>
    <row r="3455" spans="1:14" x14ac:dyDescent="0.25">
      <c r="A3455" t="str">
        <f t="shared" si="108"/>
        <v>H189080H189080</v>
      </c>
      <c r="B3455" t="str">
        <f t="shared" si="109"/>
        <v>H189080P60394T-W</v>
      </c>
      <c r="C3455" s="1" t="s">
        <v>54</v>
      </c>
      <c r="D3455" s="1" t="s">
        <v>692</v>
      </c>
      <c r="E3455" s="1" t="s">
        <v>422</v>
      </c>
      <c r="F3455" s="1" t="s">
        <v>423</v>
      </c>
      <c r="G3455" s="1" t="s">
        <v>404</v>
      </c>
      <c r="H3455" s="1">
        <v>1998</v>
      </c>
      <c r="I3455" s="3">
        <v>46280</v>
      </c>
      <c r="J3455" s="3">
        <v>46284</v>
      </c>
      <c r="K3455" s="3" t="s">
        <v>2350</v>
      </c>
      <c r="L3455" s="31">
        <v>46280.678155439811</v>
      </c>
      <c r="M3455" s="20">
        <v>12</v>
      </c>
      <c r="N3455" s="1">
        <v>37</v>
      </c>
    </row>
    <row r="3456" spans="1:14" x14ac:dyDescent="0.25">
      <c r="A3456" t="str">
        <f t="shared" si="108"/>
        <v>H189080H189080</v>
      </c>
      <c r="B3456" t="str">
        <f t="shared" si="109"/>
        <v>H189080P60394T-W</v>
      </c>
      <c r="C3456" s="1" t="s">
        <v>54</v>
      </c>
      <c r="D3456" s="1" t="s">
        <v>692</v>
      </c>
      <c r="E3456" s="1" t="s">
        <v>422</v>
      </c>
      <c r="F3456" s="1" t="s">
        <v>423</v>
      </c>
      <c r="G3456" s="1" t="s">
        <v>404</v>
      </c>
      <c r="H3456" s="1">
        <v>1998</v>
      </c>
      <c r="I3456" s="3">
        <v>46280</v>
      </c>
      <c r="J3456" s="3">
        <v>46284</v>
      </c>
      <c r="K3456" s="3" t="s">
        <v>2350</v>
      </c>
      <c r="L3456" s="31">
        <v>46280.678325462963</v>
      </c>
      <c r="M3456" s="20">
        <v>12</v>
      </c>
      <c r="N3456" s="1">
        <v>74</v>
      </c>
    </row>
    <row r="3457" spans="1:14" x14ac:dyDescent="0.25">
      <c r="A3457" t="str">
        <f t="shared" si="108"/>
        <v>H189080H189080</v>
      </c>
      <c r="B3457" t="str">
        <f t="shared" si="109"/>
        <v>H189080P60394T-W</v>
      </c>
      <c r="C3457" s="1" t="s">
        <v>54</v>
      </c>
      <c r="D3457" s="1" t="s">
        <v>692</v>
      </c>
      <c r="E3457" s="1" t="s">
        <v>422</v>
      </c>
      <c r="F3457" s="1" t="s">
        <v>423</v>
      </c>
      <c r="G3457" s="1" t="s">
        <v>404</v>
      </c>
      <c r="H3457" s="1">
        <v>1998</v>
      </c>
      <c r="I3457" s="3">
        <v>46280</v>
      </c>
      <c r="J3457" s="3">
        <v>46284</v>
      </c>
      <c r="K3457" s="3" t="s">
        <v>2350</v>
      </c>
      <c r="L3457" s="31">
        <v>46280.691852511569</v>
      </c>
      <c r="M3457" s="20">
        <v>12</v>
      </c>
      <c r="N3457" s="1">
        <v>43</v>
      </c>
    </row>
    <row r="3458" spans="1:14" x14ac:dyDescent="0.25">
      <c r="A3458" t="str">
        <f t="shared" ref="A3458:A3521" si="110">+D3458&amp;D3458</f>
        <v>H189080H189080</v>
      </c>
      <c r="B3458" t="str">
        <f t="shared" ref="B3458:B3521" si="111">+D3458&amp;C3458</f>
        <v>H189080P60394T-W</v>
      </c>
      <c r="C3458" s="1" t="s">
        <v>54</v>
      </c>
      <c r="D3458" s="1" t="s">
        <v>692</v>
      </c>
      <c r="E3458" s="1" t="s">
        <v>422</v>
      </c>
      <c r="F3458" s="1" t="s">
        <v>423</v>
      </c>
      <c r="G3458" s="1" t="s">
        <v>404</v>
      </c>
      <c r="H3458" s="1">
        <v>1998</v>
      </c>
      <c r="I3458" s="3">
        <v>46280</v>
      </c>
      <c r="J3458" s="3">
        <v>46284</v>
      </c>
      <c r="K3458" s="3" t="s">
        <v>2350</v>
      </c>
      <c r="L3458" s="31">
        <v>46280.692041435184</v>
      </c>
      <c r="M3458" s="20">
        <v>12</v>
      </c>
      <c r="N3458" s="1">
        <v>23</v>
      </c>
    </row>
    <row r="3459" spans="1:14" x14ac:dyDescent="0.25">
      <c r="A3459" t="str">
        <f t="shared" si="110"/>
        <v>H189080H189080</v>
      </c>
      <c r="B3459" t="str">
        <f t="shared" si="111"/>
        <v>H189080P60394T-W</v>
      </c>
      <c r="C3459" s="1" t="s">
        <v>54</v>
      </c>
      <c r="D3459" s="1" t="s">
        <v>692</v>
      </c>
      <c r="E3459" s="1" t="s">
        <v>422</v>
      </c>
      <c r="F3459" s="1" t="s">
        <v>423</v>
      </c>
      <c r="G3459" s="1" t="s">
        <v>404</v>
      </c>
      <c r="H3459" s="1">
        <v>1998</v>
      </c>
      <c r="I3459" s="3">
        <v>46280</v>
      </c>
      <c r="J3459" s="3">
        <v>46284</v>
      </c>
      <c r="K3459" s="3" t="s">
        <v>2350</v>
      </c>
      <c r="L3459" s="31">
        <v>46280.692206134256</v>
      </c>
      <c r="M3459" s="20">
        <v>12</v>
      </c>
      <c r="N3459" s="1">
        <v>68</v>
      </c>
    </row>
    <row r="3460" spans="1:14" x14ac:dyDescent="0.25">
      <c r="A3460" t="str">
        <f t="shared" si="110"/>
        <v>H189080H189080</v>
      </c>
      <c r="B3460" t="str">
        <f t="shared" si="111"/>
        <v>H189080P60394T-W</v>
      </c>
      <c r="C3460" s="1" t="s">
        <v>54</v>
      </c>
      <c r="D3460" s="1" t="s">
        <v>692</v>
      </c>
      <c r="E3460" s="1" t="s">
        <v>422</v>
      </c>
      <c r="F3460" s="1" t="s">
        <v>423</v>
      </c>
      <c r="G3460" s="1" t="s">
        <v>404</v>
      </c>
      <c r="H3460" s="1">
        <v>1998</v>
      </c>
      <c r="I3460" s="3">
        <v>46280</v>
      </c>
      <c r="J3460" s="3">
        <v>46284</v>
      </c>
      <c r="K3460" s="3" t="s">
        <v>2350</v>
      </c>
      <c r="L3460" s="31">
        <v>46280.692408946757</v>
      </c>
      <c r="M3460" s="20">
        <v>12</v>
      </c>
      <c r="N3460" s="1">
        <v>147</v>
      </c>
    </row>
    <row r="3461" spans="1:14" x14ac:dyDescent="0.25">
      <c r="A3461" t="str">
        <f t="shared" si="110"/>
        <v>H189080H189080</v>
      </c>
      <c r="B3461" t="str">
        <f t="shared" si="111"/>
        <v>H189080P60394T-W</v>
      </c>
      <c r="C3461" s="1" t="s">
        <v>54</v>
      </c>
      <c r="D3461" s="1" t="s">
        <v>692</v>
      </c>
      <c r="E3461" s="1" t="s">
        <v>422</v>
      </c>
      <c r="F3461" s="1" t="s">
        <v>423</v>
      </c>
      <c r="G3461" s="1" t="s">
        <v>404</v>
      </c>
      <c r="H3461" s="1">
        <v>1998</v>
      </c>
      <c r="I3461" s="3">
        <v>46280</v>
      </c>
      <c r="J3461" s="3">
        <v>46284</v>
      </c>
      <c r="K3461" s="3" t="s">
        <v>2350</v>
      </c>
      <c r="L3461" s="31">
        <v>46280.693563159723</v>
      </c>
      <c r="M3461" s="20">
        <v>12</v>
      </c>
      <c r="N3461" s="1">
        <v>22</v>
      </c>
    </row>
    <row r="3462" spans="1:14" x14ac:dyDescent="0.25">
      <c r="A3462" t="str">
        <f t="shared" si="110"/>
        <v>H189080H189080</v>
      </c>
      <c r="B3462" t="str">
        <f t="shared" si="111"/>
        <v>H189080P60394T-W</v>
      </c>
      <c r="C3462" s="1" t="s">
        <v>54</v>
      </c>
      <c r="D3462" s="1" t="s">
        <v>692</v>
      </c>
      <c r="E3462" s="1" t="s">
        <v>422</v>
      </c>
      <c r="F3462" s="1" t="s">
        <v>423</v>
      </c>
      <c r="G3462" s="1" t="s">
        <v>404</v>
      </c>
      <c r="H3462" s="1">
        <v>1998</v>
      </c>
      <c r="I3462" s="3">
        <v>46280</v>
      </c>
      <c r="J3462" s="3">
        <v>46284</v>
      </c>
      <c r="K3462" s="3" t="s">
        <v>2350</v>
      </c>
      <c r="L3462" s="31">
        <v>46280.694019328701</v>
      </c>
      <c r="M3462" s="20">
        <v>12</v>
      </c>
      <c r="N3462" s="1">
        <v>20</v>
      </c>
    </row>
    <row r="3463" spans="1:14" x14ac:dyDescent="0.25">
      <c r="A3463" t="str">
        <f t="shared" si="110"/>
        <v>H189080H189080</v>
      </c>
      <c r="B3463" t="str">
        <f t="shared" si="111"/>
        <v>H189080P60394T-W</v>
      </c>
      <c r="C3463" s="1" t="s">
        <v>54</v>
      </c>
      <c r="D3463" s="1" t="s">
        <v>692</v>
      </c>
      <c r="E3463" s="1" t="s">
        <v>422</v>
      </c>
      <c r="F3463" s="1" t="s">
        <v>423</v>
      </c>
      <c r="G3463" s="1" t="s">
        <v>404</v>
      </c>
      <c r="H3463" s="1">
        <v>1998</v>
      </c>
      <c r="I3463" s="3">
        <v>46280</v>
      </c>
      <c r="J3463" s="3">
        <v>46284</v>
      </c>
      <c r="K3463" s="3" t="s">
        <v>2350</v>
      </c>
      <c r="L3463" s="31">
        <v>46280.694755208329</v>
      </c>
      <c r="M3463" s="20">
        <v>12</v>
      </c>
      <c r="N3463" s="1">
        <v>42</v>
      </c>
    </row>
    <row r="3464" spans="1:14" x14ac:dyDescent="0.25">
      <c r="A3464" t="str">
        <f t="shared" si="110"/>
        <v>H189080H189080</v>
      </c>
      <c r="B3464" t="str">
        <f t="shared" si="111"/>
        <v>H189080P60394T-W</v>
      </c>
      <c r="C3464" s="1" t="s">
        <v>54</v>
      </c>
      <c r="D3464" s="1" t="s">
        <v>692</v>
      </c>
      <c r="E3464" s="1" t="s">
        <v>422</v>
      </c>
      <c r="F3464" s="1" t="s">
        <v>423</v>
      </c>
      <c r="G3464" s="1" t="s">
        <v>404</v>
      </c>
      <c r="H3464" s="1">
        <v>1998</v>
      </c>
      <c r="I3464" s="3">
        <v>46280</v>
      </c>
      <c r="J3464" s="3">
        <v>46284</v>
      </c>
      <c r="K3464" s="3" t="s">
        <v>2350</v>
      </c>
      <c r="L3464" s="31">
        <v>46280.695056400458</v>
      </c>
      <c r="M3464" s="20">
        <v>12</v>
      </c>
      <c r="N3464" s="1">
        <v>114</v>
      </c>
    </row>
    <row r="3465" spans="1:14" x14ac:dyDescent="0.25">
      <c r="A3465" t="str">
        <f t="shared" si="110"/>
        <v>H189080H189080</v>
      </c>
      <c r="B3465" t="str">
        <f t="shared" si="111"/>
        <v>H189080P60394T-W</v>
      </c>
      <c r="C3465" s="1" t="s">
        <v>54</v>
      </c>
      <c r="D3465" s="1" t="s">
        <v>692</v>
      </c>
      <c r="E3465" s="1" t="s">
        <v>422</v>
      </c>
      <c r="F3465" s="1" t="s">
        <v>423</v>
      </c>
      <c r="G3465" s="1" t="s">
        <v>404</v>
      </c>
      <c r="H3465" s="1">
        <v>1998</v>
      </c>
      <c r="I3465" s="3">
        <v>46280</v>
      </c>
      <c r="J3465" s="3">
        <v>46284</v>
      </c>
      <c r="K3465" s="3" t="s">
        <v>2350</v>
      </c>
      <c r="L3465" s="31">
        <v>46280.695231597223</v>
      </c>
      <c r="M3465" s="20">
        <v>12</v>
      </c>
      <c r="N3465" s="1">
        <v>97</v>
      </c>
    </row>
    <row r="3466" spans="1:14" x14ac:dyDescent="0.25">
      <c r="A3466" t="str">
        <f t="shared" si="110"/>
        <v>H189080H189080</v>
      </c>
      <c r="B3466" t="str">
        <f t="shared" si="111"/>
        <v>H189080P60394T-W</v>
      </c>
      <c r="C3466" s="1" t="s">
        <v>54</v>
      </c>
      <c r="D3466" s="1" t="s">
        <v>692</v>
      </c>
      <c r="E3466" s="1" t="s">
        <v>422</v>
      </c>
      <c r="F3466" s="1" t="s">
        <v>423</v>
      </c>
      <c r="G3466" s="1" t="s">
        <v>404</v>
      </c>
      <c r="H3466" s="1">
        <v>1998</v>
      </c>
      <c r="I3466" s="3">
        <v>46280</v>
      </c>
      <c r="J3466" s="3">
        <v>46284</v>
      </c>
      <c r="K3466" s="3" t="s">
        <v>2350</v>
      </c>
      <c r="L3466" s="31">
        <v>46280.695838113425</v>
      </c>
      <c r="M3466" s="20">
        <v>12</v>
      </c>
      <c r="N3466" s="1">
        <v>4</v>
      </c>
    </row>
    <row r="3467" spans="1:14" x14ac:dyDescent="0.25">
      <c r="A3467" t="str">
        <f t="shared" si="110"/>
        <v>H189080H189080</v>
      </c>
      <c r="B3467" t="str">
        <f t="shared" si="111"/>
        <v>H189080P60394T-W</v>
      </c>
      <c r="C3467" s="1" t="s">
        <v>54</v>
      </c>
      <c r="D3467" s="1" t="s">
        <v>692</v>
      </c>
      <c r="E3467" s="1" t="s">
        <v>422</v>
      </c>
      <c r="F3467" s="1" t="s">
        <v>423</v>
      </c>
      <c r="G3467" s="1" t="s">
        <v>404</v>
      </c>
      <c r="H3467" s="1">
        <v>1998</v>
      </c>
      <c r="I3467" s="3">
        <v>46280</v>
      </c>
      <c r="J3467" s="3">
        <v>46284</v>
      </c>
      <c r="K3467" s="3" t="s">
        <v>2350</v>
      </c>
      <c r="L3467" s="31">
        <v>46280.695994479167</v>
      </c>
      <c r="M3467" s="20">
        <v>12</v>
      </c>
      <c r="N3467" s="1">
        <v>58</v>
      </c>
    </row>
    <row r="3468" spans="1:14" x14ac:dyDescent="0.25">
      <c r="A3468" t="str">
        <f t="shared" si="110"/>
        <v>H189080H189080</v>
      </c>
      <c r="B3468" t="str">
        <f t="shared" si="111"/>
        <v>H189080P60394T-W</v>
      </c>
      <c r="C3468" s="1" t="s">
        <v>54</v>
      </c>
      <c r="D3468" s="1" t="s">
        <v>692</v>
      </c>
      <c r="E3468" s="1" t="s">
        <v>422</v>
      </c>
      <c r="F3468" s="1" t="s">
        <v>423</v>
      </c>
      <c r="G3468" s="1" t="s">
        <v>404</v>
      </c>
      <c r="H3468" s="1">
        <v>1998</v>
      </c>
      <c r="I3468" s="3">
        <v>46280</v>
      </c>
      <c r="J3468" s="3">
        <v>46284</v>
      </c>
      <c r="K3468" s="3" t="s">
        <v>2350</v>
      </c>
      <c r="L3468" s="31">
        <v>46280.703564467593</v>
      </c>
      <c r="M3468" s="20">
        <v>12</v>
      </c>
      <c r="N3468" s="1">
        <v>40</v>
      </c>
    </row>
    <row r="3469" spans="1:14" x14ac:dyDescent="0.25">
      <c r="A3469" t="str">
        <f t="shared" si="110"/>
        <v>H189080H189080</v>
      </c>
      <c r="B3469" t="str">
        <f t="shared" si="111"/>
        <v>H189080P60394T-W</v>
      </c>
      <c r="C3469" s="1" t="s">
        <v>54</v>
      </c>
      <c r="D3469" s="1" t="s">
        <v>692</v>
      </c>
      <c r="E3469" s="1" t="s">
        <v>422</v>
      </c>
      <c r="F3469" s="1" t="s">
        <v>423</v>
      </c>
      <c r="G3469" s="1" t="s">
        <v>404</v>
      </c>
      <c r="H3469" s="1">
        <v>1998</v>
      </c>
      <c r="I3469" s="3">
        <v>46280</v>
      </c>
      <c r="J3469" s="3">
        <v>46284</v>
      </c>
      <c r="K3469" s="3" t="s">
        <v>2350</v>
      </c>
      <c r="L3469" s="31">
        <v>46280.703767476851</v>
      </c>
      <c r="M3469" s="20">
        <v>12</v>
      </c>
      <c r="N3469" s="1">
        <v>71</v>
      </c>
    </row>
    <row r="3470" spans="1:14" x14ac:dyDescent="0.25">
      <c r="A3470" t="str">
        <f t="shared" si="110"/>
        <v>H189080H189080</v>
      </c>
      <c r="B3470" t="str">
        <f t="shared" si="111"/>
        <v>H189080P60394T-W</v>
      </c>
      <c r="C3470" s="1" t="s">
        <v>54</v>
      </c>
      <c r="D3470" s="1" t="s">
        <v>692</v>
      </c>
      <c r="E3470" s="1" t="s">
        <v>422</v>
      </c>
      <c r="F3470" s="1" t="s">
        <v>423</v>
      </c>
      <c r="G3470" s="1" t="s">
        <v>404</v>
      </c>
      <c r="H3470" s="1">
        <v>1998</v>
      </c>
      <c r="I3470" s="3">
        <v>46280</v>
      </c>
      <c r="J3470" s="3">
        <v>46284</v>
      </c>
      <c r="K3470" s="3" t="s">
        <v>2350</v>
      </c>
      <c r="L3470" s="31">
        <v>46280.704951967593</v>
      </c>
      <c r="M3470" s="20">
        <v>12</v>
      </c>
      <c r="N3470" s="1">
        <v>41</v>
      </c>
    </row>
    <row r="3471" spans="1:14" x14ac:dyDescent="0.25">
      <c r="A3471" t="str">
        <f t="shared" si="110"/>
        <v>H189080H189080</v>
      </c>
      <c r="B3471" t="str">
        <f t="shared" si="111"/>
        <v>H189080P60394T-W</v>
      </c>
      <c r="C3471" s="1" t="s">
        <v>54</v>
      </c>
      <c r="D3471" s="1" t="s">
        <v>692</v>
      </c>
      <c r="E3471" s="1" t="s">
        <v>422</v>
      </c>
      <c r="F3471" s="1" t="s">
        <v>423</v>
      </c>
      <c r="G3471" s="1" t="s">
        <v>404</v>
      </c>
      <c r="H3471" s="1">
        <v>1998</v>
      </c>
      <c r="I3471" s="3">
        <v>46280</v>
      </c>
      <c r="J3471" s="3">
        <v>46284</v>
      </c>
      <c r="K3471" s="3" t="s">
        <v>2350</v>
      </c>
      <c r="L3471" s="31">
        <v>46280.705220567128</v>
      </c>
      <c r="M3471" s="20">
        <v>12</v>
      </c>
      <c r="N3471" s="1">
        <v>70</v>
      </c>
    </row>
    <row r="3472" spans="1:14" x14ac:dyDescent="0.25">
      <c r="A3472" t="str">
        <f t="shared" si="110"/>
        <v>H189080H189080</v>
      </c>
      <c r="B3472" t="str">
        <f t="shared" si="111"/>
        <v>H189080P60394T-W</v>
      </c>
      <c r="C3472" s="1" t="s">
        <v>54</v>
      </c>
      <c r="D3472" s="1" t="s">
        <v>692</v>
      </c>
      <c r="E3472" s="1" t="s">
        <v>422</v>
      </c>
      <c r="F3472" s="1" t="s">
        <v>423</v>
      </c>
      <c r="G3472" s="1" t="s">
        <v>404</v>
      </c>
      <c r="H3472" s="1">
        <v>1998</v>
      </c>
      <c r="I3472" s="3">
        <v>46280</v>
      </c>
      <c r="J3472" s="3">
        <v>46284</v>
      </c>
      <c r="K3472" s="3" t="s">
        <v>2350</v>
      </c>
      <c r="L3472" s="31">
        <v>46280.705368715273</v>
      </c>
      <c r="M3472" s="20">
        <v>12</v>
      </c>
      <c r="N3472" s="1">
        <v>69</v>
      </c>
    </row>
    <row r="3473" spans="1:14" x14ac:dyDescent="0.25">
      <c r="A3473" t="str">
        <f t="shared" si="110"/>
        <v>H189080H189080</v>
      </c>
      <c r="B3473" t="str">
        <f t="shared" si="111"/>
        <v>H189080P60394T-W</v>
      </c>
      <c r="C3473" s="1" t="s">
        <v>54</v>
      </c>
      <c r="D3473" s="1" t="s">
        <v>692</v>
      </c>
      <c r="E3473" s="1" t="s">
        <v>422</v>
      </c>
      <c r="F3473" s="1" t="s">
        <v>423</v>
      </c>
      <c r="G3473" s="1" t="s">
        <v>404</v>
      </c>
      <c r="H3473" s="1">
        <v>1998</v>
      </c>
      <c r="I3473" s="3">
        <v>46280</v>
      </c>
      <c r="J3473" s="3">
        <v>46284</v>
      </c>
      <c r="K3473" s="3" t="s">
        <v>2350</v>
      </c>
      <c r="L3473" s="31">
        <v>46280.705501585646</v>
      </c>
      <c r="M3473" s="20">
        <v>12</v>
      </c>
      <c r="N3473" s="1">
        <v>127</v>
      </c>
    </row>
    <row r="3474" spans="1:14" x14ac:dyDescent="0.25">
      <c r="A3474" t="str">
        <f t="shared" si="110"/>
        <v>H189080H189080</v>
      </c>
      <c r="B3474" t="str">
        <f t="shared" si="111"/>
        <v>H189080P60394T-W</v>
      </c>
      <c r="C3474" s="1" t="s">
        <v>54</v>
      </c>
      <c r="D3474" s="1" t="s">
        <v>692</v>
      </c>
      <c r="E3474" s="1" t="s">
        <v>422</v>
      </c>
      <c r="F3474" s="1" t="s">
        <v>423</v>
      </c>
      <c r="G3474" s="1" t="s">
        <v>404</v>
      </c>
      <c r="H3474" s="1">
        <v>1998</v>
      </c>
      <c r="I3474" s="3">
        <v>46280</v>
      </c>
      <c r="J3474" s="3">
        <v>46284</v>
      </c>
      <c r="K3474" s="3" t="s">
        <v>2350</v>
      </c>
      <c r="L3474" s="31">
        <v>46280.718943553242</v>
      </c>
      <c r="M3474" s="20">
        <v>12</v>
      </c>
      <c r="N3474" s="1">
        <v>19</v>
      </c>
    </row>
    <row r="3475" spans="1:14" x14ac:dyDescent="0.25">
      <c r="A3475" t="str">
        <f t="shared" si="110"/>
        <v>H189080H189080</v>
      </c>
      <c r="B3475" t="str">
        <f t="shared" si="111"/>
        <v>H189080P60394T-W</v>
      </c>
      <c r="C3475" s="1" t="s">
        <v>54</v>
      </c>
      <c r="D3475" s="1" t="s">
        <v>692</v>
      </c>
      <c r="E3475" s="1" t="s">
        <v>422</v>
      </c>
      <c r="F3475" s="1" t="s">
        <v>423</v>
      </c>
      <c r="G3475" s="1" t="s">
        <v>404</v>
      </c>
      <c r="H3475" s="1">
        <v>1998</v>
      </c>
      <c r="I3475" s="3">
        <v>46280</v>
      </c>
      <c r="J3475" s="3">
        <v>46284</v>
      </c>
      <c r="K3475" s="3" t="s">
        <v>2350</v>
      </c>
      <c r="L3475" s="31">
        <v>46280.719153356476</v>
      </c>
      <c r="M3475" s="20">
        <v>12</v>
      </c>
      <c r="N3475" s="1">
        <v>72</v>
      </c>
    </row>
    <row r="3476" spans="1:14" x14ac:dyDescent="0.25">
      <c r="A3476" t="str">
        <f t="shared" si="110"/>
        <v>H189080H189080</v>
      </c>
      <c r="B3476" t="str">
        <f t="shared" si="111"/>
        <v>H189080P60394T-W</v>
      </c>
      <c r="C3476" s="1" t="s">
        <v>54</v>
      </c>
      <c r="D3476" s="1" t="s">
        <v>692</v>
      </c>
      <c r="E3476" s="1" t="s">
        <v>422</v>
      </c>
      <c r="F3476" s="1" t="s">
        <v>423</v>
      </c>
      <c r="G3476" s="1" t="s">
        <v>404</v>
      </c>
      <c r="H3476" s="1">
        <v>1998</v>
      </c>
      <c r="I3476" s="3">
        <v>46280</v>
      </c>
      <c r="J3476" s="3">
        <v>46284</v>
      </c>
      <c r="K3476" s="3" t="s">
        <v>2350</v>
      </c>
      <c r="L3476" s="31">
        <v>46280.719483483794</v>
      </c>
      <c r="M3476" s="20">
        <v>12</v>
      </c>
      <c r="N3476" s="1">
        <v>115</v>
      </c>
    </row>
    <row r="3477" spans="1:14" x14ac:dyDescent="0.25">
      <c r="A3477" t="str">
        <f t="shared" si="110"/>
        <v>U146424U146424</v>
      </c>
      <c r="B3477" t="str">
        <f t="shared" si="111"/>
        <v>U146424I603457-W</v>
      </c>
      <c r="C3477" s="1" t="s">
        <v>59</v>
      </c>
      <c r="D3477" s="1" t="s">
        <v>699</v>
      </c>
      <c r="E3477" s="1" t="s">
        <v>436</v>
      </c>
      <c r="F3477" s="1" t="s">
        <v>440</v>
      </c>
      <c r="G3477" s="1" t="s">
        <v>438</v>
      </c>
      <c r="H3477" s="1">
        <v>492</v>
      </c>
      <c r="I3477" s="3">
        <v>46280</v>
      </c>
      <c r="J3477" s="3">
        <v>46283</v>
      </c>
      <c r="K3477" s="3" t="s">
        <v>2362</v>
      </c>
      <c r="L3477" s="31">
        <v>46280.577587384258</v>
      </c>
      <c r="M3477" s="20">
        <v>12</v>
      </c>
      <c r="N3477" s="1">
        <v>15</v>
      </c>
    </row>
    <row r="3478" spans="1:14" x14ac:dyDescent="0.25">
      <c r="A3478" t="str">
        <f t="shared" si="110"/>
        <v>U146424U146424</v>
      </c>
      <c r="B3478" t="str">
        <f t="shared" si="111"/>
        <v>U146424I603457-W</v>
      </c>
      <c r="C3478" s="1" t="s">
        <v>59</v>
      </c>
      <c r="D3478" s="1" t="s">
        <v>699</v>
      </c>
      <c r="E3478" s="1" t="s">
        <v>436</v>
      </c>
      <c r="F3478" s="1" t="s">
        <v>440</v>
      </c>
      <c r="G3478" s="1" t="s">
        <v>438</v>
      </c>
      <c r="H3478" s="1">
        <v>492</v>
      </c>
      <c r="I3478" s="3">
        <v>46280</v>
      </c>
      <c r="J3478" s="3">
        <v>46283</v>
      </c>
      <c r="K3478" s="3" t="s">
        <v>2362</v>
      </c>
      <c r="L3478" s="31">
        <v>46280.578386655092</v>
      </c>
      <c r="M3478" s="20">
        <v>12</v>
      </c>
      <c r="N3478" s="1">
        <v>24</v>
      </c>
    </row>
    <row r="3479" spans="1:14" x14ac:dyDescent="0.25">
      <c r="A3479" t="str">
        <f t="shared" si="110"/>
        <v>U146424U146424</v>
      </c>
      <c r="B3479" t="str">
        <f t="shared" si="111"/>
        <v>U146424I603457-W</v>
      </c>
      <c r="C3479" s="1" t="s">
        <v>59</v>
      </c>
      <c r="D3479" s="1" t="s">
        <v>699</v>
      </c>
      <c r="E3479" s="1" t="s">
        <v>436</v>
      </c>
      <c r="F3479" s="1" t="s">
        <v>440</v>
      </c>
      <c r="G3479" s="1" t="s">
        <v>438</v>
      </c>
      <c r="H3479" s="1">
        <v>492</v>
      </c>
      <c r="I3479" s="3">
        <v>46280</v>
      </c>
      <c r="J3479" s="3">
        <v>46283</v>
      </c>
      <c r="K3479" s="3" t="s">
        <v>2362</v>
      </c>
      <c r="L3479" s="31">
        <v>46280.578995104166</v>
      </c>
      <c r="M3479" s="20">
        <v>12</v>
      </c>
      <c r="N3479" s="1">
        <v>23</v>
      </c>
    </row>
    <row r="3480" spans="1:14" x14ac:dyDescent="0.25">
      <c r="A3480" t="str">
        <f t="shared" si="110"/>
        <v>U146424U146424</v>
      </c>
      <c r="B3480" t="str">
        <f t="shared" si="111"/>
        <v>U146424I603457-W</v>
      </c>
      <c r="C3480" s="1" t="s">
        <v>59</v>
      </c>
      <c r="D3480" s="1" t="s">
        <v>699</v>
      </c>
      <c r="E3480" s="1" t="s">
        <v>436</v>
      </c>
      <c r="F3480" s="1" t="s">
        <v>440</v>
      </c>
      <c r="G3480" s="1" t="s">
        <v>438</v>
      </c>
      <c r="H3480" s="1">
        <v>492</v>
      </c>
      <c r="I3480" s="3">
        <v>46280</v>
      </c>
      <c r="J3480" s="3">
        <v>46283</v>
      </c>
      <c r="K3480" s="3" t="s">
        <v>2362</v>
      </c>
      <c r="L3480" s="31">
        <v>46280.581521990738</v>
      </c>
      <c r="M3480" s="20">
        <v>12</v>
      </c>
      <c r="N3480" s="1">
        <v>9</v>
      </c>
    </row>
    <row r="3481" spans="1:14" x14ac:dyDescent="0.25">
      <c r="A3481" t="str">
        <f t="shared" si="110"/>
        <v>U146424U146424</v>
      </c>
      <c r="B3481" t="str">
        <f t="shared" si="111"/>
        <v>U146424I603457-W</v>
      </c>
      <c r="C3481" s="1" t="s">
        <v>59</v>
      </c>
      <c r="D3481" s="1" t="s">
        <v>699</v>
      </c>
      <c r="E3481" s="1" t="s">
        <v>436</v>
      </c>
      <c r="F3481" s="1" t="s">
        <v>440</v>
      </c>
      <c r="G3481" s="1" t="s">
        <v>438</v>
      </c>
      <c r="H3481" s="1">
        <v>492</v>
      </c>
      <c r="I3481" s="3">
        <v>46280</v>
      </c>
      <c r="J3481" s="3">
        <v>46283</v>
      </c>
      <c r="K3481" s="3" t="s">
        <v>2362</v>
      </c>
      <c r="L3481" s="31">
        <v>46280.581829629627</v>
      </c>
      <c r="M3481" s="20">
        <v>12</v>
      </c>
      <c r="N3481" s="1">
        <v>19</v>
      </c>
    </row>
    <row r="3482" spans="1:14" x14ac:dyDescent="0.25">
      <c r="A3482" t="str">
        <f t="shared" si="110"/>
        <v>U146424U146424</v>
      </c>
      <c r="B3482" t="str">
        <f t="shared" si="111"/>
        <v>U146424I603457-W</v>
      </c>
      <c r="C3482" s="1" t="s">
        <v>59</v>
      </c>
      <c r="D3482" s="1" t="s">
        <v>699</v>
      </c>
      <c r="E3482" s="1" t="s">
        <v>436</v>
      </c>
      <c r="F3482" s="1" t="s">
        <v>440</v>
      </c>
      <c r="G3482" s="1" t="s">
        <v>438</v>
      </c>
      <c r="H3482" s="1">
        <v>492</v>
      </c>
      <c r="I3482" s="3">
        <v>46280</v>
      </c>
      <c r="J3482" s="3">
        <v>46283</v>
      </c>
      <c r="K3482" s="3" t="s">
        <v>2362</v>
      </c>
      <c r="L3482" s="31">
        <v>46280.582407094902</v>
      </c>
      <c r="M3482" s="20">
        <v>12</v>
      </c>
      <c r="N3482" s="1">
        <v>25</v>
      </c>
    </row>
    <row r="3483" spans="1:14" x14ac:dyDescent="0.25">
      <c r="A3483" t="str">
        <f t="shared" si="110"/>
        <v>U146424U146424</v>
      </c>
      <c r="B3483" t="str">
        <f t="shared" si="111"/>
        <v>U146424I603457-W</v>
      </c>
      <c r="C3483" s="1" t="s">
        <v>59</v>
      </c>
      <c r="D3483" s="1" t="s">
        <v>699</v>
      </c>
      <c r="E3483" s="1" t="s">
        <v>436</v>
      </c>
      <c r="F3483" s="1" t="s">
        <v>440</v>
      </c>
      <c r="G3483" s="1" t="s">
        <v>438</v>
      </c>
      <c r="H3483" s="1">
        <v>492</v>
      </c>
      <c r="I3483" s="3">
        <v>46280</v>
      </c>
      <c r="J3483" s="3">
        <v>46283</v>
      </c>
      <c r="K3483" s="3" t="s">
        <v>2362</v>
      </c>
      <c r="L3483" s="31">
        <v>46280.583195798608</v>
      </c>
      <c r="M3483" s="20">
        <v>12</v>
      </c>
      <c r="N3483" s="1">
        <v>26</v>
      </c>
    </row>
    <row r="3484" spans="1:14" x14ac:dyDescent="0.25">
      <c r="A3484" t="str">
        <f t="shared" si="110"/>
        <v>U146424U146424</v>
      </c>
      <c r="B3484" t="str">
        <f t="shared" si="111"/>
        <v>U146424I603457-W</v>
      </c>
      <c r="C3484" s="1" t="s">
        <v>59</v>
      </c>
      <c r="D3484" s="1" t="s">
        <v>699</v>
      </c>
      <c r="E3484" s="1" t="s">
        <v>436</v>
      </c>
      <c r="F3484" s="1" t="s">
        <v>440</v>
      </c>
      <c r="G3484" s="1" t="s">
        <v>438</v>
      </c>
      <c r="H3484" s="1">
        <v>492</v>
      </c>
      <c r="I3484" s="3">
        <v>46280</v>
      </c>
      <c r="J3484" s="3">
        <v>46283</v>
      </c>
      <c r="K3484" s="3" t="s">
        <v>2362</v>
      </c>
      <c r="L3484" s="31">
        <v>46280.599398923609</v>
      </c>
      <c r="M3484" s="20">
        <v>12</v>
      </c>
      <c r="N3484" s="1">
        <v>16</v>
      </c>
    </row>
    <row r="3485" spans="1:14" x14ac:dyDescent="0.25">
      <c r="A3485" t="str">
        <f t="shared" si="110"/>
        <v>U146424U146424</v>
      </c>
      <c r="B3485" t="str">
        <f t="shared" si="111"/>
        <v>U146424I603457-W</v>
      </c>
      <c r="C3485" s="1" t="s">
        <v>59</v>
      </c>
      <c r="D3485" s="1" t="s">
        <v>699</v>
      </c>
      <c r="E3485" s="1" t="s">
        <v>436</v>
      </c>
      <c r="F3485" s="1" t="s">
        <v>440</v>
      </c>
      <c r="G3485" s="1" t="s">
        <v>438</v>
      </c>
      <c r="H3485" s="1">
        <v>492</v>
      </c>
      <c r="I3485" s="3">
        <v>46280</v>
      </c>
      <c r="J3485" s="3">
        <v>46283</v>
      </c>
      <c r="K3485" s="3" t="s">
        <v>2362</v>
      </c>
      <c r="L3485" s="31">
        <v>46280.600599652775</v>
      </c>
      <c r="M3485" s="20">
        <v>12</v>
      </c>
      <c r="N3485" s="1">
        <v>10</v>
      </c>
    </row>
    <row r="3486" spans="1:14" x14ac:dyDescent="0.25">
      <c r="A3486" t="str">
        <f t="shared" si="110"/>
        <v>U146424U146424</v>
      </c>
      <c r="B3486" t="str">
        <f t="shared" si="111"/>
        <v>U146424I603457-W</v>
      </c>
      <c r="C3486" s="1" t="s">
        <v>59</v>
      </c>
      <c r="D3486" s="1" t="s">
        <v>699</v>
      </c>
      <c r="E3486" s="1" t="s">
        <v>436</v>
      </c>
      <c r="F3486" s="1" t="s">
        <v>440</v>
      </c>
      <c r="G3486" s="1" t="s">
        <v>438</v>
      </c>
      <c r="H3486" s="1">
        <v>492</v>
      </c>
      <c r="I3486" s="3">
        <v>46280</v>
      </c>
      <c r="J3486" s="3">
        <v>46283</v>
      </c>
      <c r="K3486" s="3" t="s">
        <v>2362</v>
      </c>
      <c r="L3486" s="31">
        <v>46280.619634143513</v>
      </c>
      <c r="M3486" s="20">
        <v>12</v>
      </c>
      <c r="N3486" s="1">
        <v>33</v>
      </c>
    </row>
    <row r="3487" spans="1:14" x14ac:dyDescent="0.25">
      <c r="A3487" t="str">
        <f t="shared" si="110"/>
        <v>U146424U146424</v>
      </c>
      <c r="B3487" t="str">
        <f t="shared" si="111"/>
        <v>U146424I603457-W</v>
      </c>
      <c r="C3487" s="1" t="s">
        <v>59</v>
      </c>
      <c r="D3487" s="1" t="s">
        <v>699</v>
      </c>
      <c r="E3487" s="1" t="s">
        <v>436</v>
      </c>
      <c r="F3487" s="1" t="s">
        <v>440</v>
      </c>
      <c r="G3487" s="1" t="s">
        <v>438</v>
      </c>
      <c r="H3487" s="1">
        <v>492</v>
      </c>
      <c r="I3487" s="3">
        <v>46280</v>
      </c>
      <c r="J3487" s="3">
        <v>46283</v>
      </c>
      <c r="K3487" s="3" t="s">
        <v>2362</v>
      </c>
      <c r="L3487" s="31">
        <v>46280.619783020833</v>
      </c>
      <c r="M3487" s="20">
        <v>12</v>
      </c>
      <c r="N3487" s="1">
        <v>32</v>
      </c>
    </row>
    <row r="3488" spans="1:14" x14ac:dyDescent="0.25">
      <c r="A3488" t="str">
        <f t="shared" si="110"/>
        <v>U146424U146424</v>
      </c>
      <c r="B3488" t="str">
        <f t="shared" si="111"/>
        <v>U146424I603457-W</v>
      </c>
      <c r="C3488" s="1" t="s">
        <v>59</v>
      </c>
      <c r="D3488" s="1" t="s">
        <v>699</v>
      </c>
      <c r="E3488" s="1" t="s">
        <v>436</v>
      </c>
      <c r="F3488" s="1" t="s">
        <v>440</v>
      </c>
      <c r="G3488" s="1" t="s">
        <v>438</v>
      </c>
      <c r="H3488" s="1">
        <v>492</v>
      </c>
      <c r="I3488" s="3">
        <v>46280</v>
      </c>
      <c r="J3488" s="3">
        <v>46283</v>
      </c>
      <c r="K3488" s="3" t="s">
        <v>2362</v>
      </c>
      <c r="L3488" s="31">
        <v>46280.621076006944</v>
      </c>
      <c r="M3488" s="20">
        <v>12</v>
      </c>
      <c r="N3488" s="1">
        <v>27</v>
      </c>
    </row>
    <row r="3489" spans="1:14" x14ac:dyDescent="0.25">
      <c r="A3489" t="str">
        <f t="shared" si="110"/>
        <v>U146424U146424</v>
      </c>
      <c r="B3489" t="str">
        <f t="shared" si="111"/>
        <v>U146424I603457-W</v>
      </c>
      <c r="C3489" s="1" t="s">
        <v>59</v>
      </c>
      <c r="D3489" s="1" t="s">
        <v>699</v>
      </c>
      <c r="E3489" s="1" t="s">
        <v>436</v>
      </c>
      <c r="F3489" s="1" t="s">
        <v>440</v>
      </c>
      <c r="G3489" s="1" t="s">
        <v>438</v>
      </c>
      <c r="H3489" s="1">
        <v>492</v>
      </c>
      <c r="I3489" s="3">
        <v>46280</v>
      </c>
      <c r="J3489" s="3">
        <v>46283</v>
      </c>
      <c r="K3489" s="3" t="s">
        <v>2362</v>
      </c>
      <c r="L3489" s="31">
        <v>46280.62233888889</v>
      </c>
      <c r="M3489" s="20">
        <v>12</v>
      </c>
      <c r="N3489" s="1">
        <v>11</v>
      </c>
    </row>
    <row r="3490" spans="1:14" x14ac:dyDescent="0.25">
      <c r="A3490" t="str">
        <f t="shared" si="110"/>
        <v>U146424U146424</v>
      </c>
      <c r="B3490" t="str">
        <f t="shared" si="111"/>
        <v>U146424I603457-W</v>
      </c>
      <c r="C3490" s="1" t="s">
        <v>59</v>
      </c>
      <c r="D3490" s="1" t="s">
        <v>699</v>
      </c>
      <c r="E3490" s="1" t="s">
        <v>436</v>
      </c>
      <c r="F3490" s="1" t="s">
        <v>440</v>
      </c>
      <c r="G3490" s="1" t="s">
        <v>438</v>
      </c>
      <c r="H3490" s="1">
        <v>492</v>
      </c>
      <c r="I3490" s="3">
        <v>46280</v>
      </c>
      <c r="J3490" s="3">
        <v>46283</v>
      </c>
      <c r="K3490" s="3" t="s">
        <v>2362</v>
      </c>
      <c r="L3490" s="31">
        <v>46280.622825613427</v>
      </c>
      <c r="M3490" s="20">
        <v>12</v>
      </c>
      <c r="N3490" s="1">
        <v>17</v>
      </c>
    </row>
    <row r="3491" spans="1:14" x14ac:dyDescent="0.25">
      <c r="A3491" t="str">
        <f t="shared" si="110"/>
        <v>U146424U146424</v>
      </c>
      <c r="B3491" t="str">
        <f t="shared" si="111"/>
        <v>U146424I603457-W</v>
      </c>
      <c r="C3491" s="1" t="s">
        <v>59</v>
      </c>
      <c r="D3491" s="1" t="s">
        <v>699</v>
      </c>
      <c r="E3491" s="1" t="s">
        <v>436</v>
      </c>
      <c r="F3491" s="1" t="s">
        <v>440</v>
      </c>
      <c r="G3491" s="1" t="s">
        <v>438</v>
      </c>
      <c r="H3491" s="1">
        <v>492</v>
      </c>
      <c r="I3491" s="3">
        <v>46280</v>
      </c>
      <c r="J3491" s="3">
        <v>46283</v>
      </c>
      <c r="K3491" s="3" t="s">
        <v>2362</v>
      </c>
      <c r="L3491" s="31">
        <v>46280.636803553236</v>
      </c>
      <c r="M3491" s="20">
        <v>12</v>
      </c>
      <c r="N3491" s="1">
        <v>20</v>
      </c>
    </row>
    <row r="3492" spans="1:14" x14ac:dyDescent="0.25">
      <c r="A3492" t="str">
        <f t="shared" si="110"/>
        <v>U146424U146424</v>
      </c>
      <c r="B3492" t="str">
        <f t="shared" si="111"/>
        <v>U146424I603457-W</v>
      </c>
      <c r="C3492" s="1" t="s">
        <v>59</v>
      </c>
      <c r="D3492" s="1" t="s">
        <v>699</v>
      </c>
      <c r="E3492" s="1" t="s">
        <v>436</v>
      </c>
      <c r="F3492" s="1" t="s">
        <v>440</v>
      </c>
      <c r="G3492" s="1" t="s">
        <v>438</v>
      </c>
      <c r="H3492" s="1">
        <v>492</v>
      </c>
      <c r="I3492" s="3">
        <v>46280</v>
      </c>
      <c r="J3492" s="3">
        <v>46283</v>
      </c>
      <c r="K3492" s="3" t="s">
        <v>2362</v>
      </c>
      <c r="L3492" s="31">
        <v>46280.636951701388</v>
      </c>
      <c r="M3492" s="20">
        <v>12</v>
      </c>
      <c r="N3492" s="1">
        <v>12</v>
      </c>
    </row>
    <row r="3493" spans="1:14" x14ac:dyDescent="0.25">
      <c r="A3493" t="str">
        <f t="shared" si="110"/>
        <v>U146424U146424</v>
      </c>
      <c r="B3493" t="str">
        <f t="shared" si="111"/>
        <v>U146424I603457-W</v>
      </c>
      <c r="C3493" s="1" t="s">
        <v>59</v>
      </c>
      <c r="D3493" s="1" t="s">
        <v>699</v>
      </c>
      <c r="E3493" s="1" t="s">
        <v>436</v>
      </c>
      <c r="F3493" s="1" t="s">
        <v>440</v>
      </c>
      <c r="G3493" s="1" t="s">
        <v>438</v>
      </c>
      <c r="H3493" s="1">
        <v>492</v>
      </c>
      <c r="I3493" s="3">
        <v>46280</v>
      </c>
      <c r="J3493" s="3">
        <v>46283</v>
      </c>
      <c r="K3493" s="3" t="s">
        <v>2362</v>
      </c>
      <c r="L3493" s="31">
        <v>46280.637159988422</v>
      </c>
      <c r="M3493" s="20">
        <v>12</v>
      </c>
      <c r="N3493" s="1">
        <v>28</v>
      </c>
    </row>
    <row r="3494" spans="1:14" x14ac:dyDescent="0.25">
      <c r="A3494" t="str">
        <f t="shared" si="110"/>
        <v>U146424U146424</v>
      </c>
      <c r="B3494" t="str">
        <f t="shared" si="111"/>
        <v>U146424I603457-W</v>
      </c>
      <c r="C3494" s="1" t="s">
        <v>59</v>
      </c>
      <c r="D3494" s="1" t="s">
        <v>699</v>
      </c>
      <c r="E3494" s="1" t="s">
        <v>436</v>
      </c>
      <c r="F3494" s="1" t="s">
        <v>440</v>
      </c>
      <c r="G3494" s="1" t="s">
        <v>438</v>
      </c>
      <c r="H3494" s="1">
        <v>492</v>
      </c>
      <c r="I3494" s="3">
        <v>46280</v>
      </c>
      <c r="J3494" s="3">
        <v>46283</v>
      </c>
      <c r="K3494" s="3" t="s">
        <v>2362</v>
      </c>
      <c r="L3494" s="31">
        <v>46280.637558530092</v>
      </c>
      <c r="M3494" s="20">
        <v>12</v>
      </c>
      <c r="N3494" s="1">
        <v>29</v>
      </c>
    </row>
    <row r="3495" spans="1:14" x14ac:dyDescent="0.25">
      <c r="A3495" t="str">
        <f t="shared" si="110"/>
        <v>U146424U146424</v>
      </c>
      <c r="B3495" t="str">
        <f t="shared" si="111"/>
        <v>U146424I603457-W</v>
      </c>
      <c r="C3495" s="1" t="s">
        <v>59</v>
      </c>
      <c r="D3495" s="1" t="s">
        <v>699</v>
      </c>
      <c r="E3495" s="1" t="s">
        <v>436</v>
      </c>
      <c r="F3495" s="1" t="s">
        <v>440</v>
      </c>
      <c r="G3495" s="1" t="s">
        <v>438</v>
      </c>
      <c r="H3495" s="1">
        <v>492</v>
      </c>
      <c r="I3495" s="3">
        <v>46280</v>
      </c>
      <c r="J3495" s="3">
        <v>46283</v>
      </c>
      <c r="K3495" s="3" t="s">
        <v>2362</v>
      </c>
      <c r="L3495" s="31">
        <v>46280.637741238424</v>
      </c>
      <c r="M3495" s="20">
        <v>12</v>
      </c>
      <c r="N3495" s="1">
        <v>34</v>
      </c>
    </row>
    <row r="3496" spans="1:14" x14ac:dyDescent="0.25">
      <c r="A3496" t="str">
        <f t="shared" si="110"/>
        <v>U146424U146424</v>
      </c>
      <c r="B3496" t="str">
        <f t="shared" si="111"/>
        <v>U146424I603457-W</v>
      </c>
      <c r="C3496" s="1" t="s">
        <v>59</v>
      </c>
      <c r="D3496" s="1" t="s">
        <v>699</v>
      </c>
      <c r="E3496" s="1" t="s">
        <v>436</v>
      </c>
      <c r="F3496" s="1" t="s">
        <v>440</v>
      </c>
      <c r="G3496" s="1" t="s">
        <v>438</v>
      </c>
      <c r="H3496" s="1">
        <v>492</v>
      </c>
      <c r="I3496" s="3">
        <v>46280</v>
      </c>
      <c r="J3496" s="3">
        <v>46283</v>
      </c>
      <c r="K3496" s="3" t="s">
        <v>2362</v>
      </c>
      <c r="L3496" s="31">
        <v>46280.663034409721</v>
      </c>
      <c r="M3496" s="20">
        <v>12</v>
      </c>
      <c r="N3496" s="1">
        <v>1</v>
      </c>
    </row>
    <row r="3497" spans="1:14" x14ac:dyDescent="0.25">
      <c r="A3497" t="str">
        <f t="shared" si="110"/>
        <v>U146424U146424</v>
      </c>
      <c r="B3497" t="str">
        <f t="shared" si="111"/>
        <v>U146424I603457-W</v>
      </c>
      <c r="C3497" s="1" t="s">
        <v>59</v>
      </c>
      <c r="D3497" s="1" t="s">
        <v>699</v>
      </c>
      <c r="E3497" s="1" t="s">
        <v>436</v>
      </c>
      <c r="F3497" s="1" t="s">
        <v>440</v>
      </c>
      <c r="G3497" s="1" t="s">
        <v>438</v>
      </c>
      <c r="H3497" s="1">
        <v>492</v>
      </c>
      <c r="I3497" s="3">
        <v>46280</v>
      </c>
      <c r="J3497" s="3">
        <v>46283</v>
      </c>
      <c r="K3497" s="3" t="s">
        <v>2362</v>
      </c>
      <c r="L3497" s="31">
        <v>46280.66399325231</v>
      </c>
      <c r="M3497" s="20">
        <v>12</v>
      </c>
      <c r="N3497" s="1">
        <v>35</v>
      </c>
    </row>
    <row r="3498" spans="1:14" x14ac:dyDescent="0.25">
      <c r="A3498" t="str">
        <f t="shared" si="110"/>
        <v>U146424U146424</v>
      </c>
      <c r="B3498" t="str">
        <f t="shared" si="111"/>
        <v>U146424I603457-W</v>
      </c>
      <c r="C3498" s="1" t="s">
        <v>59</v>
      </c>
      <c r="D3498" s="1" t="s">
        <v>699</v>
      </c>
      <c r="E3498" s="1" t="s">
        <v>436</v>
      </c>
      <c r="F3498" s="1" t="s">
        <v>440</v>
      </c>
      <c r="G3498" s="1" t="s">
        <v>438</v>
      </c>
      <c r="H3498" s="1">
        <v>492</v>
      </c>
      <c r="I3498" s="3">
        <v>46280</v>
      </c>
      <c r="J3498" s="3">
        <v>46283</v>
      </c>
      <c r="K3498" s="3" t="s">
        <v>2362</v>
      </c>
      <c r="L3498" s="31">
        <v>46280.670025810185</v>
      </c>
      <c r="M3498" s="20">
        <v>12</v>
      </c>
      <c r="N3498" s="1">
        <v>18</v>
      </c>
    </row>
    <row r="3499" spans="1:14" x14ac:dyDescent="0.25">
      <c r="A3499" t="str">
        <f t="shared" si="110"/>
        <v>U146424U146424</v>
      </c>
      <c r="B3499" t="str">
        <f t="shared" si="111"/>
        <v>U146424I603457-W</v>
      </c>
      <c r="C3499" s="1" t="s">
        <v>59</v>
      </c>
      <c r="D3499" s="1" t="s">
        <v>699</v>
      </c>
      <c r="E3499" s="1" t="s">
        <v>436</v>
      </c>
      <c r="F3499" s="1" t="s">
        <v>440</v>
      </c>
      <c r="G3499" s="1" t="s">
        <v>438</v>
      </c>
      <c r="H3499" s="1">
        <v>492</v>
      </c>
      <c r="I3499" s="3">
        <v>46280</v>
      </c>
      <c r="J3499" s="3">
        <v>46283</v>
      </c>
      <c r="K3499" s="3" t="s">
        <v>2362</v>
      </c>
      <c r="L3499" s="31">
        <v>46280.696236921292</v>
      </c>
      <c r="M3499" s="20">
        <v>12</v>
      </c>
      <c r="N3499" s="1">
        <v>5</v>
      </c>
    </row>
    <row r="3500" spans="1:14" x14ac:dyDescent="0.25">
      <c r="A3500" t="str">
        <f t="shared" si="110"/>
        <v>U146424U146424</v>
      </c>
      <c r="B3500" t="str">
        <f t="shared" si="111"/>
        <v>U146424I603457-W</v>
      </c>
      <c r="C3500" s="1" t="s">
        <v>59</v>
      </c>
      <c r="D3500" s="1" t="s">
        <v>699</v>
      </c>
      <c r="E3500" s="1" t="s">
        <v>436</v>
      </c>
      <c r="F3500" s="1" t="s">
        <v>440</v>
      </c>
      <c r="G3500" s="1" t="s">
        <v>438</v>
      </c>
      <c r="H3500" s="1">
        <v>492</v>
      </c>
      <c r="I3500" s="3">
        <v>46280</v>
      </c>
      <c r="J3500" s="3">
        <v>46283</v>
      </c>
      <c r="K3500" s="3" t="s">
        <v>2362</v>
      </c>
      <c r="L3500" s="31">
        <v>46280.706390937499</v>
      </c>
      <c r="M3500" s="20">
        <v>12</v>
      </c>
      <c r="N3500" s="1">
        <v>36</v>
      </c>
    </row>
    <row r="3501" spans="1:14" x14ac:dyDescent="0.25">
      <c r="A3501" t="str">
        <f t="shared" si="110"/>
        <v>U146424U146424</v>
      </c>
      <c r="B3501" t="str">
        <f t="shared" si="111"/>
        <v>U146424I603457-W</v>
      </c>
      <c r="C3501" s="1" t="s">
        <v>59</v>
      </c>
      <c r="D3501" s="1" t="s">
        <v>699</v>
      </c>
      <c r="E3501" s="1" t="s">
        <v>436</v>
      </c>
      <c r="F3501" s="1" t="s">
        <v>440</v>
      </c>
      <c r="G3501" s="1" t="s">
        <v>438</v>
      </c>
      <c r="H3501" s="1">
        <v>492</v>
      </c>
      <c r="I3501" s="3">
        <v>46280</v>
      </c>
      <c r="J3501" s="3">
        <v>46283</v>
      </c>
      <c r="K3501" s="3" t="s">
        <v>2362</v>
      </c>
      <c r="L3501" s="31">
        <v>46280.713602858792</v>
      </c>
      <c r="M3501" s="20">
        <v>12</v>
      </c>
      <c r="N3501" s="1">
        <v>2</v>
      </c>
    </row>
    <row r="3502" spans="1:14" x14ac:dyDescent="0.25">
      <c r="A3502" t="str">
        <f t="shared" si="110"/>
        <v>U146451U146451</v>
      </c>
      <c r="B3502" t="str">
        <f t="shared" si="111"/>
        <v>U146451I603457-W</v>
      </c>
      <c r="C3502" s="1" t="s">
        <v>59</v>
      </c>
      <c r="D3502" s="1" t="s">
        <v>708</v>
      </c>
      <c r="E3502" s="1" t="s">
        <v>436</v>
      </c>
      <c r="F3502" s="1" t="s">
        <v>437</v>
      </c>
      <c r="G3502" s="1" t="s">
        <v>438</v>
      </c>
      <c r="H3502" s="1">
        <v>558</v>
      </c>
      <c r="I3502" s="3">
        <v>46280</v>
      </c>
      <c r="J3502" s="3">
        <v>46287</v>
      </c>
      <c r="K3502" s="3" t="s">
        <v>2365</v>
      </c>
      <c r="L3502" s="31">
        <v>46280.693196840279</v>
      </c>
      <c r="M3502" s="20">
        <v>12</v>
      </c>
      <c r="N3502" s="1">
        <v>36</v>
      </c>
    </row>
    <row r="3503" spans="1:14" x14ac:dyDescent="0.25">
      <c r="A3503" t="str">
        <f t="shared" si="110"/>
        <v>U146451U146451</v>
      </c>
      <c r="B3503" t="str">
        <f t="shared" si="111"/>
        <v>U146451I603457-W</v>
      </c>
      <c r="C3503" s="1" t="s">
        <v>59</v>
      </c>
      <c r="D3503" s="1" t="s">
        <v>708</v>
      </c>
      <c r="E3503" s="1" t="s">
        <v>436</v>
      </c>
      <c r="F3503" s="1" t="s">
        <v>437</v>
      </c>
      <c r="G3503" s="1" t="s">
        <v>438</v>
      </c>
      <c r="H3503" s="1">
        <v>558</v>
      </c>
      <c r="I3503" s="3">
        <v>46280</v>
      </c>
      <c r="J3503" s="3">
        <v>46287</v>
      </c>
      <c r="K3503" s="3" t="s">
        <v>2365</v>
      </c>
      <c r="L3503" s="31">
        <v>46280.696433067125</v>
      </c>
      <c r="M3503" s="20">
        <v>12</v>
      </c>
      <c r="N3503" s="1">
        <v>37</v>
      </c>
    </row>
    <row r="3504" spans="1:14" x14ac:dyDescent="0.25">
      <c r="A3504" t="str">
        <f t="shared" si="110"/>
        <v>U146451U146451</v>
      </c>
      <c r="B3504" t="str">
        <f t="shared" si="111"/>
        <v>U146451I603457-W</v>
      </c>
      <c r="C3504" s="1" t="s">
        <v>59</v>
      </c>
      <c r="D3504" s="1" t="s">
        <v>708</v>
      </c>
      <c r="E3504" s="1" t="s">
        <v>436</v>
      </c>
      <c r="F3504" s="1" t="s">
        <v>437</v>
      </c>
      <c r="G3504" s="1" t="s">
        <v>438</v>
      </c>
      <c r="H3504" s="1">
        <v>558</v>
      </c>
      <c r="I3504" s="3">
        <v>46280</v>
      </c>
      <c r="J3504" s="3">
        <v>46287</v>
      </c>
      <c r="K3504" s="3" t="s">
        <v>2365</v>
      </c>
      <c r="L3504" s="31">
        <v>46280.706018865741</v>
      </c>
      <c r="M3504" s="20">
        <v>12</v>
      </c>
      <c r="N3504" s="1">
        <v>17</v>
      </c>
    </row>
    <row r="3505" spans="1:14" x14ac:dyDescent="0.25">
      <c r="A3505" t="str">
        <f t="shared" si="110"/>
        <v>U146451U146451</v>
      </c>
      <c r="B3505" t="str">
        <f t="shared" si="111"/>
        <v>U146451I603457-W</v>
      </c>
      <c r="C3505" s="1" t="s">
        <v>59</v>
      </c>
      <c r="D3505" s="1" t="s">
        <v>708</v>
      </c>
      <c r="E3505" s="1" t="s">
        <v>436</v>
      </c>
      <c r="F3505" s="1" t="s">
        <v>437</v>
      </c>
      <c r="G3505" s="1" t="s">
        <v>438</v>
      </c>
      <c r="H3505" s="1">
        <v>558</v>
      </c>
      <c r="I3505" s="3">
        <v>46280</v>
      </c>
      <c r="J3505" s="3">
        <v>46287</v>
      </c>
      <c r="K3505" s="3" t="s">
        <v>2365</v>
      </c>
      <c r="L3505" s="31">
        <v>46280.706196180552</v>
      </c>
      <c r="M3505" s="20">
        <v>12</v>
      </c>
      <c r="N3505" s="1">
        <v>38</v>
      </c>
    </row>
    <row r="3506" spans="1:14" x14ac:dyDescent="0.25">
      <c r="A3506" t="str">
        <f t="shared" si="110"/>
        <v>U146451U146451</v>
      </c>
      <c r="B3506" t="str">
        <f t="shared" si="111"/>
        <v>U146451I603457-W</v>
      </c>
      <c r="C3506" s="1" t="s">
        <v>59</v>
      </c>
      <c r="D3506" s="1" t="s">
        <v>708</v>
      </c>
      <c r="E3506" s="1" t="s">
        <v>436</v>
      </c>
      <c r="F3506" s="1" t="s">
        <v>437</v>
      </c>
      <c r="G3506" s="1" t="s">
        <v>438</v>
      </c>
      <c r="H3506" s="1">
        <v>558</v>
      </c>
      <c r="I3506" s="3">
        <v>46280</v>
      </c>
      <c r="J3506" s="3">
        <v>46287</v>
      </c>
      <c r="K3506" s="3" t="s">
        <v>2365</v>
      </c>
      <c r="L3506" s="31">
        <v>46280.706777511572</v>
      </c>
      <c r="M3506" s="20">
        <v>12</v>
      </c>
      <c r="N3506" s="1">
        <v>27</v>
      </c>
    </row>
    <row r="3507" spans="1:14" x14ac:dyDescent="0.25">
      <c r="A3507" t="str">
        <f t="shared" si="110"/>
        <v>U146451U146451</v>
      </c>
      <c r="B3507" t="str">
        <f t="shared" si="111"/>
        <v>U146451I603457-W</v>
      </c>
      <c r="C3507" s="1" t="s">
        <v>59</v>
      </c>
      <c r="D3507" s="1" t="s">
        <v>708</v>
      </c>
      <c r="E3507" s="1" t="s">
        <v>436</v>
      </c>
      <c r="F3507" s="1" t="s">
        <v>437</v>
      </c>
      <c r="G3507" s="1" t="s">
        <v>438</v>
      </c>
      <c r="H3507" s="1">
        <v>558</v>
      </c>
      <c r="I3507" s="3">
        <v>46280</v>
      </c>
      <c r="J3507" s="3">
        <v>46287</v>
      </c>
      <c r="K3507" s="3" t="s">
        <v>2365</v>
      </c>
      <c r="L3507" s="31">
        <v>46280.707678506944</v>
      </c>
      <c r="M3507" s="20">
        <v>12</v>
      </c>
      <c r="N3507" s="1">
        <v>10</v>
      </c>
    </row>
    <row r="3508" spans="1:14" x14ac:dyDescent="0.25">
      <c r="A3508" t="str">
        <f t="shared" si="110"/>
        <v>U146451U146451</v>
      </c>
      <c r="B3508" t="str">
        <f t="shared" si="111"/>
        <v>U146451I603457-W</v>
      </c>
      <c r="C3508" s="1" t="s">
        <v>59</v>
      </c>
      <c r="D3508" s="1" t="s">
        <v>708</v>
      </c>
      <c r="E3508" s="1" t="s">
        <v>436</v>
      </c>
      <c r="F3508" s="1" t="s">
        <v>437</v>
      </c>
      <c r="G3508" s="1" t="s">
        <v>438</v>
      </c>
      <c r="H3508" s="1">
        <v>558</v>
      </c>
      <c r="I3508" s="3">
        <v>46280</v>
      </c>
      <c r="J3508" s="3">
        <v>46287</v>
      </c>
      <c r="K3508" s="3" t="s">
        <v>2365</v>
      </c>
      <c r="L3508" s="31">
        <v>46280.713987349533</v>
      </c>
      <c r="M3508" s="20">
        <v>12</v>
      </c>
      <c r="N3508" s="1">
        <v>20</v>
      </c>
    </row>
    <row r="3509" spans="1:14" x14ac:dyDescent="0.25">
      <c r="A3509" t="str">
        <f t="shared" si="110"/>
        <v>U146451U146451</v>
      </c>
      <c r="B3509" t="str">
        <f t="shared" si="111"/>
        <v>U146451I603457-W</v>
      </c>
      <c r="C3509" s="1" t="s">
        <v>59</v>
      </c>
      <c r="D3509" s="1" t="s">
        <v>708</v>
      </c>
      <c r="E3509" s="1" t="s">
        <v>436</v>
      </c>
      <c r="F3509" s="1" t="s">
        <v>437</v>
      </c>
      <c r="G3509" s="1" t="s">
        <v>438</v>
      </c>
      <c r="H3509" s="1">
        <v>558</v>
      </c>
      <c r="I3509" s="3">
        <v>46280</v>
      </c>
      <c r="J3509" s="3">
        <v>46287</v>
      </c>
      <c r="K3509" s="3" t="s">
        <v>2365</v>
      </c>
      <c r="L3509" s="31">
        <v>46280.721076967588</v>
      </c>
      <c r="M3509" s="20">
        <v>12</v>
      </c>
      <c r="N3509" s="1">
        <v>39</v>
      </c>
    </row>
    <row r="3510" spans="1:14" x14ac:dyDescent="0.25">
      <c r="A3510" t="str">
        <f t="shared" si="110"/>
        <v>U146451U146451</v>
      </c>
      <c r="B3510" t="str">
        <f t="shared" si="111"/>
        <v>U146451I603457-W</v>
      </c>
      <c r="C3510" s="1" t="s">
        <v>59</v>
      </c>
      <c r="D3510" s="1" t="s">
        <v>708</v>
      </c>
      <c r="E3510" s="1" t="s">
        <v>436</v>
      </c>
      <c r="F3510" s="1" t="s">
        <v>437</v>
      </c>
      <c r="G3510" s="1" t="s">
        <v>438</v>
      </c>
      <c r="H3510" s="1">
        <v>558</v>
      </c>
      <c r="I3510" s="3">
        <v>46280</v>
      </c>
      <c r="J3510" s="3">
        <v>46287</v>
      </c>
      <c r="K3510" s="3" t="s">
        <v>2365</v>
      </c>
      <c r="L3510" s="31">
        <v>46280.721376157402</v>
      </c>
      <c r="M3510" s="20">
        <v>12</v>
      </c>
      <c r="N3510" s="1">
        <v>26</v>
      </c>
    </row>
    <row r="3511" spans="1:14" x14ac:dyDescent="0.25">
      <c r="A3511" t="str">
        <f t="shared" si="110"/>
        <v>U146451U146451</v>
      </c>
      <c r="B3511" t="str">
        <f t="shared" si="111"/>
        <v>U146451I603457-W</v>
      </c>
      <c r="C3511" s="1" t="s">
        <v>59</v>
      </c>
      <c r="D3511" s="1" t="s">
        <v>708</v>
      </c>
      <c r="E3511" s="1" t="s">
        <v>436</v>
      </c>
      <c r="F3511" s="1" t="s">
        <v>437</v>
      </c>
      <c r="G3511" s="1" t="s">
        <v>438</v>
      </c>
      <c r="H3511" s="1">
        <v>558</v>
      </c>
      <c r="I3511" s="3">
        <v>46280</v>
      </c>
      <c r="J3511" s="3">
        <v>46287</v>
      </c>
      <c r="K3511" s="3" t="s">
        <v>2365</v>
      </c>
      <c r="L3511" s="31">
        <v>46280.730031979161</v>
      </c>
      <c r="M3511" s="20">
        <v>12</v>
      </c>
      <c r="N3511" s="1">
        <v>13</v>
      </c>
    </row>
    <row r="3512" spans="1:14" x14ac:dyDescent="0.25">
      <c r="A3512" t="str">
        <f t="shared" si="110"/>
        <v>U146451U146451</v>
      </c>
      <c r="B3512" t="str">
        <f t="shared" si="111"/>
        <v>U146451I603457-W</v>
      </c>
      <c r="C3512" s="1" t="s">
        <v>59</v>
      </c>
      <c r="D3512" s="1" t="s">
        <v>708</v>
      </c>
      <c r="E3512" s="1" t="s">
        <v>436</v>
      </c>
      <c r="F3512" s="1" t="s">
        <v>437</v>
      </c>
      <c r="G3512" s="1" t="s">
        <v>438</v>
      </c>
      <c r="H3512" s="1">
        <v>558</v>
      </c>
      <c r="I3512" s="3">
        <v>46280</v>
      </c>
      <c r="J3512" s="3">
        <v>46287</v>
      </c>
      <c r="K3512" s="3" t="s">
        <v>2365</v>
      </c>
      <c r="L3512" s="31">
        <v>46280.730672569443</v>
      </c>
      <c r="M3512" s="20">
        <v>12</v>
      </c>
      <c r="N3512" s="1">
        <v>30</v>
      </c>
    </row>
    <row r="3513" spans="1:14" x14ac:dyDescent="0.25">
      <c r="A3513" t="str">
        <f t="shared" si="110"/>
        <v>U148019U148019</v>
      </c>
      <c r="B3513" t="str">
        <f t="shared" si="111"/>
        <v>U148019W6033JW-B</v>
      </c>
      <c r="C3513" s="1" t="s">
        <v>656</v>
      </c>
      <c r="D3513" s="1" t="s">
        <v>702</v>
      </c>
      <c r="E3513" s="1" t="s">
        <v>436</v>
      </c>
      <c r="F3513" s="1" t="s">
        <v>440</v>
      </c>
      <c r="G3513" s="1" t="s">
        <v>438</v>
      </c>
      <c r="H3513" s="1">
        <v>2700</v>
      </c>
      <c r="I3513" s="3">
        <v>46280</v>
      </c>
      <c r="L3513" s="31">
        <v>46280.65765616898</v>
      </c>
      <c r="M3513" s="20">
        <v>12</v>
      </c>
      <c r="N3513" s="1">
        <v>14</v>
      </c>
    </row>
    <row r="3514" spans="1:14" x14ac:dyDescent="0.25">
      <c r="A3514" t="str">
        <f t="shared" si="110"/>
        <v>U148019U148019</v>
      </c>
      <c r="B3514" t="str">
        <f t="shared" si="111"/>
        <v>U148019W6033JW-B</v>
      </c>
      <c r="C3514" s="1" t="s">
        <v>656</v>
      </c>
      <c r="D3514" s="1" t="s">
        <v>702</v>
      </c>
      <c r="E3514" s="1" t="s">
        <v>436</v>
      </c>
      <c r="F3514" s="1" t="s">
        <v>440</v>
      </c>
      <c r="G3514" s="1" t="s">
        <v>438</v>
      </c>
      <c r="H3514" s="1">
        <v>2700</v>
      </c>
      <c r="I3514" s="3">
        <v>46280</v>
      </c>
      <c r="L3514" s="31">
        <v>46280.660689351847</v>
      </c>
      <c r="M3514" s="20">
        <v>12</v>
      </c>
      <c r="N3514" s="1">
        <v>185</v>
      </c>
    </row>
    <row r="3515" spans="1:14" x14ac:dyDescent="0.25">
      <c r="A3515" t="str">
        <f t="shared" si="110"/>
        <v>U148019U148019</v>
      </c>
      <c r="B3515" t="str">
        <f t="shared" si="111"/>
        <v>U148019W6033JW-B</v>
      </c>
      <c r="C3515" s="1" t="s">
        <v>656</v>
      </c>
      <c r="D3515" s="1" t="s">
        <v>702</v>
      </c>
      <c r="E3515" s="1" t="s">
        <v>436</v>
      </c>
      <c r="F3515" s="1" t="s">
        <v>440</v>
      </c>
      <c r="G3515" s="1" t="s">
        <v>438</v>
      </c>
      <c r="H3515" s="1">
        <v>2700</v>
      </c>
      <c r="I3515" s="3">
        <v>46280</v>
      </c>
      <c r="L3515" s="31">
        <v>46280.660922222218</v>
      </c>
      <c r="M3515" s="20">
        <v>12</v>
      </c>
      <c r="N3515" s="1">
        <v>155</v>
      </c>
    </row>
    <row r="3516" spans="1:14" x14ac:dyDescent="0.25">
      <c r="A3516" t="str">
        <f t="shared" si="110"/>
        <v>U148019U148019</v>
      </c>
      <c r="B3516" t="str">
        <f t="shared" si="111"/>
        <v>U148019W6033JW-B</v>
      </c>
      <c r="C3516" s="1" t="s">
        <v>656</v>
      </c>
      <c r="D3516" s="1" t="s">
        <v>702</v>
      </c>
      <c r="E3516" s="1" t="s">
        <v>436</v>
      </c>
      <c r="F3516" s="1" t="s">
        <v>440</v>
      </c>
      <c r="G3516" s="1" t="s">
        <v>438</v>
      </c>
      <c r="H3516" s="1">
        <v>2700</v>
      </c>
      <c r="I3516" s="3">
        <v>46280</v>
      </c>
      <c r="L3516" s="31">
        <v>46280.661674618052</v>
      </c>
      <c r="M3516" s="20">
        <v>12</v>
      </c>
      <c r="N3516" s="1">
        <v>184</v>
      </c>
    </row>
    <row r="3517" spans="1:14" x14ac:dyDescent="0.25">
      <c r="A3517" t="str">
        <f t="shared" si="110"/>
        <v>U148019U148019</v>
      </c>
      <c r="B3517" t="str">
        <f t="shared" si="111"/>
        <v>U148019W6033JW-B</v>
      </c>
      <c r="C3517" s="1" t="s">
        <v>656</v>
      </c>
      <c r="D3517" s="1" t="s">
        <v>702</v>
      </c>
      <c r="E3517" s="1" t="s">
        <v>436</v>
      </c>
      <c r="F3517" s="1" t="s">
        <v>440</v>
      </c>
      <c r="G3517" s="1" t="s">
        <v>438</v>
      </c>
      <c r="H3517" s="1">
        <v>2700</v>
      </c>
      <c r="I3517" s="3">
        <v>46280</v>
      </c>
      <c r="L3517" s="31">
        <v>46280.665247337958</v>
      </c>
      <c r="M3517" s="20">
        <v>12</v>
      </c>
      <c r="N3517" s="1">
        <v>160</v>
      </c>
    </row>
    <row r="3518" spans="1:14" x14ac:dyDescent="0.25">
      <c r="A3518" t="str">
        <f t="shared" si="110"/>
        <v>U148019U148019</v>
      </c>
      <c r="B3518" t="str">
        <f t="shared" si="111"/>
        <v>U148019W6033JW-B</v>
      </c>
      <c r="C3518" s="1" t="s">
        <v>656</v>
      </c>
      <c r="D3518" s="1" t="s">
        <v>702</v>
      </c>
      <c r="E3518" s="1" t="s">
        <v>436</v>
      </c>
      <c r="F3518" s="1" t="s">
        <v>440</v>
      </c>
      <c r="G3518" s="1" t="s">
        <v>438</v>
      </c>
      <c r="H3518" s="1">
        <v>2700</v>
      </c>
      <c r="I3518" s="3">
        <v>46280</v>
      </c>
      <c r="L3518" s="31">
        <v>46280.667416782402</v>
      </c>
      <c r="M3518" s="20">
        <v>12</v>
      </c>
      <c r="N3518" s="1">
        <v>159</v>
      </c>
    </row>
    <row r="3519" spans="1:14" x14ac:dyDescent="0.25">
      <c r="A3519" t="str">
        <f t="shared" si="110"/>
        <v>U148019U148019</v>
      </c>
      <c r="B3519" t="str">
        <f t="shared" si="111"/>
        <v>U148019W6033JW-B</v>
      </c>
      <c r="C3519" s="1" t="s">
        <v>656</v>
      </c>
      <c r="D3519" s="1" t="s">
        <v>702</v>
      </c>
      <c r="E3519" s="1" t="s">
        <v>436</v>
      </c>
      <c r="F3519" s="1" t="s">
        <v>440</v>
      </c>
      <c r="G3519" s="1" t="s">
        <v>438</v>
      </c>
      <c r="H3519" s="1">
        <v>2700</v>
      </c>
      <c r="I3519" s="3">
        <v>46280</v>
      </c>
      <c r="L3519" s="31">
        <v>46280.66813125</v>
      </c>
      <c r="M3519" s="20">
        <v>12</v>
      </c>
      <c r="N3519" s="1">
        <v>57</v>
      </c>
    </row>
    <row r="3520" spans="1:14" x14ac:dyDescent="0.25">
      <c r="A3520" t="str">
        <f t="shared" si="110"/>
        <v>U148019U148019</v>
      </c>
      <c r="B3520" t="str">
        <f t="shared" si="111"/>
        <v>U148019W6033JW-B</v>
      </c>
      <c r="C3520" s="1" t="s">
        <v>656</v>
      </c>
      <c r="D3520" s="1" t="s">
        <v>702</v>
      </c>
      <c r="E3520" s="1" t="s">
        <v>436</v>
      </c>
      <c r="F3520" s="1" t="s">
        <v>440</v>
      </c>
      <c r="G3520" s="1" t="s">
        <v>438</v>
      </c>
      <c r="H3520" s="1">
        <v>2700</v>
      </c>
      <c r="I3520" s="3">
        <v>46280</v>
      </c>
      <c r="L3520" s="31">
        <v>46280.668588460649</v>
      </c>
      <c r="M3520" s="20">
        <v>12</v>
      </c>
      <c r="N3520" s="1">
        <v>188</v>
      </c>
    </row>
    <row r="3521" spans="1:14" x14ac:dyDescent="0.25">
      <c r="A3521" t="str">
        <f t="shared" si="110"/>
        <v>U148019U148019</v>
      </c>
      <c r="B3521" t="str">
        <f t="shared" si="111"/>
        <v>U148019W6033JW-B</v>
      </c>
      <c r="C3521" s="1" t="s">
        <v>656</v>
      </c>
      <c r="D3521" s="1" t="s">
        <v>702</v>
      </c>
      <c r="E3521" s="1" t="s">
        <v>436</v>
      </c>
      <c r="F3521" s="1" t="s">
        <v>440</v>
      </c>
      <c r="G3521" s="1" t="s">
        <v>438</v>
      </c>
      <c r="H3521" s="1">
        <v>2700</v>
      </c>
      <c r="I3521" s="3">
        <v>46280</v>
      </c>
      <c r="L3521" s="31">
        <v>46280.669007291668</v>
      </c>
      <c r="M3521" s="20">
        <v>12</v>
      </c>
      <c r="N3521" s="1">
        <v>203</v>
      </c>
    </row>
    <row r="3522" spans="1:14" x14ac:dyDescent="0.25">
      <c r="A3522" t="str">
        <f t="shared" ref="A3522:A3585" si="112">+D3522&amp;D3522</f>
        <v>U148019U148019</v>
      </c>
      <c r="B3522" t="str">
        <f t="shared" ref="B3522:B3585" si="113">+D3522&amp;C3522</f>
        <v>U148019W6033JW-B</v>
      </c>
      <c r="C3522" s="1" t="s">
        <v>656</v>
      </c>
      <c r="D3522" s="1" t="s">
        <v>702</v>
      </c>
      <c r="E3522" s="1" t="s">
        <v>436</v>
      </c>
      <c r="F3522" s="1" t="s">
        <v>440</v>
      </c>
      <c r="G3522" s="1" t="s">
        <v>438</v>
      </c>
      <c r="H3522" s="1">
        <v>2700</v>
      </c>
      <c r="I3522" s="3">
        <v>46280</v>
      </c>
      <c r="L3522" s="31">
        <v>46280.671837037036</v>
      </c>
      <c r="M3522" s="20">
        <v>12</v>
      </c>
      <c r="N3522" s="1">
        <v>157</v>
      </c>
    </row>
    <row r="3523" spans="1:14" x14ac:dyDescent="0.25">
      <c r="A3523" t="str">
        <f t="shared" si="112"/>
        <v>U148019U148019</v>
      </c>
      <c r="B3523" t="str">
        <f t="shared" si="113"/>
        <v>U148019W6033JW-B</v>
      </c>
      <c r="C3523" s="1" t="s">
        <v>656</v>
      </c>
      <c r="D3523" s="1" t="s">
        <v>702</v>
      </c>
      <c r="E3523" s="1" t="s">
        <v>436</v>
      </c>
      <c r="F3523" s="1" t="s">
        <v>440</v>
      </c>
      <c r="G3523" s="1" t="s">
        <v>438</v>
      </c>
      <c r="H3523" s="1">
        <v>2700</v>
      </c>
      <c r="I3523" s="3">
        <v>46280</v>
      </c>
      <c r="L3523" s="31">
        <v>46280.672064618055</v>
      </c>
      <c r="M3523" s="20">
        <v>12</v>
      </c>
      <c r="N3523" s="1">
        <v>17</v>
      </c>
    </row>
    <row r="3524" spans="1:14" x14ac:dyDescent="0.25">
      <c r="A3524" t="str">
        <f t="shared" si="112"/>
        <v>U148019U148019</v>
      </c>
      <c r="B3524" t="str">
        <f t="shared" si="113"/>
        <v>U148019W6033JW-B</v>
      </c>
      <c r="C3524" s="1" t="s">
        <v>656</v>
      </c>
      <c r="D3524" s="1" t="s">
        <v>702</v>
      </c>
      <c r="E3524" s="1" t="s">
        <v>436</v>
      </c>
      <c r="F3524" s="1" t="s">
        <v>440</v>
      </c>
      <c r="G3524" s="1" t="s">
        <v>438</v>
      </c>
      <c r="H3524" s="1">
        <v>2700</v>
      </c>
      <c r="I3524" s="3">
        <v>46280</v>
      </c>
      <c r="L3524" s="31">
        <v>46280.672657210649</v>
      </c>
      <c r="M3524" s="20">
        <v>12</v>
      </c>
      <c r="N3524" s="1">
        <v>15</v>
      </c>
    </row>
    <row r="3525" spans="1:14" x14ac:dyDescent="0.25">
      <c r="A3525" t="str">
        <f t="shared" si="112"/>
        <v>U148019U148019</v>
      </c>
      <c r="B3525" t="str">
        <f t="shared" si="113"/>
        <v>U148019W6033JW-B</v>
      </c>
      <c r="C3525" s="1" t="s">
        <v>656</v>
      </c>
      <c r="D3525" s="1" t="s">
        <v>702</v>
      </c>
      <c r="E3525" s="1" t="s">
        <v>436</v>
      </c>
      <c r="F3525" s="1" t="s">
        <v>440</v>
      </c>
      <c r="G3525" s="1" t="s">
        <v>438</v>
      </c>
      <c r="H3525" s="1">
        <v>2700</v>
      </c>
      <c r="I3525" s="3">
        <v>46280</v>
      </c>
      <c r="L3525" s="31">
        <v>46280.677041782408</v>
      </c>
      <c r="M3525" s="20">
        <v>12</v>
      </c>
      <c r="N3525" s="1">
        <v>186</v>
      </c>
    </row>
    <row r="3526" spans="1:14" x14ac:dyDescent="0.25">
      <c r="A3526" t="str">
        <f t="shared" si="112"/>
        <v>U148019U148019</v>
      </c>
      <c r="B3526" t="str">
        <f t="shared" si="113"/>
        <v>U148019W6033JW-B</v>
      </c>
      <c r="C3526" s="1" t="s">
        <v>656</v>
      </c>
      <c r="D3526" s="1" t="s">
        <v>702</v>
      </c>
      <c r="E3526" s="1" t="s">
        <v>436</v>
      </c>
      <c r="F3526" s="1" t="s">
        <v>440</v>
      </c>
      <c r="G3526" s="1" t="s">
        <v>438</v>
      </c>
      <c r="H3526" s="1">
        <v>2700</v>
      </c>
      <c r="I3526" s="3">
        <v>46280</v>
      </c>
      <c r="L3526" s="31">
        <v>46280.678799803238</v>
      </c>
      <c r="M3526" s="20">
        <v>12</v>
      </c>
      <c r="N3526" s="1">
        <v>158</v>
      </c>
    </row>
    <row r="3527" spans="1:14" x14ac:dyDescent="0.25">
      <c r="A3527" t="str">
        <f t="shared" si="112"/>
        <v>U148019U148019</v>
      </c>
      <c r="B3527" t="str">
        <f t="shared" si="113"/>
        <v>U148019W6033JW-B</v>
      </c>
      <c r="C3527" s="1" t="s">
        <v>656</v>
      </c>
      <c r="D3527" s="1" t="s">
        <v>702</v>
      </c>
      <c r="E3527" s="1" t="s">
        <v>436</v>
      </c>
      <c r="F3527" s="1" t="s">
        <v>440</v>
      </c>
      <c r="G3527" s="1" t="s">
        <v>438</v>
      </c>
      <c r="H3527" s="1">
        <v>2700</v>
      </c>
      <c r="I3527" s="3">
        <v>46280</v>
      </c>
      <c r="L3527" s="31">
        <v>46280.684220983792</v>
      </c>
      <c r="M3527" s="20">
        <v>12</v>
      </c>
      <c r="N3527" s="1">
        <v>202</v>
      </c>
    </row>
    <row r="3528" spans="1:14" x14ac:dyDescent="0.25">
      <c r="A3528" t="str">
        <f t="shared" si="112"/>
        <v>U148019U148019</v>
      </c>
      <c r="B3528" t="str">
        <f t="shared" si="113"/>
        <v>U148019W6033JW-B</v>
      </c>
      <c r="C3528" s="1" t="s">
        <v>656</v>
      </c>
      <c r="D3528" s="1" t="s">
        <v>702</v>
      </c>
      <c r="E3528" s="1" t="s">
        <v>436</v>
      </c>
      <c r="F3528" s="1" t="s">
        <v>440</v>
      </c>
      <c r="G3528" s="1" t="s">
        <v>438</v>
      </c>
      <c r="H3528" s="1">
        <v>2700</v>
      </c>
      <c r="I3528" s="3">
        <v>46280</v>
      </c>
      <c r="L3528" s="31">
        <v>46280.690319791662</v>
      </c>
      <c r="M3528" s="20">
        <v>12</v>
      </c>
      <c r="N3528" s="1">
        <v>189</v>
      </c>
    </row>
    <row r="3529" spans="1:14" x14ac:dyDescent="0.25">
      <c r="A3529" t="str">
        <f t="shared" si="112"/>
        <v>U148146U148146</v>
      </c>
      <c r="B3529" t="str">
        <f t="shared" si="113"/>
        <v>U148146P90603Q9-M</v>
      </c>
      <c r="C3529" s="1" t="s">
        <v>704</v>
      </c>
      <c r="D3529" s="1" t="s">
        <v>705</v>
      </c>
      <c r="E3529" s="1" t="s">
        <v>436</v>
      </c>
      <c r="F3529" s="1" t="s">
        <v>449</v>
      </c>
      <c r="G3529" s="1" t="s">
        <v>438</v>
      </c>
      <c r="H3529" s="1">
        <v>2664</v>
      </c>
      <c r="I3529" s="3">
        <v>46280</v>
      </c>
      <c r="J3529" s="3">
        <v>46289</v>
      </c>
      <c r="K3529" s="3" t="s">
        <v>2374</v>
      </c>
      <c r="L3529" s="31">
        <v>46280.673810034721</v>
      </c>
      <c r="M3529" s="20">
        <v>12</v>
      </c>
      <c r="N3529" s="1">
        <v>18</v>
      </c>
    </row>
    <row r="3530" spans="1:14" x14ac:dyDescent="0.25">
      <c r="A3530" t="str">
        <f t="shared" si="112"/>
        <v>U148146U148146</v>
      </c>
      <c r="B3530" t="str">
        <f t="shared" si="113"/>
        <v>U148146P90603Q9-M</v>
      </c>
      <c r="C3530" s="1" t="s">
        <v>704</v>
      </c>
      <c r="D3530" s="1" t="s">
        <v>705</v>
      </c>
      <c r="E3530" s="1" t="s">
        <v>436</v>
      </c>
      <c r="F3530" s="1" t="s">
        <v>449</v>
      </c>
      <c r="G3530" s="1" t="s">
        <v>438</v>
      </c>
      <c r="H3530" s="1">
        <v>2664</v>
      </c>
      <c r="I3530" s="3">
        <v>46280</v>
      </c>
      <c r="J3530" s="3">
        <v>46289</v>
      </c>
      <c r="K3530" s="3" t="s">
        <v>2374</v>
      </c>
      <c r="L3530" s="31">
        <v>46280.67396461805</v>
      </c>
      <c r="M3530" s="20">
        <v>12</v>
      </c>
      <c r="N3530" s="1">
        <v>15</v>
      </c>
    </row>
    <row r="3531" spans="1:14" x14ac:dyDescent="0.25">
      <c r="A3531" t="str">
        <f t="shared" si="112"/>
        <v>U148146U148146</v>
      </c>
      <c r="B3531" t="str">
        <f t="shared" si="113"/>
        <v>U148146P90603Q9-M</v>
      </c>
      <c r="C3531" s="1" t="s">
        <v>704</v>
      </c>
      <c r="D3531" s="1" t="s">
        <v>705</v>
      </c>
      <c r="E3531" s="1" t="s">
        <v>436</v>
      </c>
      <c r="F3531" s="1" t="s">
        <v>449</v>
      </c>
      <c r="G3531" s="1" t="s">
        <v>438</v>
      </c>
      <c r="H3531" s="1">
        <v>2664</v>
      </c>
      <c r="I3531" s="3">
        <v>46280</v>
      </c>
      <c r="J3531" s="3">
        <v>46289</v>
      </c>
      <c r="K3531" s="3" t="s">
        <v>2374</v>
      </c>
      <c r="L3531" s="31">
        <v>46280.674171759259</v>
      </c>
      <c r="M3531" s="20">
        <v>12</v>
      </c>
      <c r="N3531" s="1">
        <v>24</v>
      </c>
    </row>
    <row r="3532" spans="1:14" x14ac:dyDescent="0.25">
      <c r="A3532" t="str">
        <f t="shared" si="112"/>
        <v>U148146U148146</v>
      </c>
      <c r="B3532" t="str">
        <f t="shared" si="113"/>
        <v>U148146P90603Q9-M</v>
      </c>
      <c r="C3532" s="1" t="s">
        <v>704</v>
      </c>
      <c r="D3532" s="1" t="s">
        <v>705</v>
      </c>
      <c r="E3532" s="1" t="s">
        <v>436</v>
      </c>
      <c r="F3532" s="1" t="s">
        <v>449</v>
      </c>
      <c r="G3532" s="1" t="s">
        <v>438</v>
      </c>
      <c r="H3532" s="1">
        <v>2664</v>
      </c>
      <c r="I3532" s="3">
        <v>46280</v>
      </c>
      <c r="J3532" s="3">
        <v>46289</v>
      </c>
      <c r="K3532" s="3" t="s">
        <v>2374</v>
      </c>
      <c r="L3532" s="31">
        <v>46280.674350462963</v>
      </c>
      <c r="M3532" s="20">
        <v>12</v>
      </c>
      <c r="N3532" s="1">
        <v>13</v>
      </c>
    </row>
    <row r="3533" spans="1:14" x14ac:dyDescent="0.25">
      <c r="A3533" t="str">
        <f t="shared" si="112"/>
        <v>U148146U148146</v>
      </c>
      <c r="B3533" t="str">
        <f t="shared" si="113"/>
        <v>U148146P90603Q9-M</v>
      </c>
      <c r="C3533" s="1" t="s">
        <v>704</v>
      </c>
      <c r="D3533" s="1" t="s">
        <v>705</v>
      </c>
      <c r="E3533" s="1" t="s">
        <v>436</v>
      </c>
      <c r="F3533" s="1" t="s">
        <v>449</v>
      </c>
      <c r="G3533" s="1" t="s">
        <v>438</v>
      </c>
      <c r="H3533" s="1">
        <v>2664</v>
      </c>
      <c r="I3533" s="3">
        <v>46280</v>
      </c>
      <c r="J3533" s="3">
        <v>46289</v>
      </c>
      <c r="K3533" s="3" t="s">
        <v>2374</v>
      </c>
      <c r="L3533" s="31">
        <v>46280.674607638888</v>
      </c>
      <c r="M3533" s="20">
        <v>12</v>
      </c>
      <c r="N3533" s="1">
        <v>23</v>
      </c>
    </row>
    <row r="3534" spans="1:14" x14ac:dyDescent="0.25">
      <c r="A3534" t="str">
        <f t="shared" si="112"/>
        <v>U148146U148146</v>
      </c>
      <c r="B3534" t="str">
        <f t="shared" si="113"/>
        <v>U148146P90603Q9-M</v>
      </c>
      <c r="C3534" s="1" t="s">
        <v>704</v>
      </c>
      <c r="D3534" s="1" t="s">
        <v>705</v>
      </c>
      <c r="E3534" s="1" t="s">
        <v>436</v>
      </c>
      <c r="F3534" s="1" t="s">
        <v>449</v>
      </c>
      <c r="G3534" s="1" t="s">
        <v>438</v>
      </c>
      <c r="H3534" s="1">
        <v>2664</v>
      </c>
      <c r="I3534" s="3">
        <v>46280</v>
      </c>
      <c r="J3534" s="3">
        <v>46289</v>
      </c>
      <c r="K3534" s="3" t="s">
        <v>2374</v>
      </c>
      <c r="L3534" s="31">
        <v>46280.6749375</v>
      </c>
      <c r="M3534" s="20">
        <v>12</v>
      </c>
      <c r="N3534" s="1">
        <v>14</v>
      </c>
    </row>
    <row r="3535" spans="1:14" x14ac:dyDescent="0.25">
      <c r="A3535" t="str">
        <f t="shared" si="112"/>
        <v>U149836U149836</v>
      </c>
      <c r="B3535" t="str">
        <f t="shared" si="113"/>
        <v>U149836CM997HCA-D</v>
      </c>
      <c r="C3535" s="1" t="s">
        <v>689</v>
      </c>
      <c r="D3535" s="1" t="s">
        <v>690</v>
      </c>
      <c r="E3535" s="1" t="s">
        <v>436</v>
      </c>
      <c r="F3535" s="1" t="s">
        <v>443</v>
      </c>
      <c r="G3535" s="1" t="s">
        <v>444</v>
      </c>
      <c r="H3535" s="1">
        <v>2916</v>
      </c>
      <c r="I3535" s="3">
        <v>46280</v>
      </c>
      <c r="L3535" s="31">
        <v>46280.340805555556</v>
      </c>
      <c r="M3535" s="20">
        <v>12</v>
      </c>
      <c r="N3535" s="1">
        <v>19</v>
      </c>
    </row>
    <row r="3536" spans="1:14" x14ac:dyDescent="0.25">
      <c r="A3536" t="str">
        <f t="shared" si="112"/>
        <v>U149836U149836</v>
      </c>
      <c r="B3536" t="str">
        <f t="shared" si="113"/>
        <v>U149836CM997HCA-D</v>
      </c>
      <c r="C3536" s="1" t="s">
        <v>689</v>
      </c>
      <c r="D3536" s="1" t="s">
        <v>690</v>
      </c>
      <c r="E3536" s="1" t="s">
        <v>436</v>
      </c>
      <c r="F3536" s="1" t="s">
        <v>443</v>
      </c>
      <c r="G3536" s="1" t="s">
        <v>444</v>
      </c>
      <c r="H3536" s="1">
        <v>2916</v>
      </c>
      <c r="I3536" s="3">
        <v>46280</v>
      </c>
      <c r="L3536" s="31">
        <v>46280.340995219907</v>
      </c>
      <c r="M3536" s="20">
        <v>12</v>
      </c>
      <c r="N3536" s="1">
        <v>18</v>
      </c>
    </row>
    <row r="3537" spans="1:14" x14ac:dyDescent="0.25">
      <c r="A3537" t="str">
        <f t="shared" si="112"/>
        <v>U149836U149836</v>
      </c>
      <c r="B3537" t="str">
        <f t="shared" si="113"/>
        <v>U149836CM997HCA-D</v>
      </c>
      <c r="C3537" s="1" t="s">
        <v>689</v>
      </c>
      <c r="D3537" s="1" t="s">
        <v>690</v>
      </c>
      <c r="E3537" s="1" t="s">
        <v>436</v>
      </c>
      <c r="F3537" s="1" t="s">
        <v>443</v>
      </c>
      <c r="G3537" s="1" t="s">
        <v>444</v>
      </c>
      <c r="H3537" s="1">
        <v>2916</v>
      </c>
      <c r="I3537" s="3">
        <v>46280</v>
      </c>
      <c r="L3537" s="31">
        <v>46280.355402511574</v>
      </c>
      <c r="M3537" s="20">
        <v>12</v>
      </c>
      <c r="N3537" s="1">
        <v>200</v>
      </c>
    </row>
    <row r="3538" spans="1:14" x14ac:dyDescent="0.25">
      <c r="A3538" t="str">
        <f t="shared" si="112"/>
        <v>U149836U149836</v>
      </c>
      <c r="B3538" t="str">
        <f t="shared" si="113"/>
        <v>U149836CM997HCA-D</v>
      </c>
      <c r="C3538" s="1" t="s">
        <v>689</v>
      </c>
      <c r="D3538" s="1" t="s">
        <v>690</v>
      </c>
      <c r="E3538" s="1" t="s">
        <v>436</v>
      </c>
      <c r="F3538" s="1" t="s">
        <v>443</v>
      </c>
      <c r="G3538" s="1" t="s">
        <v>444</v>
      </c>
      <c r="H3538" s="1">
        <v>2916</v>
      </c>
      <c r="I3538" s="3">
        <v>46280</v>
      </c>
      <c r="L3538" s="31">
        <v>46280.355616354165</v>
      </c>
      <c r="M3538" s="20">
        <v>12</v>
      </c>
      <c r="N3538" s="1">
        <v>199</v>
      </c>
    </row>
    <row r="3539" spans="1:14" x14ac:dyDescent="0.25">
      <c r="A3539" t="str">
        <f t="shared" si="112"/>
        <v>U149836U149836</v>
      </c>
      <c r="B3539" t="str">
        <f t="shared" si="113"/>
        <v>U149836CM997HCA-D</v>
      </c>
      <c r="C3539" s="1" t="s">
        <v>689</v>
      </c>
      <c r="D3539" s="1" t="s">
        <v>690</v>
      </c>
      <c r="E3539" s="1" t="s">
        <v>436</v>
      </c>
      <c r="F3539" s="1" t="s">
        <v>443</v>
      </c>
      <c r="G3539" s="1" t="s">
        <v>444</v>
      </c>
      <c r="H3539" s="1">
        <v>2916</v>
      </c>
      <c r="I3539" s="3">
        <v>46280</v>
      </c>
      <c r="L3539" s="31">
        <v>46280.357808564811</v>
      </c>
      <c r="M3539" s="20">
        <v>12</v>
      </c>
      <c r="N3539" s="1">
        <v>20</v>
      </c>
    </row>
    <row r="3540" spans="1:14" x14ac:dyDescent="0.25">
      <c r="A3540" t="str">
        <f t="shared" si="112"/>
        <v>U149836U149836</v>
      </c>
      <c r="B3540" t="str">
        <f t="shared" si="113"/>
        <v>U149836CM997HCA-D</v>
      </c>
      <c r="C3540" s="1" t="s">
        <v>689</v>
      </c>
      <c r="D3540" s="1" t="s">
        <v>690</v>
      </c>
      <c r="E3540" s="1" t="s">
        <v>436</v>
      </c>
      <c r="F3540" s="1" t="s">
        <v>443</v>
      </c>
      <c r="G3540" s="1" t="s">
        <v>444</v>
      </c>
      <c r="H3540" s="1">
        <v>2916</v>
      </c>
      <c r="I3540" s="3">
        <v>46280</v>
      </c>
      <c r="L3540" s="31">
        <v>46280.378222916668</v>
      </c>
      <c r="M3540" s="20">
        <v>12</v>
      </c>
      <c r="N3540" s="1">
        <v>148</v>
      </c>
    </row>
    <row r="3541" spans="1:14" x14ac:dyDescent="0.25">
      <c r="A3541" t="str">
        <f t="shared" si="112"/>
        <v>U149836U149836</v>
      </c>
      <c r="B3541" t="str">
        <f t="shared" si="113"/>
        <v>U149836CM997HCA-D</v>
      </c>
      <c r="C3541" s="1" t="s">
        <v>689</v>
      </c>
      <c r="D3541" s="1" t="s">
        <v>690</v>
      </c>
      <c r="E3541" s="1" t="s">
        <v>436</v>
      </c>
      <c r="F3541" s="1" t="s">
        <v>443</v>
      </c>
      <c r="G3541" s="1" t="s">
        <v>444</v>
      </c>
      <c r="H3541" s="1">
        <v>2916</v>
      </c>
      <c r="I3541" s="3">
        <v>46280</v>
      </c>
      <c r="L3541" s="31">
        <v>46280.378713888887</v>
      </c>
      <c r="M3541" s="20">
        <v>12</v>
      </c>
      <c r="N3541" s="1">
        <v>21</v>
      </c>
    </row>
    <row r="3542" spans="1:14" x14ac:dyDescent="0.25">
      <c r="A3542" t="str">
        <f t="shared" si="112"/>
        <v>U149836U149836</v>
      </c>
      <c r="B3542" t="str">
        <f t="shared" si="113"/>
        <v>U149836CM997HCA-D</v>
      </c>
      <c r="C3542" s="1" t="s">
        <v>689</v>
      </c>
      <c r="D3542" s="1" t="s">
        <v>690</v>
      </c>
      <c r="E3542" s="1" t="s">
        <v>436</v>
      </c>
      <c r="F3542" s="1" t="s">
        <v>443</v>
      </c>
      <c r="G3542" s="1" t="s">
        <v>444</v>
      </c>
      <c r="H3542" s="1">
        <v>2916</v>
      </c>
      <c r="I3542" s="3">
        <v>46280</v>
      </c>
      <c r="L3542" s="31">
        <v>46280.393861956014</v>
      </c>
      <c r="M3542" s="20">
        <v>12</v>
      </c>
      <c r="N3542" s="1">
        <v>201</v>
      </c>
    </row>
    <row r="3543" spans="1:14" x14ac:dyDescent="0.25">
      <c r="A3543" t="str">
        <f t="shared" si="112"/>
        <v>U149836U149836</v>
      </c>
      <c r="B3543" t="str">
        <f t="shared" si="113"/>
        <v>U149836CM997HCA-D</v>
      </c>
      <c r="C3543" s="1" t="s">
        <v>689</v>
      </c>
      <c r="D3543" s="1" t="s">
        <v>690</v>
      </c>
      <c r="E3543" s="1" t="s">
        <v>436</v>
      </c>
      <c r="F3543" s="1" t="s">
        <v>443</v>
      </c>
      <c r="G3543" s="1" t="s">
        <v>444</v>
      </c>
      <c r="H3543" s="1">
        <v>2916</v>
      </c>
      <c r="I3543" s="3">
        <v>46280</v>
      </c>
      <c r="L3543" s="31">
        <v>46280.39436716435</v>
      </c>
      <c r="M3543" s="20">
        <v>12</v>
      </c>
      <c r="N3543" s="1">
        <v>152</v>
      </c>
    </row>
    <row r="3544" spans="1:14" x14ac:dyDescent="0.25">
      <c r="A3544" t="str">
        <f t="shared" si="112"/>
        <v>U149836U149836</v>
      </c>
      <c r="B3544" t="str">
        <f t="shared" si="113"/>
        <v>U149836CM997HCA-D</v>
      </c>
      <c r="C3544" s="1" t="s">
        <v>689</v>
      </c>
      <c r="D3544" s="1" t="s">
        <v>690</v>
      </c>
      <c r="E3544" s="1" t="s">
        <v>436</v>
      </c>
      <c r="F3544" s="1" t="s">
        <v>443</v>
      </c>
      <c r="G3544" s="1" t="s">
        <v>444</v>
      </c>
      <c r="H3544" s="1">
        <v>2916</v>
      </c>
      <c r="I3544" s="3">
        <v>46280</v>
      </c>
      <c r="L3544" s="31">
        <v>46280.406091354162</v>
      </c>
      <c r="M3544" s="20">
        <v>12</v>
      </c>
      <c r="N3544" s="1">
        <v>202</v>
      </c>
    </row>
    <row r="3545" spans="1:14" x14ac:dyDescent="0.25">
      <c r="A3545" t="str">
        <f t="shared" si="112"/>
        <v>U149836U149836</v>
      </c>
      <c r="B3545" t="str">
        <f t="shared" si="113"/>
        <v>U149836CM997HCA-D</v>
      </c>
      <c r="C3545" s="1" t="s">
        <v>689</v>
      </c>
      <c r="D3545" s="1" t="s">
        <v>690</v>
      </c>
      <c r="E3545" s="1" t="s">
        <v>436</v>
      </c>
      <c r="F3545" s="1" t="s">
        <v>443</v>
      </c>
      <c r="G3545" s="1" t="s">
        <v>444</v>
      </c>
      <c r="H3545" s="1">
        <v>2916</v>
      </c>
      <c r="I3545" s="3">
        <v>46280</v>
      </c>
      <c r="L3545" s="31">
        <v>46280.407137002316</v>
      </c>
      <c r="M3545" s="20">
        <v>12</v>
      </c>
      <c r="N3545" s="1">
        <v>203</v>
      </c>
    </row>
    <row r="3546" spans="1:14" x14ac:dyDescent="0.25">
      <c r="A3546" t="str">
        <f t="shared" si="112"/>
        <v>U149836U149836</v>
      </c>
      <c r="B3546" t="str">
        <f t="shared" si="113"/>
        <v>U149836CM997HCA-D</v>
      </c>
      <c r="C3546" s="1" t="s">
        <v>689</v>
      </c>
      <c r="D3546" s="1" t="s">
        <v>690</v>
      </c>
      <c r="E3546" s="1" t="s">
        <v>436</v>
      </c>
      <c r="F3546" s="1" t="s">
        <v>443</v>
      </c>
      <c r="G3546" s="1" t="s">
        <v>444</v>
      </c>
      <c r="H3546" s="1">
        <v>2916</v>
      </c>
      <c r="I3546" s="3">
        <v>46280</v>
      </c>
      <c r="L3546" s="31">
        <v>46280.422493784718</v>
      </c>
      <c r="M3546" s="20">
        <v>12</v>
      </c>
      <c r="N3546" s="1">
        <v>25</v>
      </c>
    </row>
    <row r="3547" spans="1:14" x14ac:dyDescent="0.25">
      <c r="A3547" t="str">
        <f t="shared" si="112"/>
        <v>U149836U149836</v>
      </c>
      <c r="B3547" t="str">
        <f t="shared" si="113"/>
        <v>U149836CM997HCA-D</v>
      </c>
      <c r="C3547" s="1" t="s">
        <v>689</v>
      </c>
      <c r="D3547" s="1" t="s">
        <v>690</v>
      </c>
      <c r="E3547" s="1" t="s">
        <v>436</v>
      </c>
      <c r="F3547" s="1" t="s">
        <v>443</v>
      </c>
      <c r="G3547" s="1" t="s">
        <v>444</v>
      </c>
      <c r="H3547" s="1">
        <v>2916</v>
      </c>
      <c r="I3547" s="3">
        <v>46280</v>
      </c>
      <c r="L3547" s="31">
        <v>46280.443627083332</v>
      </c>
      <c r="M3547" s="20">
        <v>12</v>
      </c>
      <c r="N3547" s="1">
        <v>151</v>
      </c>
    </row>
    <row r="3548" spans="1:14" x14ac:dyDescent="0.25">
      <c r="A3548" t="str">
        <f t="shared" si="112"/>
        <v>U149836U149836</v>
      </c>
      <c r="B3548" t="str">
        <f t="shared" si="113"/>
        <v>U149836CM997HCA-D</v>
      </c>
      <c r="C3548" s="1" t="s">
        <v>689</v>
      </c>
      <c r="D3548" s="1" t="s">
        <v>690</v>
      </c>
      <c r="E3548" s="1" t="s">
        <v>436</v>
      </c>
      <c r="F3548" s="1" t="s">
        <v>443</v>
      </c>
      <c r="G3548" s="1" t="s">
        <v>444</v>
      </c>
      <c r="H3548" s="1">
        <v>2916</v>
      </c>
      <c r="I3548" s="3">
        <v>46280</v>
      </c>
      <c r="L3548" s="31">
        <v>46280.444348611112</v>
      </c>
      <c r="M3548" s="20">
        <v>12</v>
      </c>
      <c r="N3548" s="1">
        <v>26</v>
      </c>
    </row>
    <row r="3549" spans="1:14" x14ac:dyDescent="0.25">
      <c r="A3549" t="str">
        <f t="shared" si="112"/>
        <v>U149836U149836</v>
      </c>
      <c r="B3549" t="str">
        <f t="shared" si="113"/>
        <v>U149836CM997HCA-D</v>
      </c>
      <c r="C3549" s="1" t="s">
        <v>689</v>
      </c>
      <c r="D3549" s="1" t="s">
        <v>690</v>
      </c>
      <c r="E3549" s="1" t="s">
        <v>436</v>
      </c>
      <c r="F3549" s="1" t="s">
        <v>443</v>
      </c>
      <c r="G3549" s="1" t="s">
        <v>444</v>
      </c>
      <c r="H3549" s="1">
        <v>2916</v>
      </c>
      <c r="I3549" s="3">
        <v>46280</v>
      </c>
      <c r="L3549" s="31">
        <v>46280.454472997684</v>
      </c>
      <c r="M3549" s="20">
        <v>12</v>
      </c>
      <c r="N3549" s="1">
        <v>24</v>
      </c>
    </row>
    <row r="3550" spans="1:14" x14ac:dyDescent="0.25">
      <c r="A3550" t="str">
        <f t="shared" si="112"/>
        <v>U149836U149836</v>
      </c>
      <c r="B3550" t="str">
        <f t="shared" si="113"/>
        <v>U149836CM997HCA-D</v>
      </c>
      <c r="C3550" s="1" t="s">
        <v>689</v>
      </c>
      <c r="D3550" s="1" t="s">
        <v>690</v>
      </c>
      <c r="E3550" s="1" t="s">
        <v>436</v>
      </c>
      <c r="F3550" s="1" t="s">
        <v>443</v>
      </c>
      <c r="G3550" s="1" t="s">
        <v>444</v>
      </c>
      <c r="H3550" s="1">
        <v>2916</v>
      </c>
      <c r="I3550" s="3">
        <v>46280</v>
      </c>
      <c r="L3550" s="31">
        <v>46280.454869016205</v>
      </c>
      <c r="M3550" s="20">
        <v>12</v>
      </c>
      <c r="N3550" s="1">
        <v>154</v>
      </c>
    </row>
    <row r="3551" spans="1:14" x14ac:dyDescent="0.25">
      <c r="A3551" t="str">
        <f t="shared" si="112"/>
        <v>U149836U149836</v>
      </c>
      <c r="B3551" t="str">
        <f t="shared" si="113"/>
        <v>U149836CM997HCA-D</v>
      </c>
      <c r="C3551" s="1" t="s">
        <v>689</v>
      </c>
      <c r="D3551" s="1" t="s">
        <v>690</v>
      </c>
      <c r="E3551" s="1" t="s">
        <v>436</v>
      </c>
      <c r="F3551" s="1" t="s">
        <v>443</v>
      </c>
      <c r="G3551" s="1" t="s">
        <v>444</v>
      </c>
      <c r="H3551" s="1">
        <v>2916</v>
      </c>
      <c r="I3551" s="3">
        <v>46280</v>
      </c>
      <c r="L3551" s="31">
        <v>46280.457584374999</v>
      </c>
      <c r="M3551" s="20">
        <v>12</v>
      </c>
      <c r="N3551" s="1">
        <v>156</v>
      </c>
    </row>
    <row r="3552" spans="1:14" x14ac:dyDescent="0.25">
      <c r="A3552" t="str">
        <f t="shared" si="112"/>
        <v>U149836U149836</v>
      </c>
      <c r="B3552" t="str">
        <f t="shared" si="113"/>
        <v>U149836CM997HCA-D</v>
      </c>
      <c r="C3552" s="1" t="s">
        <v>689</v>
      </c>
      <c r="D3552" s="1" t="s">
        <v>690</v>
      </c>
      <c r="E3552" s="1" t="s">
        <v>436</v>
      </c>
      <c r="F3552" s="1" t="s">
        <v>443</v>
      </c>
      <c r="G3552" s="1" t="s">
        <v>444</v>
      </c>
      <c r="H3552" s="1">
        <v>2916</v>
      </c>
      <c r="I3552" s="3">
        <v>46280</v>
      </c>
      <c r="L3552" s="31">
        <v>46280.457779166667</v>
      </c>
      <c r="M3552" s="20">
        <v>12</v>
      </c>
      <c r="N3552" s="1">
        <v>207</v>
      </c>
    </row>
    <row r="3553" spans="1:14" x14ac:dyDescent="0.25">
      <c r="A3553" t="str">
        <f t="shared" si="112"/>
        <v>U149836U149836</v>
      </c>
      <c r="B3553" t="str">
        <f t="shared" si="113"/>
        <v>U149836CM997HCA-D</v>
      </c>
      <c r="C3553" s="1" t="s">
        <v>689</v>
      </c>
      <c r="D3553" s="1" t="s">
        <v>690</v>
      </c>
      <c r="E3553" s="1" t="s">
        <v>436</v>
      </c>
      <c r="F3553" s="1" t="s">
        <v>443</v>
      </c>
      <c r="G3553" s="1" t="s">
        <v>444</v>
      </c>
      <c r="H3553" s="1">
        <v>2916</v>
      </c>
      <c r="I3553" s="3">
        <v>46280</v>
      </c>
      <c r="L3553" s="31">
        <v>46280.470481400458</v>
      </c>
      <c r="M3553" s="20">
        <v>12</v>
      </c>
      <c r="N3553" s="1">
        <v>153</v>
      </c>
    </row>
    <row r="3554" spans="1:14" x14ac:dyDescent="0.25">
      <c r="A3554" t="str">
        <f t="shared" si="112"/>
        <v>U149836U149836</v>
      </c>
      <c r="B3554" t="str">
        <f t="shared" si="113"/>
        <v>U149836CM997HCA-D</v>
      </c>
      <c r="C3554" s="1" t="s">
        <v>689</v>
      </c>
      <c r="D3554" s="1" t="s">
        <v>690</v>
      </c>
      <c r="E3554" s="1" t="s">
        <v>436</v>
      </c>
      <c r="F3554" s="1" t="s">
        <v>443</v>
      </c>
      <c r="G3554" s="1" t="s">
        <v>444</v>
      </c>
      <c r="H3554" s="1">
        <v>2916</v>
      </c>
      <c r="I3554" s="3">
        <v>46280</v>
      </c>
      <c r="L3554" s="31">
        <v>46280.470658182865</v>
      </c>
      <c r="M3554" s="20">
        <v>12</v>
      </c>
      <c r="N3554" s="1">
        <v>29</v>
      </c>
    </row>
    <row r="3555" spans="1:14" x14ac:dyDescent="0.25">
      <c r="A3555" t="str">
        <f t="shared" si="112"/>
        <v>U149836U149836</v>
      </c>
      <c r="B3555" t="str">
        <f t="shared" si="113"/>
        <v>U149836CM997HCA-D</v>
      </c>
      <c r="C3555" s="1" t="s">
        <v>689</v>
      </c>
      <c r="D3555" s="1" t="s">
        <v>690</v>
      </c>
      <c r="E3555" s="1" t="s">
        <v>436</v>
      </c>
      <c r="F3555" s="1" t="s">
        <v>443</v>
      </c>
      <c r="G3555" s="1" t="s">
        <v>444</v>
      </c>
      <c r="H3555" s="1">
        <v>2916</v>
      </c>
      <c r="I3555" s="3">
        <v>46280</v>
      </c>
      <c r="L3555" s="31">
        <v>46280.478492905087</v>
      </c>
      <c r="M3555" s="20">
        <v>12</v>
      </c>
      <c r="N3555" s="1">
        <v>30</v>
      </c>
    </row>
    <row r="3556" spans="1:14" x14ac:dyDescent="0.25">
      <c r="A3556" t="str">
        <f t="shared" si="112"/>
        <v>U149836U149836</v>
      </c>
      <c r="B3556" t="str">
        <f t="shared" si="113"/>
        <v>U149836CM997HCA-D</v>
      </c>
      <c r="C3556" s="1" t="s">
        <v>689</v>
      </c>
      <c r="D3556" s="1" t="s">
        <v>690</v>
      </c>
      <c r="E3556" s="1" t="s">
        <v>436</v>
      </c>
      <c r="F3556" s="1" t="s">
        <v>443</v>
      </c>
      <c r="G3556" s="1" t="s">
        <v>444</v>
      </c>
      <c r="H3556" s="1">
        <v>2916</v>
      </c>
      <c r="I3556" s="3">
        <v>46280</v>
      </c>
      <c r="L3556" s="31">
        <v>46280.478905439813</v>
      </c>
      <c r="M3556" s="20">
        <v>12</v>
      </c>
      <c r="N3556" s="1">
        <v>31</v>
      </c>
    </row>
    <row r="3557" spans="1:14" x14ac:dyDescent="0.25">
      <c r="A3557" t="str">
        <f t="shared" si="112"/>
        <v>U149836U149836</v>
      </c>
      <c r="B3557" t="str">
        <f t="shared" si="113"/>
        <v>U149836CM997HCA-D</v>
      </c>
      <c r="C3557" s="1" t="s">
        <v>689</v>
      </c>
      <c r="D3557" s="1" t="s">
        <v>690</v>
      </c>
      <c r="E3557" s="1" t="s">
        <v>436</v>
      </c>
      <c r="F3557" s="1" t="s">
        <v>443</v>
      </c>
      <c r="G3557" s="1" t="s">
        <v>444</v>
      </c>
      <c r="H3557" s="1">
        <v>2916</v>
      </c>
      <c r="I3557" s="3">
        <v>46280</v>
      </c>
      <c r="L3557" s="31">
        <v>46280.479071064816</v>
      </c>
      <c r="M3557" s="20">
        <v>12</v>
      </c>
      <c r="N3557" s="1">
        <v>206</v>
      </c>
    </row>
    <row r="3558" spans="1:14" x14ac:dyDescent="0.25">
      <c r="A3558" t="str">
        <f t="shared" si="112"/>
        <v>U149836U149836</v>
      </c>
      <c r="B3558" t="str">
        <f t="shared" si="113"/>
        <v>U149836CM997HCA-D</v>
      </c>
      <c r="C3558" s="1" t="s">
        <v>689</v>
      </c>
      <c r="D3558" s="1" t="s">
        <v>690</v>
      </c>
      <c r="E3558" s="1" t="s">
        <v>436</v>
      </c>
      <c r="F3558" s="1" t="s">
        <v>443</v>
      </c>
      <c r="G3558" s="1" t="s">
        <v>444</v>
      </c>
      <c r="H3558" s="1">
        <v>2916</v>
      </c>
      <c r="I3558" s="3">
        <v>46280</v>
      </c>
      <c r="L3558" s="31">
        <v>46280.5836065162</v>
      </c>
      <c r="M3558" s="20">
        <v>12</v>
      </c>
      <c r="N3558" s="1">
        <v>209</v>
      </c>
    </row>
    <row r="3559" spans="1:14" x14ac:dyDescent="0.25">
      <c r="A3559" t="str">
        <f t="shared" si="112"/>
        <v>U149836U149836</v>
      </c>
      <c r="B3559" t="str">
        <f t="shared" si="113"/>
        <v>U149836CM997HCA-D</v>
      </c>
      <c r="C3559" s="1" t="s">
        <v>689</v>
      </c>
      <c r="D3559" s="1" t="s">
        <v>690</v>
      </c>
      <c r="E3559" s="1" t="s">
        <v>436</v>
      </c>
      <c r="F3559" s="1" t="s">
        <v>443</v>
      </c>
      <c r="G3559" s="1" t="s">
        <v>444</v>
      </c>
      <c r="H3559" s="1">
        <v>2916</v>
      </c>
      <c r="I3559" s="3">
        <v>46280</v>
      </c>
      <c r="L3559" s="31">
        <v>46280.583882523148</v>
      </c>
      <c r="M3559" s="20">
        <v>12</v>
      </c>
      <c r="N3559" s="1">
        <v>150</v>
      </c>
    </row>
    <row r="3560" spans="1:14" x14ac:dyDescent="0.25">
      <c r="A3560" t="str">
        <f t="shared" si="112"/>
        <v>U149836U149836</v>
      </c>
      <c r="B3560" t="str">
        <f t="shared" si="113"/>
        <v>U149836CM997HCA-D</v>
      </c>
      <c r="C3560" s="1" t="s">
        <v>689</v>
      </c>
      <c r="D3560" s="1" t="s">
        <v>690</v>
      </c>
      <c r="E3560" s="1" t="s">
        <v>436</v>
      </c>
      <c r="F3560" s="1" t="s">
        <v>443</v>
      </c>
      <c r="G3560" s="1" t="s">
        <v>444</v>
      </c>
      <c r="H3560" s="1">
        <v>2916</v>
      </c>
      <c r="I3560" s="3">
        <v>46280</v>
      </c>
      <c r="L3560" s="31">
        <v>46280.584101967594</v>
      </c>
      <c r="M3560" s="20">
        <v>12</v>
      </c>
      <c r="N3560" s="1">
        <v>160</v>
      </c>
    </row>
    <row r="3561" spans="1:14" x14ac:dyDescent="0.25">
      <c r="A3561" t="str">
        <f t="shared" si="112"/>
        <v>U149836U149836</v>
      </c>
      <c r="B3561" t="str">
        <f t="shared" si="113"/>
        <v>U149836CM997HCA-D</v>
      </c>
      <c r="C3561" s="1" t="s">
        <v>689</v>
      </c>
      <c r="D3561" s="1" t="s">
        <v>690</v>
      </c>
      <c r="E3561" s="1" t="s">
        <v>436</v>
      </c>
      <c r="F3561" s="1" t="s">
        <v>443</v>
      </c>
      <c r="G3561" s="1" t="s">
        <v>444</v>
      </c>
      <c r="H3561" s="1">
        <v>2916</v>
      </c>
      <c r="I3561" s="3">
        <v>46280</v>
      </c>
      <c r="L3561" s="31">
        <v>46280.584304131946</v>
      </c>
      <c r="M3561" s="20">
        <v>12</v>
      </c>
      <c r="N3561" s="1">
        <v>204</v>
      </c>
    </row>
    <row r="3562" spans="1:14" x14ac:dyDescent="0.25">
      <c r="A3562" t="str">
        <f t="shared" si="112"/>
        <v>U149836U149836</v>
      </c>
      <c r="B3562" t="str">
        <f t="shared" si="113"/>
        <v>U149836CM997HCA-D</v>
      </c>
      <c r="C3562" s="1" t="s">
        <v>689</v>
      </c>
      <c r="D3562" s="1" t="s">
        <v>690</v>
      </c>
      <c r="E3562" s="1" t="s">
        <v>436</v>
      </c>
      <c r="F3562" s="1" t="s">
        <v>443</v>
      </c>
      <c r="G3562" s="1" t="s">
        <v>444</v>
      </c>
      <c r="H3562" s="1">
        <v>2916</v>
      </c>
      <c r="I3562" s="3">
        <v>46280</v>
      </c>
      <c r="L3562" s="31">
        <v>46280.584471145834</v>
      </c>
      <c r="M3562" s="20">
        <v>12</v>
      </c>
      <c r="N3562" s="1">
        <v>159</v>
      </c>
    </row>
    <row r="3563" spans="1:14" x14ac:dyDescent="0.25">
      <c r="A3563" t="str">
        <f t="shared" si="112"/>
        <v>U149836U149836</v>
      </c>
      <c r="B3563" t="str">
        <f t="shared" si="113"/>
        <v>U149836CM997HCA-D</v>
      </c>
      <c r="C3563" s="1" t="s">
        <v>689</v>
      </c>
      <c r="D3563" s="1" t="s">
        <v>690</v>
      </c>
      <c r="E3563" s="1" t="s">
        <v>436</v>
      </c>
      <c r="F3563" s="1" t="s">
        <v>443</v>
      </c>
      <c r="G3563" s="1" t="s">
        <v>444</v>
      </c>
      <c r="H3563" s="1">
        <v>2916</v>
      </c>
      <c r="I3563" s="3">
        <v>46280</v>
      </c>
      <c r="L3563" s="31">
        <v>46280.584698692124</v>
      </c>
      <c r="M3563" s="20">
        <v>12</v>
      </c>
      <c r="N3563" s="1">
        <v>162</v>
      </c>
    </row>
    <row r="3564" spans="1:14" x14ac:dyDescent="0.25">
      <c r="A3564" t="str">
        <f t="shared" si="112"/>
        <v>U149836U149836</v>
      </c>
      <c r="B3564" t="str">
        <f t="shared" si="113"/>
        <v>U149836CM997HCA-D</v>
      </c>
      <c r="C3564" s="1" t="s">
        <v>689</v>
      </c>
      <c r="D3564" s="1" t="s">
        <v>690</v>
      </c>
      <c r="E3564" s="1" t="s">
        <v>436</v>
      </c>
      <c r="F3564" s="1" t="s">
        <v>443</v>
      </c>
      <c r="G3564" s="1" t="s">
        <v>444</v>
      </c>
      <c r="H3564" s="1">
        <v>2916</v>
      </c>
      <c r="I3564" s="3">
        <v>46280</v>
      </c>
      <c r="L3564" s="31">
        <v>46280.585351585643</v>
      </c>
      <c r="M3564" s="20">
        <v>12</v>
      </c>
      <c r="N3564" s="1">
        <v>155</v>
      </c>
    </row>
    <row r="3565" spans="1:14" x14ac:dyDescent="0.25">
      <c r="A3565" t="str">
        <f t="shared" si="112"/>
        <v>U149836U149836</v>
      </c>
      <c r="B3565" t="str">
        <f t="shared" si="113"/>
        <v>U149836CM997HCA-D</v>
      </c>
      <c r="C3565" s="1" t="s">
        <v>689</v>
      </c>
      <c r="D3565" s="1" t="s">
        <v>690</v>
      </c>
      <c r="E3565" s="1" t="s">
        <v>436</v>
      </c>
      <c r="F3565" s="1" t="s">
        <v>443</v>
      </c>
      <c r="G3565" s="1" t="s">
        <v>444</v>
      </c>
      <c r="H3565" s="1">
        <v>2916</v>
      </c>
      <c r="I3565" s="3">
        <v>46280</v>
      </c>
      <c r="L3565" s="31">
        <v>46280.599594097221</v>
      </c>
      <c r="M3565" s="20">
        <v>12</v>
      </c>
      <c r="N3565" s="1">
        <v>34</v>
      </c>
    </row>
    <row r="3566" spans="1:14" x14ac:dyDescent="0.25">
      <c r="A3566" t="str">
        <f t="shared" si="112"/>
        <v>U149836U149836</v>
      </c>
      <c r="B3566" t="str">
        <f t="shared" si="113"/>
        <v>U149836CM997HCA-D</v>
      </c>
      <c r="C3566" s="1" t="s">
        <v>689</v>
      </c>
      <c r="D3566" s="1" t="s">
        <v>690</v>
      </c>
      <c r="E3566" s="1" t="s">
        <v>436</v>
      </c>
      <c r="F3566" s="1" t="s">
        <v>443</v>
      </c>
      <c r="G3566" s="1" t="s">
        <v>444</v>
      </c>
      <c r="H3566" s="1">
        <v>2916</v>
      </c>
      <c r="I3566" s="3">
        <v>46280</v>
      </c>
      <c r="L3566" s="31">
        <v>46280.600015081014</v>
      </c>
      <c r="M3566" s="20">
        <v>12</v>
      </c>
      <c r="N3566" s="1">
        <v>33</v>
      </c>
    </row>
    <row r="3567" spans="1:14" x14ac:dyDescent="0.25">
      <c r="A3567" t="str">
        <f t="shared" si="112"/>
        <v>U149836U149836</v>
      </c>
      <c r="B3567" t="str">
        <f t="shared" si="113"/>
        <v>U149836CM997HCA-D</v>
      </c>
      <c r="C3567" s="1" t="s">
        <v>689</v>
      </c>
      <c r="D3567" s="1" t="s">
        <v>690</v>
      </c>
      <c r="E3567" s="1" t="s">
        <v>436</v>
      </c>
      <c r="F3567" s="1" t="s">
        <v>443</v>
      </c>
      <c r="G3567" s="1" t="s">
        <v>444</v>
      </c>
      <c r="H3567" s="1">
        <v>2916</v>
      </c>
      <c r="I3567" s="3">
        <v>46280</v>
      </c>
      <c r="L3567" s="31">
        <v>46280.601051192127</v>
      </c>
      <c r="M3567" s="20">
        <v>12</v>
      </c>
      <c r="N3567" s="1">
        <v>163</v>
      </c>
    </row>
    <row r="3568" spans="1:14" x14ac:dyDescent="0.25">
      <c r="A3568" t="str">
        <f t="shared" si="112"/>
        <v>U149836U149836</v>
      </c>
      <c r="B3568" t="str">
        <f t="shared" si="113"/>
        <v>U149836CM997HCA-D</v>
      </c>
      <c r="C3568" s="1" t="s">
        <v>689</v>
      </c>
      <c r="D3568" s="1" t="s">
        <v>690</v>
      </c>
      <c r="E3568" s="1" t="s">
        <v>436</v>
      </c>
      <c r="F3568" s="1" t="s">
        <v>443</v>
      </c>
      <c r="G3568" s="1" t="s">
        <v>444</v>
      </c>
      <c r="H3568" s="1">
        <v>2916</v>
      </c>
      <c r="I3568" s="3">
        <v>46280</v>
      </c>
      <c r="L3568" s="31">
        <v>46280.606674537034</v>
      </c>
      <c r="M3568" s="20">
        <v>12</v>
      </c>
      <c r="N3568" s="1">
        <v>210</v>
      </c>
    </row>
    <row r="3569" spans="1:14" x14ac:dyDescent="0.25">
      <c r="A3569" t="str">
        <f t="shared" si="112"/>
        <v>U149836U149836</v>
      </c>
      <c r="B3569" t="str">
        <f t="shared" si="113"/>
        <v>U149836CM997HCA-D</v>
      </c>
      <c r="C3569" s="1" t="s">
        <v>689</v>
      </c>
      <c r="D3569" s="1" t="s">
        <v>690</v>
      </c>
      <c r="E3569" s="1" t="s">
        <v>436</v>
      </c>
      <c r="F3569" s="1" t="s">
        <v>443</v>
      </c>
      <c r="G3569" s="1" t="s">
        <v>444</v>
      </c>
      <c r="H3569" s="1">
        <v>2916</v>
      </c>
      <c r="I3569" s="3">
        <v>46280</v>
      </c>
      <c r="L3569" s="31">
        <v>46280.609472569442</v>
      </c>
      <c r="M3569" s="20">
        <v>12</v>
      </c>
      <c r="N3569" s="1">
        <v>149</v>
      </c>
    </row>
    <row r="3570" spans="1:14" x14ac:dyDescent="0.25">
      <c r="A3570" t="str">
        <f t="shared" si="112"/>
        <v>U149836U149836</v>
      </c>
      <c r="B3570" t="str">
        <f t="shared" si="113"/>
        <v>U149836CM997HCA-D</v>
      </c>
      <c r="C3570" s="1" t="s">
        <v>689</v>
      </c>
      <c r="D3570" s="1" t="s">
        <v>690</v>
      </c>
      <c r="E3570" s="1" t="s">
        <v>436</v>
      </c>
      <c r="F3570" s="1" t="s">
        <v>443</v>
      </c>
      <c r="G3570" s="1" t="s">
        <v>444</v>
      </c>
      <c r="H3570" s="1">
        <v>2916</v>
      </c>
      <c r="I3570" s="3">
        <v>46280</v>
      </c>
      <c r="L3570" s="31">
        <v>46280.610510995371</v>
      </c>
      <c r="M3570" s="20">
        <v>12</v>
      </c>
      <c r="N3570" s="1">
        <v>211</v>
      </c>
    </row>
    <row r="3571" spans="1:14" x14ac:dyDescent="0.25">
      <c r="A3571" t="str">
        <f t="shared" si="112"/>
        <v>U149836U149836</v>
      </c>
      <c r="B3571" t="str">
        <f t="shared" si="113"/>
        <v>U149836CM997HCA-D</v>
      </c>
      <c r="C3571" s="1" t="s">
        <v>689</v>
      </c>
      <c r="D3571" s="1" t="s">
        <v>690</v>
      </c>
      <c r="E3571" s="1" t="s">
        <v>436</v>
      </c>
      <c r="F3571" s="1" t="s">
        <v>443</v>
      </c>
      <c r="G3571" s="1" t="s">
        <v>444</v>
      </c>
      <c r="H3571" s="1">
        <v>2916</v>
      </c>
      <c r="I3571" s="3">
        <v>46280</v>
      </c>
      <c r="L3571" s="31">
        <v>46280.610971840273</v>
      </c>
      <c r="M3571" s="20">
        <v>12</v>
      </c>
      <c r="N3571" s="1">
        <v>32</v>
      </c>
    </row>
    <row r="3572" spans="1:14" x14ac:dyDescent="0.25">
      <c r="A3572" t="str">
        <f t="shared" si="112"/>
        <v>U149836U149836</v>
      </c>
      <c r="B3572" t="str">
        <f t="shared" si="113"/>
        <v>U149836CM997HCA-D</v>
      </c>
      <c r="C3572" s="1" t="s">
        <v>689</v>
      </c>
      <c r="D3572" s="1" t="s">
        <v>690</v>
      </c>
      <c r="E3572" s="1" t="s">
        <v>436</v>
      </c>
      <c r="F3572" s="1" t="s">
        <v>443</v>
      </c>
      <c r="G3572" s="1" t="s">
        <v>444</v>
      </c>
      <c r="H3572" s="1">
        <v>2916</v>
      </c>
      <c r="I3572" s="3">
        <v>46280</v>
      </c>
      <c r="L3572" s="31">
        <v>46280.622679629625</v>
      </c>
      <c r="M3572" s="20">
        <v>12</v>
      </c>
      <c r="N3572" s="1">
        <v>28</v>
      </c>
    </row>
    <row r="3573" spans="1:14" x14ac:dyDescent="0.25">
      <c r="A3573" t="str">
        <f t="shared" si="112"/>
        <v>U149836U149836</v>
      </c>
      <c r="B3573" t="str">
        <f t="shared" si="113"/>
        <v>U149836CM997HCA-D</v>
      </c>
      <c r="C3573" s="1" t="s">
        <v>689</v>
      </c>
      <c r="D3573" s="1" t="s">
        <v>690</v>
      </c>
      <c r="E3573" s="1" t="s">
        <v>436</v>
      </c>
      <c r="F3573" s="1" t="s">
        <v>443</v>
      </c>
      <c r="G3573" s="1" t="s">
        <v>444</v>
      </c>
      <c r="H3573" s="1">
        <v>2916</v>
      </c>
      <c r="I3573" s="3">
        <v>46280</v>
      </c>
      <c r="L3573" s="31">
        <v>46280.623151157408</v>
      </c>
      <c r="M3573" s="20">
        <v>12</v>
      </c>
      <c r="N3573" s="1">
        <v>205</v>
      </c>
    </row>
    <row r="3574" spans="1:14" x14ac:dyDescent="0.25">
      <c r="A3574" t="str">
        <f t="shared" si="112"/>
        <v>U149836U149836</v>
      </c>
      <c r="B3574" t="str">
        <f t="shared" si="113"/>
        <v>U149836CM997HCA-D</v>
      </c>
      <c r="C3574" s="1" t="s">
        <v>689</v>
      </c>
      <c r="D3574" s="1" t="s">
        <v>690</v>
      </c>
      <c r="E3574" s="1" t="s">
        <v>436</v>
      </c>
      <c r="F3574" s="1" t="s">
        <v>443</v>
      </c>
      <c r="G3574" s="1" t="s">
        <v>444</v>
      </c>
      <c r="H3574" s="1">
        <v>2916</v>
      </c>
      <c r="I3574" s="3">
        <v>46280</v>
      </c>
      <c r="L3574" s="31">
        <v>46280.627716666662</v>
      </c>
      <c r="M3574" s="20">
        <v>12</v>
      </c>
      <c r="N3574" s="1">
        <v>165</v>
      </c>
    </row>
    <row r="3575" spans="1:14" x14ac:dyDescent="0.25">
      <c r="A3575" t="str">
        <f t="shared" si="112"/>
        <v>U149836U149836</v>
      </c>
      <c r="B3575" t="str">
        <f t="shared" si="113"/>
        <v>U149836CM997HCA-D</v>
      </c>
      <c r="C3575" s="1" t="s">
        <v>689</v>
      </c>
      <c r="D3575" s="1" t="s">
        <v>690</v>
      </c>
      <c r="E3575" s="1" t="s">
        <v>436</v>
      </c>
      <c r="F3575" s="1" t="s">
        <v>443</v>
      </c>
      <c r="G3575" s="1" t="s">
        <v>444</v>
      </c>
      <c r="H3575" s="1">
        <v>2916</v>
      </c>
      <c r="I3575" s="3">
        <v>46280</v>
      </c>
      <c r="L3575" s="31">
        <v>46280.628337615737</v>
      </c>
      <c r="M3575" s="20">
        <v>12</v>
      </c>
      <c r="N3575" s="1">
        <v>35</v>
      </c>
    </row>
    <row r="3576" spans="1:14" x14ac:dyDescent="0.25">
      <c r="A3576" t="str">
        <f t="shared" si="112"/>
        <v>U149836U149836</v>
      </c>
      <c r="B3576" t="str">
        <f t="shared" si="113"/>
        <v>U149836CM997HCA-D</v>
      </c>
      <c r="C3576" s="1" t="s">
        <v>689</v>
      </c>
      <c r="D3576" s="1" t="s">
        <v>690</v>
      </c>
      <c r="E3576" s="1" t="s">
        <v>436</v>
      </c>
      <c r="F3576" s="1" t="s">
        <v>443</v>
      </c>
      <c r="G3576" s="1" t="s">
        <v>444</v>
      </c>
      <c r="H3576" s="1">
        <v>2916</v>
      </c>
      <c r="I3576" s="3">
        <v>46280</v>
      </c>
      <c r="L3576" s="31">
        <v>46280.629338888888</v>
      </c>
      <c r="M3576" s="20">
        <v>12</v>
      </c>
      <c r="N3576" s="1">
        <v>36</v>
      </c>
    </row>
    <row r="3577" spans="1:14" x14ac:dyDescent="0.25">
      <c r="A3577" t="str">
        <f t="shared" si="112"/>
        <v>U149836U149836</v>
      </c>
      <c r="B3577" t="str">
        <f t="shared" si="113"/>
        <v>U149836CM997HCA-D</v>
      </c>
      <c r="C3577" s="1" t="s">
        <v>689</v>
      </c>
      <c r="D3577" s="1" t="s">
        <v>690</v>
      </c>
      <c r="E3577" s="1" t="s">
        <v>436</v>
      </c>
      <c r="F3577" s="1" t="s">
        <v>443</v>
      </c>
      <c r="G3577" s="1" t="s">
        <v>444</v>
      </c>
      <c r="H3577" s="1">
        <v>2916</v>
      </c>
      <c r="I3577" s="3">
        <v>46280</v>
      </c>
      <c r="L3577" s="31">
        <v>46280.630222187501</v>
      </c>
      <c r="M3577" s="20">
        <v>12</v>
      </c>
      <c r="N3577" s="1">
        <v>215</v>
      </c>
    </row>
    <row r="3578" spans="1:14" x14ac:dyDescent="0.25">
      <c r="A3578" t="str">
        <f t="shared" si="112"/>
        <v>U149836U149836</v>
      </c>
      <c r="B3578" t="str">
        <f t="shared" si="113"/>
        <v>U149836CM997HCA-D</v>
      </c>
      <c r="C3578" s="1" t="s">
        <v>689</v>
      </c>
      <c r="D3578" s="1" t="s">
        <v>690</v>
      </c>
      <c r="E3578" s="1" t="s">
        <v>436</v>
      </c>
      <c r="F3578" s="1" t="s">
        <v>443</v>
      </c>
      <c r="G3578" s="1" t="s">
        <v>444</v>
      </c>
      <c r="H3578" s="1">
        <v>2916</v>
      </c>
      <c r="I3578" s="3">
        <v>46280</v>
      </c>
      <c r="L3578" s="31">
        <v>46280.635221956014</v>
      </c>
      <c r="M3578" s="20">
        <v>12</v>
      </c>
      <c r="N3578" s="1">
        <v>212</v>
      </c>
    </row>
    <row r="3579" spans="1:14" x14ac:dyDescent="0.25">
      <c r="A3579" t="str">
        <f t="shared" si="112"/>
        <v>U149836U149836</v>
      </c>
      <c r="B3579" t="str">
        <f t="shared" si="113"/>
        <v>U149836CM997HCA-D</v>
      </c>
      <c r="C3579" s="1" t="s">
        <v>689</v>
      </c>
      <c r="D3579" s="1" t="s">
        <v>690</v>
      </c>
      <c r="E3579" s="1" t="s">
        <v>436</v>
      </c>
      <c r="F3579" s="1" t="s">
        <v>443</v>
      </c>
      <c r="G3579" s="1" t="s">
        <v>444</v>
      </c>
      <c r="H3579" s="1">
        <v>2916</v>
      </c>
      <c r="I3579" s="3">
        <v>46280</v>
      </c>
      <c r="L3579" s="31">
        <v>46280.635600775458</v>
      </c>
      <c r="M3579" s="20">
        <v>12</v>
      </c>
      <c r="N3579" s="1">
        <v>161</v>
      </c>
    </row>
    <row r="3580" spans="1:14" x14ac:dyDescent="0.25">
      <c r="A3580" t="str">
        <f t="shared" si="112"/>
        <v>U149836U149836</v>
      </c>
      <c r="B3580" t="str">
        <f t="shared" si="113"/>
        <v>U149836CM997HCA-D</v>
      </c>
      <c r="C3580" s="1" t="s">
        <v>689</v>
      </c>
      <c r="D3580" s="1" t="s">
        <v>690</v>
      </c>
      <c r="E3580" s="1" t="s">
        <v>436</v>
      </c>
      <c r="F3580" s="1" t="s">
        <v>443</v>
      </c>
      <c r="G3580" s="1" t="s">
        <v>444</v>
      </c>
      <c r="H3580" s="1">
        <v>2916</v>
      </c>
      <c r="I3580" s="3">
        <v>46280</v>
      </c>
      <c r="L3580" s="31">
        <v>46280.63617445602</v>
      </c>
      <c r="M3580" s="20">
        <v>12</v>
      </c>
      <c r="N3580" s="1">
        <v>23</v>
      </c>
    </row>
    <row r="3581" spans="1:14" x14ac:dyDescent="0.25">
      <c r="A3581" t="str">
        <f t="shared" si="112"/>
        <v>U149836U149836</v>
      </c>
      <c r="B3581" t="str">
        <f t="shared" si="113"/>
        <v>U149836CM997HCA-D</v>
      </c>
      <c r="C3581" s="1" t="s">
        <v>689</v>
      </c>
      <c r="D3581" s="1" t="s">
        <v>690</v>
      </c>
      <c r="E3581" s="1" t="s">
        <v>436</v>
      </c>
      <c r="F3581" s="1" t="s">
        <v>443</v>
      </c>
      <c r="G3581" s="1" t="s">
        <v>444</v>
      </c>
      <c r="H3581" s="1">
        <v>2916</v>
      </c>
      <c r="I3581" s="3">
        <v>46280</v>
      </c>
      <c r="L3581" s="31">
        <v>46280.636592557872</v>
      </c>
      <c r="M3581" s="20">
        <v>12</v>
      </c>
      <c r="N3581" s="1">
        <v>37</v>
      </c>
    </row>
    <row r="3582" spans="1:14" x14ac:dyDescent="0.25">
      <c r="A3582" t="str">
        <f t="shared" si="112"/>
        <v>U149836U149836</v>
      </c>
      <c r="B3582" t="str">
        <f t="shared" si="113"/>
        <v>U149836CM997HCA-D</v>
      </c>
      <c r="C3582" s="1" t="s">
        <v>689</v>
      </c>
      <c r="D3582" s="1" t="s">
        <v>690</v>
      </c>
      <c r="E3582" s="1" t="s">
        <v>436</v>
      </c>
      <c r="F3582" s="1" t="s">
        <v>443</v>
      </c>
      <c r="G3582" s="1" t="s">
        <v>444</v>
      </c>
      <c r="H3582" s="1">
        <v>2916</v>
      </c>
      <c r="I3582" s="3">
        <v>46280</v>
      </c>
      <c r="L3582" s="31">
        <v>46280.661843287038</v>
      </c>
      <c r="M3582" s="20">
        <v>12</v>
      </c>
      <c r="N3582" s="1">
        <v>213</v>
      </c>
    </row>
    <row r="3583" spans="1:14" x14ac:dyDescent="0.25">
      <c r="A3583" t="str">
        <f t="shared" si="112"/>
        <v>U149836U149836</v>
      </c>
      <c r="B3583" t="str">
        <f t="shared" si="113"/>
        <v>U149836CM997HCA-D</v>
      </c>
      <c r="C3583" s="1" t="s">
        <v>689</v>
      </c>
      <c r="D3583" s="1" t="s">
        <v>690</v>
      </c>
      <c r="E3583" s="1" t="s">
        <v>436</v>
      </c>
      <c r="F3583" s="1" t="s">
        <v>443</v>
      </c>
      <c r="G3583" s="1" t="s">
        <v>444</v>
      </c>
      <c r="H3583" s="1">
        <v>2916</v>
      </c>
      <c r="I3583" s="3">
        <v>46280</v>
      </c>
      <c r="L3583" s="31">
        <v>46280.663457789349</v>
      </c>
      <c r="M3583" s="20">
        <v>12</v>
      </c>
      <c r="N3583" s="1">
        <v>157</v>
      </c>
    </row>
    <row r="3584" spans="1:14" x14ac:dyDescent="0.25">
      <c r="A3584" t="str">
        <f t="shared" si="112"/>
        <v>U149836U149836</v>
      </c>
      <c r="B3584" t="str">
        <f t="shared" si="113"/>
        <v>U149836CM997HCA-D</v>
      </c>
      <c r="C3584" s="1" t="s">
        <v>689</v>
      </c>
      <c r="D3584" s="1" t="s">
        <v>690</v>
      </c>
      <c r="E3584" s="1" t="s">
        <v>436</v>
      </c>
      <c r="F3584" s="1" t="s">
        <v>443</v>
      </c>
      <c r="G3584" s="1" t="s">
        <v>444</v>
      </c>
      <c r="H3584" s="1">
        <v>2916</v>
      </c>
      <c r="I3584" s="3">
        <v>46280</v>
      </c>
      <c r="L3584" s="31">
        <v>46280.663804710646</v>
      </c>
      <c r="M3584" s="20">
        <v>12</v>
      </c>
      <c r="N3584" s="1">
        <v>39</v>
      </c>
    </row>
    <row r="3585" spans="1:14" x14ac:dyDescent="0.25">
      <c r="A3585" t="str">
        <f t="shared" si="112"/>
        <v>U149836U149836</v>
      </c>
      <c r="B3585" t="str">
        <f t="shared" si="113"/>
        <v>U149836CM997HCA-D</v>
      </c>
      <c r="C3585" s="1" t="s">
        <v>689</v>
      </c>
      <c r="D3585" s="1" t="s">
        <v>690</v>
      </c>
      <c r="E3585" s="1" t="s">
        <v>436</v>
      </c>
      <c r="F3585" s="1" t="s">
        <v>443</v>
      </c>
      <c r="G3585" s="1" t="s">
        <v>444</v>
      </c>
      <c r="H3585" s="1">
        <v>2916</v>
      </c>
      <c r="I3585" s="3">
        <v>46280</v>
      </c>
      <c r="L3585" s="31">
        <v>46280.68176446759</v>
      </c>
      <c r="M3585" s="20">
        <v>12</v>
      </c>
      <c r="N3585" s="1">
        <v>208</v>
      </c>
    </row>
    <row r="3586" spans="1:14" x14ac:dyDescent="0.25">
      <c r="A3586" t="str">
        <f t="shared" ref="A3586:A3649" si="114">+D3586&amp;D3586</f>
        <v>U149836U149836</v>
      </c>
      <c r="B3586" t="str">
        <f t="shared" ref="B3586:B3649" si="115">+D3586&amp;C3586</f>
        <v>U149836CM997HCA-D</v>
      </c>
      <c r="C3586" s="1" t="s">
        <v>689</v>
      </c>
      <c r="D3586" s="1" t="s">
        <v>690</v>
      </c>
      <c r="E3586" s="1" t="s">
        <v>436</v>
      </c>
      <c r="F3586" s="1" t="s">
        <v>443</v>
      </c>
      <c r="G3586" s="1" t="s">
        <v>444</v>
      </c>
      <c r="H3586" s="1">
        <v>2916</v>
      </c>
      <c r="I3586" s="3">
        <v>46280</v>
      </c>
      <c r="L3586" s="31">
        <v>46280.682681331018</v>
      </c>
      <c r="M3586" s="20">
        <v>12</v>
      </c>
      <c r="N3586" s="1">
        <v>38</v>
      </c>
    </row>
    <row r="3587" spans="1:14" x14ac:dyDescent="0.25">
      <c r="A3587" t="str">
        <f t="shared" si="114"/>
        <v>U149836U149836</v>
      </c>
      <c r="B3587" t="str">
        <f t="shared" si="115"/>
        <v>U149836CM997HCA-D</v>
      </c>
      <c r="C3587" s="1" t="s">
        <v>689</v>
      </c>
      <c r="D3587" s="1" t="s">
        <v>690</v>
      </c>
      <c r="E3587" s="1" t="s">
        <v>436</v>
      </c>
      <c r="F3587" s="1" t="s">
        <v>443</v>
      </c>
      <c r="G3587" s="1" t="s">
        <v>444</v>
      </c>
      <c r="H3587" s="1">
        <v>2916</v>
      </c>
      <c r="I3587" s="3">
        <v>46280</v>
      </c>
      <c r="L3587" s="31">
        <v>46280.682871099532</v>
      </c>
      <c r="M3587" s="20">
        <v>12</v>
      </c>
      <c r="N3587" s="1">
        <v>166</v>
      </c>
    </row>
    <row r="3588" spans="1:14" x14ac:dyDescent="0.25">
      <c r="A3588" t="str">
        <f t="shared" si="114"/>
        <v>U149836U149836</v>
      </c>
      <c r="B3588" t="str">
        <f t="shared" si="115"/>
        <v>U149836CM997HCA-D</v>
      </c>
      <c r="C3588" s="1" t="s">
        <v>689</v>
      </c>
      <c r="D3588" s="1" t="s">
        <v>690</v>
      </c>
      <c r="E3588" s="1" t="s">
        <v>436</v>
      </c>
      <c r="F3588" s="1" t="s">
        <v>443</v>
      </c>
      <c r="G3588" s="1" t="s">
        <v>444</v>
      </c>
      <c r="H3588" s="1">
        <v>2916</v>
      </c>
      <c r="I3588" s="3">
        <v>46280</v>
      </c>
      <c r="L3588" s="31">
        <v>46280.694905821758</v>
      </c>
      <c r="M3588" s="20">
        <v>12</v>
      </c>
      <c r="N3588" s="1">
        <v>22</v>
      </c>
    </row>
    <row r="3589" spans="1:14" x14ac:dyDescent="0.25">
      <c r="A3589" t="str">
        <f t="shared" si="114"/>
        <v>U149836U149836</v>
      </c>
      <c r="B3589" t="str">
        <f t="shared" si="115"/>
        <v>U149836CM997HCA-D</v>
      </c>
      <c r="C3589" s="1" t="s">
        <v>689</v>
      </c>
      <c r="D3589" s="1" t="s">
        <v>690</v>
      </c>
      <c r="E3589" s="1" t="s">
        <v>436</v>
      </c>
      <c r="F3589" s="1" t="s">
        <v>443</v>
      </c>
      <c r="G3589" s="1" t="s">
        <v>444</v>
      </c>
      <c r="H3589" s="1">
        <v>2916</v>
      </c>
      <c r="I3589" s="3">
        <v>46280</v>
      </c>
      <c r="L3589" s="31">
        <v>46280.696609988423</v>
      </c>
      <c r="M3589" s="20">
        <v>12</v>
      </c>
      <c r="N3589" s="1">
        <v>40</v>
      </c>
    </row>
    <row r="3590" spans="1:14" x14ac:dyDescent="0.25">
      <c r="A3590" t="str">
        <f t="shared" si="114"/>
        <v>U149836U149836</v>
      </c>
      <c r="B3590" t="str">
        <f t="shared" si="115"/>
        <v>U149836CM997HCA-D</v>
      </c>
      <c r="C3590" s="1" t="s">
        <v>689</v>
      </c>
      <c r="D3590" s="1" t="s">
        <v>690</v>
      </c>
      <c r="E3590" s="1" t="s">
        <v>436</v>
      </c>
      <c r="F3590" s="1" t="s">
        <v>443</v>
      </c>
      <c r="G3590" s="1" t="s">
        <v>444</v>
      </c>
      <c r="H3590" s="1">
        <v>2916</v>
      </c>
      <c r="I3590" s="3">
        <v>46280</v>
      </c>
      <c r="L3590" s="31">
        <v>46280.701943715278</v>
      </c>
      <c r="M3590" s="20">
        <v>12</v>
      </c>
      <c r="N3590" s="1">
        <v>167</v>
      </c>
    </row>
    <row r="3591" spans="1:14" x14ac:dyDescent="0.25">
      <c r="A3591" t="str">
        <f t="shared" si="114"/>
        <v>U149836U149836</v>
      </c>
      <c r="B3591" t="str">
        <f t="shared" si="115"/>
        <v>U149836CM997HCA-D</v>
      </c>
      <c r="C3591" s="1" t="s">
        <v>689</v>
      </c>
      <c r="D3591" s="1" t="s">
        <v>690</v>
      </c>
      <c r="E3591" s="1" t="s">
        <v>436</v>
      </c>
      <c r="F3591" s="1" t="s">
        <v>443</v>
      </c>
      <c r="G3591" s="1" t="s">
        <v>444</v>
      </c>
      <c r="H3591" s="1">
        <v>2916</v>
      </c>
      <c r="I3591" s="3">
        <v>46280</v>
      </c>
      <c r="L3591" s="31">
        <v>46280.716493749998</v>
      </c>
      <c r="M3591" s="20">
        <v>12</v>
      </c>
      <c r="N3591" s="1">
        <v>214</v>
      </c>
    </row>
    <row r="3592" spans="1:14" x14ac:dyDescent="0.25">
      <c r="A3592" t="str">
        <f t="shared" si="114"/>
        <v>U152784U152784</v>
      </c>
      <c r="B3592" t="str">
        <f t="shared" si="115"/>
        <v>U152784M515S54Y-4E</v>
      </c>
      <c r="C3592" s="1" t="s">
        <v>89</v>
      </c>
      <c r="D3592" s="1" t="s">
        <v>709</v>
      </c>
      <c r="E3592" s="1" t="s">
        <v>436</v>
      </c>
      <c r="F3592" s="1" t="s">
        <v>443</v>
      </c>
      <c r="G3592" s="1" t="s">
        <v>444</v>
      </c>
      <c r="H3592" s="1">
        <v>12</v>
      </c>
      <c r="I3592" s="3">
        <v>46280</v>
      </c>
      <c r="J3592" s="3">
        <v>46281</v>
      </c>
      <c r="K3592" s="3" t="s">
        <v>2362</v>
      </c>
      <c r="L3592" s="31">
        <v>46280.709401539352</v>
      </c>
      <c r="M3592" s="20">
        <v>6</v>
      </c>
      <c r="N3592" s="1">
        <v>20</v>
      </c>
    </row>
    <row r="3593" spans="1:14" x14ac:dyDescent="0.25">
      <c r="A3593" t="str">
        <f t="shared" si="114"/>
        <v>U152795U152795</v>
      </c>
      <c r="B3593" t="str">
        <f t="shared" si="115"/>
        <v>U152795G6037VE-M</v>
      </c>
      <c r="C3593" s="1" t="s">
        <v>53</v>
      </c>
      <c r="D3593" s="1" t="s">
        <v>710</v>
      </c>
      <c r="E3593" s="1" t="s">
        <v>436</v>
      </c>
      <c r="F3593" s="1" t="s">
        <v>443</v>
      </c>
      <c r="G3593" s="1" t="s">
        <v>444</v>
      </c>
      <c r="H3593" s="1">
        <v>618</v>
      </c>
      <c r="I3593" s="3">
        <v>46280</v>
      </c>
      <c r="L3593" s="31">
        <v>46280.719333645829</v>
      </c>
      <c r="M3593" s="20">
        <v>12</v>
      </c>
      <c r="N3593" s="1">
        <v>43</v>
      </c>
    </row>
    <row r="3594" spans="1:14" x14ac:dyDescent="0.25">
      <c r="A3594" t="str">
        <f t="shared" si="114"/>
        <v>U152795U152795</v>
      </c>
      <c r="B3594" t="str">
        <f t="shared" si="115"/>
        <v>U152795G6037VE-M</v>
      </c>
      <c r="C3594" s="1" t="s">
        <v>53</v>
      </c>
      <c r="D3594" s="1" t="s">
        <v>710</v>
      </c>
      <c r="E3594" s="1" t="s">
        <v>436</v>
      </c>
      <c r="F3594" s="1" t="s">
        <v>443</v>
      </c>
      <c r="G3594" s="1" t="s">
        <v>444</v>
      </c>
      <c r="H3594" s="1">
        <v>618</v>
      </c>
      <c r="I3594" s="3">
        <v>46280</v>
      </c>
      <c r="L3594" s="31">
        <v>46280.720123344909</v>
      </c>
      <c r="M3594" s="20">
        <v>12</v>
      </c>
      <c r="N3594" s="1">
        <v>5</v>
      </c>
    </row>
    <row r="3595" spans="1:14" x14ac:dyDescent="0.25">
      <c r="A3595" t="str">
        <f t="shared" si="114"/>
        <v>U152795U152795</v>
      </c>
      <c r="B3595" t="str">
        <f t="shared" si="115"/>
        <v>U152795G6037VE-M</v>
      </c>
      <c r="C3595" s="1" t="s">
        <v>53</v>
      </c>
      <c r="D3595" s="1" t="s">
        <v>710</v>
      </c>
      <c r="E3595" s="1" t="s">
        <v>436</v>
      </c>
      <c r="F3595" s="1" t="s">
        <v>443</v>
      </c>
      <c r="G3595" s="1" t="s">
        <v>444</v>
      </c>
      <c r="H3595" s="1">
        <v>618</v>
      </c>
      <c r="I3595" s="3">
        <v>46280</v>
      </c>
      <c r="L3595" s="31">
        <v>46280.751246493055</v>
      </c>
      <c r="M3595" s="20">
        <v>12</v>
      </c>
      <c r="N3595" s="1">
        <v>42</v>
      </c>
    </row>
    <row r="3596" spans="1:14" x14ac:dyDescent="0.25">
      <c r="A3596" t="str">
        <f t="shared" si="114"/>
        <v>U152795U152795</v>
      </c>
      <c r="B3596" t="str">
        <f t="shared" si="115"/>
        <v>U152795G6037VE-M</v>
      </c>
      <c r="C3596" s="1" t="s">
        <v>53</v>
      </c>
      <c r="D3596" s="1" t="s">
        <v>710</v>
      </c>
      <c r="E3596" s="1" t="s">
        <v>436</v>
      </c>
      <c r="F3596" s="1" t="s">
        <v>443</v>
      </c>
      <c r="G3596" s="1" t="s">
        <v>444</v>
      </c>
      <c r="H3596" s="1">
        <v>618</v>
      </c>
      <c r="I3596" s="3">
        <v>46280</v>
      </c>
      <c r="L3596" s="31">
        <v>46280.7586878125</v>
      </c>
      <c r="M3596" s="20">
        <v>12</v>
      </c>
      <c r="N3596" s="1">
        <v>1</v>
      </c>
    </row>
    <row r="3597" spans="1:14" x14ac:dyDescent="0.25">
      <c r="A3597" t="str">
        <f t="shared" si="114"/>
        <v>U152795U152795</v>
      </c>
      <c r="B3597" t="str">
        <f t="shared" si="115"/>
        <v>U152795G6037VE-M</v>
      </c>
      <c r="C3597" s="1" t="s">
        <v>53</v>
      </c>
      <c r="D3597" s="1" t="s">
        <v>710</v>
      </c>
      <c r="E3597" s="1" t="s">
        <v>436</v>
      </c>
      <c r="F3597" s="1" t="s">
        <v>443</v>
      </c>
      <c r="G3597" s="1" t="s">
        <v>444</v>
      </c>
      <c r="H3597" s="1">
        <v>618</v>
      </c>
      <c r="I3597" s="3">
        <v>46280</v>
      </c>
      <c r="L3597" s="31">
        <v>46280.758854432868</v>
      </c>
      <c r="M3597" s="20">
        <v>12</v>
      </c>
      <c r="N3597" s="1">
        <v>11</v>
      </c>
    </row>
    <row r="3598" spans="1:14" x14ac:dyDescent="0.25">
      <c r="A3598" t="str">
        <f t="shared" si="114"/>
        <v>U152795U152795</v>
      </c>
      <c r="B3598" t="str">
        <f t="shared" si="115"/>
        <v>U152795G6037VE-M</v>
      </c>
      <c r="C3598" s="1" t="s">
        <v>53</v>
      </c>
      <c r="D3598" s="1" t="s">
        <v>710</v>
      </c>
      <c r="E3598" s="1" t="s">
        <v>436</v>
      </c>
      <c r="F3598" s="1" t="s">
        <v>443</v>
      </c>
      <c r="G3598" s="1" t="s">
        <v>444</v>
      </c>
      <c r="H3598" s="1">
        <v>618</v>
      </c>
      <c r="I3598" s="3">
        <v>46280</v>
      </c>
      <c r="L3598" s="31">
        <v>46280.759021527774</v>
      </c>
      <c r="M3598" s="20">
        <v>12</v>
      </c>
      <c r="N3598" s="1">
        <v>24</v>
      </c>
    </row>
    <row r="3599" spans="1:14" x14ac:dyDescent="0.25">
      <c r="A3599" t="str">
        <f t="shared" si="114"/>
        <v>U152800U152800</v>
      </c>
      <c r="B3599" t="str">
        <f t="shared" si="115"/>
        <v>U152800P60399V-M</v>
      </c>
      <c r="C3599" s="1" t="s">
        <v>301</v>
      </c>
      <c r="D3599" s="1" t="s">
        <v>688</v>
      </c>
      <c r="E3599" s="1" t="s">
        <v>436</v>
      </c>
      <c r="F3599" s="1" t="s">
        <v>443</v>
      </c>
      <c r="G3599" s="1" t="s">
        <v>457</v>
      </c>
      <c r="H3599" s="1">
        <v>108</v>
      </c>
      <c r="I3599" s="3">
        <v>46280</v>
      </c>
      <c r="J3599" s="3">
        <v>46283</v>
      </c>
      <c r="K3599" s="3" t="s">
        <v>2374</v>
      </c>
      <c r="L3599" s="31">
        <v>46280.335073958333</v>
      </c>
      <c r="M3599" s="20">
        <v>6</v>
      </c>
      <c r="N3599" s="1">
        <v>9</v>
      </c>
    </row>
    <row r="3600" spans="1:14" x14ac:dyDescent="0.25">
      <c r="A3600" t="str">
        <f t="shared" si="114"/>
        <v>U152800U152800</v>
      </c>
      <c r="B3600" t="str">
        <f t="shared" si="115"/>
        <v>U152800P60399V-W</v>
      </c>
      <c r="C3600" s="1" t="s">
        <v>296</v>
      </c>
      <c r="D3600" s="1" t="s">
        <v>688</v>
      </c>
      <c r="E3600" s="1" t="s">
        <v>436</v>
      </c>
      <c r="F3600" s="1" t="s">
        <v>443</v>
      </c>
      <c r="G3600" s="1" t="s">
        <v>457</v>
      </c>
      <c r="H3600" s="1">
        <v>42</v>
      </c>
      <c r="I3600" s="3">
        <v>46280</v>
      </c>
      <c r="J3600" s="3">
        <v>46286</v>
      </c>
      <c r="K3600" s="3" t="s">
        <v>2374</v>
      </c>
      <c r="L3600" s="31">
        <v>46280.359020138887</v>
      </c>
      <c r="M3600" s="20">
        <v>6</v>
      </c>
      <c r="N3600" s="1">
        <v>16</v>
      </c>
    </row>
    <row r="3601" spans="1:14" x14ac:dyDescent="0.25">
      <c r="A3601" t="str">
        <f t="shared" si="114"/>
        <v>U152800U152800</v>
      </c>
      <c r="B3601" t="str">
        <f t="shared" si="115"/>
        <v>U152800P60399V-W</v>
      </c>
      <c r="C3601" s="1" t="s">
        <v>296</v>
      </c>
      <c r="D3601" s="1" t="s">
        <v>688</v>
      </c>
      <c r="E3601" s="1" t="s">
        <v>436</v>
      </c>
      <c r="F3601" s="1" t="s">
        <v>443</v>
      </c>
      <c r="G3601" s="1" t="s">
        <v>457</v>
      </c>
      <c r="H3601" s="1">
        <v>42</v>
      </c>
      <c r="I3601" s="3">
        <v>46280</v>
      </c>
      <c r="J3601" s="3">
        <v>46286</v>
      </c>
      <c r="K3601" s="3" t="s">
        <v>2374</v>
      </c>
      <c r="L3601" s="31">
        <v>46280.359303240737</v>
      </c>
      <c r="M3601" s="20">
        <v>6</v>
      </c>
      <c r="N3601" s="1">
        <v>18</v>
      </c>
    </row>
    <row r="3602" spans="1:14" x14ac:dyDescent="0.25">
      <c r="A3602" t="str">
        <f t="shared" si="114"/>
        <v>U152800U152800</v>
      </c>
      <c r="B3602" t="str">
        <f t="shared" si="115"/>
        <v>U152800P60399V-W</v>
      </c>
      <c r="C3602" s="1" t="s">
        <v>296</v>
      </c>
      <c r="D3602" s="1" t="s">
        <v>688</v>
      </c>
      <c r="E3602" s="1" t="s">
        <v>436</v>
      </c>
      <c r="F3602" s="1" t="s">
        <v>443</v>
      </c>
      <c r="G3602" s="1" t="s">
        <v>457</v>
      </c>
      <c r="H3602" s="1">
        <v>42</v>
      </c>
      <c r="I3602" s="3">
        <v>46280</v>
      </c>
      <c r="J3602" s="3">
        <v>46286</v>
      </c>
      <c r="K3602" s="3" t="s">
        <v>2374</v>
      </c>
      <c r="L3602" s="31">
        <v>46280.362064351852</v>
      </c>
      <c r="M3602" s="20">
        <v>6</v>
      </c>
      <c r="N3602" s="1">
        <v>17</v>
      </c>
    </row>
    <row r="3603" spans="1:14" x14ac:dyDescent="0.25">
      <c r="A3603" t="str">
        <f t="shared" si="114"/>
        <v>U152800U152800</v>
      </c>
      <c r="B3603" t="str">
        <f t="shared" si="115"/>
        <v>U152800P60399V-M</v>
      </c>
      <c r="C3603" s="1" t="s">
        <v>301</v>
      </c>
      <c r="D3603" s="1" t="s">
        <v>688</v>
      </c>
      <c r="E3603" s="1" t="s">
        <v>436</v>
      </c>
      <c r="F3603" s="1" t="s">
        <v>443</v>
      </c>
      <c r="G3603" s="1" t="s">
        <v>457</v>
      </c>
      <c r="H3603" s="1">
        <v>108</v>
      </c>
      <c r="I3603" s="3">
        <v>46280</v>
      </c>
      <c r="J3603" s="3">
        <v>46283</v>
      </c>
      <c r="K3603" s="3" t="s">
        <v>2374</v>
      </c>
      <c r="L3603" s="31">
        <v>46280.377959340272</v>
      </c>
      <c r="M3603" s="20">
        <v>12</v>
      </c>
      <c r="N3603" s="1">
        <v>5</v>
      </c>
    </row>
    <row r="3604" spans="1:14" x14ac:dyDescent="0.25">
      <c r="A3604" t="str">
        <f t="shared" si="114"/>
        <v>U152800U152800</v>
      </c>
      <c r="B3604" t="str">
        <f t="shared" si="115"/>
        <v>U152800P60399V-W</v>
      </c>
      <c r="C3604" s="1" t="s">
        <v>296</v>
      </c>
      <c r="D3604" s="1" t="s">
        <v>688</v>
      </c>
      <c r="E3604" s="1" t="s">
        <v>436</v>
      </c>
      <c r="F3604" s="1" t="s">
        <v>443</v>
      </c>
      <c r="G3604" s="1" t="s">
        <v>457</v>
      </c>
      <c r="H3604" s="1">
        <v>42</v>
      </c>
      <c r="I3604" s="3">
        <v>46280</v>
      </c>
      <c r="J3604" s="3">
        <v>46286</v>
      </c>
      <c r="K3604" s="3" t="s">
        <v>2374</v>
      </c>
      <c r="L3604" s="31">
        <v>46280.384065046295</v>
      </c>
      <c r="M3604" s="20">
        <v>6</v>
      </c>
      <c r="N3604" s="1">
        <v>15</v>
      </c>
    </row>
    <row r="3605" spans="1:14" x14ac:dyDescent="0.25">
      <c r="A3605" t="str">
        <f t="shared" si="114"/>
        <v>U152800U152800</v>
      </c>
      <c r="B3605" t="str">
        <f t="shared" si="115"/>
        <v>U152800P60399V-W</v>
      </c>
      <c r="C3605" s="1" t="s">
        <v>296</v>
      </c>
      <c r="D3605" s="1" t="s">
        <v>688</v>
      </c>
      <c r="E3605" s="1" t="s">
        <v>436</v>
      </c>
      <c r="F3605" s="1" t="s">
        <v>443</v>
      </c>
      <c r="G3605" s="1" t="s">
        <v>457</v>
      </c>
      <c r="H3605" s="1">
        <v>42</v>
      </c>
      <c r="I3605" s="3">
        <v>46280</v>
      </c>
      <c r="J3605" s="3">
        <v>46286</v>
      </c>
      <c r="K3605" s="3" t="s">
        <v>2374</v>
      </c>
      <c r="L3605" s="31">
        <v>46280.401833252312</v>
      </c>
      <c r="M3605" s="20">
        <v>6</v>
      </c>
      <c r="N3605" s="1">
        <v>14</v>
      </c>
    </row>
    <row r="3606" spans="1:14" x14ac:dyDescent="0.25">
      <c r="A3606" t="str">
        <f t="shared" si="114"/>
        <v>U152800U152800</v>
      </c>
      <c r="B3606" t="str">
        <f t="shared" si="115"/>
        <v>U152800P60399V-M</v>
      </c>
      <c r="C3606" s="1" t="s">
        <v>301</v>
      </c>
      <c r="D3606" s="1" t="s">
        <v>688</v>
      </c>
      <c r="E3606" s="1" t="s">
        <v>436</v>
      </c>
      <c r="F3606" s="1" t="s">
        <v>443</v>
      </c>
      <c r="G3606" s="1" t="s">
        <v>457</v>
      </c>
      <c r="H3606" s="1">
        <v>108</v>
      </c>
      <c r="I3606" s="3">
        <v>46280</v>
      </c>
      <c r="J3606" s="3">
        <v>46283</v>
      </c>
      <c r="K3606" s="3" t="s">
        <v>2374</v>
      </c>
      <c r="L3606" s="31">
        <v>46280.439872997682</v>
      </c>
      <c r="M3606" s="20">
        <v>6</v>
      </c>
      <c r="N3606" s="1">
        <v>10</v>
      </c>
    </row>
    <row r="3607" spans="1:14" x14ac:dyDescent="0.25">
      <c r="A3607" t="str">
        <f t="shared" si="114"/>
        <v>U152804U152804</v>
      </c>
      <c r="B3607" t="str">
        <f t="shared" si="115"/>
        <v>U152804P60368L-W</v>
      </c>
      <c r="C3607" s="1" t="s">
        <v>67</v>
      </c>
      <c r="D3607" s="1" t="s">
        <v>681</v>
      </c>
      <c r="E3607" s="1" t="s">
        <v>436</v>
      </c>
      <c r="F3607" s="1" t="s">
        <v>443</v>
      </c>
      <c r="G3607" s="1" t="s">
        <v>444</v>
      </c>
      <c r="H3607" s="1">
        <v>132</v>
      </c>
      <c r="I3607" s="3">
        <v>46280</v>
      </c>
      <c r="J3607" s="3">
        <v>46280</v>
      </c>
      <c r="K3607" s="3" t="s">
        <v>2374</v>
      </c>
      <c r="L3607" s="31">
        <v>46280.362287465279</v>
      </c>
      <c r="M3607" s="20">
        <v>12</v>
      </c>
      <c r="N3607" s="1">
        <v>27</v>
      </c>
    </row>
    <row r="3608" spans="1:14" x14ac:dyDescent="0.25">
      <c r="A3608" t="str">
        <f t="shared" si="114"/>
        <v>U152804U152804</v>
      </c>
      <c r="B3608" t="str">
        <f t="shared" si="115"/>
        <v>U152804P60368L-W</v>
      </c>
      <c r="C3608" s="1" t="s">
        <v>67</v>
      </c>
      <c r="D3608" s="1" t="s">
        <v>681</v>
      </c>
      <c r="E3608" s="1" t="s">
        <v>436</v>
      </c>
      <c r="F3608" s="1" t="s">
        <v>443</v>
      </c>
      <c r="G3608" s="1" t="s">
        <v>444</v>
      </c>
      <c r="H3608" s="1">
        <v>132</v>
      </c>
      <c r="I3608" s="3">
        <v>46280</v>
      </c>
      <c r="J3608" s="3">
        <v>46280</v>
      </c>
      <c r="K3608" s="3" t="s">
        <v>2374</v>
      </c>
      <c r="L3608" s="31">
        <v>46280.376203009255</v>
      </c>
      <c r="M3608" s="20">
        <v>12</v>
      </c>
      <c r="N3608" s="1">
        <v>31</v>
      </c>
    </row>
    <row r="3609" spans="1:14" x14ac:dyDescent="0.25">
      <c r="A3609" t="str">
        <f t="shared" si="114"/>
        <v>U152804U152804</v>
      </c>
      <c r="B3609" t="str">
        <f t="shared" si="115"/>
        <v>U152804P60368L-W</v>
      </c>
      <c r="C3609" s="1" t="s">
        <v>67</v>
      </c>
      <c r="D3609" s="1" t="s">
        <v>681</v>
      </c>
      <c r="E3609" s="1" t="s">
        <v>436</v>
      </c>
      <c r="F3609" s="1" t="s">
        <v>443</v>
      </c>
      <c r="G3609" s="1" t="s">
        <v>444</v>
      </c>
      <c r="H3609" s="1">
        <v>132</v>
      </c>
      <c r="I3609" s="3">
        <v>46280</v>
      </c>
      <c r="J3609" s="3">
        <v>46280</v>
      </c>
      <c r="K3609" s="3" t="s">
        <v>2374</v>
      </c>
      <c r="L3609" s="31">
        <v>46280.376762881941</v>
      </c>
      <c r="M3609" s="20">
        <v>12</v>
      </c>
      <c r="N3609" s="1">
        <v>33</v>
      </c>
    </row>
    <row r="3610" spans="1:14" x14ac:dyDescent="0.25">
      <c r="A3610" t="str">
        <f t="shared" si="114"/>
        <v>U152804U152804</v>
      </c>
      <c r="B3610" t="str">
        <f t="shared" si="115"/>
        <v>U152804P60368L-W</v>
      </c>
      <c r="C3610" s="1" t="s">
        <v>67</v>
      </c>
      <c r="D3610" s="1" t="s">
        <v>681</v>
      </c>
      <c r="E3610" s="1" t="s">
        <v>436</v>
      </c>
      <c r="F3610" s="1" t="s">
        <v>443</v>
      </c>
      <c r="G3610" s="1" t="s">
        <v>444</v>
      </c>
      <c r="H3610" s="1">
        <v>132</v>
      </c>
      <c r="I3610" s="3">
        <v>46280</v>
      </c>
      <c r="J3610" s="3">
        <v>46280</v>
      </c>
      <c r="K3610" s="3" t="s">
        <v>2374</v>
      </c>
      <c r="L3610" s="31">
        <v>46280.383604594907</v>
      </c>
      <c r="M3610" s="20">
        <v>6</v>
      </c>
      <c r="N3610" s="1">
        <v>34</v>
      </c>
    </row>
    <row r="3611" spans="1:14" x14ac:dyDescent="0.25">
      <c r="A3611" t="str">
        <f t="shared" si="114"/>
        <v>U152804U152804</v>
      </c>
      <c r="B3611" t="str">
        <f t="shared" si="115"/>
        <v>U152804P60368L-W</v>
      </c>
      <c r="C3611" s="1" t="s">
        <v>67</v>
      </c>
      <c r="D3611" s="1" t="s">
        <v>681</v>
      </c>
      <c r="E3611" s="1" t="s">
        <v>436</v>
      </c>
      <c r="F3611" s="1" t="s">
        <v>443</v>
      </c>
      <c r="G3611" s="1" t="s">
        <v>444</v>
      </c>
      <c r="H3611" s="1">
        <v>132</v>
      </c>
      <c r="I3611" s="3">
        <v>46280</v>
      </c>
      <c r="J3611" s="3">
        <v>46280</v>
      </c>
      <c r="K3611" s="3" t="s">
        <v>2374</v>
      </c>
      <c r="L3611" s="31">
        <v>46280.38797924768</v>
      </c>
      <c r="M3611" s="20">
        <v>12</v>
      </c>
      <c r="N3611" s="1">
        <v>30</v>
      </c>
    </row>
    <row r="3612" spans="1:14" x14ac:dyDescent="0.25">
      <c r="A3612" t="str">
        <f t="shared" si="114"/>
        <v>U152804U152804</v>
      </c>
      <c r="B3612" t="str">
        <f t="shared" si="115"/>
        <v>U152804P60368L-W</v>
      </c>
      <c r="C3612" s="1" t="s">
        <v>67</v>
      </c>
      <c r="D3612" s="1" t="s">
        <v>681</v>
      </c>
      <c r="E3612" s="1" t="s">
        <v>436</v>
      </c>
      <c r="F3612" s="1" t="s">
        <v>443</v>
      </c>
      <c r="G3612" s="1" t="s">
        <v>444</v>
      </c>
      <c r="H3612" s="1">
        <v>132</v>
      </c>
      <c r="I3612" s="3">
        <v>46280</v>
      </c>
      <c r="J3612" s="3">
        <v>46280</v>
      </c>
      <c r="K3612" s="3" t="s">
        <v>2374</v>
      </c>
      <c r="L3612" s="31">
        <v>46280.388154282402</v>
      </c>
      <c r="M3612" s="20">
        <v>6</v>
      </c>
      <c r="N3612" s="1">
        <v>36</v>
      </c>
    </row>
    <row r="3613" spans="1:14" x14ac:dyDescent="0.25">
      <c r="A3613" t="str">
        <f t="shared" si="114"/>
        <v>U152804U152804</v>
      </c>
      <c r="B3613" t="str">
        <f t="shared" si="115"/>
        <v>U152804P60368L-W</v>
      </c>
      <c r="C3613" s="1" t="s">
        <v>67</v>
      </c>
      <c r="D3613" s="1" t="s">
        <v>681</v>
      </c>
      <c r="E3613" s="1" t="s">
        <v>436</v>
      </c>
      <c r="F3613" s="1" t="s">
        <v>443</v>
      </c>
      <c r="G3613" s="1" t="s">
        <v>444</v>
      </c>
      <c r="H3613" s="1">
        <v>132</v>
      </c>
      <c r="I3613" s="3">
        <v>46280</v>
      </c>
      <c r="J3613" s="3">
        <v>46280</v>
      </c>
      <c r="K3613" s="3" t="s">
        <v>2374</v>
      </c>
      <c r="L3613" s="31">
        <v>46280.388619791665</v>
      </c>
      <c r="M3613" s="20">
        <v>6</v>
      </c>
      <c r="N3613" s="1">
        <v>37</v>
      </c>
    </row>
    <row r="3614" spans="1:14" x14ac:dyDescent="0.25">
      <c r="A3614" t="str">
        <f t="shared" si="114"/>
        <v>U152804U152804</v>
      </c>
      <c r="B3614" t="str">
        <f t="shared" si="115"/>
        <v>U152804P60368L-W</v>
      </c>
      <c r="C3614" s="1" t="s">
        <v>67</v>
      </c>
      <c r="D3614" s="1" t="s">
        <v>681</v>
      </c>
      <c r="E3614" s="1" t="s">
        <v>436</v>
      </c>
      <c r="F3614" s="1" t="s">
        <v>443</v>
      </c>
      <c r="G3614" s="1" t="s">
        <v>444</v>
      </c>
      <c r="H3614" s="1">
        <v>132</v>
      </c>
      <c r="I3614" s="3">
        <v>46280</v>
      </c>
      <c r="J3614" s="3">
        <v>46280</v>
      </c>
      <c r="K3614" s="3" t="s">
        <v>2374</v>
      </c>
      <c r="L3614" s="31">
        <v>46280.397876122683</v>
      </c>
      <c r="M3614" s="20">
        <v>12</v>
      </c>
      <c r="N3614" s="1">
        <v>25</v>
      </c>
    </row>
    <row r="3615" spans="1:14" x14ac:dyDescent="0.25">
      <c r="A3615" t="str">
        <f t="shared" si="114"/>
        <v>U152804U152804</v>
      </c>
      <c r="B3615" t="str">
        <f t="shared" si="115"/>
        <v>U152804P60368L-W</v>
      </c>
      <c r="C3615" s="1" t="s">
        <v>67</v>
      </c>
      <c r="D3615" s="1" t="s">
        <v>681</v>
      </c>
      <c r="E3615" s="1" t="s">
        <v>436</v>
      </c>
      <c r="F3615" s="1" t="s">
        <v>443</v>
      </c>
      <c r="G3615" s="1" t="s">
        <v>444</v>
      </c>
      <c r="H3615" s="1">
        <v>132</v>
      </c>
      <c r="I3615" s="3">
        <v>46280</v>
      </c>
      <c r="J3615" s="3">
        <v>46280</v>
      </c>
      <c r="K3615" s="3" t="s">
        <v>2374</v>
      </c>
      <c r="L3615" s="31">
        <v>46280.40461493055</v>
      </c>
      <c r="M3615" s="20">
        <v>12</v>
      </c>
      <c r="N3615" s="1">
        <v>28</v>
      </c>
    </row>
    <row r="3616" spans="1:14" x14ac:dyDescent="0.25">
      <c r="A3616" t="str">
        <f t="shared" si="114"/>
        <v>U152804U152804</v>
      </c>
      <c r="B3616" t="str">
        <f t="shared" si="115"/>
        <v>U152804P60368L-W</v>
      </c>
      <c r="C3616" s="1" t="s">
        <v>67</v>
      </c>
      <c r="D3616" s="1" t="s">
        <v>681</v>
      </c>
      <c r="E3616" s="1" t="s">
        <v>436</v>
      </c>
      <c r="F3616" s="1" t="s">
        <v>443</v>
      </c>
      <c r="G3616" s="1" t="s">
        <v>444</v>
      </c>
      <c r="H3616" s="1">
        <v>132</v>
      </c>
      <c r="I3616" s="3">
        <v>46280</v>
      </c>
      <c r="J3616" s="3">
        <v>46280</v>
      </c>
      <c r="K3616" s="3" t="s">
        <v>2374</v>
      </c>
      <c r="L3616" s="31">
        <v>46280.46526704861</v>
      </c>
      <c r="M3616" s="20">
        <v>12</v>
      </c>
      <c r="N3616" s="1">
        <v>32</v>
      </c>
    </row>
    <row r="3617" spans="1:14" x14ac:dyDescent="0.25">
      <c r="A3617" t="str">
        <f t="shared" si="114"/>
        <v>U152804U152804</v>
      </c>
      <c r="B3617" t="str">
        <f t="shared" si="115"/>
        <v>U152804P60368L-W</v>
      </c>
      <c r="C3617" s="1" t="s">
        <v>67</v>
      </c>
      <c r="D3617" s="1" t="s">
        <v>681</v>
      </c>
      <c r="E3617" s="1" t="s">
        <v>436</v>
      </c>
      <c r="F3617" s="1" t="s">
        <v>443</v>
      </c>
      <c r="G3617" s="1" t="s">
        <v>444</v>
      </c>
      <c r="H3617" s="1">
        <v>132</v>
      </c>
      <c r="I3617" s="3">
        <v>46280</v>
      </c>
      <c r="J3617" s="3">
        <v>46280</v>
      </c>
      <c r="K3617" s="3" t="s">
        <v>2374</v>
      </c>
      <c r="L3617" s="31">
        <v>46280.551701504628</v>
      </c>
      <c r="M3617" s="20">
        <v>6</v>
      </c>
      <c r="N3617" s="1">
        <v>35</v>
      </c>
    </row>
    <row r="3618" spans="1:14" x14ac:dyDescent="0.25">
      <c r="A3618" t="str">
        <f t="shared" si="114"/>
        <v>U152804U152804</v>
      </c>
      <c r="B3618" t="str">
        <f t="shared" si="115"/>
        <v>U152804P60368L-W</v>
      </c>
      <c r="C3618" s="1" t="s">
        <v>67</v>
      </c>
      <c r="D3618" s="1" t="s">
        <v>681</v>
      </c>
      <c r="E3618" s="1" t="s">
        <v>436</v>
      </c>
      <c r="F3618" s="1" t="s">
        <v>443</v>
      </c>
      <c r="G3618" s="1" t="s">
        <v>444</v>
      </c>
      <c r="H3618" s="1">
        <v>132</v>
      </c>
      <c r="I3618" s="3">
        <v>46280</v>
      </c>
      <c r="J3618" s="3">
        <v>46280</v>
      </c>
      <c r="K3618" s="3" t="s">
        <v>2374</v>
      </c>
      <c r="L3618" s="31">
        <v>46280.564105671292</v>
      </c>
      <c r="M3618" s="20">
        <v>12</v>
      </c>
      <c r="N3618" s="1">
        <v>29</v>
      </c>
    </row>
    <row r="3619" spans="1:14" x14ac:dyDescent="0.25">
      <c r="A3619" t="str">
        <f t="shared" si="114"/>
        <v>U152804U152804</v>
      </c>
      <c r="B3619" t="str">
        <f t="shared" si="115"/>
        <v>U152804P60368L-W</v>
      </c>
      <c r="C3619" s="1" t="s">
        <v>67</v>
      </c>
      <c r="D3619" s="1" t="s">
        <v>681</v>
      </c>
      <c r="E3619" s="1" t="s">
        <v>436</v>
      </c>
      <c r="F3619" s="1" t="s">
        <v>443</v>
      </c>
      <c r="G3619" s="1" t="s">
        <v>444</v>
      </c>
      <c r="H3619" s="1">
        <v>132</v>
      </c>
      <c r="I3619" s="3">
        <v>46280</v>
      </c>
      <c r="J3619" s="3">
        <v>46280</v>
      </c>
      <c r="K3619" s="3" t="s">
        <v>2374</v>
      </c>
      <c r="L3619" s="31">
        <v>46280.576485497681</v>
      </c>
      <c r="M3619" s="20">
        <v>12</v>
      </c>
      <c r="N3619" s="1">
        <v>26</v>
      </c>
    </row>
    <row r="3620" spans="1:14" x14ac:dyDescent="0.25">
      <c r="A3620" t="str">
        <f t="shared" si="114"/>
        <v>U152808U152808</v>
      </c>
      <c r="B3620" t="str">
        <f t="shared" si="115"/>
        <v>U152808P60347T-M</v>
      </c>
      <c r="C3620" s="1" t="s">
        <v>272</v>
      </c>
      <c r="D3620" s="1" t="s">
        <v>691</v>
      </c>
      <c r="E3620" s="1" t="s">
        <v>436</v>
      </c>
      <c r="F3620" s="1" t="s">
        <v>443</v>
      </c>
      <c r="G3620" s="1" t="s">
        <v>457</v>
      </c>
      <c r="H3620" s="1">
        <v>1056</v>
      </c>
      <c r="I3620" s="3">
        <v>46280</v>
      </c>
      <c r="J3620" s="3">
        <v>46286</v>
      </c>
      <c r="L3620" s="31">
        <v>46280.377551006939</v>
      </c>
      <c r="M3620" s="20">
        <v>12</v>
      </c>
      <c r="N3620" s="1">
        <v>48</v>
      </c>
    </row>
    <row r="3621" spans="1:14" x14ac:dyDescent="0.25">
      <c r="A3621" t="str">
        <f t="shared" si="114"/>
        <v>U152808U152808</v>
      </c>
      <c r="B3621" t="str">
        <f t="shared" si="115"/>
        <v>U152808P60347T-M</v>
      </c>
      <c r="C3621" s="1" t="s">
        <v>272</v>
      </c>
      <c r="D3621" s="1" t="s">
        <v>691</v>
      </c>
      <c r="E3621" s="1" t="s">
        <v>436</v>
      </c>
      <c r="F3621" s="1" t="s">
        <v>443</v>
      </c>
      <c r="G3621" s="1" t="s">
        <v>457</v>
      </c>
      <c r="H3621" s="1">
        <v>1056</v>
      </c>
      <c r="I3621" s="3">
        <v>46280</v>
      </c>
      <c r="J3621" s="3">
        <v>46286</v>
      </c>
      <c r="L3621" s="31">
        <v>46280.377775312496</v>
      </c>
      <c r="M3621" s="20">
        <v>12</v>
      </c>
      <c r="N3621" s="1">
        <v>77</v>
      </c>
    </row>
    <row r="3622" spans="1:14" x14ac:dyDescent="0.25">
      <c r="A3622" t="str">
        <f t="shared" si="114"/>
        <v>U152808U152808</v>
      </c>
      <c r="B3622" t="str">
        <f t="shared" si="115"/>
        <v>U152808P60347T-M</v>
      </c>
      <c r="C3622" s="1" t="s">
        <v>272</v>
      </c>
      <c r="D3622" s="1" t="s">
        <v>691</v>
      </c>
      <c r="E3622" s="1" t="s">
        <v>436</v>
      </c>
      <c r="F3622" s="1" t="s">
        <v>443</v>
      </c>
      <c r="G3622" s="1" t="s">
        <v>457</v>
      </c>
      <c r="H3622" s="1">
        <v>1056</v>
      </c>
      <c r="I3622" s="3">
        <v>46280</v>
      </c>
      <c r="J3622" s="3">
        <v>46286</v>
      </c>
      <c r="L3622" s="31">
        <v>46280.401992974534</v>
      </c>
      <c r="M3622" s="20">
        <v>12</v>
      </c>
      <c r="N3622" s="1">
        <v>33</v>
      </c>
    </row>
    <row r="3623" spans="1:14" x14ac:dyDescent="0.25">
      <c r="A3623" t="str">
        <f t="shared" si="114"/>
        <v>U152808U152808</v>
      </c>
      <c r="B3623" t="str">
        <f t="shared" si="115"/>
        <v>U152808P60347T-M</v>
      </c>
      <c r="C3623" s="1" t="s">
        <v>272</v>
      </c>
      <c r="D3623" s="1" t="s">
        <v>691</v>
      </c>
      <c r="E3623" s="1" t="s">
        <v>436</v>
      </c>
      <c r="F3623" s="1" t="s">
        <v>443</v>
      </c>
      <c r="G3623" s="1" t="s">
        <v>457</v>
      </c>
      <c r="H3623" s="1">
        <v>1056</v>
      </c>
      <c r="I3623" s="3">
        <v>46280</v>
      </c>
      <c r="J3623" s="3">
        <v>46286</v>
      </c>
      <c r="L3623" s="31">
        <v>46280.420528935181</v>
      </c>
      <c r="M3623" s="20">
        <v>12</v>
      </c>
      <c r="N3623" s="1">
        <v>46</v>
      </c>
    </row>
    <row r="3624" spans="1:14" x14ac:dyDescent="0.25">
      <c r="A3624" t="str">
        <f t="shared" si="114"/>
        <v>U152808U152808</v>
      </c>
      <c r="B3624" t="str">
        <f t="shared" si="115"/>
        <v>U152808P60347T-M</v>
      </c>
      <c r="C3624" s="1" t="s">
        <v>272</v>
      </c>
      <c r="D3624" s="1" t="s">
        <v>691</v>
      </c>
      <c r="E3624" s="1" t="s">
        <v>436</v>
      </c>
      <c r="F3624" s="1" t="s">
        <v>443</v>
      </c>
      <c r="G3624" s="1" t="s">
        <v>457</v>
      </c>
      <c r="H3624" s="1">
        <v>1056</v>
      </c>
      <c r="I3624" s="3">
        <v>46280</v>
      </c>
      <c r="J3624" s="3">
        <v>46286</v>
      </c>
      <c r="L3624" s="31">
        <v>46280.420904432867</v>
      </c>
      <c r="M3624" s="20">
        <v>12</v>
      </c>
      <c r="N3624" s="1">
        <v>72</v>
      </c>
    </row>
    <row r="3625" spans="1:14" x14ac:dyDescent="0.25">
      <c r="A3625" t="str">
        <f t="shared" si="114"/>
        <v>U152808U152808</v>
      </c>
      <c r="B3625" t="str">
        <f t="shared" si="115"/>
        <v>U152808P60347T-M</v>
      </c>
      <c r="C3625" s="1" t="s">
        <v>272</v>
      </c>
      <c r="D3625" s="1" t="s">
        <v>691</v>
      </c>
      <c r="E3625" s="1" t="s">
        <v>436</v>
      </c>
      <c r="F3625" s="1" t="s">
        <v>443</v>
      </c>
      <c r="G3625" s="1" t="s">
        <v>457</v>
      </c>
      <c r="H3625" s="1">
        <v>1056</v>
      </c>
      <c r="I3625" s="3">
        <v>46280</v>
      </c>
      <c r="J3625" s="3">
        <v>46286</v>
      </c>
      <c r="L3625" s="31">
        <v>46280.442413622681</v>
      </c>
      <c r="M3625" s="20">
        <v>12</v>
      </c>
      <c r="N3625" s="1">
        <v>20</v>
      </c>
    </row>
    <row r="3626" spans="1:14" x14ac:dyDescent="0.25">
      <c r="A3626" t="str">
        <f t="shared" si="114"/>
        <v>U152808U152808</v>
      </c>
      <c r="B3626" t="str">
        <f t="shared" si="115"/>
        <v>U152808P60347T-M</v>
      </c>
      <c r="C3626" s="1" t="s">
        <v>272</v>
      </c>
      <c r="D3626" s="1" t="s">
        <v>691</v>
      </c>
      <c r="E3626" s="1" t="s">
        <v>436</v>
      </c>
      <c r="F3626" s="1" t="s">
        <v>443</v>
      </c>
      <c r="G3626" s="1" t="s">
        <v>457</v>
      </c>
      <c r="H3626" s="1">
        <v>1056</v>
      </c>
      <c r="I3626" s="3">
        <v>46280</v>
      </c>
      <c r="J3626" s="3">
        <v>46286</v>
      </c>
      <c r="L3626" s="31">
        <v>46280.456742708331</v>
      </c>
      <c r="M3626" s="20">
        <v>12</v>
      </c>
      <c r="N3626" s="1">
        <v>15</v>
      </c>
    </row>
    <row r="3627" spans="1:14" x14ac:dyDescent="0.25">
      <c r="A3627" t="str">
        <f t="shared" si="114"/>
        <v>U152808U152808</v>
      </c>
      <c r="B3627" t="str">
        <f t="shared" si="115"/>
        <v>U152808P60347T-M</v>
      </c>
      <c r="C3627" s="1" t="s">
        <v>272</v>
      </c>
      <c r="D3627" s="1" t="s">
        <v>691</v>
      </c>
      <c r="E3627" s="1" t="s">
        <v>436</v>
      </c>
      <c r="F3627" s="1" t="s">
        <v>443</v>
      </c>
      <c r="G3627" s="1" t="s">
        <v>457</v>
      </c>
      <c r="H3627" s="1">
        <v>1056</v>
      </c>
      <c r="I3627" s="3">
        <v>46280</v>
      </c>
      <c r="J3627" s="3">
        <v>46286</v>
      </c>
      <c r="L3627" s="31">
        <v>46280.457219444441</v>
      </c>
      <c r="M3627" s="20">
        <v>12</v>
      </c>
      <c r="N3627" s="1">
        <v>14</v>
      </c>
    </row>
    <row r="3628" spans="1:14" x14ac:dyDescent="0.25">
      <c r="A3628" t="str">
        <f t="shared" si="114"/>
        <v>U152808U152808</v>
      </c>
      <c r="B3628" t="str">
        <f t="shared" si="115"/>
        <v>U152808P60347T-M</v>
      </c>
      <c r="C3628" s="1" t="s">
        <v>272</v>
      </c>
      <c r="D3628" s="1" t="s">
        <v>691</v>
      </c>
      <c r="E3628" s="1" t="s">
        <v>436</v>
      </c>
      <c r="F3628" s="1" t="s">
        <v>443</v>
      </c>
      <c r="G3628" s="1" t="s">
        <v>457</v>
      </c>
      <c r="H3628" s="1">
        <v>1056</v>
      </c>
      <c r="I3628" s="3">
        <v>46280</v>
      </c>
      <c r="J3628" s="3">
        <v>46286</v>
      </c>
      <c r="L3628" s="31">
        <v>46280.469740277775</v>
      </c>
      <c r="M3628" s="20">
        <v>12</v>
      </c>
      <c r="N3628" s="1">
        <v>73</v>
      </c>
    </row>
    <row r="3629" spans="1:14" x14ac:dyDescent="0.25">
      <c r="A3629" t="str">
        <f t="shared" si="114"/>
        <v>U152808U152808</v>
      </c>
      <c r="B3629" t="str">
        <f t="shared" si="115"/>
        <v>U152808P60347T-M</v>
      </c>
      <c r="C3629" s="1" t="s">
        <v>272</v>
      </c>
      <c r="D3629" s="1" t="s">
        <v>691</v>
      </c>
      <c r="E3629" s="1" t="s">
        <v>436</v>
      </c>
      <c r="F3629" s="1" t="s">
        <v>443</v>
      </c>
      <c r="G3629" s="1" t="s">
        <v>457</v>
      </c>
      <c r="H3629" s="1">
        <v>1056</v>
      </c>
      <c r="I3629" s="3">
        <v>46280</v>
      </c>
      <c r="J3629" s="3">
        <v>46286</v>
      </c>
      <c r="L3629" s="31">
        <v>46280.470002696755</v>
      </c>
      <c r="M3629" s="20">
        <v>12</v>
      </c>
      <c r="N3629" s="1">
        <v>6</v>
      </c>
    </row>
    <row r="3630" spans="1:14" x14ac:dyDescent="0.25">
      <c r="A3630" t="str">
        <f t="shared" si="114"/>
        <v>U152808U152808</v>
      </c>
      <c r="B3630" t="str">
        <f t="shared" si="115"/>
        <v>U152808P60347T-M</v>
      </c>
      <c r="C3630" s="1" t="s">
        <v>272</v>
      </c>
      <c r="D3630" s="1" t="s">
        <v>691</v>
      </c>
      <c r="E3630" s="1" t="s">
        <v>436</v>
      </c>
      <c r="F3630" s="1" t="s">
        <v>443</v>
      </c>
      <c r="G3630" s="1" t="s">
        <v>457</v>
      </c>
      <c r="H3630" s="1">
        <v>1056</v>
      </c>
      <c r="I3630" s="3">
        <v>46280</v>
      </c>
      <c r="J3630" s="3">
        <v>46286</v>
      </c>
      <c r="L3630" s="31">
        <v>46280.470158645832</v>
      </c>
      <c r="M3630" s="20">
        <v>12</v>
      </c>
      <c r="N3630" s="1">
        <v>19</v>
      </c>
    </row>
    <row r="3631" spans="1:14" x14ac:dyDescent="0.25">
      <c r="A3631" t="str">
        <f t="shared" si="114"/>
        <v>U152808U152808</v>
      </c>
      <c r="B3631" t="str">
        <f t="shared" si="115"/>
        <v>U152808P60347T-M</v>
      </c>
      <c r="C3631" s="1" t="s">
        <v>272</v>
      </c>
      <c r="D3631" s="1" t="s">
        <v>691</v>
      </c>
      <c r="E3631" s="1" t="s">
        <v>436</v>
      </c>
      <c r="F3631" s="1" t="s">
        <v>443</v>
      </c>
      <c r="G3631" s="1" t="s">
        <v>457</v>
      </c>
      <c r="H3631" s="1">
        <v>1056</v>
      </c>
      <c r="I3631" s="3">
        <v>46280</v>
      </c>
      <c r="J3631" s="3">
        <v>46286</v>
      </c>
      <c r="L3631" s="31">
        <v>46280.472559027774</v>
      </c>
      <c r="M3631" s="20">
        <v>12</v>
      </c>
      <c r="N3631" s="1">
        <v>79</v>
      </c>
    </row>
    <row r="3632" spans="1:14" x14ac:dyDescent="0.25">
      <c r="A3632" t="str">
        <f t="shared" si="114"/>
        <v>U152808U152808</v>
      </c>
      <c r="B3632" t="str">
        <f t="shared" si="115"/>
        <v>U152808P60347T-M</v>
      </c>
      <c r="C3632" s="1" t="s">
        <v>272</v>
      </c>
      <c r="D3632" s="1" t="s">
        <v>691</v>
      </c>
      <c r="E3632" s="1" t="s">
        <v>436</v>
      </c>
      <c r="F3632" s="1" t="s">
        <v>443</v>
      </c>
      <c r="G3632" s="1" t="s">
        <v>457</v>
      </c>
      <c r="H3632" s="1">
        <v>1056</v>
      </c>
      <c r="I3632" s="3">
        <v>46280</v>
      </c>
      <c r="J3632" s="3">
        <v>46286</v>
      </c>
      <c r="L3632" s="31">
        <v>46280.472855208332</v>
      </c>
      <c r="M3632" s="20">
        <v>12</v>
      </c>
      <c r="N3632" s="1">
        <v>1</v>
      </c>
    </row>
    <row r="3633" spans="1:14" x14ac:dyDescent="0.25">
      <c r="A3633" t="str">
        <f t="shared" si="114"/>
        <v>U152808U152808</v>
      </c>
      <c r="B3633" t="str">
        <f t="shared" si="115"/>
        <v>U152808P60347T-M</v>
      </c>
      <c r="C3633" s="1" t="s">
        <v>272</v>
      </c>
      <c r="D3633" s="1" t="s">
        <v>691</v>
      </c>
      <c r="E3633" s="1" t="s">
        <v>436</v>
      </c>
      <c r="F3633" s="1" t="s">
        <v>443</v>
      </c>
      <c r="G3633" s="1" t="s">
        <v>457</v>
      </c>
      <c r="H3633" s="1">
        <v>1056</v>
      </c>
      <c r="I3633" s="3">
        <v>46280</v>
      </c>
      <c r="J3633" s="3">
        <v>46286</v>
      </c>
      <c r="L3633" s="31">
        <v>46280.476643020833</v>
      </c>
      <c r="M3633" s="20">
        <v>12</v>
      </c>
      <c r="N3633" s="1">
        <v>41</v>
      </c>
    </row>
    <row r="3634" spans="1:14" x14ac:dyDescent="0.25">
      <c r="A3634" t="str">
        <f t="shared" si="114"/>
        <v>U152808U152808</v>
      </c>
      <c r="B3634" t="str">
        <f t="shared" si="115"/>
        <v>U152808P60347T-M</v>
      </c>
      <c r="C3634" s="1" t="s">
        <v>272</v>
      </c>
      <c r="D3634" s="1" t="s">
        <v>691</v>
      </c>
      <c r="E3634" s="1" t="s">
        <v>436</v>
      </c>
      <c r="F3634" s="1" t="s">
        <v>443</v>
      </c>
      <c r="G3634" s="1" t="s">
        <v>457</v>
      </c>
      <c r="H3634" s="1">
        <v>1056</v>
      </c>
      <c r="I3634" s="3">
        <v>46280</v>
      </c>
      <c r="J3634" s="3">
        <v>46286</v>
      </c>
      <c r="L3634" s="31">
        <v>46280.47708626157</v>
      </c>
      <c r="M3634" s="20">
        <v>12</v>
      </c>
      <c r="N3634" s="1">
        <v>55</v>
      </c>
    </row>
    <row r="3635" spans="1:14" x14ac:dyDescent="0.25">
      <c r="A3635" t="str">
        <f t="shared" si="114"/>
        <v>U152808U152808</v>
      </c>
      <c r="B3635" t="str">
        <f t="shared" si="115"/>
        <v>U152808P60347T-M</v>
      </c>
      <c r="C3635" s="1" t="s">
        <v>272</v>
      </c>
      <c r="D3635" s="1" t="s">
        <v>691</v>
      </c>
      <c r="E3635" s="1" t="s">
        <v>436</v>
      </c>
      <c r="F3635" s="1" t="s">
        <v>443</v>
      </c>
      <c r="G3635" s="1" t="s">
        <v>457</v>
      </c>
      <c r="H3635" s="1">
        <v>1056</v>
      </c>
      <c r="I3635" s="3">
        <v>46280</v>
      </c>
      <c r="J3635" s="3">
        <v>46286</v>
      </c>
      <c r="L3635" s="31">
        <v>46280.559849421297</v>
      </c>
      <c r="M3635" s="20">
        <v>12</v>
      </c>
      <c r="N3635" s="1">
        <v>80</v>
      </c>
    </row>
    <row r="3636" spans="1:14" x14ac:dyDescent="0.25">
      <c r="A3636" t="str">
        <f t="shared" si="114"/>
        <v>U152808U152808</v>
      </c>
      <c r="B3636" t="str">
        <f t="shared" si="115"/>
        <v>U152808P60347T-M</v>
      </c>
      <c r="C3636" s="1" t="s">
        <v>272</v>
      </c>
      <c r="D3636" s="1" t="s">
        <v>691</v>
      </c>
      <c r="E3636" s="1" t="s">
        <v>436</v>
      </c>
      <c r="F3636" s="1" t="s">
        <v>443</v>
      </c>
      <c r="G3636" s="1" t="s">
        <v>457</v>
      </c>
      <c r="H3636" s="1">
        <v>1056</v>
      </c>
      <c r="I3636" s="3">
        <v>46280</v>
      </c>
      <c r="J3636" s="3">
        <v>46286</v>
      </c>
      <c r="L3636" s="31">
        <v>46280.560085798606</v>
      </c>
      <c r="M3636" s="20">
        <v>12</v>
      </c>
      <c r="N3636" s="1">
        <v>82</v>
      </c>
    </row>
    <row r="3637" spans="1:14" x14ac:dyDescent="0.25">
      <c r="A3637" t="str">
        <f t="shared" si="114"/>
        <v>U152808U152808</v>
      </c>
      <c r="B3637" t="str">
        <f t="shared" si="115"/>
        <v>U152808P60347T-M</v>
      </c>
      <c r="C3637" s="1" t="s">
        <v>272</v>
      </c>
      <c r="D3637" s="1" t="s">
        <v>691</v>
      </c>
      <c r="E3637" s="1" t="s">
        <v>436</v>
      </c>
      <c r="F3637" s="1" t="s">
        <v>443</v>
      </c>
      <c r="G3637" s="1" t="s">
        <v>457</v>
      </c>
      <c r="H3637" s="1">
        <v>1056</v>
      </c>
      <c r="I3637" s="3">
        <v>46280</v>
      </c>
      <c r="J3637" s="3">
        <v>46286</v>
      </c>
      <c r="L3637" s="31">
        <v>46280.569285995371</v>
      </c>
      <c r="M3637" s="20">
        <v>12</v>
      </c>
      <c r="N3637" s="1">
        <v>11</v>
      </c>
    </row>
    <row r="3638" spans="1:14" x14ac:dyDescent="0.25">
      <c r="A3638" t="str">
        <f t="shared" si="114"/>
        <v>U152808U152808</v>
      </c>
      <c r="B3638" t="str">
        <f t="shared" si="115"/>
        <v>U152808P60347T-M</v>
      </c>
      <c r="C3638" s="1" t="s">
        <v>272</v>
      </c>
      <c r="D3638" s="1" t="s">
        <v>691</v>
      </c>
      <c r="E3638" s="1" t="s">
        <v>436</v>
      </c>
      <c r="F3638" s="1" t="s">
        <v>443</v>
      </c>
      <c r="G3638" s="1" t="s">
        <v>457</v>
      </c>
      <c r="H3638" s="1">
        <v>1056</v>
      </c>
      <c r="I3638" s="3">
        <v>46280</v>
      </c>
      <c r="J3638" s="3">
        <v>46286</v>
      </c>
      <c r="L3638" s="31">
        <v>46280.569578240742</v>
      </c>
      <c r="M3638" s="20">
        <v>12</v>
      </c>
      <c r="N3638" s="1">
        <v>61</v>
      </c>
    </row>
    <row r="3639" spans="1:14" x14ac:dyDescent="0.25">
      <c r="A3639" t="str">
        <f t="shared" si="114"/>
        <v>U152808U152808</v>
      </c>
      <c r="B3639" t="str">
        <f t="shared" si="115"/>
        <v>U152808P60347T-M</v>
      </c>
      <c r="C3639" s="1" t="s">
        <v>272</v>
      </c>
      <c r="D3639" s="1" t="s">
        <v>691</v>
      </c>
      <c r="E3639" s="1" t="s">
        <v>436</v>
      </c>
      <c r="F3639" s="1" t="s">
        <v>443</v>
      </c>
      <c r="G3639" s="1" t="s">
        <v>457</v>
      </c>
      <c r="H3639" s="1">
        <v>1056</v>
      </c>
      <c r="I3639" s="3">
        <v>46280</v>
      </c>
      <c r="J3639" s="3">
        <v>46286</v>
      </c>
      <c r="L3639" s="31">
        <v>46280.569961423607</v>
      </c>
      <c r="M3639" s="20">
        <v>12</v>
      </c>
      <c r="N3639" s="1">
        <v>35</v>
      </c>
    </row>
    <row r="3640" spans="1:14" x14ac:dyDescent="0.25">
      <c r="A3640" t="str">
        <f t="shared" si="114"/>
        <v>U152808U152808</v>
      </c>
      <c r="B3640" t="str">
        <f t="shared" si="115"/>
        <v>U152808P60347T-M</v>
      </c>
      <c r="C3640" s="1" t="s">
        <v>272</v>
      </c>
      <c r="D3640" s="1" t="s">
        <v>691</v>
      </c>
      <c r="E3640" s="1" t="s">
        <v>436</v>
      </c>
      <c r="F3640" s="1" t="s">
        <v>443</v>
      </c>
      <c r="G3640" s="1" t="s">
        <v>457</v>
      </c>
      <c r="H3640" s="1">
        <v>1056</v>
      </c>
      <c r="I3640" s="3">
        <v>46280</v>
      </c>
      <c r="J3640" s="3">
        <v>46286</v>
      </c>
      <c r="L3640" s="31">
        <v>46280.570382291662</v>
      </c>
      <c r="M3640" s="20">
        <v>12</v>
      </c>
      <c r="N3640" s="1">
        <v>37</v>
      </c>
    </row>
    <row r="3641" spans="1:14" x14ac:dyDescent="0.25">
      <c r="A3641" t="str">
        <f t="shared" si="114"/>
        <v>U152808U152808</v>
      </c>
      <c r="B3641" t="str">
        <f t="shared" si="115"/>
        <v>U152808P60347T-M</v>
      </c>
      <c r="C3641" s="1" t="s">
        <v>272</v>
      </c>
      <c r="D3641" s="1" t="s">
        <v>691</v>
      </c>
      <c r="E3641" s="1" t="s">
        <v>436</v>
      </c>
      <c r="F3641" s="1" t="s">
        <v>443</v>
      </c>
      <c r="G3641" s="1" t="s">
        <v>457</v>
      </c>
      <c r="H3641" s="1">
        <v>1056</v>
      </c>
      <c r="I3641" s="3">
        <v>46280</v>
      </c>
      <c r="J3641" s="3">
        <v>46286</v>
      </c>
      <c r="L3641" s="31">
        <v>46280.576649571754</v>
      </c>
      <c r="M3641" s="20">
        <v>12</v>
      </c>
      <c r="N3641" s="1">
        <v>7</v>
      </c>
    </row>
    <row r="3642" spans="1:14" x14ac:dyDescent="0.25">
      <c r="A3642" t="str">
        <f t="shared" si="114"/>
        <v>U152808U152808</v>
      </c>
      <c r="B3642" t="str">
        <f t="shared" si="115"/>
        <v>U152808P60347T-M</v>
      </c>
      <c r="C3642" s="1" t="s">
        <v>272</v>
      </c>
      <c r="D3642" s="1" t="s">
        <v>691</v>
      </c>
      <c r="E3642" s="1" t="s">
        <v>436</v>
      </c>
      <c r="F3642" s="1" t="s">
        <v>443</v>
      </c>
      <c r="G3642" s="1" t="s">
        <v>457</v>
      </c>
      <c r="H3642" s="1">
        <v>1056</v>
      </c>
      <c r="I3642" s="3">
        <v>46280</v>
      </c>
      <c r="J3642" s="3">
        <v>46286</v>
      </c>
      <c r="L3642" s="31">
        <v>46280.576814120366</v>
      </c>
      <c r="M3642" s="20">
        <v>12</v>
      </c>
      <c r="N3642" s="1">
        <v>22</v>
      </c>
    </row>
    <row r="3643" spans="1:14" x14ac:dyDescent="0.25">
      <c r="A3643" t="str">
        <f t="shared" si="114"/>
        <v>U152808U152808</v>
      </c>
      <c r="B3643" t="str">
        <f t="shared" si="115"/>
        <v>U152808P60347T-M</v>
      </c>
      <c r="C3643" s="1" t="s">
        <v>272</v>
      </c>
      <c r="D3643" s="1" t="s">
        <v>691</v>
      </c>
      <c r="E3643" s="1" t="s">
        <v>436</v>
      </c>
      <c r="F3643" s="1" t="s">
        <v>443</v>
      </c>
      <c r="G3643" s="1" t="s">
        <v>457</v>
      </c>
      <c r="H3643" s="1">
        <v>1056</v>
      </c>
      <c r="I3643" s="3">
        <v>46280</v>
      </c>
      <c r="J3643" s="3">
        <v>46286</v>
      </c>
      <c r="L3643" s="31">
        <v>46280.577256562501</v>
      </c>
      <c r="M3643" s="20">
        <v>12</v>
      </c>
      <c r="N3643" s="1">
        <v>71</v>
      </c>
    </row>
    <row r="3644" spans="1:14" x14ac:dyDescent="0.25">
      <c r="A3644" t="str">
        <f t="shared" si="114"/>
        <v>U152808U152808</v>
      </c>
      <c r="B3644" t="str">
        <f t="shared" si="115"/>
        <v>U152808P60347T-M</v>
      </c>
      <c r="C3644" s="1" t="s">
        <v>272</v>
      </c>
      <c r="D3644" s="1" t="s">
        <v>691</v>
      </c>
      <c r="E3644" s="1" t="s">
        <v>436</v>
      </c>
      <c r="F3644" s="1" t="s">
        <v>443</v>
      </c>
      <c r="G3644" s="1" t="s">
        <v>457</v>
      </c>
      <c r="H3644" s="1">
        <v>1056</v>
      </c>
      <c r="I3644" s="3">
        <v>46280</v>
      </c>
      <c r="J3644" s="3">
        <v>46286</v>
      </c>
      <c r="L3644" s="31">
        <v>46280.58619170139</v>
      </c>
      <c r="M3644" s="20">
        <v>12</v>
      </c>
      <c r="N3644" s="1">
        <v>8</v>
      </c>
    </row>
    <row r="3645" spans="1:14" x14ac:dyDescent="0.25">
      <c r="A3645" t="str">
        <f t="shared" si="114"/>
        <v>U152808U152808</v>
      </c>
      <c r="B3645" t="str">
        <f t="shared" si="115"/>
        <v>U152808P60347T-M</v>
      </c>
      <c r="C3645" s="1" t="s">
        <v>272</v>
      </c>
      <c r="D3645" s="1" t="s">
        <v>691</v>
      </c>
      <c r="E3645" s="1" t="s">
        <v>436</v>
      </c>
      <c r="F3645" s="1" t="s">
        <v>443</v>
      </c>
      <c r="G3645" s="1" t="s">
        <v>457</v>
      </c>
      <c r="H3645" s="1">
        <v>1056</v>
      </c>
      <c r="I3645" s="3">
        <v>46280</v>
      </c>
      <c r="J3645" s="3">
        <v>46286</v>
      </c>
      <c r="L3645" s="31">
        <v>46280.59026261574</v>
      </c>
      <c r="M3645" s="20">
        <v>12</v>
      </c>
      <c r="N3645" s="1">
        <v>34</v>
      </c>
    </row>
    <row r="3646" spans="1:14" x14ac:dyDescent="0.25">
      <c r="A3646" t="str">
        <f t="shared" si="114"/>
        <v>U152808U152808</v>
      </c>
      <c r="B3646" t="str">
        <f t="shared" si="115"/>
        <v>U152808P60347T-M</v>
      </c>
      <c r="C3646" s="1" t="s">
        <v>272</v>
      </c>
      <c r="D3646" s="1" t="s">
        <v>691</v>
      </c>
      <c r="E3646" s="1" t="s">
        <v>436</v>
      </c>
      <c r="F3646" s="1" t="s">
        <v>443</v>
      </c>
      <c r="G3646" s="1" t="s">
        <v>457</v>
      </c>
      <c r="H3646" s="1">
        <v>1056</v>
      </c>
      <c r="I3646" s="3">
        <v>46280</v>
      </c>
      <c r="J3646" s="3">
        <v>46286</v>
      </c>
      <c r="L3646" s="31">
        <v>46280.590868634259</v>
      </c>
      <c r="M3646" s="20">
        <v>12</v>
      </c>
      <c r="N3646" s="1">
        <v>42</v>
      </c>
    </row>
    <row r="3647" spans="1:14" x14ac:dyDescent="0.25">
      <c r="A3647" t="str">
        <f t="shared" si="114"/>
        <v>U152808U152808</v>
      </c>
      <c r="B3647" t="str">
        <f t="shared" si="115"/>
        <v>U152808P60347T-M</v>
      </c>
      <c r="C3647" s="1" t="s">
        <v>272</v>
      </c>
      <c r="D3647" s="1" t="s">
        <v>691</v>
      </c>
      <c r="E3647" s="1" t="s">
        <v>436</v>
      </c>
      <c r="F3647" s="1" t="s">
        <v>443</v>
      </c>
      <c r="G3647" s="1" t="s">
        <v>457</v>
      </c>
      <c r="H3647" s="1">
        <v>1056</v>
      </c>
      <c r="I3647" s="3">
        <v>46280</v>
      </c>
      <c r="J3647" s="3">
        <v>46286</v>
      </c>
      <c r="L3647" s="31">
        <v>46280.606834606479</v>
      </c>
      <c r="M3647" s="20">
        <v>12</v>
      </c>
      <c r="N3647" s="1">
        <v>23</v>
      </c>
    </row>
    <row r="3648" spans="1:14" x14ac:dyDescent="0.25">
      <c r="A3648" t="str">
        <f t="shared" si="114"/>
        <v>U152808U152808</v>
      </c>
      <c r="B3648" t="str">
        <f t="shared" si="115"/>
        <v>U152808P60347T-M</v>
      </c>
      <c r="C3648" s="1" t="s">
        <v>272</v>
      </c>
      <c r="D3648" s="1" t="s">
        <v>691</v>
      </c>
      <c r="E3648" s="1" t="s">
        <v>436</v>
      </c>
      <c r="F3648" s="1" t="s">
        <v>443</v>
      </c>
      <c r="G3648" s="1" t="s">
        <v>457</v>
      </c>
      <c r="H3648" s="1">
        <v>1056</v>
      </c>
      <c r="I3648" s="3">
        <v>46280</v>
      </c>
      <c r="J3648" s="3">
        <v>46286</v>
      </c>
      <c r="L3648" s="31">
        <v>46280.607453391203</v>
      </c>
      <c r="M3648" s="20">
        <v>12</v>
      </c>
      <c r="N3648" s="1">
        <v>63</v>
      </c>
    </row>
    <row r="3649" spans="1:14" x14ac:dyDescent="0.25">
      <c r="A3649" t="str">
        <f t="shared" si="114"/>
        <v>U152808U152808</v>
      </c>
      <c r="B3649" t="str">
        <f t="shared" si="115"/>
        <v>U152808P60347T-M</v>
      </c>
      <c r="C3649" s="1" t="s">
        <v>272</v>
      </c>
      <c r="D3649" s="1" t="s">
        <v>691</v>
      </c>
      <c r="E3649" s="1" t="s">
        <v>436</v>
      </c>
      <c r="F3649" s="1" t="s">
        <v>443</v>
      </c>
      <c r="G3649" s="1" t="s">
        <v>457</v>
      </c>
      <c r="H3649" s="1">
        <v>1056</v>
      </c>
      <c r="I3649" s="3">
        <v>46280</v>
      </c>
      <c r="J3649" s="3">
        <v>46286</v>
      </c>
      <c r="L3649" s="31">
        <v>46280.727741666662</v>
      </c>
      <c r="M3649" s="20">
        <v>12</v>
      </c>
      <c r="N3649" s="1">
        <v>53</v>
      </c>
    </row>
    <row r="3650" spans="1:14" x14ac:dyDescent="0.25">
      <c r="A3650" t="str">
        <f t="shared" ref="A3650:A3713" si="116">+D3650&amp;D3650</f>
        <v>U152808U152808</v>
      </c>
      <c r="B3650" t="str">
        <f t="shared" ref="B3650:B3713" si="117">+D3650&amp;C3650</f>
        <v>U152808P60347T-M</v>
      </c>
      <c r="C3650" s="1" t="s">
        <v>272</v>
      </c>
      <c r="D3650" s="1" t="s">
        <v>691</v>
      </c>
      <c r="E3650" s="1" t="s">
        <v>436</v>
      </c>
      <c r="F3650" s="1" t="s">
        <v>443</v>
      </c>
      <c r="G3650" s="1" t="s">
        <v>457</v>
      </c>
      <c r="H3650" s="1">
        <v>1056</v>
      </c>
      <c r="I3650" s="3">
        <v>46280</v>
      </c>
      <c r="J3650" s="3">
        <v>46286</v>
      </c>
      <c r="L3650" s="31">
        <v>46280.729106828701</v>
      </c>
      <c r="M3650" s="20">
        <v>12</v>
      </c>
      <c r="N3650" s="1">
        <v>49</v>
      </c>
    </row>
    <row r="3651" spans="1:14" x14ac:dyDescent="0.25">
      <c r="A3651" t="str">
        <f t="shared" si="116"/>
        <v>U152808U152808</v>
      </c>
      <c r="B3651" t="str">
        <f t="shared" si="117"/>
        <v>U152808P60347T-M</v>
      </c>
      <c r="C3651" s="1" t="s">
        <v>272</v>
      </c>
      <c r="D3651" s="1" t="s">
        <v>691</v>
      </c>
      <c r="E3651" s="1" t="s">
        <v>436</v>
      </c>
      <c r="F3651" s="1" t="s">
        <v>443</v>
      </c>
      <c r="G3651" s="1" t="s">
        <v>457</v>
      </c>
      <c r="H3651" s="1">
        <v>1056</v>
      </c>
      <c r="I3651" s="3">
        <v>46280</v>
      </c>
      <c r="J3651" s="3">
        <v>46286</v>
      </c>
      <c r="L3651" s="31">
        <v>46280.729238310181</v>
      </c>
      <c r="M3651" s="20">
        <v>12</v>
      </c>
      <c r="N3651" s="1">
        <v>13</v>
      </c>
    </row>
    <row r="3652" spans="1:14" x14ac:dyDescent="0.25">
      <c r="A3652" t="str">
        <f t="shared" si="116"/>
        <v>78752867875286</v>
      </c>
      <c r="B3652" t="str">
        <f t="shared" si="117"/>
        <v>7875286M5742IX-2E</v>
      </c>
      <c r="C3652" s="1" t="s">
        <v>714</v>
      </c>
      <c r="D3652" s="1" t="s">
        <v>715</v>
      </c>
      <c r="E3652" s="1" t="s">
        <v>382</v>
      </c>
      <c r="F3652" s="1" t="s">
        <v>383</v>
      </c>
      <c r="G3652" s="1" t="s">
        <v>390</v>
      </c>
      <c r="H3652" s="1">
        <v>498</v>
      </c>
      <c r="I3652" s="3">
        <v>46281</v>
      </c>
      <c r="L3652" s="31">
        <v>46281.465220219907</v>
      </c>
      <c r="M3652" s="20">
        <v>12</v>
      </c>
      <c r="N3652" s="1">
        <v>156</v>
      </c>
    </row>
    <row r="3653" spans="1:14" x14ac:dyDescent="0.25">
      <c r="A3653" t="str">
        <f t="shared" si="116"/>
        <v>78752867875286</v>
      </c>
      <c r="B3653" t="str">
        <f t="shared" si="117"/>
        <v>7875286M5742IX-2E</v>
      </c>
      <c r="C3653" s="1" t="s">
        <v>714</v>
      </c>
      <c r="D3653" s="1" t="s">
        <v>715</v>
      </c>
      <c r="E3653" s="1" t="s">
        <v>382</v>
      </c>
      <c r="F3653" s="1" t="s">
        <v>383</v>
      </c>
      <c r="G3653" s="1" t="s">
        <v>390</v>
      </c>
      <c r="H3653" s="1">
        <v>498</v>
      </c>
      <c r="I3653" s="3">
        <v>46281</v>
      </c>
      <c r="L3653" s="31">
        <v>46281.466399652774</v>
      </c>
      <c r="M3653" s="20">
        <v>12</v>
      </c>
      <c r="N3653" s="1">
        <v>161</v>
      </c>
    </row>
    <row r="3654" spans="1:14" x14ac:dyDescent="0.25">
      <c r="A3654" t="str">
        <f t="shared" si="116"/>
        <v>78752867875286</v>
      </c>
      <c r="B3654" t="str">
        <f t="shared" si="117"/>
        <v>7875286M5742IX-2E</v>
      </c>
      <c r="C3654" s="1" t="s">
        <v>714</v>
      </c>
      <c r="D3654" s="1" t="s">
        <v>715</v>
      </c>
      <c r="E3654" s="1" t="s">
        <v>382</v>
      </c>
      <c r="F3654" s="1" t="s">
        <v>383</v>
      </c>
      <c r="G3654" s="1" t="s">
        <v>390</v>
      </c>
      <c r="H3654" s="1">
        <v>498</v>
      </c>
      <c r="I3654" s="3">
        <v>46281</v>
      </c>
      <c r="L3654" s="31">
        <v>46281.544037962958</v>
      </c>
      <c r="M3654" s="20">
        <v>12</v>
      </c>
      <c r="N3654" s="1">
        <v>166</v>
      </c>
    </row>
    <row r="3655" spans="1:14" x14ac:dyDescent="0.25">
      <c r="A3655" t="str">
        <f t="shared" si="116"/>
        <v>78752867875286</v>
      </c>
      <c r="B3655" t="str">
        <f t="shared" si="117"/>
        <v>7875286M5742IX-D</v>
      </c>
      <c r="C3655" s="1" t="s">
        <v>487</v>
      </c>
      <c r="D3655" s="1" t="s">
        <v>715</v>
      </c>
      <c r="E3655" s="1" t="s">
        <v>382</v>
      </c>
      <c r="F3655" s="1" t="s">
        <v>383</v>
      </c>
      <c r="G3655" s="1" t="s">
        <v>390</v>
      </c>
      <c r="H3655" s="1">
        <v>1668</v>
      </c>
      <c r="I3655" s="3">
        <v>46281</v>
      </c>
      <c r="L3655" s="31">
        <v>46281.548508993052</v>
      </c>
      <c r="M3655" s="20">
        <v>12</v>
      </c>
      <c r="N3655" s="1">
        <v>128</v>
      </c>
    </row>
    <row r="3656" spans="1:14" x14ac:dyDescent="0.25">
      <c r="A3656" t="str">
        <f t="shared" si="116"/>
        <v>78752867875286</v>
      </c>
      <c r="B3656" t="str">
        <f t="shared" si="117"/>
        <v>7875286M5742IX-D</v>
      </c>
      <c r="C3656" s="1" t="s">
        <v>487</v>
      </c>
      <c r="D3656" s="1" t="s">
        <v>715</v>
      </c>
      <c r="E3656" s="1" t="s">
        <v>382</v>
      </c>
      <c r="F3656" s="1" t="s">
        <v>383</v>
      </c>
      <c r="G3656" s="1" t="s">
        <v>390</v>
      </c>
      <c r="H3656" s="1">
        <v>1668</v>
      </c>
      <c r="I3656" s="3">
        <v>46281</v>
      </c>
      <c r="L3656" s="31">
        <v>46281.552412002311</v>
      </c>
      <c r="M3656" s="20">
        <v>12</v>
      </c>
      <c r="N3656" s="1">
        <v>93</v>
      </c>
    </row>
    <row r="3657" spans="1:14" x14ac:dyDescent="0.25">
      <c r="A3657" t="str">
        <f t="shared" si="116"/>
        <v>78752867875286</v>
      </c>
      <c r="B3657" t="str">
        <f t="shared" si="117"/>
        <v>7875286M5742IX-2E</v>
      </c>
      <c r="C3657" s="1" t="s">
        <v>714</v>
      </c>
      <c r="D3657" s="1" t="s">
        <v>715</v>
      </c>
      <c r="E3657" s="1" t="s">
        <v>382</v>
      </c>
      <c r="F3657" s="1" t="s">
        <v>383</v>
      </c>
      <c r="G3657" s="1" t="s">
        <v>390</v>
      </c>
      <c r="H3657" s="1">
        <v>498</v>
      </c>
      <c r="I3657" s="3">
        <v>46281</v>
      </c>
      <c r="L3657" s="31">
        <v>46281.552635914348</v>
      </c>
      <c r="M3657" s="20">
        <v>12</v>
      </c>
      <c r="N3657" s="1">
        <v>151</v>
      </c>
    </row>
    <row r="3658" spans="1:14" x14ac:dyDescent="0.25">
      <c r="A3658" t="str">
        <f t="shared" si="116"/>
        <v>78752867875286</v>
      </c>
      <c r="B3658" t="str">
        <f t="shared" si="117"/>
        <v>7875286M5742IX-2E</v>
      </c>
      <c r="C3658" s="1" t="s">
        <v>714</v>
      </c>
      <c r="D3658" s="1" t="s">
        <v>715</v>
      </c>
      <c r="E3658" s="1" t="s">
        <v>382</v>
      </c>
      <c r="F3658" s="1" t="s">
        <v>383</v>
      </c>
      <c r="G3658" s="1" t="s">
        <v>390</v>
      </c>
      <c r="H3658" s="1">
        <v>498</v>
      </c>
      <c r="I3658" s="3">
        <v>46281</v>
      </c>
      <c r="L3658" s="31">
        <v>46281.567024456017</v>
      </c>
      <c r="M3658" s="20">
        <v>12</v>
      </c>
      <c r="N3658" s="1">
        <v>144</v>
      </c>
    </row>
    <row r="3659" spans="1:14" x14ac:dyDescent="0.25">
      <c r="A3659" t="str">
        <f t="shared" si="116"/>
        <v>78752867875286</v>
      </c>
      <c r="B3659" t="str">
        <f t="shared" si="117"/>
        <v>7875286M5742IX-2E</v>
      </c>
      <c r="C3659" s="1" t="s">
        <v>714</v>
      </c>
      <c r="D3659" s="1" t="s">
        <v>715</v>
      </c>
      <c r="E3659" s="1" t="s">
        <v>382</v>
      </c>
      <c r="F3659" s="1" t="s">
        <v>383</v>
      </c>
      <c r="G3659" s="1" t="s">
        <v>390</v>
      </c>
      <c r="H3659" s="1">
        <v>498</v>
      </c>
      <c r="I3659" s="3">
        <v>46281</v>
      </c>
      <c r="L3659" s="31">
        <v>46281.567313738422</v>
      </c>
      <c r="M3659" s="20">
        <v>12</v>
      </c>
      <c r="N3659" s="1">
        <v>145</v>
      </c>
    </row>
    <row r="3660" spans="1:14" x14ac:dyDescent="0.25">
      <c r="A3660" t="str">
        <f t="shared" si="116"/>
        <v>78752867875286</v>
      </c>
      <c r="B3660" t="str">
        <f t="shared" si="117"/>
        <v>7875286M5742IX-D</v>
      </c>
      <c r="C3660" s="1" t="s">
        <v>487</v>
      </c>
      <c r="D3660" s="1" t="s">
        <v>715</v>
      </c>
      <c r="E3660" s="1" t="s">
        <v>382</v>
      </c>
      <c r="F3660" s="1" t="s">
        <v>383</v>
      </c>
      <c r="G3660" s="1" t="s">
        <v>390</v>
      </c>
      <c r="H3660" s="1">
        <v>1668</v>
      </c>
      <c r="I3660" s="3">
        <v>46281</v>
      </c>
      <c r="L3660" s="31">
        <v>46281.570153090273</v>
      </c>
      <c r="M3660" s="20">
        <v>12</v>
      </c>
      <c r="N3660" s="1">
        <v>76</v>
      </c>
    </row>
    <row r="3661" spans="1:14" x14ac:dyDescent="0.25">
      <c r="A3661" t="str">
        <f t="shared" si="116"/>
        <v>78752867875286</v>
      </c>
      <c r="B3661" t="str">
        <f t="shared" si="117"/>
        <v>7875286M5742IX-D</v>
      </c>
      <c r="C3661" s="1" t="s">
        <v>487</v>
      </c>
      <c r="D3661" s="1" t="s">
        <v>715</v>
      </c>
      <c r="E3661" s="1" t="s">
        <v>382</v>
      </c>
      <c r="F3661" s="1" t="s">
        <v>383</v>
      </c>
      <c r="G3661" s="1" t="s">
        <v>390</v>
      </c>
      <c r="H3661" s="1">
        <v>1668</v>
      </c>
      <c r="I3661" s="3">
        <v>46281</v>
      </c>
      <c r="L3661" s="31">
        <v>46281.57116890046</v>
      </c>
      <c r="M3661" s="20">
        <v>12</v>
      </c>
      <c r="N3661" s="1">
        <v>134</v>
      </c>
    </row>
    <row r="3662" spans="1:14" x14ac:dyDescent="0.25">
      <c r="A3662" t="str">
        <f t="shared" si="116"/>
        <v>78752867875286</v>
      </c>
      <c r="B3662" t="str">
        <f t="shared" si="117"/>
        <v>7875286M5742IX-D</v>
      </c>
      <c r="C3662" s="1" t="s">
        <v>487</v>
      </c>
      <c r="D3662" s="1" t="s">
        <v>715</v>
      </c>
      <c r="E3662" s="1" t="s">
        <v>382</v>
      </c>
      <c r="F3662" s="1" t="s">
        <v>383</v>
      </c>
      <c r="G3662" s="1" t="s">
        <v>390</v>
      </c>
      <c r="H3662" s="1">
        <v>1668</v>
      </c>
      <c r="I3662" s="3">
        <v>46281</v>
      </c>
      <c r="L3662" s="31">
        <v>46281.571404942129</v>
      </c>
      <c r="M3662" s="20">
        <v>12</v>
      </c>
      <c r="N3662" s="1">
        <v>39</v>
      </c>
    </row>
    <row r="3663" spans="1:14" x14ac:dyDescent="0.25">
      <c r="A3663" t="str">
        <f t="shared" si="116"/>
        <v>78752867875286</v>
      </c>
      <c r="B3663" t="str">
        <f t="shared" si="117"/>
        <v>7875286M5742IX-D</v>
      </c>
      <c r="C3663" s="1" t="s">
        <v>487</v>
      </c>
      <c r="D3663" s="1" t="s">
        <v>715</v>
      </c>
      <c r="E3663" s="1" t="s">
        <v>382</v>
      </c>
      <c r="F3663" s="1" t="s">
        <v>383</v>
      </c>
      <c r="G3663" s="1" t="s">
        <v>390</v>
      </c>
      <c r="H3663" s="1">
        <v>1668</v>
      </c>
      <c r="I3663" s="3">
        <v>46281</v>
      </c>
      <c r="L3663" s="31">
        <v>46281.571761805557</v>
      </c>
      <c r="M3663" s="20">
        <v>12</v>
      </c>
      <c r="N3663" s="1">
        <v>129</v>
      </c>
    </row>
    <row r="3664" spans="1:14" x14ac:dyDescent="0.25">
      <c r="A3664" t="str">
        <f t="shared" si="116"/>
        <v>78752867875286</v>
      </c>
      <c r="B3664" t="str">
        <f t="shared" si="117"/>
        <v>7875286M5742IX-D</v>
      </c>
      <c r="C3664" s="1" t="s">
        <v>487</v>
      </c>
      <c r="D3664" s="1" t="s">
        <v>715</v>
      </c>
      <c r="E3664" s="1" t="s">
        <v>382</v>
      </c>
      <c r="F3664" s="1" t="s">
        <v>383</v>
      </c>
      <c r="G3664" s="1" t="s">
        <v>390</v>
      </c>
      <c r="H3664" s="1">
        <v>1668</v>
      </c>
      <c r="I3664" s="3">
        <v>46281</v>
      </c>
      <c r="L3664" s="31">
        <v>46281.574157835646</v>
      </c>
      <c r="M3664" s="20">
        <v>12</v>
      </c>
      <c r="N3664" s="1">
        <v>107</v>
      </c>
    </row>
    <row r="3665" spans="1:14" x14ac:dyDescent="0.25">
      <c r="A3665" t="str">
        <f t="shared" si="116"/>
        <v>78752867875286</v>
      </c>
      <c r="B3665" t="str">
        <f t="shared" si="117"/>
        <v>7875286M5742IX-D</v>
      </c>
      <c r="C3665" s="1" t="s">
        <v>487</v>
      </c>
      <c r="D3665" s="1" t="s">
        <v>715</v>
      </c>
      <c r="E3665" s="1" t="s">
        <v>382</v>
      </c>
      <c r="F3665" s="1" t="s">
        <v>383</v>
      </c>
      <c r="G3665" s="1" t="s">
        <v>390</v>
      </c>
      <c r="H3665" s="1">
        <v>1668</v>
      </c>
      <c r="I3665" s="3">
        <v>46281</v>
      </c>
      <c r="L3665" s="31">
        <v>46281.575633796296</v>
      </c>
      <c r="M3665" s="20">
        <v>12</v>
      </c>
      <c r="N3665" s="1">
        <v>94</v>
      </c>
    </row>
    <row r="3666" spans="1:14" x14ac:dyDescent="0.25">
      <c r="A3666" t="str">
        <f t="shared" si="116"/>
        <v>78752867875286</v>
      </c>
      <c r="B3666" t="str">
        <f t="shared" si="117"/>
        <v>7875286M5742IX-2E</v>
      </c>
      <c r="C3666" s="1" t="s">
        <v>714</v>
      </c>
      <c r="D3666" s="1" t="s">
        <v>715</v>
      </c>
      <c r="E3666" s="1" t="s">
        <v>382</v>
      </c>
      <c r="F3666" s="1" t="s">
        <v>383</v>
      </c>
      <c r="G3666" s="1" t="s">
        <v>390</v>
      </c>
      <c r="H3666" s="1">
        <v>498</v>
      </c>
      <c r="I3666" s="3">
        <v>46281</v>
      </c>
      <c r="L3666" s="31">
        <v>46281.577375960645</v>
      </c>
      <c r="M3666" s="20">
        <v>12</v>
      </c>
      <c r="N3666" s="1">
        <v>143</v>
      </c>
    </row>
    <row r="3667" spans="1:14" x14ac:dyDescent="0.25">
      <c r="A3667" t="str">
        <f t="shared" si="116"/>
        <v>78752867875286</v>
      </c>
      <c r="B3667" t="str">
        <f t="shared" si="117"/>
        <v>7875286M5742IX-D</v>
      </c>
      <c r="C3667" s="1" t="s">
        <v>487</v>
      </c>
      <c r="D3667" s="1" t="s">
        <v>715</v>
      </c>
      <c r="E3667" s="1" t="s">
        <v>382</v>
      </c>
      <c r="F3667" s="1" t="s">
        <v>383</v>
      </c>
      <c r="G3667" s="1" t="s">
        <v>390</v>
      </c>
      <c r="H3667" s="1">
        <v>1668</v>
      </c>
      <c r="I3667" s="3">
        <v>46281</v>
      </c>
      <c r="L3667" s="31">
        <v>46281.592015740738</v>
      </c>
      <c r="M3667" s="20">
        <v>12</v>
      </c>
      <c r="N3667" s="1">
        <v>55</v>
      </c>
    </row>
    <row r="3668" spans="1:14" x14ac:dyDescent="0.25">
      <c r="A3668" t="str">
        <f t="shared" si="116"/>
        <v>78752867875286</v>
      </c>
      <c r="B3668" t="str">
        <f t="shared" si="117"/>
        <v>7875286M5742IX-D</v>
      </c>
      <c r="C3668" s="1" t="s">
        <v>487</v>
      </c>
      <c r="D3668" s="1" t="s">
        <v>715</v>
      </c>
      <c r="E3668" s="1" t="s">
        <v>382</v>
      </c>
      <c r="F3668" s="1" t="s">
        <v>383</v>
      </c>
      <c r="G3668" s="1" t="s">
        <v>390</v>
      </c>
      <c r="H3668" s="1">
        <v>1668</v>
      </c>
      <c r="I3668" s="3">
        <v>46281</v>
      </c>
      <c r="L3668" s="31">
        <v>46281.59236894676</v>
      </c>
      <c r="M3668" s="20">
        <v>12</v>
      </c>
      <c r="N3668" s="1">
        <v>119</v>
      </c>
    </row>
    <row r="3669" spans="1:14" x14ac:dyDescent="0.25">
      <c r="A3669" t="str">
        <f t="shared" si="116"/>
        <v>78752867875286</v>
      </c>
      <c r="B3669" t="str">
        <f t="shared" si="117"/>
        <v>7875286M5742IX-2E</v>
      </c>
      <c r="C3669" s="1" t="s">
        <v>714</v>
      </c>
      <c r="D3669" s="1" t="s">
        <v>715</v>
      </c>
      <c r="E3669" s="1" t="s">
        <v>382</v>
      </c>
      <c r="F3669" s="1" t="s">
        <v>383</v>
      </c>
      <c r="G3669" s="1" t="s">
        <v>390</v>
      </c>
      <c r="H3669" s="1">
        <v>498</v>
      </c>
      <c r="I3669" s="3">
        <v>46281</v>
      </c>
      <c r="L3669" s="31">
        <v>46281.593176967588</v>
      </c>
      <c r="M3669" s="20">
        <v>12</v>
      </c>
      <c r="N3669" s="1">
        <v>148</v>
      </c>
    </row>
    <row r="3670" spans="1:14" x14ac:dyDescent="0.25">
      <c r="A3670" t="str">
        <f t="shared" si="116"/>
        <v>78752867875286</v>
      </c>
      <c r="B3670" t="str">
        <f t="shared" si="117"/>
        <v>7875286M5742IX-2E</v>
      </c>
      <c r="C3670" s="1" t="s">
        <v>714</v>
      </c>
      <c r="D3670" s="1" t="s">
        <v>715</v>
      </c>
      <c r="E3670" s="1" t="s">
        <v>382</v>
      </c>
      <c r="F3670" s="1" t="s">
        <v>383</v>
      </c>
      <c r="G3670" s="1" t="s">
        <v>390</v>
      </c>
      <c r="H3670" s="1">
        <v>498</v>
      </c>
      <c r="I3670" s="3">
        <v>46281</v>
      </c>
      <c r="L3670" s="31">
        <v>46281.593485069439</v>
      </c>
      <c r="M3670" s="20">
        <v>12</v>
      </c>
      <c r="N3670" s="1">
        <v>170</v>
      </c>
    </row>
    <row r="3671" spans="1:14" x14ac:dyDescent="0.25">
      <c r="A3671" t="str">
        <f t="shared" si="116"/>
        <v>78752867875286</v>
      </c>
      <c r="B3671" t="str">
        <f t="shared" si="117"/>
        <v>7875286M5742IX-D</v>
      </c>
      <c r="C3671" s="1" t="s">
        <v>487</v>
      </c>
      <c r="D3671" s="1" t="s">
        <v>715</v>
      </c>
      <c r="E3671" s="1" t="s">
        <v>382</v>
      </c>
      <c r="F3671" s="1" t="s">
        <v>383</v>
      </c>
      <c r="G3671" s="1" t="s">
        <v>390</v>
      </c>
      <c r="H3671" s="1">
        <v>1668</v>
      </c>
      <c r="I3671" s="3">
        <v>46281</v>
      </c>
      <c r="L3671" s="31">
        <v>46281.623166585647</v>
      </c>
      <c r="M3671" s="20">
        <v>12</v>
      </c>
      <c r="N3671" s="1">
        <v>95</v>
      </c>
    </row>
    <row r="3672" spans="1:14" x14ac:dyDescent="0.25">
      <c r="A3672" t="str">
        <f t="shared" si="116"/>
        <v>78752867875286</v>
      </c>
      <c r="B3672" t="str">
        <f t="shared" si="117"/>
        <v>7875286M5742IX-2E</v>
      </c>
      <c r="C3672" s="1" t="s">
        <v>714</v>
      </c>
      <c r="D3672" s="1" t="s">
        <v>715</v>
      </c>
      <c r="E3672" s="1" t="s">
        <v>382</v>
      </c>
      <c r="F3672" s="1" t="s">
        <v>383</v>
      </c>
      <c r="G3672" s="1" t="s">
        <v>390</v>
      </c>
      <c r="H3672" s="1">
        <v>498</v>
      </c>
      <c r="I3672" s="3">
        <v>46281</v>
      </c>
      <c r="L3672" s="31">
        <v>46281.638758564812</v>
      </c>
      <c r="M3672" s="20">
        <v>12</v>
      </c>
      <c r="N3672" s="1">
        <v>152</v>
      </c>
    </row>
    <row r="3673" spans="1:14" x14ac:dyDescent="0.25">
      <c r="A3673" t="str">
        <f t="shared" si="116"/>
        <v>78752867875286</v>
      </c>
      <c r="B3673" t="str">
        <f t="shared" si="117"/>
        <v>7875286M5742IX-2E</v>
      </c>
      <c r="C3673" s="1" t="s">
        <v>714</v>
      </c>
      <c r="D3673" s="1" t="s">
        <v>715</v>
      </c>
      <c r="E3673" s="1" t="s">
        <v>382</v>
      </c>
      <c r="F3673" s="1" t="s">
        <v>383</v>
      </c>
      <c r="G3673" s="1" t="s">
        <v>390</v>
      </c>
      <c r="H3673" s="1">
        <v>498</v>
      </c>
      <c r="I3673" s="3">
        <v>46281</v>
      </c>
      <c r="L3673" s="31">
        <v>46281.665030821758</v>
      </c>
      <c r="M3673" s="20">
        <v>12</v>
      </c>
      <c r="N3673" s="1">
        <v>162</v>
      </c>
    </row>
    <row r="3674" spans="1:14" x14ac:dyDescent="0.25">
      <c r="A3674" t="str">
        <f t="shared" si="116"/>
        <v>78752867875286</v>
      </c>
      <c r="B3674" t="str">
        <f t="shared" si="117"/>
        <v>7875286M5742IX-2E</v>
      </c>
      <c r="C3674" s="1" t="s">
        <v>714</v>
      </c>
      <c r="D3674" s="1" t="s">
        <v>715</v>
      </c>
      <c r="E3674" s="1" t="s">
        <v>382</v>
      </c>
      <c r="F3674" s="1" t="s">
        <v>383</v>
      </c>
      <c r="G3674" s="1" t="s">
        <v>390</v>
      </c>
      <c r="H3674" s="1">
        <v>498</v>
      </c>
      <c r="I3674" s="3">
        <v>46281</v>
      </c>
      <c r="L3674" s="31">
        <v>46281.665404629624</v>
      </c>
      <c r="M3674" s="20">
        <v>12</v>
      </c>
      <c r="N3674" s="1">
        <v>167</v>
      </c>
    </row>
    <row r="3675" spans="1:14" x14ac:dyDescent="0.25">
      <c r="A3675" t="str">
        <f t="shared" si="116"/>
        <v>78752867875286</v>
      </c>
      <c r="B3675" t="str">
        <f t="shared" si="117"/>
        <v>7875286M5742IX-D</v>
      </c>
      <c r="C3675" s="1" t="s">
        <v>487</v>
      </c>
      <c r="D3675" s="1" t="s">
        <v>715</v>
      </c>
      <c r="E3675" s="1" t="s">
        <v>382</v>
      </c>
      <c r="F3675" s="1" t="s">
        <v>383</v>
      </c>
      <c r="G3675" s="1" t="s">
        <v>390</v>
      </c>
      <c r="H3675" s="1">
        <v>1668</v>
      </c>
      <c r="I3675" s="3">
        <v>46281</v>
      </c>
      <c r="L3675" s="31">
        <v>46281.665760798613</v>
      </c>
      <c r="M3675" s="20">
        <v>12</v>
      </c>
      <c r="N3675" s="1">
        <v>77</v>
      </c>
    </row>
    <row r="3676" spans="1:14" x14ac:dyDescent="0.25">
      <c r="A3676" t="str">
        <f t="shared" si="116"/>
        <v>78752867875286</v>
      </c>
      <c r="B3676" t="str">
        <f t="shared" si="117"/>
        <v>7875286M5742IX-D</v>
      </c>
      <c r="C3676" s="1" t="s">
        <v>487</v>
      </c>
      <c r="D3676" s="1" t="s">
        <v>715</v>
      </c>
      <c r="E3676" s="1" t="s">
        <v>382</v>
      </c>
      <c r="F3676" s="1" t="s">
        <v>383</v>
      </c>
      <c r="G3676" s="1" t="s">
        <v>390</v>
      </c>
      <c r="H3676" s="1">
        <v>1668</v>
      </c>
      <c r="I3676" s="3">
        <v>46281</v>
      </c>
      <c r="L3676" s="31">
        <v>46281.674324803236</v>
      </c>
      <c r="M3676" s="20">
        <v>12</v>
      </c>
      <c r="N3676" s="1">
        <v>120</v>
      </c>
    </row>
    <row r="3677" spans="1:14" x14ac:dyDescent="0.25">
      <c r="A3677" t="str">
        <f t="shared" si="116"/>
        <v>78752867875286</v>
      </c>
      <c r="B3677" t="str">
        <f t="shared" si="117"/>
        <v>7875286M5742IX-D</v>
      </c>
      <c r="C3677" s="1" t="s">
        <v>487</v>
      </c>
      <c r="D3677" s="1" t="s">
        <v>715</v>
      </c>
      <c r="E3677" s="1" t="s">
        <v>382</v>
      </c>
      <c r="F3677" s="1" t="s">
        <v>383</v>
      </c>
      <c r="G3677" s="1" t="s">
        <v>390</v>
      </c>
      <c r="H3677" s="1">
        <v>1668</v>
      </c>
      <c r="I3677" s="3">
        <v>46281</v>
      </c>
      <c r="L3677" s="31">
        <v>46281.676340393518</v>
      </c>
      <c r="M3677" s="20">
        <v>12</v>
      </c>
      <c r="N3677" s="1">
        <v>135</v>
      </c>
    </row>
    <row r="3678" spans="1:14" x14ac:dyDescent="0.25">
      <c r="A3678" t="str">
        <f t="shared" si="116"/>
        <v>78752867875286</v>
      </c>
      <c r="B3678" t="str">
        <f t="shared" si="117"/>
        <v>7875286M5742IX-2E</v>
      </c>
      <c r="C3678" s="1" t="s">
        <v>714</v>
      </c>
      <c r="D3678" s="1" t="s">
        <v>715</v>
      </c>
      <c r="E3678" s="1" t="s">
        <v>382</v>
      </c>
      <c r="F3678" s="1" t="s">
        <v>383</v>
      </c>
      <c r="G3678" s="1" t="s">
        <v>390</v>
      </c>
      <c r="H3678" s="1">
        <v>498</v>
      </c>
      <c r="I3678" s="3">
        <v>46281</v>
      </c>
      <c r="L3678" s="31">
        <v>46281.677732523145</v>
      </c>
      <c r="M3678" s="20">
        <v>12</v>
      </c>
      <c r="N3678" s="1">
        <v>174</v>
      </c>
    </row>
    <row r="3679" spans="1:14" x14ac:dyDescent="0.25">
      <c r="A3679" t="str">
        <f t="shared" si="116"/>
        <v>78752867875286</v>
      </c>
      <c r="B3679" t="str">
        <f t="shared" si="117"/>
        <v>7875286M5742IX-D</v>
      </c>
      <c r="C3679" s="1" t="s">
        <v>487</v>
      </c>
      <c r="D3679" s="1" t="s">
        <v>715</v>
      </c>
      <c r="E3679" s="1" t="s">
        <v>382</v>
      </c>
      <c r="F3679" s="1" t="s">
        <v>383</v>
      </c>
      <c r="G3679" s="1" t="s">
        <v>390</v>
      </c>
      <c r="H3679" s="1">
        <v>1668</v>
      </c>
      <c r="I3679" s="3">
        <v>46281</v>
      </c>
      <c r="L3679" s="31">
        <v>46281.682498113427</v>
      </c>
      <c r="M3679" s="20">
        <v>12</v>
      </c>
      <c r="N3679" s="1">
        <v>57</v>
      </c>
    </row>
    <row r="3680" spans="1:14" x14ac:dyDescent="0.25">
      <c r="A3680" t="str">
        <f t="shared" si="116"/>
        <v>78752867875286</v>
      </c>
      <c r="B3680" t="str">
        <f t="shared" si="117"/>
        <v>7875286M5742IX-2E</v>
      </c>
      <c r="C3680" s="1" t="s">
        <v>714</v>
      </c>
      <c r="D3680" s="1" t="s">
        <v>715</v>
      </c>
      <c r="E3680" s="1" t="s">
        <v>382</v>
      </c>
      <c r="F3680" s="1" t="s">
        <v>383</v>
      </c>
      <c r="G3680" s="1" t="s">
        <v>390</v>
      </c>
      <c r="H3680" s="1">
        <v>498</v>
      </c>
      <c r="I3680" s="3">
        <v>46281</v>
      </c>
      <c r="L3680" s="31">
        <v>46281.685939849536</v>
      </c>
      <c r="M3680" s="20">
        <v>12</v>
      </c>
      <c r="N3680" s="1">
        <v>157</v>
      </c>
    </row>
    <row r="3681" spans="1:14" x14ac:dyDescent="0.25">
      <c r="A3681" t="str">
        <f t="shared" si="116"/>
        <v>78752867875286</v>
      </c>
      <c r="B3681" t="str">
        <f t="shared" si="117"/>
        <v>7875286M5742IX-2E</v>
      </c>
      <c r="C3681" s="1" t="s">
        <v>714</v>
      </c>
      <c r="D3681" s="1" t="s">
        <v>715</v>
      </c>
      <c r="E3681" s="1" t="s">
        <v>382</v>
      </c>
      <c r="F3681" s="1" t="s">
        <v>383</v>
      </c>
      <c r="G3681" s="1" t="s">
        <v>390</v>
      </c>
      <c r="H3681" s="1">
        <v>498</v>
      </c>
      <c r="I3681" s="3">
        <v>46281</v>
      </c>
      <c r="L3681" s="31">
        <v>46281.686266666664</v>
      </c>
      <c r="M3681" s="20">
        <v>12</v>
      </c>
      <c r="N3681" s="1">
        <v>171</v>
      </c>
    </row>
    <row r="3682" spans="1:14" x14ac:dyDescent="0.25">
      <c r="A3682" t="str">
        <f t="shared" si="116"/>
        <v>78752867875286</v>
      </c>
      <c r="B3682" t="str">
        <f t="shared" si="117"/>
        <v>7875286M5742IX-D</v>
      </c>
      <c r="C3682" s="1" t="s">
        <v>487</v>
      </c>
      <c r="D3682" s="1" t="s">
        <v>715</v>
      </c>
      <c r="E3682" s="1" t="s">
        <v>382</v>
      </c>
      <c r="F3682" s="1" t="s">
        <v>383</v>
      </c>
      <c r="G3682" s="1" t="s">
        <v>390</v>
      </c>
      <c r="H3682" s="1">
        <v>1668</v>
      </c>
      <c r="I3682" s="3">
        <v>46281</v>
      </c>
      <c r="L3682" s="31">
        <v>46281.686610682867</v>
      </c>
      <c r="M3682" s="20">
        <v>12</v>
      </c>
      <c r="N3682" s="1">
        <v>109</v>
      </c>
    </row>
    <row r="3683" spans="1:14" x14ac:dyDescent="0.25">
      <c r="A3683" t="str">
        <f t="shared" si="116"/>
        <v>78752867875286</v>
      </c>
      <c r="B3683" t="str">
        <f t="shared" si="117"/>
        <v>7875286M5742IX-D</v>
      </c>
      <c r="C3683" s="1" t="s">
        <v>487</v>
      </c>
      <c r="D3683" s="1" t="s">
        <v>715</v>
      </c>
      <c r="E3683" s="1" t="s">
        <v>382</v>
      </c>
      <c r="F3683" s="1" t="s">
        <v>383</v>
      </c>
      <c r="G3683" s="1" t="s">
        <v>390</v>
      </c>
      <c r="H3683" s="1">
        <v>1668</v>
      </c>
      <c r="I3683" s="3">
        <v>46281</v>
      </c>
      <c r="L3683" s="31">
        <v>46281.689257488426</v>
      </c>
      <c r="M3683" s="20">
        <v>12</v>
      </c>
      <c r="N3683" s="1">
        <v>108</v>
      </c>
    </row>
    <row r="3684" spans="1:14" x14ac:dyDescent="0.25">
      <c r="A3684" t="str">
        <f t="shared" si="116"/>
        <v>78752867875286</v>
      </c>
      <c r="B3684" t="str">
        <f t="shared" si="117"/>
        <v>7875286M5742IX-D</v>
      </c>
      <c r="C3684" s="1" t="s">
        <v>487</v>
      </c>
      <c r="D3684" s="1" t="s">
        <v>715</v>
      </c>
      <c r="E3684" s="1" t="s">
        <v>382</v>
      </c>
      <c r="F3684" s="1" t="s">
        <v>383</v>
      </c>
      <c r="G3684" s="1" t="s">
        <v>390</v>
      </c>
      <c r="H3684" s="1">
        <v>1668</v>
      </c>
      <c r="I3684" s="3">
        <v>46281</v>
      </c>
      <c r="L3684" s="31">
        <v>46281.689891747686</v>
      </c>
      <c r="M3684" s="20">
        <v>12</v>
      </c>
      <c r="N3684" s="1">
        <v>41</v>
      </c>
    </row>
    <row r="3685" spans="1:14" x14ac:dyDescent="0.25">
      <c r="A3685" t="str">
        <f t="shared" si="116"/>
        <v>78752867875286</v>
      </c>
      <c r="B3685" t="str">
        <f t="shared" si="117"/>
        <v>7875286M5742IX-D</v>
      </c>
      <c r="C3685" s="1" t="s">
        <v>487</v>
      </c>
      <c r="D3685" s="1" t="s">
        <v>715</v>
      </c>
      <c r="E3685" s="1" t="s">
        <v>382</v>
      </c>
      <c r="F3685" s="1" t="s">
        <v>383</v>
      </c>
      <c r="G3685" s="1" t="s">
        <v>390</v>
      </c>
      <c r="H3685" s="1">
        <v>1668</v>
      </c>
      <c r="I3685" s="3">
        <v>46281</v>
      </c>
      <c r="L3685" s="31">
        <v>46281.691113506946</v>
      </c>
      <c r="M3685" s="20">
        <v>12</v>
      </c>
      <c r="N3685" s="1">
        <v>127</v>
      </c>
    </row>
    <row r="3686" spans="1:14" x14ac:dyDescent="0.25">
      <c r="A3686" t="str">
        <f t="shared" si="116"/>
        <v>78752867875286</v>
      </c>
      <c r="B3686" t="str">
        <f t="shared" si="117"/>
        <v>7875286M5742IX-2E</v>
      </c>
      <c r="C3686" s="1" t="s">
        <v>714</v>
      </c>
      <c r="D3686" s="1" t="s">
        <v>715</v>
      </c>
      <c r="E3686" s="1" t="s">
        <v>382</v>
      </c>
      <c r="F3686" s="1" t="s">
        <v>383</v>
      </c>
      <c r="G3686" s="1" t="s">
        <v>390</v>
      </c>
      <c r="H3686" s="1">
        <v>498</v>
      </c>
      <c r="I3686" s="3">
        <v>46281</v>
      </c>
      <c r="L3686" s="31">
        <v>46281.692805439816</v>
      </c>
      <c r="M3686" s="20">
        <v>12</v>
      </c>
      <c r="N3686" s="1">
        <v>149</v>
      </c>
    </row>
    <row r="3687" spans="1:14" x14ac:dyDescent="0.25">
      <c r="A3687" t="str">
        <f t="shared" si="116"/>
        <v>78752867875286</v>
      </c>
      <c r="B3687" t="str">
        <f t="shared" si="117"/>
        <v>7875286M5742IX-D</v>
      </c>
      <c r="C3687" s="1" t="s">
        <v>487</v>
      </c>
      <c r="D3687" s="1" t="s">
        <v>715</v>
      </c>
      <c r="E3687" s="1" t="s">
        <v>382</v>
      </c>
      <c r="F3687" s="1" t="s">
        <v>383</v>
      </c>
      <c r="G3687" s="1" t="s">
        <v>390</v>
      </c>
      <c r="H3687" s="1">
        <v>1668</v>
      </c>
      <c r="I3687" s="3">
        <v>46281</v>
      </c>
      <c r="L3687" s="31">
        <v>46281.694375196756</v>
      </c>
      <c r="M3687" s="20">
        <v>12</v>
      </c>
      <c r="N3687" s="1">
        <v>96</v>
      </c>
    </row>
    <row r="3688" spans="1:14" x14ac:dyDescent="0.25">
      <c r="A3688" t="str">
        <f t="shared" si="116"/>
        <v>78752867875286</v>
      </c>
      <c r="B3688" t="str">
        <f t="shared" si="117"/>
        <v>7875286M5742IX-D</v>
      </c>
      <c r="C3688" s="1" t="s">
        <v>487</v>
      </c>
      <c r="D3688" s="1" t="s">
        <v>715</v>
      </c>
      <c r="E3688" s="1" t="s">
        <v>382</v>
      </c>
      <c r="F3688" s="1" t="s">
        <v>383</v>
      </c>
      <c r="G3688" s="1" t="s">
        <v>390</v>
      </c>
      <c r="H3688" s="1">
        <v>1668</v>
      </c>
      <c r="I3688" s="3">
        <v>46281</v>
      </c>
      <c r="L3688" s="31">
        <v>46281.695435034722</v>
      </c>
      <c r="M3688" s="20">
        <v>12</v>
      </c>
      <c r="N3688" s="1">
        <v>121</v>
      </c>
    </row>
    <row r="3689" spans="1:14" x14ac:dyDescent="0.25">
      <c r="A3689" t="str">
        <f t="shared" si="116"/>
        <v>78752867875286</v>
      </c>
      <c r="B3689" t="str">
        <f t="shared" si="117"/>
        <v>7875286M5742IX-D</v>
      </c>
      <c r="C3689" s="1" t="s">
        <v>487</v>
      </c>
      <c r="D3689" s="1" t="s">
        <v>715</v>
      </c>
      <c r="E3689" s="1" t="s">
        <v>382</v>
      </c>
      <c r="F3689" s="1" t="s">
        <v>383</v>
      </c>
      <c r="G3689" s="1" t="s">
        <v>390</v>
      </c>
      <c r="H3689" s="1">
        <v>1668</v>
      </c>
      <c r="I3689" s="3">
        <v>46281</v>
      </c>
      <c r="L3689" s="31">
        <v>46281.696087418983</v>
      </c>
      <c r="M3689" s="20">
        <v>12</v>
      </c>
      <c r="N3689" s="1">
        <v>26</v>
      </c>
    </row>
    <row r="3690" spans="1:14" x14ac:dyDescent="0.25">
      <c r="A3690" t="str">
        <f t="shared" si="116"/>
        <v>78752867875286</v>
      </c>
      <c r="B3690" t="str">
        <f t="shared" si="117"/>
        <v>7875286M5742IX-D</v>
      </c>
      <c r="C3690" s="1" t="s">
        <v>487</v>
      </c>
      <c r="D3690" s="1" t="s">
        <v>715</v>
      </c>
      <c r="E3690" s="1" t="s">
        <v>382</v>
      </c>
      <c r="F3690" s="1" t="s">
        <v>383</v>
      </c>
      <c r="G3690" s="1" t="s">
        <v>390</v>
      </c>
      <c r="H3690" s="1">
        <v>1668</v>
      </c>
      <c r="I3690" s="3">
        <v>46281</v>
      </c>
      <c r="L3690" s="31">
        <v>46281.710289039351</v>
      </c>
      <c r="M3690" s="20">
        <v>12</v>
      </c>
      <c r="N3690" s="1">
        <v>40</v>
      </c>
    </row>
    <row r="3691" spans="1:14" x14ac:dyDescent="0.25">
      <c r="A3691" t="str">
        <f t="shared" si="116"/>
        <v>78752867875286</v>
      </c>
      <c r="B3691" t="str">
        <f t="shared" si="117"/>
        <v>7875286M5742IX-2E</v>
      </c>
      <c r="C3691" s="1" t="s">
        <v>714</v>
      </c>
      <c r="D3691" s="1" t="s">
        <v>715</v>
      </c>
      <c r="E3691" s="1" t="s">
        <v>382</v>
      </c>
      <c r="F3691" s="1" t="s">
        <v>383</v>
      </c>
      <c r="G3691" s="1" t="s">
        <v>390</v>
      </c>
      <c r="H3691" s="1">
        <v>498</v>
      </c>
      <c r="I3691" s="3">
        <v>46281</v>
      </c>
      <c r="L3691" s="31">
        <v>46281.710555358797</v>
      </c>
      <c r="M3691" s="20">
        <v>12</v>
      </c>
      <c r="N3691" s="1">
        <v>150</v>
      </c>
    </row>
    <row r="3692" spans="1:14" x14ac:dyDescent="0.25">
      <c r="A3692" t="str">
        <f t="shared" si="116"/>
        <v>78752867875286</v>
      </c>
      <c r="B3692" t="str">
        <f t="shared" si="117"/>
        <v>7875286M5742IX-D</v>
      </c>
      <c r="C3692" s="1" t="s">
        <v>487</v>
      </c>
      <c r="D3692" s="1" t="s">
        <v>715</v>
      </c>
      <c r="E3692" s="1" t="s">
        <v>382</v>
      </c>
      <c r="F3692" s="1" t="s">
        <v>383</v>
      </c>
      <c r="G3692" s="1" t="s">
        <v>390</v>
      </c>
      <c r="H3692" s="1">
        <v>1668</v>
      </c>
      <c r="I3692" s="3">
        <v>46281</v>
      </c>
      <c r="L3692" s="31">
        <v>46281.711705937501</v>
      </c>
      <c r="M3692" s="20">
        <v>12</v>
      </c>
      <c r="N3692" s="1">
        <v>58</v>
      </c>
    </row>
    <row r="3693" spans="1:14" x14ac:dyDescent="0.25">
      <c r="A3693" t="str">
        <f t="shared" si="116"/>
        <v>78752867875286</v>
      </c>
      <c r="B3693" t="str">
        <f t="shared" si="117"/>
        <v>7875286M5742IX-2E</v>
      </c>
      <c r="C3693" s="1" t="s">
        <v>714</v>
      </c>
      <c r="D3693" s="1" t="s">
        <v>715</v>
      </c>
      <c r="E3693" s="1" t="s">
        <v>382</v>
      </c>
      <c r="F3693" s="1" t="s">
        <v>383</v>
      </c>
      <c r="G3693" s="1" t="s">
        <v>390</v>
      </c>
      <c r="H3693" s="1">
        <v>498</v>
      </c>
      <c r="I3693" s="3">
        <v>46281</v>
      </c>
      <c r="L3693" s="31">
        <v>46281.716215277775</v>
      </c>
      <c r="M3693" s="20">
        <v>12</v>
      </c>
      <c r="N3693" s="1">
        <v>146</v>
      </c>
    </row>
    <row r="3694" spans="1:14" x14ac:dyDescent="0.25">
      <c r="A3694" t="str">
        <f t="shared" si="116"/>
        <v>78752867875286</v>
      </c>
      <c r="B3694" t="str">
        <f t="shared" si="117"/>
        <v>7875286M5742IX-2E</v>
      </c>
      <c r="C3694" s="1" t="s">
        <v>714</v>
      </c>
      <c r="D3694" s="1" t="s">
        <v>715</v>
      </c>
      <c r="E3694" s="1" t="s">
        <v>382</v>
      </c>
      <c r="F3694" s="1" t="s">
        <v>383</v>
      </c>
      <c r="G3694" s="1" t="s">
        <v>390</v>
      </c>
      <c r="H3694" s="1">
        <v>498</v>
      </c>
      <c r="I3694" s="3">
        <v>46281</v>
      </c>
      <c r="L3694" s="31">
        <v>46281.716710219902</v>
      </c>
      <c r="M3694" s="20">
        <v>12</v>
      </c>
      <c r="N3694" s="1">
        <v>153</v>
      </c>
    </row>
    <row r="3695" spans="1:14" x14ac:dyDescent="0.25">
      <c r="A3695" t="str">
        <f t="shared" si="116"/>
        <v>78752867875286</v>
      </c>
      <c r="B3695" t="str">
        <f t="shared" si="117"/>
        <v>7875286M5742IX-2E</v>
      </c>
      <c r="C3695" s="1" t="s">
        <v>714</v>
      </c>
      <c r="D3695" s="1" t="s">
        <v>715</v>
      </c>
      <c r="E3695" s="1" t="s">
        <v>382</v>
      </c>
      <c r="F3695" s="1" t="s">
        <v>383</v>
      </c>
      <c r="G3695" s="1" t="s">
        <v>390</v>
      </c>
      <c r="H3695" s="1">
        <v>498</v>
      </c>
      <c r="I3695" s="3">
        <v>46281</v>
      </c>
      <c r="L3695" s="31">
        <v>46281.71703043981</v>
      </c>
      <c r="M3695" s="20">
        <v>12</v>
      </c>
      <c r="N3695" s="1">
        <v>163</v>
      </c>
    </row>
    <row r="3696" spans="1:14" x14ac:dyDescent="0.25">
      <c r="A3696" t="str">
        <f t="shared" si="116"/>
        <v>78752867875286</v>
      </c>
      <c r="B3696" t="str">
        <f t="shared" si="117"/>
        <v>7875286M5742IX-2E</v>
      </c>
      <c r="C3696" s="1" t="s">
        <v>714</v>
      </c>
      <c r="D3696" s="1" t="s">
        <v>715</v>
      </c>
      <c r="E3696" s="1" t="s">
        <v>382</v>
      </c>
      <c r="F3696" s="1" t="s">
        <v>383</v>
      </c>
      <c r="G3696" s="1" t="s">
        <v>390</v>
      </c>
      <c r="H3696" s="1">
        <v>498</v>
      </c>
      <c r="I3696" s="3">
        <v>46281</v>
      </c>
      <c r="L3696" s="31">
        <v>46281.717831018519</v>
      </c>
      <c r="M3696" s="20">
        <v>12</v>
      </c>
      <c r="N3696" s="1">
        <v>168</v>
      </c>
    </row>
    <row r="3697" spans="1:14" x14ac:dyDescent="0.25">
      <c r="A3697" t="str">
        <f t="shared" si="116"/>
        <v>78752867875286</v>
      </c>
      <c r="B3697" t="str">
        <f t="shared" si="117"/>
        <v>7875286M5742IX-D</v>
      </c>
      <c r="C3697" s="1" t="s">
        <v>487</v>
      </c>
      <c r="D3697" s="1" t="s">
        <v>715</v>
      </c>
      <c r="E3697" s="1" t="s">
        <v>382</v>
      </c>
      <c r="F3697" s="1" t="s">
        <v>383</v>
      </c>
      <c r="G3697" s="1" t="s">
        <v>390</v>
      </c>
      <c r="H3697" s="1">
        <v>1668</v>
      </c>
      <c r="I3697" s="3">
        <v>46281</v>
      </c>
      <c r="L3697" s="31">
        <v>46281.718123495368</v>
      </c>
      <c r="M3697" s="20">
        <v>12</v>
      </c>
      <c r="N3697" s="1">
        <v>78</v>
      </c>
    </row>
    <row r="3698" spans="1:14" x14ac:dyDescent="0.25">
      <c r="A3698" t="str">
        <f t="shared" si="116"/>
        <v>78752867875286</v>
      </c>
      <c r="B3698" t="str">
        <f t="shared" si="117"/>
        <v>7875286M5742IX-D</v>
      </c>
      <c r="C3698" s="1" t="s">
        <v>487</v>
      </c>
      <c r="D3698" s="1" t="s">
        <v>715</v>
      </c>
      <c r="E3698" s="1" t="s">
        <v>382</v>
      </c>
      <c r="F3698" s="1" t="s">
        <v>383</v>
      </c>
      <c r="G3698" s="1" t="s">
        <v>390</v>
      </c>
      <c r="H3698" s="1">
        <v>1668</v>
      </c>
      <c r="I3698" s="3">
        <v>46281</v>
      </c>
      <c r="L3698" s="31">
        <v>46281.719192627315</v>
      </c>
      <c r="M3698" s="20">
        <v>12</v>
      </c>
      <c r="N3698" s="1">
        <v>56</v>
      </c>
    </row>
    <row r="3699" spans="1:14" x14ac:dyDescent="0.25">
      <c r="A3699" t="str">
        <f t="shared" si="116"/>
        <v>78752867875286</v>
      </c>
      <c r="B3699" t="str">
        <f t="shared" si="117"/>
        <v>7875286M5742IX-D</v>
      </c>
      <c r="C3699" s="1" t="s">
        <v>487</v>
      </c>
      <c r="D3699" s="1" t="s">
        <v>715</v>
      </c>
      <c r="E3699" s="1" t="s">
        <v>382</v>
      </c>
      <c r="F3699" s="1" t="s">
        <v>383</v>
      </c>
      <c r="G3699" s="1" t="s">
        <v>390</v>
      </c>
      <c r="H3699" s="1">
        <v>1668</v>
      </c>
      <c r="I3699" s="3">
        <v>46281</v>
      </c>
      <c r="L3699" s="31">
        <v>46281.722401076389</v>
      </c>
      <c r="M3699" s="20">
        <v>12</v>
      </c>
      <c r="N3699" s="1">
        <v>27</v>
      </c>
    </row>
    <row r="3700" spans="1:14" x14ac:dyDescent="0.25">
      <c r="A3700" t="str">
        <f t="shared" si="116"/>
        <v>78752867875286</v>
      </c>
      <c r="B3700" t="str">
        <f t="shared" si="117"/>
        <v>7875286M5742IX-2E</v>
      </c>
      <c r="C3700" s="1" t="s">
        <v>714</v>
      </c>
      <c r="D3700" s="1" t="s">
        <v>715</v>
      </c>
      <c r="E3700" s="1" t="s">
        <v>382</v>
      </c>
      <c r="F3700" s="1" t="s">
        <v>383</v>
      </c>
      <c r="G3700" s="1" t="s">
        <v>390</v>
      </c>
      <c r="H3700" s="1">
        <v>498</v>
      </c>
      <c r="I3700" s="3">
        <v>46281</v>
      </c>
      <c r="L3700" s="31">
        <v>46281.723294907402</v>
      </c>
      <c r="M3700" s="20">
        <v>12</v>
      </c>
      <c r="N3700" s="1">
        <v>175</v>
      </c>
    </row>
    <row r="3701" spans="1:14" x14ac:dyDescent="0.25">
      <c r="A3701" t="str">
        <f t="shared" si="116"/>
        <v>78752867875286</v>
      </c>
      <c r="B3701" t="str">
        <f t="shared" si="117"/>
        <v>7875286M5742IX-2E</v>
      </c>
      <c r="C3701" s="1" t="s">
        <v>714</v>
      </c>
      <c r="D3701" s="1" t="s">
        <v>715</v>
      </c>
      <c r="E3701" s="1" t="s">
        <v>382</v>
      </c>
      <c r="F3701" s="1" t="s">
        <v>383</v>
      </c>
      <c r="G3701" s="1" t="s">
        <v>390</v>
      </c>
      <c r="H3701" s="1">
        <v>498</v>
      </c>
      <c r="I3701" s="3">
        <v>46281</v>
      </c>
      <c r="L3701" s="31">
        <v>46281.723554131946</v>
      </c>
      <c r="M3701" s="20">
        <v>12</v>
      </c>
      <c r="N3701" s="1">
        <v>172</v>
      </c>
    </row>
    <row r="3702" spans="1:14" x14ac:dyDescent="0.25">
      <c r="A3702" t="str">
        <f t="shared" si="116"/>
        <v>78752867875286</v>
      </c>
      <c r="B3702" t="str">
        <f t="shared" si="117"/>
        <v>7875286M5742IX-2E</v>
      </c>
      <c r="C3702" s="1" t="s">
        <v>714</v>
      </c>
      <c r="D3702" s="1" t="s">
        <v>715</v>
      </c>
      <c r="E3702" s="1" t="s">
        <v>382</v>
      </c>
      <c r="F3702" s="1" t="s">
        <v>383</v>
      </c>
      <c r="G3702" s="1" t="s">
        <v>390</v>
      </c>
      <c r="H3702" s="1">
        <v>498</v>
      </c>
      <c r="I3702" s="3">
        <v>46281</v>
      </c>
      <c r="L3702" s="31">
        <v>46281.727409108797</v>
      </c>
      <c r="M3702" s="20">
        <v>12</v>
      </c>
      <c r="N3702" s="1">
        <v>158</v>
      </c>
    </row>
    <row r="3703" spans="1:14" x14ac:dyDescent="0.25">
      <c r="A3703" t="str">
        <f t="shared" si="116"/>
        <v>78761687876168</v>
      </c>
      <c r="B3703" t="str">
        <f t="shared" si="117"/>
        <v>7876168IV9060LL-M</v>
      </c>
      <c r="C3703" s="1" t="s">
        <v>41</v>
      </c>
      <c r="D3703" s="1" t="s">
        <v>718</v>
      </c>
      <c r="E3703" s="1" t="s">
        <v>388</v>
      </c>
      <c r="F3703" s="1" t="s">
        <v>389</v>
      </c>
      <c r="G3703" s="1" t="s">
        <v>387</v>
      </c>
      <c r="H3703" s="1">
        <v>1656</v>
      </c>
      <c r="I3703" s="3">
        <v>46281</v>
      </c>
      <c r="L3703" s="31">
        <v>46281.572444479163</v>
      </c>
      <c r="M3703" s="20">
        <v>12</v>
      </c>
      <c r="N3703" s="1">
        <v>91</v>
      </c>
    </row>
    <row r="3704" spans="1:14" x14ac:dyDescent="0.25">
      <c r="A3704" t="str">
        <f t="shared" si="116"/>
        <v>78761687876168</v>
      </c>
      <c r="B3704" t="str">
        <f t="shared" si="117"/>
        <v>7876168IV9060LL-M</v>
      </c>
      <c r="C3704" s="1" t="s">
        <v>41</v>
      </c>
      <c r="D3704" s="1" t="s">
        <v>718</v>
      </c>
      <c r="E3704" s="1" t="s">
        <v>388</v>
      </c>
      <c r="F3704" s="1" t="s">
        <v>389</v>
      </c>
      <c r="G3704" s="1" t="s">
        <v>387</v>
      </c>
      <c r="H3704" s="1">
        <v>1656</v>
      </c>
      <c r="I3704" s="3">
        <v>46281</v>
      </c>
      <c r="L3704" s="31">
        <v>46281.572822222217</v>
      </c>
      <c r="M3704" s="20">
        <v>12</v>
      </c>
      <c r="N3704" s="1">
        <v>68</v>
      </c>
    </row>
    <row r="3705" spans="1:14" x14ac:dyDescent="0.25">
      <c r="A3705" t="str">
        <f t="shared" si="116"/>
        <v>78761687876168</v>
      </c>
      <c r="B3705" t="str">
        <f t="shared" si="117"/>
        <v>7876168IV9060LL-M</v>
      </c>
      <c r="C3705" s="1" t="s">
        <v>41</v>
      </c>
      <c r="D3705" s="1" t="s">
        <v>718</v>
      </c>
      <c r="E3705" s="1" t="s">
        <v>388</v>
      </c>
      <c r="F3705" s="1" t="s">
        <v>389</v>
      </c>
      <c r="G3705" s="1" t="s">
        <v>387</v>
      </c>
      <c r="H3705" s="1">
        <v>1656</v>
      </c>
      <c r="I3705" s="3">
        <v>46281</v>
      </c>
      <c r="L3705" s="31">
        <v>46281.573231134258</v>
      </c>
      <c r="M3705" s="20">
        <v>12</v>
      </c>
      <c r="N3705" s="1">
        <v>115</v>
      </c>
    </row>
    <row r="3706" spans="1:14" x14ac:dyDescent="0.25">
      <c r="A3706" t="str">
        <f t="shared" si="116"/>
        <v>78761687876168</v>
      </c>
      <c r="B3706" t="str">
        <f t="shared" si="117"/>
        <v>7876168IV9060LL-M</v>
      </c>
      <c r="C3706" s="1" t="s">
        <v>41</v>
      </c>
      <c r="D3706" s="1" t="s">
        <v>718</v>
      </c>
      <c r="E3706" s="1" t="s">
        <v>388</v>
      </c>
      <c r="F3706" s="1" t="s">
        <v>389</v>
      </c>
      <c r="G3706" s="1" t="s">
        <v>387</v>
      </c>
      <c r="H3706" s="1">
        <v>1656</v>
      </c>
      <c r="I3706" s="3">
        <v>46281</v>
      </c>
      <c r="L3706" s="31">
        <v>46281.589504363423</v>
      </c>
      <c r="M3706" s="20">
        <v>12</v>
      </c>
      <c r="N3706" s="1">
        <v>70</v>
      </c>
    </row>
    <row r="3707" spans="1:14" x14ac:dyDescent="0.25">
      <c r="A3707" t="str">
        <f t="shared" si="116"/>
        <v>78761687876168</v>
      </c>
      <c r="B3707" t="str">
        <f t="shared" si="117"/>
        <v>7876168IV9060LL-M</v>
      </c>
      <c r="C3707" s="1" t="s">
        <v>41</v>
      </c>
      <c r="D3707" s="1" t="s">
        <v>718</v>
      </c>
      <c r="E3707" s="1" t="s">
        <v>388</v>
      </c>
      <c r="F3707" s="1" t="s">
        <v>389</v>
      </c>
      <c r="G3707" s="1" t="s">
        <v>387</v>
      </c>
      <c r="H3707" s="1">
        <v>1656</v>
      </c>
      <c r="I3707" s="3">
        <v>46281</v>
      </c>
      <c r="L3707" s="31">
        <v>46281.602413275461</v>
      </c>
      <c r="M3707" s="20">
        <v>12</v>
      </c>
      <c r="N3707" s="1">
        <v>71</v>
      </c>
    </row>
    <row r="3708" spans="1:14" x14ac:dyDescent="0.25">
      <c r="A3708" t="str">
        <f t="shared" si="116"/>
        <v>78761687876168</v>
      </c>
      <c r="B3708" t="str">
        <f t="shared" si="117"/>
        <v>7876168IV9060LL-M</v>
      </c>
      <c r="C3708" s="1" t="s">
        <v>41</v>
      </c>
      <c r="D3708" s="1" t="s">
        <v>718</v>
      </c>
      <c r="E3708" s="1" t="s">
        <v>388</v>
      </c>
      <c r="F3708" s="1" t="s">
        <v>389</v>
      </c>
      <c r="G3708" s="1" t="s">
        <v>387</v>
      </c>
      <c r="H3708" s="1">
        <v>1656</v>
      </c>
      <c r="I3708" s="3">
        <v>46281</v>
      </c>
      <c r="L3708" s="31">
        <v>46281.602603784719</v>
      </c>
      <c r="M3708" s="20">
        <v>12</v>
      </c>
      <c r="N3708" s="1">
        <v>117</v>
      </c>
    </row>
    <row r="3709" spans="1:14" x14ac:dyDescent="0.25">
      <c r="A3709" t="str">
        <f t="shared" si="116"/>
        <v>78761687876168</v>
      </c>
      <c r="B3709" t="str">
        <f t="shared" si="117"/>
        <v>7876168IV9060LL-M</v>
      </c>
      <c r="C3709" s="1" t="s">
        <v>41</v>
      </c>
      <c r="D3709" s="1" t="s">
        <v>718</v>
      </c>
      <c r="E3709" s="1" t="s">
        <v>388</v>
      </c>
      <c r="F3709" s="1" t="s">
        <v>389</v>
      </c>
      <c r="G3709" s="1" t="s">
        <v>387</v>
      </c>
      <c r="H3709" s="1">
        <v>1656</v>
      </c>
      <c r="I3709" s="3">
        <v>46281</v>
      </c>
      <c r="L3709" s="31">
        <v>46281.603097951389</v>
      </c>
      <c r="M3709" s="20">
        <v>12</v>
      </c>
      <c r="N3709" s="1">
        <v>92</v>
      </c>
    </row>
    <row r="3710" spans="1:14" x14ac:dyDescent="0.25">
      <c r="A3710" t="str">
        <f t="shared" si="116"/>
        <v>78761687876168</v>
      </c>
      <c r="B3710" t="str">
        <f t="shared" si="117"/>
        <v>7876168IV9060LL-M</v>
      </c>
      <c r="C3710" s="1" t="s">
        <v>41</v>
      </c>
      <c r="D3710" s="1" t="s">
        <v>718</v>
      </c>
      <c r="E3710" s="1" t="s">
        <v>388</v>
      </c>
      <c r="F3710" s="1" t="s">
        <v>389</v>
      </c>
      <c r="G3710" s="1" t="s">
        <v>387</v>
      </c>
      <c r="H3710" s="1">
        <v>1656</v>
      </c>
      <c r="I3710" s="3">
        <v>46281</v>
      </c>
      <c r="L3710" s="31">
        <v>46281.603253009256</v>
      </c>
      <c r="M3710" s="20">
        <v>12</v>
      </c>
      <c r="N3710" s="1">
        <v>69</v>
      </c>
    </row>
    <row r="3711" spans="1:14" x14ac:dyDescent="0.25">
      <c r="A3711" t="str">
        <f t="shared" si="116"/>
        <v>78761687876168</v>
      </c>
      <c r="B3711" t="str">
        <f t="shared" si="117"/>
        <v>7876168IV9060LL-M</v>
      </c>
      <c r="C3711" s="1" t="s">
        <v>41</v>
      </c>
      <c r="D3711" s="1" t="s">
        <v>718</v>
      </c>
      <c r="E3711" s="1" t="s">
        <v>388</v>
      </c>
      <c r="F3711" s="1" t="s">
        <v>389</v>
      </c>
      <c r="G3711" s="1" t="s">
        <v>387</v>
      </c>
      <c r="H3711" s="1">
        <v>1656</v>
      </c>
      <c r="I3711" s="3">
        <v>46281</v>
      </c>
      <c r="L3711" s="31">
        <v>46281.603572835644</v>
      </c>
      <c r="M3711" s="20">
        <v>12</v>
      </c>
      <c r="N3711" s="1">
        <v>116</v>
      </c>
    </row>
    <row r="3712" spans="1:14" x14ac:dyDescent="0.25">
      <c r="A3712" t="str">
        <f t="shared" si="116"/>
        <v>78761687876168</v>
      </c>
      <c r="B3712" t="str">
        <f t="shared" si="117"/>
        <v>7876168IV9060LL-M</v>
      </c>
      <c r="C3712" s="1" t="s">
        <v>41</v>
      </c>
      <c r="D3712" s="1" t="s">
        <v>718</v>
      </c>
      <c r="E3712" s="1" t="s">
        <v>388</v>
      </c>
      <c r="F3712" s="1" t="s">
        <v>389</v>
      </c>
      <c r="G3712" s="1" t="s">
        <v>387</v>
      </c>
      <c r="H3712" s="1">
        <v>1656</v>
      </c>
      <c r="I3712" s="3">
        <v>46281</v>
      </c>
      <c r="L3712" s="31">
        <v>46281.620192905088</v>
      </c>
      <c r="M3712" s="20">
        <v>12</v>
      </c>
      <c r="N3712" s="1">
        <v>119</v>
      </c>
    </row>
    <row r="3713" spans="1:14" x14ac:dyDescent="0.25">
      <c r="A3713" t="str">
        <f t="shared" si="116"/>
        <v>78761687876168</v>
      </c>
      <c r="B3713" t="str">
        <f t="shared" si="117"/>
        <v>7876168IV9060LL-M</v>
      </c>
      <c r="C3713" s="1" t="s">
        <v>41</v>
      </c>
      <c r="D3713" s="1" t="s">
        <v>718</v>
      </c>
      <c r="E3713" s="1" t="s">
        <v>388</v>
      </c>
      <c r="F3713" s="1" t="s">
        <v>389</v>
      </c>
      <c r="G3713" s="1" t="s">
        <v>387</v>
      </c>
      <c r="H3713" s="1">
        <v>1656</v>
      </c>
      <c r="I3713" s="3">
        <v>46281</v>
      </c>
      <c r="L3713" s="31">
        <v>46281.620363807866</v>
      </c>
      <c r="M3713" s="20">
        <v>12</v>
      </c>
      <c r="N3713" s="1">
        <v>74</v>
      </c>
    </row>
    <row r="3714" spans="1:14" x14ac:dyDescent="0.25">
      <c r="A3714" t="str">
        <f t="shared" ref="A3714:A3777" si="118">+D3714&amp;D3714</f>
        <v>78761687876168</v>
      </c>
      <c r="B3714" t="str">
        <f t="shared" ref="B3714:B3777" si="119">+D3714&amp;C3714</f>
        <v>7876168IV9060LL-M</v>
      </c>
      <c r="C3714" s="1" t="s">
        <v>41</v>
      </c>
      <c r="D3714" s="1" t="s">
        <v>718</v>
      </c>
      <c r="E3714" s="1" t="s">
        <v>388</v>
      </c>
      <c r="F3714" s="1" t="s">
        <v>389</v>
      </c>
      <c r="G3714" s="1" t="s">
        <v>387</v>
      </c>
      <c r="H3714" s="1">
        <v>1656</v>
      </c>
      <c r="I3714" s="3">
        <v>46281</v>
      </c>
      <c r="L3714" s="31">
        <v>46281.620934143517</v>
      </c>
      <c r="M3714" s="20">
        <v>12</v>
      </c>
      <c r="N3714" s="1">
        <v>28</v>
      </c>
    </row>
    <row r="3715" spans="1:14" x14ac:dyDescent="0.25">
      <c r="A3715" t="str">
        <f t="shared" si="118"/>
        <v>78761687876168</v>
      </c>
      <c r="B3715" t="str">
        <f t="shared" si="119"/>
        <v>7876168IV9060LL-M</v>
      </c>
      <c r="C3715" s="1" t="s">
        <v>41</v>
      </c>
      <c r="D3715" s="1" t="s">
        <v>718</v>
      </c>
      <c r="E3715" s="1" t="s">
        <v>388</v>
      </c>
      <c r="F3715" s="1" t="s">
        <v>389</v>
      </c>
      <c r="G3715" s="1" t="s">
        <v>387</v>
      </c>
      <c r="H3715" s="1">
        <v>1656</v>
      </c>
      <c r="I3715" s="3">
        <v>46281</v>
      </c>
      <c r="L3715" s="31">
        <v>46281.628631331019</v>
      </c>
      <c r="M3715" s="20">
        <v>12</v>
      </c>
      <c r="N3715" s="1">
        <v>94</v>
      </c>
    </row>
    <row r="3716" spans="1:14" x14ac:dyDescent="0.25">
      <c r="A3716" t="str">
        <f t="shared" si="118"/>
        <v>78761687876168</v>
      </c>
      <c r="B3716" t="str">
        <f t="shared" si="119"/>
        <v>7876168IV9060LL-M</v>
      </c>
      <c r="C3716" s="1" t="s">
        <v>41</v>
      </c>
      <c r="D3716" s="1" t="s">
        <v>718</v>
      </c>
      <c r="E3716" s="1" t="s">
        <v>388</v>
      </c>
      <c r="F3716" s="1" t="s">
        <v>389</v>
      </c>
      <c r="G3716" s="1" t="s">
        <v>387</v>
      </c>
      <c r="H3716" s="1">
        <v>1656</v>
      </c>
      <c r="I3716" s="3">
        <v>46281</v>
      </c>
      <c r="L3716" s="31">
        <v>46281.652644178241</v>
      </c>
      <c r="M3716" s="20">
        <v>12</v>
      </c>
      <c r="N3716" s="1">
        <v>73</v>
      </c>
    </row>
    <row r="3717" spans="1:14" x14ac:dyDescent="0.25">
      <c r="A3717" t="str">
        <f t="shared" si="118"/>
        <v>78761687876168</v>
      </c>
      <c r="B3717" t="str">
        <f t="shared" si="119"/>
        <v>7876168IV9060LL-M</v>
      </c>
      <c r="C3717" s="1" t="s">
        <v>41</v>
      </c>
      <c r="D3717" s="1" t="s">
        <v>718</v>
      </c>
      <c r="E3717" s="1" t="s">
        <v>388</v>
      </c>
      <c r="F3717" s="1" t="s">
        <v>389</v>
      </c>
      <c r="G3717" s="1" t="s">
        <v>387</v>
      </c>
      <c r="H3717" s="1">
        <v>1656</v>
      </c>
      <c r="I3717" s="3">
        <v>46281</v>
      </c>
      <c r="L3717" s="31">
        <v>46281.660040891205</v>
      </c>
      <c r="M3717" s="20">
        <v>12</v>
      </c>
      <c r="N3717" s="1">
        <v>95</v>
      </c>
    </row>
    <row r="3718" spans="1:14" x14ac:dyDescent="0.25">
      <c r="A3718" t="str">
        <f t="shared" si="118"/>
        <v>78761687876168</v>
      </c>
      <c r="B3718" t="str">
        <f t="shared" si="119"/>
        <v>7876168IV9060LL-M</v>
      </c>
      <c r="C3718" s="1" t="s">
        <v>41</v>
      </c>
      <c r="D3718" s="1" t="s">
        <v>718</v>
      </c>
      <c r="E3718" s="1" t="s">
        <v>388</v>
      </c>
      <c r="F3718" s="1" t="s">
        <v>389</v>
      </c>
      <c r="G3718" s="1" t="s">
        <v>387</v>
      </c>
      <c r="H3718" s="1">
        <v>1656</v>
      </c>
      <c r="I3718" s="3">
        <v>46281</v>
      </c>
      <c r="L3718" s="31">
        <v>46281.664299074073</v>
      </c>
      <c r="M3718" s="20">
        <v>12</v>
      </c>
      <c r="N3718" s="1">
        <v>72</v>
      </c>
    </row>
    <row r="3719" spans="1:14" x14ac:dyDescent="0.25">
      <c r="A3719" t="str">
        <f t="shared" si="118"/>
        <v>78761687876168</v>
      </c>
      <c r="B3719" t="str">
        <f t="shared" si="119"/>
        <v>7876168IV9060LL-M</v>
      </c>
      <c r="C3719" s="1" t="s">
        <v>41</v>
      </c>
      <c r="D3719" s="1" t="s">
        <v>718</v>
      </c>
      <c r="E3719" s="1" t="s">
        <v>388</v>
      </c>
      <c r="F3719" s="1" t="s">
        <v>389</v>
      </c>
      <c r="G3719" s="1" t="s">
        <v>387</v>
      </c>
      <c r="H3719" s="1">
        <v>1656</v>
      </c>
      <c r="I3719" s="3">
        <v>46281</v>
      </c>
      <c r="L3719" s="31">
        <v>46281.664450578704</v>
      </c>
      <c r="M3719" s="20">
        <v>12</v>
      </c>
      <c r="N3719" s="1">
        <v>120</v>
      </c>
    </row>
    <row r="3720" spans="1:14" x14ac:dyDescent="0.25">
      <c r="A3720" t="str">
        <f t="shared" si="118"/>
        <v>78761687876168</v>
      </c>
      <c r="B3720" t="str">
        <f t="shared" si="119"/>
        <v>7876168IV9060LL-M</v>
      </c>
      <c r="C3720" s="1" t="s">
        <v>41</v>
      </c>
      <c r="D3720" s="1" t="s">
        <v>718</v>
      </c>
      <c r="E3720" s="1" t="s">
        <v>388</v>
      </c>
      <c r="F3720" s="1" t="s">
        <v>389</v>
      </c>
      <c r="G3720" s="1" t="s">
        <v>387</v>
      </c>
      <c r="H3720" s="1">
        <v>1656</v>
      </c>
      <c r="I3720" s="3">
        <v>46281</v>
      </c>
      <c r="L3720" s="31">
        <v>46281.686186030092</v>
      </c>
      <c r="M3720" s="20">
        <v>12</v>
      </c>
      <c r="N3720" s="1">
        <v>76</v>
      </c>
    </row>
    <row r="3721" spans="1:14" x14ac:dyDescent="0.25">
      <c r="A3721" t="str">
        <f t="shared" si="118"/>
        <v>78761687876168</v>
      </c>
      <c r="B3721" t="str">
        <f t="shared" si="119"/>
        <v>7876168IV9060LL-M</v>
      </c>
      <c r="C3721" s="1" t="s">
        <v>41</v>
      </c>
      <c r="D3721" s="1" t="s">
        <v>718</v>
      </c>
      <c r="E3721" s="1" t="s">
        <v>388</v>
      </c>
      <c r="F3721" s="1" t="s">
        <v>389</v>
      </c>
      <c r="G3721" s="1" t="s">
        <v>387</v>
      </c>
      <c r="H3721" s="1">
        <v>1656</v>
      </c>
      <c r="I3721" s="3">
        <v>46281</v>
      </c>
      <c r="L3721" s="31">
        <v>46281.686652743054</v>
      </c>
      <c r="M3721" s="20">
        <v>12</v>
      </c>
      <c r="N3721" s="1">
        <v>75</v>
      </c>
    </row>
    <row r="3722" spans="1:14" x14ac:dyDescent="0.25">
      <c r="A3722" t="str">
        <f t="shared" si="118"/>
        <v>78761687876168</v>
      </c>
      <c r="B3722" t="str">
        <f t="shared" si="119"/>
        <v>7876168IV9060LL-M</v>
      </c>
      <c r="C3722" s="1" t="s">
        <v>41</v>
      </c>
      <c r="D3722" s="1" t="s">
        <v>718</v>
      </c>
      <c r="E3722" s="1" t="s">
        <v>388</v>
      </c>
      <c r="F3722" s="1" t="s">
        <v>389</v>
      </c>
      <c r="G3722" s="1" t="s">
        <v>387</v>
      </c>
      <c r="H3722" s="1">
        <v>1656</v>
      </c>
      <c r="I3722" s="3">
        <v>46281</v>
      </c>
      <c r="L3722" s="31">
        <v>46281.687292476847</v>
      </c>
      <c r="M3722" s="20">
        <v>12</v>
      </c>
      <c r="N3722" s="1">
        <v>93</v>
      </c>
    </row>
    <row r="3723" spans="1:14" x14ac:dyDescent="0.25">
      <c r="A3723" t="str">
        <f t="shared" si="118"/>
        <v>78761687876168</v>
      </c>
      <c r="B3723" t="str">
        <f t="shared" si="119"/>
        <v>7876168IV9060LL-M</v>
      </c>
      <c r="C3723" s="1" t="s">
        <v>41</v>
      </c>
      <c r="D3723" s="1" t="s">
        <v>718</v>
      </c>
      <c r="E3723" s="1" t="s">
        <v>388</v>
      </c>
      <c r="F3723" s="1" t="s">
        <v>389</v>
      </c>
      <c r="G3723" s="1" t="s">
        <v>387</v>
      </c>
      <c r="H3723" s="1">
        <v>1656</v>
      </c>
      <c r="I3723" s="3">
        <v>46281</v>
      </c>
      <c r="L3723" s="31">
        <v>46281.687450891201</v>
      </c>
      <c r="M3723" s="20">
        <v>12</v>
      </c>
      <c r="N3723" s="1">
        <v>96</v>
      </c>
    </row>
    <row r="3724" spans="1:14" x14ac:dyDescent="0.25">
      <c r="A3724" t="str">
        <f t="shared" si="118"/>
        <v>78761687876168</v>
      </c>
      <c r="B3724" t="str">
        <f t="shared" si="119"/>
        <v>7876168IV9060LL-M</v>
      </c>
      <c r="C3724" s="1" t="s">
        <v>41</v>
      </c>
      <c r="D3724" s="1" t="s">
        <v>718</v>
      </c>
      <c r="E3724" s="1" t="s">
        <v>388</v>
      </c>
      <c r="F3724" s="1" t="s">
        <v>389</v>
      </c>
      <c r="G3724" s="1" t="s">
        <v>387</v>
      </c>
      <c r="H3724" s="1">
        <v>1656</v>
      </c>
      <c r="I3724" s="3">
        <v>46281</v>
      </c>
      <c r="L3724" s="31">
        <v>46281.697635798606</v>
      </c>
      <c r="M3724" s="20">
        <v>12</v>
      </c>
      <c r="N3724" s="1">
        <v>13</v>
      </c>
    </row>
    <row r="3725" spans="1:14" x14ac:dyDescent="0.25">
      <c r="A3725" t="str">
        <f t="shared" si="118"/>
        <v>78761687876168</v>
      </c>
      <c r="B3725" t="str">
        <f t="shared" si="119"/>
        <v>7876168IV9060LL-M</v>
      </c>
      <c r="C3725" s="1" t="s">
        <v>41</v>
      </c>
      <c r="D3725" s="1" t="s">
        <v>718</v>
      </c>
      <c r="E3725" s="1" t="s">
        <v>388</v>
      </c>
      <c r="F3725" s="1" t="s">
        <v>389</v>
      </c>
      <c r="G3725" s="1" t="s">
        <v>387</v>
      </c>
      <c r="H3725" s="1">
        <v>1656</v>
      </c>
      <c r="I3725" s="3">
        <v>46281</v>
      </c>
      <c r="L3725" s="31">
        <v>46281.697998692129</v>
      </c>
      <c r="M3725" s="20">
        <v>12</v>
      </c>
      <c r="N3725" s="1">
        <v>121</v>
      </c>
    </row>
    <row r="3726" spans="1:14" x14ac:dyDescent="0.25">
      <c r="A3726" t="str">
        <f t="shared" si="118"/>
        <v>78820677882067</v>
      </c>
      <c r="B3726" t="str">
        <f t="shared" si="119"/>
        <v>7882067G6032Z2-M</v>
      </c>
      <c r="C3726" s="1" t="s">
        <v>15</v>
      </c>
      <c r="D3726" s="1" t="s">
        <v>717</v>
      </c>
      <c r="E3726" s="1" t="s">
        <v>379</v>
      </c>
      <c r="F3726" s="1" t="s">
        <v>504</v>
      </c>
      <c r="G3726" s="1" t="s">
        <v>484</v>
      </c>
      <c r="H3726" s="1">
        <v>252</v>
      </c>
      <c r="I3726" s="3">
        <v>46281</v>
      </c>
      <c r="J3726" s="3">
        <v>46287</v>
      </c>
      <c r="K3726" s="3" t="s">
        <v>2374</v>
      </c>
      <c r="L3726" s="31">
        <v>46281.565869907405</v>
      </c>
      <c r="M3726" s="20">
        <v>6</v>
      </c>
      <c r="N3726" s="1">
        <v>7</v>
      </c>
    </row>
    <row r="3727" spans="1:14" x14ac:dyDescent="0.25">
      <c r="A3727" t="str">
        <f t="shared" si="118"/>
        <v>78820677882067</v>
      </c>
      <c r="B3727" t="str">
        <f t="shared" si="119"/>
        <v>7882067G6032Z2-M</v>
      </c>
      <c r="C3727" s="1" t="s">
        <v>15</v>
      </c>
      <c r="D3727" s="1" t="s">
        <v>717</v>
      </c>
      <c r="E3727" s="1" t="s">
        <v>379</v>
      </c>
      <c r="F3727" s="1" t="s">
        <v>504</v>
      </c>
      <c r="G3727" s="1" t="s">
        <v>484</v>
      </c>
      <c r="H3727" s="1">
        <v>252</v>
      </c>
      <c r="I3727" s="3">
        <v>46281</v>
      </c>
      <c r="J3727" s="3">
        <v>46287</v>
      </c>
      <c r="K3727" s="3" t="s">
        <v>2374</v>
      </c>
      <c r="L3727" s="31">
        <v>46281.567298460643</v>
      </c>
      <c r="M3727" s="20">
        <v>6</v>
      </c>
      <c r="N3727" s="1">
        <v>22</v>
      </c>
    </row>
    <row r="3728" spans="1:14" x14ac:dyDescent="0.25">
      <c r="A3728" t="str">
        <f t="shared" si="118"/>
        <v>78820677882067</v>
      </c>
      <c r="B3728" t="str">
        <f t="shared" si="119"/>
        <v>7882067G6032Z2-M</v>
      </c>
      <c r="C3728" s="1" t="s">
        <v>15</v>
      </c>
      <c r="D3728" s="1" t="s">
        <v>717</v>
      </c>
      <c r="E3728" s="1" t="s">
        <v>379</v>
      </c>
      <c r="F3728" s="1" t="s">
        <v>504</v>
      </c>
      <c r="G3728" s="1" t="s">
        <v>484</v>
      </c>
      <c r="H3728" s="1">
        <v>252</v>
      </c>
      <c r="I3728" s="3">
        <v>46281</v>
      </c>
      <c r="J3728" s="3">
        <v>46287</v>
      </c>
      <c r="K3728" s="3" t="s">
        <v>2374</v>
      </c>
      <c r="L3728" s="31">
        <v>46281.568432407403</v>
      </c>
      <c r="M3728" s="20">
        <v>6</v>
      </c>
      <c r="N3728" s="1">
        <v>31</v>
      </c>
    </row>
    <row r="3729" spans="1:14" x14ac:dyDescent="0.25">
      <c r="A3729" t="str">
        <f t="shared" si="118"/>
        <v>78820677882067</v>
      </c>
      <c r="B3729" t="str">
        <f t="shared" si="119"/>
        <v>7882067G6032Z2-M</v>
      </c>
      <c r="C3729" s="1" t="s">
        <v>15</v>
      </c>
      <c r="D3729" s="1" t="s">
        <v>717</v>
      </c>
      <c r="E3729" s="1" t="s">
        <v>379</v>
      </c>
      <c r="F3729" s="1" t="s">
        <v>504</v>
      </c>
      <c r="G3729" s="1" t="s">
        <v>484</v>
      </c>
      <c r="H3729" s="1">
        <v>252</v>
      </c>
      <c r="I3729" s="3">
        <v>46281</v>
      </c>
      <c r="J3729" s="3">
        <v>46287</v>
      </c>
      <c r="K3729" s="3" t="s">
        <v>2374</v>
      </c>
      <c r="L3729" s="31">
        <v>46281.568817858795</v>
      </c>
      <c r="M3729" s="20">
        <v>6</v>
      </c>
      <c r="N3729" s="1">
        <v>8</v>
      </c>
    </row>
    <row r="3730" spans="1:14" x14ac:dyDescent="0.25">
      <c r="A3730" t="str">
        <f t="shared" si="118"/>
        <v>78820677882067</v>
      </c>
      <c r="B3730" t="str">
        <f t="shared" si="119"/>
        <v>7882067G6032Z2-M</v>
      </c>
      <c r="C3730" s="1" t="s">
        <v>15</v>
      </c>
      <c r="D3730" s="1" t="s">
        <v>717</v>
      </c>
      <c r="E3730" s="1" t="s">
        <v>379</v>
      </c>
      <c r="F3730" s="1" t="s">
        <v>504</v>
      </c>
      <c r="G3730" s="1" t="s">
        <v>484</v>
      </c>
      <c r="H3730" s="1">
        <v>252</v>
      </c>
      <c r="I3730" s="3">
        <v>46281</v>
      </c>
      <c r="J3730" s="3">
        <v>46287</v>
      </c>
      <c r="K3730" s="3" t="s">
        <v>2374</v>
      </c>
      <c r="L3730" s="31">
        <v>46281.569229479166</v>
      </c>
      <c r="M3730" s="20">
        <v>6</v>
      </c>
      <c r="N3730" s="1">
        <v>17</v>
      </c>
    </row>
    <row r="3731" spans="1:14" x14ac:dyDescent="0.25">
      <c r="A3731" t="str">
        <f t="shared" si="118"/>
        <v>78820677882067</v>
      </c>
      <c r="B3731" t="str">
        <f t="shared" si="119"/>
        <v>7882067G6032Z2-M</v>
      </c>
      <c r="C3731" s="1" t="s">
        <v>15</v>
      </c>
      <c r="D3731" s="1" t="s">
        <v>717</v>
      </c>
      <c r="E3731" s="1" t="s">
        <v>379</v>
      </c>
      <c r="F3731" s="1" t="s">
        <v>504</v>
      </c>
      <c r="G3731" s="1" t="s">
        <v>484</v>
      </c>
      <c r="H3731" s="1">
        <v>252</v>
      </c>
      <c r="I3731" s="3">
        <v>46281</v>
      </c>
      <c r="J3731" s="3">
        <v>46287</v>
      </c>
      <c r="K3731" s="3" t="s">
        <v>2374</v>
      </c>
      <c r="L3731" s="31">
        <v>46281.56942850694</v>
      </c>
      <c r="M3731" s="20">
        <v>6</v>
      </c>
      <c r="N3731" s="1">
        <v>16</v>
      </c>
    </row>
    <row r="3732" spans="1:14" x14ac:dyDescent="0.25">
      <c r="A3732" t="str">
        <f t="shared" si="118"/>
        <v>78820677882067</v>
      </c>
      <c r="B3732" t="str">
        <f t="shared" si="119"/>
        <v>7882067G6032Z2-M</v>
      </c>
      <c r="C3732" s="1" t="s">
        <v>15</v>
      </c>
      <c r="D3732" s="1" t="s">
        <v>717</v>
      </c>
      <c r="E3732" s="1" t="s">
        <v>379</v>
      </c>
      <c r="F3732" s="1" t="s">
        <v>504</v>
      </c>
      <c r="G3732" s="1" t="s">
        <v>484</v>
      </c>
      <c r="H3732" s="1">
        <v>252</v>
      </c>
      <c r="I3732" s="3">
        <v>46281</v>
      </c>
      <c r="J3732" s="3">
        <v>46287</v>
      </c>
      <c r="K3732" s="3" t="s">
        <v>2374</v>
      </c>
      <c r="L3732" s="31">
        <v>46281.583512465273</v>
      </c>
      <c r="M3732" s="20">
        <v>6</v>
      </c>
      <c r="N3732" s="1">
        <v>23</v>
      </c>
    </row>
    <row r="3733" spans="1:14" x14ac:dyDescent="0.25">
      <c r="A3733" t="str">
        <f t="shared" si="118"/>
        <v>78820677882067</v>
      </c>
      <c r="B3733" t="str">
        <f t="shared" si="119"/>
        <v>7882067G6032Z2-M</v>
      </c>
      <c r="C3733" s="1" t="s">
        <v>15</v>
      </c>
      <c r="D3733" s="1" t="s">
        <v>717</v>
      </c>
      <c r="E3733" s="1" t="s">
        <v>379</v>
      </c>
      <c r="F3733" s="1" t="s">
        <v>504</v>
      </c>
      <c r="G3733" s="1" t="s">
        <v>484</v>
      </c>
      <c r="H3733" s="1">
        <v>252</v>
      </c>
      <c r="I3733" s="3">
        <v>46281</v>
      </c>
      <c r="J3733" s="3">
        <v>46287</v>
      </c>
      <c r="K3733" s="3" t="s">
        <v>2374</v>
      </c>
      <c r="L3733" s="31">
        <v>46281.58369039352</v>
      </c>
      <c r="M3733" s="20">
        <v>6</v>
      </c>
      <c r="N3733" s="1">
        <v>20</v>
      </c>
    </row>
    <row r="3734" spans="1:14" x14ac:dyDescent="0.25">
      <c r="A3734" t="str">
        <f t="shared" si="118"/>
        <v>78820677882067</v>
      </c>
      <c r="B3734" t="str">
        <f t="shared" si="119"/>
        <v>7882067G6032Z2-M</v>
      </c>
      <c r="C3734" s="1" t="s">
        <v>15</v>
      </c>
      <c r="D3734" s="1" t="s">
        <v>717</v>
      </c>
      <c r="E3734" s="1" t="s">
        <v>379</v>
      </c>
      <c r="F3734" s="1" t="s">
        <v>504</v>
      </c>
      <c r="G3734" s="1" t="s">
        <v>484</v>
      </c>
      <c r="H3734" s="1">
        <v>252</v>
      </c>
      <c r="I3734" s="3">
        <v>46281</v>
      </c>
      <c r="J3734" s="3">
        <v>46287</v>
      </c>
      <c r="K3734" s="3" t="s">
        <v>2374</v>
      </c>
      <c r="L3734" s="31">
        <v>46281.585748379628</v>
      </c>
      <c r="M3734" s="20">
        <v>6</v>
      </c>
      <c r="N3734" s="1">
        <v>37</v>
      </c>
    </row>
    <row r="3735" spans="1:14" x14ac:dyDescent="0.25">
      <c r="A3735" t="str">
        <f t="shared" si="118"/>
        <v>78820677882067</v>
      </c>
      <c r="B3735" t="str">
        <f t="shared" si="119"/>
        <v>7882067G6032Z2-M</v>
      </c>
      <c r="C3735" s="1" t="s">
        <v>15</v>
      </c>
      <c r="D3735" s="1" t="s">
        <v>717</v>
      </c>
      <c r="E3735" s="1" t="s">
        <v>379</v>
      </c>
      <c r="F3735" s="1" t="s">
        <v>504</v>
      </c>
      <c r="G3735" s="1" t="s">
        <v>484</v>
      </c>
      <c r="H3735" s="1">
        <v>252</v>
      </c>
      <c r="I3735" s="3">
        <v>46281</v>
      </c>
      <c r="J3735" s="3">
        <v>46287</v>
      </c>
      <c r="K3735" s="3" t="s">
        <v>2374</v>
      </c>
      <c r="L3735" s="31">
        <v>46281.585998414354</v>
      </c>
      <c r="M3735" s="20">
        <v>6</v>
      </c>
      <c r="N3735" s="1">
        <v>33</v>
      </c>
    </row>
    <row r="3736" spans="1:14" x14ac:dyDescent="0.25">
      <c r="A3736" t="str">
        <f t="shared" si="118"/>
        <v>78820677882067</v>
      </c>
      <c r="B3736" t="str">
        <f t="shared" si="119"/>
        <v>7882067G6032Z2-M</v>
      </c>
      <c r="C3736" s="1" t="s">
        <v>15</v>
      </c>
      <c r="D3736" s="1" t="s">
        <v>717</v>
      </c>
      <c r="E3736" s="1" t="s">
        <v>379</v>
      </c>
      <c r="F3736" s="1" t="s">
        <v>504</v>
      </c>
      <c r="G3736" s="1" t="s">
        <v>484</v>
      </c>
      <c r="H3736" s="1">
        <v>252</v>
      </c>
      <c r="I3736" s="3">
        <v>46281</v>
      </c>
      <c r="J3736" s="3">
        <v>46287</v>
      </c>
      <c r="K3736" s="3" t="s">
        <v>2374</v>
      </c>
      <c r="L3736" s="31">
        <v>46281.587357025463</v>
      </c>
      <c r="M3736" s="20">
        <v>6</v>
      </c>
      <c r="N3736" s="1">
        <v>3</v>
      </c>
    </row>
    <row r="3737" spans="1:14" x14ac:dyDescent="0.25">
      <c r="A3737" t="str">
        <f t="shared" si="118"/>
        <v>78820677882067</v>
      </c>
      <c r="B3737" t="str">
        <f t="shared" si="119"/>
        <v>7882067G6032Z2-M</v>
      </c>
      <c r="C3737" s="1" t="s">
        <v>15</v>
      </c>
      <c r="D3737" s="1" t="s">
        <v>717</v>
      </c>
      <c r="E3737" s="1" t="s">
        <v>379</v>
      </c>
      <c r="F3737" s="1" t="s">
        <v>504</v>
      </c>
      <c r="G3737" s="1" t="s">
        <v>484</v>
      </c>
      <c r="H3737" s="1">
        <v>252</v>
      </c>
      <c r="I3737" s="3">
        <v>46281</v>
      </c>
      <c r="J3737" s="3">
        <v>46287</v>
      </c>
      <c r="K3737" s="3" t="s">
        <v>2374</v>
      </c>
      <c r="L3737" s="31">
        <v>46281.587584953704</v>
      </c>
      <c r="M3737" s="20">
        <v>6</v>
      </c>
      <c r="N3737" s="1">
        <v>21</v>
      </c>
    </row>
    <row r="3738" spans="1:14" x14ac:dyDescent="0.25">
      <c r="A3738" t="str">
        <f t="shared" si="118"/>
        <v>78820677882067</v>
      </c>
      <c r="B3738" t="str">
        <f t="shared" si="119"/>
        <v>7882067G6032Z2-M</v>
      </c>
      <c r="C3738" s="1" t="s">
        <v>15</v>
      </c>
      <c r="D3738" s="1" t="s">
        <v>717</v>
      </c>
      <c r="E3738" s="1" t="s">
        <v>379</v>
      </c>
      <c r="F3738" s="1" t="s">
        <v>504</v>
      </c>
      <c r="G3738" s="1" t="s">
        <v>484</v>
      </c>
      <c r="H3738" s="1">
        <v>252</v>
      </c>
      <c r="I3738" s="3">
        <v>46281</v>
      </c>
      <c r="J3738" s="3">
        <v>46287</v>
      </c>
      <c r="K3738" s="3" t="s">
        <v>2374</v>
      </c>
      <c r="L3738" s="31">
        <v>46281.587792974533</v>
      </c>
      <c r="M3738" s="20">
        <v>6</v>
      </c>
      <c r="N3738" s="1">
        <v>34</v>
      </c>
    </row>
    <row r="3739" spans="1:14" x14ac:dyDescent="0.25">
      <c r="A3739" t="str">
        <f t="shared" si="118"/>
        <v>78820677882067</v>
      </c>
      <c r="B3739" t="str">
        <f t="shared" si="119"/>
        <v>7882067G6032Z2-M</v>
      </c>
      <c r="C3739" s="1" t="s">
        <v>15</v>
      </c>
      <c r="D3739" s="1" t="s">
        <v>717</v>
      </c>
      <c r="E3739" s="1" t="s">
        <v>379</v>
      </c>
      <c r="F3739" s="1" t="s">
        <v>504</v>
      </c>
      <c r="G3739" s="1" t="s">
        <v>484</v>
      </c>
      <c r="H3739" s="1">
        <v>252</v>
      </c>
      <c r="I3739" s="3">
        <v>46281</v>
      </c>
      <c r="J3739" s="3">
        <v>46287</v>
      </c>
      <c r="K3739" s="3" t="s">
        <v>2374</v>
      </c>
      <c r="L3739" s="31">
        <v>46281.589635300923</v>
      </c>
      <c r="M3739" s="20">
        <v>6</v>
      </c>
      <c r="N3739" s="1">
        <v>28</v>
      </c>
    </row>
    <row r="3740" spans="1:14" x14ac:dyDescent="0.25">
      <c r="A3740" t="str">
        <f t="shared" si="118"/>
        <v>78820677882067</v>
      </c>
      <c r="B3740" t="str">
        <f t="shared" si="119"/>
        <v>7882067G6032Z2-M</v>
      </c>
      <c r="C3740" s="1" t="s">
        <v>15</v>
      </c>
      <c r="D3740" s="1" t="s">
        <v>717</v>
      </c>
      <c r="E3740" s="1" t="s">
        <v>379</v>
      </c>
      <c r="F3740" s="1" t="s">
        <v>504</v>
      </c>
      <c r="G3740" s="1" t="s">
        <v>484</v>
      </c>
      <c r="H3740" s="1">
        <v>252</v>
      </c>
      <c r="I3740" s="3">
        <v>46281</v>
      </c>
      <c r="J3740" s="3">
        <v>46287</v>
      </c>
      <c r="K3740" s="3" t="s">
        <v>2374</v>
      </c>
      <c r="L3740" s="31">
        <v>46281.590044444441</v>
      </c>
      <c r="M3740" s="20">
        <v>6</v>
      </c>
      <c r="N3740" s="1">
        <v>27</v>
      </c>
    </row>
    <row r="3741" spans="1:14" x14ac:dyDescent="0.25">
      <c r="A3741" t="str">
        <f t="shared" si="118"/>
        <v>78820677882067</v>
      </c>
      <c r="B3741" t="str">
        <f t="shared" si="119"/>
        <v>7882067G6032Z2-M</v>
      </c>
      <c r="C3741" s="1" t="s">
        <v>15</v>
      </c>
      <c r="D3741" s="1" t="s">
        <v>717</v>
      </c>
      <c r="E3741" s="1" t="s">
        <v>379</v>
      </c>
      <c r="F3741" s="1" t="s">
        <v>504</v>
      </c>
      <c r="G3741" s="1" t="s">
        <v>484</v>
      </c>
      <c r="H3741" s="1">
        <v>252</v>
      </c>
      <c r="I3741" s="3">
        <v>46281</v>
      </c>
      <c r="J3741" s="3">
        <v>46287</v>
      </c>
      <c r="K3741" s="3" t="s">
        <v>2374</v>
      </c>
      <c r="L3741" s="31">
        <v>46281.590463344903</v>
      </c>
      <c r="M3741" s="20">
        <v>6</v>
      </c>
      <c r="N3741" s="1">
        <v>6</v>
      </c>
    </row>
    <row r="3742" spans="1:14" x14ac:dyDescent="0.25">
      <c r="A3742" t="str">
        <f t="shared" si="118"/>
        <v>78820677882067</v>
      </c>
      <c r="B3742" t="str">
        <f t="shared" si="119"/>
        <v>7882067G6032Z2-M</v>
      </c>
      <c r="C3742" s="1" t="s">
        <v>15</v>
      </c>
      <c r="D3742" s="1" t="s">
        <v>717</v>
      </c>
      <c r="E3742" s="1" t="s">
        <v>379</v>
      </c>
      <c r="F3742" s="1" t="s">
        <v>504</v>
      </c>
      <c r="G3742" s="1" t="s">
        <v>484</v>
      </c>
      <c r="H3742" s="1">
        <v>252</v>
      </c>
      <c r="I3742" s="3">
        <v>46281</v>
      </c>
      <c r="J3742" s="3">
        <v>46287</v>
      </c>
      <c r="K3742" s="3" t="s">
        <v>2374</v>
      </c>
      <c r="L3742" s="31">
        <v>46281.590868865736</v>
      </c>
      <c r="M3742" s="20">
        <v>6</v>
      </c>
      <c r="N3742" s="1">
        <v>29</v>
      </c>
    </row>
    <row r="3743" spans="1:14" x14ac:dyDescent="0.25">
      <c r="A3743" t="str">
        <f t="shared" si="118"/>
        <v>78820677882067</v>
      </c>
      <c r="B3743" t="str">
        <f t="shared" si="119"/>
        <v>7882067G6032Z2-M</v>
      </c>
      <c r="C3743" s="1" t="s">
        <v>15</v>
      </c>
      <c r="D3743" s="1" t="s">
        <v>717</v>
      </c>
      <c r="E3743" s="1" t="s">
        <v>379</v>
      </c>
      <c r="F3743" s="1" t="s">
        <v>504</v>
      </c>
      <c r="G3743" s="1" t="s">
        <v>484</v>
      </c>
      <c r="H3743" s="1">
        <v>252</v>
      </c>
      <c r="I3743" s="3">
        <v>46281</v>
      </c>
      <c r="J3743" s="3">
        <v>46287</v>
      </c>
      <c r="K3743" s="3" t="s">
        <v>2374</v>
      </c>
      <c r="L3743" s="31">
        <v>46281.591288888885</v>
      </c>
      <c r="M3743" s="20">
        <v>6</v>
      </c>
      <c r="N3743" s="1">
        <v>26</v>
      </c>
    </row>
    <row r="3744" spans="1:14" x14ac:dyDescent="0.25">
      <c r="A3744" t="str">
        <f t="shared" si="118"/>
        <v>78820677882067</v>
      </c>
      <c r="B3744" t="str">
        <f t="shared" si="119"/>
        <v>7882067G6032Z2-M</v>
      </c>
      <c r="C3744" s="1" t="s">
        <v>15</v>
      </c>
      <c r="D3744" s="1" t="s">
        <v>717</v>
      </c>
      <c r="E3744" s="1" t="s">
        <v>379</v>
      </c>
      <c r="F3744" s="1" t="s">
        <v>504</v>
      </c>
      <c r="G3744" s="1" t="s">
        <v>484</v>
      </c>
      <c r="H3744" s="1">
        <v>252</v>
      </c>
      <c r="I3744" s="3">
        <v>46281</v>
      </c>
      <c r="J3744" s="3">
        <v>46287</v>
      </c>
      <c r="K3744" s="3" t="s">
        <v>2374</v>
      </c>
      <c r="L3744" s="31">
        <v>46281.591654942131</v>
      </c>
      <c r="M3744" s="20">
        <v>6</v>
      </c>
      <c r="N3744" s="1">
        <v>14</v>
      </c>
    </row>
    <row r="3745" spans="1:14" x14ac:dyDescent="0.25">
      <c r="A3745" t="str">
        <f t="shared" si="118"/>
        <v>78820677882067</v>
      </c>
      <c r="B3745" t="str">
        <f t="shared" si="119"/>
        <v>7882067G6032Z2-M</v>
      </c>
      <c r="C3745" s="1" t="s">
        <v>15</v>
      </c>
      <c r="D3745" s="1" t="s">
        <v>717</v>
      </c>
      <c r="E3745" s="1" t="s">
        <v>379</v>
      </c>
      <c r="F3745" s="1" t="s">
        <v>504</v>
      </c>
      <c r="G3745" s="1" t="s">
        <v>484</v>
      </c>
      <c r="H3745" s="1">
        <v>252</v>
      </c>
      <c r="I3745" s="3">
        <v>46281</v>
      </c>
      <c r="J3745" s="3">
        <v>46287</v>
      </c>
      <c r="K3745" s="3" t="s">
        <v>2374</v>
      </c>
      <c r="L3745" s="31">
        <v>46281.592490428236</v>
      </c>
      <c r="M3745" s="20">
        <v>6</v>
      </c>
      <c r="N3745" s="1">
        <v>25</v>
      </c>
    </row>
    <row r="3746" spans="1:14" x14ac:dyDescent="0.25">
      <c r="A3746" t="str">
        <f t="shared" si="118"/>
        <v>78820677882067</v>
      </c>
      <c r="B3746" t="str">
        <f t="shared" si="119"/>
        <v>7882067G6032Z2-M</v>
      </c>
      <c r="C3746" s="1" t="s">
        <v>15</v>
      </c>
      <c r="D3746" s="1" t="s">
        <v>717</v>
      </c>
      <c r="E3746" s="1" t="s">
        <v>379</v>
      </c>
      <c r="F3746" s="1" t="s">
        <v>504</v>
      </c>
      <c r="G3746" s="1" t="s">
        <v>484</v>
      </c>
      <c r="H3746" s="1">
        <v>252</v>
      </c>
      <c r="I3746" s="3">
        <v>46281</v>
      </c>
      <c r="J3746" s="3">
        <v>46287</v>
      </c>
      <c r="K3746" s="3" t="s">
        <v>2374</v>
      </c>
      <c r="L3746" s="31">
        <v>46281.592814583331</v>
      </c>
      <c r="M3746" s="20">
        <v>6</v>
      </c>
      <c r="N3746" s="1">
        <v>30</v>
      </c>
    </row>
    <row r="3747" spans="1:14" x14ac:dyDescent="0.25">
      <c r="A3747" t="str">
        <f t="shared" si="118"/>
        <v>78820677882067</v>
      </c>
      <c r="B3747" t="str">
        <f t="shared" si="119"/>
        <v>7882067G6032Z2-M</v>
      </c>
      <c r="C3747" s="1" t="s">
        <v>15</v>
      </c>
      <c r="D3747" s="1" t="s">
        <v>717</v>
      </c>
      <c r="E3747" s="1" t="s">
        <v>379</v>
      </c>
      <c r="F3747" s="1" t="s">
        <v>504</v>
      </c>
      <c r="G3747" s="1" t="s">
        <v>484</v>
      </c>
      <c r="H3747" s="1">
        <v>252</v>
      </c>
      <c r="I3747" s="3">
        <v>46281</v>
      </c>
      <c r="J3747" s="3">
        <v>46287</v>
      </c>
      <c r="K3747" s="3" t="s">
        <v>2374</v>
      </c>
      <c r="L3747" s="31">
        <v>46281.593122303238</v>
      </c>
      <c r="M3747" s="20">
        <v>6</v>
      </c>
      <c r="N3747" s="1">
        <v>2</v>
      </c>
    </row>
    <row r="3748" spans="1:14" x14ac:dyDescent="0.25">
      <c r="A3748" t="str">
        <f t="shared" si="118"/>
        <v>78820677882067</v>
      </c>
      <c r="B3748" t="str">
        <f t="shared" si="119"/>
        <v>7882067G6032Z2-M</v>
      </c>
      <c r="C3748" s="1" t="s">
        <v>15</v>
      </c>
      <c r="D3748" s="1" t="s">
        <v>717</v>
      </c>
      <c r="E3748" s="1" t="s">
        <v>379</v>
      </c>
      <c r="F3748" s="1" t="s">
        <v>504</v>
      </c>
      <c r="G3748" s="1" t="s">
        <v>484</v>
      </c>
      <c r="H3748" s="1">
        <v>252</v>
      </c>
      <c r="I3748" s="3">
        <v>46281</v>
      </c>
      <c r="J3748" s="3">
        <v>46287</v>
      </c>
      <c r="K3748" s="3" t="s">
        <v>2374</v>
      </c>
      <c r="L3748" s="31">
        <v>46281.593508912032</v>
      </c>
      <c r="M3748" s="20">
        <v>6</v>
      </c>
      <c r="N3748" s="1">
        <v>32</v>
      </c>
    </row>
    <row r="3749" spans="1:14" x14ac:dyDescent="0.25">
      <c r="A3749" t="str">
        <f t="shared" si="118"/>
        <v>78820677882067</v>
      </c>
      <c r="B3749" t="str">
        <f t="shared" si="119"/>
        <v>7882067G6032Z2-M</v>
      </c>
      <c r="C3749" s="1" t="s">
        <v>15</v>
      </c>
      <c r="D3749" s="1" t="s">
        <v>717</v>
      </c>
      <c r="E3749" s="1" t="s">
        <v>379</v>
      </c>
      <c r="F3749" s="1" t="s">
        <v>504</v>
      </c>
      <c r="G3749" s="1" t="s">
        <v>484</v>
      </c>
      <c r="H3749" s="1">
        <v>252</v>
      </c>
      <c r="I3749" s="3">
        <v>46281</v>
      </c>
      <c r="J3749" s="3">
        <v>46287</v>
      </c>
      <c r="K3749" s="3" t="s">
        <v>2374</v>
      </c>
      <c r="L3749" s="31">
        <v>46281.594276238422</v>
      </c>
      <c r="M3749" s="20">
        <v>6</v>
      </c>
      <c r="N3749" s="1">
        <v>15</v>
      </c>
    </row>
    <row r="3750" spans="1:14" x14ac:dyDescent="0.25">
      <c r="A3750" t="str">
        <f t="shared" si="118"/>
        <v>78820677882067</v>
      </c>
      <c r="B3750" t="str">
        <f t="shared" si="119"/>
        <v>7882067G6032Z2-M</v>
      </c>
      <c r="C3750" s="1" t="s">
        <v>15</v>
      </c>
      <c r="D3750" s="1" t="s">
        <v>717</v>
      </c>
      <c r="E3750" s="1" t="s">
        <v>379</v>
      </c>
      <c r="F3750" s="1" t="s">
        <v>504</v>
      </c>
      <c r="G3750" s="1" t="s">
        <v>484</v>
      </c>
      <c r="H3750" s="1">
        <v>252</v>
      </c>
      <c r="I3750" s="3">
        <v>46281</v>
      </c>
      <c r="J3750" s="3">
        <v>46287</v>
      </c>
      <c r="K3750" s="3" t="s">
        <v>2374</v>
      </c>
      <c r="L3750" s="31">
        <v>46281.595545405093</v>
      </c>
      <c r="M3750" s="20">
        <v>6</v>
      </c>
      <c r="N3750" s="1">
        <v>24</v>
      </c>
    </row>
    <row r="3751" spans="1:14" x14ac:dyDescent="0.25">
      <c r="A3751" t="str">
        <f t="shared" si="118"/>
        <v>78820677882067</v>
      </c>
      <c r="B3751" t="str">
        <f t="shared" si="119"/>
        <v>7882067G6032Z2-M</v>
      </c>
      <c r="C3751" s="1" t="s">
        <v>15</v>
      </c>
      <c r="D3751" s="1" t="s">
        <v>717</v>
      </c>
      <c r="E3751" s="1" t="s">
        <v>379</v>
      </c>
      <c r="F3751" s="1" t="s">
        <v>504</v>
      </c>
      <c r="G3751" s="1" t="s">
        <v>484</v>
      </c>
      <c r="H3751" s="1">
        <v>252</v>
      </c>
      <c r="I3751" s="3">
        <v>46281</v>
      </c>
      <c r="J3751" s="3">
        <v>46287</v>
      </c>
      <c r="K3751" s="3" t="s">
        <v>2374</v>
      </c>
      <c r="L3751" s="31">
        <v>46281.607293483794</v>
      </c>
      <c r="M3751" s="20">
        <v>6</v>
      </c>
      <c r="N3751" s="1">
        <v>4</v>
      </c>
    </row>
    <row r="3752" spans="1:14" x14ac:dyDescent="0.25">
      <c r="A3752" t="str">
        <f t="shared" si="118"/>
        <v>78820677882067</v>
      </c>
      <c r="B3752" t="str">
        <f t="shared" si="119"/>
        <v>7882067G6032Z2-M</v>
      </c>
      <c r="C3752" s="1" t="s">
        <v>15</v>
      </c>
      <c r="D3752" s="1" t="s">
        <v>717</v>
      </c>
      <c r="E3752" s="1" t="s">
        <v>379</v>
      </c>
      <c r="F3752" s="1" t="s">
        <v>504</v>
      </c>
      <c r="G3752" s="1" t="s">
        <v>484</v>
      </c>
      <c r="H3752" s="1">
        <v>252</v>
      </c>
      <c r="I3752" s="3">
        <v>46281</v>
      </c>
      <c r="J3752" s="3">
        <v>46287</v>
      </c>
      <c r="K3752" s="3" t="s">
        <v>2374</v>
      </c>
      <c r="L3752" s="31">
        <v>46281.607449965275</v>
      </c>
      <c r="M3752" s="20">
        <v>6</v>
      </c>
      <c r="N3752" s="1">
        <v>13</v>
      </c>
    </row>
    <row r="3753" spans="1:14" x14ac:dyDescent="0.25">
      <c r="A3753" t="str">
        <f t="shared" si="118"/>
        <v>78820677882067</v>
      </c>
      <c r="B3753" t="str">
        <f t="shared" si="119"/>
        <v>7882067G6032Z2-M</v>
      </c>
      <c r="C3753" s="1" t="s">
        <v>15</v>
      </c>
      <c r="D3753" s="1" t="s">
        <v>717</v>
      </c>
      <c r="E3753" s="1" t="s">
        <v>379</v>
      </c>
      <c r="F3753" s="1" t="s">
        <v>504</v>
      </c>
      <c r="G3753" s="1" t="s">
        <v>484</v>
      </c>
      <c r="H3753" s="1">
        <v>252</v>
      </c>
      <c r="I3753" s="3">
        <v>46281</v>
      </c>
      <c r="J3753" s="3">
        <v>46287</v>
      </c>
      <c r="K3753" s="3" t="s">
        <v>2374</v>
      </c>
      <c r="L3753" s="31">
        <v>46281.608975543983</v>
      </c>
      <c r="M3753" s="20">
        <v>6</v>
      </c>
      <c r="N3753" s="1">
        <v>18</v>
      </c>
    </row>
    <row r="3754" spans="1:14" x14ac:dyDescent="0.25">
      <c r="A3754" t="str">
        <f t="shared" si="118"/>
        <v>78820677882067</v>
      </c>
      <c r="B3754" t="str">
        <f t="shared" si="119"/>
        <v>7882067G6032Z2-M</v>
      </c>
      <c r="C3754" s="1" t="s">
        <v>15</v>
      </c>
      <c r="D3754" s="1" t="s">
        <v>717</v>
      </c>
      <c r="E3754" s="1" t="s">
        <v>379</v>
      </c>
      <c r="F3754" s="1" t="s">
        <v>504</v>
      </c>
      <c r="G3754" s="1" t="s">
        <v>484</v>
      </c>
      <c r="H3754" s="1">
        <v>252</v>
      </c>
      <c r="I3754" s="3">
        <v>46281</v>
      </c>
      <c r="J3754" s="3">
        <v>46287</v>
      </c>
      <c r="K3754" s="3" t="s">
        <v>2374</v>
      </c>
      <c r="L3754" s="31">
        <v>46281.660929016201</v>
      </c>
      <c r="M3754" s="20">
        <v>6</v>
      </c>
      <c r="N3754" s="1">
        <v>5</v>
      </c>
    </row>
    <row r="3755" spans="1:14" x14ac:dyDescent="0.25">
      <c r="A3755" t="str">
        <f t="shared" si="118"/>
        <v>78845187884518</v>
      </c>
      <c r="B3755" t="str">
        <f t="shared" si="119"/>
        <v>7884518G6035EQ-M</v>
      </c>
      <c r="C3755" s="1" t="s">
        <v>677</v>
      </c>
      <c r="D3755" s="1" t="s">
        <v>711</v>
      </c>
      <c r="E3755" s="1" t="s">
        <v>382</v>
      </c>
      <c r="F3755" s="1" t="s">
        <v>383</v>
      </c>
      <c r="G3755" s="1" t="s">
        <v>395</v>
      </c>
      <c r="H3755" s="1">
        <v>528</v>
      </c>
      <c r="I3755" s="3">
        <v>46281</v>
      </c>
      <c r="L3755" s="31">
        <v>46281.358438692128</v>
      </c>
      <c r="M3755" s="20">
        <v>12</v>
      </c>
      <c r="N3755" s="1">
        <v>27</v>
      </c>
    </row>
    <row r="3756" spans="1:14" x14ac:dyDescent="0.25">
      <c r="A3756" t="str">
        <f t="shared" si="118"/>
        <v>78845187884518</v>
      </c>
      <c r="B3756" t="str">
        <f t="shared" si="119"/>
        <v>7884518G6035EQ-M</v>
      </c>
      <c r="C3756" s="1" t="s">
        <v>677</v>
      </c>
      <c r="D3756" s="1" t="s">
        <v>711</v>
      </c>
      <c r="E3756" s="1" t="s">
        <v>382</v>
      </c>
      <c r="F3756" s="1" t="s">
        <v>383</v>
      </c>
      <c r="G3756" s="1" t="s">
        <v>395</v>
      </c>
      <c r="H3756" s="1">
        <v>528</v>
      </c>
      <c r="I3756" s="3">
        <v>46281</v>
      </c>
      <c r="L3756" s="31">
        <v>46281.400004166666</v>
      </c>
      <c r="M3756" s="20">
        <v>12</v>
      </c>
      <c r="N3756" s="1">
        <v>3</v>
      </c>
    </row>
    <row r="3757" spans="1:14" x14ac:dyDescent="0.25">
      <c r="A3757" t="str">
        <f t="shared" si="118"/>
        <v>78845187884518</v>
      </c>
      <c r="B3757" t="str">
        <f t="shared" si="119"/>
        <v>7884518G6035EQ-M</v>
      </c>
      <c r="C3757" s="1" t="s">
        <v>677</v>
      </c>
      <c r="D3757" s="1" t="s">
        <v>711</v>
      </c>
      <c r="E3757" s="1" t="s">
        <v>382</v>
      </c>
      <c r="F3757" s="1" t="s">
        <v>383</v>
      </c>
      <c r="G3757" s="1" t="s">
        <v>395</v>
      </c>
      <c r="H3757" s="1">
        <v>528</v>
      </c>
      <c r="I3757" s="3">
        <v>46281</v>
      </c>
      <c r="L3757" s="31">
        <v>46281.400280752314</v>
      </c>
      <c r="M3757" s="20">
        <v>12</v>
      </c>
      <c r="N3757" s="1">
        <v>10</v>
      </c>
    </row>
    <row r="3758" spans="1:14" x14ac:dyDescent="0.25">
      <c r="A3758" t="str">
        <f t="shared" si="118"/>
        <v>78845187884518</v>
      </c>
      <c r="B3758" t="str">
        <f t="shared" si="119"/>
        <v>7884518G6035EQ-M</v>
      </c>
      <c r="C3758" s="1" t="s">
        <v>677</v>
      </c>
      <c r="D3758" s="1" t="s">
        <v>711</v>
      </c>
      <c r="E3758" s="1" t="s">
        <v>382</v>
      </c>
      <c r="F3758" s="1" t="s">
        <v>383</v>
      </c>
      <c r="G3758" s="1" t="s">
        <v>395</v>
      </c>
      <c r="H3758" s="1">
        <v>528</v>
      </c>
      <c r="I3758" s="3">
        <v>46281</v>
      </c>
      <c r="L3758" s="31">
        <v>46281.400490474538</v>
      </c>
      <c r="M3758" s="20">
        <v>12</v>
      </c>
      <c r="N3758" s="1">
        <v>30</v>
      </c>
    </row>
    <row r="3759" spans="1:14" x14ac:dyDescent="0.25">
      <c r="A3759" t="str">
        <f t="shared" si="118"/>
        <v>78845187884518</v>
      </c>
      <c r="B3759" t="str">
        <f t="shared" si="119"/>
        <v>7884518G6035EQ-M</v>
      </c>
      <c r="C3759" s="1" t="s">
        <v>677</v>
      </c>
      <c r="D3759" s="1" t="s">
        <v>711</v>
      </c>
      <c r="E3759" s="1" t="s">
        <v>382</v>
      </c>
      <c r="F3759" s="1" t="s">
        <v>383</v>
      </c>
      <c r="G3759" s="1" t="s">
        <v>395</v>
      </c>
      <c r="H3759" s="1">
        <v>528</v>
      </c>
      <c r="I3759" s="3">
        <v>46281</v>
      </c>
      <c r="L3759" s="31">
        <v>46281.402226469909</v>
      </c>
      <c r="M3759" s="20">
        <v>12</v>
      </c>
      <c r="N3759" s="1">
        <v>31</v>
      </c>
    </row>
    <row r="3760" spans="1:14" x14ac:dyDescent="0.25">
      <c r="A3760" t="str">
        <f t="shared" si="118"/>
        <v>78845187884518</v>
      </c>
      <c r="B3760" t="str">
        <f t="shared" si="119"/>
        <v>7884518G6035EQ-M</v>
      </c>
      <c r="C3760" s="1" t="s">
        <v>677</v>
      </c>
      <c r="D3760" s="1" t="s">
        <v>711</v>
      </c>
      <c r="E3760" s="1" t="s">
        <v>382</v>
      </c>
      <c r="F3760" s="1" t="s">
        <v>383</v>
      </c>
      <c r="G3760" s="1" t="s">
        <v>395</v>
      </c>
      <c r="H3760" s="1">
        <v>528</v>
      </c>
      <c r="I3760" s="3">
        <v>46281</v>
      </c>
      <c r="L3760" s="31">
        <v>46281.408820752316</v>
      </c>
      <c r="M3760" s="20">
        <v>12</v>
      </c>
      <c r="N3760" s="1">
        <v>20</v>
      </c>
    </row>
    <row r="3761" spans="1:14" x14ac:dyDescent="0.25">
      <c r="A3761" t="str">
        <f t="shared" si="118"/>
        <v>78845187884518</v>
      </c>
      <c r="B3761" t="str">
        <f t="shared" si="119"/>
        <v>7884518G6035EQ-M</v>
      </c>
      <c r="C3761" s="1" t="s">
        <v>677</v>
      </c>
      <c r="D3761" s="1" t="s">
        <v>711</v>
      </c>
      <c r="E3761" s="1" t="s">
        <v>382</v>
      </c>
      <c r="F3761" s="1" t="s">
        <v>383</v>
      </c>
      <c r="G3761" s="1" t="s">
        <v>395</v>
      </c>
      <c r="H3761" s="1">
        <v>528</v>
      </c>
      <c r="I3761" s="3">
        <v>46281</v>
      </c>
      <c r="L3761" s="31">
        <v>46281.409283020832</v>
      </c>
      <c r="M3761" s="20">
        <v>12</v>
      </c>
      <c r="N3761" s="1">
        <v>21</v>
      </c>
    </row>
    <row r="3762" spans="1:14" x14ac:dyDescent="0.25">
      <c r="A3762" t="str">
        <f t="shared" si="118"/>
        <v>78845187884518</v>
      </c>
      <c r="B3762" t="str">
        <f t="shared" si="119"/>
        <v>7884518G6035EQ-M</v>
      </c>
      <c r="C3762" s="1" t="s">
        <v>677</v>
      </c>
      <c r="D3762" s="1" t="s">
        <v>711</v>
      </c>
      <c r="E3762" s="1" t="s">
        <v>382</v>
      </c>
      <c r="F3762" s="1" t="s">
        <v>383</v>
      </c>
      <c r="G3762" s="1" t="s">
        <v>395</v>
      </c>
      <c r="H3762" s="1">
        <v>528</v>
      </c>
      <c r="I3762" s="3">
        <v>46281</v>
      </c>
      <c r="L3762" s="31">
        <v>46281.416402118055</v>
      </c>
      <c r="M3762" s="20">
        <v>12</v>
      </c>
      <c r="N3762" s="1">
        <v>11</v>
      </c>
    </row>
    <row r="3763" spans="1:14" x14ac:dyDescent="0.25">
      <c r="A3763" t="str">
        <f t="shared" si="118"/>
        <v>78845187884518</v>
      </c>
      <c r="B3763" t="str">
        <f t="shared" si="119"/>
        <v>7884518G6035EQ-M</v>
      </c>
      <c r="C3763" s="1" t="s">
        <v>677</v>
      </c>
      <c r="D3763" s="1" t="s">
        <v>711</v>
      </c>
      <c r="E3763" s="1" t="s">
        <v>382</v>
      </c>
      <c r="F3763" s="1" t="s">
        <v>383</v>
      </c>
      <c r="G3763" s="1" t="s">
        <v>395</v>
      </c>
      <c r="H3763" s="1">
        <v>528</v>
      </c>
      <c r="I3763" s="3">
        <v>46281</v>
      </c>
      <c r="L3763" s="31">
        <v>46281.427344791664</v>
      </c>
      <c r="M3763" s="20">
        <v>12</v>
      </c>
      <c r="N3763" s="1">
        <v>4</v>
      </c>
    </row>
    <row r="3764" spans="1:14" x14ac:dyDescent="0.25">
      <c r="A3764" t="str">
        <f t="shared" si="118"/>
        <v>78845187884518</v>
      </c>
      <c r="B3764" t="str">
        <f t="shared" si="119"/>
        <v>7884518G6035EQ-M</v>
      </c>
      <c r="C3764" s="1" t="s">
        <v>677</v>
      </c>
      <c r="D3764" s="1" t="s">
        <v>711</v>
      </c>
      <c r="E3764" s="1" t="s">
        <v>382</v>
      </c>
      <c r="F3764" s="1" t="s">
        <v>383</v>
      </c>
      <c r="G3764" s="1" t="s">
        <v>395</v>
      </c>
      <c r="H3764" s="1">
        <v>528</v>
      </c>
      <c r="I3764" s="3">
        <v>46281</v>
      </c>
      <c r="L3764" s="31">
        <v>46281.446931099534</v>
      </c>
      <c r="M3764" s="20">
        <v>12</v>
      </c>
      <c r="N3764" s="1">
        <v>5</v>
      </c>
    </row>
    <row r="3765" spans="1:14" x14ac:dyDescent="0.25">
      <c r="A3765" t="str">
        <f t="shared" si="118"/>
        <v>78845187884518</v>
      </c>
      <c r="B3765" t="str">
        <f t="shared" si="119"/>
        <v>7884518G6035EQ-M</v>
      </c>
      <c r="C3765" s="1" t="s">
        <v>677</v>
      </c>
      <c r="D3765" s="1" t="s">
        <v>711</v>
      </c>
      <c r="E3765" s="1" t="s">
        <v>382</v>
      </c>
      <c r="F3765" s="1" t="s">
        <v>383</v>
      </c>
      <c r="G3765" s="1" t="s">
        <v>395</v>
      </c>
      <c r="H3765" s="1">
        <v>528</v>
      </c>
      <c r="I3765" s="3">
        <v>46281</v>
      </c>
      <c r="L3765" s="31">
        <v>46281.447436030088</v>
      </c>
      <c r="M3765" s="20">
        <v>12</v>
      </c>
      <c r="N3765" s="1">
        <v>32</v>
      </c>
    </row>
    <row r="3766" spans="1:14" x14ac:dyDescent="0.25">
      <c r="A3766" t="str">
        <f t="shared" si="118"/>
        <v>78845187884518</v>
      </c>
      <c r="B3766" t="str">
        <f t="shared" si="119"/>
        <v>7884518G6035EQ-M</v>
      </c>
      <c r="C3766" s="1" t="s">
        <v>677</v>
      </c>
      <c r="D3766" s="1" t="s">
        <v>711</v>
      </c>
      <c r="E3766" s="1" t="s">
        <v>382</v>
      </c>
      <c r="F3766" s="1" t="s">
        <v>383</v>
      </c>
      <c r="G3766" s="1" t="s">
        <v>395</v>
      </c>
      <c r="H3766" s="1">
        <v>528</v>
      </c>
      <c r="I3766" s="3">
        <v>46281</v>
      </c>
      <c r="L3766" s="31">
        <v>46281.45333113426</v>
      </c>
      <c r="M3766" s="20">
        <v>12</v>
      </c>
      <c r="N3766" s="1">
        <v>6</v>
      </c>
    </row>
    <row r="3767" spans="1:14" x14ac:dyDescent="0.25">
      <c r="A3767" t="str">
        <f t="shared" si="118"/>
        <v>78845187884518</v>
      </c>
      <c r="B3767" t="str">
        <f t="shared" si="119"/>
        <v>7884518G6035EQ-M</v>
      </c>
      <c r="C3767" s="1" t="s">
        <v>677</v>
      </c>
      <c r="D3767" s="1" t="s">
        <v>711</v>
      </c>
      <c r="E3767" s="1" t="s">
        <v>382</v>
      </c>
      <c r="F3767" s="1" t="s">
        <v>383</v>
      </c>
      <c r="G3767" s="1" t="s">
        <v>395</v>
      </c>
      <c r="H3767" s="1">
        <v>528</v>
      </c>
      <c r="I3767" s="3">
        <v>46281</v>
      </c>
      <c r="L3767" s="31">
        <v>46281.453775347218</v>
      </c>
      <c r="M3767" s="20">
        <v>12</v>
      </c>
      <c r="N3767" s="1">
        <v>33</v>
      </c>
    </row>
    <row r="3768" spans="1:14" x14ac:dyDescent="0.25">
      <c r="A3768" t="str">
        <f t="shared" si="118"/>
        <v>78845187884518</v>
      </c>
      <c r="B3768" t="str">
        <f t="shared" si="119"/>
        <v>7884518G6035EQ-M</v>
      </c>
      <c r="C3768" s="1" t="s">
        <v>677</v>
      </c>
      <c r="D3768" s="1" t="s">
        <v>711</v>
      </c>
      <c r="E3768" s="1" t="s">
        <v>382</v>
      </c>
      <c r="F3768" s="1" t="s">
        <v>383</v>
      </c>
      <c r="G3768" s="1" t="s">
        <v>395</v>
      </c>
      <c r="H3768" s="1">
        <v>528</v>
      </c>
      <c r="I3768" s="3">
        <v>46281</v>
      </c>
      <c r="L3768" s="31">
        <v>46281.454135879627</v>
      </c>
      <c r="M3768" s="20">
        <v>12</v>
      </c>
      <c r="N3768" s="1">
        <v>25</v>
      </c>
    </row>
    <row r="3769" spans="1:14" x14ac:dyDescent="0.25">
      <c r="A3769" t="str">
        <f t="shared" si="118"/>
        <v>78845187884518</v>
      </c>
      <c r="B3769" t="str">
        <f t="shared" si="119"/>
        <v>7884518G6035EQ-M</v>
      </c>
      <c r="C3769" s="1" t="s">
        <v>677</v>
      </c>
      <c r="D3769" s="1" t="s">
        <v>711</v>
      </c>
      <c r="E3769" s="1" t="s">
        <v>382</v>
      </c>
      <c r="F3769" s="1" t="s">
        <v>383</v>
      </c>
      <c r="G3769" s="1" t="s">
        <v>395</v>
      </c>
      <c r="H3769" s="1">
        <v>528</v>
      </c>
      <c r="I3769" s="3">
        <v>46281</v>
      </c>
      <c r="L3769" s="31">
        <v>46281.455315891202</v>
      </c>
      <c r="M3769" s="20">
        <v>12</v>
      </c>
      <c r="N3769" s="1">
        <v>12</v>
      </c>
    </row>
    <row r="3770" spans="1:14" x14ac:dyDescent="0.25">
      <c r="A3770" t="str">
        <f t="shared" si="118"/>
        <v>78845187884518</v>
      </c>
      <c r="B3770" t="str">
        <f t="shared" si="119"/>
        <v>7884518G6035EQ-M</v>
      </c>
      <c r="C3770" s="1" t="s">
        <v>677</v>
      </c>
      <c r="D3770" s="1" t="s">
        <v>711</v>
      </c>
      <c r="E3770" s="1" t="s">
        <v>382</v>
      </c>
      <c r="F3770" s="1" t="s">
        <v>383</v>
      </c>
      <c r="G3770" s="1" t="s">
        <v>395</v>
      </c>
      <c r="H3770" s="1">
        <v>528</v>
      </c>
      <c r="I3770" s="3">
        <v>46281</v>
      </c>
      <c r="L3770" s="31">
        <v>46281.466775115739</v>
      </c>
      <c r="M3770" s="20">
        <v>12</v>
      </c>
      <c r="N3770" s="1">
        <v>7</v>
      </c>
    </row>
    <row r="3771" spans="1:14" x14ac:dyDescent="0.25">
      <c r="A3771" t="str">
        <f t="shared" si="118"/>
        <v>78845187884518</v>
      </c>
      <c r="B3771" t="str">
        <f t="shared" si="119"/>
        <v>7884518G6035EQ-M</v>
      </c>
      <c r="C3771" s="1" t="s">
        <v>677</v>
      </c>
      <c r="D3771" s="1" t="s">
        <v>711</v>
      </c>
      <c r="E3771" s="1" t="s">
        <v>382</v>
      </c>
      <c r="F3771" s="1" t="s">
        <v>383</v>
      </c>
      <c r="G3771" s="1" t="s">
        <v>395</v>
      </c>
      <c r="H3771" s="1">
        <v>528</v>
      </c>
      <c r="I3771" s="3">
        <v>46281</v>
      </c>
      <c r="L3771" s="31">
        <v>46281.477222141199</v>
      </c>
      <c r="M3771" s="20">
        <v>12</v>
      </c>
      <c r="N3771" s="1">
        <v>13</v>
      </c>
    </row>
    <row r="3772" spans="1:14" x14ac:dyDescent="0.25">
      <c r="A3772" t="str">
        <f t="shared" si="118"/>
        <v>78845187884518</v>
      </c>
      <c r="B3772" t="str">
        <f t="shared" si="119"/>
        <v>7884518G6035EQ-M</v>
      </c>
      <c r="C3772" s="1" t="s">
        <v>677</v>
      </c>
      <c r="D3772" s="1" t="s">
        <v>711</v>
      </c>
      <c r="E3772" s="1" t="s">
        <v>382</v>
      </c>
      <c r="F3772" s="1" t="s">
        <v>383</v>
      </c>
      <c r="G3772" s="1" t="s">
        <v>395</v>
      </c>
      <c r="H3772" s="1">
        <v>528</v>
      </c>
      <c r="I3772" s="3">
        <v>46281</v>
      </c>
      <c r="L3772" s="31">
        <v>46281.477390243053</v>
      </c>
      <c r="M3772" s="20">
        <v>12</v>
      </c>
      <c r="N3772" s="1">
        <v>22</v>
      </c>
    </row>
    <row r="3773" spans="1:14" x14ac:dyDescent="0.25">
      <c r="A3773" t="str">
        <f t="shared" si="118"/>
        <v>78845187884518</v>
      </c>
      <c r="B3773" t="str">
        <f t="shared" si="119"/>
        <v>7884518G6035EQ-M</v>
      </c>
      <c r="C3773" s="1" t="s">
        <v>677</v>
      </c>
      <c r="D3773" s="1" t="s">
        <v>711</v>
      </c>
      <c r="E3773" s="1" t="s">
        <v>382</v>
      </c>
      <c r="F3773" s="1" t="s">
        <v>383</v>
      </c>
      <c r="G3773" s="1" t="s">
        <v>395</v>
      </c>
      <c r="H3773" s="1">
        <v>528</v>
      </c>
      <c r="I3773" s="3">
        <v>46281</v>
      </c>
      <c r="L3773" s="31">
        <v>46281.47758903935</v>
      </c>
      <c r="M3773" s="20">
        <v>12</v>
      </c>
      <c r="N3773" s="1">
        <v>28</v>
      </c>
    </row>
    <row r="3774" spans="1:14" x14ac:dyDescent="0.25">
      <c r="A3774" t="str">
        <f t="shared" si="118"/>
        <v>78845187884518</v>
      </c>
      <c r="B3774" t="str">
        <f t="shared" si="119"/>
        <v>7884518G6035EQ-M</v>
      </c>
      <c r="C3774" s="1" t="s">
        <v>677</v>
      </c>
      <c r="D3774" s="1" t="s">
        <v>711</v>
      </c>
      <c r="E3774" s="1" t="s">
        <v>382</v>
      </c>
      <c r="F3774" s="1" t="s">
        <v>383</v>
      </c>
      <c r="G3774" s="1" t="s">
        <v>395</v>
      </c>
      <c r="H3774" s="1">
        <v>528</v>
      </c>
      <c r="I3774" s="3">
        <v>46281</v>
      </c>
      <c r="L3774" s="31">
        <v>46281.480768668982</v>
      </c>
      <c r="M3774" s="20">
        <v>12</v>
      </c>
      <c r="N3774" s="1">
        <v>24</v>
      </c>
    </row>
    <row r="3775" spans="1:14" x14ac:dyDescent="0.25">
      <c r="A3775" t="str">
        <f t="shared" si="118"/>
        <v>78845187884518</v>
      </c>
      <c r="B3775" t="str">
        <f t="shared" si="119"/>
        <v>7884518G6035EQ-M</v>
      </c>
      <c r="C3775" s="1" t="s">
        <v>677</v>
      </c>
      <c r="D3775" s="1" t="s">
        <v>711</v>
      </c>
      <c r="E3775" s="1" t="s">
        <v>382</v>
      </c>
      <c r="F3775" s="1" t="s">
        <v>383</v>
      </c>
      <c r="G3775" s="1" t="s">
        <v>395</v>
      </c>
      <c r="H3775" s="1">
        <v>528</v>
      </c>
      <c r="I3775" s="3">
        <v>46281</v>
      </c>
      <c r="L3775" s="31">
        <v>46281.581169594909</v>
      </c>
      <c r="M3775" s="20">
        <v>12</v>
      </c>
      <c r="N3775" s="1">
        <v>23</v>
      </c>
    </row>
    <row r="3776" spans="1:14" x14ac:dyDescent="0.25">
      <c r="A3776" t="str">
        <f t="shared" si="118"/>
        <v>78845187884518</v>
      </c>
      <c r="B3776" t="str">
        <f t="shared" si="119"/>
        <v>7884518G6035EQ-M</v>
      </c>
      <c r="C3776" s="1" t="s">
        <v>677</v>
      </c>
      <c r="D3776" s="1" t="s">
        <v>711</v>
      </c>
      <c r="E3776" s="1" t="s">
        <v>382</v>
      </c>
      <c r="F3776" s="1" t="s">
        <v>383</v>
      </c>
      <c r="G3776" s="1" t="s">
        <v>395</v>
      </c>
      <c r="H3776" s="1">
        <v>528</v>
      </c>
      <c r="I3776" s="3">
        <v>46281</v>
      </c>
      <c r="L3776" s="31">
        <v>46281.595890277778</v>
      </c>
      <c r="M3776" s="20">
        <v>12</v>
      </c>
      <c r="N3776" s="1">
        <v>17</v>
      </c>
    </row>
    <row r="3777" spans="1:14" x14ac:dyDescent="0.25">
      <c r="A3777" t="str">
        <f t="shared" si="118"/>
        <v>78845187884518</v>
      </c>
      <c r="B3777" t="str">
        <f t="shared" si="119"/>
        <v>7884518G6035EQ-M</v>
      </c>
      <c r="C3777" s="1" t="s">
        <v>677</v>
      </c>
      <c r="D3777" s="1" t="s">
        <v>711</v>
      </c>
      <c r="E3777" s="1" t="s">
        <v>382</v>
      </c>
      <c r="F3777" s="1" t="s">
        <v>383</v>
      </c>
      <c r="G3777" s="1" t="s">
        <v>395</v>
      </c>
      <c r="H3777" s="1">
        <v>528</v>
      </c>
      <c r="I3777" s="3">
        <v>46281</v>
      </c>
      <c r="L3777" s="31">
        <v>46281.596239930557</v>
      </c>
      <c r="M3777" s="20">
        <v>12</v>
      </c>
      <c r="N3777" s="1">
        <v>37</v>
      </c>
    </row>
    <row r="3778" spans="1:14" x14ac:dyDescent="0.25">
      <c r="A3778" t="str">
        <f t="shared" ref="A3778:A3841" si="120">+D3778&amp;D3778</f>
        <v>78845187884518</v>
      </c>
      <c r="B3778" t="str">
        <f t="shared" ref="B3778:B3841" si="121">+D3778&amp;C3778</f>
        <v>7884518G6035EQ-M</v>
      </c>
      <c r="C3778" s="1" t="s">
        <v>677</v>
      </c>
      <c r="D3778" s="1" t="s">
        <v>711</v>
      </c>
      <c r="E3778" s="1" t="s">
        <v>382</v>
      </c>
      <c r="F3778" s="1" t="s">
        <v>383</v>
      </c>
      <c r="G3778" s="1" t="s">
        <v>395</v>
      </c>
      <c r="H3778" s="1">
        <v>528</v>
      </c>
      <c r="I3778" s="3">
        <v>46281</v>
      </c>
      <c r="L3778" s="31">
        <v>46281.618242511569</v>
      </c>
      <c r="M3778" s="20">
        <v>12</v>
      </c>
      <c r="N3778" s="1">
        <v>25</v>
      </c>
    </row>
    <row r="3779" spans="1:14" x14ac:dyDescent="0.25">
      <c r="A3779" t="str">
        <f t="shared" si="120"/>
        <v>78845187884518</v>
      </c>
      <c r="B3779" t="str">
        <f t="shared" si="121"/>
        <v>7884518G6035EQ-M</v>
      </c>
      <c r="C3779" s="1" t="s">
        <v>677</v>
      </c>
      <c r="D3779" s="1" t="s">
        <v>711</v>
      </c>
      <c r="E3779" s="1" t="s">
        <v>382</v>
      </c>
      <c r="F3779" s="1" t="s">
        <v>383</v>
      </c>
      <c r="G3779" s="1" t="s">
        <v>395</v>
      </c>
      <c r="H3779" s="1">
        <v>528</v>
      </c>
      <c r="I3779" s="3">
        <v>46281</v>
      </c>
      <c r="L3779" s="31">
        <v>46281.63186577546</v>
      </c>
      <c r="M3779" s="20">
        <v>12</v>
      </c>
      <c r="N3779" s="1">
        <v>29</v>
      </c>
    </row>
    <row r="3780" spans="1:14" x14ac:dyDescent="0.25">
      <c r="A3780" t="str">
        <f t="shared" si="120"/>
        <v>78845187884518</v>
      </c>
      <c r="B3780" t="str">
        <f t="shared" si="121"/>
        <v>7884518G6035EQ-M</v>
      </c>
      <c r="C3780" s="1" t="s">
        <v>677</v>
      </c>
      <c r="D3780" s="1" t="s">
        <v>711</v>
      </c>
      <c r="E3780" s="1" t="s">
        <v>382</v>
      </c>
      <c r="F3780" s="1" t="s">
        <v>383</v>
      </c>
      <c r="G3780" s="1" t="s">
        <v>395</v>
      </c>
      <c r="H3780" s="1">
        <v>528</v>
      </c>
      <c r="I3780" s="3">
        <v>46281</v>
      </c>
      <c r="L3780" s="31">
        <v>46281.632066087965</v>
      </c>
      <c r="M3780" s="20">
        <v>12</v>
      </c>
      <c r="N3780" s="1">
        <v>19</v>
      </c>
    </row>
    <row r="3781" spans="1:14" x14ac:dyDescent="0.25">
      <c r="A3781" t="str">
        <f t="shared" si="120"/>
        <v>78845187884518</v>
      </c>
      <c r="B3781" t="str">
        <f t="shared" si="121"/>
        <v>7884518G6035EQ-M</v>
      </c>
      <c r="C3781" s="1" t="s">
        <v>677</v>
      </c>
      <c r="D3781" s="1" t="s">
        <v>711</v>
      </c>
      <c r="E3781" s="1" t="s">
        <v>382</v>
      </c>
      <c r="F3781" s="1" t="s">
        <v>383</v>
      </c>
      <c r="G3781" s="1" t="s">
        <v>395</v>
      </c>
      <c r="H3781" s="1">
        <v>528</v>
      </c>
      <c r="I3781" s="3">
        <v>46281</v>
      </c>
      <c r="L3781" s="31">
        <v>46281.637416400459</v>
      </c>
      <c r="M3781" s="20">
        <v>12</v>
      </c>
      <c r="N3781" s="1">
        <v>15</v>
      </c>
    </row>
    <row r="3782" spans="1:14" x14ac:dyDescent="0.25">
      <c r="A3782" t="str">
        <f t="shared" si="120"/>
        <v>78845187884518</v>
      </c>
      <c r="B3782" t="str">
        <f t="shared" si="121"/>
        <v>7884518G6035EQ-M</v>
      </c>
      <c r="C3782" s="1" t="s">
        <v>677</v>
      </c>
      <c r="D3782" s="1" t="s">
        <v>711</v>
      </c>
      <c r="E3782" s="1" t="s">
        <v>382</v>
      </c>
      <c r="F3782" s="1" t="s">
        <v>383</v>
      </c>
      <c r="G3782" s="1" t="s">
        <v>395</v>
      </c>
      <c r="H3782" s="1">
        <v>528</v>
      </c>
      <c r="I3782" s="3">
        <v>46281</v>
      </c>
      <c r="L3782" s="31">
        <v>46281.678519710644</v>
      </c>
      <c r="M3782" s="20">
        <v>12</v>
      </c>
      <c r="N3782" s="1">
        <v>39</v>
      </c>
    </row>
    <row r="3783" spans="1:14" x14ac:dyDescent="0.25">
      <c r="A3783" t="str">
        <f t="shared" si="120"/>
        <v>78845187884518</v>
      </c>
      <c r="B3783" t="str">
        <f t="shared" si="121"/>
        <v>7884518G6035EQ-M</v>
      </c>
      <c r="C3783" s="1" t="s">
        <v>677</v>
      </c>
      <c r="D3783" s="1" t="s">
        <v>711</v>
      </c>
      <c r="E3783" s="1" t="s">
        <v>382</v>
      </c>
      <c r="F3783" s="1" t="s">
        <v>383</v>
      </c>
      <c r="G3783" s="1" t="s">
        <v>395</v>
      </c>
      <c r="H3783" s="1">
        <v>528</v>
      </c>
      <c r="I3783" s="3">
        <v>46281</v>
      </c>
      <c r="L3783" s="31">
        <v>46281.678837615742</v>
      </c>
      <c r="M3783" s="20">
        <v>12</v>
      </c>
      <c r="N3783" s="1">
        <v>8</v>
      </c>
    </row>
    <row r="3784" spans="1:14" x14ac:dyDescent="0.25">
      <c r="A3784" t="str">
        <f t="shared" si="120"/>
        <v>78845187884518</v>
      </c>
      <c r="B3784" t="str">
        <f t="shared" si="121"/>
        <v>7884518G6035EQ-M</v>
      </c>
      <c r="C3784" s="1" t="s">
        <v>677</v>
      </c>
      <c r="D3784" s="1" t="s">
        <v>711</v>
      </c>
      <c r="E3784" s="1" t="s">
        <v>382</v>
      </c>
      <c r="F3784" s="1" t="s">
        <v>383</v>
      </c>
      <c r="G3784" s="1" t="s">
        <v>395</v>
      </c>
      <c r="H3784" s="1">
        <v>528</v>
      </c>
      <c r="I3784" s="3">
        <v>46281</v>
      </c>
      <c r="L3784" s="31">
        <v>46281.679205787033</v>
      </c>
      <c r="M3784" s="20">
        <v>12</v>
      </c>
      <c r="N3784" s="1">
        <v>26</v>
      </c>
    </row>
    <row r="3785" spans="1:14" x14ac:dyDescent="0.25">
      <c r="A3785" t="str">
        <f t="shared" si="120"/>
        <v>78845187884518</v>
      </c>
      <c r="B3785" t="str">
        <f t="shared" si="121"/>
        <v>7884518G6035EQ-M</v>
      </c>
      <c r="C3785" s="1" t="s">
        <v>677</v>
      </c>
      <c r="D3785" s="1" t="s">
        <v>711</v>
      </c>
      <c r="E3785" s="1" t="s">
        <v>382</v>
      </c>
      <c r="F3785" s="1" t="s">
        <v>383</v>
      </c>
      <c r="G3785" s="1" t="s">
        <v>395</v>
      </c>
      <c r="H3785" s="1">
        <v>528</v>
      </c>
      <c r="I3785" s="3">
        <v>46281</v>
      </c>
      <c r="L3785" s="31">
        <v>46281.682582407404</v>
      </c>
      <c r="M3785" s="20">
        <v>12</v>
      </c>
      <c r="N3785" s="1">
        <v>38</v>
      </c>
    </row>
    <row r="3786" spans="1:14" x14ac:dyDescent="0.25">
      <c r="A3786" t="str">
        <f t="shared" si="120"/>
        <v>78845187884518</v>
      </c>
      <c r="B3786" t="str">
        <f t="shared" si="121"/>
        <v>7884518G6035EQ-M</v>
      </c>
      <c r="C3786" s="1" t="s">
        <v>677</v>
      </c>
      <c r="D3786" s="1" t="s">
        <v>711</v>
      </c>
      <c r="E3786" s="1" t="s">
        <v>382</v>
      </c>
      <c r="F3786" s="1" t="s">
        <v>383</v>
      </c>
      <c r="G3786" s="1" t="s">
        <v>395</v>
      </c>
      <c r="H3786" s="1">
        <v>528</v>
      </c>
      <c r="I3786" s="3">
        <v>46281</v>
      </c>
      <c r="L3786" s="31">
        <v>46281.691149456019</v>
      </c>
      <c r="M3786" s="20">
        <v>12</v>
      </c>
      <c r="N3786" s="1">
        <v>40</v>
      </c>
    </row>
    <row r="3787" spans="1:14" x14ac:dyDescent="0.25">
      <c r="A3787" t="str">
        <f t="shared" si="120"/>
        <v>78845187884518</v>
      </c>
      <c r="B3787" t="str">
        <f t="shared" si="121"/>
        <v>7884518G6035EQ-M</v>
      </c>
      <c r="C3787" s="1" t="s">
        <v>677</v>
      </c>
      <c r="D3787" s="1" t="s">
        <v>711</v>
      </c>
      <c r="E3787" s="1" t="s">
        <v>382</v>
      </c>
      <c r="F3787" s="1" t="s">
        <v>383</v>
      </c>
      <c r="G3787" s="1" t="s">
        <v>395</v>
      </c>
      <c r="H3787" s="1">
        <v>528</v>
      </c>
      <c r="I3787" s="3">
        <v>46281</v>
      </c>
      <c r="L3787" s="31">
        <v>46281.696750462957</v>
      </c>
      <c r="M3787" s="20">
        <v>12</v>
      </c>
      <c r="N3787" s="1">
        <v>34</v>
      </c>
    </row>
    <row r="3788" spans="1:14" x14ac:dyDescent="0.25">
      <c r="A3788" t="str">
        <f t="shared" si="120"/>
        <v>78845187884518</v>
      </c>
      <c r="B3788" t="str">
        <f t="shared" si="121"/>
        <v>7884518G6035EQ-M</v>
      </c>
      <c r="C3788" s="1" t="s">
        <v>677</v>
      </c>
      <c r="D3788" s="1" t="s">
        <v>711</v>
      </c>
      <c r="E3788" s="1" t="s">
        <v>382</v>
      </c>
      <c r="F3788" s="1" t="s">
        <v>383</v>
      </c>
      <c r="G3788" s="1" t="s">
        <v>395</v>
      </c>
      <c r="H3788" s="1">
        <v>528</v>
      </c>
      <c r="I3788" s="3">
        <v>46281</v>
      </c>
      <c r="L3788" s="31">
        <v>46281.697446678241</v>
      </c>
      <c r="M3788" s="20">
        <v>12</v>
      </c>
      <c r="N3788" s="1">
        <v>14</v>
      </c>
    </row>
    <row r="3789" spans="1:14" x14ac:dyDescent="0.25">
      <c r="A3789" t="str">
        <f t="shared" si="120"/>
        <v>78845247884524</v>
      </c>
      <c r="B3789" t="str">
        <f t="shared" si="121"/>
        <v>7884524G6037LU-M</v>
      </c>
      <c r="C3789" s="1" t="s">
        <v>486</v>
      </c>
      <c r="D3789" s="1" t="s">
        <v>727</v>
      </c>
      <c r="E3789" s="1" t="s">
        <v>382</v>
      </c>
      <c r="F3789" s="1" t="s">
        <v>383</v>
      </c>
      <c r="G3789" s="1" t="s">
        <v>395</v>
      </c>
      <c r="H3789" s="1">
        <v>522</v>
      </c>
      <c r="I3789" s="3">
        <v>46281</v>
      </c>
      <c r="L3789" s="31">
        <v>46281.671405902773</v>
      </c>
      <c r="M3789" s="20">
        <v>12</v>
      </c>
      <c r="N3789" s="1">
        <v>19</v>
      </c>
    </row>
    <row r="3790" spans="1:14" x14ac:dyDescent="0.25">
      <c r="A3790" t="str">
        <f t="shared" si="120"/>
        <v>78845247884524</v>
      </c>
      <c r="B3790" t="str">
        <f t="shared" si="121"/>
        <v>7884524G6037LU-M</v>
      </c>
      <c r="C3790" s="1" t="s">
        <v>486</v>
      </c>
      <c r="D3790" s="1" t="s">
        <v>727</v>
      </c>
      <c r="E3790" s="1" t="s">
        <v>382</v>
      </c>
      <c r="F3790" s="1" t="s">
        <v>383</v>
      </c>
      <c r="G3790" s="1" t="s">
        <v>395</v>
      </c>
      <c r="H3790" s="1">
        <v>522</v>
      </c>
      <c r="I3790" s="3">
        <v>46281</v>
      </c>
      <c r="L3790" s="31">
        <v>46281.672132951389</v>
      </c>
      <c r="M3790" s="20">
        <v>12</v>
      </c>
      <c r="N3790" s="1">
        <v>37</v>
      </c>
    </row>
    <row r="3791" spans="1:14" x14ac:dyDescent="0.25">
      <c r="A3791" t="str">
        <f t="shared" si="120"/>
        <v>78845247884524</v>
      </c>
      <c r="B3791" t="str">
        <f t="shared" si="121"/>
        <v>7884524G6037LU-M</v>
      </c>
      <c r="C3791" s="1" t="s">
        <v>486</v>
      </c>
      <c r="D3791" s="1" t="s">
        <v>727</v>
      </c>
      <c r="E3791" s="1" t="s">
        <v>382</v>
      </c>
      <c r="F3791" s="1" t="s">
        <v>383</v>
      </c>
      <c r="G3791" s="1" t="s">
        <v>395</v>
      </c>
      <c r="H3791" s="1">
        <v>522</v>
      </c>
      <c r="I3791" s="3">
        <v>46281</v>
      </c>
      <c r="L3791" s="31">
        <v>46281.680242789349</v>
      </c>
      <c r="M3791" s="20">
        <v>12</v>
      </c>
      <c r="N3791" s="1">
        <v>38</v>
      </c>
    </row>
    <row r="3792" spans="1:14" x14ac:dyDescent="0.25">
      <c r="A3792" t="str">
        <f t="shared" si="120"/>
        <v>78845247884524</v>
      </c>
      <c r="B3792" t="str">
        <f t="shared" si="121"/>
        <v>7884524G6037LU-M</v>
      </c>
      <c r="C3792" s="1" t="s">
        <v>486</v>
      </c>
      <c r="D3792" s="1" t="s">
        <v>727</v>
      </c>
      <c r="E3792" s="1" t="s">
        <v>382</v>
      </c>
      <c r="F3792" s="1" t="s">
        <v>383</v>
      </c>
      <c r="G3792" s="1" t="s">
        <v>395</v>
      </c>
      <c r="H3792" s="1">
        <v>522</v>
      </c>
      <c r="I3792" s="3">
        <v>46281</v>
      </c>
      <c r="L3792" s="31">
        <v>46281.682809375001</v>
      </c>
      <c r="M3792" s="20">
        <v>12</v>
      </c>
      <c r="N3792" s="1">
        <v>29</v>
      </c>
    </row>
    <row r="3793" spans="1:14" x14ac:dyDescent="0.25">
      <c r="A3793" t="str">
        <f t="shared" si="120"/>
        <v>78845247884524</v>
      </c>
      <c r="B3793" t="str">
        <f t="shared" si="121"/>
        <v>7884524G6037LU-M</v>
      </c>
      <c r="C3793" s="1" t="s">
        <v>486</v>
      </c>
      <c r="D3793" s="1" t="s">
        <v>727</v>
      </c>
      <c r="E3793" s="1" t="s">
        <v>382</v>
      </c>
      <c r="F3793" s="1" t="s">
        <v>383</v>
      </c>
      <c r="G3793" s="1" t="s">
        <v>395</v>
      </c>
      <c r="H3793" s="1">
        <v>522</v>
      </c>
      <c r="I3793" s="3">
        <v>46281</v>
      </c>
      <c r="L3793" s="31">
        <v>46281.683407141201</v>
      </c>
      <c r="M3793" s="20">
        <v>12</v>
      </c>
      <c r="N3793" s="1">
        <v>20</v>
      </c>
    </row>
    <row r="3794" spans="1:14" x14ac:dyDescent="0.25">
      <c r="A3794" t="str">
        <f t="shared" si="120"/>
        <v>78845247884524</v>
      </c>
      <c r="B3794" t="str">
        <f t="shared" si="121"/>
        <v>7884524G6037LU-M</v>
      </c>
      <c r="C3794" s="1" t="s">
        <v>486</v>
      </c>
      <c r="D3794" s="1" t="s">
        <v>727</v>
      </c>
      <c r="E3794" s="1" t="s">
        <v>382</v>
      </c>
      <c r="F3794" s="1" t="s">
        <v>383</v>
      </c>
      <c r="G3794" s="1" t="s">
        <v>395</v>
      </c>
      <c r="H3794" s="1">
        <v>522</v>
      </c>
      <c r="I3794" s="3">
        <v>46281</v>
      </c>
      <c r="L3794" s="31">
        <v>46281.700009872686</v>
      </c>
      <c r="M3794" s="20">
        <v>12</v>
      </c>
      <c r="N3794" s="1">
        <v>39</v>
      </c>
    </row>
    <row r="3795" spans="1:14" x14ac:dyDescent="0.25">
      <c r="A3795" t="str">
        <f t="shared" si="120"/>
        <v>78845247884524</v>
      </c>
      <c r="B3795" t="str">
        <f t="shared" si="121"/>
        <v>7884524G6037LU-M</v>
      </c>
      <c r="C3795" s="1" t="s">
        <v>486</v>
      </c>
      <c r="D3795" s="1" t="s">
        <v>727</v>
      </c>
      <c r="E3795" s="1" t="s">
        <v>382</v>
      </c>
      <c r="F3795" s="1" t="s">
        <v>383</v>
      </c>
      <c r="G3795" s="1" t="s">
        <v>395</v>
      </c>
      <c r="H3795" s="1">
        <v>522</v>
      </c>
      <c r="I3795" s="3">
        <v>46281</v>
      </c>
      <c r="L3795" s="31">
        <v>46281.700546493055</v>
      </c>
      <c r="M3795" s="20">
        <v>12</v>
      </c>
      <c r="N3795" s="1">
        <v>21</v>
      </c>
    </row>
    <row r="3796" spans="1:14" x14ac:dyDescent="0.25">
      <c r="A3796" t="str">
        <f t="shared" si="120"/>
        <v>78845247884524</v>
      </c>
      <c r="B3796" t="str">
        <f t="shared" si="121"/>
        <v>7884524G6037LU-M</v>
      </c>
      <c r="C3796" s="1" t="s">
        <v>486</v>
      </c>
      <c r="D3796" s="1" t="s">
        <v>727</v>
      </c>
      <c r="E3796" s="1" t="s">
        <v>382</v>
      </c>
      <c r="F3796" s="1" t="s">
        <v>383</v>
      </c>
      <c r="G3796" s="1" t="s">
        <v>395</v>
      </c>
      <c r="H3796" s="1">
        <v>522</v>
      </c>
      <c r="I3796" s="3">
        <v>46281</v>
      </c>
      <c r="L3796" s="31">
        <v>46281.700677974535</v>
      </c>
      <c r="M3796" s="20">
        <v>12</v>
      </c>
      <c r="N3796" s="1">
        <v>8</v>
      </c>
    </row>
    <row r="3797" spans="1:14" x14ac:dyDescent="0.25">
      <c r="A3797" t="str">
        <f t="shared" si="120"/>
        <v>78845247884524</v>
      </c>
      <c r="B3797" t="str">
        <f t="shared" si="121"/>
        <v>7884524G6037LU-M</v>
      </c>
      <c r="C3797" s="1" t="s">
        <v>486</v>
      </c>
      <c r="D3797" s="1" t="s">
        <v>727</v>
      </c>
      <c r="E3797" s="1" t="s">
        <v>382</v>
      </c>
      <c r="F3797" s="1" t="s">
        <v>383</v>
      </c>
      <c r="G3797" s="1" t="s">
        <v>395</v>
      </c>
      <c r="H3797" s="1">
        <v>522</v>
      </c>
      <c r="I3797" s="3">
        <v>46281</v>
      </c>
      <c r="L3797" s="31">
        <v>46281.704272488423</v>
      </c>
      <c r="M3797" s="20">
        <v>12</v>
      </c>
      <c r="N3797" s="1">
        <v>22</v>
      </c>
    </row>
    <row r="3798" spans="1:14" x14ac:dyDescent="0.25">
      <c r="A3798" t="str">
        <f t="shared" si="120"/>
        <v>78845827884582</v>
      </c>
      <c r="B3798" t="str">
        <f t="shared" si="121"/>
        <v>7884582G6032Z2-M</v>
      </c>
      <c r="C3798" s="1" t="s">
        <v>15</v>
      </c>
      <c r="D3798" s="1" t="s">
        <v>722</v>
      </c>
      <c r="E3798" s="1" t="s">
        <v>382</v>
      </c>
      <c r="F3798" s="1" t="s">
        <v>383</v>
      </c>
      <c r="G3798" s="1" t="s">
        <v>395</v>
      </c>
      <c r="H3798" s="1">
        <v>990</v>
      </c>
      <c r="I3798" s="3">
        <v>46281</v>
      </c>
      <c r="L3798" s="31">
        <v>46281.595361423606</v>
      </c>
      <c r="M3798" s="20">
        <v>12</v>
      </c>
      <c r="N3798" s="1">
        <v>2</v>
      </c>
    </row>
    <row r="3799" spans="1:14" x14ac:dyDescent="0.25">
      <c r="A3799" t="str">
        <f t="shared" si="120"/>
        <v>78845827884582</v>
      </c>
      <c r="B3799" t="str">
        <f t="shared" si="121"/>
        <v>7884582G6032Z2-M</v>
      </c>
      <c r="C3799" s="1" t="s">
        <v>15</v>
      </c>
      <c r="D3799" s="1" t="s">
        <v>722</v>
      </c>
      <c r="E3799" s="1" t="s">
        <v>382</v>
      </c>
      <c r="F3799" s="1" t="s">
        <v>383</v>
      </c>
      <c r="G3799" s="1" t="s">
        <v>395</v>
      </c>
      <c r="H3799" s="1">
        <v>990</v>
      </c>
      <c r="I3799" s="3">
        <v>46281</v>
      </c>
      <c r="L3799" s="31">
        <v>46281.595708217588</v>
      </c>
      <c r="M3799" s="20">
        <v>12</v>
      </c>
      <c r="N3799" s="1">
        <v>1</v>
      </c>
    </row>
    <row r="3800" spans="1:14" x14ac:dyDescent="0.25">
      <c r="A3800" t="str">
        <f t="shared" si="120"/>
        <v>78845827884582</v>
      </c>
      <c r="B3800" t="str">
        <f t="shared" si="121"/>
        <v>7884582G6032Z2-M</v>
      </c>
      <c r="C3800" s="1" t="s">
        <v>15</v>
      </c>
      <c r="D3800" s="1" t="s">
        <v>722</v>
      </c>
      <c r="E3800" s="1" t="s">
        <v>382</v>
      </c>
      <c r="F3800" s="1" t="s">
        <v>383</v>
      </c>
      <c r="G3800" s="1" t="s">
        <v>395</v>
      </c>
      <c r="H3800" s="1">
        <v>990</v>
      </c>
      <c r="I3800" s="3">
        <v>46281</v>
      </c>
      <c r="L3800" s="31">
        <v>46281.610755787035</v>
      </c>
      <c r="M3800" s="20">
        <v>12</v>
      </c>
      <c r="N3800" s="1">
        <v>5</v>
      </c>
    </row>
    <row r="3801" spans="1:14" x14ac:dyDescent="0.25">
      <c r="A3801" t="str">
        <f t="shared" si="120"/>
        <v>78845827884582</v>
      </c>
      <c r="B3801" t="str">
        <f t="shared" si="121"/>
        <v>7884582G6032Z2-M</v>
      </c>
      <c r="C3801" s="1" t="s">
        <v>15</v>
      </c>
      <c r="D3801" s="1" t="s">
        <v>722</v>
      </c>
      <c r="E3801" s="1" t="s">
        <v>382</v>
      </c>
      <c r="F3801" s="1" t="s">
        <v>383</v>
      </c>
      <c r="G3801" s="1" t="s">
        <v>395</v>
      </c>
      <c r="H3801" s="1">
        <v>990</v>
      </c>
      <c r="I3801" s="3">
        <v>46281</v>
      </c>
      <c r="L3801" s="31">
        <v>46281.611592048612</v>
      </c>
      <c r="M3801" s="20">
        <v>12</v>
      </c>
      <c r="N3801" s="1">
        <v>3</v>
      </c>
    </row>
    <row r="3802" spans="1:14" x14ac:dyDescent="0.25">
      <c r="A3802" t="str">
        <f t="shared" si="120"/>
        <v>78845827884582</v>
      </c>
      <c r="B3802" t="str">
        <f t="shared" si="121"/>
        <v>7884582G6032Z2-M</v>
      </c>
      <c r="C3802" s="1" t="s">
        <v>15</v>
      </c>
      <c r="D3802" s="1" t="s">
        <v>722</v>
      </c>
      <c r="E3802" s="1" t="s">
        <v>382</v>
      </c>
      <c r="F3802" s="1" t="s">
        <v>383</v>
      </c>
      <c r="G3802" s="1" t="s">
        <v>395</v>
      </c>
      <c r="H3802" s="1">
        <v>990</v>
      </c>
      <c r="I3802" s="3">
        <v>46281</v>
      </c>
      <c r="L3802" s="31">
        <v>46281.612540775459</v>
      </c>
      <c r="M3802" s="20">
        <v>12</v>
      </c>
      <c r="N3802" s="1">
        <v>4</v>
      </c>
    </row>
    <row r="3803" spans="1:14" x14ac:dyDescent="0.25">
      <c r="A3803" t="str">
        <f t="shared" si="120"/>
        <v>78845827884582</v>
      </c>
      <c r="B3803" t="str">
        <f t="shared" si="121"/>
        <v>7884582G6032Z2-M</v>
      </c>
      <c r="C3803" s="1" t="s">
        <v>15</v>
      </c>
      <c r="D3803" s="1" t="s">
        <v>722</v>
      </c>
      <c r="E3803" s="1" t="s">
        <v>382</v>
      </c>
      <c r="F3803" s="1" t="s">
        <v>383</v>
      </c>
      <c r="G3803" s="1" t="s">
        <v>395</v>
      </c>
      <c r="H3803" s="1">
        <v>990</v>
      </c>
      <c r="I3803" s="3">
        <v>46281</v>
      </c>
      <c r="L3803" s="31">
        <v>46281.614284606483</v>
      </c>
      <c r="M3803" s="20">
        <v>12</v>
      </c>
      <c r="N3803" s="1">
        <v>32</v>
      </c>
    </row>
    <row r="3804" spans="1:14" x14ac:dyDescent="0.25">
      <c r="A3804" t="str">
        <f t="shared" si="120"/>
        <v>78845827884582</v>
      </c>
      <c r="B3804" t="str">
        <f t="shared" si="121"/>
        <v>7884582G6032Z2-M</v>
      </c>
      <c r="C3804" s="1" t="s">
        <v>15</v>
      </c>
      <c r="D3804" s="1" t="s">
        <v>722</v>
      </c>
      <c r="E3804" s="1" t="s">
        <v>382</v>
      </c>
      <c r="F3804" s="1" t="s">
        <v>383</v>
      </c>
      <c r="G3804" s="1" t="s">
        <v>395</v>
      </c>
      <c r="H3804" s="1">
        <v>990</v>
      </c>
      <c r="I3804" s="3">
        <v>46281</v>
      </c>
      <c r="L3804" s="31">
        <v>46281.624998611107</v>
      </c>
      <c r="M3804" s="20">
        <v>12</v>
      </c>
      <c r="N3804" s="1">
        <v>15</v>
      </c>
    </row>
    <row r="3805" spans="1:14" x14ac:dyDescent="0.25">
      <c r="A3805" t="str">
        <f t="shared" si="120"/>
        <v>78845827884582</v>
      </c>
      <c r="B3805" t="str">
        <f t="shared" si="121"/>
        <v>7884582G6032Z2-M</v>
      </c>
      <c r="C3805" s="1" t="s">
        <v>15</v>
      </c>
      <c r="D3805" s="1" t="s">
        <v>722</v>
      </c>
      <c r="E3805" s="1" t="s">
        <v>382</v>
      </c>
      <c r="F3805" s="1" t="s">
        <v>383</v>
      </c>
      <c r="G3805" s="1" t="s">
        <v>395</v>
      </c>
      <c r="H3805" s="1">
        <v>990</v>
      </c>
      <c r="I3805" s="3">
        <v>46281</v>
      </c>
      <c r="L3805" s="31">
        <v>46281.698489386574</v>
      </c>
      <c r="M3805" s="20">
        <v>12</v>
      </c>
      <c r="N3805" s="1">
        <v>6</v>
      </c>
    </row>
    <row r="3806" spans="1:14" x14ac:dyDescent="0.25">
      <c r="A3806" t="str">
        <f t="shared" si="120"/>
        <v>78845827884582</v>
      </c>
      <c r="B3806" t="str">
        <f t="shared" si="121"/>
        <v>7884582G6032Z2-M</v>
      </c>
      <c r="C3806" s="1" t="s">
        <v>15</v>
      </c>
      <c r="D3806" s="1" t="s">
        <v>722</v>
      </c>
      <c r="E3806" s="1" t="s">
        <v>382</v>
      </c>
      <c r="F3806" s="1" t="s">
        <v>383</v>
      </c>
      <c r="G3806" s="1" t="s">
        <v>395</v>
      </c>
      <c r="H3806" s="1">
        <v>990</v>
      </c>
      <c r="I3806" s="3">
        <v>46281</v>
      </c>
      <c r="L3806" s="31">
        <v>46281.698638738424</v>
      </c>
      <c r="M3806" s="20">
        <v>12</v>
      </c>
      <c r="N3806" s="1">
        <v>33</v>
      </c>
    </row>
    <row r="3807" spans="1:14" x14ac:dyDescent="0.25">
      <c r="A3807" t="str">
        <f t="shared" si="120"/>
        <v>78845827884582</v>
      </c>
      <c r="B3807" t="str">
        <f t="shared" si="121"/>
        <v>7884582G6032Z2-M</v>
      </c>
      <c r="C3807" s="1" t="s">
        <v>15</v>
      </c>
      <c r="D3807" s="1" t="s">
        <v>722</v>
      </c>
      <c r="E3807" s="1" t="s">
        <v>382</v>
      </c>
      <c r="F3807" s="1" t="s">
        <v>383</v>
      </c>
      <c r="G3807" s="1" t="s">
        <v>395</v>
      </c>
      <c r="H3807" s="1">
        <v>990</v>
      </c>
      <c r="I3807" s="3">
        <v>46281</v>
      </c>
      <c r="L3807" s="31">
        <v>46281.706527662034</v>
      </c>
      <c r="M3807" s="20">
        <v>12</v>
      </c>
      <c r="N3807" s="1">
        <v>34</v>
      </c>
    </row>
    <row r="3808" spans="1:14" x14ac:dyDescent="0.25">
      <c r="A3808" t="str">
        <f t="shared" si="120"/>
        <v>78846227884622</v>
      </c>
      <c r="B3808" t="str">
        <f t="shared" si="121"/>
        <v>7884622P6031TJ-M</v>
      </c>
      <c r="C3808" s="1" t="s">
        <v>478</v>
      </c>
      <c r="D3808" s="1" t="s">
        <v>729</v>
      </c>
      <c r="E3808" s="1" t="s">
        <v>382</v>
      </c>
      <c r="F3808" s="1" t="s">
        <v>383</v>
      </c>
      <c r="G3808" s="1" t="s">
        <v>395</v>
      </c>
      <c r="H3808" s="1">
        <v>636</v>
      </c>
      <c r="I3808" s="3">
        <v>46281</v>
      </c>
      <c r="L3808" s="31">
        <v>46281.694160266205</v>
      </c>
      <c r="M3808" s="20">
        <v>6</v>
      </c>
      <c r="N3808" s="1">
        <v>51</v>
      </c>
    </row>
    <row r="3809" spans="1:14" x14ac:dyDescent="0.25">
      <c r="A3809" t="str">
        <f t="shared" si="120"/>
        <v>78846227884622</v>
      </c>
      <c r="B3809" t="str">
        <f t="shared" si="121"/>
        <v>7884622P6031TJ-M</v>
      </c>
      <c r="C3809" s="1" t="s">
        <v>478</v>
      </c>
      <c r="D3809" s="1" t="s">
        <v>729</v>
      </c>
      <c r="E3809" s="1" t="s">
        <v>382</v>
      </c>
      <c r="F3809" s="1" t="s">
        <v>383</v>
      </c>
      <c r="G3809" s="1" t="s">
        <v>395</v>
      </c>
      <c r="H3809" s="1">
        <v>636</v>
      </c>
      <c r="I3809" s="3">
        <v>46281</v>
      </c>
      <c r="L3809" s="31">
        <v>46281.695535150458</v>
      </c>
      <c r="M3809" s="20">
        <v>12</v>
      </c>
      <c r="N3809" s="1">
        <v>5</v>
      </c>
    </row>
    <row r="3810" spans="1:14" x14ac:dyDescent="0.25">
      <c r="A3810" t="str">
        <f t="shared" si="120"/>
        <v>78855467885546</v>
      </c>
      <c r="B3810" t="str">
        <f t="shared" si="121"/>
        <v>7885546G6035EQ-M</v>
      </c>
      <c r="C3810" s="1" t="s">
        <v>677</v>
      </c>
      <c r="D3810" s="1" t="s">
        <v>728</v>
      </c>
      <c r="E3810" s="1" t="s">
        <v>382</v>
      </c>
      <c r="F3810" s="1" t="s">
        <v>383</v>
      </c>
      <c r="G3810" s="1" t="s">
        <v>395</v>
      </c>
      <c r="H3810" s="1">
        <v>798</v>
      </c>
      <c r="I3810" s="3">
        <v>46281</v>
      </c>
      <c r="L3810" s="31">
        <v>46281.681840243051</v>
      </c>
      <c r="M3810" s="20">
        <v>12</v>
      </c>
      <c r="N3810" s="1">
        <v>45</v>
      </c>
    </row>
    <row r="3811" spans="1:14" x14ac:dyDescent="0.25">
      <c r="A3811" t="str">
        <f t="shared" si="120"/>
        <v>78855467885546</v>
      </c>
      <c r="B3811" t="str">
        <f t="shared" si="121"/>
        <v>7885546G6035EQ-M</v>
      </c>
      <c r="C3811" s="1" t="s">
        <v>677</v>
      </c>
      <c r="D3811" s="1" t="s">
        <v>728</v>
      </c>
      <c r="E3811" s="1" t="s">
        <v>382</v>
      </c>
      <c r="F3811" s="1" t="s">
        <v>383</v>
      </c>
      <c r="G3811" s="1" t="s">
        <v>395</v>
      </c>
      <c r="H3811" s="1">
        <v>798</v>
      </c>
      <c r="I3811" s="3">
        <v>46281</v>
      </c>
      <c r="L3811" s="31">
        <v>46281.692377349536</v>
      </c>
      <c r="M3811" s="20">
        <v>12</v>
      </c>
      <c r="N3811" s="1">
        <v>2</v>
      </c>
    </row>
    <row r="3812" spans="1:14" x14ac:dyDescent="0.25">
      <c r="A3812" t="str">
        <f t="shared" si="120"/>
        <v>78855467885546</v>
      </c>
      <c r="B3812" t="str">
        <f t="shared" si="121"/>
        <v>7885546G6035EQ-M</v>
      </c>
      <c r="C3812" s="1" t="s">
        <v>677</v>
      </c>
      <c r="D3812" s="1" t="s">
        <v>728</v>
      </c>
      <c r="E3812" s="1" t="s">
        <v>382</v>
      </c>
      <c r="F3812" s="1" t="s">
        <v>383</v>
      </c>
      <c r="G3812" s="1" t="s">
        <v>395</v>
      </c>
      <c r="H3812" s="1">
        <v>798</v>
      </c>
      <c r="I3812" s="3">
        <v>46281</v>
      </c>
      <c r="L3812" s="31">
        <v>46281.693846215276</v>
      </c>
      <c r="M3812" s="20">
        <v>12</v>
      </c>
      <c r="N3812" s="1">
        <v>14</v>
      </c>
    </row>
    <row r="3813" spans="1:14" x14ac:dyDescent="0.25">
      <c r="A3813" t="str">
        <f t="shared" si="120"/>
        <v>78855467885546</v>
      </c>
      <c r="B3813" t="str">
        <f t="shared" si="121"/>
        <v>7885546G6035EQ-M</v>
      </c>
      <c r="C3813" s="1" t="s">
        <v>677</v>
      </c>
      <c r="D3813" s="1" t="s">
        <v>728</v>
      </c>
      <c r="E3813" s="1" t="s">
        <v>382</v>
      </c>
      <c r="F3813" s="1" t="s">
        <v>383</v>
      </c>
      <c r="G3813" s="1" t="s">
        <v>395</v>
      </c>
      <c r="H3813" s="1">
        <v>798</v>
      </c>
      <c r="I3813" s="3">
        <v>46281</v>
      </c>
      <c r="L3813" s="31">
        <v>46281.696419988424</v>
      </c>
      <c r="M3813" s="20">
        <v>12</v>
      </c>
      <c r="N3813" s="1">
        <v>30</v>
      </c>
    </row>
    <row r="3814" spans="1:14" x14ac:dyDescent="0.25">
      <c r="A3814" t="str">
        <f t="shared" si="120"/>
        <v>78855467885546</v>
      </c>
      <c r="B3814" t="str">
        <f t="shared" si="121"/>
        <v>7885546G6035EQ-M</v>
      </c>
      <c r="C3814" s="1" t="s">
        <v>677</v>
      </c>
      <c r="D3814" s="1" t="s">
        <v>728</v>
      </c>
      <c r="E3814" s="1" t="s">
        <v>382</v>
      </c>
      <c r="F3814" s="1" t="s">
        <v>383</v>
      </c>
      <c r="G3814" s="1" t="s">
        <v>395</v>
      </c>
      <c r="H3814" s="1">
        <v>798</v>
      </c>
      <c r="I3814" s="3">
        <v>46281</v>
      </c>
      <c r="L3814" s="31">
        <v>46281.697084293977</v>
      </c>
      <c r="M3814" s="20">
        <v>12</v>
      </c>
      <c r="N3814" s="1">
        <v>46</v>
      </c>
    </row>
    <row r="3815" spans="1:14" x14ac:dyDescent="0.25">
      <c r="A3815" t="str">
        <f t="shared" si="120"/>
        <v>78855467885546</v>
      </c>
      <c r="B3815" t="str">
        <f t="shared" si="121"/>
        <v>7885546G6035EQ-M</v>
      </c>
      <c r="C3815" s="1" t="s">
        <v>677</v>
      </c>
      <c r="D3815" s="1" t="s">
        <v>728</v>
      </c>
      <c r="E3815" s="1" t="s">
        <v>382</v>
      </c>
      <c r="F3815" s="1" t="s">
        <v>383</v>
      </c>
      <c r="G3815" s="1" t="s">
        <v>395</v>
      </c>
      <c r="H3815" s="1">
        <v>798</v>
      </c>
      <c r="I3815" s="3">
        <v>46281</v>
      </c>
      <c r="L3815" s="31">
        <v>46281.697286377312</v>
      </c>
      <c r="M3815" s="20">
        <v>12</v>
      </c>
      <c r="N3815" s="1">
        <v>31</v>
      </c>
    </row>
    <row r="3816" spans="1:14" x14ac:dyDescent="0.25">
      <c r="A3816" t="str">
        <f t="shared" si="120"/>
        <v>78855467885546</v>
      </c>
      <c r="B3816" t="str">
        <f t="shared" si="121"/>
        <v>7885546G6035EQ-M</v>
      </c>
      <c r="C3816" s="1" t="s">
        <v>677</v>
      </c>
      <c r="D3816" s="1" t="s">
        <v>728</v>
      </c>
      <c r="E3816" s="1" t="s">
        <v>382</v>
      </c>
      <c r="F3816" s="1" t="s">
        <v>383</v>
      </c>
      <c r="G3816" s="1" t="s">
        <v>395</v>
      </c>
      <c r="H3816" s="1">
        <v>798</v>
      </c>
      <c r="I3816" s="3">
        <v>46281</v>
      </c>
      <c r="L3816" s="31">
        <v>46281.698309224535</v>
      </c>
      <c r="M3816" s="20">
        <v>12</v>
      </c>
      <c r="N3816" s="1">
        <v>43</v>
      </c>
    </row>
    <row r="3817" spans="1:14" x14ac:dyDescent="0.25">
      <c r="A3817" t="str">
        <f t="shared" si="120"/>
        <v>C135361C135361</v>
      </c>
      <c r="B3817" t="str">
        <f t="shared" si="121"/>
        <v>C135361W515S7OK-B</v>
      </c>
      <c r="C3817" s="1" t="s">
        <v>102</v>
      </c>
      <c r="D3817" s="1" t="s">
        <v>733</v>
      </c>
      <c r="E3817" s="1" t="s">
        <v>397</v>
      </c>
      <c r="F3817" s="1" t="s">
        <v>400</v>
      </c>
      <c r="G3817" s="1" t="s">
        <v>401</v>
      </c>
      <c r="H3817" s="1">
        <v>90</v>
      </c>
      <c r="I3817" s="3">
        <v>46281</v>
      </c>
      <c r="J3817" s="3">
        <v>46289</v>
      </c>
      <c r="L3817" s="31">
        <v>46281.752749155094</v>
      </c>
      <c r="M3817" s="20">
        <v>12</v>
      </c>
      <c r="N3817" s="1">
        <v>3</v>
      </c>
    </row>
    <row r="3818" spans="1:14" x14ac:dyDescent="0.25">
      <c r="A3818" t="str">
        <f t="shared" si="120"/>
        <v>C135361C135361</v>
      </c>
      <c r="B3818" t="str">
        <f t="shared" si="121"/>
        <v>C135361W515S7OK-B</v>
      </c>
      <c r="C3818" s="1" t="s">
        <v>102</v>
      </c>
      <c r="D3818" s="1" t="s">
        <v>733</v>
      </c>
      <c r="E3818" s="1" t="s">
        <v>397</v>
      </c>
      <c r="F3818" s="1" t="s">
        <v>400</v>
      </c>
      <c r="G3818" s="1" t="s">
        <v>401</v>
      </c>
      <c r="H3818" s="1">
        <v>90</v>
      </c>
      <c r="I3818" s="3">
        <v>46281</v>
      </c>
      <c r="J3818" s="3">
        <v>46289</v>
      </c>
      <c r="L3818" s="31">
        <v>46281.753797951387</v>
      </c>
      <c r="M3818" s="20">
        <v>6</v>
      </c>
      <c r="N3818" s="1">
        <v>9</v>
      </c>
    </row>
    <row r="3819" spans="1:14" x14ac:dyDescent="0.25">
      <c r="A3819" t="str">
        <f t="shared" si="120"/>
        <v>C135361C135361</v>
      </c>
      <c r="B3819" t="str">
        <f t="shared" si="121"/>
        <v>C135361W515S7OK-B</v>
      </c>
      <c r="C3819" s="1" t="s">
        <v>102</v>
      </c>
      <c r="D3819" s="1" t="s">
        <v>733</v>
      </c>
      <c r="E3819" s="1" t="s">
        <v>397</v>
      </c>
      <c r="F3819" s="1" t="s">
        <v>400</v>
      </c>
      <c r="G3819" s="1" t="s">
        <v>401</v>
      </c>
      <c r="H3819" s="1">
        <v>90</v>
      </c>
      <c r="I3819" s="3">
        <v>46281</v>
      </c>
      <c r="J3819" s="3">
        <v>46289</v>
      </c>
      <c r="L3819" s="31">
        <v>46281.7575005787</v>
      </c>
      <c r="M3819" s="20">
        <v>6</v>
      </c>
      <c r="N3819" s="1">
        <v>7</v>
      </c>
    </row>
    <row r="3820" spans="1:14" x14ac:dyDescent="0.25">
      <c r="A3820" t="str">
        <f t="shared" si="120"/>
        <v>C135361C135361</v>
      </c>
      <c r="B3820" t="str">
        <f t="shared" si="121"/>
        <v>C135361W515S7OK-B</v>
      </c>
      <c r="C3820" s="1" t="s">
        <v>102</v>
      </c>
      <c r="D3820" s="1" t="s">
        <v>733</v>
      </c>
      <c r="E3820" s="1" t="s">
        <v>397</v>
      </c>
      <c r="F3820" s="1" t="s">
        <v>400</v>
      </c>
      <c r="G3820" s="1" t="s">
        <v>401</v>
      </c>
      <c r="H3820" s="1">
        <v>90</v>
      </c>
      <c r="I3820" s="3">
        <v>46281</v>
      </c>
      <c r="J3820" s="3">
        <v>46289</v>
      </c>
      <c r="L3820" s="31">
        <v>46281.759103321754</v>
      </c>
      <c r="M3820" s="20">
        <v>12</v>
      </c>
      <c r="N3820" s="1">
        <v>5</v>
      </c>
    </row>
    <row r="3821" spans="1:14" x14ac:dyDescent="0.25">
      <c r="A3821" t="str">
        <f t="shared" si="120"/>
        <v>C135877C135877</v>
      </c>
      <c r="B3821" t="str">
        <f t="shared" si="121"/>
        <v>C135877W515S7OK-B</v>
      </c>
      <c r="C3821" s="1" t="s">
        <v>102</v>
      </c>
      <c r="D3821" s="1" t="s">
        <v>716</v>
      </c>
      <c r="E3821" s="1" t="s">
        <v>397</v>
      </c>
      <c r="F3821" s="1" t="s">
        <v>400</v>
      </c>
      <c r="G3821" s="1" t="s">
        <v>401</v>
      </c>
      <c r="H3821" s="1">
        <v>252</v>
      </c>
      <c r="I3821" s="3">
        <v>46281</v>
      </c>
      <c r="L3821" s="31">
        <v>46281.558283715276</v>
      </c>
      <c r="M3821" s="20">
        <v>12</v>
      </c>
      <c r="N3821" s="1">
        <v>11</v>
      </c>
    </row>
    <row r="3822" spans="1:14" x14ac:dyDescent="0.25">
      <c r="A3822" t="str">
        <f t="shared" si="120"/>
        <v>C135877C135877</v>
      </c>
      <c r="B3822" t="str">
        <f t="shared" si="121"/>
        <v>C135877W515S7OK-B</v>
      </c>
      <c r="C3822" s="1" t="s">
        <v>102</v>
      </c>
      <c r="D3822" s="1" t="s">
        <v>716</v>
      </c>
      <c r="E3822" s="1" t="s">
        <v>397</v>
      </c>
      <c r="F3822" s="1" t="s">
        <v>400</v>
      </c>
      <c r="G3822" s="1" t="s">
        <v>401</v>
      </c>
      <c r="H3822" s="1">
        <v>252</v>
      </c>
      <c r="I3822" s="3">
        <v>46281</v>
      </c>
      <c r="L3822" s="31">
        <v>46281.562877812496</v>
      </c>
      <c r="M3822" s="20">
        <v>12</v>
      </c>
      <c r="N3822" s="1">
        <v>7</v>
      </c>
    </row>
    <row r="3823" spans="1:14" x14ac:dyDescent="0.25">
      <c r="A3823" t="str">
        <f t="shared" si="120"/>
        <v>C135877C135877</v>
      </c>
      <c r="B3823" t="str">
        <f t="shared" si="121"/>
        <v>C135877W515S7OK-B</v>
      </c>
      <c r="C3823" s="1" t="s">
        <v>102</v>
      </c>
      <c r="D3823" s="1" t="s">
        <v>716</v>
      </c>
      <c r="E3823" s="1" t="s">
        <v>397</v>
      </c>
      <c r="F3823" s="1" t="s">
        <v>400</v>
      </c>
      <c r="G3823" s="1" t="s">
        <v>401</v>
      </c>
      <c r="H3823" s="1">
        <v>252</v>
      </c>
      <c r="I3823" s="3">
        <v>46281</v>
      </c>
      <c r="L3823" s="31">
        <v>46281.566531597222</v>
      </c>
      <c r="M3823" s="20">
        <v>12</v>
      </c>
      <c r="N3823" s="1">
        <v>13</v>
      </c>
    </row>
    <row r="3824" spans="1:14" x14ac:dyDescent="0.25">
      <c r="A3824" t="str">
        <f t="shared" si="120"/>
        <v>C135877C135877</v>
      </c>
      <c r="B3824" t="str">
        <f t="shared" si="121"/>
        <v>C135877W515S7OK-B</v>
      </c>
      <c r="C3824" s="1" t="s">
        <v>102</v>
      </c>
      <c r="D3824" s="1" t="s">
        <v>716</v>
      </c>
      <c r="E3824" s="1" t="s">
        <v>397</v>
      </c>
      <c r="F3824" s="1" t="s">
        <v>400</v>
      </c>
      <c r="G3824" s="1" t="s">
        <v>401</v>
      </c>
      <c r="H3824" s="1">
        <v>252</v>
      </c>
      <c r="I3824" s="3">
        <v>46281</v>
      </c>
      <c r="L3824" s="31">
        <v>46281.57312025463</v>
      </c>
      <c r="M3824" s="20">
        <v>12</v>
      </c>
      <c r="N3824" s="1">
        <v>14</v>
      </c>
    </row>
    <row r="3825" spans="1:14" x14ac:dyDescent="0.25">
      <c r="A3825" t="str">
        <f t="shared" si="120"/>
        <v>C135877C135877</v>
      </c>
      <c r="B3825" t="str">
        <f t="shared" si="121"/>
        <v>C135877W515S7OK-B</v>
      </c>
      <c r="C3825" s="1" t="s">
        <v>102</v>
      </c>
      <c r="D3825" s="1" t="s">
        <v>716</v>
      </c>
      <c r="E3825" s="1" t="s">
        <v>397</v>
      </c>
      <c r="F3825" s="1" t="s">
        <v>400</v>
      </c>
      <c r="G3825" s="1" t="s">
        <v>401</v>
      </c>
      <c r="H3825" s="1">
        <v>252</v>
      </c>
      <c r="I3825" s="3">
        <v>46281</v>
      </c>
      <c r="L3825" s="31">
        <v>46281.577884259255</v>
      </c>
      <c r="M3825" s="20">
        <v>12</v>
      </c>
      <c r="N3825" s="1">
        <v>10</v>
      </c>
    </row>
    <row r="3826" spans="1:14" x14ac:dyDescent="0.25">
      <c r="A3826" t="str">
        <f t="shared" si="120"/>
        <v>C135877C135877</v>
      </c>
      <c r="B3826" t="str">
        <f t="shared" si="121"/>
        <v>C135877W515S7OK-B</v>
      </c>
      <c r="C3826" s="1" t="s">
        <v>102</v>
      </c>
      <c r="D3826" s="1" t="s">
        <v>716</v>
      </c>
      <c r="E3826" s="1" t="s">
        <v>397</v>
      </c>
      <c r="F3826" s="1" t="s">
        <v>400</v>
      </c>
      <c r="G3826" s="1" t="s">
        <v>401</v>
      </c>
      <c r="H3826" s="1">
        <v>252</v>
      </c>
      <c r="I3826" s="3">
        <v>46281</v>
      </c>
      <c r="L3826" s="31">
        <v>46281.591332604163</v>
      </c>
      <c r="M3826" s="20">
        <v>12</v>
      </c>
      <c r="N3826" s="1">
        <v>16</v>
      </c>
    </row>
    <row r="3827" spans="1:14" x14ac:dyDescent="0.25">
      <c r="A3827" t="str">
        <f t="shared" si="120"/>
        <v>C135877C135877</v>
      </c>
      <c r="B3827" t="str">
        <f t="shared" si="121"/>
        <v>C135877W515S7OK-B</v>
      </c>
      <c r="C3827" s="1" t="s">
        <v>102</v>
      </c>
      <c r="D3827" s="1" t="s">
        <v>716</v>
      </c>
      <c r="E3827" s="1" t="s">
        <v>397</v>
      </c>
      <c r="F3827" s="1" t="s">
        <v>400</v>
      </c>
      <c r="G3827" s="1" t="s">
        <v>401</v>
      </c>
      <c r="H3827" s="1">
        <v>252</v>
      </c>
      <c r="I3827" s="3">
        <v>46281</v>
      </c>
      <c r="L3827" s="31">
        <v>46281.594745798611</v>
      </c>
      <c r="M3827" s="20">
        <v>12</v>
      </c>
      <c r="N3827" s="1">
        <v>3</v>
      </c>
    </row>
    <row r="3828" spans="1:14" x14ac:dyDescent="0.25">
      <c r="A3828" t="str">
        <f t="shared" si="120"/>
        <v>C135877C135877</v>
      </c>
      <c r="B3828" t="str">
        <f t="shared" si="121"/>
        <v>C135877W515S7OK-B</v>
      </c>
      <c r="C3828" s="1" t="s">
        <v>102</v>
      </c>
      <c r="D3828" s="1" t="s">
        <v>716</v>
      </c>
      <c r="E3828" s="1" t="s">
        <v>397</v>
      </c>
      <c r="F3828" s="1" t="s">
        <v>400</v>
      </c>
      <c r="G3828" s="1" t="s">
        <v>401</v>
      </c>
      <c r="H3828" s="1">
        <v>252</v>
      </c>
      <c r="I3828" s="3">
        <v>46281</v>
      </c>
      <c r="L3828" s="31">
        <v>46281.59506107639</v>
      </c>
      <c r="M3828" s="20">
        <v>12</v>
      </c>
      <c r="N3828" s="1">
        <v>8</v>
      </c>
    </row>
    <row r="3829" spans="1:14" x14ac:dyDescent="0.25">
      <c r="A3829" t="str">
        <f t="shared" si="120"/>
        <v>C135877C135877</v>
      </c>
      <c r="B3829" t="str">
        <f t="shared" si="121"/>
        <v>C135877W515S7OK-B</v>
      </c>
      <c r="C3829" s="1" t="s">
        <v>102</v>
      </c>
      <c r="D3829" s="1" t="s">
        <v>716</v>
      </c>
      <c r="E3829" s="1" t="s">
        <v>397</v>
      </c>
      <c r="F3829" s="1" t="s">
        <v>400</v>
      </c>
      <c r="G3829" s="1" t="s">
        <v>401</v>
      </c>
      <c r="H3829" s="1">
        <v>252</v>
      </c>
      <c r="I3829" s="3">
        <v>46281</v>
      </c>
      <c r="L3829" s="31">
        <v>46281.646665127315</v>
      </c>
      <c r="M3829" s="20">
        <v>12</v>
      </c>
      <c r="N3829" s="1">
        <v>6</v>
      </c>
    </row>
    <row r="3830" spans="1:14" x14ac:dyDescent="0.25">
      <c r="A3830" t="str">
        <f t="shared" si="120"/>
        <v>C135877C135877</v>
      </c>
      <c r="B3830" t="str">
        <f t="shared" si="121"/>
        <v>C135877W515S7OK-B</v>
      </c>
      <c r="C3830" s="1" t="s">
        <v>102</v>
      </c>
      <c r="D3830" s="1" t="s">
        <v>716</v>
      </c>
      <c r="E3830" s="1" t="s">
        <v>397</v>
      </c>
      <c r="F3830" s="1" t="s">
        <v>400</v>
      </c>
      <c r="G3830" s="1" t="s">
        <v>401</v>
      </c>
      <c r="H3830" s="1">
        <v>252</v>
      </c>
      <c r="I3830" s="3">
        <v>46281</v>
      </c>
      <c r="L3830" s="31">
        <v>46281.647751504628</v>
      </c>
      <c r="M3830" s="20">
        <v>12</v>
      </c>
      <c r="N3830" s="1">
        <v>2</v>
      </c>
    </row>
    <row r="3831" spans="1:14" x14ac:dyDescent="0.25">
      <c r="A3831" t="str">
        <f t="shared" si="120"/>
        <v>C135877C135877</v>
      </c>
      <c r="B3831" t="str">
        <f t="shared" si="121"/>
        <v>C135877W515S7OK-B</v>
      </c>
      <c r="C3831" s="1" t="s">
        <v>102</v>
      </c>
      <c r="D3831" s="1" t="s">
        <v>716</v>
      </c>
      <c r="E3831" s="1" t="s">
        <v>397</v>
      </c>
      <c r="F3831" s="1" t="s">
        <v>400</v>
      </c>
      <c r="G3831" s="1" t="s">
        <v>401</v>
      </c>
      <c r="H3831" s="1">
        <v>252</v>
      </c>
      <c r="I3831" s="3">
        <v>46281</v>
      </c>
      <c r="L3831" s="31">
        <v>46281.648077627317</v>
      </c>
      <c r="M3831" s="20">
        <v>12</v>
      </c>
      <c r="N3831" s="1">
        <v>17</v>
      </c>
    </row>
    <row r="3832" spans="1:14" x14ac:dyDescent="0.25">
      <c r="A3832" t="str">
        <f t="shared" si="120"/>
        <v>C135877C135877</v>
      </c>
      <c r="B3832" t="str">
        <f t="shared" si="121"/>
        <v>C135877W515S7OK-B</v>
      </c>
      <c r="C3832" s="1" t="s">
        <v>102</v>
      </c>
      <c r="D3832" s="1" t="s">
        <v>716</v>
      </c>
      <c r="E3832" s="1" t="s">
        <v>397</v>
      </c>
      <c r="F3832" s="1" t="s">
        <v>400</v>
      </c>
      <c r="G3832" s="1" t="s">
        <v>401</v>
      </c>
      <c r="H3832" s="1">
        <v>252</v>
      </c>
      <c r="I3832" s="3">
        <v>46281</v>
      </c>
      <c r="L3832" s="31">
        <v>46281.676585034722</v>
      </c>
      <c r="M3832" s="20">
        <v>6</v>
      </c>
      <c r="N3832" s="1">
        <v>24</v>
      </c>
    </row>
    <row r="3833" spans="1:14" x14ac:dyDescent="0.25">
      <c r="A3833" t="str">
        <f t="shared" si="120"/>
        <v>C135877C135877</v>
      </c>
      <c r="B3833" t="str">
        <f t="shared" si="121"/>
        <v>C135877W515S7OK-B</v>
      </c>
      <c r="C3833" s="1" t="s">
        <v>102</v>
      </c>
      <c r="D3833" s="1" t="s">
        <v>716</v>
      </c>
      <c r="E3833" s="1" t="s">
        <v>397</v>
      </c>
      <c r="F3833" s="1" t="s">
        <v>400</v>
      </c>
      <c r="G3833" s="1" t="s">
        <v>401</v>
      </c>
      <c r="H3833" s="1">
        <v>252</v>
      </c>
      <c r="I3833" s="3">
        <v>46281</v>
      </c>
      <c r="L3833" s="31">
        <v>46281.688637534717</v>
      </c>
      <c r="M3833" s="20">
        <v>12</v>
      </c>
      <c r="N3833" s="1">
        <v>4</v>
      </c>
    </row>
    <row r="3834" spans="1:14" x14ac:dyDescent="0.25">
      <c r="A3834" t="str">
        <f t="shared" si="120"/>
        <v>C135877C135877</v>
      </c>
      <c r="B3834" t="str">
        <f t="shared" si="121"/>
        <v>C135877W515S7OK-B</v>
      </c>
      <c r="C3834" s="1" t="s">
        <v>102</v>
      </c>
      <c r="D3834" s="1" t="s">
        <v>716</v>
      </c>
      <c r="E3834" s="1" t="s">
        <v>397</v>
      </c>
      <c r="F3834" s="1" t="s">
        <v>400</v>
      </c>
      <c r="G3834" s="1" t="s">
        <v>401</v>
      </c>
      <c r="H3834" s="1">
        <v>252</v>
      </c>
      <c r="I3834" s="3">
        <v>46281</v>
      </c>
      <c r="L3834" s="31">
        <v>46281.689007523149</v>
      </c>
      <c r="M3834" s="20">
        <v>12</v>
      </c>
      <c r="N3834" s="1">
        <v>9</v>
      </c>
    </row>
    <row r="3835" spans="1:14" x14ac:dyDescent="0.25">
      <c r="A3835" t="str">
        <f t="shared" si="120"/>
        <v>C135877C135877</v>
      </c>
      <c r="B3835" t="str">
        <f t="shared" si="121"/>
        <v>C135877W515S7OK-B</v>
      </c>
      <c r="C3835" s="1" t="s">
        <v>102</v>
      </c>
      <c r="D3835" s="1" t="s">
        <v>716</v>
      </c>
      <c r="E3835" s="1" t="s">
        <v>397</v>
      </c>
      <c r="F3835" s="1" t="s">
        <v>400</v>
      </c>
      <c r="G3835" s="1" t="s">
        <v>401</v>
      </c>
      <c r="H3835" s="1">
        <v>252</v>
      </c>
      <c r="I3835" s="3">
        <v>46281</v>
      </c>
      <c r="L3835" s="31">
        <v>46281.694752546297</v>
      </c>
      <c r="M3835" s="20">
        <v>12</v>
      </c>
      <c r="N3835" s="1">
        <v>1</v>
      </c>
    </row>
    <row r="3836" spans="1:14" x14ac:dyDescent="0.25">
      <c r="A3836" t="str">
        <f t="shared" si="120"/>
        <v>C135877C135877</v>
      </c>
      <c r="B3836" t="str">
        <f t="shared" si="121"/>
        <v>C135877W515S7OK-B</v>
      </c>
      <c r="C3836" s="1" t="s">
        <v>102</v>
      </c>
      <c r="D3836" s="1" t="s">
        <v>716</v>
      </c>
      <c r="E3836" s="1" t="s">
        <v>397</v>
      </c>
      <c r="F3836" s="1" t="s">
        <v>400</v>
      </c>
      <c r="G3836" s="1" t="s">
        <v>401</v>
      </c>
      <c r="H3836" s="1">
        <v>252</v>
      </c>
      <c r="I3836" s="3">
        <v>46281</v>
      </c>
      <c r="L3836" s="31">
        <v>46281.695078009259</v>
      </c>
      <c r="M3836" s="20">
        <v>12</v>
      </c>
      <c r="N3836" s="1">
        <v>12</v>
      </c>
    </row>
    <row r="3837" spans="1:14" x14ac:dyDescent="0.25">
      <c r="A3837" t="str">
        <f t="shared" si="120"/>
        <v>C135877C135877</v>
      </c>
      <c r="B3837" t="str">
        <f t="shared" si="121"/>
        <v>C135877W515S7OK-B</v>
      </c>
      <c r="C3837" s="1" t="s">
        <v>102</v>
      </c>
      <c r="D3837" s="1" t="s">
        <v>716</v>
      </c>
      <c r="E3837" s="1" t="s">
        <v>397</v>
      </c>
      <c r="F3837" s="1" t="s">
        <v>400</v>
      </c>
      <c r="G3837" s="1" t="s">
        <v>401</v>
      </c>
      <c r="H3837" s="1">
        <v>252</v>
      </c>
      <c r="I3837" s="3">
        <v>46281</v>
      </c>
      <c r="L3837" s="31">
        <v>46281.695715474532</v>
      </c>
      <c r="M3837" s="20">
        <v>12</v>
      </c>
      <c r="N3837" s="1">
        <v>5</v>
      </c>
    </row>
    <row r="3838" spans="1:14" x14ac:dyDescent="0.25">
      <c r="A3838" t="str">
        <f t="shared" si="120"/>
        <v>C135877C135877</v>
      </c>
      <c r="B3838" t="str">
        <f t="shared" si="121"/>
        <v>C135877W515S7OK-B</v>
      </c>
      <c r="C3838" s="1" t="s">
        <v>102</v>
      </c>
      <c r="D3838" s="1" t="s">
        <v>716</v>
      </c>
      <c r="E3838" s="1" t="s">
        <v>397</v>
      </c>
      <c r="F3838" s="1" t="s">
        <v>400</v>
      </c>
      <c r="G3838" s="1" t="s">
        <v>401</v>
      </c>
      <c r="H3838" s="1">
        <v>252</v>
      </c>
      <c r="I3838" s="3">
        <v>46281</v>
      </c>
      <c r="L3838" s="31">
        <v>46281.711053703701</v>
      </c>
      <c r="M3838" s="20">
        <v>12</v>
      </c>
      <c r="N3838" s="1">
        <v>18</v>
      </c>
    </row>
    <row r="3839" spans="1:14" x14ac:dyDescent="0.25">
      <c r="A3839" t="str">
        <f t="shared" si="120"/>
        <v>C135877C135877</v>
      </c>
      <c r="B3839" t="str">
        <f t="shared" si="121"/>
        <v>C135877W515S7OK-B</v>
      </c>
      <c r="C3839" s="1" t="s">
        <v>102</v>
      </c>
      <c r="D3839" s="1" t="s">
        <v>716</v>
      </c>
      <c r="E3839" s="1" t="s">
        <v>397</v>
      </c>
      <c r="F3839" s="1" t="s">
        <v>400</v>
      </c>
      <c r="G3839" s="1" t="s">
        <v>401</v>
      </c>
      <c r="H3839" s="1">
        <v>252</v>
      </c>
      <c r="I3839" s="3">
        <v>46281</v>
      </c>
      <c r="L3839" s="31">
        <v>46281.715958761575</v>
      </c>
      <c r="M3839" s="20">
        <v>6</v>
      </c>
      <c r="N3839" s="1">
        <v>23</v>
      </c>
    </row>
    <row r="3840" spans="1:14" x14ac:dyDescent="0.25">
      <c r="A3840" t="str">
        <f t="shared" si="120"/>
        <v>C135877C135877</v>
      </c>
      <c r="B3840" t="str">
        <f t="shared" si="121"/>
        <v>C135877W515S7OK-B</v>
      </c>
      <c r="C3840" s="1" t="s">
        <v>102</v>
      </c>
      <c r="D3840" s="1" t="s">
        <v>716</v>
      </c>
      <c r="E3840" s="1" t="s">
        <v>397</v>
      </c>
      <c r="F3840" s="1" t="s">
        <v>400</v>
      </c>
      <c r="G3840" s="1" t="s">
        <v>401</v>
      </c>
      <c r="H3840" s="1">
        <v>252</v>
      </c>
      <c r="I3840" s="3">
        <v>46281</v>
      </c>
      <c r="L3840" s="31">
        <v>46281.753125196759</v>
      </c>
      <c r="M3840" s="20">
        <v>6</v>
      </c>
      <c r="N3840" s="1">
        <v>20</v>
      </c>
    </row>
    <row r="3841" spans="1:14" x14ac:dyDescent="0.25">
      <c r="A3841" t="str">
        <f t="shared" si="120"/>
        <v>C135880C135880</v>
      </c>
      <c r="B3841" t="str">
        <f t="shared" si="121"/>
        <v>C135880G6035EQ-M</v>
      </c>
      <c r="C3841" s="1" t="s">
        <v>677</v>
      </c>
      <c r="D3841" s="1" t="s">
        <v>725</v>
      </c>
      <c r="E3841" s="1" t="s">
        <v>397</v>
      </c>
      <c r="F3841" s="1" t="s">
        <v>400</v>
      </c>
      <c r="G3841" s="1" t="s">
        <v>401</v>
      </c>
      <c r="H3841" s="1">
        <v>252</v>
      </c>
      <c r="I3841" s="3">
        <v>46281</v>
      </c>
      <c r="J3841" s="3">
        <v>46289</v>
      </c>
      <c r="K3841" s="3" t="s">
        <v>2374</v>
      </c>
      <c r="L3841" s="31">
        <v>46281.633012037033</v>
      </c>
      <c r="M3841" s="20">
        <v>6</v>
      </c>
      <c r="N3841" s="1">
        <v>22</v>
      </c>
    </row>
    <row r="3842" spans="1:14" x14ac:dyDescent="0.25">
      <c r="A3842" t="str">
        <f t="shared" ref="A3842:A3905" si="122">+D3842&amp;D3842</f>
        <v>C135880C135880</v>
      </c>
      <c r="B3842" t="str">
        <f t="shared" ref="B3842:B3905" si="123">+D3842&amp;C3842</f>
        <v>C135880G6035EQ-M</v>
      </c>
      <c r="C3842" s="1" t="s">
        <v>677</v>
      </c>
      <c r="D3842" s="1" t="s">
        <v>725</v>
      </c>
      <c r="E3842" s="1" t="s">
        <v>397</v>
      </c>
      <c r="F3842" s="1" t="s">
        <v>400</v>
      </c>
      <c r="G3842" s="1" t="s">
        <v>401</v>
      </c>
      <c r="H3842" s="1">
        <v>252</v>
      </c>
      <c r="I3842" s="3">
        <v>46281</v>
      </c>
      <c r="J3842" s="3">
        <v>46289</v>
      </c>
      <c r="K3842" s="3" t="s">
        <v>2374</v>
      </c>
      <c r="L3842" s="31">
        <v>46281.633384456014</v>
      </c>
      <c r="M3842" s="20">
        <v>12</v>
      </c>
      <c r="N3842" s="1">
        <v>6</v>
      </c>
    </row>
    <row r="3843" spans="1:14" x14ac:dyDescent="0.25">
      <c r="A3843" t="str">
        <f t="shared" si="122"/>
        <v>C135880C135880</v>
      </c>
      <c r="B3843" t="str">
        <f t="shared" si="123"/>
        <v>C135880G6035EQ-M</v>
      </c>
      <c r="C3843" s="1" t="s">
        <v>677</v>
      </c>
      <c r="D3843" s="1" t="s">
        <v>725</v>
      </c>
      <c r="E3843" s="1" t="s">
        <v>397</v>
      </c>
      <c r="F3843" s="1" t="s">
        <v>400</v>
      </c>
      <c r="G3843" s="1" t="s">
        <v>401</v>
      </c>
      <c r="H3843" s="1">
        <v>252</v>
      </c>
      <c r="I3843" s="3">
        <v>46281</v>
      </c>
      <c r="J3843" s="3">
        <v>46289</v>
      </c>
      <c r="K3843" s="3" t="s">
        <v>2374</v>
      </c>
      <c r="L3843" s="31">
        <v>46281.634460219902</v>
      </c>
      <c r="M3843" s="20">
        <v>12</v>
      </c>
      <c r="N3843" s="1">
        <v>7</v>
      </c>
    </row>
    <row r="3844" spans="1:14" x14ac:dyDescent="0.25">
      <c r="A3844" t="str">
        <f t="shared" si="122"/>
        <v>C135880C135880</v>
      </c>
      <c r="B3844" t="str">
        <f t="shared" si="123"/>
        <v>C135880G6035EQ-M</v>
      </c>
      <c r="C3844" s="1" t="s">
        <v>677</v>
      </c>
      <c r="D3844" s="1" t="s">
        <v>725</v>
      </c>
      <c r="E3844" s="1" t="s">
        <v>397</v>
      </c>
      <c r="F3844" s="1" t="s">
        <v>400</v>
      </c>
      <c r="G3844" s="1" t="s">
        <v>401</v>
      </c>
      <c r="H3844" s="1">
        <v>252</v>
      </c>
      <c r="I3844" s="3">
        <v>46281</v>
      </c>
      <c r="J3844" s="3">
        <v>46289</v>
      </c>
      <c r="K3844" s="3" t="s">
        <v>2374</v>
      </c>
      <c r="L3844" s="31">
        <v>46281.636051701389</v>
      </c>
      <c r="M3844" s="20">
        <v>12</v>
      </c>
      <c r="N3844" s="1">
        <v>3</v>
      </c>
    </row>
    <row r="3845" spans="1:14" x14ac:dyDescent="0.25">
      <c r="A3845" t="str">
        <f t="shared" si="122"/>
        <v>C135880C135880</v>
      </c>
      <c r="B3845" t="str">
        <f t="shared" si="123"/>
        <v>C135880G6035EQ-M</v>
      </c>
      <c r="C3845" s="1" t="s">
        <v>677</v>
      </c>
      <c r="D3845" s="1" t="s">
        <v>725</v>
      </c>
      <c r="E3845" s="1" t="s">
        <v>397</v>
      </c>
      <c r="F3845" s="1" t="s">
        <v>400</v>
      </c>
      <c r="G3845" s="1" t="s">
        <v>401</v>
      </c>
      <c r="H3845" s="1">
        <v>252</v>
      </c>
      <c r="I3845" s="3">
        <v>46281</v>
      </c>
      <c r="J3845" s="3">
        <v>46289</v>
      </c>
      <c r="K3845" s="3" t="s">
        <v>2374</v>
      </c>
      <c r="L3845" s="31">
        <v>46281.665956481476</v>
      </c>
      <c r="M3845" s="20">
        <v>6</v>
      </c>
      <c r="N3845" s="1">
        <v>20</v>
      </c>
    </row>
    <row r="3846" spans="1:14" x14ac:dyDescent="0.25">
      <c r="A3846" t="str">
        <f t="shared" si="122"/>
        <v>C135880C135880</v>
      </c>
      <c r="B3846" t="str">
        <f t="shared" si="123"/>
        <v>C135880G6035EQ-M</v>
      </c>
      <c r="C3846" s="1" t="s">
        <v>677</v>
      </c>
      <c r="D3846" s="1" t="s">
        <v>725</v>
      </c>
      <c r="E3846" s="1" t="s">
        <v>397</v>
      </c>
      <c r="F3846" s="1" t="s">
        <v>400</v>
      </c>
      <c r="G3846" s="1" t="s">
        <v>401</v>
      </c>
      <c r="H3846" s="1">
        <v>252</v>
      </c>
      <c r="I3846" s="3">
        <v>46281</v>
      </c>
      <c r="J3846" s="3">
        <v>46289</v>
      </c>
      <c r="K3846" s="3" t="s">
        <v>2374</v>
      </c>
      <c r="L3846" s="31">
        <v>46281.67953425926</v>
      </c>
      <c r="M3846" s="20">
        <v>12</v>
      </c>
      <c r="N3846" s="1">
        <v>8</v>
      </c>
    </row>
    <row r="3847" spans="1:14" x14ac:dyDescent="0.25">
      <c r="A3847" t="str">
        <f t="shared" si="122"/>
        <v>C135880C135880</v>
      </c>
      <c r="B3847" t="str">
        <f t="shared" si="123"/>
        <v>C135880G6035EQ-M</v>
      </c>
      <c r="C3847" s="1" t="s">
        <v>677</v>
      </c>
      <c r="D3847" s="1" t="s">
        <v>725</v>
      </c>
      <c r="E3847" s="1" t="s">
        <v>397</v>
      </c>
      <c r="F3847" s="1" t="s">
        <v>400</v>
      </c>
      <c r="G3847" s="1" t="s">
        <v>401</v>
      </c>
      <c r="H3847" s="1">
        <v>252</v>
      </c>
      <c r="I3847" s="3">
        <v>46281</v>
      </c>
      <c r="J3847" s="3">
        <v>46289</v>
      </c>
      <c r="K3847" s="3" t="s">
        <v>2374</v>
      </c>
      <c r="L3847" s="31">
        <v>46281.702434953702</v>
      </c>
      <c r="M3847" s="20">
        <v>12</v>
      </c>
      <c r="N3847" s="1">
        <v>19</v>
      </c>
    </row>
    <row r="3848" spans="1:14" x14ac:dyDescent="0.25">
      <c r="A3848" t="str">
        <f t="shared" si="122"/>
        <v>H176970H176970</v>
      </c>
      <c r="B3848" t="str">
        <f t="shared" si="123"/>
        <v>H176970G204L5CB-M</v>
      </c>
      <c r="C3848" s="1" t="s">
        <v>6</v>
      </c>
      <c r="D3848" s="1" t="s">
        <v>726</v>
      </c>
      <c r="E3848" s="1" t="s">
        <v>501</v>
      </c>
      <c r="F3848" s="1" t="s">
        <v>502</v>
      </c>
      <c r="G3848" s="1" t="s">
        <v>404</v>
      </c>
      <c r="H3848" s="1">
        <v>192</v>
      </c>
      <c r="I3848" s="3">
        <v>46281</v>
      </c>
      <c r="J3848" s="3">
        <v>46282</v>
      </c>
      <c r="K3848" s="3" t="s">
        <v>2362</v>
      </c>
      <c r="L3848" s="31">
        <v>46281.656302511576</v>
      </c>
      <c r="M3848" s="20">
        <v>6</v>
      </c>
      <c r="N3848" s="1">
        <v>27</v>
      </c>
    </row>
    <row r="3849" spans="1:14" x14ac:dyDescent="0.25">
      <c r="A3849" t="str">
        <f t="shared" si="122"/>
        <v>H176970H176970</v>
      </c>
      <c r="B3849" t="str">
        <f t="shared" si="123"/>
        <v>H176970G204L5CB-M</v>
      </c>
      <c r="C3849" s="1" t="s">
        <v>6</v>
      </c>
      <c r="D3849" s="1" t="s">
        <v>726</v>
      </c>
      <c r="E3849" s="1" t="s">
        <v>501</v>
      </c>
      <c r="F3849" s="1" t="s">
        <v>502</v>
      </c>
      <c r="G3849" s="1" t="s">
        <v>404</v>
      </c>
      <c r="H3849" s="1">
        <v>192</v>
      </c>
      <c r="I3849" s="3">
        <v>46281</v>
      </c>
      <c r="J3849" s="3">
        <v>46282</v>
      </c>
      <c r="K3849" s="3" t="s">
        <v>2362</v>
      </c>
      <c r="L3849" s="31">
        <v>46281.656806099534</v>
      </c>
      <c r="M3849" s="20">
        <v>6</v>
      </c>
      <c r="N3849" s="1">
        <v>7</v>
      </c>
    </row>
    <row r="3850" spans="1:14" x14ac:dyDescent="0.25">
      <c r="A3850" t="str">
        <f t="shared" si="122"/>
        <v>H176970H176970</v>
      </c>
      <c r="B3850" t="str">
        <f t="shared" si="123"/>
        <v>H176970G204L5CB-M</v>
      </c>
      <c r="C3850" s="1" t="s">
        <v>6</v>
      </c>
      <c r="D3850" s="1" t="s">
        <v>726</v>
      </c>
      <c r="E3850" s="1" t="s">
        <v>501</v>
      </c>
      <c r="F3850" s="1" t="s">
        <v>502</v>
      </c>
      <c r="G3850" s="1" t="s">
        <v>404</v>
      </c>
      <c r="H3850" s="1">
        <v>192</v>
      </c>
      <c r="I3850" s="3">
        <v>46281</v>
      </c>
      <c r="J3850" s="3">
        <v>46282</v>
      </c>
      <c r="K3850" s="3" t="s">
        <v>2362</v>
      </c>
      <c r="L3850" s="31">
        <v>46281.66620443287</v>
      </c>
      <c r="M3850" s="20">
        <v>6</v>
      </c>
      <c r="N3850" s="1">
        <v>12</v>
      </c>
    </row>
    <row r="3851" spans="1:14" x14ac:dyDescent="0.25">
      <c r="A3851" t="str">
        <f t="shared" si="122"/>
        <v>H176970H176970</v>
      </c>
      <c r="B3851" t="str">
        <f t="shared" si="123"/>
        <v>H176970G204L5CB-M</v>
      </c>
      <c r="C3851" s="1" t="s">
        <v>6</v>
      </c>
      <c r="D3851" s="1" t="s">
        <v>726</v>
      </c>
      <c r="E3851" s="1" t="s">
        <v>501</v>
      </c>
      <c r="F3851" s="1" t="s">
        <v>502</v>
      </c>
      <c r="G3851" s="1" t="s">
        <v>404</v>
      </c>
      <c r="H3851" s="1">
        <v>192</v>
      </c>
      <c r="I3851" s="3">
        <v>46281</v>
      </c>
      <c r="J3851" s="3">
        <v>46282</v>
      </c>
      <c r="K3851" s="3" t="s">
        <v>2362</v>
      </c>
      <c r="L3851" s="31">
        <v>46281.666534178235</v>
      </c>
      <c r="M3851" s="20">
        <v>6</v>
      </c>
      <c r="N3851" s="1">
        <v>17</v>
      </c>
    </row>
    <row r="3852" spans="1:14" x14ac:dyDescent="0.25">
      <c r="A3852" t="str">
        <f t="shared" si="122"/>
        <v>H176970H176970</v>
      </c>
      <c r="B3852" t="str">
        <f t="shared" si="123"/>
        <v>H176970G204L5CB-M</v>
      </c>
      <c r="C3852" s="1" t="s">
        <v>6</v>
      </c>
      <c r="D3852" s="1" t="s">
        <v>726</v>
      </c>
      <c r="E3852" s="1" t="s">
        <v>501</v>
      </c>
      <c r="F3852" s="1" t="s">
        <v>502</v>
      </c>
      <c r="G3852" s="1" t="s">
        <v>404</v>
      </c>
      <c r="H3852" s="1">
        <v>192</v>
      </c>
      <c r="I3852" s="3">
        <v>46281</v>
      </c>
      <c r="J3852" s="3">
        <v>46282</v>
      </c>
      <c r="K3852" s="3" t="s">
        <v>2362</v>
      </c>
      <c r="L3852" s="31">
        <v>46281.666702812501</v>
      </c>
      <c r="M3852" s="20">
        <v>6</v>
      </c>
      <c r="N3852" s="1">
        <v>16</v>
      </c>
    </row>
    <row r="3853" spans="1:14" x14ac:dyDescent="0.25">
      <c r="A3853" t="str">
        <f t="shared" si="122"/>
        <v>H176970H176970</v>
      </c>
      <c r="B3853" t="str">
        <f t="shared" si="123"/>
        <v>H176970G204L5CB-M</v>
      </c>
      <c r="C3853" s="1" t="s">
        <v>6</v>
      </c>
      <c r="D3853" s="1" t="s">
        <v>726</v>
      </c>
      <c r="E3853" s="1" t="s">
        <v>501</v>
      </c>
      <c r="F3853" s="1" t="s">
        <v>502</v>
      </c>
      <c r="G3853" s="1" t="s">
        <v>404</v>
      </c>
      <c r="H3853" s="1">
        <v>192</v>
      </c>
      <c r="I3853" s="3">
        <v>46281</v>
      </c>
      <c r="J3853" s="3">
        <v>46282</v>
      </c>
      <c r="K3853" s="3" t="s">
        <v>2362</v>
      </c>
      <c r="L3853" s="31">
        <v>46281.666856828699</v>
      </c>
      <c r="M3853" s="20">
        <v>6</v>
      </c>
      <c r="N3853" s="1">
        <v>28</v>
      </c>
    </row>
    <row r="3854" spans="1:14" x14ac:dyDescent="0.25">
      <c r="A3854" t="str">
        <f t="shared" si="122"/>
        <v>H176970H176970</v>
      </c>
      <c r="B3854" t="str">
        <f t="shared" si="123"/>
        <v>H176970G204L5CB-M</v>
      </c>
      <c r="C3854" s="1" t="s">
        <v>6</v>
      </c>
      <c r="D3854" s="1" t="s">
        <v>726</v>
      </c>
      <c r="E3854" s="1" t="s">
        <v>501</v>
      </c>
      <c r="F3854" s="1" t="s">
        <v>502</v>
      </c>
      <c r="G3854" s="1" t="s">
        <v>404</v>
      </c>
      <c r="H3854" s="1">
        <v>192</v>
      </c>
      <c r="I3854" s="3">
        <v>46281</v>
      </c>
      <c r="J3854" s="3">
        <v>46282</v>
      </c>
      <c r="K3854" s="3" t="s">
        <v>2362</v>
      </c>
      <c r="L3854" s="31">
        <v>46281.667010960649</v>
      </c>
      <c r="M3854" s="20">
        <v>6</v>
      </c>
      <c r="N3854" s="1">
        <v>6</v>
      </c>
    </row>
    <row r="3855" spans="1:14" x14ac:dyDescent="0.25">
      <c r="A3855" t="str">
        <f t="shared" si="122"/>
        <v>H176970H176970</v>
      </c>
      <c r="B3855" t="str">
        <f t="shared" si="123"/>
        <v>H176970G204L5CB-M</v>
      </c>
      <c r="C3855" s="1" t="s">
        <v>6</v>
      </c>
      <c r="D3855" s="1" t="s">
        <v>726</v>
      </c>
      <c r="E3855" s="1" t="s">
        <v>501</v>
      </c>
      <c r="F3855" s="1" t="s">
        <v>502</v>
      </c>
      <c r="G3855" s="1" t="s">
        <v>404</v>
      </c>
      <c r="H3855" s="1">
        <v>192</v>
      </c>
      <c r="I3855" s="3">
        <v>46281</v>
      </c>
      <c r="J3855" s="3">
        <v>46282</v>
      </c>
      <c r="K3855" s="3" t="s">
        <v>2362</v>
      </c>
      <c r="L3855" s="31">
        <v>46281.667857256944</v>
      </c>
      <c r="M3855" s="20">
        <v>6</v>
      </c>
      <c r="N3855" s="1">
        <v>31</v>
      </c>
    </row>
    <row r="3856" spans="1:14" x14ac:dyDescent="0.25">
      <c r="A3856" t="str">
        <f t="shared" si="122"/>
        <v>H176970H176970</v>
      </c>
      <c r="B3856" t="str">
        <f t="shared" si="123"/>
        <v>H176970G204L5CB-M</v>
      </c>
      <c r="C3856" s="1" t="s">
        <v>6</v>
      </c>
      <c r="D3856" s="1" t="s">
        <v>726</v>
      </c>
      <c r="E3856" s="1" t="s">
        <v>501</v>
      </c>
      <c r="F3856" s="1" t="s">
        <v>502</v>
      </c>
      <c r="G3856" s="1" t="s">
        <v>404</v>
      </c>
      <c r="H3856" s="1">
        <v>192</v>
      </c>
      <c r="I3856" s="3">
        <v>46281</v>
      </c>
      <c r="J3856" s="3">
        <v>46282</v>
      </c>
      <c r="K3856" s="3" t="s">
        <v>2362</v>
      </c>
      <c r="L3856" s="31">
        <v>46281.668163738424</v>
      </c>
      <c r="M3856" s="20">
        <v>6</v>
      </c>
      <c r="N3856" s="1">
        <v>18</v>
      </c>
    </row>
    <row r="3857" spans="1:14" x14ac:dyDescent="0.25">
      <c r="A3857" t="str">
        <f t="shared" si="122"/>
        <v>H176970H176970</v>
      </c>
      <c r="B3857" t="str">
        <f t="shared" si="123"/>
        <v>H176970G204L5CB-M</v>
      </c>
      <c r="C3857" s="1" t="s">
        <v>6</v>
      </c>
      <c r="D3857" s="1" t="s">
        <v>726</v>
      </c>
      <c r="E3857" s="1" t="s">
        <v>501</v>
      </c>
      <c r="F3857" s="1" t="s">
        <v>502</v>
      </c>
      <c r="G3857" s="1" t="s">
        <v>404</v>
      </c>
      <c r="H3857" s="1">
        <v>192</v>
      </c>
      <c r="I3857" s="3">
        <v>46281</v>
      </c>
      <c r="J3857" s="3">
        <v>46282</v>
      </c>
      <c r="K3857" s="3" t="s">
        <v>2362</v>
      </c>
      <c r="L3857" s="31">
        <v>46281.668812303236</v>
      </c>
      <c r="M3857" s="20">
        <v>6</v>
      </c>
      <c r="N3857" s="1">
        <v>5</v>
      </c>
    </row>
    <row r="3858" spans="1:14" x14ac:dyDescent="0.25">
      <c r="A3858" t="str">
        <f t="shared" si="122"/>
        <v>H176970H176970</v>
      </c>
      <c r="B3858" t="str">
        <f t="shared" si="123"/>
        <v>H176970G204L5CB-M</v>
      </c>
      <c r="C3858" s="1" t="s">
        <v>6</v>
      </c>
      <c r="D3858" s="1" t="s">
        <v>726</v>
      </c>
      <c r="E3858" s="1" t="s">
        <v>501</v>
      </c>
      <c r="F3858" s="1" t="s">
        <v>502</v>
      </c>
      <c r="G3858" s="1" t="s">
        <v>404</v>
      </c>
      <c r="H3858" s="1">
        <v>192</v>
      </c>
      <c r="I3858" s="3">
        <v>46281</v>
      </c>
      <c r="J3858" s="3">
        <v>46282</v>
      </c>
      <c r="K3858" s="3" t="s">
        <v>2362</v>
      </c>
      <c r="L3858" s="31">
        <v>46281.669179479162</v>
      </c>
      <c r="M3858" s="20">
        <v>6</v>
      </c>
      <c r="N3858" s="1">
        <v>8</v>
      </c>
    </row>
    <row r="3859" spans="1:14" x14ac:dyDescent="0.25">
      <c r="A3859" t="str">
        <f t="shared" si="122"/>
        <v>H176970H176970</v>
      </c>
      <c r="B3859" t="str">
        <f t="shared" si="123"/>
        <v>H176970G204L5CB-M</v>
      </c>
      <c r="C3859" s="1" t="s">
        <v>6</v>
      </c>
      <c r="D3859" s="1" t="s">
        <v>726</v>
      </c>
      <c r="E3859" s="1" t="s">
        <v>501</v>
      </c>
      <c r="F3859" s="1" t="s">
        <v>502</v>
      </c>
      <c r="G3859" s="1" t="s">
        <v>404</v>
      </c>
      <c r="H3859" s="1">
        <v>192</v>
      </c>
      <c r="I3859" s="3">
        <v>46281</v>
      </c>
      <c r="J3859" s="3">
        <v>46282</v>
      </c>
      <c r="K3859" s="3" t="s">
        <v>2362</v>
      </c>
      <c r="L3859" s="31">
        <v>46281.669908217591</v>
      </c>
      <c r="M3859" s="20">
        <v>6</v>
      </c>
      <c r="N3859" s="1">
        <v>19</v>
      </c>
    </row>
    <row r="3860" spans="1:14" x14ac:dyDescent="0.25">
      <c r="A3860" t="str">
        <f t="shared" si="122"/>
        <v>H176970H176970</v>
      </c>
      <c r="B3860" t="str">
        <f t="shared" si="123"/>
        <v>H176970G204L5CB-M</v>
      </c>
      <c r="C3860" s="1" t="s">
        <v>6</v>
      </c>
      <c r="D3860" s="1" t="s">
        <v>726</v>
      </c>
      <c r="E3860" s="1" t="s">
        <v>501</v>
      </c>
      <c r="F3860" s="1" t="s">
        <v>502</v>
      </c>
      <c r="G3860" s="1" t="s">
        <v>404</v>
      </c>
      <c r="H3860" s="1">
        <v>192</v>
      </c>
      <c r="I3860" s="3">
        <v>46281</v>
      </c>
      <c r="J3860" s="3">
        <v>46282</v>
      </c>
      <c r="K3860" s="3" t="s">
        <v>2362</v>
      </c>
      <c r="L3860" s="31">
        <v>46281.670648263884</v>
      </c>
      <c r="M3860" s="20">
        <v>6</v>
      </c>
      <c r="N3860" s="1">
        <v>30</v>
      </c>
    </row>
    <row r="3861" spans="1:14" x14ac:dyDescent="0.25">
      <c r="A3861" t="str">
        <f t="shared" si="122"/>
        <v>H176970H176970</v>
      </c>
      <c r="B3861" t="str">
        <f t="shared" si="123"/>
        <v>H176970G204L5CB-M</v>
      </c>
      <c r="C3861" s="1" t="s">
        <v>6</v>
      </c>
      <c r="D3861" s="1" t="s">
        <v>726</v>
      </c>
      <c r="E3861" s="1" t="s">
        <v>501</v>
      </c>
      <c r="F3861" s="1" t="s">
        <v>502</v>
      </c>
      <c r="G3861" s="1" t="s">
        <v>404</v>
      </c>
      <c r="H3861" s="1">
        <v>192</v>
      </c>
      <c r="I3861" s="3">
        <v>46281</v>
      </c>
      <c r="J3861" s="3">
        <v>46282</v>
      </c>
      <c r="K3861" s="3" t="s">
        <v>2362</v>
      </c>
      <c r="L3861" s="31">
        <v>46281.670985266202</v>
      </c>
      <c r="M3861" s="20">
        <v>6</v>
      </c>
      <c r="N3861" s="1">
        <v>11</v>
      </c>
    </row>
    <row r="3862" spans="1:14" x14ac:dyDescent="0.25">
      <c r="A3862" t="str">
        <f t="shared" si="122"/>
        <v>H176970H176970</v>
      </c>
      <c r="B3862" t="str">
        <f t="shared" si="123"/>
        <v>H176970G204L5CB-M</v>
      </c>
      <c r="C3862" s="1" t="s">
        <v>6</v>
      </c>
      <c r="D3862" s="1" t="s">
        <v>726</v>
      </c>
      <c r="E3862" s="1" t="s">
        <v>501</v>
      </c>
      <c r="F3862" s="1" t="s">
        <v>502</v>
      </c>
      <c r="G3862" s="1" t="s">
        <v>404</v>
      </c>
      <c r="H3862" s="1">
        <v>192</v>
      </c>
      <c r="I3862" s="3">
        <v>46281</v>
      </c>
      <c r="J3862" s="3">
        <v>46282</v>
      </c>
      <c r="K3862" s="3" t="s">
        <v>2362</v>
      </c>
      <c r="L3862" s="31">
        <v>46281.671151423609</v>
      </c>
      <c r="M3862" s="20">
        <v>6</v>
      </c>
      <c r="N3862" s="1">
        <v>4</v>
      </c>
    </row>
    <row r="3863" spans="1:14" x14ac:dyDescent="0.25">
      <c r="A3863" t="str">
        <f t="shared" si="122"/>
        <v>H176970H176970</v>
      </c>
      <c r="B3863" t="str">
        <f t="shared" si="123"/>
        <v>H176970G204L5CB-M</v>
      </c>
      <c r="C3863" s="1" t="s">
        <v>6</v>
      </c>
      <c r="D3863" s="1" t="s">
        <v>726</v>
      </c>
      <c r="E3863" s="1" t="s">
        <v>501</v>
      </c>
      <c r="F3863" s="1" t="s">
        <v>502</v>
      </c>
      <c r="G3863" s="1" t="s">
        <v>404</v>
      </c>
      <c r="H3863" s="1">
        <v>192</v>
      </c>
      <c r="I3863" s="3">
        <v>46281</v>
      </c>
      <c r="J3863" s="3">
        <v>46282</v>
      </c>
      <c r="K3863" s="3" t="s">
        <v>2362</v>
      </c>
      <c r="L3863" s="31">
        <v>46281.671555127316</v>
      </c>
      <c r="M3863" s="20">
        <v>6</v>
      </c>
      <c r="N3863" s="1">
        <v>13</v>
      </c>
    </row>
    <row r="3864" spans="1:14" x14ac:dyDescent="0.25">
      <c r="A3864" t="str">
        <f t="shared" si="122"/>
        <v>H176970H176970</v>
      </c>
      <c r="B3864" t="str">
        <f t="shared" si="123"/>
        <v>H176970G204L5CB-M</v>
      </c>
      <c r="C3864" s="1" t="s">
        <v>6</v>
      </c>
      <c r="D3864" s="1" t="s">
        <v>726</v>
      </c>
      <c r="E3864" s="1" t="s">
        <v>501</v>
      </c>
      <c r="F3864" s="1" t="s">
        <v>502</v>
      </c>
      <c r="G3864" s="1" t="s">
        <v>404</v>
      </c>
      <c r="H3864" s="1">
        <v>192</v>
      </c>
      <c r="I3864" s="3">
        <v>46281</v>
      </c>
      <c r="J3864" s="3">
        <v>46282</v>
      </c>
      <c r="K3864" s="3" t="s">
        <v>2362</v>
      </c>
      <c r="L3864" s="31">
        <v>46281.671726736109</v>
      </c>
      <c r="M3864" s="20">
        <v>6</v>
      </c>
      <c r="N3864" s="1">
        <v>29</v>
      </c>
    </row>
    <row r="3865" spans="1:14" x14ac:dyDescent="0.25">
      <c r="A3865" t="str">
        <f t="shared" si="122"/>
        <v>H176970H176970</v>
      </c>
      <c r="B3865" t="str">
        <f t="shared" si="123"/>
        <v>H176970G204L5CB-M</v>
      </c>
      <c r="C3865" s="1" t="s">
        <v>6</v>
      </c>
      <c r="D3865" s="1" t="s">
        <v>726</v>
      </c>
      <c r="E3865" s="1" t="s">
        <v>501</v>
      </c>
      <c r="F3865" s="1" t="s">
        <v>502</v>
      </c>
      <c r="G3865" s="1" t="s">
        <v>404</v>
      </c>
      <c r="H3865" s="1">
        <v>192</v>
      </c>
      <c r="I3865" s="3">
        <v>46281</v>
      </c>
      <c r="J3865" s="3">
        <v>46282</v>
      </c>
      <c r="K3865" s="3" t="s">
        <v>2362</v>
      </c>
      <c r="L3865" s="31">
        <v>46281.672278622682</v>
      </c>
      <c r="M3865" s="20">
        <v>6</v>
      </c>
      <c r="N3865" s="1">
        <v>21</v>
      </c>
    </row>
    <row r="3866" spans="1:14" x14ac:dyDescent="0.25">
      <c r="A3866" t="str">
        <f t="shared" si="122"/>
        <v>H176970H176970</v>
      </c>
      <c r="B3866" t="str">
        <f t="shared" si="123"/>
        <v>H176970G204L5CB-M</v>
      </c>
      <c r="C3866" s="1" t="s">
        <v>6</v>
      </c>
      <c r="D3866" s="1" t="s">
        <v>726</v>
      </c>
      <c r="E3866" s="1" t="s">
        <v>501</v>
      </c>
      <c r="F3866" s="1" t="s">
        <v>502</v>
      </c>
      <c r="G3866" s="1" t="s">
        <v>404</v>
      </c>
      <c r="H3866" s="1">
        <v>192</v>
      </c>
      <c r="I3866" s="3">
        <v>46281</v>
      </c>
      <c r="J3866" s="3">
        <v>46282</v>
      </c>
      <c r="K3866" s="3" t="s">
        <v>2362</v>
      </c>
      <c r="L3866" s="31">
        <v>46281.672461689814</v>
      </c>
      <c r="M3866" s="20">
        <v>6</v>
      </c>
      <c r="N3866" s="1">
        <v>9</v>
      </c>
    </row>
    <row r="3867" spans="1:14" x14ac:dyDescent="0.25">
      <c r="A3867" t="str">
        <f t="shared" si="122"/>
        <v>H176970H176970</v>
      </c>
      <c r="B3867" t="str">
        <f t="shared" si="123"/>
        <v>H176970G204L5CB-M</v>
      </c>
      <c r="C3867" s="1" t="s">
        <v>6</v>
      </c>
      <c r="D3867" s="1" t="s">
        <v>726</v>
      </c>
      <c r="E3867" s="1" t="s">
        <v>501</v>
      </c>
      <c r="F3867" s="1" t="s">
        <v>502</v>
      </c>
      <c r="G3867" s="1" t="s">
        <v>404</v>
      </c>
      <c r="H3867" s="1">
        <v>192</v>
      </c>
      <c r="I3867" s="3">
        <v>46281</v>
      </c>
      <c r="J3867" s="3">
        <v>46282</v>
      </c>
      <c r="K3867" s="3" t="s">
        <v>2362</v>
      </c>
      <c r="L3867" s="31">
        <v>46281.67262824074</v>
      </c>
      <c r="M3867" s="20">
        <v>6</v>
      </c>
      <c r="N3867" s="1">
        <v>22</v>
      </c>
    </row>
    <row r="3868" spans="1:14" x14ac:dyDescent="0.25">
      <c r="A3868" t="str">
        <f t="shared" si="122"/>
        <v>H176970H176970</v>
      </c>
      <c r="B3868" t="str">
        <f t="shared" si="123"/>
        <v>H176970G204L5CB-M</v>
      </c>
      <c r="C3868" s="1" t="s">
        <v>6</v>
      </c>
      <c r="D3868" s="1" t="s">
        <v>726</v>
      </c>
      <c r="E3868" s="1" t="s">
        <v>501</v>
      </c>
      <c r="F3868" s="1" t="s">
        <v>502</v>
      </c>
      <c r="G3868" s="1" t="s">
        <v>404</v>
      </c>
      <c r="H3868" s="1">
        <v>192</v>
      </c>
      <c r="I3868" s="3">
        <v>46281</v>
      </c>
      <c r="J3868" s="3">
        <v>46282</v>
      </c>
      <c r="K3868" s="3" t="s">
        <v>2362</v>
      </c>
      <c r="L3868" s="31">
        <v>46281.674243634254</v>
      </c>
      <c r="M3868" s="20">
        <v>6</v>
      </c>
      <c r="N3868" s="1">
        <v>32</v>
      </c>
    </row>
    <row r="3869" spans="1:14" x14ac:dyDescent="0.25">
      <c r="A3869" t="str">
        <f t="shared" si="122"/>
        <v>H176970H176970</v>
      </c>
      <c r="B3869" t="str">
        <f t="shared" si="123"/>
        <v>H176970G204L5CB-M</v>
      </c>
      <c r="C3869" s="1" t="s">
        <v>6</v>
      </c>
      <c r="D3869" s="1" t="s">
        <v>726</v>
      </c>
      <c r="E3869" s="1" t="s">
        <v>501</v>
      </c>
      <c r="F3869" s="1" t="s">
        <v>502</v>
      </c>
      <c r="G3869" s="1" t="s">
        <v>404</v>
      </c>
      <c r="H3869" s="1">
        <v>192</v>
      </c>
      <c r="I3869" s="3">
        <v>46281</v>
      </c>
      <c r="J3869" s="3">
        <v>46282</v>
      </c>
      <c r="K3869" s="3" t="s">
        <v>2362</v>
      </c>
      <c r="L3869" s="31">
        <v>46281.674891631941</v>
      </c>
      <c r="M3869" s="20">
        <v>6</v>
      </c>
      <c r="N3869" s="1">
        <v>23</v>
      </c>
    </row>
    <row r="3870" spans="1:14" x14ac:dyDescent="0.25">
      <c r="A3870" t="str">
        <f t="shared" si="122"/>
        <v>H176970H176970</v>
      </c>
      <c r="B3870" t="str">
        <f t="shared" si="123"/>
        <v>H176970G204L5CB-M</v>
      </c>
      <c r="C3870" s="1" t="s">
        <v>6</v>
      </c>
      <c r="D3870" s="1" t="s">
        <v>726</v>
      </c>
      <c r="E3870" s="1" t="s">
        <v>501</v>
      </c>
      <c r="F3870" s="1" t="s">
        <v>502</v>
      </c>
      <c r="G3870" s="1" t="s">
        <v>404</v>
      </c>
      <c r="H3870" s="1">
        <v>192</v>
      </c>
      <c r="I3870" s="3">
        <v>46281</v>
      </c>
      <c r="J3870" s="3">
        <v>46282</v>
      </c>
      <c r="K3870" s="3" t="s">
        <v>2362</v>
      </c>
      <c r="L3870" s="31">
        <v>46281.675040243055</v>
      </c>
      <c r="M3870" s="20">
        <v>6</v>
      </c>
      <c r="N3870" s="1">
        <v>14</v>
      </c>
    </row>
    <row r="3871" spans="1:14" x14ac:dyDescent="0.25">
      <c r="A3871" t="str">
        <f t="shared" si="122"/>
        <v>H177673H177673</v>
      </c>
      <c r="B3871" t="str">
        <f t="shared" si="123"/>
        <v>H177673GC9060GY-M</v>
      </c>
      <c r="C3871" s="1" t="s">
        <v>5</v>
      </c>
      <c r="D3871" s="1" t="s">
        <v>712</v>
      </c>
      <c r="E3871" s="1" t="s">
        <v>524</v>
      </c>
      <c r="F3871" s="1" t="s">
        <v>525</v>
      </c>
      <c r="G3871" s="1" t="s">
        <v>404</v>
      </c>
      <c r="H3871" s="1">
        <v>708</v>
      </c>
      <c r="I3871" s="3">
        <v>46281</v>
      </c>
      <c r="J3871" s="3">
        <v>46289</v>
      </c>
      <c r="K3871" s="3" t="s">
        <v>2374</v>
      </c>
      <c r="L3871" s="31">
        <v>46281.382134374995</v>
      </c>
      <c r="M3871" s="20">
        <v>12</v>
      </c>
      <c r="N3871" s="1">
        <v>13</v>
      </c>
    </row>
    <row r="3872" spans="1:14" x14ac:dyDescent="0.25">
      <c r="A3872" t="str">
        <f t="shared" si="122"/>
        <v>H177673H177673</v>
      </c>
      <c r="B3872" t="str">
        <f t="shared" si="123"/>
        <v>H177673GC9060GY-M</v>
      </c>
      <c r="C3872" s="1" t="s">
        <v>5</v>
      </c>
      <c r="D3872" s="1" t="s">
        <v>712</v>
      </c>
      <c r="E3872" s="1" t="s">
        <v>524</v>
      </c>
      <c r="F3872" s="1" t="s">
        <v>525</v>
      </c>
      <c r="G3872" s="1" t="s">
        <v>404</v>
      </c>
      <c r="H3872" s="1">
        <v>708</v>
      </c>
      <c r="I3872" s="3">
        <v>46281</v>
      </c>
      <c r="J3872" s="3">
        <v>46289</v>
      </c>
      <c r="K3872" s="3" t="s">
        <v>2374</v>
      </c>
      <c r="L3872" s="31">
        <v>46281.389432986107</v>
      </c>
      <c r="M3872" s="20">
        <v>12</v>
      </c>
      <c r="N3872" s="1">
        <v>32</v>
      </c>
    </row>
    <row r="3873" spans="1:14" x14ac:dyDescent="0.25">
      <c r="A3873" t="str">
        <f t="shared" si="122"/>
        <v>H177673H177673</v>
      </c>
      <c r="B3873" t="str">
        <f t="shared" si="123"/>
        <v>H177673GC9060GY-M</v>
      </c>
      <c r="C3873" s="1" t="s">
        <v>5</v>
      </c>
      <c r="D3873" s="1" t="s">
        <v>712</v>
      </c>
      <c r="E3873" s="1" t="s">
        <v>524</v>
      </c>
      <c r="F3873" s="1" t="s">
        <v>525</v>
      </c>
      <c r="G3873" s="1" t="s">
        <v>404</v>
      </c>
      <c r="H3873" s="1">
        <v>708</v>
      </c>
      <c r="I3873" s="3">
        <v>46281</v>
      </c>
      <c r="J3873" s="3">
        <v>46289</v>
      </c>
      <c r="K3873" s="3" t="s">
        <v>2374</v>
      </c>
      <c r="L3873" s="31">
        <v>46281.389667280091</v>
      </c>
      <c r="M3873" s="20">
        <v>12</v>
      </c>
      <c r="N3873" s="1">
        <v>48</v>
      </c>
    </row>
    <row r="3874" spans="1:14" x14ac:dyDescent="0.25">
      <c r="A3874" t="str">
        <f t="shared" si="122"/>
        <v>H177673H177673</v>
      </c>
      <c r="B3874" t="str">
        <f t="shared" si="123"/>
        <v>H177673GC9060GY-M</v>
      </c>
      <c r="C3874" s="1" t="s">
        <v>5</v>
      </c>
      <c r="D3874" s="1" t="s">
        <v>712</v>
      </c>
      <c r="E3874" s="1" t="s">
        <v>524</v>
      </c>
      <c r="F3874" s="1" t="s">
        <v>525</v>
      </c>
      <c r="G3874" s="1" t="s">
        <v>404</v>
      </c>
      <c r="H3874" s="1">
        <v>708</v>
      </c>
      <c r="I3874" s="3">
        <v>46281</v>
      </c>
      <c r="J3874" s="3">
        <v>46289</v>
      </c>
      <c r="K3874" s="3" t="s">
        <v>2374</v>
      </c>
      <c r="L3874" s="31">
        <v>46281.3954815162</v>
      </c>
      <c r="M3874" s="20">
        <v>12</v>
      </c>
      <c r="N3874" s="1">
        <v>33</v>
      </c>
    </row>
    <row r="3875" spans="1:14" x14ac:dyDescent="0.25">
      <c r="A3875" t="str">
        <f t="shared" si="122"/>
        <v>H177673H177673</v>
      </c>
      <c r="B3875" t="str">
        <f t="shared" si="123"/>
        <v>H177673GC9060GY-M</v>
      </c>
      <c r="C3875" s="1" t="s">
        <v>5</v>
      </c>
      <c r="D3875" s="1" t="s">
        <v>712</v>
      </c>
      <c r="E3875" s="1" t="s">
        <v>524</v>
      </c>
      <c r="F3875" s="1" t="s">
        <v>525</v>
      </c>
      <c r="G3875" s="1" t="s">
        <v>404</v>
      </c>
      <c r="H3875" s="1">
        <v>708</v>
      </c>
      <c r="I3875" s="3">
        <v>46281</v>
      </c>
      <c r="J3875" s="3">
        <v>46289</v>
      </c>
      <c r="K3875" s="3" t="s">
        <v>2374</v>
      </c>
      <c r="L3875" s="31">
        <v>46281.424520219909</v>
      </c>
      <c r="M3875" s="20">
        <v>12</v>
      </c>
      <c r="N3875" s="1">
        <v>43</v>
      </c>
    </row>
    <row r="3876" spans="1:14" x14ac:dyDescent="0.25">
      <c r="A3876" t="str">
        <f t="shared" si="122"/>
        <v>H177673H177673</v>
      </c>
      <c r="B3876" t="str">
        <f t="shared" si="123"/>
        <v>H177673GC9060GY-M</v>
      </c>
      <c r="C3876" s="1" t="s">
        <v>5</v>
      </c>
      <c r="D3876" s="1" t="s">
        <v>712</v>
      </c>
      <c r="E3876" s="1" t="s">
        <v>524</v>
      </c>
      <c r="F3876" s="1" t="s">
        <v>525</v>
      </c>
      <c r="G3876" s="1" t="s">
        <v>404</v>
      </c>
      <c r="H3876" s="1">
        <v>708</v>
      </c>
      <c r="I3876" s="3">
        <v>46281</v>
      </c>
      <c r="J3876" s="3">
        <v>46289</v>
      </c>
      <c r="K3876" s="3" t="s">
        <v>2374</v>
      </c>
      <c r="L3876" s="31">
        <v>46281.438226157406</v>
      </c>
      <c r="M3876" s="20">
        <v>12</v>
      </c>
      <c r="N3876" s="1">
        <v>34</v>
      </c>
    </row>
    <row r="3877" spans="1:14" x14ac:dyDescent="0.25">
      <c r="A3877" t="str">
        <f t="shared" si="122"/>
        <v>H177673H177673</v>
      </c>
      <c r="B3877" t="str">
        <f t="shared" si="123"/>
        <v>H177673GC9060GY-M</v>
      </c>
      <c r="C3877" s="1" t="s">
        <v>5</v>
      </c>
      <c r="D3877" s="1" t="s">
        <v>712</v>
      </c>
      <c r="E3877" s="1" t="s">
        <v>524</v>
      </c>
      <c r="F3877" s="1" t="s">
        <v>525</v>
      </c>
      <c r="G3877" s="1" t="s">
        <v>404</v>
      </c>
      <c r="H3877" s="1">
        <v>708</v>
      </c>
      <c r="I3877" s="3">
        <v>46281</v>
      </c>
      <c r="J3877" s="3">
        <v>46289</v>
      </c>
      <c r="K3877" s="3" t="s">
        <v>2374</v>
      </c>
      <c r="L3877" s="31">
        <v>46281.451859606481</v>
      </c>
      <c r="M3877" s="20">
        <v>12</v>
      </c>
      <c r="N3877" s="1">
        <v>49</v>
      </c>
    </row>
    <row r="3878" spans="1:14" x14ac:dyDescent="0.25">
      <c r="A3878" t="str">
        <f t="shared" si="122"/>
        <v>H177673H177673</v>
      </c>
      <c r="B3878" t="str">
        <f t="shared" si="123"/>
        <v>H177673GC9060GY-M</v>
      </c>
      <c r="C3878" s="1" t="s">
        <v>5</v>
      </c>
      <c r="D3878" s="1" t="s">
        <v>712</v>
      </c>
      <c r="E3878" s="1" t="s">
        <v>524</v>
      </c>
      <c r="F3878" s="1" t="s">
        <v>525</v>
      </c>
      <c r="G3878" s="1" t="s">
        <v>404</v>
      </c>
      <c r="H3878" s="1">
        <v>708</v>
      </c>
      <c r="I3878" s="3">
        <v>46281</v>
      </c>
      <c r="J3878" s="3">
        <v>46289</v>
      </c>
      <c r="K3878" s="3" t="s">
        <v>2374</v>
      </c>
      <c r="L3878" s="31">
        <v>46281.548798379627</v>
      </c>
      <c r="M3878" s="20">
        <v>12</v>
      </c>
      <c r="N3878" s="1">
        <v>15</v>
      </c>
    </row>
    <row r="3879" spans="1:14" x14ac:dyDescent="0.25">
      <c r="A3879" t="str">
        <f t="shared" si="122"/>
        <v>H177673H177673</v>
      </c>
      <c r="B3879" t="str">
        <f t="shared" si="123"/>
        <v>H177673GC9060GY-M</v>
      </c>
      <c r="C3879" s="1" t="s">
        <v>5</v>
      </c>
      <c r="D3879" s="1" t="s">
        <v>712</v>
      </c>
      <c r="E3879" s="1" t="s">
        <v>524</v>
      </c>
      <c r="F3879" s="1" t="s">
        <v>525</v>
      </c>
      <c r="G3879" s="1" t="s">
        <v>404</v>
      </c>
      <c r="H3879" s="1">
        <v>708</v>
      </c>
      <c r="I3879" s="3">
        <v>46281</v>
      </c>
      <c r="J3879" s="3">
        <v>46289</v>
      </c>
      <c r="K3879" s="3" t="s">
        <v>2374</v>
      </c>
      <c r="L3879" s="31">
        <v>46281.556322604163</v>
      </c>
      <c r="M3879" s="20">
        <v>12</v>
      </c>
      <c r="N3879" s="1">
        <v>50</v>
      </c>
    </row>
    <row r="3880" spans="1:14" x14ac:dyDescent="0.25">
      <c r="A3880" t="str">
        <f t="shared" si="122"/>
        <v>H177673H177673</v>
      </c>
      <c r="B3880" t="str">
        <f t="shared" si="123"/>
        <v>H177673GC9060GY-M</v>
      </c>
      <c r="C3880" s="1" t="s">
        <v>5</v>
      </c>
      <c r="D3880" s="1" t="s">
        <v>712</v>
      </c>
      <c r="E3880" s="1" t="s">
        <v>524</v>
      </c>
      <c r="F3880" s="1" t="s">
        <v>525</v>
      </c>
      <c r="G3880" s="1" t="s">
        <v>404</v>
      </c>
      <c r="H3880" s="1">
        <v>708</v>
      </c>
      <c r="I3880" s="3">
        <v>46281</v>
      </c>
      <c r="J3880" s="3">
        <v>46289</v>
      </c>
      <c r="K3880" s="3" t="s">
        <v>2374</v>
      </c>
      <c r="L3880" s="31">
        <v>46281.57334174768</v>
      </c>
      <c r="M3880" s="20">
        <v>12</v>
      </c>
      <c r="N3880" s="1">
        <v>35</v>
      </c>
    </row>
    <row r="3881" spans="1:14" x14ac:dyDescent="0.25">
      <c r="A3881" t="str">
        <f t="shared" si="122"/>
        <v>H177673H177673</v>
      </c>
      <c r="B3881" t="str">
        <f t="shared" si="123"/>
        <v>H177673GC9060GY-M</v>
      </c>
      <c r="C3881" s="1" t="s">
        <v>5</v>
      </c>
      <c r="D3881" s="1" t="s">
        <v>712</v>
      </c>
      <c r="E3881" s="1" t="s">
        <v>524</v>
      </c>
      <c r="F3881" s="1" t="s">
        <v>525</v>
      </c>
      <c r="G3881" s="1" t="s">
        <v>404</v>
      </c>
      <c r="H3881" s="1">
        <v>708</v>
      </c>
      <c r="I3881" s="3">
        <v>46281</v>
      </c>
      <c r="J3881" s="3">
        <v>46289</v>
      </c>
      <c r="K3881" s="3" t="s">
        <v>2374</v>
      </c>
      <c r="L3881" s="31">
        <v>46281.612944363427</v>
      </c>
      <c r="M3881" s="20">
        <v>12</v>
      </c>
      <c r="N3881" s="1">
        <v>14</v>
      </c>
    </row>
    <row r="3882" spans="1:14" x14ac:dyDescent="0.25">
      <c r="A3882" t="str">
        <f t="shared" si="122"/>
        <v>H177673H177673</v>
      </c>
      <c r="B3882" t="str">
        <f t="shared" si="123"/>
        <v>H177673GC9060GY-M</v>
      </c>
      <c r="C3882" s="1" t="s">
        <v>5</v>
      </c>
      <c r="D3882" s="1" t="s">
        <v>712</v>
      </c>
      <c r="E3882" s="1" t="s">
        <v>524</v>
      </c>
      <c r="F3882" s="1" t="s">
        <v>525</v>
      </c>
      <c r="G3882" s="1" t="s">
        <v>404</v>
      </c>
      <c r="H3882" s="1">
        <v>708</v>
      </c>
      <c r="I3882" s="3">
        <v>46281</v>
      </c>
      <c r="J3882" s="3">
        <v>46289</v>
      </c>
      <c r="K3882" s="3" t="s">
        <v>2374</v>
      </c>
      <c r="L3882" s="31">
        <v>46281.656852164349</v>
      </c>
      <c r="M3882" s="20">
        <v>12</v>
      </c>
      <c r="N3882" s="1">
        <v>17</v>
      </c>
    </row>
    <row r="3883" spans="1:14" x14ac:dyDescent="0.25">
      <c r="A3883" t="str">
        <f t="shared" si="122"/>
        <v>H177673H177673</v>
      </c>
      <c r="B3883" t="str">
        <f t="shared" si="123"/>
        <v>H177673GC9060GY-M</v>
      </c>
      <c r="C3883" s="1" t="s">
        <v>5</v>
      </c>
      <c r="D3883" s="1" t="s">
        <v>712</v>
      </c>
      <c r="E3883" s="1" t="s">
        <v>524</v>
      </c>
      <c r="F3883" s="1" t="s">
        <v>525</v>
      </c>
      <c r="G3883" s="1" t="s">
        <v>404</v>
      </c>
      <c r="H3883" s="1">
        <v>708</v>
      </c>
      <c r="I3883" s="3">
        <v>46281</v>
      </c>
      <c r="J3883" s="3">
        <v>46289</v>
      </c>
      <c r="K3883" s="3" t="s">
        <v>2374</v>
      </c>
      <c r="L3883" s="31">
        <v>46281.671293483792</v>
      </c>
      <c r="M3883" s="20">
        <v>12</v>
      </c>
      <c r="N3883" s="1">
        <v>36</v>
      </c>
    </row>
    <row r="3884" spans="1:14" x14ac:dyDescent="0.25">
      <c r="A3884" t="str">
        <f t="shared" si="122"/>
        <v>H177673H177673</v>
      </c>
      <c r="B3884" t="str">
        <f t="shared" si="123"/>
        <v>H177673GC9060GY-M</v>
      </c>
      <c r="C3884" s="1" t="s">
        <v>5</v>
      </c>
      <c r="D3884" s="1" t="s">
        <v>712</v>
      </c>
      <c r="E3884" s="1" t="s">
        <v>524</v>
      </c>
      <c r="F3884" s="1" t="s">
        <v>525</v>
      </c>
      <c r="G3884" s="1" t="s">
        <v>404</v>
      </c>
      <c r="H3884" s="1">
        <v>708</v>
      </c>
      <c r="I3884" s="3">
        <v>46281</v>
      </c>
      <c r="J3884" s="3">
        <v>46289</v>
      </c>
      <c r="K3884" s="3" t="s">
        <v>2374</v>
      </c>
      <c r="L3884" s="31">
        <v>46281.673609687496</v>
      </c>
      <c r="M3884" s="20">
        <v>12</v>
      </c>
      <c r="N3884" s="1">
        <v>18</v>
      </c>
    </row>
    <row r="3885" spans="1:14" x14ac:dyDescent="0.25">
      <c r="A3885" t="str">
        <f t="shared" si="122"/>
        <v>H177673H177673</v>
      </c>
      <c r="B3885" t="str">
        <f t="shared" si="123"/>
        <v>H177673GC9060GY-M</v>
      </c>
      <c r="C3885" s="1" t="s">
        <v>5</v>
      </c>
      <c r="D3885" s="1" t="s">
        <v>712</v>
      </c>
      <c r="E3885" s="1" t="s">
        <v>524</v>
      </c>
      <c r="F3885" s="1" t="s">
        <v>525</v>
      </c>
      <c r="G3885" s="1" t="s">
        <v>404</v>
      </c>
      <c r="H3885" s="1">
        <v>708</v>
      </c>
      <c r="I3885" s="3">
        <v>46281</v>
      </c>
      <c r="J3885" s="3">
        <v>46289</v>
      </c>
      <c r="K3885" s="3" t="s">
        <v>2374</v>
      </c>
      <c r="L3885" s="31">
        <v>46281.675872685184</v>
      </c>
      <c r="M3885" s="20">
        <v>12</v>
      </c>
      <c r="N3885" s="1">
        <v>22</v>
      </c>
    </row>
    <row r="3886" spans="1:14" x14ac:dyDescent="0.25">
      <c r="A3886" t="str">
        <f t="shared" si="122"/>
        <v>H177673H177673</v>
      </c>
      <c r="B3886" t="str">
        <f t="shared" si="123"/>
        <v>H177673GC9060GY-M</v>
      </c>
      <c r="C3886" s="1" t="s">
        <v>5</v>
      </c>
      <c r="D3886" s="1" t="s">
        <v>712</v>
      </c>
      <c r="E3886" s="1" t="s">
        <v>524</v>
      </c>
      <c r="F3886" s="1" t="s">
        <v>525</v>
      </c>
      <c r="G3886" s="1" t="s">
        <v>404</v>
      </c>
      <c r="H3886" s="1">
        <v>708</v>
      </c>
      <c r="I3886" s="3">
        <v>46281</v>
      </c>
      <c r="J3886" s="3">
        <v>46289</v>
      </c>
      <c r="K3886" s="3" t="s">
        <v>2374</v>
      </c>
      <c r="L3886" s="31">
        <v>46281.687995601853</v>
      </c>
      <c r="M3886" s="20">
        <v>12</v>
      </c>
      <c r="N3886" s="1">
        <v>37</v>
      </c>
    </row>
    <row r="3887" spans="1:14" x14ac:dyDescent="0.25">
      <c r="A3887" t="str">
        <f t="shared" si="122"/>
        <v>H177673H177673</v>
      </c>
      <c r="B3887" t="str">
        <f t="shared" si="123"/>
        <v>H177673GC9060GY-M</v>
      </c>
      <c r="C3887" s="1" t="s">
        <v>5</v>
      </c>
      <c r="D3887" s="1" t="s">
        <v>712</v>
      </c>
      <c r="E3887" s="1" t="s">
        <v>524</v>
      </c>
      <c r="F3887" s="1" t="s">
        <v>525</v>
      </c>
      <c r="G3887" s="1" t="s">
        <v>404</v>
      </c>
      <c r="H3887" s="1">
        <v>708</v>
      </c>
      <c r="I3887" s="3">
        <v>46281</v>
      </c>
      <c r="J3887" s="3">
        <v>46289</v>
      </c>
      <c r="K3887" s="3" t="s">
        <v>2374</v>
      </c>
      <c r="L3887" s="31">
        <v>46281.689595254626</v>
      </c>
      <c r="M3887" s="20">
        <v>12</v>
      </c>
      <c r="N3887" s="1">
        <v>21</v>
      </c>
    </row>
    <row r="3888" spans="1:14" x14ac:dyDescent="0.25">
      <c r="A3888" t="str">
        <f t="shared" si="122"/>
        <v>H177673H177673</v>
      </c>
      <c r="B3888" t="str">
        <f t="shared" si="123"/>
        <v>H177673GC9060GY-M</v>
      </c>
      <c r="C3888" s="1" t="s">
        <v>5</v>
      </c>
      <c r="D3888" s="1" t="s">
        <v>712</v>
      </c>
      <c r="E3888" s="1" t="s">
        <v>524</v>
      </c>
      <c r="F3888" s="1" t="s">
        <v>525</v>
      </c>
      <c r="G3888" s="1" t="s">
        <v>404</v>
      </c>
      <c r="H3888" s="1">
        <v>708</v>
      </c>
      <c r="I3888" s="3">
        <v>46281</v>
      </c>
      <c r="J3888" s="3">
        <v>46289</v>
      </c>
      <c r="K3888" s="3" t="s">
        <v>2374</v>
      </c>
      <c r="L3888" s="31">
        <v>46281.690748344903</v>
      </c>
      <c r="M3888" s="20">
        <v>12</v>
      </c>
      <c r="N3888" s="1">
        <v>51</v>
      </c>
    </row>
    <row r="3889" spans="1:14" x14ac:dyDescent="0.25">
      <c r="A3889" t="str">
        <f t="shared" si="122"/>
        <v>H177673H177673</v>
      </c>
      <c r="B3889" t="str">
        <f t="shared" si="123"/>
        <v>H177673GC9060GY-M</v>
      </c>
      <c r="C3889" s="1" t="s">
        <v>5</v>
      </c>
      <c r="D3889" s="1" t="s">
        <v>712</v>
      </c>
      <c r="E3889" s="1" t="s">
        <v>524</v>
      </c>
      <c r="F3889" s="1" t="s">
        <v>525</v>
      </c>
      <c r="G3889" s="1" t="s">
        <v>404</v>
      </c>
      <c r="H3889" s="1">
        <v>708</v>
      </c>
      <c r="I3889" s="3">
        <v>46281</v>
      </c>
      <c r="J3889" s="3">
        <v>46289</v>
      </c>
      <c r="K3889" s="3" t="s">
        <v>2374</v>
      </c>
      <c r="L3889" s="31">
        <v>46281.692384525464</v>
      </c>
      <c r="M3889" s="20">
        <v>12</v>
      </c>
      <c r="N3889" s="1">
        <v>46</v>
      </c>
    </row>
    <row r="3890" spans="1:14" x14ac:dyDescent="0.25">
      <c r="A3890" t="str">
        <f t="shared" si="122"/>
        <v>H177673H177673</v>
      </c>
      <c r="B3890" t="str">
        <f t="shared" si="123"/>
        <v>H177673GC9060GY-M</v>
      </c>
      <c r="C3890" s="1" t="s">
        <v>5</v>
      </c>
      <c r="D3890" s="1" t="s">
        <v>712</v>
      </c>
      <c r="E3890" s="1" t="s">
        <v>524</v>
      </c>
      <c r="F3890" s="1" t="s">
        <v>525</v>
      </c>
      <c r="G3890" s="1" t="s">
        <v>404</v>
      </c>
      <c r="H3890" s="1">
        <v>708</v>
      </c>
      <c r="I3890" s="3">
        <v>46281</v>
      </c>
      <c r="J3890" s="3">
        <v>46289</v>
      </c>
      <c r="K3890" s="3" t="s">
        <v>2374</v>
      </c>
      <c r="L3890" s="31">
        <v>46281.712057835648</v>
      </c>
      <c r="M3890" s="20">
        <v>12</v>
      </c>
      <c r="N3890" s="1">
        <v>23</v>
      </c>
    </row>
    <row r="3891" spans="1:14" x14ac:dyDescent="0.25">
      <c r="A3891" t="str">
        <f t="shared" si="122"/>
        <v>H177673H177673</v>
      </c>
      <c r="B3891" t="str">
        <f t="shared" si="123"/>
        <v>H177673GC9060GY-M</v>
      </c>
      <c r="C3891" s="1" t="s">
        <v>5</v>
      </c>
      <c r="D3891" s="1" t="s">
        <v>712</v>
      </c>
      <c r="E3891" s="1" t="s">
        <v>524</v>
      </c>
      <c r="F3891" s="1" t="s">
        <v>525</v>
      </c>
      <c r="G3891" s="1" t="s">
        <v>404</v>
      </c>
      <c r="H3891" s="1">
        <v>708</v>
      </c>
      <c r="I3891" s="3">
        <v>46281</v>
      </c>
      <c r="J3891" s="3">
        <v>46289</v>
      </c>
      <c r="K3891" s="3" t="s">
        <v>2374</v>
      </c>
      <c r="L3891" s="31">
        <v>46281.712376701384</v>
      </c>
      <c r="M3891" s="20">
        <v>12</v>
      </c>
      <c r="N3891" s="1">
        <v>44</v>
      </c>
    </row>
    <row r="3892" spans="1:14" x14ac:dyDescent="0.25">
      <c r="A3892" t="str">
        <f t="shared" si="122"/>
        <v>H177673H177673</v>
      </c>
      <c r="B3892" t="str">
        <f t="shared" si="123"/>
        <v>H177673GC9060GY-M</v>
      </c>
      <c r="C3892" s="1" t="s">
        <v>5</v>
      </c>
      <c r="D3892" s="1" t="s">
        <v>712</v>
      </c>
      <c r="E3892" s="1" t="s">
        <v>524</v>
      </c>
      <c r="F3892" s="1" t="s">
        <v>525</v>
      </c>
      <c r="G3892" s="1" t="s">
        <v>404</v>
      </c>
      <c r="H3892" s="1">
        <v>708</v>
      </c>
      <c r="I3892" s="3">
        <v>46281</v>
      </c>
      <c r="J3892" s="3">
        <v>46289</v>
      </c>
      <c r="K3892" s="3" t="s">
        <v>2374</v>
      </c>
      <c r="L3892" s="31">
        <v>46281.727135034722</v>
      </c>
      <c r="M3892" s="20">
        <v>12</v>
      </c>
      <c r="N3892" s="1">
        <v>19</v>
      </c>
    </row>
    <row r="3893" spans="1:14" x14ac:dyDescent="0.25">
      <c r="A3893" t="str">
        <f t="shared" si="122"/>
        <v>H177673H177673</v>
      </c>
      <c r="B3893" t="str">
        <f t="shared" si="123"/>
        <v>H177673GC9060GY-M</v>
      </c>
      <c r="C3893" s="1" t="s">
        <v>5</v>
      </c>
      <c r="D3893" s="1" t="s">
        <v>712</v>
      </c>
      <c r="E3893" s="1" t="s">
        <v>524</v>
      </c>
      <c r="F3893" s="1" t="s">
        <v>525</v>
      </c>
      <c r="G3893" s="1" t="s">
        <v>404</v>
      </c>
      <c r="H3893" s="1">
        <v>708</v>
      </c>
      <c r="I3893" s="3">
        <v>46281</v>
      </c>
      <c r="J3893" s="3">
        <v>46289</v>
      </c>
      <c r="K3893" s="3" t="s">
        <v>2374</v>
      </c>
      <c r="L3893" s="31">
        <v>46281.729341631944</v>
      </c>
      <c r="M3893" s="20">
        <v>12</v>
      </c>
      <c r="N3893" s="1">
        <v>38</v>
      </c>
    </row>
    <row r="3894" spans="1:14" x14ac:dyDescent="0.25">
      <c r="A3894" t="str">
        <f t="shared" si="122"/>
        <v>H177673H177673</v>
      </c>
      <c r="B3894" t="str">
        <f t="shared" si="123"/>
        <v>H177673GC9060GY-M</v>
      </c>
      <c r="C3894" s="1" t="s">
        <v>5</v>
      </c>
      <c r="D3894" s="1" t="s">
        <v>712</v>
      </c>
      <c r="E3894" s="1" t="s">
        <v>524</v>
      </c>
      <c r="F3894" s="1" t="s">
        <v>525</v>
      </c>
      <c r="G3894" s="1" t="s">
        <v>404</v>
      </c>
      <c r="H3894" s="1">
        <v>708</v>
      </c>
      <c r="I3894" s="3">
        <v>46281</v>
      </c>
      <c r="J3894" s="3">
        <v>46289</v>
      </c>
      <c r="K3894" s="3" t="s">
        <v>2374</v>
      </c>
      <c r="L3894" s="31">
        <v>46281.733831018515</v>
      </c>
      <c r="M3894" s="20">
        <v>12</v>
      </c>
      <c r="N3894" s="1">
        <v>16</v>
      </c>
    </row>
    <row r="3895" spans="1:14" x14ac:dyDescent="0.25">
      <c r="A3895" t="str">
        <f t="shared" si="122"/>
        <v>H177673H177673</v>
      </c>
      <c r="B3895" t="str">
        <f t="shared" si="123"/>
        <v>H177673GC9060GY-M</v>
      </c>
      <c r="C3895" s="1" t="s">
        <v>5</v>
      </c>
      <c r="D3895" s="1" t="s">
        <v>712</v>
      </c>
      <c r="E3895" s="1" t="s">
        <v>524</v>
      </c>
      <c r="F3895" s="1" t="s">
        <v>525</v>
      </c>
      <c r="G3895" s="1" t="s">
        <v>404</v>
      </c>
      <c r="H3895" s="1">
        <v>708</v>
      </c>
      <c r="I3895" s="3">
        <v>46281</v>
      </c>
      <c r="J3895" s="3">
        <v>46289</v>
      </c>
      <c r="K3895" s="3" t="s">
        <v>2374</v>
      </c>
      <c r="L3895" s="31">
        <v>46281.734366666664</v>
      </c>
      <c r="M3895" s="20">
        <v>12</v>
      </c>
      <c r="N3895" s="1">
        <v>45</v>
      </c>
    </row>
    <row r="3896" spans="1:14" x14ac:dyDescent="0.25">
      <c r="A3896" t="str">
        <f t="shared" si="122"/>
        <v>H177673H177673</v>
      </c>
      <c r="B3896" t="str">
        <f t="shared" si="123"/>
        <v>H177673GC9060GY-M</v>
      </c>
      <c r="C3896" s="1" t="s">
        <v>5</v>
      </c>
      <c r="D3896" s="1" t="s">
        <v>712</v>
      </c>
      <c r="E3896" s="1" t="s">
        <v>524</v>
      </c>
      <c r="F3896" s="1" t="s">
        <v>525</v>
      </c>
      <c r="G3896" s="1" t="s">
        <v>404</v>
      </c>
      <c r="H3896" s="1">
        <v>708</v>
      </c>
      <c r="I3896" s="3">
        <v>46281</v>
      </c>
      <c r="J3896" s="3">
        <v>46289</v>
      </c>
      <c r="K3896" s="3" t="s">
        <v>2374</v>
      </c>
      <c r="L3896" s="31">
        <v>46281.752307835646</v>
      </c>
      <c r="M3896" s="20">
        <v>12</v>
      </c>
      <c r="N3896" s="1">
        <v>52</v>
      </c>
    </row>
    <row r="3897" spans="1:14" x14ac:dyDescent="0.25">
      <c r="A3897" t="str">
        <f t="shared" si="122"/>
        <v>H181785H181785</v>
      </c>
      <c r="B3897" t="str">
        <f t="shared" si="123"/>
        <v>H181785P204L9VE-M</v>
      </c>
      <c r="C3897" s="1" t="s">
        <v>182</v>
      </c>
      <c r="D3897" s="1" t="s">
        <v>719</v>
      </c>
      <c r="E3897" s="1" t="s">
        <v>524</v>
      </c>
      <c r="F3897" s="1" t="s">
        <v>525</v>
      </c>
      <c r="G3897" s="1" t="s">
        <v>404</v>
      </c>
      <c r="H3897" s="1">
        <v>258</v>
      </c>
      <c r="I3897" s="3">
        <v>46281</v>
      </c>
      <c r="J3897" s="3">
        <v>46289</v>
      </c>
      <c r="K3897" s="3" t="s">
        <v>2374</v>
      </c>
      <c r="L3897" s="31">
        <v>46281.579917974537</v>
      </c>
      <c r="M3897" s="20">
        <v>6</v>
      </c>
      <c r="N3897" s="1">
        <v>22</v>
      </c>
    </row>
    <row r="3898" spans="1:14" x14ac:dyDescent="0.25">
      <c r="A3898" t="str">
        <f t="shared" si="122"/>
        <v>H181785H181785</v>
      </c>
      <c r="B3898" t="str">
        <f t="shared" si="123"/>
        <v>H181785P204L9VE-M</v>
      </c>
      <c r="C3898" s="1" t="s">
        <v>182</v>
      </c>
      <c r="D3898" s="1" t="s">
        <v>719</v>
      </c>
      <c r="E3898" s="1" t="s">
        <v>524</v>
      </c>
      <c r="F3898" s="1" t="s">
        <v>525</v>
      </c>
      <c r="G3898" s="1" t="s">
        <v>404</v>
      </c>
      <c r="H3898" s="1">
        <v>258</v>
      </c>
      <c r="I3898" s="3">
        <v>46281</v>
      </c>
      <c r="J3898" s="3">
        <v>46289</v>
      </c>
      <c r="K3898" s="3" t="s">
        <v>2374</v>
      </c>
      <c r="L3898" s="31">
        <v>46281.590252858798</v>
      </c>
      <c r="M3898" s="20">
        <v>12</v>
      </c>
      <c r="N3898" s="1">
        <v>19</v>
      </c>
    </row>
    <row r="3899" spans="1:14" x14ac:dyDescent="0.25">
      <c r="A3899" t="str">
        <f t="shared" si="122"/>
        <v>H181785H181785</v>
      </c>
      <c r="B3899" t="str">
        <f t="shared" si="123"/>
        <v>H181785P204L9VE-M</v>
      </c>
      <c r="C3899" s="1" t="s">
        <v>182</v>
      </c>
      <c r="D3899" s="1" t="s">
        <v>719</v>
      </c>
      <c r="E3899" s="1" t="s">
        <v>524</v>
      </c>
      <c r="F3899" s="1" t="s">
        <v>525</v>
      </c>
      <c r="G3899" s="1" t="s">
        <v>404</v>
      </c>
      <c r="H3899" s="1">
        <v>258</v>
      </c>
      <c r="I3899" s="3">
        <v>46281</v>
      </c>
      <c r="J3899" s="3">
        <v>46289</v>
      </c>
      <c r="K3899" s="3" t="s">
        <v>2374</v>
      </c>
      <c r="L3899" s="31">
        <v>46281.592369675927</v>
      </c>
      <c r="M3899" s="20">
        <v>12</v>
      </c>
      <c r="N3899" s="1">
        <v>18</v>
      </c>
    </row>
    <row r="3900" spans="1:14" x14ac:dyDescent="0.25">
      <c r="A3900" t="str">
        <f t="shared" si="122"/>
        <v>H181785H181785</v>
      </c>
      <c r="B3900" t="str">
        <f t="shared" si="123"/>
        <v>H181785P204L9VE-M</v>
      </c>
      <c r="C3900" s="1" t="s">
        <v>182</v>
      </c>
      <c r="D3900" s="1" t="s">
        <v>719</v>
      </c>
      <c r="E3900" s="1" t="s">
        <v>524</v>
      </c>
      <c r="F3900" s="1" t="s">
        <v>525</v>
      </c>
      <c r="G3900" s="1" t="s">
        <v>404</v>
      </c>
      <c r="H3900" s="1">
        <v>258</v>
      </c>
      <c r="I3900" s="3">
        <v>46281</v>
      </c>
      <c r="J3900" s="3">
        <v>46289</v>
      </c>
      <c r="K3900" s="3" t="s">
        <v>2374</v>
      </c>
      <c r="L3900" s="31">
        <v>46281.592645370365</v>
      </c>
      <c r="M3900" s="20">
        <v>12</v>
      </c>
      <c r="N3900" s="1">
        <v>9</v>
      </c>
    </row>
    <row r="3901" spans="1:14" x14ac:dyDescent="0.25">
      <c r="A3901" t="str">
        <f t="shared" si="122"/>
        <v>H181785H181785</v>
      </c>
      <c r="B3901" t="str">
        <f t="shared" si="123"/>
        <v>H181785P204L9VE-M</v>
      </c>
      <c r="C3901" s="1" t="s">
        <v>182</v>
      </c>
      <c r="D3901" s="1" t="s">
        <v>719</v>
      </c>
      <c r="E3901" s="1" t="s">
        <v>524</v>
      </c>
      <c r="F3901" s="1" t="s">
        <v>525</v>
      </c>
      <c r="G3901" s="1" t="s">
        <v>404</v>
      </c>
      <c r="H3901" s="1">
        <v>258</v>
      </c>
      <c r="I3901" s="3">
        <v>46281</v>
      </c>
      <c r="J3901" s="3">
        <v>46289</v>
      </c>
      <c r="K3901" s="3" t="s">
        <v>2374</v>
      </c>
      <c r="L3901" s="31">
        <v>46281.59299853009</v>
      </c>
      <c r="M3901" s="20">
        <v>12</v>
      </c>
      <c r="N3901" s="1">
        <v>13</v>
      </c>
    </row>
    <row r="3902" spans="1:14" x14ac:dyDescent="0.25">
      <c r="A3902" t="str">
        <f t="shared" si="122"/>
        <v>H181785H181785</v>
      </c>
      <c r="B3902" t="str">
        <f t="shared" si="123"/>
        <v>H181785P204L9VE-M</v>
      </c>
      <c r="C3902" s="1" t="s">
        <v>182</v>
      </c>
      <c r="D3902" s="1" t="s">
        <v>719</v>
      </c>
      <c r="E3902" s="1" t="s">
        <v>524</v>
      </c>
      <c r="F3902" s="1" t="s">
        <v>525</v>
      </c>
      <c r="G3902" s="1" t="s">
        <v>404</v>
      </c>
      <c r="H3902" s="1">
        <v>258</v>
      </c>
      <c r="I3902" s="3">
        <v>46281</v>
      </c>
      <c r="J3902" s="3">
        <v>46289</v>
      </c>
      <c r="K3902" s="3" t="s">
        <v>2374</v>
      </c>
      <c r="L3902" s="31">
        <v>46281.59675960648</v>
      </c>
      <c r="M3902" s="20">
        <v>12</v>
      </c>
      <c r="N3902" s="1">
        <v>10</v>
      </c>
    </row>
    <row r="3903" spans="1:14" x14ac:dyDescent="0.25">
      <c r="A3903" t="str">
        <f t="shared" si="122"/>
        <v>H181785H181785</v>
      </c>
      <c r="B3903" t="str">
        <f t="shared" si="123"/>
        <v>H181785P204L9VE-M</v>
      </c>
      <c r="C3903" s="1" t="s">
        <v>182</v>
      </c>
      <c r="D3903" s="1" t="s">
        <v>719</v>
      </c>
      <c r="E3903" s="1" t="s">
        <v>524</v>
      </c>
      <c r="F3903" s="1" t="s">
        <v>525</v>
      </c>
      <c r="G3903" s="1" t="s">
        <v>404</v>
      </c>
      <c r="H3903" s="1">
        <v>258</v>
      </c>
      <c r="I3903" s="3">
        <v>46281</v>
      </c>
      <c r="J3903" s="3">
        <v>46289</v>
      </c>
      <c r="K3903" s="3" t="s">
        <v>2374</v>
      </c>
      <c r="L3903" s="31">
        <v>46281.597029247685</v>
      </c>
      <c r="M3903" s="20">
        <v>12</v>
      </c>
      <c r="N3903" s="1">
        <v>15</v>
      </c>
    </row>
    <row r="3904" spans="1:14" x14ac:dyDescent="0.25">
      <c r="A3904" t="str">
        <f t="shared" si="122"/>
        <v>H181785H181785</v>
      </c>
      <c r="B3904" t="str">
        <f t="shared" si="123"/>
        <v>H181785P204L9VE-M</v>
      </c>
      <c r="C3904" s="1" t="s">
        <v>182</v>
      </c>
      <c r="D3904" s="1" t="s">
        <v>719</v>
      </c>
      <c r="E3904" s="1" t="s">
        <v>524</v>
      </c>
      <c r="F3904" s="1" t="s">
        <v>525</v>
      </c>
      <c r="G3904" s="1" t="s">
        <v>404</v>
      </c>
      <c r="H3904" s="1">
        <v>258</v>
      </c>
      <c r="I3904" s="3">
        <v>46281</v>
      </c>
      <c r="J3904" s="3">
        <v>46289</v>
      </c>
      <c r="K3904" s="3" t="s">
        <v>2374</v>
      </c>
      <c r="L3904" s="31">
        <v>46281.597238541668</v>
      </c>
      <c r="M3904" s="20">
        <v>12</v>
      </c>
      <c r="N3904" s="1">
        <v>11</v>
      </c>
    </row>
    <row r="3905" spans="1:14" x14ac:dyDescent="0.25">
      <c r="A3905" t="str">
        <f t="shared" si="122"/>
        <v>H181785H181785</v>
      </c>
      <c r="B3905" t="str">
        <f t="shared" si="123"/>
        <v>H181785P204L9VE-M</v>
      </c>
      <c r="C3905" s="1" t="s">
        <v>182</v>
      </c>
      <c r="D3905" s="1" t="s">
        <v>719</v>
      </c>
      <c r="E3905" s="1" t="s">
        <v>524</v>
      </c>
      <c r="F3905" s="1" t="s">
        <v>525</v>
      </c>
      <c r="G3905" s="1" t="s">
        <v>404</v>
      </c>
      <c r="H3905" s="1">
        <v>258</v>
      </c>
      <c r="I3905" s="3">
        <v>46281</v>
      </c>
      <c r="J3905" s="3">
        <v>46289</v>
      </c>
      <c r="K3905" s="3" t="s">
        <v>2374</v>
      </c>
      <c r="L3905" s="31">
        <v>46281.597610266203</v>
      </c>
      <c r="M3905" s="20">
        <v>12</v>
      </c>
      <c r="N3905" s="1">
        <v>14</v>
      </c>
    </row>
    <row r="3906" spans="1:14" x14ac:dyDescent="0.25">
      <c r="A3906" t="str">
        <f t="shared" ref="A3906:A3969" si="124">+D3906&amp;D3906</f>
        <v>H181785H181785</v>
      </c>
      <c r="B3906" t="str">
        <f t="shared" ref="B3906:B3969" si="125">+D3906&amp;C3906</f>
        <v>H181785P204L9VE-M</v>
      </c>
      <c r="C3906" s="1" t="s">
        <v>182</v>
      </c>
      <c r="D3906" s="1" t="s">
        <v>719</v>
      </c>
      <c r="E3906" s="1" t="s">
        <v>524</v>
      </c>
      <c r="F3906" s="1" t="s">
        <v>525</v>
      </c>
      <c r="G3906" s="1" t="s">
        <v>404</v>
      </c>
      <c r="H3906" s="1">
        <v>258</v>
      </c>
      <c r="I3906" s="3">
        <v>46281</v>
      </c>
      <c r="J3906" s="3">
        <v>46289</v>
      </c>
      <c r="K3906" s="3" t="s">
        <v>2374</v>
      </c>
      <c r="L3906" s="31">
        <v>46281.599448344903</v>
      </c>
      <c r="M3906" s="20">
        <v>12</v>
      </c>
      <c r="N3906" s="1">
        <v>17</v>
      </c>
    </row>
    <row r="3907" spans="1:14" x14ac:dyDescent="0.25">
      <c r="A3907" t="str">
        <f t="shared" si="124"/>
        <v>H181785H181785</v>
      </c>
      <c r="B3907" t="str">
        <f t="shared" si="125"/>
        <v>H181785P204L9VE-M</v>
      </c>
      <c r="C3907" s="1" t="s">
        <v>182</v>
      </c>
      <c r="D3907" s="1" t="s">
        <v>719</v>
      </c>
      <c r="E3907" s="1" t="s">
        <v>524</v>
      </c>
      <c r="F3907" s="1" t="s">
        <v>525</v>
      </c>
      <c r="G3907" s="1" t="s">
        <v>404</v>
      </c>
      <c r="H3907" s="1">
        <v>258</v>
      </c>
      <c r="I3907" s="3">
        <v>46281</v>
      </c>
      <c r="J3907" s="3">
        <v>46289</v>
      </c>
      <c r="K3907" s="3" t="s">
        <v>2374</v>
      </c>
      <c r="L3907" s="31">
        <v>46281.610115590272</v>
      </c>
      <c r="M3907" s="20">
        <v>12</v>
      </c>
      <c r="N3907" s="1">
        <v>3</v>
      </c>
    </row>
    <row r="3908" spans="1:14" x14ac:dyDescent="0.25">
      <c r="A3908" t="str">
        <f t="shared" si="124"/>
        <v>H181785H181785</v>
      </c>
      <c r="B3908" t="str">
        <f t="shared" si="125"/>
        <v>H181785P204L9VE-M</v>
      </c>
      <c r="C3908" s="1" t="s">
        <v>182</v>
      </c>
      <c r="D3908" s="1" t="s">
        <v>719</v>
      </c>
      <c r="E3908" s="1" t="s">
        <v>524</v>
      </c>
      <c r="F3908" s="1" t="s">
        <v>525</v>
      </c>
      <c r="G3908" s="1" t="s">
        <v>404</v>
      </c>
      <c r="H3908" s="1">
        <v>258</v>
      </c>
      <c r="I3908" s="3">
        <v>46281</v>
      </c>
      <c r="J3908" s="3">
        <v>46289</v>
      </c>
      <c r="K3908" s="3" t="s">
        <v>2374</v>
      </c>
      <c r="L3908" s="31">
        <v>46281.610553437495</v>
      </c>
      <c r="M3908" s="20">
        <v>12</v>
      </c>
      <c r="N3908" s="1">
        <v>5</v>
      </c>
    </row>
    <row r="3909" spans="1:14" x14ac:dyDescent="0.25">
      <c r="A3909" t="str">
        <f t="shared" si="124"/>
        <v>H181785H181785</v>
      </c>
      <c r="B3909" t="str">
        <f t="shared" si="125"/>
        <v>H181785P204L9VE-M</v>
      </c>
      <c r="C3909" s="1" t="s">
        <v>182</v>
      </c>
      <c r="D3909" s="1" t="s">
        <v>719</v>
      </c>
      <c r="E3909" s="1" t="s">
        <v>524</v>
      </c>
      <c r="F3909" s="1" t="s">
        <v>525</v>
      </c>
      <c r="G3909" s="1" t="s">
        <v>404</v>
      </c>
      <c r="H3909" s="1">
        <v>258</v>
      </c>
      <c r="I3909" s="3">
        <v>46281</v>
      </c>
      <c r="J3909" s="3">
        <v>46289</v>
      </c>
      <c r="K3909" s="3" t="s">
        <v>2374</v>
      </c>
      <c r="L3909" s="31">
        <v>46281.611343749995</v>
      </c>
      <c r="M3909" s="20">
        <v>12</v>
      </c>
      <c r="N3909" s="1">
        <v>2</v>
      </c>
    </row>
    <row r="3910" spans="1:14" x14ac:dyDescent="0.25">
      <c r="A3910" t="str">
        <f t="shared" si="124"/>
        <v>H181785H181785</v>
      </c>
      <c r="B3910" t="str">
        <f t="shared" si="125"/>
        <v>H181785P204L9VE-M</v>
      </c>
      <c r="C3910" s="1" t="s">
        <v>182</v>
      </c>
      <c r="D3910" s="1" t="s">
        <v>719</v>
      </c>
      <c r="E3910" s="1" t="s">
        <v>524</v>
      </c>
      <c r="F3910" s="1" t="s">
        <v>525</v>
      </c>
      <c r="G3910" s="1" t="s">
        <v>404</v>
      </c>
      <c r="H3910" s="1">
        <v>258</v>
      </c>
      <c r="I3910" s="3">
        <v>46281</v>
      </c>
      <c r="J3910" s="3">
        <v>46289</v>
      </c>
      <c r="K3910" s="3" t="s">
        <v>2374</v>
      </c>
      <c r="L3910" s="31">
        <v>46281.611748379626</v>
      </c>
      <c r="M3910" s="20">
        <v>12</v>
      </c>
      <c r="N3910" s="1">
        <v>4</v>
      </c>
    </row>
    <row r="3911" spans="1:14" x14ac:dyDescent="0.25">
      <c r="A3911" t="str">
        <f t="shared" si="124"/>
        <v>H181785H181785</v>
      </c>
      <c r="B3911" t="str">
        <f t="shared" si="125"/>
        <v>H181785P204L9VE-M</v>
      </c>
      <c r="C3911" s="1" t="s">
        <v>182</v>
      </c>
      <c r="D3911" s="1" t="s">
        <v>719</v>
      </c>
      <c r="E3911" s="1" t="s">
        <v>524</v>
      </c>
      <c r="F3911" s="1" t="s">
        <v>525</v>
      </c>
      <c r="G3911" s="1" t="s">
        <v>404</v>
      </c>
      <c r="H3911" s="1">
        <v>258</v>
      </c>
      <c r="I3911" s="3">
        <v>46281</v>
      </c>
      <c r="J3911" s="3">
        <v>46289</v>
      </c>
      <c r="K3911" s="3" t="s">
        <v>2374</v>
      </c>
      <c r="L3911" s="31">
        <v>46281.612105752312</v>
      </c>
      <c r="M3911" s="20">
        <v>12</v>
      </c>
      <c r="N3911" s="1">
        <v>6</v>
      </c>
    </row>
    <row r="3912" spans="1:14" x14ac:dyDescent="0.25">
      <c r="A3912" t="str">
        <f t="shared" si="124"/>
        <v>H181785H181785</v>
      </c>
      <c r="B3912" t="str">
        <f t="shared" si="125"/>
        <v>H181785P204L9VE-M</v>
      </c>
      <c r="C3912" s="1" t="s">
        <v>182</v>
      </c>
      <c r="D3912" s="1" t="s">
        <v>719</v>
      </c>
      <c r="E3912" s="1" t="s">
        <v>524</v>
      </c>
      <c r="F3912" s="1" t="s">
        <v>525</v>
      </c>
      <c r="G3912" s="1" t="s">
        <v>404</v>
      </c>
      <c r="H3912" s="1">
        <v>258</v>
      </c>
      <c r="I3912" s="3">
        <v>46281</v>
      </c>
      <c r="J3912" s="3">
        <v>46289</v>
      </c>
      <c r="K3912" s="3" t="s">
        <v>2374</v>
      </c>
      <c r="L3912" s="31">
        <v>46281.612262731476</v>
      </c>
      <c r="M3912" s="20">
        <v>12</v>
      </c>
      <c r="N3912" s="1">
        <v>20</v>
      </c>
    </row>
    <row r="3913" spans="1:14" x14ac:dyDescent="0.25">
      <c r="A3913" t="str">
        <f t="shared" si="124"/>
        <v>H181785H181785</v>
      </c>
      <c r="B3913" t="str">
        <f t="shared" si="125"/>
        <v>H181785P204L9VE-M</v>
      </c>
      <c r="C3913" s="1" t="s">
        <v>182</v>
      </c>
      <c r="D3913" s="1" t="s">
        <v>719</v>
      </c>
      <c r="E3913" s="1" t="s">
        <v>524</v>
      </c>
      <c r="F3913" s="1" t="s">
        <v>525</v>
      </c>
      <c r="G3913" s="1" t="s">
        <v>404</v>
      </c>
      <c r="H3913" s="1">
        <v>258</v>
      </c>
      <c r="I3913" s="3">
        <v>46281</v>
      </c>
      <c r="J3913" s="3">
        <v>46289</v>
      </c>
      <c r="K3913" s="3" t="s">
        <v>2374</v>
      </c>
      <c r="L3913" s="31">
        <v>46281.670834409721</v>
      </c>
      <c r="M3913" s="20">
        <v>12</v>
      </c>
      <c r="N3913" s="1">
        <v>7</v>
      </c>
    </row>
    <row r="3914" spans="1:14" x14ac:dyDescent="0.25">
      <c r="A3914" t="str">
        <f t="shared" si="124"/>
        <v>H189085H189085</v>
      </c>
      <c r="B3914" t="str">
        <f t="shared" si="125"/>
        <v>H189085P60368L-W</v>
      </c>
      <c r="C3914" s="1" t="s">
        <v>67</v>
      </c>
      <c r="D3914" s="1" t="s">
        <v>724</v>
      </c>
      <c r="E3914" s="1" t="s">
        <v>422</v>
      </c>
      <c r="F3914" s="1" t="s">
        <v>423</v>
      </c>
      <c r="G3914" s="1" t="s">
        <v>404</v>
      </c>
      <c r="H3914" s="1">
        <v>1500</v>
      </c>
      <c r="I3914" s="3">
        <v>46281</v>
      </c>
      <c r="J3914" s="3">
        <v>46289</v>
      </c>
      <c r="K3914" s="3" t="s">
        <v>2374</v>
      </c>
      <c r="L3914" s="31">
        <v>46281.615404745367</v>
      </c>
      <c r="M3914" s="20">
        <v>12</v>
      </c>
      <c r="N3914" s="1">
        <v>102</v>
      </c>
    </row>
    <row r="3915" spans="1:14" x14ac:dyDescent="0.25">
      <c r="A3915" t="str">
        <f t="shared" si="124"/>
        <v>H189085H189085</v>
      </c>
      <c r="B3915" t="str">
        <f t="shared" si="125"/>
        <v>H189085P60368L-W</v>
      </c>
      <c r="C3915" s="1" t="s">
        <v>67</v>
      </c>
      <c r="D3915" s="1" t="s">
        <v>724</v>
      </c>
      <c r="E3915" s="1" t="s">
        <v>422</v>
      </c>
      <c r="F3915" s="1" t="s">
        <v>423</v>
      </c>
      <c r="G3915" s="1" t="s">
        <v>404</v>
      </c>
      <c r="H3915" s="1">
        <v>1500</v>
      </c>
      <c r="I3915" s="3">
        <v>46281</v>
      </c>
      <c r="J3915" s="3">
        <v>46289</v>
      </c>
      <c r="K3915" s="3" t="s">
        <v>2374</v>
      </c>
      <c r="L3915" s="31">
        <v>46281.625918634258</v>
      </c>
      <c r="M3915" s="20">
        <v>12</v>
      </c>
      <c r="N3915" s="1">
        <v>77</v>
      </c>
    </row>
    <row r="3916" spans="1:14" x14ac:dyDescent="0.25">
      <c r="A3916" t="str">
        <f t="shared" si="124"/>
        <v>H189085H189085</v>
      </c>
      <c r="B3916" t="str">
        <f t="shared" si="125"/>
        <v>H189085P60368L-W</v>
      </c>
      <c r="C3916" s="1" t="s">
        <v>67</v>
      </c>
      <c r="D3916" s="1" t="s">
        <v>724</v>
      </c>
      <c r="E3916" s="1" t="s">
        <v>422</v>
      </c>
      <c r="F3916" s="1" t="s">
        <v>423</v>
      </c>
      <c r="G3916" s="1" t="s">
        <v>404</v>
      </c>
      <c r="H3916" s="1">
        <v>1500</v>
      </c>
      <c r="I3916" s="3">
        <v>46281</v>
      </c>
      <c r="J3916" s="3">
        <v>46289</v>
      </c>
      <c r="K3916" s="3" t="s">
        <v>2374</v>
      </c>
      <c r="L3916" s="31">
        <v>46281.626078240741</v>
      </c>
      <c r="M3916" s="20">
        <v>12</v>
      </c>
      <c r="N3916" s="1">
        <v>53</v>
      </c>
    </row>
    <row r="3917" spans="1:14" x14ac:dyDescent="0.25">
      <c r="A3917" t="str">
        <f t="shared" si="124"/>
        <v>H189085H189085</v>
      </c>
      <c r="B3917" t="str">
        <f t="shared" si="125"/>
        <v>H189085P60368L-W</v>
      </c>
      <c r="C3917" s="1" t="s">
        <v>67</v>
      </c>
      <c r="D3917" s="1" t="s">
        <v>724</v>
      </c>
      <c r="E3917" s="1" t="s">
        <v>422</v>
      </c>
      <c r="F3917" s="1" t="s">
        <v>423</v>
      </c>
      <c r="G3917" s="1" t="s">
        <v>404</v>
      </c>
      <c r="H3917" s="1">
        <v>1500</v>
      </c>
      <c r="I3917" s="3">
        <v>46281</v>
      </c>
      <c r="J3917" s="3">
        <v>46289</v>
      </c>
      <c r="K3917" s="3" t="s">
        <v>2374</v>
      </c>
      <c r="L3917" s="31">
        <v>46281.637584756943</v>
      </c>
      <c r="M3917" s="20">
        <v>12</v>
      </c>
      <c r="N3917" s="1">
        <v>103</v>
      </c>
    </row>
    <row r="3918" spans="1:14" x14ac:dyDescent="0.25">
      <c r="A3918" t="str">
        <f t="shared" si="124"/>
        <v>H189085H189085</v>
      </c>
      <c r="B3918" t="str">
        <f t="shared" si="125"/>
        <v>H189085P60368L-W</v>
      </c>
      <c r="C3918" s="1" t="s">
        <v>67</v>
      </c>
      <c r="D3918" s="1" t="s">
        <v>724</v>
      </c>
      <c r="E3918" s="1" t="s">
        <v>422</v>
      </c>
      <c r="F3918" s="1" t="s">
        <v>423</v>
      </c>
      <c r="G3918" s="1" t="s">
        <v>404</v>
      </c>
      <c r="H3918" s="1">
        <v>1500</v>
      </c>
      <c r="I3918" s="3">
        <v>46281</v>
      </c>
      <c r="J3918" s="3">
        <v>46289</v>
      </c>
      <c r="K3918" s="3" t="s">
        <v>2374</v>
      </c>
      <c r="L3918" s="31">
        <v>46281.658988275463</v>
      </c>
      <c r="M3918" s="20">
        <v>12</v>
      </c>
      <c r="N3918" s="1">
        <v>81</v>
      </c>
    </row>
    <row r="3919" spans="1:14" x14ac:dyDescent="0.25">
      <c r="A3919" t="str">
        <f t="shared" si="124"/>
        <v>H189085H189085</v>
      </c>
      <c r="B3919" t="str">
        <f t="shared" si="125"/>
        <v>H189085P60368L-W</v>
      </c>
      <c r="C3919" s="1" t="s">
        <v>67</v>
      </c>
      <c r="D3919" s="1" t="s">
        <v>724</v>
      </c>
      <c r="E3919" s="1" t="s">
        <v>422</v>
      </c>
      <c r="F3919" s="1" t="s">
        <v>423</v>
      </c>
      <c r="G3919" s="1" t="s">
        <v>404</v>
      </c>
      <c r="H3919" s="1">
        <v>1500</v>
      </c>
      <c r="I3919" s="3">
        <v>46281</v>
      </c>
      <c r="J3919" s="3">
        <v>46289</v>
      </c>
      <c r="K3919" s="3" t="s">
        <v>2374</v>
      </c>
      <c r="L3919" s="31">
        <v>46281.668013773146</v>
      </c>
      <c r="M3919" s="20">
        <v>12</v>
      </c>
      <c r="N3919" s="1">
        <v>55</v>
      </c>
    </row>
    <row r="3920" spans="1:14" x14ac:dyDescent="0.25">
      <c r="A3920" t="str">
        <f t="shared" si="124"/>
        <v>H189085H189085</v>
      </c>
      <c r="B3920" t="str">
        <f t="shared" si="125"/>
        <v>H189085P60368L-W</v>
      </c>
      <c r="C3920" s="1" t="s">
        <v>67</v>
      </c>
      <c r="D3920" s="1" t="s">
        <v>724</v>
      </c>
      <c r="E3920" s="1" t="s">
        <v>422</v>
      </c>
      <c r="F3920" s="1" t="s">
        <v>423</v>
      </c>
      <c r="G3920" s="1" t="s">
        <v>404</v>
      </c>
      <c r="H3920" s="1">
        <v>1500</v>
      </c>
      <c r="I3920" s="3">
        <v>46281</v>
      </c>
      <c r="J3920" s="3">
        <v>46289</v>
      </c>
      <c r="K3920" s="3" t="s">
        <v>2374</v>
      </c>
      <c r="L3920" s="31">
        <v>46281.670174340274</v>
      </c>
      <c r="M3920" s="20">
        <v>12</v>
      </c>
      <c r="N3920" s="1">
        <v>105</v>
      </c>
    </row>
    <row r="3921" spans="1:14" x14ac:dyDescent="0.25">
      <c r="A3921" t="str">
        <f t="shared" si="124"/>
        <v>H189085H189085</v>
      </c>
      <c r="B3921" t="str">
        <f t="shared" si="125"/>
        <v>H189085P60368L-W</v>
      </c>
      <c r="C3921" s="1" t="s">
        <v>67</v>
      </c>
      <c r="D3921" s="1" t="s">
        <v>724</v>
      </c>
      <c r="E3921" s="1" t="s">
        <v>422</v>
      </c>
      <c r="F3921" s="1" t="s">
        <v>423</v>
      </c>
      <c r="G3921" s="1" t="s">
        <v>404</v>
      </c>
      <c r="H3921" s="1">
        <v>1500</v>
      </c>
      <c r="I3921" s="3">
        <v>46281</v>
      </c>
      <c r="J3921" s="3">
        <v>46289</v>
      </c>
      <c r="K3921" s="3" t="s">
        <v>2374</v>
      </c>
      <c r="L3921" s="31">
        <v>46281.680448993051</v>
      </c>
      <c r="M3921" s="20">
        <v>12</v>
      </c>
      <c r="N3921" s="1">
        <v>80</v>
      </c>
    </row>
    <row r="3922" spans="1:14" x14ac:dyDescent="0.25">
      <c r="A3922" t="str">
        <f t="shared" si="124"/>
        <v>H189085H189085</v>
      </c>
      <c r="B3922" t="str">
        <f t="shared" si="125"/>
        <v>H189085P60368L-W</v>
      </c>
      <c r="C3922" s="1" t="s">
        <v>67</v>
      </c>
      <c r="D3922" s="1" t="s">
        <v>724</v>
      </c>
      <c r="E3922" s="1" t="s">
        <v>422</v>
      </c>
      <c r="F3922" s="1" t="s">
        <v>423</v>
      </c>
      <c r="G3922" s="1" t="s">
        <v>404</v>
      </c>
      <c r="H3922" s="1">
        <v>1500</v>
      </c>
      <c r="I3922" s="3">
        <v>46281</v>
      </c>
      <c r="J3922" s="3">
        <v>46289</v>
      </c>
      <c r="K3922" s="3" t="s">
        <v>2374</v>
      </c>
      <c r="L3922" s="31">
        <v>46281.680744293983</v>
      </c>
      <c r="M3922" s="20">
        <v>12</v>
      </c>
      <c r="N3922" s="1">
        <v>104</v>
      </c>
    </row>
    <row r="3923" spans="1:14" x14ac:dyDescent="0.25">
      <c r="A3923" t="str">
        <f t="shared" si="124"/>
        <v>H189085H189085</v>
      </c>
      <c r="B3923" t="str">
        <f t="shared" si="125"/>
        <v>H189085P60368L-W</v>
      </c>
      <c r="C3923" s="1" t="s">
        <v>67</v>
      </c>
      <c r="D3923" s="1" t="s">
        <v>724</v>
      </c>
      <c r="E3923" s="1" t="s">
        <v>422</v>
      </c>
      <c r="F3923" s="1" t="s">
        <v>423</v>
      </c>
      <c r="G3923" s="1" t="s">
        <v>404</v>
      </c>
      <c r="H3923" s="1">
        <v>1500</v>
      </c>
      <c r="I3923" s="3">
        <v>46281</v>
      </c>
      <c r="J3923" s="3">
        <v>46289</v>
      </c>
      <c r="K3923" s="3" t="s">
        <v>2374</v>
      </c>
      <c r="L3923" s="31">
        <v>46281.680947372683</v>
      </c>
      <c r="M3923" s="20">
        <v>12</v>
      </c>
      <c r="N3923" s="1">
        <v>54</v>
      </c>
    </row>
    <row r="3924" spans="1:14" x14ac:dyDescent="0.25">
      <c r="A3924" t="str">
        <f t="shared" si="124"/>
        <v>H189085H189085</v>
      </c>
      <c r="B3924" t="str">
        <f t="shared" si="125"/>
        <v>H189085P60368L-W</v>
      </c>
      <c r="C3924" s="1" t="s">
        <v>67</v>
      </c>
      <c r="D3924" s="1" t="s">
        <v>724</v>
      </c>
      <c r="E3924" s="1" t="s">
        <v>422</v>
      </c>
      <c r="F3924" s="1" t="s">
        <v>423</v>
      </c>
      <c r="G3924" s="1" t="s">
        <v>404</v>
      </c>
      <c r="H3924" s="1">
        <v>1500</v>
      </c>
      <c r="I3924" s="3">
        <v>46281</v>
      </c>
      <c r="J3924" s="3">
        <v>46289</v>
      </c>
      <c r="K3924" s="3" t="s">
        <v>2374</v>
      </c>
      <c r="L3924" s="31">
        <v>46281.681119097222</v>
      </c>
      <c r="M3924" s="20">
        <v>12</v>
      </c>
      <c r="N3924" s="1">
        <v>79</v>
      </c>
    </row>
    <row r="3925" spans="1:14" x14ac:dyDescent="0.25">
      <c r="A3925" t="str">
        <f t="shared" si="124"/>
        <v>H189085H189085</v>
      </c>
      <c r="B3925" t="str">
        <f t="shared" si="125"/>
        <v>H189085P60368L-W</v>
      </c>
      <c r="C3925" s="1" t="s">
        <v>67</v>
      </c>
      <c r="D3925" s="1" t="s">
        <v>724</v>
      </c>
      <c r="E3925" s="1" t="s">
        <v>422</v>
      </c>
      <c r="F3925" s="1" t="s">
        <v>423</v>
      </c>
      <c r="G3925" s="1" t="s">
        <v>404</v>
      </c>
      <c r="H3925" s="1">
        <v>1500</v>
      </c>
      <c r="I3925" s="3">
        <v>46281</v>
      </c>
      <c r="J3925" s="3">
        <v>46289</v>
      </c>
      <c r="K3925" s="3" t="s">
        <v>2374</v>
      </c>
      <c r="L3925" s="31">
        <v>46281.681640428236</v>
      </c>
      <c r="M3925" s="20">
        <v>12</v>
      </c>
      <c r="N3925" s="1">
        <v>33</v>
      </c>
    </row>
    <row r="3926" spans="1:14" x14ac:dyDescent="0.25">
      <c r="A3926" t="str">
        <f t="shared" si="124"/>
        <v>H189085H189085</v>
      </c>
      <c r="B3926" t="str">
        <f t="shared" si="125"/>
        <v>H189085P60368L-W</v>
      </c>
      <c r="C3926" s="1" t="s">
        <v>67</v>
      </c>
      <c r="D3926" s="1" t="s">
        <v>724</v>
      </c>
      <c r="E3926" s="1" t="s">
        <v>422</v>
      </c>
      <c r="F3926" s="1" t="s">
        <v>423</v>
      </c>
      <c r="G3926" s="1" t="s">
        <v>404</v>
      </c>
      <c r="H3926" s="1">
        <v>1500</v>
      </c>
      <c r="I3926" s="3">
        <v>46281</v>
      </c>
      <c r="J3926" s="3">
        <v>46289</v>
      </c>
      <c r="K3926" s="3" t="s">
        <v>2374</v>
      </c>
      <c r="L3926" s="31">
        <v>46281.699320717591</v>
      </c>
      <c r="M3926" s="20">
        <v>12</v>
      </c>
      <c r="N3926" s="1">
        <v>107</v>
      </c>
    </row>
    <row r="3927" spans="1:14" x14ac:dyDescent="0.25">
      <c r="A3927" t="str">
        <f t="shared" si="124"/>
        <v>H189085H189085</v>
      </c>
      <c r="B3927" t="str">
        <f t="shared" si="125"/>
        <v>H189085P60368L-W</v>
      </c>
      <c r="C3927" s="1" t="s">
        <v>67</v>
      </c>
      <c r="D3927" s="1" t="s">
        <v>724</v>
      </c>
      <c r="E3927" s="1" t="s">
        <v>422</v>
      </c>
      <c r="F3927" s="1" t="s">
        <v>423</v>
      </c>
      <c r="G3927" s="1" t="s">
        <v>404</v>
      </c>
      <c r="H3927" s="1">
        <v>1500</v>
      </c>
      <c r="I3927" s="3">
        <v>46281</v>
      </c>
      <c r="J3927" s="3">
        <v>46289</v>
      </c>
      <c r="K3927" s="3" t="s">
        <v>2374</v>
      </c>
      <c r="L3927" s="31">
        <v>46281.699494293978</v>
      </c>
      <c r="M3927" s="20">
        <v>12</v>
      </c>
      <c r="N3927" s="1">
        <v>109</v>
      </c>
    </row>
    <row r="3928" spans="1:14" x14ac:dyDescent="0.25">
      <c r="A3928" t="str">
        <f t="shared" si="124"/>
        <v>H189085H189085</v>
      </c>
      <c r="B3928" t="str">
        <f t="shared" si="125"/>
        <v>H189085P60368L-W</v>
      </c>
      <c r="C3928" s="1" t="s">
        <v>67</v>
      </c>
      <c r="D3928" s="1" t="s">
        <v>724</v>
      </c>
      <c r="E3928" s="1" t="s">
        <v>422</v>
      </c>
      <c r="F3928" s="1" t="s">
        <v>423</v>
      </c>
      <c r="G3928" s="1" t="s">
        <v>404</v>
      </c>
      <c r="H3928" s="1">
        <v>1500</v>
      </c>
      <c r="I3928" s="3">
        <v>46281</v>
      </c>
      <c r="J3928" s="3">
        <v>46289</v>
      </c>
      <c r="K3928" s="3" t="s">
        <v>2374</v>
      </c>
      <c r="L3928" s="31">
        <v>46281.699665162036</v>
      </c>
      <c r="M3928" s="20">
        <v>12</v>
      </c>
      <c r="N3928" s="1">
        <v>78</v>
      </c>
    </row>
    <row r="3929" spans="1:14" x14ac:dyDescent="0.25">
      <c r="A3929" t="str">
        <f t="shared" si="124"/>
        <v>H189085H189085</v>
      </c>
      <c r="B3929" t="str">
        <f t="shared" si="125"/>
        <v>H189085P60368L-W</v>
      </c>
      <c r="C3929" s="1" t="s">
        <v>67</v>
      </c>
      <c r="D3929" s="1" t="s">
        <v>724</v>
      </c>
      <c r="E3929" s="1" t="s">
        <v>422</v>
      </c>
      <c r="F3929" s="1" t="s">
        <v>423</v>
      </c>
      <c r="G3929" s="1" t="s">
        <v>404</v>
      </c>
      <c r="H3929" s="1">
        <v>1500</v>
      </c>
      <c r="I3929" s="3">
        <v>46281</v>
      </c>
      <c r="J3929" s="3">
        <v>46289</v>
      </c>
      <c r="K3929" s="3" t="s">
        <v>2374</v>
      </c>
      <c r="L3929" s="31">
        <v>46281.700372187501</v>
      </c>
      <c r="M3929" s="20">
        <v>12</v>
      </c>
      <c r="N3929" s="1">
        <v>57</v>
      </c>
    </row>
    <row r="3930" spans="1:14" x14ac:dyDescent="0.25">
      <c r="A3930" t="str">
        <f t="shared" si="124"/>
        <v>H189085H189085</v>
      </c>
      <c r="B3930" t="str">
        <f t="shared" si="125"/>
        <v>H189085P60368L-W</v>
      </c>
      <c r="C3930" s="1" t="s">
        <v>67</v>
      </c>
      <c r="D3930" s="1" t="s">
        <v>724</v>
      </c>
      <c r="E3930" s="1" t="s">
        <v>422</v>
      </c>
      <c r="F3930" s="1" t="s">
        <v>423</v>
      </c>
      <c r="G3930" s="1" t="s">
        <v>404</v>
      </c>
      <c r="H3930" s="1">
        <v>1500</v>
      </c>
      <c r="I3930" s="3">
        <v>46281</v>
      </c>
      <c r="J3930" s="3">
        <v>46289</v>
      </c>
      <c r="K3930" s="3" t="s">
        <v>2374</v>
      </c>
      <c r="L3930" s="31">
        <v>46281.700879664349</v>
      </c>
      <c r="M3930" s="20">
        <v>12</v>
      </c>
      <c r="N3930" s="1">
        <v>85</v>
      </c>
    </row>
    <row r="3931" spans="1:14" x14ac:dyDescent="0.25">
      <c r="A3931" t="str">
        <f t="shared" si="124"/>
        <v>H189085H189085</v>
      </c>
      <c r="B3931" t="str">
        <f t="shared" si="125"/>
        <v>H189085P60368L-W</v>
      </c>
      <c r="C3931" s="1" t="s">
        <v>67</v>
      </c>
      <c r="D3931" s="1" t="s">
        <v>724</v>
      </c>
      <c r="E3931" s="1" t="s">
        <v>422</v>
      </c>
      <c r="F3931" s="1" t="s">
        <v>423</v>
      </c>
      <c r="G3931" s="1" t="s">
        <v>404</v>
      </c>
      <c r="H3931" s="1">
        <v>1500</v>
      </c>
      <c r="I3931" s="3">
        <v>46281</v>
      </c>
      <c r="J3931" s="3">
        <v>46289</v>
      </c>
      <c r="K3931" s="3" t="s">
        <v>2374</v>
      </c>
      <c r="L3931" s="31">
        <v>46281.701043900459</v>
      </c>
      <c r="M3931" s="20">
        <v>12</v>
      </c>
      <c r="N3931" s="1">
        <v>108</v>
      </c>
    </row>
    <row r="3932" spans="1:14" x14ac:dyDescent="0.25">
      <c r="A3932" t="str">
        <f t="shared" si="124"/>
        <v>H189085H189085</v>
      </c>
      <c r="B3932" t="str">
        <f t="shared" si="125"/>
        <v>H189085P60368L-W</v>
      </c>
      <c r="C3932" s="1" t="s">
        <v>67</v>
      </c>
      <c r="D3932" s="1" t="s">
        <v>724</v>
      </c>
      <c r="E3932" s="1" t="s">
        <v>422</v>
      </c>
      <c r="F3932" s="1" t="s">
        <v>423</v>
      </c>
      <c r="G3932" s="1" t="s">
        <v>404</v>
      </c>
      <c r="H3932" s="1">
        <v>1500</v>
      </c>
      <c r="I3932" s="3">
        <v>46281</v>
      </c>
      <c r="J3932" s="3">
        <v>46289</v>
      </c>
      <c r="K3932" s="3" t="s">
        <v>2374</v>
      </c>
      <c r="L3932" s="31">
        <v>46281.701239618051</v>
      </c>
      <c r="M3932" s="20">
        <v>12</v>
      </c>
      <c r="N3932" s="1">
        <v>106</v>
      </c>
    </row>
    <row r="3933" spans="1:14" x14ac:dyDescent="0.25">
      <c r="A3933" t="str">
        <f t="shared" si="124"/>
        <v>H189085H189085</v>
      </c>
      <c r="B3933" t="str">
        <f t="shared" si="125"/>
        <v>H189085P60368L-W</v>
      </c>
      <c r="C3933" s="1" t="s">
        <v>67</v>
      </c>
      <c r="D3933" s="1" t="s">
        <v>724</v>
      </c>
      <c r="E3933" s="1" t="s">
        <v>422</v>
      </c>
      <c r="F3933" s="1" t="s">
        <v>423</v>
      </c>
      <c r="G3933" s="1" t="s">
        <v>404</v>
      </c>
      <c r="H3933" s="1">
        <v>1500</v>
      </c>
      <c r="I3933" s="3">
        <v>46281</v>
      </c>
      <c r="J3933" s="3">
        <v>46289</v>
      </c>
      <c r="K3933" s="3" t="s">
        <v>2374</v>
      </c>
      <c r="L3933" s="31">
        <v>46281.701400694445</v>
      </c>
      <c r="M3933" s="20">
        <v>12</v>
      </c>
      <c r="N3933" s="1">
        <v>86</v>
      </c>
    </row>
    <row r="3934" spans="1:14" x14ac:dyDescent="0.25">
      <c r="A3934" t="str">
        <f t="shared" si="124"/>
        <v>H189085H189085</v>
      </c>
      <c r="B3934" t="str">
        <f t="shared" si="125"/>
        <v>H189085P60368L-W</v>
      </c>
      <c r="C3934" s="1" t="s">
        <v>67</v>
      </c>
      <c r="D3934" s="1" t="s">
        <v>724</v>
      </c>
      <c r="E3934" s="1" t="s">
        <v>422</v>
      </c>
      <c r="F3934" s="1" t="s">
        <v>423</v>
      </c>
      <c r="G3934" s="1" t="s">
        <v>404</v>
      </c>
      <c r="H3934" s="1">
        <v>1500</v>
      </c>
      <c r="I3934" s="3">
        <v>46281</v>
      </c>
      <c r="J3934" s="3">
        <v>46289</v>
      </c>
      <c r="K3934" s="3" t="s">
        <v>2374</v>
      </c>
      <c r="L3934" s="31">
        <v>46281.70521122685</v>
      </c>
      <c r="M3934" s="20">
        <v>12</v>
      </c>
      <c r="N3934" s="1">
        <v>34</v>
      </c>
    </row>
    <row r="3935" spans="1:14" x14ac:dyDescent="0.25">
      <c r="A3935" t="str">
        <f t="shared" si="124"/>
        <v>H189176H189176</v>
      </c>
      <c r="B3935" t="str">
        <f t="shared" si="125"/>
        <v>H189176G6035F4-W</v>
      </c>
      <c r="C3935" s="1" t="s">
        <v>39</v>
      </c>
      <c r="D3935" s="1" t="s">
        <v>679</v>
      </c>
      <c r="E3935" s="1" t="s">
        <v>414</v>
      </c>
      <c r="F3935" s="1" t="s">
        <v>415</v>
      </c>
      <c r="G3935" s="1" t="s">
        <v>404</v>
      </c>
      <c r="H3935" s="1">
        <v>252</v>
      </c>
      <c r="I3935" s="3">
        <v>46281</v>
      </c>
      <c r="J3935" s="3">
        <v>46283</v>
      </c>
      <c r="K3935" s="3" t="s">
        <v>2371</v>
      </c>
      <c r="L3935" s="31">
        <v>46281.534667129628</v>
      </c>
      <c r="M3935" s="20">
        <v>12</v>
      </c>
      <c r="N3935" s="1">
        <v>18</v>
      </c>
    </row>
    <row r="3936" spans="1:14" x14ac:dyDescent="0.25">
      <c r="A3936" t="str">
        <f t="shared" si="124"/>
        <v>H189176H189176</v>
      </c>
      <c r="B3936" t="str">
        <f t="shared" si="125"/>
        <v>H189176G6035F4-W</v>
      </c>
      <c r="C3936" s="1" t="s">
        <v>39</v>
      </c>
      <c r="D3936" s="1" t="s">
        <v>679</v>
      </c>
      <c r="E3936" s="1" t="s">
        <v>414</v>
      </c>
      <c r="F3936" s="1" t="s">
        <v>415</v>
      </c>
      <c r="G3936" s="1" t="s">
        <v>404</v>
      </c>
      <c r="H3936" s="1">
        <v>252</v>
      </c>
      <c r="I3936" s="3">
        <v>46281</v>
      </c>
      <c r="J3936" s="3">
        <v>46283</v>
      </c>
      <c r="K3936" s="3" t="s">
        <v>2371</v>
      </c>
      <c r="L3936" s="31">
        <v>46281.543384606477</v>
      </c>
      <c r="M3936" s="20">
        <v>12</v>
      </c>
      <c r="N3936" s="1">
        <v>28</v>
      </c>
    </row>
    <row r="3937" spans="1:14" x14ac:dyDescent="0.25">
      <c r="A3937" t="str">
        <f t="shared" si="124"/>
        <v>H189176H189176</v>
      </c>
      <c r="B3937" t="str">
        <f t="shared" si="125"/>
        <v>H189176G6035F4-W</v>
      </c>
      <c r="C3937" s="1" t="s">
        <v>39</v>
      </c>
      <c r="D3937" s="1" t="s">
        <v>679</v>
      </c>
      <c r="E3937" s="1" t="s">
        <v>414</v>
      </c>
      <c r="F3937" s="1" t="s">
        <v>415</v>
      </c>
      <c r="G3937" s="1" t="s">
        <v>404</v>
      </c>
      <c r="H3937" s="1">
        <v>252</v>
      </c>
      <c r="I3937" s="3">
        <v>46281</v>
      </c>
      <c r="J3937" s="3">
        <v>46283</v>
      </c>
      <c r="K3937" s="3" t="s">
        <v>2371</v>
      </c>
      <c r="L3937" s="31">
        <v>46281.543748460645</v>
      </c>
      <c r="M3937" s="20">
        <v>12</v>
      </c>
      <c r="N3937" s="1">
        <v>20</v>
      </c>
    </row>
    <row r="3938" spans="1:14" x14ac:dyDescent="0.25">
      <c r="A3938" t="str">
        <f t="shared" si="124"/>
        <v>H189176H189176</v>
      </c>
      <c r="B3938" t="str">
        <f t="shared" si="125"/>
        <v>H189176G6035F4-W</v>
      </c>
      <c r="C3938" s="1" t="s">
        <v>39</v>
      </c>
      <c r="D3938" s="1" t="s">
        <v>679</v>
      </c>
      <c r="E3938" s="1" t="s">
        <v>414</v>
      </c>
      <c r="F3938" s="1" t="s">
        <v>415</v>
      </c>
      <c r="G3938" s="1" t="s">
        <v>404</v>
      </c>
      <c r="H3938" s="1">
        <v>252</v>
      </c>
      <c r="I3938" s="3">
        <v>46281</v>
      </c>
      <c r="J3938" s="3">
        <v>46283</v>
      </c>
      <c r="K3938" s="3" t="s">
        <v>2371</v>
      </c>
      <c r="L3938" s="31">
        <v>46281.545288310183</v>
      </c>
      <c r="M3938" s="20">
        <v>12</v>
      </c>
      <c r="N3938" s="1">
        <v>35</v>
      </c>
    </row>
    <row r="3939" spans="1:14" x14ac:dyDescent="0.25">
      <c r="A3939" t="str">
        <f t="shared" si="124"/>
        <v>H189176H189176</v>
      </c>
      <c r="B3939" t="str">
        <f t="shared" si="125"/>
        <v>H189176G6035F4-W</v>
      </c>
      <c r="C3939" s="1" t="s">
        <v>39</v>
      </c>
      <c r="D3939" s="1" t="s">
        <v>679</v>
      </c>
      <c r="E3939" s="1" t="s">
        <v>414</v>
      </c>
      <c r="F3939" s="1" t="s">
        <v>415</v>
      </c>
      <c r="G3939" s="1" t="s">
        <v>404</v>
      </c>
      <c r="H3939" s="1">
        <v>252</v>
      </c>
      <c r="I3939" s="3">
        <v>46281</v>
      </c>
      <c r="J3939" s="3">
        <v>46283</v>
      </c>
      <c r="K3939" s="3" t="s">
        <v>2371</v>
      </c>
      <c r="L3939" s="31">
        <v>46281.546000231479</v>
      </c>
      <c r="M3939" s="20">
        <v>12</v>
      </c>
      <c r="N3939" s="1">
        <v>19</v>
      </c>
    </row>
    <row r="3940" spans="1:14" x14ac:dyDescent="0.25">
      <c r="A3940" t="str">
        <f t="shared" si="124"/>
        <v>H189176H189176</v>
      </c>
      <c r="B3940" t="str">
        <f t="shared" si="125"/>
        <v>H189176G6035F4-W</v>
      </c>
      <c r="C3940" s="1" t="s">
        <v>39</v>
      </c>
      <c r="D3940" s="1" t="s">
        <v>679</v>
      </c>
      <c r="E3940" s="1" t="s">
        <v>414</v>
      </c>
      <c r="F3940" s="1" t="s">
        <v>415</v>
      </c>
      <c r="G3940" s="1" t="s">
        <v>404</v>
      </c>
      <c r="H3940" s="1">
        <v>252</v>
      </c>
      <c r="I3940" s="3">
        <v>46281</v>
      </c>
      <c r="J3940" s="3">
        <v>46283</v>
      </c>
      <c r="K3940" s="3" t="s">
        <v>2371</v>
      </c>
      <c r="L3940" s="31">
        <v>46281.54627835648</v>
      </c>
      <c r="M3940" s="20">
        <v>12</v>
      </c>
      <c r="N3940" s="1">
        <v>34</v>
      </c>
    </row>
    <row r="3941" spans="1:14" x14ac:dyDescent="0.25">
      <c r="A3941" t="str">
        <f t="shared" si="124"/>
        <v>H189176H189176</v>
      </c>
      <c r="B3941" t="str">
        <f t="shared" si="125"/>
        <v>H189176G6035F4-W</v>
      </c>
      <c r="C3941" s="1" t="s">
        <v>39</v>
      </c>
      <c r="D3941" s="1" t="s">
        <v>679</v>
      </c>
      <c r="E3941" s="1" t="s">
        <v>414</v>
      </c>
      <c r="F3941" s="1" t="s">
        <v>415</v>
      </c>
      <c r="G3941" s="1" t="s">
        <v>404</v>
      </c>
      <c r="H3941" s="1">
        <v>252</v>
      </c>
      <c r="I3941" s="3">
        <v>46281</v>
      </c>
      <c r="J3941" s="3">
        <v>46283</v>
      </c>
      <c r="K3941" s="3" t="s">
        <v>2371</v>
      </c>
      <c r="L3941" s="31">
        <v>46281.554808645829</v>
      </c>
      <c r="M3941" s="20">
        <v>12</v>
      </c>
      <c r="N3941" s="1">
        <v>25</v>
      </c>
    </row>
    <row r="3942" spans="1:14" x14ac:dyDescent="0.25">
      <c r="A3942" t="str">
        <f t="shared" si="124"/>
        <v>H189176H189176</v>
      </c>
      <c r="B3942" t="str">
        <f t="shared" si="125"/>
        <v>H189176G6035F4-W</v>
      </c>
      <c r="C3942" s="1" t="s">
        <v>39</v>
      </c>
      <c r="D3942" s="1" t="s">
        <v>679</v>
      </c>
      <c r="E3942" s="1" t="s">
        <v>414</v>
      </c>
      <c r="F3942" s="1" t="s">
        <v>415</v>
      </c>
      <c r="G3942" s="1" t="s">
        <v>404</v>
      </c>
      <c r="H3942" s="1">
        <v>252</v>
      </c>
      <c r="I3942" s="3">
        <v>46281</v>
      </c>
      <c r="J3942" s="3">
        <v>46283</v>
      </c>
      <c r="K3942" s="3" t="s">
        <v>2371</v>
      </c>
      <c r="L3942" s="31">
        <v>46281.555084490741</v>
      </c>
      <c r="M3942" s="20">
        <v>12</v>
      </c>
      <c r="N3942" s="1">
        <v>36</v>
      </c>
    </row>
    <row r="3943" spans="1:14" x14ac:dyDescent="0.25">
      <c r="A3943" t="str">
        <f t="shared" si="124"/>
        <v>H189176H189176</v>
      </c>
      <c r="B3943" t="str">
        <f t="shared" si="125"/>
        <v>H189176G6035F4-W</v>
      </c>
      <c r="C3943" s="1" t="s">
        <v>39</v>
      </c>
      <c r="D3943" s="1" t="s">
        <v>679</v>
      </c>
      <c r="E3943" s="1" t="s">
        <v>414</v>
      </c>
      <c r="F3943" s="1" t="s">
        <v>415</v>
      </c>
      <c r="G3943" s="1" t="s">
        <v>404</v>
      </c>
      <c r="H3943" s="1">
        <v>252</v>
      </c>
      <c r="I3943" s="3">
        <v>46281</v>
      </c>
      <c r="J3943" s="3">
        <v>46283</v>
      </c>
      <c r="K3943" s="3" t="s">
        <v>2371</v>
      </c>
      <c r="L3943" s="31">
        <v>46281.55853480324</v>
      </c>
      <c r="M3943" s="20">
        <v>12</v>
      </c>
      <c r="N3943" s="1">
        <v>24</v>
      </c>
    </row>
    <row r="3944" spans="1:14" x14ac:dyDescent="0.25">
      <c r="A3944" t="str">
        <f t="shared" si="124"/>
        <v>H189176H189176</v>
      </c>
      <c r="B3944" t="str">
        <f t="shared" si="125"/>
        <v>H189176G6035F4-W</v>
      </c>
      <c r="C3944" s="1" t="s">
        <v>39</v>
      </c>
      <c r="D3944" s="1" t="s">
        <v>679</v>
      </c>
      <c r="E3944" s="1" t="s">
        <v>414</v>
      </c>
      <c r="F3944" s="1" t="s">
        <v>415</v>
      </c>
      <c r="G3944" s="1" t="s">
        <v>404</v>
      </c>
      <c r="H3944" s="1">
        <v>252</v>
      </c>
      <c r="I3944" s="3">
        <v>46281</v>
      </c>
      <c r="J3944" s="3">
        <v>46283</v>
      </c>
      <c r="K3944" s="3" t="s">
        <v>2371</v>
      </c>
      <c r="L3944" s="31">
        <v>46281.558964432872</v>
      </c>
      <c r="M3944" s="20">
        <v>12</v>
      </c>
      <c r="N3944" s="1">
        <v>21</v>
      </c>
    </row>
    <row r="3945" spans="1:14" x14ac:dyDescent="0.25">
      <c r="A3945" t="str">
        <f t="shared" si="124"/>
        <v>H189176H189176</v>
      </c>
      <c r="B3945" t="str">
        <f t="shared" si="125"/>
        <v>H189176G6035F4-W</v>
      </c>
      <c r="C3945" s="1" t="s">
        <v>39</v>
      </c>
      <c r="D3945" s="1" t="s">
        <v>679</v>
      </c>
      <c r="E3945" s="1" t="s">
        <v>414</v>
      </c>
      <c r="F3945" s="1" t="s">
        <v>415</v>
      </c>
      <c r="G3945" s="1" t="s">
        <v>404</v>
      </c>
      <c r="H3945" s="1">
        <v>252</v>
      </c>
      <c r="I3945" s="3">
        <v>46281</v>
      </c>
      <c r="J3945" s="3">
        <v>46283</v>
      </c>
      <c r="K3945" s="3" t="s">
        <v>2371</v>
      </c>
      <c r="L3945" s="31">
        <v>46281.559218402777</v>
      </c>
      <c r="M3945" s="20">
        <v>12</v>
      </c>
      <c r="N3945" s="1">
        <v>32</v>
      </c>
    </row>
    <row r="3946" spans="1:14" x14ac:dyDescent="0.25">
      <c r="A3946" t="str">
        <f t="shared" si="124"/>
        <v>H189176H189176</v>
      </c>
      <c r="B3946" t="str">
        <f t="shared" si="125"/>
        <v>H189176G6035F4-W</v>
      </c>
      <c r="C3946" s="1" t="s">
        <v>39</v>
      </c>
      <c r="D3946" s="1" t="s">
        <v>679</v>
      </c>
      <c r="E3946" s="1" t="s">
        <v>414</v>
      </c>
      <c r="F3946" s="1" t="s">
        <v>415</v>
      </c>
      <c r="G3946" s="1" t="s">
        <v>404</v>
      </c>
      <c r="H3946" s="1">
        <v>252</v>
      </c>
      <c r="I3946" s="3">
        <v>46281</v>
      </c>
      <c r="J3946" s="3">
        <v>46283</v>
      </c>
      <c r="K3946" s="3" t="s">
        <v>2371</v>
      </c>
      <c r="L3946" s="31">
        <v>46281.565084374997</v>
      </c>
      <c r="M3946" s="20">
        <v>12</v>
      </c>
      <c r="N3946" s="1">
        <v>27</v>
      </c>
    </row>
    <row r="3947" spans="1:14" x14ac:dyDescent="0.25">
      <c r="A3947" t="str">
        <f t="shared" si="124"/>
        <v>H189176H189176</v>
      </c>
      <c r="B3947" t="str">
        <f t="shared" si="125"/>
        <v>H189176G6035F4-W</v>
      </c>
      <c r="C3947" s="1" t="s">
        <v>39</v>
      </c>
      <c r="D3947" s="1" t="s">
        <v>679</v>
      </c>
      <c r="E3947" s="1" t="s">
        <v>414</v>
      </c>
      <c r="F3947" s="1" t="s">
        <v>415</v>
      </c>
      <c r="G3947" s="1" t="s">
        <v>404</v>
      </c>
      <c r="H3947" s="1">
        <v>252</v>
      </c>
      <c r="I3947" s="3">
        <v>46281</v>
      </c>
      <c r="J3947" s="3">
        <v>46283</v>
      </c>
      <c r="K3947" s="3" t="s">
        <v>2371</v>
      </c>
      <c r="L3947" s="31">
        <v>46281.565335879626</v>
      </c>
      <c r="M3947" s="20">
        <v>12</v>
      </c>
      <c r="N3947" s="1">
        <v>26</v>
      </c>
    </row>
    <row r="3948" spans="1:14" x14ac:dyDescent="0.25">
      <c r="A3948" t="str">
        <f t="shared" si="124"/>
        <v>H189176H189176</v>
      </c>
      <c r="B3948" t="str">
        <f t="shared" si="125"/>
        <v>H189176G6035F4-W</v>
      </c>
      <c r="C3948" s="1" t="s">
        <v>39</v>
      </c>
      <c r="D3948" s="1" t="s">
        <v>679</v>
      </c>
      <c r="E3948" s="1" t="s">
        <v>414</v>
      </c>
      <c r="F3948" s="1" t="s">
        <v>415</v>
      </c>
      <c r="G3948" s="1" t="s">
        <v>404</v>
      </c>
      <c r="H3948" s="1">
        <v>252</v>
      </c>
      <c r="I3948" s="3">
        <v>46281</v>
      </c>
      <c r="J3948" s="3">
        <v>46283</v>
      </c>
      <c r="K3948" s="3" t="s">
        <v>2371</v>
      </c>
      <c r="L3948" s="31">
        <v>46281.569664965275</v>
      </c>
      <c r="M3948" s="20">
        <v>12</v>
      </c>
      <c r="N3948" s="1">
        <v>22</v>
      </c>
    </row>
    <row r="3949" spans="1:14" x14ac:dyDescent="0.25">
      <c r="A3949" t="str">
        <f t="shared" si="124"/>
        <v>H189176H189176</v>
      </c>
      <c r="B3949" t="str">
        <f t="shared" si="125"/>
        <v>H189176G6035F4-W</v>
      </c>
      <c r="C3949" s="1" t="s">
        <v>39</v>
      </c>
      <c r="D3949" s="1" t="s">
        <v>679</v>
      </c>
      <c r="E3949" s="1" t="s">
        <v>414</v>
      </c>
      <c r="F3949" s="1" t="s">
        <v>415</v>
      </c>
      <c r="G3949" s="1" t="s">
        <v>404</v>
      </c>
      <c r="H3949" s="1">
        <v>252</v>
      </c>
      <c r="I3949" s="3">
        <v>46281</v>
      </c>
      <c r="J3949" s="3">
        <v>46283</v>
      </c>
      <c r="K3949" s="3" t="s">
        <v>2371</v>
      </c>
      <c r="L3949" s="31">
        <v>46281.570440740739</v>
      </c>
      <c r="M3949" s="20">
        <v>12</v>
      </c>
      <c r="N3949" s="1">
        <v>29</v>
      </c>
    </row>
    <row r="3950" spans="1:14" x14ac:dyDescent="0.25">
      <c r="A3950" t="str">
        <f t="shared" si="124"/>
        <v>H189176H189176</v>
      </c>
      <c r="B3950" t="str">
        <f t="shared" si="125"/>
        <v>H189176G6035F4-W</v>
      </c>
      <c r="C3950" s="1" t="s">
        <v>39</v>
      </c>
      <c r="D3950" s="1" t="s">
        <v>679</v>
      </c>
      <c r="E3950" s="1" t="s">
        <v>414</v>
      </c>
      <c r="F3950" s="1" t="s">
        <v>415</v>
      </c>
      <c r="G3950" s="1" t="s">
        <v>404</v>
      </c>
      <c r="H3950" s="1">
        <v>252</v>
      </c>
      <c r="I3950" s="3">
        <v>46281</v>
      </c>
      <c r="J3950" s="3">
        <v>46283</v>
      </c>
      <c r="K3950" s="3" t="s">
        <v>2371</v>
      </c>
      <c r="L3950" s="31">
        <v>46281.572594444442</v>
      </c>
      <c r="M3950" s="20">
        <v>12</v>
      </c>
      <c r="N3950" s="1">
        <v>33</v>
      </c>
    </row>
    <row r="3951" spans="1:14" x14ac:dyDescent="0.25">
      <c r="A3951" t="str">
        <f t="shared" si="124"/>
        <v>H189176H189176</v>
      </c>
      <c r="B3951" t="str">
        <f t="shared" si="125"/>
        <v>H189176G6035F4-W</v>
      </c>
      <c r="C3951" s="1" t="s">
        <v>39</v>
      </c>
      <c r="D3951" s="1" t="s">
        <v>679</v>
      </c>
      <c r="E3951" s="1" t="s">
        <v>414</v>
      </c>
      <c r="F3951" s="1" t="s">
        <v>415</v>
      </c>
      <c r="G3951" s="1" t="s">
        <v>404</v>
      </c>
      <c r="H3951" s="1">
        <v>252</v>
      </c>
      <c r="I3951" s="3">
        <v>46281</v>
      </c>
      <c r="J3951" s="3">
        <v>46283</v>
      </c>
      <c r="K3951" s="3" t="s">
        <v>2371</v>
      </c>
      <c r="L3951" s="31">
        <v>46281.572844062495</v>
      </c>
      <c r="M3951" s="20">
        <v>12</v>
      </c>
      <c r="N3951" s="1">
        <v>31</v>
      </c>
    </row>
    <row r="3952" spans="1:14" x14ac:dyDescent="0.25">
      <c r="A3952" t="str">
        <f t="shared" si="124"/>
        <v>H189176H189176</v>
      </c>
      <c r="B3952" t="str">
        <f t="shared" si="125"/>
        <v>H189176G6035F4-W</v>
      </c>
      <c r="C3952" s="1" t="s">
        <v>39</v>
      </c>
      <c r="D3952" s="1" t="s">
        <v>679</v>
      </c>
      <c r="E3952" s="1" t="s">
        <v>414</v>
      </c>
      <c r="F3952" s="1" t="s">
        <v>415</v>
      </c>
      <c r="G3952" s="1" t="s">
        <v>404</v>
      </c>
      <c r="H3952" s="1">
        <v>252</v>
      </c>
      <c r="I3952" s="3">
        <v>46281</v>
      </c>
      <c r="J3952" s="3">
        <v>46283</v>
      </c>
      <c r="K3952" s="3" t="s">
        <v>2371</v>
      </c>
      <c r="L3952" s="31">
        <v>46281.574883831017</v>
      </c>
      <c r="M3952" s="20">
        <v>6</v>
      </c>
      <c r="N3952" s="1">
        <v>38</v>
      </c>
    </row>
    <row r="3953" spans="1:14" x14ac:dyDescent="0.25">
      <c r="A3953" t="str">
        <f t="shared" si="124"/>
        <v>H189176H189176</v>
      </c>
      <c r="B3953" t="str">
        <f t="shared" si="125"/>
        <v>H189176G6035F4-W</v>
      </c>
      <c r="C3953" s="1" t="s">
        <v>39</v>
      </c>
      <c r="D3953" s="1" t="s">
        <v>679</v>
      </c>
      <c r="E3953" s="1" t="s">
        <v>414</v>
      </c>
      <c r="F3953" s="1" t="s">
        <v>415</v>
      </c>
      <c r="G3953" s="1" t="s">
        <v>404</v>
      </c>
      <c r="H3953" s="1">
        <v>252</v>
      </c>
      <c r="I3953" s="3">
        <v>46281</v>
      </c>
      <c r="J3953" s="3">
        <v>46283</v>
      </c>
      <c r="K3953" s="3" t="s">
        <v>2371</v>
      </c>
      <c r="L3953" s="31">
        <v>46281.711388923606</v>
      </c>
      <c r="M3953" s="20">
        <v>12</v>
      </c>
      <c r="N3953" s="1">
        <v>37</v>
      </c>
    </row>
    <row r="3954" spans="1:14" x14ac:dyDescent="0.25">
      <c r="A3954" t="str">
        <f t="shared" si="124"/>
        <v>H189176H189176</v>
      </c>
      <c r="B3954" t="str">
        <f t="shared" si="125"/>
        <v>H189176G6035F4-W</v>
      </c>
      <c r="C3954" s="1" t="s">
        <v>39</v>
      </c>
      <c r="D3954" s="1" t="s">
        <v>679</v>
      </c>
      <c r="E3954" s="1" t="s">
        <v>414</v>
      </c>
      <c r="F3954" s="1" t="s">
        <v>415</v>
      </c>
      <c r="G3954" s="1" t="s">
        <v>404</v>
      </c>
      <c r="H3954" s="1">
        <v>252</v>
      </c>
      <c r="I3954" s="3">
        <v>46281</v>
      </c>
      <c r="J3954" s="3">
        <v>46283</v>
      </c>
      <c r="K3954" s="3" t="s">
        <v>2371</v>
      </c>
      <c r="L3954" s="31">
        <v>46281.734117129628</v>
      </c>
      <c r="M3954" s="20">
        <v>12</v>
      </c>
      <c r="N3954" s="1">
        <v>23</v>
      </c>
    </row>
    <row r="3955" spans="1:14" x14ac:dyDescent="0.25">
      <c r="A3955" t="str">
        <f t="shared" si="124"/>
        <v>U148135U148135</v>
      </c>
      <c r="B3955" t="str">
        <f t="shared" si="125"/>
        <v>U148135PC9060EP-M</v>
      </c>
      <c r="C3955" s="1" t="s">
        <v>0</v>
      </c>
      <c r="D3955" s="1" t="s">
        <v>732</v>
      </c>
      <c r="E3955" s="1" t="s">
        <v>436</v>
      </c>
      <c r="F3955" s="1" t="s">
        <v>449</v>
      </c>
      <c r="G3955" s="1" t="s">
        <v>438</v>
      </c>
      <c r="H3955" s="1">
        <v>612</v>
      </c>
      <c r="I3955" s="3">
        <v>46281</v>
      </c>
      <c r="J3955" s="3">
        <v>46288</v>
      </c>
      <c r="K3955" s="3" t="s">
        <v>2371</v>
      </c>
      <c r="L3955" s="31">
        <v>46281.744937233794</v>
      </c>
      <c r="M3955" s="20">
        <v>6</v>
      </c>
      <c r="N3955" s="1">
        <v>18</v>
      </c>
    </row>
    <row r="3956" spans="1:14" x14ac:dyDescent="0.25">
      <c r="A3956" t="str">
        <f t="shared" si="124"/>
        <v>U148135U148135</v>
      </c>
      <c r="B3956" t="str">
        <f t="shared" si="125"/>
        <v>U148135PC9060EP-M</v>
      </c>
      <c r="C3956" s="1" t="s">
        <v>0</v>
      </c>
      <c r="D3956" s="1" t="s">
        <v>732</v>
      </c>
      <c r="E3956" s="1" t="s">
        <v>436</v>
      </c>
      <c r="F3956" s="1" t="s">
        <v>449</v>
      </c>
      <c r="G3956" s="1" t="s">
        <v>438</v>
      </c>
      <c r="H3956" s="1">
        <v>612</v>
      </c>
      <c r="I3956" s="3">
        <v>46281</v>
      </c>
      <c r="J3956" s="3">
        <v>46288</v>
      </c>
      <c r="K3956" s="3" t="s">
        <v>2371</v>
      </c>
      <c r="L3956" s="31">
        <v>46281.751831979163</v>
      </c>
      <c r="M3956" s="20">
        <v>6</v>
      </c>
      <c r="N3956" s="1">
        <v>28</v>
      </c>
    </row>
    <row r="3957" spans="1:14" x14ac:dyDescent="0.25">
      <c r="A3957" t="str">
        <f t="shared" si="124"/>
        <v>U148135U148135</v>
      </c>
      <c r="B3957" t="str">
        <f t="shared" si="125"/>
        <v>U148135PC9060EP-M</v>
      </c>
      <c r="C3957" s="1" t="s">
        <v>0</v>
      </c>
      <c r="D3957" s="1" t="s">
        <v>732</v>
      </c>
      <c r="E3957" s="1" t="s">
        <v>436</v>
      </c>
      <c r="F3957" s="1" t="s">
        <v>449</v>
      </c>
      <c r="G3957" s="1" t="s">
        <v>438</v>
      </c>
      <c r="H3957" s="1">
        <v>612</v>
      </c>
      <c r="I3957" s="3">
        <v>46281</v>
      </c>
      <c r="J3957" s="3">
        <v>46288</v>
      </c>
      <c r="K3957" s="3" t="s">
        <v>2371</v>
      </c>
      <c r="L3957" s="31">
        <v>46281.753299918979</v>
      </c>
      <c r="M3957" s="20">
        <v>6</v>
      </c>
      <c r="N3957" s="1">
        <v>27</v>
      </c>
    </row>
    <row r="3958" spans="1:14" x14ac:dyDescent="0.25">
      <c r="A3958" t="str">
        <f t="shared" si="124"/>
        <v>U148135U148135</v>
      </c>
      <c r="B3958" t="str">
        <f t="shared" si="125"/>
        <v>U148135PC9060EP-M</v>
      </c>
      <c r="C3958" s="1" t="s">
        <v>0</v>
      </c>
      <c r="D3958" s="1" t="s">
        <v>732</v>
      </c>
      <c r="E3958" s="1" t="s">
        <v>436</v>
      </c>
      <c r="F3958" s="1" t="s">
        <v>449</v>
      </c>
      <c r="G3958" s="1" t="s">
        <v>438</v>
      </c>
      <c r="H3958" s="1">
        <v>612</v>
      </c>
      <c r="I3958" s="3">
        <v>46281</v>
      </c>
      <c r="J3958" s="3">
        <v>46288</v>
      </c>
      <c r="K3958" s="3" t="s">
        <v>2371</v>
      </c>
      <c r="L3958" s="31">
        <v>46281.7535565625</v>
      </c>
      <c r="M3958" s="20">
        <v>6</v>
      </c>
      <c r="N3958" s="1">
        <v>29</v>
      </c>
    </row>
    <row r="3959" spans="1:14" x14ac:dyDescent="0.25">
      <c r="A3959" t="str">
        <f t="shared" si="124"/>
        <v>U148135U148135</v>
      </c>
      <c r="B3959" t="str">
        <f t="shared" si="125"/>
        <v>U148135PC9060EP-M</v>
      </c>
      <c r="C3959" s="1" t="s">
        <v>0</v>
      </c>
      <c r="D3959" s="1" t="s">
        <v>732</v>
      </c>
      <c r="E3959" s="1" t="s">
        <v>436</v>
      </c>
      <c r="F3959" s="1" t="s">
        <v>449</v>
      </c>
      <c r="G3959" s="1" t="s">
        <v>438</v>
      </c>
      <c r="H3959" s="1">
        <v>612</v>
      </c>
      <c r="I3959" s="3">
        <v>46281</v>
      </c>
      <c r="J3959" s="3">
        <v>46288</v>
      </c>
      <c r="K3959" s="3" t="s">
        <v>2371</v>
      </c>
      <c r="L3959" s="31">
        <v>46281.753956215274</v>
      </c>
      <c r="M3959" s="20">
        <v>6</v>
      </c>
      <c r="N3959" s="1">
        <v>20</v>
      </c>
    </row>
    <row r="3960" spans="1:14" x14ac:dyDescent="0.25">
      <c r="A3960" t="str">
        <f t="shared" si="124"/>
        <v>U148135U148135</v>
      </c>
      <c r="B3960" t="str">
        <f t="shared" si="125"/>
        <v>U148135PC9060EP-M</v>
      </c>
      <c r="C3960" s="1" t="s">
        <v>0</v>
      </c>
      <c r="D3960" s="1" t="s">
        <v>732</v>
      </c>
      <c r="E3960" s="1" t="s">
        <v>436</v>
      </c>
      <c r="F3960" s="1" t="s">
        <v>449</v>
      </c>
      <c r="G3960" s="1" t="s">
        <v>438</v>
      </c>
      <c r="H3960" s="1">
        <v>612</v>
      </c>
      <c r="I3960" s="3">
        <v>46281</v>
      </c>
      <c r="J3960" s="3">
        <v>46288</v>
      </c>
      <c r="K3960" s="3" t="s">
        <v>2371</v>
      </c>
      <c r="L3960" s="31">
        <v>46281.754245405093</v>
      </c>
      <c r="M3960" s="20">
        <v>6</v>
      </c>
      <c r="N3960" s="1">
        <v>30</v>
      </c>
    </row>
    <row r="3961" spans="1:14" x14ac:dyDescent="0.25">
      <c r="A3961" t="str">
        <f t="shared" si="124"/>
        <v>U149878U149878</v>
      </c>
      <c r="B3961" t="str">
        <f t="shared" si="125"/>
        <v>U149878I603457-W</v>
      </c>
      <c r="C3961" s="1" t="s">
        <v>59</v>
      </c>
      <c r="D3961" s="1" t="s">
        <v>723</v>
      </c>
      <c r="E3961" s="1" t="s">
        <v>436</v>
      </c>
      <c r="F3961" s="1" t="s">
        <v>443</v>
      </c>
      <c r="G3961" s="1" t="s">
        <v>444</v>
      </c>
      <c r="H3961" s="1">
        <v>198</v>
      </c>
      <c r="I3961" s="3">
        <v>46281</v>
      </c>
      <c r="J3961" s="3">
        <v>46287</v>
      </c>
      <c r="L3961" s="31">
        <v>46281.607593981476</v>
      </c>
      <c r="M3961" s="20">
        <v>6</v>
      </c>
      <c r="N3961" s="1">
        <v>49</v>
      </c>
    </row>
    <row r="3962" spans="1:14" x14ac:dyDescent="0.25">
      <c r="A3962" t="str">
        <f t="shared" si="124"/>
        <v>U149878U149878</v>
      </c>
      <c r="B3962" t="str">
        <f t="shared" si="125"/>
        <v>U149878I603457-M</v>
      </c>
      <c r="C3962" s="1" t="s">
        <v>57</v>
      </c>
      <c r="D3962" s="1" t="s">
        <v>723</v>
      </c>
      <c r="E3962" s="1" t="s">
        <v>436</v>
      </c>
      <c r="F3962" s="1" t="s">
        <v>443</v>
      </c>
      <c r="G3962" s="1" t="s">
        <v>444</v>
      </c>
      <c r="H3962" s="1">
        <v>330</v>
      </c>
      <c r="I3962" s="3">
        <v>46281</v>
      </c>
      <c r="J3962" s="3">
        <v>46288</v>
      </c>
      <c r="L3962" s="31">
        <v>46281.608392905087</v>
      </c>
      <c r="M3962" s="20">
        <v>12</v>
      </c>
      <c r="N3962" s="1">
        <v>10</v>
      </c>
    </row>
    <row r="3963" spans="1:14" x14ac:dyDescent="0.25">
      <c r="A3963" t="str">
        <f t="shared" si="124"/>
        <v>U149878U149878</v>
      </c>
      <c r="B3963" t="str">
        <f t="shared" si="125"/>
        <v>U149878I603457-M</v>
      </c>
      <c r="C3963" s="1" t="s">
        <v>57</v>
      </c>
      <c r="D3963" s="1" t="s">
        <v>723</v>
      </c>
      <c r="E3963" s="1" t="s">
        <v>436</v>
      </c>
      <c r="F3963" s="1" t="s">
        <v>443</v>
      </c>
      <c r="G3963" s="1" t="s">
        <v>444</v>
      </c>
      <c r="H3963" s="1">
        <v>330</v>
      </c>
      <c r="I3963" s="3">
        <v>46281</v>
      </c>
      <c r="J3963" s="3">
        <v>46288</v>
      </c>
      <c r="L3963" s="31">
        <v>46281.609445567126</v>
      </c>
      <c r="M3963" s="20">
        <v>12</v>
      </c>
      <c r="N3963" s="1">
        <v>18</v>
      </c>
    </row>
    <row r="3964" spans="1:14" x14ac:dyDescent="0.25">
      <c r="A3964" t="str">
        <f t="shared" si="124"/>
        <v>U149878U149878</v>
      </c>
      <c r="B3964" t="str">
        <f t="shared" si="125"/>
        <v>U149878I603457-W</v>
      </c>
      <c r="C3964" s="1" t="s">
        <v>59</v>
      </c>
      <c r="D3964" s="1" t="s">
        <v>723</v>
      </c>
      <c r="E3964" s="1" t="s">
        <v>436</v>
      </c>
      <c r="F3964" s="1" t="s">
        <v>443</v>
      </c>
      <c r="G3964" s="1" t="s">
        <v>444</v>
      </c>
      <c r="H3964" s="1">
        <v>198</v>
      </c>
      <c r="I3964" s="3">
        <v>46281</v>
      </c>
      <c r="J3964" s="3">
        <v>46287</v>
      </c>
      <c r="L3964" s="31">
        <v>46281.632427395831</v>
      </c>
      <c r="M3964" s="20">
        <v>6</v>
      </c>
      <c r="N3964" s="1">
        <v>51</v>
      </c>
    </row>
    <row r="3965" spans="1:14" x14ac:dyDescent="0.25">
      <c r="A3965" t="str">
        <f t="shared" si="124"/>
        <v>U149878U149878</v>
      </c>
      <c r="B3965" t="str">
        <f t="shared" si="125"/>
        <v>U149878I603457-M</v>
      </c>
      <c r="C3965" s="1" t="s">
        <v>57</v>
      </c>
      <c r="D3965" s="1" t="s">
        <v>723</v>
      </c>
      <c r="E3965" s="1" t="s">
        <v>436</v>
      </c>
      <c r="F3965" s="1" t="s">
        <v>443</v>
      </c>
      <c r="G3965" s="1" t="s">
        <v>444</v>
      </c>
      <c r="H3965" s="1">
        <v>330</v>
      </c>
      <c r="I3965" s="3">
        <v>46281</v>
      </c>
      <c r="J3965" s="3">
        <v>46288</v>
      </c>
      <c r="L3965" s="31">
        <v>46281.632606134255</v>
      </c>
      <c r="M3965" s="20">
        <v>12</v>
      </c>
      <c r="N3965" s="1">
        <v>16</v>
      </c>
    </row>
    <row r="3966" spans="1:14" x14ac:dyDescent="0.25">
      <c r="A3966" t="str">
        <f t="shared" si="124"/>
        <v>U149878U149878</v>
      </c>
      <c r="B3966" t="str">
        <f t="shared" si="125"/>
        <v>U149878I603457-M</v>
      </c>
      <c r="C3966" s="1" t="s">
        <v>57</v>
      </c>
      <c r="D3966" s="1" t="s">
        <v>723</v>
      </c>
      <c r="E3966" s="1" t="s">
        <v>436</v>
      </c>
      <c r="F3966" s="1" t="s">
        <v>443</v>
      </c>
      <c r="G3966" s="1" t="s">
        <v>444</v>
      </c>
      <c r="H3966" s="1">
        <v>330</v>
      </c>
      <c r="I3966" s="3">
        <v>46281</v>
      </c>
      <c r="J3966" s="3">
        <v>46288</v>
      </c>
      <c r="L3966" s="31">
        <v>46281.632808530092</v>
      </c>
      <c r="M3966" s="20">
        <v>12</v>
      </c>
      <c r="N3966" s="1">
        <v>9</v>
      </c>
    </row>
    <row r="3967" spans="1:14" x14ac:dyDescent="0.25">
      <c r="A3967" t="str">
        <f t="shared" si="124"/>
        <v>U149878U149878</v>
      </c>
      <c r="B3967" t="str">
        <f t="shared" si="125"/>
        <v>U149878I603457-W</v>
      </c>
      <c r="C3967" s="1" t="s">
        <v>59</v>
      </c>
      <c r="D3967" s="1" t="s">
        <v>723</v>
      </c>
      <c r="E3967" s="1" t="s">
        <v>436</v>
      </c>
      <c r="F3967" s="1" t="s">
        <v>443</v>
      </c>
      <c r="G3967" s="1" t="s">
        <v>444</v>
      </c>
      <c r="H3967" s="1">
        <v>198</v>
      </c>
      <c r="I3967" s="3">
        <v>46281</v>
      </c>
      <c r="J3967" s="3">
        <v>46287</v>
      </c>
      <c r="L3967" s="31">
        <v>46281.653518055551</v>
      </c>
      <c r="M3967" s="20">
        <v>12</v>
      </c>
      <c r="N3967" s="1">
        <v>35</v>
      </c>
    </row>
    <row r="3968" spans="1:14" x14ac:dyDescent="0.25">
      <c r="A3968" t="str">
        <f t="shared" si="124"/>
        <v>U149878U149878</v>
      </c>
      <c r="B3968" t="str">
        <f t="shared" si="125"/>
        <v>U149878I603457-M</v>
      </c>
      <c r="C3968" s="1" t="s">
        <v>57</v>
      </c>
      <c r="D3968" s="1" t="s">
        <v>723</v>
      </c>
      <c r="E3968" s="1" t="s">
        <v>436</v>
      </c>
      <c r="F3968" s="1" t="s">
        <v>443</v>
      </c>
      <c r="G3968" s="1" t="s">
        <v>444</v>
      </c>
      <c r="H3968" s="1">
        <v>330</v>
      </c>
      <c r="I3968" s="3">
        <v>46281</v>
      </c>
      <c r="J3968" s="3">
        <v>46288</v>
      </c>
      <c r="L3968" s="31">
        <v>46281.65376956018</v>
      </c>
      <c r="M3968" s="20">
        <v>12</v>
      </c>
      <c r="N3968" s="1">
        <v>20</v>
      </c>
    </row>
    <row r="3969" spans="1:14" x14ac:dyDescent="0.25">
      <c r="A3969" t="str">
        <f t="shared" si="124"/>
        <v>U152782U152782</v>
      </c>
      <c r="B3969" t="str">
        <f t="shared" si="125"/>
        <v>U152782G6035F4-W</v>
      </c>
      <c r="C3969" s="1" t="s">
        <v>39</v>
      </c>
      <c r="D3969" s="1" t="s">
        <v>713</v>
      </c>
      <c r="E3969" s="1" t="s">
        <v>436</v>
      </c>
      <c r="F3969" s="1" t="s">
        <v>443</v>
      </c>
      <c r="G3969" s="1" t="s">
        <v>444</v>
      </c>
      <c r="H3969" s="1">
        <v>114</v>
      </c>
      <c r="I3969" s="3">
        <v>46281</v>
      </c>
      <c r="L3969" s="31">
        <v>46281.438489155087</v>
      </c>
      <c r="M3969" s="20">
        <v>12</v>
      </c>
      <c r="N3969" s="1">
        <v>59</v>
      </c>
    </row>
    <row r="3970" spans="1:14" x14ac:dyDescent="0.25">
      <c r="A3970" t="str">
        <f t="shared" ref="A3970:A4033" si="126">+D3970&amp;D3970</f>
        <v>U152782U152782</v>
      </c>
      <c r="B3970" t="str">
        <f t="shared" ref="B3970:B4033" si="127">+D3970&amp;C3970</f>
        <v>U152782G6035F4-M</v>
      </c>
      <c r="C3970" s="1" t="s">
        <v>24</v>
      </c>
      <c r="D3970" s="1" t="s">
        <v>713</v>
      </c>
      <c r="E3970" s="1" t="s">
        <v>436</v>
      </c>
      <c r="F3970" s="1" t="s">
        <v>443</v>
      </c>
      <c r="G3970" s="1" t="s">
        <v>444</v>
      </c>
      <c r="H3970" s="1">
        <v>672</v>
      </c>
      <c r="I3970" s="3">
        <v>46281</v>
      </c>
      <c r="L3970" s="31">
        <v>46281.54071400463</v>
      </c>
      <c r="M3970" s="20">
        <v>12</v>
      </c>
      <c r="N3970" s="1">
        <v>31</v>
      </c>
    </row>
    <row r="3971" spans="1:14" x14ac:dyDescent="0.25">
      <c r="A3971" t="str">
        <f t="shared" si="126"/>
        <v>U152782U152782</v>
      </c>
      <c r="B3971" t="str">
        <f t="shared" si="127"/>
        <v>U152782G6035F4-M</v>
      </c>
      <c r="C3971" s="1" t="s">
        <v>24</v>
      </c>
      <c r="D3971" s="1" t="s">
        <v>713</v>
      </c>
      <c r="E3971" s="1" t="s">
        <v>436</v>
      </c>
      <c r="F3971" s="1" t="s">
        <v>443</v>
      </c>
      <c r="G3971" s="1" t="s">
        <v>444</v>
      </c>
      <c r="H3971" s="1">
        <v>672</v>
      </c>
      <c r="I3971" s="3">
        <v>46281</v>
      </c>
      <c r="L3971" s="31">
        <v>46281.544984259257</v>
      </c>
      <c r="M3971" s="20">
        <v>12</v>
      </c>
      <c r="N3971" s="1">
        <v>32</v>
      </c>
    </row>
    <row r="3972" spans="1:14" x14ac:dyDescent="0.25">
      <c r="A3972" t="str">
        <f t="shared" si="126"/>
        <v>U152782U152782</v>
      </c>
      <c r="B3972" t="str">
        <f t="shared" si="127"/>
        <v>U152782G6035F4-M</v>
      </c>
      <c r="C3972" s="1" t="s">
        <v>24</v>
      </c>
      <c r="D3972" s="1" t="s">
        <v>713</v>
      </c>
      <c r="E3972" s="1" t="s">
        <v>436</v>
      </c>
      <c r="F3972" s="1" t="s">
        <v>443</v>
      </c>
      <c r="G3972" s="1" t="s">
        <v>444</v>
      </c>
      <c r="H3972" s="1">
        <v>672</v>
      </c>
      <c r="I3972" s="3">
        <v>46281</v>
      </c>
      <c r="L3972" s="31">
        <v>46281.546781331017</v>
      </c>
      <c r="M3972" s="20">
        <v>12</v>
      </c>
      <c r="N3972" s="1">
        <v>16</v>
      </c>
    </row>
    <row r="3973" spans="1:14" x14ac:dyDescent="0.25">
      <c r="A3973" t="str">
        <f t="shared" si="126"/>
        <v>U152782U152782</v>
      </c>
      <c r="B3973" t="str">
        <f t="shared" si="127"/>
        <v>U152782G6035F4-M</v>
      </c>
      <c r="C3973" s="1" t="s">
        <v>24</v>
      </c>
      <c r="D3973" s="1" t="s">
        <v>713</v>
      </c>
      <c r="E3973" s="1" t="s">
        <v>436</v>
      </c>
      <c r="F3973" s="1" t="s">
        <v>443</v>
      </c>
      <c r="G3973" s="1" t="s">
        <v>444</v>
      </c>
      <c r="H3973" s="1">
        <v>672</v>
      </c>
      <c r="I3973" s="3">
        <v>46281</v>
      </c>
      <c r="L3973" s="31">
        <v>46281.556918055554</v>
      </c>
      <c r="M3973" s="20">
        <v>12</v>
      </c>
      <c r="N3973" s="1">
        <v>4</v>
      </c>
    </row>
    <row r="3974" spans="1:14" x14ac:dyDescent="0.25">
      <c r="A3974" t="str">
        <f t="shared" si="126"/>
        <v>U152782U152782</v>
      </c>
      <c r="B3974" t="str">
        <f t="shared" si="127"/>
        <v>U152782G6035F4-W</v>
      </c>
      <c r="C3974" s="1" t="s">
        <v>39</v>
      </c>
      <c r="D3974" s="1" t="s">
        <v>713</v>
      </c>
      <c r="E3974" s="1" t="s">
        <v>436</v>
      </c>
      <c r="F3974" s="1" t="s">
        <v>443</v>
      </c>
      <c r="G3974" s="1" t="s">
        <v>444</v>
      </c>
      <c r="H3974" s="1">
        <v>114</v>
      </c>
      <c r="I3974" s="3">
        <v>46281</v>
      </c>
      <c r="L3974" s="31">
        <v>46281.559462962963</v>
      </c>
      <c r="M3974" s="20">
        <v>12</v>
      </c>
      <c r="N3974" s="1">
        <v>64</v>
      </c>
    </row>
    <row r="3975" spans="1:14" x14ac:dyDescent="0.25">
      <c r="A3975" t="str">
        <f t="shared" si="126"/>
        <v>U152782U152782</v>
      </c>
      <c r="B3975" t="str">
        <f t="shared" si="127"/>
        <v>U152782G6035F4-M</v>
      </c>
      <c r="C3975" s="1" t="s">
        <v>24</v>
      </c>
      <c r="D3975" s="1" t="s">
        <v>713</v>
      </c>
      <c r="E3975" s="1" t="s">
        <v>436</v>
      </c>
      <c r="F3975" s="1" t="s">
        <v>443</v>
      </c>
      <c r="G3975" s="1" t="s">
        <v>444</v>
      </c>
      <c r="H3975" s="1">
        <v>672</v>
      </c>
      <c r="I3975" s="3">
        <v>46281</v>
      </c>
      <c r="L3975" s="31">
        <v>46281.559722453705</v>
      </c>
      <c r="M3975" s="20">
        <v>12</v>
      </c>
      <c r="N3975" s="1">
        <v>1</v>
      </c>
    </row>
    <row r="3976" spans="1:14" x14ac:dyDescent="0.25">
      <c r="A3976" t="str">
        <f t="shared" si="126"/>
        <v>U152782U152782</v>
      </c>
      <c r="B3976" t="str">
        <f t="shared" si="127"/>
        <v>U152782G6035F4-M</v>
      </c>
      <c r="C3976" s="1" t="s">
        <v>24</v>
      </c>
      <c r="D3976" s="1" t="s">
        <v>713</v>
      </c>
      <c r="E3976" s="1" t="s">
        <v>436</v>
      </c>
      <c r="F3976" s="1" t="s">
        <v>443</v>
      </c>
      <c r="G3976" s="1" t="s">
        <v>444</v>
      </c>
      <c r="H3976" s="1">
        <v>672</v>
      </c>
      <c r="I3976" s="3">
        <v>46281</v>
      </c>
      <c r="L3976" s="31">
        <v>46281.562295520831</v>
      </c>
      <c r="M3976" s="20">
        <v>12</v>
      </c>
      <c r="N3976" s="1">
        <v>11</v>
      </c>
    </row>
    <row r="3977" spans="1:14" x14ac:dyDescent="0.25">
      <c r="A3977" t="str">
        <f t="shared" si="126"/>
        <v>U152782U152782</v>
      </c>
      <c r="B3977" t="str">
        <f t="shared" si="127"/>
        <v>U152782G6035F4-M</v>
      </c>
      <c r="C3977" s="1" t="s">
        <v>24</v>
      </c>
      <c r="D3977" s="1" t="s">
        <v>713</v>
      </c>
      <c r="E3977" s="1" t="s">
        <v>436</v>
      </c>
      <c r="F3977" s="1" t="s">
        <v>443</v>
      </c>
      <c r="G3977" s="1" t="s">
        <v>444</v>
      </c>
      <c r="H3977" s="1">
        <v>672</v>
      </c>
      <c r="I3977" s="3">
        <v>46281</v>
      </c>
      <c r="L3977" s="31">
        <v>46281.562572187497</v>
      </c>
      <c r="M3977" s="20">
        <v>12</v>
      </c>
      <c r="N3977" s="1">
        <v>41</v>
      </c>
    </row>
    <row r="3978" spans="1:14" x14ac:dyDescent="0.25">
      <c r="A3978" t="str">
        <f t="shared" si="126"/>
        <v>U152782U152782</v>
      </c>
      <c r="B3978" t="str">
        <f t="shared" si="127"/>
        <v>U152782G6035F4-M</v>
      </c>
      <c r="C3978" s="1" t="s">
        <v>24</v>
      </c>
      <c r="D3978" s="1" t="s">
        <v>713</v>
      </c>
      <c r="E3978" s="1" t="s">
        <v>436</v>
      </c>
      <c r="F3978" s="1" t="s">
        <v>443</v>
      </c>
      <c r="G3978" s="1" t="s">
        <v>444</v>
      </c>
      <c r="H3978" s="1">
        <v>672</v>
      </c>
      <c r="I3978" s="3">
        <v>46281</v>
      </c>
      <c r="L3978" s="31">
        <v>46281.563500428238</v>
      </c>
      <c r="M3978" s="20">
        <v>12</v>
      </c>
      <c r="N3978" s="1">
        <v>24</v>
      </c>
    </row>
    <row r="3979" spans="1:14" x14ac:dyDescent="0.25">
      <c r="A3979" t="str">
        <f t="shared" si="126"/>
        <v>U152782U152782</v>
      </c>
      <c r="B3979" t="str">
        <f t="shared" si="127"/>
        <v>U152782G6035F4-M</v>
      </c>
      <c r="C3979" s="1" t="s">
        <v>24</v>
      </c>
      <c r="D3979" s="1" t="s">
        <v>713</v>
      </c>
      <c r="E3979" s="1" t="s">
        <v>436</v>
      </c>
      <c r="F3979" s="1" t="s">
        <v>443</v>
      </c>
      <c r="G3979" s="1" t="s">
        <v>444</v>
      </c>
      <c r="H3979" s="1">
        <v>672</v>
      </c>
      <c r="I3979" s="3">
        <v>46281</v>
      </c>
      <c r="L3979" s="31">
        <v>46281.565571215273</v>
      </c>
      <c r="M3979" s="20">
        <v>12</v>
      </c>
      <c r="N3979" s="1">
        <v>7</v>
      </c>
    </row>
    <row r="3980" spans="1:14" x14ac:dyDescent="0.25">
      <c r="A3980" t="str">
        <f t="shared" si="126"/>
        <v>U152782U152782</v>
      </c>
      <c r="B3980" t="str">
        <f t="shared" si="127"/>
        <v>U152782G6035F4-M</v>
      </c>
      <c r="C3980" s="1" t="s">
        <v>24</v>
      </c>
      <c r="D3980" s="1" t="s">
        <v>713</v>
      </c>
      <c r="E3980" s="1" t="s">
        <v>436</v>
      </c>
      <c r="F3980" s="1" t="s">
        <v>443</v>
      </c>
      <c r="G3980" s="1" t="s">
        <v>444</v>
      </c>
      <c r="H3980" s="1">
        <v>672</v>
      </c>
      <c r="I3980" s="3">
        <v>46281</v>
      </c>
      <c r="L3980" s="31">
        <v>46281.565809456013</v>
      </c>
      <c r="M3980" s="20">
        <v>12</v>
      </c>
      <c r="N3980" s="1">
        <v>35</v>
      </c>
    </row>
    <row r="3981" spans="1:14" x14ac:dyDescent="0.25">
      <c r="A3981" t="str">
        <f t="shared" si="126"/>
        <v>U152782U152782</v>
      </c>
      <c r="B3981" t="str">
        <f t="shared" si="127"/>
        <v>U152782G6035F4-M</v>
      </c>
      <c r="C3981" s="1" t="s">
        <v>24</v>
      </c>
      <c r="D3981" s="1" t="s">
        <v>713</v>
      </c>
      <c r="E3981" s="1" t="s">
        <v>436</v>
      </c>
      <c r="F3981" s="1" t="s">
        <v>443</v>
      </c>
      <c r="G3981" s="1" t="s">
        <v>444</v>
      </c>
      <c r="H3981" s="1">
        <v>672</v>
      </c>
      <c r="I3981" s="3">
        <v>46281</v>
      </c>
      <c r="L3981" s="31">
        <v>46281.566073761569</v>
      </c>
      <c r="M3981" s="20">
        <v>12</v>
      </c>
      <c r="N3981" s="1">
        <v>33</v>
      </c>
    </row>
    <row r="3982" spans="1:14" x14ac:dyDescent="0.25">
      <c r="A3982" t="str">
        <f t="shared" si="126"/>
        <v>U152782U152782</v>
      </c>
      <c r="B3982" t="str">
        <f t="shared" si="127"/>
        <v>U152782G6035F4-M</v>
      </c>
      <c r="C3982" s="1" t="s">
        <v>24</v>
      </c>
      <c r="D3982" s="1" t="s">
        <v>713</v>
      </c>
      <c r="E3982" s="1" t="s">
        <v>436</v>
      </c>
      <c r="F3982" s="1" t="s">
        <v>443</v>
      </c>
      <c r="G3982" s="1" t="s">
        <v>444</v>
      </c>
      <c r="H3982" s="1">
        <v>672</v>
      </c>
      <c r="I3982" s="3">
        <v>46281</v>
      </c>
      <c r="L3982" s="31">
        <v>46281.566783680551</v>
      </c>
      <c r="M3982" s="20">
        <v>12</v>
      </c>
      <c r="N3982" s="1">
        <v>23</v>
      </c>
    </row>
    <row r="3983" spans="1:14" x14ac:dyDescent="0.25">
      <c r="A3983" t="str">
        <f t="shared" si="126"/>
        <v>U152782U152782</v>
      </c>
      <c r="B3983" t="str">
        <f t="shared" si="127"/>
        <v>U152782G6035F4-M</v>
      </c>
      <c r="C3983" s="1" t="s">
        <v>24</v>
      </c>
      <c r="D3983" s="1" t="s">
        <v>713</v>
      </c>
      <c r="E3983" s="1" t="s">
        <v>436</v>
      </c>
      <c r="F3983" s="1" t="s">
        <v>443</v>
      </c>
      <c r="G3983" s="1" t="s">
        <v>444</v>
      </c>
      <c r="H3983" s="1">
        <v>672</v>
      </c>
      <c r="I3983" s="3">
        <v>46281</v>
      </c>
      <c r="L3983" s="31">
        <v>46281.567616817127</v>
      </c>
      <c r="M3983" s="20">
        <v>12</v>
      </c>
      <c r="N3983" s="1">
        <v>18</v>
      </c>
    </row>
    <row r="3984" spans="1:14" x14ac:dyDescent="0.25">
      <c r="A3984" t="str">
        <f t="shared" si="126"/>
        <v>U152782U152782</v>
      </c>
      <c r="B3984" t="str">
        <f t="shared" si="127"/>
        <v>U152782G6035F4-M</v>
      </c>
      <c r="C3984" s="1" t="s">
        <v>24</v>
      </c>
      <c r="D3984" s="1" t="s">
        <v>713</v>
      </c>
      <c r="E3984" s="1" t="s">
        <v>436</v>
      </c>
      <c r="F3984" s="1" t="s">
        <v>443</v>
      </c>
      <c r="G3984" s="1" t="s">
        <v>444</v>
      </c>
      <c r="H3984" s="1">
        <v>672</v>
      </c>
      <c r="I3984" s="3">
        <v>46281</v>
      </c>
      <c r="L3984" s="31">
        <v>46281.567844560181</v>
      </c>
      <c r="M3984" s="20">
        <v>12</v>
      </c>
      <c r="N3984" s="1">
        <v>17</v>
      </c>
    </row>
    <row r="3985" spans="1:14" x14ac:dyDescent="0.25">
      <c r="A3985" t="str">
        <f t="shared" si="126"/>
        <v>U152782U152782</v>
      </c>
      <c r="B3985" t="str">
        <f t="shared" si="127"/>
        <v>U152782G6035F4-M</v>
      </c>
      <c r="C3985" s="1" t="s">
        <v>24</v>
      </c>
      <c r="D3985" s="1" t="s">
        <v>713</v>
      </c>
      <c r="E3985" s="1" t="s">
        <v>436</v>
      </c>
      <c r="F3985" s="1" t="s">
        <v>443</v>
      </c>
      <c r="G3985" s="1" t="s">
        <v>444</v>
      </c>
      <c r="H3985" s="1">
        <v>672</v>
      </c>
      <c r="I3985" s="3">
        <v>46281</v>
      </c>
      <c r="L3985" s="31">
        <v>46281.568084027778</v>
      </c>
      <c r="M3985" s="20">
        <v>12</v>
      </c>
      <c r="N3985" s="1">
        <v>40</v>
      </c>
    </row>
    <row r="3986" spans="1:14" x14ac:dyDescent="0.25">
      <c r="A3986" t="str">
        <f t="shared" si="126"/>
        <v>U152782U152782</v>
      </c>
      <c r="B3986" t="str">
        <f t="shared" si="127"/>
        <v>U152782G6035F4-M</v>
      </c>
      <c r="C3986" s="1" t="s">
        <v>24</v>
      </c>
      <c r="D3986" s="1" t="s">
        <v>713</v>
      </c>
      <c r="E3986" s="1" t="s">
        <v>436</v>
      </c>
      <c r="F3986" s="1" t="s">
        <v>443</v>
      </c>
      <c r="G3986" s="1" t="s">
        <v>444</v>
      </c>
      <c r="H3986" s="1">
        <v>672</v>
      </c>
      <c r="I3986" s="3">
        <v>46281</v>
      </c>
      <c r="L3986" s="31">
        <v>46281.56847071759</v>
      </c>
      <c r="M3986" s="20">
        <v>12</v>
      </c>
      <c r="N3986" s="1">
        <v>22</v>
      </c>
    </row>
    <row r="3987" spans="1:14" x14ac:dyDescent="0.25">
      <c r="A3987" t="str">
        <f t="shared" si="126"/>
        <v>U152782U152782</v>
      </c>
      <c r="B3987" t="str">
        <f t="shared" si="127"/>
        <v>U152782G6035F4-W</v>
      </c>
      <c r="C3987" s="1" t="s">
        <v>39</v>
      </c>
      <c r="D3987" s="1" t="s">
        <v>713</v>
      </c>
      <c r="E3987" s="1" t="s">
        <v>436</v>
      </c>
      <c r="F3987" s="1" t="s">
        <v>443</v>
      </c>
      <c r="G3987" s="1" t="s">
        <v>444</v>
      </c>
      <c r="H3987" s="1">
        <v>114</v>
      </c>
      <c r="I3987" s="3">
        <v>46281</v>
      </c>
      <c r="L3987" s="31">
        <v>46281.572171064814</v>
      </c>
      <c r="M3987" s="20">
        <v>12</v>
      </c>
      <c r="N3987" s="1">
        <v>62</v>
      </c>
    </row>
    <row r="3988" spans="1:14" x14ac:dyDescent="0.25">
      <c r="A3988" t="str">
        <f t="shared" si="126"/>
        <v>U152782U152782</v>
      </c>
      <c r="B3988" t="str">
        <f t="shared" si="127"/>
        <v>U152782G6035F4-M</v>
      </c>
      <c r="C3988" s="1" t="s">
        <v>24</v>
      </c>
      <c r="D3988" s="1" t="s">
        <v>713</v>
      </c>
      <c r="E3988" s="1" t="s">
        <v>436</v>
      </c>
      <c r="F3988" s="1" t="s">
        <v>443</v>
      </c>
      <c r="G3988" s="1" t="s">
        <v>444</v>
      </c>
      <c r="H3988" s="1">
        <v>672</v>
      </c>
      <c r="I3988" s="3">
        <v>46281</v>
      </c>
      <c r="L3988" s="31">
        <v>46281.575159224536</v>
      </c>
      <c r="M3988" s="20">
        <v>12</v>
      </c>
      <c r="N3988" s="1">
        <v>2</v>
      </c>
    </row>
    <row r="3989" spans="1:14" x14ac:dyDescent="0.25">
      <c r="A3989" t="str">
        <f t="shared" si="126"/>
        <v>U152782U152782</v>
      </c>
      <c r="B3989" t="str">
        <f t="shared" si="127"/>
        <v>U152782G6035F4-M</v>
      </c>
      <c r="C3989" s="1" t="s">
        <v>24</v>
      </c>
      <c r="D3989" s="1" t="s">
        <v>713</v>
      </c>
      <c r="E3989" s="1" t="s">
        <v>436</v>
      </c>
      <c r="F3989" s="1" t="s">
        <v>443</v>
      </c>
      <c r="G3989" s="1" t="s">
        <v>444</v>
      </c>
      <c r="H3989" s="1">
        <v>672</v>
      </c>
      <c r="I3989" s="3">
        <v>46281</v>
      </c>
      <c r="L3989" s="31">
        <v>46281.580133483796</v>
      </c>
      <c r="M3989" s="20">
        <v>12</v>
      </c>
      <c r="N3989" s="1">
        <v>12</v>
      </c>
    </row>
    <row r="3990" spans="1:14" x14ac:dyDescent="0.25">
      <c r="A3990" t="str">
        <f t="shared" si="126"/>
        <v>U152782U152782</v>
      </c>
      <c r="B3990" t="str">
        <f t="shared" si="127"/>
        <v>U152782G6035F4-M</v>
      </c>
      <c r="C3990" s="1" t="s">
        <v>24</v>
      </c>
      <c r="D3990" s="1" t="s">
        <v>713</v>
      </c>
      <c r="E3990" s="1" t="s">
        <v>436</v>
      </c>
      <c r="F3990" s="1" t="s">
        <v>443</v>
      </c>
      <c r="G3990" s="1" t="s">
        <v>444</v>
      </c>
      <c r="H3990" s="1">
        <v>672</v>
      </c>
      <c r="I3990" s="3">
        <v>46281</v>
      </c>
      <c r="L3990" s="31">
        <v>46281.593759340278</v>
      </c>
      <c r="M3990" s="20">
        <v>12</v>
      </c>
      <c r="N3990" s="1">
        <v>42</v>
      </c>
    </row>
    <row r="3991" spans="1:14" x14ac:dyDescent="0.25">
      <c r="A3991" t="str">
        <f t="shared" si="126"/>
        <v>U152782U152782</v>
      </c>
      <c r="B3991" t="str">
        <f t="shared" si="127"/>
        <v>U152782G6035F4-W</v>
      </c>
      <c r="C3991" s="1" t="s">
        <v>39</v>
      </c>
      <c r="D3991" s="1" t="s">
        <v>713</v>
      </c>
      <c r="E3991" s="1" t="s">
        <v>436</v>
      </c>
      <c r="F3991" s="1" t="s">
        <v>443</v>
      </c>
      <c r="G3991" s="1" t="s">
        <v>444</v>
      </c>
      <c r="H3991" s="1">
        <v>114</v>
      </c>
      <c r="I3991" s="3">
        <v>46281</v>
      </c>
      <c r="L3991" s="31">
        <v>46281.60622962963</v>
      </c>
      <c r="M3991" s="20">
        <v>6</v>
      </c>
      <c r="N3991" s="1">
        <v>65</v>
      </c>
    </row>
    <row r="3992" spans="1:14" x14ac:dyDescent="0.25">
      <c r="A3992" t="str">
        <f t="shared" si="126"/>
        <v>U152782U152782</v>
      </c>
      <c r="B3992" t="str">
        <f t="shared" si="127"/>
        <v>U152782G6035F4-M</v>
      </c>
      <c r="C3992" s="1" t="s">
        <v>24</v>
      </c>
      <c r="D3992" s="1" t="s">
        <v>713</v>
      </c>
      <c r="E3992" s="1" t="s">
        <v>436</v>
      </c>
      <c r="F3992" s="1" t="s">
        <v>443</v>
      </c>
      <c r="G3992" s="1" t="s">
        <v>444</v>
      </c>
      <c r="H3992" s="1">
        <v>672</v>
      </c>
      <c r="I3992" s="3">
        <v>46281</v>
      </c>
      <c r="L3992" s="31">
        <v>46281.614454282404</v>
      </c>
      <c r="M3992" s="20">
        <v>12</v>
      </c>
      <c r="N3992" s="1">
        <v>25</v>
      </c>
    </row>
    <row r="3993" spans="1:14" x14ac:dyDescent="0.25">
      <c r="A3993" t="str">
        <f t="shared" si="126"/>
        <v>U152782U152782</v>
      </c>
      <c r="B3993" t="str">
        <f t="shared" si="127"/>
        <v>U152782G6035F4-M</v>
      </c>
      <c r="C3993" s="1" t="s">
        <v>24</v>
      </c>
      <c r="D3993" s="1" t="s">
        <v>713</v>
      </c>
      <c r="E3993" s="1" t="s">
        <v>436</v>
      </c>
      <c r="F3993" s="1" t="s">
        <v>443</v>
      </c>
      <c r="G3993" s="1" t="s">
        <v>444</v>
      </c>
      <c r="H3993" s="1">
        <v>672</v>
      </c>
      <c r="I3993" s="3">
        <v>46281</v>
      </c>
      <c r="L3993" s="31">
        <v>46281.638427430553</v>
      </c>
      <c r="M3993" s="20">
        <v>12</v>
      </c>
      <c r="N3993" s="1">
        <v>8</v>
      </c>
    </row>
    <row r="3994" spans="1:14" x14ac:dyDescent="0.25">
      <c r="A3994" t="str">
        <f t="shared" si="126"/>
        <v>U152782U152782</v>
      </c>
      <c r="B3994" t="str">
        <f t="shared" si="127"/>
        <v>U152782G6035F4-W</v>
      </c>
      <c r="C3994" s="1" t="s">
        <v>39</v>
      </c>
      <c r="D3994" s="1" t="s">
        <v>713</v>
      </c>
      <c r="E3994" s="1" t="s">
        <v>436</v>
      </c>
      <c r="F3994" s="1" t="s">
        <v>443</v>
      </c>
      <c r="G3994" s="1" t="s">
        <v>444</v>
      </c>
      <c r="H3994" s="1">
        <v>114</v>
      </c>
      <c r="I3994" s="3">
        <v>46281</v>
      </c>
      <c r="L3994" s="31">
        <v>46281.646352812495</v>
      </c>
      <c r="M3994" s="20">
        <v>12</v>
      </c>
      <c r="N3994" s="1">
        <v>61</v>
      </c>
    </row>
    <row r="3995" spans="1:14" x14ac:dyDescent="0.25">
      <c r="A3995" t="str">
        <f t="shared" si="126"/>
        <v>U152782U152782</v>
      </c>
      <c r="B3995" t="str">
        <f t="shared" si="127"/>
        <v>U152782G6035F4-M</v>
      </c>
      <c r="C3995" s="1" t="s">
        <v>24</v>
      </c>
      <c r="D3995" s="1" t="s">
        <v>713</v>
      </c>
      <c r="E3995" s="1" t="s">
        <v>436</v>
      </c>
      <c r="F3995" s="1" t="s">
        <v>443</v>
      </c>
      <c r="G3995" s="1" t="s">
        <v>444</v>
      </c>
      <c r="H3995" s="1">
        <v>672</v>
      </c>
      <c r="I3995" s="3">
        <v>46281</v>
      </c>
      <c r="L3995" s="31">
        <v>46281.648410185182</v>
      </c>
      <c r="M3995" s="20">
        <v>12</v>
      </c>
      <c r="N3995" s="1">
        <v>26</v>
      </c>
    </row>
    <row r="3996" spans="1:14" x14ac:dyDescent="0.25">
      <c r="A3996" t="str">
        <f t="shared" si="126"/>
        <v>U152782U152782</v>
      </c>
      <c r="B3996" t="str">
        <f t="shared" si="127"/>
        <v>U152782G6035F4-M</v>
      </c>
      <c r="C3996" s="1" t="s">
        <v>24</v>
      </c>
      <c r="D3996" s="1" t="s">
        <v>713</v>
      </c>
      <c r="E3996" s="1" t="s">
        <v>436</v>
      </c>
      <c r="F3996" s="1" t="s">
        <v>443</v>
      </c>
      <c r="G3996" s="1" t="s">
        <v>444</v>
      </c>
      <c r="H3996" s="1">
        <v>672</v>
      </c>
      <c r="I3996" s="3">
        <v>46281</v>
      </c>
      <c r="L3996" s="31">
        <v>46281.651225960646</v>
      </c>
      <c r="M3996" s="20">
        <v>12</v>
      </c>
      <c r="N3996" s="1">
        <v>36</v>
      </c>
    </row>
    <row r="3997" spans="1:14" x14ac:dyDescent="0.25">
      <c r="A3997" t="str">
        <f t="shared" si="126"/>
        <v>U152782U152782</v>
      </c>
      <c r="B3997" t="str">
        <f t="shared" si="127"/>
        <v>U152782G6035F4-M</v>
      </c>
      <c r="C3997" s="1" t="s">
        <v>24</v>
      </c>
      <c r="D3997" s="1" t="s">
        <v>713</v>
      </c>
      <c r="E3997" s="1" t="s">
        <v>436</v>
      </c>
      <c r="F3997" s="1" t="s">
        <v>443</v>
      </c>
      <c r="G3997" s="1" t="s">
        <v>444</v>
      </c>
      <c r="H3997" s="1">
        <v>672</v>
      </c>
      <c r="I3997" s="3">
        <v>46281</v>
      </c>
      <c r="L3997" s="31">
        <v>46281.667763159719</v>
      </c>
      <c r="M3997" s="20">
        <v>12</v>
      </c>
      <c r="N3997" s="1">
        <v>34</v>
      </c>
    </row>
    <row r="3998" spans="1:14" x14ac:dyDescent="0.25">
      <c r="A3998" t="str">
        <f t="shared" si="126"/>
        <v>U152782U152782</v>
      </c>
      <c r="B3998" t="str">
        <f t="shared" si="127"/>
        <v>U152782G6035F4-M</v>
      </c>
      <c r="C3998" s="1" t="s">
        <v>24</v>
      </c>
      <c r="D3998" s="1" t="s">
        <v>713</v>
      </c>
      <c r="E3998" s="1" t="s">
        <v>436</v>
      </c>
      <c r="F3998" s="1" t="s">
        <v>443</v>
      </c>
      <c r="G3998" s="1" t="s">
        <v>444</v>
      </c>
      <c r="H3998" s="1">
        <v>672</v>
      </c>
      <c r="I3998" s="3">
        <v>46281</v>
      </c>
      <c r="L3998" s="31">
        <v>46281.668184953705</v>
      </c>
      <c r="M3998" s="20">
        <v>12</v>
      </c>
      <c r="N3998" s="1">
        <v>13</v>
      </c>
    </row>
    <row r="3999" spans="1:14" x14ac:dyDescent="0.25">
      <c r="A3999" t="str">
        <f t="shared" si="126"/>
        <v>U152782U152782</v>
      </c>
      <c r="B3999" t="str">
        <f t="shared" si="127"/>
        <v>U152782G6035F4-M</v>
      </c>
      <c r="C3999" s="1" t="s">
        <v>24</v>
      </c>
      <c r="D3999" s="1" t="s">
        <v>713</v>
      </c>
      <c r="E3999" s="1" t="s">
        <v>436</v>
      </c>
      <c r="F3999" s="1" t="s">
        <v>443</v>
      </c>
      <c r="G3999" s="1" t="s">
        <v>444</v>
      </c>
      <c r="H3999" s="1">
        <v>672</v>
      </c>
      <c r="I3999" s="3">
        <v>46281</v>
      </c>
      <c r="L3999" s="31">
        <v>46281.675102349538</v>
      </c>
      <c r="M3999" s="20">
        <v>12</v>
      </c>
      <c r="N3999" s="1">
        <v>5</v>
      </c>
    </row>
    <row r="4000" spans="1:14" x14ac:dyDescent="0.25">
      <c r="A4000" t="str">
        <f t="shared" si="126"/>
        <v>U152782U152782</v>
      </c>
      <c r="B4000" t="str">
        <f t="shared" si="127"/>
        <v>U152782G6035F4-M</v>
      </c>
      <c r="C4000" s="1" t="s">
        <v>24</v>
      </c>
      <c r="D4000" s="1" t="s">
        <v>713</v>
      </c>
      <c r="E4000" s="1" t="s">
        <v>436</v>
      </c>
      <c r="F4000" s="1" t="s">
        <v>443</v>
      </c>
      <c r="G4000" s="1" t="s">
        <v>444</v>
      </c>
      <c r="H4000" s="1">
        <v>672</v>
      </c>
      <c r="I4000" s="3">
        <v>46281</v>
      </c>
      <c r="L4000" s="31">
        <v>46281.688291666665</v>
      </c>
      <c r="M4000" s="20">
        <v>12</v>
      </c>
      <c r="N4000" s="1">
        <v>28</v>
      </c>
    </row>
    <row r="4001" spans="1:14" x14ac:dyDescent="0.25">
      <c r="A4001" t="str">
        <f t="shared" si="126"/>
        <v>U152782U152782</v>
      </c>
      <c r="B4001" t="str">
        <f t="shared" si="127"/>
        <v>U152782G6035F4-M</v>
      </c>
      <c r="C4001" s="1" t="s">
        <v>24</v>
      </c>
      <c r="D4001" s="1" t="s">
        <v>713</v>
      </c>
      <c r="E4001" s="1" t="s">
        <v>436</v>
      </c>
      <c r="F4001" s="1" t="s">
        <v>443</v>
      </c>
      <c r="G4001" s="1" t="s">
        <v>444</v>
      </c>
      <c r="H4001" s="1">
        <v>672</v>
      </c>
      <c r="I4001" s="3">
        <v>46281</v>
      </c>
      <c r="L4001" s="31">
        <v>46281.694104861112</v>
      </c>
      <c r="M4001" s="20">
        <v>12</v>
      </c>
      <c r="N4001" s="1">
        <v>37</v>
      </c>
    </row>
    <row r="4002" spans="1:14" x14ac:dyDescent="0.25">
      <c r="A4002" t="str">
        <f t="shared" si="126"/>
        <v>U152782U152782</v>
      </c>
      <c r="B4002" t="str">
        <f t="shared" si="127"/>
        <v>U152782G6035F4-M</v>
      </c>
      <c r="C4002" s="1" t="s">
        <v>24</v>
      </c>
      <c r="D4002" s="1" t="s">
        <v>713</v>
      </c>
      <c r="E4002" s="1" t="s">
        <v>436</v>
      </c>
      <c r="F4002" s="1" t="s">
        <v>443</v>
      </c>
      <c r="G4002" s="1" t="s">
        <v>444</v>
      </c>
      <c r="H4002" s="1">
        <v>672</v>
      </c>
      <c r="I4002" s="3">
        <v>46281</v>
      </c>
      <c r="L4002" s="31">
        <v>46281.702001585647</v>
      </c>
      <c r="M4002" s="20">
        <v>12</v>
      </c>
      <c r="N4002" s="1">
        <v>9</v>
      </c>
    </row>
    <row r="4003" spans="1:14" x14ac:dyDescent="0.25">
      <c r="A4003" t="str">
        <f t="shared" si="126"/>
        <v>U152782U152782</v>
      </c>
      <c r="B4003" t="str">
        <f t="shared" si="127"/>
        <v>U152782G6035F4-M</v>
      </c>
      <c r="C4003" s="1" t="s">
        <v>24</v>
      </c>
      <c r="D4003" s="1" t="s">
        <v>713</v>
      </c>
      <c r="E4003" s="1" t="s">
        <v>436</v>
      </c>
      <c r="F4003" s="1" t="s">
        <v>443</v>
      </c>
      <c r="G4003" s="1" t="s">
        <v>444</v>
      </c>
      <c r="H4003" s="1">
        <v>672</v>
      </c>
      <c r="I4003" s="3">
        <v>46281</v>
      </c>
      <c r="L4003" s="31">
        <v>46281.722998611112</v>
      </c>
      <c r="M4003" s="20">
        <v>12</v>
      </c>
      <c r="N4003" s="1">
        <v>46</v>
      </c>
    </row>
    <row r="4004" spans="1:14" x14ac:dyDescent="0.25">
      <c r="A4004" t="str">
        <f t="shared" si="126"/>
        <v>U152782U152782</v>
      </c>
      <c r="B4004" t="str">
        <f t="shared" si="127"/>
        <v>U152782G6035F4-M</v>
      </c>
      <c r="C4004" s="1" t="s">
        <v>24</v>
      </c>
      <c r="D4004" s="1" t="s">
        <v>713</v>
      </c>
      <c r="E4004" s="1" t="s">
        <v>436</v>
      </c>
      <c r="F4004" s="1" t="s">
        <v>443</v>
      </c>
      <c r="G4004" s="1" t="s">
        <v>444</v>
      </c>
      <c r="H4004" s="1">
        <v>672</v>
      </c>
      <c r="I4004" s="3">
        <v>46281</v>
      </c>
      <c r="L4004" s="31">
        <v>46281.726404664347</v>
      </c>
      <c r="M4004" s="20">
        <v>12</v>
      </c>
      <c r="N4004" s="1">
        <v>29</v>
      </c>
    </row>
    <row r="4005" spans="1:14" x14ac:dyDescent="0.25">
      <c r="A4005" t="str">
        <f t="shared" si="126"/>
        <v>U152782U152782</v>
      </c>
      <c r="B4005" t="str">
        <f t="shared" si="127"/>
        <v>U152782G6035F4-M</v>
      </c>
      <c r="C4005" s="1" t="s">
        <v>24</v>
      </c>
      <c r="D4005" s="1" t="s">
        <v>713</v>
      </c>
      <c r="E4005" s="1" t="s">
        <v>436</v>
      </c>
      <c r="F4005" s="1" t="s">
        <v>443</v>
      </c>
      <c r="G4005" s="1" t="s">
        <v>444</v>
      </c>
      <c r="H4005" s="1">
        <v>672</v>
      </c>
      <c r="I4005" s="3">
        <v>46281</v>
      </c>
      <c r="L4005" s="31">
        <v>46281.733613854165</v>
      </c>
      <c r="M4005" s="20">
        <v>12</v>
      </c>
      <c r="N4005" s="1">
        <v>21</v>
      </c>
    </row>
    <row r="4006" spans="1:14" x14ac:dyDescent="0.25">
      <c r="A4006" t="str">
        <f t="shared" si="126"/>
        <v>U152782U152782</v>
      </c>
      <c r="B4006" t="str">
        <f t="shared" si="127"/>
        <v>U152782G6035F4-M</v>
      </c>
      <c r="C4006" s="1" t="s">
        <v>24</v>
      </c>
      <c r="D4006" s="1" t="s">
        <v>713</v>
      </c>
      <c r="E4006" s="1" t="s">
        <v>436</v>
      </c>
      <c r="F4006" s="1" t="s">
        <v>443</v>
      </c>
      <c r="G4006" s="1" t="s">
        <v>444</v>
      </c>
      <c r="H4006" s="1">
        <v>672</v>
      </c>
      <c r="I4006" s="3">
        <v>46281</v>
      </c>
      <c r="L4006" s="31">
        <v>46281.741264965276</v>
      </c>
      <c r="M4006" s="20">
        <v>12</v>
      </c>
      <c r="N4006" s="1">
        <v>43</v>
      </c>
    </row>
    <row r="4007" spans="1:14" x14ac:dyDescent="0.25">
      <c r="A4007" t="str">
        <f t="shared" si="126"/>
        <v>U152782U152782</v>
      </c>
      <c r="B4007" t="str">
        <f t="shared" si="127"/>
        <v>U152782G6035F4-W</v>
      </c>
      <c r="C4007" s="1" t="s">
        <v>39</v>
      </c>
      <c r="D4007" s="1" t="s">
        <v>713</v>
      </c>
      <c r="E4007" s="1" t="s">
        <v>436</v>
      </c>
      <c r="F4007" s="1" t="s">
        <v>443</v>
      </c>
      <c r="G4007" s="1" t="s">
        <v>444</v>
      </c>
      <c r="H4007" s="1">
        <v>114</v>
      </c>
      <c r="I4007" s="3">
        <v>46281</v>
      </c>
      <c r="L4007" s="31">
        <v>46281.742790046294</v>
      </c>
      <c r="M4007" s="20">
        <v>6</v>
      </c>
      <c r="N4007" s="1">
        <v>67</v>
      </c>
    </row>
    <row r="4008" spans="1:14" x14ac:dyDescent="0.25">
      <c r="A4008" t="str">
        <f t="shared" si="126"/>
        <v>U152782U152782</v>
      </c>
      <c r="B4008" t="str">
        <f t="shared" si="127"/>
        <v>U152782G6035F4-W</v>
      </c>
      <c r="C4008" s="1" t="s">
        <v>39</v>
      </c>
      <c r="D4008" s="1" t="s">
        <v>713</v>
      </c>
      <c r="E4008" s="1" t="s">
        <v>436</v>
      </c>
      <c r="F4008" s="1" t="s">
        <v>443</v>
      </c>
      <c r="G4008" s="1" t="s">
        <v>444</v>
      </c>
      <c r="H4008" s="1">
        <v>114</v>
      </c>
      <c r="I4008" s="3">
        <v>46281</v>
      </c>
      <c r="L4008" s="31">
        <v>46281.743648263888</v>
      </c>
      <c r="M4008" s="20">
        <v>6</v>
      </c>
      <c r="N4008" s="1">
        <v>68</v>
      </c>
    </row>
    <row r="4009" spans="1:14" x14ac:dyDescent="0.25">
      <c r="A4009" t="str">
        <f t="shared" si="126"/>
        <v>U152782U152782</v>
      </c>
      <c r="B4009" t="str">
        <f t="shared" si="127"/>
        <v>U152782G6035F4-M</v>
      </c>
      <c r="C4009" s="1" t="s">
        <v>24</v>
      </c>
      <c r="D4009" s="1" t="s">
        <v>713</v>
      </c>
      <c r="E4009" s="1" t="s">
        <v>436</v>
      </c>
      <c r="F4009" s="1" t="s">
        <v>443</v>
      </c>
      <c r="G4009" s="1" t="s">
        <v>444</v>
      </c>
      <c r="H4009" s="1">
        <v>672</v>
      </c>
      <c r="I4009" s="3">
        <v>46281</v>
      </c>
      <c r="L4009" s="31">
        <v>46281.752139467593</v>
      </c>
      <c r="M4009" s="20">
        <v>12</v>
      </c>
      <c r="N4009" s="1">
        <v>15</v>
      </c>
    </row>
    <row r="4010" spans="1:14" x14ac:dyDescent="0.25">
      <c r="A4010" t="str">
        <f t="shared" si="126"/>
        <v>U152782U152782</v>
      </c>
      <c r="B4010" t="str">
        <f t="shared" si="127"/>
        <v>U152782G6035F4-M</v>
      </c>
      <c r="C4010" s="1" t="s">
        <v>24</v>
      </c>
      <c r="D4010" s="1" t="s">
        <v>713</v>
      </c>
      <c r="E4010" s="1" t="s">
        <v>436</v>
      </c>
      <c r="F4010" s="1" t="s">
        <v>443</v>
      </c>
      <c r="G4010" s="1" t="s">
        <v>444</v>
      </c>
      <c r="H4010" s="1">
        <v>672</v>
      </c>
      <c r="I4010" s="3">
        <v>46281</v>
      </c>
      <c r="L4010" s="31">
        <v>46281.754474340276</v>
      </c>
      <c r="M4010" s="20">
        <v>12</v>
      </c>
      <c r="N4010" s="1">
        <v>19</v>
      </c>
    </row>
    <row r="4011" spans="1:14" x14ac:dyDescent="0.25">
      <c r="A4011" t="str">
        <f t="shared" si="126"/>
        <v>U152782U152782</v>
      </c>
      <c r="B4011" t="str">
        <f t="shared" si="127"/>
        <v>U152782G6035F4-M</v>
      </c>
      <c r="C4011" s="1" t="s">
        <v>24</v>
      </c>
      <c r="D4011" s="1" t="s">
        <v>713</v>
      </c>
      <c r="E4011" s="1" t="s">
        <v>436</v>
      </c>
      <c r="F4011" s="1" t="s">
        <v>443</v>
      </c>
      <c r="G4011" s="1" t="s">
        <v>444</v>
      </c>
      <c r="H4011" s="1">
        <v>672</v>
      </c>
      <c r="I4011" s="3">
        <v>46281</v>
      </c>
      <c r="L4011" s="31">
        <v>46281.754671331015</v>
      </c>
      <c r="M4011" s="20">
        <v>12</v>
      </c>
      <c r="N4011" s="1">
        <v>44</v>
      </c>
    </row>
    <row r="4012" spans="1:14" x14ac:dyDescent="0.25">
      <c r="A4012" t="str">
        <f t="shared" si="126"/>
        <v>U152782U152782</v>
      </c>
      <c r="B4012" t="str">
        <f t="shared" si="127"/>
        <v>U152782G6035F4-M</v>
      </c>
      <c r="C4012" s="1" t="s">
        <v>24</v>
      </c>
      <c r="D4012" s="1" t="s">
        <v>713</v>
      </c>
      <c r="E4012" s="1" t="s">
        <v>436</v>
      </c>
      <c r="F4012" s="1" t="s">
        <v>443</v>
      </c>
      <c r="G4012" s="1" t="s">
        <v>444</v>
      </c>
      <c r="H4012" s="1">
        <v>672</v>
      </c>
      <c r="I4012" s="3">
        <v>46281</v>
      </c>
      <c r="L4012" s="31">
        <v>46281.758676504629</v>
      </c>
      <c r="M4012" s="20">
        <v>12</v>
      </c>
      <c r="N4012" s="1">
        <v>38</v>
      </c>
    </row>
    <row r="4013" spans="1:14" x14ac:dyDescent="0.25">
      <c r="A4013" t="str">
        <f t="shared" si="126"/>
        <v>U152782U152782</v>
      </c>
      <c r="B4013" t="str">
        <f t="shared" si="127"/>
        <v>U152782G6035F4-M</v>
      </c>
      <c r="C4013" s="1" t="s">
        <v>24</v>
      </c>
      <c r="D4013" s="1" t="s">
        <v>713</v>
      </c>
      <c r="E4013" s="1" t="s">
        <v>436</v>
      </c>
      <c r="F4013" s="1" t="s">
        <v>443</v>
      </c>
      <c r="G4013" s="1" t="s">
        <v>444</v>
      </c>
      <c r="H4013" s="1">
        <v>672</v>
      </c>
      <c r="I4013" s="3">
        <v>46281</v>
      </c>
      <c r="L4013" s="31">
        <v>46281.758888460645</v>
      </c>
      <c r="M4013" s="20">
        <v>12</v>
      </c>
      <c r="N4013" s="1">
        <v>10</v>
      </c>
    </row>
    <row r="4014" spans="1:14" x14ac:dyDescent="0.25">
      <c r="A4014" t="str">
        <f t="shared" si="126"/>
        <v>U152784U152784</v>
      </c>
      <c r="B4014" t="str">
        <f t="shared" si="127"/>
        <v>U152784M515S54Y-2E</v>
      </c>
      <c r="C4014" s="1" t="s">
        <v>81</v>
      </c>
      <c r="D4014" s="1" t="s">
        <v>709</v>
      </c>
      <c r="E4014" s="1" t="s">
        <v>436</v>
      </c>
      <c r="F4014" s="1" t="s">
        <v>443</v>
      </c>
      <c r="G4014" s="1" t="s">
        <v>444</v>
      </c>
      <c r="H4014" s="1">
        <v>72</v>
      </c>
      <c r="I4014" s="3">
        <v>46281</v>
      </c>
      <c r="J4014" s="3">
        <v>46281</v>
      </c>
      <c r="K4014" s="3" t="s">
        <v>2362</v>
      </c>
      <c r="L4014" s="31">
        <v>46281.687749733792</v>
      </c>
      <c r="M4014" s="20">
        <v>12</v>
      </c>
      <c r="N4014" s="1">
        <v>12</v>
      </c>
    </row>
    <row r="4015" spans="1:14" x14ac:dyDescent="0.25">
      <c r="A4015" t="str">
        <f t="shared" si="126"/>
        <v>U152784U152784</v>
      </c>
      <c r="B4015" t="str">
        <f t="shared" si="127"/>
        <v>U152784M515S54Y-2E</v>
      </c>
      <c r="C4015" s="1" t="s">
        <v>81</v>
      </c>
      <c r="D4015" s="1" t="s">
        <v>709</v>
      </c>
      <c r="E4015" s="1" t="s">
        <v>436</v>
      </c>
      <c r="F4015" s="1" t="s">
        <v>443</v>
      </c>
      <c r="G4015" s="1" t="s">
        <v>444</v>
      </c>
      <c r="H4015" s="1">
        <v>72</v>
      </c>
      <c r="I4015" s="3">
        <v>46281</v>
      </c>
      <c r="J4015" s="3">
        <v>46281</v>
      </c>
      <c r="K4015" s="3" t="s">
        <v>2362</v>
      </c>
      <c r="L4015" s="31">
        <v>46281.703523379627</v>
      </c>
      <c r="M4015" s="20">
        <v>6</v>
      </c>
      <c r="N4015" s="1">
        <v>17</v>
      </c>
    </row>
    <row r="4016" spans="1:14" x14ac:dyDescent="0.25">
      <c r="A4016" t="str">
        <f t="shared" si="126"/>
        <v>U152784U152784</v>
      </c>
      <c r="B4016" t="str">
        <f t="shared" si="127"/>
        <v>U152784M515S54Y-2E</v>
      </c>
      <c r="C4016" s="1" t="s">
        <v>81</v>
      </c>
      <c r="D4016" s="1" t="s">
        <v>709</v>
      </c>
      <c r="E4016" s="1" t="s">
        <v>436</v>
      </c>
      <c r="F4016" s="1" t="s">
        <v>443</v>
      </c>
      <c r="G4016" s="1" t="s">
        <v>444</v>
      </c>
      <c r="H4016" s="1">
        <v>72</v>
      </c>
      <c r="I4016" s="3">
        <v>46281</v>
      </c>
      <c r="J4016" s="3">
        <v>46281</v>
      </c>
      <c r="K4016" s="3" t="s">
        <v>2362</v>
      </c>
      <c r="L4016" s="31">
        <v>46281.703815740737</v>
      </c>
      <c r="M4016" s="20">
        <v>12</v>
      </c>
      <c r="N4016" s="1">
        <v>11</v>
      </c>
    </row>
    <row r="4017" spans="1:14" x14ac:dyDescent="0.25">
      <c r="A4017" t="str">
        <f t="shared" si="126"/>
        <v>U152784U152784</v>
      </c>
      <c r="B4017" t="str">
        <f t="shared" si="127"/>
        <v>U152784M515S54Y-2E</v>
      </c>
      <c r="C4017" s="1" t="s">
        <v>81</v>
      </c>
      <c r="D4017" s="1" t="s">
        <v>709</v>
      </c>
      <c r="E4017" s="1" t="s">
        <v>436</v>
      </c>
      <c r="F4017" s="1" t="s">
        <v>443</v>
      </c>
      <c r="G4017" s="1" t="s">
        <v>444</v>
      </c>
      <c r="H4017" s="1">
        <v>72</v>
      </c>
      <c r="I4017" s="3">
        <v>46281</v>
      </c>
      <c r="J4017" s="3">
        <v>46281</v>
      </c>
      <c r="K4017" s="3" t="s">
        <v>2362</v>
      </c>
      <c r="L4017" s="31">
        <v>46281.709233333335</v>
      </c>
      <c r="M4017" s="20">
        <v>6</v>
      </c>
      <c r="N4017" s="1">
        <v>16</v>
      </c>
    </row>
    <row r="4018" spans="1:14" x14ac:dyDescent="0.25">
      <c r="A4018" t="str">
        <f t="shared" si="126"/>
        <v>U152784U152784</v>
      </c>
      <c r="B4018" t="str">
        <f t="shared" si="127"/>
        <v>U152784M515S54Y-2E</v>
      </c>
      <c r="C4018" s="1" t="s">
        <v>81</v>
      </c>
      <c r="D4018" s="1" t="s">
        <v>709</v>
      </c>
      <c r="E4018" s="1" t="s">
        <v>436</v>
      </c>
      <c r="F4018" s="1" t="s">
        <v>443</v>
      </c>
      <c r="G4018" s="1" t="s">
        <v>444</v>
      </c>
      <c r="H4018" s="1">
        <v>72</v>
      </c>
      <c r="I4018" s="3">
        <v>46281</v>
      </c>
      <c r="J4018" s="3">
        <v>46281</v>
      </c>
      <c r="K4018" s="3" t="s">
        <v>2362</v>
      </c>
      <c r="L4018" s="31">
        <v>46281.719556979166</v>
      </c>
      <c r="M4018" s="20">
        <v>12</v>
      </c>
      <c r="N4018" s="1">
        <v>14</v>
      </c>
    </row>
    <row r="4019" spans="1:14" x14ac:dyDescent="0.25">
      <c r="A4019" t="str">
        <f t="shared" si="126"/>
        <v>U152784U152784</v>
      </c>
      <c r="B4019" t="str">
        <f t="shared" si="127"/>
        <v>U152784M515S54Y-2E</v>
      </c>
      <c r="C4019" s="1" t="s">
        <v>81</v>
      </c>
      <c r="D4019" s="1" t="s">
        <v>709</v>
      </c>
      <c r="E4019" s="1" t="s">
        <v>436</v>
      </c>
      <c r="F4019" s="1" t="s">
        <v>443</v>
      </c>
      <c r="G4019" s="1" t="s">
        <v>444</v>
      </c>
      <c r="H4019" s="1">
        <v>72</v>
      </c>
      <c r="I4019" s="3">
        <v>46281</v>
      </c>
      <c r="J4019" s="3">
        <v>46281</v>
      </c>
      <c r="K4019" s="3" t="s">
        <v>2362</v>
      </c>
      <c r="L4019" s="31">
        <v>46281.727666979168</v>
      </c>
      <c r="M4019" s="20">
        <v>6</v>
      </c>
      <c r="N4019" s="1">
        <v>18</v>
      </c>
    </row>
    <row r="4020" spans="1:14" x14ac:dyDescent="0.25">
      <c r="A4020" t="str">
        <f t="shared" si="126"/>
        <v>U152784U152784</v>
      </c>
      <c r="B4020" t="str">
        <f t="shared" si="127"/>
        <v>U152784M515S54Y-2E</v>
      </c>
      <c r="C4020" s="1" t="s">
        <v>81</v>
      </c>
      <c r="D4020" s="1" t="s">
        <v>709</v>
      </c>
      <c r="E4020" s="1" t="s">
        <v>436</v>
      </c>
      <c r="F4020" s="1" t="s">
        <v>443</v>
      </c>
      <c r="G4020" s="1" t="s">
        <v>444</v>
      </c>
      <c r="H4020" s="1">
        <v>72</v>
      </c>
      <c r="I4020" s="3">
        <v>46281</v>
      </c>
      <c r="J4020" s="3">
        <v>46281</v>
      </c>
      <c r="K4020" s="3" t="s">
        <v>2362</v>
      </c>
      <c r="L4020" s="31">
        <v>46281.743083715279</v>
      </c>
      <c r="M4020" s="20">
        <v>6</v>
      </c>
      <c r="N4020" s="1">
        <v>15</v>
      </c>
    </row>
    <row r="4021" spans="1:14" x14ac:dyDescent="0.25">
      <c r="A4021" t="str">
        <f t="shared" si="126"/>
        <v>U152784U152784</v>
      </c>
      <c r="B4021" t="str">
        <f t="shared" si="127"/>
        <v>U152784M515S54Y-2E</v>
      </c>
      <c r="C4021" s="1" t="s">
        <v>81</v>
      </c>
      <c r="D4021" s="1" t="s">
        <v>709</v>
      </c>
      <c r="E4021" s="1" t="s">
        <v>436</v>
      </c>
      <c r="F4021" s="1" t="s">
        <v>443</v>
      </c>
      <c r="G4021" s="1" t="s">
        <v>444</v>
      </c>
      <c r="H4021" s="1">
        <v>72</v>
      </c>
      <c r="I4021" s="3">
        <v>46281</v>
      </c>
      <c r="J4021" s="3">
        <v>46281</v>
      </c>
      <c r="K4021" s="3" t="s">
        <v>2362</v>
      </c>
      <c r="L4021" s="31">
        <v>46281.752984525461</v>
      </c>
      <c r="M4021" s="20">
        <v>12</v>
      </c>
      <c r="N4021" s="1">
        <v>13</v>
      </c>
    </row>
    <row r="4022" spans="1:14" x14ac:dyDescent="0.25">
      <c r="A4022" t="str">
        <f t="shared" si="126"/>
        <v>U152787U152787</v>
      </c>
      <c r="B4022" t="str">
        <f t="shared" si="127"/>
        <v>U152787P60394T-W</v>
      </c>
      <c r="C4022" s="1" t="s">
        <v>54</v>
      </c>
      <c r="D4022" s="1" t="s">
        <v>671</v>
      </c>
      <c r="E4022" s="1" t="s">
        <v>436</v>
      </c>
      <c r="F4022" s="1" t="s">
        <v>443</v>
      </c>
      <c r="G4022" s="1" t="s">
        <v>444</v>
      </c>
      <c r="H4022" s="1">
        <v>150</v>
      </c>
      <c r="I4022" s="3">
        <v>46281</v>
      </c>
      <c r="J4022" s="3">
        <v>46281</v>
      </c>
      <c r="L4022" s="31">
        <v>46281.391118287036</v>
      </c>
      <c r="M4022" s="20">
        <v>12</v>
      </c>
      <c r="N4022" s="1">
        <v>50</v>
      </c>
    </row>
    <row r="4023" spans="1:14" x14ac:dyDescent="0.25">
      <c r="A4023" t="str">
        <f t="shared" si="126"/>
        <v>U152787U152787</v>
      </c>
      <c r="B4023" t="str">
        <f t="shared" si="127"/>
        <v>U152787P60394T-W</v>
      </c>
      <c r="C4023" s="1" t="s">
        <v>54</v>
      </c>
      <c r="D4023" s="1" t="s">
        <v>671</v>
      </c>
      <c r="E4023" s="1" t="s">
        <v>436</v>
      </c>
      <c r="F4023" s="1" t="s">
        <v>443</v>
      </c>
      <c r="G4023" s="1" t="s">
        <v>444</v>
      </c>
      <c r="H4023" s="1">
        <v>150</v>
      </c>
      <c r="I4023" s="3">
        <v>46281</v>
      </c>
      <c r="J4023" s="3">
        <v>46281</v>
      </c>
      <c r="L4023" s="31">
        <v>46281.398000578702</v>
      </c>
      <c r="M4023" s="20">
        <v>12</v>
      </c>
      <c r="N4023" s="1">
        <v>42</v>
      </c>
    </row>
    <row r="4024" spans="1:14" x14ac:dyDescent="0.25">
      <c r="A4024" t="str">
        <f t="shared" si="126"/>
        <v>U152787U152787</v>
      </c>
      <c r="B4024" t="str">
        <f t="shared" si="127"/>
        <v>U152787P60394T-W</v>
      </c>
      <c r="C4024" s="1" t="s">
        <v>54</v>
      </c>
      <c r="D4024" s="1" t="s">
        <v>671</v>
      </c>
      <c r="E4024" s="1" t="s">
        <v>436</v>
      </c>
      <c r="F4024" s="1" t="s">
        <v>443</v>
      </c>
      <c r="G4024" s="1" t="s">
        <v>444</v>
      </c>
      <c r="H4024" s="1">
        <v>150</v>
      </c>
      <c r="I4024" s="3">
        <v>46281</v>
      </c>
      <c r="J4024" s="3">
        <v>46281</v>
      </c>
      <c r="L4024" s="31">
        <v>46281.407834490739</v>
      </c>
      <c r="M4024" s="20">
        <v>12</v>
      </c>
      <c r="N4024" s="1">
        <v>45</v>
      </c>
    </row>
    <row r="4025" spans="1:14" x14ac:dyDescent="0.25">
      <c r="A4025" t="str">
        <f t="shared" si="126"/>
        <v>U152787U152787</v>
      </c>
      <c r="B4025" t="str">
        <f t="shared" si="127"/>
        <v>U152787P60394T-W</v>
      </c>
      <c r="C4025" s="1" t="s">
        <v>54</v>
      </c>
      <c r="D4025" s="1" t="s">
        <v>671</v>
      </c>
      <c r="E4025" s="1" t="s">
        <v>436</v>
      </c>
      <c r="F4025" s="1" t="s">
        <v>443</v>
      </c>
      <c r="G4025" s="1" t="s">
        <v>444</v>
      </c>
      <c r="H4025" s="1">
        <v>150</v>
      </c>
      <c r="I4025" s="3">
        <v>46281</v>
      </c>
      <c r="J4025" s="3">
        <v>46281</v>
      </c>
      <c r="L4025" s="31">
        <v>46281.408045405093</v>
      </c>
      <c r="M4025" s="20">
        <v>12</v>
      </c>
      <c r="N4025" s="1">
        <v>47</v>
      </c>
    </row>
    <row r="4026" spans="1:14" x14ac:dyDescent="0.25">
      <c r="A4026" t="str">
        <f t="shared" si="126"/>
        <v>U152787U152787</v>
      </c>
      <c r="B4026" t="str">
        <f t="shared" si="127"/>
        <v>U152787P60394T-W</v>
      </c>
      <c r="C4026" s="1" t="s">
        <v>54</v>
      </c>
      <c r="D4026" s="1" t="s">
        <v>671</v>
      </c>
      <c r="E4026" s="1" t="s">
        <v>436</v>
      </c>
      <c r="F4026" s="1" t="s">
        <v>443</v>
      </c>
      <c r="G4026" s="1" t="s">
        <v>444</v>
      </c>
      <c r="H4026" s="1">
        <v>150</v>
      </c>
      <c r="I4026" s="3">
        <v>46281</v>
      </c>
      <c r="J4026" s="3">
        <v>46281</v>
      </c>
      <c r="L4026" s="31">
        <v>46281.433288275461</v>
      </c>
      <c r="M4026" s="20">
        <v>6</v>
      </c>
      <c r="N4026" s="1">
        <v>53</v>
      </c>
    </row>
    <row r="4027" spans="1:14" x14ac:dyDescent="0.25">
      <c r="A4027" t="str">
        <f t="shared" si="126"/>
        <v>U152787U152787</v>
      </c>
      <c r="B4027" t="str">
        <f t="shared" si="127"/>
        <v>U152787P60394T-W</v>
      </c>
      <c r="C4027" s="1" t="s">
        <v>54</v>
      </c>
      <c r="D4027" s="1" t="s">
        <v>671</v>
      </c>
      <c r="E4027" s="1" t="s">
        <v>436</v>
      </c>
      <c r="F4027" s="1" t="s">
        <v>443</v>
      </c>
      <c r="G4027" s="1" t="s">
        <v>444</v>
      </c>
      <c r="H4027" s="1">
        <v>150</v>
      </c>
      <c r="I4027" s="3">
        <v>46281</v>
      </c>
      <c r="J4027" s="3">
        <v>46281</v>
      </c>
      <c r="L4027" s="31">
        <v>46281.433978321758</v>
      </c>
      <c r="M4027" s="20">
        <v>6</v>
      </c>
      <c r="N4027" s="1">
        <v>54</v>
      </c>
    </row>
    <row r="4028" spans="1:14" x14ac:dyDescent="0.25">
      <c r="A4028" t="str">
        <f t="shared" si="126"/>
        <v>U152787U152787</v>
      </c>
      <c r="B4028" t="str">
        <f t="shared" si="127"/>
        <v>U152787P60394T-W</v>
      </c>
      <c r="C4028" s="1" t="s">
        <v>54</v>
      </c>
      <c r="D4028" s="1" t="s">
        <v>671</v>
      </c>
      <c r="E4028" s="1" t="s">
        <v>436</v>
      </c>
      <c r="F4028" s="1" t="s">
        <v>443</v>
      </c>
      <c r="G4028" s="1" t="s">
        <v>444</v>
      </c>
      <c r="H4028" s="1">
        <v>150</v>
      </c>
      <c r="I4028" s="3">
        <v>46281</v>
      </c>
      <c r="J4028" s="3">
        <v>46281</v>
      </c>
      <c r="L4028" s="31">
        <v>46281.434316319443</v>
      </c>
      <c r="M4028" s="20">
        <v>6</v>
      </c>
      <c r="N4028" s="1">
        <v>52</v>
      </c>
    </row>
    <row r="4029" spans="1:14" x14ac:dyDescent="0.25">
      <c r="A4029" t="str">
        <f t="shared" si="126"/>
        <v>U152787U152787</v>
      </c>
      <c r="B4029" t="str">
        <f t="shared" si="127"/>
        <v>U152787P60394T-W</v>
      </c>
      <c r="C4029" s="1" t="s">
        <v>54</v>
      </c>
      <c r="D4029" s="1" t="s">
        <v>671</v>
      </c>
      <c r="E4029" s="1" t="s">
        <v>436</v>
      </c>
      <c r="F4029" s="1" t="s">
        <v>443</v>
      </c>
      <c r="G4029" s="1" t="s">
        <v>444</v>
      </c>
      <c r="H4029" s="1">
        <v>150</v>
      </c>
      <c r="I4029" s="3">
        <v>46281</v>
      </c>
      <c r="J4029" s="3">
        <v>46281</v>
      </c>
      <c r="L4029" s="31">
        <v>46281.435719675923</v>
      </c>
      <c r="M4029" s="20">
        <v>12</v>
      </c>
      <c r="N4029" s="1">
        <v>48</v>
      </c>
    </row>
    <row r="4030" spans="1:14" x14ac:dyDescent="0.25">
      <c r="A4030" t="str">
        <f t="shared" si="126"/>
        <v>U152787U152787</v>
      </c>
      <c r="B4030" t="str">
        <f t="shared" si="127"/>
        <v>U152787P60394T-W</v>
      </c>
      <c r="C4030" s="1" t="s">
        <v>54</v>
      </c>
      <c r="D4030" s="1" t="s">
        <v>671</v>
      </c>
      <c r="E4030" s="1" t="s">
        <v>436</v>
      </c>
      <c r="F4030" s="1" t="s">
        <v>443</v>
      </c>
      <c r="G4030" s="1" t="s">
        <v>444</v>
      </c>
      <c r="H4030" s="1">
        <v>150</v>
      </c>
      <c r="I4030" s="3">
        <v>46281</v>
      </c>
      <c r="J4030" s="3">
        <v>46281</v>
      </c>
      <c r="L4030" s="31">
        <v>46281.447157870367</v>
      </c>
      <c r="M4030" s="20">
        <v>12</v>
      </c>
      <c r="N4030" s="1">
        <v>49</v>
      </c>
    </row>
    <row r="4031" spans="1:14" x14ac:dyDescent="0.25">
      <c r="A4031" t="str">
        <f t="shared" si="126"/>
        <v>U152787U152787</v>
      </c>
      <c r="B4031" t="str">
        <f t="shared" si="127"/>
        <v>U152787P60394T-W</v>
      </c>
      <c r="C4031" s="1" t="s">
        <v>54</v>
      </c>
      <c r="D4031" s="1" t="s">
        <v>671</v>
      </c>
      <c r="E4031" s="1" t="s">
        <v>436</v>
      </c>
      <c r="F4031" s="1" t="s">
        <v>443</v>
      </c>
      <c r="G4031" s="1" t="s">
        <v>444</v>
      </c>
      <c r="H4031" s="1">
        <v>150</v>
      </c>
      <c r="I4031" s="3">
        <v>46281</v>
      </c>
      <c r="J4031" s="3">
        <v>46281</v>
      </c>
      <c r="L4031" s="31">
        <v>46281.449688229164</v>
      </c>
      <c r="M4031" s="20">
        <v>12</v>
      </c>
      <c r="N4031" s="1">
        <v>44</v>
      </c>
    </row>
    <row r="4032" spans="1:14" x14ac:dyDescent="0.25">
      <c r="A4032" t="str">
        <f t="shared" si="126"/>
        <v>U152787U152787</v>
      </c>
      <c r="B4032" t="str">
        <f t="shared" si="127"/>
        <v>U152787P60394T-W</v>
      </c>
      <c r="C4032" s="1" t="s">
        <v>54</v>
      </c>
      <c r="D4032" s="1" t="s">
        <v>671</v>
      </c>
      <c r="E4032" s="1" t="s">
        <v>436</v>
      </c>
      <c r="F4032" s="1" t="s">
        <v>443</v>
      </c>
      <c r="G4032" s="1" t="s">
        <v>444</v>
      </c>
      <c r="H4032" s="1">
        <v>150</v>
      </c>
      <c r="I4032" s="3">
        <v>46281</v>
      </c>
      <c r="J4032" s="3">
        <v>46281</v>
      </c>
      <c r="L4032" s="31">
        <v>46281.450835763884</v>
      </c>
      <c r="M4032" s="20">
        <v>12</v>
      </c>
      <c r="N4032" s="1">
        <v>43</v>
      </c>
    </row>
    <row r="4033" spans="1:14" x14ac:dyDescent="0.25">
      <c r="A4033" t="str">
        <f t="shared" si="126"/>
        <v>U152787U152787</v>
      </c>
      <c r="B4033" t="str">
        <f t="shared" si="127"/>
        <v>U152787P60394T-W</v>
      </c>
      <c r="C4033" s="1" t="s">
        <v>54</v>
      </c>
      <c r="D4033" s="1" t="s">
        <v>671</v>
      </c>
      <c r="E4033" s="1" t="s">
        <v>436</v>
      </c>
      <c r="F4033" s="1" t="s">
        <v>443</v>
      </c>
      <c r="G4033" s="1" t="s">
        <v>444</v>
      </c>
      <c r="H4033" s="1">
        <v>150</v>
      </c>
      <c r="I4033" s="3">
        <v>46281</v>
      </c>
      <c r="J4033" s="3">
        <v>46281</v>
      </c>
      <c r="L4033" s="31">
        <v>46281.451169363427</v>
      </c>
      <c r="M4033" s="20">
        <v>12</v>
      </c>
      <c r="N4033" s="1">
        <v>46</v>
      </c>
    </row>
    <row r="4034" spans="1:14" x14ac:dyDescent="0.25">
      <c r="A4034" t="str">
        <f t="shared" ref="A4034:A4097" si="128">+D4034&amp;D4034</f>
        <v>U152787U152787</v>
      </c>
      <c r="B4034" t="str">
        <f t="shared" ref="B4034:B4097" si="129">+D4034&amp;C4034</f>
        <v>U152787P60394T-W</v>
      </c>
      <c r="C4034" s="1" t="s">
        <v>54</v>
      </c>
      <c r="D4034" s="1" t="s">
        <v>671</v>
      </c>
      <c r="E4034" s="1" t="s">
        <v>436</v>
      </c>
      <c r="F4034" s="1" t="s">
        <v>443</v>
      </c>
      <c r="G4034" s="1" t="s">
        <v>444</v>
      </c>
      <c r="H4034" s="1">
        <v>150</v>
      </c>
      <c r="I4034" s="3">
        <v>46281</v>
      </c>
      <c r="J4034" s="3">
        <v>46281</v>
      </c>
      <c r="L4034" s="31">
        <v>46281.560673263884</v>
      </c>
      <c r="M4034" s="20">
        <v>12</v>
      </c>
      <c r="N4034" s="1">
        <v>51</v>
      </c>
    </row>
    <row r="4035" spans="1:14" x14ac:dyDescent="0.25">
      <c r="A4035" t="str">
        <f t="shared" si="128"/>
        <v>U152787U152787</v>
      </c>
      <c r="B4035" t="str">
        <f t="shared" si="129"/>
        <v>U152787P60394T-W</v>
      </c>
      <c r="C4035" s="1" t="s">
        <v>54</v>
      </c>
      <c r="D4035" s="1" t="s">
        <v>671</v>
      </c>
      <c r="E4035" s="1" t="s">
        <v>436</v>
      </c>
      <c r="F4035" s="1" t="s">
        <v>443</v>
      </c>
      <c r="G4035" s="1" t="s">
        <v>444</v>
      </c>
      <c r="H4035" s="1">
        <v>150</v>
      </c>
      <c r="I4035" s="3">
        <v>46281</v>
      </c>
      <c r="J4035" s="3">
        <v>46281</v>
      </c>
      <c r="L4035" s="31">
        <v>46281.623288460643</v>
      </c>
      <c r="M4035" s="20">
        <v>6</v>
      </c>
      <c r="N4035" s="1">
        <v>56</v>
      </c>
    </row>
    <row r="4036" spans="1:14" x14ac:dyDescent="0.25">
      <c r="A4036" t="str">
        <f t="shared" si="128"/>
        <v>U152787U152787</v>
      </c>
      <c r="B4036" t="str">
        <f t="shared" si="129"/>
        <v>U152787P60394T-W</v>
      </c>
      <c r="C4036" s="1" t="s">
        <v>54</v>
      </c>
      <c r="D4036" s="1" t="s">
        <v>671</v>
      </c>
      <c r="E4036" s="1" t="s">
        <v>436</v>
      </c>
      <c r="F4036" s="1" t="s">
        <v>443</v>
      </c>
      <c r="G4036" s="1" t="s">
        <v>444</v>
      </c>
      <c r="H4036" s="1">
        <v>150</v>
      </c>
      <c r="I4036" s="3">
        <v>46281</v>
      </c>
      <c r="J4036" s="3">
        <v>46281</v>
      </c>
      <c r="L4036" s="31">
        <v>46281.635628587959</v>
      </c>
      <c r="M4036" s="20">
        <v>6</v>
      </c>
      <c r="N4036" s="1">
        <v>55</v>
      </c>
    </row>
    <row r="4037" spans="1:14" x14ac:dyDescent="0.25">
      <c r="A4037" t="str">
        <f t="shared" si="128"/>
        <v>U152795U152795</v>
      </c>
      <c r="B4037" t="str">
        <f t="shared" si="129"/>
        <v>U152795G6037VE-W</v>
      </c>
      <c r="C4037" s="1" t="s">
        <v>47</v>
      </c>
      <c r="D4037" s="1" t="s">
        <v>710</v>
      </c>
      <c r="E4037" s="1" t="s">
        <v>436</v>
      </c>
      <c r="F4037" s="1" t="s">
        <v>443</v>
      </c>
      <c r="G4037" s="1" t="s">
        <v>444</v>
      </c>
      <c r="H4037" s="1">
        <v>102</v>
      </c>
      <c r="I4037" s="3">
        <v>46281</v>
      </c>
      <c r="L4037" s="31">
        <v>46281.742089236111</v>
      </c>
      <c r="M4037" s="20">
        <v>6</v>
      </c>
      <c r="N4037" s="1">
        <v>62</v>
      </c>
    </row>
    <row r="4038" spans="1:14" x14ac:dyDescent="0.25">
      <c r="A4038" t="str">
        <f t="shared" si="128"/>
        <v>U152795U152795</v>
      </c>
      <c r="B4038" t="str">
        <f t="shared" si="129"/>
        <v>U152795G6037VE-W</v>
      </c>
      <c r="C4038" s="1" t="s">
        <v>47</v>
      </c>
      <c r="D4038" s="1" t="s">
        <v>710</v>
      </c>
      <c r="E4038" s="1" t="s">
        <v>436</v>
      </c>
      <c r="F4038" s="1" t="s">
        <v>443</v>
      </c>
      <c r="G4038" s="1" t="s">
        <v>444</v>
      </c>
      <c r="H4038" s="1">
        <v>102</v>
      </c>
      <c r="I4038" s="3">
        <v>46281</v>
      </c>
      <c r="L4038" s="31">
        <v>46281.757644872683</v>
      </c>
      <c r="M4038" s="20">
        <v>6</v>
      </c>
      <c r="N4038" s="1">
        <v>63</v>
      </c>
    </row>
    <row r="4039" spans="1:14" x14ac:dyDescent="0.25">
      <c r="A4039" t="str">
        <f t="shared" si="128"/>
        <v>U152796U152796</v>
      </c>
      <c r="B4039" t="str">
        <f t="shared" si="129"/>
        <v>U152796P6036SS-M</v>
      </c>
      <c r="C4039" s="1" t="s">
        <v>52</v>
      </c>
      <c r="D4039" s="1" t="s">
        <v>730</v>
      </c>
      <c r="E4039" s="1" t="s">
        <v>436</v>
      </c>
      <c r="F4039" s="1" t="s">
        <v>443</v>
      </c>
      <c r="G4039" s="1" t="s">
        <v>444</v>
      </c>
      <c r="H4039" s="1">
        <v>204</v>
      </c>
      <c r="I4039" s="3">
        <v>46281</v>
      </c>
      <c r="J4039" s="3">
        <v>46287</v>
      </c>
      <c r="L4039" s="31">
        <v>46281.695318634258</v>
      </c>
      <c r="M4039" s="20">
        <v>12</v>
      </c>
      <c r="N4039" s="1">
        <v>9</v>
      </c>
    </row>
    <row r="4040" spans="1:14" x14ac:dyDescent="0.25">
      <c r="A4040" t="str">
        <f t="shared" si="128"/>
        <v>U152796U152796</v>
      </c>
      <c r="B4040" t="str">
        <f t="shared" si="129"/>
        <v>U152796P6036SS-M</v>
      </c>
      <c r="C4040" s="1" t="s">
        <v>52</v>
      </c>
      <c r="D4040" s="1" t="s">
        <v>730</v>
      </c>
      <c r="E4040" s="1" t="s">
        <v>436</v>
      </c>
      <c r="F4040" s="1" t="s">
        <v>443</v>
      </c>
      <c r="G4040" s="1" t="s">
        <v>444</v>
      </c>
      <c r="H4040" s="1">
        <v>204</v>
      </c>
      <c r="I4040" s="3">
        <v>46281</v>
      </c>
      <c r="J4040" s="3">
        <v>46287</v>
      </c>
      <c r="L4040" s="31">
        <v>46281.695820520828</v>
      </c>
      <c r="M4040" s="20">
        <v>12</v>
      </c>
      <c r="N4040" s="1">
        <v>7</v>
      </c>
    </row>
    <row r="4041" spans="1:14" x14ac:dyDescent="0.25">
      <c r="A4041" t="str">
        <f t="shared" si="128"/>
        <v>U152797U152797</v>
      </c>
      <c r="B4041" t="str">
        <f t="shared" si="129"/>
        <v>U152797P6033JZ-W</v>
      </c>
      <c r="C4041" s="1" t="s">
        <v>720</v>
      </c>
      <c r="D4041" s="1" t="s">
        <v>721</v>
      </c>
      <c r="E4041" s="1" t="s">
        <v>436</v>
      </c>
      <c r="F4041" s="1" t="s">
        <v>443</v>
      </c>
      <c r="G4041" s="1" t="s">
        <v>457</v>
      </c>
      <c r="H4041" s="1">
        <v>66</v>
      </c>
      <c r="I4041" s="3">
        <v>46281</v>
      </c>
      <c r="J4041" s="3">
        <v>46281</v>
      </c>
      <c r="K4041" s="3" t="s">
        <v>2362</v>
      </c>
      <c r="L4041" s="31">
        <v>46281.589822222217</v>
      </c>
      <c r="M4041" s="20">
        <v>12</v>
      </c>
      <c r="N4041" s="1">
        <v>18</v>
      </c>
    </row>
    <row r="4042" spans="1:14" x14ac:dyDescent="0.25">
      <c r="A4042" t="str">
        <f t="shared" si="128"/>
        <v>U152797U152797</v>
      </c>
      <c r="B4042" t="str">
        <f t="shared" si="129"/>
        <v>U152797P6033JZ-W</v>
      </c>
      <c r="C4042" s="1" t="s">
        <v>720</v>
      </c>
      <c r="D4042" s="1" t="s">
        <v>721</v>
      </c>
      <c r="E4042" s="1" t="s">
        <v>436</v>
      </c>
      <c r="F4042" s="1" t="s">
        <v>443</v>
      </c>
      <c r="G4042" s="1" t="s">
        <v>457</v>
      </c>
      <c r="H4042" s="1">
        <v>66</v>
      </c>
      <c r="I4042" s="3">
        <v>46281</v>
      </c>
      <c r="J4042" s="3">
        <v>46281</v>
      </c>
      <c r="K4042" s="3" t="s">
        <v>2362</v>
      </c>
      <c r="L4042" s="31">
        <v>46281.596386030091</v>
      </c>
      <c r="M4042" s="20">
        <v>6</v>
      </c>
      <c r="N4042" s="1">
        <v>23</v>
      </c>
    </row>
    <row r="4043" spans="1:14" x14ac:dyDescent="0.25">
      <c r="A4043" t="str">
        <f t="shared" si="128"/>
        <v>U152797U152797</v>
      </c>
      <c r="B4043" t="str">
        <f t="shared" si="129"/>
        <v>U152797P6033JZ-M</v>
      </c>
      <c r="C4043" s="1" t="s">
        <v>585</v>
      </c>
      <c r="D4043" s="1" t="s">
        <v>721</v>
      </c>
      <c r="E4043" s="1" t="s">
        <v>436</v>
      </c>
      <c r="F4043" s="1" t="s">
        <v>443</v>
      </c>
      <c r="G4043" s="1" t="s">
        <v>457</v>
      </c>
      <c r="H4043" s="1">
        <v>156</v>
      </c>
      <c r="I4043" s="3">
        <v>46281</v>
      </c>
      <c r="J4043" s="3">
        <v>46283</v>
      </c>
      <c r="K4043" s="3" t="s">
        <v>2362</v>
      </c>
      <c r="L4043" s="31">
        <v>46281.613240590275</v>
      </c>
      <c r="M4043" s="20">
        <v>12</v>
      </c>
      <c r="N4043" s="1">
        <v>3</v>
      </c>
    </row>
    <row r="4044" spans="1:14" x14ac:dyDescent="0.25">
      <c r="A4044" t="str">
        <f t="shared" si="128"/>
        <v>U152797U152797</v>
      </c>
      <c r="B4044" t="str">
        <f t="shared" si="129"/>
        <v>U152797P6033JZ-W</v>
      </c>
      <c r="C4044" s="1" t="s">
        <v>720</v>
      </c>
      <c r="D4044" s="1" t="s">
        <v>721</v>
      </c>
      <c r="E4044" s="1" t="s">
        <v>436</v>
      </c>
      <c r="F4044" s="1" t="s">
        <v>443</v>
      </c>
      <c r="G4044" s="1" t="s">
        <v>457</v>
      </c>
      <c r="H4044" s="1">
        <v>66</v>
      </c>
      <c r="I4044" s="3">
        <v>46281</v>
      </c>
      <c r="J4044" s="3">
        <v>46281</v>
      </c>
      <c r="K4044" s="3" t="s">
        <v>2362</v>
      </c>
      <c r="L4044" s="31">
        <v>46281.613586770829</v>
      </c>
      <c r="M4044" s="20">
        <v>12</v>
      </c>
      <c r="N4044" s="1">
        <v>21</v>
      </c>
    </row>
    <row r="4045" spans="1:14" x14ac:dyDescent="0.25">
      <c r="A4045" t="str">
        <f t="shared" si="128"/>
        <v>U152797U152797</v>
      </c>
      <c r="B4045" t="str">
        <f t="shared" si="129"/>
        <v>U152797P6033JZ-W</v>
      </c>
      <c r="C4045" s="1" t="s">
        <v>720</v>
      </c>
      <c r="D4045" s="1" t="s">
        <v>721</v>
      </c>
      <c r="E4045" s="1" t="s">
        <v>436</v>
      </c>
      <c r="F4045" s="1" t="s">
        <v>443</v>
      </c>
      <c r="G4045" s="1" t="s">
        <v>457</v>
      </c>
      <c r="H4045" s="1">
        <v>66</v>
      </c>
      <c r="I4045" s="3">
        <v>46281</v>
      </c>
      <c r="J4045" s="3">
        <v>46281</v>
      </c>
      <c r="K4045" s="3" t="s">
        <v>2362</v>
      </c>
      <c r="L4045" s="31">
        <v>46281.62476446759</v>
      </c>
      <c r="M4045" s="20">
        <v>12</v>
      </c>
      <c r="N4045" s="1">
        <v>20</v>
      </c>
    </row>
    <row r="4046" spans="1:14" x14ac:dyDescent="0.25">
      <c r="A4046" t="str">
        <f t="shared" si="128"/>
        <v>U152797U152797</v>
      </c>
      <c r="B4046" t="str">
        <f t="shared" si="129"/>
        <v>U152797P6033JZ-M</v>
      </c>
      <c r="C4046" s="1" t="s">
        <v>585</v>
      </c>
      <c r="D4046" s="1" t="s">
        <v>721</v>
      </c>
      <c r="E4046" s="1" t="s">
        <v>436</v>
      </c>
      <c r="F4046" s="1" t="s">
        <v>443</v>
      </c>
      <c r="G4046" s="1" t="s">
        <v>457</v>
      </c>
      <c r="H4046" s="1">
        <v>156</v>
      </c>
      <c r="I4046" s="3">
        <v>46281</v>
      </c>
      <c r="J4046" s="3">
        <v>46283</v>
      </c>
      <c r="K4046" s="3" t="s">
        <v>2362</v>
      </c>
      <c r="L4046" s="31">
        <v>46281.627668437497</v>
      </c>
      <c r="M4046" s="20">
        <v>6</v>
      </c>
      <c r="N4046" s="1">
        <v>11</v>
      </c>
    </row>
    <row r="4047" spans="1:14" x14ac:dyDescent="0.25">
      <c r="A4047" t="str">
        <f t="shared" si="128"/>
        <v>U152797U152797</v>
      </c>
      <c r="B4047" t="str">
        <f t="shared" si="129"/>
        <v>U152797P6033JZ-M</v>
      </c>
      <c r="C4047" s="1" t="s">
        <v>585</v>
      </c>
      <c r="D4047" s="1" t="s">
        <v>721</v>
      </c>
      <c r="E4047" s="1" t="s">
        <v>436</v>
      </c>
      <c r="F4047" s="1" t="s">
        <v>443</v>
      </c>
      <c r="G4047" s="1" t="s">
        <v>457</v>
      </c>
      <c r="H4047" s="1">
        <v>156</v>
      </c>
      <c r="I4047" s="3">
        <v>46281</v>
      </c>
      <c r="J4047" s="3">
        <v>46283</v>
      </c>
      <c r="K4047" s="3" t="s">
        <v>2362</v>
      </c>
      <c r="L4047" s="31">
        <v>46281.628054363428</v>
      </c>
      <c r="M4047" s="20">
        <v>6</v>
      </c>
      <c r="N4047" s="1">
        <v>15</v>
      </c>
    </row>
    <row r="4048" spans="1:14" x14ac:dyDescent="0.25">
      <c r="A4048" t="str">
        <f t="shared" si="128"/>
        <v>U152797U152797</v>
      </c>
      <c r="B4048" t="str">
        <f t="shared" si="129"/>
        <v>U152797P6033JZ-W</v>
      </c>
      <c r="C4048" s="1" t="s">
        <v>720</v>
      </c>
      <c r="D4048" s="1" t="s">
        <v>721</v>
      </c>
      <c r="E4048" s="1" t="s">
        <v>436</v>
      </c>
      <c r="F4048" s="1" t="s">
        <v>443</v>
      </c>
      <c r="G4048" s="1" t="s">
        <v>457</v>
      </c>
      <c r="H4048" s="1">
        <v>66</v>
      </c>
      <c r="I4048" s="3">
        <v>46281</v>
      </c>
      <c r="J4048" s="3">
        <v>46281</v>
      </c>
      <c r="K4048" s="3" t="s">
        <v>2362</v>
      </c>
      <c r="L4048" s="31">
        <v>46281.636259525461</v>
      </c>
      <c r="M4048" s="20">
        <v>12</v>
      </c>
      <c r="N4048" s="1">
        <v>19</v>
      </c>
    </row>
    <row r="4049" spans="1:14" x14ac:dyDescent="0.25">
      <c r="A4049" t="str">
        <f t="shared" si="128"/>
        <v>U152797U152797</v>
      </c>
      <c r="B4049" t="str">
        <f t="shared" si="129"/>
        <v>U152797P6033JZ-M</v>
      </c>
      <c r="C4049" s="1" t="s">
        <v>585</v>
      </c>
      <c r="D4049" s="1" t="s">
        <v>721</v>
      </c>
      <c r="E4049" s="1" t="s">
        <v>436</v>
      </c>
      <c r="F4049" s="1" t="s">
        <v>443</v>
      </c>
      <c r="G4049" s="1" t="s">
        <v>457</v>
      </c>
      <c r="H4049" s="1">
        <v>156</v>
      </c>
      <c r="I4049" s="3">
        <v>46281</v>
      </c>
      <c r="J4049" s="3">
        <v>46283</v>
      </c>
      <c r="K4049" s="3" t="s">
        <v>2362</v>
      </c>
      <c r="L4049" s="31">
        <v>46281.636591435185</v>
      </c>
      <c r="M4049" s="20">
        <v>12</v>
      </c>
      <c r="N4049" s="1">
        <v>7</v>
      </c>
    </row>
    <row r="4050" spans="1:14" x14ac:dyDescent="0.25">
      <c r="A4050" t="str">
        <f t="shared" si="128"/>
        <v>U152797U152797</v>
      </c>
      <c r="B4050" t="str">
        <f t="shared" si="129"/>
        <v>U152797P6033JZ-M</v>
      </c>
      <c r="C4050" s="1" t="s">
        <v>585</v>
      </c>
      <c r="D4050" s="1" t="s">
        <v>721</v>
      </c>
      <c r="E4050" s="1" t="s">
        <v>436</v>
      </c>
      <c r="F4050" s="1" t="s">
        <v>443</v>
      </c>
      <c r="G4050" s="1" t="s">
        <v>457</v>
      </c>
      <c r="H4050" s="1">
        <v>156</v>
      </c>
      <c r="I4050" s="3">
        <v>46281</v>
      </c>
      <c r="J4050" s="3">
        <v>46283</v>
      </c>
      <c r="K4050" s="3" t="s">
        <v>2362</v>
      </c>
      <c r="L4050" s="31">
        <v>46281.659314502314</v>
      </c>
      <c r="M4050" s="20">
        <v>12</v>
      </c>
      <c r="N4050" s="1">
        <v>9</v>
      </c>
    </row>
    <row r="4051" spans="1:14" x14ac:dyDescent="0.25">
      <c r="A4051" t="str">
        <f t="shared" si="128"/>
        <v>U152797U152797</v>
      </c>
      <c r="B4051" t="str">
        <f t="shared" si="129"/>
        <v>U152797P6033JZ-M</v>
      </c>
      <c r="C4051" s="1" t="s">
        <v>585</v>
      </c>
      <c r="D4051" s="1" t="s">
        <v>721</v>
      </c>
      <c r="E4051" s="1" t="s">
        <v>436</v>
      </c>
      <c r="F4051" s="1" t="s">
        <v>443</v>
      </c>
      <c r="G4051" s="1" t="s">
        <v>457</v>
      </c>
      <c r="H4051" s="1">
        <v>156</v>
      </c>
      <c r="I4051" s="3">
        <v>46281</v>
      </c>
      <c r="J4051" s="3">
        <v>46283</v>
      </c>
      <c r="K4051" s="3" t="s">
        <v>2362</v>
      </c>
      <c r="L4051" s="31">
        <v>46281.676850150463</v>
      </c>
      <c r="M4051" s="20">
        <v>6</v>
      </c>
      <c r="N4051" s="1">
        <v>17</v>
      </c>
    </row>
    <row r="4052" spans="1:14" x14ac:dyDescent="0.25">
      <c r="A4052" t="str">
        <f t="shared" si="128"/>
        <v>U152797U152797</v>
      </c>
      <c r="B4052" t="str">
        <f t="shared" si="129"/>
        <v>U152797P6033JZ-M</v>
      </c>
      <c r="C4052" s="1" t="s">
        <v>585</v>
      </c>
      <c r="D4052" s="1" t="s">
        <v>721</v>
      </c>
      <c r="E4052" s="1" t="s">
        <v>436</v>
      </c>
      <c r="F4052" s="1" t="s">
        <v>443</v>
      </c>
      <c r="G4052" s="1" t="s">
        <v>457</v>
      </c>
      <c r="H4052" s="1">
        <v>156</v>
      </c>
      <c r="I4052" s="3">
        <v>46281</v>
      </c>
      <c r="J4052" s="3">
        <v>46283</v>
      </c>
      <c r="K4052" s="3" t="s">
        <v>2362</v>
      </c>
      <c r="L4052" s="31">
        <v>46281.687717395835</v>
      </c>
      <c r="M4052" s="20">
        <v>12</v>
      </c>
      <c r="N4052" s="1">
        <v>4</v>
      </c>
    </row>
    <row r="4053" spans="1:14" x14ac:dyDescent="0.25">
      <c r="A4053" t="str">
        <f t="shared" si="128"/>
        <v>U152797U152797</v>
      </c>
      <c r="B4053" t="str">
        <f t="shared" si="129"/>
        <v>U152797P6033JZ-W</v>
      </c>
      <c r="C4053" s="1" t="s">
        <v>720</v>
      </c>
      <c r="D4053" s="1" t="s">
        <v>721</v>
      </c>
      <c r="E4053" s="1" t="s">
        <v>436</v>
      </c>
      <c r="F4053" s="1" t="s">
        <v>443</v>
      </c>
      <c r="G4053" s="1" t="s">
        <v>457</v>
      </c>
      <c r="H4053" s="1">
        <v>66</v>
      </c>
      <c r="I4053" s="3">
        <v>46281</v>
      </c>
      <c r="J4053" s="3">
        <v>46281</v>
      </c>
      <c r="K4053" s="3" t="s">
        <v>2362</v>
      </c>
      <c r="L4053" s="31">
        <v>46281.688923842594</v>
      </c>
      <c r="M4053" s="20">
        <v>12</v>
      </c>
      <c r="N4053" s="1">
        <v>22</v>
      </c>
    </row>
    <row r="4054" spans="1:14" x14ac:dyDescent="0.25">
      <c r="A4054" t="str">
        <f t="shared" si="128"/>
        <v>U152797U152797</v>
      </c>
      <c r="B4054" t="str">
        <f t="shared" si="129"/>
        <v>U152797P6033JZ-M</v>
      </c>
      <c r="C4054" s="1" t="s">
        <v>585</v>
      </c>
      <c r="D4054" s="1" t="s">
        <v>721</v>
      </c>
      <c r="E4054" s="1" t="s">
        <v>436</v>
      </c>
      <c r="F4054" s="1" t="s">
        <v>443</v>
      </c>
      <c r="G4054" s="1" t="s">
        <v>457</v>
      </c>
      <c r="H4054" s="1">
        <v>156</v>
      </c>
      <c r="I4054" s="3">
        <v>46281</v>
      </c>
      <c r="J4054" s="3">
        <v>46283</v>
      </c>
      <c r="K4054" s="3" t="s">
        <v>2362</v>
      </c>
      <c r="L4054" s="31">
        <v>46281.691713275461</v>
      </c>
      <c r="M4054" s="20">
        <v>6</v>
      </c>
      <c r="N4054" s="1">
        <v>16</v>
      </c>
    </row>
    <row r="4055" spans="1:14" x14ac:dyDescent="0.25">
      <c r="A4055" t="str">
        <f t="shared" si="128"/>
        <v>U152797U152797</v>
      </c>
      <c r="B4055" t="str">
        <f t="shared" si="129"/>
        <v>U152797P6033JZ-M</v>
      </c>
      <c r="C4055" s="1" t="s">
        <v>585</v>
      </c>
      <c r="D4055" s="1" t="s">
        <v>721</v>
      </c>
      <c r="E4055" s="1" t="s">
        <v>436</v>
      </c>
      <c r="F4055" s="1" t="s">
        <v>443</v>
      </c>
      <c r="G4055" s="1" t="s">
        <v>457</v>
      </c>
      <c r="H4055" s="1">
        <v>156</v>
      </c>
      <c r="I4055" s="3">
        <v>46281</v>
      </c>
      <c r="J4055" s="3">
        <v>46283</v>
      </c>
      <c r="K4055" s="3" t="s">
        <v>2362</v>
      </c>
      <c r="L4055" s="31">
        <v>46281.695666817126</v>
      </c>
      <c r="M4055" s="20">
        <v>12</v>
      </c>
      <c r="N4055" s="1">
        <v>6</v>
      </c>
    </row>
    <row r="4056" spans="1:14" x14ac:dyDescent="0.25">
      <c r="A4056" t="str">
        <f t="shared" si="128"/>
        <v>U152797U152797</v>
      </c>
      <c r="B4056" t="str">
        <f t="shared" si="129"/>
        <v>U152797P6033JZ-M</v>
      </c>
      <c r="C4056" s="1" t="s">
        <v>585</v>
      </c>
      <c r="D4056" s="1" t="s">
        <v>721</v>
      </c>
      <c r="E4056" s="1" t="s">
        <v>436</v>
      </c>
      <c r="F4056" s="1" t="s">
        <v>443</v>
      </c>
      <c r="G4056" s="1" t="s">
        <v>457</v>
      </c>
      <c r="H4056" s="1">
        <v>156</v>
      </c>
      <c r="I4056" s="3">
        <v>46281</v>
      </c>
      <c r="J4056" s="3">
        <v>46283</v>
      </c>
      <c r="K4056" s="3" t="s">
        <v>2362</v>
      </c>
      <c r="L4056" s="31">
        <v>46281.696253275462</v>
      </c>
      <c r="M4056" s="20">
        <v>12</v>
      </c>
      <c r="N4056" s="1">
        <v>2</v>
      </c>
    </row>
    <row r="4057" spans="1:14" x14ac:dyDescent="0.25">
      <c r="A4057" t="str">
        <f t="shared" si="128"/>
        <v>U152808U152808</v>
      </c>
      <c r="B4057" t="str">
        <f t="shared" si="129"/>
        <v>U152808P60347T-W</v>
      </c>
      <c r="C4057" s="1" t="s">
        <v>360</v>
      </c>
      <c r="D4057" s="1" t="s">
        <v>691</v>
      </c>
      <c r="E4057" s="1" t="s">
        <v>436</v>
      </c>
      <c r="F4057" s="1" t="s">
        <v>443</v>
      </c>
      <c r="G4057" s="1" t="s">
        <v>457</v>
      </c>
      <c r="H4057" s="1">
        <v>270</v>
      </c>
      <c r="I4057" s="3">
        <v>46281</v>
      </c>
      <c r="J4057" s="3">
        <v>46286</v>
      </c>
      <c r="L4057" s="31">
        <v>46281.478685648144</v>
      </c>
      <c r="M4057" s="20">
        <v>12</v>
      </c>
      <c r="N4057" s="1">
        <v>96</v>
      </c>
    </row>
    <row r="4058" spans="1:14" x14ac:dyDescent="0.25">
      <c r="A4058" t="str">
        <f t="shared" si="128"/>
        <v>U152808U152808</v>
      </c>
      <c r="B4058" t="str">
        <f t="shared" si="129"/>
        <v>U152808P60347T-W</v>
      </c>
      <c r="C4058" s="1" t="s">
        <v>360</v>
      </c>
      <c r="D4058" s="1" t="s">
        <v>691</v>
      </c>
      <c r="E4058" s="1" t="s">
        <v>436</v>
      </c>
      <c r="F4058" s="1" t="s">
        <v>443</v>
      </c>
      <c r="G4058" s="1" t="s">
        <v>457</v>
      </c>
      <c r="H4058" s="1">
        <v>270</v>
      </c>
      <c r="I4058" s="3">
        <v>46281</v>
      </c>
      <c r="J4058" s="3">
        <v>46286</v>
      </c>
      <c r="L4058" s="31">
        <v>46281.478841747681</v>
      </c>
      <c r="M4058" s="20">
        <v>12</v>
      </c>
      <c r="N4058" s="1">
        <v>105</v>
      </c>
    </row>
    <row r="4059" spans="1:14" x14ac:dyDescent="0.25">
      <c r="A4059" t="str">
        <f t="shared" si="128"/>
        <v>U152808U152808</v>
      </c>
      <c r="B4059" t="str">
        <f t="shared" si="129"/>
        <v>U152808P60347T-W</v>
      </c>
      <c r="C4059" s="1" t="s">
        <v>360</v>
      </c>
      <c r="D4059" s="1" t="s">
        <v>691</v>
      </c>
      <c r="E4059" s="1" t="s">
        <v>436</v>
      </c>
      <c r="F4059" s="1" t="s">
        <v>443</v>
      </c>
      <c r="G4059" s="1" t="s">
        <v>457</v>
      </c>
      <c r="H4059" s="1">
        <v>270</v>
      </c>
      <c r="I4059" s="3">
        <v>46281</v>
      </c>
      <c r="J4059" s="3">
        <v>46286</v>
      </c>
      <c r="L4059" s="31">
        <v>46281.55103336805</v>
      </c>
      <c r="M4059" s="20">
        <v>12</v>
      </c>
      <c r="N4059" s="1">
        <v>112</v>
      </c>
    </row>
    <row r="4060" spans="1:14" x14ac:dyDescent="0.25">
      <c r="A4060" t="str">
        <f t="shared" si="128"/>
        <v>U152808U152808</v>
      </c>
      <c r="B4060" t="str">
        <f t="shared" si="129"/>
        <v>U152808P60347T-W</v>
      </c>
      <c r="C4060" s="1" t="s">
        <v>360</v>
      </c>
      <c r="D4060" s="1" t="s">
        <v>691</v>
      </c>
      <c r="E4060" s="1" t="s">
        <v>436</v>
      </c>
      <c r="F4060" s="1" t="s">
        <v>443</v>
      </c>
      <c r="G4060" s="1" t="s">
        <v>457</v>
      </c>
      <c r="H4060" s="1">
        <v>270</v>
      </c>
      <c r="I4060" s="3">
        <v>46281</v>
      </c>
      <c r="J4060" s="3">
        <v>46286</v>
      </c>
      <c r="L4060" s="31">
        <v>46281.557076041667</v>
      </c>
      <c r="M4060" s="20">
        <v>12</v>
      </c>
      <c r="N4060" s="1">
        <v>98</v>
      </c>
    </row>
    <row r="4061" spans="1:14" x14ac:dyDescent="0.25">
      <c r="A4061" t="str">
        <f t="shared" si="128"/>
        <v>U152808U152808</v>
      </c>
      <c r="B4061" t="str">
        <f t="shared" si="129"/>
        <v>U152808P60347T-W</v>
      </c>
      <c r="C4061" s="1" t="s">
        <v>360</v>
      </c>
      <c r="D4061" s="1" t="s">
        <v>691</v>
      </c>
      <c r="E4061" s="1" t="s">
        <v>436</v>
      </c>
      <c r="F4061" s="1" t="s">
        <v>443</v>
      </c>
      <c r="G4061" s="1" t="s">
        <v>457</v>
      </c>
      <c r="H4061" s="1">
        <v>270</v>
      </c>
      <c r="I4061" s="3">
        <v>46281</v>
      </c>
      <c r="J4061" s="3">
        <v>46286</v>
      </c>
      <c r="L4061" s="31">
        <v>46281.56212037037</v>
      </c>
      <c r="M4061" s="20">
        <v>12</v>
      </c>
      <c r="N4061" s="1">
        <v>93</v>
      </c>
    </row>
    <row r="4062" spans="1:14" x14ac:dyDescent="0.25">
      <c r="A4062" t="str">
        <f t="shared" si="128"/>
        <v>U152808U152808</v>
      </c>
      <c r="B4062" t="str">
        <f t="shared" si="129"/>
        <v>U152808P60347T-W</v>
      </c>
      <c r="C4062" s="1" t="s">
        <v>360</v>
      </c>
      <c r="D4062" s="1" t="s">
        <v>691</v>
      </c>
      <c r="E4062" s="1" t="s">
        <v>436</v>
      </c>
      <c r="F4062" s="1" t="s">
        <v>443</v>
      </c>
      <c r="G4062" s="1" t="s">
        <v>457</v>
      </c>
      <c r="H4062" s="1">
        <v>270</v>
      </c>
      <c r="I4062" s="3">
        <v>46281</v>
      </c>
      <c r="J4062" s="3">
        <v>46286</v>
      </c>
      <c r="L4062" s="31">
        <v>46281.568119097217</v>
      </c>
      <c r="M4062" s="20">
        <v>12</v>
      </c>
      <c r="N4062" s="1">
        <v>100</v>
      </c>
    </row>
    <row r="4063" spans="1:14" x14ac:dyDescent="0.25">
      <c r="A4063" t="str">
        <f t="shared" si="128"/>
        <v>U152808U152808</v>
      </c>
      <c r="B4063" t="str">
        <f t="shared" si="129"/>
        <v>U152808P60347T-W</v>
      </c>
      <c r="C4063" s="1" t="s">
        <v>360</v>
      </c>
      <c r="D4063" s="1" t="s">
        <v>691</v>
      </c>
      <c r="E4063" s="1" t="s">
        <v>436</v>
      </c>
      <c r="F4063" s="1" t="s">
        <v>443</v>
      </c>
      <c r="G4063" s="1" t="s">
        <v>457</v>
      </c>
      <c r="H4063" s="1">
        <v>270</v>
      </c>
      <c r="I4063" s="3">
        <v>46281</v>
      </c>
      <c r="J4063" s="3">
        <v>46286</v>
      </c>
      <c r="L4063" s="31">
        <v>46281.568612615738</v>
      </c>
      <c r="M4063" s="20">
        <v>12</v>
      </c>
      <c r="N4063" s="1">
        <v>108</v>
      </c>
    </row>
    <row r="4064" spans="1:14" x14ac:dyDescent="0.25">
      <c r="A4064" t="str">
        <f t="shared" si="128"/>
        <v>U152808U152808</v>
      </c>
      <c r="B4064" t="str">
        <f t="shared" si="129"/>
        <v>U152808P60347T-W</v>
      </c>
      <c r="C4064" s="1" t="s">
        <v>360</v>
      </c>
      <c r="D4064" s="1" t="s">
        <v>691</v>
      </c>
      <c r="E4064" s="1" t="s">
        <v>436</v>
      </c>
      <c r="F4064" s="1" t="s">
        <v>443</v>
      </c>
      <c r="G4064" s="1" t="s">
        <v>457</v>
      </c>
      <c r="H4064" s="1">
        <v>270</v>
      </c>
      <c r="I4064" s="3">
        <v>46281</v>
      </c>
      <c r="J4064" s="3">
        <v>46286</v>
      </c>
      <c r="L4064" s="31">
        <v>46281.614062650464</v>
      </c>
      <c r="M4064" s="20">
        <v>12</v>
      </c>
      <c r="N4064" s="1">
        <v>107</v>
      </c>
    </row>
    <row r="4065" spans="1:14" x14ac:dyDescent="0.25">
      <c r="A4065" t="str">
        <f t="shared" si="128"/>
        <v>U152808U152808</v>
      </c>
      <c r="B4065" t="str">
        <f t="shared" si="129"/>
        <v>U152808P60347T-W</v>
      </c>
      <c r="C4065" s="1" t="s">
        <v>360</v>
      </c>
      <c r="D4065" s="1" t="s">
        <v>691</v>
      </c>
      <c r="E4065" s="1" t="s">
        <v>436</v>
      </c>
      <c r="F4065" s="1" t="s">
        <v>443</v>
      </c>
      <c r="G4065" s="1" t="s">
        <v>457</v>
      </c>
      <c r="H4065" s="1">
        <v>270</v>
      </c>
      <c r="I4065" s="3">
        <v>46281</v>
      </c>
      <c r="J4065" s="3">
        <v>46286</v>
      </c>
      <c r="L4065" s="31">
        <v>46281.614597025458</v>
      </c>
      <c r="M4065" s="20">
        <v>12</v>
      </c>
      <c r="N4065" s="1">
        <v>110</v>
      </c>
    </row>
    <row r="4066" spans="1:14" x14ac:dyDescent="0.25">
      <c r="A4066" t="str">
        <f t="shared" si="128"/>
        <v>U152808U152808</v>
      </c>
      <c r="B4066" t="str">
        <f t="shared" si="129"/>
        <v>U152808P60347T-W</v>
      </c>
      <c r="C4066" s="1" t="s">
        <v>360</v>
      </c>
      <c r="D4066" s="1" t="s">
        <v>691</v>
      </c>
      <c r="E4066" s="1" t="s">
        <v>436</v>
      </c>
      <c r="F4066" s="1" t="s">
        <v>443</v>
      </c>
      <c r="G4066" s="1" t="s">
        <v>457</v>
      </c>
      <c r="H4066" s="1">
        <v>270</v>
      </c>
      <c r="I4066" s="3">
        <v>46281</v>
      </c>
      <c r="J4066" s="3">
        <v>46286</v>
      </c>
      <c r="L4066" s="31">
        <v>46281.688116319441</v>
      </c>
      <c r="M4066" s="20">
        <v>12</v>
      </c>
      <c r="N4066" s="1">
        <v>99</v>
      </c>
    </row>
    <row r="4067" spans="1:14" x14ac:dyDescent="0.25">
      <c r="A4067" t="str">
        <f t="shared" si="128"/>
        <v>U152808U152808</v>
      </c>
      <c r="B4067" t="str">
        <f t="shared" si="129"/>
        <v>U152808P60347T-W</v>
      </c>
      <c r="C4067" s="1" t="s">
        <v>360</v>
      </c>
      <c r="D4067" s="1" t="s">
        <v>691</v>
      </c>
      <c r="E4067" s="1" t="s">
        <v>436</v>
      </c>
      <c r="F4067" s="1" t="s">
        <v>443</v>
      </c>
      <c r="G4067" s="1" t="s">
        <v>457</v>
      </c>
      <c r="H4067" s="1">
        <v>270</v>
      </c>
      <c r="I4067" s="3">
        <v>46281</v>
      </c>
      <c r="J4067" s="3">
        <v>46286</v>
      </c>
      <c r="L4067" s="31">
        <v>46281.688728159723</v>
      </c>
      <c r="M4067" s="20">
        <v>12</v>
      </c>
      <c r="N4067" s="1">
        <v>111</v>
      </c>
    </row>
    <row r="4068" spans="1:14" x14ac:dyDescent="0.25">
      <c r="A4068" t="str">
        <f t="shared" si="128"/>
        <v>U153218U153218</v>
      </c>
      <c r="B4068" t="str">
        <f t="shared" si="129"/>
        <v>U153218WL515RWA-B</v>
      </c>
      <c r="C4068" s="1" t="s">
        <v>28</v>
      </c>
      <c r="D4068" s="1" t="s">
        <v>731</v>
      </c>
      <c r="E4068" s="1" t="s">
        <v>436</v>
      </c>
      <c r="F4068" s="1" t="s">
        <v>443</v>
      </c>
      <c r="G4068" s="1" t="s">
        <v>444</v>
      </c>
      <c r="H4068" s="1">
        <v>636</v>
      </c>
      <c r="I4068" s="3">
        <v>46281</v>
      </c>
      <c r="L4068" s="31">
        <v>46281.721851192131</v>
      </c>
      <c r="M4068" s="20">
        <v>12</v>
      </c>
      <c r="N4068" s="1">
        <v>21</v>
      </c>
    </row>
    <row r="4069" spans="1:14" x14ac:dyDescent="0.25">
      <c r="A4069" t="str">
        <f t="shared" si="128"/>
        <v>U153218U153218</v>
      </c>
      <c r="B4069" t="str">
        <f t="shared" si="129"/>
        <v>U153218WL515RWA-B</v>
      </c>
      <c r="C4069" s="1" t="s">
        <v>28</v>
      </c>
      <c r="D4069" s="1" t="s">
        <v>731</v>
      </c>
      <c r="E4069" s="1" t="s">
        <v>436</v>
      </c>
      <c r="F4069" s="1" t="s">
        <v>443</v>
      </c>
      <c r="G4069" s="1" t="s">
        <v>444</v>
      </c>
      <c r="H4069" s="1">
        <v>636</v>
      </c>
      <c r="I4069" s="3">
        <v>46281</v>
      </c>
      <c r="L4069" s="31">
        <v>46281.742615972224</v>
      </c>
      <c r="M4069" s="20">
        <v>12</v>
      </c>
      <c r="N4069" s="1">
        <v>30</v>
      </c>
    </row>
    <row r="4070" spans="1:14" x14ac:dyDescent="0.25">
      <c r="A4070" t="str">
        <f t="shared" si="128"/>
        <v>U153218U153218</v>
      </c>
      <c r="B4070" t="str">
        <f t="shared" si="129"/>
        <v>U153218WL515RWA-B</v>
      </c>
      <c r="C4070" s="1" t="s">
        <v>28</v>
      </c>
      <c r="D4070" s="1" t="s">
        <v>731</v>
      </c>
      <c r="E4070" s="1" t="s">
        <v>436</v>
      </c>
      <c r="F4070" s="1" t="s">
        <v>443</v>
      </c>
      <c r="G4070" s="1" t="s">
        <v>444</v>
      </c>
      <c r="H4070" s="1">
        <v>636</v>
      </c>
      <c r="I4070" s="3">
        <v>46281</v>
      </c>
      <c r="L4070" s="31">
        <v>46281.745501006946</v>
      </c>
      <c r="M4070" s="20">
        <v>12</v>
      </c>
      <c r="N4070" s="1">
        <v>13</v>
      </c>
    </row>
    <row r="4071" spans="1:14" x14ac:dyDescent="0.25">
      <c r="A4071" t="str">
        <f t="shared" si="128"/>
        <v>U153218U153218</v>
      </c>
      <c r="B4071" t="str">
        <f t="shared" si="129"/>
        <v>U153218WL515RWA-B</v>
      </c>
      <c r="C4071" s="1" t="s">
        <v>28</v>
      </c>
      <c r="D4071" s="1" t="s">
        <v>731</v>
      </c>
      <c r="E4071" s="1" t="s">
        <v>436</v>
      </c>
      <c r="F4071" s="1" t="s">
        <v>443</v>
      </c>
      <c r="G4071" s="1" t="s">
        <v>444</v>
      </c>
      <c r="H4071" s="1">
        <v>636</v>
      </c>
      <c r="I4071" s="3">
        <v>46281</v>
      </c>
      <c r="L4071" s="31">
        <v>46281.752551736106</v>
      </c>
      <c r="M4071" s="20">
        <v>12</v>
      </c>
      <c r="N4071" s="1">
        <v>29</v>
      </c>
    </row>
    <row r="4072" spans="1:14" x14ac:dyDescent="0.25">
      <c r="A4072" t="str">
        <f t="shared" si="128"/>
        <v>U153218U153218</v>
      </c>
      <c r="B4072" t="str">
        <f t="shared" si="129"/>
        <v>U153218WL515RWA-B</v>
      </c>
      <c r="C4072" s="1" t="s">
        <v>28</v>
      </c>
      <c r="D4072" s="1" t="s">
        <v>731</v>
      </c>
      <c r="E4072" s="1" t="s">
        <v>436</v>
      </c>
      <c r="F4072" s="1" t="s">
        <v>443</v>
      </c>
      <c r="G4072" s="1" t="s">
        <v>444</v>
      </c>
      <c r="H4072" s="1">
        <v>636</v>
      </c>
      <c r="I4072" s="3">
        <v>46281</v>
      </c>
      <c r="L4072" s="31">
        <v>46281.756598067128</v>
      </c>
      <c r="M4072" s="20">
        <v>12</v>
      </c>
      <c r="N4072" s="1">
        <v>28</v>
      </c>
    </row>
    <row r="4073" spans="1:14" x14ac:dyDescent="0.25">
      <c r="A4073" t="str">
        <f t="shared" si="128"/>
        <v>U153218U153218</v>
      </c>
      <c r="B4073" t="str">
        <f t="shared" si="129"/>
        <v>U153218WL515RWA-B</v>
      </c>
      <c r="C4073" s="1" t="s">
        <v>28</v>
      </c>
      <c r="D4073" s="1" t="s">
        <v>731</v>
      </c>
      <c r="E4073" s="1" t="s">
        <v>436</v>
      </c>
      <c r="F4073" s="1" t="s">
        <v>443</v>
      </c>
      <c r="G4073" s="1" t="s">
        <v>444</v>
      </c>
      <c r="H4073" s="1">
        <v>636</v>
      </c>
      <c r="I4073" s="3">
        <v>46281</v>
      </c>
      <c r="L4073" s="31">
        <v>46281.756938888888</v>
      </c>
      <c r="M4073" s="20">
        <v>12</v>
      </c>
      <c r="N4073" s="1">
        <v>35</v>
      </c>
    </row>
    <row r="4074" spans="1:14" x14ac:dyDescent="0.25">
      <c r="A4074" t="str">
        <f t="shared" si="128"/>
        <v>U153218U153218</v>
      </c>
      <c r="B4074" t="str">
        <f t="shared" si="129"/>
        <v>U153218WL515RWA-B</v>
      </c>
      <c r="C4074" s="1" t="s">
        <v>28</v>
      </c>
      <c r="D4074" s="1" t="s">
        <v>731</v>
      </c>
      <c r="E4074" s="1" t="s">
        <v>436</v>
      </c>
      <c r="F4074" s="1" t="s">
        <v>443</v>
      </c>
      <c r="G4074" s="1" t="s">
        <v>444</v>
      </c>
      <c r="H4074" s="1">
        <v>636</v>
      </c>
      <c r="I4074" s="3">
        <v>46281</v>
      </c>
      <c r="L4074" s="31">
        <v>46281.757154479164</v>
      </c>
      <c r="M4074" s="20">
        <v>12</v>
      </c>
      <c r="N4074" s="1">
        <v>44</v>
      </c>
    </row>
    <row r="4075" spans="1:14" x14ac:dyDescent="0.25">
      <c r="A4075" t="str">
        <f t="shared" si="128"/>
        <v>U153218U153218</v>
      </c>
      <c r="B4075" t="str">
        <f t="shared" si="129"/>
        <v>U153218WL515RWA-B</v>
      </c>
      <c r="C4075" s="1" t="s">
        <v>28</v>
      </c>
      <c r="D4075" s="1" t="s">
        <v>731</v>
      </c>
      <c r="E4075" s="1" t="s">
        <v>436</v>
      </c>
      <c r="F4075" s="1" t="s">
        <v>443</v>
      </c>
      <c r="G4075" s="1" t="s">
        <v>444</v>
      </c>
      <c r="H4075" s="1">
        <v>636</v>
      </c>
      <c r="I4075" s="3">
        <v>46281</v>
      </c>
      <c r="L4075" s="31">
        <v>46281.757937847222</v>
      </c>
      <c r="M4075" s="20">
        <v>12</v>
      </c>
      <c r="N4075" s="1">
        <v>9</v>
      </c>
    </row>
    <row r="4076" spans="1:14" x14ac:dyDescent="0.25">
      <c r="A4076" t="str">
        <f t="shared" si="128"/>
        <v>U153218U153218</v>
      </c>
      <c r="B4076" t="str">
        <f t="shared" si="129"/>
        <v>U153218WL515RWA-B</v>
      </c>
      <c r="C4076" s="1" t="s">
        <v>28</v>
      </c>
      <c r="D4076" s="1" t="s">
        <v>731</v>
      </c>
      <c r="E4076" s="1" t="s">
        <v>436</v>
      </c>
      <c r="F4076" s="1" t="s">
        <v>443</v>
      </c>
      <c r="G4076" s="1" t="s">
        <v>444</v>
      </c>
      <c r="H4076" s="1">
        <v>636</v>
      </c>
      <c r="I4076" s="3">
        <v>46281</v>
      </c>
      <c r="L4076" s="31">
        <v>46281.758209259257</v>
      </c>
      <c r="M4076" s="20">
        <v>12</v>
      </c>
      <c r="N4076" s="1">
        <v>20</v>
      </c>
    </row>
    <row r="4077" spans="1:14" x14ac:dyDescent="0.25">
      <c r="A4077" t="str">
        <f t="shared" si="128"/>
        <v>U153218U153218</v>
      </c>
      <c r="B4077" t="str">
        <f t="shared" si="129"/>
        <v>U153218WL515RWA-B</v>
      </c>
      <c r="C4077" s="1" t="s">
        <v>28</v>
      </c>
      <c r="D4077" s="1" t="s">
        <v>731</v>
      </c>
      <c r="E4077" s="1" t="s">
        <v>436</v>
      </c>
      <c r="F4077" s="1" t="s">
        <v>443</v>
      </c>
      <c r="G4077" s="1" t="s">
        <v>444</v>
      </c>
      <c r="H4077" s="1">
        <v>636</v>
      </c>
      <c r="I4077" s="3">
        <v>46281</v>
      </c>
      <c r="L4077" s="31">
        <v>46281.758455636569</v>
      </c>
      <c r="M4077" s="20">
        <v>12</v>
      </c>
      <c r="N4077" s="1">
        <v>40</v>
      </c>
    </row>
    <row r="4078" spans="1:14" x14ac:dyDescent="0.25">
      <c r="A4078" t="str">
        <f t="shared" si="128"/>
        <v>78660997866099</v>
      </c>
      <c r="B4078" t="str">
        <f t="shared" si="129"/>
        <v>7866099GC9060BE-M</v>
      </c>
      <c r="C4078" s="1" t="s">
        <v>43</v>
      </c>
      <c r="D4078" s="1" t="s">
        <v>748</v>
      </c>
      <c r="E4078" s="1" t="s">
        <v>385</v>
      </c>
      <c r="F4078" s="1" t="s">
        <v>386</v>
      </c>
      <c r="G4078" s="1" t="s">
        <v>387</v>
      </c>
      <c r="H4078" s="1">
        <v>1164</v>
      </c>
      <c r="I4078" s="3">
        <v>46282</v>
      </c>
      <c r="L4078" s="31">
        <v>46282.631545219905</v>
      </c>
      <c r="M4078" s="20">
        <v>12</v>
      </c>
      <c r="N4078" s="1">
        <v>68</v>
      </c>
    </row>
    <row r="4079" spans="1:14" x14ac:dyDescent="0.25">
      <c r="A4079" t="str">
        <f t="shared" si="128"/>
        <v>78660997866099</v>
      </c>
      <c r="B4079" t="str">
        <f t="shared" si="129"/>
        <v>7866099GC9060BE-M</v>
      </c>
      <c r="C4079" s="1" t="s">
        <v>43</v>
      </c>
      <c r="D4079" s="1" t="s">
        <v>748</v>
      </c>
      <c r="E4079" s="1" t="s">
        <v>385</v>
      </c>
      <c r="F4079" s="1" t="s">
        <v>386</v>
      </c>
      <c r="G4079" s="1" t="s">
        <v>387</v>
      </c>
      <c r="H4079" s="1">
        <v>1164</v>
      </c>
      <c r="I4079" s="3">
        <v>46282</v>
      </c>
      <c r="L4079" s="31">
        <v>46282.658934490741</v>
      </c>
      <c r="M4079" s="20">
        <v>12</v>
      </c>
      <c r="N4079" s="1">
        <v>55</v>
      </c>
    </row>
    <row r="4080" spans="1:14" x14ac:dyDescent="0.25">
      <c r="A4080" t="str">
        <f t="shared" si="128"/>
        <v>78660997866099</v>
      </c>
      <c r="B4080" t="str">
        <f t="shared" si="129"/>
        <v>7866099GC9060BE-M</v>
      </c>
      <c r="C4080" s="1" t="s">
        <v>43</v>
      </c>
      <c r="D4080" s="1" t="s">
        <v>748</v>
      </c>
      <c r="E4080" s="1" t="s">
        <v>385</v>
      </c>
      <c r="F4080" s="1" t="s">
        <v>386</v>
      </c>
      <c r="G4080" s="1" t="s">
        <v>387</v>
      </c>
      <c r="H4080" s="1">
        <v>1164</v>
      </c>
      <c r="I4080" s="3">
        <v>46282</v>
      </c>
      <c r="L4080" s="31">
        <v>46282.659474849534</v>
      </c>
      <c r="M4080" s="20">
        <v>12</v>
      </c>
      <c r="N4080" s="1">
        <v>71</v>
      </c>
    </row>
    <row r="4081" spans="1:14" x14ac:dyDescent="0.25">
      <c r="A4081" t="str">
        <f t="shared" si="128"/>
        <v>78660997866099</v>
      </c>
      <c r="B4081" t="str">
        <f t="shared" si="129"/>
        <v>7866099GC9060BE-M</v>
      </c>
      <c r="C4081" s="1" t="s">
        <v>43</v>
      </c>
      <c r="D4081" s="1" t="s">
        <v>748</v>
      </c>
      <c r="E4081" s="1" t="s">
        <v>385</v>
      </c>
      <c r="F4081" s="1" t="s">
        <v>386</v>
      </c>
      <c r="G4081" s="1" t="s">
        <v>387</v>
      </c>
      <c r="H4081" s="1">
        <v>1164</v>
      </c>
      <c r="I4081" s="3">
        <v>46282</v>
      </c>
      <c r="L4081" s="31">
        <v>46282.659665277773</v>
      </c>
      <c r="M4081" s="20">
        <v>12</v>
      </c>
      <c r="N4081" s="1">
        <v>40</v>
      </c>
    </row>
    <row r="4082" spans="1:14" x14ac:dyDescent="0.25">
      <c r="A4082" t="str">
        <f t="shared" si="128"/>
        <v>78660997866099</v>
      </c>
      <c r="B4082" t="str">
        <f t="shared" si="129"/>
        <v>7866099GC9060BE-M</v>
      </c>
      <c r="C4082" s="1" t="s">
        <v>43</v>
      </c>
      <c r="D4082" s="1" t="s">
        <v>748</v>
      </c>
      <c r="E4082" s="1" t="s">
        <v>385</v>
      </c>
      <c r="F4082" s="1" t="s">
        <v>386</v>
      </c>
      <c r="G4082" s="1" t="s">
        <v>387</v>
      </c>
      <c r="H4082" s="1">
        <v>1164</v>
      </c>
      <c r="I4082" s="3">
        <v>46282</v>
      </c>
      <c r="L4082" s="31">
        <v>46282.668057372684</v>
      </c>
      <c r="M4082" s="20">
        <v>12</v>
      </c>
      <c r="N4082" s="1">
        <v>41</v>
      </c>
    </row>
    <row r="4083" spans="1:14" x14ac:dyDescent="0.25">
      <c r="A4083" t="str">
        <f t="shared" si="128"/>
        <v>78660997866099</v>
      </c>
      <c r="B4083" t="str">
        <f t="shared" si="129"/>
        <v>7866099GC9060BE-M</v>
      </c>
      <c r="C4083" s="1" t="s">
        <v>43</v>
      </c>
      <c r="D4083" s="1" t="s">
        <v>748</v>
      </c>
      <c r="E4083" s="1" t="s">
        <v>385</v>
      </c>
      <c r="F4083" s="1" t="s">
        <v>386</v>
      </c>
      <c r="G4083" s="1" t="s">
        <v>387</v>
      </c>
      <c r="H4083" s="1">
        <v>1164</v>
      </c>
      <c r="I4083" s="3">
        <v>46282</v>
      </c>
      <c r="L4083" s="31">
        <v>46282.670335266201</v>
      </c>
      <c r="M4083" s="20">
        <v>12</v>
      </c>
      <c r="N4083" s="1">
        <v>69</v>
      </c>
    </row>
    <row r="4084" spans="1:14" x14ac:dyDescent="0.25">
      <c r="A4084" t="str">
        <f t="shared" si="128"/>
        <v>78662267866226</v>
      </c>
      <c r="B4084" t="str">
        <f t="shared" si="129"/>
        <v>7866226PC9060LL-M</v>
      </c>
      <c r="C4084" s="1" t="s">
        <v>65</v>
      </c>
      <c r="D4084" s="1" t="s">
        <v>750</v>
      </c>
      <c r="E4084" s="1" t="s">
        <v>385</v>
      </c>
      <c r="F4084" s="1" t="s">
        <v>386</v>
      </c>
      <c r="G4084" s="1" t="s">
        <v>387</v>
      </c>
      <c r="H4084" s="1">
        <v>222</v>
      </c>
      <c r="I4084" s="3">
        <v>46282</v>
      </c>
      <c r="L4084" s="31">
        <v>46282.651334259259</v>
      </c>
      <c r="M4084" s="20">
        <v>12</v>
      </c>
      <c r="N4084" s="1">
        <v>14</v>
      </c>
    </row>
    <row r="4085" spans="1:14" x14ac:dyDescent="0.25">
      <c r="A4085" t="str">
        <f t="shared" si="128"/>
        <v>78662267866226</v>
      </c>
      <c r="B4085" t="str">
        <f t="shared" si="129"/>
        <v>7866226PC9060LL-M</v>
      </c>
      <c r="C4085" s="1" t="s">
        <v>65</v>
      </c>
      <c r="D4085" s="1" t="s">
        <v>750</v>
      </c>
      <c r="E4085" s="1" t="s">
        <v>385</v>
      </c>
      <c r="F4085" s="1" t="s">
        <v>386</v>
      </c>
      <c r="G4085" s="1" t="s">
        <v>387</v>
      </c>
      <c r="H4085" s="1">
        <v>222</v>
      </c>
      <c r="I4085" s="3">
        <v>46282</v>
      </c>
      <c r="L4085" s="31">
        <v>46282.663464502315</v>
      </c>
      <c r="M4085" s="20">
        <v>12</v>
      </c>
      <c r="N4085" s="1">
        <v>11</v>
      </c>
    </row>
    <row r="4086" spans="1:14" x14ac:dyDescent="0.25">
      <c r="A4086" t="str">
        <f t="shared" si="128"/>
        <v>78662267866226</v>
      </c>
      <c r="B4086" t="str">
        <f t="shared" si="129"/>
        <v>7866226PC9060LL-M</v>
      </c>
      <c r="C4086" s="1" t="s">
        <v>65</v>
      </c>
      <c r="D4086" s="1" t="s">
        <v>750</v>
      </c>
      <c r="E4086" s="1" t="s">
        <v>385</v>
      </c>
      <c r="F4086" s="1" t="s">
        <v>386</v>
      </c>
      <c r="G4086" s="1" t="s">
        <v>387</v>
      </c>
      <c r="H4086" s="1">
        <v>222</v>
      </c>
      <c r="I4086" s="3">
        <v>46282</v>
      </c>
      <c r="L4086" s="31">
        <v>46282.673829432868</v>
      </c>
      <c r="M4086" s="20">
        <v>12</v>
      </c>
      <c r="N4086" s="1">
        <v>8</v>
      </c>
    </row>
    <row r="4087" spans="1:14" x14ac:dyDescent="0.25">
      <c r="A4087" t="str">
        <f t="shared" si="128"/>
        <v>78662267866226</v>
      </c>
      <c r="B4087" t="str">
        <f t="shared" si="129"/>
        <v>7866226PC9060LL-M</v>
      </c>
      <c r="C4087" s="1" t="s">
        <v>65</v>
      </c>
      <c r="D4087" s="1" t="s">
        <v>750</v>
      </c>
      <c r="E4087" s="1" t="s">
        <v>385</v>
      </c>
      <c r="F4087" s="1" t="s">
        <v>386</v>
      </c>
      <c r="G4087" s="1" t="s">
        <v>387</v>
      </c>
      <c r="H4087" s="1">
        <v>222</v>
      </c>
      <c r="I4087" s="3">
        <v>46282</v>
      </c>
      <c r="L4087" s="31">
        <v>46282.677544988423</v>
      </c>
      <c r="M4087" s="20">
        <v>12</v>
      </c>
      <c r="N4087" s="1">
        <v>5</v>
      </c>
    </row>
    <row r="4088" spans="1:14" x14ac:dyDescent="0.25">
      <c r="A4088" t="str">
        <f t="shared" si="128"/>
        <v>78662267866226</v>
      </c>
      <c r="B4088" t="str">
        <f t="shared" si="129"/>
        <v>7866226PC9060LL-M</v>
      </c>
      <c r="C4088" s="1" t="s">
        <v>65</v>
      </c>
      <c r="D4088" s="1" t="s">
        <v>750</v>
      </c>
      <c r="E4088" s="1" t="s">
        <v>385</v>
      </c>
      <c r="F4088" s="1" t="s">
        <v>386</v>
      </c>
      <c r="G4088" s="1" t="s">
        <v>387</v>
      </c>
      <c r="H4088" s="1">
        <v>222</v>
      </c>
      <c r="I4088" s="3">
        <v>46282</v>
      </c>
      <c r="L4088" s="31">
        <v>46282.67867199074</v>
      </c>
      <c r="M4088" s="20">
        <v>12</v>
      </c>
      <c r="N4088" s="1">
        <v>10</v>
      </c>
    </row>
    <row r="4089" spans="1:14" x14ac:dyDescent="0.25">
      <c r="A4089" t="str">
        <f t="shared" si="128"/>
        <v>78662267866226</v>
      </c>
      <c r="B4089" t="str">
        <f t="shared" si="129"/>
        <v>7866226PC9060LL-M</v>
      </c>
      <c r="C4089" s="1" t="s">
        <v>65</v>
      </c>
      <c r="D4089" s="1" t="s">
        <v>750</v>
      </c>
      <c r="E4089" s="1" t="s">
        <v>385</v>
      </c>
      <c r="F4089" s="1" t="s">
        <v>386</v>
      </c>
      <c r="G4089" s="1" t="s">
        <v>387</v>
      </c>
      <c r="H4089" s="1">
        <v>222</v>
      </c>
      <c r="I4089" s="3">
        <v>46282</v>
      </c>
      <c r="L4089" s="31">
        <v>46282.679084525458</v>
      </c>
      <c r="M4089" s="20">
        <v>12</v>
      </c>
      <c r="N4089" s="1">
        <v>2</v>
      </c>
    </row>
    <row r="4090" spans="1:14" x14ac:dyDescent="0.25">
      <c r="A4090" t="str">
        <f t="shared" si="128"/>
        <v>78662267866226</v>
      </c>
      <c r="B4090" t="str">
        <f t="shared" si="129"/>
        <v>7866226PC9060LL-M</v>
      </c>
      <c r="C4090" s="1" t="s">
        <v>65</v>
      </c>
      <c r="D4090" s="1" t="s">
        <v>750</v>
      </c>
      <c r="E4090" s="1" t="s">
        <v>385</v>
      </c>
      <c r="F4090" s="1" t="s">
        <v>386</v>
      </c>
      <c r="G4090" s="1" t="s">
        <v>387</v>
      </c>
      <c r="H4090" s="1">
        <v>222</v>
      </c>
      <c r="I4090" s="3">
        <v>46282</v>
      </c>
      <c r="L4090" s="31">
        <v>46282.681924340279</v>
      </c>
      <c r="M4090" s="20">
        <v>12</v>
      </c>
      <c r="N4090" s="1">
        <v>13</v>
      </c>
    </row>
    <row r="4091" spans="1:14" x14ac:dyDescent="0.25">
      <c r="A4091" t="str">
        <f t="shared" si="128"/>
        <v>78662267866226</v>
      </c>
      <c r="B4091" t="str">
        <f t="shared" si="129"/>
        <v>7866226PC9060LL-M</v>
      </c>
      <c r="C4091" s="1" t="s">
        <v>65</v>
      </c>
      <c r="D4091" s="1" t="s">
        <v>750</v>
      </c>
      <c r="E4091" s="1" t="s">
        <v>385</v>
      </c>
      <c r="F4091" s="1" t="s">
        <v>386</v>
      </c>
      <c r="G4091" s="1" t="s">
        <v>387</v>
      </c>
      <c r="H4091" s="1">
        <v>222</v>
      </c>
      <c r="I4091" s="3">
        <v>46282</v>
      </c>
      <c r="L4091" s="31">
        <v>46282.695241006943</v>
      </c>
      <c r="M4091" s="20">
        <v>12</v>
      </c>
      <c r="N4091" s="1">
        <v>1</v>
      </c>
    </row>
    <row r="4092" spans="1:14" x14ac:dyDescent="0.25">
      <c r="A4092" t="str">
        <f t="shared" si="128"/>
        <v>78662267866226</v>
      </c>
      <c r="B4092" t="str">
        <f t="shared" si="129"/>
        <v>7866226PC9060LL-M</v>
      </c>
      <c r="C4092" s="1" t="s">
        <v>65</v>
      </c>
      <c r="D4092" s="1" t="s">
        <v>750</v>
      </c>
      <c r="E4092" s="1" t="s">
        <v>385</v>
      </c>
      <c r="F4092" s="1" t="s">
        <v>386</v>
      </c>
      <c r="G4092" s="1" t="s">
        <v>387</v>
      </c>
      <c r="H4092" s="1">
        <v>222</v>
      </c>
      <c r="I4092" s="3">
        <v>46282</v>
      </c>
      <c r="L4092" s="31">
        <v>46282.706549918978</v>
      </c>
      <c r="M4092" s="20">
        <v>12</v>
      </c>
      <c r="N4092" s="1">
        <v>6</v>
      </c>
    </row>
    <row r="4093" spans="1:14" x14ac:dyDescent="0.25">
      <c r="A4093" t="str">
        <f t="shared" si="128"/>
        <v>78667517866751</v>
      </c>
      <c r="B4093" t="str">
        <f t="shared" si="129"/>
        <v>7866751NW574EVW-M</v>
      </c>
      <c r="C4093" s="1" t="s">
        <v>741</v>
      </c>
      <c r="D4093" s="1" t="s">
        <v>742</v>
      </c>
      <c r="E4093" s="1" t="s">
        <v>382</v>
      </c>
      <c r="F4093" s="1" t="s">
        <v>383</v>
      </c>
      <c r="G4093" s="1" t="s">
        <v>390</v>
      </c>
      <c r="H4093" s="1">
        <v>282</v>
      </c>
      <c r="I4093" s="3">
        <v>46282</v>
      </c>
      <c r="L4093" s="31">
        <v>46282.551477395835</v>
      </c>
      <c r="M4093" s="20">
        <v>12</v>
      </c>
      <c r="N4093" s="1">
        <v>12</v>
      </c>
    </row>
    <row r="4094" spans="1:14" x14ac:dyDescent="0.25">
      <c r="A4094" t="str">
        <f t="shared" si="128"/>
        <v>78667517866751</v>
      </c>
      <c r="B4094" t="str">
        <f t="shared" si="129"/>
        <v>7866751NW574EVW-M</v>
      </c>
      <c r="C4094" s="1" t="s">
        <v>741</v>
      </c>
      <c r="D4094" s="1" t="s">
        <v>742</v>
      </c>
      <c r="E4094" s="1" t="s">
        <v>382</v>
      </c>
      <c r="F4094" s="1" t="s">
        <v>383</v>
      </c>
      <c r="G4094" s="1" t="s">
        <v>390</v>
      </c>
      <c r="H4094" s="1">
        <v>282</v>
      </c>
      <c r="I4094" s="3">
        <v>46282</v>
      </c>
      <c r="L4094" s="31">
        <v>46282.551961307865</v>
      </c>
      <c r="M4094" s="20">
        <v>12</v>
      </c>
      <c r="N4094" s="1">
        <v>16</v>
      </c>
    </row>
    <row r="4095" spans="1:14" x14ac:dyDescent="0.25">
      <c r="A4095" t="str">
        <f t="shared" si="128"/>
        <v>78667517866751</v>
      </c>
      <c r="B4095" t="str">
        <f t="shared" si="129"/>
        <v>7866751NW574EVW-M</v>
      </c>
      <c r="C4095" s="1" t="s">
        <v>741</v>
      </c>
      <c r="D4095" s="1" t="s">
        <v>742</v>
      </c>
      <c r="E4095" s="1" t="s">
        <v>382</v>
      </c>
      <c r="F4095" s="1" t="s">
        <v>383</v>
      </c>
      <c r="G4095" s="1" t="s">
        <v>390</v>
      </c>
      <c r="H4095" s="1">
        <v>282</v>
      </c>
      <c r="I4095" s="3">
        <v>46282</v>
      </c>
      <c r="L4095" s="31">
        <v>46282.571139467589</v>
      </c>
      <c r="M4095" s="20">
        <v>12</v>
      </c>
      <c r="N4095" s="1">
        <v>2</v>
      </c>
    </row>
    <row r="4096" spans="1:14" x14ac:dyDescent="0.25">
      <c r="A4096" t="str">
        <f t="shared" si="128"/>
        <v>78667517866751</v>
      </c>
      <c r="B4096" t="str">
        <f t="shared" si="129"/>
        <v>7866751NW574EVW-M</v>
      </c>
      <c r="C4096" s="1" t="s">
        <v>741</v>
      </c>
      <c r="D4096" s="1" t="s">
        <v>742</v>
      </c>
      <c r="E4096" s="1" t="s">
        <v>382</v>
      </c>
      <c r="F4096" s="1" t="s">
        <v>383</v>
      </c>
      <c r="G4096" s="1" t="s">
        <v>390</v>
      </c>
      <c r="H4096" s="1">
        <v>282</v>
      </c>
      <c r="I4096" s="3">
        <v>46282</v>
      </c>
      <c r="L4096" s="31">
        <v>46282.572921840278</v>
      </c>
      <c r="M4096" s="20">
        <v>12</v>
      </c>
      <c r="N4096" s="1">
        <v>7</v>
      </c>
    </row>
    <row r="4097" spans="1:14" x14ac:dyDescent="0.25">
      <c r="A4097" t="str">
        <f t="shared" si="128"/>
        <v>78667517866751</v>
      </c>
      <c r="B4097" t="str">
        <f t="shared" si="129"/>
        <v>7866751NW574EVW-M</v>
      </c>
      <c r="C4097" s="1" t="s">
        <v>741</v>
      </c>
      <c r="D4097" s="1" t="s">
        <v>742</v>
      </c>
      <c r="E4097" s="1" t="s">
        <v>382</v>
      </c>
      <c r="F4097" s="1" t="s">
        <v>383</v>
      </c>
      <c r="G4097" s="1" t="s">
        <v>390</v>
      </c>
      <c r="H4097" s="1">
        <v>282</v>
      </c>
      <c r="I4097" s="3">
        <v>46282</v>
      </c>
      <c r="L4097" s="31">
        <v>46282.573817974539</v>
      </c>
      <c r="M4097" s="20">
        <v>12</v>
      </c>
      <c r="N4097" s="1">
        <v>4</v>
      </c>
    </row>
    <row r="4098" spans="1:14" x14ac:dyDescent="0.25">
      <c r="A4098" t="str">
        <f t="shared" ref="A4098:A4161" si="130">+D4098&amp;D4098</f>
        <v>78667517866751</v>
      </c>
      <c r="B4098" t="str">
        <f t="shared" ref="B4098:B4161" si="131">+D4098&amp;C4098</f>
        <v>7866751NW574EVW-M</v>
      </c>
      <c r="C4098" s="1" t="s">
        <v>741</v>
      </c>
      <c r="D4098" s="1" t="s">
        <v>742</v>
      </c>
      <c r="E4098" s="1" t="s">
        <v>382</v>
      </c>
      <c r="F4098" s="1" t="s">
        <v>383</v>
      </c>
      <c r="G4098" s="1" t="s">
        <v>390</v>
      </c>
      <c r="H4098" s="1">
        <v>282</v>
      </c>
      <c r="I4098" s="3">
        <v>46282</v>
      </c>
      <c r="L4098" s="31">
        <v>46282.574376770834</v>
      </c>
      <c r="M4098" s="20">
        <v>12</v>
      </c>
      <c r="N4098" s="1">
        <v>20</v>
      </c>
    </row>
    <row r="4099" spans="1:14" x14ac:dyDescent="0.25">
      <c r="A4099" t="str">
        <f t="shared" si="130"/>
        <v>78667517866751</v>
      </c>
      <c r="B4099" t="str">
        <f t="shared" si="131"/>
        <v>7866751NW574EVW-M</v>
      </c>
      <c r="C4099" s="1" t="s">
        <v>741</v>
      </c>
      <c r="D4099" s="1" t="s">
        <v>742</v>
      </c>
      <c r="E4099" s="1" t="s">
        <v>382</v>
      </c>
      <c r="F4099" s="1" t="s">
        <v>383</v>
      </c>
      <c r="G4099" s="1" t="s">
        <v>390</v>
      </c>
      <c r="H4099" s="1">
        <v>282</v>
      </c>
      <c r="I4099" s="3">
        <v>46282</v>
      </c>
      <c r="L4099" s="31">
        <v>46282.575007951389</v>
      </c>
      <c r="M4099" s="20">
        <v>12</v>
      </c>
      <c r="N4099" s="1">
        <v>18</v>
      </c>
    </row>
    <row r="4100" spans="1:14" x14ac:dyDescent="0.25">
      <c r="A4100" t="str">
        <f t="shared" si="130"/>
        <v>78667517866751</v>
      </c>
      <c r="B4100" t="str">
        <f t="shared" si="131"/>
        <v>7866751NW574EVW-M</v>
      </c>
      <c r="C4100" s="1" t="s">
        <v>741</v>
      </c>
      <c r="D4100" s="1" t="s">
        <v>742</v>
      </c>
      <c r="E4100" s="1" t="s">
        <v>382</v>
      </c>
      <c r="F4100" s="1" t="s">
        <v>383</v>
      </c>
      <c r="G4100" s="1" t="s">
        <v>390</v>
      </c>
      <c r="H4100" s="1">
        <v>282</v>
      </c>
      <c r="I4100" s="3">
        <v>46282</v>
      </c>
      <c r="L4100" s="31">
        <v>46282.579199155094</v>
      </c>
      <c r="M4100" s="20">
        <v>12</v>
      </c>
      <c r="N4100" s="1">
        <v>5</v>
      </c>
    </row>
    <row r="4101" spans="1:14" x14ac:dyDescent="0.25">
      <c r="A4101" t="str">
        <f t="shared" si="130"/>
        <v>78667517866751</v>
      </c>
      <c r="B4101" t="str">
        <f t="shared" si="131"/>
        <v>7866751NW574EVW-M</v>
      </c>
      <c r="C4101" s="1" t="s">
        <v>741</v>
      </c>
      <c r="D4101" s="1" t="s">
        <v>742</v>
      </c>
      <c r="E4101" s="1" t="s">
        <v>382</v>
      </c>
      <c r="F4101" s="1" t="s">
        <v>383</v>
      </c>
      <c r="G4101" s="1" t="s">
        <v>390</v>
      </c>
      <c r="H4101" s="1">
        <v>282</v>
      </c>
      <c r="I4101" s="3">
        <v>46282</v>
      </c>
      <c r="L4101" s="31">
        <v>46282.579353240741</v>
      </c>
      <c r="M4101" s="20">
        <v>12</v>
      </c>
      <c r="N4101" s="1">
        <v>14</v>
      </c>
    </row>
    <row r="4102" spans="1:14" x14ac:dyDescent="0.25">
      <c r="A4102" t="str">
        <f t="shared" si="130"/>
        <v>78667517866751</v>
      </c>
      <c r="B4102" t="str">
        <f t="shared" si="131"/>
        <v>7866751NW574EVW-M</v>
      </c>
      <c r="C4102" s="1" t="s">
        <v>741</v>
      </c>
      <c r="D4102" s="1" t="s">
        <v>742</v>
      </c>
      <c r="E4102" s="1" t="s">
        <v>382</v>
      </c>
      <c r="F4102" s="1" t="s">
        <v>383</v>
      </c>
      <c r="G4102" s="1" t="s">
        <v>390</v>
      </c>
      <c r="H4102" s="1">
        <v>282</v>
      </c>
      <c r="I4102" s="3">
        <v>46282</v>
      </c>
      <c r="L4102" s="31">
        <v>46282.606738657407</v>
      </c>
      <c r="M4102" s="20">
        <v>12</v>
      </c>
      <c r="N4102" s="1">
        <v>11</v>
      </c>
    </row>
    <row r="4103" spans="1:14" x14ac:dyDescent="0.25">
      <c r="A4103" t="str">
        <f t="shared" si="130"/>
        <v>78667517866751</v>
      </c>
      <c r="B4103" t="str">
        <f t="shared" si="131"/>
        <v>7866751NW574EVW-M</v>
      </c>
      <c r="C4103" s="1" t="s">
        <v>741</v>
      </c>
      <c r="D4103" s="1" t="s">
        <v>742</v>
      </c>
      <c r="E4103" s="1" t="s">
        <v>382</v>
      </c>
      <c r="F4103" s="1" t="s">
        <v>383</v>
      </c>
      <c r="G4103" s="1" t="s">
        <v>390</v>
      </c>
      <c r="H4103" s="1">
        <v>282</v>
      </c>
      <c r="I4103" s="3">
        <v>46282</v>
      </c>
      <c r="L4103" s="31">
        <v>46282.607820682868</v>
      </c>
      <c r="M4103" s="20">
        <v>12</v>
      </c>
      <c r="N4103" s="1">
        <v>17</v>
      </c>
    </row>
    <row r="4104" spans="1:14" x14ac:dyDescent="0.25">
      <c r="A4104" t="str">
        <f t="shared" si="130"/>
        <v>78667517866751</v>
      </c>
      <c r="B4104" t="str">
        <f t="shared" si="131"/>
        <v>7866751NW574EVW-M</v>
      </c>
      <c r="C4104" s="1" t="s">
        <v>741</v>
      </c>
      <c r="D4104" s="1" t="s">
        <v>742</v>
      </c>
      <c r="E4104" s="1" t="s">
        <v>382</v>
      </c>
      <c r="F4104" s="1" t="s">
        <v>383</v>
      </c>
      <c r="G4104" s="1" t="s">
        <v>390</v>
      </c>
      <c r="H4104" s="1">
        <v>282</v>
      </c>
      <c r="I4104" s="3">
        <v>46282</v>
      </c>
      <c r="L4104" s="31">
        <v>46282.617182604168</v>
      </c>
      <c r="M4104" s="20">
        <v>12</v>
      </c>
      <c r="N4104" s="1">
        <v>9</v>
      </c>
    </row>
    <row r="4105" spans="1:14" x14ac:dyDescent="0.25">
      <c r="A4105" t="str">
        <f t="shared" si="130"/>
        <v>78667517866751</v>
      </c>
      <c r="B4105" t="str">
        <f t="shared" si="131"/>
        <v>7866751NW574EVW-M</v>
      </c>
      <c r="C4105" s="1" t="s">
        <v>741</v>
      </c>
      <c r="D4105" s="1" t="s">
        <v>742</v>
      </c>
      <c r="E4105" s="1" t="s">
        <v>382</v>
      </c>
      <c r="F4105" s="1" t="s">
        <v>383</v>
      </c>
      <c r="G4105" s="1" t="s">
        <v>390</v>
      </c>
      <c r="H4105" s="1">
        <v>282</v>
      </c>
      <c r="I4105" s="3">
        <v>46282</v>
      </c>
      <c r="L4105" s="31">
        <v>46282.662710844903</v>
      </c>
      <c r="M4105" s="20">
        <v>12</v>
      </c>
      <c r="N4105" s="1">
        <v>15</v>
      </c>
    </row>
    <row r="4106" spans="1:14" x14ac:dyDescent="0.25">
      <c r="A4106" t="str">
        <f t="shared" si="130"/>
        <v>78754037875403</v>
      </c>
      <c r="B4106" t="str">
        <f t="shared" si="131"/>
        <v>7875403IV9060LL-M</v>
      </c>
      <c r="C4106" s="1" t="s">
        <v>41</v>
      </c>
      <c r="D4106" s="1" t="s">
        <v>744</v>
      </c>
      <c r="E4106" s="1" t="s">
        <v>382</v>
      </c>
      <c r="F4106" s="1" t="s">
        <v>383</v>
      </c>
      <c r="G4106" s="1" t="s">
        <v>390</v>
      </c>
      <c r="H4106" s="1">
        <v>396</v>
      </c>
      <c r="I4106" s="3">
        <v>46282</v>
      </c>
      <c r="L4106" s="31">
        <v>46282.55648634259</v>
      </c>
      <c r="M4106" s="20">
        <v>12</v>
      </c>
      <c r="N4106" s="1">
        <v>14</v>
      </c>
    </row>
    <row r="4107" spans="1:14" x14ac:dyDescent="0.25">
      <c r="A4107" t="str">
        <f t="shared" si="130"/>
        <v>78754037875403</v>
      </c>
      <c r="B4107" t="str">
        <f t="shared" si="131"/>
        <v>7875403IV9060LL-M</v>
      </c>
      <c r="C4107" s="1" t="s">
        <v>41</v>
      </c>
      <c r="D4107" s="1" t="s">
        <v>744</v>
      </c>
      <c r="E4107" s="1" t="s">
        <v>382</v>
      </c>
      <c r="F4107" s="1" t="s">
        <v>383</v>
      </c>
      <c r="G4107" s="1" t="s">
        <v>390</v>
      </c>
      <c r="H4107" s="1">
        <v>396</v>
      </c>
      <c r="I4107" s="3">
        <v>46282</v>
      </c>
      <c r="L4107" s="31">
        <v>46282.556825775464</v>
      </c>
      <c r="M4107" s="20">
        <v>12</v>
      </c>
      <c r="N4107" s="1">
        <v>23</v>
      </c>
    </row>
    <row r="4108" spans="1:14" x14ac:dyDescent="0.25">
      <c r="A4108" t="str">
        <f t="shared" si="130"/>
        <v>78754037875403</v>
      </c>
      <c r="B4108" t="str">
        <f t="shared" si="131"/>
        <v>7875403IV9060LL-M</v>
      </c>
      <c r="C4108" s="1" t="s">
        <v>41</v>
      </c>
      <c r="D4108" s="1" t="s">
        <v>744</v>
      </c>
      <c r="E4108" s="1" t="s">
        <v>382</v>
      </c>
      <c r="F4108" s="1" t="s">
        <v>383</v>
      </c>
      <c r="G4108" s="1" t="s">
        <v>390</v>
      </c>
      <c r="H4108" s="1">
        <v>396</v>
      </c>
      <c r="I4108" s="3">
        <v>46282</v>
      </c>
      <c r="L4108" s="31">
        <v>46282.566006562498</v>
      </c>
      <c r="M4108" s="20">
        <v>12</v>
      </c>
      <c r="N4108" s="1">
        <v>24</v>
      </c>
    </row>
    <row r="4109" spans="1:14" x14ac:dyDescent="0.25">
      <c r="A4109" t="str">
        <f t="shared" si="130"/>
        <v>78754037875403</v>
      </c>
      <c r="B4109" t="str">
        <f t="shared" si="131"/>
        <v>7875403IV9060LL-M</v>
      </c>
      <c r="C4109" s="1" t="s">
        <v>41</v>
      </c>
      <c r="D4109" s="1" t="s">
        <v>744</v>
      </c>
      <c r="E4109" s="1" t="s">
        <v>382</v>
      </c>
      <c r="F4109" s="1" t="s">
        <v>383</v>
      </c>
      <c r="G4109" s="1" t="s">
        <v>390</v>
      </c>
      <c r="H4109" s="1">
        <v>396</v>
      </c>
      <c r="I4109" s="3">
        <v>46282</v>
      </c>
      <c r="L4109" s="31">
        <v>46282.566194791667</v>
      </c>
      <c r="M4109" s="20">
        <v>12</v>
      </c>
      <c r="N4109" s="1">
        <v>8</v>
      </c>
    </row>
    <row r="4110" spans="1:14" x14ac:dyDescent="0.25">
      <c r="A4110" t="str">
        <f t="shared" si="130"/>
        <v>78754037875403</v>
      </c>
      <c r="B4110" t="str">
        <f t="shared" si="131"/>
        <v>7875403IV9060LL-M</v>
      </c>
      <c r="C4110" s="1" t="s">
        <v>41</v>
      </c>
      <c r="D4110" s="1" t="s">
        <v>744</v>
      </c>
      <c r="E4110" s="1" t="s">
        <v>382</v>
      </c>
      <c r="F4110" s="1" t="s">
        <v>383</v>
      </c>
      <c r="G4110" s="1" t="s">
        <v>390</v>
      </c>
      <c r="H4110" s="1">
        <v>396</v>
      </c>
      <c r="I4110" s="3">
        <v>46282</v>
      </c>
      <c r="L4110" s="31">
        <v>46282.566334722222</v>
      </c>
      <c r="M4110" s="20">
        <v>12</v>
      </c>
      <c r="N4110" s="1">
        <v>5</v>
      </c>
    </row>
    <row r="4111" spans="1:14" x14ac:dyDescent="0.25">
      <c r="A4111" t="str">
        <f t="shared" si="130"/>
        <v>78754037875403</v>
      </c>
      <c r="B4111" t="str">
        <f t="shared" si="131"/>
        <v>7875403IV9060LL-M</v>
      </c>
      <c r="C4111" s="1" t="s">
        <v>41</v>
      </c>
      <c r="D4111" s="1" t="s">
        <v>744</v>
      </c>
      <c r="E4111" s="1" t="s">
        <v>382</v>
      </c>
      <c r="F4111" s="1" t="s">
        <v>383</v>
      </c>
      <c r="G4111" s="1" t="s">
        <v>390</v>
      </c>
      <c r="H4111" s="1">
        <v>396</v>
      </c>
      <c r="I4111" s="3">
        <v>46282</v>
      </c>
      <c r="L4111" s="31">
        <v>46282.567444907407</v>
      </c>
      <c r="M4111" s="20">
        <v>12</v>
      </c>
      <c r="N4111" s="1">
        <v>2</v>
      </c>
    </row>
    <row r="4112" spans="1:14" x14ac:dyDescent="0.25">
      <c r="A4112" t="str">
        <f t="shared" si="130"/>
        <v>78754037875403</v>
      </c>
      <c r="B4112" t="str">
        <f t="shared" si="131"/>
        <v>7875403IV9060LL-M</v>
      </c>
      <c r="C4112" s="1" t="s">
        <v>41</v>
      </c>
      <c r="D4112" s="1" t="s">
        <v>744</v>
      </c>
      <c r="E4112" s="1" t="s">
        <v>382</v>
      </c>
      <c r="F4112" s="1" t="s">
        <v>383</v>
      </c>
      <c r="G4112" s="1" t="s">
        <v>390</v>
      </c>
      <c r="H4112" s="1">
        <v>396</v>
      </c>
      <c r="I4112" s="3">
        <v>46282</v>
      </c>
      <c r="L4112" s="31">
        <v>46282.582203969905</v>
      </c>
      <c r="M4112" s="20">
        <v>12</v>
      </c>
      <c r="N4112" s="1">
        <v>11</v>
      </c>
    </row>
    <row r="4113" spans="1:14" x14ac:dyDescent="0.25">
      <c r="A4113" t="str">
        <f t="shared" si="130"/>
        <v>78754037875403</v>
      </c>
      <c r="B4113" t="str">
        <f t="shared" si="131"/>
        <v>7875403IV9060LL-M</v>
      </c>
      <c r="C4113" s="1" t="s">
        <v>41</v>
      </c>
      <c r="D4113" s="1" t="s">
        <v>744</v>
      </c>
      <c r="E4113" s="1" t="s">
        <v>382</v>
      </c>
      <c r="F4113" s="1" t="s">
        <v>383</v>
      </c>
      <c r="G4113" s="1" t="s">
        <v>390</v>
      </c>
      <c r="H4113" s="1">
        <v>396</v>
      </c>
      <c r="I4113" s="3">
        <v>46282</v>
      </c>
      <c r="L4113" s="31">
        <v>46282.599800462958</v>
      </c>
      <c r="M4113" s="20">
        <v>12</v>
      </c>
      <c r="N4113" s="1">
        <v>15</v>
      </c>
    </row>
    <row r="4114" spans="1:14" x14ac:dyDescent="0.25">
      <c r="A4114" t="str">
        <f t="shared" si="130"/>
        <v>78754037875403</v>
      </c>
      <c r="B4114" t="str">
        <f t="shared" si="131"/>
        <v>7875403IV9060LL-M</v>
      </c>
      <c r="C4114" s="1" t="s">
        <v>41</v>
      </c>
      <c r="D4114" s="1" t="s">
        <v>744</v>
      </c>
      <c r="E4114" s="1" t="s">
        <v>382</v>
      </c>
      <c r="F4114" s="1" t="s">
        <v>383</v>
      </c>
      <c r="G4114" s="1" t="s">
        <v>390</v>
      </c>
      <c r="H4114" s="1">
        <v>396</v>
      </c>
      <c r="I4114" s="3">
        <v>46282</v>
      </c>
      <c r="L4114" s="31">
        <v>46282.62665262731</v>
      </c>
      <c r="M4114" s="20">
        <v>12</v>
      </c>
      <c r="N4114" s="1">
        <v>12</v>
      </c>
    </row>
    <row r="4115" spans="1:14" x14ac:dyDescent="0.25">
      <c r="A4115" t="str">
        <f t="shared" si="130"/>
        <v>78754037875403</v>
      </c>
      <c r="B4115" t="str">
        <f t="shared" si="131"/>
        <v>7875403IV9060LL-M</v>
      </c>
      <c r="C4115" s="1" t="s">
        <v>41</v>
      </c>
      <c r="D4115" s="1" t="s">
        <v>744</v>
      </c>
      <c r="E4115" s="1" t="s">
        <v>382</v>
      </c>
      <c r="F4115" s="1" t="s">
        <v>383</v>
      </c>
      <c r="G4115" s="1" t="s">
        <v>390</v>
      </c>
      <c r="H4115" s="1">
        <v>396</v>
      </c>
      <c r="I4115" s="3">
        <v>46282</v>
      </c>
      <c r="L4115" s="31">
        <v>46282.630258217592</v>
      </c>
      <c r="M4115" s="20">
        <v>12</v>
      </c>
      <c r="N4115" s="1">
        <v>9</v>
      </c>
    </row>
    <row r="4116" spans="1:14" x14ac:dyDescent="0.25">
      <c r="A4116" t="str">
        <f t="shared" si="130"/>
        <v>78754037875403</v>
      </c>
      <c r="B4116" t="str">
        <f t="shared" si="131"/>
        <v>7875403IV9060LL-M</v>
      </c>
      <c r="C4116" s="1" t="s">
        <v>41</v>
      </c>
      <c r="D4116" s="1" t="s">
        <v>744</v>
      </c>
      <c r="E4116" s="1" t="s">
        <v>382</v>
      </c>
      <c r="F4116" s="1" t="s">
        <v>383</v>
      </c>
      <c r="G4116" s="1" t="s">
        <v>390</v>
      </c>
      <c r="H4116" s="1">
        <v>396</v>
      </c>
      <c r="I4116" s="3">
        <v>46282</v>
      </c>
      <c r="L4116" s="31">
        <v>46282.630915972222</v>
      </c>
      <c r="M4116" s="20">
        <v>12</v>
      </c>
      <c r="N4116" s="1">
        <v>4</v>
      </c>
    </row>
    <row r="4117" spans="1:14" x14ac:dyDescent="0.25">
      <c r="A4117" t="str">
        <f t="shared" si="130"/>
        <v>78754037875403</v>
      </c>
      <c r="B4117" t="str">
        <f t="shared" si="131"/>
        <v>7875403IV9060LL-M</v>
      </c>
      <c r="C4117" s="1" t="s">
        <v>41</v>
      </c>
      <c r="D4117" s="1" t="s">
        <v>744</v>
      </c>
      <c r="E4117" s="1" t="s">
        <v>382</v>
      </c>
      <c r="F4117" s="1" t="s">
        <v>383</v>
      </c>
      <c r="G4117" s="1" t="s">
        <v>390</v>
      </c>
      <c r="H4117" s="1">
        <v>396</v>
      </c>
      <c r="I4117" s="3">
        <v>46282</v>
      </c>
      <c r="L4117" s="31">
        <v>46282.647336377311</v>
      </c>
      <c r="M4117" s="20">
        <v>12</v>
      </c>
      <c r="N4117" s="1">
        <v>6</v>
      </c>
    </row>
    <row r="4118" spans="1:14" x14ac:dyDescent="0.25">
      <c r="A4118" t="str">
        <f t="shared" si="130"/>
        <v>78754037875403</v>
      </c>
      <c r="B4118" t="str">
        <f t="shared" si="131"/>
        <v>7875403IV9060LL-M</v>
      </c>
      <c r="C4118" s="1" t="s">
        <v>41</v>
      </c>
      <c r="D4118" s="1" t="s">
        <v>744</v>
      </c>
      <c r="E4118" s="1" t="s">
        <v>382</v>
      </c>
      <c r="F4118" s="1" t="s">
        <v>383</v>
      </c>
      <c r="G4118" s="1" t="s">
        <v>390</v>
      </c>
      <c r="H4118" s="1">
        <v>396</v>
      </c>
      <c r="I4118" s="3">
        <v>46282</v>
      </c>
      <c r="L4118" s="31">
        <v>46282.660920983792</v>
      </c>
      <c r="M4118" s="20">
        <v>6</v>
      </c>
      <c r="N4118" s="1">
        <v>33</v>
      </c>
    </row>
    <row r="4119" spans="1:14" x14ac:dyDescent="0.25">
      <c r="A4119" t="str">
        <f t="shared" si="130"/>
        <v>78754037875403</v>
      </c>
      <c r="B4119" t="str">
        <f t="shared" si="131"/>
        <v>7875403IV9060LL-M</v>
      </c>
      <c r="C4119" s="1" t="s">
        <v>41</v>
      </c>
      <c r="D4119" s="1" t="s">
        <v>744</v>
      </c>
      <c r="E4119" s="1" t="s">
        <v>382</v>
      </c>
      <c r="F4119" s="1" t="s">
        <v>383</v>
      </c>
      <c r="G4119" s="1" t="s">
        <v>390</v>
      </c>
      <c r="H4119" s="1">
        <v>396</v>
      </c>
      <c r="I4119" s="3">
        <v>46282</v>
      </c>
      <c r="L4119" s="31">
        <v>46282.66169494213</v>
      </c>
      <c r="M4119" s="20">
        <v>12</v>
      </c>
      <c r="N4119" s="1">
        <v>10</v>
      </c>
    </row>
    <row r="4120" spans="1:14" x14ac:dyDescent="0.25">
      <c r="A4120" t="str">
        <f t="shared" si="130"/>
        <v>78755117875511</v>
      </c>
      <c r="B4120" t="str">
        <f t="shared" si="131"/>
        <v>7875511PV574EVK-M</v>
      </c>
      <c r="C4120" s="1" t="s">
        <v>518</v>
      </c>
      <c r="D4120" s="1" t="s">
        <v>753</v>
      </c>
      <c r="E4120" s="1" t="s">
        <v>382</v>
      </c>
      <c r="F4120" s="1" t="s">
        <v>383</v>
      </c>
      <c r="G4120" s="1" t="s">
        <v>390</v>
      </c>
      <c r="H4120" s="1">
        <v>348</v>
      </c>
      <c r="I4120" s="3">
        <v>46282</v>
      </c>
      <c r="L4120" s="31">
        <v>46282.698865277773</v>
      </c>
      <c r="M4120" s="20">
        <v>12</v>
      </c>
      <c r="N4120" s="1">
        <v>9</v>
      </c>
    </row>
    <row r="4121" spans="1:14" x14ac:dyDescent="0.25">
      <c r="A4121" t="str">
        <f t="shared" si="130"/>
        <v>78755117875511</v>
      </c>
      <c r="B4121" t="str">
        <f t="shared" si="131"/>
        <v>7875511PV574EVK-M</v>
      </c>
      <c r="C4121" s="1" t="s">
        <v>518</v>
      </c>
      <c r="D4121" s="1" t="s">
        <v>753</v>
      </c>
      <c r="E4121" s="1" t="s">
        <v>382</v>
      </c>
      <c r="F4121" s="1" t="s">
        <v>383</v>
      </c>
      <c r="G4121" s="1" t="s">
        <v>390</v>
      </c>
      <c r="H4121" s="1">
        <v>348</v>
      </c>
      <c r="I4121" s="3">
        <v>46282</v>
      </c>
      <c r="L4121" s="31">
        <v>46282.699330706018</v>
      </c>
      <c r="M4121" s="20">
        <v>12</v>
      </c>
      <c r="N4121" s="1">
        <v>25</v>
      </c>
    </row>
    <row r="4122" spans="1:14" x14ac:dyDescent="0.25">
      <c r="A4122" t="str">
        <f t="shared" si="130"/>
        <v>78755117875511</v>
      </c>
      <c r="B4122" t="str">
        <f t="shared" si="131"/>
        <v>7875511PV574EVK-M</v>
      </c>
      <c r="C4122" s="1" t="s">
        <v>518</v>
      </c>
      <c r="D4122" s="1" t="s">
        <v>753</v>
      </c>
      <c r="E4122" s="1" t="s">
        <v>382</v>
      </c>
      <c r="F4122" s="1" t="s">
        <v>383</v>
      </c>
      <c r="G4122" s="1" t="s">
        <v>390</v>
      </c>
      <c r="H4122" s="1">
        <v>348</v>
      </c>
      <c r="I4122" s="3">
        <v>46282</v>
      </c>
      <c r="L4122" s="31">
        <v>46282.705522337958</v>
      </c>
      <c r="M4122" s="20">
        <v>12</v>
      </c>
      <c r="N4122" s="1">
        <v>11</v>
      </c>
    </row>
    <row r="4123" spans="1:14" x14ac:dyDescent="0.25">
      <c r="A4123" t="str">
        <f t="shared" si="130"/>
        <v>78755117875511</v>
      </c>
      <c r="B4123" t="str">
        <f t="shared" si="131"/>
        <v>7875511PV574EVK-M</v>
      </c>
      <c r="C4123" s="1" t="s">
        <v>518</v>
      </c>
      <c r="D4123" s="1" t="s">
        <v>753</v>
      </c>
      <c r="E4123" s="1" t="s">
        <v>382</v>
      </c>
      <c r="F4123" s="1" t="s">
        <v>383</v>
      </c>
      <c r="G4123" s="1" t="s">
        <v>390</v>
      </c>
      <c r="H4123" s="1">
        <v>348</v>
      </c>
      <c r="I4123" s="3">
        <v>46282</v>
      </c>
      <c r="L4123" s="31">
        <v>46282.706478900458</v>
      </c>
      <c r="M4123" s="20">
        <v>12</v>
      </c>
      <c r="N4123" s="1">
        <v>2</v>
      </c>
    </row>
    <row r="4124" spans="1:14" x14ac:dyDescent="0.25">
      <c r="A4124" t="str">
        <f t="shared" si="130"/>
        <v>78755117875511</v>
      </c>
      <c r="B4124" t="str">
        <f t="shared" si="131"/>
        <v>7875511PV574EVK-M</v>
      </c>
      <c r="C4124" s="1" t="s">
        <v>518</v>
      </c>
      <c r="D4124" s="1" t="s">
        <v>753</v>
      </c>
      <c r="E4124" s="1" t="s">
        <v>382</v>
      </c>
      <c r="F4124" s="1" t="s">
        <v>383</v>
      </c>
      <c r="G4124" s="1" t="s">
        <v>390</v>
      </c>
      <c r="H4124" s="1">
        <v>348</v>
      </c>
      <c r="I4124" s="3">
        <v>46282</v>
      </c>
      <c r="L4124" s="31">
        <v>46282.706683136574</v>
      </c>
      <c r="M4124" s="20">
        <v>12</v>
      </c>
      <c r="N4124" s="1">
        <v>13</v>
      </c>
    </row>
    <row r="4125" spans="1:14" x14ac:dyDescent="0.25">
      <c r="A4125" t="str">
        <f t="shared" si="130"/>
        <v>78755117875511</v>
      </c>
      <c r="B4125" t="str">
        <f t="shared" si="131"/>
        <v>7875511PV574EVK-M</v>
      </c>
      <c r="C4125" s="1" t="s">
        <v>518</v>
      </c>
      <c r="D4125" s="1" t="s">
        <v>753</v>
      </c>
      <c r="E4125" s="1" t="s">
        <v>382</v>
      </c>
      <c r="F4125" s="1" t="s">
        <v>383</v>
      </c>
      <c r="G4125" s="1" t="s">
        <v>390</v>
      </c>
      <c r="H4125" s="1">
        <v>348</v>
      </c>
      <c r="I4125" s="3">
        <v>46282</v>
      </c>
      <c r="L4125" s="31">
        <v>46282.707386539347</v>
      </c>
      <c r="M4125" s="20">
        <v>12</v>
      </c>
      <c r="N4125" s="1">
        <v>15</v>
      </c>
    </row>
    <row r="4126" spans="1:14" x14ac:dyDescent="0.25">
      <c r="A4126" t="str">
        <f t="shared" si="130"/>
        <v>78755117875511</v>
      </c>
      <c r="B4126" t="str">
        <f t="shared" si="131"/>
        <v>7875511PV574EVK-M</v>
      </c>
      <c r="C4126" s="1" t="s">
        <v>518</v>
      </c>
      <c r="D4126" s="1" t="s">
        <v>753</v>
      </c>
      <c r="E4126" s="1" t="s">
        <v>382</v>
      </c>
      <c r="F4126" s="1" t="s">
        <v>383</v>
      </c>
      <c r="G4126" s="1" t="s">
        <v>390</v>
      </c>
      <c r="H4126" s="1">
        <v>348</v>
      </c>
      <c r="I4126" s="3">
        <v>46282</v>
      </c>
      <c r="L4126" s="31">
        <v>46282.707564583332</v>
      </c>
      <c r="M4126" s="20">
        <v>12</v>
      </c>
      <c r="N4126" s="1">
        <v>3</v>
      </c>
    </row>
    <row r="4127" spans="1:14" x14ac:dyDescent="0.25">
      <c r="A4127" t="str">
        <f t="shared" si="130"/>
        <v>78770367877036</v>
      </c>
      <c r="B4127" t="str">
        <f t="shared" si="131"/>
        <v>7877036WL515SB3-B</v>
      </c>
      <c r="C4127" s="1" t="s">
        <v>2</v>
      </c>
      <c r="D4127" s="1" t="s">
        <v>739</v>
      </c>
      <c r="E4127" s="1" t="s">
        <v>385</v>
      </c>
      <c r="F4127" s="1" t="s">
        <v>386</v>
      </c>
      <c r="G4127" s="1" t="s">
        <v>387</v>
      </c>
      <c r="H4127" s="1">
        <v>384</v>
      </c>
      <c r="I4127" s="3">
        <v>46282</v>
      </c>
      <c r="L4127" s="31">
        <v>46282.473201932866</v>
      </c>
      <c r="M4127" s="20">
        <v>12</v>
      </c>
      <c r="N4127" s="1">
        <v>5</v>
      </c>
    </row>
    <row r="4128" spans="1:14" x14ac:dyDescent="0.25">
      <c r="A4128" t="str">
        <f t="shared" si="130"/>
        <v>78770367877036</v>
      </c>
      <c r="B4128" t="str">
        <f t="shared" si="131"/>
        <v>7877036WL515SB3-B</v>
      </c>
      <c r="C4128" s="1" t="s">
        <v>2</v>
      </c>
      <c r="D4128" s="1" t="s">
        <v>739</v>
      </c>
      <c r="E4128" s="1" t="s">
        <v>385</v>
      </c>
      <c r="F4128" s="1" t="s">
        <v>386</v>
      </c>
      <c r="G4128" s="1" t="s">
        <v>387</v>
      </c>
      <c r="H4128" s="1">
        <v>384</v>
      </c>
      <c r="I4128" s="3">
        <v>46282</v>
      </c>
      <c r="L4128" s="31">
        <v>46282.547711724532</v>
      </c>
      <c r="M4128" s="20">
        <v>12</v>
      </c>
      <c r="N4128" s="1">
        <v>2</v>
      </c>
    </row>
    <row r="4129" spans="1:14" x14ac:dyDescent="0.25">
      <c r="A4129" t="str">
        <f t="shared" si="130"/>
        <v>78770367877036</v>
      </c>
      <c r="B4129" t="str">
        <f t="shared" si="131"/>
        <v>7877036WL515SB3-B</v>
      </c>
      <c r="C4129" s="1" t="s">
        <v>2</v>
      </c>
      <c r="D4129" s="1" t="s">
        <v>739</v>
      </c>
      <c r="E4129" s="1" t="s">
        <v>385</v>
      </c>
      <c r="F4129" s="1" t="s">
        <v>386</v>
      </c>
      <c r="G4129" s="1" t="s">
        <v>387</v>
      </c>
      <c r="H4129" s="1">
        <v>384</v>
      </c>
      <c r="I4129" s="3">
        <v>46282</v>
      </c>
      <c r="L4129" s="31">
        <v>46282.551191701386</v>
      </c>
      <c r="M4129" s="20">
        <v>12</v>
      </c>
      <c r="N4129" s="1">
        <v>15</v>
      </c>
    </row>
    <row r="4130" spans="1:14" x14ac:dyDescent="0.25">
      <c r="A4130" t="str">
        <f t="shared" si="130"/>
        <v>78770367877036</v>
      </c>
      <c r="B4130" t="str">
        <f t="shared" si="131"/>
        <v>7877036WL515SB3-B</v>
      </c>
      <c r="C4130" s="1" t="s">
        <v>2</v>
      </c>
      <c r="D4130" s="1" t="s">
        <v>739</v>
      </c>
      <c r="E4130" s="1" t="s">
        <v>385</v>
      </c>
      <c r="F4130" s="1" t="s">
        <v>386</v>
      </c>
      <c r="G4130" s="1" t="s">
        <v>387</v>
      </c>
      <c r="H4130" s="1">
        <v>384</v>
      </c>
      <c r="I4130" s="3">
        <v>46282</v>
      </c>
      <c r="L4130" s="31">
        <v>46282.552902048606</v>
      </c>
      <c r="M4130" s="20">
        <v>12</v>
      </c>
      <c r="N4130" s="1">
        <v>22</v>
      </c>
    </row>
    <row r="4131" spans="1:14" x14ac:dyDescent="0.25">
      <c r="A4131" t="str">
        <f t="shared" si="130"/>
        <v>78770367877036</v>
      </c>
      <c r="B4131" t="str">
        <f t="shared" si="131"/>
        <v>7877036WL515SB3-B</v>
      </c>
      <c r="C4131" s="1" t="s">
        <v>2</v>
      </c>
      <c r="D4131" s="1" t="s">
        <v>739</v>
      </c>
      <c r="E4131" s="1" t="s">
        <v>385</v>
      </c>
      <c r="F4131" s="1" t="s">
        <v>386</v>
      </c>
      <c r="G4131" s="1" t="s">
        <v>387</v>
      </c>
      <c r="H4131" s="1">
        <v>384</v>
      </c>
      <c r="I4131" s="3">
        <v>46282</v>
      </c>
      <c r="L4131" s="31">
        <v>46282.557926469904</v>
      </c>
      <c r="M4131" s="20">
        <v>12</v>
      </c>
      <c r="N4131" s="1">
        <v>21</v>
      </c>
    </row>
    <row r="4132" spans="1:14" x14ac:dyDescent="0.25">
      <c r="A4132" t="str">
        <f t="shared" si="130"/>
        <v>78770367877036</v>
      </c>
      <c r="B4132" t="str">
        <f t="shared" si="131"/>
        <v>7877036WL515SB3-B</v>
      </c>
      <c r="C4132" s="1" t="s">
        <v>2</v>
      </c>
      <c r="D4132" s="1" t="s">
        <v>739</v>
      </c>
      <c r="E4132" s="1" t="s">
        <v>385</v>
      </c>
      <c r="F4132" s="1" t="s">
        <v>386</v>
      </c>
      <c r="G4132" s="1" t="s">
        <v>387</v>
      </c>
      <c r="H4132" s="1">
        <v>384</v>
      </c>
      <c r="I4132" s="3">
        <v>46282</v>
      </c>
      <c r="L4132" s="31">
        <v>46282.577279513884</v>
      </c>
      <c r="M4132" s="20">
        <v>12</v>
      </c>
      <c r="N4132" s="1">
        <v>1</v>
      </c>
    </row>
    <row r="4133" spans="1:14" x14ac:dyDescent="0.25">
      <c r="A4133" t="str">
        <f t="shared" si="130"/>
        <v>78770367877036</v>
      </c>
      <c r="B4133" t="str">
        <f t="shared" si="131"/>
        <v>7877036WL515SB3-B</v>
      </c>
      <c r="C4133" s="1" t="s">
        <v>2</v>
      </c>
      <c r="D4133" s="1" t="s">
        <v>739</v>
      </c>
      <c r="E4133" s="1" t="s">
        <v>385</v>
      </c>
      <c r="F4133" s="1" t="s">
        <v>386</v>
      </c>
      <c r="G4133" s="1" t="s">
        <v>387</v>
      </c>
      <c r="H4133" s="1">
        <v>384</v>
      </c>
      <c r="I4133" s="3">
        <v>46282</v>
      </c>
      <c r="L4133" s="31">
        <v>46282.578365740737</v>
      </c>
      <c r="M4133" s="20">
        <v>12</v>
      </c>
      <c r="N4133" s="1">
        <v>6</v>
      </c>
    </row>
    <row r="4134" spans="1:14" x14ac:dyDescent="0.25">
      <c r="A4134" t="str">
        <f t="shared" si="130"/>
        <v>78770367877036</v>
      </c>
      <c r="B4134" t="str">
        <f t="shared" si="131"/>
        <v>7877036WL515SB3-B</v>
      </c>
      <c r="C4134" s="1" t="s">
        <v>2</v>
      </c>
      <c r="D4134" s="1" t="s">
        <v>739</v>
      </c>
      <c r="E4134" s="1" t="s">
        <v>385</v>
      </c>
      <c r="F4134" s="1" t="s">
        <v>386</v>
      </c>
      <c r="G4134" s="1" t="s">
        <v>387</v>
      </c>
      <c r="H4134" s="1">
        <v>384</v>
      </c>
      <c r="I4134" s="3">
        <v>46282</v>
      </c>
      <c r="L4134" s="31">
        <v>46282.586584293982</v>
      </c>
      <c r="M4134" s="20">
        <v>12</v>
      </c>
      <c r="N4134" s="1">
        <v>16</v>
      </c>
    </row>
    <row r="4135" spans="1:14" x14ac:dyDescent="0.25">
      <c r="A4135" t="str">
        <f t="shared" si="130"/>
        <v>78770367877036</v>
      </c>
      <c r="B4135" t="str">
        <f t="shared" si="131"/>
        <v>7877036WL515SB3-B</v>
      </c>
      <c r="C4135" s="1" t="s">
        <v>2</v>
      </c>
      <c r="D4135" s="1" t="s">
        <v>739</v>
      </c>
      <c r="E4135" s="1" t="s">
        <v>385</v>
      </c>
      <c r="F4135" s="1" t="s">
        <v>386</v>
      </c>
      <c r="G4135" s="1" t="s">
        <v>387</v>
      </c>
      <c r="H4135" s="1">
        <v>384</v>
      </c>
      <c r="I4135" s="3">
        <v>46282</v>
      </c>
      <c r="L4135" s="31">
        <v>46282.592414120365</v>
      </c>
      <c r="M4135" s="20">
        <v>12</v>
      </c>
      <c r="N4135" s="1">
        <v>23</v>
      </c>
    </row>
    <row r="4136" spans="1:14" x14ac:dyDescent="0.25">
      <c r="A4136" t="str">
        <f t="shared" si="130"/>
        <v>78803347880334</v>
      </c>
      <c r="B4136" t="str">
        <f t="shared" si="131"/>
        <v>7880334ML515NVY-D</v>
      </c>
      <c r="C4136" s="1" t="s">
        <v>77</v>
      </c>
      <c r="D4136" s="1" t="s">
        <v>751</v>
      </c>
      <c r="E4136" s="1" t="s">
        <v>388</v>
      </c>
      <c r="F4136" s="1" t="s">
        <v>389</v>
      </c>
      <c r="G4136" s="1" t="s">
        <v>387</v>
      </c>
      <c r="H4136" s="1">
        <v>3996</v>
      </c>
      <c r="I4136" s="3">
        <v>46282</v>
      </c>
      <c r="L4136" s="31">
        <v>46282.669397569443</v>
      </c>
      <c r="M4136" s="20">
        <v>12</v>
      </c>
      <c r="N4136" s="1">
        <v>139</v>
      </c>
    </row>
    <row r="4137" spans="1:14" x14ac:dyDescent="0.25">
      <c r="A4137" t="str">
        <f t="shared" si="130"/>
        <v>78803347880334</v>
      </c>
      <c r="B4137" t="str">
        <f t="shared" si="131"/>
        <v>7880334ML515NVY-D</v>
      </c>
      <c r="C4137" s="1" t="s">
        <v>77</v>
      </c>
      <c r="D4137" s="1" t="s">
        <v>751</v>
      </c>
      <c r="E4137" s="1" t="s">
        <v>388</v>
      </c>
      <c r="F4137" s="1" t="s">
        <v>389</v>
      </c>
      <c r="G4137" s="1" t="s">
        <v>387</v>
      </c>
      <c r="H4137" s="1">
        <v>3996</v>
      </c>
      <c r="I4137" s="3">
        <v>46282</v>
      </c>
      <c r="L4137" s="31">
        <v>46282.678090972222</v>
      </c>
      <c r="M4137" s="20">
        <v>12</v>
      </c>
      <c r="N4137" s="1">
        <v>144</v>
      </c>
    </row>
    <row r="4138" spans="1:14" x14ac:dyDescent="0.25">
      <c r="A4138" t="str">
        <f t="shared" si="130"/>
        <v>78803347880334</v>
      </c>
      <c r="B4138" t="str">
        <f t="shared" si="131"/>
        <v>7880334ML515NVY-D</v>
      </c>
      <c r="C4138" s="1" t="s">
        <v>77</v>
      </c>
      <c r="D4138" s="1" t="s">
        <v>751</v>
      </c>
      <c r="E4138" s="1" t="s">
        <v>388</v>
      </c>
      <c r="F4138" s="1" t="s">
        <v>389</v>
      </c>
      <c r="G4138" s="1" t="s">
        <v>387</v>
      </c>
      <c r="H4138" s="1">
        <v>3996</v>
      </c>
      <c r="I4138" s="3">
        <v>46282</v>
      </c>
      <c r="L4138" s="31">
        <v>46282.680018831015</v>
      </c>
      <c r="M4138" s="20">
        <v>12</v>
      </c>
      <c r="N4138" s="1">
        <v>145</v>
      </c>
    </row>
    <row r="4139" spans="1:14" x14ac:dyDescent="0.25">
      <c r="A4139" t="str">
        <f t="shared" si="130"/>
        <v>78803347880334</v>
      </c>
      <c r="B4139" t="str">
        <f t="shared" si="131"/>
        <v>7880334ML515NVY-D</v>
      </c>
      <c r="C4139" s="1" t="s">
        <v>77</v>
      </c>
      <c r="D4139" s="1" t="s">
        <v>751</v>
      </c>
      <c r="E4139" s="1" t="s">
        <v>388</v>
      </c>
      <c r="F4139" s="1" t="s">
        <v>389</v>
      </c>
      <c r="G4139" s="1" t="s">
        <v>387</v>
      </c>
      <c r="H4139" s="1">
        <v>3996</v>
      </c>
      <c r="I4139" s="3">
        <v>46282</v>
      </c>
      <c r="L4139" s="31">
        <v>46282.68322997685</v>
      </c>
      <c r="M4139" s="20">
        <v>12</v>
      </c>
      <c r="N4139" s="1">
        <v>146</v>
      </c>
    </row>
    <row r="4140" spans="1:14" x14ac:dyDescent="0.25">
      <c r="A4140" t="str">
        <f t="shared" si="130"/>
        <v>78803347880334</v>
      </c>
      <c r="B4140" t="str">
        <f t="shared" si="131"/>
        <v>7880334ML515NVY-D</v>
      </c>
      <c r="C4140" s="1" t="s">
        <v>77</v>
      </c>
      <c r="D4140" s="1" t="s">
        <v>751</v>
      </c>
      <c r="E4140" s="1" t="s">
        <v>388</v>
      </c>
      <c r="F4140" s="1" t="s">
        <v>389</v>
      </c>
      <c r="G4140" s="1" t="s">
        <v>387</v>
      </c>
      <c r="H4140" s="1">
        <v>3996</v>
      </c>
      <c r="I4140" s="3">
        <v>46282</v>
      </c>
      <c r="L4140" s="31">
        <v>46282.698285266204</v>
      </c>
      <c r="M4140" s="20">
        <v>12</v>
      </c>
      <c r="N4140" s="1">
        <v>138</v>
      </c>
    </row>
    <row r="4141" spans="1:14" x14ac:dyDescent="0.25">
      <c r="A4141" t="str">
        <f t="shared" si="130"/>
        <v>78803347880334</v>
      </c>
      <c r="B4141" t="str">
        <f t="shared" si="131"/>
        <v>7880334ML515NVY-D</v>
      </c>
      <c r="C4141" s="1" t="s">
        <v>77</v>
      </c>
      <c r="D4141" s="1" t="s">
        <v>751</v>
      </c>
      <c r="E4141" s="1" t="s">
        <v>388</v>
      </c>
      <c r="F4141" s="1" t="s">
        <v>389</v>
      </c>
      <c r="G4141" s="1" t="s">
        <v>387</v>
      </c>
      <c r="H4141" s="1">
        <v>3996</v>
      </c>
      <c r="I4141" s="3">
        <v>46282</v>
      </c>
      <c r="L4141" s="31">
        <v>46282.700550312496</v>
      </c>
      <c r="M4141" s="20">
        <v>12</v>
      </c>
      <c r="N4141" s="1">
        <v>198</v>
      </c>
    </row>
    <row r="4142" spans="1:14" x14ac:dyDescent="0.25">
      <c r="A4142" t="str">
        <f t="shared" si="130"/>
        <v>78803347880334</v>
      </c>
      <c r="B4142" t="str">
        <f t="shared" si="131"/>
        <v>7880334ML515NVY-D</v>
      </c>
      <c r="C4142" s="1" t="s">
        <v>77</v>
      </c>
      <c r="D4142" s="1" t="s">
        <v>751</v>
      </c>
      <c r="E4142" s="1" t="s">
        <v>388</v>
      </c>
      <c r="F4142" s="1" t="s">
        <v>389</v>
      </c>
      <c r="G4142" s="1" t="s">
        <v>387</v>
      </c>
      <c r="H4142" s="1">
        <v>3996</v>
      </c>
      <c r="I4142" s="3">
        <v>46282</v>
      </c>
      <c r="L4142" s="31">
        <v>46282.700785266199</v>
      </c>
      <c r="M4142" s="20">
        <v>12</v>
      </c>
      <c r="N4142" s="1">
        <v>242</v>
      </c>
    </row>
    <row r="4143" spans="1:14" x14ac:dyDescent="0.25">
      <c r="A4143" t="str">
        <f t="shared" si="130"/>
        <v>78803347880334</v>
      </c>
      <c r="B4143" t="str">
        <f t="shared" si="131"/>
        <v>7880334ML515NVY-D</v>
      </c>
      <c r="C4143" s="1" t="s">
        <v>77</v>
      </c>
      <c r="D4143" s="1" t="s">
        <v>751</v>
      </c>
      <c r="E4143" s="1" t="s">
        <v>388</v>
      </c>
      <c r="F4143" s="1" t="s">
        <v>389</v>
      </c>
      <c r="G4143" s="1" t="s">
        <v>387</v>
      </c>
      <c r="H4143" s="1">
        <v>3996</v>
      </c>
      <c r="I4143" s="3">
        <v>46282</v>
      </c>
      <c r="L4143" s="31">
        <v>46282.701111805553</v>
      </c>
      <c r="M4143" s="20">
        <v>12</v>
      </c>
      <c r="N4143" s="1">
        <v>199</v>
      </c>
    </row>
    <row r="4144" spans="1:14" x14ac:dyDescent="0.25">
      <c r="A4144" t="str">
        <f t="shared" si="130"/>
        <v>78803347880334</v>
      </c>
      <c r="B4144" t="str">
        <f t="shared" si="131"/>
        <v>7880334ML515NVY-D</v>
      </c>
      <c r="C4144" s="1" t="s">
        <v>77</v>
      </c>
      <c r="D4144" s="1" t="s">
        <v>751</v>
      </c>
      <c r="E4144" s="1" t="s">
        <v>388</v>
      </c>
      <c r="F4144" s="1" t="s">
        <v>389</v>
      </c>
      <c r="G4144" s="1" t="s">
        <v>387</v>
      </c>
      <c r="H4144" s="1">
        <v>3996</v>
      </c>
      <c r="I4144" s="3">
        <v>46282</v>
      </c>
      <c r="L4144" s="31">
        <v>46282.701769942127</v>
      </c>
      <c r="M4144" s="20">
        <v>12</v>
      </c>
      <c r="N4144" s="1">
        <v>301</v>
      </c>
    </row>
    <row r="4145" spans="1:14" x14ac:dyDescent="0.25">
      <c r="A4145" t="str">
        <f t="shared" si="130"/>
        <v>78803347880334</v>
      </c>
      <c r="B4145" t="str">
        <f t="shared" si="131"/>
        <v>7880334ML515NVY-D</v>
      </c>
      <c r="C4145" s="1" t="s">
        <v>77</v>
      </c>
      <c r="D4145" s="1" t="s">
        <v>751</v>
      </c>
      <c r="E4145" s="1" t="s">
        <v>388</v>
      </c>
      <c r="F4145" s="1" t="s">
        <v>389</v>
      </c>
      <c r="G4145" s="1" t="s">
        <v>387</v>
      </c>
      <c r="H4145" s="1">
        <v>3996</v>
      </c>
      <c r="I4145" s="3">
        <v>46282</v>
      </c>
      <c r="L4145" s="31">
        <v>46282.702019756944</v>
      </c>
      <c r="M4145" s="20">
        <v>12</v>
      </c>
      <c r="N4145" s="1">
        <v>195</v>
      </c>
    </row>
    <row r="4146" spans="1:14" x14ac:dyDescent="0.25">
      <c r="A4146" t="str">
        <f t="shared" si="130"/>
        <v>78803347880334</v>
      </c>
      <c r="B4146" t="str">
        <f t="shared" si="131"/>
        <v>7880334ML515NVY-D</v>
      </c>
      <c r="C4146" s="1" t="s">
        <v>77</v>
      </c>
      <c r="D4146" s="1" t="s">
        <v>751</v>
      </c>
      <c r="E4146" s="1" t="s">
        <v>388</v>
      </c>
      <c r="F4146" s="1" t="s">
        <v>389</v>
      </c>
      <c r="G4146" s="1" t="s">
        <v>387</v>
      </c>
      <c r="H4146" s="1">
        <v>3996</v>
      </c>
      <c r="I4146" s="3">
        <v>46282</v>
      </c>
      <c r="L4146" s="31">
        <v>46282.709667974537</v>
      </c>
      <c r="M4146" s="20">
        <v>12</v>
      </c>
      <c r="N4146" s="1">
        <v>193</v>
      </c>
    </row>
    <row r="4147" spans="1:14" x14ac:dyDescent="0.25">
      <c r="A4147" t="str">
        <f t="shared" si="130"/>
        <v>78803347880334</v>
      </c>
      <c r="B4147" t="str">
        <f t="shared" si="131"/>
        <v>7880334ML515NVY-D</v>
      </c>
      <c r="C4147" s="1" t="s">
        <v>77</v>
      </c>
      <c r="D4147" s="1" t="s">
        <v>751</v>
      </c>
      <c r="E4147" s="1" t="s">
        <v>388</v>
      </c>
      <c r="F4147" s="1" t="s">
        <v>389</v>
      </c>
      <c r="G4147" s="1" t="s">
        <v>387</v>
      </c>
      <c r="H4147" s="1">
        <v>3996</v>
      </c>
      <c r="I4147" s="3">
        <v>46282</v>
      </c>
      <c r="L4147" s="31">
        <v>46282.713124421294</v>
      </c>
      <c r="M4147" s="20">
        <v>12</v>
      </c>
      <c r="N4147" s="1">
        <v>141</v>
      </c>
    </row>
    <row r="4148" spans="1:14" x14ac:dyDescent="0.25">
      <c r="A4148" t="str">
        <f t="shared" si="130"/>
        <v>78803347880334</v>
      </c>
      <c r="B4148" t="str">
        <f t="shared" si="131"/>
        <v>7880334ML515NVY-D</v>
      </c>
      <c r="C4148" s="1" t="s">
        <v>77</v>
      </c>
      <c r="D4148" s="1" t="s">
        <v>751</v>
      </c>
      <c r="E4148" s="1" t="s">
        <v>388</v>
      </c>
      <c r="F4148" s="1" t="s">
        <v>389</v>
      </c>
      <c r="G4148" s="1" t="s">
        <v>387</v>
      </c>
      <c r="H4148" s="1">
        <v>3996</v>
      </c>
      <c r="I4148" s="3">
        <v>46282</v>
      </c>
      <c r="L4148" s="31">
        <v>46282.713405555551</v>
      </c>
      <c r="M4148" s="20">
        <v>12</v>
      </c>
      <c r="N4148" s="1">
        <v>260</v>
      </c>
    </row>
    <row r="4149" spans="1:14" x14ac:dyDescent="0.25">
      <c r="A4149" t="str">
        <f t="shared" si="130"/>
        <v>78803347880334</v>
      </c>
      <c r="B4149" t="str">
        <f t="shared" si="131"/>
        <v>7880334ML515NVY-D</v>
      </c>
      <c r="C4149" s="1" t="s">
        <v>77</v>
      </c>
      <c r="D4149" s="1" t="s">
        <v>751</v>
      </c>
      <c r="E4149" s="1" t="s">
        <v>388</v>
      </c>
      <c r="F4149" s="1" t="s">
        <v>389</v>
      </c>
      <c r="G4149" s="1" t="s">
        <v>387</v>
      </c>
      <c r="H4149" s="1">
        <v>3996</v>
      </c>
      <c r="I4149" s="3">
        <v>46282</v>
      </c>
      <c r="L4149" s="31">
        <v>46282.726609606478</v>
      </c>
      <c r="M4149" s="20">
        <v>12</v>
      </c>
      <c r="N4149" s="1">
        <v>136</v>
      </c>
    </row>
    <row r="4150" spans="1:14" x14ac:dyDescent="0.25">
      <c r="A4150" t="str">
        <f t="shared" si="130"/>
        <v>78803347880334</v>
      </c>
      <c r="B4150" t="str">
        <f t="shared" si="131"/>
        <v>7880334ML515NVY-D</v>
      </c>
      <c r="C4150" s="1" t="s">
        <v>77</v>
      </c>
      <c r="D4150" s="1" t="s">
        <v>751</v>
      </c>
      <c r="E4150" s="1" t="s">
        <v>388</v>
      </c>
      <c r="F4150" s="1" t="s">
        <v>389</v>
      </c>
      <c r="G4150" s="1" t="s">
        <v>387</v>
      </c>
      <c r="H4150" s="1">
        <v>3996</v>
      </c>
      <c r="I4150" s="3">
        <v>46282</v>
      </c>
      <c r="L4150" s="31">
        <v>46282.726846678241</v>
      </c>
      <c r="M4150" s="20">
        <v>12</v>
      </c>
      <c r="N4150" s="1">
        <v>197</v>
      </c>
    </row>
    <row r="4151" spans="1:14" x14ac:dyDescent="0.25">
      <c r="A4151" t="str">
        <f t="shared" si="130"/>
        <v>78803347880334</v>
      </c>
      <c r="B4151" t="str">
        <f t="shared" si="131"/>
        <v>7880334ML515NVY-D</v>
      </c>
      <c r="C4151" s="1" t="s">
        <v>77</v>
      </c>
      <c r="D4151" s="1" t="s">
        <v>751</v>
      </c>
      <c r="E4151" s="1" t="s">
        <v>388</v>
      </c>
      <c r="F4151" s="1" t="s">
        <v>389</v>
      </c>
      <c r="G4151" s="1" t="s">
        <v>387</v>
      </c>
      <c r="H4151" s="1">
        <v>3996</v>
      </c>
      <c r="I4151" s="3">
        <v>46282</v>
      </c>
      <c r="L4151" s="31">
        <v>46282.733191087958</v>
      </c>
      <c r="M4151" s="20">
        <v>12</v>
      </c>
      <c r="N4151" s="1">
        <v>137</v>
      </c>
    </row>
    <row r="4152" spans="1:14" x14ac:dyDescent="0.25">
      <c r="A4152" t="str">
        <f t="shared" si="130"/>
        <v>78803347880334</v>
      </c>
      <c r="B4152" t="str">
        <f t="shared" si="131"/>
        <v>7880334ML515NVY-D</v>
      </c>
      <c r="C4152" s="1" t="s">
        <v>77</v>
      </c>
      <c r="D4152" s="1" t="s">
        <v>751</v>
      </c>
      <c r="E4152" s="1" t="s">
        <v>388</v>
      </c>
      <c r="F4152" s="1" t="s">
        <v>389</v>
      </c>
      <c r="G4152" s="1" t="s">
        <v>387</v>
      </c>
      <c r="H4152" s="1">
        <v>3996</v>
      </c>
      <c r="I4152" s="3">
        <v>46282</v>
      </c>
      <c r="L4152" s="31">
        <v>46282.734055439811</v>
      </c>
      <c r="M4152" s="20">
        <v>12</v>
      </c>
      <c r="N4152" s="1">
        <v>202</v>
      </c>
    </row>
    <row r="4153" spans="1:14" x14ac:dyDescent="0.25">
      <c r="A4153" t="str">
        <f t="shared" si="130"/>
        <v>78803347880334</v>
      </c>
      <c r="B4153" t="str">
        <f t="shared" si="131"/>
        <v>7880334ML515NVY-D</v>
      </c>
      <c r="C4153" s="1" t="s">
        <v>77</v>
      </c>
      <c r="D4153" s="1" t="s">
        <v>751</v>
      </c>
      <c r="E4153" s="1" t="s">
        <v>388</v>
      </c>
      <c r="F4153" s="1" t="s">
        <v>389</v>
      </c>
      <c r="G4153" s="1" t="s">
        <v>387</v>
      </c>
      <c r="H4153" s="1">
        <v>3996</v>
      </c>
      <c r="I4153" s="3">
        <v>46282</v>
      </c>
      <c r="L4153" s="31">
        <v>46282.737550231483</v>
      </c>
      <c r="M4153" s="20">
        <v>12</v>
      </c>
      <c r="N4153" s="1">
        <v>142</v>
      </c>
    </row>
    <row r="4154" spans="1:14" x14ac:dyDescent="0.25">
      <c r="A4154" t="str">
        <f t="shared" si="130"/>
        <v>78803347880334</v>
      </c>
      <c r="B4154" t="str">
        <f t="shared" si="131"/>
        <v>7880334ML515NVY-D</v>
      </c>
      <c r="C4154" s="1" t="s">
        <v>77</v>
      </c>
      <c r="D4154" s="1" t="s">
        <v>751</v>
      </c>
      <c r="E4154" s="1" t="s">
        <v>388</v>
      </c>
      <c r="F4154" s="1" t="s">
        <v>389</v>
      </c>
      <c r="G4154" s="1" t="s">
        <v>387</v>
      </c>
      <c r="H4154" s="1">
        <v>3996</v>
      </c>
      <c r="I4154" s="3">
        <v>46282</v>
      </c>
      <c r="L4154" s="31">
        <v>46282.738006481479</v>
      </c>
      <c r="M4154" s="20">
        <v>12</v>
      </c>
      <c r="N4154" s="1">
        <v>243</v>
      </c>
    </row>
    <row r="4155" spans="1:14" x14ac:dyDescent="0.25">
      <c r="A4155" t="str">
        <f t="shared" si="130"/>
        <v>78803347880334</v>
      </c>
      <c r="B4155" t="str">
        <f t="shared" si="131"/>
        <v>7880334ML515NVY-D</v>
      </c>
      <c r="C4155" s="1" t="s">
        <v>77</v>
      </c>
      <c r="D4155" s="1" t="s">
        <v>751</v>
      </c>
      <c r="E4155" s="1" t="s">
        <v>388</v>
      </c>
      <c r="F4155" s="1" t="s">
        <v>389</v>
      </c>
      <c r="G4155" s="1" t="s">
        <v>387</v>
      </c>
      <c r="H4155" s="1">
        <v>3996</v>
      </c>
      <c r="I4155" s="3">
        <v>46282</v>
      </c>
      <c r="L4155" s="31">
        <v>46282.743769525463</v>
      </c>
      <c r="M4155" s="20">
        <v>12</v>
      </c>
      <c r="N4155" s="1">
        <v>302</v>
      </c>
    </row>
    <row r="4156" spans="1:14" x14ac:dyDescent="0.25">
      <c r="A4156" t="str">
        <f t="shared" si="130"/>
        <v>78803347880334</v>
      </c>
      <c r="B4156" t="str">
        <f t="shared" si="131"/>
        <v>7880334ML515NVY-D</v>
      </c>
      <c r="C4156" s="1" t="s">
        <v>77</v>
      </c>
      <c r="D4156" s="1" t="s">
        <v>751</v>
      </c>
      <c r="E4156" s="1" t="s">
        <v>388</v>
      </c>
      <c r="F4156" s="1" t="s">
        <v>389</v>
      </c>
      <c r="G4156" s="1" t="s">
        <v>387</v>
      </c>
      <c r="H4156" s="1">
        <v>3996</v>
      </c>
      <c r="I4156" s="3">
        <v>46282</v>
      </c>
      <c r="L4156" s="31">
        <v>46282.749660497684</v>
      </c>
      <c r="M4156" s="20">
        <v>12</v>
      </c>
      <c r="N4156" s="1">
        <v>303</v>
      </c>
    </row>
    <row r="4157" spans="1:14" x14ac:dyDescent="0.25">
      <c r="A4157" t="str">
        <f t="shared" si="130"/>
        <v>78803347880334</v>
      </c>
      <c r="B4157" t="str">
        <f t="shared" si="131"/>
        <v>7880334ML515NVY-D</v>
      </c>
      <c r="C4157" s="1" t="s">
        <v>77</v>
      </c>
      <c r="D4157" s="1" t="s">
        <v>751</v>
      </c>
      <c r="E4157" s="1" t="s">
        <v>388</v>
      </c>
      <c r="F4157" s="1" t="s">
        <v>389</v>
      </c>
      <c r="G4157" s="1" t="s">
        <v>387</v>
      </c>
      <c r="H4157" s="1">
        <v>3996</v>
      </c>
      <c r="I4157" s="3">
        <v>46282</v>
      </c>
      <c r="L4157" s="31">
        <v>46282.75043368055</v>
      </c>
      <c r="M4157" s="20">
        <v>12</v>
      </c>
      <c r="N4157" s="1">
        <v>196</v>
      </c>
    </row>
    <row r="4158" spans="1:14" x14ac:dyDescent="0.25">
      <c r="A4158" t="str">
        <f t="shared" si="130"/>
        <v>78803347880334</v>
      </c>
      <c r="B4158" t="str">
        <f t="shared" si="131"/>
        <v>7880334ML515NVY-D</v>
      </c>
      <c r="C4158" s="1" t="s">
        <v>77</v>
      </c>
      <c r="D4158" s="1" t="s">
        <v>751</v>
      </c>
      <c r="E4158" s="1" t="s">
        <v>388</v>
      </c>
      <c r="F4158" s="1" t="s">
        <v>389</v>
      </c>
      <c r="G4158" s="1" t="s">
        <v>387</v>
      </c>
      <c r="H4158" s="1">
        <v>3996</v>
      </c>
      <c r="I4158" s="3">
        <v>46282</v>
      </c>
      <c r="L4158" s="31">
        <v>46282.750792939813</v>
      </c>
      <c r="M4158" s="20">
        <v>12</v>
      </c>
      <c r="N4158" s="1">
        <v>194</v>
      </c>
    </row>
    <row r="4159" spans="1:14" x14ac:dyDescent="0.25">
      <c r="A4159" t="str">
        <f t="shared" si="130"/>
        <v>78803347880334</v>
      </c>
      <c r="B4159" t="str">
        <f t="shared" si="131"/>
        <v>7880334ML515NVY-D</v>
      </c>
      <c r="C4159" s="1" t="s">
        <v>77</v>
      </c>
      <c r="D4159" s="1" t="s">
        <v>751</v>
      </c>
      <c r="E4159" s="1" t="s">
        <v>388</v>
      </c>
      <c r="F4159" s="1" t="s">
        <v>389</v>
      </c>
      <c r="G4159" s="1" t="s">
        <v>387</v>
      </c>
      <c r="H4159" s="1">
        <v>3996</v>
      </c>
      <c r="I4159" s="3">
        <v>46282</v>
      </c>
      <c r="L4159" s="31">
        <v>46282.753664270829</v>
      </c>
      <c r="M4159" s="20">
        <v>12</v>
      </c>
      <c r="N4159" s="1">
        <v>140</v>
      </c>
    </row>
    <row r="4160" spans="1:14" x14ac:dyDescent="0.25">
      <c r="A4160" t="str">
        <f t="shared" si="130"/>
        <v>78807247880724</v>
      </c>
      <c r="B4160" t="str">
        <f t="shared" si="131"/>
        <v>7880724G6035F4-M</v>
      </c>
      <c r="C4160" s="1" t="s">
        <v>24</v>
      </c>
      <c r="D4160" s="1" t="s">
        <v>740</v>
      </c>
      <c r="E4160" s="1" t="s">
        <v>388</v>
      </c>
      <c r="F4160" s="1" t="s">
        <v>389</v>
      </c>
      <c r="G4160" s="1" t="s">
        <v>387</v>
      </c>
      <c r="H4160" s="1">
        <v>1356</v>
      </c>
      <c r="I4160" s="3">
        <v>46282</v>
      </c>
      <c r="J4160" s="3">
        <v>46286</v>
      </c>
      <c r="L4160" s="31">
        <v>46282.481263425921</v>
      </c>
      <c r="M4160" s="20">
        <v>12</v>
      </c>
      <c r="N4160" s="1">
        <v>78</v>
      </c>
    </row>
    <row r="4161" spans="1:14" x14ac:dyDescent="0.25">
      <c r="A4161" t="str">
        <f t="shared" si="130"/>
        <v>78807247880724</v>
      </c>
      <c r="B4161" t="str">
        <f t="shared" si="131"/>
        <v>7880724G6035F4-M</v>
      </c>
      <c r="C4161" s="1" t="s">
        <v>24</v>
      </c>
      <c r="D4161" s="1" t="s">
        <v>740</v>
      </c>
      <c r="E4161" s="1" t="s">
        <v>388</v>
      </c>
      <c r="F4161" s="1" t="s">
        <v>389</v>
      </c>
      <c r="G4161" s="1" t="s">
        <v>387</v>
      </c>
      <c r="H4161" s="1">
        <v>1356</v>
      </c>
      <c r="I4161" s="3">
        <v>46282</v>
      </c>
      <c r="J4161" s="3">
        <v>46286</v>
      </c>
      <c r="L4161" s="31">
        <v>46282.558343553239</v>
      </c>
      <c r="M4161" s="20">
        <v>12</v>
      </c>
      <c r="N4161" s="1">
        <v>80</v>
      </c>
    </row>
    <row r="4162" spans="1:14" x14ac:dyDescent="0.25">
      <c r="A4162" t="str">
        <f t="shared" ref="A4162:A4225" si="132">+D4162&amp;D4162</f>
        <v>78807247880724</v>
      </c>
      <c r="B4162" t="str">
        <f t="shared" ref="B4162:B4225" si="133">+D4162&amp;C4162</f>
        <v>7880724G6035F4-M</v>
      </c>
      <c r="C4162" s="1" t="s">
        <v>24</v>
      </c>
      <c r="D4162" s="1" t="s">
        <v>740</v>
      </c>
      <c r="E4162" s="1" t="s">
        <v>388</v>
      </c>
      <c r="F4162" s="1" t="s">
        <v>389</v>
      </c>
      <c r="G4162" s="1" t="s">
        <v>387</v>
      </c>
      <c r="H4162" s="1">
        <v>1356</v>
      </c>
      <c r="I4162" s="3">
        <v>46282</v>
      </c>
      <c r="J4162" s="3">
        <v>46286</v>
      </c>
      <c r="L4162" s="31">
        <v>46282.558536840275</v>
      </c>
      <c r="M4162" s="20">
        <v>12</v>
      </c>
      <c r="N4162" s="1">
        <v>47</v>
      </c>
    </row>
    <row r="4163" spans="1:14" x14ac:dyDescent="0.25">
      <c r="A4163" t="str">
        <f t="shared" si="132"/>
        <v>78807247880724</v>
      </c>
      <c r="B4163" t="str">
        <f t="shared" si="133"/>
        <v>7880724G6035F4-M</v>
      </c>
      <c r="C4163" s="1" t="s">
        <v>24</v>
      </c>
      <c r="D4163" s="1" t="s">
        <v>740</v>
      </c>
      <c r="E4163" s="1" t="s">
        <v>388</v>
      </c>
      <c r="F4163" s="1" t="s">
        <v>389</v>
      </c>
      <c r="G4163" s="1" t="s">
        <v>387</v>
      </c>
      <c r="H4163" s="1">
        <v>1356</v>
      </c>
      <c r="I4163" s="3">
        <v>46282</v>
      </c>
      <c r="J4163" s="3">
        <v>46286</v>
      </c>
      <c r="L4163" s="31">
        <v>46282.558706828699</v>
      </c>
      <c r="M4163" s="20">
        <v>12</v>
      </c>
      <c r="N4163" s="1">
        <v>45</v>
      </c>
    </row>
    <row r="4164" spans="1:14" x14ac:dyDescent="0.25">
      <c r="A4164" t="str">
        <f t="shared" si="132"/>
        <v>78807247880724</v>
      </c>
      <c r="B4164" t="str">
        <f t="shared" si="133"/>
        <v>7880724G6035F4-M</v>
      </c>
      <c r="C4164" s="1" t="s">
        <v>24</v>
      </c>
      <c r="D4164" s="1" t="s">
        <v>740</v>
      </c>
      <c r="E4164" s="1" t="s">
        <v>388</v>
      </c>
      <c r="F4164" s="1" t="s">
        <v>389</v>
      </c>
      <c r="G4164" s="1" t="s">
        <v>387</v>
      </c>
      <c r="H4164" s="1">
        <v>1356</v>
      </c>
      <c r="I4164" s="3">
        <v>46282</v>
      </c>
      <c r="J4164" s="3">
        <v>46286</v>
      </c>
      <c r="L4164" s="31">
        <v>46282.560106018514</v>
      </c>
      <c r="M4164" s="20">
        <v>12</v>
      </c>
      <c r="N4164" s="1">
        <v>65</v>
      </c>
    </row>
    <row r="4165" spans="1:14" x14ac:dyDescent="0.25">
      <c r="A4165" t="str">
        <f t="shared" si="132"/>
        <v>78807247880724</v>
      </c>
      <c r="B4165" t="str">
        <f t="shared" si="133"/>
        <v>7880724G6035F4-M</v>
      </c>
      <c r="C4165" s="1" t="s">
        <v>24</v>
      </c>
      <c r="D4165" s="1" t="s">
        <v>740</v>
      </c>
      <c r="E4165" s="1" t="s">
        <v>388</v>
      </c>
      <c r="F4165" s="1" t="s">
        <v>389</v>
      </c>
      <c r="G4165" s="1" t="s">
        <v>387</v>
      </c>
      <c r="H4165" s="1">
        <v>1356</v>
      </c>
      <c r="I4165" s="3">
        <v>46282</v>
      </c>
      <c r="J4165" s="3">
        <v>46286</v>
      </c>
      <c r="L4165" s="31">
        <v>46282.560313576389</v>
      </c>
      <c r="M4165" s="20">
        <v>12</v>
      </c>
      <c r="N4165" s="1">
        <v>66</v>
      </c>
    </row>
    <row r="4166" spans="1:14" x14ac:dyDescent="0.25">
      <c r="A4166" t="str">
        <f t="shared" si="132"/>
        <v>78807247880724</v>
      </c>
      <c r="B4166" t="str">
        <f t="shared" si="133"/>
        <v>7880724G6035F4-M</v>
      </c>
      <c r="C4166" s="1" t="s">
        <v>24</v>
      </c>
      <c r="D4166" s="1" t="s">
        <v>740</v>
      </c>
      <c r="E4166" s="1" t="s">
        <v>388</v>
      </c>
      <c r="F4166" s="1" t="s">
        <v>389</v>
      </c>
      <c r="G4166" s="1" t="s">
        <v>387</v>
      </c>
      <c r="H4166" s="1">
        <v>1356</v>
      </c>
      <c r="I4166" s="3">
        <v>46282</v>
      </c>
      <c r="J4166" s="3">
        <v>46286</v>
      </c>
      <c r="L4166" s="31">
        <v>46282.560514386569</v>
      </c>
      <c r="M4166" s="20">
        <v>12</v>
      </c>
      <c r="N4166" s="1">
        <v>16</v>
      </c>
    </row>
    <row r="4167" spans="1:14" x14ac:dyDescent="0.25">
      <c r="A4167" t="str">
        <f t="shared" si="132"/>
        <v>78807247880724</v>
      </c>
      <c r="B4167" t="str">
        <f t="shared" si="133"/>
        <v>7880724G6035F4-M</v>
      </c>
      <c r="C4167" s="1" t="s">
        <v>24</v>
      </c>
      <c r="D4167" s="1" t="s">
        <v>740</v>
      </c>
      <c r="E4167" s="1" t="s">
        <v>388</v>
      </c>
      <c r="F4167" s="1" t="s">
        <v>389</v>
      </c>
      <c r="G4167" s="1" t="s">
        <v>387</v>
      </c>
      <c r="H4167" s="1">
        <v>1356</v>
      </c>
      <c r="I4167" s="3">
        <v>46282</v>
      </c>
      <c r="J4167" s="3">
        <v>46286</v>
      </c>
      <c r="L4167" s="31">
        <v>46282.560686921293</v>
      </c>
      <c r="M4167" s="20">
        <v>12</v>
      </c>
      <c r="N4167" s="1">
        <v>97</v>
      </c>
    </row>
    <row r="4168" spans="1:14" x14ac:dyDescent="0.25">
      <c r="A4168" t="str">
        <f t="shared" si="132"/>
        <v>78807247880724</v>
      </c>
      <c r="B4168" t="str">
        <f t="shared" si="133"/>
        <v>7880724G6035F4-M</v>
      </c>
      <c r="C4168" s="1" t="s">
        <v>24</v>
      </c>
      <c r="D4168" s="1" t="s">
        <v>740</v>
      </c>
      <c r="E4168" s="1" t="s">
        <v>388</v>
      </c>
      <c r="F4168" s="1" t="s">
        <v>389</v>
      </c>
      <c r="G4168" s="1" t="s">
        <v>387</v>
      </c>
      <c r="H4168" s="1">
        <v>1356</v>
      </c>
      <c r="I4168" s="3">
        <v>46282</v>
      </c>
      <c r="J4168" s="3">
        <v>46286</v>
      </c>
      <c r="L4168" s="31">
        <v>46282.561181712961</v>
      </c>
      <c r="M4168" s="20">
        <v>12</v>
      </c>
      <c r="N4168" s="1">
        <v>19</v>
      </c>
    </row>
    <row r="4169" spans="1:14" x14ac:dyDescent="0.25">
      <c r="A4169" t="str">
        <f t="shared" si="132"/>
        <v>78807247880724</v>
      </c>
      <c r="B4169" t="str">
        <f t="shared" si="133"/>
        <v>7880724G6035F4-M</v>
      </c>
      <c r="C4169" s="1" t="s">
        <v>24</v>
      </c>
      <c r="D4169" s="1" t="s">
        <v>740</v>
      </c>
      <c r="E4169" s="1" t="s">
        <v>388</v>
      </c>
      <c r="F4169" s="1" t="s">
        <v>389</v>
      </c>
      <c r="G4169" s="1" t="s">
        <v>387</v>
      </c>
      <c r="H4169" s="1">
        <v>1356</v>
      </c>
      <c r="I4169" s="3">
        <v>46282</v>
      </c>
      <c r="J4169" s="3">
        <v>46286</v>
      </c>
      <c r="L4169" s="31">
        <v>46282.565048761571</v>
      </c>
      <c r="M4169" s="20">
        <v>12</v>
      </c>
      <c r="N4169" s="1">
        <v>46</v>
      </c>
    </row>
    <row r="4170" spans="1:14" x14ac:dyDescent="0.25">
      <c r="A4170" t="str">
        <f t="shared" si="132"/>
        <v>78807247880724</v>
      </c>
      <c r="B4170" t="str">
        <f t="shared" si="133"/>
        <v>7880724G6035F4-M</v>
      </c>
      <c r="C4170" s="1" t="s">
        <v>24</v>
      </c>
      <c r="D4170" s="1" t="s">
        <v>740</v>
      </c>
      <c r="E4170" s="1" t="s">
        <v>388</v>
      </c>
      <c r="F4170" s="1" t="s">
        <v>389</v>
      </c>
      <c r="G4170" s="1" t="s">
        <v>387</v>
      </c>
      <c r="H4170" s="1">
        <v>1356</v>
      </c>
      <c r="I4170" s="3">
        <v>46282</v>
      </c>
      <c r="J4170" s="3">
        <v>46286</v>
      </c>
      <c r="L4170" s="31">
        <v>46282.568230902776</v>
      </c>
      <c r="M4170" s="20">
        <v>12</v>
      </c>
      <c r="N4170" s="1">
        <v>18</v>
      </c>
    </row>
    <row r="4171" spans="1:14" x14ac:dyDescent="0.25">
      <c r="A4171" t="str">
        <f t="shared" si="132"/>
        <v>78807247880724</v>
      </c>
      <c r="B4171" t="str">
        <f t="shared" si="133"/>
        <v>7880724G6035F4-M</v>
      </c>
      <c r="C4171" s="1" t="s">
        <v>24</v>
      </c>
      <c r="D4171" s="1" t="s">
        <v>740</v>
      </c>
      <c r="E4171" s="1" t="s">
        <v>388</v>
      </c>
      <c r="F4171" s="1" t="s">
        <v>389</v>
      </c>
      <c r="G4171" s="1" t="s">
        <v>387</v>
      </c>
      <c r="H4171" s="1">
        <v>1356</v>
      </c>
      <c r="I4171" s="3">
        <v>46282</v>
      </c>
      <c r="J4171" s="3">
        <v>46286</v>
      </c>
      <c r="L4171" s="31">
        <v>46282.56852040509</v>
      </c>
      <c r="M4171" s="20">
        <v>12</v>
      </c>
      <c r="N4171" s="1">
        <v>79</v>
      </c>
    </row>
    <row r="4172" spans="1:14" x14ac:dyDescent="0.25">
      <c r="A4172" t="str">
        <f t="shared" si="132"/>
        <v>78807247880724</v>
      </c>
      <c r="B4172" t="str">
        <f t="shared" si="133"/>
        <v>7880724G6035F4-M</v>
      </c>
      <c r="C4172" s="1" t="s">
        <v>24</v>
      </c>
      <c r="D4172" s="1" t="s">
        <v>740</v>
      </c>
      <c r="E4172" s="1" t="s">
        <v>388</v>
      </c>
      <c r="F4172" s="1" t="s">
        <v>389</v>
      </c>
      <c r="G4172" s="1" t="s">
        <v>387</v>
      </c>
      <c r="H4172" s="1">
        <v>1356</v>
      </c>
      <c r="I4172" s="3">
        <v>46282</v>
      </c>
      <c r="J4172" s="3">
        <v>46286</v>
      </c>
      <c r="L4172" s="31">
        <v>46282.568697222217</v>
      </c>
      <c r="M4172" s="20">
        <v>12</v>
      </c>
      <c r="N4172" s="1">
        <v>17</v>
      </c>
    </row>
    <row r="4173" spans="1:14" x14ac:dyDescent="0.25">
      <c r="A4173" t="str">
        <f t="shared" si="132"/>
        <v>78807247880724</v>
      </c>
      <c r="B4173" t="str">
        <f t="shared" si="133"/>
        <v>7880724G6035F4-M</v>
      </c>
      <c r="C4173" s="1" t="s">
        <v>24</v>
      </c>
      <c r="D4173" s="1" t="s">
        <v>740</v>
      </c>
      <c r="E4173" s="1" t="s">
        <v>388</v>
      </c>
      <c r="F4173" s="1" t="s">
        <v>389</v>
      </c>
      <c r="G4173" s="1" t="s">
        <v>387</v>
      </c>
      <c r="H4173" s="1">
        <v>1356</v>
      </c>
      <c r="I4173" s="3">
        <v>46282</v>
      </c>
      <c r="J4173" s="3">
        <v>46286</v>
      </c>
      <c r="L4173" s="31">
        <v>46282.573260335645</v>
      </c>
      <c r="M4173" s="20">
        <v>12</v>
      </c>
      <c r="N4173" s="1">
        <v>67</v>
      </c>
    </row>
    <row r="4174" spans="1:14" x14ac:dyDescent="0.25">
      <c r="A4174" t="str">
        <f t="shared" si="132"/>
        <v>78807247880724</v>
      </c>
      <c r="B4174" t="str">
        <f t="shared" si="133"/>
        <v>7880724G6035F4-M</v>
      </c>
      <c r="C4174" s="1" t="s">
        <v>24</v>
      </c>
      <c r="D4174" s="1" t="s">
        <v>740</v>
      </c>
      <c r="E4174" s="1" t="s">
        <v>388</v>
      </c>
      <c r="F4174" s="1" t="s">
        <v>389</v>
      </c>
      <c r="G4174" s="1" t="s">
        <v>387</v>
      </c>
      <c r="H4174" s="1">
        <v>1356</v>
      </c>
      <c r="I4174" s="3">
        <v>46282</v>
      </c>
      <c r="J4174" s="3">
        <v>46286</v>
      </c>
      <c r="L4174" s="31">
        <v>46282.573610381944</v>
      </c>
      <c r="M4174" s="20">
        <v>12</v>
      </c>
      <c r="N4174" s="1">
        <v>22</v>
      </c>
    </row>
    <row r="4175" spans="1:14" x14ac:dyDescent="0.25">
      <c r="A4175" t="str">
        <f t="shared" si="132"/>
        <v>78807247880724</v>
      </c>
      <c r="B4175" t="str">
        <f t="shared" si="133"/>
        <v>7880724G6035F4-M</v>
      </c>
      <c r="C4175" s="1" t="s">
        <v>24</v>
      </c>
      <c r="D4175" s="1" t="s">
        <v>740</v>
      </c>
      <c r="E4175" s="1" t="s">
        <v>388</v>
      </c>
      <c r="F4175" s="1" t="s">
        <v>389</v>
      </c>
      <c r="G4175" s="1" t="s">
        <v>387</v>
      </c>
      <c r="H4175" s="1">
        <v>1356</v>
      </c>
      <c r="I4175" s="3">
        <v>46282</v>
      </c>
      <c r="J4175" s="3">
        <v>46286</v>
      </c>
      <c r="L4175" s="31">
        <v>46282.575210104165</v>
      </c>
      <c r="M4175" s="20">
        <v>12</v>
      </c>
      <c r="N4175" s="1">
        <v>96</v>
      </c>
    </row>
    <row r="4176" spans="1:14" x14ac:dyDescent="0.25">
      <c r="A4176" t="str">
        <f t="shared" si="132"/>
        <v>78807247880724</v>
      </c>
      <c r="B4176" t="str">
        <f t="shared" si="133"/>
        <v>7880724G6035F4-M</v>
      </c>
      <c r="C4176" s="1" t="s">
        <v>24</v>
      </c>
      <c r="D4176" s="1" t="s">
        <v>740</v>
      </c>
      <c r="E4176" s="1" t="s">
        <v>388</v>
      </c>
      <c r="F4176" s="1" t="s">
        <v>389</v>
      </c>
      <c r="G4176" s="1" t="s">
        <v>387</v>
      </c>
      <c r="H4176" s="1">
        <v>1356</v>
      </c>
      <c r="I4176" s="3">
        <v>46282</v>
      </c>
      <c r="J4176" s="3">
        <v>46286</v>
      </c>
      <c r="L4176" s="31">
        <v>46282.582649224532</v>
      </c>
      <c r="M4176" s="20">
        <v>12</v>
      </c>
      <c r="N4176" s="1">
        <v>45</v>
      </c>
    </row>
    <row r="4177" spans="1:14" x14ac:dyDescent="0.25">
      <c r="A4177" t="str">
        <f t="shared" si="132"/>
        <v>78807247880724</v>
      </c>
      <c r="B4177" t="str">
        <f t="shared" si="133"/>
        <v>7880724G6035F4-M</v>
      </c>
      <c r="C4177" s="1" t="s">
        <v>24</v>
      </c>
      <c r="D4177" s="1" t="s">
        <v>740</v>
      </c>
      <c r="E4177" s="1" t="s">
        <v>388</v>
      </c>
      <c r="F4177" s="1" t="s">
        <v>389</v>
      </c>
      <c r="G4177" s="1" t="s">
        <v>387</v>
      </c>
      <c r="H4177" s="1">
        <v>1356</v>
      </c>
      <c r="I4177" s="3">
        <v>46282</v>
      </c>
      <c r="J4177" s="3">
        <v>46286</v>
      </c>
      <c r="L4177" s="31">
        <v>46282.583410763888</v>
      </c>
      <c r="M4177" s="20">
        <v>12</v>
      </c>
      <c r="N4177" s="1">
        <v>21</v>
      </c>
    </row>
    <row r="4178" spans="1:14" x14ac:dyDescent="0.25">
      <c r="A4178" t="str">
        <f t="shared" si="132"/>
        <v>78807247880724</v>
      </c>
      <c r="B4178" t="str">
        <f t="shared" si="133"/>
        <v>7880724G6035F4-M</v>
      </c>
      <c r="C4178" s="1" t="s">
        <v>24</v>
      </c>
      <c r="D4178" s="1" t="s">
        <v>740</v>
      </c>
      <c r="E4178" s="1" t="s">
        <v>388</v>
      </c>
      <c r="F4178" s="1" t="s">
        <v>389</v>
      </c>
      <c r="G4178" s="1" t="s">
        <v>387</v>
      </c>
      <c r="H4178" s="1">
        <v>1356</v>
      </c>
      <c r="I4178" s="3">
        <v>46282</v>
      </c>
      <c r="J4178" s="3">
        <v>46286</v>
      </c>
      <c r="L4178" s="31">
        <v>46282.599356631945</v>
      </c>
      <c r="M4178" s="20">
        <v>12</v>
      </c>
      <c r="N4178" s="1">
        <v>6</v>
      </c>
    </row>
    <row r="4179" spans="1:14" x14ac:dyDescent="0.25">
      <c r="A4179" t="str">
        <f t="shared" si="132"/>
        <v>78807247880724</v>
      </c>
      <c r="B4179" t="str">
        <f t="shared" si="133"/>
        <v>7880724G6035F4-M</v>
      </c>
      <c r="C4179" s="1" t="s">
        <v>24</v>
      </c>
      <c r="D4179" s="1" t="s">
        <v>740</v>
      </c>
      <c r="E4179" s="1" t="s">
        <v>388</v>
      </c>
      <c r="F4179" s="1" t="s">
        <v>389</v>
      </c>
      <c r="G4179" s="1" t="s">
        <v>387</v>
      </c>
      <c r="H4179" s="1">
        <v>1356</v>
      </c>
      <c r="I4179" s="3">
        <v>46282</v>
      </c>
      <c r="J4179" s="3">
        <v>46286</v>
      </c>
      <c r="L4179" s="31">
        <v>46282.600525347218</v>
      </c>
      <c r="M4179" s="20">
        <v>6</v>
      </c>
      <c r="N4179" s="1">
        <v>112</v>
      </c>
    </row>
    <row r="4180" spans="1:14" x14ac:dyDescent="0.25">
      <c r="A4180" t="str">
        <f t="shared" si="132"/>
        <v>78807247880724</v>
      </c>
      <c r="B4180" t="str">
        <f t="shared" si="133"/>
        <v>7880724G6035F4-M</v>
      </c>
      <c r="C4180" s="1" t="s">
        <v>24</v>
      </c>
      <c r="D4180" s="1" t="s">
        <v>740</v>
      </c>
      <c r="E4180" s="1" t="s">
        <v>388</v>
      </c>
      <c r="F4180" s="1" t="s">
        <v>389</v>
      </c>
      <c r="G4180" s="1" t="s">
        <v>387</v>
      </c>
      <c r="H4180" s="1">
        <v>1356</v>
      </c>
      <c r="I4180" s="3">
        <v>46282</v>
      </c>
      <c r="J4180" s="3">
        <v>46286</v>
      </c>
      <c r="L4180" s="31">
        <v>46282.602732210646</v>
      </c>
      <c r="M4180" s="20">
        <v>12</v>
      </c>
      <c r="N4180" s="1">
        <v>7</v>
      </c>
    </row>
    <row r="4181" spans="1:14" x14ac:dyDescent="0.25">
      <c r="A4181" t="str">
        <f t="shared" si="132"/>
        <v>78807247880724</v>
      </c>
      <c r="B4181" t="str">
        <f t="shared" si="133"/>
        <v>7880724G6035F4-M</v>
      </c>
      <c r="C4181" s="1" t="s">
        <v>24</v>
      </c>
      <c r="D4181" s="1" t="s">
        <v>740</v>
      </c>
      <c r="E4181" s="1" t="s">
        <v>388</v>
      </c>
      <c r="F4181" s="1" t="s">
        <v>389</v>
      </c>
      <c r="G4181" s="1" t="s">
        <v>387</v>
      </c>
      <c r="H4181" s="1">
        <v>1356</v>
      </c>
      <c r="I4181" s="3">
        <v>46282</v>
      </c>
      <c r="J4181" s="3">
        <v>46286</v>
      </c>
      <c r="L4181" s="31">
        <v>46282.602929479166</v>
      </c>
      <c r="M4181" s="20">
        <v>12</v>
      </c>
      <c r="N4181" s="1">
        <v>20</v>
      </c>
    </row>
    <row r="4182" spans="1:14" x14ac:dyDescent="0.25">
      <c r="A4182" t="str">
        <f t="shared" si="132"/>
        <v>78807247880724</v>
      </c>
      <c r="B4182" t="str">
        <f t="shared" si="133"/>
        <v>7880724G6035F4-M</v>
      </c>
      <c r="C4182" s="1" t="s">
        <v>24</v>
      </c>
      <c r="D4182" s="1" t="s">
        <v>740</v>
      </c>
      <c r="E4182" s="1" t="s">
        <v>388</v>
      </c>
      <c r="F4182" s="1" t="s">
        <v>389</v>
      </c>
      <c r="G4182" s="1" t="s">
        <v>387</v>
      </c>
      <c r="H4182" s="1">
        <v>1356</v>
      </c>
      <c r="I4182" s="3">
        <v>46282</v>
      </c>
      <c r="J4182" s="3">
        <v>46286</v>
      </c>
      <c r="L4182" s="31">
        <v>46282.603140011575</v>
      </c>
      <c r="M4182" s="20">
        <v>12</v>
      </c>
      <c r="N4182" s="1">
        <v>23</v>
      </c>
    </row>
    <row r="4183" spans="1:14" x14ac:dyDescent="0.25">
      <c r="A4183" t="str">
        <f t="shared" si="132"/>
        <v>78807247880724</v>
      </c>
      <c r="B4183" t="str">
        <f t="shared" si="133"/>
        <v>7880724G6035F4-M</v>
      </c>
      <c r="C4183" s="1" t="s">
        <v>24</v>
      </c>
      <c r="D4183" s="1" t="s">
        <v>740</v>
      </c>
      <c r="E4183" s="1" t="s">
        <v>388</v>
      </c>
      <c r="F4183" s="1" t="s">
        <v>389</v>
      </c>
      <c r="G4183" s="1" t="s">
        <v>387</v>
      </c>
      <c r="H4183" s="1">
        <v>1356</v>
      </c>
      <c r="I4183" s="3">
        <v>46282</v>
      </c>
      <c r="J4183" s="3">
        <v>46286</v>
      </c>
      <c r="L4183" s="31">
        <v>46282.648649502313</v>
      </c>
      <c r="M4183" s="20">
        <v>12</v>
      </c>
      <c r="N4183" s="1">
        <v>35</v>
      </c>
    </row>
    <row r="4184" spans="1:14" x14ac:dyDescent="0.25">
      <c r="A4184" t="str">
        <f t="shared" si="132"/>
        <v>78807247880724</v>
      </c>
      <c r="B4184" t="str">
        <f t="shared" si="133"/>
        <v>7880724G6035F4-M</v>
      </c>
      <c r="C4184" s="1" t="s">
        <v>24</v>
      </c>
      <c r="D4184" s="1" t="s">
        <v>740</v>
      </c>
      <c r="E4184" s="1" t="s">
        <v>388</v>
      </c>
      <c r="F4184" s="1" t="s">
        <v>389</v>
      </c>
      <c r="G4184" s="1" t="s">
        <v>387</v>
      </c>
      <c r="H4184" s="1">
        <v>1356</v>
      </c>
      <c r="I4184" s="3">
        <v>46282</v>
      </c>
      <c r="J4184" s="3">
        <v>46286</v>
      </c>
      <c r="L4184" s="31">
        <v>46282.681401967588</v>
      </c>
      <c r="M4184" s="20">
        <v>12</v>
      </c>
      <c r="N4184" s="1">
        <v>37</v>
      </c>
    </row>
    <row r="4185" spans="1:14" x14ac:dyDescent="0.25">
      <c r="A4185" t="str">
        <f t="shared" si="132"/>
        <v>78807247880724</v>
      </c>
      <c r="B4185" t="str">
        <f t="shared" si="133"/>
        <v>7880724G6035F4-M</v>
      </c>
      <c r="C4185" s="1" t="s">
        <v>24</v>
      </c>
      <c r="D4185" s="1" t="s">
        <v>740</v>
      </c>
      <c r="E4185" s="1" t="s">
        <v>388</v>
      </c>
      <c r="F4185" s="1" t="s">
        <v>389</v>
      </c>
      <c r="G4185" s="1" t="s">
        <v>387</v>
      </c>
      <c r="H4185" s="1">
        <v>1356</v>
      </c>
      <c r="I4185" s="3">
        <v>46282</v>
      </c>
      <c r="J4185" s="3">
        <v>46286</v>
      </c>
      <c r="L4185" s="31">
        <v>46282.681533715273</v>
      </c>
      <c r="M4185" s="20">
        <v>12</v>
      </c>
      <c r="N4185" s="1">
        <v>36</v>
      </c>
    </row>
    <row r="4186" spans="1:14" x14ac:dyDescent="0.25">
      <c r="A4186" t="str">
        <f t="shared" si="132"/>
        <v>78807247880724</v>
      </c>
      <c r="B4186" t="str">
        <f t="shared" si="133"/>
        <v>7880724G6035F4-M</v>
      </c>
      <c r="C4186" s="1" t="s">
        <v>24</v>
      </c>
      <c r="D4186" s="1" t="s">
        <v>740</v>
      </c>
      <c r="E4186" s="1" t="s">
        <v>388</v>
      </c>
      <c r="F4186" s="1" t="s">
        <v>389</v>
      </c>
      <c r="G4186" s="1" t="s">
        <v>387</v>
      </c>
      <c r="H4186" s="1">
        <v>1356</v>
      </c>
      <c r="I4186" s="3">
        <v>46282</v>
      </c>
      <c r="J4186" s="3">
        <v>46286</v>
      </c>
      <c r="L4186" s="31">
        <v>46282.68174270833</v>
      </c>
      <c r="M4186" s="20">
        <v>12</v>
      </c>
      <c r="N4186" s="1">
        <v>48</v>
      </c>
    </row>
    <row r="4187" spans="1:14" x14ac:dyDescent="0.25">
      <c r="A4187" t="str">
        <f t="shared" si="132"/>
        <v>78807407880740</v>
      </c>
      <c r="B4187" t="str">
        <f t="shared" si="133"/>
        <v>7880740P6033JZ-M</v>
      </c>
      <c r="C4187" s="1" t="s">
        <v>585</v>
      </c>
      <c r="D4187" s="1" t="s">
        <v>737</v>
      </c>
      <c r="E4187" s="1" t="s">
        <v>388</v>
      </c>
      <c r="F4187" s="1" t="s">
        <v>389</v>
      </c>
      <c r="G4187" s="1" t="s">
        <v>387</v>
      </c>
      <c r="H4187" s="1">
        <v>156</v>
      </c>
      <c r="I4187" s="3">
        <v>46282</v>
      </c>
      <c r="J4187" s="3">
        <v>46288</v>
      </c>
      <c r="K4187" s="3" t="s">
        <v>2374</v>
      </c>
      <c r="L4187" s="31">
        <v>46282.464395023148</v>
      </c>
      <c r="M4187" s="20">
        <v>6</v>
      </c>
      <c r="N4187" s="1">
        <v>12</v>
      </c>
    </row>
    <row r="4188" spans="1:14" x14ac:dyDescent="0.25">
      <c r="A4188" t="str">
        <f t="shared" si="132"/>
        <v>78807407880740</v>
      </c>
      <c r="B4188" t="str">
        <f t="shared" si="133"/>
        <v>7880740P6033JZ-M</v>
      </c>
      <c r="C4188" s="1" t="s">
        <v>585</v>
      </c>
      <c r="D4188" s="1" t="s">
        <v>737</v>
      </c>
      <c r="E4188" s="1" t="s">
        <v>388</v>
      </c>
      <c r="F4188" s="1" t="s">
        <v>389</v>
      </c>
      <c r="G4188" s="1" t="s">
        <v>387</v>
      </c>
      <c r="H4188" s="1">
        <v>156</v>
      </c>
      <c r="I4188" s="3">
        <v>46282</v>
      </c>
      <c r="J4188" s="3">
        <v>46288</v>
      </c>
      <c r="K4188" s="3" t="s">
        <v>2374</v>
      </c>
      <c r="L4188" s="31">
        <v>46282.465010879627</v>
      </c>
      <c r="M4188" s="20">
        <v>12</v>
      </c>
      <c r="N4188" s="1">
        <v>2</v>
      </c>
    </row>
    <row r="4189" spans="1:14" x14ac:dyDescent="0.25">
      <c r="A4189" t="str">
        <f t="shared" si="132"/>
        <v>78807407880740</v>
      </c>
      <c r="B4189" t="str">
        <f t="shared" si="133"/>
        <v>7880740P6033JZ-M</v>
      </c>
      <c r="C4189" s="1" t="s">
        <v>585</v>
      </c>
      <c r="D4189" s="1" t="s">
        <v>737</v>
      </c>
      <c r="E4189" s="1" t="s">
        <v>388</v>
      </c>
      <c r="F4189" s="1" t="s">
        <v>389</v>
      </c>
      <c r="G4189" s="1" t="s">
        <v>387</v>
      </c>
      <c r="H4189" s="1">
        <v>156</v>
      </c>
      <c r="I4189" s="3">
        <v>46282</v>
      </c>
      <c r="J4189" s="3">
        <v>46288</v>
      </c>
      <c r="K4189" s="3" t="s">
        <v>2374</v>
      </c>
      <c r="L4189" s="31">
        <v>46282.465168090275</v>
      </c>
      <c r="M4189" s="20">
        <v>12</v>
      </c>
      <c r="N4189" s="1">
        <v>3</v>
      </c>
    </row>
    <row r="4190" spans="1:14" x14ac:dyDescent="0.25">
      <c r="A4190" t="str">
        <f t="shared" si="132"/>
        <v>78807407880740</v>
      </c>
      <c r="B4190" t="str">
        <f t="shared" si="133"/>
        <v>7880740P6033JZ-M</v>
      </c>
      <c r="C4190" s="1" t="s">
        <v>585</v>
      </c>
      <c r="D4190" s="1" t="s">
        <v>737</v>
      </c>
      <c r="E4190" s="1" t="s">
        <v>388</v>
      </c>
      <c r="F4190" s="1" t="s">
        <v>389</v>
      </c>
      <c r="G4190" s="1" t="s">
        <v>387</v>
      </c>
      <c r="H4190" s="1">
        <v>156</v>
      </c>
      <c r="I4190" s="3">
        <v>46282</v>
      </c>
      <c r="J4190" s="3">
        <v>46288</v>
      </c>
      <c r="K4190" s="3" t="s">
        <v>2374</v>
      </c>
      <c r="L4190" s="31">
        <v>46282.465311770829</v>
      </c>
      <c r="M4190" s="20">
        <v>12</v>
      </c>
      <c r="N4190" s="1">
        <v>6</v>
      </c>
    </row>
    <row r="4191" spans="1:14" x14ac:dyDescent="0.25">
      <c r="A4191" t="str">
        <f t="shared" si="132"/>
        <v>78807647880764</v>
      </c>
      <c r="B4191" t="str">
        <f t="shared" si="133"/>
        <v>7880764P60394T-M</v>
      </c>
      <c r="C4191" s="1" t="s">
        <v>49</v>
      </c>
      <c r="D4191" s="1" t="s">
        <v>754</v>
      </c>
      <c r="E4191" s="1" t="s">
        <v>388</v>
      </c>
      <c r="F4191" s="1" t="s">
        <v>389</v>
      </c>
      <c r="G4191" s="1" t="s">
        <v>387</v>
      </c>
      <c r="H4191" s="1">
        <v>762</v>
      </c>
      <c r="I4191" s="3">
        <v>46282</v>
      </c>
      <c r="L4191" s="31">
        <v>46282.733485532408</v>
      </c>
      <c r="M4191" s="20">
        <v>12</v>
      </c>
      <c r="N4191" s="1">
        <v>25</v>
      </c>
    </row>
    <row r="4192" spans="1:14" x14ac:dyDescent="0.25">
      <c r="A4192" t="str">
        <f t="shared" si="132"/>
        <v>78807647880764</v>
      </c>
      <c r="B4192" t="str">
        <f t="shared" si="133"/>
        <v>7880764P60394T-M</v>
      </c>
      <c r="C4192" s="1" t="s">
        <v>49</v>
      </c>
      <c r="D4192" s="1" t="s">
        <v>754</v>
      </c>
      <c r="E4192" s="1" t="s">
        <v>388</v>
      </c>
      <c r="F4192" s="1" t="s">
        <v>389</v>
      </c>
      <c r="G4192" s="1" t="s">
        <v>387</v>
      </c>
      <c r="H4192" s="1">
        <v>762</v>
      </c>
      <c r="I4192" s="3">
        <v>46282</v>
      </c>
      <c r="L4192" s="31">
        <v>46282.73542438657</v>
      </c>
      <c r="M4192" s="20">
        <v>12</v>
      </c>
      <c r="N4192" s="1">
        <v>33</v>
      </c>
    </row>
    <row r="4193" spans="1:14" x14ac:dyDescent="0.25">
      <c r="A4193" t="str">
        <f t="shared" si="132"/>
        <v>78807647880764</v>
      </c>
      <c r="B4193" t="str">
        <f t="shared" si="133"/>
        <v>7880764P60394T-M</v>
      </c>
      <c r="C4193" s="1" t="s">
        <v>49</v>
      </c>
      <c r="D4193" s="1" t="s">
        <v>754</v>
      </c>
      <c r="E4193" s="1" t="s">
        <v>388</v>
      </c>
      <c r="F4193" s="1" t="s">
        <v>389</v>
      </c>
      <c r="G4193" s="1" t="s">
        <v>387</v>
      </c>
      <c r="H4193" s="1">
        <v>762</v>
      </c>
      <c r="I4193" s="3">
        <v>46282</v>
      </c>
      <c r="L4193" s="31">
        <v>46282.743958645835</v>
      </c>
      <c r="M4193" s="20">
        <v>12</v>
      </c>
      <c r="N4193" s="1">
        <v>34</v>
      </c>
    </row>
    <row r="4194" spans="1:14" x14ac:dyDescent="0.25">
      <c r="A4194" t="str">
        <f t="shared" si="132"/>
        <v>78807647880764</v>
      </c>
      <c r="B4194" t="str">
        <f t="shared" si="133"/>
        <v>7880764P60394T-M</v>
      </c>
      <c r="C4194" s="1" t="s">
        <v>49</v>
      </c>
      <c r="D4194" s="1" t="s">
        <v>754</v>
      </c>
      <c r="E4194" s="1" t="s">
        <v>388</v>
      </c>
      <c r="F4194" s="1" t="s">
        <v>389</v>
      </c>
      <c r="G4194" s="1" t="s">
        <v>387</v>
      </c>
      <c r="H4194" s="1">
        <v>762</v>
      </c>
      <c r="I4194" s="3">
        <v>46282</v>
      </c>
      <c r="L4194" s="31">
        <v>46282.747885069446</v>
      </c>
      <c r="M4194" s="20">
        <v>12</v>
      </c>
      <c r="N4194" s="1">
        <v>44</v>
      </c>
    </row>
    <row r="4195" spans="1:14" x14ac:dyDescent="0.25">
      <c r="A4195" t="str">
        <f t="shared" si="132"/>
        <v>78807647880764</v>
      </c>
      <c r="B4195" t="str">
        <f t="shared" si="133"/>
        <v>7880764P60394T-M</v>
      </c>
      <c r="C4195" s="1" t="s">
        <v>49</v>
      </c>
      <c r="D4195" s="1" t="s">
        <v>754</v>
      </c>
      <c r="E4195" s="1" t="s">
        <v>388</v>
      </c>
      <c r="F4195" s="1" t="s">
        <v>389</v>
      </c>
      <c r="G4195" s="1" t="s">
        <v>387</v>
      </c>
      <c r="H4195" s="1">
        <v>762</v>
      </c>
      <c r="I4195" s="3">
        <v>46282</v>
      </c>
      <c r="L4195" s="31">
        <v>46282.760856249995</v>
      </c>
      <c r="M4195" s="20">
        <v>12</v>
      </c>
      <c r="N4195" s="1">
        <v>26</v>
      </c>
    </row>
    <row r="4196" spans="1:14" x14ac:dyDescent="0.25">
      <c r="A4196" t="str">
        <f t="shared" si="132"/>
        <v>H177186H177186</v>
      </c>
      <c r="B4196" t="str">
        <f t="shared" si="133"/>
        <v>H177186G204L5CB-M</v>
      </c>
      <c r="C4196" s="1" t="s">
        <v>6</v>
      </c>
      <c r="D4196" s="1" t="s">
        <v>734</v>
      </c>
      <c r="E4196" s="1" t="s">
        <v>402</v>
      </c>
      <c r="F4196" s="1" t="s">
        <v>2289</v>
      </c>
      <c r="G4196" s="1" t="s">
        <v>404</v>
      </c>
      <c r="H4196" s="1">
        <v>1686</v>
      </c>
      <c r="I4196" s="3">
        <v>46282</v>
      </c>
      <c r="L4196" s="31">
        <v>46282.336996296297</v>
      </c>
      <c r="M4196" s="20">
        <v>12</v>
      </c>
      <c r="N4196" s="1">
        <v>127</v>
      </c>
    </row>
    <row r="4197" spans="1:14" x14ac:dyDescent="0.25">
      <c r="A4197" t="str">
        <f t="shared" si="132"/>
        <v>H177186H177186</v>
      </c>
      <c r="B4197" t="str">
        <f t="shared" si="133"/>
        <v>H177186G204L5CB-M</v>
      </c>
      <c r="C4197" s="1" t="s">
        <v>6</v>
      </c>
      <c r="D4197" s="1" t="s">
        <v>734</v>
      </c>
      <c r="E4197" s="1" t="s">
        <v>402</v>
      </c>
      <c r="F4197" s="1" t="s">
        <v>2289</v>
      </c>
      <c r="G4197" s="1" t="s">
        <v>404</v>
      </c>
      <c r="H4197" s="1">
        <v>1686</v>
      </c>
      <c r="I4197" s="3">
        <v>46282</v>
      </c>
      <c r="L4197" s="31">
        <v>46282.338632604165</v>
      </c>
      <c r="M4197" s="20">
        <v>12</v>
      </c>
      <c r="N4197" s="1">
        <v>125</v>
      </c>
    </row>
    <row r="4198" spans="1:14" x14ac:dyDescent="0.25">
      <c r="A4198" t="str">
        <f t="shared" si="132"/>
        <v>H177186H177186</v>
      </c>
      <c r="B4198" t="str">
        <f t="shared" si="133"/>
        <v>H177186G204L5CB-M</v>
      </c>
      <c r="C4198" s="1" t="s">
        <v>6</v>
      </c>
      <c r="D4198" s="1" t="s">
        <v>734</v>
      </c>
      <c r="E4198" s="1" t="s">
        <v>402</v>
      </c>
      <c r="F4198" s="1" t="s">
        <v>2289</v>
      </c>
      <c r="G4198" s="1" t="s">
        <v>404</v>
      </c>
      <c r="H4198" s="1">
        <v>1686</v>
      </c>
      <c r="I4198" s="3">
        <v>46282</v>
      </c>
      <c r="L4198" s="31">
        <v>46282.349680243053</v>
      </c>
      <c r="M4198" s="20">
        <v>12</v>
      </c>
      <c r="N4198" s="1">
        <v>105</v>
      </c>
    </row>
    <row r="4199" spans="1:14" x14ac:dyDescent="0.25">
      <c r="A4199" t="str">
        <f t="shared" si="132"/>
        <v>H177186H177186</v>
      </c>
      <c r="B4199" t="str">
        <f t="shared" si="133"/>
        <v>H177186G204L5CB-M</v>
      </c>
      <c r="C4199" s="1" t="s">
        <v>6</v>
      </c>
      <c r="D4199" s="1" t="s">
        <v>734</v>
      </c>
      <c r="E4199" s="1" t="s">
        <v>402</v>
      </c>
      <c r="F4199" s="1" t="s">
        <v>2289</v>
      </c>
      <c r="G4199" s="1" t="s">
        <v>404</v>
      </c>
      <c r="H4199" s="1">
        <v>1686</v>
      </c>
      <c r="I4199" s="3">
        <v>46282</v>
      </c>
      <c r="L4199" s="31">
        <v>46282.350150694445</v>
      </c>
      <c r="M4199" s="20">
        <v>12</v>
      </c>
      <c r="N4199" s="1">
        <v>126</v>
      </c>
    </row>
    <row r="4200" spans="1:14" x14ac:dyDescent="0.25">
      <c r="A4200" t="str">
        <f t="shared" si="132"/>
        <v>H177186H177186</v>
      </c>
      <c r="B4200" t="str">
        <f t="shared" si="133"/>
        <v>H177186G204L5CB-M</v>
      </c>
      <c r="C4200" s="1" t="s">
        <v>6</v>
      </c>
      <c r="D4200" s="1" t="s">
        <v>734</v>
      </c>
      <c r="E4200" s="1" t="s">
        <v>402</v>
      </c>
      <c r="F4200" s="1" t="s">
        <v>2289</v>
      </c>
      <c r="G4200" s="1" t="s">
        <v>404</v>
      </c>
      <c r="H4200" s="1">
        <v>1686</v>
      </c>
      <c r="I4200" s="3">
        <v>46282</v>
      </c>
      <c r="L4200" s="31">
        <v>46282.350327812499</v>
      </c>
      <c r="M4200" s="20">
        <v>12</v>
      </c>
      <c r="N4200" s="1">
        <v>106</v>
      </c>
    </row>
    <row r="4201" spans="1:14" x14ac:dyDescent="0.25">
      <c r="A4201" t="str">
        <f t="shared" si="132"/>
        <v>H177186H177186</v>
      </c>
      <c r="B4201" t="str">
        <f t="shared" si="133"/>
        <v>H177186G204L5CB-M</v>
      </c>
      <c r="C4201" s="1" t="s">
        <v>6</v>
      </c>
      <c r="D4201" s="1" t="s">
        <v>734</v>
      </c>
      <c r="E4201" s="1" t="s">
        <v>402</v>
      </c>
      <c r="F4201" s="1" t="s">
        <v>2289</v>
      </c>
      <c r="G4201" s="1" t="s">
        <v>404</v>
      </c>
      <c r="H4201" s="1">
        <v>1686</v>
      </c>
      <c r="I4201" s="3">
        <v>46282</v>
      </c>
      <c r="L4201" s="31">
        <v>46282.364510914347</v>
      </c>
      <c r="M4201" s="20">
        <v>12</v>
      </c>
      <c r="N4201" s="1">
        <v>128</v>
      </c>
    </row>
    <row r="4202" spans="1:14" x14ac:dyDescent="0.25">
      <c r="A4202" t="str">
        <f t="shared" si="132"/>
        <v>H177186H177186</v>
      </c>
      <c r="B4202" t="str">
        <f t="shared" si="133"/>
        <v>H177186G204L5CB-M</v>
      </c>
      <c r="C4202" s="1" t="s">
        <v>6</v>
      </c>
      <c r="D4202" s="1" t="s">
        <v>734</v>
      </c>
      <c r="E4202" s="1" t="s">
        <v>402</v>
      </c>
      <c r="F4202" s="1" t="s">
        <v>2289</v>
      </c>
      <c r="G4202" s="1" t="s">
        <v>404</v>
      </c>
      <c r="H4202" s="1">
        <v>1686</v>
      </c>
      <c r="I4202" s="3">
        <v>46282</v>
      </c>
      <c r="L4202" s="31">
        <v>46282.364759224532</v>
      </c>
      <c r="M4202" s="20">
        <v>12</v>
      </c>
      <c r="N4202" s="1">
        <v>92</v>
      </c>
    </row>
    <row r="4203" spans="1:14" x14ac:dyDescent="0.25">
      <c r="A4203" t="str">
        <f t="shared" si="132"/>
        <v>H177186H177186</v>
      </c>
      <c r="B4203" t="str">
        <f t="shared" si="133"/>
        <v>H177186G204L5CB-M</v>
      </c>
      <c r="C4203" s="1" t="s">
        <v>6</v>
      </c>
      <c r="D4203" s="1" t="s">
        <v>734</v>
      </c>
      <c r="E4203" s="1" t="s">
        <v>402</v>
      </c>
      <c r="F4203" s="1" t="s">
        <v>2289</v>
      </c>
      <c r="G4203" s="1" t="s">
        <v>404</v>
      </c>
      <c r="H4203" s="1">
        <v>1686</v>
      </c>
      <c r="I4203" s="3">
        <v>46282</v>
      </c>
      <c r="L4203" s="31">
        <v>46282.376426122682</v>
      </c>
      <c r="M4203" s="20">
        <v>12</v>
      </c>
      <c r="N4203" s="1">
        <v>107</v>
      </c>
    </row>
    <row r="4204" spans="1:14" x14ac:dyDescent="0.25">
      <c r="A4204" t="str">
        <f t="shared" si="132"/>
        <v>H177186H177186</v>
      </c>
      <c r="B4204" t="str">
        <f t="shared" si="133"/>
        <v>H177186G204L5CB-M</v>
      </c>
      <c r="C4204" s="1" t="s">
        <v>6</v>
      </c>
      <c r="D4204" s="1" t="s">
        <v>734</v>
      </c>
      <c r="E4204" s="1" t="s">
        <v>402</v>
      </c>
      <c r="F4204" s="1" t="s">
        <v>2289</v>
      </c>
      <c r="G4204" s="1" t="s">
        <v>404</v>
      </c>
      <c r="H4204" s="1">
        <v>1686</v>
      </c>
      <c r="I4204" s="3">
        <v>46282</v>
      </c>
      <c r="L4204" s="31">
        <v>46282.385291932871</v>
      </c>
      <c r="M4204" s="20">
        <v>12</v>
      </c>
      <c r="N4204" s="1">
        <v>27</v>
      </c>
    </row>
    <row r="4205" spans="1:14" x14ac:dyDescent="0.25">
      <c r="A4205" t="str">
        <f t="shared" si="132"/>
        <v>H177186H177186</v>
      </c>
      <c r="B4205" t="str">
        <f t="shared" si="133"/>
        <v>H177186G204L5CB-M</v>
      </c>
      <c r="C4205" s="1" t="s">
        <v>6</v>
      </c>
      <c r="D4205" s="1" t="s">
        <v>734</v>
      </c>
      <c r="E4205" s="1" t="s">
        <v>402</v>
      </c>
      <c r="F4205" s="1" t="s">
        <v>2289</v>
      </c>
      <c r="G4205" s="1" t="s">
        <v>404</v>
      </c>
      <c r="H4205" s="1">
        <v>1686</v>
      </c>
      <c r="I4205" s="3">
        <v>46282</v>
      </c>
      <c r="L4205" s="31">
        <v>46282.385487002313</v>
      </c>
      <c r="M4205" s="20">
        <v>12</v>
      </c>
      <c r="N4205" s="1">
        <v>129</v>
      </c>
    </row>
    <row r="4206" spans="1:14" x14ac:dyDescent="0.25">
      <c r="A4206" t="str">
        <f t="shared" si="132"/>
        <v>H177186H177186</v>
      </c>
      <c r="B4206" t="str">
        <f t="shared" si="133"/>
        <v>H177186G204L5CB-M</v>
      </c>
      <c r="C4206" s="1" t="s">
        <v>6</v>
      </c>
      <c r="D4206" s="1" t="s">
        <v>734</v>
      </c>
      <c r="E4206" s="1" t="s">
        <v>402</v>
      </c>
      <c r="F4206" s="1" t="s">
        <v>2289</v>
      </c>
      <c r="G4206" s="1" t="s">
        <v>404</v>
      </c>
      <c r="H4206" s="1">
        <v>1686</v>
      </c>
      <c r="I4206" s="3">
        <v>46282</v>
      </c>
      <c r="L4206" s="31">
        <v>46282.385909756944</v>
      </c>
      <c r="M4206" s="20">
        <v>12</v>
      </c>
      <c r="N4206" s="1">
        <v>48</v>
      </c>
    </row>
    <row r="4207" spans="1:14" x14ac:dyDescent="0.25">
      <c r="A4207" t="str">
        <f t="shared" si="132"/>
        <v>H177186H177186</v>
      </c>
      <c r="B4207" t="str">
        <f t="shared" si="133"/>
        <v>H177186G204L5CB-M</v>
      </c>
      <c r="C4207" s="1" t="s">
        <v>6</v>
      </c>
      <c r="D4207" s="1" t="s">
        <v>734</v>
      </c>
      <c r="E4207" s="1" t="s">
        <v>402</v>
      </c>
      <c r="F4207" s="1" t="s">
        <v>2289</v>
      </c>
      <c r="G4207" s="1" t="s">
        <v>404</v>
      </c>
      <c r="H4207" s="1">
        <v>1686</v>
      </c>
      <c r="I4207" s="3">
        <v>46282</v>
      </c>
      <c r="L4207" s="31">
        <v>46282.387502314814</v>
      </c>
      <c r="M4207" s="20">
        <v>12</v>
      </c>
      <c r="N4207" s="1">
        <v>49</v>
      </c>
    </row>
    <row r="4208" spans="1:14" x14ac:dyDescent="0.25">
      <c r="A4208" t="str">
        <f t="shared" si="132"/>
        <v>H177186H177186</v>
      </c>
      <c r="B4208" t="str">
        <f t="shared" si="133"/>
        <v>H177186G204L5CB-M</v>
      </c>
      <c r="C4208" s="1" t="s">
        <v>6</v>
      </c>
      <c r="D4208" s="1" t="s">
        <v>734</v>
      </c>
      <c r="E4208" s="1" t="s">
        <v>402</v>
      </c>
      <c r="F4208" s="1" t="s">
        <v>2289</v>
      </c>
      <c r="G4208" s="1" t="s">
        <v>404</v>
      </c>
      <c r="H4208" s="1">
        <v>1686</v>
      </c>
      <c r="I4208" s="3">
        <v>46282</v>
      </c>
      <c r="L4208" s="31">
        <v>46282.387712071759</v>
      </c>
      <c r="M4208" s="20">
        <v>12</v>
      </c>
      <c r="N4208" s="1">
        <v>109</v>
      </c>
    </row>
    <row r="4209" spans="1:14" x14ac:dyDescent="0.25">
      <c r="A4209" t="str">
        <f t="shared" si="132"/>
        <v>H177186H177186</v>
      </c>
      <c r="B4209" t="str">
        <f t="shared" si="133"/>
        <v>H177186G204L5CB-M</v>
      </c>
      <c r="C4209" s="1" t="s">
        <v>6</v>
      </c>
      <c r="D4209" s="1" t="s">
        <v>734</v>
      </c>
      <c r="E4209" s="1" t="s">
        <v>402</v>
      </c>
      <c r="F4209" s="1" t="s">
        <v>2289</v>
      </c>
      <c r="G4209" s="1" t="s">
        <v>404</v>
      </c>
      <c r="H4209" s="1">
        <v>1686</v>
      </c>
      <c r="I4209" s="3">
        <v>46282</v>
      </c>
      <c r="L4209" s="31">
        <v>46282.402802546298</v>
      </c>
      <c r="M4209" s="20">
        <v>12</v>
      </c>
      <c r="N4209" s="1">
        <v>110</v>
      </c>
    </row>
    <row r="4210" spans="1:14" x14ac:dyDescent="0.25">
      <c r="A4210" t="str">
        <f t="shared" si="132"/>
        <v>H177186H177186</v>
      </c>
      <c r="B4210" t="str">
        <f t="shared" si="133"/>
        <v>H177186G204L5CB-M</v>
      </c>
      <c r="C4210" s="1" t="s">
        <v>6</v>
      </c>
      <c r="D4210" s="1" t="s">
        <v>734</v>
      </c>
      <c r="E4210" s="1" t="s">
        <v>402</v>
      </c>
      <c r="F4210" s="1" t="s">
        <v>2289</v>
      </c>
      <c r="G4210" s="1" t="s">
        <v>404</v>
      </c>
      <c r="H4210" s="1">
        <v>1686</v>
      </c>
      <c r="I4210" s="3">
        <v>46282</v>
      </c>
      <c r="L4210" s="31">
        <v>46282.403085879625</v>
      </c>
      <c r="M4210" s="20">
        <v>12</v>
      </c>
      <c r="N4210" s="1">
        <v>93</v>
      </c>
    </row>
    <row r="4211" spans="1:14" x14ac:dyDescent="0.25">
      <c r="A4211" t="str">
        <f t="shared" si="132"/>
        <v>H177186H177186</v>
      </c>
      <c r="B4211" t="str">
        <f t="shared" si="133"/>
        <v>H177186G204L5CB-M</v>
      </c>
      <c r="C4211" s="1" t="s">
        <v>6</v>
      </c>
      <c r="D4211" s="1" t="s">
        <v>734</v>
      </c>
      <c r="E4211" s="1" t="s">
        <v>402</v>
      </c>
      <c r="F4211" s="1" t="s">
        <v>2289</v>
      </c>
      <c r="G4211" s="1" t="s">
        <v>404</v>
      </c>
      <c r="H4211" s="1">
        <v>1686</v>
      </c>
      <c r="I4211" s="3">
        <v>46282</v>
      </c>
      <c r="L4211" s="31">
        <v>46282.418354282403</v>
      </c>
      <c r="M4211" s="20">
        <v>12</v>
      </c>
      <c r="N4211" s="1">
        <v>50</v>
      </c>
    </row>
    <row r="4212" spans="1:14" x14ac:dyDescent="0.25">
      <c r="A4212" t="str">
        <f t="shared" si="132"/>
        <v>H177186H177186</v>
      </c>
      <c r="B4212" t="str">
        <f t="shared" si="133"/>
        <v>H177186G204L5CB-M</v>
      </c>
      <c r="C4212" s="1" t="s">
        <v>6</v>
      </c>
      <c r="D4212" s="1" t="s">
        <v>734</v>
      </c>
      <c r="E4212" s="1" t="s">
        <v>402</v>
      </c>
      <c r="F4212" s="1" t="s">
        <v>2289</v>
      </c>
      <c r="G4212" s="1" t="s">
        <v>404</v>
      </c>
      <c r="H4212" s="1">
        <v>1686</v>
      </c>
      <c r="I4212" s="3">
        <v>46282</v>
      </c>
      <c r="L4212" s="31">
        <v>46282.418566979162</v>
      </c>
      <c r="M4212" s="20">
        <v>12</v>
      </c>
      <c r="N4212" s="1">
        <v>111</v>
      </c>
    </row>
    <row r="4213" spans="1:14" x14ac:dyDescent="0.25">
      <c r="A4213" t="str">
        <f t="shared" si="132"/>
        <v>H177186H177186</v>
      </c>
      <c r="B4213" t="str">
        <f t="shared" si="133"/>
        <v>H177186G204L5CB-M</v>
      </c>
      <c r="C4213" s="1" t="s">
        <v>6</v>
      </c>
      <c r="D4213" s="1" t="s">
        <v>734</v>
      </c>
      <c r="E4213" s="1" t="s">
        <v>402</v>
      </c>
      <c r="F4213" s="1" t="s">
        <v>2289</v>
      </c>
      <c r="G4213" s="1" t="s">
        <v>404</v>
      </c>
      <c r="H4213" s="1">
        <v>1686</v>
      </c>
      <c r="I4213" s="3">
        <v>46282</v>
      </c>
      <c r="L4213" s="31">
        <v>46282.418790856478</v>
      </c>
      <c r="M4213" s="20">
        <v>12</v>
      </c>
      <c r="N4213" s="1">
        <v>130</v>
      </c>
    </row>
    <row r="4214" spans="1:14" x14ac:dyDescent="0.25">
      <c r="A4214" t="str">
        <f t="shared" si="132"/>
        <v>H177186H177186</v>
      </c>
      <c r="B4214" t="str">
        <f t="shared" si="133"/>
        <v>H177186G204L5CB-M</v>
      </c>
      <c r="C4214" s="1" t="s">
        <v>6</v>
      </c>
      <c r="D4214" s="1" t="s">
        <v>734</v>
      </c>
      <c r="E4214" s="1" t="s">
        <v>402</v>
      </c>
      <c r="F4214" s="1" t="s">
        <v>2289</v>
      </c>
      <c r="G4214" s="1" t="s">
        <v>404</v>
      </c>
      <c r="H4214" s="1">
        <v>1686</v>
      </c>
      <c r="I4214" s="3">
        <v>46282</v>
      </c>
      <c r="L4214" s="31">
        <v>46282.418992592589</v>
      </c>
      <c r="M4214" s="20">
        <v>12</v>
      </c>
      <c r="N4214" s="1">
        <v>28</v>
      </c>
    </row>
    <row r="4215" spans="1:14" x14ac:dyDescent="0.25">
      <c r="A4215" t="str">
        <f t="shared" si="132"/>
        <v>H177186H177186</v>
      </c>
      <c r="B4215" t="str">
        <f t="shared" si="133"/>
        <v>H177186G204L5CB-M</v>
      </c>
      <c r="C4215" s="1" t="s">
        <v>6</v>
      </c>
      <c r="D4215" s="1" t="s">
        <v>734</v>
      </c>
      <c r="E4215" s="1" t="s">
        <v>402</v>
      </c>
      <c r="F4215" s="1" t="s">
        <v>2289</v>
      </c>
      <c r="G4215" s="1" t="s">
        <v>404</v>
      </c>
      <c r="H4215" s="1">
        <v>1686</v>
      </c>
      <c r="I4215" s="3">
        <v>46282</v>
      </c>
      <c r="L4215" s="31">
        <v>46282.423557789349</v>
      </c>
      <c r="M4215" s="20">
        <v>12</v>
      </c>
      <c r="N4215" s="1">
        <v>65</v>
      </c>
    </row>
    <row r="4216" spans="1:14" x14ac:dyDescent="0.25">
      <c r="A4216" t="str">
        <f t="shared" si="132"/>
        <v>H177186H177186</v>
      </c>
      <c r="B4216" t="str">
        <f t="shared" si="133"/>
        <v>H177186G204L5CB-M</v>
      </c>
      <c r="C4216" s="1" t="s">
        <v>6</v>
      </c>
      <c r="D4216" s="1" t="s">
        <v>734</v>
      </c>
      <c r="E4216" s="1" t="s">
        <v>402</v>
      </c>
      <c r="F4216" s="1" t="s">
        <v>2289</v>
      </c>
      <c r="G4216" s="1" t="s">
        <v>404</v>
      </c>
      <c r="H4216" s="1">
        <v>1686</v>
      </c>
      <c r="I4216" s="3">
        <v>46282</v>
      </c>
      <c r="L4216" s="31">
        <v>46282.442953275458</v>
      </c>
      <c r="M4216" s="20">
        <v>12</v>
      </c>
      <c r="N4216" s="1">
        <v>90</v>
      </c>
    </row>
    <row r="4217" spans="1:14" x14ac:dyDescent="0.25">
      <c r="A4217" t="str">
        <f t="shared" si="132"/>
        <v>H177186H177186</v>
      </c>
      <c r="B4217" t="str">
        <f t="shared" si="133"/>
        <v>H177186G204L5CB-M</v>
      </c>
      <c r="C4217" s="1" t="s">
        <v>6</v>
      </c>
      <c r="D4217" s="1" t="s">
        <v>734</v>
      </c>
      <c r="E4217" s="1" t="s">
        <v>402</v>
      </c>
      <c r="F4217" s="1" t="s">
        <v>2289</v>
      </c>
      <c r="G4217" s="1" t="s">
        <v>404</v>
      </c>
      <c r="H4217" s="1">
        <v>1686</v>
      </c>
      <c r="I4217" s="3">
        <v>46282</v>
      </c>
      <c r="L4217" s="31">
        <v>46282.447262384259</v>
      </c>
      <c r="M4217" s="20">
        <v>12</v>
      </c>
      <c r="N4217" s="1">
        <v>89</v>
      </c>
    </row>
    <row r="4218" spans="1:14" x14ac:dyDescent="0.25">
      <c r="A4218" t="str">
        <f t="shared" si="132"/>
        <v>H177186H177186</v>
      </c>
      <c r="B4218" t="str">
        <f t="shared" si="133"/>
        <v>H177186G204L5CB-M</v>
      </c>
      <c r="C4218" s="1" t="s">
        <v>6</v>
      </c>
      <c r="D4218" s="1" t="s">
        <v>734</v>
      </c>
      <c r="E4218" s="1" t="s">
        <v>402</v>
      </c>
      <c r="F4218" s="1" t="s">
        <v>2289</v>
      </c>
      <c r="G4218" s="1" t="s">
        <v>404</v>
      </c>
      <c r="H4218" s="1">
        <v>1686</v>
      </c>
      <c r="I4218" s="3">
        <v>46282</v>
      </c>
      <c r="L4218" s="31">
        <v>46282.447456099537</v>
      </c>
      <c r="M4218" s="20">
        <v>12</v>
      </c>
      <c r="N4218" s="1">
        <v>51</v>
      </c>
    </row>
    <row r="4219" spans="1:14" x14ac:dyDescent="0.25">
      <c r="A4219" t="str">
        <f t="shared" si="132"/>
        <v>H177186H177186</v>
      </c>
      <c r="B4219" t="str">
        <f t="shared" si="133"/>
        <v>H177186G204L5CB-M</v>
      </c>
      <c r="C4219" s="1" t="s">
        <v>6</v>
      </c>
      <c r="D4219" s="1" t="s">
        <v>734</v>
      </c>
      <c r="E4219" s="1" t="s">
        <v>402</v>
      </c>
      <c r="F4219" s="1" t="s">
        <v>2289</v>
      </c>
      <c r="G4219" s="1" t="s">
        <v>404</v>
      </c>
      <c r="H4219" s="1">
        <v>1686</v>
      </c>
      <c r="I4219" s="3">
        <v>46282</v>
      </c>
      <c r="L4219" s="31">
        <v>46282.448027048609</v>
      </c>
      <c r="M4219" s="20">
        <v>12</v>
      </c>
      <c r="N4219" s="1">
        <v>112</v>
      </c>
    </row>
    <row r="4220" spans="1:14" x14ac:dyDescent="0.25">
      <c r="A4220" t="str">
        <f t="shared" si="132"/>
        <v>H177186H177186</v>
      </c>
      <c r="B4220" t="str">
        <f t="shared" si="133"/>
        <v>H177186G204L5CB-M</v>
      </c>
      <c r="C4220" s="1" t="s">
        <v>6</v>
      </c>
      <c r="D4220" s="1" t="s">
        <v>734</v>
      </c>
      <c r="E4220" s="1" t="s">
        <v>402</v>
      </c>
      <c r="F4220" s="1" t="s">
        <v>2289</v>
      </c>
      <c r="G4220" s="1" t="s">
        <v>404</v>
      </c>
      <c r="H4220" s="1">
        <v>1686</v>
      </c>
      <c r="I4220" s="3">
        <v>46282</v>
      </c>
      <c r="L4220" s="31">
        <v>46282.448672569444</v>
      </c>
      <c r="M4220" s="20">
        <v>12</v>
      </c>
      <c r="N4220" s="1">
        <v>91</v>
      </c>
    </row>
    <row r="4221" spans="1:14" x14ac:dyDescent="0.25">
      <c r="A4221" t="str">
        <f t="shared" si="132"/>
        <v>H177186H177186</v>
      </c>
      <c r="B4221" t="str">
        <f t="shared" si="133"/>
        <v>H177186G204L5CB-M</v>
      </c>
      <c r="C4221" s="1" t="s">
        <v>6</v>
      </c>
      <c r="D4221" s="1" t="s">
        <v>734</v>
      </c>
      <c r="E4221" s="1" t="s">
        <v>402</v>
      </c>
      <c r="F4221" s="1" t="s">
        <v>2289</v>
      </c>
      <c r="G4221" s="1" t="s">
        <v>404</v>
      </c>
      <c r="H4221" s="1">
        <v>1686</v>
      </c>
      <c r="I4221" s="3">
        <v>46282</v>
      </c>
      <c r="L4221" s="31">
        <v>46282.457917557869</v>
      </c>
      <c r="M4221" s="20">
        <v>12</v>
      </c>
      <c r="N4221" s="1">
        <v>29</v>
      </c>
    </row>
    <row r="4222" spans="1:14" x14ac:dyDescent="0.25">
      <c r="A4222" t="str">
        <f t="shared" si="132"/>
        <v>H177186H177186</v>
      </c>
      <c r="B4222" t="str">
        <f t="shared" si="133"/>
        <v>H177186G204L5CB-M</v>
      </c>
      <c r="C4222" s="1" t="s">
        <v>6</v>
      </c>
      <c r="D4222" s="1" t="s">
        <v>734</v>
      </c>
      <c r="E4222" s="1" t="s">
        <v>402</v>
      </c>
      <c r="F4222" s="1" t="s">
        <v>2289</v>
      </c>
      <c r="G4222" s="1" t="s">
        <v>404</v>
      </c>
      <c r="H4222" s="1">
        <v>1686</v>
      </c>
      <c r="I4222" s="3">
        <v>46282</v>
      </c>
      <c r="L4222" s="31">
        <v>46282.46318619213</v>
      </c>
      <c r="M4222" s="20">
        <v>12</v>
      </c>
      <c r="N4222" s="1">
        <v>52</v>
      </c>
    </row>
    <row r="4223" spans="1:14" x14ac:dyDescent="0.25">
      <c r="A4223" t="str">
        <f t="shared" si="132"/>
        <v>H177186H177186</v>
      </c>
      <c r="B4223" t="str">
        <f t="shared" si="133"/>
        <v>H177186G204L5CB-M</v>
      </c>
      <c r="C4223" s="1" t="s">
        <v>6</v>
      </c>
      <c r="D4223" s="1" t="s">
        <v>734</v>
      </c>
      <c r="E4223" s="1" t="s">
        <v>402</v>
      </c>
      <c r="F4223" s="1" t="s">
        <v>2289</v>
      </c>
      <c r="G4223" s="1" t="s">
        <v>404</v>
      </c>
      <c r="H4223" s="1">
        <v>1686</v>
      </c>
      <c r="I4223" s="3">
        <v>46282</v>
      </c>
      <c r="L4223" s="31">
        <v>46282.469958680551</v>
      </c>
      <c r="M4223" s="20">
        <v>12</v>
      </c>
      <c r="N4223" s="1">
        <v>31</v>
      </c>
    </row>
    <row r="4224" spans="1:14" x14ac:dyDescent="0.25">
      <c r="A4224" t="str">
        <f t="shared" si="132"/>
        <v>H177186H177186</v>
      </c>
      <c r="B4224" t="str">
        <f t="shared" si="133"/>
        <v>H177186G204L5CB-M</v>
      </c>
      <c r="C4224" s="1" t="s">
        <v>6</v>
      </c>
      <c r="D4224" s="1" t="s">
        <v>734</v>
      </c>
      <c r="E4224" s="1" t="s">
        <v>402</v>
      </c>
      <c r="F4224" s="1" t="s">
        <v>2289</v>
      </c>
      <c r="G4224" s="1" t="s">
        <v>404</v>
      </c>
      <c r="H4224" s="1">
        <v>1686</v>
      </c>
      <c r="I4224" s="3">
        <v>46282</v>
      </c>
      <c r="L4224" s="31">
        <v>46282.470197881943</v>
      </c>
      <c r="M4224" s="20">
        <v>12</v>
      </c>
      <c r="N4224" s="1">
        <v>66</v>
      </c>
    </row>
    <row r="4225" spans="1:14" x14ac:dyDescent="0.25">
      <c r="A4225" t="str">
        <f t="shared" si="132"/>
        <v>H177186H177186</v>
      </c>
      <c r="B4225" t="str">
        <f t="shared" si="133"/>
        <v>H177186G204L5CB-M</v>
      </c>
      <c r="C4225" s="1" t="s">
        <v>6</v>
      </c>
      <c r="D4225" s="1" t="s">
        <v>734</v>
      </c>
      <c r="E4225" s="1" t="s">
        <v>402</v>
      </c>
      <c r="F4225" s="1" t="s">
        <v>2289</v>
      </c>
      <c r="G4225" s="1" t="s">
        <v>404</v>
      </c>
      <c r="H4225" s="1">
        <v>1686</v>
      </c>
      <c r="I4225" s="3">
        <v>46282</v>
      </c>
      <c r="L4225" s="31">
        <v>46282.477187731478</v>
      </c>
      <c r="M4225" s="20">
        <v>12</v>
      </c>
      <c r="N4225" s="1">
        <v>131</v>
      </c>
    </row>
    <row r="4226" spans="1:14" x14ac:dyDescent="0.25">
      <c r="A4226" t="str">
        <f t="shared" ref="A4226:A4289" si="134">+D4226&amp;D4226</f>
        <v>H177186H177186</v>
      </c>
      <c r="B4226" t="str">
        <f t="shared" ref="B4226:B4289" si="135">+D4226&amp;C4226</f>
        <v>H177186G204L5CB-M</v>
      </c>
      <c r="C4226" s="1" t="s">
        <v>6</v>
      </c>
      <c r="D4226" s="1" t="s">
        <v>734</v>
      </c>
      <c r="E4226" s="1" t="s">
        <v>402</v>
      </c>
      <c r="F4226" s="1" t="s">
        <v>2289</v>
      </c>
      <c r="G4226" s="1" t="s">
        <v>404</v>
      </c>
      <c r="H4226" s="1">
        <v>1686</v>
      </c>
      <c r="I4226" s="3">
        <v>46282</v>
      </c>
      <c r="L4226" s="31">
        <v>46282.482970983794</v>
      </c>
      <c r="M4226" s="20">
        <v>12</v>
      </c>
      <c r="N4226" s="1">
        <v>113</v>
      </c>
    </row>
    <row r="4227" spans="1:14" x14ac:dyDescent="0.25">
      <c r="A4227" t="str">
        <f t="shared" si="134"/>
        <v>H177186H177186</v>
      </c>
      <c r="B4227" t="str">
        <f t="shared" si="135"/>
        <v>H177186G204L5CB-M</v>
      </c>
      <c r="C4227" s="1" t="s">
        <v>6</v>
      </c>
      <c r="D4227" s="1" t="s">
        <v>734</v>
      </c>
      <c r="E4227" s="1" t="s">
        <v>402</v>
      </c>
      <c r="F4227" s="1" t="s">
        <v>2289</v>
      </c>
      <c r="G4227" s="1" t="s">
        <v>404</v>
      </c>
      <c r="H4227" s="1">
        <v>1686</v>
      </c>
      <c r="I4227" s="3">
        <v>46282</v>
      </c>
      <c r="L4227" s="31">
        <v>46282.483139895834</v>
      </c>
      <c r="M4227" s="20">
        <v>12</v>
      </c>
      <c r="N4227" s="1">
        <v>32</v>
      </c>
    </row>
    <row r="4228" spans="1:14" x14ac:dyDescent="0.25">
      <c r="A4228" t="str">
        <f t="shared" si="134"/>
        <v>H177186H177186</v>
      </c>
      <c r="B4228" t="str">
        <f t="shared" si="135"/>
        <v>H177186G204L5CB-M</v>
      </c>
      <c r="C4228" s="1" t="s">
        <v>6</v>
      </c>
      <c r="D4228" s="1" t="s">
        <v>734</v>
      </c>
      <c r="E4228" s="1" t="s">
        <v>402</v>
      </c>
      <c r="F4228" s="1" t="s">
        <v>2289</v>
      </c>
      <c r="G4228" s="1" t="s">
        <v>404</v>
      </c>
      <c r="H4228" s="1">
        <v>1686</v>
      </c>
      <c r="I4228" s="3">
        <v>46282</v>
      </c>
      <c r="L4228" s="31">
        <v>46282.483304085647</v>
      </c>
      <c r="M4228" s="20">
        <v>12</v>
      </c>
      <c r="N4228" s="1">
        <v>6</v>
      </c>
    </row>
    <row r="4229" spans="1:14" x14ac:dyDescent="0.25">
      <c r="A4229" t="str">
        <f t="shared" si="134"/>
        <v>H177186H177186</v>
      </c>
      <c r="B4229" t="str">
        <f t="shared" si="135"/>
        <v>H177186G204L5CB-M</v>
      </c>
      <c r="C4229" s="1" t="s">
        <v>6</v>
      </c>
      <c r="D4229" s="1" t="s">
        <v>734</v>
      </c>
      <c r="E4229" s="1" t="s">
        <v>402</v>
      </c>
      <c r="F4229" s="1" t="s">
        <v>2289</v>
      </c>
      <c r="G4229" s="1" t="s">
        <v>404</v>
      </c>
      <c r="H4229" s="1">
        <v>1686</v>
      </c>
      <c r="I4229" s="3">
        <v>46282</v>
      </c>
      <c r="L4229" s="31">
        <v>46282.569682210647</v>
      </c>
      <c r="M4229" s="20">
        <v>12</v>
      </c>
      <c r="N4229" s="1">
        <v>67</v>
      </c>
    </row>
    <row r="4230" spans="1:14" x14ac:dyDescent="0.25">
      <c r="A4230" t="str">
        <f t="shared" si="134"/>
        <v>H177186H177186</v>
      </c>
      <c r="B4230" t="str">
        <f t="shared" si="135"/>
        <v>H177186G204L5CB-M</v>
      </c>
      <c r="C4230" s="1" t="s">
        <v>6</v>
      </c>
      <c r="D4230" s="1" t="s">
        <v>734</v>
      </c>
      <c r="E4230" s="1" t="s">
        <v>402</v>
      </c>
      <c r="F4230" s="1" t="s">
        <v>2289</v>
      </c>
      <c r="G4230" s="1" t="s">
        <v>404</v>
      </c>
      <c r="H4230" s="1">
        <v>1686</v>
      </c>
      <c r="I4230" s="3">
        <v>46282</v>
      </c>
      <c r="L4230" s="31">
        <v>46282.569872916662</v>
      </c>
      <c r="M4230" s="20">
        <v>12</v>
      </c>
      <c r="N4230" s="1">
        <v>94</v>
      </c>
    </row>
    <row r="4231" spans="1:14" x14ac:dyDescent="0.25">
      <c r="A4231" t="str">
        <f t="shared" si="134"/>
        <v>H177186H177186</v>
      </c>
      <c r="B4231" t="str">
        <f t="shared" si="135"/>
        <v>H177186G204L5CB-M</v>
      </c>
      <c r="C4231" s="1" t="s">
        <v>6</v>
      </c>
      <c r="D4231" s="1" t="s">
        <v>734</v>
      </c>
      <c r="E4231" s="1" t="s">
        <v>402</v>
      </c>
      <c r="F4231" s="1" t="s">
        <v>2289</v>
      </c>
      <c r="G4231" s="1" t="s">
        <v>404</v>
      </c>
      <c r="H4231" s="1">
        <v>1686</v>
      </c>
      <c r="I4231" s="3">
        <v>46282</v>
      </c>
      <c r="L4231" s="31">
        <v>46282.577073344903</v>
      </c>
      <c r="M4231" s="20">
        <v>12</v>
      </c>
      <c r="N4231" s="1">
        <v>30</v>
      </c>
    </row>
    <row r="4232" spans="1:14" x14ac:dyDescent="0.25">
      <c r="A4232" t="str">
        <f t="shared" si="134"/>
        <v>H177186H177186</v>
      </c>
      <c r="B4232" t="str">
        <f t="shared" si="135"/>
        <v>H177186G204L5CB-M</v>
      </c>
      <c r="C4232" s="1" t="s">
        <v>6</v>
      </c>
      <c r="D4232" s="1" t="s">
        <v>734</v>
      </c>
      <c r="E4232" s="1" t="s">
        <v>402</v>
      </c>
      <c r="F4232" s="1" t="s">
        <v>2289</v>
      </c>
      <c r="G4232" s="1" t="s">
        <v>404</v>
      </c>
      <c r="H4232" s="1">
        <v>1686</v>
      </c>
      <c r="I4232" s="3">
        <v>46282</v>
      </c>
      <c r="L4232" s="31">
        <v>46282.577428506942</v>
      </c>
      <c r="M4232" s="20">
        <v>12</v>
      </c>
      <c r="N4232" s="1">
        <v>8</v>
      </c>
    </row>
    <row r="4233" spans="1:14" x14ac:dyDescent="0.25">
      <c r="A4233" t="str">
        <f t="shared" si="134"/>
        <v>H177186H177186</v>
      </c>
      <c r="B4233" t="str">
        <f t="shared" si="135"/>
        <v>H177186G204L5CB-M</v>
      </c>
      <c r="C4233" s="1" t="s">
        <v>6</v>
      </c>
      <c r="D4233" s="1" t="s">
        <v>734</v>
      </c>
      <c r="E4233" s="1" t="s">
        <v>402</v>
      </c>
      <c r="F4233" s="1" t="s">
        <v>2289</v>
      </c>
      <c r="G4233" s="1" t="s">
        <v>404</v>
      </c>
      <c r="H4233" s="1">
        <v>1686</v>
      </c>
      <c r="I4233" s="3">
        <v>46282</v>
      </c>
      <c r="L4233" s="31">
        <v>46282.577660069444</v>
      </c>
      <c r="M4233" s="20">
        <v>12</v>
      </c>
      <c r="N4233" s="1">
        <v>7</v>
      </c>
    </row>
    <row r="4234" spans="1:14" x14ac:dyDescent="0.25">
      <c r="A4234" t="str">
        <f t="shared" si="134"/>
        <v>H177186H177186</v>
      </c>
      <c r="B4234" t="str">
        <f t="shared" si="135"/>
        <v>H177186G204L5CB-M</v>
      </c>
      <c r="C4234" s="1" t="s">
        <v>6</v>
      </c>
      <c r="D4234" s="1" t="s">
        <v>734</v>
      </c>
      <c r="E4234" s="1" t="s">
        <v>402</v>
      </c>
      <c r="F4234" s="1" t="s">
        <v>2289</v>
      </c>
      <c r="G4234" s="1" t="s">
        <v>404</v>
      </c>
      <c r="H4234" s="1">
        <v>1686</v>
      </c>
      <c r="I4234" s="3">
        <v>46282</v>
      </c>
      <c r="L4234" s="31">
        <v>46282.577848379631</v>
      </c>
      <c r="M4234" s="20">
        <v>12</v>
      </c>
      <c r="N4234" s="1">
        <v>34</v>
      </c>
    </row>
    <row r="4235" spans="1:14" x14ac:dyDescent="0.25">
      <c r="A4235" t="str">
        <f t="shared" si="134"/>
        <v>H177186H177186</v>
      </c>
      <c r="B4235" t="str">
        <f t="shared" si="135"/>
        <v>H177186G204L5CB-M</v>
      </c>
      <c r="C4235" s="1" t="s">
        <v>6</v>
      </c>
      <c r="D4235" s="1" t="s">
        <v>734</v>
      </c>
      <c r="E4235" s="1" t="s">
        <v>402</v>
      </c>
      <c r="F4235" s="1" t="s">
        <v>2289</v>
      </c>
      <c r="G4235" s="1" t="s">
        <v>404</v>
      </c>
      <c r="H4235" s="1">
        <v>1686</v>
      </c>
      <c r="I4235" s="3">
        <v>46282</v>
      </c>
      <c r="L4235" s="31">
        <v>46282.578019942128</v>
      </c>
      <c r="M4235" s="20">
        <v>12</v>
      </c>
      <c r="N4235" s="1">
        <v>33</v>
      </c>
    </row>
    <row r="4236" spans="1:14" x14ac:dyDescent="0.25">
      <c r="A4236" t="str">
        <f t="shared" si="134"/>
        <v>H177186H177186</v>
      </c>
      <c r="B4236" t="str">
        <f t="shared" si="135"/>
        <v>H177186G204L5CB-M</v>
      </c>
      <c r="C4236" s="1" t="s">
        <v>6</v>
      </c>
      <c r="D4236" s="1" t="s">
        <v>734</v>
      </c>
      <c r="E4236" s="1" t="s">
        <v>402</v>
      </c>
      <c r="F4236" s="1" t="s">
        <v>2289</v>
      </c>
      <c r="G4236" s="1" t="s">
        <v>404</v>
      </c>
      <c r="H4236" s="1">
        <v>1686</v>
      </c>
      <c r="I4236" s="3">
        <v>46282</v>
      </c>
      <c r="L4236" s="31">
        <v>46282.578208483792</v>
      </c>
      <c r="M4236" s="20">
        <v>12</v>
      </c>
      <c r="N4236" s="1">
        <v>114</v>
      </c>
    </row>
    <row r="4237" spans="1:14" x14ac:dyDescent="0.25">
      <c r="A4237" t="str">
        <f t="shared" si="134"/>
        <v>H177186H177186</v>
      </c>
      <c r="B4237" t="str">
        <f t="shared" si="135"/>
        <v>H177186G204L5CB-M</v>
      </c>
      <c r="C4237" s="1" t="s">
        <v>6</v>
      </c>
      <c r="D4237" s="1" t="s">
        <v>734</v>
      </c>
      <c r="E4237" s="1" t="s">
        <v>402</v>
      </c>
      <c r="F4237" s="1" t="s">
        <v>2289</v>
      </c>
      <c r="G4237" s="1" t="s">
        <v>404</v>
      </c>
      <c r="H4237" s="1">
        <v>1686</v>
      </c>
      <c r="I4237" s="3">
        <v>46282</v>
      </c>
      <c r="L4237" s="31">
        <v>46282.578636261569</v>
      </c>
      <c r="M4237" s="20">
        <v>12</v>
      </c>
      <c r="N4237" s="1">
        <v>70</v>
      </c>
    </row>
    <row r="4238" spans="1:14" x14ac:dyDescent="0.25">
      <c r="A4238" t="str">
        <f t="shared" si="134"/>
        <v>H177186H177186</v>
      </c>
      <c r="B4238" t="str">
        <f t="shared" si="135"/>
        <v>H177186G204L5CB-M</v>
      </c>
      <c r="C4238" s="1" t="s">
        <v>6</v>
      </c>
      <c r="D4238" s="1" t="s">
        <v>734</v>
      </c>
      <c r="E4238" s="1" t="s">
        <v>402</v>
      </c>
      <c r="F4238" s="1" t="s">
        <v>2289</v>
      </c>
      <c r="G4238" s="1" t="s">
        <v>404</v>
      </c>
      <c r="H4238" s="1">
        <v>1686</v>
      </c>
      <c r="I4238" s="3">
        <v>46282</v>
      </c>
      <c r="L4238" s="31">
        <v>46282.579021840276</v>
      </c>
      <c r="M4238" s="20">
        <v>12</v>
      </c>
      <c r="N4238" s="1">
        <v>35</v>
      </c>
    </row>
    <row r="4239" spans="1:14" x14ac:dyDescent="0.25">
      <c r="A4239" t="str">
        <f t="shared" si="134"/>
        <v>H177186H177186</v>
      </c>
      <c r="B4239" t="str">
        <f t="shared" si="135"/>
        <v>H177186G204L5CB-M</v>
      </c>
      <c r="C4239" s="1" t="s">
        <v>6</v>
      </c>
      <c r="D4239" s="1" t="s">
        <v>734</v>
      </c>
      <c r="E4239" s="1" t="s">
        <v>402</v>
      </c>
      <c r="F4239" s="1" t="s">
        <v>2289</v>
      </c>
      <c r="G4239" s="1" t="s">
        <v>404</v>
      </c>
      <c r="H4239" s="1">
        <v>1686</v>
      </c>
      <c r="I4239" s="3">
        <v>46282</v>
      </c>
      <c r="L4239" s="31">
        <v>46282.580298263885</v>
      </c>
      <c r="M4239" s="20">
        <v>12</v>
      </c>
      <c r="N4239" s="1">
        <v>71</v>
      </c>
    </row>
    <row r="4240" spans="1:14" x14ac:dyDescent="0.25">
      <c r="A4240" t="str">
        <f t="shared" si="134"/>
        <v>H177186H177186</v>
      </c>
      <c r="B4240" t="str">
        <f t="shared" si="135"/>
        <v>H177186G204L5CB-M</v>
      </c>
      <c r="C4240" s="1" t="s">
        <v>6</v>
      </c>
      <c r="D4240" s="1" t="s">
        <v>734</v>
      </c>
      <c r="E4240" s="1" t="s">
        <v>402</v>
      </c>
      <c r="F4240" s="1" t="s">
        <v>2289</v>
      </c>
      <c r="G4240" s="1" t="s">
        <v>404</v>
      </c>
      <c r="H4240" s="1">
        <v>1686</v>
      </c>
      <c r="I4240" s="3">
        <v>46282</v>
      </c>
      <c r="L4240" s="31">
        <v>46282.586198067125</v>
      </c>
      <c r="M4240" s="20">
        <v>12</v>
      </c>
      <c r="N4240" s="1">
        <v>9</v>
      </c>
    </row>
    <row r="4241" spans="1:14" x14ac:dyDescent="0.25">
      <c r="A4241" t="str">
        <f t="shared" si="134"/>
        <v>H177186H177186</v>
      </c>
      <c r="B4241" t="str">
        <f t="shared" si="135"/>
        <v>H177186G204L5CB-M</v>
      </c>
      <c r="C4241" s="1" t="s">
        <v>6</v>
      </c>
      <c r="D4241" s="1" t="s">
        <v>734</v>
      </c>
      <c r="E4241" s="1" t="s">
        <v>402</v>
      </c>
      <c r="F4241" s="1" t="s">
        <v>2289</v>
      </c>
      <c r="G4241" s="1" t="s">
        <v>404</v>
      </c>
      <c r="H4241" s="1">
        <v>1686</v>
      </c>
      <c r="I4241" s="3">
        <v>46282</v>
      </c>
      <c r="L4241" s="31">
        <v>46282.587875659723</v>
      </c>
      <c r="M4241" s="20">
        <v>12</v>
      </c>
      <c r="N4241" s="1">
        <v>53</v>
      </c>
    </row>
    <row r="4242" spans="1:14" x14ac:dyDescent="0.25">
      <c r="A4242" t="str">
        <f t="shared" si="134"/>
        <v>H177186H177186</v>
      </c>
      <c r="B4242" t="str">
        <f t="shared" si="135"/>
        <v>H177186G204L5CB-M</v>
      </c>
      <c r="C4242" s="1" t="s">
        <v>6</v>
      </c>
      <c r="D4242" s="1" t="s">
        <v>734</v>
      </c>
      <c r="E4242" s="1" t="s">
        <v>402</v>
      </c>
      <c r="F4242" s="1" t="s">
        <v>2289</v>
      </c>
      <c r="G4242" s="1" t="s">
        <v>404</v>
      </c>
      <c r="H4242" s="1">
        <v>1686</v>
      </c>
      <c r="I4242" s="3">
        <v>46282</v>
      </c>
      <c r="L4242" s="31">
        <v>46282.588056909721</v>
      </c>
      <c r="M4242" s="20">
        <v>12</v>
      </c>
      <c r="N4242" s="1">
        <v>95</v>
      </c>
    </row>
    <row r="4243" spans="1:14" x14ac:dyDescent="0.25">
      <c r="A4243" t="str">
        <f t="shared" si="134"/>
        <v>H177186H177186</v>
      </c>
      <c r="B4243" t="str">
        <f t="shared" si="135"/>
        <v>H177186G204L5CB-M</v>
      </c>
      <c r="C4243" s="1" t="s">
        <v>6</v>
      </c>
      <c r="D4243" s="1" t="s">
        <v>734</v>
      </c>
      <c r="E4243" s="1" t="s">
        <v>402</v>
      </c>
      <c r="F4243" s="1" t="s">
        <v>2289</v>
      </c>
      <c r="G4243" s="1" t="s">
        <v>404</v>
      </c>
      <c r="H4243" s="1">
        <v>1686</v>
      </c>
      <c r="I4243" s="3">
        <v>46282</v>
      </c>
      <c r="L4243" s="31">
        <v>46282.596033877315</v>
      </c>
      <c r="M4243" s="20">
        <v>12</v>
      </c>
      <c r="N4243" s="1">
        <v>68</v>
      </c>
    </row>
    <row r="4244" spans="1:14" x14ac:dyDescent="0.25">
      <c r="A4244" t="str">
        <f t="shared" si="134"/>
        <v>H177186H177186</v>
      </c>
      <c r="B4244" t="str">
        <f t="shared" si="135"/>
        <v>H177186G204L5CB-M</v>
      </c>
      <c r="C4244" s="1" t="s">
        <v>6</v>
      </c>
      <c r="D4244" s="1" t="s">
        <v>734</v>
      </c>
      <c r="E4244" s="1" t="s">
        <v>402</v>
      </c>
      <c r="F4244" s="1" t="s">
        <v>2289</v>
      </c>
      <c r="G4244" s="1" t="s">
        <v>404</v>
      </c>
      <c r="H4244" s="1">
        <v>1686</v>
      </c>
      <c r="I4244" s="3">
        <v>46282</v>
      </c>
      <c r="L4244" s="31">
        <v>46282.598683946759</v>
      </c>
      <c r="M4244" s="20">
        <v>12</v>
      </c>
      <c r="N4244" s="1">
        <v>10</v>
      </c>
    </row>
    <row r="4245" spans="1:14" x14ac:dyDescent="0.25">
      <c r="A4245" t="str">
        <f t="shared" si="134"/>
        <v>H177186H177186</v>
      </c>
      <c r="B4245" t="str">
        <f t="shared" si="135"/>
        <v>H177186G204L5CB-M</v>
      </c>
      <c r="C4245" s="1" t="s">
        <v>6</v>
      </c>
      <c r="D4245" s="1" t="s">
        <v>734</v>
      </c>
      <c r="E4245" s="1" t="s">
        <v>402</v>
      </c>
      <c r="F4245" s="1" t="s">
        <v>2289</v>
      </c>
      <c r="G4245" s="1" t="s">
        <v>404</v>
      </c>
      <c r="H4245" s="1">
        <v>1686</v>
      </c>
      <c r="I4245" s="3">
        <v>46282</v>
      </c>
      <c r="L4245" s="31">
        <v>46282.600188773147</v>
      </c>
      <c r="M4245" s="20">
        <v>12</v>
      </c>
      <c r="N4245" s="1">
        <v>72</v>
      </c>
    </row>
    <row r="4246" spans="1:14" x14ac:dyDescent="0.25">
      <c r="A4246" t="str">
        <f t="shared" si="134"/>
        <v>H177186H177186</v>
      </c>
      <c r="B4246" t="str">
        <f t="shared" si="135"/>
        <v>H177186G204L5CB-M</v>
      </c>
      <c r="C4246" s="1" t="s">
        <v>6</v>
      </c>
      <c r="D4246" s="1" t="s">
        <v>734</v>
      </c>
      <c r="E4246" s="1" t="s">
        <v>402</v>
      </c>
      <c r="F4246" s="1" t="s">
        <v>2289</v>
      </c>
      <c r="G4246" s="1" t="s">
        <v>404</v>
      </c>
      <c r="H4246" s="1">
        <v>1686</v>
      </c>
      <c r="I4246" s="3">
        <v>46282</v>
      </c>
      <c r="L4246" s="31">
        <v>46282.600876157405</v>
      </c>
      <c r="M4246" s="20">
        <v>12</v>
      </c>
      <c r="N4246" s="1">
        <v>69</v>
      </c>
    </row>
    <row r="4247" spans="1:14" x14ac:dyDescent="0.25">
      <c r="A4247" t="str">
        <f t="shared" si="134"/>
        <v>H177186H177186</v>
      </c>
      <c r="B4247" t="str">
        <f t="shared" si="135"/>
        <v>H177186G204L5CB-M</v>
      </c>
      <c r="C4247" s="1" t="s">
        <v>6</v>
      </c>
      <c r="D4247" s="1" t="s">
        <v>734</v>
      </c>
      <c r="E4247" s="1" t="s">
        <v>402</v>
      </c>
      <c r="F4247" s="1" t="s">
        <v>2289</v>
      </c>
      <c r="G4247" s="1" t="s">
        <v>404</v>
      </c>
      <c r="H4247" s="1">
        <v>1686</v>
      </c>
      <c r="I4247" s="3">
        <v>46282</v>
      </c>
      <c r="L4247" s="31">
        <v>46282.609469988427</v>
      </c>
      <c r="M4247" s="20">
        <v>12</v>
      </c>
      <c r="N4247" s="1">
        <v>11</v>
      </c>
    </row>
    <row r="4248" spans="1:14" x14ac:dyDescent="0.25">
      <c r="A4248" t="str">
        <f t="shared" si="134"/>
        <v>H177186H177186</v>
      </c>
      <c r="B4248" t="str">
        <f t="shared" si="135"/>
        <v>H177186G204L5CB-M</v>
      </c>
      <c r="C4248" s="1" t="s">
        <v>6</v>
      </c>
      <c r="D4248" s="1" t="s">
        <v>734</v>
      </c>
      <c r="E4248" s="1" t="s">
        <v>402</v>
      </c>
      <c r="F4248" s="1" t="s">
        <v>2289</v>
      </c>
      <c r="G4248" s="1" t="s">
        <v>404</v>
      </c>
      <c r="H4248" s="1">
        <v>1686</v>
      </c>
      <c r="I4248" s="3">
        <v>46282</v>
      </c>
      <c r="L4248" s="31">
        <v>46282.61605196759</v>
      </c>
      <c r="M4248" s="20">
        <v>12</v>
      </c>
      <c r="N4248" s="1">
        <v>12</v>
      </c>
    </row>
    <row r="4249" spans="1:14" x14ac:dyDescent="0.25">
      <c r="A4249" t="str">
        <f t="shared" si="134"/>
        <v>H177186H177186</v>
      </c>
      <c r="B4249" t="str">
        <f t="shared" si="135"/>
        <v>H177186G204L5CB-M</v>
      </c>
      <c r="C4249" s="1" t="s">
        <v>6</v>
      </c>
      <c r="D4249" s="1" t="s">
        <v>734</v>
      </c>
      <c r="E4249" s="1" t="s">
        <v>402</v>
      </c>
      <c r="F4249" s="1" t="s">
        <v>2289</v>
      </c>
      <c r="G4249" s="1" t="s">
        <v>404</v>
      </c>
      <c r="H4249" s="1">
        <v>1686</v>
      </c>
      <c r="I4249" s="3">
        <v>46282</v>
      </c>
      <c r="L4249" s="31">
        <v>46282.616444097221</v>
      </c>
      <c r="M4249" s="20">
        <v>12</v>
      </c>
      <c r="N4249" s="1">
        <v>115</v>
      </c>
    </row>
    <row r="4250" spans="1:14" x14ac:dyDescent="0.25">
      <c r="A4250" t="str">
        <f t="shared" si="134"/>
        <v>H177186H177186</v>
      </c>
      <c r="B4250" t="str">
        <f t="shared" si="135"/>
        <v>H177186G204L5CB-M</v>
      </c>
      <c r="C4250" s="1" t="s">
        <v>6</v>
      </c>
      <c r="D4250" s="1" t="s">
        <v>734</v>
      </c>
      <c r="E4250" s="1" t="s">
        <v>402</v>
      </c>
      <c r="F4250" s="1" t="s">
        <v>2289</v>
      </c>
      <c r="G4250" s="1" t="s">
        <v>404</v>
      </c>
      <c r="H4250" s="1">
        <v>1686</v>
      </c>
      <c r="I4250" s="3">
        <v>46282</v>
      </c>
      <c r="L4250" s="31">
        <v>46282.616649270829</v>
      </c>
      <c r="M4250" s="20">
        <v>12</v>
      </c>
      <c r="N4250" s="1">
        <v>54</v>
      </c>
    </row>
    <row r="4251" spans="1:14" x14ac:dyDescent="0.25">
      <c r="A4251" t="str">
        <f t="shared" si="134"/>
        <v>H177186H177186</v>
      </c>
      <c r="B4251" t="str">
        <f t="shared" si="135"/>
        <v>H177186G204L5CB-M</v>
      </c>
      <c r="C4251" s="1" t="s">
        <v>6</v>
      </c>
      <c r="D4251" s="1" t="s">
        <v>734</v>
      </c>
      <c r="E4251" s="1" t="s">
        <v>402</v>
      </c>
      <c r="F4251" s="1" t="s">
        <v>2289</v>
      </c>
      <c r="G4251" s="1" t="s">
        <v>404</v>
      </c>
      <c r="H4251" s="1">
        <v>1686</v>
      </c>
      <c r="I4251" s="3">
        <v>46282</v>
      </c>
      <c r="L4251" s="31">
        <v>46282.620423842593</v>
      </c>
      <c r="M4251" s="20">
        <v>12</v>
      </c>
      <c r="N4251" s="1">
        <v>36</v>
      </c>
    </row>
    <row r="4252" spans="1:14" x14ac:dyDescent="0.25">
      <c r="A4252" t="str">
        <f t="shared" si="134"/>
        <v>H177186H177186</v>
      </c>
      <c r="B4252" t="str">
        <f t="shared" si="135"/>
        <v>H177186G204L5CB-M</v>
      </c>
      <c r="C4252" s="1" t="s">
        <v>6</v>
      </c>
      <c r="D4252" s="1" t="s">
        <v>734</v>
      </c>
      <c r="E4252" s="1" t="s">
        <v>402</v>
      </c>
      <c r="F4252" s="1" t="s">
        <v>2289</v>
      </c>
      <c r="G4252" s="1" t="s">
        <v>404</v>
      </c>
      <c r="H4252" s="1">
        <v>1686</v>
      </c>
      <c r="I4252" s="3">
        <v>46282</v>
      </c>
      <c r="L4252" s="31">
        <v>46282.620583136573</v>
      </c>
      <c r="M4252" s="20">
        <v>12</v>
      </c>
      <c r="N4252" s="1">
        <v>55</v>
      </c>
    </row>
    <row r="4253" spans="1:14" x14ac:dyDescent="0.25">
      <c r="A4253" t="str">
        <f t="shared" si="134"/>
        <v>H177186H177186</v>
      </c>
      <c r="B4253" t="str">
        <f t="shared" si="135"/>
        <v>H177186G204L5CB-M</v>
      </c>
      <c r="C4253" s="1" t="s">
        <v>6</v>
      </c>
      <c r="D4253" s="1" t="s">
        <v>734</v>
      </c>
      <c r="E4253" s="1" t="s">
        <v>402</v>
      </c>
      <c r="F4253" s="1" t="s">
        <v>2289</v>
      </c>
      <c r="G4253" s="1" t="s">
        <v>404</v>
      </c>
      <c r="H4253" s="1">
        <v>1686</v>
      </c>
      <c r="I4253" s="3">
        <v>46282</v>
      </c>
      <c r="L4253" s="31">
        <v>46282.621064618055</v>
      </c>
      <c r="M4253" s="20">
        <v>12</v>
      </c>
      <c r="N4253" s="1">
        <v>132</v>
      </c>
    </row>
    <row r="4254" spans="1:14" x14ac:dyDescent="0.25">
      <c r="A4254" t="str">
        <f t="shared" si="134"/>
        <v>H177186H177186</v>
      </c>
      <c r="B4254" t="str">
        <f t="shared" si="135"/>
        <v>H177186G204L5CB-M</v>
      </c>
      <c r="C4254" s="1" t="s">
        <v>6</v>
      </c>
      <c r="D4254" s="1" t="s">
        <v>734</v>
      </c>
      <c r="E4254" s="1" t="s">
        <v>402</v>
      </c>
      <c r="F4254" s="1" t="s">
        <v>2289</v>
      </c>
      <c r="G4254" s="1" t="s">
        <v>404</v>
      </c>
      <c r="H4254" s="1">
        <v>1686</v>
      </c>
      <c r="I4254" s="3">
        <v>46282</v>
      </c>
      <c r="L4254" s="31">
        <v>46282.622169247683</v>
      </c>
      <c r="M4254" s="20">
        <v>12</v>
      </c>
      <c r="N4254" s="1">
        <v>73</v>
      </c>
    </row>
    <row r="4255" spans="1:14" x14ac:dyDescent="0.25">
      <c r="A4255" t="str">
        <f t="shared" si="134"/>
        <v>H177186H177186</v>
      </c>
      <c r="B4255" t="str">
        <f t="shared" si="135"/>
        <v>H177186G204L5CB-M</v>
      </c>
      <c r="C4255" s="1" t="s">
        <v>6</v>
      </c>
      <c r="D4255" s="1" t="s">
        <v>734</v>
      </c>
      <c r="E4255" s="1" t="s">
        <v>402</v>
      </c>
      <c r="F4255" s="1" t="s">
        <v>2289</v>
      </c>
      <c r="G4255" s="1" t="s">
        <v>404</v>
      </c>
      <c r="H4255" s="1">
        <v>1686</v>
      </c>
      <c r="I4255" s="3">
        <v>46282</v>
      </c>
      <c r="L4255" s="31">
        <v>46282.624895370369</v>
      </c>
      <c r="M4255" s="20">
        <v>12</v>
      </c>
      <c r="N4255" s="1">
        <v>74</v>
      </c>
    </row>
    <row r="4256" spans="1:14" x14ac:dyDescent="0.25">
      <c r="A4256" t="str">
        <f t="shared" si="134"/>
        <v>H177186H177186</v>
      </c>
      <c r="B4256" t="str">
        <f t="shared" si="135"/>
        <v>H177186G204L5CB-M</v>
      </c>
      <c r="C4256" s="1" t="s">
        <v>6</v>
      </c>
      <c r="D4256" s="1" t="s">
        <v>734</v>
      </c>
      <c r="E4256" s="1" t="s">
        <v>402</v>
      </c>
      <c r="F4256" s="1" t="s">
        <v>2289</v>
      </c>
      <c r="G4256" s="1" t="s">
        <v>404</v>
      </c>
      <c r="H4256" s="1">
        <v>1686</v>
      </c>
      <c r="I4256" s="3">
        <v>46282</v>
      </c>
      <c r="L4256" s="31">
        <v>46282.627721493052</v>
      </c>
      <c r="M4256" s="20">
        <v>12</v>
      </c>
      <c r="N4256" s="1">
        <v>116</v>
      </c>
    </row>
    <row r="4257" spans="1:14" x14ac:dyDescent="0.25">
      <c r="A4257" t="str">
        <f t="shared" si="134"/>
        <v>H177186H177186</v>
      </c>
      <c r="B4257" t="str">
        <f t="shared" si="135"/>
        <v>H177186G204L5CB-M</v>
      </c>
      <c r="C4257" s="1" t="s">
        <v>6</v>
      </c>
      <c r="D4257" s="1" t="s">
        <v>734</v>
      </c>
      <c r="E4257" s="1" t="s">
        <v>402</v>
      </c>
      <c r="F4257" s="1" t="s">
        <v>2289</v>
      </c>
      <c r="G4257" s="1" t="s">
        <v>404</v>
      </c>
      <c r="H4257" s="1">
        <v>1686</v>
      </c>
      <c r="I4257" s="3">
        <v>46282</v>
      </c>
      <c r="L4257" s="31">
        <v>46282.629350694442</v>
      </c>
      <c r="M4257" s="20">
        <v>12</v>
      </c>
      <c r="N4257" s="1">
        <v>13</v>
      </c>
    </row>
    <row r="4258" spans="1:14" x14ac:dyDescent="0.25">
      <c r="A4258" t="str">
        <f t="shared" si="134"/>
        <v>H177186H177186</v>
      </c>
      <c r="B4258" t="str">
        <f t="shared" si="135"/>
        <v>H177186G204L5CB-M</v>
      </c>
      <c r="C4258" s="1" t="s">
        <v>6</v>
      </c>
      <c r="D4258" s="1" t="s">
        <v>734</v>
      </c>
      <c r="E4258" s="1" t="s">
        <v>402</v>
      </c>
      <c r="F4258" s="1" t="s">
        <v>2289</v>
      </c>
      <c r="G4258" s="1" t="s">
        <v>404</v>
      </c>
      <c r="H4258" s="1">
        <v>1686</v>
      </c>
      <c r="I4258" s="3">
        <v>46282</v>
      </c>
      <c r="L4258" s="31">
        <v>46282.636103900462</v>
      </c>
      <c r="M4258" s="20">
        <v>12</v>
      </c>
      <c r="N4258" s="1">
        <v>108</v>
      </c>
    </row>
    <row r="4259" spans="1:14" x14ac:dyDescent="0.25">
      <c r="A4259" t="str">
        <f t="shared" si="134"/>
        <v>H177186H177186</v>
      </c>
      <c r="B4259" t="str">
        <f t="shared" si="135"/>
        <v>H177186G204L5CB-M</v>
      </c>
      <c r="C4259" s="1" t="s">
        <v>6</v>
      </c>
      <c r="D4259" s="1" t="s">
        <v>734</v>
      </c>
      <c r="E4259" s="1" t="s">
        <v>402</v>
      </c>
      <c r="F4259" s="1" t="s">
        <v>2289</v>
      </c>
      <c r="G4259" s="1" t="s">
        <v>404</v>
      </c>
      <c r="H4259" s="1">
        <v>1686</v>
      </c>
      <c r="I4259" s="3">
        <v>46282</v>
      </c>
      <c r="L4259" s="31">
        <v>46282.648193668982</v>
      </c>
      <c r="M4259" s="20">
        <v>12</v>
      </c>
      <c r="N4259" s="1">
        <v>75</v>
      </c>
    </row>
    <row r="4260" spans="1:14" x14ac:dyDescent="0.25">
      <c r="A4260" t="str">
        <f t="shared" si="134"/>
        <v>H177186H177186</v>
      </c>
      <c r="B4260" t="str">
        <f t="shared" si="135"/>
        <v>H177186G204L5CB-M</v>
      </c>
      <c r="C4260" s="1" t="s">
        <v>6</v>
      </c>
      <c r="D4260" s="1" t="s">
        <v>734</v>
      </c>
      <c r="E4260" s="1" t="s">
        <v>402</v>
      </c>
      <c r="F4260" s="1" t="s">
        <v>2289</v>
      </c>
      <c r="G4260" s="1" t="s">
        <v>404</v>
      </c>
      <c r="H4260" s="1">
        <v>1686</v>
      </c>
      <c r="I4260" s="3">
        <v>46282</v>
      </c>
      <c r="L4260" s="31">
        <v>46282.648419097219</v>
      </c>
      <c r="M4260" s="20">
        <v>12</v>
      </c>
      <c r="N4260" s="1">
        <v>133</v>
      </c>
    </row>
    <row r="4261" spans="1:14" x14ac:dyDescent="0.25">
      <c r="A4261" t="str">
        <f t="shared" si="134"/>
        <v>H177186H177186</v>
      </c>
      <c r="B4261" t="str">
        <f t="shared" si="135"/>
        <v>H177186G204L5CB-M</v>
      </c>
      <c r="C4261" s="1" t="s">
        <v>6</v>
      </c>
      <c r="D4261" s="1" t="s">
        <v>734</v>
      </c>
      <c r="E4261" s="1" t="s">
        <v>402</v>
      </c>
      <c r="F4261" s="1" t="s">
        <v>2289</v>
      </c>
      <c r="G4261" s="1" t="s">
        <v>404</v>
      </c>
      <c r="H4261" s="1">
        <v>1686</v>
      </c>
      <c r="I4261" s="3">
        <v>46282</v>
      </c>
      <c r="L4261" s="31">
        <v>46282.655861423613</v>
      </c>
      <c r="M4261" s="20">
        <v>12</v>
      </c>
      <c r="N4261" s="1">
        <v>64</v>
      </c>
    </row>
    <row r="4262" spans="1:14" x14ac:dyDescent="0.25">
      <c r="A4262" t="str">
        <f t="shared" si="134"/>
        <v>H177186H177186</v>
      </c>
      <c r="B4262" t="str">
        <f t="shared" si="135"/>
        <v>H177186G204L5CB-M</v>
      </c>
      <c r="C4262" s="1" t="s">
        <v>6</v>
      </c>
      <c r="D4262" s="1" t="s">
        <v>734</v>
      </c>
      <c r="E4262" s="1" t="s">
        <v>402</v>
      </c>
      <c r="F4262" s="1" t="s">
        <v>2289</v>
      </c>
      <c r="G4262" s="1" t="s">
        <v>404</v>
      </c>
      <c r="H4262" s="1">
        <v>1686</v>
      </c>
      <c r="I4262" s="3">
        <v>46282</v>
      </c>
      <c r="L4262" s="31">
        <v>46282.656136655089</v>
      </c>
      <c r="M4262" s="20">
        <v>12</v>
      </c>
      <c r="N4262" s="1">
        <v>118</v>
      </c>
    </row>
    <row r="4263" spans="1:14" x14ac:dyDescent="0.25">
      <c r="A4263" t="str">
        <f t="shared" si="134"/>
        <v>H177596H177596</v>
      </c>
      <c r="B4263" t="str">
        <f t="shared" si="135"/>
        <v>H177596P90609YZ-M</v>
      </c>
      <c r="C4263" s="1" t="s">
        <v>746</v>
      </c>
      <c r="D4263" s="1" t="s">
        <v>747</v>
      </c>
      <c r="E4263" s="1" t="s">
        <v>2292</v>
      </c>
      <c r="F4263" s="1" t="s">
        <v>2293</v>
      </c>
      <c r="G4263" s="1" t="s">
        <v>404</v>
      </c>
      <c r="H4263" s="1">
        <v>276</v>
      </c>
      <c r="I4263" s="3">
        <v>46282</v>
      </c>
      <c r="J4263" s="3">
        <v>46287</v>
      </c>
      <c r="K4263" s="3" t="s">
        <v>2365</v>
      </c>
      <c r="L4263" s="31">
        <v>46282.603384953705</v>
      </c>
      <c r="M4263" s="20">
        <v>12</v>
      </c>
      <c r="N4263" s="1">
        <v>13</v>
      </c>
    </row>
    <row r="4264" spans="1:14" x14ac:dyDescent="0.25">
      <c r="A4264" t="str">
        <f t="shared" si="134"/>
        <v>H177596H177596</v>
      </c>
      <c r="B4264" t="str">
        <f t="shared" si="135"/>
        <v>H177596P90609YZ-M</v>
      </c>
      <c r="C4264" s="1" t="s">
        <v>746</v>
      </c>
      <c r="D4264" s="1" t="s">
        <v>747</v>
      </c>
      <c r="E4264" s="1" t="s">
        <v>2292</v>
      </c>
      <c r="F4264" s="1" t="s">
        <v>2293</v>
      </c>
      <c r="G4264" s="1" t="s">
        <v>404</v>
      </c>
      <c r="H4264" s="1">
        <v>276</v>
      </c>
      <c r="I4264" s="3">
        <v>46282</v>
      </c>
      <c r="J4264" s="3">
        <v>46287</v>
      </c>
      <c r="K4264" s="3" t="s">
        <v>2365</v>
      </c>
      <c r="L4264" s="31">
        <v>46282.603638425921</v>
      </c>
      <c r="M4264" s="20">
        <v>12</v>
      </c>
      <c r="N4264" s="1">
        <v>14</v>
      </c>
    </row>
    <row r="4265" spans="1:14" x14ac:dyDescent="0.25">
      <c r="A4265" t="str">
        <f t="shared" si="134"/>
        <v>H177596H177596</v>
      </c>
      <c r="B4265" t="str">
        <f t="shared" si="135"/>
        <v>H177596P90609YZ-M</v>
      </c>
      <c r="C4265" s="1" t="s">
        <v>746</v>
      </c>
      <c r="D4265" s="1" t="s">
        <v>747</v>
      </c>
      <c r="E4265" s="1" t="s">
        <v>2292</v>
      </c>
      <c r="F4265" s="1" t="s">
        <v>2293</v>
      </c>
      <c r="G4265" s="1" t="s">
        <v>404</v>
      </c>
      <c r="H4265" s="1">
        <v>276</v>
      </c>
      <c r="I4265" s="3">
        <v>46282</v>
      </c>
      <c r="J4265" s="3">
        <v>46287</v>
      </c>
      <c r="K4265" s="3" t="s">
        <v>2365</v>
      </c>
      <c r="L4265" s="31">
        <v>46282.604051006943</v>
      </c>
      <c r="M4265" s="20">
        <v>12</v>
      </c>
      <c r="N4265" s="1">
        <v>16</v>
      </c>
    </row>
    <row r="4266" spans="1:14" x14ac:dyDescent="0.25">
      <c r="A4266" t="str">
        <f t="shared" si="134"/>
        <v>H177596H177596</v>
      </c>
      <c r="B4266" t="str">
        <f t="shared" si="135"/>
        <v>H177596P90609YZ-M</v>
      </c>
      <c r="C4266" s="1" t="s">
        <v>746</v>
      </c>
      <c r="D4266" s="1" t="s">
        <v>747</v>
      </c>
      <c r="E4266" s="1" t="s">
        <v>2292</v>
      </c>
      <c r="F4266" s="1" t="s">
        <v>2293</v>
      </c>
      <c r="G4266" s="1" t="s">
        <v>404</v>
      </c>
      <c r="H4266" s="1">
        <v>276</v>
      </c>
      <c r="I4266" s="3">
        <v>46282</v>
      </c>
      <c r="J4266" s="3">
        <v>46287</v>
      </c>
      <c r="K4266" s="3" t="s">
        <v>2365</v>
      </c>
      <c r="L4266" s="31">
        <v>46282.60467966435</v>
      </c>
      <c r="M4266" s="20">
        <v>12</v>
      </c>
      <c r="N4266" s="1">
        <v>15</v>
      </c>
    </row>
    <row r="4267" spans="1:14" x14ac:dyDescent="0.25">
      <c r="A4267" t="str">
        <f t="shared" si="134"/>
        <v>H177596H177596</v>
      </c>
      <c r="B4267" t="str">
        <f t="shared" si="135"/>
        <v>H177596P90609YZ-M</v>
      </c>
      <c r="C4267" s="1" t="s">
        <v>746</v>
      </c>
      <c r="D4267" s="1" t="s">
        <v>747</v>
      </c>
      <c r="E4267" s="1" t="s">
        <v>2292</v>
      </c>
      <c r="F4267" s="1" t="s">
        <v>2293</v>
      </c>
      <c r="G4267" s="1" t="s">
        <v>404</v>
      </c>
      <c r="H4267" s="1">
        <v>276</v>
      </c>
      <c r="I4267" s="3">
        <v>46282</v>
      </c>
      <c r="J4267" s="3">
        <v>46287</v>
      </c>
      <c r="K4267" s="3" t="s">
        <v>2365</v>
      </c>
      <c r="L4267" s="31">
        <v>46282.611112037033</v>
      </c>
      <c r="M4267" s="20">
        <v>12</v>
      </c>
      <c r="N4267" s="1">
        <v>6</v>
      </c>
    </row>
    <row r="4268" spans="1:14" x14ac:dyDescent="0.25">
      <c r="A4268" t="str">
        <f t="shared" si="134"/>
        <v>H177596H177596</v>
      </c>
      <c r="B4268" t="str">
        <f t="shared" si="135"/>
        <v>H177596P90609YZ-M</v>
      </c>
      <c r="C4268" s="1" t="s">
        <v>746</v>
      </c>
      <c r="D4268" s="1" t="s">
        <v>747</v>
      </c>
      <c r="E4268" s="1" t="s">
        <v>2292</v>
      </c>
      <c r="F4268" s="1" t="s">
        <v>2293</v>
      </c>
      <c r="G4268" s="1" t="s">
        <v>404</v>
      </c>
      <c r="H4268" s="1">
        <v>276</v>
      </c>
      <c r="I4268" s="3">
        <v>46282</v>
      </c>
      <c r="J4268" s="3">
        <v>46287</v>
      </c>
      <c r="K4268" s="3" t="s">
        <v>2365</v>
      </c>
      <c r="L4268" s="31">
        <v>46282.611348842591</v>
      </c>
      <c r="M4268" s="20">
        <v>12</v>
      </c>
      <c r="N4268" s="1">
        <v>5</v>
      </c>
    </row>
    <row r="4269" spans="1:14" x14ac:dyDescent="0.25">
      <c r="A4269" t="str">
        <f t="shared" si="134"/>
        <v>H177596H177596</v>
      </c>
      <c r="B4269" t="str">
        <f t="shared" si="135"/>
        <v>H177596P90609YZ-M</v>
      </c>
      <c r="C4269" s="1" t="s">
        <v>746</v>
      </c>
      <c r="D4269" s="1" t="s">
        <v>747</v>
      </c>
      <c r="E4269" s="1" t="s">
        <v>2292</v>
      </c>
      <c r="F4269" s="1" t="s">
        <v>2293</v>
      </c>
      <c r="G4269" s="1" t="s">
        <v>404</v>
      </c>
      <c r="H4269" s="1">
        <v>276</v>
      </c>
      <c r="I4269" s="3">
        <v>46282</v>
      </c>
      <c r="J4269" s="3">
        <v>46287</v>
      </c>
      <c r="K4269" s="3" t="s">
        <v>2365</v>
      </c>
      <c r="L4269" s="31">
        <v>46282.611618136572</v>
      </c>
      <c r="M4269" s="20">
        <v>12</v>
      </c>
      <c r="N4269" s="1">
        <v>8</v>
      </c>
    </row>
    <row r="4270" spans="1:14" x14ac:dyDescent="0.25">
      <c r="A4270" t="str">
        <f t="shared" si="134"/>
        <v>H177596H177596</v>
      </c>
      <c r="B4270" t="str">
        <f t="shared" si="135"/>
        <v>H177596P90609YZ-M</v>
      </c>
      <c r="C4270" s="1" t="s">
        <v>746</v>
      </c>
      <c r="D4270" s="1" t="s">
        <v>747</v>
      </c>
      <c r="E4270" s="1" t="s">
        <v>2292</v>
      </c>
      <c r="F4270" s="1" t="s">
        <v>2293</v>
      </c>
      <c r="G4270" s="1" t="s">
        <v>404</v>
      </c>
      <c r="H4270" s="1">
        <v>276</v>
      </c>
      <c r="I4270" s="3">
        <v>46282</v>
      </c>
      <c r="J4270" s="3">
        <v>46287</v>
      </c>
      <c r="K4270" s="3" t="s">
        <v>2365</v>
      </c>
      <c r="L4270" s="31">
        <v>46282.612358182865</v>
      </c>
      <c r="M4270" s="20">
        <v>12</v>
      </c>
      <c r="N4270" s="1">
        <v>7</v>
      </c>
    </row>
    <row r="4271" spans="1:14" x14ac:dyDescent="0.25">
      <c r="A4271" t="str">
        <f t="shared" si="134"/>
        <v>H177596H177596</v>
      </c>
      <c r="B4271" t="str">
        <f t="shared" si="135"/>
        <v>H177596P90609YZ-M</v>
      </c>
      <c r="C4271" s="1" t="s">
        <v>746</v>
      </c>
      <c r="D4271" s="1" t="s">
        <v>747</v>
      </c>
      <c r="E4271" s="1" t="s">
        <v>2292</v>
      </c>
      <c r="F4271" s="1" t="s">
        <v>2293</v>
      </c>
      <c r="G4271" s="1" t="s">
        <v>404</v>
      </c>
      <c r="H4271" s="1">
        <v>276</v>
      </c>
      <c r="I4271" s="3">
        <v>46282</v>
      </c>
      <c r="J4271" s="3">
        <v>46287</v>
      </c>
      <c r="K4271" s="3" t="s">
        <v>2365</v>
      </c>
      <c r="L4271" s="31">
        <v>46282.61485366898</v>
      </c>
      <c r="M4271" s="20">
        <v>12</v>
      </c>
      <c r="N4271" s="1">
        <v>18</v>
      </c>
    </row>
    <row r="4272" spans="1:14" x14ac:dyDescent="0.25">
      <c r="A4272" t="str">
        <f t="shared" si="134"/>
        <v>H177596H177596</v>
      </c>
      <c r="B4272" t="str">
        <f t="shared" si="135"/>
        <v>H177596P90609YZ-M</v>
      </c>
      <c r="C4272" s="1" t="s">
        <v>746</v>
      </c>
      <c r="D4272" s="1" t="s">
        <v>747</v>
      </c>
      <c r="E4272" s="1" t="s">
        <v>2292</v>
      </c>
      <c r="F4272" s="1" t="s">
        <v>2293</v>
      </c>
      <c r="G4272" s="1" t="s">
        <v>404</v>
      </c>
      <c r="H4272" s="1">
        <v>276</v>
      </c>
      <c r="I4272" s="3">
        <v>46282</v>
      </c>
      <c r="J4272" s="3">
        <v>46287</v>
      </c>
      <c r="K4272" s="3" t="s">
        <v>2365</v>
      </c>
      <c r="L4272" s="31">
        <v>46282.615032523143</v>
      </c>
      <c r="M4272" s="20">
        <v>12</v>
      </c>
      <c r="N4272" s="1">
        <v>19</v>
      </c>
    </row>
    <row r="4273" spans="1:14" x14ac:dyDescent="0.25">
      <c r="A4273" t="str">
        <f t="shared" si="134"/>
        <v>H177596H177596</v>
      </c>
      <c r="B4273" t="str">
        <f t="shared" si="135"/>
        <v>H177596P90609YZ-M</v>
      </c>
      <c r="C4273" s="1" t="s">
        <v>746</v>
      </c>
      <c r="D4273" s="1" t="s">
        <v>747</v>
      </c>
      <c r="E4273" s="1" t="s">
        <v>2292</v>
      </c>
      <c r="F4273" s="1" t="s">
        <v>2293</v>
      </c>
      <c r="G4273" s="1" t="s">
        <v>404</v>
      </c>
      <c r="H4273" s="1">
        <v>276</v>
      </c>
      <c r="I4273" s="3">
        <v>46282</v>
      </c>
      <c r="J4273" s="3">
        <v>46287</v>
      </c>
      <c r="K4273" s="3" t="s">
        <v>2365</v>
      </c>
      <c r="L4273" s="31">
        <v>46282.618224074075</v>
      </c>
      <c r="M4273" s="20">
        <v>12</v>
      </c>
      <c r="N4273" s="1">
        <v>17</v>
      </c>
    </row>
    <row r="4274" spans="1:14" x14ac:dyDescent="0.25">
      <c r="A4274" t="str">
        <f t="shared" si="134"/>
        <v>H177596H177596</v>
      </c>
      <c r="B4274" t="str">
        <f t="shared" si="135"/>
        <v>H177596P90609YZ-M</v>
      </c>
      <c r="C4274" s="1" t="s">
        <v>746</v>
      </c>
      <c r="D4274" s="1" t="s">
        <v>747</v>
      </c>
      <c r="E4274" s="1" t="s">
        <v>2292</v>
      </c>
      <c r="F4274" s="1" t="s">
        <v>2293</v>
      </c>
      <c r="G4274" s="1" t="s">
        <v>404</v>
      </c>
      <c r="H4274" s="1">
        <v>276</v>
      </c>
      <c r="I4274" s="3">
        <v>46282</v>
      </c>
      <c r="J4274" s="3">
        <v>46287</v>
      </c>
      <c r="K4274" s="3" t="s">
        <v>2365</v>
      </c>
      <c r="L4274" s="31">
        <v>46282.624104085648</v>
      </c>
      <c r="M4274" s="20">
        <v>12</v>
      </c>
      <c r="N4274" s="1">
        <v>20</v>
      </c>
    </row>
    <row r="4275" spans="1:14" x14ac:dyDescent="0.25">
      <c r="A4275" t="str">
        <f t="shared" si="134"/>
        <v>H177596H177596</v>
      </c>
      <c r="B4275" t="str">
        <f t="shared" si="135"/>
        <v>H177596P90609YZ-M</v>
      </c>
      <c r="C4275" s="1" t="s">
        <v>746</v>
      </c>
      <c r="D4275" s="1" t="s">
        <v>747</v>
      </c>
      <c r="E4275" s="1" t="s">
        <v>2292</v>
      </c>
      <c r="F4275" s="1" t="s">
        <v>2293</v>
      </c>
      <c r="G4275" s="1" t="s">
        <v>404</v>
      </c>
      <c r="H4275" s="1">
        <v>276</v>
      </c>
      <c r="I4275" s="3">
        <v>46282</v>
      </c>
      <c r="J4275" s="3">
        <v>46287</v>
      </c>
      <c r="K4275" s="3" t="s">
        <v>2365</v>
      </c>
      <c r="L4275" s="31">
        <v>46282.666776932871</v>
      </c>
      <c r="M4275" s="20">
        <v>12</v>
      </c>
      <c r="N4275" s="1">
        <v>10</v>
      </c>
    </row>
    <row r="4276" spans="1:14" x14ac:dyDescent="0.25">
      <c r="A4276" t="str">
        <f t="shared" si="134"/>
        <v>H177596H177596</v>
      </c>
      <c r="B4276" t="str">
        <f t="shared" si="135"/>
        <v>H177596P90609YZ-M</v>
      </c>
      <c r="C4276" s="1" t="s">
        <v>746</v>
      </c>
      <c r="D4276" s="1" t="s">
        <v>747</v>
      </c>
      <c r="E4276" s="1" t="s">
        <v>2292</v>
      </c>
      <c r="F4276" s="1" t="s">
        <v>2293</v>
      </c>
      <c r="G4276" s="1" t="s">
        <v>404</v>
      </c>
      <c r="H4276" s="1">
        <v>276</v>
      </c>
      <c r="I4276" s="3">
        <v>46282</v>
      </c>
      <c r="J4276" s="3">
        <v>46287</v>
      </c>
      <c r="K4276" s="3" t="s">
        <v>2365</v>
      </c>
      <c r="L4276" s="31">
        <v>46282.667315509258</v>
      </c>
      <c r="M4276" s="20">
        <v>12</v>
      </c>
      <c r="N4276" s="1">
        <v>9</v>
      </c>
    </row>
    <row r="4277" spans="1:14" x14ac:dyDescent="0.25">
      <c r="A4277" t="str">
        <f t="shared" si="134"/>
        <v>H177596H177596</v>
      </c>
      <c r="B4277" t="str">
        <f t="shared" si="135"/>
        <v>H177596P90609YZ-M</v>
      </c>
      <c r="C4277" s="1" t="s">
        <v>746</v>
      </c>
      <c r="D4277" s="1" t="s">
        <v>747</v>
      </c>
      <c r="E4277" s="1" t="s">
        <v>2292</v>
      </c>
      <c r="F4277" s="1" t="s">
        <v>2293</v>
      </c>
      <c r="G4277" s="1" t="s">
        <v>404</v>
      </c>
      <c r="H4277" s="1">
        <v>276</v>
      </c>
      <c r="I4277" s="3">
        <v>46282</v>
      </c>
      <c r="J4277" s="3">
        <v>46287</v>
      </c>
      <c r="K4277" s="3" t="s">
        <v>2365</v>
      </c>
      <c r="L4277" s="31">
        <v>46282.667698067125</v>
      </c>
      <c r="M4277" s="20">
        <v>12</v>
      </c>
      <c r="N4277" s="1">
        <v>2</v>
      </c>
    </row>
    <row r="4278" spans="1:14" x14ac:dyDescent="0.25">
      <c r="A4278" t="str">
        <f t="shared" si="134"/>
        <v>H177596H177596</v>
      </c>
      <c r="B4278" t="str">
        <f t="shared" si="135"/>
        <v>H177596P90609YZ-M</v>
      </c>
      <c r="C4278" s="1" t="s">
        <v>746</v>
      </c>
      <c r="D4278" s="1" t="s">
        <v>747</v>
      </c>
      <c r="E4278" s="1" t="s">
        <v>2292</v>
      </c>
      <c r="F4278" s="1" t="s">
        <v>2293</v>
      </c>
      <c r="G4278" s="1" t="s">
        <v>404</v>
      </c>
      <c r="H4278" s="1">
        <v>276</v>
      </c>
      <c r="I4278" s="3">
        <v>46282</v>
      </c>
      <c r="J4278" s="3">
        <v>46287</v>
      </c>
      <c r="K4278" s="3" t="s">
        <v>2365</v>
      </c>
      <c r="L4278" s="31">
        <v>46282.667852696759</v>
      </c>
      <c r="M4278" s="20">
        <v>12</v>
      </c>
      <c r="N4278" s="1">
        <v>21</v>
      </c>
    </row>
    <row r="4279" spans="1:14" x14ac:dyDescent="0.25">
      <c r="A4279" t="str">
        <f t="shared" si="134"/>
        <v>H188981H188981</v>
      </c>
      <c r="B4279" t="str">
        <f t="shared" si="135"/>
        <v>H188981M997H23Y-D</v>
      </c>
      <c r="C4279" s="1" t="s">
        <v>475</v>
      </c>
      <c r="D4279" s="1" t="s">
        <v>745</v>
      </c>
      <c r="E4279" s="1" t="s">
        <v>498</v>
      </c>
      <c r="F4279" s="1" t="s">
        <v>499</v>
      </c>
      <c r="G4279" s="1" t="s">
        <v>404</v>
      </c>
      <c r="H4279" s="1">
        <v>870</v>
      </c>
      <c r="I4279" s="3">
        <v>46282</v>
      </c>
      <c r="J4279" s="3">
        <v>46288</v>
      </c>
      <c r="K4279" s="3" t="s">
        <v>2371</v>
      </c>
      <c r="L4279" s="31">
        <v>46282.563752118054</v>
      </c>
      <c r="M4279" s="20">
        <v>12</v>
      </c>
      <c r="N4279" s="1">
        <v>66</v>
      </c>
    </row>
    <row r="4280" spans="1:14" x14ac:dyDescent="0.25">
      <c r="A4280" t="str">
        <f t="shared" si="134"/>
        <v>H188981H188981</v>
      </c>
      <c r="B4280" t="str">
        <f t="shared" si="135"/>
        <v>H188981M997H23Y-D</v>
      </c>
      <c r="C4280" s="1" t="s">
        <v>475</v>
      </c>
      <c r="D4280" s="1" t="s">
        <v>745</v>
      </c>
      <c r="E4280" s="1" t="s">
        <v>498</v>
      </c>
      <c r="F4280" s="1" t="s">
        <v>499</v>
      </c>
      <c r="G4280" s="1" t="s">
        <v>404</v>
      </c>
      <c r="H4280" s="1">
        <v>870</v>
      </c>
      <c r="I4280" s="3">
        <v>46282</v>
      </c>
      <c r="J4280" s="3">
        <v>46288</v>
      </c>
      <c r="K4280" s="3" t="s">
        <v>2371</v>
      </c>
      <c r="L4280" s="31">
        <v>46282.564697650458</v>
      </c>
      <c r="M4280" s="20">
        <v>12</v>
      </c>
      <c r="N4280" s="1">
        <v>34</v>
      </c>
    </row>
    <row r="4281" spans="1:14" x14ac:dyDescent="0.25">
      <c r="A4281" t="str">
        <f t="shared" si="134"/>
        <v>H188981H188981</v>
      </c>
      <c r="B4281" t="str">
        <f t="shared" si="135"/>
        <v>H188981M997H23Y-D</v>
      </c>
      <c r="C4281" s="1" t="s">
        <v>475</v>
      </c>
      <c r="D4281" s="1" t="s">
        <v>745</v>
      </c>
      <c r="E4281" s="1" t="s">
        <v>498</v>
      </c>
      <c r="F4281" s="1" t="s">
        <v>499</v>
      </c>
      <c r="G4281" s="1" t="s">
        <v>404</v>
      </c>
      <c r="H4281" s="1">
        <v>870</v>
      </c>
      <c r="I4281" s="3">
        <v>46282</v>
      </c>
      <c r="J4281" s="3">
        <v>46288</v>
      </c>
      <c r="K4281" s="3" t="s">
        <v>2371</v>
      </c>
      <c r="L4281" s="31">
        <v>46282.589047337962</v>
      </c>
      <c r="M4281" s="20">
        <v>12</v>
      </c>
      <c r="N4281" s="1">
        <v>19</v>
      </c>
    </row>
    <row r="4282" spans="1:14" x14ac:dyDescent="0.25">
      <c r="A4282" t="str">
        <f t="shared" si="134"/>
        <v>H188981H188981</v>
      </c>
      <c r="B4282" t="str">
        <f t="shared" si="135"/>
        <v>H188981M997H23Y-D</v>
      </c>
      <c r="C4282" s="1" t="s">
        <v>475</v>
      </c>
      <c r="D4282" s="1" t="s">
        <v>745</v>
      </c>
      <c r="E4282" s="1" t="s">
        <v>498</v>
      </c>
      <c r="F4282" s="1" t="s">
        <v>499</v>
      </c>
      <c r="G4282" s="1" t="s">
        <v>404</v>
      </c>
      <c r="H4282" s="1">
        <v>870</v>
      </c>
      <c r="I4282" s="3">
        <v>46282</v>
      </c>
      <c r="J4282" s="3">
        <v>46288</v>
      </c>
      <c r="K4282" s="3" t="s">
        <v>2371</v>
      </c>
      <c r="L4282" s="31">
        <v>46282.612944710643</v>
      </c>
      <c r="M4282" s="20">
        <v>12</v>
      </c>
      <c r="N4282" s="1">
        <v>67</v>
      </c>
    </row>
    <row r="4283" spans="1:14" x14ac:dyDescent="0.25">
      <c r="A4283" t="str">
        <f t="shared" si="134"/>
        <v>H188981H188981</v>
      </c>
      <c r="B4283" t="str">
        <f t="shared" si="135"/>
        <v>H188981M997H23Y-D</v>
      </c>
      <c r="C4283" s="1" t="s">
        <v>475</v>
      </c>
      <c r="D4283" s="1" t="s">
        <v>745</v>
      </c>
      <c r="E4283" s="1" t="s">
        <v>498</v>
      </c>
      <c r="F4283" s="1" t="s">
        <v>499</v>
      </c>
      <c r="G4283" s="1" t="s">
        <v>404</v>
      </c>
      <c r="H4283" s="1">
        <v>870</v>
      </c>
      <c r="I4283" s="3">
        <v>46282</v>
      </c>
      <c r="J4283" s="3">
        <v>46288</v>
      </c>
      <c r="K4283" s="3" t="s">
        <v>2371</v>
      </c>
      <c r="L4283" s="31">
        <v>46282.613688657402</v>
      </c>
      <c r="M4283" s="20">
        <v>12</v>
      </c>
      <c r="N4283" s="1">
        <v>20</v>
      </c>
    </row>
    <row r="4284" spans="1:14" x14ac:dyDescent="0.25">
      <c r="A4284" t="str">
        <f t="shared" si="134"/>
        <v>H188981H188981</v>
      </c>
      <c r="B4284" t="str">
        <f t="shared" si="135"/>
        <v>H188981M997H23Y-D</v>
      </c>
      <c r="C4284" s="1" t="s">
        <v>475</v>
      </c>
      <c r="D4284" s="1" t="s">
        <v>745</v>
      </c>
      <c r="E4284" s="1" t="s">
        <v>498</v>
      </c>
      <c r="F4284" s="1" t="s">
        <v>499</v>
      </c>
      <c r="G4284" s="1" t="s">
        <v>404</v>
      </c>
      <c r="H4284" s="1">
        <v>870</v>
      </c>
      <c r="I4284" s="3">
        <v>46282</v>
      </c>
      <c r="J4284" s="3">
        <v>46288</v>
      </c>
      <c r="K4284" s="3" t="s">
        <v>2371</v>
      </c>
      <c r="L4284" s="31">
        <v>46282.664713113423</v>
      </c>
      <c r="M4284" s="20">
        <v>12</v>
      </c>
      <c r="N4284" s="1">
        <v>6</v>
      </c>
    </row>
    <row r="4285" spans="1:14" x14ac:dyDescent="0.25">
      <c r="A4285" t="str">
        <f t="shared" si="134"/>
        <v>H188981H188981</v>
      </c>
      <c r="B4285" t="str">
        <f t="shared" si="135"/>
        <v>H188981M997H23Y-D</v>
      </c>
      <c r="C4285" s="1" t="s">
        <v>475</v>
      </c>
      <c r="D4285" s="1" t="s">
        <v>745</v>
      </c>
      <c r="E4285" s="1" t="s">
        <v>498</v>
      </c>
      <c r="F4285" s="1" t="s">
        <v>499</v>
      </c>
      <c r="G4285" s="1" t="s">
        <v>404</v>
      </c>
      <c r="H4285" s="1">
        <v>870</v>
      </c>
      <c r="I4285" s="3">
        <v>46282</v>
      </c>
      <c r="J4285" s="3">
        <v>46288</v>
      </c>
      <c r="K4285" s="3" t="s">
        <v>2371</v>
      </c>
      <c r="L4285" s="31">
        <v>46282.664870335648</v>
      </c>
      <c r="M4285" s="20">
        <v>12</v>
      </c>
      <c r="N4285" s="1">
        <v>31</v>
      </c>
    </row>
    <row r="4286" spans="1:14" x14ac:dyDescent="0.25">
      <c r="A4286" t="str">
        <f t="shared" si="134"/>
        <v>H188981H188981</v>
      </c>
      <c r="B4286" t="str">
        <f t="shared" si="135"/>
        <v>H188981M997H23Y-D</v>
      </c>
      <c r="C4286" s="1" t="s">
        <v>475</v>
      </c>
      <c r="D4286" s="1" t="s">
        <v>745</v>
      </c>
      <c r="E4286" s="1" t="s">
        <v>498</v>
      </c>
      <c r="F4286" s="1" t="s">
        <v>499</v>
      </c>
      <c r="G4286" s="1" t="s">
        <v>404</v>
      </c>
      <c r="H4286" s="1">
        <v>870</v>
      </c>
      <c r="I4286" s="3">
        <v>46282</v>
      </c>
      <c r="J4286" s="3">
        <v>46288</v>
      </c>
      <c r="K4286" s="3" t="s">
        <v>2371</v>
      </c>
      <c r="L4286" s="31">
        <v>46282.665615972219</v>
      </c>
      <c r="M4286" s="20">
        <v>12</v>
      </c>
      <c r="N4286" s="1">
        <v>21</v>
      </c>
    </row>
    <row r="4287" spans="1:14" x14ac:dyDescent="0.25">
      <c r="A4287" t="str">
        <f t="shared" si="134"/>
        <v>H188981H188981</v>
      </c>
      <c r="B4287" t="str">
        <f t="shared" si="135"/>
        <v>H188981M997H23Y-D</v>
      </c>
      <c r="C4287" s="1" t="s">
        <v>475</v>
      </c>
      <c r="D4287" s="1" t="s">
        <v>745</v>
      </c>
      <c r="E4287" s="1" t="s">
        <v>498</v>
      </c>
      <c r="F4287" s="1" t="s">
        <v>499</v>
      </c>
      <c r="G4287" s="1" t="s">
        <v>404</v>
      </c>
      <c r="H4287" s="1">
        <v>870</v>
      </c>
      <c r="I4287" s="3">
        <v>46282</v>
      </c>
      <c r="J4287" s="3">
        <v>46288</v>
      </c>
      <c r="K4287" s="3" t="s">
        <v>2371</v>
      </c>
      <c r="L4287" s="31">
        <v>46282.665951006944</v>
      </c>
      <c r="M4287" s="20">
        <v>12</v>
      </c>
      <c r="N4287" s="1">
        <v>65</v>
      </c>
    </row>
    <row r="4288" spans="1:14" x14ac:dyDescent="0.25">
      <c r="A4288" t="str">
        <f t="shared" si="134"/>
        <v>H188981H188981</v>
      </c>
      <c r="B4288" t="str">
        <f t="shared" si="135"/>
        <v>H188981M997H23Y-D</v>
      </c>
      <c r="C4288" s="1" t="s">
        <v>475</v>
      </c>
      <c r="D4288" s="1" t="s">
        <v>745</v>
      </c>
      <c r="E4288" s="1" t="s">
        <v>498</v>
      </c>
      <c r="F4288" s="1" t="s">
        <v>499</v>
      </c>
      <c r="G4288" s="1" t="s">
        <v>404</v>
      </c>
      <c r="H4288" s="1">
        <v>870</v>
      </c>
      <c r="I4288" s="3">
        <v>46282</v>
      </c>
      <c r="J4288" s="3">
        <v>46288</v>
      </c>
      <c r="K4288" s="3" t="s">
        <v>2371</v>
      </c>
      <c r="L4288" s="31">
        <v>46282.690993055556</v>
      </c>
      <c r="M4288" s="20">
        <v>12</v>
      </c>
      <c r="N4288" s="1">
        <v>22</v>
      </c>
    </row>
    <row r="4289" spans="1:14" x14ac:dyDescent="0.25">
      <c r="A4289" t="str">
        <f t="shared" si="134"/>
        <v>H188981H188981</v>
      </c>
      <c r="B4289" t="str">
        <f t="shared" si="135"/>
        <v>H188981M997H23Y-D</v>
      </c>
      <c r="C4289" s="1" t="s">
        <v>475</v>
      </c>
      <c r="D4289" s="1" t="s">
        <v>745</v>
      </c>
      <c r="E4289" s="1" t="s">
        <v>498</v>
      </c>
      <c r="F4289" s="1" t="s">
        <v>499</v>
      </c>
      <c r="G4289" s="1" t="s">
        <v>404</v>
      </c>
      <c r="H4289" s="1">
        <v>870</v>
      </c>
      <c r="I4289" s="3">
        <v>46282</v>
      </c>
      <c r="J4289" s="3">
        <v>46288</v>
      </c>
      <c r="K4289" s="3" t="s">
        <v>2371</v>
      </c>
      <c r="L4289" s="31">
        <v>46282.706052430556</v>
      </c>
      <c r="M4289" s="20">
        <v>12</v>
      </c>
      <c r="N4289" s="1">
        <v>7</v>
      </c>
    </row>
    <row r="4290" spans="1:14" x14ac:dyDescent="0.25">
      <c r="A4290" t="str">
        <f t="shared" ref="A4290:A4353" si="136">+D4290&amp;D4290</f>
        <v>H188997H188997</v>
      </c>
      <c r="B4290" t="str">
        <f t="shared" ref="B4290:B4353" si="137">+D4290&amp;C4290</f>
        <v>H188997GC9060BE-M</v>
      </c>
      <c r="C4290" s="1" t="s">
        <v>43</v>
      </c>
      <c r="D4290" s="1" t="s">
        <v>735</v>
      </c>
      <c r="E4290" s="1" t="s">
        <v>430</v>
      </c>
      <c r="F4290" s="1" t="s">
        <v>431</v>
      </c>
      <c r="G4290" s="1" t="s">
        <v>404</v>
      </c>
      <c r="H4290" s="1">
        <v>150</v>
      </c>
      <c r="I4290" s="3">
        <v>46282</v>
      </c>
      <c r="J4290" s="3">
        <v>46283</v>
      </c>
      <c r="K4290" s="3" t="s">
        <v>2350</v>
      </c>
      <c r="L4290" s="31">
        <v>46282.460488275457</v>
      </c>
      <c r="M4290" s="20">
        <v>12</v>
      </c>
      <c r="N4290" s="1">
        <v>7</v>
      </c>
    </row>
    <row r="4291" spans="1:14" x14ac:dyDescent="0.25">
      <c r="A4291" t="str">
        <f t="shared" si="136"/>
        <v>H188997H188997</v>
      </c>
      <c r="B4291" t="str">
        <f t="shared" si="137"/>
        <v>H188997GC9060BE-M</v>
      </c>
      <c r="C4291" s="1" t="s">
        <v>43</v>
      </c>
      <c r="D4291" s="1" t="s">
        <v>735</v>
      </c>
      <c r="E4291" s="1" t="s">
        <v>430</v>
      </c>
      <c r="F4291" s="1" t="s">
        <v>431</v>
      </c>
      <c r="G4291" s="1" t="s">
        <v>404</v>
      </c>
      <c r="H4291" s="1">
        <v>150</v>
      </c>
      <c r="I4291" s="3">
        <v>46282</v>
      </c>
      <c r="J4291" s="3">
        <v>46283</v>
      </c>
      <c r="K4291" s="3" t="s">
        <v>2350</v>
      </c>
      <c r="L4291" s="31">
        <v>46282.568042592589</v>
      </c>
      <c r="M4291" s="20">
        <v>12</v>
      </c>
      <c r="N4291" s="1">
        <v>8</v>
      </c>
    </row>
    <row r="4292" spans="1:14" x14ac:dyDescent="0.25">
      <c r="A4292" t="str">
        <f t="shared" si="136"/>
        <v>H188997H188997</v>
      </c>
      <c r="B4292" t="str">
        <f t="shared" si="137"/>
        <v>H188997GC9060BE-M</v>
      </c>
      <c r="C4292" s="1" t="s">
        <v>43</v>
      </c>
      <c r="D4292" s="1" t="s">
        <v>735</v>
      </c>
      <c r="E4292" s="1" t="s">
        <v>430</v>
      </c>
      <c r="F4292" s="1" t="s">
        <v>431</v>
      </c>
      <c r="G4292" s="1" t="s">
        <v>404</v>
      </c>
      <c r="H4292" s="1">
        <v>150</v>
      </c>
      <c r="I4292" s="3">
        <v>46282</v>
      </c>
      <c r="J4292" s="3">
        <v>46283</v>
      </c>
      <c r="K4292" s="3" t="s">
        <v>2350</v>
      </c>
      <c r="L4292" s="31">
        <v>46282.575824849533</v>
      </c>
      <c r="M4292" s="20">
        <v>12</v>
      </c>
      <c r="N4292" s="1">
        <v>10</v>
      </c>
    </row>
    <row r="4293" spans="1:14" x14ac:dyDescent="0.25">
      <c r="A4293" t="str">
        <f t="shared" si="136"/>
        <v>H188997H188997</v>
      </c>
      <c r="B4293" t="str">
        <f t="shared" si="137"/>
        <v>H188997GC9060BE-M</v>
      </c>
      <c r="C4293" s="1" t="s">
        <v>43</v>
      </c>
      <c r="D4293" s="1" t="s">
        <v>735</v>
      </c>
      <c r="E4293" s="1" t="s">
        <v>430</v>
      </c>
      <c r="F4293" s="1" t="s">
        <v>431</v>
      </c>
      <c r="G4293" s="1" t="s">
        <v>404</v>
      </c>
      <c r="H4293" s="1">
        <v>150</v>
      </c>
      <c r="I4293" s="3">
        <v>46282</v>
      </c>
      <c r="J4293" s="3">
        <v>46283</v>
      </c>
      <c r="K4293" s="3" t="s">
        <v>2350</v>
      </c>
      <c r="L4293" s="31">
        <v>46282.6011196412</v>
      </c>
      <c r="M4293" s="20">
        <v>12</v>
      </c>
      <c r="N4293" s="1">
        <v>4</v>
      </c>
    </row>
    <row r="4294" spans="1:14" x14ac:dyDescent="0.25">
      <c r="A4294" t="str">
        <f t="shared" si="136"/>
        <v>H188997H188997</v>
      </c>
      <c r="B4294" t="str">
        <f t="shared" si="137"/>
        <v>H188997GC9060BE-M</v>
      </c>
      <c r="C4294" s="1" t="s">
        <v>43</v>
      </c>
      <c r="D4294" s="1" t="s">
        <v>735</v>
      </c>
      <c r="E4294" s="1" t="s">
        <v>430</v>
      </c>
      <c r="F4294" s="1" t="s">
        <v>431</v>
      </c>
      <c r="G4294" s="1" t="s">
        <v>404</v>
      </c>
      <c r="H4294" s="1">
        <v>150</v>
      </c>
      <c r="I4294" s="3">
        <v>46282</v>
      </c>
      <c r="J4294" s="3">
        <v>46283</v>
      </c>
      <c r="K4294" s="3" t="s">
        <v>2350</v>
      </c>
      <c r="L4294" s="31">
        <v>46282.602520057866</v>
      </c>
      <c r="M4294" s="20">
        <v>12</v>
      </c>
      <c r="N4294" s="1">
        <v>2</v>
      </c>
    </row>
    <row r="4295" spans="1:14" x14ac:dyDescent="0.25">
      <c r="A4295" t="str">
        <f t="shared" si="136"/>
        <v>H188997H188997</v>
      </c>
      <c r="B4295" t="str">
        <f t="shared" si="137"/>
        <v>H188997GC9060BE-M</v>
      </c>
      <c r="C4295" s="1" t="s">
        <v>43</v>
      </c>
      <c r="D4295" s="1" t="s">
        <v>735</v>
      </c>
      <c r="E4295" s="1" t="s">
        <v>430</v>
      </c>
      <c r="F4295" s="1" t="s">
        <v>431</v>
      </c>
      <c r="G4295" s="1" t="s">
        <v>404</v>
      </c>
      <c r="H4295" s="1">
        <v>150</v>
      </c>
      <c r="I4295" s="3">
        <v>46282</v>
      </c>
      <c r="J4295" s="3">
        <v>46283</v>
      </c>
      <c r="K4295" s="3" t="s">
        <v>2350</v>
      </c>
      <c r="L4295" s="31">
        <v>46282.610964432868</v>
      </c>
      <c r="M4295" s="20">
        <v>12</v>
      </c>
      <c r="N4295" s="1">
        <v>6</v>
      </c>
    </row>
    <row r="4296" spans="1:14" x14ac:dyDescent="0.25">
      <c r="A4296" t="str">
        <f t="shared" si="136"/>
        <v>H188997H188997</v>
      </c>
      <c r="B4296" t="str">
        <f t="shared" si="137"/>
        <v>H188997GC9060BE-M</v>
      </c>
      <c r="C4296" s="1" t="s">
        <v>43</v>
      </c>
      <c r="D4296" s="1" t="s">
        <v>735</v>
      </c>
      <c r="E4296" s="1" t="s">
        <v>430</v>
      </c>
      <c r="F4296" s="1" t="s">
        <v>431</v>
      </c>
      <c r="G4296" s="1" t="s">
        <v>404</v>
      </c>
      <c r="H4296" s="1">
        <v>150</v>
      </c>
      <c r="I4296" s="3">
        <v>46282</v>
      </c>
      <c r="J4296" s="3">
        <v>46283</v>
      </c>
      <c r="K4296" s="3" t="s">
        <v>2350</v>
      </c>
      <c r="L4296" s="31">
        <v>46282.630659490736</v>
      </c>
      <c r="M4296" s="20">
        <v>6</v>
      </c>
      <c r="N4296" s="1">
        <v>13</v>
      </c>
    </row>
    <row r="4297" spans="1:14" x14ac:dyDescent="0.25">
      <c r="A4297" t="str">
        <f t="shared" si="136"/>
        <v>H188997H188997</v>
      </c>
      <c r="B4297" t="str">
        <f t="shared" si="137"/>
        <v>H188997GC9060BE-M</v>
      </c>
      <c r="C4297" s="1" t="s">
        <v>43</v>
      </c>
      <c r="D4297" s="1" t="s">
        <v>735</v>
      </c>
      <c r="E4297" s="1" t="s">
        <v>430</v>
      </c>
      <c r="F4297" s="1" t="s">
        <v>431</v>
      </c>
      <c r="G4297" s="1" t="s">
        <v>404</v>
      </c>
      <c r="H4297" s="1">
        <v>150</v>
      </c>
      <c r="I4297" s="3">
        <v>46282</v>
      </c>
      <c r="J4297" s="3">
        <v>46283</v>
      </c>
      <c r="K4297" s="3" t="s">
        <v>2350</v>
      </c>
      <c r="L4297" s="31">
        <v>46282.666377083333</v>
      </c>
      <c r="M4297" s="20">
        <v>12</v>
      </c>
      <c r="N4297" s="1">
        <v>5</v>
      </c>
    </row>
    <row r="4298" spans="1:14" x14ac:dyDescent="0.25">
      <c r="A4298" t="str">
        <f t="shared" si="136"/>
        <v>H189067H189067</v>
      </c>
      <c r="B4298" t="str">
        <f t="shared" si="137"/>
        <v>H189067I603457-W</v>
      </c>
      <c r="C4298" s="1" t="s">
        <v>59</v>
      </c>
      <c r="D4298" s="1" t="s">
        <v>736</v>
      </c>
      <c r="E4298" s="1" t="s">
        <v>2294</v>
      </c>
      <c r="F4298" s="1" t="s">
        <v>2295</v>
      </c>
      <c r="G4298" s="1" t="s">
        <v>404</v>
      </c>
      <c r="H4298" s="1">
        <v>90</v>
      </c>
      <c r="I4298" s="3">
        <v>46282</v>
      </c>
      <c r="J4298" s="3">
        <v>46287</v>
      </c>
      <c r="K4298" s="3" t="s">
        <v>2371</v>
      </c>
      <c r="L4298" s="31">
        <v>46282.462942824073</v>
      </c>
      <c r="M4298" s="20">
        <v>6</v>
      </c>
      <c r="N4298" s="1">
        <v>15</v>
      </c>
    </row>
    <row r="4299" spans="1:14" x14ac:dyDescent="0.25">
      <c r="A4299" t="str">
        <f t="shared" si="136"/>
        <v>H189067H189067</v>
      </c>
      <c r="B4299" t="str">
        <f t="shared" si="137"/>
        <v>H189067I603457-W</v>
      </c>
      <c r="C4299" s="1" t="s">
        <v>59</v>
      </c>
      <c r="D4299" s="1" t="s">
        <v>736</v>
      </c>
      <c r="E4299" s="1" t="s">
        <v>2294</v>
      </c>
      <c r="F4299" s="1" t="s">
        <v>2295</v>
      </c>
      <c r="G4299" s="1" t="s">
        <v>404</v>
      </c>
      <c r="H4299" s="1">
        <v>90</v>
      </c>
      <c r="I4299" s="3">
        <v>46282</v>
      </c>
      <c r="J4299" s="3">
        <v>46287</v>
      </c>
      <c r="K4299" s="3" t="s">
        <v>2371</v>
      </c>
      <c r="L4299" s="31">
        <v>46282.464284837959</v>
      </c>
      <c r="M4299" s="20">
        <v>12</v>
      </c>
      <c r="N4299" s="1">
        <v>11</v>
      </c>
    </row>
    <row r="4300" spans="1:14" x14ac:dyDescent="0.25">
      <c r="A4300" t="str">
        <f t="shared" si="136"/>
        <v>H189067H189067</v>
      </c>
      <c r="B4300" t="str">
        <f t="shared" si="137"/>
        <v>H189067I603457-M</v>
      </c>
      <c r="C4300" s="1" t="s">
        <v>57</v>
      </c>
      <c r="D4300" s="1" t="s">
        <v>736</v>
      </c>
      <c r="E4300" s="1" t="s">
        <v>2294</v>
      </c>
      <c r="F4300" s="1" t="s">
        <v>2295</v>
      </c>
      <c r="G4300" s="1" t="s">
        <v>404</v>
      </c>
      <c r="H4300" s="1">
        <v>54</v>
      </c>
      <c r="I4300" s="3">
        <v>46282</v>
      </c>
      <c r="J4300" s="3">
        <v>46287</v>
      </c>
      <c r="K4300" s="3" t="s">
        <v>2371</v>
      </c>
      <c r="L4300" s="31">
        <v>46282.475892442126</v>
      </c>
      <c r="M4300" s="20">
        <v>6</v>
      </c>
      <c r="N4300" s="1">
        <v>6</v>
      </c>
    </row>
    <row r="4301" spans="1:14" x14ac:dyDescent="0.25">
      <c r="A4301" t="str">
        <f t="shared" si="136"/>
        <v>H189067H189067</v>
      </c>
      <c r="B4301" t="str">
        <f t="shared" si="137"/>
        <v>H189067I603457-M</v>
      </c>
      <c r="C4301" s="1" t="s">
        <v>57</v>
      </c>
      <c r="D4301" s="1" t="s">
        <v>736</v>
      </c>
      <c r="E4301" s="1" t="s">
        <v>2294</v>
      </c>
      <c r="F4301" s="1" t="s">
        <v>2295</v>
      </c>
      <c r="G4301" s="1" t="s">
        <v>404</v>
      </c>
      <c r="H4301" s="1">
        <v>54</v>
      </c>
      <c r="I4301" s="3">
        <v>46282</v>
      </c>
      <c r="J4301" s="3">
        <v>46287</v>
      </c>
      <c r="K4301" s="3" t="s">
        <v>2371</v>
      </c>
      <c r="L4301" s="31">
        <v>46282.554453356483</v>
      </c>
      <c r="M4301" s="20">
        <v>6</v>
      </c>
      <c r="N4301" s="1">
        <v>5</v>
      </c>
    </row>
    <row r="4302" spans="1:14" x14ac:dyDescent="0.25">
      <c r="A4302" t="str">
        <f t="shared" si="136"/>
        <v>H189067H189067</v>
      </c>
      <c r="B4302" t="str">
        <f t="shared" si="137"/>
        <v>H189067I603457-W</v>
      </c>
      <c r="C4302" s="1" t="s">
        <v>59</v>
      </c>
      <c r="D4302" s="1" t="s">
        <v>736</v>
      </c>
      <c r="E4302" s="1" t="s">
        <v>2294</v>
      </c>
      <c r="F4302" s="1" t="s">
        <v>2295</v>
      </c>
      <c r="G4302" s="1" t="s">
        <v>404</v>
      </c>
      <c r="H4302" s="1">
        <v>90</v>
      </c>
      <c r="I4302" s="3">
        <v>46282</v>
      </c>
      <c r="J4302" s="3">
        <v>46287</v>
      </c>
      <c r="K4302" s="3" t="s">
        <v>2371</v>
      </c>
      <c r="L4302" s="31">
        <v>46282.59391481481</v>
      </c>
      <c r="M4302" s="20">
        <v>12</v>
      </c>
      <c r="N4302" s="1">
        <v>9</v>
      </c>
    </row>
    <row r="4303" spans="1:14" x14ac:dyDescent="0.25">
      <c r="A4303" t="str">
        <f t="shared" si="136"/>
        <v>H189067H189067</v>
      </c>
      <c r="B4303" t="str">
        <f t="shared" si="137"/>
        <v>H189067I603457-W</v>
      </c>
      <c r="C4303" s="1" t="s">
        <v>59</v>
      </c>
      <c r="D4303" s="1" t="s">
        <v>736</v>
      </c>
      <c r="E4303" s="1" t="s">
        <v>2294</v>
      </c>
      <c r="F4303" s="1" t="s">
        <v>2295</v>
      </c>
      <c r="G4303" s="1" t="s">
        <v>404</v>
      </c>
      <c r="H4303" s="1">
        <v>90</v>
      </c>
      <c r="I4303" s="3">
        <v>46282</v>
      </c>
      <c r="J4303" s="3">
        <v>46287</v>
      </c>
      <c r="K4303" s="3" t="s">
        <v>2371</v>
      </c>
      <c r="L4303" s="31">
        <v>46282.622338807865</v>
      </c>
      <c r="M4303" s="20">
        <v>12</v>
      </c>
      <c r="N4303" s="1">
        <v>8</v>
      </c>
    </row>
    <row r="4304" spans="1:14" x14ac:dyDescent="0.25">
      <c r="A4304" t="str">
        <f t="shared" si="136"/>
        <v>H189177H189177</v>
      </c>
      <c r="B4304" t="str">
        <f t="shared" si="137"/>
        <v>H189177P6036SS-M</v>
      </c>
      <c r="C4304" s="1" t="s">
        <v>52</v>
      </c>
      <c r="D4304" s="1" t="s">
        <v>655</v>
      </c>
      <c r="E4304" s="1" t="s">
        <v>414</v>
      </c>
      <c r="F4304" s="1" t="s">
        <v>415</v>
      </c>
      <c r="G4304" s="1" t="s">
        <v>404</v>
      </c>
      <c r="H4304" s="1">
        <v>240</v>
      </c>
      <c r="I4304" s="3">
        <v>46282</v>
      </c>
      <c r="L4304" s="31">
        <v>46282.584019097223</v>
      </c>
      <c r="M4304" s="20">
        <v>12</v>
      </c>
      <c r="N4304" s="1">
        <v>12</v>
      </c>
    </row>
    <row r="4305" spans="1:14" x14ac:dyDescent="0.25">
      <c r="A4305" t="str">
        <f t="shared" si="136"/>
        <v>H189177H189177</v>
      </c>
      <c r="B4305" t="str">
        <f t="shared" si="137"/>
        <v>H189177P6036SS-M</v>
      </c>
      <c r="C4305" s="1" t="s">
        <v>52</v>
      </c>
      <c r="D4305" s="1" t="s">
        <v>655</v>
      </c>
      <c r="E4305" s="1" t="s">
        <v>414</v>
      </c>
      <c r="F4305" s="1" t="s">
        <v>415</v>
      </c>
      <c r="G4305" s="1" t="s">
        <v>404</v>
      </c>
      <c r="H4305" s="1">
        <v>240</v>
      </c>
      <c r="I4305" s="3">
        <v>46282</v>
      </c>
      <c r="L4305" s="31">
        <v>46282.584947256939</v>
      </c>
      <c r="M4305" s="20">
        <v>12</v>
      </c>
      <c r="N4305" s="1">
        <v>8</v>
      </c>
    </row>
    <row r="4306" spans="1:14" x14ac:dyDescent="0.25">
      <c r="A4306" t="str">
        <f t="shared" si="136"/>
        <v>H189177H189177</v>
      </c>
      <c r="B4306" t="str">
        <f t="shared" si="137"/>
        <v>H189177P6036SS-M</v>
      </c>
      <c r="C4306" s="1" t="s">
        <v>52</v>
      </c>
      <c r="D4306" s="1" t="s">
        <v>655</v>
      </c>
      <c r="E4306" s="1" t="s">
        <v>414</v>
      </c>
      <c r="F4306" s="1" t="s">
        <v>415</v>
      </c>
      <c r="G4306" s="1" t="s">
        <v>404</v>
      </c>
      <c r="H4306" s="1">
        <v>240</v>
      </c>
      <c r="I4306" s="3">
        <v>46282</v>
      </c>
      <c r="L4306" s="31">
        <v>46282.605421064814</v>
      </c>
      <c r="M4306" s="20">
        <v>12</v>
      </c>
      <c r="N4306" s="1">
        <v>5</v>
      </c>
    </row>
    <row r="4307" spans="1:14" x14ac:dyDescent="0.25">
      <c r="A4307" t="str">
        <f t="shared" si="136"/>
        <v>H189177H189177</v>
      </c>
      <c r="B4307" t="str">
        <f t="shared" si="137"/>
        <v>H189177P6036SS-M</v>
      </c>
      <c r="C4307" s="1" t="s">
        <v>52</v>
      </c>
      <c r="D4307" s="1" t="s">
        <v>655</v>
      </c>
      <c r="E4307" s="1" t="s">
        <v>414</v>
      </c>
      <c r="F4307" s="1" t="s">
        <v>415</v>
      </c>
      <c r="G4307" s="1" t="s">
        <v>404</v>
      </c>
      <c r="H4307" s="1">
        <v>240</v>
      </c>
      <c r="I4307" s="3">
        <v>46282</v>
      </c>
      <c r="L4307" s="31">
        <v>46282.662880405092</v>
      </c>
      <c r="M4307" s="20">
        <v>12</v>
      </c>
      <c r="N4307" s="1">
        <v>3</v>
      </c>
    </row>
    <row r="4308" spans="1:14" x14ac:dyDescent="0.25">
      <c r="A4308" t="str">
        <f t="shared" si="136"/>
        <v>H189177H189177</v>
      </c>
      <c r="B4308" t="str">
        <f t="shared" si="137"/>
        <v>H189177P6036SS-M</v>
      </c>
      <c r="C4308" s="1" t="s">
        <v>52</v>
      </c>
      <c r="D4308" s="1" t="s">
        <v>655</v>
      </c>
      <c r="E4308" s="1" t="s">
        <v>414</v>
      </c>
      <c r="F4308" s="1" t="s">
        <v>415</v>
      </c>
      <c r="G4308" s="1" t="s">
        <v>404</v>
      </c>
      <c r="H4308" s="1">
        <v>240</v>
      </c>
      <c r="I4308" s="3">
        <v>46282</v>
      </c>
      <c r="L4308" s="31">
        <v>46282.663167789353</v>
      </c>
      <c r="M4308" s="20">
        <v>12</v>
      </c>
      <c r="N4308" s="1">
        <v>13</v>
      </c>
    </row>
    <row r="4309" spans="1:14" x14ac:dyDescent="0.25">
      <c r="A4309" t="str">
        <f t="shared" si="136"/>
        <v>H189177H189177</v>
      </c>
      <c r="B4309" t="str">
        <f t="shared" si="137"/>
        <v>H189177P6036SS-M</v>
      </c>
      <c r="C4309" s="1" t="s">
        <v>52</v>
      </c>
      <c r="D4309" s="1" t="s">
        <v>655</v>
      </c>
      <c r="E4309" s="1" t="s">
        <v>414</v>
      </c>
      <c r="F4309" s="1" t="s">
        <v>415</v>
      </c>
      <c r="G4309" s="1" t="s">
        <v>404</v>
      </c>
      <c r="H4309" s="1">
        <v>240</v>
      </c>
      <c r="I4309" s="3">
        <v>46282</v>
      </c>
      <c r="L4309" s="31">
        <v>46282.687905405088</v>
      </c>
      <c r="M4309" s="20">
        <v>12</v>
      </c>
      <c r="N4309" s="1">
        <v>1</v>
      </c>
    </row>
    <row r="4310" spans="1:14" x14ac:dyDescent="0.25">
      <c r="A4310" t="str">
        <f t="shared" si="136"/>
        <v>H189177H189177</v>
      </c>
      <c r="B4310" t="str">
        <f t="shared" si="137"/>
        <v>H189177P6036SS-M</v>
      </c>
      <c r="C4310" s="1" t="s">
        <v>52</v>
      </c>
      <c r="D4310" s="1" t="s">
        <v>655</v>
      </c>
      <c r="E4310" s="1" t="s">
        <v>414</v>
      </c>
      <c r="F4310" s="1" t="s">
        <v>415</v>
      </c>
      <c r="G4310" s="1" t="s">
        <v>404</v>
      </c>
      <c r="H4310" s="1">
        <v>240</v>
      </c>
      <c r="I4310" s="3">
        <v>46282</v>
      </c>
      <c r="L4310" s="31">
        <v>46282.694979432868</v>
      </c>
      <c r="M4310" s="20">
        <v>12</v>
      </c>
      <c r="N4310" s="1">
        <v>9</v>
      </c>
    </row>
    <row r="4311" spans="1:14" x14ac:dyDescent="0.25">
      <c r="A4311" t="str">
        <f t="shared" si="136"/>
        <v>H189182H189182</v>
      </c>
      <c r="B4311" t="str">
        <f t="shared" si="137"/>
        <v>H189182I603457-M</v>
      </c>
      <c r="C4311" s="1" t="s">
        <v>57</v>
      </c>
      <c r="D4311" s="1" t="s">
        <v>743</v>
      </c>
      <c r="E4311" s="1" t="s">
        <v>414</v>
      </c>
      <c r="F4311" s="1" t="s">
        <v>415</v>
      </c>
      <c r="G4311" s="1" t="s">
        <v>404</v>
      </c>
      <c r="H4311" s="1">
        <v>204</v>
      </c>
      <c r="I4311" s="3">
        <v>46282</v>
      </c>
      <c r="J4311" s="3">
        <v>46288</v>
      </c>
      <c r="K4311" s="3" t="s">
        <v>2374</v>
      </c>
      <c r="L4311" s="31">
        <v>46282.556306284721</v>
      </c>
      <c r="M4311" s="20">
        <v>12</v>
      </c>
      <c r="N4311" s="1">
        <v>4</v>
      </c>
    </row>
    <row r="4312" spans="1:14" x14ac:dyDescent="0.25">
      <c r="A4312" t="str">
        <f t="shared" si="136"/>
        <v>H189182H189182</v>
      </c>
      <c r="B4312" t="str">
        <f t="shared" si="137"/>
        <v>H189182I603457-W</v>
      </c>
      <c r="C4312" s="1" t="s">
        <v>59</v>
      </c>
      <c r="D4312" s="1" t="s">
        <v>743</v>
      </c>
      <c r="E4312" s="1" t="s">
        <v>414</v>
      </c>
      <c r="F4312" s="1" t="s">
        <v>415</v>
      </c>
      <c r="G4312" s="1" t="s">
        <v>404</v>
      </c>
      <c r="H4312" s="1">
        <v>300</v>
      </c>
      <c r="I4312" s="3">
        <v>46282</v>
      </c>
      <c r="J4312" s="3">
        <v>46288</v>
      </c>
      <c r="K4312" s="3" t="s">
        <v>2374</v>
      </c>
      <c r="L4312" s="31">
        <v>46282.605447835645</v>
      </c>
      <c r="M4312" s="20">
        <v>12</v>
      </c>
      <c r="N4312" s="1">
        <v>39</v>
      </c>
    </row>
    <row r="4313" spans="1:14" x14ac:dyDescent="0.25">
      <c r="A4313" t="str">
        <f t="shared" si="136"/>
        <v>H189182H189182</v>
      </c>
      <c r="B4313" t="str">
        <f t="shared" si="137"/>
        <v>H189182I603457-W</v>
      </c>
      <c r="C4313" s="1" t="s">
        <v>59</v>
      </c>
      <c r="D4313" s="1" t="s">
        <v>743</v>
      </c>
      <c r="E4313" s="1" t="s">
        <v>414</v>
      </c>
      <c r="F4313" s="1" t="s">
        <v>415</v>
      </c>
      <c r="G4313" s="1" t="s">
        <v>404</v>
      </c>
      <c r="H4313" s="1">
        <v>300</v>
      </c>
      <c r="I4313" s="3">
        <v>46282</v>
      </c>
      <c r="J4313" s="3">
        <v>46288</v>
      </c>
      <c r="K4313" s="3" t="s">
        <v>2374</v>
      </c>
      <c r="L4313" s="31">
        <v>46282.606080127312</v>
      </c>
      <c r="M4313" s="20">
        <v>12</v>
      </c>
      <c r="N4313" s="1">
        <v>40</v>
      </c>
    </row>
    <row r="4314" spans="1:14" x14ac:dyDescent="0.25">
      <c r="A4314" t="str">
        <f t="shared" si="136"/>
        <v>H189182H189182</v>
      </c>
      <c r="B4314" t="str">
        <f t="shared" si="137"/>
        <v>H189182I603457-M</v>
      </c>
      <c r="C4314" s="1" t="s">
        <v>57</v>
      </c>
      <c r="D4314" s="1" t="s">
        <v>743</v>
      </c>
      <c r="E4314" s="1" t="s">
        <v>414</v>
      </c>
      <c r="F4314" s="1" t="s">
        <v>415</v>
      </c>
      <c r="G4314" s="1" t="s">
        <v>404</v>
      </c>
      <c r="H4314" s="1">
        <v>204</v>
      </c>
      <c r="I4314" s="3">
        <v>46282</v>
      </c>
      <c r="J4314" s="3">
        <v>46288</v>
      </c>
      <c r="K4314" s="3" t="s">
        <v>2374</v>
      </c>
      <c r="L4314" s="31">
        <v>46282.622645636569</v>
      </c>
      <c r="M4314" s="20">
        <v>12</v>
      </c>
      <c r="N4314" s="1">
        <v>7</v>
      </c>
    </row>
    <row r="4315" spans="1:14" x14ac:dyDescent="0.25">
      <c r="A4315" t="str">
        <f t="shared" si="136"/>
        <v>H189182H189182</v>
      </c>
      <c r="B4315" t="str">
        <f t="shared" si="137"/>
        <v>H189182I603457-W</v>
      </c>
      <c r="C4315" s="1" t="s">
        <v>59</v>
      </c>
      <c r="D4315" s="1" t="s">
        <v>743</v>
      </c>
      <c r="E4315" s="1" t="s">
        <v>414</v>
      </c>
      <c r="F4315" s="1" t="s">
        <v>415</v>
      </c>
      <c r="G4315" s="1" t="s">
        <v>404</v>
      </c>
      <c r="H4315" s="1">
        <v>300</v>
      </c>
      <c r="I4315" s="3">
        <v>46282</v>
      </c>
      <c r="J4315" s="3">
        <v>46288</v>
      </c>
      <c r="K4315" s="3" t="s">
        <v>2374</v>
      </c>
      <c r="L4315" s="31">
        <v>46282.654019560185</v>
      </c>
      <c r="M4315" s="20">
        <v>12</v>
      </c>
      <c r="N4315" s="1">
        <v>34</v>
      </c>
    </row>
    <row r="4316" spans="1:14" x14ac:dyDescent="0.25">
      <c r="A4316" t="str">
        <f t="shared" si="136"/>
        <v>U148138U148138</v>
      </c>
      <c r="B4316" t="str">
        <f t="shared" si="137"/>
        <v>U148138PC9060EP-M</v>
      </c>
      <c r="C4316" s="1" t="s">
        <v>0</v>
      </c>
      <c r="D4316" s="1" t="s">
        <v>752</v>
      </c>
      <c r="E4316" s="1" t="s">
        <v>436</v>
      </c>
      <c r="F4316" s="1" t="s">
        <v>451</v>
      </c>
      <c r="G4316" s="1" t="s">
        <v>438</v>
      </c>
      <c r="H4316" s="1">
        <v>498</v>
      </c>
      <c r="I4316" s="3">
        <v>46282</v>
      </c>
      <c r="J4316" s="3">
        <v>46288</v>
      </c>
      <c r="L4316" s="31">
        <v>46282.687411030092</v>
      </c>
      <c r="M4316" s="20">
        <v>12</v>
      </c>
      <c r="N4316" s="1">
        <v>34</v>
      </c>
    </row>
    <row r="4317" spans="1:14" x14ac:dyDescent="0.25">
      <c r="A4317" t="str">
        <f t="shared" si="136"/>
        <v>U148138U148138</v>
      </c>
      <c r="B4317" t="str">
        <f t="shared" si="137"/>
        <v>U148138PC9060EP-M</v>
      </c>
      <c r="C4317" s="1" t="s">
        <v>0</v>
      </c>
      <c r="D4317" s="1" t="s">
        <v>752</v>
      </c>
      <c r="E4317" s="1" t="s">
        <v>436</v>
      </c>
      <c r="F4317" s="1" t="s">
        <v>451</v>
      </c>
      <c r="G4317" s="1" t="s">
        <v>438</v>
      </c>
      <c r="H4317" s="1">
        <v>498</v>
      </c>
      <c r="I4317" s="3">
        <v>46282</v>
      </c>
      <c r="J4317" s="3">
        <v>46288</v>
      </c>
      <c r="L4317" s="31">
        <v>46282.693924733794</v>
      </c>
      <c r="M4317" s="20">
        <v>12</v>
      </c>
      <c r="N4317" s="1">
        <v>35</v>
      </c>
    </row>
    <row r="4318" spans="1:14" x14ac:dyDescent="0.25">
      <c r="A4318" t="str">
        <f t="shared" si="136"/>
        <v>U148138U148138</v>
      </c>
      <c r="B4318" t="str">
        <f t="shared" si="137"/>
        <v>U148138PC9060EP-M</v>
      </c>
      <c r="C4318" s="1" t="s">
        <v>0</v>
      </c>
      <c r="D4318" s="1" t="s">
        <v>752</v>
      </c>
      <c r="E4318" s="1" t="s">
        <v>436</v>
      </c>
      <c r="F4318" s="1" t="s">
        <v>451</v>
      </c>
      <c r="G4318" s="1" t="s">
        <v>438</v>
      </c>
      <c r="H4318" s="1">
        <v>498</v>
      </c>
      <c r="I4318" s="3">
        <v>46282</v>
      </c>
      <c r="J4318" s="3">
        <v>46288</v>
      </c>
      <c r="L4318" s="31">
        <v>46282.694526006941</v>
      </c>
      <c r="M4318" s="20">
        <v>12</v>
      </c>
      <c r="N4318" s="1">
        <v>30</v>
      </c>
    </row>
    <row r="4319" spans="1:14" x14ac:dyDescent="0.25">
      <c r="A4319" t="str">
        <f t="shared" si="136"/>
        <v>U148138U148138</v>
      </c>
      <c r="B4319" t="str">
        <f t="shared" si="137"/>
        <v>U148138PC9060EP-M</v>
      </c>
      <c r="C4319" s="1" t="s">
        <v>0</v>
      </c>
      <c r="D4319" s="1" t="s">
        <v>752</v>
      </c>
      <c r="E4319" s="1" t="s">
        <v>436</v>
      </c>
      <c r="F4319" s="1" t="s">
        <v>451</v>
      </c>
      <c r="G4319" s="1" t="s">
        <v>438</v>
      </c>
      <c r="H4319" s="1">
        <v>498</v>
      </c>
      <c r="I4319" s="3">
        <v>46282</v>
      </c>
      <c r="J4319" s="3">
        <v>46288</v>
      </c>
      <c r="L4319" s="31">
        <v>46282.706303703701</v>
      </c>
      <c r="M4319" s="20">
        <v>12</v>
      </c>
      <c r="N4319" s="1">
        <v>31</v>
      </c>
    </row>
    <row r="4320" spans="1:14" x14ac:dyDescent="0.25">
      <c r="A4320" t="str">
        <f t="shared" si="136"/>
        <v>U148138U148138</v>
      </c>
      <c r="B4320" t="str">
        <f t="shared" si="137"/>
        <v>U148138PC9060EP-M</v>
      </c>
      <c r="C4320" s="1" t="s">
        <v>0</v>
      </c>
      <c r="D4320" s="1" t="s">
        <v>752</v>
      </c>
      <c r="E4320" s="1" t="s">
        <v>436</v>
      </c>
      <c r="F4320" s="1" t="s">
        <v>451</v>
      </c>
      <c r="G4320" s="1" t="s">
        <v>438</v>
      </c>
      <c r="H4320" s="1">
        <v>498</v>
      </c>
      <c r="I4320" s="3">
        <v>46282</v>
      </c>
      <c r="J4320" s="3">
        <v>46288</v>
      </c>
      <c r="L4320" s="31">
        <v>46282.706818171297</v>
      </c>
      <c r="M4320" s="20">
        <v>12</v>
      </c>
      <c r="N4320" s="1">
        <v>36</v>
      </c>
    </row>
    <row r="4321" spans="1:14" x14ac:dyDescent="0.25">
      <c r="A4321" t="str">
        <f t="shared" si="136"/>
        <v>U148138U148138</v>
      </c>
      <c r="B4321" t="str">
        <f t="shared" si="137"/>
        <v>U148138PC9060EP-M</v>
      </c>
      <c r="C4321" s="1" t="s">
        <v>0</v>
      </c>
      <c r="D4321" s="1" t="s">
        <v>752</v>
      </c>
      <c r="E4321" s="1" t="s">
        <v>436</v>
      </c>
      <c r="F4321" s="1" t="s">
        <v>451</v>
      </c>
      <c r="G4321" s="1" t="s">
        <v>438</v>
      </c>
      <c r="H4321" s="1">
        <v>498</v>
      </c>
      <c r="I4321" s="3">
        <v>46282</v>
      </c>
      <c r="J4321" s="3">
        <v>46288</v>
      </c>
      <c r="L4321" s="31">
        <v>46282.707318518515</v>
      </c>
      <c r="M4321" s="20">
        <v>12</v>
      </c>
      <c r="N4321" s="1">
        <v>26</v>
      </c>
    </row>
    <row r="4322" spans="1:14" x14ac:dyDescent="0.25">
      <c r="A4322" t="str">
        <f t="shared" si="136"/>
        <v>U148138U148138</v>
      </c>
      <c r="B4322" t="str">
        <f t="shared" si="137"/>
        <v>U148138PC9060EP-M</v>
      </c>
      <c r="C4322" s="1" t="s">
        <v>0</v>
      </c>
      <c r="D4322" s="1" t="s">
        <v>752</v>
      </c>
      <c r="E4322" s="1" t="s">
        <v>436</v>
      </c>
      <c r="F4322" s="1" t="s">
        <v>451</v>
      </c>
      <c r="G4322" s="1" t="s">
        <v>438</v>
      </c>
      <c r="H4322" s="1">
        <v>498</v>
      </c>
      <c r="I4322" s="3">
        <v>46282</v>
      </c>
      <c r="J4322" s="3">
        <v>46288</v>
      </c>
      <c r="L4322" s="31">
        <v>46282.714449652776</v>
      </c>
      <c r="M4322" s="20">
        <v>12</v>
      </c>
      <c r="N4322" s="1">
        <v>38</v>
      </c>
    </row>
    <row r="4323" spans="1:14" x14ac:dyDescent="0.25">
      <c r="A4323" t="str">
        <f t="shared" si="136"/>
        <v>U148138U148138</v>
      </c>
      <c r="B4323" t="str">
        <f t="shared" si="137"/>
        <v>U148138PC9060EP-M</v>
      </c>
      <c r="C4323" s="1" t="s">
        <v>0</v>
      </c>
      <c r="D4323" s="1" t="s">
        <v>752</v>
      </c>
      <c r="E4323" s="1" t="s">
        <v>436</v>
      </c>
      <c r="F4323" s="1" t="s">
        <v>451</v>
      </c>
      <c r="G4323" s="1" t="s">
        <v>438</v>
      </c>
      <c r="H4323" s="1">
        <v>498</v>
      </c>
      <c r="I4323" s="3">
        <v>46282</v>
      </c>
      <c r="J4323" s="3">
        <v>46288</v>
      </c>
      <c r="L4323" s="31">
        <v>46282.732938657406</v>
      </c>
      <c r="M4323" s="20">
        <v>12</v>
      </c>
      <c r="N4323" s="1">
        <v>27</v>
      </c>
    </row>
    <row r="4324" spans="1:14" x14ac:dyDescent="0.25">
      <c r="A4324" t="str">
        <f t="shared" si="136"/>
        <v>U148138U148138</v>
      </c>
      <c r="B4324" t="str">
        <f t="shared" si="137"/>
        <v>U148138PC9060EP-M</v>
      </c>
      <c r="C4324" s="1" t="s">
        <v>0</v>
      </c>
      <c r="D4324" s="1" t="s">
        <v>752</v>
      </c>
      <c r="E4324" s="1" t="s">
        <v>436</v>
      </c>
      <c r="F4324" s="1" t="s">
        <v>451</v>
      </c>
      <c r="G4324" s="1" t="s">
        <v>438</v>
      </c>
      <c r="H4324" s="1">
        <v>498</v>
      </c>
      <c r="I4324" s="3">
        <v>46282</v>
      </c>
      <c r="J4324" s="3">
        <v>46288</v>
      </c>
      <c r="L4324" s="31">
        <v>46282.734368368052</v>
      </c>
      <c r="M4324" s="20">
        <v>12</v>
      </c>
      <c r="N4324" s="1">
        <v>39</v>
      </c>
    </row>
    <row r="4325" spans="1:14" x14ac:dyDescent="0.25">
      <c r="A4325" t="str">
        <f t="shared" si="136"/>
        <v>U152796U152796</v>
      </c>
      <c r="B4325" t="str">
        <f t="shared" si="137"/>
        <v>U152796P6036SS-W</v>
      </c>
      <c r="C4325" s="1" t="s">
        <v>42</v>
      </c>
      <c r="D4325" s="1" t="s">
        <v>730</v>
      </c>
      <c r="E4325" s="1" t="s">
        <v>436</v>
      </c>
      <c r="F4325" s="1" t="s">
        <v>443</v>
      </c>
      <c r="G4325" s="1" t="s">
        <v>444</v>
      </c>
      <c r="H4325" s="1">
        <v>144</v>
      </c>
      <c r="I4325" s="3">
        <v>46282</v>
      </c>
      <c r="J4325" s="3">
        <v>46287</v>
      </c>
      <c r="L4325" s="31">
        <v>46282.358247025462</v>
      </c>
      <c r="M4325" s="20">
        <v>12</v>
      </c>
      <c r="N4325" s="1">
        <v>28</v>
      </c>
    </row>
    <row r="4326" spans="1:14" x14ac:dyDescent="0.25">
      <c r="A4326" t="str">
        <f t="shared" si="136"/>
        <v>U152796U152796</v>
      </c>
      <c r="B4326" t="str">
        <f t="shared" si="137"/>
        <v>U152796P6036SS-W</v>
      </c>
      <c r="C4326" s="1" t="s">
        <v>42</v>
      </c>
      <c r="D4326" s="1" t="s">
        <v>730</v>
      </c>
      <c r="E4326" s="1" t="s">
        <v>436</v>
      </c>
      <c r="F4326" s="1" t="s">
        <v>443</v>
      </c>
      <c r="G4326" s="1" t="s">
        <v>444</v>
      </c>
      <c r="H4326" s="1">
        <v>144</v>
      </c>
      <c r="I4326" s="3">
        <v>46282</v>
      </c>
      <c r="J4326" s="3">
        <v>46287</v>
      </c>
      <c r="L4326" s="31">
        <v>46282.391777465273</v>
      </c>
      <c r="M4326" s="20">
        <v>12</v>
      </c>
      <c r="N4326" s="1">
        <v>21</v>
      </c>
    </row>
    <row r="4327" spans="1:14" x14ac:dyDescent="0.25">
      <c r="A4327" t="str">
        <f t="shared" si="136"/>
        <v>U152796U152796</v>
      </c>
      <c r="B4327" t="str">
        <f t="shared" si="137"/>
        <v>U152796P6036SS-W</v>
      </c>
      <c r="C4327" s="1" t="s">
        <v>42</v>
      </c>
      <c r="D4327" s="1" t="s">
        <v>730</v>
      </c>
      <c r="E4327" s="1" t="s">
        <v>436</v>
      </c>
      <c r="F4327" s="1" t="s">
        <v>443</v>
      </c>
      <c r="G4327" s="1" t="s">
        <v>444</v>
      </c>
      <c r="H4327" s="1">
        <v>144</v>
      </c>
      <c r="I4327" s="3">
        <v>46282</v>
      </c>
      <c r="J4327" s="3">
        <v>46287</v>
      </c>
      <c r="L4327" s="31">
        <v>46282.429200694445</v>
      </c>
      <c r="M4327" s="20">
        <v>6</v>
      </c>
      <c r="N4327" s="1">
        <v>31</v>
      </c>
    </row>
    <row r="4328" spans="1:14" x14ac:dyDescent="0.25">
      <c r="A4328" t="str">
        <f t="shared" si="136"/>
        <v>U152822U152822</v>
      </c>
      <c r="B4328" t="str">
        <f t="shared" si="137"/>
        <v>U152822GC9060BK-W</v>
      </c>
      <c r="C4328" s="1" t="s">
        <v>755</v>
      </c>
      <c r="D4328" s="1" t="s">
        <v>756</v>
      </c>
      <c r="E4328" s="1" t="s">
        <v>436</v>
      </c>
      <c r="F4328" s="1" t="s">
        <v>443</v>
      </c>
      <c r="G4328" s="1" t="s">
        <v>457</v>
      </c>
      <c r="H4328" s="1">
        <v>36</v>
      </c>
      <c r="I4328" s="3">
        <v>46282</v>
      </c>
      <c r="J4328" s="3">
        <v>46283</v>
      </c>
      <c r="L4328" s="31">
        <v>46282.758923298607</v>
      </c>
      <c r="M4328" s="20">
        <v>6</v>
      </c>
      <c r="N4328" s="1">
        <v>16</v>
      </c>
    </row>
    <row r="4329" spans="1:14" x14ac:dyDescent="0.25">
      <c r="A4329" t="str">
        <f t="shared" si="136"/>
        <v>U152829U152829</v>
      </c>
      <c r="B4329" t="str">
        <f t="shared" si="137"/>
        <v>U152829GC9060BE-M</v>
      </c>
      <c r="C4329" s="1" t="s">
        <v>43</v>
      </c>
      <c r="D4329" s="1" t="s">
        <v>738</v>
      </c>
      <c r="E4329" s="1" t="s">
        <v>436</v>
      </c>
      <c r="F4329" s="1" t="s">
        <v>443</v>
      </c>
      <c r="G4329" s="1" t="s">
        <v>444</v>
      </c>
      <c r="H4329" s="1">
        <v>48</v>
      </c>
      <c r="I4329" s="3">
        <v>46282</v>
      </c>
      <c r="J4329" s="3">
        <v>46282</v>
      </c>
      <c r="L4329" s="31">
        <v>46282.466903356479</v>
      </c>
      <c r="M4329" s="20">
        <v>12</v>
      </c>
      <c r="N4329" s="1">
        <v>1</v>
      </c>
    </row>
    <row r="4330" spans="1:14" x14ac:dyDescent="0.25">
      <c r="A4330" t="str">
        <f t="shared" si="136"/>
        <v>U152829U152829</v>
      </c>
      <c r="B4330" t="str">
        <f t="shared" si="137"/>
        <v>U152829GC9060BE-M</v>
      </c>
      <c r="C4330" s="1" t="s">
        <v>43</v>
      </c>
      <c r="D4330" s="1" t="s">
        <v>738</v>
      </c>
      <c r="E4330" s="1" t="s">
        <v>436</v>
      </c>
      <c r="F4330" s="1" t="s">
        <v>443</v>
      </c>
      <c r="G4330" s="1" t="s">
        <v>444</v>
      </c>
      <c r="H4330" s="1">
        <v>48</v>
      </c>
      <c r="I4330" s="3">
        <v>46282</v>
      </c>
      <c r="J4330" s="3">
        <v>46282</v>
      </c>
      <c r="L4330" s="31">
        <v>46282.467143402777</v>
      </c>
      <c r="M4330" s="20">
        <v>12</v>
      </c>
      <c r="N4330" s="1">
        <v>2</v>
      </c>
    </row>
    <row r="4331" spans="1:14" x14ac:dyDescent="0.25">
      <c r="A4331" t="str">
        <f t="shared" si="136"/>
        <v>U152829U152829</v>
      </c>
      <c r="B4331" t="str">
        <f t="shared" si="137"/>
        <v>U152829GC9060BE-M</v>
      </c>
      <c r="C4331" s="1" t="s">
        <v>43</v>
      </c>
      <c r="D4331" s="1" t="s">
        <v>738</v>
      </c>
      <c r="E4331" s="1" t="s">
        <v>436</v>
      </c>
      <c r="F4331" s="1" t="s">
        <v>443</v>
      </c>
      <c r="G4331" s="1" t="s">
        <v>444</v>
      </c>
      <c r="H4331" s="1">
        <v>48</v>
      </c>
      <c r="I4331" s="3">
        <v>46282</v>
      </c>
      <c r="J4331" s="3">
        <v>46282</v>
      </c>
      <c r="L4331" s="31">
        <v>46282.598419062495</v>
      </c>
      <c r="M4331" s="20">
        <v>12</v>
      </c>
      <c r="N4331" s="1">
        <v>3</v>
      </c>
    </row>
    <row r="4332" spans="1:14" x14ac:dyDescent="0.25">
      <c r="A4332" t="str">
        <f t="shared" si="136"/>
        <v>U152829U152829</v>
      </c>
      <c r="B4332" t="str">
        <f t="shared" si="137"/>
        <v>U152829GC9060BE-M</v>
      </c>
      <c r="C4332" s="1" t="s">
        <v>43</v>
      </c>
      <c r="D4332" s="1" t="s">
        <v>738</v>
      </c>
      <c r="E4332" s="1" t="s">
        <v>436</v>
      </c>
      <c r="F4332" s="1" t="s">
        <v>443</v>
      </c>
      <c r="G4332" s="1" t="s">
        <v>444</v>
      </c>
      <c r="H4332" s="1">
        <v>48</v>
      </c>
      <c r="I4332" s="3">
        <v>46282</v>
      </c>
      <c r="J4332" s="3">
        <v>46282</v>
      </c>
      <c r="L4332" s="31">
        <v>46282.627505405093</v>
      </c>
      <c r="M4332" s="20">
        <v>12</v>
      </c>
      <c r="N4332" s="1">
        <v>4</v>
      </c>
    </row>
    <row r="4333" spans="1:14" x14ac:dyDescent="0.25">
      <c r="A4333" t="str">
        <f t="shared" si="136"/>
        <v>U152850U152850</v>
      </c>
      <c r="B4333" t="str">
        <f t="shared" si="137"/>
        <v>U152850G6032Z2-M</v>
      </c>
      <c r="C4333" s="1" t="s">
        <v>15</v>
      </c>
      <c r="D4333" s="1" t="s">
        <v>749</v>
      </c>
      <c r="E4333" s="1" t="s">
        <v>436</v>
      </c>
      <c r="F4333" s="1" t="s">
        <v>442</v>
      </c>
      <c r="G4333" s="1" t="s">
        <v>438</v>
      </c>
      <c r="H4333" s="1">
        <v>1200</v>
      </c>
      <c r="I4333" s="3">
        <v>46282</v>
      </c>
      <c r="L4333" s="31">
        <v>46282.650697916666</v>
      </c>
      <c r="M4333" s="20">
        <v>12</v>
      </c>
      <c r="N4333" s="1">
        <v>7</v>
      </c>
    </row>
    <row r="4334" spans="1:14" x14ac:dyDescent="0.25">
      <c r="A4334" t="str">
        <f t="shared" si="136"/>
        <v>U152850U152850</v>
      </c>
      <c r="B4334" t="str">
        <f t="shared" si="137"/>
        <v>U152850G6032Z2-M</v>
      </c>
      <c r="C4334" s="1" t="s">
        <v>15</v>
      </c>
      <c r="D4334" s="1" t="s">
        <v>749</v>
      </c>
      <c r="E4334" s="1" t="s">
        <v>436</v>
      </c>
      <c r="F4334" s="1" t="s">
        <v>442</v>
      </c>
      <c r="G4334" s="1" t="s">
        <v>438</v>
      </c>
      <c r="H4334" s="1">
        <v>1200</v>
      </c>
      <c r="I4334" s="3">
        <v>46282</v>
      </c>
      <c r="L4334" s="31">
        <v>46282.650934027777</v>
      </c>
      <c r="M4334" s="20">
        <v>12</v>
      </c>
      <c r="N4334" s="1">
        <v>13</v>
      </c>
    </row>
    <row r="4335" spans="1:14" x14ac:dyDescent="0.25">
      <c r="A4335" t="str">
        <f t="shared" si="136"/>
        <v>U152850U152850</v>
      </c>
      <c r="B4335" t="str">
        <f t="shared" si="137"/>
        <v>U152850G6032Z2-M</v>
      </c>
      <c r="C4335" s="1" t="s">
        <v>15</v>
      </c>
      <c r="D4335" s="1" t="s">
        <v>749</v>
      </c>
      <c r="E4335" s="1" t="s">
        <v>436</v>
      </c>
      <c r="F4335" s="1" t="s">
        <v>442</v>
      </c>
      <c r="G4335" s="1" t="s">
        <v>438</v>
      </c>
      <c r="H4335" s="1">
        <v>1200</v>
      </c>
      <c r="I4335" s="3">
        <v>46282</v>
      </c>
      <c r="L4335" s="31">
        <v>46282.651111539351</v>
      </c>
      <c r="M4335" s="20">
        <v>12</v>
      </c>
      <c r="N4335" s="1">
        <v>6</v>
      </c>
    </row>
    <row r="4336" spans="1:14" x14ac:dyDescent="0.25">
      <c r="A4336" t="str">
        <f t="shared" si="136"/>
        <v>U152850U152850</v>
      </c>
      <c r="B4336" t="str">
        <f t="shared" si="137"/>
        <v>U152850G6032Z2-M</v>
      </c>
      <c r="C4336" s="1" t="s">
        <v>15</v>
      </c>
      <c r="D4336" s="1" t="s">
        <v>749</v>
      </c>
      <c r="E4336" s="1" t="s">
        <v>436</v>
      </c>
      <c r="F4336" s="1" t="s">
        <v>442</v>
      </c>
      <c r="G4336" s="1" t="s">
        <v>438</v>
      </c>
      <c r="H4336" s="1">
        <v>1200</v>
      </c>
      <c r="I4336" s="3">
        <v>46282</v>
      </c>
      <c r="L4336" s="31">
        <v>46282.651513310186</v>
      </c>
      <c r="M4336" s="20">
        <v>12</v>
      </c>
      <c r="N4336" s="1">
        <v>9</v>
      </c>
    </row>
    <row r="4337" spans="1:14" x14ac:dyDescent="0.25">
      <c r="A4337" t="str">
        <f t="shared" si="136"/>
        <v>U152850U152850</v>
      </c>
      <c r="B4337" t="str">
        <f t="shared" si="137"/>
        <v>U152850G6032Z2-M</v>
      </c>
      <c r="C4337" s="1" t="s">
        <v>15</v>
      </c>
      <c r="D4337" s="1" t="s">
        <v>749</v>
      </c>
      <c r="E4337" s="1" t="s">
        <v>436</v>
      </c>
      <c r="F4337" s="1" t="s">
        <v>442</v>
      </c>
      <c r="G4337" s="1" t="s">
        <v>438</v>
      </c>
      <c r="H4337" s="1">
        <v>1200</v>
      </c>
      <c r="I4337" s="3">
        <v>46282</v>
      </c>
      <c r="L4337" s="31">
        <v>46282.652231099535</v>
      </c>
      <c r="M4337" s="20">
        <v>12</v>
      </c>
      <c r="N4337" s="1">
        <v>8</v>
      </c>
    </row>
    <row r="4338" spans="1:14" x14ac:dyDescent="0.25">
      <c r="A4338" t="str">
        <f t="shared" si="136"/>
        <v>U152850U152850</v>
      </c>
      <c r="B4338" t="str">
        <f t="shared" si="137"/>
        <v>U152850G6032Z2-M</v>
      </c>
      <c r="C4338" s="1" t="s">
        <v>15</v>
      </c>
      <c r="D4338" s="1" t="s">
        <v>749</v>
      </c>
      <c r="E4338" s="1" t="s">
        <v>436</v>
      </c>
      <c r="F4338" s="1" t="s">
        <v>442</v>
      </c>
      <c r="G4338" s="1" t="s">
        <v>438</v>
      </c>
      <c r="H4338" s="1">
        <v>1200</v>
      </c>
      <c r="I4338" s="3">
        <v>46282</v>
      </c>
      <c r="L4338" s="31">
        <v>46282.65246315972</v>
      </c>
      <c r="M4338" s="20">
        <v>12</v>
      </c>
      <c r="N4338" s="1">
        <v>15</v>
      </c>
    </row>
    <row r="4339" spans="1:14" x14ac:dyDescent="0.25">
      <c r="A4339" t="str">
        <f t="shared" si="136"/>
        <v>U152850U152850</v>
      </c>
      <c r="B4339" t="str">
        <f t="shared" si="137"/>
        <v>U152850G6032Z2-M</v>
      </c>
      <c r="C4339" s="1" t="s">
        <v>15</v>
      </c>
      <c r="D4339" s="1" t="s">
        <v>749</v>
      </c>
      <c r="E4339" s="1" t="s">
        <v>436</v>
      </c>
      <c r="F4339" s="1" t="s">
        <v>442</v>
      </c>
      <c r="G4339" s="1" t="s">
        <v>438</v>
      </c>
      <c r="H4339" s="1">
        <v>1200</v>
      </c>
      <c r="I4339" s="3">
        <v>46282</v>
      </c>
      <c r="L4339" s="31">
        <v>46282.652859027774</v>
      </c>
      <c r="M4339" s="20">
        <v>12</v>
      </c>
      <c r="N4339" s="1">
        <v>26</v>
      </c>
    </row>
    <row r="4340" spans="1:14" x14ac:dyDescent="0.25">
      <c r="A4340" t="str">
        <f t="shared" si="136"/>
        <v>U152850U152850</v>
      </c>
      <c r="B4340" t="str">
        <f t="shared" si="137"/>
        <v>U152850G6032Z2-M</v>
      </c>
      <c r="C4340" s="1" t="s">
        <v>15</v>
      </c>
      <c r="D4340" s="1" t="s">
        <v>749</v>
      </c>
      <c r="E4340" s="1" t="s">
        <v>436</v>
      </c>
      <c r="F4340" s="1" t="s">
        <v>442</v>
      </c>
      <c r="G4340" s="1" t="s">
        <v>438</v>
      </c>
      <c r="H4340" s="1">
        <v>1200</v>
      </c>
      <c r="I4340" s="3">
        <v>46282</v>
      </c>
      <c r="L4340" s="31">
        <v>46282.668738344903</v>
      </c>
      <c r="M4340" s="20">
        <v>12</v>
      </c>
      <c r="N4340" s="1">
        <v>28</v>
      </c>
    </row>
    <row r="4341" spans="1:14" x14ac:dyDescent="0.25">
      <c r="A4341" t="str">
        <f t="shared" si="136"/>
        <v>U152850U152850</v>
      </c>
      <c r="B4341" t="str">
        <f t="shared" si="137"/>
        <v>U152850G6032Z2-M</v>
      </c>
      <c r="C4341" s="1" t="s">
        <v>15</v>
      </c>
      <c r="D4341" s="1" t="s">
        <v>749</v>
      </c>
      <c r="E4341" s="1" t="s">
        <v>436</v>
      </c>
      <c r="F4341" s="1" t="s">
        <v>442</v>
      </c>
      <c r="G4341" s="1" t="s">
        <v>438</v>
      </c>
      <c r="H4341" s="1">
        <v>1200</v>
      </c>
      <c r="I4341" s="3">
        <v>46282</v>
      </c>
      <c r="L4341" s="31">
        <v>46282.668922997684</v>
      </c>
      <c r="M4341" s="20">
        <v>12</v>
      </c>
      <c r="N4341" s="1">
        <v>27</v>
      </c>
    </row>
    <row r="4342" spans="1:14" x14ac:dyDescent="0.25">
      <c r="A4342" t="str">
        <f t="shared" si="136"/>
        <v>78754877875487</v>
      </c>
      <c r="B4342" t="str">
        <f t="shared" si="137"/>
        <v>7875487GC574EVG-W</v>
      </c>
      <c r="C4342" s="1" t="s">
        <v>11</v>
      </c>
      <c r="D4342" s="1" t="s">
        <v>773</v>
      </c>
      <c r="E4342" s="1" t="s">
        <v>382</v>
      </c>
      <c r="F4342" s="1" t="s">
        <v>383</v>
      </c>
      <c r="G4342" s="1" t="s">
        <v>390</v>
      </c>
      <c r="H4342" s="1">
        <v>198</v>
      </c>
      <c r="I4342" s="3">
        <v>46283</v>
      </c>
      <c r="L4342" s="31">
        <v>46283.657045868051</v>
      </c>
      <c r="M4342" s="20">
        <v>12</v>
      </c>
      <c r="N4342" s="1">
        <v>12</v>
      </c>
    </row>
    <row r="4343" spans="1:14" x14ac:dyDescent="0.25">
      <c r="A4343" t="str">
        <f t="shared" si="136"/>
        <v>78754877875487</v>
      </c>
      <c r="B4343" t="str">
        <f t="shared" si="137"/>
        <v>7875487GC574EVG-W</v>
      </c>
      <c r="C4343" s="1" t="s">
        <v>11</v>
      </c>
      <c r="D4343" s="1" t="s">
        <v>773</v>
      </c>
      <c r="E4343" s="1" t="s">
        <v>382</v>
      </c>
      <c r="F4343" s="1" t="s">
        <v>383</v>
      </c>
      <c r="G4343" s="1" t="s">
        <v>390</v>
      </c>
      <c r="H4343" s="1">
        <v>198</v>
      </c>
      <c r="I4343" s="3">
        <v>46283</v>
      </c>
      <c r="L4343" s="31">
        <v>46283.657219872686</v>
      </c>
      <c r="M4343" s="20">
        <v>12</v>
      </c>
      <c r="N4343" s="1">
        <v>9</v>
      </c>
    </row>
    <row r="4344" spans="1:14" x14ac:dyDescent="0.25">
      <c r="A4344" t="str">
        <f t="shared" si="136"/>
        <v>78754877875487</v>
      </c>
      <c r="B4344" t="str">
        <f t="shared" si="137"/>
        <v>7875487GC574EVG-W</v>
      </c>
      <c r="C4344" s="1" t="s">
        <v>11</v>
      </c>
      <c r="D4344" s="1" t="s">
        <v>773</v>
      </c>
      <c r="E4344" s="1" t="s">
        <v>382</v>
      </c>
      <c r="F4344" s="1" t="s">
        <v>383</v>
      </c>
      <c r="G4344" s="1" t="s">
        <v>390</v>
      </c>
      <c r="H4344" s="1">
        <v>198</v>
      </c>
      <c r="I4344" s="3">
        <v>46283</v>
      </c>
      <c r="L4344" s="31">
        <v>46283.665219675924</v>
      </c>
      <c r="M4344" s="20">
        <v>12</v>
      </c>
      <c r="N4344" s="1">
        <v>7</v>
      </c>
    </row>
    <row r="4345" spans="1:14" x14ac:dyDescent="0.25">
      <c r="A4345" t="str">
        <f t="shared" si="136"/>
        <v>78754877875487</v>
      </c>
      <c r="B4345" t="str">
        <f t="shared" si="137"/>
        <v>7875487GC574EVG-W</v>
      </c>
      <c r="C4345" s="1" t="s">
        <v>11</v>
      </c>
      <c r="D4345" s="1" t="s">
        <v>773</v>
      </c>
      <c r="E4345" s="1" t="s">
        <v>382</v>
      </c>
      <c r="F4345" s="1" t="s">
        <v>383</v>
      </c>
      <c r="G4345" s="1" t="s">
        <v>390</v>
      </c>
      <c r="H4345" s="1">
        <v>198</v>
      </c>
      <c r="I4345" s="3">
        <v>46283</v>
      </c>
      <c r="L4345" s="31">
        <v>46283.66539869213</v>
      </c>
      <c r="M4345" s="20">
        <v>12</v>
      </c>
      <c r="N4345" s="1">
        <v>11</v>
      </c>
    </row>
    <row r="4346" spans="1:14" x14ac:dyDescent="0.25">
      <c r="A4346" t="str">
        <f t="shared" si="136"/>
        <v>78754877875487</v>
      </c>
      <c r="B4346" t="str">
        <f t="shared" si="137"/>
        <v>7875487GC574EVG-W</v>
      </c>
      <c r="C4346" s="1" t="s">
        <v>11</v>
      </c>
      <c r="D4346" s="1" t="s">
        <v>773</v>
      </c>
      <c r="E4346" s="1" t="s">
        <v>382</v>
      </c>
      <c r="F4346" s="1" t="s">
        <v>383</v>
      </c>
      <c r="G4346" s="1" t="s">
        <v>390</v>
      </c>
      <c r="H4346" s="1">
        <v>198</v>
      </c>
      <c r="I4346" s="3">
        <v>46283</v>
      </c>
      <c r="L4346" s="31">
        <v>46283.665535960645</v>
      </c>
      <c r="M4346" s="20">
        <v>12</v>
      </c>
      <c r="N4346" s="1">
        <v>3</v>
      </c>
    </row>
    <row r="4347" spans="1:14" x14ac:dyDescent="0.25">
      <c r="A4347" t="str">
        <f t="shared" si="136"/>
        <v>78754877875487</v>
      </c>
      <c r="B4347" t="str">
        <f t="shared" si="137"/>
        <v>7875487GC574EVG-W</v>
      </c>
      <c r="C4347" s="1" t="s">
        <v>11</v>
      </c>
      <c r="D4347" s="1" t="s">
        <v>773</v>
      </c>
      <c r="E4347" s="1" t="s">
        <v>382</v>
      </c>
      <c r="F4347" s="1" t="s">
        <v>383</v>
      </c>
      <c r="G4347" s="1" t="s">
        <v>390</v>
      </c>
      <c r="H4347" s="1">
        <v>198</v>
      </c>
      <c r="I4347" s="3">
        <v>46283</v>
      </c>
      <c r="L4347" s="31">
        <v>46283.679529317131</v>
      </c>
      <c r="M4347" s="20">
        <v>12</v>
      </c>
      <c r="N4347" s="1">
        <v>4</v>
      </c>
    </row>
    <row r="4348" spans="1:14" x14ac:dyDescent="0.25">
      <c r="A4348" t="str">
        <f t="shared" si="136"/>
        <v>78754877875487</v>
      </c>
      <c r="B4348" t="str">
        <f t="shared" si="137"/>
        <v>7875487GC574EVG-W</v>
      </c>
      <c r="C4348" s="1" t="s">
        <v>11</v>
      </c>
      <c r="D4348" s="1" t="s">
        <v>773</v>
      </c>
      <c r="E4348" s="1" t="s">
        <v>382</v>
      </c>
      <c r="F4348" s="1" t="s">
        <v>383</v>
      </c>
      <c r="G4348" s="1" t="s">
        <v>390</v>
      </c>
      <c r="H4348" s="1">
        <v>198</v>
      </c>
      <c r="I4348" s="3">
        <v>46283</v>
      </c>
      <c r="L4348" s="31">
        <v>46283.688572488427</v>
      </c>
      <c r="M4348" s="20">
        <v>6</v>
      </c>
      <c r="N4348" s="1">
        <v>17</v>
      </c>
    </row>
    <row r="4349" spans="1:14" x14ac:dyDescent="0.25">
      <c r="A4349" t="str">
        <f t="shared" si="136"/>
        <v>78754877875487</v>
      </c>
      <c r="B4349" t="str">
        <f t="shared" si="137"/>
        <v>7875487GC574EVG-W</v>
      </c>
      <c r="C4349" s="1" t="s">
        <v>11</v>
      </c>
      <c r="D4349" s="1" t="s">
        <v>773</v>
      </c>
      <c r="E4349" s="1" t="s">
        <v>382</v>
      </c>
      <c r="F4349" s="1" t="s">
        <v>383</v>
      </c>
      <c r="G4349" s="1" t="s">
        <v>390</v>
      </c>
      <c r="H4349" s="1">
        <v>198</v>
      </c>
      <c r="I4349" s="3">
        <v>46283</v>
      </c>
      <c r="L4349" s="31">
        <v>46283.699156909723</v>
      </c>
      <c r="M4349" s="20">
        <v>6</v>
      </c>
      <c r="N4349" s="1">
        <v>15</v>
      </c>
    </row>
    <row r="4350" spans="1:14" x14ac:dyDescent="0.25">
      <c r="A4350" t="str">
        <f t="shared" si="136"/>
        <v>78754877875487</v>
      </c>
      <c r="B4350" t="str">
        <f t="shared" si="137"/>
        <v>7875487GC574EVG-W</v>
      </c>
      <c r="C4350" s="1" t="s">
        <v>11</v>
      </c>
      <c r="D4350" s="1" t="s">
        <v>773</v>
      </c>
      <c r="E4350" s="1" t="s">
        <v>382</v>
      </c>
      <c r="F4350" s="1" t="s">
        <v>383</v>
      </c>
      <c r="G4350" s="1" t="s">
        <v>390</v>
      </c>
      <c r="H4350" s="1">
        <v>198</v>
      </c>
      <c r="I4350" s="3">
        <v>46283</v>
      </c>
      <c r="L4350" s="31">
        <v>46283.699720138888</v>
      </c>
      <c r="M4350" s="20">
        <v>12</v>
      </c>
      <c r="N4350" s="1">
        <v>13</v>
      </c>
    </row>
    <row r="4351" spans="1:14" x14ac:dyDescent="0.25">
      <c r="A4351" t="str">
        <f t="shared" si="136"/>
        <v>78755057875505</v>
      </c>
      <c r="B4351" t="str">
        <f t="shared" si="137"/>
        <v>7875505PV574EVG-W</v>
      </c>
      <c r="C4351" s="1" t="s">
        <v>17</v>
      </c>
      <c r="D4351" s="1" t="s">
        <v>763</v>
      </c>
      <c r="E4351" s="1" t="s">
        <v>382</v>
      </c>
      <c r="F4351" s="1" t="s">
        <v>383</v>
      </c>
      <c r="G4351" s="1" t="s">
        <v>390</v>
      </c>
      <c r="H4351" s="1">
        <v>264</v>
      </c>
      <c r="I4351" s="3">
        <v>46283</v>
      </c>
      <c r="L4351" s="31">
        <v>46283.453243865741</v>
      </c>
      <c r="M4351" s="20">
        <v>12</v>
      </c>
      <c r="N4351" s="1">
        <v>11</v>
      </c>
    </row>
    <row r="4352" spans="1:14" x14ac:dyDescent="0.25">
      <c r="A4352" t="str">
        <f t="shared" si="136"/>
        <v>78755057875505</v>
      </c>
      <c r="B4352" t="str">
        <f t="shared" si="137"/>
        <v>7875505PV574EVG-W</v>
      </c>
      <c r="C4352" s="1" t="s">
        <v>17</v>
      </c>
      <c r="D4352" s="1" t="s">
        <v>763</v>
      </c>
      <c r="E4352" s="1" t="s">
        <v>382</v>
      </c>
      <c r="F4352" s="1" t="s">
        <v>383</v>
      </c>
      <c r="G4352" s="1" t="s">
        <v>390</v>
      </c>
      <c r="H4352" s="1">
        <v>264</v>
      </c>
      <c r="I4352" s="3">
        <v>46283</v>
      </c>
      <c r="L4352" s="31">
        <v>46283.453796643516</v>
      </c>
      <c r="M4352" s="20">
        <v>12</v>
      </c>
      <c r="N4352" s="1">
        <v>8</v>
      </c>
    </row>
    <row r="4353" spans="1:14" x14ac:dyDescent="0.25">
      <c r="A4353" t="str">
        <f t="shared" si="136"/>
        <v>78755057875505</v>
      </c>
      <c r="B4353" t="str">
        <f t="shared" si="137"/>
        <v>7875505PV574EVG-W</v>
      </c>
      <c r="C4353" s="1" t="s">
        <v>17</v>
      </c>
      <c r="D4353" s="1" t="s">
        <v>763</v>
      </c>
      <c r="E4353" s="1" t="s">
        <v>382</v>
      </c>
      <c r="F4353" s="1" t="s">
        <v>383</v>
      </c>
      <c r="G4353" s="1" t="s">
        <v>390</v>
      </c>
      <c r="H4353" s="1">
        <v>264</v>
      </c>
      <c r="I4353" s="3">
        <v>46283</v>
      </c>
      <c r="L4353" s="31">
        <v>46283.454494710648</v>
      </c>
      <c r="M4353" s="20">
        <v>12</v>
      </c>
      <c r="N4353" s="1">
        <v>7</v>
      </c>
    </row>
    <row r="4354" spans="1:14" x14ac:dyDescent="0.25">
      <c r="A4354" t="str">
        <f t="shared" ref="A4354:A4417" si="138">+D4354&amp;D4354</f>
        <v>78755057875505</v>
      </c>
      <c r="B4354" t="str">
        <f t="shared" ref="B4354:B4417" si="139">+D4354&amp;C4354</f>
        <v>7875505PV574EVG-W</v>
      </c>
      <c r="C4354" s="1" t="s">
        <v>17</v>
      </c>
      <c r="D4354" s="1" t="s">
        <v>763</v>
      </c>
      <c r="E4354" s="1" t="s">
        <v>382</v>
      </c>
      <c r="F4354" s="1" t="s">
        <v>383</v>
      </c>
      <c r="G4354" s="1" t="s">
        <v>390</v>
      </c>
      <c r="H4354" s="1">
        <v>264</v>
      </c>
      <c r="I4354" s="3">
        <v>46283</v>
      </c>
      <c r="L4354" s="31">
        <v>46283.55509065972</v>
      </c>
      <c r="M4354" s="20">
        <v>12</v>
      </c>
      <c r="N4354" s="1">
        <v>13</v>
      </c>
    </row>
    <row r="4355" spans="1:14" x14ac:dyDescent="0.25">
      <c r="A4355" t="str">
        <f t="shared" si="138"/>
        <v>78755057875505</v>
      </c>
      <c r="B4355" t="str">
        <f t="shared" si="139"/>
        <v>7875505PV574EVG-W</v>
      </c>
      <c r="C4355" s="1" t="s">
        <v>17</v>
      </c>
      <c r="D4355" s="1" t="s">
        <v>763</v>
      </c>
      <c r="E4355" s="1" t="s">
        <v>382</v>
      </c>
      <c r="F4355" s="1" t="s">
        <v>383</v>
      </c>
      <c r="G4355" s="1" t="s">
        <v>390</v>
      </c>
      <c r="H4355" s="1">
        <v>264</v>
      </c>
      <c r="I4355" s="3">
        <v>46283</v>
      </c>
      <c r="L4355" s="31">
        <v>46283.55553730324</v>
      </c>
      <c r="M4355" s="20">
        <v>12</v>
      </c>
      <c r="N4355" s="1">
        <v>12</v>
      </c>
    </row>
    <row r="4356" spans="1:14" x14ac:dyDescent="0.25">
      <c r="A4356" t="str">
        <f t="shared" si="138"/>
        <v>78755057875505</v>
      </c>
      <c r="B4356" t="str">
        <f t="shared" si="139"/>
        <v>7875505PV574EVG-W</v>
      </c>
      <c r="C4356" s="1" t="s">
        <v>17</v>
      </c>
      <c r="D4356" s="1" t="s">
        <v>763</v>
      </c>
      <c r="E4356" s="1" t="s">
        <v>382</v>
      </c>
      <c r="F4356" s="1" t="s">
        <v>383</v>
      </c>
      <c r="G4356" s="1" t="s">
        <v>390</v>
      </c>
      <c r="H4356" s="1">
        <v>264</v>
      </c>
      <c r="I4356" s="3">
        <v>46283</v>
      </c>
      <c r="L4356" s="31">
        <v>46283.555966631946</v>
      </c>
      <c r="M4356" s="20">
        <v>12</v>
      </c>
      <c r="N4356" s="1">
        <v>3</v>
      </c>
    </row>
    <row r="4357" spans="1:14" x14ac:dyDescent="0.25">
      <c r="A4357" t="str">
        <f t="shared" si="138"/>
        <v>78755057875505</v>
      </c>
      <c r="B4357" t="str">
        <f t="shared" si="139"/>
        <v>7875505PV574EVG-W</v>
      </c>
      <c r="C4357" s="1" t="s">
        <v>17</v>
      </c>
      <c r="D4357" s="1" t="s">
        <v>763</v>
      </c>
      <c r="E4357" s="1" t="s">
        <v>382</v>
      </c>
      <c r="F4357" s="1" t="s">
        <v>383</v>
      </c>
      <c r="G4357" s="1" t="s">
        <v>390</v>
      </c>
      <c r="H4357" s="1">
        <v>264</v>
      </c>
      <c r="I4357" s="3">
        <v>46283</v>
      </c>
      <c r="L4357" s="31">
        <v>46283.578070798612</v>
      </c>
      <c r="M4357" s="20">
        <v>12</v>
      </c>
      <c r="N4357" s="1">
        <v>6</v>
      </c>
    </row>
    <row r="4358" spans="1:14" x14ac:dyDescent="0.25">
      <c r="A4358" t="str">
        <f t="shared" si="138"/>
        <v>78755057875505</v>
      </c>
      <c r="B4358" t="str">
        <f t="shared" si="139"/>
        <v>7875505PV574EVG-W</v>
      </c>
      <c r="C4358" s="1" t="s">
        <v>17</v>
      </c>
      <c r="D4358" s="1" t="s">
        <v>763</v>
      </c>
      <c r="E4358" s="1" t="s">
        <v>382</v>
      </c>
      <c r="F4358" s="1" t="s">
        <v>383</v>
      </c>
      <c r="G4358" s="1" t="s">
        <v>390</v>
      </c>
      <c r="H4358" s="1">
        <v>264</v>
      </c>
      <c r="I4358" s="3">
        <v>46283</v>
      </c>
      <c r="L4358" s="31">
        <v>46283.595782986107</v>
      </c>
      <c r="M4358" s="20">
        <v>6</v>
      </c>
      <c r="N4358" s="1">
        <v>25</v>
      </c>
    </row>
    <row r="4359" spans="1:14" x14ac:dyDescent="0.25">
      <c r="A4359" t="str">
        <f t="shared" si="138"/>
        <v>78755057875505</v>
      </c>
      <c r="B4359" t="str">
        <f t="shared" si="139"/>
        <v>7875505PV574EVG-W</v>
      </c>
      <c r="C4359" s="1" t="s">
        <v>17</v>
      </c>
      <c r="D4359" s="1" t="s">
        <v>763</v>
      </c>
      <c r="E4359" s="1" t="s">
        <v>382</v>
      </c>
      <c r="F4359" s="1" t="s">
        <v>383</v>
      </c>
      <c r="G4359" s="1" t="s">
        <v>390</v>
      </c>
      <c r="H4359" s="1">
        <v>264</v>
      </c>
      <c r="I4359" s="3">
        <v>46283</v>
      </c>
      <c r="L4359" s="31">
        <v>46283.596173877311</v>
      </c>
      <c r="M4359" s="20">
        <v>6</v>
      </c>
      <c r="N4359" s="1">
        <v>23</v>
      </c>
    </row>
    <row r="4360" spans="1:14" x14ac:dyDescent="0.25">
      <c r="A4360" t="str">
        <f t="shared" si="138"/>
        <v>78755057875505</v>
      </c>
      <c r="B4360" t="str">
        <f t="shared" si="139"/>
        <v>7875505PV574EVG-W</v>
      </c>
      <c r="C4360" s="1" t="s">
        <v>17</v>
      </c>
      <c r="D4360" s="1" t="s">
        <v>763</v>
      </c>
      <c r="E4360" s="1" t="s">
        <v>382</v>
      </c>
      <c r="F4360" s="1" t="s">
        <v>383</v>
      </c>
      <c r="G4360" s="1" t="s">
        <v>390</v>
      </c>
      <c r="H4360" s="1">
        <v>264</v>
      </c>
      <c r="I4360" s="3">
        <v>46283</v>
      </c>
      <c r="L4360" s="31">
        <v>46283.610090972223</v>
      </c>
      <c r="M4360" s="20">
        <v>12</v>
      </c>
      <c r="N4360" s="1">
        <v>18</v>
      </c>
    </row>
    <row r="4361" spans="1:14" x14ac:dyDescent="0.25">
      <c r="A4361" t="str">
        <f t="shared" si="138"/>
        <v>78755057875505</v>
      </c>
      <c r="B4361" t="str">
        <f t="shared" si="139"/>
        <v>7875505PV574EVG-W</v>
      </c>
      <c r="C4361" s="1" t="s">
        <v>17</v>
      </c>
      <c r="D4361" s="1" t="s">
        <v>763</v>
      </c>
      <c r="E4361" s="1" t="s">
        <v>382</v>
      </c>
      <c r="F4361" s="1" t="s">
        <v>383</v>
      </c>
      <c r="G4361" s="1" t="s">
        <v>390</v>
      </c>
      <c r="H4361" s="1">
        <v>264</v>
      </c>
      <c r="I4361" s="3">
        <v>46283</v>
      </c>
      <c r="L4361" s="31">
        <v>46283.65206403935</v>
      </c>
      <c r="M4361" s="20">
        <v>6</v>
      </c>
      <c r="N4361" s="1">
        <v>20</v>
      </c>
    </row>
    <row r="4362" spans="1:14" x14ac:dyDescent="0.25">
      <c r="A4362" t="str">
        <f t="shared" si="138"/>
        <v>78755057875505</v>
      </c>
      <c r="B4362" t="str">
        <f t="shared" si="139"/>
        <v>7875505PV574EVG-W</v>
      </c>
      <c r="C4362" s="1" t="s">
        <v>17</v>
      </c>
      <c r="D4362" s="1" t="s">
        <v>763</v>
      </c>
      <c r="E4362" s="1" t="s">
        <v>382</v>
      </c>
      <c r="F4362" s="1" t="s">
        <v>383</v>
      </c>
      <c r="G4362" s="1" t="s">
        <v>390</v>
      </c>
      <c r="H4362" s="1">
        <v>264</v>
      </c>
      <c r="I4362" s="3">
        <v>46283</v>
      </c>
      <c r="L4362" s="31">
        <v>46283.652454861112</v>
      </c>
      <c r="M4362" s="20">
        <v>12</v>
      </c>
      <c r="N4362" s="1">
        <v>5</v>
      </c>
    </row>
    <row r="4363" spans="1:14" x14ac:dyDescent="0.25">
      <c r="A4363" t="str">
        <f t="shared" si="138"/>
        <v>78755057875505</v>
      </c>
      <c r="B4363" t="str">
        <f t="shared" si="139"/>
        <v>7875505PV574EVG-W</v>
      </c>
      <c r="C4363" s="1" t="s">
        <v>17</v>
      </c>
      <c r="D4363" s="1" t="s">
        <v>763</v>
      </c>
      <c r="E4363" s="1" t="s">
        <v>382</v>
      </c>
      <c r="F4363" s="1" t="s">
        <v>383</v>
      </c>
      <c r="G4363" s="1" t="s">
        <v>390</v>
      </c>
      <c r="H4363" s="1">
        <v>264</v>
      </c>
      <c r="I4363" s="3">
        <v>46283</v>
      </c>
      <c r="L4363" s="31">
        <v>46283.65280625</v>
      </c>
      <c r="M4363" s="20">
        <v>12</v>
      </c>
      <c r="N4363" s="1">
        <v>2</v>
      </c>
    </row>
    <row r="4364" spans="1:14" x14ac:dyDescent="0.25">
      <c r="A4364" t="str">
        <f t="shared" si="138"/>
        <v>78755057875505</v>
      </c>
      <c r="B4364" t="str">
        <f t="shared" si="139"/>
        <v>7875505PV574EVG-W</v>
      </c>
      <c r="C4364" s="1" t="s">
        <v>17</v>
      </c>
      <c r="D4364" s="1" t="s">
        <v>763</v>
      </c>
      <c r="E4364" s="1" t="s">
        <v>382</v>
      </c>
      <c r="F4364" s="1" t="s">
        <v>383</v>
      </c>
      <c r="G4364" s="1" t="s">
        <v>390</v>
      </c>
      <c r="H4364" s="1">
        <v>264</v>
      </c>
      <c r="I4364" s="3">
        <v>46283</v>
      </c>
      <c r="L4364" s="31">
        <v>46283.664922141201</v>
      </c>
      <c r="M4364" s="20">
        <v>12</v>
      </c>
      <c r="N4364" s="1">
        <v>4</v>
      </c>
    </row>
    <row r="4365" spans="1:14" x14ac:dyDescent="0.25">
      <c r="A4365" t="str">
        <f t="shared" si="138"/>
        <v>78755057875505</v>
      </c>
      <c r="B4365" t="str">
        <f t="shared" si="139"/>
        <v>7875505PV574EVG-W</v>
      </c>
      <c r="C4365" s="1" t="s">
        <v>17</v>
      </c>
      <c r="D4365" s="1" t="s">
        <v>763</v>
      </c>
      <c r="E4365" s="1" t="s">
        <v>382</v>
      </c>
      <c r="F4365" s="1" t="s">
        <v>383</v>
      </c>
      <c r="G4365" s="1" t="s">
        <v>390</v>
      </c>
      <c r="H4365" s="1">
        <v>264</v>
      </c>
      <c r="I4365" s="3">
        <v>46283</v>
      </c>
      <c r="L4365" s="31">
        <v>46283.691164085649</v>
      </c>
      <c r="M4365" s="20">
        <v>12</v>
      </c>
      <c r="N4365" s="1">
        <v>17</v>
      </c>
    </row>
    <row r="4366" spans="1:14" x14ac:dyDescent="0.25">
      <c r="A4366" t="str">
        <f t="shared" si="138"/>
        <v>78755057875505</v>
      </c>
      <c r="B4366" t="str">
        <f t="shared" si="139"/>
        <v>7875505PV574EVG-W</v>
      </c>
      <c r="C4366" s="1" t="s">
        <v>17</v>
      </c>
      <c r="D4366" s="1" t="s">
        <v>763</v>
      </c>
      <c r="E4366" s="1" t="s">
        <v>382</v>
      </c>
      <c r="F4366" s="1" t="s">
        <v>383</v>
      </c>
      <c r="G4366" s="1" t="s">
        <v>390</v>
      </c>
      <c r="H4366" s="1">
        <v>264</v>
      </c>
      <c r="I4366" s="3">
        <v>46283</v>
      </c>
      <c r="L4366" s="31">
        <v>46283.695194560183</v>
      </c>
      <c r="M4366" s="20">
        <v>12</v>
      </c>
      <c r="N4366" s="1">
        <v>19</v>
      </c>
    </row>
    <row r="4367" spans="1:14" x14ac:dyDescent="0.25">
      <c r="A4367" t="str">
        <f t="shared" si="138"/>
        <v>78755057875505</v>
      </c>
      <c r="B4367" t="str">
        <f t="shared" si="139"/>
        <v>7875505PV574EVG-W</v>
      </c>
      <c r="C4367" s="1" t="s">
        <v>17</v>
      </c>
      <c r="D4367" s="1" t="s">
        <v>763</v>
      </c>
      <c r="E4367" s="1" t="s">
        <v>382</v>
      </c>
      <c r="F4367" s="1" t="s">
        <v>383</v>
      </c>
      <c r="G4367" s="1" t="s">
        <v>390</v>
      </c>
      <c r="H4367" s="1">
        <v>264</v>
      </c>
      <c r="I4367" s="3">
        <v>46283</v>
      </c>
      <c r="L4367" s="31">
        <v>46283.71552283565</v>
      </c>
      <c r="M4367" s="20">
        <v>12</v>
      </c>
      <c r="N4367" s="1">
        <v>15</v>
      </c>
    </row>
    <row r="4368" spans="1:14" x14ac:dyDescent="0.25">
      <c r="A4368" t="str">
        <f t="shared" si="138"/>
        <v>78762347876234</v>
      </c>
      <c r="B4368" t="str">
        <f t="shared" si="139"/>
        <v>7876234P9060841-M</v>
      </c>
      <c r="C4368" s="1" t="s">
        <v>761</v>
      </c>
      <c r="D4368" s="1" t="s">
        <v>762</v>
      </c>
      <c r="E4368" s="1" t="s">
        <v>388</v>
      </c>
      <c r="F4368" s="1" t="s">
        <v>389</v>
      </c>
      <c r="G4368" s="1" t="s">
        <v>387</v>
      </c>
      <c r="H4368" s="1">
        <v>3048</v>
      </c>
      <c r="I4368" s="3">
        <v>46283</v>
      </c>
      <c r="L4368" s="31">
        <v>46283.448809953705</v>
      </c>
      <c r="M4368" s="20">
        <v>12</v>
      </c>
      <c r="N4368" s="1">
        <v>109</v>
      </c>
    </row>
    <row r="4369" spans="1:14" x14ac:dyDescent="0.25">
      <c r="A4369" t="str">
        <f t="shared" si="138"/>
        <v>78762347876234</v>
      </c>
      <c r="B4369" t="str">
        <f t="shared" si="139"/>
        <v>7876234P9060841-M</v>
      </c>
      <c r="C4369" s="1" t="s">
        <v>761</v>
      </c>
      <c r="D4369" s="1" t="s">
        <v>762</v>
      </c>
      <c r="E4369" s="1" t="s">
        <v>388</v>
      </c>
      <c r="F4369" s="1" t="s">
        <v>389</v>
      </c>
      <c r="G4369" s="1" t="s">
        <v>387</v>
      </c>
      <c r="H4369" s="1">
        <v>3048</v>
      </c>
      <c r="I4369" s="3">
        <v>46283</v>
      </c>
      <c r="L4369" s="31">
        <v>46283.449017476851</v>
      </c>
      <c r="M4369" s="20">
        <v>12</v>
      </c>
      <c r="N4369" s="1">
        <v>223</v>
      </c>
    </row>
    <row r="4370" spans="1:14" x14ac:dyDescent="0.25">
      <c r="A4370" t="str">
        <f t="shared" si="138"/>
        <v>78762347876234</v>
      </c>
      <c r="B4370" t="str">
        <f t="shared" si="139"/>
        <v>7876234P9060841-M</v>
      </c>
      <c r="C4370" s="1" t="s">
        <v>761</v>
      </c>
      <c r="D4370" s="1" t="s">
        <v>762</v>
      </c>
      <c r="E4370" s="1" t="s">
        <v>388</v>
      </c>
      <c r="F4370" s="1" t="s">
        <v>389</v>
      </c>
      <c r="G4370" s="1" t="s">
        <v>387</v>
      </c>
      <c r="H4370" s="1">
        <v>3048</v>
      </c>
      <c r="I4370" s="3">
        <v>46283</v>
      </c>
      <c r="L4370" s="31">
        <v>46283.449223692129</v>
      </c>
      <c r="M4370" s="20">
        <v>12</v>
      </c>
      <c r="N4370" s="1">
        <v>195</v>
      </c>
    </row>
    <row r="4371" spans="1:14" x14ac:dyDescent="0.25">
      <c r="A4371" t="str">
        <f t="shared" si="138"/>
        <v>78762347876234</v>
      </c>
      <c r="B4371" t="str">
        <f t="shared" si="139"/>
        <v>7876234P9060841-M</v>
      </c>
      <c r="C4371" s="1" t="s">
        <v>761</v>
      </c>
      <c r="D4371" s="1" t="s">
        <v>762</v>
      </c>
      <c r="E4371" s="1" t="s">
        <v>388</v>
      </c>
      <c r="F4371" s="1" t="s">
        <v>389</v>
      </c>
      <c r="G4371" s="1" t="s">
        <v>387</v>
      </c>
      <c r="H4371" s="1">
        <v>3048</v>
      </c>
      <c r="I4371" s="3">
        <v>46283</v>
      </c>
      <c r="L4371" s="31">
        <v>46283.449419594908</v>
      </c>
      <c r="M4371" s="20">
        <v>12</v>
      </c>
      <c r="N4371" s="1">
        <v>224</v>
      </c>
    </row>
    <row r="4372" spans="1:14" x14ac:dyDescent="0.25">
      <c r="A4372" t="str">
        <f t="shared" si="138"/>
        <v>78762347876234</v>
      </c>
      <c r="B4372" t="str">
        <f t="shared" si="139"/>
        <v>7876234P9060841-M</v>
      </c>
      <c r="C4372" s="1" t="s">
        <v>761</v>
      </c>
      <c r="D4372" s="1" t="s">
        <v>762</v>
      </c>
      <c r="E4372" s="1" t="s">
        <v>388</v>
      </c>
      <c r="F4372" s="1" t="s">
        <v>389</v>
      </c>
      <c r="G4372" s="1" t="s">
        <v>387</v>
      </c>
      <c r="H4372" s="1">
        <v>3048</v>
      </c>
      <c r="I4372" s="3">
        <v>46283</v>
      </c>
      <c r="L4372" s="31">
        <v>46283.449592164347</v>
      </c>
      <c r="M4372" s="20">
        <v>12</v>
      </c>
      <c r="N4372" s="1">
        <v>225</v>
      </c>
    </row>
    <row r="4373" spans="1:14" x14ac:dyDescent="0.25">
      <c r="A4373" t="str">
        <f t="shared" si="138"/>
        <v>78762347876234</v>
      </c>
      <c r="B4373" t="str">
        <f t="shared" si="139"/>
        <v>7876234P9060841-M</v>
      </c>
      <c r="C4373" s="1" t="s">
        <v>761</v>
      </c>
      <c r="D4373" s="1" t="s">
        <v>762</v>
      </c>
      <c r="E4373" s="1" t="s">
        <v>388</v>
      </c>
      <c r="F4373" s="1" t="s">
        <v>389</v>
      </c>
      <c r="G4373" s="1" t="s">
        <v>387</v>
      </c>
      <c r="H4373" s="1">
        <v>3048</v>
      </c>
      <c r="I4373" s="3">
        <v>46283</v>
      </c>
      <c r="L4373" s="31">
        <v>46283.44979637731</v>
      </c>
      <c r="M4373" s="20">
        <v>12</v>
      </c>
      <c r="N4373" s="1">
        <v>194</v>
      </c>
    </row>
    <row r="4374" spans="1:14" x14ac:dyDescent="0.25">
      <c r="A4374" t="str">
        <f t="shared" si="138"/>
        <v>78762347876234</v>
      </c>
      <c r="B4374" t="str">
        <f t="shared" si="139"/>
        <v>7876234P9060841-M</v>
      </c>
      <c r="C4374" s="1" t="s">
        <v>761</v>
      </c>
      <c r="D4374" s="1" t="s">
        <v>762</v>
      </c>
      <c r="E4374" s="1" t="s">
        <v>388</v>
      </c>
      <c r="F4374" s="1" t="s">
        <v>389</v>
      </c>
      <c r="G4374" s="1" t="s">
        <v>387</v>
      </c>
      <c r="H4374" s="1">
        <v>3048</v>
      </c>
      <c r="I4374" s="3">
        <v>46283</v>
      </c>
      <c r="L4374" s="31">
        <v>46283.449986689811</v>
      </c>
      <c r="M4374" s="20">
        <v>12</v>
      </c>
      <c r="N4374" s="1">
        <v>230</v>
      </c>
    </row>
    <row r="4375" spans="1:14" x14ac:dyDescent="0.25">
      <c r="A4375" t="str">
        <f t="shared" si="138"/>
        <v>78762347876234</v>
      </c>
      <c r="B4375" t="str">
        <f t="shared" si="139"/>
        <v>7876234P9060841-M</v>
      </c>
      <c r="C4375" s="1" t="s">
        <v>761</v>
      </c>
      <c r="D4375" s="1" t="s">
        <v>762</v>
      </c>
      <c r="E4375" s="1" t="s">
        <v>388</v>
      </c>
      <c r="F4375" s="1" t="s">
        <v>389</v>
      </c>
      <c r="G4375" s="1" t="s">
        <v>387</v>
      </c>
      <c r="H4375" s="1">
        <v>3048</v>
      </c>
      <c r="I4375" s="3">
        <v>46283</v>
      </c>
      <c r="L4375" s="31">
        <v>46283.561262812495</v>
      </c>
      <c r="M4375" s="20">
        <v>12</v>
      </c>
      <c r="N4375" s="1">
        <v>110</v>
      </c>
    </row>
    <row r="4376" spans="1:14" x14ac:dyDescent="0.25">
      <c r="A4376" t="str">
        <f t="shared" si="138"/>
        <v>78762347876234</v>
      </c>
      <c r="B4376" t="str">
        <f t="shared" si="139"/>
        <v>7876234P9060841-M</v>
      </c>
      <c r="C4376" s="1" t="s">
        <v>761</v>
      </c>
      <c r="D4376" s="1" t="s">
        <v>762</v>
      </c>
      <c r="E4376" s="1" t="s">
        <v>388</v>
      </c>
      <c r="F4376" s="1" t="s">
        <v>389</v>
      </c>
      <c r="G4376" s="1" t="s">
        <v>387</v>
      </c>
      <c r="H4376" s="1">
        <v>3048</v>
      </c>
      <c r="I4376" s="3">
        <v>46283</v>
      </c>
      <c r="L4376" s="31">
        <v>46283.561493136571</v>
      </c>
      <c r="M4376" s="20">
        <v>12</v>
      </c>
      <c r="N4376" s="1">
        <v>197</v>
      </c>
    </row>
    <row r="4377" spans="1:14" x14ac:dyDescent="0.25">
      <c r="A4377" t="str">
        <f t="shared" si="138"/>
        <v>78762347876234</v>
      </c>
      <c r="B4377" t="str">
        <f t="shared" si="139"/>
        <v>7876234P9060841-M</v>
      </c>
      <c r="C4377" s="1" t="s">
        <v>761</v>
      </c>
      <c r="D4377" s="1" t="s">
        <v>762</v>
      </c>
      <c r="E4377" s="1" t="s">
        <v>388</v>
      </c>
      <c r="F4377" s="1" t="s">
        <v>389</v>
      </c>
      <c r="G4377" s="1" t="s">
        <v>387</v>
      </c>
      <c r="H4377" s="1">
        <v>3048</v>
      </c>
      <c r="I4377" s="3">
        <v>46283</v>
      </c>
      <c r="L4377" s="31">
        <v>46283.561757326388</v>
      </c>
      <c r="M4377" s="20">
        <v>12</v>
      </c>
      <c r="N4377" s="1">
        <v>229</v>
      </c>
    </row>
    <row r="4378" spans="1:14" x14ac:dyDescent="0.25">
      <c r="A4378" t="str">
        <f t="shared" si="138"/>
        <v>78762347876234</v>
      </c>
      <c r="B4378" t="str">
        <f t="shared" si="139"/>
        <v>7876234P9060841-M</v>
      </c>
      <c r="C4378" s="1" t="s">
        <v>761</v>
      </c>
      <c r="D4378" s="1" t="s">
        <v>762</v>
      </c>
      <c r="E4378" s="1" t="s">
        <v>388</v>
      </c>
      <c r="F4378" s="1" t="s">
        <v>389</v>
      </c>
      <c r="G4378" s="1" t="s">
        <v>387</v>
      </c>
      <c r="H4378" s="1">
        <v>3048</v>
      </c>
      <c r="I4378" s="3">
        <v>46283</v>
      </c>
      <c r="L4378" s="31">
        <v>46283.562616666663</v>
      </c>
      <c r="M4378" s="20">
        <v>12</v>
      </c>
      <c r="N4378" s="1">
        <v>228</v>
      </c>
    </row>
    <row r="4379" spans="1:14" x14ac:dyDescent="0.25">
      <c r="A4379" t="str">
        <f t="shared" si="138"/>
        <v>78762347876234</v>
      </c>
      <c r="B4379" t="str">
        <f t="shared" si="139"/>
        <v>7876234P9060841-M</v>
      </c>
      <c r="C4379" s="1" t="s">
        <v>761</v>
      </c>
      <c r="D4379" s="1" t="s">
        <v>762</v>
      </c>
      <c r="E4379" s="1" t="s">
        <v>388</v>
      </c>
      <c r="F4379" s="1" t="s">
        <v>389</v>
      </c>
      <c r="G4379" s="1" t="s">
        <v>387</v>
      </c>
      <c r="H4379" s="1">
        <v>3048</v>
      </c>
      <c r="I4379" s="3">
        <v>46283</v>
      </c>
      <c r="L4379" s="31">
        <v>46283.576588113421</v>
      </c>
      <c r="M4379" s="20">
        <v>12</v>
      </c>
      <c r="N4379" s="1">
        <v>111</v>
      </c>
    </row>
    <row r="4380" spans="1:14" x14ac:dyDescent="0.25">
      <c r="A4380" t="str">
        <f t="shared" si="138"/>
        <v>78762347876234</v>
      </c>
      <c r="B4380" t="str">
        <f t="shared" si="139"/>
        <v>7876234P9060841-M</v>
      </c>
      <c r="C4380" s="1" t="s">
        <v>761</v>
      </c>
      <c r="D4380" s="1" t="s">
        <v>762</v>
      </c>
      <c r="E4380" s="1" t="s">
        <v>388</v>
      </c>
      <c r="F4380" s="1" t="s">
        <v>389</v>
      </c>
      <c r="G4380" s="1" t="s">
        <v>387</v>
      </c>
      <c r="H4380" s="1">
        <v>3048</v>
      </c>
      <c r="I4380" s="3">
        <v>46283</v>
      </c>
      <c r="L4380" s="31">
        <v>46283.577013043978</v>
      </c>
      <c r="M4380" s="20">
        <v>12</v>
      </c>
      <c r="N4380" s="1">
        <v>193</v>
      </c>
    </row>
    <row r="4381" spans="1:14" x14ac:dyDescent="0.25">
      <c r="A4381" t="str">
        <f t="shared" si="138"/>
        <v>78762347876234</v>
      </c>
      <c r="B4381" t="str">
        <f t="shared" si="139"/>
        <v>7876234P9060841-M</v>
      </c>
      <c r="C4381" s="1" t="s">
        <v>761</v>
      </c>
      <c r="D4381" s="1" t="s">
        <v>762</v>
      </c>
      <c r="E4381" s="1" t="s">
        <v>388</v>
      </c>
      <c r="F4381" s="1" t="s">
        <v>389</v>
      </c>
      <c r="G4381" s="1" t="s">
        <v>387</v>
      </c>
      <c r="H4381" s="1">
        <v>3048</v>
      </c>
      <c r="I4381" s="3">
        <v>46283</v>
      </c>
      <c r="L4381" s="31">
        <v>46283.58599363426</v>
      </c>
      <c r="M4381" s="20">
        <v>12</v>
      </c>
      <c r="N4381" s="1">
        <v>84</v>
      </c>
    </row>
    <row r="4382" spans="1:14" x14ac:dyDescent="0.25">
      <c r="A4382" t="str">
        <f t="shared" si="138"/>
        <v>78762347876234</v>
      </c>
      <c r="B4382" t="str">
        <f t="shared" si="139"/>
        <v>7876234P9060841-M</v>
      </c>
      <c r="C4382" s="1" t="s">
        <v>761</v>
      </c>
      <c r="D4382" s="1" t="s">
        <v>762</v>
      </c>
      <c r="E4382" s="1" t="s">
        <v>388</v>
      </c>
      <c r="F4382" s="1" t="s">
        <v>389</v>
      </c>
      <c r="G4382" s="1" t="s">
        <v>387</v>
      </c>
      <c r="H4382" s="1">
        <v>3048</v>
      </c>
      <c r="I4382" s="3">
        <v>46283</v>
      </c>
      <c r="L4382" s="31">
        <v>46283.5861540162</v>
      </c>
      <c r="M4382" s="20">
        <v>12</v>
      </c>
      <c r="N4382" s="1">
        <v>231</v>
      </c>
    </row>
    <row r="4383" spans="1:14" x14ac:dyDescent="0.25">
      <c r="A4383" t="str">
        <f t="shared" si="138"/>
        <v>78762347876234</v>
      </c>
      <c r="B4383" t="str">
        <f t="shared" si="139"/>
        <v>7876234P9060841-M</v>
      </c>
      <c r="C4383" s="1" t="s">
        <v>761</v>
      </c>
      <c r="D4383" s="1" t="s">
        <v>762</v>
      </c>
      <c r="E4383" s="1" t="s">
        <v>388</v>
      </c>
      <c r="F4383" s="1" t="s">
        <v>389</v>
      </c>
      <c r="G4383" s="1" t="s">
        <v>387</v>
      </c>
      <c r="H4383" s="1">
        <v>3048</v>
      </c>
      <c r="I4383" s="3">
        <v>46283</v>
      </c>
      <c r="L4383" s="31">
        <v>46283.610498414353</v>
      </c>
      <c r="M4383" s="20">
        <v>12</v>
      </c>
      <c r="N4383" s="1">
        <v>113</v>
      </c>
    </row>
    <row r="4384" spans="1:14" x14ac:dyDescent="0.25">
      <c r="A4384" t="str">
        <f t="shared" si="138"/>
        <v>78762347876234</v>
      </c>
      <c r="B4384" t="str">
        <f t="shared" si="139"/>
        <v>7876234P9060841-M</v>
      </c>
      <c r="C4384" s="1" t="s">
        <v>761</v>
      </c>
      <c r="D4384" s="1" t="s">
        <v>762</v>
      </c>
      <c r="E4384" s="1" t="s">
        <v>388</v>
      </c>
      <c r="F4384" s="1" t="s">
        <v>389</v>
      </c>
      <c r="G4384" s="1" t="s">
        <v>387</v>
      </c>
      <c r="H4384" s="1">
        <v>3048</v>
      </c>
      <c r="I4384" s="3">
        <v>46283</v>
      </c>
      <c r="L4384" s="31">
        <v>46283.610658483791</v>
      </c>
      <c r="M4384" s="20">
        <v>12</v>
      </c>
      <c r="N4384" s="1">
        <v>196</v>
      </c>
    </row>
    <row r="4385" spans="1:14" x14ac:dyDescent="0.25">
      <c r="A4385" t="str">
        <f t="shared" si="138"/>
        <v>78762347876234</v>
      </c>
      <c r="B4385" t="str">
        <f t="shared" si="139"/>
        <v>7876234P9060841-M</v>
      </c>
      <c r="C4385" s="1" t="s">
        <v>761</v>
      </c>
      <c r="D4385" s="1" t="s">
        <v>762</v>
      </c>
      <c r="E4385" s="1" t="s">
        <v>388</v>
      </c>
      <c r="F4385" s="1" t="s">
        <v>389</v>
      </c>
      <c r="G4385" s="1" t="s">
        <v>387</v>
      </c>
      <c r="H4385" s="1">
        <v>3048</v>
      </c>
      <c r="I4385" s="3">
        <v>46283</v>
      </c>
      <c r="L4385" s="31">
        <v>46283.610893518518</v>
      </c>
      <c r="M4385" s="20">
        <v>12</v>
      </c>
      <c r="N4385" s="1">
        <v>149</v>
      </c>
    </row>
    <row r="4386" spans="1:14" x14ac:dyDescent="0.25">
      <c r="A4386" t="str">
        <f t="shared" si="138"/>
        <v>78762347876234</v>
      </c>
      <c r="B4386" t="str">
        <f t="shared" si="139"/>
        <v>7876234P9060841-M</v>
      </c>
      <c r="C4386" s="1" t="s">
        <v>761</v>
      </c>
      <c r="D4386" s="1" t="s">
        <v>762</v>
      </c>
      <c r="E4386" s="1" t="s">
        <v>388</v>
      </c>
      <c r="F4386" s="1" t="s">
        <v>389</v>
      </c>
      <c r="G4386" s="1" t="s">
        <v>387</v>
      </c>
      <c r="H4386" s="1">
        <v>3048</v>
      </c>
      <c r="I4386" s="3">
        <v>46283</v>
      </c>
      <c r="L4386" s="31">
        <v>46283.611448263888</v>
      </c>
      <c r="M4386" s="20">
        <v>12</v>
      </c>
      <c r="N4386" s="1">
        <v>199</v>
      </c>
    </row>
    <row r="4387" spans="1:14" x14ac:dyDescent="0.25">
      <c r="A4387" t="str">
        <f t="shared" si="138"/>
        <v>78762347876234</v>
      </c>
      <c r="B4387" t="str">
        <f t="shared" si="139"/>
        <v>7876234P9060841-M</v>
      </c>
      <c r="C4387" s="1" t="s">
        <v>761</v>
      </c>
      <c r="D4387" s="1" t="s">
        <v>762</v>
      </c>
      <c r="E4387" s="1" t="s">
        <v>388</v>
      </c>
      <c r="F4387" s="1" t="s">
        <v>389</v>
      </c>
      <c r="G4387" s="1" t="s">
        <v>387</v>
      </c>
      <c r="H4387" s="1">
        <v>3048</v>
      </c>
      <c r="I4387" s="3">
        <v>46283</v>
      </c>
      <c r="L4387" s="31">
        <v>46283.623234606479</v>
      </c>
      <c r="M4387" s="20">
        <v>12</v>
      </c>
      <c r="N4387" s="1">
        <v>227</v>
      </c>
    </row>
    <row r="4388" spans="1:14" x14ac:dyDescent="0.25">
      <c r="A4388" t="str">
        <f t="shared" si="138"/>
        <v>78762347876234</v>
      </c>
      <c r="B4388" t="str">
        <f t="shared" si="139"/>
        <v>7876234P9060841-M</v>
      </c>
      <c r="C4388" s="1" t="s">
        <v>761</v>
      </c>
      <c r="D4388" s="1" t="s">
        <v>762</v>
      </c>
      <c r="E4388" s="1" t="s">
        <v>388</v>
      </c>
      <c r="F4388" s="1" t="s">
        <v>389</v>
      </c>
      <c r="G4388" s="1" t="s">
        <v>387</v>
      </c>
      <c r="H4388" s="1">
        <v>3048</v>
      </c>
      <c r="I4388" s="3">
        <v>46283</v>
      </c>
      <c r="L4388" s="31">
        <v>46283.623409224536</v>
      </c>
      <c r="M4388" s="20">
        <v>12</v>
      </c>
      <c r="N4388" s="1">
        <v>198</v>
      </c>
    </row>
    <row r="4389" spans="1:14" x14ac:dyDescent="0.25">
      <c r="A4389" t="str">
        <f t="shared" si="138"/>
        <v>78762347876234</v>
      </c>
      <c r="B4389" t="str">
        <f t="shared" si="139"/>
        <v>7876234P9060841-M</v>
      </c>
      <c r="C4389" s="1" t="s">
        <v>761</v>
      </c>
      <c r="D4389" s="1" t="s">
        <v>762</v>
      </c>
      <c r="E4389" s="1" t="s">
        <v>388</v>
      </c>
      <c r="F4389" s="1" t="s">
        <v>389</v>
      </c>
      <c r="G4389" s="1" t="s">
        <v>387</v>
      </c>
      <c r="H4389" s="1">
        <v>3048</v>
      </c>
      <c r="I4389" s="3">
        <v>46283</v>
      </c>
      <c r="L4389" s="31">
        <v>46283.623622141204</v>
      </c>
      <c r="M4389" s="20">
        <v>12</v>
      </c>
      <c r="N4389" s="1">
        <v>174</v>
      </c>
    </row>
    <row r="4390" spans="1:14" x14ac:dyDescent="0.25">
      <c r="A4390" t="str">
        <f t="shared" si="138"/>
        <v>78762347876234</v>
      </c>
      <c r="B4390" t="str">
        <f t="shared" si="139"/>
        <v>7876234P9060841-M</v>
      </c>
      <c r="C4390" s="1" t="s">
        <v>761</v>
      </c>
      <c r="D4390" s="1" t="s">
        <v>762</v>
      </c>
      <c r="E4390" s="1" t="s">
        <v>388</v>
      </c>
      <c r="F4390" s="1" t="s">
        <v>389</v>
      </c>
      <c r="G4390" s="1" t="s">
        <v>387</v>
      </c>
      <c r="H4390" s="1">
        <v>3048</v>
      </c>
      <c r="I4390" s="3">
        <v>46283</v>
      </c>
      <c r="L4390" s="31">
        <v>46283.653043634258</v>
      </c>
      <c r="M4390" s="20">
        <v>12</v>
      </c>
      <c r="N4390" s="1">
        <v>112</v>
      </c>
    </row>
    <row r="4391" spans="1:14" x14ac:dyDescent="0.25">
      <c r="A4391" t="str">
        <f t="shared" si="138"/>
        <v>78762347876234</v>
      </c>
      <c r="B4391" t="str">
        <f t="shared" si="139"/>
        <v>7876234P9060841-M</v>
      </c>
      <c r="C4391" s="1" t="s">
        <v>761</v>
      </c>
      <c r="D4391" s="1" t="s">
        <v>762</v>
      </c>
      <c r="E4391" s="1" t="s">
        <v>388</v>
      </c>
      <c r="F4391" s="1" t="s">
        <v>389</v>
      </c>
      <c r="G4391" s="1" t="s">
        <v>387</v>
      </c>
      <c r="H4391" s="1">
        <v>3048</v>
      </c>
      <c r="I4391" s="3">
        <v>46283</v>
      </c>
      <c r="L4391" s="31">
        <v>46283.669656516198</v>
      </c>
      <c r="M4391" s="20">
        <v>12</v>
      </c>
      <c r="N4391" s="1">
        <v>226</v>
      </c>
    </row>
    <row r="4392" spans="1:14" x14ac:dyDescent="0.25">
      <c r="A4392" t="str">
        <f t="shared" si="138"/>
        <v>78762347876234</v>
      </c>
      <c r="B4392" t="str">
        <f t="shared" si="139"/>
        <v>7876234P9060841-M</v>
      </c>
      <c r="C4392" s="1" t="s">
        <v>761</v>
      </c>
      <c r="D4392" s="1" t="s">
        <v>762</v>
      </c>
      <c r="E4392" s="1" t="s">
        <v>388</v>
      </c>
      <c r="F4392" s="1" t="s">
        <v>389</v>
      </c>
      <c r="G4392" s="1" t="s">
        <v>387</v>
      </c>
      <c r="H4392" s="1">
        <v>3048</v>
      </c>
      <c r="I4392" s="3">
        <v>46283</v>
      </c>
      <c r="L4392" s="31">
        <v>46283.671103900459</v>
      </c>
      <c r="M4392" s="20">
        <v>12</v>
      </c>
      <c r="N4392" s="1">
        <v>135</v>
      </c>
    </row>
    <row r="4393" spans="1:14" x14ac:dyDescent="0.25">
      <c r="A4393" t="str">
        <f t="shared" si="138"/>
        <v>78762347876234</v>
      </c>
      <c r="B4393" t="str">
        <f t="shared" si="139"/>
        <v>7876234P9060841-M</v>
      </c>
      <c r="C4393" s="1" t="s">
        <v>761</v>
      </c>
      <c r="D4393" s="1" t="s">
        <v>762</v>
      </c>
      <c r="E4393" s="1" t="s">
        <v>388</v>
      </c>
      <c r="F4393" s="1" t="s">
        <v>389</v>
      </c>
      <c r="G4393" s="1" t="s">
        <v>387</v>
      </c>
      <c r="H4393" s="1">
        <v>3048</v>
      </c>
      <c r="I4393" s="3">
        <v>46283</v>
      </c>
      <c r="L4393" s="31">
        <v>46283.678884143519</v>
      </c>
      <c r="M4393" s="20">
        <v>12</v>
      </c>
      <c r="N4393" s="1">
        <v>137</v>
      </c>
    </row>
    <row r="4394" spans="1:14" x14ac:dyDescent="0.25">
      <c r="A4394" t="str">
        <f t="shared" si="138"/>
        <v>78762347876234</v>
      </c>
      <c r="B4394" t="str">
        <f t="shared" si="139"/>
        <v>7876234P9060841-M</v>
      </c>
      <c r="C4394" s="1" t="s">
        <v>761</v>
      </c>
      <c r="D4394" s="1" t="s">
        <v>762</v>
      </c>
      <c r="E4394" s="1" t="s">
        <v>388</v>
      </c>
      <c r="F4394" s="1" t="s">
        <v>389</v>
      </c>
      <c r="G4394" s="1" t="s">
        <v>387</v>
      </c>
      <c r="H4394" s="1">
        <v>3048</v>
      </c>
      <c r="I4394" s="3">
        <v>46283</v>
      </c>
      <c r="L4394" s="31">
        <v>46283.679017858791</v>
      </c>
      <c r="M4394" s="20">
        <v>12</v>
      </c>
      <c r="N4394" s="1">
        <v>136</v>
      </c>
    </row>
    <row r="4395" spans="1:14" x14ac:dyDescent="0.25">
      <c r="A4395" t="str">
        <f t="shared" si="138"/>
        <v>78762347876234</v>
      </c>
      <c r="B4395" t="str">
        <f t="shared" si="139"/>
        <v>7876234P9060841-M</v>
      </c>
      <c r="C4395" s="1" t="s">
        <v>761</v>
      </c>
      <c r="D4395" s="1" t="s">
        <v>762</v>
      </c>
      <c r="E4395" s="1" t="s">
        <v>388</v>
      </c>
      <c r="F4395" s="1" t="s">
        <v>389</v>
      </c>
      <c r="G4395" s="1" t="s">
        <v>387</v>
      </c>
      <c r="H4395" s="1">
        <v>3048</v>
      </c>
      <c r="I4395" s="3">
        <v>46283</v>
      </c>
      <c r="L4395" s="31">
        <v>46283.685912766203</v>
      </c>
      <c r="M4395" s="20">
        <v>12</v>
      </c>
      <c r="N4395" s="1">
        <v>202</v>
      </c>
    </row>
    <row r="4396" spans="1:14" x14ac:dyDescent="0.25">
      <c r="A4396" t="str">
        <f t="shared" si="138"/>
        <v>78762347876234</v>
      </c>
      <c r="B4396" t="str">
        <f t="shared" si="139"/>
        <v>7876234P9060841-M</v>
      </c>
      <c r="C4396" s="1" t="s">
        <v>761</v>
      </c>
      <c r="D4396" s="1" t="s">
        <v>762</v>
      </c>
      <c r="E4396" s="1" t="s">
        <v>388</v>
      </c>
      <c r="F4396" s="1" t="s">
        <v>389</v>
      </c>
      <c r="G4396" s="1" t="s">
        <v>387</v>
      </c>
      <c r="H4396" s="1">
        <v>3048</v>
      </c>
      <c r="I4396" s="3">
        <v>46283</v>
      </c>
      <c r="L4396" s="31">
        <v>46283.691358946759</v>
      </c>
      <c r="M4396" s="20">
        <v>12</v>
      </c>
      <c r="N4396" s="1">
        <v>200</v>
      </c>
    </row>
    <row r="4397" spans="1:14" x14ac:dyDescent="0.25">
      <c r="A4397" t="str">
        <f t="shared" si="138"/>
        <v>78807127880712</v>
      </c>
      <c r="B4397" t="str">
        <f t="shared" si="139"/>
        <v>7880712G603376-M</v>
      </c>
      <c r="C4397" s="1" t="s">
        <v>766</v>
      </c>
      <c r="D4397" s="1" t="s">
        <v>767</v>
      </c>
      <c r="E4397" s="1" t="s">
        <v>388</v>
      </c>
      <c r="F4397" s="1" t="s">
        <v>389</v>
      </c>
      <c r="G4397" s="1" t="s">
        <v>387</v>
      </c>
      <c r="H4397" s="1">
        <v>150</v>
      </c>
      <c r="I4397" s="3">
        <v>46283</v>
      </c>
      <c r="L4397" s="31">
        <v>46283.561928553238</v>
      </c>
      <c r="M4397" s="20">
        <v>12</v>
      </c>
      <c r="N4397" s="1">
        <v>9</v>
      </c>
    </row>
    <row r="4398" spans="1:14" x14ac:dyDescent="0.25">
      <c r="A4398" t="str">
        <f t="shared" si="138"/>
        <v>78807127880712</v>
      </c>
      <c r="B4398" t="str">
        <f t="shared" si="139"/>
        <v>7880712G603376-M</v>
      </c>
      <c r="C4398" s="1" t="s">
        <v>766</v>
      </c>
      <c r="D4398" s="1" t="s">
        <v>767</v>
      </c>
      <c r="E4398" s="1" t="s">
        <v>388</v>
      </c>
      <c r="F4398" s="1" t="s">
        <v>389</v>
      </c>
      <c r="G4398" s="1" t="s">
        <v>387</v>
      </c>
      <c r="H4398" s="1">
        <v>150</v>
      </c>
      <c r="I4398" s="3">
        <v>46283</v>
      </c>
      <c r="L4398" s="31">
        <v>46283.562390358791</v>
      </c>
      <c r="M4398" s="20">
        <v>12</v>
      </c>
      <c r="N4398" s="1">
        <v>8</v>
      </c>
    </row>
    <row r="4399" spans="1:14" x14ac:dyDescent="0.25">
      <c r="A4399" t="str">
        <f t="shared" si="138"/>
        <v>78807127880712</v>
      </c>
      <c r="B4399" t="str">
        <f t="shared" si="139"/>
        <v>7880712G603376-M</v>
      </c>
      <c r="C4399" s="1" t="s">
        <v>766</v>
      </c>
      <c r="D4399" s="1" t="s">
        <v>767</v>
      </c>
      <c r="E4399" s="1" t="s">
        <v>388</v>
      </c>
      <c r="F4399" s="1" t="s">
        <v>389</v>
      </c>
      <c r="G4399" s="1" t="s">
        <v>387</v>
      </c>
      <c r="H4399" s="1">
        <v>150</v>
      </c>
      <c r="I4399" s="3">
        <v>46283</v>
      </c>
      <c r="L4399" s="31">
        <v>46283.592351620369</v>
      </c>
      <c r="M4399" s="20">
        <v>12</v>
      </c>
      <c r="N4399" s="1">
        <v>7</v>
      </c>
    </row>
    <row r="4400" spans="1:14" x14ac:dyDescent="0.25">
      <c r="A4400" t="str">
        <f t="shared" si="138"/>
        <v>78807127880712</v>
      </c>
      <c r="B4400" t="str">
        <f t="shared" si="139"/>
        <v>7880712G603376-M</v>
      </c>
      <c r="C4400" s="1" t="s">
        <v>766</v>
      </c>
      <c r="D4400" s="1" t="s">
        <v>767</v>
      </c>
      <c r="E4400" s="1" t="s">
        <v>388</v>
      </c>
      <c r="F4400" s="1" t="s">
        <v>389</v>
      </c>
      <c r="G4400" s="1" t="s">
        <v>387</v>
      </c>
      <c r="H4400" s="1">
        <v>150</v>
      </c>
      <c r="I4400" s="3">
        <v>46283</v>
      </c>
      <c r="L4400" s="31">
        <v>46283.592567013889</v>
      </c>
      <c r="M4400" s="20">
        <v>12</v>
      </c>
      <c r="N4400" s="1">
        <v>10</v>
      </c>
    </row>
    <row r="4401" spans="1:14" x14ac:dyDescent="0.25">
      <c r="A4401" t="str">
        <f t="shared" si="138"/>
        <v>78807127880712</v>
      </c>
      <c r="B4401" t="str">
        <f t="shared" si="139"/>
        <v>7880712G603376-M</v>
      </c>
      <c r="C4401" s="1" t="s">
        <v>766</v>
      </c>
      <c r="D4401" s="1" t="s">
        <v>767</v>
      </c>
      <c r="E4401" s="1" t="s">
        <v>388</v>
      </c>
      <c r="F4401" s="1" t="s">
        <v>389</v>
      </c>
      <c r="G4401" s="1" t="s">
        <v>387</v>
      </c>
      <c r="H4401" s="1">
        <v>150</v>
      </c>
      <c r="I4401" s="3">
        <v>46283</v>
      </c>
      <c r="L4401" s="31">
        <v>46283.606190162034</v>
      </c>
      <c r="M4401" s="20">
        <v>6</v>
      </c>
      <c r="N4401" s="1">
        <v>15</v>
      </c>
    </row>
    <row r="4402" spans="1:14" x14ac:dyDescent="0.25">
      <c r="A4402" t="str">
        <f t="shared" si="138"/>
        <v>78807127880712</v>
      </c>
      <c r="B4402" t="str">
        <f t="shared" si="139"/>
        <v>7880712G603376-M</v>
      </c>
      <c r="C4402" s="1" t="s">
        <v>766</v>
      </c>
      <c r="D4402" s="1" t="s">
        <v>767</v>
      </c>
      <c r="E4402" s="1" t="s">
        <v>388</v>
      </c>
      <c r="F4402" s="1" t="s">
        <v>389</v>
      </c>
      <c r="G4402" s="1" t="s">
        <v>387</v>
      </c>
      <c r="H4402" s="1">
        <v>150</v>
      </c>
      <c r="I4402" s="3">
        <v>46283</v>
      </c>
      <c r="L4402" s="31">
        <v>46283.614440624995</v>
      </c>
      <c r="M4402" s="20">
        <v>12</v>
      </c>
      <c r="N4402" s="1">
        <v>2</v>
      </c>
    </row>
    <row r="4403" spans="1:14" x14ac:dyDescent="0.25">
      <c r="A4403" t="str">
        <f t="shared" si="138"/>
        <v>78807127880712</v>
      </c>
      <c r="B4403" t="str">
        <f t="shared" si="139"/>
        <v>7880712G603376-M</v>
      </c>
      <c r="C4403" s="1" t="s">
        <v>766</v>
      </c>
      <c r="D4403" s="1" t="s">
        <v>767</v>
      </c>
      <c r="E4403" s="1" t="s">
        <v>388</v>
      </c>
      <c r="F4403" s="1" t="s">
        <v>389</v>
      </c>
      <c r="G4403" s="1" t="s">
        <v>387</v>
      </c>
      <c r="H4403" s="1">
        <v>150</v>
      </c>
      <c r="I4403" s="3">
        <v>46283</v>
      </c>
      <c r="L4403" s="31">
        <v>46283.614632951387</v>
      </c>
      <c r="M4403" s="20">
        <v>6</v>
      </c>
      <c r="N4403" s="1">
        <v>12</v>
      </c>
    </row>
    <row r="4404" spans="1:14" x14ac:dyDescent="0.25">
      <c r="A4404" t="str">
        <f t="shared" si="138"/>
        <v>78807127880712</v>
      </c>
      <c r="B4404" t="str">
        <f t="shared" si="139"/>
        <v>7880712G603376-M</v>
      </c>
      <c r="C4404" s="1" t="s">
        <v>766</v>
      </c>
      <c r="D4404" s="1" t="s">
        <v>767</v>
      </c>
      <c r="E4404" s="1" t="s">
        <v>388</v>
      </c>
      <c r="F4404" s="1" t="s">
        <v>389</v>
      </c>
      <c r="G4404" s="1" t="s">
        <v>387</v>
      </c>
      <c r="H4404" s="1">
        <v>150</v>
      </c>
      <c r="I4404" s="3">
        <v>46283</v>
      </c>
      <c r="L4404" s="31">
        <v>46283.621590891205</v>
      </c>
      <c r="M4404" s="20">
        <v>12</v>
      </c>
      <c r="N4404" s="1">
        <v>4</v>
      </c>
    </row>
    <row r="4405" spans="1:14" x14ac:dyDescent="0.25">
      <c r="A4405" t="str">
        <f t="shared" si="138"/>
        <v>78845767884576</v>
      </c>
      <c r="B4405" t="str">
        <f t="shared" si="139"/>
        <v>7884576G603376-M</v>
      </c>
      <c r="C4405" s="1" t="s">
        <v>766</v>
      </c>
      <c r="D4405" s="1" t="s">
        <v>770</v>
      </c>
      <c r="E4405" s="1" t="s">
        <v>382</v>
      </c>
      <c r="F4405" s="1" t="s">
        <v>383</v>
      </c>
      <c r="G4405" s="1" t="s">
        <v>395</v>
      </c>
      <c r="H4405" s="1">
        <v>192</v>
      </c>
      <c r="I4405" s="3">
        <v>46283</v>
      </c>
      <c r="L4405" s="31">
        <v>46283.614037997686</v>
      </c>
      <c r="M4405" s="20">
        <v>6</v>
      </c>
      <c r="N4405" s="1">
        <v>18</v>
      </c>
    </row>
    <row r="4406" spans="1:14" x14ac:dyDescent="0.25">
      <c r="A4406" t="str">
        <f t="shared" si="138"/>
        <v>78845767884576</v>
      </c>
      <c r="B4406" t="str">
        <f t="shared" si="139"/>
        <v>7884576G603376-M</v>
      </c>
      <c r="C4406" s="1" t="s">
        <v>766</v>
      </c>
      <c r="D4406" s="1" t="s">
        <v>770</v>
      </c>
      <c r="E4406" s="1" t="s">
        <v>382</v>
      </c>
      <c r="F4406" s="1" t="s">
        <v>383</v>
      </c>
      <c r="G4406" s="1" t="s">
        <v>395</v>
      </c>
      <c r="H4406" s="1">
        <v>192</v>
      </c>
      <c r="I4406" s="3">
        <v>46283</v>
      </c>
      <c r="L4406" s="31">
        <v>46283.61810162037</v>
      </c>
      <c r="M4406" s="20">
        <v>6</v>
      </c>
      <c r="N4406" s="1">
        <v>15</v>
      </c>
    </row>
    <row r="4407" spans="1:14" x14ac:dyDescent="0.25">
      <c r="A4407" t="str">
        <f t="shared" si="138"/>
        <v>C135361C135361</v>
      </c>
      <c r="B4407" t="str">
        <f t="shared" si="139"/>
        <v>C135361W515S7OK-D</v>
      </c>
      <c r="C4407" s="1" t="s">
        <v>96</v>
      </c>
      <c r="D4407" s="1" t="s">
        <v>733</v>
      </c>
      <c r="E4407" s="1" t="s">
        <v>397</v>
      </c>
      <c r="F4407" s="1" t="s">
        <v>400</v>
      </c>
      <c r="G4407" s="1" t="s">
        <v>401</v>
      </c>
      <c r="H4407" s="1">
        <v>78</v>
      </c>
      <c r="I4407" s="3">
        <v>46283</v>
      </c>
      <c r="L4407" s="31">
        <v>46283.708678391202</v>
      </c>
      <c r="M4407" s="20">
        <v>6</v>
      </c>
      <c r="N4407" s="1">
        <v>17</v>
      </c>
    </row>
    <row r="4408" spans="1:14" x14ac:dyDescent="0.25">
      <c r="A4408" t="str">
        <f t="shared" si="138"/>
        <v>C135361C135361</v>
      </c>
      <c r="B4408" t="str">
        <f t="shared" si="139"/>
        <v>C135361W515S7OK-D</v>
      </c>
      <c r="C4408" s="1" t="s">
        <v>96</v>
      </c>
      <c r="D4408" s="1" t="s">
        <v>733</v>
      </c>
      <c r="E4408" s="1" t="s">
        <v>397</v>
      </c>
      <c r="F4408" s="1" t="s">
        <v>400</v>
      </c>
      <c r="G4408" s="1" t="s">
        <v>401</v>
      </c>
      <c r="H4408" s="1">
        <v>78</v>
      </c>
      <c r="I4408" s="3">
        <v>46283</v>
      </c>
      <c r="L4408" s="31">
        <v>46283.709200775462</v>
      </c>
      <c r="M4408" s="20">
        <v>6</v>
      </c>
      <c r="N4408" s="1">
        <v>18</v>
      </c>
    </row>
    <row r="4409" spans="1:14" x14ac:dyDescent="0.25">
      <c r="A4409" t="str">
        <f t="shared" si="138"/>
        <v>C135361C135361</v>
      </c>
      <c r="B4409" t="str">
        <f t="shared" si="139"/>
        <v>C135361W515S7OK-D</v>
      </c>
      <c r="C4409" s="1" t="s">
        <v>96</v>
      </c>
      <c r="D4409" s="1" t="s">
        <v>733</v>
      </c>
      <c r="E4409" s="1" t="s">
        <v>397</v>
      </c>
      <c r="F4409" s="1" t="s">
        <v>400</v>
      </c>
      <c r="G4409" s="1" t="s">
        <v>401</v>
      </c>
      <c r="H4409" s="1">
        <v>78</v>
      </c>
      <c r="I4409" s="3">
        <v>46283</v>
      </c>
      <c r="L4409" s="31">
        <v>46283.716193981476</v>
      </c>
      <c r="M4409" s="20">
        <v>6</v>
      </c>
      <c r="N4409" s="1">
        <v>20</v>
      </c>
    </row>
    <row r="4410" spans="1:14" x14ac:dyDescent="0.25">
      <c r="A4410" t="str">
        <f t="shared" si="138"/>
        <v>C135361C135361</v>
      </c>
      <c r="B4410" t="str">
        <f t="shared" si="139"/>
        <v>C135361W515S7OK-D</v>
      </c>
      <c r="C4410" s="1" t="s">
        <v>96</v>
      </c>
      <c r="D4410" s="1" t="s">
        <v>733</v>
      </c>
      <c r="E4410" s="1" t="s">
        <v>397</v>
      </c>
      <c r="F4410" s="1" t="s">
        <v>400</v>
      </c>
      <c r="G4410" s="1" t="s">
        <v>401</v>
      </c>
      <c r="H4410" s="1">
        <v>78</v>
      </c>
      <c r="I4410" s="3">
        <v>46283</v>
      </c>
      <c r="L4410" s="31">
        <v>46283.734887303239</v>
      </c>
      <c r="M4410" s="20">
        <v>6</v>
      </c>
      <c r="N4410" s="1">
        <v>14</v>
      </c>
    </row>
    <row r="4411" spans="1:14" x14ac:dyDescent="0.25">
      <c r="A4411" t="str">
        <f t="shared" si="138"/>
        <v>C135361C135361</v>
      </c>
      <c r="B4411" t="str">
        <f t="shared" si="139"/>
        <v>C135361W515S7OK-D</v>
      </c>
      <c r="C4411" s="1" t="s">
        <v>96</v>
      </c>
      <c r="D4411" s="1" t="s">
        <v>733</v>
      </c>
      <c r="E4411" s="1" t="s">
        <v>397</v>
      </c>
      <c r="F4411" s="1" t="s">
        <v>400</v>
      </c>
      <c r="G4411" s="1" t="s">
        <v>401</v>
      </c>
      <c r="H4411" s="1">
        <v>78</v>
      </c>
      <c r="I4411" s="3">
        <v>46283</v>
      </c>
      <c r="L4411" s="31">
        <v>46283.735342164349</v>
      </c>
      <c r="M4411" s="20">
        <v>6</v>
      </c>
      <c r="N4411" s="1">
        <v>16</v>
      </c>
    </row>
    <row r="4412" spans="1:14" x14ac:dyDescent="0.25">
      <c r="A4412" t="str">
        <f t="shared" si="138"/>
        <v>C135361C135361</v>
      </c>
      <c r="B4412" t="str">
        <f t="shared" si="139"/>
        <v>C135361W515S7OK-D</v>
      </c>
      <c r="C4412" s="1" t="s">
        <v>96</v>
      </c>
      <c r="D4412" s="1" t="s">
        <v>733</v>
      </c>
      <c r="E4412" s="1" t="s">
        <v>397</v>
      </c>
      <c r="F4412" s="1" t="s">
        <v>400</v>
      </c>
      <c r="G4412" s="1" t="s">
        <v>401</v>
      </c>
      <c r="H4412" s="1">
        <v>78</v>
      </c>
      <c r="I4412" s="3">
        <v>46283</v>
      </c>
      <c r="L4412" s="31">
        <v>46283.739018020831</v>
      </c>
      <c r="M4412" s="20">
        <v>12</v>
      </c>
      <c r="N4412" s="1">
        <v>11</v>
      </c>
    </row>
    <row r="4413" spans="1:14" x14ac:dyDescent="0.25">
      <c r="A4413" t="str">
        <f t="shared" si="138"/>
        <v>C135361C135361</v>
      </c>
      <c r="B4413" t="str">
        <f t="shared" si="139"/>
        <v>C135361W515S7OK-D</v>
      </c>
      <c r="C4413" s="1" t="s">
        <v>96</v>
      </c>
      <c r="D4413" s="1" t="s">
        <v>733</v>
      </c>
      <c r="E4413" s="1" t="s">
        <v>397</v>
      </c>
      <c r="F4413" s="1" t="s">
        <v>400</v>
      </c>
      <c r="G4413" s="1" t="s">
        <v>401</v>
      </c>
      <c r="H4413" s="1">
        <v>78</v>
      </c>
      <c r="I4413" s="3">
        <v>46283</v>
      </c>
      <c r="L4413" s="31">
        <v>46283.739248148144</v>
      </c>
      <c r="M4413" s="20">
        <v>12</v>
      </c>
      <c r="N4413" s="1">
        <v>12</v>
      </c>
    </row>
    <row r="4414" spans="1:14" x14ac:dyDescent="0.25">
      <c r="A4414" t="str">
        <f t="shared" si="138"/>
        <v>C135880C135880</v>
      </c>
      <c r="B4414" t="str">
        <f t="shared" si="139"/>
        <v>C135880G6035EQ-W</v>
      </c>
      <c r="C4414" s="1" t="s">
        <v>652</v>
      </c>
      <c r="D4414" s="1" t="s">
        <v>725</v>
      </c>
      <c r="E4414" s="1" t="s">
        <v>397</v>
      </c>
      <c r="F4414" s="1" t="s">
        <v>400</v>
      </c>
      <c r="G4414" s="1" t="s">
        <v>401</v>
      </c>
      <c r="H4414" s="1">
        <v>300</v>
      </c>
      <c r="I4414" s="3">
        <v>46283</v>
      </c>
      <c r="J4414" s="3">
        <v>46289</v>
      </c>
      <c r="K4414" s="3" t="s">
        <v>2374</v>
      </c>
      <c r="L4414" s="31">
        <v>46283.439765821757</v>
      </c>
      <c r="M4414" s="20">
        <v>12</v>
      </c>
      <c r="N4414" s="1">
        <v>38</v>
      </c>
    </row>
    <row r="4415" spans="1:14" x14ac:dyDescent="0.25">
      <c r="A4415" t="str">
        <f t="shared" si="138"/>
        <v>C135880C135880</v>
      </c>
      <c r="B4415" t="str">
        <f t="shared" si="139"/>
        <v>C135880G6035EQ-W</v>
      </c>
      <c r="C4415" s="1" t="s">
        <v>652</v>
      </c>
      <c r="D4415" s="1" t="s">
        <v>725</v>
      </c>
      <c r="E4415" s="1" t="s">
        <v>397</v>
      </c>
      <c r="F4415" s="1" t="s">
        <v>400</v>
      </c>
      <c r="G4415" s="1" t="s">
        <v>401</v>
      </c>
      <c r="H4415" s="1">
        <v>300</v>
      </c>
      <c r="I4415" s="3">
        <v>46283</v>
      </c>
      <c r="J4415" s="3">
        <v>46289</v>
      </c>
      <c r="K4415" s="3" t="s">
        <v>2374</v>
      </c>
      <c r="L4415" s="31">
        <v>46283.555299571759</v>
      </c>
      <c r="M4415" s="20">
        <v>12</v>
      </c>
      <c r="N4415" s="1">
        <v>27</v>
      </c>
    </row>
    <row r="4416" spans="1:14" x14ac:dyDescent="0.25">
      <c r="A4416" t="str">
        <f t="shared" si="138"/>
        <v>C135880C135880</v>
      </c>
      <c r="B4416" t="str">
        <f t="shared" si="139"/>
        <v>C135880G6035EQ-W</v>
      </c>
      <c r="C4416" s="1" t="s">
        <v>652</v>
      </c>
      <c r="D4416" s="1" t="s">
        <v>725</v>
      </c>
      <c r="E4416" s="1" t="s">
        <v>397</v>
      </c>
      <c r="F4416" s="1" t="s">
        <v>400</v>
      </c>
      <c r="G4416" s="1" t="s">
        <v>401</v>
      </c>
      <c r="H4416" s="1">
        <v>300</v>
      </c>
      <c r="I4416" s="3">
        <v>46283</v>
      </c>
      <c r="J4416" s="3">
        <v>46289</v>
      </c>
      <c r="K4416" s="3" t="s">
        <v>2374</v>
      </c>
      <c r="L4416" s="31">
        <v>46283.556318055555</v>
      </c>
      <c r="M4416" s="20">
        <v>12</v>
      </c>
      <c r="N4416" s="1">
        <v>34</v>
      </c>
    </row>
    <row r="4417" spans="1:14" x14ac:dyDescent="0.25">
      <c r="A4417" t="str">
        <f t="shared" si="138"/>
        <v>C135880C135880</v>
      </c>
      <c r="B4417" t="str">
        <f t="shared" si="139"/>
        <v>C135880G6035EQ-W</v>
      </c>
      <c r="C4417" s="1" t="s">
        <v>652</v>
      </c>
      <c r="D4417" s="1" t="s">
        <v>725</v>
      </c>
      <c r="E4417" s="1" t="s">
        <v>397</v>
      </c>
      <c r="F4417" s="1" t="s">
        <v>400</v>
      </c>
      <c r="G4417" s="1" t="s">
        <v>401</v>
      </c>
      <c r="H4417" s="1">
        <v>300</v>
      </c>
      <c r="I4417" s="3">
        <v>46283</v>
      </c>
      <c r="J4417" s="3">
        <v>46289</v>
      </c>
      <c r="K4417" s="3" t="s">
        <v>2374</v>
      </c>
      <c r="L4417" s="31">
        <v>46283.562169212964</v>
      </c>
      <c r="M4417" s="20">
        <v>12</v>
      </c>
      <c r="N4417" s="1">
        <v>39</v>
      </c>
    </row>
    <row r="4418" spans="1:14" x14ac:dyDescent="0.25">
      <c r="A4418" t="str">
        <f t="shared" ref="A4418:A4481" si="140">+D4418&amp;D4418</f>
        <v>C135880C135880</v>
      </c>
      <c r="B4418" t="str">
        <f t="shared" ref="B4418:B4481" si="141">+D4418&amp;C4418</f>
        <v>C135880G6035EQ-W</v>
      </c>
      <c r="C4418" s="1" t="s">
        <v>652</v>
      </c>
      <c r="D4418" s="1" t="s">
        <v>725</v>
      </c>
      <c r="E4418" s="1" t="s">
        <v>397</v>
      </c>
      <c r="F4418" s="1" t="s">
        <v>400</v>
      </c>
      <c r="G4418" s="1" t="s">
        <v>401</v>
      </c>
      <c r="H4418" s="1">
        <v>300</v>
      </c>
      <c r="I4418" s="3">
        <v>46283</v>
      </c>
      <c r="J4418" s="3">
        <v>46289</v>
      </c>
      <c r="K4418" s="3" t="s">
        <v>2374</v>
      </c>
      <c r="L4418" s="31">
        <v>46283.563053043981</v>
      </c>
      <c r="M4418" s="20">
        <v>12</v>
      </c>
      <c r="N4418" s="1">
        <v>24</v>
      </c>
    </row>
    <row r="4419" spans="1:14" x14ac:dyDescent="0.25">
      <c r="A4419" t="str">
        <f t="shared" si="140"/>
        <v>C135880C135880</v>
      </c>
      <c r="B4419" t="str">
        <f t="shared" si="141"/>
        <v>C135880G6035EQ-W</v>
      </c>
      <c r="C4419" s="1" t="s">
        <v>652</v>
      </c>
      <c r="D4419" s="1" t="s">
        <v>725</v>
      </c>
      <c r="E4419" s="1" t="s">
        <v>397</v>
      </c>
      <c r="F4419" s="1" t="s">
        <v>400</v>
      </c>
      <c r="G4419" s="1" t="s">
        <v>401</v>
      </c>
      <c r="H4419" s="1">
        <v>300</v>
      </c>
      <c r="I4419" s="3">
        <v>46283</v>
      </c>
      <c r="J4419" s="3">
        <v>46289</v>
      </c>
      <c r="K4419" s="3" t="s">
        <v>2374</v>
      </c>
      <c r="L4419" s="31">
        <v>46283.563889548612</v>
      </c>
      <c r="M4419" s="20">
        <v>12</v>
      </c>
      <c r="N4419" s="1">
        <v>29</v>
      </c>
    </row>
    <row r="4420" spans="1:14" x14ac:dyDescent="0.25">
      <c r="A4420" t="str">
        <f t="shared" si="140"/>
        <v>H176907H176907</v>
      </c>
      <c r="B4420" t="str">
        <f t="shared" si="141"/>
        <v>H176907GC574EVG-M</v>
      </c>
      <c r="C4420" s="1" t="s">
        <v>224</v>
      </c>
      <c r="D4420" s="1" t="s">
        <v>769</v>
      </c>
      <c r="E4420" s="1" t="s">
        <v>414</v>
      </c>
      <c r="F4420" s="1" t="s">
        <v>415</v>
      </c>
      <c r="G4420" s="1" t="s">
        <v>404</v>
      </c>
      <c r="H4420" s="1">
        <v>144</v>
      </c>
      <c r="I4420" s="3">
        <v>46283</v>
      </c>
      <c r="L4420" s="31">
        <v>46283.602038738427</v>
      </c>
      <c r="M4420" s="20">
        <v>12</v>
      </c>
      <c r="N4420" s="1">
        <v>10</v>
      </c>
    </row>
    <row r="4421" spans="1:14" x14ac:dyDescent="0.25">
      <c r="A4421" t="str">
        <f t="shared" si="140"/>
        <v>H176907H176907</v>
      </c>
      <c r="B4421" t="str">
        <f t="shared" si="141"/>
        <v>H176907GC574EVG-M</v>
      </c>
      <c r="C4421" s="1" t="s">
        <v>224</v>
      </c>
      <c r="D4421" s="1" t="s">
        <v>769</v>
      </c>
      <c r="E4421" s="1" t="s">
        <v>414</v>
      </c>
      <c r="F4421" s="1" t="s">
        <v>415</v>
      </c>
      <c r="G4421" s="1" t="s">
        <v>404</v>
      </c>
      <c r="H4421" s="1">
        <v>144</v>
      </c>
      <c r="I4421" s="3">
        <v>46283</v>
      </c>
      <c r="L4421" s="31">
        <v>46283.602216469902</v>
      </c>
      <c r="M4421" s="20">
        <v>12</v>
      </c>
      <c r="N4421" s="1">
        <v>2</v>
      </c>
    </row>
    <row r="4422" spans="1:14" x14ac:dyDescent="0.25">
      <c r="A4422" t="str">
        <f t="shared" si="140"/>
        <v>H176907H176907</v>
      </c>
      <c r="B4422" t="str">
        <f t="shared" si="141"/>
        <v>H176907GC574EVG-M</v>
      </c>
      <c r="C4422" s="1" t="s">
        <v>224</v>
      </c>
      <c r="D4422" s="1" t="s">
        <v>769</v>
      </c>
      <c r="E4422" s="1" t="s">
        <v>414</v>
      </c>
      <c r="F4422" s="1" t="s">
        <v>415</v>
      </c>
      <c r="G4422" s="1" t="s">
        <v>404</v>
      </c>
      <c r="H4422" s="1">
        <v>144</v>
      </c>
      <c r="I4422" s="3">
        <v>46283</v>
      </c>
      <c r="L4422" s="31">
        <v>46283.602417557871</v>
      </c>
      <c r="M4422" s="20">
        <v>12</v>
      </c>
      <c r="N4422" s="1">
        <v>7</v>
      </c>
    </row>
    <row r="4423" spans="1:14" x14ac:dyDescent="0.25">
      <c r="A4423" t="str">
        <f t="shared" si="140"/>
        <v>H176907H176907</v>
      </c>
      <c r="B4423" t="str">
        <f t="shared" si="141"/>
        <v>H176907GC574EVG-M</v>
      </c>
      <c r="C4423" s="1" t="s">
        <v>224</v>
      </c>
      <c r="D4423" s="1" t="s">
        <v>769</v>
      </c>
      <c r="E4423" s="1" t="s">
        <v>414</v>
      </c>
      <c r="F4423" s="1" t="s">
        <v>415</v>
      </c>
      <c r="G4423" s="1" t="s">
        <v>404</v>
      </c>
      <c r="H4423" s="1">
        <v>144</v>
      </c>
      <c r="I4423" s="3">
        <v>46283</v>
      </c>
      <c r="L4423" s="31">
        <v>46283.609348993057</v>
      </c>
      <c r="M4423" s="20">
        <v>12</v>
      </c>
      <c r="N4423" s="1">
        <v>11</v>
      </c>
    </row>
    <row r="4424" spans="1:14" x14ac:dyDescent="0.25">
      <c r="A4424" t="str">
        <f t="shared" si="140"/>
        <v>H176907H176907</v>
      </c>
      <c r="B4424" t="str">
        <f t="shared" si="141"/>
        <v>H176907GC574EVG-M</v>
      </c>
      <c r="C4424" s="1" t="s">
        <v>224</v>
      </c>
      <c r="D4424" s="1" t="s">
        <v>769</v>
      </c>
      <c r="E4424" s="1" t="s">
        <v>414</v>
      </c>
      <c r="F4424" s="1" t="s">
        <v>415</v>
      </c>
      <c r="G4424" s="1" t="s">
        <v>404</v>
      </c>
      <c r="H4424" s="1">
        <v>144</v>
      </c>
      <c r="I4424" s="3">
        <v>46283</v>
      </c>
      <c r="L4424" s="31">
        <v>46283.609556249998</v>
      </c>
      <c r="M4424" s="20">
        <v>12</v>
      </c>
      <c r="N4424" s="1">
        <v>4</v>
      </c>
    </row>
    <row r="4425" spans="1:14" x14ac:dyDescent="0.25">
      <c r="A4425" t="str">
        <f t="shared" si="140"/>
        <v>H176907H176907</v>
      </c>
      <c r="B4425" t="str">
        <f t="shared" si="141"/>
        <v>H176907GC574EVG-M</v>
      </c>
      <c r="C4425" s="1" t="s">
        <v>224</v>
      </c>
      <c r="D4425" s="1" t="s">
        <v>769</v>
      </c>
      <c r="E4425" s="1" t="s">
        <v>414</v>
      </c>
      <c r="F4425" s="1" t="s">
        <v>415</v>
      </c>
      <c r="G4425" s="1" t="s">
        <v>404</v>
      </c>
      <c r="H4425" s="1">
        <v>144</v>
      </c>
      <c r="I4425" s="3">
        <v>46283</v>
      </c>
      <c r="L4425" s="31">
        <v>46283.610325196758</v>
      </c>
      <c r="M4425" s="20">
        <v>12</v>
      </c>
      <c r="N4425" s="1">
        <v>9</v>
      </c>
    </row>
    <row r="4426" spans="1:14" x14ac:dyDescent="0.25">
      <c r="A4426" t="str">
        <f t="shared" si="140"/>
        <v>H176907H176907</v>
      </c>
      <c r="B4426" t="str">
        <f t="shared" si="141"/>
        <v>H176907GC574EVG-M</v>
      </c>
      <c r="C4426" s="1" t="s">
        <v>224</v>
      </c>
      <c r="D4426" s="1" t="s">
        <v>769</v>
      </c>
      <c r="E4426" s="1" t="s">
        <v>414</v>
      </c>
      <c r="F4426" s="1" t="s">
        <v>415</v>
      </c>
      <c r="G4426" s="1" t="s">
        <v>404</v>
      </c>
      <c r="H4426" s="1">
        <v>144</v>
      </c>
      <c r="I4426" s="3">
        <v>46283</v>
      </c>
      <c r="L4426" s="31">
        <v>46283.652315046296</v>
      </c>
      <c r="M4426" s="20">
        <v>12</v>
      </c>
      <c r="N4426" s="1">
        <v>6</v>
      </c>
    </row>
    <row r="4427" spans="1:14" x14ac:dyDescent="0.25">
      <c r="A4427" t="str">
        <f t="shared" si="140"/>
        <v>H176907H176907</v>
      </c>
      <c r="B4427" t="str">
        <f t="shared" si="141"/>
        <v>H176907GC574EVG-M</v>
      </c>
      <c r="C4427" s="1" t="s">
        <v>224</v>
      </c>
      <c r="D4427" s="1" t="s">
        <v>769</v>
      </c>
      <c r="E4427" s="1" t="s">
        <v>414</v>
      </c>
      <c r="F4427" s="1" t="s">
        <v>415</v>
      </c>
      <c r="G4427" s="1" t="s">
        <v>404</v>
      </c>
      <c r="H4427" s="1">
        <v>144</v>
      </c>
      <c r="I4427" s="3">
        <v>46283</v>
      </c>
      <c r="L4427" s="31">
        <v>46283.679297997682</v>
      </c>
      <c r="M4427" s="20">
        <v>12</v>
      </c>
      <c r="N4427" s="1">
        <v>1</v>
      </c>
    </row>
    <row r="4428" spans="1:14" x14ac:dyDescent="0.25">
      <c r="A4428" t="str">
        <f t="shared" si="140"/>
        <v>H176953H176953</v>
      </c>
      <c r="B4428" t="str">
        <f t="shared" si="141"/>
        <v>H176953GC574EVG-M</v>
      </c>
      <c r="C4428" s="1" t="s">
        <v>224</v>
      </c>
      <c r="D4428" s="1" t="s">
        <v>778</v>
      </c>
      <c r="E4428" s="1" t="s">
        <v>434</v>
      </c>
      <c r="F4428" s="1" t="s">
        <v>435</v>
      </c>
      <c r="G4428" s="1" t="s">
        <v>404</v>
      </c>
      <c r="H4428" s="1">
        <v>144</v>
      </c>
      <c r="I4428" s="3">
        <v>46283</v>
      </c>
      <c r="L4428" s="31">
        <v>46283.715727581017</v>
      </c>
      <c r="M4428" s="20">
        <v>12</v>
      </c>
      <c r="N4428" s="1">
        <v>8</v>
      </c>
    </row>
    <row r="4429" spans="1:14" x14ac:dyDescent="0.25">
      <c r="A4429" t="str">
        <f t="shared" si="140"/>
        <v>H176953H176953</v>
      </c>
      <c r="B4429" t="str">
        <f t="shared" si="141"/>
        <v>H176953GC574EVG-M</v>
      </c>
      <c r="C4429" s="1" t="s">
        <v>224</v>
      </c>
      <c r="D4429" s="1" t="s">
        <v>778</v>
      </c>
      <c r="E4429" s="1" t="s">
        <v>434</v>
      </c>
      <c r="F4429" s="1" t="s">
        <v>435</v>
      </c>
      <c r="G4429" s="1" t="s">
        <v>404</v>
      </c>
      <c r="H4429" s="1">
        <v>144</v>
      </c>
      <c r="I4429" s="3">
        <v>46283</v>
      </c>
      <c r="L4429" s="31">
        <v>46283.718821261573</v>
      </c>
      <c r="M4429" s="20">
        <v>12</v>
      </c>
      <c r="N4429" s="1">
        <v>11</v>
      </c>
    </row>
    <row r="4430" spans="1:14" x14ac:dyDescent="0.25">
      <c r="A4430" t="str">
        <f t="shared" si="140"/>
        <v>H176953H176953</v>
      </c>
      <c r="B4430" t="str">
        <f t="shared" si="141"/>
        <v>H176953GC574EVG-M</v>
      </c>
      <c r="C4430" s="1" t="s">
        <v>224</v>
      </c>
      <c r="D4430" s="1" t="s">
        <v>778</v>
      </c>
      <c r="E4430" s="1" t="s">
        <v>434</v>
      </c>
      <c r="F4430" s="1" t="s">
        <v>435</v>
      </c>
      <c r="G4430" s="1" t="s">
        <v>404</v>
      </c>
      <c r="H4430" s="1">
        <v>144</v>
      </c>
      <c r="I4430" s="3">
        <v>46283</v>
      </c>
      <c r="L4430" s="31">
        <v>46283.723725891199</v>
      </c>
      <c r="M4430" s="20">
        <v>12</v>
      </c>
      <c r="N4430" s="1">
        <v>5</v>
      </c>
    </row>
    <row r="4431" spans="1:14" x14ac:dyDescent="0.25">
      <c r="A4431" t="str">
        <f t="shared" si="140"/>
        <v>H177966H177966</v>
      </c>
      <c r="B4431" t="str">
        <f t="shared" si="141"/>
        <v>H177966GC9060BK-M</v>
      </c>
      <c r="C4431" s="1" t="s">
        <v>79</v>
      </c>
      <c r="D4431" s="1" t="s">
        <v>759</v>
      </c>
      <c r="E4431" s="1" t="s">
        <v>524</v>
      </c>
      <c r="F4431" s="1" t="s">
        <v>525</v>
      </c>
      <c r="G4431" s="1" t="s">
        <v>404</v>
      </c>
      <c r="H4431" s="1">
        <v>654</v>
      </c>
      <c r="I4431" s="3">
        <v>46283</v>
      </c>
      <c r="L4431" s="31">
        <v>46283.425883761571</v>
      </c>
      <c r="M4431" s="20">
        <v>12</v>
      </c>
      <c r="N4431" s="1">
        <v>14</v>
      </c>
    </row>
    <row r="4432" spans="1:14" x14ac:dyDescent="0.25">
      <c r="A4432" t="str">
        <f t="shared" si="140"/>
        <v>H177966H177966</v>
      </c>
      <c r="B4432" t="str">
        <f t="shared" si="141"/>
        <v>H177966GC9060BK-M</v>
      </c>
      <c r="C4432" s="1" t="s">
        <v>79</v>
      </c>
      <c r="D4432" s="1" t="s">
        <v>759</v>
      </c>
      <c r="E4432" s="1" t="s">
        <v>524</v>
      </c>
      <c r="F4432" s="1" t="s">
        <v>525</v>
      </c>
      <c r="G4432" s="1" t="s">
        <v>404</v>
      </c>
      <c r="H4432" s="1">
        <v>654</v>
      </c>
      <c r="I4432" s="3">
        <v>46283</v>
      </c>
      <c r="L4432" s="31">
        <v>46283.457960034721</v>
      </c>
      <c r="M4432" s="20">
        <v>12</v>
      </c>
      <c r="N4432" s="1">
        <v>16</v>
      </c>
    </row>
    <row r="4433" spans="1:14" x14ac:dyDescent="0.25">
      <c r="A4433" t="str">
        <f t="shared" si="140"/>
        <v>H177966H177966</v>
      </c>
      <c r="B4433" t="str">
        <f t="shared" si="141"/>
        <v>H177966GC9060BK-M</v>
      </c>
      <c r="C4433" s="1" t="s">
        <v>79</v>
      </c>
      <c r="D4433" s="1" t="s">
        <v>759</v>
      </c>
      <c r="E4433" s="1" t="s">
        <v>524</v>
      </c>
      <c r="F4433" s="1" t="s">
        <v>525</v>
      </c>
      <c r="G4433" s="1" t="s">
        <v>404</v>
      </c>
      <c r="H4433" s="1">
        <v>654</v>
      </c>
      <c r="I4433" s="3">
        <v>46283</v>
      </c>
      <c r="L4433" s="31">
        <v>46283.470116863427</v>
      </c>
      <c r="M4433" s="20">
        <v>12</v>
      </c>
      <c r="N4433" s="1">
        <v>17</v>
      </c>
    </row>
    <row r="4434" spans="1:14" x14ac:dyDescent="0.25">
      <c r="A4434" t="str">
        <f t="shared" si="140"/>
        <v>H177966H177966</v>
      </c>
      <c r="B4434" t="str">
        <f t="shared" si="141"/>
        <v>H177966GC9060BK-M</v>
      </c>
      <c r="C4434" s="1" t="s">
        <v>79</v>
      </c>
      <c r="D4434" s="1" t="s">
        <v>759</v>
      </c>
      <c r="E4434" s="1" t="s">
        <v>524</v>
      </c>
      <c r="F4434" s="1" t="s">
        <v>525</v>
      </c>
      <c r="G4434" s="1" t="s">
        <v>404</v>
      </c>
      <c r="H4434" s="1">
        <v>654</v>
      </c>
      <c r="I4434" s="3">
        <v>46283</v>
      </c>
      <c r="L4434" s="31">
        <v>46283.552618553236</v>
      </c>
      <c r="M4434" s="20">
        <v>12</v>
      </c>
      <c r="N4434" s="1">
        <v>44</v>
      </c>
    </row>
    <row r="4435" spans="1:14" x14ac:dyDescent="0.25">
      <c r="A4435" t="str">
        <f t="shared" si="140"/>
        <v>H177966H177966</v>
      </c>
      <c r="B4435" t="str">
        <f t="shared" si="141"/>
        <v>H177966GC9060BK-M</v>
      </c>
      <c r="C4435" s="1" t="s">
        <v>79</v>
      </c>
      <c r="D4435" s="1" t="s">
        <v>759</v>
      </c>
      <c r="E4435" s="1" t="s">
        <v>524</v>
      </c>
      <c r="F4435" s="1" t="s">
        <v>525</v>
      </c>
      <c r="G4435" s="1" t="s">
        <v>404</v>
      </c>
      <c r="H4435" s="1">
        <v>654</v>
      </c>
      <c r="I4435" s="3">
        <v>46283</v>
      </c>
      <c r="L4435" s="31">
        <v>46283.565546608792</v>
      </c>
      <c r="M4435" s="20">
        <v>12</v>
      </c>
      <c r="N4435" s="1">
        <v>43</v>
      </c>
    </row>
    <row r="4436" spans="1:14" x14ac:dyDescent="0.25">
      <c r="A4436" t="str">
        <f t="shared" si="140"/>
        <v>H177966H177966</v>
      </c>
      <c r="B4436" t="str">
        <f t="shared" si="141"/>
        <v>H177966GC9060BK-M</v>
      </c>
      <c r="C4436" s="1" t="s">
        <v>79</v>
      </c>
      <c r="D4436" s="1" t="s">
        <v>759</v>
      </c>
      <c r="E4436" s="1" t="s">
        <v>524</v>
      </c>
      <c r="F4436" s="1" t="s">
        <v>525</v>
      </c>
      <c r="G4436" s="1" t="s">
        <v>404</v>
      </c>
      <c r="H4436" s="1">
        <v>654</v>
      </c>
      <c r="I4436" s="3">
        <v>46283</v>
      </c>
      <c r="L4436" s="31">
        <v>46283.567035567125</v>
      </c>
      <c r="M4436" s="20">
        <v>12</v>
      </c>
      <c r="N4436" s="1">
        <v>20</v>
      </c>
    </row>
    <row r="4437" spans="1:14" x14ac:dyDescent="0.25">
      <c r="A4437" t="str">
        <f t="shared" si="140"/>
        <v>H177966H177966</v>
      </c>
      <c r="B4437" t="str">
        <f t="shared" si="141"/>
        <v>H177966GC9060BK-M</v>
      </c>
      <c r="C4437" s="1" t="s">
        <v>79</v>
      </c>
      <c r="D4437" s="1" t="s">
        <v>759</v>
      </c>
      <c r="E4437" s="1" t="s">
        <v>524</v>
      </c>
      <c r="F4437" s="1" t="s">
        <v>525</v>
      </c>
      <c r="G4437" s="1" t="s">
        <v>404</v>
      </c>
      <c r="H4437" s="1">
        <v>654</v>
      </c>
      <c r="I4437" s="3">
        <v>46283</v>
      </c>
      <c r="L4437" s="31">
        <v>46283.574185532409</v>
      </c>
      <c r="M4437" s="20">
        <v>12</v>
      </c>
      <c r="N4437" s="1">
        <v>18</v>
      </c>
    </row>
    <row r="4438" spans="1:14" x14ac:dyDescent="0.25">
      <c r="A4438" t="str">
        <f t="shared" si="140"/>
        <v>H177966H177966</v>
      </c>
      <c r="B4438" t="str">
        <f t="shared" si="141"/>
        <v>H177966GC9060BK-M</v>
      </c>
      <c r="C4438" s="1" t="s">
        <v>79</v>
      </c>
      <c r="D4438" s="1" t="s">
        <v>759</v>
      </c>
      <c r="E4438" s="1" t="s">
        <v>524</v>
      </c>
      <c r="F4438" s="1" t="s">
        <v>525</v>
      </c>
      <c r="G4438" s="1" t="s">
        <v>404</v>
      </c>
      <c r="H4438" s="1">
        <v>654</v>
      </c>
      <c r="I4438" s="3">
        <v>46283</v>
      </c>
      <c r="L4438" s="31">
        <v>46283.576260335649</v>
      </c>
      <c r="M4438" s="20">
        <v>12</v>
      </c>
      <c r="N4438" s="1">
        <v>21</v>
      </c>
    </row>
    <row r="4439" spans="1:14" x14ac:dyDescent="0.25">
      <c r="A4439" t="str">
        <f t="shared" si="140"/>
        <v>H177966H177966</v>
      </c>
      <c r="B4439" t="str">
        <f t="shared" si="141"/>
        <v>H177966GC9060BK-M</v>
      </c>
      <c r="C4439" s="1" t="s">
        <v>79</v>
      </c>
      <c r="D4439" s="1" t="s">
        <v>759</v>
      </c>
      <c r="E4439" s="1" t="s">
        <v>524</v>
      </c>
      <c r="F4439" s="1" t="s">
        <v>525</v>
      </c>
      <c r="G4439" s="1" t="s">
        <v>404</v>
      </c>
      <c r="H4439" s="1">
        <v>654</v>
      </c>
      <c r="I4439" s="3">
        <v>46283</v>
      </c>
      <c r="L4439" s="31">
        <v>46283.589644826388</v>
      </c>
      <c r="M4439" s="20">
        <v>12</v>
      </c>
      <c r="N4439" s="1">
        <v>13</v>
      </c>
    </row>
    <row r="4440" spans="1:14" x14ac:dyDescent="0.25">
      <c r="A4440" t="str">
        <f t="shared" si="140"/>
        <v>H177966H177966</v>
      </c>
      <c r="B4440" t="str">
        <f t="shared" si="141"/>
        <v>H177966GC9060BK-M</v>
      </c>
      <c r="C4440" s="1" t="s">
        <v>79</v>
      </c>
      <c r="D4440" s="1" t="s">
        <v>759</v>
      </c>
      <c r="E4440" s="1" t="s">
        <v>524</v>
      </c>
      <c r="F4440" s="1" t="s">
        <v>525</v>
      </c>
      <c r="G4440" s="1" t="s">
        <v>404</v>
      </c>
      <c r="H4440" s="1">
        <v>654</v>
      </c>
      <c r="I4440" s="3">
        <v>46283</v>
      </c>
      <c r="L4440" s="31">
        <v>46283.620006712961</v>
      </c>
      <c r="M4440" s="20">
        <v>12</v>
      </c>
      <c r="N4440" s="1">
        <v>10</v>
      </c>
    </row>
    <row r="4441" spans="1:14" x14ac:dyDescent="0.25">
      <c r="A4441" t="str">
        <f t="shared" si="140"/>
        <v>H177966H177966</v>
      </c>
      <c r="B4441" t="str">
        <f t="shared" si="141"/>
        <v>H177966GC9060BK-M</v>
      </c>
      <c r="C4441" s="1" t="s">
        <v>79</v>
      </c>
      <c r="D4441" s="1" t="s">
        <v>759</v>
      </c>
      <c r="E4441" s="1" t="s">
        <v>524</v>
      </c>
      <c r="F4441" s="1" t="s">
        <v>525</v>
      </c>
      <c r="G4441" s="1" t="s">
        <v>404</v>
      </c>
      <c r="H4441" s="1">
        <v>654</v>
      </c>
      <c r="I4441" s="3">
        <v>46283</v>
      </c>
      <c r="L4441" s="31">
        <v>46283.624187268513</v>
      </c>
      <c r="M4441" s="20">
        <v>12</v>
      </c>
      <c r="N4441" s="1">
        <v>42</v>
      </c>
    </row>
    <row r="4442" spans="1:14" x14ac:dyDescent="0.25">
      <c r="A4442" t="str">
        <f t="shared" si="140"/>
        <v>H177966H177966</v>
      </c>
      <c r="B4442" t="str">
        <f t="shared" si="141"/>
        <v>H177966GC9060BK-M</v>
      </c>
      <c r="C4442" s="1" t="s">
        <v>79</v>
      </c>
      <c r="D4442" s="1" t="s">
        <v>759</v>
      </c>
      <c r="E4442" s="1" t="s">
        <v>524</v>
      </c>
      <c r="F4442" s="1" t="s">
        <v>525</v>
      </c>
      <c r="G4442" s="1" t="s">
        <v>404</v>
      </c>
      <c r="H4442" s="1">
        <v>654</v>
      </c>
      <c r="I4442" s="3">
        <v>46283</v>
      </c>
      <c r="L4442" s="31">
        <v>46283.678985763887</v>
      </c>
      <c r="M4442" s="20">
        <v>12</v>
      </c>
      <c r="N4442" s="1">
        <v>45</v>
      </c>
    </row>
    <row r="4443" spans="1:14" x14ac:dyDescent="0.25">
      <c r="A4443" t="str">
        <f t="shared" si="140"/>
        <v>H177966H177966</v>
      </c>
      <c r="B4443" t="str">
        <f t="shared" si="141"/>
        <v>H177966GC9060BK-M</v>
      </c>
      <c r="C4443" s="1" t="s">
        <v>79</v>
      </c>
      <c r="D4443" s="1" t="s">
        <v>759</v>
      </c>
      <c r="E4443" s="1" t="s">
        <v>524</v>
      </c>
      <c r="F4443" s="1" t="s">
        <v>525</v>
      </c>
      <c r="G4443" s="1" t="s">
        <v>404</v>
      </c>
      <c r="H4443" s="1">
        <v>654</v>
      </c>
      <c r="I4443" s="3">
        <v>46283</v>
      </c>
      <c r="L4443" s="31">
        <v>46283.690742592589</v>
      </c>
      <c r="M4443" s="20">
        <v>12</v>
      </c>
      <c r="N4443" s="1">
        <v>19</v>
      </c>
    </row>
    <row r="4444" spans="1:14" x14ac:dyDescent="0.25">
      <c r="A4444" t="str">
        <f t="shared" si="140"/>
        <v>H177966H177966</v>
      </c>
      <c r="B4444" t="str">
        <f t="shared" si="141"/>
        <v>H177966GC9060BK-M</v>
      </c>
      <c r="C4444" s="1" t="s">
        <v>79</v>
      </c>
      <c r="D4444" s="1" t="s">
        <v>759</v>
      </c>
      <c r="E4444" s="1" t="s">
        <v>524</v>
      </c>
      <c r="F4444" s="1" t="s">
        <v>525</v>
      </c>
      <c r="G4444" s="1" t="s">
        <v>404</v>
      </c>
      <c r="H4444" s="1">
        <v>654</v>
      </c>
      <c r="I4444" s="3">
        <v>46283</v>
      </c>
      <c r="L4444" s="31">
        <v>46283.729767824072</v>
      </c>
      <c r="M4444" s="20">
        <v>12</v>
      </c>
      <c r="N4444" s="1">
        <v>15</v>
      </c>
    </row>
    <row r="4445" spans="1:14" x14ac:dyDescent="0.25">
      <c r="A4445" t="str">
        <f t="shared" si="140"/>
        <v>H177966H177966</v>
      </c>
      <c r="B4445" t="str">
        <f t="shared" si="141"/>
        <v>H177966GC9060BK-M</v>
      </c>
      <c r="C4445" s="1" t="s">
        <v>79</v>
      </c>
      <c r="D4445" s="1" t="s">
        <v>759</v>
      </c>
      <c r="E4445" s="1" t="s">
        <v>524</v>
      </c>
      <c r="F4445" s="1" t="s">
        <v>525</v>
      </c>
      <c r="G4445" s="1" t="s">
        <v>404</v>
      </c>
      <c r="H4445" s="1">
        <v>654</v>
      </c>
      <c r="I4445" s="3">
        <v>46283</v>
      </c>
      <c r="L4445" s="31">
        <v>46283.737425231477</v>
      </c>
      <c r="M4445" s="20">
        <v>12</v>
      </c>
      <c r="N4445" s="1">
        <v>11</v>
      </c>
    </row>
    <row r="4446" spans="1:14" x14ac:dyDescent="0.25">
      <c r="A4446" t="str">
        <f t="shared" si="140"/>
        <v>H189018H189018</v>
      </c>
      <c r="B4446" t="str">
        <f t="shared" si="141"/>
        <v>H189018GC9060GY-M</v>
      </c>
      <c r="C4446" s="1" t="s">
        <v>5</v>
      </c>
      <c r="D4446" s="1" t="s">
        <v>757</v>
      </c>
      <c r="E4446" s="1" t="s">
        <v>430</v>
      </c>
      <c r="F4446" s="1" t="s">
        <v>431</v>
      </c>
      <c r="G4446" s="1" t="s">
        <v>404</v>
      </c>
      <c r="H4446" s="1">
        <v>162</v>
      </c>
      <c r="I4446" s="3">
        <v>46283</v>
      </c>
      <c r="J4446" s="3">
        <v>46283</v>
      </c>
      <c r="K4446" s="3" t="s">
        <v>2350</v>
      </c>
      <c r="L4446" s="31">
        <v>46283.384711956016</v>
      </c>
      <c r="M4446" s="20">
        <v>12</v>
      </c>
      <c r="N4446" s="1">
        <v>3</v>
      </c>
    </row>
    <row r="4447" spans="1:14" x14ac:dyDescent="0.25">
      <c r="A4447" t="str">
        <f t="shared" si="140"/>
        <v>H189018H189018</v>
      </c>
      <c r="B4447" t="str">
        <f t="shared" si="141"/>
        <v>H189018GC9060GY-M</v>
      </c>
      <c r="C4447" s="1" t="s">
        <v>5</v>
      </c>
      <c r="D4447" s="1" t="s">
        <v>757</v>
      </c>
      <c r="E4447" s="1" t="s">
        <v>430</v>
      </c>
      <c r="F4447" s="1" t="s">
        <v>431</v>
      </c>
      <c r="G4447" s="1" t="s">
        <v>404</v>
      </c>
      <c r="H4447" s="1">
        <v>162</v>
      </c>
      <c r="I4447" s="3">
        <v>46283</v>
      </c>
      <c r="J4447" s="3">
        <v>46283</v>
      </c>
      <c r="K4447" s="3" t="s">
        <v>2350</v>
      </c>
      <c r="L4447" s="31">
        <v>46283.392711192129</v>
      </c>
      <c r="M4447" s="20">
        <v>12</v>
      </c>
      <c r="N4447" s="1">
        <v>9</v>
      </c>
    </row>
    <row r="4448" spans="1:14" x14ac:dyDescent="0.25">
      <c r="A4448" t="str">
        <f t="shared" si="140"/>
        <v>H189018H189018</v>
      </c>
      <c r="B4448" t="str">
        <f t="shared" si="141"/>
        <v>H189018GC9060GY-M</v>
      </c>
      <c r="C4448" s="1" t="s">
        <v>5</v>
      </c>
      <c r="D4448" s="1" t="s">
        <v>757</v>
      </c>
      <c r="E4448" s="1" t="s">
        <v>430</v>
      </c>
      <c r="F4448" s="1" t="s">
        <v>431</v>
      </c>
      <c r="G4448" s="1" t="s">
        <v>404</v>
      </c>
      <c r="H4448" s="1">
        <v>162</v>
      </c>
      <c r="I4448" s="3">
        <v>46283</v>
      </c>
      <c r="J4448" s="3">
        <v>46283</v>
      </c>
      <c r="K4448" s="3" t="s">
        <v>2350</v>
      </c>
      <c r="L4448" s="31">
        <v>46283.40062299768</v>
      </c>
      <c r="M4448" s="20">
        <v>12</v>
      </c>
      <c r="N4448" s="1">
        <v>7</v>
      </c>
    </row>
    <row r="4449" spans="1:14" x14ac:dyDescent="0.25">
      <c r="A4449" t="str">
        <f t="shared" si="140"/>
        <v>H189018H189018</v>
      </c>
      <c r="B4449" t="str">
        <f t="shared" si="141"/>
        <v>H189018GC9060GY-M</v>
      </c>
      <c r="C4449" s="1" t="s">
        <v>5</v>
      </c>
      <c r="D4449" s="1" t="s">
        <v>757</v>
      </c>
      <c r="E4449" s="1" t="s">
        <v>430</v>
      </c>
      <c r="F4449" s="1" t="s">
        <v>431</v>
      </c>
      <c r="G4449" s="1" t="s">
        <v>404</v>
      </c>
      <c r="H4449" s="1">
        <v>162</v>
      </c>
      <c r="I4449" s="3">
        <v>46283</v>
      </c>
      <c r="J4449" s="3">
        <v>46283</v>
      </c>
      <c r="K4449" s="3" t="s">
        <v>2350</v>
      </c>
      <c r="L4449" s="31">
        <v>46283.400960266204</v>
      </c>
      <c r="M4449" s="20">
        <v>12</v>
      </c>
      <c r="N4449" s="1">
        <v>4</v>
      </c>
    </row>
    <row r="4450" spans="1:14" x14ac:dyDescent="0.25">
      <c r="A4450" t="str">
        <f t="shared" si="140"/>
        <v>H189018H189018</v>
      </c>
      <c r="B4450" t="str">
        <f t="shared" si="141"/>
        <v>H189018GC9060GY-M</v>
      </c>
      <c r="C4450" s="1" t="s">
        <v>5</v>
      </c>
      <c r="D4450" s="1" t="s">
        <v>757</v>
      </c>
      <c r="E4450" s="1" t="s">
        <v>430</v>
      </c>
      <c r="F4450" s="1" t="s">
        <v>431</v>
      </c>
      <c r="G4450" s="1" t="s">
        <v>404</v>
      </c>
      <c r="H4450" s="1">
        <v>162</v>
      </c>
      <c r="I4450" s="3">
        <v>46283</v>
      </c>
      <c r="J4450" s="3">
        <v>46283</v>
      </c>
      <c r="K4450" s="3" t="s">
        <v>2350</v>
      </c>
      <c r="L4450" s="31">
        <v>46283.401365590275</v>
      </c>
      <c r="M4450" s="20">
        <v>12</v>
      </c>
      <c r="N4450" s="1">
        <v>6</v>
      </c>
    </row>
    <row r="4451" spans="1:14" x14ac:dyDescent="0.25">
      <c r="A4451" t="str">
        <f t="shared" si="140"/>
        <v>H189018H189018</v>
      </c>
      <c r="B4451" t="str">
        <f t="shared" si="141"/>
        <v>H189018GC9060GY-M</v>
      </c>
      <c r="C4451" s="1" t="s">
        <v>5</v>
      </c>
      <c r="D4451" s="1" t="s">
        <v>757</v>
      </c>
      <c r="E4451" s="1" t="s">
        <v>430</v>
      </c>
      <c r="F4451" s="1" t="s">
        <v>431</v>
      </c>
      <c r="G4451" s="1" t="s">
        <v>404</v>
      </c>
      <c r="H4451" s="1">
        <v>162</v>
      </c>
      <c r="I4451" s="3">
        <v>46283</v>
      </c>
      <c r="J4451" s="3">
        <v>46283</v>
      </c>
      <c r="K4451" s="3" t="s">
        <v>2350</v>
      </c>
      <c r="L4451" s="31">
        <v>46283.401994444444</v>
      </c>
      <c r="M4451" s="20">
        <v>12</v>
      </c>
      <c r="N4451" s="1">
        <v>11</v>
      </c>
    </row>
    <row r="4452" spans="1:14" x14ac:dyDescent="0.25">
      <c r="A4452" t="str">
        <f t="shared" si="140"/>
        <v>H189018H189018</v>
      </c>
      <c r="B4452" t="str">
        <f t="shared" si="141"/>
        <v>H189018GC9060GY-M</v>
      </c>
      <c r="C4452" s="1" t="s">
        <v>5</v>
      </c>
      <c r="D4452" s="1" t="s">
        <v>757</v>
      </c>
      <c r="E4452" s="1" t="s">
        <v>430</v>
      </c>
      <c r="F4452" s="1" t="s">
        <v>431</v>
      </c>
      <c r="G4452" s="1" t="s">
        <v>404</v>
      </c>
      <c r="H4452" s="1">
        <v>162</v>
      </c>
      <c r="I4452" s="3">
        <v>46283</v>
      </c>
      <c r="J4452" s="3">
        <v>46283</v>
      </c>
      <c r="K4452" s="3" t="s">
        <v>2350</v>
      </c>
      <c r="L4452" s="31">
        <v>46283.407990775464</v>
      </c>
      <c r="M4452" s="20">
        <v>6</v>
      </c>
      <c r="N4452" s="1">
        <v>15</v>
      </c>
    </row>
    <row r="4453" spans="1:14" x14ac:dyDescent="0.25">
      <c r="A4453" t="str">
        <f t="shared" si="140"/>
        <v>H189018H189018</v>
      </c>
      <c r="B4453" t="str">
        <f t="shared" si="141"/>
        <v>H189018GC9060GY-M</v>
      </c>
      <c r="C4453" s="1" t="s">
        <v>5</v>
      </c>
      <c r="D4453" s="1" t="s">
        <v>757</v>
      </c>
      <c r="E4453" s="1" t="s">
        <v>430</v>
      </c>
      <c r="F4453" s="1" t="s">
        <v>431</v>
      </c>
      <c r="G4453" s="1" t="s">
        <v>404</v>
      </c>
      <c r="H4453" s="1">
        <v>162</v>
      </c>
      <c r="I4453" s="3">
        <v>46283</v>
      </c>
      <c r="J4453" s="3">
        <v>46283</v>
      </c>
      <c r="K4453" s="3" t="s">
        <v>2350</v>
      </c>
      <c r="L4453" s="31">
        <v>46283.409335763885</v>
      </c>
      <c r="M4453" s="20">
        <v>12</v>
      </c>
      <c r="N4453" s="1">
        <v>2</v>
      </c>
    </row>
    <row r="4454" spans="1:14" x14ac:dyDescent="0.25">
      <c r="A4454" t="str">
        <f t="shared" si="140"/>
        <v>H189018H189018</v>
      </c>
      <c r="B4454" t="str">
        <f t="shared" si="141"/>
        <v>H189018GC9060GY-M</v>
      </c>
      <c r="C4454" s="1" t="s">
        <v>5</v>
      </c>
      <c r="D4454" s="1" t="s">
        <v>757</v>
      </c>
      <c r="E4454" s="1" t="s">
        <v>430</v>
      </c>
      <c r="F4454" s="1" t="s">
        <v>431</v>
      </c>
      <c r="G4454" s="1" t="s">
        <v>404</v>
      </c>
      <c r="H4454" s="1">
        <v>162</v>
      </c>
      <c r="I4454" s="3">
        <v>46283</v>
      </c>
      <c r="J4454" s="3">
        <v>46283</v>
      </c>
      <c r="K4454" s="3" t="s">
        <v>2350</v>
      </c>
      <c r="L4454" s="31">
        <v>46283.415271412036</v>
      </c>
      <c r="M4454" s="20">
        <v>6</v>
      </c>
      <c r="N4454" s="1">
        <v>14</v>
      </c>
    </row>
    <row r="4455" spans="1:14" x14ac:dyDescent="0.25">
      <c r="A4455" t="str">
        <f t="shared" si="140"/>
        <v>H189018H189018</v>
      </c>
      <c r="B4455" t="str">
        <f t="shared" si="141"/>
        <v>H189018GC9060GY-M</v>
      </c>
      <c r="C4455" s="1" t="s">
        <v>5</v>
      </c>
      <c r="D4455" s="1" t="s">
        <v>757</v>
      </c>
      <c r="E4455" s="1" t="s">
        <v>430</v>
      </c>
      <c r="F4455" s="1" t="s">
        <v>431</v>
      </c>
      <c r="G4455" s="1" t="s">
        <v>404</v>
      </c>
      <c r="H4455" s="1">
        <v>162</v>
      </c>
      <c r="I4455" s="3">
        <v>46283</v>
      </c>
      <c r="J4455" s="3">
        <v>46283</v>
      </c>
      <c r="K4455" s="3" t="s">
        <v>2350</v>
      </c>
      <c r="L4455" s="31">
        <v>46283.416121064816</v>
      </c>
      <c r="M4455" s="20">
        <v>12</v>
      </c>
      <c r="N4455" s="1">
        <v>10</v>
      </c>
    </row>
    <row r="4456" spans="1:14" x14ac:dyDescent="0.25">
      <c r="A4456" t="str">
        <f t="shared" si="140"/>
        <v>H189018H189018</v>
      </c>
      <c r="B4456" t="str">
        <f t="shared" si="141"/>
        <v>H189018GC9060GY-M</v>
      </c>
      <c r="C4456" s="1" t="s">
        <v>5</v>
      </c>
      <c r="D4456" s="1" t="s">
        <v>757</v>
      </c>
      <c r="E4456" s="1" t="s">
        <v>430</v>
      </c>
      <c r="F4456" s="1" t="s">
        <v>431</v>
      </c>
      <c r="G4456" s="1" t="s">
        <v>404</v>
      </c>
      <c r="H4456" s="1">
        <v>162</v>
      </c>
      <c r="I4456" s="3">
        <v>46283</v>
      </c>
      <c r="J4456" s="3">
        <v>46283</v>
      </c>
      <c r="K4456" s="3" t="s">
        <v>2350</v>
      </c>
      <c r="L4456" s="31">
        <v>46283.46913020833</v>
      </c>
      <c r="M4456" s="20">
        <v>12</v>
      </c>
      <c r="N4456" s="1">
        <v>1</v>
      </c>
    </row>
    <row r="4457" spans="1:14" x14ac:dyDescent="0.25">
      <c r="A4457" t="str">
        <f t="shared" si="140"/>
        <v>H189018H189018</v>
      </c>
      <c r="B4457" t="str">
        <f t="shared" si="141"/>
        <v>H189018GC9060GY-M</v>
      </c>
      <c r="C4457" s="1" t="s">
        <v>5</v>
      </c>
      <c r="D4457" s="1" t="s">
        <v>757</v>
      </c>
      <c r="E4457" s="1" t="s">
        <v>430</v>
      </c>
      <c r="F4457" s="1" t="s">
        <v>431</v>
      </c>
      <c r="G4457" s="1" t="s">
        <v>404</v>
      </c>
      <c r="H4457" s="1">
        <v>162</v>
      </c>
      <c r="I4457" s="3">
        <v>46283</v>
      </c>
      <c r="J4457" s="3">
        <v>46283</v>
      </c>
      <c r="K4457" s="3" t="s">
        <v>2350</v>
      </c>
      <c r="L4457" s="31">
        <v>46283.553146180551</v>
      </c>
      <c r="M4457" s="20">
        <v>12</v>
      </c>
      <c r="N4457" s="1">
        <v>8</v>
      </c>
    </row>
    <row r="4458" spans="1:14" x14ac:dyDescent="0.25">
      <c r="A4458" t="str">
        <f t="shared" si="140"/>
        <v>H189018H189018</v>
      </c>
      <c r="B4458" t="str">
        <f t="shared" si="141"/>
        <v>H189018GC9060GY-M</v>
      </c>
      <c r="C4458" s="1" t="s">
        <v>5</v>
      </c>
      <c r="D4458" s="1" t="s">
        <v>757</v>
      </c>
      <c r="E4458" s="1" t="s">
        <v>430</v>
      </c>
      <c r="F4458" s="1" t="s">
        <v>431</v>
      </c>
      <c r="G4458" s="1" t="s">
        <v>404</v>
      </c>
      <c r="H4458" s="1">
        <v>162</v>
      </c>
      <c r="I4458" s="3">
        <v>46283</v>
      </c>
      <c r="J4458" s="3">
        <v>46283</v>
      </c>
      <c r="K4458" s="3" t="s">
        <v>2350</v>
      </c>
      <c r="L4458" s="31">
        <v>46283.594026041668</v>
      </c>
      <c r="M4458" s="20">
        <v>6</v>
      </c>
      <c r="N4458" s="1">
        <v>13</v>
      </c>
    </row>
    <row r="4459" spans="1:14" x14ac:dyDescent="0.25">
      <c r="A4459" t="str">
        <f t="shared" si="140"/>
        <v>H189018H189018</v>
      </c>
      <c r="B4459" t="str">
        <f t="shared" si="141"/>
        <v>H189018GC9060GY-M</v>
      </c>
      <c r="C4459" s="1" t="s">
        <v>5</v>
      </c>
      <c r="D4459" s="1" t="s">
        <v>757</v>
      </c>
      <c r="E4459" s="1" t="s">
        <v>430</v>
      </c>
      <c r="F4459" s="1" t="s">
        <v>431</v>
      </c>
      <c r="G4459" s="1" t="s">
        <v>404</v>
      </c>
      <c r="H4459" s="1">
        <v>162</v>
      </c>
      <c r="I4459" s="3">
        <v>46283</v>
      </c>
      <c r="J4459" s="3">
        <v>46283</v>
      </c>
      <c r="K4459" s="3" t="s">
        <v>2350</v>
      </c>
      <c r="L4459" s="31">
        <v>46283.619411956017</v>
      </c>
      <c r="M4459" s="20">
        <v>12</v>
      </c>
      <c r="N4459" s="1">
        <v>12</v>
      </c>
    </row>
    <row r="4460" spans="1:14" x14ac:dyDescent="0.25">
      <c r="A4460" t="str">
        <f t="shared" si="140"/>
        <v>H189018H189018</v>
      </c>
      <c r="B4460" t="str">
        <f t="shared" si="141"/>
        <v>H189018GC9060GY-M</v>
      </c>
      <c r="C4460" s="1" t="s">
        <v>5</v>
      </c>
      <c r="D4460" s="1" t="s">
        <v>757</v>
      </c>
      <c r="E4460" s="1" t="s">
        <v>430</v>
      </c>
      <c r="F4460" s="1" t="s">
        <v>431</v>
      </c>
      <c r="G4460" s="1" t="s">
        <v>404</v>
      </c>
      <c r="H4460" s="1">
        <v>162</v>
      </c>
      <c r="I4460" s="3">
        <v>46283</v>
      </c>
      <c r="J4460" s="3">
        <v>46283</v>
      </c>
      <c r="K4460" s="3" t="s">
        <v>2350</v>
      </c>
      <c r="L4460" s="31">
        <v>46283.648936574071</v>
      </c>
      <c r="M4460" s="20">
        <v>12</v>
      </c>
      <c r="N4460" s="1">
        <v>5</v>
      </c>
    </row>
    <row r="4461" spans="1:14" x14ac:dyDescent="0.25">
      <c r="A4461" t="str">
        <f t="shared" si="140"/>
        <v>U148136U148136</v>
      </c>
      <c r="B4461" t="str">
        <f t="shared" si="141"/>
        <v>U148136G90609SI-M</v>
      </c>
      <c r="C4461" s="1" t="s">
        <v>776</v>
      </c>
      <c r="D4461" s="1" t="s">
        <v>777</v>
      </c>
      <c r="E4461" s="1" t="s">
        <v>436</v>
      </c>
      <c r="F4461" s="1" t="s">
        <v>450</v>
      </c>
      <c r="G4461" s="1" t="s">
        <v>438</v>
      </c>
      <c r="H4461" s="1">
        <v>720</v>
      </c>
      <c r="I4461" s="3">
        <v>46283</v>
      </c>
      <c r="L4461" s="31">
        <v>46283.696459606479</v>
      </c>
      <c r="M4461" s="20">
        <v>6</v>
      </c>
      <c r="N4461" s="1">
        <v>2</v>
      </c>
    </row>
    <row r="4462" spans="1:14" x14ac:dyDescent="0.25">
      <c r="A4462" t="str">
        <f t="shared" si="140"/>
        <v>U148136U148136</v>
      </c>
      <c r="B4462" t="str">
        <f t="shared" si="141"/>
        <v>U148136G90609SI-M</v>
      </c>
      <c r="C4462" s="1" t="s">
        <v>776</v>
      </c>
      <c r="D4462" s="1" t="s">
        <v>777</v>
      </c>
      <c r="E4462" s="1" t="s">
        <v>436</v>
      </c>
      <c r="F4462" s="1" t="s">
        <v>450</v>
      </c>
      <c r="G4462" s="1" t="s">
        <v>438</v>
      </c>
      <c r="H4462" s="1">
        <v>720</v>
      </c>
      <c r="I4462" s="3">
        <v>46283</v>
      </c>
      <c r="L4462" s="31">
        <v>46283.703508645835</v>
      </c>
      <c r="M4462" s="20">
        <v>6</v>
      </c>
      <c r="N4462" s="1">
        <v>14</v>
      </c>
    </row>
    <row r="4463" spans="1:14" x14ac:dyDescent="0.25">
      <c r="A4463" t="str">
        <f t="shared" si="140"/>
        <v>U148136U148136</v>
      </c>
      <c r="B4463" t="str">
        <f t="shared" si="141"/>
        <v>U148136G90609SI-M</v>
      </c>
      <c r="C4463" s="1" t="s">
        <v>776</v>
      </c>
      <c r="D4463" s="1" t="s">
        <v>777</v>
      </c>
      <c r="E4463" s="1" t="s">
        <v>436</v>
      </c>
      <c r="F4463" s="1" t="s">
        <v>450</v>
      </c>
      <c r="G4463" s="1" t="s">
        <v>438</v>
      </c>
      <c r="H4463" s="1">
        <v>720</v>
      </c>
      <c r="I4463" s="3">
        <v>46283</v>
      </c>
      <c r="L4463" s="31">
        <v>46283.704024652776</v>
      </c>
      <c r="M4463" s="20">
        <v>6</v>
      </c>
      <c r="N4463" s="1">
        <v>1</v>
      </c>
    </row>
    <row r="4464" spans="1:14" x14ac:dyDescent="0.25">
      <c r="A4464" t="str">
        <f t="shared" si="140"/>
        <v>U148136U148136</v>
      </c>
      <c r="B4464" t="str">
        <f t="shared" si="141"/>
        <v>U148136G90609SI-M</v>
      </c>
      <c r="C4464" s="1" t="s">
        <v>776</v>
      </c>
      <c r="D4464" s="1" t="s">
        <v>777</v>
      </c>
      <c r="E4464" s="1" t="s">
        <v>436</v>
      </c>
      <c r="F4464" s="1" t="s">
        <v>450</v>
      </c>
      <c r="G4464" s="1" t="s">
        <v>438</v>
      </c>
      <c r="H4464" s="1">
        <v>720</v>
      </c>
      <c r="I4464" s="3">
        <v>46283</v>
      </c>
      <c r="L4464" s="31">
        <v>46283.707598460649</v>
      </c>
      <c r="M4464" s="20">
        <v>6</v>
      </c>
      <c r="N4464" s="1">
        <v>8</v>
      </c>
    </row>
    <row r="4465" spans="1:14" x14ac:dyDescent="0.25">
      <c r="A4465" t="str">
        <f t="shared" si="140"/>
        <v>U148136U148136</v>
      </c>
      <c r="B4465" t="str">
        <f t="shared" si="141"/>
        <v>U148136G90609SI-M</v>
      </c>
      <c r="C4465" s="1" t="s">
        <v>776</v>
      </c>
      <c r="D4465" s="1" t="s">
        <v>777</v>
      </c>
      <c r="E4465" s="1" t="s">
        <v>436</v>
      </c>
      <c r="F4465" s="1" t="s">
        <v>450</v>
      </c>
      <c r="G4465" s="1" t="s">
        <v>438</v>
      </c>
      <c r="H4465" s="1">
        <v>720</v>
      </c>
      <c r="I4465" s="3">
        <v>46283</v>
      </c>
      <c r="L4465" s="31">
        <v>46283.70784077546</v>
      </c>
      <c r="M4465" s="20">
        <v>6</v>
      </c>
      <c r="N4465" s="1">
        <v>3</v>
      </c>
    </row>
    <row r="4466" spans="1:14" x14ac:dyDescent="0.25">
      <c r="A4466" t="str">
        <f t="shared" si="140"/>
        <v>U148136U148136</v>
      </c>
      <c r="B4466" t="str">
        <f t="shared" si="141"/>
        <v>U148136G90609SI-M</v>
      </c>
      <c r="C4466" s="1" t="s">
        <v>776</v>
      </c>
      <c r="D4466" s="1" t="s">
        <v>777</v>
      </c>
      <c r="E4466" s="1" t="s">
        <v>436</v>
      </c>
      <c r="F4466" s="1" t="s">
        <v>450</v>
      </c>
      <c r="G4466" s="1" t="s">
        <v>438</v>
      </c>
      <c r="H4466" s="1">
        <v>720</v>
      </c>
      <c r="I4466" s="3">
        <v>46283</v>
      </c>
      <c r="L4466" s="31">
        <v>46283.708366319443</v>
      </c>
      <c r="M4466" s="20">
        <v>6</v>
      </c>
      <c r="N4466" s="1">
        <v>4</v>
      </c>
    </row>
    <row r="4467" spans="1:14" x14ac:dyDescent="0.25">
      <c r="A4467" t="str">
        <f t="shared" si="140"/>
        <v>U148136U148136</v>
      </c>
      <c r="B4467" t="str">
        <f t="shared" si="141"/>
        <v>U148136G90609SI-M</v>
      </c>
      <c r="C4467" s="1" t="s">
        <v>776</v>
      </c>
      <c r="D4467" s="1" t="s">
        <v>777</v>
      </c>
      <c r="E4467" s="1" t="s">
        <v>436</v>
      </c>
      <c r="F4467" s="1" t="s">
        <v>450</v>
      </c>
      <c r="G4467" s="1" t="s">
        <v>438</v>
      </c>
      <c r="H4467" s="1">
        <v>720</v>
      </c>
      <c r="I4467" s="3">
        <v>46283</v>
      </c>
      <c r="L4467" s="31">
        <v>46283.711435763886</v>
      </c>
      <c r="M4467" s="20">
        <v>6</v>
      </c>
      <c r="N4467" s="1">
        <v>11</v>
      </c>
    </row>
    <row r="4468" spans="1:14" x14ac:dyDescent="0.25">
      <c r="A4468" t="str">
        <f t="shared" si="140"/>
        <v>U148136U148136</v>
      </c>
      <c r="B4468" t="str">
        <f t="shared" si="141"/>
        <v>U148136G90609SI-M</v>
      </c>
      <c r="C4468" s="1" t="s">
        <v>776</v>
      </c>
      <c r="D4468" s="1" t="s">
        <v>777</v>
      </c>
      <c r="E4468" s="1" t="s">
        <v>436</v>
      </c>
      <c r="F4468" s="1" t="s">
        <v>450</v>
      </c>
      <c r="G4468" s="1" t="s">
        <v>438</v>
      </c>
      <c r="H4468" s="1">
        <v>720</v>
      </c>
      <c r="I4468" s="3">
        <v>46283</v>
      </c>
      <c r="L4468" s="31">
        <v>46283.711664849536</v>
      </c>
      <c r="M4468" s="20">
        <v>6</v>
      </c>
      <c r="N4468" s="1">
        <v>16</v>
      </c>
    </row>
    <row r="4469" spans="1:14" x14ac:dyDescent="0.25">
      <c r="A4469" t="str">
        <f t="shared" si="140"/>
        <v>U148136U148136</v>
      </c>
      <c r="B4469" t="str">
        <f t="shared" si="141"/>
        <v>U148136G90609SI-M</v>
      </c>
      <c r="C4469" s="1" t="s">
        <v>776</v>
      </c>
      <c r="D4469" s="1" t="s">
        <v>777</v>
      </c>
      <c r="E4469" s="1" t="s">
        <v>436</v>
      </c>
      <c r="F4469" s="1" t="s">
        <v>450</v>
      </c>
      <c r="G4469" s="1" t="s">
        <v>438</v>
      </c>
      <c r="H4469" s="1">
        <v>720</v>
      </c>
      <c r="I4469" s="3">
        <v>46283</v>
      </c>
      <c r="L4469" s="31">
        <v>46283.712151504631</v>
      </c>
      <c r="M4469" s="20">
        <v>6</v>
      </c>
      <c r="N4469" s="1">
        <v>9</v>
      </c>
    </row>
    <row r="4470" spans="1:14" x14ac:dyDescent="0.25">
      <c r="A4470" t="str">
        <f t="shared" si="140"/>
        <v>U148136U148136</v>
      </c>
      <c r="B4470" t="str">
        <f t="shared" si="141"/>
        <v>U148136G90609SI-M</v>
      </c>
      <c r="C4470" s="1" t="s">
        <v>776</v>
      </c>
      <c r="D4470" s="1" t="s">
        <v>777</v>
      </c>
      <c r="E4470" s="1" t="s">
        <v>436</v>
      </c>
      <c r="F4470" s="1" t="s">
        <v>450</v>
      </c>
      <c r="G4470" s="1" t="s">
        <v>438</v>
      </c>
      <c r="H4470" s="1">
        <v>720</v>
      </c>
      <c r="I4470" s="3">
        <v>46283</v>
      </c>
      <c r="L4470" s="31">
        <v>46283.71646585648</v>
      </c>
      <c r="M4470" s="20">
        <v>6</v>
      </c>
      <c r="N4470" s="1">
        <v>18</v>
      </c>
    </row>
    <row r="4471" spans="1:14" x14ac:dyDescent="0.25">
      <c r="A4471" t="str">
        <f t="shared" si="140"/>
        <v>U148136U148136</v>
      </c>
      <c r="B4471" t="str">
        <f t="shared" si="141"/>
        <v>U148136G90609SI-M</v>
      </c>
      <c r="C4471" s="1" t="s">
        <v>776</v>
      </c>
      <c r="D4471" s="1" t="s">
        <v>777</v>
      </c>
      <c r="E4471" s="1" t="s">
        <v>436</v>
      </c>
      <c r="F4471" s="1" t="s">
        <v>450</v>
      </c>
      <c r="G4471" s="1" t="s">
        <v>438</v>
      </c>
      <c r="H4471" s="1">
        <v>720</v>
      </c>
      <c r="I4471" s="3">
        <v>46283</v>
      </c>
      <c r="L4471" s="31">
        <v>46283.717056909722</v>
      </c>
      <c r="M4471" s="20">
        <v>6</v>
      </c>
      <c r="N4471" s="1">
        <v>17</v>
      </c>
    </row>
    <row r="4472" spans="1:14" x14ac:dyDescent="0.25">
      <c r="A4472" t="str">
        <f t="shared" si="140"/>
        <v>U148136U148136</v>
      </c>
      <c r="B4472" t="str">
        <f t="shared" si="141"/>
        <v>U148136G90609SI-M</v>
      </c>
      <c r="C4472" s="1" t="s">
        <v>776</v>
      </c>
      <c r="D4472" s="1" t="s">
        <v>777</v>
      </c>
      <c r="E4472" s="1" t="s">
        <v>436</v>
      </c>
      <c r="F4472" s="1" t="s">
        <v>450</v>
      </c>
      <c r="G4472" s="1" t="s">
        <v>438</v>
      </c>
      <c r="H4472" s="1">
        <v>720</v>
      </c>
      <c r="I4472" s="3">
        <v>46283</v>
      </c>
      <c r="L4472" s="31">
        <v>46283.720779050927</v>
      </c>
      <c r="M4472" s="20">
        <v>6</v>
      </c>
      <c r="N4472" s="1">
        <v>5</v>
      </c>
    </row>
    <row r="4473" spans="1:14" x14ac:dyDescent="0.25">
      <c r="A4473" t="str">
        <f t="shared" si="140"/>
        <v>U148136U148136</v>
      </c>
      <c r="B4473" t="str">
        <f t="shared" si="141"/>
        <v>U148136G90609SI-M</v>
      </c>
      <c r="C4473" s="1" t="s">
        <v>776</v>
      </c>
      <c r="D4473" s="1" t="s">
        <v>777</v>
      </c>
      <c r="E4473" s="1" t="s">
        <v>436</v>
      </c>
      <c r="F4473" s="1" t="s">
        <v>450</v>
      </c>
      <c r="G4473" s="1" t="s">
        <v>438</v>
      </c>
      <c r="H4473" s="1">
        <v>720</v>
      </c>
      <c r="I4473" s="3">
        <v>46283</v>
      </c>
      <c r="L4473" s="31">
        <v>46283.72238028935</v>
      </c>
      <c r="M4473" s="20">
        <v>6</v>
      </c>
      <c r="N4473" s="1">
        <v>12</v>
      </c>
    </row>
    <row r="4474" spans="1:14" x14ac:dyDescent="0.25">
      <c r="A4474" t="str">
        <f t="shared" si="140"/>
        <v>U148136U148136</v>
      </c>
      <c r="B4474" t="str">
        <f t="shared" si="141"/>
        <v>U148136G90609SI-M</v>
      </c>
      <c r="C4474" s="1" t="s">
        <v>776</v>
      </c>
      <c r="D4474" s="1" t="s">
        <v>777</v>
      </c>
      <c r="E4474" s="1" t="s">
        <v>436</v>
      </c>
      <c r="F4474" s="1" t="s">
        <v>450</v>
      </c>
      <c r="G4474" s="1" t="s">
        <v>438</v>
      </c>
      <c r="H4474" s="1">
        <v>720</v>
      </c>
      <c r="I4474" s="3">
        <v>46283</v>
      </c>
      <c r="L4474" s="31">
        <v>46283.727070914349</v>
      </c>
      <c r="M4474" s="20">
        <v>6</v>
      </c>
      <c r="N4474" s="1">
        <v>10</v>
      </c>
    </row>
    <row r="4475" spans="1:14" x14ac:dyDescent="0.25">
      <c r="A4475" t="str">
        <f t="shared" si="140"/>
        <v>U148136U148136</v>
      </c>
      <c r="B4475" t="str">
        <f t="shared" si="141"/>
        <v>U148136G90609SI-M</v>
      </c>
      <c r="C4475" s="1" t="s">
        <v>776</v>
      </c>
      <c r="D4475" s="1" t="s">
        <v>777</v>
      </c>
      <c r="E4475" s="1" t="s">
        <v>436</v>
      </c>
      <c r="F4475" s="1" t="s">
        <v>450</v>
      </c>
      <c r="G4475" s="1" t="s">
        <v>438</v>
      </c>
      <c r="H4475" s="1">
        <v>720</v>
      </c>
      <c r="I4475" s="3">
        <v>46283</v>
      </c>
      <c r="L4475" s="31">
        <v>46283.727329317131</v>
      </c>
      <c r="M4475" s="20">
        <v>6</v>
      </c>
      <c r="N4475" s="1">
        <v>6</v>
      </c>
    </row>
    <row r="4476" spans="1:14" x14ac:dyDescent="0.25">
      <c r="A4476" t="str">
        <f t="shared" si="140"/>
        <v>U148136U148136</v>
      </c>
      <c r="B4476" t="str">
        <f t="shared" si="141"/>
        <v>U148136G90609SI-M</v>
      </c>
      <c r="C4476" s="1" t="s">
        <v>776</v>
      </c>
      <c r="D4476" s="1" t="s">
        <v>777</v>
      </c>
      <c r="E4476" s="1" t="s">
        <v>436</v>
      </c>
      <c r="F4476" s="1" t="s">
        <v>450</v>
      </c>
      <c r="G4476" s="1" t="s">
        <v>438</v>
      </c>
      <c r="H4476" s="1">
        <v>720</v>
      </c>
      <c r="I4476" s="3">
        <v>46283</v>
      </c>
      <c r="L4476" s="31">
        <v>46283.727516898143</v>
      </c>
      <c r="M4476" s="20">
        <v>6</v>
      </c>
      <c r="N4476" s="1">
        <v>13</v>
      </c>
    </row>
    <row r="4477" spans="1:14" x14ac:dyDescent="0.25">
      <c r="A4477" t="str">
        <f t="shared" si="140"/>
        <v>U148136U148136</v>
      </c>
      <c r="B4477" t="str">
        <f t="shared" si="141"/>
        <v>U148136G90609SI-M</v>
      </c>
      <c r="C4477" s="1" t="s">
        <v>776</v>
      </c>
      <c r="D4477" s="1" t="s">
        <v>777</v>
      </c>
      <c r="E4477" s="1" t="s">
        <v>436</v>
      </c>
      <c r="F4477" s="1" t="s">
        <v>450</v>
      </c>
      <c r="G4477" s="1" t="s">
        <v>438</v>
      </c>
      <c r="H4477" s="1">
        <v>720</v>
      </c>
      <c r="I4477" s="3">
        <v>46283</v>
      </c>
      <c r="L4477" s="31">
        <v>46283.727745682867</v>
      </c>
      <c r="M4477" s="20">
        <v>6</v>
      </c>
      <c r="N4477" s="1">
        <v>7</v>
      </c>
    </row>
    <row r="4478" spans="1:14" x14ac:dyDescent="0.25">
      <c r="A4478" t="str">
        <f t="shared" si="140"/>
        <v>U148136U148136</v>
      </c>
      <c r="B4478" t="str">
        <f t="shared" si="141"/>
        <v>U148136G90609SI-M</v>
      </c>
      <c r="C4478" s="1" t="s">
        <v>776</v>
      </c>
      <c r="D4478" s="1" t="s">
        <v>777</v>
      </c>
      <c r="E4478" s="1" t="s">
        <v>436</v>
      </c>
      <c r="F4478" s="1" t="s">
        <v>450</v>
      </c>
      <c r="G4478" s="1" t="s">
        <v>438</v>
      </c>
      <c r="H4478" s="1">
        <v>720</v>
      </c>
      <c r="I4478" s="3">
        <v>46283</v>
      </c>
      <c r="L4478" s="31">
        <v>46283.734262499995</v>
      </c>
      <c r="M4478" s="20">
        <v>6</v>
      </c>
      <c r="N4478" s="1">
        <v>15</v>
      </c>
    </row>
    <row r="4479" spans="1:14" x14ac:dyDescent="0.25">
      <c r="A4479" t="str">
        <f t="shared" si="140"/>
        <v>U152758U152758</v>
      </c>
      <c r="B4479" t="str">
        <f t="shared" si="141"/>
        <v>U152758P60368L-M</v>
      </c>
      <c r="C4479" s="1" t="s">
        <v>48</v>
      </c>
      <c r="D4479" s="1" t="s">
        <v>760</v>
      </c>
      <c r="E4479" s="1" t="s">
        <v>436</v>
      </c>
      <c r="F4479" s="1" t="s">
        <v>442</v>
      </c>
      <c r="G4479" s="1" t="s">
        <v>438</v>
      </c>
      <c r="H4479" s="1">
        <v>1200</v>
      </c>
      <c r="I4479" s="3">
        <v>46283</v>
      </c>
      <c r="L4479" s="31">
        <v>46283.427367511569</v>
      </c>
      <c r="M4479" s="20">
        <v>9</v>
      </c>
      <c r="N4479" s="1">
        <v>127</v>
      </c>
    </row>
    <row r="4480" spans="1:14" x14ac:dyDescent="0.25">
      <c r="A4480" t="str">
        <f t="shared" si="140"/>
        <v>U152758U152758</v>
      </c>
      <c r="B4480" t="str">
        <f t="shared" si="141"/>
        <v>U152758P60368L-M</v>
      </c>
      <c r="C4480" s="1" t="s">
        <v>48</v>
      </c>
      <c r="D4480" s="1" t="s">
        <v>760</v>
      </c>
      <c r="E4480" s="1" t="s">
        <v>436</v>
      </c>
      <c r="F4480" s="1" t="s">
        <v>442</v>
      </c>
      <c r="G4480" s="1" t="s">
        <v>438</v>
      </c>
      <c r="H4480" s="1">
        <v>1200</v>
      </c>
      <c r="I4480" s="3">
        <v>46283</v>
      </c>
      <c r="L4480" s="31">
        <v>46283.427539502314</v>
      </c>
      <c r="M4480" s="20">
        <v>9</v>
      </c>
      <c r="N4480" s="1">
        <v>131</v>
      </c>
    </row>
    <row r="4481" spans="1:14" x14ac:dyDescent="0.25">
      <c r="A4481" t="str">
        <f t="shared" si="140"/>
        <v>U152758U152758</v>
      </c>
      <c r="B4481" t="str">
        <f t="shared" si="141"/>
        <v>U152758P60368L-M</v>
      </c>
      <c r="C4481" s="1" t="s">
        <v>48</v>
      </c>
      <c r="D4481" s="1" t="s">
        <v>760</v>
      </c>
      <c r="E4481" s="1" t="s">
        <v>436</v>
      </c>
      <c r="F4481" s="1" t="s">
        <v>442</v>
      </c>
      <c r="G4481" s="1" t="s">
        <v>438</v>
      </c>
      <c r="H4481" s="1">
        <v>1200</v>
      </c>
      <c r="I4481" s="3">
        <v>46283</v>
      </c>
      <c r="L4481" s="31">
        <v>46283.443509490739</v>
      </c>
      <c r="M4481" s="20">
        <v>9</v>
      </c>
      <c r="N4481" s="1">
        <v>121</v>
      </c>
    </row>
    <row r="4482" spans="1:14" x14ac:dyDescent="0.25">
      <c r="A4482" t="str">
        <f t="shared" ref="A4482:A4545" si="142">+D4482&amp;D4482</f>
        <v>U152758U152758</v>
      </c>
      <c r="B4482" t="str">
        <f t="shared" ref="B4482:B4545" si="143">+D4482&amp;C4482</f>
        <v>U152758P60368L-M</v>
      </c>
      <c r="C4482" s="1" t="s">
        <v>48</v>
      </c>
      <c r="D4482" s="1" t="s">
        <v>760</v>
      </c>
      <c r="E4482" s="1" t="s">
        <v>436</v>
      </c>
      <c r="F4482" s="1" t="s">
        <v>442</v>
      </c>
      <c r="G4482" s="1" t="s">
        <v>438</v>
      </c>
      <c r="H4482" s="1">
        <v>1200</v>
      </c>
      <c r="I4482" s="3">
        <v>46283</v>
      </c>
      <c r="L4482" s="31">
        <v>46283.44378700231</v>
      </c>
      <c r="M4482" s="20">
        <v>9</v>
      </c>
      <c r="N4482" s="1">
        <v>128</v>
      </c>
    </row>
    <row r="4483" spans="1:14" x14ac:dyDescent="0.25">
      <c r="A4483" t="str">
        <f t="shared" si="142"/>
        <v>U152758U152758</v>
      </c>
      <c r="B4483" t="str">
        <f t="shared" si="143"/>
        <v>U152758P60368L-M</v>
      </c>
      <c r="C4483" s="1" t="s">
        <v>48</v>
      </c>
      <c r="D4483" s="1" t="s">
        <v>760</v>
      </c>
      <c r="E4483" s="1" t="s">
        <v>436</v>
      </c>
      <c r="F4483" s="1" t="s">
        <v>442</v>
      </c>
      <c r="G4483" s="1" t="s">
        <v>438</v>
      </c>
      <c r="H4483" s="1">
        <v>1200</v>
      </c>
      <c r="I4483" s="3">
        <v>46283</v>
      </c>
      <c r="L4483" s="31">
        <v>46283.444605092591</v>
      </c>
      <c r="M4483" s="20">
        <v>9</v>
      </c>
      <c r="N4483" s="1">
        <v>135</v>
      </c>
    </row>
    <row r="4484" spans="1:14" x14ac:dyDescent="0.25">
      <c r="A4484" t="str">
        <f t="shared" si="142"/>
        <v>U152758U152758</v>
      </c>
      <c r="B4484" t="str">
        <f t="shared" si="143"/>
        <v>U152758P60368L-M</v>
      </c>
      <c r="C4484" s="1" t="s">
        <v>48</v>
      </c>
      <c r="D4484" s="1" t="s">
        <v>760</v>
      </c>
      <c r="E4484" s="1" t="s">
        <v>436</v>
      </c>
      <c r="F4484" s="1" t="s">
        <v>442</v>
      </c>
      <c r="G4484" s="1" t="s">
        <v>438</v>
      </c>
      <c r="H4484" s="1">
        <v>1200</v>
      </c>
      <c r="I4484" s="3">
        <v>46283</v>
      </c>
      <c r="L4484" s="31">
        <v>46283.444811261572</v>
      </c>
      <c r="M4484" s="20">
        <v>9</v>
      </c>
      <c r="N4484" s="1">
        <v>130</v>
      </c>
    </row>
    <row r="4485" spans="1:14" x14ac:dyDescent="0.25">
      <c r="A4485" t="str">
        <f t="shared" si="142"/>
        <v>U152758U152758</v>
      </c>
      <c r="B4485" t="str">
        <f t="shared" si="143"/>
        <v>U152758P60368L-M</v>
      </c>
      <c r="C4485" s="1" t="s">
        <v>48</v>
      </c>
      <c r="D4485" s="1" t="s">
        <v>760</v>
      </c>
      <c r="E4485" s="1" t="s">
        <v>436</v>
      </c>
      <c r="F4485" s="1" t="s">
        <v>442</v>
      </c>
      <c r="G4485" s="1" t="s">
        <v>438</v>
      </c>
      <c r="H4485" s="1">
        <v>1200</v>
      </c>
      <c r="I4485" s="3">
        <v>46283</v>
      </c>
      <c r="L4485" s="31">
        <v>46283.44510315972</v>
      </c>
      <c r="M4485" s="20">
        <v>9</v>
      </c>
      <c r="N4485" s="1">
        <v>133</v>
      </c>
    </row>
    <row r="4486" spans="1:14" x14ac:dyDescent="0.25">
      <c r="A4486" t="str">
        <f t="shared" si="142"/>
        <v>U152758U152758</v>
      </c>
      <c r="B4486" t="str">
        <f t="shared" si="143"/>
        <v>U152758P60368L-M</v>
      </c>
      <c r="C4486" s="1" t="s">
        <v>48</v>
      </c>
      <c r="D4486" s="1" t="s">
        <v>760</v>
      </c>
      <c r="E4486" s="1" t="s">
        <v>436</v>
      </c>
      <c r="F4486" s="1" t="s">
        <v>442</v>
      </c>
      <c r="G4486" s="1" t="s">
        <v>438</v>
      </c>
      <c r="H4486" s="1">
        <v>1200</v>
      </c>
      <c r="I4486" s="3">
        <v>46283</v>
      </c>
      <c r="L4486" s="31">
        <v>46283.455398148144</v>
      </c>
      <c r="M4486" s="20">
        <v>9</v>
      </c>
      <c r="N4486" s="1">
        <v>145</v>
      </c>
    </row>
    <row r="4487" spans="1:14" x14ac:dyDescent="0.25">
      <c r="A4487" t="str">
        <f t="shared" si="142"/>
        <v>U152758U152758</v>
      </c>
      <c r="B4487" t="str">
        <f t="shared" si="143"/>
        <v>U152758P60368L-M</v>
      </c>
      <c r="C4487" s="1" t="s">
        <v>48</v>
      </c>
      <c r="D4487" s="1" t="s">
        <v>760</v>
      </c>
      <c r="E4487" s="1" t="s">
        <v>436</v>
      </c>
      <c r="F4487" s="1" t="s">
        <v>442</v>
      </c>
      <c r="G4487" s="1" t="s">
        <v>438</v>
      </c>
      <c r="H4487" s="1">
        <v>1200</v>
      </c>
      <c r="I4487" s="3">
        <v>46283</v>
      </c>
      <c r="L4487" s="31">
        <v>46283.455575081018</v>
      </c>
      <c r="M4487" s="20">
        <v>9</v>
      </c>
      <c r="N4487" s="1">
        <v>125</v>
      </c>
    </row>
    <row r="4488" spans="1:14" x14ac:dyDescent="0.25">
      <c r="A4488" t="str">
        <f t="shared" si="142"/>
        <v>U152758U152758</v>
      </c>
      <c r="B4488" t="str">
        <f t="shared" si="143"/>
        <v>U152758P60368L-M</v>
      </c>
      <c r="C4488" s="1" t="s">
        <v>48</v>
      </c>
      <c r="D4488" s="1" t="s">
        <v>760</v>
      </c>
      <c r="E4488" s="1" t="s">
        <v>436</v>
      </c>
      <c r="F4488" s="1" t="s">
        <v>442</v>
      </c>
      <c r="G4488" s="1" t="s">
        <v>438</v>
      </c>
      <c r="H4488" s="1">
        <v>1200</v>
      </c>
      <c r="I4488" s="3">
        <v>46283</v>
      </c>
      <c r="L4488" s="31">
        <v>46283.455953854165</v>
      </c>
      <c r="M4488" s="20">
        <v>9</v>
      </c>
      <c r="N4488" s="1">
        <v>129</v>
      </c>
    </row>
    <row r="4489" spans="1:14" x14ac:dyDescent="0.25">
      <c r="A4489" t="str">
        <f t="shared" si="142"/>
        <v>U152758U152758</v>
      </c>
      <c r="B4489" t="str">
        <f t="shared" si="143"/>
        <v>U152758P60368L-M</v>
      </c>
      <c r="C4489" s="1" t="s">
        <v>48</v>
      </c>
      <c r="D4489" s="1" t="s">
        <v>760</v>
      </c>
      <c r="E4489" s="1" t="s">
        <v>436</v>
      </c>
      <c r="F4489" s="1" t="s">
        <v>442</v>
      </c>
      <c r="G4489" s="1" t="s">
        <v>438</v>
      </c>
      <c r="H4489" s="1">
        <v>1200</v>
      </c>
      <c r="I4489" s="3">
        <v>46283</v>
      </c>
      <c r="L4489" s="31">
        <v>46283.456186192125</v>
      </c>
      <c r="M4489" s="20">
        <v>9</v>
      </c>
      <c r="N4489" s="1">
        <v>140</v>
      </c>
    </row>
    <row r="4490" spans="1:14" x14ac:dyDescent="0.25">
      <c r="A4490" t="str">
        <f t="shared" si="142"/>
        <v>U152758U152758</v>
      </c>
      <c r="B4490" t="str">
        <f t="shared" si="143"/>
        <v>U152758P60368L-M</v>
      </c>
      <c r="C4490" s="1" t="s">
        <v>48</v>
      </c>
      <c r="D4490" s="1" t="s">
        <v>760</v>
      </c>
      <c r="E4490" s="1" t="s">
        <v>436</v>
      </c>
      <c r="F4490" s="1" t="s">
        <v>442</v>
      </c>
      <c r="G4490" s="1" t="s">
        <v>438</v>
      </c>
      <c r="H4490" s="1">
        <v>1200</v>
      </c>
      <c r="I4490" s="3">
        <v>46283</v>
      </c>
      <c r="L4490" s="31">
        <v>46283.470926655093</v>
      </c>
      <c r="M4490" s="20">
        <v>9</v>
      </c>
      <c r="N4490" s="1">
        <v>144</v>
      </c>
    </row>
    <row r="4491" spans="1:14" x14ac:dyDescent="0.25">
      <c r="A4491" t="str">
        <f t="shared" si="142"/>
        <v>U152758U152758</v>
      </c>
      <c r="B4491" t="str">
        <f t="shared" si="143"/>
        <v>U152758P60368L-M</v>
      </c>
      <c r="C4491" s="1" t="s">
        <v>48</v>
      </c>
      <c r="D4491" s="1" t="s">
        <v>760</v>
      </c>
      <c r="E4491" s="1" t="s">
        <v>436</v>
      </c>
      <c r="F4491" s="1" t="s">
        <v>442</v>
      </c>
      <c r="G4491" s="1" t="s">
        <v>438</v>
      </c>
      <c r="H4491" s="1">
        <v>1200</v>
      </c>
      <c r="I4491" s="3">
        <v>46283</v>
      </c>
      <c r="L4491" s="31">
        <v>46283.47169421296</v>
      </c>
      <c r="M4491" s="20">
        <v>9</v>
      </c>
      <c r="N4491" s="1">
        <v>120</v>
      </c>
    </row>
    <row r="4492" spans="1:14" x14ac:dyDescent="0.25">
      <c r="A4492" t="str">
        <f t="shared" si="142"/>
        <v>U152758U152758</v>
      </c>
      <c r="B4492" t="str">
        <f t="shared" si="143"/>
        <v>U152758P60368L-M</v>
      </c>
      <c r="C4492" s="1" t="s">
        <v>48</v>
      </c>
      <c r="D4492" s="1" t="s">
        <v>760</v>
      </c>
      <c r="E4492" s="1" t="s">
        <v>436</v>
      </c>
      <c r="F4492" s="1" t="s">
        <v>442</v>
      </c>
      <c r="G4492" s="1" t="s">
        <v>438</v>
      </c>
      <c r="H4492" s="1">
        <v>1200</v>
      </c>
      <c r="I4492" s="3">
        <v>46283</v>
      </c>
      <c r="L4492" s="31">
        <v>46283.551953124996</v>
      </c>
      <c r="M4492" s="20">
        <v>9</v>
      </c>
      <c r="N4492" s="1">
        <v>134</v>
      </c>
    </row>
    <row r="4493" spans="1:14" x14ac:dyDescent="0.25">
      <c r="A4493" t="str">
        <f t="shared" si="142"/>
        <v>U152758U152758</v>
      </c>
      <c r="B4493" t="str">
        <f t="shared" si="143"/>
        <v>U152758P60368L-M</v>
      </c>
      <c r="C4493" s="1" t="s">
        <v>48</v>
      </c>
      <c r="D4493" s="1" t="s">
        <v>760</v>
      </c>
      <c r="E4493" s="1" t="s">
        <v>436</v>
      </c>
      <c r="F4493" s="1" t="s">
        <v>442</v>
      </c>
      <c r="G4493" s="1" t="s">
        <v>438</v>
      </c>
      <c r="H4493" s="1">
        <v>1200</v>
      </c>
      <c r="I4493" s="3">
        <v>46283</v>
      </c>
      <c r="L4493" s="31">
        <v>46283.552496064811</v>
      </c>
      <c r="M4493" s="20">
        <v>9</v>
      </c>
      <c r="N4493" s="1">
        <v>136</v>
      </c>
    </row>
    <row r="4494" spans="1:14" x14ac:dyDescent="0.25">
      <c r="A4494" t="str">
        <f t="shared" si="142"/>
        <v>U152758U152758</v>
      </c>
      <c r="B4494" t="str">
        <f t="shared" si="143"/>
        <v>U152758P60368L-M</v>
      </c>
      <c r="C4494" s="1" t="s">
        <v>48</v>
      </c>
      <c r="D4494" s="1" t="s">
        <v>760</v>
      </c>
      <c r="E4494" s="1" t="s">
        <v>436</v>
      </c>
      <c r="F4494" s="1" t="s">
        <v>442</v>
      </c>
      <c r="G4494" s="1" t="s">
        <v>438</v>
      </c>
      <c r="H4494" s="1">
        <v>1200</v>
      </c>
      <c r="I4494" s="3">
        <v>46283</v>
      </c>
      <c r="L4494" s="31">
        <v>46283.552927314813</v>
      </c>
      <c r="M4494" s="20">
        <v>9</v>
      </c>
      <c r="N4494" s="1">
        <v>143</v>
      </c>
    </row>
    <row r="4495" spans="1:14" x14ac:dyDescent="0.25">
      <c r="A4495" t="str">
        <f t="shared" si="142"/>
        <v>U152758U152758</v>
      </c>
      <c r="B4495" t="str">
        <f t="shared" si="143"/>
        <v>U152758P60368L-M</v>
      </c>
      <c r="C4495" s="1" t="s">
        <v>48</v>
      </c>
      <c r="D4495" s="1" t="s">
        <v>760</v>
      </c>
      <c r="E4495" s="1" t="s">
        <v>436</v>
      </c>
      <c r="F4495" s="1" t="s">
        <v>442</v>
      </c>
      <c r="G4495" s="1" t="s">
        <v>438</v>
      </c>
      <c r="H4495" s="1">
        <v>1200</v>
      </c>
      <c r="I4495" s="3">
        <v>46283</v>
      </c>
      <c r="L4495" s="31">
        <v>46283.55647265046</v>
      </c>
      <c r="M4495" s="20">
        <v>9</v>
      </c>
      <c r="N4495" s="1">
        <v>142</v>
      </c>
    </row>
    <row r="4496" spans="1:14" x14ac:dyDescent="0.25">
      <c r="A4496" t="str">
        <f t="shared" si="142"/>
        <v>U152758U152758</v>
      </c>
      <c r="B4496" t="str">
        <f t="shared" si="143"/>
        <v>U152758P60368L-M</v>
      </c>
      <c r="C4496" s="1" t="s">
        <v>48</v>
      </c>
      <c r="D4496" s="1" t="s">
        <v>760</v>
      </c>
      <c r="E4496" s="1" t="s">
        <v>436</v>
      </c>
      <c r="F4496" s="1" t="s">
        <v>442</v>
      </c>
      <c r="G4496" s="1" t="s">
        <v>438</v>
      </c>
      <c r="H4496" s="1">
        <v>1200</v>
      </c>
      <c r="I4496" s="3">
        <v>46283</v>
      </c>
      <c r="L4496" s="31">
        <v>46283.556680243055</v>
      </c>
      <c r="M4496" s="20">
        <v>9</v>
      </c>
      <c r="N4496" s="1">
        <v>126</v>
      </c>
    </row>
    <row r="4497" spans="1:14" x14ac:dyDescent="0.25">
      <c r="A4497" t="str">
        <f t="shared" si="142"/>
        <v>U152758U152758</v>
      </c>
      <c r="B4497" t="str">
        <f t="shared" si="143"/>
        <v>U152758P60368L-M</v>
      </c>
      <c r="C4497" s="1" t="s">
        <v>48</v>
      </c>
      <c r="D4497" s="1" t="s">
        <v>760</v>
      </c>
      <c r="E4497" s="1" t="s">
        <v>436</v>
      </c>
      <c r="F4497" s="1" t="s">
        <v>442</v>
      </c>
      <c r="G4497" s="1" t="s">
        <v>438</v>
      </c>
      <c r="H4497" s="1">
        <v>1200</v>
      </c>
      <c r="I4497" s="3">
        <v>46283</v>
      </c>
      <c r="L4497" s="31">
        <v>46283.556859571756</v>
      </c>
      <c r="M4497" s="20">
        <v>9</v>
      </c>
      <c r="N4497" s="1">
        <v>137</v>
      </c>
    </row>
    <row r="4498" spans="1:14" x14ac:dyDescent="0.25">
      <c r="A4498" t="str">
        <f t="shared" si="142"/>
        <v>U152758U152758</v>
      </c>
      <c r="B4498" t="str">
        <f t="shared" si="143"/>
        <v>U152758P60368L-M</v>
      </c>
      <c r="C4498" s="1" t="s">
        <v>48</v>
      </c>
      <c r="D4498" s="1" t="s">
        <v>760</v>
      </c>
      <c r="E4498" s="1" t="s">
        <v>436</v>
      </c>
      <c r="F4498" s="1" t="s">
        <v>442</v>
      </c>
      <c r="G4498" s="1" t="s">
        <v>438</v>
      </c>
      <c r="H4498" s="1">
        <v>1200</v>
      </c>
      <c r="I4498" s="3">
        <v>46283</v>
      </c>
      <c r="L4498" s="31">
        <v>46283.55704699074</v>
      </c>
      <c r="M4498" s="20">
        <v>9</v>
      </c>
      <c r="N4498" s="1">
        <v>132</v>
      </c>
    </row>
    <row r="4499" spans="1:14" x14ac:dyDescent="0.25">
      <c r="A4499" t="str">
        <f t="shared" si="142"/>
        <v>U152758U152758</v>
      </c>
      <c r="B4499" t="str">
        <f t="shared" si="143"/>
        <v>U152758P60368L-M</v>
      </c>
      <c r="C4499" s="1" t="s">
        <v>48</v>
      </c>
      <c r="D4499" s="1" t="s">
        <v>760</v>
      </c>
      <c r="E4499" s="1" t="s">
        <v>436</v>
      </c>
      <c r="F4499" s="1" t="s">
        <v>442</v>
      </c>
      <c r="G4499" s="1" t="s">
        <v>438</v>
      </c>
      <c r="H4499" s="1">
        <v>1200</v>
      </c>
      <c r="I4499" s="3">
        <v>46283</v>
      </c>
      <c r="L4499" s="31">
        <v>46283.577196759259</v>
      </c>
      <c r="M4499" s="20">
        <v>9</v>
      </c>
      <c r="N4499" s="1">
        <v>141</v>
      </c>
    </row>
    <row r="4500" spans="1:14" x14ac:dyDescent="0.25">
      <c r="A4500" t="str">
        <f t="shared" si="142"/>
        <v>U152758U152758</v>
      </c>
      <c r="B4500" t="str">
        <f t="shared" si="143"/>
        <v>U152758P60368L-M</v>
      </c>
      <c r="C4500" s="1" t="s">
        <v>48</v>
      </c>
      <c r="D4500" s="1" t="s">
        <v>760</v>
      </c>
      <c r="E4500" s="1" t="s">
        <v>436</v>
      </c>
      <c r="F4500" s="1" t="s">
        <v>442</v>
      </c>
      <c r="G4500" s="1" t="s">
        <v>438</v>
      </c>
      <c r="H4500" s="1">
        <v>1200</v>
      </c>
      <c r="I4500" s="3">
        <v>46283</v>
      </c>
      <c r="L4500" s="31">
        <v>46283.577406018514</v>
      </c>
      <c r="M4500" s="20">
        <v>9</v>
      </c>
      <c r="N4500" s="1">
        <v>149</v>
      </c>
    </row>
    <row r="4501" spans="1:14" x14ac:dyDescent="0.25">
      <c r="A4501" t="str">
        <f t="shared" si="142"/>
        <v>U152758U152758</v>
      </c>
      <c r="B4501" t="str">
        <f t="shared" si="143"/>
        <v>U152758P60368L-M</v>
      </c>
      <c r="C4501" s="1" t="s">
        <v>48</v>
      </c>
      <c r="D4501" s="1" t="s">
        <v>760</v>
      </c>
      <c r="E4501" s="1" t="s">
        <v>436</v>
      </c>
      <c r="F4501" s="1" t="s">
        <v>442</v>
      </c>
      <c r="G4501" s="1" t="s">
        <v>438</v>
      </c>
      <c r="H4501" s="1">
        <v>1200</v>
      </c>
      <c r="I4501" s="3">
        <v>46283</v>
      </c>
      <c r="L4501" s="31">
        <v>46283.578235763889</v>
      </c>
      <c r="M4501" s="20">
        <v>9</v>
      </c>
      <c r="N4501" s="1">
        <v>147</v>
      </c>
    </row>
    <row r="4502" spans="1:14" x14ac:dyDescent="0.25">
      <c r="A4502" t="str">
        <f t="shared" si="142"/>
        <v>U152758U152758</v>
      </c>
      <c r="B4502" t="str">
        <f t="shared" si="143"/>
        <v>U152758P60368L-M</v>
      </c>
      <c r="C4502" s="1" t="s">
        <v>48</v>
      </c>
      <c r="D4502" s="1" t="s">
        <v>760</v>
      </c>
      <c r="E4502" s="1" t="s">
        <v>436</v>
      </c>
      <c r="F4502" s="1" t="s">
        <v>442</v>
      </c>
      <c r="G4502" s="1" t="s">
        <v>438</v>
      </c>
      <c r="H4502" s="1">
        <v>1200</v>
      </c>
      <c r="I4502" s="3">
        <v>46283</v>
      </c>
      <c r="L4502" s="31">
        <v>46283.578443599537</v>
      </c>
      <c r="M4502" s="20">
        <v>9</v>
      </c>
      <c r="N4502" s="1">
        <v>148</v>
      </c>
    </row>
    <row r="4503" spans="1:14" x14ac:dyDescent="0.25">
      <c r="A4503" t="str">
        <f t="shared" si="142"/>
        <v>U152758U152758</v>
      </c>
      <c r="B4503" t="str">
        <f t="shared" si="143"/>
        <v>U152758P60368L-M</v>
      </c>
      <c r="C4503" s="1" t="s">
        <v>48</v>
      </c>
      <c r="D4503" s="1" t="s">
        <v>760</v>
      </c>
      <c r="E4503" s="1" t="s">
        <v>436</v>
      </c>
      <c r="F4503" s="1" t="s">
        <v>442</v>
      </c>
      <c r="G4503" s="1" t="s">
        <v>438</v>
      </c>
      <c r="H4503" s="1">
        <v>1200</v>
      </c>
      <c r="I4503" s="3">
        <v>46283</v>
      </c>
      <c r="L4503" s="31">
        <v>46283.578672418982</v>
      </c>
      <c r="M4503" s="20">
        <v>9</v>
      </c>
      <c r="N4503" s="1">
        <v>124</v>
      </c>
    </row>
    <row r="4504" spans="1:14" x14ac:dyDescent="0.25">
      <c r="A4504" t="str">
        <f t="shared" si="142"/>
        <v>U152758U152758</v>
      </c>
      <c r="B4504" t="str">
        <f t="shared" si="143"/>
        <v>U152758P60368L-M</v>
      </c>
      <c r="C4504" s="1" t="s">
        <v>48</v>
      </c>
      <c r="D4504" s="1" t="s">
        <v>760</v>
      </c>
      <c r="E4504" s="1" t="s">
        <v>436</v>
      </c>
      <c r="F4504" s="1" t="s">
        <v>442</v>
      </c>
      <c r="G4504" s="1" t="s">
        <v>438</v>
      </c>
      <c r="H4504" s="1">
        <v>1200</v>
      </c>
      <c r="I4504" s="3">
        <v>46283</v>
      </c>
      <c r="L4504" s="31">
        <v>46283.579260613427</v>
      </c>
      <c r="M4504" s="20">
        <v>9</v>
      </c>
      <c r="N4504" s="1">
        <v>156</v>
      </c>
    </row>
    <row r="4505" spans="1:14" x14ac:dyDescent="0.25">
      <c r="A4505" t="str">
        <f t="shared" si="142"/>
        <v>U152758U152758</v>
      </c>
      <c r="B4505" t="str">
        <f t="shared" si="143"/>
        <v>U152758P60368L-M</v>
      </c>
      <c r="C4505" s="1" t="s">
        <v>48</v>
      </c>
      <c r="D4505" s="1" t="s">
        <v>760</v>
      </c>
      <c r="E4505" s="1" t="s">
        <v>436</v>
      </c>
      <c r="F4505" s="1" t="s">
        <v>442</v>
      </c>
      <c r="G4505" s="1" t="s">
        <v>438</v>
      </c>
      <c r="H4505" s="1">
        <v>1200</v>
      </c>
      <c r="I4505" s="3">
        <v>46283</v>
      </c>
      <c r="L4505" s="31">
        <v>46283.579429363424</v>
      </c>
      <c r="M4505" s="20">
        <v>9</v>
      </c>
      <c r="N4505" s="1">
        <v>150</v>
      </c>
    </row>
    <row r="4506" spans="1:14" x14ac:dyDescent="0.25">
      <c r="A4506" t="str">
        <f t="shared" si="142"/>
        <v>U152758U152758</v>
      </c>
      <c r="B4506" t="str">
        <f t="shared" si="143"/>
        <v>U152758P60368L-M</v>
      </c>
      <c r="C4506" s="1" t="s">
        <v>48</v>
      </c>
      <c r="D4506" s="1" t="s">
        <v>760</v>
      </c>
      <c r="E4506" s="1" t="s">
        <v>436</v>
      </c>
      <c r="F4506" s="1" t="s">
        <v>442</v>
      </c>
      <c r="G4506" s="1" t="s">
        <v>438</v>
      </c>
      <c r="H4506" s="1">
        <v>1200</v>
      </c>
      <c r="I4506" s="3">
        <v>46283</v>
      </c>
      <c r="L4506" s="31">
        <v>46283.579764780094</v>
      </c>
      <c r="M4506" s="20">
        <v>9</v>
      </c>
      <c r="N4506" s="1">
        <v>157</v>
      </c>
    </row>
    <row r="4507" spans="1:14" x14ac:dyDescent="0.25">
      <c r="A4507" t="str">
        <f t="shared" si="142"/>
        <v>U152758U152758</v>
      </c>
      <c r="B4507" t="str">
        <f t="shared" si="143"/>
        <v>U152758P60368L-M</v>
      </c>
      <c r="C4507" s="1" t="s">
        <v>48</v>
      </c>
      <c r="D4507" s="1" t="s">
        <v>760</v>
      </c>
      <c r="E4507" s="1" t="s">
        <v>436</v>
      </c>
      <c r="F4507" s="1" t="s">
        <v>442</v>
      </c>
      <c r="G4507" s="1" t="s">
        <v>438</v>
      </c>
      <c r="H4507" s="1">
        <v>1200</v>
      </c>
      <c r="I4507" s="3">
        <v>46283</v>
      </c>
      <c r="L4507" s="31">
        <v>46283.580303124996</v>
      </c>
      <c r="M4507" s="20">
        <v>9</v>
      </c>
      <c r="N4507" s="1">
        <v>153</v>
      </c>
    </row>
    <row r="4508" spans="1:14" x14ac:dyDescent="0.25">
      <c r="A4508" t="str">
        <f t="shared" si="142"/>
        <v>U152758U152758</v>
      </c>
      <c r="B4508" t="str">
        <f t="shared" si="143"/>
        <v>U152758P60368L-M</v>
      </c>
      <c r="C4508" s="1" t="s">
        <v>48</v>
      </c>
      <c r="D4508" s="1" t="s">
        <v>760</v>
      </c>
      <c r="E4508" s="1" t="s">
        <v>436</v>
      </c>
      <c r="F4508" s="1" t="s">
        <v>442</v>
      </c>
      <c r="G4508" s="1" t="s">
        <v>438</v>
      </c>
      <c r="H4508" s="1">
        <v>1200</v>
      </c>
      <c r="I4508" s="3">
        <v>46283</v>
      </c>
      <c r="L4508" s="31">
        <v>46283.583640856479</v>
      </c>
      <c r="M4508" s="20">
        <v>9</v>
      </c>
      <c r="N4508" s="1">
        <v>146</v>
      </c>
    </row>
    <row r="4509" spans="1:14" x14ac:dyDescent="0.25">
      <c r="A4509" t="str">
        <f t="shared" si="142"/>
        <v>U152758U152758</v>
      </c>
      <c r="B4509" t="str">
        <f t="shared" si="143"/>
        <v>U152758P60368L-M</v>
      </c>
      <c r="C4509" s="1" t="s">
        <v>48</v>
      </c>
      <c r="D4509" s="1" t="s">
        <v>760</v>
      </c>
      <c r="E4509" s="1" t="s">
        <v>436</v>
      </c>
      <c r="F4509" s="1" t="s">
        <v>442</v>
      </c>
      <c r="G4509" s="1" t="s">
        <v>438</v>
      </c>
      <c r="H4509" s="1">
        <v>1200</v>
      </c>
      <c r="I4509" s="3">
        <v>46283</v>
      </c>
      <c r="L4509" s="31">
        <v>46283.583792592588</v>
      </c>
      <c r="M4509" s="20">
        <v>9</v>
      </c>
      <c r="N4509" s="1">
        <v>152</v>
      </c>
    </row>
    <row r="4510" spans="1:14" x14ac:dyDescent="0.25">
      <c r="A4510" t="str">
        <f t="shared" si="142"/>
        <v>U152758U152758</v>
      </c>
      <c r="B4510" t="str">
        <f t="shared" si="143"/>
        <v>U152758P60368L-M</v>
      </c>
      <c r="C4510" s="1" t="s">
        <v>48</v>
      </c>
      <c r="D4510" s="1" t="s">
        <v>760</v>
      </c>
      <c r="E4510" s="1" t="s">
        <v>436</v>
      </c>
      <c r="F4510" s="1" t="s">
        <v>442</v>
      </c>
      <c r="G4510" s="1" t="s">
        <v>438</v>
      </c>
      <c r="H4510" s="1">
        <v>1200</v>
      </c>
      <c r="I4510" s="3">
        <v>46283</v>
      </c>
      <c r="L4510" s="31">
        <v>46283.583993252316</v>
      </c>
      <c r="M4510" s="20">
        <v>9</v>
      </c>
      <c r="N4510" s="1">
        <v>138</v>
      </c>
    </row>
    <row r="4511" spans="1:14" x14ac:dyDescent="0.25">
      <c r="A4511" t="str">
        <f t="shared" si="142"/>
        <v>U152758U152758</v>
      </c>
      <c r="B4511" t="str">
        <f t="shared" si="143"/>
        <v>U152758P60368L-M</v>
      </c>
      <c r="C4511" s="1" t="s">
        <v>48</v>
      </c>
      <c r="D4511" s="1" t="s">
        <v>760</v>
      </c>
      <c r="E4511" s="1" t="s">
        <v>436</v>
      </c>
      <c r="F4511" s="1" t="s">
        <v>442</v>
      </c>
      <c r="G4511" s="1" t="s">
        <v>438</v>
      </c>
      <c r="H4511" s="1">
        <v>1200</v>
      </c>
      <c r="I4511" s="3">
        <v>46283</v>
      </c>
      <c r="L4511" s="31">
        <v>46283.584196145828</v>
      </c>
      <c r="M4511" s="20">
        <v>9</v>
      </c>
      <c r="N4511" s="1">
        <v>151</v>
      </c>
    </row>
    <row r="4512" spans="1:14" x14ac:dyDescent="0.25">
      <c r="A4512" t="str">
        <f t="shared" si="142"/>
        <v>U152758U152758</v>
      </c>
      <c r="B4512" t="str">
        <f t="shared" si="143"/>
        <v>U152758P60368L-M</v>
      </c>
      <c r="C4512" s="1" t="s">
        <v>48</v>
      </c>
      <c r="D4512" s="1" t="s">
        <v>760</v>
      </c>
      <c r="E4512" s="1" t="s">
        <v>436</v>
      </c>
      <c r="F4512" s="1" t="s">
        <v>442</v>
      </c>
      <c r="G4512" s="1" t="s">
        <v>438</v>
      </c>
      <c r="H4512" s="1">
        <v>1200</v>
      </c>
      <c r="I4512" s="3">
        <v>46283</v>
      </c>
      <c r="L4512" s="31">
        <v>46283.584351736106</v>
      </c>
      <c r="M4512" s="20">
        <v>9</v>
      </c>
      <c r="N4512" s="1">
        <v>139</v>
      </c>
    </row>
    <row r="4513" spans="1:14" x14ac:dyDescent="0.25">
      <c r="A4513" t="str">
        <f t="shared" si="142"/>
        <v>U152758U152758</v>
      </c>
      <c r="B4513" t="str">
        <f t="shared" si="143"/>
        <v>U152758P60368L-M</v>
      </c>
      <c r="C4513" s="1" t="s">
        <v>48</v>
      </c>
      <c r="D4513" s="1" t="s">
        <v>760</v>
      </c>
      <c r="E4513" s="1" t="s">
        <v>436</v>
      </c>
      <c r="F4513" s="1" t="s">
        <v>442</v>
      </c>
      <c r="G4513" s="1" t="s">
        <v>438</v>
      </c>
      <c r="H4513" s="1">
        <v>1200</v>
      </c>
      <c r="I4513" s="3">
        <v>46283</v>
      </c>
      <c r="L4513" s="31">
        <v>46283.585188622681</v>
      </c>
      <c r="M4513" s="20">
        <v>9</v>
      </c>
      <c r="N4513" s="1">
        <v>155</v>
      </c>
    </row>
    <row r="4514" spans="1:14" x14ac:dyDescent="0.25">
      <c r="A4514" t="str">
        <f t="shared" si="142"/>
        <v>U152758U152758</v>
      </c>
      <c r="B4514" t="str">
        <f t="shared" si="143"/>
        <v>U152758P60368L-M</v>
      </c>
      <c r="C4514" s="1" t="s">
        <v>48</v>
      </c>
      <c r="D4514" s="1" t="s">
        <v>760</v>
      </c>
      <c r="E4514" s="1" t="s">
        <v>436</v>
      </c>
      <c r="F4514" s="1" t="s">
        <v>442</v>
      </c>
      <c r="G4514" s="1" t="s">
        <v>438</v>
      </c>
      <c r="H4514" s="1">
        <v>1200</v>
      </c>
      <c r="I4514" s="3">
        <v>46283</v>
      </c>
      <c r="L4514" s="31">
        <v>46283.585536377315</v>
      </c>
      <c r="M4514" s="20">
        <v>9</v>
      </c>
      <c r="N4514" s="1">
        <v>123</v>
      </c>
    </row>
    <row r="4515" spans="1:14" x14ac:dyDescent="0.25">
      <c r="A4515" t="str">
        <f t="shared" si="142"/>
        <v>U152758U152758</v>
      </c>
      <c r="B4515" t="str">
        <f t="shared" si="143"/>
        <v>U152758P60368L-M</v>
      </c>
      <c r="C4515" s="1" t="s">
        <v>48</v>
      </c>
      <c r="D4515" s="1" t="s">
        <v>760</v>
      </c>
      <c r="E4515" s="1" t="s">
        <v>436</v>
      </c>
      <c r="F4515" s="1" t="s">
        <v>442</v>
      </c>
      <c r="G4515" s="1" t="s">
        <v>438</v>
      </c>
      <c r="H4515" s="1">
        <v>1200</v>
      </c>
      <c r="I4515" s="3">
        <v>46283</v>
      </c>
      <c r="L4515" s="31">
        <v>46283.586306331017</v>
      </c>
      <c r="M4515" s="20">
        <v>9</v>
      </c>
      <c r="N4515" s="1">
        <v>122</v>
      </c>
    </row>
    <row r="4516" spans="1:14" x14ac:dyDescent="0.25">
      <c r="A4516" t="str">
        <f t="shared" si="142"/>
        <v>U152758U152758</v>
      </c>
      <c r="B4516" t="str">
        <f t="shared" si="143"/>
        <v>U152758P60368L-M</v>
      </c>
      <c r="C4516" s="1" t="s">
        <v>48</v>
      </c>
      <c r="D4516" s="1" t="s">
        <v>760</v>
      </c>
      <c r="E4516" s="1" t="s">
        <v>436</v>
      </c>
      <c r="F4516" s="1" t="s">
        <v>442</v>
      </c>
      <c r="G4516" s="1" t="s">
        <v>438</v>
      </c>
      <c r="H4516" s="1">
        <v>1200</v>
      </c>
      <c r="I4516" s="3">
        <v>46283</v>
      </c>
      <c r="L4516" s="31">
        <v>46283.594510069444</v>
      </c>
      <c r="M4516" s="20">
        <v>6</v>
      </c>
      <c r="N4516" s="1">
        <v>62</v>
      </c>
    </row>
    <row r="4517" spans="1:14" x14ac:dyDescent="0.25">
      <c r="A4517" t="str">
        <f t="shared" si="142"/>
        <v>U152758U152758</v>
      </c>
      <c r="B4517" t="str">
        <f t="shared" si="143"/>
        <v>U152758P60368L-M</v>
      </c>
      <c r="C4517" s="1" t="s">
        <v>48</v>
      </c>
      <c r="D4517" s="1" t="s">
        <v>760</v>
      </c>
      <c r="E4517" s="1" t="s">
        <v>436</v>
      </c>
      <c r="F4517" s="1" t="s">
        <v>442</v>
      </c>
      <c r="G4517" s="1" t="s">
        <v>438</v>
      </c>
      <c r="H4517" s="1">
        <v>1200</v>
      </c>
      <c r="I4517" s="3">
        <v>46283</v>
      </c>
      <c r="L4517" s="31">
        <v>46283.602756249995</v>
      </c>
      <c r="M4517" s="20">
        <v>6</v>
      </c>
      <c r="N4517" s="1">
        <v>64</v>
      </c>
    </row>
    <row r="4518" spans="1:14" x14ac:dyDescent="0.25">
      <c r="A4518" t="str">
        <f t="shared" si="142"/>
        <v>U152758U152758</v>
      </c>
      <c r="B4518" t="str">
        <f t="shared" si="143"/>
        <v>U152758P60368L-M</v>
      </c>
      <c r="C4518" s="1" t="s">
        <v>48</v>
      </c>
      <c r="D4518" s="1" t="s">
        <v>760</v>
      </c>
      <c r="E4518" s="1" t="s">
        <v>436</v>
      </c>
      <c r="F4518" s="1" t="s">
        <v>442</v>
      </c>
      <c r="G4518" s="1" t="s">
        <v>438</v>
      </c>
      <c r="H4518" s="1">
        <v>1200</v>
      </c>
      <c r="I4518" s="3">
        <v>46283</v>
      </c>
      <c r="L4518" s="31">
        <v>46283.603113923607</v>
      </c>
      <c r="M4518" s="20">
        <v>6</v>
      </c>
      <c r="N4518" s="1">
        <v>63</v>
      </c>
    </row>
    <row r="4519" spans="1:14" x14ac:dyDescent="0.25">
      <c r="A4519" t="str">
        <f t="shared" si="142"/>
        <v>U152758U152758</v>
      </c>
      <c r="B4519" t="str">
        <f t="shared" si="143"/>
        <v>U152758P60368L-M</v>
      </c>
      <c r="C4519" s="1" t="s">
        <v>48</v>
      </c>
      <c r="D4519" s="1" t="s">
        <v>760</v>
      </c>
      <c r="E4519" s="1" t="s">
        <v>436</v>
      </c>
      <c r="F4519" s="1" t="s">
        <v>442</v>
      </c>
      <c r="G4519" s="1" t="s">
        <v>438</v>
      </c>
      <c r="H4519" s="1">
        <v>1200</v>
      </c>
      <c r="I4519" s="3">
        <v>46283</v>
      </c>
      <c r="L4519" s="31">
        <v>46283.603641203699</v>
      </c>
      <c r="M4519" s="20">
        <v>6</v>
      </c>
      <c r="N4519" s="1">
        <v>65</v>
      </c>
    </row>
    <row r="4520" spans="1:14" x14ac:dyDescent="0.25">
      <c r="A4520" t="str">
        <f t="shared" si="142"/>
        <v>U152758U152758</v>
      </c>
      <c r="B4520" t="str">
        <f t="shared" si="143"/>
        <v>U152758P60368L-M</v>
      </c>
      <c r="C4520" s="1" t="s">
        <v>48</v>
      </c>
      <c r="D4520" s="1" t="s">
        <v>760</v>
      </c>
      <c r="E4520" s="1" t="s">
        <v>436</v>
      </c>
      <c r="F4520" s="1" t="s">
        <v>442</v>
      </c>
      <c r="G4520" s="1" t="s">
        <v>438</v>
      </c>
      <c r="H4520" s="1">
        <v>1200</v>
      </c>
      <c r="I4520" s="3">
        <v>46283</v>
      </c>
      <c r="L4520" s="31">
        <v>46283.603978935185</v>
      </c>
      <c r="M4520" s="20">
        <v>6</v>
      </c>
      <c r="N4520" s="1">
        <v>61</v>
      </c>
    </row>
    <row r="4521" spans="1:14" x14ac:dyDescent="0.25">
      <c r="A4521" t="str">
        <f t="shared" si="142"/>
        <v>U152758U152758</v>
      </c>
      <c r="B4521" t="str">
        <f t="shared" si="143"/>
        <v>U152758P60368L-M</v>
      </c>
      <c r="C4521" s="1" t="s">
        <v>48</v>
      </c>
      <c r="D4521" s="1" t="s">
        <v>760</v>
      </c>
      <c r="E4521" s="1" t="s">
        <v>436</v>
      </c>
      <c r="F4521" s="1" t="s">
        <v>442</v>
      </c>
      <c r="G4521" s="1" t="s">
        <v>438</v>
      </c>
      <c r="H4521" s="1">
        <v>1200</v>
      </c>
      <c r="I4521" s="3">
        <v>46283</v>
      </c>
      <c r="L4521" s="31">
        <v>46283.604402928242</v>
      </c>
      <c r="M4521" s="20">
        <v>9</v>
      </c>
      <c r="N4521" s="1">
        <v>154</v>
      </c>
    </row>
    <row r="4522" spans="1:14" x14ac:dyDescent="0.25">
      <c r="A4522" t="str">
        <f t="shared" si="142"/>
        <v>U152758U152758</v>
      </c>
      <c r="B4522" t="str">
        <f t="shared" si="143"/>
        <v>U152758P60368L-M</v>
      </c>
      <c r="C4522" s="1" t="s">
        <v>48</v>
      </c>
      <c r="D4522" s="1" t="s">
        <v>760</v>
      </c>
      <c r="E4522" s="1" t="s">
        <v>436</v>
      </c>
      <c r="F4522" s="1" t="s">
        <v>442</v>
      </c>
      <c r="G4522" s="1" t="s">
        <v>438</v>
      </c>
      <c r="H4522" s="1">
        <v>1200</v>
      </c>
      <c r="I4522" s="3">
        <v>46283</v>
      </c>
      <c r="L4522" s="31">
        <v>46283.618726157409</v>
      </c>
      <c r="M4522" s="20">
        <v>6</v>
      </c>
      <c r="N4522" s="1">
        <v>60</v>
      </c>
    </row>
    <row r="4523" spans="1:14" x14ac:dyDescent="0.25">
      <c r="A4523" t="str">
        <f t="shared" si="142"/>
        <v>U152758U152758</v>
      </c>
      <c r="B4523" t="str">
        <f t="shared" si="143"/>
        <v>U152758P60368L-M</v>
      </c>
      <c r="C4523" s="1" t="s">
        <v>48</v>
      </c>
      <c r="D4523" s="1" t="s">
        <v>760</v>
      </c>
      <c r="E4523" s="1" t="s">
        <v>436</v>
      </c>
      <c r="F4523" s="1" t="s">
        <v>442</v>
      </c>
      <c r="G4523" s="1" t="s">
        <v>438</v>
      </c>
      <c r="H4523" s="1">
        <v>1200</v>
      </c>
      <c r="I4523" s="3">
        <v>46283</v>
      </c>
      <c r="L4523" s="31">
        <v>46283.654087499999</v>
      </c>
      <c r="M4523" s="20">
        <v>6</v>
      </c>
      <c r="N4523" s="1">
        <v>1</v>
      </c>
    </row>
    <row r="4524" spans="1:14" x14ac:dyDescent="0.25">
      <c r="A4524" t="str">
        <f t="shared" si="142"/>
        <v>U152758U152758</v>
      </c>
      <c r="B4524" t="str">
        <f t="shared" si="143"/>
        <v>U152758P60368L-M</v>
      </c>
      <c r="C4524" s="1" t="s">
        <v>48</v>
      </c>
      <c r="D4524" s="1" t="s">
        <v>760</v>
      </c>
      <c r="E4524" s="1" t="s">
        <v>436</v>
      </c>
      <c r="F4524" s="1" t="s">
        <v>442</v>
      </c>
      <c r="G4524" s="1" t="s">
        <v>438</v>
      </c>
      <c r="H4524" s="1">
        <v>1200</v>
      </c>
      <c r="I4524" s="3">
        <v>46283</v>
      </c>
      <c r="L4524" s="31">
        <v>46283.692189583329</v>
      </c>
      <c r="M4524" s="20">
        <v>6</v>
      </c>
      <c r="N4524" s="1">
        <v>3</v>
      </c>
    </row>
    <row r="4525" spans="1:14" x14ac:dyDescent="0.25">
      <c r="A4525" t="str">
        <f t="shared" si="142"/>
        <v>U152758U152758</v>
      </c>
      <c r="B4525" t="str">
        <f t="shared" si="143"/>
        <v>U152758P60368L-M</v>
      </c>
      <c r="C4525" s="1" t="s">
        <v>48</v>
      </c>
      <c r="D4525" s="1" t="s">
        <v>760</v>
      </c>
      <c r="E4525" s="1" t="s">
        <v>436</v>
      </c>
      <c r="F4525" s="1" t="s">
        <v>442</v>
      </c>
      <c r="G4525" s="1" t="s">
        <v>438</v>
      </c>
      <c r="H4525" s="1">
        <v>1200</v>
      </c>
      <c r="I4525" s="3">
        <v>46283</v>
      </c>
      <c r="L4525" s="31">
        <v>46283.692687696755</v>
      </c>
      <c r="M4525" s="20">
        <v>6</v>
      </c>
      <c r="N4525" s="1">
        <v>73</v>
      </c>
    </row>
    <row r="4526" spans="1:14" x14ac:dyDescent="0.25">
      <c r="A4526" t="str">
        <f t="shared" si="142"/>
        <v>U152758U152758</v>
      </c>
      <c r="B4526" t="str">
        <f t="shared" si="143"/>
        <v>U152758P60368L-M</v>
      </c>
      <c r="C4526" s="1" t="s">
        <v>48</v>
      </c>
      <c r="D4526" s="1" t="s">
        <v>760</v>
      </c>
      <c r="E4526" s="1" t="s">
        <v>436</v>
      </c>
      <c r="F4526" s="1" t="s">
        <v>442</v>
      </c>
      <c r="G4526" s="1" t="s">
        <v>438</v>
      </c>
      <c r="H4526" s="1">
        <v>1200</v>
      </c>
      <c r="I4526" s="3">
        <v>46283</v>
      </c>
      <c r="L4526" s="31">
        <v>46283.692887731479</v>
      </c>
      <c r="M4526" s="20">
        <v>6</v>
      </c>
      <c r="N4526" s="1">
        <v>8</v>
      </c>
    </row>
    <row r="4527" spans="1:14" x14ac:dyDescent="0.25">
      <c r="A4527" t="str">
        <f t="shared" si="142"/>
        <v>U152758U152758</v>
      </c>
      <c r="B4527" t="str">
        <f t="shared" si="143"/>
        <v>U152758P60368L-M</v>
      </c>
      <c r="C4527" s="1" t="s">
        <v>48</v>
      </c>
      <c r="D4527" s="1" t="s">
        <v>760</v>
      </c>
      <c r="E4527" s="1" t="s">
        <v>436</v>
      </c>
      <c r="F4527" s="1" t="s">
        <v>442</v>
      </c>
      <c r="G4527" s="1" t="s">
        <v>438</v>
      </c>
      <c r="H4527" s="1">
        <v>1200</v>
      </c>
      <c r="I4527" s="3">
        <v>46283</v>
      </c>
      <c r="L4527" s="31">
        <v>46283.69319957176</v>
      </c>
      <c r="M4527" s="20">
        <v>6</v>
      </c>
      <c r="N4527" s="1">
        <v>6</v>
      </c>
    </row>
    <row r="4528" spans="1:14" x14ac:dyDescent="0.25">
      <c r="A4528" t="str">
        <f t="shared" si="142"/>
        <v>U152758U152758</v>
      </c>
      <c r="B4528" t="str">
        <f t="shared" si="143"/>
        <v>U152758P60368L-M</v>
      </c>
      <c r="C4528" s="1" t="s">
        <v>48</v>
      </c>
      <c r="D4528" s="1" t="s">
        <v>760</v>
      </c>
      <c r="E4528" s="1" t="s">
        <v>436</v>
      </c>
      <c r="F4528" s="1" t="s">
        <v>442</v>
      </c>
      <c r="G4528" s="1" t="s">
        <v>438</v>
      </c>
      <c r="H4528" s="1">
        <v>1200</v>
      </c>
      <c r="I4528" s="3">
        <v>46283</v>
      </c>
      <c r="L4528" s="31">
        <v>46283.693353356481</v>
      </c>
      <c r="M4528" s="20">
        <v>6</v>
      </c>
      <c r="N4528" s="1">
        <v>5</v>
      </c>
    </row>
    <row r="4529" spans="1:14" x14ac:dyDescent="0.25">
      <c r="A4529" t="str">
        <f t="shared" si="142"/>
        <v>U152758U152758</v>
      </c>
      <c r="B4529" t="str">
        <f t="shared" si="143"/>
        <v>U152758P60368L-M</v>
      </c>
      <c r="C4529" s="1" t="s">
        <v>48</v>
      </c>
      <c r="D4529" s="1" t="s">
        <v>760</v>
      </c>
      <c r="E4529" s="1" t="s">
        <v>436</v>
      </c>
      <c r="F4529" s="1" t="s">
        <v>442</v>
      </c>
      <c r="G4529" s="1" t="s">
        <v>438</v>
      </c>
      <c r="H4529" s="1">
        <v>1200</v>
      </c>
      <c r="I4529" s="3">
        <v>46283</v>
      </c>
      <c r="L4529" s="31">
        <v>46283.693501238427</v>
      </c>
      <c r="M4529" s="20">
        <v>6</v>
      </c>
      <c r="N4529" s="1">
        <v>9</v>
      </c>
    </row>
    <row r="4530" spans="1:14" x14ac:dyDescent="0.25">
      <c r="A4530" t="str">
        <f t="shared" si="142"/>
        <v>U152758U152758</v>
      </c>
      <c r="B4530" t="str">
        <f t="shared" si="143"/>
        <v>U152758P60368L-M</v>
      </c>
      <c r="C4530" s="1" t="s">
        <v>48</v>
      </c>
      <c r="D4530" s="1" t="s">
        <v>760</v>
      </c>
      <c r="E4530" s="1" t="s">
        <v>436</v>
      </c>
      <c r="F4530" s="1" t="s">
        <v>442</v>
      </c>
      <c r="G4530" s="1" t="s">
        <v>438</v>
      </c>
      <c r="H4530" s="1">
        <v>1200</v>
      </c>
      <c r="I4530" s="3">
        <v>46283</v>
      </c>
      <c r="L4530" s="31">
        <v>46283.694121099536</v>
      </c>
      <c r="M4530" s="20">
        <v>6</v>
      </c>
      <c r="N4530" s="1">
        <v>10</v>
      </c>
    </row>
    <row r="4531" spans="1:14" x14ac:dyDescent="0.25">
      <c r="A4531" t="str">
        <f t="shared" si="142"/>
        <v>U152758U152758</v>
      </c>
      <c r="B4531" t="str">
        <f t="shared" si="143"/>
        <v>U152758P60368L-M</v>
      </c>
      <c r="C4531" s="1" t="s">
        <v>48</v>
      </c>
      <c r="D4531" s="1" t="s">
        <v>760</v>
      </c>
      <c r="E4531" s="1" t="s">
        <v>436</v>
      </c>
      <c r="F4531" s="1" t="s">
        <v>442</v>
      </c>
      <c r="G4531" s="1" t="s">
        <v>438</v>
      </c>
      <c r="H4531" s="1">
        <v>1200</v>
      </c>
      <c r="I4531" s="3">
        <v>46283</v>
      </c>
      <c r="L4531" s="31">
        <v>46283.694266435181</v>
      </c>
      <c r="M4531" s="20">
        <v>6</v>
      </c>
      <c r="N4531" s="1">
        <v>72</v>
      </c>
    </row>
    <row r="4532" spans="1:14" x14ac:dyDescent="0.25">
      <c r="A4532" t="str">
        <f t="shared" si="142"/>
        <v>U152758U152758</v>
      </c>
      <c r="B4532" t="str">
        <f t="shared" si="143"/>
        <v>U152758P60368L-M</v>
      </c>
      <c r="C4532" s="1" t="s">
        <v>48</v>
      </c>
      <c r="D4532" s="1" t="s">
        <v>760</v>
      </c>
      <c r="E4532" s="1" t="s">
        <v>436</v>
      </c>
      <c r="F4532" s="1" t="s">
        <v>442</v>
      </c>
      <c r="G4532" s="1" t="s">
        <v>438</v>
      </c>
      <c r="H4532" s="1">
        <v>1200</v>
      </c>
      <c r="I4532" s="3">
        <v>46283</v>
      </c>
      <c r="L4532" s="31">
        <v>46283.70454918981</v>
      </c>
      <c r="M4532" s="20">
        <v>6</v>
      </c>
      <c r="N4532" s="1">
        <v>71</v>
      </c>
    </row>
    <row r="4533" spans="1:14" x14ac:dyDescent="0.25">
      <c r="A4533" t="str">
        <f t="shared" si="142"/>
        <v>U152758U152758</v>
      </c>
      <c r="B4533" t="str">
        <f t="shared" si="143"/>
        <v>U152758P60368L-M</v>
      </c>
      <c r="C4533" s="1" t="s">
        <v>48</v>
      </c>
      <c r="D4533" s="1" t="s">
        <v>760</v>
      </c>
      <c r="E4533" s="1" t="s">
        <v>436</v>
      </c>
      <c r="F4533" s="1" t="s">
        <v>442</v>
      </c>
      <c r="G4533" s="1" t="s">
        <v>438</v>
      </c>
      <c r="H4533" s="1">
        <v>1200</v>
      </c>
      <c r="I4533" s="3">
        <v>46283</v>
      </c>
      <c r="L4533" s="31">
        <v>46283.70469140046</v>
      </c>
      <c r="M4533" s="20">
        <v>6</v>
      </c>
      <c r="N4533" s="1">
        <v>13</v>
      </c>
    </row>
    <row r="4534" spans="1:14" x14ac:dyDescent="0.25">
      <c r="A4534" t="str">
        <f t="shared" si="142"/>
        <v>U152758U152758</v>
      </c>
      <c r="B4534" t="str">
        <f t="shared" si="143"/>
        <v>U152758P60368L-M</v>
      </c>
      <c r="C4534" s="1" t="s">
        <v>48</v>
      </c>
      <c r="D4534" s="1" t="s">
        <v>760</v>
      </c>
      <c r="E4534" s="1" t="s">
        <v>436</v>
      </c>
      <c r="F4534" s="1" t="s">
        <v>442</v>
      </c>
      <c r="G4534" s="1" t="s">
        <v>438</v>
      </c>
      <c r="H4534" s="1">
        <v>1200</v>
      </c>
      <c r="I4534" s="3">
        <v>46283</v>
      </c>
      <c r="L4534" s="31">
        <v>46283.704965659723</v>
      </c>
      <c r="M4534" s="20">
        <v>6</v>
      </c>
      <c r="N4534" s="1">
        <v>7</v>
      </c>
    </row>
    <row r="4535" spans="1:14" x14ac:dyDescent="0.25">
      <c r="A4535" t="str">
        <f t="shared" si="142"/>
        <v>U152758U152758</v>
      </c>
      <c r="B4535" t="str">
        <f t="shared" si="143"/>
        <v>U152758P60368L-M</v>
      </c>
      <c r="C4535" s="1" t="s">
        <v>48</v>
      </c>
      <c r="D4535" s="1" t="s">
        <v>760</v>
      </c>
      <c r="E4535" s="1" t="s">
        <v>436</v>
      </c>
      <c r="F4535" s="1" t="s">
        <v>442</v>
      </c>
      <c r="G4535" s="1" t="s">
        <v>438</v>
      </c>
      <c r="H4535" s="1">
        <v>1200</v>
      </c>
      <c r="I4535" s="3">
        <v>46283</v>
      </c>
      <c r="L4535" s="31">
        <v>46283.70517685185</v>
      </c>
      <c r="M4535" s="20">
        <v>6</v>
      </c>
      <c r="N4535" s="1">
        <v>11</v>
      </c>
    </row>
    <row r="4536" spans="1:14" x14ac:dyDescent="0.25">
      <c r="A4536" t="str">
        <f t="shared" si="142"/>
        <v>U152758U152758</v>
      </c>
      <c r="B4536" t="str">
        <f t="shared" si="143"/>
        <v>U152758P60368L-M</v>
      </c>
      <c r="C4536" s="1" t="s">
        <v>48</v>
      </c>
      <c r="D4536" s="1" t="s">
        <v>760</v>
      </c>
      <c r="E4536" s="1" t="s">
        <v>436</v>
      </c>
      <c r="F4536" s="1" t="s">
        <v>442</v>
      </c>
      <c r="G4536" s="1" t="s">
        <v>438</v>
      </c>
      <c r="H4536" s="1">
        <v>1200</v>
      </c>
      <c r="I4536" s="3">
        <v>46283</v>
      </c>
      <c r="L4536" s="31">
        <v>46283.70554293981</v>
      </c>
      <c r="M4536" s="20">
        <v>6</v>
      </c>
      <c r="N4536" s="1">
        <v>4</v>
      </c>
    </row>
    <row r="4537" spans="1:14" x14ac:dyDescent="0.25">
      <c r="A4537" t="str">
        <f t="shared" si="142"/>
        <v>U152758U152758</v>
      </c>
      <c r="B4537" t="str">
        <f t="shared" si="143"/>
        <v>U152758P60368L-M</v>
      </c>
      <c r="C4537" s="1" t="s">
        <v>48</v>
      </c>
      <c r="D4537" s="1" t="s">
        <v>760</v>
      </c>
      <c r="E4537" s="1" t="s">
        <v>436</v>
      </c>
      <c r="F4537" s="1" t="s">
        <v>442</v>
      </c>
      <c r="G4537" s="1" t="s">
        <v>438</v>
      </c>
      <c r="H4537" s="1">
        <v>1200</v>
      </c>
      <c r="I4537" s="3">
        <v>46283</v>
      </c>
      <c r="L4537" s="31">
        <v>46283.705738310186</v>
      </c>
      <c r="M4537" s="20">
        <v>6</v>
      </c>
      <c r="N4537" s="1">
        <v>75</v>
      </c>
    </row>
    <row r="4538" spans="1:14" x14ac:dyDescent="0.25">
      <c r="A4538" t="str">
        <f t="shared" si="142"/>
        <v>U152758U152758</v>
      </c>
      <c r="B4538" t="str">
        <f t="shared" si="143"/>
        <v>U152758P60368L-M</v>
      </c>
      <c r="C4538" s="1" t="s">
        <v>48</v>
      </c>
      <c r="D4538" s="1" t="s">
        <v>760</v>
      </c>
      <c r="E4538" s="1" t="s">
        <v>436</v>
      </c>
      <c r="F4538" s="1" t="s">
        <v>442</v>
      </c>
      <c r="G4538" s="1" t="s">
        <v>438</v>
      </c>
      <c r="H4538" s="1">
        <v>1200</v>
      </c>
      <c r="I4538" s="3">
        <v>46283</v>
      </c>
      <c r="L4538" s="31">
        <v>46283.705948148148</v>
      </c>
      <c r="M4538" s="20">
        <v>6</v>
      </c>
      <c r="N4538" s="1">
        <v>74</v>
      </c>
    </row>
    <row r="4539" spans="1:14" x14ac:dyDescent="0.25">
      <c r="A4539" t="str">
        <f t="shared" si="142"/>
        <v>U152758U152758</v>
      </c>
      <c r="B4539" t="str">
        <f t="shared" si="143"/>
        <v>U152758P60368L-M</v>
      </c>
      <c r="C4539" s="1" t="s">
        <v>48</v>
      </c>
      <c r="D4539" s="1" t="s">
        <v>760</v>
      </c>
      <c r="E4539" s="1" t="s">
        <v>436</v>
      </c>
      <c r="F4539" s="1" t="s">
        <v>442</v>
      </c>
      <c r="G4539" s="1" t="s">
        <v>438</v>
      </c>
      <c r="H4539" s="1">
        <v>1200</v>
      </c>
      <c r="I4539" s="3">
        <v>46283</v>
      </c>
      <c r="L4539" s="31">
        <v>46283.706371956017</v>
      </c>
      <c r="M4539" s="20">
        <v>6</v>
      </c>
      <c r="N4539" s="1">
        <v>14</v>
      </c>
    </row>
    <row r="4540" spans="1:14" x14ac:dyDescent="0.25">
      <c r="A4540" t="str">
        <f t="shared" si="142"/>
        <v>U152758U152758</v>
      </c>
      <c r="B4540" t="str">
        <f t="shared" si="143"/>
        <v>U152758P60368L-M</v>
      </c>
      <c r="C4540" s="1" t="s">
        <v>48</v>
      </c>
      <c r="D4540" s="1" t="s">
        <v>760</v>
      </c>
      <c r="E4540" s="1" t="s">
        <v>436</v>
      </c>
      <c r="F4540" s="1" t="s">
        <v>442</v>
      </c>
      <c r="G4540" s="1" t="s">
        <v>438</v>
      </c>
      <c r="H4540" s="1">
        <v>1200</v>
      </c>
      <c r="I4540" s="3">
        <v>46283</v>
      </c>
      <c r="L4540" s="31">
        <v>46283.706706979166</v>
      </c>
      <c r="M4540" s="20">
        <v>6</v>
      </c>
      <c r="N4540" s="1">
        <v>70</v>
      </c>
    </row>
    <row r="4541" spans="1:14" x14ac:dyDescent="0.25">
      <c r="A4541" t="str">
        <f t="shared" si="142"/>
        <v>U152758U152758</v>
      </c>
      <c r="B4541" t="str">
        <f t="shared" si="143"/>
        <v>U152758P60368L-M</v>
      </c>
      <c r="C4541" s="1" t="s">
        <v>48</v>
      </c>
      <c r="D4541" s="1" t="s">
        <v>760</v>
      </c>
      <c r="E4541" s="1" t="s">
        <v>436</v>
      </c>
      <c r="F4541" s="1" t="s">
        <v>442</v>
      </c>
      <c r="G4541" s="1" t="s">
        <v>438</v>
      </c>
      <c r="H4541" s="1">
        <v>1200</v>
      </c>
      <c r="I4541" s="3">
        <v>46283</v>
      </c>
      <c r="L4541" s="31">
        <v>46283.707195833333</v>
      </c>
      <c r="M4541" s="20">
        <v>6</v>
      </c>
      <c r="N4541" s="1">
        <v>69</v>
      </c>
    </row>
    <row r="4542" spans="1:14" x14ac:dyDescent="0.25">
      <c r="A4542" t="str">
        <f t="shared" si="142"/>
        <v>U152758U152758</v>
      </c>
      <c r="B4542" t="str">
        <f t="shared" si="143"/>
        <v>U152758P60368L-M</v>
      </c>
      <c r="C4542" s="1" t="s">
        <v>48</v>
      </c>
      <c r="D4542" s="1" t="s">
        <v>760</v>
      </c>
      <c r="E4542" s="1" t="s">
        <v>436</v>
      </c>
      <c r="F4542" s="1" t="s">
        <v>442</v>
      </c>
      <c r="G4542" s="1" t="s">
        <v>438</v>
      </c>
      <c r="H4542" s="1">
        <v>1200</v>
      </c>
      <c r="I4542" s="3">
        <v>46283</v>
      </c>
      <c r="L4542" s="31">
        <v>46283.707819826384</v>
      </c>
      <c r="M4542" s="20">
        <v>6</v>
      </c>
      <c r="N4542" s="1">
        <v>12</v>
      </c>
    </row>
    <row r="4543" spans="1:14" x14ac:dyDescent="0.25">
      <c r="A4543" t="str">
        <f t="shared" si="142"/>
        <v>U152758U152758</v>
      </c>
      <c r="B4543" t="str">
        <f t="shared" si="143"/>
        <v>U152758P60368L-M</v>
      </c>
      <c r="C4543" s="1" t="s">
        <v>48</v>
      </c>
      <c r="D4543" s="1" t="s">
        <v>760</v>
      </c>
      <c r="E4543" s="1" t="s">
        <v>436</v>
      </c>
      <c r="F4543" s="1" t="s">
        <v>442</v>
      </c>
      <c r="G4543" s="1" t="s">
        <v>438</v>
      </c>
      <c r="H4543" s="1">
        <v>1200</v>
      </c>
      <c r="I4543" s="3">
        <v>46283</v>
      </c>
      <c r="L4543" s="31">
        <v>46283.707970717587</v>
      </c>
      <c r="M4543" s="20">
        <v>6</v>
      </c>
      <c r="N4543" s="1">
        <v>68</v>
      </c>
    </row>
    <row r="4544" spans="1:14" x14ac:dyDescent="0.25">
      <c r="A4544" t="str">
        <f t="shared" si="142"/>
        <v>U152758U152758</v>
      </c>
      <c r="B4544" t="str">
        <f t="shared" si="143"/>
        <v>U152758P60368L-M</v>
      </c>
      <c r="C4544" s="1" t="s">
        <v>48</v>
      </c>
      <c r="D4544" s="1" t="s">
        <v>760</v>
      </c>
      <c r="E4544" s="1" t="s">
        <v>436</v>
      </c>
      <c r="F4544" s="1" t="s">
        <v>442</v>
      </c>
      <c r="G4544" s="1" t="s">
        <v>438</v>
      </c>
      <c r="H4544" s="1">
        <v>1200</v>
      </c>
      <c r="I4544" s="3">
        <v>46283</v>
      </c>
      <c r="L4544" s="31">
        <v>46283.708391898144</v>
      </c>
      <c r="M4544" s="20">
        <v>6</v>
      </c>
      <c r="N4544" s="1">
        <v>66</v>
      </c>
    </row>
    <row r="4545" spans="1:14" x14ac:dyDescent="0.25">
      <c r="A4545" t="str">
        <f t="shared" si="142"/>
        <v>U152758U152758</v>
      </c>
      <c r="B4545" t="str">
        <f t="shared" si="143"/>
        <v>U152758P60368L-M</v>
      </c>
      <c r="C4545" s="1" t="s">
        <v>48</v>
      </c>
      <c r="D4545" s="1" t="s">
        <v>760</v>
      </c>
      <c r="E4545" s="1" t="s">
        <v>436</v>
      </c>
      <c r="F4545" s="1" t="s">
        <v>442</v>
      </c>
      <c r="G4545" s="1" t="s">
        <v>438</v>
      </c>
      <c r="H4545" s="1">
        <v>1200</v>
      </c>
      <c r="I4545" s="3">
        <v>46283</v>
      </c>
      <c r="L4545" s="31">
        <v>46283.708646562496</v>
      </c>
      <c r="M4545" s="20">
        <v>6</v>
      </c>
      <c r="N4545" s="1">
        <v>67</v>
      </c>
    </row>
    <row r="4546" spans="1:14" x14ac:dyDescent="0.25">
      <c r="A4546" t="str">
        <f t="shared" ref="A4546:A4609" si="144">+D4546&amp;D4546</f>
        <v>U152758U152758</v>
      </c>
      <c r="B4546" t="str">
        <f t="shared" ref="B4546:B4609" si="145">+D4546&amp;C4546</f>
        <v>U152758P60368L-M</v>
      </c>
      <c r="C4546" s="1" t="s">
        <v>48</v>
      </c>
      <c r="D4546" s="1" t="s">
        <v>760</v>
      </c>
      <c r="E4546" s="1" t="s">
        <v>436</v>
      </c>
      <c r="F4546" s="1" t="s">
        <v>442</v>
      </c>
      <c r="G4546" s="1" t="s">
        <v>438</v>
      </c>
      <c r="H4546" s="1">
        <v>1200</v>
      </c>
      <c r="I4546" s="3">
        <v>46283</v>
      </c>
      <c r="L4546" s="31">
        <v>46283.709012615742</v>
      </c>
      <c r="M4546" s="20">
        <v>6</v>
      </c>
      <c r="N4546" s="1">
        <v>2</v>
      </c>
    </row>
    <row r="4547" spans="1:14" x14ac:dyDescent="0.25">
      <c r="A4547" t="str">
        <f t="shared" si="144"/>
        <v>U152758U152758</v>
      </c>
      <c r="B4547" t="str">
        <f t="shared" si="145"/>
        <v>U152758P60368L-M</v>
      </c>
      <c r="C4547" s="1" t="s">
        <v>48</v>
      </c>
      <c r="D4547" s="1" t="s">
        <v>760</v>
      </c>
      <c r="E4547" s="1" t="s">
        <v>436</v>
      </c>
      <c r="F4547" s="1" t="s">
        <v>442</v>
      </c>
      <c r="G4547" s="1" t="s">
        <v>438</v>
      </c>
      <c r="H4547" s="1">
        <v>1200</v>
      </c>
      <c r="I4547" s="3">
        <v>46283</v>
      </c>
      <c r="L4547" s="31">
        <v>46283.71452858796</v>
      </c>
      <c r="M4547" s="20">
        <v>6</v>
      </c>
      <c r="N4547" s="1">
        <v>16</v>
      </c>
    </row>
    <row r="4548" spans="1:14" x14ac:dyDescent="0.25">
      <c r="A4548" t="str">
        <f t="shared" si="144"/>
        <v>U152758U152758</v>
      </c>
      <c r="B4548" t="str">
        <f t="shared" si="145"/>
        <v>U152758P60368L-M</v>
      </c>
      <c r="C4548" s="1" t="s">
        <v>48</v>
      </c>
      <c r="D4548" s="1" t="s">
        <v>760</v>
      </c>
      <c r="E4548" s="1" t="s">
        <v>436</v>
      </c>
      <c r="F4548" s="1" t="s">
        <v>442</v>
      </c>
      <c r="G4548" s="1" t="s">
        <v>438</v>
      </c>
      <c r="H4548" s="1">
        <v>1200</v>
      </c>
      <c r="I4548" s="3">
        <v>46283</v>
      </c>
      <c r="L4548" s="31">
        <v>46283.71465509259</v>
      </c>
      <c r="M4548" s="20">
        <v>6</v>
      </c>
      <c r="N4548" s="1">
        <v>15</v>
      </c>
    </row>
    <row r="4549" spans="1:14" x14ac:dyDescent="0.25">
      <c r="A4549" t="str">
        <f t="shared" si="144"/>
        <v>U152758U152758</v>
      </c>
      <c r="B4549" t="str">
        <f t="shared" si="145"/>
        <v>U152758P60368L-M</v>
      </c>
      <c r="C4549" s="1" t="s">
        <v>48</v>
      </c>
      <c r="D4549" s="1" t="s">
        <v>760</v>
      </c>
      <c r="E4549" s="1" t="s">
        <v>436</v>
      </c>
      <c r="F4549" s="1" t="s">
        <v>442</v>
      </c>
      <c r="G4549" s="1" t="s">
        <v>438</v>
      </c>
      <c r="H4549" s="1">
        <v>1200</v>
      </c>
      <c r="I4549" s="3">
        <v>46283</v>
      </c>
      <c r="L4549" s="31">
        <v>46283.725227777773</v>
      </c>
      <c r="M4549" s="20">
        <v>6</v>
      </c>
      <c r="N4549" s="1">
        <v>78</v>
      </c>
    </row>
    <row r="4550" spans="1:14" x14ac:dyDescent="0.25">
      <c r="A4550" t="str">
        <f t="shared" si="144"/>
        <v>U152777U152777</v>
      </c>
      <c r="B4550" t="str">
        <f t="shared" si="145"/>
        <v>U152777GC9060GY-M</v>
      </c>
      <c r="C4550" s="1" t="s">
        <v>5</v>
      </c>
      <c r="D4550" s="1" t="s">
        <v>775</v>
      </c>
      <c r="E4550" s="1" t="s">
        <v>436</v>
      </c>
      <c r="F4550" s="1" t="s">
        <v>443</v>
      </c>
      <c r="G4550" s="1" t="s">
        <v>466</v>
      </c>
      <c r="H4550" s="1">
        <v>102</v>
      </c>
      <c r="I4550" s="3">
        <v>46283</v>
      </c>
      <c r="J4550" s="3">
        <v>46284</v>
      </c>
      <c r="K4550" s="3" t="s">
        <v>2374</v>
      </c>
      <c r="L4550" s="31">
        <v>46283.689550462965</v>
      </c>
      <c r="M4550" s="20">
        <v>6</v>
      </c>
      <c r="N4550" s="1">
        <v>9</v>
      </c>
    </row>
    <row r="4551" spans="1:14" x14ac:dyDescent="0.25">
      <c r="A4551" t="str">
        <f t="shared" si="144"/>
        <v>U152777U152777</v>
      </c>
      <c r="B4551" t="str">
        <f t="shared" si="145"/>
        <v>U152777GC9060GY-M</v>
      </c>
      <c r="C4551" s="1" t="s">
        <v>5</v>
      </c>
      <c r="D4551" s="1" t="s">
        <v>775</v>
      </c>
      <c r="E4551" s="1" t="s">
        <v>436</v>
      </c>
      <c r="F4551" s="1" t="s">
        <v>443</v>
      </c>
      <c r="G4551" s="1" t="s">
        <v>466</v>
      </c>
      <c r="H4551" s="1">
        <v>102</v>
      </c>
      <c r="I4551" s="3">
        <v>46283</v>
      </c>
      <c r="J4551" s="3">
        <v>46284</v>
      </c>
      <c r="K4551" s="3" t="s">
        <v>2374</v>
      </c>
      <c r="L4551" s="31">
        <v>46283.696861192126</v>
      </c>
      <c r="M4551" s="20">
        <v>6</v>
      </c>
      <c r="N4551" s="1">
        <v>10</v>
      </c>
    </row>
    <row r="4552" spans="1:14" x14ac:dyDescent="0.25">
      <c r="A4552" t="str">
        <f t="shared" si="144"/>
        <v>U152777U152777</v>
      </c>
      <c r="B4552" t="str">
        <f t="shared" si="145"/>
        <v>U152777GC9060GY-M</v>
      </c>
      <c r="C4552" s="1" t="s">
        <v>5</v>
      </c>
      <c r="D4552" s="1" t="s">
        <v>775</v>
      </c>
      <c r="E4552" s="1" t="s">
        <v>436</v>
      </c>
      <c r="F4552" s="1" t="s">
        <v>443</v>
      </c>
      <c r="G4552" s="1" t="s">
        <v>466</v>
      </c>
      <c r="H4552" s="1">
        <v>102</v>
      </c>
      <c r="I4552" s="3">
        <v>46283</v>
      </c>
      <c r="J4552" s="3">
        <v>46284</v>
      </c>
      <c r="K4552" s="3" t="s">
        <v>2374</v>
      </c>
      <c r="L4552" s="31">
        <v>46283.697648032408</v>
      </c>
      <c r="M4552" s="20">
        <v>6</v>
      </c>
      <c r="N4552" s="1">
        <v>8</v>
      </c>
    </row>
    <row r="4553" spans="1:14" x14ac:dyDescent="0.25">
      <c r="A4553" t="str">
        <f t="shared" si="144"/>
        <v>U152777U152777</v>
      </c>
      <c r="B4553" t="str">
        <f t="shared" si="145"/>
        <v>U152777GC9060GY-W</v>
      </c>
      <c r="C4553" s="1" t="s">
        <v>779</v>
      </c>
      <c r="D4553" s="1" t="s">
        <v>775</v>
      </c>
      <c r="E4553" s="1" t="s">
        <v>436</v>
      </c>
      <c r="F4553" s="1" t="s">
        <v>443</v>
      </c>
      <c r="G4553" s="1" t="s">
        <v>466</v>
      </c>
      <c r="H4553" s="1">
        <v>72</v>
      </c>
      <c r="I4553" s="3">
        <v>46283</v>
      </c>
      <c r="J4553" s="3">
        <v>46289</v>
      </c>
      <c r="K4553" s="3" t="s">
        <v>2374</v>
      </c>
      <c r="L4553" s="31">
        <v>46283.725810532407</v>
      </c>
      <c r="M4553" s="20">
        <v>6</v>
      </c>
      <c r="N4553" s="1">
        <v>16</v>
      </c>
    </row>
    <row r="4554" spans="1:14" x14ac:dyDescent="0.25">
      <c r="A4554" t="str">
        <f t="shared" si="144"/>
        <v>U152777U152777</v>
      </c>
      <c r="B4554" t="str">
        <f t="shared" si="145"/>
        <v>U152777GC9060GY-M</v>
      </c>
      <c r="C4554" s="1" t="s">
        <v>5</v>
      </c>
      <c r="D4554" s="1" t="s">
        <v>775</v>
      </c>
      <c r="E4554" s="1" t="s">
        <v>436</v>
      </c>
      <c r="F4554" s="1" t="s">
        <v>443</v>
      </c>
      <c r="G4554" s="1" t="s">
        <v>466</v>
      </c>
      <c r="H4554" s="1">
        <v>102</v>
      </c>
      <c r="I4554" s="3">
        <v>46283</v>
      </c>
      <c r="J4554" s="3">
        <v>46284</v>
      </c>
      <c r="K4554" s="3" t="s">
        <v>2374</v>
      </c>
      <c r="L4554" s="31">
        <v>46283.726589317128</v>
      </c>
      <c r="M4554" s="20">
        <v>12</v>
      </c>
      <c r="N4554" s="1">
        <v>2</v>
      </c>
    </row>
    <row r="4555" spans="1:14" x14ac:dyDescent="0.25">
      <c r="A4555" t="str">
        <f t="shared" si="144"/>
        <v>U152777U152777</v>
      </c>
      <c r="B4555" t="str">
        <f t="shared" si="145"/>
        <v>U152777GC9060GY-M</v>
      </c>
      <c r="C4555" s="1" t="s">
        <v>5</v>
      </c>
      <c r="D4555" s="1" t="s">
        <v>775</v>
      </c>
      <c r="E4555" s="1" t="s">
        <v>436</v>
      </c>
      <c r="F4555" s="1" t="s">
        <v>443</v>
      </c>
      <c r="G4555" s="1" t="s">
        <v>466</v>
      </c>
      <c r="H4555" s="1">
        <v>102</v>
      </c>
      <c r="I4555" s="3">
        <v>46283</v>
      </c>
      <c r="J4555" s="3">
        <v>46284</v>
      </c>
      <c r="K4555" s="3" t="s">
        <v>2374</v>
      </c>
      <c r="L4555" s="31">
        <v>46283.727286493056</v>
      </c>
      <c r="M4555" s="20">
        <v>12</v>
      </c>
      <c r="N4555" s="1">
        <v>5</v>
      </c>
    </row>
    <row r="4556" spans="1:14" x14ac:dyDescent="0.25">
      <c r="A4556" t="str">
        <f t="shared" si="144"/>
        <v>U152784U152784</v>
      </c>
      <c r="B4556" t="str">
        <f t="shared" si="145"/>
        <v>U152784M515S54Y-D</v>
      </c>
      <c r="C4556" s="1" t="s">
        <v>95</v>
      </c>
      <c r="D4556" s="1" t="s">
        <v>709</v>
      </c>
      <c r="E4556" s="1" t="s">
        <v>436</v>
      </c>
      <c r="F4556" s="1" t="s">
        <v>443</v>
      </c>
      <c r="G4556" s="1" t="s">
        <v>444</v>
      </c>
      <c r="H4556" s="1">
        <v>108</v>
      </c>
      <c r="I4556" s="3">
        <v>46283</v>
      </c>
      <c r="J4556" s="3">
        <v>46284</v>
      </c>
      <c r="K4556" s="3" t="s">
        <v>2362</v>
      </c>
      <c r="L4556" s="31">
        <v>46283.734729085649</v>
      </c>
      <c r="M4556" s="20">
        <v>12</v>
      </c>
      <c r="N4556" s="1">
        <v>7</v>
      </c>
    </row>
    <row r="4557" spans="1:14" x14ac:dyDescent="0.25">
      <c r="A4557" t="str">
        <f t="shared" si="144"/>
        <v>U152784U152784</v>
      </c>
      <c r="B4557" t="str">
        <f t="shared" si="145"/>
        <v>U152784M515S54Y-D</v>
      </c>
      <c r="C4557" s="1" t="s">
        <v>95</v>
      </c>
      <c r="D4557" s="1" t="s">
        <v>709</v>
      </c>
      <c r="E4557" s="1" t="s">
        <v>436</v>
      </c>
      <c r="F4557" s="1" t="s">
        <v>443</v>
      </c>
      <c r="G4557" s="1" t="s">
        <v>444</v>
      </c>
      <c r="H4557" s="1">
        <v>108</v>
      </c>
      <c r="I4557" s="3">
        <v>46283</v>
      </c>
      <c r="J4557" s="3">
        <v>46284</v>
      </c>
      <c r="K4557" s="3" t="s">
        <v>2362</v>
      </c>
      <c r="L4557" s="31">
        <v>46283.738648032406</v>
      </c>
      <c r="M4557" s="20">
        <v>12</v>
      </c>
      <c r="N4557" s="1">
        <v>6</v>
      </c>
    </row>
    <row r="4558" spans="1:14" x14ac:dyDescent="0.25">
      <c r="A4558" t="str">
        <f t="shared" si="144"/>
        <v>U152784U152784</v>
      </c>
      <c r="B4558" t="str">
        <f t="shared" si="145"/>
        <v>U152784M515S54Y-D</v>
      </c>
      <c r="C4558" s="1" t="s">
        <v>95</v>
      </c>
      <c r="D4558" s="1" t="s">
        <v>709</v>
      </c>
      <c r="E4558" s="1" t="s">
        <v>436</v>
      </c>
      <c r="F4558" s="1" t="s">
        <v>443</v>
      </c>
      <c r="G4558" s="1" t="s">
        <v>444</v>
      </c>
      <c r="H4558" s="1">
        <v>108</v>
      </c>
      <c r="I4558" s="3">
        <v>46283</v>
      </c>
      <c r="J4558" s="3">
        <v>46284</v>
      </c>
      <c r="K4558" s="3" t="s">
        <v>2362</v>
      </c>
      <c r="L4558" s="31">
        <v>46283.740210648146</v>
      </c>
      <c r="M4558" s="20">
        <v>12</v>
      </c>
      <c r="N4558" s="1">
        <v>2</v>
      </c>
    </row>
    <row r="4559" spans="1:14" x14ac:dyDescent="0.25">
      <c r="A4559" t="str">
        <f t="shared" si="144"/>
        <v>U152825U152825</v>
      </c>
      <c r="B4559" t="str">
        <f t="shared" si="145"/>
        <v>U152825GC9060GY-M</v>
      </c>
      <c r="C4559" s="1" t="s">
        <v>5</v>
      </c>
      <c r="D4559" s="1" t="s">
        <v>758</v>
      </c>
      <c r="E4559" s="1" t="s">
        <v>436</v>
      </c>
      <c r="F4559" s="1" t="s">
        <v>443</v>
      </c>
      <c r="G4559" s="1" t="s">
        <v>444</v>
      </c>
      <c r="H4559" s="1">
        <v>708</v>
      </c>
      <c r="I4559" s="3">
        <v>46283</v>
      </c>
      <c r="L4559" s="31">
        <v>46283.407820949069</v>
      </c>
      <c r="M4559" s="20">
        <v>12</v>
      </c>
      <c r="N4559" s="1">
        <v>1</v>
      </c>
    </row>
    <row r="4560" spans="1:14" x14ac:dyDescent="0.25">
      <c r="A4560" t="str">
        <f t="shared" si="144"/>
        <v>U152825U152825</v>
      </c>
      <c r="B4560" t="str">
        <f t="shared" si="145"/>
        <v>U152825GC9060GY-M</v>
      </c>
      <c r="C4560" s="1" t="s">
        <v>5</v>
      </c>
      <c r="D4560" s="1" t="s">
        <v>758</v>
      </c>
      <c r="E4560" s="1" t="s">
        <v>436</v>
      </c>
      <c r="F4560" s="1" t="s">
        <v>443</v>
      </c>
      <c r="G4560" s="1" t="s">
        <v>444</v>
      </c>
      <c r="H4560" s="1">
        <v>708</v>
      </c>
      <c r="I4560" s="3">
        <v>46283</v>
      </c>
      <c r="L4560" s="31">
        <v>46283.408238344906</v>
      </c>
      <c r="M4560" s="20">
        <v>12</v>
      </c>
      <c r="N4560" s="1">
        <v>19</v>
      </c>
    </row>
    <row r="4561" spans="1:14" x14ac:dyDescent="0.25">
      <c r="A4561" t="str">
        <f t="shared" si="144"/>
        <v>U152825U152825</v>
      </c>
      <c r="B4561" t="str">
        <f t="shared" si="145"/>
        <v>U152825GC9060GY-M</v>
      </c>
      <c r="C4561" s="1" t="s">
        <v>5</v>
      </c>
      <c r="D4561" s="1" t="s">
        <v>758</v>
      </c>
      <c r="E4561" s="1" t="s">
        <v>436</v>
      </c>
      <c r="F4561" s="1" t="s">
        <v>443</v>
      </c>
      <c r="G4561" s="1" t="s">
        <v>444</v>
      </c>
      <c r="H4561" s="1">
        <v>708</v>
      </c>
      <c r="I4561" s="3">
        <v>46283</v>
      </c>
      <c r="L4561" s="31">
        <v>46283.408844907404</v>
      </c>
      <c r="M4561" s="20">
        <v>12</v>
      </c>
      <c r="N4561" s="1">
        <v>39</v>
      </c>
    </row>
    <row r="4562" spans="1:14" x14ac:dyDescent="0.25">
      <c r="A4562" t="str">
        <f t="shared" si="144"/>
        <v>U152825U152825</v>
      </c>
      <c r="B4562" t="str">
        <f t="shared" si="145"/>
        <v>U152825GC9060GY-M</v>
      </c>
      <c r="C4562" s="1" t="s">
        <v>5</v>
      </c>
      <c r="D4562" s="1" t="s">
        <v>758</v>
      </c>
      <c r="E4562" s="1" t="s">
        <v>436</v>
      </c>
      <c r="F4562" s="1" t="s">
        <v>443</v>
      </c>
      <c r="G4562" s="1" t="s">
        <v>444</v>
      </c>
      <c r="H4562" s="1">
        <v>708</v>
      </c>
      <c r="I4562" s="3">
        <v>46283</v>
      </c>
      <c r="L4562" s="31">
        <v>46283.409094907409</v>
      </c>
      <c r="M4562" s="20">
        <v>12</v>
      </c>
      <c r="N4562" s="1">
        <v>40</v>
      </c>
    </row>
    <row r="4563" spans="1:14" x14ac:dyDescent="0.25">
      <c r="A4563" t="str">
        <f t="shared" si="144"/>
        <v>U152825U152825</v>
      </c>
      <c r="B4563" t="str">
        <f t="shared" si="145"/>
        <v>U152825GC9060GY-M</v>
      </c>
      <c r="C4563" s="1" t="s">
        <v>5</v>
      </c>
      <c r="D4563" s="1" t="s">
        <v>758</v>
      </c>
      <c r="E4563" s="1" t="s">
        <v>436</v>
      </c>
      <c r="F4563" s="1" t="s">
        <v>443</v>
      </c>
      <c r="G4563" s="1" t="s">
        <v>444</v>
      </c>
      <c r="H4563" s="1">
        <v>708</v>
      </c>
      <c r="I4563" s="3">
        <v>46283</v>
      </c>
      <c r="L4563" s="31">
        <v>46283.413596331018</v>
      </c>
      <c r="M4563" s="20">
        <v>12</v>
      </c>
      <c r="N4563" s="1">
        <v>2</v>
      </c>
    </row>
    <row r="4564" spans="1:14" x14ac:dyDescent="0.25">
      <c r="A4564" t="str">
        <f t="shared" si="144"/>
        <v>U152825U152825</v>
      </c>
      <c r="B4564" t="str">
        <f t="shared" si="145"/>
        <v>U152825GC9060GY-M</v>
      </c>
      <c r="C4564" s="1" t="s">
        <v>5</v>
      </c>
      <c r="D4564" s="1" t="s">
        <v>758</v>
      </c>
      <c r="E4564" s="1" t="s">
        <v>436</v>
      </c>
      <c r="F4564" s="1" t="s">
        <v>443</v>
      </c>
      <c r="G4564" s="1" t="s">
        <v>444</v>
      </c>
      <c r="H4564" s="1">
        <v>708</v>
      </c>
      <c r="I4564" s="3">
        <v>46283</v>
      </c>
      <c r="L4564" s="31">
        <v>46283.414005590275</v>
      </c>
      <c r="M4564" s="20">
        <v>12</v>
      </c>
      <c r="N4564" s="1">
        <v>20</v>
      </c>
    </row>
    <row r="4565" spans="1:14" x14ac:dyDescent="0.25">
      <c r="A4565" t="str">
        <f t="shared" si="144"/>
        <v>U152825U152825</v>
      </c>
      <c r="B4565" t="str">
        <f t="shared" si="145"/>
        <v>U152825GC9060GY-M</v>
      </c>
      <c r="C4565" s="1" t="s">
        <v>5</v>
      </c>
      <c r="D4565" s="1" t="s">
        <v>758</v>
      </c>
      <c r="E4565" s="1" t="s">
        <v>436</v>
      </c>
      <c r="F4565" s="1" t="s">
        <v>443</v>
      </c>
      <c r="G4565" s="1" t="s">
        <v>444</v>
      </c>
      <c r="H4565" s="1">
        <v>708</v>
      </c>
      <c r="I4565" s="3">
        <v>46283</v>
      </c>
      <c r="L4565" s="31">
        <v>46283.41463086805</v>
      </c>
      <c r="M4565" s="20">
        <v>12</v>
      </c>
      <c r="N4565" s="1">
        <v>52</v>
      </c>
    </row>
    <row r="4566" spans="1:14" x14ac:dyDescent="0.25">
      <c r="A4566" t="str">
        <f t="shared" si="144"/>
        <v>U152825U152825</v>
      </c>
      <c r="B4566" t="str">
        <f t="shared" si="145"/>
        <v>U152825GC9060GY-M</v>
      </c>
      <c r="C4566" s="1" t="s">
        <v>5</v>
      </c>
      <c r="D4566" s="1" t="s">
        <v>758</v>
      </c>
      <c r="E4566" s="1" t="s">
        <v>436</v>
      </c>
      <c r="F4566" s="1" t="s">
        <v>443</v>
      </c>
      <c r="G4566" s="1" t="s">
        <v>444</v>
      </c>
      <c r="H4566" s="1">
        <v>708</v>
      </c>
      <c r="I4566" s="3">
        <v>46283</v>
      </c>
      <c r="L4566" s="31">
        <v>46283.417090821757</v>
      </c>
      <c r="M4566" s="20">
        <v>12</v>
      </c>
      <c r="N4566" s="1">
        <v>3</v>
      </c>
    </row>
    <row r="4567" spans="1:14" x14ac:dyDescent="0.25">
      <c r="A4567" t="str">
        <f t="shared" si="144"/>
        <v>U152825U152825</v>
      </c>
      <c r="B4567" t="str">
        <f t="shared" si="145"/>
        <v>U152825GC9060GY-M</v>
      </c>
      <c r="C4567" s="1" t="s">
        <v>5</v>
      </c>
      <c r="D4567" s="1" t="s">
        <v>758</v>
      </c>
      <c r="E4567" s="1" t="s">
        <v>436</v>
      </c>
      <c r="F4567" s="1" t="s">
        <v>443</v>
      </c>
      <c r="G4567" s="1" t="s">
        <v>444</v>
      </c>
      <c r="H4567" s="1">
        <v>708</v>
      </c>
      <c r="I4567" s="3">
        <v>46283</v>
      </c>
      <c r="L4567" s="31">
        <v>46283.452928553241</v>
      </c>
      <c r="M4567" s="20">
        <v>12</v>
      </c>
      <c r="N4567" s="1">
        <v>41</v>
      </c>
    </row>
    <row r="4568" spans="1:14" x14ac:dyDescent="0.25">
      <c r="A4568" t="str">
        <f t="shared" si="144"/>
        <v>U152825U152825</v>
      </c>
      <c r="B4568" t="str">
        <f t="shared" si="145"/>
        <v>U152825GC9060GY-M</v>
      </c>
      <c r="C4568" s="1" t="s">
        <v>5</v>
      </c>
      <c r="D4568" s="1" t="s">
        <v>758</v>
      </c>
      <c r="E4568" s="1" t="s">
        <v>436</v>
      </c>
      <c r="F4568" s="1" t="s">
        <v>443</v>
      </c>
      <c r="G4568" s="1" t="s">
        <v>444</v>
      </c>
      <c r="H4568" s="1">
        <v>708</v>
      </c>
      <c r="I4568" s="3">
        <v>46283</v>
      </c>
      <c r="L4568" s="31">
        <v>46283.453974571756</v>
      </c>
      <c r="M4568" s="20">
        <v>12</v>
      </c>
      <c r="N4568" s="1">
        <v>53</v>
      </c>
    </row>
    <row r="4569" spans="1:14" x14ac:dyDescent="0.25">
      <c r="A4569" t="str">
        <f t="shared" si="144"/>
        <v>U152825U152825</v>
      </c>
      <c r="B4569" t="str">
        <f t="shared" si="145"/>
        <v>U152825GC9060GY-M</v>
      </c>
      <c r="C4569" s="1" t="s">
        <v>5</v>
      </c>
      <c r="D4569" s="1" t="s">
        <v>758</v>
      </c>
      <c r="E4569" s="1" t="s">
        <v>436</v>
      </c>
      <c r="F4569" s="1" t="s">
        <v>443</v>
      </c>
      <c r="G4569" s="1" t="s">
        <v>444</v>
      </c>
      <c r="H4569" s="1">
        <v>708</v>
      </c>
      <c r="I4569" s="3">
        <v>46283</v>
      </c>
      <c r="L4569" s="31">
        <v>46283.454317557866</v>
      </c>
      <c r="M4569" s="20">
        <v>12</v>
      </c>
      <c r="N4569" s="1">
        <v>4</v>
      </c>
    </row>
    <row r="4570" spans="1:14" x14ac:dyDescent="0.25">
      <c r="A4570" t="str">
        <f t="shared" si="144"/>
        <v>U152825U152825</v>
      </c>
      <c r="B4570" t="str">
        <f t="shared" si="145"/>
        <v>U152825GC9060GY-M</v>
      </c>
      <c r="C4570" s="1" t="s">
        <v>5</v>
      </c>
      <c r="D4570" s="1" t="s">
        <v>758</v>
      </c>
      <c r="E4570" s="1" t="s">
        <v>436</v>
      </c>
      <c r="F4570" s="1" t="s">
        <v>443</v>
      </c>
      <c r="G4570" s="1" t="s">
        <v>444</v>
      </c>
      <c r="H4570" s="1">
        <v>708</v>
      </c>
      <c r="I4570" s="3">
        <v>46283</v>
      </c>
      <c r="L4570" s="31">
        <v>46283.455044525464</v>
      </c>
      <c r="M4570" s="20">
        <v>12</v>
      </c>
      <c r="N4570" s="1">
        <v>42</v>
      </c>
    </row>
    <row r="4571" spans="1:14" x14ac:dyDescent="0.25">
      <c r="A4571" t="str">
        <f t="shared" si="144"/>
        <v>U152825U152825</v>
      </c>
      <c r="B4571" t="str">
        <f t="shared" si="145"/>
        <v>U152825GC9060GY-M</v>
      </c>
      <c r="C4571" s="1" t="s">
        <v>5</v>
      </c>
      <c r="D4571" s="1" t="s">
        <v>758</v>
      </c>
      <c r="E4571" s="1" t="s">
        <v>436</v>
      </c>
      <c r="F4571" s="1" t="s">
        <v>443</v>
      </c>
      <c r="G4571" s="1" t="s">
        <v>444</v>
      </c>
      <c r="H4571" s="1">
        <v>708</v>
      </c>
      <c r="I4571" s="3">
        <v>46283</v>
      </c>
      <c r="L4571" s="31">
        <v>46283.557405092593</v>
      </c>
      <c r="M4571" s="20">
        <v>12</v>
      </c>
      <c r="N4571" s="1">
        <v>5</v>
      </c>
    </row>
    <row r="4572" spans="1:14" x14ac:dyDescent="0.25">
      <c r="A4572" t="str">
        <f t="shared" si="144"/>
        <v>U152825U152825</v>
      </c>
      <c r="B4572" t="str">
        <f t="shared" si="145"/>
        <v>U152825GC9060GY-M</v>
      </c>
      <c r="C4572" s="1" t="s">
        <v>5</v>
      </c>
      <c r="D4572" s="1" t="s">
        <v>758</v>
      </c>
      <c r="E4572" s="1" t="s">
        <v>436</v>
      </c>
      <c r="F4572" s="1" t="s">
        <v>443</v>
      </c>
      <c r="G4572" s="1" t="s">
        <v>444</v>
      </c>
      <c r="H4572" s="1">
        <v>708</v>
      </c>
      <c r="I4572" s="3">
        <v>46283</v>
      </c>
      <c r="L4572" s="31">
        <v>46283.557626006943</v>
      </c>
      <c r="M4572" s="20">
        <v>12</v>
      </c>
      <c r="N4572" s="1">
        <v>54</v>
      </c>
    </row>
    <row r="4573" spans="1:14" x14ac:dyDescent="0.25">
      <c r="A4573" t="str">
        <f t="shared" si="144"/>
        <v>U152825U152825</v>
      </c>
      <c r="B4573" t="str">
        <f t="shared" si="145"/>
        <v>U152825GC9060GY-M</v>
      </c>
      <c r="C4573" s="1" t="s">
        <v>5</v>
      </c>
      <c r="D4573" s="1" t="s">
        <v>758</v>
      </c>
      <c r="E4573" s="1" t="s">
        <v>436</v>
      </c>
      <c r="F4573" s="1" t="s">
        <v>443</v>
      </c>
      <c r="G4573" s="1" t="s">
        <v>444</v>
      </c>
      <c r="H4573" s="1">
        <v>708</v>
      </c>
      <c r="I4573" s="3">
        <v>46283</v>
      </c>
      <c r="L4573" s="31">
        <v>46283.557788923608</v>
      </c>
      <c r="M4573" s="20">
        <v>12</v>
      </c>
      <c r="N4573" s="1">
        <v>44</v>
      </c>
    </row>
    <row r="4574" spans="1:14" x14ac:dyDescent="0.25">
      <c r="A4574" t="str">
        <f t="shared" si="144"/>
        <v>U152825U152825</v>
      </c>
      <c r="B4574" t="str">
        <f t="shared" si="145"/>
        <v>U152825GC9060GY-M</v>
      </c>
      <c r="C4574" s="1" t="s">
        <v>5</v>
      </c>
      <c r="D4574" s="1" t="s">
        <v>758</v>
      </c>
      <c r="E4574" s="1" t="s">
        <v>436</v>
      </c>
      <c r="F4574" s="1" t="s">
        <v>443</v>
      </c>
      <c r="G4574" s="1" t="s">
        <v>444</v>
      </c>
      <c r="H4574" s="1">
        <v>708</v>
      </c>
      <c r="I4574" s="3">
        <v>46283</v>
      </c>
      <c r="L4574" s="31">
        <v>46283.558457638886</v>
      </c>
      <c r="M4574" s="20">
        <v>12</v>
      </c>
      <c r="N4574" s="1">
        <v>43</v>
      </c>
    </row>
    <row r="4575" spans="1:14" x14ac:dyDescent="0.25">
      <c r="A4575" t="str">
        <f t="shared" si="144"/>
        <v>U152825U152825</v>
      </c>
      <c r="B4575" t="str">
        <f t="shared" si="145"/>
        <v>U152825GC9060GY-M</v>
      </c>
      <c r="C4575" s="1" t="s">
        <v>5</v>
      </c>
      <c r="D4575" s="1" t="s">
        <v>758</v>
      </c>
      <c r="E4575" s="1" t="s">
        <v>436</v>
      </c>
      <c r="F4575" s="1" t="s">
        <v>443</v>
      </c>
      <c r="G4575" s="1" t="s">
        <v>444</v>
      </c>
      <c r="H4575" s="1">
        <v>708</v>
      </c>
      <c r="I4575" s="3">
        <v>46283</v>
      </c>
      <c r="L4575" s="31">
        <v>46283.566612118055</v>
      </c>
      <c r="M4575" s="20">
        <v>12</v>
      </c>
      <c r="N4575" s="1">
        <v>45</v>
      </c>
    </row>
    <row r="4576" spans="1:14" x14ac:dyDescent="0.25">
      <c r="A4576" t="str">
        <f t="shared" si="144"/>
        <v>U152825U152825</v>
      </c>
      <c r="B4576" t="str">
        <f t="shared" si="145"/>
        <v>U152825GC9060GY-M</v>
      </c>
      <c r="C4576" s="1" t="s">
        <v>5</v>
      </c>
      <c r="D4576" s="1" t="s">
        <v>758</v>
      </c>
      <c r="E4576" s="1" t="s">
        <v>436</v>
      </c>
      <c r="F4576" s="1" t="s">
        <v>443</v>
      </c>
      <c r="G4576" s="1" t="s">
        <v>444</v>
      </c>
      <c r="H4576" s="1">
        <v>708</v>
      </c>
      <c r="I4576" s="3">
        <v>46283</v>
      </c>
      <c r="L4576" s="31">
        <v>46283.567105092588</v>
      </c>
      <c r="M4576" s="20">
        <v>12</v>
      </c>
      <c r="N4576" s="1">
        <v>55</v>
      </c>
    </row>
    <row r="4577" spans="1:14" x14ac:dyDescent="0.25">
      <c r="A4577" t="str">
        <f t="shared" si="144"/>
        <v>U152825U152825</v>
      </c>
      <c r="B4577" t="str">
        <f t="shared" si="145"/>
        <v>U152825GC9060GY-M</v>
      </c>
      <c r="C4577" s="1" t="s">
        <v>5</v>
      </c>
      <c r="D4577" s="1" t="s">
        <v>758</v>
      </c>
      <c r="E4577" s="1" t="s">
        <v>436</v>
      </c>
      <c r="F4577" s="1" t="s">
        <v>443</v>
      </c>
      <c r="G4577" s="1" t="s">
        <v>444</v>
      </c>
      <c r="H4577" s="1">
        <v>708</v>
      </c>
      <c r="I4577" s="3">
        <v>46283</v>
      </c>
      <c r="L4577" s="31">
        <v>46283.583146562501</v>
      </c>
      <c r="M4577" s="20">
        <v>12</v>
      </c>
      <c r="N4577" s="1">
        <v>46</v>
      </c>
    </row>
    <row r="4578" spans="1:14" x14ac:dyDescent="0.25">
      <c r="A4578" t="str">
        <f t="shared" si="144"/>
        <v>U152825U152825</v>
      </c>
      <c r="B4578" t="str">
        <f t="shared" si="145"/>
        <v>U152825GC9060GY-M</v>
      </c>
      <c r="C4578" s="1" t="s">
        <v>5</v>
      </c>
      <c r="D4578" s="1" t="s">
        <v>758</v>
      </c>
      <c r="E4578" s="1" t="s">
        <v>436</v>
      </c>
      <c r="F4578" s="1" t="s">
        <v>443</v>
      </c>
      <c r="G4578" s="1" t="s">
        <v>444</v>
      </c>
      <c r="H4578" s="1">
        <v>708</v>
      </c>
      <c r="I4578" s="3">
        <v>46283</v>
      </c>
      <c r="L4578" s="31">
        <v>46283.583314085648</v>
      </c>
      <c r="M4578" s="20">
        <v>12</v>
      </c>
      <c r="N4578" s="1">
        <v>56</v>
      </c>
    </row>
    <row r="4579" spans="1:14" x14ac:dyDescent="0.25">
      <c r="A4579" t="str">
        <f t="shared" si="144"/>
        <v>U152825U152825</v>
      </c>
      <c r="B4579" t="str">
        <f t="shared" si="145"/>
        <v>U152825GC9060GY-M</v>
      </c>
      <c r="C4579" s="1" t="s">
        <v>5</v>
      </c>
      <c r="D4579" s="1" t="s">
        <v>758</v>
      </c>
      <c r="E4579" s="1" t="s">
        <v>436</v>
      </c>
      <c r="F4579" s="1" t="s">
        <v>443</v>
      </c>
      <c r="G4579" s="1" t="s">
        <v>444</v>
      </c>
      <c r="H4579" s="1">
        <v>708</v>
      </c>
      <c r="I4579" s="3">
        <v>46283</v>
      </c>
      <c r="L4579" s="31">
        <v>46283.589068020832</v>
      </c>
      <c r="M4579" s="20">
        <v>12</v>
      </c>
      <c r="N4579" s="1">
        <v>21</v>
      </c>
    </row>
    <row r="4580" spans="1:14" x14ac:dyDescent="0.25">
      <c r="A4580" t="str">
        <f t="shared" si="144"/>
        <v>U152825U152825</v>
      </c>
      <c r="B4580" t="str">
        <f t="shared" si="145"/>
        <v>U152825GC9060GY-M</v>
      </c>
      <c r="C4580" s="1" t="s">
        <v>5</v>
      </c>
      <c r="D4580" s="1" t="s">
        <v>758</v>
      </c>
      <c r="E4580" s="1" t="s">
        <v>436</v>
      </c>
      <c r="F4580" s="1" t="s">
        <v>443</v>
      </c>
      <c r="G4580" s="1" t="s">
        <v>444</v>
      </c>
      <c r="H4580" s="1">
        <v>708</v>
      </c>
      <c r="I4580" s="3">
        <v>46283</v>
      </c>
      <c r="L4580" s="31">
        <v>46283.589499571761</v>
      </c>
      <c r="M4580" s="20">
        <v>12</v>
      </c>
      <c r="N4580" s="1">
        <v>57</v>
      </c>
    </row>
    <row r="4581" spans="1:14" x14ac:dyDescent="0.25">
      <c r="A4581" t="str">
        <f t="shared" si="144"/>
        <v>U152825U152825</v>
      </c>
      <c r="B4581" t="str">
        <f t="shared" si="145"/>
        <v>U152825GC9060GY-M</v>
      </c>
      <c r="C4581" s="1" t="s">
        <v>5</v>
      </c>
      <c r="D4581" s="1" t="s">
        <v>758</v>
      </c>
      <c r="E4581" s="1" t="s">
        <v>436</v>
      </c>
      <c r="F4581" s="1" t="s">
        <v>443</v>
      </c>
      <c r="G4581" s="1" t="s">
        <v>444</v>
      </c>
      <c r="H4581" s="1">
        <v>708</v>
      </c>
      <c r="I4581" s="3">
        <v>46283</v>
      </c>
      <c r="L4581" s="31">
        <v>46283.597190046297</v>
      </c>
      <c r="M4581" s="20">
        <v>12</v>
      </c>
      <c r="N4581" s="1">
        <v>47</v>
      </c>
    </row>
    <row r="4582" spans="1:14" x14ac:dyDescent="0.25">
      <c r="A4582" t="str">
        <f t="shared" si="144"/>
        <v>U152825U152825</v>
      </c>
      <c r="B4582" t="str">
        <f t="shared" si="145"/>
        <v>U152825GC9060GY-M</v>
      </c>
      <c r="C4582" s="1" t="s">
        <v>5</v>
      </c>
      <c r="D4582" s="1" t="s">
        <v>758</v>
      </c>
      <c r="E4582" s="1" t="s">
        <v>436</v>
      </c>
      <c r="F4582" s="1" t="s">
        <v>443</v>
      </c>
      <c r="G4582" s="1" t="s">
        <v>444</v>
      </c>
      <c r="H4582" s="1">
        <v>708</v>
      </c>
      <c r="I4582" s="3">
        <v>46283</v>
      </c>
      <c r="L4582" s="31">
        <v>46283.717389004625</v>
      </c>
      <c r="M4582" s="20">
        <v>12</v>
      </c>
      <c r="N4582" s="1">
        <v>22</v>
      </c>
    </row>
    <row r="4583" spans="1:14" x14ac:dyDescent="0.25">
      <c r="A4583" t="str">
        <f t="shared" si="144"/>
        <v>U152825U152825</v>
      </c>
      <c r="B4583" t="str">
        <f t="shared" si="145"/>
        <v>U152825GC9060GY-M</v>
      </c>
      <c r="C4583" s="1" t="s">
        <v>5</v>
      </c>
      <c r="D4583" s="1" t="s">
        <v>758</v>
      </c>
      <c r="E4583" s="1" t="s">
        <v>436</v>
      </c>
      <c r="F4583" s="1" t="s">
        <v>443</v>
      </c>
      <c r="G4583" s="1" t="s">
        <v>444</v>
      </c>
      <c r="H4583" s="1">
        <v>708</v>
      </c>
      <c r="I4583" s="3">
        <v>46283</v>
      </c>
      <c r="L4583" s="31">
        <v>46283.740768784723</v>
      </c>
      <c r="M4583" s="20">
        <v>12</v>
      </c>
      <c r="N4583" s="1">
        <v>8</v>
      </c>
    </row>
    <row r="4584" spans="1:14" x14ac:dyDescent="0.25">
      <c r="A4584" t="str">
        <f t="shared" si="144"/>
        <v>U152825U152825</v>
      </c>
      <c r="B4584" t="str">
        <f t="shared" si="145"/>
        <v>U152825GC9060GY-M</v>
      </c>
      <c r="C4584" s="1" t="s">
        <v>5</v>
      </c>
      <c r="D4584" s="1" t="s">
        <v>758</v>
      </c>
      <c r="E4584" s="1" t="s">
        <v>436</v>
      </c>
      <c r="F4584" s="1" t="s">
        <v>443</v>
      </c>
      <c r="G4584" s="1" t="s">
        <v>444</v>
      </c>
      <c r="H4584" s="1">
        <v>708</v>
      </c>
      <c r="I4584" s="3">
        <v>46283</v>
      </c>
      <c r="L4584" s="31">
        <v>46283.741004363423</v>
      </c>
      <c r="M4584" s="20">
        <v>12</v>
      </c>
      <c r="N4584" s="1">
        <v>9</v>
      </c>
    </row>
    <row r="4585" spans="1:14" x14ac:dyDescent="0.25">
      <c r="A4585" t="str">
        <f t="shared" si="144"/>
        <v>U152829U152829</v>
      </c>
      <c r="B4585" t="str">
        <f t="shared" si="145"/>
        <v>U152829GC9060BE-W</v>
      </c>
      <c r="C4585" s="1" t="s">
        <v>768</v>
      </c>
      <c r="D4585" s="1" t="s">
        <v>738</v>
      </c>
      <c r="E4585" s="1" t="s">
        <v>436</v>
      </c>
      <c r="F4585" s="1" t="s">
        <v>443</v>
      </c>
      <c r="G4585" s="1" t="s">
        <v>444</v>
      </c>
      <c r="H4585" s="1">
        <v>120</v>
      </c>
      <c r="I4585" s="3">
        <v>46283</v>
      </c>
      <c r="J4585" s="3">
        <v>46283</v>
      </c>
      <c r="L4585" s="31">
        <v>46283.597422569444</v>
      </c>
      <c r="M4585" s="20">
        <v>12</v>
      </c>
      <c r="N4585" s="1">
        <v>5</v>
      </c>
    </row>
    <row r="4586" spans="1:14" x14ac:dyDescent="0.25">
      <c r="A4586" t="str">
        <f t="shared" si="144"/>
        <v>U152829U152829</v>
      </c>
      <c r="B4586" t="str">
        <f t="shared" si="145"/>
        <v>U152829GC9060BE-W</v>
      </c>
      <c r="C4586" s="1" t="s">
        <v>768</v>
      </c>
      <c r="D4586" s="1" t="s">
        <v>738</v>
      </c>
      <c r="E4586" s="1" t="s">
        <v>436</v>
      </c>
      <c r="F4586" s="1" t="s">
        <v>443</v>
      </c>
      <c r="G4586" s="1" t="s">
        <v>444</v>
      </c>
      <c r="H4586" s="1">
        <v>120</v>
      </c>
      <c r="I4586" s="3">
        <v>46283</v>
      </c>
      <c r="J4586" s="3">
        <v>46283</v>
      </c>
      <c r="L4586" s="31">
        <v>46283.597601620371</v>
      </c>
      <c r="M4586" s="20">
        <v>12</v>
      </c>
      <c r="N4586" s="1">
        <v>12</v>
      </c>
    </row>
    <row r="4587" spans="1:14" x14ac:dyDescent="0.25">
      <c r="A4587" t="str">
        <f t="shared" si="144"/>
        <v>U152829U152829</v>
      </c>
      <c r="B4587" t="str">
        <f t="shared" si="145"/>
        <v>U152829GC9060BE-W</v>
      </c>
      <c r="C4587" s="1" t="s">
        <v>768</v>
      </c>
      <c r="D4587" s="1" t="s">
        <v>738</v>
      </c>
      <c r="E4587" s="1" t="s">
        <v>436</v>
      </c>
      <c r="F4587" s="1" t="s">
        <v>443</v>
      </c>
      <c r="G4587" s="1" t="s">
        <v>444</v>
      </c>
      <c r="H4587" s="1">
        <v>120</v>
      </c>
      <c r="I4587" s="3">
        <v>46283</v>
      </c>
      <c r="J4587" s="3">
        <v>46283</v>
      </c>
      <c r="L4587" s="31">
        <v>46283.5981684375</v>
      </c>
      <c r="M4587" s="20">
        <v>12</v>
      </c>
      <c r="N4587" s="1">
        <v>10</v>
      </c>
    </row>
    <row r="4588" spans="1:14" x14ac:dyDescent="0.25">
      <c r="A4588" t="str">
        <f t="shared" si="144"/>
        <v>U152829U152829</v>
      </c>
      <c r="B4588" t="str">
        <f t="shared" si="145"/>
        <v>U152829GC9060BE-W</v>
      </c>
      <c r="C4588" s="1" t="s">
        <v>768</v>
      </c>
      <c r="D4588" s="1" t="s">
        <v>738</v>
      </c>
      <c r="E4588" s="1" t="s">
        <v>436</v>
      </c>
      <c r="F4588" s="1" t="s">
        <v>443</v>
      </c>
      <c r="G4588" s="1" t="s">
        <v>444</v>
      </c>
      <c r="H4588" s="1">
        <v>120</v>
      </c>
      <c r="I4588" s="3">
        <v>46283</v>
      </c>
      <c r="J4588" s="3">
        <v>46283</v>
      </c>
      <c r="L4588" s="31">
        <v>46283.613541053237</v>
      </c>
      <c r="M4588" s="20">
        <v>12</v>
      </c>
      <c r="N4588" s="1">
        <v>7</v>
      </c>
    </row>
    <row r="4589" spans="1:14" x14ac:dyDescent="0.25">
      <c r="A4589" t="str">
        <f t="shared" si="144"/>
        <v>U152829U152829</v>
      </c>
      <c r="B4589" t="str">
        <f t="shared" si="145"/>
        <v>U152829GC9060BE-W</v>
      </c>
      <c r="C4589" s="1" t="s">
        <v>768</v>
      </c>
      <c r="D4589" s="1" t="s">
        <v>738</v>
      </c>
      <c r="E4589" s="1" t="s">
        <v>436</v>
      </c>
      <c r="F4589" s="1" t="s">
        <v>443</v>
      </c>
      <c r="G4589" s="1" t="s">
        <v>444</v>
      </c>
      <c r="H4589" s="1">
        <v>120</v>
      </c>
      <c r="I4589" s="3">
        <v>46283</v>
      </c>
      <c r="J4589" s="3">
        <v>46283</v>
      </c>
      <c r="L4589" s="31">
        <v>46283.613814699071</v>
      </c>
      <c r="M4589" s="20">
        <v>12</v>
      </c>
      <c r="N4589" s="1">
        <v>11</v>
      </c>
    </row>
    <row r="4590" spans="1:14" x14ac:dyDescent="0.25">
      <c r="A4590" t="str">
        <f t="shared" si="144"/>
        <v>U152829U152829</v>
      </c>
      <c r="B4590" t="str">
        <f t="shared" si="145"/>
        <v>U152829GC9060BE-W</v>
      </c>
      <c r="C4590" s="1" t="s">
        <v>768</v>
      </c>
      <c r="D4590" s="1" t="s">
        <v>738</v>
      </c>
      <c r="E4590" s="1" t="s">
        <v>436</v>
      </c>
      <c r="F4590" s="1" t="s">
        <v>443</v>
      </c>
      <c r="G4590" s="1" t="s">
        <v>444</v>
      </c>
      <c r="H4590" s="1">
        <v>120</v>
      </c>
      <c r="I4590" s="3">
        <v>46283</v>
      </c>
      <c r="J4590" s="3">
        <v>46283</v>
      </c>
      <c r="L4590" s="31">
        <v>46283.620742743056</v>
      </c>
      <c r="M4590" s="20">
        <v>12</v>
      </c>
      <c r="N4590" s="1">
        <v>9</v>
      </c>
    </row>
    <row r="4591" spans="1:14" x14ac:dyDescent="0.25">
      <c r="A4591" t="str">
        <f t="shared" si="144"/>
        <v>U152829U152829</v>
      </c>
      <c r="B4591" t="str">
        <f t="shared" si="145"/>
        <v>U152829GC9060BE-W</v>
      </c>
      <c r="C4591" s="1" t="s">
        <v>768</v>
      </c>
      <c r="D4591" s="1" t="s">
        <v>738</v>
      </c>
      <c r="E4591" s="1" t="s">
        <v>436</v>
      </c>
      <c r="F4591" s="1" t="s">
        <v>443</v>
      </c>
      <c r="G4591" s="1" t="s">
        <v>444</v>
      </c>
      <c r="H4591" s="1">
        <v>120</v>
      </c>
      <c r="I4591" s="3">
        <v>46283</v>
      </c>
      <c r="J4591" s="3">
        <v>46283</v>
      </c>
      <c r="L4591" s="31">
        <v>46283.621397025461</v>
      </c>
      <c r="M4591" s="20">
        <v>12</v>
      </c>
      <c r="N4591" s="1">
        <v>6</v>
      </c>
    </row>
    <row r="4592" spans="1:14" x14ac:dyDescent="0.25">
      <c r="A4592" t="str">
        <f t="shared" si="144"/>
        <v>U152829U152829</v>
      </c>
      <c r="B4592" t="str">
        <f t="shared" si="145"/>
        <v>U152829GC9060BE-W</v>
      </c>
      <c r="C4592" s="1" t="s">
        <v>768</v>
      </c>
      <c r="D4592" s="1" t="s">
        <v>738</v>
      </c>
      <c r="E4592" s="1" t="s">
        <v>436</v>
      </c>
      <c r="F4592" s="1" t="s">
        <v>443</v>
      </c>
      <c r="G4592" s="1" t="s">
        <v>444</v>
      </c>
      <c r="H4592" s="1">
        <v>120</v>
      </c>
      <c r="I4592" s="3">
        <v>46283</v>
      </c>
      <c r="J4592" s="3">
        <v>46283</v>
      </c>
      <c r="L4592" s="31">
        <v>46283.62597025463</v>
      </c>
      <c r="M4592" s="20">
        <v>12</v>
      </c>
      <c r="N4592" s="1">
        <v>8</v>
      </c>
    </row>
    <row r="4593" spans="1:14" x14ac:dyDescent="0.25">
      <c r="A4593" t="str">
        <f t="shared" si="144"/>
        <v>U152829U152829</v>
      </c>
      <c r="B4593" t="str">
        <f t="shared" si="145"/>
        <v>U152829GC9060BE-W</v>
      </c>
      <c r="C4593" s="1" t="s">
        <v>768</v>
      </c>
      <c r="D4593" s="1" t="s">
        <v>738</v>
      </c>
      <c r="E4593" s="1" t="s">
        <v>436</v>
      </c>
      <c r="F4593" s="1" t="s">
        <v>443</v>
      </c>
      <c r="G4593" s="1" t="s">
        <v>444</v>
      </c>
      <c r="H4593" s="1">
        <v>120</v>
      </c>
      <c r="I4593" s="3">
        <v>46283</v>
      </c>
      <c r="J4593" s="3">
        <v>46283</v>
      </c>
      <c r="L4593" s="31">
        <v>46283.662057986112</v>
      </c>
      <c r="M4593" s="20">
        <v>6</v>
      </c>
      <c r="N4593" s="1">
        <v>15</v>
      </c>
    </row>
    <row r="4594" spans="1:14" x14ac:dyDescent="0.25">
      <c r="A4594" t="str">
        <f t="shared" si="144"/>
        <v>U152829U152829</v>
      </c>
      <c r="B4594" t="str">
        <f t="shared" si="145"/>
        <v>U152829GC9060BE-W</v>
      </c>
      <c r="C4594" s="1" t="s">
        <v>768</v>
      </c>
      <c r="D4594" s="1" t="s">
        <v>738</v>
      </c>
      <c r="E4594" s="1" t="s">
        <v>436</v>
      </c>
      <c r="F4594" s="1" t="s">
        <v>443</v>
      </c>
      <c r="G4594" s="1" t="s">
        <v>444</v>
      </c>
      <c r="H4594" s="1">
        <v>120</v>
      </c>
      <c r="I4594" s="3">
        <v>46283</v>
      </c>
      <c r="J4594" s="3">
        <v>46283</v>
      </c>
      <c r="L4594" s="31">
        <v>46283.668221643515</v>
      </c>
      <c r="M4594" s="20">
        <v>12</v>
      </c>
      <c r="N4594" s="1">
        <v>13</v>
      </c>
    </row>
    <row r="4595" spans="1:14" x14ac:dyDescent="0.25">
      <c r="A4595" t="str">
        <f t="shared" si="144"/>
        <v>U152829U152829</v>
      </c>
      <c r="B4595" t="str">
        <f t="shared" si="145"/>
        <v>U152829GC9060BE-W</v>
      </c>
      <c r="C4595" s="1" t="s">
        <v>768</v>
      </c>
      <c r="D4595" s="1" t="s">
        <v>738</v>
      </c>
      <c r="E4595" s="1" t="s">
        <v>436</v>
      </c>
      <c r="F4595" s="1" t="s">
        <v>443</v>
      </c>
      <c r="G4595" s="1" t="s">
        <v>444</v>
      </c>
      <c r="H4595" s="1">
        <v>120</v>
      </c>
      <c r="I4595" s="3">
        <v>46283</v>
      </c>
      <c r="J4595" s="3">
        <v>46283</v>
      </c>
      <c r="L4595" s="31">
        <v>46283.669839467591</v>
      </c>
      <c r="M4595" s="20">
        <v>6</v>
      </c>
      <c r="N4595" s="1">
        <v>14</v>
      </c>
    </row>
    <row r="4596" spans="1:14" x14ac:dyDescent="0.25">
      <c r="A4596" t="str">
        <f t="shared" si="144"/>
        <v>U152834U152834</v>
      </c>
      <c r="B4596" t="str">
        <f t="shared" si="145"/>
        <v>U152834GC9060BK-W</v>
      </c>
      <c r="C4596" s="1" t="s">
        <v>755</v>
      </c>
      <c r="D4596" s="1" t="s">
        <v>772</v>
      </c>
      <c r="E4596" s="1" t="s">
        <v>436</v>
      </c>
      <c r="F4596" s="1" t="s">
        <v>443</v>
      </c>
      <c r="G4596" s="1" t="s">
        <v>466</v>
      </c>
      <c r="H4596" s="1">
        <v>48</v>
      </c>
      <c r="I4596" s="3">
        <v>46283</v>
      </c>
      <c r="L4596" s="31">
        <v>46283.651112233798</v>
      </c>
      <c r="M4596" s="20">
        <v>12</v>
      </c>
      <c r="N4596" s="1">
        <v>11</v>
      </c>
    </row>
    <row r="4597" spans="1:14" x14ac:dyDescent="0.25">
      <c r="A4597" t="str">
        <f t="shared" si="144"/>
        <v>U152834U152834</v>
      </c>
      <c r="B4597" t="str">
        <f t="shared" si="145"/>
        <v>U152834GC9060BK-W</v>
      </c>
      <c r="C4597" s="1" t="s">
        <v>755</v>
      </c>
      <c r="D4597" s="1" t="s">
        <v>772</v>
      </c>
      <c r="E4597" s="1" t="s">
        <v>436</v>
      </c>
      <c r="F4597" s="1" t="s">
        <v>443</v>
      </c>
      <c r="G4597" s="1" t="s">
        <v>466</v>
      </c>
      <c r="H4597" s="1">
        <v>48</v>
      </c>
      <c r="I4597" s="3">
        <v>46283</v>
      </c>
      <c r="L4597" s="31">
        <v>46283.697537615735</v>
      </c>
      <c r="M4597" s="20">
        <v>12</v>
      </c>
      <c r="N4597" s="1">
        <v>12</v>
      </c>
    </row>
    <row r="4598" spans="1:14" x14ac:dyDescent="0.25">
      <c r="A4598" t="str">
        <f t="shared" si="144"/>
        <v>U152847U152847</v>
      </c>
      <c r="B4598" t="str">
        <f t="shared" si="145"/>
        <v>U152847I603457-M</v>
      </c>
      <c r="C4598" s="1" t="s">
        <v>57</v>
      </c>
      <c r="D4598" s="1" t="s">
        <v>771</v>
      </c>
      <c r="E4598" s="1" t="s">
        <v>436</v>
      </c>
      <c r="F4598" s="1" t="s">
        <v>443</v>
      </c>
      <c r="G4598" s="1" t="s">
        <v>444</v>
      </c>
      <c r="H4598" s="1">
        <v>126</v>
      </c>
      <c r="I4598" s="3">
        <v>46283</v>
      </c>
      <c r="L4598" s="31">
        <v>46283.631571956015</v>
      </c>
      <c r="M4598" s="20">
        <v>12</v>
      </c>
      <c r="N4598" s="1">
        <v>7</v>
      </c>
    </row>
    <row r="4599" spans="1:14" x14ac:dyDescent="0.25">
      <c r="A4599" t="str">
        <f t="shared" si="144"/>
        <v>U152847U152847</v>
      </c>
      <c r="B4599" t="str">
        <f t="shared" si="145"/>
        <v>U152847I603457-M</v>
      </c>
      <c r="C4599" s="1" t="s">
        <v>57</v>
      </c>
      <c r="D4599" s="1" t="s">
        <v>771</v>
      </c>
      <c r="E4599" s="1" t="s">
        <v>436</v>
      </c>
      <c r="F4599" s="1" t="s">
        <v>443</v>
      </c>
      <c r="G4599" s="1" t="s">
        <v>444</v>
      </c>
      <c r="H4599" s="1">
        <v>126</v>
      </c>
      <c r="I4599" s="3">
        <v>46283</v>
      </c>
      <c r="L4599" s="31">
        <v>46283.655818599538</v>
      </c>
      <c r="M4599" s="20">
        <v>12</v>
      </c>
      <c r="N4599" s="1">
        <v>5</v>
      </c>
    </row>
    <row r="4600" spans="1:14" x14ac:dyDescent="0.25">
      <c r="A4600" t="str">
        <f t="shared" si="144"/>
        <v>U152849U152849</v>
      </c>
      <c r="B4600" t="str">
        <f t="shared" si="145"/>
        <v>U152849I603283-M</v>
      </c>
      <c r="C4600" s="1" t="s">
        <v>764</v>
      </c>
      <c r="D4600" s="1" t="s">
        <v>765</v>
      </c>
      <c r="E4600" s="1" t="s">
        <v>436</v>
      </c>
      <c r="F4600" s="1" t="s">
        <v>443</v>
      </c>
      <c r="G4600" s="1" t="s">
        <v>444</v>
      </c>
      <c r="H4600" s="1">
        <v>264</v>
      </c>
      <c r="I4600" s="3">
        <v>46283</v>
      </c>
      <c r="L4600" s="31">
        <v>46283.461507141204</v>
      </c>
      <c r="M4600" s="20">
        <v>12</v>
      </c>
      <c r="N4600" s="1">
        <v>18</v>
      </c>
    </row>
    <row r="4601" spans="1:14" x14ac:dyDescent="0.25">
      <c r="A4601" t="str">
        <f t="shared" si="144"/>
        <v>U152849U152849</v>
      </c>
      <c r="B4601" t="str">
        <f t="shared" si="145"/>
        <v>U152849I603283-M</v>
      </c>
      <c r="C4601" s="1" t="s">
        <v>764</v>
      </c>
      <c r="D4601" s="1" t="s">
        <v>765</v>
      </c>
      <c r="E4601" s="1" t="s">
        <v>436</v>
      </c>
      <c r="F4601" s="1" t="s">
        <v>443</v>
      </c>
      <c r="G4601" s="1" t="s">
        <v>444</v>
      </c>
      <c r="H4601" s="1">
        <v>264</v>
      </c>
      <c r="I4601" s="3">
        <v>46283</v>
      </c>
      <c r="L4601" s="31">
        <v>46283.559417858793</v>
      </c>
      <c r="M4601" s="20">
        <v>12</v>
      </c>
      <c r="N4601" s="1">
        <v>15</v>
      </c>
    </row>
    <row r="4602" spans="1:14" x14ac:dyDescent="0.25">
      <c r="A4602" t="str">
        <f t="shared" si="144"/>
        <v>U152849U152849</v>
      </c>
      <c r="B4602" t="str">
        <f t="shared" si="145"/>
        <v>U152849I603283-M</v>
      </c>
      <c r="C4602" s="1" t="s">
        <v>764</v>
      </c>
      <c r="D4602" s="1" t="s">
        <v>765</v>
      </c>
      <c r="E4602" s="1" t="s">
        <v>436</v>
      </c>
      <c r="F4602" s="1" t="s">
        <v>443</v>
      </c>
      <c r="G4602" s="1" t="s">
        <v>444</v>
      </c>
      <c r="H4602" s="1">
        <v>264</v>
      </c>
      <c r="I4602" s="3">
        <v>46283</v>
      </c>
      <c r="L4602" s="31">
        <v>46283.58770181713</v>
      </c>
      <c r="M4602" s="20">
        <v>12</v>
      </c>
      <c r="N4602" s="1">
        <v>4</v>
      </c>
    </row>
    <row r="4603" spans="1:14" x14ac:dyDescent="0.25">
      <c r="A4603" t="str">
        <f t="shared" si="144"/>
        <v>U152849U152849</v>
      </c>
      <c r="B4603" t="str">
        <f t="shared" si="145"/>
        <v>U152849I603283-M</v>
      </c>
      <c r="C4603" s="1" t="s">
        <v>764</v>
      </c>
      <c r="D4603" s="1" t="s">
        <v>765</v>
      </c>
      <c r="E4603" s="1" t="s">
        <v>436</v>
      </c>
      <c r="F4603" s="1" t="s">
        <v>443</v>
      </c>
      <c r="G4603" s="1" t="s">
        <v>444</v>
      </c>
      <c r="H4603" s="1">
        <v>264</v>
      </c>
      <c r="I4603" s="3">
        <v>46283</v>
      </c>
      <c r="L4603" s="31">
        <v>46283.596885532403</v>
      </c>
      <c r="M4603" s="20">
        <v>12</v>
      </c>
      <c r="N4603" s="1">
        <v>10</v>
      </c>
    </row>
    <row r="4604" spans="1:14" x14ac:dyDescent="0.25">
      <c r="A4604" t="str">
        <f t="shared" si="144"/>
        <v>U152849U152849</v>
      </c>
      <c r="B4604" t="str">
        <f t="shared" si="145"/>
        <v>U152849I603283-W</v>
      </c>
      <c r="C4604" s="1" t="s">
        <v>608</v>
      </c>
      <c r="D4604" s="1" t="s">
        <v>765</v>
      </c>
      <c r="E4604" s="1" t="s">
        <v>436</v>
      </c>
      <c r="F4604" s="1" t="s">
        <v>443</v>
      </c>
      <c r="G4604" s="1" t="s">
        <v>444</v>
      </c>
      <c r="H4604" s="1">
        <v>168</v>
      </c>
      <c r="I4604" s="3">
        <v>46283</v>
      </c>
      <c r="L4604" s="31">
        <v>46283.655619363424</v>
      </c>
      <c r="M4604" s="20">
        <v>12</v>
      </c>
      <c r="N4604" s="1">
        <v>33</v>
      </c>
    </row>
    <row r="4605" spans="1:14" x14ac:dyDescent="0.25">
      <c r="A4605" t="str">
        <f t="shared" si="144"/>
        <v>U152849U152849</v>
      </c>
      <c r="B4605" t="str">
        <f t="shared" si="145"/>
        <v>U152849I603283-M</v>
      </c>
      <c r="C4605" s="1" t="s">
        <v>764</v>
      </c>
      <c r="D4605" s="1" t="s">
        <v>765</v>
      </c>
      <c r="E4605" s="1" t="s">
        <v>436</v>
      </c>
      <c r="F4605" s="1" t="s">
        <v>443</v>
      </c>
      <c r="G4605" s="1" t="s">
        <v>444</v>
      </c>
      <c r="H4605" s="1">
        <v>264</v>
      </c>
      <c r="I4605" s="3">
        <v>46283</v>
      </c>
      <c r="L4605" s="31">
        <v>46283.675696759259</v>
      </c>
      <c r="M4605" s="20">
        <v>12</v>
      </c>
      <c r="N4605" s="1">
        <v>8</v>
      </c>
    </row>
    <row r="4606" spans="1:14" x14ac:dyDescent="0.25">
      <c r="A4606" t="str">
        <f t="shared" si="144"/>
        <v>U152849U152849</v>
      </c>
      <c r="B4606" t="str">
        <f t="shared" si="145"/>
        <v>U152849I603283-M</v>
      </c>
      <c r="C4606" s="1" t="s">
        <v>764</v>
      </c>
      <c r="D4606" s="1" t="s">
        <v>765</v>
      </c>
      <c r="E4606" s="1" t="s">
        <v>436</v>
      </c>
      <c r="F4606" s="1" t="s">
        <v>443</v>
      </c>
      <c r="G4606" s="1" t="s">
        <v>444</v>
      </c>
      <c r="H4606" s="1">
        <v>264</v>
      </c>
      <c r="I4606" s="3">
        <v>46283</v>
      </c>
      <c r="L4606" s="31">
        <v>46283.724978587961</v>
      </c>
      <c r="M4606" s="20">
        <v>12</v>
      </c>
      <c r="N4606" s="1">
        <v>12</v>
      </c>
    </row>
    <row r="4607" spans="1:14" x14ac:dyDescent="0.25">
      <c r="A4607" t="str">
        <f t="shared" si="144"/>
        <v>U152851U152851</v>
      </c>
      <c r="B4607" t="str">
        <f t="shared" si="145"/>
        <v>U152851I60356H-M</v>
      </c>
      <c r="C4607" s="1" t="s">
        <v>568</v>
      </c>
      <c r="D4607" s="1" t="s">
        <v>774</v>
      </c>
      <c r="E4607" s="1" t="s">
        <v>436</v>
      </c>
      <c r="F4607" s="1" t="s">
        <v>443</v>
      </c>
      <c r="G4607" s="1" t="s">
        <v>457</v>
      </c>
      <c r="H4607" s="1">
        <v>324</v>
      </c>
      <c r="I4607" s="3">
        <v>46283</v>
      </c>
      <c r="L4607" s="31">
        <v>46283.687708252313</v>
      </c>
      <c r="M4607" s="20">
        <v>12</v>
      </c>
      <c r="N4607" s="1">
        <v>6</v>
      </c>
    </row>
    <row r="4608" spans="1:14" x14ac:dyDescent="0.25">
      <c r="A4608" t="str">
        <f t="shared" si="144"/>
        <v>U152851U152851</v>
      </c>
      <c r="B4608" t="str">
        <f t="shared" si="145"/>
        <v>U152851I60356H-M</v>
      </c>
      <c r="C4608" s="1" t="s">
        <v>568</v>
      </c>
      <c r="D4608" s="1" t="s">
        <v>774</v>
      </c>
      <c r="E4608" s="1" t="s">
        <v>436</v>
      </c>
      <c r="F4608" s="1" t="s">
        <v>443</v>
      </c>
      <c r="G4608" s="1" t="s">
        <v>457</v>
      </c>
      <c r="H4608" s="1">
        <v>324</v>
      </c>
      <c r="I4608" s="3">
        <v>46283</v>
      </c>
      <c r="L4608" s="31">
        <v>46283.687952812499</v>
      </c>
      <c r="M4608" s="20">
        <v>12</v>
      </c>
      <c r="N4608" s="1">
        <v>23</v>
      </c>
    </row>
    <row r="4609" spans="1:14" x14ac:dyDescent="0.25">
      <c r="A4609" t="str">
        <f t="shared" si="144"/>
        <v>U152851U152851</v>
      </c>
      <c r="B4609" t="str">
        <f t="shared" si="145"/>
        <v>U152851I60356H-M</v>
      </c>
      <c r="C4609" s="1" t="s">
        <v>568</v>
      </c>
      <c r="D4609" s="1" t="s">
        <v>774</v>
      </c>
      <c r="E4609" s="1" t="s">
        <v>436</v>
      </c>
      <c r="F4609" s="1" t="s">
        <v>443</v>
      </c>
      <c r="G4609" s="1" t="s">
        <v>457</v>
      </c>
      <c r="H4609" s="1">
        <v>324</v>
      </c>
      <c r="I4609" s="3">
        <v>46283</v>
      </c>
      <c r="L4609" s="31">
        <v>46283.688191203699</v>
      </c>
      <c r="M4609" s="20">
        <v>12</v>
      </c>
      <c r="N4609" s="1">
        <v>14</v>
      </c>
    </row>
    <row r="4610" spans="1:14" x14ac:dyDescent="0.25">
      <c r="A4610" t="str">
        <f t="shared" ref="A4610:A4673" si="146">+D4610&amp;D4610</f>
        <v>U152851U152851</v>
      </c>
      <c r="B4610" t="str">
        <f t="shared" ref="B4610:B4673" si="147">+D4610&amp;C4610</f>
        <v>U152851I60356H-M</v>
      </c>
      <c r="C4610" s="1" t="s">
        <v>568</v>
      </c>
      <c r="D4610" s="1" t="s">
        <v>774</v>
      </c>
      <c r="E4610" s="1" t="s">
        <v>436</v>
      </c>
      <c r="F4610" s="1" t="s">
        <v>443</v>
      </c>
      <c r="G4610" s="1" t="s">
        <v>457</v>
      </c>
      <c r="H4610" s="1">
        <v>324</v>
      </c>
      <c r="I4610" s="3">
        <v>46283</v>
      </c>
      <c r="L4610" s="31">
        <v>46283.728329664351</v>
      </c>
      <c r="M4610" s="20">
        <v>12</v>
      </c>
      <c r="N4610" s="1">
        <v>17</v>
      </c>
    </row>
    <row r="4611" spans="1:14" x14ac:dyDescent="0.25">
      <c r="A4611" t="str">
        <f t="shared" si="146"/>
        <v>78754117875411</v>
      </c>
      <c r="B4611" t="str">
        <f t="shared" si="147"/>
        <v>7875411M5742IX-D</v>
      </c>
      <c r="C4611" s="1" t="s">
        <v>487</v>
      </c>
      <c r="D4611" s="1" t="s">
        <v>783</v>
      </c>
      <c r="E4611" s="1" t="s">
        <v>379</v>
      </c>
      <c r="F4611" s="1" t="s">
        <v>380</v>
      </c>
      <c r="G4611" s="1" t="s">
        <v>391</v>
      </c>
      <c r="H4611" s="1">
        <v>624</v>
      </c>
      <c r="I4611" s="3">
        <v>46284</v>
      </c>
      <c r="L4611" s="31">
        <v>46284.426565543981</v>
      </c>
      <c r="M4611" s="20">
        <v>12</v>
      </c>
      <c r="N4611" s="1">
        <v>15</v>
      </c>
    </row>
    <row r="4612" spans="1:14" x14ac:dyDescent="0.25">
      <c r="A4612" t="str">
        <f t="shared" si="146"/>
        <v>78754117875411</v>
      </c>
      <c r="B4612" t="str">
        <f t="shared" si="147"/>
        <v>7875411M5742IX-D</v>
      </c>
      <c r="C4612" s="1" t="s">
        <v>487</v>
      </c>
      <c r="D4612" s="1" t="s">
        <v>783</v>
      </c>
      <c r="E4612" s="1" t="s">
        <v>379</v>
      </c>
      <c r="F4612" s="1" t="s">
        <v>380</v>
      </c>
      <c r="G4612" s="1" t="s">
        <v>391</v>
      </c>
      <c r="H4612" s="1">
        <v>624</v>
      </c>
      <c r="I4612" s="3">
        <v>46284</v>
      </c>
      <c r="L4612" s="31">
        <v>46284.427141550921</v>
      </c>
      <c r="M4612" s="20">
        <v>12</v>
      </c>
      <c r="N4612" s="1">
        <v>6</v>
      </c>
    </row>
    <row r="4613" spans="1:14" x14ac:dyDescent="0.25">
      <c r="A4613" t="str">
        <f t="shared" si="146"/>
        <v>78754117875411</v>
      </c>
      <c r="B4613" t="str">
        <f t="shared" si="147"/>
        <v>7875411M5742IX-D</v>
      </c>
      <c r="C4613" s="1" t="s">
        <v>487</v>
      </c>
      <c r="D4613" s="1" t="s">
        <v>783</v>
      </c>
      <c r="E4613" s="1" t="s">
        <v>379</v>
      </c>
      <c r="F4613" s="1" t="s">
        <v>380</v>
      </c>
      <c r="G4613" s="1" t="s">
        <v>391</v>
      </c>
      <c r="H4613" s="1">
        <v>624</v>
      </c>
      <c r="I4613" s="3">
        <v>46284</v>
      </c>
      <c r="L4613" s="31">
        <v>46284.433367673606</v>
      </c>
      <c r="M4613" s="20">
        <v>12</v>
      </c>
      <c r="N4613" s="1">
        <v>35</v>
      </c>
    </row>
    <row r="4614" spans="1:14" x14ac:dyDescent="0.25">
      <c r="A4614" t="str">
        <f t="shared" si="146"/>
        <v>78754117875411</v>
      </c>
      <c r="B4614" t="str">
        <f t="shared" si="147"/>
        <v>7875411M5742IX-D</v>
      </c>
      <c r="C4614" s="1" t="s">
        <v>487</v>
      </c>
      <c r="D4614" s="1" t="s">
        <v>783</v>
      </c>
      <c r="E4614" s="1" t="s">
        <v>379</v>
      </c>
      <c r="F4614" s="1" t="s">
        <v>380</v>
      </c>
      <c r="G4614" s="1" t="s">
        <v>391</v>
      </c>
      <c r="H4614" s="1">
        <v>624</v>
      </c>
      <c r="I4614" s="3">
        <v>46284</v>
      </c>
      <c r="L4614" s="31">
        <v>46284.439250844909</v>
      </c>
      <c r="M4614" s="20">
        <v>12</v>
      </c>
      <c r="N4614" s="1">
        <v>21</v>
      </c>
    </row>
    <row r="4615" spans="1:14" x14ac:dyDescent="0.25">
      <c r="A4615" t="str">
        <f t="shared" si="146"/>
        <v>78754117875411</v>
      </c>
      <c r="B4615" t="str">
        <f t="shared" si="147"/>
        <v>7875411M5742IX-D</v>
      </c>
      <c r="C4615" s="1" t="s">
        <v>487</v>
      </c>
      <c r="D4615" s="1" t="s">
        <v>783</v>
      </c>
      <c r="E4615" s="1" t="s">
        <v>379</v>
      </c>
      <c r="F4615" s="1" t="s">
        <v>380</v>
      </c>
      <c r="G4615" s="1" t="s">
        <v>391</v>
      </c>
      <c r="H4615" s="1">
        <v>624</v>
      </c>
      <c r="I4615" s="3">
        <v>46284</v>
      </c>
      <c r="L4615" s="31">
        <v>46284.440420567131</v>
      </c>
      <c r="M4615" s="20">
        <v>12</v>
      </c>
      <c r="N4615" s="1">
        <v>29</v>
      </c>
    </row>
    <row r="4616" spans="1:14" x14ac:dyDescent="0.25">
      <c r="A4616" t="str">
        <f t="shared" si="146"/>
        <v>78754117875411</v>
      </c>
      <c r="B4616" t="str">
        <f t="shared" si="147"/>
        <v>7875411M5742IX-D</v>
      </c>
      <c r="C4616" s="1" t="s">
        <v>487</v>
      </c>
      <c r="D4616" s="1" t="s">
        <v>783</v>
      </c>
      <c r="E4616" s="1" t="s">
        <v>379</v>
      </c>
      <c r="F4616" s="1" t="s">
        <v>380</v>
      </c>
      <c r="G4616" s="1" t="s">
        <v>391</v>
      </c>
      <c r="H4616" s="1">
        <v>624</v>
      </c>
      <c r="I4616" s="3">
        <v>46284</v>
      </c>
      <c r="L4616" s="31">
        <v>46284.455063275462</v>
      </c>
      <c r="M4616" s="20">
        <v>12</v>
      </c>
      <c r="N4616" s="1">
        <v>10</v>
      </c>
    </row>
    <row r="4617" spans="1:14" x14ac:dyDescent="0.25">
      <c r="A4617" t="str">
        <f t="shared" si="146"/>
        <v>78754117875411</v>
      </c>
      <c r="B4617" t="str">
        <f t="shared" si="147"/>
        <v>7875411M5742IX-D</v>
      </c>
      <c r="C4617" s="1" t="s">
        <v>487</v>
      </c>
      <c r="D4617" s="1" t="s">
        <v>783</v>
      </c>
      <c r="E4617" s="1" t="s">
        <v>379</v>
      </c>
      <c r="F4617" s="1" t="s">
        <v>380</v>
      </c>
      <c r="G4617" s="1" t="s">
        <v>391</v>
      </c>
      <c r="H4617" s="1">
        <v>624</v>
      </c>
      <c r="I4617" s="3">
        <v>46284</v>
      </c>
      <c r="L4617" s="31">
        <v>46284.466008993055</v>
      </c>
      <c r="M4617" s="20">
        <v>12</v>
      </c>
      <c r="N4617" s="1">
        <v>16</v>
      </c>
    </row>
    <row r="4618" spans="1:14" x14ac:dyDescent="0.25">
      <c r="A4618" t="str">
        <f t="shared" si="146"/>
        <v>78754117875411</v>
      </c>
      <c r="B4618" t="str">
        <f t="shared" si="147"/>
        <v>7875411M5742IX-D</v>
      </c>
      <c r="C4618" s="1" t="s">
        <v>487</v>
      </c>
      <c r="D4618" s="1" t="s">
        <v>783</v>
      </c>
      <c r="E4618" s="1" t="s">
        <v>379</v>
      </c>
      <c r="F4618" s="1" t="s">
        <v>380</v>
      </c>
      <c r="G4618" s="1" t="s">
        <v>391</v>
      </c>
      <c r="H4618" s="1">
        <v>624</v>
      </c>
      <c r="I4618" s="3">
        <v>46284</v>
      </c>
      <c r="L4618" s="31">
        <v>46284.468848113422</v>
      </c>
      <c r="M4618" s="20">
        <v>12</v>
      </c>
      <c r="N4618" s="1">
        <v>40</v>
      </c>
    </row>
    <row r="4619" spans="1:14" x14ac:dyDescent="0.25">
      <c r="A4619" t="str">
        <f t="shared" si="146"/>
        <v>78754117875411</v>
      </c>
      <c r="B4619" t="str">
        <f t="shared" si="147"/>
        <v>7875411M5742IX-D</v>
      </c>
      <c r="C4619" s="1" t="s">
        <v>487</v>
      </c>
      <c r="D4619" s="1" t="s">
        <v>783</v>
      </c>
      <c r="E4619" s="1" t="s">
        <v>379</v>
      </c>
      <c r="F4619" s="1" t="s">
        <v>380</v>
      </c>
      <c r="G4619" s="1" t="s">
        <v>391</v>
      </c>
      <c r="H4619" s="1">
        <v>624</v>
      </c>
      <c r="I4619" s="3">
        <v>46284</v>
      </c>
      <c r="L4619" s="31">
        <v>46284.472500925927</v>
      </c>
      <c r="M4619" s="20">
        <v>12</v>
      </c>
      <c r="N4619" s="1">
        <v>30</v>
      </c>
    </row>
    <row r="4620" spans="1:14" x14ac:dyDescent="0.25">
      <c r="A4620" t="str">
        <f t="shared" si="146"/>
        <v>78754117875411</v>
      </c>
      <c r="B4620" t="str">
        <f t="shared" si="147"/>
        <v>7875411M5742IX-D</v>
      </c>
      <c r="C4620" s="1" t="s">
        <v>487</v>
      </c>
      <c r="D4620" s="1" t="s">
        <v>783</v>
      </c>
      <c r="E4620" s="1" t="s">
        <v>379</v>
      </c>
      <c r="F4620" s="1" t="s">
        <v>380</v>
      </c>
      <c r="G4620" s="1" t="s">
        <v>391</v>
      </c>
      <c r="H4620" s="1">
        <v>624</v>
      </c>
      <c r="I4620" s="3">
        <v>46284</v>
      </c>
      <c r="L4620" s="31">
        <v>46284.474307291668</v>
      </c>
      <c r="M4620" s="20">
        <v>12</v>
      </c>
      <c r="N4620" s="1">
        <v>49</v>
      </c>
    </row>
    <row r="4621" spans="1:14" x14ac:dyDescent="0.25">
      <c r="A4621" t="str">
        <f t="shared" si="146"/>
        <v>78754117875411</v>
      </c>
      <c r="B4621" t="str">
        <f t="shared" si="147"/>
        <v>7875411M5742IX-D</v>
      </c>
      <c r="C4621" s="1" t="s">
        <v>487</v>
      </c>
      <c r="D4621" s="1" t="s">
        <v>783</v>
      </c>
      <c r="E4621" s="1" t="s">
        <v>379</v>
      </c>
      <c r="F4621" s="1" t="s">
        <v>380</v>
      </c>
      <c r="G4621" s="1" t="s">
        <v>391</v>
      </c>
      <c r="H4621" s="1">
        <v>624</v>
      </c>
      <c r="I4621" s="3">
        <v>46284</v>
      </c>
      <c r="L4621" s="31">
        <v>46284.475923495367</v>
      </c>
      <c r="M4621" s="20">
        <v>12</v>
      </c>
      <c r="N4621" s="1">
        <v>3</v>
      </c>
    </row>
    <row r="4622" spans="1:14" x14ac:dyDescent="0.25">
      <c r="A4622" t="str">
        <f t="shared" si="146"/>
        <v>78754117875411</v>
      </c>
      <c r="B4622" t="str">
        <f t="shared" si="147"/>
        <v>7875411M5742IX-D</v>
      </c>
      <c r="C4622" s="1" t="s">
        <v>487</v>
      </c>
      <c r="D4622" s="1" t="s">
        <v>783</v>
      </c>
      <c r="E4622" s="1" t="s">
        <v>379</v>
      </c>
      <c r="F4622" s="1" t="s">
        <v>380</v>
      </c>
      <c r="G4622" s="1" t="s">
        <v>391</v>
      </c>
      <c r="H4622" s="1">
        <v>624</v>
      </c>
      <c r="I4622" s="3">
        <v>46284</v>
      </c>
      <c r="L4622" s="31">
        <v>46284.480138969906</v>
      </c>
      <c r="M4622" s="20">
        <v>12</v>
      </c>
      <c r="N4622" s="1">
        <v>44</v>
      </c>
    </row>
    <row r="4623" spans="1:14" x14ac:dyDescent="0.25">
      <c r="A4623" t="str">
        <f t="shared" si="146"/>
        <v>78754117875411</v>
      </c>
      <c r="B4623" t="str">
        <f t="shared" si="147"/>
        <v>7875411M5742IX-D</v>
      </c>
      <c r="C4623" s="1" t="s">
        <v>487</v>
      </c>
      <c r="D4623" s="1" t="s">
        <v>783</v>
      </c>
      <c r="E4623" s="1" t="s">
        <v>379</v>
      </c>
      <c r="F4623" s="1" t="s">
        <v>380</v>
      </c>
      <c r="G4623" s="1" t="s">
        <v>391</v>
      </c>
      <c r="H4623" s="1">
        <v>624</v>
      </c>
      <c r="I4623" s="3">
        <v>46284</v>
      </c>
      <c r="L4623" s="31">
        <v>46284.480492557872</v>
      </c>
      <c r="M4623" s="20">
        <v>12</v>
      </c>
      <c r="N4623" s="1">
        <v>22</v>
      </c>
    </row>
    <row r="4624" spans="1:14" x14ac:dyDescent="0.25">
      <c r="A4624" t="str">
        <f t="shared" si="146"/>
        <v>78754117875411</v>
      </c>
      <c r="B4624" t="str">
        <f t="shared" si="147"/>
        <v>7875411M5742IX-D</v>
      </c>
      <c r="C4624" s="1" t="s">
        <v>487</v>
      </c>
      <c r="D4624" s="1" t="s">
        <v>783</v>
      </c>
      <c r="E4624" s="1" t="s">
        <v>379</v>
      </c>
      <c r="F4624" s="1" t="s">
        <v>380</v>
      </c>
      <c r="G4624" s="1" t="s">
        <v>391</v>
      </c>
      <c r="H4624" s="1">
        <v>624</v>
      </c>
      <c r="I4624" s="3">
        <v>46284</v>
      </c>
      <c r="L4624" s="31">
        <v>46284.483306979164</v>
      </c>
      <c r="M4624" s="20">
        <v>12</v>
      </c>
      <c r="N4624" s="1">
        <v>23</v>
      </c>
    </row>
    <row r="4625" spans="1:14" x14ac:dyDescent="0.25">
      <c r="A4625" t="str">
        <f t="shared" si="146"/>
        <v>78754117875411</v>
      </c>
      <c r="B4625" t="str">
        <f t="shared" si="147"/>
        <v>7875411M5742IX-D</v>
      </c>
      <c r="C4625" s="1" t="s">
        <v>487</v>
      </c>
      <c r="D4625" s="1" t="s">
        <v>783</v>
      </c>
      <c r="E4625" s="1" t="s">
        <v>379</v>
      </c>
      <c r="F4625" s="1" t="s">
        <v>380</v>
      </c>
      <c r="G4625" s="1" t="s">
        <v>391</v>
      </c>
      <c r="H4625" s="1">
        <v>624</v>
      </c>
      <c r="I4625" s="3">
        <v>46284</v>
      </c>
      <c r="L4625" s="31">
        <v>46284.499011921296</v>
      </c>
      <c r="M4625" s="20">
        <v>12</v>
      </c>
      <c r="N4625" s="1">
        <v>37</v>
      </c>
    </row>
    <row r="4626" spans="1:14" x14ac:dyDescent="0.25">
      <c r="A4626" t="str">
        <f t="shared" si="146"/>
        <v>78754117875411</v>
      </c>
      <c r="B4626" t="str">
        <f t="shared" si="147"/>
        <v>7875411M5742IX-D</v>
      </c>
      <c r="C4626" s="1" t="s">
        <v>487</v>
      </c>
      <c r="D4626" s="1" t="s">
        <v>783</v>
      </c>
      <c r="E4626" s="1" t="s">
        <v>379</v>
      </c>
      <c r="F4626" s="1" t="s">
        <v>380</v>
      </c>
      <c r="G4626" s="1" t="s">
        <v>391</v>
      </c>
      <c r="H4626" s="1">
        <v>624</v>
      </c>
      <c r="I4626" s="3">
        <v>46284</v>
      </c>
      <c r="L4626" s="31">
        <v>46284.499363541661</v>
      </c>
      <c r="M4626" s="20">
        <v>12</v>
      </c>
      <c r="N4626" s="1">
        <v>31</v>
      </c>
    </row>
    <row r="4627" spans="1:14" x14ac:dyDescent="0.25">
      <c r="A4627" t="str">
        <f t="shared" si="146"/>
        <v>78754117875411</v>
      </c>
      <c r="B4627" t="str">
        <f t="shared" si="147"/>
        <v>7875411M5742IX-D</v>
      </c>
      <c r="C4627" s="1" t="s">
        <v>487</v>
      </c>
      <c r="D4627" s="1" t="s">
        <v>783</v>
      </c>
      <c r="E4627" s="1" t="s">
        <v>379</v>
      </c>
      <c r="F4627" s="1" t="s">
        <v>380</v>
      </c>
      <c r="G4627" s="1" t="s">
        <v>391</v>
      </c>
      <c r="H4627" s="1">
        <v>624</v>
      </c>
      <c r="I4627" s="3">
        <v>46284</v>
      </c>
      <c r="L4627" s="31">
        <v>46284.504799571754</v>
      </c>
      <c r="M4627" s="20">
        <v>12</v>
      </c>
      <c r="N4627" s="1">
        <v>41</v>
      </c>
    </row>
    <row r="4628" spans="1:14" x14ac:dyDescent="0.25">
      <c r="A4628" t="str">
        <f t="shared" si="146"/>
        <v>78754117875411</v>
      </c>
      <c r="B4628" t="str">
        <f t="shared" si="147"/>
        <v>7875411M5742IX-D</v>
      </c>
      <c r="C4628" s="1" t="s">
        <v>487</v>
      </c>
      <c r="D4628" s="1" t="s">
        <v>783</v>
      </c>
      <c r="E4628" s="1" t="s">
        <v>379</v>
      </c>
      <c r="F4628" s="1" t="s">
        <v>380</v>
      </c>
      <c r="G4628" s="1" t="s">
        <v>391</v>
      </c>
      <c r="H4628" s="1">
        <v>624</v>
      </c>
      <c r="I4628" s="3">
        <v>46284</v>
      </c>
      <c r="L4628" s="31">
        <v>46284.50598981481</v>
      </c>
      <c r="M4628" s="20">
        <v>12</v>
      </c>
      <c r="N4628" s="1">
        <v>36</v>
      </c>
    </row>
    <row r="4629" spans="1:14" x14ac:dyDescent="0.25">
      <c r="A4629" t="str">
        <f t="shared" si="146"/>
        <v>78754117875411</v>
      </c>
      <c r="B4629" t="str">
        <f t="shared" si="147"/>
        <v>7875411M5742IX-D</v>
      </c>
      <c r="C4629" s="1" t="s">
        <v>487</v>
      </c>
      <c r="D4629" s="1" t="s">
        <v>783</v>
      </c>
      <c r="E4629" s="1" t="s">
        <v>379</v>
      </c>
      <c r="F4629" s="1" t="s">
        <v>380</v>
      </c>
      <c r="G4629" s="1" t="s">
        <v>391</v>
      </c>
      <c r="H4629" s="1">
        <v>624</v>
      </c>
      <c r="I4629" s="3">
        <v>46284</v>
      </c>
      <c r="L4629" s="31">
        <v>46284.507008761575</v>
      </c>
      <c r="M4629" s="20">
        <v>12</v>
      </c>
      <c r="N4629" s="1">
        <v>11</v>
      </c>
    </row>
    <row r="4630" spans="1:14" x14ac:dyDescent="0.25">
      <c r="A4630" t="str">
        <f t="shared" si="146"/>
        <v>78807707880770</v>
      </c>
      <c r="B4630" t="str">
        <f t="shared" si="147"/>
        <v>7880770P60399V-M</v>
      </c>
      <c r="C4630" s="1" t="s">
        <v>301</v>
      </c>
      <c r="D4630" s="1" t="s">
        <v>782</v>
      </c>
      <c r="E4630" s="1" t="s">
        <v>388</v>
      </c>
      <c r="F4630" s="1" t="s">
        <v>389</v>
      </c>
      <c r="G4630" s="1" t="s">
        <v>387</v>
      </c>
      <c r="H4630" s="1">
        <v>252</v>
      </c>
      <c r="I4630" s="3">
        <v>46284</v>
      </c>
      <c r="J4630" s="3">
        <v>46287</v>
      </c>
      <c r="K4630" s="3" t="s">
        <v>2371</v>
      </c>
      <c r="L4630" s="31">
        <v>46284.376851122681</v>
      </c>
      <c r="M4630" s="20">
        <v>12</v>
      </c>
      <c r="N4630" s="1">
        <v>16</v>
      </c>
    </row>
    <row r="4631" spans="1:14" x14ac:dyDescent="0.25">
      <c r="A4631" t="str">
        <f t="shared" si="146"/>
        <v>78807707880770</v>
      </c>
      <c r="B4631" t="str">
        <f t="shared" si="147"/>
        <v>7880770P60399V-M</v>
      </c>
      <c r="C4631" s="1" t="s">
        <v>301</v>
      </c>
      <c r="D4631" s="1" t="s">
        <v>782</v>
      </c>
      <c r="E4631" s="1" t="s">
        <v>388</v>
      </c>
      <c r="F4631" s="1" t="s">
        <v>389</v>
      </c>
      <c r="G4631" s="1" t="s">
        <v>387</v>
      </c>
      <c r="H4631" s="1">
        <v>252</v>
      </c>
      <c r="I4631" s="3">
        <v>46284</v>
      </c>
      <c r="J4631" s="3">
        <v>46287</v>
      </c>
      <c r="K4631" s="3" t="s">
        <v>2371</v>
      </c>
      <c r="L4631" s="31">
        <v>46284.386617442127</v>
      </c>
      <c r="M4631" s="20">
        <v>12</v>
      </c>
      <c r="N4631" s="1">
        <v>12</v>
      </c>
    </row>
    <row r="4632" spans="1:14" x14ac:dyDescent="0.25">
      <c r="A4632" t="str">
        <f t="shared" si="146"/>
        <v>78807707880770</v>
      </c>
      <c r="B4632" t="str">
        <f t="shared" si="147"/>
        <v>7880770P60399V-M</v>
      </c>
      <c r="C4632" s="1" t="s">
        <v>301</v>
      </c>
      <c r="D4632" s="1" t="s">
        <v>782</v>
      </c>
      <c r="E4632" s="1" t="s">
        <v>388</v>
      </c>
      <c r="F4632" s="1" t="s">
        <v>389</v>
      </c>
      <c r="G4632" s="1" t="s">
        <v>387</v>
      </c>
      <c r="H4632" s="1">
        <v>252</v>
      </c>
      <c r="I4632" s="3">
        <v>46284</v>
      </c>
      <c r="J4632" s="3">
        <v>46287</v>
      </c>
      <c r="K4632" s="3" t="s">
        <v>2371</v>
      </c>
      <c r="L4632" s="31">
        <v>46284.387514201386</v>
      </c>
      <c r="M4632" s="20">
        <v>6</v>
      </c>
      <c r="N4632" s="1">
        <v>24</v>
      </c>
    </row>
    <row r="4633" spans="1:14" x14ac:dyDescent="0.25">
      <c r="A4633" t="str">
        <f t="shared" si="146"/>
        <v>78807707880770</v>
      </c>
      <c r="B4633" t="str">
        <f t="shared" si="147"/>
        <v>7880770P60399V-M</v>
      </c>
      <c r="C4633" s="1" t="s">
        <v>301</v>
      </c>
      <c r="D4633" s="1" t="s">
        <v>782</v>
      </c>
      <c r="E4633" s="1" t="s">
        <v>388</v>
      </c>
      <c r="F4633" s="1" t="s">
        <v>389</v>
      </c>
      <c r="G4633" s="1" t="s">
        <v>387</v>
      </c>
      <c r="H4633" s="1">
        <v>252</v>
      </c>
      <c r="I4633" s="3">
        <v>46284</v>
      </c>
      <c r="J4633" s="3">
        <v>46287</v>
      </c>
      <c r="K4633" s="3" t="s">
        <v>2371</v>
      </c>
      <c r="L4633" s="31">
        <v>46284.387847534723</v>
      </c>
      <c r="M4633" s="20">
        <v>12</v>
      </c>
      <c r="N4633" s="1">
        <v>13</v>
      </c>
    </row>
    <row r="4634" spans="1:14" x14ac:dyDescent="0.25">
      <c r="A4634" t="str">
        <f t="shared" si="146"/>
        <v>78807707880770</v>
      </c>
      <c r="B4634" t="str">
        <f t="shared" si="147"/>
        <v>7880770P60399V-M</v>
      </c>
      <c r="C4634" s="1" t="s">
        <v>301</v>
      </c>
      <c r="D4634" s="1" t="s">
        <v>782</v>
      </c>
      <c r="E4634" s="1" t="s">
        <v>388</v>
      </c>
      <c r="F4634" s="1" t="s">
        <v>389</v>
      </c>
      <c r="G4634" s="1" t="s">
        <v>387</v>
      </c>
      <c r="H4634" s="1">
        <v>252</v>
      </c>
      <c r="I4634" s="3">
        <v>46284</v>
      </c>
      <c r="J4634" s="3">
        <v>46287</v>
      </c>
      <c r="K4634" s="3" t="s">
        <v>2371</v>
      </c>
      <c r="L4634" s="31">
        <v>46284.388015625002</v>
      </c>
      <c r="M4634" s="20">
        <v>12</v>
      </c>
      <c r="N4634" s="1">
        <v>17</v>
      </c>
    </row>
    <row r="4635" spans="1:14" x14ac:dyDescent="0.25">
      <c r="A4635" t="str">
        <f t="shared" si="146"/>
        <v>78807707880770</v>
      </c>
      <c r="B4635" t="str">
        <f t="shared" si="147"/>
        <v>7880770P60399V-M</v>
      </c>
      <c r="C4635" s="1" t="s">
        <v>301</v>
      </c>
      <c r="D4635" s="1" t="s">
        <v>782</v>
      </c>
      <c r="E4635" s="1" t="s">
        <v>388</v>
      </c>
      <c r="F4635" s="1" t="s">
        <v>389</v>
      </c>
      <c r="G4635" s="1" t="s">
        <v>387</v>
      </c>
      <c r="H4635" s="1">
        <v>252</v>
      </c>
      <c r="I4635" s="3">
        <v>46284</v>
      </c>
      <c r="J4635" s="3">
        <v>46287</v>
      </c>
      <c r="K4635" s="3" t="s">
        <v>2371</v>
      </c>
      <c r="L4635" s="31">
        <v>46284.388201076385</v>
      </c>
      <c r="M4635" s="20">
        <v>12</v>
      </c>
      <c r="N4635" s="1">
        <v>7</v>
      </c>
    </row>
    <row r="4636" spans="1:14" x14ac:dyDescent="0.25">
      <c r="A4636" t="str">
        <f t="shared" si="146"/>
        <v>78807707880770</v>
      </c>
      <c r="B4636" t="str">
        <f t="shared" si="147"/>
        <v>7880770P60399V-M</v>
      </c>
      <c r="C4636" s="1" t="s">
        <v>301</v>
      </c>
      <c r="D4636" s="1" t="s">
        <v>782</v>
      </c>
      <c r="E4636" s="1" t="s">
        <v>388</v>
      </c>
      <c r="F4636" s="1" t="s">
        <v>389</v>
      </c>
      <c r="G4636" s="1" t="s">
        <v>387</v>
      </c>
      <c r="H4636" s="1">
        <v>252</v>
      </c>
      <c r="I4636" s="3">
        <v>46284</v>
      </c>
      <c r="J4636" s="3">
        <v>46287</v>
      </c>
      <c r="K4636" s="3" t="s">
        <v>2371</v>
      </c>
      <c r="L4636" s="31">
        <v>46284.403547766204</v>
      </c>
      <c r="M4636" s="20">
        <v>12</v>
      </c>
      <c r="N4636" s="1">
        <v>14</v>
      </c>
    </row>
    <row r="4637" spans="1:14" x14ac:dyDescent="0.25">
      <c r="A4637" t="str">
        <f t="shared" si="146"/>
        <v>78807707880770</v>
      </c>
      <c r="B4637" t="str">
        <f t="shared" si="147"/>
        <v>7880770P60399V-M</v>
      </c>
      <c r="C4637" s="1" t="s">
        <v>301</v>
      </c>
      <c r="D4637" s="1" t="s">
        <v>782</v>
      </c>
      <c r="E4637" s="1" t="s">
        <v>388</v>
      </c>
      <c r="F4637" s="1" t="s">
        <v>389</v>
      </c>
      <c r="G4637" s="1" t="s">
        <v>387</v>
      </c>
      <c r="H4637" s="1">
        <v>252</v>
      </c>
      <c r="I4637" s="3">
        <v>46284</v>
      </c>
      <c r="J4637" s="3">
        <v>46287</v>
      </c>
      <c r="K4637" s="3" t="s">
        <v>2371</v>
      </c>
      <c r="L4637" s="31">
        <v>46284.403765011572</v>
      </c>
      <c r="M4637" s="20">
        <v>12</v>
      </c>
      <c r="N4637" s="1">
        <v>11</v>
      </c>
    </row>
    <row r="4638" spans="1:14" x14ac:dyDescent="0.25">
      <c r="A4638" t="str">
        <f t="shared" si="146"/>
        <v>78807707880770</v>
      </c>
      <c r="B4638" t="str">
        <f t="shared" si="147"/>
        <v>7880770P60399V-M</v>
      </c>
      <c r="C4638" s="1" t="s">
        <v>301</v>
      </c>
      <c r="D4638" s="1" t="s">
        <v>782</v>
      </c>
      <c r="E4638" s="1" t="s">
        <v>388</v>
      </c>
      <c r="F4638" s="1" t="s">
        <v>389</v>
      </c>
      <c r="G4638" s="1" t="s">
        <v>387</v>
      </c>
      <c r="H4638" s="1">
        <v>252</v>
      </c>
      <c r="I4638" s="3">
        <v>46284</v>
      </c>
      <c r="J4638" s="3">
        <v>46287</v>
      </c>
      <c r="K4638" s="3" t="s">
        <v>2371</v>
      </c>
      <c r="L4638" s="31">
        <v>46284.403950891203</v>
      </c>
      <c r="M4638" s="20">
        <v>12</v>
      </c>
      <c r="N4638" s="1">
        <v>8</v>
      </c>
    </row>
    <row r="4639" spans="1:14" x14ac:dyDescent="0.25">
      <c r="A4639" t="str">
        <f t="shared" si="146"/>
        <v>78807707880770</v>
      </c>
      <c r="B4639" t="str">
        <f t="shared" si="147"/>
        <v>7880770P60399V-M</v>
      </c>
      <c r="C4639" s="1" t="s">
        <v>301</v>
      </c>
      <c r="D4639" s="1" t="s">
        <v>782</v>
      </c>
      <c r="E4639" s="1" t="s">
        <v>388</v>
      </c>
      <c r="F4639" s="1" t="s">
        <v>389</v>
      </c>
      <c r="G4639" s="1" t="s">
        <v>387</v>
      </c>
      <c r="H4639" s="1">
        <v>252</v>
      </c>
      <c r="I4639" s="3">
        <v>46284</v>
      </c>
      <c r="J4639" s="3">
        <v>46287</v>
      </c>
      <c r="K4639" s="3" t="s">
        <v>2371</v>
      </c>
      <c r="L4639" s="31">
        <v>46284.419537997681</v>
      </c>
      <c r="M4639" s="20">
        <v>12</v>
      </c>
      <c r="N4639" s="1">
        <v>6</v>
      </c>
    </row>
    <row r="4640" spans="1:14" x14ac:dyDescent="0.25">
      <c r="A4640" t="str">
        <f t="shared" si="146"/>
        <v>78807707880770</v>
      </c>
      <c r="B4640" t="str">
        <f t="shared" si="147"/>
        <v>7880770P60399V-M</v>
      </c>
      <c r="C4640" s="1" t="s">
        <v>301</v>
      </c>
      <c r="D4640" s="1" t="s">
        <v>782</v>
      </c>
      <c r="E4640" s="1" t="s">
        <v>388</v>
      </c>
      <c r="F4640" s="1" t="s">
        <v>389</v>
      </c>
      <c r="G4640" s="1" t="s">
        <v>387</v>
      </c>
      <c r="H4640" s="1">
        <v>252</v>
      </c>
      <c r="I4640" s="3">
        <v>46284</v>
      </c>
      <c r="J4640" s="3">
        <v>46287</v>
      </c>
      <c r="K4640" s="3" t="s">
        <v>2371</v>
      </c>
      <c r="L4640" s="31">
        <v>46284.437780752312</v>
      </c>
      <c r="M4640" s="20">
        <v>12</v>
      </c>
      <c r="N4640" s="1">
        <v>18</v>
      </c>
    </row>
    <row r="4641" spans="1:14" x14ac:dyDescent="0.25">
      <c r="A4641" t="str">
        <f t="shared" si="146"/>
        <v>78807707880770</v>
      </c>
      <c r="B4641" t="str">
        <f t="shared" si="147"/>
        <v>7880770P60399V-M</v>
      </c>
      <c r="C4641" s="1" t="s">
        <v>301</v>
      </c>
      <c r="D4641" s="1" t="s">
        <v>782</v>
      </c>
      <c r="E4641" s="1" t="s">
        <v>388</v>
      </c>
      <c r="F4641" s="1" t="s">
        <v>389</v>
      </c>
      <c r="G4641" s="1" t="s">
        <v>387</v>
      </c>
      <c r="H4641" s="1">
        <v>252</v>
      </c>
      <c r="I4641" s="3">
        <v>46284</v>
      </c>
      <c r="J4641" s="3">
        <v>46287</v>
      </c>
      <c r="K4641" s="3" t="s">
        <v>2371</v>
      </c>
      <c r="L4641" s="31">
        <v>46284.43795269676</v>
      </c>
      <c r="M4641" s="20">
        <v>12</v>
      </c>
      <c r="N4641" s="1">
        <v>5</v>
      </c>
    </row>
    <row r="4642" spans="1:14" x14ac:dyDescent="0.25">
      <c r="A4642" t="str">
        <f t="shared" si="146"/>
        <v>78807707880770</v>
      </c>
      <c r="B4642" t="str">
        <f t="shared" si="147"/>
        <v>7880770P60399V-M</v>
      </c>
      <c r="C4642" s="1" t="s">
        <v>301</v>
      </c>
      <c r="D4642" s="1" t="s">
        <v>782</v>
      </c>
      <c r="E4642" s="1" t="s">
        <v>388</v>
      </c>
      <c r="F4642" s="1" t="s">
        <v>389</v>
      </c>
      <c r="G4642" s="1" t="s">
        <v>387</v>
      </c>
      <c r="H4642" s="1">
        <v>252</v>
      </c>
      <c r="I4642" s="3">
        <v>46284</v>
      </c>
      <c r="J4642" s="3">
        <v>46287</v>
      </c>
      <c r="K4642" s="3" t="s">
        <v>2371</v>
      </c>
      <c r="L4642" s="31">
        <v>46284.438377118051</v>
      </c>
      <c r="M4642" s="20">
        <v>12</v>
      </c>
      <c r="N4642" s="1">
        <v>2</v>
      </c>
    </row>
    <row r="4643" spans="1:14" x14ac:dyDescent="0.25">
      <c r="A4643" t="str">
        <f t="shared" si="146"/>
        <v>78807707880770</v>
      </c>
      <c r="B4643" t="str">
        <f t="shared" si="147"/>
        <v>7880770P60399V-M</v>
      </c>
      <c r="C4643" s="1" t="s">
        <v>301</v>
      </c>
      <c r="D4643" s="1" t="s">
        <v>782</v>
      </c>
      <c r="E4643" s="1" t="s">
        <v>388</v>
      </c>
      <c r="F4643" s="1" t="s">
        <v>389</v>
      </c>
      <c r="G4643" s="1" t="s">
        <v>387</v>
      </c>
      <c r="H4643" s="1">
        <v>252</v>
      </c>
      <c r="I4643" s="3">
        <v>46284</v>
      </c>
      <c r="J4643" s="3">
        <v>46287</v>
      </c>
      <c r="K4643" s="3" t="s">
        <v>2371</v>
      </c>
      <c r="L4643" s="31">
        <v>46284.446252164351</v>
      </c>
      <c r="M4643" s="20">
        <v>6</v>
      </c>
      <c r="N4643" s="1">
        <v>23</v>
      </c>
    </row>
    <row r="4644" spans="1:14" x14ac:dyDescent="0.25">
      <c r="A4644" t="str">
        <f t="shared" si="146"/>
        <v>78807707880770</v>
      </c>
      <c r="B4644" t="str">
        <f t="shared" si="147"/>
        <v>7880770P60399V-M</v>
      </c>
      <c r="C4644" s="1" t="s">
        <v>301</v>
      </c>
      <c r="D4644" s="1" t="s">
        <v>782</v>
      </c>
      <c r="E4644" s="1" t="s">
        <v>388</v>
      </c>
      <c r="F4644" s="1" t="s">
        <v>389</v>
      </c>
      <c r="G4644" s="1" t="s">
        <v>387</v>
      </c>
      <c r="H4644" s="1">
        <v>252</v>
      </c>
      <c r="I4644" s="3">
        <v>46284</v>
      </c>
      <c r="J4644" s="3">
        <v>46287</v>
      </c>
      <c r="K4644" s="3" t="s">
        <v>2371</v>
      </c>
      <c r="L4644" s="31">
        <v>46284.457092858793</v>
      </c>
      <c r="M4644" s="20">
        <v>6</v>
      </c>
      <c r="N4644" s="1">
        <v>19</v>
      </c>
    </row>
    <row r="4645" spans="1:14" x14ac:dyDescent="0.25">
      <c r="A4645" t="str">
        <f t="shared" si="146"/>
        <v>C135877C135877</v>
      </c>
      <c r="B4645" t="str">
        <f t="shared" si="147"/>
        <v>C135877W515S7OK-D</v>
      </c>
      <c r="C4645" s="1" t="s">
        <v>96</v>
      </c>
      <c r="D4645" s="1" t="s">
        <v>716</v>
      </c>
      <c r="E4645" s="1" t="s">
        <v>397</v>
      </c>
      <c r="F4645" s="1" t="s">
        <v>400</v>
      </c>
      <c r="G4645" s="1" t="s">
        <v>401</v>
      </c>
      <c r="H4645" s="1">
        <v>162</v>
      </c>
      <c r="I4645" s="3">
        <v>46284</v>
      </c>
      <c r="L4645" s="31">
        <v>46284.362055706013</v>
      </c>
      <c r="M4645" s="20">
        <v>12</v>
      </c>
      <c r="N4645" s="1">
        <v>33</v>
      </c>
    </row>
    <row r="4646" spans="1:14" x14ac:dyDescent="0.25">
      <c r="A4646" t="str">
        <f t="shared" si="146"/>
        <v>C135877C135877</v>
      </c>
      <c r="B4646" t="str">
        <f t="shared" si="147"/>
        <v>C135877W515S7OK-D</v>
      </c>
      <c r="C4646" s="1" t="s">
        <v>96</v>
      </c>
      <c r="D4646" s="1" t="s">
        <v>716</v>
      </c>
      <c r="E4646" s="1" t="s">
        <v>397</v>
      </c>
      <c r="F4646" s="1" t="s">
        <v>400</v>
      </c>
      <c r="G4646" s="1" t="s">
        <v>401</v>
      </c>
      <c r="H4646" s="1">
        <v>162</v>
      </c>
      <c r="I4646" s="3">
        <v>46284</v>
      </c>
      <c r="L4646" s="31">
        <v>46284.368280173607</v>
      </c>
      <c r="M4646" s="20">
        <v>12</v>
      </c>
      <c r="N4646" s="1">
        <v>31</v>
      </c>
    </row>
    <row r="4647" spans="1:14" x14ac:dyDescent="0.25">
      <c r="A4647" t="str">
        <f t="shared" si="146"/>
        <v>C135877C135877</v>
      </c>
      <c r="B4647" t="str">
        <f t="shared" si="147"/>
        <v>C135877W515S7OK-D</v>
      </c>
      <c r="C4647" s="1" t="s">
        <v>96</v>
      </c>
      <c r="D4647" s="1" t="s">
        <v>716</v>
      </c>
      <c r="E4647" s="1" t="s">
        <v>397</v>
      </c>
      <c r="F4647" s="1" t="s">
        <v>400</v>
      </c>
      <c r="G4647" s="1" t="s">
        <v>401</v>
      </c>
      <c r="H4647" s="1">
        <v>162</v>
      </c>
      <c r="I4647" s="3">
        <v>46284</v>
      </c>
      <c r="L4647" s="31">
        <v>46284.39112137731</v>
      </c>
      <c r="M4647" s="20">
        <v>12</v>
      </c>
      <c r="N4647" s="1">
        <v>27</v>
      </c>
    </row>
    <row r="4648" spans="1:14" x14ac:dyDescent="0.25">
      <c r="A4648" t="str">
        <f t="shared" si="146"/>
        <v>H177197H177197</v>
      </c>
      <c r="B4648" t="str">
        <f t="shared" si="147"/>
        <v>H177197G204L4MD-M</v>
      </c>
      <c r="C4648" s="1" t="s">
        <v>780</v>
      </c>
      <c r="D4648" s="1" t="s">
        <v>781</v>
      </c>
      <c r="E4648" s="1" t="s">
        <v>402</v>
      </c>
      <c r="F4648" s="1" t="s">
        <v>2289</v>
      </c>
      <c r="G4648" s="1" t="s">
        <v>404</v>
      </c>
      <c r="H4648" s="1">
        <v>786</v>
      </c>
      <c r="I4648" s="3">
        <v>46284</v>
      </c>
      <c r="L4648" s="31">
        <v>46284.375614733792</v>
      </c>
      <c r="M4648" s="20">
        <v>12</v>
      </c>
      <c r="N4648" s="1">
        <v>48</v>
      </c>
    </row>
    <row r="4649" spans="1:14" x14ac:dyDescent="0.25">
      <c r="A4649" t="str">
        <f t="shared" si="146"/>
        <v>H177197H177197</v>
      </c>
      <c r="B4649" t="str">
        <f t="shared" si="147"/>
        <v>H177197G204L4MD-M</v>
      </c>
      <c r="C4649" s="1" t="s">
        <v>780</v>
      </c>
      <c r="D4649" s="1" t="s">
        <v>781</v>
      </c>
      <c r="E4649" s="1" t="s">
        <v>402</v>
      </c>
      <c r="F4649" s="1" t="s">
        <v>2289</v>
      </c>
      <c r="G4649" s="1" t="s">
        <v>404</v>
      </c>
      <c r="H4649" s="1">
        <v>786</v>
      </c>
      <c r="I4649" s="3">
        <v>46284</v>
      </c>
      <c r="L4649" s="31">
        <v>46284.389955208331</v>
      </c>
      <c r="M4649" s="20">
        <v>12</v>
      </c>
      <c r="N4649" s="1">
        <v>47</v>
      </c>
    </row>
    <row r="4650" spans="1:14" x14ac:dyDescent="0.25">
      <c r="A4650" t="str">
        <f t="shared" si="146"/>
        <v>H177197H177197</v>
      </c>
      <c r="B4650" t="str">
        <f t="shared" si="147"/>
        <v>H177197G204L4MD-M</v>
      </c>
      <c r="C4650" s="1" t="s">
        <v>780</v>
      </c>
      <c r="D4650" s="1" t="s">
        <v>781</v>
      </c>
      <c r="E4650" s="1" t="s">
        <v>402</v>
      </c>
      <c r="F4650" s="1" t="s">
        <v>2289</v>
      </c>
      <c r="G4650" s="1" t="s">
        <v>404</v>
      </c>
      <c r="H4650" s="1">
        <v>786</v>
      </c>
      <c r="I4650" s="3">
        <v>46284</v>
      </c>
      <c r="L4650" s="31">
        <v>46284.419809340274</v>
      </c>
      <c r="M4650" s="20">
        <v>12</v>
      </c>
      <c r="N4650" s="1">
        <v>49</v>
      </c>
    </row>
    <row r="4651" spans="1:14" x14ac:dyDescent="0.25">
      <c r="A4651" t="str">
        <f t="shared" si="146"/>
        <v>H177197H177197</v>
      </c>
      <c r="B4651" t="str">
        <f t="shared" si="147"/>
        <v>H177197G204L4MD-M</v>
      </c>
      <c r="C4651" s="1" t="s">
        <v>780</v>
      </c>
      <c r="D4651" s="1" t="s">
        <v>781</v>
      </c>
      <c r="E4651" s="1" t="s">
        <v>402</v>
      </c>
      <c r="F4651" s="1" t="s">
        <v>2289</v>
      </c>
      <c r="G4651" s="1" t="s">
        <v>404</v>
      </c>
      <c r="H4651" s="1">
        <v>786</v>
      </c>
      <c r="I4651" s="3">
        <v>46284</v>
      </c>
      <c r="L4651" s="31">
        <v>46284.439430520833</v>
      </c>
      <c r="M4651" s="20">
        <v>12</v>
      </c>
      <c r="N4651" s="1">
        <v>57</v>
      </c>
    </row>
    <row r="4652" spans="1:14" x14ac:dyDescent="0.25">
      <c r="A4652" t="str">
        <f t="shared" si="146"/>
        <v>H177197H177197</v>
      </c>
      <c r="B4652" t="str">
        <f t="shared" si="147"/>
        <v>H177197G204L4MD-M</v>
      </c>
      <c r="C4652" s="1" t="s">
        <v>780</v>
      </c>
      <c r="D4652" s="1" t="s">
        <v>781</v>
      </c>
      <c r="E4652" s="1" t="s">
        <v>402</v>
      </c>
      <c r="F4652" s="1" t="s">
        <v>2289</v>
      </c>
      <c r="G4652" s="1" t="s">
        <v>404</v>
      </c>
      <c r="H4652" s="1">
        <v>786</v>
      </c>
      <c r="I4652" s="3">
        <v>46284</v>
      </c>
      <c r="L4652" s="31">
        <v>46284.450582407408</v>
      </c>
      <c r="M4652" s="20">
        <v>12</v>
      </c>
      <c r="N4652" s="1">
        <v>22</v>
      </c>
    </row>
    <row r="4653" spans="1:14" x14ac:dyDescent="0.25">
      <c r="A4653" t="str">
        <f t="shared" si="146"/>
        <v>H177197H177197</v>
      </c>
      <c r="B4653" t="str">
        <f t="shared" si="147"/>
        <v>H177197G204L4MD-M</v>
      </c>
      <c r="C4653" s="1" t="s">
        <v>780</v>
      </c>
      <c r="D4653" s="1" t="s">
        <v>781</v>
      </c>
      <c r="E4653" s="1" t="s">
        <v>402</v>
      </c>
      <c r="F4653" s="1" t="s">
        <v>2289</v>
      </c>
      <c r="G4653" s="1" t="s">
        <v>404</v>
      </c>
      <c r="H4653" s="1">
        <v>786</v>
      </c>
      <c r="I4653" s="3">
        <v>46284</v>
      </c>
      <c r="L4653" s="31">
        <v>46284.456947650462</v>
      </c>
      <c r="M4653" s="20">
        <v>12</v>
      </c>
      <c r="N4653" s="1">
        <v>23</v>
      </c>
    </row>
    <row r="4654" spans="1:14" x14ac:dyDescent="0.25">
      <c r="A4654" t="str">
        <f t="shared" si="146"/>
        <v>H177197H177197</v>
      </c>
      <c r="B4654" t="str">
        <f t="shared" si="147"/>
        <v>H177197G204L4MD-M</v>
      </c>
      <c r="C4654" s="1" t="s">
        <v>780</v>
      </c>
      <c r="D4654" s="1" t="s">
        <v>781</v>
      </c>
      <c r="E4654" s="1" t="s">
        <v>402</v>
      </c>
      <c r="F4654" s="1" t="s">
        <v>2289</v>
      </c>
      <c r="G4654" s="1" t="s">
        <v>404</v>
      </c>
      <c r="H4654" s="1">
        <v>786</v>
      </c>
      <c r="I4654" s="3">
        <v>46284</v>
      </c>
      <c r="L4654" s="31">
        <v>46284.457998877311</v>
      </c>
      <c r="M4654" s="20">
        <v>12</v>
      </c>
      <c r="N4654" s="1">
        <v>50</v>
      </c>
    </row>
    <row r="4655" spans="1:14" x14ac:dyDescent="0.25">
      <c r="A4655" t="str">
        <f t="shared" si="146"/>
        <v>H177197H177197</v>
      </c>
      <c r="B4655" t="str">
        <f t="shared" si="147"/>
        <v>H177197G204L4MD-M</v>
      </c>
      <c r="C4655" s="1" t="s">
        <v>780</v>
      </c>
      <c r="D4655" s="1" t="s">
        <v>781</v>
      </c>
      <c r="E4655" s="1" t="s">
        <v>402</v>
      </c>
      <c r="F4655" s="1" t="s">
        <v>2289</v>
      </c>
      <c r="G4655" s="1" t="s">
        <v>404</v>
      </c>
      <c r="H4655" s="1">
        <v>786</v>
      </c>
      <c r="I4655" s="3">
        <v>46284</v>
      </c>
      <c r="L4655" s="31">
        <v>46284.479249189812</v>
      </c>
      <c r="M4655" s="20">
        <v>12</v>
      </c>
      <c r="N4655" s="1">
        <v>52</v>
      </c>
    </row>
    <row r="4656" spans="1:14" x14ac:dyDescent="0.25">
      <c r="A4656" t="str">
        <f t="shared" si="146"/>
        <v>H177197H177197</v>
      </c>
      <c r="B4656" t="str">
        <f t="shared" si="147"/>
        <v>H177197G204L4MD-M</v>
      </c>
      <c r="C4656" s="1" t="s">
        <v>780</v>
      </c>
      <c r="D4656" s="1" t="s">
        <v>781</v>
      </c>
      <c r="E4656" s="1" t="s">
        <v>402</v>
      </c>
      <c r="F4656" s="1" t="s">
        <v>2289</v>
      </c>
      <c r="G4656" s="1" t="s">
        <v>404</v>
      </c>
      <c r="H4656" s="1">
        <v>786</v>
      </c>
      <c r="I4656" s="3">
        <v>46284</v>
      </c>
      <c r="L4656" s="31">
        <v>46284.483601701388</v>
      </c>
      <c r="M4656" s="20">
        <v>12</v>
      </c>
      <c r="N4656" s="1">
        <v>27</v>
      </c>
    </row>
    <row r="4657" spans="1:14" x14ac:dyDescent="0.25">
      <c r="A4657" t="str">
        <f t="shared" si="146"/>
        <v>H177197H177197</v>
      </c>
      <c r="B4657" t="str">
        <f t="shared" si="147"/>
        <v>H177197G204L4MD-M</v>
      </c>
      <c r="C4657" s="1" t="s">
        <v>780</v>
      </c>
      <c r="D4657" s="1" t="s">
        <v>781</v>
      </c>
      <c r="E4657" s="1" t="s">
        <v>402</v>
      </c>
      <c r="F4657" s="1" t="s">
        <v>2289</v>
      </c>
      <c r="G4657" s="1" t="s">
        <v>404</v>
      </c>
      <c r="H4657" s="1">
        <v>786</v>
      </c>
      <c r="I4657" s="3">
        <v>46284</v>
      </c>
      <c r="L4657" s="31">
        <v>46284.483808796293</v>
      </c>
      <c r="M4657" s="20">
        <v>12</v>
      </c>
      <c r="N4657" s="1">
        <v>58</v>
      </c>
    </row>
    <row r="4658" spans="1:14" x14ac:dyDescent="0.25">
      <c r="A4658" t="str">
        <f t="shared" si="146"/>
        <v>H177197H177197</v>
      </c>
      <c r="B4658" t="str">
        <f t="shared" si="147"/>
        <v>H177197G204L4MD-M</v>
      </c>
      <c r="C4658" s="1" t="s">
        <v>780</v>
      </c>
      <c r="D4658" s="1" t="s">
        <v>781</v>
      </c>
      <c r="E4658" s="1" t="s">
        <v>402</v>
      </c>
      <c r="F4658" s="1" t="s">
        <v>2289</v>
      </c>
      <c r="G4658" s="1" t="s">
        <v>404</v>
      </c>
      <c r="H4658" s="1">
        <v>786</v>
      </c>
      <c r="I4658" s="3">
        <v>46284</v>
      </c>
      <c r="L4658" s="31">
        <v>46284.483993599533</v>
      </c>
      <c r="M4658" s="20">
        <v>12</v>
      </c>
      <c r="N4658" s="1">
        <v>29</v>
      </c>
    </row>
    <row r="4659" spans="1:14" x14ac:dyDescent="0.25">
      <c r="A4659" t="str">
        <f t="shared" si="146"/>
        <v>H177197H177197</v>
      </c>
      <c r="B4659" t="str">
        <f t="shared" si="147"/>
        <v>H177197G204L4MD-M</v>
      </c>
      <c r="C4659" s="1" t="s">
        <v>780</v>
      </c>
      <c r="D4659" s="1" t="s">
        <v>781</v>
      </c>
      <c r="E4659" s="1" t="s">
        <v>402</v>
      </c>
      <c r="F4659" s="1" t="s">
        <v>2289</v>
      </c>
      <c r="G4659" s="1" t="s">
        <v>404</v>
      </c>
      <c r="H4659" s="1">
        <v>786</v>
      </c>
      <c r="I4659" s="3">
        <v>46284</v>
      </c>
      <c r="L4659" s="31">
        <v>46284.48420061342</v>
      </c>
      <c r="M4659" s="20">
        <v>12</v>
      </c>
      <c r="N4659" s="1">
        <v>51</v>
      </c>
    </row>
    <row r="4660" spans="1:14" x14ac:dyDescent="0.25">
      <c r="A4660" t="str">
        <f t="shared" si="146"/>
        <v>H177197H177197</v>
      </c>
      <c r="B4660" t="str">
        <f t="shared" si="147"/>
        <v>H177197G204L4MD-M</v>
      </c>
      <c r="C4660" s="1" t="s">
        <v>780</v>
      </c>
      <c r="D4660" s="1" t="s">
        <v>781</v>
      </c>
      <c r="E4660" s="1" t="s">
        <v>402</v>
      </c>
      <c r="F4660" s="1" t="s">
        <v>2289</v>
      </c>
      <c r="G4660" s="1" t="s">
        <v>404</v>
      </c>
      <c r="H4660" s="1">
        <v>786</v>
      </c>
      <c r="I4660" s="3">
        <v>46284</v>
      </c>
      <c r="L4660" s="31">
        <v>46284.484393784718</v>
      </c>
      <c r="M4660" s="20">
        <v>12</v>
      </c>
      <c r="N4660" s="1">
        <v>12</v>
      </c>
    </row>
    <row r="4661" spans="1:14" x14ac:dyDescent="0.25">
      <c r="A4661" t="str">
        <f t="shared" si="146"/>
        <v>H177197H177197</v>
      </c>
      <c r="B4661" t="str">
        <f t="shared" si="147"/>
        <v>H177197G204L4MD-M</v>
      </c>
      <c r="C4661" s="1" t="s">
        <v>780</v>
      </c>
      <c r="D4661" s="1" t="s">
        <v>781</v>
      </c>
      <c r="E4661" s="1" t="s">
        <v>402</v>
      </c>
      <c r="F4661" s="1" t="s">
        <v>2289</v>
      </c>
      <c r="G4661" s="1" t="s">
        <v>404</v>
      </c>
      <c r="H4661" s="1">
        <v>786</v>
      </c>
      <c r="I4661" s="3">
        <v>46284</v>
      </c>
      <c r="L4661" s="31">
        <v>46284.490138738423</v>
      </c>
      <c r="M4661" s="20">
        <v>12</v>
      </c>
      <c r="N4661" s="1">
        <v>53</v>
      </c>
    </row>
    <row r="4662" spans="1:14" x14ac:dyDescent="0.25">
      <c r="A4662" t="str">
        <f t="shared" si="146"/>
        <v>H177197H177197</v>
      </c>
      <c r="B4662" t="str">
        <f t="shared" si="147"/>
        <v>H177197G204L4MD-M</v>
      </c>
      <c r="C4662" s="1" t="s">
        <v>780</v>
      </c>
      <c r="D4662" s="1" t="s">
        <v>781</v>
      </c>
      <c r="E4662" s="1" t="s">
        <v>402</v>
      </c>
      <c r="F4662" s="1" t="s">
        <v>2289</v>
      </c>
      <c r="G4662" s="1" t="s">
        <v>404</v>
      </c>
      <c r="H4662" s="1">
        <v>786</v>
      </c>
      <c r="I4662" s="3">
        <v>46284</v>
      </c>
      <c r="L4662" s="31">
        <v>46284.490349224536</v>
      </c>
      <c r="M4662" s="20">
        <v>12</v>
      </c>
      <c r="N4662" s="1">
        <v>41</v>
      </c>
    </row>
    <row r="4663" spans="1:14" x14ac:dyDescent="0.25">
      <c r="A4663" t="str">
        <f t="shared" si="146"/>
        <v>H177197H177197</v>
      </c>
      <c r="B4663" t="str">
        <f t="shared" si="147"/>
        <v>H177197G204L4MD-M</v>
      </c>
      <c r="C4663" s="1" t="s">
        <v>780</v>
      </c>
      <c r="D4663" s="1" t="s">
        <v>781</v>
      </c>
      <c r="E4663" s="1" t="s">
        <v>402</v>
      </c>
      <c r="F4663" s="1" t="s">
        <v>2289</v>
      </c>
      <c r="G4663" s="1" t="s">
        <v>404</v>
      </c>
      <c r="H4663" s="1">
        <v>786</v>
      </c>
      <c r="I4663" s="3">
        <v>46284</v>
      </c>
      <c r="L4663" s="31">
        <v>46284.496085682869</v>
      </c>
      <c r="M4663" s="20">
        <v>12</v>
      </c>
      <c r="N4663" s="1">
        <v>28</v>
      </c>
    </row>
    <row r="4664" spans="1:14" x14ac:dyDescent="0.25">
      <c r="A4664" t="str">
        <f t="shared" si="146"/>
        <v>U152752U152752</v>
      </c>
      <c r="B4664" t="str">
        <f t="shared" si="147"/>
        <v>U152752P60394T-M</v>
      </c>
      <c r="C4664" s="1" t="s">
        <v>49</v>
      </c>
      <c r="D4664" s="1" t="s">
        <v>784</v>
      </c>
      <c r="E4664" s="1" t="s">
        <v>436</v>
      </c>
      <c r="F4664" s="1" t="s">
        <v>442</v>
      </c>
      <c r="G4664" s="1" t="s">
        <v>438</v>
      </c>
      <c r="H4664" s="1">
        <v>1200</v>
      </c>
      <c r="I4664" s="3">
        <v>46284</v>
      </c>
      <c r="L4664" s="31">
        <v>46284.485019097221</v>
      </c>
      <c r="M4664" s="20">
        <v>6</v>
      </c>
      <c r="N4664" s="1">
        <v>53</v>
      </c>
    </row>
    <row r="4665" spans="1:14" x14ac:dyDescent="0.25">
      <c r="A4665" t="str">
        <f t="shared" si="146"/>
        <v>U152752U152752</v>
      </c>
      <c r="B4665" t="str">
        <f t="shared" si="147"/>
        <v>U152752P60394T-M</v>
      </c>
      <c r="C4665" s="1" t="s">
        <v>49</v>
      </c>
      <c r="D4665" s="1" t="s">
        <v>784</v>
      </c>
      <c r="E4665" s="1" t="s">
        <v>436</v>
      </c>
      <c r="F4665" s="1" t="s">
        <v>442</v>
      </c>
      <c r="G4665" s="1" t="s">
        <v>438</v>
      </c>
      <c r="H4665" s="1">
        <v>1200</v>
      </c>
      <c r="I4665" s="3">
        <v>46284</v>
      </c>
      <c r="L4665" s="31">
        <v>46284.485819756941</v>
      </c>
      <c r="M4665" s="20">
        <v>6</v>
      </c>
      <c r="N4665" s="1">
        <v>51</v>
      </c>
    </row>
    <row r="4666" spans="1:14" x14ac:dyDescent="0.25">
      <c r="A4666" t="str">
        <f t="shared" si="146"/>
        <v>U152752U152752</v>
      </c>
      <c r="B4666" t="str">
        <f t="shared" si="147"/>
        <v>U152752P60394T-M</v>
      </c>
      <c r="C4666" s="1" t="s">
        <v>49</v>
      </c>
      <c r="D4666" s="1" t="s">
        <v>784</v>
      </c>
      <c r="E4666" s="1" t="s">
        <v>436</v>
      </c>
      <c r="F4666" s="1" t="s">
        <v>442</v>
      </c>
      <c r="G4666" s="1" t="s">
        <v>438</v>
      </c>
      <c r="H4666" s="1">
        <v>1200</v>
      </c>
      <c r="I4666" s="3">
        <v>46284</v>
      </c>
      <c r="L4666" s="31">
        <v>46284.486053125001</v>
      </c>
      <c r="M4666" s="20">
        <v>6</v>
      </c>
      <c r="N4666" s="1">
        <v>54</v>
      </c>
    </row>
    <row r="4667" spans="1:14" x14ac:dyDescent="0.25">
      <c r="A4667" t="str">
        <f t="shared" si="146"/>
        <v>U152752U152752</v>
      </c>
      <c r="B4667" t="str">
        <f t="shared" si="147"/>
        <v>U152752P60394T-M</v>
      </c>
      <c r="C4667" s="1" t="s">
        <v>49</v>
      </c>
      <c r="D4667" s="1" t="s">
        <v>784</v>
      </c>
      <c r="E4667" s="1" t="s">
        <v>436</v>
      </c>
      <c r="F4667" s="1" t="s">
        <v>442</v>
      </c>
      <c r="G4667" s="1" t="s">
        <v>438</v>
      </c>
      <c r="H4667" s="1">
        <v>1200</v>
      </c>
      <c r="I4667" s="3">
        <v>46284</v>
      </c>
      <c r="L4667" s="31">
        <v>46284.486230821756</v>
      </c>
      <c r="M4667" s="20">
        <v>6</v>
      </c>
      <c r="N4667" s="1">
        <v>52</v>
      </c>
    </row>
    <row r="4668" spans="1:14" x14ac:dyDescent="0.25">
      <c r="A4668" t="str">
        <f t="shared" si="146"/>
        <v>U152752U152752</v>
      </c>
      <c r="B4668" t="str">
        <f t="shared" si="147"/>
        <v>U152752P60394T-M</v>
      </c>
      <c r="C4668" s="1" t="s">
        <v>49</v>
      </c>
      <c r="D4668" s="1" t="s">
        <v>784</v>
      </c>
      <c r="E4668" s="1" t="s">
        <v>436</v>
      </c>
      <c r="F4668" s="1" t="s">
        <v>442</v>
      </c>
      <c r="G4668" s="1" t="s">
        <v>438</v>
      </c>
      <c r="H4668" s="1">
        <v>1200</v>
      </c>
      <c r="I4668" s="3">
        <v>46284</v>
      </c>
      <c r="L4668" s="31">
        <v>46284.495479942125</v>
      </c>
      <c r="M4668" s="20">
        <v>6</v>
      </c>
      <c r="N4668" s="1">
        <v>48</v>
      </c>
    </row>
    <row r="4669" spans="1:14" x14ac:dyDescent="0.25">
      <c r="A4669" t="str">
        <f t="shared" si="146"/>
        <v>U152752U152752</v>
      </c>
      <c r="B4669" t="str">
        <f t="shared" si="147"/>
        <v>U152752P60394T-M</v>
      </c>
      <c r="C4669" s="1" t="s">
        <v>49</v>
      </c>
      <c r="D4669" s="1" t="s">
        <v>784</v>
      </c>
      <c r="E4669" s="1" t="s">
        <v>436</v>
      </c>
      <c r="F4669" s="1" t="s">
        <v>442</v>
      </c>
      <c r="G4669" s="1" t="s">
        <v>438</v>
      </c>
      <c r="H4669" s="1">
        <v>1200</v>
      </c>
      <c r="I4669" s="3">
        <v>46284</v>
      </c>
      <c r="L4669" s="31">
        <v>46284.496854247685</v>
      </c>
      <c r="M4669" s="20">
        <v>6</v>
      </c>
      <c r="N4669" s="1">
        <v>65</v>
      </c>
    </row>
    <row r="4670" spans="1:14" x14ac:dyDescent="0.25">
      <c r="A4670" t="str">
        <f t="shared" si="146"/>
        <v>U152752U152752</v>
      </c>
      <c r="B4670" t="str">
        <f t="shared" si="147"/>
        <v>U152752P60394T-M</v>
      </c>
      <c r="C4670" s="1" t="s">
        <v>49</v>
      </c>
      <c r="D4670" s="1" t="s">
        <v>784</v>
      </c>
      <c r="E4670" s="1" t="s">
        <v>436</v>
      </c>
      <c r="F4670" s="1" t="s">
        <v>442</v>
      </c>
      <c r="G4670" s="1" t="s">
        <v>438</v>
      </c>
      <c r="H4670" s="1">
        <v>1200</v>
      </c>
      <c r="I4670" s="3">
        <v>46284</v>
      </c>
      <c r="L4670" s="31">
        <v>46284.497056863423</v>
      </c>
      <c r="M4670" s="20">
        <v>6</v>
      </c>
      <c r="N4670" s="1">
        <v>63</v>
      </c>
    </row>
    <row r="4671" spans="1:14" x14ac:dyDescent="0.25">
      <c r="A4671" t="str">
        <f t="shared" si="146"/>
        <v>U152752U152752</v>
      </c>
      <c r="B4671" t="str">
        <f t="shared" si="147"/>
        <v>U152752P60394T-M</v>
      </c>
      <c r="C4671" s="1" t="s">
        <v>49</v>
      </c>
      <c r="D4671" s="1" t="s">
        <v>784</v>
      </c>
      <c r="E4671" s="1" t="s">
        <v>436</v>
      </c>
      <c r="F4671" s="1" t="s">
        <v>442</v>
      </c>
      <c r="G4671" s="1" t="s">
        <v>438</v>
      </c>
      <c r="H4671" s="1">
        <v>1200</v>
      </c>
      <c r="I4671" s="3">
        <v>46284</v>
      </c>
      <c r="L4671" s="31">
        <v>46284.497279976851</v>
      </c>
      <c r="M4671" s="20">
        <v>6</v>
      </c>
      <c r="N4671" s="1">
        <v>66</v>
      </c>
    </row>
    <row r="4672" spans="1:14" x14ac:dyDescent="0.25">
      <c r="A4672" t="str">
        <f t="shared" si="146"/>
        <v>U152752U152752</v>
      </c>
      <c r="B4672" t="str">
        <f t="shared" si="147"/>
        <v>U152752P60394T-M</v>
      </c>
      <c r="C4672" s="1" t="s">
        <v>49</v>
      </c>
      <c r="D4672" s="1" t="s">
        <v>784</v>
      </c>
      <c r="E4672" s="1" t="s">
        <v>436</v>
      </c>
      <c r="F4672" s="1" t="s">
        <v>442</v>
      </c>
      <c r="G4672" s="1" t="s">
        <v>438</v>
      </c>
      <c r="H4672" s="1">
        <v>1200</v>
      </c>
      <c r="I4672" s="3">
        <v>46284</v>
      </c>
      <c r="L4672" s="31">
        <v>46284.497590243052</v>
      </c>
      <c r="M4672" s="20">
        <v>6</v>
      </c>
      <c r="N4672" s="1">
        <v>45</v>
      </c>
    </row>
    <row r="4673" spans="1:14" x14ac:dyDescent="0.25">
      <c r="A4673" t="str">
        <f t="shared" si="146"/>
        <v>U152752U152752</v>
      </c>
      <c r="B4673" t="str">
        <f t="shared" si="147"/>
        <v>U152752P60394T-M</v>
      </c>
      <c r="C4673" s="1" t="s">
        <v>49</v>
      </c>
      <c r="D4673" s="1" t="s">
        <v>784</v>
      </c>
      <c r="E4673" s="1" t="s">
        <v>436</v>
      </c>
      <c r="F4673" s="1" t="s">
        <v>442</v>
      </c>
      <c r="G4673" s="1" t="s">
        <v>438</v>
      </c>
      <c r="H4673" s="1">
        <v>1200</v>
      </c>
      <c r="I4673" s="3">
        <v>46284</v>
      </c>
      <c r="L4673" s="31">
        <v>46284.497731631942</v>
      </c>
      <c r="M4673" s="20">
        <v>6</v>
      </c>
      <c r="N4673" s="1">
        <v>47</v>
      </c>
    </row>
    <row r="4674" spans="1:14" x14ac:dyDescent="0.25">
      <c r="A4674" t="str">
        <f t="shared" ref="A4674:A4737" si="148">+D4674&amp;D4674</f>
        <v>U152752U152752</v>
      </c>
      <c r="B4674" t="str">
        <f t="shared" ref="B4674:B4737" si="149">+D4674&amp;C4674</f>
        <v>U152752P60394T-M</v>
      </c>
      <c r="C4674" s="1" t="s">
        <v>49</v>
      </c>
      <c r="D4674" s="1" t="s">
        <v>784</v>
      </c>
      <c r="E4674" s="1" t="s">
        <v>436</v>
      </c>
      <c r="F4674" s="1" t="s">
        <v>442</v>
      </c>
      <c r="G4674" s="1" t="s">
        <v>438</v>
      </c>
      <c r="H4674" s="1">
        <v>1200</v>
      </c>
      <c r="I4674" s="3">
        <v>46284</v>
      </c>
      <c r="L4674" s="31">
        <v>46284.497973229161</v>
      </c>
      <c r="M4674" s="20">
        <v>6</v>
      </c>
      <c r="N4674" s="1">
        <v>44</v>
      </c>
    </row>
    <row r="4675" spans="1:14" x14ac:dyDescent="0.25">
      <c r="A4675" t="str">
        <f t="shared" si="148"/>
        <v>U152752U152752</v>
      </c>
      <c r="B4675" t="str">
        <f t="shared" si="149"/>
        <v>U152752P60394T-M</v>
      </c>
      <c r="C4675" s="1" t="s">
        <v>49</v>
      </c>
      <c r="D4675" s="1" t="s">
        <v>784</v>
      </c>
      <c r="E4675" s="1" t="s">
        <v>436</v>
      </c>
      <c r="F4675" s="1" t="s">
        <v>442</v>
      </c>
      <c r="G4675" s="1" t="s">
        <v>438</v>
      </c>
      <c r="H4675" s="1">
        <v>1200</v>
      </c>
      <c r="I4675" s="3">
        <v>46284</v>
      </c>
      <c r="L4675" s="31">
        <v>46284.498136724535</v>
      </c>
      <c r="M4675" s="20">
        <v>6</v>
      </c>
      <c r="N4675" s="1">
        <v>64</v>
      </c>
    </row>
    <row r="4676" spans="1:14" x14ac:dyDescent="0.25">
      <c r="A4676" t="str">
        <f t="shared" si="148"/>
        <v>U152752U152752</v>
      </c>
      <c r="B4676" t="str">
        <f t="shared" si="149"/>
        <v>U152752P60394T-M</v>
      </c>
      <c r="C4676" s="1" t="s">
        <v>49</v>
      </c>
      <c r="D4676" s="1" t="s">
        <v>784</v>
      </c>
      <c r="E4676" s="1" t="s">
        <v>436</v>
      </c>
      <c r="F4676" s="1" t="s">
        <v>442</v>
      </c>
      <c r="G4676" s="1" t="s">
        <v>438</v>
      </c>
      <c r="H4676" s="1">
        <v>1200</v>
      </c>
      <c r="I4676" s="3">
        <v>46284</v>
      </c>
      <c r="L4676" s="31">
        <v>46284.498323229163</v>
      </c>
      <c r="M4676" s="20">
        <v>6</v>
      </c>
      <c r="N4676" s="1">
        <v>50</v>
      </c>
    </row>
    <row r="4677" spans="1:14" x14ac:dyDescent="0.25">
      <c r="A4677" t="str">
        <f t="shared" si="148"/>
        <v>U152752U152752</v>
      </c>
      <c r="B4677" t="str">
        <f t="shared" si="149"/>
        <v>U152752P60394T-M</v>
      </c>
      <c r="C4677" s="1" t="s">
        <v>49</v>
      </c>
      <c r="D4677" s="1" t="s">
        <v>784</v>
      </c>
      <c r="E4677" s="1" t="s">
        <v>436</v>
      </c>
      <c r="F4677" s="1" t="s">
        <v>442</v>
      </c>
      <c r="G4677" s="1" t="s">
        <v>438</v>
      </c>
      <c r="H4677" s="1">
        <v>1200</v>
      </c>
      <c r="I4677" s="3">
        <v>46284</v>
      </c>
      <c r="L4677" s="31">
        <v>46284.499799687495</v>
      </c>
      <c r="M4677" s="20">
        <v>6</v>
      </c>
      <c r="N4677" s="1">
        <v>46</v>
      </c>
    </row>
    <row r="4678" spans="1:14" x14ac:dyDescent="0.25">
      <c r="A4678" t="str">
        <f t="shared" si="148"/>
        <v>U152752U152752</v>
      </c>
      <c r="B4678" t="str">
        <f t="shared" si="149"/>
        <v>U152752P60394T-M</v>
      </c>
      <c r="C4678" s="1" t="s">
        <v>49</v>
      </c>
      <c r="D4678" s="1" t="s">
        <v>784</v>
      </c>
      <c r="E4678" s="1" t="s">
        <v>436</v>
      </c>
      <c r="F4678" s="1" t="s">
        <v>442</v>
      </c>
      <c r="G4678" s="1" t="s">
        <v>438</v>
      </c>
      <c r="H4678" s="1">
        <v>1200</v>
      </c>
      <c r="I4678" s="3">
        <v>46284</v>
      </c>
      <c r="L4678" s="31">
        <v>46284.49994991898</v>
      </c>
      <c r="M4678" s="20">
        <v>6</v>
      </c>
      <c r="N4678" s="1">
        <v>49</v>
      </c>
    </row>
    <row r="4679" spans="1:14" x14ac:dyDescent="0.25">
      <c r="A4679" t="str">
        <f t="shared" si="148"/>
        <v>U152752U152752</v>
      </c>
      <c r="B4679" t="str">
        <f t="shared" si="149"/>
        <v>U152752P60394T-M</v>
      </c>
      <c r="C4679" s="1" t="s">
        <v>49</v>
      </c>
      <c r="D4679" s="1" t="s">
        <v>784</v>
      </c>
      <c r="E4679" s="1" t="s">
        <v>436</v>
      </c>
      <c r="F4679" s="1" t="s">
        <v>442</v>
      </c>
      <c r="G4679" s="1" t="s">
        <v>438</v>
      </c>
      <c r="H4679" s="1">
        <v>1200</v>
      </c>
      <c r="I4679" s="3">
        <v>46284</v>
      </c>
      <c r="L4679" s="31">
        <v>46284.500094178242</v>
      </c>
      <c r="M4679" s="20">
        <v>6</v>
      </c>
      <c r="N4679" s="1">
        <v>43</v>
      </c>
    </row>
    <row r="4680" spans="1:14" x14ac:dyDescent="0.25">
      <c r="A4680" t="str">
        <f t="shared" si="148"/>
        <v>78740677874067</v>
      </c>
      <c r="B4680" t="str">
        <f t="shared" si="149"/>
        <v>7874067P906011M-M</v>
      </c>
      <c r="C4680" s="1" t="s">
        <v>787</v>
      </c>
      <c r="D4680" s="1" t="s">
        <v>788</v>
      </c>
      <c r="E4680" s="1" t="s">
        <v>392</v>
      </c>
      <c r="F4680" s="1" t="s">
        <v>526</v>
      </c>
      <c r="G4680" s="1" t="s">
        <v>394</v>
      </c>
      <c r="H4680" s="1">
        <v>300</v>
      </c>
      <c r="I4680" s="3">
        <v>46286</v>
      </c>
      <c r="J4680" s="3">
        <v>46286</v>
      </c>
      <c r="K4680" s="3" t="s">
        <v>2365</v>
      </c>
      <c r="L4680" s="31">
        <v>46286.331263043983</v>
      </c>
      <c r="M4680" s="20">
        <v>12</v>
      </c>
      <c r="N4680" s="1">
        <v>2</v>
      </c>
    </row>
    <row r="4681" spans="1:14" x14ac:dyDescent="0.25">
      <c r="A4681" t="str">
        <f t="shared" si="148"/>
        <v>78740677874067</v>
      </c>
      <c r="B4681" t="str">
        <f t="shared" si="149"/>
        <v>7874067P906011M-M</v>
      </c>
      <c r="C4681" s="1" t="s">
        <v>787</v>
      </c>
      <c r="D4681" s="1" t="s">
        <v>788</v>
      </c>
      <c r="E4681" s="1" t="s">
        <v>392</v>
      </c>
      <c r="F4681" s="1" t="s">
        <v>526</v>
      </c>
      <c r="G4681" s="1" t="s">
        <v>394</v>
      </c>
      <c r="H4681" s="1">
        <v>300</v>
      </c>
      <c r="I4681" s="3">
        <v>46286</v>
      </c>
      <c r="J4681" s="3">
        <v>46286</v>
      </c>
      <c r="K4681" s="3" t="s">
        <v>2365</v>
      </c>
      <c r="L4681" s="31">
        <v>46286.342930937499</v>
      </c>
      <c r="M4681" s="20">
        <v>12</v>
      </c>
      <c r="N4681" s="1">
        <v>1</v>
      </c>
    </row>
    <row r="4682" spans="1:14" x14ac:dyDescent="0.25">
      <c r="A4682" t="str">
        <f t="shared" si="148"/>
        <v>78740677874067</v>
      </c>
      <c r="B4682" t="str">
        <f t="shared" si="149"/>
        <v>7874067P906011M-M</v>
      </c>
      <c r="C4682" s="1" t="s">
        <v>787</v>
      </c>
      <c r="D4682" s="1" t="s">
        <v>788</v>
      </c>
      <c r="E4682" s="1" t="s">
        <v>392</v>
      </c>
      <c r="F4682" s="1" t="s">
        <v>526</v>
      </c>
      <c r="G4682" s="1" t="s">
        <v>394</v>
      </c>
      <c r="H4682" s="1">
        <v>300</v>
      </c>
      <c r="I4682" s="3">
        <v>46286</v>
      </c>
      <c r="J4682" s="3">
        <v>46286</v>
      </c>
      <c r="K4682" s="3" t="s">
        <v>2365</v>
      </c>
      <c r="L4682" s="31">
        <v>46286.345411458329</v>
      </c>
      <c r="M4682" s="20">
        <v>12</v>
      </c>
      <c r="N4682" s="1">
        <v>4</v>
      </c>
    </row>
    <row r="4683" spans="1:14" x14ac:dyDescent="0.25">
      <c r="A4683" t="str">
        <f t="shared" si="148"/>
        <v>78740677874067</v>
      </c>
      <c r="B4683" t="str">
        <f t="shared" si="149"/>
        <v>7874067P906011M-M</v>
      </c>
      <c r="C4683" s="1" t="s">
        <v>787</v>
      </c>
      <c r="D4683" s="1" t="s">
        <v>788</v>
      </c>
      <c r="E4683" s="1" t="s">
        <v>392</v>
      </c>
      <c r="F4683" s="1" t="s">
        <v>526</v>
      </c>
      <c r="G4683" s="1" t="s">
        <v>394</v>
      </c>
      <c r="H4683" s="1">
        <v>300</v>
      </c>
      <c r="I4683" s="3">
        <v>46286</v>
      </c>
      <c r="J4683" s="3">
        <v>46286</v>
      </c>
      <c r="K4683" s="3" t="s">
        <v>2365</v>
      </c>
      <c r="L4683" s="31">
        <v>46286.35221261574</v>
      </c>
      <c r="M4683" s="20">
        <v>12</v>
      </c>
      <c r="N4683" s="1">
        <v>6</v>
      </c>
    </row>
    <row r="4684" spans="1:14" x14ac:dyDescent="0.25">
      <c r="A4684" t="str">
        <f t="shared" si="148"/>
        <v>78740677874067</v>
      </c>
      <c r="B4684" t="str">
        <f t="shared" si="149"/>
        <v>7874067P906011M-M</v>
      </c>
      <c r="C4684" s="1" t="s">
        <v>787</v>
      </c>
      <c r="D4684" s="1" t="s">
        <v>788</v>
      </c>
      <c r="E4684" s="1" t="s">
        <v>392</v>
      </c>
      <c r="F4684" s="1" t="s">
        <v>526</v>
      </c>
      <c r="G4684" s="1" t="s">
        <v>394</v>
      </c>
      <c r="H4684" s="1">
        <v>300</v>
      </c>
      <c r="I4684" s="3">
        <v>46286</v>
      </c>
      <c r="J4684" s="3">
        <v>46286</v>
      </c>
      <c r="K4684" s="3" t="s">
        <v>2365</v>
      </c>
      <c r="L4684" s="31">
        <v>46286.354319907405</v>
      </c>
      <c r="M4684" s="20">
        <v>12</v>
      </c>
      <c r="N4684" s="1">
        <v>3</v>
      </c>
    </row>
    <row r="4685" spans="1:14" x14ac:dyDescent="0.25">
      <c r="A4685" t="str">
        <f t="shared" si="148"/>
        <v>78740677874067</v>
      </c>
      <c r="B4685" t="str">
        <f t="shared" si="149"/>
        <v>7874067P906011M-M</v>
      </c>
      <c r="C4685" s="1" t="s">
        <v>787</v>
      </c>
      <c r="D4685" s="1" t="s">
        <v>788</v>
      </c>
      <c r="E4685" s="1" t="s">
        <v>392</v>
      </c>
      <c r="F4685" s="1" t="s">
        <v>526</v>
      </c>
      <c r="G4685" s="1" t="s">
        <v>394</v>
      </c>
      <c r="H4685" s="1">
        <v>300</v>
      </c>
      <c r="I4685" s="3">
        <v>46286</v>
      </c>
      <c r="J4685" s="3">
        <v>46286</v>
      </c>
      <c r="K4685" s="3" t="s">
        <v>2365</v>
      </c>
      <c r="L4685" s="31">
        <v>46286.433841550926</v>
      </c>
      <c r="M4685" s="20">
        <v>12</v>
      </c>
      <c r="N4685" s="1">
        <v>13</v>
      </c>
    </row>
    <row r="4686" spans="1:14" x14ac:dyDescent="0.25">
      <c r="A4686" t="str">
        <f t="shared" si="148"/>
        <v>78740677874067</v>
      </c>
      <c r="B4686" t="str">
        <f t="shared" si="149"/>
        <v>7874067P906011M-M</v>
      </c>
      <c r="C4686" s="1" t="s">
        <v>787</v>
      </c>
      <c r="D4686" s="1" t="s">
        <v>788</v>
      </c>
      <c r="E4686" s="1" t="s">
        <v>392</v>
      </c>
      <c r="F4686" s="1" t="s">
        <v>526</v>
      </c>
      <c r="G4686" s="1" t="s">
        <v>394</v>
      </c>
      <c r="H4686" s="1">
        <v>300</v>
      </c>
      <c r="I4686" s="3">
        <v>46286</v>
      </c>
      <c r="J4686" s="3">
        <v>46286</v>
      </c>
      <c r="K4686" s="3" t="s">
        <v>2365</v>
      </c>
      <c r="L4686" s="31">
        <v>46286.434071909724</v>
      </c>
      <c r="M4686" s="20">
        <v>12</v>
      </c>
      <c r="N4686" s="1">
        <v>18</v>
      </c>
    </row>
    <row r="4687" spans="1:14" x14ac:dyDescent="0.25">
      <c r="A4687" t="str">
        <f t="shared" si="148"/>
        <v>78740677874067</v>
      </c>
      <c r="B4687" t="str">
        <f t="shared" si="149"/>
        <v>7874067P906011M-M</v>
      </c>
      <c r="C4687" s="1" t="s">
        <v>787</v>
      </c>
      <c r="D4687" s="1" t="s">
        <v>788</v>
      </c>
      <c r="E4687" s="1" t="s">
        <v>392</v>
      </c>
      <c r="F4687" s="1" t="s">
        <v>526</v>
      </c>
      <c r="G4687" s="1" t="s">
        <v>394</v>
      </c>
      <c r="H4687" s="1">
        <v>300</v>
      </c>
      <c r="I4687" s="3">
        <v>46286</v>
      </c>
      <c r="J4687" s="3">
        <v>46286</v>
      </c>
      <c r="K4687" s="3" t="s">
        <v>2365</v>
      </c>
      <c r="L4687" s="31">
        <v>46286.434434571755</v>
      </c>
      <c r="M4687" s="20">
        <v>12</v>
      </c>
      <c r="N4687" s="1">
        <v>14</v>
      </c>
    </row>
    <row r="4688" spans="1:14" x14ac:dyDescent="0.25">
      <c r="A4688" t="str">
        <f t="shared" si="148"/>
        <v>78740677874067</v>
      </c>
      <c r="B4688" t="str">
        <f t="shared" si="149"/>
        <v>7874067P906011M-M</v>
      </c>
      <c r="C4688" s="1" t="s">
        <v>787</v>
      </c>
      <c r="D4688" s="1" t="s">
        <v>788</v>
      </c>
      <c r="E4688" s="1" t="s">
        <v>392</v>
      </c>
      <c r="F4688" s="1" t="s">
        <v>526</v>
      </c>
      <c r="G4688" s="1" t="s">
        <v>394</v>
      </c>
      <c r="H4688" s="1">
        <v>300</v>
      </c>
      <c r="I4688" s="3">
        <v>46286</v>
      </c>
      <c r="J4688" s="3">
        <v>46286</v>
      </c>
      <c r="K4688" s="3" t="s">
        <v>2365</v>
      </c>
      <c r="L4688" s="31">
        <v>46286.451333796293</v>
      </c>
      <c r="M4688" s="20">
        <v>12</v>
      </c>
      <c r="N4688" s="1">
        <v>9</v>
      </c>
    </row>
    <row r="4689" spans="1:14" x14ac:dyDescent="0.25">
      <c r="A4689" t="str">
        <f t="shared" si="148"/>
        <v>78740677874067</v>
      </c>
      <c r="B4689" t="str">
        <f t="shared" si="149"/>
        <v>7874067P906011M-M</v>
      </c>
      <c r="C4689" s="1" t="s">
        <v>787</v>
      </c>
      <c r="D4689" s="1" t="s">
        <v>788</v>
      </c>
      <c r="E4689" s="1" t="s">
        <v>392</v>
      </c>
      <c r="F4689" s="1" t="s">
        <v>526</v>
      </c>
      <c r="G4689" s="1" t="s">
        <v>394</v>
      </c>
      <c r="H4689" s="1">
        <v>300</v>
      </c>
      <c r="I4689" s="3">
        <v>46286</v>
      </c>
      <c r="J4689" s="3">
        <v>46286</v>
      </c>
      <c r="K4689" s="3" t="s">
        <v>2365</v>
      </c>
      <c r="L4689" s="31">
        <v>46286.457369710646</v>
      </c>
      <c r="M4689" s="20">
        <v>12</v>
      </c>
      <c r="N4689" s="1">
        <v>15</v>
      </c>
    </row>
    <row r="4690" spans="1:14" x14ac:dyDescent="0.25">
      <c r="A4690" t="str">
        <f t="shared" si="148"/>
        <v>78740677874067</v>
      </c>
      <c r="B4690" t="str">
        <f t="shared" si="149"/>
        <v>7874067P906011M-M</v>
      </c>
      <c r="C4690" s="1" t="s">
        <v>787</v>
      </c>
      <c r="D4690" s="1" t="s">
        <v>788</v>
      </c>
      <c r="E4690" s="1" t="s">
        <v>392</v>
      </c>
      <c r="F4690" s="1" t="s">
        <v>526</v>
      </c>
      <c r="G4690" s="1" t="s">
        <v>394</v>
      </c>
      <c r="H4690" s="1">
        <v>300</v>
      </c>
      <c r="I4690" s="3">
        <v>46286</v>
      </c>
      <c r="J4690" s="3">
        <v>46286</v>
      </c>
      <c r="K4690" s="3" t="s">
        <v>2365</v>
      </c>
      <c r="L4690" s="31">
        <v>46286.462222685186</v>
      </c>
      <c r="M4690" s="20">
        <v>12</v>
      </c>
      <c r="N4690" s="1">
        <v>10</v>
      </c>
    </row>
    <row r="4691" spans="1:14" x14ac:dyDescent="0.25">
      <c r="A4691" t="str">
        <f t="shared" si="148"/>
        <v>78740677874067</v>
      </c>
      <c r="B4691" t="str">
        <f t="shared" si="149"/>
        <v>7874067P906011M-M</v>
      </c>
      <c r="C4691" s="1" t="s">
        <v>787</v>
      </c>
      <c r="D4691" s="1" t="s">
        <v>788</v>
      </c>
      <c r="E4691" s="1" t="s">
        <v>392</v>
      </c>
      <c r="F4691" s="1" t="s">
        <v>526</v>
      </c>
      <c r="G4691" s="1" t="s">
        <v>394</v>
      </c>
      <c r="H4691" s="1">
        <v>300</v>
      </c>
      <c r="I4691" s="3">
        <v>46286</v>
      </c>
      <c r="J4691" s="3">
        <v>46286</v>
      </c>
      <c r="K4691" s="3" t="s">
        <v>2365</v>
      </c>
      <c r="L4691" s="31">
        <v>46286.462376041665</v>
      </c>
      <c r="M4691" s="20">
        <v>12</v>
      </c>
      <c r="N4691" s="1">
        <v>12</v>
      </c>
    </row>
    <row r="4692" spans="1:14" x14ac:dyDescent="0.25">
      <c r="A4692" t="str">
        <f t="shared" si="148"/>
        <v>78740677874067</v>
      </c>
      <c r="B4692" t="str">
        <f t="shared" si="149"/>
        <v>7874067P906011M-M</v>
      </c>
      <c r="C4692" s="1" t="s">
        <v>787</v>
      </c>
      <c r="D4692" s="1" t="s">
        <v>788</v>
      </c>
      <c r="E4692" s="1" t="s">
        <v>392</v>
      </c>
      <c r="F4692" s="1" t="s">
        <v>526</v>
      </c>
      <c r="G4692" s="1" t="s">
        <v>394</v>
      </c>
      <c r="H4692" s="1">
        <v>300</v>
      </c>
      <c r="I4692" s="3">
        <v>46286</v>
      </c>
      <c r="J4692" s="3">
        <v>46286</v>
      </c>
      <c r="K4692" s="3" t="s">
        <v>2365</v>
      </c>
      <c r="L4692" s="31">
        <v>46286.46337878472</v>
      </c>
      <c r="M4692" s="20">
        <v>12</v>
      </c>
      <c r="N4692" s="1">
        <v>11</v>
      </c>
    </row>
    <row r="4693" spans="1:14" x14ac:dyDescent="0.25">
      <c r="A4693" t="str">
        <f t="shared" si="148"/>
        <v>78740677874067</v>
      </c>
      <c r="B4693" t="str">
        <f t="shared" si="149"/>
        <v>7874067P906011M-M</v>
      </c>
      <c r="C4693" s="1" t="s">
        <v>787</v>
      </c>
      <c r="D4693" s="1" t="s">
        <v>788</v>
      </c>
      <c r="E4693" s="1" t="s">
        <v>392</v>
      </c>
      <c r="F4693" s="1" t="s">
        <v>526</v>
      </c>
      <c r="G4693" s="1" t="s">
        <v>394</v>
      </c>
      <c r="H4693" s="1">
        <v>300</v>
      </c>
      <c r="I4693" s="3">
        <v>46286</v>
      </c>
      <c r="J4693" s="3">
        <v>46286</v>
      </c>
      <c r="K4693" s="3" t="s">
        <v>2365</v>
      </c>
      <c r="L4693" s="31">
        <v>46286.469597916664</v>
      </c>
      <c r="M4693" s="20">
        <v>12</v>
      </c>
      <c r="N4693" s="1">
        <v>8</v>
      </c>
    </row>
    <row r="4694" spans="1:14" x14ac:dyDescent="0.25">
      <c r="A4694" t="str">
        <f t="shared" si="148"/>
        <v>78740677874067</v>
      </c>
      <c r="B4694" t="str">
        <f t="shared" si="149"/>
        <v>7874067P906011M-M</v>
      </c>
      <c r="C4694" s="1" t="s">
        <v>787</v>
      </c>
      <c r="D4694" s="1" t="s">
        <v>788</v>
      </c>
      <c r="E4694" s="1" t="s">
        <v>392</v>
      </c>
      <c r="F4694" s="1" t="s">
        <v>526</v>
      </c>
      <c r="G4694" s="1" t="s">
        <v>394</v>
      </c>
      <c r="H4694" s="1">
        <v>300</v>
      </c>
      <c r="I4694" s="3">
        <v>46286</v>
      </c>
      <c r="J4694" s="3">
        <v>46286</v>
      </c>
      <c r="K4694" s="3" t="s">
        <v>2365</v>
      </c>
      <c r="L4694" s="31">
        <v>46286.469802002313</v>
      </c>
      <c r="M4694" s="20">
        <v>12</v>
      </c>
      <c r="N4694" s="1">
        <v>5</v>
      </c>
    </row>
    <row r="4695" spans="1:14" x14ac:dyDescent="0.25">
      <c r="A4695" t="str">
        <f t="shared" si="148"/>
        <v>78740677874067</v>
      </c>
      <c r="B4695" t="str">
        <f t="shared" si="149"/>
        <v>7874067P906011M-M</v>
      </c>
      <c r="C4695" s="1" t="s">
        <v>787</v>
      </c>
      <c r="D4695" s="1" t="s">
        <v>788</v>
      </c>
      <c r="E4695" s="1" t="s">
        <v>392</v>
      </c>
      <c r="F4695" s="1" t="s">
        <v>526</v>
      </c>
      <c r="G4695" s="1" t="s">
        <v>394</v>
      </c>
      <c r="H4695" s="1">
        <v>300</v>
      </c>
      <c r="I4695" s="3">
        <v>46286</v>
      </c>
      <c r="J4695" s="3">
        <v>46286</v>
      </c>
      <c r="K4695" s="3" t="s">
        <v>2365</v>
      </c>
      <c r="L4695" s="31">
        <v>46286.471521099535</v>
      </c>
      <c r="M4695" s="20">
        <v>12</v>
      </c>
      <c r="N4695" s="1">
        <v>17</v>
      </c>
    </row>
    <row r="4696" spans="1:14" x14ac:dyDescent="0.25">
      <c r="A4696" t="str">
        <f t="shared" si="148"/>
        <v>78740677874067</v>
      </c>
      <c r="B4696" t="str">
        <f t="shared" si="149"/>
        <v>7874067P906011M-M</v>
      </c>
      <c r="C4696" s="1" t="s">
        <v>787</v>
      </c>
      <c r="D4696" s="1" t="s">
        <v>788</v>
      </c>
      <c r="E4696" s="1" t="s">
        <v>392</v>
      </c>
      <c r="F4696" s="1" t="s">
        <v>526</v>
      </c>
      <c r="G4696" s="1" t="s">
        <v>394</v>
      </c>
      <c r="H4696" s="1">
        <v>300</v>
      </c>
      <c r="I4696" s="3">
        <v>46286</v>
      </c>
      <c r="J4696" s="3">
        <v>46286</v>
      </c>
      <c r="K4696" s="3" t="s">
        <v>2365</v>
      </c>
      <c r="L4696" s="31">
        <v>46286.471763506939</v>
      </c>
      <c r="M4696" s="20">
        <v>12</v>
      </c>
      <c r="N4696" s="1">
        <v>19</v>
      </c>
    </row>
    <row r="4697" spans="1:14" x14ac:dyDescent="0.25">
      <c r="A4697" t="str">
        <f t="shared" si="148"/>
        <v>78740677874067</v>
      </c>
      <c r="B4697" t="str">
        <f t="shared" si="149"/>
        <v>7874067P906011M-M</v>
      </c>
      <c r="C4697" s="1" t="s">
        <v>787</v>
      </c>
      <c r="D4697" s="1" t="s">
        <v>788</v>
      </c>
      <c r="E4697" s="1" t="s">
        <v>392</v>
      </c>
      <c r="F4697" s="1" t="s">
        <v>526</v>
      </c>
      <c r="G4697" s="1" t="s">
        <v>394</v>
      </c>
      <c r="H4697" s="1">
        <v>300</v>
      </c>
      <c r="I4697" s="3">
        <v>46286</v>
      </c>
      <c r="J4697" s="3">
        <v>46286</v>
      </c>
      <c r="K4697" s="3" t="s">
        <v>2365</v>
      </c>
      <c r="L4697" s="31">
        <v>46286.472098495367</v>
      </c>
      <c r="M4697" s="20">
        <v>12</v>
      </c>
      <c r="N4697" s="1">
        <v>16</v>
      </c>
    </row>
    <row r="4698" spans="1:14" x14ac:dyDescent="0.25">
      <c r="A4698" t="str">
        <f t="shared" si="148"/>
        <v>78740677874067</v>
      </c>
      <c r="B4698" t="str">
        <f t="shared" si="149"/>
        <v>7874067P906011M-M</v>
      </c>
      <c r="C4698" s="1" t="s">
        <v>787</v>
      </c>
      <c r="D4698" s="1" t="s">
        <v>788</v>
      </c>
      <c r="E4698" s="1" t="s">
        <v>392</v>
      </c>
      <c r="F4698" s="1" t="s">
        <v>526</v>
      </c>
      <c r="G4698" s="1" t="s">
        <v>394</v>
      </c>
      <c r="H4698" s="1">
        <v>300</v>
      </c>
      <c r="I4698" s="3">
        <v>46286</v>
      </c>
      <c r="J4698" s="3">
        <v>46286</v>
      </c>
      <c r="K4698" s="3" t="s">
        <v>2365</v>
      </c>
      <c r="L4698" s="31">
        <v>46286.475388229162</v>
      </c>
      <c r="M4698" s="20">
        <v>12</v>
      </c>
      <c r="N4698" s="1">
        <v>7</v>
      </c>
    </row>
    <row r="4699" spans="1:14" x14ac:dyDescent="0.25">
      <c r="A4699" t="str">
        <f t="shared" si="148"/>
        <v>78740677874067</v>
      </c>
      <c r="B4699" t="str">
        <f t="shared" si="149"/>
        <v>7874067P906011M-M</v>
      </c>
      <c r="C4699" s="1" t="s">
        <v>787</v>
      </c>
      <c r="D4699" s="1" t="s">
        <v>788</v>
      </c>
      <c r="E4699" s="1" t="s">
        <v>392</v>
      </c>
      <c r="F4699" s="1" t="s">
        <v>526</v>
      </c>
      <c r="G4699" s="1" t="s">
        <v>394</v>
      </c>
      <c r="H4699" s="1">
        <v>300</v>
      </c>
      <c r="I4699" s="3">
        <v>46286</v>
      </c>
      <c r="J4699" s="3">
        <v>46286</v>
      </c>
      <c r="K4699" s="3" t="s">
        <v>2365</v>
      </c>
      <c r="L4699" s="31">
        <v>46286.488434606479</v>
      </c>
      <c r="M4699" s="20">
        <v>12</v>
      </c>
      <c r="N4699" s="1">
        <v>20</v>
      </c>
    </row>
    <row r="4700" spans="1:14" x14ac:dyDescent="0.25">
      <c r="A4700" t="str">
        <f t="shared" si="148"/>
        <v>78740677874067</v>
      </c>
      <c r="B4700" t="str">
        <f t="shared" si="149"/>
        <v>7874067P906011M-M</v>
      </c>
      <c r="C4700" s="1" t="s">
        <v>787</v>
      </c>
      <c r="D4700" s="1" t="s">
        <v>788</v>
      </c>
      <c r="E4700" s="1" t="s">
        <v>392</v>
      </c>
      <c r="F4700" s="1" t="s">
        <v>526</v>
      </c>
      <c r="G4700" s="1" t="s">
        <v>394</v>
      </c>
      <c r="H4700" s="1">
        <v>300</v>
      </c>
      <c r="I4700" s="3">
        <v>46286</v>
      </c>
      <c r="J4700" s="3">
        <v>46286</v>
      </c>
      <c r="K4700" s="3" t="s">
        <v>2365</v>
      </c>
      <c r="L4700" s="31">
        <v>46286.560795335645</v>
      </c>
      <c r="M4700" s="20">
        <v>12</v>
      </c>
      <c r="N4700" s="1">
        <v>21</v>
      </c>
    </row>
    <row r="4701" spans="1:14" x14ac:dyDescent="0.25">
      <c r="A4701" t="str">
        <f t="shared" si="148"/>
        <v>78740677874067</v>
      </c>
      <c r="B4701" t="str">
        <f t="shared" si="149"/>
        <v>7874067P906011M-M</v>
      </c>
      <c r="C4701" s="1" t="s">
        <v>787</v>
      </c>
      <c r="D4701" s="1" t="s">
        <v>788</v>
      </c>
      <c r="E4701" s="1" t="s">
        <v>392</v>
      </c>
      <c r="F4701" s="1" t="s">
        <v>526</v>
      </c>
      <c r="G4701" s="1" t="s">
        <v>394</v>
      </c>
      <c r="H4701" s="1">
        <v>300</v>
      </c>
      <c r="I4701" s="3">
        <v>46286</v>
      </c>
      <c r="J4701" s="3">
        <v>46286</v>
      </c>
      <c r="K4701" s="3" t="s">
        <v>2365</v>
      </c>
      <c r="L4701" s="31">
        <v>46286.59803202546</v>
      </c>
      <c r="M4701" s="20">
        <v>12</v>
      </c>
      <c r="N4701" s="1">
        <v>22</v>
      </c>
    </row>
    <row r="4702" spans="1:14" x14ac:dyDescent="0.25">
      <c r="A4702" t="str">
        <f t="shared" si="148"/>
        <v>78740677874067</v>
      </c>
      <c r="B4702" t="str">
        <f t="shared" si="149"/>
        <v>7874067P906011M-M</v>
      </c>
      <c r="C4702" s="1" t="s">
        <v>787</v>
      </c>
      <c r="D4702" s="1" t="s">
        <v>788</v>
      </c>
      <c r="E4702" s="1" t="s">
        <v>392</v>
      </c>
      <c r="F4702" s="1" t="s">
        <v>526</v>
      </c>
      <c r="G4702" s="1" t="s">
        <v>394</v>
      </c>
      <c r="H4702" s="1">
        <v>300</v>
      </c>
      <c r="I4702" s="3">
        <v>46286</v>
      </c>
      <c r="J4702" s="3">
        <v>46286</v>
      </c>
      <c r="K4702" s="3" t="s">
        <v>2365</v>
      </c>
      <c r="L4702" s="31">
        <v>46286.605818252312</v>
      </c>
      <c r="M4702" s="20">
        <v>12</v>
      </c>
      <c r="N4702" s="1">
        <v>23</v>
      </c>
    </row>
    <row r="4703" spans="1:14" x14ac:dyDescent="0.25">
      <c r="A4703" t="str">
        <f t="shared" si="148"/>
        <v>78740677874067</v>
      </c>
      <c r="B4703" t="str">
        <f t="shared" si="149"/>
        <v>7874067P906011M-M</v>
      </c>
      <c r="C4703" s="1" t="s">
        <v>787</v>
      </c>
      <c r="D4703" s="1" t="s">
        <v>788</v>
      </c>
      <c r="E4703" s="1" t="s">
        <v>392</v>
      </c>
      <c r="F4703" s="1" t="s">
        <v>526</v>
      </c>
      <c r="G4703" s="1" t="s">
        <v>394</v>
      </c>
      <c r="H4703" s="1">
        <v>300</v>
      </c>
      <c r="I4703" s="3">
        <v>46286</v>
      </c>
      <c r="J4703" s="3">
        <v>46286</v>
      </c>
      <c r="K4703" s="3" t="s">
        <v>2365</v>
      </c>
      <c r="L4703" s="31">
        <v>46286.617664155092</v>
      </c>
      <c r="M4703" s="20">
        <v>12</v>
      </c>
      <c r="N4703" s="1">
        <v>24</v>
      </c>
    </row>
    <row r="4704" spans="1:14" x14ac:dyDescent="0.25">
      <c r="A4704" t="str">
        <f t="shared" si="148"/>
        <v>78740677874067</v>
      </c>
      <c r="B4704" t="str">
        <f t="shared" si="149"/>
        <v>7874067P906011M-M</v>
      </c>
      <c r="C4704" s="1" t="s">
        <v>787</v>
      </c>
      <c r="D4704" s="1" t="s">
        <v>788</v>
      </c>
      <c r="E4704" s="1" t="s">
        <v>392</v>
      </c>
      <c r="F4704" s="1" t="s">
        <v>526</v>
      </c>
      <c r="G4704" s="1" t="s">
        <v>394</v>
      </c>
      <c r="H4704" s="1">
        <v>300</v>
      </c>
      <c r="I4704" s="3">
        <v>46286</v>
      </c>
      <c r="J4704" s="3">
        <v>46286</v>
      </c>
      <c r="K4704" s="3" t="s">
        <v>2365</v>
      </c>
      <c r="L4704" s="31">
        <v>46286.652427002315</v>
      </c>
      <c r="M4704" s="20">
        <v>12</v>
      </c>
      <c r="N4704" s="1">
        <v>25</v>
      </c>
    </row>
    <row r="4705" spans="1:14" x14ac:dyDescent="0.25">
      <c r="A4705" t="str">
        <f t="shared" si="148"/>
        <v>78748947874894</v>
      </c>
      <c r="B4705" t="str">
        <f t="shared" si="149"/>
        <v>7874894PV574EVB-M</v>
      </c>
      <c r="C4705" s="1" t="s">
        <v>19</v>
      </c>
      <c r="D4705" s="1" t="s">
        <v>796</v>
      </c>
      <c r="E4705" s="1" t="s">
        <v>392</v>
      </c>
      <c r="F4705" s="1" t="s">
        <v>393</v>
      </c>
      <c r="G4705" s="1" t="s">
        <v>394</v>
      </c>
      <c r="H4705" s="1">
        <v>270</v>
      </c>
      <c r="I4705" s="3">
        <v>46286</v>
      </c>
      <c r="L4705" s="31">
        <v>46286.357958877314</v>
      </c>
      <c r="M4705" s="20">
        <v>12</v>
      </c>
      <c r="N4705" s="1">
        <v>19</v>
      </c>
    </row>
    <row r="4706" spans="1:14" x14ac:dyDescent="0.25">
      <c r="A4706" t="str">
        <f t="shared" si="148"/>
        <v>78748947874894</v>
      </c>
      <c r="B4706" t="str">
        <f t="shared" si="149"/>
        <v>7874894PV574EVB-M</v>
      </c>
      <c r="C4706" s="1" t="s">
        <v>19</v>
      </c>
      <c r="D4706" s="1" t="s">
        <v>796</v>
      </c>
      <c r="E4706" s="1" t="s">
        <v>392</v>
      </c>
      <c r="F4706" s="1" t="s">
        <v>393</v>
      </c>
      <c r="G4706" s="1" t="s">
        <v>394</v>
      </c>
      <c r="H4706" s="1">
        <v>270</v>
      </c>
      <c r="I4706" s="3">
        <v>46286</v>
      </c>
      <c r="L4706" s="31">
        <v>46286.365675081019</v>
      </c>
      <c r="M4706" s="20">
        <v>12</v>
      </c>
      <c r="N4706" s="1">
        <v>13</v>
      </c>
    </row>
    <row r="4707" spans="1:14" x14ac:dyDescent="0.25">
      <c r="A4707" t="str">
        <f t="shared" si="148"/>
        <v>78748947874894</v>
      </c>
      <c r="B4707" t="str">
        <f t="shared" si="149"/>
        <v>7874894PV574EVB-M</v>
      </c>
      <c r="C4707" s="1" t="s">
        <v>19</v>
      </c>
      <c r="D4707" s="1" t="s">
        <v>796</v>
      </c>
      <c r="E4707" s="1" t="s">
        <v>392</v>
      </c>
      <c r="F4707" s="1" t="s">
        <v>393</v>
      </c>
      <c r="G4707" s="1" t="s">
        <v>394</v>
      </c>
      <c r="H4707" s="1">
        <v>270</v>
      </c>
      <c r="I4707" s="3">
        <v>46286</v>
      </c>
      <c r="L4707" s="31">
        <v>46286.389775231481</v>
      </c>
      <c r="M4707" s="20">
        <v>12</v>
      </c>
      <c r="N4707" s="1">
        <v>9</v>
      </c>
    </row>
    <row r="4708" spans="1:14" x14ac:dyDescent="0.25">
      <c r="A4708" t="str">
        <f t="shared" si="148"/>
        <v>78748947874894</v>
      </c>
      <c r="B4708" t="str">
        <f t="shared" si="149"/>
        <v>7874894PV574EVB-M</v>
      </c>
      <c r="C4708" s="1" t="s">
        <v>19</v>
      </c>
      <c r="D4708" s="1" t="s">
        <v>796</v>
      </c>
      <c r="E4708" s="1" t="s">
        <v>392</v>
      </c>
      <c r="F4708" s="1" t="s">
        <v>393</v>
      </c>
      <c r="G4708" s="1" t="s">
        <v>394</v>
      </c>
      <c r="H4708" s="1">
        <v>270</v>
      </c>
      <c r="I4708" s="3">
        <v>46286</v>
      </c>
      <c r="L4708" s="31">
        <v>46286.390003321758</v>
      </c>
      <c r="M4708" s="20">
        <v>12</v>
      </c>
      <c r="N4708" s="1">
        <v>10</v>
      </c>
    </row>
    <row r="4709" spans="1:14" x14ac:dyDescent="0.25">
      <c r="A4709" t="str">
        <f t="shared" si="148"/>
        <v>78748947874894</v>
      </c>
      <c r="B4709" t="str">
        <f t="shared" si="149"/>
        <v>7874894PV574EVB-M</v>
      </c>
      <c r="C4709" s="1" t="s">
        <v>19</v>
      </c>
      <c r="D4709" s="1" t="s">
        <v>796</v>
      </c>
      <c r="E4709" s="1" t="s">
        <v>392</v>
      </c>
      <c r="F4709" s="1" t="s">
        <v>393</v>
      </c>
      <c r="G4709" s="1" t="s">
        <v>394</v>
      </c>
      <c r="H4709" s="1">
        <v>270</v>
      </c>
      <c r="I4709" s="3">
        <v>46286</v>
      </c>
      <c r="L4709" s="31">
        <v>46286.390225428237</v>
      </c>
      <c r="M4709" s="20">
        <v>12</v>
      </c>
      <c r="N4709" s="1">
        <v>18</v>
      </c>
    </row>
    <row r="4710" spans="1:14" x14ac:dyDescent="0.25">
      <c r="A4710" t="str">
        <f t="shared" si="148"/>
        <v>78748947874894</v>
      </c>
      <c r="B4710" t="str">
        <f t="shared" si="149"/>
        <v>7874894PV574EVB-M</v>
      </c>
      <c r="C4710" s="1" t="s">
        <v>19</v>
      </c>
      <c r="D4710" s="1" t="s">
        <v>796</v>
      </c>
      <c r="E4710" s="1" t="s">
        <v>392</v>
      </c>
      <c r="F4710" s="1" t="s">
        <v>393</v>
      </c>
      <c r="G4710" s="1" t="s">
        <v>394</v>
      </c>
      <c r="H4710" s="1">
        <v>270</v>
      </c>
      <c r="I4710" s="3">
        <v>46286</v>
      </c>
      <c r="L4710" s="31">
        <v>46286.393252314811</v>
      </c>
      <c r="M4710" s="20">
        <v>12</v>
      </c>
      <c r="N4710" s="1">
        <v>5</v>
      </c>
    </row>
    <row r="4711" spans="1:14" x14ac:dyDescent="0.25">
      <c r="A4711" t="str">
        <f t="shared" si="148"/>
        <v>78748947874894</v>
      </c>
      <c r="B4711" t="str">
        <f t="shared" si="149"/>
        <v>7874894PV574EVB-M</v>
      </c>
      <c r="C4711" s="1" t="s">
        <v>19</v>
      </c>
      <c r="D4711" s="1" t="s">
        <v>796</v>
      </c>
      <c r="E4711" s="1" t="s">
        <v>392</v>
      </c>
      <c r="F4711" s="1" t="s">
        <v>393</v>
      </c>
      <c r="G4711" s="1" t="s">
        <v>394</v>
      </c>
      <c r="H4711" s="1">
        <v>270</v>
      </c>
      <c r="I4711" s="3">
        <v>46286</v>
      </c>
      <c r="L4711" s="31">
        <v>46286.393523298611</v>
      </c>
      <c r="M4711" s="20">
        <v>12</v>
      </c>
      <c r="N4711" s="1">
        <v>2</v>
      </c>
    </row>
    <row r="4712" spans="1:14" x14ac:dyDescent="0.25">
      <c r="A4712" t="str">
        <f t="shared" si="148"/>
        <v>78748947874894</v>
      </c>
      <c r="B4712" t="str">
        <f t="shared" si="149"/>
        <v>7874894PV574EVB-M</v>
      </c>
      <c r="C4712" s="1" t="s">
        <v>19</v>
      </c>
      <c r="D4712" s="1" t="s">
        <v>796</v>
      </c>
      <c r="E4712" s="1" t="s">
        <v>392</v>
      </c>
      <c r="F4712" s="1" t="s">
        <v>393</v>
      </c>
      <c r="G4712" s="1" t="s">
        <v>394</v>
      </c>
      <c r="H4712" s="1">
        <v>270</v>
      </c>
      <c r="I4712" s="3">
        <v>46286</v>
      </c>
      <c r="L4712" s="31">
        <v>46286.434589548611</v>
      </c>
      <c r="M4712" s="20">
        <v>6</v>
      </c>
      <c r="N4712" s="1">
        <v>26</v>
      </c>
    </row>
    <row r="4713" spans="1:14" x14ac:dyDescent="0.25">
      <c r="A4713" t="str">
        <f t="shared" si="148"/>
        <v>78748947874894</v>
      </c>
      <c r="B4713" t="str">
        <f t="shared" si="149"/>
        <v>7874894PV574EVB-M</v>
      </c>
      <c r="C4713" s="1" t="s">
        <v>19</v>
      </c>
      <c r="D4713" s="1" t="s">
        <v>796</v>
      </c>
      <c r="E4713" s="1" t="s">
        <v>392</v>
      </c>
      <c r="F4713" s="1" t="s">
        <v>393</v>
      </c>
      <c r="G4713" s="1" t="s">
        <v>394</v>
      </c>
      <c r="H4713" s="1">
        <v>270</v>
      </c>
      <c r="I4713" s="3">
        <v>46286</v>
      </c>
      <c r="L4713" s="31">
        <v>46286.435487187497</v>
      </c>
      <c r="M4713" s="20">
        <v>12</v>
      </c>
      <c r="N4713" s="1">
        <v>8</v>
      </c>
    </row>
    <row r="4714" spans="1:14" x14ac:dyDescent="0.25">
      <c r="A4714" t="str">
        <f t="shared" si="148"/>
        <v>78748947874894</v>
      </c>
      <c r="B4714" t="str">
        <f t="shared" si="149"/>
        <v>7874894PV574EVB-M</v>
      </c>
      <c r="C4714" s="1" t="s">
        <v>19</v>
      </c>
      <c r="D4714" s="1" t="s">
        <v>796</v>
      </c>
      <c r="E4714" s="1" t="s">
        <v>392</v>
      </c>
      <c r="F4714" s="1" t="s">
        <v>393</v>
      </c>
      <c r="G4714" s="1" t="s">
        <v>394</v>
      </c>
      <c r="H4714" s="1">
        <v>270</v>
      </c>
      <c r="I4714" s="3">
        <v>46286</v>
      </c>
      <c r="L4714" s="31">
        <v>46286.449952465278</v>
      </c>
      <c r="M4714" s="20">
        <v>6</v>
      </c>
      <c r="N4714" s="1">
        <v>25</v>
      </c>
    </row>
    <row r="4715" spans="1:14" x14ac:dyDescent="0.25">
      <c r="A4715" t="str">
        <f t="shared" si="148"/>
        <v>78748947874894</v>
      </c>
      <c r="B4715" t="str">
        <f t="shared" si="149"/>
        <v>7874894PV574EVB-M</v>
      </c>
      <c r="C4715" s="1" t="s">
        <v>19</v>
      </c>
      <c r="D4715" s="1" t="s">
        <v>796</v>
      </c>
      <c r="E4715" s="1" t="s">
        <v>392</v>
      </c>
      <c r="F4715" s="1" t="s">
        <v>393</v>
      </c>
      <c r="G4715" s="1" t="s">
        <v>394</v>
      </c>
      <c r="H4715" s="1">
        <v>270</v>
      </c>
      <c r="I4715" s="3">
        <v>46286</v>
      </c>
      <c r="L4715" s="31">
        <v>46286.458397337963</v>
      </c>
      <c r="M4715" s="20">
        <v>12</v>
      </c>
      <c r="N4715" s="1">
        <v>1</v>
      </c>
    </row>
    <row r="4716" spans="1:14" x14ac:dyDescent="0.25">
      <c r="A4716" t="str">
        <f t="shared" si="148"/>
        <v>78748947874894</v>
      </c>
      <c r="B4716" t="str">
        <f t="shared" si="149"/>
        <v>7874894PV574EVB-M</v>
      </c>
      <c r="C4716" s="1" t="s">
        <v>19</v>
      </c>
      <c r="D4716" s="1" t="s">
        <v>796</v>
      </c>
      <c r="E4716" s="1" t="s">
        <v>392</v>
      </c>
      <c r="F4716" s="1" t="s">
        <v>393</v>
      </c>
      <c r="G4716" s="1" t="s">
        <v>394</v>
      </c>
      <c r="H4716" s="1">
        <v>270</v>
      </c>
      <c r="I4716" s="3">
        <v>46286</v>
      </c>
      <c r="L4716" s="31">
        <v>46286.468053819444</v>
      </c>
      <c r="M4716" s="20">
        <v>12</v>
      </c>
      <c r="N4716" s="1">
        <v>7</v>
      </c>
    </row>
    <row r="4717" spans="1:14" x14ac:dyDescent="0.25">
      <c r="A4717" t="str">
        <f t="shared" si="148"/>
        <v>78748947874894</v>
      </c>
      <c r="B4717" t="str">
        <f t="shared" si="149"/>
        <v>7874894PV574EVB-M</v>
      </c>
      <c r="C4717" s="1" t="s">
        <v>19</v>
      </c>
      <c r="D4717" s="1" t="s">
        <v>796</v>
      </c>
      <c r="E4717" s="1" t="s">
        <v>392</v>
      </c>
      <c r="F4717" s="1" t="s">
        <v>393</v>
      </c>
      <c r="G4717" s="1" t="s">
        <v>394</v>
      </c>
      <c r="H4717" s="1">
        <v>270</v>
      </c>
      <c r="I4717" s="3">
        <v>46286</v>
      </c>
      <c r="L4717" s="31">
        <v>46286.478879745366</v>
      </c>
      <c r="M4717" s="20">
        <v>6</v>
      </c>
      <c r="N4717" s="1">
        <v>24</v>
      </c>
    </row>
    <row r="4718" spans="1:14" x14ac:dyDescent="0.25">
      <c r="A4718" t="str">
        <f t="shared" si="148"/>
        <v>78748947874894</v>
      </c>
      <c r="B4718" t="str">
        <f t="shared" si="149"/>
        <v>7874894PV574EVB-M</v>
      </c>
      <c r="C4718" s="1" t="s">
        <v>19</v>
      </c>
      <c r="D4718" s="1" t="s">
        <v>796</v>
      </c>
      <c r="E4718" s="1" t="s">
        <v>392</v>
      </c>
      <c r="F4718" s="1" t="s">
        <v>393</v>
      </c>
      <c r="G4718" s="1" t="s">
        <v>394</v>
      </c>
      <c r="H4718" s="1">
        <v>270</v>
      </c>
      <c r="I4718" s="3">
        <v>46286</v>
      </c>
      <c r="L4718" s="31">
        <v>46286.479867905087</v>
      </c>
      <c r="M4718" s="20">
        <v>12</v>
      </c>
      <c r="N4718" s="1">
        <v>11</v>
      </c>
    </row>
    <row r="4719" spans="1:14" x14ac:dyDescent="0.25">
      <c r="A4719" t="str">
        <f t="shared" si="148"/>
        <v>78755747875574</v>
      </c>
      <c r="B4719" t="str">
        <f t="shared" si="149"/>
        <v>7875574W5749H1-D</v>
      </c>
      <c r="C4719" s="1" t="s">
        <v>785</v>
      </c>
      <c r="D4719" s="1" t="s">
        <v>786</v>
      </c>
      <c r="E4719" s="1" t="s">
        <v>481</v>
      </c>
      <c r="F4719" s="1" t="s">
        <v>482</v>
      </c>
      <c r="G4719" s="1" t="s">
        <v>394</v>
      </c>
      <c r="H4719" s="1">
        <v>318</v>
      </c>
      <c r="I4719" s="3">
        <v>46286</v>
      </c>
      <c r="L4719" s="31">
        <v>46286.324075115735</v>
      </c>
      <c r="M4719" s="20">
        <v>12</v>
      </c>
      <c r="N4719" s="1">
        <v>3</v>
      </c>
    </row>
    <row r="4720" spans="1:14" x14ac:dyDescent="0.25">
      <c r="A4720" t="str">
        <f t="shared" si="148"/>
        <v>78755747875574</v>
      </c>
      <c r="B4720" t="str">
        <f t="shared" si="149"/>
        <v>7875574W5749H1-D</v>
      </c>
      <c r="C4720" s="1" t="s">
        <v>785</v>
      </c>
      <c r="D4720" s="1" t="s">
        <v>786</v>
      </c>
      <c r="E4720" s="1" t="s">
        <v>481</v>
      </c>
      <c r="F4720" s="1" t="s">
        <v>482</v>
      </c>
      <c r="G4720" s="1" t="s">
        <v>394</v>
      </c>
      <c r="H4720" s="1">
        <v>318</v>
      </c>
      <c r="I4720" s="3">
        <v>46286</v>
      </c>
      <c r="L4720" s="31">
        <v>46286.642118749995</v>
      </c>
      <c r="M4720" s="20">
        <v>12</v>
      </c>
      <c r="N4720" s="1">
        <v>19</v>
      </c>
    </row>
    <row r="4721" spans="1:14" x14ac:dyDescent="0.25">
      <c r="A4721" t="str">
        <f t="shared" si="148"/>
        <v>78755747875574</v>
      </c>
      <c r="B4721" t="str">
        <f t="shared" si="149"/>
        <v>7875574W5749H1-D</v>
      </c>
      <c r="C4721" s="1" t="s">
        <v>785</v>
      </c>
      <c r="D4721" s="1" t="s">
        <v>786</v>
      </c>
      <c r="E4721" s="1" t="s">
        <v>481</v>
      </c>
      <c r="F4721" s="1" t="s">
        <v>482</v>
      </c>
      <c r="G4721" s="1" t="s">
        <v>394</v>
      </c>
      <c r="H4721" s="1">
        <v>318</v>
      </c>
      <c r="I4721" s="3">
        <v>46286</v>
      </c>
      <c r="L4721" s="31">
        <v>46286.657954131944</v>
      </c>
      <c r="M4721" s="20">
        <v>12</v>
      </c>
      <c r="N4721" s="1">
        <v>7</v>
      </c>
    </row>
    <row r="4722" spans="1:14" x14ac:dyDescent="0.25">
      <c r="A4722" t="str">
        <f t="shared" si="148"/>
        <v>78755747875574</v>
      </c>
      <c r="B4722" t="str">
        <f t="shared" si="149"/>
        <v>7875574W5749H1-D</v>
      </c>
      <c r="C4722" s="1" t="s">
        <v>785</v>
      </c>
      <c r="D4722" s="1" t="s">
        <v>786</v>
      </c>
      <c r="E4722" s="1" t="s">
        <v>481</v>
      </c>
      <c r="F4722" s="1" t="s">
        <v>482</v>
      </c>
      <c r="G4722" s="1" t="s">
        <v>394</v>
      </c>
      <c r="H4722" s="1">
        <v>318</v>
      </c>
      <c r="I4722" s="3">
        <v>46286</v>
      </c>
      <c r="L4722" s="31">
        <v>46286.726003206015</v>
      </c>
      <c r="M4722" s="20">
        <v>12</v>
      </c>
      <c r="N4722" s="1">
        <v>12</v>
      </c>
    </row>
    <row r="4723" spans="1:14" x14ac:dyDescent="0.25">
      <c r="A4723" t="str">
        <f t="shared" si="148"/>
        <v>78759977875997</v>
      </c>
      <c r="B4723" t="str">
        <f t="shared" si="149"/>
        <v>7875997M5742IX-D</v>
      </c>
      <c r="C4723" s="1" t="s">
        <v>487</v>
      </c>
      <c r="D4723" s="1" t="s">
        <v>816</v>
      </c>
      <c r="E4723" s="1" t="s">
        <v>388</v>
      </c>
      <c r="F4723" s="1" t="s">
        <v>389</v>
      </c>
      <c r="G4723" s="1" t="s">
        <v>387</v>
      </c>
      <c r="H4723" s="1">
        <v>1224</v>
      </c>
      <c r="I4723" s="3">
        <v>46286</v>
      </c>
      <c r="L4723" s="31">
        <v>46286.58773086805</v>
      </c>
      <c r="M4723" s="20">
        <v>12</v>
      </c>
      <c r="N4723" s="1">
        <v>51</v>
      </c>
    </row>
    <row r="4724" spans="1:14" x14ac:dyDescent="0.25">
      <c r="A4724" t="str">
        <f t="shared" si="148"/>
        <v>78759977875997</v>
      </c>
      <c r="B4724" t="str">
        <f t="shared" si="149"/>
        <v>7875997M5742IX-D</v>
      </c>
      <c r="C4724" s="1" t="s">
        <v>487</v>
      </c>
      <c r="D4724" s="1" t="s">
        <v>816</v>
      </c>
      <c r="E4724" s="1" t="s">
        <v>388</v>
      </c>
      <c r="F4724" s="1" t="s">
        <v>389</v>
      </c>
      <c r="G4724" s="1" t="s">
        <v>387</v>
      </c>
      <c r="H4724" s="1">
        <v>1224</v>
      </c>
      <c r="I4724" s="3">
        <v>46286</v>
      </c>
      <c r="L4724" s="31">
        <v>46286.590726817129</v>
      </c>
      <c r="M4724" s="20">
        <v>12</v>
      </c>
      <c r="N4724" s="1">
        <v>37</v>
      </c>
    </row>
    <row r="4725" spans="1:14" x14ac:dyDescent="0.25">
      <c r="A4725" t="str">
        <f t="shared" si="148"/>
        <v>78759977875997</v>
      </c>
      <c r="B4725" t="str">
        <f t="shared" si="149"/>
        <v>7875997M5742IX-D</v>
      </c>
      <c r="C4725" s="1" t="s">
        <v>487</v>
      </c>
      <c r="D4725" s="1" t="s">
        <v>816</v>
      </c>
      <c r="E4725" s="1" t="s">
        <v>388</v>
      </c>
      <c r="F4725" s="1" t="s">
        <v>389</v>
      </c>
      <c r="G4725" s="1" t="s">
        <v>387</v>
      </c>
      <c r="H4725" s="1">
        <v>1224</v>
      </c>
      <c r="I4725" s="3">
        <v>46286</v>
      </c>
      <c r="L4725" s="31">
        <v>46286.605235300922</v>
      </c>
      <c r="M4725" s="20">
        <v>12</v>
      </c>
      <c r="N4725" s="1">
        <v>75</v>
      </c>
    </row>
    <row r="4726" spans="1:14" x14ac:dyDescent="0.25">
      <c r="A4726" t="str">
        <f t="shared" si="148"/>
        <v>78759977875997</v>
      </c>
      <c r="B4726" t="str">
        <f t="shared" si="149"/>
        <v>7875997M5742IX-D</v>
      </c>
      <c r="C4726" s="1" t="s">
        <v>487</v>
      </c>
      <c r="D4726" s="1" t="s">
        <v>816</v>
      </c>
      <c r="E4726" s="1" t="s">
        <v>388</v>
      </c>
      <c r="F4726" s="1" t="s">
        <v>389</v>
      </c>
      <c r="G4726" s="1" t="s">
        <v>387</v>
      </c>
      <c r="H4726" s="1">
        <v>1224</v>
      </c>
      <c r="I4726" s="3">
        <v>46286</v>
      </c>
      <c r="L4726" s="31">
        <v>46286.613511724536</v>
      </c>
      <c r="M4726" s="20">
        <v>12</v>
      </c>
      <c r="N4726" s="1">
        <v>64</v>
      </c>
    </row>
    <row r="4727" spans="1:14" x14ac:dyDescent="0.25">
      <c r="A4727" t="str">
        <f t="shared" si="148"/>
        <v>78759977875997</v>
      </c>
      <c r="B4727" t="str">
        <f t="shared" si="149"/>
        <v>7875997M5742IX-D</v>
      </c>
      <c r="C4727" s="1" t="s">
        <v>487</v>
      </c>
      <c r="D4727" s="1" t="s">
        <v>816</v>
      </c>
      <c r="E4727" s="1" t="s">
        <v>388</v>
      </c>
      <c r="F4727" s="1" t="s">
        <v>389</v>
      </c>
      <c r="G4727" s="1" t="s">
        <v>387</v>
      </c>
      <c r="H4727" s="1">
        <v>1224</v>
      </c>
      <c r="I4727" s="3">
        <v>46286</v>
      </c>
      <c r="L4727" s="31">
        <v>46286.618854247681</v>
      </c>
      <c r="M4727" s="20">
        <v>12</v>
      </c>
      <c r="N4727" s="1">
        <v>76</v>
      </c>
    </row>
    <row r="4728" spans="1:14" x14ac:dyDescent="0.25">
      <c r="A4728" t="str">
        <f t="shared" si="148"/>
        <v>78759977875997</v>
      </c>
      <c r="B4728" t="str">
        <f t="shared" si="149"/>
        <v>7875997M5742IX-D</v>
      </c>
      <c r="C4728" s="1" t="s">
        <v>487</v>
      </c>
      <c r="D4728" s="1" t="s">
        <v>816</v>
      </c>
      <c r="E4728" s="1" t="s">
        <v>388</v>
      </c>
      <c r="F4728" s="1" t="s">
        <v>389</v>
      </c>
      <c r="G4728" s="1" t="s">
        <v>387</v>
      </c>
      <c r="H4728" s="1">
        <v>1224</v>
      </c>
      <c r="I4728" s="3">
        <v>46286</v>
      </c>
      <c r="L4728" s="31">
        <v>46286.622648113422</v>
      </c>
      <c r="M4728" s="20">
        <v>12</v>
      </c>
      <c r="N4728" s="1">
        <v>27</v>
      </c>
    </row>
    <row r="4729" spans="1:14" x14ac:dyDescent="0.25">
      <c r="A4729" t="str">
        <f t="shared" si="148"/>
        <v>78759977875997</v>
      </c>
      <c r="B4729" t="str">
        <f t="shared" si="149"/>
        <v>7875997M5742IX-D</v>
      </c>
      <c r="C4729" s="1" t="s">
        <v>487</v>
      </c>
      <c r="D4729" s="1" t="s">
        <v>816</v>
      </c>
      <c r="E4729" s="1" t="s">
        <v>388</v>
      </c>
      <c r="F4729" s="1" t="s">
        <v>389</v>
      </c>
      <c r="G4729" s="1" t="s">
        <v>387</v>
      </c>
      <c r="H4729" s="1">
        <v>1224</v>
      </c>
      <c r="I4729" s="3">
        <v>46286</v>
      </c>
      <c r="L4729" s="31">
        <v>46286.625824803239</v>
      </c>
      <c r="M4729" s="20">
        <v>12</v>
      </c>
      <c r="N4729" s="1">
        <v>93</v>
      </c>
    </row>
    <row r="4730" spans="1:14" x14ac:dyDescent="0.25">
      <c r="A4730" t="str">
        <f t="shared" si="148"/>
        <v>78759977875997</v>
      </c>
      <c r="B4730" t="str">
        <f t="shared" si="149"/>
        <v>7875997M5742IX-D</v>
      </c>
      <c r="C4730" s="1" t="s">
        <v>487</v>
      </c>
      <c r="D4730" s="1" t="s">
        <v>816</v>
      </c>
      <c r="E4730" s="1" t="s">
        <v>388</v>
      </c>
      <c r="F4730" s="1" t="s">
        <v>389</v>
      </c>
      <c r="G4730" s="1" t="s">
        <v>387</v>
      </c>
      <c r="H4730" s="1">
        <v>1224</v>
      </c>
      <c r="I4730" s="3">
        <v>46286</v>
      </c>
      <c r="L4730" s="31">
        <v>46286.642768402773</v>
      </c>
      <c r="M4730" s="20">
        <v>12</v>
      </c>
      <c r="N4730" s="1">
        <v>83</v>
      </c>
    </row>
    <row r="4731" spans="1:14" x14ac:dyDescent="0.25">
      <c r="A4731" t="str">
        <f t="shared" si="148"/>
        <v>78759977875997</v>
      </c>
      <c r="B4731" t="str">
        <f t="shared" si="149"/>
        <v>7875997M5742IX-D</v>
      </c>
      <c r="C4731" s="1" t="s">
        <v>487</v>
      </c>
      <c r="D4731" s="1" t="s">
        <v>816</v>
      </c>
      <c r="E4731" s="1" t="s">
        <v>388</v>
      </c>
      <c r="F4731" s="1" t="s">
        <v>389</v>
      </c>
      <c r="G4731" s="1" t="s">
        <v>387</v>
      </c>
      <c r="H4731" s="1">
        <v>1224</v>
      </c>
      <c r="I4731" s="3">
        <v>46286</v>
      </c>
      <c r="L4731" s="31">
        <v>46286.650967905094</v>
      </c>
      <c r="M4731" s="20">
        <v>12</v>
      </c>
      <c r="N4731" s="1">
        <v>38</v>
      </c>
    </row>
    <row r="4732" spans="1:14" x14ac:dyDescent="0.25">
      <c r="A4732" t="str">
        <f t="shared" si="148"/>
        <v>78759977875997</v>
      </c>
      <c r="B4732" t="str">
        <f t="shared" si="149"/>
        <v>7875997M5742IX-D</v>
      </c>
      <c r="C4732" s="1" t="s">
        <v>487</v>
      </c>
      <c r="D4732" s="1" t="s">
        <v>816</v>
      </c>
      <c r="E4732" s="1" t="s">
        <v>388</v>
      </c>
      <c r="F4732" s="1" t="s">
        <v>389</v>
      </c>
      <c r="G4732" s="1" t="s">
        <v>387</v>
      </c>
      <c r="H4732" s="1">
        <v>1224</v>
      </c>
      <c r="I4732" s="3">
        <v>46286</v>
      </c>
      <c r="L4732" s="31">
        <v>46286.655888807865</v>
      </c>
      <c r="M4732" s="20">
        <v>12</v>
      </c>
      <c r="N4732" s="1">
        <v>77</v>
      </c>
    </row>
    <row r="4733" spans="1:14" x14ac:dyDescent="0.25">
      <c r="A4733" t="str">
        <f t="shared" si="148"/>
        <v>78759977875997</v>
      </c>
      <c r="B4733" t="str">
        <f t="shared" si="149"/>
        <v>7875997M5742IX-D</v>
      </c>
      <c r="C4733" s="1" t="s">
        <v>487</v>
      </c>
      <c r="D4733" s="1" t="s">
        <v>816</v>
      </c>
      <c r="E4733" s="1" t="s">
        <v>388</v>
      </c>
      <c r="F4733" s="1" t="s">
        <v>389</v>
      </c>
      <c r="G4733" s="1" t="s">
        <v>387</v>
      </c>
      <c r="H4733" s="1">
        <v>1224</v>
      </c>
      <c r="I4733" s="3">
        <v>46286</v>
      </c>
      <c r="L4733" s="31">
        <v>46286.658197719902</v>
      </c>
      <c r="M4733" s="20">
        <v>12</v>
      </c>
      <c r="N4733" s="1">
        <v>28</v>
      </c>
    </row>
    <row r="4734" spans="1:14" x14ac:dyDescent="0.25">
      <c r="A4734" t="str">
        <f t="shared" si="148"/>
        <v>78759977875997</v>
      </c>
      <c r="B4734" t="str">
        <f t="shared" si="149"/>
        <v>7875997M5742IX-D</v>
      </c>
      <c r="C4734" s="1" t="s">
        <v>487</v>
      </c>
      <c r="D4734" s="1" t="s">
        <v>816</v>
      </c>
      <c r="E4734" s="1" t="s">
        <v>388</v>
      </c>
      <c r="F4734" s="1" t="s">
        <v>389</v>
      </c>
      <c r="G4734" s="1" t="s">
        <v>387</v>
      </c>
      <c r="H4734" s="1">
        <v>1224</v>
      </c>
      <c r="I4734" s="3">
        <v>46286</v>
      </c>
      <c r="L4734" s="31">
        <v>46286.666724386574</v>
      </c>
      <c r="M4734" s="20">
        <v>12</v>
      </c>
      <c r="N4734" s="1">
        <v>39</v>
      </c>
    </row>
    <row r="4735" spans="1:14" x14ac:dyDescent="0.25">
      <c r="A4735" t="str">
        <f t="shared" si="148"/>
        <v>78759977875997</v>
      </c>
      <c r="B4735" t="str">
        <f t="shared" si="149"/>
        <v>7875997M5742IX-D</v>
      </c>
      <c r="C4735" s="1" t="s">
        <v>487</v>
      </c>
      <c r="D4735" s="1" t="s">
        <v>816</v>
      </c>
      <c r="E4735" s="1" t="s">
        <v>388</v>
      </c>
      <c r="F4735" s="1" t="s">
        <v>389</v>
      </c>
      <c r="G4735" s="1" t="s">
        <v>387</v>
      </c>
      <c r="H4735" s="1">
        <v>1224</v>
      </c>
      <c r="I4735" s="3">
        <v>46286</v>
      </c>
      <c r="L4735" s="31">
        <v>46286.670458877314</v>
      </c>
      <c r="M4735" s="20">
        <v>12</v>
      </c>
      <c r="N4735" s="1">
        <v>84</v>
      </c>
    </row>
    <row r="4736" spans="1:14" x14ac:dyDescent="0.25">
      <c r="A4736" t="str">
        <f t="shared" si="148"/>
        <v>78759977875997</v>
      </c>
      <c r="B4736" t="str">
        <f t="shared" si="149"/>
        <v>7875997M5742IX-D</v>
      </c>
      <c r="C4736" s="1" t="s">
        <v>487</v>
      </c>
      <c r="D4736" s="1" t="s">
        <v>816</v>
      </c>
      <c r="E4736" s="1" t="s">
        <v>388</v>
      </c>
      <c r="F4736" s="1" t="s">
        <v>389</v>
      </c>
      <c r="G4736" s="1" t="s">
        <v>387</v>
      </c>
      <c r="H4736" s="1">
        <v>1224</v>
      </c>
      <c r="I4736" s="3">
        <v>46286</v>
      </c>
      <c r="L4736" s="31">
        <v>46286.676326817127</v>
      </c>
      <c r="M4736" s="20">
        <v>12</v>
      </c>
      <c r="N4736" s="1">
        <v>65</v>
      </c>
    </row>
    <row r="4737" spans="1:14" x14ac:dyDescent="0.25">
      <c r="A4737" t="str">
        <f t="shared" si="148"/>
        <v>78759977875997</v>
      </c>
      <c r="B4737" t="str">
        <f t="shared" si="149"/>
        <v>7875997M5742IX-D</v>
      </c>
      <c r="C4737" s="1" t="s">
        <v>487</v>
      </c>
      <c r="D4737" s="1" t="s">
        <v>816</v>
      </c>
      <c r="E4737" s="1" t="s">
        <v>388</v>
      </c>
      <c r="F4737" s="1" t="s">
        <v>389</v>
      </c>
      <c r="G4737" s="1" t="s">
        <v>387</v>
      </c>
      <c r="H4737" s="1">
        <v>1224</v>
      </c>
      <c r="I4737" s="3">
        <v>46286</v>
      </c>
      <c r="L4737" s="31">
        <v>46286.677826967592</v>
      </c>
      <c r="M4737" s="20">
        <v>12</v>
      </c>
      <c r="N4737" s="1">
        <v>52</v>
      </c>
    </row>
    <row r="4738" spans="1:14" x14ac:dyDescent="0.25">
      <c r="A4738" t="str">
        <f t="shared" ref="A4738:A4801" si="150">+D4738&amp;D4738</f>
        <v>78759977875997</v>
      </c>
      <c r="B4738" t="str">
        <f t="shared" ref="B4738:B4801" si="151">+D4738&amp;C4738</f>
        <v>7875997M5742IX-D</v>
      </c>
      <c r="C4738" s="1" t="s">
        <v>487</v>
      </c>
      <c r="D4738" s="1" t="s">
        <v>816</v>
      </c>
      <c r="E4738" s="1" t="s">
        <v>388</v>
      </c>
      <c r="F4738" s="1" t="s">
        <v>389</v>
      </c>
      <c r="G4738" s="1" t="s">
        <v>387</v>
      </c>
      <c r="H4738" s="1">
        <v>1224</v>
      </c>
      <c r="I4738" s="3">
        <v>46286</v>
      </c>
      <c r="L4738" s="31">
        <v>46286.686078159721</v>
      </c>
      <c r="M4738" s="20">
        <v>12</v>
      </c>
      <c r="N4738" s="1">
        <v>41</v>
      </c>
    </row>
    <row r="4739" spans="1:14" x14ac:dyDescent="0.25">
      <c r="A4739" t="str">
        <f t="shared" si="150"/>
        <v>78759977875997</v>
      </c>
      <c r="B4739" t="str">
        <f t="shared" si="151"/>
        <v>7875997M5742IX-D</v>
      </c>
      <c r="C4739" s="1" t="s">
        <v>487</v>
      </c>
      <c r="D4739" s="1" t="s">
        <v>816</v>
      </c>
      <c r="E4739" s="1" t="s">
        <v>388</v>
      </c>
      <c r="F4739" s="1" t="s">
        <v>389</v>
      </c>
      <c r="G4739" s="1" t="s">
        <v>387</v>
      </c>
      <c r="H4739" s="1">
        <v>1224</v>
      </c>
      <c r="I4739" s="3">
        <v>46286</v>
      </c>
      <c r="L4739" s="31">
        <v>46286.686323958333</v>
      </c>
      <c r="M4739" s="20">
        <v>12</v>
      </c>
      <c r="N4739" s="1">
        <v>66</v>
      </c>
    </row>
    <row r="4740" spans="1:14" x14ac:dyDescent="0.25">
      <c r="A4740" t="str">
        <f t="shared" si="150"/>
        <v>78759977875997</v>
      </c>
      <c r="B4740" t="str">
        <f t="shared" si="151"/>
        <v>7875997M5742IX-D</v>
      </c>
      <c r="C4740" s="1" t="s">
        <v>487</v>
      </c>
      <c r="D4740" s="1" t="s">
        <v>816</v>
      </c>
      <c r="E4740" s="1" t="s">
        <v>388</v>
      </c>
      <c r="F4740" s="1" t="s">
        <v>389</v>
      </c>
      <c r="G4740" s="1" t="s">
        <v>387</v>
      </c>
      <c r="H4740" s="1">
        <v>1224</v>
      </c>
      <c r="I4740" s="3">
        <v>46286</v>
      </c>
      <c r="L4740" s="31">
        <v>46286.687436030094</v>
      </c>
      <c r="M4740" s="20">
        <v>12</v>
      </c>
      <c r="N4740" s="1">
        <v>53</v>
      </c>
    </row>
    <row r="4741" spans="1:14" x14ac:dyDescent="0.25">
      <c r="A4741" t="str">
        <f t="shared" si="150"/>
        <v>78759977875997</v>
      </c>
      <c r="B4741" t="str">
        <f t="shared" si="151"/>
        <v>7875997M5742IX-D</v>
      </c>
      <c r="C4741" s="1" t="s">
        <v>487</v>
      </c>
      <c r="D4741" s="1" t="s">
        <v>816</v>
      </c>
      <c r="E4741" s="1" t="s">
        <v>388</v>
      </c>
      <c r="F4741" s="1" t="s">
        <v>389</v>
      </c>
      <c r="G4741" s="1" t="s">
        <v>387</v>
      </c>
      <c r="H4741" s="1">
        <v>1224</v>
      </c>
      <c r="I4741" s="3">
        <v>46286</v>
      </c>
      <c r="L4741" s="31">
        <v>46286.695026817128</v>
      </c>
      <c r="M4741" s="20">
        <v>12</v>
      </c>
      <c r="N4741" s="1">
        <v>78</v>
      </c>
    </row>
    <row r="4742" spans="1:14" x14ac:dyDescent="0.25">
      <c r="A4742" t="str">
        <f t="shared" si="150"/>
        <v>78759977875997</v>
      </c>
      <c r="B4742" t="str">
        <f t="shared" si="151"/>
        <v>7875997M5742IX-D</v>
      </c>
      <c r="C4742" s="1" t="s">
        <v>487</v>
      </c>
      <c r="D4742" s="1" t="s">
        <v>816</v>
      </c>
      <c r="E4742" s="1" t="s">
        <v>388</v>
      </c>
      <c r="F4742" s="1" t="s">
        <v>389</v>
      </c>
      <c r="G4742" s="1" t="s">
        <v>387</v>
      </c>
      <c r="H4742" s="1">
        <v>1224</v>
      </c>
      <c r="I4742" s="3">
        <v>46286</v>
      </c>
      <c r="L4742" s="31">
        <v>46286.698204479166</v>
      </c>
      <c r="M4742" s="20">
        <v>12</v>
      </c>
      <c r="N4742" s="1">
        <v>40</v>
      </c>
    </row>
    <row r="4743" spans="1:14" x14ac:dyDescent="0.25">
      <c r="A4743" t="str">
        <f t="shared" si="150"/>
        <v>78759977875997</v>
      </c>
      <c r="B4743" t="str">
        <f t="shared" si="151"/>
        <v>7875997M5742IX-D</v>
      </c>
      <c r="C4743" s="1" t="s">
        <v>487</v>
      </c>
      <c r="D4743" s="1" t="s">
        <v>816</v>
      </c>
      <c r="E4743" s="1" t="s">
        <v>388</v>
      </c>
      <c r="F4743" s="1" t="s">
        <v>389</v>
      </c>
      <c r="G4743" s="1" t="s">
        <v>387</v>
      </c>
      <c r="H4743" s="1">
        <v>1224</v>
      </c>
      <c r="I4743" s="3">
        <v>46286</v>
      </c>
      <c r="L4743" s="31">
        <v>46286.700590196757</v>
      </c>
      <c r="M4743" s="20">
        <v>12</v>
      </c>
      <c r="N4743" s="1">
        <v>67</v>
      </c>
    </row>
    <row r="4744" spans="1:14" x14ac:dyDescent="0.25">
      <c r="A4744" t="str">
        <f t="shared" si="150"/>
        <v>78759977875997</v>
      </c>
      <c r="B4744" t="str">
        <f t="shared" si="151"/>
        <v>7875997M5742IX-D</v>
      </c>
      <c r="C4744" s="1" t="s">
        <v>487</v>
      </c>
      <c r="D4744" s="1" t="s">
        <v>816</v>
      </c>
      <c r="E4744" s="1" t="s">
        <v>388</v>
      </c>
      <c r="F4744" s="1" t="s">
        <v>389</v>
      </c>
      <c r="G4744" s="1" t="s">
        <v>387</v>
      </c>
      <c r="H4744" s="1">
        <v>1224</v>
      </c>
      <c r="I4744" s="3">
        <v>46286</v>
      </c>
      <c r="L4744" s="31">
        <v>46286.718410532405</v>
      </c>
      <c r="M4744" s="20">
        <v>12</v>
      </c>
      <c r="N4744" s="1">
        <v>20</v>
      </c>
    </row>
    <row r="4745" spans="1:14" x14ac:dyDescent="0.25">
      <c r="A4745" t="str">
        <f t="shared" si="150"/>
        <v>78759977875997</v>
      </c>
      <c r="B4745" t="str">
        <f t="shared" si="151"/>
        <v>7875997M5742IX-D</v>
      </c>
      <c r="C4745" s="1" t="s">
        <v>487</v>
      </c>
      <c r="D4745" s="1" t="s">
        <v>816</v>
      </c>
      <c r="E4745" s="1" t="s">
        <v>388</v>
      </c>
      <c r="F4745" s="1" t="s">
        <v>389</v>
      </c>
      <c r="G4745" s="1" t="s">
        <v>387</v>
      </c>
      <c r="H4745" s="1">
        <v>1224</v>
      </c>
      <c r="I4745" s="3">
        <v>46286</v>
      </c>
      <c r="L4745" s="31">
        <v>46286.722647685187</v>
      </c>
      <c r="M4745" s="20">
        <v>12</v>
      </c>
      <c r="N4745" s="1">
        <v>54</v>
      </c>
    </row>
    <row r="4746" spans="1:14" x14ac:dyDescent="0.25">
      <c r="A4746" t="str">
        <f t="shared" si="150"/>
        <v>78759977875997</v>
      </c>
      <c r="B4746" t="str">
        <f t="shared" si="151"/>
        <v>7875997M5742IX-D</v>
      </c>
      <c r="C4746" s="1" t="s">
        <v>487</v>
      </c>
      <c r="D4746" s="1" t="s">
        <v>816</v>
      </c>
      <c r="E4746" s="1" t="s">
        <v>388</v>
      </c>
      <c r="F4746" s="1" t="s">
        <v>389</v>
      </c>
      <c r="G4746" s="1" t="s">
        <v>387</v>
      </c>
      <c r="H4746" s="1">
        <v>1224</v>
      </c>
      <c r="I4746" s="3">
        <v>46286</v>
      </c>
      <c r="L4746" s="31">
        <v>46286.724254432869</v>
      </c>
      <c r="M4746" s="20">
        <v>12</v>
      </c>
      <c r="N4746" s="1">
        <v>19</v>
      </c>
    </row>
    <row r="4747" spans="1:14" x14ac:dyDescent="0.25">
      <c r="A4747" t="str">
        <f t="shared" si="150"/>
        <v>78759977875997</v>
      </c>
      <c r="B4747" t="str">
        <f t="shared" si="151"/>
        <v>7875997M5742IX-D</v>
      </c>
      <c r="C4747" s="1" t="s">
        <v>487</v>
      </c>
      <c r="D4747" s="1" t="s">
        <v>816</v>
      </c>
      <c r="E4747" s="1" t="s">
        <v>388</v>
      </c>
      <c r="F4747" s="1" t="s">
        <v>389</v>
      </c>
      <c r="G4747" s="1" t="s">
        <v>387</v>
      </c>
      <c r="H4747" s="1">
        <v>1224</v>
      </c>
      <c r="I4747" s="3">
        <v>46286</v>
      </c>
      <c r="L4747" s="31">
        <v>46286.724574224536</v>
      </c>
      <c r="M4747" s="20">
        <v>12</v>
      </c>
      <c r="N4747" s="1">
        <v>43</v>
      </c>
    </row>
    <row r="4748" spans="1:14" x14ac:dyDescent="0.25">
      <c r="A4748" t="str">
        <f t="shared" si="150"/>
        <v>78759977875997</v>
      </c>
      <c r="B4748" t="str">
        <f t="shared" si="151"/>
        <v>7875997M5742IX-D</v>
      </c>
      <c r="C4748" s="1" t="s">
        <v>487</v>
      </c>
      <c r="D4748" s="1" t="s">
        <v>816</v>
      </c>
      <c r="E4748" s="1" t="s">
        <v>388</v>
      </c>
      <c r="F4748" s="1" t="s">
        <v>389</v>
      </c>
      <c r="G4748" s="1" t="s">
        <v>387</v>
      </c>
      <c r="H4748" s="1">
        <v>1224</v>
      </c>
      <c r="I4748" s="3">
        <v>46286</v>
      </c>
      <c r="L4748" s="31">
        <v>46286.724894409723</v>
      </c>
      <c r="M4748" s="20">
        <v>12</v>
      </c>
      <c r="N4748" s="1">
        <v>29</v>
      </c>
    </row>
    <row r="4749" spans="1:14" x14ac:dyDescent="0.25">
      <c r="A4749" t="str">
        <f t="shared" si="150"/>
        <v>78759977875997</v>
      </c>
      <c r="B4749" t="str">
        <f t="shared" si="151"/>
        <v>7875997M5742IX-D</v>
      </c>
      <c r="C4749" s="1" t="s">
        <v>487</v>
      </c>
      <c r="D4749" s="1" t="s">
        <v>816</v>
      </c>
      <c r="E4749" s="1" t="s">
        <v>388</v>
      </c>
      <c r="F4749" s="1" t="s">
        <v>389</v>
      </c>
      <c r="G4749" s="1" t="s">
        <v>387</v>
      </c>
      <c r="H4749" s="1">
        <v>1224</v>
      </c>
      <c r="I4749" s="3">
        <v>46286</v>
      </c>
      <c r="L4749" s="31">
        <v>46286.72515795139</v>
      </c>
      <c r="M4749" s="20">
        <v>12</v>
      </c>
      <c r="N4749" s="1">
        <v>89</v>
      </c>
    </row>
    <row r="4750" spans="1:14" x14ac:dyDescent="0.25">
      <c r="A4750" t="str">
        <f t="shared" si="150"/>
        <v>78759977875997</v>
      </c>
      <c r="B4750" t="str">
        <f t="shared" si="151"/>
        <v>7875997M5742IX-D</v>
      </c>
      <c r="C4750" s="1" t="s">
        <v>487</v>
      </c>
      <c r="D4750" s="1" t="s">
        <v>816</v>
      </c>
      <c r="E4750" s="1" t="s">
        <v>388</v>
      </c>
      <c r="F4750" s="1" t="s">
        <v>389</v>
      </c>
      <c r="G4750" s="1" t="s">
        <v>387</v>
      </c>
      <c r="H4750" s="1">
        <v>1224</v>
      </c>
      <c r="I4750" s="3">
        <v>46286</v>
      </c>
      <c r="L4750" s="31">
        <v>46286.725750810183</v>
      </c>
      <c r="M4750" s="20">
        <v>12</v>
      </c>
      <c r="N4750" s="1">
        <v>13</v>
      </c>
    </row>
    <row r="4751" spans="1:14" x14ac:dyDescent="0.25">
      <c r="A4751" t="str">
        <f t="shared" si="150"/>
        <v>78759977875997</v>
      </c>
      <c r="B4751" t="str">
        <f t="shared" si="151"/>
        <v>7875997M5742IX-D</v>
      </c>
      <c r="C4751" s="1" t="s">
        <v>487</v>
      </c>
      <c r="D4751" s="1" t="s">
        <v>816</v>
      </c>
      <c r="E4751" s="1" t="s">
        <v>388</v>
      </c>
      <c r="F4751" s="1" t="s">
        <v>389</v>
      </c>
      <c r="G4751" s="1" t="s">
        <v>387</v>
      </c>
      <c r="H4751" s="1">
        <v>1224</v>
      </c>
      <c r="I4751" s="3">
        <v>46286</v>
      </c>
      <c r="L4751" s="31">
        <v>46286.733297916668</v>
      </c>
      <c r="M4751" s="20">
        <v>12</v>
      </c>
      <c r="N4751" s="1">
        <v>44</v>
      </c>
    </row>
    <row r="4752" spans="1:14" x14ac:dyDescent="0.25">
      <c r="A4752" t="str">
        <f t="shared" si="150"/>
        <v>78759977875997</v>
      </c>
      <c r="B4752" t="str">
        <f t="shared" si="151"/>
        <v>7875997M5742IX-D</v>
      </c>
      <c r="C4752" s="1" t="s">
        <v>487</v>
      </c>
      <c r="D4752" s="1" t="s">
        <v>816</v>
      </c>
      <c r="E4752" s="1" t="s">
        <v>388</v>
      </c>
      <c r="F4752" s="1" t="s">
        <v>389</v>
      </c>
      <c r="G4752" s="1" t="s">
        <v>387</v>
      </c>
      <c r="H4752" s="1">
        <v>1224</v>
      </c>
      <c r="I4752" s="3">
        <v>46286</v>
      </c>
      <c r="L4752" s="31">
        <v>46286.734191053241</v>
      </c>
      <c r="M4752" s="20">
        <v>12</v>
      </c>
      <c r="N4752" s="1">
        <v>90</v>
      </c>
    </row>
    <row r="4753" spans="1:14" x14ac:dyDescent="0.25">
      <c r="A4753" t="str">
        <f t="shared" si="150"/>
        <v>78759977875997</v>
      </c>
      <c r="B4753" t="str">
        <f t="shared" si="151"/>
        <v>7875997M5742IX-D</v>
      </c>
      <c r="C4753" s="1" t="s">
        <v>487</v>
      </c>
      <c r="D4753" s="1" t="s">
        <v>816</v>
      </c>
      <c r="E4753" s="1" t="s">
        <v>388</v>
      </c>
      <c r="F4753" s="1" t="s">
        <v>389</v>
      </c>
      <c r="G4753" s="1" t="s">
        <v>387</v>
      </c>
      <c r="H4753" s="1">
        <v>1224</v>
      </c>
      <c r="I4753" s="3">
        <v>46286</v>
      </c>
      <c r="L4753" s="31">
        <v>46286.750078124998</v>
      </c>
      <c r="M4753" s="20">
        <v>12</v>
      </c>
      <c r="N4753" s="1">
        <v>94</v>
      </c>
    </row>
    <row r="4754" spans="1:14" x14ac:dyDescent="0.25">
      <c r="A4754" t="str">
        <f t="shared" si="150"/>
        <v>78759977875997</v>
      </c>
      <c r="B4754" t="str">
        <f t="shared" si="151"/>
        <v>7875997M5742IX-D</v>
      </c>
      <c r="C4754" s="1" t="s">
        <v>487</v>
      </c>
      <c r="D4754" s="1" t="s">
        <v>816</v>
      </c>
      <c r="E4754" s="1" t="s">
        <v>388</v>
      </c>
      <c r="F4754" s="1" t="s">
        <v>389</v>
      </c>
      <c r="G4754" s="1" t="s">
        <v>387</v>
      </c>
      <c r="H4754" s="1">
        <v>1224</v>
      </c>
      <c r="I4754" s="3">
        <v>46286</v>
      </c>
      <c r="L4754" s="31">
        <v>46286.751614930552</v>
      </c>
      <c r="M4754" s="20">
        <v>12</v>
      </c>
      <c r="N4754" s="1">
        <v>55</v>
      </c>
    </row>
    <row r="4755" spans="1:14" x14ac:dyDescent="0.25">
      <c r="A4755" t="str">
        <f t="shared" si="150"/>
        <v>78759977875997</v>
      </c>
      <c r="B4755" t="str">
        <f t="shared" si="151"/>
        <v>7875997M5742IX-D</v>
      </c>
      <c r="C4755" s="1" t="s">
        <v>487</v>
      </c>
      <c r="D4755" s="1" t="s">
        <v>816</v>
      </c>
      <c r="E4755" s="1" t="s">
        <v>388</v>
      </c>
      <c r="F4755" s="1" t="s">
        <v>389</v>
      </c>
      <c r="G4755" s="1" t="s">
        <v>387</v>
      </c>
      <c r="H4755" s="1">
        <v>1224</v>
      </c>
      <c r="I4755" s="3">
        <v>46286</v>
      </c>
      <c r="L4755" s="31">
        <v>46286.75246142361</v>
      </c>
      <c r="M4755" s="20">
        <v>12</v>
      </c>
      <c r="N4755" s="1">
        <v>45</v>
      </c>
    </row>
    <row r="4756" spans="1:14" x14ac:dyDescent="0.25">
      <c r="A4756" t="str">
        <f t="shared" si="150"/>
        <v>78803367880336</v>
      </c>
      <c r="B4756" t="str">
        <f t="shared" si="151"/>
        <v>7880336CM997HCB-D</v>
      </c>
      <c r="C4756" s="1" t="s">
        <v>804</v>
      </c>
      <c r="D4756" s="1" t="s">
        <v>805</v>
      </c>
      <c r="E4756" s="1" t="s">
        <v>388</v>
      </c>
      <c r="F4756" s="1" t="s">
        <v>389</v>
      </c>
      <c r="G4756" s="1" t="s">
        <v>387</v>
      </c>
      <c r="H4756" s="1">
        <v>144</v>
      </c>
      <c r="I4756" s="3">
        <v>46286</v>
      </c>
      <c r="J4756" s="3">
        <v>46289</v>
      </c>
      <c r="K4756" s="3" t="s">
        <v>2374</v>
      </c>
      <c r="L4756" s="31">
        <v>46286.481681979167</v>
      </c>
      <c r="M4756" s="20">
        <v>12</v>
      </c>
      <c r="N4756" s="1">
        <v>3</v>
      </c>
    </row>
    <row r="4757" spans="1:14" x14ac:dyDescent="0.25">
      <c r="A4757" t="str">
        <f t="shared" si="150"/>
        <v>78803367880336</v>
      </c>
      <c r="B4757" t="str">
        <f t="shared" si="151"/>
        <v>7880336CM997HCB-D</v>
      </c>
      <c r="C4757" s="1" t="s">
        <v>804</v>
      </c>
      <c r="D4757" s="1" t="s">
        <v>805</v>
      </c>
      <c r="E4757" s="1" t="s">
        <v>388</v>
      </c>
      <c r="F4757" s="1" t="s">
        <v>389</v>
      </c>
      <c r="G4757" s="1" t="s">
        <v>387</v>
      </c>
      <c r="H4757" s="1">
        <v>144</v>
      </c>
      <c r="I4757" s="3">
        <v>46286</v>
      </c>
      <c r="J4757" s="3">
        <v>46289</v>
      </c>
      <c r="K4757" s="3" t="s">
        <v>2374</v>
      </c>
      <c r="L4757" s="31">
        <v>46286.562146956014</v>
      </c>
      <c r="M4757" s="20">
        <v>6</v>
      </c>
      <c r="N4757" s="1">
        <v>16</v>
      </c>
    </row>
    <row r="4758" spans="1:14" x14ac:dyDescent="0.25">
      <c r="A4758" t="str">
        <f t="shared" si="150"/>
        <v>78803367880336</v>
      </c>
      <c r="B4758" t="str">
        <f t="shared" si="151"/>
        <v>7880336CM997HCB-D</v>
      </c>
      <c r="C4758" s="1" t="s">
        <v>804</v>
      </c>
      <c r="D4758" s="1" t="s">
        <v>805</v>
      </c>
      <c r="E4758" s="1" t="s">
        <v>388</v>
      </c>
      <c r="F4758" s="1" t="s">
        <v>389</v>
      </c>
      <c r="G4758" s="1" t="s">
        <v>387</v>
      </c>
      <c r="H4758" s="1">
        <v>144</v>
      </c>
      <c r="I4758" s="3">
        <v>46286</v>
      </c>
      <c r="J4758" s="3">
        <v>46289</v>
      </c>
      <c r="K4758" s="3" t="s">
        <v>2374</v>
      </c>
      <c r="L4758" s="31">
        <v>46286.573417627311</v>
      </c>
      <c r="M4758" s="20">
        <v>12</v>
      </c>
      <c r="N4758" s="1">
        <v>6</v>
      </c>
    </row>
    <row r="4759" spans="1:14" x14ac:dyDescent="0.25">
      <c r="A4759" t="str">
        <f t="shared" si="150"/>
        <v>78803367880336</v>
      </c>
      <c r="B4759" t="str">
        <f t="shared" si="151"/>
        <v>7880336CM997HCB-D</v>
      </c>
      <c r="C4759" s="1" t="s">
        <v>804</v>
      </c>
      <c r="D4759" s="1" t="s">
        <v>805</v>
      </c>
      <c r="E4759" s="1" t="s">
        <v>388</v>
      </c>
      <c r="F4759" s="1" t="s">
        <v>389</v>
      </c>
      <c r="G4759" s="1" t="s">
        <v>387</v>
      </c>
      <c r="H4759" s="1">
        <v>144</v>
      </c>
      <c r="I4759" s="3">
        <v>46286</v>
      </c>
      <c r="J4759" s="3">
        <v>46289</v>
      </c>
      <c r="K4759" s="3" t="s">
        <v>2374</v>
      </c>
      <c r="L4759" s="31">
        <v>46286.607382870367</v>
      </c>
      <c r="M4759" s="20">
        <v>12</v>
      </c>
      <c r="N4759" s="1">
        <v>5</v>
      </c>
    </row>
    <row r="4760" spans="1:14" x14ac:dyDescent="0.25">
      <c r="A4760" t="str">
        <f t="shared" si="150"/>
        <v>78803367880336</v>
      </c>
      <c r="B4760" t="str">
        <f t="shared" si="151"/>
        <v>7880336CM997HCB-D</v>
      </c>
      <c r="C4760" s="1" t="s">
        <v>804</v>
      </c>
      <c r="D4760" s="1" t="s">
        <v>805</v>
      </c>
      <c r="E4760" s="1" t="s">
        <v>388</v>
      </c>
      <c r="F4760" s="1" t="s">
        <v>389</v>
      </c>
      <c r="G4760" s="1" t="s">
        <v>387</v>
      </c>
      <c r="H4760" s="1">
        <v>144</v>
      </c>
      <c r="I4760" s="3">
        <v>46286</v>
      </c>
      <c r="J4760" s="3">
        <v>46289</v>
      </c>
      <c r="K4760" s="3" t="s">
        <v>2374</v>
      </c>
      <c r="L4760" s="31">
        <v>46286.633522222219</v>
      </c>
      <c r="M4760" s="20">
        <v>6</v>
      </c>
      <c r="N4760" s="1">
        <v>12</v>
      </c>
    </row>
    <row r="4761" spans="1:14" x14ac:dyDescent="0.25">
      <c r="A4761" t="str">
        <f t="shared" si="150"/>
        <v>78803367880336</v>
      </c>
      <c r="B4761" t="str">
        <f t="shared" si="151"/>
        <v>7880336CM997HCB-D</v>
      </c>
      <c r="C4761" s="1" t="s">
        <v>804</v>
      </c>
      <c r="D4761" s="1" t="s">
        <v>805</v>
      </c>
      <c r="E4761" s="1" t="s">
        <v>388</v>
      </c>
      <c r="F4761" s="1" t="s">
        <v>389</v>
      </c>
      <c r="G4761" s="1" t="s">
        <v>387</v>
      </c>
      <c r="H4761" s="1">
        <v>144</v>
      </c>
      <c r="I4761" s="3">
        <v>46286</v>
      </c>
      <c r="J4761" s="3">
        <v>46289</v>
      </c>
      <c r="K4761" s="3" t="s">
        <v>2374</v>
      </c>
      <c r="L4761" s="31">
        <v>46286.637499999997</v>
      </c>
      <c r="M4761" s="20">
        <v>12</v>
      </c>
      <c r="N4761" s="1">
        <v>7</v>
      </c>
    </row>
    <row r="4762" spans="1:14" x14ac:dyDescent="0.25">
      <c r="A4762" t="str">
        <f t="shared" si="150"/>
        <v>78803367880336</v>
      </c>
      <c r="B4762" t="str">
        <f t="shared" si="151"/>
        <v>7880336CM997HCB-D</v>
      </c>
      <c r="C4762" s="1" t="s">
        <v>804</v>
      </c>
      <c r="D4762" s="1" t="s">
        <v>805</v>
      </c>
      <c r="E4762" s="1" t="s">
        <v>388</v>
      </c>
      <c r="F4762" s="1" t="s">
        <v>389</v>
      </c>
      <c r="G4762" s="1" t="s">
        <v>387</v>
      </c>
      <c r="H4762" s="1">
        <v>144</v>
      </c>
      <c r="I4762" s="3">
        <v>46286</v>
      </c>
      <c r="J4762" s="3">
        <v>46289</v>
      </c>
      <c r="K4762" s="3" t="s">
        <v>2374</v>
      </c>
      <c r="L4762" s="31">
        <v>46286.637696608792</v>
      </c>
      <c r="M4762" s="20">
        <v>12</v>
      </c>
      <c r="N4762" s="1">
        <v>8</v>
      </c>
    </row>
    <row r="4763" spans="1:14" x14ac:dyDescent="0.25">
      <c r="A4763" t="str">
        <f t="shared" si="150"/>
        <v>78803367880336</v>
      </c>
      <c r="B4763" t="str">
        <f t="shared" si="151"/>
        <v>7880336CM997HCB-D</v>
      </c>
      <c r="C4763" s="1" t="s">
        <v>804</v>
      </c>
      <c r="D4763" s="1" t="s">
        <v>805</v>
      </c>
      <c r="E4763" s="1" t="s">
        <v>388</v>
      </c>
      <c r="F4763" s="1" t="s">
        <v>389</v>
      </c>
      <c r="G4763" s="1" t="s">
        <v>387</v>
      </c>
      <c r="H4763" s="1">
        <v>144</v>
      </c>
      <c r="I4763" s="3">
        <v>46286</v>
      </c>
      <c r="J4763" s="3">
        <v>46289</v>
      </c>
      <c r="K4763" s="3" t="s">
        <v>2374</v>
      </c>
      <c r="L4763" s="31">
        <v>46286.64175081018</v>
      </c>
      <c r="M4763" s="20">
        <v>6</v>
      </c>
      <c r="N4763" s="1">
        <v>9</v>
      </c>
    </row>
    <row r="4764" spans="1:14" x14ac:dyDescent="0.25">
      <c r="A4764" t="str">
        <f t="shared" si="150"/>
        <v>78803367880336</v>
      </c>
      <c r="B4764" t="str">
        <f t="shared" si="151"/>
        <v>7880336CM997HCB-D</v>
      </c>
      <c r="C4764" s="1" t="s">
        <v>804</v>
      </c>
      <c r="D4764" s="1" t="s">
        <v>805</v>
      </c>
      <c r="E4764" s="1" t="s">
        <v>388</v>
      </c>
      <c r="F4764" s="1" t="s">
        <v>389</v>
      </c>
      <c r="G4764" s="1" t="s">
        <v>387</v>
      </c>
      <c r="H4764" s="1">
        <v>144</v>
      </c>
      <c r="I4764" s="3">
        <v>46286</v>
      </c>
      <c r="J4764" s="3">
        <v>46289</v>
      </c>
      <c r="K4764" s="3" t="s">
        <v>2374</v>
      </c>
      <c r="L4764" s="31">
        <v>46286.642174849534</v>
      </c>
      <c r="M4764" s="20">
        <v>6</v>
      </c>
      <c r="N4764" s="1">
        <v>15</v>
      </c>
    </row>
    <row r="4765" spans="1:14" x14ac:dyDescent="0.25">
      <c r="A4765" t="str">
        <f t="shared" si="150"/>
        <v>78803367880336</v>
      </c>
      <c r="B4765" t="str">
        <f t="shared" si="151"/>
        <v>7880336CM997HCB-D</v>
      </c>
      <c r="C4765" s="1" t="s">
        <v>804</v>
      </c>
      <c r="D4765" s="1" t="s">
        <v>805</v>
      </c>
      <c r="E4765" s="1" t="s">
        <v>388</v>
      </c>
      <c r="F4765" s="1" t="s">
        <v>389</v>
      </c>
      <c r="G4765" s="1" t="s">
        <v>387</v>
      </c>
      <c r="H4765" s="1">
        <v>144</v>
      </c>
      <c r="I4765" s="3">
        <v>46286</v>
      </c>
      <c r="J4765" s="3">
        <v>46289</v>
      </c>
      <c r="K4765" s="3" t="s">
        <v>2374</v>
      </c>
      <c r="L4765" s="31">
        <v>46286.650676851852</v>
      </c>
      <c r="M4765" s="20">
        <v>6</v>
      </c>
      <c r="N4765" s="1">
        <v>10</v>
      </c>
    </row>
    <row r="4766" spans="1:14" x14ac:dyDescent="0.25">
      <c r="A4766" t="str">
        <f t="shared" si="150"/>
        <v>78803367880336</v>
      </c>
      <c r="B4766" t="str">
        <f t="shared" si="151"/>
        <v>7880336CM997HCB-D</v>
      </c>
      <c r="C4766" s="1" t="s">
        <v>804</v>
      </c>
      <c r="D4766" s="1" t="s">
        <v>805</v>
      </c>
      <c r="E4766" s="1" t="s">
        <v>388</v>
      </c>
      <c r="F4766" s="1" t="s">
        <v>389</v>
      </c>
      <c r="G4766" s="1" t="s">
        <v>387</v>
      </c>
      <c r="H4766" s="1">
        <v>144</v>
      </c>
      <c r="I4766" s="3">
        <v>46286</v>
      </c>
      <c r="J4766" s="3">
        <v>46289</v>
      </c>
      <c r="K4766" s="3" t="s">
        <v>2374</v>
      </c>
      <c r="L4766" s="31">
        <v>46286.737559606481</v>
      </c>
      <c r="M4766" s="20">
        <v>12</v>
      </c>
      <c r="N4766" s="1">
        <v>1</v>
      </c>
    </row>
    <row r="4767" spans="1:14" x14ac:dyDescent="0.25">
      <c r="A4767" t="str">
        <f t="shared" si="150"/>
        <v>78803367880336</v>
      </c>
      <c r="B4767" t="str">
        <f t="shared" si="151"/>
        <v>7880336CM997HCB-D</v>
      </c>
      <c r="C4767" s="1" t="s">
        <v>804</v>
      </c>
      <c r="D4767" s="1" t="s">
        <v>805</v>
      </c>
      <c r="E4767" s="1" t="s">
        <v>388</v>
      </c>
      <c r="F4767" s="1" t="s">
        <v>389</v>
      </c>
      <c r="G4767" s="1" t="s">
        <v>387</v>
      </c>
      <c r="H4767" s="1">
        <v>144</v>
      </c>
      <c r="I4767" s="3">
        <v>46286</v>
      </c>
      <c r="J4767" s="3">
        <v>46289</v>
      </c>
      <c r="K4767" s="3" t="s">
        <v>2374</v>
      </c>
      <c r="L4767" s="31">
        <v>46286.745532789348</v>
      </c>
      <c r="M4767" s="20">
        <v>6</v>
      </c>
      <c r="N4767" s="1">
        <v>13</v>
      </c>
    </row>
    <row r="4768" spans="1:14" x14ac:dyDescent="0.25">
      <c r="A4768" t="str">
        <f t="shared" si="150"/>
        <v>78808687880868</v>
      </c>
      <c r="B4768" t="str">
        <f t="shared" si="151"/>
        <v>7880868GC9060LL-M</v>
      </c>
      <c r="C4768" s="1" t="s">
        <v>55</v>
      </c>
      <c r="D4768" s="1" t="s">
        <v>825</v>
      </c>
      <c r="E4768" s="1" t="s">
        <v>388</v>
      </c>
      <c r="F4768" s="1" t="s">
        <v>389</v>
      </c>
      <c r="G4768" s="1" t="s">
        <v>387</v>
      </c>
      <c r="H4768" s="1">
        <v>2004</v>
      </c>
      <c r="I4768" s="3">
        <v>46286</v>
      </c>
      <c r="L4768" s="31">
        <v>46286.651491122684</v>
      </c>
      <c r="M4768" s="20">
        <v>12</v>
      </c>
      <c r="N4768" s="1">
        <v>89</v>
      </c>
    </row>
    <row r="4769" spans="1:14" x14ac:dyDescent="0.25">
      <c r="A4769" t="str">
        <f t="shared" si="150"/>
        <v>78808687880868</v>
      </c>
      <c r="B4769" t="str">
        <f t="shared" si="151"/>
        <v>7880868GC9060LL-M</v>
      </c>
      <c r="C4769" s="1" t="s">
        <v>55</v>
      </c>
      <c r="D4769" s="1" t="s">
        <v>825</v>
      </c>
      <c r="E4769" s="1" t="s">
        <v>388</v>
      </c>
      <c r="F4769" s="1" t="s">
        <v>389</v>
      </c>
      <c r="G4769" s="1" t="s">
        <v>387</v>
      </c>
      <c r="H4769" s="1">
        <v>2004</v>
      </c>
      <c r="I4769" s="3">
        <v>46286</v>
      </c>
      <c r="L4769" s="31">
        <v>46286.663632870368</v>
      </c>
      <c r="M4769" s="20">
        <v>12</v>
      </c>
      <c r="N4769" s="1">
        <v>113</v>
      </c>
    </row>
    <row r="4770" spans="1:14" x14ac:dyDescent="0.25">
      <c r="A4770" t="str">
        <f t="shared" si="150"/>
        <v>78808687880868</v>
      </c>
      <c r="B4770" t="str">
        <f t="shared" si="151"/>
        <v>7880868GC9060LL-M</v>
      </c>
      <c r="C4770" s="1" t="s">
        <v>55</v>
      </c>
      <c r="D4770" s="1" t="s">
        <v>825</v>
      </c>
      <c r="E4770" s="1" t="s">
        <v>388</v>
      </c>
      <c r="F4770" s="1" t="s">
        <v>389</v>
      </c>
      <c r="G4770" s="1" t="s">
        <v>387</v>
      </c>
      <c r="H4770" s="1">
        <v>2004</v>
      </c>
      <c r="I4770" s="3">
        <v>46286</v>
      </c>
      <c r="L4770" s="31">
        <v>46286.664635879628</v>
      </c>
      <c r="M4770" s="20">
        <v>12</v>
      </c>
      <c r="N4770" s="1">
        <v>90</v>
      </c>
    </row>
    <row r="4771" spans="1:14" x14ac:dyDescent="0.25">
      <c r="A4771" t="str">
        <f t="shared" si="150"/>
        <v>78808687880868</v>
      </c>
      <c r="B4771" t="str">
        <f t="shared" si="151"/>
        <v>7880868GC9060LL-M</v>
      </c>
      <c r="C4771" s="1" t="s">
        <v>55</v>
      </c>
      <c r="D4771" s="1" t="s">
        <v>825</v>
      </c>
      <c r="E4771" s="1" t="s">
        <v>388</v>
      </c>
      <c r="F4771" s="1" t="s">
        <v>389</v>
      </c>
      <c r="G4771" s="1" t="s">
        <v>387</v>
      </c>
      <c r="H4771" s="1">
        <v>2004</v>
      </c>
      <c r="I4771" s="3">
        <v>46286</v>
      </c>
      <c r="L4771" s="31">
        <v>46286.674617592587</v>
      </c>
      <c r="M4771" s="20">
        <v>12</v>
      </c>
      <c r="N4771" s="1">
        <v>91</v>
      </c>
    </row>
    <row r="4772" spans="1:14" x14ac:dyDescent="0.25">
      <c r="A4772" t="str">
        <f t="shared" si="150"/>
        <v>78808687880868</v>
      </c>
      <c r="B4772" t="str">
        <f t="shared" si="151"/>
        <v>7880868GC9060LL-M</v>
      </c>
      <c r="C4772" s="1" t="s">
        <v>55</v>
      </c>
      <c r="D4772" s="1" t="s">
        <v>825</v>
      </c>
      <c r="E4772" s="1" t="s">
        <v>388</v>
      </c>
      <c r="F4772" s="1" t="s">
        <v>389</v>
      </c>
      <c r="G4772" s="1" t="s">
        <v>387</v>
      </c>
      <c r="H4772" s="1">
        <v>2004</v>
      </c>
      <c r="I4772" s="3">
        <v>46286</v>
      </c>
      <c r="L4772" s="31">
        <v>46286.680889930554</v>
      </c>
      <c r="M4772" s="20">
        <v>12</v>
      </c>
      <c r="N4772" s="1">
        <v>139</v>
      </c>
    </row>
    <row r="4773" spans="1:14" x14ac:dyDescent="0.25">
      <c r="A4773" t="str">
        <f t="shared" si="150"/>
        <v>78808687880868</v>
      </c>
      <c r="B4773" t="str">
        <f t="shared" si="151"/>
        <v>7880868GC9060LL-M</v>
      </c>
      <c r="C4773" s="1" t="s">
        <v>55</v>
      </c>
      <c r="D4773" s="1" t="s">
        <v>825</v>
      </c>
      <c r="E4773" s="1" t="s">
        <v>388</v>
      </c>
      <c r="F4773" s="1" t="s">
        <v>389</v>
      </c>
      <c r="G4773" s="1" t="s">
        <v>387</v>
      </c>
      <c r="H4773" s="1">
        <v>2004</v>
      </c>
      <c r="I4773" s="3">
        <v>46286</v>
      </c>
      <c r="L4773" s="31">
        <v>46286.685305289349</v>
      </c>
      <c r="M4773" s="20">
        <v>12</v>
      </c>
      <c r="N4773" s="1">
        <v>92</v>
      </c>
    </row>
    <row r="4774" spans="1:14" x14ac:dyDescent="0.25">
      <c r="A4774" t="str">
        <f t="shared" si="150"/>
        <v>78808687880868</v>
      </c>
      <c r="B4774" t="str">
        <f t="shared" si="151"/>
        <v>7880868GC9060LL-M</v>
      </c>
      <c r="C4774" s="1" t="s">
        <v>55</v>
      </c>
      <c r="D4774" s="1" t="s">
        <v>825</v>
      </c>
      <c r="E4774" s="1" t="s">
        <v>388</v>
      </c>
      <c r="F4774" s="1" t="s">
        <v>389</v>
      </c>
      <c r="G4774" s="1" t="s">
        <v>387</v>
      </c>
      <c r="H4774" s="1">
        <v>2004</v>
      </c>
      <c r="I4774" s="3">
        <v>46286</v>
      </c>
      <c r="L4774" s="31">
        <v>46286.686294444444</v>
      </c>
      <c r="M4774" s="20">
        <v>12</v>
      </c>
      <c r="N4774" s="1">
        <v>110</v>
      </c>
    </row>
    <row r="4775" spans="1:14" x14ac:dyDescent="0.25">
      <c r="A4775" t="str">
        <f t="shared" si="150"/>
        <v>78808687880868</v>
      </c>
      <c r="B4775" t="str">
        <f t="shared" si="151"/>
        <v>7880868GC9060LL-M</v>
      </c>
      <c r="C4775" s="1" t="s">
        <v>55</v>
      </c>
      <c r="D4775" s="1" t="s">
        <v>825</v>
      </c>
      <c r="E4775" s="1" t="s">
        <v>388</v>
      </c>
      <c r="F4775" s="1" t="s">
        <v>389</v>
      </c>
      <c r="G4775" s="1" t="s">
        <v>387</v>
      </c>
      <c r="H4775" s="1">
        <v>2004</v>
      </c>
      <c r="I4775" s="3">
        <v>46286</v>
      </c>
      <c r="L4775" s="31">
        <v>46286.694265509257</v>
      </c>
      <c r="M4775" s="20">
        <v>12</v>
      </c>
      <c r="N4775" s="1">
        <v>111</v>
      </c>
    </row>
    <row r="4776" spans="1:14" x14ac:dyDescent="0.25">
      <c r="A4776" t="str">
        <f t="shared" si="150"/>
        <v>78808687880868</v>
      </c>
      <c r="B4776" t="str">
        <f t="shared" si="151"/>
        <v>7880868GC9060LL-M</v>
      </c>
      <c r="C4776" s="1" t="s">
        <v>55</v>
      </c>
      <c r="D4776" s="1" t="s">
        <v>825</v>
      </c>
      <c r="E4776" s="1" t="s">
        <v>388</v>
      </c>
      <c r="F4776" s="1" t="s">
        <v>389</v>
      </c>
      <c r="G4776" s="1" t="s">
        <v>387</v>
      </c>
      <c r="H4776" s="1">
        <v>2004</v>
      </c>
      <c r="I4776" s="3">
        <v>46286</v>
      </c>
      <c r="L4776" s="31">
        <v>46286.695133368055</v>
      </c>
      <c r="M4776" s="20">
        <v>12</v>
      </c>
      <c r="N4776" s="1">
        <v>23</v>
      </c>
    </row>
    <row r="4777" spans="1:14" x14ac:dyDescent="0.25">
      <c r="A4777" t="str">
        <f t="shared" si="150"/>
        <v>78808687880868</v>
      </c>
      <c r="B4777" t="str">
        <f t="shared" si="151"/>
        <v>7880868GC9060LL-M</v>
      </c>
      <c r="C4777" s="1" t="s">
        <v>55</v>
      </c>
      <c r="D4777" s="1" t="s">
        <v>825</v>
      </c>
      <c r="E4777" s="1" t="s">
        <v>388</v>
      </c>
      <c r="F4777" s="1" t="s">
        <v>389</v>
      </c>
      <c r="G4777" s="1" t="s">
        <v>387</v>
      </c>
      <c r="H4777" s="1">
        <v>2004</v>
      </c>
      <c r="I4777" s="3">
        <v>46286</v>
      </c>
      <c r="L4777" s="31">
        <v>46286.698504432869</v>
      </c>
      <c r="M4777" s="20">
        <v>12</v>
      </c>
      <c r="N4777" s="1">
        <v>114</v>
      </c>
    </row>
    <row r="4778" spans="1:14" x14ac:dyDescent="0.25">
      <c r="A4778" t="str">
        <f t="shared" si="150"/>
        <v>78808687880868</v>
      </c>
      <c r="B4778" t="str">
        <f t="shared" si="151"/>
        <v>7880868GC9060LL-M</v>
      </c>
      <c r="C4778" s="1" t="s">
        <v>55</v>
      </c>
      <c r="D4778" s="1" t="s">
        <v>825</v>
      </c>
      <c r="E4778" s="1" t="s">
        <v>388</v>
      </c>
      <c r="F4778" s="1" t="s">
        <v>389</v>
      </c>
      <c r="G4778" s="1" t="s">
        <v>387</v>
      </c>
      <c r="H4778" s="1">
        <v>2004</v>
      </c>
      <c r="I4778" s="3">
        <v>46286</v>
      </c>
      <c r="L4778" s="31">
        <v>46286.703471296292</v>
      </c>
      <c r="M4778" s="20">
        <v>12</v>
      </c>
      <c r="N4778" s="1">
        <v>93</v>
      </c>
    </row>
    <row r="4779" spans="1:14" x14ac:dyDescent="0.25">
      <c r="A4779" t="str">
        <f t="shared" si="150"/>
        <v>78808687880868</v>
      </c>
      <c r="B4779" t="str">
        <f t="shared" si="151"/>
        <v>7880868GC9060LL-M</v>
      </c>
      <c r="C4779" s="1" t="s">
        <v>55</v>
      </c>
      <c r="D4779" s="1" t="s">
        <v>825</v>
      </c>
      <c r="E4779" s="1" t="s">
        <v>388</v>
      </c>
      <c r="F4779" s="1" t="s">
        <v>389</v>
      </c>
      <c r="G4779" s="1" t="s">
        <v>387</v>
      </c>
      <c r="H4779" s="1">
        <v>2004</v>
      </c>
      <c r="I4779" s="3">
        <v>46286</v>
      </c>
      <c r="L4779" s="31">
        <v>46286.70505355324</v>
      </c>
      <c r="M4779" s="20">
        <v>12</v>
      </c>
      <c r="N4779" s="1">
        <v>112</v>
      </c>
    </row>
    <row r="4780" spans="1:14" x14ac:dyDescent="0.25">
      <c r="A4780" t="str">
        <f t="shared" si="150"/>
        <v>78813697881369</v>
      </c>
      <c r="B4780" t="str">
        <f t="shared" si="151"/>
        <v>7881369CM997HCB-D</v>
      </c>
      <c r="C4780" s="1" t="s">
        <v>804</v>
      </c>
      <c r="D4780" s="1" t="s">
        <v>814</v>
      </c>
      <c r="E4780" s="1" t="s">
        <v>385</v>
      </c>
      <c r="F4780" s="1" t="s">
        <v>386</v>
      </c>
      <c r="G4780" s="1" t="s">
        <v>387</v>
      </c>
      <c r="H4780" s="1">
        <v>1788</v>
      </c>
      <c r="I4780" s="3">
        <v>46286</v>
      </c>
      <c r="L4780" s="31">
        <v>46286.576134490737</v>
      </c>
      <c r="M4780" s="20">
        <v>12</v>
      </c>
      <c r="N4780" s="1">
        <v>72</v>
      </c>
    </row>
    <row r="4781" spans="1:14" x14ac:dyDescent="0.25">
      <c r="A4781" t="str">
        <f t="shared" si="150"/>
        <v>78813697881369</v>
      </c>
      <c r="B4781" t="str">
        <f t="shared" si="151"/>
        <v>7881369CM997HCB-D</v>
      </c>
      <c r="C4781" s="1" t="s">
        <v>804</v>
      </c>
      <c r="D4781" s="1" t="s">
        <v>814</v>
      </c>
      <c r="E4781" s="1" t="s">
        <v>385</v>
      </c>
      <c r="F4781" s="1" t="s">
        <v>386</v>
      </c>
      <c r="G4781" s="1" t="s">
        <v>387</v>
      </c>
      <c r="H4781" s="1">
        <v>1788</v>
      </c>
      <c r="I4781" s="3">
        <v>46286</v>
      </c>
      <c r="L4781" s="31">
        <v>46286.576349965275</v>
      </c>
      <c r="M4781" s="20">
        <v>12</v>
      </c>
      <c r="N4781" s="1">
        <v>122</v>
      </c>
    </row>
    <row r="4782" spans="1:14" x14ac:dyDescent="0.25">
      <c r="A4782" t="str">
        <f t="shared" si="150"/>
        <v>78813697881369</v>
      </c>
      <c r="B4782" t="str">
        <f t="shared" si="151"/>
        <v>7881369CM997HCB-D</v>
      </c>
      <c r="C4782" s="1" t="s">
        <v>804</v>
      </c>
      <c r="D4782" s="1" t="s">
        <v>814</v>
      </c>
      <c r="E4782" s="1" t="s">
        <v>385</v>
      </c>
      <c r="F4782" s="1" t="s">
        <v>386</v>
      </c>
      <c r="G4782" s="1" t="s">
        <v>387</v>
      </c>
      <c r="H4782" s="1">
        <v>1788</v>
      </c>
      <c r="I4782" s="3">
        <v>46286</v>
      </c>
      <c r="L4782" s="31">
        <v>46286.609304710648</v>
      </c>
      <c r="M4782" s="20">
        <v>12</v>
      </c>
      <c r="N4782" s="1">
        <v>101</v>
      </c>
    </row>
    <row r="4783" spans="1:14" x14ac:dyDescent="0.25">
      <c r="A4783" t="str">
        <f t="shared" si="150"/>
        <v>78813697881369</v>
      </c>
      <c r="B4783" t="str">
        <f t="shared" si="151"/>
        <v>7881369CM997HCB-D</v>
      </c>
      <c r="C4783" s="1" t="s">
        <v>804</v>
      </c>
      <c r="D4783" s="1" t="s">
        <v>814</v>
      </c>
      <c r="E4783" s="1" t="s">
        <v>385</v>
      </c>
      <c r="F4783" s="1" t="s">
        <v>386</v>
      </c>
      <c r="G4783" s="1" t="s">
        <v>387</v>
      </c>
      <c r="H4783" s="1">
        <v>1788</v>
      </c>
      <c r="I4783" s="3">
        <v>46286</v>
      </c>
      <c r="L4783" s="31">
        <v>46286.634055671297</v>
      </c>
      <c r="M4783" s="20">
        <v>12</v>
      </c>
      <c r="N4783" s="1">
        <v>94</v>
      </c>
    </row>
    <row r="4784" spans="1:14" x14ac:dyDescent="0.25">
      <c r="A4784" t="str">
        <f t="shared" si="150"/>
        <v>78813697881369</v>
      </c>
      <c r="B4784" t="str">
        <f t="shared" si="151"/>
        <v>7881369CM997HCB-D</v>
      </c>
      <c r="C4784" s="1" t="s">
        <v>804</v>
      </c>
      <c r="D4784" s="1" t="s">
        <v>814</v>
      </c>
      <c r="E4784" s="1" t="s">
        <v>385</v>
      </c>
      <c r="F4784" s="1" t="s">
        <v>386</v>
      </c>
      <c r="G4784" s="1" t="s">
        <v>387</v>
      </c>
      <c r="H4784" s="1">
        <v>1788</v>
      </c>
      <c r="I4784" s="3">
        <v>46286</v>
      </c>
      <c r="L4784" s="31">
        <v>46286.637888460646</v>
      </c>
      <c r="M4784" s="20">
        <v>12</v>
      </c>
      <c r="N4784" s="1">
        <v>113</v>
      </c>
    </row>
    <row r="4785" spans="1:14" x14ac:dyDescent="0.25">
      <c r="A4785" t="str">
        <f t="shared" si="150"/>
        <v>78813697881369</v>
      </c>
      <c r="B4785" t="str">
        <f t="shared" si="151"/>
        <v>7881369CM997HCB-D</v>
      </c>
      <c r="C4785" s="1" t="s">
        <v>804</v>
      </c>
      <c r="D4785" s="1" t="s">
        <v>814</v>
      </c>
      <c r="E4785" s="1" t="s">
        <v>385</v>
      </c>
      <c r="F4785" s="1" t="s">
        <v>386</v>
      </c>
      <c r="G4785" s="1" t="s">
        <v>387</v>
      </c>
      <c r="H4785" s="1">
        <v>1788</v>
      </c>
      <c r="I4785" s="3">
        <v>46286</v>
      </c>
      <c r="L4785" s="31">
        <v>46286.647178900464</v>
      </c>
      <c r="M4785" s="20">
        <v>12</v>
      </c>
      <c r="N4785" s="1">
        <v>127</v>
      </c>
    </row>
    <row r="4786" spans="1:14" x14ac:dyDescent="0.25">
      <c r="A4786" t="str">
        <f t="shared" si="150"/>
        <v>78813697881369</v>
      </c>
      <c r="B4786" t="str">
        <f t="shared" si="151"/>
        <v>7881369CM997HCB-D</v>
      </c>
      <c r="C4786" s="1" t="s">
        <v>804</v>
      </c>
      <c r="D4786" s="1" t="s">
        <v>814</v>
      </c>
      <c r="E4786" s="1" t="s">
        <v>385</v>
      </c>
      <c r="F4786" s="1" t="s">
        <v>386</v>
      </c>
      <c r="G4786" s="1" t="s">
        <v>387</v>
      </c>
      <c r="H4786" s="1">
        <v>1788</v>
      </c>
      <c r="I4786" s="3">
        <v>46286</v>
      </c>
      <c r="L4786" s="31">
        <v>46286.653875775461</v>
      </c>
      <c r="M4786" s="20">
        <v>12</v>
      </c>
      <c r="N4786" s="1">
        <v>79</v>
      </c>
    </row>
    <row r="4787" spans="1:14" x14ac:dyDescent="0.25">
      <c r="A4787" t="str">
        <f t="shared" si="150"/>
        <v>78813697881369</v>
      </c>
      <c r="B4787" t="str">
        <f t="shared" si="151"/>
        <v>7881369CM997HCB-D</v>
      </c>
      <c r="C4787" s="1" t="s">
        <v>804</v>
      </c>
      <c r="D4787" s="1" t="s">
        <v>814</v>
      </c>
      <c r="E4787" s="1" t="s">
        <v>385</v>
      </c>
      <c r="F4787" s="1" t="s">
        <v>386</v>
      </c>
      <c r="G4787" s="1" t="s">
        <v>387</v>
      </c>
      <c r="H4787" s="1">
        <v>1788</v>
      </c>
      <c r="I4787" s="3">
        <v>46286</v>
      </c>
      <c r="L4787" s="31">
        <v>46286.654342442125</v>
      </c>
      <c r="M4787" s="20">
        <v>12</v>
      </c>
      <c r="N4787" s="1">
        <v>131</v>
      </c>
    </row>
    <row r="4788" spans="1:14" x14ac:dyDescent="0.25">
      <c r="A4788" t="str">
        <f t="shared" si="150"/>
        <v>78813697881369</v>
      </c>
      <c r="B4788" t="str">
        <f t="shared" si="151"/>
        <v>7881369CM997HCB-D</v>
      </c>
      <c r="C4788" s="1" t="s">
        <v>804</v>
      </c>
      <c r="D4788" s="1" t="s">
        <v>814</v>
      </c>
      <c r="E4788" s="1" t="s">
        <v>385</v>
      </c>
      <c r="F4788" s="1" t="s">
        <v>386</v>
      </c>
      <c r="G4788" s="1" t="s">
        <v>387</v>
      </c>
      <c r="H4788" s="1">
        <v>1788</v>
      </c>
      <c r="I4788" s="3">
        <v>46286</v>
      </c>
      <c r="L4788" s="31">
        <v>46286.654785300925</v>
      </c>
      <c r="M4788" s="20">
        <v>12</v>
      </c>
      <c r="N4788" s="1">
        <v>107</v>
      </c>
    </row>
    <row r="4789" spans="1:14" x14ac:dyDescent="0.25">
      <c r="A4789" t="str">
        <f t="shared" si="150"/>
        <v>78813697881369</v>
      </c>
      <c r="B4789" t="str">
        <f t="shared" si="151"/>
        <v>7881369CM997HCB-D</v>
      </c>
      <c r="C4789" s="1" t="s">
        <v>804</v>
      </c>
      <c r="D4789" s="1" t="s">
        <v>814</v>
      </c>
      <c r="E4789" s="1" t="s">
        <v>385</v>
      </c>
      <c r="F4789" s="1" t="s">
        <v>386</v>
      </c>
      <c r="G4789" s="1" t="s">
        <v>387</v>
      </c>
      <c r="H4789" s="1">
        <v>1788</v>
      </c>
      <c r="I4789" s="3">
        <v>46286</v>
      </c>
      <c r="L4789" s="31">
        <v>46286.657265590278</v>
      </c>
      <c r="M4789" s="20">
        <v>12</v>
      </c>
      <c r="N4789" s="1">
        <v>126</v>
      </c>
    </row>
    <row r="4790" spans="1:14" x14ac:dyDescent="0.25">
      <c r="A4790" t="str">
        <f t="shared" si="150"/>
        <v>78813697881369</v>
      </c>
      <c r="B4790" t="str">
        <f t="shared" si="151"/>
        <v>7881369CM997HCB-D</v>
      </c>
      <c r="C4790" s="1" t="s">
        <v>804</v>
      </c>
      <c r="D4790" s="1" t="s">
        <v>814</v>
      </c>
      <c r="E4790" s="1" t="s">
        <v>385</v>
      </c>
      <c r="F4790" s="1" t="s">
        <v>386</v>
      </c>
      <c r="G4790" s="1" t="s">
        <v>387</v>
      </c>
      <c r="H4790" s="1">
        <v>1788</v>
      </c>
      <c r="I4790" s="3">
        <v>46286</v>
      </c>
      <c r="L4790" s="31">
        <v>46286.686466863423</v>
      </c>
      <c r="M4790" s="20">
        <v>12</v>
      </c>
      <c r="N4790" s="1">
        <v>68</v>
      </c>
    </row>
    <row r="4791" spans="1:14" x14ac:dyDescent="0.25">
      <c r="A4791" t="str">
        <f t="shared" si="150"/>
        <v>78813697881369</v>
      </c>
      <c r="B4791" t="str">
        <f t="shared" si="151"/>
        <v>7881369CM997HCB-D</v>
      </c>
      <c r="C4791" s="1" t="s">
        <v>804</v>
      </c>
      <c r="D4791" s="1" t="s">
        <v>814</v>
      </c>
      <c r="E4791" s="1" t="s">
        <v>385</v>
      </c>
      <c r="F4791" s="1" t="s">
        <v>386</v>
      </c>
      <c r="G4791" s="1" t="s">
        <v>387</v>
      </c>
      <c r="H4791" s="1">
        <v>1788</v>
      </c>
      <c r="I4791" s="3">
        <v>46286</v>
      </c>
      <c r="L4791" s="31">
        <v>46286.697849918979</v>
      </c>
      <c r="M4791" s="20">
        <v>12</v>
      </c>
      <c r="N4791" s="1">
        <v>84</v>
      </c>
    </row>
    <row r="4792" spans="1:14" x14ac:dyDescent="0.25">
      <c r="A4792" t="str">
        <f t="shared" si="150"/>
        <v>78813697881369</v>
      </c>
      <c r="B4792" t="str">
        <f t="shared" si="151"/>
        <v>7881369CM997HCB-D</v>
      </c>
      <c r="C4792" s="1" t="s">
        <v>804</v>
      </c>
      <c r="D4792" s="1" t="s">
        <v>814</v>
      </c>
      <c r="E4792" s="1" t="s">
        <v>385</v>
      </c>
      <c r="F4792" s="1" t="s">
        <v>386</v>
      </c>
      <c r="G4792" s="1" t="s">
        <v>387</v>
      </c>
      <c r="H4792" s="1">
        <v>1788</v>
      </c>
      <c r="I4792" s="3">
        <v>46286</v>
      </c>
      <c r="L4792" s="31">
        <v>46286.709570370367</v>
      </c>
      <c r="M4792" s="20">
        <v>12</v>
      </c>
      <c r="N4792" s="1">
        <v>63</v>
      </c>
    </row>
    <row r="4793" spans="1:14" x14ac:dyDescent="0.25">
      <c r="A4793" t="str">
        <f t="shared" si="150"/>
        <v>78813697881369</v>
      </c>
      <c r="B4793" t="str">
        <f t="shared" si="151"/>
        <v>7881369CM997HCB-D</v>
      </c>
      <c r="C4793" s="1" t="s">
        <v>804</v>
      </c>
      <c r="D4793" s="1" t="s">
        <v>814</v>
      </c>
      <c r="E4793" s="1" t="s">
        <v>385</v>
      </c>
      <c r="F4793" s="1" t="s">
        <v>386</v>
      </c>
      <c r="G4793" s="1" t="s">
        <v>387</v>
      </c>
      <c r="H4793" s="1">
        <v>1788</v>
      </c>
      <c r="I4793" s="3">
        <v>46286</v>
      </c>
      <c r="L4793" s="31">
        <v>46286.711130127311</v>
      </c>
      <c r="M4793" s="20">
        <v>12</v>
      </c>
      <c r="N4793" s="1">
        <v>105</v>
      </c>
    </row>
    <row r="4794" spans="1:14" x14ac:dyDescent="0.25">
      <c r="A4794" t="str">
        <f t="shared" si="150"/>
        <v>78813697881369</v>
      </c>
      <c r="B4794" t="str">
        <f t="shared" si="151"/>
        <v>7881369CM997HCB-D</v>
      </c>
      <c r="C4794" s="1" t="s">
        <v>804</v>
      </c>
      <c r="D4794" s="1" t="s">
        <v>814</v>
      </c>
      <c r="E4794" s="1" t="s">
        <v>385</v>
      </c>
      <c r="F4794" s="1" t="s">
        <v>386</v>
      </c>
      <c r="G4794" s="1" t="s">
        <v>387</v>
      </c>
      <c r="H4794" s="1">
        <v>1788</v>
      </c>
      <c r="I4794" s="3">
        <v>46286</v>
      </c>
      <c r="L4794" s="31">
        <v>46286.737108414352</v>
      </c>
      <c r="M4794" s="20">
        <v>12</v>
      </c>
      <c r="N4794" s="1">
        <v>121</v>
      </c>
    </row>
    <row r="4795" spans="1:14" x14ac:dyDescent="0.25">
      <c r="A4795" t="str">
        <f t="shared" si="150"/>
        <v>78813697881369</v>
      </c>
      <c r="B4795" t="str">
        <f t="shared" si="151"/>
        <v>7881369CM997HCB-D</v>
      </c>
      <c r="C4795" s="1" t="s">
        <v>804</v>
      </c>
      <c r="D4795" s="1" t="s">
        <v>814</v>
      </c>
      <c r="E4795" s="1" t="s">
        <v>385</v>
      </c>
      <c r="F4795" s="1" t="s">
        <v>386</v>
      </c>
      <c r="G4795" s="1" t="s">
        <v>387</v>
      </c>
      <c r="H4795" s="1">
        <v>1788</v>
      </c>
      <c r="I4795" s="3">
        <v>46286</v>
      </c>
      <c r="L4795" s="31">
        <v>46286.737309490738</v>
      </c>
      <c r="M4795" s="20">
        <v>12</v>
      </c>
      <c r="N4795" s="1">
        <v>130</v>
      </c>
    </row>
    <row r="4796" spans="1:14" x14ac:dyDescent="0.25">
      <c r="A4796" t="str">
        <f t="shared" si="150"/>
        <v>78813697881369</v>
      </c>
      <c r="B4796" t="str">
        <f t="shared" si="151"/>
        <v>7881369CM997HCB-D</v>
      </c>
      <c r="C4796" s="1" t="s">
        <v>804</v>
      </c>
      <c r="D4796" s="1" t="s">
        <v>814</v>
      </c>
      <c r="E4796" s="1" t="s">
        <v>385</v>
      </c>
      <c r="F4796" s="1" t="s">
        <v>386</v>
      </c>
      <c r="G4796" s="1" t="s">
        <v>387</v>
      </c>
      <c r="H4796" s="1">
        <v>1788</v>
      </c>
      <c r="I4796" s="3">
        <v>46286</v>
      </c>
      <c r="L4796" s="31">
        <v>46286.74537827546</v>
      </c>
      <c r="M4796" s="20">
        <v>12</v>
      </c>
      <c r="N4796" s="1">
        <v>97</v>
      </c>
    </row>
    <row r="4797" spans="1:14" x14ac:dyDescent="0.25">
      <c r="A4797" t="str">
        <f t="shared" si="150"/>
        <v>78820797882079</v>
      </c>
      <c r="B4797" t="str">
        <f t="shared" si="151"/>
        <v>7882079G6035F4-M</v>
      </c>
      <c r="C4797" s="1" t="s">
        <v>24</v>
      </c>
      <c r="D4797" s="1" t="s">
        <v>797</v>
      </c>
      <c r="E4797" s="1" t="s">
        <v>379</v>
      </c>
      <c r="F4797" s="1" t="s">
        <v>504</v>
      </c>
      <c r="G4797" s="1" t="s">
        <v>484</v>
      </c>
      <c r="H4797" s="1">
        <v>252</v>
      </c>
      <c r="I4797" s="3">
        <v>46286</v>
      </c>
      <c r="J4797" s="3">
        <v>46286</v>
      </c>
      <c r="K4797" s="3" t="s">
        <v>2365</v>
      </c>
      <c r="L4797" s="31">
        <v>46286.358131979163</v>
      </c>
      <c r="M4797" s="20">
        <v>6</v>
      </c>
      <c r="N4797" s="1">
        <v>22</v>
      </c>
    </row>
    <row r="4798" spans="1:14" x14ac:dyDescent="0.25">
      <c r="A4798" t="str">
        <f t="shared" si="150"/>
        <v>78820797882079</v>
      </c>
      <c r="B4798" t="str">
        <f t="shared" si="151"/>
        <v>7882079G6035F4-M</v>
      </c>
      <c r="C4798" s="1" t="s">
        <v>24</v>
      </c>
      <c r="D4798" s="1" t="s">
        <v>797</v>
      </c>
      <c r="E4798" s="1" t="s">
        <v>379</v>
      </c>
      <c r="F4798" s="1" t="s">
        <v>504</v>
      </c>
      <c r="G4798" s="1" t="s">
        <v>484</v>
      </c>
      <c r="H4798" s="1">
        <v>252</v>
      </c>
      <c r="I4798" s="3">
        <v>46286</v>
      </c>
      <c r="J4798" s="3">
        <v>46286</v>
      </c>
      <c r="K4798" s="3" t="s">
        <v>2365</v>
      </c>
      <c r="L4798" s="31">
        <v>46286.361326701386</v>
      </c>
      <c r="M4798" s="20">
        <v>6</v>
      </c>
      <c r="N4798" s="1">
        <v>29</v>
      </c>
    </row>
    <row r="4799" spans="1:14" x14ac:dyDescent="0.25">
      <c r="A4799" t="str">
        <f t="shared" si="150"/>
        <v>78820797882079</v>
      </c>
      <c r="B4799" t="str">
        <f t="shared" si="151"/>
        <v>7882079G6035F4-M</v>
      </c>
      <c r="C4799" s="1" t="s">
        <v>24</v>
      </c>
      <c r="D4799" s="1" t="s">
        <v>797</v>
      </c>
      <c r="E4799" s="1" t="s">
        <v>379</v>
      </c>
      <c r="F4799" s="1" t="s">
        <v>504</v>
      </c>
      <c r="G4799" s="1" t="s">
        <v>484</v>
      </c>
      <c r="H4799" s="1">
        <v>252</v>
      </c>
      <c r="I4799" s="3">
        <v>46286</v>
      </c>
      <c r="J4799" s="3">
        <v>46286</v>
      </c>
      <c r="K4799" s="3" t="s">
        <v>2365</v>
      </c>
      <c r="L4799" s="31">
        <v>46286.373403437501</v>
      </c>
      <c r="M4799" s="20">
        <v>6</v>
      </c>
      <c r="N4799" s="1">
        <v>20</v>
      </c>
    </row>
    <row r="4800" spans="1:14" x14ac:dyDescent="0.25">
      <c r="A4800" t="str">
        <f t="shared" si="150"/>
        <v>78820797882079</v>
      </c>
      <c r="B4800" t="str">
        <f t="shared" si="151"/>
        <v>7882079G6035F4-M</v>
      </c>
      <c r="C4800" s="1" t="s">
        <v>24</v>
      </c>
      <c r="D4800" s="1" t="s">
        <v>797</v>
      </c>
      <c r="E4800" s="1" t="s">
        <v>379</v>
      </c>
      <c r="F4800" s="1" t="s">
        <v>504</v>
      </c>
      <c r="G4800" s="1" t="s">
        <v>484</v>
      </c>
      <c r="H4800" s="1">
        <v>252</v>
      </c>
      <c r="I4800" s="3">
        <v>46286</v>
      </c>
      <c r="J4800" s="3">
        <v>46286</v>
      </c>
      <c r="K4800" s="3" t="s">
        <v>2365</v>
      </c>
      <c r="L4800" s="31">
        <v>46286.376916400463</v>
      </c>
      <c r="M4800" s="20">
        <v>6</v>
      </c>
      <c r="N4800" s="1">
        <v>19</v>
      </c>
    </row>
    <row r="4801" spans="1:14" x14ac:dyDescent="0.25">
      <c r="A4801" t="str">
        <f t="shared" si="150"/>
        <v>78820797882079</v>
      </c>
      <c r="B4801" t="str">
        <f t="shared" si="151"/>
        <v>7882079G6035F4-M</v>
      </c>
      <c r="C4801" s="1" t="s">
        <v>24</v>
      </c>
      <c r="D4801" s="1" t="s">
        <v>797</v>
      </c>
      <c r="E4801" s="1" t="s">
        <v>379</v>
      </c>
      <c r="F4801" s="1" t="s">
        <v>504</v>
      </c>
      <c r="G4801" s="1" t="s">
        <v>484</v>
      </c>
      <c r="H4801" s="1">
        <v>252</v>
      </c>
      <c r="I4801" s="3">
        <v>46286</v>
      </c>
      <c r="J4801" s="3">
        <v>46286</v>
      </c>
      <c r="K4801" s="3" t="s">
        <v>2365</v>
      </c>
      <c r="L4801" s="31">
        <v>46286.377244212963</v>
      </c>
      <c r="M4801" s="20">
        <v>6</v>
      </c>
      <c r="N4801" s="1">
        <v>21</v>
      </c>
    </row>
    <row r="4802" spans="1:14" x14ac:dyDescent="0.25">
      <c r="A4802" t="str">
        <f t="shared" ref="A4802:A4865" si="152">+D4802&amp;D4802</f>
        <v>78820797882079</v>
      </c>
      <c r="B4802" t="str">
        <f t="shared" ref="B4802:B4865" si="153">+D4802&amp;C4802</f>
        <v>7882079G6035F4-M</v>
      </c>
      <c r="C4802" s="1" t="s">
        <v>24</v>
      </c>
      <c r="D4802" s="1" t="s">
        <v>797</v>
      </c>
      <c r="E4802" s="1" t="s">
        <v>379</v>
      </c>
      <c r="F4802" s="1" t="s">
        <v>504</v>
      </c>
      <c r="G4802" s="1" t="s">
        <v>484</v>
      </c>
      <c r="H4802" s="1">
        <v>252</v>
      </c>
      <c r="I4802" s="3">
        <v>46286</v>
      </c>
      <c r="J4802" s="3">
        <v>46286</v>
      </c>
      <c r="K4802" s="3" t="s">
        <v>2365</v>
      </c>
      <c r="L4802" s="31">
        <v>46286.380265196756</v>
      </c>
      <c r="M4802" s="20">
        <v>6</v>
      </c>
      <c r="N4802" s="1">
        <v>14</v>
      </c>
    </row>
    <row r="4803" spans="1:14" x14ac:dyDescent="0.25">
      <c r="A4803" t="str">
        <f t="shared" si="152"/>
        <v>78820797882079</v>
      </c>
      <c r="B4803" t="str">
        <f t="shared" si="153"/>
        <v>7882079G6035F4-M</v>
      </c>
      <c r="C4803" s="1" t="s">
        <v>24</v>
      </c>
      <c r="D4803" s="1" t="s">
        <v>797</v>
      </c>
      <c r="E4803" s="1" t="s">
        <v>379</v>
      </c>
      <c r="F4803" s="1" t="s">
        <v>504</v>
      </c>
      <c r="G4803" s="1" t="s">
        <v>484</v>
      </c>
      <c r="H4803" s="1">
        <v>252</v>
      </c>
      <c r="I4803" s="3">
        <v>46286</v>
      </c>
      <c r="J4803" s="3">
        <v>46286</v>
      </c>
      <c r="K4803" s="3" t="s">
        <v>2365</v>
      </c>
      <c r="L4803" s="31">
        <v>46286.404784409722</v>
      </c>
      <c r="M4803" s="20">
        <v>6</v>
      </c>
      <c r="N4803" s="1">
        <v>30</v>
      </c>
    </row>
    <row r="4804" spans="1:14" x14ac:dyDescent="0.25">
      <c r="A4804" t="str">
        <f t="shared" si="152"/>
        <v>78820797882079</v>
      </c>
      <c r="B4804" t="str">
        <f t="shared" si="153"/>
        <v>7882079G6035F4-M</v>
      </c>
      <c r="C4804" s="1" t="s">
        <v>24</v>
      </c>
      <c r="D4804" s="1" t="s">
        <v>797</v>
      </c>
      <c r="E4804" s="1" t="s">
        <v>379</v>
      </c>
      <c r="F4804" s="1" t="s">
        <v>504</v>
      </c>
      <c r="G4804" s="1" t="s">
        <v>484</v>
      </c>
      <c r="H4804" s="1">
        <v>252</v>
      </c>
      <c r="I4804" s="3">
        <v>46286</v>
      </c>
      <c r="J4804" s="3">
        <v>46286</v>
      </c>
      <c r="K4804" s="3" t="s">
        <v>2365</v>
      </c>
      <c r="L4804" s="31">
        <v>46286.406659340275</v>
      </c>
      <c r="M4804" s="20">
        <v>6</v>
      </c>
      <c r="N4804" s="1">
        <v>31</v>
      </c>
    </row>
    <row r="4805" spans="1:14" x14ac:dyDescent="0.25">
      <c r="A4805" t="str">
        <f t="shared" si="152"/>
        <v>78820797882079</v>
      </c>
      <c r="B4805" t="str">
        <f t="shared" si="153"/>
        <v>7882079G6035F4-M</v>
      </c>
      <c r="C4805" s="1" t="s">
        <v>24</v>
      </c>
      <c r="D4805" s="1" t="s">
        <v>797</v>
      </c>
      <c r="E4805" s="1" t="s">
        <v>379</v>
      </c>
      <c r="F4805" s="1" t="s">
        <v>504</v>
      </c>
      <c r="G4805" s="1" t="s">
        <v>484</v>
      </c>
      <c r="H4805" s="1">
        <v>252</v>
      </c>
      <c r="I4805" s="3">
        <v>46286</v>
      </c>
      <c r="J4805" s="3">
        <v>46286</v>
      </c>
      <c r="K4805" s="3" t="s">
        <v>2365</v>
      </c>
      <c r="L4805" s="31">
        <v>46286.426240590277</v>
      </c>
      <c r="M4805" s="20">
        <v>6</v>
      </c>
      <c r="N4805" s="1">
        <v>13</v>
      </c>
    </row>
    <row r="4806" spans="1:14" x14ac:dyDescent="0.25">
      <c r="A4806" t="str">
        <f t="shared" si="152"/>
        <v>78820797882079</v>
      </c>
      <c r="B4806" t="str">
        <f t="shared" si="153"/>
        <v>7882079G6035F4-M</v>
      </c>
      <c r="C4806" s="1" t="s">
        <v>24</v>
      </c>
      <c r="D4806" s="1" t="s">
        <v>797</v>
      </c>
      <c r="E4806" s="1" t="s">
        <v>379</v>
      </c>
      <c r="F4806" s="1" t="s">
        <v>504</v>
      </c>
      <c r="G4806" s="1" t="s">
        <v>484</v>
      </c>
      <c r="H4806" s="1">
        <v>252</v>
      </c>
      <c r="I4806" s="3">
        <v>46286</v>
      </c>
      <c r="J4806" s="3">
        <v>46286</v>
      </c>
      <c r="K4806" s="3" t="s">
        <v>2365</v>
      </c>
      <c r="L4806" s="31">
        <v>46286.42717751157</v>
      </c>
      <c r="M4806" s="20">
        <v>6</v>
      </c>
      <c r="N4806" s="1">
        <v>18</v>
      </c>
    </row>
    <row r="4807" spans="1:14" x14ac:dyDescent="0.25">
      <c r="A4807" t="str">
        <f t="shared" si="152"/>
        <v>78820797882079</v>
      </c>
      <c r="B4807" t="str">
        <f t="shared" si="153"/>
        <v>7882079G6035F4-M</v>
      </c>
      <c r="C4807" s="1" t="s">
        <v>24</v>
      </c>
      <c r="D4807" s="1" t="s">
        <v>797</v>
      </c>
      <c r="E4807" s="1" t="s">
        <v>379</v>
      </c>
      <c r="F4807" s="1" t="s">
        <v>504</v>
      </c>
      <c r="G4807" s="1" t="s">
        <v>484</v>
      </c>
      <c r="H4807" s="1">
        <v>252</v>
      </c>
      <c r="I4807" s="3">
        <v>46286</v>
      </c>
      <c r="J4807" s="3">
        <v>46286</v>
      </c>
      <c r="K4807" s="3" t="s">
        <v>2365</v>
      </c>
      <c r="L4807" s="31">
        <v>46286.427706249997</v>
      </c>
      <c r="M4807" s="20">
        <v>6</v>
      </c>
      <c r="N4807" s="1">
        <v>34</v>
      </c>
    </row>
    <row r="4808" spans="1:14" x14ac:dyDescent="0.25">
      <c r="A4808" t="str">
        <f t="shared" si="152"/>
        <v>78820797882079</v>
      </c>
      <c r="B4808" t="str">
        <f t="shared" si="153"/>
        <v>7882079G6035F4-M</v>
      </c>
      <c r="C4808" s="1" t="s">
        <v>24</v>
      </c>
      <c r="D4808" s="1" t="s">
        <v>797</v>
      </c>
      <c r="E4808" s="1" t="s">
        <v>379</v>
      </c>
      <c r="F4808" s="1" t="s">
        <v>504</v>
      </c>
      <c r="G4808" s="1" t="s">
        <v>484</v>
      </c>
      <c r="H4808" s="1">
        <v>252</v>
      </c>
      <c r="I4808" s="3">
        <v>46286</v>
      </c>
      <c r="J4808" s="3">
        <v>46286</v>
      </c>
      <c r="K4808" s="3" t="s">
        <v>2365</v>
      </c>
      <c r="L4808" s="31">
        <v>46286.451933645832</v>
      </c>
      <c r="M4808" s="20">
        <v>6</v>
      </c>
      <c r="N4808" s="1">
        <v>32</v>
      </c>
    </row>
    <row r="4809" spans="1:14" x14ac:dyDescent="0.25">
      <c r="A4809" t="str">
        <f t="shared" si="152"/>
        <v>78820797882079</v>
      </c>
      <c r="B4809" t="str">
        <f t="shared" si="153"/>
        <v>7882079G6035F4-M</v>
      </c>
      <c r="C4809" s="1" t="s">
        <v>24</v>
      </c>
      <c r="D4809" s="1" t="s">
        <v>797</v>
      </c>
      <c r="E4809" s="1" t="s">
        <v>379</v>
      </c>
      <c r="F4809" s="1" t="s">
        <v>504</v>
      </c>
      <c r="G4809" s="1" t="s">
        <v>484</v>
      </c>
      <c r="H4809" s="1">
        <v>252</v>
      </c>
      <c r="I4809" s="3">
        <v>46286</v>
      </c>
      <c r="J4809" s="3">
        <v>46286</v>
      </c>
      <c r="K4809" s="3" t="s">
        <v>2365</v>
      </c>
      <c r="L4809" s="31">
        <v>46286.456755439816</v>
      </c>
      <c r="M4809" s="20">
        <v>6</v>
      </c>
      <c r="N4809" s="1">
        <v>17</v>
      </c>
    </row>
    <row r="4810" spans="1:14" x14ac:dyDescent="0.25">
      <c r="A4810" t="str">
        <f t="shared" si="152"/>
        <v>78820797882079</v>
      </c>
      <c r="B4810" t="str">
        <f t="shared" si="153"/>
        <v>7882079G6035F4-M</v>
      </c>
      <c r="C4810" s="1" t="s">
        <v>24</v>
      </c>
      <c r="D4810" s="1" t="s">
        <v>797</v>
      </c>
      <c r="E4810" s="1" t="s">
        <v>379</v>
      </c>
      <c r="F4810" s="1" t="s">
        <v>504</v>
      </c>
      <c r="G4810" s="1" t="s">
        <v>484</v>
      </c>
      <c r="H4810" s="1">
        <v>252</v>
      </c>
      <c r="I4810" s="3">
        <v>46286</v>
      </c>
      <c r="J4810" s="3">
        <v>46286</v>
      </c>
      <c r="K4810" s="3" t="s">
        <v>2365</v>
      </c>
      <c r="L4810" s="31">
        <v>46286.474576736109</v>
      </c>
      <c r="M4810" s="20">
        <v>6</v>
      </c>
      <c r="N4810" s="1">
        <v>16</v>
      </c>
    </row>
    <row r="4811" spans="1:14" x14ac:dyDescent="0.25">
      <c r="A4811" t="str">
        <f t="shared" si="152"/>
        <v>78820797882079</v>
      </c>
      <c r="B4811" t="str">
        <f t="shared" si="153"/>
        <v>7882079G6035F4-M</v>
      </c>
      <c r="C4811" s="1" t="s">
        <v>24</v>
      </c>
      <c r="D4811" s="1" t="s">
        <v>797</v>
      </c>
      <c r="E4811" s="1" t="s">
        <v>379</v>
      </c>
      <c r="F4811" s="1" t="s">
        <v>504</v>
      </c>
      <c r="G4811" s="1" t="s">
        <v>484</v>
      </c>
      <c r="H4811" s="1">
        <v>252</v>
      </c>
      <c r="I4811" s="3">
        <v>46286</v>
      </c>
      <c r="J4811" s="3">
        <v>46286</v>
      </c>
      <c r="K4811" s="3" t="s">
        <v>2365</v>
      </c>
      <c r="L4811" s="31">
        <v>46286.554158101848</v>
      </c>
      <c r="M4811" s="20">
        <v>6</v>
      </c>
      <c r="N4811" s="1">
        <v>2</v>
      </c>
    </row>
    <row r="4812" spans="1:14" x14ac:dyDescent="0.25">
      <c r="A4812" t="str">
        <f t="shared" si="152"/>
        <v>78820797882079</v>
      </c>
      <c r="B4812" t="str">
        <f t="shared" si="153"/>
        <v>7882079G6035F4-M</v>
      </c>
      <c r="C4812" s="1" t="s">
        <v>24</v>
      </c>
      <c r="D4812" s="1" t="s">
        <v>797</v>
      </c>
      <c r="E4812" s="1" t="s">
        <v>379</v>
      </c>
      <c r="F4812" s="1" t="s">
        <v>504</v>
      </c>
      <c r="G4812" s="1" t="s">
        <v>484</v>
      </c>
      <c r="H4812" s="1">
        <v>252</v>
      </c>
      <c r="I4812" s="3">
        <v>46286</v>
      </c>
      <c r="J4812" s="3">
        <v>46286</v>
      </c>
      <c r="K4812" s="3" t="s">
        <v>2365</v>
      </c>
      <c r="L4812" s="31">
        <v>46286.554327233796</v>
      </c>
      <c r="M4812" s="20">
        <v>6</v>
      </c>
      <c r="N4812" s="1">
        <v>3</v>
      </c>
    </row>
    <row r="4813" spans="1:14" x14ac:dyDescent="0.25">
      <c r="A4813" t="str">
        <f t="shared" si="152"/>
        <v>78820797882079</v>
      </c>
      <c r="B4813" t="str">
        <f t="shared" si="153"/>
        <v>7882079G6035F4-M</v>
      </c>
      <c r="C4813" s="1" t="s">
        <v>24</v>
      </c>
      <c r="D4813" s="1" t="s">
        <v>797</v>
      </c>
      <c r="E4813" s="1" t="s">
        <v>379</v>
      </c>
      <c r="F4813" s="1" t="s">
        <v>504</v>
      </c>
      <c r="G4813" s="1" t="s">
        <v>484</v>
      </c>
      <c r="H4813" s="1">
        <v>252</v>
      </c>
      <c r="I4813" s="3">
        <v>46286</v>
      </c>
      <c r="J4813" s="3">
        <v>46286</v>
      </c>
      <c r="K4813" s="3" t="s">
        <v>2365</v>
      </c>
      <c r="L4813" s="31">
        <v>46286.55746157407</v>
      </c>
      <c r="M4813" s="20">
        <v>6</v>
      </c>
      <c r="N4813" s="1">
        <v>35</v>
      </c>
    </row>
    <row r="4814" spans="1:14" x14ac:dyDescent="0.25">
      <c r="A4814" t="str">
        <f t="shared" si="152"/>
        <v>78820797882079</v>
      </c>
      <c r="B4814" t="str">
        <f t="shared" si="153"/>
        <v>7882079G6035F4-M</v>
      </c>
      <c r="C4814" s="1" t="s">
        <v>24</v>
      </c>
      <c r="D4814" s="1" t="s">
        <v>797</v>
      </c>
      <c r="E4814" s="1" t="s">
        <v>379</v>
      </c>
      <c r="F4814" s="1" t="s">
        <v>504</v>
      </c>
      <c r="G4814" s="1" t="s">
        <v>484</v>
      </c>
      <c r="H4814" s="1">
        <v>252</v>
      </c>
      <c r="I4814" s="3">
        <v>46286</v>
      </c>
      <c r="J4814" s="3">
        <v>46286</v>
      </c>
      <c r="K4814" s="3" t="s">
        <v>2365</v>
      </c>
      <c r="L4814" s="31">
        <v>46286.557668055553</v>
      </c>
      <c r="M4814" s="20">
        <v>6</v>
      </c>
      <c r="N4814" s="1">
        <v>4</v>
      </c>
    </row>
    <row r="4815" spans="1:14" x14ac:dyDescent="0.25">
      <c r="A4815" t="str">
        <f t="shared" si="152"/>
        <v>78820797882079</v>
      </c>
      <c r="B4815" t="str">
        <f t="shared" si="153"/>
        <v>7882079G6035F4-M</v>
      </c>
      <c r="C4815" s="1" t="s">
        <v>24</v>
      </c>
      <c r="D4815" s="1" t="s">
        <v>797</v>
      </c>
      <c r="E4815" s="1" t="s">
        <v>379</v>
      </c>
      <c r="F4815" s="1" t="s">
        <v>504</v>
      </c>
      <c r="G4815" s="1" t="s">
        <v>484</v>
      </c>
      <c r="H4815" s="1">
        <v>252</v>
      </c>
      <c r="I4815" s="3">
        <v>46286</v>
      </c>
      <c r="J4815" s="3">
        <v>46286</v>
      </c>
      <c r="K4815" s="3" t="s">
        <v>2365</v>
      </c>
      <c r="L4815" s="31">
        <v>46286.558458680556</v>
      </c>
      <c r="M4815" s="20">
        <v>6</v>
      </c>
      <c r="N4815" s="1">
        <v>24</v>
      </c>
    </row>
    <row r="4816" spans="1:14" x14ac:dyDescent="0.25">
      <c r="A4816" t="str">
        <f t="shared" si="152"/>
        <v>78820797882079</v>
      </c>
      <c r="B4816" t="str">
        <f t="shared" si="153"/>
        <v>7882079G6035F4-M</v>
      </c>
      <c r="C4816" s="1" t="s">
        <v>24</v>
      </c>
      <c r="D4816" s="1" t="s">
        <v>797</v>
      </c>
      <c r="E4816" s="1" t="s">
        <v>379</v>
      </c>
      <c r="F4816" s="1" t="s">
        <v>504</v>
      </c>
      <c r="G4816" s="1" t="s">
        <v>484</v>
      </c>
      <c r="H4816" s="1">
        <v>252</v>
      </c>
      <c r="I4816" s="3">
        <v>46286</v>
      </c>
      <c r="J4816" s="3">
        <v>46286</v>
      </c>
      <c r="K4816" s="3" t="s">
        <v>2365</v>
      </c>
      <c r="L4816" s="31">
        <v>46286.589431863424</v>
      </c>
      <c r="M4816" s="20">
        <v>6</v>
      </c>
      <c r="N4816" s="1">
        <v>28</v>
      </c>
    </row>
    <row r="4817" spans="1:14" x14ac:dyDescent="0.25">
      <c r="A4817" t="str">
        <f t="shared" si="152"/>
        <v>78820797882079</v>
      </c>
      <c r="B4817" t="str">
        <f t="shared" si="153"/>
        <v>7882079G6035F4-M</v>
      </c>
      <c r="C4817" s="1" t="s">
        <v>24</v>
      </c>
      <c r="D4817" s="1" t="s">
        <v>797</v>
      </c>
      <c r="E4817" s="1" t="s">
        <v>379</v>
      </c>
      <c r="F4817" s="1" t="s">
        <v>504</v>
      </c>
      <c r="G4817" s="1" t="s">
        <v>484</v>
      </c>
      <c r="H4817" s="1">
        <v>252</v>
      </c>
      <c r="I4817" s="3">
        <v>46286</v>
      </c>
      <c r="J4817" s="3">
        <v>46286</v>
      </c>
      <c r="K4817" s="3" t="s">
        <v>2365</v>
      </c>
      <c r="L4817" s="31">
        <v>46286.590803125</v>
      </c>
      <c r="M4817" s="20">
        <v>6</v>
      </c>
      <c r="N4817" s="1">
        <v>5</v>
      </c>
    </row>
    <row r="4818" spans="1:14" x14ac:dyDescent="0.25">
      <c r="A4818" t="str">
        <f t="shared" si="152"/>
        <v>78820797882079</v>
      </c>
      <c r="B4818" t="str">
        <f t="shared" si="153"/>
        <v>7882079G6035F4-M</v>
      </c>
      <c r="C4818" s="1" t="s">
        <v>24</v>
      </c>
      <c r="D4818" s="1" t="s">
        <v>797</v>
      </c>
      <c r="E4818" s="1" t="s">
        <v>379</v>
      </c>
      <c r="F4818" s="1" t="s">
        <v>504</v>
      </c>
      <c r="G4818" s="1" t="s">
        <v>484</v>
      </c>
      <c r="H4818" s="1">
        <v>252</v>
      </c>
      <c r="I4818" s="3">
        <v>46286</v>
      </c>
      <c r="J4818" s="3">
        <v>46286</v>
      </c>
      <c r="K4818" s="3" t="s">
        <v>2365</v>
      </c>
      <c r="L4818" s="31">
        <v>46286.590990625002</v>
      </c>
      <c r="M4818" s="20">
        <v>6</v>
      </c>
      <c r="N4818" s="1">
        <v>26</v>
      </c>
    </row>
    <row r="4819" spans="1:14" x14ac:dyDescent="0.25">
      <c r="A4819" t="str">
        <f t="shared" si="152"/>
        <v>78820797882079</v>
      </c>
      <c r="B4819" t="str">
        <f t="shared" si="153"/>
        <v>7882079G6035F4-M</v>
      </c>
      <c r="C4819" s="1" t="s">
        <v>24</v>
      </c>
      <c r="D4819" s="1" t="s">
        <v>797</v>
      </c>
      <c r="E4819" s="1" t="s">
        <v>379</v>
      </c>
      <c r="F4819" s="1" t="s">
        <v>504</v>
      </c>
      <c r="G4819" s="1" t="s">
        <v>484</v>
      </c>
      <c r="H4819" s="1">
        <v>252</v>
      </c>
      <c r="I4819" s="3">
        <v>46286</v>
      </c>
      <c r="J4819" s="3">
        <v>46286</v>
      </c>
      <c r="K4819" s="3" t="s">
        <v>2365</v>
      </c>
      <c r="L4819" s="31">
        <v>46286.59122268518</v>
      </c>
      <c r="M4819" s="20">
        <v>6</v>
      </c>
      <c r="N4819" s="1">
        <v>37</v>
      </c>
    </row>
    <row r="4820" spans="1:14" x14ac:dyDescent="0.25">
      <c r="A4820" t="str">
        <f t="shared" si="152"/>
        <v>78820797882079</v>
      </c>
      <c r="B4820" t="str">
        <f t="shared" si="153"/>
        <v>7882079G6035F4-M</v>
      </c>
      <c r="C4820" s="1" t="s">
        <v>24</v>
      </c>
      <c r="D4820" s="1" t="s">
        <v>797</v>
      </c>
      <c r="E4820" s="1" t="s">
        <v>379</v>
      </c>
      <c r="F4820" s="1" t="s">
        <v>504</v>
      </c>
      <c r="G4820" s="1" t="s">
        <v>484</v>
      </c>
      <c r="H4820" s="1">
        <v>252</v>
      </c>
      <c r="I4820" s="3">
        <v>46286</v>
      </c>
      <c r="J4820" s="3">
        <v>46286</v>
      </c>
      <c r="K4820" s="3" t="s">
        <v>2365</v>
      </c>
      <c r="L4820" s="31">
        <v>46286.59236574074</v>
      </c>
      <c r="M4820" s="20">
        <v>6</v>
      </c>
      <c r="N4820" s="1">
        <v>36</v>
      </c>
    </row>
    <row r="4821" spans="1:14" x14ac:dyDescent="0.25">
      <c r="A4821" t="str">
        <f t="shared" si="152"/>
        <v>78820797882079</v>
      </c>
      <c r="B4821" t="str">
        <f t="shared" si="153"/>
        <v>7882079G6035F4-M</v>
      </c>
      <c r="C4821" s="1" t="s">
        <v>24</v>
      </c>
      <c r="D4821" s="1" t="s">
        <v>797</v>
      </c>
      <c r="E4821" s="1" t="s">
        <v>379</v>
      </c>
      <c r="F4821" s="1" t="s">
        <v>504</v>
      </c>
      <c r="G4821" s="1" t="s">
        <v>484</v>
      </c>
      <c r="H4821" s="1">
        <v>252</v>
      </c>
      <c r="I4821" s="3">
        <v>46286</v>
      </c>
      <c r="J4821" s="3">
        <v>46286</v>
      </c>
      <c r="K4821" s="3" t="s">
        <v>2365</v>
      </c>
      <c r="L4821" s="31">
        <v>46286.592876076385</v>
      </c>
      <c r="M4821" s="20">
        <v>6</v>
      </c>
      <c r="N4821" s="1">
        <v>25</v>
      </c>
    </row>
    <row r="4822" spans="1:14" x14ac:dyDescent="0.25">
      <c r="A4822" t="str">
        <f t="shared" si="152"/>
        <v>78820797882079</v>
      </c>
      <c r="B4822" t="str">
        <f t="shared" si="153"/>
        <v>7882079G6035F4-M</v>
      </c>
      <c r="C4822" s="1" t="s">
        <v>24</v>
      </c>
      <c r="D4822" s="1" t="s">
        <v>797</v>
      </c>
      <c r="E4822" s="1" t="s">
        <v>379</v>
      </c>
      <c r="F4822" s="1" t="s">
        <v>504</v>
      </c>
      <c r="G4822" s="1" t="s">
        <v>484</v>
      </c>
      <c r="H4822" s="1">
        <v>252</v>
      </c>
      <c r="I4822" s="3">
        <v>46286</v>
      </c>
      <c r="J4822" s="3">
        <v>46286</v>
      </c>
      <c r="K4822" s="3" t="s">
        <v>2365</v>
      </c>
      <c r="L4822" s="31">
        <v>46286.600152465275</v>
      </c>
      <c r="M4822" s="20">
        <v>6</v>
      </c>
      <c r="N4822" s="1">
        <v>1</v>
      </c>
    </row>
    <row r="4823" spans="1:14" x14ac:dyDescent="0.25">
      <c r="A4823" t="str">
        <f t="shared" si="152"/>
        <v>78820797882079</v>
      </c>
      <c r="B4823" t="str">
        <f t="shared" si="153"/>
        <v>7882079G6035F4-M</v>
      </c>
      <c r="C4823" s="1" t="s">
        <v>24</v>
      </c>
      <c r="D4823" s="1" t="s">
        <v>797</v>
      </c>
      <c r="E4823" s="1" t="s">
        <v>379</v>
      </c>
      <c r="F4823" s="1" t="s">
        <v>504</v>
      </c>
      <c r="G4823" s="1" t="s">
        <v>484</v>
      </c>
      <c r="H4823" s="1">
        <v>252</v>
      </c>
      <c r="I4823" s="3">
        <v>46286</v>
      </c>
      <c r="J4823" s="3">
        <v>46286</v>
      </c>
      <c r="K4823" s="3" t="s">
        <v>2365</v>
      </c>
      <c r="L4823" s="31">
        <v>46286.60062005787</v>
      </c>
      <c r="M4823" s="20">
        <v>6</v>
      </c>
      <c r="N4823" s="1">
        <v>27</v>
      </c>
    </row>
    <row r="4824" spans="1:14" x14ac:dyDescent="0.25">
      <c r="A4824" t="str">
        <f t="shared" si="152"/>
        <v>78820797882079</v>
      </c>
      <c r="B4824" t="str">
        <f t="shared" si="153"/>
        <v>7882079G6035F4-M</v>
      </c>
      <c r="C4824" s="1" t="s">
        <v>24</v>
      </c>
      <c r="D4824" s="1" t="s">
        <v>797</v>
      </c>
      <c r="E4824" s="1" t="s">
        <v>379</v>
      </c>
      <c r="F4824" s="1" t="s">
        <v>504</v>
      </c>
      <c r="G4824" s="1" t="s">
        <v>484</v>
      </c>
      <c r="H4824" s="1">
        <v>252</v>
      </c>
      <c r="I4824" s="3">
        <v>46286</v>
      </c>
      <c r="J4824" s="3">
        <v>46286</v>
      </c>
      <c r="K4824" s="3" t="s">
        <v>2365</v>
      </c>
      <c r="L4824" s="31">
        <v>46286.60083993055</v>
      </c>
      <c r="M4824" s="20">
        <v>6</v>
      </c>
      <c r="N4824" s="1">
        <v>38</v>
      </c>
    </row>
    <row r="4825" spans="1:14" x14ac:dyDescent="0.25">
      <c r="A4825" t="str">
        <f t="shared" si="152"/>
        <v>78820797882079</v>
      </c>
      <c r="B4825" t="str">
        <f t="shared" si="153"/>
        <v>7882079G6035F4-M</v>
      </c>
      <c r="C4825" s="1" t="s">
        <v>24</v>
      </c>
      <c r="D4825" s="1" t="s">
        <v>797</v>
      </c>
      <c r="E4825" s="1" t="s">
        <v>379</v>
      </c>
      <c r="F4825" s="1" t="s">
        <v>504</v>
      </c>
      <c r="G4825" s="1" t="s">
        <v>484</v>
      </c>
      <c r="H4825" s="1">
        <v>252</v>
      </c>
      <c r="I4825" s="3">
        <v>46286</v>
      </c>
      <c r="J4825" s="3">
        <v>46286</v>
      </c>
      <c r="K4825" s="3" t="s">
        <v>2365</v>
      </c>
      <c r="L4825" s="31">
        <v>46286.6011693287</v>
      </c>
      <c r="M4825" s="20">
        <v>6</v>
      </c>
      <c r="N4825" s="1">
        <v>9</v>
      </c>
    </row>
    <row r="4826" spans="1:14" x14ac:dyDescent="0.25">
      <c r="A4826" t="str">
        <f t="shared" si="152"/>
        <v>78820797882079</v>
      </c>
      <c r="B4826" t="str">
        <f t="shared" si="153"/>
        <v>7882079G6035F4-M</v>
      </c>
      <c r="C4826" s="1" t="s">
        <v>24</v>
      </c>
      <c r="D4826" s="1" t="s">
        <v>797</v>
      </c>
      <c r="E4826" s="1" t="s">
        <v>379</v>
      </c>
      <c r="F4826" s="1" t="s">
        <v>504</v>
      </c>
      <c r="G4826" s="1" t="s">
        <v>484</v>
      </c>
      <c r="H4826" s="1">
        <v>252</v>
      </c>
      <c r="I4826" s="3">
        <v>46286</v>
      </c>
      <c r="J4826" s="3">
        <v>46286</v>
      </c>
      <c r="K4826" s="3" t="s">
        <v>2365</v>
      </c>
      <c r="L4826" s="31">
        <v>46286.610073067124</v>
      </c>
      <c r="M4826" s="20">
        <v>6</v>
      </c>
      <c r="N4826" s="1">
        <v>8</v>
      </c>
    </row>
    <row r="4827" spans="1:14" x14ac:dyDescent="0.25">
      <c r="A4827" t="str">
        <f t="shared" si="152"/>
        <v>78820797882079</v>
      </c>
      <c r="B4827" t="str">
        <f t="shared" si="153"/>
        <v>7882079G6035F4-M</v>
      </c>
      <c r="C4827" s="1" t="s">
        <v>24</v>
      </c>
      <c r="D4827" s="1" t="s">
        <v>797</v>
      </c>
      <c r="E4827" s="1" t="s">
        <v>379</v>
      </c>
      <c r="F4827" s="1" t="s">
        <v>504</v>
      </c>
      <c r="G4827" s="1" t="s">
        <v>484</v>
      </c>
      <c r="H4827" s="1">
        <v>252</v>
      </c>
      <c r="I4827" s="3">
        <v>46286</v>
      </c>
      <c r="J4827" s="3">
        <v>46286</v>
      </c>
      <c r="K4827" s="3" t="s">
        <v>2365</v>
      </c>
      <c r="L4827" s="31">
        <v>46286.610487847218</v>
      </c>
      <c r="M4827" s="20">
        <v>6</v>
      </c>
      <c r="N4827" s="1">
        <v>6</v>
      </c>
    </row>
    <row r="4828" spans="1:14" x14ac:dyDescent="0.25">
      <c r="A4828" t="str">
        <f t="shared" si="152"/>
        <v>78820797882079</v>
      </c>
      <c r="B4828" t="str">
        <f t="shared" si="153"/>
        <v>7882079G6035F4-M</v>
      </c>
      <c r="C4828" s="1" t="s">
        <v>24</v>
      </c>
      <c r="D4828" s="1" t="s">
        <v>797</v>
      </c>
      <c r="E4828" s="1" t="s">
        <v>379</v>
      </c>
      <c r="F4828" s="1" t="s">
        <v>504</v>
      </c>
      <c r="G4828" s="1" t="s">
        <v>484</v>
      </c>
      <c r="H4828" s="1">
        <v>252</v>
      </c>
      <c r="I4828" s="3">
        <v>46286</v>
      </c>
      <c r="J4828" s="3">
        <v>46286</v>
      </c>
      <c r="K4828" s="3" t="s">
        <v>2365</v>
      </c>
      <c r="L4828" s="31">
        <v>46286.610658136575</v>
      </c>
      <c r="M4828" s="20">
        <v>6</v>
      </c>
      <c r="N4828" s="1">
        <v>10</v>
      </c>
    </row>
    <row r="4829" spans="1:14" x14ac:dyDescent="0.25">
      <c r="A4829" t="str">
        <f t="shared" si="152"/>
        <v>78820797882079</v>
      </c>
      <c r="B4829" t="str">
        <f t="shared" si="153"/>
        <v>7882079G6035F4-M</v>
      </c>
      <c r="C4829" s="1" t="s">
        <v>24</v>
      </c>
      <c r="D4829" s="1" t="s">
        <v>797</v>
      </c>
      <c r="E4829" s="1" t="s">
        <v>379</v>
      </c>
      <c r="F4829" s="1" t="s">
        <v>504</v>
      </c>
      <c r="G4829" s="1" t="s">
        <v>484</v>
      </c>
      <c r="H4829" s="1">
        <v>252</v>
      </c>
      <c r="I4829" s="3">
        <v>46286</v>
      </c>
      <c r="J4829" s="3">
        <v>46286</v>
      </c>
      <c r="K4829" s="3" t="s">
        <v>2365</v>
      </c>
      <c r="L4829" s="31">
        <v>46286.610824849537</v>
      </c>
      <c r="M4829" s="20">
        <v>6</v>
      </c>
      <c r="N4829" s="1">
        <v>15</v>
      </c>
    </row>
    <row r="4830" spans="1:14" x14ac:dyDescent="0.25">
      <c r="A4830" t="str">
        <f t="shared" si="152"/>
        <v>78820797882079</v>
      </c>
      <c r="B4830" t="str">
        <f t="shared" si="153"/>
        <v>7882079G6035F4-M</v>
      </c>
      <c r="C4830" s="1" t="s">
        <v>24</v>
      </c>
      <c r="D4830" s="1" t="s">
        <v>797</v>
      </c>
      <c r="E4830" s="1" t="s">
        <v>379</v>
      </c>
      <c r="F4830" s="1" t="s">
        <v>504</v>
      </c>
      <c r="G4830" s="1" t="s">
        <v>484</v>
      </c>
      <c r="H4830" s="1">
        <v>252</v>
      </c>
      <c r="I4830" s="3">
        <v>46286</v>
      </c>
      <c r="J4830" s="3">
        <v>46286</v>
      </c>
      <c r="K4830" s="3" t="s">
        <v>2365</v>
      </c>
      <c r="L4830" s="31">
        <v>46286.613531793977</v>
      </c>
      <c r="M4830" s="20">
        <v>6</v>
      </c>
      <c r="N4830" s="1">
        <v>33</v>
      </c>
    </row>
    <row r="4831" spans="1:14" x14ac:dyDescent="0.25">
      <c r="A4831" t="str">
        <f t="shared" si="152"/>
        <v>78820797882079</v>
      </c>
      <c r="B4831" t="str">
        <f t="shared" si="153"/>
        <v>7882079G6035F4-M</v>
      </c>
      <c r="C4831" s="1" t="s">
        <v>24</v>
      </c>
      <c r="D4831" s="1" t="s">
        <v>797</v>
      </c>
      <c r="E4831" s="1" t="s">
        <v>379</v>
      </c>
      <c r="F4831" s="1" t="s">
        <v>504</v>
      </c>
      <c r="G4831" s="1" t="s">
        <v>484</v>
      </c>
      <c r="H4831" s="1">
        <v>252</v>
      </c>
      <c r="I4831" s="3">
        <v>46286</v>
      </c>
      <c r="J4831" s="3">
        <v>46286</v>
      </c>
      <c r="K4831" s="3" t="s">
        <v>2365</v>
      </c>
      <c r="L4831" s="31">
        <v>46286.614746215273</v>
      </c>
      <c r="M4831" s="20">
        <v>6</v>
      </c>
      <c r="N4831" s="1">
        <v>39</v>
      </c>
    </row>
    <row r="4832" spans="1:14" x14ac:dyDescent="0.25">
      <c r="A4832" t="str">
        <f t="shared" si="152"/>
        <v>78820797882079</v>
      </c>
      <c r="B4832" t="str">
        <f t="shared" si="153"/>
        <v>7882079G6035F4-M</v>
      </c>
      <c r="C4832" s="1" t="s">
        <v>24</v>
      </c>
      <c r="D4832" s="1" t="s">
        <v>797</v>
      </c>
      <c r="E4832" s="1" t="s">
        <v>379</v>
      </c>
      <c r="F4832" s="1" t="s">
        <v>504</v>
      </c>
      <c r="G4832" s="1" t="s">
        <v>484</v>
      </c>
      <c r="H4832" s="1">
        <v>252</v>
      </c>
      <c r="I4832" s="3">
        <v>46286</v>
      </c>
      <c r="J4832" s="3">
        <v>46286</v>
      </c>
      <c r="K4832" s="3" t="s">
        <v>2365</v>
      </c>
      <c r="L4832" s="31">
        <v>46286.647514699071</v>
      </c>
      <c r="M4832" s="20">
        <v>6</v>
      </c>
      <c r="N4832" s="1">
        <v>11</v>
      </c>
    </row>
    <row r="4833" spans="1:14" x14ac:dyDescent="0.25">
      <c r="A4833" t="str">
        <f t="shared" si="152"/>
        <v>78820797882079</v>
      </c>
      <c r="B4833" t="str">
        <f t="shared" si="153"/>
        <v>7882079G6035F4-M</v>
      </c>
      <c r="C4833" s="1" t="s">
        <v>24</v>
      </c>
      <c r="D4833" s="1" t="s">
        <v>797</v>
      </c>
      <c r="E4833" s="1" t="s">
        <v>379</v>
      </c>
      <c r="F4833" s="1" t="s">
        <v>504</v>
      </c>
      <c r="G4833" s="1" t="s">
        <v>484</v>
      </c>
      <c r="H4833" s="1">
        <v>252</v>
      </c>
      <c r="I4833" s="3">
        <v>46286</v>
      </c>
      <c r="J4833" s="3">
        <v>46286</v>
      </c>
      <c r="K4833" s="3" t="s">
        <v>2365</v>
      </c>
      <c r="L4833" s="31">
        <v>46286.647924537036</v>
      </c>
      <c r="M4833" s="20">
        <v>6</v>
      </c>
      <c r="N4833" s="1">
        <v>7</v>
      </c>
    </row>
    <row r="4834" spans="1:14" x14ac:dyDescent="0.25">
      <c r="A4834" t="str">
        <f t="shared" si="152"/>
        <v>78820797882079</v>
      </c>
      <c r="B4834" t="str">
        <f t="shared" si="153"/>
        <v>7882079G6035F4-M</v>
      </c>
      <c r="C4834" s="1" t="s">
        <v>24</v>
      </c>
      <c r="D4834" s="1" t="s">
        <v>797</v>
      </c>
      <c r="E4834" s="1" t="s">
        <v>379</v>
      </c>
      <c r="F4834" s="1" t="s">
        <v>504</v>
      </c>
      <c r="G4834" s="1" t="s">
        <v>484</v>
      </c>
      <c r="H4834" s="1">
        <v>252</v>
      </c>
      <c r="I4834" s="3">
        <v>46286</v>
      </c>
      <c r="J4834" s="3">
        <v>46286</v>
      </c>
      <c r="K4834" s="3" t="s">
        <v>2365</v>
      </c>
      <c r="L4834" s="31">
        <v>46286.648174305556</v>
      </c>
      <c r="M4834" s="20">
        <v>6</v>
      </c>
      <c r="N4834" s="1">
        <v>40</v>
      </c>
    </row>
    <row r="4835" spans="1:14" x14ac:dyDescent="0.25">
      <c r="A4835" t="str">
        <f t="shared" si="152"/>
        <v>78820797882079</v>
      </c>
      <c r="B4835" t="str">
        <f t="shared" si="153"/>
        <v>7882079G6035F4-M</v>
      </c>
      <c r="C4835" s="1" t="s">
        <v>24</v>
      </c>
      <c r="D4835" s="1" t="s">
        <v>797</v>
      </c>
      <c r="E4835" s="1" t="s">
        <v>379</v>
      </c>
      <c r="F4835" s="1" t="s">
        <v>504</v>
      </c>
      <c r="G4835" s="1" t="s">
        <v>484</v>
      </c>
      <c r="H4835" s="1">
        <v>252</v>
      </c>
      <c r="I4835" s="3">
        <v>46286</v>
      </c>
      <c r="J4835" s="3">
        <v>46286</v>
      </c>
      <c r="K4835" s="3" t="s">
        <v>2365</v>
      </c>
      <c r="L4835" s="31">
        <v>46286.649431134254</v>
      </c>
      <c r="M4835" s="20">
        <v>6</v>
      </c>
      <c r="N4835" s="1">
        <v>12</v>
      </c>
    </row>
    <row r="4836" spans="1:14" x14ac:dyDescent="0.25">
      <c r="A4836" t="str">
        <f t="shared" si="152"/>
        <v>78820797882079</v>
      </c>
      <c r="B4836" t="str">
        <f t="shared" si="153"/>
        <v>7882079G6035F4-M</v>
      </c>
      <c r="C4836" s="1" t="s">
        <v>24</v>
      </c>
      <c r="D4836" s="1" t="s">
        <v>797</v>
      </c>
      <c r="E4836" s="1" t="s">
        <v>379</v>
      </c>
      <c r="F4836" s="1" t="s">
        <v>504</v>
      </c>
      <c r="G4836" s="1" t="s">
        <v>484</v>
      </c>
      <c r="H4836" s="1">
        <v>252</v>
      </c>
      <c r="I4836" s="3">
        <v>46286</v>
      </c>
      <c r="J4836" s="3">
        <v>46286</v>
      </c>
      <c r="K4836" s="3" t="s">
        <v>2365</v>
      </c>
      <c r="L4836" s="31">
        <v>46286.685672372681</v>
      </c>
      <c r="M4836" s="20">
        <v>6</v>
      </c>
      <c r="N4836" s="1">
        <v>41</v>
      </c>
    </row>
    <row r="4837" spans="1:14" x14ac:dyDescent="0.25">
      <c r="A4837" t="str">
        <f t="shared" si="152"/>
        <v>78820797882079</v>
      </c>
      <c r="B4837" t="str">
        <f t="shared" si="153"/>
        <v>7882079G6035F4-M</v>
      </c>
      <c r="C4837" s="1" t="s">
        <v>24</v>
      </c>
      <c r="D4837" s="1" t="s">
        <v>797</v>
      </c>
      <c r="E4837" s="1" t="s">
        <v>379</v>
      </c>
      <c r="F4837" s="1" t="s">
        <v>504</v>
      </c>
      <c r="G4837" s="1" t="s">
        <v>484</v>
      </c>
      <c r="H4837" s="1">
        <v>252</v>
      </c>
      <c r="I4837" s="3">
        <v>46286</v>
      </c>
      <c r="J4837" s="3">
        <v>46286</v>
      </c>
      <c r="K4837" s="3" t="s">
        <v>2365</v>
      </c>
      <c r="L4837" s="31">
        <v>46286.685866203705</v>
      </c>
      <c r="M4837" s="20">
        <v>6</v>
      </c>
      <c r="N4837" s="1">
        <v>42</v>
      </c>
    </row>
    <row r="4838" spans="1:14" x14ac:dyDescent="0.25">
      <c r="A4838" t="str">
        <f t="shared" si="152"/>
        <v>78820797882079</v>
      </c>
      <c r="B4838" t="str">
        <f t="shared" si="153"/>
        <v>7882079G6035F4-M</v>
      </c>
      <c r="C4838" s="1" t="s">
        <v>24</v>
      </c>
      <c r="D4838" s="1" t="s">
        <v>797</v>
      </c>
      <c r="E4838" s="1" t="s">
        <v>379</v>
      </c>
      <c r="F4838" s="1" t="s">
        <v>504</v>
      </c>
      <c r="G4838" s="1" t="s">
        <v>484</v>
      </c>
      <c r="H4838" s="1">
        <v>252</v>
      </c>
      <c r="I4838" s="3">
        <v>46286</v>
      </c>
      <c r="J4838" s="3">
        <v>46286</v>
      </c>
      <c r="K4838" s="3" t="s">
        <v>2365</v>
      </c>
      <c r="L4838" s="31">
        <v>46286.686148344903</v>
      </c>
      <c r="M4838" s="20">
        <v>6</v>
      </c>
      <c r="N4838" s="1">
        <v>23</v>
      </c>
    </row>
    <row r="4839" spans="1:14" x14ac:dyDescent="0.25">
      <c r="A4839" t="str">
        <f t="shared" si="152"/>
        <v>78845887884588</v>
      </c>
      <c r="B4839" t="str">
        <f t="shared" si="153"/>
        <v>7884588G6035F4-M</v>
      </c>
      <c r="C4839" s="1" t="s">
        <v>24</v>
      </c>
      <c r="D4839" s="1" t="s">
        <v>806</v>
      </c>
      <c r="E4839" s="1" t="s">
        <v>382</v>
      </c>
      <c r="F4839" s="1" t="s">
        <v>383</v>
      </c>
      <c r="G4839" s="1" t="s">
        <v>395</v>
      </c>
      <c r="H4839" s="1">
        <v>1716</v>
      </c>
      <c r="I4839" s="3">
        <v>46286</v>
      </c>
      <c r="J4839" s="3">
        <v>46289</v>
      </c>
      <c r="K4839" s="3" t="s">
        <v>2374</v>
      </c>
      <c r="L4839" s="31">
        <v>46286.482088506942</v>
      </c>
      <c r="M4839" s="20">
        <v>12</v>
      </c>
      <c r="N4839" s="1">
        <v>105</v>
      </c>
    </row>
    <row r="4840" spans="1:14" x14ac:dyDescent="0.25">
      <c r="A4840" t="str">
        <f t="shared" si="152"/>
        <v>78845887884588</v>
      </c>
      <c r="B4840" t="str">
        <f t="shared" si="153"/>
        <v>7884588G6035F4-M</v>
      </c>
      <c r="C4840" s="1" t="s">
        <v>24</v>
      </c>
      <c r="D4840" s="1" t="s">
        <v>806</v>
      </c>
      <c r="E4840" s="1" t="s">
        <v>382</v>
      </c>
      <c r="F4840" s="1" t="s">
        <v>383</v>
      </c>
      <c r="G4840" s="1" t="s">
        <v>395</v>
      </c>
      <c r="H4840" s="1">
        <v>1716</v>
      </c>
      <c r="I4840" s="3">
        <v>46286</v>
      </c>
      <c r="J4840" s="3">
        <v>46289</v>
      </c>
      <c r="K4840" s="3" t="s">
        <v>2374</v>
      </c>
      <c r="L4840" s="31">
        <v>46286.552335266198</v>
      </c>
      <c r="M4840" s="20">
        <v>12</v>
      </c>
      <c r="N4840" s="1">
        <v>93</v>
      </c>
    </row>
    <row r="4841" spans="1:14" x14ac:dyDescent="0.25">
      <c r="A4841" t="str">
        <f t="shared" si="152"/>
        <v>78845887884588</v>
      </c>
      <c r="B4841" t="str">
        <f t="shared" si="153"/>
        <v>7884588G6035F4-M</v>
      </c>
      <c r="C4841" s="1" t="s">
        <v>24</v>
      </c>
      <c r="D4841" s="1" t="s">
        <v>806</v>
      </c>
      <c r="E4841" s="1" t="s">
        <v>382</v>
      </c>
      <c r="F4841" s="1" t="s">
        <v>383</v>
      </c>
      <c r="G4841" s="1" t="s">
        <v>395</v>
      </c>
      <c r="H4841" s="1">
        <v>1716</v>
      </c>
      <c r="I4841" s="3">
        <v>46286</v>
      </c>
      <c r="J4841" s="3">
        <v>46289</v>
      </c>
      <c r="K4841" s="3" t="s">
        <v>2374</v>
      </c>
      <c r="L4841" s="31">
        <v>46286.55248961805</v>
      </c>
      <c r="M4841" s="20">
        <v>12</v>
      </c>
      <c r="N4841" s="1">
        <v>70</v>
      </c>
    </row>
    <row r="4842" spans="1:14" x14ac:dyDescent="0.25">
      <c r="A4842" t="str">
        <f t="shared" si="152"/>
        <v>78845887884588</v>
      </c>
      <c r="B4842" t="str">
        <f t="shared" si="153"/>
        <v>7884588G6035F4-M</v>
      </c>
      <c r="C4842" s="1" t="s">
        <v>24</v>
      </c>
      <c r="D4842" s="1" t="s">
        <v>806</v>
      </c>
      <c r="E4842" s="1" t="s">
        <v>382</v>
      </c>
      <c r="F4842" s="1" t="s">
        <v>383</v>
      </c>
      <c r="G4842" s="1" t="s">
        <v>395</v>
      </c>
      <c r="H4842" s="1">
        <v>1716</v>
      </c>
      <c r="I4842" s="3">
        <v>46286</v>
      </c>
      <c r="J4842" s="3">
        <v>46289</v>
      </c>
      <c r="K4842" s="3" t="s">
        <v>2374</v>
      </c>
      <c r="L4842" s="31">
        <v>46286.567688657407</v>
      </c>
      <c r="M4842" s="20">
        <v>12</v>
      </c>
      <c r="N4842" s="1">
        <v>14</v>
      </c>
    </row>
    <row r="4843" spans="1:14" x14ac:dyDescent="0.25">
      <c r="A4843" t="str">
        <f t="shared" si="152"/>
        <v>78845887884588</v>
      </c>
      <c r="B4843" t="str">
        <f t="shared" si="153"/>
        <v>7884588G6035F4-M</v>
      </c>
      <c r="C4843" s="1" t="s">
        <v>24</v>
      </c>
      <c r="D4843" s="1" t="s">
        <v>806</v>
      </c>
      <c r="E4843" s="1" t="s">
        <v>382</v>
      </c>
      <c r="F4843" s="1" t="s">
        <v>383</v>
      </c>
      <c r="G4843" s="1" t="s">
        <v>395</v>
      </c>
      <c r="H4843" s="1">
        <v>1716</v>
      </c>
      <c r="I4843" s="3">
        <v>46286</v>
      </c>
      <c r="J4843" s="3">
        <v>46289</v>
      </c>
      <c r="K4843" s="3" t="s">
        <v>2374</v>
      </c>
      <c r="L4843" s="31">
        <v>46286.577013657406</v>
      </c>
      <c r="M4843" s="20">
        <v>12</v>
      </c>
      <c r="N4843" s="1">
        <v>32</v>
      </c>
    </row>
    <row r="4844" spans="1:14" x14ac:dyDescent="0.25">
      <c r="A4844" t="str">
        <f t="shared" si="152"/>
        <v>78845887884588</v>
      </c>
      <c r="B4844" t="str">
        <f t="shared" si="153"/>
        <v>7884588G6035F4-M</v>
      </c>
      <c r="C4844" s="1" t="s">
        <v>24</v>
      </c>
      <c r="D4844" s="1" t="s">
        <v>806</v>
      </c>
      <c r="E4844" s="1" t="s">
        <v>382</v>
      </c>
      <c r="F4844" s="1" t="s">
        <v>383</v>
      </c>
      <c r="G4844" s="1" t="s">
        <v>395</v>
      </c>
      <c r="H4844" s="1">
        <v>1716</v>
      </c>
      <c r="I4844" s="3">
        <v>46286</v>
      </c>
      <c r="J4844" s="3">
        <v>46289</v>
      </c>
      <c r="K4844" s="3" t="s">
        <v>2374</v>
      </c>
      <c r="L4844" s="31">
        <v>46286.59335732639</v>
      </c>
      <c r="M4844" s="20">
        <v>12</v>
      </c>
      <c r="N4844" s="1">
        <v>13</v>
      </c>
    </row>
    <row r="4845" spans="1:14" x14ac:dyDescent="0.25">
      <c r="A4845" t="str">
        <f t="shared" si="152"/>
        <v>78845887884588</v>
      </c>
      <c r="B4845" t="str">
        <f t="shared" si="153"/>
        <v>7884588G6035F4-M</v>
      </c>
      <c r="C4845" s="1" t="s">
        <v>24</v>
      </c>
      <c r="D4845" s="1" t="s">
        <v>806</v>
      </c>
      <c r="E4845" s="1" t="s">
        <v>382</v>
      </c>
      <c r="F4845" s="1" t="s">
        <v>383</v>
      </c>
      <c r="G4845" s="1" t="s">
        <v>395</v>
      </c>
      <c r="H4845" s="1">
        <v>1716</v>
      </c>
      <c r="I4845" s="3">
        <v>46286</v>
      </c>
      <c r="J4845" s="3">
        <v>46289</v>
      </c>
      <c r="K4845" s="3" t="s">
        <v>2374</v>
      </c>
      <c r="L4845" s="31">
        <v>46286.632296145828</v>
      </c>
      <c r="M4845" s="20">
        <v>12</v>
      </c>
      <c r="N4845" s="1">
        <v>16</v>
      </c>
    </row>
    <row r="4846" spans="1:14" x14ac:dyDescent="0.25">
      <c r="A4846" t="str">
        <f t="shared" si="152"/>
        <v>78845887884588</v>
      </c>
      <c r="B4846" t="str">
        <f t="shared" si="153"/>
        <v>7884588G6035F4-M</v>
      </c>
      <c r="C4846" s="1" t="s">
        <v>24</v>
      </c>
      <c r="D4846" s="1" t="s">
        <v>806</v>
      </c>
      <c r="E4846" s="1" t="s">
        <v>382</v>
      </c>
      <c r="F4846" s="1" t="s">
        <v>383</v>
      </c>
      <c r="G4846" s="1" t="s">
        <v>395</v>
      </c>
      <c r="H4846" s="1">
        <v>1716</v>
      </c>
      <c r="I4846" s="3">
        <v>46286</v>
      </c>
      <c r="J4846" s="3">
        <v>46289</v>
      </c>
      <c r="K4846" s="3" t="s">
        <v>2374</v>
      </c>
      <c r="L4846" s="31">
        <v>46286.64896608796</v>
      </c>
      <c r="M4846" s="20">
        <v>12</v>
      </c>
      <c r="N4846" s="1">
        <v>18</v>
      </c>
    </row>
    <row r="4847" spans="1:14" x14ac:dyDescent="0.25">
      <c r="A4847" t="str">
        <f t="shared" si="152"/>
        <v>78845887884588</v>
      </c>
      <c r="B4847" t="str">
        <f t="shared" si="153"/>
        <v>7884588G6035F4-M</v>
      </c>
      <c r="C4847" s="1" t="s">
        <v>24</v>
      </c>
      <c r="D4847" s="1" t="s">
        <v>806</v>
      </c>
      <c r="E4847" s="1" t="s">
        <v>382</v>
      </c>
      <c r="F4847" s="1" t="s">
        <v>383</v>
      </c>
      <c r="G4847" s="1" t="s">
        <v>395</v>
      </c>
      <c r="H4847" s="1">
        <v>1716</v>
      </c>
      <c r="I4847" s="3">
        <v>46286</v>
      </c>
      <c r="J4847" s="3">
        <v>46289</v>
      </c>
      <c r="K4847" s="3" t="s">
        <v>2374</v>
      </c>
      <c r="L4847" s="31">
        <v>46286.670145682867</v>
      </c>
      <c r="M4847" s="20">
        <v>12</v>
      </c>
      <c r="N4847" s="1">
        <v>104</v>
      </c>
    </row>
    <row r="4848" spans="1:14" x14ac:dyDescent="0.25">
      <c r="A4848" t="str">
        <f t="shared" si="152"/>
        <v>78845887884588</v>
      </c>
      <c r="B4848" t="str">
        <f t="shared" si="153"/>
        <v>7884588G6035F4-M</v>
      </c>
      <c r="C4848" s="1" t="s">
        <v>24</v>
      </c>
      <c r="D4848" s="1" t="s">
        <v>806</v>
      </c>
      <c r="E4848" s="1" t="s">
        <v>382</v>
      </c>
      <c r="F4848" s="1" t="s">
        <v>383</v>
      </c>
      <c r="G4848" s="1" t="s">
        <v>395</v>
      </c>
      <c r="H4848" s="1">
        <v>1716</v>
      </c>
      <c r="I4848" s="3">
        <v>46286</v>
      </c>
      <c r="J4848" s="3">
        <v>46289</v>
      </c>
      <c r="K4848" s="3" t="s">
        <v>2374</v>
      </c>
      <c r="L4848" s="31">
        <v>46286.675358680557</v>
      </c>
      <c r="M4848" s="20">
        <v>12</v>
      </c>
      <c r="N4848" s="1">
        <v>129</v>
      </c>
    </row>
    <row r="4849" spans="1:14" x14ac:dyDescent="0.25">
      <c r="A4849" t="str">
        <f t="shared" si="152"/>
        <v>78845887884588</v>
      </c>
      <c r="B4849" t="str">
        <f t="shared" si="153"/>
        <v>7884588G6035F4-M</v>
      </c>
      <c r="C4849" s="1" t="s">
        <v>24</v>
      </c>
      <c r="D4849" s="1" t="s">
        <v>806</v>
      </c>
      <c r="E4849" s="1" t="s">
        <v>382</v>
      </c>
      <c r="F4849" s="1" t="s">
        <v>383</v>
      </c>
      <c r="G4849" s="1" t="s">
        <v>395</v>
      </c>
      <c r="H4849" s="1">
        <v>1716</v>
      </c>
      <c r="I4849" s="3">
        <v>46286</v>
      </c>
      <c r="J4849" s="3">
        <v>46289</v>
      </c>
      <c r="K4849" s="3" t="s">
        <v>2374</v>
      </c>
      <c r="L4849" s="31">
        <v>46286.675920520829</v>
      </c>
      <c r="M4849" s="20">
        <v>12</v>
      </c>
      <c r="N4849" s="1">
        <v>50</v>
      </c>
    </row>
    <row r="4850" spans="1:14" x14ac:dyDescent="0.25">
      <c r="A4850" t="str">
        <f t="shared" si="152"/>
        <v>78845887884588</v>
      </c>
      <c r="B4850" t="str">
        <f t="shared" si="153"/>
        <v>7884588G6035F4-M</v>
      </c>
      <c r="C4850" s="1" t="s">
        <v>24</v>
      </c>
      <c r="D4850" s="1" t="s">
        <v>806</v>
      </c>
      <c r="E4850" s="1" t="s">
        <v>382</v>
      </c>
      <c r="F4850" s="1" t="s">
        <v>383</v>
      </c>
      <c r="G4850" s="1" t="s">
        <v>395</v>
      </c>
      <c r="H4850" s="1">
        <v>1716</v>
      </c>
      <c r="I4850" s="3">
        <v>46286</v>
      </c>
      <c r="J4850" s="3">
        <v>46289</v>
      </c>
      <c r="K4850" s="3" t="s">
        <v>2374</v>
      </c>
      <c r="L4850" s="31">
        <v>46286.676319409722</v>
      </c>
      <c r="M4850" s="20">
        <v>12</v>
      </c>
      <c r="N4850" s="1">
        <v>74</v>
      </c>
    </row>
    <row r="4851" spans="1:14" x14ac:dyDescent="0.25">
      <c r="A4851" t="str">
        <f t="shared" si="152"/>
        <v>78845887884588</v>
      </c>
      <c r="B4851" t="str">
        <f t="shared" si="153"/>
        <v>7884588G6035F4-M</v>
      </c>
      <c r="C4851" s="1" t="s">
        <v>24</v>
      </c>
      <c r="D4851" s="1" t="s">
        <v>806</v>
      </c>
      <c r="E4851" s="1" t="s">
        <v>382</v>
      </c>
      <c r="F4851" s="1" t="s">
        <v>383</v>
      </c>
      <c r="G4851" s="1" t="s">
        <v>395</v>
      </c>
      <c r="H4851" s="1">
        <v>1716</v>
      </c>
      <c r="I4851" s="3">
        <v>46286</v>
      </c>
      <c r="J4851" s="3">
        <v>46289</v>
      </c>
      <c r="K4851" s="3" t="s">
        <v>2374</v>
      </c>
      <c r="L4851" s="31">
        <v>46286.679371759259</v>
      </c>
      <c r="M4851" s="20">
        <v>12</v>
      </c>
      <c r="N4851" s="1">
        <v>73</v>
      </c>
    </row>
    <row r="4852" spans="1:14" x14ac:dyDescent="0.25">
      <c r="A4852" t="str">
        <f t="shared" si="152"/>
        <v>78845887884588</v>
      </c>
      <c r="B4852" t="str">
        <f t="shared" si="153"/>
        <v>7884588G6035F4-M</v>
      </c>
      <c r="C4852" s="1" t="s">
        <v>24</v>
      </c>
      <c r="D4852" s="1" t="s">
        <v>806</v>
      </c>
      <c r="E4852" s="1" t="s">
        <v>382</v>
      </c>
      <c r="F4852" s="1" t="s">
        <v>383</v>
      </c>
      <c r="G4852" s="1" t="s">
        <v>395</v>
      </c>
      <c r="H4852" s="1">
        <v>1716</v>
      </c>
      <c r="I4852" s="3">
        <v>46286</v>
      </c>
      <c r="J4852" s="3">
        <v>46289</v>
      </c>
      <c r="K4852" s="3" t="s">
        <v>2374</v>
      </c>
      <c r="L4852" s="31">
        <v>46286.679539039353</v>
      </c>
      <c r="M4852" s="20">
        <v>12</v>
      </c>
      <c r="N4852" s="1">
        <v>17</v>
      </c>
    </row>
    <row r="4853" spans="1:14" x14ac:dyDescent="0.25">
      <c r="A4853" t="str">
        <f t="shared" si="152"/>
        <v>78845887884588</v>
      </c>
      <c r="B4853" t="str">
        <f t="shared" si="153"/>
        <v>7884588G6035F4-M</v>
      </c>
      <c r="C4853" s="1" t="s">
        <v>24</v>
      </c>
      <c r="D4853" s="1" t="s">
        <v>806</v>
      </c>
      <c r="E4853" s="1" t="s">
        <v>382</v>
      </c>
      <c r="F4853" s="1" t="s">
        <v>383</v>
      </c>
      <c r="G4853" s="1" t="s">
        <v>395</v>
      </c>
      <c r="H4853" s="1">
        <v>1716</v>
      </c>
      <c r="I4853" s="3">
        <v>46286</v>
      </c>
      <c r="J4853" s="3">
        <v>46289</v>
      </c>
      <c r="K4853" s="3" t="s">
        <v>2374</v>
      </c>
      <c r="L4853" s="31">
        <v>46286.680082175924</v>
      </c>
      <c r="M4853" s="20">
        <v>12</v>
      </c>
      <c r="N4853" s="1">
        <v>31</v>
      </c>
    </row>
    <row r="4854" spans="1:14" x14ac:dyDescent="0.25">
      <c r="A4854" t="str">
        <f t="shared" si="152"/>
        <v>78845887884588</v>
      </c>
      <c r="B4854" t="str">
        <f t="shared" si="153"/>
        <v>7884588G6035F4-M</v>
      </c>
      <c r="C4854" s="1" t="s">
        <v>24</v>
      </c>
      <c r="D4854" s="1" t="s">
        <v>806</v>
      </c>
      <c r="E4854" s="1" t="s">
        <v>382</v>
      </c>
      <c r="F4854" s="1" t="s">
        <v>383</v>
      </c>
      <c r="G4854" s="1" t="s">
        <v>395</v>
      </c>
      <c r="H4854" s="1">
        <v>1716</v>
      </c>
      <c r="I4854" s="3">
        <v>46286</v>
      </c>
      <c r="J4854" s="3">
        <v>46289</v>
      </c>
      <c r="K4854" s="3" t="s">
        <v>2374</v>
      </c>
      <c r="L4854" s="31">
        <v>46286.686984953703</v>
      </c>
      <c r="M4854" s="20">
        <v>12</v>
      </c>
      <c r="N4854" s="1">
        <v>52</v>
      </c>
    </row>
    <row r="4855" spans="1:14" x14ac:dyDescent="0.25">
      <c r="A4855" t="str">
        <f t="shared" si="152"/>
        <v>78845887884588</v>
      </c>
      <c r="B4855" t="str">
        <f t="shared" si="153"/>
        <v>7884588G6035F4-M</v>
      </c>
      <c r="C4855" s="1" t="s">
        <v>24</v>
      </c>
      <c r="D4855" s="1" t="s">
        <v>806</v>
      </c>
      <c r="E4855" s="1" t="s">
        <v>382</v>
      </c>
      <c r="F4855" s="1" t="s">
        <v>383</v>
      </c>
      <c r="G4855" s="1" t="s">
        <v>395</v>
      </c>
      <c r="H4855" s="1">
        <v>1716</v>
      </c>
      <c r="I4855" s="3">
        <v>46286</v>
      </c>
      <c r="J4855" s="3">
        <v>46289</v>
      </c>
      <c r="K4855" s="3" t="s">
        <v>2374</v>
      </c>
      <c r="L4855" s="31">
        <v>46286.690370717588</v>
      </c>
      <c r="M4855" s="20">
        <v>12</v>
      </c>
      <c r="N4855" s="1">
        <v>35</v>
      </c>
    </row>
    <row r="4856" spans="1:14" x14ac:dyDescent="0.25">
      <c r="A4856" t="str">
        <f t="shared" si="152"/>
        <v>78845887884588</v>
      </c>
      <c r="B4856" t="str">
        <f t="shared" si="153"/>
        <v>7884588G6035F4-M</v>
      </c>
      <c r="C4856" s="1" t="s">
        <v>24</v>
      </c>
      <c r="D4856" s="1" t="s">
        <v>806</v>
      </c>
      <c r="E4856" s="1" t="s">
        <v>382</v>
      </c>
      <c r="F4856" s="1" t="s">
        <v>383</v>
      </c>
      <c r="G4856" s="1" t="s">
        <v>395</v>
      </c>
      <c r="H4856" s="1">
        <v>1716</v>
      </c>
      <c r="I4856" s="3">
        <v>46286</v>
      </c>
      <c r="J4856" s="3">
        <v>46289</v>
      </c>
      <c r="K4856" s="3" t="s">
        <v>2374</v>
      </c>
      <c r="L4856" s="31">
        <v>46286.692791516201</v>
      </c>
      <c r="M4856" s="20">
        <v>12</v>
      </c>
      <c r="N4856" s="1">
        <v>51</v>
      </c>
    </row>
    <row r="4857" spans="1:14" x14ac:dyDescent="0.25">
      <c r="A4857" t="str">
        <f t="shared" si="152"/>
        <v>78846727884672</v>
      </c>
      <c r="B4857" t="str">
        <f t="shared" si="153"/>
        <v>7884672M997H9T8-D</v>
      </c>
      <c r="C4857" s="1" t="s">
        <v>485</v>
      </c>
      <c r="D4857" s="1" t="s">
        <v>795</v>
      </c>
      <c r="E4857" s="1" t="s">
        <v>382</v>
      </c>
      <c r="F4857" s="1" t="s">
        <v>383</v>
      </c>
      <c r="G4857" s="1" t="s">
        <v>395</v>
      </c>
      <c r="H4857" s="1">
        <v>282</v>
      </c>
      <c r="I4857" s="3">
        <v>46286</v>
      </c>
      <c r="J4857" s="3">
        <v>46289</v>
      </c>
      <c r="L4857" s="31">
        <v>46286.356918865742</v>
      </c>
      <c r="M4857" s="20">
        <v>12</v>
      </c>
      <c r="N4857" s="1">
        <v>19</v>
      </c>
    </row>
    <row r="4858" spans="1:14" x14ac:dyDescent="0.25">
      <c r="A4858" t="str">
        <f t="shared" si="152"/>
        <v>78846727884672</v>
      </c>
      <c r="B4858" t="str">
        <f t="shared" si="153"/>
        <v>7884672M997H9T8-D</v>
      </c>
      <c r="C4858" s="1" t="s">
        <v>485</v>
      </c>
      <c r="D4858" s="1" t="s">
        <v>795</v>
      </c>
      <c r="E4858" s="1" t="s">
        <v>382</v>
      </c>
      <c r="F4858" s="1" t="s">
        <v>383</v>
      </c>
      <c r="G4858" s="1" t="s">
        <v>395</v>
      </c>
      <c r="H4858" s="1">
        <v>282</v>
      </c>
      <c r="I4858" s="3">
        <v>46286</v>
      </c>
      <c r="J4858" s="3">
        <v>46289</v>
      </c>
      <c r="L4858" s="31">
        <v>46286.357348923608</v>
      </c>
      <c r="M4858" s="20">
        <v>12</v>
      </c>
      <c r="N4858" s="1">
        <v>7</v>
      </c>
    </row>
    <row r="4859" spans="1:14" x14ac:dyDescent="0.25">
      <c r="A4859" t="str">
        <f t="shared" si="152"/>
        <v>78846727884672</v>
      </c>
      <c r="B4859" t="str">
        <f t="shared" si="153"/>
        <v>7884672M997H9T8-D</v>
      </c>
      <c r="C4859" s="1" t="s">
        <v>485</v>
      </c>
      <c r="D4859" s="1" t="s">
        <v>795</v>
      </c>
      <c r="E4859" s="1" t="s">
        <v>382</v>
      </c>
      <c r="F4859" s="1" t="s">
        <v>383</v>
      </c>
      <c r="G4859" s="1" t="s">
        <v>395</v>
      </c>
      <c r="H4859" s="1">
        <v>282</v>
      </c>
      <c r="I4859" s="3">
        <v>46286</v>
      </c>
      <c r="J4859" s="3">
        <v>46289</v>
      </c>
      <c r="L4859" s="31">
        <v>46286.369739351852</v>
      </c>
      <c r="M4859" s="20">
        <v>12</v>
      </c>
      <c r="N4859" s="1">
        <v>6</v>
      </c>
    </row>
    <row r="4860" spans="1:14" x14ac:dyDescent="0.25">
      <c r="A4860" t="str">
        <f t="shared" si="152"/>
        <v>78846727884672</v>
      </c>
      <c r="B4860" t="str">
        <f t="shared" si="153"/>
        <v>7884672M997H9T8-D</v>
      </c>
      <c r="C4860" s="1" t="s">
        <v>485</v>
      </c>
      <c r="D4860" s="1" t="s">
        <v>795</v>
      </c>
      <c r="E4860" s="1" t="s">
        <v>382</v>
      </c>
      <c r="F4860" s="1" t="s">
        <v>383</v>
      </c>
      <c r="G4860" s="1" t="s">
        <v>395</v>
      </c>
      <c r="H4860" s="1">
        <v>282</v>
      </c>
      <c r="I4860" s="3">
        <v>46286</v>
      </c>
      <c r="J4860" s="3">
        <v>46289</v>
      </c>
      <c r="L4860" s="31">
        <v>46286.369959062496</v>
      </c>
      <c r="M4860" s="20">
        <v>12</v>
      </c>
      <c r="N4860" s="1">
        <v>1</v>
      </c>
    </row>
    <row r="4861" spans="1:14" x14ac:dyDescent="0.25">
      <c r="A4861" t="str">
        <f t="shared" si="152"/>
        <v>78846727884672</v>
      </c>
      <c r="B4861" t="str">
        <f t="shared" si="153"/>
        <v>7884672M997H9T8-D</v>
      </c>
      <c r="C4861" s="1" t="s">
        <v>485</v>
      </c>
      <c r="D4861" s="1" t="s">
        <v>795</v>
      </c>
      <c r="E4861" s="1" t="s">
        <v>382</v>
      </c>
      <c r="F4861" s="1" t="s">
        <v>383</v>
      </c>
      <c r="G4861" s="1" t="s">
        <v>395</v>
      </c>
      <c r="H4861" s="1">
        <v>282</v>
      </c>
      <c r="I4861" s="3">
        <v>46286</v>
      </c>
      <c r="J4861" s="3">
        <v>46289</v>
      </c>
      <c r="L4861" s="31">
        <v>46286.37016982639</v>
      </c>
      <c r="M4861" s="20">
        <v>12</v>
      </c>
      <c r="N4861" s="1">
        <v>9</v>
      </c>
    </row>
    <row r="4862" spans="1:14" x14ac:dyDescent="0.25">
      <c r="A4862" t="str">
        <f t="shared" si="152"/>
        <v>78846727884672</v>
      </c>
      <c r="B4862" t="str">
        <f t="shared" si="153"/>
        <v>7884672M997H9T8-D</v>
      </c>
      <c r="C4862" s="1" t="s">
        <v>485</v>
      </c>
      <c r="D4862" s="1" t="s">
        <v>795</v>
      </c>
      <c r="E4862" s="1" t="s">
        <v>382</v>
      </c>
      <c r="F4862" s="1" t="s">
        <v>383</v>
      </c>
      <c r="G4862" s="1" t="s">
        <v>395</v>
      </c>
      <c r="H4862" s="1">
        <v>282</v>
      </c>
      <c r="I4862" s="3">
        <v>46286</v>
      </c>
      <c r="J4862" s="3">
        <v>46289</v>
      </c>
      <c r="L4862" s="31">
        <v>46286.395720138884</v>
      </c>
      <c r="M4862" s="20">
        <v>12</v>
      </c>
      <c r="N4862" s="1">
        <v>5</v>
      </c>
    </row>
    <row r="4863" spans="1:14" x14ac:dyDescent="0.25">
      <c r="A4863" t="str">
        <f t="shared" si="152"/>
        <v>78846727884672</v>
      </c>
      <c r="B4863" t="str">
        <f t="shared" si="153"/>
        <v>7884672M997H9T8-D</v>
      </c>
      <c r="C4863" s="1" t="s">
        <v>485</v>
      </c>
      <c r="D4863" s="1" t="s">
        <v>795</v>
      </c>
      <c r="E4863" s="1" t="s">
        <v>382</v>
      </c>
      <c r="F4863" s="1" t="s">
        <v>383</v>
      </c>
      <c r="G4863" s="1" t="s">
        <v>395</v>
      </c>
      <c r="H4863" s="1">
        <v>282</v>
      </c>
      <c r="I4863" s="3">
        <v>46286</v>
      </c>
      <c r="J4863" s="3">
        <v>46289</v>
      </c>
      <c r="L4863" s="31">
        <v>46286.395940625</v>
      </c>
      <c r="M4863" s="20">
        <v>12</v>
      </c>
      <c r="N4863" s="1">
        <v>18</v>
      </c>
    </row>
    <row r="4864" spans="1:14" x14ac:dyDescent="0.25">
      <c r="A4864" t="str">
        <f t="shared" si="152"/>
        <v>78846727884672</v>
      </c>
      <c r="B4864" t="str">
        <f t="shared" si="153"/>
        <v>7884672M997H9T8-D</v>
      </c>
      <c r="C4864" s="1" t="s">
        <v>485</v>
      </c>
      <c r="D4864" s="1" t="s">
        <v>795</v>
      </c>
      <c r="E4864" s="1" t="s">
        <v>382</v>
      </c>
      <c r="F4864" s="1" t="s">
        <v>383</v>
      </c>
      <c r="G4864" s="1" t="s">
        <v>395</v>
      </c>
      <c r="H4864" s="1">
        <v>282</v>
      </c>
      <c r="I4864" s="3">
        <v>46286</v>
      </c>
      <c r="J4864" s="3">
        <v>46289</v>
      </c>
      <c r="L4864" s="31">
        <v>46286.396547997683</v>
      </c>
      <c r="M4864" s="20">
        <v>12</v>
      </c>
      <c r="N4864" s="1">
        <v>4</v>
      </c>
    </row>
    <row r="4865" spans="1:14" x14ac:dyDescent="0.25">
      <c r="A4865" t="str">
        <f t="shared" si="152"/>
        <v>78846727884672</v>
      </c>
      <c r="B4865" t="str">
        <f t="shared" si="153"/>
        <v>7884672M997H9T8-D</v>
      </c>
      <c r="C4865" s="1" t="s">
        <v>485</v>
      </c>
      <c r="D4865" s="1" t="s">
        <v>795</v>
      </c>
      <c r="E4865" s="1" t="s">
        <v>382</v>
      </c>
      <c r="F4865" s="1" t="s">
        <v>383</v>
      </c>
      <c r="G4865" s="1" t="s">
        <v>395</v>
      </c>
      <c r="H4865" s="1">
        <v>282</v>
      </c>
      <c r="I4865" s="3">
        <v>46286</v>
      </c>
      <c r="J4865" s="3">
        <v>46289</v>
      </c>
      <c r="L4865" s="31">
        <v>46286.403685335645</v>
      </c>
      <c r="M4865" s="20">
        <v>12</v>
      </c>
      <c r="N4865" s="1">
        <v>11</v>
      </c>
    </row>
    <row r="4866" spans="1:14" x14ac:dyDescent="0.25">
      <c r="A4866" t="str">
        <f t="shared" ref="A4866:A4929" si="154">+D4866&amp;D4866</f>
        <v>78846727884672</v>
      </c>
      <c r="B4866" t="str">
        <f t="shared" ref="B4866:B4929" si="155">+D4866&amp;C4866</f>
        <v>7884672M997H9T8-D</v>
      </c>
      <c r="C4866" s="1" t="s">
        <v>485</v>
      </c>
      <c r="D4866" s="1" t="s">
        <v>795</v>
      </c>
      <c r="E4866" s="1" t="s">
        <v>382</v>
      </c>
      <c r="F4866" s="1" t="s">
        <v>383</v>
      </c>
      <c r="G4866" s="1" t="s">
        <v>395</v>
      </c>
      <c r="H4866" s="1">
        <v>282</v>
      </c>
      <c r="I4866" s="3">
        <v>46286</v>
      </c>
      <c r="J4866" s="3">
        <v>46289</v>
      </c>
      <c r="L4866" s="31">
        <v>46286.403864699074</v>
      </c>
      <c r="M4866" s="20">
        <v>12</v>
      </c>
      <c r="N4866" s="1">
        <v>17</v>
      </c>
    </row>
    <row r="4867" spans="1:14" x14ac:dyDescent="0.25">
      <c r="A4867" t="str">
        <f t="shared" si="154"/>
        <v>78846727884672</v>
      </c>
      <c r="B4867" t="str">
        <f t="shared" si="155"/>
        <v>7884672M997H9T8-D</v>
      </c>
      <c r="C4867" s="1" t="s">
        <v>485</v>
      </c>
      <c r="D4867" s="1" t="s">
        <v>795</v>
      </c>
      <c r="E4867" s="1" t="s">
        <v>382</v>
      </c>
      <c r="F4867" s="1" t="s">
        <v>383</v>
      </c>
      <c r="G4867" s="1" t="s">
        <v>395</v>
      </c>
      <c r="H4867" s="1">
        <v>282</v>
      </c>
      <c r="I4867" s="3">
        <v>46286</v>
      </c>
      <c r="J4867" s="3">
        <v>46289</v>
      </c>
      <c r="L4867" s="31">
        <v>46286.404045138886</v>
      </c>
      <c r="M4867" s="20">
        <v>6</v>
      </c>
      <c r="N4867" s="1">
        <v>26</v>
      </c>
    </row>
    <row r="4868" spans="1:14" x14ac:dyDescent="0.25">
      <c r="A4868" t="str">
        <f t="shared" si="154"/>
        <v>78846727884672</v>
      </c>
      <c r="B4868" t="str">
        <f t="shared" si="155"/>
        <v>7884672M997H9T8-D</v>
      </c>
      <c r="C4868" s="1" t="s">
        <v>485</v>
      </c>
      <c r="D4868" s="1" t="s">
        <v>795</v>
      </c>
      <c r="E4868" s="1" t="s">
        <v>382</v>
      </c>
      <c r="F4868" s="1" t="s">
        <v>383</v>
      </c>
      <c r="G4868" s="1" t="s">
        <v>395</v>
      </c>
      <c r="H4868" s="1">
        <v>282</v>
      </c>
      <c r="I4868" s="3">
        <v>46286</v>
      </c>
      <c r="J4868" s="3">
        <v>46289</v>
      </c>
      <c r="L4868" s="31">
        <v>46286.413047800925</v>
      </c>
      <c r="M4868" s="20">
        <v>6</v>
      </c>
      <c r="N4868" s="1">
        <v>25</v>
      </c>
    </row>
    <row r="4869" spans="1:14" x14ac:dyDescent="0.25">
      <c r="A4869" t="str">
        <f t="shared" si="154"/>
        <v>78846727884672</v>
      </c>
      <c r="B4869" t="str">
        <f t="shared" si="155"/>
        <v>7884672M997H9T8-D</v>
      </c>
      <c r="C4869" s="1" t="s">
        <v>485</v>
      </c>
      <c r="D4869" s="1" t="s">
        <v>795</v>
      </c>
      <c r="E4869" s="1" t="s">
        <v>382</v>
      </c>
      <c r="F4869" s="1" t="s">
        <v>383</v>
      </c>
      <c r="G4869" s="1" t="s">
        <v>395</v>
      </c>
      <c r="H4869" s="1">
        <v>282</v>
      </c>
      <c r="I4869" s="3">
        <v>46286</v>
      </c>
      <c r="J4869" s="3">
        <v>46289</v>
      </c>
      <c r="L4869" s="31">
        <v>46286.413644097222</v>
      </c>
      <c r="M4869" s="20">
        <v>12</v>
      </c>
      <c r="N4869" s="1">
        <v>3</v>
      </c>
    </row>
    <row r="4870" spans="1:14" x14ac:dyDescent="0.25">
      <c r="A4870" t="str">
        <f t="shared" si="154"/>
        <v>78846727884672</v>
      </c>
      <c r="B4870" t="str">
        <f t="shared" si="155"/>
        <v>7884672M997H9T8-D</v>
      </c>
      <c r="C4870" s="1" t="s">
        <v>485</v>
      </c>
      <c r="D4870" s="1" t="s">
        <v>795</v>
      </c>
      <c r="E4870" s="1" t="s">
        <v>382</v>
      </c>
      <c r="F4870" s="1" t="s">
        <v>383</v>
      </c>
      <c r="G4870" s="1" t="s">
        <v>395</v>
      </c>
      <c r="H4870" s="1">
        <v>282</v>
      </c>
      <c r="I4870" s="3">
        <v>46286</v>
      </c>
      <c r="J4870" s="3">
        <v>46289</v>
      </c>
      <c r="L4870" s="31">
        <v>46286.422199421293</v>
      </c>
      <c r="M4870" s="20">
        <v>12</v>
      </c>
      <c r="N4870" s="1">
        <v>8</v>
      </c>
    </row>
    <row r="4871" spans="1:14" x14ac:dyDescent="0.25">
      <c r="A4871" t="str">
        <f t="shared" si="154"/>
        <v>78846727884672</v>
      </c>
      <c r="B4871" t="str">
        <f t="shared" si="155"/>
        <v>7884672M997H9T8-D</v>
      </c>
      <c r="C4871" s="1" t="s">
        <v>485</v>
      </c>
      <c r="D4871" s="1" t="s">
        <v>795</v>
      </c>
      <c r="E4871" s="1" t="s">
        <v>382</v>
      </c>
      <c r="F4871" s="1" t="s">
        <v>383</v>
      </c>
      <c r="G4871" s="1" t="s">
        <v>395</v>
      </c>
      <c r="H4871" s="1">
        <v>282</v>
      </c>
      <c r="I4871" s="3">
        <v>46286</v>
      </c>
      <c r="J4871" s="3">
        <v>46289</v>
      </c>
      <c r="L4871" s="31">
        <v>46286.422378090276</v>
      </c>
      <c r="M4871" s="20">
        <v>12</v>
      </c>
      <c r="N4871" s="1">
        <v>15</v>
      </c>
    </row>
    <row r="4872" spans="1:14" x14ac:dyDescent="0.25">
      <c r="A4872" t="str">
        <f t="shared" si="154"/>
        <v>78846727884672</v>
      </c>
      <c r="B4872" t="str">
        <f t="shared" si="155"/>
        <v>7884672M997H9T8-D</v>
      </c>
      <c r="C4872" s="1" t="s">
        <v>485</v>
      </c>
      <c r="D4872" s="1" t="s">
        <v>795</v>
      </c>
      <c r="E4872" s="1" t="s">
        <v>382</v>
      </c>
      <c r="F4872" s="1" t="s">
        <v>383</v>
      </c>
      <c r="G4872" s="1" t="s">
        <v>395</v>
      </c>
      <c r="H4872" s="1">
        <v>282</v>
      </c>
      <c r="I4872" s="3">
        <v>46286</v>
      </c>
      <c r="J4872" s="3">
        <v>46289</v>
      </c>
      <c r="L4872" s="31">
        <v>46286.42261469907</v>
      </c>
      <c r="M4872" s="20">
        <v>12</v>
      </c>
      <c r="N4872" s="1">
        <v>10</v>
      </c>
    </row>
    <row r="4873" spans="1:14" x14ac:dyDescent="0.25">
      <c r="A4873" t="str">
        <f t="shared" si="154"/>
        <v>78846727884672</v>
      </c>
      <c r="B4873" t="str">
        <f t="shared" si="155"/>
        <v>7884672M997H9T8-D</v>
      </c>
      <c r="C4873" s="1" t="s">
        <v>485</v>
      </c>
      <c r="D4873" s="1" t="s">
        <v>795</v>
      </c>
      <c r="E4873" s="1" t="s">
        <v>382</v>
      </c>
      <c r="F4873" s="1" t="s">
        <v>383</v>
      </c>
      <c r="G4873" s="1" t="s">
        <v>395</v>
      </c>
      <c r="H4873" s="1">
        <v>282</v>
      </c>
      <c r="I4873" s="3">
        <v>46286</v>
      </c>
      <c r="J4873" s="3">
        <v>46289</v>
      </c>
      <c r="L4873" s="31">
        <v>46286.452078819442</v>
      </c>
      <c r="M4873" s="20">
        <v>6</v>
      </c>
      <c r="N4873" s="1">
        <v>21</v>
      </c>
    </row>
    <row r="4874" spans="1:14" x14ac:dyDescent="0.25">
      <c r="A4874" t="str">
        <f t="shared" si="154"/>
        <v>78846727884672</v>
      </c>
      <c r="B4874" t="str">
        <f t="shared" si="155"/>
        <v>7884672M997H9T8-D</v>
      </c>
      <c r="C4874" s="1" t="s">
        <v>485</v>
      </c>
      <c r="D4874" s="1" t="s">
        <v>795</v>
      </c>
      <c r="E4874" s="1" t="s">
        <v>382</v>
      </c>
      <c r="F4874" s="1" t="s">
        <v>383</v>
      </c>
      <c r="G4874" s="1" t="s">
        <v>395</v>
      </c>
      <c r="H4874" s="1">
        <v>282</v>
      </c>
      <c r="I4874" s="3">
        <v>46286</v>
      </c>
      <c r="J4874" s="3">
        <v>46289</v>
      </c>
      <c r="L4874" s="31">
        <v>46286.455686226851</v>
      </c>
      <c r="M4874" s="20">
        <v>12</v>
      </c>
      <c r="N4874" s="1">
        <v>20</v>
      </c>
    </row>
    <row r="4875" spans="1:14" x14ac:dyDescent="0.25">
      <c r="A4875" t="str">
        <f t="shared" si="154"/>
        <v>78846727884672</v>
      </c>
      <c r="B4875" t="str">
        <f t="shared" si="155"/>
        <v>7884672M997H9T8-D</v>
      </c>
      <c r="C4875" s="1" t="s">
        <v>485</v>
      </c>
      <c r="D4875" s="1" t="s">
        <v>795</v>
      </c>
      <c r="E4875" s="1" t="s">
        <v>382</v>
      </c>
      <c r="F4875" s="1" t="s">
        <v>383</v>
      </c>
      <c r="G4875" s="1" t="s">
        <v>395</v>
      </c>
      <c r="H4875" s="1">
        <v>282</v>
      </c>
      <c r="I4875" s="3">
        <v>46286</v>
      </c>
      <c r="J4875" s="3">
        <v>46289</v>
      </c>
      <c r="L4875" s="31">
        <v>46286.642810682868</v>
      </c>
      <c r="M4875" s="20">
        <v>6</v>
      </c>
      <c r="N4875" s="1">
        <v>22</v>
      </c>
    </row>
    <row r="4876" spans="1:14" x14ac:dyDescent="0.25">
      <c r="A4876" t="str">
        <f t="shared" si="154"/>
        <v>C135219C135219</v>
      </c>
      <c r="B4876" t="str">
        <f t="shared" si="155"/>
        <v>C135219GC574EVW-M</v>
      </c>
      <c r="C4876" s="1" t="s">
        <v>18</v>
      </c>
      <c r="D4876" s="1" t="s">
        <v>823</v>
      </c>
      <c r="E4876" s="1" t="s">
        <v>397</v>
      </c>
      <c r="F4876" s="1" t="s">
        <v>400</v>
      </c>
      <c r="G4876" s="1" t="s">
        <v>401</v>
      </c>
      <c r="H4876" s="1">
        <v>336</v>
      </c>
      <c r="I4876" s="3">
        <v>46286</v>
      </c>
      <c r="L4876" s="31">
        <v>46286.634951354165</v>
      </c>
      <c r="M4876" s="20">
        <v>12</v>
      </c>
      <c r="N4876" s="1">
        <v>16</v>
      </c>
    </row>
    <row r="4877" spans="1:14" x14ac:dyDescent="0.25">
      <c r="A4877" t="str">
        <f t="shared" si="154"/>
        <v>C135219C135219</v>
      </c>
      <c r="B4877" t="str">
        <f t="shared" si="155"/>
        <v>C135219GC574EVW-M</v>
      </c>
      <c r="C4877" s="1" t="s">
        <v>18</v>
      </c>
      <c r="D4877" s="1" t="s">
        <v>823</v>
      </c>
      <c r="E4877" s="1" t="s">
        <v>397</v>
      </c>
      <c r="F4877" s="1" t="s">
        <v>400</v>
      </c>
      <c r="G4877" s="1" t="s">
        <v>401</v>
      </c>
      <c r="H4877" s="1">
        <v>336</v>
      </c>
      <c r="I4877" s="3">
        <v>46286</v>
      </c>
      <c r="L4877" s="31">
        <v>46286.637253935187</v>
      </c>
      <c r="M4877" s="20">
        <v>12</v>
      </c>
      <c r="N4877" s="1">
        <v>3</v>
      </c>
    </row>
    <row r="4878" spans="1:14" x14ac:dyDescent="0.25">
      <c r="A4878" t="str">
        <f t="shared" si="154"/>
        <v>C135219C135219</v>
      </c>
      <c r="B4878" t="str">
        <f t="shared" si="155"/>
        <v>C135219GC574EVW-M</v>
      </c>
      <c r="C4878" s="1" t="s">
        <v>18</v>
      </c>
      <c r="D4878" s="1" t="s">
        <v>823</v>
      </c>
      <c r="E4878" s="1" t="s">
        <v>397</v>
      </c>
      <c r="F4878" s="1" t="s">
        <v>400</v>
      </c>
      <c r="G4878" s="1" t="s">
        <v>401</v>
      </c>
      <c r="H4878" s="1">
        <v>336</v>
      </c>
      <c r="I4878" s="3">
        <v>46286</v>
      </c>
      <c r="L4878" s="31">
        <v>46286.641332488427</v>
      </c>
      <c r="M4878" s="20">
        <v>12</v>
      </c>
      <c r="N4878" s="1">
        <v>17</v>
      </c>
    </row>
    <row r="4879" spans="1:14" x14ac:dyDescent="0.25">
      <c r="A4879" t="str">
        <f t="shared" si="154"/>
        <v>C135219C135219</v>
      </c>
      <c r="B4879" t="str">
        <f t="shared" si="155"/>
        <v>C135219GC574EVW-M</v>
      </c>
      <c r="C4879" s="1" t="s">
        <v>18</v>
      </c>
      <c r="D4879" s="1" t="s">
        <v>823</v>
      </c>
      <c r="E4879" s="1" t="s">
        <v>397</v>
      </c>
      <c r="F4879" s="1" t="s">
        <v>400</v>
      </c>
      <c r="G4879" s="1" t="s">
        <v>401</v>
      </c>
      <c r="H4879" s="1">
        <v>336</v>
      </c>
      <c r="I4879" s="3">
        <v>46286</v>
      </c>
      <c r="L4879" s="31">
        <v>46286.641528587963</v>
      </c>
      <c r="M4879" s="20">
        <v>12</v>
      </c>
      <c r="N4879" s="1">
        <v>1</v>
      </c>
    </row>
    <row r="4880" spans="1:14" x14ac:dyDescent="0.25">
      <c r="A4880" t="str">
        <f t="shared" si="154"/>
        <v>C135219C135219</v>
      </c>
      <c r="B4880" t="str">
        <f t="shared" si="155"/>
        <v>C135219GC574EVW-M</v>
      </c>
      <c r="C4880" s="1" t="s">
        <v>18</v>
      </c>
      <c r="D4880" s="1" t="s">
        <v>823</v>
      </c>
      <c r="E4880" s="1" t="s">
        <v>397</v>
      </c>
      <c r="F4880" s="1" t="s">
        <v>400</v>
      </c>
      <c r="G4880" s="1" t="s">
        <v>401</v>
      </c>
      <c r="H4880" s="1">
        <v>336</v>
      </c>
      <c r="I4880" s="3">
        <v>46286</v>
      </c>
      <c r="L4880" s="31">
        <v>46286.641946990741</v>
      </c>
      <c r="M4880" s="20">
        <v>12</v>
      </c>
      <c r="N4880" s="1">
        <v>15</v>
      </c>
    </row>
    <row r="4881" spans="1:14" x14ac:dyDescent="0.25">
      <c r="A4881" t="str">
        <f t="shared" si="154"/>
        <v>C135219C135219</v>
      </c>
      <c r="B4881" t="str">
        <f t="shared" si="155"/>
        <v>C135219GC574EVW-M</v>
      </c>
      <c r="C4881" s="1" t="s">
        <v>18</v>
      </c>
      <c r="D4881" s="1" t="s">
        <v>823</v>
      </c>
      <c r="E4881" s="1" t="s">
        <v>397</v>
      </c>
      <c r="F4881" s="1" t="s">
        <v>400</v>
      </c>
      <c r="G4881" s="1" t="s">
        <v>401</v>
      </c>
      <c r="H4881" s="1">
        <v>336</v>
      </c>
      <c r="I4881" s="3">
        <v>46286</v>
      </c>
      <c r="L4881" s="31">
        <v>46286.642605173613</v>
      </c>
      <c r="M4881" s="20">
        <v>12</v>
      </c>
      <c r="N4881" s="1">
        <v>8</v>
      </c>
    </row>
    <row r="4882" spans="1:14" x14ac:dyDescent="0.25">
      <c r="A4882" t="str">
        <f t="shared" si="154"/>
        <v>C135219C135219</v>
      </c>
      <c r="B4882" t="str">
        <f t="shared" si="155"/>
        <v>C135219GC574EVW-M</v>
      </c>
      <c r="C4882" s="1" t="s">
        <v>18</v>
      </c>
      <c r="D4882" s="1" t="s">
        <v>823</v>
      </c>
      <c r="E4882" s="1" t="s">
        <v>397</v>
      </c>
      <c r="F4882" s="1" t="s">
        <v>400</v>
      </c>
      <c r="G4882" s="1" t="s">
        <v>401</v>
      </c>
      <c r="H4882" s="1">
        <v>336</v>
      </c>
      <c r="I4882" s="3">
        <v>46286</v>
      </c>
      <c r="L4882" s="31">
        <v>46286.652574537038</v>
      </c>
      <c r="M4882" s="20">
        <v>12</v>
      </c>
      <c r="N4882" s="1">
        <v>26</v>
      </c>
    </row>
    <row r="4883" spans="1:14" x14ac:dyDescent="0.25">
      <c r="A4883" t="str">
        <f t="shared" si="154"/>
        <v>C135219C135219</v>
      </c>
      <c r="B4883" t="str">
        <f t="shared" si="155"/>
        <v>C135219GC574EVW-M</v>
      </c>
      <c r="C4883" s="1" t="s">
        <v>18</v>
      </c>
      <c r="D4883" s="1" t="s">
        <v>823</v>
      </c>
      <c r="E4883" s="1" t="s">
        <v>397</v>
      </c>
      <c r="F4883" s="1" t="s">
        <v>400</v>
      </c>
      <c r="G4883" s="1" t="s">
        <v>401</v>
      </c>
      <c r="H4883" s="1">
        <v>336</v>
      </c>
      <c r="I4883" s="3">
        <v>46286</v>
      </c>
      <c r="L4883" s="31">
        <v>46286.652844791664</v>
      </c>
      <c r="M4883" s="20">
        <v>12</v>
      </c>
      <c r="N4883" s="1">
        <v>25</v>
      </c>
    </row>
    <row r="4884" spans="1:14" x14ac:dyDescent="0.25">
      <c r="A4884" t="str">
        <f t="shared" si="154"/>
        <v>C135219C135219</v>
      </c>
      <c r="B4884" t="str">
        <f t="shared" si="155"/>
        <v>C135219GC574EVW-M</v>
      </c>
      <c r="C4884" s="1" t="s">
        <v>18</v>
      </c>
      <c r="D4884" s="1" t="s">
        <v>823</v>
      </c>
      <c r="E4884" s="1" t="s">
        <v>397</v>
      </c>
      <c r="F4884" s="1" t="s">
        <v>400</v>
      </c>
      <c r="G4884" s="1" t="s">
        <v>401</v>
      </c>
      <c r="H4884" s="1">
        <v>336</v>
      </c>
      <c r="I4884" s="3">
        <v>46286</v>
      </c>
      <c r="L4884" s="31">
        <v>46286.653079710646</v>
      </c>
      <c r="M4884" s="20">
        <v>12</v>
      </c>
      <c r="N4884" s="1">
        <v>9</v>
      </c>
    </row>
    <row r="4885" spans="1:14" x14ac:dyDescent="0.25">
      <c r="A4885" t="str">
        <f t="shared" si="154"/>
        <v>C135219C135219</v>
      </c>
      <c r="B4885" t="str">
        <f t="shared" si="155"/>
        <v>C135219GC574EVW-M</v>
      </c>
      <c r="C4885" s="1" t="s">
        <v>18</v>
      </c>
      <c r="D4885" s="1" t="s">
        <v>823</v>
      </c>
      <c r="E4885" s="1" t="s">
        <v>397</v>
      </c>
      <c r="F4885" s="1" t="s">
        <v>400</v>
      </c>
      <c r="G4885" s="1" t="s">
        <v>401</v>
      </c>
      <c r="H4885" s="1">
        <v>336</v>
      </c>
      <c r="I4885" s="3">
        <v>46286</v>
      </c>
      <c r="L4885" s="31">
        <v>46286.653242280088</v>
      </c>
      <c r="M4885" s="20">
        <v>12</v>
      </c>
      <c r="N4885" s="1">
        <v>14</v>
      </c>
    </row>
    <row r="4886" spans="1:14" x14ac:dyDescent="0.25">
      <c r="A4886" t="str">
        <f t="shared" si="154"/>
        <v>C135219C135219</v>
      </c>
      <c r="B4886" t="str">
        <f t="shared" si="155"/>
        <v>C135219GC574EVW-M</v>
      </c>
      <c r="C4886" s="1" t="s">
        <v>18</v>
      </c>
      <c r="D4886" s="1" t="s">
        <v>823</v>
      </c>
      <c r="E4886" s="1" t="s">
        <v>397</v>
      </c>
      <c r="F4886" s="1" t="s">
        <v>400</v>
      </c>
      <c r="G4886" s="1" t="s">
        <v>401</v>
      </c>
      <c r="H4886" s="1">
        <v>336</v>
      </c>
      <c r="I4886" s="3">
        <v>46286</v>
      </c>
      <c r="L4886" s="31">
        <v>46286.653567511574</v>
      </c>
      <c r="M4886" s="20">
        <v>12</v>
      </c>
      <c r="N4886" s="1">
        <v>7</v>
      </c>
    </row>
    <row r="4887" spans="1:14" x14ac:dyDescent="0.25">
      <c r="A4887" t="str">
        <f t="shared" si="154"/>
        <v>C135219C135219</v>
      </c>
      <c r="B4887" t="str">
        <f t="shared" si="155"/>
        <v>C135219GC574EVW-M</v>
      </c>
      <c r="C4887" s="1" t="s">
        <v>18</v>
      </c>
      <c r="D4887" s="1" t="s">
        <v>823</v>
      </c>
      <c r="E4887" s="1" t="s">
        <v>397</v>
      </c>
      <c r="F4887" s="1" t="s">
        <v>400</v>
      </c>
      <c r="G4887" s="1" t="s">
        <v>401</v>
      </c>
      <c r="H4887" s="1">
        <v>336</v>
      </c>
      <c r="I4887" s="3">
        <v>46286</v>
      </c>
      <c r="L4887" s="31">
        <v>46286.653731215272</v>
      </c>
      <c r="M4887" s="20">
        <v>12</v>
      </c>
      <c r="N4887" s="1">
        <v>5</v>
      </c>
    </row>
    <row r="4888" spans="1:14" x14ac:dyDescent="0.25">
      <c r="A4888" t="str">
        <f t="shared" si="154"/>
        <v>C135219C135219</v>
      </c>
      <c r="B4888" t="str">
        <f t="shared" si="155"/>
        <v>C135219GC574EVW-M</v>
      </c>
      <c r="C4888" s="1" t="s">
        <v>18</v>
      </c>
      <c r="D4888" s="1" t="s">
        <v>823</v>
      </c>
      <c r="E4888" s="1" t="s">
        <v>397</v>
      </c>
      <c r="F4888" s="1" t="s">
        <v>400</v>
      </c>
      <c r="G4888" s="1" t="s">
        <v>401</v>
      </c>
      <c r="H4888" s="1">
        <v>336</v>
      </c>
      <c r="I4888" s="3">
        <v>46286</v>
      </c>
      <c r="L4888" s="31">
        <v>46286.657669791668</v>
      </c>
      <c r="M4888" s="20">
        <v>12</v>
      </c>
      <c r="N4888" s="1">
        <v>18</v>
      </c>
    </row>
    <row r="4889" spans="1:14" x14ac:dyDescent="0.25">
      <c r="A4889" t="str">
        <f t="shared" si="154"/>
        <v>C135219C135219</v>
      </c>
      <c r="B4889" t="str">
        <f t="shared" si="155"/>
        <v>C135219GC574EVW-M</v>
      </c>
      <c r="C4889" s="1" t="s">
        <v>18</v>
      </c>
      <c r="D4889" s="1" t="s">
        <v>823</v>
      </c>
      <c r="E4889" s="1" t="s">
        <v>397</v>
      </c>
      <c r="F4889" s="1" t="s">
        <v>400</v>
      </c>
      <c r="G4889" s="1" t="s">
        <v>401</v>
      </c>
      <c r="H4889" s="1">
        <v>336</v>
      </c>
      <c r="I4889" s="3">
        <v>46286</v>
      </c>
      <c r="L4889" s="31">
        <v>46286.674255983795</v>
      </c>
      <c r="M4889" s="20">
        <v>12</v>
      </c>
      <c r="N4889" s="1">
        <v>19</v>
      </c>
    </row>
    <row r="4890" spans="1:14" x14ac:dyDescent="0.25">
      <c r="A4890" t="str">
        <f t="shared" si="154"/>
        <v>C135219C135219</v>
      </c>
      <c r="B4890" t="str">
        <f t="shared" si="155"/>
        <v>C135219GC574EVW-M</v>
      </c>
      <c r="C4890" s="1" t="s">
        <v>18</v>
      </c>
      <c r="D4890" s="1" t="s">
        <v>823</v>
      </c>
      <c r="E4890" s="1" t="s">
        <v>397</v>
      </c>
      <c r="F4890" s="1" t="s">
        <v>400</v>
      </c>
      <c r="G4890" s="1" t="s">
        <v>401</v>
      </c>
      <c r="H4890" s="1">
        <v>336</v>
      </c>
      <c r="I4890" s="3">
        <v>46286</v>
      </c>
      <c r="L4890" s="31">
        <v>46286.681330671294</v>
      </c>
      <c r="M4890" s="20">
        <v>12</v>
      </c>
      <c r="N4890" s="1">
        <v>24</v>
      </c>
    </row>
    <row r="4891" spans="1:14" x14ac:dyDescent="0.25">
      <c r="A4891" t="str">
        <f t="shared" si="154"/>
        <v>C135219C135219</v>
      </c>
      <c r="B4891" t="str">
        <f t="shared" si="155"/>
        <v>C135219GC574EVW-M</v>
      </c>
      <c r="C4891" s="1" t="s">
        <v>18</v>
      </c>
      <c r="D4891" s="1" t="s">
        <v>823</v>
      </c>
      <c r="E4891" s="1" t="s">
        <v>397</v>
      </c>
      <c r="F4891" s="1" t="s">
        <v>400</v>
      </c>
      <c r="G4891" s="1" t="s">
        <v>401</v>
      </c>
      <c r="H4891" s="1">
        <v>336</v>
      </c>
      <c r="I4891" s="3">
        <v>46286</v>
      </c>
      <c r="L4891" s="31">
        <v>46286.687602233796</v>
      </c>
      <c r="M4891" s="20">
        <v>12</v>
      </c>
      <c r="N4891" s="1">
        <v>6</v>
      </c>
    </row>
    <row r="4892" spans="1:14" x14ac:dyDescent="0.25">
      <c r="A4892" t="str">
        <f t="shared" si="154"/>
        <v>C135219C135219</v>
      </c>
      <c r="B4892" t="str">
        <f t="shared" si="155"/>
        <v>C135219GC574EVW-M</v>
      </c>
      <c r="C4892" s="1" t="s">
        <v>18</v>
      </c>
      <c r="D4892" s="1" t="s">
        <v>823</v>
      </c>
      <c r="E4892" s="1" t="s">
        <v>397</v>
      </c>
      <c r="F4892" s="1" t="s">
        <v>400</v>
      </c>
      <c r="G4892" s="1" t="s">
        <v>401</v>
      </c>
      <c r="H4892" s="1">
        <v>336</v>
      </c>
      <c r="I4892" s="3">
        <v>46286</v>
      </c>
      <c r="L4892" s="31">
        <v>46286.714505868054</v>
      </c>
      <c r="M4892" s="20">
        <v>12</v>
      </c>
      <c r="N4892" s="1">
        <v>23</v>
      </c>
    </row>
    <row r="4893" spans="1:14" x14ac:dyDescent="0.25">
      <c r="A4893" t="str">
        <f t="shared" si="154"/>
        <v>C135219C135219</v>
      </c>
      <c r="B4893" t="str">
        <f t="shared" si="155"/>
        <v>C135219GC574EVW-M</v>
      </c>
      <c r="C4893" s="1" t="s">
        <v>18</v>
      </c>
      <c r="D4893" s="1" t="s">
        <v>823</v>
      </c>
      <c r="E4893" s="1" t="s">
        <v>397</v>
      </c>
      <c r="F4893" s="1" t="s">
        <v>400</v>
      </c>
      <c r="G4893" s="1" t="s">
        <v>401</v>
      </c>
      <c r="H4893" s="1">
        <v>336</v>
      </c>
      <c r="I4893" s="3">
        <v>46286</v>
      </c>
      <c r="L4893" s="31">
        <v>46286.729084027778</v>
      </c>
      <c r="M4893" s="20">
        <v>12</v>
      </c>
      <c r="N4893" s="1">
        <v>22</v>
      </c>
    </row>
    <row r="4894" spans="1:14" x14ac:dyDescent="0.25">
      <c r="A4894" t="str">
        <f t="shared" si="154"/>
        <v>C135219C135219</v>
      </c>
      <c r="B4894" t="str">
        <f t="shared" si="155"/>
        <v>C135219GC574EVW-M</v>
      </c>
      <c r="C4894" s="1" t="s">
        <v>18</v>
      </c>
      <c r="D4894" s="1" t="s">
        <v>823</v>
      </c>
      <c r="E4894" s="1" t="s">
        <v>397</v>
      </c>
      <c r="F4894" s="1" t="s">
        <v>400</v>
      </c>
      <c r="G4894" s="1" t="s">
        <v>401</v>
      </c>
      <c r="H4894" s="1">
        <v>336</v>
      </c>
      <c r="I4894" s="3">
        <v>46286</v>
      </c>
      <c r="L4894" s="31">
        <v>46286.729417326387</v>
      </c>
      <c r="M4894" s="20">
        <v>12</v>
      </c>
      <c r="N4894" s="1">
        <v>10</v>
      </c>
    </row>
    <row r="4895" spans="1:14" x14ac:dyDescent="0.25">
      <c r="A4895" t="str">
        <f t="shared" si="154"/>
        <v>C135219C135219</v>
      </c>
      <c r="B4895" t="str">
        <f t="shared" si="155"/>
        <v>C135219GC574EVW-M</v>
      </c>
      <c r="C4895" s="1" t="s">
        <v>18</v>
      </c>
      <c r="D4895" s="1" t="s">
        <v>823</v>
      </c>
      <c r="E4895" s="1" t="s">
        <v>397</v>
      </c>
      <c r="F4895" s="1" t="s">
        <v>400</v>
      </c>
      <c r="G4895" s="1" t="s">
        <v>401</v>
      </c>
      <c r="H4895" s="1">
        <v>336</v>
      </c>
      <c r="I4895" s="3">
        <v>46286</v>
      </c>
      <c r="L4895" s="31">
        <v>46286.739314664352</v>
      </c>
      <c r="M4895" s="20">
        <v>12</v>
      </c>
      <c r="N4895" s="1">
        <v>21</v>
      </c>
    </row>
    <row r="4896" spans="1:14" x14ac:dyDescent="0.25">
      <c r="A4896" t="str">
        <f t="shared" si="154"/>
        <v>C135219C135219</v>
      </c>
      <c r="B4896" t="str">
        <f t="shared" si="155"/>
        <v>C135219GC574EVW-M</v>
      </c>
      <c r="C4896" s="1" t="s">
        <v>18</v>
      </c>
      <c r="D4896" s="1" t="s">
        <v>823</v>
      </c>
      <c r="E4896" s="1" t="s">
        <v>397</v>
      </c>
      <c r="F4896" s="1" t="s">
        <v>400</v>
      </c>
      <c r="G4896" s="1" t="s">
        <v>401</v>
      </c>
      <c r="H4896" s="1">
        <v>336</v>
      </c>
      <c r="I4896" s="3">
        <v>46286</v>
      </c>
      <c r="L4896" s="31">
        <v>46286.747256134258</v>
      </c>
      <c r="M4896" s="20">
        <v>12</v>
      </c>
      <c r="N4896" s="1">
        <v>20</v>
      </c>
    </row>
    <row r="4897" spans="1:14" x14ac:dyDescent="0.25">
      <c r="A4897" t="str">
        <f t="shared" si="154"/>
        <v>C135224C135224</v>
      </c>
      <c r="B4897" t="str">
        <f t="shared" si="155"/>
        <v>C135224NW574EVW-M</v>
      </c>
      <c r="C4897" s="1" t="s">
        <v>741</v>
      </c>
      <c r="D4897" s="1" t="s">
        <v>817</v>
      </c>
      <c r="E4897" s="1" t="s">
        <v>397</v>
      </c>
      <c r="F4897" s="1" t="s">
        <v>400</v>
      </c>
      <c r="G4897" s="1" t="s">
        <v>401</v>
      </c>
      <c r="H4897" s="1">
        <v>120</v>
      </c>
      <c r="I4897" s="3">
        <v>46286</v>
      </c>
      <c r="L4897" s="31">
        <v>46286.599948182869</v>
      </c>
      <c r="M4897" s="20">
        <v>12</v>
      </c>
      <c r="N4897" s="1">
        <v>8</v>
      </c>
    </row>
    <row r="4898" spans="1:14" x14ac:dyDescent="0.25">
      <c r="A4898" t="str">
        <f t="shared" si="154"/>
        <v>C135224C135224</v>
      </c>
      <c r="B4898" t="str">
        <f t="shared" si="155"/>
        <v>C135224NW574EVW-M</v>
      </c>
      <c r="C4898" s="1" t="s">
        <v>741</v>
      </c>
      <c r="D4898" s="1" t="s">
        <v>817</v>
      </c>
      <c r="E4898" s="1" t="s">
        <v>397</v>
      </c>
      <c r="F4898" s="1" t="s">
        <v>400</v>
      </c>
      <c r="G4898" s="1" t="s">
        <v>401</v>
      </c>
      <c r="H4898" s="1">
        <v>120</v>
      </c>
      <c r="I4898" s="3">
        <v>46286</v>
      </c>
      <c r="L4898" s="31">
        <v>46286.601608993056</v>
      </c>
      <c r="M4898" s="20">
        <v>12</v>
      </c>
      <c r="N4898" s="1">
        <v>6</v>
      </c>
    </row>
    <row r="4899" spans="1:14" x14ac:dyDescent="0.25">
      <c r="A4899" t="str">
        <f t="shared" si="154"/>
        <v>C135224C135224</v>
      </c>
      <c r="B4899" t="str">
        <f t="shared" si="155"/>
        <v>C135224NW574EVW-M</v>
      </c>
      <c r="C4899" s="1" t="s">
        <v>741</v>
      </c>
      <c r="D4899" s="1" t="s">
        <v>817</v>
      </c>
      <c r="E4899" s="1" t="s">
        <v>397</v>
      </c>
      <c r="F4899" s="1" t="s">
        <v>400</v>
      </c>
      <c r="G4899" s="1" t="s">
        <v>401</v>
      </c>
      <c r="H4899" s="1">
        <v>120</v>
      </c>
      <c r="I4899" s="3">
        <v>46286</v>
      </c>
      <c r="L4899" s="31">
        <v>46286.601870520833</v>
      </c>
      <c r="M4899" s="20">
        <v>12</v>
      </c>
      <c r="N4899" s="1">
        <v>5</v>
      </c>
    </row>
    <row r="4900" spans="1:14" x14ac:dyDescent="0.25">
      <c r="A4900" t="str">
        <f t="shared" si="154"/>
        <v>C135224C135224</v>
      </c>
      <c r="B4900" t="str">
        <f t="shared" si="155"/>
        <v>C135224NW574EVW-M</v>
      </c>
      <c r="C4900" s="1" t="s">
        <v>741</v>
      </c>
      <c r="D4900" s="1" t="s">
        <v>817</v>
      </c>
      <c r="E4900" s="1" t="s">
        <v>397</v>
      </c>
      <c r="F4900" s="1" t="s">
        <v>400</v>
      </c>
      <c r="G4900" s="1" t="s">
        <v>401</v>
      </c>
      <c r="H4900" s="1">
        <v>120</v>
      </c>
      <c r="I4900" s="3">
        <v>46286</v>
      </c>
      <c r="L4900" s="31">
        <v>46286.603427974536</v>
      </c>
      <c r="M4900" s="20">
        <v>12</v>
      </c>
      <c r="N4900" s="1">
        <v>3</v>
      </c>
    </row>
    <row r="4901" spans="1:14" x14ac:dyDescent="0.25">
      <c r="A4901" t="str">
        <f t="shared" si="154"/>
        <v>C135224C135224</v>
      </c>
      <c r="B4901" t="str">
        <f t="shared" si="155"/>
        <v>C135224NW574EVW-M</v>
      </c>
      <c r="C4901" s="1" t="s">
        <v>741</v>
      </c>
      <c r="D4901" s="1" t="s">
        <v>817</v>
      </c>
      <c r="E4901" s="1" t="s">
        <v>397</v>
      </c>
      <c r="F4901" s="1" t="s">
        <v>400</v>
      </c>
      <c r="G4901" s="1" t="s">
        <v>401</v>
      </c>
      <c r="H4901" s="1">
        <v>120</v>
      </c>
      <c r="I4901" s="3">
        <v>46286</v>
      </c>
      <c r="L4901" s="31">
        <v>46286.603613923609</v>
      </c>
      <c r="M4901" s="20">
        <v>12</v>
      </c>
      <c r="N4901" s="1">
        <v>4</v>
      </c>
    </row>
    <row r="4902" spans="1:14" x14ac:dyDescent="0.25">
      <c r="A4902" t="str">
        <f t="shared" si="154"/>
        <v>C135224C135224</v>
      </c>
      <c r="B4902" t="str">
        <f t="shared" si="155"/>
        <v>C135224NW574EVW-M</v>
      </c>
      <c r="C4902" s="1" t="s">
        <v>741</v>
      </c>
      <c r="D4902" s="1" t="s">
        <v>817</v>
      </c>
      <c r="E4902" s="1" t="s">
        <v>397</v>
      </c>
      <c r="F4902" s="1" t="s">
        <v>400</v>
      </c>
      <c r="G4902" s="1" t="s">
        <v>401</v>
      </c>
      <c r="H4902" s="1">
        <v>120</v>
      </c>
      <c r="I4902" s="3">
        <v>46286</v>
      </c>
      <c r="L4902" s="31">
        <v>46286.636272303236</v>
      </c>
      <c r="M4902" s="20">
        <v>12</v>
      </c>
      <c r="N4902" s="1">
        <v>9</v>
      </c>
    </row>
    <row r="4903" spans="1:14" x14ac:dyDescent="0.25">
      <c r="A4903" t="str">
        <f t="shared" si="154"/>
        <v>C135224C135224</v>
      </c>
      <c r="B4903" t="str">
        <f t="shared" si="155"/>
        <v>C135224NW574EVW-M</v>
      </c>
      <c r="C4903" s="1" t="s">
        <v>741</v>
      </c>
      <c r="D4903" s="1" t="s">
        <v>817</v>
      </c>
      <c r="E4903" s="1" t="s">
        <v>397</v>
      </c>
      <c r="F4903" s="1" t="s">
        <v>400</v>
      </c>
      <c r="G4903" s="1" t="s">
        <v>401</v>
      </c>
      <c r="H4903" s="1">
        <v>120</v>
      </c>
      <c r="I4903" s="3">
        <v>46286</v>
      </c>
      <c r="L4903" s="31">
        <v>46286.687199571759</v>
      </c>
      <c r="M4903" s="20">
        <v>12</v>
      </c>
      <c r="N4903" s="1">
        <v>7</v>
      </c>
    </row>
    <row r="4904" spans="1:14" x14ac:dyDescent="0.25">
      <c r="A4904" t="str">
        <f t="shared" si="154"/>
        <v>C135268C135268</v>
      </c>
      <c r="B4904" t="str">
        <f t="shared" si="155"/>
        <v>C135268GC9060GY-M</v>
      </c>
      <c r="C4904" s="1" t="s">
        <v>5</v>
      </c>
      <c r="D4904" s="1" t="s">
        <v>791</v>
      </c>
      <c r="E4904" s="1" t="s">
        <v>397</v>
      </c>
      <c r="F4904" s="1" t="s">
        <v>400</v>
      </c>
      <c r="G4904" s="1" t="s">
        <v>401</v>
      </c>
      <c r="H4904" s="1">
        <v>456</v>
      </c>
      <c r="I4904" s="3">
        <v>46286</v>
      </c>
      <c r="L4904" s="31">
        <v>46286.331901620368</v>
      </c>
      <c r="M4904" s="20">
        <v>12</v>
      </c>
      <c r="N4904" s="1">
        <v>31</v>
      </c>
    </row>
    <row r="4905" spans="1:14" x14ac:dyDescent="0.25">
      <c r="A4905" t="str">
        <f t="shared" si="154"/>
        <v>C135268C135268</v>
      </c>
      <c r="B4905" t="str">
        <f t="shared" si="155"/>
        <v>C135268GC9060GY-M</v>
      </c>
      <c r="C4905" s="1" t="s">
        <v>5</v>
      </c>
      <c r="D4905" s="1" t="s">
        <v>791</v>
      </c>
      <c r="E4905" s="1" t="s">
        <v>397</v>
      </c>
      <c r="F4905" s="1" t="s">
        <v>400</v>
      </c>
      <c r="G4905" s="1" t="s">
        <v>401</v>
      </c>
      <c r="H4905" s="1">
        <v>456</v>
      </c>
      <c r="I4905" s="3">
        <v>46286</v>
      </c>
      <c r="L4905" s="31">
        <v>46286.333973645829</v>
      </c>
      <c r="M4905" s="20">
        <v>12</v>
      </c>
      <c r="N4905" s="1">
        <v>24</v>
      </c>
    </row>
    <row r="4906" spans="1:14" x14ac:dyDescent="0.25">
      <c r="A4906" t="str">
        <f t="shared" si="154"/>
        <v>C135268C135268</v>
      </c>
      <c r="B4906" t="str">
        <f t="shared" si="155"/>
        <v>C135268GC9060GY-M</v>
      </c>
      <c r="C4906" s="1" t="s">
        <v>5</v>
      </c>
      <c r="D4906" s="1" t="s">
        <v>791</v>
      </c>
      <c r="E4906" s="1" t="s">
        <v>397</v>
      </c>
      <c r="F4906" s="1" t="s">
        <v>400</v>
      </c>
      <c r="G4906" s="1" t="s">
        <v>401</v>
      </c>
      <c r="H4906" s="1">
        <v>456</v>
      </c>
      <c r="I4906" s="3">
        <v>46286</v>
      </c>
      <c r="L4906" s="31">
        <v>46286.334640196757</v>
      </c>
      <c r="M4906" s="20">
        <v>12</v>
      </c>
      <c r="N4906" s="1">
        <v>35</v>
      </c>
    </row>
    <row r="4907" spans="1:14" x14ac:dyDescent="0.25">
      <c r="A4907" t="str">
        <f t="shared" si="154"/>
        <v>C135268C135268</v>
      </c>
      <c r="B4907" t="str">
        <f t="shared" si="155"/>
        <v>C135268GC9060GY-M</v>
      </c>
      <c r="C4907" s="1" t="s">
        <v>5</v>
      </c>
      <c r="D4907" s="1" t="s">
        <v>791</v>
      </c>
      <c r="E4907" s="1" t="s">
        <v>397</v>
      </c>
      <c r="F4907" s="1" t="s">
        <v>400</v>
      </c>
      <c r="G4907" s="1" t="s">
        <v>401</v>
      </c>
      <c r="H4907" s="1">
        <v>456</v>
      </c>
      <c r="I4907" s="3">
        <v>46286</v>
      </c>
      <c r="L4907" s="31">
        <v>46286.335295219906</v>
      </c>
      <c r="M4907" s="20">
        <v>12</v>
      </c>
      <c r="N4907" s="1">
        <v>19</v>
      </c>
    </row>
    <row r="4908" spans="1:14" x14ac:dyDescent="0.25">
      <c r="A4908" t="str">
        <f t="shared" si="154"/>
        <v>C135268C135268</v>
      </c>
      <c r="B4908" t="str">
        <f t="shared" si="155"/>
        <v>C135268GC9060GY-M</v>
      </c>
      <c r="C4908" s="1" t="s">
        <v>5</v>
      </c>
      <c r="D4908" s="1" t="s">
        <v>791</v>
      </c>
      <c r="E4908" s="1" t="s">
        <v>397</v>
      </c>
      <c r="F4908" s="1" t="s">
        <v>400</v>
      </c>
      <c r="G4908" s="1" t="s">
        <v>401</v>
      </c>
      <c r="H4908" s="1">
        <v>456</v>
      </c>
      <c r="I4908" s="3">
        <v>46286</v>
      </c>
      <c r="L4908" s="31">
        <v>46286.338764351851</v>
      </c>
      <c r="M4908" s="20">
        <v>12</v>
      </c>
      <c r="N4908" s="1">
        <v>33</v>
      </c>
    </row>
    <row r="4909" spans="1:14" x14ac:dyDescent="0.25">
      <c r="A4909" t="str">
        <f t="shared" si="154"/>
        <v>C135268C135268</v>
      </c>
      <c r="B4909" t="str">
        <f t="shared" si="155"/>
        <v>C135268GC9060GY-M</v>
      </c>
      <c r="C4909" s="1" t="s">
        <v>5</v>
      </c>
      <c r="D4909" s="1" t="s">
        <v>791</v>
      </c>
      <c r="E4909" s="1" t="s">
        <v>397</v>
      </c>
      <c r="F4909" s="1" t="s">
        <v>400</v>
      </c>
      <c r="G4909" s="1" t="s">
        <v>401</v>
      </c>
      <c r="H4909" s="1">
        <v>456</v>
      </c>
      <c r="I4909" s="3">
        <v>46286</v>
      </c>
      <c r="L4909" s="31">
        <v>46286.341503043979</v>
      </c>
      <c r="M4909" s="20">
        <v>12</v>
      </c>
      <c r="N4909" s="1">
        <v>14</v>
      </c>
    </row>
    <row r="4910" spans="1:14" x14ac:dyDescent="0.25">
      <c r="A4910" t="str">
        <f t="shared" si="154"/>
        <v>C135268C135268</v>
      </c>
      <c r="B4910" t="str">
        <f t="shared" si="155"/>
        <v>C135268GC9060GY-M</v>
      </c>
      <c r="C4910" s="1" t="s">
        <v>5</v>
      </c>
      <c r="D4910" s="1" t="s">
        <v>791</v>
      </c>
      <c r="E4910" s="1" t="s">
        <v>397</v>
      </c>
      <c r="F4910" s="1" t="s">
        <v>400</v>
      </c>
      <c r="G4910" s="1" t="s">
        <v>401</v>
      </c>
      <c r="H4910" s="1">
        <v>456</v>
      </c>
      <c r="I4910" s="3">
        <v>46286</v>
      </c>
      <c r="L4910" s="31">
        <v>46286.347164432867</v>
      </c>
      <c r="M4910" s="20">
        <v>12</v>
      </c>
      <c r="N4910" s="1">
        <v>13</v>
      </c>
    </row>
    <row r="4911" spans="1:14" x14ac:dyDescent="0.25">
      <c r="A4911" t="str">
        <f t="shared" si="154"/>
        <v>C135268C135268</v>
      </c>
      <c r="B4911" t="str">
        <f t="shared" si="155"/>
        <v>C135268GC9060GY-M</v>
      </c>
      <c r="C4911" s="1" t="s">
        <v>5</v>
      </c>
      <c r="D4911" s="1" t="s">
        <v>791</v>
      </c>
      <c r="E4911" s="1" t="s">
        <v>397</v>
      </c>
      <c r="F4911" s="1" t="s">
        <v>400</v>
      </c>
      <c r="G4911" s="1" t="s">
        <v>401</v>
      </c>
      <c r="H4911" s="1">
        <v>456</v>
      </c>
      <c r="I4911" s="3">
        <v>46286</v>
      </c>
      <c r="L4911" s="31">
        <v>46286.349361342589</v>
      </c>
      <c r="M4911" s="20">
        <v>12</v>
      </c>
      <c r="N4911" s="1">
        <v>30</v>
      </c>
    </row>
    <row r="4912" spans="1:14" x14ac:dyDescent="0.25">
      <c r="A4912" t="str">
        <f t="shared" si="154"/>
        <v>C135268C135268</v>
      </c>
      <c r="B4912" t="str">
        <f t="shared" si="155"/>
        <v>C135268GC9060GY-M</v>
      </c>
      <c r="C4912" s="1" t="s">
        <v>5</v>
      </c>
      <c r="D4912" s="1" t="s">
        <v>791</v>
      </c>
      <c r="E4912" s="1" t="s">
        <v>397</v>
      </c>
      <c r="F4912" s="1" t="s">
        <v>400</v>
      </c>
      <c r="G4912" s="1" t="s">
        <v>401</v>
      </c>
      <c r="H4912" s="1">
        <v>456</v>
      </c>
      <c r="I4912" s="3">
        <v>46286</v>
      </c>
      <c r="L4912" s="31">
        <v>46286.350672534718</v>
      </c>
      <c r="M4912" s="20">
        <v>12</v>
      </c>
      <c r="N4912" s="1">
        <v>23</v>
      </c>
    </row>
    <row r="4913" spans="1:14" x14ac:dyDescent="0.25">
      <c r="A4913" t="str">
        <f t="shared" si="154"/>
        <v>C135268C135268</v>
      </c>
      <c r="B4913" t="str">
        <f t="shared" si="155"/>
        <v>C135268GC9060GY-M</v>
      </c>
      <c r="C4913" s="1" t="s">
        <v>5</v>
      </c>
      <c r="D4913" s="1" t="s">
        <v>791</v>
      </c>
      <c r="E4913" s="1" t="s">
        <v>397</v>
      </c>
      <c r="F4913" s="1" t="s">
        <v>400</v>
      </c>
      <c r="G4913" s="1" t="s">
        <v>401</v>
      </c>
      <c r="H4913" s="1">
        <v>456</v>
      </c>
      <c r="I4913" s="3">
        <v>46286</v>
      </c>
      <c r="L4913" s="31">
        <v>46286.362584027775</v>
      </c>
      <c r="M4913" s="20">
        <v>12</v>
      </c>
      <c r="N4913" s="1">
        <v>10</v>
      </c>
    </row>
    <row r="4914" spans="1:14" x14ac:dyDescent="0.25">
      <c r="A4914" t="str">
        <f t="shared" si="154"/>
        <v>C135268C135268</v>
      </c>
      <c r="B4914" t="str">
        <f t="shared" si="155"/>
        <v>C135268GC9060GY-M</v>
      </c>
      <c r="C4914" s="1" t="s">
        <v>5</v>
      </c>
      <c r="D4914" s="1" t="s">
        <v>791</v>
      </c>
      <c r="E4914" s="1" t="s">
        <v>397</v>
      </c>
      <c r="F4914" s="1" t="s">
        <v>400</v>
      </c>
      <c r="G4914" s="1" t="s">
        <v>401</v>
      </c>
      <c r="H4914" s="1">
        <v>456</v>
      </c>
      <c r="I4914" s="3">
        <v>46286</v>
      </c>
      <c r="L4914" s="31">
        <v>46286.363436574073</v>
      </c>
      <c r="M4914" s="20">
        <v>12</v>
      </c>
      <c r="N4914" s="1">
        <v>22</v>
      </c>
    </row>
    <row r="4915" spans="1:14" x14ac:dyDescent="0.25">
      <c r="A4915" t="str">
        <f t="shared" si="154"/>
        <v>C135268C135268</v>
      </c>
      <c r="B4915" t="str">
        <f t="shared" si="155"/>
        <v>C135268GC9060GY-M</v>
      </c>
      <c r="C4915" s="1" t="s">
        <v>5</v>
      </c>
      <c r="D4915" s="1" t="s">
        <v>791</v>
      </c>
      <c r="E4915" s="1" t="s">
        <v>397</v>
      </c>
      <c r="F4915" s="1" t="s">
        <v>400</v>
      </c>
      <c r="G4915" s="1" t="s">
        <v>401</v>
      </c>
      <c r="H4915" s="1">
        <v>456</v>
      </c>
      <c r="I4915" s="3">
        <v>46286</v>
      </c>
      <c r="L4915" s="31">
        <v>46286.363808414353</v>
      </c>
      <c r="M4915" s="20">
        <v>12</v>
      </c>
      <c r="N4915" s="1">
        <v>18</v>
      </c>
    </row>
    <row r="4916" spans="1:14" x14ac:dyDescent="0.25">
      <c r="A4916" t="str">
        <f t="shared" si="154"/>
        <v>C135268C135268</v>
      </c>
      <c r="B4916" t="str">
        <f t="shared" si="155"/>
        <v>C135268GC9060GY-M</v>
      </c>
      <c r="C4916" s="1" t="s">
        <v>5</v>
      </c>
      <c r="D4916" s="1" t="s">
        <v>791</v>
      </c>
      <c r="E4916" s="1" t="s">
        <v>397</v>
      </c>
      <c r="F4916" s="1" t="s">
        <v>400</v>
      </c>
      <c r="G4916" s="1" t="s">
        <v>401</v>
      </c>
      <c r="H4916" s="1">
        <v>456</v>
      </c>
      <c r="I4916" s="3">
        <v>46286</v>
      </c>
      <c r="L4916" s="31">
        <v>46286.364678935184</v>
      </c>
      <c r="M4916" s="20">
        <v>12</v>
      </c>
      <c r="N4916" s="1">
        <v>11</v>
      </c>
    </row>
    <row r="4917" spans="1:14" x14ac:dyDescent="0.25">
      <c r="A4917" t="str">
        <f t="shared" si="154"/>
        <v>C135268C135268</v>
      </c>
      <c r="B4917" t="str">
        <f t="shared" si="155"/>
        <v>C135268GC9060GY-M</v>
      </c>
      <c r="C4917" s="1" t="s">
        <v>5</v>
      </c>
      <c r="D4917" s="1" t="s">
        <v>791</v>
      </c>
      <c r="E4917" s="1" t="s">
        <v>397</v>
      </c>
      <c r="F4917" s="1" t="s">
        <v>400</v>
      </c>
      <c r="G4917" s="1" t="s">
        <v>401</v>
      </c>
      <c r="H4917" s="1">
        <v>456</v>
      </c>
      <c r="I4917" s="3">
        <v>46286</v>
      </c>
      <c r="L4917" s="31">
        <v>46286.365961956013</v>
      </c>
      <c r="M4917" s="20">
        <v>12</v>
      </c>
      <c r="N4917" s="1">
        <v>32</v>
      </c>
    </row>
    <row r="4918" spans="1:14" x14ac:dyDescent="0.25">
      <c r="A4918" t="str">
        <f t="shared" si="154"/>
        <v>C135268C135268</v>
      </c>
      <c r="B4918" t="str">
        <f t="shared" si="155"/>
        <v>C135268GC9060GY-M</v>
      </c>
      <c r="C4918" s="1" t="s">
        <v>5</v>
      </c>
      <c r="D4918" s="1" t="s">
        <v>791</v>
      </c>
      <c r="E4918" s="1" t="s">
        <v>397</v>
      </c>
      <c r="F4918" s="1" t="s">
        <v>400</v>
      </c>
      <c r="G4918" s="1" t="s">
        <v>401</v>
      </c>
      <c r="H4918" s="1">
        <v>456</v>
      </c>
      <c r="I4918" s="3">
        <v>46286</v>
      </c>
      <c r="L4918" s="31">
        <v>46286.392480289353</v>
      </c>
      <c r="M4918" s="20">
        <v>12</v>
      </c>
      <c r="N4918" s="1">
        <v>21</v>
      </c>
    </row>
    <row r="4919" spans="1:14" x14ac:dyDescent="0.25">
      <c r="A4919" t="str">
        <f t="shared" si="154"/>
        <v>C135268C135268</v>
      </c>
      <c r="B4919" t="str">
        <f t="shared" si="155"/>
        <v>C135268GC9060GY-M</v>
      </c>
      <c r="C4919" s="1" t="s">
        <v>5</v>
      </c>
      <c r="D4919" s="1" t="s">
        <v>791</v>
      </c>
      <c r="E4919" s="1" t="s">
        <v>397</v>
      </c>
      <c r="F4919" s="1" t="s">
        <v>400</v>
      </c>
      <c r="G4919" s="1" t="s">
        <v>401</v>
      </c>
      <c r="H4919" s="1">
        <v>456</v>
      </c>
      <c r="I4919" s="3">
        <v>46286</v>
      </c>
      <c r="L4919" s="31">
        <v>46286.40198938657</v>
      </c>
      <c r="M4919" s="20">
        <v>12</v>
      </c>
      <c r="N4919" s="1">
        <v>9</v>
      </c>
    </row>
    <row r="4920" spans="1:14" x14ac:dyDescent="0.25">
      <c r="A4920" t="str">
        <f t="shared" si="154"/>
        <v>C135268C135268</v>
      </c>
      <c r="B4920" t="str">
        <f t="shared" si="155"/>
        <v>C135268GC9060GY-M</v>
      </c>
      <c r="C4920" s="1" t="s">
        <v>5</v>
      </c>
      <c r="D4920" s="1" t="s">
        <v>791</v>
      </c>
      <c r="E4920" s="1" t="s">
        <v>397</v>
      </c>
      <c r="F4920" s="1" t="s">
        <v>400</v>
      </c>
      <c r="G4920" s="1" t="s">
        <v>401</v>
      </c>
      <c r="H4920" s="1">
        <v>456</v>
      </c>
      <c r="I4920" s="3">
        <v>46286</v>
      </c>
      <c r="L4920" s="31">
        <v>46286.57991670139</v>
      </c>
      <c r="M4920" s="20">
        <v>12</v>
      </c>
      <c r="N4920" s="1">
        <v>34</v>
      </c>
    </row>
    <row r="4921" spans="1:14" x14ac:dyDescent="0.25">
      <c r="A4921" t="str">
        <f t="shared" si="154"/>
        <v>C135268C135268</v>
      </c>
      <c r="B4921" t="str">
        <f t="shared" si="155"/>
        <v>C135268GC9060GY-M</v>
      </c>
      <c r="C4921" s="1" t="s">
        <v>5</v>
      </c>
      <c r="D4921" s="1" t="s">
        <v>791</v>
      </c>
      <c r="E4921" s="1" t="s">
        <v>397</v>
      </c>
      <c r="F4921" s="1" t="s">
        <v>400</v>
      </c>
      <c r="G4921" s="1" t="s">
        <v>401</v>
      </c>
      <c r="H4921" s="1">
        <v>456</v>
      </c>
      <c r="I4921" s="3">
        <v>46286</v>
      </c>
      <c r="L4921" s="31">
        <v>46286.639416932871</v>
      </c>
      <c r="M4921" s="20">
        <v>12</v>
      </c>
      <c r="N4921" s="1">
        <v>12</v>
      </c>
    </row>
    <row r="4922" spans="1:14" x14ac:dyDescent="0.25">
      <c r="A4922" t="str">
        <f t="shared" si="154"/>
        <v>H176969H176969</v>
      </c>
      <c r="B4922" t="str">
        <f t="shared" si="155"/>
        <v>H176969PV9060LL-M</v>
      </c>
      <c r="C4922" s="1" t="s">
        <v>789</v>
      </c>
      <c r="D4922" s="1" t="s">
        <v>790</v>
      </c>
      <c r="E4922" s="1" t="s">
        <v>434</v>
      </c>
      <c r="F4922" s="1" t="s">
        <v>435</v>
      </c>
      <c r="G4922" s="1" t="s">
        <v>404</v>
      </c>
      <c r="H4922" s="1">
        <v>144</v>
      </c>
      <c r="I4922" s="3">
        <v>46286</v>
      </c>
      <c r="J4922" s="3">
        <v>46286</v>
      </c>
      <c r="K4922" s="3" t="s">
        <v>2365</v>
      </c>
      <c r="L4922" s="31">
        <v>46286.331711956016</v>
      </c>
      <c r="M4922" s="20">
        <v>12</v>
      </c>
      <c r="N4922" s="1">
        <v>5</v>
      </c>
    </row>
    <row r="4923" spans="1:14" x14ac:dyDescent="0.25">
      <c r="A4923" t="str">
        <f t="shared" si="154"/>
        <v>H176969H176969</v>
      </c>
      <c r="B4923" t="str">
        <f t="shared" si="155"/>
        <v>H176969PV9060LL-M</v>
      </c>
      <c r="C4923" s="1" t="s">
        <v>789</v>
      </c>
      <c r="D4923" s="1" t="s">
        <v>790</v>
      </c>
      <c r="E4923" s="1" t="s">
        <v>434</v>
      </c>
      <c r="F4923" s="1" t="s">
        <v>435</v>
      </c>
      <c r="G4923" s="1" t="s">
        <v>404</v>
      </c>
      <c r="H4923" s="1">
        <v>144</v>
      </c>
      <c r="I4923" s="3">
        <v>46286</v>
      </c>
      <c r="J4923" s="3">
        <v>46286</v>
      </c>
      <c r="K4923" s="3" t="s">
        <v>2365</v>
      </c>
      <c r="L4923" s="31">
        <v>46286.334116053236</v>
      </c>
      <c r="M4923" s="20">
        <v>12</v>
      </c>
      <c r="N4923" s="1">
        <v>4</v>
      </c>
    </row>
    <row r="4924" spans="1:14" x14ac:dyDescent="0.25">
      <c r="A4924" t="str">
        <f t="shared" si="154"/>
        <v>H176969H176969</v>
      </c>
      <c r="B4924" t="str">
        <f t="shared" si="155"/>
        <v>H176969PV9060LL-M</v>
      </c>
      <c r="C4924" s="1" t="s">
        <v>789</v>
      </c>
      <c r="D4924" s="1" t="s">
        <v>790</v>
      </c>
      <c r="E4924" s="1" t="s">
        <v>434</v>
      </c>
      <c r="F4924" s="1" t="s">
        <v>435</v>
      </c>
      <c r="G4924" s="1" t="s">
        <v>404</v>
      </c>
      <c r="H4924" s="1">
        <v>144</v>
      </c>
      <c r="I4924" s="3">
        <v>46286</v>
      </c>
      <c r="J4924" s="3">
        <v>46286</v>
      </c>
      <c r="K4924" s="3" t="s">
        <v>2365</v>
      </c>
      <c r="L4924" s="31">
        <v>46286.371033252311</v>
      </c>
      <c r="M4924" s="20">
        <v>12</v>
      </c>
      <c r="N4924" s="1">
        <v>2</v>
      </c>
    </row>
    <row r="4925" spans="1:14" x14ac:dyDescent="0.25">
      <c r="A4925" t="str">
        <f t="shared" si="154"/>
        <v>H176969H176969</v>
      </c>
      <c r="B4925" t="str">
        <f t="shared" si="155"/>
        <v>H176969PV9060LL-M</v>
      </c>
      <c r="C4925" s="1" t="s">
        <v>789</v>
      </c>
      <c r="D4925" s="1" t="s">
        <v>790</v>
      </c>
      <c r="E4925" s="1" t="s">
        <v>434</v>
      </c>
      <c r="F4925" s="1" t="s">
        <v>435</v>
      </c>
      <c r="G4925" s="1" t="s">
        <v>404</v>
      </c>
      <c r="H4925" s="1">
        <v>144</v>
      </c>
      <c r="I4925" s="3">
        <v>46286</v>
      </c>
      <c r="J4925" s="3">
        <v>46286</v>
      </c>
      <c r="K4925" s="3" t="s">
        <v>2365</v>
      </c>
      <c r="L4925" s="31">
        <v>46286.377673113428</v>
      </c>
      <c r="M4925" s="20">
        <v>12</v>
      </c>
      <c r="N4925" s="1">
        <v>6</v>
      </c>
    </row>
    <row r="4926" spans="1:14" x14ac:dyDescent="0.25">
      <c r="A4926" t="str">
        <f t="shared" si="154"/>
        <v>H176969H176969</v>
      </c>
      <c r="B4926" t="str">
        <f t="shared" si="155"/>
        <v>H176969PV9060LL-M</v>
      </c>
      <c r="C4926" s="1" t="s">
        <v>789</v>
      </c>
      <c r="D4926" s="1" t="s">
        <v>790</v>
      </c>
      <c r="E4926" s="1" t="s">
        <v>434</v>
      </c>
      <c r="F4926" s="1" t="s">
        <v>435</v>
      </c>
      <c r="G4926" s="1" t="s">
        <v>404</v>
      </c>
      <c r="H4926" s="1">
        <v>144</v>
      </c>
      <c r="I4926" s="3">
        <v>46286</v>
      </c>
      <c r="J4926" s="3">
        <v>46286</v>
      </c>
      <c r="K4926" s="3" t="s">
        <v>2365</v>
      </c>
      <c r="L4926" s="31">
        <v>46286.381927546296</v>
      </c>
      <c r="M4926" s="20">
        <v>12</v>
      </c>
      <c r="N4926" s="1">
        <v>9</v>
      </c>
    </row>
    <row r="4927" spans="1:14" x14ac:dyDescent="0.25">
      <c r="A4927" t="str">
        <f t="shared" si="154"/>
        <v>H176969H176969</v>
      </c>
      <c r="B4927" t="str">
        <f t="shared" si="155"/>
        <v>H176969PV9060LL-M</v>
      </c>
      <c r="C4927" s="1" t="s">
        <v>789</v>
      </c>
      <c r="D4927" s="1" t="s">
        <v>790</v>
      </c>
      <c r="E4927" s="1" t="s">
        <v>434</v>
      </c>
      <c r="F4927" s="1" t="s">
        <v>435</v>
      </c>
      <c r="G4927" s="1" t="s">
        <v>404</v>
      </c>
      <c r="H4927" s="1">
        <v>144</v>
      </c>
      <c r="I4927" s="3">
        <v>46286</v>
      </c>
      <c r="J4927" s="3">
        <v>46286</v>
      </c>
      <c r="K4927" s="3" t="s">
        <v>2365</v>
      </c>
      <c r="L4927" s="31">
        <v>46286.382121296294</v>
      </c>
      <c r="M4927" s="20">
        <v>12</v>
      </c>
      <c r="N4927" s="1">
        <v>1</v>
      </c>
    </row>
    <row r="4928" spans="1:14" x14ac:dyDescent="0.25">
      <c r="A4928" t="str">
        <f t="shared" si="154"/>
        <v>H176969H176969</v>
      </c>
      <c r="B4928" t="str">
        <f t="shared" si="155"/>
        <v>H176969PV9060LL-M</v>
      </c>
      <c r="C4928" s="1" t="s">
        <v>789</v>
      </c>
      <c r="D4928" s="1" t="s">
        <v>790</v>
      </c>
      <c r="E4928" s="1" t="s">
        <v>434</v>
      </c>
      <c r="F4928" s="1" t="s">
        <v>435</v>
      </c>
      <c r="G4928" s="1" t="s">
        <v>404</v>
      </c>
      <c r="H4928" s="1">
        <v>144</v>
      </c>
      <c r="I4928" s="3">
        <v>46286</v>
      </c>
      <c r="J4928" s="3">
        <v>46286</v>
      </c>
      <c r="K4928" s="3" t="s">
        <v>2365</v>
      </c>
      <c r="L4928" s="31">
        <v>46286.405080555553</v>
      </c>
      <c r="M4928" s="20">
        <v>12</v>
      </c>
      <c r="N4928" s="1">
        <v>8</v>
      </c>
    </row>
    <row r="4929" spans="1:14" x14ac:dyDescent="0.25">
      <c r="A4929" t="str">
        <f t="shared" si="154"/>
        <v>H176969H176969</v>
      </c>
      <c r="B4929" t="str">
        <f t="shared" si="155"/>
        <v>H176969PV9060LL-M</v>
      </c>
      <c r="C4929" s="1" t="s">
        <v>789</v>
      </c>
      <c r="D4929" s="1" t="s">
        <v>790</v>
      </c>
      <c r="E4929" s="1" t="s">
        <v>434</v>
      </c>
      <c r="F4929" s="1" t="s">
        <v>435</v>
      </c>
      <c r="G4929" s="1" t="s">
        <v>404</v>
      </c>
      <c r="H4929" s="1">
        <v>144</v>
      </c>
      <c r="I4929" s="3">
        <v>46286</v>
      </c>
      <c r="J4929" s="3">
        <v>46286</v>
      </c>
      <c r="K4929" s="3" t="s">
        <v>2365</v>
      </c>
      <c r="L4929" s="31">
        <v>46286.463007407408</v>
      </c>
      <c r="M4929" s="20">
        <v>12</v>
      </c>
      <c r="N4929" s="1">
        <v>10</v>
      </c>
    </row>
    <row r="4930" spans="1:14" x14ac:dyDescent="0.25">
      <c r="A4930" t="str">
        <f t="shared" ref="A4930:A4993" si="156">+D4930&amp;D4930</f>
        <v>H176969H176969</v>
      </c>
      <c r="B4930" t="str">
        <f t="shared" ref="B4930:B4993" si="157">+D4930&amp;C4930</f>
        <v>H176969PV9060LL-M</v>
      </c>
      <c r="C4930" s="1" t="s">
        <v>789</v>
      </c>
      <c r="D4930" s="1" t="s">
        <v>790</v>
      </c>
      <c r="E4930" s="1" t="s">
        <v>434</v>
      </c>
      <c r="F4930" s="1" t="s">
        <v>435</v>
      </c>
      <c r="G4930" s="1" t="s">
        <v>404</v>
      </c>
      <c r="H4930" s="1">
        <v>144</v>
      </c>
      <c r="I4930" s="3">
        <v>46286</v>
      </c>
      <c r="J4930" s="3">
        <v>46286</v>
      </c>
      <c r="K4930" s="3" t="s">
        <v>2365</v>
      </c>
      <c r="L4930" s="31">
        <v>46286.486081793977</v>
      </c>
      <c r="M4930" s="20">
        <v>12</v>
      </c>
      <c r="N4930" s="1">
        <v>3</v>
      </c>
    </row>
    <row r="4931" spans="1:14" x14ac:dyDescent="0.25">
      <c r="A4931" t="str">
        <f t="shared" si="156"/>
        <v>H176969H176969</v>
      </c>
      <c r="B4931" t="str">
        <f t="shared" si="157"/>
        <v>H176969PV9060LL-M</v>
      </c>
      <c r="C4931" s="1" t="s">
        <v>789</v>
      </c>
      <c r="D4931" s="1" t="s">
        <v>790</v>
      </c>
      <c r="E4931" s="1" t="s">
        <v>434</v>
      </c>
      <c r="F4931" s="1" t="s">
        <v>435</v>
      </c>
      <c r="G4931" s="1" t="s">
        <v>404</v>
      </c>
      <c r="H4931" s="1">
        <v>144</v>
      </c>
      <c r="I4931" s="3">
        <v>46286</v>
      </c>
      <c r="J4931" s="3">
        <v>46286</v>
      </c>
      <c r="K4931" s="3" t="s">
        <v>2365</v>
      </c>
      <c r="L4931" s="31">
        <v>46286.551903009255</v>
      </c>
      <c r="M4931" s="20">
        <v>12</v>
      </c>
      <c r="N4931" s="1">
        <v>11</v>
      </c>
    </row>
    <row r="4932" spans="1:14" x14ac:dyDescent="0.25">
      <c r="A4932" t="str">
        <f t="shared" si="156"/>
        <v>H176969H176969</v>
      </c>
      <c r="B4932" t="str">
        <f t="shared" si="157"/>
        <v>H176969PV9060LL-M</v>
      </c>
      <c r="C4932" s="1" t="s">
        <v>789</v>
      </c>
      <c r="D4932" s="1" t="s">
        <v>790</v>
      </c>
      <c r="E4932" s="1" t="s">
        <v>434</v>
      </c>
      <c r="F4932" s="1" t="s">
        <v>435</v>
      </c>
      <c r="G4932" s="1" t="s">
        <v>404</v>
      </c>
      <c r="H4932" s="1">
        <v>144</v>
      </c>
      <c r="I4932" s="3">
        <v>46286</v>
      </c>
      <c r="J4932" s="3">
        <v>46286</v>
      </c>
      <c r="K4932" s="3" t="s">
        <v>2365</v>
      </c>
      <c r="L4932" s="31">
        <v>46286.560167673611</v>
      </c>
      <c r="M4932" s="20">
        <v>6</v>
      </c>
      <c r="N4932" s="1">
        <v>12</v>
      </c>
    </row>
    <row r="4933" spans="1:14" x14ac:dyDescent="0.25">
      <c r="A4933" t="str">
        <f t="shared" si="156"/>
        <v>H176969H176969</v>
      </c>
      <c r="B4933" t="str">
        <f t="shared" si="157"/>
        <v>H176969PV9060LL-M</v>
      </c>
      <c r="C4933" s="1" t="s">
        <v>789</v>
      </c>
      <c r="D4933" s="1" t="s">
        <v>790</v>
      </c>
      <c r="E4933" s="1" t="s">
        <v>434</v>
      </c>
      <c r="F4933" s="1" t="s">
        <v>435</v>
      </c>
      <c r="G4933" s="1" t="s">
        <v>404</v>
      </c>
      <c r="H4933" s="1">
        <v>144</v>
      </c>
      <c r="I4933" s="3">
        <v>46286</v>
      </c>
      <c r="J4933" s="3">
        <v>46286</v>
      </c>
      <c r="K4933" s="3" t="s">
        <v>2365</v>
      </c>
      <c r="L4933" s="31">
        <v>46286.595393946758</v>
      </c>
      <c r="M4933" s="20">
        <v>6</v>
      </c>
      <c r="N4933" s="1">
        <v>13</v>
      </c>
    </row>
    <row r="4934" spans="1:14" x14ac:dyDescent="0.25">
      <c r="A4934" t="str">
        <f t="shared" si="156"/>
        <v>H176969H176969</v>
      </c>
      <c r="B4934" t="str">
        <f t="shared" si="157"/>
        <v>H176969PV9060LL-M</v>
      </c>
      <c r="C4934" s="1" t="s">
        <v>789</v>
      </c>
      <c r="D4934" s="1" t="s">
        <v>790</v>
      </c>
      <c r="E4934" s="1" t="s">
        <v>434</v>
      </c>
      <c r="F4934" s="1" t="s">
        <v>435</v>
      </c>
      <c r="G4934" s="1" t="s">
        <v>404</v>
      </c>
      <c r="H4934" s="1">
        <v>144</v>
      </c>
      <c r="I4934" s="3">
        <v>46286</v>
      </c>
      <c r="J4934" s="3">
        <v>46286</v>
      </c>
      <c r="K4934" s="3" t="s">
        <v>2365</v>
      </c>
      <c r="L4934" s="31">
        <v>46286.620348692129</v>
      </c>
      <c r="M4934" s="20">
        <v>12</v>
      </c>
      <c r="N4934" s="1">
        <v>7</v>
      </c>
    </row>
    <row r="4935" spans="1:14" x14ac:dyDescent="0.25">
      <c r="A4935" t="str">
        <f t="shared" si="156"/>
        <v>H176976H176976</v>
      </c>
      <c r="B4935" t="str">
        <f t="shared" si="157"/>
        <v>H176976W6038GJ-B</v>
      </c>
      <c r="C4935" s="1" t="s">
        <v>811</v>
      </c>
      <c r="D4935" s="1" t="s">
        <v>818</v>
      </c>
      <c r="E4935" s="1" t="s">
        <v>501</v>
      </c>
      <c r="F4935" s="1" t="s">
        <v>502</v>
      </c>
      <c r="G4935" s="1" t="s">
        <v>404</v>
      </c>
      <c r="H4935" s="1">
        <v>1632</v>
      </c>
      <c r="I4935" s="3">
        <v>46286</v>
      </c>
      <c r="L4935" s="31">
        <v>46286.604052696755</v>
      </c>
      <c r="M4935" s="20">
        <v>6</v>
      </c>
      <c r="N4935" s="1">
        <v>52</v>
      </c>
    </row>
    <row r="4936" spans="1:14" x14ac:dyDescent="0.25">
      <c r="A4936" t="str">
        <f t="shared" si="156"/>
        <v>H176976H176976</v>
      </c>
      <c r="B4936" t="str">
        <f t="shared" si="157"/>
        <v>H176976W6038GJ-B</v>
      </c>
      <c r="C4936" s="1" t="s">
        <v>811</v>
      </c>
      <c r="D4936" s="1" t="s">
        <v>818</v>
      </c>
      <c r="E4936" s="1" t="s">
        <v>501</v>
      </c>
      <c r="F4936" s="1" t="s">
        <v>502</v>
      </c>
      <c r="G4936" s="1" t="s">
        <v>404</v>
      </c>
      <c r="H4936" s="1">
        <v>1632</v>
      </c>
      <c r="I4936" s="3">
        <v>46286</v>
      </c>
      <c r="L4936" s="31">
        <v>46286.604471990737</v>
      </c>
      <c r="M4936" s="20">
        <v>6</v>
      </c>
      <c r="N4936" s="1">
        <v>253</v>
      </c>
    </row>
    <row r="4937" spans="1:14" x14ac:dyDescent="0.25">
      <c r="A4937" t="str">
        <f t="shared" si="156"/>
        <v>H176976H176976</v>
      </c>
      <c r="B4937" t="str">
        <f t="shared" si="157"/>
        <v>H176976W6038GJ-B</v>
      </c>
      <c r="C4937" s="1" t="s">
        <v>811</v>
      </c>
      <c r="D4937" s="1" t="s">
        <v>818</v>
      </c>
      <c r="E4937" s="1" t="s">
        <v>501</v>
      </c>
      <c r="F4937" s="1" t="s">
        <v>502</v>
      </c>
      <c r="G4937" s="1" t="s">
        <v>404</v>
      </c>
      <c r="H4937" s="1">
        <v>1632</v>
      </c>
      <c r="I4937" s="3">
        <v>46286</v>
      </c>
      <c r="L4937" s="31">
        <v>46286.609714120372</v>
      </c>
      <c r="M4937" s="20">
        <v>6</v>
      </c>
      <c r="N4937" s="1">
        <v>53</v>
      </c>
    </row>
    <row r="4938" spans="1:14" x14ac:dyDescent="0.25">
      <c r="A4938" t="str">
        <f t="shared" si="156"/>
        <v>H176976H176976</v>
      </c>
      <c r="B4938" t="str">
        <f t="shared" si="157"/>
        <v>H176976W6038GJ-B</v>
      </c>
      <c r="C4938" s="1" t="s">
        <v>811</v>
      </c>
      <c r="D4938" s="1" t="s">
        <v>818</v>
      </c>
      <c r="E4938" s="1" t="s">
        <v>501</v>
      </c>
      <c r="F4938" s="1" t="s">
        <v>502</v>
      </c>
      <c r="G4938" s="1" t="s">
        <v>404</v>
      </c>
      <c r="H4938" s="1">
        <v>1632</v>
      </c>
      <c r="I4938" s="3">
        <v>46286</v>
      </c>
      <c r="L4938" s="31">
        <v>46286.615260798608</v>
      </c>
      <c r="M4938" s="20">
        <v>6</v>
      </c>
      <c r="N4938" s="1">
        <v>261</v>
      </c>
    </row>
    <row r="4939" spans="1:14" x14ac:dyDescent="0.25">
      <c r="A4939" t="str">
        <f t="shared" si="156"/>
        <v>H176976H176976</v>
      </c>
      <c r="B4939" t="str">
        <f t="shared" si="157"/>
        <v>H176976W6038GJ-B</v>
      </c>
      <c r="C4939" s="1" t="s">
        <v>811</v>
      </c>
      <c r="D4939" s="1" t="s">
        <v>818</v>
      </c>
      <c r="E4939" s="1" t="s">
        <v>501</v>
      </c>
      <c r="F4939" s="1" t="s">
        <v>502</v>
      </c>
      <c r="G4939" s="1" t="s">
        <v>404</v>
      </c>
      <c r="H4939" s="1">
        <v>1632</v>
      </c>
      <c r="I4939" s="3">
        <v>46286</v>
      </c>
      <c r="L4939" s="31">
        <v>46286.615831331015</v>
      </c>
      <c r="M4939" s="20">
        <v>6</v>
      </c>
      <c r="N4939" s="1">
        <v>252</v>
      </c>
    </row>
    <row r="4940" spans="1:14" x14ac:dyDescent="0.25">
      <c r="A4940" t="str">
        <f t="shared" si="156"/>
        <v>H176976H176976</v>
      </c>
      <c r="B4940" t="str">
        <f t="shared" si="157"/>
        <v>H176976W6038GJ-B</v>
      </c>
      <c r="C4940" s="1" t="s">
        <v>811</v>
      </c>
      <c r="D4940" s="1" t="s">
        <v>818</v>
      </c>
      <c r="E4940" s="1" t="s">
        <v>501</v>
      </c>
      <c r="F4940" s="1" t="s">
        <v>502</v>
      </c>
      <c r="G4940" s="1" t="s">
        <v>404</v>
      </c>
      <c r="H4940" s="1">
        <v>1632</v>
      </c>
      <c r="I4940" s="3">
        <v>46286</v>
      </c>
      <c r="L4940" s="31">
        <v>46286.616002083334</v>
      </c>
      <c r="M4940" s="20">
        <v>6</v>
      </c>
      <c r="N4940" s="1">
        <v>233</v>
      </c>
    </row>
    <row r="4941" spans="1:14" x14ac:dyDescent="0.25">
      <c r="A4941" t="str">
        <f t="shared" si="156"/>
        <v>H176976H176976</v>
      </c>
      <c r="B4941" t="str">
        <f t="shared" si="157"/>
        <v>H176976W6038GJ-B</v>
      </c>
      <c r="C4941" s="1" t="s">
        <v>811</v>
      </c>
      <c r="D4941" s="1" t="s">
        <v>818</v>
      </c>
      <c r="E4941" s="1" t="s">
        <v>501</v>
      </c>
      <c r="F4941" s="1" t="s">
        <v>502</v>
      </c>
      <c r="G4941" s="1" t="s">
        <v>404</v>
      </c>
      <c r="H4941" s="1">
        <v>1632</v>
      </c>
      <c r="I4941" s="3">
        <v>46286</v>
      </c>
      <c r="L4941" s="31">
        <v>46286.622040127309</v>
      </c>
      <c r="M4941" s="20">
        <v>6</v>
      </c>
      <c r="N4941" s="1">
        <v>254</v>
      </c>
    </row>
    <row r="4942" spans="1:14" x14ac:dyDescent="0.25">
      <c r="A4942" t="str">
        <f t="shared" si="156"/>
        <v>H176976H176976</v>
      </c>
      <c r="B4942" t="str">
        <f t="shared" si="157"/>
        <v>H176976W6038GJ-B</v>
      </c>
      <c r="C4942" s="1" t="s">
        <v>811</v>
      </c>
      <c r="D4942" s="1" t="s">
        <v>818</v>
      </c>
      <c r="E4942" s="1" t="s">
        <v>501</v>
      </c>
      <c r="F4942" s="1" t="s">
        <v>502</v>
      </c>
      <c r="G4942" s="1" t="s">
        <v>404</v>
      </c>
      <c r="H4942" s="1">
        <v>1632</v>
      </c>
      <c r="I4942" s="3">
        <v>46286</v>
      </c>
      <c r="L4942" s="31">
        <v>46286.622255474533</v>
      </c>
      <c r="M4942" s="20">
        <v>6</v>
      </c>
      <c r="N4942" s="1">
        <v>51</v>
      </c>
    </row>
    <row r="4943" spans="1:14" x14ac:dyDescent="0.25">
      <c r="A4943" t="str">
        <f t="shared" si="156"/>
        <v>H176976H176976</v>
      </c>
      <c r="B4943" t="str">
        <f t="shared" si="157"/>
        <v>H176976W6038GJ-B</v>
      </c>
      <c r="C4943" s="1" t="s">
        <v>811</v>
      </c>
      <c r="D4943" s="1" t="s">
        <v>818</v>
      </c>
      <c r="E4943" s="1" t="s">
        <v>501</v>
      </c>
      <c r="F4943" s="1" t="s">
        <v>502</v>
      </c>
      <c r="G4943" s="1" t="s">
        <v>404</v>
      </c>
      <c r="H4943" s="1">
        <v>1632</v>
      </c>
      <c r="I4943" s="3">
        <v>46286</v>
      </c>
      <c r="L4943" s="31">
        <v>46286.62267719907</v>
      </c>
      <c r="M4943" s="20">
        <v>6</v>
      </c>
      <c r="N4943" s="1">
        <v>55</v>
      </c>
    </row>
    <row r="4944" spans="1:14" x14ac:dyDescent="0.25">
      <c r="A4944" t="str">
        <f t="shared" si="156"/>
        <v>H176976H176976</v>
      </c>
      <c r="B4944" t="str">
        <f t="shared" si="157"/>
        <v>H176976W6038GJ-B</v>
      </c>
      <c r="C4944" s="1" t="s">
        <v>811</v>
      </c>
      <c r="D4944" s="1" t="s">
        <v>818</v>
      </c>
      <c r="E4944" s="1" t="s">
        <v>501</v>
      </c>
      <c r="F4944" s="1" t="s">
        <v>502</v>
      </c>
      <c r="G4944" s="1" t="s">
        <v>404</v>
      </c>
      <c r="H4944" s="1">
        <v>1632</v>
      </c>
      <c r="I4944" s="3">
        <v>46286</v>
      </c>
      <c r="L4944" s="31">
        <v>46286.624536377312</v>
      </c>
      <c r="M4944" s="20">
        <v>6</v>
      </c>
      <c r="N4944" s="1">
        <v>247</v>
      </c>
    </row>
    <row r="4945" spans="1:14" x14ac:dyDescent="0.25">
      <c r="A4945" t="str">
        <f t="shared" si="156"/>
        <v>H176976H176976</v>
      </c>
      <c r="B4945" t="str">
        <f t="shared" si="157"/>
        <v>H176976W6038GJ-B</v>
      </c>
      <c r="C4945" s="1" t="s">
        <v>811</v>
      </c>
      <c r="D4945" s="1" t="s">
        <v>818</v>
      </c>
      <c r="E4945" s="1" t="s">
        <v>501</v>
      </c>
      <c r="F4945" s="1" t="s">
        <v>502</v>
      </c>
      <c r="G4945" s="1" t="s">
        <v>404</v>
      </c>
      <c r="H4945" s="1">
        <v>1632</v>
      </c>
      <c r="I4945" s="3">
        <v>46286</v>
      </c>
      <c r="L4945" s="31">
        <v>46286.624794641204</v>
      </c>
      <c r="M4945" s="20">
        <v>6</v>
      </c>
      <c r="N4945" s="1">
        <v>234</v>
      </c>
    </row>
    <row r="4946" spans="1:14" x14ac:dyDescent="0.25">
      <c r="A4946" t="str">
        <f t="shared" si="156"/>
        <v>H176976H176976</v>
      </c>
      <c r="B4946" t="str">
        <f t="shared" si="157"/>
        <v>H176976W6038GJ-B</v>
      </c>
      <c r="C4946" s="1" t="s">
        <v>811</v>
      </c>
      <c r="D4946" s="1" t="s">
        <v>818</v>
      </c>
      <c r="E4946" s="1" t="s">
        <v>501</v>
      </c>
      <c r="F4946" s="1" t="s">
        <v>502</v>
      </c>
      <c r="G4946" s="1" t="s">
        <v>404</v>
      </c>
      <c r="H4946" s="1">
        <v>1632</v>
      </c>
      <c r="I4946" s="3">
        <v>46286</v>
      </c>
      <c r="L4946" s="31">
        <v>46286.625216203705</v>
      </c>
      <c r="M4946" s="20">
        <v>6</v>
      </c>
      <c r="N4946" s="1">
        <v>246</v>
      </c>
    </row>
    <row r="4947" spans="1:14" x14ac:dyDescent="0.25">
      <c r="A4947" t="str">
        <f t="shared" si="156"/>
        <v>H176976H176976</v>
      </c>
      <c r="B4947" t="str">
        <f t="shared" si="157"/>
        <v>H176976W6038GJ-B</v>
      </c>
      <c r="C4947" s="1" t="s">
        <v>811</v>
      </c>
      <c r="D4947" s="1" t="s">
        <v>818</v>
      </c>
      <c r="E4947" s="1" t="s">
        <v>501</v>
      </c>
      <c r="F4947" s="1" t="s">
        <v>502</v>
      </c>
      <c r="G4947" s="1" t="s">
        <v>404</v>
      </c>
      <c r="H4947" s="1">
        <v>1632</v>
      </c>
      <c r="I4947" s="3">
        <v>46286</v>
      </c>
      <c r="L4947" s="31">
        <v>46286.634690196755</v>
      </c>
      <c r="M4947" s="20">
        <v>6</v>
      </c>
      <c r="N4947" s="1">
        <v>255</v>
      </c>
    </row>
    <row r="4948" spans="1:14" x14ac:dyDescent="0.25">
      <c r="A4948" t="str">
        <f t="shared" si="156"/>
        <v>H176976H176976</v>
      </c>
      <c r="B4948" t="str">
        <f t="shared" si="157"/>
        <v>H176976W6038GJ-B</v>
      </c>
      <c r="C4948" s="1" t="s">
        <v>811</v>
      </c>
      <c r="D4948" s="1" t="s">
        <v>818</v>
      </c>
      <c r="E4948" s="1" t="s">
        <v>501</v>
      </c>
      <c r="F4948" s="1" t="s">
        <v>502</v>
      </c>
      <c r="G4948" s="1" t="s">
        <v>404</v>
      </c>
      <c r="H4948" s="1">
        <v>1632</v>
      </c>
      <c r="I4948" s="3">
        <v>46286</v>
      </c>
      <c r="L4948" s="31">
        <v>46286.635167789347</v>
      </c>
      <c r="M4948" s="20">
        <v>6</v>
      </c>
      <c r="N4948" s="1">
        <v>50</v>
      </c>
    </row>
    <row r="4949" spans="1:14" x14ac:dyDescent="0.25">
      <c r="A4949" t="str">
        <f t="shared" si="156"/>
        <v>H176976H176976</v>
      </c>
      <c r="B4949" t="str">
        <f t="shared" si="157"/>
        <v>H176976W6038GJ-B</v>
      </c>
      <c r="C4949" s="1" t="s">
        <v>811</v>
      </c>
      <c r="D4949" s="1" t="s">
        <v>818</v>
      </c>
      <c r="E4949" s="1" t="s">
        <v>501</v>
      </c>
      <c r="F4949" s="1" t="s">
        <v>502</v>
      </c>
      <c r="G4949" s="1" t="s">
        <v>404</v>
      </c>
      <c r="H4949" s="1">
        <v>1632</v>
      </c>
      <c r="I4949" s="3">
        <v>46286</v>
      </c>
      <c r="L4949" s="31">
        <v>46286.635554432869</v>
      </c>
      <c r="M4949" s="20">
        <v>6</v>
      </c>
      <c r="N4949" s="1">
        <v>260</v>
      </c>
    </row>
    <row r="4950" spans="1:14" x14ac:dyDescent="0.25">
      <c r="A4950" t="str">
        <f t="shared" si="156"/>
        <v>H176976H176976</v>
      </c>
      <c r="B4950" t="str">
        <f t="shared" si="157"/>
        <v>H176976W6038GJ-B</v>
      </c>
      <c r="C4950" s="1" t="s">
        <v>811</v>
      </c>
      <c r="D4950" s="1" t="s">
        <v>818</v>
      </c>
      <c r="E4950" s="1" t="s">
        <v>501</v>
      </c>
      <c r="F4950" s="1" t="s">
        <v>502</v>
      </c>
      <c r="G4950" s="1" t="s">
        <v>404</v>
      </c>
      <c r="H4950" s="1">
        <v>1632</v>
      </c>
      <c r="I4950" s="3">
        <v>46286</v>
      </c>
      <c r="L4950" s="31">
        <v>46286.636692094908</v>
      </c>
      <c r="M4950" s="20">
        <v>6</v>
      </c>
      <c r="N4950" s="1">
        <v>231</v>
      </c>
    </row>
    <row r="4951" spans="1:14" x14ac:dyDescent="0.25">
      <c r="A4951" t="str">
        <f t="shared" si="156"/>
        <v>H176976H176976</v>
      </c>
      <c r="B4951" t="str">
        <f t="shared" si="157"/>
        <v>H176976W6038GJ-B</v>
      </c>
      <c r="C4951" s="1" t="s">
        <v>811</v>
      </c>
      <c r="D4951" s="1" t="s">
        <v>818</v>
      </c>
      <c r="E4951" s="1" t="s">
        <v>501</v>
      </c>
      <c r="F4951" s="1" t="s">
        <v>502</v>
      </c>
      <c r="G4951" s="1" t="s">
        <v>404</v>
      </c>
      <c r="H4951" s="1">
        <v>1632</v>
      </c>
      <c r="I4951" s="3">
        <v>46286</v>
      </c>
      <c r="L4951" s="31">
        <v>46286.648696493052</v>
      </c>
      <c r="M4951" s="20">
        <v>6</v>
      </c>
      <c r="N4951" s="1">
        <v>248</v>
      </c>
    </row>
    <row r="4952" spans="1:14" x14ac:dyDescent="0.25">
      <c r="A4952" t="str">
        <f t="shared" si="156"/>
        <v>H176976H176976</v>
      </c>
      <c r="B4952" t="str">
        <f t="shared" si="157"/>
        <v>H176976W6038GJ-B</v>
      </c>
      <c r="C4952" s="1" t="s">
        <v>811</v>
      </c>
      <c r="D4952" s="1" t="s">
        <v>818</v>
      </c>
      <c r="E4952" s="1" t="s">
        <v>501</v>
      </c>
      <c r="F4952" s="1" t="s">
        <v>502</v>
      </c>
      <c r="G4952" s="1" t="s">
        <v>404</v>
      </c>
      <c r="H4952" s="1">
        <v>1632</v>
      </c>
      <c r="I4952" s="3">
        <v>46286</v>
      </c>
      <c r="L4952" s="31">
        <v>46286.64913622685</v>
      </c>
      <c r="M4952" s="20">
        <v>6</v>
      </c>
      <c r="N4952" s="1">
        <v>249</v>
      </c>
    </row>
    <row r="4953" spans="1:14" x14ac:dyDescent="0.25">
      <c r="A4953" t="str">
        <f t="shared" si="156"/>
        <v>H176976H176976</v>
      </c>
      <c r="B4953" t="str">
        <f t="shared" si="157"/>
        <v>H176976W6038GJ-B</v>
      </c>
      <c r="C4953" s="1" t="s">
        <v>811</v>
      </c>
      <c r="D4953" s="1" t="s">
        <v>818</v>
      </c>
      <c r="E4953" s="1" t="s">
        <v>501</v>
      </c>
      <c r="F4953" s="1" t="s">
        <v>502</v>
      </c>
      <c r="G4953" s="1" t="s">
        <v>404</v>
      </c>
      <c r="H4953" s="1">
        <v>1632</v>
      </c>
      <c r="I4953" s="3">
        <v>46286</v>
      </c>
      <c r="L4953" s="31">
        <v>46286.650282789349</v>
      </c>
      <c r="M4953" s="20">
        <v>6</v>
      </c>
      <c r="N4953" s="1">
        <v>87</v>
      </c>
    </row>
    <row r="4954" spans="1:14" x14ac:dyDescent="0.25">
      <c r="A4954" t="str">
        <f t="shared" si="156"/>
        <v>H176976H176976</v>
      </c>
      <c r="B4954" t="str">
        <f t="shared" si="157"/>
        <v>H176976W6038GJ-B</v>
      </c>
      <c r="C4954" s="1" t="s">
        <v>811</v>
      </c>
      <c r="D4954" s="1" t="s">
        <v>818</v>
      </c>
      <c r="E4954" s="1" t="s">
        <v>501</v>
      </c>
      <c r="F4954" s="1" t="s">
        <v>502</v>
      </c>
      <c r="G4954" s="1" t="s">
        <v>404</v>
      </c>
      <c r="H4954" s="1">
        <v>1632</v>
      </c>
      <c r="I4954" s="3">
        <v>46286</v>
      </c>
      <c r="L4954" s="31">
        <v>46286.651177858796</v>
      </c>
      <c r="M4954" s="20">
        <v>6</v>
      </c>
      <c r="N4954" s="1">
        <v>263</v>
      </c>
    </row>
    <row r="4955" spans="1:14" x14ac:dyDescent="0.25">
      <c r="A4955" t="str">
        <f t="shared" si="156"/>
        <v>H176976H176976</v>
      </c>
      <c r="B4955" t="str">
        <f t="shared" si="157"/>
        <v>H176976W6038GJ-B</v>
      </c>
      <c r="C4955" s="1" t="s">
        <v>811</v>
      </c>
      <c r="D4955" s="1" t="s">
        <v>818</v>
      </c>
      <c r="E4955" s="1" t="s">
        <v>501</v>
      </c>
      <c r="F4955" s="1" t="s">
        <v>502</v>
      </c>
      <c r="G4955" s="1" t="s">
        <v>404</v>
      </c>
      <c r="H4955" s="1">
        <v>1632</v>
      </c>
      <c r="I4955" s="3">
        <v>46286</v>
      </c>
      <c r="L4955" s="31">
        <v>46286.666362731477</v>
      </c>
      <c r="M4955" s="20">
        <v>6</v>
      </c>
      <c r="N4955" s="1">
        <v>265</v>
      </c>
    </row>
    <row r="4956" spans="1:14" x14ac:dyDescent="0.25">
      <c r="A4956" t="str">
        <f t="shared" si="156"/>
        <v>H176976H176976</v>
      </c>
      <c r="B4956" t="str">
        <f t="shared" si="157"/>
        <v>H176976W6038GJ-B</v>
      </c>
      <c r="C4956" s="1" t="s">
        <v>811</v>
      </c>
      <c r="D4956" s="1" t="s">
        <v>818</v>
      </c>
      <c r="E4956" s="1" t="s">
        <v>501</v>
      </c>
      <c r="F4956" s="1" t="s">
        <v>502</v>
      </c>
      <c r="G4956" s="1" t="s">
        <v>404</v>
      </c>
      <c r="H4956" s="1">
        <v>1632</v>
      </c>
      <c r="I4956" s="3">
        <v>46286</v>
      </c>
      <c r="L4956" s="31">
        <v>46286.666719363428</v>
      </c>
      <c r="M4956" s="20">
        <v>6</v>
      </c>
      <c r="N4956" s="1">
        <v>93</v>
      </c>
    </row>
    <row r="4957" spans="1:14" x14ac:dyDescent="0.25">
      <c r="A4957" t="str">
        <f t="shared" si="156"/>
        <v>H176976H176976</v>
      </c>
      <c r="B4957" t="str">
        <f t="shared" si="157"/>
        <v>H176976W6038GJ-B</v>
      </c>
      <c r="C4957" s="1" t="s">
        <v>811</v>
      </c>
      <c r="D4957" s="1" t="s">
        <v>818</v>
      </c>
      <c r="E4957" s="1" t="s">
        <v>501</v>
      </c>
      <c r="F4957" s="1" t="s">
        <v>502</v>
      </c>
      <c r="G4957" s="1" t="s">
        <v>404</v>
      </c>
      <c r="H4957" s="1">
        <v>1632</v>
      </c>
      <c r="I4957" s="3">
        <v>46286</v>
      </c>
      <c r="L4957" s="31">
        <v>46286.671608645833</v>
      </c>
      <c r="M4957" s="20">
        <v>6</v>
      </c>
      <c r="N4957" s="1">
        <v>266</v>
      </c>
    </row>
    <row r="4958" spans="1:14" x14ac:dyDescent="0.25">
      <c r="A4958" t="str">
        <f t="shared" si="156"/>
        <v>H176976H176976</v>
      </c>
      <c r="B4958" t="str">
        <f t="shared" si="157"/>
        <v>H176976W6038GJ-B</v>
      </c>
      <c r="C4958" s="1" t="s">
        <v>811</v>
      </c>
      <c r="D4958" s="1" t="s">
        <v>818</v>
      </c>
      <c r="E4958" s="1" t="s">
        <v>501</v>
      </c>
      <c r="F4958" s="1" t="s">
        <v>502</v>
      </c>
      <c r="G4958" s="1" t="s">
        <v>404</v>
      </c>
      <c r="H4958" s="1">
        <v>1632</v>
      </c>
      <c r="I4958" s="3">
        <v>46286</v>
      </c>
      <c r="L4958" s="31">
        <v>46286.671965543981</v>
      </c>
      <c r="M4958" s="20">
        <v>6</v>
      </c>
      <c r="N4958" s="1">
        <v>88</v>
      </c>
    </row>
    <row r="4959" spans="1:14" x14ac:dyDescent="0.25">
      <c r="A4959" t="str">
        <f t="shared" si="156"/>
        <v>H176976H176976</v>
      </c>
      <c r="B4959" t="str">
        <f t="shared" si="157"/>
        <v>H176976W6038GJ-B</v>
      </c>
      <c r="C4959" s="1" t="s">
        <v>811</v>
      </c>
      <c r="D4959" s="1" t="s">
        <v>818</v>
      </c>
      <c r="E4959" s="1" t="s">
        <v>501</v>
      </c>
      <c r="F4959" s="1" t="s">
        <v>502</v>
      </c>
      <c r="G4959" s="1" t="s">
        <v>404</v>
      </c>
      <c r="H4959" s="1">
        <v>1632</v>
      </c>
      <c r="I4959" s="3">
        <v>46286</v>
      </c>
      <c r="L4959" s="31">
        <v>46286.672687303238</v>
      </c>
      <c r="M4959" s="20">
        <v>6</v>
      </c>
      <c r="N4959" s="1">
        <v>264</v>
      </c>
    </row>
    <row r="4960" spans="1:14" x14ac:dyDescent="0.25">
      <c r="A4960" t="str">
        <f t="shared" si="156"/>
        <v>H176976H176976</v>
      </c>
      <c r="B4960" t="str">
        <f t="shared" si="157"/>
        <v>H176976W6038GJ-B</v>
      </c>
      <c r="C4960" s="1" t="s">
        <v>811</v>
      </c>
      <c r="D4960" s="1" t="s">
        <v>818</v>
      </c>
      <c r="E4960" s="1" t="s">
        <v>501</v>
      </c>
      <c r="F4960" s="1" t="s">
        <v>502</v>
      </c>
      <c r="G4960" s="1" t="s">
        <v>404</v>
      </c>
      <c r="H4960" s="1">
        <v>1632</v>
      </c>
      <c r="I4960" s="3">
        <v>46286</v>
      </c>
      <c r="L4960" s="31">
        <v>46286.672986030091</v>
      </c>
      <c r="M4960" s="20">
        <v>6</v>
      </c>
      <c r="N4960" s="1">
        <v>90</v>
      </c>
    </row>
    <row r="4961" spans="1:14" x14ac:dyDescent="0.25">
      <c r="A4961" t="str">
        <f t="shared" si="156"/>
        <v>H176976H176976</v>
      </c>
      <c r="B4961" t="str">
        <f t="shared" si="157"/>
        <v>H176976W6038GJ-B</v>
      </c>
      <c r="C4961" s="1" t="s">
        <v>811</v>
      </c>
      <c r="D4961" s="1" t="s">
        <v>818</v>
      </c>
      <c r="E4961" s="1" t="s">
        <v>501</v>
      </c>
      <c r="F4961" s="1" t="s">
        <v>502</v>
      </c>
      <c r="G4961" s="1" t="s">
        <v>404</v>
      </c>
      <c r="H4961" s="1">
        <v>1632</v>
      </c>
      <c r="I4961" s="3">
        <v>46286</v>
      </c>
      <c r="L4961" s="31">
        <v>46286.673440277773</v>
      </c>
      <c r="M4961" s="20">
        <v>6</v>
      </c>
      <c r="N4961" s="1">
        <v>94</v>
      </c>
    </row>
    <row r="4962" spans="1:14" x14ac:dyDescent="0.25">
      <c r="A4962" t="str">
        <f t="shared" si="156"/>
        <v>H176976H176976</v>
      </c>
      <c r="B4962" t="str">
        <f t="shared" si="157"/>
        <v>H176976W6038GJ-B</v>
      </c>
      <c r="C4962" s="1" t="s">
        <v>811</v>
      </c>
      <c r="D4962" s="1" t="s">
        <v>818</v>
      </c>
      <c r="E4962" s="1" t="s">
        <v>501</v>
      </c>
      <c r="F4962" s="1" t="s">
        <v>502</v>
      </c>
      <c r="G4962" s="1" t="s">
        <v>404</v>
      </c>
      <c r="H4962" s="1">
        <v>1632</v>
      </c>
      <c r="I4962" s="3">
        <v>46286</v>
      </c>
      <c r="L4962" s="31">
        <v>46286.6738434375</v>
      </c>
      <c r="M4962" s="20">
        <v>6</v>
      </c>
      <c r="N4962" s="1">
        <v>89</v>
      </c>
    </row>
    <row r="4963" spans="1:14" x14ac:dyDescent="0.25">
      <c r="A4963" t="str">
        <f t="shared" si="156"/>
        <v>H176976H176976</v>
      </c>
      <c r="B4963" t="str">
        <f t="shared" si="157"/>
        <v>H176976W6038GJ-B</v>
      </c>
      <c r="C4963" s="1" t="s">
        <v>811</v>
      </c>
      <c r="D4963" s="1" t="s">
        <v>818</v>
      </c>
      <c r="E4963" s="1" t="s">
        <v>501</v>
      </c>
      <c r="F4963" s="1" t="s">
        <v>502</v>
      </c>
      <c r="G4963" s="1" t="s">
        <v>404</v>
      </c>
      <c r="H4963" s="1">
        <v>1632</v>
      </c>
      <c r="I4963" s="3">
        <v>46286</v>
      </c>
      <c r="L4963" s="31">
        <v>46286.687397916663</v>
      </c>
      <c r="M4963" s="20">
        <v>6</v>
      </c>
      <c r="N4963" s="1">
        <v>211</v>
      </c>
    </row>
    <row r="4964" spans="1:14" x14ac:dyDescent="0.25">
      <c r="A4964" t="str">
        <f t="shared" si="156"/>
        <v>H176976H176976</v>
      </c>
      <c r="B4964" t="str">
        <f t="shared" si="157"/>
        <v>H176976W6038GJ-B</v>
      </c>
      <c r="C4964" s="1" t="s">
        <v>811</v>
      </c>
      <c r="D4964" s="1" t="s">
        <v>818</v>
      </c>
      <c r="E4964" s="1" t="s">
        <v>501</v>
      </c>
      <c r="F4964" s="1" t="s">
        <v>502</v>
      </c>
      <c r="G4964" s="1" t="s">
        <v>404</v>
      </c>
      <c r="H4964" s="1">
        <v>1632</v>
      </c>
      <c r="I4964" s="3">
        <v>46286</v>
      </c>
      <c r="L4964" s="31">
        <v>46286.687762650457</v>
      </c>
      <c r="M4964" s="20">
        <v>6</v>
      </c>
      <c r="N4964" s="1">
        <v>100</v>
      </c>
    </row>
    <row r="4965" spans="1:14" x14ac:dyDescent="0.25">
      <c r="A4965" t="str">
        <f t="shared" si="156"/>
        <v>H176976H176976</v>
      </c>
      <c r="B4965" t="str">
        <f t="shared" si="157"/>
        <v>H176976W6038GJ-B</v>
      </c>
      <c r="C4965" s="1" t="s">
        <v>811</v>
      </c>
      <c r="D4965" s="1" t="s">
        <v>818</v>
      </c>
      <c r="E4965" s="1" t="s">
        <v>501</v>
      </c>
      <c r="F4965" s="1" t="s">
        <v>502</v>
      </c>
      <c r="G4965" s="1" t="s">
        <v>404</v>
      </c>
      <c r="H4965" s="1">
        <v>1632</v>
      </c>
      <c r="I4965" s="3">
        <v>46286</v>
      </c>
      <c r="L4965" s="31">
        <v>46286.688189004628</v>
      </c>
      <c r="M4965" s="20">
        <v>6</v>
      </c>
      <c r="N4965" s="1">
        <v>95</v>
      </c>
    </row>
    <row r="4966" spans="1:14" x14ac:dyDescent="0.25">
      <c r="A4966" t="str">
        <f t="shared" si="156"/>
        <v>H176976H176976</v>
      </c>
      <c r="B4966" t="str">
        <f t="shared" si="157"/>
        <v>H176976W6038GJ-B</v>
      </c>
      <c r="C4966" s="1" t="s">
        <v>811</v>
      </c>
      <c r="D4966" s="1" t="s">
        <v>818</v>
      </c>
      <c r="E4966" s="1" t="s">
        <v>501</v>
      </c>
      <c r="F4966" s="1" t="s">
        <v>502</v>
      </c>
      <c r="G4966" s="1" t="s">
        <v>404</v>
      </c>
      <c r="H4966" s="1">
        <v>1632</v>
      </c>
      <c r="I4966" s="3">
        <v>46286</v>
      </c>
      <c r="L4966" s="31">
        <v>46286.689406331017</v>
      </c>
      <c r="M4966" s="20">
        <v>6</v>
      </c>
      <c r="N4966" s="1">
        <v>92</v>
      </c>
    </row>
    <row r="4967" spans="1:14" x14ac:dyDescent="0.25">
      <c r="A4967" t="str">
        <f t="shared" si="156"/>
        <v>H176976H176976</v>
      </c>
      <c r="B4967" t="str">
        <f t="shared" si="157"/>
        <v>H176976W6038GJ-B</v>
      </c>
      <c r="C4967" s="1" t="s">
        <v>811</v>
      </c>
      <c r="D4967" s="1" t="s">
        <v>818</v>
      </c>
      <c r="E4967" s="1" t="s">
        <v>501</v>
      </c>
      <c r="F4967" s="1" t="s">
        <v>502</v>
      </c>
      <c r="G4967" s="1" t="s">
        <v>404</v>
      </c>
      <c r="H4967" s="1">
        <v>1632</v>
      </c>
      <c r="I4967" s="3">
        <v>46286</v>
      </c>
      <c r="L4967" s="31">
        <v>46286.689758796296</v>
      </c>
      <c r="M4967" s="20">
        <v>6</v>
      </c>
      <c r="N4967" s="1">
        <v>101</v>
      </c>
    </row>
    <row r="4968" spans="1:14" x14ac:dyDescent="0.25">
      <c r="A4968" t="str">
        <f t="shared" si="156"/>
        <v>H176976H176976</v>
      </c>
      <c r="B4968" t="str">
        <f t="shared" si="157"/>
        <v>H176976W6038GJ-B</v>
      </c>
      <c r="C4968" s="1" t="s">
        <v>811</v>
      </c>
      <c r="D4968" s="1" t="s">
        <v>818</v>
      </c>
      <c r="E4968" s="1" t="s">
        <v>501</v>
      </c>
      <c r="F4968" s="1" t="s">
        <v>502</v>
      </c>
      <c r="G4968" s="1" t="s">
        <v>404</v>
      </c>
      <c r="H4968" s="1">
        <v>1632</v>
      </c>
      <c r="I4968" s="3">
        <v>46286</v>
      </c>
      <c r="L4968" s="31">
        <v>46286.693881134255</v>
      </c>
      <c r="M4968" s="20">
        <v>6</v>
      </c>
      <c r="N4968" s="1">
        <v>102</v>
      </c>
    </row>
    <row r="4969" spans="1:14" x14ac:dyDescent="0.25">
      <c r="A4969" t="str">
        <f t="shared" si="156"/>
        <v>H176976H176976</v>
      </c>
      <c r="B4969" t="str">
        <f t="shared" si="157"/>
        <v>H176976W6038GJ-B</v>
      </c>
      <c r="C4969" s="1" t="s">
        <v>811</v>
      </c>
      <c r="D4969" s="1" t="s">
        <v>818</v>
      </c>
      <c r="E4969" s="1" t="s">
        <v>501</v>
      </c>
      <c r="F4969" s="1" t="s">
        <v>502</v>
      </c>
      <c r="G4969" s="1" t="s">
        <v>404</v>
      </c>
      <c r="H4969" s="1">
        <v>1632</v>
      </c>
      <c r="I4969" s="3">
        <v>46286</v>
      </c>
      <c r="L4969" s="31">
        <v>46286.694509259258</v>
      </c>
      <c r="M4969" s="20">
        <v>6</v>
      </c>
      <c r="N4969" s="1">
        <v>268</v>
      </c>
    </row>
    <row r="4970" spans="1:14" x14ac:dyDescent="0.25">
      <c r="A4970" t="str">
        <f t="shared" si="156"/>
        <v>H176976H176976</v>
      </c>
      <c r="B4970" t="str">
        <f t="shared" si="157"/>
        <v>H176976W6038GJ-B</v>
      </c>
      <c r="C4970" s="1" t="s">
        <v>811</v>
      </c>
      <c r="D4970" s="1" t="s">
        <v>818</v>
      </c>
      <c r="E4970" s="1" t="s">
        <v>501</v>
      </c>
      <c r="F4970" s="1" t="s">
        <v>502</v>
      </c>
      <c r="G4970" s="1" t="s">
        <v>404</v>
      </c>
      <c r="H4970" s="1">
        <v>1632</v>
      </c>
      <c r="I4970" s="3">
        <v>46286</v>
      </c>
      <c r="L4970" s="31">
        <v>46286.694932523147</v>
      </c>
      <c r="M4970" s="20">
        <v>6</v>
      </c>
      <c r="N4970" s="1">
        <v>237</v>
      </c>
    </row>
    <row r="4971" spans="1:14" x14ac:dyDescent="0.25">
      <c r="A4971" t="str">
        <f t="shared" si="156"/>
        <v>H176976H176976</v>
      </c>
      <c r="B4971" t="str">
        <f t="shared" si="157"/>
        <v>H176976W6038GJ-B</v>
      </c>
      <c r="C4971" s="1" t="s">
        <v>811</v>
      </c>
      <c r="D4971" s="1" t="s">
        <v>818</v>
      </c>
      <c r="E4971" s="1" t="s">
        <v>501</v>
      </c>
      <c r="F4971" s="1" t="s">
        <v>502</v>
      </c>
      <c r="G4971" s="1" t="s">
        <v>404</v>
      </c>
      <c r="H4971" s="1">
        <v>1632</v>
      </c>
      <c r="I4971" s="3">
        <v>46286</v>
      </c>
      <c r="L4971" s="31">
        <v>46286.695303472217</v>
      </c>
      <c r="M4971" s="20">
        <v>6</v>
      </c>
      <c r="N4971" s="1">
        <v>210</v>
      </c>
    </row>
    <row r="4972" spans="1:14" x14ac:dyDescent="0.25">
      <c r="A4972" t="str">
        <f t="shared" si="156"/>
        <v>H176976H176976</v>
      </c>
      <c r="B4972" t="str">
        <f t="shared" si="157"/>
        <v>H176976W6038GJ-B</v>
      </c>
      <c r="C4972" s="1" t="s">
        <v>811</v>
      </c>
      <c r="D4972" s="1" t="s">
        <v>818</v>
      </c>
      <c r="E4972" s="1" t="s">
        <v>501</v>
      </c>
      <c r="F4972" s="1" t="s">
        <v>502</v>
      </c>
      <c r="G4972" s="1" t="s">
        <v>404</v>
      </c>
      <c r="H4972" s="1">
        <v>1632</v>
      </c>
      <c r="I4972" s="3">
        <v>46286</v>
      </c>
      <c r="L4972" s="31">
        <v>46286.695726585647</v>
      </c>
      <c r="M4972" s="20">
        <v>6</v>
      </c>
      <c r="N4972" s="1">
        <v>98</v>
      </c>
    </row>
    <row r="4973" spans="1:14" x14ac:dyDescent="0.25">
      <c r="A4973" t="str">
        <f t="shared" si="156"/>
        <v>H176976H176976</v>
      </c>
      <c r="B4973" t="str">
        <f t="shared" si="157"/>
        <v>H176976W6038GJ-B</v>
      </c>
      <c r="C4973" s="1" t="s">
        <v>811</v>
      </c>
      <c r="D4973" s="1" t="s">
        <v>818</v>
      </c>
      <c r="E4973" s="1" t="s">
        <v>501</v>
      </c>
      <c r="F4973" s="1" t="s">
        <v>502</v>
      </c>
      <c r="G4973" s="1" t="s">
        <v>404</v>
      </c>
      <c r="H4973" s="1">
        <v>1632</v>
      </c>
      <c r="I4973" s="3">
        <v>46286</v>
      </c>
      <c r="L4973" s="31">
        <v>46286.695893368051</v>
      </c>
      <c r="M4973" s="20">
        <v>6</v>
      </c>
      <c r="N4973" s="1">
        <v>262</v>
      </c>
    </row>
    <row r="4974" spans="1:14" x14ac:dyDescent="0.25">
      <c r="A4974" t="str">
        <f t="shared" si="156"/>
        <v>H176976H176976</v>
      </c>
      <c r="B4974" t="str">
        <f t="shared" si="157"/>
        <v>H176976W6038GJ-B</v>
      </c>
      <c r="C4974" s="1" t="s">
        <v>811</v>
      </c>
      <c r="D4974" s="1" t="s">
        <v>818</v>
      </c>
      <c r="E4974" s="1" t="s">
        <v>501</v>
      </c>
      <c r="F4974" s="1" t="s">
        <v>502</v>
      </c>
      <c r="G4974" s="1" t="s">
        <v>404</v>
      </c>
      <c r="H4974" s="1">
        <v>1632</v>
      </c>
      <c r="I4974" s="3">
        <v>46286</v>
      </c>
      <c r="L4974" s="31">
        <v>46286.708791898149</v>
      </c>
      <c r="M4974" s="20">
        <v>6</v>
      </c>
      <c r="N4974" s="1">
        <v>236</v>
      </c>
    </row>
    <row r="4975" spans="1:14" x14ac:dyDescent="0.25">
      <c r="A4975" t="str">
        <f t="shared" si="156"/>
        <v>H176976H176976</v>
      </c>
      <c r="B4975" t="str">
        <f t="shared" si="157"/>
        <v>H176976W6038GJ-B</v>
      </c>
      <c r="C4975" s="1" t="s">
        <v>811</v>
      </c>
      <c r="D4975" s="1" t="s">
        <v>818</v>
      </c>
      <c r="E4975" s="1" t="s">
        <v>501</v>
      </c>
      <c r="F4975" s="1" t="s">
        <v>502</v>
      </c>
      <c r="G4975" s="1" t="s">
        <v>404</v>
      </c>
      <c r="H4975" s="1">
        <v>1632</v>
      </c>
      <c r="I4975" s="3">
        <v>46286</v>
      </c>
      <c r="L4975" s="31">
        <v>46286.708976006943</v>
      </c>
      <c r="M4975" s="20">
        <v>6</v>
      </c>
      <c r="N4975" s="1">
        <v>239</v>
      </c>
    </row>
    <row r="4976" spans="1:14" x14ac:dyDescent="0.25">
      <c r="A4976" t="str">
        <f t="shared" si="156"/>
        <v>H176976H176976</v>
      </c>
      <c r="B4976" t="str">
        <f t="shared" si="157"/>
        <v>H176976W6038GJ-B</v>
      </c>
      <c r="C4976" s="1" t="s">
        <v>811</v>
      </c>
      <c r="D4976" s="1" t="s">
        <v>818</v>
      </c>
      <c r="E4976" s="1" t="s">
        <v>501</v>
      </c>
      <c r="F4976" s="1" t="s">
        <v>502</v>
      </c>
      <c r="G4976" s="1" t="s">
        <v>404</v>
      </c>
      <c r="H4976" s="1">
        <v>1632</v>
      </c>
      <c r="I4976" s="3">
        <v>46286</v>
      </c>
      <c r="L4976" s="31">
        <v>46286.709187615736</v>
      </c>
      <c r="M4976" s="20">
        <v>6</v>
      </c>
      <c r="N4976" s="1">
        <v>99</v>
      </c>
    </row>
    <row r="4977" spans="1:14" x14ac:dyDescent="0.25">
      <c r="A4977" t="str">
        <f t="shared" si="156"/>
        <v>H176976H176976</v>
      </c>
      <c r="B4977" t="str">
        <f t="shared" si="157"/>
        <v>H176976W6038GJ-B</v>
      </c>
      <c r="C4977" s="1" t="s">
        <v>811</v>
      </c>
      <c r="D4977" s="1" t="s">
        <v>818</v>
      </c>
      <c r="E4977" s="1" t="s">
        <v>501</v>
      </c>
      <c r="F4977" s="1" t="s">
        <v>502</v>
      </c>
      <c r="G4977" s="1" t="s">
        <v>404</v>
      </c>
      <c r="H4977" s="1">
        <v>1632</v>
      </c>
      <c r="I4977" s="3">
        <v>46286</v>
      </c>
      <c r="L4977" s="31">
        <v>46286.710380868055</v>
      </c>
      <c r="M4977" s="20">
        <v>6</v>
      </c>
      <c r="N4977" s="1">
        <v>106</v>
      </c>
    </row>
    <row r="4978" spans="1:14" x14ac:dyDescent="0.25">
      <c r="A4978" t="str">
        <f t="shared" si="156"/>
        <v>H176976H176976</v>
      </c>
      <c r="B4978" t="str">
        <f t="shared" si="157"/>
        <v>H176976W6038GJ-B</v>
      </c>
      <c r="C4978" s="1" t="s">
        <v>811</v>
      </c>
      <c r="D4978" s="1" t="s">
        <v>818</v>
      </c>
      <c r="E4978" s="1" t="s">
        <v>501</v>
      </c>
      <c r="F4978" s="1" t="s">
        <v>502</v>
      </c>
      <c r="G4978" s="1" t="s">
        <v>404</v>
      </c>
      <c r="H4978" s="1">
        <v>1632</v>
      </c>
      <c r="I4978" s="3">
        <v>46286</v>
      </c>
      <c r="L4978" s="31">
        <v>46286.710977974537</v>
      </c>
      <c r="M4978" s="20">
        <v>6</v>
      </c>
      <c r="N4978" s="1">
        <v>238</v>
      </c>
    </row>
    <row r="4979" spans="1:14" x14ac:dyDescent="0.25">
      <c r="A4979" t="str">
        <f t="shared" si="156"/>
        <v>H176976H176976</v>
      </c>
      <c r="B4979" t="str">
        <f t="shared" si="157"/>
        <v>H176976W6038GJ-B</v>
      </c>
      <c r="C4979" s="1" t="s">
        <v>811</v>
      </c>
      <c r="D4979" s="1" t="s">
        <v>818</v>
      </c>
      <c r="E4979" s="1" t="s">
        <v>501</v>
      </c>
      <c r="F4979" s="1" t="s">
        <v>502</v>
      </c>
      <c r="G4979" s="1" t="s">
        <v>404</v>
      </c>
      <c r="H4979" s="1">
        <v>1632</v>
      </c>
      <c r="I4979" s="3">
        <v>46286</v>
      </c>
      <c r="L4979" s="31">
        <v>46286.712866701389</v>
      </c>
      <c r="M4979" s="20">
        <v>6</v>
      </c>
      <c r="N4979" s="1">
        <v>96</v>
      </c>
    </row>
    <row r="4980" spans="1:14" x14ac:dyDescent="0.25">
      <c r="A4980" t="str">
        <f t="shared" si="156"/>
        <v>H176976H176976</v>
      </c>
      <c r="B4980" t="str">
        <f t="shared" si="157"/>
        <v>H176976W6038GJ-B</v>
      </c>
      <c r="C4980" s="1" t="s">
        <v>811</v>
      </c>
      <c r="D4980" s="1" t="s">
        <v>818</v>
      </c>
      <c r="E4980" s="1" t="s">
        <v>501</v>
      </c>
      <c r="F4980" s="1" t="s">
        <v>502</v>
      </c>
      <c r="G4980" s="1" t="s">
        <v>404</v>
      </c>
      <c r="H4980" s="1">
        <v>1632</v>
      </c>
      <c r="I4980" s="3">
        <v>46286</v>
      </c>
      <c r="L4980" s="31">
        <v>46286.713247222222</v>
      </c>
      <c r="M4980" s="20">
        <v>6</v>
      </c>
      <c r="N4980" s="1">
        <v>11</v>
      </c>
    </row>
    <row r="4981" spans="1:14" x14ac:dyDescent="0.25">
      <c r="A4981" t="str">
        <f t="shared" si="156"/>
        <v>H176976H176976</v>
      </c>
      <c r="B4981" t="str">
        <f t="shared" si="157"/>
        <v>H176976W6038GJ-B</v>
      </c>
      <c r="C4981" s="1" t="s">
        <v>811</v>
      </c>
      <c r="D4981" s="1" t="s">
        <v>818</v>
      </c>
      <c r="E4981" s="1" t="s">
        <v>501</v>
      </c>
      <c r="F4981" s="1" t="s">
        <v>502</v>
      </c>
      <c r="G4981" s="1" t="s">
        <v>404</v>
      </c>
      <c r="H4981" s="1">
        <v>1632</v>
      </c>
      <c r="I4981" s="3">
        <v>46286</v>
      </c>
      <c r="L4981" s="31">
        <v>46286.713557326388</v>
      </c>
      <c r="M4981" s="20">
        <v>6</v>
      </c>
      <c r="N4981" s="1">
        <v>142</v>
      </c>
    </row>
    <row r="4982" spans="1:14" x14ac:dyDescent="0.25">
      <c r="A4982" t="str">
        <f t="shared" si="156"/>
        <v>H176976H176976</v>
      </c>
      <c r="B4982" t="str">
        <f t="shared" si="157"/>
        <v>H176976W6038GJ-B</v>
      </c>
      <c r="C4982" s="1" t="s">
        <v>811</v>
      </c>
      <c r="D4982" s="1" t="s">
        <v>818</v>
      </c>
      <c r="E4982" s="1" t="s">
        <v>501</v>
      </c>
      <c r="F4982" s="1" t="s">
        <v>502</v>
      </c>
      <c r="G4982" s="1" t="s">
        <v>404</v>
      </c>
      <c r="H4982" s="1">
        <v>1632</v>
      </c>
      <c r="I4982" s="3">
        <v>46286</v>
      </c>
      <c r="L4982" s="31">
        <v>46286.713921145834</v>
      </c>
      <c r="M4982" s="20">
        <v>6</v>
      </c>
      <c r="N4982" s="1">
        <v>57</v>
      </c>
    </row>
    <row r="4983" spans="1:14" x14ac:dyDescent="0.25">
      <c r="A4983" t="str">
        <f t="shared" si="156"/>
        <v>H177018H177018</v>
      </c>
      <c r="B4983" t="str">
        <f t="shared" si="157"/>
        <v>H177018W6038GJ-B</v>
      </c>
      <c r="C4983" s="1" t="s">
        <v>811</v>
      </c>
      <c r="D4983" s="1" t="s">
        <v>812</v>
      </c>
      <c r="E4983" s="1" t="s">
        <v>524</v>
      </c>
      <c r="F4983" s="1" t="s">
        <v>525</v>
      </c>
      <c r="G4983" s="1" t="s">
        <v>404</v>
      </c>
      <c r="H4983" s="1">
        <v>252</v>
      </c>
      <c r="I4983" s="3">
        <v>46286</v>
      </c>
      <c r="J4983" s="3">
        <v>46289</v>
      </c>
      <c r="K4983" s="3" t="s">
        <v>2374</v>
      </c>
      <c r="L4983" s="31">
        <v>46286.56389853009</v>
      </c>
      <c r="M4983" s="20">
        <v>12</v>
      </c>
      <c r="N4983" s="1">
        <v>5</v>
      </c>
    </row>
    <row r="4984" spans="1:14" x14ac:dyDescent="0.25">
      <c r="A4984" t="str">
        <f t="shared" si="156"/>
        <v>H177018H177018</v>
      </c>
      <c r="B4984" t="str">
        <f t="shared" si="157"/>
        <v>H177018W6038GJ-B</v>
      </c>
      <c r="C4984" s="1" t="s">
        <v>811</v>
      </c>
      <c r="D4984" s="1" t="s">
        <v>812</v>
      </c>
      <c r="E4984" s="1" t="s">
        <v>524</v>
      </c>
      <c r="F4984" s="1" t="s">
        <v>525</v>
      </c>
      <c r="G4984" s="1" t="s">
        <v>404</v>
      </c>
      <c r="H4984" s="1">
        <v>252</v>
      </c>
      <c r="I4984" s="3">
        <v>46286</v>
      </c>
      <c r="J4984" s="3">
        <v>46289</v>
      </c>
      <c r="K4984" s="3" t="s">
        <v>2374</v>
      </c>
      <c r="L4984" s="31">
        <v>46286.565074999999</v>
      </c>
      <c r="M4984" s="20">
        <v>12</v>
      </c>
      <c r="N4984" s="1">
        <v>2</v>
      </c>
    </row>
    <row r="4985" spans="1:14" x14ac:dyDescent="0.25">
      <c r="A4985" t="str">
        <f t="shared" si="156"/>
        <v>H177018H177018</v>
      </c>
      <c r="B4985" t="str">
        <f t="shared" si="157"/>
        <v>H177018W6038GJ-B</v>
      </c>
      <c r="C4985" s="1" t="s">
        <v>811</v>
      </c>
      <c r="D4985" s="1" t="s">
        <v>812</v>
      </c>
      <c r="E4985" s="1" t="s">
        <v>524</v>
      </c>
      <c r="F4985" s="1" t="s">
        <v>525</v>
      </c>
      <c r="G4985" s="1" t="s">
        <v>404</v>
      </c>
      <c r="H4985" s="1">
        <v>252</v>
      </c>
      <c r="I4985" s="3">
        <v>46286</v>
      </c>
      <c r="J4985" s="3">
        <v>46289</v>
      </c>
      <c r="K4985" s="3" t="s">
        <v>2374</v>
      </c>
      <c r="L4985" s="31">
        <v>46286.569153356482</v>
      </c>
      <c r="M4985" s="20">
        <v>12</v>
      </c>
      <c r="N4985" s="1">
        <v>6</v>
      </c>
    </row>
    <row r="4986" spans="1:14" x14ac:dyDescent="0.25">
      <c r="A4986" t="str">
        <f t="shared" si="156"/>
        <v>H177018H177018</v>
      </c>
      <c r="B4986" t="str">
        <f t="shared" si="157"/>
        <v>H177018W6038GJ-B</v>
      </c>
      <c r="C4986" s="1" t="s">
        <v>811</v>
      </c>
      <c r="D4986" s="1" t="s">
        <v>812</v>
      </c>
      <c r="E4986" s="1" t="s">
        <v>524</v>
      </c>
      <c r="F4986" s="1" t="s">
        <v>525</v>
      </c>
      <c r="G4986" s="1" t="s">
        <v>404</v>
      </c>
      <c r="H4986" s="1">
        <v>252</v>
      </c>
      <c r="I4986" s="3">
        <v>46286</v>
      </c>
      <c r="J4986" s="3">
        <v>46289</v>
      </c>
      <c r="K4986" s="3" t="s">
        <v>2374</v>
      </c>
      <c r="L4986" s="31">
        <v>46286.569345914351</v>
      </c>
      <c r="M4986" s="20">
        <v>12</v>
      </c>
      <c r="N4986" s="1">
        <v>7</v>
      </c>
    </row>
    <row r="4987" spans="1:14" x14ac:dyDescent="0.25">
      <c r="A4987" t="str">
        <f t="shared" si="156"/>
        <v>H177018H177018</v>
      </c>
      <c r="B4987" t="str">
        <f t="shared" si="157"/>
        <v>H177018W6038GJ-B</v>
      </c>
      <c r="C4987" s="1" t="s">
        <v>811</v>
      </c>
      <c r="D4987" s="1" t="s">
        <v>812</v>
      </c>
      <c r="E4987" s="1" t="s">
        <v>524</v>
      </c>
      <c r="F4987" s="1" t="s">
        <v>525</v>
      </c>
      <c r="G4987" s="1" t="s">
        <v>404</v>
      </c>
      <c r="H4987" s="1">
        <v>252</v>
      </c>
      <c r="I4987" s="3">
        <v>46286</v>
      </c>
      <c r="J4987" s="3">
        <v>46289</v>
      </c>
      <c r="K4987" s="3" t="s">
        <v>2374</v>
      </c>
      <c r="L4987" s="31">
        <v>46286.570576932871</v>
      </c>
      <c r="M4987" s="20">
        <v>12</v>
      </c>
      <c r="N4987" s="1">
        <v>13</v>
      </c>
    </row>
    <row r="4988" spans="1:14" x14ac:dyDescent="0.25">
      <c r="A4988" t="str">
        <f t="shared" si="156"/>
        <v>H177018H177018</v>
      </c>
      <c r="B4988" t="str">
        <f t="shared" si="157"/>
        <v>H177018W6038GJ-B</v>
      </c>
      <c r="C4988" s="1" t="s">
        <v>811</v>
      </c>
      <c r="D4988" s="1" t="s">
        <v>812</v>
      </c>
      <c r="E4988" s="1" t="s">
        <v>524</v>
      </c>
      <c r="F4988" s="1" t="s">
        <v>525</v>
      </c>
      <c r="G4988" s="1" t="s">
        <v>404</v>
      </c>
      <c r="H4988" s="1">
        <v>252</v>
      </c>
      <c r="I4988" s="3">
        <v>46286</v>
      </c>
      <c r="J4988" s="3">
        <v>46289</v>
      </c>
      <c r="K4988" s="3" t="s">
        <v>2374</v>
      </c>
      <c r="L4988" s="31">
        <v>46286.59520142361</v>
      </c>
      <c r="M4988" s="20">
        <v>12</v>
      </c>
      <c r="N4988" s="1">
        <v>17</v>
      </c>
    </row>
    <row r="4989" spans="1:14" x14ac:dyDescent="0.25">
      <c r="A4989" t="str">
        <f t="shared" si="156"/>
        <v>H177018H177018</v>
      </c>
      <c r="B4989" t="str">
        <f t="shared" si="157"/>
        <v>H177018W6038GJ-B</v>
      </c>
      <c r="C4989" s="1" t="s">
        <v>811</v>
      </c>
      <c r="D4989" s="1" t="s">
        <v>812</v>
      </c>
      <c r="E4989" s="1" t="s">
        <v>524</v>
      </c>
      <c r="F4989" s="1" t="s">
        <v>525</v>
      </c>
      <c r="G4989" s="1" t="s">
        <v>404</v>
      </c>
      <c r="H4989" s="1">
        <v>252</v>
      </c>
      <c r="I4989" s="3">
        <v>46286</v>
      </c>
      <c r="J4989" s="3">
        <v>46289</v>
      </c>
      <c r="K4989" s="3" t="s">
        <v>2374</v>
      </c>
      <c r="L4989" s="31">
        <v>46286.595636030092</v>
      </c>
      <c r="M4989" s="20">
        <v>12</v>
      </c>
      <c r="N4989" s="1">
        <v>12</v>
      </c>
    </row>
    <row r="4990" spans="1:14" x14ac:dyDescent="0.25">
      <c r="A4990" t="str">
        <f t="shared" si="156"/>
        <v>H177018H177018</v>
      </c>
      <c r="B4990" t="str">
        <f t="shared" si="157"/>
        <v>H177018W6038GJ-B</v>
      </c>
      <c r="C4990" s="1" t="s">
        <v>811</v>
      </c>
      <c r="D4990" s="1" t="s">
        <v>812</v>
      </c>
      <c r="E4990" s="1" t="s">
        <v>524</v>
      </c>
      <c r="F4990" s="1" t="s">
        <v>525</v>
      </c>
      <c r="G4990" s="1" t="s">
        <v>404</v>
      </c>
      <c r="H4990" s="1">
        <v>252</v>
      </c>
      <c r="I4990" s="3">
        <v>46286</v>
      </c>
      <c r="J4990" s="3">
        <v>46289</v>
      </c>
      <c r="K4990" s="3" t="s">
        <v>2374</v>
      </c>
      <c r="L4990" s="31">
        <v>46286.595836574073</v>
      </c>
      <c r="M4990" s="20">
        <v>12</v>
      </c>
      <c r="N4990" s="1">
        <v>3</v>
      </c>
    </row>
    <row r="4991" spans="1:14" x14ac:dyDescent="0.25">
      <c r="A4991" t="str">
        <f t="shared" si="156"/>
        <v>H177018H177018</v>
      </c>
      <c r="B4991" t="str">
        <f t="shared" si="157"/>
        <v>H177018W6038GJ-B</v>
      </c>
      <c r="C4991" s="1" t="s">
        <v>811</v>
      </c>
      <c r="D4991" s="1" t="s">
        <v>812</v>
      </c>
      <c r="E4991" s="1" t="s">
        <v>524</v>
      </c>
      <c r="F4991" s="1" t="s">
        <v>525</v>
      </c>
      <c r="G4991" s="1" t="s">
        <v>404</v>
      </c>
      <c r="H4991" s="1">
        <v>252</v>
      </c>
      <c r="I4991" s="3">
        <v>46286</v>
      </c>
      <c r="J4991" s="3">
        <v>46289</v>
      </c>
      <c r="K4991" s="3" t="s">
        <v>2374</v>
      </c>
      <c r="L4991" s="31">
        <v>46286.602738622685</v>
      </c>
      <c r="M4991" s="20">
        <v>6</v>
      </c>
      <c r="N4991" s="1">
        <v>21</v>
      </c>
    </row>
    <row r="4992" spans="1:14" x14ac:dyDescent="0.25">
      <c r="A4992" t="str">
        <f t="shared" si="156"/>
        <v>H177018H177018</v>
      </c>
      <c r="B4992" t="str">
        <f t="shared" si="157"/>
        <v>H177018W6038GJ-B</v>
      </c>
      <c r="C4992" s="1" t="s">
        <v>811</v>
      </c>
      <c r="D4992" s="1" t="s">
        <v>812</v>
      </c>
      <c r="E4992" s="1" t="s">
        <v>524</v>
      </c>
      <c r="F4992" s="1" t="s">
        <v>525</v>
      </c>
      <c r="G4992" s="1" t="s">
        <v>404</v>
      </c>
      <c r="H4992" s="1">
        <v>252</v>
      </c>
      <c r="I4992" s="3">
        <v>46286</v>
      </c>
      <c r="J4992" s="3">
        <v>46289</v>
      </c>
      <c r="K4992" s="3" t="s">
        <v>2374</v>
      </c>
      <c r="L4992" s="31">
        <v>46286.609885914353</v>
      </c>
      <c r="M4992" s="20">
        <v>12</v>
      </c>
      <c r="N4992" s="1">
        <v>8</v>
      </c>
    </row>
    <row r="4993" spans="1:14" x14ac:dyDescent="0.25">
      <c r="A4993" t="str">
        <f t="shared" si="156"/>
        <v>H177018H177018</v>
      </c>
      <c r="B4993" t="str">
        <f t="shared" si="157"/>
        <v>H177018W6038GJ-B</v>
      </c>
      <c r="C4993" s="1" t="s">
        <v>811</v>
      </c>
      <c r="D4993" s="1" t="s">
        <v>812</v>
      </c>
      <c r="E4993" s="1" t="s">
        <v>524</v>
      </c>
      <c r="F4993" s="1" t="s">
        <v>525</v>
      </c>
      <c r="G4993" s="1" t="s">
        <v>404</v>
      </c>
      <c r="H4993" s="1">
        <v>252</v>
      </c>
      <c r="I4993" s="3">
        <v>46286</v>
      </c>
      <c r="J4993" s="3">
        <v>46289</v>
      </c>
      <c r="K4993" s="3" t="s">
        <v>2374</v>
      </c>
      <c r="L4993" s="31">
        <v>46286.636908182867</v>
      </c>
      <c r="M4993" s="20">
        <v>12</v>
      </c>
      <c r="N4993" s="1">
        <v>16</v>
      </c>
    </row>
    <row r="4994" spans="1:14" x14ac:dyDescent="0.25">
      <c r="A4994" t="str">
        <f t="shared" ref="A4994:A5057" si="158">+D4994&amp;D4994</f>
        <v>H177018H177018</v>
      </c>
      <c r="B4994" t="str">
        <f t="shared" ref="B4994:B5057" si="159">+D4994&amp;C4994</f>
        <v>H177018W6038GJ-B</v>
      </c>
      <c r="C4994" s="1" t="s">
        <v>811</v>
      </c>
      <c r="D4994" s="1" t="s">
        <v>812</v>
      </c>
      <c r="E4994" s="1" t="s">
        <v>524</v>
      </c>
      <c r="F4994" s="1" t="s">
        <v>525</v>
      </c>
      <c r="G4994" s="1" t="s">
        <v>404</v>
      </c>
      <c r="H4994" s="1">
        <v>252</v>
      </c>
      <c r="I4994" s="3">
        <v>46286</v>
      </c>
      <c r="J4994" s="3">
        <v>46289</v>
      </c>
      <c r="K4994" s="3" t="s">
        <v>2374</v>
      </c>
      <c r="L4994" s="31">
        <v>46286.696693136575</v>
      </c>
      <c r="M4994" s="20">
        <v>6</v>
      </c>
      <c r="N4994" s="1">
        <v>19</v>
      </c>
    </row>
    <row r="4995" spans="1:14" x14ac:dyDescent="0.25">
      <c r="A4995" t="str">
        <f t="shared" si="158"/>
        <v>H177018H177018</v>
      </c>
      <c r="B4995" t="str">
        <f t="shared" si="159"/>
        <v>H177018W6038GJ-B</v>
      </c>
      <c r="C4995" s="1" t="s">
        <v>811</v>
      </c>
      <c r="D4995" s="1" t="s">
        <v>812</v>
      </c>
      <c r="E4995" s="1" t="s">
        <v>524</v>
      </c>
      <c r="F4995" s="1" t="s">
        <v>525</v>
      </c>
      <c r="G4995" s="1" t="s">
        <v>404</v>
      </c>
      <c r="H4995" s="1">
        <v>252</v>
      </c>
      <c r="I4995" s="3">
        <v>46286</v>
      </c>
      <c r="J4995" s="3">
        <v>46289</v>
      </c>
      <c r="K4995" s="3" t="s">
        <v>2374</v>
      </c>
      <c r="L4995" s="31">
        <v>46286.708147604164</v>
      </c>
      <c r="M4995" s="20">
        <v>12</v>
      </c>
      <c r="N4995" s="1">
        <v>10</v>
      </c>
    </row>
    <row r="4996" spans="1:14" x14ac:dyDescent="0.25">
      <c r="A4996" t="str">
        <f t="shared" si="158"/>
        <v>H177018H177018</v>
      </c>
      <c r="B4996" t="str">
        <f t="shared" si="159"/>
        <v>H177018W6038GJ-B</v>
      </c>
      <c r="C4996" s="1" t="s">
        <v>811</v>
      </c>
      <c r="D4996" s="1" t="s">
        <v>812</v>
      </c>
      <c r="E4996" s="1" t="s">
        <v>524</v>
      </c>
      <c r="F4996" s="1" t="s">
        <v>525</v>
      </c>
      <c r="G4996" s="1" t="s">
        <v>404</v>
      </c>
      <c r="H4996" s="1">
        <v>252</v>
      </c>
      <c r="I4996" s="3">
        <v>46286</v>
      </c>
      <c r="J4996" s="3">
        <v>46289</v>
      </c>
      <c r="K4996" s="3" t="s">
        <v>2374</v>
      </c>
      <c r="L4996" s="31">
        <v>46286.709389039352</v>
      </c>
      <c r="M4996" s="20">
        <v>12</v>
      </c>
      <c r="N4996" s="1">
        <v>9</v>
      </c>
    </row>
    <row r="4997" spans="1:14" x14ac:dyDescent="0.25">
      <c r="A4997" t="str">
        <f t="shared" si="158"/>
        <v>H177018H177018</v>
      </c>
      <c r="B4997" t="str">
        <f t="shared" si="159"/>
        <v>H177018W6038GJ-B</v>
      </c>
      <c r="C4997" s="1" t="s">
        <v>811</v>
      </c>
      <c r="D4997" s="1" t="s">
        <v>812</v>
      </c>
      <c r="E4997" s="1" t="s">
        <v>524</v>
      </c>
      <c r="F4997" s="1" t="s">
        <v>525</v>
      </c>
      <c r="G4997" s="1" t="s">
        <v>404</v>
      </c>
      <c r="H4997" s="1">
        <v>252</v>
      </c>
      <c r="I4997" s="3">
        <v>46286</v>
      </c>
      <c r="J4997" s="3">
        <v>46289</v>
      </c>
      <c r="K4997" s="3" t="s">
        <v>2374</v>
      </c>
      <c r="L4997" s="31">
        <v>46286.711326192126</v>
      </c>
      <c r="M4997" s="20">
        <v>12</v>
      </c>
      <c r="N4997" s="1">
        <v>4</v>
      </c>
    </row>
    <row r="4998" spans="1:14" x14ac:dyDescent="0.25">
      <c r="A4998" t="str">
        <f t="shared" si="158"/>
        <v>H177018H177018</v>
      </c>
      <c r="B4998" t="str">
        <f t="shared" si="159"/>
        <v>H177018W6038GJ-B</v>
      </c>
      <c r="C4998" s="1" t="s">
        <v>811</v>
      </c>
      <c r="D4998" s="1" t="s">
        <v>812</v>
      </c>
      <c r="E4998" s="1" t="s">
        <v>524</v>
      </c>
      <c r="F4998" s="1" t="s">
        <v>525</v>
      </c>
      <c r="G4998" s="1" t="s">
        <v>404</v>
      </c>
      <c r="H4998" s="1">
        <v>252</v>
      </c>
      <c r="I4998" s="3">
        <v>46286</v>
      </c>
      <c r="J4998" s="3">
        <v>46289</v>
      </c>
      <c r="K4998" s="3" t="s">
        <v>2374</v>
      </c>
      <c r="L4998" s="31">
        <v>46286.714108020831</v>
      </c>
      <c r="M4998" s="20">
        <v>12</v>
      </c>
      <c r="N4998" s="1">
        <v>11</v>
      </c>
    </row>
    <row r="4999" spans="1:14" x14ac:dyDescent="0.25">
      <c r="A4999" t="str">
        <f t="shared" si="158"/>
        <v>H177210H177210</v>
      </c>
      <c r="B4999" t="str">
        <f t="shared" si="159"/>
        <v>H177210G204L7GI-M</v>
      </c>
      <c r="C4999" s="1" t="s">
        <v>821</v>
      </c>
      <c r="D4999" s="1" t="s">
        <v>822</v>
      </c>
      <c r="E4999" s="1" t="s">
        <v>402</v>
      </c>
      <c r="F4999" s="1" t="s">
        <v>2289</v>
      </c>
      <c r="G4999" s="1" t="s">
        <v>404</v>
      </c>
      <c r="H4999" s="1">
        <v>756</v>
      </c>
      <c r="I4999" s="3">
        <v>46286</v>
      </c>
      <c r="L4999" s="31">
        <v>46286.634559224534</v>
      </c>
      <c r="M4999" s="20">
        <v>12</v>
      </c>
      <c r="N4999" s="1">
        <v>20</v>
      </c>
    </row>
    <row r="5000" spans="1:14" x14ac:dyDescent="0.25">
      <c r="A5000" t="str">
        <f t="shared" si="158"/>
        <v>H177210H177210</v>
      </c>
      <c r="B5000" t="str">
        <f t="shared" si="159"/>
        <v>H177210G204L7GI-M</v>
      </c>
      <c r="C5000" s="1" t="s">
        <v>821</v>
      </c>
      <c r="D5000" s="1" t="s">
        <v>822</v>
      </c>
      <c r="E5000" s="1" t="s">
        <v>402</v>
      </c>
      <c r="F5000" s="1" t="s">
        <v>2289</v>
      </c>
      <c r="G5000" s="1" t="s">
        <v>404</v>
      </c>
      <c r="H5000" s="1">
        <v>756</v>
      </c>
      <c r="I5000" s="3">
        <v>46286</v>
      </c>
      <c r="L5000" s="31">
        <v>46286.646842476846</v>
      </c>
      <c r="M5000" s="20">
        <v>12</v>
      </c>
      <c r="N5000" s="1">
        <v>27</v>
      </c>
    </row>
    <row r="5001" spans="1:14" x14ac:dyDescent="0.25">
      <c r="A5001" t="str">
        <f t="shared" si="158"/>
        <v>H177210H177210</v>
      </c>
      <c r="B5001" t="str">
        <f t="shared" si="159"/>
        <v>H177210G204L7GI-M</v>
      </c>
      <c r="C5001" s="1" t="s">
        <v>821</v>
      </c>
      <c r="D5001" s="1" t="s">
        <v>822</v>
      </c>
      <c r="E5001" s="1" t="s">
        <v>402</v>
      </c>
      <c r="F5001" s="1" t="s">
        <v>2289</v>
      </c>
      <c r="G5001" s="1" t="s">
        <v>404</v>
      </c>
      <c r="H5001" s="1">
        <v>756</v>
      </c>
      <c r="I5001" s="3">
        <v>46286</v>
      </c>
      <c r="L5001" s="31">
        <v>46286.657862962958</v>
      </c>
      <c r="M5001" s="20">
        <v>12</v>
      </c>
      <c r="N5001" s="1">
        <v>45</v>
      </c>
    </row>
    <row r="5002" spans="1:14" x14ac:dyDescent="0.25">
      <c r="A5002" t="str">
        <f t="shared" si="158"/>
        <v>H177210H177210</v>
      </c>
      <c r="B5002" t="str">
        <f t="shared" si="159"/>
        <v>H177210G204L7GI-M</v>
      </c>
      <c r="C5002" s="1" t="s">
        <v>821</v>
      </c>
      <c r="D5002" s="1" t="s">
        <v>822</v>
      </c>
      <c r="E5002" s="1" t="s">
        <v>402</v>
      </c>
      <c r="F5002" s="1" t="s">
        <v>2289</v>
      </c>
      <c r="G5002" s="1" t="s">
        <v>404</v>
      </c>
      <c r="H5002" s="1">
        <v>756</v>
      </c>
      <c r="I5002" s="3">
        <v>46286</v>
      </c>
      <c r="L5002" s="31">
        <v>46286.673281446754</v>
      </c>
      <c r="M5002" s="20">
        <v>12</v>
      </c>
      <c r="N5002" s="1">
        <v>38</v>
      </c>
    </row>
    <row r="5003" spans="1:14" x14ac:dyDescent="0.25">
      <c r="A5003" t="str">
        <f t="shared" si="158"/>
        <v>H177210H177210</v>
      </c>
      <c r="B5003" t="str">
        <f t="shared" si="159"/>
        <v>H177210G204L7GI-M</v>
      </c>
      <c r="C5003" s="1" t="s">
        <v>821</v>
      </c>
      <c r="D5003" s="1" t="s">
        <v>822</v>
      </c>
      <c r="E5003" s="1" t="s">
        <v>402</v>
      </c>
      <c r="F5003" s="1" t="s">
        <v>2289</v>
      </c>
      <c r="G5003" s="1" t="s">
        <v>404</v>
      </c>
      <c r="H5003" s="1">
        <v>756</v>
      </c>
      <c r="I5003" s="3">
        <v>46286</v>
      </c>
      <c r="L5003" s="31">
        <v>46286.678388807872</v>
      </c>
      <c r="M5003" s="20">
        <v>12</v>
      </c>
      <c r="N5003" s="1">
        <v>39</v>
      </c>
    </row>
    <row r="5004" spans="1:14" x14ac:dyDescent="0.25">
      <c r="A5004" t="str">
        <f t="shared" si="158"/>
        <v>H177265H177265</v>
      </c>
      <c r="B5004" t="str">
        <f t="shared" si="159"/>
        <v>H177265IV9060ER-M</v>
      </c>
      <c r="C5004" s="1" t="s">
        <v>73</v>
      </c>
      <c r="D5004" s="1" t="s">
        <v>810</v>
      </c>
      <c r="E5004" s="1" t="s">
        <v>402</v>
      </c>
      <c r="F5004" s="1" t="s">
        <v>403</v>
      </c>
      <c r="G5004" s="1" t="s">
        <v>404</v>
      </c>
      <c r="H5004" s="1">
        <v>144</v>
      </c>
      <c r="I5004" s="3">
        <v>46286</v>
      </c>
      <c r="J5004" s="3">
        <v>46286</v>
      </c>
      <c r="K5004" s="3" t="s">
        <v>2371</v>
      </c>
      <c r="L5004" s="31">
        <v>46286.561037499996</v>
      </c>
      <c r="M5004" s="20">
        <v>12</v>
      </c>
      <c r="N5004" s="1">
        <v>12</v>
      </c>
    </row>
    <row r="5005" spans="1:14" x14ac:dyDescent="0.25">
      <c r="A5005" t="str">
        <f t="shared" si="158"/>
        <v>H177265H177265</v>
      </c>
      <c r="B5005" t="str">
        <f t="shared" si="159"/>
        <v>H177265IV9060ER-M</v>
      </c>
      <c r="C5005" s="1" t="s">
        <v>73</v>
      </c>
      <c r="D5005" s="1" t="s">
        <v>810</v>
      </c>
      <c r="E5005" s="1" t="s">
        <v>402</v>
      </c>
      <c r="F5005" s="1" t="s">
        <v>403</v>
      </c>
      <c r="G5005" s="1" t="s">
        <v>404</v>
      </c>
      <c r="H5005" s="1">
        <v>144</v>
      </c>
      <c r="I5005" s="3">
        <v>46286</v>
      </c>
      <c r="J5005" s="3">
        <v>46286</v>
      </c>
      <c r="K5005" s="3" t="s">
        <v>2371</v>
      </c>
      <c r="L5005" s="31">
        <v>46286.580089814815</v>
      </c>
      <c r="M5005" s="20">
        <v>12</v>
      </c>
      <c r="N5005" s="1">
        <v>9</v>
      </c>
    </row>
    <row r="5006" spans="1:14" x14ac:dyDescent="0.25">
      <c r="A5006" t="str">
        <f t="shared" si="158"/>
        <v>H177265H177265</v>
      </c>
      <c r="B5006" t="str">
        <f t="shared" si="159"/>
        <v>H177265IV9060ER-M</v>
      </c>
      <c r="C5006" s="1" t="s">
        <v>73</v>
      </c>
      <c r="D5006" s="1" t="s">
        <v>810</v>
      </c>
      <c r="E5006" s="1" t="s">
        <v>402</v>
      </c>
      <c r="F5006" s="1" t="s">
        <v>403</v>
      </c>
      <c r="G5006" s="1" t="s">
        <v>404</v>
      </c>
      <c r="H5006" s="1">
        <v>144</v>
      </c>
      <c r="I5006" s="3">
        <v>46286</v>
      </c>
      <c r="J5006" s="3">
        <v>46286</v>
      </c>
      <c r="K5006" s="3" t="s">
        <v>2371</v>
      </c>
      <c r="L5006" s="31">
        <v>46286.598383217592</v>
      </c>
      <c r="M5006" s="20">
        <v>12</v>
      </c>
      <c r="N5006" s="1">
        <v>6</v>
      </c>
    </row>
    <row r="5007" spans="1:14" x14ac:dyDescent="0.25">
      <c r="A5007" t="str">
        <f t="shared" si="158"/>
        <v>H177265H177265</v>
      </c>
      <c r="B5007" t="str">
        <f t="shared" si="159"/>
        <v>H177265IV9060ER-M</v>
      </c>
      <c r="C5007" s="1" t="s">
        <v>73</v>
      </c>
      <c r="D5007" s="1" t="s">
        <v>810</v>
      </c>
      <c r="E5007" s="1" t="s">
        <v>402</v>
      </c>
      <c r="F5007" s="1" t="s">
        <v>403</v>
      </c>
      <c r="G5007" s="1" t="s">
        <v>404</v>
      </c>
      <c r="H5007" s="1">
        <v>144</v>
      </c>
      <c r="I5007" s="3">
        <v>46286</v>
      </c>
      <c r="J5007" s="3">
        <v>46286</v>
      </c>
      <c r="K5007" s="3" t="s">
        <v>2371</v>
      </c>
      <c r="L5007" s="31">
        <v>46286.598802928238</v>
      </c>
      <c r="M5007" s="20">
        <v>12</v>
      </c>
      <c r="N5007" s="1">
        <v>4</v>
      </c>
    </row>
    <row r="5008" spans="1:14" x14ac:dyDescent="0.25">
      <c r="A5008" t="str">
        <f t="shared" si="158"/>
        <v>H177265H177265</v>
      </c>
      <c r="B5008" t="str">
        <f t="shared" si="159"/>
        <v>H177265IV9060ER-M</v>
      </c>
      <c r="C5008" s="1" t="s">
        <v>73</v>
      </c>
      <c r="D5008" s="1" t="s">
        <v>810</v>
      </c>
      <c r="E5008" s="1" t="s">
        <v>402</v>
      </c>
      <c r="F5008" s="1" t="s">
        <v>403</v>
      </c>
      <c r="G5008" s="1" t="s">
        <v>404</v>
      </c>
      <c r="H5008" s="1">
        <v>144</v>
      </c>
      <c r="I5008" s="3">
        <v>46286</v>
      </c>
      <c r="J5008" s="3">
        <v>46286</v>
      </c>
      <c r="K5008" s="3" t="s">
        <v>2371</v>
      </c>
      <c r="L5008" s="31">
        <v>46286.626830243054</v>
      </c>
      <c r="M5008" s="20">
        <v>12</v>
      </c>
      <c r="N5008" s="1">
        <v>2</v>
      </c>
    </row>
    <row r="5009" spans="1:14" x14ac:dyDescent="0.25">
      <c r="A5009" t="str">
        <f t="shared" si="158"/>
        <v>H177265H177265</v>
      </c>
      <c r="B5009" t="str">
        <f t="shared" si="159"/>
        <v>H177265IV9060ER-M</v>
      </c>
      <c r="C5009" s="1" t="s">
        <v>73</v>
      </c>
      <c r="D5009" s="1" t="s">
        <v>810</v>
      </c>
      <c r="E5009" s="1" t="s">
        <v>402</v>
      </c>
      <c r="F5009" s="1" t="s">
        <v>403</v>
      </c>
      <c r="G5009" s="1" t="s">
        <v>404</v>
      </c>
      <c r="H5009" s="1">
        <v>144</v>
      </c>
      <c r="I5009" s="3">
        <v>46286</v>
      </c>
      <c r="J5009" s="3">
        <v>46286</v>
      </c>
      <c r="K5009" s="3" t="s">
        <v>2371</v>
      </c>
      <c r="L5009" s="31">
        <v>46286.631470717592</v>
      </c>
      <c r="M5009" s="20">
        <v>12</v>
      </c>
      <c r="N5009" s="1">
        <v>7</v>
      </c>
    </row>
    <row r="5010" spans="1:14" x14ac:dyDescent="0.25">
      <c r="A5010" t="str">
        <f t="shared" si="158"/>
        <v>H177265H177265</v>
      </c>
      <c r="B5010" t="str">
        <f t="shared" si="159"/>
        <v>H177265IV9060ER-M</v>
      </c>
      <c r="C5010" s="1" t="s">
        <v>73</v>
      </c>
      <c r="D5010" s="1" t="s">
        <v>810</v>
      </c>
      <c r="E5010" s="1" t="s">
        <v>402</v>
      </c>
      <c r="F5010" s="1" t="s">
        <v>403</v>
      </c>
      <c r="G5010" s="1" t="s">
        <v>404</v>
      </c>
      <c r="H5010" s="1">
        <v>144</v>
      </c>
      <c r="I5010" s="3">
        <v>46286</v>
      </c>
      <c r="J5010" s="3">
        <v>46286</v>
      </c>
      <c r="K5010" s="3" t="s">
        <v>2371</v>
      </c>
      <c r="L5010" s="31">
        <v>46286.648402233797</v>
      </c>
      <c r="M5010" s="20">
        <v>12</v>
      </c>
      <c r="N5010" s="1">
        <v>8</v>
      </c>
    </row>
    <row r="5011" spans="1:14" x14ac:dyDescent="0.25">
      <c r="A5011" t="str">
        <f t="shared" si="158"/>
        <v>H177265H177265</v>
      </c>
      <c r="B5011" t="str">
        <f t="shared" si="159"/>
        <v>H177265IV9060ER-M</v>
      </c>
      <c r="C5011" s="1" t="s">
        <v>73</v>
      </c>
      <c r="D5011" s="1" t="s">
        <v>810</v>
      </c>
      <c r="E5011" s="1" t="s">
        <v>402</v>
      </c>
      <c r="F5011" s="1" t="s">
        <v>403</v>
      </c>
      <c r="G5011" s="1" t="s">
        <v>404</v>
      </c>
      <c r="H5011" s="1">
        <v>144</v>
      </c>
      <c r="I5011" s="3">
        <v>46286</v>
      </c>
      <c r="J5011" s="3">
        <v>46286</v>
      </c>
      <c r="K5011" s="3" t="s">
        <v>2371</v>
      </c>
      <c r="L5011" s="31">
        <v>46286.650838622685</v>
      </c>
      <c r="M5011" s="20">
        <v>12</v>
      </c>
      <c r="N5011" s="1">
        <v>11</v>
      </c>
    </row>
    <row r="5012" spans="1:14" x14ac:dyDescent="0.25">
      <c r="A5012" t="str">
        <f t="shared" si="158"/>
        <v>H177265H177265</v>
      </c>
      <c r="B5012" t="str">
        <f t="shared" si="159"/>
        <v>H177265IV9060ER-M</v>
      </c>
      <c r="C5012" s="1" t="s">
        <v>73</v>
      </c>
      <c r="D5012" s="1" t="s">
        <v>810</v>
      </c>
      <c r="E5012" s="1" t="s">
        <v>402</v>
      </c>
      <c r="F5012" s="1" t="s">
        <v>403</v>
      </c>
      <c r="G5012" s="1" t="s">
        <v>404</v>
      </c>
      <c r="H5012" s="1">
        <v>144</v>
      </c>
      <c r="I5012" s="3">
        <v>46286</v>
      </c>
      <c r="J5012" s="3">
        <v>46286</v>
      </c>
      <c r="K5012" s="3" t="s">
        <v>2371</v>
      </c>
      <c r="L5012" s="31">
        <v>46286.668129861107</v>
      </c>
      <c r="M5012" s="20">
        <v>12</v>
      </c>
      <c r="N5012" s="1">
        <v>1</v>
      </c>
    </row>
    <row r="5013" spans="1:14" x14ac:dyDescent="0.25">
      <c r="A5013" t="str">
        <f t="shared" si="158"/>
        <v>H177265H177265</v>
      </c>
      <c r="B5013" t="str">
        <f t="shared" si="159"/>
        <v>H177265IV9060ER-M</v>
      </c>
      <c r="C5013" s="1" t="s">
        <v>73</v>
      </c>
      <c r="D5013" s="1" t="s">
        <v>810</v>
      </c>
      <c r="E5013" s="1" t="s">
        <v>402</v>
      </c>
      <c r="F5013" s="1" t="s">
        <v>403</v>
      </c>
      <c r="G5013" s="1" t="s">
        <v>404</v>
      </c>
      <c r="H5013" s="1">
        <v>144</v>
      </c>
      <c r="I5013" s="3">
        <v>46286</v>
      </c>
      <c r="J5013" s="3">
        <v>46286</v>
      </c>
      <c r="K5013" s="3" t="s">
        <v>2371</v>
      </c>
      <c r="L5013" s="31">
        <v>46286.668509490737</v>
      </c>
      <c r="M5013" s="20">
        <v>12</v>
      </c>
      <c r="N5013" s="1">
        <v>10</v>
      </c>
    </row>
    <row r="5014" spans="1:14" x14ac:dyDescent="0.25">
      <c r="A5014" t="str">
        <f t="shared" si="158"/>
        <v>H177265H177265</v>
      </c>
      <c r="B5014" t="str">
        <f t="shared" si="159"/>
        <v>H177265IV9060ER-M</v>
      </c>
      <c r="C5014" s="1" t="s">
        <v>73</v>
      </c>
      <c r="D5014" s="1" t="s">
        <v>810</v>
      </c>
      <c r="E5014" s="1" t="s">
        <v>402</v>
      </c>
      <c r="F5014" s="1" t="s">
        <v>403</v>
      </c>
      <c r="G5014" s="1" t="s">
        <v>404</v>
      </c>
      <c r="H5014" s="1">
        <v>144</v>
      </c>
      <c r="I5014" s="3">
        <v>46286</v>
      </c>
      <c r="J5014" s="3">
        <v>46286</v>
      </c>
      <c r="K5014" s="3" t="s">
        <v>2371</v>
      </c>
      <c r="L5014" s="31">
        <v>46286.686808715276</v>
      </c>
      <c r="M5014" s="20">
        <v>12</v>
      </c>
      <c r="N5014" s="1">
        <v>3</v>
      </c>
    </row>
    <row r="5015" spans="1:14" x14ac:dyDescent="0.25">
      <c r="A5015" t="str">
        <f t="shared" si="158"/>
        <v>H177265H177265</v>
      </c>
      <c r="B5015" t="str">
        <f t="shared" si="159"/>
        <v>H177265IV9060ER-M</v>
      </c>
      <c r="C5015" s="1" t="s">
        <v>73</v>
      </c>
      <c r="D5015" s="1" t="s">
        <v>810</v>
      </c>
      <c r="E5015" s="1" t="s">
        <v>402</v>
      </c>
      <c r="F5015" s="1" t="s">
        <v>403</v>
      </c>
      <c r="G5015" s="1" t="s">
        <v>404</v>
      </c>
      <c r="H5015" s="1">
        <v>144</v>
      </c>
      <c r="I5015" s="3">
        <v>46286</v>
      </c>
      <c r="J5015" s="3">
        <v>46286</v>
      </c>
      <c r="K5015" s="3" t="s">
        <v>2371</v>
      </c>
      <c r="L5015" s="31">
        <v>46286.70486917824</v>
      </c>
      <c r="M5015" s="20">
        <v>12</v>
      </c>
      <c r="N5015" s="1">
        <v>5</v>
      </c>
    </row>
    <row r="5016" spans="1:14" x14ac:dyDescent="0.25">
      <c r="A5016" t="str">
        <f t="shared" si="158"/>
        <v>H177278H177278</v>
      </c>
      <c r="B5016" t="str">
        <f t="shared" si="159"/>
        <v>H177278PV9060ER-M</v>
      </c>
      <c r="C5016" s="1" t="s">
        <v>807</v>
      </c>
      <c r="D5016" s="1" t="s">
        <v>808</v>
      </c>
      <c r="E5016" s="1" t="s">
        <v>402</v>
      </c>
      <c r="F5016" s="1" t="s">
        <v>403</v>
      </c>
      <c r="G5016" s="1" t="s">
        <v>404</v>
      </c>
      <c r="H5016" s="1">
        <v>144</v>
      </c>
      <c r="I5016" s="3">
        <v>46286</v>
      </c>
      <c r="J5016" s="3">
        <v>46288</v>
      </c>
      <c r="K5016" s="3" t="s">
        <v>2374</v>
      </c>
      <c r="L5016" s="31">
        <v>46286.487317280087</v>
      </c>
      <c r="M5016" s="20">
        <v>12</v>
      </c>
      <c r="N5016" s="1">
        <v>5</v>
      </c>
    </row>
    <row r="5017" spans="1:14" x14ac:dyDescent="0.25">
      <c r="A5017" t="str">
        <f t="shared" si="158"/>
        <v>H177278H177278</v>
      </c>
      <c r="B5017" t="str">
        <f t="shared" si="159"/>
        <v>H177278PV9060ER-M</v>
      </c>
      <c r="C5017" s="1" t="s">
        <v>807</v>
      </c>
      <c r="D5017" s="1" t="s">
        <v>808</v>
      </c>
      <c r="E5017" s="1" t="s">
        <v>402</v>
      </c>
      <c r="F5017" s="1" t="s">
        <v>403</v>
      </c>
      <c r="G5017" s="1" t="s">
        <v>404</v>
      </c>
      <c r="H5017" s="1">
        <v>144</v>
      </c>
      <c r="I5017" s="3">
        <v>46286</v>
      </c>
      <c r="J5017" s="3">
        <v>46288</v>
      </c>
      <c r="K5017" s="3" t="s">
        <v>2374</v>
      </c>
      <c r="L5017" s="31">
        <v>46286.619732789353</v>
      </c>
      <c r="M5017" s="20">
        <v>12</v>
      </c>
      <c r="N5017" s="1">
        <v>6</v>
      </c>
    </row>
    <row r="5018" spans="1:14" x14ac:dyDescent="0.25">
      <c r="A5018" t="str">
        <f t="shared" si="158"/>
        <v>H177278H177278</v>
      </c>
      <c r="B5018" t="str">
        <f t="shared" si="159"/>
        <v>H177278PV9060ER-M</v>
      </c>
      <c r="C5018" s="1" t="s">
        <v>807</v>
      </c>
      <c r="D5018" s="1" t="s">
        <v>808</v>
      </c>
      <c r="E5018" s="1" t="s">
        <v>402</v>
      </c>
      <c r="F5018" s="1" t="s">
        <v>403</v>
      </c>
      <c r="G5018" s="1" t="s">
        <v>404</v>
      </c>
      <c r="H5018" s="1">
        <v>144</v>
      </c>
      <c r="I5018" s="3">
        <v>46286</v>
      </c>
      <c r="J5018" s="3">
        <v>46288</v>
      </c>
      <c r="K5018" s="3" t="s">
        <v>2374</v>
      </c>
      <c r="L5018" s="31">
        <v>46286.669165659718</v>
      </c>
      <c r="M5018" s="20">
        <v>12</v>
      </c>
      <c r="N5018" s="1">
        <v>8</v>
      </c>
    </row>
    <row r="5019" spans="1:14" x14ac:dyDescent="0.25">
      <c r="A5019" t="str">
        <f t="shared" si="158"/>
        <v>H177278H177278</v>
      </c>
      <c r="B5019" t="str">
        <f t="shared" si="159"/>
        <v>H177278PV9060ER-M</v>
      </c>
      <c r="C5019" s="1" t="s">
        <v>807</v>
      </c>
      <c r="D5019" s="1" t="s">
        <v>808</v>
      </c>
      <c r="E5019" s="1" t="s">
        <v>402</v>
      </c>
      <c r="F5019" s="1" t="s">
        <v>403</v>
      </c>
      <c r="G5019" s="1" t="s">
        <v>404</v>
      </c>
      <c r="H5019" s="1">
        <v>144</v>
      </c>
      <c r="I5019" s="3">
        <v>46286</v>
      </c>
      <c r="J5019" s="3">
        <v>46288</v>
      </c>
      <c r="K5019" s="3" t="s">
        <v>2374</v>
      </c>
      <c r="L5019" s="31">
        <v>46286.670494826387</v>
      </c>
      <c r="M5019" s="20">
        <v>12</v>
      </c>
      <c r="N5019" s="1">
        <v>12</v>
      </c>
    </row>
    <row r="5020" spans="1:14" x14ac:dyDescent="0.25">
      <c r="A5020" t="str">
        <f t="shared" si="158"/>
        <v>H177289H177289</v>
      </c>
      <c r="B5020" t="str">
        <f t="shared" si="159"/>
        <v>H177289PV9060LL-M</v>
      </c>
      <c r="C5020" s="1" t="s">
        <v>789</v>
      </c>
      <c r="D5020" s="1" t="s">
        <v>798</v>
      </c>
      <c r="E5020" s="1" t="s">
        <v>402</v>
      </c>
      <c r="F5020" s="1" t="s">
        <v>403</v>
      </c>
      <c r="G5020" s="1" t="s">
        <v>404</v>
      </c>
      <c r="H5020" s="1">
        <v>288</v>
      </c>
      <c r="I5020" s="3">
        <v>46286</v>
      </c>
      <c r="J5020" s="3">
        <v>46287</v>
      </c>
      <c r="K5020" s="3" t="s">
        <v>2365</v>
      </c>
      <c r="L5020" s="31">
        <v>46286.359221840277</v>
      </c>
      <c r="M5020" s="20">
        <v>12</v>
      </c>
      <c r="N5020" s="1">
        <v>9</v>
      </c>
    </row>
    <row r="5021" spans="1:14" x14ac:dyDescent="0.25">
      <c r="A5021" t="str">
        <f t="shared" si="158"/>
        <v>H177289H177289</v>
      </c>
      <c r="B5021" t="str">
        <f t="shared" si="159"/>
        <v>H177289PV9060LL-M</v>
      </c>
      <c r="C5021" s="1" t="s">
        <v>789</v>
      </c>
      <c r="D5021" s="1" t="s">
        <v>798</v>
      </c>
      <c r="E5021" s="1" t="s">
        <v>402</v>
      </c>
      <c r="F5021" s="1" t="s">
        <v>403</v>
      </c>
      <c r="G5021" s="1" t="s">
        <v>404</v>
      </c>
      <c r="H5021" s="1">
        <v>288</v>
      </c>
      <c r="I5021" s="3">
        <v>46286</v>
      </c>
      <c r="J5021" s="3">
        <v>46287</v>
      </c>
      <c r="K5021" s="3" t="s">
        <v>2365</v>
      </c>
      <c r="L5021" s="31">
        <v>46286.359783946755</v>
      </c>
      <c r="M5021" s="20">
        <v>12</v>
      </c>
      <c r="N5021" s="1">
        <v>17</v>
      </c>
    </row>
    <row r="5022" spans="1:14" x14ac:dyDescent="0.25">
      <c r="A5022" t="str">
        <f t="shared" si="158"/>
        <v>H177289H177289</v>
      </c>
      <c r="B5022" t="str">
        <f t="shared" si="159"/>
        <v>H177289PV9060LL-M</v>
      </c>
      <c r="C5022" s="1" t="s">
        <v>789</v>
      </c>
      <c r="D5022" s="1" t="s">
        <v>798</v>
      </c>
      <c r="E5022" s="1" t="s">
        <v>402</v>
      </c>
      <c r="F5022" s="1" t="s">
        <v>403</v>
      </c>
      <c r="G5022" s="1" t="s">
        <v>404</v>
      </c>
      <c r="H5022" s="1">
        <v>288</v>
      </c>
      <c r="I5022" s="3">
        <v>46286</v>
      </c>
      <c r="J5022" s="3">
        <v>46287</v>
      </c>
      <c r="K5022" s="3" t="s">
        <v>2365</v>
      </c>
      <c r="L5022" s="31">
        <v>46286.402744444444</v>
      </c>
      <c r="M5022" s="20">
        <v>12</v>
      </c>
      <c r="N5022" s="1">
        <v>3</v>
      </c>
    </row>
    <row r="5023" spans="1:14" x14ac:dyDescent="0.25">
      <c r="A5023" t="str">
        <f t="shared" si="158"/>
        <v>H177289H177289</v>
      </c>
      <c r="B5023" t="str">
        <f t="shared" si="159"/>
        <v>H177289PV9060LL-M</v>
      </c>
      <c r="C5023" s="1" t="s">
        <v>789</v>
      </c>
      <c r="D5023" s="1" t="s">
        <v>798</v>
      </c>
      <c r="E5023" s="1" t="s">
        <v>402</v>
      </c>
      <c r="F5023" s="1" t="s">
        <v>403</v>
      </c>
      <c r="G5023" s="1" t="s">
        <v>404</v>
      </c>
      <c r="H5023" s="1">
        <v>288</v>
      </c>
      <c r="I5023" s="3">
        <v>46286</v>
      </c>
      <c r="J5023" s="3">
        <v>46287</v>
      </c>
      <c r="K5023" s="3" t="s">
        <v>2365</v>
      </c>
      <c r="L5023" s="31">
        <v>46286.4079184375</v>
      </c>
      <c r="M5023" s="20">
        <v>12</v>
      </c>
      <c r="N5023" s="1">
        <v>18</v>
      </c>
    </row>
    <row r="5024" spans="1:14" x14ac:dyDescent="0.25">
      <c r="A5024" t="str">
        <f t="shared" si="158"/>
        <v>H177289H177289</v>
      </c>
      <c r="B5024" t="str">
        <f t="shared" si="159"/>
        <v>H177289PV9060LL-M</v>
      </c>
      <c r="C5024" s="1" t="s">
        <v>789</v>
      </c>
      <c r="D5024" s="1" t="s">
        <v>798</v>
      </c>
      <c r="E5024" s="1" t="s">
        <v>402</v>
      </c>
      <c r="F5024" s="1" t="s">
        <v>403</v>
      </c>
      <c r="G5024" s="1" t="s">
        <v>404</v>
      </c>
      <c r="H5024" s="1">
        <v>288</v>
      </c>
      <c r="I5024" s="3">
        <v>46286</v>
      </c>
      <c r="J5024" s="3">
        <v>46287</v>
      </c>
      <c r="K5024" s="3" t="s">
        <v>2365</v>
      </c>
      <c r="L5024" s="31">
        <v>46286.408127627314</v>
      </c>
      <c r="M5024" s="20">
        <v>12</v>
      </c>
      <c r="N5024" s="1">
        <v>13</v>
      </c>
    </row>
    <row r="5025" spans="1:14" x14ac:dyDescent="0.25">
      <c r="A5025" t="str">
        <f t="shared" si="158"/>
        <v>H177289H177289</v>
      </c>
      <c r="B5025" t="str">
        <f t="shared" si="159"/>
        <v>H177289PV9060LL-M</v>
      </c>
      <c r="C5025" s="1" t="s">
        <v>789</v>
      </c>
      <c r="D5025" s="1" t="s">
        <v>798</v>
      </c>
      <c r="E5025" s="1" t="s">
        <v>402</v>
      </c>
      <c r="F5025" s="1" t="s">
        <v>403</v>
      </c>
      <c r="G5025" s="1" t="s">
        <v>404</v>
      </c>
      <c r="H5025" s="1">
        <v>288</v>
      </c>
      <c r="I5025" s="3">
        <v>46286</v>
      </c>
      <c r="J5025" s="3">
        <v>46287</v>
      </c>
      <c r="K5025" s="3" t="s">
        <v>2365</v>
      </c>
      <c r="L5025" s="31">
        <v>46286.416926157406</v>
      </c>
      <c r="M5025" s="20">
        <v>12</v>
      </c>
      <c r="N5025" s="1">
        <v>23</v>
      </c>
    </row>
    <row r="5026" spans="1:14" x14ac:dyDescent="0.25">
      <c r="A5026" t="str">
        <f t="shared" si="158"/>
        <v>H177289H177289</v>
      </c>
      <c r="B5026" t="str">
        <f t="shared" si="159"/>
        <v>H177289PV9060LL-M</v>
      </c>
      <c r="C5026" s="1" t="s">
        <v>789</v>
      </c>
      <c r="D5026" s="1" t="s">
        <v>798</v>
      </c>
      <c r="E5026" s="1" t="s">
        <v>402</v>
      </c>
      <c r="F5026" s="1" t="s">
        <v>403</v>
      </c>
      <c r="G5026" s="1" t="s">
        <v>404</v>
      </c>
      <c r="H5026" s="1">
        <v>288</v>
      </c>
      <c r="I5026" s="3">
        <v>46286</v>
      </c>
      <c r="J5026" s="3">
        <v>46287</v>
      </c>
      <c r="K5026" s="3" t="s">
        <v>2365</v>
      </c>
      <c r="L5026" s="31">
        <v>46286.417082407403</v>
      </c>
      <c r="M5026" s="20">
        <v>12</v>
      </c>
      <c r="N5026" s="1">
        <v>5</v>
      </c>
    </row>
    <row r="5027" spans="1:14" x14ac:dyDescent="0.25">
      <c r="A5027" t="str">
        <f t="shared" si="158"/>
        <v>H177289H177289</v>
      </c>
      <c r="B5027" t="str">
        <f t="shared" si="159"/>
        <v>H177289PV9060LL-M</v>
      </c>
      <c r="C5027" s="1" t="s">
        <v>789</v>
      </c>
      <c r="D5027" s="1" t="s">
        <v>798</v>
      </c>
      <c r="E5027" s="1" t="s">
        <v>402</v>
      </c>
      <c r="F5027" s="1" t="s">
        <v>403</v>
      </c>
      <c r="G5027" s="1" t="s">
        <v>404</v>
      </c>
      <c r="H5027" s="1">
        <v>288</v>
      </c>
      <c r="I5027" s="3">
        <v>46286</v>
      </c>
      <c r="J5027" s="3">
        <v>46287</v>
      </c>
      <c r="K5027" s="3" t="s">
        <v>2365</v>
      </c>
      <c r="L5027" s="31">
        <v>46286.418286261571</v>
      </c>
      <c r="M5027" s="20">
        <v>12</v>
      </c>
      <c r="N5027" s="1">
        <v>10</v>
      </c>
    </row>
    <row r="5028" spans="1:14" x14ac:dyDescent="0.25">
      <c r="A5028" t="str">
        <f t="shared" si="158"/>
        <v>H177289H177289</v>
      </c>
      <c r="B5028" t="str">
        <f t="shared" si="159"/>
        <v>H177289PV9060LL-M</v>
      </c>
      <c r="C5028" s="1" t="s">
        <v>789</v>
      </c>
      <c r="D5028" s="1" t="s">
        <v>798</v>
      </c>
      <c r="E5028" s="1" t="s">
        <v>402</v>
      </c>
      <c r="F5028" s="1" t="s">
        <v>403</v>
      </c>
      <c r="G5028" s="1" t="s">
        <v>404</v>
      </c>
      <c r="H5028" s="1">
        <v>288</v>
      </c>
      <c r="I5028" s="3">
        <v>46286</v>
      </c>
      <c r="J5028" s="3">
        <v>46287</v>
      </c>
      <c r="K5028" s="3" t="s">
        <v>2365</v>
      </c>
      <c r="L5028" s="31">
        <v>46286.434221724536</v>
      </c>
      <c r="M5028" s="20">
        <v>12</v>
      </c>
      <c r="N5028" s="1">
        <v>6</v>
      </c>
    </row>
    <row r="5029" spans="1:14" x14ac:dyDescent="0.25">
      <c r="A5029" t="str">
        <f t="shared" si="158"/>
        <v>H177289H177289</v>
      </c>
      <c r="B5029" t="str">
        <f t="shared" si="159"/>
        <v>H177289PV9060LL-M</v>
      </c>
      <c r="C5029" s="1" t="s">
        <v>789</v>
      </c>
      <c r="D5029" s="1" t="s">
        <v>798</v>
      </c>
      <c r="E5029" s="1" t="s">
        <v>402</v>
      </c>
      <c r="F5029" s="1" t="s">
        <v>403</v>
      </c>
      <c r="G5029" s="1" t="s">
        <v>404</v>
      </c>
      <c r="H5029" s="1">
        <v>288</v>
      </c>
      <c r="I5029" s="3">
        <v>46286</v>
      </c>
      <c r="J5029" s="3">
        <v>46287</v>
      </c>
      <c r="K5029" s="3" t="s">
        <v>2365</v>
      </c>
      <c r="L5029" s="31">
        <v>46286.447636805555</v>
      </c>
      <c r="M5029" s="20">
        <v>12</v>
      </c>
      <c r="N5029" s="1">
        <v>12</v>
      </c>
    </row>
    <row r="5030" spans="1:14" x14ac:dyDescent="0.25">
      <c r="A5030" t="str">
        <f t="shared" si="158"/>
        <v>H177289H177289</v>
      </c>
      <c r="B5030" t="str">
        <f t="shared" si="159"/>
        <v>H177289PV9060LL-M</v>
      </c>
      <c r="C5030" s="1" t="s">
        <v>789</v>
      </c>
      <c r="D5030" s="1" t="s">
        <v>798</v>
      </c>
      <c r="E5030" s="1" t="s">
        <v>402</v>
      </c>
      <c r="F5030" s="1" t="s">
        <v>403</v>
      </c>
      <c r="G5030" s="1" t="s">
        <v>404</v>
      </c>
      <c r="H5030" s="1">
        <v>288</v>
      </c>
      <c r="I5030" s="3">
        <v>46286</v>
      </c>
      <c r="J5030" s="3">
        <v>46287</v>
      </c>
      <c r="K5030" s="3" t="s">
        <v>2365</v>
      </c>
      <c r="L5030" s="31">
        <v>46286.45953969907</v>
      </c>
      <c r="M5030" s="20">
        <v>12</v>
      </c>
      <c r="N5030" s="1">
        <v>7</v>
      </c>
    </row>
    <row r="5031" spans="1:14" x14ac:dyDescent="0.25">
      <c r="A5031" t="str">
        <f t="shared" si="158"/>
        <v>H177289H177289</v>
      </c>
      <c r="B5031" t="str">
        <f t="shared" si="159"/>
        <v>H177289PV9060LL-M</v>
      </c>
      <c r="C5031" s="1" t="s">
        <v>789</v>
      </c>
      <c r="D5031" s="1" t="s">
        <v>798</v>
      </c>
      <c r="E5031" s="1" t="s">
        <v>402</v>
      </c>
      <c r="F5031" s="1" t="s">
        <v>403</v>
      </c>
      <c r="G5031" s="1" t="s">
        <v>404</v>
      </c>
      <c r="H5031" s="1">
        <v>288</v>
      </c>
      <c r="I5031" s="3">
        <v>46286</v>
      </c>
      <c r="J5031" s="3">
        <v>46287</v>
      </c>
      <c r="K5031" s="3" t="s">
        <v>2365</v>
      </c>
      <c r="L5031" s="31">
        <v>46286.466864085647</v>
      </c>
      <c r="M5031" s="20">
        <v>12</v>
      </c>
      <c r="N5031" s="1">
        <v>2</v>
      </c>
    </row>
    <row r="5032" spans="1:14" x14ac:dyDescent="0.25">
      <c r="A5032" t="str">
        <f t="shared" si="158"/>
        <v>H177289H177289</v>
      </c>
      <c r="B5032" t="str">
        <f t="shared" si="159"/>
        <v>H177289PV9060LL-M</v>
      </c>
      <c r="C5032" s="1" t="s">
        <v>789</v>
      </c>
      <c r="D5032" s="1" t="s">
        <v>798</v>
      </c>
      <c r="E5032" s="1" t="s">
        <v>402</v>
      </c>
      <c r="F5032" s="1" t="s">
        <v>403</v>
      </c>
      <c r="G5032" s="1" t="s">
        <v>404</v>
      </c>
      <c r="H5032" s="1">
        <v>288</v>
      </c>
      <c r="I5032" s="3">
        <v>46286</v>
      </c>
      <c r="J5032" s="3">
        <v>46287</v>
      </c>
      <c r="K5032" s="3" t="s">
        <v>2365</v>
      </c>
      <c r="L5032" s="31">
        <v>46286.467344097218</v>
      </c>
      <c r="M5032" s="20">
        <v>12</v>
      </c>
      <c r="N5032" s="1">
        <v>20</v>
      </c>
    </row>
    <row r="5033" spans="1:14" x14ac:dyDescent="0.25">
      <c r="A5033" t="str">
        <f t="shared" si="158"/>
        <v>H177289H177289</v>
      </c>
      <c r="B5033" t="str">
        <f t="shared" si="159"/>
        <v>H177289PV9060LL-M</v>
      </c>
      <c r="C5033" s="1" t="s">
        <v>789</v>
      </c>
      <c r="D5033" s="1" t="s">
        <v>798</v>
      </c>
      <c r="E5033" s="1" t="s">
        <v>402</v>
      </c>
      <c r="F5033" s="1" t="s">
        <v>403</v>
      </c>
      <c r="G5033" s="1" t="s">
        <v>404</v>
      </c>
      <c r="H5033" s="1">
        <v>288</v>
      </c>
      <c r="I5033" s="3">
        <v>46286</v>
      </c>
      <c r="J5033" s="3">
        <v>46287</v>
      </c>
      <c r="K5033" s="3" t="s">
        <v>2365</v>
      </c>
      <c r="L5033" s="31">
        <v>46286.467665358796</v>
      </c>
      <c r="M5033" s="20">
        <v>12</v>
      </c>
      <c r="N5033" s="1">
        <v>21</v>
      </c>
    </row>
    <row r="5034" spans="1:14" x14ac:dyDescent="0.25">
      <c r="A5034" t="str">
        <f t="shared" si="158"/>
        <v>H177289H177289</v>
      </c>
      <c r="B5034" t="str">
        <f t="shared" si="159"/>
        <v>H177289PV9060LL-M</v>
      </c>
      <c r="C5034" s="1" t="s">
        <v>789</v>
      </c>
      <c r="D5034" s="1" t="s">
        <v>798</v>
      </c>
      <c r="E5034" s="1" t="s">
        <v>402</v>
      </c>
      <c r="F5034" s="1" t="s">
        <v>403</v>
      </c>
      <c r="G5034" s="1" t="s">
        <v>404</v>
      </c>
      <c r="H5034" s="1">
        <v>288</v>
      </c>
      <c r="I5034" s="3">
        <v>46286</v>
      </c>
      <c r="J5034" s="3">
        <v>46287</v>
      </c>
      <c r="K5034" s="3" t="s">
        <v>2365</v>
      </c>
      <c r="L5034" s="31">
        <v>46286.580249456019</v>
      </c>
      <c r="M5034" s="20">
        <v>12</v>
      </c>
      <c r="N5034" s="1">
        <v>22</v>
      </c>
    </row>
    <row r="5035" spans="1:14" x14ac:dyDescent="0.25">
      <c r="A5035" t="str">
        <f t="shared" si="158"/>
        <v>H177289H177289</v>
      </c>
      <c r="B5035" t="str">
        <f t="shared" si="159"/>
        <v>H177289PV9060LL-M</v>
      </c>
      <c r="C5035" s="1" t="s">
        <v>789</v>
      </c>
      <c r="D5035" s="1" t="s">
        <v>798</v>
      </c>
      <c r="E5035" s="1" t="s">
        <v>402</v>
      </c>
      <c r="F5035" s="1" t="s">
        <v>403</v>
      </c>
      <c r="G5035" s="1" t="s">
        <v>404</v>
      </c>
      <c r="H5035" s="1">
        <v>288</v>
      </c>
      <c r="I5035" s="3">
        <v>46286</v>
      </c>
      <c r="J5035" s="3">
        <v>46287</v>
      </c>
      <c r="K5035" s="3" t="s">
        <v>2365</v>
      </c>
      <c r="L5035" s="31">
        <v>46286.590144907408</v>
      </c>
      <c r="M5035" s="20">
        <v>12</v>
      </c>
      <c r="N5035" s="1">
        <v>14</v>
      </c>
    </row>
    <row r="5036" spans="1:14" x14ac:dyDescent="0.25">
      <c r="A5036" t="str">
        <f t="shared" si="158"/>
        <v>H177289H177289</v>
      </c>
      <c r="B5036" t="str">
        <f t="shared" si="159"/>
        <v>H177289PV9060LL-M</v>
      </c>
      <c r="C5036" s="1" t="s">
        <v>789</v>
      </c>
      <c r="D5036" s="1" t="s">
        <v>798</v>
      </c>
      <c r="E5036" s="1" t="s">
        <v>402</v>
      </c>
      <c r="F5036" s="1" t="s">
        <v>403</v>
      </c>
      <c r="G5036" s="1" t="s">
        <v>404</v>
      </c>
      <c r="H5036" s="1">
        <v>288</v>
      </c>
      <c r="I5036" s="3">
        <v>46286</v>
      </c>
      <c r="J5036" s="3">
        <v>46287</v>
      </c>
      <c r="K5036" s="3" t="s">
        <v>2365</v>
      </c>
      <c r="L5036" s="31">
        <v>46286.599272766201</v>
      </c>
      <c r="M5036" s="20">
        <v>12</v>
      </c>
      <c r="N5036" s="1">
        <v>8</v>
      </c>
    </row>
    <row r="5037" spans="1:14" x14ac:dyDescent="0.25">
      <c r="A5037" t="str">
        <f t="shared" si="158"/>
        <v>H177289H177289</v>
      </c>
      <c r="B5037" t="str">
        <f t="shared" si="159"/>
        <v>H177289PV9060LL-M</v>
      </c>
      <c r="C5037" s="1" t="s">
        <v>789</v>
      </c>
      <c r="D5037" s="1" t="s">
        <v>798</v>
      </c>
      <c r="E5037" s="1" t="s">
        <v>402</v>
      </c>
      <c r="F5037" s="1" t="s">
        <v>403</v>
      </c>
      <c r="G5037" s="1" t="s">
        <v>404</v>
      </c>
      <c r="H5037" s="1">
        <v>288</v>
      </c>
      <c r="I5037" s="3">
        <v>46286</v>
      </c>
      <c r="J5037" s="3">
        <v>46287</v>
      </c>
      <c r="K5037" s="3" t="s">
        <v>2365</v>
      </c>
      <c r="L5037" s="31">
        <v>46286.621667858795</v>
      </c>
      <c r="M5037" s="20">
        <v>12</v>
      </c>
      <c r="N5037" s="1">
        <v>1</v>
      </c>
    </row>
    <row r="5038" spans="1:14" x14ac:dyDescent="0.25">
      <c r="A5038" t="str">
        <f t="shared" si="158"/>
        <v>H177289H177289</v>
      </c>
      <c r="B5038" t="str">
        <f t="shared" si="159"/>
        <v>H177289PV9060LL-M</v>
      </c>
      <c r="C5038" s="1" t="s">
        <v>789</v>
      </c>
      <c r="D5038" s="1" t="s">
        <v>798</v>
      </c>
      <c r="E5038" s="1" t="s">
        <v>402</v>
      </c>
      <c r="F5038" s="1" t="s">
        <v>403</v>
      </c>
      <c r="G5038" s="1" t="s">
        <v>404</v>
      </c>
      <c r="H5038" s="1">
        <v>288</v>
      </c>
      <c r="I5038" s="3">
        <v>46286</v>
      </c>
      <c r="J5038" s="3">
        <v>46287</v>
      </c>
      <c r="K5038" s="3" t="s">
        <v>2365</v>
      </c>
      <c r="L5038" s="31">
        <v>46286.693715277775</v>
      </c>
      <c r="M5038" s="20">
        <v>12</v>
      </c>
      <c r="N5038" s="1">
        <v>4</v>
      </c>
    </row>
    <row r="5039" spans="1:14" x14ac:dyDescent="0.25">
      <c r="A5039" t="str">
        <f t="shared" si="158"/>
        <v>H177289H177289</v>
      </c>
      <c r="B5039" t="str">
        <f t="shared" si="159"/>
        <v>H177289PV9060LL-M</v>
      </c>
      <c r="C5039" s="1" t="s">
        <v>789</v>
      </c>
      <c r="D5039" s="1" t="s">
        <v>798</v>
      </c>
      <c r="E5039" s="1" t="s">
        <v>402</v>
      </c>
      <c r="F5039" s="1" t="s">
        <v>403</v>
      </c>
      <c r="G5039" s="1" t="s">
        <v>404</v>
      </c>
      <c r="H5039" s="1">
        <v>288</v>
      </c>
      <c r="I5039" s="3">
        <v>46286</v>
      </c>
      <c r="J5039" s="3">
        <v>46287</v>
      </c>
      <c r="K5039" s="3" t="s">
        <v>2365</v>
      </c>
      <c r="L5039" s="31">
        <v>46286.69406913194</v>
      </c>
      <c r="M5039" s="20">
        <v>12</v>
      </c>
      <c r="N5039" s="1">
        <v>11</v>
      </c>
    </row>
    <row r="5040" spans="1:14" x14ac:dyDescent="0.25">
      <c r="A5040" t="str">
        <f t="shared" si="158"/>
        <v>H177289H177289</v>
      </c>
      <c r="B5040" t="str">
        <f t="shared" si="159"/>
        <v>H177289PV9060LL-M</v>
      </c>
      <c r="C5040" s="1" t="s">
        <v>789</v>
      </c>
      <c r="D5040" s="1" t="s">
        <v>798</v>
      </c>
      <c r="E5040" s="1" t="s">
        <v>402</v>
      </c>
      <c r="F5040" s="1" t="s">
        <v>403</v>
      </c>
      <c r="G5040" s="1" t="s">
        <v>404</v>
      </c>
      <c r="H5040" s="1">
        <v>288</v>
      </c>
      <c r="I5040" s="3">
        <v>46286</v>
      </c>
      <c r="J5040" s="3">
        <v>46287</v>
      </c>
      <c r="K5040" s="3" t="s">
        <v>2365</v>
      </c>
      <c r="L5040" s="31">
        <v>46286.694703124995</v>
      </c>
      <c r="M5040" s="20">
        <v>12</v>
      </c>
      <c r="N5040" s="1">
        <v>24</v>
      </c>
    </row>
    <row r="5041" spans="1:14" x14ac:dyDescent="0.25">
      <c r="A5041" t="str">
        <f t="shared" si="158"/>
        <v>H177289H177289</v>
      </c>
      <c r="B5041" t="str">
        <f t="shared" si="159"/>
        <v>H177289PV9060LL-M</v>
      </c>
      <c r="C5041" s="1" t="s">
        <v>789</v>
      </c>
      <c r="D5041" s="1" t="s">
        <v>798</v>
      </c>
      <c r="E5041" s="1" t="s">
        <v>402</v>
      </c>
      <c r="F5041" s="1" t="s">
        <v>403</v>
      </c>
      <c r="G5041" s="1" t="s">
        <v>404</v>
      </c>
      <c r="H5041" s="1">
        <v>288</v>
      </c>
      <c r="I5041" s="3">
        <v>46286</v>
      </c>
      <c r="J5041" s="3">
        <v>46287</v>
      </c>
      <c r="K5041" s="3" t="s">
        <v>2365</v>
      </c>
      <c r="L5041" s="31">
        <v>46286.69830413194</v>
      </c>
      <c r="M5041" s="20">
        <v>12</v>
      </c>
      <c r="N5041" s="1">
        <v>19</v>
      </c>
    </row>
    <row r="5042" spans="1:14" x14ac:dyDescent="0.25">
      <c r="A5042" t="str">
        <f t="shared" si="158"/>
        <v>H180789H180789</v>
      </c>
      <c r="B5042" t="str">
        <f t="shared" si="159"/>
        <v>H180789P906011M-M</v>
      </c>
      <c r="C5042" s="1" t="s">
        <v>787</v>
      </c>
      <c r="D5042" s="1" t="s">
        <v>813</v>
      </c>
      <c r="E5042" s="1" t="s">
        <v>2307</v>
      </c>
      <c r="F5042" s="1" t="s">
        <v>2308</v>
      </c>
      <c r="G5042" s="1" t="s">
        <v>404</v>
      </c>
      <c r="H5042" s="1">
        <v>630</v>
      </c>
      <c r="I5042" s="3">
        <v>46286</v>
      </c>
      <c r="J5042" s="3">
        <v>46288</v>
      </c>
      <c r="K5042" s="3" t="s">
        <v>2374</v>
      </c>
      <c r="L5042" s="31">
        <v>46286.572095868054</v>
      </c>
      <c r="M5042" s="20">
        <v>12</v>
      </c>
      <c r="N5042" s="1">
        <v>1</v>
      </c>
    </row>
    <row r="5043" spans="1:14" x14ac:dyDescent="0.25">
      <c r="A5043" t="str">
        <f t="shared" si="158"/>
        <v>H180789H180789</v>
      </c>
      <c r="B5043" t="str">
        <f t="shared" si="159"/>
        <v>H180789P906011M-M</v>
      </c>
      <c r="C5043" s="1" t="s">
        <v>787</v>
      </c>
      <c r="D5043" s="1" t="s">
        <v>813</v>
      </c>
      <c r="E5043" s="1" t="s">
        <v>2307</v>
      </c>
      <c r="F5043" s="1" t="s">
        <v>2308</v>
      </c>
      <c r="G5043" s="1" t="s">
        <v>404</v>
      </c>
      <c r="H5043" s="1">
        <v>630</v>
      </c>
      <c r="I5043" s="3">
        <v>46286</v>
      </c>
      <c r="J5043" s="3">
        <v>46288</v>
      </c>
      <c r="K5043" s="3" t="s">
        <v>2374</v>
      </c>
      <c r="L5043" s="31">
        <v>46286.585048923611</v>
      </c>
      <c r="M5043" s="20">
        <v>12</v>
      </c>
      <c r="N5043" s="1">
        <v>36</v>
      </c>
    </row>
    <row r="5044" spans="1:14" x14ac:dyDescent="0.25">
      <c r="A5044" t="str">
        <f t="shared" si="158"/>
        <v>H180789H180789</v>
      </c>
      <c r="B5044" t="str">
        <f t="shared" si="159"/>
        <v>H180789P906011M-M</v>
      </c>
      <c r="C5044" s="1" t="s">
        <v>787</v>
      </c>
      <c r="D5044" s="1" t="s">
        <v>813</v>
      </c>
      <c r="E5044" s="1" t="s">
        <v>2307</v>
      </c>
      <c r="F5044" s="1" t="s">
        <v>2308</v>
      </c>
      <c r="G5044" s="1" t="s">
        <v>404</v>
      </c>
      <c r="H5044" s="1">
        <v>630</v>
      </c>
      <c r="I5044" s="3">
        <v>46286</v>
      </c>
      <c r="J5044" s="3">
        <v>46288</v>
      </c>
      <c r="K5044" s="3" t="s">
        <v>2374</v>
      </c>
      <c r="L5044" s="31">
        <v>46286.590413391204</v>
      </c>
      <c r="M5044" s="20">
        <v>12</v>
      </c>
      <c r="N5044" s="1">
        <v>9</v>
      </c>
    </row>
    <row r="5045" spans="1:14" x14ac:dyDescent="0.25">
      <c r="A5045" t="str">
        <f t="shared" si="158"/>
        <v>H180789H180789</v>
      </c>
      <c r="B5045" t="str">
        <f t="shared" si="159"/>
        <v>H180789P906011M-M</v>
      </c>
      <c r="C5045" s="1" t="s">
        <v>787</v>
      </c>
      <c r="D5045" s="1" t="s">
        <v>813</v>
      </c>
      <c r="E5045" s="1" t="s">
        <v>2307</v>
      </c>
      <c r="F5045" s="1" t="s">
        <v>2308</v>
      </c>
      <c r="G5045" s="1" t="s">
        <v>404</v>
      </c>
      <c r="H5045" s="1">
        <v>630</v>
      </c>
      <c r="I5045" s="3">
        <v>46286</v>
      </c>
      <c r="J5045" s="3">
        <v>46288</v>
      </c>
      <c r="K5045" s="3" t="s">
        <v>2374</v>
      </c>
      <c r="L5045" s="31">
        <v>46286.590629317128</v>
      </c>
      <c r="M5045" s="20">
        <v>12</v>
      </c>
      <c r="N5045" s="1">
        <v>22</v>
      </c>
    </row>
    <row r="5046" spans="1:14" x14ac:dyDescent="0.25">
      <c r="A5046" t="str">
        <f t="shared" si="158"/>
        <v>H180789H180789</v>
      </c>
      <c r="B5046" t="str">
        <f t="shared" si="159"/>
        <v>H180789P906011M-M</v>
      </c>
      <c r="C5046" s="1" t="s">
        <v>787</v>
      </c>
      <c r="D5046" s="1" t="s">
        <v>813</v>
      </c>
      <c r="E5046" s="1" t="s">
        <v>2307</v>
      </c>
      <c r="F5046" s="1" t="s">
        <v>2308</v>
      </c>
      <c r="G5046" s="1" t="s">
        <v>404</v>
      </c>
      <c r="H5046" s="1">
        <v>630</v>
      </c>
      <c r="I5046" s="3">
        <v>46286</v>
      </c>
      <c r="J5046" s="3">
        <v>46288</v>
      </c>
      <c r="K5046" s="3" t="s">
        <v>2374</v>
      </c>
      <c r="L5046" s="31">
        <v>46286.598206168979</v>
      </c>
      <c r="M5046" s="20">
        <v>12</v>
      </c>
      <c r="N5046" s="1">
        <v>37</v>
      </c>
    </row>
    <row r="5047" spans="1:14" x14ac:dyDescent="0.25">
      <c r="A5047" t="str">
        <f t="shared" si="158"/>
        <v>H180789H180789</v>
      </c>
      <c r="B5047" t="str">
        <f t="shared" si="159"/>
        <v>H180789P906011M-M</v>
      </c>
      <c r="C5047" s="1" t="s">
        <v>787</v>
      </c>
      <c r="D5047" s="1" t="s">
        <v>813</v>
      </c>
      <c r="E5047" s="1" t="s">
        <v>2307</v>
      </c>
      <c r="F5047" s="1" t="s">
        <v>2308</v>
      </c>
      <c r="G5047" s="1" t="s">
        <v>404</v>
      </c>
      <c r="H5047" s="1">
        <v>630</v>
      </c>
      <c r="I5047" s="3">
        <v>46286</v>
      </c>
      <c r="J5047" s="3">
        <v>46288</v>
      </c>
      <c r="K5047" s="3" t="s">
        <v>2374</v>
      </c>
      <c r="L5047" s="31">
        <v>46286.606928043977</v>
      </c>
      <c r="M5047" s="20">
        <v>12</v>
      </c>
      <c r="N5047" s="1">
        <v>38</v>
      </c>
    </row>
    <row r="5048" spans="1:14" x14ac:dyDescent="0.25">
      <c r="A5048" t="str">
        <f t="shared" si="158"/>
        <v>H180789H180789</v>
      </c>
      <c r="B5048" t="str">
        <f t="shared" si="159"/>
        <v>H180789P906011M-M</v>
      </c>
      <c r="C5048" s="1" t="s">
        <v>787</v>
      </c>
      <c r="D5048" s="1" t="s">
        <v>813</v>
      </c>
      <c r="E5048" s="1" t="s">
        <v>2307</v>
      </c>
      <c r="F5048" s="1" t="s">
        <v>2308</v>
      </c>
      <c r="G5048" s="1" t="s">
        <v>404</v>
      </c>
      <c r="H5048" s="1">
        <v>630</v>
      </c>
      <c r="I5048" s="3">
        <v>46286</v>
      </c>
      <c r="J5048" s="3">
        <v>46288</v>
      </c>
      <c r="K5048" s="3" t="s">
        <v>2374</v>
      </c>
      <c r="L5048" s="31">
        <v>46286.617229629628</v>
      </c>
      <c r="M5048" s="20">
        <v>12</v>
      </c>
      <c r="N5048" s="1">
        <v>39</v>
      </c>
    </row>
    <row r="5049" spans="1:14" x14ac:dyDescent="0.25">
      <c r="A5049" t="str">
        <f t="shared" si="158"/>
        <v>H180789H180789</v>
      </c>
      <c r="B5049" t="str">
        <f t="shared" si="159"/>
        <v>H180789P906011M-M</v>
      </c>
      <c r="C5049" s="1" t="s">
        <v>787</v>
      </c>
      <c r="D5049" s="1" t="s">
        <v>813</v>
      </c>
      <c r="E5049" s="1" t="s">
        <v>2307</v>
      </c>
      <c r="F5049" s="1" t="s">
        <v>2308</v>
      </c>
      <c r="G5049" s="1" t="s">
        <v>404</v>
      </c>
      <c r="H5049" s="1">
        <v>630</v>
      </c>
      <c r="I5049" s="3">
        <v>46286</v>
      </c>
      <c r="J5049" s="3">
        <v>46288</v>
      </c>
      <c r="K5049" s="3" t="s">
        <v>2374</v>
      </c>
      <c r="L5049" s="31">
        <v>46286.617476006941</v>
      </c>
      <c r="M5049" s="20">
        <v>12</v>
      </c>
      <c r="N5049" s="1">
        <v>18</v>
      </c>
    </row>
    <row r="5050" spans="1:14" x14ac:dyDescent="0.25">
      <c r="A5050" t="str">
        <f t="shared" si="158"/>
        <v>H180789H180789</v>
      </c>
      <c r="B5050" t="str">
        <f t="shared" si="159"/>
        <v>H180789P906011M-M</v>
      </c>
      <c r="C5050" s="1" t="s">
        <v>787</v>
      </c>
      <c r="D5050" s="1" t="s">
        <v>813</v>
      </c>
      <c r="E5050" s="1" t="s">
        <v>2307</v>
      </c>
      <c r="F5050" s="1" t="s">
        <v>2308</v>
      </c>
      <c r="G5050" s="1" t="s">
        <v>404</v>
      </c>
      <c r="H5050" s="1">
        <v>630</v>
      </c>
      <c r="I5050" s="3">
        <v>46286</v>
      </c>
      <c r="J5050" s="3">
        <v>46288</v>
      </c>
      <c r="K5050" s="3" t="s">
        <v>2374</v>
      </c>
      <c r="L5050" s="31">
        <v>46286.631722337959</v>
      </c>
      <c r="M5050" s="20">
        <v>12</v>
      </c>
      <c r="N5050" s="1">
        <v>41</v>
      </c>
    </row>
    <row r="5051" spans="1:14" x14ac:dyDescent="0.25">
      <c r="A5051" t="str">
        <f t="shared" si="158"/>
        <v>H180789H180789</v>
      </c>
      <c r="B5051" t="str">
        <f t="shared" si="159"/>
        <v>H180789P906011M-M</v>
      </c>
      <c r="C5051" s="1" t="s">
        <v>787</v>
      </c>
      <c r="D5051" s="1" t="s">
        <v>813</v>
      </c>
      <c r="E5051" s="1" t="s">
        <v>2307</v>
      </c>
      <c r="F5051" s="1" t="s">
        <v>2308</v>
      </c>
      <c r="G5051" s="1" t="s">
        <v>404</v>
      </c>
      <c r="H5051" s="1">
        <v>630</v>
      </c>
      <c r="I5051" s="3">
        <v>46286</v>
      </c>
      <c r="J5051" s="3">
        <v>46288</v>
      </c>
      <c r="K5051" s="3" t="s">
        <v>2374</v>
      </c>
      <c r="L5051" s="31">
        <v>46286.63912068287</v>
      </c>
      <c r="M5051" s="20">
        <v>12</v>
      </c>
      <c r="N5051" s="1">
        <v>42</v>
      </c>
    </row>
    <row r="5052" spans="1:14" x14ac:dyDescent="0.25">
      <c r="A5052" t="str">
        <f t="shared" si="158"/>
        <v>H180789H180789</v>
      </c>
      <c r="B5052" t="str">
        <f t="shared" si="159"/>
        <v>H180789P906011M-M</v>
      </c>
      <c r="C5052" s="1" t="s">
        <v>787</v>
      </c>
      <c r="D5052" s="1" t="s">
        <v>813</v>
      </c>
      <c r="E5052" s="1" t="s">
        <v>2307</v>
      </c>
      <c r="F5052" s="1" t="s">
        <v>2308</v>
      </c>
      <c r="G5052" s="1" t="s">
        <v>404</v>
      </c>
      <c r="H5052" s="1">
        <v>630</v>
      </c>
      <c r="I5052" s="3">
        <v>46286</v>
      </c>
      <c r="J5052" s="3">
        <v>46288</v>
      </c>
      <c r="K5052" s="3" t="s">
        <v>2374</v>
      </c>
      <c r="L5052" s="31">
        <v>46286.640385914347</v>
      </c>
      <c r="M5052" s="20">
        <v>12</v>
      </c>
      <c r="N5052" s="1">
        <v>30</v>
      </c>
    </row>
    <row r="5053" spans="1:14" x14ac:dyDescent="0.25">
      <c r="A5053" t="str">
        <f t="shared" si="158"/>
        <v>H180789H180789</v>
      </c>
      <c r="B5053" t="str">
        <f t="shared" si="159"/>
        <v>H180789P906011M-M</v>
      </c>
      <c r="C5053" s="1" t="s">
        <v>787</v>
      </c>
      <c r="D5053" s="1" t="s">
        <v>813</v>
      </c>
      <c r="E5053" s="1" t="s">
        <v>2307</v>
      </c>
      <c r="F5053" s="1" t="s">
        <v>2308</v>
      </c>
      <c r="G5053" s="1" t="s">
        <v>404</v>
      </c>
      <c r="H5053" s="1">
        <v>630</v>
      </c>
      <c r="I5053" s="3">
        <v>46286</v>
      </c>
      <c r="J5053" s="3">
        <v>46288</v>
      </c>
      <c r="K5053" s="3" t="s">
        <v>2374</v>
      </c>
      <c r="L5053" s="31">
        <v>46286.641136921295</v>
      </c>
      <c r="M5053" s="20">
        <v>12</v>
      </c>
      <c r="N5053" s="1">
        <v>15</v>
      </c>
    </row>
    <row r="5054" spans="1:14" x14ac:dyDescent="0.25">
      <c r="A5054" t="str">
        <f t="shared" si="158"/>
        <v>H180789H180789</v>
      </c>
      <c r="B5054" t="str">
        <f t="shared" si="159"/>
        <v>H180789P906011M-M</v>
      </c>
      <c r="C5054" s="1" t="s">
        <v>787</v>
      </c>
      <c r="D5054" s="1" t="s">
        <v>813</v>
      </c>
      <c r="E5054" s="1" t="s">
        <v>2307</v>
      </c>
      <c r="F5054" s="1" t="s">
        <v>2308</v>
      </c>
      <c r="G5054" s="1" t="s">
        <v>404</v>
      </c>
      <c r="H5054" s="1">
        <v>630</v>
      </c>
      <c r="I5054" s="3">
        <v>46286</v>
      </c>
      <c r="J5054" s="3">
        <v>46288</v>
      </c>
      <c r="K5054" s="3" t="s">
        <v>2374</v>
      </c>
      <c r="L5054" s="31">
        <v>46286.651042013887</v>
      </c>
      <c r="M5054" s="20">
        <v>12</v>
      </c>
      <c r="N5054" s="1">
        <v>2</v>
      </c>
    </row>
    <row r="5055" spans="1:14" x14ac:dyDescent="0.25">
      <c r="A5055" t="str">
        <f t="shared" si="158"/>
        <v>H180789H180789</v>
      </c>
      <c r="B5055" t="str">
        <f t="shared" si="159"/>
        <v>H180789P906011M-M</v>
      </c>
      <c r="C5055" s="1" t="s">
        <v>787</v>
      </c>
      <c r="D5055" s="1" t="s">
        <v>813</v>
      </c>
      <c r="E5055" s="1" t="s">
        <v>2307</v>
      </c>
      <c r="F5055" s="1" t="s">
        <v>2308</v>
      </c>
      <c r="G5055" s="1" t="s">
        <v>404</v>
      </c>
      <c r="H5055" s="1">
        <v>630</v>
      </c>
      <c r="I5055" s="3">
        <v>46286</v>
      </c>
      <c r="J5055" s="3">
        <v>46288</v>
      </c>
      <c r="K5055" s="3" t="s">
        <v>2374</v>
      </c>
      <c r="L5055" s="31">
        <v>46286.664087303237</v>
      </c>
      <c r="M5055" s="20">
        <v>12</v>
      </c>
      <c r="N5055" s="1">
        <v>40</v>
      </c>
    </row>
    <row r="5056" spans="1:14" x14ac:dyDescent="0.25">
      <c r="A5056" t="str">
        <f t="shared" si="158"/>
        <v>H180789H180789</v>
      </c>
      <c r="B5056" t="str">
        <f t="shared" si="159"/>
        <v>H180789P906011M-M</v>
      </c>
      <c r="C5056" s="1" t="s">
        <v>787</v>
      </c>
      <c r="D5056" s="1" t="s">
        <v>813</v>
      </c>
      <c r="E5056" s="1" t="s">
        <v>2307</v>
      </c>
      <c r="F5056" s="1" t="s">
        <v>2308</v>
      </c>
      <c r="G5056" s="1" t="s">
        <v>404</v>
      </c>
      <c r="H5056" s="1">
        <v>630</v>
      </c>
      <c r="I5056" s="3">
        <v>46286</v>
      </c>
      <c r="J5056" s="3">
        <v>46288</v>
      </c>
      <c r="K5056" s="3" t="s">
        <v>2374</v>
      </c>
      <c r="L5056" s="31">
        <v>46286.664803935186</v>
      </c>
      <c r="M5056" s="20">
        <v>12</v>
      </c>
      <c r="N5056" s="1">
        <v>3</v>
      </c>
    </row>
    <row r="5057" spans="1:14" x14ac:dyDescent="0.25">
      <c r="A5057" t="str">
        <f t="shared" si="158"/>
        <v>H180789H180789</v>
      </c>
      <c r="B5057" t="str">
        <f t="shared" si="159"/>
        <v>H180789P906011M-M</v>
      </c>
      <c r="C5057" s="1" t="s">
        <v>787</v>
      </c>
      <c r="D5057" s="1" t="s">
        <v>813</v>
      </c>
      <c r="E5057" s="1" t="s">
        <v>2307</v>
      </c>
      <c r="F5057" s="1" t="s">
        <v>2308</v>
      </c>
      <c r="G5057" s="1" t="s">
        <v>404</v>
      </c>
      <c r="H5057" s="1">
        <v>630</v>
      </c>
      <c r="I5057" s="3">
        <v>46286</v>
      </c>
      <c r="J5057" s="3">
        <v>46288</v>
      </c>
      <c r="K5057" s="3" t="s">
        <v>2374</v>
      </c>
      <c r="L5057" s="31">
        <v>46286.668323761573</v>
      </c>
      <c r="M5057" s="20">
        <v>12</v>
      </c>
      <c r="N5057" s="1">
        <v>19</v>
      </c>
    </row>
    <row r="5058" spans="1:14" x14ac:dyDescent="0.25">
      <c r="A5058" t="str">
        <f t="shared" ref="A5058:A5121" si="160">+D5058&amp;D5058</f>
        <v>H180789H180789</v>
      </c>
      <c r="B5058" t="str">
        <f t="shared" ref="B5058:B5121" si="161">+D5058&amp;C5058</f>
        <v>H180789P906011M-M</v>
      </c>
      <c r="C5058" s="1" t="s">
        <v>787</v>
      </c>
      <c r="D5058" s="1" t="s">
        <v>813</v>
      </c>
      <c r="E5058" s="1" t="s">
        <v>2307</v>
      </c>
      <c r="F5058" s="1" t="s">
        <v>2308</v>
      </c>
      <c r="G5058" s="1" t="s">
        <v>404</v>
      </c>
      <c r="H5058" s="1">
        <v>630</v>
      </c>
      <c r="I5058" s="3">
        <v>46286</v>
      </c>
      <c r="J5058" s="3">
        <v>46288</v>
      </c>
      <c r="K5058" s="3" t="s">
        <v>2374</v>
      </c>
      <c r="L5058" s="31">
        <v>46286.6689815625</v>
      </c>
      <c r="M5058" s="20">
        <v>12</v>
      </c>
      <c r="N5058" s="1">
        <v>31</v>
      </c>
    </row>
    <row r="5059" spans="1:14" x14ac:dyDescent="0.25">
      <c r="A5059" t="str">
        <f t="shared" si="160"/>
        <v>H180789H180789</v>
      </c>
      <c r="B5059" t="str">
        <f t="shared" si="161"/>
        <v>H180789P906011M-M</v>
      </c>
      <c r="C5059" s="1" t="s">
        <v>787</v>
      </c>
      <c r="D5059" s="1" t="s">
        <v>813</v>
      </c>
      <c r="E5059" s="1" t="s">
        <v>2307</v>
      </c>
      <c r="F5059" s="1" t="s">
        <v>2308</v>
      </c>
      <c r="G5059" s="1" t="s">
        <v>404</v>
      </c>
      <c r="H5059" s="1">
        <v>630</v>
      </c>
      <c r="I5059" s="3">
        <v>46286</v>
      </c>
      <c r="J5059" s="3">
        <v>46288</v>
      </c>
      <c r="K5059" s="3" t="s">
        <v>2374</v>
      </c>
      <c r="L5059" s="31">
        <v>46286.669742245365</v>
      </c>
      <c r="M5059" s="20">
        <v>12</v>
      </c>
      <c r="N5059" s="1">
        <v>26</v>
      </c>
    </row>
    <row r="5060" spans="1:14" x14ac:dyDescent="0.25">
      <c r="A5060" t="str">
        <f t="shared" si="160"/>
        <v>H180789H180789</v>
      </c>
      <c r="B5060" t="str">
        <f t="shared" si="161"/>
        <v>H180789P906011M-M</v>
      </c>
      <c r="C5060" s="1" t="s">
        <v>787</v>
      </c>
      <c r="D5060" s="1" t="s">
        <v>813</v>
      </c>
      <c r="E5060" s="1" t="s">
        <v>2307</v>
      </c>
      <c r="F5060" s="1" t="s">
        <v>2308</v>
      </c>
      <c r="G5060" s="1" t="s">
        <v>404</v>
      </c>
      <c r="H5060" s="1">
        <v>630</v>
      </c>
      <c r="I5060" s="3">
        <v>46286</v>
      </c>
      <c r="J5060" s="3">
        <v>46288</v>
      </c>
      <c r="K5060" s="3" t="s">
        <v>2374</v>
      </c>
      <c r="L5060" s="31">
        <v>46286.671401736108</v>
      </c>
      <c r="M5060" s="20">
        <v>12</v>
      </c>
      <c r="N5060" s="1">
        <v>25</v>
      </c>
    </row>
    <row r="5061" spans="1:14" x14ac:dyDescent="0.25">
      <c r="A5061" t="str">
        <f t="shared" si="160"/>
        <v>H180789H180789</v>
      </c>
      <c r="B5061" t="str">
        <f t="shared" si="161"/>
        <v>H180789P906011M-M</v>
      </c>
      <c r="C5061" s="1" t="s">
        <v>787</v>
      </c>
      <c r="D5061" s="1" t="s">
        <v>813</v>
      </c>
      <c r="E5061" s="1" t="s">
        <v>2307</v>
      </c>
      <c r="F5061" s="1" t="s">
        <v>2308</v>
      </c>
      <c r="G5061" s="1" t="s">
        <v>404</v>
      </c>
      <c r="H5061" s="1">
        <v>630</v>
      </c>
      <c r="I5061" s="3">
        <v>46286</v>
      </c>
      <c r="J5061" s="3">
        <v>46288</v>
      </c>
      <c r="K5061" s="3" t="s">
        <v>2374</v>
      </c>
      <c r="L5061" s="31">
        <v>46286.680285219903</v>
      </c>
      <c r="M5061" s="20">
        <v>12</v>
      </c>
      <c r="N5061" s="1">
        <v>47</v>
      </c>
    </row>
    <row r="5062" spans="1:14" x14ac:dyDescent="0.25">
      <c r="A5062" t="str">
        <f t="shared" si="160"/>
        <v>H180789H180789</v>
      </c>
      <c r="B5062" t="str">
        <f t="shared" si="161"/>
        <v>H180789P906011M-M</v>
      </c>
      <c r="C5062" s="1" t="s">
        <v>787</v>
      </c>
      <c r="D5062" s="1" t="s">
        <v>813</v>
      </c>
      <c r="E5062" s="1" t="s">
        <v>2307</v>
      </c>
      <c r="F5062" s="1" t="s">
        <v>2308</v>
      </c>
      <c r="G5062" s="1" t="s">
        <v>404</v>
      </c>
      <c r="H5062" s="1">
        <v>630</v>
      </c>
      <c r="I5062" s="3">
        <v>46286</v>
      </c>
      <c r="J5062" s="3">
        <v>46288</v>
      </c>
      <c r="K5062" s="3" t="s">
        <v>2374</v>
      </c>
      <c r="L5062" s="31">
        <v>46286.681082835647</v>
      </c>
      <c r="M5062" s="20">
        <v>12</v>
      </c>
      <c r="N5062" s="1">
        <v>16</v>
      </c>
    </row>
    <row r="5063" spans="1:14" x14ac:dyDescent="0.25">
      <c r="A5063" t="str">
        <f t="shared" si="160"/>
        <v>H180789H180789</v>
      </c>
      <c r="B5063" t="str">
        <f t="shared" si="161"/>
        <v>H180789P906011M-M</v>
      </c>
      <c r="C5063" s="1" t="s">
        <v>787</v>
      </c>
      <c r="D5063" s="1" t="s">
        <v>813</v>
      </c>
      <c r="E5063" s="1" t="s">
        <v>2307</v>
      </c>
      <c r="F5063" s="1" t="s">
        <v>2308</v>
      </c>
      <c r="G5063" s="1" t="s">
        <v>404</v>
      </c>
      <c r="H5063" s="1">
        <v>630</v>
      </c>
      <c r="I5063" s="3">
        <v>46286</v>
      </c>
      <c r="J5063" s="3">
        <v>46288</v>
      </c>
      <c r="K5063" s="3" t="s">
        <v>2374</v>
      </c>
      <c r="L5063" s="31">
        <v>46286.68548811342</v>
      </c>
      <c r="M5063" s="20">
        <v>12</v>
      </c>
      <c r="N5063" s="1">
        <v>10</v>
      </c>
    </row>
    <row r="5064" spans="1:14" x14ac:dyDescent="0.25">
      <c r="A5064" t="str">
        <f t="shared" si="160"/>
        <v>H180789H180789</v>
      </c>
      <c r="B5064" t="str">
        <f t="shared" si="161"/>
        <v>H180789P906011M-M</v>
      </c>
      <c r="C5064" s="1" t="s">
        <v>787</v>
      </c>
      <c r="D5064" s="1" t="s">
        <v>813</v>
      </c>
      <c r="E5064" s="1" t="s">
        <v>2307</v>
      </c>
      <c r="F5064" s="1" t="s">
        <v>2308</v>
      </c>
      <c r="G5064" s="1" t="s">
        <v>404</v>
      </c>
      <c r="H5064" s="1">
        <v>630</v>
      </c>
      <c r="I5064" s="3">
        <v>46286</v>
      </c>
      <c r="J5064" s="3">
        <v>46288</v>
      </c>
      <c r="K5064" s="3" t="s">
        <v>2374</v>
      </c>
      <c r="L5064" s="31">
        <v>46286.690179976853</v>
      </c>
      <c r="M5064" s="20">
        <v>12</v>
      </c>
      <c r="N5064" s="1">
        <v>32</v>
      </c>
    </row>
    <row r="5065" spans="1:14" x14ac:dyDescent="0.25">
      <c r="A5065" t="str">
        <f t="shared" si="160"/>
        <v>H180789H180789</v>
      </c>
      <c r="B5065" t="str">
        <f t="shared" si="161"/>
        <v>H180789P906011M-M</v>
      </c>
      <c r="C5065" s="1" t="s">
        <v>787</v>
      </c>
      <c r="D5065" s="1" t="s">
        <v>813</v>
      </c>
      <c r="E5065" s="1" t="s">
        <v>2307</v>
      </c>
      <c r="F5065" s="1" t="s">
        <v>2308</v>
      </c>
      <c r="G5065" s="1" t="s">
        <v>404</v>
      </c>
      <c r="H5065" s="1">
        <v>630</v>
      </c>
      <c r="I5065" s="3">
        <v>46286</v>
      </c>
      <c r="J5065" s="3">
        <v>46288</v>
      </c>
      <c r="K5065" s="3" t="s">
        <v>2374</v>
      </c>
      <c r="L5065" s="31">
        <v>46286.692971990742</v>
      </c>
      <c r="M5065" s="20">
        <v>12</v>
      </c>
      <c r="N5065" s="1">
        <v>48</v>
      </c>
    </row>
    <row r="5066" spans="1:14" x14ac:dyDescent="0.25">
      <c r="A5066" t="str">
        <f t="shared" si="160"/>
        <v>H180789H180789</v>
      </c>
      <c r="B5066" t="str">
        <f t="shared" si="161"/>
        <v>H180789P906011M-M</v>
      </c>
      <c r="C5066" s="1" t="s">
        <v>787</v>
      </c>
      <c r="D5066" s="1" t="s">
        <v>813</v>
      </c>
      <c r="E5066" s="1" t="s">
        <v>2307</v>
      </c>
      <c r="F5066" s="1" t="s">
        <v>2308</v>
      </c>
      <c r="G5066" s="1" t="s">
        <v>404</v>
      </c>
      <c r="H5066" s="1">
        <v>630</v>
      </c>
      <c r="I5066" s="3">
        <v>46286</v>
      </c>
      <c r="J5066" s="3">
        <v>46288</v>
      </c>
      <c r="K5066" s="3" t="s">
        <v>2374</v>
      </c>
      <c r="L5066" s="31">
        <v>46286.695514432868</v>
      </c>
      <c r="M5066" s="20">
        <v>12</v>
      </c>
      <c r="N5066" s="1">
        <v>23</v>
      </c>
    </row>
    <row r="5067" spans="1:14" x14ac:dyDescent="0.25">
      <c r="A5067" t="str">
        <f t="shared" si="160"/>
        <v>H180789H180789</v>
      </c>
      <c r="B5067" t="str">
        <f t="shared" si="161"/>
        <v>H180789P906011M-M</v>
      </c>
      <c r="C5067" s="1" t="s">
        <v>787</v>
      </c>
      <c r="D5067" s="1" t="s">
        <v>813</v>
      </c>
      <c r="E5067" s="1" t="s">
        <v>2307</v>
      </c>
      <c r="F5067" s="1" t="s">
        <v>2308</v>
      </c>
      <c r="G5067" s="1" t="s">
        <v>404</v>
      </c>
      <c r="H5067" s="1">
        <v>630</v>
      </c>
      <c r="I5067" s="3">
        <v>46286</v>
      </c>
      <c r="J5067" s="3">
        <v>46288</v>
      </c>
      <c r="K5067" s="3" t="s">
        <v>2374</v>
      </c>
      <c r="L5067" s="31">
        <v>46286.711626238422</v>
      </c>
      <c r="M5067" s="20">
        <v>12</v>
      </c>
      <c r="N5067" s="1">
        <v>20</v>
      </c>
    </row>
    <row r="5068" spans="1:14" x14ac:dyDescent="0.25">
      <c r="A5068" t="str">
        <f t="shared" si="160"/>
        <v>H180789H180789</v>
      </c>
      <c r="B5068" t="str">
        <f t="shared" si="161"/>
        <v>H180789P906011M-M</v>
      </c>
      <c r="C5068" s="1" t="s">
        <v>787</v>
      </c>
      <c r="D5068" s="1" t="s">
        <v>813</v>
      </c>
      <c r="E5068" s="1" t="s">
        <v>2307</v>
      </c>
      <c r="F5068" s="1" t="s">
        <v>2308</v>
      </c>
      <c r="G5068" s="1" t="s">
        <v>404</v>
      </c>
      <c r="H5068" s="1">
        <v>630</v>
      </c>
      <c r="I5068" s="3">
        <v>46286</v>
      </c>
      <c r="J5068" s="3">
        <v>46288</v>
      </c>
      <c r="K5068" s="3" t="s">
        <v>2374</v>
      </c>
      <c r="L5068" s="31">
        <v>46286.711834525464</v>
      </c>
      <c r="M5068" s="20">
        <v>12</v>
      </c>
      <c r="N5068" s="1">
        <v>34</v>
      </c>
    </row>
    <row r="5069" spans="1:14" x14ac:dyDescent="0.25">
      <c r="A5069" t="str">
        <f t="shared" si="160"/>
        <v>H180789H180789</v>
      </c>
      <c r="B5069" t="str">
        <f t="shared" si="161"/>
        <v>H180789P906011M-M</v>
      </c>
      <c r="C5069" s="1" t="s">
        <v>787</v>
      </c>
      <c r="D5069" s="1" t="s">
        <v>813</v>
      </c>
      <c r="E5069" s="1" t="s">
        <v>2307</v>
      </c>
      <c r="F5069" s="1" t="s">
        <v>2308</v>
      </c>
      <c r="G5069" s="1" t="s">
        <v>404</v>
      </c>
      <c r="H5069" s="1">
        <v>630</v>
      </c>
      <c r="I5069" s="3">
        <v>46286</v>
      </c>
      <c r="J5069" s="3">
        <v>46288</v>
      </c>
      <c r="K5069" s="3" t="s">
        <v>2374</v>
      </c>
      <c r="L5069" s="31">
        <v>46286.712045752312</v>
      </c>
      <c r="M5069" s="20">
        <v>12</v>
      </c>
      <c r="N5069" s="1">
        <v>12</v>
      </c>
    </row>
    <row r="5070" spans="1:14" x14ac:dyDescent="0.25">
      <c r="A5070" t="str">
        <f t="shared" si="160"/>
        <v>H180789H180789</v>
      </c>
      <c r="B5070" t="str">
        <f t="shared" si="161"/>
        <v>H180789P906011M-M</v>
      </c>
      <c r="C5070" s="1" t="s">
        <v>787</v>
      </c>
      <c r="D5070" s="1" t="s">
        <v>813</v>
      </c>
      <c r="E5070" s="1" t="s">
        <v>2307</v>
      </c>
      <c r="F5070" s="1" t="s">
        <v>2308</v>
      </c>
      <c r="G5070" s="1" t="s">
        <v>404</v>
      </c>
      <c r="H5070" s="1">
        <v>630</v>
      </c>
      <c r="I5070" s="3">
        <v>46286</v>
      </c>
      <c r="J5070" s="3">
        <v>46288</v>
      </c>
      <c r="K5070" s="3" t="s">
        <v>2374</v>
      </c>
      <c r="L5070" s="31">
        <v>46286.712177777779</v>
      </c>
      <c r="M5070" s="20">
        <v>12</v>
      </c>
      <c r="N5070" s="1">
        <v>43</v>
      </c>
    </row>
    <row r="5071" spans="1:14" x14ac:dyDescent="0.25">
      <c r="A5071" t="str">
        <f t="shared" si="160"/>
        <v>H180789H180789</v>
      </c>
      <c r="B5071" t="str">
        <f t="shared" si="161"/>
        <v>H180789P906011M-M</v>
      </c>
      <c r="C5071" s="1" t="s">
        <v>787</v>
      </c>
      <c r="D5071" s="1" t="s">
        <v>813</v>
      </c>
      <c r="E5071" s="1" t="s">
        <v>2307</v>
      </c>
      <c r="F5071" s="1" t="s">
        <v>2308</v>
      </c>
      <c r="G5071" s="1" t="s">
        <v>404</v>
      </c>
      <c r="H5071" s="1">
        <v>630</v>
      </c>
      <c r="I5071" s="3">
        <v>46286</v>
      </c>
      <c r="J5071" s="3">
        <v>46288</v>
      </c>
      <c r="K5071" s="3" t="s">
        <v>2374</v>
      </c>
      <c r="L5071" s="31">
        <v>46286.712360185185</v>
      </c>
      <c r="M5071" s="20">
        <v>12</v>
      </c>
      <c r="N5071" s="1">
        <v>4</v>
      </c>
    </row>
    <row r="5072" spans="1:14" x14ac:dyDescent="0.25">
      <c r="A5072" t="str">
        <f t="shared" si="160"/>
        <v>H180789H180789</v>
      </c>
      <c r="B5072" t="str">
        <f t="shared" si="161"/>
        <v>H180789P906011M-M</v>
      </c>
      <c r="C5072" s="1" t="s">
        <v>787</v>
      </c>
      <c r="D5072" s="1" t="s">
        <v>813</v>
      </c>
      <c r="E5072" s="1" t="s">
        <v>2307</v>
      </c>
      <c r="F5072" s="1" t="s">
        <v>2308</v>
      </c>
      <c r="G5072" s="1" t="s">
        <v>404</v>
      </c>
      <c r="H5072" s="1">
        <v>630</v>
      </c>
      <c r="I5072" s="3">
        <v>46286</v>
      </c>
      <c r="J5072" s="3">
        <v>46288</v>
      </c>
      <c r="K5072" s="3" t="s">
        <v>2374</v>
      </c>
      <c r="L5072" s="31">
        <v>46286.71257265046</v>
      </c>
      <c r="M5072" s="20">
        <v>12</v>
      </c>
      <c r="N5072" s="1">
        <v>44</v>
      </c>
    </row>
    <row r="5073" spans="1:14" x14ac:dyDescent="0.25">
      <c r="A5073" t="str">
        <f t="shared" si="160"/>
        <v>H180789H180789</v>
      </c>
      <c r="B5073" t="str">
        <f t="shared" si="161"/>
        <v>H180789P906011M-M</v>
      </c>
      <c r="C5073" s="1" t="s">
        <v>787</v>
      </c>
      <c r="D5073" s="1" t="s">
        <v>813</v>
      </c>
      <c r="E5073" s="1" t="s">
        <v>2307</v>
      </c>
      <c r="F5073" s="1" t="s">
        <v>2308</v>
      </c>
      <c r="G5073" s="1" t="s">
        <v>404</v>
      </c>
      <c r="H5073" s="1">
        <v>630</v>
      </c>
      <c r="I5073" s="3">
        <v>46286</v>
      </c>
      <c r="J5073" s="3">
        <v>46288</v>
      </c>
      <c r="K5073" s="3" t="s">
        <v>2374</v>
      </c>
      <c r="L5073" s="31">
        <v>46286.712735104164</v>
      </c>
      <c r="M5073" s="20">
        <v>12</v>
      </c>
      <c r="N5073" s="1">
        <v>33</v>
      </c>
    </row>
    <row r="5074" spans="1:14" x14ac:dyDescent="0.25">
      <c r="A5074" t="str">
        <f t="shared" si="160"/>
        <v>H180789H180789</v>
      </c>
      <c r="B5074" t="str">
        <f t="shared" si="161"/>
        <v>H180789P906011M-M</v>
      </c>
      <c r="C5074" s="1" t="s">
        <v>787</v>
      </c>
      <c r="D5074" s="1" t="s">
        <v>813</v>
      </c>
      <c r="E5074" s="1" t="s">
        <v>2307</v>
      </c>
      <c r="F5074" s="1" t="s">
        <v>2308</v>
      </c>
      <c r="G5074" s="1" t="s">
        <v>404</v>
      </c>
      <c r="H5074" s="1">
        <v>630</v>
      </c>
      <c r="I5074" s="3">
        <v>46286</v>
      </c>
      <c r="J5074" s="3">
        <v>46288</v>
      </c>
      <c r="K5074" s="3" t="s">
        <v>2374</v>
      </c>
      <c r="L5074" s="31">
        <v>46286.713072418977</v>
      </c>
      <c r="M5074" s="20">
        <v>12</v>
      </c>
      <c r="N5074" s="1">
        <v>49</v>
      </c>
    </row>
    <row r="5075" spans="1:14" x14ac:dyDescent="0.25">
      <c r="A5075" t="str">
        <f t="shared" si="160"/>
        <v>H180789H180789</v>
      </c>
      <c r="B5075" t="str">
        <f t="shared" si="161"/>
        <v>H180789P906011M-M</v>
      </c>
      <c r="C5075" s="1" t="s">
        <v>787</v>
      </c>
      <c r="D5075" s="1" t="s">
        <v>813</v>
      </c>
      <c r="E5075" s="1" t="s">
        <v>2307</v>
      </c>
      <c r="F5075" s="1" t="s">
        <v>2308</v>
      </c>
      <c r="G5075" s="1" t="s">
        <v>404</v>
      </c>
      <c r="H5075" s="1">
        <v>630</v>
      </c>
      <c r="I5075" s="3">
        <v>46286</v>
      </c>
      <c r="J5075" s="3">
        <v>46288</v>
      </c>
      <c r="K5075" s="3" t="s">
        <v>2374</v>
      </c>
      <c r="L5075" s="31">
        <v>46286.713397418978</v>
      </c>
      <c r="M5075" s="20">
        <v>12</v>
      </c>
      <c r="N5075" s="1">
        <v>46</v>
      </c>
    </row>
    <row r="5076" spans="1:14" x14ac:dyDescent="0.25">
      <c r="A5076" t="str">
        <f t="shared" si="160"/>
        <v>H180789H180789</v>
      </c>
      <c r="B5076" t="str">
        <f t="shared" si="161"/>
        <v>H180789P906011M-M</v>
      </c>
      <c r="C5076" s="1" t="s">
        <v>787</v>
      </c>
      <c r="D5076" s="1" t="s">
        <v>813</v>
      </c>
      <c r="E5076" s="1" t="s">
        <v>2307</v>
      </c>
      <c r="F5076" s="1" t="s">
        <v>2308</v>
      </c>
      <c r="G5076" s="1" t="s">
        <v>404</v>
      </c>
      <c r="H5076" s="1">
        <v>630</v>
      </c>
      <c r="I5076" s="3">
        <v>46286</v>
      </c>
      <c r="J5076" s="3">
        <v>46288</v>
      </c>
      <c r="K5076" s="3" t="s">
        <v>2374</v>
      </c>
      <c r="L5076" s="31">
        <v>46286.713770104165</v>
      </c>
      <c r="M5076" s="20">
        <v>12</v>
      </c>
      <c r="N5076" s="1">
        <v>27</v>
      </c>
    </row>
    <row r="5077" spans="1:14" x14ac:dyDescent="0.25">
      <c r="A5077" t="str">
        <f t="shared" si="160"/>
        <v>H188968H188968</v>
      </c>
      <c r="B5077" t="str">
        <f t="shared" si="161"/>
        <v>H188968PC9060LL-M</v>
      </c>
      <c r="C5077" s="1" t="s">
        <v>65</v>
      </c>
      <c r="D5077" s="1" t="s">
        <v>802</v>
      </c>
      <c r="E5077" s="1" t="s">
        <v>501</v>
      </c>
      <c r="F5077" s="1" t="s">
        <v>502</v>
      </c>
      <c r="G5077" s="1" t="s">
        <v>404</v>
      </c>
      <c r="H5077" s="1">
        <v>492</v>
      </c>
      <c r="I5077" s="3">
        <v>46286</v>
      </c>
      <c r="L5077" s="31">
        <v>46286.40391940972</v>
      </c>
      <c r="M5077" s="20">
        <v>6</v>
      </c>
      <c r="N5077" s="1">
        <v>25</v>
      </c>
    </row>
    <row r="5078" spans="1:14" x14ac:dyDescent="0.25">
      <c r="A5078" t="str">
        <f t="shared" si="160"/>
        <v>H188968H188968</v>
      </c>
      <c r="B5078" t="str">
        <f t="shared" si="161"/>
        <v>H188968PC9060LL-M</v>
      </c>
      <c r="C5078" s="1" t="s">
        <v>65</v>
      </c>
      <c r="D5078" s="1" t="s">
        <v>802</v>
      </c>
      <c r="E5078" s="1" t="s">
        <v>501</v>
      </c>
      <c r="F5078" s="1" t="s">
        <v>502</v>
      </c>
      <c r="G5078" s="1" t="s">
        <v>404</v>
      </c>
      <c r="H5078" s="1">
        <v>492</v>
      </c>
      <c r="I5078" s="3">
        <v>46286</v>
      </c>
      <c r="L5078" s="31">
        <v>46286.408086342592</v>
      </c>
      <c r="M5078" s="20">
        <v>6</v>
      </c>
      <c r="N5078" s="1">
        <v>57</v>
      </c>
    </row>
    <row r="5079" spans="1:14" x14ac:dyDescent="0.25">
      <c r="A5079" t="str">
        <f t="shared" si="160"/>
        <v>H188968H188968</v>
      </c>
      <c r="B5079" t="str">
        <f t="shared" si="161"/>
        <v>H188968PC9060LL-M</v>
      </c>
      <c r="C5079" s="1" t="s">
        <v>65</v>
      </c>
      <c r="D5079" s="1" t="s">
        <v>802</v>
      </c>
      <c r="E5079" s="1" t="s">
        <v>501</v>
      </c>
      <c r="F5079" s="1" t="s">
        <v>502</v>
      </c>
      <c r="G5079" s="1" t="s">
        <v>404</v>
      </c>
      <c r="H5079" s="1">
        <v>492</v>
      </c>
      <c r="I5079" s="3">
        <v>46286</v>
      </c>
      <c r="L5079" s="31">
        <v>46286.410243437495</v>
      </c>
      <c r="M5079" s="20">
        <v>6</v>
      </c>
      <c r="N5079" s="1">
        <v>27</v>
      </c>
    </row>
    <row r="5080" spans="1:14" x14ac:dyDescent="0.25">
      <c r="A5080" t="str">
        <f t="shared" si="160"/>
        <v>H188968H188968</v>
      </c>
      <c r="B5080" t="str">
        <f t="shared" si="161"/>
        <v>H188968PC9060LL-M</v>
      </c>
      <c r="C5080" s="1" t="s">
        <v>65</v>
      </c>
      <c r="D5080" s="1" t="s">
        <v>802</v>
      </c>
      <c r="E5080" s="1" t="s">
        <v>501</v>
      </c>
      <c r="F5080" s="1" t="s">
        <v>502</v>
      </c>
      <c r="G5080" s="1" t="s">
        <v>404</v>
      </c>
      <c r="H5080" s="1">
        <v>492</v>
      </c>
      <c r="I5080" s="3">
        <v>46286</v>
      </c>
      <c r="L5080" s="31">
        <v>46286.422013506941</v>
      </c>
      <c r="M5080" s="20">
        <v>6</v>
      </c>
      <c r="N5080" s="1">
        <v>68</v>
      </c>
    </row>
    <row r="5081" spans="1:14" x14ac:dyDescent="0.25">
      <c r="A5081" t="str">
        <f t="shared" si="160"/>
        <v>H188968H188968</v>
      </c>
      <c r="B5081" t="str">
        <f t="shared" si="161"/>
        <v>H188968PC9060LL-M</v>
      </c>
      <c r="C5081" s="1" t="s">
        <v>65</v>
      </c>
      <c r="D5081" s="1" t="s">
        <v>802</v>
      </c>
      <c r="E5081" s="1" t="s">
        <v>501</v>
      </c>
      <c r="F5081" s="1" t="s">
        <v>502</v>
      </c>
      <c r="G5081" s="1" t="s">
        <v>404</v>
      </c>
      <c r="H5081" s="1">
        <v>492</v>
      </c>
      <c r="I5081" s="3">
        <v>46286</v>
      </c>
      <c r="L5081" s="31">
        <v>46286.422628125001</v>
      </c>
      <c r="M5081" s="20">
        <v>6</v>
      </c>
      <c r="N5081" s="1">
        <v>26</v>
      </c>
    </row>
    <row r="5082" spans="1:14" x14ac:dyDescent="0.25">
      <c r="A5082" t="str">
        <f t="shared" si="160"/>
        <v>H188968H188968</v>
      </c>
      <c r="B5082" t="str">
        <f t="shared" si="161"/>
        <v>H188968PC9060LL-M</v>
      </c>
      <c r="C5082" s="1" t="s">
        <v>65</v>
      </c>
      <c r="D5082" s="1" t="s">
        <v>802</v>
      </c>
      <c r="E5082" s="1" t="s">
        <v>501</v>
      </c>
      <c r="F5082" s="1" t="s">
        <v>502</v>
      </c>
      <c r="G5082" s="1" t="s">
        <v>404</v>
      </c>
      <c r="H5082" s="1">
        <v>492</v>
      </c>
      <c r="I5082" s="3">
        <v>46286</v>
      </c>
      <c r="L5082" s="31">
        <v>46286.432126932872</v>
      </c>
      <c r="M5082" s="20">
        <v>6</v>
      </c>
      <c r="N5082" s="1">
        <v>67</v>
      </c>
    </row>
    <row r="5083" spans="1:14" x14ac:dyDescent="0.25">
      <c r="A5083" t="str">
        <f t="shared" si="160"/>
        <v>H188968H188968</v>
      </c>
      <c r="B5083" t="str">
        <f t="shared" si="161"/>
        <v>H188968PC9060LL-M</v>
      </c>
      <c r="C5083" s="1" t="s">
        <v>65</v>
      </c>
      <c r="D5083" s="1" t="s">
        <v>802</v>
      </c>
      <c r="E5083" s="1" t="s">
        <v>501</v>
      </c>
      <c r="F5083" s="1" t="s">
        <v>502</v>
      </c>
      <c r="G5083" s="1" t="s">
        <v>404</v>
      </c>
      <c r="H5083" s="1">
        <v>492</v>
      </c>
      <c r="I5083" s="3">
        <v>46286</v>
      </c>
      <c r="L5083" s="31">
        <v>46286.433046956015</v>
      </c>
      <c r="M5083" s="20">
        <v>6</v>
      </c>
      <c r="N5083" s="1">
        <v>45</v>
      </c>
    </row>
    <row r="5084" spans="1:14" x14ac:dyDescent="0.25">
      <c r="A5084" t="str">
        <f t="shared" si="160"/>
        <v>H188968H188968</v>
      </c>
      <c r="B5084" t="str">
        <f t="shared" si="161"/>
        <v>H188968PC9060LL-M</v>
      </c>
      <c r="C5084" s="1" t="s">
        <v>65</v>
      </c>
      <c r="D5084" s="1" t="s">
        <v>802</v>
      </c>
      <c r="E5084" s="1" t="s">
        <v>501</v>
      </c>
      <c r="F5084" s="1" t="s">
        <v>502</v>
      </c>
      <c r="G5084" s="1" t="s">
        <v>404</v>
      </c>
      <c r="H5084" s="1">
        <v>492</v>
      </c>
      <c r="I5084" s="3">
        <v>46286</v>
      </c>
      <c r="L5084" s="31">
        <v>46286.554496909717</v>
      </c>
      <c r="M5084" s="20">
        <v>6</v>
      </c>
      <c r="N5084" s="1">
        <v>29</v>
      </c>
    </row>
    <row r="5085" spans="1:14" x14ac:dyDescent="0.25">
      <c r="A5085" t="str">
        <f t="shared" si="160"/>
        <v>H188968H188968</v>
      </c>
      <c r="B5085" t="str">
        <f t="shared" si="161"/>
        <v>H188968PC9060LL-M</v>
      </c>
      <c r="C5085" s="1" t="s">
        <v>65</v>
      </c>
      <c r="D5085" s="1" t="s">
        <v>802</v>
      </c>
      <c r="E5085" s="1" t="s">
        <v>501</v>
      </c>
      <c r="F5085" s="1" t="s">
        <v>502</v>
      </c>
      <c r="G5085" s="1" t="s">
        <v>404</v>
      </c>
      <c r="H5085" s="1">
        <v>492</v>
      </c>
      <c r="I5085" s="3">
        <v>46286</v>
      </c>
      <c r="L5085" s="31">
        <v>46286.555268865741</v>
      </c>
      <c r="M5085" s="20">
        <v>6</v>
      </c>
      <c r="N5085" s="1">
        <v>59</v>
      </c>
    </row>
    <row r="5086" spans="1:14" x14ac:dyDescent="0.25">
      <c r="A5086" t="str">
        <f t="shared" si="160"/>
        <v>H188968H188968</v>
      </c>
      <c r="B5086" t="str">
        <f t="shared" si="161"/>
        <v>H188968PC9060LL-M</v>
      </c>
      <c r="C5086" s="1" t="s">
        <v>65</v>
      </c>
      <c r="D5086" s="1" t="s">
        <v>802</v>
      </c>
      <c r="E5086" s="1" t="s">
        <v>501</v>
      </c>
      <c r="F5086" s="1" t="s">
        <v>502</v>
      </c>
      <c r="G5086" s="1" t="s">
        <v>404</v>
      </c>
      <c r="H5086" s="1">
        <v>492</v>
      </c>
      <c r="I5086" s="3">
        <v>46286</v>
      </c>
      <c r="L5086" s="31">
        <v>46286.555487500002</v>
      </c>
      <c r="M5086" s="20">
        <v>6</v>
      </c>
      <c r="N5086" s="1">
        <v>71</v>
      </c>
    </row>
    <row r="5087" spans="1:14" x14ac:dyDescent="0.25">
      <c r="A5087" t="str">
        <f t="shared" si="160"/>
        <v>H188968H188968</v>
      </c>
      <c r="B5087" t="str">
        <f t="shared" si="161"/>
        <v>H188968PC9060LL-M</v>
      </c>
      <c r="C5087" s="1" t="s">
        <v>65</v>
      </c>
      <c r="D5087" s="1" t="s">
        <v>802</v>
      </c>
      <c r="E5087" s="1" t="s">
        <v>501</v>
      </c>
      <c r="F5087" s="1" t="s">
        <v>502</v>
      </c>
      <c r="G5087" s="1" t="s">
        <v>404</v>
      </c>
      <c r="H5087" s="1">
        <v>492</v>
      </c>
      <c r="I5087" s="3">
        <v>46286</v>
      </c>
      <c r="L5087" s="31">
        <v>46286.561612731479</v>
      </c>
      <c r="M5087" s="20">
        <v>6</v>
      </c>
      <c r="N5087" s="1">
        <v>69</v>
      </c>
    </row>
    <row r="5088" spans="1:14" x14ac:dyDescent="0.25">
      <c r="A5088" t="str">
        <f t="shared" si="160"/>
        <v>H188968H188968</v>
      </c>
      <c r="B5088" t="str">
        <f t="shared" si="161"/>
        <v>H188968PC9060LL-M</v>
      </c>
      <c r="C5088" s="1" t="s">
        <v>65</v>
      </c>
      <c r="D5088" s="1" t="s">
        <v>802</v>
      </c>
      <c r="E5088" s="1" t="s">
        <v>501</v>
      </c>
      <c r="F5088" s="1" t="s">
        <v>502</v>
      </c>
      <c r="G5088" s="1" t="s">
        <v>404</v>
      </c>
      <c r="H5088" s="1">
        <v>492</v>
      </c>
      <c r="I5088" s="3">
        <v>46286</v>
      </c>
      <c r="L5088" s="31">
        <v>46286.585771180551</v>
      </c>
      <c r="M5088" s="20">
        <v>6</v>
      </c>
      <c r="N5088" s="1">
        <v>28</v>
      </c>
    </row>
    <row r="5089" spans="1:14" x14ac:dyDescent="0.25">
      <c r="A5089" t="str">
        <f t="shared" si="160"/>
        <v>H188968H188968</v>
      </c>
      <c r="B5089" t="str">
        <f t="shared" si="161"/>
        <v>H188968PC9060LL-M</v>
      </c>
      <c r="C5089" s="1" t="s">
        <v>65</v>
      </c>
      <c r="D5089" s="1" t="s">
        <v>802</v>
      </c>
      <c r="E5089" s="1" t="s">
        <v>501</v>
      </c>
      <c r="F5089" s="1" t="s">
        <v>502</v>
      </c>
      <c r="G5089" s="1" t="s">
        <v>404</v>
      </c>
      <c r="H5089" s="1">
        <v>492</v>
      </c>
      <c r="I5089" s="3">
        <v>46286</v>
      </c>
      <c r="L5089" s="31">
        <v>46286.600711574072</v>
      </c>
      <c r="M5089" s="20">
        <v>6</v>
      </c>
      <c r="N5089" s="1">
        <v>58</v>
      </c>
    </row>
    <row r="5090" spans="1:14" x14ac:dyDescent="0.25">
      <c r="A5090" t="str">
        <f t="shared" si="160"/>
        <v>H188968H188968</v>
      </c>
      <c r="B5090" t="str">
        <f t="shared" si="161"/>
        <v>H188968PC9060LL-M</v>
      </c>
      <c r="C5090" s="1" t="s">
        <v>65</v>
      </c>
      <c r="D5090" s="1" t="s">
        <v>802</v>
      </c>
      <c r="E5090" s="1" t="s">
        <v>501</v>
      </c>
      <c r="F5090" s="1" t="s">
        <v>502</v>
      </c>
      <c r="G5090" s="1" t="s">
        <v>404</v>
      </c>
      <c r="H5090" s="1">
        <v>492</v>
      </c>
      <c r="I5090" s="3">
        <v>46286</v>
      </c>
      <c r="L5090" s="31">
        <v>46286.661498032408</v>
      </c>
      <c r="M5090" s="20">
        <v>6</v>
      </c>
      <c r="N5090" s="1">
        <v>70</v>
      </c>
    </row>
    <row r="5091" spans="1:14" x14ac:dyDescent="0.25">
      <c r="A5091" t="str">
        <f t="shared" si="160"/>
        <v>H188968H188968</v>
      </c>
      <c r="B5091" t="str">
        <f t="shared" si="161"/>
        <v>H188968PC9060LL-M</v>
      </c>
      <c r="C5091" s="1" t="s">
        <v>65</v>
      </c>
      <c r="D5091" s="1" t="s">
        <v>802</v>
      </c>
      <c r="E5091" s="1" t="s">
        <v>501</v>
      </c>
      <c r="F5091" s="1" t="s">
        <v>502</v>
      </c>
      <c r="G5091" s="1" t="s">
        <v>404</v>
      </c>
      <c r="H5091" s="1">
        <v>492</v>
      </c>
      <c r="I5091" s="3">
        <v>46286</v>
      </c>
      <c r="L5091" s="31">
        <v>46286.690687303242</v>
      </c>
      <c r="M5091" s="20">
        <v>6</v>
      </c>
      <c r="N5091" s="1">
        <v>72</v>
      </c>
    </row>
    <row r="5092" spans="1:14" x14ac:dyDescent="0.25">
      <c r="A5092" t="str">
        <f t="shared" si="160"/>
        <v>H188968H188968</v>
      </c>
      <c r="B5092" t="str">
        <f t="shared" si="161"/>
        <v>H188968PC9060LL-M</v>
      </c>
      <c r="C5092" s="1" t="s">
        <v>65</v>
      </c>
      <c r="D5092" s="1" t="s">
        <v>802</v>
      </c>
      <c r="E5092" s="1" t="s">
        <v>501</v>
      </c>
      <c r="F5092" s="1" t="s">
        <v>502</v>
      </c>
      <c r="G5092" s="1" t="s">
        <v>404</v>
      </c>
      <c r="H5092" s="1">
        <v>492</v>
      </c>
      <c r="I5092" s="3">
        <v>46286</v>
      </c>
      <c r="L5092" s="31">
        <v>46286.693586261572</v>
      </c>
      <c r="M5092" s="20">
        <v>6</v>
      </c>
      <c r="N5092" s="1">
        <v>46</v>
      </c>
    </row>
    <row r="5093" spans="1:14" x14ac:dyDescent="0.25">
      <c r="A5093" t="str">
        <f t="shared" si="160"/>
        <v>H188968H188968</v>
      </c>
      <c r="B5093" t="str">
        <f t="shared" si="161"/>
        <v>H188968PC9060LL-M</v>
      </c>
      <c r="C5093" s="1" t="s">
        <v>65</v>
      </c>
      <c r="D5093" s="1" t="s">
        <v>802</v>
      </c>
      <c r="E5093" s="1" t="s">
        <v>501</v>
      </c>
      <c r="F5093" s="1" t="s">
        <v>502</v>
      </c>
      <c r="G5093" s="1" t="s">
        <v>404</v>
      </c>
      <c r="H5093" s="1">
        <v>492</v>
      </c>
      <c r="I5093" s="3">
        <v>46286</v>
      </c>
      <c r="L5093" s="31">
        <v>46286.699625231478</v>
      </c>
      <c r="M5093" s="20">
        <v>6</v>
      </c>
      <c r="N5093" s="1">
        <v>30</v>
      </c>
    </row>
    <row r="5094" spans="1:14" x14ac:dyDescent="0.25">
      <c r="A5094" t="str">
        <f t="shared" si="160"/>
        <v>H188968H188968</v>
      </c>
      <c r="B5094" t="str">
        <f t="shared" si="161"/>
        <v>H188968PC9060LL-M</v>
      </c>
      <c r="C5094" s="1" t="s">
        <v>65</v>
      </c>
      <c r="D5094" s="1" t="s">
        <v>802</v>
      </c>
      <c r="E5094" s="1" t="s">
        <v>501</v>
      </c>
      <c r="F5094" s="1" t="s">
        <v>502</v>
      </c>
      <c r="G5094" s="1" t="s">
        <v>404</v>
      </c>
      <c r="H5094" s="1">
        <v>492</v>
      </c>
      <c r="I5094" s="3">
        <v>46286</v>
      </c>
      <c r="L5094" s="31">
        <v>46286.723689664352</v>
      </c>
      <c r="M5094" s="20">
        <v>6</v>
      </c>
      <c r="N5094" s="1">
        <v>48</v>
      </c>
    </row>
    <row r="5095" spans="1:14" x14ac:dyDescent="0.25">
      <c r="A5095" t="str">
        <f t="shared" si="160"/>
        <v>H188968H188968</v>
      </c>
      <c r="B5095" t="str">
        <f t="shared" si="161"/>
        <v>H188968PC9060LL-M</v>
      </c>
      <c r="C5095" s="1" t="s">
        <v>65</v>
      </c>
      <c r="D5095" s="1" t="s">
        <v>802</v>
      </c>
      <c r="E5095" s="1" t="s">
        <v>501</v>
      </c>
      <c r="F5095" s="1" t="s">
        <v>502</v>
      </c>
      <c r="G5095" s="1" t="s">
        <v>404</v>
      </c>
      <c r="H5095" s="1">
        <v>492</v>
      </c>
      <c r="I5095" s="3">
        <v>46286</v>
      </c>
      <c r="L5095" s="31">
        <v>46286.723880092592</v>
      </c>
      <c r="M5095" s="20">
        <v>6</v>
      </c>
      <c r="N5095" s="1">
        <v>24</v>
      </c>
    </row>
    <row r="5096" spans="1:14" x14ac:dyDescent="0.25">
      <c r="A5096" t="str">
        <f t="shared" si="160"/>
        <v>H188968H188968</v>
      </c>
      <c r="B5096" t="str">
        <f t="shared" si="161"/>
        <v>H188968PC9060LL-M</v>
      </c>
      <c r="C5096" s="1" t="s">
        <v>65</v>
      </c>
      <c r="D5096" s="1" t="s">
        <v>802</v>
      </c>
      <c r="E5096" s="1" t="s">
        <v>501</v>
      </c>
      <c r="F5096" s="1" t="s">
        <v>502</v>
      </c>
      <c r="G5096" s="1" t="s">
        <v>404</v>
      </c>
      <c r="H5096" s="1">
        <v>492</v>
      </c>
      <c r="I5096" s="3">
        <v>46286</v>
      </c>
      <c r="L5096" s="31">
        <v>46286.729147881946</v>
      </c>
      <c r="M5096" s="20">
        <v>6</v>
      </c>
      <c r="N5096" s="1">
        <v>34</v>
      </c>
    </row>
    <row r="5097" spans="1:14" x14ac:dyDescent="0.25">
      <c r="A5097" t="str">
        <f t="shared" si="160"/>
        <v>H188968H188968</v>
      </c>
      <c r="B5097" t="str">
        <f t="shared" si="161"/>
        <v>H188968PC9060LL-M</v>
      </c>
      <c r="C5097" s="1" t="s">
        <v>65</v>
      </c>
      <c r="D5097" s="1" t="s">
        <v>802</v>
      </c>
      <c r="E5097" s="1" t="s">
        <v>501</v>
      </c>
      <c r="F5097" s="1" t="s">
        <v>502</v>
      </c>
      <c r="G5097" s="1" t="s">
        <v>404</v>
      </c>
      <c r="H5097" s="1">
        <v>492</v>
      </c>
      <c r="I5097" s="3">
        <v>46286</v>
      </c>
      <c r="L5097" s="31">
        <v>46286.729382060184</v>
      </c>
      <c r="M5097" s="20">
        <v>6</v>
      </c>
      <c r="N5097" s="1">
        <v>4</v>
      </c>
    </row>
    <row r="5098" spans="1:14" x14ac:dyDescent="0.25">
      <c r="A5098" t="str">
        <f t="shared" si="160"/>
        <v>H188968H188968</v>
      </c>
      <c r="B5098" t="str">
        <f t="shared" si="161"/>
        <v>H188968PC9060LL-M</v>
      </c>
      <c r="C5098" s="1" t="s">
        <v>65</v>
      </c>
      <c r="D5098" s="1" t="s">
        <v>802</v>
      </c>
      <c r="E5098" s="1" t="s">
        <v>501</v>
      </c>
      <c r="F5098" s="1" t="s">
        <v>502</v>
      </c>
      <c r="G5098" s="1" t="s">
        <v>404</v>
      </c>
      <c r="H5098" s="1">
        <v>492</v>
      </c>
      <c r="I5098" s="3">
        <v>46286</v>
      </c>
      <c r="L5098" s="31">
        <v>46286.733024652778</v>
      </c>
      <c r="M5098" s="20">
        <v>6</v>
      </c>
      <c r="N5098" s="1">
        <v>44</v>
      </c>
    </row>
    <row r="5099" spans="1:14" x14ac:dyDescent="0.25">
      <c r="A5099" t="str">
        <f t="shared" si="160"/>
        <v>H188968H188968</v>
      </c>
      <c r="B5099" t="str">
        <f t="shared" si="161"/>
        <v>H188968PC9060LL-M</v>
      </c>
      <c r="C5099" s="1" t="s">
        <v>65</v>
      </c>
      <c r="D5099" s="1" t="s">
        <v>802</v>
      </c>
      <c r="E5099" s="1" t="s">
        <v>501</v>
      </c>
      <c r="F5099" s="1" t="s">
        <v>502</v>
      </c>
      <c r="G5099" s="1" t="s">
        <v>404</v>
      </c>
      <c r="H5099" s="1">
        <v>492</v>
      </c>
      <c r="I5099" s="3">
        <v>46286</v>
      </c>
      <c r="L5099" s="31">
        <v>46286.750396145828</v>
      </c>
      <c r="M5099" s="20">
        <v>6</v>
      </c>
      <c r="N5099" s="1">
        <v>73</v>
      </c>
    </row>
    <row r="5100" spans="1:14" x14ac:dyDescent="0.25">
      <c r="A5100" t="str">
        <f t="shared" si="160"/>
        <v>H189069H189069</v>
      </c>
      <c r="B5100" t="str">
        <f t="shared" si="161"/>
        <v>H189069I6039KY-W</v>
      </c>
      <c r="C5100" s="1" t="s">
        <v>61</v>
      </c>
      <c r="D5100" s="1" t="s">
        <v>801</v>
      </c>
      <c r="E5100" s="1" t="s">
        <v>2294</v>
      </c>
      <c r="F5100" s="1" t="s">
        <v>2295</v>
      </c>
      <c r="G5100" s="1" t="s">
        <v>404</v>
      </c>
      <c r="H5100" s="1">
        <v>90</v>
      </c>
      <c r="I5100" s="3">
        <v>46286</v>
      </c>
      <c r="J5100" s="3">
        <v>46286</v>
      </c>
      <c r="K5100" s="3" t="s">
        <v>2365</v>
      </c>
      <c r="L5100" s="31">
        <v>46286.387690706018</v>
      </c>
      <c r="M5100" s="20">
        <v>6</v>
      </c>
      <c r="N5100" s="1">
        <v>16</v>
      </c>
    </row>
    <row r="5101" spans="1:14" x14ac:dyDescent="0.25">
      <c r="A5101" t="str">
        <f t="shared" si="160"/>
        <v>H189069H189069</v>
      </c>
      <c r="B5101" t="str">
        <f t="shared" si="161"/>
        <v>H189069I6039KY-W</v>
      </c>
      <c r="C5101" s="1" t="s">
        <v>61</v>
      </c>
      <c r="D5101" s="1" t="s">
        <v>801</v>
      </c>
      <c r="E5101" s="1" t="s">
        <v>2294</v>
      </c>
      <c r="F5101" s="1" t="s">
        <v>2295</v>
      </c>
      <c r="G5101" s="1" t="s">
        <v>404</v>
      </c>
      <c r="H5101" s="1">
        <v>90</v>
      </c>
      <c r="I5101" s="3">
        <v>46286</v>
      </c>
      <c r="J5101" s="3">
        <v>46286</v>
      </c>
      <c r="K5101" s="3" t="s">
        <v>2365</v>
      </c>
      <c r="L5101" s="31">
        <v>46286.38790123842</v>
      </c>
      <c r="M5101" s="20">
        <v>6</v>
      </c>
      <c r="N5101" s="1">
        <v>15</v>
      </c>
    </row>
    <row r="5102" spans="1:14" x14ac:dyDescent="0.25">
      <c r="A5102" t="str">
        <f t="shared" si="160"/>
        <v>H189069H189069</v>
      </c>
      <c r="B5102" t="str">
        <f t="shared" si="161"/>
        <v>H189069I6039KY-W</v>
      </c>
      <c r="C5102" s="1" t="s">
        <v>61</v>
      </c>
      <c r="D5102" s="1" t="s">
        <v>801</v>
      </c>
      <c r="E5102" s="1" t="s">
        <v>2294</v>
      </c>
      <c r="F5102" s="1" t="s">
        <v>2295</v>
      </c>
      <c r="G5102" s="1" t="s">
        <v>404</v>
      </c>
      <c r="H5102" s="1">
        <v>90</v>
      </c>
      <c r="I5102" s="3">
        <v>46286</v>
      </c>
      <c r="J5102" s="3">
        <v>46286</v>
      </c>
      <c r="K5102" s="3" t="s">
        <v>2365</v>
      </c>
      <c r="L5102" s="31">
        <v>46286.388309722221</v>
      </c>
      <c r="M5102" s="20">
        <v>6</v>
      </c>
      <c r="N5102" s="1">
        <v>13</v>
      </c>
    </row>
    <row r="5103" spans="1:14" x14ac:dyDescent="0.25">
      <c r="A5103" t="str">
        <f t="shared" si="160"/>
        <v>H189069H189069</v>
      </c>
      <c r="B5103" t="str">
        <f t="shared" si="161"/>
        <v>H189069I6039KY-W</v>
      </c>
      <c r="C5103" s="1" t="s">
        <v>61</v>
      </c>
      <c r="D5103" s="1" t="s">
        <v>801</v>
      </c>
      <c r="E5103" s="1" t="s">
        <v>2294</v>
      </c>
      <c r="F5103" s="1" t="s">
        <v>2295</v>
      </c>
      <c r="G5103" s="1" t="s">
        <v>404</v>
      </c>
      <c r="H5103" s="1">
        <v>90</v>
      </c>
      <c r="I5103" s="3">
        <v>46286</v>
      </c>
      <c r="J5103" s="3">
        <v>46286</v>
      </c>
      <c r="K5103" s="3" t="s">
        <v>2365</v>
      </c>
      <c r="L5103" s="31">
        <v>46286.430483101853</v>
      </c>
      <c r="M5103" s="20">
        <v>6</v>
      </c>
      <c r="N5103" s="1">
        <v>12</v>
      </c>
    </row>
    <row r="5104" spans="1:14" x14ac:dyDescent="0.25">
      <c r="A5104" t="str">
        <f t="shared" si="160"/>
        <v>H189069H189069</v>
      </c>
      <c r="B5104" t="str">
        <f t="shared" si="161"/>
        <v>H189069I6039KY-W</v>
      </c>
      <c r="C5104" s="1" t="s">
        <v>61</v>
      </c>
      <c r="D5104" s="1" t="s">
        <v>801</v>
      </c>
      <c r="E5104" s="1" t="s">
        <v>2294</v>
      </c>
      <c r="F5104" s="1" t="s">
        <v>2295</v>
      </c>
      <c r="G5104" s="1" t="s">
        <v>404</v>
      </c>
      <c r="H5104" s="1">
        <v>90</v>
      </c>
      <c r="I5104" s="3">
        <v>46286</v>
      </c>
      <c r="J5104" s="3">
        <v>46286</v>
      </c>
      <c r="K5104" s="3" t="s">
        <v>2365</v>
      </c>
      <c r="L5104" s="31">
        <v>46286.435949074075</v>
      </c>
      <c r="M5104" s="20">
        <v>12</v>
      </c>
      <c r="N5104" s="1">
        <v>9</v>
      </c>
    </row>
    <row r="5105" spans="1:14" x14ac:dyDescent="0.25">
      <c r="A5105" t="str">
        <f t="shared" si="160"/>
        <v>H189069H189069</v>
      </c>
      <c r="B5105" t="str">
        <f t="shared" si="161"/>
        <v>H189069I6039KY-M</v>
      </c>
      <c r="C5105" s="1" t="s">
        <v>58</v>
      </c>
      <c r="D5105" s="1" t="s">
        <v>801</v>
      </c>
      <c r="E5105" s="1" t="s">
        <v>2294</v>
      </c>
      <c r="F5105" s="1" t="s">
        <v>2295</v>
      </c>
      <c r="G5105" s="1" t="s">
        <v>404</v>
      </c>
      <c r="H5105" s="1">
        <v>54</v>
      </c>
      <c r="I5105" s="3">
        <v>46286</v>
      </c>
      <c r="J5105" s="3">
        <v>46287</v>
      </c>
      <c r="K5105" s="3" t="s">
        <v>2365</v>
      </c>
      <c r="L5105" s="31">
        <v>46286.473594594907</v>
      </c>
      <c r="M5105" s="20">
        <v>6</v>
      </c>
      <c r="N5105" s="1">
        <v>6</v>
      </c>
    </row>
    <row r="5106" spans="1:14" x14ac:dyDescent="0.25">
      <c r="A5106" t="str">
        <f t="shared" si="160"/>
        <v>H189069H189069</v>
      </c>
      <c r="B5106" t="str">
        <f t="shared" si="161"/>
        <v>H189069I6039KY-M</v>
      </c>
      <c r="C5106" s="1" t="s">
        <v>58</v>
      </c>
      <c r="D5106" s="1" t="s">
        <v>801</v>
      </c>
      <c r="E5106" s="1" t="s">
        <v>2294</v>
      </c>
      <c r="F5106" s="1" t="s">
        <v>2295</v>
      </c>
      <c r="G5106" s="1" t="s">
        <v>404</v>
      </c>
      <c r="H5106" s="1">
        <v>54</v>
      </c>
      <c r="I5106" s="3">
        <v>46286</v>
      </c>
      <c r="J5106" s="3">
        <v>46287</v>
      </c>
      <c r="K5106" s="3" t="s">
        <v>2365</v>
      </c>
      <c r="L5106" s="31">
        <v>46286.56596565972</v>
      </c>
      <c r="M5106" s="20">
        <v>12</v>
      </c>
      <c r="N5106" s="1">
        <v>3</v>
      </c>
    </row>
    <row r="5107" spans="1:14" x14ac:dyDescent="0.25">
      <c r="A5107" t="str">
        <f t="shared" si="160"/>
        <v>H189069H189069</v>
      </c>
      <c r="B5107" t="str">
        <f t="shared" si="161"/>
        <v>H189069I6039KY-M</v>
      </c>
      <c r="C5107" s="1" t="s">
        <v>58</v>
      </c>
      <c r="D5107" s="1" t="s">
        <v>801</v>
      </c>
      <c r="E5107" s="1" t="s">
        <v>2294</v>
      </c>
      <c r="F5107" s="1" t="s">
        <v>2295</v>
      </c>
      <c r="G5107" s="1" t="s">
        <v>404</v>
      </c>
      <c r="H5107" s="1">
        <v>54</v>
      </c>
      <c r="I5107" s="3">
        <v>46286</v>
      </c>
      <c r="J5107" s="3">
        <v>46287</v>
      </c>
      <c r="K5107" s="3" t="s">
        <v>2365</v>
      </c>
      <c r="L5107" s="31">
        <v>46286.566356828698</v>
      </c>
      <c r="M5107" s="20">
        <v>12</v>
      </c>
      <c r="N5107" s="1">
        <v>2</v>
      </c>
    </row>
    <row r="5108" spans="1:14" x14ac:dyDescent="0.25">
      <c r="A5108" t="str">
        <f t="shared" si="160"/>
        <v>H189069H189069</v>
      </c>
      <c r="B5108" t="str">
        <f t="shared" si="161"/>
        <v>H189069I6039KY-W</v>
      </c>
      <c r="C5108" s="1" t="s">
        <v>61</v>
      </c>
      <c r="D5108" s="1" t="s">
        <v>801</v>
      </c>
      <c r="E5108" s="1" t="s">
        <v>2294</v>
      </c>
      <c r="F5108" s="1" t="s">
        <v>2295</v>
      </c>
      <c r="G5108" s="1" t="s">
        <v>404</v>
      </c>
      <c r="H5108" s="1">
        <v>90</v>
      </c>
      <c r="I5108" s="3">
        <v>46286</v>
      </c>
      <c r="J5108" s="3">
        <v>46286</v>
      </c>
      <c r="K5108" s="3" t="s">
        <v>2365</v>
      </c>
      <c r="L5108" s="31">
        <v>46286.575085729164</v>
      </c>
      <c r="M5108" s="20">
        <v>12</v>
      </c>
      <c r="N5108" s="1">
        <v>10</v>
      </c>
    </row>
    <row r="5109" spans="1:14" x14ac:dyDescent="0.25">
      <c r="A5109" t="str">
        <f t="shared" si="160"/>
        <v>H189069H189069</v>
      </c>
      <c r="B5109" t="str">
        <f t="shared" si="161"/>
        <v>H189069I6039KY-W</v>
      </c>
      <c r="C5109" s="1" t="s">
        <v>61</v>
      </c>
      <c r="D5109" s="1" t="s">
        <v>801</v>
      </c>
      <c r="E5109" s="1" t="s">
        <v>2294</v>
      </c>
      <c r="F5109" s="1" t="s">
        <v>2295</v>
      </c>
      <c r="G5109" s="1" t="s">
        <v>404</v>
      </c>
      <c r="H5109" s="1">
        <v>90</v>
      </c>
      <c r="I5109" s="3">
        <v>46286</v>
      </c>
      <c r="J5109" s="3">
        <v>46286</v>
      </c>
      <c r="K5109" s="3" t="s">
        <v>2365</v>
      </c>
      <c r="L5109" s="31">
        <v>46286.583593518517</v>
      </c>
      <c r="M5109" s="20">
        <v>12</v>
      </c>
      <c r="N5109" s="1">
        <v>8</v>
      </c>
    </row>
    <row r="5110" spans="1:14" x14ac:dyDescent="0.25">
      <c r="A5110" t="str">
        <f t="shared" si="160"/>
        <v>H189069H189069</v>
      </c>
      <c r="B5110" t="str">
        <f t="shared" si="161"/>
        <v>H189069I6039KY-M</v>
      </c>
      <c r="C5110" s="1" t="s">
        <v>58</v>
      </c>
      <c r="D5110" s="1" t="s">
        <v>801</v>
      </c>
      <c r="E5110" s="1" t="s">
        <v>2294</v>
      </c>
      <c r="F5110" s="1" t="s">
        <v>2295</v>
      </c>
      <c r="G5110" s="1" t="s">
        <v>404</v>
      </c>
      <c r="H5110" s="1">
        <v>54</v>
      </c>
      <c r="I5110" s="3">
        <v>46286</v>
      </c>
      <c r="J5110" s="3">
        <v>46287</v>
      </c>
      <c r="K5110" s="3" t="s">
        <v>2365</v>
      </c>
      <c r="L5110" s="31">
        <v>46286.623719791663</v>
      </c>
      <c r="M5110" s="20">
        <v>6</v>
      </c>
      <c r="N5110" s="1">
        <v>5</v>
      </c>
    </row>
    <row r="5111" spans="1:14" x14ac:dyDescent="0.25">
      <c r="A5111" t="str">
        <f t="shared" si="160"/>
        <v>H189069H189069</v>
      </c>
      <c r="B5111" t="str">
        <f t="shared" si="161"/>
        <v>H189069I6039KY-M</v>
      </c>
      <c r="C5111" s="1" t="s">
        <v>58</v>
      </c>
      <c r="D5111" s="1" t="s">
        <v>801</v>
      </c>
      <c r="E5111" s="1" t="s">
        <v>2294</v>
      </c>
      <c r="F5111" s="1" t="s">
        <v>2295</v>
      </c>
      <c r="G5111" s="1" t="s">
        <v>404</v>
      </c>
      <c r="H5111" s="1">
        <v>54</v>
      </c>
      <c r="I5111" s="3">
        <v>46286</v>
      </c>
      <c r="J5111" s="3">
        <v>46287</v>
      </c>
      <c r="K5111" s="3" t="s">
        <v>2365</v>
      </c>
      <c r="L5111" s="31">
        <v>46286.696076967593</v>
      </c>
      <c r="M5111" s="20">
        <v>6</v>
      </c>
      <c r="N5111" s="1">
        <v>4</v>
      </c>
    </row>
    <row r="5112" spans="1:14" x14ac:dyDescent="0.25">
      <c r="A5112" t="str">
        <f t="shared" si="160"/>
        <v>H189069H189069</v>
      </c>
      <c r="B5112" t="str">
        <f t="shared" si="161"/>
        <v>H189069I6039KY-W</v>
      </c>
      <c r="C5112" s="1" t="s">
        <v>61</v>
      </c>
      <c r="D5112" s="1" t="s">
        <v>801</v>
      </c>
      <c r="E5112" s="1" t="s">
        <v>2294</v>
      </c>
      <c r="F5112" s="1" t="s">
        <v>2295</v>
      </c>
      <c r="G5112" s="1" t="s">
        <v>404</v>
      </c>
      <c r="H5112" s="1">
        <v>90</v>
      </c>
      <c r="I5112" s="3">
        <v>46286</v>
      </c>
      <c r="J5112" s="3">
        <v>46286</v>
      </c>
      <c r="K5112" s="3" t="s">
        <v>2365</v>
      </c>
      <c r="L5112" s="31">
        <v>46286.696282210643</v>
      </c>
      <c r="M5112" s="20">
        <v>6</v>
      </c>
      <c r="N5112" s="1">
        <v>14</v>
      </c>
    </row>
    <row r="5113" spans="1:14" x14ac:dyDescent="0.25">
      <c r="A5113" t="str">
        <f t="shared" si="160"/>
        <v>H189069H189069</v>
      </c>
      <c r="B5113" t="str">
        <f t="shared" si="161"/>
        <v>H189069I6039KY-W</v>
      </c>
      <c r="C5113" s="1" t="s">
        <v>61</v>
      </c>
      <c r="D5113" s="1" t="s">
        <v>801</v>
      </c>
      <c r="E5113" s="1" t="s">
        <v>2294</v>
      </c>
      <c r="F5113" s="1" t="s">
        <v>2295</v>
      </c>
      <c r="G5113" s="1" t="s">
        <v>404</v>
      </c>
      <c r="H5113" s="1">
        <v>90</v>
      </c>
      <c r="I5113" s="3">
        <v>46286</v>
      </c>
      <c r="J5113" s="3">
        <v>46286</v>
      </c>
      <c r="K5113" s="3" t="s">
        <v>2365</v>
      </c>
      <c r="L5113" s="31">
        <v>46286.696485335648</v>
      </c>
      <c r="M5113" s="20">
        <v>12</v>
      </c>
      <c r="N5113" s="1">
        <v>7</v>
      </c>
    </row>
    <row r="5114" spans="1:14" x14ac:dyDescent="0.25">
      <c r="A5114" t="str">
        <f t="shared" si="160"/>
        <v>H189069H189069</v>
      </c>
      <c r="B5114" t="str">
        <f t="shared" si="161"/>
        <v>H189069I6039KY-W</v>
      </c>
      <c r="C5114" s="1" t="s">
        <v>61</v>
      </c>
      <c r="D5114" s="1" t="s">
        <v>801</v>
      </c>
      <c r="E5114" s="1" t="s">
        <v>2294</v>
      </c>
      <c r="F5114" s="1" t="s">
        <v>2295</v>
      </c>
      <c r="G5114" s="1" t="s">
        <v>404</v>
      </c>
      <c r="H5114" s="1">
        <v>90</v>
      </c>
      <c r="I5114" s="3">
        <v>46286</v>
      </c>
      <c r="J5114" s="3">
        <v>46286</v>
      </c>
      <c r="K5114" s="3" t="s">
        <v>2365</v>
      </c>
      <c r="L5114" s="31">
        <v>46286.700477280094</v>
      </c>
      <c r="M5114" s="20">
        <v>12</v>
      </c>
      <c r="N5114" s="1">
        <v>11</v>
      </c>
    </row>
    <row r="5115" spans="1:14" x14ac:dyDescent="0.25">
      <c r="A5115" t="str">
        <f t="shared" si="160"/>
        <v>H189181H189181</v>
      </c>
      <c r="B5115" t="str">
        <f t="shared" si="161"/>
        <v>H189181I6039KY-M</v>
      </c>
      <c r="C5115" s="1" t="s">
        <v>58</v>
      </c>
      <c r="D5115" s="1" t="s">
        <v>815</v>
      </c>
      <c r="E5115" s="1" t="s">
        <v>414</v>
      </c>
      <c r="F5115" s="1" t="s">
        <v>415</v>
      </c>
      <c r="G5115" s="1" t="s">
        <v>404</v>
      </c>
      <c r="H5115" s="1">
        <v>204</v>
      </c>
      <c r="I5115" s="3">
        <v>46286</v>
      </c>
      <c r="J5115" s="3">
        <v>46289</v>
      </c>
      <c r="L5115" s="31">
        <v>46286.583391817127</v>
      </c>
      <c r="M5115" s="20">
        <v>12</v>
      </c>
      <c r="N5115" s="1">
        <v>8</v>
      </c>
    </row>
    <row r="5116" spans="1:14" x14ac:dyDescent="0.25">
      <c r="A5116" t="str">
        <f t="shared" si="160"/>
        <v>H189181H189181</v>
      </c>
      <c r="B5116" t="str">
        <f t="shared" si="161"/>
        <v>H189181I6039KY-M</v>
      </c>
      <c r="C5116" s="1" t="s">
        <v>58</v>
      </c>
      <c r="D5116" s="1" t="s">
        <v>815</v>
      </c>
      <c r="E5116" s="1" t="s">
        <v>414</v>
      </c>
      <c r="F5116" s="1" t="s">
        <v>415</v>
      </c>
      <c r="G5116" s="1" t="s">
        <v>404</v>
      </c>
      <c r="H5116" s="1">
        <v>204</v>
      </c>
      <c r="I5116" s="3">
        <v>46286</v>
      </c>
      <c r="J5116" s="3">
        <v>46289</v>
      </c>
      <c r="L5116" s="31">
        <v>46286.585782905087</v>
      </c>
      <c r="M5116" s="20">
        <v>12</v>
      </c>
      <c r="N5116" s="1">
        <v>7</v>
      </c>
    </row>
    <row r="5117" spans="1:14" x14ac:dyDescent="0.25">
      <c r="A5117" t="str">
        <f t="shared" si="160"/>
        <v>H189181H189181</v>
      </c>
      <c r="B5117" t="str">
        <f t="shared" si="161"/>
        <v>H189181I6039KY-M</v>
      </c>
      <c r="C5117" s="1" t="s">
        <v>58</v>
      </c>
      <c r="D5117" s="1" t="s">
        <v>815</v>
      </c>
      <c r="E5117" s="1" t="s">
        <v>414</v>
      </c>
      <c r="F5117" s="1" t="s">
        <v>415</v>
      </c>
      <c r="G5117" s="1" t="s">
        <v>404</v>
      </c>
      <c r="H5117" s="1">
        <v>204</v>
      </c>
      <c r="I5117" s="3">
        <v>46286</v>
      </c>
      <c r="J5117" s="3">
        <v>46289</v>
      </c>
      <c r="L5117" s="31">
        <v>46286.594739664353</v>
      </c>
      <c r="M5117" s="20">
        <v>12</v>
      </c>
      <c r="N5117" s="1">
        <v>11</v>
      </c>
    </row>
    <row r="5118" spans="1:14" x14ac:dyDescent="0.25">
      <c r="A5118" t="str">
        <f t="shared" si="160"/>
        <v>H189181H189181</v>
      </c>
      <c r="B5118" t="str">
        <f t="shared" si="161"/>
        <v>H189181I6039KY-M</v>
      </c>
      <c r="C5118" s="1" t="s">
        <v>58</v>
      </c>
      <c r="D5118" s="1" t="s">
        <v>815</v>
      </c>
      <c r="E5118" s="1" t="s">
        <v>414</v>
      </c>
      <c r="F5118" s="1" t="s">
        <v>415</v>
      </c>
      <c r="G5118" s="1" t="s">
        <v>404</v>
      </c>
      <c r="H5118" s="1">
        <v>204</v>
      </c>
      <c r="I5118" s="3">
        <v>46286</v>
      </c>
      <c r="J5118" s="3">
        <v>46289</v>
      </c>
      <c r="L5118" s="31">
        <v>46286.614328587959</v>
      </c>
      <c r="M5118" s="20">
        <v>12</v>
      </c>
      <c r="N5118" s="1">
        <v>10</v>
      </c>
    </row>
    <row r="5119" spans="1:14" x14ac:dyDescent="0.25">
      <c r="A5119" t="str">
        <f t="shared" si="160"/>
        <v>H189181H189181</v>
      </c>
      <c r="B5119" t="str">
        <f t="shared" si="161"/>
        <v>H189181I6039KY-M</v>
      </c>
      <c r="C5119" s="1" t="s">
        <v>58</v>
      </c>
      <c r="D5119" s="1" t="s">
        <v>815</v>
      </c>
      <c r="E5119" s="1" t="s">
        <v>414</v>
      </c>
      <c r="F5119" s="1" t="s">
        <v>415</v>
      </c>
      <c r="G5119" s="1" t="s">
        <v>404</v>
      </c>
      <c r="H5119" s="1">
        <v>204</v>
      </c>
      <c r="I5119" s="3">
        <v>46286</v>
      </c>
      <c r="J5119" s="3">
        <v>46289</v>
      </c>
      <c r="L5119" s="31">
        <v>46286.615545173612</v>
      </c>
      <c r="M5119" s="20">
        <v>12</v>
      </c>
      <c r="N5119" s="1">
        <v>13</v>
      </c>
    </row>
    <row r="5120" spans="1:14" x14ac:dyDescent="0.25">
      <c r="A5120" t="str">
        <f t="shared" si="160"/>
        <v>H189181H189181</v>
      </c>
      <c r="B5120" t="str">
        <f t="shared" si="161"/>
        <v>H189181I6039KY-M</v>
      </c>
      <c r="C5120" s="1" t="s">
        <v>58</v>
      </c>
      <c r="D5120" s="1" t="s">
        <v>815</v>
      </c>
      <c r="E5120" s="1" t="s">
        <v>414</v>
      </c>
      <c r="F5120" s="1" t="s">
        <v>415</v>
      </c>
      <c r="G5120" s="1" t="s">
        <v>404</v>
      </c>
      <c r="H5120" s="1">
        <v>204</v>
      </c>
      <c r="I5120" s="3">
        <v>46286</v>
      </c>
      <c r="J5120" s="3">
        <v>46289</v>
      </c>
      <c r="L5120" s="31">
        <v>46286.616205671293</v>
      </c>
      <c r="M5120" s="20">
        <v>12</v>
      </c>
      <c r="N5120" s="1">
        <v>2</v>
      </c>
    </row>
    <row r="5121" spans="1:14" x14ac:dyDescent="0.25">
      <c r="A5121" t="str">
        <f t="shared" si="160"/>
        <v>H189181H189181</v>
      </c>
      <c r="B5121" t="str">
        <f t="shared" si="161"/>
        <v>H189181I6039KY-M</v>
      </c>
      <c r="C5121" s="1" t="s">
        <v>58</v>
      </c>
      <c r="D5121" s="1" t="s">
        <v>815</v>
      </c>
      <c r="E5121" s="1" t="s">
        <v>414</v>
      </c>
      <c r="F5121" s="1" t="s">
        <v>415</v>
      </c>
      <c r="G5121" s="1" t="s">
        <v>404</v>
      </c>
      <c r="H5121" s="1">
        <v>204</v>
      </c>
      <c r="I5121" s="3">
        <v>46286</v>
      </c>
      <c r="J5121" s="3">
        <v>46289</v>
      </c>
      <c r="L5121" s="31">
        <v>46286.616375381942</v>
      </c>
      <c r="M5121" s="20">
        <v>12</v>
      </c>
      <c r="N5121" s="1">
        <v>15</v>
      </c>
    </row>
    <row r="5122" spans="1:14" x14ac:dyDescent="0.25">
      <c r="A5122" t="str">
        <f t="shared" ref="A5122:A5185" si="162">+D5122&amp;D5122</f>
        <v>H189181H189181</v>
      </c>
      <c r="B5122" t="str">
        <f t="shared" ref="B5122:B5185" si="163">+D5122&amp;C5122</f>
        <v>H189181I6039KY-M</v>
      </c>
      <c r="C5122" s="1" t="s">
        <v>58</v>
      </c>
      <c r="D5122" s="1" t="s">
        <v>815</v>
      </c>
      <c r="E5122" s="1" t="s">
        <v>414</v>
      </c>
      <c r="F5122" s="1" t="s">
        <v>415</v>
      </c>
      <c r="G5122" s="1" t="s">
        <v>404</v>
      </c>
      <c r="H5122" s="1">
        <v>204</v>
      </c>
      <c r="I5122" s="3">
        <v>46286</v>
      </c>
      <c r="J5122" s="3">
        <v>46289</v>
      </c>
      <c r="L5122" s="31">
        <v>46286.616890046294</v>
      </c>
      <c r="M5122" s="20">
        <v>12</v>
      </c>
      <c r="N5122" s="1">
        <v>9</v>
      </c>
    </row>
    <row r="5123" spans="1:14" x14ac:dyDescent="0.25">
      <c r="A5123" t="str">
        <f t="shared" si="162"/>
        <v>H189181H189181</v>
      </c>
      <c r="B5123" t="str">
        <f t="shared" si="163"/>
        <v>H189181I6039KY-W</v>
      </c>
      <c r="C5123" s="1" t="s">
        <v>61</v>
      </c>
      <c r="D5123" s="1" t="s">
        <v>815</v>
      </c>
      <c r="E5123" s="1" t="s">
        <v>414</v>
      </c>
      <c r="F5123" s="1" t="s">
        <v>415</v>
      </c>
      <c r="G5123" s="1" t="s">
        <v>404</v>
      </c>
      <c r="H5123" s="1">
        <v>300</v>
      </c>
      <c r="I5123" s="3">
        <v>46286</v>
      </c>
      <c r="L5123" s="31">
        <v>46286.623329861111</v>
      </c>
      <c r="M5123" s="20">
        <v>12</v>
      </c>
      <c r="N5123" s="1">
        <v>34</v>
      </c>
    </row>
    <row r="5124" spans="1:14" x14ac:dyDescent="0.25">
      <c r="A5124" t="str">
        <f t="shared" si="162"/>
        <v>H189181H189181</v>
      </c>
      <c r="B5124" t="str">
        <f t="shared" si="163"/>
        <v>H189181I6039KY-M</v>
      </c>
      <c r="C5124" s="1" t="s">
        <v>58</v>
      </c>
      <c r="D5124" s="1" t="s">
        <v>815</v>
      </c>
      <c r="E5124" s="1" t="s">
        <v>414</v>
      </c>
      <c r="F5124" s="1" t="s">
        <v>415</v>
      </c>
      <c r="G5124" s="1" t="s">
        <v>404</v>
      </c>
      <c r="H5124" s="1">
        <v>204</v>
      </c>
      <c r="I5124" s="3">
        <v>46286</v>
      </c>
      <c r="J5124" s="3">
        <v>46289</v>
      </c>
      <c r="L5124" s="31">
        <v>46286.623962002312</v>
      </c>
      <c r="M5124" s="20">
        <v>12</v>
      </c>
      <c r="N5124" s="1">
        <v>4</v>
      </c>
    </row>
    <row r="5125" spans="1:14" x14ac:dyDescent="0.25">
      <c r="A5125" t="str">
        <f t="shared" si="162"/>
        <v>H189181H189181</v>
      </c>
      <c r="B5125" t="str">
        <f t="shared" si="163"/>
        <v>H189181I6039KY-W</v>
      </c>
      <c r="C5125" s="1" t="s">
        <v>61</v>
      </c>
      <c r="D5125" s="1" t="s">
        <v>815</v>
      </c>
      <c r="E5125" s="1" t="s">
        <v>414</v>
      </c>
      <c r="F5125" s="1" t="s">
        <v>415</v>
      </c>
      <c r="G5125" s="1" t="s">
        <v>404</v>
      </c>
      <c r="H5125" s="1">
        <v>300</v>
      </c>
      <c r="I5125" s="3">
        <v>46286</v>
      </c>
      <c r="L5125" s="31">
        <v>46286.624160763888</v>
      </c>
      <c r="M5125" s="20">
        <v>12</v>
      </c>
      <c r="N5125" s="1">
        <v>39</v>
      </c>
    </row>
    <row r="5126" spans="1:14" x14ac:dyDescent="0.25">
      <c r="A5126" t="str">
        <f t="shared" si="162"/>
        <v>H189181H189181</v>
      </c>
      <c r="B5126" t="str">
        <f t="shared" si="163"/>
        <v>H189181I6039KY-M</v>
      </c>
      <c r="C5126" s="1" t="s">
        <v>58</v>
      </c>
      <c r="D5126" s="1" t="s">
        <v>815</v>
      </c>
      <c r="E5126" s="1" t="s">
        <v>414</v>
      </c>
      <c r="F5126" s="1" t="s">
        <v>415</v>
      </c>
      <c r="G5126" s="1" t="s">
        <v>404</v>
      </c>
      <c r="H5126" s="1">
        <v>204</v>
      </c>
      <c r="I5126" s="3">
        <v>46286</v>
      </c>
      <c r="J5126" s="3">
        <v>46289</v>
      </c>
      <c r="L5126" s="31">
        <v>46286.638104016201</v>
      </c>
      <c r="M5126" s="20">
        <v>6</v>
      </c>
      <c r="N5126" s="1">
        <v>17</v>
      </c>
    </row>
    <row r="5127" spans="1:14" x14ac:dyDescent="0.25">
      <c r="A5127" t="str">
        <f t="shared" si="162"/>
        <v>H189181H189181</v>
      </c>
      <c r="B5127" t="str">
        <f t="shared" si="163"/>
        <v>H189181I6039KY-W</v>
      </c>
      <c r="C5127" s="1" t="s">
        <v>61</v>
      </c>
      <c r="D5127" s="1" t="s">
        <v>815</v>
      </c>
      <c r="E5127" s="1" t="s">
        <v>414</v>
      </c>
      <c r="F5127" s="1" t="s">
        <v>415</v>
      </c>
      <c r="G5127" s="1" t="s">
        <v>404</v>
      </c>
      <c r="H5127" s="1">
        <v>300</v>
      </c>
      <c r="I5127" s="3">
        <v>46286</v>
      </c>
      <c r="L5127" s="31">
        <v>46286.638512534722</v>
      </c>
      <c r="M5127" s="20">
        <v>12</v>
      </c>
      <c r="N5127" s="1">
        <v>31</v>
      </c>
    </row>
    <row r="5128" spans="1:14" x14ac:dyDescent="0.25">
      <c r="A5128" t="str">
        <f t="shared" si="162"/>
        <v>H189181H189181</v>
      </c>
      <c r="B5128" t="str">
        <f t="shared" si="163"/>
        <v>H189181I6039KY-W</v>
      </c>
      <c r="C5128" s="1" t="s">
        <v>61</v>
      </c>
      <c r="D5128" s="1" t="s">
        <v>815</v>
      </c>
      <c r="E5128" s="1" t="s">
        <v>414</v>
      </c>
      <c r="F5128" s="1" t="s">
        <v>415</v>
      </c>
      <c r="G5128" s="1" t="s">
        <v>404</v>
      </c>
      <c r="H5128" s="1">
        <v>300</v>
      </c>
      <c r="I5128" s="3">
        <v>46286</v>
      </c>
      <c r="L5128" s="31">
        <v>46286.638916666663</v>
      </c>
      <c r="M5128" s="20">
        <v>12</v>
      </c>
      <c r="N5128" s="1">
        <v>35</v>
      </c>
    </row>
    <row r="5129" spans="1:14" x14ac:dyDescent="0.25">
      <c r="A5129" t="str">
        <f t="shared" si="162"/>
        <v>H189181H189181</v>
      </c>
      <c r="B5129" t="str">
        <f t="shared" si="163"/>
        <v>H189181I6039KY-M</v>
      </c>
      <c r="C5129" s="1" t="s">
        <v>58</v>
      </c>
      <c r="D5129" s="1" t="s">
        <v>815</v>
      </c>
      <c r="E5129" s="1" t="s">
        <v>414</v>
      </c>
      <c r="F5129" s="1" t="s">
        <v>415</v>
      </c>
      <c r="G5129" s="1" t="s">
        <v>404</v>
      </c>
      <c r="H5129" s="1">
        <v>204</v>
      </c>
      <c r="I5129" s="3">
        <v>46286</v>
      </c>
      <c r="J5129" s="3">
        <v>46289</v>
      </c>
      <c r="L5129" s="31">
        <v>46286.655708449071</v>
      </c>
      <c r="M5129" s="20">
        <v>12</v>
      </c>
      <c r="N5129" s="1">
        <v>14</v>
      </c>
    </row>
    <row r="5130" spans="1:14" x14ac:dyDescent="0.25">
      <c r="A5130" t="str">
        <f t="shared" si="162"/>
        <v>H189181H189181</v>
      </c>
      <c r="B5130" t="str">
        <f t="shared" si="163"/>
        <v>H189181I6039KY-W</v>
      </c>
      <c r="C5130" s="1" t="s">
        <v>61</v>
      </c>
      <c r="D5130" s="1" t="s">
        <v>815</v>
      </c>
      <c r="E5130" s="1" t="s">
        <v>414</v>
      </c>
      <c r="F5130" s="1" t="s">
        <v>415</v>
      </c>
      <c r="G5130" s="1" t="s">
        <v>404</v>
      </c>
      <c r="H5130" s="1">
        <v>300</v>
      </c>
      <c r="I5130" s="3">
        <v>46286</v>
      </c>
      <c r="L5130" s="31">
        <v>46286.656232719906</v>
      </c>
      <c r="M5130" s="20">
        <v>12</v>
      </c>
      <c r="N5130" s="1">
        <v>40</v>
      </c>
    </row>
    <row r="5131" spans="1:14" x14ac:dyDescent="0.25">
      <c r="A5131" t="str">
        <f t="shared" si="162"/>
        <v>H189181H189181</v>
      </c>
      <c r="B5131" t="str">
        <f t="shared" si="163"/>
        <v>H189181I6039KY-W</v>
      </c>
      <c r="C5131" s="1" t="s">
        <v>61</v>
      </c>
      <c r="D5131" s="1" t="s">
        <v>815</v>
      </c>
      <c r="E5131" s="1" t="s">
        <v>414</v>
      </c>
      <c r="F5131" s="1" t="s">
        <v>415</v>
      </c>
      <c r="G5131" s="1" t="s">
        <v>404</v>
      </c>
      <c r="H5131" s="1">
        <v>300</v>
      </c>
      <c r="I5131" s="3">
        <v>46286</v>
      </c>
      <c r="L5131" s="31">
        <v>46286.683767974537</v>
      </c>
      <c r="M5131" s="20">
        <v>12</v>
      </c>
      <c r="N5131" s="1">
        <v>32</v>
      </c>
    </row>
    <row r="5132" spans="1:14" x14ac:dyDescent="0.25">
      <c r="A5132" t="str">
        <f t="shared" si="162"/>
        <v>H189181H189181</v>
      </c>
      <c r="B5132" t="str">
        <f t="shared" si="163"/>
        <v>H189181I6039KY-W</v>
      </c>
      <c r="C5132" s="1" t="s">
        <v>61</v>
      </c>
      <c r="D5132" s="1" t="s">
        <v>815</v>
      </c>
      <c r="E5132" s="1" t="s">
        <v>414</v>
      </c>
      <c r="F5132" s="1" t="s">
        <v>415</v>
      </c>
      <c r="G5132" s="1" t="s">
        <v>404</v>
      </c>
      <c r="H5132" s="1">
        <v>300</v>
      </c>
      <c r="I5132" s="3">
        <v>46286</v>
      </c>
      <c r="L5132" s="31">
        <v>46286.684977858793</v>
      </c>
      <c r="M5132" s="20">
        <v>12</v>
      </c>
      <c r="N5132" s="1">
        <v>26</v>
      </c>
    </row>
    <row r="5133" spans="1:14" x14ac:dyDescent="0.25">
      <c r="A5133" t="str">
        <f t="shared" si="162"/>
        <v>H189181H189181</v>
      </c>
      <c r="B5133" t="str">
        <f t="shared" si="163"/>
        <v>H189181I6039KY-W</v>
      </c>
      <c r="C5133" s="1" t="s">
        <v>61</v>
      </c>
      <c r="D5133" s="1" t="s">
        <v>815</v>
      </c>
      <c r="E5133" s="1" t="s">
        <v>414</v>
      </c>
      <c r="F5133" s="1" t="s">
        <v>415</v>
      </c>
      <c r="G5133" s="1" t="s">
        <v>404</v>
      </c>
      <c r="H5133" s="1">
        <v>300</v>
      </c>
      <c r="I5133" s="3">
        <v>46286</v>
      </c>
      <c r="L5133" s="31">
        <v>46286.68512480324</v>
      </c>
      <c r="M5133" s="20">
        <v>12</v>
      </c>
      <c r="N5133" s="1">
        <v>36</v>
      </c>
    </row>
    <row r="5134" spans="1:14" x14ac:dyDescent="0.25">
      <c r="A5134" t="str">
        <f t="shared" si="162"/>
        <v>H189181H189181</v>
      </c>
      <c r="B5134" t="str">
        <f t="shared" si="163"/>
        <v>H189181I6039KY-W</v>
      </c>
      <c r="C5134" s="1" t="s">
        <v>61</v>
      </c>
      <c r="D5134" s="1" t="s">
        <v>815</v>
      </c>
      <c r="E5134" s="1" t="s">
        <v>414</v>
      </c>
      <c r="F5134" s="1" t="s">
        <v>415</v>
      </c>
      <c r="G5134" s="1" t="s">
        <v>404</v>
      </c>
      <c r="H5134" s="1">
        <v>300</v>
      </c>
      <c r="I5134" s="3">
        <v>46286</v>
      </c>
      <c r="L5134" s="31">
        <v>46286.696948495366</v>
      </c>
      <c r="M5134" s="20">
        <v>12</v>
      </c>
      <c r="N5134" s="1">
        <v>23</v>
      </c>
    </row>
    <row r="5135" spans="1:14" x14ac:dyDescent="0.25">
      <c r="A5135" t="str">
        <f t="shared" si="162"/>
        <v>H189181H189181</v>
      </c>
      <c r="B5135" t="str">
        <f t="shared" si="163"/>
        <v>H189181I6039KY-W</v>
      </c>
      <c r="C5135" s="1" t="s">
        <v>61</v>
      </c>
      <c r="D5135" s="1" t="s">
        <v>815</v>
      </c>
      <c r="E5135" s="1" t="s">
        <v>414</v>
      </c>
      <c r="F5135" s="1" t="s">
        <v>415</v>
      </c>
      <c r="G5135" s="1" t="s">
        <v>404</v>
      </c>
      <c r="H5135" s="1">
        <v>300</v>
      </c>
      <c r="I5135" s="3">
        <v>46286</v>
      </c>
      <c r="L5135" s="31">
        <v>46286.697130324072</v>
      </c>
      <c r="M5135" s="20">
        <v>12</v>
      </c>
      <c r="N5135" s="1">
        <v>41</v>
      </c>
    </row>
    <row r="5136" spans="1:14" x14ac:dyDescent="0.25">
      <c r="A5136" t="str">
        <f t="shared" si="162"/>
        <v>H189181H189181</v>
      </c>
      <c r="B5136" t="str">
        <f t="shared" si="163"/>
        <v>H189181I6039KY-W</v>
      </c>
      <c r="C5136" s="1" t="s">
        <v>61</v>
      </c>
      <c r="D5136" s="1" t="s">
        <v>815</v>
      </c>
      <c r="E5136" s="1" t="s">
        <v>414</v>
      </c>
      <c r="F5136" s="1" t="s">
        <v>415</v>
      </c>
      <c r="G5136" s="1" t="s">
        <v>404</v>
      </c>
      <c r="H5136" s="1">
        <v>300</v>
      </c>
      <c r="I5136" s="3">
        <v>46286</v>
      </c>
      <c r="L5136" s="31">
        <v>46286.700310416665</v>
      </c>
      <c r="M5136" s="20">
        <v>12</v>
      </c>
      <c r="N5136" s="1">
        <v>27</v>
      </c>
    </row>
    <row r="5137" spans="1:14" x14ac:dyDescent="0.25">
      <c r="A5137" t="str">
        <f t="shared" si="162"/>
        <v>H189181H189181</v>
      </c>
      <c r="B5137" t="str">
        <f t="shared" si="163"/>
        <v>H189181I6039KY-W</v>
      </c>
      <c r="C5137" s="1" t="s">
        <v>61</v>
      </c>
      <c r="D5137" s="1" t="s">
        <v>815</v>
      </c>
      <c r="E5137" s="1" t="s">
        <v>414</v>
      </c>
      <c r="F5137" s="1" t="s">
        <v>415</v>
      </c>
      <c r="G5137" s="1" t="s">
        <v>404</v>
      </c>
      <c r="H5137" s="1">
        <v>300</v>
      </c>
      <c r="I5137" s="3">
        <v>46286</v>
      </c>
      <c r="L5137" s="31">
        <v>46286.701453587964</v>
      </c>
      <c r="M5137" s="20">
        <v>12</v>
      </c>
      <c r="N5137" s="1">
        <v>30</v>
      </c>
    </row>
    <row r="5138" spans="1:14" x14ac:dyDescent="0.25">
      <c r="A5138" t="str">
        <f t="shared" si="162"/>
        <v>H189181H189181</v>
      </c>
      <c r="B5138" t="str">
        <f t="shared" si="163"/>
        <v>H189181I6039KY-W</v>
      </c>
      <c r="C5138" s="1" t="s">
        <v>61</v>
      </c>
      <c r="D5138" s="1" t="s">
        <v>815</v>
      </c>
      <c r="E5138" s="1" t="s">
        <v>414</v>
      </c>
      <c r="F5138" s="1" t="s">
        <v>415</v>
      </c>
      <c r="G5138" s="1" t="s">
        <v>404</v>
      </c>
      <c r="H5138" s="1">
        <v>300</v>
      </c>
      <c r="I5138" s="3">
        <v>46286</v>
      </c>
      <c r="L5138" s="31">
        <v>46286.740705671291</v>
      </c>
      <c r="M5138" s="20">
        <v>12</v>
      </c>
      <c r="N5138" s="1">
        <v>21</v>
      </c>
    </row>
    <row r="5139" spans="1:14" x14ac:dyDescent="0.25">
      <c r="A5139" t="str">
        <f t="shared" si="162"/>
        <v>H189811H189811</v>
      </c>
      <c r="B5139" t="str">
        <f t="shared" si="163"/>
        <v>H189811W51511Y-B</v>
      </c>
      <c r="C5139" s="1" t="s">
        <v>792</v>
      </c>
      <c r="D5139" s="1" t="s">
        <v>793</v>
      </c>
      <c r="E5139" s="1" t="s">
        <v>420</v>
      </c>
      <c r="F5139" s="1" t="s">
        <v>421</v>
      </c>
      <c r="G5139" s="1" t="s">
        <v>404</v>
      </c>
      <c r="H5139" s="1">
        <v>498</v>
      </c>
      <c r="I5139" s="3">
        <v>46286</v>
      </c>
      <c r="J5139" s="3">
        <v>46289</v>
      </c>
      <c r="K5139" s="3" t="s">
        <v>2374</v>
      </c>
      <c r="L5139" s="31">
        <v>46286.335780555557</v>
      </c>
      <c r="M5139" s="20">
        <v>6</v>
      </c>
      <c r="N5139" s="1">
        <v>53</v>
      </c>
    </row>
    <row r="5140" spans="1:14" x14ac:dyDescent="0.25">
      <c r="A5140" t="str">
        <f t="shared" si="162"/>
        <v>H189811H189811</v>
      </c>
      <c r="B5140" t="str">
        <f t="shared" si="163"/>
        <v>H189811W51511Y-B</v>
      </c>
      <c r="C5140" s="1" t="s">
        <v>792</v>
      </c>
      <c r="D5140" s="1" t="s">
        <v>793</v>
      </c>
      <c r="E5140" s="1" t="s">
        <v>420</v>
      </c>
      <c r="F5140" s="1" t="s">
        <v>421</v>
      </c>
      <c r="G5140" s="1" t="s">
        <v>404</v>
      </c>
      <c r="H5140" s="1">
        <v>498</v>
      </c>
      <c r="I5140" s="3">
        <v>46286</v>
      </c>
      <c r="J5140" s="3">
        <v>46289</v>
      </c>
      <c r="K5140" s="3" t="s">
        <v>2374</v>
      </c>
      <c r="L5140" s="31">
        <v>46286.335993483794</v>
      </c>
      <c r="M5140" s="20">
        <v>6</v>
      </c>
      <c r="N5140" s="1">
        <v>38</v>
      </c>
    </row>
    <row r="5141" spans="1:14" x14ac:dyDescent="0.25">
      <c r="A5141" t="str">
        <f t="shared" si="162"/>
        <v>H189811H189811</v>
      </c>
      <c r="B5141" t="str">
        <f t="shared" si="163"/>
        <v>H189811W51511Y-B</v>
      </c>
      <c r="C5141" s="1" t="s">
        <v>792</v>
      </c>
      <c r="D5141" s="1" t="s">
        <v>793</v>
      </c>
      <c r="E5141" s="1" t="s">
        <v>420</v>
      </c>
      <c r="F5141" s="1" t="s">
        <v>421</v>
      </c>
      <c r="G5141" s="1" t="s">
        <v>404</v>
      </c>
      <c r="H5141" s="1">
        <v>498</v>
      </c>
      <c r="I5141" s="3">
        <v>46286</v>
      </c>
      <c r="J5141" s="3">
        <v>46289</v>
      </c>
      <c r="K5141" s="3" t="s">
        <v>2374</v>
      </c>
      <c r="L5141" s="31">
        <v>46286.336251238426</v>
      </c>
      <c r="M5141" s="20">
        <v>6</v>
      </c>
      <c r="N5141" s="1">
        <v>25</v>
      </c>
    </row>
    <row r="5142" spans="1:14" x14ac:dyDescent="0.25">
      <c r="A5142" t="str">
        <f t="shared" si="162"/>
        <v>H189811H189811</v>
      </c>
      <c r="B5142" t="str">
        <f t="shared" si="163"/>
        <v>H189811W51511Y-B</v>
      </c>
      <c r="C5142" s="1" t="s">
        <v>792</v>
      </c>
      <c r="D5142" s="1" t="s">
        <v>793</v>
      </c>
      <c r="E5142" s="1" t="s">
        <v>420</v>
      </c>
      <c r="F5142" s="1" t="s">
        <v>421</v>
      </c>
      <c r="G5142" s="1" t="s">
        <v>404</v>
      </c>
      <c r="H5142" s="1">
        <v>498</v>
      </c>
      <c r="I5142" s="3">
        <v>46286</v>
      </c>
      <c r="J5142" s="3">
        <v>46289</v>
      </c>
      <c r="K5142" s="3" t="s">
        <v>2374</v>
      </c>
      <c r="L5142" s="31">
        <v>46286.336412349534</v>
      </c>
      <c r="M5142" s="20">
        <v>6</v>
      </c>
      <c r="N5142" s="1">
        <v>68</v>
      </c>
    </row>
    <row r="5143" spans="1:14" x14ac:dyDescent="0.25">
      <c r="A5143" t="str">
        <f t="shared" si="162"/>
        <v>H189811H189811</v>
      </c>
      <c r="B5143" t="str">
        <f t="shared" si="163"/>
        <v>H189811W51511Y-B</v>
      </c>
      <c r="C5143" s="1" t="s">
        <v>792</v>
      </c>
      <c r="D5143" s="1" t="s">
        <v>793</v>
      </c>
      <c r="E5143" s="1" t="s">
        <v>420</v>
      </c>
      <c r="F5143" s="1" t="s">
        <v>421</v>
      </c>
      <c r="G5143" s="1" t="s">
        <v>404</v>
      </c>
      <c r="H5143" s="1">
        <v>498</v>
      </c>
      <c r="I5143" s="3">
        <v>46286</v>
      </c>
      <c r="J5143" s="3">
        <v>46289</v>
      </c>
      <c r="K5143" s="3" t="s">
        <v>2374</v>
      </c>
      <c r="L5143" s="31">
        <v>46286.349153854164</v>
      </c>
      <c r="M5143" s="20">
        <v>6</v>
      </c>
      <c r="N5143" s="1">
        <v>69</v>
      </c>
    </row>
    <row r="5144" spans="1:14" x14ac:dyDescent="0.25">
      <c r="A5144" t="str">
        <f t="shared" si="162"/>
        <v>H189811H189811</v>
      </c>
      <c r="B5144" t="str">
        <f t="shared" si="163"/>
        <v>H189811W51511Y-B</v>
      </c>
      <c r="C5144" s="1" t="s">
        <v>792</v>
      </c>
      <c r="D5144" s="1" t="s">
        <v>793</v>
      </c>
      <c r="E5144" s="1" t="s">
        <v>420</v>
      </c>
      <c r="F5144" s="1" t="s">
        <v>421</v>
      </c>
      <c r="G5144" s="1" t="s">
        <v>404</v>
      </c>
      <c r="H5144" s="1">
        <v>498</v>
      </c>
      <c r="I5144" s="3">
        <v>46286</v>
      </c>
      <c r="J5144" s="3">
        <v>46289</v>
      </c>
      <c r="K5144" s="3" t="s">
        <v>2374</v>
      </c>
      <c r="L5144" s="31">
        <v>46286.349421446757</v>
      </c>
      <c r="M5144" s="20">
        <v>6</v>
      </c>
      <c r="N5144" s="1">
        <v>39</v>
      </c>
    </row>
    <row r="5145" spans="1:14" x14ac:dyDescent="0.25">
      <c r="A5145" t="str">
        <f t="shared" si="162"/>
        <v>H189811H189811</v>
      </c>
      <c r="B5145" t="str">
        <f t="shared" si="163"/>
        <v>H189811W51511Y-B</v>
      </c>
      <c r="C5145" s="1" t="s">
        <v>792</v>
      </c>
      <c r="D5145" s="1" t="s">
        <v>793</v>
      </c>
      <c r="E5145" s="1" t="s">
        <v>420</v>
      </c>
      <c r="F5145" s="1" t="s">
        <v>421</v>
      </c>
      <c r="G5145" s="1" t="s">
        <v>404</v>
      </c>
      <c r="H5145" s="1">
        <v>498</v>
      </c>
      <c r="I5145" s="3">
        <v>46286</v>
      </c>
      <c r="J5145" s="3">
        <v>46289</v>
      </c>
      <c r="K5145" s="3" t="s">
        <v>2374</v>
      </c>
      <c r="L5145" s="31">
        <v>46286.349628587959</v>
      </c>
      <c r="M5145" s="20">
        <v>6</v>
      </c>
      <c r="N5145" s="1">
        <v>15</v>
      </c>
    </row>
    <row r="5146" spans="1:14" x14ac:dyDescent="0.25">
      <c r="A5146" t="str">
        <f t="shared" si="162"/>
        <v>H189811H189811</v>
      </c>
      <c r="B5146" t="str">
        <f t="shared" si="163"/>
        <v>H189811W51511Y-B</v>
      </c>
      <c r="C5146" s="1" t="s">
        <v>792</v>
      </c>
      <c r="D5146" s="1" t="s">
        <v>793</v>
      </c>
      <c r="E5146" s="1" t="s">
        <v>420</v>
      </c>
      <c r="F5146" s="1" t="s">
        <v>421</v>
      </c>
      <c r="G5146" s="1" t="s">
        <v>404</v>
      </c>
      <c r="H5146" s="1">
        <v>498</v>
      </c>
      <c r="I5146" s="3">
        <v>46286</v>
      </c>
      <c r="J5146" s="3">
        <v>46289</v>
      </c>
      <c r="K5146" s="3" t="s">
        <v>2374</v>
      </c>
      <c r="L5146" s="31">
        <v>46286.349817361108</v>
      </c>
      <c r="M5146" s="20">
        <v>6</v>
      </c>
      <c r="N5146" s="1">
        <v>26</v>
      </c>
    </row>
    <row r="5147" spans="1:14" x14ac:dyDescent="0.25">
      <c r="A5147" t="str">
        <f t="shared" si="162"/>
        <v>H189811H189811</v>
      </c>
      <c r="B5147" t="str">
        <f t="shared" si="163"/>
        <v>H189811W51511Y-B</v>
      </c>
      <c r="C5147" s="1" t="s">
        <v>792</v>
      </c>
      <c r="D5147" s="1" t="s">
        <v>793</v>
      </c>
      <c r="E5147" s="1" t="s">
        <v>420</v>
      </c>
      <c r="F5147" s="1" t="s">
        <v>421</v>
      </c>
      <c r="G5147" s="1" t="s">
        <v>404</v>
      </c>
      <c r="H5147" s="1">
        <v>498</v>
      </c>
      <c r="I5147" s="3">
        <v>46286</v>
      </c>
      <c r="J5147" s="3">
        <v>46289</v>
      </c>
      <c r="K5147" s="3" t="s">
        <v>2374</v>
      </c>
      <c r="L5147" s="31">
        <v>46286.350246678237</v>
      </c>
      <c r="M5147" s="20">
        <v>6</v>
      </c>
      <c r="N5147" s="1">
        <v>8</v>
      </c>
    </row>
    <row r="5148" spans="1:14" x14ac:dyDescent="0.25">
      <c r="A5148" t="str">
        <f t="shared" si="162"/>
        <v>H189811H189811</v>
      </c>
      <c r="B5148" t="str">
        <f t="shared" si="163"/>
        <v>H189811W51511Y-B</v>
      </c>
      <c r="C5148" s="1" t="s">
        <v>792</v>
      </c>
      <c r="D5148" s="1" t="s">
        <v>793</v>
      </c>
      <c r="E5148" s="1" t="s">
        <v>420</v>
      </c>
      <c r="F5148" s="1" t="s">
        <v>421</v>
      </c>
      <c r="G5148" s="1" t="s">
        <v>404</v>
      </c>
      <c r="H5148" s="1">
        <v>498</v>
      </c>
      <c r="I5148" s="3">
        <v>46286</v>
      </c>
      <c r="J5148" s="3">
        <v>46289</v>
      </c>
      <c r="K5148" s="3" t="s">
        <v>2374</v>
      </c>
      <c r="L5148" s="31">
        <v>46286.350693402776</v>
      </c>
      <c r="M5148" s="20">
        <v>6</v>
      </c>
      <c r="N5148" s="1">
        <v>40</v>
      </c>
    </row>
    <row r="5149" spans="1:14" x14ac:dyDescent="0.25">
      <c r="A5149" t="str">
        <f t="shared" si="162"/>
        <v>H189811H189811</v>
      </c>
      <c r="B5149" t="str">
        <f t="shared" si="163"/>
        <v>H189811W51511Y-B</v>
      </c>
      <c r="C5149" s="1" t="s">
        <v>792</v>
      </c>
      <c r="D5149" s="1" t="s">
        <v>793</v>
      </c>
      <c r="E5149" s="1" t="s">
        <v>420</v>
      </c>
      <c r="F5149" s="1" t="s">
        <v>421</v>
      </c>
      <c r="G5149" s="1" t="s">
        <v>404</v>
      </c>
      <c r="H5149" s="1">
        <v>498</v>
      </c>
      <c r="I5149" s="3">
        <v>46286</v>
      </c>
      <c r="J5149" s="3">
        <v>46289</v>
      </c>
      <c r="K5149" s="3" t="s">
        <v>2374</v>
      </c>
      <c r="L5149" s="31">
        <v>46286.366444826388</v>
      </c>
      <c r="M5149" s="20">
        <v>6</v>
      </c>
      <c r="N5149" s="1">
        <v>17</v>
      </c>
    </row>
    <row r="5150" spans="1:14" x14ac:dyDescent="0.25">
      <c r="A5150" t="str">
        <f t="shared" si="162"/>
        <v>H189811H189811</v>
      </c>
      <c r="B5150" t="str">
        <f t="shared" si="163"/>
        <v>H189811W51511Y-B</v>
      </c>
      <c r="C5150" s="1" t="s">
        <v>792</v>
      </c>
      <c r="D5150" s="1" t="s">
        <v>793</v>
      </c>
      <c r="E5150" s="1" t="s">
        <v>420</v>
      </c>
      <c r="F5150" s="1" t="s">
        <v>421</v>
      </c>
      <c r="G5150" s="1" t="s">
        <v>404</v>
      </c>
      <c r="H5150" s="1">
        <v>498</v>
      </c>
      <c r="I5150" s="3">
        <v>46286</v>
      </c>
      <c r="J5150" s="3">
        <v>46289</v>
      </c>
      <c r="K5150" s="3" t="s">
        <v>2374</v>
      </c>
      <c r="L5150" s="31">
        <v>46286.366593634259</v>
      </c>
      <c r="M5150" s="20">
        <v>6</v>
      </c>
      <c r="N5150" s="1">
        <v>9</v>
      </c>
    </row>
    <row r="5151" spans="1:14" x14ac:dyDescent="0.25">
      <c r="A5151" t="str">
        <f t="shared" si="162"/>
        <v>H189811H189811</v>
      </c>
      <c r="B5151" t="str">
        <f t="shared" si="163"/>
        <v>H189811W51511Y-B</v>
      </c>
      <c r="C5151" s="1" t="s">
        <v>792</v>
      </c>
      <c r="D5151" s="1" t="s">
        <v>793</v>
      </c>
      <c r="E5151" s="1" t="s">
        <v>420</v>
      </c>
      <c r="F5151" s="1" t="s">
        <v>421</v>
      </c>
      <c r="G5151" s="1" t="s">
        <v>404</v>
      </c>
      <c r="H5151" s="1">
        <v>498</v>
      </c>
      <c r="I5151" s="3">
        <v>46286</v>
      </c>
      <c r="J5151" s="3">
        <v>46289</v>
      </c>
      <c r="K5151" s="3" t="s">
        <v>2374</v>
      </c>
      <c r="L5151" s="31">
        <v>46286.366793900459</v>
      </c>
      <c r="M5151" s="20">
        <v>6</v>
      </c>
      <c r="N5151" s="1">
        <v>41</v>
      </c>
    </row>
    <row r="5152" spans="1:14" x14ac:dyDescent="0.25">
      <c r="A5152" t="str">
        <f t="shared" si="162"/>
        <v>H189811H189811</v>
      </c>
      <c r="B5152" t="str">
        <f t="shared" si="163"/>
        <v>H189811W51511Y-B</v>
      </c>
      <c r="C5152" s="1" t="s">
        <v>792</v>
      </c>
      <c r="D5152" s="1" t="s">
        <v>793</v>
      </c>
      <c r="E5152" s="1" t="s">
        <v>420</v>
      </c>
      <c r="F5152" s="1" t="s">
        <v>421</v>
      </c>
      <c r="G5152" s="1" t="s">
        <v>404</v>
      </c>
      <c r="H5152" s="1">
        <v>498</v>
      </c>
      <c r="I5152" s="3">
        <v>46286</v>
      </c>
      <c r="J5152" s="3">
        <v>46289</v>
      </c>
      <c r="K5152" s="3" t="s">
        <v>2374</v>
      </c>
      <c r="L5152" s="31">
        <v>46286.36703001157</v>
      </c>
      <c r="M5152" s="20">
        <v>6</v>
      </c>
      <c r="N5152" s="1">
        <v>70</v>
      </c>
    </row>
    <row r="5153" spans="1:14" x14ac:dyDescent="0.25">
      <c r="A5153" t="str">
        <f t="shared" si="162"/>
        <v>H189811H189811</v>
      </c>
      <c r="B5153" t="str">
        <f t="shared" si="163"/>
        <v>H189811W51511Y-B</v>
      </c>
      <c r="C5153" s="1" t="s">
        <v>792</v>
      </c>
      <c r="D5153" s="1" t="s">
        <v>793</v>
      </c>
      <c r="E5153" s="1" t="s">
        <v>420</v>
      </c>
      <c r="F5153" s="1" t="s">
        <v>421</v>
      </c>
      <c r="G5153" s="1" t="s">
        <v>404</v>
      </c>
      <c r="H5153" s="1">
        <v>498</v>
      </c>
      <c r="I5153" s="3">
        <v>46286</v>
      </c>
      <c r="J5153" s="3">
        <v>46289</v>
      </c>
      <c r="K5153" s="3" t="s">
        <v>2374</v>
      </c>
      <c r="L5153" s="31">
        <v>46286.367209918979</v>
      </c>
      <c r="M5153" s="20">
        <v>6</v>
      </c>
      <c r="N5153" s="1">
        <v>42</v>
      </c>
    </row>
    <row r="5154" spans="1:14" x14ac:dyDescent="0.25">
      <c r="A5154" t="str">
        <f t="shared" si="162"/>
        <v>H189811H189811</v>
      </c>
      <c r="B5154" t="str">
        <f t="shared" si="163"/>
        <v>H189811W51511Y-B</v>
      </c>
      <c r="C5154" s="1" t="s">
        <v>792</v>
      </c>
      <c r="D5154" s="1" t="s">
        <v>793</v>
      </c>
      <c r="E5154" s="1" t="s">
        <v>420</v>
      </c>
      <c r="F5154" s="1" t="s">
        <v>421</v>
      </c>
      <c r="G5154" s="1" t="s">
        <v>404</v>
      </c>
      <c r="H5154" s="1">
        <v>498</v>
      </c>
      <c r="I5154" s="3">
        <v>46286</v>
      </c>
      <c r="J5154" s="3">
        <v>46289</v>
      </c>
      <c r="K5154" s="3" t="s">
        <v>2374</v>
      </c>
      <c r="L5154" s="31">
        <v>46286.367398877315</v>
      </c>
      <c r="M5154" s="20">
        <v>6</v>
      </c>
      <c r="N5154" s="1">
        <v>54</v>
      </c>
    </row>
    <row r="5155" spans="1:14" x14ac:dyDescent="0.25">
      <c r="A5155" t="str">
        <f t="shared" si="162"/>
        <v>H189811H189811</v>
      </c>
      <c r="B5155" t="str">
        <f t="shared" si="163"/>
        <v>H189811W51511Y-B</v>
      </c>
      <c r="C5155" s="1" t="s">
        <v>792</v>
      </c>
      <c r="D5155" s="1" t="s">
        <v>793</v>
      </c>
      <c r="E5155" s="1" t="s">
        <v>420</v>
      </c>
      <c r="F5155" s="1" t="s">
        <v>421</v>
      </c>
      <c r="G5155" s="1" t="s">
        <v>404</v>
      </c>
      <c r="H5155" s="1">
        <v>498</v>
      </c>
      <c r="I5155" s="3">
        <v>46286</v>
      </c>
      <c r="J5155" s="3">
        <v>46289</v>
      </c>
      <c r="K5155" s="3" t="s">
        <v>2374</v>
      </c>
      <c r="L5155" s="31">
        <v>46286.37943325231</v>
      </c>
      <c r="M5155" s="20">
        <v>6</v>
      </c>
      <c r="N5155" s="1">
        <v>10</v>
      </c>
    </row>
    <row r="5156" spans="1:14" x14ac:dyDescent="0.25">
      <c r="A5156" t="str">
        <f t="shared" si="162"/>
        <v>H189811H189811</v>
      </c>
      <c r="B5156" t="str">
        <f t="shared" si="163"/>
        <v>H189811W51511Y-B</v>
      </c>
      <c r="C5156" s="1" t="s">
        <v>792</v>
      </c>
      <c r="D5156" s="1" t="s">
        <v>793</v>
      </c>
      <c r="E5156" s="1" t="s">
        <v>420</v>
      </c>
      <c r="F5156" s="1" t="s">
        <v>421</v>
      </c>
      <c r="G5156" s="1" t="s">
        <v>404</v>
      </c>
      <c r="H5156" s="1">
        <v>498</v>
      </c>
      <c r="I5156" s="3">
        <v>46286</v>
      </c>
      <c r="J5156" s="3">
        <v>46289</v>
      </c>
      <c r="K5156" s="3" t="s">
        <v>2374</v>
      </c>
      <c r="L5156" s="31">
        <v>46286.379706250002</v>
      </c>
      <c r="M5156" s="20">
        <v>6</v>
      </c>
      <c r="N5156" s="1">
        <v>55</v>
      </c>
    </row>
    <row r="5157" spans="1:14" x14ac:dyDescent="0.25">
      <c r="A5157" t="str">
        <f t="shared" si="162"/>
        <v>H189811H189811</v>
      </c>
      <c r="B5157" t="str">
        <f t="shared" si="163"/>
        <v>H189811W51511Y-B</v>
      </c>
      <c r="C5157" s="1" t="s">
        <v>792</v>
      </c>
      <c r="D5157" s="1" t="s">
        <v>793</v>
      </c>
      <c r="E5157" s="1" t="s">
        <v>420</v>
      </c>
      <c r="F5157" s="1" t="s">
        <v>421</v>
      </c>
      <c r="G5157" s="1" t="s">
        <v>404</v>
      </c>
      <c r="H5157" s="1">
        <v>498</v>
      </c>
      <c r="I5157" s="3">
        <v>46286</v>
      </c>
      <c r="J5157" s="3">
        <v>46289</v>
      </c>
      <c r="K5157" s="3" t="s">
        <v>2374</v>
      </c>
      <c r="L5157" s="31">
        <v>46286.379896724538</v>
      </c>
      <c r="M5157" s="20">
        <v>6</v>
      </c>
      <c r="N5157" s="1">
        <v>27</v>
      </c>
    </row>
    <row r="5158" spans="1:14" x14ac:dyDescent="0.25">
      <c r="A5158" t="str">
        <f t="shared" si="162"/>
        <v>H189811H189811</v>
      </c>
      <c r="B5158" t="str">
        <f t="shared" si="163"/>
        <v>H189811W51511Y-B</v>
      </c>
      <c r="C5158" s="1" t="s">
        <v>792</v>
      </c>
      <c r="D5158" s="1" t="s">
        <v>793</v>
      </c>
      <c r="E5158" s="1" t="s">
        <v>420</v>
      </c>
      <c r="F5158" s="1" t="s">
        <v>421</v>
      </c>
      <c r="G5158" s="1" t="s">
        <v>404</v>
      </c>
      <c r="H5158" s="1">
        <v>498</v>
      </c>
      <c r="I5158" s="3">
        <v>46286</v>
      </c>
      <c r="J5158" s="3">
        <v>46289</v>
      </c>
      <c r="K5158" s="3" t="s">
        <v>2374</v>
      </c>
      <c r="L5158" s="31">
        <v>46286.393651851853</v>
      </c>
      <c r="M5158" s="20">
        <v>6</v>
      </c>
      <c r="N5158" s="1">
        <v>76</v>
      </c>
    </row>
    <row r="5159" spans="1:14" x14ac:dyDescent="0.25">
      <c r="A5159" t="str">
        <f t="shared" si="162"/>
        <v>H189811H189811</v>
      </c>
      <c r="B5159" t="str">
        <f t="shared" si="163"/>
        <v>H189811W51511Y-B</v>
      </c>
      <c r="C5159" s="1" t="s">
        <v>792</v>
      </c>
      <c r="D5159" s="1" t="s">
        <v>793</v>
      </c>
      <c r="E5159" s="1" t="s">
        <v>420</v>
      </c>
      <c r="F5159" s="1" t="s">
        <v>421</v>
      </c>
      <c r="G5159" s="1" t="s">
        <v>404</v>
      </c>
      <c r="H5159" s="1">
        <v>498</v>
      </c>
      <c r="I5159" s="3">
        <v>46286</v>
      </c>
      <c r="J5159" s="3">
        <v>46289</v>
      </c>
      <c r="K5159" s="3" t="s">
        <v>2374</v>
      </c>
      <c r="L5159" s="31">
        <v>46286.393845023144</v>
      </c>
      <c r="M5159" s="20">
        <v>6</v>
      </c>
      <c r="N5159" s="1">
        <v>56</v>
      </c>
    </row>
    <row r="5160" spans="1:14" x14ac:dyDescent="0.25">
      <c r="A5160" t="str">
        <f t="shared" si="162"/>
        <v>H189811H189811</v>
      </c>
      <c r="B5160" t="str">
        <f t="shared" si="163"/>
        <v>H189811W51511Y-B</v>
      </c>
      <c r="C5160" s="1" t="s">
        <v>792</v>
      </c>
      <c r="D5160" s="1" t="s">
        <v>793</v>
      </c>
      <c r="E5160" s="1" t="s">
        <v>420</v>
      </c>
      <c r="F5160" s="1" t="s">
        <v>421</v>
      </c>
      <c r="G5160" s="1" t="s">
        <v>404</v>
      </c>
      <c r="H5160" s="1">
        <v>498</v>
      </c>
      <c r="I5160" s="3">
        <v>46286</v>
      </c>
      <c r="J5160" s="3">
        <v>46289</v>
      </c>
      <c r="K5160" s="3" t="s">
        <v>2374</v>
      </c>
      <c r="L5160" s="31">
        <v>46286.394074421296</v>
      </c>
      <c r="M5160" s="20">
        <v>6</v>
      </c>
      <c r="N5160" s="1">
        <v>43</v>
      </c>
    </row>
    <row r="5161" spans="1:14" x14ac:dyDescent="0.25">
      <c r="A5161" t="str">
        <f t="shared" si="162"/>
        <v>H189811H189811</v>
      </c>
      <c r="B5161" t="str">
        <f t="shared" si="163"/>
        <v>H189811W51511Y-B</v>
      </c>
      <c r="C5161" s="1" t="s">
        <v>792</v>
      </c>
      <c r="D5161" s="1" t="s">
        <v>793</v>
      </c>
      <c r="E5161" s="1" t="s">
        <v>420</v>
      </c>
      <c r="F5161" s="1" t="s">
        <v>421</v>
      </c>
      <c r="G5161" s="1" t="s">
        <v>404</v>
      </c>
      <c r="H5161" s="1">
        <v>498</v>
      </c>
      <c r="I5161" s="3">
        <v>46286</v>
      </c>
      <c r="J5161" s="3">
        <v>46289</v>
      </c>
      <c r="K5161" s="3" t="s">
        <v>2374</v>
      </c>
      <c r="L5161" s="31">
        <v>46286.422814317128</v>
      </c>
      <c r="M5161" s="20">
        <v>6</v>
      </c>
      <c r="N5161" s="1">
        <v>1</v>
      </c>
    </row>
    <row r="5162" spans="1:14" x14ac:dyDescent="0.25">
      <c r="A5162" t="str">
        <f t="shared" si="162"/>
        <v>H189811H189811</v>
      </c>
      <c r="B5162" t="str">
        <f t="shared" si="163"/>
        <v>H189811W51511Y-B</v>
      </c>
      <c r="C5162" s="1" t="s">
        <v>792</v>
      </c>
      <c r="D5162" s="1" t="s">
        <v>793</v>
      </c>
      <c r="E5162" s="1" t="s">
        <v>420</v>
      </c>
      <c r="F5162" s="1" t="s">
        <v>421</v>
      </c>
      <c r="G5162" s="1" t="s">
        <v>404</v>
      </c>
      <c r="H5162" s="1">
        <v>498</v>
      </c>
      <c r="I5162" s="3">
        <v>46286</v>
      </c>
      <c r="J5162" s="3">
        <v>46289</v>
      </c>
      <c r="K5162" s="3" t="s">
        <v>2374</v>
      </c>
      <c r="L5162" s="31">
        <v>46286.42293306713</v>
      </c>
      <c r="M5162" s="20">
        <v>6</v>
      </c>
      <c r="N5162" s="1">
        <v>18</v>
      </c>
    </row>
    <row r="5163" spans="1:14" x14ac:dyDescent="0.25">
      <c r="A5163" t="str">
        <f t="shared" si="162"/>
        <v>H189811H189811</v>
      </c>
      <c r="B5163" t="str">
        <f t="shared" si="163"/>
        <v>H189811W51511Y-B</v>
      </c>
      <c r="C5163" s="1" t="s">
        <v>792</v>
      </c>
      <c r="D5163" s="1" t="s">
        <v>793</v>
      </c>
      <c r="E5163" s="1" t="s">
        <v>420</v>
      </c>
      <c r="F5163" s="1" t="s">
        <v>421</v>
      </c>
      <c r="G5163" s="1" t="s">
        <v>404</v>
      </c>
      <c r="H5163" s="1">
        <v>498</v>
      </c>
      <c r="I5163" s="3">
        <v>46286</v>
      </c>
      <c r="J5163" s="3">
        <v>46289</v>
      </c>
      <c r="K5163" s="3" t="s">
        <v>2374</v>
      </c>
      <c r="L5163" s="31">
        <v>46286.42333075231</v>
      </c>
      <c r="M5163" s="20">
        <v>6</v>
      </c>
      <c r="N5163" s="1">
        <v>28</v>
      </c>
    </row>
    <row r="5164" spans="1:14" x14ac:dyDescent="0.25">
      <c r="A5164" t="str">
        <f t="shared" si="162"/>
        <v>H189811H189811</v>
      </c>
      <c r="B5164" t="str">
        <f t="shared" si="163"/>
        <v>H189811W51511Y-B</v>
      </c>
      <c r="C5164" s="1" t="s">
        <v>792</v>
      </c>
      <c r="D5164" s="1" t="s">
        <v>793</v>
      </c>
      <c r="E5164" s="1" t="s">
        <v>420</v>
      </c>
      <c r="F5164" s="1" t="s">
        <v>421</v>
      </c>
      <c r="G5164" s="1" t="s">
        <v>404</v>
      </c>
      <c r="H5164" s="1">
        <v>498</v>
      </c>
      <c r="I5164" s="3">
        <v>46286</v>
      </c>
      <c r="J5164" s="3">
        <v>46289</v>
      </c>
      <c r="K5164" s="3" t="s">
        <v>2374</v>
      </c>
      <c r="L5164" s="31">
        <v>46286.424391006942</v>
      </c>
      <c r="M5164" s="20">
        <v>6</v>
      </c>
      <c r="N5164" s="1">
        <v>3</v>
      </c>
    </row>
    <row r="5165" spans="1:14" x14ac:dyDescent="0.25">
      <c r="A5165" t="str">
        <f t="shared" si="162"/>
        <v>H189811H189811</v>
      </c>
      <c r="B5165" t="str">
        <f t="shared" si="163"/>
        <v>H189811W51511Y-B</v>
      </c>
      <c r="C5165" s="1" t="s">
        <v>792</v>
      </c>
      <c r="D5165" s="1" t="s">
        <v>793</v>
      </c>
      <c r="E5165" s="1" t="s">
        <v>420</v>
      </c>
      <c r="F5165" s="1" t="s">
        <v>421</v>
      </c>
      <c r="G5165" s="1" t="s">
        <v>404</v>
      </c>
      <c r="H5165" s="1">
        <v>498</v>
      </c>
      <c r="I5165" s="3">
        <v>46286</v>
      </c>
      <c r="J5165" s="3">
        <v>46289</v>
      </c>
      <c r="K5165" s="3" t="s">
        <v>2374</v>
      </c>
      <c r="L5165" s="31">
        <v>46286.43135810185</v>
      </c>
      <c r="M5165" s="20">
        <v>6</v>
      </c>
      <c r="N5165" s="1">
        <v>29</v>
      </c>
    </row>
    <row r="5166" spans="1:14" x14ac:dyDescent="0.25">
      <c r="A5166" t="str">
        <f t="shared" si="162"/>
        <v>H189811H189811</v>
      </c>
      <c r="B5166" t="str">
        <f t="shared" si="163"/>
        <v>H189811W51511Y-B</v>
      </c>
      <c r="C5166" s="1" t="s">
        <v>792</v>
      </c>
      <c r="D5166" s="1" t="s">
        <v>793</v>
      </c>
      <c r="E5166" s="1" t="s">
        <v>420</v>
      </c>
      <c r="F5166" s="1" t="s">
        <v>421</v>
      </c>
      <c r="G5166" s="1" t="s">
        <v>404</v>
      </c>
      <c r="H5166" s="1">
        <v>498</v>
      </c>
      <c r="I5166" s="3">
        <v>46286</v>
      </c>
      <c r="J5166" s="3">
        <v>46289</v>
      </c>
      <c r="K5166" s="3" t="s">
        <v>2374</v>
      </c>
      <c r="L5166" s="31">
        <v>46286.431492129625</v>
      </c>
      <c r="M5166" s="20">
        <v>6</v>
      </c>
      <c r="N5166" s="1">
        <v>77</v>
      </c>
    </row>
    <row r="5167" spans="1:14" x14ac:dyDescent="0.25">
      <c r="A5167" t="str">
        <f t="shared" si="162"/>
        <v>H189811H189811</v>
      </c>
      <c r="B5167" t="str">
        <f t="shared" si="163"/>
        <v>H189811W51511Y-B</v>
      </c>
      <c r="C5167" s="1" t="s">
        <v>792</v>
      </c>
      <c r="D5167" s="1" t="s">
        <v>793</v>
      </c>
      <c r="E5167" s="1" t="s">
        <v>420</v>
      </c>
      <c r="F5167" s="1" t="s">
        <v>421</v>
      </c>
      <c r="G5167" s="1" t="s">
        <v>404</v>
      </c>
      <c r="H5167" s="1">
        <v>498</v>
      </c>
      <c r="I5167" s="3">
        <v>46286</v>
      </c>
      <c r="J5167" s="3">
        <v>46289</v>
      </c>
      <c r="K5167" s="3" t="s">
        <v>2374</v>
      </c>
      <c r="L5167" s="31">
        <v>46286.431707256939</v>
      </c>
      <c r="M5167" s="20">
        <v>6</v>
      </c>
      <c r="N5167" s="1">
        <v>57</v>
      </c>
    </row>
    <row r="5168" spans="1:14" x14ac:dyDescent="0.25">
      <c r="A5168" t="str">
        <f t="shared" si="162"/>
        <v>H189811H189811</v>
      </c>
      <c r="B5168" t="str">
        <f t="shared" si="163"/>
        <v>H189811W51511Y-B</v>
      </c>
      <c r="C5168" s="1" t="s">
        <v>792</v>
      </c>
      <c r="D5168" s="1" t="s">
        <v>793</v>
      </c>
      <c r="E5168" s="1" t="s">
        <v>420</v>
      </c>
      <c r="F5168" s="1" t="s">
        <v>421</v>
      </c>
      <c r="G5168" s="1" t="s">
        <v>404</v>
      </c>
      <c r="H5168" s="1">
        <v>498</v>
      </c>
      <c r="I5168" s="3">
        <v>46286</v>
      </c>
      <c r="J5168" s="3">
        <v>46289</v>
      </c>
      <c r="K5168" s="3" t="s">
        <v>2374</v>
      </c>
      <c r="L5168" s="31">
        <v>46286.431900844902</v>
      </c>
      <c r="M5168" s="20">
        <v>6</v>
      </c>
      <c r="N5168" s="1">
        <v>44</v>
      </c>
    </row>
    <row r="5169" spans="1:14" x14ac:dyDescent="0.25">
      <c r="A5169" t="str">
        <f t="shared" si="162"/>
        <v>H189811H189811</v>
      </c>
      <c r="B5169" t="str">
        <f t="shared" si="163"/>
        <v>H189811W51511Y-B</v>
      </c>
      <c r="C5169" s="1" t="s">
        <v>792</v>
      </c>
      <c r="D5169" s="1" t="s">
        <v>793</v>
      </c>
      <c r="E5169" s="1" t="s">
        <v>420</v>
      </c>
      <c r="F5169" s="1" t="s">
        <v>421</v>
      </c>
      <c r="G5169" s="1" t="s">
        <v>404</v>
      </c>
      <c r="H5169" s="1">
        <v>498</v>
      </c>
      <c r="I5169" s="3">
        <v>46286</v>
      </c>
      <c r="J5169" s="3">
        <v>46289</v>
      </c>
      <c r="K5169" s="3" t="s">
        <v>2374</v>
      </c>
      <c r="L5169" s="31">
        <v>46286.449451967594</v>
      </c>
      <c r="M5169" s="20">
        <v>6</v>
      </c>
      <c r="N5169" s="1">
        <v>45</v>
      </c>
    </row>
    <row r="5170" spans="1:14" x14ac:dyDescent="0.25">
      <c r="A5170" t="str">
        <f t="shared" si="162"/>
        <v>H189811H189811</v>
      </c>
      <c r="B5170" t="str">
        <f t="shared" si="163"/>
        <v>H189811W51511Y-B</v>
      </c>
      <c r="C5170" s="1" t="s">
        <v>792</v>
      </c>
      <c r="D5170" s="1" t="s">
        <v>793</v>
      </c>
      <c r="E5170" s="1" t="s">
        <v>420</v>
      </c>
      <c r="F5170" s="1" t="s">
        <v>421</v>
      </c>
      <c r="G5170" s="1" t="s">
        <v>404</v>
      </c>
      <c r="H5170" s="1">
        <v>498</v>
      </c>
      <c r="I5170" s="3">
        <v>46286</v>
      </c>
      <c r="J5170" s="3">
        <v>46289</v>
      </c>
      <c r="K5170" s="3" t="s">
        <v>2374</v>
      </c>
      <c r="L5170" s="31">
        <v>46286.450745717593</v>
      </c>
      <c r="M5170" s="20">
        <v>6</v>
      </c>
      <c r="N5170" s="1">
        <v>46</v>
      </c>
    </row>
    <row r="5171" spans="1:14" x14ac:dyDescent="0.25">
      <c r="A5171" t="str">
        <f t="shared" si="162"/>
        <v>H189811H189811</v>
      </c>
      <c r="B5171" t="str">
        <f t="shared" si="163"/>
        <v>H189811W51511Y-B</v>
      </c>
      <c r="C5171" s="1" t="s">
        <v>792</v>
      </c>
      <c r="D5171" s="1" t="s">
        <v>793</v>
      </c>
      <c r="E5171" s="1" t="s">
        <v>420</v>
      </c>
      <c r="F5171" s="1" t="s">
        <v>421</v>
      </c>
      <c r="G5171" s="1" t="s">
        <v>404</v>
      </c>
      <c r="H5171" s="1">
        <v>498</v>
      </c>
      <c r="I5171" s="3">
        <v>46286</v>
      </c>
      <c r="J5171" s="3">
        <v>46289</v>
      </c>
      <c r="K5171" s="3" t="s">
        <v>2374</v>
      </c>
      <c r="L5171" s="31">
        <v>46286.451103391199</v>
      </c>
      <c r="M5171" s="20">
        <v>6</v>
      </c>
      <c r="N5171" s="1">
        <v>30</v>
      </c>
    </row>
    <row r="5172" spans="1:14" x14ac:dyDescent="0.25">
      <c r="A5172" t="str">
        <f t="shared" si="162"/>
        <v>H189811H189811</v>
      </c>
      <c r="B5172" t="str">
        <f t="shared" si="163"/>
        <v>H189811W51511Y-B</v>
      </c>
      <c r="C5172" s="1" t="s">
        <v>792</v>
      </c>
      <c r="D5172" s="1" t="s">
        <v>793</v>
      </c>
      <c r="E5172" s="1" t="s">
        <v>420</v>
      </c>
      <c r="F5172" s="1" t="s">
        <v>421</v>
      </c>
      <c r="G5172" s="1" t="s">
        <v>404</v>
      </c>
      <c r="H5172" s="1">
        <v>498</v>
      </c>
      <c r="I5172" s="3">
        <v>46286</v>
      </c>
      <c r="J5172" s="3">
        <v>46289</v>
      </c>
      <c r="K5172" s="3" t="s">
        <v>2374</v>
      </c>
      <c r="L5172" s="31">
        <v>46286.451530555554</v>
      </c>
      <c r="M5172" s="20">
        <v>6</v>
      </c>
      <c r="N5172" s="1">
        <v>71</v>
      </c>
    </row>
    <row r="5173" spans="1:14" x14ac:dyDescent="0.25">
      <c r="A5173" t="str">
        <f t="shared" si="162"/>
        <v>H189811H189811</v>
      </c>
      <c r="B5173" t="str">
        <f t="shared" si="163"/>
        <v>H189811W51511Y-B</v>
      </c>
      <c r="C5173" s="1" t="s">
        <v>792</v>
      </c>
      <c r="D5173" s="1" t="s">
        <v>793</v>
      </c>
      <c r="E5173" s="1" t="s">
        <v>420</v>
      </c>
      <c r="F5173" s="1" t="s">
        <v>421</v>
      </c>
      <c r="G5173" s="1" t="s">
        <v>404</v>
      </c>
      <c r="H5173" s="1">
        <v>498</v>
      </c>
      <c r="I5173" s="3">
        <v>46286</v>
      </c>
      <c r="J5173" s="3">
        <v>46289</v>
      </c>
      <c r="K5173" s="3" t="s">
        <v>2374</v>
      </c>
      <c r="L5173" s="31">
        <v>46286.472838888883</v>
      </c>
      <c r="M5173" s="20">
        <v>6</v>
      </c>
      <c r="N5173" s="1">
        <v>16</v>
      </c>
    </row>
    <row r="5174" spans="1:14" x14ac:dyDescent="0.25">
      <c r="A5174" t="str">
        <f t="shared" si="162"/>
        <v>H189811H189811</v>
      </c>
      <c r="B5174" t="str">
        <f t="shared" si="163"/>
        <v>H189811W51511Y-B</v>
      </c>
      <c r="C5174" s="1" t="s">
        <v>792</v>
      </c>
      <c r="D5174" s="1" t="s">
        <v>793</v>
      </c>
      <c r="E5174" s="1" t="s">
        <v>420</v>
      </c>
      <c r="F5174" s="1" t="s">
        <v>421</v>
      </c>
      <c r="G5174" s="1" t="s">
        <v>404</v>
      </c>
      <c r="H5174" s="1">
        <v>498</v>
      </c>
      <c r="I5174" s="3">
        <v>46286</v>
      </c>
      <c r="J5174" s="3">
        <v>46289</v>
      </c>
      <c r="K5174" s="3" t="s">
        <v>2374</v>
      </c>
      <c r="L5174" s="31">
        <v>46286.473396493056</v>
      </c>
      <c r="M5174" s="20">
        <v>6</v>
      </c>
      <c r="N5174" s="1">
        <v>58</v>
      </c>
    </row>
    <row r="5175" spans="1:14" x14ac:dyDescent="0.25">
      <c r="A5175" t="str">
        <f t="shared" si="162"/>
        <v>H189811H189811</v>
      </c>
      <c r="B5175" t="str">
        <f t="shared" si="163"/>
        <v>H189811W51511Y-B</v>
      </c>
      <c r="C5175" s="1" t="s">
        <v>792</v>
      </c>
      <c r="D5175" s="1" t="s">
        <v>793</v>
      </c>
      <c r="E5175" s="1" t="s">
        <v>420</v>
      </c>
      <c r="F5175" s="1" t="s">
        <v>421</v>
      </c>
      <c r="G5175" s="1" t="s">
        <v>404</v>
      </c>
      <c r="H5175" s="1">
        <v>498</v>
      </c>
      <c r="I5175" s="3">
        <v>46286</v>
      </c>
      <c r="J5175" s="3">
        <v>46289</v>
      </c>
      <c r="K5175" s="3" t="s">
        <v>2374</v>
      </c>
      <c r="L5175" s="31">
        <v>46286.563651851851</v>
      </c>
      <c r="M5175" s="20">
        <v>6</v>
      </c>
      <c r="N5175" s="1">
        <v>73</v>
      </c>
    </row>
    <row r="5176" spans="1:14" x14ac:dyDescent="0.25">
      <c r="A5176" t="str">
        <f t="shared" si="162"/>
        <v>H189811H189811</v>
      </c>
      <c r="B5176" t="str">
        <f t="shared" si="163"/>
        <v>H189811W51511Y-B</v>
      </c>
      <c r="C5176" s="1" t="s">
        <v>792</v>
      </c>
      <c r="D5176" s="1" t="s">
        <v>793</v>
      </c>
      <c r="E5176" s="1" t="s">
        <v>420</v>
      </c>
      <c r="F5176" s="1" t="s">
        <v>421</v>
      </c>
      <c r="G5176" s="1" t="s">
        <v>404</v>
      </c>
      <c r="H5176" s="1">
        <v>498</v>
      </c>
      <c r="I5176" s="3">
        <v>46286</v>
      </c>
      <c r="J5176" s="3">
        <v>46289</v>
      </c>
      <c r="K5176" s="3" t="s">
        <v>2374</v>
      </c>
      <c r="L5176" s="31">
        <v>46286.607810416666</v>
      </c>
      <c r="M5176" s="20">
        <v>6</v>
      </c>
      <c r="N5176" s="1">
        <v>11</v>
      </c>
    </row>
    <row r="5177" spans="1:14" x14ac:dyDescent="0.25">
      <c r="A5177" t="str">
        <f t="shared" si="162"/>
        <v>H189811H189811</v>
      </c>
      <c r="B5177" t="str">
        <f t="shared" si="163"/>
        <v>H189811W51511Y-B</v>
      </c>
      <c r="C5177" s="1" t="s">
        <v>792</v>
      </c>
      <c r="D5177" s="1" t="s">
        <v>793</v>
      </c>
      <c r="E5177" s="1" t="s">
        <v>420</v>
      </c>
      <c r="F5177" s="1" t="s">
        <v>421</v>
      </c>
      <c r="G5177" s="1" t="s">
        <v>404</v>
      </c>
      <c r="H5177" s="1">
        <v>498</v>
      </c>
      <c r="I5177" s="3">
        <v>46286</v>
      </c>
      <c r="J5177" s="3">
        <v>46289</v>
      </c>
      <c r="K5177" s="3" t="s">
        <v>2374</v>
      </c>
      <c r="L5177" s="31">
        <v>46286.608133796297</v>
      </c>
      <c r="M5177" s="20">
        <v>6</v>
      </c>
      <c r="N5177" s="1">
        <v>4</v>
      </c>
    </row>
    <row r="5178" spans="1:14" x14ac:dyDescent="0.25">
      <c r="A5178" t="str">
        <f t="shared" si="162"/>
        <v>H189811H189811</v>
      </c>
      <c r="B5178" t="str">
        <f t="shared" si="163"/>
        <v>H189811W51511Y-B</v>
      </c>
      <c r="C5178" s="1" t="s">
        <v>792</v>
      </c>
      <c r="D5178" s="1" t="s">
        <v>793</v>
      </c>
      <c r="E5178" s="1" t="s">
        <v>420</v>
      </c>
      <c r="F5178" s="1" t="s">
        <v>421</v>
      </c>
      <c r="G5178" s="1" t="s">
        <v>404</v>
      </c>
      <c r="H5178" s="1">
        <v>498</v>
      </c>
      <c r="I5178" s="3">
        <v>46286</v>
      </c>
      <c r="J5178" s="3">
        <v>46289</v>
      </c>
      <c r="K5178" s="3" t="s">
        <v>2374</v>
      </c>
      <c r="L5178" s="31">
        <v>46286.625002349538</v>
      </c>
      <c r="M5178" s="20">
        <v>6</v>
      </c>
      <c r="N5178" s="1">
        <v>12</v>
      </c>
    </row>
    <row r="5179" spans="1:14" x14ac:dyDescent="0.25">
      <c r="A5179" t="str">
        <f t="shared" si="162"/>
        <v>H189811H189811</v>
      </c>
      <c r="B5179" t="str">
        <f t="shared" si="163"/>
        <v>H189811W51511Y-B</v>
      </c>
      <c r="C5179" s="1" t="s">
        <v>792</v>
      </c>
      <c r="D5179" s="1" t="s">
        <v>793</v>
      </c>
      <c r="E5179" s="1" t="s">
        <v>420</v>
      </c>
      <c r="F5179" s="1" t="s">
        <v>421</v>
      </c>
      <c r="G5179" s="1" t="s">
        <v>404</v>
      </c>
      <c r="H5179" s="1">
        <v>498</v>
      </c>
      <c r="I5179" s="3">
        <v>46286</v>
      </c>
      <c r="J5179" s="3">
        <v>46289</v>
      </c>
      <c r="K5179" s="3" t="s">
        <v>2374</v>
      </c>
      <c r="L5179" s="31">
        <v>46286.625599733794</v>
      </c>
      <c r="M5179" s="20">
        <v>6</v>
      </c>
      <c r="N5179" s="1">
        <v>19</v>
      </c>
    </row>
    <row r="5180" spans="1:14" x14ac:dyDescent="0.25">
      <c r="A5180" t="str">
        <f t="shared" si="162"/>
        <v>H189811H189811</v>
      </c>
      <c r="B5180" t="str">
        <f t="shared" si="163"/>
        <v>H189811W51511Y-B</v>
      </c>
      <c r="C5180" s="1" t="s">
        <v>792</v>
      </c>
      <c r="D5180" s="1" t="s">
        <v>793</v>
      </c>
      <c r="E5180" s="1" t="s">
        <v>420</v>
      </c>
      <c r="F5180" s="1" t="s">
        <v>421</v>
      </c>
      <c r="G5180" s="1" t="s">
        <v>404</v>
      </c>
      <c r="H5180" s="1">
        <v>498</v>
      </c>
      <c r="I5180" s="3">
        <v>46286</v>
      </c>
      <c r="J5180" s="3">
        <v>46289</v>
      </c>
      <c r="K5180" s="3" t="s">
        <v>2374</v>
      </c>
      <c r="L5180" s="31">
        <v>46286.626599189811</v>
      </c>
      <c r="M5180" s="20">
        <v>6</v>
      </c>
      <c r="N5180" s="1">
        <v>47</v>
      </c>
    </row>
    <row r="5181" spans="1:14" x14ac:dyDescent="0.25">
      <c r="A5181" t="str">
        <f t="shared" si="162"/>
        <v>H189811H189811</v>
      </c>
      <c r="B5181" t="str">
        <f t="shared" si="163"/>
        <v>H189811W51511Y-B</v>
      </c>
      <c r="C5181" s="1" t="s">
        <v>792</v>
      </c>
      <c r="D5181" s="1" t="s">
        <v>793</v>
      </c>
      <c r="E5181" s="1" t="s">
        <v>420</v>
      </c>
      <c r="F5181" s="1" t="s">
        <v>421</v>
      </c>
      <c r="G5181" s="1" t="s">
        <v>404</v>
      </c>
      <c r="H5181" s="1">
        <v>498</v>
      </c>
      <c r="I5181" s="3">
        <v>46286</v>
      </c>
      <c r="J5181" s="3">
        <v>46289</v>
      </c>
      <c r="K5181" s="3" t="s">
        <v>2374</v>
      </c>
      <c r="L5181" s="31">
        <v>46286.627248229168</v>
      </c>
      <c r="M5181" s="20">
        <v>6</v>
      </c>
      <c r="N5181" s="1">
        <v>31</v>
      </c>
    </row>
    <row r="5182" spans="1:14" x14ac:dyDescent="0.25">
      <c r="A5182" t="str">
        <f t="shared" si="162"/>
        <v>H189811H189811</v>
      </c>
      <c r="B5182" t="str">
        <f t="shared" si="163"/>
        <v>H189811W51511Y-B</v>
      </c>
      <c r="C5182" s="1" t="s">
        <v>792</v>
      </c>
      <c r="D5182" s="1" t="s">
        <v>793</v>
      </c>
      <c r="E5182" s="1" t="s">
        <v>420</v>
      </c>
      <c r="F5182" s="1" t="s">
        <v>421</v>
      </c>
      <c r="G5182" s="1" t="s">
        <v>404</v>
      </c>
      <c r="H5182" s="1">
        <v>498</v>
      </c>
      <c r="I5182" s="3">
        <v>46286</v>
      </c>
      <c r="J5182" s="3">
        <v>46289</v>
      </c>
      <c r="K5182" s="3" t="s">
        <v>2374</v>
      </c>
      <c r="L5182" s="31">
        <v>46286.627603622685</v>
      </c>
      <c r="M5182" s="20">
        <v>6</v>
      </c>
      <c r="N5182" s="1">
        <v>5</v>
      </c>
    </row>
    <row r="5183" spans="1:14" x14ac:dyDescent="0.25">
      <c r="A5183" t="str">
        <f t="shared" si="162"/>
        <v>H189811H189811</v>
      </c>
      <c r="B5183" t="str">
        <f t="shared" si="163"/>
        <v>H189811W51511Y-B</v>
      </c>
      <c r="C5183" s="1" t="s">
        <v>792</v>
      </c>
      <c r="D5183" s="1" t="s">
        <v>793</v>
      </c>
      <c r="E5183" s="1" t="s">
        <v>420</v>
      </c>
      <c r="F5183" s="1" t="s">
        <v>421</v>
      </c>
      <c r="G5183" s="1" t="s">
        <v>404</v>
      </c>
      <c r="H5183" s="1">
        <v>498</v>
      </c>
      <c r="I5183" s="3">
        <v>46286</v>
      </c>
      <c r="J5183" s="3">
        <v>46289</v>
      </c>
      <c r="K5183" s="3" t="s">
        <v>2374</v>
      </c>
      <c r="L5183" s="31">
        <v>46286.628014236107</v>
      </c>
      <c r="M5183" s="20">
        <v>6</v>
      </c>
      <c r="N5183" s="1">
        <v>59</v>
      </c>
    </row>
    <row r="5184" spans="1:14" x14ac:dyDescent="0.25">
      <c r="A5184" t="str">
        <f t="shared" si="162"/>
        <v>H189811H189811</v>
      </c>
      <c r="B5184" t="str">
        <f t="shared" si="163"/>
        <v>H189811W51511Y-B</v>
      </c>
      <c r="C5184" s="1" t="s">
        <v>792</v>
      </c>
      <c r="D5184" s="1" t="s">
        <v>793</v>
      </c>
      <c r="E5184" s="1" t="s">
        <v>420</v>
      </c>
      <c r="F5184" s="1" t="s">
        <v>421</v>
      </c>
      <c r="G5184" s="1" t="s">
        <v>404</v>
      </c>
      <c r="H5184" s="1">
        <v>498</v>
      </c>
      <c r="I5184" s="3">
        <v>46286</v>
      </c>
      <c r="J5184" s="3">
        <v>46289</v>
      </c>
      <c r="K5184" s="3" t="s">
        <v>2374</v>
      </c>
      <c r="L5184" s="31">
        <v>46286.634245868052</v>
      </c>
      <c r="M5184" s="20">
        <v>6</v>
      </c>
      <c r="N5184" s="1">
        <v>60</v>
      </c>
    </row>
    <row r="5185" spans="1:14" x14ac:dyDescent="0.25">
      <c r="A5185" t="str">
        <f t="shared" si="162"/>
        <v>H189811H189811</v>
      </c>
      <c r="B5185" t="str">
        <f t="shared" si="163"/>
        <v>H189811W51511Y-B</v>
      </c>
      <c r="C5185" s="1" t="s">
        <v>792</v>
      </c>
      <c r="D5185" s="1" t="s">
        <v>793</v>
      </c>
      <c r="E5185" s="1" t="s">
        <v>420</v>
      </c>
      <c r="F5185" s="1" t="s">
        <v>421</v>
      </c>
      <c r="G5185" s="1" t="s">
        <v>404</v>
      </c>
      <c r="H5185" s="1">
        <v>498</v>
      </c>
      <c r="I5185" s="3">
        <v>46286</v>
      </c>
      <c r="J5185" s="3">
        <v>46289</v>
      </c>
      <c r="K5185" s="3" t="s">
        <v>2374</v>
      </c>
      <c r="L5185" s="31">
        <v>46286.636096793976</v>
      </c>
      <c r="M5185" s="20">
        <v>6</v>
      </c>
      <c r="N5185" s="1">
        <v>20</v>
      </c>
    </row>
    <row r="5186" spans="1:14" x14ac:dyDescent="0.25">
      <c r="A5186" t="str">
        <f t="shared" ref="A5186:A5249" si="164">+D5186&amp;D5186</f>
        <v>H189811H189811</v>
      </c>
      <c r="B5186" t="str">
        <f t="shared" ref="B5186:B5249" si="165">+D5186&amp;C5186</f>
        <v>H189811W51511Y-B</v>
      </c>
      <c r="C5186" s="1" t="s">
        <v>792</v>
      </c>
      <c r="D5186" s="1" t="s">
        <v>793</v>
      </c>
      <c r="E5186" s="1" t="s">
        <v>420</v>
      </c>
      <c r="F5186" s="1" t="s">
        <v>421</v>
      </c>
      <c r="G5186" s="1" t="s">
        <v>404</v>
      </c>
      <c r="H5186" s="1">
        <v>498</v>
      </c>
      <c r="I5186" s="3">
        <v>46286</v>
      </c>
      <c r="J5186" s="3">
        <v>46289</v>
      </c>
      <c r="K5186" s="3" t="s">
        <v>2374</v>
      </c>
      <c r="L5186" s="31">
        <v>46286.637068865741</v>
      </c>
      <c r="M5186" s="20">
        <v>6</v>
      </c>
      <c r="N5186" s="1">
        <v>32</v>
      </c>
    </row>
    <row r="5187" spans="1:14" x14ac:dyDescent="0.25">
      <c r="A5187" t="str">
        <f t="shared" si="164"/>
        <v>H189811H189811</v>
      </c>
      <c r="B5187" t="str">
        <f t="shared" si="165"/>
        <v>H189811W51511Y-B</v>
      </c>
      <c r="C5187" s="1" t="s">
        <v>792</v>
      </c>
      <c r="D5187" s="1" t="s">
        <v>793</v>
      </c>
      <c r="E5187" s="1" t="s">
        <v>420</v>
      </c>
      <c r="F5187" s="1" t="s">
        <v>421</v>
      </c>
      <c r="G5187" s="1" t="s">
        <v>404</v>
      </c>
      <c r="H5187" s="1">
        <v>498</v>
      </c>
      <c r="I5187" s="3">
        <v>46286</v>
      </c>
      <c r="J5187" s="3">
        <v>46289</v>
      </c>
      <c r="K5187" s="3" t="s">
        <v>2374</v>
      </c>
      <c r="L5187" s="31">
        <v>46286.64513449074</v>
      </c>
      <c r="M5187" s="20">
        <v>6</v>
      </c>
      <c r="N5187" s="1">
        <v>61</v>
      </c>
    </row>
    <row r="5188" spans="1:14" x14ac:dyDescent="0.25">
      <c r="A5188" t="str">
        <f t="shared" si="164"/>
        <v>H189811H189811</v>
      </c>
      <c r="B5188" t="str">
        <f t="shared" si="165"/>
        <v>H189811W51511Y-B</v>
      </c>
      <c r="C5188" s="1" t="s">
        <v>792</v>
      </c>
      <c r="D5188" s="1" t="s">
        <v>793</v>
      </c>
      <c r="E5188" s="1" t="s">
        <v>420</v>
      </c>
      <c r="F5188" s="1" t="s">
        <v>421</v>
      </c>
      <c r="G5188" s="1" t="s">
        <v>404</v>
      </c>
      <c r="H5188" s="1">
        <v>498</v>
      </c>
      <c r="I5188" s="3">
        <v>46286</v>
      </c>
      <c r="J5188" s="3">
        <v>46289</v>
      </c>
      <c r="K5188" s="3" t="s">
        <v>2374</v>
      </c>
      <c r="L5188" s="31">
        <v>46286.645350891202</v>
      </c>
      <c r="M5188" s="20">
        <v>6</v>
      </c>
      <c r="N5188" s="1">
        <v>33</v>
      </c>
    </row>
    <row r="5189" spans="1:14" x14ac:dyDescent="0.25">
      <c r="A5189" t="str">
        <f t="shared" si="164"/>
        <v>H189811H189811</v>
      </c>
      <c r="B5189" t="str">
        <f t="shared" si="165"/>
        <v>H189811W51511Y-B</v>
      </c>
      <c r="C5189" s="1" t="s">
        <v>792</v>
      </c>
      <c r="D5189" s="1" t="s">
        <v>793</v>
      </c>
      <c r="E5189" s="1" t="s">
        <v>420</v>
      </c>
      <c r="F5189" s="1" t="s">
        <v>421</v>
      </c>
      <c r="G5189" s="1" t="s">
        <v>404</v>
      </c>
      <c r="H5189" s="1">
        <v>498</v>
      </c>
      <c r="I5189" s="3">
        <v>46286</v>
      </c>
      <c r="J5189" s="3">
        <v>46289</v>
      </c>
      <c r="K5189" s="3" t="s">
        <v>2374</v>
      </c>
      <c r="L5189" s="31">
        <v>46286.645590127315</v>
      </c>
      <c r="M5189" s="20">
        <v>6</v>
      </c>
      <c r="N5189" s="1">
        <v>48</v>
      </c>
    </row>
    <row r="5190" spans="1:14" x14ac:dyDescent="0.25">
      <c r="A5190" t="str">
        <f t="shared" si="164"/>
        <v>H189811H189811</v>
      </c>
      <c r="B5190" t="str">
        <f t="shared" si="165"/>
        <v>H189811W51511Y-B</v>
      </c>
      <c r="C5190" s="1" t="s">
        <v>792</v>
      </c>
      <c r="D5190" s="1" t="s">
        <v>793</v>
      </c>
      <c r="E5190" s="1" t="s">
        <v>420</v>
      </c>
      <c r="F5190" s="1" t="s">
        <v>421</v>
      </c>
      <c r="G5190" s="1" t="s">
        <v>404</v>
      </c>
      <c r="H5190" s="1">
        <v>498</v>
      </c>
      <c r="I5190" s="3">
        <v>46286</v>
      </c>
      <c r="J5190" s="3">
        <v>46289</v>
      </c>
      <c r="K5190" s="3" t="s">
        <v>2374</v>
      </c>
      <c r="L5190" s="31">
        <v>46286.645782638887</v>
      </c>
      <c r="M5190" s="20">
        <v>6</v>
      </c>
      <c r="N5190" s="1">
        <v>62</v>
      </c>
    </row>
    <row r="5191" spans="1:14" x14ac:dyDescent="0.25">
      <c r="A5191" t="str">
        <f t="shared" si="164"/>
        <v>H189811H189811</v>
      </c>
      <c r="B5191" t="str">
        <f t="shared" si="165"/>
        <v>H189811W51511Y-B</v>
      </c>
      <c r="C5191" s="1" t="s">
        <v>792</v>
      </c>
      <c r="D5191" s="1" t="s">
        <v>793</v>
      </c>
      <c r="E5191" s="1" t="s">
        <v>420</v>
      </c>
      <c r="F5191" s="1" t="s">
        <v>421</v>
      </c>
      <c r="G5191" s="1" t="s">
        <v>404</v>
      </c>
      <c r="H5191" s="1">
        <v>498</v>
      </c>
      <c r="I5191" s="3">
        <v>46286</v>
      </c>
      <c r="J5191" s="3">
        <v>46289</v>
      </c>
      <c r="K5191" s="3" t="s">
        <v>2374</v>
      </c>
      <c r="L5191" s="31">
        <v>46286.645986840274</v>
      </c>
      <c r="M5191" s="20">
        <v>6</v>
      </c>
      <c r="N5191" s="1">
        <v>49</v>
      </c>
    </row>
    <row r="5192" spans="1:14" x14ac:dyDescent="0.25">
      <c r="A5192" t="str">
        <f t="shared" si="164"/>
        <v>H189811H189811</v>
      </c>
      <c r="B5192" t="str">
        <f t="shared" si="165"/>
        <v>H189811W51511Y-B</v>
      </c>
      <c r="C5192" s="1" t="s">
        <v>792</v>
      </c>
      <c r="D5192" s="1" t="s">
        <v>793</v>
      </c>
      <c r="E5192" s="1" t="s">
        <v>420</v>
      </c>
      <c r="F5192" s="1" t="s">
        <v>421</v>
      </c>
      <c r="G5192" s="1" t="s">
        <v>404</v>
      </c>
      <c r="H5192" s="1">
        <v>498</v>
      </c>
      <c r="I5192" s="3">
        <v>46286</v>
      </c>
      <c r="J5192" s="3">
        <v>46289</v>
      </c>
      <c r="K5192" s="3" t="s">
        <v>2374</v>
      </c>
      <c r="L5192" s="31">
        <v>46286.665547418983</v>
      </c>
      <c r="M5192" s="20">
        <v>6</v>
      </c>
      <c r="N5192" s="1">
        <v>72</v>
      </c>
    </row>
    <row r="5193" spans="1:14" x14ac:dyDescent="0.25">
      <c r="A5193" t="str">
        <f t="shared" si="164"/>
        <v>H189811H189811</v>
      </c>
      <c r="B5193" t="str">
        <f t="shared" si="165"/>
        <v>H189811W51511Y-B</v>
      </c>
      <c r="C5193" s="1" t="s">
        <v>792</v>
      </c>
      <c r="D5193" s="1" t="s">
        <v>793</v>
      </c>
      <c r="E5193" s="1" t="s">
        <v>420</v>
      </c>
      <c r="F5193" s="1" t="s">
        <v>421</v>
      </c>
      <c r="G5193" s="1" t="s">
        <v>404</v>
      </c>
      <c r="H5193" s="1">
        <v>498</v>
      </c>
      <c r="I5193" s="3">
        <v>46286</v>
      </c>
      <c r="J5193" s="3">
        <v>46289</v>
      </c>
      <c r="K5193" s="3" t="s">
        <v>2374</v>
      </c>
      <c r="L5193" s="31">
        <v>46286.665986377309</v>
      </c>
      <c r="M5193" s="20">
        <v>6</v>
      </c>
      <c r="N5193" s="1">
        <v>6</v>
      </c>
    </row>
    <row r="5194" spans="1:14" x14ac:dyDescent="0.25">
      <c r="A5194" t="str">
        <f t="shared" si="164"/>
        <v>H189811H189811</v>
      </c>
      <c r="B5194" t="str">
        <f t="shared" si="165"/>
        <v>H189811W51511Y-B</v>
      </c>
      <c r="C5194" s="1" t="s">
        <v>792</v>
      </c>
      <c r="D5194" s="1" t="s">
        <v>793</v>
      </c>
      <c r="E5194" s="1" t="s">
        <v>420</v>
      </c>
      <c r="F5194" s="1" t="s">
        <v>421</v>
      </c>
      <c r="G5194" s="1" t="s">
        <v>404</v>
      </c>
      <c r="H5194" s="1">
        <v>498</v>
      </c>
      <c r="I5194" s="3">
        <v>46286</v>
      </c>
      <c r="J5194" s="3">
        <v>46289</v>
      </c>
      <c r="K5194" s="3" t="s">
        <v>2374</v>
      </c>
      <c r="L5194" s="31">
        <v>46286.667498877316</v>
      </c>
      <c r="M5194" s="20">
        <v>6</v>
      </c>
      <c r="N5194" s="1">
        <v>34</v>
      </c>
    </row>
    <row r="5195" spans="1:14" x14ac:dyDescent="0.25">
      <c r="A5195" t="str">
        <f t="shared" si="164"/>
        <v>H189811H189811</v>
      </c>
      <c r="B5195" t="str">
        <f t="shared" si="165"/>
        <v>H189811W51511Y-B</v>
      </c>
      <c r="C5195" s="1" t="s">
        <v>792</v>
      </c>
      <c r="D5195" s="1" t="s">
        <v>793</v>
      </c>
      <c r="E5195" s="1" t="s">
        <v>420</v>
      </c>
      <c r="F5195" s="1" t="s">
        <v>421</v>
      </c>
      <c r="G5195" s="1" t="s">
        <v>404</v>
      </c>
      <c r="H5195" s="1">
        <v>498</v>
      </c>
      <c r="I5195" s="3">
        <v>46286</v>
      </c>
      <c r="J5195" s="3">
        <v>46289</v>
      </c>
      <c r="K5195" s="3" t="s">
        <v>2374</v>
      </c>
      <c r="L5195" s="31">
        <v>46286.669875891203</v>
      </c>
      <c r="M5195" s="20">
        <v>6</v>
      </c>
      <c r="N5195" s="1">
        <v>63</v>
      </c>
    </row>
    <row r="5196" spans="1:14" x14ac:dyDescent="0.25">
      <c r="A5196" t="str">
        <f t="shared" si="164"/>
        <v>H189811H189811</v>
      </c>
      <c r="B5196" t="str">
        <f t="shared" si="165"/>
        <v>H189811W51511Y-B</v>
      </c>
      <c r="C5196" s="1" t="s">
        <v>792</v>
      </c>
      <c r="D5196" s="1" t="s">
        <v>793</v>
      </c>
      <c r="E5196" s="1" t="s">
        <v>420</v>
      </c>
      <c r="F5196" s="1" t="s">
        <v>421</v>
      </c>
      <c r="G5196" s="1" t="s">
        <v>404</v>
      </c>
      <c r="H5196" s="1">
        <v>498</v>
      </c>
      <c r="I5196" s="3">
        <v>46286</v>
      </c>
      <c r="J5196" s="3">
        <v>46289</v>
      </c>
      <c r="K5196" s="3" t="s">
        <v>2374</v>
      </c>
      <c r="L5196" s="31">
        <v>46286.670272337964</v>
      </c>
      <c r="M5196" s="20">
        <v>6</v>
      </c>
      <c r="N5196" s="1">
        <v>21</v>
      </c>
    </row>
    <row r="5197" spans="1:14" x14ac:dyDescent="0.25">
      <c r="A5197" t="str">
        <f t="shared" si="164"/>
        <v>H189811H189811</v>
      </c>
      <c r="B5197" t="str">
        <f t="shared" si="165"/>
        <v>H189811W51511Y-B</v>
      </c>
      <c r="C5197" s="1" t="s">
        <v>792</v>
      </c>
      <c r="D5197" s="1" t="s">
        <v>793</v>
      </c>
      <c r="E5197" s="1" t="s">
        <v>420</v>
      </c>
      <c r="F5197" s="1" t="s">
        <v>421</v>
      </c>
      <c r="G5197" s="1" t="s">
        <v>404</v>
      </c>
      <c r="H5197" s="1">
        <v>498</v>
      </c>
      <c r="I5197" s="3">
        <v>46286</v>
      </c>
      <c r="J5197" s="3">
        <v>46289</v>
      </c>
      <c r="K5197" s="3" t="s">
        <v>2374</v>
      </c>
      <c r="L5197" s="31">
        <v>46286.671118321756</v>
      </c>
      <c r="M5197" s="20">
        <v>6</v>
      </c>
      <c r="N5197" s="1">
        <v>50</v>
      </c>
    </row>
    <row r="5198" spans="1:14" x14ac:dyDescent="0.25">
      <c r="A5198" t="str">
        <f t="shared" si="164"/>
        <v>H189811H189811</v>
      </c>
      <c r="B5198" t="str">
        <f t="shared" si="165"/>
        <v>H189811W51511Y-B</v>
      </c>
      <c r="C5198" s="1" t="s">
        <v>792</v>
      </c>
      <c r="D5198" s="1" t="s">
        <v>793</v>
      </c>
      <c r="E5198" s="1" t="s">
        <v>420</v>
      </c>
      <c r="F5198" s="1" t="s">
        <v>421</v>
      </c>
      <c r="G5198" s="1" t="s">
        <v>404</v>
      </c>
      <c r="H5198" s="1">
        <v>498</v>
      </c>
      <c r="I5198" s="3">
        <v>46286</v>
      </c>
      <c r="J5198" s="3">
        <v>46289</v>
      </c>
      <c r="K5198" s="3" t="s">
        <v>2374</v>
      </c>
      <c r="L5198" s="31">
        <v>46286.676087581014</v>
      </c>
      <c r="M5198" s="20">
        <v>6</v>
      </c>
      <c r="N5198" s="1">
        <v>81</v>
      </c>
    </row>
    <row r="5199" spans="1:14" x14ac:dyDescent="0.25">
      <c r="A5199" t="str">
        <f t="shared" si="164"/>
        <v>H189811H189811</v>
      </c>
      <c r="B5199" t="str">
        <f t="shared" si="165"/>
        <v>H189811W51511Y-B</v>
      </c>
      <c r="C5199" s="1" t="s">
        <v>792</v>
      </c>
      <c r="D5199" s="1" t="s">
        <v>793</v>
      </c>
      <c r="E5199" s="1" t="s">
        <v>420</v>
      </c>
      <c r="F5199" s="1" t="s">
        <v>421</v>
      </c>
      <c r="G5199" s="1" t="s">
        <v>404</v>
      </c>
      <c r="H5199" s="1">
        <v>498</v>
      </c>
      <c r="I5199" s="3">
        <v>46286</v>
      </c>
      <c r="J5199" s="3">
        <v>46289</v>
      </c>
      <c r="K5199" s="3" t="s">
        <v>2374</v>
      </c>
      <c r="L5199" s="31">
        <v>46286.676540162036</v>
      </c>
      <c r="M5199" s="20">
        <v>6</v>
      </c>
      <c r="N5199" s="1">
        <v>35</v>
      </c>
    </row>
    <row r="5200" spans="1:14" x14ac:dyDescent="0.25">
      <c r="A5200" t="str">
        <f t="shared" si="164"/>
        <v>U148142U148142</v>
      </c>
      <c r="B5200" t="str">
        <f t="shared" si="165"/>
        <v>U148142PC9060EP-M</v>
      </c>
      <c r="C5200" s="1" t="s">
        <v>0</v>
      </c>
      <c r="D5200" s="1" t="s">
        <v>803</v>
      </c>
      <c r="E5200" s="1" t="s">
        <v>436</v>
      </c>
      <c r="F5200" s="1" t="s">
        <v>449</v>
      </c>
      <c r="G5200" s="1" t="s">
        <v>438</v>
      </c>
      <c r="H5200" s="1">
        <v>804</v>
      </c>
      <c r="I5200" s="3">
        <v>46286</v>
      </c>
      <c r="J5200" s="3">
        <v>46289</v>
      </c>
      <c r="L5200" s="31">
        <v>46286.453354745368</v>
      </c>
      <c r="M5200" s="20">
        <v>12</v>
      </c>
      <c r="N5200" s="1">
        <v>59</v>
      </c>
    </row>
    <row r="5201" spans="1:14" x14ac:dyDescent="0.25">
      <c r="A5201" t="str">
        <f t="shared" si="164"/>
        <v>U148142U148142</v>
      </c>
      <c r="B5201" t="str">
        <f t="shared" si="165"/>
        <v>U148142PC9060EP-M</v>
      </c>
      <c r="C5201" s="1" t="s">
        <v>0</v>
      </c>
      <c r="D5201" s="1" t="s">
        <v>803</v>
      </c>
      <c r="E5201" s="1" t="s">
        <v>436</v>
      </c>
      <c r="F5201" s="1" t="s">
        <v>449</v>
      </c>
      <c r="G5201" s="1" t="s">
        <v>438</v>
      </c>
      <c r="H5201" s="1">
        <v>804</v>
      </c>
      <c r="I5201" s="3">
        <v>46286</v>
      </c>
      <c r="J5201" s="3">
        <v>46289</v>
      </c>
      <c r="L5201" s="31">
        <v>46286.466279085646</v>
      </c>
      <c r="M5201" s="20">
        <v>12</v>
      </c>
      <c r="N5201" s="1">
        <v>60</v>
      </c>
    </row>
    <row r="5202" spans="1:14" x14ac:dyDescent="0.25">
      <c r="A5202" t="str">
        <f t="shared" si="164"/>
        <v>U148142U148142</v>
      </c>
      <c r="B5202" t="str">
        <f t="shared" si="165"/>
        <v>U148142PC9060EP-M</v>
      </c>
      <c r="C5202" s="1" t="s">
        <v>0</v>
      </c>
      <c r="D5202" s="1" t="s">
        <v>803</v>
      </c>
      <c r="E5202" s="1" t="s">
        <v>436</v>
      </c>
      <c r="F5202" s="1" t="s">
        <v>449</v>
      </c>
      <c r="G5202" s="1" t="s">
        <v>438</v>
      </c>
      <c r="H5202" s="1">
        <v>804</v>
      </c>
      <c r="I5202" s="3">
        <v>46286</v>
      </c>
      <c r="J5202" s="3">
        <v>46289</v>
      </c>
      <c r="L5202" s="31">
        <v>46286.467423414353</v>
      </c>
      <c r="M5202" s="20">
        <v>12</v>
      </c>
      <c r="N5202" s="1">
        <v>16</v>
      </c>
    </row>
    <row r="5203" spans="1:14" x14ac:dyDescent="0.25">
      <c r="A5203" t="str">
        <f t="shared" si="164"/>
        <v>U148142U148142</v>
      </c>
      <c r="B5203" t="str">
        <f t="shared" si="165"/>
        <v>U148142PC9060EP-M</v>
      </c>
      <c r="C5203" s="1" t="s">
        <v>0</v>
      </c>
      <c r="D5203" s="1" t="s">
        <v>803</v>
      </c>
      <c r="E5203" s="1" t="s">
        <v>436</v>
      </c>
      <c r="F5203" s="1" t="s">
        <v>449</v>
      </c>
      <c r="G5203" s="1" t="s">
        <v>438</v>
      </c>
      <c r="H5203" s="1">
        <v>804</v>
      </c>
      <c r="I5203" s="3">
        <v>46286</v>
      </c>
      <c r="J5203" s="3">
        <v>46289</v>
      </c>
      <c r="L5203" s="31">
        <v>46286.540274537037</v>
      </c>
      <c r="M5203" s="20">
        <v>12</v>
      </c>
      <c r="N5203" s="1">
        <v>61</v>
      </c>
    </row>
    <row r="5204" spans="1:14" x14ac:dyDescent="0.25">
      <c r="A5204" t="str">
        <f t="shared" si="164"/>
        <v>U148142U148142</v>
      </c>
      <c r="B5204" t="str">
        <f t="shared" si="165"/>
        <v>U148142PC9060EP-M</v>
      </c>
      <c r="C5204" s="1" t="s">
        <v>0</v>
      </c>
      <c r="D5204" s="1" t="s">
        <v>803</v>
      </c>
      <c r="E5204" s="1" t="s">
        <v>436</v>
      </c>
      <c r="F5204" s="1" t="s">
        <v>449</v>
      </c>
      <c r="G5204" s="1" t="s">
        <v>438</v>
      </c>
      <c r="H5204" s="1">
        <v>804</v>
      </c>
      <c r="I5204" s="3">
        <v>46286</v>
      </c>
      <c r="J5204" s="3">
        <v>46289</v>
      </c>
      <c r="L5204" s="31">
        <v>46286.548193287032</v>
      </c>
      <c r="M5204" s="20">
        <v>12</v>
      </c>
      <c r="N5204" s="1">
        <v>58</v>
      </c>
    </row>
    <row r="5205" spans="1:14" x14ac:dyDescent="0.25">
      <c r="A5205" t="str">
        <f t="shared" si="164"/>
        <v>U148142U148142</v>
      </c>
      <c r="B5205" t="str">
        <f t="shared" si="165"/>
        <v>U148142PC9060EP-M</v>
      </c>
      <c r="C5205" s="1" t="s">
        <v>0</v>
      </c>
      <c r="D5205" s="1" t="s">
        <v>803</v>
      </c>
      <c r="E5205" s="1" t="s">
        <v>436</v>
      </c>
      <c r="F5205" s="1" t="s">
        <v>449</v>
      </c>
      <c r="G5205" s="1" t="s">
        <v>438</v>
      </c>
      <c r="H5205" s="1">
        <v>804</v>
      </c>
      <c r="I5205" s="3">
        <v>46286</v>
      </c>
      <c r="J5205" s="3">
        <v>46289</v>
      </c>
      <c r="L5205" s="31">
        <v>46286.553447534723</v>
      </c>
      <c r="M5205" s="20">
        <v>12</v>
      </c>
      <c r="N5205" s="1">
        <v>37</v>
      </c>
    </row>
    <row r="5206" spans="1:14" x14ac:dyDescent="0.25">
      <c r="A5206" t="str">
        <f t="shared" si="164"/>
        <v>U148142U148142</v>
      </c>
      <c r="B5206" t="str">
        <f t="shared" si="165"/>
        <v>U148142PC9060EP-M</v>
      </c>
      <c r="C5206" s="1" t="s">
        <v>0</v>
      </c>
      <c r="D5206" s="1" t="s">
        <v>803</v>
      </c>
      <c r="E5206" s="1" t="s">
        <v>436</v>
      </c>
      <c r="F5206" s="1" t="s">
        <v>449</v>
      </c>
      <c r="G5206" s="1" t="s">
        <v>438</v>
      </c>
      <c r="H5206" s="1">
        <v>804</v>
      </c>
      <c r="I5206" s="3">
        <v>46286</v>
      </c>
      <c r="J5206" s="3">
        <v>46289</v>
      </c>
      <c r="L5206" s="31">
        <v>46286.555791898143</v>
      </c>
      <c r="M5206" s="20">
        <v>12</v>
      </c>
      <c r="N5206" s="1">
        <v>43</v>
      </c>
    </row>
    <row r="5207" spans="1:14" x14ac:dyDescent="0.25">
      <c r="A5207" t="str">
        <f t="shared" si="164"/>
        <v>U148142U148142</v>
      </c>
      <c r="B5207" t="str">
        <f t="shared" si="165"/>
        <v>U148142PC9060EP-M</v>
      </c>
      <c r="C5207" s="1" t="s">
        <v>0</v>
      </c>
      <c r="D5207" s="1" t="s">
        <v>803</v>
      </c>
      <c r="E5207" s="1" t="s">
        <v>436</v>
      </c>
      <c r="F5207" s="1" t="s">
        <v>449</v>
      </c>
      <c r="G5207" s="1" t="s">
        <v>438</v>
      </c>
      <c r="H5207" s="1">
        <v>804</v>
      </c>
      <c r="I5207" s="3">
        <v>46286</v>
      </c>
      <c r="J5207" s="3">
        <v>46289</v>
      </c>
      <c r="L5207" s="31">
        <v>46286.557594444443</v>
      </c>
      <c r="M5207" s="20">
        <v>12</v>
      </c>
      <c r="N5207" s="1">
        <v>54</v>
      </c>
    </row>
    <row r="5208" spans="1:14" x14ac:dyDescent="0.25">
      <c r="A5208" t="str">
        <f t="shared" si="164"/>
        <v>U148142U148142</v>
      </c>
      <c r="B5208" t="str">
        <f t="shared" si="165"/>
        <v>U148142PC9060EP-M</v>
      </c>
      <c r="C5208" s="1" t="s">
        <v>0</v>
      </c>
      <c r="D5208" s="1" t="s">
        <v>803</v>
      </c>
      <c r="E5208" s="1" t="s">
        <v>436</v>
      </c>
      <c r="F5208" s="1" t="s">
        <v>449</v>
      </c>
      <c r="G5208" s="1" t="s">
        <v>438</v>
      </c>
      <c r="H5208" s="1">
        <v>804</v>
      </c>
      <c r="I5208" s="3">
        <v>46286</v>
      </c>
      <c r="J5208" s="3">
        <v>46289</v>
      </c>
      <c r="L5208" s="31">
        <v>46286.562472881946</v>
      </c>
      <c r="M5208" s="20">
        <v>12</v>
      </c>
      <c r="N5208" s="1">
        <v>49</v>
      </c>
    </row>
    <row r="5209" spans="1:14" x14ac:dyDescent="0.25">
      <c r="A5209" t="str">
        <f t="shared" si="164"/>
        <v>U148142U148142</v>
      </c>
      <c r="B5209" t="str">
        <f t="shared" si="165"/>
        <v>U148142PC9060EP-M</v>
      </c>
      <c r="C5209" s="1" t="s">
        <v>0</v>
      </c>
      <c r="D5209" s="1" t="s">
        <v>803</v>
      </c>
      <c r="E5209" s="1" t="s">
        <v>436</v>
      </c>
      <c r="F5209" s="1" t="s">
        <v>449</v>
      </c>
      <c r="G5209" s="1" t="s">
        <v>438</v>
      </c>
      <c r="H5209" s="1">
        <v>804</v>
      </c>
      <c r="I5209" s="3">
        <v>46286</v>
      </c>
      <c r="J5209" s="3">
        <v>46289</v>
      </c>
      <c r="L5209" s="31">
        <v>46286.563170752313</v>
      </c>
      <c r="M5209" s="20">
        <v>12</v>
      </c>
      <c r="N5209" s="1">
        <v>48</v>
      </c>
    </row>
    <row r="5210" spans="1:14" x14ac:dyDescent="0.25">
      <c r="A5210" t="str">
        <f t="shared" si="164"/>
        <v>U148142U148142</v>
      </c>
      <c r="B5210" t="str">
        <f t="shared" si="165"/>
        <v>U148142PC9060EP-M</v>
      </c>
      <c r="C5210" s="1" t="s">
        <v>0</v>
      </c>
      <c r="D5210" s="1" t="s">
        <v>803</v>
      </c>
      <c r="E5210" s="1" t="s">
        <v>436</v>
      </c>
      <c r="F5210" s="1" t="s">
        <v>449</v>
      </c>
      <c r="G5210" s="1" t="s">
        <v>438</v>
      </c>
      <c r="H5210" s="1">
        <v>804</v>
      </c>
      <c r="I5210" s="3">
        <v>46286</v>
      </c>
      <c r="J5210" s="3">
        <v>46289</v>
      </c>
      <c r="L5210" s="31">
        <v>46286.564801076383</v>
      </c>
      <c r="M5210" s="20">
        <v>12</v>
      </c>
      <c r="N5210" s="1">
        <v>44</v>
      </c>
    </row>
    <row r="5211" spans="1:14" x14ac:dyDescent="0.25">
      <c r="A5211" t="str">
        <f t="shared" si="164"/>
        <v>U148142U148142</v>
      </c>
      <c r="B5211" t="str">
        <f t="shared" si="165"/>
        <v>U148142PC9060EP-M</v>
      </c>
      <c r="C5211" s="1" t="s">
        <v>0</v>
      </c>
      <c r="D5211" s="1" t="s">
        <v>803</v>
      </c>
      <c r="E5211" s="1" t="s">
        <v>436</v>
      </c>
      <c r="F5211" s="1" t="s">
        <v>449</v>
      </c>
      <c r="G5211" s="1" t="s">
        <v>438</v>
      </c>
      <c r="H5211" s="1">
        <v>804</v>
      </c>
      <c r="I5211" s="3">
        <v>46286</v>
      </c>
      <c r="J5211" s="3">
        <v>46289</v>
      </c>
      <c r="L5211" s="31">
        <v>46286.566301932871</v>
      </c>
      <c r="M5211" s="20">
        <v>12</v>
      </c>
      <c r="N5211" s="1">
        <v>63</v>
      </c>
    </row>
    <row r="5212" spans="1:14" x14ac:dyDescent="0.25">
      <c r="A5212" t="str">
        <f t="shared" si="164"/>
        <v>U148142U148142</v>
      </c>
      <c r="B5212" t="str">
        <f t="shared" si="165"/>
        <v>U148142PC9060EP-M</v>
      </c>
      <c r="C5212" s="1" t="s">
        <v>0</v>
      </c>
      <c r="D5212" s="1" t="s">
        <v>803</v>
      </c>
      <c r="E5212" s="1" t="s">
        <v>436</v>
      </c>
      <c r="F5212" s="1" t="s">
        <v>449</v>
      </c>
      <c r="G5212" s="1" t="s">
        <v>438</v>
      </c>
      <c r="H5212" s="1">
        <v>804</v>
      </c>
      <c r="I5212" s="3">
        <v>46286</v>
      </c>
      <c r="J5212" s="3">
        <v>46289</v>
      </c>
      <c r="L5212" s="31">
        <v>46286.570031678239</v>
      </c>
      <c r="M5212" s="20">
        <v>12</v>
      </c>
      <c r="N5212" s="1">
        <v>45</v>
      </c>
    </row>
    <row r="5213" spans="1:14" x14ac:dyDescent="0.25">
      <c r="A5213" t="str">
        <f t="shared" si="164"/>
        <v>U148142U148142</v>
      </c>
      <c r="B5213" t="str">
        <f t="shared" si="165"/>
        <v>U148142PC9060EP-M</v>
      </c>
      <c r="C5213" s="1" t="s">
        <v>0</v>
      </c>
      <c r="D5213" s="1" t="s">
        <v>803</v>
      </c>
      <c r="E5213" s="1" t="s">
        <v>436</v>
      </c>
      <c r="F5213" s="1" t="s">
        <v>449</v>
      </c>
      <c r="G5213" s="1" t="s">
        <v>438</v>
      </c>
      <c r="H5213" s="1">
        <v>804</v>
      </c>
      <c r="I5213" s="3">
        <v>46286</v>
      </c>
      <c r="J5213" s="3">
        <v>46289</v>
      </c>
      <c r="L5213" s="31">
        <v>46286.570682442129</v>
      </c>
      <c r="M5213" s="20">
        <v>12</v>
      </c>
      <c r="N5213" s="1">
        <v>38</v>
      </c>
    </row>
    <row r="5214" spans="1:14" x14ac:dyDescent="0.25">
      <c r="A5214" t="str">
        <f t="shared" si="164"/>
        <v>U148142U148142</v>
      </c>
      <c r="B5214" t="str">
        <f t="shared" si="165"/>
        <v>U148142PC9060EP-M</v>
      </c>
      <c r="C5214" s="1" t="s">
        <v>0</v>
      </c>
      <c r="D5214" s="1" t="s">
        <v>803</v>
      </c>
      <c r="E5214" s="1" t="s">
        <v>436</v>
      </c>
      <c r="F5214" s="1" t="s">
        <v>449</v>
      </c>
      <c r="G5214" s="1" t="s">
        <v>438</v>
      </c>
      <c r="H5214" s="1">
        <v>804</v>
      </c>
      <c r="I5214" s="3">
        <v>46286</v>
      </c>
      <c r="J5214" s="3">
        <v>46289</v>
      </c>
      <c r="L5214" s="31">
        <v>46286.571268784719</v>
      </c>
      <c r="M5214" s="20">
        <v>12</v>
      </c>
      <c r="N5214" s="1">
        <v>55</v>
      </c>
    </row>
    <row r="5215" spans="1:14" x14ac:dyDescent="0.25">
      <c r="A5215" t="str">
        <f t="shared" si="164"/>
        <v>U148142U148142</v>
      </c>
      <c r="B5215" t="str">
        <f t="shared" si="165"/>
        <v>U148142PC9060EP-M</v>
      </c>
      <c r="C5215" s="1" t="s">
        <v>0</v>
      </c>
      <c r="D5215" s="1" t="s">
        <v>803</v>
      </c>
      <c r="E5215" s="1" t="s">
        <v>436</v>
      </c>
      <c r="F5215" s="1" t="s">
        <v>449</v>
      </c>
      <c r="G5215" s="1" t="s">
        <v>438</v>
      </c>
      <c r="H5215" s="1">
        <v>804</v>
      </c>
      <c r="I5215" s="3">
        <v>46286</v>
      </c>
      <c r="J5215" s="3">
        <v>46289</v>
      </c>
      <c r="L5215" s="31">
        <v>46286.571544444443</v>
      </c>
      <c r="M5215" s="20">
        <v>12</v>
      </c>
      <c r="N5215" s="1">
        <v>50</v>
      </c>
    </row>
    <row r="5216" spans="1:14" x14ac:dyDescent="0.25">
      <c r="A5216" t="str">
        <f t="shared" si="164"/>
        <v>U148142U148142</v>
      </c>
      <c r="B5216" t="str">
        <f t="shared" si="165"/>
        <v>U148142PC9060EP-M</v>
      </c>
      <c r="C5216" s="1" t="s">
        <v>0</v>
      </c>
      <c r="D5216" s="1" t="s">
        <v>803</v>
      </c>
      <c r="E5216" s="1" t="s">
        <v>436</v>
      </c>
      <c r="F5216" s="1" t="s">
        <v>449</v>
      </c>
      <c r="G5216" s="1" t="s">
        <v>438</v>
      </c>
      <c r="H5216" s="1">
        <v>804</v>
      </c>
      <c r="I5216" s="3">
        <v>46286</v>
      </c>
      <c r="J5216" s="3">
        <v>46289</v>
      </c>
      <c r="L5216" s="31">
        <v>46286.578850810183</v>
      </c>
      <c r="M5216" s="20">
        <v>12</v>
      </c>
      <c r="N5216" s="1">
        <v>56</v>
      </c>
    </row>
    <row r="5217" spans="1:14" x14ac:dyDescent="0.25">
      <c r="A5217" t="str">
        <f t="shared" si="164"/>
        <v>U148142U148142</v>
      </c>
      <c r="B5217" t="str">
        <f t="shared" si="165"/>
        <v>U148142PC9060EP-M</v>
      </c>
      <c r="C5217" s="1" t="s">
        <v>0</v>
      </c>
      <c r="D5217" s="1" t="s">
        <v>803</v>
      </c>
      <c r="E5217" s="1" t="s">
        <v>436</v>
      </c>
      <c r="F5217" s="1" t="s">
        <v>449</v>
      </c>
      <c r="G5217" s="1" t="s">
        <v>438</v>
      </c>
      <c r="H5217" s="1">
        <v>804</v>
      </c>
      <c r="I5217" s="3">
        <v>46286</v>
      </c>
      <c r="J5217" s="3">
        <v>46289</v>
      </c>
      <c r="L5217" s="31">
        <v>46286.582767905093</v>
      </c>
      <c r="M5217" s="20">
        <v>12</v>
      </c>
      <c r="N5217" s="1">
        <v>17</v>
      </c>
    </row>
    <row r="5218" spans="1:14" x14ac:dyDescent="0.25">
      <c r="A5218" t="str">
        <f t="shared" si="164"/>
        <v>U148142U148142</v>
      </c>
      <c r="B5218" t="str">
        <f t="shared" si="165"/>
        <v>U148142PC9060EP-M</v>
      </c>
      <c r="C5218" s="1" t="s">
        <v>0</v>
      </c>
      <c r="D5218" s="1" t="s">
        <v>803</v>
      </c>
      <c r="E5218" s="1" t="s">
        <v>436</v>
      </c>
      <c r="F5218" s="1" t="s">
        <v>449</v>
      </c>
      <c r="G5218" s="1" t="s">
        <v>438</v>
      </c>
      <c r="H5218" s="1">
        <v>804</v>
      </c>
      <c r="I5218" s="3">
        <v>46286</v>
      </c>
      <c r="J5218" s="3">
        <v>46289</v>
      </c>
      <c r="L5218" s="31">
        <v>46286.584960266198</v>
      </c>
      <c r="M5218" s="20">
        <v>12</v>
      </c>
      <c r="N5218" s="1">
        <v>51</v>
      </c>
    </row>
    <row r="5219" spans="1:14" x14ac:dyDescent="0.25">
      <c r="A5219" t="str">
        <f t="shared" si="164"/>
        <v>U148142U148142</v>
      </c>
      <c r="B5219" t="str">
        <f t="shared" si="165"/>
        <v>U148142PC9060EP-M</v>
      </c>
      <c r="C5219" s="1" t="s">
        <v>0</v>
      </c>
      <c r="D5219" s="1" t="s">
        <v>803</v>
      </c>
      <c r="E5219" s="1" t="s">
        <v>436</v>
      </c>
      <c r="F5219" s="1" t="s">
        <v>449</v>
      </c>
      <c r="G5219" s="1" t="s">
        <v>438</v>
      </c>
      <c r="H5219" s="1">
        <v>804</v>
      </c>
      <c r="I5219" s="3">
        <v>46286</v>
      </c>
      <c r="J5219" s="3">
        <v>46289</v>
      </c>
      <c r="L5219" s="31">
        <v>46286.589119212964</v>
      </c>
      <c r="M5219" s="20">
        <v>12</v>
      </c>
      <c r="N5219" s="1">
        <v>42</v>
      </c>
    </row>
    <row r="5220" spans="1:14" x14ac:dyDescent="0.25">
      <c r="A5220" t="str">
        <f t="shared" si="164"/>
        <v>U148142U148142</v>
      </c>
      <c r="B5220" t="str">
        <f t="shared" si="165"/>
        <v>U148142PC9060EP-M</v>
      </c>
      <c r="C5220" s="1" t="s">
        <v>0</v>
      </c>
      <c r="D5220" s="1" t="s">
        <v>803</v>
      </c>
      <c r="E5220" s="1" t="s">
        <v>436</v>
      </c>
      <c r="F5220" s="1" t="s">
        <v>449</v>
      </c>
      <c r="G5220" s="1" t="s">
        <v>438</v>
      </c>
      <c r="H5220" s="1">
        <v>804</v>
      </c>
      <c r="I5220" s="3">
        <v>46286</v>
      </c>
      <c r="J5220" s="3">
        <v>46289</v>
      </c>
      <c r="L5220" s="31">
        <v>46286.590132604164</v>
      </c>
      <c r="M5220" s="20">
        <v>12</v>
      </c>
      <c r="N5220" s="1">
        <v>25</v>
      </c>
    </row>
    <row r="5221" spans="1:14" x14ac:dyDescent="0.25">
      <c r="A5221" t="str">
        <f t="shared" si="164"/>
        <v>U148142U148142</v>
      </c>
      <c r="B5221" t="str">
        <f t="shared" si="165"/>
        <v>U148142PC9060EP-M</v>
      </c>
      <c r="C5221" s="1" t="s">
        <v>0</v>
      </c>
      <c r="D5221" s="1" t="s">
        <v>803</v>
      </c>
      <c r="E5221" s="1" t="s">
        <v>436</v>
      </c>
      <c r="F5221" s="1" t="s">
        <v>449</v>
      </c>
      <c r="G5221" s="1" t="s">
        <v>438</v>
      </c>
      <c r="H5221" s="1">
        <v>804</v>
      </c>
      <c r="I5221" s="3">
        <v>46286</v>
      </c>
      <c r="J5221" s="3">
        <v>46289</v>
      </c>
      <c r="L5221" s="31">
        <v>46286.602031712959</v>
      </c>
      <c r="M5221" s="20">
        <v>12</v>
      </c>
      <c r="N5221" s="1">
        <v>21</v>
      </c>
    </row>
    <row r="5222" spans="1:14" x14ac:dyDescent="0.25">
      <c r="A5222" t="str">
        <f t="shared" si="164"/>
        <v>U148142U148142</v>
      </c>
      <c r="B5222" t="str">
        <f t="shared" si="165"/>
        <v>U148142PC9060EP-M</v>
      </c>
      <c r="C5222" s="1" t="s">
        <v>0</v>
      </c>
      <c r="D5222" s="1" t="s">
        <v>803</v>
      </c>
      <c r="E5222" s="1" t="s">
        <v>436</v>
      </c>
      <c r="F5222" s="1" t="s">
        <v>449</v>
      </c>
      <c r="G5222" s="1" t="s">
        <v>438</v>
      </c>
      <c r="H5222" s="1">
        <v>804</v>
      </c>
      <c r="I5222" s="3">
        <v>46286</v>
      </c>
      <c r="J5222" s="3">
        <v>46289</v>
      </c>
      <c r="L5222" s="31">
        <v>46286.604912997682</v>
      </c>
      <c r="M5222" s="20">
        <v>12</v>
      </c>
      <c r="N5222" s="1">
        <v>57</v>
      </c>
    </row>
    <row r="5223" spans="1:14" x14ac:dyDescent="0.25">
      <c r="A5223" t="str">
        <f t="shared" si="164"/>
        <v>U148142U148142</v>
      </c>
      <c r="B5223" t="str">
        <f t="shared" si="165"/>
        <v>U148142PC9060EP-M</v>
      </c>
      <c r="C5223" s="1" t="s">
        <v>0</v>
      </c>
      <c r="D5223" s="1" t="s">
        <v>803</v>
      </c>
      <c r="E5223" s="1" t="s">
        <v>436</v>
      </c>
      <c r="F5223" s="1" t="s">
        <v>449</v>
      </c>
      <c r="G5223" s="1" t="s">
        <v>438</v>
      </c>
      <c r="H5223" s="1">
        <v>804</v>
      </c>
      <c r="I5223" s="3">
        <v>46286</v>
      </c>
      <c r="J5223" s="3">
        <v>46289</v>
      </c>
      <c r="L5223" s="31">
        <v>46286.611963738425</v>
      </c>
      <c r="M5223" s="20">
        <v>12</v>
      </c>
      <c r="N5223" s="1">
        <v>27</v>
      </c>
    </row>
    <row r="5224" spans="1:14" x14ac:dyDescent="0.25">
      <c r="A5224" t="str">
        <f t="shared" si="164"/>
        <v>U148142U148142</v>
      </c>
      <c r="B5224" t="str">
        <f t="shared" si="165"/>
        <v>U148142PC9060EP-M</v>
      </c>
      <c r="C5224" s="1" t="s">
        <v>0</v>
      </c>
      <c r="D5224" s="1" t="s">
        <v>803</v>
      </c>
      <c r="E5224" s="1" t="s">
        <v>436</v>
      </c>
      <c r="F5224" s="1" t="s">
        <v>449</v>
      </c>
      <c r="G5224" s="1" t="s">
        <v>438</v>
      </c>
      <c r="H5224" s="1">
        <v>804</v>
      </c>
      <c r="I5224" s="3">
        <v>46286</v>
      </c>
      <c r="J5224" s="3">
        <v>46289</v>
      </c>
      <c r="L5224" s="31">
        <v>46286.614215891204</v>
      </c>
      <c r="M5224" s="20">
        <v>12</v>
      </c>
      <c r="N5224" s="1">
        <v>18</v>
      </c>
    </row>
    <row r="5225" spans="1:14" x14ac:dyDescent="0.25">
      <c r="A5225" t="str">
        <f t="shared" si="164"/>
        <v>U148142U148142</v>
      </c>
      <c r="B5225" t="str">
        <f t="shared" si="165"/>
        <v>U148142PC9060EP-M</v>
      </c>
      <c r="C5225" s="1" t="s">
        <v>0</v>
      </c>
      <c r="D5225" s="1" t="s">
        <v>803</v>
      </c>
      <c r="E5225" s="1" t="s">
        <v>436</v>
      </c>
      <c r="F5225" s="1" t="s">
        <v>449</v>
      </c>
      <c r="G5225" s="1" t="s">
        <v>438</v>
      </c>
      <c r="H5225" s="1">
        <v>804</v>
      </c>
      <c r="I5225" s="3">
        <v>46286</v>
      </c>
      <c r="J5225" s="3">
        <v>46289</v>
      </c>
      <c r="L5225" s="31">
        <v>46286.617112233791</v>
      </c>
      <c r="M5225" s="20">
        <v>12</v>
      </c>
      <c r="N5225" s="1">
        <v>62</v>
      </c>
    </row>
    <row r="5226" spans="1:14" x14ac:dyDescent="0.25">
      <c r="A5226" t="str">
        <f t="shared" si="164"/>
        <v>U148142U148142</v>
      </c>
      <c r="B5226" t="str">
        <f t="shared" si="165"/>
        <v>U148142PC9060EP-M</v>
      </c>
      <c r="C5226" s="1" t="s">
        <v>0</v>
      </c>
      <c r="D5226" s="1" t="s">
        <v>803</v>
      </c>
      <c r="E5226" s="1" t="s">
        <v>436</v>
      </c>
      <c r="F5226" s="1" t="s">
        <v>449</v>
      </c>
      <c r="G5226" s="1" t="s">
        <v>438</v>
      </c>
      <c r="H5226" s="1">
        <v>804</v>
      </c>
      <c r="I5226" s="3">
        <v>46286</v>
      </c>
      <c r="J5226" s="3">
        <v>46289</v>
      </c>
      <c r="L5226" s="31">
        <v>46286.618502928242</v>
      </c>
      <c r="M5226" s="20">
        <v>12</v>
      </c>
      <c r="N5226" s="1">
        <v>29</v>
      </c>
    </row>
    <row r="5227" spans="1:14" x14ac:dyDescent="0.25">
      <c r="A5227" t="str">
        <f t="shared" si="164"/>
        <v>U148142U148142</v>
      </c>
      <c r="B5227" t="str">
        <f t="shared" si="165"/>
        <v>U148142PC9060EP-M</v>
      </c>
      <c r="C5227" s="1" t="s">
        <v>0</v>
      </c>
      <c r="D5227" s="1" t="s">
        <v>803</v>
      </c>
      <c r="E5227" s="1" t="s">
        <v>436</v>
      </c>
      <c r="F5227" s="1" t="s">
        <v>449</v>
      </c>
      <c r="G5227" s="1" t="s">
        <v>438</v>
      </c>
      <c r="H5227" s="1">
        <v>804</v>
      </c>
      <c r="I5227" s="3">
        <v>46286</v>
      </c>
      <c r="J5227" s="3">
        <v>46289</v>
      </c>
      <c r="L5227" s="31">
        <v>46286.622295567126</v>
      </c>
      <c r="M5227" s="20">
        <v>12</v>
      </c>
      <c r="N5227" s="1">
        <v>30</v>
      </c>
    </row>
    <row r="5228" spans="1:14" x14ac:dyDescent="0.25">
      <c r="A5228" t="str">
        <f t="shared" si="164"/>
        <v>U148142U148142</v>
      </c>
      <c r="B5228" t="str">
        <f t="shared" si="165"/>
        <v>U148142PC9060EP-M</v>
      </c>
      <c r="C5228" s="1" t="s">
        <v>0</v>
      </c>
      <c r="D5228" s="1" t="s">
        <v>803</v>
      </c>
      <c r="E5228" s="1" t="s">
        <v>436</v>
      </c>
      <c r="F5228" s="1" t="s">
        <v>449</v>
      </c>
      <c r="G5228" s="1" t="s">
        <v>438</v>
      </c>
      <c r="H5228" s="1">
        <v>804</v>
      </c>
      <c r="I5228" s="3">
        <v>46286</v>
      </c>
      <c r="J5228" s="3">
        <v>46289</v>
      </c>
      <c r="L5228" s="31">
        <v>46286.62553946759</v>
      </c>
      <c r="M5228" s="20">
        <v>12</v>
      </c>
      <c r="N5228" s="1">
        <v>19</v>
      </c>
    </row>
    <row r="5229" spans="1:14" x14ac:dyDescent="0.25">
      <c r="A5229" t="str">
        <f t="shared" si="164"/>
        <v>U148142U148142</v>
      </c>
      <c r="B5229" t="str">
        <f t="shared" si="165"/>
        <v>U148142PC9060EP-M</v>
      </c>
      <c r="C5229" s="1" t="s">
        <v>0</v>
      </c>
      <c r="D5229" s="1" t="s">
        <v>803</v>
      </c>
      <c r="E5229" s="1" t="s">
        <v>436</v>
      </c>
      <c r="F5229" s="1" t="s">
        <v>449</v>
      </c>
      <c r="G5229" s="1" t="s">
        <v>438</v>
      </c>
      <c r="H5229" s="1">
        <v>804</v>
      </c>
      <c r="I5229" s="3">
        <v>46286</v>
      </c>
      <c r="J5229" s="3">
        <v>46289</v>
      </c>
      <c r="L5229" s="31">
        <v>46286.626320023148</v>
      </c>
      <c r="M5229" s="20">
        <v>12</v>
      </c>
      <c r="N5229" s="1">
        <v>20</v>
      </c>
    </row>
    <row r="5230" spans="1:14" x14ac:dyDescent="0.25">
      <c r="A5230" t="str">
        <f t="shared" si="164"/>
        <v>U148142U148142</v>
      </c>
      <c r="B5230" t="str">
        <f t="shared" si="165"/>
        <v>U148142PC9060EP-M</v>
      </c>
      <c r="C5230" s="1" t="s">
        <v>0</v>
      </c>
      <c r="D5230" s="1" t="s">
        <v>803</v>
      </c>
      <c r="E5230" s="1" t="s">
        <v>436</v>
      </c>
      <c r="F5230" s="1" t="s">
        <v>449</v>
      </c>
      <c r="G5230" s="1" t="s">
        <v>438</v>
      </c>
      <c r="H5230" s="1">
        <v>804</v>
      </c>
      <c r="I5230" s="3">
        <v>46286</v>
      </c>
      <c r="J5230" s="3">
        <v>46289</v>
      </c>
      <c r="L5230" s="31">
        <v>46286.630633298606</v>
      </c>
      <c r="M5230" s="20">
        <v>12</v>
      </c>
      <c r="N5230" s="1">
        <v>65</v>
      </c>
    </row>
    <row r="5231" spans="1:14" x14ac:dyDescent="0.25">
      <c r="A5231" t="str">
        <f t="shared" si="164"/>
        <v>U148142U148142</v>
      </c>
      <c r="B5231" t="str">
        <f t="shared" si="165"/>
        <v>U148142PC9060EP-M</v>
      </c>
      <c r="C5231" s="1" t="s">
        <v>0</v>
      </c>
      <c r="D5231" s="1" t="s">
        <v>803</v>
      </c>
      <c r="E5231" s="1" t="s">
        <v>436</v>
      </c>
      <c r="F5231" s="1" t="s">
        <v>449</v>
      </c>
      <c r="G5231" s="1" t="s">
        <v>438</v>
      </c>
      <c r="H5231" s="1">
        <v>804</v>
      </c>
      <c r="I5231" s="3">
        <v>46286</v>
      </c>
      <c r="J5231" s="3">
        <v>46289</v>
      </c>
      <c r="L5231" s="31">
        <v>46286.631097488425</v>
      </c>
      <c r="M5231" s="20">
        <v>12</v>
      </c>
      <c r="N5231" s="1">
        <v>26</v>
      </c>
    </row>
    <row r="5232" spans="1:14" x14ac:dyDescent="0.25">
      <c r="A5232" t="str">
        <f t="shared" si="164"/>
        <v>U148142U148142</v>
      </c>
      <c r="B5232" t="str">
        <f t="shared" si="165"/>
        <v>U148142PC9060EP-M</v>
      </c>
      <c r="C5232" s="1" t="s">
        <v>0</v>
      </c>
      <c r="D5232" s="1" t="s">
        <v>803</v>
      </c>
      <c r="E5232" s="1" t="s">
        <v>436</v>
      </c>
      <c r="F5232" s="1" t="s">
        <v>449</v>
      </c>
      <c r="G5232" s="1" t="s">
        <v>438</v>
      </c>
      <c r="H5232" s="1">
        <v>804</v>
      </c>
      <c r="I5232" s="3">
        <v>46286</v>
      </c>
      <c r="J5232" s="3">
        <v>46289</v>
      </c>
      <c r="L5232" s="31">
        <v>46286.638819097221</v>
      </c>
      <c r="M5232" s="20">
        <v>12</v>
      </c>
      <c r="N5232" s="1">
        <v>31</v>
      </c>
    </row>
    <row r="5233" spans="1:14" x14ac:dyDescent="0.25">
      <c r="A5233" t="str">
        <f t="shared" si="164"/>
        <v>U148142U148142</v>
      </c>
      <c r="B5233" t="str">
        <f t="shared" si="165"/>
        <v>U148142PC9060EP-M</v>
      </c>
      <c r="C5233" s="1" t="s">
        <v>0</v>
      </c>
      <c r="D5233" s="1" t="s">
        <v>803</v>
      </c>
      <c r="E5233" s="1" t="s">
        <v>436</v>
      </c>
      <c r="F5233" s="1" t="s">
        <v>449</v>
      </c>
      <c r="G5233" s="1" t="s">
        <v>438</v>
      </c>
      <c r="H5233" s="1">
        <v>804</v>
      </c>
      <c r="I5233" s="3">
        <v>46286</v>
      </c>
      <c r="J5233" s="3">
        <v>46289</v>
      </c>
      <c r="L5233" s="31">
        <v>46286.640141898148</v>
      </c>
      <c r="M5233" s="20">
        <v>12</v>
      </c>
      <c r="N5233" s="1">
        <v>39</v>
      </c>
    </row>
    <row r="5234" spans="1:14" x14ac:dyDescent="0.25">
      <c r="A5234" t="str">
        <f t="shared" si="164"/>
        <v>U148142U148142</v>
      </c>
      <c r="B5234" t="str">
        <f t="shared" si="165"/>
        <v>U148142PC9060EP-M</v>
      </c>
      <c r="C5234" s="1" t="s">
        <v>0</v>
      </c>
      <c r="D5234" s="1" t="s">
        <v>803</v>
      </c>
      <c r="E5234" s="1" t="s">
        <v>436</v>
      </c>
      <c r="F5234" s="1" t="s">
        <v>449</v>
      </c>
      <c r="G5234" s="1" t="s">
        <v>438</v>
      </c>
      <c r="H5234" s="1">
        <v>804</v>
      </c>
      <c r="I5234" s="3">
        <v>46286</v>
      </c>
      <c r="J5234" s="3">
        <v>46289</v>
      </c>
      <c r="L5234" s="31">
        <v>46286.641150578704</v>
      </c>
      <c r="M5234" s="20">
        <v>12</v>
      </c>
      <c r="N5234" s="1">
        <v>22</v>
      </c>
    </row>
    <row r="5235" spans="1:14" x14ac:dyDescent="0.25">
      <c r="A5235" t="str">
        <f t="shared" si="164"/>
        <v>U148142U148142</v>
      </c>
      <c r="B5235" t="str">
        <f t="shared" si="165"/>
        <v>U148142PC9060EP-M</v>
      </c>
      <c r="C5235" s="1" t="s">
        <v>0</v>
      </c>
      <c r="D5235" s="1" t="s">
        <v>803</v>
      </c>
      <c r="E5235" s="1" t="s">
        <v>436</v>
      </c>
      <c r="F5235" s="1" t="s">
        <v>449</v>
      </c>
      <c r="G5235" s="1" t="s">
        <v>438</v>
      </c>
      <c r="H5235" s="1">
        <v>804</v>
      </c>
      <c r="I5235" s="3">
        <v>46286</v>
      </c>
      <c r="J5235" s="3">
        <v>46289</v>
      </c>
      <c r="L5235" s="31">
        <v>46286.647879780088</v>
      </c>
      <c r="M5235" s="20">
        <v>12</v>
      </c>
      <c r="N5235" s="1">
        <v>32</v>
      </c>
    </row>
    <row r="5236" spans="1:14" x14ac:dyDescent="0.25">
      <c r="A5236" t="str">
        <f t="shared" si="164"/>
        <v>U148142U148142</v>
      </c>
      <c r="B5236" t="str">
        <f t="shared" si="165"/>
        <v>U148142PC9060EP-M</v>
      </c>
      <c r="C5236" s="1" t="s">
        <v>0</v>
      </c>
      <c r="D5236" s="1" t="s">
        <v>803</v>
      </c>
      <c r="E5236" s="1" t="s">
        <v>436</v>
      </c>
      <c r="F5236" s="1" t="s">
        <v>449</v>
      </c>
      <c r="G5236" s="1" t="s">
        <v>438</v>
      </c>
      <c r="H5236" s="1">
        <v>804</v>
      </c>
      <c r="I5236" s="3">
        <v>46286</v>
      </c>
      <c r="J5236" s="3">
        <v>46289</v>
      </c>
      <c r="L5236" s="31">
        <v>46286.648269363424</v>
      </c>
      <c r="M5236" s="20">
        <v>12</v>
      </c>
      <c r="N5236" s="1">
        <v>52</v>
      </c>
    </row>
    <row r="5237" spans="1:14" x14ac:dyDescent="0.25">
      <c r="A5237" t="str">
        <f t="shared" si="164"/>
        <v>U148142U148142</v>
      </c>
      <c r="B5237" t="str">
        <f t="shared" si="165"/>
        <v>U148142PC9060EP-M</v>
      </c>
      <c r="C5237" s="1" t="s">
        <v>0</v>
      </c>
      <c r="D5237" s="1" t="s">
        <v>803</v>
      </c>
      <c r="E5237" s="1" t="s">
        <v>436</v>
      </c>
      <c r="F5237" s="1" t="s">
        <v>449</v>
      </c>
      <c r="G5237" s="1" t="s">
        <v>438</v>
      </c>
      <c r="H5237" s="1">
        <v>804</v>
      </c>
      <c r="I5237" s="3">
        <v>46286</v>
      </c>
      <c r="J5237" s="3">
        <v>46289</v>
      </c>
      <c r="L5237" s="31">
        <v>46286.655140046292</v>
      </c>
      <c r="M5237" s="20">
        <v>12</v>
      </c>
      <c r="N5237" s="1">
        <v>46</v>
      </c>
    </row>
    <row r="5238" spans="1:14" x14ac:dyDescent="0.25">
      <c r="A5238" t="str">
        <f t="shared" si="164"/>
        <v>U148142U148142</v>
      </c>
      <c r="B5238" t="str">
        <f t="shared" si="165"/>
        <v>U148142PC9060EP-M</v>
      </c>
      <c r="C5238" s="1" t="s">
        <v>0</v>
      </c>
      <c r="D5238" s="1" t="s">
        <v>803</v>
      </c>
      <c r="E5238" s="1" t="s">
        <v>436</v>
      </c>
      <c r="F5238" s="1" t="s">
        <v>449</v>
      </c>
      <c r="G5238" s="1" t="s">
        <v>438</v>
      </c>
      <c r="H5238" s="1">
        <v>804</v>
      </c>
      <c r="I5238" s="3">
        <v>46286</v>
      </c>
      <c r="J5238" s="3">
        <v>46289</v>
      </c>
      <c r="L5238" s="31">
        <v>46286.657724652774</v>
      </c>
      <c r="M5238" s="20">
        <v>12</v>
      </c>
      <c r="N5238" s="1">
        <v>33</v>
      </c>
    </row>
    <row r="5239" spans="1:14" x14ac:dyDescent="0.25">
      <c r="A5239" t="str">
        <f t="shared" si="164"/>
        <v>U148142U148142</v>
      </c>
      <c r="B5239" t="str">
        <f t="shared" si="165"/>
        <v>U148142PC9060EP-M</v>
      </c>
      <c r="C5239" s="1" t="s">
        <v>0</v>
      </c>
      <c r="D5239" s="1" t="s">
        <v>803</v>
      </c>
      <c r="E5239" s="1" t="s">
        <v>436</v>
      </c>
      <c r="F5239" s="1" t="s">
        <v>449</v>
      </c>
      <c r="G5239" s="1" t="s">
        <v>438</v>
      </c>
      <c r="H5239" s="1">
        <v>804</v>
      </c>
      <c r="I5239" s="3">
        <v>46286</v>
      </c>
      <c r="J5239" s="3">
        <v>46289</v>
      </c>
      <c r="L5239" s="31">
        <v>46286.662115393519</v>
      </c>
      <c r="M5239" s="20">
        <v>12</v>
      </c>
      <c r="N5239" s="1">
        <v>40</v>
      </c>
    </row>
    <row r="5240" spans="1:14" x14ac:dyDescent="0.25">
      <c r="A5240" t="str">
        <f t="shared" si="164"/>
        <v>U148142U148142</v>
      </c>
      <c r="B5240" t="str">
        <f t="shared" si="165"/>
        <v>U148142PC9060EP-M</v>
      </c>
      <c r="C5240" s="1" t="s">
        <v>0</v>
      </c>
      <c r="D5240" s="1" t="s">
        <v>803</v>
      </c>
      <c r="E5240" s="1" t="s">
        <v>436</v>
      </c>
      <c r="F5240" s="1" t="s">
        <v>449</v>
      </c>
      <c r="G5240" s="1" t="s">
        <v>438</v>
      </c>
      <c r="H5240" s="1">
        <v>804</v>
      </c>
      <c r="I5240" s="3">
        <v>46286</v>
      </c>
      <c r="J5240" s="3">
        <v>46289</v>
      </c>
      <c r="L5240" s="31">
        <v>46286.685762002315</v>
      </c>
      <c r="M5240" s="20">
        <v>6</v>
      </c>
      <c r="N5240" s="1">
        <v>68</v>
      </c>
    </row>
    <row r="5241" spans="1:14" x14ac:dyDescent="0.25">
      <c r="A5241" t="str">
        <f t="shared" si="164"/>
        <v>U148142U148142</v>
      </c>
      <c r="B5241" t="str">
        <f t="shared" si="165"/>
        <v>U148142PC9060EP-M</v>
      </c>
      <c r="C5241" s="1" t="s">
        <v>0</v>
      </c>
      <c r="D5241" s="1" t="s">
        <v>803</v>
      </c>
      <c r="E5241" s="1" t="s">
        <v>436</v>
      </c>
      <c r="F5241" s="1" t="s">
        <v>449</v>
      </c>
      <c r="G5241" s="1" t="s">
        <v>438</v>
      </c>
      <c r="H5241" s="1">
        <v>804</v>
      </c>
      <c r="I5241" s="3">
        <v>46286</v>
      </c>
      <c r="J5241" s="3">
        <v>46289</v>
      </c>
      <c r="L5241" s="31">
        <v>46286.716475925925</v>
      </c>
      <c r="M5241" s="20">
        <v>6</v>
      </c>
      <c r="N5241" s="1">
        <v>69</v>
      </c>
    </row>
    <row r="5242" spans="1:14" x14ac:dyDescent="0.25">
      <c r="A5242" t="str">
        <f t="shared" si="164"/>
        <v>U149888U149888</v>
      </c>
      <c r="B5242" t="str">
        <f t="shared" si="165"/>
        <v>U149888I6039JD-M</v>
      </c>
      <c r="C5242" s="1" t="s">
        <v>60</v>
      </c>
      <c r="D5242" s="1" t="s">
        <v>826</v>
      </c>
      <c r="E5242" s="1" t="s">
        <v>436</v>
      </c>
      <c r="F5242" s="1" t="s">
        <v>443</v>
      </c>
      <c r="G5242" s="1" t="s">
        <v>444</v>
      </c>
      <c r="H5242" s="1">
        <v>312</v>
      </c>
      <c r="I5242" s="3">
        <v>46286</v>
      </c>
      <c r="L5242" s="31">
        <v>46286.702735729166</v>
      </c>
      <c r="M5242" s="20">
        <v>12</v>
      </c>
      <c r="N5242" s="1">
        <v>15</v>
      </c>
    </row>
    <row r="5243" spans="1:14" x14ac:dyDescent="0.25">
      <c r="A5243" t="str">
        <f t="shared" si="164"/>
        <v>U149888U149888</v>
      </c>
      <c r="B5243" t="str">
        <f t="shared" si="165"/>
        <v>U149888I6039JD-M</v>
      </c>
      <c r="C5243" s="1" t="s">
        <v>60</v>
      </c>
      <c r="D5243" s="1" t="s">
        <v>826</v>
      </c>
      <c r="E5243" s="1" t="s">
        <v>436</v>
      </c>
      <c r="F5243" s="1" t="s">
        <v>443</v>
      </c>
      <c r="G5243" s="1" t="s">
        <v>444</v>
      </c>
      <c r="H5243" s="1">
        <v>312</v>
      </c>
      <c r="I5243" s="3">
        <v>46286</v>
      </c>
      <c r="L5243" s="31">
        <v>46286.73088815972</v>
      </c>
      <c r="M5243" s="20">
        <v>12</v>
      </c>
      <c r="N5243" s="1">
        <v>17</v>
      </c>
    </row>
    <row r="5244" spans="1:14" x14ac:dyDescent="0.25">
      <c r="A5244" t="str">
        <f t="shared" si="164"/>
        <v>U149888U149888</v>
      </c>
      <c r="B5244" t="str">
        <f t="shared" si="165"/>
        <v>U149888I6039JD-M</v>
      </c>
      <c r="C5244" s="1" t="s">
        <v>60</v>
      </c>
      <c r="D5244" s="1" t="s">
        <v>826</v>
      </c>
      <c r="E5244" s="1" t="s">
        <v>436</v>
      </c>
      <c r="F5244" s="1" t="s">
        <v>443</v>
      </c>
      <c r="G5244" s="1" t="s">
        <v>444</v>
      </c>
      <c r="H5244" s="1">
        <v>312</v>
      </c>
      <c r="I5244" s="3">
        <v>46286</v>
      </c>
      <c r="L5244" s="31">
        <v>46286.738194988422</v>
      </c>
      <c r="M5244" s="20">
        <v>12</v>
      </c>
      <c r="N5244" s="1">
        <v>19</v>
      </c>
    </row>
    <row r="5245" spans="1:14" x14ac:dyDescent="0.25">
      <c r="A5245" t="str">
        <f t="shared" si="164"/>
        <v>U152761U152761</v>
      </c>
      <c r="B5245" t="str">
        <f t="shared" si="165"/>
        <v>U152761GC574EVW-M</v>
      </c>
      <c r="C5245" s="1" t="s">
        <v>18</v>
      </c>
      <c r="D5245" s="1" t="s">
        <v>827</v>
      </c>
      <c r="E5245" s="1" t="s">
        <v>436</v>
      </c>
      <c r="F5245" s="1" t="s">
        <v>443</v>
      </c>
      <c r="G5245" s="1" t="s">
        <v>457</v>
      </c>
      <c r="H5245" s="1">
        <v>2052</v>
      </c>
      <c r="I5245" s="3">
        <v>46286</v>
      </c>
      <c r="L5245" s="31">
        <v>46286.702919907402</v>
      </c>
      <c r="M5245" s="20">
        <v>12</v>
      </c>
      <c r="N5245" s="1">
        <v>72</v>
      </c>
    </row>
    <row r="5246" spans="1:14" x14ac:dyDescent="0.25">
      <c r="A5246" t="str">
        <f t="shared" si="164"/>
        <v>U152761U152761</v>
      </c>
      <c r="B5246" t="str">
        <f t="shared" si="165"/>
        <v>U152761GC574EVW-M</v>
      </c>
      <c r="C5246" s="1" t="s">
        <v>18</v>
      </c>
      <c r="D5246" s="1" t="s">
        <v>827</v>
      </c>
      <c r="E5246" s="1" t="s">
        <v>436</v>
      </c>
      <c r="F5246" s="1" t="s">
        <v>443</v>
      </c>
      <c r="G5246" s="1" t="s">
        <v>457</v>
      </c>
      <c r="H5246" s="1">
        <v>2052</v>
      </c>
      <c r="I5246" s="3">
        <v>46286</v>
      </c>
      <c r="L5246" s="31">
        <v>46286.703106134257</v>
      </c>
      <c r="M5246" s="20">
        <v>12</v>
      </c>
      <c r="N5246" s="1">
        <v>159</v>
      </c>
    </row>
    <row r="5247" spans="1:14" x14ac:dyDescent="0.25">
      <c r="A5247" t="str">
        <f t="shared" si="164"/>
        <v>U152761U152761</v>
      </c>
      <c r="B5247" t="str">
        <f t="shared" si="165"/>
        <v>U152761GC574EVW-M</v>
      </c>
      <c r="C5247" s="1" t="s">
        <v>18</v>
      </c>
      <c r="D5247" s="1" t="s">
        <v>827</v>
      </c>
      <c r="E5247" s="1" t="s">
        <v>436</v>
      </c>
      <c r="F5247" s="1" t="s">
        <v>443</v>
      </c>
      <c r="G5247" s="1" t="s">
        <v>457</v>
      </c>
      <c r="H5247" s="1">
        <v>2052</v>
      </c>
      <c r="I5247" s="3">
        <v>46286</v>
      </c>
      <c r="L5247" s="31">
        <v>46286.731696261573</v>
      </c>
      <c r="M5247" s="20">
        <v>12</v>
      </c>
      <c r="N5247" s="1">
        <v>23</v>
      </c>
    </row>
    <row r="5248" spans="1:14" x14ac:dyDescent="0.25">
      <c r="A5248" t="str">
        <f t="shared" si="164"/>
        <v>U152761U152761</v>
      </c>
      <c r="B5248" t="str">
        <f t="shared" si="165"/>
        <v>U152761GC574EVW-M</v>
      </c>
      <c r="C5248" s="1" t="s">
        <v>18</v>
      </c>
      <c r="D5248" s="1" t="s">
        <v>827</v>
      </c>
      <c r="E5248" s="1" t="s">
        <v>436</v>
      </c>
      <c r="F5248" s="1" t="s">
        <v>443</v>
      </c>
      <c r="G5248" s="1" t="s">
        <v>457</v>
      </c>
      <c r="H5248" s="1">
        <v>2052</v>
      </c>
      <c r="I5248" s="3">
        <v>46286</v>
      </c>
      <c r="L5248" s="31">
        <v>46286.749349039354</v>
      </c>
      <c r="M5248" s="20">
        <v>12</v>
      </c>
      <c r="N5248" s="1">
        <v>129</v>
      </c>
    </row>
    <row r="5249" spans="1:14" x14ac:dyDescent="0.25">
      <c r="A5249" t="str">
        <f t="shared" si="164"/>
        <v>U152761U152761</v>
      </c>
      <c r="B5249" t="str">
        <f t="shared" si="165"/>
        <v>U152761GC574EVW-M</v>
      </c>
      <c r="C5249" s="1" t="s">
        <v>18</v>
      </c>
      <c r="D5249" s="1" t="s">
        <v>827</v>
      </c>
      <c r="E5249" s="1" t="s">
        <v>436</v>
      </c>
      <c r="F5249" s="1" t="s">
        <v>443</v>
      </c>
      <c r="G5249" s="1" t="s">
        <v>457</v>
      </c>
      <c r="H5249" s="1">
        <v>2052</v>
      </c>
      <c r="I5249" s="3">
        <v>46286</v>
      </c>
      <c r="L5249" s="31">
        <v>46286.749498460646</v>
      </c>
      <c r="M5249" s="20">
        <v>12</v>
      </c>
      <c r="N5249" s="1">
        <v>73</v>
      </c>
    </row>
    <row r="5250" spans="1:14" x14ac:dyDescent="0.25">
      <c r="A5250" t="str">
        <f t="shared" ref="A5250:A5313" si="166">+D5250&amp;D5250</f>
        <v>U152761U152761</v>
      </c>
      <c r="B5250" t="str">
        <f t="shared" ref="B5250:B5313" si="167">+D5250&amp;C5250</f>
        <v>U152761GC574EVW-M</v>
      </c>
      <c r="C5250" s="1" t="s">
        <v>18</v>
      </c>
      <c r="D5250" s="1" t="s">
        <v>827</v>
      </c>
      <c r="E5250" s="1" t="s">
        <v>436</v>
      </c>
      <c r="F5250" s="1" t="s">
        <v>443</v>
      </c>
      <c r="G5250" s="1" t="s">
        <v>457</v>
      </c>
      <c r="H5250" s="1">
        <v>2052</v>
      </c>
      <c r="I5250" s="3">
        <v>46286</v>
      </c>
      <c r="L5250" s="31">
        <v>46286.749645289347</v>
      </c>
      <c r="M5250" s="20">
        <v>12</v>
      </c>
      <c r="N5250" s="1">
        <v>160</v>
      </c>
    </row>
    <row r="5251" spans="1:14" x14ac:dyDescent="0.25">
      <c r="A5251" t="str">
        <f t="shared" si="166"/>
        <v>U152792U152792</v>
      </c>
      <c r="B5251" t="str">
        <f t="shared" si="167"/>
        <v>U152792G90606AX-M</v>
      </c>
      <c r="C5251" s="1" t="s">
        <v>799</v>
      </c>
      <c r="D5251" s="1" t="s">
        <v>800</v>
      </c>
      <c r="E5251" s="1" t="s">
        <v>436</v>
      </c>
      <c r="F5251" s="1" t="s">
        <v>443</v>
      </c>
      <c r="G5251" s="1" t="s">
        <v>444</v>
      </c>
      <c r="H5251" s="1">
        <v>846</v>
      </c>
      <c r="I5251" s="3">
        <v>46286</v>
      </c>
      <c r="L5251" s="31">
        <v>46286.361778587961</v>
      </c>
      <c r="M5251" s="20">
        <v>12</v>
      </c>
      <c r="N5251" s="1">
        <v>46</v>
      </c>
    </row>
    <row r="5252" spans="1:14" x14ac:dyDescent="0.25">
      <c r="A5252" t="str">
        <f t="shared" si="166"/>
        <v>U152792U152792</v>
      </c>
      <c r="B5252" t="str">
        <f t="shared" si="167"/>
        <v>U152792G90606AX-M</v>
      </c>
      <c r="C5252" s="1" t="s">
        <v>799</v>
      </c>
      <c r="D5252" s="1" t="s">
        <v>800</v>
      </c>
      <c r="E5252" s="1" t="s">
        <v>436</v>
      </c>
      <c r="F5252" s="1" t="s">
        <v>443</v>
      </c>
      <c r="G5252" s="1" t="s">
        <v>444</v>
      </c>
      <c r="H5252" s="1">
        <v>846</v>
      </c>
      <c r="I5252" s="3">
        <v>46286</v>
      </c>
      <c r="L5252" s="31">
        <v>46286.380124340278</v>
      </c>
      <c r="M5252" s="20">
        <v>12</v>
      </c>
      <c r="N5252" s="1">
        <v>16</v>
      </c>
    </row>
    <row r="5253" spans="1:14" x14ac:dyDescent="0.25">
      <c r="A5253" t="str">
        <f t="shared" si="166"/>
        <v>U152792U152792</v>
      </c>
      <c r="B5253" t="str">
        <f t="shared" si="167"/>
        <v>U152792G90606AX-M</v>
      </c>
      <c r="C5253" s="1" t="s">
        <v>799</v>
      </c>
      <c r="D5253" s="1" t="s">
        <v>800</v>
      </c>
      <c r="E5253" s="1" t="s">
        <v>436</v>
      </c>
      <c r="F5253" s="1" t="s">
        <v>443</v>
      </c>
      <c r="G5253" s="1" t="s">
        <v>444</v>
      </c>
      <c r="H5253" s="1">
        <v>846</v>
      </c>
      <c r="I5253" s="3">
        <v>46286</v>
      </c>
      <c r="L5253" s="31">
        <v>46286.38265</v>
      </c>
      <c r="M5253" s="20">
        <v>12</v>
      </c>
      <c r="N5253" s="1">
        <v>47</v>
      </c>
    </row>
    <row r="5254" spans="1:14" x14ac:dyDescent="0.25">
      <c r="A5254" t="str">
        <f t="shared" si="166"/>
        <v>U152792U152792</v>
      </c>
      <c r="B5254" t="str">
        <f t="shared" si="167"/>
        <v>U152792G90606AX-M</v>
      </c>
      <c r="C5254" s="1" t="s">
        <v>799</v>
      </c>
      <c r="D5254" s="1" t="s">
        <v>800</v>
      </c>
      <c r="E5254" s="1" t="s">
        <v>436</v>
      </c>
      <c r="F5254" s="1" t="s">
        <v>443</v>
      </c>
      <c r="G5254" s="1" t="s">
        <v>444</v>
      </c>
      <c r="H5254" s="1">
        <v>846</v>
      </c>
      <c r="I5254" s="3">
        <v>46286</v>
      </c>
      <c r="L5254" s="31">
        <v>46286.391554861111</v>
      </c>
      <c r="M5254" s="20">
        <v>12</v>
      </c>
      <c r="N5254" s="1">
        <v>35</v>
      </c>
    </row>
    <row r="5255" spans="1:14" x14ac:dyDescent="0.25">
      <c r="A5255" t="str">
        <f t="shared" si="166"/>
        <v>U152792U152792</v>
      </c>
      <c r="B5255" t="str">
        <f t="shared" si="167"/>
        <v>U152792G90606AX-M</v>
      </c>
      <c r="C5255" s="1" t="s">
        <v>799</v>
      </c>
      <c r="D5255" s="1" t="s">
        <v>800</v>
      </c>
      <c r="E5255" s="1" t="s">
        <v>436</v>
      </c>
      <c r="F5255" s="1" t="s">
        <v>443</v>
      </c>
      <c r="G5255" s="1" t="s">
        <v>444</v>
      </c>
      <c r="H5255" s="1">
        <v>846</v>
      </c>
      <c r="I5255" s="3">
        <v>46286</v>
      </c>
      <c r="L5255" s="31">
        <v>46286.391786307868</v>
      </c>
      <c r="M5255" s="20">
        <v>12</v>
      </c>
      <c r="N5255" s="1">
        <v>58</v>
      </c>
    </row>
    <row r="5256" spans="1:14" x14ac:dyDescent="0.25">
      <c r="A5256" t="str">
        <f t="shared" si="166"/>
        <v>U152792U152792</v>
      </c>
      <c r="B5256" t="str">
        <f t="shared" si="167"/>
        <v>U152792G90606AX-M</v>
      </c>
      <c r="C5256" s="1" t="s">
        <v>799</v>
      </c>
      <c r="D5256" s="1" t="s">
        <v>800</v>
      </c>
      <c r="E5256" s="1" t="s">
        <v>436</v>
      </c>
      <c r="F5256" s="1" t="s">
        <v>443</v>
      </c>
      <c r="G5256" s="1" t="s">
        <v>444</v>
      </c>
      <c r="H5256" s="1">
        <v>846</v>
      </c>
      <c r="I5256" s="3">
        <v>46286</v>
      </c>
      <c r="L5256" s="31">
        <v>46286.397069756946</v>
      </c>
      <c r="M5256" s="20">
        <v>12</v>
      </c>
      <c r="N5256" s="1">
        <v>36</v>
      </c>
    </row>
    <row r="5257" spans="1:14" x14ac:dyDescent="0.25">
      <c r="A5257" t="str">
        <f t="shared" si="166"/>
        <v>U152792U152792</v>
      </c>
      <c r="B5257" t="str">
        <f t="shared" si="167"/>
        <v>U152792G90606AX-M</v>
      </c>
      <c r="C5257" s="1" t="s">
        <v>799</v>
      </c>
      <c r="D5257" s="1" t="s">
        <v>800</v>
      </c>
      <c r="E5257" s="1" t="s">
        <v>436</v>
      </c>
      <c r="F5257" s="1" t="s">
        <v>443</v>
      </c>
      <c r="G5257" s="1" t="s">
        <v>444</v>
      </c>
      <c r="H5257" s="1">
        <v>846</v>
      </c>
      <c r="I5257" s="3">
        <v>46286</v>
      </c>
      <c r="L5257" s="31">
        <v>46286.406494363422</v>
      </c>
      <c r="M5257" s="20">
        <v>12</v>
      </c>
      <c r="N5257" s="1">
        <v>48</v>
      </c>
    </row>
    <row r="5258" spans="1:14" x14ac:dyDescent="0.25">
      <c r="A5258" t="str">
        <f t="shared" si="166"/>
        <v>U152792U152792</v>
      </c>
      <c r="B5258" t="str">
        <f t="shared" si="167"/>
        <v>U152792G90606AX-M</v>
      </c>
      <c r="C5258" s="1" t="s">
        <v>799</v>
      </c>
      <c r="D5258" s="1" t="s">
        <v>800</v>
      </c>
      <c r="E5258" s="1" t="s">
        <v>436</v>
      </c>
      <c r="F5258" s="1" t="s">
        <v>443</v>
      </c>
      <c r="G5258" s="1" t="s">
        <v>444</v>
      </c>
      <c r="H5258" s="1">
        <v>846</v>
      </c>
      <c r="I5258" s="3">
        <v>46286</v>
      </c>
      <c r="L5258" s="31">
        <v>46286.41912017361</v>
      </c>
      <c r="M5258" s="20">
        <v>12</v>
      </c>
      <c r="N5258" s="1">
        <v>59</v>
      </c>
    </row>
    <row r="5259" spans="1:14" x14ac:dyDescent="0.25">
      <c r="A5259" t="str">
        <f t="shared" si="166"/>
        <v>U152792U152792</v>
      </c>
      <c r="B5259" t="str">
        <f t="shared" si="167"/>
        <v>U152792G90606AX-M</v>
      </c>
      <c r="C5259" s="1" t="s">
        <v>799</v>
      </c>
      <c r="D5259" s="1" t="s">
        <v>800</v>
      </c>
      <c r="E5259" s="1" t="s">
        <v>436</v>
      </c>
      <c r="F5259" s="1" t="s">
        <v>443</v>
      </c>
      <c r="G5259" s="1" t="s">
        <v>444</v>
      </c>
      <c r="H5259" s="1">
        <v>846</v>
      </c>
      <c r="I5259" s="3">
        <v>46286</v>
      </c>
      <c r="L5259" s="31">
        <v>46286.419327928241</v>
      </c>
      <c r="M5259" s="20">
        <v>12</v>
      </c>
      <c r="N5259" s="1">
        <v>17</v>
      </c>
    </row>
    <row r="5260" spans="1:14" x14ac:dyDescent="0.25">
      <c r="A5260" t="str">
        <f t="shared" si="166"/>
        <v>U152792U152792</v>
      </c>
      <c r="B5260" t="str">
        <f t="shared" si="167"/>
        <v>U152792G90606AX-M</v>
      </c>
      <c r="C5260" s="1" t="s">
        <v>799</v>
      </c>
      <c r="D5260" s="1" t="s">
        <v>800</v>
      </c>
      <c r="E5260" s="1" t="s">
        <v>436</v>
      </c>
      <c r="F5260" s="1" t="s">
        <v>443</v>
      </c>
      <c r="G5260" s="1" t="s">
        <v>444</v>
      </c>
      <c r="H5260" s="1">
        <v>846</v>
      </c>
      <c r="I5260" s="3">
        <v>46286</v>
      </c>
      <c r="L5260" s="31">
        <v>46286.428279050924</v>
      </c>
      <c r="M5260" s="20">
        <v>12</v>
      </c>
      <c r="N5260" s="1">
        <v>49</v>
      </c>
    </row>
    <row r="5261" spans="1:14" x14ac:dyDescent="0.25">
      <c r="A5261" t="str">
        <f t="shared" si="166"/>
        <v>U152792U152792</v>
      </c>
      <c r="B5261" t="str">
        <f t="shared" si="167"/>
        <v>U152792G90606AX-M</v>
      </c>
      <c r="C5261" s="1" t="s">
        <v>799</v>
      </c>
      <c r="D5261" s="1" t="s">
        <v>800</v>
      </c>
      <c r="E5261" s="1" t="s">
        <v>436</v>
      </c>
      <c r="F5261" s="1" t="s">
        <v>443</v>
      </c>
      <c r="G5261" s="1" t="s">
        <v>444</v>
      </c>
      <c r="H5261" s="1">
        <v>846</v>
      </c>
      <c r="I5261" s="3">
        <v>46286</v>
      </c>
      <c r="L5261" s="31">
        <v>46286.430989432869</v>
      </c>
      <c r="M5261" s="20">
        <v>12</v>
      </c>
      <c r="N5261" s="1">
        <v>60</v>
      </c>
    </row>
    <row r="5262" spans="1:14" x14ac:dyDescent="0.25">
      <c r="A5262" t="str">
        <f t="shared" si="166"/>
        <v>U152792U152792</v>
      </c>
      <c r="B5262" t="str">
        <f t="shared" si="167"/>
        <v>U152792G90606AX-M</v>
      </c>
      <c r="C5262" s="1" t="s">
        <v>799</v>
      </c>
      <c r="D5262" s="1" t="s">
        <v>800</v>
      </c>
      <c r="E5262" s="1" t="s">
        <v>436</v>
      </c>
      <c r="F5262" s="1" t="s">
        <v>443</v>
      </c>
      <c r="G5262" s="1" t="s">
        <v>444</v>
      </c>
      <c r="H5262" s="1">
        <v>846</v>
      </c>
      <c r="I5262" s="3">
        <v>46286</v>
      </c>
      <c r="L5262" s="31">
        <v>46286.488182835645</v>
      </c>
      <c r="M5262" s="20">
        <v>12</v>
      </c>
      <c r="N5262" s="1">
        <v>18</v>
      </c>
    </row>
    <row r="5263" spans="1:14" x14ac:dyDescent="0.25">
      <c r="A5263" t="str">
        <f t="shared" si="166"/>
        <v>U152792U152792</v>
      </c>
      <c r="B5263" t="str">
        <f t="shared" si="167"/>
        <v>U152792G90606AX-M</v>
      </c>
      <c r="C5263" s="1" t="s">
        <v>799</v>
      </c>
      <c r="D5263" s="1" t="s">
        <v>800</v>
      </c>
      <c r="E5263" s="1" t="s">
        <v>436</v>
      </c>
      <c r="F5263" s="1" t="s">
        <v>443</v>
      </c>
      <c r="G5263" s="1" t="s">
        <v>444</v>
      </c>
      <c r="H5263" s="1">
        <v>846</v>
      </c>
      <c r="I5263" s="3">
        <v>46286</v>
      </c>
      <c r="L5263" s="31">
        <v>46286.551074652773</v>
      </c>
      <c r="M5263" s="20">
        <v>12</v>
      </c>
      <c r="N5263" s="1">
        <v>50</v>
      </c>
    </row>
    <row r="5264" spans="1:14" x14ac:dyDescent="0.25">
      <c r="A5264" t="str">
        <f t="shared" si="166"/>
        <v>U152792U152792</v>
      </c>
      <c r="B5264" t="str">
        <f t="shared" si="167"/>
        <v>U152792G90606AX-M</v>
      </c>
      <c r="C5264" s="1" t="s">
        <v>799</v>
      </c>
      <c r="D5264" s="1" t="s">
        <v>800</v>
      </c>
      <c r="E5264" s="1" t="s">
        <v>436</v>
      </c>
      <c r="F5264" s="1" t="s">
        <v>443</v>
      </c>
      <c r="G5264" s="1" t="s">
        <v>444</v>
      </c>
      <c r="H5264" s="1">
        <v>846</v>
      </c>
      <c r="I5264" s="3">
        <v>46286</v>
      </c>
      <c r="L5264" s="31">
        <v>46286.551415277776</v>
      </c>
      <c r="M5264" s="20">
        <v>12</v>
      </c>
      <c r="N5264" s="1">
        <v>9</v>
      </c>
    </row>
    <row r="5265" spans="1:14" x14ac:dyDescent="0.25">
      <c r="A5265" t="str">
        <f t="shared" si="166"/>
        <v>U152792U152792</v>
      </c>
      <c r="B5265" t="str">
        <f t="shared" si="167"/>
        <v>U152792G90606AX-M</v>
      </c>
      <c r="C5265" s="1" t="s">
        <v>799</v>
      </c>
      <c r="D5265" s="1" t="s">
        <v>800</v>
      </c>
      <c r="E5265" s="1" t="s">
        <v>436</v>
      </c>
      <c r="F5265" s="1" t="s">
        <v>443</v>
      </c>
      <c r="G5265" s="1" t="s">
        <v>444</v>
      </c>
      <c r="H5265" s="1">
        <v>846</v>
      </c>
      <c r="I5265" s="3">
        <v>46286</v>
      </c>
      <c r="L5265" s="31">
        <v>46286.561458564815</v>
      </c>
      <c r="M5265" s="20">
        <v>12</v>
      </c>
      <c r="N5265" s="1">
        <v>37</v>
      </c>
    </row>
    <row r="5266" spans="1:14" x14ac:dyDescent="0.25">
      <c r="A5266" t="str">
        <f t="shared" si="166"/>
        <v>U152792U152792</v>
      </c>
      <c r="B5266" t="str">
        <f t="shared" si="167"/>
        <v>U152792G90606AX-M</v>
      </c>
      <c r="C5266" s="1" t="s">
        <v>799</v>
      </c>
      <c r="D5266" s="1" t="s">
        <v>800</v>
      </c>
      <c r="E5266" s="1" t="s">
        <v>436</v>
      </c>
      <c r="F5266" s="1" t="s">
        <v>443</v>
      </c>
      <c r="G5266" s="1" t="s">
        <v>444</v>
      </c>
      <c r="H5266" s="1">
        <v>846</v>
      </c>
      <c r="I5266" s="3">
        <v>46286</v>
      </c>
      <c r="L5266" s="31">
        <v>46286.561653159719</v>
      </c>
      <c r="M5266" s="20">
        <v>12</v>
      </c>
      <c r="N5266" s="1">
        <v>51</v>
      </c>
    </row>
    <row r="5267" spans="1:14" x14ac:dyDescent="0.25">
      <c r="A5267" t="str">
        <f t="shared" si="166"/>
        <v>U152792U152792</v>
      </c>
      <c r="B5267" t="str">
        <f t="shared" si="167"/>
        <v>U152792G90606AX-M</v>
      </c>
      <c r="C5267" s="1" t="s">
        <v>799</v>
      </c>
      <c r="D5267" s="1" t="s">
        <v>800</v>
      </c>
      <c r="E5267" s="1" t="s">
        <v>436</v>
      </c>
      <c r="F5267" s="1" t="s">
        <v>443</v>
      </c>
      <c r="G5267" s="1" t="s">
        <v>444</v>
      </c>
      <c r="H5267" s="1">
        <v>846</v>
      </c>
      <c r="I5267" s="3">
        <v>46286</v>
      </c>
      <c r="L5267" s="31">
        <v>46286.561869212965</v>
      </c>
      <c r="M5267" s="20">
        <v>12</v>
      </c>
      <c r="N5267" s="1">
        <v>19</v>
      </c>
    </row>
    <row r="5268" spans="1:14" x14ac:dyDescent="0.25">
      <c r="A5268" t="str">
        <f t="shared" si="166"/>
        <v>U152792U152792</v>
      </c>
      <c r="B5268" t="str">
        <f t="shared" si="167"/>
        <v>U152792G90606AX-M</v>
      </c>
      <c r="C5268" s="1" t="s">
        <v>799</v>
      </c>
      <c r="D5268" s="1" t="s">
        <v>800</v>
      </c>
      <c r="E5268" s="1" t="s">
        <v>436</v>
      </c>
      <c r="F5268" s="1" t="s">
        <v>443</v>
      </c>
      <c r="G5268" s="1" t="s">
        <v>444</v>
      </c>
      <c r="H5268" s="1">
        <v>846</v>
      </c>
      <c r="I5268" s="3">
        <v>46286</v>
      </c>
      <c r="L5268" s="31">
        <v>46286.572495219909</v>
      </c>
      <c r="M5268" s="20">
        <v>12</v>
      </c>
      <c r="N5268" s="1">
        <v>10</v>
      </c>
    </row>
    <row r="5269" spans="1:14" x14ac:dyDescent="0.25">
      <c r="A5269" t="str">
        <f t="shared" si="166"/>
        <v>U152792U152792</v>
      </c>
      <c r="B5269" t="str">
        <f t="shared" si="167"/>
        <v>U152792G90606AX-M</v>
      </c>
      <c r="C5269" s="1" t="s">
        <v>799</v>
      </c>
      <c r="D5269" s="1" t="s">
        <v>800</v>
      </c>
      <c r="E5269" s="1" t="s">
        <v>436</v>
      </c>
      <c r="F5269" s="1" t="s">
        <v>443</v>
      </c>
      <c r="G5269" s="1" t="s">
        <v>444</v>
      </c>
      <c r="H5269" s="1">
        <v>846</v>
      </c>
      <c r="I5269" s="3">
        <v>46286</v>
      </c>
      <c r="L5269" s="31">
        <v>46286.58051461805</v>
      </c>
      <c r="M5269" s="20">
        <v>12</v>
      </c>
      <c r="N5269" s="1">
        <v>62</v>
      </c>
    </row>
    <row r="5270" spans="1:14" x14ac:dyDescent="0.25">
      <c r="A5270" t="str">
        <f t="shared" si="166"/>
        <v>U152792U152792</v>
      </c>
      <c r="B5270" t="str">
        <f t="shared" si="167"/>
        <v>U152792G90606AX-M</v>
      </c>
      <c r="C5270" s="1" t="s">
        <v>799</v>
      </c>
      <c r="D5270" s="1" t="s">
        <v>800</v>
      </c>
      <c r="E5270" s="1" t="s">
        <v>436</v>
      </c>
      <c r="F5270" s="1" t="s">
        <v>443</v>
      </c>
      <c r="G5270" s="1" t="s">
        <v>444</v>
      </c>
      <c r="H5270" s="1">
        <v>846</v>
      </c>
      <c r="I5270" s="3">
        <v>46286</v>
      </c>
      <c r="L5270" s="31">
        <v>46286.580700115737</v>
      </c>
      <c r="M5270" s="20">
        <v>12</v>
      </c>
      <c r="N5270" s="1">
        <v>53</v>
      </c>
    </row>
    <row r="5271" spans="1:14" x14ac:dyDescent="0.25">
      <c r="A5271" t="str">
        <f t="shared" si="166"/>
        <v>U152792U152792</v>
      </c>
      <c r="B5271" t="str">
        <f t="shared" si="167"/>
        <v>U152792G90606AX-M</v>
      </c>
      <c r="C5271" s="1" t="s">
        <v>799</v>
      </c>
      <c r="D5271" s="1" t="s">
        <v>800</v>
      </c>
      <c r="E5271" s="1" t="s">
        <v>436</v>
      </c>
      <c r="F5271" s="1" t="s">
        <v>443</v>
      </c>
      <c r="G5271" s="1" t="s">
        <v>444</v>
      </c>
      <c r="H5271" s="1">
        <v>846</v>
      </c>
      <c r="I5271" s="3">
        <v>46286</v>
      </c>
      <c r="L5271" s="31">
        <v>46286.596850381946</v>
      </c>
      <c r="M5271" s="20">
        <v>12</v>
      </c>
      <c r="N5271" s="1">
        <v>63</v>
      </c>
    </row>
    <row r="5272" spans="1:14" x14ac:dyDescent="0.25">
      <c r="A5272" t="str">
        <f t="shared" si="166"/>
        <v>U152792U152792</v>
      </c>
      <c r="B5272" t="str">
        <f t="shared" si="167"/>
        <v>U152792G90606AX-M</v>
      </c>
      <c r="C5272" s="1" t="s">
        <v>799</v>
      </c>
      <c r="D5272" s="1" t="s">
        <v>800</v>
      </c>
      <c r="E5272" s="1" t="s">
        <v>436</v>
      </c>
      <c r="F5272" s="1" t="s">
        <v>443</v>
      </c>
      <c r="G5272" s="1" t="s">
        <v>444</v>
      </c>
      <c r="H5272" s="1">
        <v>846</v>
      </c>
      <c r="I5272" s="3">
        <v>46286</v>
      </c>
      <c r="L5272" s="31">
        <v>46286.598614236107</v>
      </c>
      <c r="M5272" s="20">
        <v>12</v>
      </c>
      <c r="N5272" s="1">
        <v>52</v>
      </c>
    </row>
    <row r="5273" spans="1:14" x14ac:dyDescent="0.25">
      <c r="A5273" t="str">
        <f t="shared" si="166"/>
        <v>U152792U152792</v>
      </c>
      <c r="B5273" t="str">
        <f t="shared" si="167"/>
        <v>U152792G90606AX-M</v>
      </c>
      <c r="C5273" s="1" t="s">
        <v>799</v>
      </c>
      <c r="D5273" s="1" t="s">
        <v>800</v>
      </c>
      <c r="E5273" s="1" t="s">
        <v>436</v>
      </c>
      <c r="F5273" s="1" t="s">
        <v>443</v>
      </c>
      <c r="G5273" s="1" t="s">
        <v>444</v>
      </c>
      <c r="H5273" s="1">
        <v>846</v>
      </c>
      <c r="I5273" s="3">
        <v>46286</v>
      </c>
      <c r="L5273" s="31">
        <v>46286.606531099533</v>
      </c>
      <c r="M5273" s="20">
        <v>12</v>
      </c>
      <c r="N5273" s="1">
        <v>61</v>
      </c>
    </row>
    <row r="5274" spans="1:14" x14ac:dyDescent="0.25">
      <c r="A5274" t="str">
        <f t="shared" si="166"/>
        <v>U152792U152792</v>
      </c>
      <c r="B5274" t="str">
        <f t="shared" si="167"/>
        <v>U152792G90606AX-M</v>
      </c>
      <c r="C5274" s="1" t="s">
        <v>799</v>
      </c>
      <c r="D5274" s="1" t="s">
        <v>800</v>
      </c>
      <c r="E5274" s="1" t="s">
        <v>436</v>
      </c>
      <c r="F5274" s="1" t="s">
        <v>443</v>
      </c>
      <c r="G5274" s="1" t="s">
        <v>444</v>
      </c>
      <c r="H5274" s="1">
        <v>846</v>
      </c>
      <c r="I5274" s="3">
        <v>46286</v>
      </c>
      <c r="L5274" s="31">
        <v>46286.663269444442</v>
      </c>
      <c r="M5274" s="20">
        <v>12</v>
      </c>
      <c r="N5274" s="1">
        <v>38</v>
      </c>
    </row>
    <row r="5275" spans="1:14" x14ac:dyDescent="0.25">
      <c r="A5275" t="str">
        <f t="shared" si="166"/>
        <v>U152792U152792</v>
      </c>
      <c r="B5275" t="str">
        <f t="shared" si="167"/>
        <v>U152792G90606AX-M</v>
      </c>
      <c r="C5275" s="1" t="s">
        <v>799</v>
      </c>
      <c r="D5275" s="1" t="s">
        <v>800</v>
      </c>
      <c r="E5275" s="1" t="s">
        <v>436</v>
      </c>
      <c r="F5275" s="1" t="s">
        <v>443</v>
      </c>
      <c r="G5275" s="1" t="s">
        <v>444</v>
      </c>
      <c r="H5275" s="1">
        <v>846</v>
      </c>
      <c r="I5275" s="3">
        <v>46286</v>
      </c>
      <c r="L5275" s="31">
        <v>46286.670940243057</v>
      </c>
      <c r="M5275" s="20">
        <v>12</v>
      </c>
      <c r="N5275" s="1">
        <v>3</v>
      </c>
    </row>
    <row r="5276" spans="1:14" x14ac:dyDescent="0.25">
      <c r="A5276" t="str">
        <f t="shared" si="166"/>
        <v>U152792U152792</v>
      </c>
      <c r="B5276" t="str">
        <f t="shared" si="167"/>
        <v>U152792G90606AX-M</v>
      </c>
      <c r="C5276" s="1" t="s">
        <v>799</v>
      </c>
      <c r="D5276" s="1" t="s">
        <v>800</v>
      </c>
      <c r="E5276" s="1" t="s">
        <v>436</v>
      </c>
      <c r="F5276" s="1" t="s">
        <v>443</v>
      </c>
      <c r="G5276" s="1" t="s">
        <v>444</v>
      </c>
      <c r="H5276" s="1">
        <v>846</v>
      </c>
      <c r="I5276" s="3">
        <v>46286</v>
      </c>
      <c r="L5276" s="31">
        <v>46286.671793136571</v>
      </c>
      <c r="M5276" s="20">
        <v>12</v>
      </c>
      <c r="N5276" s="1">
        <v>54</v>
      </c>
    </row>
    <row r="5277" spans="1:14" x14ac:dyDescent="0.25">
      <c r="A5277" t="str">
        <f t="shared" si="166"/>
        <v>U152792U152792</v>
      </c>
      <c r="B5277" t="str">
        <f t="shared" si="167"/>
        <v>U152792G90606AX-M</v>
      </c>
      <c r="C5277" s="1" t="s">
        <v>799</v>
      </c>
      <c r="D5277" s="1" t="s">
        <v>800</v>
      </c>
      <c r="E5277" s="1" t="s">
        <v>436</v>
      </c>
      <c r="F5277" s="1" t="s">
        <v>443</v>
      </c>
      <c r="G5277" s="1" t="s">
        <v>444</v>
      </c>
      <c r="H5277" s="1">
        <v>846</v>
      </c>
      <c r="I5277" s="3">
        <v>46286</v>
      </c>
      <c r="L5277" s="31">
        <v>46286.674817245366</v>
      </c>
      <c r="M5277" s="20">
        <v>12</v>
      </c>
      <c r="N5277" s="1">
        <v>65</v>
      </c>
    </row>
    <row r="5278" spans="1:14" x14ac:dyDescent="0.25">
      <c r="A5278" t="str">
        <f t="shared" si="166"/>
        <v>U152792U152792</v>
      </c>
      <c r="B5278" t="str">
        <f t="shared" si="167"/>
        <v>U152792G90606AX-M</v>
      </c>
      <c r="C5278" s="1" t="s">
        <v>799</v>
      </c>
      <c r="D5278" s="1" t="s">
        <v>800</v>
      </c>
      <c r="E5278" s="1" t="s">
        <v>436</v>
      </c>
      <c r="F5278" s="1" t="s">
        <v>443</v>
      </c>
      <c r="G5278" s="1" t="s">
        <v>444</v>
      </c>
      <c r="H5278" s="1">
        <v>846</v>
      </c>
      <c r="I5278" s="3">
        <v>46286</v>
      </c>
      <c r="L5278" s="31">
        <v>46286.678787002311</v>
      </c>
      <c r="M5278" s="20">
        <v>12</v>
      </c>
      <c r="N5278" s="1">
        <v>64</v>
      </c>
    </row>
    <row r="5279" spans="1:14" x14ac:dyDescent="0.25">
      <c r="A5279" t="str">
        <f t="shared" si="166"/>
        <v>U152792U152792</v>
      </c>
      <c r="B5279" t="str">
        <f t="shared" si="167"/>
        <v>U152792G90606AX-M</v>
      </c>
      <c r="C5279" s="1" t="s">
        <v>799</v>
      </c>
      <c r="D5279" s="1" t="s">
        <v>800</v>
      </c>
      <c r="E5279" s="1" t="s">
        <v>436</v>
      </c>
      <c r="F5279" s="1" t="s">
        <v>443</v>
      </c>
      <c r="G5279" s="1" t="s">
        <v>444</v>
      </c>
      <c r="H5279" s="1">
        <v>846</v>
      </c>
      <c r="I5279" s="3">
        <v>46286</v>
      </c>
      <c r="L5279" s="31">
        <v>46286.717267476852</v>
      </c>
      <c r="M5279" s="20">
        <v>12</v>
      </c>
      <c r="N5279" s="1">
        <v>40</v>
      </c>
    </row>
    <row r="5280" spans="1:14" x14ac:dyDescent="0.25">
      <c r="A5280" t="str">
        <f t="shared" si="166"/>
        <v>U152792U152792</v>
      </c>
      <c r="B5280" t="str">
        <f t="shared" si="167"/>
        <v>U152792G90606AX-M</v>
      </c>
      <c r="C5280" s="1" t="s">
        <v>799</v>
      </c>
      <c r="D5280" s="1" t="s">
        <v>800</v>
      </c>
      <c r="E5280" s="1" t="s">
        <v>436</v>
      </c>
      <c r="F5280" s="1" t="s">
        <v>443</v>
      </c>
      <c r="G5280" s="1" t="s">
        <v>444</v>
      </c>
      <c r="H5280" s="1">
        <v>846</v>
      </c>
      <c r="I5280" s="3">
        <v>46286</v>
      </c>
      <c r="L5280" s="31">
        <v>46286.717637268513</v>
      </c>
      <c r="M5280" s="20">
        <v>12</v>
      </c>
      <c r="N5280" s="1">
        <v>66</v>
      </c>
    </row>
    <row r="5281" spans="1:14" x14ac:dyDescent="0.25">
      <c r="A5281" t="str">
        <f t="shared" si="166"/>
        <v>U152792U152792</v>
      </c>
      <c r="B5281" t="str">
        <f t="shared" si="167"/>
        <v>U152792G90606AX-M</v>
      </c>
      <c r="C5281" s="1" t="s">
        <v>799</v>
      </c>
      <c r="D5281" s="1" t="s">
        <v>800</v>
      </c>
      <c r="E5281" s="1" t="s">
        <v>436</v>
      </c>
      <c r="F5281" s="1" t="s">
        <v>443</v>
      </c>
      <c r="G5281" s="1" t="s">
        <v>444</v>
      </c>
      <c r="H5281" s="1">
        <v>846</v>
      </c>
      <c r="I5281" s="3">
        <v>46286</v>
      </c>
      <c r="L5281" s="31">
        <v>46286.718507986108</v>
      </c>
      <c r="M5281" s="20">
        <v>12</v>
      </c>
      <c r="N5281" s="1">
        <v>24</v>
      </c>
    </row>
    <row r="5282" spans="1:14" x14ac:dyDescent="0.25">
      <c r="A5282" t="str">
        <f t="shared" si="166"/>
        <v>U152792U152792</v>
      </c>
      <c r="B5282" t="str">
        <f t="shared" si="167"/>
        <v>U152792G90606AX-M</v>
      </c>
      <c r="C5282" s="1" t="s">
        <v>799</v>
      </c>
      <c r="D5282" s="1" t="s">
        <v>800</v>
      </c>
      <c r="E5282" s="1" t="s">
        <v>436</v>
      </c>
      <c r="F5282" s="1" t="s">
        <v>443</v>
      </c>
      <c r="G5282" s="1" t="s">
        <v>444</v>
      </c>
      <c r="H5282" s="1">
        <v>846</v>
      </c>
      <c r="I5282" s="3">
        <v>46286</v>
      </c>
      <c r="L5282" s="31">
        <v>46286.719259988422</v>
      </c>
      <c r="M5282" s="20">
        <v>12</v>
      </c>
      <c r="N5282" s="1">
        <v>39</v>
      </c>
    </row>
    <row r="5283" spans="1:14" x14ac:dyDescent="0.25">
      <c r="A5283" t="str">
        <f t="shared" si="166"/>
        <v>U152792U152792</v>
      </c>
      <c r="B5283" t="str">
        <f t="shared" si="167"/>
        <v>U152792G90606AX-M</v>
      </c>
      <c r="C5283" s="1" t="s">
        <v>799</v>
      </c>
      <c r="D5283" s="1" t="s">
        <v>800</v>
      </c>
      <c r="E5283" s="1" t="s">
        <v>436</v>
      </c>
      <c r="F5283" s="1" t="s">
        <v>443</v>
      </c>
      <c r="G5283" s="1" t="s">
        <v>444</v>
      </c>
      <c r="H5283" s="1">
        <v>846</v>
      </c>
      <c r="I5283" s="3">
        <v>46286</v>
      </c>
      <c r="L5283" s="31">
        <v>46286.72664050926</v>
      </c>
      <c r="M5283" s="20">
        <v>12</v>
      </c>
      <c r="N5283" s="1">
        <v>41</v>
      </c>
    </row>
    <row r="5284" spans="1:14" x14ac:dyDescent="0.25">
      <c r="A5284" t="str">
        <f t="shared" si="166"/>
        <v>U152792U152792</v>
      </c>
      <c r="B5284" t="str">
        <f t="shared" si="167"/>
        <v>U152792G90606AX-M</v>
      </c>
      <c r="C5284" s="1" t="s">
        <v>799</v>
      </c>
      <c r="D5284" s="1" t="s">
        <v>800</v>
      </c>
      <c r="E5284" s="1" t="s">
        <v>436</v>
      </c>
      <c r="F5284" s="1" t="s">
        <v>443</v>
      </c>
      <c r="G5284" s="1" t="s">
        <v>444</v>
      </c>
      <c r="H5284" s="1">
        <v>846</v>
      </c>
      <c r="I5284" s="3">
        <v>46286</v>
      </c>
      <c r="L5284" s="31">
        <v>46286.726840162039</v>
      </c>
      <c r="M5284" s="20">
        <v>12</v>
      </c>
      <c r="N5284" s="1">
        <v>20</v>
      </c>
    </row>
    <row r="5285" spans="1:14" x14ac:dyDescent="0.25">
      <c r="A5285" t="str">
        <f t="shared" si="166"/>
        <v>U152792U152792</v>
      </c>
      <c r="B5285" t="str">
        <f t="shared" si="167"/>
        <v>U152792G90606AX-M</v>
      </c>
      <c r="C5285" s="1" t="s">
        <v>799</v>
      </c>
      <c r="D5285" s="1" t="s">
        <v>800</v>
      </c>
      <c r="E5285" s="1" t="s">
        <v>436</v>
      </c>
      <c r="F5285" s="1" t="s">
        <v>443</v>
      </c>
      <c r="G5285" s="1" t="s">
        <v>444</v>
      </c>
      <c r="H5285" s="1">
        <v>846</v>
      </c>
      <c r="I5285" s="3">
        <v>46286</v>
      </c>
      <c r="L5285" s="31">
        <v>46286.727780474532</v>
      </c>
      <c r="M5285" s="20">
        <v>12</v>
      </c>
      <c r="N5285" s="1">
        <v>67</v>
      </c>
    </row>
    <row r="5286" spans="1:14" x14ac:dyDescent="0.25">
      <c r="A5286" t="str">
        <f t="shared" si="166"/>
        <v>U152792U152792</v>
      </c>
      <c r="B5286" t="str">
        <f t="shared" si="167"/>
        <v>U152792G90606AX-M</v>
      </c>
      <c r="C5286" s="1" t="s">
        <v>799</v>
      </c>
      <c r="D5286" s="1" t="s">
        <v>800</v>
      </c>
      <c r="E5286" s="1" t="s">
        <v>436</v>
      </c>
      <c r="F5286" s="1" t="s">
        <v>443</v>
      </c>
      <c r="G5286" s="1" t="s">
        <v>444</v>
      </c>
      <c r="H5286" s="1">
        <v>846</v>
      </c>
      <c r="I5286" s="3">
        <v>46286</v>
      </c>
      <c r="L5286" s="31">
        <v>46286.728070370365</v>
      </c>
      <c r="M5286" s="20">
        <v>12</v>
      </c>
      <c r="N5286" s="1">
        <v>4</v>
      </c>
    </row>
    <row r="5287" spans="1:14" x14ac:dyDescent="0.25">
      <c r="A5287" t="str">
        <f t="shared" si="166"/>
        <v>U152811U152811</v>
      </c>
      <c r="B5287" t="str">
        <f t="shared" si="167"/>
        <v>U152811I6039KY-M</v>
      </c>
      <c r="C5287" s="1" t="s">
        <v>58</v>
      </c>
      <c r="D5287" s="1" t="s">
        <v>828</v>
      </c>
      <c r="E5287" s="1" t="s">
        <v>436</v>
      </c>
      <c r="F5287" s="1" t="s">
        <v>443</v>
      </c>
      <c r="G5287" s="1" t="s">
        <v>444</v>
      </c>
      <c r="H5287" s="1">
        <v>246</v>
      </c>
      <c r="I5287" s="3">
        <v>46286</v>
      </c>
      <c r="L5287" s="31">
        <v>46286.740988391204</v>
      </c>
      <c r="M5287" s="20">
        <v>12</v>
      </c>
      <c r="N5287" s="1">
        <v>14</v>
      </c>
    </row>
    <row r="5288" spans="1:14" x14ac:dyDescent="0.25">
      <c r="A5288" t="str">
        <f t="shared" si="166"/>
        <v>U152828U152828</v>
      </c>
      <c r="B5288" t="str">
        <f t="shared" si="167"/>
        <v>U152828IV9060LL-M</v>
      </c>
      <c r="C5288" s="1" t="s">
        <v>41</v>
      </c>
      <c r="D5288" s="1" t="s">
        <v>809</v>
      </c>
      <c r="E5288" s="1" t="s">
        <v>436</v>
      </c>
      <c r="F5288" s="1" t="s">
        <v>443</v>
      </c>
      <c r="G5288" s="1" t="s">
        <v>444</v>
      </c>
      <c r="H5288" s="1">
        <v>168</v>
      </c>
      <c r="I5288" s="3">
        <v>46286</v>
      </c>
      <c r="J5288" s="3">
        <v>46287</v>
      </c>
      <c r="K5288" s="3" t="s">
        <v>2374</v>
      </c>
      <c r="L5288" s="31">
        <v>46286.560593518516</v>
      </c>
      <c r="M5288" s="20">
        <v>12</v>
      </c>
      <c r="N5288" s="1">
        <v>11</v>
      </c>
    </row>
    <row r="5289" spans="1:14" x14ac:dyDescent="0.25">
      <c r="A5289" t="str">
        <f t="shared" si="166"/>
        <v>U152828U152828</v>
      </c>
      <c r="B5289" t="str">
        <f t="shared" si="167"/>
        <v>U152828IV9060LL-M</v>
      </c>
      <c r="C5289" s="1" t="s">
        <v>41</v>
      </c>
      <c r="D5289" s="1" t="s">
        <v>809</v>
      </c>
      <c r="E5289" s="1" t="s">
        <v>436</v>
      </c>
      <c r="F5289" s="1" t="s">
        <v>443</v>
      </c>
      <c r="G5289" s="1" t="s">
        <v>444</v>
      </c>
      <c r="H5289" s="1">
        <v>168</v>
      </c>
      <c r="I5289" s="3">
        <v>46286</v>
      </c>
      <c r="J5289" s="3">
        <v>46287</v>
      </c>
      <c r="K5289" s="3" t="s">
        <v>2374</v>
      </c>
      <c r="L5289" s="31">
        <v>46286.585605324071</v>
      </c>
      <c r="M5289" s="20">
        <v>12</v>
      </c>
      <c r="N5289" s="1">
        <v>12</v>
      </c>
    </row>
    <row r="5290" spans="1:14" x14ac:dyDescent="0.25">
      <c r="A5290" t="str">
        <f t="shared" si="166"/>
        <v>U152828U152828</v>
      </c>
      <c r="B5290" t="str">
        <f t="shared" si="167"/>
        <v>U152828IV9060LL-M</v>
      </c>
      <c r="C5290" s="1" t="s">
        <v>41</v>
      </c>
      <c r="D5290" s="1" t="s">
        <v>809</v>
      </c>
      <c r="E5290" s="1" t="s">
        <v>436</v>
      </c>
      <c r="F5290" s="1" t="s">
        <v>443</v>
      </c>
      <c r="G5290" s="1" t="s">
        <v>444</v>
      </c>
      <c r="H5290" s="1">
        <v>168</v>
      </c>
      <c r="I5290" s="3">
        <v>46286</v>
      </c>
      <c r="J5290" s="3">
        <v>46287</v>
      </c>
      <c r="K5290" s="3" t="s">
        <v>2374</v>
      </c>
      <c r="L5290" s="31">
        <v>46286.606268402778</v>
      </c>
      <c r="M5290" s="20">
        <v>6</v>
      </c>
      <c r="N5290" s="1">
        <v>14</v>
      </c>
    </row>
    <row r="5291" spans="1:14" x14ac:dyDescent="0.25">
      <c r="A5291" t="str">
        <f t="shared" si="166"/>
        <v>U152828U152828</v>
      </c>
      <c r="B5291" t="str">
        <f t="shared" si="167"/>
        <v>U152828IV9060LL-M</v>
      </c>
      <c r="C5291" s="1" t="s">
        <v>41</v>
      </c>
      <c r="D5291" s="1" t="s">
        <v>809</v>
      </c>
      <c r="E5291" s="1" t="s">
        <v>436</v>
      </c>
      <c r="F5291" s="1" t="s">
        <v>443</v>
      </c>
      <c r="G5291" s="1" t="s">
        <v>444</v>
      </c>
      <c r="H5291" s="1">
        <v>168</v>
      </c>
      <c r="I5291" s="3">
        <v>46286</v>
      </c>
      <c r="J5291" s="3">
        <v>46287</v>
      </c>
      <c r="K5291" s="3" t="s">
        <v>2374</v>
      </c>
      <c r="L5291" s="31">
        <v>46286.627017245366</v>
      </c>
      <c r="M5291" s="20">
        <v>12</v>
      </c>
      <c r="N5291" s="1">
        <v>10</v>
      </c>
    </row>
    <row r="5292" spans="1:14" x14ac:dyDescent="0.25">
      <c r="A5292" t="str">
        <f t="shared" si="166"/>
        <v>U152828U152828</v>
      </c>
      <c r="B5292" t="str">
        <f t="shared" si="167"/>
        <v>U152828IV9060LL-M</v>
      </c>
      <c r="C5292" s="1" t="s">
        <v>41</v>
      </c>
      <c r="D5292" s="1" t="s">
        <v>809</v>
      </c>
      <c r="E5292" s="1" t="s">
        <v>436</v>
      </c>
      <c r="F5292" s="1" t="s">
        <v>443</v>
      </c>
      <c r="G5292" s="1" t="s">
        <v>444</v>
      </c>
      <c r="H5292" s="1">
        <v>168</v>
      </c>
      <c r="I5292" s="3">
        <v>46286</v>
      </c>
      <c r="J5292" s="3">
        <v>46287</v>
      </c>
      <c r="K5292" s="3" t="s">
        <v>2374</v>
      </c>
      <c r="L5292" s="31">
        <v>46286.640718402778</v>
      </c>
      <c r="M5292" s="20">
        <v>12</v>
      </c>
      <c r="N5292" s="1">
        <v>8</v>
      </c>
    </row>
    <row r="5293" spans="1:14" x14ac:dyDescent="0.25">
      <c r="A5293" t="str">
        <f t="shared" si="166"/>
        <v>U152828U152828</v>
      </c>
      <c r="B5293" t="str">
        <f t="shared" si="167"/>
        <v>U152828IV9060LL-M</v>
      </c>
      <c r="C5293" s="1" t="s">
        <v>41</v>
      </c>
      <c r="D5293" s="1" t="s">
        <v>809</v>
      </c>
      <c r="E5293" s="1" t="s">
        <v>436</v>
      </c>
      <c r="F5293" s="1" t="s">
        <v>443</v>
      </c>
      <c r="G5293" s="1" t="s">
        <v>444</v>
      </c>
      <c r="H5293" s="1">
        <v>168</v>
      </c>
      <c r="I5293" s="3">
        <v>46286</v>
      </c>
      <c r="J5293" s="3">
        <v>46287</v>
      </c>
      <c r="K5293" s="3" t="s">
        <v>2374</v>
      </c>
      <c r="L5293" s="31">
        <v>46286.679144212962</v>
      </c>
      <c r="M5293" s="20">
        <v>12</v>
      </c>
      <c r="N5293" s="1">
        <v>4</v>
      </c>
    </row>
    <row r="5294" spans="1:14" x14ac:dyDescent="0.25">
      <c r="A5294" t="str">
        <f t="shared" si="166"/>
        <v>U152828U152828</v>
      </c>
      <c r="B5294" t="str">
        <f t="shared" si="167"/>
        <v>U152828IV9060LL-M</v>
      </c>
      <c r="C5294" s="1" t="s">
        <v>41</v>
      </c>
      <c r="D5294" s="1" t="s">
        <v>809</v>
      </c>
      <c r="E5294" s="1" t="s">
        <v>436</v>
      </c>
      <c r="F5294" s="1" t="s">
        <v>443</v>
      </c>
      <c r="G5294" s="1" t="s">
        <v>444</v>
      </c>
      <c r="H5294" s="1">
        <v>168</v>
      </c>
      <c r="I5294" s="3">
        <v>46286</v>
      </c>
      <c r="J5294" s="3">
        <v>46287</v>
      </c>
      <c r="K5294" s="3" t="s">
        <v>2374</v>
      </c>
      <c r="L5294" s="31">
        <v>46286.703279085646</v>
      </c>
      <c r="M5294" s="20">
        <v>12</v>
      </c>
      <c r="N5294" s="1">
        <v>6</v>
      </c>
    </row>
    <row r="5295" spans="1:14" x14ac:dyDescent="0.25">
      <c r="A5295" t="str">
        <f t="shared" si="166"/>
        <v>U152828U152828</v>
      </c>
      <c r="B5295" t="str">
        <f t="shared" si="167"/>
        <v>U152828IV9060LL-M</v>
      </c>
      <c r="C5295" s="1" t="s">
        <v>41</v>
      </c>
      <c r="D5295" s="1" t="s">
        <v>809</v>
      </c>
      <c r="E5295" s="1" t="s">
        <v>436</v>
      </c>
      <c r="F5295" s="1" t="s">
        <v>443</v>
      </c>
      <c r="G5295" s="1" t="s">
        <v>444</v>
      </c>
      <c r="H5295" s="1">
        <v>168</v>
      </c>
      <c r="I5295" s="3">
        <v>46286</v>
      </c>
      <c r="J5295" s="3">
        <v>46287</v>
      </c>
      <c r="K5295" s="3" t="s">
        <v>2374</v>
      </c>
      <c r="L5295" s="31">
        <v>46286.711475381941</v>
      </c>
      <c r="M5295" s="20">
        <v>12</v>
      </c>
      <c r="N5295" s="1">
        <v>1</v>
      </c>
    </row>
    <row r="5296" spans="1:14" x14ac:dyDescent="0.25">
      <c r="A5296" t="str">
        <f t="shared" si="166"/>
        <v>U152839U152839</v>
      </c>
      <c r="B5296" t="str">
        <f t="shared" si="167"/>
        <v>U152839I6039JD-M</v>
      </c>
      <c r="C5296" s="1" t="s">
        <v>60</v>
      </c>
      <c r="D5296" s="1" t="s">
        <v>794</v>
      </c>
      <c r="E5296" s="1" t="s">
        <v>436</v>
      </c>
      <c r="F5296" s="1" t="s">
        <v>443</v>
      </c>
      <c r="G5296" s="1" t="s">
        <v>444</v>
      </c>
      <c r="H5296" s="1">
        <v>132</v>
      </c>
      <c r="I5296" s="3">
        <v>46286</v>
      </c>
      <c r="J5296" s="3">
        <v>46287</v>
      </c>
      <c r="K5296" s="3" t="s">
        <v>2374</v>
      </c>
      <c r="L5296" s="31">
        <v>46286.356461261574</v>
      </c>
      <c r="M5296" s="20">
        <v>6</v>
      </c>
      <c r="N5296" s="1">
        <v>12</v>
      </c>
    </row>
    <row r="5297" spans="1:14" x14ac:dyDescent="0.25">
      <c r="A5297" t="str">
        <f t="shared" si="166"/>
        <v>U152839U152839</v>
      </c>
      <c r="B5297" t="str">
        <f t="shared" si="167"/>
        <v>U152839I6039JD-M</v>
      </c>
      <c r="C5297" s="1" t="s">
        <v>60</v>
      </c>
      <c r="D5297" s="1" t="s">
        <v>794</v>
      </c>
      <c r="E5297" s="1" t="s">
        <v>436</v>
      </c>
      <c r="F5297" s="1" t="s">
        <v>443</v>
      </c>
      <c r="G5297" s="1" t="s">
        <v>444</v>
      </c>
      <c r="H5297" s="1">
        <v>132</v>
      </c>
      <c r="I5297" s="3">
        <v>46286</v>
      </c>
      <c r="J5297" s="3">
        <v>46287</v>
      </c>
      <c r="K5297" s="3" t="s">
        <v>2374</v>
      </c>
      <c r="L5297" s="31">
        <v>46286.372798067125</v>
      </c>
      <c r="M5297" s="20">
        <v>6</v>
      </c>
      <c r="N5297" s="1">
        <v>10</v>
      </c>
    </row>
    <row r="5298" spans="1:14" x14ac:dyDescent="0.25">
      <c r="A5298" t="str">
        <f t="shared" si="166"/>
        <v>U152839U152839</v>
      </c>
      <c r="B5298" t="str">
        <f t="shared" si="167"/>
        <v>U152839I6039JD-M</v>
      </c>
      <c r="C5298" s="1" t="s">
        <v>60</v>
      </c>
      <c r="D5298" s="1" t="s">
        <v>794</v>
      </c>
      <c r="E5298" s="1" t="s">
        <v>436</v>
      </c>
      <c r="F5298" s="1" t="s">
        <v>443</v>
      </c>
      <c r="G5298" s="1" t="s">
        <v>444</v>
      </c>
      <c r="H5298" s="1">
        <v>132</v>
      </c>
      <c r="I5298" s="3">
        <v>46286</v>
      </c>
      <c r="J5298" s="3">
        <v>46287</v>
      </c>
      <c r="K5298" s="3" t="s">
        <v>2374</v>
      </c>
      <c r="L5298" s="31">
        <v>46286.373220520829</v>
      </c>
      <c r="M5298" s="20">
        <v>12</v>
      </c>
      <c r="N5298" s="1">
        <v>6</v>
      </c>
    </row>
    <row r="5299" spans="1:14" x14ac:dyDescent="0.25">
      <c r="A5299" t="str">
        <f t="shared" si="166"/>
        <v>U152839U152839</v>
      </c>
      <c r="B5299" t="str">
        <f t="shared" si="167"/>
        <v>U152839I6039JD-M</v>
      </c>
      <c r="C5299" s="1" t="s">
        <v>60</v>
      </c>
      <c r="D5299" s="1" t="s">
        <v>794</v>
      </c>
      <c r="E5299" s="1" t="s">
        <v>436</v>
      </c>
      <c r="F5299" s="1" t="s">
        <v>443</v>
      </c>
      <c r="G5299" s="1" t="s">
        <v>444</v>
      </c>
      <c r="H5299" s="1">
        <v>132</v>
      </c>
      <c r="I5299" s="3">
        <v>46286</v>
      </c>
      <c r="J5299" s="3">
        <v>46287</v>
      </c>
      <c r="K5299" s="3" t="s">
        <v>2374</v>
      </c>
      <c r="L5299" s="31">
        <v>46286.396107025459</v>
      </c>
      <c r="M5299" s="20">
        <v>6</v>
      </c>
      <c r="N5299" s="1">
        <v>11</v>
      </c>
    </row>
    <row r="5300" spans="1:14" x14ac:dyDescent="0.25">
      <c r="A5300" t="str">
        <f t="shared" si="166"/>
        <v>U152839U152839</v>
      </c>
      <c r="B5300" t="str">
        <f t="shared" si="167"/>
        <v>U152839I6039JD-M</v>
      </c>
      <c r="C5300" s="1" t="s">
        <v>60</v>
      </c>
      <c r="D5300" s="1" t="s">
        <v>794</v>
      </c>
      <c r="E5300" s="1" t="s">
        <v>436</v>
      </c>
      <c r="F5300" s="1" t="s">
        <v>443</v>
      </c>
      <c r="G5300" s="1" t="s">
        <v>444</v>
      </c>
      <c r="H5300" s="1">
        <v>132</v>
      </c>
      <c r="I5300" s="3">
        <v>46286</v>
      </c>
      <c r="J5300" s="3">
        <v>46287</v>
      </c>
      <c r="K5300" s="3" t="s">
        <v>2374</v>
      </c>
      <c r="L5300" s="31">
        <v>46286.396279282402</v>
      </c>
      <c r="M5300" s="20">
        <v>6</v>
      </c>
      <c r="N5300" s="1">
        <v>13</v>
      </c>
    </row>
    <row r="5301" spans="1:14" x14ac:dyDescent="0.25">
      <c r="A5301" t="str">
        <f t="shared" si="166"/>
        <v>U152839U152839</v>
      </c>
      <c r="B5301" t="str">
        <f t="shared" si="167"/>
        <v>U152839I6039JD-M</v>
      </c>
      <c r="C5301" s="1" t="s">
        <v>60</v>
      </c>
      <c r="D5301" s="1" t="s">
        <v>794</v>
      </c>
      <c r="E5301" s="1" t="s">
        <v>436</v>
      </c>
      <c r="F5301" s="1" t="s">
        <v>443</v>
      </c>
      <c r="G5301" s="1" t="s">
        <v>444</v>
      </c>
      <c r="H5301" s="1">
        <v>132</v>
      </c>
      <c r="I5301" s="3">
        <v>46286</v>
      </c>
      <c r="J5301" s="3">
        <v>46287</v>
      </c>
      <c r="K5301" s="3" t="s">
        <v>2374</v>
      </c>
      <c r="L5301" s="31">
        <v>46286.402457407406</v>
      </c>
      <c r="M5301" s="20">
        <v>6</v>
      </c>
      <c r="N5301" s="1">
        <v>8</v>
      </c>
    </row>
    <row r="5302" spans="1:14" x14ac:dyDescent="0.25">
      <c r="A5302" t="str">
        <f t="shared" si="166"/>
        <v>U152839U152839</v>
      </c>
      <c r="B5302" t="str">
        <f t="shared" si="167"/>
        <v>U152839I6039JD-M</v>
      </c>
      <c r="C5302" s="1" t="s">
        <v>60</v>
      </c>
      <c r="D5302" s="1" t="s">
        <v>794</v>
      </c>
      <c r="E5302" s="1" t="s">
        <v>436</v>
      </c>
      <c r="F5302" s="1" t="s">
        <v>443</v>
      </c>
      <c r="G5302" s="1" t="s">
        <v>444</v>
      </c>
      <c r="H5302" s="1">
        <v>132</v>
      </c>
      <c r="I5302" s="3">
        <v>46286</v>
      </c>
      <c r="J5302" s="3">
        <v>46287</v>
      </c>
      <c r="K5302" s="3" t="s">
        <v>2374</v>
      </c>
      <c r="L5302" s="31">
        <v>46286.421774803239</v>
      </c>
      <c r="M5302" s="20">
        <v>6</v>
      </c>
      <c r="N5302" s="1">
        <v>16</v>
      </c>
    </row>
    <row r="5303" spans="1:14" x14ac:dyDescent="0.25">
      <c r="A5303" t="str">
        <f t="shared" si="166"/>
        <v>U152839U152839</v>
      </c>
      <c r="B5303" t="str">
        <f t="shared" si="167"/>
        <v>U152839I6039JD-M</v>
      </c>
      <c r="C5303" s="1" t="s">
        <v>60</v>
      </c>
      <c r="D5303" s="1" t="s">
        <v>794</v>
      </c>
      <c r="E5303" s="1" t="s">
        <v>436</v>
      </c>
      <c r="F5303" s="1" t="s">
        <v>443</v>
      </c>
      <c r="G5303" s="1" t="s">
        <v>444</v>
      </c>
      <c r="H5303" s="1">
        <v>132</v>
      </c>
      <c r="I5303" s="3">
        <v>46286</v>
      </c>
      <c r="J5303" s="3">
        <v>46287</v>
      </c>
      <c r="K5303" s="3" t="s">
        <v>2374</v>
      </c>
      <c r="L5303" s="31">
        <v>46286.421926655094</v>
      </c>
      <c r="M5303" s="20">
        <v>6</v>
      </c>
      <c r="N5303" s="1">
        <v>14</v>
      </c>
    </row>
    <row r="5304" spans="1:14" x14ac:dyDescent="0.25">
      <c r="A5304" t="str">
        <f t="shared" si="166"/>
        <v>U152839U152839</v>
      </c>
      <c r="B5304" t="str">
        <f t="shared" si="167"/>
        <v>U152839I6039JD-M</v>
      </c>
      <c r="C5304" s="1" t="s">
        <v>60</v>
      </c>
      <c r="D5304" s="1" t="s">
        <v>794</v>
      </c>
      <c r="E5304" s="1" t="s">
        <v>436</v>
      </c>
      <c r="F5304" s="1" t="s">
        <v>443</v>
      </c>
      <c r="G5304" s="1" t="s">
        <v>444</v>
      </c>
      <c r="H5304" s="1">
        <v>132</v>
      </c>
      <c r="I5304" s="3">
        <v>46286</v>
      </c>
      <c r="J5304" s="3">
        <v>46287</v>
      </c>
      <c r="K5304" s="3" t="s">
        <v>2374</v>
      </c>
      <c r="L5304" s="31">
        <v>46286.468621990738</v>
      </c>
      <c r="M5304" s="20">
        <v>12</v>
      </c>
      <c r="N5304" s="1">
        <v>4</v>
      </c>
    </row>
    <row r="5305" spans="1:14" x14ac:dyDescent="0.25">
      <c r="A5305" t="str">
        <f t="shared" si="166"/>
        <v>U152839U152839</v>
      </c>
      <c r="B5305" t="str">
        <f t="shared" si="167"/>
        <v>U152839I6039JD-M</v>
      </c>
      <c r="C5305" s="1" t="s">
        <v>60</v>
      </c>
      <c r="D5305" s="1" t="s">
        <v>794</v>
      </c>
      <c r="E5305" s="1" t="s">
        <v>436</v>
      </c>
      <c r="F5305" s="1" t="s">
        <v>443</v>
      </c>
      <c r="G5305" s="1" t="s">
        <v>444</v>
      </c>
      <c r="H5305" s="1">
        <v>132</v>
      </c>
      <c r="I5305" s="3">
        <v>46286</v>
      </c>
      <c r="J5305" s="3">
        <v>46287</v>
      </c>
      <c r="K5305" s="3" t="s">
        <v>2374</v>
      </c>
      <c r="L5305" s="31">
        <v>46286.550896608795</v>
      </c>
      <c r="M5305" s="20">
        <v>12</v>
      </c>
      <c r="N5305" s="1">
        <v>3</v>
      </c>
    </row>
    <row r="5306" spans="1:14" x14ac:dyDescent="0.25">
      <c r="A5306" t="str">
        <f t="shared" si="166"/>
        <v>U152839U152839</v>
      </c>
      <c r="B5306" t="str">
        <f t="shared" si="167"/>
        <v>U152839I6039JD-M</v>
      </c>
      <c r="C5306" s="1" t="s">
        <v>60</v>
      </c>
      <c r="D5306" s="1" t="s">
        <v>794</v>
      </c>
      <c r="E5306" s="1" t="s">
        <v>436</v>
      </c>
      <c r="F5306" s="1" t="s">
        <v>443</v>
      </c>
      <c r="G5306" s="1" t="s">
        <v>444</v>
      </c>
      <c r="H5306" s="1">
        <v>132</v>
      </c>
      <c r="I5306" s="3">
        <v>46286</v>
      </c>
      <c r="J5306" s="3">
        <v>46287</v>
      </c>
      <c r="K5306" s="3" t="s">
        <v>2374</v>
      </c>
      <c r="L5306" s="31">
        <v>46286.583797997686</v>
      </c>
      <c r="M5306" s="20">
        <v>6</v>
      </c>
      <c r="N5306" s="1">
        <v>9</v>
      </c>
    </row>
    <row r="5307" spans="1:14" x14ac:dyDescent="0.25">
      <c r="A5307" t="str">
        <f t="shared" si="166"/>
        <v>U152839U152839</v>
      </c>
      <c r="B5307" t="str">
        <f t="shared" si="167"/>
        <v>U152839I6039JD-M</v>
      </c>
      <c r="C5307" s="1" t="s">
        <v>60</v>
      </c>
      <c r="D5307" s="1" t="s">
        <v>794</v>
      </c>
      <c r="E5307" s="1" t="s">
        <v>436</v>
      </c>
      <c r="F5307" s="1" t="s">
        <v>443</v>
      </c>
      <c r="G5307" s="1" t="s">
        <v>444</v>
      </c>
      <c r="H5307" s="1">
        <v>132</v>
      </c>
      <c r="I5307" s="3">
        <v>46286</v>
      </c>
      <c r="J5307" s="3">
        <v>46287</v>
      </c>
      <c r="K5307" s="3" t="s">
        <v>2374</v>
      </c>
      <c r="L5307" s="31">
        <v>46286.584004895834</v>
      </c>
      <c r="M5307" s="20">
        <v>6</v>
      </c>
      <c r="N5307" s="1">
        <v>15</v>
      </c>
    </row>
    <row r="5308" spans="1:14" x14ac:dyDescent="0.25">
      <c r="A5308" t="str">
        <f t="shared" si="166"/>
        <v>U152839U152839</v>
      </c>
      <c r="B5308" t="str">
        <f t="shared" si="167"/>
        <v>U152839I6039JD-W</v>
      </c>
      <c r="C5308" s="1" t="s">
        <v>62</v>
      </c>
      <c r="D5308" s="1" t="s">
        <v>794</v>
      </c>
      <c r="E5308" s="1" t="s">
        <v>436</v>
      </c>
      <c r="F5308" s="1" t="s">
        <v>443</v>
      </c>
      <c r="G5308" s="1" t="s">
        <v>444</v>
      </c>
      <c r="H5308" s="1">
        <v>42</v>
      </c>
      <c r="I5308" s="3">
        <v>46286</v>
      </c>
      <c r="J5308" s="3">
        <v>46287</v>
      </c>
      <c r="K5308" s="3" t="s">
        <v>2374</v>
      </c>
      <c r="L5308" s="31">
        <v>46286.584416284721</v>
      </c>
      <c r="M5308" s="20">
        <v>6</v>
      </c>
      <c r="N5308" s="1">
        <v>21</v>
      </c>
    </row>
    <row r="5309" spans="1:14" x14ac:dyDescent="0.25">
      <c r="A5309" t="str">
        <f t="shared" si="166"/>
        <v>U152839U152839</v>
      </c>
      <c r="B5309" t="str">
        <f t="shared" si="167"/>
        <v>U152839I6039JD-W</v>
      </c>
      <c r="C5309" s="1" t="s">
        <v>62</v>
      </c>
      <c r="D5309" s="1" t="s">
        <v>794</v>
      </c>
      <c r="E5309" s="1" t="s">
        <v>436</v>
      </c>
      <c r="F5309" s="1" t="s">
        <v>443</v>
      </c>
      <c r="G5309" s="1" t="s">
        <v>444</v>
      </c>
      <c r="H5309" s="1">
        <v>42</v>
      </c>
      <c r="I5309" s="3">
        <v>46286</v>
      </c>
      <c r="J5309" s="3">
        <v>46287</v>
      </c>
      <c r="K5309" s="3" t="s">
        <v>2374</v>
      </c>
      <c r="L5309" s="31">
        <v>46286.584620173606</v>
      </c>
      <c r="M5309" s="20">
        <v>6</v>
      </c>
      <c r="N5309" s="1">
        <v>18</v>
      </c>
    </row>
    <row r="5310" spans="1:14" x14ac:dyDescent="0.25">
      <c r="A5310" t="str">
        <f t="shared" si="166"/>
        <v>U152839U152839</v>
      </c>
      <c r="B5310" t="str">
        <f t="shared" si="167"/>
        <v>U152839I6039JD-M</v>
      </c>
      <c r="C5310" s="1" t="s">
        <v>60</v>
      </c>
      <c r="D5310" s="1" t="s">
        <v>794</v>
      </c>
      <c r="E5310" s="1" t="s">
        <v>436</v>
      </c>
      <c r="F5310" s="1" t="s">
        <v>443</v>
      </c>
      <c r="G5310" s="1" t="s">
        <v>444</v>
      </c>
      <c r="H5310" s="1">
        <v>132</v>
      </c>
      <c r="I5310" s="3">
        <v>46286</v>
      </c>
      <c r="J5310" s="3">
        <v>46287</v>
      </c>
      <c r="K5310" s="3" t="s">
        <v>2374</v>
      </c>
      <c r="L5310" s="31">
        <v>46286.617025659718</v>
      </c>
      <c r="M5310" s="20">
        <v>12</v>
      </c>
      <c r="N5310" s="1">
        <v>5</v>
      </c>
    </row>
    <row r="5311" spans="1:14" x14ac:dyDescent="0.25">
      <c r="A5311" t="str">
        <f t="shared" si="166"/>
        <v>U152839U152839</v>
      </c>
      <c r="B5311" t="str">
        <f t="shared" si="167"/>
        <v>U152839I6039JD-M</v>
      </c>
      <c r="C5311" s="1" t="s">
        <v>60</v>
      </c>
      <c r="D5311" s="1" t="s">
        <v>794</v>
      </c>
      <c r="E5311" s="1" t="s">
        <v>436</v>
      </c>
      <c r="F5311" s="1" t="s">
        <v>443</v>
      </c>
      <c r="G5311" s="1" t="s">
        <v>444</v>
      </c>
      <c r="H5311" s="1">
        <v>132</v>
      </c>
      <c r="I5311" s="3">
        <v>46286</v>
      </c>
      <c r="J5311" s="3">
        <v>46287</v>
      </c>
      <c r="K5311" s="3" t="s">
        <v>2374</v>
      </c>
      <c r="L5311" s="31">
        <v>46286.62436793981</v>
      </c>
      <c r="M5311" s="20">
        <v>12</v>
      </c>
      <c r="N5311" s="1">
        <v>2</v>
      </c>
    </row>
    <row r="5312" spans="1:14" x14ac:dyDescent="0.25">
      <c r="A5312" t="str">
        <f t="shared" si="166"/>
        <v>U152839U152839</v>
      </c>
      <c r="B5312" t="str">
        <f t="shared" si="167"/>
        <v>U152839I6039JD-W</v>
      </c>
      <c r="C5312" s="1" t="s">
        <v>62</v>
      </c>
      <c r="D5312" s="1" t="s">
        <v>794</v>
      </c>
      <c r="E5312" s="1" t="s">
        <v>436</v>
      </c>
      <c r="F5312" s="1" t="s">
        <v>443</v>
      </c>
      <c r="G5312" s="1" t="s">
        <v>444</v>
      </c>
      <c r="H5312" s="1">
        <v>42</v>
      </c>
      <c r="I5312" s="3">
        <v>46286</v>
      </c>
      <c r="J5312" s="3">
        <v>46287</v>
      </c>
      <c r="K5312" s="3" t="s">
        <v>2374</v>
      </c>
      <c r="L5312" s="31">
        <v>46286.654478275464</v>
      </c>
      <c r="M5312" s="20">
        <v>6</v>
      </c>
      <c r="N5312" s="1">
        <v>23</v>
      </c>
    </row>
    <row r="5313" spans="1:14" x14ac:dyDescent="0.25">
      <c r="A5313" t="str">
        <f t="shared" si="166"/>
        <v>U152839U152839</v>
      </c>
      <c r="B5313" t="str">
        <f t="shared" si="167"/>
        <v>U152839I6039JD-W</v>
      </c>
      <c r="C5313" s="1" t="s">
        <v>62</v>
      </c>
      <c r="D5313" s="1" t="s">
        <v>794</v>
      </c>
      <c r="E5313" s="1" t="s">
        <v>436</v>
      </c>
      <c r="F5313" s="1" t="s">
        <v>443</v>
      </c>
      <c r="G5313" s="1" t="s">
        <v>444</v>
      </c>
      <c r="H5313" s="1">
        <v>42</v>
      </c>
      <c r="I5313" s="3">
        <v>46286</v>
      </c>
      <c r="J5313" s="3">
        <v>46287</v>
      </c>
      <c r="K5313" s="3" t="s">
        <v>2374</v>
      </c>
      <c r="L5313" s="31">
        <v>46286.680451388886</v>
      </c>
      <c r="M5313" s="20">
        <v>6</v>
      </c>
      <c r="N5313" s="1">
        <v>22</v>
      </c>
    </row>
    <row r="5314" spans="1:14" x14ac:dyDescent="0.25">
      <c r="A5314" t="str">
        <f t="shared" ref="A5314:A5377" si="168">+D5314&amp;D5314</f>
        <v>U152839U152839</v>
      </c>
      <c r="B5314" t="str">
        <f t="shared" ref="B5314:B5377" si="169">+D5314&amp;C5314</f>
        <v>U152839I6039JD-W</v>
      </c>
      <c r="C5314" s="1" t="s">
        <v>62</v>
      </c>
      <c r="D5314" s="1" t="s">
        <v>794</v>
      </c>
      <c r="E5314" s="1" t="s">
        <v>436</v>
      </c>
      <c r="F5314" s="1" t="s">
        <v>443</v>
      </c>
      <c r="G5314" s="1" t="s">
        <v>444</v>
      </c>
      <c r="H5314" s="1">
        <v>42</v>
      </c>
      <c r="I5314" s="3">
        <v>46286</v>
      </c>
      <c r="J5314" s="3">
        <v>46287</v>
      </c>
      <c r="K5314" s="3" t="s">
        <v>2374</v>
      </c>
      <c r="L5314" s="31">
        <v>46286.683290543981</v>
      </c>
      <c r="M5314" s="20">
        <v>6</v>
      </c>
      <c r="N5314" s="1">
        <v>17</v>
      </c>
    </row>
    <row r="5315" spans="1:14" x14ac:dyDescent="0.25">
      <c r="A5315" t="str">
        <f t="shared" si="168"/>
        <v>U152839U152839</v>
      </c>
      <c r="B5315" t="str">
        <f t="shared" si="169"/>
        <v>U152839I6039JD-W</v>
      </c>
      <c r="C5315" s="1" t="s">
        <v>62</v>
      </c>
      <c r="D5315" s="1" t="s">
        <v>794</v>
      </c>
      <c r="E5315" s="1" t="s">
        <v>436</v>
      </c>
      <c r="F5315" s="1" t="s">
        <v>443</v>
      </c>
      <c r="G5315" s="1" t="s">
        <v>444</v>
      </c>
      <c r="H5315" s="1">
        <v>42</v>
      </c>
      <c r="I5315" s="3">
        <v>46286</v>
      </c>
      <c r="J5315" s="3">
        <v>46287</v>
      </c>
      <c r="K5315" s="3" t="s">
        <v>2374</v>
      </c>
      <c r="L5315" s="31">
        <v>46286.701171446759</v>
      </c>
      <c r="M5315" s="20">
        <v>6</v>
      </c>
      <c r="N5315" s="1">
        <v>20</v>
      </c>
    </row>
    <row r="5316" spans="1:14" x14ac:dyDescent="0.25">
      <c r="A5316" t="str">
        <f t="shared" si="168"/>
        <v>U152853U152853</v>
      </c>
      <c r="B5316" t="str">
        <f t="shared" si="169"/>
        <v>U152853I6038PU-W</v>
      </c>
      <c r="C5316" s="1" t="s">
        <v>819</v>
      </c>
      <c r="D5316" s="1" t="s">
        <v>820</v>
      </c>
      <c r="E5316" s="1" t="s">
        <v>436</v>
      </c>
      <c r="F5316" s="1" t="s">
        <v>443</v>
      </c>
      <c r="G5316" s="1" t="s">
        <v>457</v>
      </c>
      <c r="H5316" s="1">
        <v>168</v>
      </c>
      <c r="I5316" s="3">
        <v>46286</v>
      </c>
      <c r="L5316" s="31">
        <v>46286.605536770832</v>
      </c>
      <c r="M5316" s="20">
        <v>6</v>
      </c>
      <c r="N5316" s="1">
        <v>41</v>
      </c>
    </row>
    <row r="5317" spans="1:14" x14ac:dyDescent="0.25">
      <c r="A5317" t="str">
        <f t="shared" si="168"/>
        <v>U152853U152853</v>
      </c>
      <c r="B5317" t="str">
        <f t="shared" si="169"/>
        <v>U152853I6038PU-W</v>
      </c>
      <c r="C5317" s="1" t="s">
        <v>819</v>
      </c>
      <c r="D5317" s="1" t="s">
        <v>820</v>
      </c>
      <c r="E5317" s="1" t="s">
        <v>436</v>
      </c>
      <c r="F5317" s="1" t="s">
        <v>443</v>
      </c>
      <c r="G5317" s="1" t="s">
        <v>457</v>
      </c>
      <c r="H5317" s="1">
        <v>168</v>
      </c>
      <c r="I5317" s="3">
        <v>46286</v>
      </c>
      <c r="L5317" s="31">
        <v>46286.606033680553</v>
      </c>
      <c r="M5317" s="20">
        <v>6</v>
      </c>
      <c r="N5317" s="1">
        <v>36</v>
      </c>
    </row>
    <row r="5318" spans="1:14" x14ac:dyDescent="0.25">
      <c r="A5318" t="str">
        <f t="shared" si="168"/>
        <v>U152853U152853</v>
      </c>
      <c r="B5318" t="str">
        <f t="shared" si="169"/>
        <v>U152853I6038PU-W</v>
      </c>
      <c r="C5318" s="1" t="s">
        <v>819</v>
      </c>
      <c r="D5318" s="1" t="s">
        <v>820</v>
      </c>
      <c r="E5318" s="1" t="s">
        <v>436</v>
      </c>
      <c r="F5318" s="1" t="s">
        <v>443</v>
      </c>
      <c r="G5318" s="1" t="s">
        <v>457</v>
      </c>
      <c r="H5318" s="1">
        <v>168</v>
      </c>
      <c r="I5318" s="3">
        <v>46286</v>
      </c>
      <c r="L5318" s="31">
        <v>46286.606685995372</v>
      </c>
      <c r="M5318" s="20">
        <v>6</v>
      </c>
      <c r="N5318" s="1">
        <v>37</v>
      </c>
    </row>
    <row r="5319" spans="1:14" x14ac:dyDescent="0.25">
      <c r="A5319" t="str">
        <f t="shared" si="168"/>
        <v>U152853U152853</v>
      </c>
      <c r="B5319" t="str">
        <f t="shared" si="169"/>
        <v>U152853I6038PU-W</v>
      </c>
      <c r="C5319" s="1" t="s">
        <v>819</v>
      </c>
      <c r="D5319" s="1" t="s">
        <v>820</v>
      </c>
      <c r="E5319" s="1" t="s">
        <v>436</v>
      </c>
      <c r="F5319" s="1" t="s">
        <v>443</v>
      </c>
      <c r="G5319" s="1" t="s">
        <v>457</v>
      </c>
      <c r="H5319" s="1">
        <v>168</v>
      </c>
      <c r="I5319" s="3">
        <v>46286</v>
      </c>
      <c r="L5319" s="31">
        <v>46286.623097766205</v>
      </c>
      <c r="M5319" s="20">
        <v>6</v>
      </c>
      <c r="N5319" s="1">
        <v>39</v>
      </c>
    </row>
    <row r="5320" spans="1:14" x14ac:dyDescent="0.25">
      <c r="A5320" t="str">
        <f t="shared" si="168"/>
        <v>U152853U152853</v>
      </c>
      <c r="B5320" t="str">
        <f t="shared" si="169"/>
        <v>U152853I6038PU-M</v>
      </c>
      <c r="C5320" s="1" t="s">
        <v>824</v>
      </c>
      <c r="D5320" s="1" t="s">
        <v>820</v>
      </c>
      <c r="E5320" s="1" t="s">
        <v>436</v>
      </c>
      <c r="F5320" s="1" t="s">
        <v>443</v>
      </c>
      <c r="G5320" s="1" t="s">
        <v>457</v>
      </c>
      <c r="H5320" s="1">
        <v>246</v>
      </c>
      <c r="I5320" s="3">
        <v>46286</v>
      </c>
      <c r="L5320" s="31">
        <v>46286.646632557866</v>
      </c>
      <c r="M5320" s="20">
        <v>12</v>
      </c>
      <c r="N5320" s="1">
        <v>6</v>
      </c>
    </row>
    <row r="5321" spans="1:14" x14ac:dyDescent="0.25">
      <c r="A5321" t="str">
        <f t="shared" si="168"/>
        <v>U152853U152853</v>
      </c>
      <c r="B5321" t="str">
        <f t="shared" si="169"/>
        <v>U152853I6038PU-M</v>
      </c>
      <c r="C5321" s="1" t="s">
        <v>824</v>
      </c>
      <c r="D5321" s="1" t="s">
        <v>820</v>
      </c>
      <c r="E5321" s="1" t="s">
        <v>436</v>
      </c>
      <c r="F5321" s="1" t="s">
        <v>443</v>
      </c>
      <c r="G5321" s="1" t="s">
        <v>457</v>
      </c>
      <c r="H5321" s="1">
        <v>246</v>
      </c>
      <c r="I5321" s="3">
        <v>46286</v>
      </c>
      <c r="L5321" s="31">
        <v>46286.647014004629</v>
      </c>
      <c r="M5321" s="20">
        <v>12</v>
      </c>
      <c r="N5321" s="1">
        <v>12</v>
      </c>
    </row>
    <row r="5322" spans="1:14" x14ac:dyDescent="0.25">
      <c r="A5322" t="str">
        <f t="shared" si="168"/>
        <v>U152853U152853</v>
      </c>
      <c r="B5322" t="str">
        <f t="shared" si="169"/>
        <v>U152853I6038PU-W</v>
      </c>
      <c r="C5322" s="1" t="s">
        <v>819</v>
      </c>
      <c r="D5322" s="1" t="s">
        <v>820</v>
      </c>
      <c r="E5322" s="1" t="s">
        <v>436</v>
      </c>
      <c r="F5322" s="1" t="s">
        <v>443</v>
      </c>
      <c r="G5322" s="1" t="s">
        <v>457</v>
      </c>
      <c r="H5322" s="1">
        <v>168</v>
      </c>
      <c r="I5322" s="3">
        <v>46286</v>
      </c>
      <c r="L5322" s="31">
        <v>46286.682233761574</v>
      </c>
      <c r="M5322" s="20">
        <v>12</v>
      </c>
      <c r="N5322" s="1">
        <v>26</v>
      </c>
    </row>
    <row r="5323" spans="1:14" x14ac:dyDescent="0.25">
      <c r="A5323" t="str">
        <f t="shared" si="168"/>
        <v>U152853U152853</v>
      </c>
      <c r="B5323" t="str">
        <f t="shared" si="169"/>
        <v>U152853I6038PU-M</v>
      </c>
      <c r="C5323" s="1" t="s">
        <v>824</v>
      </c>
      <c r="D5323" s="1" t="s">
        <v>820</v>
      </c>
      <c r="E5323" s="1" t="s">
        <v>436</v>
      </c>
      <c r="F5323" s="1" t="s">
        <v>443</v>
      </c>
      <c r="G5323" s="1" t="s">
        <v>457</v>
      </c>
      <c r="H5323" s="1">
        <v>246</v>
      </c>
      <c r="I5323" s="3">
        <v>46286</v>
      </c>
      <c r="L5323" s="31">
        <v>46286.682753090274</v>
      </c>
      <c r="M5323" s="20">
        <v>12</v>
      </c>
      <c r="N5323" s="1">
        <v>17</v>
      </c>
    </row>
    <row r="5324" spans="1:14" x14ac:dyDescent="0.25">
      <c r="A5324" t="str">
        <f t="shared" si="168"/>
        <v>U152853U152853</v>
      </c>
      <c r="B5324" t="str">
        <f t="shared" si="169"/>
        <v>U152853I6038PU-M</v>
      </c>
      <c r="C5324" s="1" t="s">
        <v>824</v>
      </c>
      <c r="D5324" s="1" t="s">
        <v>820</v>
      </c>
      <c r="E5324" s="1" t="s">
        <v>436</v>
      </c>
      <c r="F5324" s="1" t="s">
        <v>443</v>
      </c>
      <c r="G5324" s="1" t="s">
        <v>457</v>
      </c>
      <c r="H5324" s="1">
        <v>246</v>
      </c>
      <c r="I5324" s="3">
        <v>46286</v>
      </c>
      <c r="L5324" s="31">
        <v>46286.701778738425</v>
      </c>
      <c r="M5324" s="20">
        <v>12</v>
      </c>
      <c r="N5324" s="1">
        <v>16</v>
      </c>
    </row>
    <row r="5325" spans="1:14" x14ac:dyDescent="0.25">
      <c r="A5325" t="str">
        <f t="shared" si="168"/>
        <v>U152853U152853</v>
      </c>
      <c r="B5325" t="str">
        <f t="shared" si="169"/>
        <v>U152853I6038PU-M</v>
      </c>
      <c r="C5325" s="1" t="s">
        <v>824</v>
      </c>
      <c r="D5325" s="1" t="s">
        <v>820</v>
      </c>
      <c r="E5325" s="1" t="s">
        <v>436</v>
      </c>
      <c r="F5325" s="1" t="s">
        <v>443</v>
      </c>
      <c r="G5325" s="1" t="s">
        <v>457</v>
      </c>
      <c r="H5325" s="1">
        <v>246</v>
      </c>
      <c r="I5325" s="3">
        <v>46286</v>
      </c>
      <c r="L5325" s="31">
        <v>46286.702323611113</v>
      </c>
      <c r="M5325" s="20">
        <v>12</v>
      </c>
      <c r="N5325" s="1">
        <v>7</v>
      </c>
    </row>
    <row r="5326" spans="1:14" x14ac:dyDescent="0.25">
      <c r="A5326" t="str">
        <f t="shared" si="168"/>
        <v>U152853U152853</v>
      </c>
      <c r="B5326" t="str">
        <f t="shared" si="169"/>
        <v>U152853I6038PU-M</v>
      </c>
      <c r="C5326" s="1" t="s">
        <v>824</v>
      </c>
      <c r="D5326" s="1" t="s">
        <v>820</v>
      </c>
      <c r="E5326" s="1" t="s">
        <v>436</v>
      </c>
      <c r="F5326" s="1" t="s">
        <v>443</v>
      </c>
      <c r="G5326" s="1" t="s">
        <v>457</v>
      </c>
      <c r="H5326" s="1">
        <v>246</v>
      </c>
      <c r="I5326" s="3">
        <v>46286</v>
      </c>
      <c r="L5326" s="31">
        <v>46286.702512465279</v>
      </c>
      <c r="M5326" s="20">
        <v>12</v>
      </c>
      <c r="N5326" s="1">
        <v>14</v>
      </c>
    </row>
    <row r="5327" spans="1:14" x14ac:dyDescent="0.25">
      <c r="A5327" t="str">
        <f t="shared" si="168"/>
        <v>78750067875006</v>
      </c>
      <c r="B5327" t="str">
        <f t="shared" si="169"/>
        <v>7875006P906011M-M</v>
      </c>
      <c r="C5327" s="1" t="s">
        <v>787</v>
      </c>
      <c r="D5327" s="1" t="s">
        <v>833</v>
      </c>
      <c r="E5327" s="1" t="s">
        <v>2313</v>
      </c>
      <c r="F5327" s="1" t="s">
        <v>2314</v>
      </c>
      <c r="G5327" s="1" t="s">
        <v>394</v>
      </c>
      <c r="H5327" s="1">
        <v>450</v>
      </c>
      <c r="I5327" s="3">
        <v>46287</v>
      </c>
      <c r="L5327" s="31">
        <v>46287.353824155092</v>
      </c>
      <c r="M5327" s="20">
        <v>6</v>
      </c>
      <c r="N5327" s="1">
        <v>53</v>
      </c>
    </row>
    <row r="5328" spans="1:14" x14ac:dyDescent="0.25">
      <c r="A5328" t="str">
        <f t="shared" si="168"/>
        <v>78750067875006</v>
      </c>
      <c r="B5328" t="str">
        <f t="shared" si="169"/>
        <v>7875006P906011M-M</v>
      </c>
      <c r="C5328" s="1" t="s">
        <v>787</v>
      </c>
      <c r="D5328" s="1" t="s">
        <v>833</v>
      </c>
      <c r="E5328" s="1" t="s">
        <v>2313</v>
      </c>
      <c r="F5328" s="1" t="s">
        <v>2314</v>
      </c>
      <c r="G5328" s="1" t="s">
        <v>394</v>
      </c>
      <c r="H5328" s="1">
        <v>450</v>
      </c>
      <c r="I5328" s="3">
        <v>46287</v>
      </c>
      <c r="L5328" s="31">
        <v>46287.354254166668</v>
      </c>
      <c r="M5328" s="20">
        <v>6</v>
      </c>
      <c r="N5328" s="1">
        <v>68</v>
      </c>
    </row>
    <row r="5329" spans="1:14" x14ac:dyDescent="0.25">
      <c r="A5329" t="str">
        <f t="shared" si="168"/>
        <v>78750067875006</v>
      </c>
      <c r="B5329" t="str">
        <f t="shared" si="169"/>
        <v>7875006P906011M-M</v>
      </c>
      <c r="C5329" s="1" t="s">
        <v>787</v>
      </c>
      <c r="D5329" s="1" t="s">
        <v>833</v>
      </c>
      <c r="E5329" s="1" t="s">
        <v>2313</v>
      </c>
      <c r="F5329" s="1" t="s">
        <v>2314</v>
      </c>
      <c r="G5329" s="1" t="s">
        <v>394</v>
      </c>
      <c r="H5329" s="1">
        <v>450</v>
      </c>
      <c r="I5329" s="3">
        <v>46287</v>
      </c>
      <c r="L5329" s="31">
        <v>46287.354917210643</v>
      </c>
      <c r="M5329" s="20">
        <v>6</v>
      </c>
      <c r="N5329" s="1">
        <v>65</v>
      </c>
    </row>
    <row r="5330" spans="1:14" x14ac:dyDescent="0.25">
      <c r="A5330" t="str">
        <f t="shared" si="168"/>
        <v>78750067875006</v>
      </c>
      <c r="B5330" t="str">
        <f t="shared" si="169"/>
        <v>7875006P906011M-M</v>
      </c>
      <c r="C5330" s="1" t="s">
        <v>787</v>
      </c>
      <c r="D5330" s="1" t="s">
        <v>833</v>
      </c>
      <c r="E5330" s="1" t="s">
        <v>2313</v>
      </c>
      <c r="F5330" s="1" t="s">
        <v>2314</v>
      </c>
      <c r="G5330" s="1" t="s">
        <v>394</v>
      </c>
      <c r="H5330" s="1">
        <v>450</v>
      </c>
      <c r="I5330" s="3">
        <v>46287</v>
      </c>
      <c r="L5330" s="31">
        <v>46287.356114120368</v>
      </c>
      <c r="M5330" s="20">
        <v>6</v>
      </c>
      <c r="N5330" s="1">
        <v>66</v>
      </c>
    </row>
    <row r="5331" spans="1:14" x14ac:dyDescent="0.25">
      <c r="A5331" t="str">
        <f t="shared" si="168"/>
        <v>78750067875006</v>
      </c>
      <c r="B5331" t="str">
        <f t="shared" si="169"/>
        <v>7875006P906011M-M</v>
      </c>
      <c r="C5331" s="1" t="s">
        <v>787</v>
      </c>
      <c r="D5331" s="1" t="s">
        <v>833</v>
      </c>
      <c r="E5331" s="1" t="s">
        <v>2313</v>
      </c>
      <c r="F5331" s="1" t="s">
        <v>2314</v>
      </c>
      <c r="G5331" s="1" t="s">
        <v>394</v>
      </c>
      <c r="H5331" s="1">
        <v>450</v>
      </c>
      <c r="I5331" s="3">
        <v>46287</v>
      </c>
      <c r="L5331" s="31">
        <v>46287.356286076385</v>
      </c>
      <c r="M5331" s="20">
        <v>6</v>
      </c>
      <c r="N5331" s="1">
        <v>67</v>
      </c>
    </row>
    <row r="5332" spans="1:14" x14ac:dyDescent="0.25">
      <c r="A5332" t="str">
        <f t="shared" si="168"/>
        <v>78750067875006</v>
      </c>
      <c r="B5332" t="str">
        <f t="shared" si="169"/>
        <v>7875006P906011M-M</v>
      </c>
      <c r="C5332" s="1" t="s">
        <v>787</v>
      </c>
      <c r="D5332" s="1" t="s">
        <v>833</v>
      </c>
      <c r="E5332" s="1" t="s">
        <v>2313</v>
      </c>
      <c r="F5332" s="1" t="s">
        <v>2314</v>
      </c>
      <c r="G5332" s="1" t="s">
        <v>394</v>
      </c>
      <c r="H5332" s="1">
        <v>450</v>
      </c>
      <c r="I5332" s="3">
        <v>46287</v>
      </c>
      <c r="L5332" s="31">
        <v>46287.364142557868</v>
      </c>
      <c r="M5332" s="20">
        <v>6</v>
      </c>
      <c r="N5332" s="1">
        <v>35</v>
      </c>
    </row>
    <row r="5333" spans="1:14" x14ac:dyDescent="0.25">
      <c r="A5333" t="str">
        <f t="shared" si="168"/>
        <v>78750067875006</v>
      </c>
      <c r="B5333" t="str">
        <f t="shared" si="169"/>
        <v>7875006P906011M-M</v>
      </c>
      <c r="C5333" s="1" t="s">
        <v>787</v>
      </c>
      <c r="D5333" s="1" t="s">
        <v>833</v>
      </c>
      <c r="E5333" s="1" t="s">
        <v>2313</v>
      </c>
      <c r="F5333" s="1" t="s">
        <v>2314</v>
      </c>
      <c r="G5333" s="1" t="s">
        <v>394</v>
      </c>
      <c r="H5333" s="1">
        <v>450</v>
      </c>
      <c r="I5333" s="3">
        <v>46287</v>
      </c>
      <c r="L5333" s="31">
        <v>46287.364503553239</v>
      </c>
      <c r="M5333" s="20">
        <v>6</v>
      </c>
      <c r="N5333" s="1">
        <v>36</v>
      </c>
    </row>
    <row r="5334" spans="1:14" x14ac:dyDescent="0.25">
      <c r="A5334" t="str">
        <f t="shared" si="168"/>
        <v>78750067875006</v>
      </c>
      <c r="B5334" t="str">
        <f t="shared" si="169"/>
        <v>7875006P906011M-M</v>
      </c>
      <c r="C5334" s="1" t="s">
        <v>787</v>
      </c>
      <c r="D5334" s="1" t="s">
        <v>833</v>
      </c>
      <c r="E5334" s="1" t="s">
        <v>2313</v>
      </c>
      <c r="F5334" s="1" t="s">
        <v>2314</v>
      </c>
      <c r="G5334" s="1" t="s">
        <v>394</v>
      </c>
      <c r="H5334" s="1">
        <v>450</v>
      </c>
      <c r="I5334" s="3">
        <v>46287</v>
      </c>
      <c r="L5334" s="31">
        <v>46287.364909525459</v>
      </c>
      <c r="M5334" s="20">
        <v>6</v>
      </c>
      <c r="N5334" s="1">
        <v>34</v>
      </c>
    </row>
    <row r="5335" spans="1:14" x14ac:dyDescent="0.25">
      <c r="A5335" t="str">
        <f t="shared" si="168"/>
        <v>78750067875006</v>
      </c>
      <c r="B5335" t="str">
        <f t="shared" si="169"/>
        <v>7875006P906011M-M</v>
      </c>
      <c r="C5335" s="1" t="s">
        <v>787</v>
      </c>
      <c r="D5335" s="1" t="s">
        <v>833</v>
      </c>
      <c r="E5335" s="1" t="s">
        <v>2313</v>
      </c>
      <c r="F5335" s="1" t="s">
        <v>2314</v>
      </c>
      <c r="G5335" s="1" t="s">
        <v>394</v>
      </c>
      <c r="H5335" s="1">
        <v>450</v>
      </c>
      <c r="I5335" s="3">
        <v>46287</v>
      </c>
      <c r="L5335" s="31">
        <v>46287.372825925922</v>
      </c>
      <c r="M5335" s="20">
        <v>6</v>
      </c>
      <c r="N5335" s="1">
        <v>20</v>
      </c>
    </row>
    <row r="5336" spans="1:14" x14ac:dyDescent="0.25">
      <c r="A5336" t="str">
        <f t="shared" si="168"/>
        <v>78750067875006</v>
      </c>
      <c r="B5336" t="str">
        <f t="shared" si="169"/>
        <v>7875006P906011M-M</v>
      </c>
      <c r="C5336" s="1" t="s">
        <v>787</v>
      </c>
      <c r="D5336" s="1" t="s">
        <v>833</v>
      </c>
      <c r="E5336" s="1" t="s">
        <v>2313</v>
      </c>
      <c r="F5336" s="1" t="s">
        <v>2314</v>
      </c>
      <c r="G5336" s="1" t="s">
        <v>394</v>
      </c>
      <c r="H5336" s="1">
        <v>450</v>
      </c>
      <c r="I5336" s="3">
        <v>46287</v>
      </c>
      <c r="L5336" s="31">
        <v>46287.373221412032</v>
      </c>
      <c r="M5336" s="20">
        <v>6</v>
      </c>
      <c r="N5336" s="1">
        <v>70</v>
      </c>
    </row>
    <row r="5337" spans="1:14" x14ac:dyDescent="0.25">
      <c r="A5337" t="str">
        <f t="shared" si="168"/>
        <v>78750067875006</v>
      </c>
      <c r="B5337" t="str">
        <f t="shared" si="169"/>
        <v>7875006P906011M-M</v>
      </c>
      <c r="C5337" s="1" t="s">
        <v>787</v>
      </c>
      <c r="D5337" s="1" t="s">
        <v>833</v>
      </c>
      <c r="E5337" s="1" t="s">
        <v>2313</v>
      </c>
      <c r="F5337" s="1" t="s">
        <v>2314</v>
      </c>
      <c r="G5337" s="1" t="s">
        <v>394</v>
      </c>
      <c r="H5337" s="1">
        <v>450</v>
      </c>
      <c r="I5337" s="3">
        <v>46287</v>
      </c>
      <c r="L5337" s="31">
        <v>46287.373625810185</v>
      </c>
      <c r="M5337" s="20">
        <v>6</v>
      </c>
      <c r="N5337" s="1">
        <v>12</v>
      </c>
    </row>
    <row r="5338" spans="1:14" x14ac:dyDescent="0.25">
      <c r="A5338" t="str">
        <f t="shared" si="168"/>
        <v>78750067875006</v>
      </c>
      <c r="B5338" t="str">
        <f t="shared" si="169"/>
        <v>7875006P906011M-M</v>
      </c>
      <c r="C5338" s="1" t="s">
        <v>787</v>
      </c>
      <c r="D5338" s="1" t="s">
        <v>833</v>
      </c>
      <c r="E5338" s="1" t="s">
        <v>2313</v>
      </c>
      <c r="F5338" s="1" t="s">
        <v>2314</v>
      </c>
      <c r="G5338" s="1" t="s">
        <v>394</v>
      </c>
      <c r="H5338" s="1">
        <v>450</v>
      </c>
      <c r="I5338" s="3">
        <v>46287</v>
      </c>
      <c r="L5338" s="31">
        <v>46287.374214120369</v>
      </c>
      <c r="M5338" s="20">
        <v>6</v>
      </c>
      <c r="N5338" s="1">
        <v>52</v>
      </c>
    </row>
    <row r="5339" spans="1:14" x14ac:dyDescent="0.25">
      <c r="A5339" t="str">
        <f t="shared" si="168"/>
        <v>78750067875006</v>
      </c>
      <c r="B5339" t="str">
        <f t="shared" si="169"/>
        <v>7875006P906011M-M</v>
      </c>
      <c r="C5339" s="1" t="s">
        <v>787</v>
      </c>
      <c r="D5339" s="1" t="s">
        <v>833</v>
      </c>
      <c r="E5339" s="1" t="s">
        <v>2313</v>
      </c>
      <c r="F5339" s="1" t="s">
        <v>2314</v>
      </c>
      <c r="G5339" s="1" t="s">
        <v>394</v>
      </c>
      <c r="H5339" s="1">
        <v>450</v>
      </c>
      <c r="I5339" s="3">
        <v>46287</v>
      </c>
      <c r="L5339" s="31">
        <v>46287.381098923608</v>
      </c>
      <c r="M5339" s="20">
        <v>6</v>
      </c>
      <c r="N5339" s="1">
        <v>69</v>
      </c>
    </row>
    <row r="5340" spans="1:14" x14ac:dyDescent="0.25">
      <c r="A5340" t="str">
        <f t="shared" si="168"/>
        <v>78750067875006</v>
      </c>
      <c r="B5340" t="str">
        <f t="shared" si="169"/>
        <v>7875006P906011M-M</v>
      </c>
      <c r="C5340" s="1" t="s">
        <v>787</v>
      </c>
      <c r="D5340" s="1" t="s">
        <v>833</v>
      </c>
      <c r="E5340" s="1" t="s">
        <v>2313</v>
      </c>
      <c r="F5340" s="1" t="s">
        <v>2314</v>
      </c>
      <c r="G5340" s="1" t="s">
        <v>394</v>
      </c>
      <c r="H5340" s="1">
        <v>450</v>
      </c>
      <c r="I5340" s="3">
        <v>46287</v>
      </c>
      <c r="L5340" s="31">
        <v>46287.389595138884</v>
      </c>
      <c r="M5340" s="20">
        <v>6</v>
      </c>
      <c r="N5340" s="1">
        <v>55</v>
      </c>
    </row>
    <row r="5341" spans="1:14" x14ac:dyDescent="0.25">
      <c r="A5341" t="str">
        <f t="shared" si="168"/>
        <v>78750067875006</v>
      </c>
      <c r="B5341" t="str">
        <f t="shared" si="169"/>
        <v>7875006P906011M-M</v>
      </c>
      <c r="C5341" s="1" t="s">
        <v>787</v>
      </c>
      <c r="D5341" s="1" t="s">
        <v>833</v>
      </c>
      <c r="E5341" s="1" t="s">
        <v>2313</v>
      </c>
      <c r="F5341" s="1" t="s">
        <v>2314</v>
      </c>
      <c r="G5341" s="1" t="s">
        <v>394</v>
      </c>
      <c r="H5341" s="1">
        <v>450</v>
      </c>
      <c r="I5341" s="3">
        <v>46287</v>
      </c>
      <c r="L5341" s="31">
        <v>46287.38997225694</v>
      </c>
      <c r="M5341" s="20">
        <v>6</v>
      </c>
      <c r="N5341" s="1">
        <v>13</v>
      </c>
    </row>
    <row r="5342" spans="1:14" x14ac:dyDescent="0.25">
      <c r="A5342" t="str">
        <f t="shared" si="168"/>
        <v>78750067875006</v>
      </c>
      <c r="B5342" t="str">
        <f t="shared" si="169"/>
        <v>7875006P906011M-M</v>
      </c>
      <c r="C5342" s="1" t="s">
        <v>787</v>
      </c>
      <c r="D5342" s="1" t="s">
        <v>833</v>
      </c>
      <c r="E5342" s="1" t="s">
        <v>2313</v>
      </c>
      <c r="F5342" s="1" t="s">
        <v>2314</v>
      </c>
      <c r="G5342" s="1" t="s">
        <v>394</v>
      </c>
      <c r="H5342" s="1">
        <v>450</v>
      </c>
      <c r="I5342" s="3">
        <v>46287</v>
      </c>
      <c r="L5342" s="31">
        <v>46287.39051420139</v>
      </c>
      <c r="M5342" s="20">
        <v>6</v>
      </c>
      <c r="N5342" s="1">
        <v>72</v>
      </c>
    </row>
    <row r="5343" spans="1:14" x14ac:dyDescent="0.25">
      <c r="A5343" t="str">
        <f t="shared" si="168"/>
        <v>78750067875006</v>
      </c>
      <c r="B5343" t="str">
        <f t="shared" si="169"/>
        <v>7875006P906011M-M</v>
      </c>
      <c r="C5343" s="1" t="s">
        <v>787</v>
      </c>
      <c r="D5343" s="1" t="s">
        <v>833</v>
      </c>
      <c r="E5343" s="1" t="s">
        <v>2313</v>
      </c>
      <c r="F5343" s="1" t="s">
        <v>2314</v>
      </c>
      <c r="G5343" s="1" t="s">
        <v>394</v>
      </c>
      <c r="H5343" s="1">
        <v>450</v>
      </c>
      <c r="I5343" s="3">
        <v>46287</v>
      </c>
      <c r="L5343" s="31">
        <v>46287.390921909719</v>
      </c>
      <c r="M5343" s="20">
        <v>6</v>
      </c>
      <c r="N5343" s="1">
        <v>21</v>
      </c>
    </row>
    <row r="5344" spans="1:14" x14ac:dyDescent="0.25">
      <c r="A5344" t="str">
        <f t="shared" si="168"/>
        <v>78750067875006</v>
      </c>
      <c r="B5344" t="str">
        <f t="shared" si="169"/>
        <v>7875006P906011M-M</v>
      </c>
      <c r="C5344" s="1" t="s">
        <v>787</v>
      </c>
      <c r="D5344" s="1" t="s">
        <v>833</v>
      </c>
      <c r="E5344" s="1" t="s">
        <v>2313</v>
      </c>
      <c r="F5344" s="1" t="s">
        <v>2314</v>
      </c>
      <c r="G5344" s="1" t="s">
        <v>394</v>
      </c>
      <c r="H5344" s="1">
        <v>450</v>
      </c>
      <c r="I5344" s="3">
        <v>46287</v>
      </c>
      <c r="L5344" s="31">
        <v>46287.419063923611</v>
      </c>
      <c r="M5344" s="20">
        <v>6</v>
      </c>
      <c r="N5344" s="1">
        <v>32</v>
      </c>
    </row>
    <row r="5345" spans="1:14" x14ac:dyDescent="0.25">
      <c r="A5345" t="str">
        <f t="shared" si="168"/>
        <v>78750067875006</v>
      </c>
      <c r="B5345" t="str">
        <f t="shared" si="169"/>
        <v>7875006P906011M-M</v>
      </c>
      <c r="C5345" s="1" t="s">
        <v>787</v>
      </c>
      <c r="D5345" s="1" t="s">
        <v>833</v>
      </c>
      <c r="E5345" s="1" t="s">
        <v>2313</v>
      </c>
      <c r="F5345" s="1" t="s">
        <v>2314</v>
      </c>
      <c r="G5345" s="1" t="s">
        <v>394</v>
      </c>
      <c r="H5345" s="1">
        <v>450</v>
      </c>
      <c r="I5345" s="3">
        <v>46287</v>
      </c>
      <c r="L5345" s="31">
        <v>46287.424644178238</v>
      </c>
      <c r="M5345" s="20">
        <v>6</v>
      </c>
      <c r="N5345" s="1">
        <v>33</v>
      </c>
    </row>
    <row r="5346" spans="1:14" x14ac:dyDescent="0.25">
      <c r="A5346" t="str">
        <f t="shared" si="168"/>
        <v>78750067875006</v>
      </c>
      <c r="B5346" t="str">
        <f t="shared" si="169"/>
        <v>7875006P906011M-M</v>
      </c>
      <c r="C5346" s="1" t="s">
        <v>787</v>
      </c>
      <c r="D5346" s="1" t="s">
        <v>833</v>
      </c>
      <c r="E5346" s="1" t="s">
        <v>2313</v>
      </c>
      <c r="F5346" s="1" t="s">
        <v>2314</v>
      </c>
      <c r="G5346" s="1" t="s">
        <v>394</v>
      </c>
      <c r="H5346" s="1">
        <v>450</v>
      </c>
      <c r="I5346" s="3">
        <v>46287</v>
      </c>
      <c r="L5346" s="31">
        <v>46287.425565509257</v>
      </c>
      <c r="M5346" s="20">
        <v>6</v>
      </c>
      <c r="N5346" s="1">
        <v>56</v>
      </c>
    </row>
    <row r="5347" spans="1:14" x14ac:dyDescent="0.25">
      <c r="A5347" t="str">
        <f t="shared" si="168"/>
        <v>78750067875006</v>
      </c>
      <c r="B5347" t="str">
        <f t="shared" si="169"/>
        <v>7875006P906011M-M</v>
      </c>
      <c r="C5347" s="1" t="s">
        <v>787</v>
      </c>
      <c r="D5347" s="1" t="s">
        <v>833</v>
      </c>
      <c r="E5347" s="1" t="s">
        <v>2313</v>
      </c>
      <c r="F5347" s="1" t="s">
        <v>2314</v>
      </c>
      <c r="G5347" s="1" t="s">
        <v>394</v>
      </c>
      <c r="H5347" s="1">
        <v>450</v>
      </c>
      <c r="I5347" s="3">
        <v>46287</v>
      </c>
      <c r="L5347" s="31">
        <v>46287.425715162033</v>
      </c>
      <c r="M5347" s="20">
        <v>6</v>
      </c>
      <c r="N5347" s="1">
        <v>22</v>
      </c>
    </row>
    <row r="5348" spans="1:14" x14ac:dyDescent="0.25">
      <c r="A5348" t="str">
        <f t="shared" si="168"/>
        <v>78750067875006</v>
      </c>
      <c r="B5348" t="str">
        <f t="shared" si="169"/>
        <v>7875006P906011M-M</v>
      </c>
      <c r="C5348" s="1" t="s">
        <v>787</v>
      </c>
      <c r="D5348" s="1" t="s">
        <v>833</v>
      </c>
      <c r="E5348" s="1" t="s">
        <v>2313</v>
      </c>
      <c r="F5348" s="1" t="s">
        <v>2314</v>
      </c>
      <c r="G5348" s="1" t="s">
        <v>394</v>
      </c>
      <c r="H5348" s="1">
        <v>450</v>
      </c>
      <c r="I5348" s="3">
        <v>46287</v>
      </c>
      <c r="L5348" s="31">
        <v>46287.449512766201</v>
      </c>
      <c r="M5348" s="20">
        <v>6</v>
      </c>
      <c r="N5348" s="1">
        <v>38</v>
      </c>
    </row>
    <row r="5349" spans="1:14" x14ac:dyDescent="0.25">
      <c r="A5349" t="str">
        <f t="shared" si="168"/>
        <v>78750067875006</v>
      </c>
      <c r="B5349" t="str">
        <f t="shared" si="169"/>
        <v>7875006P906011M-M</v>
      </c>
      <c r="C5349" s="1" t="s">
        <v>787</v>
      </c>
      <c r="D5349" s="1" t="s">
        <v>833</v>
      </c>
      <c r="E5349" s="1" t="s">
        <v>2313</v>
      </c>
      <c r="F5349" s="1" t="s">
        <v>2314</v>
      </c>
      <c r="G5349" s="1" t="s">
        <v>394</v>
      </c>
      <c r="H5349" s="1">
        <v>450</v>
      </c>
      <c r="I5349" s="3">
        <v>46287</v>
      </c>
      <c r="L5349" s="31">
        <v>46287.450154942126</v>
      </c>
      <c r="M5349" s="20">
        <v>6</v>
      </c>
      <c r="N5349" s="1">
        <v>39</v>
      </c>
    </row>
    <row r="5350" spans="1:14" x14ac:dyDescent="0.25">
      <c r="A5350" t="str">
        <f t="shared" si="168"/>
        <v>78750067875006</v>
      </c>
      <c r="B5350" t="str">
        <f t="shared" si="169"/>
        <v>7875006P906011M-M</v>
      </c>
      <c r="C5350" s="1" t="s">
        <v>787</v>
      </c>
      <c r="D5350" s="1" t="s">
        <v>833</v>
      </c>
      <c r="E5350" s="1" t="s">
        <v>2313</v>
      </c>
      <c r="F5350" s="1" t="s">
        <v>2314</v>
      </c>
      <c r="G5350" s="1" t="s">
        <v>394</v>
      </c>
      <c r="H5350" s="1">
        <v>450</v>
      </c>
      <c r="I5350" s="3">
        <v>46287</v>
      </c>
      <c r="L5350" s="31">
        <v>46287.450324305551</v>
      </c>
      <c r="M5350" s="20">
        <v>6</v>
      </c>
      <c r="N5350" s="1">
        <v>5</v>
      </c>
    </row>
    <row r="5351" spans="1:14" x14ac:dyDescent="0.25">
      <c r="A5351" t="str">
        <f t="shared" si="168"/>
        <v>78750067875006</v>
      </c>
      <c r="B5351" t="str">
        <f t="shared" si="169"/>
        <v>7875006P906011M-M</v>
      </c>
      <c r="C5351" s="1" t="s">
        <v>787</v>
      </c>
      <c r="D5351" s="1" t="s">
        <v>833</v>
      </c>
      <c r="E5351" s="1" t="s">
        <v>2313</v>
      </c>
      <c r="F5351" s="1" t="s">
        <v>2314</v>
      </c>
      <c r="G5351" s="1" t="s">
        <v>394</v>
      </c>
      <c r="H5351" s="1">
        <v>450</v>
      </c>
      <c r="I5351" s="3">
        <v>46287</v>
      </c>
      <c r="L5351" s="31">
        <v>46287.463487499997</v>
      </c>
      <c r="M5351" s="20">
        <v>6</v>
      </c>
      <c r="N5351" s="1">
        <v>42</v>
      </c>
    </row>
    <row r="5352" spans="1:14" x14ac:dyDescent="0.25">
      <c r="A5352" t="str">
        <f t="shared" si="168"/>
        <v>78750067875006</v>
      </c>
      <c r="B5352" t="str">
        <f t="shared" si="169"/>
        <v>7875006P906011M-M</v>
      </c>
      <c r="C5352" s="1" t="s">
        <v>787</v>
      </c>
      <c r="D5352" s="1" t="s">
        <v>833</v>
      </c>
      <c r="E5352" s="1" t="s">
        <v>2313</v>
      </c>
      <c r="F5352" s="1" t="s">
        <v>2314</v>
      </c>
      <c r="G5352" s="1" t="s">
        <v>394</v>
      </c>
      <c r="H5352" s="1">
        <v>450</v>
      </c>
      <c r="I5352" s="3">
        <v>46287</v>
      </c>
      <c r="L5352" s="31">
        <v>46287.463922453702</v>
      </c>
      <c r="M5352" s="20">
        <v>6</v>
      </c>
      <c r="N5352" s="1">
        <v>74</v>
      </c>
    </row>
    <row r="5353" spans="1:14" x14ac:dyDescent="0.25">
      <c r="A5353" t="str">
        <f t="shared" si="168"/>
        <v>78750067875006</v>
      </c>
      <c r="B5353" t="str">
        <f t="shared" si="169"/>
        <v>7875006P906011M-M</v>
      </c>
      <c r="C5353" s="1" t="s">
        <v>787</v>
      </c>
      <c r="D5353" s="1" t="s">
        <v>833</v>
      </c>
      <c r="E5353" s="1" t="s">
        <v>2313</v>
      </c>
      <c r="F5353" s="1" t="s">
        <v>2314</v>
      </c>
      <c r="G5353" s="1" t="s">
        <v>394</v>
      </c>
      <c r="H5353" s="1">
        <v>450</v>
      </c>
      <c r="I5353" s="3">
        <v>46287</v>
      </c>
      <c r="L5353" s="31">
        <v>46287.475020949074</v>
      </c>
      <c r="M5353" s="20">
        <v>6</v>
      </c>
      <c r="N5353" s="1">
        <v>14</v>
      </c>
    </row>
    <row r="5354" spans="1:14" x14ac:dyDescent="0.25">
      <c r="A5354" t="str">
        <f t="shared" si="168"/>
        <v>78750067875006</v>
      </c>
      <c r="B5354" t="str">
        <f t="shared" si="169"/>
        <v>7875006P906011M-M</v>
      </c>
      <c r="C5354" s="1" t="s">
        <v>787</v>
      </c>
      <c r="D5354" s="1" t="s">
        <v>833</v>
      </c>
      <c r="E5354" s="1" t="s">
        <v>2313</v>
      </c>
      <c r="F5354" s="1" t="s">
        <v>2314</v>
      </c>
      <c r="G5354" s="1" t="s">
        <v>394</v>
      </c>
      <c r="H5354" s="1">
        <v>450</v>
      </c>
      <c r="I5354" s="3">
        <v>46287</v>
      </c>
      <c r="L5354" s="31">
        <v>46287.47526392361</v>
      </c>
      <c r="M5354" s="20">
        <v>6</v>
      </c>
      <c r="N5354" s="1">
        <v>40</v>
      </c>
    </row>
    <row r="5355" spans="1:14" x14ac:dyDescent="0.25">
      <c r="A5355" t="str">
        <f t="shared" si="168"/>
        <v>78750067875006</v>
      </c>
      <c r="B5355" t="str">
        <f t="shared" si="169"/>
        <v>7875006P906011M-M</v>
      </c>
      <c r="C5355" s="1" t="s">
        <v>787</v>
      </c>
      <c r="D5355" s="1" t="s">
        <v>833</v>
      </c>
      <c r="E5355" s="1" t="s">
        <v>2313</v>
      </c>
      <c r="F5355" s="1" t="s">
        <v>2314</v>
      </c>
      <c r="G5355" s="1" t="s">
        <v>394</v>
      </c>
      <c r="H5355" s="1">
        <v>450</v>
      </c>
      <c r="I5355" s="3">
        <v>46287</v>
      </c>
      <c r="L5355" s="31">
        <v>46287.475892094903</v>
      </c>
      <c r="M5355" s="20">
        <v>6</v>
      </c>
      <c r="N5355" s="1">
        <v>73</v>
      </c>
    </row>
    <row r="5356" spans="1:14" x14ac:dyDescent="0.25">
      <c r="A5356" t="str">
        <f t="shared" si="168"/>
        <v>78750067875006</v>
      </c>
      <c r="B5356" t="str">
        <f t="shared" si="169"/>
        <v>7875006P906011M-M</v>
      </c>
      <c r="C5356" s="1" t="s">
        <v>787</v>
      </c>
      <c r="D5356" s="1" t="s">
        <v>833</v>
      </c>
      <c r="E5356" s="1" t="s">
        <v>2313</v>
      </c>
      <c r="F5356" s="1" t="s">
        <v>2314</v>
      </c>
      <c r="G5356" s="1" t="s">
        <v>394</v>
      </c>
      <c r="H5356" s="1">
        <v>450</v>
      </c>
      <c r="I5356" s="3">
        <v>46287</v>
      </c>
      <c r="L5356" s="31">
        <v>46287.493050810182</v>
      </c>
      <c r="M5356" s="20">
        <v>6</v>
      </c>
      <c r="N5356" s="1">
        <v>29</v>
      </c>
    </row>
    <row r="5357" spans="1:14" x14ac:dyDescent="0.25">
      <c r="A5357" t="str">
        <f t="shared" si="168"/>
        <v>78750067875006</v>
      </c>
      <c r="B5357" t="str">
        <f t="shared" si="169"/>
        <v>7875006P906011M-M</v>
      </c>
      <c r="C5357" s="1" t="s">
        <v>787</v>
      </c>
      <c r="D5357" s="1" t="s">
        <v>833</v>
      </c>
      <c r="E5357" s="1" t="s">
        <v>2313</v>
      </c>
      <c r="F5357" s="1" t="s">
        <v>2314</v>
      </c>
      <c r="G5357" s="1" t="s">
        <v>394</v>
      </c>
      <c r="H5357" s="1">
        <v>450</v>
      </c>
      <c r="I5357" s="3">
        <v>46287</v>
      </c>
      <c r="L5357" s="31">
        <v>46287.549394212961</v>
      </c>
      <c r="M5357" s="20">
        <v>6</v>
      </c>
      <c r="N5357" s="1">
        <v>10</v>
      </c>
    </row>
    <row r="5358" spans="1:14" x14ac:dyDescent="0.25">
      <c r="A5358" t="str">
        <f t="shared" si="168"/>
        <v>78750067875006</v>
      </c>
      <c r="B5358" t="str">
        <f t="shared" si="169"/>
        <v>7875006P906011M-M</v>
      </c>
      <c r="C5358" s="1" t="s">
        <v>787</v>
      </c>
      <c r="D5358" s="1" t="s">
        <v>833</v>
      </c>
      <c r="E5358" s="1" t="s">
        <v>2313</v>
      </c>
      <c r="F5358" s="1" t="s">
        <v>2314</v>
      </c>
      <c r="G5358" s="1" t="s">
        <v>394</v>
      </c>
      <c r="H5358" s="1">
        <v>450</v>
      </c>
      <c r="I5358" s="3">
        <v>46287</v>
      </c>
      <c r="L5358" s="31">
        <v>46287.550881249997</v>
      </c>
      <c r="M5358" s="20">
        <v>6</v>
      </c>
      <c r="N5358" s="1">
        <v>57</v>
      </c>
    </row>
    <row r="5359" spans="1:14" x14ac:dyDescent="0.25">
      <c r="A5359" t="str">
        <f t="shared" si="168"/>
        <v>78750067875006</v>
      </c>
      <c r="B5359" t="str">
        <f t="shared" si="169"/>
        <v>7875006P906011M-M</v>
      </c>
      <c r="C5359" s="1" t="s">
        <v>787</v>
      </c>
      <c r="D5359" s="1" t="s">
        <v>833</v>
      </c>
      <c r="E5359" s="1" t="s">
        <v>2313</v>
      </c>
      <c r="F5359" s="1" t="s">
        <v>2314</v>
      </c>
      <c r="G5359" s="1" t="s">
        <v>394</v>
      </c>
      <c r="H5359" s="1">
        <v>450</v>
      </c>
      <c r="I5359" s="3">
        <v>46287</v>
      </c>
      <c r="L5359" s="31">
        <v>46287.551843287038</v>
      </c>
      <c r="M5359" s="20">
        <v>6</v>
      </c>
      <c r="N5359" s="1">
        <v>16</v>
      </c>
    </row>
    <row r="5360" spans="1:14" x14ac:dyDescent="0.25">
      <c r="A5360" t="str">
        <f t="shared" si="168"/>
        <v>78750067875006</v>
      </c>
      <c r="B5360" t="str">
        <f t="shared" si="169"/>
        <v>7875006P906011M-M</v>
      </c>
      <c r="C5360" s="1" t="s">
        <v>787</v>
      </c>
      <c r="D5360" s="1" t="s">
        <v>833</v>
      </c>
      <c r="E5360" s="1" t="s">
        <v>2313</v>
      </c>
      <c r="F5360" s="1" t="s">
        <v>2314</v>
      </c>
      <c r="G5360" s="1" t="s">
        <v>394</v>
      </c>
      <c r="H5360" s="1">
        <v>450</v>
      </c>
      <c r="I5360" s="3">
        <v>46287</v>
      </c>
      <c r="L5360" s="31">
        <v>46287.561617905092</v>
      </c>
      <c r="M5360" s="20">
        <v>6</v>
      </c>
      <c r="N5360" s="1">
        <v>24</v>
      </c>
    </row>
    <row r="5361" spans="1:14" x14ac:dyDescent="0.25">
      <c r="A5361" t="str">
        <f t="shared" si="168"/>
        <v>78750067875006</v>
      </c>
      <c r="B5361" t="str">
        <f t="shared" si="169"/>
        <v>7875006P906011M-M</v>
      </c>
      <c r="C5361" s="1" t="s">
        <v>787</v>
      </c>
      <c r="D5361" s="1" t="s">
        <v>833</v>
      </c>
      <c r="E5361" s="1" t="s">
        <v>2313</v>
      </c>
      <c r="F5361" s="1" t="s">
        <v>2314</v>
      </c>
      <c r="G5361" s="1" t="s">
        <v>394</v>
      </c>
      <c r="H5361" s="1">
        <v>450</v>
      </c>
      <c r="I5361" s="3">
        <v>46287</v>
      </c>
      <c r="L5361" s="31">
        <v>46287.561933993056</v>
      </c>
      <c r="M5361" s="20">
        <v>6</v>
      </c>
      <c r="N5361" s="1">
        <v>7</v>
      </c>
    </row>
    <row r="5362" spans="1:14" x14ac:dyDescent="0.25">
      <c r="A5362" t="str">
        <f t="shared" si="168"/>
        <v>78750067875006</v>
      </c>
      <c r="B5362" t="str">
        <f t="shared" si="169"/>
        <v>7875006P906011M-M</v>
      </c>
      <c r="C5362" s="1" t="s">
        <v>787</v>
      </c>
      <c r="D5362" s="1" t="s">
        <v>833</v>
      </c>
      <c r="E5362" s="1" t="s">
        <v>2313</v>
      </c>
      <c r="F5362" s="1" t="s">
        <v>2314</v>
      </c>
      <c r="G5362" s="1" t="s">
        <v>394</v>
      </c>
      <c r="H5362" s="1">
        <v>450</v>
      </c>
      <c r="I5362" s="3">
        <v>46287</v>
      </c>
      <c r="L5362" s="31">
        <v>46287.562651655091</v>
      </c>
      <c r="M5362" s="20">
        <v>6</v>
      </c>
      <c r="N5362" s="1">
        <v>1</v>
      </c>
    </row>
    <row r="5363" spans="1:14" x14ac:dyDescent="0.25">
      <c r="A5363" t="str">
        <f t="shared" si="168"/>
        <v>78750067875006</v>
      </c>
      <c r="B5363" t="str">
        <f t="shared" si="169"/>
        <v>7875006P906011M-M</v>
      </c>
      <c r="C5363" s="1" t="s">
        <v>787</v>
      </c>
      <c r="D5363" s="1" t="s">
        <v>833</v>
      </c>
      <c r="E5363" s="1" t="s">
        <v>2313</v>
      </c>
      <c r="F5363" s="1" t="s">
        <v>2314</v>
      </c>
      <c r="G5363" s="1" t="s">
        <v>394</v>
      </c>
      <c r="H5363" s="1">
        <v>450</v>
      </c>
      <c r="I5363" s="3">
        <v>46287</v>
      </c>
      <c r="L5363" s="31">
        <v>46287.563125231478</v>
      </c>
      <c r="M5363" s="20">
        <v>6</v>
      </c>
      <c r="N5363" s="1">
        <v>54</v>
      </c>
    </row>
    <row r="5364" spans="1:14" x14ac:dyDescent="0.25">
      <c r="A5364" t="str">
        <f t="shared" si="168"/>
        <v>78750067875006</v>
      </c>
      <c r="B5364" t="str">
        <f t="shared" si="169"/>
        <v>7875006P906011M-M</v>
      </c>
      <c r="C5364" s="1" t="s">
        <v>787</v>
      </c>
      <c r="D5364" s="1" t="s">
        <v>833</v>
      </c>
      <c r="E5364" s="1" t="s">
        <v>2313</v>
      </c>
      <c r="F5364" s="1" t="s">
        <v>2314</v>
      </c>
      <c r="G5364" s="1" t="s">
        <v>394</v>
      </c>
      <c r="H5364" s="1">
        <v>450</v>
      </c>
      <c r="I5364" s="3">
        <v>46287</v>
      </c>
      <c r="L5364" s="31">
        <v>46287.563450810187</v>
      </c>
      <c r="M5364" s="20">
        <v>6</v>
      </c>
      <c r="N5364" s="1">
        <v>41</v>
      </c>
    </row>
    <row r="5365" spans="1:14" x14ac:dyDescent="0.25">
      <c r="A5365" t="str">
        <f t="shared" si="168"/>
        <v>78750067875006</v>
      </c>
      <c r="B5365" t="str">
        <f t="shared" si="169"/>
        <v>7875006P906011M-M</v>
      </c>
      <c r="C5365" s="1" t="s">
        <v>787</v>
      </c>
      <c r="D5365" s="1" t="s">
        <v>833</v>
      </c>
      <c r="E5365" s="1" t="s">
        <v>2313</v>
      </c>
      <c r="F5365" s="1" t="s">
        <v>2314</v>
      </c>
      <c r="G5365" s="1" t="s">
        <v>394</v>
      </c>
      <c r="H5365" s="1">
        <v>450</v>
      </c>
      <c r="I5365" s="3">
        <v>46287</v>
      </c>
      <c r="L5365" s="31">
        <v>46287.564111574073</v>
      </c>
      <c r="M5365" s="20">
        <v>6</v>
      </c>
      <c r="N5365" s="1">
        <v>71</v>
      </c>
    </row>
    <row r="5366" spans="1:14" x14ac:dyDescent="0.25">
      <c r="A5366" t="str">
        <f t="shared" si="168"/>
        <v>78750067875006</v>
      </c>
      <c r="B5366" t="str">
        <f t="shared" si="169"/>
        <v>7875006P906011M-M</v>
      </c>
      <c r="C5366" s="1" t="s">
        <v>787</v>
      </c>
      <c r="D5366" s="1" t="s">
        <v>833</v>
      </c>
      <c r="E5366" s="1" t="s">
        <v>2313</v>
      </c>
      <c r="F5366" s="1" t="s">
        <v>2314</v>
      </c>
      <c r="G5366" s="1" t="s">
        <v>394</v>
      </c>
      <c r="H5366" s="1">
        <v>450</v>
      </c>
      <c r="I5366" s="3">
        <v>46287</v>
      </c>
      <c r="L5366" s="31">
        <v>46287.569359456014</v>
      </c>
      <c r="M5366" s="20">
        <v>6</v>
      </c>
      <c r="N5366" s="1">
        <v>37</v>
      </c>
    </row>
    <row r="5367" spans="1:14" x14ac:dyDescent="0.25">
      <c r="A5367" t="str">
        <f t="shared" si="168"/>
        <v>78750067875006</v>
      </c>
      <c r="B5367" t="str">
        <f t="shared" si="169"/>
        <v>7875006P906011M-M</v>
      </c>
      <c r="C5367" s="1" t="s">
        <v>787</v>
      </c>
      <c r="D5367" s="1" t="s">
        <v>833</v>
      </c>
      <c r="E5367" s="1" t="s">
        <v>2313</v>
      </c>
      <c r="F5367" s="1" t="s">
        <v>2314</v>
      </c>
      <c r="G5367" s="1" t="s">
        <v>394</v>
      </c>
      <c r="H5367" s="1">
        <v>450</v>
      </c>
      <c r="I5367" s="3">
        <v>46287</v>
      </c>
      <c r="L5367" s="31">
        <v>46287.571325150464</v>
      </c>
      <c r="M5367" s="20">
        <v>6</v>
      </c>
      <c r="N5367" s="1">
        <v>30</v>
      </c>
    </row>
    <row r="5368" spans="1:14" x14ac:dyDescent="0.25">
      <c r="A5368" t="str">
        <f t="shared" si="168"/>
        <v>78750067875006</v>
      </c>
      <c r="B5368" t="str">
        <f t="shared" si="169"/>
        <v>7875006P906011M-M</v>
      </c>
      <c r="C5368" s="1" t="s">
        <v>787</v>
      </c>
      <c r="D5368" s="1" t="s">
        <v>833</v>
      </c>
      <c r="E5368" s="1" t="s">
        <v>2313</v>
      </c>
      <c r="F5368" s="1" t="s">
        <v>2314</v>
      </c>
      <c r="G5368" s="1" t="s">
        <v>394</v>
      </c>
      <c r="H5368" s="1">
        <v>450</v>
      </c>
      <c r="I5368" s="3">
        <v>46287</v>
      </c>
      <c r="L5368" s="31">
        <v>46287.571883483797</v>
      </c>
      <c r="M5368" s="20">
        <v>6</v>
      </c>
      <c r="N5368" s="1">
        <v>6</v>
      </c>
    </row>
    <row r="5369" spans="1:14" x14ac:dyDescent="0.25">
      <c r="A5369" t="str">
        <f t="shared" si="168"/>
        <v>78750067875006</v>
      </c>
      <c r="B5369" t="str">
        <f t="shared" si="169"/>
        <v>7875006P906011M-M</v>
      </c>
      <c r="C5369" s="1" t="s">
        <v>787</v>
      </c>
      <c r="D5369" s="1" t="s">
        <v>833</v>
      </c>
      <c r="E5369" s="1" t="s">
        <v>2313</v>
      </c>
      <c r="F5369" s="1" t="s">
        <v>2314</v>
      </c>
      <c r="G5369" s="1" t="s">
        <v>394</v>
      </c>
      <c r="H5369" s="1">
        <v>450</v>
      </c>
      <c r="I5369" s="3">
        <v>46287</v>
      </c>
      <c r="L5369" s="31">
        <v>46287.604348993053</v>
      </c>
      <c r="M5369" s="20">
        <v>6</v>
      </c>
      <c r="N5369" s="1">
        <v>75</v>
      </c>
    </row>
    <row r="5370" spans="1:14" x14ac:dyDescent="0.25">
      <c r="A5370" t="str">
        <f t="shared" si="168"/>
        <v>78750067875006</v>
      </c>
      <c r="B5370" t="str">
        <f t="shared" si="169"/>
        <v>7875006P906011M-M</v>
      </c>
      <c r="C5370" s="1" t="s">
        <v>787</v>
      </c>
      <c r="D5370" s="1" t="s">
        <v>833</v>
      </c>
      <c r="E5370" s="1" t="s">
        <v>2313</v>
      </c>
      <c r="F5370" s="1" t="s">
        <v>2314</v>
      </c>
      <c r="G5370" s="1" t="s">
        <v>394</v>
      </c>
      <c r="H5370" s="1">
        <v>450</v>
      </c>
      <c r="I5370" s="3">
        <v>46287</v>
      </c>
      <c r="L5370" s="31">
        <v>46287.604718599534</v>
      </c>
      <c r="M5370" s="20">
        <v>6</v>
      </c>
      <c r="N5370" s="1">
        <v>23</v>
      </c>
    </row>
    <row r="5371" spans="1:14" x14ac:dyDescent="0.25">
      <c r="A5371" t="str">
        <f t="shared" si="168"/>
        <v>78750067875006</v>
      </c>
      <c r="B5371" t="str">
        <f t="shared" si="169"/>
        <v>7875006P906011M-M</v>
      </c>
      <c r="C5371" s="1" t="s">
        <v>787</v>
      </c>
      <c r="D5371" s="1" t="s">
        <v>833</v>
      </c>
      <c r="E5371" s="1" t="s">
        <v>2313</v>
      </c>
      <c r="F5371" s="1" t="s">
        <v>2314</v>
      </c>
      <c r="G5371" s="1" t="s">
        <v>394</v>
      </c>
      <c r="H5371" s="1">
        <v>450</v>
      </c>
      <c r="I5371" s="3">
        <v>46287</v>
      </c>
      <c r="L5371" s="31">
        <v>46287.605015706016</v>
      </c>
      <c r="M5371" s="20">
        <v>6</v>
      </c>
      <c r="N5371" s="1">
        <v>15</v>
      </c>
    </row>
    <row r="5372" spans="1:14" x14ac:dyDescent="0.25">
      <c r="A5372" t="str">
        <f t="shared" si="168"/>
        <v>78750067875006</v>
      </c>
      <c r="B5372" t="str">
        <f t="shared" si="169"/>
        <v>7875006P906011M-M</v>
      </c>
      <c r="C5372" s="1" t="s">
        <v>787</v>
      </c>
      <c r="D5372" s="1" t="s">
        <v>833</v>
      </c>
      <c r="E5372" s="1" t="s">
        <v>2313</v>
      </c>
      <c r="F5372" s="1" t="s">
        <v>2314</v>
      </c>
      <c r="G5372" s="1" t="s">
        <v>394</v>
      </c>
      <c r="H5372" s="1">
        <v>450</v>
      </c>
      <c r="I5372" s="3">
        <v>46287</v>
      </c>
      <c r="L5372" s="31">
        <v>46287.611644409721</v>
      </c>
      <c r="M5372" s="20">
        <v>6</v>
      </c>
      <c r="N5372" s="1">
        <v>58</v>
      </c>
    </row>
    <row r="5373" spans="1:14" x14ac:dyDescent="0.25">
      <c r="A5373" t="str">
        <f t="shared" si="168"/>
        <v>78750067875006</v>
      </c>
      <c r="B5373" t="str">
        <f t="shared" si="169"/>
        <v>7875006P906011M-M</v>
      </c>
      <c r="C5373" s="1" t="s">
        <v>787</v>
      </c>
      <c r="D5373" s="1" t="s">
        <v>833</v>
      </c>
      <c r="E5373" s="1" t="s">
        <v>2313</v>
      </c>
      <c r="F5373" s="1" t="s">
        <v>2314</v>
      </c>
      <c r="G5373" s="1" t="s">
        <v>394</v>
      </c>
      <c r="H5373" s="1">
        <v>450</v>
      </c>
      <c r="I5373" s="3">
        <v>46287</v>
      </c>
      <c r="L5373" s="31">
        <v>46287.710336192125</v>
      </c>
      <c r="M5373" s="20">
        <v>6</v>
      </c>
      <c r="N5373" s="1">
        <v>43</v>
      </c>
    </row>
    <row r="5374" spans="1:14" x14ac:dyDescent="0.25">
      <c r="A5374" t="str">
        <f t="shared" si="168"/>
        <v>78754117875411</v>
      </c>
      <c r="B5374" t="str">
        <f t="shared" si="169"/>
        <v>7875411M5742IX-2E</v>
      </c>
      <c r="C5374" s="1" t="s">
        <v>714</v>
      </c>
      <c r="D5374" s="1" t="s">
        <v>783</v>
      </c>
      <c r="E5374" s="1" t="s">
        <v>379</v>
      </c>
      <c r="F5374" s="1" t="s">
        <v>380</v>
      </c>
      <c r="G5374" s="1" t="s">
        <v>391</v>
      </c>
      <c r="H5374" s="1">
        <v>180</v>
      </c>
      <c r="I5374" s="3">
        <v>46287</v>
      </c>
      <c r="J5374" s="3">
        <v>46289</v>
      </c>
      <c r="L5374" s="31">
        <v>46287.567784756946</v>
      </c>
      <c r="M5374" s="20">
        <v>12</v>
      </c>
      <c r="N5374" s="1">
        <v>56</v>
      </c>
    </row>
    <row r="5375" spans="1:14" x14ac:dyDescent="0.25">
      <c r="A5375" t="str">
        <f t="shared" si="168"/>
        <v>78754117875411</v>
      </c>
      <c r="B5375" t="str">
        <f t="shared" si="169"/>
        <v>7875411M5742IX-2E</v>
      </c>
      <c r="C5375" s="1" t="s">
        <v>714</v>
      </c>
      <c r="D5375" s="1" t="s">
        <v>783</v>
      </c>
      <c r="E5375" s="1" t="s">
        <v>379</v>
      </c>
      <c r="F5375" s="1" t="s">
        <v>380</v>
      </c>
      <c r="G5375" s="1" t="s">
        <v>391</v>
      </c>
      <c r="H5375" s="1">
        <v>180</v>
      </c>
      <c r="I5375" s="3">
        <v>46287</v>
      </c>
      <c r="J5375" s="3">
        <v>46289</v>
      </c>
      <c r="L5375" s="31">
        <v>46287.572240358793</v>
      </c>
      <c r="M5375" s="20">
        <v>12</v>
      </c>
      <c r="N5375" s="1">
        <v>58</v>
      </c>
    </row>
    <row r="5376" spans="1:14" x14ac:dyDescent="0.25">
      <c r="A5376" t="str">
        <f t="shared" si="168"/>
        <v>78754117875411</v>
      </c>
      <c r="B5376" t="str">
        <f t="shared" si="169"/>
        <v>7875411M5742IX-2E</v>
      </c>
      <c r="C5376" s="1" t="s">
        <v>714</v>
      </c>
      <c r="D5376" s="1" t="s">
        <v>783</v>
      </c>
      <c r="E5376" s="1" t="s">
        <v>379</v>
      </c>
      <c r="F5376" s="1" t="s">
        <v>380</v>
      </c>
      <c r="G5376" s="1" t="s">
        <v>391</v>
      </c>
      <c r="H5376" s="1">
        <v>180</v>
      </c>
      <c r="I5376" s="3">
        <v>46287</v>
      </c>
      <c r="J5376" s="3">
        <v>46289</v>
      </c>
      <c r="L5376" s="31">
        <v>46287.574201620366</v>
      </c>
      <c r="M5376" s="20">
        <v>12</v>
      </c>
      <c r="N5376" s="1">
        <v>62</v>
      </c>
    </row>
    <row r="5377" spans="1:14" x14ac:dyDescent="0.25">
      <c r="A5377" t="str">
        <f t="shared" si="168"/>
        <v>78754117875411</v>
      </c>
      <c r="B5377" t="str">
        <f t="shared" si="169"/>
        <v>7875411M5742IX-2E</v>
      </c>
      <c r="C5377" s="1" t="s">
        <v>714</v>
      </c>
      <c r="D5377" s="1" t="s">
        <v>783</v>
      </c>
      <c r="E5377" s="1" t="s">
        <v>379</v>
      </c>
      <c r="F5377" s="1" t="s">
        <v>380</v>
      </c>
      <c r="G5377" s="1" t="s">
        <v>391</v>
      </c>
      <c r="H5377" s="1">
        <v>180</v>
      </c>
      <c r="I5377" s="3">
        <v>46287</v>
      </c>
      <c r="J5377" s="3">
        <v>46289</v>
      </c>
      <c r="L5377" s="31">
        <v>46287.579896493051</v>
      </c>
      <c r="M5377" s="20">
        <v>12</v>
      </c>
      <c r="N5377" s="1">
        <v>57</v>
      </c>
    </row>
    <row r="5378" spans="1:14" x14ac:dyDescent="0.25">
      <c r="A5378" t="str">
        <f t="shared" ref="A5378:A5441" si="170">+D5378&amp;D5378</f>
        <v>78754117875411</v>
      </c>
      <c r="B5378" t="str">
        <f t="shared" ref="B5378:B5441" si="171">+D5378&amp;C5378</f>
        <v>7875411M5742IX-2E</v>
      </c>
      <c r="C5378" s="1" t="s">
        <v>714</v>
      </c>
      <c r="D5378" s="1" t="s">
        <v>783</v>
      </c>
      <c r="E5378" s="1" t="s">
        <v>379</v>
      </c>
      <c r="F5378" s="1" t="s">
        <v>380</v>
      </c>
      <c r="G5378" s="1" t="s">
        <v>391</v>
      </c>
      <c r="H5378" s="1">
        <v>180</v>
      </c>
      <c r="I5378" s="3">
        <v>46287</v>
      </c>
      <c r="J5378" s="3">
        <v>46289</v>
      </c>
      <c r="L5378" s="31">
        <v>46287.664511342591</v>
      </c>
      <c r="M5378" s="20">
        <v>12</v>
      </c>
      <c r="N5378" s="1">
        <v>60</v>
      </c>
    </row>
    <row r="5379" spans="1:14" x14ac:dyDescent="0.25">
      <c r="A5379" t="str">
        <f t="shared" si="170"/>
        <v>78754117875411</v>
      </c>
      <c r="B5379" t="str">
        <f t="shared" si="171"/>
        <v>7875411M5742IX-2E</v>
      </c>
      <c r="C5379" s="1" t="s">
        <v>714</v>
      </c>
      <c r="D5379" s="1" t="s">
        <v>783</v>
      </c>
      <c r="E5379" s="1" t="s">
        <v>379</v>
      </c>
      <c r="F5379" s="1" t="s">
        <v>380</v>
      </c>
      <c r="G5379" s="1" t="s">
        <v>391</v>
      </c>
      <c r="H5379" s="1">
        <v>180</v>
      </c>
      <c r="I5379" s="3">
        <v>46287</v>
      </c>
      <c r="J5379" s="3">
        <v>46289</v>
      </c>
      <c r="L5379" s="31">
        <v>46287.676711886576</v>
      </c>
      <c r="M5379" s="20">
        <v>12</v>
      </c>
      <c r="N5379" s="1">
        <v>64</v>
      </c>
    </row>
    <row r="5380" spans="1:14" x14ac:dyDescent="0.25">
      <c r="A5380" t="str">
        <f t="shared" si="170"/>
        <v>78754117875411</v>
      </c>
      <c r="B5380" t="str">
        <f t="shared" si="171"/>
        <v>7875411M5742IX-2E</v>
      </c>
      <c r="C5380" s="1" t="s">
        <v>714</v>
      </c>
      <c r="D5380" s="1" t="s">
        <v>783</v>
      </c>
      <c r="E5380" s="1" t="s">
        <v>379</v>
      </c>
      <c r="F5380" s="1" t="s">
        <v>380</v>
      </c>
      <c r="G5380" s="1" t="s">
        <v>391</v>
      </c>
      <c r="H5380" s="1">
        <v>180</v>
      </c>
      <c r="I5380" s="3">
        <v>46287</v>
      </c>
      <c r="J5380" s="3">
        <v>46289</v>
      </c>
      <c r="L5380" s="31">
        <v>46287.702892094909</v>
      </c>
      <c r="M5380" s="20">
        <v>12</v>
      </c>
      <c r="N5380" s="1">
        <v>63</v>
      </c>
    </row>
    <row r="5381" spans="1:14" x14ac:dyDescent="0.25">
      <c r="A5381" t="str">
        <f t="shared" si="170"/>
        <v>78754117875411</v>
      </c>
      <c r="B5381" t="str">
        <f t="shared" si="171"/>
        <v>7875411M5742IX-2E</v>
      </c>
      <c r="C5381" s="1" t="s">
        <v>714</v>
      </c>
      <c r="D5381" s="1" t="s">
        <v>783</v>
      </c>
      <c r="E5381" s="1" t="s">
        <v>379</v>
      </c>
      <c r="F5381" s="1" t="s">
        <v>380</v>
      </c>
      <c r="G5381" s="1" t="s">
        <v>391</v>
      </c>
      <c r="H5381" s="1">
        <v>180</v>
      </c>
      <c r="I5381" s="3">
        <v>46287</v>
      </c>
      <c r="J5381" s="3">
        <v>46289</v>
      </c>
      <c r="L5381" s="31">
        <v>46287.730430787036</v>
      </c>
      <c r="M5381" s="20">
        <v>12</v>
      </c>
      <c r="N5381" s="1">
        <v>66</v>
      </c>
    </row>
    <row r="5382" spans="1:14" x14ac:dyDescent="0.25">
      <c r="A5382" t="str">
        <f t="shared" si="170"/>
        <v>78754117875411</v>
      </c>
      <c r="B5382" t="str">
        <f t="shared" si="171"/>
        <v>7875411M5742IX-2E</v>
      </c>
      <c r="C5382" s="1" t="s">
        <v>714</v>
      </c>
      <c r="D5382" s="1" t="s">
        <v>783</v>
      </c>
      <c r="E5382" s="1" t="s">
        <v>379</v>
      </c>
      <c r="F5382" s="1" t="s">
        <v>380</v>
      </c>
      <c r="G5382" s="1" t="s">
        <v>391</v>
      </c>
      <c r="H5382" s="1">
        <v>180</v>
      </c>
      <c r="I5382" s="3">
        <v>46287</v>
      </c>
      <c r="J5382" s="3">
        <v>46289</v>
      </c>
      <c r="L5382" s="31">
        <v>46287.745310266204</v>
      </c>
      <c r="M5382" s="20">
        <v>12</v>
      </c>
      <c r="N5382" s="1">
        <v>67</v>
      </c>
    </row>
    <row r="5383" spans="1:14" x14ac:dyDescent="0.25">
      <c r="A5383" t="str">
        <f t="shared" si="170"/>
        <v>78754117875411</v>
      </c>
      <c r="B5383" t="str">
        <f t="shared" si="171"/>
        <v>7875411M5742IX-2E</v>
      </c>
      <c r="C5383" s="1" t="s">
        <v>714</v>
      </c>
      <c r="D5383" s="1" t="s">
        <v>783</v>
      </c>
      <c r="E5383" s="1" t="s">
        <v>379</v>
      </c>
      <c r="F5383" s="1" t="s">
        <v>380</v>
      </c>
      <c r="G5383" s="1" t="s">
        <v>391</v>
      </c>
      <c r="H5383" s="1">
        <v>180</v>
      </c>
      <c r="I5383" s="3">
        <v>46287</v>
      </c>
      <c r="J5383" s="3">
        <v>46289</v>
      </c>
      <c r="L5383" s="31">
        <v>46287.749568518513</v>
      </c>
      <c r="M5383" s="20">
        <v>12</v>
      </c>
      <c r="N5383" s="1">
        <v>59</v>
      </c>
    </row>
    <row r="5384" spans="1:14" x14ac:dyDescent="0.25">
      <c r="A5384" t="str">
        <f t="shared" si="170"/>
        <v>78754117875411</v>
      </c>
      <c r="B5384" t="str">
        <f t="shared" si="171"/>
        <v>7875411M5742IX-2E</v>
      </c>
      <c r="C5384" s="1" t="s">
        <v>714</v>
      </c>
      <c r="D5384" s="1" t="s">
        <v>783</v>
      </c>
      <c r="E5384" s="1" t="s">
        <v>379</v>
      </c>
      <c r="F5384" s="1" t="s">
        <v>380</v>
      </c>
      <c r="G5384" s="1" t="s">
        <v>391</v>
      </c>
      <c r="H5384" s="1">
        <v>180</v>
      </c>
      <c r="I5384" s="3">
        <v>46287</v>
      </c>
      <c r="J5384" s="3">
        <v>46289</v>
      </c>
      <c r="L5384" s="31">
        <v>46287.749904942131</v>
      </c>
      <c r="M5384" s="20">
        <v>12</v>
      </c>
      <c r="N5384" s="1">
        <v>65</v>
      </c>
    </row>
    <row r="5385" spans="1:14" x14ac:dyDescent="0.25">
      <c r="A5385" t="str">
        <f t="shared" si="170"/>
        <v>78764027876402</v>
      </c>
      <c r="B5385" t="str">
        <f t="shared" si="171"/>
        <v>7876402M5742IX-D</v>
      </c>
      <c r="C5385" s="1" t="s">
        <v>487</v>
      </c>
      <c r="D5385" s="1" t="s">
        <v>844</v>
      </c>
      <c r="E5385" s="1" t="s">
        <v>385</v>
      </c>
      <c r="F5385" s="1" t="s">
        <v>386</v>
      </c>
      <c r="G5385" s="1" t="s">
        <v>387</v>
      </c>
      <c r="H5385" s="1">
        <v>804</v>
      </c>
      <c r="I5385" s="3">
        <v>46287</v>
      </c>
      <c r="L5385" s="31">
        <v>46287.61299869213</v>
      </c>
      <c r="M5385" s="20">
        <v>12</v>
      </c>
      <c r="N5385" s="1">
        <v>19</v>
      </c>
    </row>
    <row r="5386" spans="1:14" x14ac:dyDescent="0.25">
      <c r="A5386" t="str">
        <f t="shared" si="170"/>
        <v>78764027876402</v>
      </c>
      <c r="B5386" t="str">
        <f t="shared" si="171"/>
        <v>7876402M5742IX-D</v>
      </c>
      <c r="C5386" s="1" t="s">
        <v>487</v>
      </c>
      <c r="D5386" s="1" t="s">
        <v>844</v>
      </c>
      <c r="E5386" s="1" t="s">
        <v>385</v>
      </c>
      <c r="F5386" s="1" t="s">
        <v>386</v>
      </c>
      <c r="G5386" s="1" t="s">
        <v>387</v>
      </c>
      <c r="H5386" s="1">
        <v>804</v>
      </c>
      <c r="I5386" s="3">
        <v>46287</v>
      </c>
      <c r="L5386" s="31">
        <v>46287.625182175922</v>
      </c>
      <c r="M5386" s="20">
        <v>12</v>
      </c>
      <c r="N5386" s="1">
        <v>20</v>
      </c>
    </row>
    <row r="5387" spans="1:14" x14ac:dyDescent="0.25">
      <c r="A5387" t="str">
        <f t="shared" si="170"/>
        <v>78764027876402</v>
      </c>
      <c r="B5387" t="str">
        <f t="shared" si="171"/>
        <v>7876402M5742IX-D</v>
      </c>
      <c r="C5387" s="1" t="s">
        <v>487</v>
      </c>
      <c r="D5387" s="1" t="s">
        <v>844</v>
      </c>
      <c r="E5387" s="1" t="s">
        <v>385</v>
      </c>
      <c r="F5387" s="1" t="s">
        <v>386</v>
      </c>
      <c r="G5387" s="1" t="s">
        <v>387</v>
      </c>
      <c r="H5387" s="1">
        <v>804</v>
      </c>
      <c r="I5387" s="3">
        <v>46287</v>
      </c>
      <c r="L5387" s="31">
        <v>46287.627900381944</v>
      </c>
      <c r="M5387" s="20">
        <v>12</v>
      </c>
      <c r="N5387" s="1">
        <v>47</v>
      </c>
    </row>
    <row r="5388" spans="1:14" x14ac:dyDescent="0.25">
      <c r="A5388" t="str">
        <f t="shared" si="170"/>
        <v>78764027876402</v>
      </c>
      <c r="B5388" t="str">
        <f t="shared" si="171"/>
        <v>7876402M5742IX-D</v>
      </c>
      <c r="C5388" s="1" t="s">
        <v>487</v>
      </c>
      <c r="D5388" s="1" t="s">
        <v>844</v>
      </c>
      <c r="E5388" s="1" t="s">
        <v>385</v>
      </c>
      <c r="F5388" s="1" t="s">
        <v>386</v>
      </c>
      <c r="G5388" s="1" t="s">
        <v>387</v>
      </c>
      <c r="H5388" s="1">
        <v>804</v>
      </c>
      <c r="I5388" s="3">
        <v>46287</v>
      </c>
      <c r="L5388" s="31">
        <v>46287.629482870369</v>
      </c>
      <c r="M5388" s="20">
        <v>12</v>
      </c>
      <c r="N5388" s="1">
        <v>32</v>
      </c>
    </row>
    <row r="5389" spans="1:14" x14ac:dyDescent="0.25">
      <c r="A5389" t="str">
        <f t="shared" si="170"/>
        <v>78764027876402</v>
      </c>
      <c r="B5389" t="str">
        <f t="shared" si="171"/>
        <v>7876402M5742IX-D</v>
      </c>
      <c r="C5389" s="1" t="s">
        <v>487</v>
      </c>
      <c r="D5389" s="1" t="s">
        <v>844</v>
      </c>
      <c r="E5389" s="1" t="s">
        <v>385</v>
      </c>
      <c r="F5389" s="1" t="s">
        <v>386</v>
      </c>
      <c r="G5389" s="1" t="s">
        <v>387</v>
      </c>
      <c r="H5389" s="1">
        <v>804</v>
      </c>
      <c r="I5389" s="3">
        <v>46287</v>
      </c>
      <c r="L5389" s="31">
        <v>46287.629750844906</v>
      </c>
      <c r="M5389" s="20">
        <v>12</v>
      </c>
      <c r="N5389" s="1">
        <v>33</v>
      </c>
    </row>
    <row r="5390" spans="1:14" x14ac:dyDescent="0.25">
      <c r="A5390" t="str">
        <f t="shared" si="170"/>
        <v>78764027876402</v>
      </c>
      <c r="B5390" t="str">
        <f t="shared" si="171"/>
        <v>7876402M5742IX-D</v>
      </c>
      <c r="C5390" s="1" t="s">
        <v>487</v>
      </c>
      <c r="D5390" s="1" t="s">
        <v>844</v>
      </c>
      <c r="E5390" s="1" t="s">
        <v>385</v>
      </c>
      <c r="F5390" s="1" t="s">
        <v>386</v>
      </c>
      <c r="G5390" s="1" t="s">
        <v>387</v>
      </c>
      <c r="H5390" s="1">
        <v>804</v>
      </c>
      <c r="I5390" s="3">
        <v>46287</v>
      </c>
      <c r="L5390" s="31">
        <v>46287.647782870372</v>
      </c>
      <c r="M5390" s="20">
        <v>12</v>
      </c>
      <c r="N5390" s="1">
        <v>14</v>
      </c>
    </row>
    <row r="5391" spans="1:14" x14ac:dyDescent="0.25">
      <c r="A5391" t="str">
        <f t="shared" si="170"/>
        <v>78764027876402</v>
      </c>
      <c r="B5391" t="str">
        <f t="shared" si="171"/>
        <v>7876402M5742IX-D</v>
      </c>
      <c r="C5391" s="1" t="s">
        <v>487</v>
      </c>
      <c r="D5391" s="1" t="s">
        <v>844</v>
      </c>
      <c r="E5391" s="1" t="s">
        <v>385</v>
      </c>
      <c r="F5391" s="1" t="s">
        <v>386</v>
      </c>
      <c r="G5391" s="1" t="s">
        <v>387</v>
      </c>
      <c r="H5391" s="1">
        <v>804</v>
      </c>
      <c r="I5391" s="3">
        <v>46287</v>
      </c>
      <c r="L5391" s="31">
        <v>46287.653825034722</v>
      </c>
      <c r="M5391" s="20">
        <v>12</v>
      </c>
      <c r="N5391" s="1">
        <v>62</v>
      </c>
    </row>
    <row r="5392" spans="1:14" x14ac:dyDescent="0.25">
      <c r="A5392" t="str">
        <f t="shared" si="170"/>
        <v>78764027876402</v>
      </c>
      <c r="B5392" t="str">
        <f t="shared" si="171"/>
        <v>7876402M5742IX-D</v>
      </c>
      <c r="C5392" s="1" t="s">
        <v>487</v>
      </c>
      <c r="D5392" s="1" t="s">
        <v>844</v>
      </c>
      <c r="E5392" s="1" t="s">
        <v>385</v>
      </c>
      <c r="F5392" s="1" t="s">
        <v>386</v>
      </c>
      <c r="G5392" s="1" t="s">
        <v>387</v>
      </c>
      <c r="H5392" s="1">
        <v>804</v>
      </c>
      <c r="I5392" s="3">
        <v>46287</v>
      </c>
      <c r="L5392" s="31">
        <v>46287.654741354163</v>
      </c>
      <c r="M5392" s="20">
        <v>12</v>
      </c>
      <c r="N5392" s="1">
        <v>48</v>
      </c>
    </row>
    <row r="5393" spans="1:14" x14ac:dyDescent="0.25">
      <c r="A5393" t="str">
        <f t="shared" si="170"/>
        <v>78764027876402</v>
      </c>
      <c r="B5393" t="str">
        <f t="shared" si="171"/>
        <v>7876402M5742IX-D</v>
      </c>
      <c r="C5393" s="1" t="s">
        <v>487</v>
      </c>
      <c r="D5393" s="1" t="s">
        <v>844</v>
      </c>
      <c r="E5393" s="1" t="s">
        <v>385</v>
      </c>
      <c r="F5393" s="1" t="s">
        <v>386</v>
      </c>
      <c r="G5393" s="1" t="s">
        <v>387</v>
      </c>
      <c r="H5393" s="1">
        <v>804</v>
      </c>
      <c r="I5393" s="3">
        <v>46287</v>
      </c>
      <c r="L5393" s="31">
        <v>46287.654986145833</v>
      </c>
      <c r="M5393" s="20">
        <v>12</v>
      </c>
      <c r="N5393" s="1">
        <v>42</v>
      </c>
    </row>
    <row r="5394" spans="1:14" x14ac:dyDescent="0.25">
      <c r="A5394" t="str">
        <f t="shared" si="170"/>
        <v>78764027876402</v>
      </c>
      <c r="B5394" t="str">
        <f t="shared" si="171"/>
        <v>7876402M5742IX-D</v>
      </c>
      <c r="C5394" s="1" t="s">
        <v>487</v>
      </c>
      <c r="D5394" s="1" t="s">
        <v>844</v>
      </c>
      <c r="E5394" s="1" t="s">
        <v>385</v>
      </c>
      <c r="F5394" s="1" t="s">
        <v>386</v>
      </c>
      <c r="G5394" s="1" t="s">
        <v>387</v>
      </c>
      <c r="H5394" s="1">
        <v>804</v>
      </c>
      <c r="I5394" s="3">
        <v>46287</v>
      </c>
      <c r="L5394" s="31">
        <v>46287.664022187499</v>
      </c>
      <c r="M5394" s="20">
        <v>12</v>
      </c>
      <c r="N5394" s="1">
        <v>1</v>
      </c>
    </row>
    <row r="5395" spans="1:14" x14ac:dyDescent="0.25">
      <c r="A5395" t="str">
        <f t="shared" si="170"/>
        <v>78764027876402</v>
      </c>
      <c r="B5395" t="str">
        <f t="shared" si="171"/>
        <v>7876402M5742IX-D</v>
      </c>
      <c r="C5395" s="1" t="s">
        <v>487</v>
      </c>
      <c r="D5395" s="1" t="s">
        <v>844</v>
      </c>
      <c r="E5395" s="1" t="s">
        <v>385</v>
      </c>
      <c r="F5395" s="1" t="s">
        <v>386</v>
      </c>
      <c r="G5395" s="1" t="s">
        <v>387</v>
      </c>
      <c r="H5395" s="1">
        <v>804</v>
      </c>
      <c r="I5395" s="3">
        <v>46287</v>
      </c>
      <c r="L5395" s="31">
        <v>46287.675290474537</v>
      </c>
      <c r="M5395" s="20">
        <v>12</v>
      </c>
      <c r="N5395" s="1">
        <v>44</v>
      </c>
    </row>
    <row r="5396" spans="1:14" x14ac:dyDescent="0.25">
      <c r="A5396" t="str">
        <f t="shared" si="170"/>
        <v>78764027876402</v>
      </c>
      <c r="B5396" t="str">
        <f t="shared" si="171"/>
        <v>7876402M5742IX-D</v>
      </c>
      <c r="C5396" s="1" t="s">
        <v>487</v>
      </c>
      <c r="D5396" s="1" t="s">
        <v>844</v>
      </c>
      <c r="E5396" s="1" t="s">
        <v>385</v>
      </c>
      <c r="F5396" s="1" t="s">
        <v>386</v>
      </c>
      <c r="G5396" s="1" t="s">
        <v>387</v>
      </c>
      <c r="H5396" s="1">
        <v>804</v>
      </c>
      <c r="I5396" s="3">
        <v>46287</v>
      </c>
      <c r="L5396" s="31">
        <v>46287.684716435186</v>
      </c>
      <c r="M5396" s="20">
        <v>12</v>
      </c>
      <c r="N5396" s="1">
        <v>22</v>
      </c>
    </row>
    <row r="5397" spans="1:14" x14ac:dyDescent="0.25">
      <c r="A5397" t="str">
        <f t="shared" si="170"/>
        <v>78764027876402</v>
      </c>
      <c r="B5397" t="str">
        <f t="shared" si="171"/>
        <v>7876402M5742IX-D</v>
      </c>
      <c r="C5397" s="1" t="s">
        <v>487</v>
      </c>
      <c r="D5397" s="1" t="s">
        <v>844</v>
      </c>
      <c r="E5397" s="1" t="s">
        <v>385</v>
      </c>
      <c r="F5397" s="1" t="s">
        <v>386</v>
      </c>
      <c r="G5397" s="1" t="s">
        <v>387</v>
      </c>
      <c r="H5397" s="1">
        <v>804</v>
      </c>
      <c r="I5397" s="3">
        <v>46287</v>
      </c>
      <c r="L5397" s="31">
        <v>46287.685186886571</v>
      </c>
      <c r="M5397" s="20">
        <v>12</v>
      </c>
      <c r="N5397" s="1">
        <v>35</v>
      </c>
    </row>
    <row r="5398" spans="1:14" x14ac:dyDescent="0.25">
      <c r="A5398" t="str">
        <f t="shared" si="170"/>
        <v>78764027876402</v>
      </c>
      <c r="B5398" t="str">
        <f t="shared" si="171"/>
        <v>7876402M5742IX-D</v>
      </c>
      <c r="C5398" s="1" t="s">
        <v>487</v>
      </c>
      <c r="D5398" s="1" t="s">
        <v>844</v>
      </c>
      <c r="E5398" s="1" t="s">
        <v>385</v>
      </c>
      <c r="F5398" s="1" t="s">
        <v>386</v>
      </c>
      <c r="G5398" s="1" t="s">
        <v>387</v>
      </c>
      <c r="H5398" s="1">
        <v>804</v>
      </c>
      <c r="I5398" s="3">
        <v>46287</v>
      </c>
      <c r="L5398" s="31">
        <v>46287.686532060186</v>
      </c>
      <c r="M5398" s="20">
        <v>12</v>
      </c>
      <c r="N5398" s="1">
        <v>49</v>
      </c>
    </row>
    <row r="5399" spans="1:14" x14ac:dyDescent="0.25">
      <c r="A5399" t="str">
        <f t="shared" si="170"/>
        <v>78764027876402</v>
      </c>
      <c r="B5399" t="str">
        <f t="shared" si="171"/>
        <v>7876402M5742IX-D</v>
      </c>
      <c r="C5399" s="1" t="s">
        <v>487</v>
      </c>
      <c r="D5399" s="1" t="s">
        <v>844</v>
      </c>
      <c r="E5399" s="1" t="s">
        <v>385</v>
      </c>
      <c r="F5399" s="1" t="s">
        <v>386</v>
      </c>
      <c r="G5399" s="1" t="s">
        <v>387</v>
      </c>
      <c r="H5399" s="1">
        <v>804</v>
      </c>
      <c r="I5399" s="3">
        <v>46287</v>
      </c>
      <c r="L5399" s="31">
        <v>46287.687752465274</v>
      </c>
      <c r="M5399" s="20">
        <v>12</v>
      </c>
      <c r="N5399" s="1">
        <v>63</v>
      </c>
    </row>
    <row r="5400" spans="1:14" x14ac:dyDescent="0.25">
      <c r="A5400" t="str">
        <f t="shared" si="170"/>
        <v>78764027876402</v>
      </c>
      <c r="B5400" t="str">
        <f t="shared" si="171"/>
        <v>7876402M5742IX-D</v>
      </c>
      <c r="C5400" s="1" t="s">
        <v>487</v>
      </c>
      <c r="D5400" s="1" t="s">
        <v>844</v>
      </c>
      <c r="E5400" s="1" t="s">
        <v>385</v>
      </c>
      <c r="F5400" s="1" t="s">
        <v>386</v>
      </c>
      <c r="G5400" s="1" t="s">
        <v>387</v>
      </c>
      <c r="H5400" s="1">
        <v>804</v>
      </c>
      <c r="I5400" s="3">
        <v>46287</v>
      </c>
      <c r="L5400" s="31">
        <v>46287.688115740741</v>
      </c>
      <c r="M5400" s="20">
        <v>12</v>
      </c>
      <c r="N5400" s="1">
        <v>2</v>
      </c>
    </row>
    <row r="5401" spans="1:14" x14ac:dyDescent="0.25">
      <c r="A5401" t="str">
        <f t="shared" si="170"/>
        <v>78764027876402</v>
      </c>
      <c r="B5401" t="str">
        <f t="shared" si="171"/>
        <v>7876402M5742IX-D</v>
      </c>
      <c r="C5401" s="1" t="s">
        <v>487</v>
      </c>
      <c r="D5401" s="1" t="s">
        <v>844</v>
      </c>
      <c r="E5401" s="1" t="s">
        <v>385</v>
      </c>
      <c r="F5401" s="1" t="s">
        <v>386</v>
      </c>
      <c r="G5401" s="1" t="s">
        <v>387</v>
      </c>
      <c r="H5401" s="1">
        <v>804</v>
      </c>
      <c r="I5401" s="3">
        <v>46287</v>
      </c>
      <c r="L5401" s="31">
        <v>46287.688634988423</v>
      </c>
      <c r="M5401" s="20">
        <v>12</v>
      </c>
      <c r="N5401" s="1">
        <v>6</v>
      </c>
    </row>
    <row r="5402" spans="1:14" x14ac:dyDescent="0.25">
      <c r="A5402" t="str">
        <f t="shared" si="170"/>
        <v>78764027876402</v>
      </c>
      <c r="B5402" t="str">
        <f t="shared" si="171"/>
        <v>7876402M5742IX-D</v>
      </c>
      <c r="C5402" s="1" t="s">
        <v>487</v>
      </c>
      <c r="D5402" s="1" t="s">
        <v>844</v>
      </c>
      <c r="E5402" s="1" t="s">
        <v>385</v>
      </c>
      <c r="F5402" s="1" t="s">
        <v>386</v>
      </c>
      <c r="G5402" s="1" t="s">
        <v>387</v>
      </c>
      <c r="H5402" s="1">
        <v>804</v>
      </c>
      <c r="I5402" s="3">
        <v>46287</v>
      </c>
      <c r="L5402" s="31">
        <v>46287.69879884259</v>
      </c>
      <c r="M5402" s="20">
        <v>12</v>
      </c>
      <c r="N5402" s="1">
        <v>21</v>
      </c>
    </row>
    <row r="5403" spans="1:14" x14ac:dyDescent="0.25">
      <c r="A5403" t="str">
        <f t="shared" si="170"/>
        <v>78764027876402</v>
      </c>
      <c r="B5403" t="str">
        <f t="shared" si="171"/>
        <v>7876402M5742IX-D</v>
      </c>
      <c r="C5403" s="1" t="s">
        <v>487</v>
      </c>
      <c r="D5403" s="1" t="s">
        <v>844</v>
      </c>
      <c r="E5403" s="1" t="s">
        <v>385</v>
      </c>
      <c r="F5403" s="1" t="s">
        <v>386</v>
      </c>
      <c r="G5403" s="1" t="s">
        <v>387</v>
      </c>
      <c r="H5403" s="1">
        <v>804</v>
      </c>
      <c r="I5403" s="3">
        <v>46287</v>
      </c>
      <c r="L5403" s="31">
        <v>46287.700058449074</v>
      </c>
      <c r="M5403" s="20">
        <v>12</v>
      </c>
      <c r="N5403" s="1">
        <v>34</v>
      </c>
    </row>
    <row r="5404" spans="1:14" x14ac:dyDescent="0.25">
      <c r="A5404" t="str">
        <f t="shared" si="170"/>
        <v>78764027876402</v>
      </c>
      <c r="B5404" t="str">
        <f t="shared" si="171"/>
        <v>7876402M5742IX-D</v>
      </c>
      <c r="C5404" s="1" t="s">
        <v>487</v>
      </c>
      <c r="D5404" s="1" t="s">
        <v>844</v>
      </c>
      <c r="E5404" s="1" t="s">
        <v>385</v>
      </c>
      <c r="F5404" s="1" t="s">
        <v>386</v>
      </c>
      <c r="G5404" s="1" t="s">
        <v>387</v>
      </c>
      <c r="H5404" s="1">
        <v>804</v>
      </c>
      <c r="I5404" s="3">
        <v>46287</v>
      </c>
      <c r="L5404" s="31">
        <v>46287.700859490738</v>
      </c>
      <c r="M5404" s="20">
        <v>12</v>
      </c>
      <c r="N5404" s="1">
        <v>7</v>
      </c>
    </row>
    <row r="5405" spans="1:14" x14ac:dyDescent="0.25">
      <c r="A5405" t="str">
        <f t="shared" si="170"/>
        <v>78764027876402</v>
      </c>
      <c r="B5405" t="str">
        <f t="shared" si="171"/>
        <v>7876402M5742IX-D</v>
      </c>
      <c r="C5405" s="1" t="s">
        <v>487</v>
      </c>
      <c r="D5405" s="1" t="s">
        <v>844</v>
      </c>
      <c r="E5405" s="1" t="s">
        <v>385</v>
      </c>
      <c r="F5405" s="1" t="s">
        <v>386</v>
      </c>
      <c r="G5405" s="1" t="s">
        <v>387</v>
      </c>
      <c r="H5405" s="1">
        <v>804</v>
      </c>
      <c r="I5405" s="3">
        <v>46287</v>
      </c>
      <c r="L5405" s="31">
        <v>46287.712213078703</v>
      </c>
      <c r="M5405" s="20">
        <v>12</v>
      </c>
      <c r="N5405" s="1">
        <v>23</v>
      </c>
    </row>
    <row r="5406" spans="1:14" x14ac:dyDescent="0.25">
      <c r="A5406" t="str">
        <f t="shared" si="170"/>
        <v>78764027876402</v>
      </c>
      <c r="B5406" t="str">
        <f t="shared" si="171"/>
        <v>7876402M5742IX-D</v>
      </c>
      <c r="C5406" s="1" t="s">
        <v>487</v>
      </c>
      <c r="D5406" s="1" t="s">
        <v>844</v>
      </c>
      <c r="E5406" s="1" t="s">
        <v>385</v>
      </c>
      <c r="F5406" s="1" t="s">
        <v>386</v>
      </c>
      <c r="G5406" s="1" t="s">
        <v>387</v>
      </c>
      <c r="H5406" s="1">
        <v>804</v>
      </c>
      <c r="I5406" s="3">
        <v>46287</v>
      </c>
      <c r="L5406" s="31">
        <v>46287.712621527775</v>
      </c>
      <c r="M5406" s="20">
        <v>12</v>
      </c>
      <c r="N5406" s="1">
        <v>50</v>
      </c>
    </row>
    <row r="5407" spans="1:14" x14ac:dyDescent="0.25">
      <c r="A5407" t="str">
        <f t="shared" si="170"/>
        <v>78764027876402</v>
      </c>
      <c r="B5407" t="str">
        <f t="shared" si="171"/>
        <v>7876402M5742IX-D</v>
      </c>
      <c r="C5407" s="1" t="s">
        <v>487</v>
      </c>
      <c r="D5407" s="1" t="s">
        <v>844</v>
      </c>
      <c r="E5407" s="1" t="s">
        <v>385</v>
      </c>
      <c r="F5407" s="1" t="s">
        <v>386</v>
      </c>
      <c r="G5407" s="1" t="s">
        <v>387</v>
      </c>
      <c r="H5407" s="1">
        <v>804</v>
      </c>
      <c r="I5407" s="3">
        <v>46287</v>
      </c>
      <c r="L5407" s="31">
        <v>46287.712931168979</v>
      </c>
      <c r="M5407" s="20">
        <v>12</v>
      </c>
      <c r="N5407" s="1">
        <v>24</v>
      </c>
    </row>
    <row r="5408" spans="1:14" x14ac:dyDescent="0.25">
      <c r="A5408" t="str">
        <f t="shared" si="170"/>
        <v>78764027876402</v>
      </c>
      <c r="B5408" t="str">
        <f t="shared" si="171"/>
        <v>7876402M5742IX-D</v>
      </c>
      <c r="C5408" s="1" t="s">
        <v>487</v>
      </c>
      <c r="D5408" s="1" t="s">
        <v>844</v>
      </c>
      <c r="E5408" s="1" t="s">
        <v>385</v>
      </c>
      <c r="F5408" s="1" t="s">
        <v>386</v>
      </c>
      <c r="G5408" s="1" t="s">
        <v>387</v>
      </c>
      <c r="H5408" s="1">
        <v>804</v>
      </c>
      <c r="I5408" s="3">
        <v>46287</v>
      </c>
      <c r="L5408" s="31">
        <v>46287.718583530092</v>
      </c>
      <c r="M5408" s="20">
        <v>12</v>
      </c>
      <c r="N5408" s="1">
        <v>15</v>
      </c>
    </row>
    <row r="5409" spans="1:14" x14ac:dyDescent="0.25">
      <c r="A5409" t="str">
        <f t="shared" si="170"/>
        <v>78764027876402</v>
      </c>
      <c r="B5409" t="str">
        <f t="shared" si="171"/>
        <v>7876402M5742IX-D</v>
      </c>
      <c r="C5409" s="1" t="s">
        <v>487</v>
      </c>
      <c r="D5409" s="1" t="s">
        <v>844</v>
      </c>
      <c r="E5409" s="1" t="s">
        <v>385</v>
      </c>
      <c r="F5409" s="1" t="s">
        <v>386</v>
      </c>
      <c r="G5409" s="1" t="s">
        <v>387</v>
      </c>
      <c r="H5409" s="1">
        <v>804</v>
      </c>
      <c r="I5409" s="3">
        <v>46287</v>
      </c>
      <c r="L5409" s="31">
        <v>46287.72960327546</v>
      </c>
      <c r="M5409" s="20">
        <v>12</v>
      </c>
      <c r="N5409" s="1">
        <v>64</v>
      </c>
    </row>
    <row r="5410" spans="1:14" x14ac:dyDescent="0.25">
      <c r="A5410" t="str">
        <f t="shared" si="170"/>
        <v>78764027876402</v>
      </c>
      <c r="B5410" t="str">
        <f t="shared" si="171"/>
        <v>7876402M5742IX-D</v>
      </c>
      <c r="C5410" s="1" t="s">
        <v>487</v>
      </c>
      <c r="D5410" s="1" t="s">
        <v>844</v>
      </c>
      <c r="E5410" s="1" t="s">
        <v>385</v>
      </c>
      <c r="F5410" s="1" t="s">
        <v>386</v>
      </c>
      <c r="G5410" s="1" t="s">
        <v>387</v>
      </c>
      <c r="H5410" s="1">
        <v>804</v>
      </c>
      <c r="I5410" s="3">
        <v>46287</v>
      </c>
      <c r="L5410" s="31">
        <v>46287.730147881943</v>
      </c>
      <c r="M5410" s="20">
        <v>12</v>
      </c>
      <c r="N5410" s="1">
        <v>36</v>
      </c>
    </row>
    <row r="5411" spans="1:14" x14ac:dyDescent="0.25">
      <c r="A5411" t="str">
        <f t="shared" si="170"/>
        <v>78764027876402</v>
      </c>
      <c r="B5411" t="str">
        <f t="shared" si="171"/>
        <v>7876402M5742IX-D</v>
      </c>
      <c r="C5411" s="1" t="s">
        <v>487</v>
      </c>
      <c r="D5411" s="1" t="s">
        <v>844</v>
      </c>
      <c r="E5411" s="1" t="s">
        <v>385</v>
      </c>
      <c r="F5411" s="1" t="s">
        <v>386</v>
      </c>
      <c r="G5411" s="1" t="s">
        <v>387</v>
      </c>
      <c r="H5411" s="1">
        <v>804</v>
      </c>
      <c r="I5411" s="3">
        <v>46287</v>
      </c>
      <c r="L5411" s="31">
        <v>46287.733351620365</v>
      </c>
      <c r="M5411" s="20">
        <v>12</v>
      </c>
      <c r="N5411" s="1">
        <v>8</v>
      </c>
    </row>
    <row r="5412" spans="1:14" x14ac:dyDescent="0.25">
      <c r="A5412" t="str">
        <f t="shared" si="170"/>
        <v>78764027876402</v>
      </c>
      <c r="B5412" t="str">
        <f t="shared" si="171"/>
        <v>7876402M5742IX-D</v>
      </c>
      <c r="C5412" s="1" t="s">
        <v>487</v>
      </c>
      <c r="D5412" s="1" t="s">
        <v>844</v>
      </c>
      <c r="E5412" s="1" t="s">
        <v>385</v>
      </c>
      <c r="F5412" s="1" t="s">
        <v>386</v>
      </c>
      <c r="G5412" s="1" t="s">
        <v>387</v>
      </c>
      <c r="H5412" s="1">
        <v>804</v>
      </c>
      <c r="I5412" s="3">
        <v>46287</v>
      </c>
      <c r="L5412" s="31">
        <v>46287.738511377313</v>
      </c>
      <c r="M5412" s="20">
        <v>12</v>
      </c>
      <c r="N5412" s="1">
        <v>52</v>
      </c>
    </row>
    <row r="5413" spans="1:14" x14ac:dyDescent="0.25">
      <c r="A5413" t="str">
        <f t="shared" si="170"/>
        <v>78764027876402</v>
      </c>
      <c r="B5413" t="str">
        <f t="shared" si="171"/>
        <v>7876402M5742IX-D</v>
      </c>
      <c r="C5413" s="1" t="s">
        <v>487</v>
      </c>
      <c r="D5413" s="1" t="s">
        <v>844</v>
      </c>
      <c r="E5413" s="1" t="s">
        <v>385</v>
      </c>
      <c r="F5413" s="1" t="s">
        <v>386</v>
      </c>
      <c r="G5413" s="1" t="s">
        <v>387</v>
      </c>
      <c r="H5413" s="1">
        <v>804</v>
      </c>
      <c r="I5413" s="3">
        <v>46287</v>
      </c>
      <c r="L5413" s="31">
        <v>46287.744894791664</v>
      </c>
      <c r="M5413" s="20">
        <v>12</v>
      </c>
      <c r="N5413" s="1">
        <v>51</v>
      </c>
    </row>
    <row r="5414" spans="1:14" x14ac:dyDescent="0.25">
      <c r="A5414" t="str">
        <f t="shared" si="170"/>
        <v>78764027876402</v>
      </c>
      <c r="B5414" t="str">
        <f t="shared" si="171"/>
        <v>7876402M5742IX-D</v>
      </c>
      <c r="C5414" s="1" t="s">
        <v>487</v>
      </c>
      <c r="D5414" s="1" t="s">
        <v>844</v>
      </c>
      <c r="E5414" s="1" t="s">
        <v>385</v>
      </c>
      <c r="F5414" s="1" t="s">
        <v>386</v>
      </c>
      <c r="G5414" s="1" t="s">
        <v>387</v>
      </c>
      <c r="H5414" s="1">
        <v>804</v>
      </c>
      <c r="I5414" s="3">
        <v>46287</v>
      </c>
      <c r="L5414" s="31">
        <v>46287.75012222222</v>
      </c>
      <c r="M5414" s="20">
        <v>12</v>
      </c>
      <c r="N5414" s="1">
        <v>16</v>
      </c>
    </row>
    <row r="5415" spans="1:14" x14ac:dyDescent="0.25">
      <c r="A5415" t="str">
        <f t="shared" si="170"/>
        <v>78764027876402</v>
      </c>
      <c r="B5415" t="str">
        <f t="shared" si="171"/>
        <v>7876402M5742IX-D</v>
      </c>
      <c r="C5415" s="1" t="s">
        <v>487</v>
      </c>
      <c r="D5415" s="1" t="s">
        <v>844</v>
      </c>
      <c r="E5415" s="1" t="s">
        <v>385</v>
      </c>
      <c r="F5415" s="1" t="s">
        <v>386</v>
      </c>
      <c r="G5415" s="1" t="s">
        <v>387</v>
      </c>
      <c r="H5415" s="1">
        <v>804</v>
      </c>
      <c r="I5415" s="3">
        <v>46287</v>
      </c>
      <c r="L5415" s="31">
        <v>46287.755753784717</v>
      </c>
      <c r="M5415" s="20">
        <v>12</v>
      </c>
      <c r="N5415" s="1">
        <v>37</v>
      </c>
    </row>
    <row r="5416" spans="1:14" x14ac:dyDescent="0.25">
      <c r="A5416" t="str">
        <f t="shared" si="170"/>
        <v>78764027876402</v>
      </c>
      <c r="B5416" t="str">
        <f t="shared" si="171"/>
        <v>7876402M5742IX-D</v>
      </c>
      <c r="C5416" s="1" t="s">
        <v>487</v>
      </c>
      <c r="D5416" s="1" t="s">
        <v>844</v>
      </c>
      <c r="E5416" s="1" t="s">
        <v>385</v>
      </c>
      <c r="F5416" s="1" t="s">
        <v>386</v>
      </c>
      <c r="G5416" s="1" t="s">
        <v>387</v>
      </c>
      <c r="H5416" s="1">
        <v>804</v>
      </c>
      <c r="I5416" s="3">
        <v>46287</v>
      </c>
      <c r="L5416" s="31">
        <v>46287.757013773145</v>
      </c>
      <c r="M5416" s="20">
        <v>12</v>
      </c>
      <c r="N5416" s="1">
        <v>53</v>
      </c>
    </row>
    <row r="5417" spans="1:14" x14ac:dyDescent="0.25">
      <c r="A5417" t="str">
        <f t="shared" si="170"/>
        <v>78764747876474</v>
      </c>
      <c r="B5417" t="str">
        <f t="shared" si="171"/>
        <v>7876474G90603WC-M</v>
      </c>
      <c r="C5417" s="1" t="s">
        <v>693</v>
      </c>
      <c r="D5417" s="1" t="s">
        <v>848</v>
      </c>
      <c r="E5417" s="1" t="s">
        <v>385</v>
      </c>
      <c r="F5417" s="1" t="s">
        <v>386</v>
      </c>
      <c r="G5417" s="1" t="s">
        <v>387</v>
      </c>
      <c r="H5417" s="1">
        <v>600</v>
      </c>
      <c r="I5417" s="3">
        <v>46287</v>
      </c>
      <c r="L5417" s="31">
        <v>46287.622951006946</v>
      </c>
      <c r="M5417" s="20">
        <v>12</v>
      </c>
      <c r="N5417" s="1">
        <v>29</v>
      </c>
    </row>
    <row r="5418" spans="1:14" x14ac:dyDescent="0.25">
      <c r="A5418" t="str">
        <f t="shared" si="170"/>
        <v>78764747876474</v>
      </c>
      <c r="B5418" t="str">
        <f t="shared" si="171"/>
        <v>7876474G90603WC-M</v>
      </c>
      <c r="C5418" s="1" t="s">
        <v>693</v>
      </c>
      <c r="D5418" s="1" t="s">
        <v>848</v>
      </c>
      <c r="E5418" s="1" t="s">
        <v>385</v>
      </c>
      <c r="F5418" s="1" t="s">
        <v>386</v>
      </c>
      <c r="G5418" s="1" t="s">
        <v>387</v>
      </c>
      <c r="H5418" s="1">
        <v>600</v>
      </c>
      <c r="I5418" s="3">
        <v>46287</v>
      </c>
      <c r="L5418" s="31">
        <v>46287.630370451385</v>
      </c>
      <c r="M5418" s="20">
        <v>12</v>
      </c>
      <c r="N5418" s="1">
        <v>16</v>
      </c>
    </row>
    <row r="5419" spans="1:14" x14ac:dyDescent="0.25">
      <c r="A5419" t="str">
        <f t="shared" si="170"/>
        <v>78764747876474</v>
      </c>
      <c r="B5419" t="str">
        <f t="shared" si="171"/>
        <v>7876474G90603WC-M</v>
      </c>
      <c r="C5419" s="1" t="s">
        <v>693</v>
      </c>
      <c r="D5419" s="1" t="s">
        <v>848</v>
      </c>
      <c r="E5419" s="1" t="s">
        <v>385</v>
      </c>
      <c r="F5419" s="1" t="s">
        <v>386</v>
      </c>
      <c r="G5419" s="1" t="s">
        <v>387</v>
      </c>
      <c r="H5419" s="1">
        <v>600</v>
      </c>
      <c r="I5419" s="3">
        <v>46287</v>
      </c>
      <c r="L5419" s="31">
        <v>46287.682332210643</v>
      </c>
      <c r="M5419" s="20">
        <v>12</v>
      </c>
      <c r="N5419" s="1">
        <v>30</v>
      </c>
    </row>
    <row r="5420" spans="1:14" x14ac:dyDescent="0.25">
      <c r="A5420" t="str">
        <f t="shared" si="170"/>
        <v>78764747876474</v>
      </c>
      <c r="B5420" t="str">
        <f t="shared" si="171"/>
        <v>7876474G90603WC-M</v>
      </c>
      <c r="C5420" s="1" t="s">
        <v>693</v>
      </c>
      <c r="D5420" s="1" t="s">
        <v>848</v>
      </c>
      <c r="E5420" s="1" t="s">
        <v>385</v>
      </c>
      <c r="F5420" s="1" t="s">
        <v>386</v>
      </c>
      <c r="G5420" s="1" t="s">
        <v>387</v>
      </c>
      <c r="H5420" s="1">
        <v>600</v>
      </c>
      <c r="I5420" s="3">
        <v>46287</v>
      </c>
      <c r="L5420" s="31">
        <v>46287.696757060185</v>
      </c>
      <c r="M5420" s="20">
        <v>12</v>
      </c>
      <c r="N5420" s="1">
        <v>17</v>
      </c>
    </row>
    <row r="5421" spans="1:14" x14ac:dyDescent="0.25">
      <c r="A5421" t="str">
        <f t="shared" si="170"/>
        <v>78807527880752</v>
      </c>
      <c r="B5421" t="str">
        <f t="shared" si="171"/>
        <v>7880752P60347T-M</v>
      </c>
      <c r="C5421" s="1" t="s">
        <v>272</v>
      </c>
      <c r="D5421" s="1" t="s">
        <v>830</v>
      </c>
      <c r="E5421" s="1" t="s">
        <v>388</v>
      </c>
      <c r="F5421" s="1" t="s">
        <v>389</v>
      </c>
      <c r="G5421" s="1" t="s">
        <v>387</v>
      </c>
      <c r="H5421" s="1">
        <v>876</v>
      </c>
      <c r="I5421" s="3">
        <v>46287</v>
      </c>
      <c r="J5421" s="3">
        <v>46289</v>
      </c>
      <c r="K5421" s="3" t="s">
        <v>2374</v>
      </c>
      <c r="L5421" s="31">
        <v>46287.340661076385</v>
      </c>
      <c r="M5421" s="20">
        <v>12</v>
      </c>
      <c r="N5421" s="1">
        <v>54</v>
      </c>
    </row>
    <row r="5422" spans="1:14" x14ac:dyDescent="0.25">
      <c r="A5422" t="str">
        <f t="shared" si="170"/>
        <v>78807527880752</v>
      </c>
      <c r="B5422" t="str">
        <f t="shared" si="171"/>
        <v>7880752P60347T-M</v>
      </c>
      <c r="C5422" s="1" t="s">
        <v>272</v>
      </c>
      <c r="D5422" s="1" t="s">
        <v>830</v>
      </c>
      <c r="E5422" s="1" t="s">
        <v>388</v>
      </c>
      <c r="F5422" s="1" t="s">
        <v>389</v>
      </c>
      <c r="G5422" s="1" t="s">
        <v>387</v>
      </c>
      <c r="H5422" s="1">
        <v>876</v>
      </c>
      <c r="I5422" s="3">
        <v>46287</v>
      </c>
      <c r="J5422" s="3">
        <v>46289</v>
      </c>
      <c r="K5422" s="3" t="s">
        <v>2374</v>
      </c>
      <c r="L5422" s="31">
        <v>46287.352153703701</v>
      </c>
      <c r="M5422" s="20">
        <v>12</v>
      </c>
      <c r="N5422" s="1">
        <v>62</v>
      </c>
    </row>
    <row r="5423" spans="1:14" x14ac:dyDescent="0.25">
      <c r="A5423" t="str">
        <f t="shared" si="170"/>
        <v>78807527880752</v>
      </c>
      <c r="B5423" t="str">
        <f t="shared" si="171"/>
        <v>7880752P60347T-M</v>
      </c>
      <c r="C5423" s="1" t="s">
        <v>272</v>
      </c>
      <c r="D5423" s="1" t="s">
        <v>830</v>
      </c>
      <c r="E5423" s="1" t="s">
        <v>388</v>
      </c>
      <c r="F5423" s="1" t="s">
        <v>389</v>
      </c>
      <c r="G5423" s="1" t="s">
        <v>387</v>
      </c>
      <c r="H5423" s="1">
        <v>876</v>
      </c>
      <c r="I5423" s="3">
        <v>46287</v>
      </c>
      <c r="J5423" s="3">
        <v>46289</v>
      </c>
      <c r="K5423" s="3" t="s">
        <v>2374</v>
      </c>
      <c r="L5423" s="31">
        <v>46287.354039120371</v>
      </c>
      <c r="M5423" s="20">
        <v>12</v>
      </c>
      <c r="N5423" s="1">
        <v>55</v>
      </c>
    </row>
    <row r="5424" spans="1:14" x14ac:dyDescent="0.25">
      <c r="A5424" t="str">
        <f t="shared" si="170"/>
        <v>78807527880752</v>
      </c>
      <c r="B5424" t="str">
        <f t="shared" si="171"/>
        <v>7880752P60347T-M</v>
      </c>
      <c r="C5424" s="1" t="s">
        <v>272</v>
      </c>
      <c r="D5424" s="1" t="s">
        <v>830</v>
      </c>
      <c r="E5424" s="1" t="s">
        <v>388</v>
      </c>
      <c r="F5424" s="1" t="s">
        <v>389</v>
      </c>
      <c r="G5424" s="1" t="s">
        <v>387</v>
      </c>
      <c r="H5424" s="1">
        <v>876</v>
      </c>
      <c r="I5424" s="3">
        <v>46287</v>
      </c>
      <c r="J5424" s="3">
        <v>46289</v>
      </c>
      <c r="K5424" s="3" t="s">
        <v>2374</v>
      </c>
      <c r="L5424" s="31">
        <v>46287.354456249996</v>
      </c>
      <c r="M5424" s="20">
        <v>12</v>
      </c>
      <c r="N5424" s="1">
        <v>41</v>
      </c>
    </row>
    <row r="5425" spans="1:14" x14ac:dyDescent="0.25">
      <c r="A5425" t="str">
        <f t="shared" si="170"/>
        <v>78807527880752</v>
      </c>
      <c r="B5425" t="str">
        <f t="shared" si="171"/>
        <v>7880752P60347T-M</v>
      </c>
      <c r="C5425" s="1" t="s">
        <v>272</v>
      </c>
      <c r="D5425" s="1" t="s">
        <v>830</v>
      </c>
      <c r="E5425" s="1" t="s">
        <v>388</v>
      </c>
      <c r="F5425" s="1" t="s">
        <v>389</v>
      </c>
      <c r="G5425" s="1" t="s">
        <v>387</v>
      </c>
      <c r="H5425" s="1">
        <v>876</v>
      </c>
      <c r="I5425" s="3">
        <v>46287</v>
      </c>
      <c r="J5425" s="3">
        <v>46289</v>
      </c>
      <c r="K5425" s="3" t="s">
        <v>2374</v>
      </c>
      <c r="L5425" s="31">
        <v>46287.371481284717</v>
      </c>
      <c r="M5425" s="20">
        <v>12</v>
      </c>
      <c r="N5425" s="1">
        <v>56</v>
      </c>
    </row>
    <row r="5426" spans="1:14" x14ac:dyDescent="0.25">
      <c r="A5426" t="str">
        <f t="shared" si="170"/>
        <v>78807527880752</v>
      </c>
      <c r="B5426" t="str">
        <f t="shared" si="171"/>
        <v>7880752P60347T-M</v>
      </c>
      <c r="C5426" s="1" t="s">
        <v>272</v>
      </c>
      <c r="D5426" s="1" t="s">
        <v>830</v>
      </c>
      <c r="E5426" s="1" t="s">
        <v>388</v>
      </c>
      <c r="F5426" s="1" t="s">
        <v>389</v>
      </c>
      <c r="G5426" s="1" t="s">
        <v>387</v>
      </c>
      <c r="H5426" s="1">
        <v>876</v>
      </c>
      <c r="I5426" s="3">
        <v>46287</v>
      </c>
      <c r="J5426" s="3">
        <v>46289</v>
      </c>
      <c r="K5426" s="3" t="s">
        <v>2374</v>
      </c>
      <c r="L5426" s="31">
        <v>46287.379857789347</v>
      </c>
      <c r="M5426" s="20">
        <v>12</v>
      </c>
      <c r="N5426" s="1">
        <v>44</v>
      </c>
    </row>
    <row r="5427" spans="1:14" x14ac:dyDescent="0.25">
      <c r="A5427" t="str">
        <f t="shared" si="170"/>
        <v>78807527880752</v>
      </c>
      <c r="B5427" t="str">
        <f t="shared" si="171"/>
        <v>7880752P60347T-M</v>
      </c>
      <c r="C5427" s="1" t="s">
        <v>272</v>
      </c>
      <c r="D5427" s="1" t="s">
        <v>830</v>
      </c>
      <c r="E5427" s="1" t="s">
        <v>388</v>
      </c>
      <c r="F5427" s="1" t="s">
        <v>389</v>
      </c>
      <c r="G5427" s="1" t="s">
        <v>387</v>
      </c>
      <c r="H5427" s="1">
        <v>876</v>
      </c>
      <c r="I5427" s="3">
        <v>46287</v>
      </c>
      <c r="J5427" s="3">
        <v>46289</v>
      </c>
      <c r="K5427" s="3" t="s">
        <v>2374</v>
      </c>
      <c r="L5427" s="31">
        <v>46287.38274429398</v>
      </c>
      <c r="M5427" s="20">
        <v>12</v>
      </c>
      <c r="N5427" s="1">
        <v>50</v>
      </c>
    </row>
    <row r="5428" spans="1:14" x14ac:dyDescent="0.25">
      <c r="A5428" t="str">
        <f t="shared" si="170"/>
        <v>78807527880752</v>
      </c>
      <c r="B5428" t="str">
        <f t="shared" si="171"/>
        <v>7880752P60347T-M</v>
      </c>
      <c r="C5428" s="1" t="s">
        <v>272</v>
      </c>
      <c r="D5428" s="1" t="s">
        <v>830</v>
      </c>
      <c r="E5428" s="1" t="s">
        <v>388</v>
      </c>
      <c r="F5428" s="1" t="s">
        <v>389</v>
      </c>
      <c r="G5428" s="1" t="s">
        <v>387</v>
      </c>
      <c r="H5428" s="1">
        <v>876</v>
      </c>
      <c r="I5428" s="3">
        <v>46287</v>
      </c>
      <c r="J5428" s="3">
        <v>46289</v>
      </c>
      <c r="K5428" s="3" t="s">
        <v>2374</v>
      </c>
      <c r="L5428" s="31">
        <v>46287.38290960648</v>
      </c>
      <c r="M5428" s="20">
        <v>12</v>
      </c>
      <c r="N5428" s="1">
        <v>43</v>
      </c>
    </row>
    <row r="5429" spans="1:14" x14ac:dyDescent="0.25">
      <c r="A5429" t="str">
        <f t="shared" si="170"/>
        <v>78807527880752</v>
      </c>
      <c r="B5429" t="str">
        <f t="shared" si="171"/>
        <v>7880752P60347T-M</v>
      </c>
      <c r="C5429" s="1" t="s">
        <v>272</v>
      </c>
      <c r="D5429" s="1" t="s">
        <v>830</v>
      </c>
      <c r="E5429" s="1" t="s">
        <v>388</v>
      </c>
      <c r="F5429" s="1" t="s">
        <v>389</v>
      </c>
      <c r="G5429" s="1" t="s">
        <v>387</v>
      </c>
      <c r="H5429" s="1">
        <v>876</v>
      </c>
      <c r="I5429" s="3">
        <v>46287</v>
      </c>
      <c r="J5429" s="3">
        <v>46289</v>
      </c>
      <c r="K5429" s="3" t="s">
        <v>2374</v>
      </c>
      <c r="L5429" s="31">
        <v>46287.383101736108</v>
      </c>
      <c r="M5429" s="20">
        <v>12</v>
      </c>
      <c r="N5429" s="1">
        <v>58</v>
      </c>
    </row>
    <row r="5430" spans="1:14" x14ac:dyDescent="0.25">
      <c r="A5430" t="str">
        <f t="shared" si="170"/>
        <v>78807527880752</v>
      </c>
      <c r="B5430" t="str">
        <f t="shared" si="171"/>
        <v>7880752P60347T-M</v>
      </c>
      <c r="C5430" s="1" t="s">
        <v>272</v>
      </c>
      <c r="D5430" s="1" t="s">
        <v>830</v>
      </c>
      <c r="E5430" s="1" t="s">
        <v>388</v>
      </c>
      <c r="F5430" s="1" t="s">
        <v>389</v>
      </c>
      <c r="G5430" s="1" t="s">
        <v>387</v>
      </c>
      <c r="H5430" s="1">
        <v>876</v>
      </c>
      <c r="I5430" s="3">
        <v>46287</v>
      </c>
      <c r="J5430" s="3">
        <v>46289</v>
      </c>
      <c r="K5430" s="3" t="s">
        <v>2374</v>
      </c>
      <c r="L5430" s="31">
        <v>46287.398831215272</v>
      </c>
      <c r="M5430" s="20">
        <v>12</v>
      </c>
      <c r="N5430" s="1">
        <v>39</v>
      </c>
    </row>
    <row r="5431" spans="1:14" x14ac:dyDescent="0.25">
      <c r="A5431" t="str">
        <f t="shared" si="170"/>
        <v>78807527880752</v>
      </c>
      <c r="B5431" t="str">
        <f t="shared" si="171"/>
        <v>7880752P60347T-M</v>
      </c>
      <c r="C5431" s="1" t="s">
        <v>272</v>
      </c>
      <c r="D5431" s="1" t="s">
        <v>830</v>
      </c>
      <c r="E5431" s="1" t="s">
        <v>388</v>
      </c>
      <c r="F5431" s="1" t="s">
        <v>389</v>
      </c>
      <c r="G5431" s="1" t="s">
        <v>387</v>
      </c>
      <c r="H5431" s="1">
        <v>876</v>
      </c>
      <c r="I5431" s="3">
        <v>46287</v>
      </c>
      <c r="J5431" s="3">
        <v>46289</v>
      </c>
      <c r="K5431" s="3" t="s">
        <v>2374</v>
      </c>
      <c r="L5431" s="31">
        <v>46287.41515231481</v>
      </c>
      <c r="M5431" s="20">
        <v>12</v>
      </c>
      <c r="N5431" s="1">
        <v>57</v>
      </c>
    </row>
    <row r="5432" spans="1:14" x14ac:dyDescent="0.25">
      <c r="A5432" t="str">
        <f t="shared" si="170"/>
        <v>78807527880752</v>
      </c>
      <c r="B5432" t="str">
        <f t="shared" si="171"/>
        <v>7880752P60347T-M</v>
      </c>
      <c r="C5432" s="1" t="s">
        <v>272</v>
      </c>
      <c r="D5432" s="1" t="s">
        <v>830</v>
      </c>
      <c r="E5432" s="1" t="s">
        <v>388</v>
      </c>
      <c r="F5432" s="1" t="s">
        <v>389</v>
      </c>
      <c r="G5432" s="1" t="s">
        <v>387</v>
      </c>
      <c r="H5432" s="1">
        <v>876</v>
      </c>
      <c r="I5432" s="3">
        <v>46287</v>
      </c>
      <c r="J5432" s="3">
        <v>46289</v>
      </c>
      <c r="K5432" s="3" t="s">
        <v>2374</v>
      </c>
      <c r="L5432" s="31">
        <v>46287.419649768519</v>
      </c>
      <c r="M5432" s="20">
        <v>12</v>
      </c>
      <c r="N5432" s="1">
        <v>63</v>
      </c>
    </row>
    <row r="5433" spans="1:14" x14ac:dyDescent="0.25">
      <c r="A5433" t="str">
        <f t="shared" si="170"/>
        <v>78807527880752</v>
      </c>
      <c r="B5433" t="str">
        <f t="shared" si="171"/>
        <v>7880752P60347T-M</v>
      </c>
      <c r="C5433" s="1" t="s">
        <v>272</v>
      </c>
      <c r="D5433" s="1" t="s">
        <v>830</v>
      </c>
      <c r="E5433" s="1" t="s">
        <v>388</v>
      </c>
      <c r="F5433" s="1" t="s">
        <v>389</v>
      </c>
      <c r="G5433" s="1" t="s">
        <v>387</v>
      </c>
      <c r="H5433" s="1">
        <v>876</v>
      </c>
      <c r="I5433" s="3">
        <v>46287</v>
      </c>
      <c r="J5433" s="3">
        <v>46289</v>
      </c>
      <c r="K5433" s="3" t="s">
        <v>2374</v>
      </c>
      <c r="L5433" s="31">
        <v>46287.419996446755</v>
      </c>
      <c r="M5433" s="20">
        <v>12</v>
      </c>
      <c r="N5433" s="1">
        <v>6</v>
      </c>
    </row>
    <row r="5434" spans="1:14" x14ac:dyDescent="0.25">
      <c r="A5434" t="str">
        <f t="shared" si="170"/>
        <v>78807527880752</v>
      </c>
      <c r="B5434" t="str">
        <f t="shared" si="171"/>
        <v>7880752P60347T-M</v>
      </c>
      <c r="C5434" s="1" t="s">
        <v>272</v>
      </c>
      <c r="D5434" s="1" t="s">
        <v>830</v>
      </c>
      <c r="E5434" s="1" t="s">
        <v>388</v>
      </c>
      <c r="F5434" s="1" t="s">
        <v>389</v>
      </c>
      <c r="G5434" s="1" t="s">
        <v>387</v>
      </c>
      <c r="H5434" s="1">
        <v>876</v>
      </c>
      <c r="I5434" s="3">
        <v>46287</v>
      </c>
      <c r="J5434" s="3">
        <v>46289</v>
      </c>
      <c r="K5434" s="3" t="s">
        <v>2374</v>
      </c>
      <c r="L5434" s="31">
        <v>46287.420819872685</v>
      </c>
      <c r="M5434" s="20">
        <v>12</v>
      </c>
      <c r="N5434" s="1">
        <v>48</v>
      </c>
    </row>
    <row r="5435" spans="1:14" x14ac:dyDescent="0.25">
      <c r="A5435" t="str">
        <f t="shared" si="170"/>
        <v>78807527880752</v>
      </c>
      <c r="B5435" t="str">
        <f t="shared" si="171"/>
        <v>7880752P60347T-M</v>
      </c>
      <c r="C5435" s="1" t="s">
        <v>272</v>
      </c>
      <c r="D5435" s="1" t="s">
        <v>830</v>
      </c>
      <c r="E5435" s="1" t="s">
        <v>388</v>
      </c>
      <c r="F5435" s="1" t="s">
        <v>389</v>
      </c>
      <c r="G5435" s="1" t="s">
        <v>387</v>
      </c>
      <c r="H5435" s="1">
        <v>876</v>
      </c>
      <c r="I5435" s="3">
        <v>46287</v>
      </c>
      <c r="J5435" s="3">
        <v>46289</v>
      </c>
      <c r="K5435" s="3" t="s">
        <v>2374</v>
      </c>
      <c r="L5435" s="31">
        <v>46287.421289895829</v>
      </c>
      <c r="M5435" s="20">
        <v>12</v>
      </c>
      <c r="N5435" s="1">
        <v>52</v>
      </c>
    </row>
    <row r="5436" spans="1:14" x14ac:dyDescent="0.25">
      <c r="A5436" t="str">
        <f t="shared" si="170"/>
        <v>78807527880752</v>
      </c>
      <c r="B5436" t="str">
        <f t="shared" si="171"/>
        <v>7880752P60347T-M</v>
      </c>
      <c r="C5436" s="1" t="s">
        <v>272</v>
      </c>
      <c r="D5436" s="1" t="s">
        <v>830</v>
      </c>
      <c r="E5436" s="1" t="s">
        <v>388</v>
      </c>
      <c r="F5436" s="1" t="s">
        <v>389</v>
      </c>
      <c r="G5436" s="1" t="s">
        <v>387</v>
      </c>
      <c r="H5436" s="1">
        <v>876</v>
      </c>
      <c r="I5436" s="3">
        <v>46287</v>
      </c>
      <c r="J5436" s="3">
        <v>46289</v>
      </c>
      <c r="K5436" s="3" t="s">
        <v>2374</v>
      </c>
      <c r="L5436" s="31">
        <v>46287.426204282405</v>
      </c>
      <c r="M5436" s="20">
        <v>12</v>
      </c>
      <c r="N5436" s="1">
        <v>59</v>
      </c>
    </row>
    <row r="5437" spans="1:14" x14ac:dyDescent="0.25">
      <c r="A5437" t="str">
        <f t="shared" si="170"/>
        <v>78807527880752</v>
      </c>
      <c r="B5437" t="str">
        <f t="shared" si="171"/>
        <v>7880752P60347T-M</v>
      </c>
      <c r="C5437" s="1" t="s">
        <v>272</v>
      </c>
      <c r="D5437" s="1" t="s">
        <v>830</v>
      </c>
      <c r="E5437" s="1" t="s">
        <v>388</v>
      </c>
      <c r="F5437" s="1" t="s">
        <v>389</v>
      </c>
      <c r="G5437" s="1" t="s">
        <v>387</v>
      </c>
      <c r="H5437" s="1">
        <v>876</v>
      </c>
      <c r="I5437" s="3">
        <v>46287</v>
      </c>
      <c r="J5437" s="3">
        <v>46289</v>
      </c>
      <c r="K5437" s="3" t="s">
        <v>2374</v>
      </c>
      <c r="L5437" s="31">
        <v>46287.426421990742</v>
      </c>
      <c r="M5437" s="20">
        <v>12</v>
      </c>
      <c r="N5437" s="1">
        <v>47</v>
      </c>
    </row>
    <row r="5438" spans="1:14" x14ac:dyDescent="0.25">
      <c r="A5438" t="str">
        <f t="shared" si="170"/>
        <v>78807527880752</v>
      </c>
      <c r="B5438" t="str">
        <f t="shared" si="171"/>
        <v>7880752P60347T-M</v>
      </c>
      <c r="C5438" s="1" t="s">
        <v>272</v>
      </c>
      <c r="D5438" s="1" t="s">
        <v>830</v>
      </c>
      <c r="E5438" s="1" t="s">
        <v>388</v>
      </c>
      <c r="F5438" s="1" t="s">
        <v>389</v>
      </c>
      <c r="G5438" s="1" t="s">
        <v>387</v>
      </c>
      <c r="H5438" s="1">
        <v>876</v>
      </c>
      <c r="I5438" s="3">
        <v>46287</v>
      </c>
      <c r="J5438" s="3">
        <v>46289</v>
      </c>
      <c r="K5438" s="3" t="s">
        <v>2374</v>
      </c>
      <c r="L5438" s="31">
        <v>46287.441390277774</v>
      </c>
      <c r="M5438" s="20">
        <v>12</v>
      </c>
      <c r="N5438" s="1">
        <v>60</v>
      </c>
    </row>
    <row r="5439" spans="1:14" x14ac:dyDescent="0.25">
      <c r="A5439" t="str">
        <f t="shared" si="170"/>
        <v>78807527880752</v>
      </c>
      <c r="B5439" t="str">
        <f t="shared" si="171"/>
        <v>7880752P60347T-M</v>
      </c>
      <c r="C5439" s="1" t="s">
        <v>272</v>
      </c>
      <c r="D5439" s="1" t="s">
        <v>830</v>
      </c>
      <c r="E5439" s="1" t="s">
        <v>388</v>
      </c>
      <c r="F5439" s="1" t="s">
        <v>389</v>
      </c>
      <c r="G5439" s="1" t="s">
        <v>387</v>
      </c>
      <c r="H5439" s="1">
        <v>876</v>
      </c>
      <c r="I5439" s="3">
        <v>46287</v>
      </c>
      <c r="J5439" s="3">
        <v>46289</v>
      </c>
      <c r="K5439" s="3" t="s">
        <v>2374</v>
      </c>
      <c r="L5439" s="31">
        <v>46287.442268634259</v>
      </c>
      <c r="M5439" s="20">
        <v>12</v>
      </c>
      <c r="N5439" s="1">
        <v>2</v>
      </c>
    </row>
    <row r="5440" spans="1:14" x14ac:dyDescent="0.25">
      <c r="A5440" t="str">
        <f t="shared" si="170"/>
        <v>78807527880752</v>
      </c>
      <c r="B5440" t="str">
        <f t="shared" si="171"/>
        <v>7880752P60347T-M</v>
      </c>
      <c r="C5440" s="1" t="s">
        <v>272</v>
      </c>
      <c r="D5440" s="1" t="s">
        <v>830</v>
      </c>
      <c r="E5440" s="1" t="s">
        <v>388</v>
      </c>
      <c r="F5440" s="1" t="s">
        <v>389</v>
      </c>
      <c r="G5440" s="1" t="s">
        <v>387</v>
      </c>
      <c r="H5440" s="1">
        <v>876</v>
      </c>
      <c r="I5440" s="3">
        <v>46287</v>
      </c>
      <c r="J5440" s="3">
        <v>46289</v>
      </c>
      <c r="K5440" s="3" t="s">
        <v>2374</v>
      </c>
      <c r="L5440" s="31">
        <v>46287.442734062497</v>
      </c>
      <c r="M5440" s="20">
        <v>12</v>
      </c>
      <c r="N5440" s="1">
        <v>46</v>
      </c>
    </row>
    <row r="5441" spans="1:14" x14ac:dyDescent="0.25">
      <c r="A5441" t="str">
        <f t="shared" si="170"/>
        <v>78807527880752</v>
      </c>
      <c r="B5441" t="str">
        <f t="shared" si="171"/>
        <v>7880752P60347T-M</v>
      </c>
      <c r="C5441" s="1" t="s">
        <v>272</v>
      </c>
      <c r="D5441" s="1" t="s">
        <v>830</v>
      </c>
      <c r="E5441" s="1" t="s">
        <v>388</v>
      </c>
      <c r="F5441" s="1" t="s">
        <v>389</v>
      </c>
      <c r="G5441" s="1" t="s">
        <v>387</v>
      </c>
      <c r="H5441" s="1">
        <v>876</v>
      </c>
      <c r="I5441" s="3">
        <v>46287</v>
      </c>
      <c r="J5441" s="3">
        <v>46289</v>
      </c>
      <c r="K5441" s="3" t="s">
        <v>2374</v>
      </c>
      <c r="L5441" s="31">
        <v>46287.449292280093</v>
      </c>
      <c r="M5441" s="20">
        <v>6</v>
      </c>
      <c r="N5441" s="1">
        <v>76</v>
      </c>
    </row>
    <row r="5442" spans="1:14" x14ac:dyDescent="0.25">
      <c r="A5442" t="str">
        <f t="shared" ref="A5442:A5505" si="172">+D5442&amp;D5442</f>
        <v>78807527880752</v>
      </c>
      <c r="B5442" t="str">
        <f t="shared" ref="B5442:B5505" si="173">+D5442&amp;C5442</f>
        <v>7880752P60347T-M</v>
      </c>
      <c r="C5442" s="1" t="s">
        <v>272</v>
      </c>
      <c r="D5442" s="1" t="s">
        <v>830</v>
      </c>
      <c r="E5442" s="1" t="s">
        <v>388</v>
      </c>
      <c r="F5442" s="1" t="s">
        <v>389</v>
      </c>
      <c r="G5442" s="1" t="s">
        <v>387</v>
      </c>
      <c r="H5442" s="1">
        <v>876</v>
      </c>
      <c r="I5442" s="3">
        <v>46287</v>
      </c>
      <c r="J5442" s="3">
        <v>46289</v>
      </c>
      <c r="K5442" s="3" t="s">
        <v>2374</v>
      </c>
      <c r="L5442" s="31">
        <v>46287.449761458331</v>
      </c>
      <c r="M5442" s="20">
        <v>6</v>
      </c>
      <c r="N5442" s="1">
        <v>74</v>
      </c>
    </row>
    <row r="5443" spans="1:14" x14ac:dyDescent="0.25">
      <c r="A5443" t="str">
        <f t="shared" si="172"/>
        <v>78807527880752</v>
      </c>
      <c r="B5443" t="str">
        <f t="shared" si="173"/>
        <v>7880752P60347T-M</v>
      </c>
      <c r="C5443" s="1" t="s">
        <v>272</v>
      </c>
      <c r="D5443" s="1" t="s">
        <v>830</v>
      </c>
      <c r="E5443" s="1" t="s">
        <v>388</v>
      </c>
      <c r="F5443" s="1" t="s">
        <v>389</v>
      </c>
      <c r="G5443" s="1" t="s">
        <v>387</v>
      </c>
      <c r="H5443" s="1">
        <v>876</v>
      </c>
      <c r="I5443" s="3">
        <v>46287</v>
      </c>
      <c r="J5443" s="3">
        <v>46289</v>
      </c>
      <c r="K5443" s="3" t="s">
        <v>2374</v>
      </c>
      <c r="L5443" s="31">
        <v>46287.451237534719</v>
      </c>
      <c r="M5443" s="20">
        <v>12</v>
      </c>
      <c r="N5443" s="1">
        <v>1</v>
      </c>
    </row>
    <row r="5444" spans="1:14" x14ac:dyDescent="0.25">
      <c r="A5444" t="str">
        <f t="shared" si="172"/>
        <v>78807527880752</v>
      </c>
      <c r="B5444" t="str">
        <f t="shared" si="173"/>
        <v>7880752P60347T-M</v>
      </c>
      <c r="C5444" s="1" t="s">
        <v>272</v>
      </c>
      <c r="D5444" s="1" t="s">
        <v>830</v>
      </c>
      <c r="E5444" s="1" t="s">
        <v>388</v>
      </c>
      <c r="F5444" s="1" t="s">
        <v>389</v>
      </c>
      <c r="G5444" s="1" t="s">
        <v>387</v>
      </c>
      <c r="H5444" s="1">
        <v>876</v>
      </c>
      <c r="I5444" s="3">
        <v>46287</v>
      </c>
      <c r="J5444" s="3">
        <v>46289</v>
      </c>
      <c r="K5444" s="3" t="s">
        <v>2374</v>
      </c>
      <c r="L5444" s="31">
        <v>46287.474677430553</v>
      </c>
      <c r="M5444" s="20">
        <v>12</v>
      </c>
      <c r="N5444" s="1">
        <v>4</v>
      </c>
    </row>
    <row r="5445" spans="1:14" x14ac:dyDescent="0.25">
      <c r="A5445" t="str">
        <f t="shared" si="172"/>
        <v>78807527880752</v>
      </c>
      <c r="B5445" t="str">
        <f t="shared" si="173"/>
        <v>7880752P60347T-M</v>
      </c>
      <c r="C5445" s="1" t="s">
        <v>272</v>
      </c>
      <c r="D5445" s="1" t="s">
        <v>830</v>
      </c>
      <c r="E5445" s="1" t="s">
        <v>388</v>
      </c>
      <c r="F5445" s="1" t="s">
        <v>389</v>
      </c>
      <c r="G5445" s="1" t="s">
        <v>387</v>
      </c>
      <c r="H5445" s="1">
        <v>876</v>
      </c>
      <c r="I5445" s="3">
        <v>46287</v>
      </c>
      <c r="J5445" s="3">
        <v>46289</v>
      </c>
      <c r="K5445" s="3" t="s">
        <v>2374</v>
      </c>
      <c r="L5445" s="31">
        <v>46287.474864618052</v>
      </c>
      <c r="M5445" s="20">
        <v>12</v>
      </c>
      <c r="N5445" s="1">
        <v>51</v>
      </c>
    </row>
    <row r="5446" spans="1:14" x14ac:dyDescent="0.25">
      <c r="A5446" t="str">
        <f t="shared" si="172"/>
        <v>78807527880752</v>
      </c>
      <c r="B5446" t="str">
        <f t="shared" si="173"/>
        <v>7880752P60347T-M</v>
      </c>
      <c r="C5446" s="1" t="s">
        <v>272</v>
      </c>
      <c r="D5446" s="1" t="s">
        <v>830</v>
      </c>
      <c r="E5446" s="1" t="s">
        <v>388</v>
      </c>
      <c r="F5446" s="1" t="s">
        <v>389</v>
      </c>
      <c r="G5446" s="1" t="s">
        <v>387</v>
      </c>
      <c r="H5446" s="1">
        <v>876</v>
      </c>
      <c r="I5446" s="3">
        <v>46287</v>
      </c>
      <c r="J5446" s="3">
        <v>46289</v>
      </c>
      <c r="K5446" s="3" t="s">
        <v>2374</v>
      </c>
      <c r="L5446" s="31">
        <v>46287.476396296297</v>
      </c>
      <c r="M5446" s="20">
        <v>12</v>
      </c>
      <c r="N5446" s="1">
        <v>45</v>
      </c>
    </row>
    <row r="5447" spans="1:14" x14ac:dyDescent="0.25">
      <c r="A5447" t="str">
        <f t="shared" si="172"/>
        <v>78807527880752</v>
      </c>
      <c r="B5447" t="str">
        <f t="shared" si="173"/>
        <v>7880752P60347T-M</v>
      </c>
      <c r="C5447" s="1" t="s">
        <v>272</v>
      </c>
      <c r="D5447" s="1" t="s">
        <v>830</v>
      </c>
      <c r="E5447" s="1" t="s">
        <v>388</v>
      </c>
      <c r="F5447" s="1" t="s">
        <v>389</v>
      </c>
      <c r="G5447" s="1" t="s">
        <v>387</v>
      </c>
      <c r="H5447" s="1">
        <v>876</v>
      </c>
      <c r="I5447" s="3">
        <v>46287</v>
      </c>
      <c r="J5447" s="3">
        <v>46289</v>
      </c>
      <c r="K5447" s="3" t="s">
        <v>2374</v>
      </c>
      <c r="L5447" s="31">
        <v>46287.561820752315</v>
      </c>
      <c r="M5447" s="20">
        <v>12</v>
      </c>
      <c r="N5447" s="1">
        <v>8</v>
      </c>
    </row>
    <row r="5448" spans="1:14" x14ac:dyDescent="0.25">
      <c r="A5448" t="str">
        <f t="shared" si="172"/>
        <v>78807527880752</v>
      </c>
      <c r="B5448" t="str">
        <f t="shared" si="173"/>
        <v>7880752P60347T-M</v>
      </c>
      <c r="C5448" s="1" t="s">
        <v>272</v>
      </c>
      <c r="D5448" s="1" t="s">
        <v>830</v>
      </c>
      <c r="E5448" s="1" t="s">
        <v>388</v>
      </c>
      <c r="F5448" s="1" t="s">
        <v>389</v>
      </c>
      <c r="G5448" s="1" t="s">
        <v>387</v>
      </c>
      <c r="H5448" s="1">
        <v>876</v>
      </c>
      <c r="I5448" s="3">
        <v>46287</v>
      </c>
      <c r="J5448" s="3">
        <v>46289</v>
      </c>
      <c r="K5448" s="3" t="s">
        <v>2374</v>
      </c>
      <c r="L5448" s="31">
        <v>46287.562132372681</v>
      </c>
      <c r="M5448" s="20">
        <v>12</v>
      </c>
      <c r="N5448" s="1">
        <v>10</v>
      </c>
    </row>
    <row r="5449" spans="1:14" x14ac:dyDescent="0.25">
      <c r="A5449" t="str">
        <f t="shared" si="172"/>
        <v>78807527880752</v>
      </c>
      <c r="B5449" t="str">
        <f t="shared" si="173"/>
        <v>7880752P60347T-M</v>
      </c>
      <c r="C5449" s="1" t="s">
        <v>272</v>
      </c>
      <c r="D5449" s="1" t="s">
        <v>830</v>
      </c>
      <c r="E5449" s="1" t="s">
        <v>388</v>
      </c>
      <c r="F5449" s="1" t="s">
        <v>389</v>
      </c>
      <c r="G5449" s="1" t="s">
        <v>387</v>
      </c>
      <c r="H5449" s="1">
        <v>876</v>
      </c>
      <c r="I5449" s="3">
        <v>46287</v>
      </c>
      <c r="J5449" s="3">
        <v>46289</v>
      </c>
      <c r="K5449" s="3" t="s">
        <v>2374</v>
      </c>
      <c r="L5449" s="31">
        <v>46287.56228140046</v>
      </c>
      <c r="M5449" s="20">
        <v>12</v>
      </c>
      <c r="N5449" s="1">
        <v>22</v>
      </c>
    </row>
    <row r="5450" spans="1:14" x14ac:dyDescent="0.25">
      <c r="A5450" t="str">
        <f t="shared" si="172"/>
        <v>78807527880752</v>
      </c>
      <c r="B5450" t="str">
        <f t="shared" si="173"/>
        <v>7880752P60347T-M</v>
      </c>
      <c r="C5450" s="1" t="s">
        <v>272</v>
      </c>
      <c r="D5450" s="1" t="s">
        <v>830</v>
      </c>
      <c r="E5450" s="1" t="s">
        <v>388</v>
      </c>
      <c r="F5450" s="1" t="s">
        <v>389</v>
      </c>
      <c r="G5450" s="1" t="s">
        <v>387</v>
      </c>
      <c r="H5450" s="1">
        <v>876</v>
      </c>
      <c r="I5450" s="3">
        <v>46287</v>
      </c>
      <c r="J5450" s="3">
        <v>46289</v>
      </c>
      <c r="K5450" s="3" t="s">
        <v>2374</v>
      </c>
      <c r="L5450" s="31">
        <v>46287.562498032406</v>
      </c>
      <c r="M5450" s="20">
        <v>12</v>
      </c>
      <c r="N5450" s="1">
        <v>42</v>
      </c>
    </row>
    <row r="5451" spans="1:14" x14ac:dyDescent="0.25">
      <c r="A5451" t="str">
        <f t="shared" si="172"/>
        <v>78807527880752</v>
      </c>
      <c r="B5451" t="str">
        <f t="shared" si="173"/>
        <v>7880752P60347T-M</v>
      </c>
      <c r="C5451" s="1" t="s">
        <v>272</v>
      </c>
      <c r="D5451" s="1" t="s">
        <v>830</v>
      </c>
      <c r="E5451" s="1" t="s">
        <v>388</v>
      </c>
      <c r="F5451" s="1" t="s">
        <v>389</v>
      </c>
      <c r="G5451" s="1" t="s">
        <v>387</v>
      </c>
      <c r="H5451" s="1">
        <v>876</v>
      </c>
      <c r="I5451" s="3">
        <v>46287</v>
      </c>
      <c r="J5451" s="3">
        <v>46289</v>
      </c>
      <c r="K5451" s="3" t="s">
        <v>2374</v>
      </c>
      <c r="L5451" s="31">
        <v>46287.576092592593</v>
      </c>
      <c r="M5451" s="20">
        <v>12</v>
      </c>
      <c r="N5451" s="1">
        <v>23</v>
      </c>
    </row>
    <row r="5452" spans="1:14" x14ac:dyDescent="0.25">
      <c r="A5452" t="str">
        <f t="shared" si="172"/>
        <v>78807527880752</v>
      </c>
      <c r="B5452" t="str">
        <f t="shared" si="173"/>
        <v>7880752P60347T-M</v>
      </c>
      <c r="C5452" s="1" t="s">
        <v>272</v>
      </c>
      <c r="D5452" s="1" t="s">
        <v>830</v>
      </c>
      <c r="E5452" s="1" t="s">
        <v>388</v>
      </c>
      <c r="F5452" s="1" t="s">
        <v>389</v>
      </c>
      <c r="G5452" s="1" t="s">
        <v>387</v>
      </c>
      <c r="H5452" s="1">
        <v>876</v>
      </c>
      <c r="I5452" s="3">
        <v>46287</v>
      </c>
      <c r="J5452" s="3">
        <v>46289</v>
      </c>
      <c r="K5452" s="3" t="s">
        <v>2374</v>
      </c>
      <c r="L5452" s="31">
        <v>46287.576356712962</v>
      </c>
      <c r="M5452" s="20">
        <v>12</v>
      </c>
      <c r="N5452" s="1">
        <v>11</v>
      </c>
    </row>
    <row r="5453" spans="1:14" x14ac:dyDescent="0.25">
      <c r="A5453" t="str">
        <f t="shared" si="172"/>
        <v>78807527880752</v>
      </c>
      <c r="B5453" t="str">
        <f t="shared" si="173"/>
        <v>7880752P60347T-M</v>
      </c>
      <c r="C5453" s="1" t="s">
        <v>272</v>
      </c>
      <c r="D5453" s="1" t="s">
        <v>830</v>
      </c>
      <c r="E5453" s="1" t="s">
        <v>388</v>
      </c>
      <c r="F5453" s="1" t="s">
        <v>389</v>
      </c>
      <c r="G5453" s="1" t="s">
        <v>387</v>
      </c>
      <c r="H5453" s="1">
        <v>876</v>
      </c>
      <c r="I5453" s="3">
        <v>46287</v>
      </c>
      <c r="J5453" s="3">
        <v>46289</v>
      </c>
      <c r="K5453" s="3" t="s">
        <v>2374</v>
      </c>
      <c r="L5453" s="31">
        <v>46287.577008298613</v>
      </c>
      <c r="M5453" s="20">
        <v>12</v>
      </c>
      <c r="N5453" s="1">
        <v>68</v>
      </c>
    </row>
    <row r="5454" spans="1:14" x14ac:dyDescent="0.25">
      <c r="A5454" t="str">
        <f t="shared" si="172"/>
        <v>78807527880752</v>
      </c>
      <c r="B5454" t="str">
        <f t="shared" si="173"/>
        <v>7880752P60347T-M</v>
      </c>
      <c r="C5454" s="1" t="s">
        <v>272</v>
      </c>
      <c r="D5454" s="1" t="s">
        <v>830</v>
      </c>
      <c r="E5454" s="1" t="s">
        <v>388</v>
      </c>
      <c r="F5454" s="1" t="s">
        <v>389</v>
      </c>
      <c r="G5454" s="1" t="s">
        <v>387</v>
      </c>
      <c r="H5454" s="1">
        <v>876</v>
      </c>
      <c r="I5454" s="3">
        <v>46287</v>
      </c>
      <c r="J5454" s="3">
        <v>46289</v>
      </c>
      <c r="K5454" s="3" t="s">
        <v>2374</v>
      </c>
      <c r="L5454" s="31">
        <v>46287.58336099537</v>
      </c>
      <c r="M5454" s="20">
        <v>12</v>
      </c>
      <c r="N5454" s="1">
        <v>30</v>
      </c>
    </row>
    <row r="5455" spans="1:14" x14ac:dyDescent="0.25">
      <c r="A5455" t="str">
        <f t="shared" si="172"/>
        <v>78807527880752</v>
      </c>
      <c r="B5455" t="str">
        <f t="shared" si="173"/>
        <v>7880752P60347T-M</v>
      </c>
      <c r="C5455" s="1" t="s">
        <v>272</v>
      </c>
      <c r="D5455" s="1" t="s">
        <v>830</v>
      </c>
      <c r="E5455" s="1" t="s">
        <v>388</v>
      </c>
      <c r="F5455" s="1" t="s">
        <v>389</v>
      </c>
      <c r="G5455" s="1" t="s">
        <v>387</v>
      </c>
      <c r="H5455" s="1">
        <v>876</v>
      </c>
      <c r="I5455" s="3">
        <v>46287</v>
      </c>
      <c r="J5455" s="3">
        <v>46289</v>
      </c>
      <c r="K5455" s="3" t="s">
        <v>2374</v>
      </c>
      <c r="L5455" s="31">
        <v>46287.583545254631</v>
      </c>
      <c r="M5455" s="20">
        <v>12</v>
      </c>
      <c r="N5455" s="1">
        <v>69</v>
      </c>
    </row>
    <row r="5456" spans="1:14" x14ac:dyDescent="0.25">
      <c r="A5456" t="str">
        <f t="shared" si="172"/>
        <v>78807527880752</v>
      </c>
      <c r="B5456" t="str">
        <f t="shared" si="173"/>
        <v>7880752P60347T-M</v>
      </c>
      <c r="C5456" s="1" t="s">
        <v>272</v>
      </c>
      <c r="D5456" s="1" t="s">
        <v>830</v>
      </c>
      <c r="E5456" s="1" t="s">
        <v>388</v>
      </c>
      <c r="F5456" s="1" t="s">
        <v>389</v>
      </c>
      <c r="G5456" s="1" t="s">
        <v>387</v>
      </c>
      <c r="H5456" s="1">
        <v>876</v>
      </c>
      <c r="I5456" s="3">
        <v>46287</v>
      </c>
      <c r="J5456" s="3">
        <v>46289</v>
      </c>
      <c r="K5456" s="3" t="s">
        <v>2374</v>
      </c>
      <c r="L5456" s="31">
        <v>46287.597383217588</v>
      </c>
      <c r="M5456" s="20">
        <v>12</v>
      </c>
      <c r="N5456" s="1">
        <v>9</v>
      </c>
    </row>
    <row r="5457" spans="1:14" x14ac:dyDescent="0.25">
      <c r="A5457" t="str">
        <f t="shared" si="172"/>
        <v>78807527880752</v>
      </c>
      <c r="B5457" t="str">
        <f t="shared" si="173"/>
        <v>7880752P60347T-M</v>
      </c>
      <c r="C5457" s="1" t="s">
        <v>272</v>
      </c>
      <c r="D5457" s="1" t="s">
        <v>830</v>
      </c>
      <c r="E5457" s="1" t="s">
        <v>388</v>
      </c>
      <c r="F5457" s="1" t="s">
        <v>389</v>
      </c>
      <c r="G5457" s="1" t="s">
        <v>387</v>
      </c>
      <c r="H5457" s="1">
        <v>876</v>
      </c>
      <c r="I5457" s="3">
        <v>46287</v>
      </c>
      <c r="J5457" s="3">
        <v>46289</v>
      </c>
      <c r="K5457" s="3" t="s">
        <v>2374</v>
      </c>
      <c r="L5457" s="31">
        <v>46287.597982372681</v>
      </c>
      <c r="M5457" s="20">
        <v>12</v>
      </c>
      <c r="N5457" s="1">
        <v>70</v>
      </c>
    </row>
    <row r="5458" spans="1:14" x14ac:dyDescent="0.25">
      <c r="A5458" t="str">
        <f t="shared" si="172"/>
        <v>78807527880752</v>
      </c>
      <c r="B5458" t="str">
        <f t="shared" si="173"/>
        <v>7880752P60347T-M</v>
      </c>
      <c r="C5458" s="1" t="s">
        <v>272</v>
      </c>
      <c r="D5458" s="1" t="s">
        <v>830</v>
      </c>
      <c r="E5458" s="1" t="s">
        <v>388</v>
      </c>
      <c r="F5458" s="1" t="s">
        <v>389</v>
      </c>
      <c r="G5458" s="1" t="s">
        <v>387</v>
      </c>
      <c r="H5458" s="1">
        <v>876</v>
      </c>
      <c r="I5458" s="3">
        <v>46287</v>
      </c>
      <c r="J5458" s="3">
        <v>46289</v>
      </c>
      <c r="K5458" s="3" t="s">
        <v>2374</v>
      </c>
      <c r="L5458" s="31">
        <v>46287.605199965277</v>
      </c>
      <c r="M5458" s="20">
        <v>12</v>
      </c>
      <c r="N5458" s="1">
        <v>31</v>
      </c>
    </row>
    <row r="5459" spans="1:14" x14ac:dyDescent="0.25">
      <c r="A5459" t="str">
        <f t="shared" si="172"/>
        <v>78807527880752</v>
      </c>
      <c r="B5459" t="str">
        <f t="shared" si="173"/>
        <v>7880752P60347T-M</v>
      </c>
      <c r="C5459" s="1" t="s">
        <v>272</v>
      </c>
      <c r="D5459" s="1" t="s">
        <v>830</v>
      </c>
      <c r="E5459" s="1" t="s">
        <v>388</v>
      </c>
      <c r="F5459" s="1" t="s">
        <v>389</v>
      </c>
      <c r="G5459" s="1" t="s">
        <v>387</v>
      </c>
      <c r="H5459" s="1">
        <v>876</v>
      </c>
      <c r="I5459" s="3">
        <v>46287</v>
      </c>
      <c r="J5459" s="3">
        <v>46289</v>
      </c>
      <c r="K5459" s="3" t="s">
        <v>2374</v>
      </c>
      <c r="L5459" s="31">
        <v>46287.606145023143</v>
      </c>
      <c r="M5459" s="20">
        <v>12</v>
      </c>
      <c r="N5459" s="1">
        <v>3</v>
      </c>
    </row>
    <row r="5460" spans="1:14" x14ac:dyDescent="0.25">
      <c r="A5460" t="str">
        <f t="shared" si="172"/>
        <v>78807527880752</v>
      </c>
      <c r="B5460" t="str">
        <f t="shared" si="173"/>
        <v>7880752P60347T-M</v>
      </c>
      <c r="C5460" s="1" t="s">
        <v>272</v>
      </c>
      <c r="D5460" s="1" t="s">
        <v>830</v>
      </c>
      <c r="E5460" s="1" t="s">
        <v>388</v>
      </c>
      <c r="F5460" s="1" t="s">
        <v>389</v>
      </c>
      <c r="G5460" s="1" t="s">
        <v>387</v>
      </c>
      <c r="H5460" s="1">
        <v>876</v>
      </c>
      <c r="I5460" s="3">
        <v>46287</v>
      </c>
      <c r="J5460" s="3">
        <v>46289</v>
      </c>
      <c r="K5460" s="3" t="s">
        <v>2374</v>
      </c>
      <c r="L5460" s="31">
        <v>46287.606351388888</v>
      </c>
      <c r="M5460" s="20">
        <v>12</v>
      </c>
      <c r="N5460" s="1">
        <v>13</v>
      </c>
    </row>
    <row r="5461" spans="1:14" x14ac:dyDescent="0.25">
      <c r="A5461" t="str">
        <f t="shared" si="172"/>
        <v>78807527880752</v>
      </c>
      <c r="B5461" t="str">
        <f t="shared" si="173"/>
        <v>7880752P60347T-M</v>
      </c>
      <c r="C5461" s="1" t="s">
        <v>272</v>
      </c>
      <c r="D5461" s="1" t="s">
        <v>830</v>
      </c>
      <c r="E5461" s="1" t="s">
        <v>388</v>
      </c>
      <c r="F5461" s="1" t="s">
        <v>389</v>
      </c>
      <c r="G5461" s="1" t="s">
        <v>387</v>
      </c>
      <c r="H5461" s="1">
        <v>876</v>
      </c>
      <c r="I5461" s="3">
        <v>46287</v>
      </c>
      <c r="J5461" s="3">
        <v>46289</v>
      </c>
      <c r="K5461" s="3" t="s">
        <v>2374</v>
      </c>
      <c r="L5461" s="31">
        <v>46287.606496527776</v>
      </c>
      <c r="M5461" s="20">
        <v>12</v>
      </c>
      <c r="N5461" s="1">
        <v>26</v>
      </c>
    </row>
    <row r="5462" spans="1:14" x14ac:dyDescent="0.25">
      <c r="A5462" t="str">
        <f t="shared" si="172"/>
        <v>78807527880752</v>
      </c>
      <c r="B5462" t="str">
        <f t="shared" si="173"/>
        <v>7880752P60347T-M</v>
      </c>
      <c r="C5462" s="1" t="s">
        <v>272</v>
      </c>
      <c r="D5462" s="1" t="s">
        <v>830</v>
      </c>
      <c r="E5462" s="1" t="s">
        <v>388</v>
      </c>
      <c r="F5462" s="1" t="s">
        <v>389</v>
      </c>
      <c r="G5462" s="1" t="s">
        <v>387</v>
      </c>
      <c r="H5462" s="1">
        <v>876</v>
      </c>
      <c r="I5462" s="3">
        <v>46287</v>
      </c>
      <c r="J5462" s="3">
        <v>46289</v>
      </c>
      <c r="K5462" s="3" t="s">
        <v>2374</v>
      </c>
      <c r="L5462" s="31">
        <v>46287.626088576384</v>
      </c>
      <c r="M5462" s="20">
        <v>12</v>
      </c>
      <c r="N5462" s="1">
        <v>14</v>
      </c>
    </row>
    <row r="5463" spans="1:14" x14ac:dyDescent="0.25">
      <c r="A5463" t="str">
        <f t="shared" si="172"/>
        <v>78807527880752</v>
      </c>
      <c r="B5463" t="str">
        <f t="shared" si="173"/>
        <v>7880752P60347T-M</v>
      </c>
      <c r="C5463" s="1" t="s">
        <v>272</v>
      </c>
      <c r="D5463" s="1" t="s">
        <v>830</v>
      </c>
      <c r="E5463" s="1" t="s">
        <v>388</v>
      </c>
      <c r="F5463" s="1" t="s">
        <v>389</v>
      </c>
      <c r="G5463" s="1" t="s">
        <v>387</v>
      </c>
      <c r="H5463" s="1">
        <v>876</v>
      </c>
      <c r="I5463" s="3">
        <v>46287</v>
      </c>
      <c r="J5463" s="3">
        <v>46289</v>
      </c>
      <c r="K5463" s="3" t="s">
        <v>2374</v>
      </c>
      <c r="L5463" s="31">
        <v>46287.63665998842</v>
      </c>
      <c r="M5463" s="20">
        <v>12</v>
      </c>
      <c r="N5463" s="1">
        <v>25</v>
      </c>
    </row>
    <row r="5464" spans="1:14" x14ac:dyDescent="0.25">
      <c r="A5464" t="str">
        <f t="shared" si="172"/>
        <v>78807527880752</v>
      </c>
      <c r="B5464" t="str">
        <f t="shared" si="173"/>
        <v>7880752P60347T-M</v>
      </c>
      <c r="C5464" s="1" t="s">
        <v>272</v>
      </c>
      <c r="D5464" s="1" t="s">
        <v>830</v>
      </c>
      <c r="E5464" s="1" t="s">
        <v>388</v>
      </c>
      <c r="F5464" s="1" t="s">
        <v>389</v>
      </c>
      <c r="G5464" s="1" t="s">
        <v>387</v>
      </c>
      <c r="H5464" s="1">
        <v>876</v>
      </c>
      <c r="I5464" s="3">
        <v>46287</v>
      </c>
      <c r="J5464" s="3">
        <v>46289</v>
      </c>
      <c r="K5464" s="3" t="s">
        <v>2374</v>
      </c>
      <c r="L5464" s="31">
        <v>46287.664059340277</v>
      </c>
      <c r="M5464" s="20">
        <v>12</v>
      </c>
      <c r="N5464" s="1">
        <v>24</v>
      </c>
    </row>
    <row r="5465" spans="1:14" x14ac:dyDescent="0.25">
      <c r="A5465" t="str">
        <f t="shared" si="172"/>
        <v>78807527880752</v>
      </c>
      <c r="B5465" t="str">
        <f t="shared" si="173"/>
        <v>7880752P60347T-M</v>
      </c>
      <c r="C5465" s="1" t="s">
        <v>272</v>
      </c>
      <c r="D5465" s="1" t="s">
        <v>830</v>
      </c>
      <c r="E5465" s="1" t="s">
        <v>388</v>
      </c>
      <c r="F5465" s="1" t="s">
        <v>389</v>
      </c>
      <c r="G5465" s="1" t="s">
        <v>387</v>
      </c>
      <c r="H5465" s="1">
        <v>876</v>
      </c>
      <c r="I5465" s="3">
        <v>46287</v>
      </c>
      <c r="J5465" s="3">
        <v>46289</v>
      </c>
      <c r="K5465" s="3" t="s">
        <v>2374</v>
      </c>
      <c r="L5465" s="31">
        <v>46287.669451273148</v>
      </c>
      <c r="M5465" s="20">
        <v>12</v>
      </c>
      <c r="N5465" s="1">
        <v>15</v>
      </c>
    </row>
    <row r="5466" spans="1:14" x14ac:dyDescent="0.25">
      <c r="A5466" t="str">
        <f t="shared" si="172"/>
        <v>78807527880752</v>
      </c>
      <c r="B5466" t="str">
        <f t="shared" si="173"/>
        <v>7880752P60347T-M</v>
      </c>
      <c r="C5466" s="1" t="s">
        <v>272</v>
      </c>
      <c r="D5466" s="1" t="s">
        <v>830</v>
      </c>
      <c r="E5466" s="1" t="s">
        <v>388</v>
      </c>
      <c r="F5466" s="1" t="s">
        <v>389</v>
      </c>
      <c r="G5466" s="1" t="s">
        <v>387</v>
      </c>
      <c r="H5466" s="1">
        <v>876</v>
      </c>
      <c r="I5466" s="3">
        <v>46287</v>
      </c>
      <c r="J5466" s="3">
        <v>46289</v>
      </c>
      <c r="K5466" s="3" t="s">
        <v>2374</v>
      </c>
      <c r="L5466" s="31">
        <v>46287.682770914347</v>
      </c>
      <c r="M5466" s="20">
        <v>6</v>
      </c>
      <c r="N5466" s="1">
        <v>72</v>
      </c>
    </row>
    <row r="5467" spans="1:14" x14ac:dyDescent="0.25">
      <c r="A5467" t="str">
        <f t="shared" si="172"/>
        <v>78807777880777</v>
      </c>
      <c r="B5467" t="str">
        <f t="shared" si="173"/>
        <v>7880777P60394T-M</v>
      </c>
      <c r="C5467" s="1" t="s">
        <v>49</v>
      </c>
      <c r="D5467" s="1" t="s">
        <v>836</v>
      </c>
      <c r="E5467" s="1" t="s">
        <v>388</v>
      </c>
      <c r="F5467" s="1" t="s">
        <v>389</v>
      </c>
      <c r="G5467" s="1" t="s">
        <v>387</v>
      </c>
      <c r="H5467" s="1">
        <v>552</v>
      </c>
      <c r="I5467" s="3">
        <v>46287</v>
      </c>
      <c r="L5467" s="31">
        <v>46287.427593749999</v>
      </c>
      <c r="M5467" s="20">
        <v>12</v>
      </c>
      <c r="N5467" s="1">
        <v>3</v>
      </c>
    </row>
    <row r="5468" spans="1:14" x14ac:dyDescent="0.25">
      <c r="A5468" t="str">
        <f t="shared" si="172"/>
        <v>78807777880777</v>
      </c>
      <c r="B5468" t="str">
        <f t="shared" si="173"/>
        <v>7880777P60394T-M</v>
      </c>
      <c r="C5468" s="1" t="s">
        <v>49</v>
      </c>
      <c r="D5468" s="1" t="s">
        <v>836</v>
      </c>
      <c r="E5468" s="1" t="s">
        <v>388</v>
      </c>
      <c r="F5468" s="1" t="s">
        <v>389</v>
      </c>
      <c r="G5468" s="1" t="s">
        <v>387</v>
      </c>
      <c r="H5468" s="1">
        <v>552</v>
      </c>
      <c r="I5468" s="3">
        <v>46287</v>
      </c>
      <c r="L5468" s="31">
        <v>46287.428164467594</v>
      </c>
      <c r="M5468" s="20">
        <v>12</v>
      </c>
      <c r="N5468" s="1">
        <v>5</v>
      </c>
    </row>
    <row r="5469" spans="1:14" x14ac:dyDescent="0.25">
      <c r="A5469" t="str">
        <f t="shared" si="172"/>
        <v>78807777880777</v>
      </c>
      <c r="B5469" t="str">
        <f t="shared" si="173"/>
        <v>7880777P60394T-M</v>
      </c>
      <c r="C5469" s="1" t="s">
        <v>49</v>
      </c>
      <c r="D5469" s="1" t="s">
        <v>836</v>
      </c>
      <c r="E5469" s="1" t="s">
        <v>388</v>
      </c>
      <c r="F5469" s="1" t="s">
        <v>389</v>
      </c>
      <c r="G5469" s="1" t="s">
        <v>387</v>
      </c>
      <c r="H5469" s="1">
        <v>552</v>
      </c>
      <c r="I5469" s="3">
        <v>46287</v>
      </c>
      <c r="L5469" s="31">
        <v>46287.429033946755</v>
      </c>
      <c r="M5469" s="20">
        <v>12</v>
      </c>
      <c r="N5469" s="1">
        <v>8</v>
      </c>
    </row>
    <row r="5470" spans="1:14" x14ac:dyDescent="0.25">
      <c r="A5470" t="str">
        <f t="shared" si="172"/>
        <v>78807777880777</v>
      </c>
      <c r="B5470" t="str">
        <f t="shared" si="173"/>
        <v>7880777P60394T-M</v>
      </c>
      <c r="C5470" s="1" t="s">
        <v>49</v>
      </c>
      <c r="D5470" s="1" t="s">
        <v>836</v>
      </c>
      <c r="E5470" s="1" t="s">
        <v>388</v>
      </c>
      <c r="F5470" s="1" t="s">
        <v>389</v>
      </c>
      <c r="G5470" s="1" t="s">
        <v>387</v>
      </c>
      <c r="H5470" s="1">
        <v>552</v>
      </c>
      <c r="I5470" s="3">
        <v>46287</v>
      </c>
      <c r="L5470" s="31">
        <v>46287.429312268519</v>
      </c>
      <c r="M5470" s="20">
        <v>12</v>
      </c>
      <c r="N5470" s="1">
        <v>7</v>
      </c>
    </row>
    <row r="5471" spans="1:14" x14ac:dyDescent="0.25">
      <c r="A5471" t="str">
        <f t="shared" si="172"/>
        <v>78807777880777</v>
      </c>
      <c r="B5471" t="str">
        <f t="shared" si="173"/>
        <v>7880777P60394T-M</v>
      </c>
      <c r="C5471" s="1" t="s">
        <v>49</v>
      </c>
      <c r="D5471" s="1" t="s">
        <v>836</v>
      </c>
      <c r="E5471" s="1" t="s">
        <v>388</v>
      </c>
      <c r="F5471" s="1" t="s">
        <v>389</v>
      </c>
      <c r="G5471" s="1" t="s">
        <v>387</v>
      </c>
      <c r="H5471" s="1">
        <v>552</v>
      </c>
      <c r="I5471" s="3">
        <v>46287</v>
      </c>
      <c r="L5471" s="31">
        <v>46287.436256516201</v>
      </c>
      <c r="M5471" s="20">
        <v>12</v>
      </c>
      <c r="N5471" s="1">
        <v>10</v>
      </c>
    </row>
    <row r="5472" spans="1:14" x14ac:dyDescent="0.25">
      <c r="A5472" t="str">
        <f t="shared" si="172"/>
        <v>78807777880777</v>
      </c>
      <c r="B5472" t="str">
        <f t="shared" si="173"/>
        <v>7880777P60394T-M</v>
      </c>
      <c r="C5472" s="1" t="s">
        <v>49</v>
      </c>
      <c r="D5472" s="1" t="s">
        <v>836</v>
      </c>
      <c r="E5472" s="1" t="s">
        <v>388</v>
      </c>
      <c r="F5472" s="1" t="s">
        <v>389</v>
      </c>
      <c r="G5472" s="1" t="s">
        <v>387</v>
      </c>
      <c r="H5472" s="1">
        <v>552</v>
      </c>
      <c r="I5472" s="3">
        <v>46287</v>
      </c>
      <c r="L5472" s="31">
        <v>46287.436903819442</v>
      </c>
      <c r="M5472" s="20">
        <v>12</v>
      </c>
      <c r="N5472" s="1">
        <v>9</v>
      </c>
    </row>
    <row r="5473" spans="1:14" x14ac:dyDescent="0.25">
      <c r="A5473" t="str">
        <f t="shared" si="172"/>
        <v>78807777880777</v>
      </c>
      <c r="B5473" t="str">
        <f t="shared" si="173"/>
        <v>7880777P60394T-M</v>
      </c>
      <c r="C5473" s="1" t="s">
        <v>49</v>
      </c>
      <c r="D5473" s="1" t="s">
        <v>836</v>
      </c>
      <c r="E5473" s="1" t="s">
        <v>388</v>
      </c>
      <c r="F5473" s="1" t="s">
        <v>389</v>
      </c>
      <c r="G5473" s="1" t="s">
        <v>387</v>
      </c>
      <c r="H5473" s="1">
        <v>552</v>
      </c>
      <c r="I5473" s="3">
        <v>46287</v>
      </c>
      <c r="L5473" s="31">
        <v>46287.445047337962</v>
      </c>
      <c r="M5473" s="20">
        <v>12</v>
      </c>
      <c r="N5473" s="1">
        <v>11</v>
      </c>
    </row>
    <row r="5474" spans="1:14" x14ac:dyDescent="0.25">
      <c r="A5474" t="str">
        <f t="shared" si="172"/>
        <v>78807777880777</v>
      </c>
      <c r="B5474" t="str">
        <f t="shared" si="173"/>
        <v>7880777P60394T-M</v>
      </c>
      <c r="C5474" s="1" t="s">
        <v>49</v>
      </c>
      <c r="D5474" s="1" t="s">
        <v>836</v>
      </c>
      <c r="E5474" s="1" t="s">
        <v>388</v>
      </c>
      <c r="F5474" s="1" t="s">
        <v>389</v>
      </c>
      <c r="G5474" s="1" t="s">
        <v>387</v>
      </c>
      <c r="H5474" s="1">
        <v>552</v>
      </c>
      <c r="I5474" s="3">
        <v>46287</v>
      </c>
      <c r="L5474" s="31">
        <v>46287.449152048612</v>
      </c>
      <c r="M5474" s="20">
        <v>12</v>
      </c>
      <c r="N5474" s="1">
        <v>13</v>
      </c>
    </row>
    <row r="5475" spans="1:14" x14ac:dyDescent="0.25">
      <c r="A5475" t="str">
        <f t="shared" si="172"/>
        <v>78807777880777</v>
      </c>
      <c r="B5475" t="str">
        <f t="shared" si="173"/>
        <v>7880777P60394T-M</v>
      </c>
      <c r="C5475" s="1" t="s">
        <v>49</v>
      </c>
      <c r="D5475" s="1" t="s">
        <v>836</v>
      </c>
      <c r="E5475" s="1" t="s">
        <v>388</v>
      </c>
      <c r="F5475" s="1" t="s">
        <v>389</v>
      </c>
      <c r="G5475" s="1" t="s">
        <v>387</v>
      </c>
      <c r="H5475" s="1">
        <v>552</v>
      </c>
      <c r="I5475" s="3">
        <v>46287</v>
      </c>
      <c r="L5475" s="31">
        <v>46287.449437766205</v>
      </c>
      <c r="M5475" s="20">
        <v>12</v>
      </c>
      <c r="N5475" s="1">
        <v>14</v>
      </c>
    </row>
    <row r="5476" spans="1:14" x14ac:dyDescent="0.25">
      <c r="A5476" t="str">
        <f t="shared" si="172"/>
        <v>78807777880777</v>
      </c>
      <c r="B5476" t="str">
        <f t="shared" si="173"/>
        <v>7880777P60394T-M</v>
      </c>
      <c r="C5476" s="1" t="s">
        <v>49</v>
      </c>
      <c r="D5476" s="1" t="s">
        <v>836</v>
      </c>
      <c r="E5476" s="1" t="s">
        <v>388</v>
      </c>
      <c r="F5476" s="1" t="s">
        <v>389</v>
      </c>
      <c r="G5476" s="1" t="s">
        <v>387</v>
      </c>
      <c r="H5476" s="1">
        <v>552</v>
      </c>
      <c r="I5476" s="3">
        <v>46287</v>
      </c>
      <c r="L5476" s="31">
        <v>46287.449803391202</v>
      </c>
      <c r="M5476" s="20">
        <v>12</v>
      </c>
      <c r="N5476" s="1">
        <v>2</v>
      </c>
    </row>
    <row r="5477" spans="1:14" x14ac:dyDescent="0.25">
      <c r="A5477" t="str">
        <f t="shared" si="172"/>
        <v>78807777880777</v>
      </c>
      <c r="B5477" t="str">
        <f t="shared" si="173"/>
        <v>7880777P60394T-M</v>
      </c>
      <c r="C5477" s="1" t="s">
        <v>49</v>
      </c>
      <c r="D5477" s="1" t="s">
        <v>836</v>
      </c>
      <c r="E5477" s="1" t="s">
        <v>388</v>
      </c>
      <c r="F5477" s="1" t="s">
        <v>389</v>
      </c>
      <c r="G5477" s="1" t="s">
        <v>387</v>
      </c>
      <c r="H5477" s="1">
        <v>552</v>
      </c>
      <c r="I5477" s="3">
        <v>46287</v>
      </c>
      <c r="L5477" s="31">
        <v>46287.450184490735</v>
      </c>
      <c r="M5477" s="20">
        <v>12</v>
      </c>
      <c r="N5477" s="1">
        <v>1</v>
      </c>
    </row>
    <row r="5478" spans="1:14" x14ac:dyDescent="0.25">
      <c r="A5478" t="str">
        <f t="shared" si="172"/>
        <v>78807777880777</v>
      </c>
      <c r="B5478" t="str">
        <f t="shared" si="173"/>
        <v>7880777P60394T-M</v>
      </c>
      <c r="C5478" s="1" t="s">
        <v>49</v>
      </c>
      <c r="D5478" s="1" t="s">
        <v>836</v>
      </c>
      <c r="E5478" s="1" t="s">
        <v>388</v>
      </c>
      <c r="F5478" s="1" t="s">
        <v>389</v>
      </c>
      <c r="G5478" s="1" t="s">
        <v>387</v>
      </c>
      <c r="H5478" s="1">
        <v>552</v>
      </c>
      <c r="I5478" s="3">
        <v>46287</v>
      </c>
      <c r="L5478" s="31">
        <v>46287.450949733793</v>
      </c>
      <c r="M5478" s="20">
        <v>12</v>
      </c>
      <c r="N5478" s="1">
        <v>21</v>
      </c>
    </row>
    <row r="5479" spans="1:14" x14ac:dyDescent="0.25">
      <c r="A5479" t="str">
        <f t="shared" si="172"/>
        <v>78807777880777</v>
      </c>
      <c r="B5479" t="str">
        <f t="shared" si="173"/>
        <v>7880777P60394T-M</v>
      </c>
      <c r="C5479" s="1" t="s">
        <v>49</v>
      </c>
      <c r="D5479" s="1" t="s">
        <v>836</v>
      </c>
      <c r="E5479" s="1" t="s">
        <v>388</v>
      </c>
      <c r="F5479" s="1" t="s">
        <v>389</v>
      </c>
      <c r="G5479" s="1" t="s">
        <v>387</v>
      </c>
      <c r="H5479" s="1">
        <v>552</v>
      </c>
      <c r="I5479" s="3">
        <v>46287</v>
      </c>
      <c r="L5479" s="31">
        <v>46287.452024340273</v>
      </c>
      <c r="M5479" s="20">
        <v>12</v>
      </c>
      <c r="N5479" s="1">
        <v>15</v>
      </c>
    </row>
    <row r="5480" spans="1:14" x14ac:dyDescent="0.25">
      <c r="A5480" t="str">
        <f t="shared" si="172"/>
        <v>78807777880777</v>
      </c>
      <c r="B5480" t="str">
        <f t="shared" si="173"/>
        <v>7880777P60394T-M</v>
      </c>
      <c r="C5480" s="1" t="s">
        <v>49</v>
      </c>
      <c r="D5480" s="1" t="s">
        <v>836</v>
      </c>
      <c r="E5480" s="1" t="s">
        <v>388</v>
      </c>
      <c r="F5480" s="1" t="s">
        <v>389</v>
      </c>
      <c r="G5480" s="1" t="s">
        <v>387</v>
      </c>
      <c r="H5480" s="1">
        <v>552</v>
      </c>
      <c r="I5480" s="3">
        <v>46287</v>
      </c>
      <c r="L5480" s="31">
        <v>46287.452705405092</v>
      </c>
      <c r="M5480" s="20">
        <v>12</v>
      </c>
      <c r="N5480" s="1">
        <v>4</v>
      </c>
    </row>
    <row r="5481" spans="1:14" x14ac:dyDescent="0.25">
      <c r="A5481" t="str">
        <f t="shared" si="172"/>
        <v>78807777880777</v>
      </c>
      <c r="B5481" t="str">
        <f t="shared" si="173"/>
        <v>7880777P60394T-M</v>
      </c>
      <c r="C5481" s="1" t="s">
        <v>49</v>
      </c>
      <c r="D5481" s="1" t="s">
        <v>836</v>
      </c>
      <c r="E5481" s="1" t="s">
        <v>388</v>
      </c>
      <c r="F5481" s="1" t="s">
        <v>389</v>
      </c>
      <c r="G5481" s="1" t="s">
        <v>387</v>
      </c>
      <c r="H5481" s="1">
        <v>552</v>
      </c>
      <c r="I5481" s="3">
        <v>46287</v>
      </c>
      <c r="L5481" s="31">
        <v>46287.456228356481</v>
      </c>
      <c r="M5481" s="20">
        <v>12</v>
      </c>
      <c r="N5481" s="1">
        <v>16</v>
      </c>
    </row>
    <row r="5482" spans="1:14" x14ac:dyDescent="0.25">
      <c r="A5482" t="str">
        <f t="shared" si="172"/>
        <v>78807777880777</v>
      </c>
      <c r="B5482" t="str">
        <f t="shared" si="173"/>
        <v>7880777P60394T-M</v>
      </c>
      <c r="C5482" s="1" t="s">
        <v>49</v>
      </c>
      <c r="D5482" s="1" t="s">
        <v>836</v>
      </c>
      <c r="E5482" s="1" t="s">
        <v>388</v>
      </c>
      <c r="F5482" s="1" t="s">
        <v>389</v>
      </c>
      <c r="G5482" s="1" t="s">
        <v>387</v>
      </c>
      <c r="H5482" s="1">
        <v>552</v>
      </c>
      <c r="I5482" s="3">
        <v>46287</v>
      </c>
      <c r="L5482" s="31">
        <v>46287.45810520833</v>
      </c>
      <c r="M5482" s="20">
        <v>12</v>
      </c>
      <c r="N5482" s="1">
        <v>12</v>
      </c>
    </row>
    <row r="5483" spans="1:14" x14ac:dyDescent="0.25">
      <c r="A5483" t="str">
        <f t="shared" si="172"/>
        <v>78807777880777</v>
      </c>
      <c r="B5483" t="str">
        <f t="shared" si="173"/>
        <v>7880777P60394T-M</v>
      </c>
      <c r="C5483" s="1" t="s">
        <v>49</v>
      </c>
      <c r="D5483" s="1" t="s">
        <v>836</v>
      </c>
      <c r="E5483" s="1" t="s">
        <v>388</v>
      </c>
      <c r="F5483" s="1" t="s">
        <v>389</v>
      </c>
      <c r="G5483" s="1" t="s">
        <v>387</v>
      </c>
      <c r="H5483" s="1">
        <v>552</v>
      </c>
      <c r="I5483" s="3">
        <v>46287</v>
      </c>
      <c r="L5483" s="31">
        <v>46287.469729131939</v>
      </c>
      <c r="M5483" s="20">
        <v>12</v>
      </c>
      <c r="N5483" s="1">
        <v>24</v>
      </c>
    </row>
    <row r="5484" spans="1:14" x14ac:dyDescent="0.25">
      <c r="A5484" t="str">
        <f t="shared" si="172"/>
        <v>78807777880777</v>
      </c>
      <c r="B5484" t="str">
        <f t="shared" si="173"/>
        <v>7880777P60394T-M</v>
      </c>
      <c r="C5484" s="1" t="s">
        <v>49</v>
      </c>
      <c r="D5484" s="1" t="s">
        <v>836</v>
      </c>
      <c r="E5484" s="1" t="s">
        <v>388</v>
      </c>
      <c r="F5484" s="1" t="s">
        <v>389</v>
      </c>
      <c r="G5484" s="1" t="s">
        <v>387</v>
      </c>
      <c r="H5484" s="1">
        <v>552</v>
      </c>
      <c r="I5484" s="3">
        <v>46287</v>
      </c>
      <c r="L5484" s="31">
        <v>46287.565237847222</v>
      </c>
      <c r="M5484" s="20">
        <v>12</v>
      </c>
      <c r="N5484" s="1">
        <v>6</v>
      </c>
    </row>
    <row r="5485" spans="1:14" x14ac:dyDescent="0.25">
      <c r="A5485" t="str">
        <f t="shared" si="172"/>
        <v>78807777880777</v>
      </c>
      <c r="B5485" t="str">
        <f t="shared" si="173"/>
        <v>7880777P60394T-M</v>
      </c>
      <c r="C5485" s="1" t="s">
        <v>49</v>
      </c>
      <c r="D5485" s="1" t="s">
        <v>836</v>
      </c>
      <c r="E5485" s="1" t="s">
        <v>388</v>
      </c>
      <c r="F5485" s="1" t="s">
        <v>389</v>
      </c>
      <c r="G5485" s="1" t="s">
        <v>387</v>
      </c>
      <c r="H5485" s="1">
        <v>552</v>
      </c>
      <c r="I5485" s="3">
        <v>46287</v>
      </c>
      <c r="L5485" s="31">
        <v>46287.576912615739</v>
      </c>
      <c r="M5485" s="20">
        <v>12</v>
      </c>
      <c r="N5485" s="1">
        <v>28</v>
      </c>
    </row>
    <row r="5486" spans="1:14" x14ac:dyDescent="0.25">
      <c r="A5486" t="str">
        <f t="shared" si="172"/>
        <v>78807777880777</v>
      </c>
      <c r="B5486" t="str">
        <f t="shared" si="173"/>
        <v>7880777P60394T-M</v>
      </c>
      <c r="C5486" s="1" t="s">
        <v>49</v>
      </c>
      <c r="D5486" s="1" t="s">
        <v>836</v>
      </c>
      <c r="E5486" s="1" t="s">
        <v>388</v>
      </c>
      <c r="F5486" s="1" t="s">
        <v>389</v>
      </c>
      <c r="G5486" s="1" t="s">
        <v>387</v>
      </c>
      <c r="H5486" s="1">
        <v>552</v>
      </c>
      <c r="I5486" s="3">
        <v>46287</v>
      </c>
      <c r="L5486" s="31">
        <v>46287.57767677083</v>
      </c>
      <c r="M5486" s="20">
        <v>12</v>
      </c>
      <c r="N5486" s="1">
        <v>25</v>
      </c>
    </row>
    <row r="5487" spans="1:14" x14ac:dyDescent="0.25">
      <c r="A5487" t="str">
        <f t="shared" si="172"/>
        <v>78807777880777</v>
      </c>
      <c r="B5487" t="str">
        <f t="shared" si="173"/>
        <v>7880777P60394T-M</v>
      </c>
      <c r="C5487" s="1" t="s">
        <v>49</v>
      </c>
      <c r="D5487" s="1" t="s">
        <v>836</v>
      </c>
      <c r="E5487" s="1" t="s">
        <v>388</v>
      </c>
      <c r="F5487" s="1" t="s">
        <v>389</v>
      </c>
      <c r="G5487" s="1" t="s">
        <v>387</v>
      </c>
      <c r="H5487" s="1">
        <v>552</v>
      </c>
      <c r="I5487" s="3">
        <v>46287</v>
      </c>
      <c r="L5487" s="31">
        <v>46287.578908796291</v>
      </c>
      <c r="M5487" s="20">
        <v>12</v>
      </c>
      <c r="N5487" s="1">
        <v>20</v>
      </c>
    </row>
    <row r="5488" spans="1:14" x14ac:dyDescent="0.25">
      <c r="A5488" t="str">
        <f t="shared" si="172"/>
        <v>78807777880777</v>
      </c>
      <c r="B5488" t="str">
        <f t="shared" si="173"/>
        <v>7880777P60394T-M</v>
      </c>
      <c r="C5488" s="1" t="s">
        <v>49</v>
      </c>
      <c r="D5488" s="1" t="s">
        <v>836</v>
      </c>
      <c r="E5488" s="1" t="s">
        <v>388</v>
      </c>
      <c r="F5488" s="1" t="s">
        <v>389</v>
      </c>
      <c r="G5488" s="1" t="s">
        <v>387</v>
      </c>
      <c r="H5488" s="1">
        <v>552</v>
      </c>
      <c r="I5488" s="3">
        <v>46287</v>
      </c>
      <c r="L5488" s="31">
        <v>46287.581747453703</v>
      </c>
      <c r="M5488" s="20">
        <v>12</v>
      </c>
      <c r="N5488" s="1">
        <v>29</v>
      </c>
    </row>
    <row r="5489" spans="1:14" x14ac:dyDescent="0.25">
      <c r="A5489" t="str">
        <f t="shared" si="172"/>
        <v>78807777880777</v>
      </c>
      <c r="B5489" t="str">
        <f t="shared" si="173"/>
        <v>7880777P60394T-M</v>
      </c>
      <c r="C5489" s="1" t="s">
        <v>49</v>
      </c>
      <c r="D5489" s="1" t="s">
        <v>836</v>
      </c>
      <c r="E5489" s="1" t="s">
        <v>388</v>
      </c>
      <c r="F5489" s="1" t="s">
        <v>389</v>
      </c>
      <c r="G5489" s="1" t="s">
        <v>387</v>
      </c>
      <c r="H5489" s="1">
        <v>552</v>
      </c>
      <c r="I5489" s="3">
        <v>46287</v>
      </c>
      <c r="L5489" s="31">
        <v>46287.589790474536</v>
      </c>
      <c r="M5489" s="20">
        <v>12</v>
      </c>
      <c r="N5489" s="1">
        <v>23</v>
      </c>
    </row>
    <row r="5490" spans="1:14" x14ac:dyDescent="0.25">
      <c r="A5490" t="str">
        <f t="shared" si="172"/>
        <v>78807777880777</v>
      </c>
      <c r="B5490" t="str">
        <f t="shared" si="173"/>
        <v>7880777P60394T-M</v>
      </c>
      <c r="C5490" s="1" t="s">
        <v>49</v>
      </c>
      <c r="D5490" s="1" t="s">
        <v>836</v>
      </c>
      <c r="E5490" s="1" t="s">
        <v>388</v>
      </c>
      <c r="F5490" s="1" t="s">
        <v>389</v>
      </c>
      <c r="G5490" s="1" t="s">
        <v>387</v>
      </c>
      <c r="H5490" s="1">
        <v>552</v>
      </c>
      <c r="I5490" s="3">
        <v>46287</v>
      </c>
      <c r="L5490" s="31">
        <v>46287.590324155091</v>
      </c>
      <c r="M5490" s="20">
        <v>12</v>
      </c>
      <c r="N5490" s="1">
        <v>26</v>
      </c>
    </row>
    <row r="5491" spans="1:14" x14ac:dyDescent="0.25">
      <c r="A5491" t="str">
        <f t="shared" si="172"/>
        <v>78807777880777</v>
      </c>
      <c r="B5491" t="str">
        <f t="shared" si="173"/>
        <v>7880777P60394T-M</v>
      </c>
      <c r="C5491" s="1" t="s">
        <v>49</v>
      </c>
      <c r="D5491" s="1" t="s">
        <v>836</v>
      </c>
      <c r="E5491" s="1" t="s">
        <v>388</v>
      </c>
      <c r="F5491" s="1" t="s">
        <v>389</v>
      </c>
      <c r="G5491" s="1" t="s">
        <v>387</v>
      </c>
      <c r="H5491" s="1">
        <v>552</v>
      </c>
      <c r="I5491" s="3">
        <v>46287</v>
      </c>
      <c r="L5491" s="31">
        <v>46287.591064664353</v>
      </c>
      <c r="M5491" s="20">
        <v>12</v>
      </c>
      <c r="N5491" s="1">
        <v>31</v>
      </c>
    </row>
    <row r="5492" spans="1:14" x14ac:dyDescent="0.25">
      <c r="A5492" t="str">
        <f t="shared" si="172"/>
        <v>78807777880777</v>
      </c>
      <c r="B5492" t="str">
        <f t="shared" si="173"/>
        <v>7880777P60394T-M</v>
      </c>
      <c r="C5492" s="1" t="s">
        <v>49</v>
      </c>
      <c r="D5492" s="1" t="s">
        <v>836</v>
      </c>
      <c r="E5492" s="1" t="s">
        <v>388</v>
      </c>
      <c r="F5492" s="1" t="s">
        <v>389</v>
      </c>
      <c r="G5492" s="1" t="s">
        <v>387</v>
      </c>
      <c r="H5492" s="1">
        <v>552</v>
      </c>
      <c r="I5492" s="3">
        <v>46287</v>
      </c>
      <c r="L5492" s="31">
        <v>46287.595688622685</v>
      </c>
      <c r="M5492" s="20">
        <v>12</v>
      </c>
      <c r="N5492" s="1">
        <v>18</v>
      </c>
    </row>
    <row r="5493" spans="1:14" x14ac:dyDescent="0.25">
      <c r="A5493" t="str">
        <f t="shared" si="172"/>
        <v>78807777880777</v>
      </c>
      <c r="B5493" t="str">
        <f t="shared" si="173"/>
        <v>7880777P60394T-M</v>
      </c>
      <c r="C5493" s="1" t="s">
        <v>49</v>
      </c>
      <c r="D5493" s="1" t="s">
        <v>836</v>
      </c>
      <c r="E5493" s="1" t="s">
        <v>388</v>
      </c>
      <c r="F5493" s="1" t="s">
        <v>389</v>
      </c>
      <c r="G5493" s="1" t="s">
        <v>387</v>
      </c>
      <c r="H5493" s="1">
        <v>552</v>
      </c>
      <c r="I5493" s="3">
        <v>46287</v>
      </c>
      <c r="L5493" s="31">
        <v>46287.615062962963</v>
      </c>
      <c r="M5493" s="20">
        <v>12</v>
      </c>
      <c r="N5493" s="1">
        <v>22</v>
      </c>
    </row>
    <row r="5494" spans="1:14" x14ac:dyDescent="0.25">
      <c r="A5494" t="str">
        <f t="shared" si="172"/>
        <v>78807777880777</v>
      </c>
      <c r="B5494" t="str">
        <f t="shared" si="173"/>
        <v>7880777P60394T-M</v>
      </c>
      <c r="C5494" s="1" t="s">
        <v>49</v>
      </c>
      <c r="D5494" s="1" t="s">
        <v>836</v>
      </c>
      <c r="E5494" s="1" t="s">
        <v>388</v>
      </c>
      <c r="F5494" s="1" t="s">
        <v>389</v>
      </c>
      <c r="G5494" s="1" t="s">
        <v>387</v>
      </c>
      <c r="H5494" s="1">
        <v>552</v>
      </c>
      <c r="I5494" s="3">
        <v>46287</v>
      </c>
      <c r="L5494" s="31">
        <v>46287.616333715276</v>
      </c>
      <c r="M5494" s="20">
        <v>12</v>
      </c>
      <c r="N5494" s="1">
        <v>27</v>
      </c>
    </row>
    <row r="5495" spans="1:14" x14ac:dyDescent="0.25">
      <c r="A5495" t="str">
        <f t="shared" si="172"/>
        <v>78807777880777</v>
      </c>
      <c r="B5495" t="str">
        <f t="shared" si="173"/>
        <v>7880777P60394T-M</v>
      </c>
      <c r="C5495" s="1" t="s">
        <v>49</v>
      </c>
      <c r="D5495" s="1" t="s">
        <v>836</v>
      </c>
      <c r="E5495" s="1" t="s">
        <v>388</v>
      </c>
      <c r="F5495" s="1" t="s">
        <v>389</v>
      </c>
      <c r="G5495" s="1" t="s">
        <v>387</v>
      </c>
      <c r="H5495" s="1">
        <v>552</v>
      </c>
      <c r="I5495" s="3">
        <v>46287</v>
      </c>
      <c r="L5495" s="31">
        <v>46287.617419710645</v>
      </c>
      <c r="M5495" s="20">
        <v>12</v>
      </c>
      <c r="N5495" s="1">
        <v>19</v>
      </c>
    </row>
    <row r="5496" spans="1:14" x14ac:dyDescent="0.25">
      <c r="A5496" t="str">
        <f t="shared" si="172"/>
        <v>78807777880777</v>
      </c>
      <c r="B5496" t="str">
        <f t="shared" si="173"/>
        <v>7880777P60394T-M</v>
      </c>
      <c r="C5496" s="1" t="s">
        <v>49</v>
      </c>
      <c r="D5496" s="1" t="s">
        <v>836</v>
      </c>
      <c r="E5496" s="1" t="s">
        <v>388</v>
      </c>
      <c r="F5496" s="1" t="s">
        <v>389</v>
      </c>
      <c r="G5496" s="1" t="s">
        <v>387</v>
      </c>
      <c r="H5496" s="1">
        <v>552</v>
      </c>
      <c r="I5496" s="3">
        <v>46287</v>
      </c>
      <c r="L5496" s="31">
        <v>46287.618221724537</v>
      </c>
      <c r="M5496" s="20">
        <v>12</v>
      </c>
      <c r="N5496" s="1">
        <v>33</v>
      </c>
    </row>
    <row r="5497" spans="1:14" x14ac:dyDescent="0.25">
      <c r="A5497" t="str">
        <f t="shared" si="172"/>
        <v>78807777880777</v>
      </c>
      <c r="B5497" t="str">
        <f t="shared" si="173"/>
        <v>7880777P60394T-M</v>
      </c>
      <c r="C5497" s="1" t="s">
        <v>49</v>
      </c>
      <c r="D5497" s="1" t="s">
        <v>836</v>
      </c>
      <c r="E5497" s="1" t="s">
        <v>388</v>
      </c>
      <c r="F5497" s="1" t="s">
        <v>389</v>
      </c>
      <c r="G5497" s="1" t="s">
        <v>387</v>
      </c>
      <c r="H5497" s="1">
        <v>552</v>
      </c>
      <c r="I5497" s="3">
        <v>46287</v>
      </c>
      <c r="L5497" s="31">
        <v>46287.637421412037</v>
      </c>
      <c r="M5497" s="20">
        <v>12</v>
      </c>
      <c r="N5497" s="1">
        <v>34</v>
      </c>
    </row>
    <row r="5498" spans="1:14" x14ac:dyDescent="0.25">
      <c r="A5498" t="str">
        <f t="shared" si="172"/>
        <v>78807777880777</v>
      </c>
      <c r="B5498" t="str">
        <f t="shared" si="173"/>
        <v>7880777P60394T-M</v>
      </c>
      <c r="C5498" s="1" t="s">
        <v>49</v>
      </c>
      <c r="D5498" s="1" t="s">
        <v>836</v>
      </c>
      <c r="E5498" s="1" t="s">
        <v>388</v>
      </c>
      <c r="F5498" s="1" t="s">
        <v>389</v>
      </c>
      <c r="G5498" s="1" t="s">
        <v>387</v>
      </c>
      <c r="H5498" s="1">
        <v>552</v>
      </c>
      <c r="I5498" s="3">
        <v>46287</v>
      </c>
      <c r="L5498" s="31">
        <v>46287.650835763889</v>
      </c>
      <c r="M5498" s="20">
        <v>12</v>
      </c>
      <c r="N5498" s="1">
        <v>30</v>
      </c>
    </row>
    <row r="5499" spans="1:14" x14ac:dyDescent="0.25">
      <c r="A5499" t="str">
        <f t="shared" si="172"/>
        <v>78843227884322</v>
      </c>
      <c r="B5499" t="str">
        <f t="shared" si="173"/>
        <v>7884322GC9060GY-M</v>
      </c>
      <c r="C5499" s="1" t="s">
        <v>5</v>
      </c>
      <c r="D5499" s="1" t="s">
        <v>834</v>
      </c>
      <c r="E5499" s="1" t="s">
        <v>382</v>
      </c>
      <c r="F5499" s="1" t="s">
        <v>383</v>
      </c>
      <c r="G5499" s="1" t="s">
        <v>395</v>
      </c>
      <c r="H5499" s="1">
        <v>516</v>
      </c>
      <c r="I5499" s="3">
        <v>46287</v>
      </c>
      <c r="L5499" s="31">
        <v>46287.357496412034</v>
      </c>
      <c r="M5499" s="20">
        <v>12</v>
      </c>
      <c r="N5499" s="1">
        <v>33</v>
      </c>
    </row>
    <row r="5500" spans="1:14" x14ac:dyDescent="0.25">
      <c r="A5500" t="str">
        <f t="shared" si="172"/>
        <v>78843227884322</v>
      </c>
      <c r="B5500" t="str">
        <f t="shared" si="173"/>
        <v>7884322GC9060GY-M</v>
      </c>
      <c r="C5500" s="1" t="s">
        <v>5</v>
      </c>
      <c r="D5500" s="1" t="s">
        <v>834</v>
      </c>
      <c r="E5500" s="1" t="s">
        <v>382</v>
      </c>
      <c r="F5500" s="1" t="s">
        <v>383</v>
      </c>
      <c r="G5500" s="1" t="s">
        <v>395</v>
      </c>
      <c r="H5500" s="1">
        <v>516</v>
      </c>
      <c r="I5500" s="3">
        <v>46287</v>
      </c>
      <c r="L5500" s="31">
        <v>46287.357673067127</v>
      </c>
      <c r="M5500" s="20">
        <v>12</v>
      </c>
      <c r="N5500" s="1">
        <v>32</v>
      </c>
    </row>
    <row r="5501" spans="1:14" x14ac:dyDescent="0.25">
      <c r="A5501" t="str">
        <f t="shared" si="172"/>
        <v>78843227884322</v>
      </c>
      <c r="B5501" t="str">
        <f t="shared" si="173"/>
        <v>7884322GC9060GY-M</v>
      </c>
      <c r="C5501" s="1" t="s">
        <v>5</v>
      </c>
      <c r="D5501" s="1" t="s">
        <v>834</v>
      </c>
      <c r="E5501" s="1" t="s">
        <v>382</v>
      </c>
      <c r="F5501" s="1" t="s">
        <v>383</v>
      </c>
      <c r="G5501" s="1" t="s">
        <v>395</v>
      </c>
      <c r="H5501" s="1">
        <v>516</v>
      </c>
      <c r="I5501" s="3">
        <v>46287</v>
      </c>
      <c r="L5501" s="31">
        <v>46287.366021724534</v>
      </c>
      <c r="M5501" s="20">
        <v>12</v>
      </c>
      <c r="N5501" s="1">
        <v>34</v>
      </c>
    </row>
    <row r="5502" spans="1:14" x14ac:dyDescent="0.25">
      <c r="A5502" t="str">
        <f t="shared" si="172"/>
        <v>78843227884322</v>
      </c>
      <c r="B5502" t="str">
        <f t="shared" si="173"/>
        <v>7884322GC9060GY-M</v>
      </c>
      <c r="C5502" s="1" t="s">
        <v>5</v>
      </c>
      <c r="D5502" s="1" t="s">
        <v>834</v>
      </c>
      <c r="E5502" s="1" t="s">
        <v>382</v>
      </c>
      <c r="F5502" s="1" t="s">
        <v>383</v>
      </c>
      <c r="G5502" s="1" t="s">
        <v>395</v>
      </c>
      <c r="H5502" s="1">
        <v>516</v>
      </c>
      <c r="I5502" s="3">
        <v>46287</v>
      </c>
      <c r="L5502" s="31">
        <v>46287.379037418978</v>
      </c>
      <c r="M5502" s="20">
        <v>12</v>
      </c>
      <c r="N5502" s="1">
        <v>29</v>
      </c>
    </row>
    <row r="5503" spans="1:14" x14ac:dyDescent="0.25">
      <c r="A5503" t="str">
        <f t="shared" si="172"/>
        <v>78843227884322</v>
      </c>
      <c r="B5503" t="str">
        <f t="shared" si="173"/>
        <v>7884322GC9060GY-M</v>
      </c>
      <c r="C5503" s="1" t="s">
        <v>5</v>
      </c>
      <c r="D5503" s="1" t="s">
        <v>834</v>
      </c>
      <c r="E5503" s="1" t="s">
        <v>382</v>
      </c>
      <c r="F5503" s="1" t="s">
        <v>383</v>
      </c>
      <c r="G5503" s="1" t="s">
        <v>395</v>
      </c>
      <c r="H5503" s="1">
        <v>516</v>
      </c>
      <c r="I5503" s="3">
        <v>46287</v>
      </c>
      <c r="L5503" s="31">
        <v>46287.39293425926</v>
      </c>
      <c r="M5503" s="20">
        <v>12</v>
      </c>
      <c r="N5503" s="1">
        <v>35</v>
      </c>
    </row>
    <row r="5504" spans="1:14" x14ac:dyDescent="0.25">
      <c r="A5504" t="str">
        <f t="shared" si="172"/>
        <v>78843227884322</v>
      </c>
      <c r="B5504" t="str">
        <f t="shared" si="173"/>
        <v>7884322GC9060GY-M</v>
      </c>
      <c r="C5504" s="1" t="s">
        <v>5</v>
      </c>
      <c r="D5504" s="1" t="s">
        <v>834</v>
      </c>
      <c r="E5504" s="1" t="s">
        <v>382</v>
      </c>
      <c r="F5504" s="1" t="s">
        <v>383</v>
      </c>
      <c r="G5504" s="1" t="s">
        <v>395</v>
      </c>
      <c r="H5504" s="1">
        <v>516</v>
      </c>
      <c r="I5504" s="3">
        <v>46287</v>
      </c>
      <c r="L5504" s="31">
        <v>46287.413671724535</v>
      </c>
      <c r="M5504" s="20">
        <v>12</v>
      </c>
      <c r="N5504" s="1">
        <v>36</v>
      </c>
    </row>
    <row r="5505" spans="1:14" x14ac:dyDescent="0.25">
      <c r="A5505" t="str">
        <f t="shared" si="172"/>
        <v>78843227884322</v>
      </c>
      <c r="B5505" t="str">
        <f t="shared" si="173"/>
        <v>7884322GC9060GY-M</v>
      </c>
      <c r="C5505" s="1" t="s">
        <v>5</v>
      </c>
      <c r="D5505" s="1" t="s">
        <v>834</v>
      </c>
      <c r="E5505" s="1" t="s">
        <v>382</v>
      </c>
      <c r="F5505" s="1" t="s">
        <v>383</v>
      </c>
      <c r="G5505" s="1" t="s">
        <v>395</v>
      </c>
      <c r="H5505" s="1">
        <v>516</v>
      </c>
      <c r="I5505" s="3">
        <v>46287</v>
      </c>
      <c r="L5505" s="31">
        <v>46287.434581562498</v>
      </c>
      <c r="M5505" s="20">
        <v>12</v>
      </c>
      <c r="N5505" s="1">
        <v>37</v>
      </c>
    </row>
    <row r="5506" spans="1:14" x14ac:dyDescent="0.25">
      <c r="A5506" t="str">
        <f t="shared" ref="A5506:A5569" si="174">+D5506&amp;D5506</f>
        <v>78843227884322</v>
      </c>
      <c r="B5506" t="str">
        <f t="shared" ref="B5506:B5569" si="175">+D5506&amp;C5506</f>
        <v>7884322GC9060GY-M</v>
      </c>
      <c r="C5506" s="1" t="s">
        <v>5</v>
      </c>
      <c r="D5506" s="1" t="s">
        <v>834</v>
      </c>
      <c r="E5506" s="1" t="s">
        <v>382</v>
      </c>
      <c r="F5506" s="1" t="s">
        <v>383</v>
      </c>
      <c r="G5506" s="1" t="s">
        <v>395</v>
      </c>
      <c r="H5506" s="1">
        <v>516</v>
      </c>
      <c r="I5506" s="3">
        <v>46287</v>
      </c>
      <c r="L5506" s="31">
        <v>46287.45072025463</v>
      </c>
      <c r="M5506" s="20">
        <v>6</v>
      </c>
      <c r="N5506" s="1">
        <v>45</v>
      </c>
    </row>
    <row r="5507" spans="1:14" x14ac:dyDescent="0.25">
      <c r="A5507" t="str">
        <f t="shared" si="174"/>
        <v>78843227884322</v>
      </c>
      <c r="B5507" t="str">
        <f t="shared" si="175"/>
        <v>7884322GC9060GY-M</v>
      </c>
      <c r="C5507" s="1" t="s">
        <v>5</v>
      </c>
      <c r="D5507" s="1" t="s">
        <v>834</v>
      </c>
      <c r="E5507" s="1" t="s">
        <v>382</v>
      </c>
      <c r="F5507" s="1" t="s">
        <v>383</v>
      </c>
      <c r="G5507" s="1" t="s">
        <v>395</v>
      </c>
      <c r="H5507" s="1">
        <v>516</v>
      </c>
      <c r="I5507" s="3">
        <v>46287</v>
      </c>
      <c r="L5507" s="31">
        <v>46287.458685451384</v>
      </c>
      <c r="M5507" s="20">
        <v>12</v>
      </c>
      <c r="N5507" s="1">
        <v>38</v>
      </c>
    </row>
    <row r="5508" spans="1:14" x14ac:dyDescent="0.25">
      <c r="A5508" t="str">
        <f t="shared" si="174"/>
        <v>78843227884322</v>
      </c>
      <c r="B5508" t="str">
        <f t="shared" si="175"/>
        <v>7884322GC9060GY-M</v>
      </c>
      <c r="C5508" s="1" t="s">
        <v>5</v>
      </c>
      <c r="D5508" s="1" t="s">
        <v>834</v>
      </c>
      <c r="E5508" s="1" t="s">
        <v>382</v>
      </c>
      <c r="F5508" s="1" t="s">
        <v>383</v>
      </c>
      <c r="G5508" s="1" t="s">
        <v>395</v>
      </c>
      <c r="H5508" s="1">
        <v>516</v>
      </c>
      <c r="I5508" s="3">
        <v>46287</v>
      </c>
      <c r="L5508" s="31">
        <v>46287.595662499996</v>
      </c>
      <c r="M5508" s="20">
        <v>6</v>
      </c>
      <c r="N5508" s="1">
        <v>43</v>
      </c>
    </row>
    <row r="5509" spans="1:14" x14ac:dyDescent="0.25">
      <c r="A5509" t="str">
        <f t="shared" si="174"/>
        <v>78843227884322</v>
      </c>
      <c r="B5509" t="str">
        <f t="shared" si="175"/>
        <v>7884322GC9060GY-M</v>
      </c>
      <c r="C5509" s="1" t="s">
        <v>5</v>
      </c>
      <c r="D5509" s="1" t="s">
        <v>834</v>
      </c>
      <c r="E5509" s="1" t="s">
        <v>382</v>
      </c>
      <c r="F5509" s="1" t="s">
        <v>383</v>
      </c>
      <c r="G5509" s="1" t="s">
        <v>395</v>
      </c>
      <c r="H5509" s="1">
        <v>516</v>
      </c>
      <c r="I5509" s="3">
        <v>46287</v>
      </c>
      <c r="L5509" s="31">
        <v>46287.612357060185</v>
      </c>
      <c r="M5509" s="20">
        <v>6</v>
      </c>
      <c r="N5509" s="1">
        <v>44</v>
      </c>
    </row>
    <row r="5510" spans="1:14" x14ac:dyDescent="0.25">
      <c r="A5510" t="str">
        <f t="shared" si="174"/>
        <v>78846307884630</v>
      </c>
      <c r="B5510" t="str">
        <f t="shared" si="175"/>
        <v>7884630I6039JD-M</v>
      </c>
      <c r="C5510" s="1" t="s">
        <v>60</v>
      </c>
      <c r="D5510" s="1" t="s">
        <v>841</v>
      </c>
      <c r="E5510" s="1" t="s">
        <v>382</v>
      </c>
      <c r="F5510" s="1" t="s">
        <v>383</v>
      </c>
      <c r="G5510" s="1" t="s">
        <v>395</v>
      </c>
      <c r="H5510" s="1">
        <v>234</v>
      </c>
      <c r="I5510" s="3">
        <v>46287</v>
      </c>
      <c r="L5510" s="31">
        <v>46287.600988043981</v>
      </c>
      <c r="M5510" s="20">
        <v>12</v>
      </c>
      <c r="N5510" s="1">
        <v>13</v>
      </c>
    </row>
    <row r="5511" spans="1:14" x14ac:dyDescent="0.25">
      <c r="A5511" t="str">
        <f t="shared" si="174"/>
        <v>78846307884630</v>
      </c>
      <c r="B5511" t="str">
        <f t="shared" si="175"/>
        <v>7884630I6039JD-M</v>
      </c>
      <c r="C5511" s="1" t="s">
        <v>60</v>
      </c>
      <c r="D5511" s="1" t="s">
        <v>841</v>
      </c>
      <c r="E5511" s="1" t="s">
        <v>382</v>
      </c>
      <c r="F5511" s="1" t="s">
        <v>383</v>
      </c>
      <c r="G5511" s="1" t="s">
        <v>395</v>
      </c>
      <c r="H5511" s="1">
        <v>234</v>
      </c>
      <c r="I5511" s="3">
        <v>46287</v>
      </c>
      <c r="L5511" s="31">
        <v>46287.601128009257</v>
      </c>
      <c r="M5511" s="20">
        <v>12</v>
      </c>
      <c r="N5511" s="1">
        <v>10</v>
      </c>
    </row>
    <row r="5512" spans="1:14" x14ac:dyDescent="0.25">
      <c r="A5512" t="str">
        <f t="shared" si="174"/>
        <v>78846307884630</v>
      </c>
      <c r="B5512" t="str">
        <f t="shared" si="175"/>
        <v>7884630I6039JD-M</v>
      </c>
      <c r="C5512" s="1" t="s">
        <v>60</v>
      </c>
      <c r="D5512" s="1" t="s">
        <v>841</v>
      </c>
      <c r="E5512" s="1" t="s">
        <v>382</v>
      </c>
      <c r="F5512" s="1" t="s">
        <v>383</v>
      </c>
      <c r="G5512" s="1" t="s">
        <v>395</v>
      </c>
      <c r="H5512" s="1">
        <v>234</v>
      </c>
      <c r="I5512" s="3">
        <v>46287</v>
      </c>
      <c r="L5512" s="31">
        <v>46287.616082094908</v>
      </c>
      <c r="M5512" s="20">
        <v>12</v>
      </c>
      <c r="N5512" s="1">
        <v>5</v>
      </c>
    </row>
    <row r="5513" spans="1:14" x14ac:dyDescent="0.25">
      <c r="A5513" t="str">
        <f t="shared" si="174"/>
        <v>78846307884630</v>
      </c>
      <c r="B5513" t="str">
        <f t="shared" si="175"/>
        <v>7884630I6039JD-M</v>
      </c>
      <c r="C5513" s="1" t="s">
        <v>60</v>
      </c>
      <c r="D5513" s="1" t="s">
        <v>841</v>
      </c>
      <c r="E5513" s="1" t="s">
        <v>382</v>
      </c>
      <c r="F5513" s="1" t="s">
        <v>383</v>
      </c>
      <c r="G5513" s="1" t="s">
        <v>395</v>
      </c>
      <c r="H5513" s="1">
        <v>234</v>
      </c>
      <c r="I5513" s="3">
        <v>46287</v>
      </c>
      <c r="L5513" s="31">
        <v>46287.621149305553</v>
      </c>
      <c r="M5513" s="20">
        <v>12</v>
      </c>
      <c r="N5513" s="1">
        <v>14</v>
      </c>
    </row>
    <row r="5514" spans="1:14" x14ac:dyDescent="0.25">
      <c r="A5514" t="str">
        <f t="shared" si="174"/>
        <v>78846307884630</v>
      </c>
      <c r="B5514" t="str">
        <f t="shared" si="175"/>
        <v>7884630I6039JD-M</v>
      </c>
      <c r="C5514" s="1" t="s">
        <v>60</v>
      </c>
      <c r="D5514" s="1" t="s">
        <v>841</v>
      </c>
      <c r="E5514" s="1" t="s">
        <v>382</v>
      </c>
      <c r="F5514" s="1" t="s">
        <v>383</v>
      </c>
      <c r="G5514" s="1" t="s">
        <v>395</v>
      </c>
      <c r="H5514" s="1">
        <v>234</v>
      </c>
      <c r="I5514" s="3">
        <v>46287</v>
      </c>
      <c r="L5514" s="31">
        <v>46287.621708645835</v>
      </c>
      <c r="M5514" s="20">
        <v>12</v>
      </c>
      <c r="N5514" s="1">
        <v>3</v>
      </c>
    </row>
    <row r="5515" spans="1:14" x14ac:dyDescent="0.25">
      <c r="A5515" t="str">
        <f t="shared" si="174"/>
        <v>78846307884630</v>
      </c>
      <c r="B5515" t="str">
        <f t="shared" si="175"/>
        <v>7884630I6039JD-M</v>
      </c>
      <c r="C5515" s="1" t="s">
        <v>60</v>
      </c>
      <c r="D5515" s="1" t="s">
        <v>841</v>
      </c>
      <c r="E5515" s="1" t="s">
        <v>382</v>
      </c>
      <c r="F5515" s="1" t="s">
        <v>383</v>
      </c>
      <c r="G5515" s="1" t="s">
        <v>395</v>
      </c>
      <c r="H5515" s="1">
        <v>234</v>
      </c>
      <c r="I5515" s="3">
        <v>46287</v>
      </c>
      <c r="L5515" s="31">
        <v>46287.687084803241</v>
      </c>
      <c r="M5515" s="20">
        <v>12</v>
      </c>
      <c r="N5515" s="1">
        <v>11</v>
      </c>
    </row>
    <row r="5516" spans="1:14" x14ac:dyDescent="0.25">
      <c r="A5516" t="str">
        <f t="shared" si="174"/>
        <v>78846307884630</v>
      </c>
      <c r="B5516" t="str">
        <f t="shared" si="175"/>
        <v>7884630I6039JD-M</v>
      </c>
      <c r="C5516" s="1" t="s">
        <v>60</v>
      </c>
      <c r="D5516" s="1" t="s">
        <v>841</v>
      </c>
      <c r="E5516" s="1" t="s">
        <v>382</v>
      </c>
      <c r="F5516" s="1" t="s">
        <v>383</v>
      </c>
      <c r="G5516" s="1" t="s">
        <v>395</v>
      </c>
      <c r="H5516" s="1">
        <v>234</v>
      </c>
      <c r="I5516" s="3">
        <v>46287</v>
      </c>
      <c r="L5516" s="31">
        <v>46287.701723460646</v>
      </c>
      <c r="M5516" s="20">
        <v>6</v>
      </c>
      <c r="N5516" s="1">
        <v>21</v>
      </c>
    </row>
    <row r="5517" spans="1:14" x14ac:dyDescent="0.25">
      <c r="A5517" t="str">
        <f t="shared" si="174"/>
        <v>78846307884630</v>
      </c>
      <c r="B5517" t="str">
        <f t="shared" si="175"/>
        <v>7884630I6039JD-M</v>
      </c>
      <c r="C5517" s="1" t="s">
        <v>60</v>
      </c>
      <c r="D5517" s="1" t="s">
        <v>841</v>
      </c>
      <c r="E5517" s="1" t="s">
        <v>382</v>
      </c>
      <c r="F5517" s="1" t="s">
        <v>383</v>
      </c>
      <c r="G5517" s="1" t="s">
        <v>395</v>
      </c>
      <c r="H5517" s="1">
        <v>234</v>
      </c>
      <c r="I5517" s="3">
        <v>46287</v>
      </c>
      <c r="L5517" s="31">
        <v>46287.702102199073</v>
      </c>
      <c r="M5517" s="20">
        <v>12</v>
      </c>
      <c r="N5517" s="1">
        <v>7</v>
      </c>
    </row>
    <row r="5518" spans="1:14" x14ac:dyDescent="0.25">
      <c r="A5518" t="str">
        <f t="shared" si="174"/>
        <v>78846307884630</v>
      </c>
      <c r="B5518" t="str">
        <f t="shared" si="175"/>
        <v>7884630I6039JD-M</v>
      </c>
      <c r="C5518" s="1" t="s">
        <v>60</v>
      </c>
      <c r="D5518" s="1" t="s">
        <v>841</v>
      </c>
      <c r="E5518" s="1" t="s">
        <v>382</v>
      </c>
      <c r="F5518" s="1" t="s">
        <v>383</v>
      </c>
      <c r="G5518" s="1" t="s">
        <v>395</v>
      </c>
      <c r="H5518" s="1">
        <v>234</v>
      </c>
      <c r="I5518" s="3">
        <v>46287</v>
      </c>
      <c r="L5518" s="31">
        <v>46287.709339930552</v>
      </c>
      <c r="M5518" s="20">
        <v>12</v>
      </c>
      <c r="N5518" s="1">
        <v>8</v>
      </c>
    </row>
    <row r="5519" spans="1:14" x14ac:dyDescent="0.25">
      <c r="A5519" t="str">
        <f t="shared" si="174"/>
        <v>78846307884630</v>
      </c>
      <c r="B5519" t="str">
        <f t="shared" si="175"/>
        <v>7884630I6039JD-M</v>
      </c>
      <c r="C5519" s="1" t="s">
        <v>60</v>
      </c>
      <c r="D5519" s="1" t="s">
        <v>841</v>
      </c>
      <c r="E5519" s="1" t="s">
        <v>382</v>
      </c>
      <c r="F5519" s="1" t="s">
        <v>383</v>
      </c>
      <c r="G5519" s="1" t="s">
        <v>395</v>
      </c>
      <c r="H5519" s="1">
        <v>234</v>
      </c>
      <c r="I5519" s="3">
        <v>46287</v>
      </c>
      <c r="L5519" s="31">
        <v>46287.711430358795</v>
      </c>
      <c r="M5519" s="20">
        <v>12</v>
      </c>
      <c r="N5519" s="1">
        <v>2</v>
      </c>
    </row>
    <row r="5520" spans="1:14" x14ac:dyDescent="0.25">
      <c r="A5520" t="str">
        <f t="shared" si="174"/>
        <v>H177020H177020</v>
      </c>
      <c r="B5520" t="str">
        <f t="shared" si="175"/>
        <v>H177020PV9060BE-M</v>
      </c>
      <c r="C5520" s="1" t="s">
        <v>842</v>
      </c>
      <c r="D5520" s="1" t="s">
        <v>843</v>
      </c>
      <c r="E5520" s="1" t="s">
        <v>524</v>
      </c>
      <c r="F5520" s="1" t="s">
        <v>525</v>
      </c>
      <c r="G5520" s="1" t="s">
        <v>404</v>
      </c>
      <c r="H5520" s="1">
        <v>864</v>
      </c>
      <c r="I5520" s="3">
        <v>46287</v>
      </c>
      <c r="L5520" s="31">
        <v>46287.612932291668</v>
      </c>
      <c r="M5520" s="20">
        <v>12</v>
      </c>
      <c r="N5520" s="1">
        <v>5</v>
      </c>
    </row>
    <row r="5521" spans="1:14" x14ac:dyDescent="0.25">
      <c r="A5521" t="str">
        <f t="shared" si="174"/>
        <v>H177020H177020</v>
      </c>
      <c r="B5521" t="str">
        <f t="shared" si="175"/>
        <v>H177020PV9060BE-M</v>
      </c>
      <c r="C5521" s="1" t="s">
        <v>842</v>
      </c>
      <c r="D5521" s="1" t="s">
        <v>843</v>
      </c>
      <c r="E5521" s="1" t="s">
        <v>524</v>
      </c>
      <c r="F5521" s="1" t="s">
        <v>525</v>
      </c>
      <c r="G5521" s="1" t="s">
        <v>404</v>
      </c>
      <c r="H5521" s="1">
        <v>864</v>
      </c>
      <c r="I5521" s="3">
        <v>46287</v>
      </c>
      <c r="L5521" s="31">
        <v>46287.613456516199</v>
      </c>
      <c r="M5521" s="20">
        <v>12</v>
      </c>
      <c r="N5521" s="1">
        <v>46</v>
      </c>
    </row>
    <row r="5522" spans="1:14" x14ac:dyDescent="0.25">
      <c r="A5522" t="str">
        <f t="shared" si="174"/>
        <v>H177020H177020</v>
      </c>
      <c r="B5522" t="str">
        <f t="shared" si="175"/>
        <v>H177020PV9060BE-M</v>
      </c>
      <c r="C5522" s="1" t="s">
        <v>842</v>
      </c>
      <c r="D5522" s="1" t="s">
        <v>843</v>
      </c>
      <c r="E5522" s="1" t="s">
        <v>524</v>
      </c>
      <c r="F5522" s="1" t="s">
        <v>525</v>
      </c>
      <c r="G5522" s="1" t="s">
        <v>404</v>
      </c>
      <c r="H5522" s="1">
        <v>864</v>
      </c>
      <c r="I5522" s="3">
        <v>46287</v>
      </c>
      <c r="L5522" s="31">
        <v>46287.613801620369</v>
      </c>
      <c r="M5522" s="20">
        <v>12</v>
      </c>
      <c r="N5522" s="1">
        <v>56</v>
      </c>
    </row>
    <row r="5523" spans="1:14" x14ac:dyDescent="0.25">
      <c r="A5523" t="str">
        <f t="shared" si="174"/>
        <v>H177020H177020</v>
      </c>
      <c r="B5523" t="str">
        <f t="shared" si="175"/>
        <v>H177020PV9060BE-M</v>
      </c>
      <c r="C5523" s="1" t="s">
        <v>842</v>
      </c>
      <c r="D5523" s="1" t="s">
        <v>843</v>
      </c>
      <c r="E5523" s="1" t="s">
        <v>524</v>
      </c>
      <c r="F5523" s="1" t="s">
        <v>525</v>
      </c>
      <c r="G5523" s="1" t="s">
        <v>404</v>
      </c>
      <c r="H5523" s="1">
        <v>864</v>
      </c>
      <c r="I5523" s="3">
        <v>46287</v>
      </c>
      <c r="L5523" s="31">
        <v>46287.617509953699</v>
      </c>
      <c r="M5523" s="20">
        <v>12</v>
      </c>
      <c r="N5523" s="1">
        <v>57</v>
      </c>
    </row>
    <row r="5524" spans="1:14" x14ac:dyDescent="0.25">
      <c r="A5524" t="str">
        <f t="shared" si="174"/>
        <v>H177020H177020</v>
      </c>
      <c r="B5524" t="str">
        <f t="shared" si="175"/>
        <v>H177020PV9060BE-M</v>
      </c>
      <c r="C5524" s="1" t="s">
        <v>842</v>
      </c>
      <c r="D5524" s="1" t="s">
        <v>843</v>
      </c>
      <c r="E5524" s="1" t="s">
        <v>524</v>
      </c>
      <c r="F5524" s="1" t="s">
        <v>525</v>
      </c>
      <c r="G5524" s="1" t="s">
        <v>404</v>
      </c>
      <c r="H5524" s="1">
        <v>864</v>
      </c>
      <c r="I5524" s="3">
        <v>46287</v>
      </c>
      <c r="L5524" s="31">
        <v>46287.617722685187</v>
      </c>
      <c r="M5524" s="20">
        <v>12</v>
      </c>
      <c r="N5524" s="1">
        <v>41</v>
      </c>
    </row>
    <row r="5525" spans="1:14" x14ac:dyDescent="0.25">
      <c r="A5525" t="str">
        <f t="shared" si="174"/>
        <v>H177020H177020</v>
      </c>
      <c r="B5525" t="str">
        <f t="shared" si="175"/>
        <v>H177020PV9060BE-M</v>
      </c>
      <c r="C5525" s="1" t="s">
        <v>842</v>
      </c>
      <c r="D5525" s="1" t="s">
        <v>843</v>
      </c>
      <c r="E5525" s="1" t="s">
        <v>524</v>
      </c>
      <c r="F5525" s="1" t="s">
        <v>525</v>
      </c>
      <c r="G5525" s="1" t="s">
        <v>404</v>
      </c>
      <c r="H5525" s="1">
        <v>864</v>
      </c>
      <c r="I5525" s="3">
        <v>46287</v>
      </c>
      <c r="L5525" s="31">
        <v>46287.627024849535</v>
      </c>
      <c r="M5525" s="20">
        <v>12</v>
      </c>
      <c r="N5525" s="1">
        <v>4</v>
      </c>
    </row>
    <row r="5526" spans="1:14" x14ac:dyDescent="0.25">
      <c r="A5526" t="str">
        <f t="shared" si="174"/>
        <v>H177020H177020</v>
      </c>
      <c r="B5526" t="str">
        <f t="shared" si="175"/>
        <v>H177020PV9060BE-M</v>
      </c>
      <c r="C5526" s="1" t="s">
        <v>842</v>
      </c>
      <c r="D5526" s="1" t="s">
        <v>843</v>
      </c>
      <c r="E5526" s="1" t="s">
        <v>524</v>
      </c>
      <c r="F5526" s="1" t="s">
        <v>525</v>
      </c>
      <c r="G5526" s="1" t="s">
        <v>404</v>
      </c>
      <c r="H5526" s="1">
        <v>864</v>
      </c>
      <c r="I5526" s="3">
        <v>46287</v>
      </c>
      <c r="L5526" s="31">
        <v>46287.630732175923</v>
      </c>
      <c r="M5526" s="20">
        <v>12</v>
      </c>
      <c r="N5526" s="1">
        <v>45</v>
      </c>
    </row>
    <row r="5527" spans="1:14" x14ac:dyDescent="0.25">
      <c r="A5527" t="str">
        <f t="shared" si="174"/>
        <v>H177020H177020</v>
      </c>
      <c r="B5527" t="str">
        <f t="shared" si="175"/>
        <v>H177020PV9060BE-M</v>
      </c>
      <c r="C5527" s="1" t="s">
        <v>842</v>
      </c>
      <c r="D5527" s="1" t="s">
        <v>843</v>
      </c>
      <c r="E5527" s="1" t="s">
        <v>524</v>
      </c>
      <c r="F5527" s="1" t="s">
        <v>525</v>
      </c>
      <c r="G5527" s="1" t="s">
        <v>404</v>
      </c>
      <c r="H5527" s="1">
        <v>864</v>
      </c>
      <c r="I5527" s="3">
        <v>46287</v>
      </c>
      <c r="L5527" s="31">
        <v>46287.636478668981</v>
      </c>
      <c r="M5527" s="20">
        <v>12</v>
      </c>
      <c r="N5527" s="1">
        <v>58</v>
      </c>
    </row>
    <row r="5528" spans="1:14" x14ac:dyDescent="0.25">
      <c r="A5528" t="str">
        <f t="shared" si="174"/>
        <v>H177020H177020</v>
      </c>
      <c r="B5528" t="str">
        <f t="shared" si="175"/>
        <v>H177020PV9060BE-M</v>
      </c>
      <c r="C5528" s="1" t="s">
        <v>842</v>
      </c>
      <c r="D5528" s="1" t="s">
        <v>843</v>
      </c>
      <c r="E5528" s="1" t="s">
        <v>524</v>
      </c>
      <c r="F5528" s="1" t="s">
        <v>525</v>
      </c>
      <c r="G5528" s="1" t="s">
        <v>404</v>
      </c>
      <c r="H5528" s="1">
        <v>864</v>
      </c>
      <c r="I5528" s="3">
        <v>46287</v>
      </c>
      <c r="L5528" s="31">
        <v>46287.636816550927</v>
      </c>
      <c r="M5528" s="20">
        <v>12</v>
      </c>
      <c r="N5528" s="1">
        <v>3</v>
      </c>
    </row>
    <row r="5529" spans="1:14" x14ac:dyDescent="0.25">
      <c r="A5529" t="str">
        <f t="shared" si="174"/>
        <v>H177020H177020</v>
      </c>
      <c r="B5529" t="str">
        <f t="shared" si="175"/>
        <v>H177020PV9060BE-M</v>
      </c>
      <c r="C5529" s="1" t="s">
        <v>842</v>
      </c>
      <c r="D5529" s="1" t="s">
        <v>843</v>
      </c>
      <c r="E5529" s="1" t="s">
        <v>524</v>
      </c>
      <c r="F5529" s="1" t="s">
        <v>525</v>
      </c>
      <c r="G5529" s="1" t="s">
        <v>404</v>
      </c>
      <c r="H5529" s="1">
        <v>864</v>
      </c>
      <c r="I5529" s="3">
        <v>46287</v>
      </c>
      <c r="L5529" s="31">
        <v>46287.650519097224</v>
      </c>
      <c r="M5529" s="20">
        <v>12</v>
      </c>
      <c r="N5529" s="1">
        <v>44</v>
      </c>
    </row>
    <row r="5530" spans="1:14" x14ac:dyDescent="0.25">
      <c r="A5530" t="str">
        <f t="shared" si="174"/>
        <v>H177020H177020</v>
      </c>
      <c r="B5530" t="str">
        <f t="shared" si="175"/>
        <v>H177020PV9060BE-M</v>
      </c>
      <c r="C5530" s="1" t="s">
        <v>842</v>
      </c>
      <c r="D5530" s="1" t="s">
        <v>843</v>
      </c>
      <c r="E5530" s="1" t="s">
        <v>524</v>
      </c>
      <c r="F5530" s="1" t="s">
        <v>525</v>
      </c>
      <c r="G5530" s="1" t="s">
        <v>404</v>
      </c>
      <c r="H5530" s="1">
        <v>864</v>
      </c>
      <c r="I5530" s="3">
        <v>46287</v>
      </c>
      <c r="L5530" s="31">
        <v>46287.663849189812</v>
      </c>
      <c r="M5530" s="20">
        <v>6</v>
      </c>
      <c r="N5530" s="1">
        <v>74</v>
      </c>
    </row>
    <row r="5531" spans="1:14" x14ac:dyDescent="0.25">
      <c r="A5531" t="str">
        <f t="shared" si="174"/>
        <v>H177020H177020</v>
      </c>
      <c r="B5531" t="str">
        <f t="shared" si="175"/>
        <v>H177020PV9060BE-M</v>
      </c>
      <c r="C5531" s="1" t="s">
        <v>842</v>
      </c>
      <c r="D5531" s="1" t="s">
        <v>843</v>
      </c>
      <c r="E5531" s="1" t="s">
        <v>524</v>
      </c>
      <c r="F5531" s="1" t="s">
        <v>525</v>
      </c>
      <c r="G5531" s="1" t="s">
        <v>404</v>
      </c>
      <c r="H5531" s="1">
        <v>864</v>
      </c>
      <c r="I5531" s="3">
        <v>46287</v>
      </c>
      <c r="L5531" s="31">
        <v>46287.664392129627</v>
      </c>
      <c r="M5531" s="20">
        <v>12</v>
      </c>
      <c r="N5531" s="1">
        <v>43</v>
      </c>
    </row>
    <row r="5532" spans="1:14" x14ac:dyDescent="0.25">
      <c r="A5532" t="str">
        <f t="shared" si="174"/>
        <v>H177020H177020</v>
      </c>
      <c r="B5532" t="str">
        <f t="shared" si="175"/>
        <v>H177020PV9060BE-M</v>
      </c>
      <c r="C5532" s="1" t="s">
        <v>842</v>
      </c>
      <c r="D5532" s="1" t="s">
        <v>843</v>
      </c>
      <c r="E5532" s="1" t="s">
        <v>524</v>
      </c>
      <c r="F5532" s="1" t="s">
        <v>525</v>
      </c>
      <c r="G5532" s="1" t="s">
        <v>404</v>
      </c>
      <c r="H5532" s="1">
        <v>864</v>
      </c>
      <c r="I5532" s="3">
        <v>46287</v>
      </c>
      <c r="L5532" s="31">
        <v>46287.666222916661</v>
      </c>
      <c r="M5532" s="20">
        <v>12</v>
      </c>
      <c r="N5532" s="1">
        <v>47</v>
      </c>
    </row>
    <row r="5533" spans="1:14" x14ac:dyDescent="0.25">
      <c r="A5533" t="str">
        <f t="shared" si="174"/>
        <v>H177020H177020</v>
      </c>
      <c r="B5533" t="str">
        <f t="shared" si="175"/>
        <v>H177020PV9060BE-M</v>
      </c>
      <c r="C5533" s="1" t="s">
        <v>842</v>
      </c>
      <c r="D5533" s="1" t="s">
        <v>843</v>
      </c>
      <c r="E5533" s="1" t="s">
        <v>524</v>
      </c>
      <c r="F5533" s="1" t="s">
        <v>525</v>
      </c>
      <c r="G5533" s="1" t="s">
        <v>404</v>
      </c>
      <c r="H5533" s="1">
        <v>864</v>
      </c>
      <c r="I5533" s="3">
        <v>46287</v>
      </c>
      <c r="L5533" s="31">
        <v>46287.666450613426</v>
      </c>
      <c r="M5533" s="20">
        <v>12</v>
      </c>
      <c r="N5533" s="1">
        <v>48</v>
      </c>
    </row>
    <row r="5534" spans="1:14" x14ac:dyDescent="0.25">
      <c r="A5534" t="str">
        <f t="shared" si="174"/>
        <v>H177020H177020</v>
      </c>
      <c r="B5534" t="str">
        <f t="shared" si="175"/>
        <v>H177020PV9060BE-M</v>
      </c>
      <c r="C5534" s="1" t="s">
        <v>842</v>
      </c>
      <c r="D5534" s="1" t="s">
        <v>843</v>
      </c>
      <c r="E5534" s="1" t="s">
        <v>524</v>
      </c>
      <c r="F5534" s="1" t="s">
        <v>525</v>
      </c>
      <c r="G5534" s="1" t="s">
        <v>404</v>
      </c>
      <c r="H5534" s="1">
        <v>864</v>
      </c>
      <c r="I5534" s="3">
        <v>46287</v>
      </c>
      <c r="L5534" s="31">
        <v>46287.66709221065</v>
      </c>
      <c r="M5534" s="20">
        <v>12</v>
      </c>
      <c r="N5534" s="1">
        <v>9</v>
      </c>
    </row>
    <row r="5535" spans="1:14" x14ac:dyDescent="0.25">
      <c r="A5535" t="str">
        <f t="shared" si="174"/>
        <v>H177020H177020</v>
      </c>
      <c r="B5535" t="str">
        <f t="shared" si="175"/>
        <v>H177020PV9060BE-M</v>
      </c>
      <c r="C5535" s="1" t="s">
        <v>842</v>
      </c>
      <c r="D5535" s="1" t="s">
        <v>843</v>
      </c>
      <c r="E5535" s="1" t="s">
        <v>524</v>
      </c>
      <c r="F5535" s="1" t="s">
        <v>525</v>
      </c>
      <c r="G5535" s="1" t="s">
        <v>404</v>
      </c>
      <c r="H5535" s="1">
        <v>864</v>
      </c>
      <c r="I5535" s="3">
        <v>46287</v>
      </c>
      <c r="L5535" s="31">
        <v>46287.667245486111</v>
      </c>
      <c r="M5535" s="20">
        <v>12</v>
      </c>
      <c r="N5535" s="1">
        <v>59</v>
      </c>
    </row>
    <row r="5536" spans="1:14" x14ac:dyDescent="0.25">
      <c r="A5536" t="str">
        <f t="shared" si="174"/>
        <v>H177020H177020</v>
      </c>
      <c r="B5536" t="str">
        <f t="shared" si="175"/>
        <v>H177020PV9060BE-M</v>
      </c>
      <c r="C5536" s="1" t="s">
        <v>842</v>
      </c>
      <c r="D5536" s="1" t="s">
        <v>843</v>
      </c>
      <c r="E5536" s="1" t="s">
        <v>524</v>
      </c>
      <c r="F5536" s="1" t="s">
        <v>525</v>
      </c>
      <c r="G5536" s="1" t="s">
        <v>404</v>
      </c>
      <c r="H5536" s="1">
        <v>864</v>
      </c>
      <c r="I5536" s="3">
        <v>46287</v>
      </c>
      <c r="L5536" s="31">
        <v>46287.67567600694</v>
      </c>
      <c r="M5536" s="20">
        <v>12</v>
      </c>
      <c r="N5536" s="1">
        <v>61</v>
      </c>
    </row>
    <row r="5537" spans="1:14" x14ac:dyDescent="0.25">
      <c r="A5537" t="str">
        <f t="shared" si="174"/>
        <v>H177020H177020</v>
      </c>
      <c r="B5537" t="str">
        <f t="shared" si="175"/>
        <v>H177020PV9060BE-M</v>
      </c>
      <c r="C5537" s="1" t="s">
        <v>842</v>
      </c>
      <c r="D5537" s="1" t="s">
        <v>843</v>
      </c>
      <c r="E5537" s="1" t="s">
        <v>524</v>
      </c>
      <c r="F5537" s="1" t="s">
        <v>525</v>
      </c>
      <c r="G5537" s="1" t="s">
        <v>404</v>
      </c>
      <c r="H5537" s="1">
        <v>864</v>
      </c>
      <c r="I5537" s="3">
        <v>46287</v>
      </c>
      <c r="L5537" s="31">
        <v>46287.67620887731</v>
      </c>
      <c r="M5537" s="20">
        <v>12</v>
      </c>
      <c r="N5537" s="1">
        <v>8</v>
      </c>
    </row>
    <row r="5538" spans="1:14" x14ac:dyDescent="0.25">
      <c r="A5538" t="str">
        <f t="shared" si="174"/>
        <v>H177020H177020</v>
      </c>
      <c r="B5538" t="str">
        <f t="shared" si="175"/>
        <v>H177020PV9060BE-M</v>
      </c>
      <c r="C5538" s="1" t="s">
        <v>842</v>
      </c>
      <c r="D5538" s="1" t="s">
        <v>843</v>
      </c>
      <c r="E5538" s="1" t="s">
        <v>524</v>
      </c>
      <c r="F5538" s="1" t="s">
        <v>525</v>
      </c>
      <c r="G5538" s="1" t="s">
        <v>404</v>
      </c>
      <c r="H5538" s="1">
        <v>864</v>
      </c>
      <c r="I5538" s="3">
        <v>46287</v>
      </c>
      <c r="L5538" s="31">
        <v>46287.67635671296</v>
      </c>
      <c r="M5538" s="20">
        <v>12</v>
      </c>
      <c r="N5538" s="1">
        <v>42</v>
      </c>
    </row>
    <row r="5539" spans="1:14" x14ac:dyDescent="0.25">
      <c r="A5539" t="str">
        <f t="shared" si="174"/>
        <v>H177020H177020</v>
      </c>
      <c r="B5539" t="str">
        <f t="shared" si="175"/>
        <v>H177020PV9060BE-M</v>
      </c>
      <c r="C5539" s="1" t="s">
        <v>842</v>
      </c>
      <c r="D5539" s="1" t="s">
        <v>843</v>
      </c>
      <c r="E5539" s="1" t="s">
        <v>524</v>
      </c>
      <c r="F5539" s="1" t="s">
        <v>525</v>
      </c>
      <c r="G5539" s="1" t="s">
        <v>404</v>
      </c>
      <c r="H5539" s="1">
        <v>864</v>
      </c>
      <c r="I5539" s="3">
        <v>46287</v>
      </c>
      <c r="L5539" s="31">
        <v>46287.678933831019</v>
      </c>
      <c r="M5539" s="20">
        <v>12</v>
      </c>
      <c r="N5539" s="1">
        <v>6</v>
      </c>
    </row>
    <row r="5540" spans="1:14" x14ac:dyDescent="0.25">
      <c r="A5540" t="str">
        <f t="shared" si="174"/>
        <v>H177020H177020</v>
      </c>
      <c r="B5540" t="str">
        <f t="shared" si="175"/>
        <v>H177020PV9060BE-M</v>
      </c>
      <c r="C5540" s="1" t="s">
        <v>842</v>
      </c>
      <c r="D5540" s="1" t="s">
        <v>843</v>
      </c>
      <c r="E5540" s="1" t="s">
        <v>524</v>
      </c>
      <c r="F5540" s="1" t="s">
        <v>525</v>
      </c>
      <c r="G5540" s="1" t="s">
        <v>404</v>
      </c>
      <c r="H5540" s="1">
        <v>864</v>
      </c>
      <c r="I5540" s="3">
        <v>46287</v>
      </c>
      <c r="L5540" s="31">
        <v>46287.679117210646</v>
      </c>
      <c r="M5540" s="20">
        <v>12</v>
      </c>
      <c r="N5540" s="1">
        <v>64</v>
      </c>
    </row>
    <row r="5541" spans="1:14" x14ac:dyDescent="0.25">
      <c r="A5541" t="str">
        <f t="shared" si="174"/>
        <v>H177020H177020</v>
      </c>
      <c r="B5541" t="str">
        <f t="shared" si="175"/>
        <v>H177020PV9060BE-M</v>
      </c>
      <c r="C5541" s="1" t="s">
        <v>842</v>
      </c>
      <c r="D5541" s="1" t="s">
        <v>843</v>
      </c>
      <c r="E5541" s="1" t="s">
        <v>524</v>
      </c>
      <c r="F5541" s="1" t="s">
        <v>525</v>
      </c>
      <c r="G5541" s="1" t="s">
        <v>404</v>
      </c>
      <c r="H5541" s="1">
        <v>864</v>
      </c>
      <c r="I5541" s="3">
        <v>46287</v>
      </c>
      <c r="L5541" s="31">
        <v>46287.694448807866</v>
      </c>
      <c r="M5541" s="20">
        <v>12</v>
      </c>
      <c r="N5541" s="1">
        <v>60</v>
      </c>
    </row>
    <row r="5542" spans="1:14" x14ac:dyDescent="0.25">
      <c r="A5542" t="str">
        <f t="shared" si="174"/>
        <v>H177020H177020</v>
      </c>
      <c r="B5542" t="str">
        <f t="shared" si="175"/>
        <v>H177020PV9060BE-M</v>
      </c>
      <c r="C5542" s="1" t="s">
        <v>842</v>
      </c>
      <c r="D5542" s="1" t="s">
        <v>843</v>
      </c>
      <c r="E5542" s="1" t="s">
        <v>524</v>
      </c>
      <c r="F5542" s="1" t="s">
        <v>525</v>
      </c>
      <c r="G5542" s="1" t="s">
        <v>404</v>
      </c>
      <c r="H5542" s="1">
        <v>864</v>
      </c>
      <c r="I5542" s="3">
        <v>46287</v>
      </c>
      <c r="L5542" s="31">
        <v>46287.697877314815</v>
      </c>
      <c r="M5542" s="20">
        <v>12</v>
      </c>
      <c r="N5542" s="1">
        <v>2</v>
      </c>
    </row>
    <row r="5543" spans="1:14" x14ac:dyDescent="0.25">
      <c r="A5543" t="str">
        <f t="shared" si="174"/>
        <v>H177020H177020</v>
      </c>
      <c r="B5543" t="str">
        <f t="shared" si="175"/>
        <v>H177020PV9060BE-M</v>
      </c>
      <c r="C5543" s="1" t="s">
        <v>842</v>
      </c>
      <c r="D5543" s="1" t="s">
        <v>843</v>
      </c>
      <c r="E5543" s="1" t="s">
        <v>524</v>
      </c>
      <c r="F5543" s="1" t="s">
        <v>525</v>
      </c>
      <c r="G5543" s="1" t="s">
        <v>404</v>
      </c>
      <c r="H5543" s="1">
        <v>864</v>
      </c>
      <c r="I5543" s="3">
        <v>46287</v>
      </c>
      <c r="L5543" s="31">
        <v>46287.698232256946</v>
      </c>
      <c r="M5543" s="20">
        <v>12</v>
      </c>
      <c r="N5543" s="1">
        <v>63</v>
      </c>
    </row>
    <row r="5544" spans="1:14" x14ac:dyDescent="0.25">
      <c r="A5544" t="str">
        <f t="shared" si="174"/>
        <v>H177020H177020</v>
      </c>
      <c r="B5544" t="str">
        <f t="shared" si="175"/>
        <v>H177020PV9060BE-M</v>
      </c>
      <c r="C5544" s="1" t="s">
        <v>842</v>
      </c>
      <c r="D5544" s="1" t="s">
        <v>843</v>
      </c>
      <c r="E5544" s="1" t="s">
        <v>524</v>
      </c>
      <c r="F5544" s="1" t="s">
        <v>525</v>
      </c>
      <c r="G5544" s="1" t="s">
        <v>404</v>
      </c>
      <c r="H5544" s="1">
        <v>864</v>
      </c>
      <c r="I5544" s="3">
        <v>46287</v>
      </c>
      <c r="L5544" s="31">
        <v>46287.698574652779</v>
      </c>
      <c r="M5544" s="20">
        <v>12</v>
      </c>
      <c r="N5544" s="1">
        <v>14</v>
      </c>
    </row>
    <row r="5545" spans="1:14" x14ac:dyDescent="0.25">
      <c r="A5545" t="str">
        <f t="shared" si="174"/>
        <v>H189083H189083</v>
      </c>
      <c r="B5545" t="str">
        <f t="shared" si="175"/>
        <v>H189083I6039JD-W</v>
      </c>
      <c r="C5545" s="1" t="s">
        <v>62</v>
      </c>
      <c r="D5545" s="1" t="s">
        <v>831</v>
      </c>
      <c r="E5545" s="1" t="s">
        <v>422</v>
      </c>
      <c r="F5545" s="1" t="s">
        <v>423</v>
      </c>
      <c r="G5545" s="1" t="s">
        <v>404</v>
      </c>
      <c r="H5545" s="1">
        <v>288</v>
      </c>
      <c r="I5545" s="3">
        <v>46287</v>
      </c>
      <c r="L5545" s="31">
        <v>46287.349720682869</v>
      </c>
      <c r="M5545" s="20">
        <v>12</v>
      </c>
      <c r="N5545" s="1">
        <v>11</v>
      </c>
    </row>
    <row r="5546" spans="1:14" x14ac:dyDescent="0.25">
      <c r="A5546" t="str">
        <f t="shared" si="174"/>
        <v>H189083H189083</v>
      </c>
      <c r="B5546" t="str">
        <f t="shared" si="175"/>
        <v>H189083I6039JD-W</v>
      </c>
      <c r="C5546" s="1" t="s">
        <v>62</v>
      </c>
      <c r="D5546" s="1" t="s">
        <v>831</v>
      </c>
      <c r="E5546" s="1" t="s">
        <v>422</v>
      </c>
      <c r="F5546" s="1" t="s">
        <v>423</v>
      </c>
      <c r="G5546" s="1" t="s">
        <v>404</v>
      </c>
      <c r="H5546" s="1">
        <v>288</v>
      </c>
      <c r="I5546" s="3">
        <v>46287</v>
      </c>
      <c r="L5546" s="31">
        <v>46287.352553553239</v>
      </c>
      <c r="M5546" s="20">
        <v>12</v>
      </c>
      <c r="N5546" s="1">
        <v>12</v>
      </c>
    </row>
    <row r="5547" spans="1:14" x14ac:dyDescent="0.25">
      <c r="A5547" t="str">
        <f t="shared" si="174"/>
        <v>H189083H189083</v>
      </c>
      <c r="B5547" t="str">
        <f t="shared" si="175"/>
        <v>H189083I6039JD-W</v>
      </c>
      <c r="C5547" s="1" t="s">
        <v>62</v>
      </c>
      <c r="D5547" s="1" t="s">
        <v>831</v>
      </c>
      <c r="E5547" s="1" t="s">
        <v>422</v>
      </c>
      <c r="F5547" s="1" t="s">
        <v>423</v>
      </c>
      <c r="G5547" s="1" t="s">
        <v>404</v>
      </c>
      <c r="H5547" s="1">
        <v>288</v>
      </c>
      <c r="I5547" s="3">
        <v>46287</v>
      </c>
      <c r="L5547" s="31">
        <v>46287.377049965275</v>
      </c>
      <c r="M5547" s="20">
        <v>12</v>
      </c>
      <c r="N5547" s="1">
        <v>6</v>
      </c>
    </row>
    <row r="5548" spans="1:14" x14ac:dyDescent="0.25">
      <c r="A5548" t="str">
        <f t="shared" si="174"/>
        <v>H189083H189083</v>
      </c>
      <c r="B5548" t="str">
        <f t="shared" si="175"/>
        <v>H189083I6039JD-W</v>
      </c>
      <c r="C5548" s="1" t="s">
        <v>62</v>
      </c>
      <c r="D5548" s="1" t="s">
        <v>831</v>
      </c>
      <c r="E5548" s="1" t="s">
        <v>422</v>
      </c>
      <c r="F5548" s="1" t="s">
        <v>423</v>
      </c>
      <c r="G5548" s="1" t="s">
        <v>404</v>
      </c>
      <c r="H5548" s="1">
        <v>288</v>
      </c>
      <c r="I5548" s="3">
        <v>46287</v>
      </c>
      <c r="L5548" s="31">
        <v>46287.378147997682</v>
      </c>
      <c r="M5548" s="20">
        <v>12</v>
      </c>
      <c r="N5548" s="1">
        <v>5</v>
      </c>
    </row>
    <row r="5549" spans="1:14" x14ac:dyDescent="0.25">
      <c r="A5549" t="str">
        <f t="shared" si="174"/>
        <v>H189083H189083</v>
      </c>
      <c r="B5549" t="str">
        <f t="shared" si="175"/>
        <v>H189083I6039JD-W</v>
      </c>
      <c r="C5549" s="1" t="s">
        <v>62</v>
      </c>
      <c r="D5549" s="1" t="s">
        <v>831</v>
      </c>
      <c r="E5549" s="1" t="s">
        <v>422</v>
      </c>
      <c r="F5549" s="1" t="s">
        <v>423</v>
      </c>
      <c r="G5549" s="1" t="s">
        <v>404</v>
      </c>
      <c r="H5549" s="1">
        <v>288</v>
      </c>
      <c r="I5549" s="3">
        <v>46287</v>
      </c>
      <c r="L5549" s="31">
        <v>46287.388816087958</v>
      </c>
      <c r="M5549" s="20">
        <v>12</v>
      </c>
      <c r="N5549" s="1">
        <v>1</v>
      </c>
    </row>
    <row r="5550" spans="1:14" x14ac:dyDescent="0.25">
      <c r="A5550" t="str">
        <f t="shared" si="174"/>
        <v>H189083H189083</v>
      </c>
      <c r="B5550" t="str">
        <f t="shared" si="175"/>
        <v>H189083I6039JD-W</v>
      </c>
      <c r="C5550" s="1" t="s">
        <v>62</v>
      </c>
      <c r="D5550" s="1" t="s">
        <v>831</v>
      </c>
      <c r="E5550" s="1" t="s">
        <v>422</v>
      </c>
      <c r="F5550" s="1" t="s">
        <v>423</v>
      </c>
      <c r="G5550" s="1" t="s">
        <v>404</v>
      </c>
      <c r="H5550" s="1">
        <v>288</v>
      </c>
      <c r="I5550" s="3">
        <v>46287</v>
      </c>
      <c r="L5550" s="31">
        <v>46287.389024074073</v>
      </c>
      <c r="M5550" s="20">
        <v>12</v>
      </c>
      <c r="N5550" s="1">
        <v>7</v>
      </c>
    </row>
    <row r="5551" spans="1:14" x14ac:dyDescent="0.25">
      <c r="A5551" t="str">
        <f t="shared" si="174"/>
        <v>H189083H189083</v>
      </c>
      <c r="B5551" t="str">
        <f t="shared" si="175"/>
        <v>H189083I6039JD-W</v>
      </c>
      <c r="C5551" s="1" t="s">
        <v>62</v>
      </c>
      <c r="D5551" s="1" t="s">
        <v>831</v>
      </c>
      <c r="E5551" s="1" t="s">
        <v>422</v>
      </c>
      <c r="F5551" s="1" t="s">
        <v>423</v>
      </c>
      <c r="G5551" s="1" t="s">
        <v>404</v>
      </c>
      <c r="H5551" s="1">
        <v>288</v>
      </c>
      <c r="I5551" s="3">
        <v>46287</v>
      </c>
      <c r="L5551" s="31">
        <v>46287.389801770834</v>
      </c>
      <c r="M5551" s="20">
        <v>12</v>
      </c>
      <c r="N5551" s="1">
        <v>8</v>
      </c>
    </row>
    <row r="5552" spans="1:14" x14ac:dyDescent="0.25">
      <c r="A5552" t="str">
        <f t="shared" si="174"/>
        <v>H189083H189083</v>
      </c>
      <c r="B5552" t="str">
        <f t="shared" si="175"/>
        <v>H189083I6039JD-W</v>
      </c>
      <c r="C5552" s="1" t="s">
        <v>62</v>
      </c>
      <c r="D5552" s="1" t="s">
        <v>831</v>
      </c>
      <c r="E5552" s="1" t="s">
        <v>422</v>
      </c>
      <c r="F5552" s="1" t="s">
        <v>423</v>
      </c>
      <c r="G5552" s="1" t="s">
        <v>404</v>
      </c>
      <c r="H5552" s="1">
        <v>288</v>
      </c>
      <c r="I5552" s="3">
        <v>46287</v>
      </c>
      <c r="L5552" s="31">
        <v>46287.390728206017</v>
      </c>
      <c r="M5552" s="20">
        <v>12</v>
      </c>
      <c r="N5552" s="1">
        <v>13</v>
      </c>
    </row>
    <row r="5553" spans="1:14" x14ac:dyDescent="0.25">
      <c r="A5553" t="str">
        <f t="shared" si="174"/>
        <v>H189083H189083</v>
      </c>
      <c r="B5553" t="str">
        <f t="shared" si="175"/>
        <v>H189083I6039JD-W</v>
      </c>
      <c r="C5553" s="1" t="s">
        <v>62</v>
      </c>
      <c r="D5553" s="1" t="s">
        <v>831</v>
      </c>
      <c r="E5553" s="1" t="s">
        <v>422</v>
      </c>
      <c r="F5553" s="1" t="s">
        <v>423</v>
      </c>
      <c r="G5553" s="1" t="s">
        <v>404</v>
      </c>
      <c r="H5553" s="1">
        <v>288</v>
      </c>
      <c r="I5553" s="3">
        <v>46287</v>
      </c>
      <c r="L5553" s="31">
        <v>46287.406151770832</v>
      </c>
      <c r="M5553" s="20">
        <v>12</v>
      </c>
      <c r="N5553" s="1">
        <v>16</v>
      </c>
    </row>
    <row r="5554" spans="1:14" x14ac:dyDescent="0.25">
      <c r="A5554" t="str">
        <f t="shared" si="174"/>
        <v>H189083H189083</v>
      </c>
      <c r="B5554" t="str">
        <f t="shared" si="175"/>
        <v>H189083I6039JD-W</v>
      </c>
      <c r="C5554" s="1" t="s">
        <v>62</v>
      </c>
      <c r="D5554" s="1" t="s">
        <v>831</v>
      </c>
      <c r="E5554" s="1" t="s">
        <v>422</v>
      </c>
      <c r="F5554" s="1" t="s">
        <v>423</v>
      </c>
      <c r="G5554" s="1" t="s">
        <v>404</v>
      </c>
      <c r="H5554" s="1">
        <v>288</v>
      </c>
      <c r="I5554" s="3">
        <v>46287</v>
      </c>
      <c r="L5554" s="31">
        <v>46287.411719675925</v>
      </c>
      <c r="M5554" s="20">
        <v>12</v>
      </c>
      <c r="N5554" s="1">
        <v>14</v>
      </c>
    </row>
    <row r="5555" spans="1:14" x14ac:dyDescent="0.25">
      <c r="A5555" t="str">
        <f t="shared" si="174"/>
        <v>H189083H189083</v>
      </c>
      <c r="B5555" t="str">
        <f t="shared" si="175"/>
        <v>H189083I6039JD-W</v>
      </c>
      <c r="C5555" s="1" t="s">
        <v>62</v>
      </c>
      <c r="D5555" s="1" t="s">
        <v>831</v>
      </c>
      <c r="E5555" s="1" t="s">
        <v>422</v>
      </c>
      <c r="F5555" s="1" t="s">
        <v>423</v>
      </c>
      <c r="G5555" s="1" t="s">
        <v>404</v>
      </c>
      <c r="H5555" s="1">
        <v>288</v>
      </c>
      <c r="I5555" s="3">
        <v>46287</v>
      </c>
      <c r="L5555" s="31">
        <v>46287.412715011575</v>
      </c>
      <c r="M5555" s="20">
        <v>12</v>
      </c>
      <c r="N5555" s="1">
        <v>15</v>
      </c>
    </row>
    <row r="5556" spans="1:14" x14ac:dyDescent="0.25">
      <c r="A5556" t="str">
        <f t="shared" si="174"/>
        <v>H189083H189083</v>
      </c>
      <c r="B5556" t="str">
        <f t="shared" si="175"/>
        <v>H189083I6039JD-W</v>
      </c>
      <c r="C5556" s="1" t="s">
        <v>62</v>
      </c>
      <c r="D5556" s="1" t="s">
        <v>831</v>
      </c>
      <c r="E5556" s="1" t="s">
        <v>422</v>
      </c>
      <c r="F5556" s="1" t="s">
        <v>423</v>
      </c>
      <c r="G5556" s="1" t="s">
        <v>404</v>
      </c>
      <c r="H5556" s="1">
        <v>288</v>
      </c>
      <c r="I5556" s="3">
        <v>46287</v>
      </c>
      <c r="L5556" s="31">
        <v>46287.43089293981</v>
      </c>
      <c r="M5556" s="20">
        <v>12</v>
      </c>
      <c r="N5556" s="1">
        <v>17</v>
      </c>
    </row>
    <row r="5557" spans="1:14" x14ac:dyDescent="0.25">
      <c r="A5557" t="str">
        <f t="shared" si="174"/>
        <v>H189083H189083</v>
      </c>
      <c r="B5557" t="str">
        <f t="shared" si="175"/>
        <v>H189083I6039JD-W</v>
      </c>
      <c r="C5557" s="1" t="s">
        <v>62</v>
      </c>
      <c r="D5557" s="1" t="s">
        <v>831</v>
      </c>
      <c r="E5557" s="1" t="s">
        <v>422</v>
      </c>
      <c r="F5557" s="1" t="s">
        <v>423</v>
      </c>
      <c r="G5557" s="1" t="s">
        <v>404</v>
      </c>
      <c r="H5557" s="1">
        <v>288</v>
      </c>
      <c r="I5557" s="3">
        <v>46287</v>
      </c>
      <c r="L5557" s="31">
        <v>46287.600566203699</v>
      </c>
      <c r="M5557" s="20">
        <v>12</v>
      </c>
      <c r="N5557" s="1">
        <v>19</v>
      </c>
    </row>
    <row r="5558" spans="1:14" x14ac:dyDescent="0.25">
      <c r="A5558" t="str">
        <f t="shared" si="174"/>
        <v>H189083H189083</v>
      </c>
      <c r="B5558" t="str">
        <f t="shared" si="175"/>
        <v>H189083I6039JD-W</v>
      </c>
      <c r="C5558" s="1" t="s">
        <v>62</v>
      </c>
      <c r="D5558" s="1" t="s">
        <v>831</v>
      </c>
      <c r="E5558" s="1" t="s">
        <v>422</v>
      </c>
      <c r="F5558" s="1" t="s">
        <v>423</v>
      </c>
      <c r="G5558" s="1" t="s">
        <v>404</v>
      </c>
      <c r="H5558" s="1">
        <v>288</v>
      </c>
      <c r="I5558" s="3">
        <v>46287</v>
      </c>
      <c r="L5558" s="31">
        <v>46287.616522800927</v>
      </c>
      <c r="M5558" s="20">
        <v>12</v>
      </c>
      <c r="N5558" s="1">
        <v>21</v>
      </c>
    </row>
    <row r="5559" spans="1:14" x14ac:dyDescent="0.25">
      <c r="A5559" t="str">
        <f t="shared" si="174"/>
        <v>H189083H189083</v>
      </c>
      <c r="B5559" t="str">
        <f t="shared" si="175"/>
        <v>H189083I6039JD-W</v>
      </c>
      <c r="C5559" s="1" t="s">
        <v>62</v>
      </c>
      <c r="D5559" s="1" t="s">
        <v>831</v>
      </c>
      <c r="E5559" s="1" t="s">
        <v>422</v>
      </c>
      <c r="F5559" s="1" t="s">
        <v>423</v>
      </c>
      <c r="G5559" s="1" t="s">
        <v>404</v>
      </c>
      <c r="H5559" s="1">
        <v>288</v>
      </c>
      <c r="I5559" s="3">
        <v>46287</v>
      </c>
      <c r="L5559" s="31">
        <v>46287.616921261571</v>
      </c>
      <c r="M5559" s="20">
        <v>12</v>
      </c>
      <c r="N5559" s="1">
        <v>9</v>
      </c>
    </row>
    <row r="5560" spans="1:14" x14ac:dyDescent="0.25">
      <c r="A5560" t="str">
        <f t="shared" si="174"/>
        <v>H189083H189083</v>
      </c>
      <c r="B5560" t="str">
        <f t="shared" si="175"/>
        <v>H189083I6039JD-W</v>
      </c>
      <c r="C5560" s="1" t="s">
        <v>62</v>
      </c>
      <c r="D5560" s="1" t="s">
        <v>831</v>
      </c>
      <c r="E5560" s="1" t="s">
        <v>422</v>
      </c>
      <c r="F5560" s="1" t="s">
        <v>423</v>
      </c>
      <c r="G5560" s="1" t="s">
        <v>404</v>
      </c>
      <c r="H5560" s="1">
        <v>288</v>
      </c>
      <c r="I5560" s="3">
        <v>46287</v>
      </c>
      <c r="L5560" s="31">
        <v>46287.62133923611</v>
      </c>
      <c r="M5560" s="20">
        <v>12</v>
      </c>
      <c r="N5560" s="1">
        <v>10</v>
      </c>
    </row>
    <row r="5561" spans="1:14" x14ac:dyDescent="0.25">
      <c r="A5561" t="str">
        <f t="shared" si="174"/>
        <v>H189083H189083</v>
      </c>
      <c r="B5561" t="str">
        <f t="shared" si="175"/>
        <v>H189083I6039JD-W</v>
      </c>
      <c r="C5561" s="1" t="s">
        <v>62</v>
      </c>
      <c r="D5561" s="1" t="s">
        <v>831</v>
      </c>
      <c r="E5561" s="1" t="s">
        <v>422</v>
      </c>
      <c r="F5561" s="1" t="s">
        <v>423</v>
      </c>
      <c r="G5561" s="1" t="s">
        <v>404</v>
      </c>
      <c r="H5561" s="1">
        <v>288</v>
      </c>
      <c r="I5561" s="3">
        <v>46287</v>
      </c>
      <c r="L5561" s="31">
        <v>46287.636298807869</v>
      </c>
      <c r="M5561" s="20">
        <v>12</v>
      </c>
      <c r="N5561" s="1">
        <v>20</v>
      </c>
    </row>
    <row r="5562" spans="1:14" x14ac:dyDescent="0.25">
      <c r="A5562" t="str">
        <f t="shared" si="174"/>
        <v>H189083H189083</v>
      </c>
      <c r="B5562" t="str">
        <f t="shared" si="175"/>
        <v>H189083I6039JD-W</v>
      </c>
      <c r="C5562" s="1" t="s">
        <v>62</v>
      </c>
      <c r="D5562" s="1" t="s">
        <v>831</v>
      </c>
      <c r="E5562" s="1" t="s">
        <v>422</v>
      </c>
      <c r="F5562" s="1" t="s">
        <v>423</v>
      </c>
      <c r="G5562" s="1" t="s">
        <v>404</v>
      </c>
      <c r="H5562" s="1">
        <v>288</v>
      </c>
      <c r="I5562" s="3">
        <v>46287</v>
      </c>
      <c r="L5562" s="31">
        <v>46287.682938229162</v>
      </c>
      <c r="M5562" s="20">
        <v>12</v>
      </c>
      <c r="N5562" s="1">
        <v>3</v>
      </c>
    </row>
    <row r="5563" spans="1:14" x14ac:dyDescent="0.25">
      <c r="A5563" t="str">
        <f t="shared" si="174"/>
        <v>H189083H189083</v>
      </c>
      <c r="B5563" t="str">
        <f t="shared" si="175"/>
        <v>H189083I6039JD-W</v>
      </c>
      <c r="C5563" s="1" t="s">
        <v>62</v>
      </c>
      <c r="D5563" s="1" t="s">
        <v>831</v>
      </c>
      <c r="E5563" s="1" t="s">
        <v>422</v>
      </c>
      <c r="F5563" s="1" t="s">
        <v>423</v>
      </c>
      <c r="G5563" s="1" t="s">
        <v>404</v>
      </c>
      <c r="H5563" s="1">
        <v>288</v>
      </c>
      <c r="I5563" s="3">
        <v>46287</v>
      </c>
      <c r="L5563" s="31">
        <v>46287.686776157403</v>
      </c>
      <c r="M5563" s="20">
        <v>12</v>
      </c>
      <c r="N5563" s="1">
        <v>2</v>
      </c>
    </row>
    <row r="5564" spans="1:14" x14ac:dyDescent="0.25">
      <c r="A5564" t="str">
        <f t="shared" si="174"/>
        <v>H189083H189083</v>
      </c>
      <c r="B5564" t="str">
        <f t="shared" si="175"/>
        <v>H189083I6039JD-W</v>
      </c>
      <c r="C5564" s="1" t="s">
        <v>62</v>
      </c>
      <c r="D5564" s="1" t="s">
        <v>831</v>
      </c>
      <c r="E5564" s="1" t="s">
        <v>422</v>
      </c>
      <c r="F5564" s="1" t="s">
        <v>423</v>
      </c>
      <c r="G5564" s="1" t="s">
        <v>404</v>
      </c>
      <c r="H5564" s="1">
        <v>288</v>
      </c>
      <c r="I5564" s="3">
        <v>46287</v>
      </c>
      <c r="L5564" s="31">
        <v>46287.686933831013</v>
      </c>
      <c r="M5564" s="20">
        <v>12</v>
      </c>
      <c r="N5564" s="1">
        <v>22</v>
      </c>
    </row>
    <row r="5565" spans="1:14" x14ac:dyDescent="0.25">
      <c r="A5565" t="str">
        <f t="shared" si="174"/>
        <v>H189084H189084</v>
      </c>
      <c r="B5565" t="str">
        <f t="shared" si="175"/>
        <v>H189084I6039KY-W</v>
      </c>
      <c r="C5565" s="1" t="s">
        <v>61</v>
      </c>
      <c r="D5565" s="1" t="s">
        <v>849</v>
      </c>
      <c r="E5565" s="1" t="s">
        <v>422</v>
      </c>
      <c r="F5565" s="1" t="s">
        <v>423</v>
      </c>
      <c r="G5565" s="1" t="s">
        <v>404</v>
      </c>
      <c r="H5565" s="1">
        <v>1002</v>
      </c>
      <c r="I5565" s="3">
        <v>46287</v>
      </c>
      <c r="L5565" s="31">
        <v>46287.623820983797</v>
      </c>
      <c r="M5565" s="20">
        <v>12</v>
      </c>
      <c r="N5565" s="1">
        <v>2</v>
      </c>
    </row>
    <row r="5566" spans="1:14" x14ac:dyDescent="0.25">
      <c r="A5566" t="str">
        <f t="shared" si="174"/>
        <v>H189084H189084</v>
      </c>
      <c r="B5566" t="str">
        <f t="shared" si="175"/>
        <v>H189084I6039KY-W</v>
      </c>
      <c r="C5566" s="1" t="s">
        <v>61</v>
      </c>
      <c r="D5566" s="1" t="s">
        <v>849</v>
      </c>
      <c r="E5566" s="1" t="s">
        <v>422</v>
      </c>
      <c r="F5566" s="1" t="s">
        <v>423</v>
      </c>
      <c r="G5566" s="1" t="s">
        <v>404</v>
      </c>
      <c r="H5566" s="1">
        <v>1002</v>
      </c>
      <c r="I5566" s="3">
        <v>46287</v>
      </c>
      <c r="L5566" s="31">
        <v>46287.624132638884</v>
      </c>
      <c r="M5566" s="20">
        <v>12</v>
      </c>
      <c r="N5566" s="1">
        <v>1</v>
      </c>
    </row>
    <row r="5567" spans="1:14" x14ac:dyDescent="0.25">
      <c r="A5567" t="str">
        <f t="shared" si="174"/>
        <v>H189084H189084</v>
      </c>
      <c r="B5567" t="str">
        <f t="shared" si="175"/>
        <v>H189084I6039KY-W</v>
      </c>
      <c r="C5567" s="1" t="s">
        <v>61</v>
      </c>
      <c r="D5567" s="1" t="s">
        <v>849</v>
      </c>
      <c r="E5567" s="1" t="s">
        <v>422</v>
      </c>
      <c r="F5567" s="1" t="s">
        <v>423</v>
      </c>
      <c r="G5567" s="1" t="s">
        <v>404</v>
      </c>
      <c r="H5567" s="1">
        <v>1002</v>
      </c>
      <c r="I5567" s="3">
        <v>46287</v>
      </c>
      <c r="L5567" s="31">
        <v>46287.62453306713</v>
      </c>
      <c r="M5567" s="20">
        <v>12</v>
      </c>
      <c r="N5567" s="1">
        <v>23</v>
      </c>
    </row>
    <row r="5568" spans="1:14" x14ac:dyDescent="0.25">
      <c r="A5568" t="str">
        <f t="shared" si="174"/>
        <v>H189084H189084</v>
      </c>
      <c r="B5568" t="str">
        <f t="shared" si="175"/>
        <v>H189084I6039KY-W</v>
      </c>
      <c r="C5568" s="1" t="s">
        <v>61</v>
      </c>
      <c r="D5568" s="1" t="s">
        <v>849</v>
      </c>
      <c r="E5568" s="1" t="s">
        <v>422</v>
      </c>
      <c r="F5568" s="1" t="s">
        <v>423</v>
      </c>
      <c r="G5568" s="1" t="s">
        <v>404</v>
      </c>
      <c r="H5568" s="1">
        <v>1002</v>
      </c>
      <c r="I5568" s="3">
        <v>46287</v>
      </c>
      <c r="L5568" s="31">
        <v>46287.647144062495</v>
      </c>
      <c r="M5568" s="20">
        <v>12</v>
      </c>
      <c r="N5568" s="1">
        <v>4</v>
      </c>
    </row>
    <row r="5569" spans="1:14" x14ac:dyDescent="0.25">
      <c r="A5569" t="str">
        <f t="shared" si="174"/>
        <v>H189084H189084</v>
      </c>
      <c r="B5569" t="str">
        <f t="shared" si="175"/>
        <v>H189084I6039KY-W</v>
      </c>
      <c r="C5569" s="1" t="s">
        <v>61</v>
      </c>
      <c r="D5569" s="1" t="s">
        <v>849</v>
      </c>
      <c r="E5569" s="1" t="s">
        <v>422</v>
      </c>
      <c r="F5569" s="1" t="s">
        <v>423</v>
      </c>
      <c r="G5569" s="1" t="s">
        <v>404</v>
      </c>
      <c r="H5569" s="1">
        <v>1002</v>
      </c>
      <c r="I5569" s="3">
        <v>46287</v>
      </c>
      <c r="L5569" s="31">
        <v>46287.647563969906</v>
      </c>
      <c r="M5569" s="20">
        <v>12</v>
      </c>
      <c r="N5569" s="1">
        <v>24</v>
      </c>
    </row>
    <row r="5570" spans="1:14" x14ac:dyDescent="0.25">
      <c r="A5570" t="str">
        <f t="shared" ref="A5570:A5633" si="176">+D5570&amp;D5570</f>
        <v>H189084H189084</v>
      </c>
      <c r="B5570" t="str">
        <f t="shared" ref="B5570:B5633" si="177">+D5570&amp;C5570</f>
        <v>H189084I6039KY-W</v>
      </c>
      <c r="C5570" s="1" t="s">
        <v>61</v>
      </c>
      <c r="D5570" s="1" t="s">
        <v>849</v>
      </c>
      <c r="E5570" s="1" t="s">
        <v>422</v>
      </c>
      <c r="F5570" s="1" t="s">
        <v>423</v>
      </c>
      <c r="G5570" s="1" t="s">
        <v>404</v>
      </c>
      <c r="H5570" s="1">
        <v>1002</v>
      </c>
      <c r="I5570" s="3">
        <v>46287</v>
      </c>
      <c r="L5570" s="31">
        <v>46287.654151192124</v>
      </c>
      <c r="M5570" s="20">
        <v>12</v>
      </c>
      <c r="N5570" s="1">
        <v>5</v>
      </c>
    </row>
    <row r="5571" spans="1:14" x14ac:dyDescent="0.25">
      <c r="A5571" t="str">
        <f t="shared" si="176"/>
        <v>H189084H189084</v>
      </c>
      <c r="B5571" t="str">
        <f t="shared" si="177"/>
        <v>H189084I6039KY-W</v>
      </c>
      <c r="C5571" s="1" t="s">
        <v>61</v>
      </c>
      <c r="D5571" s="1" t="s">
        <v>849</v>
      </c>
      <c r="E5571" s="1" t="s">
        <v>422</v>
      </c>
      <c r="F5571" s="1" t="s">
        <v>423</v>
      </c>
      <c r="G5571" s="1" t="s">
        <v>404</v>
      </c>
      <c r="H5571" s="1">
        <v>1002</v>
      </c>
      <c r="I5571" s="3">
        <v>46287</v>
      </c>
      <c r="L5571" s="31">
        <v>46287.681323032404</v>
      </c>
      <c r="M5571" s="20">
        <v>12</v>
      </c>
      <c r="N5571" s="1">
        <v>3</v>
      </c>
    </row>
    <row r="5572" spans="1:14" x14ac:dyDescent="0.25">
      <c r="A5572" t="str">
        <f t="shared" si="176"/>
        <v>H189084H189084</v>
      </c>
      <c r="B5572" t="str">
        <f t="shared" si="177"/>
        <v>H189084I6039KY-W</v>
      </c>
      <c r="C5572" s="1" t="s">
        <v>61</v>
      </c>
      <c r="D5572" s="1" t="s">
        <v>849</v>
      </c>
      <c r="E5572" s="1" t="s">
        <v>422</v>
      </c>
      <c r="F5572" s="1" t="s">
        <v>423</v>
      </c>
      <c r="G5572" s="1" t="s">
        <v>404</v>
      </c>
      <c r="H5572" s="1">
        <v>1002</v>
      </c>
      <c r="I5572" s="3">
        <v>46287</v>
      </c>
      <c r="L5572" s="31">
        <v>46287.681587465275</v>
      </c>
      <c r="M5572" s="20">
        <v>12</v>
      </c>
      <c r="N5572" s="1">
        <v>45</v>
      </c>
    </row>
    <row r="5573" spans="1:14" x14ac:dyDescent="0.25">
      <c r="A5573" t="str">
        <f t="shared" si="176"/>
        <v>H189084H189084</v>
      </c>
      <c r="B5573" t="str">
        <f t="shared" si="177"/>
        <v>H189084I6039KY-W</v>
      </c>
      <c r="C5573" s="1" t="s">
        <v>61</v>
      </c>
      <c r="D5573" s="1" t="s">
        <v>849</v>
      </c>
      <c r="E5573" s="1" t="s">
        <v>422</v>
      </c>
      <c r="F5573" s="1" t="s">
        <v>423</v>
      </c>
      <c r="G5573" s="1" t="s">
        <v>404</v>
      </c>
      <c r="H5573" s="1">
        <v>1002</v>
      </c>
      <c r="I5573" s="3">
        <v>46287</v>
      </c>
      <c r="L5573" s="31">
        <v>46287.681754513884</v>
      </c>
      <c r="M5573" s="20">
        <v>12</v>
      </c>
      <c r="N5573" s="1">
        <v>11</v>
      </c>
    </row>
    <row r="5574" spans="1:14" x14ac:dyDescent="0.25">
      <c r="A5574" t="str">
        <f t="shared" si="176"/>
        <v>H189084H189084</v>
      </c>
      <c r="B5574" t="str">
        <f t="shared" si="177"/>
        <v>H189084I6039KY-W</v>
      </c>
      <c r="C5574" s="1" t="s">
        <v>61</v>
      </c>
      <c r="D5574" s="1" t="s">
        <v>849</v>
      </c>
      <c r="E5574" s="1" t="s">
        <v>422</v>
      </c>
      <c r="F5574" s="1" t="s">
        <v>423</v>
      </c>
      <c r="G5574" s="1" t="s">
        <v>404</v>
      </c>
      <c r="H5574" s="1">
        <v>1002</v>
      </c>
      <c r="I5574" s="3">
        <v>46287</v>
      </c>
      <c r="L5574" s="31">
        <v>46287.681943599535</v>
      </c>
      <c r="M5574" s="20">
        <v>12</v>
      </c>
      <c r="N5574" s="1">
        <v>8</v>
      </c>
    </row>
    <row r="5575" spans="1:14" x14ac:dyDescent="0.25">
      <c r="A5575" t="str">
        <f t="shared" si="176"/>
        <v>H189084H189084</v>
      </c>
      <c r="B5575" t="str">
        <f t="shared" si="177"/>
        <v>H189084I6039KY-W</v>
      </c>
      <c r="C5575" s="1" t="s">
        <v>61</v>
      </c>
      <c r="D5575" s="1" t="s">
        <v>849</v>
      </c>
      <c r="E5575" s="1" t="s">
        <v>422</v>
      </c>
      <c r="F5575" s="1" t="s">
        <v>423</v>
      </c>
      <c r="G5575" s="1" t="s">
        <v>404</v>
      </c>
      <c r="H5575" s="1">
        <v>1002</v>
      </c>
      <c r="I5575" s="3">
        <v>46287</v>
      </c>
      <c r="L5575" s="31">
        <v>46287.682135034724</v>
      </c>
      <c r="M5575" s="20">
        <v>12</v>
      </c>
      <c r="N5575" s="1">
        <v>9</v>
      </c>
    </row>
    <row r="5576" spans="1:14" x14ac:dyDescent="0.25">
      <c r="A5576" t="str">
        <f t="shared" si="176"/>
        <v>H189101H189101</v>
      </c>
      <c r="B5576" t="str">
        <f t="shared" si="177"/>
        <v>H189101PV9060ER-M</v>
      </c>
      <c r="C5576" s="1" t="s">
        <v>807</v>
      </c>
      <c r="D5576" s="1" t="s">
        <v>853</v>
      </c>
      <c r="E5576" s="1" t="s">
        <v>414</v>
      </c>
      <c r="F5576" s="1" t="s">
        <v>415</v>
      </c>
      <c r="G5576" s="1" t="s">
        <v>404</v>
      </c>
      <c r="H5576" s="1">
        <v>300</v>
      </c>
      <c r="I5576" s="3">
        <v>46287</v>
      </c>
      <c r="L5576" s="31">
        <v>46287.678099884259</v>
      </c>
      <c r="M5576" s="20">
        <v>12</v>
      </c>
      <c r="N5576" s="1">
        <v>4</v>
      </c>
    </row>
    <row r="5577" spans="1:14" x14ac:dyDescent="0.25">
      <c r="A5577" t="str">
        <f t="shared" si="176"/>
        <v>H189101H189101</v>
      </c>
      <c r="B5577" t="str">
        <f t="shared" si="177"/>
        <v>H189101PV9060ER-M</v>
      </c>
      <c r="C5577" s="1" t="s">
        <v>807</v>
      </c>
      <c r="D5577" s="1" t="s">
        <v>853</v>
      </c>
      <c r="E5577" s="1" t="s">
        <v>414</v>
      </c>
      <c r="F5577" s="1" t="s">
        <v>415</v>
      </c>
      <c r="G5577" s="1" t="s">
        <v>404</v>
      </c>
      <c r="H5577" s="1">
        <v>300</v>
      </c>
      <c r="I5577" s="3">
        <v>46287</v>
      </c>
      <c r="L5577" s="31">
        <v>46287.678776238427</v>
      </c>
      <c r="M5577" s="20">
        <v>12</v>
      </c>
      <c r="N5577" s="1">
        <v>21</v>
      </c>
    </row>
    <row r="5578" spans="1:14" x14ac:dyDescent="0.25">
      <c r="A5578" t="str">
        <f t="shared" si="176"/>
        <v>H189101H189101</v>
      </c>
      <c r="B5578" t="str">
        <f t="shared" si="177"/>
        <v>H189101PV9060ER-M</v>
      </c>
      <c r="C5578" s="1" t="s">
        <v>807</v>
      </c>
      <c r="D5578" s="1" t="s">
        <v>853</v>
      </c>
      <c r="E5578" s="1" t="s">
        <v>414</v>
      </c>
      <c r="F5578" s="1" t="s">
        <v>415</v>
      </c>
      <c r="G5578" s="1" t="s">
        <v>404</v>
      </c>
      <c r="H5578" s="1">
        <v>300</v>
      </c>
      <c r="I5578" s="3">
        <v>46287</v>
      </c>
      <c r="L5578" s="31">
        <v>46287.679499965278</v>
      </c>
      <c r="M5578" s="20">
        <v>12</v>
      </c>
      <c r="N5578" s="1">
        <v>20</v>
      </c>
    </row>
    <row r="5579" spans="1:14" x14ac:dyDescent="0.25">
      <c r="A5579" t="str">
        <f t="shared" si="176"/>
        <v>H189101H189101</v>
      </c>
      <c r="B5579" t="str">
        <f t="shared" si="177"/>
        <v>H189101PV9060ER-M</v>
      </c>
      <c r="C5579" s="1" t="s">
        <v>807</v>
      </c>
      <c r="D5579" s="1" t="s">
        <v>853</v>
      </c>
      <c r="E5579" s="1" t="s">
        <v>414</v>
      </c>
      <c r="F5579" s="1" t="s">
        <v>415</v>
      </c>
      <c r="G5579" s="1" t="s">
        <v>404</v>
      </c>
      <c r="H5579" s="1">
        <v>300</v>
      </c>
      <c r="I5579" s="3">
        <v>46287</v>
      </c>
      <c r="L5579" s="31">
        <v>46287.690063159724</v>
      </c>
      <c r="M5579" s="20">
        <v>12</v>
      </c>
      <c r="N5579" s="1">
        <v>22</v>
      </c>
    </row>
    <row r="5580" spans="1:14" x14ac:dyDescent="0.25">
      <c r="A5580" t="str">
        <f t="shared" si="176"/>
        <v>H189101H189101</v>
      </c>
      <c r="B5580" t="str">
        <f t="shared" si="177"/>
        <v>H189101PV9060ER-M</v>
      </c>
      <c r="C5580" s="1" t="s">
        <v>807</v>
      </c>
      <c r="D5580" s="1" t="s">
        <v>853</v>
      </c>
      <c r="E5580" s="1" t="s">
        <v>414</v>
      </c>
      <c r="F5580" s="1" t="s">
        <v>415</v>
      </c>
      <c r="G5580" s="1" t="s">
        <v>404</v>
      </c>
      <c r="H5580" s="1">
        <v>300</v>
      </c>
      <c r="I5580" s="3">
        <v>46287</v>
      </c>
      <c r="L5580" s="31">
        <v>46287.690458645833</v>
      </c>
      <c r="M5580" s="20">
        <v>12</v>
      </c>
      <c r="N5580" s="1">
        <v>16</v>
      </c>
    </row>
    <row r="5581" spans="1:14" x14ac:dyDescent="0.25">
      <c r="A5581" t="str">
        <f t="shared" si="176"/>
        <v>H189101H189101</v>
      </c>
      <c r="B5581" t="str">
        <f t="shared" si="177"/>
        <v>H189101PV9060ER-M</v>
      </c>
      <c r="C5581" s="1" t="s">
        <v>807</v>
      </c>
      <c r="D5581" s="1" t="s">
        <v>853</v>
      </c>
      <c r="E5581" s="1" t="s">
        <v>414</v>
      </c>
      <c r="F5581" s="1" t="s">
        <v>415</v>
      </c>
      <c r="G5581" s="1" t="s">
        <v>404</v>
      </c>
      <c r="H5581" s="1">
        <v>300</v>
      </c>
      <c r="I5581" s="3">
        <v>46287</v>
      </c>
      <c r="L5581" s="31">
        <v>46287.691190590274</v>
      </c>
      <c r="M5581" s="20">
        <v>12</v>
      </c>
      <c r="N5581" s="1">
        <v>5</v>
      </c>
    </row>
    <row r="5582" spans="1:14" x14ac:dyDescent="0.25">
      <c r="A5582" t="str">
        <f t="shared" si="176"/>
        <v>H189101H189101</v>
      </c>
      <c r="B5582" t="str">
        <f t="shared" si="177"/>
        <v>H189101PV9060ER-M</v>
      </c>
      <c r="C5582" s="1" t="s">
        <v>807</v>
      </c>
      <c r="D5582" s="1" t="s">
        <v>853</v>
      </c>
      <c r="E5582" s="1" t="s">
        <v>414</v>
      </c>
      <c r="F5582" s="1" t="s">
        <v>415</v>
      </c>
      <c r="G5582" s="1" t="s">
        <v>404</v>
      </c>
      <c r="H5582" s="1">
        <v>300</v>
      </c>
      <c r="I5582" s="3">
        <v>46287</v>
      </c>
      <c r="L5582" s="31">
        <v>46287.695500891205</v>
      </c>
      <c r="M5582" s="20">
        <v>12</v>
      </c>
      <c r="N5582" s="1">
        <v>12</v>
      </c>
    </row>
    <row r="5583" spans="1:14" x14ac:dyDescent="0.25">
      <c r="A5583" t="str">
        <f t="shared" si="176"/>
        <v>H189125H189125</v>
      </c>
      <c r="B5583" t="str">
        <f t="shared" si="177"/>
        <v>H189125P204L8K2-M</v>
      </c>
      <c r="C5583" s="1" t="s">
        <v>14</v>
      </c>
      <c r="D5583" s="1" t="s">
        <v>850</v>
      </c>
      <c r="E5583" s="1" t="s">
        <v>2298</v>
      </c>
      <c r="F5583" s="1" t="s">
        <v>2299</v>
      </c>
      <c r="G5583" s="1" t="s">
        <v>404</v>
      </c>
      <c r="H5583" s="1">
        <v>912</v>
      </c>
      <c r="I5583" s="3">
        <v>46287</v>
      </c>
      <c r="L5583" s="31">
        <v>46287.635579861111</v>
      </c>
      <c r="M5583" s="20">
        <v>12</v>
      </c>
      <c r="N5583" s="1">
        <v>52</v>
      </c>
    </row>
    <row r="5584" spans="1:14" x14ac:dyDescent="0.25">
      <c r="A5584" t="str">
        <f t="shared" si="176"/>
        <v>H189125H189125</v>
      </c>
      <c r="B5584" t="str">
        <f t="shared" si="177"/>
        <v>H189125P204L8K2-M</v>
      </c>
      <c r="C5584" s="1" t="s">
        <v>14</v>
      </c>
      <c r="D5584" s="1" t="s">
        <v>850</v>
      </c>
      <c r="E5584" s="1" t="s">
        <v>2298</v>
      </c>
      <c r="F5584" s="1" t="s">
        <v>2299</v>
      </c>
      <c r="G5584" s="1" t="s">
        <v>404</v>
      </c>
      <c r="H5584" s="1">
        <v>912</v>
      </c>
      <c r="I5584" s="3">
        <v>46287</v>
      </c>
      <c r="L5584" s="31">
        <v>46287.643491354167</v>
      </c>
      <c r="M5584" s="20">
        <v>12</v>
      </c>
      <c r="N5584" s="1">
        <v>7</v>
      </c>
    </row>
    <row r="5585" spans="1:14" x14ac:dyDescent="0.25">
      <c r="A5585" t="str">
        <f t="shared" si="176"/>
        <v>H189125H189125</v>
      </c>
      <c r="B5585" t="str">
        <f t="shared" si="177"/>
        <v>H189125P204L8K2-M</v>
      </c>
      <c r="C5585" s="1" t="s">
        <v>14</v>
      </c>
      <c r="D5585" s="1" t="s">
        <v>850</v>
      </c>
      <c r="E5585" s="1" t="s">
        <v>2298</v>
      </c>
      <c r="F5585" s="1" t="s">
        <v>2299</v>
      </c>
      <c r="G5585" s="1" t="s">
        <v>404</v>
      </c>
      <c r="H5585" s="1">
        <v>912</v>
      </c>
      <c r="I5585" s="3">
        <v>46287</v>
      </c>
      <c r="L5585" s="31">
        <v>46287.645104710646</v>
      </c>
      <c r="M5585" s="20">
        <v>12</v>
      </c>
      <c r="N5585" s="1">
        <v>29</v>
      </c>
    </row>
    <row r="5586" spans="1:14" x14ac:dyDescent="0.25">
      <c r="A5586" t="str">
        <f t="shared" si="176"/>
        <v>H189125H189125</v>
      </c>
      <c r="B5586" t="str">
        <f t="shared" si="177"/>
        <v>H189125P204L8K2-M</v>
      </c>
      <c r="C5586" s="1" t="s">
        <v>14</v>
      </c>
      <c r="D5586" s="1" t="s">
        <v>850</v>
      </c>
      <c r="E5586" s="1" t="s">
        <v>2298</v>
      </c>
      <c r="F5586" s="1" t="s">
        <v>2299</v>
      </c>
      <c r="G5586" s="1" t="s">
        <v>404</v>
      </c>
      <c r="H5586" s="1">
        <v>912</v>
      </c>
      <c r="I5586" s="3">
        <v>46287</v>
      </c>
      <c r="L5586" s="31">
        <v>46287.663190358791</v>
      </c>
      <c r="M5586" s="20">
        <v>12</v>
      </c>
      <c r="N5586" s="1">
        <v>51</v>
      </c>
    </row>
    <row r="5587" spans="1:14" x14ac:dyDescent="0.25">
      <c r="A5587" t="str">
        <f t="shared" si="176"/>
        <v>H189125H189125</v>
      </c>
      <c r="B5587" t="str">
        <f t="shared" si="177"/>
        <v>H189125P204L8K2-M</v>
      </c>
      <c r="C5587" s="1" t="s">
        <v>14</v>
      </c>
      <c r="D5587" s="1" t="s">
        <v>850</v>
      </c>
      <c r="E5587" s="1" t="s">
        <v>2298</v>
      </c>
      <c r="F5587" s="1" t="s">
        <v>2299</v>
      </c>
      <c r="G5587" s="1" t="s">
        <v>404</v>
      </c>
      <c r="H5587" s="1">
        <v>912</v>
      </c>
      <c r="I5587" s="3">
        <v>46287</v>
      </c>
      <c r="L5587" s="31">
        <v>46287.666594328701</v>
      </c>
      <c r="M5587" s="20">
        <v>12</v>
      </c>
      <c r="N5587" s="1">
        <v>31</v>
      </c>
    </row>
    <row r="5588" spans="1:14" x14ac:dyDescent="0.25">
      <c r="A5588" t="str">
        <f t="shared" si="176"/>
        <v>H189125H189125</v>
      </c>
      <c r="B5588" t="str">
        <f t="shared" si="177"/>
        <v>H189125P204L8K2-M</v>
      </c>
      <c r="C5588" s="1" t="s">
        <v>14</v>
      </c>
      <c r="D5588" s="1" t="s">
        <v>850</v>
      </c>
      <c r="E5588" s="1" t="s">
        <v>2298</v>
      </c>
      <c r="F5588" s="1" t="s">
        <v>2299</v>
      </c>
      <c r="G5588" s="1" t="s">
        <v>404</v>
      </c>
      <c r="H5588" s="1">
        <v>912</v>
      </c>
      <c r="I5588" s="3">
        <v>46287</v>
      </c>
      <c r="L5588" s="31">
        <v>46287.66693954861</v>
      </c>
      <c r="M5588" s="20">
        <v>12</v>
      </c>
      <c r="N5588" s="1">
        <v>58</v>
      </c>
    </row>
    <row r="5589" spans="1:14" x14ac:dyDescent="0.25">
      <c r="A5589" t="str">
        <f t="shared" si="176"/>
        <v>H189125H189125</v>
      </c>
      <c r="B5589" t="str">
        <f t="shared" si="177"/>
        <v>H189125P204L8K2-M</v>
      </c>
      <c r="C5589" s="1" t="s">
        <v>14</v>
      </c>
      <c r="D5589" s="1" t="s">
        <v>850</v>
      </c>
      <c r="E5589" s="1" t="s">
        <v>2298</v>
      </c>
      <c r="F5589" s="1" t="s">
        <v>2299</v>
      </c>
      <c r="G5589" s="1" t="s">
        <v>404</v>
      </c>
      <c r="H5589" s="1">
        <v>912</v>
      </c>
      <c r="I5589" s="3">
        <v>46287</v>
      </c>
      <c r="L5589" s="31">
        <v>46287.667952465279</v>
      </c>
      <c r="M5589" s="20">
        <v>12</v>
      </c>
      <c r="N5589" s="1">
        <v>57</v>
      </c>
    </row>
    <row r="5590" spans="1:14" x14ac:dyDescent="0.25">
      <c r="A5590" t="str">
        <f t="shared" si="176"/>
        <v>H189125H189125</v>
      </c>
      <c r="B5590" t="str">
        <f t="shared" si="177"/>
        <v>H189125P204L8K2-M</v>
      </c>
      <c r="C5590" s="1" t="s">
        <v>14</v>
      </c>
      <c r="D5590" s="1" t="s">
        <v>850</v>
      </c>
      <c r="E5590" s="1" t="s">
        <v>2298</v>
      </c>
      <c r="F5590" s="1" t="s">
        <v>2299</v>
      </c>
      <c r="G5590" s="1" t="s">
        <v>404</v>
      </c>
      <c r="H5590" s="1">
        <v>912</v>
      </c>
      <c r="I5590" s="3">
        <v>46287</v>
      </c>
      <c r="L5590" s="31">
        <v>46287.669274305554</v>
      </c>
      <c r="M5590" s="20">
        <v>12</v>
      </c>
      <c r="N5590" s="1">
        <v>53</v>
      </c>
    </row>
    <row r="5591" spans="1:14" x14ac:dyDescent="0.25">
      <c r="A5591" t="str">
        <f t="shared" si="176"/>
        <v>H189125H189125</v>
      </c>
      <c r="B5591" t="str">
        <f t="shared" si="177"/>
        <v>H189125P204L8K2-M</v>
      </c>
      <c r="C5591" s="1" t="s">
        <v>14</v>
      </c>
      <c r="D5591" s="1" t="s">
        <v>850</v>
      </c>
      <c r="E5591" s="1" t="s">
        <v>2298</v>
      </c>
      <c r="F5591" s="1" t="s">
        <v>2299</v>
      </c>
      <c r="G5591" s="1" t="s">
        <v>404</v>
      </c>
      <c r="H5591" s="1">
        <v>912</v>
      </c>
      <c r="I5591" s="3">
        <v>46287</v>
      </c>
      <c r="L5591" s="31">
        <v>46287.670364965277</v>
      </c>
      <c r="M5591" s="20">
        <v>12</v>
      </c>
      <c r="N5591" s="1">
        <v>56</v>
      </c>
    </row>
    <row r="5592" spans="1:14" x14ac:dyDescent="0.25">
      <c r="A5592" t="str">
        <f t="shared" si="176"/>
        <v>H189125H189125</v>
      </c>
      <c r="B5592" t="str">
        <f t="shared" si="177"/>
        <v>H189125P204L8K2-M</v>
      </c>
      <c r="C5592" s="1" t="s">
        <v>14</v>
      </c>
      <c r="D5592" s="1" t="s">
        <v>850</v>
      </c>
      <c r="E5592" s="1" t="s">
        <v>2298</v>
      </c>
      <c r="F5592" s="1" t="s">
        <v>2299</v>
      </c>
      <c r="G5592" s="1" t="s">
        <v>404</v>
      </c>
      <c r="H5592" s="1">
        <v>912</v>
      </c>
      <c r="I5592" s="3">
        <v>46287</v>
      </c>
      <c r="L5592" s="31">
        <v>46287.670919791664</v>
      </c>
      <c r="M5592" s="20">
        <v>12</v>
      </c>
      <c r="N5592" s="1">
        <v>8</v>
      </c>
    </row>
    <row r="5593" spans="1:14" x14ac:dyDescent="0.25">
      <c r="A5593" t="str">
        <f t="shared" si="176"/>
        <v>H189125H189125</v>
      </c>
      <c r="B5593" t="str">
        <f t="shared" si="177"/>
        <v>H189125P204L8K2-M</v>
      </c>
      <c r="C5593" s="1" t="s">
        <v>14</v>
      </c>
      <c r="D5593" s="1" t="s">
        <v>850</v>
      </c>
      <c r="E5593" s="1" t="s">
        <v>2298</v>
      </c>
      <c r="F5593" s="1" t="s">
        <v>2299</v>
      </c>
      <c r="G5593" s="1" t="s">
        <v>404</v>
      </c>
      <c r="H5593" s="1">
        <v>912</v>
      </c>
      <c r="I5593" s="3">
        <v>46287</v>
      </c>
      <c r="L5593" s="31">
        <v>46287.67125663194</v>
      </c>
      <c r="M5593" s="20">
        <v>12</v>
      </c>
      <c r="N5593" s="1">
        <v>55</v>
      </c>
    </row>
    <row r="5594" spans="1:14" x14ac:dyDescent="0.25">
      <c r="A5594" t="str">
        <f t="shared" si="176"/>
        <v>H189125H189125</v>
      </c>
      <c r="B5594" t="str">
        <f t="shared" si="177"/>
        <v>H189125P204L8K2-M</v>
      </c>
      <c r="C5594" s="1" t="s">
        <v>14</v>
      </c>
      <c r="D5594" s="1" t="s">
        <v>850</v>
      </c>
      <c r="E5594" s="1" t="s">
        <v>2298</v>
      </c>
      <c r="F5594" s="1" t="s">
        <v>2299</v>
      </c>
      <c r="G5594" s="1" t="s">
        <v>404</v>
      </c>
      <c r="H5594" s="1">
        <v>912</v>
      </c>
      <c r="I5594" s="3">
        <v>46287</v>
      </c>
      <c r="L5594" s="31">
        <v>46287.671791319444</v>
      </c>
      <c r="M5594" s="20">
        <v>12</v>
      </c>
      <c r="N5594" s="1">
        <v>30</v>
      </c>
    </row>
    <row r="5595" spans="1:14" x14ac:dyDescent="0.25">
      <c r="A5595" t="str">
        <f t="shared" si="176"/>
        <v>H189125H189125</v>
      </c>
      <c r="B5595" t="str">
        <f t="shared" si="177"/>
        <v>H189125P204L8K2-M</v>
      </c>
      <c r="C5595" s="1" t="s">
        <v>14</v>
      </c>
      <c r="D5595" s="1" t="s">
        <v>850</v>
      </c>
      <c r="E5595" s="1" t="s">
        <v>2298</v>
      </c>
      <c r="F5595" s="1" t="s">
        <v>2299</v>
      </c>
      <c r="G5595" s="1" t="s">
        <v>404</v>
      </c>
      <c r="H5595" s="1">
        <v>912</v>
      </c>
      <c r="I5595" s="3">
        <v>46287</v>
      </c>
      <c r="L5595" s="31">
        <v>46287.684918599538</v>
      </c>
      <c r="M5595" s="20">
        <v>12</v>
      </c>
      <c r="N5595" s="1">
        <v>54</v>
      </c>
    </row>
    <row r="5596" spans="1:14" x14ac:dyDescent="0.25">
      <c r="A5596" t="str">
        <f t="shared" si="176"/>
        <v>H189167H189167</v>
      </c>
      <c r="B5596" t="str">
        <f t="shared" si="177"/>
        <v>H189167IV9060ER-M</v>
      </c>
      <c r="C5596" s="1" t="s">
        <v>73</v>
      </c>
      <c r="D5596" s="1" t="s">
        <v>838</v>
      </c>
      <c r="E5596" s="1" t="s">
        <v>414</v>
      </c>
      <c r="F5596" s="1" t="s">
        <v>415</v>
      </c>
      <c r="G5596" s="1" t="s">
        <v>404</v>
      </c>
      <c r="H5596" s="1">
        <v>264</v>
      </c>
      <c r="I5596" s="3">
        <v>46287</v>
      </c>
      <c r="L5596" s="31">
        <v>46287.560961377312</v>
      </c>
      <c r="M5596" s="20">
        <v>12</v>
      </c>
      <c r="N5596" s="1">
        <v>2</v>
      </c>
    </row>
    <row r="5597" spans="1:14" x14ac:dyDescent="0.25">
      <c r="A5597" t="str">
        <f t="shared" si="176"/>
        <v>H189167H189167</v>
      </c>
      <c r="B5597" t="str">
        <f t="shared" si="177"/>
        <v>H189167IV9060ER-M</v>
      </c>
      <c r="C5597" s="1" t="s">
        <v>73</v>
      </c>
      <c r="D5597" s="1" t="s">
        <v>838</v>
      </c>
      <c r="E5597" s="1" t="s">
        <v>414</v>
      </c>
      <c r="F5597" s="1" t="s">
        <v>415</v>
      </c>
      <c r="G5597" s="1" t="s">
        <v>404</v>
      </c>
      <c r="H5597" s="1">
        <v>264</v>
      </c>
      <c r="I5597" s="3">
        <v>46287</v>
      </c>
      <c r="L5597" s="31">
        <v>46287.561125462962</v>
      </c>
      <c r="M5597" s="20">
        <v>12</v>
      </c>
      <c r="N5597" s="1">
        <v>14</v>
      </c>
    </row>
    <row r="5598" spans="1:14" x14ac:dyDescent="0.25">
      <c r="A5598" t="str">
        <f t="shared" si="176"/>
        <v>H189167H189167</v>
      </c>
      <c r="B5598" t="str">
        <f t="shared" si="177"/>
        <v>H189167IV9060ER-M</v>
      </c>
      <c r="C5598" s="1" t="s">
        <v>73</v>
      </c>
      <c r="D5598" s="1" t="s">
        <v>838</v>
      </c>
      <c r="E5598" s="1" t="s">
        <v>414</v>
      </c>
      <c r="F5598" s="1" t="s">
        <v>415</v>
      </c>
      <c r="G5598" s="1" t="s">
        <v>404</v>
      </c>
      <c r="H5598" s="1">
        <v>264</v>
      </c>
      <c r="I5598" s="3">
        <v>46287</v>
      </c>
      <c r="L5598" s="31">
        <v>46287.56130173611</v>
      </c>
      <c r="M5598" s="20">
        <v>12</v>
      </c>
      <c r="N5598" s="1">
        <v>19</v>
      </c>
    </row>
    <row r="5599" spans="1:14" x14ac:dyDescent="0.25">
      <c r="A5599" t="str">
        <f t="shared" si="176"/>
        <v>H189167H189167</v>
      </c>
      <c r="B5599" t="str">
        <f t="shared" si="177"/>
        <v>H189167IV9060ER-M</v>
      </c>
      <c r="C5599" s="1" t="s">
        <v>73</v>
      </c>
      <c r="D5599" s="1" t="s">
        <v>838</v>
      </c>
      <c r="E5599" s="1" t="s">
        <v>414</v>
      </c>
      <c r="F5599" s="1" t="s">
        <v>415</v>
      </c>
      <c r="G5599" s="1" t="s">
        <v>404</v>
      </c>
      <c r="H5599" s="1">
        <v>264</v>
      </c>
      <c r="I5599" s="3">
        <v>46287</v>
      </c>
      <c r="L5599" s="31">
        <v>46287.588322951386</v>
      </c>
      <c r="M5599" s="20">
        <v>12</v>
      </c>
      <c r="N5599" s="1">
        <v>9</v>
      </c>
    </row>
    <row r="5600" spans="1:14" x14ac:dyDescent="0.25">
      <c r="A5600" t="str">
        <f t="shared" si="176"/>
        <v>H189167H189167</v>
      </c>
      <c r="B5600" t="str">
        <f t="shared" si="177"/>
        <v>H189167IV9060ER-M</v>
      </c>
      <c r="C5600" s="1" t="s">
        <v>73</v>
      </c>
      <c r="D5600" s="1" t="s">
        <v>838</v>
      </c>
      <c r="E5600" s="1" t="s">
        <v>414</v>
      </c>
      <c r="F5600" s="1" t="s">
        <v>415</v>
      </c>
      <c r="G5600" s="1" t="s">
        <v>404</v>
      </c>
      <c r="H5600" s="1">
        <v>264</v>
      </c>
      <c r="I5600" s="3">
        <v>46287</v>
      </c>
      <c r="L5600" s="31">
        <v>46287.588499074074</v>
      </c>
      <c r="M5600" s="20">
        <v>12</v>
      </c>
      <c r="N5600" s="1">
        <v>4</v>
      </c>
    </row>
    <row r="5601" spans="1:14" x14ac:dyDescent="0.25">
      <c r="A5601" t="str">
        <f t="shared" si="176"/>
        <v>H189167H189167</v>
      </c>
      <c r="B5601" t="str">
        <f t="shared" si="177"/>
        <v>H189167IV9060ER-M</v>
      </c>
      <c r="C5601" s="1" t="s">
        <v>73</v>
      </c>
      <c r="D5601" s="1" t="s">
        <v>838</v>
      </c>
      <c r="E5601" s="1" t="s">
        <v>414</v>
      </c>
      <c r="F5601" s="1" t="s">
        <v>415</v>
      </c>
      <c r="G5601" s="1" t="s">
        <v>404</v>
      </c>
      <c r="H5601" s="1">
        <v>264</v>
      </c>
      <c r="I5601" s="3">
        <v>46287</v>
      </c>
      <c r="L5601" s="31">
        <v>46287.589076770833</v>
      </c>
      <c r="M5601" s="20">
        <v>12</v>
      </c>
      <c r="N5601" s="1">
        <v>18</v>
      </c>
    </row>
    <row r="5602" spans="1:14" x14ac:dyDescent="0.25">
      <c r="A5602" t="str">
        <f t="shared" si="176"/>
        <v>H189167H189167</v>
      </c>
      <c r="B5602" t="str">
        <f t="shared" si="177"/>
        <v>H189167IV9060ER-M</v>
      </c>
      <c r="C5602" s="1" t="s">
        <v>73</v>
      </c>
      <c r="D5602" s="1" t="s">
        <v>838</v>
      </c>
      <c r="E5602" s="1" t="s">
        <v>414</v>
      </c>
      <c r="F5602" s="1" t="s">
        <v>415</v>
      </c>
      <c r="G5602" s="1" t="s">
        <v>404</v>
      </c>
      <c r="H5602" s="1">
        <v>264</v>
      </c>
      <c r="I5602" s="3">
        <v>46287</v>
      </c>
      <c r="L5602" s="31">
        <v>46287.589251504629</v>
      </c>
      <c r="M5602" s="20">
        <v>12</v>
      </c>
      <c r="N5602" s="1">
        <v>17</v>
      </c>
    </row>
    <row r="5603" spans="1:14" x14ac:dyDescent="0.25">
      <c r="A5603" t="str">
        <f t="shared" si="176"/>
        <v>H189167H189167</v>
      </c>
      <c r="B5603" t="str">
        <f t="shared" si="177"/>
        <v>H189167IV9060ER-M</v>
      </c>
      <c r="C5603" s="1" t="s">
        <v>73</v>
      </c>
      <c r="D5603" s="1" t="s">
        <v>838</v>
      </c>
      <c r="E5603" s="1" t="s">
        <v>414</v>
      </c>
      <c r="F5603" s="1" t="s">
        <v>415</v>
      </c>
      <c r="G5603" s="1" t="s">
        <v>404</v>
      </c>
      <c r="H5603" s="1">
        <v>264</v>
      </c>
      <c r="I5603" s="3">
        <v>46287</v>
      </c>
      <c r="L5603" s="31">
        <v>46287.618072800928</v>
      </c>
      <c r="M5603" s="20">
        <v>12</v>
      </c>
      <c r="N5603" s="1">
        <v>15</v>
      </c>
    </row>
    <row r="5604" spans="1:14" x14ac:dyDescent="0.25">
      <c r="A5604" t="str">
        <f t="shared" si="176"/>
        <v>H189167H189167</v>
      </c>
      <c r="B5604" t="str">
        <f t="shared" si="177"/>
        <v>H189167IV9060ER-M</v>
      </c>
      <c r="C5604" s="1" t="s">
        <v>73</v>
      </c>
      <c r="D5604" s="1" t="s">
        <v>838</v>
      </c>
      <c r="E5604" s="1" t="s">
        <v>414</v>
      </c>
      <c r="F5604" s="1" t="s">
        <v>415</v>
      </c>
      <c r="G5604" s="1" t="s">
        <v>404</v>
      </c>
      <c r="H5604" s="1">
        <v>264</v>
      </c>
      <c r="I5604" s="3">
        <v>46287</v>
      </c>
      <c r="L5604" s="31">
        <v>46287.622049652775</v>
      </c>
      <c r="M5604" s="20">
        <v>12</v>
      </c>
      <c r="N5604" s="1">
        <v>5</v>
      </c>
    </row>
    <row r="5605" spans="1:14" x14ac:dyDescent="0.25">
      <c r="A5605" t="str">
        <f t="shared" si="176"/>
        <v>H189167H189167</v>
      </c>
      <c r="B5605" t="str">
        <f t="shared" si="177"/>
        <v>H189167IV9060ER-M</v>
      </c>
      <c r="C5605" s="1" t="s">
        <v>73</v>
      </c>
      <c r="D5605" s="1" t="s">
        <v>838</v>
      </c>
      <c r="E5605" s="1" t="s">
        <v>414</v>
      </c>
      <c r="F5605" s="1" t="s">
        <v>415</v>
      </c>
      <c r="G5605" s="1" t="s">
        <v>404</v>
      </c>
      <c r="H5605" s="1">
        <v>264</v>
      </c>
      <c r="I5605" s="3">
        <v>46287</v>
      </c>
      <c r="L5605" s="31">
        <v>46287.649633368055</v>
      </c>
      <c r="M5605" s="20">
        <v>12</v>
      </c>
      <c r="N5605" s="1">
        <v>3</v>
      </c>
    </row>
    <row r="5606" spans="1:14" x14ac:dyDescent="0.25">
      <c r="A5606" t="str">
        <f t="shared" si="176"/>
        <v>H189870H189870</v>
      </c>
      <c r="B5606" t="str">
        <f t="shared" si="177"/>
        <v>H189870W51511Y-B</v>
      </c>
      <c r="C5606" s="1" t="s">
        <v>792</v>
      </c>
      <c r="D5606" s="1" t="s">
        <v>829</v>
      </c>
      <c r="E5606" s="1" t="s">
        <v>524</v>
      </c>
      <c r="F5606" s="1" t="s">
        <v>525</v>
      </c>
      <c r="G5606" s="1" t="s">
        <v>404</v>
      </c>
      <c r="H5606" s="1">
        <v>1158</v>
      </c>
      <c r="I5606" s="3">
        <v>46287</v>
      </c>
      <c r="L5606" s="31">
        <v>46287.33018730324</v>
      </c>
      <c r="M5606" s="20">
        <v>12</v>
      </c>
      <c r="N5606" s="1">
        <v>32</v>
      </c>
    </row>
    <row r="5607" spans="1:14" x14ac:dyDescent="0.25">
      <c r="A5607" t="str">
        <f t="shared" si="176"/>
        <v>H189870H189870</v>
      </c>
      <c r="B5607" t="str">
        <f t="shared" si="177"/>
        <v>H189870W51511Y-B</v>
      </c>
      <c r="C5607" s="1" t="s">
        <v>792</v>
      </c>
      <c r="D5607" s="1" t="s">
        <v>829</v>
      </c>
      <c r="E5607" s="1" t="s">
        <v>524</v>
      </c>
      <c r="F5607" s="1" t="s">
        <v>525</v>
      </c>
      <c r="G5607" s="1" t="s">
        <v>404</v>
      </c>
      <c r="H5607" s="1">
        <v>1158</v>
      </c>
      <c r="I5607" s="3">
        <v>46287</v>
      </c>
      <c r="L5607" s="31">
        <v>46287.332951655088</v>
      </c>
      <c r="M5607" s="20">
        <v>12</v>
      </c>
      <c r="N5607" s="1">
        <v>15</v>
      </c>
    </row>
    <row r="5608" spans="1:14" x14ac:dyDescent="0.25">
      <c r="A5608" t="str">
        <f t="shared" si="176"/>
        <v>H189870H189870</v>
      </c>
      <c r="B5608" t="str">
        <f t="shared" si="177"/>
        <v>H189870W51511Y-B</v>
      </c>
      <c r="C5608" s="1" t="s">
        <v>792</v>
      </c>
      <c r="D5608" s="1" t="s">
        <v>829</v>
      </c>
      <c r="E5608" s="1" t="s">
        <v>524</v>
      </c>
      <c r="F5608" s="1" t="s">
        <v>525</v>
      </c>
      <c r="G5608" s="1" t="s">
        <v>404</v>
      </c>
      <c r="H5608" s="1">
        <v>1158</v>
      </c>
      <c r="I5608" s="3">
        <v>46287</v>
      </c>
      <c r="L5608" s="31">
        <v>46287.333318206016</v>
      </c>
      <c r="M5608" s="20">
        <v>12</v>
      </c>
      <c r="N5608" s="1">
        <v>44</v>
      </c>
    </row>
    <row r="5609" spans="1:14" x14ac:dyDescent="0.25">
      <c r="A5609" t="str">
        <f t="shared" si="176"/>
        <v>H189870H189870</v>
      </c>
      <c r="B5609" t="str">
        <f t="shared" si="177"/>
        <v>H189870W51511Y-B</v>
      </c>
      <c r="C5609" s="1" t="s">
        <v>792</v>
      </c>
      <c r="D5609" s="1" t="s">
        <v>829</v>
      </c>
      <c r="E5609" s="1" t="s">
        <v>524</v>
      </c>
      <c r="F5609" s="1" t="s">
        <v>525</v>
      </c>
      <c r="G5609" s="1" t="s">
        <v>404</v>
      </c>
      <c r="H5609" s="1">
        <v>1158</v>
      </c>
      <c r="I5609" s="3">
        <v>46287</v>
      </c>
      <c r="L5609" s="31">
        <v>46287.333572835647</v>
      </c>
      <c r="M5609" s="20">
        <v>12</v>
      </c>
      <c r="N5609" s="1">
        <v>87</v>
      </c>
    </row>
    <row r="5610" spans="1:14" x14ac:dyDescent="0.25">
      <c r="A5610" t="str">
        <f t="shared" si="176"/>
        <v>H189870H189870</v>
      </c>
      <c r="B5610" t="str">
        <f t="shared" si="177"/>
        <v>H189870W51511Y-B</v>
      </c>
      <c r="C5610" s="1" t="s">
        <v>792</v>
      </c>
      <c r="D5610" s="1" t="s">
        <v>829</v>
      </c>
      <c r="E5610" s="1" t="s">
        <v>524</v>
      </c>
      <c r="F5610" s="1" t="s">
        <v>525</v>
      </c>
      <c r="G5610" s="1" t="s">
        <v>404</v>
      </c>
      <c r="H5610" s="1">
        <v>1158</v>
      </c>
      <c r="I5610" s="3">
        <v>46287</v>
      </c>
      <c r="L5610" s="31">
        <v>46287.340854166665</v>
      </c>
      <c r="M5610" s="20">
        <v>12</v>
      </c>
      <c r="N5610" s="1">
        <v>43</v>
      </c>
    </row>
    <row r="5611" spans="1:14" x14ac:dyDescent="0.25">
      <c r="A5611" t="str">
        <f t="shared" si="176"/>
        <v>H189870H189870</v>
      </c>
      <c r="B5611" t="str">
        <f t="shared" si="177"/>
        <v>H189870W51511Y-B</v>
      </c>
      <c r="C5611" s="1" t="s">
        <v>792</v>
      </c>
      <c r="D5611" s="1" t="s">
        <v>829</v>
      </c>
      <c r="E5611" s="1" t="s">
        <v>524</v>
      </c>
      <c r="F5611" s="1" t="s">
        <v>525</v>
      </c>
      <c r="G5611" s="1" t="s">
        <v>404</v>
      </c>
      <c r="H5611" s="1">
        <v>1158</v>
      </c>
      <c r="I5611" s="3">
        <v>46287</v>
      </c>
      <c r="L5611" s="31">
        <v>46287.341057951387</v>
      </c>
      <c r="M5611" s="20">
        <v>12</v>
      </c>
      <c r="N5611" s="1">
        <v>14</v>
      </c>
    </row>
    <row r="5612" spans="1:14" x14ac:dyDescent="0.25">
      <c r="A5612" t="str">
        <f t="shared" si="176"/>
        <v>H189870H189870</v>
      </c>
      <c r="B5612" t="str">
        <f t="shared" si="177"/>
        <v>H189870W51511Y-B</v>
      </c>
      <c r="C5612" s="1" t="s">
        <v>792</v>
      </c>
      <c r="D5612" s="1" t="s">
        <v>829</v>
      </c>
      <c r="E5612" s="1" t="s">
        <v>524</v>
      </c>
      <c r="F5612" s="1" t="s">
        <v>525</v>
      </c>
      <c r="G5612" s="1" t="s">
        <v>404</v>
      </c>
      <c r="H5612" s="1">
        <v>1158</v>
      </c>
      <c r="I5612" s="3">
        <v>46287</v>
      </c>
      <c r="L5612" s="31">
        <v>46287.341568020835</v>
      </c>
      <c r="M5612" s="20">
        <v>12</v>
      </c>
      <c r="N5612" s="1">
        <v>70</v>
      </c>
    </row>
    <row r="5613" spans="1:14" x14ac:dyDescent="0.25">
      <c r="A5613" t="str">
        <f t="shared" si="176"/>
        <v>H189870H189870</v>
      </c>
      <c r="B5613" t="str">
        <f t="shared" si="177"/>
        <v>H189870W51511Y-B</v>
      </c>
      <c r="C5613" s="1" t="s">
        <v>792</v>
      </c>
      <c r="D5613" s="1" t="s">
        <v>829</v>
      </c>
      <c r="E5613" s="1" t="s">
        <v>524</v>
      </c>
      <c r="F5613" s="1" t="s">
        <v>525</v>
      </c>
      <c r="G5613" s="1" t="s">
        <v>404</v>
      </c>
      <c r="H5613" s="1">
        <v>1158</v>
      </c>
      <c r="I5613" s="3">
        <v>46287</v>
      </c>
      <c r="L5613" s="31">
        <v>46287.359594525464</v>
      </c>
      <c r="M5613" s="20">
        <v>12</v>
      </c>
      <c r="N5613" s="1">
        <v>16</v>
      </c>
    </row>
    <row r="5614" spans="1:14" x14ac:dyDescent="0.25">
      <c r="A5614" t="str">
        <f t="shared" si="176"/>
        <v>H189870H189870</v>
      </c>
      <c r="B5614" t="str">
        <f t="shared" si="177"/>
        <v>H189870W51511Y-B</v>
      </c>
      <c r="C5614" s="1" t="s">
        <v>792</v>
      </c>
      <c r="D5614" s="1" t="s">
        <v>829</v>
      </c>
      <c r="E5614" s="1" t="s">
        <v>524</v>
      </c>
      <c r="F5614" s="1" t="s">
        <v>525</v>
      </c>
      <c r="G5614" s="1" t="s">
        <v>404</v>
      </c>
      <c r="H5614" s="1">
        <v>1158</v>
      </c>
      <c r="I5614" s="3">
        <v>46287</v>
      </c>
      <c r="L5614" s="31">
        <v>46287.359780474537</v>
      </c>
      <c r="M5614" s="20">
        <v>12</v>
      </c>
      <c r="N5614" s="1">
        <v>42</v>
      </c>
    </row>
    <row r="5615" spans="1:14" x14ac:dyDescent="0.25">
      <c r="A5615" t="str">
        <f t="shared" si="176"/>
        <v>H189870H189870</v>
      </c>
      <c r="B5615" t="str">
        <f t="shared" si="177"/>
        <v>H189870W51511Y-B</v>
      </c>
      <c r="C5615" s="1" t="s">
        <v>792</v>
      </c>
      <c r="D5615" s="1" t="s">
        <v>829</v>
      </c>
      <c r="E5615" s="1" t="s">
        <v>524</v>
      </c>
      <c r="F5615" s="1" t="s">
        <v>525</v>
      </c>
      <c r="G5615" s="1" t="s">
        <v>404</v>
      </c>
      <c r="H5615" s="1">
        <v>1158</v>
      </c>
      <c r="I5615" s="3">
        <v>46287</v>
      </c>
      <c r="L5615" s="31">
        <v>46287.359981597219</v>
      </c>
      <c r="M5615" s="20">
        <v>12</v>
      </c>
      <c r="N5615" s="1">
        <v>33</v>
      </c>
    </row>
    <row r="5616" spans="1:14" x14ac:dyDescent="0.25">
      <c r="A5616" t="str">
        <f t="shared" si="176"/>
        <v>H189870H189870</v>
      </c>
      <c r="B5616" t="str">
        <f t="shared" si="177"/>
        <v>H189870W51511Y-B</v>
      </c>
      <c r="C5616" s="1" t="s">
        <v>792</v>
      </c>
      <c r="D5616" s="1" t="s">
        <v>829</v>
      </c>
      <c r="E5616" s="1" t="s">
        <v>524</v>
      </c>
      <c r="F5616" s="1" t="s">
        <v>525</v>
      </c>
      <c r="G5616" s="1" t="s">
        <v>404</v>
      </c>
      <c r="H5616" s="1">
        <v>1158</v>
      </c>
      <c r="I5616" s="3">
        <v>46287</v>
      </c>
      <c r="L5616" s="31">
        <v>46287.377439664349</v>
      </c>
      <c r="M5616" s="20">
        <v>12</v>
      </c>
      <c r="N5616" s="1">
        <v>45</v>
      </c>
    </row>
    <row r="5617" spans="1:14" x14ac:dyDescent="0.25">
      <c r="A5617" t="str">
        <f t="shared" si="176"/>
        <v>H189870H189870</v>
      </c>
      <c r="B5617" t="str">
        <f t="shared" si="177"/>
        <v>H189870W51511Y-B</v>
      </c>
      <c r="C5617" s="1" t="s">
        <v>792</v>
      </c>
      <c r="D5617" s="1" t="s">
        <v>829</v>
      </c>
      <c r="E5617" s="1" t="s">
        <v>524</v>
      </c>
      <c r="F5617" s="1" t="s">
        <v>525</v>
      </c>
      <c r="G5617" s="1" t="s">
        <v>404</v>
      </c>
      <c r="H5617" s="1">
        <v>1158</v>
      </c>
      <c r="I5617" s="3">
        <v>46287</v>
      </c>
      <c r="L5617" s="31">
        <v>46287.37859255787</v>
      </c>
      <c r="M5617" s="20">
        <v>12</v>
      </c>
      <c r="N5617" s="1">
        <v>71</v>
      </c>
    </row>
    <row r="5618" spans="1:14" x14ac:dyDescent="0.25">
      <c r="A5618" t="str">
        <f t="shared" si="176"/>
        <v>H189870H189870</v>
      </c>
      <c r="B5618" t="str">
        <f t="shared" si="177"/>
        <v>H189870W51511Y-B</v>
      </c>
      <c r="C5618" s="1" t="s">
        <v>792</v>
      </c>
      <c r="D5618" s="1" t="s">
        <v>829</v>
      </c>
      <c r="E5618" s="1" t="s">
        <v>524</v>
      </c>
      <c r="F5618" s="1" t="s">
        <v>525</v>
      </c>
      <c r="G5618" s="1" t="s">
        <v>404</v>
      </c>
      <c r="H5618" s="1">
        <v>1158</v>
      </c>
      <c r="I5618" s="3">
        <v>46287</v>
      </c>
      <c r="L5618" s="31">
        <v>46287.395877743053</v>
      </c>
      <c r="M5618" s="20">
        <v>12</v>
      </c>
      <c r="N5618" s="1">
        <v>34</v>
      </c>
    </row>
    <row r="5619" spans="1:14" x14ac:dyDescent="0.25">
      <c r="A5619" t="str">
        <f t="shared" si="176"/>
        <v>H189870H189870</v>
      </c>
      <c r="B5619" t="str">
        <f t="shared" si="177"/>
        <v>H189870W51511Y-B</v>
      </c>
      <c r="C5619" s="1" t="s">
        <v>792</v>
      </c>
      <c r="D5619" s="1" t="s">
        <v>829</v>
      </c>
      <c r="E5619" s="1" t="s">
        <v>524</v>
      </c>
      <c r="F5619" s="1" t="s">
        <v>525</v>
      </c>
      <c r="G5619" s="1" t="s">
        <v>404</v>
      </c>
      <c r="H5619" s="1">
        <v>1158</v>
      </c>
      <c r="I5619" s="3">
        <v>46287</v>
      </c>
      <c r="L5619" s="31">
        <v>46287.396267511569</v>
      </c>
      <c r="M5619" s="20">
        <v>12</v>
      </c>
      <c r="N5619" s="1">
        <v>17</v>
      </c>
    </row>
    <row r="5620" spans="1:14" x14ac:dyDescent="0.25">
      <c r="A5620" t="str">
        <f t="shared" si="176"/>
        <v>H189870H189870</v>
      </c>
      <c r="B5620" t="str">
        <f t="shared" si="177"/>
        <v>H189870W51511Y-B</v>
      </c>
      <c r="C5620" s="1" t="s">
        <v>792</v>
      </c>
      <c r="D5620" s="1" t="s">
        <v>829</v>
      </c>
      <c r="E5620" s="1" t="s">
        <v>524</v>
      </c>
      <c r="F5620" s="1" t="s">
        <v>525</v>
      </c>
      <c r="G5620" s="1" t="s">
        <v>404</v>
      </c>
      <c r="H5620" s="1">
        <v>1158</v>
      </c>
      <c r="I5620" s="3">
        <v>46287</v>
      </c>
      <c r="L5620" s="31">
        <v>46287.406547372681</v>
      </c>
      <c r="M5620" s="20">
        <v>12</v>
      </c>
      <c r="N5620" s="1">
        <v>72</v>
      </c>
    </row>
    <row r="5621" spans="1:14" x14ac:dyDescent="0.25">
      <c r="A5621" t="str">
        <f t="shared" si="176"/>
        <v>H189870H189870</v>
      </c>
      <c r="B5621" t="str">
        <f t="shared" si="177"/>
        <v>H189870W51511Y-B</v>
      </c>
      <c r="C5621" s="1" t="s">
        <v>792</v>
      </c>
      <c r="D5621" s="1" t="s">
        <v>829</v>
      </c>
      <c r="E5621" s="1" t="s">
        <v>524</v>
      </c>
      <c r="F5621" s="1" t="s">
        <v>525</v>
      </c>
      <c r="G5621" s="1" t="s">
        <v>404</v>
      </c>
      <c r="H5621" s="1">
        <v>1158</v>
      </c>
      <c r="I5621" s="3">
        <v>46287</v>
      </c>
      <c r="L5621" s="31">
        <v>46287.407805324074</v>
      </c>
      <c r="M5621" s="20">
        <v>12</v>
      </c>
      <c r="N5621" s="1">
        <v>10</v>
      </c>
    </row>
    <row r="5622" spans="1:14" x14ac:dyDescent="0.25">
      <c r="A5622" t="str">
        <f t="shared" si="176"/>
        <v>H189870H189870</v>
      </c>
      <c r="B5622" t="str">
        <f t="shared" si="177"/>
        <v>H189870W51511Y-B</v>
      </c>
      <c r="C5622" s="1" t="s">
        <v>792</v>
      </c>
      <c r="D5622" s="1" t="s">
        <v>829</v>
      </c>
      <c r="E5622" s="1" t="s">
        <v>524</v>
      </c>
      <c r="F5622" s="1" t="s">
        <v>525</v>
      </c>
      <c r="G5622" s="1" t="s">
        <v>404</v>
      </c>
      <c r="H5622" s="1">
        <v>1158</v>
      </c>
      <c r="I5622" s="3">
        <v>46287</v>
      </c>
      <c r="L5622" s="31">
        <v>46287.411195486107</v>
      </c>
      <c r="M5622" s="20">
        <v>12</v>
      </c>
      <c r="N5622" s="1">
        <v>18</v>
      </c>
    </row>
    <row r="5623" spans="1:14" x14ac:dyDescent="0.25">
      <c r="A5623" t="str">
        <f t="shared" si="176"/>
        <v>H189870H189870</v>
      </c>
      <c r="B5623" t="str">
        <f t="shared" si="177"/>
        <v>H189870W51511Y-B</v>
      </c>
      <c r="C5623" s="1" t="s">
        <v>792</v>
      </c>
      <c r="D5623" s="1" t="s">
        <v>829</v>
      </c>
      <c r="E5623" s="1" t="s">
        <v>524</v>
      </c>
      <c r="F5623" s="1" t="s">
        <v>525</v>
      </c>
      <c r="G5623" s="1" t="s">
        <v>404</v>
      </c>
      <c r="H5623" s="1">
        <v>1158</v>
      </c>
      <c r="I5623" s="3">
        <v>46287</v>
      </c>
      <c r="L5623" s="31">
        <v>46287.41152700231</v>
      </c>
      <c r="M5623" s="20">
        <v>12</v>
      </c>
      <c r="N5623" s="1">
        <v>46</v>
      </c>
    </row>
    <row r="5624" spans="1:14" x14ac:dyDescent="0.25">
      <c r="A5624" t="str">
        <f t="shared" si="176"/>
        <v>H189870H189870</v>
      </c>
      <c r="B5624" t="str">
        <f t="shared" si="177"/>
        <v>H189870W51511Y-B</v>
      </c>
      <c r="C5624" s="1" t="s">
        <v>792</v>
      </c>
      <c r="D5624" s="1" t="s">
        <v>829</v>
      </c>
      <c r="E5624" s="1" t="s">
        <v>524</v>
      </c>
      <c r="F5624" s="1" t="s">
        <v>525</v>
      </c>
      <c r="G5624" s="1" t="s">
        <v>404</v>
      </c>
      <c r="H5624" s="1">
        <v>1158</v>
      </c>
      <c r="I5624" s="3">
        <v>46287</v>
      </c>
      <c r="L5624" s="31">
        <v>46287.43313075231</v>
      </c>
      <c r="M5624" s="20">
        <v>12</v>
      </c>
      <c r="N5624" s="1">
        <v>19</v>
      </c>
    </row>
    <row r="5625" spans="1:14" x14ac:dyDescent="0.25">
      <c r="A5625" t="str">
        <f t="shared" si="176"/>
        <v>H189870H189870</v>
      </c>
      <c r="B5625" t="str">
        <f t="shared" si="177"/>
        <v>H189870W51511Y-B</v>
      </c>
      <c r="C5625" s="1" t="s">
        <v>792</v>
      </c>
      <c r="D5625" s="1" t="s">
        <v>829</v>
      </c>
      <c r="E5625" s="1" t="s">
        <v>524</v>
      </c>
      <c r="F5625" s="1" t="s">
        <v>525</v>
      </c>
      <c r="G5625" s="1" t="s">
        <v>404</v>
      </c>
      <c r="H5625" s="1">
        <v>1158</v>
      </c>
      <c r="I5625" s="3">
        <v>46287</v>
      </c>
      <c r="L5625" s="31">
        <v>46287.438389583331</v>
      </c>
      <c r="M5625" s="20">
        <v>12</v>
      </c>
      <c r="N5625" s="1">
        <v>47</v>
      </c>
    </row>
    <row r="5626" spans="1:14" x14ac:dyDescent="0.25">
      <c r="A5626" t="str">
        <f t="shared" si="176"/>
        <v>H189870H189870</v>
      </c>
      <c r="B5626" t="str">
        <f t="shared" si="177"/>
        <v>H189870W51511Y-B</v>
      </c>
      <c r="C5626" s="1" t="s">
        <v>792</v>
      </c>
      <c r="D5626" s="1" t="s">
        <v>829</v>
      </c>
      <c r="E5626" s="1" t="s">
        <v>524</v>
      </c>
      <c r="F5626" s="1" t="s">
        <v>525</v>
      </c>
      <c r="G5626" s="1" t="s">
        <v>404</v>
      </c>
      <c r="H5626" s="1">
        <v>1158</v>
      </c>
      <c r="I5626" s="3">
        <v>46287</v>
      </c>
      <c r="L5626" s="31">
        <v>46287.444375613421</v>
      </c>
      <c r="M5626" s="20">
        <v>12</v>
      </c>
      <c r="N5626" s="1">
        <v>1</v>
      </c>
    </row>
    <row r="5627" spans="1:14" x14ac:dyDescent="0.25">
      <c r="A5627" t="str">
        <f t="shared" si="176"/>
        <v>H189870H189870</v>
      </c>
      <c r="B5627" t="str">
        <f t="shared" si="177"/>
        <v>H189870W51511Y-B</v>
      </c>
      <c r="C5627" s="1" t="s">
        <v>792</v>
      </c>
      <c r="D5627" s="1" t="s">
        <v>829</v>
      </c>
      <c r="E5627" s="1" t="s">
        <v>524</v>
      </c>
      <c r="F5627" s="1" t="s">
        <v>525</v>
      </c>
      <c r="G5627" s="1" t="s">
        <v>404</v>
      </c>
      <c r="H5627" s="1">
        <v>1158</v>
      </c>
      <c r="I5627" s="3">
        <v>46287</v>
      </c>
      <c r="L5627" s="31">
        <v>46287.61070153935</v>
      </c>
      <c r="M5627" s="20">
        <v>12</v>
      </c>
      <c r="N5627" s="1">
        <v>35</v>
      </c>
    </row>
    <row r="5628" spans="1:14" x14ac:dyDescent="0.25">
      <c r="A5628" t="str">
        <f t="shared" si="176"/>
        <v>H189870H189870</v>
      </c>
      <c r="B5628" t="str">
        <f t="shared" si="177"/>
        <v>H189870W51511Y-B</v>
      </c>
      <c r="C5628" s="1" t="s">
        <v>792</v>
      </c>
      <c r="D5628" s="1" t="s">
        <v>829</v>
      </c>
      <c r="E5628" s="1" t="s">
        <v>524</v>
      </c>
      <c r="F5628" s="1" t="s">
        <v>525</v>
      </c>
      <c r="G5628" s="1" t="s">
        <v>404</v>
      </c>
      <c r="H5628" s="1">
        <v>1158</v>
      </c>
      <c r="I5628" s="3">
        <v>46287</v>
      </c>
      <c r="L5628" s="31">
        <v>46287.631187233797</v>
      </c>
      <c r="M5628" s="20">
        <v>12</v>
      </c>
      <c r="N5628" s="1">
        <v>50</v>
      </c>
    </row>
    <row r="5629" spans="1:14" x14ac:dyDescent="0.25">
      <c r="A5629" t="str">
        <f t="shared" si="176"/>
        <v>H189870H189870</v>
      </c>
      <c r="B5629" t="str">
        <f t="shared" si="177"/>
        <v>H189870W51511Y-B</v>
      </c>
      <c r="C5629" s="1" t="s">
        <v>792</v>
      </c>
      <c r="D5629" s="1" t="s">
        <v>829</v>
      </c>
      <c r="E5629" s="1" t="s">
        <v>524</v>
      </c>
      <c r="F5629" s="1" t="s">
        <v>525</v>
      </c>
      <c r="G5629" s="1" t="s">
        <v>404</v>
      </c>
      <c r="H5629" s="1">
        <v>1158</v>
      </c>
      <c r="I5629" s="3">
        <v>46287</v>
      </c>
      <c r="L5629" s="31">
        <v>46287.643853124995</v>
      </c>
      <c r="M5629" s="20">
        <v>12</v>
      </c>
      <c r="N5629" s="1">
        <v>36</v>
      </c>
    </row>
    <row r="5630" spans="1:14" x14ac:dyDescent="0.25">
      <c r="A5630" t="str">
        <f t="shared" si="176"/>
        <v>H189870H189870</v>
      </c>
      <c r="B5630" t="str">
        <f t="shared" si="177"/>
        <v>H189870W51511Y-B</v>
      </c>
      <c r="C5630" s="1" t="s">
        <v>792</v>
      </c>
      <c r="D5630" s="1" t="s">
        <v>829</v>
      </c>
      <c r="E5630" s="1" t="s">
        <v>524</v>
      </c>
      <c r="F5630" s="1" t="s">
        <v>525</v>
      </c>
      <c r="G5630" s="1" t="s">
        <v>404</v>
      </c>
      <c r="H5630" s="1">
        <v>1158</v>
      </c>
      <c r="I5630" s="3">
        <v>46287</v>
      </c>
      <c r="L5630" s="31">
        <v>46287.644176932867</v>
      </c>
      <c r="M5630" s="20">
        <v>12</v>
      </c>
      <c r="N5630" s="1">
        <v>55</v>
      </c>
    </row>
    <row r="5631" spans="1:14" x14ac:dyDescent="0.25">
      <c r="A5631" t="str">
        <f t="shared" si="176"/>
        <v>H189870H189870</v>
      </c>
      <c r="B5631" t="str">
        <f t="shared" si="177"/>
        <v>H189870W51511Y-B</v>
      </c>
      <c r="C5631" s="1" t="s">
        <v>792</v>
      </c>
      <c r="D5631" s="1" t="s">
        <v>829</v>
      </c>
      <c r="E5631" s="1" t="s">
        <v>524</v>
      </c>
      <c r="F5631" s="1" t="s">
        <v>525</v>
      </c>
      <c r="G5631" s="1" t="s">
        <v>404</v>
      </c>
      <c r="H5631" s="1">
        <v>1158</v>
      </c>
      <c r="I5631" s="3">
        <v>46287</v>
      </c>
      <c r="L5631" s="31">
        <v>46287.645433912032</v>
      </c>
      <c r="M5631" s="20">
        <v>12</v>
      </c>
      <c r="N5631" s="1">
        <v>63</v>
      </c>
    </row>
    <row r="5632" spans="1:14" x14ac:dyDescent="0.25">
      <c r="A5632" t="str">
        <f t="shared" si="176"/>
        <v>H189870H189870</v>
      </c>
      <c r="B5632" t="str">
        <f t="shared" si="177"/>
        <v>H189870W51511Y-B</v>
      </c>
      <c r="C5632" s="1" t="s">
        <v>792</v>
      </c>
      <c r="D5632" s="1" t="s">
        <v>829</v>
      </c>
      <c r="E5632" s="1" t="s">
        <v>524</v>
      </c>
      <c r="F5632" s="1" t="s">
        <v>525</v>
      </c>
      <c r="G5632" s="1" t="s">
        <v>404</v>
      </c>
      <c r="H5632" s="1">
        <v>1158</v>
      </c>
      <c r="I5632" s="3">
        <v>46287</v>
      </c>
      <c r="L5632" s="31">
        <v>46287.659505787036</v>
      </c>
      <c r="M5632" s="20">
        <v>12</v>
      </c>
      <c r="N5632" s="1">
        <v>48</v>
      </c>
    </row>
    <row r="5633" spans="1:14" x14ac:dyDescent="0.25">
      <c r="A5633" t="str">
        <f t="shared" si="176"/>
        <v>H189870H189870</v>
      </c>
      <c r="B5633" t="str">
        <f t="shared" si="177"/>
        <v>H189870W51511Y-B</v>
      </c>
      <c r="C5633" s="1" t="s">
        <v>792</v>
      </c>
      <c r="D5633" s="1" t="s">
        <v>829</v>
      </c>
      <c r="E5633" s="1" t="s">
        <v>524</v>
      </c>
      <c r="F5633" s="1" t="s">
        <v>525</v>
      </c>
      <c r="G5633" s="1" t="s">
        <v>404</v>
      </c>
      <c r="H5633" s="1">
        <v>1158</v>
      </c>
      <c r="I5633" s="3">
        <v>46287</v>
      </c>
      <c r="L5633" s="31">
        <v>46287.660318634255</v>
      </c>
      <c r="M5633" s="20">
        <v>12</v>
      </c>
      <c r="N5633" s="1">
        <v>22</v>
      </c>
    </row>
    <row r="5634" spans="1:14" x14ac:dyDescent="0.25">
      <c r="A5634" t="str">
        <f t="shared" ref="A5634:A5697" si="178">+D5634&amp;D5634</f>
        <v>H189870H189870</v>
      </c>
      <c r="B5634" t="str">
        <f t="shared" ref="B5634:B5697" si="179">+D5634&amp;C5634</f>
        <v>H189870W51511Y-B</v>
      </c>
      <c r="C5634" s="1" t="s">
        <v>792</v>
      </c>
      <c r="D5634" s="1" t="s">
        <v>829</v>
      </c>
      <c r="E5634" s="1" t="s">
        <v>524</v>
      </c>
      <c r="F5634" s="1" t="s">
        <v>525</v>
      </c>
      <c r="G5634" s="1" t="s">
        <v>404</v>
      </c>
      <c r="H5634" s="1">
        <v>1158</v>
      </c>
      <c r="I5634" s="3">
        <v>46287</v>
      </c>
      <c r="L5634" s="31">
        <v>46287.660946064811</v>
      </c>
      <c r="M5634" s="20">
        <v>12</v>
      </c>
      <c r="N5634" s="1">
        <v>76</v>
      </c>
    </row>
    <row r="5635" spans="1:14" x14ac:dyDescent="0.25">
      <c r="A5635" t="str">
        <f t="shared" si="178"/>
        <v>H189870H189870</v>
      </c>
      <c r="B5635" t="str">
        <f t="shared" si="179"/>
        <v>H189870W51511Y-B</v>
      </c>
      <c r="C5635" s="1" t="s">
        <v>792</v>
      </c>
      <c r="D5635" s="1" t="s">
        <v>829</v>
      </c>
      <c r="E5635" s="1" t="s">
        <v>524</v>
      </c>
      <c r="F5635" s="1" t="s">
        <v>525</v>
      </c>
      <c r="G5635" s="1" t="s">
        <v>404</v>
      </c>
      <c r="H5635" s="1">
        <v>1158</v>
      </c>
      <c r="I5635" s="3">
        <v>46287</v>
      </c>
      <c r="L5635" s="31">
        <v>46287.662268287037</v>
      </c>
      <c r="M5635" s="20">
        <v>12</v>
      </c>
      <c r="N5635" s="1">
        <v>88</v>
      </c>
    </row>
    <row r="5636" spans="1:14" x14ac:dyDescent="0.25">
      <c r="A5636" t="str">
        <f t="shared" si="178"/>
        <v>H189870H189870</v>
      </c>
      <c r="B5636" t="str">
        <f t="shared" si="179"/>
        <v>H189870W51511Y-B</v>
      </c>
      <c r="C5636" s="1" t="s">
        <v>792</v>
      </c>
      <c r="D5636" s="1" t="s">
        <v>829</v>
      </c>
      <c r="E5636" s="1" t="s">
        <v>524</v>
      </c>
      <c r="F5636" s="1" t="s">
        <v>525</v>
      </c>
      <c r="G5636" s="1" t="s">
        <v>404</v>
      </c>
      <c r="H5636" s="1">
        <v>1158</v>
      </c>
      <c r="I5636" s="3">
        <v>46287</v>
      </c>
      <c r="L5636" s="31">
        <v>46287.672526770832</v>
      </c>
      <c r="M5636" s="20">
        <v>12</v>
      </c>
      <c r="N5636" s="1">
        <v>73</v>
      </c>
    </row>
    <row r="5637" spans="1:14" x14ac:dyDescent="0.25">
      <c r="A5637" t="str">
        <f t="shared" si="178"/>
        <v>H189870H189870</v>
      </c>
      <c r="B5637" t="str">
        <f t="shared" si="179"/>
        <v>H189870W51511Y-B</v>
      </c>
      <c r="C5637" s="1" t="s">
        <v>792</v>
      </c>
      <c r="D5637" s="1" t="s">
        <v>829</v>
      </c>
      <c r="E5637" s="1" t="s">
        <v>524</v>
      </c>
      <c r="F5637" s="1" t="s">
        <v>525</v>
      </c>
      <c r="G5637" s="1" t="s">
        <v>404</v>
      </c>
      <c r="H5637" s="1">
        <v>1158</v>
      </c>
      <c r="I5637" s="3">
        <v>46287</v>
      </c>
      <c r="L5637" s="31">
        <v>46287.673206134255</v>
      </c>
      <c r="M5637" s="20">
        <v>12</v>
      </c>
      <c r="N5637" s="1">
        <v>74</v>
      </c>
    </row>
    <row r="5638" spans="1:14" x14ac:dyDescent="0.25">
      <c r="A5638" t="str">
        <f t="shared" si="178"/>
        <v>H189870H189870</v>
      </c>
      <c r="B5638" t="str">
        <f t="shared" si="179"/>
        <v>H189870W51511Y-B</v>
      </c>
      <c r="C5638" s="1" t="s">
        <v>792</v>
      </c>
      <c r="D5638" s="1" t="s">
        <v>829</v>
      </c>
      <c r="E5638" s="1" t="s">
        <v>524</v>
      </c>
      <c r="F5638" s="1" t="s">
        <v>525</v>
      </c>
      <c r="G5638" s="1" t="s">
        <v>404</v>
      </c>
      <c r="H5638" s="1">
        <v>1158</v>
      </c>
      <c r="I5638" s="3">
        <v>46287</v>
      </c>
      <c r="L5638" s="31">
        <v>46287.673404016205</v>
      </c>
      <c r="M5638" s="20">
        <v>12</v>
      </c>
      <c r="N5638" s="1">
        <v>37</v>
      </c>
    </row>
    <row r="5639" spans="1:14" x14ac:dyDescent="0.25">
      <c r="A5639" t="str">
        <f t="shared" si="178"/>
        <v>H189870H189870</v>
      </c>
      <c r="B5639" t="str">
        <f t="shared" si="179"/>
        <v>H189870W51511Y-B</v>
      </c>
      <c r="C5639" s="1" t="s">
        <v>792</v>
      </c>
      <c r="D5639" s="1" t="s">
        <v>829</v>
      </c>
      <c r="E5639" s="1" t="s">
        <v>524</v>
      </c>
      <c r="F5639" s="1" t="s">
        <v>525</v>
      </c>
      <c r="G5639" s="1" t="s">
        <v>404</v>
      </c>
      <c r="H5639" s="1">
        <v>1158</v>
      </c>
      <c r="I5639" s="3">
        <v>46287</v>
      </c>
      <c r="L5639" s="31">
        <v>46287.704331446759</v>
      </c>
      <c r="M5639" s="20">
        <v>12</v>
      </c>
      <c r="N5639" s="1">
        <v>49</v>
      </c>
    </row>
    <row r="5640" spans="1:14" x14ac:dyDescent="0.25">
      <c r="A5640" t="str">
        <f t="shared" si="178"/>
        <v>H189870H189870</v>
      </c>
      <c r="B5640" t="str">
        <f t="shared" si="179"/>
        <v>H189870W51511Y-B</v>
      </c>
      <c r="C5640" s="1" t="s">
        <v>792</v>
      </c>
      <c r="D5640" s="1" t="s">
        <v>829</v>
      </c>
      <c r="E5640" s="1" t="s">
        <v>524</v>
      </c>
      <c r="F5640" s="1" t="s">
        <v>525</v>
      </c>
      <c r="G5640" s="1" t="s">
        <v>404</v>
      </c>
      <c r="H5640" s="1">
        <v>1158</v>
      </c>
      <c r="I5640" s="3">
        <v>46287</v>
      </c>
      <c r="L5640" s="31">
        <v>46287.705077002312</v>
      </c>
      <c r="M5640" s="20">
        <v>12</v>
      </c>
      <c r="N5640" s="1">
        <v>21</v>
      </c>
    </row>
    <row r="5641" spans="1:14" x14ac:dyDescent="0.25">
      <c r="A5641" t="str">
        <f t="shared" si="178"/>
        <v>H189870H189870</v>
      </c>
      <c r="B5641" t="str">
        <f t="shared" si="179"/>
        <v>H189870W51511Y-B</v>
      </c>
      <c r="C5641" s="1" t="s">
        <v>792</v>
      </c>
      <c r="D5641" s="1" t="s">
        <v>829</v>
      </c>
      <c r="E5641" s="1" t="s">
        <v>524</v>
      </c>
      <c r="F5641" s="1" t="s">
        <v>525</v>
      </c>
      <c r="G5641" s="1" t="s">
        <v>404</v>
      </c>
      <c r="H5641" s="1">
        <v>1158</v>
      </c>
      <c r="I5641" s="3">
        <v>46287</v>
      </c>
      <c r="L5641" s="31">
        <v>46287.70545883102</v>
      </c>
      <c r="M5641" s="20">
        <v>12</v>
      </c>
      <c r="N5641" s="1">
        <v>75</v>
      </c>
    </row>
    <row r="5642" spans="1:14" x14ac:dyDescent="0.25">
      <c r="A5642" t="str">
        <f t="shared" si="178"/>
        <v>U148137U148137</v>
      </c>
      <c r="B5642" t="str">
        <f t="shared" si="179"/>
        <v>U148137G90609SI-M</v>
      </c>
      <c r="C5642" s="1" t="s">
        <v>776</v>
      </c>
      <c r="D5642" s="1" t="s">
        <v>840</v>
      </c>
      <c r="E5642" s="1" t="s">
        <v>436</v>
      </c>
      <c r="F5642" s="1" t="s">
        <v>449</v>
      </c>
      <c r="G5642" s="1" t="s">
        <v>438</v>
      </c>
      <c r="H5642" s="1">
        <v>720</v>
      </c>
      <c r="I5642" s="3">
        <v>46287</v>
      </c>
      <c r="L5642" s="31">
        <v>46287.600830439813</v>
      </c>
      <c r="M5642" s="20">
        <v>6</v>
      </c>
      <c r="N5642" s="1">
        <v>9</v>
      </c>
    </row>
    <row r="5643" spans="1:14" x14ac:dyDescent="0.25">
      <c r="A5643" t="str">
        <f t="shared" si="178"/>
        <v>U148137U148137</v>
      </c>
      <c r="B5643" t="str">
        <f t="shared" si="179"/>
        <v>U148137G90609SI-M</v>
      </c>
      <c r="C5643" s="1" t="s">
        <v>776</v>
      </c>
      <c r="D5643" s="1" t="s">
        <v>840</v>
      </c>
      <c r="E5643" s="1" t="s">
        <v>436</v>
      </c>
      <c r="F5643" s="1" t="s">
        <v>449</v>
      </c>
      <c r="G5643" s="1" t="s">
        <v>438</v>
      </c>
      <c r="H5643" s="1">
        <v>720</v>
      </c>
      <c r="I5643" s="3">
        <v>46287</v>
      </c>
      <c r="L5643" s="31">
        <v>46287.60105153935</v>
      </c>
      <c r="M5643" s="20">
        <v>6</v>
      </c>
      <c r="N5643" s="1">
        <v>11</v>
      </c>
    </row>
    <row r="5644" spans="1:14" x14ac:dyDescent="0.25">
      <c r="A5644" t="str">
        <f t="shared" si="178"/>
        <v>U148137U148137</v>
      </c>
      <c r="B5644" t="str">
        <f t="shared" si="179"/>
        <v>U148137G90609SI-M</v>
      </c>
      <c r="C5644" s="1" t="s">
        <v>776</v>
      </c>
      <c r="D5644" s="1" t="s">
        <v>840</v>
      </c>
      <c r="E5644" s="1" t="s">
        <v>436</v>
      </c>
      <c r="F5644" s="1" t="s">
        <v>449</v>
      </c>
      <c r="G5644" s="1" t="s">
        <v>438</v>
      </c>
      <c r="H5644" s="1">
        <v>720</v>
      </c>
      <c r="I5644" s="3">
        <v>46287</v>
      </c>
      <c r="L5644" s="31">
        <v>46287.602896331016</v>
      </c>
      <c r="M5644" s="20">
        <v>6</v>
      </c>
      <c r="N5644" s="1">
        <v>12</v>
      </c>
    </row>
    <row r="5645" spans="1:14" x14ac:dyDescent="0.25">
      <c r="A5645" t="str">
        <f t="shared" si="178"/>
        <v>U148137U148137</v>
      </c>
      <c r="B5645" t="str">
        <f t="shared" si="179"/>
        <v>U148137G90609SI-M</v>
      </c>
      <c r="C5645" s="1" t="s">
        <v>776</v>
      </c>
      <c r="D5645" s="1" t="s">
        <v>840</v>
      </c>
      <c r="E5645" s="1" t="s">
        <v>436</v>
      </c>
      <c r="F5645" s="1" t="s">
        <v>449</v>
      </c>
      <c r="G5645" s="1" t="s">
        <v>438</v>
      </c>
      <c r="H5645" s="1">
        <v>720</v>
      </c>
      <c r="I5645" s="3">
        <v>46287</v>
      </c>
      <c r="L5645" s="31">
        <v>46287.609541898149</v>
      </c>
      <c r="M5645" s="20">
        <v>6</v>
      </c>
      <c r="N5645" s="1">
        <v>10</v>
      </c>
    </row>
    <row r="5646" spans="1:14" x14ac:dyDescent="0.25">
      <c r="A5646" t="str">
        <f t="shared" si="178"/>
        <v>U148137U148137</v>
      </c>
      <c r="B5646" t="str">
        <f t="shared" si="179"/>
        <v>U148137G90609SI-M</v>
      </c>
      <c r="C5646" s="1" t="s">
        <v>776</v>
      </c>
      <c r="D5646" s="1" t="s">
        <v>840</v>
      </c>
      <c r="E5646" s="1" t="s">
        <v>436</v>
      </c>
      <c r="F5646" s="1" t="s">
        <v>449</v>
      </c>
      <c r="G5646" s="1" t="s">
        <v>438</v>
      </c>
      <c r="H5646" s="1">
        <v>720</v>
      </c>
      <c r="I5646" s="3">
        <v>46287</v>
      </c>
      <c r="L5646" s="31">
        <v>46287.610281747686</v>
      </c>
      <c r="M5646" s="20">
        <v>6</v>
      </c>
      <c r="N5646" s="1">
        <v>14</v>
      </c>
    </row>
    <row r="5647" spans="1:14" x14ac:dyDescent="0.25">
      <c r="A5647" t="str">
        <f t="shared" si="178"/>
        <v>U148137U148137</v>
      </c>
      <c r="B5647" t="str">
        <f t="shared" si="179"/>
        <v>U148137G90609SI-M</v>
      </c>
      <c r="C5647" s="1" t="s">
        <v>776</v>
      </c>
      <c r="D5647" s="1" t="s">
        <v>840</v>
      </c>
      <c r="E5647" s="1" t="s">
        <v>436</v>
      </c>
      <c r="F5647" s="1" t="s">
        <v>449</v>
      </c>
      <c r="G5647" s="1" t="s">
        <v>438</v>
      </c>
      <c r="H5647" s="1">
        <v>720</v>
      </c>
      <c r="I5647" s="3">
        <v>46287</v>
      </c>
      <c r="L5647" s="31">
        <v>46287.610905243055</v>
      </c>
      <c r="M5647" s="20">
        <v>6</v>
      </c>
      <c r="N5647" s="1">
        <v>13</v>
      </c>
    </row>
    <row r="5648" spans="1:14" x14ac:dyDescent="0.25">
      <c r="A5648" t="str">
        <f t="shared" si="178"/>
        <v>U148137U148137</v>
      </c>
      <c r="B5648" t="str">
        <f t="shared" si="179"/>
        <v>U148137G90609SI-M</v>
      </c>
      <c r="C5648" s="1" t="s">
        <v>776</v>
      </c>
      <c r="D5648" s="1" t="s">
        <v>840</v>
      </c>
      <c r="E5648" s="1" t="s">
        <v>436</v>
      </c>
      <c r="F5648" s="1" t="s">
        <v>449</v>
      </c>
      <c r="G5648" s="1" t="s">
        <v>438</v>
      </c>
      <c r="H5648" s="1">
        <v>720</v>
      </c>
      <c r="I5648" s="3">
        <v>46287</v>
      </c>
      <c r="L5648" s="31">
        <v>46287.61246704861</v>
      </c>
      <c r="M5648" s="20">
        <v>6</v>
      </c>
      <c r="N5648" s="1">
        <v>16</v>
      </c>
    </row>
    <row r="5649" spans="1:14" x14ac:dyDescent="0.25">
      <c r="A5649" t="str">
        <f t="shared" si="178"/>
        <v>U148137U148137</v>
      </c>
      <c r="B5649" t="str">
        <f t="shared" si="179"/>
        <v>U148137G90609SI-M</v>
      </c>
      <c r="C5649" s="1" t="s">
        <v>776</v>
      </c>
      <c r="D5649" s="1" t="s">
        <v>840</v>
      </c>
      <c r="E5649" s="1" t="s">
        <v>436</v>
      </c>
      <c r="F5649" s="1" t="s">
        <v>449</v>
      </c>
      <c r="G5649" s="1" t="s">
        <v>438</v>
      </c>
      <c r="H5649" s="1">
        <v>720</v>
      </c>
      <c r="I5649" s="3">
        <v>46287</v>
      </c>
      <c r="L5649" s="31">
        <v>46287.613692280094</v>
      </c>
      <c r="M5649" s="20">
        <v>6</v>
      </c>
      <c r="N5649" s="1">
        <v>15</v>
      </c>
    </row>
    <row r="5650" spans="1:14" x14ac:dyDescent="0.25">
      <c r="A5650" t="str">
        <f t="shared" si="178"/>
        <v>U148137U148137</v>
      </c>
      <c r="B5650" t="str">
        <f t="shared" si="179"/>
        <v>U148137G90609SI-M</v>
      </c>
      <c r="C5650" s="1" t="s">
        <v>776</v>
      </c>
      <c r="D5650" s="1" t="s">
        <v>840</v>
      </c>
      <c r="E5650" s="1" t="s">
        <v>436</v>
      </c>
      <c r="F5650" s="1" t="s">
        <v>449</v>
      </c>
      <c r="G5650" s="1" t="s">
        <v>438</v>
      </c>
      <c r="H5650" s="1">
        <v>720</v>
      </c>
      <c r="I5650" s="3">
        <v>46287</v>
      </c>
      <c r="L5650" s="31">
        <v>46287.615763391201</v>
      </c>
      <c r="M5650" s="20">
        <v>6</v>
      </c>
      <c r="N5650" s="1">
        <v>20</v>
      </c>
    </row>
    <row r="5651" spans="1:14" x14ac:dyDescent="0.25">
      <c r="A5651" t="str">
        <f t="shared" si="178"/>
        <v>U148137U148137</v>
      </c>
      <c r="B5651" t="str">
        <f t="shared" si="179"/>
        <v>U148137G90609SI-M</v>
      </c>
      <c r="C5651" s="1" t="s">
        <v>776</v>
      </c>
      <c r="D5651" s="1" t="s">
        <v>840</v>
      </c>
      <c r="E5651" s="1" t="s">
        <v>436</v>
      </c>
      <c r="F5651" s="1" t="s">
        <v>449</v>
      </c>
      <c r="G5651" s="1" t="s">
        <v>438</v>
      </c>
      <c r="H5651" s="1">
        <v>720</v>
      </c>
      <c r="I5651" s="3">
        <v>46287</v>
      </c>
      <c r="L5651" s="31">
        <v>46287.616645949071</v>
      </c>
      <c r="M5651" s="20">
        <v>6</v>
      </c>
      <c r="N5651" s="1">
        <v>19</v>
      </c>
    </row>
    <row r="5652" spans="1:14" x14ac:dyDescent="0.25">
      <c r="A5652" t="str">
        <f t="shared" si="178"/>
        <v>U148137U148137</v>
      </c>
      <c r="B5652" t="str">
        <f t="shared" si="179"/>
        <v>U148137G90609SI-M</v>
      </c>
      <c r="C5652" s="1" t="s">
        <v>776</v>
      </c>
      <c r="D5652" s="1" t="s">
        <v>840</v>
      </c>
      <c r="E5652" s="1" t="s">
        <v>436</v>
      </c>
      <c r="F5652" s="1" t="s">
        <v>449</v>
      </c>
      <c r="G5652" s="1" t="s">
        <v>438</v>
      </c>
      <c r="H5652" s="1">
        <v>720</v>
      </c>
      <c r="I5652" s="3">
        <v>46287</v>
      </c>
      <c r="L5652" s="31">
        <v>46287.617122025462</v>
      </c>
      <c r="M5652" s="20">
        <v>6</v>
      </c>
      <c r="N5652" s="1">
        <v>17</v>
      </c>
    </row>
    <row r="5653" spans="1:14" x14ac:dyDescent="0.25">
      <c r="A5653" t="str">
        <f t="shared" si="178"/>
        <v>U148137U148137</v>
      </c>
      <c r="B5653" t="str">
        <f t="shared" si="179"/>
        <v>U148137G90609SI-M</v>
      </c>
      <c r="C5653" s="1" t="s">
        <v>776</v>
      </c>
      <c r="D5653" s="1" t="s">
        <v>840</v>
      </c>
      <c r="E5653" s="1" t="s">
        <v>436</v>
      </c>
      <c r="F5653" s="1" t="s">
        <v>449</v>
      </c>
      <c r="G5653" s="1" t="s">
        <v>438</v>
      </c>
      <c r="H5653" s="1">
        <v>720</v>
      </c>
      <c r="I5653" s="3">
        <v>46287</v>
      </c>
      <c r="L5653" s="31">
        <v>46287.617889039349</v>
      </c>
      <c r="M5653" s="20">
        <v>6</v>
      </c>
      <c r="N5653" s="1">
        <v>18</v>
      </c>
    </row>
    <row r="5654" spans="1:14" x14ac:dyDescent="0.25">
      <c r="A5654" t="str">
        <f t="shared" si="178"/>
        <v>U148137U148137</v>
      </c>
      <c r="B5654" t="str">
        <f t="shared" si="179"/>
        <v>U148137G90609SI-M</v>
      </c>
      <c r="C5654" s="1" t="s">
        <v>776</v>
      </c>
      <c r="D5654" s="1" t="s">
        <v>840</v>
      </c>
      <c r="E5654" s="1" t="s">
        <v>436</v>
      </c>
      <c r="F5654" s="1" t="s">
        <v>449</v>
      </c>
      <c r="G5654" s="1" t="s">
        <v>438</v>
      </c>
      <c r="H5654" s="1">
        <v>720</v>
      </c>
      <c r="I5654" s="3">
        <v>46287</v>
      </c>
      <c r="L5654" s="31">
        <v>46287.623117708332</v>
      </c>
      <c r="M5654" s="20">
        <v>6</v>
      </c>
      <c r="N5654" s="1">
        <v>28</v>
      </c>
    </row>
    <row r="5655" spans="1:14" x14ac:dyDescent="0.25">
      <c r="A5655" t="str">
        <f t="shared" si="178"/>
        <v>U148137U148137</v>
      </c>
      <c r="B5655" t="str">
        <f t="shared" si="179"/>
        <v>U148137G90609SI-M</v>
      </c>
      <c r="C5655" s="1" t="s">
        <v>776</v>
      </c>
      <c r="D5655" s="1" t="s">
        <v>840</v>
      </c>
      <c r="E5655" s="1" t="s">
        <v>436</v>
      </c>
      <c r="F5655" s="1" t="s">
        <v>449</v>
      </c>
      <c r="G5655" s="1" t="s">
        <v>438</v>
      </c>
      <c r="H5655" s="1">
        <v>720</v>
      </c>
      <c r="I5655" s="3">
        <v>46287</v>
      </c>
      <c r="L5655" s="31">
        <v>46287.626936921297</v>
      </c>
      <c r="M5655" s="20">
        <v>6</v>
      </c>
      <c r="N5655" s="1">
        <v>26</v>
      </c>
    </row>
    <row r="5656" spans="1:14" x14ac:dyDescent="0.25">
      <c r="A5656" t="str">
        <f t="shared" si="178"/>
        <v>U148137U148137</v>
      </c>
      <c r="B5656" t="str">
        <f t="shared" si="179"/>
        <v>U148137G90609SI-M</v>
      </c>
      <c r="C5656" s="1" t="s">
        <v>776</v>
      </c>
      <c r="D5656" s="1" t="s">
        <v>840</v>
      </c>
      <c r="E5656" s="1" t="s">
        <v>436</v>
      </c>
      <c r="F5656" s="1" t="s">
        <v>449</v>
      </c>
      <c r="G5656" s="1" t="s">
        <v>438</v>
      </c>
      <c r="H5656" s="1">
        <v>720</v>
      </c>
      <c r="I5656" s="3">
        <v>46287</v>
      </c>
      <c r="L5656" s="31">
        <v>46287.627529513884</v>
      </c>
      <c r="M5656" s="20">
        <v>6</v>
      </c>
      <c r="N5656" s="1">
        <v>27</v>
      </c>
    </row>
    <row r="5657" spans="1:14" x14ac:dyDescent="0.25">
      <c r="A5657" t="str">
        <f t="shared" si="178"/>
        <v>U148137U148137</v>
      </c>
      <c r="B5657" t="str">
        <f t="shared" si="179"/>
        <v>U148137G90609SI-M</v>
      </c>
      <c r="C5657" s="1" t="s">
        <v>776</v>
      </c>
      <c r="D5657" s="1" t="s">
        <v>840</v>
      </c>
      <c r="E5657" s="1" t="s">
        <v>436</v>
      </c>
      <c r="F5657" s="1" t="s">
        <v>449</v>
      </c>
      <c r="G5657" s="1" t="s">
        <v>438</v>
      </c>
      <c r="H5657" s="1">
        <v>720</v>
      </c>
      <c r="I5657" s="3">
        <v>46287</v>
      </c>
      <c r="L5657" s="31">
        <v>46287.638498298613</v>
      </c>
      <c r="M5657" s="20">
        <v>6</v>
      </c>
      <c r="N5657" s="1">
        <v>22</v>
      </c>
    </row>
    <row r="5658" spans="1:14" x14ac:dyDescent="0.25">
      <c r="A5658" t="str">
        <f t="shared" si="178"/>
        <v>U149888U149888</v>
      </c>
      <c r="B5658" t="str">
        <f t="shared" si="179"/>
        <v>U149888I6039JD-W</v>
      </c>
      <c r="C5658" s="1" t="s">
        <v>62</v>
      </c>
      <c r="D5658" s="1" t="s">
        <v>826</v>
      </c>
      <c r="E5658" s="1" t="s">
        <v>436</v>
      </c>
      <c r="F5658" s="1" t="s">
        <v>443</v>
      </c>
      <c r="G5658" s="1" t="s">
        <v>444</v>
      </c>
      <c r="H5658" s="1">
        <v>276</v>
      </c>
      <c r="I5658" s="3">
        <v>46287</v>
      </c>
      <c r="L5658" s="31">
        <v>46287.39017288194</v>
      </c>
      <c r="M5658" s="20">
        <v>12</v>
      </c>
      <c r="N5658" s="1">
        <v>40</v>
      </c>
    </row>
    <row r="5659" spans="1:14" x14ac:dyDescent="0.25">
      <c r="A5659" t="str">
        <f t="shared" si="178"/>
        <v>U149888U149888</v>
      </c>
      <c r="B5659" t="str">
        <f t="shared" si="179"/>
        <v>U149888I6039JD-W</v>
      </c>
      <c r="C5659" s="1" t="s">
        <v>62</v>
      </c>
      <c r="D5659" s="1" t="s">
        <v>826</v>
      </c>
      <c r="E5659" s="1" t="s">
        <v>436</v>
      </c>
      <c r="F5659" s="1" t="s">
        <v>443</v>
      </c>
      <c r="G5659" s="1" t="s">
        <v>444</v>
      </c>
      <c r="H5659" s="1">
        <v>276</v>
      </c>
      <c r="I5659" s="3">
        <v>46287</v>
      </c>
      <c r="L5659" s="31">
        <v>46287.419477858792</v>
      </c>
      <c r="M5659" s="20">
        <v>12</v>
      </c>
      <c r="N5659" s="1">
        <v>32</v>
      </c>
    </row>
    <row r="5660" spans="1:14" x14ac:dyDescent="0.25">
      <c r="A5660" t="str">
        <f t="shared" si="178"/>
        <v>U149888U149888</v>
      </c>
      <c r="B5660" t="str">
        <f t="shared" si="179"/>
        <v>U149888I6039JD-W</v>
      </c>
      <c r="C5660" s="1" t="s">
        <v>62</v>
      </c>
      <c r="D5660" s="1" t="s">
        <v>826</v>
      </c>
      <c r="E5660" s="1" t="s">
        <v>436</v>
      </c>
      <c r="F5660" s="1" t="s">
        <v>443</v>
      </c>
      <c r="G5660" s="1" t="s">
        <v>444</v>
      </c>
      <c r="H5660" s="1">
        <v>276</v>
      </c>
      <c r="I5660" s="3">
        <v>46287</v>
      </c>
      <c r="L5660" s="31">
        <v>46287.420374189816</v>
      </c>
      <c r="M5660" s="20">
        <v>12</v>
      </c>
      <c r="N5660" s="1">
        <v>43</v>
      </c>
    </row>
    <row r="5661" spans="1:14" x14ac:dyDescent="0.25">
      <c r="A5661" t="str">
        <f t="shared" si="178"/>
        <v>U149888U149888</v>
      </c>
      <c r="B5661" t="str">
        <f t="shared" si="179"/>
        <v>U149888I6039JD-W</v>
      </c>
      <c r="C5661" s="1" t="s">
        <v>62</v>
      </c>
      <c r="D5661" s="1" t="s">
        <v>826</v>
      </c>
      <c r="E5661" s="1" t="s">
        <v>436</v>
      </c>
      <c r="F5661" s="1" t="s">
        <v>443</v>
      </c>
      <c r="G5661" s="1" t="s">
        <v>444</v>
      </c>
      <c r="H5661" s="1">
        <v>276</v>
      </c>
      <c r="I5661" s="3">
        <v>46287</v>
      </c>
      <c r="L5661" s="31">
        <v>46287.437126192126</v>
      </c>
      <c r="M5661" s="20">
        <v>12</v>
      </c>
      <c r="N5661" s="1">
        <v>42</v>
      </c>
    </row>
    <row r="5662" spans="1:14" x14ac:dyDescent="0.25">
      <c r="A5662" t="str">
        <f t="shared" si="178"/>
        <v>U149888U149888</v>
      </c>
      <c r="B5662" t="str">
        <f t="shared" si="179"/>
        <v>U149888I6039JD-W</v>
      </c>
      <c r="C5662" s="1" t="s">
        <v>62</v>
      </c>
      <c r="D5662" s="1" t="s">
        <v>826</v>
      </c>
      <c r="E5662" s="1" t="s">
        <v>436</v>
      </c>
      <c r="F5662" s="1" t="s">
        <v>443</v>
      </c>
      <c r="G5662" s="1" t="s">
        <v>444</v>
      </c>
      <c r="H5662" s="1">
        <v>276</v>
      </c>
      <c r="I5662" s="3">
        <v>46287</v>
      </c>
      <c r="L5662" s="31">
        <v>46287.437706099532</v>
      </c>
      <c r="M5662" s="20">
        <v>12</v>
      </c>
      <c r="N5662" s="1">
        <v>38</v>
      </c>
    </row>
    <row r="5663" spans="1:14" x14ac:dyDescent="0.25">
      <c r="A5663" t="str">
        <f t="shared" si="178"/>
        <v>U149888U149888</v>
      </c>
      <c r="B5663" t="str">
        <f t="shared" si="179"/>
        <v>U149888I6039JD-W</v>
      </c>
      <c r="C5663" s="1" t="s">
        <v>62</v>
      </c>
      <c r="D5663" s="1" t="s">
        <v>826</v>
      </c>
      <c r="E5663" s="1" t="s">
        <v>436</v>
      </c>
      <c r="F5663" s="1" t="s">
        <v>443</v>
      </c>
      <c r="G5663" s="1" t="s">
        <v>444</v>
      </c>
      <c r="H5663" s="1">
        <v>276</v>
      </c>
      <c r="I5663" s="3">
        <v>46287</v>
      </c>
      <c r="L5663" s="31">
        <v>46287.438108368056</v>
      </c>
      <c r="M5663" s="20">
        <v>12</v>
      </c>
      <c r="N5663" s="1">
        <v>44</v>
      </c>
    </row>
    <row r="5664" spans="1:14" x14ac:dyDescent="0.25">
      <c r="A5664" t="str">
        <f t="shared" si="178"/>
        <v>U149888U149888</v>
      </c>
      <c r="B5664" t="str">
        <f t="shared" si="179"/>
        <v>U149888I6039JD-W</v>
      </c>
      <c r="C5664" s="1" t="s">
        <v>62</v>
      </c>
      <c r="D5664" s="1" t="s">
        <v>826</v>
      </c>
      <c r="E5664" s="1" t="s">
        <v>436</v>
      </c>
      <c r="F5664" s="1" t="s">
        <v>443</v>
      </c>
      <c r="G5664" s="1" t="s">
        <v>444</v>
      </c>
      <c r="H5664" s="1">
        <v>276</v>
      </c>
      <c r="I5664" s="3">
        <v>46287</v>
      </c>
      <c r="L5664" s="31">
        <v>46287.439162418981</v>
      </c>
      <c r="M5664" s="20">
        <v>12</v>
      </c>
      <c r="N5664" s="1">
        <v>37</v>
      </c>
    </row>
    <row r="5665" spans="1:14" x14ac:dyDescent="0.25">
      <c r="A5665" t="str">
        <f t="shared" si="178"/>
        <v>U149888U149888</v>
      </c>
      <c r="B5665" t="str">
        <f t="shared" si="179"/>
        <v>U149888I6039JD-W</v>
      </c>
      <c r="C5665" s="1" t="s">
        <v>62</v>
      </c>
      <c r="D5665" s="1" t="s">
        <v>826</v>
      </c>
      <c r="E5665" s="1" t="s">
        <v>436</v>
      </c>
      <c r="F5665" s="1" t="s">
        <v>443</v>
      </c>
      <c r="G5665" s="1" t="s">
        <v>444</v>
      </c>
      <c r="H5665" s="1">
        <v>276</v>
      </c>
      <c r="I5665" s="3">
        <v>46287</v>
      </c>
      <c r="L5665" s="31">
        <v>46287.453004282404</v>
      </c>
      <c r="M5665" s="20">
        <v>6</v>
      </c>
      <c r="N5665" s="1">
        <v>53</v>
      </c>
    </row>
    <row r="5666" spans="1:14" x14ac:dyDescent="0.25">
      <c r="A5666" t="str">
        <f t="shared" si="178"/>
        <v>U149888U149888</v>
      </c>
      <c r="B5666" t="str">
        <f t="shared" si="179"/>
        <v>U149888I6039JD-W</v>
      </c>
      <c r="C5666" s="1" t="s">
        <v>62</v>
      </c>
      <c r="D5666" s="1" t="s">
        <v>826</v>
      </c>
      <c r="E5666" s="1" t="s">
        <v>436</v>
      </c>
      <c r="F5666" s="1" t="s">
        <v>443</v>
      </c>
      <c r="G5666" s="1" t="s">
        <v>444</v>
      </c>
      <c r="H5666" s="1">
        <v>276</v>
      </c>
      <c r="I5666" s="3">
        <v>46287</v>
      </c>
      <c r="L5666" s="31">
        <v>46287.455048379627</v>
      </c>
      <c r="M5666" s="20">
        <v>12</v>
      </c>
      <c r="N5666" s="1">
        <v>48</v>
      </c>
    </row>
    <row r="5667" spans="1:14" x14ac:dyDescent="0.25">
      <c r="A5667" t="str">
        <f t="shared" si="178"/>
        <v>U149888U149888</v>
      </c>
      <c r="B5667" t="str">
        <f t="shared" si="179"/>
        <v>U149888I6039JD-W</v>
      </c>
      <c r="C5667" s="1" t="s">
        <v>62</v>
      </c>
      <c r="D5667" s="1" t="s">
        <v>826</v>
      </c>
      <c r="E5667" s="1" t="s">
        <v>436</v>
      </c>
      <c r="F5667" s="1" t="s">
        <v>443</v>
      </c>
      <c r="G5667" s="1" t="s">
        <v>444</v>
      </c>
      <c r="H5667" s="1">
        <v>276</v>
      </c>
      <c r="I5667" s="3">
        <v>46287</v>
      </c>
      <c r="L5667" s="31">
        <v>46287.569078587963</v>
      </c>
      <c r="M5667" s="20">
        <v>12</v>
      </c>
      <c r="N5667" s="1">
        <v>35</v>
      </c>
    </row>
    <row r="5668" spans="1:14" x14ac:dyDescent="0.25">
      <c r="A5668" t="str">
        <f t="shared" si="178"/>
        <v>U149888U149888</v>
      </c>
      <c r="B5668" t="str">
        <f t="shared" si="179"/>
        <v>U149888I6039JD-W</v>
      </c>
      <c r="C5668" s="1" t="s">
        <v>62</v>
      </c>
      <c r="D5668" s="1" t="s">
        <v>826</v>
      </c>
      <c r="E5668" s="1" t="s">
        <v>436</v>
      </c>
      <c r="F5668" s="1" t="s">
        <v>443</v>
      </c>
      <c r="G5668" s="1" t="s">
        <v>444</v>
      </c>
      <c r="H5668" s="1">
        <v>276</v>
      </c>
      <c r="I5668" s="3">
        <v>46287</v>
      </c>
      <c r="L5668" s="31">
        <v>46287.597539930553</v>
      </c>
      <c r="M5668" s="20">
        <v>12</v>
      </c>
      <c r="N5668" s="1">
        <v>33</v>
      </c>
    </row>
    <row r="5669" spans="1:14" x14ac:dyDescent="0.25">
      <c r="A5669" t="str">
        <f t="shared" si="178"/>
        <v>U149888U149888</v>
      </c>
      <c r="B5669" t="str">
        <f t="shared" si="179"/>
        <v>U149888I6039JD-W</v>
      </c>
      <c r="C5669" s="1" t="s">
        <v>62</v>
      </c>
      <c r="D5669" s="1" t="s">
        <v>826</v>
      </c>
      <c r="E5669" s="1" t="s">
        <v>436</v>
      </c>
      <c r="F5669" s="1" t="s">
        <v>443</v>
      </c>
      <c r="G5669" s="1" t="s">
        <v>444</v>
      </c>
      <c r="H5669" s="1">
        <v>276</v>
      </c>
      <c r="I5669" s="3">
        <v>46287</v>
      </c>
      <c r="L5669" s="31">
        <v>46287.614591400459</v>
      </c>
      <c r="M5669" s="20">
        <v>6</v>
      </c>
      <c r="N5669" s="1">
        <v>51</v>
      </c>
    </row>
    <row r="5670" spans="1:14" x14ac:dyDescent="0.25">
      <c r="A5670" t="str">
        <f t="shared" si="178"/>
        <v>U149888U149888</v>
      </c>
      <c r="B5670" t="str">
        <f t="shared" si="179"/>
        <v>U149888I6039JD-W</v>
      </c>
      <c r="C5670" s="1" t="s">
        <v>62</v>
      </c>
      <c r="D5670" s="1" t="s">
        <v>826</v>
      </c>
      <c r="E5670" s="1" t="s">
        <v>436</v>
      </c>
      <c r="F5670" s="1" t="s">
        <v>443</v>
      </c>
      <c r="G5670" s="1" t="s">
        <v>444</v>
      </c>
      <c r="H5670" s="1">
        <v>276</v>
      </c>
      <c r="I5670" s="3">
        <v>46287</v>
      </c>
      <c r="L5670" s="31">
        <v>46287.646997881944</v>
      </c>
      <c r="M5670" s="20">
        <v>12</v>
      </c>
      <c r="N5670" s="1">
        <v>41</v>
      </c>
    </row>
    <row r="5671" spans="1:14" x14ac:dyDescent="0.25">
      <c r="A5671" t="str">
        <f t="shared" si="178"/>
        <v>U149888U149888</v>
      </c>
      <c r="B5671" t="str">
        <f t="shared" si="179"/>
        <v>U149888I6039JD-W</v>
      </c>
      <c r="C5671" s="1" t="s">
        <v>62</v>
      </c>
      <c r="D5671" s="1" t="s">
        <v>826</v>
      </c>
      <c r="E5671" s="1" t="s">
        <v>436</v>
      </c>
      <c r="F5671" s="1" t="s">
        <v>443</v>
      </c>
      <c r="G5671" s="1" t="s">
        <v>444</v>
      </c>
      <c r="H5671" s="1">
        <v>276</v>
      </c>
      <c r="I5671" s="3">
        <v>46287</v>
      </c>
      <c r="L5671" s="31">
        <v>46287.652659571759</v>
      </c>
      <c r="M5671" s="20">
        <v>12</v>
      </c>
      <c r="N5671" s="1">
        <v>36</v>
      </c>
    </row>
    <row r="5672" spans="1:14" x14ac:dyDescent="0.25">
      <c r="A5672" t="str">
        <f t="shared" si="178"/>
        <v>U152757U152757</v>
      </c>
      <c r="B5672" t="str">
        <f t="shared" si="179"/>
        <v>U152757P6036SS-M</v>
      </c>
      <c r="C5672" s="1" t="s">
        <v>52</v>
      </c>
      <c r="D5672" s="1" t="s">
        <v>851</v>
      </c>
      <c r="E5672" s="1" t="s">
        <v>436</v>
      </c>
      <c r="F5672" s="1" t="s">
        <v>442</v>
      </c>
      <c r="G5672" s="1" t="s">
        <v>438</v>
      </c>
      <c r="H5672" s="1">
        <v>1200</v>
      </c>
      <c r="I5672" s="3">
        <v>46287</v>
      </c>
      <c r="L5672" s="31">
        <v>46287.650188576386</v>
      </c>
      <c r="M5672" s="20">
        <v>6</v>
      </c>
      <c r="N5672" s="1">
        <v>4</v>
      </c>
    </row>
    <row r="5673" spans="1:14" x14ac:dyDescent="0.25">
      <c r="A5673" t="str">
        <f t="shared" si="178"/>
        <v>U152757U152757</v>
      </c>
      <c r="B5673" t="str">
        <f t="shared" si="179"/>
        <v>U152757P6036SS-M</v>
      </c>
      <c r="C5673" s="1" t="s">
        <v>52</v>
      </c>
      <c r="D5673" s="1" t="s">
        <v>851</v>
      </c>
      <c r="E5673" s="1" t="s">
        <v>436</v>
      </c>
      <c r="F5673" s="1" t="s">
        <v>442</v>
      </c>
      <c r="G5673" s="1" t="s">
        <v>438</v>
      </c>
      <c r="H5673" s="1">
        <v>1200</v>
      </c>
      <c r="I5673" s="3">
        <v>46287</v>
      </c>
      <c r="L5673" s="31">
        <v>46287.672401585645</v>
      </c>
      <c r="M5673" s="20">
        <v>6</v>
      </c>
      <c r="N5673" s="1">
        <v>54</v>
      </c>
    </row>
    <row r="5674" spans="1:14" x14ac:dyDescent="0.25">
      <c r="A5674" t="str">
        <f t="shared" si="178"/>
        <v>U152757U152757</v>
      </c>
      <c r="B5674" t="str">
        <f t="shared" si="179"/>
        <v>U152757P6036SS-M</v>
      </c>
      <c r="C5674" s="1" t="s">
        <v>52</v>
      </c>
      <c r="D5674" s="1" t="s">
        <v>851</v>
      </c>
      <c r="E5674" s="1" t="s">
        <v>436</v>
      </c>
      <c r="F5674" s="1" t="s">
        <v>442</v>
      </c>
      <c r="G5674" s="1" t="s">
        <v>438</v>
      </c>
      <c r="H5674" s="1">
        <v>1200</v>
      </c>
      <c r="I5674" s="3">
        <v>46287</v>
      </c>
      <c r="L5674" s="31">
        <v>46287.672622418977</v>
      </c>
      <c r="M5674" s="20">
        <v>6</v>
      </c>
      <c r="N5674" s="1">
        <v>7</v>
      </c>
    </row>
    <row r="5675" spans="1:14" x14ac:dyDescent="0.25">
      <c r="A5675" t="str">
        <f t="shared" si="178"/>
        <v>U152757U152757</v>
      </c>
      <c r="B5675" t="str">
        <f t="shared" si="179"/>
        <v>U152757P6036SS-M</v>
      </c>
      <c r="C5675" s="1" t="s">
        <v>52</v>
      </c>
      <c r="D5675" s="1" t="s">
        <v>851</v>
      </c>
      <c r="E5675" s="1" t="s">
        <v>436</v>
      </c>
      <c r="F5675" s="1" t="s">
        <v>442</v>
      </c>
      <c r="G5675" s="1" t="s">
        <v>438</v>
      </c>
      <c r="H5675" s="1">
        <v>1200</v>
      </c>
      <c r="I5675" s="3">
        <v>46287</v>
      </c>
      <c r="L5675" s="31">
        <v>46287.672927314816</v>
      </c>
      <c r="M5675" s="20">
        <v>6</v>
      </c>
      <c r="N5675" s="1">
        <v>64</v>
      </c>
    </row>
    <row r="5676" spans="1:14" x14ac:dyDescent="0.25">
      <c r="A5676" t="str">
        <f t="shared" si="178"/>
        <v>U152757U152757</v>
      </c>
      <c r="B5676" t="str">
        <f t="shared" si="179"/>
        <v>U152757P6036SS-M</v>
      </c>
      <c r="C5676" s="1" t="s">
        <v>52</v>
      </c>
      <c r="D5676" s="1" t="s">
        <v>851</v>
      </c>
      <c r="E5676" s="1" t="s">
        <v>436</v>
      </c>
      <c r="F5676" s="1" t="s">
        <v>442</v>
      </c>
      <c r="G5676" s="1" t="s">
        <v>438</v>
      </c>
      <c r="H5676" s="1">
        <v>1200</v>
      </c>
      <c r="I5676" s="3">
        <v>46287</v>
      </c>
      <c r="L5676" s="31">
        <v>46287.673407719907</v>
      </c>
      <c r="M5676" s="20">
        <v>6</v>
      </c>
      <c r="N5676" s="1">
        <v>49</v>
      </c>
    </row>
    <row r="5677" spans="1:14" x14ac:dyDescent="0.25">
      <c r="A5677" t="str">
        <f t="shared" si="178"/>
        <v>U152757U152757</v>
      </c>
      <c r="B5677" t="str">
        <f t="shared" si="179"/>
        <v>U152757P6036SS-M</v>
      </c>
      <c r="C5677" s="1" t="s">
        <v>52</v>
      </c>
      <c r="D5677" s="1" t="s">
        <v>851</v>
      </c>
      <c r="E5677" s="1" t="s">
        <v>436</v>
      </c>
      <c r="F5677" s="1" t="s">
        <v>442</v>
      </c>
      <c r="G5677" s="1" t="s">
        <v>438</v>
      </c>
      <c r="H5677" s="1">
        <v>1200</v>
      </c>
      <c r="I5677" s="3">
        <v>46287</v>
      </c>
      <c r="L5677" s="31">
        <v>46287.673647534721</v>
      </c>
      <c r="M5677" s="20">
        <v>6</v>
      </c>
      <c r="N5677" s="1">
        <v>8</v>
      </c>
    </row>
    <row r="5678" spans="1:14" x14ac:dyDescent="0.25">
      <c r="A5678" t="str">
        <f t="shared" si="178"/>
        <v>U152757U152757</v>
      </c>
      <c r="B5678" t="str">
        <f t="shared" si="179"/>
        <v>U152757P6036SS-M</v>
      </c>
      <c r="C5678" s="1" t="s">
        <v>52</v>
      </c>
      <c r="D5678" s="1" t="s">
        <v>851</v>
      </c>
      <c r="E5678" s="1" t="s">
        <v>436</v>
      </c>
      <c r="F5678" s="1" t="s">
        <v>442</v>
      </c>
      <c r="G5678" s="1" t="s">
        <v>438</v>
      </c>
      <c r="H5678" s="1">
        <v>1200</v>
      </c>
      <c r="I5678" s="3">
        <v>46287</v>
      </c>
      <c r="L5678" s="31">
        <v>46287.673895868051</v>
      </c>
      <c r="M5678" s="20">
        <v>6</v>
      </c>
      <c r="N5678" s="1">
        <v>68</v>
      </c>
    </row>
    <row r="5679" spans="1:14" x14ac:dyDescent="0.25">
      <c r="A5679" t="str">
        <f t="shared" si="178"/>
        <v>U152757U152757</v>
      </c>
      <c r="B5679" t="str">
        <f t="shared" si="179"/>
        <v>U152757P6036SS-M</v>
      </c>
      <c r="C5679" s="1" t="s">
        <v>52</v>
      </c>
      <c r="D5679" s="1" t="s">
        <v>851</v>
      </c>
      <c r="E5679" s="1" t="s">
        <v>436</v>
      </c>
      <c r="F5679" s="1" t="s">
        <v>442</v>
      </c>
      <c r="G5679" s="1" t="s">
        <v>438</v>
      </c>
      <c r="H5679" s="1">
        <v>1200</v>
      </c>
      <c r="I5679" s="3">
        <v>46287</v>
      </c>
      <c r="L5679" s="31">
        <v>46287.674196064814</v>
      </c>
      <c r="M5679" s="20">
        <v>6</v>
      </c>
      <c r="N5679" s="1">
        <v>60</v>
      </c>
    </row>
    <row r="5680" spans="1:14" x14ac:dyDescent="0.25">
      <c r="A5680" t="str">
        <f t="shared" si="178"/>
        <v>U152757U152757</v>
      </c>
      <c r="B5680" t="str">
        <f t="shared" si="179"/>
        <v>U152757P6036SS-M</v>
      </c>
      <c r="C5680" s="1" t="s">
        <v>52</v>
      </c>
      <c r="D5680" s="1" t="s">
        <v>851</v>
      </c>
      <c r="E5680" s="1" t="s">
        <v>436</v>
      </c>
      <c r="F5680" s="1" t="s">
        <v>442</v>
      </c>
      <c r="G5680" s="1" t="s">
        <v>438</v>
      </c>
      <c r="H5680" s="1">
        <v>1200</v>
      </c>
      <c r="I5680" s="3">
        <v>46287</v>
      </c>
      <c r="L5680" s="31">
        <v>46287.674474618056</v>
      </c>
      <c r="M5680" s="20">
        <v>6</v>
      </c>
      <c r="N5680" s="1">
        <v>78</v>
      </c>
    </row>
    <row r="5681" spans="1:14" x14ac:dyDescent="0.25">
      <c r="A5681" t="str">
        <f t="shared" si="178"/>
        <v>U152757U152757</v>
      </c>
      <c r="B5681" t="str">
        <f t="shared" si="179"/>
        <v>U152757P6036SS-M</v>
      </c>
      <c r="C5681" s="1" t="s">
        <v>52</v>
      </c>
      <c r="D5681" s="1" t="s">
        <v>851</v>
      </c>
      <c r="E5681" s="1" t="s">
        <v>436</v>
      </c>
      <c r="F5681" s="1" t="s">
        <v>442</v>
      </c>
      <c r="G5681" s="1" t="s">
        <v>438</v>
      </c>
      <c r="H5681" s="1">
        <v>1200</v>
      </c>
      <c r="I5681" s="3">
        <v>46287</v>
      </c>
      <c r="L5681" s="31">
        <v>46287.674698923613</v>
      </c>
      <c r="M5681" s="20">
        <v>6</v>
      </c>
      <c r="N5681" s="1">
        <v>75</v>
      </c>
    </row>
    <row r="5682" spans="1:14" x14ac:dyDescent="0.25">
      <c r="A5682" t="str">
        <f t="shared" si="178"/>
        <v>U152757U152757</v>
      </c>
      <c r="B5682" t="str">
        <f t="shared" si="179"/>
        <v>U152757P6036SS-M</v>
      </c>
      <c r="C5682" s="1" t="s">
        <v>52</v>
      </c>
      <c r="D5682" s="1" t="s">
        <v>851</v>
      </c>
      <c r="E5682" s="1" t="s">
        <v>436</v>
      </c>
      <c r="F5682" s="1" t="s">
        <v>442</v>
      </c>
      <c r="G5682" s="1" t="s">
        <v>438</v>
      </c>
      <c r="H5682" s="1">
        <v>1200</v>
      </c>
      <c r="I5682" s="3">
        <v>46287</v>
      </c>
      <c r="L5682" s="31">
        <v>46287.674959872682</v>
      </c>
      <c r="M5682" s="20">
        <v>6</v>
      </c>
      <c r="N5682" s="1">
        <v>53</v>
      </c>
    </row>
    <row r="5683" spans="1:14" x14ac:dyDescent="0.25">
      <c r="A5683" t="str">
        <f t="shared" si="178"/>
        <v>U152757U152757</v>
      </c>
      <c r="B5683" t="str">
        <f t="shared" si="179"/>
        <v>U152757P6036SS-M</v>
      </c>
      <c r="C5683" s="1" t="s">
        <v>52</v>
      </c>
      <c r="D5683" s="1" t="s">
        <v>851</v>
      </c>
      <c r="E5683" s="1" t="s">
        <v>436</v>
      </c>
      <c r="F5683" s="1" t="s">
        <v>442</v>
      </c>
      <c r="G5683" s="1" t="s">
        <v>438</v>
      </c>
      <c r="H5683" s="1">
        <v>1200</v>
      </c>
      <c r="I5683" s="3">
        <v>46287</v>
      </c>
      <c r="L5683" s="31">
        <v>46287.675669062497</v>
      </c>
      <c r="M5683" s="20">
        <v>6</v>
      </c>
      <c r="N5683" s="1">
        <v>58</v>
      </c>
    </row>
    <row r="5684" spans="1:14" x14ac:dyDescent="0.25">
      <c r="A5684" t="str">
        <f t="shared" si="178"/>
        <v>U152757U152757</v>
      </c>
      <c r="B5684" t="str">
        <f t="shared" si="179"/>
        <v>U152757P6036SS-M</v>
      </c>
      <c r="C5684" s="1" t="s">
        <v>52</v>
      </c>
      <c r="D5684" s="1" t="s">
        <v>851</v>
      </c>
      <c r="E5684" s="1" t="s">
        <v>436</v>
      </c>
      <c r="F5684" s="1" t="s">
        <v>442</v>
      </c>
      <c r="G5684" s="1" t="s">
        <v>438</v>
      </c>
      <c r="H5684" s="1">
        <v>1200</v>
      </c>
      <c r="I5684" s="3">
        <v>46287</v>
      </c>
      <c r="L5684" s="31">
        <v>46287.675816087962</v>
      </c>
      <c r="M5684" s="20">
        <v>6</v>
      </c>
      <c r="N5684" s="1">
        <v>6</v>
      </c>
    </row>
    <row r="5685" spans="1:14" x14ac:dyDescent="0.25">
      <c r="A5685" t="str">
        <f t="shared" si="178"/>
        <v>U152757U152757</v>
      </c>
      <c r="B5685" t="str">
        <f t="shared" si="179"/>
        <v>U152757P6036SS-M</v>
      </c>
      <c r="C5685" s="1" t="s">
        <v>52</v>
      </c>
      <c r="D5685" s="1" t="s">
        <v>851</v>
      </c>
      <c r="E5685" s="1" t="s">
        <v>436</v>
      </c>
      <c r="F5685" s="1" t="s">
        <v>442</v>
      </c>
      <c r="G5685" s="1" t="s">
        <v>438</v>
      </c>
      <c r="H5685" s="1">
        <v>1200</v>
      </c>
      <c r="I5685" s="3">
        <v>46287</v>
      </c>
      <c r="L5685" s="31">
        <v>46287.677479398146</v>
      </c>
      <c r="M5685" s="20">
        <v>6</v>
      </c>
      <c r="N5685" s="1">
        <v>77</v>
      </c>
    </row>
    <row r="5686" spans="1:14" x14ac:dyDescent="0.25">
      <c r="A5686" t="str">
        <f t="shared" si="178"/>
        <v>U152757U152757</v>
      </c>
      <c r="B5686" t="str">
        <f t="shared" si="179"/>
        <v>U152757P6036SS-M</v>
      </c>
      <c r="C5686" s="1" t="s">
        <v>52</v>
      </c>
      <c r="D5686" s="1" t="s">
        <v>851</v>
      </c>
      <c r="E5686" s="1" t="s">
        <v>436</v>
      </c>
      <c r="F5686" s="1" t="s">
        <v>442</v>
      </c>
      <c r="G5686" s="1" t="s">
        <v>438</v>
      </c>
      <c r="H5686" s="1">
        <v>1200</v>
      </c>
      <c r="I5686" s="3">
        <v>46287</v>
      </c>
      <c r="L5686" s="31">
        <v>46287.677647372686</v>
      </c>
      <c r="M5686" s="20">
        <v>6</v>
      </c>
      <c r="N5686" s="1">
        <v>10</v>
      </c>
    </row>
    <row r="5687" spans="1:14" x14ac:dyDescent="0.25">
      <c r="A5687" t="str">
        <f t="shared" si="178"/>
        <v>U152757U152757</v>
      </c>
      <c r="B5687" t="str">
        <f t="shared" si="179"/>
        <v>U152757P6036SS-M</v>
      </c>
      <c r="C5687" s="1" t="s">
        <v>52</v>
      </c>
      <c r="D5687" s="1" t="s">
        <v>851</v>
      </c>
      <c r="E5687" s="1" t="s">
        <v>436</v>
      </c>
      <c r="F5687" s="1" t="s">
        <v>442</v>
      </c>
      <c r="G5687" s="1" t="s">
        <v>438</v>
      </c>
      <c r="H5687" s="1">
        <v>1200</v>
      </c>
      <c r="I5687" s="3">
        <v>46287</v>
      </c>
      <c r="L5687" s="31">
        <v>46287.678113969909</v>
      </c>
      <c r="M5687" s="20">
        <v>6</v>
      </c>
      <c r="N5687" s="1">
        <v>52</v>
      </c>
    </row>
    <row r="5688" spans="1:14" x14ac:dyDescent="0.25">
      <c r="A5688" t="str">
        <f t="shared" si="178"/>
        <v>U152757U152757</v>
      </c>
      <c r="B5688" t="str">
        <f t="shared" si="179"/>
        <v>U152757P6036SS-M</v>
      </c>
      <c r="C5688" s="1" t="s">
        <v>52</v>
      </c>
      <c r="D5688" s="1" t="s">
        <v>851</v>
      </c>
      <c r="E5688" s="1" t="s">
        <v>436</v>
      </c>
      <c r="F5688" s="1" t="s">
        <v>442</v>
      </c>
      <c r="G5688" s="1" t="s">
        <v>438</v>
      </c>
      <c r="H5688" s="1">
        <v>1200</v>
      </c>
      <c r="I5688" s="3">
        <v>46287</v>
      </c>
      <c r="L5688" s="31">
        <v>46287.678277581013</v>
      </c>
      <c r="M5688" s="20">
        <v>6</v>
      </c>
      <c r="N5688" s="1">
        <v>56</v>
      </c>
    </row>
    <row r="5689" spans="1:14" x14ac:dyDescent="0.25">
      <c r="A5689" t="str">
        <f t="shared" si="178"/>
        <v>U152757U152757</v>
      </c>
      <c r="B5689" t="str">
        <f t="shared" si="179"/>
        <v>U152757P6036SS-M</v>
      </c>
      <c r="C5689" s="1" t="s">
        <v>52</v>
      </c>
      <c r="D5689" s="1" t="s">
        <v>851</v>
      </c>
      <c r="E5689" s="1" t="s">
        <v>436</v>
      </c>
      <c r="F5689" s="1" t="s">
        <v>442</v>
      </c>
      <c r="G5689" s="1" t="s">
        <v>438</v>
      </c>
      <c r="H5689" s="1">
        <v>1200</v>
      </c>
      <c r="I5689" s="3">
        <v>46287</v>
      </c>
      <c r="L5689" s="31">
        <v>46287.678400960649</v>
      </c>
      <c r="M5689" s="20">
        <v>6</v>
      </c>
      <c r="N5689" s="1">
        <v>67</v>
      </c>
    </row>
    <row r="5690" spans="1:14" x14ac:dyDescent="0.25">
      <c r="A5690" t="str">
        <f t="shared" si="178"/>
        <v>U152757U152757</v>
      </c>
      <c r="B5690" t="str">
        <f t="shared" si="179"/>
        <v>U152757P6036SS-M</v>
      </c>
      <c r="C5690" s="1" t="s">
        <v>52</v>
      </c>
      <c r="D5690" s="1" t="s">
        <v>851</v>
      </c>
      <c r="E5690" s="1" t="s">
        <v>436</v>
      </c>
      <c r="F5690" s="1" t="s">
        <v>442</v>
      </c>
      <c r="G5690" s="1" t="s">
        <v>438</v>
      </c>
      <c r="H5690" s="1">
        <v>1200</v>
      </c>
      <c r="I5690" s="3">
        <v>46287</v>
      </c>
      <c r="L5690" s="31">
        <v>46287.678616238423</v>
      </c>
      <c r="M5690" s="20">
        <v>6</v>
      </c>
      <c r="N5690" s="1">
        <v>66</v>
      </c>
    </row>
    <row r="5691" spans="1:14" x14ac:dyDescent="0.25">
      <c r="A5691" t="str">
        <f t="shared" si="178"/>
        <v>U152757U152757</v>
      </c>
      <c r="B5691" t="str">
        <f t="shared" si="179"/>
        <v>U152757P6036SS-M</v>
      </c>
      <c r="C5691" s="1" t="s">
        <v>52</v>
      </c>
      <c r="D5691" s="1" t="s">
        <v>851</v>
      </c>
      <c r="E5691" s="1" t="s">
        <v>436</v>
      </c>
      <c r="F5691" s="1" t="s">
        <v>442</v>
      </c>
      <c r="G5691" s="1" t="s">
        <v>438</v>
      </c>
      <c r="H5691" s="1">
        <v>1200</v>
      </c>
      <c r="I5691" s="3">
        <v>46287</v>
      </c>
      <c r="L5691" s="31">
        <v>46287.678911805553</v>
      </c>
      <c r="M5691" s="20">
        <v>6</v>
      </c>
      <c r="N5691" s="1">
        <v>70</v>
      </c>
    </row>
    <row r="5692" spans="1:14" x14ac:dyDescent="0.25">
      <c r="A5692" t="str">
        <f t="shared" si="178"/>
        <v>U152757U152757</v>
      </c>
      <c r="B5692" t="str">
        <f t="shared" si="179"/>
        <v>U152757P6036SS-M</v>
      </c>
      <c r="C5692" s="1" t="s">
        <v>52</v>
      </c>
      <c r="D5692" s="1" t="s">
        <v>851</v>
      </c>
      <c r="E5692" s="1" t="s">
        <v>436</v>
      </c>
      <c r="F5692" s="1" t="s">
        <v>442</v>
      </c>
      <c r="G5692" s="1" t="s">
        <v>438</v>
      </c>
      <c r="H5692" s="1">
        <v>1200</v>
      </c>
      <c r="I5692" s="3">
        <v>46287</v>
      </c>
      <c r="L5692" s="31">
        <v>46287.67924675926</v>
      </c>
      <c r="M5692" s="20">
        <v>6</v>
      </c>
      <c r="N5692" s="1">
        <v>71</v>
      </c>
    </row>
    <row r="5693" spans="1:14" x14ac:dyDescent="0.25">
      <c r="A5693" t="str">
        <f t="shared" si="178"/>
        <v>U152757U152757</v>
      </c>
      <c r="B5693" t="str">
        <f t="shared" si="179"/>
        <v>U152757P6036SS-M</v>
      </c>
      <c r="C5693" s="1" t="s">
        <v>52</v>
      </c>
      <c r="D5693" s="1" t="s">
        <v>851</v>
      </c>
      <c r="E5693" s="1" t="s">
        <v>436</v>
      </c>
      <c r="F5693" s="1" t="s">
        <v>442</v>
      </c>
      <c r="G5693" s="1" t="s">
        <v>438</v>
      </c>
      <c r="H5693" s="1">
        <v>1200</v>
      </c>
      <c r="I5693" s="3">
        <v>46287</v>
      </c>
      <c r="L5693" s="31">
        <v>46287.679402777772</v>
      </c>
      <c r="M5693" s="20">
        <v>6</v>
      </c>
      <c r="N5693" s="1">
        <v>2</v>
      </c>
    </row>
    <row r="5694" spans="1:14" x14ac:dyDescent="0.25">
      <c r="A5694" t="str">
        <f t="shared" si="178"/>
        <v>U152757U152757</v>
      </c>
      <c r="B5694" t="str">
        <f t="shared" si="179"/>
        <v>U152757P6036SS-M</v>
      </c>
      <c r="C5694" s="1" t="s">
        <v>52</v>
      </c>
      <c r="D5694" s="1" t="s">
        <v>851</v>
      </c>
      <c r="E5694" s="1" t="s">
        <v>436</v>
      </c>
      <c r="F5694" s="1" t="s">
        <v>442</v>
      </c>
      <c r="G5694" s="1" t="s">
        <v>438</v>
      </c>
      <c r="H5694" s="1">
        <v>1200</v>
      </c>
      <c r="I5694" s="3">
        <v>46287</v>
      </c>
      <c r="L5694" s="31">
        <v>46287.679618981478</v>
      </c>
      <c r="M5694" s="20">
        <v>6</v>
      </c>
      <c r="N5694" s="1">
        <v>57</v>
      </c>
    </row>
    <row r="5695" spans="1:14" x14ac:dyDescent="0.25">
      <c r="A5695" t="str">
        <f t="shared" si="178"/>
        <v>U152757U152757</v>
      </c>
      <c r="B5695" t="str">
        <f t="shared" si="179"/>
        <v>U152757P6036SS-M</v>
      </c>
      <c r="C5695" s="1" t="s">
        <v>52</v>
      </c>
      <c r="D5695" s="1" t="s">
        <v>851</v>
      </c>
      <c r="E5695" s="1" t="s">
        <v>436</v>
      </c>
      <c r="F5695" s="1" t="s">
        <v>442</v>
      </c>
      <c r="G5695" s="1" t="s">
        <v>438</v>
      </c>
      <c r="H5695" s="1">
        <v>1200</v>
      </c>
      <c r="I5695" s="3">
        <v>46287</v>
      </c>
      <c r="L5695" s="31">
        <v>46287.679791782408</v>
      </c>
      <c r="M5695" s="20">
        <v>6</v>
      </c>
      <c r="N5695" s="1">
        <v>55</v>
      </c>
    </row>
    <row r="5696" spans="1:14" x14ac:dyDescent="0.25">
      <c r="A5696" t="str">
        <f t="shared" si="178"/>
        <v>U152757U152757</v>
      </c>
      <c r="B5696" t="str">
        <f t="shared" si="179"/>
        <v>U152757P6036SS-M</v>
      </c>
      <c r="C5696" s="1" t="s">
        <v>52</v>
      </c>
      <c r="D5696" s="1" t="s">
        <v>851</v>
      </c>
      <c r="E5696" s="1" t="s">
        <v>436</v>
      </c>
      <c r="F5696" s="1" t="s">
        <v>442</v>
      </c>
      <c r="G5696" s="1" t="s">
        <v>438</v>
      </c>
      <c r="H5696" s="1">
        <v>1200</v>
      </c>
      <c r="I5696" s="3">
        <v>46287</v>
      </c>
      <c r="L5696" s="31">
        <v>46287.680003437497</v>
      </c>
      <c r="M5696" s="20">
        <v>6</v>
      </c>
      <c r="N5696" s="1">
        <v>72</v>
      </c>
    </row>
    <row r="5697" spans="1:14" x14ac:dyDescent="0.25">
      <c r="A5697" t="str">
        <f t="shared" si="178"/>
        <v>U152757U152757</v>
      </c>
      <c r="B5697" t="str">
        <f t="shared" si="179"/>
        <v>U152757P6036SS-M</v>
      </c>
      <c r="C5697" s="1" t="s">
        <v>52</v>
      </c>
      <c r="D5697" s="1" t="s">
        <v>851</v>
      </c>
      <c r="E5697" s="1" t="s">
        <v>436</v>
      </c>
      <c r="F5697" s="1" t="s">
        <v>442</v>
      </c>
      <c r="G5697" s="1" t="s">
        <v>438</v>
      </c>
      <c r="H5697" s="1">
        <v>1200</v>
      </c>
      <c r="I5697" s="3">
        <v>46287</v>
      </c>
      <c r="L5697" s="31">
        <v>46287.680289930555</v>
      </c>
      <c r="M5697" s="20">
        <v>6</v>
      </c>
      <c r="N5697" s="1">
        <v>5</v>
      </c>
    </row>
    <row r="5698" spans="1:14" x14ac:dyDescent="0.25">
      <c r="A5698" t="str">
        <f t="shared" ref="A5698:A5761" si="180">+D5698&amp;D5698</f>
        <v>U152757U152757</v>
      </c>
      <c r="B5698" t="str">
        <f t="shared" ref="B5698:B5761" si="181">+D5698&amp;C5698</f>
        <v>U152757P6036SS-M</v>
      </c>
      <c r="C5698" s="1" t="s">
        <v>52</v>
      </c>
      <c r="D5698" s="1" t="s">
        <v>851</v>
      </c>
      <c r="E5698" s="1" t="s">
        <v>436</v>
      </c>
      <c r="F5698" s="1" t="s">
        <v>442</v>
      </c>
      <c r="G5698" s="1" t="s">
        <v>438</v>
      </c>
      <c r="H5698" s="1">
        <v>1200</v>
      </c>
      <c r="I5698" s="3">
        <v>46287</v>
      </c>
      <c r="L5698" s="31">
        <v>46287.680491631945</v>
      </c>
      <c r="M5698" s="20">
        <v>6</v>
      </c>
      <c r="N5698" s="1">
        <v>76</v>
      </c>
    </row>
    <row r="5699" spans="1:14" x14ac:dyDescent="0.25">
      <c r="A5699" t="str">
        <f t="shared" si="180"/>
        <v>U152757U152757</v>
      </c>
      <c r="B5699" t="str">
        <f t="shared" si="181"/>
        <v>U152757P6036SS-M</v>
      </c>
      <c r="C5699" s="1" t="s">
        <v>52</v>
      </c>
      <c r="D5699" s="1" t="s">
        <v>851</v>
      </c>
      <c r="E5699" s="1" t="s">
        <v>436</v>
      </c>
      <c r="F5699" s="1" t="s">
        <v>442</v>
      </c>
      <c r="G5699" s="1" t="s">
        <v>438</v>
      </c>
      <c r="H5699" s="1">
        <v>1200</v>
      </c>
      <c r="I5699" s="3">
        <v>46287</v>
      </c>
      <c r="L5699" s="31">
        <v>46287.680696643518</v>
      </c>
      <c r="M5699" s="20">
        <v>6</v>
      </c>
      <c r="N5699" s="1">
        <v>51</v>
      </c>
    </row>
    <row r="5700" spans="1:14" x14ac:dyDescent="0.25">
      <c r="A5700" t="str">
        <f t="shared" si="180"/>
        <v>U152757U152757</v>
      </c>
      <c r="B5700" t="str">
        <f t="shared" si="181"/>
        <v>U152757P6036SS-M</v>
      </c>
      <c r="C5700" s="1" t="s">
        <v>52</v>
      </c>
      <c r="D5700" s="1" t="s">
        <v>851</v>
      </c>
      <c r="E5700" s="1" t="s">
        <v>436</v>
      </c>
      <c r="F5700" s="1" t="s">
        <v>442</v>
      </c>
      <c r="G5700" s="1" t="s">
        <v>438</v>
      </c>
      <c r="H5700" s="1">
        <v>1200</v>
      </c>
      <c r="I5700" s="3">
        <v>46287</v>
      </c>
      <c r="L5700" s="31">
        <v>46287.680881979162</v>
      </c>
      <c r="M5700" s="20">
        <v>6</v>
      </c>
      <c r="N5700" s="1">
        <v>59</v>
      </c>
    </row>
    <row r="5701" spans="1:14" x14ac:dyDescent="0.25">
      <c r="A5701" t="str">
        <f t="shared" si="180"/>
        <v>U152757U152757</v>
      </c>
      <c r="B5701" t="str">
        <f t="shared" si="181"/>
        <v>U152757P6036SS-M</v>
      </c>
      <c r="C5701" s="1" t="s">
        <v>52</v>
      </c>
      <c r="D5701" s="1" t="s">
        <v>851</v>
      </c>
      <c r="E5701" s="1" t="s">
        <v>436</v>
      </c>
      <c r="F5701" s="1" t="s">
        <v>442</v>
      </c>
      <c r="G5701" s="1" t="s">
        <v>438</v>
      </c>
      <c r="H5701" s="1">
        <v>1200</v>
      </c>
      <c r="I5701" s="3">
        <v>46287</v>
      </c>
      <c r="L5701" s="31">
        <v>46287.681298530093</v>
      </c>
      <c r="M5701" s="20">
        <v>6</v>
      </c>
      <c r="N5701" s="1">
        <v>9</v>
      </c>
    </row>
    <row r="5702" spans="1:14" x14ac:dyDescent="0.25">
      <c r="A5702" t="str">
        <f t="shared" si="180"/>
        <v>U152757U152757</v>
      </c>
      <c r="B5702" t="str">
        <f t="shared" si="181"/>
        <v>U152757P6036SS-M</v>
      </c>
      <c r="C5702" s="1" t="s">
        <v>52</v>
      </c>
      <c r="D5702" s="1" t="s">
        <v>851</v>
      </c>
      <c r="E5702" s="1" t="s">
        <v>436</v>
      </c>
      <c r="F5702" s="1" t="s">
        <v>442</v>
      </c>
      <c r="G5702" s="1" t="s">
        <v>438</v>
      </c>
      <c r="H5702" s="1">
        <v>1200</v>
      </c>
      <c r="I5702" s="3">
        <v>46287</v>
      </c>
      <c r="L5702" s="31">
        <v>46287.681925960649</v>
      </c>
      <c r="M5702" s="20">
        <v>6</v>
      </c>
      <c r="N5702" s="1">
        <v>65</v>
      </c>
    </row>
    <row r="5703" spans="1:14" x14ac:dyDescent="0.25">
      <c r="A5703" t="str">
        <f t="shared" si="180"/>
        <v>U152757U152757</v>
      </c>
      <c r="B5703" t="str">
        <f t="shared" si="181"/>
        <v>U152757P6036SS-M</v>
      </c>
      <c r="C5703" s="1" t="s">
        <v>52</v>
      </c>
      <c r="D5703" s="1" t="s">
        <v>851</v>
      </c>
      <c r="E5703" s="1" t="s">
        <v>436</v>
      </c>
      <c r="F5703" s="1" t="s">
        <v>442</v>
      </c>
      <c r="G5703" s="1" t="s">
        <v>438</v>
      </c>
      <c r="H5703" s="1">
        <v>1200</v>
      </c>
      <c r="I5703" s="3">
        <v>46287</v>
      </c>
      <c r="L5703" s="31">
        <v>46287.682949421294</v>
      </c>
      <c r="M5703" s="20">
        <v>6</v>
      </c>
      <c r="N5703" s="1">
        <v>3</v>
      </c>
    </row>
    <row r="5704" spans="1:14" x14ac:dyDescent="0.25">
      <c r="A5704" t="str">
        <f t="shared" si="180"/>
        <v>U152757U152757</v>
      </c>
      <c r="B5704" t="str">
        <f t="shared" si="181"/>
        <v>U152757P6036SS-M</v>
      </c>
      <c r="C5704" s="1" t="s">
        <v>52</v>
      </c>
      <c r="D5704" s="1" t="s">
        <v>851</v>
      </c>
      <c r="E5704" s="1" t="s">
        <v>436</v>
      </c>
      <c r="F5704" s="1" t="s">
        <v>442</v>
      </c>
      <c r="G5704" s="1" t="s">
        <v>438</v>
      </c>
      <c r="H5704" s="1">
        <v>1200</v>
      </c>
      <c r="I5704" s="3">
        <v>46287</v>
      </c>
      <c r="L5704" s="31">
        <v>46287.683073414351</v>
      </c>
      <c r="M5704" s="20">
        <v>6</v>
      </c>
      <c r="N5704" s="1">
        <v>1</v>
      </c>
    </row>
    <row r="5705" spans="1:14" x14ac:dyDescent="0.25">
      <c r="A5705" t="str">
        <f t="shared" si="180"/>
        <v>U152757U152757</v>
      </c>
      <c r="B5705" t="str">
        <f t="shared" si="181"/>
        <v>U152757P6036SS-M</v>
      </c>
      <c r="C5705" s="1" t="s">
        <v>52</v>
      </c>
      <c r="D5705" s="1" t="s">
        <v>851</v>
      </c>
      <c r="E5705" s="1" t="s">
        <v>436</v>
      </c>
      <c r="F5705" s="1" t="s">
        <v>442</v>
      </c>
      <c r="G5705" s="1" t="s">
        <v>438</v>
      </c>
      <c r="H5705" s="1">
        <v>1200</v>
      </c>
      <c r="I5705" s="3">
        <v>46287</v>
      </c>
      <c r="L5705" s="31">
        <v>46287.683300231482</v>
      </c>
      <c r="M5705" s="20">
        <v>6</v>
      </c>
      <c r="N5705" s="1">
        <v>50</v>
      </c>
    </row>
    <row r="5706" spans="1:14" x14ac:dyDescent="0.25">
      <c r="A5706" t="str">
        <f t="shared" si="180"/>
        <v>U152757U152757</v>
      </c>
      <c r="B5706" t="str">
        <f t="shared" si="181"/>
        <v>U152757P6036SS-M</v>
      </c>
      <c r="C5706" s="1" t="s">
        <v>52</v>
      </c>
      <c r="D5706" s="1" t="s">
        <v>851</v>
      </c>
      <c r="E5706" s="1" t="s">
        <v>436</v>
      </c>
      <c r="F5706" s="1" t="s">
        <v>442</v>
      </c>
      <c r="G5706" s="1" t="s">
        <v>438</v>
      </c>
      <c r="H5706" s="1">
        <v>1200</v>
      </c>
      <c r="I5706" s="3">
        <v>46287</v>
      </c>
      <c r="L5706" s="31">
        <v>46287.685764930553</v>
      </c>
      <c r="M5706" s="20">
        <v>12</v>
      </c>
      <c r="N5706" s="1">
        <v>110</v>
      </c>
    </row>
    <row r="5707" spans="1:14" x14ac:dyDescent="0.25">
      <c r="A5707" t="str">
        <f t="shared" si="180"/>
        <v>U152757U152757</v>
      </c>
      <c r="B5707" t="str">
        <f t="shared" si="181"/>
        <v>U152757P6036SS-M</v>
      </c>
      <c r="C5707" s="1" t="s">
        <v>52</v>
      </c>
      <c r="D5707" s="1" t="s">
        <v>851</v>
      </c>
      <c r="E5707" s="1" t="s">
        <v>436</v>
      </c>
      <c r="F5707" s="1" t="s">
        <v>442</v>
      </c>
      <c r="G5707" s="1" t="s">
        <v>438</v>
      </c>
      <c r="H5707" s="1">
        <v>1200</v>
      </c>
      <c r="I5707" s="3">
        <v>46287</v>
      </c>
      <c r="L5707" s="31">
        <v>46287.686060416665</v>
      </c>
      <c r="M5707" s="20">
        <v>12</v>
      </c>
      <c r="N5707" s="1">
        <v>109</v>
      </c>
    </row>
    <row r="5708" spans="1:14" x14ac:dyDescent="0.25">
      <c r="A5708" t="str">
        <f t="shared" si="180"/>
        <v>U152757U152757</v>
      </c>
      <c r="B5708" t="str">
        <f t="shared" si="181"/>
        <v>U152757P6036SS-M</v>
      </c>
      <c r="C5708" s="1" t="s">
        <v>52</v>
      </c>
      <c r="D5708" s="1" t="s">
        <v>851</v>
      </c>
      <c r="E5708" s="1" t="s">
        <v>436</v>
      </c>
      <c r="F5708" s="1" t="s">
        <v>442</v>
      </c>
      <c r="G5708" s="1" t="s">
        <v>438</v>
      </c>
      <c r="H5708" s="1">
        <v>1200</v>
      </c>
      <c r="I5708" s="3">
        <v>46287</v>
      </c>
      <c r="L5708" s="31">
        <v>46287.686878090273</v>
      </c>
      <c r="M5708" s="20">
        <v>12</v>
      </c>
      <c r="N5708" s="1">
        <v>119</v>
      </c>
    </row>
    <row r="5709" spans="1:14" x14ac:dyDescent="0.25">
      <c r="A5709" t="str">
        <f t="shared" si="180"/>
        <v>U152757U152757</v>
      </c>
      <c r="B5709" t="str">
        <f t="shared" si="181"/>
        <v>U152757P6036SS-M</v>
      </c>
      <c r="C5709" s="1" t="s">
        <v>52</v>
      </c>
      <c r="D5709" s="1" t="s">
        <v>851</v>
      </c>
      <c r="E5709" s="1" t="s">
        <v>436</v>
      </c>
      <c r="F5709" s="1" t="s">
        <v>442</v>
      </c>
      <c r="G5709" s="1" t="s">
        <v>438</v>
      </c>
      <c r="H5709" s="1">
        <v>1200</v>
      </c>
      <c r="I5709" s="3">
        <v>46287</v>
      </c>
      <c r="L5709" s="31">
        <v>46287.68717005787</v>
      </c>
      <c r="M5709" s="20">
        <v>12</v>
      </c>
      <c r="N5709" s="1">
        <v>118</v>
      </c>
    </row>
    <row r="5710" spans="1:14" x14ac:dyDescent="0.25">
      <c r="A5710" t="str">
        <f t="shared" si="180"/>
        <v>U152757U152757</v>
      </c>
      <c r="B5710" t="str">
        <f t="shared" si="181"/>
        <v>U152757P6036SS-M</v>
      </c>
      <c r="C5710" s="1" t="s">
        <v>52</v>
      </c>
      <c r="D5710" s="1" t="s">
        <v>851</v>
      </c>
      <c r="E5710" s="1" t="s">
        <v>436</v>
      </c>
      <c r="F5710" s="1" t="s">
        <v>442</v>
      </c>
      <c r="G5710" s="1" t="s">
        <v>438</v>
      </c>
      <c r="H5710" s="1">
        <v>1200</v>
      </c>
      <c r="I5710" s="3">
        <v>46287</v>
      </c>
      <c r="L5710" s="31">
        <v>46287.688346909723</v>
      </c>
      <c r="M5710" s="20">
        <v>12</v>
      </c>
      <c r="N5710" s="1">
        <v>108</v>
      </c>
    </row>
    <row r="5711" spans="1:14" x14ac:dyDescent="0.25">
      <c r="A5711" t="str">
        <f t="shared" si="180"/>
        <v>U152757U152757</v>
      </c>
      <c r="B5711" t="str">
        <f t="shared" si="181"/>
        <v>U152757P6036SS-M</v>
      </c>
      <c r="C5711" s="1" t="s">
        <v>52</v>
      </c>
      <c r="D5711" s="1" t="s">
        <v>851</v>
      </c>
      <c r="E5711" s="1" t="s">
        <v>436</v>
      </c>
      <c r="F5711" s="1" t="s">
        <v>442</v>
      </c>
      <c r="G5711" s="1" t="s">
        <v>438</v>
      </c>
      <c r="H5711" s="1">
        <v>1200</v>
      </c>
      <c r="I5711" s="3">
        <v>46287</v>
      </c>
      <c r="L5711" s="31">
        <v>46287.691389699074</v>
      </c>
      <c r="M5711" s="20">
        <v>12</v>
      </c>
      <c r="N5711" s="1">
        <v>120</v>
      </c>
    </row>
    <row r="5712" spans="1:14" x14ac:dyDescent="0.25">
      <c r="A5712" t="str">
        <f t="shared" si="180"/>
        <v>U152757U152757</v>
      </c>
      <c r="B5712" t="str">
        <f t="shared" si="181"/>
        <v>U152757P6036SS-M</v>
      </c>
      <c r="C5712" s="1" t="s">
        <v>52</v>
      </c>
      <c r="D5712" s="1" t="s">
        <v>851</v>
      </c>
      <c r="E5712" s="1" t="s">
        <v>436</v>
      </c>
      <c r="F5712" s="1" t="s">
        <v>442</v>
      </c>
      <c r="G5712" s="1" t="s">
        <v>438</v>
      </c>
      <c r="H5712" s="1">
        <v>1200</v>
      </c>
      <c r="I5712" s="3">
        <v>46287</v>
      </c>
      <c r="L5712" s="31">
        <v>46287.696548113425</v>
      </c>
      <c r="M5712" s="20">
        <v>6</v>
      </c>
      <c r="N5712" s="1">
        <v>11</v>
      </c>
    </row>
    <row r="5713" spans="1:14" x14ac:dyDescent="0.25">
      <c r="A5713" t="str">
        <f t="shared" si="180"/>
        <v>U152757U152757</v>
      </c>
      <c r="B5713" t="str">
        <f t="shared" si="181"/>
        <v>U152757P6036SS-M</v>
      </c>
      <c r="C5713" s="1" t="s">
        <v>52</v>
      </c>
      <c r="D5713" s="1" t="s">
        <v>851</v>
      </c>
      <c r="E5713" s="1" t="s">
        <v>436</v>
      </c>
      <c r="F5713" s="1" t="s">
        <v>442</v>
      </c>
      <c r="G5713" s="1" t="s">
        <v>438</v>
      </c>
      <c r="H5713" s="1">
        <v>1200</v>
      </c>
      <c r="I5713" s="3">
        <v>46287</v>
      </c>
      <c r="L5713" s="31">
        <v>46287.697614618053</v>
      </c>
      <c r="M5713" s="20">
        <v>6</v>
      </c>
      <c r="N5713" s="1">
        <v>69</v>
      </c>
    </row>
    <row r="5714" spans="1:14" x14ac:dyDescent="0.25">
      <c r="A5714" t="str">
        <f t="shared" si="180"/>
        <v>U152774U152774</v>
      </c>
      <c r="B5714" t="str">
        <f t="shared" si="181"/>
        <v>U152774PC9060LL-M</v>
      </c>
      <c r="C5714" s="1" t="s">
        <v>65</v>
      </c>
      <c r="D5714" s="1" t="s">
        <v>854</v>
      </c>
      <c r="E5714" s="1" t="s">
        <v>436</v>
      </c>
      <c r="F5714" s="1" t="s">
        <v>443</v>
      </c>
      <c r="G5714" s="1" t="s">
        <v>444</v>
      </c>
      <c r="H5714" s="1">
        <v>780</v>
      </c>
      <c r="I5714" s="3">
        <v>46287</v>
      </c>
      <c r="L5714" s="31">
        <v>46287.68627337963</v>
      </c>
      <c r="M5714" s="20">
        <v>12</v>
      </c>
      <c r="N5714" s="1">
        <v>56</v>
      </c>
    </row>
    <row r="5715" spans="1:14" x14ac:dyDescent="0.25">
      <c r="A5715" t="str">
        <f t="shared" si="180"/>
        <v>U152774U152774</v>
      </c>
      <c r="B5715" t="str">
        <f t="shared" si="181"/>
        <v>U152774PC9060LL-M</v>
      </c>
      <c r="C5715" s="1" t="s">
        <v>65</v>
      </c>
      <c r="D5715" s="1" t="s">
        <v>854</v>
      </c>
      <c r="E5715" s="1" t="s">
        <v>436</v>
      </c>
      <c r="F5715" s="1" t="s">
        <v>443</v>
      </c>
      <c r="G5715" s="1" t="s">
        <v>444</v>
      </c>
      <c r="H5715" s="1">
        <v>780</v>
      </c>
      <c r="I5715" s="3">
        <v>46287</v>
      </c>
      <c r="L5715" s="31">
        <v>46287.70886825231</v>
      </c>
      <c r="M5715" s="20">
        <v>12</v>
      </c>
      <c r="N5715" s="1">
        <v>39</v>
      </c>
    </row>
    <row r="5716" spans="1:14" x14ac:dyDescent="0.25">
      <c r="A5716" t="str">
        <f t="shared" si="180"/>
        <v>U152774U152774</v>
      </c>
      <c r="B5716" t="str">
        <f t="shared" si="181"/>
        <v>U152774PC9060LL-M</v>
      </c>
      <c r="C5716" s="1" t="s">
        <v>65</v>
      </c>
      <c r="D5716" s="1" t="s">
        <v>854</v>
      </c>
      <c r="E5716" s="1" t="s">
        <v>436</v>
      </c>
      <c r="F5716" s="1" t="s">
        <v>443</v>
      </c>
      <c r="G5716" s="1" t="s">
        <v>444</v>
      </c>
      <c r="H5716" s="1">
        <v>780</v>
      </c>
      <c r="I5716" s="3">
        <v>46287</v>
      </c>
      <c r="L5716" s="31">
        <v>46287.710835381942</v>
      </c>
      <c r="M5716" s="20">
        <v>12</v>
      </c>
      <c r="N5716" s="1">
        <v>36</v>
      </c>
    </row>
    <row r="5717" spans="1:14" x14ac:dyDescent="0.25">
      <c r="A5717" t="str">
        <f t="shared" si="180"/>
        <v>U152774U152774</v>
      </c>
      <c r="B5717" t="str">
        <f t="shared" si="181"/>
        <v>U152774PC9060LL-M</v>
      </c>
      <c r="C5717" s="1" t="s">
        <v>65</v>
      </c>
      <c r="D5717" s="1" t="s">
        <v>854</v>
      </c>
      <c r="E5717" s="1" t="s">
        <v>436</v>
      </c>
      <c r="F5717" s="1" t="s">
        <v>443</v>
      </c>
      <c r="G5717" s="1" t="s">
        <v>444</v>
      </c>
      <c r="H5717" s="1">
        <v>780</v>
      </c>
      <c r="I5717" s="3">
        <v>46287</v>
      </c>
      <c r="L5717" s="31">
        <v>46287.743243136574</v>
      </c>
      <c r="M5717" s="20">
        <v>12</v>
      </c>
      <c r="N5717" s="1">
        <v>57</v>
      </c>
    </row>
    <row r="5718" spans="1:14" x14ac:dyDescent="0.25">
      <c r="A5718" t="str">
        <f t="shared" si="180"/>
        <v>U152774U152774</v>
      </c>
      <c r="B5718" t="str">
        <f t="shared" si="181"/>
        <v>U152774PC9060LL-M</v>
      </c>
      <c r="C5718" s="1" t="s">
        <v>65</v>
      </c>
      <c r="D5718" s="1" t="s">
        <v>854</v>
      </c>
      <c r="E5718" s="1" t="s">
        <v>436</v>
      </c>
      <c r="F5718" s="1" t="s">
        <v>443</v>
      </c>
      <c r="G5718" s="1" t="s">
        <v>444</v>
      </c>
      <c r="H5718" s="1">
        <v>780</v>
      </c>
      <c r="I5718" s="3">
        <v>46287</v>
      </c>
      <c r="L5718" s="31">
        <v>46287.743660879627</v>
      </c>
      <c r="M5718" s="20">
        <v>12</v>
      </c>
      <c r="N5718" s="1">
        <v>40</v>
      </c>
    </row>
    <row r="5719" spans="1:14" x14ac:dyDescent="0.25">
      <c r="A5719" t="str">
        <f t="shared" si="180"/>
        <v>U152774U152774</v>
      </c>
      <c r="B5719" t="str">
        <f t="shared" si="181"/>
        <v>U152774PC9060LL-M</v>
      </c>
      <c r="C5719" s="1" t="s">
        <v>65</v>
      </c>
      <c r="D5719" s="1" t="s">
        <v>854</v>
      </c>
      <c r="E5719" s="1" t="s">
        <v>436</v>
      </c>
      <c r="F5719" s="1" t="s">
        <v>443</v>
      </c>
      <c r="G5719" s="1" t="s">
        <v>444</v>
      </c>
      <c r="H5719" s="1">
        <v>780</v>
      </c>
      <c r="I5719" s="3">
        <v>46287</v>
      </c>
      <c r="L5719" s="31">
        <v>46287.743895023144</v>
      </c>
      <c r="M5719" s="20">
        <v>12</v>
      </c>
      <c r="N5719" s="1">
        <v>33</v>
      </c>
    </row>
    <row r="5720" spans="1:14" x14ac:dyDescent="0.25">
      <c r="A5720" t="str">
        <f t="shared" si="180"/>
        <v>U152774U152774</v>
      </c>
      <c r="B5720" t="str">
        <f t="shared" si="181"/>
        <v>U152774PC9060LL-M</v>
      </c>
      <c r="C5720" s="1" t="s">
        <v>65</v>
      </c>
      <c r="D5720" s="1" t="s">
        <v>854</v>
      </c>
      <c r="E5720" s="1" t="s">
        <v>436</v>
      </c>
      <c r="F5720" s="1" t="s">
        <v>443</v>
      </c>
      <c r="G5720" s="1" t="s">
        <v>444</v>
      </c>
      <c r="H5720" s="1">
        <v>780</v>
      </c>
      <c r="I5720" s="3">
        <v>46287</v>
      </c>
      <c r="L5720" s="31">
        <v>46287.744210879631</v>
      </c>
      <c r="M5720" s="20">
        <v>12</v>
      </c>
      <c r="N5720" s="1">
        <v>24</v>
      </c>
    </row>
    <row r="5721" spans="1:14" x14ac:dyDescent="0.25">
      <c r="A5721" t="str">
        <f t="shared" si="180"/>
        <v>U152781U152781</v>
      </c>
      <c r="B5721" t="str">
        <f t="shared" si="181"/>
        <v>U152781G9060744-M</v>
      </c>
      <c r="C5721" s="1" t="s">
        <v>845</v>
      </c>
      <c r="D5721" s="1" t="s">
        <v>846</v>
      </c>
      <c r="E5721" s="1" t="s">
        <v>436</v>
      </c>
      <c r="F5721" s="1" t="s">
        <v>443</v>
      </c>
      <c r="G5721" s="1" t="s">
        <v>444</v>
      </c>
      <c r="H5721" s="1">
        <v>1476</v>
      </c>
      <c r="I5721" s="3">
        <v>46287</v>
      </c>
      <c r="L5721" s="31">
        <v>46287.614970023147</v>
      </c>
      <c r="M5721" s="20">
        <v>12</v>
      </c>
      <c r="N5721" s="1">
        <v>58</v>
      </c>
    </row>
    <row r="5722" spans="1:14" x14ac:dyDescent="0.25">
      <c r="A5722" t="str">
        <f t="shared" si="180"/>
        <v>U152781U152781</v>
      </c>
      <c r="B5722" t="str">
        <f t="shared" si="181"/>
        <v>U152781G9060744-M</v>
      </c>
      <c r="C5722" s="1" t="s">
        <v>845</v>
      </c>
      <c r="D5722" s="1" t="s">
        <v>846</v>
      </c>
      <c r="E5722" s="1" t="s">
        <v>436</v>
      </c>
      <c r="F5722" s="1" t="s">
        <v>443</v>
      </c>
      <c r="G5722" s="1" t="s">
        <v>444</v>
      </c>
      <c r="H5722" s="1">
        <v>1476</v>
      </c>
      <c r="I5722" s="3">
        <v>46287</v>
      </c>
      <c r="L5722" s="31">
        <v>46287.622228125001</v>
      </c>
      <c r="M5722" s="20">
        <v>12</v>
      </c>
      <c r="N5722" s="1">
        <v>74</v>
      </c>
    </row>
    <row r="5723" spans="1:14" x14ac:dyDescent="0.25">
      <c r="A5723" t="str">
        <f t="shared" si="180"/>
        <v>U152781U152781</v>
      </c>
      <c r="B5723" t="str">
        <f t="shared" si="181"/>
        <v>U152781G9060744-M</v>
      </c>
      <c r="C5723" s="1" t="s">
        <v>845</v>
      </c>
      <c r="D5723" s="1" t="s">
        <v>846</v>
      </c>
      <c r="E5723" s="1" t="s">
        <v>436</v>
      </c>
      <c r="F5723" s="1" t="s">
        <v>443</v>
      </c>
      <c r="G5723" s="1" t="s">
        <v>444</v>
      </c>
      <c r="H5723" s="1">
        <v>1476</v>
      </c>
      <c r="I5723" s="3">
        <v>46287</v>
      </c>
      <c r="L5723" s="31">
        <v>46287.666763576388</v>
      </c>
      <c r="M5723" s="20">
        <v>12</v>
      </c>
      <c r="N5723" s="1">
        <v>42</v>
      </c>
    </row>
    <row r="5724" spans="1:14" x14ac:dyDescent="0.25">
      <c r="A5724" t="str">
        <f t="shared" si="180"/>
        <v>U152781U152781</v>
      </c>
      <c r="B5724" t="str">
        <f t="shared" si="181"/>
        <v>U152781G9060744-M</v>
      </c>
      <c r="C5724" s="1" t="s">
        <v>845</v>
      </c>
      <c r="D5724" s="1" t="s">
        <v>846</v>
      </c>
      <c r="E5724" s="1" t="s">
        <v>436</v>
      </c>
      <c r="F5724" s="1" t="s">
        <v>443</v>
      </c>
      <c r="G5724" s="1" t="s">
        <v>444</v>
      </c>
      <c r="H5724" s="1">
        <v>1476</v>
      </c>
      <c r="I5724" s="3">
        <v>46287</v>
      </c>
      <c r="L5724" s="31">
        <v>46287.668435497682</v>
      </c>
      <c r="M5724" s="20">
        <v>12</v>
      </c>
      <c r="N5724" s="1">
        <v>60</v>
      </c>
    </row>
    <row r="5725" spans="1:14" x14ac:dyDescent="0.25">
      <c r="A5725" t="str">
        <f t="shared" si="180"/>
        <v>U152781U152781</v>
      </c>
      <c r="B5725" t="str">
        <f t="shared" si="181"/>
        <v>U152781G9060744-M</v>
      </c>
      <c r="C5725" s="1" t="s">
        <v>845</v>
      </c>
      <c r="D5725" s="1" t="s">
        <v>846</v>
      </c>
      <c r="E5725" s="1" t="s">
        <v>436</v>
      </c>
      <c r="F5725" s="1" t="s">
        <v>443</v>
      </c>
      <c r="G5725" s="1" t="s">
        <v>444</v>
      </c>
      <c r="H5725" s="1">
        <v>1476</v>
      </c>
      <c r="I5725" s="3">
        <v>46287</v>
      </c>
      <c r="L5725" s="31">
        <v>46287.668603900463</v>
      </c>
      <c r="M5725" s="20">
        <v>12</v>
      </c>
      <c r="N5725" s="1">
        <v>105</v>
      </c>
    </row>
    <row r="5726" spans="1:14" x14ac:dyDescent="0.25">
      <c r="A5726" t="str">
        <f t="shared" si="180"/>
        <v>U152781U152781</v>
      </c>
      <c r="B5726" t="str">
        <f t="shared" si="181"/>
        <v>U152781G9060744-M</v>
      </c>
      <c r="C5726" s="1" t="s">
        <v>845</v>
      </c>
      <c r="D5726" s="1" t="s">
        <v>846</v>
      </c>
      <c r="E5726" s="1" t="s">
        <v>436</v>
      </c>
      <c r="F5726" s="1" t="s">
        <v>443</v>
      </c>
      <c r="G5726" s="1" t="s">
        <v>444</v>
      </c>
      <c r="H5726" s="1">
        <v>1476</v>
      </c>
      <c r="I5726" s="3">
        <v>46287</v>
      </c>
      <c r="L5726" s="31">
        <v>46287.694909641199</v>
      </c>
      <c r="M5726" s="20">
        <v>12</v>
      </c>
      <c r="N5726" s="1">
        <v>62</v>
      </c>
    </row>
    <row r="5727" spans="1:14" x14ac:dyDescent="0.25">
      <c r="A5727" t="str">
        <f t="shared" si="180"/>
        <v>U152781U152781</v>
      </c>
      <c r="B5727" t="str">
        <f t="shared" si="181"/>
        <v>U152781G9060744-M</v>
      </c>
      <c r="C5727" s="1" t="s">
        <v>845</v>
      </c>
      <c r="D5727" s="1" t="s">
        <v>846</v>
      </c>
      <c r="E5727" s="1" t="s">
        <v>436</v>
      </c>
      <c r="F5727" s="1" t="s">
        <v>443</v>
      </c>
      <c r="G5727" s="1" t="s">
        <v>444</v>
      </c>
      <c r="H5727" s="1">
        <v>1476</v>
      </c>
      <c r="I5727" s="3">
        <v>46287</v>
      </c>
      <c r="L5727" s="31">
        <v>46287.695082905091</v>
      </c>
      <c r="M5727" s="20">
        <v>12</v>
      </c>
      <c r="N5727" s="1">
        <v>17</v>
      </c>
    </row>
    <row r="5728" spans="1:14" x14ac:dyDescent="0.25">
      <c r="A5728" t="str">
        <f t="shared" si="180"/>
        <v>U152781U152781</v>
      </c>
      <c r="B5728" t="str">
        <f t="shared" si="181"/>
        <v>U152781G9060744-M</v>
      </c>
      <c r="C5728" s="1" t="s">
        <v>845</v>
      </c>
      <c r="D5728" s="1" t="s">
        <v>846</v>
      </c>
      <c r="E5728" s="1" t="s">
        <v>436</v>
      </c>
      <c r="F5728" s="1" t="s">
        <v>443</v>
      </c>
      <c r="G5728" s="1" t="s">
        <v>444</v>
      </c>
      <c r="H5728" s="1">
        <v>1476</v>
      </c>
      <c r="I5728" s="3">
        <v>46287</v>
      </c>
      <c r="L5728" s="31">
        <v>46287.695236423606</v>
      </c>
      <c r="M5728" s="20">
        <v>12</v>
      </c>
      <c r="N5728" s="1">
        <v>108</v>
      </c>
    </row>
    <row r="5729" spans="1:14" x14ac:dyDescent="0.25">
      <c r="A5729" t="str">
        <f t="shared" si="180"/>
        <v>U152781U152781</v>
      </c>
      <c r="B5729" t="str">
        <f t="shared" si="181"/>
        <v>U152781G9060744-M</v>
      </c>
      <c r="C5729" s="1" t="s">
        <v>845</v>
      </c>
      <c r="D5729" s="1" t="s">
        <v>846</v>
      </c>
      <c r="E5729" s="1" t="s">
        <v>436</v>
      </c>
      <c r="F5729" s="1" t="s">
        <v>443</v>
      </c>
      <c r="G5729" s="1" t="s">
        <v>444</v>
      </c>
      <c r="H5729" s="1">
        <v>1476</v>
      </c>
      <c r="I5729" s="3">
        <v>46287</v>
      </c>
      <c r="L5729" s="31">
        <v>46287.69577982639</v>
      </c>
      <c r="M5729" s="20">
        <v>12</v>
      </c>
      <c r="N5729" s="1">
        <v>78</v>
      </c>
    </row>
    <row r="5730" spans="1:14" x14ac:dyDescent="0.25">
      <c r="A5730" t="str">
        <f t="shared" si="180"/>
        <v>U152781U152781</v>
      </c>
      <c r="B5730" t="str">
        <f t="shared" si="181"/>
        <v>U152781G9060744-M</v>
      </c>
      <c r="C5730" s="1" t="s">
        <v>845</v>
      </c>
      <c r="D5730" s="1" t="s">
        <v>846</v>
      </c>
      <c r="E5730" s="1" t="s">
        <v>436</v>
      </c>
      <c r="F5730" s="1" t="s">
        <v>443</v>
      </c>
      <c r="G5730" s="1" t="s">
        <v>444</v>
      </c>
      <c r="H5730" s="1">
        <v>1476</v>
      </c>
      <c r="I5730" s="3">
        <v>46287</v>
      </c>
      <c r="L5730" s="31">
        <v>46287.697115625</v>
      </c>
      <c r="M5730" s="20">
        <v>6</v>
      </c>
      <c r="N5730" s="1">
        <v>126</v>
      </c>
    </row>
    <row r="5731" spans="1:14" x14ac:dyDescent="0.25">
      <c r="A5731" t="str">
        <f t="shared" si="180"/>
        <v>U152781U152781</v>
      </c>
      <c r="B5731" t="str">
        <f t="shared" si="181"/>
        <v>U152781G9060744-M</v>
      </c>
      <c r="C5731" s="1" t="s">
        <v>845</v>
      </c>
      <c r="D5731" s="1" t="s">
        <v>846</v>
      </c>
      <c r="E5731" s="1" t="s">
        <v>436</v>
      </c>
      <c r="F5731" s="1" t="s">
        <v>443</v>
      </c>
      <c r="G5731" s="1" t="s">
        <v>444</v>
      </c>
      <c r="H5731" s="1">
        <v>1476</v>
      </c>
      <c r="I5731" s="3">
        <v>46287</v>
      </c>
      <c r="L5731" s="31">
        <v>46287.697365081018</v>
      </c>
      <c r="M5731" s="20">
        <v>12</v>
      </c>
      <c r="N5731" s="1">
        <v>106</v>
      </c>
    </row>
    <row r="5732" spans="1:14" x14ac:dyDescent="0.25">
      <c r="A5732" t="str">
        <f t="shared" si="180"/>
        <v>U152781U152781</v>
      </c>
      <c r="B5732" t="str">
        <f t="shared" si="181"/>
        <v>U152781G9060744-M</v>
      </c>
      <c r="C5732" s="1" t="s">
        <v>845</v>
      </c>
      <c r="D5732" s="1" t="s">
        <v>846</v>
      </c>
      <c r="E5732" s="1" t="s">
        <v>436</v>
      </c>
      <c r="F5732" s="1" t="s">
        <v>443</v>
      </c>
      <c r="G5732" s="1" t="s">
        <v>444</v>
      </c>
      <c r="H5732" s="1">
        <v>1476</v>
      </c>
      <c r="I5732" s="3">
        <v>46287</v>
      </c>
      <c r="L5732" s="31">
        <v>46287.697511192127</v>
      </c>
      <c r="M5732" s="20">
        <v>6</v>
      </c>
      <c r="N5732" s="1">
        <v>122</v>
      </c>
    </row>
    <row r="5733" spans="1:14" x14ac:dyDescent="0.25">
      <c r="A5733" t="str">
        <f t="shared" si="180"/>
        <v>U152781U152781</v>
      </c>
      <c r="B5733" t="str">
        <f t="shared" si="181"/>
        <v>U152781G9060744-M</v>
      </c>
      <c r="C5733" s="1" t="s">
        <v>845</v>
      </c>
      <c r="D5733" s="1" t="s">
        <v>846</v>
      </c>
      <c r="E5733" s="1" t="s">
        <v>436</v>
      </c>
      <c r="F5733" s="1" t="s">
        <v>443</v>
      </c>
      <c r="G5733" s="1" t="s">
        <v>444</v>
      </c>
      <c r="H5733" s="1">
        <v>1476</v>
      </c>
      <c r="I5733" s="3">
        <v>46287</v>
      </c>
      <c r="L5733" s="31">
        <v>46287.69767804398</v>
      </c>
      <c r="M5733" s="20">
        <v>12</v>
      </c>
      <c r="N5733" s="1">
        <v>44</v>
      </c>
    </row>
    <row r="5734" spans="1:14" x14ac:dyDescent="0.25">
      <c r="A5734" t="str">
        <f t="shared" si="180"/>
        <v>U152781U152781</v>
      </c>
      <c r="B5734" t="str">
        <f t="shared" si="181"/>
        <v>U152781G9060744-M</v>
      </c>
      <c r="C5734" s="1" t="s">
        <v>845</v>
      </c>
      <c r="D5734" s="1" t="s">
        <v>846</v>
      </c>
      <c r="E5734" s="1" t="s">
        <v>436</v>
      </c>
      <c r="F5734" s="1" t="s">
        <v>443</v>
      </c>
      <c r="G5734" s="1" t="s">
        <v>444</v>
      </c>
      <c r="H5734" s="1">
        <v>1476</v>
      </c>
      <c r="I5734" s="3">
        <v>46287</v>
      </c>
      <c r="L5734" s="31">
        <v>46287.703268287034</v>
      </c>
      <c r="M5734" s="20">
        <v>12</v>
      </c>
      <c r="N5734" s="1">
        <v>15</v>
      </c>
    </row>
    <row r="5735" spans="1:14" x14ac:dyDescent="0.25">
      <c r="A5735" t="str">
        <f t="shared" si="180"/>
        <v>U152781U152781</v>
      </c>
      <c r="B5735" t="str">
        <f t="shared" si="181"/>
        <v>U152781G9060744-M</v>
      </c>
      <c r="C5735" s="1" t="s">
        <v>845</v>
      </c>
      <c r="D5735" s="1" t="s">
        <v>846</v>
      </c>
      <c r="E5735" s="1" t="s">
        <v>436</v>
      </c>
      <c r="F5735" s="1" t="s">
        <v>443</v>
      </c>
      <c r="G5735" s="1" t="s">
        <v>444</v>
      </c>
      <c r="H5735" s="1">
        <v>1476</v>
      </c>
      <c r="I5735" s="3">
        <v>46287</v>
      </c>
      <c r="L5735" s="31">
        <v>46287.703469988424</v>
      </c>
      <c r="M5735" s="20">
        <v>12</v>
      </c>
      <c r="N5735" s="1">
        <v>75</v>
      </c>
    </row>
    <row r="5736" spans="1:14" x14ac:dyDescent="0.25">
      <c r="A5736" t="str">
        <f t="shared" si="180"/>
        <v>U152781U152781</v>
      </c>
      <c r="B5736" t="str">
        <f t="shared" si="181"/>
        <v>U152781G9060744-M</v>
      </c>
      <c r="C5736" s="1" t="s">
        <v>845</v>
      </c>
      <c r="D5736" s="1" t="s">
        <v>846</v>
      </c>
      <c r="E5736" s="1" t="s">
        <v>436</v>
      </c>
      <c r="F5736" s="1" t="s">
        <v>443</v>
      </c>
      <c r="G5736" s="1" t="s">
        <v>444</v>
      </c>
      <c r="H5736" s="1">
        <v>1476</v>
      </c>
      <c r="I5736" s="3">
        <v>46287</v>
      </c>
      <c r="L5736" s="31">
        <v>46287.703682291663</v>
      </c>
      <c r="M5736" s="20">
        <v>12</v>
      </c>
      <c r="N5736" s="1">
        <v>61</v>
      </c>
    </row>
    <row r="5737" spans="1:14" x14ac:dyDescent="0.25">
      <c r="A5737" t="str">
        <f t="shared" si="180"/>
        <v>U152781U152781</v>
      </c>
      <c r="B5737" t="str">
        <f t="shared" si="181"/>
        <v>U152781G9060744-M</v>
      </c>
      <c r="C5737" s="1" t="s">
        <v>845</v>
      </c>
      <c r="D5737" s="1" t="s">
        <v>846</v>
      </c>
      <c r="E5737" s="1" t="s">
        <v>436</v>
      </c>
      <c r="F5737" s="1" t="s">
        <v>443</v>
      </c>
      <c r="G5737" s="1" t="s">
        <v>444</v>
      </c>
      <c r="H5737" s="1">
        <v>1476</v>
      </c>
      <c r="I5737" s="3">
        <v>46287</v>
      </c>
      <c r="L5737" s="31">
        <v>46287.706282557869</v>
      </c>
      <c r="M5737" s="20">
        <v>12</v>
      </c>
      <c r="N5737" s="1">
        <v>16</v>
      </c>
    </row>
    <row r="5738" spans="1:14" x14ac:dyDescent="0.25">
      <c r="A5738" t="str">
        <f t="shared" si="180"/>
        <v>U152781U152781</v>
      </c>
      <c r="B5738" t="str">
        <f t="shared" si="181"/>
        <v>U152781G9060744-M</v>
      </c>
      <c r="C5738" s="1" t="s">
        <v>845</v>
      </c>
      <c r="D5738" s="1" t="s">
        <v>846</v>
      </c>
      <c r="E5738" s="1" t="s">
        <v>436</v>
      </c>
      <c r="F5738" s="1" t="s">
        <v>443</v>
      </c>
      <c r="G5738" s="1" t="s">
        <v>444</v>
      </c>
      <c r="H5738" s="1">
        <v>1476</v>
      </c>
      <c r="I5738" s="3">
        <v>46287</v>
      </c>
      <c r="L5738" s="31">
        <v>46287.706611539346</v>
      </c>
      <c r="M5738" s="20">
        <v>12</v>
      </c>
      <c r="N5738" s="1">
        <v>41</v>
      </c>
    </row>
    <row r="5739" spans="1:14" x14ac:dyDescent="0.25">
      <c r="A5739" t="str">
        <f t="shared" si="180"/>
        <v>U152781U152781</v>
      </c>
      <c r="B5739" t="str">
        <f t="shared" si="181"/>
        <v>U152781G9060744-M</v>
      </c>
      <c r="C5739" s="1" t="s">
        <v>845</v>
      </c>
      <c r="D5739" s="1" t="s">
        <v>846</v>
      </c>
      <c r="E5739" s="1" t="s">
        <v>436</v>
      </c>
      <c r="F5739" s="1" t="s">
        <v>443</v>
      </c>
      <c r="G5739" s="1" t="s">
        <v>444</v>
      </c>
      <c r="H5739" s="1">
        <v>1476</v>
      </c>
      <c r="I5739" s="3">
        <v>46287</v>
      </c>
      <c r="L5739" s="31">
        <v>46287.706797534724</v>
      </c>
      <c r="M5739" s="20">
        <v>12</v>
      </c>
      <c r="N5739" s="1">
        <v>107</v>
      </c>
    </row>
    <row r="5740" spans="1:14" x14ac:dyDescent="0.25">
      <c r="A5740" t="str">
        <f t="shared" si="180"/>
        <v>U152781U152781</v>
      </c>
      <c r="B5740" t="str">
        <f t="shared" si="181"/>
        <v>U152781G9060744-M</v>
      </c>
      <c r="C5740" s="1" t="s">
        <v>845</v>
      </c>
      <c r="D5740" s="1" t="s">
        <v>846</v>
      </c>
      <c r="E5740" s="1" t="s">
        <v>436</v>
      </c>
      <c r="F5740" s="1" t="s">
        <v>443</v>
      </c>
      <c r="G5740" s="1" t="s">
        <v>444</v>
      </c>
      <c r="H5740" s="1">
        <v>1476</v>
      </c>
      <c r="I5740" s="3">
        <v>46287</v>
      </c>
      <c r="L5740" s="31">
        <v>46287.707051817131</v>
      </c>
      <c r="M5740" s="20">
        <v>12</v>
      </c>
      <c r="N5740" s="1">
        <v>76</v>
      </c>
    </row>
    <row r="5741" spans="1:14" x14ac:dyDescent="0.25">
      <c r="A5741" t="str">
        <f t="shared" si="180"/>
        <v>U152781U152781</v>
      </c>
      <c r="B5741" t="str">
        <f t="shared" si="181"/>
        <v>U152781G9060744-M</v>
      </c>
      <c r="C5741" s="1" t="s">
        <v>845</v>
      </c>
      <c r="D5741" s="1" t="s">
        <v>846</v>
      </c>
      <c r="E5741" s="1" t="s">
        <v>436</v>
      </c>
      <c r="F5741" s="1" t="s">
        <v>443</v>
      </c>
      <c r="G5741" s="1" t="s">
        <v>444</v>
      </c>
      <c r="H5741" s="1">
        <v>1476</v>
      </c>
      <c r="I5741" s="3">
        <v>46287</v>
      </c>
      <c r="L5741" s="31">
        <v>46287.707230208332</v>
      </c>
      <c r="M5741" s="20">
        <v>12</v>
      </c>
      <c r="N5741" s="1">
        <v>77</v>
      </c>
    </row>
    <row r="5742" spans="1:14" x14ac:dyDescent="0.25">
      <c r="A5742" t="str">
        <f t="shared" si="180"/>
        <v>U152781U152781</v>
      </c>
      <c r="B5742" t="str">
        <f t="shared" si="181"/>
        <v>U152781G9060744-M</v>
      </c>
      <c r="C5742" s="1" t="s">
        <v>845</v>
      </c>
      <c r="D5742" s="1" t="s">
        <v>846</v>
      </c>
      <c r="E5742" s="1" t="s">
        <v>436</v>
      </c>
      <c r="F5742" s="1" t="s">
        <v>443</v>
      </c>
      <c r="G5742" s="1" t="s">
        <v>444</v>
      </c>
      <c r="H5742" s="1">
        <v>1476</v>
      </c>
      <c r="I5742" s="3">
        <v>46287</v>
      </c>
      <c r="L5742" s="31">
        <v>46287.707525115737</v>
      </c>
      <c r="M5742" s="20">
        <v>12</v>
      </c>
      <c r="N5742" s="1">
        <v>59</v>
      </c>
    </row>
    <row r="5743" spans="1:14" x14ac:dyDescent="0.25">
      <c r="A5743" t="str">
        <f t="shared" si="180"/>
        <v>U152781U152781</v>
      </c>
      <c r="B5743" t="str">
        <f t="shared" si="181"/>
        <v>U152781G9060744-M</v>
      </c>
      <c r="C5743" s="1" t="s">
        <v>845</v>
      </c>
      <c r="D5743" s="1" t="s">
        <v>846</v>
      </c>
      <c r="E5743" s="1" t="s">
        <v>436</v>
      </c>
      <c r="F5743" s="1" t="s">
        <v>443</v>
      </c>
      <c r="G5743" s="1" t="s">
        <v>444</v>
      </c>
      <c r="H5743" s="1">
        <v>1476</v>
      </c>
      <c r="I5743" s="3">
        <v>46287</v>
      </c>
      <c r="L5743" s="31">
        <v>46287.707699039347</v>
      </c>
      <c r="M5743" s="20">
        <v>12</v>
      </c>
      <c r="N5743" s="1">
        <v>43</v>
      </c>
    </row>
    <row r="5744" spans="1:14" x14ac:dyDescent="0.25">
      <c r="A5744" t="str">
        <f t="shared" si="180"/>
        <v>U152781U152781</v>
      </c>
      <c r="B5744" t="str">
        <f t="shared" si="181"/>
        <v>U152781G9060744-M</v>
      </c>
      <c r="C5744" s="1" t="s">
        <v>845</v>
      </c>
      <c r="D5744" s="1" t="s">
        <v>846</v>
      </c>
      <c r="E5744" s="1" t="s">
        <v>436</v>
      </c>
      <c r="F5744" s="1" t="s">
        <v>443</v>
      </c>
      <c r="G5744" s="1" t="s">
        <v>444</v>
      </c>
      <c r="H5744" s="1">
        <v>1476</v>
      </c>
      <c r="I5744" s="3">
        <v>46287</v>
      </c>
      <c r="L5744" s="31">
        <v>46287.708444131946</v>
      </c>
      <c r="M5744" s="20">
        <v>12</v>
      </c>
      <c r="N5744" s="1">
        <v>29</v>
      </c>
    </row>
    <row r="5745" spans="1:14" x14ac:dyDescent="0.25">
      <c r="A5745" t="str">
        <f t="shared" si="180"/>
        <v>U152821U152821</v>
      </c>
      <c r="B5745" t="str">
        <f t="shared" si="181"/>
        <v>U152821ML574EVW-D</v>
      </c>
      <c r="C5745" s="1" t="s">
        <v>26</v>
      </c>
      <c r="D5745" s="1" t="s">
        <v>835</v>
      </c>
      <c r="E5745" s="1" t="s">
        <v>436</v>
      </c>
      <c r="F5745" s="1" t="s">
        <v>443</v>
      </c>
      <c r="G5745" s="1" t="s">
        <v>457</v>
      </c>
      <c r="H5745" s="1">
        <v>834</v>
      </c>
      <c r="I5745" s="3">
        <v>46287</v>
      </c>
      <c r="L5745" s="31">
        <v>46287.424392974535</v>
      </c>
      <c r="M5745" s="20">
        <v>12</v>
      </c>
      <c r="N5745" s="1">
        <v>31</v>
      </c>
    </row>
    <row r="5746" spans="1:14" x14ac:dyDescent="0.25">
      <c r="A5746" t="str">
        <f t="shared" si="180"/>
        <v>U152821U152821</v>
      </c>
      <c r="B5746" t="str">
        <f t="shared" si="181"/>
        <v>U152821ML574EVW-D</v>
      </c>
      <c r="C5746" s="1" t="s">
        <v>26</v>
      </c>
      <c r="D5746" s="1" t="s">
        <v>835</v>
      </c>
      <c r="E5746" s="1" t="s">
        <v>436</v>
      </c>
      <c r="F5746" s="1" t="s">
        <v>443</v>
      </c>
      <c r="G5746" s="1" t="s">
        <v>457</v>
      </c>
      <c r="H5746" s="1">
        <v>834</v>
      </c>
      <c r="I5746" s="3">
        <v>46287</v>
      </c>
      <c r="L5746" s="31">
        <v>46287.428456597219</v>
      </c>
      <c r="M5746" s="20">
        <v>12</v>
      </c>
      <c r="N5746" s="1">
        <v>15</v>
      </c>
    </row>
    <row r="5747" spans="1:14" x14ac:dyDescent="0.25">
      <c r="A5747" t="str">
        <f t="shared" si="180"/>
        <v>U152821U152821</v>
      </c>
      <c r="B5747" t="str">
        <f t="shared" si="181"/>
        <v>U152821ML574EVW-D</v>
      </c>
      <c r="C5747" s="1" t="s">
        <v>26</v>
      </c>
      <c r="D5747" s="1" t="s">
        <v>835</v>
      </c>
      <c r="E5747" s="1" t="s">
        <v>436</v>
      </c>
      <c r="F5747" s="1" t="s">
        <v>443</v>
      </c>
      <c r="G5747" s="1" t="s">
        <v>457</v>
      </c>
      <c r="H5747" s="1">
        <v>834</v>
      </c>
      <c r="I5747" s="3">
        <v>46287</v>
      </c>
      <c r="L5747" s="31">
        <v>46287.433808182868</v>
      </c>
      <c r="M5747" s="20">
        <v>12</v>
      </c>
      <c r="N5747" s="1">
        <v>33</v>
      </c>
    </row>
    <row r="5748" spans="1:14" x14ac:dyDescent="0.25">
      <c r="A5748" t="str">
        <f t="shared" si="180"/>
        <v>U152821U152821</v>
      </c>
      <c r="B5748" t="str">
        <f t="shared" si="181"/>
        <v>U152821ML574EVW-D</v>
      </c>
      <c r="C5748" s="1" t="s">
        <v>26</v>
      </c>
      <c r="D5748" s="1" t="s">
        <v>835</v>
      </c>
      <c r="E5748" s="1" t="s">
        <v>436</v>
      </c>
      <c r="F5748" s="1" t="s">
        <v>443</v>
      </c>
      <c r="G5748" s="1" t="s">
        <v>457</v>
      </c>
      <c r="H5748" s="1">
        <v>834</v>
      </c>
      <c r="I5748" s="3">
        <v>46287</v>
      </c>
      <c r="L5748" s="31">
        <v>46287.446209988426</v>
      </c>
      <c r="M5748" s="20">
        <v>12</v>
      </c>
      <c r="N5748" s="1">
        <v>58</v>
      </c>
    </row>
    <row r="5749" spans="1:14" x14ac:dyDescent="0.25">
      <c r="A5749" t="str">
        <f t="shared" si="180"/>
        <v>U152821U152821</v>
      </c>
      <c r="B5749" t="str">
        <f t="shared" si="181"/>
        <v>U152821ML574EVW-D</v>
      </c>
      <c r="C5749" s="1" t="s">
        <v>26</v>
      </c>
      <c r="D5749" s="1" t="s">
        <v>835</v>
      </c>
      <c r="E5749" s="1" t="s">
        <v>436</v>
      </c>
      <c r="F5749" s="1" t="s">
        <v>443</v>
      </c>
      <c r="G5749" s="1" t="s">
        <v>457</v>
      </c>
      <c r="H5749" s="1">
        <v>834</v>
      </c>
      <c r="I5749" s="3">
        <v>46287</v>
      </c>
      <c r="L5749" s="31">
        <v>46287.446469363422</v>
      </c>
      <c r="M5749" s="20">
        <v>12</v>
      </c>
      <c r="N5749" s="1">
        <v>16</v>
      </c>
    </row>
    <row r="5750" spans="1:14" x14ac:dyDescent="0.25">
      <c r="A5750" t="str">
        <f t="shared" si="180"/>
        <v>U152821U152821</v>
      </c>
      <c r="B5750" t="str">
        <f t="shared" si="181"/>
        <v>U152821ML574EVW-D</v>
      </c>
      <c r="C5750" s="1" t="s">
        <v>26</v>
      </c>
      <c r="D5750" s="1" t="s">
        <v>835</v>
      </c>
      <c r="E5750" s="1" t="s">
        <v>436</v>
      </c>
      <c r="F5750" s="1" t="s">
        <v>443</v>
      </c>
      <c r="G5750" s="1" t="s">
        <v>457</v>
      </c>
      <c r="H5750" s="1">
        <v>834</v>
      </c>
      <c r="I5750" s="3">
        <v>46287</v>
      </c>
      <c r="L5750" s="31">
        <v>46287.452309953704</v>
      </c>
      <c r="M5750" s="20">
        <v>12</v>
      </c>
      <c r="N5750" s="1">
        <v>9</v>
      </c>
    </row>
    <row r="5751" spans="1:14" x14ac:dyDescent="0.25">
      <c r="A5751" t="str">
        <f t="shared" si="180"/>
        <v>U152821U152821</v>
      </c>
      <c r="B5751" t="str">
        <f t="shared" si="181"/>
        <v>U152821ML574EVW-D</v>
      </c>
      <c r="C5751" s="1" t="s">
        <v>26</v>
      </c>
      <c r="D5751" s="1" t="s">
        <v>835</v>
      </c>
      <c r="E5751" s="1" t="s">
        <v>436</v>
      </c>
      <c r="F5751" s="1" t="s">
        <v>443</v>
      </c>
      <c r="G5751" s="1" t="s">
        <v>457</v>
      </c>
      <c r="H5751" s="1">
        <v>834</v>
      </c>
      <c r="I5751" s="3">
        <v>46287</v>
      </c>
      <c r="L5751" s="31">
        <v>46287.453452858797</v>
      </c>
      <c r="M5751" s="20">
        <v>12</v>
      </c>
      <c r="N5751" s="1">
        <v>13</v>
      </c>
    </row>
    <row r="5752" spans="1:14" x14ac:dyDescent="0.25">
      <c r="A5752" t="str">
        <f t="shared" si="180"/>
        <v>U152821U152821</v>
      </c>
      <c r="B5752" t="str">
        <f t="shared" si="181"/>
        <v>U152821ML574EVW-D</v>
      </c>
      <c r="C5752" s="1" t="s">
        <v>26</v>
      </c>
      <c r="D5752" s="1" t="s">
        <v>835</v>
      </c>
      <c r="E5752" s="1" t="s">
        <v>436</v>
      </c>
      <c r="F5752" s="1" t="s">
        <v>443</v>
      </c>
      <c r="G5752" s="1" t="s">
        <v>457</v>
      </c>
      <c r="H5752" s="1">
        <v>834</v>
      </c>
      <c r="I5752" s="3">
        <v>46287</v>
      </c>
      <c r="L5752" s="31">
        <v>46287.455074687496</v>
      </c>
      <c r="M5752" s="20">
        <v>12</v>
      </c>
      <c r="N5752" s="1">
        <v>34</v>
      </c>
    </row>
    <row r="5753" spans="1:14" x14ac:dyDescent="0.25">
      <c r="A5753" t="str">
        <f t="shared" si="180"/>
        <v>U152821U152821</v>
      </c>
      <c r="B5753" t="str">
        <f t="shared" si="181"/>
        <v>U152821ML574EVW-D</v>
      </c>
      <c r="C5753" s="1" t="s">
        <v>26</v>
      </c>
      <c r="D5753" s="1" t="s">
        <v>835</v>
      </c>
      <c r="E5753" s="1" t="s">
        <v>436</v>
      </c>
      <c r="F5753" s="1" t="s">
        <v>443</v>
      </c>
      <c r="G5753" s="1" t="s">
        <v>457</v>
      </c>
      <c r="H5753" s="1">
        <v>834</v>
      </c>
      <c r="I5753" s="3">
        <v>46287</v>
      </c>
      <c r="L5753" s="31">
        <v>46287.461604085649</v>
      </c>
      <c r="M5753" s="20">
        <v>12</v>
      </c>
      <c r="N5753" s="1">
        <v>55</v>
      </c>
    </row>
    <row r="5754" spans="1:14" x14ac:dyDescent="0.25">
      <c r="A5754" t="str">
        <f t="shared" si="180"/>
        <v>U152821U152821</v>
      </c>
      <c r="B5754" t="str">
        <f t="shared" si="181"/>
        <v>U152821ML574EVW-D</v>
      </c>
      <c r="C5754" s="1" t="s">
        <v>26</v>
      </c>
      <c r="D5754" s="1" t="s">
        <v>835</v>
      </c>
      <c r="E5754" s="1" t="s">
        <v>436</v>
      </c>
      <c r="F5754" s="1" t="s">
        <v>443</v>
      </c>
      <c r="G5754" s="1" t="s">
        <v>457</v>
      </c>
      <c r="H5754" s="1">
        <v>834</v>
      </c>
      <c r="I5754" s="3">
        <v>46287</v>
      </c>
      <c r="L5754" s="31">
        <v>46287.546664270834</v>
      </c>
      <c r="M5754" s="20">
        <v>12</v>
      </c>
      <c r="N5754" s="1">
        <v>46</v>
      </c>
    </row>
    <row r="5755" spans="1:14" x14ac:dyDescent="0.25">
      <c r="A5755" t="str">
        <f t="shared" si="180"/>
        <v>U152821U152821</v>
      </c>
      <c r="B5755" t="str">
        <f t="shared" si="181"/>
        <v>U152821ML574EVW-D</v>
      </c>
      <c r="C5755" s="1" t="s">
        <v>26</v>
      </c>
      <c r="D5755" s="1" t="s">
        <v>835</v>
      </c>
      <c r="E5755" s="1" t="s">
        <v>436</v>
      </c>
      <c r="F5755" s="1" t="s">
        <v>443</v>
      </c>
      <c r="G5755" s="1" t="s">
        <v>457</v>
      </c>
      <c r="H5755" s="1">
        <v>834</v>
      </c>
      <c r="I5755" s="3">
        <v>46287</v>
      </c>
      <c r="L5755" s="31">
        <v>46287.556979780093</v>
      </c>
      <c r="M5755" s="20">
        <v>12</v>
      </c>
      <c r="N5755" s="1">
        <v>14</v>
      </c>
    </row>
    <row r="5756" spans="1:14" x14ac:dyDescent="0.25">
      <c r="A5756" t="str">
        <f t="shared" si="180"/>
        <v>U152821U152821</v>
      </c>
      <c r="B5756" t="str">
        <f t="shared" si="181"/>
        <v>U152821ML574EVW-D</v>
      </c>
      <c r="C5756" s="1" t="s">
        <v>26</v>
      </c>
      <c r="D5756" s="1" t="s">
        <v>835</v>
      </c>
      <c r="E5756" s="1" t="s">
        <v>436</v>
      </c>
      <c r="F5756" s="1" t="s">
        <v>443</v>
      </c>
      <c r="G5756" s="1" t="s">
        <v>457</v>
      </c>
      <c r="H5756" s="1">
        <v>834</v>
      </c>
      <c r="I5756" s="3">
        <v>46287</v>
      </c>
      <c r="L5756" s="31">
        <v>46287.558186261573</v>
      </c>
      <c r="M5756" s="20">
        <v>12</v>
      </c>
      <c r="N5756" s="1">
        <v>38</v>
      </c>
    </row>
    <row r="5757" spans="1:14" x14ac:dyDescent="0.25">
      <c r="A5757" t="str">
        <f t="shared" si="180"/>
        <v>U152821U152821</v>
      </c>
      <c r="B5757" t="str">
        <f t="shared" si="181"/>
        <v>U152821ML574EVW-D</v>
      </c>
      <c r="C5757" s="1" t="s">
        <v>26</v>
      </c>
      <c r="D5757" s="1" t="s">
        <v>835</v>
      </c>
      <c r="E5757" s="1" t="s">
        <v>436</v>
      </c>
      <c r="F5757" s="1" t="s">
        <v>443</v>
      </c>
      <c r="G5757" s="1" t="s">
        <v>457</v>
      </c>
      <c r="H5757" s="1">
        <v>834</v>
      </c>
      <c r="I5757" s="3">
        <v>46287</v>
      </c>
      <c r="L5757" s="31">
        <v>46287.559772604167</v>
      </c>
      <c r="M5757" s="20">
        <v>12</v>
      </c>
      <c r="N5757" s="1">
        <v>59</v>
      </c>
    </row>
    <row r="5758" spans="1:14" x14ac:dyDescent="0.25">
      <c r="A5758" t="str">
        <f t="shared" si="180"/>
        <v>U152821U152821</v>
      </c>
      <c r="B5758" t="str">
        <f t="shared" si="181"/>
        <v>U152821ML574EVW-D</v>
      </c>
      <c r="C5758" s="1" t="s">
        <v>26</v>
      </c>
      <c r="D5758" s="1" t="s">
        <v>835</v>
      </c>
      <c r="E5758" s="1" t="s">
        <v>436</v>
      </c>
      <c r="F5758" s="1" t="s">
        <v>443</v>
      </c>
      <c r="G5758" s="1" t="s">
        <v>457</v>
      </c>
      <c r="H5758" s="1">
        <v>834</v>
      </c>
      <c r="I5758" s="3">
        <v>46287</v>
      </c>
      <c r="L5758" s="31">
        <v>46287.565498611111</v>
      </c>
      <c r="M5758" s="20">
        <v>12</v>
      </c>
      <c r="N5758" s="1">
        <v>19</v>
      </c>
    </row>
    <row r="5759" spans="1:14" x14ac:dyDescent="0.25">
      <c r="A5759" t="str">
        <f t="shared" si="180"/>
        <v>U152821U152821</v>
      </c>
      <c r="B5759" t="str">
        <f t="shared" si="181"/>
        <v>U152821ML574EVW-D</v>
      </c>
      <c r="C5759" s="1" t="s">
        <v>26</v>
      </c>
      <c r="D5759" s="1" t="s">
        <v>835</v>
      </c>
      <c r="E5759" s="1" t="s">
        <v>436</v>
      </c>
      <c r="F5759" s="1" t="s">
        <v>443</v>
      </c>
      <c r="G5759" s="1" t="s">
        <v>457</v>
      </c>
      <c r="H5759" s="1">
        <v>834</v>
      </c>
      <c r="I5759" s="3">
        <v>46287</v>
      </c>
      <c r="L5759" s="31">
        <v>46287.566474571759</v>
      </c>
      <c r="M5759" s="20">
        <v>12</v>
      </c>
      <c r="N5759" s="1">
        <v>37</v>
      </c>
    </row>
    <row r="5760" spans="1:14" x14ac:dyDescent="0.25">
      <c r="A5760" t="str">
        <f t="shared" si="180"/>
        <v>U152821U152821</v>
      </c>
      <c r="B5760" t="str">
        <f t="shared" si="181"/>
        <v>U152821ML574EVW-D</v>
      </c>
      <c r="C5760" s="1" t="s">
        <v>26</v>
      </c>
      <c r="D5760" s="1" t="s">
        <v>835</v>
      </c>
      <c r="E5760" s="1" t="s">
        <v>436</v>
      </c>
      <c r="F5760" s="1" t="s">
        <v>443</v>
      </c>
      <c r="G5760" s="1" t="s">
        <v>457</v>
      </c>
      <c r="H5760" s="1">
        <v>834</v>
      </c>
      <c r="I5760" s="3">
        <v>46287</v>
      </c>
      <c r="L5760" s="31">
        <v>46287.566739467591</v>
      </c>
      <c r="M5760" s="20">
        <v>12</v>
      </c>
      <c r="N5760" s="1">
        <v>56</v>
      </c>
    </row>
    <row r="5761" spans="1:14" x14ac:dyDescent="0.25">
      <c r="A5761" t="str">
        <f t="shared" si="180"/>
        <v>U152821U152821</v>
      </c>
      <c r="B5761" t="str">
        <f t="shared" si="181"/>
        <v>U152821ML574EVW-D</v>
      </c>
      <c r="C5761" s="1" t="s">
        <v>26</v>
      </c>
      <c r="D5761" s="1" t="s">
        <v>835</v>
      </c>
      <c r="E5761" s="1" t="s">
        <v>436</v>
      </c>
      <c r="F5761" s="1" t="s">
        <v>443</v>
      </c>
      <c r="G5761" s="1" t="s">
        <v>457</v>
      </c>
      <c r="H5761" s="1">
        <v>834</v>
      </c>
      <c r="I5761" s="3">
        <v>46287</v>
      </c>
      <c r="L5761" s="31">
        <v>46287.568478043977</v>
      </c>
      <c r="M5761" s="20">
        <v>12</v>
      </c>
      <c r="N5761" s="1">
        <v>36</v>
      </c>
    </row>
    <row r="5762" spans="1:14" x14ac:dyDescent="0.25">
      <c r="A5762" t="str">
        <f t="shared" ref="A5762:A5825" si="182">+D5762&amp;D5762</f>
        <v>U152821U152821</v>
      </c>
      <c r="B5762" t="str">
        <f t="shared" ref="B5762:B5825" si="183">+D5762&amp;C5762</f>
        <v>U152821ML574EVW-D</v>
      </c>
      <c r="C5762" s="1" t="s">
        <v>26</v>
      </c>
      <c r="D5762" s="1" t="s">
        <v>835</v>
      </c>
      <c r="E5762" s="1" t="s">
        <v>436</v>
      </c>
      <c r="F5762" s="1" t="s">
        <v>443</v>
      </c>
      <c r="G5762" s="1" t="s">
        <v>457</v>
      </c>
      <c r="H5762" s="1">
        <v>834</v>
      </c>
      <c r="I5762" s="3">
        <v>46287</v>
      </c>
      <c r="L5762" s="31">
        <v>46287.570030752315</v>
      </c>
      <c r="M5762" s="20">
        <v>12</v>
      </c>
      <c r="N5762" s="1">
        <v>17</v>
      </c>
    </row>
    <row r="5763" spans="1:14" x14ac:dyDescent="0.25">
      <c r="A5763" t="str">
        <f t="shared" si="182"/>
        <v>U152821U152821</v>
      </c>
      <c r="B5763" t="str">
        <f t="shared" si="183"/>
        <v>U152821ML574EVW-D</v>
      </c>
      <c r="C5763" s="1" t="s">
        <v>26</v>
      </c>
      <c r="D5763" s="1" t="s">
        <v>835</v>
      </c>
      <c r="E5763" s="1" t="s">
        <v>436</v>
      </c>
      <c r="F5763" s="1" t="s">
        <v>443</v>
      </c>
      <c r="G5763" s="1" t="s">
        <v>457</v>
      </c>
      <c r="H5763" s="1">
        <v>834</v>
      </c>
      <c r="I5763" s="3">
        <v>46287</v>
      </c>
      <c r="L5763" s="31">
        <v>46287.570679826385</v>
      </c>
      <c r="M5763" s="20">
        <v>12</v>
      </c>
      <c r="N5763" s="1">
        <v>18</v>
      </c>
    </row>
    <row r="5764" spans="1:14" x14ac:dyDescent="0.25">
      <c r="A5764" t="str">
        <f t="shared" si="182"/>
        <v>U152821U152821</v>
      </c>
      <c r="B5764" t="str">
        <f t="shared" si="183"/>
        <v>U152821ML574EVW-D</v>
      </c>
      <c r="C5764" s="1" t="s">
        <v>26</v>
      </c>
      <c r="D5764" s="1" t="s">
        <v>835</v>
      </c>
      <c r="E5764" s="1" t="s">
        <v>436</v>
      </c>
      <c r="F5764" s="1" t="s">
        <v>443</v>
      </c>
      <c r="G5764" s="1" t="s">
        <v>457</v>
      </c>
      <c r="H5764" s="1">
        <v>834</v>
      </c>
      <c r="I5764" s="3">
        <v>46287</v>
      </c>
      <c r="L5764" s="31">
        <v>46287.57153927083</v>
      </c>
      <c r="M5764" s="20">
        <v>12</v>
      </c>
      <c r="N5764" s="1">
        <v>63</v>
      </c>
    </row>
    <row r="5765" spans="1:14" x14ac:dyDescent="0.25">
      <c r="A5765" t="str">
        <f t="shared" si="182"/>
        <v>U152821U152821</v>
      </c>
      <c r="B5765" t="str">
        <f t="shared" si="183"/>
        <v>U152821ML574EVW-D</v>
      </c>
      <c r="C5765" s="1" t="s">
        <v>26</v>
      </c>
      <c r="D5765" s="1" t="s">
        <v>835</v>
      </c>
      <c r="E5765" s="1" t="s">
        <v>436</v>
      </c>
      <c r="F5765" s="1" t="s">
        <v>443</v>
      </c>
      <c r="G5765" s="1" t="s">
        <v>457</v>
      </c>
      <c r="H5765" s="1">
        <v>834</v>
      </c>
      <c r="I5765" s="3">
        <v>46287</v>
      </c>
      <c r="L5765" s="31">
        <v>46287.573523344909</v>
      </c>
      <c r="M5765" s="20">
        <v>12</v>
      </c>
      <c r="N5765" s="1">
        <v>41</v>
      </c>
    </row>
    <row r="5766" spans="1:14" x14ac:dyDescent="0.25">
      <c r="A5766" t="str">
        <f t="shared" si="182"/>
        <v>U152821U152821</v>
      </c>
      <c r="B5766" t="str">
        <f t="shared" si="183"/>
        <v>U152821ML574EVW-D</v>
      </c>
      <c r="C5766" s="1" t="s">
        <v>26</v>
      </c>
      <c r="D5766" s="1" t="s">
        <v>835</v>
      </c>
      <c r="E5766" s="1" t="s">
        <v>436</v>
      </c>
      <c r="F5766" s="1" t="s">
        <v>443</v>
      </c>
      <c r="G5766" s="1" t="s">
        <v>457</v>
      </c>
      <c r="H5766" s="1">
        <v>834</v>
      </c>
      <c r="I5766" s="3">
        <v>46287</v>
      </c>
      <c r="L5766" s="31">
        <v>46287.575748726849</v>
      </c>
      <c r="M5766" s="20">
        <v>12</v>
      </c>
      <c r="N5766" s="1">
        <v>20</v>
      </c>
    </row>
    <row r="5767" spans="1:14" x14ac:dyDescent="0.25">
      <c r="A5767" t="str">
        <f t="shared" si="182"/>
        <v>U152821U152821</v>
      </c>
      <c r="B5767" t="str">
        <f t="shared" si="183"/>
        <v>U152821ML574EVW-D</v>
      </c>
      <c r="C5767" s="1" t="s">
        <v>26</v>
      </c>
      <c r="D5767" s="1" t="s">
        <v>835</v>
      </c>
      <c r="E5767" s="1" t="s">
        <v>436</v>
      </c>
      <c r="F5767" s="1" t="s">
        <v>443</v>
      </c>
      <c r="G5767" s="1" t="s">
        <v>457</v>
      </c>
      <c r="H5767" s="1">
        <v>834</v>
      </c>
      <c r="I5767" s="3">
        <v>46287</v>
      </c>
      <c r="L5767" s="31">
        <v>46287.578146874999</v>
      </c>
      <c r="M5767" s="20">
        <v>12</v>
      </c>
      <c r="N5767" s="1">
        <v>47</v>
      </c>
    </row>
    <row r="5768" spans="1:14" x14ac:dyDescent="0.25">
      <c r="A5768" t="str">
        <f t="shared" si="182"/>
        <v>U152821U152821</v>
      </c>
      <c r="B5768" t="str">
        <f t="shared" si="183"/>
        <v>U152821ML574EVW-D</v>
      </c>
      <c r="C5768" s="1" t="s">
        <v>26</v>
      </c>
      <c r="D5768" s="1" t="s">
        <v>835</v>
      </c>
      <c r="E5768" s="1" t="s">
        <v>436</v>
      </c>
      <c r="F5768" s="1" t="s">
        <v>443</v>
      </c>
      <c r="G5768" s="1" t="s">
        <v>457</v>
      </c>
      <c r="H5768" s="1">
        <v>834</v>
      </c>
      <c r="I5768" s="3">
        <v>46287</v>
      </c>
      <c r="L5768" s="31">
        <v>46287.5820508912</v>
      </c>
      <c r="M5768" s="20">
        <v>12</v>
      </c>
      <c r="N5768" s="1">
        <v>35</v>
      </c>
    </row>
    <row r="5769" spans="1:14" x14ac:dyDescent="0.25">
      <c r="A5769" t="str">
        <f t="shared" si="182"/>
        <v>U152821U152821</v>
      </c>
      <c r="B5769" t="str">
        <f t="shared" si="183"/>
        <v>U152821ML574EVW-D</v>
      </c>
      <c r="C5769" s="1" t="s">
        <v>26</v>
      </c>
      <c r="D5769" s="1" t="s">
        <v>835</v>
      </c>
      <c r="E5769" s="1" t="s">
        <v>436</v>
      </c>
      <c r="F5769" s="1" t="s">
        <v>443</v>
      </c>
      <c r="G5769" s="1" t="s">
        <v>457</v>
      </c>
      <c r="H5769" s="1">
        <v>834</v>
      </c>
      <c r="I5769" s="3">
        <v>46287</v>
      </c>
      <c r="L5769" s="31">
        <v>46287.582416550926</v>
      </c>
      <c r="M5769" s="20">
        <v>12</v>
      </c>
      <c r="N5769" s="1">
        <v>53</v>
      </c>
    </row>
    <row r="5770" spans="1:14" x14ac:dyDescent="0.25">
      <c r="A5770" t="str">
        <f t="shared" si="182"/>
        <v>U152821U152821</v>
      </c>
      <c r="B5770" t="str">
        <f t="shared" si="183"/>
        <v>U152821ML574EVW-D</v>
      </c>
      <c r="C5770" s="1" t="s">
        <v>26</v>
      </c>
      <c r="D5770" s="1" t="s">
        <v>835</v>
      </c>
      <c r="E5770" s="1" t="s">
        <v>436</v>
      </c>
      <c r="F5770" s="1" t="s">
        <v>443</v>
      </c>
      <c r="G5770" s="1" t="s">
        <v>457</v>
      </c>
      <c r="H5770" s="1">
        <v>834</v>
      </c>
      <c r="I5770" s="3">
        <v>46287</v>
      </c>
      <c r="L5770" s="31">
        <v>46287.582726736109</v>
      </c>
      <c r="M5770" s="20">
        <v>12</v>
      </c>
      <c r="N5770" s="1">
        <v>10</v>
      </c>
    </row>
    <row r="5771" spans="1:14" x14ac:dyDescent="0.25">
      <c r="A5771" t="str">
        <f t="shared" si="182"/>
        <v>U152821U152821</v>
      </c>
      <c r="B5771" t="str">
        <f t="shared" si="183"/>
        <v>U152821ML574EVW-D</v>
      </c>
      <c r="C5771" s="1" t="s">
        <v>26</v>
      </c>
      <c r="D5771" s="1" t="s">
        <v>835</v>
      </c>
      <c r="E5771" s="1" t="s">
        <v>436</v>
      </c>
      <c r="F5771" s="1" t="s">
        <v>443</v>
      </c>
      <c r="G5771" s="1" t="s">
        <v>457</v>
      </c>
      <c r="H5771" s="1">
        <v>834</v>
      </c>
      <c r="I5771" s="3">
        <v>46287</v>
      </c>
      <c r="L5771" s="31">
        <v>46287.611217245365</v>
      </c>
      <c r="M5771" s="20">
        <v>12</v>
      </c>
      <c r="N5771" s="1">
        <v>22</v>
      </c>
    </row>
    <row r="5772" spans="1:14" x14ac:dyDescent="0.25">
      <c r="A5772" t="str">
        <f t="shared" si="182"/>
        <v>U152821U152821</v>
      </c>
      <c r="B5772" t="str">
        <f t="shared" si="183"/>
        <v>U152821ML574EVW-D</v>
      </c>
      <c r="C5772" s="1" t="s">
        <v>26</v>
      </c>
      <c r="D5772" s="1" t="s">
        <v>835</v>
      </c>
      <c r="E5772" s="1" t="s">
        <v>436</v>
      </c>
      <c r="F5772" s="1" t="s">
        <v>443</v>
      </c>
      <c r="G5772" s="1" t="s">
        <v>457</v>
      </c>
      <c r="H5772" s="1">
        <v>834</v>
      </c>
      <c r="I5772" s="3">
        <v>46287</v>
      </c>
      <c r="L5772" s="31">
        <v>46287.614579166664</v>
      </c>
      <c r="M5772" s="20">
        <v>12</v>
      </c>
      <c r="N5772" s="1">
        <v>65</v>
      </c>
    </row>
    <row r="5773" spans="1:14" x14ac:dyDescent="0.25">
      <c r="A5773" t="str">
        <f t="shared" si="182"/>
        <v>U152821U152821</v>
      </c>
      <c r="B5773" t="str">
        <f t="shared" si="183"/>
        <v>U152821ML574EVW-D</v>
      </c>
      <c r="C5773" s="1" t="s">
        <v>26</v>
      </c>
      <c r="D5773" s="1" t="s">
        <v>835</v>
      </c>
      <c r="E5773" s="1" t="s">
        <v>436</v>
      </c>
      <c r="F5773" s="1" t="s">
        <v>443</v>
      </c>
      <c r="G5773" s="1" t="s">
        <v>457</v>
      </c>
      <c r="H5773" s="1">
        <v>834</v>
      </c>
      <c r="I5773" s="3">
        <v>46287</v>
      </c>
      <c r="L5773" s="31">
        <v>46287.624580405092</v>
      </c>
      <c r="M5773" s="20">
        <v>12</v>
      </c>
      <c r="N5773" s="1">
        <v>54</v>
      </c>
    </row>
    <row r="5774" spans="1:14" x14ac:dyDescent="0.25">
      <c r="A5774" t="str">
        <f t="shared" si="182"/>
        <v>U152821U152821</v>
      </c>
      <c r="B5774" t="str">
        <f t="shared" si="183"/>
        <v>U152821ML574EVW-D</v>
      </c>
      <c r="C5774" s="1" t="s">
        <v>26</v>
      </c>
      <c r="D5774" s="1" t="s">
        <v>835</v>
      </c>
      <c r="E5774" s="1" t="s">
        <v>436</v>
      </c>
      <c r="F5774" s="1" t="s">
        <v>443</v>
      </c>
      <c r="G5774" s="1" t="s">
        <v>457</v>
      </c>
      <c r="H5774" s="1">
        <v>834</v>
      </c>
      <c r="I5774" s="3">
        <v>46287</v>
      </c>
      <c r="L5774" s="31">
        <v>46287.626272141199</v>
      </c>
      <c r="M5774" s="20">
        <v>12</v>
      </c>
      <c r="N5774" s="1">
        <v>48</v>
      </c>
    </row>
    <row r="5775" spans="1:14" x14ac:dyDescent="0.25">
      <c r="A5775" t="str">
        <f t="shared" si="182"/>
        <v>U152821U152821</v>
      </c>
      <c r="B5775" t="str">
        <f t="shared" si="183"/>
        <v>U152821ML574EVW-D</v>
      </c>
      <c r="C5775" s="1" t="s">
        <v>26</v>
      </c>
      <c r="D5775" s="1" t="s">
        <v>835</v>
      </c>
      <c r="E5775" s="1" t="s">
        <v>436</v>
      </c>
      <c r="F5775" s="1" t="s">
        <v>443</v>
      </c>
      <c r="G5775" s="1" t="s">
        <v>457</v>
      </c>
      <c r="H5775" s="1">
        <v>834</v>
      </c>
      <c r="I5775" s="3">
        <v>46287</v>
      </c>
      <c r="L5775" s="31">
        <v>46287.629017824074</v>
      </c>
      <c r="M5775" s="20">
        <v>12</v>
      </c>
      <c r="N5775" s="1">
        <v>23</v>
      </c>
    </row>
    <row r="5776" spans="1:14" x14ac:dyDescent="0.25">
      <c r="A5776" t="str">
        <f t="shared" si="182"/>
        <v>U152821U152821</v>
      </c>
      <c r="B5776" t="str">
        <f t="shared" si="183"/>
        <v>U152821ML574EVW-D</v>
      </c>
      <c r="C5776" s="1" t="s">
        <v>26</v>
      </c>
      <c r="D5776" s="1" t="s">
        <v>835</v>
      </c>
      <c r="E5776" s="1" t="s">
        <v>436</v>
      </c>
      <c r="F5776" s="1" t="s">
        <v>443</v>
      </c>
      <c r="G5776" s="1" t="s">
        <v>457</v>
      </c>
      <c r="H5776" s="1">
        <v>834</v>
      </c>
      <c r="I5776" s="3">
        <v>46287</v>
      </c>
      <c r="L5776" s="31">
        <v>46287.645399421293</v>
      </c>
      <c r="M5776" s="20">
        <v>12</v>
      </c>
      <c r="N5776" s="1">
        <v>24</v>
      </c>
    </row>
    <row r="5777" spans="1:14" x14ac:dyDescent="0.25">
      <c r="A5777" t="str">
        <f t="shared" si="182"/>
        <v>U152821U152821</v>
      </c>
      <c r="B5777" t="str">
        <f t="shared" si="183"/>
        <v>U152821ML574EVW-D</v>
      </c>
      <c r="C5777" s="1" t="s">
        <v>26</v>
      </c>
      <c r="D5777" s="1" t="s">
        <v>835</v>
      </c>
      <c r="E5777" s="1" t="s">
        <v>436</v>
      </c>
      <c r="F5777" s="1" t="s">
        <v>443</v>
      </c>
      <c r="G5777" s="1" t="s">
        <v>457</v>
      </c>
      <c r="H5777" s="1">
        <v>834</v>
      </c>
      <c r="I5777" s="3">
        <v>46287</v>
      </c>
      <c r="L5777" s="31">
        <v>46287.654264548612</v>
      </c>
      <c r="M5777" s="20">
        <v>12</v>
      </c>
      <c r="N5777" s="1">
        <v>32</v>
      </c>
    </row>
    <row r="5778" spans="1:14" x14ac:dyDescent="0.25">
      <c r="A5778" t="str">
        <f t="shared" si="182"/>
        <v>U152821U152821</v>
      </c>
      <c r="B5778" t="str">
        <f t="shared" si="183"/>
        <v>U152821ML574EVW-D</v>
      </c>
      <c r="C5778" s="1" t="s">
        <v>26</v>
      </c>
      <c r="D5778" s="1" t="s">
        <v>835</v>
      </c>
      <c r="E5778" s="1" t="s">
        <v>436</v>
      </c>
      <c r="F5778" s="1" t="s">
        <v>443</v>
      </c>
      <c r="G5778" s="1" t="s">
        <v>457</v>
      </c>
      <c r="H5778" s="1">
        <v>834</v>
      </c>
      <c r="I5778" s="3">
        <v>46287</v>
      </c>
      <c r="L5778" s="31">
        <v>46287.663561840272</v>
      </c>
      <c r="M5778" s="20">
        <v>12</v>
      </c>
      <c r="N5778" s="1">
        <v>25</v>
      </c>
    </row>
    <row r="5779" spans="1:14" x14ac:dyDescent="0.25">
      <c r="A5779" t="str">
        <f t="shared" si="182"/>
        <v>U152821U152821</v>
      </c>
      <c r="B5779" t="str">
        <f t="shared" si="183"/>
        <v>U152821ML574EVW-D</v>
      </c>
      <c r="C5779" s="1" t="s">
        <v>26</v>
      </c>
      <c r="D5779" s="1" t="s">
        <v>835</v>
      </c>
      <c r="E5779" s="1" t="s">
        <v>436</v>
      </c>
      <c r="F5779" s="1" t="s">
        <v>443</v>
      </c>
      <c r="G5779" s="1" t="s">
        <v>457</v>
      </c>
      <c r="H5779" s="1">
        <v>834</v>
      </c>
      <c r="I5779" s="3">
        <v>46287</v>
      </c>
      <c r="L5779" s="31">
        <v>46287.665342094908</v>
      </c>
      <c r="M5779" s="20">
        <v>12</v>
      </c>
      <c r="N5779" s="1">
        <v>6</v>
      </c>
    </row>
    <row r="5780" spans="1:14" x14ac:dyDescent="0.25">
      <c r="A5780" t="str">
        <f t="shared" si="182"/>
        <v>U152821U152821</v>
      </c>
      <c r="B5780" t="str">
        <f t="shared" si="183"/>
        <v>U152821ML574EVW-D</v>
      </c>
      <c r="C5780" s="1" t="s">
        <v>26</v>
      </c>
      <c r="D5780" s="1" t="s">
        <v>835</v>
      </c>
      <c r="E5780" s="1" t="s">
        <v>436</v>
      </c>
      <c r="F5780" s="1" t="s">
        <v>443</v>
      </c>
      <c r="G5780" s="1" t="s">
        <v>457</v>
      </c>
      <c r="H5780" s="1">
        <v>834</v>
      </c>
      <c r="I5780" s="3">
        <v>46287</v>
      </c>
      <c r="L5780" s="31">
        <v>46287.681093287036</v>
      </c>
      <c r="M5780" s="20">
        <v>12</v>
      </c>
      <c r="N5780" s="1">
        <v>43</v>
      </c>
    </row>
    <row r="5781" spans="1:14" x14ac:dyDescent="0.25">
      <c r="A5781" t="str">
        <f t="shared" si="182"/>
        <v>U152821U152821</v>
      </c>
      <c r="B5781" t="str">
        <f t="shared" si="183"/>
        <v>U152821ML574EVW-D</v>
      </c>
      <c r="C5781" s="1" t="s">
        <v>26</v>
      </c>
      <c r="D5781" s="1" t="s">
        <v>835</v>
      </c>
      <c r="E5781" s="1" t="s">
        <v>436</v>
      </c>
      <c r="F5781" s="1" t="s">
        <v>443</v>
      </c>
      <c r="G5781" s="1" t="s">
        <v>457</v>
      </c>
      <c r="H5781" s="1">
        <v>834</v>
      </c>
      <c r="I5781" s="3">
        <v>46287</v>
      </c>
      <c r="L5781" s="31">
        <v>46287.696794097217</v>
      </c>
      <c r="M5781" s="20">
        <v>12</v>
      </c>
      <c r="N5781" s="1">
        <v>7</v>
      </c>
    </row>
    <row r="5782" spans="1:14" x14ac:dyDescent="0.25">
      <c r="A5782" t="str">
        <f t="shared" si="182"/>
        <v>U152821U152821</v>
      </c>
      <c r="B5782" t="str">
        <f t="shared" si="183"/>
        <v>U152821ML574EVW-D</v>
      </c>
      <c r="C5782" s="1" t="s">
        <v>26</v>
      </c>
      <c r="D5782" s="1" t="s">
        <v>835</v>
      </c>
      <c r="E5782" s="1" t="s">
        <v>436</v>
      </c>
      <c r="F5782" s="1" t="s">
        <v>443</v>
      </c>
      <c r="G5782" s="1" t="s">
        <v>457</v>
      </c>
      <c r="H5782" s="1">
        <v>834</v>
      </c>
      <c r="I5782" s="3">
        <v>46287</v>
      </c>
      <c r="L5782" s="31">
        <v>46287.697449571759</v>
      </c>
      <c r="M5782" s="20">
        <v>12</v>
      </c>
      <c r="N5782" s="1">
        <v>28</v>
      </c>
    </row>
    <row r="5783" spans="1:14" x14ac:dyDescent="0.25">
      <c r="A5783" t="str">
        <f t="shared" si="182"/>
        <v>U152821U152821</v>
      </c>
      <c r="B5783" t="str">
        <f t="shared" si="183"/>
        <v>U152821ML574EVW-D</v>
      </c>
      <c r="C5783" s="1" t="s">
        <v>26</v>
      </c>
      <c r="D5783" s="1" t="s">
        <v>835</v>
      </c>
      <c r="E5783" s="1" t="s">
        <v>436</v>
      </c>
      <c r="F5783" s="1" t="s">
        <v>443</v>
      </c>
      <c r="G5783" s="1" t="s">
        <v>457</v>
      </c>
      <c r="H5783" s="1">
        <v>834</v>
      </c>
      <c r="I5783" s="3">
        <v>46287</v>
      </c>
      <c r="L5783" s="31">
        <v>46287.698067013887</v>
      </c>
      <c r="M5783" s="20">
        <v>12</v>
      </c>
      <c r="N5783" s="1">
        <v>50</v>
      </c>
    </row>
    <row r="5784" spans="1:14" x14ac:dyDescent="0.25">
      <c r="A5784" t="str">
        <f t="shared" si="182"/>
        <v>U152821U152821</v>
      </c>
      <c r="B5784" t="str">
        <f t="shared" si="183"/>
        <v>U152821ML574EVW-D</v>
      </c>
      <c r="C5784" s="1" t="s">
        <v>26</v>
      </c>
      <c r="D5784" s="1" t="s">
        <v>835</v>
      </c>
      <c r="E5784" s="1" t="s">
        <v>436</v>
      </c>
      <c r="F5784" s="1" t="s">
        <v>443</v>
      </c>
      <c r="G5784" s="1" t="s">
        <v>457</v>
      </c>
      <c r="H5784" s="1">
        <v>834</v>
      </c>
      <c r="I5784" s="3">
        <v>46287</v>
      </c>
      <c r="L5784" s="31">
        <v>46287.700648993057</v>
      </c>
      <c r="M5784" s="20">
        <v>12</v>
      </c>
      <c r="N5784" s="1">
        <v>60</v>
      </c>
    </row>
    <row r="5785" spans="1:14" x14ac:dyDescent="0.25">
      <c r="A5785" t="str">
        <f t="shared" si="182"/>
        <v>U152821U152821</v>
      </c>
      <c r="B5785" t="str">
        <f t="shared" si="183"/>
        <v>U152821ML574EVW-D</v>
      </c>
      <c r="C5785" s="1" t="s">
        <v>26</v>
      </c>
      <c r="D5785" s="1" t="s">
        <v>835</v>
      </c>
      <c r="E5785" s="1" t="s">
        <v>436</v>
      </c>
      <c r="F5785" s="1" t="s">
        <v>443</v>
      </c>
      <c r="G5785" s="1" t="s">
        <v>457</v>
      </c>
      <c r="H5785" s="1">
        <v>834</v>
      </c>
      <c r="I5785" s="3">
        <v>46287</v>
      </c>
      <c r="L5785" s="31">
        <v>46287.708073148147</v>
      </c>
      <c r="M5785" s="20">
        <v>12</v>
      </c>
      <c r="N5785" s="1">
        <v>42</v>
      </c>
    </row>
    <row r="5786" spans="1:14" x14ac:dyDescent="0.25">
      <c r="A5786" t="str">
        <f t="shared" si="182"/>
        <v>U152821U152821</v>
      </c>
      <c r="B5786" t="str">
        <f t="shared" si="183"/>
        <v>U152821ML574EVW-D</v>
      </c>
      <c r="C5786" s="1" t="s">
        <v>26</v>
      </c>
      <c r="D5786" s="1" t="s">
        <v>835</v>
      </c>
      <c r="E5786" s="1" t="s">
        <v>436</v>
      </c>
      <c r="F5786" s="1" t="s">
        <v>443</v>
      </c>
      <c r="G5786" s="1" t="s">
        <v>457</v>
      </c>
      <c r="H5786" s="1">
        <v>834</v>
      </c>
      <c r="I5786" s="3">
        <v>46287</v>
      </c>
      <c r="L5786" s="31">
        <v>46287.729348414352</v>
      </c>
      <c r="M5786" s="20">
        <v>12</v>
      </c>
      <c r="N5786" s="1">
        <v>49</v>
      </c>
    </row>
    <row r="5787" spans="1:14" x14ac:dyDescent="0.25">
      <c r="A5787" t="str">
        <f t="shared" si="182"/>
        <v>U152821U152821</v>
      </c>
      <c r="B5787" t="str">
        <f t="shared" si="183"/>
        <v>U152821ML574EVW-D</v>
      </c>
      <c r="C5787" s="1" t="s">
        <v>26</v>
      </c>
      <c r="D5787" s="1" t="s">
        <v>835</v>
      </c>
      <c r="E5787" s="1" t="s">
        <v>436</v>
      </c>
      <c r="F5787" s="1" t="s">
        <v>443</v>
      </c>
      <c r="G5787" s="1" t="s">
        <v>457</v>
      </c>
      <c r="H5787" s="1">
        <v>834</v>
      </c>
      <c r="I5787" s="3">
        <v>46287</v>
      </c>
      <c r="L5787" s="31">
        <v>46287.733602048611</v>
      </c>
      <c r="M5787" s="20">
        <v>12</v>
      </c>
      <c r="N5787" s="1">
        <v>61</v>
      </c>
    </row>
    <row r="5788" spans="1:14" x14ac:dyDescent="0.25">
      <c r="A5788" t="str">
        <f t="shared" si="182"/>
        <v>U152821U152821</v>
      </c>
      <c r="B5788" t="str">
        <f t="shared" si="183"/>
        <v>U152821ML574EVW-D</v>
      </c>
      <c r="C5788" s="1" t="s">
        <v>26</v>
      </c>
      <c r="D5788" s="1" t="s">
        <v>835</v>
      </c>
      <c r="E5788" s="1" t="s">
        <v>436</v>
      </c>
      <c r="F5788" s="1" t="s">
        <v>443</v>
      </c>
      <c r="G5788" s="1" t="s">
        <v>457</v>
      </c>
      <c r="H5788" s="1">
        <v>834</v>
      </c>
      <c r="I5788" s="3">
        <v>46287</v>
      </c>
      <c r="L5788" s="31">
        <v>46287.750912465279</v>
      </c>
      <c r="M5788" s="20">
        <v>12</v>
      </c>
      <c r="N5788" s="1">
        <v>5</v>
      </c>
    </row>
    <row r="5789" spans="1:14" x14ac:dyDescent="0.25">
      <c r="A5789" t="str">
        <f t="shared" si="182"/>
        <v>U152821U152821</v>
      </c>
      <c r="B5789" t="str">
        <f t="shared" si="183"/>
        <v>U152821ML574EVW-D</v>
      </c>
      <c r="C5789" s="1" t="s">
        <v>26</v>
      </c>
      <c r="D5789" s="1" t="s">
        <v>835</v>
      </c>
      <c r="E5789" s="1" t="s">
        <v>436</v>
      </c>
      <c r="F5789" s="1" t="s">
        <v>443</v>
      </c>
      <c r="G5789" s="1" t="s">
        <v>457</v>
      </c>
      <c r="H5789" s="1">
        <v>834</v>
      </c>
      <c r="I5789" s="3">
        <v>46287</v>
      </c>
      <c r="L5789" s="31">
        <v>46287.757521527776</v>
      </c>
      <c r="M5789" s="20">
        <v>12</v>
      </c>
      <c r="N5789" s="1">
        <v>26</v>
      </c>
    </row>
    <row r="5790" spans="1:14" x14ac:dyDescent="0.25">
      <c r="A5790" t="str">
        <f t="shared" si="182"/>
        <v>U152821U152821</v>
      </c>
      <c r="B5790" t="str">
        <f t="shared" si="183"/>
        <v>U152821ML574EVW-D</v>
      </c>
      <c r="C5790" s="1" t="s">
        <v>26</v>
      </c>
      <c r="D5790" s="1" t="s">
        <v>835</v>
      </c>
      <c r="E5790" s="1" t="s">
        <v>436</v>
      </c>
      <c r="F5790" s="1" t="s">
        <v>443</v>
      </c>
      <c r="G5790" s="1" t="s">
        <v>457</v>
      </c>
      <c r="H5790" s="1">
        <v>834</v>
      </c>
      <c r="I5790" s="3">
        <v>46287</v>
      </c>
      <c r="L5790" s="31">
        <v>46287.75772804398</v>
      </c>
      <c r="M5790" s="20">
        <v>12</v>
      </c>
      <c r="N5790" s="1">
        <v>40</v>
      </c>
    </row>
    <row r="5791" spans="1:14" x14ac:dyDescent="0.25">
      <c r="A5791" t="str">
        <f t="shared" si="182"/>
        <v>U152824U152824</v>
      </c>
      <c r="B5791" t="str">
        <f t="shared" si="183"/>
        <v>U152824PC9060BK-M</v>
      </c>
      <c r="C5791" s="1" t="s">
        <v>25</v>
      </c>
      <c r="D5791" s="1" t="s">
        <v>837</v>
      </c>
      <c r="E5791" s="1" t="s">
        <v>436</v>
      </c>
      <c r="F5791" s="1" t="s">
        <v>443</v>
      </c>
      <c r="G5791" s="1" t="s">
        <v>457</v>
      </c>
      <c r="H5791" s="1">
        <v>138</v>
      </c>
      <c r="I5791" s="3">
        <v>46287</v>
      </c>
      <c r="J5791" s="3">
        <v>46287</v>
      </c>
      <c r="K5791" s="3" t="s">
        <v>2374</v>
      </c>
      <c r="L5791" s="31">
        <v>46287.435223067128</v>
      </c>
      <c r="M5791" s="20">
        <v>12</v>
      </c>
      <c r="N5791" s="1">
        <v>6</v>
      </c>
    </row>
    <row r="5792" spans="1:14" x14ac:dyDescent="0.25">
      <c r="A5792" t="str">
        <f t="shared" si="182"/>
        <v>U152824U152824</v>
      </c>
      <c r="B5792" t="str">
        <f t="shared" si="183"/>
        <v>U152824PC9060BK-M</v>
      </c>
      <c r="C5792" s="1" t="s">
        <v>25</v>
      </c>
      <c r="D5792" s="1" t="s">
        <v>837</v>
      </c>
      <c r="E5792" s="1" t="s">
        <v>436</v>
      </c>
      <c r="F5792" s="1" t="s">
        <v>443</v>
      </c>
      <c r="G5792" s="1" t="s">
        <v>457</v>
      </c>
      <c r="H5792" s="1">
        <v>138</v>
      </c>
      <c r="I5792" s="3">
        <v>46287</v>
      </c>
      <c r="J5792" s="3">
        <v>46287</v>
      </c>
      <c r="K5792" s="3" t="s">
        <v>2374</v>
      </c>
      <c r="L5792" s="31">
        <v>46287.436521180556</v>
      </c>
      <c r="M5792" s="20">
        <v>12</v>
      </c>
      <c r="N5792" s="1">
        <v>9</v>
      </c>
    </row>
    <row r="5793" spans="1:14" x14ac:dyDescent="0.25">
      <c r="A5793" t="str">
        <f t="shared" si="182"/>
        <v>U152824U152824</v>
      </c>
      <c r="B5793" t="str">
        <f t="shared" si="183"/>
        <v>U152824PC9060BK-M</v>
      </c>
      <c r="C5793" s="1" t="s">
        <v>25</v>
      </c>
      <c r="D5793" s="1" t="s">
        <v>837</v>
      </c>
      <c r="E5793" s="1" t="s">
        <v>436</v>
      </c>
      <c r="F5793" s="1" t="s">
        <v>443</v>
      </c>
      <c r="G5793" s="1" t="s">
        <v>457</v>
      </c>
      <c r="H5793" s="1">
        <v>138</v>
      </c>
      <c r="I5793" s="3">
        <v>46287</v>
      </c>
      <c r="J5793" s="3">
        <v>46287</v>
      </c>
      <c r="K5793" s="3" t="s">
        <v>2374</v>
      </c>
      <c r="L5793" s="31">
        <v>46287.447516284723</v>
      </c>
      <c r="M5793" s="20">
        <v>12</v>
      </c>
      <c r="N5793" s="1">
        <v>4</v>
      </c>
    </row>
    <row r="5794" spans="1:14" x14ac:dyDescent="0.25">
      <c r="A5794" t="str">
        <f t="shared" si="182"/>
        <v>U152824U152824</v>
      </c>
      <c r="B5794" t="str">
        <f t="shared" si="183"/>
        <v>U152824PC9060BK-M</v>
      </c>
      <c r="C5794" s="1" t="s">
        <v>25</v>
      </c>
      <c r="D5794" s="1" t="s">
        <v>837</v>
      </c>
      <c r="E5794" s="1" t="s">
        <v>436</v>
      </c>
      <c r="F5794" s="1" t="s">
        <v>443</v>
      </c>
      <c r="G5794" s="1" t="s">
        <v>457</v>
      </c>
      <c r="H5794" s="1">
        <v>138</v>
      </c>
      <c r="I5794" s="3">
        <v>46287</v>
      </c>
      <c r="J5794" s="3">
        <v>46287</v>
      </c>
      <c r="K5794" s="3" t="s">
        <v>2374</v>
      </c>
      <c r="L5794" s="31">
        <v>46287.475626967593</v>
      </c>
      <c r="M5794" s="20">
        <v>12</v>
      </c>
      <c r="N5794" s="1">
        <v>8</v>
      </c>
    </row>
    <row r="5795" spans="1:14" x14ac:dyDescent="0.25">
      <c r="A5795" t="str">
        <f t="shared" si="182"/>
        <v>U152824U152824</v>
      </c>
      <c r="B5795" t="str">
        <f t="shared" si="183"/>
        <v>U152824PC9060BK-M</v>
      </c>
      <c r="C5795" s="1" t="s">
        <v>25</v>
      </c>
      <c r="D5795" s="1" t="s">
        <v>837</v>
      </c>
      <c r="E5795" s="1" t="s">
        <v>436</v>
      </c>
      <c r="F5795" s="1" t="s">
        <v>443</v>
      </c>
      <c r="G5795" s="1" t="s">
        <v>457</v>
      </c>
      <c r="H5795" s="1">
        <v>138</v>
      </c>
      <c r="I5795" s="3">
        <v>46287</v>
      </c>
      <c r="J5795" s="3">
        <v>46287</v>
      </c>
      <c r="K5795" s="3" t="s">
        <v>2374</v>
      </c>
      <c r="L5795" s="31">
        <v>46287.566625543979</v>
      </c>
      <c r="M5795" s="20">
        <v>12</v>
      </c>
      <c r="N5795" s="1">
        <v>2</v>
      </c>
    </row>
    <row r="5796" spans="1:14" x14ac:dyDescent="0.25">
      <c r="A5796" t="str">
        <f t="shared" si="182"/>
        <v>U152824U152824</v>
      </c>
      <c r="B5796" t="str">
        <f t="shared" si="183"/>
        <v>U152824PC9060BK-M</v>
      </c>
      <c r="C5796" s="1" t="s">
        <v>25</v>
      </c>
      <c r="D5796" s="1" t="s">
        <v>837</v>
      </c>
      <c r="E5796" s="1" t="s">
        <v>436</v>
      </c>
      <c r="F5796" s="1" t="s">
        <v>443</v>
      </c>
      <c r="G5796" s="1" t="s">
        <v>457</v>
      </c>
      <c r="H5796" s="1">
        <v>138</v>
      </c>
      <c r="I5796" s="3">
        <v>46287</v>
      </c>
      <c r="J5796" s="3">
        <v>46287</v>
      </c>
      <c r="K5796" s="3" t="s">
        <v>2374</v>
      </c>
      <c r="L5796" s="31">
        <v>46287.566996064816</v>
      </c>
      <c r="M5796" s="20">
        <v>12</v>
      </c>
      <c r="N5796" s="1">
        <v>3</v>
      </c>
    </row>
    <row r="5797" spans="1:14" x14ac:dyDescent="0.25">
      <c r="A5797" t="str">
        <f t="shared" si="182"/>
        <v>U152824U152824</v>
      </c>
      <c r="B5797" t="str">
        <f t="shared" si="183"/>
        <v>U152824PC9060BK-W</v>
      </c>
      <c r="C5797" s="1" t="s">
        <v>76</v>
      </c>
      <c r="D5797" s="1" t="s">
        <v>837</v>
      </c>
      <c r="E5797" s="1" t="s">
        <v>436</v>
      </c>
      <c r="F5797" s="1" t="s">
        <v>443</v>
      </c>
      <c r="G5797" s="1" t="s">
        <v>457</v>
      </c>
      <c r="H5797" s="1">
        <v>60</v>
      </c>
      <c r="I5797" s="3">
        <v>46287</v>
      </c>
      <c r="J5797" s="3">
        <v>46287</v>
      </c>
      <c r="K5797" s="3" t="s">
        <v>2374</v>
      </c>
      <c r="L5797" s="31">
        <v>46287.567130208328</v>
      </c>
      <c r="M5797" s="20">
        <v>12</v>
      </c>
      <c r="N5797" s="1">
        <v>18</v>
      </c>
    </row>
    <row r="5798" spans="1:14" x14ac:dyDescent="0.25">
      <c r="A5798" t="str">
        <f t="shared" si="182"/>
        <v>U152824U152824</v>
      </c>
      <c r="B5798" t="str">
        <f t="shared" si="183"/>
        <v>U152824PC9060BK-M</v>
      </c>
      <c r="C5798" s="1" t="s">
        <v>25</v>
      </c>
      <c r="D5798" s="1" t="s">
        <v>837</v>
      </c>
      <c r="E5798" s="1" t="s">
        <v>436</v>
      </c>
      <c r="F5798" s="1" t="s">
        <v>443</v>
      </c>
      <c r="G5798" s="1" t="s">
        <v>457</v>
      </c>
      <c r="H5798" s="1">
        <v>138</v>
      </c>
      <c r="I5798" s="3">
        <v>46287</v>
      </c>
      <c r="J5798" s="3">
        <v>46287</v>
      </c>
      <c r="K5798" s="3" t="s">
        <v>2374</v>
      </c>
      <c r="L5798" s="31">
        <v>46287.56778020833</v>
      </c>
      <c r="M5798" s="20">
        <v>12</v>
      </c>
      <c r="N5798" s="1">
        <v>10</v>
      </c>
    </row>
    <row r="5799" spans="1:14" x14ac:dyDescent="0.25">
      <c r="A5799" t="str">
        <f t="shared" si="182"/>
        <v>U152824U152824</v>
      </c>
      <c r="B5799" t="str">
        <f t="shared" si="183"/>
        <v>U152824PC9060BK-M</v>
      </c>
      <c r="C5799" s="1" t="s">
        <v>25</v>
      </c>
      <c r="D5799" s="1" t="s">
        <v>837</v>
      </c>
      <c r="E5799" s="1" t="s">
        <v>436</v>
      </c>
      <c r="F5799" s="1" t="s">
        <v>443</v>
      </c>
      <c r="G5799" s="1" t="s">
        <v>457</v>
      </c>
      <c r="H5799" s="1">
        <v>138</v>
      </c>
      <c r="I5799" s="3">
        <v>46287</v>
      </c>
      <c r="J5799" s="3">
        <v>46287</v>
      </c>
      <c r="K5799" s="3" t="s">
        <v>2374</v>
      </c>
      <c r="L5799" s="31">
        <v>46287.571017592592</v>
      </c>
      <c r="M5799" s="20">
        <v>6</v>
      </c>
      <c r="N5799" s="1">
        <v>13</v>
      </c>
    </row>
    <row r="5800" spans="1:14" x14ac:dyDescent="0.25">
      <c r="A5800" t="str">
        <f t="shared" si="182"/>
        <v>U152824U152824</v>
      </c>
      <c r="B5800" t="str">
        <f t="shared" si="183"/>
        <v>U152824PC9060BK-M</v>
      </c>
      <c r="C5800" s="1" t="s">
        <v>25</v>
      </c>
      <c r="D5800" s="1" t="s">
        <v>837</v>
      </c>
      <c r="E5800" s="1" t="s">
        <v>436</v>
      </c>
      <c r="F5800" s="1" t="s">
        <v>443</v>
      </c>
      <c r="G5800" s="1" t="s">
        <v>457</v>
      </c>
      <c r="H5800" s="1">
        <v>138</v>
      </c>
      <c r="I5800" s="3">
        <v>46287</v>
      </c>
      <c r="J5800" s="3">
        <v>46287</v>
      </c>
      <c r="K5800" s="3" t="s">
        <v>2374</v>
      </c>
      <c r="L5800" s="31">
        <v>46287.574264930554</v>
      </c>
      <c r="M5800" s="20">
        <v>12</v>
      </c>
      <c r="N5800" s="1">
        <v>1</v>
      </c>
    </row>
    <row r="5801" spans="1:14" x14ac:dyDescent="0.25">
      <c r="A5801" t="str">
        <f t="shared" si="182"/>
        <v>U152824U152824</v>
      </c>
      <c r="B5801" t="str">
        <f t="shared" si="183"/>
        <v>U152824PC9060BK-W</v>
      </c>
      <c r="C5801" s="1" t="s">
        <v>76</v>
      </c>
      <c r="D5801" s="1" t="s">
        <v>837</v>
      </c>
      <c r="E5801" s="1" t="s">
        <v>436</v>
      </c>
      <c r="F5801" s="1" t="s">
        <v>443</v>
      </c>
      <c r="G5801" s="1" t="s">
        <v>457</v>
      </c>
      <c r="H5801" s="1">
        <v>60</v>
      </c>
      <c r="I5801" s="3">
        <v>46287</v>
      </c>
      <c r="J5801" s="3">
        <v>46287</v>
      </c>
      <c r="K5801" s="3" t="s">
        <v>2374</v>
      </c>
      <c r="L5801" s="31">
        <v>46287.574392476847</v>
      </c>
      <c r="M5801" s="20">
        <v>12</v>
      </c>
      <c r="N5801" s="1">
        <v>16</v>
      </c>
    </row>
    <row r="5802" spans="1:14" x14ac:dyDescent="0.25">
      <c r="A5802" t="str">
        <f t="shared" si="182"/>
        <v>U152824U152824</v>
      </c>
      <c r="B5802" t="str">
        <f t="shared" si="183"/>
        <v>U152824PC9060BK-W</v>
      </c>
      <c r="C5802" s="1" t="s">
        <v>76</v>
      </c>
      <c r="D5802" s="1" t="s">
        <v>837</v>
      </c>
      <c r="E5802" s="1" t="s">
        <v>436</v>
      </c>
      <c r="F5802" s="1" t="s">
        <v>443</v>
      </c>
      <c r="G5802" s="1" t="s">
        <v>457</v>
      </c>
      <c r="H5802" s="1">
        <v>60</v>
      </c>
      <c r="I5802" s="3">
        <v>46287</v>
      </c>
      <c r="J5802" s="3">
        <v>46287</v>
      </c>
      <c r="K5802" s="3" t="s">
        <v>2374</v>
      </c>
      <c r="L5802" s="31">
        <v>46287.587779398149</v>
      </c>
      <c r="M5802" s="20">
        <v>12</v>
      </c>
      <c r="N5802" s="1">
        <v>14</v>
      </c>
    </row>
    <row r="5803" spans="1:14" x14ac:dyDescent="0.25">
      <c r="A5803" t="str">
        <f t="shared" si="182"/>
        <v>U152824U152824</v>
      </c>
      <c r="B5803" t="str">
        <f t="shared" si="183"/>
        <v>U152824PC9060BK-W</v>
      </c>
      <c r="C5803" s="1" t="s">
        <v>76</v>
      </c>
      <c r="D5803" s="1" t="s">
        <v>837</v>
      </c>
      <c r="E5803" s="1" t="s">
        <v>436</v>
      </c>
      <c r="F5803" s="1" t="s">
        <v>443</v>
      </c>
      <c r="G5803" s="1" t="s">
        <v>457</v>
      </c>
      <c r="H5803" s="1">
        <v>60</v>
      </c>
      <c r="I5803" s="3">
        <v>46287</v>
      </c>
      <c r="J5803" s="3">
        <v>46287</v>
      </c>
      <c r="K5803" s="3" t="s">
        <v>2374</v>
      </c>
      <c r="L5803" s="31">
        <v>46287.588006018515</v>
      </c>
      <c r="M5803" s="20">
        <v>12</v>
      </c>
      <c r="N5803" s="1">
        <v>15</v>
      </c>
    </row>
    <row r="5804" spans="1:14" x14ac:dyDescent="0.25">
      <c r="A5804" t="str">
        <f t="shared" si="182"/>
        <v>U152824U152824</v>
      </c>
      <c r="B5804" t="str">
        <f t="shared" si="183"/>
        <v>U152824PC9060BK-M</v>
      </c>
      <c r="C5804" s="1" t="s">
        <v>25</v>
      </c>
      <c r="D5804" s="1" t="s">
        <v>837</v>
      </c>
      <c r="E5804" s="1" t="s">
        <v>436</v>
      </c>
      <c r="F5804" s="1" t="s">
        <v>443</v>
      </c>
      <c r="G5804" s="1" t="s">
        <v>457</v>
      </c>
      <c r="H5804" s="1">
        <v>138</v>
      </c>
      <c r="I5804" s="3">
        <v>46287</v>
      </c>
      <c r="J5804" s="3">
        <v>46287</v>
      </c>
      <c r="K5804" s="3" t="s">
        <v>2374</v>
      </c>
      <c r="L5804" s="31">
        <v>46287.588192476847</v>
      </c>
      <c r="M5804" s="20">
        <v>12</v>
      </c>
      <c r="N5804" s="1">
        <v>7</v>
      </c>
    </row>
    <row r="5805" spans="1:14" x14ac:dyDescent="0.25">
      <c r="A5805" t="str">
        <f t="shared" si="182"/>
        <v>U152824U152824</v>
      </c>
      <c r="B5805" t="str">
        <f t="shared" si="183"/>
        <v>U152824PC9060BK-W</v>
      </c>
      <c r="C5805" s="1" t="s">
        <v>76</v>
      </c>
      <c r="D5805" s="1" t="s">
        <v>837</v>
      </c>
      <c r="E5805" s="1" t="s">
        <v>436</v>
      </c>
      <c r="F5805" s="1" t="s">
        <v>443</v>
      </c>
      <c r="G5805" s="1" t="s">
        <v>457</v>
      </c>
      <c r="H5805" s="1">
        <v>60</v>
      </c>
      <c r="I5805" s="3">
        <v>46287</v>
      </c>
      <c r="J5805" s="3">
        <v>46287</v>
      </c>
      <c r="K5805" s="3" t="s">
        <v>2374</v>
      </c>
      <c r="L5805" s="31">
        <v>46287.588921643517</v>
      </c>
      <c r="M5805" s="20">
        <v>12</v>
      </c>
      <c r="N5805" s="1">
        <v>17</v>
      </c>
    </row>
    <row r="5806" spans="1:14" x14ac:dyDescent="0.25">
      <c r="A5806" t="str">
        <f t="shared" si="182"/>
        <v>U152824U152824</v>
      </c>
      <c r="B5806" t="str">
        <f t="shared" si="183"/>
        <v>U152824PC9060BK-M</v>
      </c>
      <c r="C5806" s="1" t="s">
        <v>25</v>
      </c>
      <c r="D5806" s="1" t="s">
        <v>837</v>
      </c>
      <c r="E5806" s="1" t="s">
        <v>436</v>
      </c>
      <c r="F5806" s="1" t="s">
        <v>443</v>
      </c>
      <c r="G5806" s="1" t="s">
        <v>457</v>
      </c>
      <c r="H5806" s="1">
        <v>138</v>
      </c>
      <c r="I5806" s="3">
        <v>46287</v>
      </c>
      <c r="J5806" s="3">
        <v>46287</v>
      </c>
      <c r="K5806" s="3" t="s">
        <v>2374</v>
      </c>
      <c r="L5806" s="31">
        <v>46287.603468634261</v>
      </c>
      <c r="M5806" s="20">
        <v>6</v>
      </c>
      <c r="N5806" s="1">
        <v>11</v>
      </c>
    </row>
    <row r="5807" spans="1:14" x14ac:dyDescent="0.25">
      <c r="A5807" t="str">
        <f t="shared" si="182"/>
        <v>U152824U152824</v>
      </c>
      <c r="B5807" t="str">
        <f t="shared" si="183"/>
        <v>U152824PC9060BK-M</v>
      </c>
      <c r="C5807" s="1" t="s">
        <v>25</v>
      </c>
      <c r="D5807" s="1" t="s">
        <v>837</v>
      </c>
      <c r="E5807" s="1" t="s">
        <v>436</v>
      </c>
      <c r="F5807" s="1" t="s">
        <v>443</v>
      </c>
      <c r="G5807" s="1" t="s">
        <v>457</v>
      </c>
      <c r="H5807" s="1">
        <v>138</v>
      </c>
      <c r="I5807" s="3">
        <v>46287</v>
      </c>
      <c r="J5807" s="3">
        <v>46287</v>
      </c>
      <c r="K5807" s="3" t="s">
        <v>2374</v>
      </c>
      <c r="L5807" s="31">
        <v>46287.630152395832</v>
      </c>
      <c r="M5807" s="20">
        <v>6</v>
      </c>
      <c r="N5807" s="1">
        <v>12</v>
      </c>
    </row>
    <row r="5808" spans="1:14" x14ac:dyDescent="0.25">
      <c r="A5808" t="str">
        <f t="shared" si="182"/>
        <v>U152824U152824</v>
      </c>
      <c r="B5808" t="str">
        <f t="shared" si="183"/>
        <v>U152824PC9060BK-M</v>
      </c>
      <c r="C5808" s="1" t="s">
        <v>25</v>
      </c>
      <c r="D5808" s="1" t="s">
        <v>837</v>
      </c>
      <c r="E5808" s="1" t="s">
        <v>436</v>
      </c>
      <c r="F5808" s="1" t="s">
        <v>443</v>
      </c>
      <c r="G5808" s="1" t="s">
        <v>457</v>
      </c>
      <c r="H5808" s="1">
        <v>138</v>
      </c>
      <c r="I5808" s="3">
        <v>46287</v>
      </c>
      <c r="J5808" s="3">
        <v>46287</v>
      </c>
      <c r="K5808" s="3" t="s">
        <v>2374</v>
      </c>
      <c r="L5808" s="31">
        <v>46287.655168749996</v>
      </c>
      <c r="M5808" s="20">
        <v>12</v>
      </c>
      <c r="N5808" s="1">
        <v>5</v>
      </c>
    </row>
    <row r="5809" spans="1:14" x14ac:dyDescent="0.25">
      <c r="A5809" t="str">
        <f t="shared" si="182"/>
        <v>U152832U152832</v>
      </c>
      <c r="B5809" t="str">
        <f t="shared" si="183"/>
        <v>U152832PC9060BK-M</v>
      </c>
      <c r="C5809" s="1" t="s">
        <v>25</v>
      </c>
      <c r="D5809" s="1" t="s">
        <v>847</v>
      </c>
      <c r="E5809" s="1" t="s">
        <v>436</v>
      </c>
      <c r="F5809" s="1" t="s">
        <v>443</v>
      </c>
      <c r="G5809" s="1" t="s">
        <v>466</v>
      </c>
      <c r="H5809" s="1">
        <v>162</v>
      </c>
      <c r="I5809" s="3">
        <v>46287</v>
      </c>
      <c r="L5809" s="31">
        <v>46287.621910069443</v>
      </c>
      <c r="M5809" s="20">
        <v>12</v>
      </c>
      <c r="N5809" s="1">
        <v>8</v>
      </c>
    </row>
    <row r="5810" spans="1:14" x14ac:dyDescent="0.25">
      <c r="A5810" t="str">
        <f t="shared" si="182"/>
        <v>U152832U152832</v>
      </c>
      <c r="B5810" t="str">
        <f t="shared" si="183"/>
        <v>U152832PC9060BK-M</v>
      </c>
      <c r="C5810" s="1" t="s">
        <v>25</v>
      </c>
      <c r="D5810" s="1" t="s">
        <v>847</v>
      </c>
      <c r="E5810" s="1" t="s">
        <v>436</v>
      </c>
      <c r="F5810" s="1" t="s">
        <v>443</v>
      </c>
      <c r="G5810" s="1" t="s">
        <v>466</v>
      </c>
      <c r="H5810" s="1">
        <v>162</v>
      </c>
      <c r="I5810" s="3">
        <v>46287</v>
      </c>
      <c r="L5810" s="31">
        <v>46287.62259525463</v>
      </c>
      <c r="M5810" s="20">
        <v>12</v>
      </c>
      <c r="N5810" s="1">
        <v>10</v>
      </c>
    </row>
    <row r="5811" spans="1:14" x14ac:dyDescent="0.25">
      <c r="A5811" t="str">
        <f t="shared" si="182"/>
        <v>U152832U152832</v>
      </c>
      <c r="B5811" t="str">
        <f t="shared" si="183"/>
        <v>U152832PC9060BK-M</v>
      </c>
      <c r="C5811" s="1" t="s">
        <v>25</v>
      </c>
      <c r="D5811" s="1" t="s">
        <v>847</v>
      </c>
      <c r="E5811" s="1" t="s">
        <v>436</v>
      </c>
      <c r="F5811" s="1" t="s">
        <v>443</v>
      </c>
      <c r="G5811" s="1" t="s">
        <v>466</v>
      </c>
      <c r="H5811" s="1">
        <v>162</v>
      </c>
      <c r="I5811" s="3">
        <v>46287</v>
      </c>
      <c r="L5811" s="31">
        <v>46287.655527280091</v>
      </c>
      <c r="M5811" s="20">
        <v>12</v>
      </c>
      <c r="N5811" s="1">
        <v>9</v>
      </c>
    </row>
    <row r="5812" spans="1:14" x14ac:dyDescent="0.25">
      <c r="A5812" t="str">
        <f t="shared" si="182"/>
        <v>U152832U152832</v>
      </c>
      <c r="B5812" t="str">
        <f t="shared" si="183"/>
        <v>U152832PC9060BK-M</v>
      </c>
      <c r="C5812" s="1" t="s">
        <v>25</v>
      </c>
      <c r="D5812" s="1" t="s">
        <v>847</v>
      </c>
      <c r="E5812" s="1" t="s">
        <v>436</v>
      </c>
      <c r="F5812" s="1" t="s">
        <v>443</v>
      </c>
      <c r="G5812" s="1" t="s">
        <v>466</v>
      </c>
      <c r="H5812" s="1">
        <v>162</v>
      </c>
      <c r="I5812" s="3">
        <v>46287</v>
      </c>
      <c r="L5812" s="31">
        <v>46287.657206562501</v>
      </c>
      <c r="M5812" s="20">
        <v>12</v>
      </c>
      <c r="N5812" s="1">
        <v>1</v>
      </c>
    </row>
    <row r="5813" spans="1:14" x14ac:dyDescent="0.25">
      <c r="A5813" t="str">
        <f t="shared" si="182"/>
        <v>U152832U152832</v>
      </c>
      <c r="B5813" t="str">
        <f t="shared" si="183"/>
        <v>U152832PC9060BK-M</v>
      </c>
      <c r="C5813" s="1" t="s">
        <v>25</v>
      </c>
      <c r="D5813" s="1" t="s">
        <v>847</v>
      </c>
      <c r="E5813" s="1" t="s">
        <v>436</v>
      </c>
      <c r="F5813" s="1" t="s">
        <v>443</v>
      </c>
      <c r="G5813" s="1" t="s">
        <v>466</v>
      </c>
      <c r="H5813" s="1">
        <v>162</v>
      </c>
      <c r="I5813" s="3">
        <v>46287</v>
      </c>
      <c r="L5813" s="31">
        <v>46287.658827546293</v>
      </c>
      <c r="M5813" s="20">
        <v>12</v>
      </c>
      <c r="N5813" s="1">
        <v>5</v>
      </c>
    </row>
    <row r="5814" spans="1:14" x14ac:dyDescent="0.25">
      <c r="A5814" t="str">
        <f t="shared" si="182"/>
        <v>U152832U152832</v>
      </c>
      <c r="B5814" t="str">
        <f t="shared" si="183"/>
        <v>U152832PC9060BK-M</v>
      </c>
      <c r="C5814" s="1" t="s">
        <v>25</v>
      </c>
      <c r="D5814" s="1" t="s">
        <v>847</v>
      </c>
      <c r="E5814" s="1" t="s">
        <v>436</v>
      </c>
      <c r="F5814" s="1" t="s">
        <v>443</v>
      </c>
      <c r="G5814" s="1" t="s">
        <v>466</v>
      </c>
      <c r="H5814" s="1">
        <v>162</v>
      </c>
      <c r="I5814" s="3">
        <v>46287</v>
      </c>
      <c r="L5814" s="31">
        <v>46287.665624270834</v>
      </c>
      <c r="M5814" s="20">
        <v>12</v>
      </c>
      <c r="N5814" s="1">
        <v>2</v>
      </c>
    </row>
    <row r="5815" spans="1:14" x14ac:dyDescent="0.25">
      <c r="A5815" t="str">
        <f t="shared" si="182"/>
        <v>U152832U152832</v>
      </c>
      <c r="B5815" t="str">
        <f t="shared" si="183"/>
        <v>U152832PC9060BK-M</v>
      </c>
      <c r="C5815" s="1" t="s">
        <v>25</v>
      </c>
      <c r="D5815" s="1" t="s">
        <v>847</v>
      </c>
      <c r="E5815" s="1" t="s">
        <v>436</v>
      </c>
      <c r="F5815" s="1" t="s">
        <v>443</v>
      </c>
      <c r="G5815" s="1" t="s">
        <v>466</v>
      </c>
      <c r="H5815" s="1">
        <v>162</v>
      </c>
      <c r="I5815" s="3">
        <v>46287</v>
      </c>
      <c r="L5815" s="31">
        <v>46287.67729112268</v>
      </c>
      <c r="M5815" s="20">
        <v>6</v>
      </c>
      <c r="N5815" s="1">
        <v>14</v>
      </c>
    </row>
    <row r="5816" spans="1:14" x14ac:dyDescent="0.25">
      <c r="A5816" t="str">
        <f t="shared" si="182"/>
        <v>U152832U152832</v>
      </c>
      <c r="B5816" t="str">
        <f t="shared" si="183"/>
        <v>U152832PC9060BK-M</v>
      </c>
      <c r="C5816" s="1" t="s">
        <v>25</v>
      </c>
      <c r="D5816" s="1" t="s">
        <v>847</v>
      </c>
      <c r="E5816" s="1" t="s">
        <v>436</v>
      </c>
      <c r="F5816" s="1" t="s">
        <v>443</v>
      </c>
      <c r="G5816" s="1" t="s">
        <v>466</v>
      </c>
      <c r="H5816" s="1">
        <v>162</v>
      </c>
      <c r="I5816" s="3">
        <v>46287</v>
      </c>
      <c r="L5816" s="31">
        <v>46287.678574537036</v>
      </c>
      <c r="M5816" s="20">
        <v>12</v>
      </c>
      <c r="N5816" s="1">
        <v>12</v>
      </c>
    </row>
    <row r="5817" spans="1:14" x14ac:dyDescent="0.25">
      <c r="A5817" t="str">
        <f t="shared" si="182"/>
        <v>U152835U152835</v>
      </c>
      <c r="B5817" t="str">
        <f t="shared" si="183"/>
        <v>U152835PC9060BK-M</v>
      </c>
      <c r="C5817" s="1" t="s">
        <v>25</v>
      </c>
      <c r="D5817" s="1" t="s">
        <v>839</v>
      </c>
      <c r="E5817" s="1" t="s">
        <v>436</v>
      </c>
      <c r="F5817" s="1" t="s">
        <v>443</v>
      </c>
      <c r="G5817" s="1" t="s">
        <v>457</v>
      </c>
      <c r="H5817" s="1">
        <v>138</v>
      </c>
      <c r="I5817" s="3">
        <v>46287</v>
      </c>
      <c r="J5817" s="3">
        <v>46288</v>
      </c>
      <c r="L5817" s="31">
        <v>46287.591305520829</v>
      </c>
      <c r="M5817" s="20">
        <v>12</v>
      </c>
      <c r="N5817" s="1">
        <v>2</v>
      </c>
    </row>
    <row r="5818" spans="1:14" x14ac:dyDescent="0.25">
      <c r="A5818" t="str">
        <f t="shared" si="182"/>
        <v>U152835U152835</v>
      </c>
      <c r="B5818" t="str">
        <f t="shared" si="183"/>
        <v>U152835PC9060BK-M</v>
      </c>
      <c r="C5818" s="1" t="s">
        <v>25</v>
      </c>
      <c r="D5818" s="1" t="s">
        <v>839</v>
      </c>
      <c r="E5818" s="1" t="s">
        <v>436</v>
      </c>
      <c r="F5818" s="1" t="s">
        <v>443</v>
      </c>
      <c r="G5818" s="1" t="s">
        <v>457</v>
      </c>
      <c r="H5818" s="1">
        <v>138</v>
      </c>
      <c r="I5818" s="3">
        <v>46287</v>
      </c>
      <c r="J5818" s="3">
        <v>46288</v>
      </c>
      <c r="L5818" s="31">
        <v>46287.603662766203</v>
      </c>
      <c r="M5818" s="20">
        <v>12</v>
      </c>
      <c r="N5818" s="1">
        <v>9</v>
      </c>
    </row>
    <row r="5819" spans="1:14" x14ac:dyDescent="0.25">
      <c r="A5819" t="str">
        <f t="shared" si="182"/>
        <v>U152835U152835</v>
      </c>
      <c r="B5819" t="str">
        <f t="shared" si="183"/>
        <v>U152835PC9060BK-M</v>
      </c>
      <c r="C5819" s="1" t="s">
        <v>25</v>
      </c>
      <c r="D5819" s="1" t="s">
        <v>839</v>
      </c>
      <c r="E5819" s="1" t="s">
        <v>436</v>
      </c>
      <c r="F5819" s="1" t="s">
        <v>443</v>
      </c>
      <c r="G5819" s="1" t="s">
        <v>457</v>
      </c>
      <c r="H5819" s="1">
        <v>138</v>
      </c>
      <c r="I5819" s="3">
        <v>46287</v>
      </c>
      <c r="J5819" s="3">
        <v>46288</v>
      </c>
      <c r="L5819" s="31">
        <v>46287.604179629627</v>
      </c>
      <c r="M5819" s="20">
        <v>12</v>
      </c>
      <c r="N5819" s="1">
        <v>10</v>
      </c>
    </row>
    <row r="5820" spans="1:14" x14ac:dyDescent="0.25">
      <c r="A5820" t="str">
        <f t="shared" si="182"/>
        <v>U152835U152835</v>
      </c>
      <c r="B5820" t="str">
        <f t="shared" si="183"/>
        <v>U152835PC9060BK-M</v>
      </c>
      <c r="C5820" s="1" t="s">
        <v>25</v>
      </c>
      <c r="D5820" s="1" t="s">
        <v>839</v>
      </c>
      <c r="E5820" s="1" t="s">
        <v>436</v>
      </c>
      <c r="F5820" s="1" t="s">
        <v>443</v>
      </c>
      <c r="G5820" s="1" t="s">
        <v>457</v>
      </c>
      <c r="H5820" s="1">
        <v>138</v>
      </c>
      <c r="I5820" s="3">
        <v>46287</v>
      </c>
      <c r="J5820" s="3">
        <v>46288</v>
      </c>
      <c r="L5820" s="31">
        <v>46287.612727395834</v>
      </c>
      <c r="M5820" s="20">
        <v>12</v>
      </c>
      <c r="N5820" s="1">
        <v>7</v>
      </c>
    </row>
    <row r="5821" spans="1:14" x14ac:dyDescent="0.25">
      <c r="A5821" t="str">
        <f t="shared" si="182"/>
        <v>U152835U152835</v>
      </c>
      <c r="B5821" t="str">
        <f t="shared" si="183"/>
        <v>U152835PC9060BK-M</v>
      </c>
      <c r="C5821" s="1" t="s">
        <v>25</v>
      </c>
      <c r="D5821" s="1" t="s">
        <v>839</v>
      </c>
      <c r="E5821" s="1" t="s">
        <v>436</v>
      </c>
      <c r="F5821" s="1" t="s">
        <v>443</v>
      </c>
      <c r="G5821" s="1" t="s">
        <v>457</v>
      </c>
      <c r="H5821" s="1">
        <v>138</v>
      </c>
      <c r="I5821" s="3">
        <v>46287</v>
      </c>
      <c r="J5821" s="3">
        <v>46288</v>
      </c>
      <c r="L5821" s="31">
        <v>46287.621507870368</v>
      </c>
      <c r="M5821" s="20">
        <v>12</v>
      </c>
      <c r="N5821" s="1">
        <v>5</v>
      </c>
    </row>
    <row r="5822" spans="1:14" x14ac:dyDescent="0.25">
      <c r="A5822" t="str">
        <f t="shared" si="182"/>
        <v>U152835U152835</v>
      </c>
      <c r="B5822" t="str">
        <f t="shared" si="183"/>
        <v>U152835PC9060BK-M</v>
      </c>
      <c r="C5822" s="1" t="s">
        <v>25</v>
      </c>
      <c r="D5822" s="1" t="s">
        <v>839</v>
      </c>
      <c r="E5822" s="1" t="s">
        <v>436</v>
      </c>
      <c r="F5822" s="1" t="s">
        <v>443</v>
      </c>
      <c r="G5822" s="1" t="s">
        <v>457</v>
      </c>
      <c r="H5822" s="1">
        <v>138</v>
      </c>
      <c r="I5822" s="3">
        <v>46287</v>
      </c>
      <c r="J5822" s="3">
        <v>46288</v>
      </c>
      <c r="L5822" s="31">
        <v>46287.626803159721</v>
      </c>
      <c r="M5822" s="20">
        <v>12</v>
      </c>
      <c r="N5822" s="1">
        <v>4</v>
      </c>
    </row>
    <row r="5823" spans="1:14" x14ac:dyDescent="0.25">
      <c r="A5823" t="str">
        <f t="shared" si="182"/>
        <v>U152835U152835</v>
      </c>
      <c r="B5823" t="str">
        <f t="shared" si="183"/>
        <v>U152835PC9060BK-M</v>
      </c>
      <c r="C5823" s="1" t="s">
        <v>25</v>
      </c>
      <c r="D5823" s="1" t="s">
        <v>839</v>
      </c>
      <c r="E5823" s="1" t="s">
        <v>436</v>
      </c>
      <c r="F5823" s="1" t="s">
        <v>443</v>
      </c>
      <c r="G5823" s="1" t="s">
        <v>457</v>
      </c>
      <c r="H5823" s="1">
        <v>138</v>
      </c>
      <c r="I5823" s="3">
        <v>46287</v>
      </c>
      <c r="J5823" s="3">
        <v>46288</v>
      </c>
      <c r="L5823" s="31">
        <v>46287.630050729167</v>
      </c>
      <c r="M5823" s="20">
        <v>6</v>
      </c>
      <c r="N5823" s="1">
        <v>11</v>
      </c>
    </row>
    <row r="5824" spans="1:14" x14ac:dyDescent="0.25">
      <c r="A5824" t="str">
        <f t="shared" si="182"/>
        <v>U152835U152835</v>
      </c>
      <c r="B5824" t="str">
        <f t="shared" si="183"/>
        <v>U152835PC9060BK-M</v>
      </c>
      <c r="C5824" s="1" t="s">
        <v>25</v>
      </c>
      <c r="D5824" s="1" t="s">
        <v>839</v>
      </c>
      <c r="E5824" s="1" t="s">
        <v>436</v>
      </c>
      <c r="F5824" s="1" t="s">
        <v>443</v>
      </c>
      <c r="G5824" s="1" t="s">
        <v>457</v>
      </c>
      <c r="H5824" s="1">
        <v>138</v>
      </c>
      <c r="I5824" s="3">
        <v>46287</v>
      </c>
      <c r="J5824" s="3">
        <v>46288</v>
      </c>
      <c r="L5824" s="31">
        <v>46287.651477002313</v>
      </c>
      <c r="M5824" s="20">
        <v>12</v>
      </c>
      <c r="N5824" s="1">
        <v>8</v>
      </c>
    </row>
    <row r="5825" spans="1:14" x14ac:dyDescent="0.25">
      <c r="A5825" t="str">
        <f t="shared" si="182"/>
        <v>U152837U152837</v>
      </c>
      <c r="B5825" t="str">
        <f t="shared" si="183"/>
        <v>U152837PC9060BK-W</v>
      </c>
      <c r="C5825" s="1" t="s">
        <v>76</v>
      </c>
      <c r="D5825" s="1" t="s">
        <v>852</v>
      </c>
      <c r="E5825" s="1" t="s">
        <v>436</v>
      </c>
      <c r="F5825" s="1" t="s">
        <v>443</v>
      </c>
      <c r="G5825" s="1" t="s">
        <v>444</v>
      </c>
      <c r="H5825" s="1">
        <v>126</v>
      </c>
      <c r="I5825" s="3">
        <v>46287</v>
      </c>
      <c r="L5825" s="31">
        <v>46287.676079050922</v>
      </c>
      <c r="M5825" s="20">
        <v>12</v>
      </c>
      <c r="N5825" s="1">
        <v>22</v>
      </c>
    </row>
    <row r="5826" spans="1:14" x14ac:dyDescent="0.25">
      <c r="A5826" t="str">
        <f t="shared" ref="A5826:A5889" si="184">+D5826&amp;D5826</f>
        <v>U152837U152837</v>
      </c>
      <c r="B5826" t="str">
        <f t="shared" ref="B5826:B5889" si="185">+D5826&amp;C5826</f>
        <v>U152837PC9060BK-W</v>
      </c>
      <c r="C5826" s="1" t="s">
        <v>76</v>
      </c>
      <c r="D5826" s="1" t="s">
        <v>852</v>
      </c>
      <c r="E5826" s="1" t="s">
        <v>436</v>
      </c>
      <c r="F5826" s="1" t="s">
        <v>443</v>
      </c>
      <c r="G5826" s="1" t="s">
        <v>444</v>
      </c>
      <c r="H5826" s="1">
        <v>126</v>
      </c>
      <c r="I5826" s="3">
        <v>46287</v>
      </c>
      <c r="L5826" s="31">
        <v>46287.678247488424</v>
      </c>
      <c r="M5826" s="20">
        <v>12</v>
      </c>
      <c r="N5826" s="1">
        <v>16</v>
      </c>
    </row>
    <row r="5827" spans="1:14" x14ac:dyDescent="0.25">
      <c r="A5827" t="str">
        <f t="shared" si="184"/>
        <v>U152837U152837</v>
      </c>
      <c r="B5827" t="str">
        <f t="shared" si="185"/>
        <v>U152837PC9060BK-W</v>
      </c>
      <c r="C5827" s="1" t="s">
        <v>76</v>
      </c>
      <c r="D5827" s="1" t="s">
        <v>852</v>
      </c>
      <c r="E5827" s="1" t="s">
        <v>436</v>
      </c>
      <c r="F5827" s="1" t="s">
        <v>443</v>
      </c>
      <c r="G5827" s="1" t="s">
        <v>444</v>
      </c>
      <c r="H5827" s="1">
        <v>126</v>
      </c>
      <c r="I5827" s="3">
        <v>46287</v>
      </c>
      <c r="L5827" s="31">
        <v>46287.678349884256</v>
      </c>
      <c r="M5827" s="20">
        <v>6</v>
      </c>
      <c r="N5827" s="1">
        <v>26</v>
      </c>
    </row>
    <row r="5828" spans="1:14" x14ac:dyDescent="0.25">
      <c r="A5828" t="str">
        <f t="shared" si="184"/>
        <v>U152847U152847</v>
      </c>
      <c r="B5828" t="str">
        <f t="shared" si="185"/>
        <v>U152847I603457-W</v>
      </c>
      <c r="C5828" s="1" t="s">
        <v>59</v>
      </c>
      <c r="D5828" s="1" t="s">
        <v>771</v>
      </c>
      <c r="E5828" s="1" t="s">
        <v>436</v>
      </c>
      <c r="F5828" s="1" t="s">
        <v>443</v>
      </c>
      <c r="G5828" s="1" t="s">
        <v>444</v>
      </c>
      <c r="H5828" s="1">
        <v>84</v>
      </c>
      <c r="I5828" s="3">
        <v>46287</v>
      </c>
      <c r="J5828" s="3">
        <v>46289</v>
      </c>
      <c r="L5828" s="31">
        <v>46287.471786724534</v>
      </c>
      <c r="M5828" s="20">
        <v>12</v>
      </c>
      <c r="N5828" s="1">
        <v>17</v>
      </c>
    </row>
    <row r="5829" spans="1:14" x14ac:dyDescent="0.25">
      <c r="A5829" t="str">
        <f t="shared" si="184"/>
        <v>U152847U152847</v>
      </c>
      <c r="B5829" t="str">
        <f t="shared" si="185"/>
        <v>U152847I603457-W</v>
      </c>
      <c r="C5829" s="1" t="s">
        <v>59</v>
      </c>
      <c r="D5829" s="1" t="s">
        <v>771</v>
      </c>
      <c r="E5829" s="1" t="s">
        <v>436</v>
      </c>
      <c r="F5829" s="1" t="s">
        <v>443</v>
      </c>
      <c r="G5829" s="1" t="s">
        <v>444</v>
      </c>
      <c r="H5829" s="1">
        <v>84</v>
      </c>
      <c r="I5829" s="3">
        <v>46287</v>
      </c>
      <c r="J5829" s="3">
        <v>46289</v>
      </c>
      <c r="L5829" s="31">
        <v>46287.564947303239</v>
      </c>
      <c r="M5829" s="20">
        <v>12</v>
      </c>
      <c r="N5829" s="1">
        <v>13</v>
      </c>
    </row>
    <row r="5830" spans="1:14" x14ac:dyDescent="0.25">
      <c r="A5830" t="str">
        <f t="shared" si="184"/>
        <v>U152847U152847</v>
      </c>
      <c r="B5830" t="str">
        <f t="shared" si="185"/>
        <v>U152847I603457-W</v>
      </c>
      <c r="C5830" s="1" t="s">
        <v>59</v>
      </c>
      <c r="D5830" s="1" t="s">
        <v>771</v>
      </c>
      <c r="E5830" s="1" t="s">
        <v>436</v>
      </c>
      <c r="F5830" s="1" t="s">
        <v>443</v>
      </c>
      <c r="G5830" s="1" t="s">
        <v>444</v>
      </c>
      <c r="H5830" s="1">
        <v>84</v>
      </c>
      <c r="I5830" s="3">
        <v>46287</v>
      </c>
      <c r="J5830" s="3">
        <v>46289</v>
      </c>
      <c r="L5830" s="31">
        <v>46287.565290243052</v>
      </c>
      <c r="M5830" s="20">
        <v>12</v>
      </c>
      <c r="N5830" s="1">
        <v>12</v>
      </c>
    </row>
    <row r="5831" spans="1:14" x14ac:dyDescent="0.25">
      <c r="A5831" t="str">
        <f t="shared" si="184"/>
        <v>U152847U152847</v>
      </c>
      <c r="B5831" t="str">
        <f t="shared" si="185"/>
        <v>U152847I603457-W</v>
      </c>
      <c r="C5831" s="1" t="s">
        <v>59</v>
      </c>
      <c r="D5831" s="1" t="s">
        <v>771</v>
      </c>
      <c r="E5831" s="1" t="s">
        <v>436</v>
      </c>
      <c r="F5831" s="1" t="s">
        <v>443</v>
      </c>
      <c r="G5831" s="1" t="s">
        <v>444</v>
      </c>
      <c r="H5831" s="1">
        <v>84</v>
      </c>
      <c r="I5831" s="3">
        <v>46287</v>
      </c>
      <c r="J5831" s="3">
        <v>46289</v>
      </c>
      <c r="L5831" s="31">
        <v>46287.614778553238</v>
      </c>
      <c r="M5831" s="20">
        <v>12</v>
      </c>
      <c r="N5831" s="1">
        <v>16</v>
      </c>
    </row>
    <row r="5832" spans="1:14" x14ac:dyDescent="0.25">
      <c r="A5832" t="str">
        <f t="shared" si="184"/>
        <v>U152851U152851</v>
      </c>
      <c r="B5832" t="str">
        <f t="shared" si="185"/>
        <v>U152851I60356H-W</v>
      </c>
      <c r="C5832" s="1" t="s">
        <v>832</v>
      </c>
      <c r="D5832" s="1" t="s">
        <v>774</v>
      </c>
      <c r="E5832" s="1" t="s">
        <v>436</v>
      </c>
      <c r="F5832" s="1" t="s">
        <v>443</v>
      </c>
      <c r="G5832" s="1" t="s">
        <v>457</v>
      </c>
      <c r="H5832" s="1">
        <v>102</v>
      </c>
      <c r="I5832" s="3">
        <v>46287</v>
      </c>
      <c r="L5832" s="31">
        <v>46287.350079131946</v>
      </c>
      <c r="M5832" s="20">
        <v>12</v>
      </c>
      <c r="N5832" s="1">
        <v>32</v>
      </c>
    </row>
    <row r="5833" spans="1:14" x14ac:dyDescent="0.25">
      <c r="A5833" t="str">
        <f t="shared" si="184"/>
        <v>78764447876444</v>
      </c>
      <c r="B5833" t="str">
        <f t="shared" si="185"/>
        <v>7876444M5742IX-D</v>
      </c>
      <c r="C5833" s="1" t="s">
        <v>487</v>
      </c>
      <c r="D5833" s="1" t="s">
        <v>862</v>
      </c>
      <c r="E5833" s="1" t="s">
        <v>385</v>
      </c>
      <c r="F5833" s="1" t="s">
        <v>386</v>
      </c>
      <c r="G5833" s="1" t="s">
        <v>387</v>
      </c>
      <c r="H5833" s="1">
        <v>702</v>
      </c>
      <c r="I5833" s="3">
        <v>46288</v>
      </c>
      <c r="L5833" s="31">
        <v>46288.45921739583</v>
      </c>
      <c r="M5833" s="20">
        <v>12</v>
      </c>
      <c r="N5833" s="1">
        <v>49</v>
      </c>
    </row>
    <row r="5834" spans="1:14" x14ac:dyDescent="0.25">
      <c r="A5834" t="str">
        <f t="shared" si="184"/>
        <v>78764447876444</v>
      </c>
      <c r="B5834" t="str">
        <f t="shared" si="185"/>
        <v>7876444M5742IX-D</v>
      </c>
      <c r="C5834" s="1" t="s">
        <v>487</v>
      </c>
      <c r="D5834" s="1" t="s">
        <v>862</v>
      </c>
      <c r="E5834" s="1" t="s">
        <v>385</v>
      </c>
      <c r="F5834" s="1" t="s">
        <v>386</v>
      </c>
      <c r="G5834" s="1" t="s">
        <v>387</v>
      </c>
      <c r="H5834" s="1">
        <v>702</v>
      </c>
      <c r="I5834" s="3">
        <v>46288</v>
      </c>
      <c r="L5834" s="31">
        <v>46288.460020636572</v>
      </c>
      <c r="M5834" s="20">
        <v>12</v>
      </c>
      <c r="N5834" s="1">
        <v>21</v>
      </c>
    </row>
    <row r="5835" spans="1:14" x14ac:dyDescent="0.25">
      <c r="A5835" t="str">
        <f t="shared" si="184"/>
        <v>78764447876444</v>
      </c>
      <c r="B5835" t="str">
        <f t="shared" si="185"/>
        <v>7876444M5742IX-D</v>
      </c>
      <c r="C5835" s="1" t="s">
        <v>487</v>
      </c>
      <c r="D5835" s="1" t="s">
        <v>862</v>
      </c>
      <c r="E5835" s="1" t="s">
        <v>385</v>
      </c>
      <c r="F5835" s="1" t="s">
        <v>386</v>
      </c>
      <c r="G5835" s="1" t="s">
        <v>387</v>
      </c>
      <c r="H5835" s="1">
        <v>702</v>
      </c>
      <c r="I5835" s="3">
        <v>46288</v>
      </c>
      <c r="L5835" s="31">
        <v>46288.464816550921</v>
      </c>
      <c r="M5835" s="20">
        <v>12</v>
      </c>
      <c r="N5835" s="1">
        <v>16</v>
      </c>
    </row>
    <row r="5836" spans="1:14" x14ac:dyDescent="0.25">
      <c r="A5836" t="str">
        <f t="shared" si="184"/>
        <v>78764447876444</v>
      </c>
      <c r="B5836" t="str">
        <f t="shared" si="185"/>
        <v>7876444M5742IX-D</v>
      </c>
      <c r="C5836" s="1" t="s">
        <v>487</v>
      </c>
      <c r="D5836" s="1" t="s">
        <v>862</v>
      </c>
      <c r="E5836" s="1" t="s">
        <v>385</v>
      </c>
      <c r="F5836" s="1" t="s">
        <v>386</v>
      </c>
      <c r="G5836" s="1" t="s">
        <v>387</v>
      </c>
      <c r="H5836" s="1">
        <v>702</v>
      </c>
      <c r="I5836" s="3">
        <v>46288</v>
      </c>
      <c r="L5836" s="31">
        <v>46288.54352353009</v>
      </c>
      <c r="M5836" s="20">
        <v>12</v>
      </c>
      <c r="N5836" s="1">
        <v>42</v>
      </c>
    </row>
    <row r="5837" spans="1:14" x14ac:dyDescent="0.25">
      <c r="A5837" t="str">
        <f t="shared" si="184"/>
        <v>78764447876444</v>
      </c>
      <c r="B5837" t="str">
        <f t="shared" si="185"/>
        <v>7876444M5742IX-D</v>
      </c>
      <c r="C5837" s="1" t="s">
        <v>487</v>
      </c>
      <c r="D5837" s="1" t="s">
        <v>862</v>
      </c>
      <c r="E5837" s="1" t="s">
        <v>385</v>
      </c>
      <c r="F5837" s="1" t="s">
        <v>386</v>
      </c>
      <c r="G5837" s="1" t="s">
        <v>387</v>
      </c>
      <c r="H5837" s="1">
        <v>702</v>
      </c>
      <c r="I5837" s="3">
        <v>46288</v>
      </c>
      <c r="L5837" s="31">
        <v>46288.549009374998</v>
      </c>
      <c r="M5837" s="20">
        <v>12</v>
      </c>
      <c r="N5837" s="1">
        <v>32</v>
      </c>
    </row>
    <row r="5838" spans="1:14" x14ac:dyDescent="0.25">
      <c r="A5838" t="str">
        <f t="shared" si="184"/>
        <v>78764447876444</v>
      </c>
      <c r="B5838" t="str">
        <f t="shared" si="185"/>
        <v>7876444M5742IX-D</v>
      </c>
      <c r="C5838" s="1" t="s">
        <v>487</v>
      </c>
      <c r="D5838" s="1" t="s">
        <v>862</v>
      </c>
      <c r="E5838" s="1" t="s">
        <v>385</v>
      </c>
      <c r="F5838" s="1" t="s">
        <v>386</v>
      </c>
      <c r="G5838" s="1" t="s">
        <v>387</v>
      </c>
      <c r="H5838" s="1">
        <v>702</v>
      </c>
      <c r="I5838" s="3">
        <v>46288</v>
      </c>
      <c r="L5838" s="31">
        <v>46288.556579942131</v>
      </c>
      <c r="M5838" s="20">
        <v>12</v>
      </c>
      <c r="N5838" s="1">
        <v>44</v>
      </c>
    </row>
    <row r="5839" spans="1:14" x14ac:dyDescent="0.25">
      <c r="A5839" t="str">
        <f t="shared" si="184"/>
        <v>78764447876444</v>
      </c>
      <c r="B5839" t="str">
        <f t="shared" si="185"/>
        <v>7876444M5742IX-D</v>
      </c>
      <c r="C5839" s="1" t="s">
        <v>487</v>
      </c>
      <c r="D5839" s="1" t="s">
        <v>862</v>
      </c>
      <c r="E5839" s="1" t="s">
        <v>385</v>
      </c>
      <c r="F5839" s="1" t="s">
        <v>386</v>
      </c>
      <c r="G5839" s="1" t="s">
        <v>387</v>
      </c>
      <c r="H5839" s="1">
        <v>702</v>
      </c>
      <c r="I5839" s="3">
        <v>46288</v>
      </c>
      <c r="L5839" s="31">
        <v>46288.558194826386</v>
      </c>
      <c r="M5839" s="20">
        <v>12</v>
      </c>
      <c r="N5839" s="1">
        <v>11</v>
      </c>
    </row>
    <row r="5840" spans="1:14" x14ac:dyDescent="0.25">
      <c r="A5840" t="str">
        <f t="shared" si="184"/>
        <v>78764447876444</v>
      </c>
      <c r="B5840" t="str">
        <f t="shared" si="185"/>
        <v>7876444M5742IX-D</v>
      </c>
      <c r="C5840" s="1" t="s">
        <v>487</v>
      </c>
      <c r="D5840" s="1" t="s">
        <v>862</v>
      </c>
      <c r="E5840" s="1" t="s">
        <v>385</v>
      </c>
      <c r="F5840" s="1" t="s">
        <v>386</v>
      </c>
      <c r="G5840" s="1" t="s">
        <v>387</v>
      </c>
      <c r="H5840" s="1">
        <v>702</v>
      </c>
      <c r="I5840" s="3">
        <v>46288</v>
      </c>
      <c r="L5840" s="31">
        <v>46288.559034722217</v>
      </c>
      <c r="M5840" s="20">
        <v>12</v>
      </c>
      <c r="N5840" s="1">
        <v>22</v>
      </c>
    </row>
    <row r="5841" spans="1:14" x14ac:dyDescent="0.25">
      <c r="A5841" t="str">
        <f t="shared" si="184"/>
        <v>78764447876444</v>
      </c>
      <c r="B5841" t="str">
        <f t="shared" si="185"/>
        <v>7876444M5742IX-D</v>
      </c>
      <c r="C5841" s="1" t="s">
        <v>487</v>
      </c>
      <c r="D5841" s="1" t="s">
        <v>862</v>
      </c>
      <c r="E5841" s="1" t="s">
        <v>385</v>
      </c>
      <c r="F5841" s="1" t="s">
        <v>386</v>
      </c>
      <c r="G5841" s="1" t="s">
        <v>387</v>
      </c>
      <c r="H5841" s="1">
        <v>702</v>
      </c>
      <c r="I5841" s="3">
        <v>46288</v>
      </c>
      <c r="L5841" s="31">
        <v>46288.567393136575</v>
      </c>
      <c r="M5841" s="20">
        <v>12</v>
      </c>
      <c r="N5841" s="1">
        <v>34</v>
      </c>
    </row>
    <row r="5842" spans="1:14" x14ac:dyDescent="0.25">
      <c r="A5842" t="str">
        <f t="shared" si="184"/>
        <v>78764447876444</v>
      </c>
      <c r="B5842" t="str">
        <f t="shared" si="185"/>
        <v>7876444M5742IX-D</v>
      </c>
      <c r="C5842" s="1" t="s">
        <v>487</v>
      </c>
      <c r="D5842" s="1" t="s">
        <v>862</v>
      </c>
      <c r="E5842" s="1" t="s">
        <v>385</v>
      </c>
      <c r="F5842" s="1" t="s">
        <v>386</v>
      </c>
      <c r="G5842" s="1" t="s">
        <v>387</v>
      </c>
      <c r="H5842" s="1">
        <v>702</v>
      </c>
      <c r="I5842" s="3">
        <v>46288</v>
      </c>
      <c r="L5842" s="31">
        <v>46288.589121840276</v>
      </c>
      <c r="M5842" s="20">
        <v>12</v>
      </c>
      <c r="N5842" s="1">
        <v>18</v>
      </c>
    </row>
    <row r="5843" spans="1:14" x14ac:dyDescent="0.25">
      <c r="A5843" t="str">
        <f t="shared" si="184"/>
        <v>78764447876444</v>
      </c>
      <c r="B5843" t="str">
        <f t="shared" si="185"/>
        <v>7876444M5742IX-D</v>
      </c>
      <c r="C5843" s="1" t="s">
        <v>487</v>
      </c>
      <c r="D5843" s="1" t="s">
        <v>862</v>
      </c>
      <c r="E5843" s="1" t="s">
        <v>385</v>
      </c>
      <c r="F5843" s="1" t="s">
        <v>386</v>
      </c>
      <c r="G5843" s="1" t="s">
        <v>387</v>
      </c>
      <c r="H5843" s="1">
        <v>702</v>
      </c>
      <c r="I5843" s="3">
        <v>46288</v>
      </c>
      <c r="L5843" s="31">
        <v>46288.591728935186</v>
      </c>
      <c r="M5843" s="20">
        <v>12</v>
      </c>
      <c r="N5843" s="1">
        <v>13</v>
      </c>
    </row>
    <row r="5844" spans="1:14" x14ac:dyDescent="0.25">
      <c r="A5844" t="str">
        <f t="shared" si="184"/>
        <v>78764447876444</v>
      </c>
      <c r="B5844" t="str">
        <f t="shared" si="185"/>
        <v>7876444M5742IX-D</v>
      </c>
      <c r="C5844" s="1" t="s">
        <v>487</v>
      </c>
      <c r="D5844" s="1" t="s">
        <v>862</v>
      </c>
      <c r="E5844" s="1" t="s">
        <v>385</v>
      </c>
      <c r="F5844" s="1" t="s">
        <v>386</v>
      </c>
      <c r="G5844" s="1" t="s">
        <v>387</v>
      </c>
      <c r="H5844" s="1">
        <v>702</v>
      </c>
      <c r="I5844" s="3">
        <v>46288</v>
      </c>
      <c r="L5844" s="31">
        <v>46288.592103854164</v>
      </c>
      <c r="M5844" s="20">
        <v>12</v>
      </c>
      <c r="N5844" s="1">
        <v>24</v>
      </c>
    </row>
    <row r="5845" spans="1:14" x14ac:dyDescent="0.25">
      <c r="A5845" t="str">
        <f t="shared" si="184"/>
        <v>78764447876444</v>
      </c>
      <c r="B5845" t="str">
        <f t="shared" si="185"/>
        <v>7876444M5742IX-D</v>
      </c>
      <c r="C5845" s="1" t="s">
        <v>487</v>
      </c>
      <c r="D5845" s="1" t="s">
        <v>862</v>
      </c>
      <c r="E5845" s="1" t="s">
        <v>385</v>
      </c>
      <c r="F5845" s="1" t="s">
        <v>386</v>
      </c>
      <c r="G5845" s="1" t="s">
        <v>387</v>
      </c>
      <c r="H5845" s="1">
        <v>702</v>
      </c>
      <c r="I5845" s="3">
        <v>46288</v>
      </c>
      <c r="L5845" s="31">
        <v>46288.59383680555</v>
      </c>
      <c r="M5845" s="20">
        <v>12</v>
      </c>
      <c r="N5845" s="1">
        <v>25</v>
      </c>
    </row>
    <row r="5846" spans="1:14" x14ac:dyDescent="0.25">
      <c r="A5846" t="str">
        <f t="shared" si="184"/>
        <v>78764447876444</v>
      </c>
      <c r="B5846" t="str">
        <f t="shared" si="185"/>
        <v>7876444M5742IX-D</v>
      </c>
      <c r="C5846" s="1" t="s">
        <v>487</v>
      </c>
      <c r="D5846" s="1" t="s">
        <v>862</v>
      </c>
      <c r="E5846" s="1" t="s">
        <v>385</v>
      </c>
      <c r="F5846" s="1" t="s">
        <v>386</v>
      </c>
      <c r="G5846" s="1" t="s">
        <v>387</v>
      </c>
      <c r="H5846" s="1">
        <v>702</v>
      </c>
      <c r="I5846" s="3">
        <v>46288</v>
      </c>
      <c r="L5846" s="31">
        <v>46288.600400925927</v>
      </c>
      <c r="M5846" s="20">
        <v>12</v>
      </c>
      <c r="N5846" s="1">
        <v>38</v>
      </c>
    </row>
    <row r="5847" spans="1:14" x14ac:dyDescent="0.25">
      <c r="A5847" t="str">
        <f t="shared" si="184"/>
        <v>78764447876444</v>
      </c>
      <c r="B5847" t="str">
        <f t="shared" si="185"/>
        <v>7876444M5742IX-D</v>
      </c>
      <c r="C5847" s="1" t="s">
        <v>487</v>
      </c>
      <c r="D5847" s="1" t="s">
        <v>862</v>
      </c>
      <c r="E5847" s="1" t="s">
        <v>385</v>
      </c>
      <c r="F5847" s="1" t="s">
        <v>386</v>
      </c>
      <c r="G5847" s="1" t="s">
        <v>387</v>
      </c>
      <c r="H5847" s="1">
        <v>702</v>
      </c>
      <c r="I5847" s="3">
        <v>46288</v>
      </c>
      <c r="L5847" s="31">
        <v>46288.60066585648</v>
      </c>
      <c r="M5847" s="20">
        <v>12</v>
      </c>
      <c r="N5847" s="1">
        <v>33</v>
      </c>
    </row>
    <row r="5848" spans="1:14" x14ac:dyDescent="0.25">
      <c r="A5848" t="str">
        <f t="shared" si="184"/>
        <v>78764447876444</v>
      </c>
      <c r="B5848" t="str">
        <f t="shared" si="185"/>
        <v>7876444M5742IX-D</v>
      </c>
      <c r="C5848" s="1" t="s">
        <v>487</v>
      </c>
      <c r="D5848" s="1" t="s">
        <v>862</v>
      </c>
      <c r="E5848" s="1" t="s">
        <v>385</v>
      </c>
      <c r="F5848" s="1" t="s">
        <v>386</v>
      </c>
      <c r="G5848" s="1" t="s">
        <v>387</v>
      </c>
      <c r="H5848" s="1">
        <v>702</v>
      </c>
      <c r="I5848" s="3">
        <v>46288</v>
      </c>
      <c r="L5848" s="31">
        <v>46288.606039548606</v>
      </c>
      <c r="M5848" s="20">
        <v>12</v>
      </c>
      <c r="N5848" s="1">
        <v>23</v>
      </c>
    </row>
    <row r="5849" spans="1:14" x14ac:dyDescent="0.25">
      <c r="A5849" t="str">
        <f t="shared" si="184"/>
        <v>78764447876444</v>
      </c>
      <c r="B5849" t="str">
        <f t="shared" si="185"/>
        <v>7876444M5742IX-D</v>
      </c>
      <c r="C5849" s="1" t="s">
        <v>487</v>
      </c>
      <c r="D5849" s="1" t="s">
        <v>862</v>
      </c>
      <c r="E5849" s="1" t="s">
        <v>385</v>
      </c>
      <c r="F5849" s="1" t="s">
        <v>386</v>
      </c>
      <c r="G5849" s="1" t="s">
        <v>387</v>
      </c>
      <c r="H5849" s="1">
        <v>702</v>
      </c>
      <c r="I5849" s="3">
        <v>46288</v>
      </c>
      <c r="L5849" s="31">
        <v>46288.606234606479</v>
      </c>
      <c r="M5849" s="20">
        <v>12</v>
      </c>
      <c r="N5849" s="1">
        <v>12</v>
      </c>
    </row>
    <row r="5850" spans="1:14" x14ac:dyDescent="0.25">
      <c r="A5850" t="str">
        <f t="shared" si="184"/>
        <v>78764447876444</v>
      </c>
      <c r="B5850" t="str">
        <f t="shared" si="185"/>
        <v>7876444M5742IX-D</v>
      </c>
      <c r="C5850" s="1" t="s">
        <v>487</v>
      </c>
      <c r="D5850" s="1" t="s">
        <v>862</v>
      </c>
      <c r="E5850" s="1" t="s">
        <v>385</v>
      </c>
      <c r="F5850" s="1" t="s">
        <v>386</v>
      </c>
      <c r="G5850" s="1" t="s">
        <v>387</v>
      </c>
      <c r="H5850" s="1">
        <v>702</v>
      </c>
      <c r="I5850" s="3">
        <v>46288</v>
      </c>
      <c r="L5850" s="31">
        <v>46288.608798414352</v>
      </c>
      <c r="M5850" s="20">
        <v>12</v>
      </c>
      <c r="N5850" s="1">
        <v>35</v>
      </c>
    </row>
    <row r="5851" spans="1:14" x14ac:dyDescent="0.25">
      <c r="A5851" t="str">
        <f t="shared" si="184"/>
        <v>78764447876444</v>
      </c>
      <c r="B5851" t="str">
        <f t="shared" si="185"/>
        <v>7876444M5742IX-D</v>
      </c>
      <c r="C5851" s="1" t="s">
        <v>487</v>
      </c>
      <c r="D5851" s="1" t="s">
        <v>862</v>
      </c>
      <c r="E5851" s="1" t="s">
        <v>385</v>
      </c>
      <c r="F5851" s="1" t="s">
        <v>386</v>
      </c>
      <c r="G5851" s="1" t="s">
        <v>387</v>
      </c>
      <c r="H5851" s="1">
        <v>702</v>
      </c>
      <c r="I5851" s="3">
        <v>46288</v>
      </c>
      <c r="L5851" s="31">
        <v>46288.609356446759</v>
      </c>
      <c r="M5851" s="20">
        <v>12</v>
      </c>
      <c r="N5851" s="1">
        <v>43</v>
      </c>
    </row>
    <row r="5852" spans="1:14" x14ac:dyDescent="0.25">
      <c r="A5852" t="str">
        <f t="shared" si="184"/>
        <v>78764447876444</v>
      </c>
      <c r="B5852" t="str">
        <f t="shared" si="185"/>
        <v>7876444M5742IX-D</v>
      </c>
      <c r="C5852" s="1" t="s">
        <v>487</v>
      </c>
      <c r="D5852" s="1" t="s">
        <v>862</v>
      </c>
      <c r="E5852" s="1" t="s">
        <v>385</v>
      </c>
      <c r="F5852" s="1" t="s">
        <v>386</v>
      </c>
      <c r="G5852" s="1" t="s">
        <v>387</v>
      </c>
      <c r="H5852" s="1">
        <v>702</v>
      </c>
      <c r="I5852" s="3">
        <v>46288</v>
      </c>
      <c r="L5852" s="31">
        <v>46288.617237118051</v>
      </c>
      <c r="M5852" s="20">
        <v>12</v>
      </c>
      <c r="N5852" s="1">
        <v>17</v>
      </c>
    </row>
    <row r="5853" spans="1:14" x14ac:dyDescent="0.25">
      <c r="A5853" t="str">
        <f t="shared" si="184"/>
        <v>78764447876444</v>
      </c>
      <c r="B5853" t="str">
        <f t="shared" si="185"/>
        <v>7876444M5742IX-D</v>
      </c>
      <c r="C5853" s="1" t="s">
        <v>487</v>
      </c>
      <c r="D5853" s="1" t="s">
        <v>862</v>
      </c>
      <c r="E5853" s="1" t="s">
        <v>385</v>
      </c>
      <c r="F5853" s="1" t="s">
        <v>386</v>
      </c>
      <c r="G5853" s="1" t="s">
        <v>387</v>
      </c>
      <c r="H5853" s="1">
        <v>702</v>
      </c>
      <c r="I5853" s="3">
        <v>46288</v>
      </c>
      <c r="L5853" s="31">
        <v>46288.626258645832</v>
      </c>
      <c r="M5853" s="20">
        <v>12</v>
      </c>
      <c r="N5853" s="1">
        <v>50</v>
      </c>
    </row>
    <row r="5854" spans="1:14" x14ac:dyDescent="0.25">
      <c r="A5854" t="str">
        <f t="shared" si="184"/>
        <v>78764447876444</v>
      </c>
      <c r="B5854" t="str">
        <f t="shared" si="185"/>
        <v>7876444M5742IX-D</v>
      </c>
      <c r="C5854" s="1" t="s">
        <v>487</v>
      </c>
      <c r="D5854" s="1" t="s">
        <v>862</v>
      </c>
      <c r="E5854" s="1" t="s">
        <v>385</v>
      </c>
      <c r="F5854" s="1" t="s">
        <v>386</v>
      </c>
      <c r="G5854" s="1" t="s">
        <v>387</v>
      </c>
      <c r="H5854" s="1">
        <v>702</v>
      </c>
      <c r="I5854" s="3">
        <v>46288</v>
      </c>
      <c r="L5854" s="31">
        <v>46288.646599965279</v>
      </c>
      <c r="M5854" s="20">
        <v>12</v>
      </c>
      <c r="N5854" s="1">
        <v>19</v>
      </c>
    </row>
    <row r="5855" spans="1:14" x14ac:dyDescent="0.25">
      <c r="A5855" t="str">
        <f t="shared" si="184"/>
        <v>78764447876444</v>
      </c>
      <c r="B5855" t="str">
        <f t="shared" si="185"/>
        <v>7876444M5742IX-D</v>
      </c>
      <c r="C5855" s="1" t="s">
        <v>487</v>
      </c>
      <c r="D5855" s="1" t="s">
        <v>862</v>
      </c>
      <c r="E5855" s="1" t="s">
        <v>385</v>
      </c>
      <c r="F5855" s="1" t="s">
        <v>386</v>
      </c>
      <c r="G5855" s="1" t="s">
        <v>387</v>
      </c>
      <c r="H5855" s="1">
        <v>702</v>
      </c>
      <c r="I5855" s="3">
        <v>46288</v>
      </c>
      <c r="L5855" s="31">
        <v>46288.651558645834</v>
      </c>
      <c r="M5855" s="20">
        <v>12</v>
      </c>
      <c r="N5855" s="1">
        <v>20</v>
      </c>
    </row>
    <row r="5856" spans="1:14" x14ac:dyDescent="0.25">
      <c r="A5856" t="str">
        <f t="shared" si="184"/>
        <v>78764447876444</v>
      </c>
      <c r="B5856" t="str">
        <f t="shared" si="185"/>
        <v>7876444M5742IX-D</v>
      </c>
      <c r="C5856" s="1" t="s">
        <v>487</v>
      </c>
      <c r="D5856" s="1" t="s">
        <v>862</v>
      </c>
      <c r="E5856" s="1" t="s">
        <v>385</v>
      </c>
      <c r="F5856" s="1" t="s">
        <v>386</v>
      </c>
      <c r="G5856" s="1" t="s">
        <v>387</v>
      </c>
      <c r="H5856" s="1">
        <v>702</v>
      </c>
      <c r="I5856" s="3">
        <v>46288</v>
      </c>
      <c r="L5856" s="31">
        <v>46288.651801817126</v>
      </c>
      <c r="M5856" s="20">
        <v>12</v>
      </c>
      <c r="N5856" s="1">
        <v>26</v>
      </c>
    </row>
    <row r="5857" spans="1:14" x14ac:dyDescent="0.25">
      <c r="A5857" t="str">
        <f t="shared" si="184"/>
        <v>78764447876444</v>
      </c>
      <c r="B5857" t="str">
        <f t="shared" si="185"/>
        <v>7876444M5742IX-D</v>
      </c>
      <c r="C5857" s="1" t="s">
        <v>487</v>
      </c>
      <c r="D5857" s="1" t="s">
        <v>862</v>
      </c>
      <c r="E5857" s="1" t="s">
        <v>385</v>
      </c>
      <c r="F5857" s="1" t="s">
        <v>386</v>
      </c>
      <c r="G5857" s="1" t="s">
        <v>387</v>
      </c>
      <c r="H5857" s="1">
        <v>702</v>
      </c>
      <c r="I5857" s="3">
        <v>46288</v>
      </c>
      <c r="L5857" s="31">
        <v>46288.654201354162</v>
      </c>
      <c r="M5857" s="20">
        <v>12</v>
      </c>
      <c r="N5857" s="1">
        <v>39</v>
      </c>
    </row>
    <row r="5858" spans="1:14" x14ac:dyDescent="0.25">
      <c r="A5858" t="str">
        <f t="shared" si="184"/>
        <v>78764447876444</v>
      </c>
      <c r="B5858" t="str">
        <f t="shared" si="185"/>
        <v>7876444M5742IX-D</v>
      </c>
      <c r="C5858" s="1" t="s">
        <v>487</v>
      </c>
      <c r="D5858" s="1" t="s">
        <v>862</v>
      </c>
      <c r="E5858" s="1" t="s">
        <v>385</v>
      </c>
      <c r="F5858" s="1" t="s">
        <v>386</v>
      </c>
      <c r="G5858" s="1" t="s">
        <v>387</v>
      </c>
      <c r="H5858" s="1">
        <v>702</v>
      </c>
      <c r="I5858" s="3">
        <v>46288</v>
      </c>
      <c r="L5858" s="31">
        <v>46288.667605173607</v>
      </c>
      <c r="M5858" s="20">
        <v>12</v>
      </c>
      <c r="N5858" s="1">
        <v>45</v>
      </c>
    </row>
    <row r="5859" spans="1:14" x14ac:dyDescent="0.25">
      <c r="A5859" t="str">
        <f t="shared" si="184"/>
        <v>78764447876444</v>
      </c>
      <c r="B5859" t="str">
        <f t="shared" si="185"/>
        <v>7876444M5742IX-D</v>
      </c>
      <c r="C5859" s="1" t="s">
        <v>487</v>
      </c>
      <c r="D5859" s="1" t="s">
        <v>862</v>
      </c>
      <c r="E5859" s="1" t="s">
        <v>385</v>
      </c>
      <c r="F5859" s="1" t="s">
        <v>386</v>
      </c>
      <c r="G5859" s="1" t="s">
        <v>387</v>
      </c>
      <c r="H5859" s="1">
        <v>702</v>
      </c>
      <c r="I5859" s="3">
        <v>46288</v>
      </c>
      <c r="L5859" s="31">
        <v>46288.668040127312</v>
      </c>
      <c r="M5859" s="20">
        <v>12</v>
      </c>
      <c r="N5859" s="1">
        <v>27</v>
      </c>
    </row>
    <row r="5860" spans="1:14" x14ac:dyDescent="0.25">
      <c r="A5860" t="str">
        <f t="shared" si="184"/>
        <v>78764447876444</v>
      </c>
      <c r="B5860" t="str">
        <f t="shared" si="185"/>
        <v>7876444M5742IX-D</v>
      </c>
      <c r="C5860" s="1" t="s">
        <v>487</v>
      </c>
      <c r="D5860" s="1" t="s">
        <v>862</v>
      </c>
      <c r="E5860" s="1" t="s">
        <v>385</v>
      </c>
      <c r="F5860" s="1" t="s">
        <v>386</v>
      </c>
      <c r="G5860" s="1" t="s">
        <v>387</v>
      </c>
      <c r="H5860" s="1">
        <v>702</v>
      </c>
      <c r="I5860" s="3">
        <v>46288</v>
      </c>
      <c r="L5860" s="31">
        <v>46288.668798495368</v>
      </c>
      <c r="M5860" s="20">
        <v>12</v>
      </c>
      <c r="N5860" s="1">
        <v>36</v>
      </c>
    </row>
    <row r="5861" spans="1:14" x14ac:dyDescent="0.25">
      <c r="A5861" t="str">
        <f t="shared" si="184"/>
        <v>78764447876444</v>
      </c>
      <c r="B5861" t="str">
        <f t="shared" si="185"/>
        <v>7876444M5742IX-D</v>
      </c>
      <c r="C5861" s="1" t="s">
        <v>487</v>
      </c>
      <c r="D5861" s="1" t="s">
        <v>862</v>
      </c>
      <c r="E5861" s="1" t="s">
        <v>385</v>
      </c>
      <c r="F5861" s="1" t="s">
        <v>386</v>
      </c>
      <c r="G5861" s="1" t="s">
        <v>387</v>
      </c>
      <c r="H5861" s="1">
        <v>702</v>
      </c>
      <c r="I5861" s="3">
        <v>46288</v>
      </c>
      <c r="L5861" s="31">
        <v>46288.669553240739</v>
      </c>
      <c r="M5861" s="20">
        <v>12</v>
      </c>
      <c r="N5861" s="1">
        <v>40</v>
      </c>
    </row>
    <row r="5862" spans="1:14" x14ac:dyDescent="0.25">
      <c r="A5862" t="str">
        <f t="shared" si="184"/>
        <v>78764447876444</v>
      </c>
      <c r="B5862" t="str">
        <f t="shared" si="185"/>
        <v>7876444M5742IX-D</v>
      </c>
      <c r="C5862" s="1" t="s">
        <v>487</v>
      </c>
      <c r="D5862" s="1" t="s">
        <v>862</v>
      </c>
      <c r="E5862" s="1" t="s">
        <v>385</v>
      </c>
      <c r="F5862" s="1" t="s">
        <v>386</v>
      </c>
      <c r="G5862" s="1" t="s">
        <v>387</v>
      </c>
      <c r="H5862" s="1">
        <v>702</v>
      </c>
      <c r="I5862" s="3">
        <v>46288</v>
      </c>
      <c r="L5862" s="31">
        <v>46288.669954166668</v>
      </c>
      <c r="M5862" s="20">
        <v>12</v>
      </c>
      <c r="N5862" s="1">
        <v>4</v>
      </c>
    </row>
    <row r="5863" spans="1:14" x14ac:dyDescent="0.25">
      <c r="A5863" t="str">
        <f t="shared" si="184"/>
        <v>78764447876444</v>
      </c>
      <c r="B5863" t="str">
        <f t="shared" si="185"/>
        <v>7876444M5742IX-D</v>
      </c>
      <c r="C5863" s="1" t="s">
        <v>487</v>
      </c>
      <c r="D5863" s="1" t="s">
        <v>862</v>
      </c>
      <c r="E5863" s="1" t="s">
        <v>385</v>
      </c>
      <c r="F5863" s="1" t="s">
        <v>386</v>
      </c>
      <c r="G5863" s="1" t="s">
        <v>387</v>
      </c>
      <c r="H5863" s="1">
        <v>702</v>
      </c>
      <c r="I5863" s="3">
        <v>46288</v>
      </c>
      <c r="L5863" s="31">
        <v>46288.670347256942</v>
      </c>
      <c r="M5863" s="20">
        <v>12</v>
      </c>
      <c r="N5863" s="1">
        <v>6</v>
      </c>
    </row>
    <row r="5864" spans="1:14" x14ac:dyDescent="0.25">
      <c r="A5864" t="str">
        <f t="shared" si="184"/>
        <v>78764447876444</v>
      </c>
      <c r="B5864" t="str">
        <f t="shared" si="185"/>
        <v>7876444M5742IX-D</v>
      </c>
      <c r="C5864" s="1" t="s">
        <v>487</v>
      </c>
      <c r="D5864" s="1" t="s">
        <v>862</v>
      </c>
      <c r="E5864" s="1" t="s">
        <v>385</v>
      </c>
      <c r="F5864" s="1" t="s">
        <v>386</v>
      </c>
      <c r="G5864" s="1" t="s">
        <v>387</v>
      </c>
      <c r="H5864" s="1">
        <v>702</v>
      </c>
      <c r="I5864" s="3">
        <v>46288</v>
      </c>
      <c r="L5864" s="31">
        <v>46288.716052858792</v>
      </c>
      <c r="M5864" s="20">
        <v>12</v>
      </c>
      <c r="N5864" s="1">
        <v>51</v>
      </c>
    </row>
    <row r="5865" spans="1:14" x14ac:dyDescent="0.25">
      <c r="A5865" t="str">
        <f t="shared" si="184"/>
        <v>78764447876444</v>
      </c>
      <c r="B5865" t="str">
        <f t="shared" si="185"/>
        <v>7876444M5742IX-D</v>
      </c>
      <c r="C5865" s="1" t="s">
        <v>487</v>
      </c>
      <c r="D5865" s="1" t="s">
        <v>862</v>
      </c>
      <c r="E5865" s="1" t="s">
        <v>385</v>
      </c>
      <c r="F5865" s="1" t="s">
        <v>386</v>
      </c>
      <c r="G5865" s="1" t="s">
        <v>387</v>
      </c>
      <c r="H5865" s="1">
        <v>702</v>
      </c>
      <c r="I5865" s="3">
        <v>46288</v>
      </c>
      <c r="L5865" s="31">
        <v>46288.727325381944</v>
      </c>
      <c r="M5865" s="20">
        <v>12</v>
      </c>
      <c r="N5865" s="1">
        <v>14</v>
      </c>
    </row>
    <row r="5866" spans="1:14" x14ac:dyDescent="0.25">
      <c r="A5866" t="str">
        <f t="shared" si="184"/>
        <v>78764447876444</v>
      </c>
      <c r="B5866" t="str">
        <f t="shared" si="185"/>
        <v>7876444M5742IX-D</v>
      </c>
      <c r="C5866" s="1" t="s">
        <v>487</v>
      </c>
      <c r="D5866" s="1" t="s">
        <v>862</v>
      </c>
      <c r="E5866" s="1" t="s">
        <v>385</v>
      </c>
      <c r="F5866" s="1" t="s">
        <v>386</v>
      </c>
      <c r="G5866" s="1" t="s">
        <v>387</v>
      </c>
      <c r="H5866" s="1">
        <v>702</v>
      </c>
      <c r="I5866" s="3">
        <v>46288</v>
      </c>
      <c r="L5866" s="31">
        <v>46288.733039502316</v>
      </c>
      <c r="M5866" s="20">
        <v>12</v>
      </c>
      <c r="N5866" s="1">
        <v>7</v>
      </c>
    </row>
    <row r="5867" spans="1:14" x14ac:dyDescent="0.25">
      <c r="A5867" t="str">
        <f t="shared" si="184"/>
        <v>78764447876444</v>
      </c>
      <c r="B5867" t="str">
        <f t="shared" si="185"/>
        <v>7876444M5742IX-D</v>
      </c>
      <c r="C5867" s="1" t="s">
        <v>487</v>
      </c>
      <c r="D5867" s="1" t="s">
        <v>862</v>
      </c>
      <c r="E5867" s="1" t="s">
        <v>385</v>
      </c>
      <c r="F5867" s="1" t="s">
        <v>386</v>
      </c>
      <c r="G5867" s="1" t="s">
        <v>387</v>
      </c>
      <c r="H5867" s="1">
        <v>702</v>
      </c>
      <c r="I5867" s="3">
        <v>46288</v>
      </c>
      <c r="L5867" s="31">
        <v>46288.733334143515</v>
      </c>
      <c r="M5867" s="20">
        <v>12</v>
      </c>
      <c r="N5867" s="1">
        <v>8</v>
      </c>
    </row>
    <row r="5868" spans="1:14" x14ac:dyDescent="0.25">
      <c r="A5868" t="str">
        <f t="shared" si="184"/>
        <v>78764447876444</v>
      </c>
      <c r="B5868" t="str">
        <f t="shared" si="185"/>
        <v>7876444M5742IX-D</v>
      </c>
      <c r="C5868" s="1" t="s">
        <v>487</v>
      </c>
      <c r="D5868" s="1" t="s">
        <v>862</v>
      </c>
      <c r="E5868" s="1" t="s">
        <v>385</v>
      </c>
      <c r="F5868" s="1" t="s">
        <v>386</v>
      </c>
      <c r="G5868" s="1" t="s">
        <v>387</v>
      </c>
      <c r="H5868" s="1">
        <v>702</v>
      </c>
      <c r="I5868" s="3">
        <v>46288</v>
      </c>
      <c r="L5868" s="31">
        <v>46288.733826967589</v>
      </c>
      <c r="M5868" s="20">
        <v>12</v>
      </c>
      <c r="N5868" s="1">
        <v>52</v>
      </c>
    </row>
    <row r="5869" spans="1:14" x14ac:dyDescent="0.25">
      <c r="A5869" t="str">
        <f t="shared" si="184"/>
        <v>78764447876444</v>
      </c>
      <c r="B5869" t="str">
        <f t="shared" si="185"/>
        <v>7876444M5742IX-D</v>
      </c>
      <c r="C5869" s="1" t="s">
        <v>487</v>
      </c>
      <c r="D5869" s="1" t="s">
        <v>862</v>
      </c>
      <c r="E5869" s="1" t="s">
        <v>385</v>
      </c>
      <c r="F5869" s="1" t="s">
        <v>386</v>
      </c>
      <c r="G5869" s="1" t="s">
        <v>387</v>
      </c>
      <c r="H5869" s="1">
        <v>702</v>
      </c>
      <c r="I5869" s="3">
        <v>46288</v>
      </c>
      <c r="L5869" s="31">
        <v>46288.748161724536</v>
      </c>
      <c r="M5869" s="20">
        <v>12</v>
      </c>
      <c r="N5869" s="1">
        <v>1</v>
      </c>
    </row>
    <row r="5870" spans="1:14" x14ac:dyDescent="0.25">
      <c r="A5870" t="str">
        <f t="shared" si="184"/>
        <v>78764447876444</v>
      </c>
      <c r="B5870" t="str">
        <f t="shared" si="185"/>
        <v>7876444M5742IX-D</v>
      </c>
      <c r="C5870" s="1" t="s">
        <v>487</v>
      </c>
      <c r="D5870" s="1" t="s">
        <v>862</v>
      </c>
      <c r="E5870" s="1" t="s">
        <v>385</v>
      </c>
      <c r="F5870" s="1" t="s">
        <v>386</v>
      </c>
      <c r="G5870" s="1" t="s">
        <v>387</v>
      </c>
      <c r="H5870" s="1">
        <v>702</v>
      </c>
      <c r="I5870" s="3">
        <v>46288</v>
      </c>
      <c r="L5870" s="31">
        <v>46288.748639849538</v>
      </c>
      <c r="M5870" s="20">
        <v>12</v>
      </c>
      <c r="N5870" s="1">
        <v>9</v>
      </c>
    </row>
    <row r="5871" spans="1:14" x14ac:dyDescent="0.25">
      <c r="A5871" t="str">
        <f t="shared" si="184"/>
        <v>78764447876444</v>
      </c>
      <c r="B5871" t="str">
        <f t="shared" si="185"/>
        <v>7876444M5742IX-D</v>
      </c>
      <c r="C5871" s="1" t="s">
        <v>487</v>
      </c>
      <c r="D5871" s="1" t="s">
        <v>862</v>
      </c>
      <c r="E5871" s="1" t="s">
        <v>385</v>
      </c>
      <c r="F5871" s="1" t="s">
        <v>386</v>
      </c>
      <c r="G5871" s="1" t="s">
        <v>387</v>
      </c>
      <c r="H5871" s="1">
        <v>702</v>
      </c>
      <c r="I5871" s="3">
        <v>46288</v>
      </c>
      <c r="L5871" s="31">
        <v>46288.748829201388</v>
      </c>
      <c r="M5871" s="20">
        <v>12</v>
      </c>
      <c r="N5871" s="1">
        <v>37</v>
      </c>
    </row>
    <row r="5872" spans="1:14" x14ac:dyDescent="0.25">
      <c r="A5872" t="str">
        <f t="shared" si="184"/>
        <v>78764447876444</v>
      </c>
      <c r="B5872" t="str">
        <f t="shared" si="185"/>
        <v>7876444M5742IX-D</v>
      </c>
      <c r="C5872" s="1" t="s">
        <v>487</v>
      </c>
      <c r="D5872" s="1" t="s">
        <v>862</v>
      </c>
      <c r="E5872" s="1" t="s">
        <v>385</v>
      </c>
      <c r="F5872" s="1" t="s">
        <v>386</v>
      </c>
      <c r="G5872" s="1" t="s">
        <v>387</v>
      </c>
      <c r="H5872" s="1">
        <v>702</v>
      </c>
      <c r="I5872" s="3">
        <v>46288</v>
      </c>
      <c r="L5872" s="31">
        <v>46288.756739780089</v>
      </c>
      <c r="M5872" s="20">
        <v>12</v>
      </c>
      <c r="N5872" s="1">
        <v>46</v>
      </c>
    </row>
    <row r="5873" spans="1:14" x14ac:dyDescent="0.25">
      <c r="A5873" t="str">
        <f t="shared" si="184"/>
        <v>78764447876444</v>
      </c>
      <c r="B5873" t="str">
        <f t="shared" si="185"/>
        <v>7876444M5742IX-D</v>
      </c>
      <c r="C5873" s="1" t="s">
        <v>487</v>
      </c>
      <c r="D5873" s="1" t="s">
        <v>862</v>
      </c>
      <c r="E5873" s="1" t="s">
        <v>385</v>
      </c>
      <c r="F5873" s="1" t="s">
        <v>386</v>
      </c>
      <c r="G5873" s="1" t="s">
        <v>387</v>
      </c>
      <c r="H5873" s="1">
        <v>702</v>
      </c>
      <c r="I5873" s="3">
        <v>46288</v>
      </c>
      <c r="L5873" s="31">
        <v>46288.759217245366</v>
      </c>
      <c r="M5873" s="20">
        <v>12</v>
      </c>
      <c r="N5873" s="1">
        <v>41</v>
      </c>
    </row>
    <row r="5874" spans="1:14" x14ac:dyDescent="0.25">
      <c r="A5874" t="str">
        <f t="shared" si="184"/>
        <v>78764447876444</v>
      </c>
      <c r="B5874" t="str">
        <f t="shared" si="185"/>
        <v>7876444M5742IX-D</v>
      </c>
      <c r="C5874" s="1" t="s">
        <v>487</v>
      </c>
      <c r="D5874" s="1" t="s">
        <v>862</v>
      </c>
      <c r="E5874" s="1" t="s">
        <v>385</v>
      </c>
      <c r="F5874" s="1" t="s">
        <v>386</v>
      </c>
      <c r="G5874" s="1" t="s">
        <v>387</v>
      </c>
      <c r="H5874" s="1">
        <v>702</v>
      </c>
      <c r="I5874" s="3">
        <v>46288</v>
      </c>
      <c r="L5874" s="31">
        <v>46288.764424537032</v>
      </c>
      <c r="M5874" s="20">
        <v>12</v>
      </c>
      <c r="N5874" s="1">
        <v>48</v>
      </c>
    </row>
    <row r="5875" spans="1:14" x14ac:dyDescent="0.25">
      <c r="A5875" t="str">
        <f t="shared" si="184"/>
        <v>78766937876693</v>
      </c>
      <c r="B5875" t="str">
        <f t="shared" si="185"/>
        <v>7876693M5742IX-D</v>
      </c>
      <c r="C5875" s="1" t="s">
        <v>487</v>
      </c>
      <c r="D5875" s="1" t="s">
        <v>881</v>
      </c>
      <c r="E5875" s="1" t="s">
        <v>385</v>
      </c>
      <c r="F5875" s="1" t="s">
        <v>386</v>
      </c>
      <c r="G5875" s="1" t="s">
        <v>387</v>
      </c>
      <c r="H5875" s="1">
        <v>660</v>
      </c>
      <c r="I5875" s="3">
        <v>46288</v>
      </c>
      <c r="L5875" s="31">
        <v>46288.701141203703</v>
      </c>
      <c r="M5875" s="20">
        <v>12</v>
      </c>
      <c r="N5875" s="1">
        <v>15</v>
      </c>
    </row>
    <row r="5876" spans="1:14" x14ac:dyDescent="0.25">
      <c r="A5876" t="str">
        <f t="shared" si="184"/>
        <v>78766937876693</v>
      </c>
      <c r="B5876" t="str">
        <f t="shared" si="185"/>
        <v>7876693M5742IX-D</v>
      </c>
      <c r="C5876" s="1" t="s">
        <v>487</v>
      </c>
      <c r="D5876" s="1" t="s">
        <v>881</v>
      </c>
      <c r="E5876" s="1" t="s">
        <v>385</v>
      </c>
      <c r="F5876" s="1" t="s">
        <v>386</v>
      </c>
      <c r="G5876" s="1" t="s">
        <v>387</v>
      </c>
      <c r="H5876" s="1">
        <v>660</v>
      </c>
      <c r="I5876" s="3">
        <v>46288</v>
      </c>
      <c r="L5876" s="31">
        <v>46288.701591053235</v>
      </c>
      <c r="M5876" s="20">
        <v>12</v>
      </c>
      <c r="N5876" s="1">
        <v>29</v>
      </c>
    </row>
    <row r="5877" spans="1:14" x14ac:dyDescent="0.25">
      <c r="A5877" t="str">
        <f t="shared" si="184"/>
        <v>78766937876693</v>
      </c>
      <c r="B5877" t="str">
        <f t="shared" si="185"/>
        <v>7876693M5742IX-D</v>
      </c>
      <c r="C5877" s="1" t="s">
        <v>487</v>
      </c>
      <c r="D5877" s="1" t="s">
        <v>881</v>
      </c>
      <c r="E5877" s="1" t="s">
        <v>385</v>
      </c>
      <c r="F5877" s="1" t="s">
        <v>386</v>
      </c>
      <c r="G5877" s="1" t="s">
        <v>387</v>
      </c>
      <c r="H5877" s="1">
        <v>660</v>
      </c>
      <c r="I5877" s="3">
        <v>46288</v>
      </c>
      <c r="L5877" s="31">
        <v>46288.718850775462</v>
      </c>
      <c r="M5877" s="20">
        <v>12</v>
      </c>
      <c r="N5877" s="1">
        <v>50</v>
      </c>
    </row>
    <row r="5878" spans="1:14" x14ac:dyDescent="0.25">
      <c r="A5878" t="str">
        <f t="shared" si="184"/>
        <v>78766937876693</v>
      </c>
      <c r="B5878" t="str">
        <f t="shared" si="185"/>
        <v>7876693M5742IX-D</v>
      </c>
      <c r="C5878" s="1" t="s">
        <v>487</v>
      </c>
      <c r="D5878" s="1" t="s">
        <v>881</v>
      </c>
      <c r="E5878" s="1" t="s">
        <v>385</v>
      </c>
      <c r="F5878" s="1" t="s">
        <v>386</v>
      </c>
      <c r="G5878" s="1" t="s">
        <v>387</v>
      </c>
      <c r="H5878" s="1">
        <v>660</v>
      </c>
      <c r="I5878" s="3">
        <v>46288</v>
      </c>
      <c r="L5878" s="31">
        <v>46288.724983680557</v>
      </c>
      <c r="M5878" s="20">
        <v>12</v>
      </c>
      <c r="N5878" s="1">
        <v>8</v>
      </c>
    </row>
    <row r="5879" spans="1:14" x14ac:dyDescent="0.25">
      <c r="A5879" t="str">
        <f t="shared" si="184"/>
        <v>78766937876693</v>
      </c>
      <c r="B5879" t="str">
        <f t="shared" si="185"/>
        <v>7876693M5742IX-D</v>
      </c>
      <c r="C5879" s="1" t="s">
        <v>487</v>
      </c>
      <c r="D5879" s="1" t="s">
        <v>881</v>
      </c>
      <c r="E5879" s="1" t="s">
        <v>385</v>
      </c>
      <c r="F5879" s="1" t="s">
        <v>386</v>
      </c>
      <c r="G5879" s="1" t="s">
        <v>387</v>
      </c>
      <c r="H5879" s="1">
        <v>660</v>
      </c>
      <c r="I5879" s="3">
        <v>46288</v>
      </c>
      <c r="L5879" s="31">
        <v>46288.727812118057</v>
      </c>
      <c r="M5879" s="20">
        <v>12</v>
      </c>
      <c r="N5879" s="1">
        <v>42</v>
      </c>
    </row>
    <row r="5880" spans="1:14" x14ac:dyDescent="0.25">
      <c r="A5880" t="str">
        <f t="shared" si="184"/>
        <v>78766937876693</v>
      </c>
      <c r="B5880" t="str">
        <f t="shared" si="185"/>
        <v>7876693M5742IX-D</v>
      </c>
      <c r="C5880" s="1" t="s">
        <v>487</v>
      </c>
      <c r="D5880" s="1" t="s">
        <v>881</v>
      </c>
      <c r="E5880" s="1" t="s">
        <v>385</v>
      </c>
      <c r="F5880" s="1" t="s">
        <v>386</v>
      </c>
      <c r="G5880" s="1" t="s">
        <v>387</v>
      </c>
      <c r="H5880" s="1">
        <v>660</v>
      </c>
      <c r="I5880" s="3">
        <v>46288</v>
      </c>
      <c r="L5880" s="31">
        <v>46288.729634641204</v>
      </c>
      <c r="M5880" s="20">
        <v>12</v>
      </c>
      <c r="N5880" s="1">
        <v>14</v>
      </c>
    </row>
    <row r="5881" spans="1:14" x14ac:dyDescent="0.25">
      <c r="A5881" t="str">
        <f t="shared" si="184"/>
        <v>78766937876693</v>
      </c>
      <c r="B5881" t="str">
        <f t="shared" si="185"/>
        <v>7876693M5742IX-D</v>
      </c>
      <c r="C5881" s="1" t="s">
        <v>487</v>
      </c>
      <c r="D5881" s="1" t="s">
        <v>881</v>
      </c>
      <c r="E5881" s="1" t="s">
        <v>385</v>
      </c>
      <c r="F5881" s="1" t="s">
        <v>386</v>
      </c>
      <c r="G5881" s="1" t="s">
        <v>387</v>
      </c>
      <c r="H5881" s="1">
        <v>660</v>
      </c>
      <c r="I5881" s="3">
        <v>46288</v>
      </c>
      <c r="L5881" s="31">
        <v>46288.737424999999</v>
      </c>
      <c r="M5881" s="20">
        <v>12</v>
      </c>
      <c r="N5881" s="1">
        <v>16</v>
      </c>
    </row>
    <row r="5882" spans="1:14" x14ac:dyDescent="0.25">
      <c r="A5882" t="str">
        <f t="shared" si="184"/>
        <v>78766937876693</v>
      </c>
      <c r="B5882" t="str">
        <f t="shared" si="185"/>
        <v>7876693M5742IX-D</v>
      </c>
      <c r="C5882" s="1" t="s">
        <v>487</v>
      </c>
      <c r="D5882" s="1" t="s">
        <v>881</v>
      </c>
      <c r="E5882" s="1" t="s">
        <v>385</v>
      </c>
      <c r="F5882" s="1" t="s">
        <v>386</v>
      </c>
      <c r="G5882" s="1" t="s">
        <v>387</v>
      </c>
      <c r="H5882" s="1">
        <v>660</v>
      </c>
      <c r="I5882" s="3">
        <v>46288</v>
      </c>
      <c r="L5882" s="31">
        <v>46288.737762002311</v>
      </c>
      <c r="M5882" s="20">
        <v>12</v>
      </c>
      <c r="N5882" s="1">
        <v>20</v>
      </c>
    </row>
    <row r="5883" spans="1:14" x14ac:dyDescent="0.25">
      <c r="A5883" t="str">
        <f t="shared" si="184"/>
        <v>78766937876693</v>
      </c>
      <c r="B5883" t="str">
        <f t="shared" si="185"/>
        <v>7876693M5742IX-D</v>
      </c>
      <c r="C5883" s="1" t="s">
        <v>487</v>
      </c>
      <c r="D5883" s="1" t="s">
        <v>881</v>
      </c>
      <c r="E5883" s="1" t="s">
        <v>385</v>
      </c>
      <c r="F5883" s="1" t="s">
        <v>386</v>
      </c>
      <c r="G5883" s="1" t="s">
        <v>387</v>
      </c>
      <c r="H5883" s="1">
        <v>660</v>
      </c>
      <c r="I5883" s="3">
        <v>46288</v>
      </c>
      <c r="L5883" s="31">
        <v>46288.738124456017</v>
      </c>
      <c r="M5883" s="20">
        <v>12</v>
      </c>
      <c r="N5883" s="1">
        <v>47</v>
      </c>
    </row>
    <row r="5884" spans="1:14" x14ac:dyDescent="0.25">
      <c r="A5884" t="str">
        <f t="shared" si="184"/>
        <v>78766937876693</v>
      </c>
      <c r="B5884" t="str">
        <f t="shared" si="185"/>
        <v>7876693M5742IX-D</v>
      </c>
      <c r="C5884" s="1" t="s">
        <v>487</v>
      </c>
      <c r="D5884" s="1" t="s">
        <v>881</v>
      </c>
      <c r="E5884" s="1" t="s">
        <v>385</v>
      </c>
      <c r="F5884" s="1" t="s">
        <v>386</v>
      </c>
      <c r="G5884" s="1" t="s">
        <v>387</v>
      </c>
      <c r="H5884" s="1">
        <v>660</v>
      </c>
      <c r="I5884" s="3">
        <v>46288</v>
      </c>
      <c r="L5884" s="31">
        <v>46288.738687002311</v>
      </c>
      <c r="M5884" s="20">
        <v>12</v>
      </c>
      <c r="N5884" s="1">
        <v>9</v>
      </c>
    </row>
    <row r="5885" spans="1:14" x14ac:dyDescent="0.25">
      <c r="A5885" t="str">
        <f t="shared" si="184"/>
        <v>78766937876693</v>
      </c>
      <c r="B5885" t="str">
        <f t="shared" si="185"/>
        <v>7876693M5742IX-D</v>
      </c>
      <c r="C5885" s="1" t="s">
        <v>487</v>
      </c>
      <c r="D5885" s="1" t="s">
        <v>881</v>
      </c>
      <c r="E5885" s="1" t="s">
        <v>385</v>
      </c>
      <c r="F5885" s="1" t="s">
        <v>386</v>
      </c>
      <c r="G5885" s="1" t="s">
        <v>387</v>
      </c>
      <c r="H5885" s="1">
        <v>660</v>
      </c>
      <c r="I5885" s="3">
        <v>46288</v>
      </c>
      <c r="L5885" s="31">
        <v>46288.738985266202</v>
      </c>
      <c r="M5885" s="20">
        <v>12</v>
      </c>
      <c r="N5885" s="1">
        <v>4</v>
      </c>
    </row>
    <row r="5886" spans="1:14" x14ac:dyDescent="0.25">
      <c r="A5886" t="str">
        <f t="shared" si="184"/>
        <v>78766937876693</v>
      </c>
      <c r="B5886" t="str">
        <f t="shared" si="185"/>
        <v>7876693M5742IX-D</v>
      </c>
      <c r="C5886" s="1" t="s">
        <v>487</v>
      </c>
      <c r="D5886" s="1" t="s">
        <v>881</v>
      </c>
      <c r="E5886" s="1" t="s">
        <v>385</v>
      </c>
      <c r="F5886" s="1" t="s">
        <v>386</v>
      </c>
      <c r="G5886" s="1" t="s">
        <v>387</v>
      </c>
      <c r="H5886" s="1">
        <v>660</v>
      </c>
      <c r="I5886" s="3">
        <v>46288</v>
      </c>
      <c r="L5886" s="31">
        <v>46288.748415856477</v>
      </c>
      <c r="M5886" s="20">
        <v>12</v>
      </c>
      <c r="N5886" s="1">
        <v>30</v>
      </c>
    </row>
    <row r="5887" spans="1:14" x14ac:dyDescent="0.25">
      <c r="A5887" t="str">
        <f t="shared" si="184"/>
        <v>78773687877368</v>
      </c>
      <c r="B5887" t="str">
        <f t="shared" si="185"/>
        <v>7877368W6032WW-B</v>
      </c>
      <c r="C5887" s="1" t="s">
        <v>863</v>
      </c>
      <c r="D5887" s="1" t="s">
        <v>864</v>
      </c>
      <c r="E5887" s="1" t="s">
        <v>382</v>
      </c>
      <c r="F5887" s="1" t="s">
        <v>383</v>
      </c>
      <c r="G5887" s="1" t="s">
        <v>395</v>
      </c>
      <c r="H5887" s="1">
        <v>330</v>
      </c>
      <c r="I5887" s="3">
        <v>46288</v>
      </c>
      <c r="L5887" s="31">
        <v>46288.460636840275</v>
      </c>
      <c r="M5887" s="20">
        <v>12</v>
      </c>
      <c r="N5887" s="1">
        <v>8</v>
      </c>
    </row>
    <row r="5888" spans="1:14" x14ac:dyDescent="0.25">
      <c r="A5888" t="str">
        <f t="shared" si="184"/>
        <v>78773687877368</v>
      </c>
      <c r="B5888" t="str">
        <f t="shared" si="185"/>
        <v>7877368W6032WW-B</v>
      </c>
      <c r="C5888" s="1" t="s">
        <v>863</v>
      </c>
      <c r="D5888" s="1" t="s">
        <v>864</v>
      </c>
      <c r="E5888" s="1" t="s">
        <v>382</v>
      </c>
      <c r="F5888" s="1" t="s">
        <v>383</v>
      </c>
      <c r="G5888" s="1" t="s">
        <v>395</v>
      </c>
      <c r="H5888" s="1">
        <v>330</v>
      </c>
      <c r="I5888" s="3">
        <v>46288</v>
      </c>
      <c r="L5888" s="31">
        <v>46288.463796608798</v>
      </c>
      <c r="M5888" s="20">
        <v>12</v>
      </c>
      <c r="N5888" s="1">
        <v>10</v>
      </c>
    </row>
    <row r="5889" spans="1:14" x14ac:dyDescent="0.25">
      <c r="A5889" t="str">
        <f t="shared" si="184"/>
        <v>78773687877368</v>
      </c>
      <c r="B5889" t="str">
        <f t="shared" si="185"/>
        <v>7877368W6032WW-B</v>
      </c>
      <c r="C5889" s="1" t="s">
        <v>863</v>
      </c>
      <c r="D5889" s="1" t="s">
        <v>864</v>
      </c>
      <c r="E5889" s="1" t="s">
        <v>382</v>
      </c>
      <c r="F5889" s="1" t="s">
        <v>383</v>
      </c>
      <c r="G5889" s="1" t="s">
        <v>395</v>
      </c>
      <c r="H5889" s="1">
        <v>330</v>
      </c>
      <c r="I5889" s="3">
        <v>46288</v>
      </c>
      <c r="L5889" s="31">
        <v>46288.463963078699</v>
      </c>
      <c r="M5889" s="20">
        <v>12</v>
      </c>
      <c r="N5889" s="1">
        <v>4</v>
      </c>
    </row>
    <row r="5890" spans="1:14" x14ac:dyDescent="0.25">
      <c r="A5890" t="str">
        <f t="shared" ref="A5890:A5953" si="186">+D5890&amp;D5890</f>
        <v>78773687877368</v>
      </c>
      <c r="B5890" t="str">
        <f t="shared" ref="B5890:B5953" si="187">+D5890&amp;C5890</f>
        <v>7877368W6032WW-B</v>
      </c>
      <c r="C5890" s="1" t="s">
        <v>863</v>
      </c>
      <c r="D5890" s="1" t="s">
        <v>864</v>
      </c>
      <c r="E5890" s="1" t="s">
        <v>382</v>
      </c>
      <c r="F5890" s="1" t="s">
        <v>383</v>
      </c>
      <c r="G5890" s="1" t="s">
        <v>395</v>
      </c>
      <c r="H5890" s="1">
        <v>330</v>
      </c>
      <c r="I5890" s="3">
        <v>46288</v>
      </c>
      <c r="L5890" s="23">
        <v>46288.464882673608</v>
      </c>
      <c r="M5890" s="2">
        <v>12</v>
      </c>
      <c r="N5890" s="1">
        <v>9</v>
      </c>
    </row>
    <row r="5891" spans="1:14" x14ac:dyDescent="0.25">
      <c r="A5891" t="str">
        <f t="shared" si="186"/>
        <v>78773687877368</v>
      </c>
      <c r="B5891" t="str">
        <f t="shared" si="187"/>
        <v>7877368W6032WW-B</v>
      </c>
      <c r="C5891" s="1" t="s">
        <v>863</v>
      </c>
      <c r="D5891" s="1" t="s">
        <v>864</v>
      </c>
      <c r="E5891" s="1" t="s">
        <v>382</v>
      </c>
      <c r="F5891" s="1" t="s">
        <v>383</v>
      </c>
      <c r="G5891" s="1" t="s">
        <v>395</v>
      </c>
      <c r="H5891" s="1">
        <v>330</v>
      </c>
      <c r="I5891" s="3">
        <v>46288</v>
      </c>
      <c r="L5891" s="24">
        <v>46288.472375810183</v>
      </c>
      <c r="M5891" s="2">
        <v>12</v>
      </c>
      <c r="N5891" s="1">
        <v>21</v>
      </c>
    </row>
    <row r="5892" spans="1:14" x14ac:dyDescent="0.25">
      <c r="A5892" t="str">
        <f t="shared" si="186"/>
        <v>78773687877368</v>
      </c>
      <c r="B5892" t="str">
        <f t="shared" si="187"/>
        <v>7877368W6032WW-B</v>
      </c>
      <c r="C5892" s="1" t="s">
        <v>863</v>
      </c>
      <c r="D5892" s="1" t="s">
        <v>864</v>
      </c>
      <c r="E5892" s="1" t="s">
        <v>382</v>
      </c>
      <c r="F5892" s="1" t="s">
        <v>383</v>
      </c>
      <c r="G5892" s="1" t="s">
        <v>395</v>
      </c>
      <c r="H5892" s="1">
        <v>330</v>
      </c>
      <c r="I5892" s="3">
        <v>46288</v>
      </c>
      <c r="L5892" s="24">
        <v>46288.477258831015</v>
      </c>
      <c r="M5892" s="2">
        <v>6</v>
      </c>
      <c r="N5892" s="1">
        <v>28</v>
      </c>
    </row>
    <row r="5893" spans="1:14" x14ac:dyDescent="0.25">
      <c r="A5893" t="str">
        <f t="shared" si="186"/>
        <v>78773687877368</v>
      </c>
      <c r="B5893" t="str">
        <f t="shared" si="187"/>
        <v>7877368W6032WW-B</v>
      </c>
      <c r="C5893" s="1" t="s">
        <v>863</v>
      </c>
      <c r="D5893" s="1" t="s">
        <v>864</v>
      </c>
      <c r="E5893" s="1" t="s">
        <v>382</v>
      </c>
      <c r="F5893" s="1" t="s">
        <v>383</v>
      </c>
      <c r="G5893" s="1" t="s">
        <v>395</v>
      </c>
      <c r="H5893" s="1">
        <v>330</v>
      </c>
      <c r="I5893" s="3">
        <v>46288</v>
      </c>
      <c r="L5893" s="24">
        <v>46288.477825150461</v>
      </c>
      <c r="M5893" s="2">
        <v>12</v>
      </c>
      <c r="N5893" s="1">
        <v>5</v>
      </c>
    </row>
    <row r="5894" spans="1:14" x14ac:dyDescent="0.25">
      <c r="A5894" t="str">
        <f t="shared" si="186"/>
        <v>78773687877368</v>
      </c>
      <c r="B5894" t="str">
        <f t="shared" si="187"/>
        <v>7877368W6032WW-B</v>
      </c>
      <c r="C5894" s="1" t="s">
        <v>863</v>
      </c>
      <c r="D5894" s="1" t="s">
        <v>864</v>
      </c>
      <c r="E5894" s="1" t="s">
        <v>382</v>
      </c>
      <c r="F5894" s="1" t="s">
        <v>383</v>
      </c>
      <c r="G5894" s="1" t="s">
        <v>395</v>
      </c>
      <c r="H5894" s="1">
        <v>330</v>
      </c>
      <c r="I5894" s="3">
        <v>46288</v>
      </c>
      <c r="L5894" s="24">
        <v>46288.552665972224</v>
      </c>
      <c r="M5894" s="2">
        <v>12</v>
      </c>
      <c r="N5894" s="1">
        <v>14</v>
      </c>
    </row>
    <row r="5895" spans="1:14" x14ac:dyDescent="0.25">
      <c r="A5895" t="str">
        <f t="shared" si="186"/>
        <v>78773687877368</v>
      </c>
      <c r="B5895" t="str">
        <f t="shared" si="187"/>
        <v>7877368W6032WW-B</v>
      </c>
      <c r="C5895" s="1" t="s">
        <v>863</v>
      </c>
      <c r="D5895" s="1" t="s">
        <v>864</v>
      </c>
      <c r="E5895" s="1" t="s">
        <v>382</v>
      </c>
      <c r="F5895" s="1" t="s">
        <v>383</v>
      </c>
      <c r="G5895" s="1" t="s">
        <v>395</v>
      </c>
      <c r="H5895" s="1">
        <v>330</v>
      </c>
      <c r="I5895" s="3">
        <v>46288</v>
      </c>
      <c r="L5895" s="24">
        <v>46288.556341898147</v>
      </c>
      <c r="M5895" s="2">
        <v>12</v>
      </c>
      <c r="N5895" s="1">
        <v>22</v>
      </c>
    </row>
    <row r="5896" spans="1:14" x14ac:dyDescent="0.25">
      <c r="A5896" t="str">
        <f t="shared" si="186"/>
        <v>78773687877368</v>
      </c>
      <c r="B5896" t="str">
        <f t="shared" si="187"/>
        <v>7877368W6032WW-B</v>
      </c>
      <c r="C5896" s="1" t="s">
        <v>863</v>
      </c>
      <c r="D5896" s="1" t="s">
        <v>864</v>
      </c>
      <c r="E5896" s="1" t="s">
        <v>382</v>
      </c>
      <c r="F5896" s="1" t="s">
        <v>383</v>
      </c>
      <c r="G5896" s="1" t="s">
        <v>395</v>
      </c>
      <c r="H5896" s="1">
        <v>330</v>
      </c>
      <c r="I5896" s="3">
        <v>46288</v>
      </c>
      <c r="L5896" s="24">
        <v>46288.556527858796</v>
      </c>
      <c r="M5896" s="2">
        <v>12</v>
      </c>
      <c r="N5896" s="1">
        <v>1</v>
      </c>
    </row>
    <row r="5897" spans="1:14" x14ac:dyDescent="0.25">
      <c r="A5897" t="str">
        <f t="shared" si="186"/>
        <v>78773687877368</v>
      </c>
      <c r="B5897" t="str">
        <f t="shared" si="187"/>
        <v>7877368W6032WW-B</v>
      </c>
      <c r="C5897" s="1" t="s">
        <v>863</v>
      </c>
      <c r="D5897" s="1" t="s">
        <v>864</v>
      </c>
      <c r="E5897" s="1" t="s">
        <v>382</v>
      </c>
      <c r="F5897" s="1" t="s">
        <v>383</v>
      </c>
      <c r="G5897" s="1" t="s">
        <v>395</v>
      </c>
      <c r="H5897" s="1">
        <v>330</v>
      </c>
      <c r="I5897" s="3">
        <v>46288</v>
      </c>
      <c r="L5897" s="24">
        <v>46288.588635613422</v>
      </c>
      <c r="M5897" s="2">
        <v>12</v>
      </c>
      <c r="N5897" s="1">
        <v>15</v>
      </c>
    </row>
    <row r="5898" spans="1:14" x14ac:dyDescent="0.25">
      <c r="A5898" t="str">
        <f t="shared" si="186"/>
        <v>78773687877368</v>
      </c>
      <c r="B5898" t="str">
        <f t="shared" si="187"/>
        <v>7877368W6032WW-B</v>
      </c>
      <c r="C5898" s="1" t="s">
        <v>863</v>
      </c>
      <c r="D5898" s="1" t="s">
        <v>864</v>
      </c>
      <c r="E5898" s="1" t="s">
        <v>382</v>
      </c>
      <c r="F5898" s="1" t="s">
        <v>383</v>
      </c>
      <c r="G5898" s="1" t="s">
        <v>395</v>
      </c>
      <c r="H5898" s="1">
        <v>330</v>
      </c>
      <c r="I5898" s="3">
        <v>46288</v>
      </c>
      <c r="L5898" s="24">
        <v>46288.596140358793</v>
      </c>
      <c r="M5898" s="2">
        <v>12</v>
      </c>
      <c r="N5898" s="1">
        <v>6</v>
      </c>
    </row>
    <row r="5899" spans="1:14" x14ac:dyDescent="0.25">
      <c r="A5899" t="str">
        <f t="shared" si="186"/>
        <v>78773687877368</v>
      </c>
      <c r="B5899" t="str">
        <f t="shared" si="187"/>
        <v>7877368W6032WW-B</v>
      </c>
      <c r="C5899" s="1" t="s">
        <v>863</v>
      </c>
      <c r="D5899" s="1" t="s">
        <v>864</v>
      </c>
      <c r="E5899" s="1" t="s">
        <v>382</v>
      </c>
      <c r="F5899" s="1" t="s">
        <v>383</v>
      </c>
      <c r="G5899" s="1" t="s">
        <v>395</v>
      </c>
      <c r="H5899" s="1">
        <v>330</v>
      </c>
      <c r="I5899" s="3">
        <v>46288</v>
      </c>
      <c r="L5899" s="24">
        <v>46288.599220023149</v>
      </c>
      <c r="M5899" s="2">
        <v>12</v>
      </c>
      <c r="N5899" s="1">
        <v>11</v>
      </c>
    </row>
    <row r="5900" spans="1:14" x14ac:dyDescent="0.25">
      <c r="A5900" t="str">
        <f t="shared" si="186"/>
        <v>78773687877368</v>
      </c>
      <c r="B5900" t="str">
        <f t="shared" si="187"/>
        <v>7877368W6032WW-B</v>
      </c>
      <c r="C5900" s="1" t="s">
        <v>863</v>
      </c>
      <c r="D5900" s="1" t="s">
        <v>864</v>
      </c>
      <c r="E5900" s="1" t="s">
        <v>382</v>
      </c>
      <c r="F5900" s="1" t="s">
        <v>383</v>
      </c>
      <c r="G5900" s="1" t="s">
        <v>395</v>
      </c>
      <c r="H5900" s="1">
        <v>330</v>
      </c>
      <c r="I5900" s="3">
        <v>46288</v>
      </c>
      <c r="L5900" s="24">
        <v>46288.604123576384</v>
      </c>
      <c r="M5900" s="2">
        <v>12</v>
      </c>
      <c r="N5900" s="1">
        <v>16</v>
      </c>
    </row>
    <row r="5901" spans="1:14" x14ac:dyDescent="0.25">
      <c r="A5901" t="str">
        <f t="shared" si="186"/>
        <v>78773687877368</v>
      </c>
      <c r="B5901" t="str">
        <f t="shared" si="187"/>
        <v>7877368W6032WW-B</v>
      </c>
      <c r="C5901" s="1" t="s">
        <v>863</v>
      </c>
      <c r="D5901" s="1" t="s">
        <v>864</v>
      </c>
      <c r="E5901" s="1" t="s">
        <v>382</v>
      </c>
      <c r="F5901" s="1" t="s">
        <v>383</v>
      </c>
      <c r="G5901" s="1" t="s">
        <v>395</v>
      </c>
      <c r="H5901" s="1">
        <v>330</v>
      </c>
      <c r="I5901" s="3">
        <v>46288</v>
      </c>
      <c r="L5901" s="24">
        <v>46288.609572997681</v>
      </c>
      <c r="M5901" s="2">
        <v>12</v>
      </c>
      <c r="N5901" s="1">
        <v>2</v>
      </c>
    </row>
    <row r="5902" spans="1:14" x14ac:dyDescent="0.25">
      <c r="A5902" t="str">
        <f t="shared" si="186"/>
        <v>78773687877368</v>
      </c>
      <c r="B5902" t="str">
        <f t="shared" si="187"/>
        <v>7877368W6032WW-B</v>
      </c>
      <c r="C5902" s="1" t="s">
        <v>863</v>
      </c>
      <c r="D5902" s="1" t="s">
        <v>864</v>
      </c>
      <c r="E5902" s="1" t="s">
        <v>382</v>
      </c>
      <c r="F5902" s="1" t="s">
        <v>383</v>
      </c>
      <c r="G5902" s="1" t="s">
        <v>395</v>
      </c>
      <c r="H5902" s="1">
        <v>330</v>
      </c>
      <c r="I5902" s="3">
        <v>46288</v>
      </c>
      <c r="L5902" s="24">
        <v>46288.641195983793</v>
      </c>
      <c r="M5902" s="2">
        <v>12</v>
      </c>
      <c r="N5902" s="1">
        <v>23</v>
      </c>
    </row>
    <row r="5903" spans="1:14" x14ac:dyDescent="0.25">
      <c r="A5903" t="str">
        <f t="shared" si="186"/>
        <v>78773687877368</v>
      </c>
      <c r="B5903" t="str">
        <f t="shared" si="187"/>
        <v>7877368W6032WW-B</v>
      </c>
      <c r="C5903" s="1" t="s">
        <v>863</v>
      </c>
      <c r="D5903" s="1" t="s">
        <v>864</v>
      </c>
      <c r="E5903" s="1" t="s">
        <v>382</v>
      </c>
      <c r="F5903" s="1" t="s">
        <v>383</v>
      </c>
      <c r="G5903" s="1" t="s">
        <v>395</v>
      </c>
      <c r="H5903" s="1">
        <v>330</v>
      </c>
      <c r="I5903" s="3">
        <v>46288</v>
      </c>
      <c r="L5903" s="24">
        <v>46288.651801585649</v>
      </c>
      <c r="M5903" s="2">
        <v>12</v>
      </c>
      <c r="N5903" s="1">
        <v>25</v>
      </c>
    </row>
    <row r="5904" spans="1:14" x14ac:dyDescent="0.25">
      <c r="A5904" t="str">
        <f t="shared" si="186"/>
        <v>78803357880335</v>
      </c>
      <c r="B5904" t="str">
        <f t="shared" si="187"/>
        <v>7880335ML515WHT-D</v>
      </c>
      <c r="C5904" s="1" t="s">
        <v>855</v>
      </c>
      <c r="D5904" s="1" t="s">
        <v>856</v>
      </c>
      <c r="E5904" s="1" t="s">
        <v>388</v>
      </c>
      <c r="F5904" s="1" t="s">
        <v>389</v>
      </c>
      <c r="G5904" s="1" t="s">
        <v>387</v>
      </c>
      <c r="H5904" s="1">
        <v>1314</v>
      </c>
      <c r="I5904" s="3">
        <v>46288</v>
      </c>
      <c r="L5904" s="24">
        <v>46288.344370833329</v>
      </c>
      <c r="M5904" s="2">
        <v>12</v>
      </c>
      <c r="N5904" s="1">
        <v>101</v>
      </c>
    </row>
    <row r="5905" spans="1:14" x14ac:dyDescent="0.25">
      <c r="A5905" t="str">
        <f t="shared" si="186"/>
        <v>78803357880335</v>
      </c>
      <c r="B5905" t="str">
        <f t="shared" si="187"/>
        <v>7880335ML515WHT-D</v>
      </c>
      <c r="C5905" s="1" t="s">
        <v>855</v>
      </c>
      <c r="D5905" s="1" t="s">
        <v>856</v>
      </c>
      <c r="E5905" s="1" t="s">
        <v>388</v>
      </c>
      <c r="F5905" s="1" t="s">
        <v>389</v>
      </c>
      <c r="G5905" s="1" t="s">
        <v>387</v>
      </c>
      <c r="H5905" s="1">
        <v>1314</v>
      </c>
      <c r="I5905" s="3">
        <v>46288</v>
      </c>
      <c r="L5905" s="24">
        <v>46288.366163576386</v>
      </c>
      <c r="M5905" s="2">
        <v>12</v>
      </c>
      <c r="N5905" s="1">
        <v>56</v>
      </c>
    </row>
    <row r="5906" spans="1:14" x14ac:dyDescent="0.25">
      <c r="A5906" t="str">
        <f t="shared" si="186"/>
        <v>78803357880335</v>
      </c>
      <c r="B5906" t="str">
        <f t="shared" si="187"/>
        <v>7880335ML515WHT-D</v>
      </c>
      <c r="C5906" s="1" t="s">
        <v>855</v>
      </c>
      <c r="D5906" s="1" t="s">
        <v>856</v>
      </c>
      <c r="E5906" s="1" t="s">
        <v>388</v>
      </c>
      <c r="F5906" s="1" t="s">
        <v>389</v>
      </c>
      <c r="G5906" s="1" t="s">
        <v>387</v>
      </c>
      <c r="H5906" s="1">
        <v>1314</v>
      </c>
      <c r="I5906" s="3">
        <v>46288</v>
      </c>
      <c r="L5906" s="24">
        <v>46288.366397569444</v>
      </c>
      <c r="M5906" s="2">
        <v>12</v>
      </c>
      <c r="N5906" s="1">
        <v>83</v>
      </c>
    </row>
    <row r="5907" spans="1:14" x14ac:dyDescent="0.25">
      <c r="A5907" t="str">
        <f t="shared" si="186"/>
        <v>78803357880335</v>
      </c>
      <c r="B5907" t="str">
        <f t="shared" si="187"/>
        <v>7880335ML515WHT-D</v>
      </c>
      <c r="C5907" s="1" t="s">
        <v>855</v>
      </c>
      <c r="D5907" s="1" t="s">
        <v>856</v>
      </c>
      <c r="E5907" s="1" t="s">
        <v>388</v>
      </c>
      <c r="F5907" s="1" t="s">
        <v>389</v>
      </c>
      <c r="G5907" s="1" t="s">
        <v>387</v>
      </c>
      <c r="H5907" s="1">
        <v>1314</v>
      </c>
      <c r="I5907" s="3">
        <v>46288</v>
      </c>
      <c r="L5907" s="24">
        <v>46288.368073344907</v>
      </c>
      <c r="M5907" s="2">
        <v>12</v>
      </c>
      <c r="N5907" s="1">
        <v>37</v>
      </c>
    </row>
    <row r="5908" spans="1:14" x14ac:dyDescent="0.25">
      <c r="A5908" t="str">
        <f t="shared" si="186"/>
        <v>78803357880335</v>
      </c>
      <c r="B5908" t="str">
        <f t="shared" si="187"/>
        <v>7880335ML515WHT-D</v>
      </c>
      <c r="C5908" s="1" t="s">
        <v>855</v>
      </c>
      <c r="D5908" s="1" t="s">
        <v>856</v>
      </c>
      <c r="E5908" s="1" t="s">
        <v>388</v>
      </c>
      <c r="F5908" s="1" t="s">
        <v>389</v>
      </c>
      <c r="G5908" s="1" t="s">
        <v>387</v>
      </c>
      <c r="H5908" s="1">
        <v>1314</v>
      </c>
      <c r="I5908" s="3">
        <v>46288</v>
      </c>
      <c r="L5908" s="24">
        <v>46288.384154016203</v>
      </c>
      <c r="M5908" s="2">
        <v>12</v>
      </c>
      <c r="N5908" s="1">
        <v>102</v>
      </c>
    </row>
    <row r="5909" spans="1:14" x14ac:dyDescent="0.25">
      <c r="A5909" t="str">
        <f t="shared" si="186"/>
        <v>78803357880335</v>
      </c>
      <c r="B5909" t="str">
        <f t="shared" si="187"/>
        <v>7880335ML515WHT-D</v>
      </c>
      <c r="C5909" s="1" t="s">
        <v>855</v>
      </c>
      <c r="D5909" s="1" t="s">
        <v>856</v>
      </c>
      <c r="E5909" s="1" t="s">
        <v>388</v>
      </c>
      <c r="F5909" s="1" t="s">
        <v>389</v>
      </c>
      <c r="G5909" s="1" t="s">
        <v>387</v>
      </c>
      <c r="H5909" s="1">
        <v>1314</v>
      </c>
      <c r="I5909" s="3">
        <v>46288</v>
      </c>
      <c r="L5909" s="24">
        <v>46288.394829826386</v>
      </c>
      <c r="M5909" s="2">
        <v>12</v>
      </c>
      <c r="N5909" s="1">
        <v>96</v>
      </c>
    </row>
    <row r="5910" spans="1:14" x14ac:dyDescent="0.25">
      <c r="A5910" t="str">
        <f t="shared" si="186"/>
        <v>78803357880335</v>
      </c>
      <c r="B5910" t="str">
        <f t="shared" si="187"/>
        <v>7880335ML515WHT-D</v>
      </c>
      <c r="C5910" s="1" t="s">
        <v>855</v>
      </c>
      <c r="D5910" s="1" t="s">
        <v>856</v>
      </c>
      <c r="E5910" s="1" t="s">
        <v>388</v>
      </c>
      <c r="F5910" s="1" t="s">
        <v>389</v>
      </c>
      <c r="G5910" s="1" t="s">
        <v>387</v>
      </c>
      <c r="H5910" s="1">
        <v>1314</v>
      </c>
      <c r="I5910" s="3">
        <v>46288</v>
      </c>
      <c r="L5910" s="24">
        <v>46288.400316319443</v>
      </c>
      <c r="M5910" s="2">
        <v>12</v>
      </c>
      <c r="N5910" s="1">
        <v>45</v>
      </c>
    </row>
    <row r="5911" spans="1:14" x14ac:dyDescent="0.25">
      <c r="A5911" t="str">
        <f t="shared" si="186"/>
        <v>78803357880335</v>
      </c>
      <c r="B5911" t="str">
        <f t="shared" si="187"/>
        <v>7880335ML515WHT-D</v>
      </c>
      <c r="C5911" s="1" t="s">
        <v>855</v>
      </c>
      <c r="D5911" s="1" t="s">
        <v>856</v>
      </c>
      <c r="E5911" s="1" t="s">
        <v>388</v>
      </c>
      <c r="F5911" s="1" t="s">
        <v>389</v>
      </c>
      <c r="G5911" s="1" t="s">
        <v>387</v>
      </c>
      <c r="H5911" s="1">
        <v>1314</v>
      </c>
      <c r="I5911" s="3">
        <v>46288</v>
      </c>
      <c r="L5911" s="24">
        <v>46288.400539699069</v>
      </c>
      <c r="M5911" s="2">
        <v>12</v>
      </c>
      <c r="N5911" s="1">
        <v>84</v>
      </c>
    </row>
    <row r="5912" spans="1:14" x14ac:dyDescent="0.25">
      <c r="A5912" t="str">
        <f t="shared" si="186"/>
        <v>78803357880335</v>
      </c>
      <c r="B5912" t="str">
        <f t="shared" si="187"/>
        <v>7880335ML515WHT-D</v>
      </c>
      <c r="C5912" s="1" t="s">
        <v>855</v>
      </c>
      <c r="D5912" s="1" t="s">
        <v>856</v>
      </c>
      <c r="E5912" s="1" t="s">
        <v>388</v>
      </c>
      <c r="F5912" s="1" t="s">
        <v>389</v>
      </c>
      <c r="G5912" s="1" t="s">
        <v>387</v>
      </c>
      <c r="H5912" s="1">
        <v>1314</v>
      </c>
      <c r="I5912" s="3">
        <v>46288</v>
      </c>
      <c r="L5912" s="24">
        <v>46288.40081003472</v>
      </c>
      <c r="M5912" s="2">
        <v>12</v>
      </c>
      <c r="N5912" s="1">
        <v>38</v>
      </c>
    </row>
    <row r="5913" spans="1:14" x14ac:dyDescent="0.25">
      <c r="A5913" t="str">
        <f t="shared" si="186"/>
        <v>78803357880335</v>
      </c>
      <c r="B5913" t="str">
        <f t="shared" si="187"/>
        <v>7880335ML515WHT-D</v>
      </c>
      <c r="C5913" s="1" t="s">
        <v>855</v>
      </c>
      <c r="D5913" s="1" t="s">
        <v>856</v>
      </c>
      <c r="E5913" s="1" t="s">
        <v>388</v>
      </c>
      <c r="F5913" s="1" t="s">
        <v>389</v>
      </c>
      <c r="G5913" s="1" t="s">
        <v>387</v>
      </c>
      <c r="H5913" s="1">
        <v>1314</v>
      </c>
      <c r="I5913" s="3">
        <v>46288</v>
      </c>
      <c r="L5913" s="24">
        <v>46288.403715428241</v>
      </c>
      <c r="M5913" s="2">
        <v>12</v>
      </c>
      <c r="N5913" s="1">
        <v>57</v>
      </c>
    </row>
    <row r="5914" spans="1:14" x14ac:dyDescent="0.25">
      <c r="A5914" t="str">
        <f t="shared" si="186"/>
        <v>78803357880335</v>
      </c>
      <c r="B5914" t="str">
        <f t="shared" si="187"/>
        <v>7880335ML515WHT-D</v>
      </c>
      <c r="C5914" s="1" t="s">
        <v>855</v>
      </c>
      <c r="D5914" s="1" t="s">
        <v>856</v>
      </c>
      <c r="E5914" s="1" t="s">
        <v>388</v>
      </c>
      <c r="F5914" s="1" t="s">
        <v>389</v>
      </c>
      <c r="G5914" s="1" t="s">
        <v>387</v>
      </c>
      <c r="H5914" s="1">
        <v>1314</v>
      </c>
      <c r="I5914" s="3">
        <v>46288</v>
      </c>
      <c r="L5914" s="24">
        <v>46288.414454363425</v>
      </c>
      <c r="M5914" s="2">
        <v>12</v>
      </c>
      <c r="N5914" s="1">
        <v>104</v>
      </c>
    </row>
    <row r="5915" spans="1:14" x14ac:dyDescent="0.25">
      <c r="A5915" t="str">
        <f t="shared" si="186"/>
        <v>78803357880335</v>
      </c>
      <c r="B5915" t="str">
        <f t="shared" si="187"/>
        <v>7880335ML515WHT-D</v>
      </c>
      <c r="C5915" s="1" t="s">
        <v>855</v>
      </c>
      <c r="D5915" s="1" t="s">
        <v>856</v>
      </c>
      <c r="E5915" s="1" t="s">
        <v>388</v>
      </c>
      <c r="F5915" s="1" t="s">
        <v>389</v>
      </c>
      <c r="G5915" s="1" t="s">
        <v>387</v>
      </c>
      <c r="H5915" s="1">
        <v>1314</v>
      </c>
      <c r="I5915" s="3">
        <v>46288</v>
      </c>
      <c r="L5915" s="24">
        <v>46288.429864351849</v>
      </c>
      <c r="M5915" s="2">
        <v>12</v>
      </c>
      <c r="N5915" s="1">
        <v>70</v>
      </c>
    </row>
    <row r="5916" spans="1:14" x14ac:dyDescent="0.25">
      <c r="A5916" t="str">
        <f t="shared" si="186"/>
        <v>78803357880335</v>
      </c>
      <c r="B5916" t="str">
        <f t="shared" si="187"/>
        <v>7880335ML515WHT-D</v>
      </c>
      <c r="C5916" s="1" t="s">
        <v>855</v>
      </c>
      <c r="D5916" s="1" t="s">
        <v>856</v>
      </c>
      <c r="E5916" s="1" t="s">
        <v>388</v>
      </c>
      <c r="F5916" s="1" t="s">
        <v>389</v>
      </c>
      <c r="G5916" s="1" t="s">
        <v>387</v>
      </c>
      <c r="H5916" s="1">
        <v>1314</v>
      </c>
      <c r="I5916" s="3">
        <v>46288</v>
      </c>
      <c r="L5916" s="24">
        <v>46288.44033730324</v>
      </c>
      <c r="M5916" s="2">
        <v>12</v>
      </c>
      <c r="N5916" s="1">
        <v>58</v>
      </c>
    </row>
    <row r="5917" spans="1:14" x14ac:dyDescent="0.25">
      <c r="A5917" t="str">
        <f t="shared" si="186"/>
        <v>78803357880335</v>
      </c>
      <c r="B5917" t="str">
        <f t="shared" si="187"/>
        <v>7880335ML515WHT-D</v>
      </c>
      <c r="C5917" s="1" t="s">
        <v>855</v>
      </c>
      <c r="D5917" s="1" t="s">
        <v>856</v>
      </c>
      <c r="E5917" s="1" t="s">
        <v>388</v>
      </c>
      <c r="F5917" s="1" t="s">
        <v>389</v>
      </c>
      <c r="G5917" s="1" t="s">
        <v>387</v>
      </c>
      <c r="H5917" s="1">
        <v>1314</v>
      </c>
      <c r="I5917" s="3">
        <v>46288</v>
      </c>
      <c r="L5917" s="24">
        <v>46288.462101122685</v>
      </c>
      <c r="M5917" s="2">
        <v>12</v>
      </c>
      <c r="N5917" s="1">
        <v>28</v>
      </c>
    </row>
    <row r="5918" spans="1:14" x14ac:dyDescent="0.25">
      <c r="A5918" t="str">
        <f t="shared" si="186"/>
        <v>78803357880335</v>
      </c>
      <c r="B5918" t="str">
        <f t="shared" si="187"/>
        <v>7880335ML515WHT-D</v>
      </c>
      <c r="C5918" s="1" t="s">
        <v>855</v>
      </c>
      <c r="D5918" s="1" t="s">
        <v>856</v>
      </c>
      <c r="E5918" s="1" t="s">
        <v>388</v>
      </c>
      <c r="F5918" s="1" t="s">
        <v>389</v>
      </c>
      <c r="G5918" s="1" t="s">
        <v>387</v>
      </c>
      <c r="H5918" s="1">
        <v>1314</v>
      </c>
      <c r="I5918" s="3">
        <v>46288</v>
      </c>
      <c r="L5918" s="24">
        <v>46288.464403900463</v>
      </c>
      <c r="M5918" s="2">
        <v>12</v>
      </c>
      <c r="N5918" s="1">
        <v>97</v>
      </c>
    </row>
    <row r="5919" spans="1:14" x14ac:dyDescent="0.25">
      <c r="A5919" t="str">
        <f t="shared" si="186"/>
        <v>78803357880335</v>
      </c>
      <c r="B5919" t="str">
        <f t="shared" si="187"/>
        <v>7880335ML515WHT-D</v>
      </c>
      <c r="C5919" s="1" t="s">
        <v>855</v>
      </c>
      <c r="D5919" s="1" t="s">
        <v>856</v>
      </c>
      <c r="E5919" s="1" t="s">
        <v>388</v>
      </c>
      <c r="F5919" s="1" t="s">
        <v>389</v>
      </c>
      <c r="G5919" s="1" t="s">
        <v>387</v>
      </c>
      <c r="H5919" s="1">
        <v>1314</v>
      </c>
      <c r="I5919" s="3">
        <v>46288</v>
      </c>
      <c r="L5919" s="24">
        <v>46288.474325034724</v>
      </c>
      <c r="M5919" s="2">
        <v>12</v>
      </c>
      <c r="N5919" s="1">
        <v>71</v>
      </c>
    </row>
    <row r="5920" spans="1:14" x14ac:dyDescent="0.25">
      <c r="A5920" t="str">
        <f t="shared" si="186"/>
        <v>78803357880335</v>
      </c>
      <c r="B5920" t="str">
        <f t="shared" si="187"/>
        <v>7880335ML515WHT-D</v>
      </c>
      <c r="C5920" s="1" t="s">
        <v>855</v>
      </c>
      <c r="D5920" s="1" t="s">
        <v>856</v>
      </c>
      <c r="E5920" s="1" t="s">
        <v>388</v>
      </c>
      <c r="F5920" s="1" t="s">
        <v>389</v>
      </c>
      <c r="G5920" s="1" t="s">
        <v>387</v>
      </c>
      <c r="H5920" s="1">
        <v>1314</v>
      </c>
      <c r="I5920" s="3">
        <v>46288</v>
      </c>
      <c r="L5920" s="24">
        <v>46288.474517592593</v>
      </c>
      <c r="M5920" s="2">
        <v>12</v>
      </c>
      <c r="N5920" s="1">
        <v>105</v>
      </c>
    </row>
    <row r="5921" spans="1:14" x14ac:dyDescent="0.25">
      <c r="A5921" t="str">
        <f t="shared" si="186"/>
        <v>78803357880335</v>
      </c>
      <c r="B5921" t="str">
        <f t="shared" si="187"/>
        <v>7880335ML515WHT-D</v>
      </c>
      <c r="C5921" s="1" t="s">
        <v>855</v>
      </c>
      <c r="D5921" s="1" t="s">
        <v>856</v>
      </c>
      <c r="E5921" s="1" t="s">
        <v>388</v>
      </c>
      <c r="F5921" s="1" t="s">
        <v>389</v>
      </c>
      <c r="G5921" s="1" t="s">
        <v>387</v>
      </c>
      <c r="H5921" s="1">
        <v>1314</v>
      </c>
      <c r="I5921" s="3">
        <v>46288</v>
      </c>
      <c r="L5921" s="24">
        <v>46288.556743518515</v>
      </c>
      <c r="M5921" s="2">
        <v>12</v>
      </c>
      <c r="N5921" s="1">
        <v>59</v>
      </c>
    </row>
    <row r="5922" spans="1:14" x14ac:dyDescent="0.25">
      <c r="A5922" t="str">
        <f t="shared" si="186"/>
        <v>78803357880335</v>
      </c>
      <c r="B5922" t="str">
        <f t="shared" si="187"/>
        <v>7880335ML515WHT-D</v>
      </c>
      <c r="C5922" s="1" t="s">
        <v>855</v>
      </c>
      <c r="D5922" s="1" t="s">
        <v>856</v>
      </c>
      <c r="E5922" s="1" t="s">
        <v>388</v>
      </c>
      <c r="F5922" s="1" t="s">
        <v>389</v>
      </c>
      <c r="G5922" s="1" t="s">
        <v>387</v>
      </c>
      <c r="H5922" s="1">
        <v>1314</v>
      </c>
      <c r="I5922" s="3">
        <v>46288</v>
      </c>
      <c r="L5922" s="24">
        <v>46288.556934224536</v>
      </c>
      <c r="M5922" s="2">
        <v>12</v>
      </c>
      <c r="N5922" s="1">
        <v>39</v>
      </c>
    </row>
    <row r="5923" spans="1:14" x14ac:dyDescent="0.25">
      <c r="A5923" t="str">
        <f t="shared" si="186"/>
        <v>78803357880335</v>
      </c>
      <c r="B5923" t="str">
        <f t="shared" si="187"/>
        <v>7880335ML515WHT-D</v>
      </c>
      <c r="C5923" s="1" t="s">
        <v>855</v>
      </c>
      <c r="D5923" s="1" t="s">
        <v>856</v>
      </c>
      <c r="E5923" s="1" t="s">
        <v>388</v>
      </c>
      <c r="F5923" s="1" t="s">
        <v>389</v>
      </c>
      <c r="G5923" s="1" t="s">
        <v>387</v>
      </c>
      <c r="H5923" s="1">
        <v>1314</v>
      </c>
      <c r="I5923" s="3">
        <v>46288</v>
      </c>
      <c r="L5923" s="24">
        <v>46288.557160150463</v>
      </c>
      <c r="M5923" s="2">
        <v>12</v>
      </c>
      <c r="N5923" s="1">
        <v>29</v>
      </c>
    </row>
    <row r="5924" spans="1:14" x14ac:dyDescent="0.25">
      <c r="A5924" t="str">
        <f t="shared" si="186"/>
        <v>78803357880335</v>
      </c>
      <c r="B5924" t="str">
        <f t="shared" si="187"/>
        <v>7880335ML515WHT-D</v>
      </c>
      <c r="C5924" s="1" t="s">
        <v>855</v>
      </c>
      <c r="D5924" s="1" t="s">
        <v>856</v>
      </c>
      <c r="E5924" s="1" t="s">
        <v>388</v>
      </c>
      <c r="F5924" s="1" t="s">
        <v>389</v>
      </c>
      <c r="G5924" s="1" t="s">
        <v>387</v>
      </c>
      <c r="H5924" s="1">
        <v>1314</v>
      </c>
      <c r="I5924" s="3">
        <v>46288</v>
      </c>
      <c r="L5924" s="24">
        <v>46288.557945023145</v>
      </c>
      <c r="M5924" s="2">
        <v>12</v>
      </c>
      <c r="N5924" s="1">
        <v>85</v>
      </c>
    </row>
    <row r="5925" spans="1:14" x14ac:dyDescent="0.25">
      <c r="A5925" t="str">
        <f t="shared" si="186"/>
        <v>78803357880335</v>
      </c>
      <c r="B5925" t="str">
        <f t="shared" si="187"/>
        <v>7880335ML515WHT-D</v>
      </c>
      <c r="C5925" s="1" t="s">
        <v>855</v>
      </c>
      <c r="D5925" s="1" t="s">
        <v>856</v>
      </c>
      <c r="E5925" s="1" t="s">
        <v>388</v>
      </c>
      <c r="F5925" s="1" t="s">
        <v>389</v>
      </c>
      <c r="G5925" s="1" t="s">
        <v>387</v>
      </c>
      <c r="H5925" s="1">
        <v>1314</v>
      </c>
      <c r="I5925" s="3">
        <v>46288</v>
      </c>
      <c r="L5925" s="24">
        <v>46288.567415393518</v>
      </c>
      <c r="M5925" s="2">
        <v>12</v>
      </c>
      <c r="N5925" s="1">
        <v>41</v>
      </c>
    </row>
    <row r="5926" spans="1:14" x14ac:dyDescent="0.25">
      <c r="A5926" t="str">
        <f t="shared" si="186"/>
        <v>78803357880335</v>
      </c>
      <c r="B5926" t="str">
        <f t="shared" si="187"/>
        <v>7880335ML515WHT-D</v>
      </c>
      <c r="C5926" s="1" t="s">
        <v>855</v>
      </c>
      <c r="D5926" s="1" t="s">
        <v>856</v>
      </c>
      <c r="E5926" s="1" t="s">
        <v>388</v>
      </c>
      <c r="F5926" s="1" t="s">
        <v>389</v>
      </c>
      <c r="G5926" s="1" t="s">
        <v>387</v>
      </c>
      <c r="H5926" s="1">
        <v>1314</v>
      </c>
      <c r="I5926" s="3">
        <v>46288</v>
      </c>
      <c r="L5926" s="24">
        <v>46288.571119409724</v>
      </c>
      <c r="M5926" s="2">
        <v>12</v>
      </c>
      <c r="N5926" s="1">
        <v>72</v>
      </c>
    </row>
    <row r="5927" spans="1:14" x14ac:dyDescent="0.25">
      <c r="A5927" t="str">
        <f t="shared" si="186"/>
        <v>78803357880335</v>
      </c>
      <c r="B5927" t="str">
        <f t="shared" si="187"/>
        <v>7880335ML515WHT-D</v>
      </c>
      <c r="C5927" s="1" t="s">
        <v>855</v>
      </c>
      <c r="D5927" s="1" t="s">
        <v>856</v>
      </c>
      <c r="E5927" s="1" t="s">
        <v>388</v>
      </c>
      <c r="F5927" s="1" t="s">
        <v>389</v>
      </c>
      <c r="G5927" s="1" t="s">
        <v>387</v>
      </c>
      <c r="H5927" s="1">
        <v>1314</v>
      </c>
      <c r="I5927" s="3">
        <v>46288</v>
      </c>
      <c r="L5927" s="24">
        <v>46288.572197303241</v>
      </c>
      <c r="M5927" s="2">
        <v>12</v>
      </c>
      <c r="N5927" s="1">
        <v>60</v>
      </c>
    </row>
    <row r="5928" spans="1:14" x14ac:dyDescent="0.25">
      <c r="A5928" t="str">
        <f t="shared" si="186"/>
        <v>78803357880335</v>
      </c>
      <c r="B5928" t="str">
        <f t="shared" si="187"/>
        <v>7880335ML515WHT-D</v>
      </c>
      <c r="C5928" s="1" t="s">
        <v>855</v>
      </c>
      <c r="D5928" s="1" t="s">
        <v>856</v>
      </c>
      <c r="E5928" s="1" t="s">
        <v>388</v>
      </c>
      <c r="F5928" s="1" t="s">
        <v>389</v>
      </c>
      <c r="G5928" s="1" t="s">
        <v>387</v>
      </c>
      <c r="H5928" s="1">
        <v>1314</v>
      </c>
      <c r="I5928" s="3">
        <v>46288</v>
      </c>
      <c r="L5928" s="24">
        <v>46288.572783483796</v>
      </c>
      <c r="M5928" s="2">
        <v>12</v>
      </c>
      <c r="N5928" s="1">
        <v>40</v>
      </c>
    </row>
    <row r="5929" spans="1:14" x14ac:dyDescent="0.25">
      <c r="A5929" t="str">
        <f t="shared" si="186"/>
        <v>78803357880335</v>
      </c>
      <c r="B5929" t="str">
        <f t="shared" si="187"/>
        <v>7880335ML515WHT-D</v>
      </c>
      <c r="C5929" s="1" t="s">
        <v>855</v>
      </c>
      <c r="D5929" s="1" t="s">
        <v>856</v>
      </c>
      <c r="E5929" s="1" t="s">
        <v>388</v>
      </c>
      <c r="F5929" s="1" t="s">
        <v>389</v>
      </c>
      <c r="G5929" s="1" t="s">
        <v>387</v>
      </c>
      <c r="H5929" s="1">
        <v>1314</v>
      </c>
      <c r="I5929" s="3">
        <v>46288</v>
      </c>
      <c r="L5929" s="24">
        <v>46288.586954513885</v>
      </c>
      <c r="M5929" s="2">
        <v>12</v>
      </c>
      <c r="N5929" s="1">
        <v>73</v>
      </c>
    </row>
    <row r="5930" spans="1:14" x14ac:dyDescent="0.25">
      <c r="A5930" t="str">
        <f t="shared" si="186"/>
        <v>78803357880335</v>
      </c>
      <c r="B5930" t="str">
        <f t="shared" si="187"/>
        <v>7880335ML515WHT-D</v>
      </c>
      <c r="C5930" s="1" t="s">
        <v>855</v>
      </c>
      <c r="D5930" s="1" t="s">
        <v>856</v>
      </c>
      <c r="E5930" s="1" t="s">
        <v>388</v>
      </c>
      <c r="F5930" s="1" t="s">
        <v>389</v>
      </c>
      <c r="G5930" s="1" t="s">
        <v>387</v>
      </c>
      <c r="H5930" s="1">
        <v>1314</v>
      </c>
      <c r="I5930" s="3">
        <v>46288</v>
      </c>
      <c r="L5930" s="24">
        <v>46288.587207870369</v>
      </c>
      <c r="M5930" s="2">
        <v>12</v>
      </c>
      <c r="N5930" s="1">
        <v>98</v>
      </c>
    </row>
    <row r="5931" spans="1:14" x14ac:dyDescent="0.25">
      <c r="A5931" t="str">
        <f t="shared" si="186"/>
        <v>78803357880335</v>
      </c>
      <c r="B5931" t="str">
        <f t="shared" si="187"/>
        <v>7880335ML515WHT-D</v>
      </c>
      <c r="C5931" s="1" t="s">
        <v>855</v>
      </c>
      <c r="D5931" s="1" t="s">
        <v>856</v>
      </c>
      <c r="E5931" s="1" t="s">
        <v>388</v>
      </c>
      <c r="F5931" s="1" t="s">
        <v>389</v>
      </c>
      <c r="G5931" s="1" t="s">
        <v>387</v>
      </c>
      <c r="H5931" s="1">
        <v>1314</v>
      </c>
      <c r="I5931" s="3">
        <v>46288</v>
      </c>
      <c r="L5931" s="24">
        <v>46288.599477777774</v>
      </c>
      <c r="M5931" s="2">
        <v>12</v>
      </c>
      <c r="N5931" s="1">
        <v>86</v>
      </c>
    </row>
    <row r="5932" spans="1:14" x14ac:dyDescent="0.25">
      <c r="A5932" t="str">
        <f t="shared" si="186"/>
        <v>78803357880335</v>
      </c>
      <c r="B5932" t="str">
        <f t="shared" si="187"/>
        <v>7880335ML515WHT-D</v>
      </c>
      <c r="C5932" s="1" t="s">
        <v>855</v>
      </c>
      <c r="D5932" s="1" t="s">
        <v>856</v>
      </c>
      <c r="E5932" s="1" t="s">
        <v>388</v>
      </c>
      <c r="F5932" s="1" t="s">
        <v>389</v>
      </c>
      <c r="G5932" s="1" t="s">
        <v>387</v>
      </c>
      <c r="H5932" s="1">
        <v>1314</v>
      </c>
      <c r="I5932" s="3">
        <v>46288</v>
      </c>
      <c r="L5932" s="24">
        <v>46288.619429317128</v>
      </c>
      <c r="M5932" s="2">
        <v>12</v>
      </c>
      <c r="N5932" s="1">
        <v>103</v>
      </c>
    </row>
    <row r="5933" spans="1:14" x14ac:dyDescent="0.25">
      <c r="A5933" t="str">
        <f t="shared" si="186"/>
        <v>78803357880335</v>
      </c>
      <c r="B5933" t="str">
        <f t="shared" si="187"/>
        <v>7880335ML515WHT-D</v>
      </c>
      <c r="C5933" s="1" t="s">
        <v>855</v>
      </c>
      <c r="D5933" s="1" t="s">
        <v>856</v>
      </c>
      <c r="E5933" s="1" t="s">
        <v>388</v>
      </c>
      <c r="F5933" s="1" t="s">
        <v>389</v>
      </c>
      <c r="G5933" s="1" t="s">
        <v>387</v>
      </c>
      <c r="H5933" s="1">
        <v>1314</v>
      </c>
      <c r="I5933" s="3">
        <v>46288</v>
      </c>
      <c r="L5933" s="24">
        <v>46288.627392395829</v>
      </c>
      <c r="M5933" s="2">
        <v>12</v>
      </c>
      <c r="N5933" s="1">
        <v>20</v>
      </c>
    </row>
    <row r="5934" spans="1:14" x14ac:dyDescent="0.25">
      <c r="A5934" t="str">
        <f t="shared" si="186"/>
        <v>78803357880335</v>
      </c>
      <c r="B5934" t="str">
        <f t="shared" si="187"/>
        <v>7880335ML515WHT-D</v>
      </c>
      <c r="C5934" s="1" t="s">
        <v>855</v>
      </c>
      <c r="D5934" s="1" t="s">
        <v>856</v>
      </c>
      <c r="E5934" s="1" t="s">
        <v>388</v>
      </c>
      <c r="F5934" s="1" t="s">
        <v>389</v>
      </c>
      <c r="G5934" s="1" t="s">
        <v>387</v>
      </c>
      <c r="H5934" s="1">
        <v>1314</v>
      </c>
      <c r="I5934" s="3">
        <v>46288</v>
      </c>
      <c r="L5934" s="24">
        <v>46288.640461724535</v>
      </c>
      <c r="M5934" s="2">
        <v>12</v>
      </c>
      <c r="N5934" s="1">
        <v>42</v>
      </c>
    </row>
    <row r="5935" spans="1:14" x14ac:dyDescent="0.25">
      <c r="A5935" t="str">
        <f t="shared" si="186"/>
        <v>78803357880335</v>
      </c>
      <c r="B5935" t="str">
        <f t="shared" si="187"/>
        <v>7880335ML515WHT-D</v>
      </c>
      <c r="C5935" s="1" t="s">
        <v>855</v>
      </c>
      <c r="D5935" s="1" t="s">
        <v>856</v>
      </c>
      <c r="E5935" s="1" t="s">
        <v>388</v>
      </c>
      <c r="F5935" s="1" t="s">
        <v>389</v>
      </c>
      <c r="G5935" s="1" t="s">
        <v>387</v>
      </c>
      <c r="H5935" s="1">
        <v>1314</v>
      </c>
      <c r="I5935" s="3">
        <v>46288</v>
      </c>
      <c r="L5935" s="24">
        <v>46288.641000729163</v>
      </c>
      <c r="M5935" s="2">
        <v>12</v>
      </c>
      <c r="N5935" s="1">
        <v>30</v>
      </c>
    </row>
    <row r="5936" spans="1:14" x14ac:dyDescent="0.25">
      <c r="A5936" t="str">
        <f t="shared" si="186"/>
        <v>78803357880335</v>
      </c>
      <c r="B5936" t="str">
        <f t="shared" si="187"/>
        <v>7880335ML515WHT-D</v>
      </c>
      <c r="C5936" s="1" t="s">
        <v>855</v>
      </c>
      <c r="D5936" s="1" t="s">
        <v>856</v>
      </c>
      <c r="E5936" s="1" t="s">
        <v>388</v>
      </c>
      <c r="F5936" s="1" t="s">
        <v>389</v>
      </c>
      <c r="G5936" s="1" t="s">
        <v>387</v>
      </c>
      <c r="H5936" s="1">
        <v>1314</v>
      </c>
      <c r="I5936" s="3">
        <v>46288</v>
      </c>
      <c r="L5936" s="24">
        <v>46288.652761886573</v>
      </c>
      <c r="M5936" s="2">
        <v>12</v>
      </c>
      <c r="N5936" s="1">
        <v>46</v>
      </c>
    </row>
    <row r="5937" spans="1:14" x14ac:dyDescent="0.25">
      <c r="A5937" t="str">
        <f t="shared" si="186"/>
        <v>78803357880335</v>
      </c>
      <c r="B5937" t="str">
        <f t="shared" si="187"/>
        <v>7880335ML515WHT-D</v>
      </c>
      <c r="C5937" s="1" t="s">
        <v>855</v>
      </c>
      <c r="D5937" s="1" t="s">
        <v>856</v>
      </c>
      <c r="E5937" s="1" t="s">
        <v>388</v>
      </c>
      <c r="F5937" s="1" t="s">
        <v>389</v>
      </c>
      <c r="G5937" s="1" t="s">
        <v>387</v>
      </c>
      <c r="H5937" s="1">
        <v>1314</v>
      </c>
      <c r="I5937" s="3">
        <v>46288</v>
      </c>
      <c r="L5937" s="24">
        <v>46288.662103472219</v>
      </c>
      <c r="M5937" s="2">
        <v>12</v>
      </c>
      <c r="N5937" s="1">
        <v>89</v>
      </c>
    </row>
    <row r="5938" spans="1:14" x14ac:dyDescent="0.25">
      <c r="A5938" t="str">
        <f t="shared" si="186"/>
        <v>78803357880335</v>
      </c>
      <c r="B5938" t="str">
        <f t="shared" si="187"/>
        <v>7880335ML515WHT-D</v>
      </c>
      <c r="C5938" s="1" t="s">
        <v>855</v>
      </c>
      <c r="D5938" s="1" t="s">
        <v>856</v>
      </c>
      <c r="E5938" s="1" t="s">
        <v>388</v>
      </c>
      <c r="F5938" s="1" t="s">
        <v>389</v>
      </c>
      <c r="G5938" s="1" t="s">
        <v>387</v>
      </c>
      <c r="H5938" s="1">
        <v>1314</v>
      </c>
      <c r="I5938" s="3">
        <v>46288</v>
      </c>
      <c r="L5938" s="24">
        <v>46288.663290509256</v>
      </c>
      <c r="M5938" s="2">
        <v>12</v>
      </c>
      <c r="N5938" s="1">
        <v>74</v>
      </c>
    </row>
    <row r="5939" spans="1:14" x14ac:dyDescent="0.25">
      <c r="A5939" t="str">
        <f t="shared" si="186"/>
        <v>78803357880335</v>
      </c>
      <c r="B5939" t="str">
        <f t="shared" si="187"/>
        <v>7880335ML515WHT-D</v>
      </c>
      <c r="C5939" s="1" t="s">
        <v>855</v>
      </c>
      <c r="D5939" s="1" t="s">
        <v>856</v>
      </c>
      <c r="E5939" s="1" t="s">
        <v>388</v>
      </c>
      <c r="F5939" s="1" t="s">
        <v>389</v>
      </c>
      <c r="G5939" s="1" t="s">
        <v>387</v>
      </c>
      <c r="H5939" s="1">
        <v>1314</v>
      </c>
      <c r="I5939" s="3">
        <v>46288</v>
      </c>
      <c r="L5939" s="24">
        <v>46288.664364155091</v>
      </c>
      <c r="M5939" s="2">
        <v>12</v>
      </c>
      <c r="N5939" s="1">
        <v>21</v>
      </c>
    </row>
    <row r="5940" spans="1:14" x14ac:dyDescent="0.25">
      <c r="A5940" t="str">
        <f t="shared" si="186"/>
        <v>78803357880335</v>
      </c>
      <c r="B5940" t="str">
        <f t="shared" si="187"/>
        <v>7880335ML515WHT-D</v>
      </c>
      <c r="C5940" s="1" t="s">
        <v>855</v>
      </c>
      <c r="D5940" s="1" t="s">
        <v>856</v>
      </c>
      <c r="E5940" s="1" t="s">
        <v>388</v>
      </c>
      <c r="F5940" s="1" t="s">
        <v>389</v>
      </c>
      <c r="G5940" s="1" t="s">
        <v>387</v>
      </c>
      <c r="H5940" s="1">
        <v>1314</v>
      </c>
      <c r="I5940" s="3">
        <v>46288</v>
      </c>
      <c r="L5940" s="24">
        <v>46288.680486342593</v>
      </c>
      <c r="M5940" s="2">
        <v>12</v>
      </c>
      <c r="N5940" s="1">
        <v>22</v>
      </c>
    </row>
    <row r="5941" spans="1:14" x14ac:dyDescent="0.25">
      <c r="A5941" t="str">
        <f t="shared" si="186"/>
        <v>78803357880335</v>
      </c>
      <c r="B5941" t="str">
        <f t="shared" si="187"/>
        <v>7880335ML515WHT-D</v>
      </c>
      <c r="C5941" s="1" t="s">
        <v>855</v>
      </c>
      <c r="D5941" s="1" t="s">
        <v>856</v>
      </c>
      <c r="E5941" s="1" t="s">
        <v>388</v>
      </c>
      <c r="F5941" s="1" t="s">
        <v>389</v>
      </c>
      <c r="G5941" s="1" t="s">
        <v>387</v>
      </c>
      <c r="H5941" s="1">
        <v>1314</v>
      </c>
      <c r="I5941" s="3">
        <v>46288</v>
      </c>
      <c r="L5941" s="24">
        <v>46288.680728009254</v>
      </c>
      <c r="M5941" s="2">
        <v>12</v>
      </c>
      <c r="N5941" s="1">
        <v>75</v>
      </c>
    </row>
    <row r="5942" spans="1:14" x14ac:dyDescent="0.25">
      <c r="A5942" t="str">
        <f t="shared" si="186"/>
        <v>78803357880335</v>
      </c>
      <c r="B5942" t="str">
        <f t="shared" si="187"/>
        <v>7880335ML515WHT-D</v>
      </c>
      <c r="C5942" s="1" t="s">
        <v>855</v>
      </c>
      <c r="D5942" s="1" t="s">
        <v>856</v>
      </c>
      <c r="E5942" s="1" t="s">
        <v>388</v>
      </c>
      <c r="F5942" s="1" t="s">
        <v>389</v>
      </c>
      <c r="G5942" s="1" t="s">
        <v>387</v>
      </c>
      <c r="H5942" s="1">
        <v>1314</v>
      </c>
      <c r="I5942" s="3">
        <v>46288</v>
      </c>
      <c r="L5942" s="24">
        <v>46288.69911736111</v>
      </c>
      <c r="M5942" s="2">
        <v>12</v>
      </c>
      <c r="N5942" s="1">
        <v>31</v>
      </c>
    </row>
    <row r="5943" spans="1:14" x14ac:dyDescent="0.25">
      <c r="A5943" t="str">
        <f t="shared" si="186"/>
        <v>78803357880335</v>
      </c>
      <c r="B5943" t="str">
        <f t="shared" si="187"/>
        <v>7880335ML515WHT-D</v>
      </c>
      <c r="C5943" s="1" t="s">
        <v>855</v>
      </c>
      <c r="D5943" s="1" t="s">
        <v>856</v>
      </c>
      <c r="E5943" s="1" t="s">
        <v>388</v>
      </c>
      <c r="F5943" s="1" t="s">
        <v>389</v>
      </c>
      <c r="G5943" s="1" t="s">
        <v>387</v>
      </c>
      <c r="H5943" s="1">
        <v>1314</v>
      </c>
      <c r="I5943" s="3">
        <v>46288</v>
      </c>
      <c r="L5943" s="24">
        <v>46288.699652812495</v>
      </c>
      <c r="M5943" s="2">
        <v>12</v>
      </c>
      <c r="N5943" s="1">
        <v>16</v>
      </c>
    </row>
    <row r="5944" spans="1:14" x14ac:dyDescent="0.25">
      <c r="A5944" t="str">
        <f t="shared" si="186"/>
        <v>78803357880335</v>
      </c>
      <c r="B5944" t="str">
        <f t="shared" si="187"/>
        <v>7880335ML515WHT-D</v>
      </c>
      <c r="C5944" s="1" t="s">
        <v>855</v>
      </c>
      <c r="D5944" s="1" t="s">
        <v>856</v>
      </c>
      <c r="E5944" s="1" t="s">
        <v>388</v>
      </c>
      <c r="F5944" s="1" t="s">
        <v>389</v>
      </c>
      <c r="G5944" s="1" t="s">
        <v>387</v>
      </c>
      <c r="H5944" s="1">
        <v>1314</v>
      </c>
      <c r="I5944" s="3">
        <v>46288</v>
      </c>
      <c r="L5944" s="24">
        <v>46288.700930405088</v>
      </c>
      <c r="M5944" s="2">
        <v>12</v>
      </c>
      <c r="N5944" s="1">
        <v>90</v>
      </c>
    </row>
    <row r="5945" spans="1:14" x14ac:dyDescent="0.25">
      <c r="A5945" t="str">
        <f t="shared" si="186"/>
        <v>78803357880335</v>
      </c>
      <c r="B5945" t="str">
        <f t="shared" si="187"/>
        <v>7880335ML515WHT-D</v>
      </c>
      <c r="C5945" s="1" t="s">
        <v>855</v>
      </c>
      <c r="D5945" s="1" t="s">
        <v>856</v>
      </c>
      <c r="E5945" s="1" t="s">
        <v>388</v>
      </c>
      <c r="F5945" s="1" t="s">
        <v>389</v>
      </c>
      <c r="G5945" s="1" t="s">
        <v>387</v>
      </c>
      <c r="H5945" s="1">
        <v>1314</v>
      </c>
      <c r="I5945" s="3">
        <v>46288</v>
      </c>
      <c r="L5945" s="24">
        <v>46288.701247569443</v>
      </c>
      <c r="M5945" s="2">
        <v>12</v>
      </c>
      <c r="N5945" s="1">
        <v>23</v>
      </c>
    </row>
    <row r="5946" spans="1:14" x14ac:dyDescent="0.25">
      <c r="A5946" t="str">
        <f t="shared" si="186"/>
        <v>78803357880335</v>
      </c>
      <c r="B5946" t="str">
        <f t="shared" si="187"/>
        <v>7880335ML515WHT-D</v>
      </c>
      <c r="C5946" s="1" t="s">
        <v>855</v>
      </c>
      <c r="D5946" s="1" t="s">
        <v>856</v>
      </c>
      <c r="E5946" s="1" t="s">
        <v>388</v>
      </c>
      <c r="F5946" s="1" t="s">
        <v>389</v>
      </c>
      <c r="G5946" s="1" t="s">
        <v>387</v>
      </c>
      <c r="H5946" s="1">
        <v>1314</v>
      </c>
      <c r="I5946" s="3">
        <v>46288</v>
      </c>
      <c r="L5946" s="24">
        <v>46288.701709293979</v>
      </c>
      <c r="M5946" s="2">
        <v>12</v>
      </c>
      <c r="N5946" s="1">
        <v>61</v>
      </c>
    </row>
    <row r="5947" spans="1:14" x14ac:dyDescent="0.25">
      <c r="A5947" t="str">
        <f t="shared" si="186"/>
        <v>78803357880335</v>
      </c>
      <c r="B5947" t="str">
        <f t="shared" si="187"/>
        <v>7880335ML515WHT-D</v>
      </c>
      <c r="C5947" s="1" t="s">
        <v>855</v>
      </c>
      <c r="D5947" s="1" t="s">
        <v>856</v>
      </c>
      <c r="E5947" s="1" t="s">
        <v>388</v>
      </c>
      <c r="F5947" s="1" t="s">
        <v>389</v>
      </c>
      <c r="G5947" s="1" t="s">
        <v>387</v>
      </c>
      <c r="H5947" s="1">
        <v>1314</v>
      </c>
      <c r="I5947" s="3">
        <v>46288</v>
      </c>
      <c r="L5947" s="24">
        <v>46288.707293553241</v>
      </c>
      <c r="M5947" s="2">
        <v>12</v>
      </c>
      <c r="N5947" s="1">
        <v>24</v>
      </c>
    </row>
    <row r="5948" spans="1:14" x14ac:dyDescent="0.25">
      <c r="A5948" t="str">
        <f t="shared" si="186"/>
        <v>78803357880335</v>
      </c>
      <c r="B5948" t="str">
        <f t="shared" si="187"/>
        <v>7880335ML515WHT-D</v>
      </c>
      <c r="C5948" s="1" t="s">
        <v>855</v>
      </c>
      <c r="D5948" s="1" t="s">
        <v>856</v>
      </c>
      <c r="E5948" s="1" t="s">
        <v>388</v>
      </c>
      <c r="F5948" s="1" t="s">
        <v>389</v>
      </c>
      <c r="G5948" s="1" t="s">
        <v>387</v>
      </c>
      <c r="H5948" s="1">
        <v>1314</v>
      </c>
      <c r="I5948" s="3">
        <v>46288</v>
      </c>
      <c r="L5948" s="24">
        <v>46288.707681678236</v>
      </c>
      <c r="M5948" s="2">
        <v>12</v>
      </c>
      <c r="N5948" s="1">
        <v>76</v>
      </c>
    </row>
    <row r="5949" spans="1:14" x14ac:dyDescent="0.25">
      <c r="A5949" t="str">
        <f t="shared" si="186"/>
        <v>78803357880335</v>
      </c>
      <c r="B5949" t="str">
        <f t="shared" si="187"/>
        <v>7880335ML515WHT-D</v>
      </c>
      <c r="C5949" s="1" t="s">
        <v>855</v>
      </c>
      <c r="D5949" s="1" t="s">
        <v>856</v>
      </c>
      <c r="E5949" s="1" t="s">
        <v>388</v>
      </c>
      <c r="F5949" s="1" t="s">
        <v>389</v>
      </c>
      <c r="G5949" s="1" t="s">
        <v>387</v>
      </c>
      <c r="H5949" s="1">
        <v>1314</v>
      </c>
      <c r="I5949" s="3">
        <v>46288</v>
      </c>
      <c r="L5949" s="24">
        <v>46288.708864155087</v>
      </c>
      <c r="M5949" s="2">
        <v>12</v>
      </c>
      <c r="N5949" s="1">
        <v>17</v>
      </c>
    </row>
    <row r="5950" spans="1:14" x14ac:dyDescent="0.25">
      <c r="A5950" t="str">
        <f t="shared" si="186"/>
        <v>78808337880833</v>
      </c>
      <c r="B5950" t="str">
        <f t="shared" si="187"/>
        <v>7880833I603283-M</v>
      </c>
      <c r="C5950" s="1" t="s">
        <v>764</v>
      </c>
      <c r="D5950" s="1" t="s">
        <v>872</v>
      </c>
      <c r="E5950" s="1" t="s">
        <v>388</v>
      </c>
      <c r="F5950" s="1" t="s">
        <v>389</v>
      </c>
      <c r="G5950" s="1" t="s">
        <v>387</v>
      </c>
      <c r="H5950" s="1">
        <v>144</v>
      </c>
      <c r="I5950" s="3">
        <v>46288</v>
      </c>
      <c r="L5950" s="24">
        <v>46288.62334140046</v>
      </c>
      <c r="M5950" s="2">
        <v>6</v>
      </c>
      <c r="N5950" s="1">
        <v>11</v>
      </c>
    </row>
    <row r="5951" spans="1:14" x14ac:dyDescent="0.25">
      <c r="A5951" t="str">
        <f t="shared" si="186"/>
        <v>78808337880833</v>
      </c>
      <c r="B5951" t="str">
        <f t="shared" si="187"/>
        <v>7880833I603283-M</v>
      </c>
      <c r="C5951" s="1" t="s">
        <v>764</v>
      </c>
      <c r="D5951" s="1" t="s">
        <v>872</v>
      </c>
      <c r="E5951" s="1" t="s">
        <v>388</v>
      </c>
      <c r="F5951" s="1" t="s">
        <v>389</v>
      </c>
      <c r="G5951" s="1" t="s">
        <v>387</v>
      </c>
      <c r="H5951" s="1">
        <v>144</v>
      </c>
      <c r="I5951" s="3">
        <v>46288</v>
      </c>
      <c r="L5951" s="24">
        <v>46288.627988576387</v>
      </c>
      <c r="M5951" s="2">
        <v>12</v>
      </c>
      <c r="N5951" s="1">
        <v>4</v>
      </c>
    </row>
    <row r="5952" spans="1:14" x14ac:dyDescent="0.25">
      <c r="A5952" t="str">
        <f t="shared" si="186"/>
        <v>78808337880833</v>
      </c>
      <c r="B5952" t="str">
        <f t="shared" si="187"/>
        <v>7880833I603283-M</v>
      </c>
      <c r="C5952" s="1" t="s">
        <v>764</v>
      </c>
      <c r="D5952" s="1" t="s">
        <v>872</v>
      </c>
      <c r="E5952" s="1" t="s">
        <v>388</v>
      </c>
      <c r="F5952" s="1" t="s">
        <v>389</v>
      </c>
      <c r="G5952" s="1" t="s">
        <v>387</v>
      </c>
      <c r="H5952" s="1">
        <v>144</v>
      </c>
      <c r="I5952" s="3">
        <v>46288</v>
      </c>
      <c r="L5952" s="24">
        <v>46288.646928784721</v>
      </c>
      <c r="M5952" s="2">
        <v>12</v>
      </c>
      <c r="N5952" s="1">
        <v>8</v>
      </c>
    </row>
    <row r="5953" spans="1:14" x14ac:dyDescent="0.25">
      <c r="A5953" t="str">
        <f t="shared" si="186"/>
        <v>78808337880833</v>
      </c>
      <c r="B5953" t="str">
        <f t="shared" si="187"/>
        <v>7880833I603283-M</v>
      </c>
      <c r="C5953" s="1" t="s">
        <v>764</v>
      </c>
      <c r="D5953" s="1" t="s">
        <v>872</v>
      </c>
      <c r="E5953" s="1" t="s">
        <v>388</v>
      </c>
      <c r="F5953" s="1" t="s">
        <v>389</v>
      </c>
      <c r="G5953" s="1" t="s">
        <v>387</v>
      </c>
      <c r="H5953" s="1">
        <v>144</v>
      </c>
      <c r="I5953" s="3">
        <v>46288</v>
      </c>
      <c r="L5953" s="24">
        <v>46288.647250347218</v>
      </c>
      <c r="M5953" s="2">
        <v>12</v>
      </c>
      <c r="N5953" s="1">
        <v>6</v>
      </c>
    </row>
    <row r="5954" spans="1:14" x14ac:dyDescent="0.25">
      <c r="A5954" t="str">
        <f t="shared" ref="A5954:A6017" si="188">+D5954&amp;D5954</f>
        <v>78808337880833</v>
      </c>
      <c r="B5954" t="str">
        <f t="shared" ref="B5954:B6017" si="189">+D5954&amp;C5954</f>
        <v>7880833I603283-M</v>
      </c>
      <c r="C5954" s="1" t="s">
        <v>764</v>
      </c>
      <c r="D5954" s="1" t="s">
        <v>872</v>
      </c>
      <c r="E5954" s="1" t="s">
        <v>388</v>
      </c>
      <c r="F5954" s="1" t="s">
        <v>389</v>
      </c>
      <c r="G5954" s="1" t="s">
        <v>387</v>
      </c>
      <c r="H5954" s="1">
        <v>144</v>
      </c>
      <c r="I5954" s="3">
        <v>46288</v>
      </c>
      <c r="L5954" s="24">
        <v>46288.648118900463</v>
      </c>
      <c r="M5954" s="2">
        <v>12</v>
      </c>
      <c r="N5954" s="1">
        <v>2</v>
      </c>
    </row>
    <row r="5955" spans="1:14" x14ac:dyDescent="0.25">
      <c r="A5955" t="str">
        <f t="shared" si="188"/>
        <v>78808337880833</v>
      </c>
      <c r="B5955" t="str">
        <f t="shared" si="189"/>
        <v>7880833I603283-M</v>
      </c>
      <c r="C5955" s="1" t="s">
        <v>764</v>
      </c>
      <c r="D5955" s="1" t="s">
        <v>872</v>
      </c>
      <c r="E5955" s="1" t="s">
        <v>388</v>
      </c>
      <c r="F5955" s="1" t="s">
        <v>389</v>
      </c>
      <c r="G5955" s="1" t="s">
        <v>387</v>
      </c>
      <c r="H5955" s="1">
        <v>144</v>
      </c>
      <c r="I5955" s="3">
        <v>46288</v>
      </c>
      <c r="L5955" s="24">
        <v>46288.648574108796</v>
      </c>
      <c r="M5955" s="2">
        <v>12</v>
      </c>
      <c r="N5955" s="1">
        <v>5</v>
      </c>
    </row>
    <row r="5956" spans="1:14" x14ac:dyDescent="0.25">
      <c r="A5956" t="str">
        <f t="shared" si="188"/>
        <v>78808337880833</v>
      </c>
      <c r="B5956" t="str">
        <f t="shared" si="189"/>
        <v>7880833I603283-M</v>
      </c>
      <c r="C5956" s="1" t="s">
        <v>764</v>
      </c>
      <c r="D5956" s="1" t="s">
        <v>872</v>
      </c>
      <c r="E5956" s="1" t="s">
        <v>388</v>
      </c>
      <c r="F5956" s="1" t="s">
        <v>389</v>
      </c>
      <c r="G5956" s="1" t="s">
        <v>387</v>
      </c>
      <c r="H5956" s="1">
        <v>144</v>
      </c>
      <c r="I5956" s="3">
        <v>46288</v>
      </c>
      <c r="L5956" s="24">
        <v>46288.666766435184</v>
      </c>
      <c r="M5956" s="2">
        <v>12</v>
      </c>
      <c r="N5956" s="1">
        <v>9</v>
      </c>
    </row>
    <row r="5957" spans="1:14" x14ac:dyDescent="0.25">
      <c r="A5957" t="str">
        <f t="shared" si="188"/>
        <v>78837727883772</v>
      </c>
      <c r="B5957" t="str">
        <f t="shared" si="189"/>
        <v>7883772P60347T-M</v>
      </c>
      <c r="C5957" s="1" t="s">
        <v>272</v>
      </c>
      <c r="D5957" s="1" t="s">
        <v>867</v>
      </c>
      <c r="E5957" s="1" t="s">
        <v>382</v>
      </c>
      <c r="F5957" s="1" t="s">
        <v>2309</v>
      </c>
      <c r="G5957" s="1" t="s">
        <v>394</v>
      </c>
      <c r="H5957" s="1">
        <v>252</v>
      </c>
      <c r="I5957" s="3">
        <v>46288</v>
      </c>
      <c r="L5957" s="24">
        <v>46288.60026165509</v>
      </c>
      <c r="M5957" s="2">
        <v>12</v>
      </c>
      <c r="N5957" s="1">
        <v>10</v>
      </c>
    </row>
    <row r="5958" spans="1:14" x14ac:dyDescent="0.25">
      <c r="A5958" t="str">
        <f t="shared" si="188"/>
        <v>78837727883772</v>
      </c>
      <c r="B5958" t="str">
        <f t="shared" si="189"/>
        <v>7883772P60347T-M</v>
      </c>
      <c r="C5958" s="1" t="s">
        <v>272</v>
      </c>
      <c r="D5958" s="1" t="s">
        <v>867</v>
      </c>
      <c r="E5958" s="1" t="s">
        <v>382</v>
      </c>
      <c r="F5958" s="1" t="s">
        <v>2309</v>
      </c>
      <c r="G5958" s="1" t="s">
        <v>394</v>
      </c>
      <c r="H5958" s="1">
        <v>252</v>
      </c>
      <c r="I5958" s="3">
        <v>46288</v>
      </c>
      <c r="L5958" s="24">
        <v>46288.60154019676</v>
      </c>
      <c r="M5958" s="2">
        <v>12</v>
      </c>
      <c r="N5958" s="1">
        <v>9</v>
      </c>
    </row>
    <row r="5959" spans="1:14" x14ac:dyDescent="0.25">
      <c r="A5959" t="str">
        <f t="shared" si="188"/>
        <v>78837727883772</v>
      </c>
      <c r="B5959" t="str">
        <f t="shared" si="189"/>
        <v>7883772P60347T-M</v>
      </c>
      <c r="C5959" s="1" t="s">
        <v>272</v>
      </c>
      <c r="D5959" s="1" t="s">
        <v>867</v>
      </c>
      <c r="E5959" s="1" t="s">
        <v>382</v>
      </c>
      <c r="F5959" s="1" t="s">
        <v>2309</v>
      </c>
      <c r="G5959" s="1" t="s">
        <v>394</v>
      </c>
      <c r="H5959" s="1">
        <v>252</v>
      </c>
      <c r="I5959" s="3">
        <v>46288</v>
      </c>
      <c r="L5959" s="24">
        <v>46288.601689467592</v>
      </c>
      <c r="M5959" s="2">
        <v>12</v>
      </c>
      <c r="N5959" s="1">
        <v>16</v>
      </c>
    </row>
    <row r="5960" spans="1:14" x14ac:dyDescent="0.25">
      <c r="A5960" t="str">
        <f t="shared" si="188"/>
        <v>78837727883772</v>
      </c>
      <c r="B5960" t="str">
        <f t="shared" si="189"/>
        <v>7883772P60347T-M</v>
      </c>
      <c r="C5960" s="1" t="s">
        <v>272</v>
      </c>
      <c r="D5960" s="1" t="s">
        <v>867</v>
      </c>
      <c r="E5960" s="1" t="s">
        <v>382</v>
      </c>
      <c r="F5960" s="1" t="s">
        <v>2309</v>
      </c>
      <c r="G5960" s="1" t="s">
        <v>394</v>
      </c>
      <c r="H5960" s="1">
        <v>252</v>
      </c>
      <c r="I5960" s="3">
        <v>46288</v>
      </c>
      <c r="L5960" s="24">
        <v>46288.601843368051</v>
      </c>
      <c r="M5960" s="2">
        <v>12</v>
      </c>
      <c r="N5960" s="1">
        <v>4</v>
      </c>
    </row>
    <row r="5961" spans="1:14" x14ac:dyDescent="0.25">
      <c r="A5961" t="str">
        <f t="shared" si="188"/>
        <v>78837727883772</v>
      </c>
      <c r="B5961" t="str">
        <f t="shared" si="189"/>
        <v>7883772P60347T-M</v>
      </c>
      <c r="C5961" s="1" t="s">
        <v>272</v>
      </c>
      <c r="D5961" s="1" t="s">
        <v>867</v>
      </c>
      <c r="E5961" s="1" t="s">
        <v>382</v>
      </c>
      <c r="F5961" s="1" t="s">
        <v>2309</v>
      </c>
      <c r="G5961" s="1" t="s">
        <v>394</v>
      </c>
      <c r="H5961" s="1">
        <v>252</v>
      </c>
      <c r="I5961" s="3">
        <v>46288</v>
      </c>
      <c r="L5961" s="24">
        <v>46288.602054131945</v>
      </c>
      <c r="M5961" s="2">
        <v>12</v>
      </c>
      <c r="N5961" s="1">
        <v>2</v>
      </c>
    </row>
    <row r="5962" spans="1:14" x14ac:dyDescent="0.25">
      <c r="A5962" t="str">
        <f t="shared" si="188"/>
        <v>78837727883772</v>
      </c>
      <c r="B5962" t="str">
        <f t="shared" si="189"/>
        <v>7883772P60347T-M</v>
      </c>
      <c r="C5962" s="1" t="s">
        <v>272</v>
      </c>
      <c r="D5962" s="1" t="s">
        <v>867</v>
      </c>
      <c r="E5962" s="1" t="s">
        <v>382</v>
      </c>
      <c r="F5962" s="1" t="s">
        <v>2309</v>
      </c>
      <c r="G5962" s="1" t="s">
        <v>394</v>
      </c>
      <c r="H5962" s="1">
        <v>252</v>
      </c>
      <c r="I5962" s="3">
        <v>46288</v>
      </c>
      <c r="L5962" s="24">
        <v>46288.602751469909</v>
      </c>
      <c r="M5962" s="2">
        <v>12</v>
      </c>
      <c r="N5962" s="1">
        <v>1</v>
      </c>
    </row>
    <row r="5963" spans="1:14" x14ac:dyDescent="0.25">
      <c r="A5963" t="str">
        <f t="shared" si="188"/>
        <v>78837727883772</v>
      </c>
      <c r="B5963" t="str">
        <f t="shared" si="189"/>
        <v>7883772P60347T-M</v>
      </c>
      <c r="C5963" s="1" t="s">
        <v>272</v>
      </c>
      <c r="D5963" s="1" t="s">
        <v>867</v>
      </c>
      <c r="E5963" s="1" t="s">
        <v>382</v>
      </c>
      <c r="F5963" s="1" t="s">
        <v>2309</v>
      </c>
      <c r="G5963" s="1" t="s">
        <v>394</v>
      </c>
      <c r="H5963" s="1">
        <v>252</v>
      </c>
      <c r="I5963" s="3">
        <v>46288</v>
      </c>
      <c r="L5963" s="24">
        <v>46288.603073761573</v>
      </c>
      <c r="M5963" s="2">
        <v>12</v>
      </c>
      <c r="N5963" s="1">
        <v>6</v>
      </c>
    </row>
    <row r="5964" spans="1:14" x14ac:dyDescent="0.25">
      <c r="A5964" t="str">
        <f t="shared" si="188"/>
        <v>78837727883772</v>
      </c>
      <c r="B5964" t="str">
        <f t="shared" si="189"/>
        <v>7883772P60347T-M</v>
      </c>
      <c r="C5964" s="1" t="s">
        <v>272</v>
      </c>
      <c r="D5964" s="1" t="s">
        <v>867</v>
      </c>
      <c r="E5964" s="1" t="s">
        <v>382</v>
      </c>
      <c r="F5964" s="1" t="s">
        <v>2309</v>
      </c>
      <c r="G5964" s="1" t="s">
        <v>394</v>
      </c>
      <c r="H5964" s="1">
        <v>252</v>
      </c>
      <c r="I5964" s="3">
        <v>46288</v>
      </c>
      <c r="L5964" s="24">
        <v>46288.609300231481</v>
      </c>
      <c r="M5964" s="2">
        <v>12</v>
      </c>
      <c r="N5964" s="1">
        <v>5</v>
      </c>
    </row>
    <row r="5965" spans="1:14" x14ac:dyDescent="0.25">
      <c r="A5965" t="str">
        <f t="shared" si="188"/>
        <v>78837727883772</v>
      </c>
      <c r="B5965" t="str">
        <f t="shared" si="189"/>
        <v>7883772P60347T-M</v>
      </c>
      <c r="C5965" s="1" t="s">
        <v>272</v>
      </c>
      <c r="D5965" s="1" t="s">
        <v>867</v>
      </c>
      <c r="E5965" s="1" t="s">
        <v>382</v>
      </c>
      <c r="F5965" s="1" t="s">
        <v>2309</v>
      </c>
      <c r="G5965" s="1" t="s">
        <v>394</v>
      </c>
      <c r="H5965" s="1">
        <v>252</v>
      </c>
      <c r="I5965" s="3">
        <v>46288</v>
      </c>
      <c r="L5965" s="24">
        <v>46288.610396446755</v>
      </c>
      <c r="M5965" s="2">
        <v>12</v>
      </c>
      <c r="N5965" s="1">
        <v>17</v>
      </c>
    </row>
    <row r="5966" spans="1:14" x14ac:dyDescent="0.25">
      <c r="A5966" t="str">
        <f t="shared" si="188"/>
        <v>78837727883772</v>
      </c>
      <c r="B5966" t="str">
        <f t="shared" si="189"/>
        <v>7883772P60347T-M</v>
      </c>
      <c r="C5966" s="1" t="s">
        <v>272</v>
      </c>
      <c r="D5966" s="1" t="s">
        <v>867</v>
      </c>
      <c r="E5966" s="1" t="s">
        <v>382</v>
      </c>
      <c r="F5966" s="1" t="s">
        <v>2309</v>
      </c>
      <c r="G5966" s="1" t="s">
        <v>394</v>
      </c>
      <c r="H5966" s="1">
        <v>252</v>
      </c>
      <c r="I5966" s="3">
        <v>46288</v>
      </c>
      <c r="L5966" s="24">
        <v>46288.618588541663</v>
      </c>
      <c r="M5966" s="2">
        <v>12</v>
      </c>
      <c r="N5966" s="1">
        <v>15</v>
      </c>
    </row>
    <row r="5967" spans="1:14" x14ac:dyDescent="0.25">
      <c r="A5967" t="str">
        <f t="shared" si="188"/>
        <v>78837727883772</v>
      </c>
      <c r="B5967" t="str">
        <f t="shared" si="189"/>
        <v>7883772P60347T-M</v>
      </c>
      <c r="C5967" s="1" t="s">
        <v>272</v>
      </c>
      <c r="D5967" s="1" t="s">
        <v>867</v>
      </c>
      <c r="E5967" s="1" t="s">
        <v>382</v>
      </c>
      <c r="F5967" s="1" t="s">
        <v>2309</v>
      </c>
      <c r="G5967" s="1" t="s">
        <v>394</v>
      </c>
      <c r="H5967" s="1">
        <v>252</v>
      </c>
      <c r="I5967" s="3">
        <v>46288</v>
      </c>
      <c r="L5967" s="24">
        <v>46288.620016203698</v>
      </c>
      <c r="M5967" s="2">
        <v>12</v>
      </c>
      <c r="N5967" s="1">
        <v>14</v>
      </c>
    </row>
    <row r="5968" spans="1:14" x14ac:dyDescent="0.25">
      <c r="A5968" t="str">
        <f t="shared" si="188"/>
        <v>78837727883772</v>
      </c>
      <c r="B5968" t="str">
        <f t="shared" si="189"/>
        <v>7883772P60347T-M</v>
      </c>
      <c r="C5968" s="1" t="s">
        <v>272</v>
      </c>
      <c r="D5968" s="1" t="s">
        <v>867</v>
      </c>
      <c r="E5968" s="1" t="s">
        <v>382</v>
      </c>
      <c r="F5968" s="1" t="s">
        <v>2309</v>
      </c>
      <c r="G5968" s="1" t="s">
        <v>394</v>
      </c>
      <c r="H5968" s="1">
        <v>252</v>
      </c>
      <c r="I5968" s="3">
        <v>46288</v>
      </c>
      <c r="L5968" s="24">
        <v>46288.620240590273</v>
      </c>
      <c r="M5968" s="2">
        <v>12</v>
      </c>
      <c r="N5968" s="1">
        <v>8</v>
      </c>
    </row>
    <row r="5969" spans="1:14" x14ac:dyDescent="0.25">
      <c r="A5969" t="str">
        <f t="shared" si="188"/>
        <v>78837727883772</v>
      </c>
      <c r="B5969" t="str">
        <f t="shared" si="189"/>
        <v>7883772P60347T-M</v>
      </c>
      <c r="C5969" s="1" t="s">
        <v>272</v>
      </c>
      <c r="D5969" s="1" t="s">
        <v>867</v>
      </c>
      <c r="E5969" s="1" t="s">
        <v>382</v>
      </c>
      <c r="F5969" s="1" t="s">
        <v>2309</v>
      </c>
      <c r="G5969" s="1" t="s">
        <v>394</v>
      </c>
      <c r="H5969" s="1">
        <v>252</v>
      </c>
      <c r="I5969" s="3">
        <v>46288</v>
      </c>
      <c r="L5969" s="24">
        <v>46288.628927974532</v>
      </c>
      <c r="M5969" s="2">
        <v>12</v>
      </c>
      <c r="N5969" s="1">
        <v>3</v>
      </c>
    </row>
    <row r="5970" spans="1:14" x14ac:dyDescent="0.25">
      <c r="A5970" t="str">
        <f t="shared" si="188"/>
        <v>78837727883772</v>
      </c>
      <c r="B5970" t="str">
        <f t="shared" si="189"/>
        <v>7883772P60347T-M</v>
      </c>
      <c r="C5970" s="1" t="s">
        <v>272</v>
      </c>
      <c r="D5970" s="1" t="s">
        <v>867</v>
      </c>
      <c r="E5970" s="1" t="s">
        <v>382</v>
      </c>
      <c r="F5970" s="1" t="s">
        <v>2309</v>
      </c>
      <c r="G5970" s="1" t="s">
        <v>394</v>
      </c>
      <c r="H5970" s="1">
        <v>252</v>
      </c>
      <c r="I5970" s="3">
        <v>46288</v>
      </c>
      <c r="L5970" s="24">
        <v>46288.634094097222</v>
      </c>
      <c r="M5970" s="2">
        <v>12</v>
      </c>
      <c r="N5970" s="1">
        <v>12</v>
      </c>
    </row>
    <row r="5971" spans="1:14" x14ac:dyDescent="0.25">
      <c r="A5971" t="str">
        <f t="shared" si="188"/>
        <v>78837727883772</v>
      </c>
      <c r="B5971" t="str">
        <f t="shared" si="189"/>
        <v>7883772P60347T-M</v>
      </c>
      <c r="C5971" s="1" t="s">
        <v>272</v>
      </c>
      <c r="D5971" s="1" t="s">
        <v>867</v>
      </c>
      <c r="E5971" s="1" t="s">
        <v>382</v>
      </c>
      <c r="F5971" s="1" t="s">
        <v>2309</v>
      </c>
      <c r="G5971" s="1" t="s">
        <v>394</v>
      </c>
      <c r="H5971" s="1">
        <v>252</v>
      </c>
      <c r="I5971" s="3">
        <v>46288</v>
      </c>
      <c r="L5971" s="24">
        <v>46288.650430474532</v>
      </c>
      <c r="M5971" s="2">
        <v>12</v>
      </c>
      <c r="N5971" s="1">
        <v>7</v>
      </c>
    </row>
    <row r="5972" spans="1:14" x14ac:dyDescent="0.25">
      <c r="A5972" t="str">
        <f t="shared" si="188"/>
        <v>78837727883772</v>
      </c>
      <c r="B5972" t="str">
        <f t="shared" si="189"/>
        <v>7883772P60347T-M</v>
      </c>
      <c r="C5972" s="1" t="s">
        <v>272</v>
      </c>
      <c r="D5972" s="1" t="s">
        <v>867</v>
      </c>
      <c r="E5972" s="1" t="s">
        <v>382</v>
      </c>
      <c r="F5972" s="1" t="s">
        <v>2309</v>
      </c>
      <c r="G5972" s="1" t="s">
        <v>394</v>
      </c>
      <c r="H5972" s="1">
        <v>252</v>
      </c>
      <c r="I5972" s="3">
        <v>46288</v>
      </c>
      <c r="L5972" s="24">
        <v>46288.650882326387</v>
      </c>
      <c r="M5972" s="2">
        <v>12</v>
      </c>
      <c r="N5972" s="1">
        <v>18</v>
      </c>
    </row>
    <row r="5973" spans="1:14" x14ac:dyDescent="0.25">
      <c r="A5973" t="str">
        <f t="shared" si="188"/>
        <v>78837727883772</v>
      </c>
      <c r="B5973" t="str">
        <f t="shared" si="189"/>
        <v>7883772P60347T-M</v>
      </c>
      <c r="C5973" s="1" t="s">
        <v>272</v>
      </c>
      <c r="D5973" s="1" t="s">
        <v>867</v>
      </c>
      <c r="E5973" s="1" t="s">
        <v>382</v>
      </c>
      <c r="F5973" s="1" t="s">
        <v>2309</v>
      </c>
      <c r="G5973" s="1" t="s">
        <v>394</v>
      </c>
      <c r="H5973" s="1">
        <v>252</v>
      </c>
      <c r="I5973" s="3">
        <v>46288</v>
      </c>
      <c r="L5973" s="24">
        <v>46288.668305555555</v>
      </c>
      <c r="M5973" s="2">
        <v>12</v>
      </c>
      <c r="N5973" s="1">
        <v>11</v>
      </c>
    </row>
    <row r="5974" spans="1:14" x14ac:dyDescent="0.25">
      <c r="A5974" t="str">
        <f t="shared" si="188"/>
        <v>78845647884564</v>
      </c>
      <c r="B5974" t="str">
        <f t="shared" si="189"/>
        <v>7884564CM997HCB-D</v>
      </c>
      <c r="C5974" s="1" t="s">
        <v>804</v>
      </c>
      <c r="D5974" s="1" t="s">
        <v>866</v>
      </c>
      <c r="E5974" s="1" t="s">
        <v>382</v>
      </c>
      <c r="F5974" s="1" t="s">
        <v>383</v>
      </c>
      <c r="G5974" s="1" t="s">
        <v>395</v>
      </c>
      <c r="H5974" s="1">
        <v>564</v>
      </c>
      <c r="I5974" s="3">
        <v>46288</v>
      </c>
      <c r="L5974" s="24">
        <v>46288.476695949073</v>
      </c>
      <c r="M5974" s="2">
        <v>12</v>
      </c>
      <c r="N5974" s="1">
        <v>17</v>
      </c>
    </row>
    <row r="5975" spans="1:14" x14ac:dyDescent="0.25">
      <c r="A5975" t="str">
        <f t="shared" si="188"/>
        <v>78845647884564</v>
      </c>
      <c r="B5975" t="str">
        <f t="shared" si="189"/>
        <v>7884564CM997HCB-D</v>
      </c>
      <c r="C5975" s="1" t="s">
        <v>804</v>
      </c>
      <c r="D5975" s="1" t="s">
        <v>866</v>
      </c>
      <c r="E5975" s="1" t="s">
        <v>382</v>
      </c>
      <c r="F5975" s="1" t="s">
        <v>383</v>
      </c>
      <c r="G5975" s="1" t="s">
        <v>395</v>
      </c>
      <c r="H5975" s="1">
        <v>564</v>
      </c>
      <c r="I5975" s="3">
        <v>46288</v>
      </c>
      <c r="L5975" s="24">
        <v>46288.487274652776</v>
      </c>
      <c r="M5975" s="2">
        <v>12</v>
      </c>
      <c r="N5975" s="1">
        <v>12</v>
      </c>
    </row>
    <row r="5976" spans="1:14" x14ac:dyDescent="0.25">
      <c r="A5976" t="str">
        <f t="shared" si="188"/>
        <v>78845647884564</v>
      </c>
      <c r="B5976" t="str">
        <f t="shared" si="189"/>
        <v>7884564CM997HCB-D</v>
      </c>
      <c r="C5976" s="1" t="s">
        <v>804</v>
      </c>
      <c r="D5976" s="1" t="s">
        <v>866</v>
      </c>
      <c r="E5976" s="1" t="s">
        <v>382</v>
      </c>
      <c r="F5976" s="1" t="s">
        <v>383</v>
      </c>
      <c r="G5976" s="1" t="s">
        <v>395</v>
      </c>
      <c r="H5976" s="1">
        <v>564</v>
      </c>
      <c r="I5976" s="3">
        <v>46288</v>
      </c>
      <c r="L5976" s="24">
        <v>46288.549912187496</v>
      </c>
      <c r="M5976" s="2">
        <v>12</v>
      </c>
      <c r="N5976" s="1">
        <v>11</v>
      </c>
    </row>
    <row r="5977" spans="1:14" x14ac:dyDescent="0.25">
      <c r="A5977" t="str">
        <f t="shared" si="188"/>
        <v>78845647884564</v>
      </c>
      <c r="B5977" t="str">
        <f t="shared" si="189"/>
        <v>7884564CM997HCB-D</v>
      </c>
      <c r="C5977" s="1" t="s">
        <v>804</v>
      </c>
      <c r="D5977" s="1" t="s">
        <v>866</v>
      </c>
      <c r="E5977" s="1" t="s">
        <v>382</v>
      </c>
      <c r="F5977" s="1" t="s">
        <v>383</v>
      </c>
      <c r="G5977" s="1" t="s">
        <v>395</v>
      </c>
      <c r="H5977" s="1">
        <v>564</v>
      </c>
      <c r="I5977" s="3">
        <v>46288</v>
      </c>
      <c r="L5977" s="24">
        <v>46288.550355752312</v>
      </c>
      <c r="M5977" s="2">
        <v>12</v>
      </c>
      <c r="N5977" s="1">
        <v>8</v>
      </c>
    </row>
    <row r="5978" spans="1:14" x14ac:dyDescent="0.25">
      <c r="A5978" t="str">
        <f t="shared" si="188"/>
        <v>78845647884564</v>
      </c>
      <c r="B5978" t="str">
        <f t="shared" si="189"/>
        <v>7884564CM997HCB-D</v>
      </c>
      <c r="C5978" s="1" t="s">
        <v>804</v>
      </c>
      <c r="D5978" s="1" t="s">
        <v>866</v>
      </c>
      <c r="E5978" s="1" t="s">
        <v>382</v>
      </c>
      <c r="F5978" s="1" t="s">
        <v>383</v>
      </c>
      <c r="G5978" s="1" t="s">
        <v>395</v>
      </c>
      <c r="H5978" s="1">
        <v>564</v>
      </c>
      <c r="I5978" s="3">
        <v>46288</v>
      </c>
      <c r="L5978" s="24">
        <v>46288.550820023149</v>
      </c>
      <c r="M5978" s="2">
        <v>12</v>
      </c>
      <c r="N5978" s="1">
        <v>37</v>
      </c>
    </row>
    <row r="5979" spans="1:14" x14ac:dyDescent="0.25">
      <c r="A5979" t="str">
        <f t="shared" si="188"/>
        <v>78845647884564</v>
      </c>
      <c r="B5979" t="str">
        <f t="shared" si="189"/>
        <v>7884564CM997HCB-D</v>
      </c>
      <c r="C5979" s="1" t="s">
        <v>804</v>
      </c>
      <c r="D5979" s="1" t="s">
        <v>866</v>
      </c>
      <c r="E5979" s="1" t="s">
        <v>382</v>
      </c>
      <c r="F5979" s="1" t="s">
        <v>383</v>
      </c>
      <c r="G5979" s="1" t="s">
        <v>395</v>
      </c>
      <c r="H5979" s="1">
        <v>564</v>
      </c>
      <c r="I5979" s="3">
        <v>46288</v>
      </c>
      <c r="L5979" s="24">
        <v>46288.560235104167</v>
      </c>
      <c r="M5979" s="2">
        <v>12</v>
      </c>
      <c r="N5979" s="1">
        <v>15</v>
      </c>
    </row>
    <row r="5980" spans="1:14" x14ac:dyDescent="0.25">
      <c r="A5980" t="str">
        <f t="shared" si="188"/>
        <v>78845647884564</v>
      </c>
      <c r="B5980" t="str">
        <f t="shared" si="189"/>
        <v>7884564CM997HCB-D</v>
      </c>
      <c r="C5980" s="1" t="s">
        <v>804</v>
      </c>
      <c r="D5980" s="1" t="s">
        <v>866</v>
      </c>
      <c r="E5980" s="1" t="s">
        <v>382</v>
      </c>
      <c r="F5980" s="1" t="s">
        <v>383</v>
      </c>
      <c r="G5980" s="1" t="s">
        <v>395</v>
      </c>
      <c r="H5980" s="1">
        <v>564</v>
      </c>
      <c r="I5980" s="3">
        <v>46288</v>
      </c>
      <c r="L5980" s="24">
        <v>46288.563598414352</v>
      </c>
      <c r="M5980" s="2">
        <v>12</v>
      </c>
      <c r="N5980" s="1">
        <v>30</v>
      </c>
    </row>
    <row r="5981" spans="1:14" x14ac:dyDescent="0.25">
      <c r="A5981" t="str">
        <f t="shared" si="188"/>
        <v>78845647884564</v>
      </c>
      <c r="B5981" t="str">
        <f t="shared" si="189"/>
        <v>7884564CM997HCB-D</v>
      </c>
      <c r="C5981" s="1" t="s">
        <v>804</v>
      </c>
      <c r="D5981" s="1" t="s">
        <v>866</v>
      </c>
      <c r="E5981" s="1" t="s">
        <v>382</v>
      </c>
      <c r="F5981" s="1" t="s">
        <v>383</v>
      </c>
      <c r="G5981" s="1" t="s">
        <v>395</v>
      </c>
      <c r="H5981" s="1">
        <v>564</v>
      </c>
      <c r="I5981" s="3">
        <v>46288</v>
      </c>
      <c r="L5981" s="24">
        <v>46288.563816666661</v>
      </c>
      <c r="M5981" s="2">
        <v>12</v>
      </c>
      <c r="N5981" s="1">
        <v>36</v>
      </c>
    </row>
    <row r="5982" spans="1:14" x14ac:dyDescent="0.25">
      <c r="A5982" t="str">
        <f t="shared" si="188"/>
        <v>78845647884564</v>
      </c>
      <c r="B5982" t="str">
        <f t="shared" si="189"/>
        <v>7884564CM997HCB-D</v>
      </c>
      <c r="C5982" s="1" t="s">
        <v>804</v>
      </c>
      <c r="D5982" s="1" t="s">
        <v>866</v>
      </c>
      <c r="E5982" s="1" t="s">
        <v>382</v>
      </c>
      <c r="F5982" s="1" t="s">
        <v>383</v>
      </c>
      <c r="G5982" s="1" t="s">
        <v>395</v>
      </c>
      <c r="H5982" s="1">
        <v>564</v>
      </c>
      <c r="I5982" s="3">
        <v>46288</v>
      </c>
      <c r="L5982" s="24">
        <v>46288.569197951387</v>
      </c>
      <c r="M5982" s="2">
        <v>12</v>
      </c>
      <c r="N5982" s="1">
        <v>3</v>
      </c>
    </row>
    <row r="5983" spans="1:14" x14ac:dyDescent="0.25">
      <c r="A5983" t="str">
        <f t="shared" si="188"/>
        <v>78845647884564</v>
      </c>
      <c r="B5983" t="str">
        <f t="shared" si="189"/>
        <v>7884564CM997HCB-D</v>
      </c>
      <c r="C5983" s="1" t="s">
        <v>804</v>
      </c>
      <c r="D5983" s="1" t="s">
        <v>866</v>
      </c>
      <c r="E5983" s="1" t="s">
        <v>382</v>
      </c>
      <c r="F5983" s="1" t="s">
        <v>383</v>
      </c>
      <c r="G5983" s="1" t="s">
        <v>395</v>
      </c>
      <c r="H5983" s="1">
        <v>564</v>
      </c>
      <c r="I5983" s="3">
        <v>46288</v>
      </c>
      <c r="L5983" s="24">
        <v>46288.569386493051</v>
      </c>
      <c r="M5983" s="2">
        <v>12</v>
      </c>
      <c r="N5983" s="1">
        <v>13</v>
      </c>
    </row>
    <row r="5984" spans="1:14" x14ac:dyDescent="0.25">
      <c r="A5984" t="str">
        <f t="shared" si="188"/>
        <v>78845647884564</v>
      </c>
      <c r="B5984" t="str">
        <f t="shared" si="189"/>
        <v>7884564CM997HCB-D</v>
      </c>
      <c r="C5984" s="1" t="s">
        <v>804</v>
      </c>
      <c r="D5984" s="1" t="s">
        <v>866</v>
      </c>
      <c r="E5984" s="1" t="s">
        <v>382</v>
      </c>
      <c r="F5984" s="1" t="s">
        <v>383</v>
      </c>
      <c r="G5984" s="1" t="s">
        <v>395</v>
      </c>
      <c r="H5984" s="1">
        <v>564</v>
      </c>
      <c r="I5984" s="3">
        <v>46288</v>
      </c>
      <c r="L5984" s="24">
        <v>46288.570215081018</v>
      </c>
      <c r="M5984" s="2">
        <v>12</v>
      </c>
      <c r="N5984" s="1">
        <v>23</v>
      </c>
    </row>
    <row r="5985" spans="1:14" x14ac:dyDescent="0.25">
      <c r="A5985" t="str">
        <f t="shared" si="188"/>
        <v>78845647884564</v>
      </c>
      <c r="B5985" t="str">
        <f t="shared" si="189"/>
        <v>7884564CM997HCB-D</v>
      </c>
      <c r="C5985" s="1" t="s">
        <v>804</v>
      </c>
      <c r="D5985" s="1" t="s">
        <v>866</v>
      </c>
      <c r="E5985" s="1" t="s">
        <v>382</v>
      </c>
      <c r="F5985" s="1" t="s">
        <v>383</v>
      </c>
      <c r="G5985" s="1" t="s">
        <v>395</v>
      </c>
      <c r="H5985" s="1">
        <v>564</v>
      </c>
      <c r="I5985" s="3">
        <v>46288</v>
      </c>
      <c r="L5985" s="24">
        <v>46288.582797256946</v>
      </c>
      <c r="M5985" s="2">
        <v>12</v>
      </c>
      <c r="N5985" s="1">
        <v>10</v>
      </c>
    </row>
    <row r="5986" spans="1:14" x14ac:dyDescent="0.25">
      <c r="A5986" t="str">
        <f t="shared" si="188"/>
        <v>78845647884564</v>
      </c>
      <c r="B5986" t="str">
        <f t="shared" si="189"/>
        <v>7884564CM997HCB-D</v>
      </c>
      <c r="C5986" s="1" t="s">
        <v>804</v>
      </c>
      <c r="D5986" s="1" t="s">
        <v>866</v>
      </c>
      <c r="E5986" s="1" t="s">
        <v>382</v>
      </c>
      <c r="F5986" s="1" t="s">
        <v>383</v>
      </c>
      <c r="G5986" s="1" t="s">
        <v>395</v>
      </c>
      <c r="H5986" s="1">
        <v>564</v>
      </c>
      <c r="I5986" s="3">
        <v>46288</v>
      </c>
      <c r="L5986" s="24">
        <v>46288.583321412036</v>
      </c>
      <c r="M5986" s="2">
        <v>12</v>
      </c>
      <c r="N5986" s="1">
        <v>34</v>
      </c>
    </row>
    <row r="5987" spans="1:14" x14ac:dyDescent="0.25">
      <c r="A5987" t="str">
        <f t="shared" si="188"/>
        <v>78845647884564</v>
      </c>
      <c r="B5987" t="str">
        <f t="shared" si="189"/>
        <v>7884564CM997HCB-D</v>
      </c>
      <c r="C5987" s="1" t="s">
        <v>804</v>
      </c>
      <c r="D5987" s="1" t="s">
        <v>866</v>
      </c>
      <c r="E5987" s="1" t="s">
        <v>382</v>
      </c>
      <c r="F5987" s="1" t="s">
        <v>383</v>
      </c>
      <c r="G5987" s="1" t="s">
        <v>395</v>
      </c>
      <c r="H5987" s="1">
        <v>564</v>
      </c>
      <c r="I5987" s="3">
        <v>46288</v>
      </c>
      <c r="L5987" s="24">
        <v>46288.583680439813</v>
      </c>
      <c r="M5987" s="2">
        <v>12</v>
      </c>
      <c r="N5987" s="1">
        <v>7</v>
      </c>
    </row>
    <row r="5988" spans="1:14" x14ac:dyDescent="0.25">
      <c r="A5988" t="str">
        <f t="shared" si="188"/>
        <v>78845647884564</v>
      </c>
      <c r="B5988" t="str">
        <f t="shared" si="189"/>
        <v>7884564CM997HCB-D</v>
      </c>
      <c r="C5988" s="1" t="s">
        <v>804</v>
      </c>
      <c r="D5988" s="1" t="s">
        <v>866</v>
      </c>
      <c r="E5988" s="1" t="s">
        <v>382</v>
      </c>
      <c r="F5988" s="1" t="s">
        <v>383</v>
      </c>
      <c r="G5988" s="1" t="s">
        <v>395</v>
      </c>
      <c r="H5988" s="1">
        <v>564</v>
      </c>
      <c r="I5988" s="3">
        <v>46288</v>
      </c>
      <c r="L5988" s="24">
        <v>46288.585250775461</v>
      </c>
      <c r="M5988" s="2">
        <v>12</v>
      </c>
      <c r="N5988" s="1">
        <v>33</v>
      </c>
    </row>
    <row r="5989" spans="1:14" x14ac:dyDescent="0.25">
      <c r="A5989" t="str">
        <f t="shared" si="188"/>
        <v>78845647884564</v>
      </c>
      <c r="B5989" t="str">
        <f t="shared" si="189"/>
        <v>7884564CM997HCB-D</v>
      </c>
      <c r="C5989" s="1" t="s">
        <v>804</v>
      </c>
      <c r="D5989" s="1" t="s">
        <v>866</v>
      </c>
      <c r="E5989" s="1" t="s">
        <v>382</v>
      </c>
      <c r="F5989" s="1" t="s">
        <v>383</v>
      </c>
      <c r="G5989" s="1" t="s">
        <v>395</v>
      </c>
      <c r="H5989" s="1">
        <v>564</v>
      </c>
      <c r="I5989" s="3">
        <v>46288</v>
      </c>
      <c r="L5989" s="24">
        <v>46288.585438310183</v>
      </c>
      <c r="M5989" s="2">
        <v>12</v>
      </c>
      <c r="N5989" s="1">
        <v>29</v>
      </c>
    </row>
    <row r="5990" spans="1:14" x14ac:dyDescent="0.25">
      <c r="A5990" t="str">
        <f t="shared" si="188"/>
        <v>78845647884564</v>
      </c>
      <c r="B5990" t="str">
        <f t="shared" si="189"/>
        <v>7884564CM997HCB-D</v>
      </c>
      <c r="C5990" s="1" t="s">
        <v>804</v>
      </c>
      <c r="D5990" s="1" t="s">
        <v>866</v>
      </c>
      <c r="E5990" s="1" t="s">
        <v>382</v>
      </c>
      <c r="F5990" s="1" t="s">
        <v>383</v>
      </c>
      <c r="G5990" s="1" t="s">
        <v>395</v>
      </c>
      <c r="H5990" s="1">
        <v>564</v>
      </c>
      <c r="I5990" s="3">
        <v>46288</v>
      </c>
      <c r="L5990" s="24">
        <v>46288.604575844904</v>
      </c>
      <c r="M5990" s="2">
        <v>12</v>
      </c>
      <c r="N5990" s="1">
        <v>4</v>
      </c>
    </row>
    <row r="5991" spans="1:14" x14ac:dyDescent="0.25">
      <c r="A5991" t="str">
        <f t="shared" si="188"/>
        <v>78845647884564</v>
      </c>
      <c r="B5991" t="str">
        <f t="shared" si="189"/>
        <v>7884564CM997HCB-D</v>
      </c>
      <c r="C5991" s="1" t="s">
        <v>804</v>
      </c>
      <c r="D5991" s="1" t="s">
        <v>866</v>
      </c>
      <c r="E5991" s="1" t="s">
        <v>382</v>
      </c>
      <c r="F5991" s="1" t="s">
        <v>383</v>
      </c>
      <c r="G5991" s="1" t="s">
        <v>395</v>
      </c>
      <c r="H5991" s="1">
        <v>564</v>
      </c>
      <c r="I5991" s="3">
        <v>46288</v>
      </c>
      <c r="L5991" s="24">
        <v>46288.605015162037</v>
      </c>
      <c r="M5991" s="2">
        <v>12</v>
      </c>
      <c r="N5991" s="1">
        <v>26</v>
      </c>
    </row>
    <row r="5992" spans="1:14" x14ac:dyDescent="0.25">
      <c r="A5992" t="str">
        <f t="shared" si="188"/>
        <v>78845647884564</v>
      </c>
      <c r="B5992" t="str">
        <f t="shared" si="189"/>
        <v>7884564CM997HCB-D</v>
      </c>
      <c r="C5992" s="1" t="s">
        <v>804</v>
      </c>
      <c r="D5992" s="1" t="s">
        <v>866</v>
      </c>
      <c r="E5992" s="1" t="s">
        <v>382</v>
      </c>
      <c r="F5992" s="1" t="s">
        <v>383</v>
      </c>
      <c r="G5992" s="1" t="s">
        <v>395</v>
      </c>
      <c r="H5992" s="1">
        <v>564</v>
      </c>
      <c r="I5992" s="3">
        <v>46288</v>
      </c>
      <c r="L5992" s="24">
        <v>46288.60608140046</v>
      </c>
      <c r="M5992" s="2">
        <v>12</v>
      </c>
      <c r="N5992" s="1">
        <v>28</v>
      </c>
    </row>
    <row r="5993" spans="1:14" x14ac:dyDescent="0.25">
      <c r="A5993" t="str">
        <f t="shared" si="188"/>
        <v>78845647884564</v>
      </c>
      <c r="B5993" t="str">
        <f t="shared" si="189"/>
        <v>7884564CM997HCB-D</v>
      </c>
      <c r="C5993" s="1" t="s">
        <v>804</v>
      </c>
      <c r="D5993" s="1" t="s">
        <v>866</v>
      </c>
      <c r="E5993" s="1" t="s">
        <v>382</v>
      </c>
      <c r="F5993" s="1" t="s">
        <v>383</v>
      </c>
      <c r="G5993" s="1" t="s">
        <v>395</v>
      </c>
      <c r="H5993" s="1">
        <v>564</v>
      </c>
      <c r="I5993" s="3">
        <v>46288</v>
      </c>
      <c r="L5993" s="24">
        <v>46288.62499290509</v>
      </c>
      <c r="M5993" s="2">
        <v>6</v>
      </c>
      <c r="N5993" s="1">
        <v>44</v>
      </c>
    </row>
    <row r="5994" spans="1:14" x14ac:dyDescent="0.25">
      <c r="A5994" t="str">
        <f t="shared" si="188"/>
        <v>78845647884564</v>
      </c>
      <c r="B5994" t="str">
        <f t="shared" si="189"/>
        <v>7884564CM997HCB-D</v>
      </c>
      <c r="C5994" s="1" t="s">
        <v>804</v>
      </c>
      <c r="D5994" s="1" t="s">
        <v>866</v>
      </c>
      <c r="E5994" s="1" t="s">
        <v>382</v>
      </c>
      <c r="F5994" s="1" t="s">
        <v>383</v>
      </c>
      <c r="G5994" s="1" t="s">
        <v>395</v>
      </c>
      <c r="H5994" s="1">
        <v>564</v>
      </c>
      <c r="I5994" s="3">
        <v>46288</v>
      </c>
      <c r="L5994" s="24">
        <v>46288.630704629628</v>
      </c>
      <c r="M5994" s="2">
        <v>12</v>
      </c>
      <c r="N5994" s="1">
        <v>19</v>
      </c>
    </row>
    <row r="5995" spans="1:14" x14ac:dyDescent="0.25">
      <c r="A5995" t="str">
        <f t="shared" si="188"/>
        <v>78845647884564</v>
      </c>
      <c r="B5995" t="str">
        <f t="shared" si="189"/>
        <v>7884564CM997HCB-D</v>
      </c>
      <c r="C5995" s="1" t="s">
        <v>804</v>
      </c>
      <c r="D5995" s="1" t="s">
        <v>866</v>
      </c>
      <c r="E5995" s="1" t="s">
        <v>382</v>
      </c>
      <c r="F5995" s="1" t="s">
        <v>383</v>
      </c>
      <c r="G5995" s="1" t="s">
        <v>395</v>
      </c>
      <c r="H5995" s="1">
        <v>564</v>
      </c>
      <c r="I5995" s="3">
        <v>46288</v>
      </c>
      <c r="L5995" s="24">
        <v>46288.640047881941</v>
      </c>
      <c r="M5995" s="2">
        <v>12</v>
      </c>
      <c r="N5995" s="1">
        <v>6</v>
      </c>
    </row>
    <row r="5996" spans="1:14" x14ac:dyDescent="0.25">
      <c r="A5996" t="str">
        <f t="shared" si="188"/>
        <v>78845647884564</v>
      </c>
      <c r="B5996" t="str">
        <f t="shared" si="189"/>
        <v>7884564CM997HCB-D</v>
      </c>
      <c r="C5996" s="1" t="s">
        <v>804</v>
      </c>
      <c r="D5996" s="1" t="s">
        <v>866</v>
      </c>
      <c r="E5996" s="1" t="s">
        <v>382</v>
      </c>
      <c r="F5996" s="1" t="s">
        <v>383</v>
      </c>
      <c r="G5996" s="1" t="s">
        <v>395</v>
      </c>
      <c r="H5996" s="1">
        <v>564</v>
      </c>
      <c r="I5996" s="3">
        <v>46288</v>
      </c>
      <c r="L5996" s="24">
        <v>46288.640605092587</v>
      </c>
      <c r="M5996" s="2">
        <v>12</v>
      </c>
      <c r="N5996" s="1">
        <v>9</v>
      </c>
    </row>
    <row r="5997" spans="1:14" x14ac:dyDescent="0.25">
      <c r="A5997" t="str">
        <f t="shared" si="188"/>
        <v>78845647884564</v>
      </c>
      <c r="B5997" t="str">
        <f t="shared" si="189"/>
        <v>7884564CM997HCB-D</v>
      </c>
      <c r="C5997" s="1" t="s">
        <v>804</v>
      </c>
      <c r="D5997" s="1" t="s">
        <v>866</v>
      </c>
      <c r="E5997" s="1" t="s">
        <v>382</v>
      </c>
      <c r="F5997" s="1" t="s">
        <v>383</v>
      </c>
      <c r="G5997" s="1" t="s">
        <v>395</v>
      </c>
      <c r="H5997" s="1">
        <v>564</v>
      </c>
      <c r="I5997" s="3">
        <v>46288</v>
      </c>
      <c r="L5997" s="24">
        <v>46288.642842476853</v>
      </c>
      <c r="M5997" s="2">
        <v>6</v>
      </c>
      <c r="N5997" s="1">
        <v>45</v>
      </c>
    </row>
    <row r="5998" spans="1:14" x14ac:dyDescent="0.25">
      <c r="A5998" t="str">
        <f t="shared" si="188"/>
        <v>78845647884564</v>
      </c>
      <c r="B5998" t="str">
        <f t="shared" si="189"/>
        <v>7884564CM997HCB-D</v>
      </c>
      <c r="C5998" s="1" t="s">
        <v>804</v>
      </c>
      <c r="D5998" s="1" t="s">
        <v>866</v>
      </c>
      <c r="E5998" s="1" t="s">
        <v>382</v>
      </c>
      <c r="F5998" s="1" t="s">
        <v>383</v>
      </c>
      <c r="G5998" s="1" t="s">
        <v>395</v>
      </c>
      <c r="H5998" s="1">
        <v>564</v>
      </c>
      <c r="I5998" s="3">
        <v>46288</v>
      </c>
      <c r="L5998" s="24">
        <v>46288.647920868054</v>
      </c>
      <c r="M5998" s="2">
        <v>12</v>
      </c>
      <c r="N5998" s="1">
        <v>38</v>
      </c>
    </row>
    <row r="5999" spans="1:14" x14ac:dyDescent="0.25">
      <c r="A5999" t="str">
        <f t="shared" si="188"/>
        <v>78845647884564</v>
      </c>
      <c r="B5999" t="str">
        <f t="shared" si="189"/>
        <v>7884564CM997HCB-D</v>
      </c>
      <c r="C5999" s="1" t="s">
        <v>804</v>
      </c>
      <c r="D5999" s="1" t="s">
        <v>866</v>
      </c>
      <c r="E5999" s="1" t="s">
        <v>382</v>
      </c>
      <c r="F5999" s="1" t="s">
        <v>383</v>
      </c>
      <c r="G5999" s="1" t="s">
        <v>395</v>
      </c>
      <c r="H5999" s="1">
        <v>564</v>
      </c>
      <c r="I5999" s="3">
        <v>46288</v>
      </c>
      <c r="L5999" s="24">
        <v>46288.648370868053</v>
      </c>
      <c r="M5999" s="2">
        <v>12</v>
      </c>
      <c r="N5999" s="1">
        <v>25</v>
      </c>
    </row>
    <row r="6000" spans="1:14" x14ac:dyDescent="0.25">
      <c r="A6000" t="str">
        <f t="shared" si="188"/>
        <v>78845647884564</v>
      </c>
      <c r="B6000" t="str">
        <f t="shared" si="189"/>
        <v>7884564CM997HCB-D</v>
      </c>
      <c r="C6000" s="1" t="s">
        <v>804</v>
      </c>
      <c r="D6000" s="1" t="s">
        <v>866</v>
      </c>
      <c r="E6000" s="1" t="s">
        <v>382</v>
      </c>
      <c r="F6000" s="1" t="s">
        <v>383</v>
      </c>
      <c r="G6000" s="1" t="s">
        <v>395</v>
      </c>
      <c r="H6000" s="1">
        <v>564</v>
      </c>
      <c r="I6000" s="3">
        <v>46288</v>
      </c>
      <c r="L6000" s="24">
        <v>46288.659811111109</v>
      </c>
      <c r="M6000" s="2">
        <v>12</v>
      </c>
      <c r="N6000" s="1">
        <v>1</v>
      </c>
    </row>
    <row r="6001" spans="1:14" x14ac:dyDescent="0.25">
      <c r="A6001" t="str">
        <f t="shared" si="188"/>
        <v>78845647884564</v>
      </c>
      <c r="B6001" t="str">
        <f t="shared" si="189"/>
        <v>7884564CM997HCB-D</v>
      </c>
      <c r="C6001" s="1" t="s">
        <v>804</v>
      </c>
      <c r="D6001" s="1" t="s">
        <v>866</v>
      </c>
      <c r="E6001" s="1" t="s">
        <v>382</v>
      </c>
      <c r="F6001" s="1" t="s">
        <v>383</v>
      </c>
      <c r="G6001" s="1" t="s">
        <v>395</v>
      </c>
      <c r="H6001" s="1">
        <v>564</v>
      </c>
      <c r="I6001" s="3">
        <v>46288</v>
      </c>
      <c r="L6001" s="24">
        <v>46288.666594363422</v>
      </c>
      <c r="M6001" s="2">
        <v>12</v>
      </c>
      <c r="N6001" s="1">
        <v>27</v>
      </c>
    </row>
    <row r="6002" spans="1:14" x14ac:dyDescent="0.25">
      <c r="A6002" t="str">
        <f t="shared" si="188"/>
        <v>78845647884564</v>
      </c>
      <c r="B6002" t="str">
        <f t="shared" si="189"/>
        <v>7884564CM997HCB-D</v>
      </c>
      <c r="C6002" s="1" t="s">
        <v>804</v>
      </c>
      <c r="D6002" s="1" t="s">
        <v>866</v>
      </c>
      <c r="E6002" s="1" t="s">
        <v>382</v>
      </c>
      <c r="F6002" s="1" t="s">
        <v>383</v>
      </c>
      <c r="G6002" s="1" t="s">
        <v>395</v>
      </c>
      <c r="H6002" s="1">
        <v>564</v>
      </c>
      <c r="I6002" s="3">
        <v>46288</v>
      </c>
      <c r="L6002" s="24">
        <v>46288.668510219904</v>
      </c>
      <c r="M6002" s="2">
        <v>12</v>
      </c>
      <c r="N6002" s="1">
        <v>35</v>
      </c>
    </row>
    <row r="6003" spans="1:14" x14ac:dyDescent="0.25">
      <c r="A6003" t="str">
        <f t="shared" si="188"/>
        <v>78845647884564</v>
      </c>
      <c r="B6003" t="str">
        <f t="shared" si="189"/>
        <v>7884564CM997HCB-D</v>
      </c>
      <c r="C6003" s="1" t="s">
        <v>804</v>
      </c>
      <c r="D6003" s="1" t="s">
        <v>866</v>
      </c>
      <c r="E6003" s="1" t="s">
        <v>382</v>
      </c>
      <c r="F6003" s="1" t="s">
        <v>383</v>
      </c>
      <c r="G6003" s="1" t="s">
        <v>395</v>
      </c>
      <c r="H6003" s="1">
        <v>564</v>
      </c>
      <c r="I6003" s="3">
        <v>46288</v>
      </c>
      <c r="L6003" s="24">
        <v>46288.689974502311</v>
      </c>
      <c r="M6003" s="2">
        <v>12</v>
      </c>
      <c r="N6003" s="1">
        <v>18</v>
      </c>
    </row>
    <row r="6004" spans="1:14" x14ac:dyDescent="0.25">
      <c r="A6004" t="str">
        <f t="shared" si="188"/>
        <v>78846287884628</v>
      </c>
      <c r="B6004" t="str">
        <f t="shared" si="189"/>
        <v>7884628P6033JZ-M</v>
      </c>
      <c r="C6004" s="1" t="s">
        <v>585</v>
      </c>
      <c r="D6004" s="1" t="s">
        <v>882</v>
      </c>
      <c r="E6004" s="1" t="s">
        <v>382</v>
      </c>
      <c r="F6004" s="1" t="s">
        <v>383</v>
      </c>
      <c r="G6004" s="1" t="s">
        <v>395</v>
      </c>
      <c r="H6004" s="1">
        <v>192</v>
      </c>
      <c r="I6004" s="3">
        <v>46288</v>
      </c>
      <c r="L6004" s="24">
        <v>46288.706757754626</v>
      </c>
      <c r="M6004" s="2">
        <v>12</v>
      </c>
      <c r="N6004" s="1">
        <v>12</v>
      </c>
    </row>
    <row r="6005" spans="1:14" x14ac:dyDescent="0.25">
      <c r="A6005" t="str">
        <f t="shared" si="188"/>
        <v>78846347884634</v>
      </c>
      <c r="B6005" t="str">
        <f t="shared" si="189"/>
        <v>7884634P60347T-M</v>
      </c>
      <c r="C6005" s="1" t="s">
        <v>272</v>
      </c>
      <c r="D6005" s="1" t="s">
        <v>871</v>
      </c>
      <c r="E6005" s="1" t="s">
        <v>382</v>
      </c>
      <c r="F6005" s="1" t="s">
        <v>383</v>
      </c>
      <c r="G6005" s="1" t="s">
        <v>395</v>
      </c>
      <c r="H6005" s="1">
        <v>582</v>
      </c>
      <c r="I6005" s="3">
        <v>46288</v>
      </c>
      <c r="L6005" s="24">
        <v>46288.617807870367</v>
      </c>
      <c r="M6005" s="2">
        <v>12</v>
      </c>
      <c r="N6005" s="1">
        <v>39</v>
      </c>
    </row>
    <row r="6006" spans="1:14" x14ac:dyDescent="0.25">
      <c r="A6006" t="str">
        <f t="shared" si="188"/>
        <v>78846347884634</v>
      </c>
      <c r="B6006" t="str">
        <f t="shared" si="189"/>
        <v>7884634P60347T-M</v>
      </c>
      <c r="C6006" s="1" t="s">
        <v>272</v>
      </c>
      <c r="D6006" s="1" t="s">
        <v>871</v>
      </c>
      <c r="E6006" s="1" t="s">
        <v>382</v>
      </c>
      <c r="F6006" s="1" t="s">
        <v>383</v>
      </c>
      <c r="G6006" s="1" t="s">
        <v>395</v>
      </c>
      <c r="H6006" s="1">
        <v>582</v>
      </c>
      <c r="I6006" s="3">
        <v>46288</v>
      </c>
      <c r="L6006" s="24">
        <v>46288.630522534717</v>
      </c>
      <c r="M6006" s="2">
        <v>12</v>
      </c>
      <c r="N6006" s="1">
        <v>40</v>
      </c>
    </row>
    <row r="6007" spans="1:14" x14ac:dyDescent="0.25">
      <c r="A6007" t="str">
        <f t="shared" si="188"/>
        <v>78846347884634</v>
      </c>
      <c r="B6007" t="str">
        <f t="shared" si="189"/>
        <v>7884634P60347T-M</v>
      </c>
      <c r="C6007" s="1" t="s">
        <v>272</v>
      </c>
      <c r="D6007" s="1" t="s">
        <v>871</v>
      </c>
      <c r="E6007" s="1" t="s">
        <v>382</v>
      </c>
      <c r="F6007" s="1" t="s">
        <v>383</v>
      </c>
      <c r="G6007" s="1" t="s">
        <v>395</v>
      </c>
      <c r="H6007" s="1">
        <v>582</v>
      </c>
      <c r="I6007" s="3">
        <v>46288</v>
      </c>
      <c r="L6007" s="24">
        <v>46288.649756365739</v>
      </c>
      <c r="M6007" s="2">
        <v>12</v>
      </c>
      <c r="N6007" s="1">
        <v>15</v>
      </c>
    </row>
    <row r="6008" spans="1:14" x14ac:dyDescent="0.25">
      <c r="A6008" t="str">
        <f t="shared" si="188"/>
        <v>78846347884634</v>
      </c>
      <c r="B6008" t="str">
        <f t="shared" si="189"/>
        <v>7884634P60347T-M</v>
      </c>
      <c r="C6008" s="1" t="s">
        <v>272</v>
      </c>
      <c r="D6008" s="1" t="s">
        <v>871</v>
      </c>
      <c r="E6008" s="1" t="s">
        <v>382</v>
      </c>
      <c r="F6008" s="1" t="s">
        <v>383</v>
      </c>
      <c r="G6008" s="1" t="s">
        <v>395</v>
      </c>
      <c r="H6008" s="1">
        <v>582</v>
      </c>
      <c r="I6008" s="3">
        <v>46288</v>
      </c>
      <c r="L6008" s="24">
        <v>46288.649990891201</v>
      </c>
      <c r="M6008" s="2">
        <v>12</v>
      </c>
      <c r="N6008" s="1">
        <v>13</v>
      </c>
    </row>
    <row r="6009" spans="1:14" x14ac:dyDescent="0.25">
      <c r="A6009" t="str">
        <f t="shared" si="188"/>
        <v>78846347884634</v>
      </c>
      <c r="B6009" t="str">
        <f t="shared" si="189"/>
        <v>7884634P60347T-M</v>
      </c>
      <c r="C6009" s="1" t="s">
        <v>272</v>
      </c>
      <c r="D6009" s="1" t="s">
        <v>871</v>
      </c>
      <c r="E6009" s="1" t="s">
        <v>382</v>
      </c>
      <c r="F6009" s="1" t="s">
        <v>383</v>
      </c>
      <c r="G6009" s="1" t="s">
        <v>395</v>
      </c>
      <c r="H6009" s="1">
        <v>582</v>
      </c>
      <c r="I6009" s="3">
        <v>46288</v>
      </c>
      <c r="L6009" s="24">
        <v>46288.662715162034</v>
      </c>
      <c r="M6009" s="2">
        <v>12</v>
      </c>
      <c r="N6009" s="1">
        <v>41</v>
      </c>
    </row>
    <row r="6010" spans="1:14" x14ac:dyDescent="0.25">
      <c r="A6010" t="str">
        <f t="shared" si="188"/>
        <v>78846347884634</v>
      </c>
      <c r="B6010" t="str">
        <f t="shared" si="189"/>
        <v>7884634P60347T-M</v>
      </c>
      <c r="C6010" s="1" t="s">
        <v>272</v>
      </c>
      <c r="D6010" s="1" t="s">
        <v>871</v>
      </c>
      <c r="E6010" s="1" t="s">
        <v>382</v>
      </c>
      <c r="F6010" s="1" t="s">
        <v>383</v>
      </c>
      <c r="G6010" s="1" t="s">
        <v>395</v>
      </c>
      <c r="H6010" s="1">
        <v>582</v>
      </c>
      <c r="I6010" s="3">
        <v>46288</v>
      </c>
      <c r="L6010" s="24">
        <v>46288.664593946756</v>
      </c>
      <c r="M6010" s="2">
        <v>12</v>
      </c>
      <c r="N6010" s="1">
        <v>32</v>
      </c>
    </row>
    <row r="6011" spans="1:14" x14ac:dyDescent="0.25">
      <c r="A6011" t="str">
        <f t="shared" si="188"/>
        <v>78846347884634</v>
      </c>
      <c r="B6011" t="str">
        <f t="shared" si="189"/>
        <v>7884634P60347T-M</v>
      </c>
      <c r="C6011" s="1" t="s">
        <v>272</v>
      </c>
      <c r="D6011" s="1" t="s">
        <v>871</v>
      </c>
      <c r="E6011" s="1" t="s">
        <v>382</v>
      </c>
      <c r="F6011" s="1" t="s">
        <v>383</v>
      </c>
      <c r="G6011" s="1" t="s">
        <v>395</v>
      </c>
      <c r="H6011" s="1">
        <v>582</v>
      </c>
      <c r="I6011" s="3">
        <v>46288</v>
      </c>
      <c r="L6011" s="24">
        <v>46288.668083564815</v>
      </c>
      <c r="M6011" s="2">
        <v>12</v>
      </c>
      <c r="N6011" s="1">
        <v>23</v>
      </c>
    </row>
    <row r="6012" spans="1:14" x14ac:dyDescent="0.25">
      <c r="A6012" t="str">
        <f t="shared" si="188"/>
        <v>78846347884634</v>
      </c>
      <c r="B6012" t="str">
        <f t="shared" si="189"/>
        <v>7884634P60347T-M</v>
      </c>
      <c r="C6012" s="1" t="s">
        <v>272</v>
      </c>
      <c r="D6012" s="1" t="s">
        <v>871</v>
      </c>
      <c r="E6012" s="1" t="s">
        <v>382</v>
      </c>
      <c r="F6012" s="1" t="s">
        <v>383</v>
      </c>
      <c r="G6012" s="1" t="s">
        <v>395</v>
      </c>
      <c r="H6012" s="1">
        <v>582</v>
      </c>
      <c r="I6012" s="3">
        <v>46288</v>
      </c>
      <c r="L6012" s="24">
        <v>46288.685891006942</v>
      </c>
      <c r="M6012" s="2">
        <v>12</v>
      </c>
      <c r="N6012" s="1">
        <v>36</v>
      </c>
    </row>
    <row r="6013" spans="1:14" x14ac:dyDescent="0.25">
      <c r="A6013" t="str">
        <f t="shared" si="188"/>
        <v>78846347884634</v>
      </c>
      <c r="B6013" t="str">
        <f t="shared" si="189"/>
        <v>7884634P60347T-M</v>
      </c>
      <c r="C6013" s="1" t="s">
        <v>272</v>
      </c>
      <c r="D6013" s="1" t="s">
        <v>871</v>
      </c>
      <c r="E6013" s="1" t="s">
        <v>382</v>
      </c>
      <c r="F6013" s="1" t="s">
        <v>383</v>
      </c>
      <c r="G6013" s="1" t="s">
        <v>395</v>
      </c>
      <c r="H6013" s="1">
        <v>582</v>
      </c>
      <c r="I6013" s="3">
        <v>46288</v>
      </c>
      <c r="L6013" s="24">
        <v>46288.688652696757</v>
      </c>
      <c r="M6013" s="2">
        <v>12</v>
      </c>
      <c r="N6013" s="1">
        <v>8</v>
      </c>
    </row>
    <row r="6014" spans="1:14" x14ac:dyDescent="0.25">
      <c r="A6014" t="str">
        <f t="shared" si="188"/>
        <v>78846347884634</v>
      </c>
      <c r="B6014" t="str">
        <f t="shared" si="189"/>
        <v>7884634P60347T-M</v>
      </c>
      <c r="C6014" s="1" t="s">
        <v>272</v>
      </c>
      <c r="D6014" s="1" t="s">
        <v>871</v>
      </c>
      <c r="E6014" s="1" t="s">
        <v>382</v>
      </c>
      <c r="F6014" s="1" t="s">
        <v>383</v>
      </c>
      <c r="G6014" s="1" t="s">
        <v>395</v>
      </c>
      <c r="H6014" s="1">
        <v>582</v>
      </c>
      <c r="I6014" s="3">
        <v>46288</v>
      </c>
      <c r="L6014" s="24">
        <v>46288.703641782406</v>
      </c>
      <c r="M6014" s="2">
        <v>12</v>
      </c>
      <c r="N6014" s="1">
        <v>12</v>
      </c>
    </row>
    <row r="6015" spans="1:14" x14ac:dyDescent="0.25">
      <c r="A6015" t="str">
        <f t="shared" si="188"/>
        <v>78846347884634</v>
      </c>
      <c r="B6015" t="str">
        <f t="shared" si="189"/>
        <v>7884634P60347T-M</v>
      </c>
      <c r="C6015" s="1" t="s">
        <v>272</v>
      </c>
      <c r="D6015" s="1" t="s">
        <v>871</v>
      </c>
      <c r="E6015" s="1" t="s">
        <v>382</v>
      </c>
      <c r="F6015" s="1" t="s">
        <v>383</v>
      </c>
      <c r="G6015" s="1" t="s">
        <v>395</v>
      </c>
      <c r="H6015" s="1">
        <v>582</v>
      </c>
      <c r="I6015" s="3">
        <v>46288</v>
      </c>
      <c r="L6015" s="24">
        <v>46288.704288773144</v>
      </c>
      <c r="M6015" s="2">
        <v>12</v>
      </c>
      <c r="N6015" s="1">
        <v>21</v>
      </c>
    </row>
    <row r="6016" spans="1:14" x14ac:dyDescent="0.25">
      <c r="A6016" t="str">
        <f t="shared" si="188"/>
        <v>78846347884634</v>
      </c>
      <c r="B6016" t="str">
        <f t="shared" si="189"/>
        <v>7884634P60347T-M</v>
      </c>
      <c r="C6016" s="1" t="s">
        <v>272</v>
      </c>
      <c r="D6016" s="1" t="s">
        <v>871</v>
      </c>
      <c r="E6016" s="1" t="s">
        <v>382</v>
      </c>
      <c r="F6016" s="1" t="s">
        <v>383</v>
      </c>
      <c r="G6016" s="1" t="s">
        <v>395</v>
      </c>
      <c r="H6016" s="1">
        <v>582</v>
      </c>
      <c r="I6016" s="3">
        <v>46288</v>
      </c>
      <c r="L6016" s="24">
        <v>46288.704746180556</v>
      </c>
      <c r="M6016" s="2">
        <v>12</v>
      </c>
      <c r="N6016" s="1">
        <v>22</v>
      </c>
    </row>
    <row r="6017" spans="1:14" x14ac:dyDescent="0.25">
      <c r="A6017" t="str">
        <f t="shared" si="188"/>
        <v>78846407884640</v>
      </c>
      <c r="B6017" t="str">
        <f t="shared" si="189"/>
        <v>7884640P60394T-M</v>
      </c>
      <c r="C6017" s="1" t="s">
        <v>49</v>
      </c>
      <c r="D6017" s="1" t="s">
        <v>868</v>
      </c>
      <c r="E6017" s="1" t="s">
        <v>382</v>
      </c>
      <c r="F6017" s="1" t="s">
        <v>383</v>
      </c>
      <c r="G6017" s="1" t="s">
        <v>395</v>
      </c>
      <c r="H6017" s="1">
        <v>414</v>
      </c>
      <c r="I6017" s="3">
        <v>46288</v>
      </c>
      <c r="L6017" s="24">
        <v>46288.601349456017</v>
      </c>
      <c r="M6017" s="2">
        <v>12</v>
      </c>
      <c r="N6017" s="1">
        <v>22</v>
      </c>
    </row>
    <row r="6018" spans="1:14" x14ac:dyDescent="0.25">
      <c r="A6018" t="str">
        <f t="shared" ref="A6018:A6081" si="190">+D6018&amp;D6018</f>
        <v>78846407884640</v>
      </c>
      <c r="B6018" t="str">
        <f t="shared" ref="B6018:B6081" si="191">+D6018&amp;C6018</f>
        <v>7884640P60394T-M</v>
      </c>
      <c r="C6018" s="1" t="s">
        <v>49</v>
      </c>
      <c r="D6018" s="1" t="s">
        <v>868</v>
      </c>
      <c r="E6018" s="1" t="s">
        <v>382</v>
      </c>
      <c r="F6018" s="1" t="s">
        <v>383</v>
      </c>
      <c r="G6018" s="1" t="s">
        <v>395</v>
      </c>
      <c r="H6018" s="1">
        <v>414</v>
      </c>
      <c r="I6018" s="3">
        <v>46288</v>
      </c>
      <c r="L6018" s="24">
        <v>46288.609961956019</v>
      </c>
      <c r="M6018" s="2">
        <v>12</v>
      </c>
      <c r="N6018" s="1">
        <v>14</v>
      </c>
    </row>
    <row r="6019" spans="1:14" x14ac:dyDescent="0.25">
      <c r="A6019" t="str">
        <f t="shared" si="190"/>
        <v>78846407884640</v>
      </c>
      <c r="B6019" t="str">
        <f t="shared" si="191"/>
        <v>7884640P60394T-M</v>
      </c>
      <c r="C6019" s="1" t="s">
        <v>49</v>
      </c>
      <c r="D6019" s="1" t="s">
        <v>868</v>
      </c>
      <c r="E6019" s="1" t="s">
        <v>382</v>
      </c>
      <c r="F6019" s="1" t="s">
        <v>383</v>
      </c>
      <c r="G6019" s="1" t="s">
        <v>395</v>
      </c>
      <c r="H6019" s="1">
        <v>414</v>
      </c>
      <c r="I6019" s="3">
        <v>46288</v>
      </c>
      <c r="L6019" s="24">
        <v>46288.61022372685</v>
      </c>
      <c r="M6019" s="2">
        <v>12</v>
      </c>
      <c r="N6019" s="1">
        <v>28</v>
      </c>
    </row>
    <row r="6020" spans="1:14" x14ac:dyDescent="0.25">
      <c r="A6020" t="str">
        <f t="shared" si="190"/>
        <v>78846407884640</v>
      </c>
      <c r="B6020" t="str">
        <f t="shared" si="191"/>
        <v>7884640P60394T-M</v>
      </c>
      <c r="C6020" s="1" t="s">
        <v>49</v>
      </c>
      <c r="D6020" s="1" t="s">
        <v>868</v>
      </c>
      <c r="E6020" s="1" t="s">
        <v>382</v>
      </c>
      <c r="F6020" s="1" t="s">
        <v>383</v>
      </c>
      <c r="G6020" s="1" t="s">
        <v>395</v>
      </c>
      <c r="H6020" s="1">
        <v>414</v>
      </c>
      <c r="I6020" s="3">
        <v>46288</v>
      </c>
      <c r="L6020" s="24">
        <v>46288.617542905093</v>
      </c>
      <c r="M6020" s="2">
        <v>12</v>
      </c>
      <c r="N6020" s="1">
        <v>10</v>
      </c>
    </row>
    <row r="6021" spans="1:14" x14ac:dyDescent="0.25">
      <c r="A6021" t="str">
        <f t="shared" si="190"/>
        <v>78846407884640</v>
      </c>
      <c r="B6021" t="str">
        <f t="shared" si="191"/>
        <v>7884640P60394T-M</v>
      </c>
      <c r="C6021" s="1" t="s">
        <v>49</v>
      </c>
      <c r="D6021" s="1" t="s">
        <v>868</v>
      </c>
      <c r="E6021" s="1" t="s">
        <v>382</v>
      </c>
      <c r="F6021" s="1" t="s">
        <v>383</v>
      </c>
      <c r="G6021" s="1" t="s">
        <v>395</v>
      </c>
      <c r="H6021" s="1">
        <v>414</v>
      </c>
      <c r="I6021" s="3">
        <v>46288</v>
      </c>
      <c r="L6021" s="24">
        <v>46288.618350578705</v>
      </c>
      <c r="M6021" s="2">
        <v>12</v>
      </c>
      <c r="N6021" s="1">
        <v>8</v>
      </c>
    </row>
    <row r="6022" spans="1:14" x14ac:dyDescent="0.25">
      <c r="A6022" t="str">
        <f t="shared" si="190"/>
        <v>78846407884640</v>
      </c>
      <c r="B6022" t="str">
        <f t="shared" si="191"/>
        <v>7884640P60394T-M</v>
      </c>
      <c r="C6022" s="1" t="s">
        <v>49</v>
      </c>
      <c r="D6022" s="1" t="s">
        <v>868</v>
      </c>
      <c r="E6022" s="1" t="s">
        <v>382</v>
      </c>
      <c r="F6022" s="1" t="s">
        <v>383</v>
      </c>
      <c r="G6022" s="1" t="s">
        <v>395</v>
      </c>
      <c r="H6022" s="1">
        <v>414</v>
      </c>
      <c r="I6022" s="3">
        <v>46288</v>
      </c>
      <c r="L6022" s="24">
        <v>46288.61937581018</v>
      </c>
      <c r="M6022" s="2">
        <v>12</v>
      </c>
      <c r="N6022" s="1">
        <v>19</v>
      </c>
    </row>
    <row r="6023" spans="1:14" x14ac:dyDescent="0.25">
      <c r="A6023" t="str">
        <f t="shared" si="190"/>
        <v>78846407884640</v>
      </c>
      <c r="B6023" t="str">
        <f t="shared" si="191"/>
        <v>7884640P60394T-M</v>
      </c>
      <c r="C6023" s="1" t="s">
        <v>49</v>
      </c>
      <c r="D6023" s="1" t="s">
        <v>868</v>
      </c>
      <c r="E6023" s="1" t="s">
        <v>382</v>
      </c>
      <c r="F6023" s="1" t="s">
        <v>383</v>
      </c>
      <c r="G6023" s="1" t="s">
        <v>395</v>
      </c>
      <c r="H6023" s="1">
        <v>414</v>
      </c>
      <c r="I6023" s="3">
        <v>46288</v>
      </c>
      <c r="L6023" s="24">
        <v>46288.62549849537</v>
      </c>
      <c r="M6023" s="2">
        <v>12</v>
      </c>
      <c r="N6023" s="1">
        <v>23</v>
      </c>
    </row>
    <row r="6024" spans="1:14" x14ac:dyDescent="0.25">
      <c r="A6024" t="str">
        <f t="shared" si="190"/>
        <v>78846407884640</v>
      </c>
      <c r="B6024" t="str">
        <f t="shared" si="191"/>
        <v>7884640P60394T-M</v>
      </c>
      <c r="C6024" s="1" t="s">
        <v>49</v>
      </c>
      <c r="D6024" s="1" t="s">
        <v>868</v>
      </c>
      <c r="E6024" s="1" t="s">
        <v>382</v>
      </c>
      <c r="F6024" s="1" t="s">
        <v>383</v>
      </c>
      <c r="G6024" s="1" t="s">
        <v>395</v>
      </c>
      <c r="H6024" s="1">
        <v>414</v>
      </c>
      <c r="I6024" s="3">
        <v>46288</v>
      </c>
      <c r="L6024" s="24">
        <v>46288.633884953699</v>
      </c>
      <c r="M6024" s="2">
        <v>12</v>
      </c>
      <c r="N6024" s="1">
        <v>29</v>
      </c>
    </row>
    <row r="6025" spans="1:14" x14ac:dyDescent="0.25">
      <c r="A6025" t="str">
        <f t="shared" si="190"/>
        <v>78846407884640</v>
      </c>
      <c r="B6025" t="str">
        <f t="shared" si="191"/>
        <v>7884640P60394T-M</v>
      </c>
      <c r="C6025" s="1" t="s">
        <v>49</v>
      </c>
      <c r="D6025" s="1" t="s">
        <v>868</v>
      </c>
      <c r="E6025" s="1" t="s">
        <v>382</v>
      </c>
      <c r="F6025" s="1" t="s">
        <v>383</v>
      </c>
      <c r="G6025" s="1" t="s">
        <v>395</v>
      </c>
      <c r="H6025" s="1">
        <v>414</v>
      </c>
      <c r="I6025" s="3">
        <v>46288</v>
      </c>
      <c r="L6025" s="24">
        <v>46288.644905752313</v>
      </c>
      <c r="M6025" s="2">
        <v>12</v>
      </c>
      <c r="N6025" s="1">
        <v>15</v>
      </c>
    </row>
    <row r="6026" spans="1:14" x14ac:dyDescent="0.25">
      <c r="A6026" t="str">
        <f t="shared" si="190"/>
        <v>78846407884640</v>
      </c>
      <c r="B6026" t="str">
        <f t="shared" si="191"/>
        <v>7884640P60394T-M</v>
      </c>
      <c r="C6026" s="1" t="s">
        <v>49</v>
      </c>
      <c r="D6026" s="1" t="s">
        <v>868</v>
      </c>
      <c r="E6026" s="1" t="s">
        <v>382</v>
      </c>
      <c r="F6026" s="1" t="s">
        <v>383</v>
      </c>
      <c r="G6026" s="1" t="s">
        <v>395</v>
      </c>
      <c r="H6026" s="1">
        <v>414</v>
      </c>
      <c r="I6026" s="3">
        <v>46288</v>
      </c>
      <c r="L6026" s="24">
        <v>46288.654475347219</v>
      </c>
      <c r="M6026" s="2">
        <v>12</v>
      </c>
      <c r="N6026" s="1">
        <v>24</v>
      </c>
    </row>
    <row r="6027" spans="1:14" x14ac:dyDescent="0.25">
      <c r="A6027" t="str">
        <f t="shared" si="190"/>
        <v>78846407884640</v>
      </c>
      <c r="B6027" t="str">
        <f t="shared" si="191"/>
        <v>7884640P60394T-M</v>
      </c>
      <c r="C6027" s="1" t="s">
        <v>49</v>
      </c>
      <c r="D6027" s="1" t="s">
        <v>868</v>
      </c>
      <c r="E6027" s="1" t="s">
        <v>382</v>
      </c>
      <c r="F6027" s="1" t="s">
        <v>383</v>
      </c>
      <c r="G6027" s="1" t="s">
        <v>395</v>
      </c>
      <c r="H6027" s="1">
        <v>414</v>
      </c>
      <c r="I6027" s="3">
        <v>46288</v>
      </c>
      <c r="L6027" s="24">
        <v>46288.661425659717</v>
      </c>
      <c r="M6027" s="2">
        <v>12</v>
      </c>
      <c r="N6027" s="1">
        <v>31</v>
      </c>
    </row>
    <row r="6028" spans="1:14" x14ac:dyDescent="0.25">
      <c r="A6028" t="str">
        <f t="shared" si="190"/>
        <v>78846407884640</v>
      </c>
      <c r="B6028" t="str">
        <f t="shared" si="191"/>
        <v>7884640P60394T-M</v>
      </c>
      <c r="C6028" s="1" t="s">
        <v>49</v>
      </c>
      <c r="D6028" s="1" t="s">
        <v>868</v>
      </c>
      <c r="E6028" s="1" t="s">
        <v>382</v>
      </c>
      <c r="F6028" s="1" t="s">
        <v>383</v>
      </c>
      <c r="G6028" s="1" t="s">
        <v>395</v>
      </c>
      <c r="H6028" s="1">
        <v>414</v>
      </c>
      <c r="I6028" s="3">
        <v>46288</v>
      </c>
      <c r="L6028" s="24">
        <v>46288.671185995372</v>
      </c>
      <c r="M6028" s="2">
        <v>12</v>
      </c>
      <c r="N6028" s="1">
        <v>16</v>
      </c>
    </row>
    <row r="6029" spans="1:14" x14ac:dyDescent="0.25">
      <c r="A6029" t="str">
        <f t="shared" si="190"/>
        <v>78846407884640</v>
      </c>
      <c r="B6029" t="str">
        <f t="shared" si="191"/>
        <v>7884640P60394T-M</v>
      </c>
      <c r="C6029" s="1" t="s">
        <v>49</v>
      </c>
      <c r="D6029" s="1" t="s">
        <v>868</v>
      </c>
      <c r="E6029" s="1" t="s">
        <v>382</v>
      </c>
      <c r="F6029" s="1" t="s">
        <v>383</v>
      </c>
      <c r="G6029" s="1" t="s">
        <v>395</v>
      </c>
      <c r="H6029" s="1">
        <v>414</v>
      </c>
      <c r="I6029" s="3">
        <v>46288</v>
      </c>
      <c r="L6029" s="24">
        <v>46288.676570601849</v>
      </c>
      <c r="M6029" s="2">
        <v>12</v>
      </c>
      <c r="N6029" s="1">
        <v>26</v>
      </c>
    </row>
    <row r="6030" spans="1:14" x14ac:dyDescent="0.25">
      <c r="A6030" t="str">
        <f t="shared" si="190"/>
        <v>78846407884640</v>
      </c>
      <c r="B6030" t="str">
        <f t="shared" si="191"/>
        <v>7884640P60394T-M</v>
      </c>
      <c r="C6030" s="1" t="s">
        <v>49</v>
      </c>
      <c r="D6030" s="1" t="s">
        <v>868</v>
      </c>
      <c r="E6030" s="1" t="s">
        <v>382</v>
      </c>
      <c r="F6030" s="1" t="s">
        <v>383</v>
      </c>
      <c r="G6030" s="1" t="s">
        <v>395</v>
      </c>
      <c r="H6030" s="1">
        <v>414</v>
      </c>
      <c r="I6030" s="3">
        <v>46288</v>
      </c>
      <c r="L6030" s="24">
        <v>46288.681471446755</v>
      </c>
      <c r="M6030" s="2">
        <v>12</v>
      </c>
      <c r="N6030" s="1">
        <v>12</v>
      </c>
    </row>
    <row r="6031" spans="1:14" x14ac:dyDescent="0.25">
      <c r="A6031" t="str">
        <f t="shared" si="190"/>
        <v>78846407884640</v>
      </c>
      <c r="B6031" t="str">
        <f t="shared" si="191"/>
        <v>7884640P60394T-M</v>
      </c>
      <c r="C6031" s="1" t="s">
        <v>49</v>
      </c>
      <c r="D6031" s="1" t="s">
        <v>868</v>
      </c>
      <c r="E6031" s="1" t="s">
        <v>382</v>
      </c>
      <c r="F6031" s="1" t="s">
        <v>383</v>
      </c>
      <c r="G6031" s="1" t="s">
        <v>395</v>
      </c>
      <c r="H6031" s="1">
        <v>414</v>
      </c>
      <c r="I6031" s="3">
        <v>46288</v>
      </c>
      <c r="L6031" s="24">
        <v>46288.693821608795</v>
      </c>
      <c r="M6031" s="2">
        <v>12</v>
      </c>
      <c r="N6031" s="1">
        <v>4</v>
      </c>
    </row>
    <row r="6032" spans="1:14" x14ac:dyDescent="0.25">
      <c r="A6032" t="str">
        <f t="shared" si="190"/>
        <v>78846407884640</v>
      </c>
      <c r="B6032" t="str">
        <f t="shared" si="191"/>
        <v>7884640P60394T-M</v>
      </c>
      <c r="C6032" s="1" t="s">
        <v>49</v>
      </c>
      <c r="D6032" s="1" t="s">
        <v>868</v>
      </c>
      <c r="E6032" s="1" t="s">
        <v>382</v>
      </c>
      <c r="F6032" s="1" t="s">
        <v>383</v>
      </c>
      <c r="G6032" s="1" t="s">
        <v>395</v>
      </c>
      <c r="H6032" s="1">
        <v>414</v>
      </c>
      <c r="I6032" s="3">
        <v>46288</v>
      </c>
      <c r="L6032" s="24">
        <v>46288.70654702546</v>
      </c>
      <c r="M6032" s="2">
        <v>12</v>
      </c>
      <c r="N6032" s="1">
        <v>30</v>
      </c>
    </row>
    <row r="6033" spans="1:14" x14ac:dyDescent="0.25">
      <c r="A6033" t="str">
        <f t="shared" si="190"/>
        <v>78846407884640</v>
      </c>
      <c r="B6033" t="str">
        <f t="shared" si="191"/>
        <v>7884640P60394T-M</v>
      </c>
      <c r="C6033" s="1" t="s">
        <v>49</v>
      </c>
      <c r="D6033" s="1" t="s">
        <v>868</v>
      </c>
      <c r="E6033" s="1" t="s">
        <v>382</v>
      </c>
      <c r="F6033" s="1" t="s">
        <v>383</v>
      </c>
      <c r="G6033" s="1" t="s">
        <v>395</v>
      </c>
      <c r="H6033" s="1">
        <v>414</v>
      </c>
      <c r="I6033" s="3">
        <v>46288</v>
      </c>
      <c r="L6033" s="24">
        <v>46288.725841319443</v>
      </c>
      <c r="M6033" s="2">
        <v>12</v>
      </c>
      <c r="N6033" s="1">
        <v>25</v>
      </c>
    </row>
    <row r="6034" spans="1:14" x14ac:dyDescent="0.25">
      <c r="A6034" t="str">
        <f t="shared" si="190"/>
        <v>78846407884640</v>
      </c>
      <c r="B6034" t="str">
        <f t="shared" si="191"/>
        <v>7884640P60394T-M</v>
      </c>
      <c r="C6034" s="1" t="s">
        <v>49</v>
      </c>
      <c r="D6034" s="1" t="s">
        <v>868</v>
      </c>
      <c r="E6034" s="1" t="s">
        <v>382</v>
      </c>
      <c r="F6034" s="1" t="s">
        <v>383</v>
      </c>
      <c r="G6034" s="1" t="s">
        <v>395</v>
      </c>
      <c r="H6034" s="1">
        <v>414</v>
      </c>
      <c r="I6034" s="3">
        <v>46288</v>
      </c>
      <c r="L6034" s="24">
        <v>46288.757182673609</v>
      </c>
      <c r="M6034" s="2">
        <v>12</v>
      </c>
      <c r="N6034" s="1">
        <v>17</v>
      </c>
    </row>
    <row r="6035" spans="1:14" x14ac:dyDescent="0.25">
      <c r="A6035" t="str">
        <f t="shared" si="190"/>
        <v>78846407884640</v>
      </c>
      <c r="B6035" t="str">
        <f t="shared" si="191"/>
        <v>7884640P60394T-M</v>
      </c>
      <c r="C6035" s="1" t="s">
        <v>49</v>
      </c>
      <c r="D6035" s="1" t="s">
        <v>868</v>
      </c>
      <c r="E6035" s="1" t="s">
        <v>382</v>
      </c>
      <c r="F6035" s="1" t="s">
        <v>383</v>
      </c>
      <c r="G6035" s="1" t="s">
        <v>395</v>
      </c>
      <c r="H6035" s="1">
        <v>414</v>
      </c>
      <c r="I6035" s="3">
        <v>46288</v>
      </c>
      <c r="L6035" s="24">
        <v>46288.764218865741</v>
      </c>
      <c r="M6035" s="2">
        <v>12</v>
      </c>
      <c r="N6035" s="1">
        <v>7</v>
      </c>
    </row>
    <row r="6036" spans="1:14" x14ac:dyDescent="0.25">
      <c r="A6036" t="str">
        <f t="shared" si="190"/>
        <v>78855607885560</v>
      </c>
      <c r="B6036" t="str">
        <f t="shared" si="191"/>
        <v>7885560G6035F4-M</v>
      </c>
      <c r="C6036" s="1" t="s">
        <v>24</v>
      </c>
      <c r="D6036" s="1" t="s">
        <v>869</v>
      </c>
      <c r="E6036" s="1" t="s">
        <v>382</v>
      </c>
      <c r="F6036" s="1" t="s">
        <v>383</v>
      </c>
      <c r="G6036" s="1" t="s">
        <v>395</v>
      </c>
      <c r="H6036" s="1">
        <v>714</v>
      </c>
      <c r="I6036" s="3">
        <v>46288</v>
      </c>
      <c r="L6036" s="24">
        <v>46288.610081562496</v>
      </c>
      <c r="M6036" s="2">
        <v>12</v>
      </c>
      <c r="N6036" s="1">
        <v>14</v>
      </c>
    </row>
    <row r="6037" spans="1:14" x14ac:dyDescent="0.25">
      <c r="A6037" t="str">
        <f t="shared" si="190"/>
        <v>78855607885560</v>
      </c>
      <c r="B6037" t="str">
        <f t="shared" si="191"/>
        <v>7885560G6035F4-M</v>
      </c>
      <c r="C6037" s="1" t="s">
        <v>24</v>
      </c>
      <c r="D6037" s="1" t="s">
        <v>869</v>
      </c>
      <c r="E6037" s="1" t="s">
        <v>382</v>
      </c>
      <c r="F6037" s="1" t="s">
        <v>383</v>
      </c>
      <c r="G6037" s="1" t="s">
        <v>395</v>
      </c>
      <c r="H6037" s="1">
        <v>714</v>
      </c>
      <c r="I6037" s="3">
        <v>46288</v>
      </c>
      <c r="L6037" s="24">
        <v>46288.628346331017</v>
      </c>
      <c r="M6037" s="2">
        <v>12</v>
      </c>
      <c r="N6037" s="1">
        <v>43</v>
      </c>
    </row>
    <row r="6038" spans="1:14" x14ac:dyDescent="0.25">
      <c r="A6038" t="str">
        <f t="shared" si="190"/>
        <v>78855607885560</v>
      </c>
      <c r="B6038" t="str">
        <f t="shared" si="191"/>
        <v>7885560G6035F4-M</v>
      </c>
      <c r="C6038" s="1" t="s">
        <v>24</v>
      </c>
      <c r="D6038" s="1" t="s">
        <v>869</v>
      </c>
      <c r="E6038" s="1" t="s">
        <v>382</v>
      </c>
      <c r="F6038" s="1" t="s">
        <v>383</v>
      </c>
      <c r="G6038" s="1" t="s">
        <v>395</v>
      </c>
      <c r="H6038" s="1">
        <v>714</v>
      </c>
      <c r="I6038" s="3">
        <v>46288</v>
      </c>
      <c r="L6038" s="24">
        <v>46288.630006562496</v>
      </c>
      <c r="M6038" s="2">
        <v>12</v>
      </c>
      <c r="N6038" s="1">
        <v>2</v>
      </c>
    </row>
    <row r="6039" spans="1:14" x14ac:dyDescent="0.25">
      <c r="A6039" t="str">
        <f t="shared" si="190"/>
        <v>78855607885560</v>
      </c>
      <c r="B6039" t="str">
        <f t="shared" si="191"/>
        <v>7885560G6035F4-M</v>
      </c>
      <c r="C6039" s="1" t="s">
        <v>24</v>
      </c>
      <c r="D6039" s="1" t="s">
        <v>869</v>
      </c>
      <c r="E6039" s="1" t="s">
        <v>382</v>
      </c>
      <c r="F6039" s="1" t="s">
        <v>383</v>
      </c>
      <c r="G6039" s="1" t="s">
        <v>395</v>
      </c>
      <c r="H6039" s="1">
        <v>714</v>
      </c>
      <c r="I6039" s="3">
        <v>46288</v>
      </c>
      <c r="L6039" s="24">
        <v>46288.633886226853</v>
      </c>
      <c r="M6039" s="2">
        <v>12</v>
      </c>
      <c r="N6039" s="1">
        <v>24</v>
      </c>
    </row>
    <row r="6040" spans="1:14" x14ac:dyDescent="0.25">
      <c r="A6040" t="str">
        <f t="shared" si="190"/>
        <v>78855607885560</v>
      </c>
      <c r="B6040" t="str">
        <f t="shared" si="191"/>
        <v>7885560G6035F4-M</v>
      </c>
      <c r="C6040" s="1" t="s">
        <v>24</v>
      </c>
      <c r="D6040" s="1" t="s">
        <v>869</v>
      </c>
      <c r="E6040" s="1" t="s">
        <v>382</v>
      </c>
      <c r="F6040" s="1" t="s">
        <v>383</v>
      </c>
      <c r="G6040" s="1" t="s">
        <v>395</v>
      </c>
      <c r="H6040" s="1">
        <v>714</v>
      </c>
      <c r="I6040" s="3">
        <v>46288</v>
      </c>
      <c r="L6040" s="24">
        <v>46288.635048263888</v>
      </c>
      <c r="M6040" s="2">
        <v>12</v>
      </c>
      <c r="N6040" s="1">
        <v>54</v>
      </c>
    </row>
    <row r="6041" spans="1:14" x14ac:dyDescent="0.25">
      <c r="A6041" t="str">
        <f t="shared" si="190"/>
        <v>78855607885560</v>
      </c>
      <c r="B6041" t="str">
        <f t="shared" si="191"/>
        <v>7885560G6035F4-M</v>
      </c>
      <c r="C6041" s="1" t="s">
        <v>24</v>
      </c>
      <c r="D6041" s="1" t="s">
        <v>869</v>
      </c>
      <c r="E6041" s="1" t="s">
        <v>382</v>
      </c>
      <c r="F6041" s="1" t="s">
        <v>383</v>
      </c>
      <c r="G6041" s="1" t="s">
        <v>395</v>
      </c>
      <c r="H6041" s="1">
        <v>714</v>
      </c>
      <c r="I6041" s="3">
        <v>46288</v>
      </c>
      <c r="L6041" s="24">
        <v>46288.660450810181</v>
      </c>
      <c r="M6041" s="2">
        <v>12</v>
      </c>
      <c r="N6041" s="1">
        <v>13</v>
      </c>
    </row>
    <row r="6042" spans="1:14" x14ac:dyDescent="0.25">
      <c r="A6042" t="str">
        <f t="shared" si="190"/>
        <v>78855607885560</v>
      </c>
      <c r="B6042" t="str">
        <f t="shared" si="191"/>
        <v>7885560G6035F4-M</v>
      </c>
      <c r="C6042" s="1" t="s">
        <v>24</v>
      </c>
      <c r="D6042" s="1" t="s">
        <v>869</v>
      </c>
      <c r="E6042" s="1" t="s">
        <v>382</v>
      </c>
      <c r="F6042" s="1" t="s">
        <v>383</v>
      </c>
      <c r="G6042" s="1" t="s">
        <v>395</v>
      </c>
      <c r="H6042" s="1">
        <v>714</v>
      </c>
      <c r="I6042" s="3">
        <v>46288</v>
      </c>
      <c r="L6042" s="24">
        <v>46288.660851469904</v>
      </c>
      <c r="M6042" s="2">
        <v>12</v>
      </c>
      <c r="N6042" s="1">
        <v>27</v>
      </c>
    </row>
    <row r="6043" spans="1:14" x14ac:dyDescent="0.25">
      <c r="A6043" t="str">
        <f t="shared" si="190"/>
        <v>78855607885560</v>
      </c>
      <c r="B6043" t="str">
        <f t="shared" si="191"/>
        <v>7885560G6035F4-M</v>
      </c>
      <c r="C6043" s="1" t="s">
        <v>24</v>
      </c>
      <c r="D6043" s="1" t="s">
        <v>869</v>
      </c>
      <c r="E6043" s="1" t="s">
        <v>382</v>
      </c>
      <c r="F6043" s="1" t="s">
        <v>383</v>
      </c>
      <c r="G6043" s="1" t="s">
        <v>395</v>
      </c>
      <c r="H6043" s="1">
        <v>714</v>
      </c>
      <c r="I6043" s="3">
        <v>46288</v>
      </c>
      <c r="L6043" s="24">
        <v>46288.661283449073</v>
      </c>
      <c r="M6043" s="2">
        <v>12</v>
      </c>
      <c r="N6043" s="1">
        <v>25</v>
      </c>
    </row>
    <row r="6044" spans="1:14" x14ac:dyDescent="0.25">
      <c r="A6044" t="str">
        <f t="shared" si="190"/>
        <v>78855607885560</v>
      </c>
      <c r="B6044" t="str">
        <f t="shared" si="191"/>
        <v>7885560G6035F4-M</v>
      </c>
      <c r="C6044" s="1" t="s">
        <v>24</v>
      </c>
      <c r="D6044" s="1" t="s">
        <v>869</v>
      </c>
      <c r="E6044" s="1" t="s">
        <v>382</v>
      </c>
      <c r="F6044" s="1" t="s">
        <v>383</v>
      </c>
      <c r="G6044" s="1" t="s">
        <v>395</v>
      </c>
      <c r="H6044" s="1">
        <v>714</v>
      </c>
      <c r="I6044" s="3">
        <v>46288</v>
      </c>
      <c r="L6044" s="24">
        <v>46288.661756215275</v>
      </c>
      <c r="M6044" s="2">
        <v>12</v>
      </c>
      <c r="N6044" s="1">
        <v>5</v>
      </c>
    </row>
    <row r="6045" spans="1:14" x14ac:dyDescent="0.25">
      <c r="A6045" t="str">
        <f t="shared" si="190"/>
        <v>78855607885560</v>
      </c>
      <c r="B6045" t="str">
        <f t="shared" si="191"/>
        <v>7885560G6035F4-M</v>
      </c>
      <c r="C6045" s="1" t="s">
        <v>24</v>
      </c>
      <c r="D6045" s="1" t="s">
        <v>869</v>
      </c>
      <c r="E6045" s="1" t="s">
        <v>382</v>
      </c>
      <c r="F6045" s="1" t="s">
        <v>383</v>
      </c>
      <c r="G6045" s="1" t="s">
        <v>395</v>
      </c>
      <c r="H6045" s="1">
        <v>714</v>
      </c>
      <c r="I6045" s="3">
        <v>46288</v>
      </c>
      <c r="L6045" s="24">
        <v>46288.661932719908</v>
      </c>
      <c r="M6045" s="2">
        <v>12</v>
      </c>
      <c r="N6045" s="1">
        <v>23</v>
      </c>
    </row>
    <row r="6046" spans="1:14" x14ac:dyDescent="0.25">
      <c r="A6046" t="str">
        <f t="shared" si="190"/>
        <v>78855607885560</v>
      </c>
      <c r="B6046" t="str">
        <f t="shared" si="191"/>
        <v>7885560G6035F4-M</v>
      </c>
      <c r="C6046" s="1" t="s">
        <v>24</v>
      </c>
      <c r="D6046" s="1" t="s">
        <v>869</v>
      </c>
      <c r="E6046" s="1" t="s">
        <v>382</v>
      </c>
      <c r="F6046" s="1" t="s">
        <v>383</v>
      </c>
      <c r="G6046" s="1" t="s">
        <v>395</v>
      </c>
      <c r="H6046" s="1">
        <v>714</v>
      </c>
      <c r="I6046" s="3">
        <v>46288</v>
      </c>
      <c r="L6046" s="24">
        <v>46288.665171493056</v>
      </c>
      <c r="M6046" s="2">
        <v>12</v>
      </c>
      <c r="N6046" s="1">
        <v>1</v>
      </c>
    </row>
    <row r="6047" spans="1:14" x14ac:dyDescent="0.25">
      <c r="A6047" t="str">
        <f t="shared" si="190"/>
        <v>78855607885560</v>
      </c>
      <c r="B6047" t="str">
        <f t="shared" si="191"/>
        <v>7885560G6035F4-M</v>
      </c>
      <c r="C6047" s="1" t="s">
        <v>24</v>
      </c>
      <c r="D6047" s="1" t="s">
        <v>869</v>
      </c>
      <c r="E6047" s="1" t="s">
        <v>382</v>
      </c>
      <c r="F6047" s="1" t="s">
        <v>383</v>
      </c>
      <c r="G6047" s="1" t="s">
        <v>395</v>
      </c>
      <c r="H6047" s="1">
        <v>714</v>
      </c>
      <c r="I6047" s="3">
        <v>46288</v>
      </c>
      <c r="L6047" s="24">
        <v>46288.665604942129</v>
      </c>
      <c r="M6047" s="2">
        <v>12</v>
      </c>
      <c r="N6047" s="1">
        <v>57</v>
      </c>
    </row>
    <row r="6048" spans="1:14" x14ac:dyDescent="0.25">
      <c r="A6048" t="str">
        <f t="shared" si="190"/>
        <v>78855607885560</v>
      </c>
      <c r="B6048" t="str">
        <f t="shared" si="191"/>
        <v>7885560G6035F4-M</v>
      </c>
      <c r="C6048" s="1" t="s">
        <v>24</v>
      </c>
      <c r="D6048" s="1" t="s">
        <v>869</v>
      </c>
      <c r="E6048" s="1" t="s">
        <v>382</v>
      </c>
      <c r="F6048" s="1" t="s">
        <v>383</v>
      </c>
      <c r="G6048" s="1" t="s">
        <v>395</v>
      </c>
      <c r="H6048" s="1">
        <v>714</v>
      </c>
      <c r="I6048" s="3">
        <v>46288</v>
      </c>
      <c r="L6048" s="24">
        <v>46288.672818634259</v>
      </c>
      <c r="M6048" s="2">
        <v>12</v>
      </c>
      <c r="N6048" s="1">
        <v>44</v>
      </c>
    </row>
    <row r="6049" spans="1:14" x14ac:dyDescent="0.25">
      <c r="A6049" t="str">
        <f t="shared" si="190"/>
        <v>78855607885560</v>
      </c>
      <c r="B6049" t="str">
        <f t="shared" si="191"/>
        <v>7885560G6035F4-M</v>
      </c>
      <c r="C6049" s="1" t="s">
        <v>24</v>
      </c>
      <c r="D6049" s="1" t="s">
        <v>869</v>
      </c>
      <c r="E6049" s="1" t="s">
        <v>382</v>
      </c>
      <c r="F6049" s="1" t="s">
        <v>383</v>
      </c>
      <c r="G6049" s="1" t="s">
        <v>395</v>
      </c>
      <c r="H6049" s="1">
        <v>714</v>
      </c>
      <c r="I6049" s="3">
        <v>46288</v>
      </c>
      <c r="L6049" s="24">
        <v>46288.673228125001</v>
      </c>
      <c r="M6049" s="2">
        <v>12</v>
      </c>
      <c r="N6049" s="1">
        <v>33</v>
      </c>
    </row>
    <row r="6050" spans="1:14" x14ac:dyDescent="0.25">
      <c r="A6050" t="str">
        <f t="shared" si="190"/>
        <v>78855607885560</v>
      </c>
      <c r="B6050" t="str">
        <f t="shared" si="191"/>
        <v>7885560G6035F4-M</v>
      </c>
      <c r="C6050" s="1" t="s">
        <v>24</v>
      </c>
      <c r="D6050" s="1" t="s">
        <v>869</v>
      </c>
      <c r="E6050" s="1" t="s">
        <v>382</v>
      </c>
      <c r="F6050" s="1" t="s">
        <v>383</v>
      </c>
      <c r="G6050" s="1" t="s">
        <v>395</v>
      </c>
      <c r="H6050" s="1">
        <v>714</v>
      </c>
      <c r="I6050" s="3">
        <v>46288</v>
      </c>
      <c r="L6050" s="24">
        <v>46288.673518020834</v>
      </c>
      <c r="M6050" s="2">
        <v>12</v>
      </c>
      <c r="N6050" s="1">
        <v>26</v>
      </c>
    </row>
    <row r="6051" spans="1:14" x14ac:dyDescent="0.25">
      <c r="A6051" t="str">
        <f t="shared" si="190"/>
        <v>78855607885560</v>
      </c>
      <c r="B6051" t="str">
        <f t="shared" si="191"/>
        <v>7885560G6035F4-M</v>
      </c>
      <c r="C6051" s="1" t="s">
        <v>24</v>
      </c>
      <c r="D6051" s="1" t="s">
        <v>869</v>
      </c>
      <c r="E6051" s="1" t="s">
        <v>382</v>
      </c>
      <c r="F6051" s="1" t="s">
        <v>383</v>
      </c>
      <c r="G6051" s="1" t="s">
        <v>395</v>
      </c>
      <c r="H6051" s="1">
        <v>714</v>
      </c>
      <c r="I6051" s="3">
        <v>46288</v>
      </c>
      <c r="L6051" s="24">
        <v>46288.673687650458</v>
      </c>
      <c r="M6051" s="2">
        <v>12</v>
      </c>
      <c r="N6051" s="1">
        <v>4</v>
      </c>
    </row>
    <row r="6052" spans="1:14" x14ac:dyDescent="0.25">
      <c r="A6052" t="str">
        <f t="shared" si="190"/>
        <v>78855607885560</v>
      </c>
      <c r="B6052" t="str">
        <f t="shared" si="191"/>
        <v>7885560G6035F4-M</v>
      </c>
      <c r="C6052" s="1" t="s">
        <v>24</v>
      </c>
      <c r="D6052" s="1" t="s">
        <v>869</v>
      </c>
      <c r="E6052" s="1" t="s">
        <v>382</v>
      </c>
      <c r="F6052" s="1" t="s">
        <v>383</v>
      </c>
      <c r="G6052" s="1" t="s">
        <v>395</v>
      </c>
      <c r="H6052" s="1">
        <v>714</v>
      </c>
      <c r="I6052" s="3">
        <v>46288</v>
      </c>
      <c r="L6052" s="24">
        <v>46288.685553437499</v>
      </c>
      <c r="M6052" s="2">
        <v>12</v>
      </c>
      <c r="N6052" s="1">
        <v>45</v>
      </c>
    </row>
    <row r="6053" spans="1:14" x14ac:dyDescent="0.25">
      <c r="A6053" t="str">
        <f t="shared" si="190"/>
        <v>78855607885560</v>
      </c>
      <c r="B6053" t="str">
        <f t="shared" si="191"/>
        <v>7885560G6035F4-M</v>
      </c>
      <c r="C6053" s="1" t="s">
        <v>24</v>
      </c>
      <c r="D6053" s="1" t="s">
        <v>869</v>
      </c>
      <c r="E6053" s="1" t="s">
        <v>382</v>
      </c>
      <c r="F6053" s="1" t="s">
        <v>383</v>
      </c>
      <c r="G6053" s="1" t="s">
        <v>395</v>
      </c>
      <c r="H6053" s="1">
        <v>714</v>
      </c>
      <c r="I6053" s="3">
        <v>46288</v>
      </c>
      <c r="L6053" s="24">
        <v>46288.685741782407</v>
      </c>
      <c r="M6053" s="2">
        <v>12</v>
      </c>
      <c r="N6053" s="1">
        <v>56</v>
      </c>
    </row>
    <row r="6054" spans="1:14" x14ac:dyDescent="0.25">
      <c r="A6054" t="str">
        <f t="shared" si="190"/>
        <v>78855607885560</v>
      </c>
      <c r="B6054" t="str">
        <f t="shared" si="191"/>
        <v>7885560G6035F4-M</v>
      </c>
      <c r="C6054" s="1" t="s">
        <v>24</v>
      </c>
      <c r="D6054" s="1" t="s">
        <v>869</v>
      </c>
      <c r="E6054" s="1" t="s">
        <v>382</v>
      </c>
      <c r="F6054" s="1" t="s">
        <v>383</v>
      </c>
      <c r="G6054" s="1" t="s">
        <v>395</v>
      </c>
      <c r="H6054" s="1">
        <v>714</v>
      </c>
      <c r="I6054" s="3">
        <v>46288</v>
      </c>
      <c r="L6054" s="24">
        <v>46288.686281979164</v>
      </c>
      <c r="M6054" s="2">
        <v>12</v>
      </c>
      <c r="N6054" s="1">
        <v>28</v>
      </c>
    </row>
    <row r="6055" spans="1:14" x14ac:dyDescent="0.25">
      <c r="A6055" t="str">
        <f t="shared" si="190"/>
        <v>78855607885560</v>
      </c>
      <c r="B6055" t="str">
        <f t="shared" si="191"/>
        <v>7885560G6035F4-M</v>
      </c>
      <c r="C6055" s="1" t="s">
        <v>24</v>
      </c>
      <c r="D6055" s="1" t="s">
        <v>869</v>
      </c>
      <c r="E6055" s="1" t="s">
        <v>382</v>
      </c>
      <c r="F6055" s="1" t="s">
        <v>383</v>
      </c>
      <c r="G6055" s="1" t="s">
        <v>395</v>
      </c>
      <c r="H6055" s="1">
        <v>714</v>
      </c>
      <c r="I6055" s="3">
        <v>46288</v>
      </c>
      <c r="L6055" s="24">
        <v>46288.686449918976</v>
      </c>
      <c r="M6055" s="2">
        <v>12</v>
      </c>
      <c r="N6055" s="1">
        <v>15</v>
      </c>
    </row>
    <row r="6056" spans="1:14" x14ac:dyDescent="0.25">
      <c r="A6056" t="str">
        <f t="shared" si="190"/>
        <v>78855607885560</v>
      </c>
      <c r="B6056" t="str">
        <f t="shared" si="191"/>
        <v>7885560G6035F4-M</v>
      </c>
      <c r="C6056" s="1" t="s">
        <v>24</v>
      </c>
      <c r="D6056" s="1" t="s">
        <v>869</v>
      </c>
      <c r="E6056" s="1" t="s">
        <v>382</v>
      </c>
      <c r="F6056" s="1" t="s">
        <v>383</v>
      </c>
      <c r="G6056" s="1" t="s">
        <v>395</v>
      </c>
      <c r="H6056" s="1">
        <v>714</v>
      </c>
      <c r="I6056" s="3">
        <v>46288</v>
      </c>
      <c r="L6056" s="24">
        <v>46288.6866753125</v>
      </c>
      <c r="M6056" s="2">
        <v>12</v>
      </c>
      <c r="N6056" s="1">
        <v>22</v>
      </c>
    </row>
    <row r="6057" spans="1:14" x14ac:dyDescent="0.25">
      <c r="A6057" t="str">
        <f t="shared" si="190"/>
        <v>78855607885560</v>
      </c>
      <c r="B6057" t="str">
        <f t="shared" si="191"/>
        <v>7885560G6035F4-M</v>
      </c>
      <c r="C6057" s="1" t="s">
        <v>24</v>
      </c>
      <c r="D6057" s="1" t="s">
        <v>869</v>
      </c>
      <c r="E6057" s="1" t="s">
        <v>382</v>
      </c>
      <c r="F6057" s="1" t="s">
        <v>383</v>
      </c>
      <c r="G6057" s="1" t="s">
        <v>395</v>
      </c>
      <c r="H6057" s="1">
        <v>714</v>
      </c>
      <c r="I6057" s="3">
        <v>46288</v>
      </c>
      <c r="L6057" s="24">
        <v>46288.687773807869</v>
      </c>
      <c r="M6057" s="2">
        <v>12</v>
      </c>
      <c r="N6057" s="1">
        <v>8</v>
      </c>
    </row>
    <row r="6058" spans="1:14" x14ac:dyDescent="0.25">
      <c r="A6058" t="str">
        <f t="shared" si="190"/>
        <v>78855607885560</v>
      </c>
      <c r="B6058" t="str">
        <f t="shared" si="191"/>
        <v>7885560G6035F4-M</v>
      </c>
      <c r="C6058" s="1" t="s">
        <v>24</v>
      </c>
      <c r="D6058" s="1" t="s">
        <v>869</v>
      </c>
      <c r="E6058" s="1" t="s">
        <v>382</v>
      </c>
      <c r="F6058" s="1" t="s">
        <v>383</v>
      </c>
      <c r="G6058" s="1" t="s">
        <v>395</v>
      </c>
      <c r="H6058" s="1">
        <v>714</v>
      </c>
      <c r="I6058" s="3">
        <v>46288</v>
      </c>
      <c r="L6058" s="24">
        <v>46288.691917048607</v>
      </c>
      <c r="M6058" s="2">
        <v>12</v>
      </c>
      <c r="N6058" s="1">
        <v>55</v>
      </c>
    </row>
    <row r="6059" spans="1:14" x14ac:dyDescent="0.25">
      <c r="A6059" t="str">
        <f t="shared" si="190"/>
        <v>78855607885560</v>
      </c>
      <c r="B6059" t="str">
        <f t="shared" si="191"/>
        <v>7885560G6035F4-M</v>
      </c>
      <c r="C6059" s="1" t="s">
        <v>24</v>
      </c>
      <c r="D6059" s="1" t="s">
        <v>869</v>
      </c>
      <c r="E6059" s="1" t="s">
        <v>382</v>
      </c>
      <c r="F6059" s="1" t="s">
        <v>383</v>
      </c>
      <c r="G6059" s="1" t="s">
        <v>395</v>
      </c>
      <c r="H6059" s="1">
        <v>714</v>
      </c>
      <c r="I6059" s="3">
        <v>46288</v>
      </c>
      <c r="L6059" s="24">
        <v>46288.697589930554</v>
      </c>
      <c r="M6059" s="2">
        <v>12</v>
      </c>
      <c r="N6059" s="1">
        <v>7</v>
      </c>
    </row>
    <row r="6060" spans="1:14" x14ac:dyDescent="0.25">
      <c r="A6060" t="str">
        <f t="shared" si="190"/>
        <v>78855607885560</v>
      </c>
      <c r="B6060" t="str">
        <f t="shared" si="191"/>
        <v>7885560G6035F4-M</v>
      </c>
      <c r="C6060" s="1" t="s">
        <v>24</v>
      </c>
      <c r="D6060" s="1" t="s">
        <v>869</v>
      </c>
      <c r="E6060" s="1" t="s">
        <v>382</v>
      </c>
      <c r="F6060" s="1" t="s">
        <v>383</v>
      </c>
      <c r="G6060" s="1" t="s">
        <v>395</v>
      </c>
      <c r="H6060" s="1">
        <v>714</v>
      </c>
      <c r="I6060" s="3">
        <v>46288</v>
      </c>
      <c r="L6060" s="24">
        <v>46288.703470682871</v>
      </c>
      <c r="M6060" s="2">
        <v>12</v>
      </c>
      <c r="N6060" s="1">
        <v>21</v>
      </c>
    </row>
    <row r="6061" spans="1:14" x14ac:dyDescent="0.25">
      <c r="A6061" t="str">
        <f t="shared" si="190"/>
        <v>78855607885560</v>
      </c>
      <c r="B6061" t="str">
        <f t="shared" si="191"/>
        <v>7885560G6035F4-M</v>
      </c>
      <c r="C6061" s="1" t="s">
        <v>24</v>
      </c>
      <c r="D6061" s="1" t="s">
        <v>869</v>
      </c>
      <c r="E6061" s="1" t="s">
        <v>382</v>
      </c>
      <c r="F6061" s="1" t="s">
        <v>383</v>
      </c>
      <c r="G6061" s="1" t="s">
        <v>395</v>
      </c>
      <c r="H6061" s="1">
        <v>714</v>
      </c>
      <c r="I6061" s="3">
        <v>46288</v>
      </c>
      <c r="L6061" s="24">
        <v>46288.705095335645</v>
      </c>
      <c r="M6061" s="2">
        <v>12</v>
      </c>
      <c r="N6061" s="1">
        <v>58</v>
      </c>
    </row>
    <row r="6062" spans="1:14" x14ac:dyDescent="0.25">
      <c r="A6062" t="str">
        <f t="shared" si="190"/>
        <v>78855607885560</v>
      </c>
      <c r="B6062" t="str">
        <f t="shared" si="191"/>
        <v>7885560G6035F4-M</v>
      </c>
      <c r="C6062" s="1" t="s">
        <v>24</v>
      </c>
      <c r="D6062" s="1" t="s">
        <v>869</v>
      </c>
      <c r="E6062" s="1" t="s">
        <v>382</v>
      </c>
      <c r="F6062" s="1" t="s">
        <v>383</v>
      </c>
      <c r="G6062" s="1" t="s">
        <v>395</v>
      </c>
      <c r="H6062" s="1">
        <v>714</v>
      </c>
      <c r="I6062" s="3">
        <v>46288</v>
      </c>
      <c r="L6062" s="24">
        <v>46288.715551655092</v>
      </c>
      <c r="M6062" s="2">
        <v>12</v>
      </c>
      <c r="N6062" s="1">
        <v>42</v>
      </c>
    </row>
    <row r="6063" spans="1:14" x14ac:dyDescent="0.25">
      <c r="A6063" t="str">
        <f t="shared" si="190"/>
        <v>78855607885560</v>
      </c>
      <c r="B6063" t="str">
        <f t="shared" si="191"/>
        <v>7885560G6035F4-M</v>
      </c>
      <c r="C6063" s="1" t="s">
        <v>24</v>
      </c>
      <c r="D6063" s="1" t="s">
        <v>869</v>
      </c>
      <c r="E6063" s="1" t="s">
        <v>382</v>
      </c>
      <c r="F6063" s="1" t="s">
        <v>383</v>
      </c>
      <c r="G6063" s="1" t="s">
        <v>395</v>
      </c>
      <c r="H6063" s="1">
        <v>714</v>
      </c>
      <c r="I6063" s="3">
        <v>46288</v>
      </c>
      <c r="L6063" s="24">
        <v>46288.715714351849</v>
      </c>
      <c r="M6063" s="2">
        <v>12</v>
      </c>
      <c r="N6063" s="1">
        <v>32</v>
      </c>
    </row>
    <row r="6064" spans="1:14" x14ac:dyDescent="0.25">
      <c r="A6064" t="str">
        <f t="shared" si="190"/>
        <v>C134978C134978</v>
      </c>
      <c r="B6064" t="str">
        <f t="shared" si="191"/>
        <v>C134978I6039KY-M</v>
      </c>
      <c r="C6064" s="1" t="s">
        <v>58</v>
      </c>
      <c r="D6064" s="1" t="s">
        <v>870</v>
      </c>
      <c r="E6064" s="1" t="s">
        <v>397</v>
      </c>
      <c r="F6064" s="1" t="s">
        <v>400</v>
      </c>
      <c r="G6064" s="1" t="s">
        <v>401</v>
      </c>
      <c r="H6064" s="1">
        <v>162</v>
      </c>
      <c r="I6064" s="3">
        <v>46288</v>
      </c>
      <c r="L6064" s="24">
        <v>46288.616723495368</v>
      </c>
      <c r="M6064" s="2">
        <v>12</v>
      </c>
      <c r="N6064" s="1">
        <v>4</v>
      </c>
    </row>
    <row r="6065" spans="1:14" x14ac:dyDescent="0.25">
      <c r="A6065" t="str">
        <f t="shared" si="190"/>
        <v>C134978C134978</v>
      </c>
      <c r="B6065" t="str">
        <f t="shared" si="191"/>
        <v>C134978I6039KY-M</v>
      </c>
      <c r="C6065" s="1" t="s">
        <v>58</v>
      </c>
      <c r="D6065" s="1" t="s">
        <v>870</v>
      </c>
      <c r="E6065" s="1" t="s">
        <v>397</v>
      </c>
      <c r="F6065" s="1" t="s">
        <v>400</v>
      </c>
      <c r="G6065" s="1" t="s">
        <v>401</v>
      </c>
      <c r="H6065" s="1">
        <v>162</v>
      </c>
      <c r="I6065" s="3">
        <v>46288</v>
      </c>
      <c r="L6065" s="24">
        <v>46288.646542939816</v>
      </c>
      <c r="M6065" s="2">
        <v>12</v>
      </c>
      <c r="N6065" s="1">
        <v>7</v>
      </c>
    </row>
    <row r="6066" spans="1:14" x14ac:dyDescent="0.25">
      <c r="A6066" t="str">
        <f t="shared" si="190"/>
        <v>C134978C134978</v>
      </c>
      <c r="B6066" t="str">
        <f t="shared" si="191"/>
        <v>C134978I6039KY-M</v>
      </c>
      <c r="C6066" s="1" t="s">
        <v>58</v>
      </c>
      <c r="D6066" s="1" t="s">
        <v>870</v>
      </c>
      <c r="E6066" s="1" t="s">
        <v>397</v>
      </c>
      <c r="F6066" s="1" t="s">
        <v>400</v>
      </c>
      <c r="G6066" s="1" t="s">
        <v>401</v>
      </c>
      <c r="H6066" s="1">
        <v>162</v>
      </c>
      <c r="I6066" s="3">
        <v>46288</v>
      </c>
      <c r="L6066" s="24">
        <v>46288.648743368052</v>
      </c>
      <c r="M6066" s="2">
        <v>12</v>
      </c>
      <c r="N6066" s="1">
        <v>10</v>
      </c>
    </row>
    <row r="6067" spans="1:14" x14ac:dyDescent="0.25">
      <c r="A6067" t="str">
        <f t="shared" si="190"/>
        <v>C134978C134978</v>
      </c>
      <c r="B6067" t="str">
        <f t="shared" si="191"/>
        <v>C134978I6039KY-M</v>
      </c>
      <c r="C6067" s="1" t="s">
        <v>58</v>
      </c>
      <c r="D6067" s="1" t="s">
        <v>870</v>
      </c>
      <c r="E6067" s="1" t="s">
        <v>397</v>
      </c>
      <c r="F6067" s="1" t="s">
        <v>400</v>
      </c>
      <c r="G6067" s="1" t="s">
        <v>401</v>
      </c>
      <c r="H6067" s="1">
        <v>162</v>
      </c>
      <c r="I6067" s="3">
        <v>46288</v>
      </c>
      <c r="L6067" s="24">
        <v>46288.68322457176</v>
      </c>
      <c r="M6067" s="2">
        <v>12</v>
      </c>
      <c r="N6067" s="1">
        <v>5</v>
      </c>
    </row>
    <row r="6068" spans="1:14" x14ac:dyDescent="0.25">
      <c r="A6068" t="str">
        <f t="shared" si="190"/>
        <v>C134978C134978</v>
      </c>
      <c r="B6068" t="str">
        <f t="shared" si="191"/>
        <v>C134978I6039KY-M</v>
      </c>
      <c r="C6068" s="1" t="s">
        <v>58</v>
      </c>
      <c r="D6068" s="1" t="s">
        <v>870</v>
      </c>
      <c r="E6068" s="1" t="s">
        <v>397</v>
      </c>
      <c r="F6068" s="1" t="s">
        <v>400</v>
      </c>
      <c r="G6068" s="1" t="s">
        <v>401</v>
      </c>
      <c r="H6068" s="1">
        <v>162</v>
      </c>
      <c r="I6068" s="3">
        <v>46288</v>
      </c>
      <c r="L6068" s="24">
        <v>46288.68481446759</v>
      </c>
      <c r="M6068" s="2">
        <v>12</v>
      </c>
      <c r="N6068" s="1">
        <v>8</v>
      </c>
    </row>
    <row r="6069" spans="1:14" x14ac:dyDescent="0.25">
      <c r="A6069" t="str">
        <f t="shared" si="190"/>
        <v>C134978C134978</v>
      </c>
      <c r="B6069" t="str">
        <f t="shared" si="191"/>
        <v>C134978I6039KY-M</v>
      </c>
      <c r="C6069" s="1" t="s">
        <v>58</v>
      </c>
      <c r="D6069" s="1" t="s">
        <v>870</v>
      </c>
      <c r="E6069" s="1" t="s">
        <v>397</v>
      </c>
      <c r="F6069" s="1" t="s">
        <v>400</v>
      </c>
      <c r="G6069" s="1" t="s">
        <v>401</v>
      </c>
      <c r="H6069" s="1">
        <v>162</v>
      </c>
      <c r="I6069" s="3">
        <v>46288</v>
      </c>
      <c r="L6069" s="24">
        <v>46288.702259108795</v>
      </c>
      <c r="M6069" s="2">
        <v>12</v>
      </c>
      <c r="N6069" s="1">
        <v>2</v>
      </c>
    </row>
    <row r="6070" spans="1:14" x14ac:dyDescent="0.25">
      <c r="A6070" t="str">
        <f t="shared" si="190"/>
        <v>C134978C134978</v>
      </c>
      <c r="B6070" t="str">
        <f t="shared" si="191"/>
        <v>C134978I6039KY-M</v>
      </c>
      <c r="C6070" s="1" t="s">
        <v>58</v>
      </c>
      <c r="D6070" s="1" t="s">
        <v>870</v>
      </c>
      <c r="E6070" s="1" t="s">
        <v>397</v>
      </c>
      <c r="F6070" s="1" t="s">
        <v>400</v>
      </c>
      <c r="G6070" s="1" t="s">
        <v>401</v>
      </c>
      <c r="H6070" s="1">
        <v>162</v>
      </c>
      <c r="I6070" s="3">
        <v>46288</v>
      </c>
      <c r="L6070" s="24">
        <v>46288.702483564812</v>
      </c>
      <c r="M6070" s="2">
        <v>12</v>
      </c>
      <c r="N6070" s="1">
        <v>11</v>
      </c>
    </row>
    <row r="6071" spans="1:14" x14ac:dyDescent="0.25">
      <c r="A6071" t="str">
        <f t="shared" si="190"/>
        <v>C135230C135230</v>
      </c>
      <c r="B6071" t="str">
        <f t="shared" si="191"/>
        <v>C135230PV574EVB-M</v>
      </c>
      <c r="C6071" s="1" t="s">
        <v>19</v>
      </c>
      <c r="D6071" s="1" t="s">
        <v>876</v>
      </c>
      <c r="E6071" s="1" t="s">
        <v>397</v>
      </c>
      <c r="F6071" s="1" t="s">
        <v>400</v>
      </c>
      <c r="G6071" s="1" t="s">
        <v>401</v>
      </c>
      <c r="H6071" s="1">
        <v>114</v>
      </c>
      <c r="I6071" s="3">
        <v>46288</v>
      </c>
      <c r="L6071" s="24">
        <v>46288.667289548612</v>
      </c>
      <c r="M6071" s="2">
        <v>6</v>
      </c>
      <c r="N6071" s="1">
        <v>8</v>
      </c>
    </row>
    <row r="6072" spans="1:14" x14ac:dyDescent="0.25">
      <c r="A6072" t="str">
        <f t="shared" si="190"/>
        <v>C135230C135230</v>
      </c>
      <c r="B6072" t="str">
        <f t="shared" si="191"/>
        <v>C135230PV574EVB-M</v>
      </c>
      <c r="C6072" s="1" t="s">
        <v>19</v>
      </c>
      <c r="D6072" s="1" t="s">
        <v>876</v>
      </c>
      <c r="E6072" s="1" t="s">
        <v>397</v>
      </c>
      <c r="F6072" s="1" t="s">
        <v>400</v>
      </c>
      <c r="G6072" s="1" t="s">
        <v>401</v>
      </c>
      <c r="H6072" s="1">
        <v>114</v>
      </c>
      <c r="I6072" s="3">
        <v>46288</v>
      </c>
      <c r="L6072" s="24">
        <v>46288.672432604166</v>
      </c>
      <c r="M6072" s="2">
        <v>6</v>
      </c>
      <c r="N6072" s="1">
        <v>9</v>
      </c>
    </row>
    <row r="6073" spans="1:14" x14ac:dyDescent="0.25">
      <c r="A6073" t="str">
        <f t="shared" si="190"/>
        <v>C135230C135230</v>
      </c>
      <c r="B6073" t="str">
        <f t="shared" si="191"/>
        <v>C135230PV574EVB-M</v>
      </c>
      <c r="C6073" s="1" t="s">
        <v>19</v>
      </c>
      <c r="D6073" s="1" t="s">
        <v>876</v>
      </c>
      <c r="E6073" s="1" t="s">
        <v>397</v>
      </c>
      <c r="F6073" s="1" t="s">
        <v>400</v>
      </c>
      <c r="G6073" s="1" t="s">
        <v>401</v>
      </c>
      <c r="H6073" s="1">
        <v>114</v>
      </c>
      <c r="I6073" s="3">
        <v>46288</v>
      </c>
      <c r="L6073" s="24">
        <v>46288.679438692125</v>
      </c>
      <c r="M6073" s="2">
        <v>12</v>
      </c>
      <c r="N6073" s="1">
        <v>1</v>
      </c>
    </row>
    <row r="6074" spans="1:14" x14ac:dyDescent="0.25">
      <c r="A6074" t="str">
        <f t="shared" si="190"/>
        <v>C135230C135230</v>
      </c>
      <c r="B6074" t="str">
        <f t="shared" si="191"/>
        <v>C135230PV574EVB-M</v>
      </c>
      <c r="C6074" s="1" t="s">
        <v>19</v>
      </c>
      <c r="D6074" s="1" t="s">
        <v>876</v>
      </c>
      <c r="E6074" s="1" t="s">
        <v>397</v>
      </c>
      <c r="F6074" s="1" t="s">
        <v>400</v>
      </c>
      <c r="G6074" s="1" t="s">
        <v>401</v>
      </c>
      <c r="H6074" s="1">
        <v>114</v>
      </c>
      <c r="I6074" s="3">
        <v>46288</v>
      </c>
      <c r="L6074" s="24">
        <v>46288.693196840279</v>
      </c>
      <c r="M6074" s="2">
        <v>6</v>
      </c>
      <c r="N6074" s="1">
        <v>11</v>
      </c>
    </row>
    <row r="6075" spans="1:14" x14ac:dyDescent="0.25">
      <c r="A6075" t="str">
        <f t="shared" si="190"/>
        <v>C135230C135230</v>
      </c>
      <c r="B6075" t="str">
        <f t="shared" si="191"/>
        <v>C135230PV574EVB-M</v>
      </c>
      <c r="C6075" s="1" t="s">
        <v>19</v>
      </c>
      <c r="D6075" s="1" t="s">
        <v>876</v>
      </c>
      <c r="E6075" s="1" t="s">
        <v>397</v>
      </c>
      <c r="F6075" s="1" t="s">
        <v>400</v>
      </c>
      <c r="G6075" s="1" t="s">
        <v>401</v>
      </c>
      <c r="H6075" s="1">
        <v>114</v>
      </c>
      <c r="I6075" s="3">
        <v>46288</v>
      </c>
      <c r="L6075" s="24">
        <v>46288.696896296293</v>
      </c>
      <c r="M6075" s="2">
        <v>12</v>
      </c>
      <c r="N6075" s="1">
        <v>3</v>
      </c>
    </row>
    <row r="6076" spans="1:14" x14ac:dyDescent="0.25">
      <c r="A6076" t="str">
        <f t="shared" si="190"/>
        <v>C135230C135230</v>
      </c>
      <c r="B6076" t="str">
        <f t="shared" si="191"/>
        <v>C135230PV574EVB-M</v>
      </c>
      <c r="C6076" s="1" t="s">
        <v>19</v>
      </c>
      <c r="D6076" s="1" t="s">
        <v>876</v>
      </c>
      <c r="E6076" s="1" t="s">
        <v>397</v>
      </c>
      <c r="F6076" s="1" t="s">
        <v>400</v>
      </c>
      <c r="G6076" s="1" t="s">
        <v>401</v>
      </c>
      <c r="H6076" s="1">
        <v>114</v>
      </c>
      <c r="I6076" s="3">
        <v>46288</v>
      </c>
      <c r="L6076" s="24">
        <v>46288.697290590273</v>
      </c>
      <c r="M6076" s="2">
        <v>12</v>
      </c>
      <c r="N6076" s="1">
        <v>2</v>
      </c>
    </row>
    <row r="6077" spans="1:14" x14ac:dyDescent="0.25">
      <c r="A6077" t="str">
        <f t="shared" si="190"/>
        <v>C135230C135230</v>
      </c>
      <c r="B6077" t="str">
        <f t="shared" si="191"/>
        <v>C135230PV574EVB-M</v>
      </c>
      <c r="C6077" s="1" t="s">
        <v>19</v>
      </c>
      <c r="D6077" s="1" t="s">
        <v>876</v>
      </c>
      <c r="E6077" s="1" t="s">
        <v>397</v>
      </c>
      <c r="F6077" s="1" t="s">
        <v>400</v>
      </c>
      <c r="G6077" s="1" t="s">
        <v>401</v>
      </c>
      <c r="H6077" s="1">
        <v>114</v>
      </c>
      <c r="I6077" s="3">
        <v>46288</v>
      </c>
      <c r="L6077" s="24">
        <v>46288.699306944443</v>
      </c>
      <c r="M6077" s="2">
        <v>12</v>
      </c>
      <c r="N6077" s="1">
        <v>5</v>
      </c>
    </row>
    <row r="6078" spans="1:14" x14ac:dyDescent="0.25">
      <c r="A6078" t="str">
        <f t="shared" si="190"/>
        <v>C135230C135230</v>
      </c>
      <c r="B6078" t="str">
        <f t="shared" si="191"/>
        <v>C135230PV574EVB-M</v>
      </c>
      <c r="C6078" s="1" t="s">
        <v>19</v>
      </c>
      <c r="D6078" s="1" t="s">
        <v>876</v>
      </c>
      <c r="E6078" s="1" t="s">
        <v>397</v>
      </c>
      <c r="F6078" s="1" t="s">
        <v>400</v>
      </c>
      <c r="G6078" s="1" t="s">
        <v>401</v>
      </c>
      <c r="H6078" s="1">
        <v>114</v>
      </c>
      <c r="I6078" s="3">
        <v>46288</v>
      </c>
      <c r="L6078" s="24">
        <v>46288.709759027777</v>
      </c>
      <c r="M6078" s="2">
        <v>6</v>
      </c>
      <c r="N6078" s="1">
        <v>12</v>
      </c>
    </row>
    <row r="6079" spans="1:14" x14ac:dyDescent="0.25">
      <c r="A6079" t="str">
        <f t="shared" si="190"/>
        <v>H176919H176919</v>
      </c>
      <c r="B6079" t="str">
        <f t="shared" si="191"/>
        <v>H176919W6037JY-B</v>
      </c>
      <c r="C6079" s="1" t="s">
        <v>877</v>
      </c>
      <c r="D6079" s="1" t="s">
        <v>878</v>
      </c>
      <c r="E6079" s="1" t="s">
        <v>414</v>
      </c>
      <c r="F6079" s="1" t="s">
        <v>415</v>
      </c>
      <c r="G6079" s="1" t="s">
        <v>404</v>
      </c>
      <c r="H6079" s="1">
        <v>144</v>
      </c>
      <c r="I6079" s="3">
        <v>46288</v>
      </c>
      <c r="L6079" s="24">
        <v>46288.684959722217</v>
      </c>
      <c r="M6079" s="2">
        <v>12</v>
      </c>
      <c r="N6079" s="1">
        <v>7</v>
      </c>
    </row>
    <row r="6080" spans="1:14" x14ac:dyDescent="0.25">
      <c r="A6080" t="str">
        <f t="shared" si="190"/>
        <v>H176919H176919</v>
      </c>
      <c r="B6080" t="str">
        <f t="shared" si="191"/>
        <v>H176919W6037JY-B</v>
      </c>
      <c r="C6080" s="1" t="s">
        <v>877</v>
      </c>
      <c r="D6080" s="1" t="s">
        <v>878</v>
      </c>
      <c r="E6080" s="1" t="s">
        <v>414</v>
      </c>
      <c r="F6080" s="1" t="s">
        <v>415</v>
      </c>
      <c r="G6080" s="1" t="s">
        <v>404</v>
      </c>
      <c r="H6080" s="1">
        <v>144</v>
      </c>
      <c r="I6080" s="3">
        <v>46288</v>
      </c>
      <c r="L6080" s="24">
        <v>46288.69982199074</v>
      </c>
      <c r="M6080" s="2">
        <v>12</v>
      </c>
      <c r="N6080" s="1">
        <v>4</v>
      </c>
    </row>
    <row r="6081" spans="1:14" x14ac:dyDescent="0.25">
      <c r="A6081" t="str">
        <f t="shared" si="190"/>
        <v>H176919H176919</v>
      </c>
      <c r="B6081" t="str">
        <f t="shared" si="191"/>
        <v>H176919W6037JY-B</v>
      </c>
      <c r="C6081" s="1" t="s">
        <v>877</v>
      </c>
      <c r="D6081" s="1" t="s">
        <v>878</v>
      </c>
      <c r="E6081" s="1" t="s">
        <v>414</v>
      </c>
      <c r="F6081" s="1" t="s">
        <v>415</v>
      </c>
      <c r="G6081" s="1" t="s">
        <v>404</v>
      </c>
      <c r="H6081" s="1">
        <v>144</v>
      </c>
      <c r="I6081" s="3">
        <v>46288</v>
      </c>
      <c r="L6081" s="24">
        <v>46288.702674965272</v>
      </c>
      <c r="M6081" s="2">
        <v>12</v>
      </c>
      <c r="N6081" s="1">
        <v>8</v>
      </c>
    </row>
    <row r="6082" spans="1:14" x14ac:dyDescent="0.25">
      <c r="A6082" t="str">
        <f t="shared" ref="A6082:A6145" si="192">+D6082&amp;D6082</f>
        <v>H176919H176919</v>
      </c>
      <c r="B6082" t="str">
        <f t="shared" ref="B6082:B6145" si="193">+D6082&amp;C6082</f>
        <v>H176919W6037JY-B</v>
      </c>
      <c r="C6082" s="1" t="s">
        <v>877</v>
      </c>
      <c r="D6082" s="1" t="s">
        <v>878</v>
      </c>
      <c r="E6082" s="1" t="s">
        <v>414</v>
      </c>
      <c r="F6082" s="1" t="s">
        <v>415</v>
      </c>
      <c r="G6082" s="1" t="s">
        <v>404</v>
      </c>
      <c r="H6082" s="1">
        <v>144</v>
      </c>
      <c r="I6082" s="3">
        <v>46288</v>
      </c>
      <c r="L6082" s="24">
        <v>46288.702874652779</v>
      </c>
      <c r="M6082" s="2">
        <v>12</v>
      </c>
      <c r="N6082" s="1">
        <v>5</v>
      </c>
    </row>
    <row r="6083" spans="1:14" x14ac:dyDescent="0.25">
      <c r="A6083" t="str">
        <f t="shared" si="192"/>
        <v>H176919H176919</v>
      </c>
      <c r="B6083" t="str">
        <f t="shared" si="193"/>
        <v>H176919W6037JY-B</v>
      </c>
      <c r="C6083" s="1" t="s">
        <v>877</v>
      </c>
      <c r="D6083" s="1" t="s">
        <v>878</v>
      </c>
      <c r="E6083" s="1" t="s">
        <v>414</v>
      </c>
      <c r="F6083" s="1" t="s">
        <v>415</v>
      </c>
      <c r="G6083" s="1" t="s">
        <v>404</v>
      </c>
      <c r="H6083" s="1">
        <v>144</v>
      </c>
      <c r="I6083" s="3">
        <v>46288</v>
      </c>
      <c r="L6083" s="24">
        <v>46288.711863159719</v>
      </c>
      <c r="M6083" s="2">
        <v>12</v>
      </c>
      <c r="N6083" s="1">
        <v>1</v>
      </c>
    </row>
    <row r="6084" spans="1:14" x14ac:dyDescent="0.25">
      <c r="A6084" t="str">
        <f t="shared" si="192"/>
        <v>H176974H176974</v>
      </c>
      <c r="B6084" t="str">
        <f t="shared" si="193"/>
        <v>H176974W6037JY-B</v>
      </c>
      <c r="C6084" s="1" t="s">
        <v>877</v>
      </c>
      <c r="D6084" s="1" t="s">
        <v>879</v>
      </c>
      <c r="E6084" s="1" t="s">
        <v>501</v>
      </c>
      <c r="F6084" s="1" t="s">
        <v>502</v>
      </c>
      <c r="G6084" s="1" t="s">
        <v>404</v>
      </c>
      <c r="H6084" s="1">
        <v>1302</v>
      </c>
      <c r="I6084" s="3">
        <v>46288</v>
      </c>
      <c r="L6084" s="24">
        <v>46288.688968020833</v>
      </c>
      <c r="M6084" s="2">
        <v>6</v>
      </c>
      <c r="N6084" s="1">
        <v>43</v>
      </c>
    </row>
    <row r="6085" spans="1:14" x14ac:dyDescent="0.25">
      <c r="A6085" t="str">
        <f t="shared" si="192"/>
        <v>H176974H176974</v>
      </c>
      <c r="B6085" t="str">
        <f t="shared" si="193"/>
        <v>H176974W6037JY-B</v>
      </c>
      <c r="C6085" s="1" t="s">
        <v>877</v>
      </c>
      <c r="D6085" s="1" t="s">
        <v>879</v>
      </c>
      <c r="E6085" s="1" t="s">
        <v>501</v>
      </c>
      <c r="F6085" s="1" t="s">
        <v>502</v>
      </c>
      <c r="G6085" s="1" t="s">
        <v>404</v>
      </c>
      <c r="H6085" s="1">
        <v>1302</v>
      </c>
      <c r="I6085" s="3">
        <v>46288</v>
      </c>
      <c r="L6085" s="24">
        <v>46288.691102893514</v>
      </c>
      <c r="M6085" s="2">
        <v>6</v>
      </c>
      <c r="N6085" s="1">
        <v>44</v>
      </c>
    </row>
    <row r="6086" spans="1:14" x14ac:dyDescent="0.25">
      <c r="A6086" t="str">
        <f t="shared" si="192"/>
        <v>H176974H176974</v>
      </c>
      <c r="B6086" t="str">
        <f t="shared" si="193"/>
        <v>H176974W6037JY-B</v>
      </c>
      <c r="C6086" s="1" t="s">
        <v>877</v>
      </c>
      <c r="D6086" s="1" t="s">
        <v>879</v>
      </c>
      <c r="E6086" s="1" t="s">
        <v>501</v>
      </c>
      <c r="F6086" s="1" t="s">
        <v>502</v>
      </c>
      <c r="G6086" s="1" t="s">
        <v>404</v>
      </c>
      <c r="H6086" s="1">
        <v>1302</v>
      </c>
      <c r="I6086" s="3">
        <v>46288</v>
      </c>
      <c r="L6086" s="24">
        <v>46288.693543865738</v>
      </c>
      <c r="M6086" s="2">
        <v>6</v>
      </c>
      <c r="N6086" s="1">
        <v>41</v>
      </c>
    </row>
    <row r="6087" spans="1:14" x14ac:dyDescent="0.25">
      <c r="A6087" t="str">
        <f t="shared" si="192"/>
        <v>H176974H176974</v>
      </c>
      <c r="B6087" t="str">
        <f t="shared" si="193"/>
        <v>H176974W6037JY-B</v>
      </c>
      <c r="C6087" s="1" t="s">
        <v>877</v>
      </c>
      <c r="D6087" s="1" t="s">
        <v>879</v>
      </c>
      <c r="E6087" s="1" t="s">
        <v>501</v>
      </c>
      <c r="F6087" s="1" t="s">
        <v>502</v>
      </c>
      <c r="G6087" s="1" t="s">
        <v>404</v>
      </c>
      <c r="H6087" s="1">
        <v>1302</v>
      </c>
      <c r="I6087" s="3">
        <v>46288</v>
      </c>
      <c r="L6087" s="24">
        <v>46288.693933761569</v>
      </c>
      <c r="M6087" s="2">
        <v>6</v>
      </c>
      <c r="N6087" s="1">
        <v>40</v>
      </c>
    </row>
    <row r="6088" spans="1:14" x14ac:dyDescent="0.25">
      <c r="A6088" t="str">
        <f t="shared" si="192"/>
        <v>H176974H176974</v>
      </c>
      <c r="B6088" t="str">
        <f t="shared" si="193"/>
        <v>H176974W6037JY-B</v>
      </c>
      <c r="C6088" s="1" t="s">
        <v>877</v>
      </c>
      <c r="D6088" s="1" t="s">
        <v>879</v>
      </c>
      <c r="E6088" s="1" t="s">
        <v>501</v>
      </c>
      <c r="F6088" s="1" t="s">
        <v>502</v>
      </c>
      <c r="G6088" s="1" t="s">
        <v>404</v>
      </c>
      <c r="H6088" s="1">
        <v>1302</v>
      </c>
      <c r="I6088" s="3">
        <v>46288</v>
      </c>
      <c r="L6088" s="24">
        <v>46288.697065821754</v>
      </c>
      <c r="M6088" s="2">
        <v>6</v>
      </c>
      <c r="N6088" s="1">
        <v>42</v>
      </c>
    </row>
    <row r="6089" spans="1:14" x14ac:dyDescent="0.25">
      <c r="A6089" t="str">
        <f t="shared" si="192"/>
        <v>H176974H176974</v>
      </c>
      <c r="B6089" t="str">
        <f t="shared" si="193"/>
        <v>H176974W6037JY-B</v>
      </c>
      <c r="C6089" s="1" t="s">
        <v>877</v>
      </c>
      <c r="D6089" s="1" t="s">
        <v>879</v>
      </c>
      <c r="E6089" s="1" t="s">
        <v>501</v>
      </c>
      <c r="F6089" s="1" t="s">
        <v>502</v>
      </c>
      <c r="G6089" s="1" t="s">
        <v>404</v>
      </c>
      <c r="H6089" s="1">
        <v>1302</v>
      </c>
      <c r="I6089" s="3">
        <v>46288</v>
      </c>
      <c r="L6089" s="24">
        <v>46288.704537534722</v>
      </c>
      <c r="M6089" s="2">
        <v>6</v>
      </c>
      <c r="N6089" s="1">
        <v>38</v>
      </c>
    </row>
    <row r="6090" spans="1:14" x14ac:dyDescent="0.25">
      <c r="A6090" t="str">
        <f t="shared" si="192"/>
        <v>H176974H176974</v>
      </c>
      <c r="B6090" t="str">
        <f t="shared" si="193"/>
        <v>H176974W6037JY-B</v>
      </c>
      <c r="C6090" s="1" t="s">
        <v>877</v>
      </c>
      <c r="D6090" s="1" t="s">
        <v>879</v>
      </c>
      <c r="E6090" s="1" t="s">
        <v>501</v>
      </c>
      <c r="F6090" s="1" t="s">
        <v>502</v>
      </c>
      <c r="G6090" s="1" t="s">
        <v>404</v>
      </c>
      <c r="H6090" s="1">
        <v>1302</v>
      </c>
      <c r="I6090" s="3">
        <v>46288</v>
      </c>
      <c r="L6090" s="24">
        <v>46288.705797881943</v>
      </c>
      <c r="M6090" s="2">
        <v>6</v>
      </c>
      <c r="N6090" s="1">
        <v>39</v>
      </c>
    </row>
    <row r="6091" spans="1:14" x14ac:dyDescent="0.25">
      <c r="A6091" t="str">
        <f t="shared" si="192"/>
        <v>H176974H176974</v>
      </c>
      <c r="B6091" t="str">
        <f t="shared" si="193"/>
        <v>H176974W6037JY-B</v>
      </c>
      <c r="C6091" s="1" t="s">
        <v>877</v>
      </c>
      <c r="D6091" s="1" t="s">
        <v>879</v>
      </c>
      <c r="E6091" s="1" t="s">
        <v>501</v>
      </c>
      <c r="F6091" s="1" t="s">
        <v>502</v>
      </c>
      <c r="G6091" s="1" t="s">
        <v>404</v>
      </c>
      <c r="H6091" s="1">
        <v>1302</v>
      </c>
      <c r="I6091" s="3">
        <v>46288</v>
      </c>
      <c r="L6091" s="24">
        <v>46288.711255868053</v>
      </c>
      <c r="M6091" s="2">
        <v>6</v>
      </c>
      <c r="N6091" s="1">
        <v>193</v>
      </c>
    </row>
    <row r="6092" spans="1:14" x14ac:dyDescent="0.25">
      <c r="A6092" t="str">
        <f t="shared" si="192"/>
        <v>H188975H188975</v>
      </c>
      <c r="B6092" t="str">
        <f t="shared" si="193"/>
        <v>H188975IV9060LL-M</v>
      </c>
      <c r="C6092" s="1" t="s">
        <v>41</v>
      </c>
      <c r="D6092" s="1" t="s">
        <v>857</v>
      </c>
      <c r="E6092" s="1" t="s">
        <v>501</v>
      </c>
      <c r="F6092" s="1" t="s">
        <v>502</v>
      </c>
      <c r="G6092" s="1" t="s">
        <v>404</v>
      </c>
      <c r="H6092" s="1">
        <v>180</v>
      </c>
      <c r="I6092" s="3">
        <v>46288</v>
      </c>
      <c r="L6092" s="24">
        <v>46288.364253738422</v>
      </c>
      <c r="M6092" s="2">
        <v>6</v>
      </c>
      <c r="N6092" s="1">
        <v>16</v>
      </c>
    </row>
    <row r="6093" spans="1:14" x14ac:dyDescent="0.25">
      <c r="A6093" t="str">
        <f t="shared" si="192"/>
        <v>H188975H188975</v>
      </c>
      <c r="B6093" t="str">
        <f t="shared" si="193"/>
        <v>H188975IV9060LL-M</v>
      </c>
      <c r="C6093" s="1" t="s">
        <v>41</v>
      </c>
      <c r="D6093" s="1" t="s">
        <v>857</v>
      </c>
      <c r="E6093" s="1" t="s">
        <v>501</v>
      </c>
      <c r="F6093" s="1" t="s">
        <v>502</v>
      </c>
      <c r="G6093" s="1" t="s">
        <v>404</v>
      </c>
      <c r="H6093" s="1">
        <v>180</v>
      </c>
      <c r="I6093" s="3">
        <v>46288</v>
      </c>
      <c r="L6093" s="24">
        <v>46288.364475196759</v>
      </c>
      <c r="M6093" s="2">
        <v>6</v>
      </c>
      <c r="N6093" s="1">
        <v>20</v>
      </c>
    </row>
    <row r="6094" spans="1:14" x14ac:dyDescent="0.25">
      <c r="A6094" t="str">
        <f t="shared" si="192"/>
        <v>H188975H188975</v>
      </c>
      <c r="B6094" t="str">
        <f t="shared" si="193"/>
        <v>H188975IV9060LL-M</v>
      </c>
      <c r="C6094" s="1" t="s">
        <v>41</v>
      </c>
      <c r="D6094" s="1" t="s">
        <v>857</v>
      </c>
      <c r="E6094" s="1" t="s">
        <v>501</v>
      </c>
      <c r="F6094" s="1" t="s">
        <v>502</v>
      </c>
      <c r="G6094" s="1" t="s">
        <v>404</v>
      </c>
      <c r="H6094" s="1">
        <v>180</v>
      </c>
      <c r="I6094" s="3">
        <v>46288</v>
      </c>
      <c r="L6094" s="24">
        <v>46288.365510532407</v>
      </c>
      <c r="M6094" s="2">
        <v>6</v>
      </c>
      <c r="N6094" s="1">
        <v>11</v>
      </c>
    </row>
    <row r="6095" spans="1:14" x14ac:dyDescent="0.25">
      <c r="A6095" t="str">
        <f t="shared" si="192"/>
        <v>H188975H188975</v>
      </c>
      <c r="B6095" t="str">
        <f t="shared" si="193"/>
        <v>H188975IV9060LL-M</v>
      </c>
      <c r="C6095" s="1" t="s">
        <v>41</v>
      </c>
      <c r="D6095" s="1" t="s">
        <v>857</v>
      </c>
      <c r="E6095" s="1" t="s">
        <v>501</v>
      </c>
      <c r="F6095" s="1" t="s">
        <v>502</v>
      </c>
      <c r="G6095" s="1" t="s">
        <v>404</v>
      </c>
      <c r="H6095" s="1">
        <v>180</v>
      </c>
      <c r="I6095" s="3">
        <v>46288</v>
      </c>
      <c r="L6095" s="24">
        <v>46288.366746840278</v>
      </c>
      <c r="M6095" s="2">
        <v>6</v>
      </c>
      <c r="N6095" s="1">
        <v>15</v>
      </c>
    </row>
    <row r="6096" spans="1:14" x14ac:dyDescent="0.25">
      <c r="A6096" t="str">
        <f t="shared" si="192"/>
        <v>H188975H188975</v>
      </c>
      <c r="B6096" t="str">
        <f t="shared" si="193"/>
        <v>H188975IV9060LL-M</v>
      </c>
      <c r="C6096" s="1" t="s">
        <v>41</v>
      </c>
      <c r="D6096" s="1" t="s">
        <v>857</v>
      </c>
      <c r="E6096" s="1" t="s">
        <v>501</v>
      </c>
      <c r="F6096" s="1" t="s">
        <v>502</v>
      </c>
      <c r="G6096" s="1" t="s">
        <v>404</v>
      </c>
      <c r="H6096" s="1">
        <v>180</v>
      </c>
      <c r="I6096" s="3">
        <v>46288</v>
      </c>
      <c r="L6096" s="24">
        <v>46288.36711068287</v>
      </c>
      <c r="M6096" s="2">
        <v>6</v>
      </c>
      <c r="N6096" s="1">
        <v>7</v>
      </c>
    </row>
    <row r="6097" spans="1:14" x14ac:dyDescent="0.25">
      <c r="A6097" t="str">
        <f t="shared" si="192"/>
        <v>H188975H188975</v>
      </c>
      <c r="B6097" t="str">
        <f t="shared" si="193"/>
        <v>H188975IV9060LL-M</v>
      </c>
      <c r="C6097" s="1" t="s">
        <v>41</v>
      </c>
      <c r="D6097" s="1" t="s">
        <v>857</v>
      </c>
      <c r="E6097" s="1" t="s">
        <v>501</v>
      </c>
      <c r="F6097" s="1" t="s">
        <v>502</v>
      </c>
      <c r="G6097" s="1" t="s">
        <v>404</v>
      </c>
      <c r="H6097" s="1">
        <v>180</v>
      </c>
      <c r="I6097" s="3">
        <v>46288</v>
      </c>
      <c r="L6097" s="24">
        <v>46288.367351041663</v>
      </c>
      <c r="M6097" s="2">
        <v>6</v>
      </c>
      <c r="N6097" s="1">
        <v>23</v>
      </c>
    </row>
    <row r="6098" spans="1:14" x14ac:dyDescent="0.25">
      <c r="A6098" t="str">
        <f t="shared" si="192"/>
        <v>H188975H188975</v>
      </c>
      <c r="B6098" t="str">
        <f t="shared" si="193"/>
        <v>H188975IV9060LL-M</v>
      </c>
      <c r="C6098" s="1" t="s">
        <v>41</v>
      </c>
      <c r="D6098" s="1" t="s">
        <v>857</v>
      </c>
      <c r="E6098" s="1" t="s">
        <v>501</v>
      </c>
      <c r="F6098" s="1" t="s">
        <v>502</v>
      </c>
      <c r="G6098" s="1" t="s">
        <v>404</v>
      </c>
      <c r="H6098" s="1">
        <v>180</v>
      </c>
      <c r="I6098" s="3">
        <v>46288</v>
      </c>
      <c r="L6098" s="24">
        <v>46288.369688506944</v>
      </c>
      <c r="M6098" s="2">
        <v>6</v>
      </c>
      <c r="N6098" s="1">
        <v>4</v>
      </c>
    </row>
    <row r="6099" spans="1:14" x14ac:dyDescent="0.25">
      <c r="A6099" t="str">
        <f t="shared" si="192"/>
        <v>H188975H188975</v>
      </c>
      <c r="B6099" t="str">
        <f t="shared" si="193"/>
        <v>H188975IV9060LL-M</v>
      </c>
      <c r="C6099" s="1" t="s">
        <v>41</v>
      </c>
      <c r="D6099" s="1" t="s">
        <v>857</v>
      </c>
      <c r="E6099" s="1" t="s">
        <v>501</v>
      </c>
      <c r="F6099" s="1" t="s">
        <v>502</v>
      </c>
      <c r="G6099" s="1" t="s">
        <v>404</v>
      </c>
      <c r="H6099" s="1">
        <v>180</v>
      </c>
      <c r="I6099" s="3">
        <v>46288</v>
      </c>
      <c r="L6099" s="24">
        <v>46288.369896724536</v>
      </c>
      <c r="M6099" s="2">
        <v>6</v>
      </c>
      <c r="N6099" s="1">
        <v>1</v>
      </c>
    </row>
    <row r="6100" spans="1:14" x14ac:dyDescent="0.25">
      <c r="A6100" t="str">
        <f t="shared" si="192"/>
        <v>H188975H188975</v>
      </c>
      <c r="B6100" t="str">
        <f t="shared" si="193"/>
        <v>H188975IV9060LL-M</v>
      </c>
      <c r="C6100" s="1" t="s">
        <v>41</v>
      </c>
      <c r="D6100" s="1" t="s">
        <v>857</v>
      </c>
      <c r="E6100" s="1" t="s">
        <v>501</v>
      </c>
      <c r="F6100" s="1" t="s">
        <v>502</v>
      </c>
      <c r="G6100" s="1" t="s">
        <v>404</v>
      </c>
      <c r="H6100" s="1">
        <v>180</v>
      </c>
      <c r="I6100" s="3">
        <v>46288</v>
      </c>
      <c r="L6100" s="24">
        <v>46288.370114548612</v>
      </c>
      <c r="M6100" s="2">
        <v>6</v>
      </c>
      <c r="N6100" s="1">
        <v>19</v>
      </c>
    </row>
    <row r="6101" spans="1:14" x14ac:dyDescent="0.25">
      <c r="A6101" t="str">
        <f t="shared" si="192"/>
        <v>H188975H188975</v>
      </c>
      <c r="B6101" t="str">
        <f t="shared" si="193"/>
        <v>H188975IV9060LL-M</v>
      </c>
      <c r="C6101" s="1" t="s">
        <v>41</v>
      </c>
      <c r="D6101" s="1" t="s">
        <v>857</v>
      </c>
      <c r="E6101" s="1" t="s">
        <v>501</v>
      </c>
      <c r="F6101" s="1" t="s">
        <v>502</v>
      </c>
      <c r="G6101" s="1" t="s">
        <v>404</v>
      </c>
      <c r="H6101" s="1">
        <v>180</v>
      </c>
      <c r="I6101" s="3">
        <v>46288</v>
      </c>
      <c r="L6101" s="24">
        <v>46288.377166354163</v>
      </c>
      <c r="M6101" s="2">
        <v>6</v>
      </c>
      <c r="N6101" s="1">
        <v>22</v>
      </c>
    </row>
    <row r="6102" spans="1:14" x14ac:dyDescent="0.25">
      <c r="A6102" t="str">
        <f t="shared" si="192"/>
        <v>H188975H188975</v>
      </c>
      <c r="B6102" t="str">
        <f t="shared" si="193"/>
        <v>H188975IV9060LL-M</v>
      </c>
      <c r="C6102" s="1" t="s">
        <v>41</v>
      </c>
      <c r="D6102" s="1" t="s">
        <v>857</v>
      </c>
      <c r="E6102" s="1" t="s">
        <v>501</v>
      </c>
      <c r="F6102" s="1" t="s">
        <v>502</v>
      </c>
      <c r="G6102" s="1" t="s">
        <v>404</v>
      </c>
      <c r="H6102" s="1">
        <v>180</v>
      </c>
      <c r="I6102" s="3">
        <v>46288</v>
      </c>
      <c r="L6102" s="24">
        <v>46288.3776502662</v>
      </c>
      <c r="M6102" s="2">
        <v>6</v>
      </c>
      <c r="N6102" s="1">
        <v>12</v>
      </c>
    </row>
    <row r="6103" spans="1:14" x14ac:dyDescent="0.25">
      <c r="A6103" t="str">
        <f t="shared" si="192"/>
        <v>H188975H188975</v>
      </c>
      <c r="B6103" t="str">
        <f t="shared" si="193"/>
        <v>H188975IV9060LL-M</v>
      </c>
      <c r="C6103" s="1" t="s">
        <v>41</v>
      </c>
      <c r="D6103" s="1" t="s">
        <v>857</v>
      </c>
      <c r="E6103" s="1" t="s">
        <v>501</v>
      </c>
      <c r="F6103" s="1" t="s">
        <v>502</v>
      </c>
      <c r="G6103" s="1" t="s">
        <v>404</v>
      </c>
      <c r="H6103" s="1">
        <v>180</v>
      </c>
      <c r="I6103" s="3">
        <v>46288</v>
      </c>
      <c r="L6103" s="24">
        <v>46288.390161342591</v>
      </c>
      <c r="M6103" s="2">
        <v>6</v>
      </c>
      <c r="N6103" s="1">
        <v>9</v>
      </c>
    </row>
    <row r="6104" spans="1:14" x14ac:dyDescent="0.25">
      <c r="A6104" t="str">
        <f t="shared" si="192"/>
        <v>H188975H188975</v>
      </c>
      <c r="B6104" t="str">
        <f t="shared" si="193"/>
        <v>H188975IV9060LL-M</v>
      </c>
      <c r="C6104" s="1" t="s">
        <v>41</v>
      </c>
      <c r="D6104" s="1" t="s">
        <v>857</v>
      </c>
      <c r="E6104" s="1" t="s">
        <v>501</v>
      </c>
      <c r="F6104" s="1" t="s">
        <v>502</v>
      </c>
      <c r="G6104" s="1" t="s">
        <v>404</v>
      </c>
      <c r="H6104" s="1">
        <v>180</v>
      </c>
      <c r="I6104" s="3">
        <v>46288</v>
      </c>
      <c r="L6104" s="24">
        <v>46288.390374571754</v>
      </c>
      <c r="M6104" s="2">
        <v>6</v>
      </c>
      <c r="N6104" s="1">
        <v>17</v>
      </c>
    </row>
    <row r="6105" spans="1:14" x14ac:dyDescent="0.25">
      <c r="A6105" t="str">
        <f t="shared" si="192"/>
        <v>H188975H188975</v>
      </c>
      <c r="B6105" t="str">
        <f t="shared" si="193"/>
        <v>H188975IV9060LL-M</v>
      </c>
      <c r="C6105" s="1" t="s">
        <v>41</v>
      </c>
      <c r="D6105" s="1" t="s">
        <v>857</v>
      </c>
      <c r="E6105" s="1" t="s">
        <v>501</v>
      </c>
      <c r="F6105" s="1" t="s">
        <v>502</v>
      </c>
      <c r="G6105" s="1" t="s">
        <v>404</v>
      </c>
      <c r="H6105" s="1">
        <v>180</v>
      </c>
      <c r="I6105" s="3">
        <v>46288</v>
      </c>
      <c r="L6105" s="24">
        <v>46288.390921412036</v>
      </c>
      <c r="M6105" s="2">
        <v>6</v>
      </c>
      <c r="N6105" s="1">
        <v>8</v>
      </c>
    </row>
    <row r="6106" spans="1:14" x14ac:dyDescent="0.25">
      <c r="A6106" t="str">
        <f t="shared" si="192"/>
        <v>H188975H188975</v>
      </c>
      <c r="B6106" t="str">
        <f t="shared" si="193"/>
        <v>H188975IV9060LL-M</v>
      </c>
      <c r="C6106" s="1" t="s">
        <v>41</v>
      </c>
      <c r="D6106" s="1" t="s">
        <v>857</v>
      </c>
      <c r="E6106" s="1" t="s">
        <v>501</v>
      </c>
      <c r="F6106" s="1" t="s">
        <v>502</v>
      </c>
      <c r="G6106" s="1" t="s">
        <v>404</v>
      </c>
      <c r="H6106" s="1">
        <v>180</v>
      </c>
      <c r="I6106" s="3">
        <v>46288</v>
      </c>
      <c r="L6106" s="24">
        <v>46288.391248645828</v>
      </c>
      <c r="M6106" s="2">
        <v>6</v>
      </c>
      <c r="N6106" s="1">
        <v>3</v>
      </c>
    </row>
    <row r="6107" spans="1:14" x14ac:dyDescent="0.25">
      <c r="A6107" t="str">
        <f t="shared" si="192"/>
        <v>H188975H188975</v>
      </c>
      <c r="B6107" t="str">
        <f t="shared" si="193"/>
        <v>H188975IV9060LL-M</v>
      </c>
      <c r="C6107" s="1" t="s">
        <v>41</v>
      </c>
      <c r="D6107" s="1" t="s">
        <v>857</v>
      </c>
      <c r="E6107" s="1" t="s">
        <v>501</v>
      </c>
      <c r="F6107" s="1" t="s">
        <v>502</v>
      </c>
      <c r="G6107" s="1" t="s">
        <v>404</v>
      </c>
      <c r="H6107" s="1">
        <v>180</v>
      </c>
      <c r="I6107" s="3">
        <v>46288</v>
      </c>
      <c r="L6107" s="24">
        <v>46288.395478206017</v>
      </c>
      <c r="M6107" s="2">
        <v>6</v>
      </c>
      <c r="N6107" s="1">
        <v>13</v>
      </c>
    </row>
    <row r="6108" spans="1:14" x14ac:dyDescent="0.25">
      <c r="A6108" t="str">
        <f t="shared" si="192"/>
        <v>H188975H188975</v>
      </c>
      <c r="B6108" t="str">
        <f t="shared" si="193"/>
        <v>H188975IV9060LL-M</v>
      </c>
      <c r="C6108" s="1" t="s">
        <v>41</v>
      </c>
      <c r="D6108" s="1" t="s">
        <v>857</v>
      </c>
      <c r="E6108" s="1" t="s">
        <v>501</v>
      </c>
      <c r="F6108" s="1" t="s">
        <v>502</v>
      </c>
      <c r="G6108" s="1" t="s">
        <v>404</v>
      </c>
      <c r="H6108" s="1">
        <v>180</v>
      </c>
      <c r="I6108" s="3">
        <v>46288</v>
      </c>
      <c r="L6108" s="24">
        <v>46288.408975810184</v>
      </c>
      <c r="M6108" s="2">
        <v>6</v>
      </c>
      <c r="N6108" s="1">
        <v>2</v>
      </c>
    </row>
    <row r="6109" spans="1:14" x14ac:dyDescent="0.25">
      <c r="A6109" t="str">
        <f t="shared" si="192"/>
        <v>H188975H188975</v>
      </c>
      <c r="B6109" t="str">
        <f t="shared" si="193"/>
        <v>H188975IV9060LL-M</v>
      </c>
      <c r="C6109" s="1" t="s">
        <v>41</v>
      </c>
      <c r="D6109" s="1" t="s">
        <v>857</v>
      </c>
      <c r="E6109" s="1" t="s">
        <v>501</v>
      </c>
      <c r="F6109" s="1" t="s">
        <v>502</v>
      </c>
      <c r="G6109" s="1" t="s">
        <v>404</v>
      </c>
      <c r="H6109" s="1">
        <v>180</v>
      </c>
      <c r="I6109" s="3">
        <v>46288</v>
      </c>
      <c r="L6109" s="24">
        <v>46288.415682291663</v>
      </c>
      <c r="M6109" s="2">
        <v>6</v>
      </c>
      <c r="N6109" s="1">
        <v>6</v>
      </c>
    </row>
    <row r="6110" spans="1:14" x14ac:dyDescent="0.25">
      <c r="A6110" t="str">
        <f t="shared" si="192"/>
        <v>H188975H188975</v>
      </c>
      <c r="B6110" t="str">
        <f t="shared" si="193"/>
        <v>H188975IV9060LL-M</v>
      </c>
      <c r="C6110" s="1" t="s">
        <v>41</v>
      </c>
      <c r="D6110" s="1" t="s">
        <v>857</v>
      </c>
      <c r="E6110" s="1" t="s">
        <v>501</v>
      </c>
      <c r="F6110" s="1" t="s">
        <v>502</v>
      </c>
      <c r="G6110" s="1" t="s">
        <v>404</v>
      </c>
      <c r="H6110" s="1">
        <v>180</v>
      </c>
      <c r="I6110" s="3">
        <v>46288</v>
      </c>
      <c r="L6110" s="24">
        <v>46288.483782291667</v>
      </c>
      <c r="M6110" s="2">
        <v>6</v>
      </c>
      <c r="N6110" s="1">
        <v>18</v>
      </c>
    </row>
    <row r="6111" spans="1:14" x14ac:dyDescent="0.25">
      <c r="A6111" t="str">
        <f t="shared" si="192"/>
        <v>H188975H188975</v>
      </c>
      <c r="B6111" t="str">
        <f t="shared" si="193"/>
        <v>H188975IV9060LL-M</v>
      </c>
      <c r="C6111" s="1" t="s">
        <v>41</v>
      </c>
      <c r="D6111" s="1" t="s">
        <v>857</v>
      </c>
      <c r="E6111" s="1" t="s">
        <v>501</v>
      </c>
      <c r="F6111" s="1" t="s">
        <v>502</v>
      </c>
      <c r="G6111" s="1" t="s">
        <v>404</v>
      </c>
      <c r="H6111" s="1">
        <v>180</v>
      </c>
      <c r="I6111" s="3">
        <v>46288</v>
      </c>
      <c r="L6111" s="24">
        <v>46288.484173148143</v>
      </c>
      <c r="M6111" s="2">
        <v>6</v>
      </c>
      <c r="N6111" s="1">
        <v>14</v>
      </c>
    </row>
    <row r="6112" spans="1:14" x14ac:dyDescent="0.25">
      <c r="A6112" t="str">
        <f t="shared" si="192"/>
        <v>H188975H188975</v>
      </c>
      <c r="B6112" t="str">
        <f t="shared" si="193"/>
        <v>H188975IV9060LL-M</v>
      </c>
      <c r="C6112" s="1" t="s">
        <v>41</v>
      </c>
      <c r="D6112" s="1" t="s">
        <v>857</v>
      </c>
      <c r="E6112" s="1" t="s">
        <v>501</v>
      </c>
      <c r="F6112" s="1" t="s">
        <v>502</v>
      </c>
      <c r="G6112" s="1" t="s">
        <v>404</v>
      </c>
      <c r="H6112" s="1">
        <v>180</v>
      </c>
      <c r="I6112" s="3">
        <v>46288</v>
      </c>
      <c r="L6112" s="24">
        <v>46288.552212962961</v>
      </c>
      <c r="M6112" s="2">
        <v>6</v>
      </c>
      <c r="N6112" s="1">
        <v>5</v>
      </c>
    </row>
    <row r="6113" spans="1:14" x14ac:dyDescent="0.25">
      <c r="A6113" t="str">
        <f t="shared" si="192"/>
        <v>H188975H188975</v>
      </c>
      <c r="B6113" t="str">
        <f t="shared" si="193"/>
        <v>H188975IV9060LL-M</v>
      </c>
      <c r="C6113" s="1" t="s">
        <v>41</v>
      </c>
      <c r="D6113" s="1" t="s">
        <v>857</v>
      </c>
      <c r="E6113" s="1" t="s">
        <v>501</v>
      </c>
      <c r="F6113" s="1" t="s">
        <v>502</v>
      </c>
      <c r="G6113" s="1" t="s">
        <v>404</v>
      </c>
      <c r="H6113" s="1">
        <v>180</v>
      </c>
      <c r="I6113" s="3">
        <v>46288</v>
      </c>
      <c r="L6113" s="24">
        <v>46288.560448298609</v>
      </c>
      <c r="M6113" s="2">
        <v>6</v>
      </c>
      <c r="N6113" s="1">
        <v>21</v>
      </c>
    </row>
    <row r="6114" spans="1:14" x14ac:dyDescent="0.25">
      <c r="A6114" t="str">
        <f t="shared" si="192"/>
        <v>U148141U148141</v>
      </c>
      <c r="B6114" t="str">
        <f t="shared" si="193"/>
        <v>U148141G90609SI-M</v>
      </c>
      <c r="C6114" s="1" t="s">
        <v>776</v>
      </c>
      <c r="D6114" s="1" t="s">
        <v>880</v>
      </c>
      <c r="E6114" s="1" t="s">
        <v>436</v>
      </c>
      <c r="F6114" s="1" t="s">
        <v>451</v>
      </c>
      <c r="G6114" s="1" t="s">
        <v>438</v>
      </c>
      <c r="H6114" s="1">
        <v>630</v>
      </c>
      <c r="I6114" s="3">
        <v>46288</v>
      </c>
      <c r="L6114" s="24">
        <v>46288.698968634257</v>
      </c>
      <c r="M6114" s="2">
        <v>12</v>
      </c>
      <c r="N6114" s="1">
        <v>44</v>
      </c>
    </row>
    <row r="6115" spans="1:14" x14ac:dyDescent="0.25">
      <c r="A6115" t="str">
        <f t="shared" si="192"/>
        <v>U148141U148141</v>
      </c>
      <c r="B6115" t="str">
        <f t="shared" si="193"/>
        <v>U148141G90609SI-M</v>
      </c>
      <c r="C6115" s="1" t="s">
        <v>776</v>
      </c>
      <c r="D6115" s="1" t="s">
        <v>880</v>
      </c>
      <c r="E6115" s="1" t="s">
        <v>436</v>
      </c>
      <c r="F6115" s="1" t="s">
        <v>451</v>
      </c>
      <c r="G6115" s="1" t="s">
        <v>438</v>
      </c>
      <c r="H6115" s="1">
        <v>630</v>
      </c>
      <c r="I6115" s="3">
        <v>46288</v>
      </c>
      <c r="L6115" s="24">
        <v>46288.706046180552</v>
      </c>
      <c r="M6115" s="2">
        <v>12</v>
      </c>
      <c r="N6115" s="1">
        <v>45</v>
      </c>
    </row>
    <row r="6116" spans="1:14" x14ac:dyDescent="0.25">
      <c r="A6116" t="str">
        <f t="shared" si="192"/>
        <v>U148143U148143</v>
      </c>
      <c r="B6116" t="str">
        <f t="shared" si="193"/>
        <v>U148143PC9060EP-M</v>
      </c>
      <c r="C6116" s="1" t="s">
        <v>0</v>
      </c>
      <c r="D6116" s="1" t="s">
        <v>860</v>
      </c>
      <c r="E6116" s="1" t="s">
        <v>436</v>
      </c>
      <c r="F6116" s="1" t="s">
        <v>450</v>
      </c>
      <c r="G6116" s="1" t="s">
        <v>438</v>
      </c>
      <c r="H6116" s="1">
        <v>684</v>
      </c>
      <c r="I6116" s="3">
        <v>46288</v>
      </c>
      <c r="J6116" s="3">
        <v>46289</v>
      </c>
      <c r="L6116" s="24">
        <v>46288.398086261572</v>
      </c>
      <c r="M6116" s="2">
        <v>12</v>
      </c>
      <c r="N6116" s="1">
        <v>44</v>
      </c>
    </row>
    <row r="6117" spans="1:14" x14ac:dyDescent="0.25">
      <c r="A6117" t="str">
        <f t="shared" si="192"/>
        <v>U148143U148143</v>
      </c>
      <c r="B6117" t="str">
        <f t="shared" si="193"/>
        <v>U148143PC9060EP-M</v>
      </c>
      <c r="C6117" s="1" t="s">
        <v>0</v>
      </c>
      <c r="D6117" s="1" t="s">
        <v>860</v>
      </c>
      <c r="E6117" s="1" t="s">
        <v>436</v>
      </c>
      <c r="F6117" s="1" t="s">
        <v>450</v>
      </c>
      <c r="G6117" s="1" t="s">
        <v>438</v>
      </c>
      <c r="H6117" s="1">
        <v>684</v>
      </c>
      <c r="I6117" s="3">
        <v>46288</v>
      </c>
      <c r="J6117" s="3">
        <v>46289</v>
      </c>
      <c r="L6117" s="24">
        <v>46288.401305706015</v>
      </c>
      <c r="M6117" s="2">
        <v>12</v>
      </c>
      <c r="N6117" s="1">
        <v>41</v>
      </c>
    </row>
    <row r="6118" spans="1:14" x14ac:dyDescent="0.25">
      <c r="A6118" t="str">
        <f t="shared" si="192"/>
        <v>U148143U148143</v>
      </c>
      <c r="B6118" t="str">
        <f t="shared" si="193"/>
        <v>U148143PC9060EP-M</v>
      </c>
      <c r="C6118" s="1" t="s">
        <v>0</v>
      </c>
      <c r="D6118" s="1" t="s">
        <v>860</v>
      </c>
      <c r="E6118" s="1" t="s">
        <v>436</v>
      </c>
      <c r="F6118" s="1" t="s">
        <v>450</v>
      </c>
      <c r="G6118" s="1" t="s">
        <v>438</v>
      </c>
      <c r="H6118" s="1">
        <v>684</v>
      </c>
      <c r="I6118" s="3">
        <v>46288</v>
      </c>
      <c r="J6118" s="3">
        <v>46289</v>
      </c>
      <c r="L6118" s="24">
        <v>46288.401906562496</v>
      </c>
      <c r="M6118" s="2">
        <v>12</v>
      </c>
      <c r="N6118" s="1">
        <v>14</v>
      </c>
    </row>
    <row r="6119" spans="1:14" x14ac:dyDescent="0.25">
      <c r="A6119" t="str">
        <f t="shared" si="192"/>
        <v>U148143U148143</v>
      </c>
      <c r="B6119" t="str">
        <f t="shared" si="193"/>
        <v>U148143PC9060EP-M</v>
      </c>
      <c r="C6119" s="1" t="s">
        <v>0</v>
      </c>
      <c r="D6119" s="1" t="s">
        <v>860</v>
      </c>
      <c r="E6119" s="1" t="s">
        <v>436</v>
      </c>
      <c r="F6119" s="1" t="s">
        <v>450</v>
      </c>
      <c r="G6119" s="1" t="s">
        <v>438</v>
      </c>
      <c r="H6119" s="1">
        <v>684</v>
      </c>
      <c r="I6119" s="3">
        <v>46288</v>
      </c>
      <c r="J6119" s="3">
        <v>46289</v>
      </c>
      <c r="L6119" s="24">
        <v>46288.427363692128</v>
      </c>
      <c r="M6119" s="2">
        <v>12</v>
      </c>
      <c r="N6119" s="1">
        <v>45</v>
      </c>
    </row>
    <row r="6120" spans="1:14" x14ac:dyDescent="0.25">
      <c r="A6120" t="str">
        <f t="shared" si="192"/>
        <v>U148143U148143</v>
      </c>
      <c r="B6120" t="str">
        <f t="shared" si="193"/>
        <v>U148143PC9060EP-M</v>
      </c>
      <c r="C6120" s="1" t="s">
        <v>0</v>
      </c>
      <c r="D6120" s="1" t="s">
        <v>860</v>
      </c>
      <c r="E6120" s="1" t="s">
        <v>436</v>
      </c>
      <c r="F6120" s="1" t="s">
        <v>450</v>
      </c>
      <c r="G6120" s="1" t="s">
        <v>438</v>
      </c>
      <c r="H6120" s="1">
        <v>684</v>
      </c>
      <c r="I6120" s="3">
        <v>46288</v>
      </c>
      <c r="J6120" s="3">
        <v>46289</v>
      </c>
      <c r="L6120" s="24">
        <v>46288.42842491898</v>
      </c>
      <c r="M6120" s="2">
        <v>12</v>
      </c>
      <c r="N6120" s="1">
        <v>46</v>
      </c>
    </row>
    <row r="6121" spans="1:14" x14ac:dyDescent="0.25">
      <c r="A6121" t="str">
        <f t="shared" si="192"/>
        <v>U148143U148143</v>
      </c>
      <c r="B6121" t="str">
        <f t="shared" si="193"/>
        <v>U148143PC9060EP-M</v>
      </c>
      <c r="C6121" s="1" t="s">
        <v>0</v>
      </c>
      <c r="D6121" s="1" t="s">
        <v>860</v>
      </c>
      <c r="E6121" s="1" t="s">
        <v>436</v>
      </c>
      <c r="F6121" s="1" t="s">
        <v>450</v>
      </c>
      <c r="G6121" s="1" t="s">
        <v>438</v>
      </c>
      <c r="H6121" s="1">
        <v>684</v>
      </c>
      <c r="I6121" s="3">
        <v>46288</v>
      </c>
      <c r="J6121" s="3">
        <v>46289</v>
      </c>
      <c r="L6121" s="24">
        <v>46288.428768784717</v>
      </c>
      <c r="M6121" s="2">
        <v>12</v>
      </c>
      <c r="N6121" s="1">
        <v>40</v>
      </c>
    </row>
    <row r="6122" spans="1:14" x14ac:dyDescent="0.25">
      <c r="A6122" t="str">
        <f t="shared" si="192"/>
        <v>U148143U148143</v>
      </c>
      <c r="B6122" t="str">
        <f t="shared" si="193"/>
        <v>U148143PC9060EP-M</v>
      </c>
      <c r="C6122" s="1" t="s">
        <v>0</v>
      </c>
      <c r="D6122" s="1" t="s">
        <v>860</v>
      </c>
      <c r="E6122" s="1" t="s">
        <v>436</v>
      </c>
      <c r="F6122" s="1" t="s">
        <v>450</v>
      </c>
      <c r="G6122" s="1" t="s">
        <v>438</v>
      </c>
      <c r="H6122" s="1">
        <v>684</v>
      </c>
      <c r="I6122" s="3">
        <v>46288</v>
      </c>
      <c r="J6122" s="3">
        <v>46289</v>
      </c>
      <c r="L6122" s="24">
        <v>46288.432991469905</v>
      </c>
      <c r="M6122" s="2">
        <v>12</v>
      </c>
      <c r="N6122" s="1">
        <v>15</v>
      </c>
    </row>
    <row r="6123" spans="1:14" x14ac:dyDescent="0.25">
      <c r="A6123" t="str">
        <f t="shared" si="192"/>
        <v>U148143U148143</v>
      </c>
      <c r="B6123" t="str">
        <f t="shared" si="193"/>
        <v>U148143PC9060EP-M</v>
      </c>
      <c r="C6123" s="1" t="s">
        <v>0</v>
      </c>
      <c r="D6123" s="1" t="s">
        <v>860</v>
      </c>
      <c r="E6123" s="1" t="s">
        <v>436</v>
      </c>
      <c r="F6123" s="1" t="s">
        <v>450</v>
      </c>
      <c r="G6123" s="1" t="s">
        <v>438</v>
      </c>
      <c r="H6123" s="1">
        <v>684</v>
      </c>
      <c r="I6123" s="3">
        <v>46288</v>
      </c>
      <c r="J6123" s="3">
        <v>46289</v>
      </c>
      <c r="L6123" s="24">
        <v>46288.43351357639</v>
      </c>
      <c r="M6123" s="2">
        <v>12</v>
      </c>
      <c r="N6123" s="1">
        <v>47</v>
      </c>
    </row>
    <row r="6124" spans="1:14" x14ac:dyDescent="0.25">
      <c r="A6124" t="str">
        <f t="shared" si="192"/>
        <v>U148143U148143</v>
      </c>
      <c r="B6124" t="str">
        <f t="shared" si="193"/>
        <v>U148143PC9060EP-M</v>
      </c>
      <c r="C6124" s="1" t="s">
        <v>0</v>
      </c>
      <c r="D6124" s="1" t="s">
        <v>860</v>
      </c>
      <c r="E6124" s="1" t="s">
        <v>436</v>
      </c>
      <c r="F6124" s="1" t="s">
        <v>450</v>
      </c>
      <c r="G6124" s="1" t="s">
        <v>438</v>
      </c>
      <c r="H6124" s="1">
        <v>684</v>
      </c>
      <c r="I6124" s="3">
        <v>46288</v>
      </c>
      <c r="J6124" s="3">
        <v>46289</v>
      </c>
      <c r="L6124" s="24">
        <v>46288.437196909719</v>
      </c>
      <c r="M6124" s="2">
        <v>12</v>
      </c>
      <c r="N6124" s="1">
        <v>16</v>
      </c>
    </row>
    <row r="6125" spans="1:14" x14ac:dyDescent="0.25">
      <c r="A6125" t="str">
        <f t="shared" si="192"/>
        <v>U148143U148143</v>
      </c>
      <c r="B6125" t="str">
        <f t="shared" si="193"/>
        <v>U148143PC9060EP-M</v>
      </c>
      <c r="C6125" s="1" t="s">
        <v>0</v>
      </c>
      <c r="D6125" s="1" t="s">
        <v>860</v>
      </c>
      <c r="E6125" s="1" t="s">
        <v>436</v>
      </c>
      <c r="F6125" s="1" t="s">
        <v>450</v>
      </c>
      <c r="G6125" s="1" t="s">
        <v>438</v>
      </c>
      <c r="H6125" s="1">
        <v>684</v>
      </c>
      <c r="I6125" s="3">
        <v>46288</v>
      </c>
      <c r="J6125" s="3">
        <v>46289</v>
      </c>
      <c r="L6125" s="24">
        <v>46288.44158194444</v>
      </c>
      <c r="M6125" s="2">
        <v>12</v>
      </c>
      <c r="N6125" s="1">
        <v>48</v>
      </c>
    </row>
    <row r="6126" spans="1:14" x14ac:dyDescent="0.25">
      <c r="A6126" t="str">
        <f t="shared" si="192"/>
        <v>U148143U148143</v>
      </c>
      <c r="B6126" t="str">
        <f t="shared" si="193"/>
        <v>U148143PC9060EP-M</v>
      </c>
      <c r="C6126" s="1" t="s">
        <v>0</v>
      </c>
      <c r="D6126" s="1" t="s">
        <v>860</v>
      </c>
      <c r="E6126" s="1" t="s">
        <v>436</v>
      </c>
      <c r="F6126" s="1" t="s">
        <v>450</v>
      </c>
      <c r="G6126" s="1" t="s">
        <v>438</v>
      </c>
      <c r="H6126" s="1">
        <v>684</v>
      </c>
      <c r="I6126" s="3">
        <v>46288</v>
      </c>
      <c r="J6126" s="3">
        <v>46289</v>
      </c>
      <c r="L6126" s="24">
        <v>46288.448451122684</v>
      </c>
      <c r="M6126" s="2">
        <v>12</v>
      </c>
      <c r="N6126" s="1">
        <v>21</v>
      </c>
    </row>
    <row r="6127" spans="1:14" x14ac:dyDescent="0.25">
      <c r="A6127" t="str">
        <f t="shared" si="192"/>
        <v>U148143U148143</v>
      </c>
      <c r="B6127" t="str">
        <f t="shared" si="193"/>
        <v>U148143PC9060EP-M</v>
      </c>
      <c r="C6127" s="1" t="s">
        <v>0</v>
      </c>
      <c r="D6127" s="1" t="s">
        <v>860</v>
      </c>
      <c r="E6127" s="1" t="s">
        <v>436</v>
      </c>
      <c r="F6127" s="1" t="s">
        <v>450</v>
      </c>
      <c r="G6127" s="1" t="s">
        <v>438</v>
      </c>
      <c r="H6127" s="1">
        <v>684</v>
      </c>
      <c r="I6127" s="3">
        <v>46288</v>
      </c>
      <c r="J6127" s="3">
        <v>46289</v>
      </c>
      <c r="L6127" s="24">
        <v>46288.448657094908</v>
      </c>
      <c r="M6127" s="2">
        <v>12</v>
      </c>
      <c r="N6127" s="1">
        <v>49</v>
      </c>
    </row>
    <row r="6128" spans="1:14" x14ac:dyDescent="0.25">
      <c r="A6128" t="str">
        <f t="shared" si="192"/>
        <v>U148143U148143</v>
      </c>
      <c r="B6128" t="str">
        <f t="shared" si="193"/>
        <v>U148143PC9060EP-M</v>
      </c>
      <c r="C6128" s="1" t="s">
        <v>0</v>
      </c>
      <c r="D6128" s="1" t="s">
        <v>860</v>
      </c>
      <c r="E6128" s="1" t="s">
        <v>436</v>
      </c>
      <c r="F6128" s="1" t="s">
        <v>450</v>
      </c>
      <c r="G6128" s="1" t="s">
        <v>438</v>
      </c>
      <c r="H6128" s="1">
        <v>684</v>
      </c>
      <c r="I6128" s="3">
        <v>46288</v>
      </c>
      <c r="J6128" s="3">
        <v>46289</v>
      </c>
      <c r="L6128" s="24">
        <v>46288.449719791664</v>
      </c>
      <c r="M6128" s="2">
        <v>12</v>
      </c>
      <c r="N6128" s="1">
        <v>39</v>
      </c>
    </row>
    <row r="6129" spans="1:14" x14ac:dyDescent="0.25">
      <c r="A6129" t="str">
        <f t="shared" si="192"/>
        <v>U148143U148143</v>
      </c>
      <c r="B6129" t="str">
        <f t="shared" si="193"/>
        <v>U148143PC9060EP-M</v>
      </c>
      <c r="C6129" s="1" t="s">
        <v>0</v>
      </c>
      <c r="D6129" s="1" t="s">
        <v>860</v>
      </c>
      <c r="E6129" s="1" t="s">
        <v>436</v>
      </c>
      <c r="F6129" s="1" t="s">
        <v>450</v>
      </c>
      <c r="G6129" s="1" t="s">
        <v>438</v>
      </c>
      <c r="H6129" s="1">
        <v>684</v>
      </c>
      <c r="I6129" s="3">
        <v>46288</v>
      </c>
      <c r="J6129" s="3">
        <v>46289</v>
      </c>
      <c r="L6129" s="24">
        <v>46288.454335798611</v>
      </c>
      <c r="M6129" s="2">
        <v>12</v>
      </c>
      <c r="N6129" s="1">
        <v>50</v>
      </c>
    </row>
    <row r="6130" spans="1:14" x14ac:dyDescent="0.25">
      <c r="A6130" t="str">
        <f t="shared" si="192"/>
        <v>U148143U148143</v>
      </c>
      <c r="B6130" t="str">
        <f t="shared" si="193"/>
        <v>U148143PC9060EP-M</v>
      </c>
      <c r="C6130" s="1" t="s">
        <v>0</v>
      </c>
      <c r="D6130" s="1" t="s">
        <v>860</v>
      </c>
      <c r="E6130" s="1" t="s">
        <v>436</v>
      </c>
      <c r="F6130" s="1" t="s">
        <v>450</v>
      </c>
      <c r="G6130" s="1" t="s">
        <v>438</v>
      </c>
      <c r="H6130" s="1">
        <v>684</v>
      </c>
      <c r="I6130" s="3">
        <v>46288</v>
      </c>
      <c r="J6130" s="3">
        <v>46289</v>
      </c>
      <c r="L6130" s="24">
        <v>46288.459006481477</v>
      </c>
      <c r="M6130" s="2">
        <v>12</v>
      </c>
      <c r="N6130" s="1">
        <v>17</v>
      </c>
    </row>
    <row r="6131" spans="1:14" x14ac:dyDescent="0.25">
      <c r="A6131" t="str">
        <f t="shared" si="192"/>
        <v>U148143U148143</v>
      </c>
      <c r="B6131" t="str">
        <f t="shared" si="193"/>
        <v>U148143PC9060EP-M</v>
      </c>
      <c r="C6131" s="1" t="s">
        <v>0</v>
      </c>
      <c r="D6131" s="1" t="s">
        <v>860</v>
      </c>
      <c r="E6131" s="1" t="s">
        <v>436</v>
      </c>
      <c r="F6131" s="1" t="s">
        <v>450</v>
      </c>
      <c r="G6131" s="1" t="s">
        <v>438</v>
      </c>
      <c r="H6131" s="1">
        <v>684</v>
      </c>
      <c r="I6131" s="3">
        <v>46288</v>
      </c>
      <c r="J6131" s="3">
        <v>46289</v>
      </c>
      <c r="L6131" s="24">
        <v>46288.544184872684</v>
      </c>
      <c r="M6131" s="2">
        <v>12</v>
      </c>
      <c r="N6131" s="1">
        <v>32</v>
      </c>
    </row>
    <row r="6132" spans="1:14" x14ac:dyDescent="0.25">
      <c r="A6132" t="str">
        <f t="shared" si="192"/>
        <v>U148143U148143</v>
      </c>
      <c r="B6132" t="str">
        <f t="shared" si="193"/>
        <v>U148143PC9060EP-M</v>
      </c>
      <c r="C6132" s="1" t="s">
        <v>0</v>
      </c>
      <c r="D6132" s="1" t="s">
        <v>860</v>
      </c>
      <c r="E6132" s="1" t="s">
        <v>436</v>
      </c>
      <c r="F6132" s="1" t="s">
        <v>450</v>
      </c>
      <c r="G6132" s="1" t="s">
        <v>438</v>
      </c>
      <c r="H6132" s="1">
        <v>684</v>
      </c>
      <c r="I6132" s="3">
        <v>46288</v>
      </c>
      <c r="J6132" s="3">
        <v>46289</v>
      </c>
      <c r="L6132" s="24">
        <v>46288.548163043983</v>
      </c>
      <c r="M6132" s="2">
        <v>12</v>
      </c>
      <c r="N6132" s="1">
        <v>7</v>
      </c>
    </row>
    <row r="6133" spans="1:14" x14ac:dyDescent="0.25">
      <c r="A6133" t="str">
        <f t="shared" si="192"/>
        <v>U148143U148143</v>
      </c>
      <c r="B6133" t="str">
        <f t="shared" si="193"/>
        <v>U148143PC9060EP-M</v>
      </c>
      <c r="C6133" s="1" t="s">
        <v>0</v>
      </c>
      <c r="D6133" s="1" t="s">
        <v>860</v>
      </c>
      <c r="E6133" s="1" t="s">
        <v>436</v>
      </c>
      <c r="F6133" s="1" t="s">
        <v>450</v>
      </c>
      <c r="G6133" s="1" t="s">
        <v>438</v>
      </c>
      <c r="H6133" s="1">
        <v>684</v>
      </c>
      <c r="I6133" s="3">
        <v>46288</v>
      </c>
      <c r="J6133" s="3">
        <v>46289</v>
      </c>
      <c r="L6133" s="24">
        <v>46288.552607175923</v>
      </c>
      <c r="M6133" s="2">
        <v>12</v>
      </c>
      <c r="N6133" s="1">
        <v>25</v>
      </c>
    </row>
    <row r="6134" spans="1:14" x14ac:dyDescent="0.25">
      <c r="A6134" t="str">
        <f t="shared" si="192"/>
        <v>U148143U148143</v>
      </c>
      <c r="B6134" t="str">
        <f t="shared" si="193"/>
        <v>U148143PC9060EP-M</v>
      </c>
      <c r="C6134" s="1" t="s">
        <v>0</v>
      </c>
      <c r="D6134" s="1" t="s">
        <v>860</v>
      </c>
      <c r="E6134" s="1" t="s">
        <v>436</v>
      </c>
      <c r="F6134" s="1" t="s">
        <v>450</v>
      </c>
      <c r="G6134" s="1" t="s">
        <v>438</v>
      </c>
      <c r="H6134" s="1">
        <v>684</v>
      </c>
      <c r="I6134" s="3">
        <v>46288</v>
      </c>
      <c r="J6134" s="3">
        <v>46289</v>
      </c>
      <c r="L6134" s="24">
        <v>46288.55286481481</v>
      </c>
      <c r="M6134" s="2">
        <v>12</v>
      </c>
      <c r="N6134" s="1">
        <v>1</v>
      </c>
    </row>
    <row r="6135" spans="1:14" x14ac:dyDescent="0.25">
      <c r="A6135" t="str">
        <f t="shared" si="192"/>
        <v>U148143U148143</v>
      </c>
      <c r="B6135" t="str">
        <f t="shared" si="193"/>
        <v>U148143PC9060EP-M</v>
      </c>
      <c r="C6135" s="1" t="s">
        <v>0</v>
      </c>
      <c r="D6135" s="1" t="s">
        <v>860</v>
      </c>
      <c r="E6135" s="1" t="s">
        <v>436</v>
      </c>
      <c r="F6135" s="1" t="s">
        <v>450</v>
      </c>
      <c r="G6135" s="1" t="s">
        <v>438</v>
      </c>
      <c r="H6135" s="1">
        <v>684</v>
      </c>
      <c r="I6135" s="3">
        <v>46288</v>
      </c>
      <c r="J6135" s="3">
        <v>46289</v>
      </c>
      <c r="L6135" s="24">
        <v>46288.55305130787</v>
      </c>
      <c r="M6135" s="2">
        <v>12</v>
      </c>
      <c r="N6135" s="1">
        <v>2</v>
      </c>
    </row>
    <row r="6136" spans="1:14" x14ac:dyDescent="0.25">
      <c r="A6136" t="str">
        <f t="shared" si="192"/>
        <v>U148143U148143</v>
      </c>
      <c r="B6136" t="str">
        <f t="shared" si="193"/>
        <v>U148143PC9060EP-M</v>
      </c>
      <c r="C6136" s="1" t="s">
        <v>0</v>
      </c>
      <c r="D6136" s="1" t="s">
        <v>860</v>
      </c>
      <c r="E6136" s="1" t="s">
        <v>436</v>
      </c>
      <c r="F6136" s="1" t="s">
        <v>450</v>
      </c>
      <c r="G6136" s="1" t="s">
        <v>438</v>
      </c>
      <c r="H6136" s="1">
        <v>684</v>
      </c>
      <c r="I6136" s="3">
        <v>46288</v>
      </c>
      <c r="J6136" s="3">
        <v>46289</v>
      </c>
      <c r="L6136" s="24">
        <v>46288.553634918979</v>
      </c>
      <c r="M6136" s="2">
        <v>12</v>
      </c>
      <c r="N6136" s="1">
        <v>18</v>
      </c>
    </row>
    <row r="6137" spans="1:14" x14ac:dyDescent="0.25">
      <c r="A6137" t="str">
        <f t="shared" si="192"/>
        <v>U148143U148143</v>
      </c>
      <c r="B6137" t="str">
        <f t="shared" si="193"/>
        <v>U148143PC9060EP-M</v>
      </c>
      <c r="C6137" s="1" t="s">
        <v>0</v>
      </c>
      <c r="D6137" s="1" t="s">
        <v>860</v>
      </c>
      <c r="E6137" s="1" t="s">
        <v>436</v>
      </c>
      <c r="F6137" s="1" t="s">
        <v>450</v>
      </c>
      <c r="G6137" s="1" t="s">
        <v>438</v>
      </c>
      <c r="H6137" s="1">
        <v>684</v>
      </c>
      <c r="I6137" s="3">
        <v>46288</v>
      </c>
      <c r="J6137" s="3">
        <v>46289</v>
      </c>
      <c r="L6137" s="24">
        <v>46288.554178622682</v>
      </c>
      <c r="M6137" s="2">
        <v>12</v>
      </c>
      <c r="N6137" s="1">
        <v>37</v>
      </c>
    </row>
    <row r="6138" spans="1:14" x14ac:dyDescent="0.25">
      <c r="A6138" t="str">
        <f t="shared" si="192"/>
        <v>U148143U148143</v>
      </c>
      <c r="B6138" t="str">
        <f t="shared" si="193"/>
        <v>U148143PC9060EP-M</v>
      </c>
      <c r="C6138" s="1" t="s">
        <v>0</v>
      </c>
      <c r="D6138" s="1" t="s">
        <v>860</v>
      </c>
      <c r="E6138" s="1" t="s">
        <v>436</v>
      </c>
      <c r="F6138" s="1" t="s">
        <v>450</v>
      </c>
      <c r="G6138" s="1" t="s">
        <v>438</v>
      </c>
      <c r="H6138" s="1">
        <v>684</v>
      </c>
      <c r="I6138" s="3">
        <v>46288</v>
      </c>
      <c r="J6138" s="3">
        <v>46289</v>
      </c>
      <c r="L6138" s="24">
        <v>46288.554687465279</v>
      </c>
      <c r="M6138" s="2">
        <v>12</v>
      </c>
      <c r="N6138" s="1">
        <v>23</v>
      </c>
    </row>
    <row r="6139" spans="1:14" x14ac:dyDescent="0.25">
      <c r="A6139" t="str">
        <f t="shared" si="192"/>
        <v>U148143U148143</v>
      </c>
      <c r="B6139" t="str">
        <f t="shared" si="193"/>
        <v>U148143PC9060EP-M</v>
      </c>
      <c r="C6139" s="1" t="s">
        <v>0</v>
      </c>
      <c r="D6139" s="1" t="s">
        <v>860</v>
      </c>
      <c r="E6139" s="1" t="s">
        <v>436</v>
      </c>
      <c r="F6139" s="1" t="s">
        <v>450</v>
      </c>
      <c r="G6139" s="1" t="s">
        <v>438</v>
      </c>
      <c r="H6139" s="1">
        <v>684</v>
      </c>
      <c r="I6139" s="3">
        <v>46288</v>
      </c>
      <c r="J6139" s="3">
        <v>46289</v>
      </c>
      <c r="L6139" s="24">
        <v>46288.554913773143</v>
      </c>
      <c r="M6139" s="2">
        <v>12</v>
      </c>
      <c r="N6139" s="1">
        <v>51</v>
      </c>
    </row>
    <row r="6140" spans="1:14" x14ac:dyDescent="0.25">
      <c r="A6140" t="str">
        <f t="shared" si="192"/>
        <v>U148143U148143</v>
      </c>
      <c r="B6140" t="str">
        <f t="shared" si="193"/>
        <v>U148143PC9060EP-M</v>
      </c>
      <c r="C6140" s="1" t="s">
        <v>0</v>
      </c>
      <c r="D6140" s="1" t="s">
        <v>860</v>
      </c>
      <c r="E6140" s="1" t="s">
        <v>436</v>
      </c>
      <c r="F6140" s="1" t="s">
        <v>450</v>
      </c>
      <c r="G6140" s="1" t="s">
        <v>438</v>
      </c>
      <c r="H6140" s="1">
        <v>684</v>
      </c>
      <c r="I6140" s="3">
        <v>46288</v>
      </c>
      <c r="J6140" s="3">
        <v>46289</v>
      </c>
      <c r="L6140" s="24">
        <v>46288.560588506945</v>
      </c>
      <c r="M6140" s="2">
        <v>12</v>
      </c>
      <c r="N6140" s="1">
        <v>3</v>
      </c>
    </row>
    <row r="6141" spans="1:14" x14ac:dyDescent="0.25">
      <c r="A6141" t="str">
        <f t="shared" si="192"/>
        <v>U148143U148143</v>
      </c>
      <c r="B6141" t="str">
        <f t="shared" si="193"/>
        <v>U148143PC9060EP-M</v>
      </c>
      <c r="C6141" s="1" t="s">
        <v>0</v>
      </c>
      <c r="D6141" s="1" t="s">
        <v>860</v>
      </c>
      <c r="E6141" s="1" t="s">
        <v>436</v>
      </c>
      <c r="F6141" s="1" t="s">
        <v>450</v>
      </c>
      <c r="G6141" s="1" t="s">
        <v>438</v>
      </c>
      <c r="H6141" s="1">
        <v>684</v>
      </c>
      <c r="I6141" s="3">
        <v>46288</v>
      </c>
      <c r="J6141" s="3">
        <v>46289</v>
      </c>
      <c r="L6141" s="24">
        <v>46288.561888506942</v>
      </c>
      <c r="M6141" s="2">
        <v>12</v>
      </c>
      <c r="N6141" s="1">
        <v>34</v>
      </c>
    </row>
    <row r="6142" spans="1:14" x14ac:dyDescent="0.25">
      <c r="A6142" t="str">
        <f t="shared" si="192"/>
        <v>U148143U148143</v>
      </c>
      <c r="B6142" t="str">
        <f t="shared" si="193"/>
        <v>U148143PC9060EP-M</v>
      </c>
      <c r="C6142" s="1" t="s">
        <v>0</v>
      </c>
      <c r="D6142" s="1" t="s">
        <v>860</v>
      </c>
      <c r="E6142" s="1" t="s">
        <v>436</v>
      </c>
      <c r="F6142" s="1" t="s">
        <v>450</v>
      </c>
      <c r="G6142" s="1" t="s">
        <v>438</v>
      </c>
      <c r="H6142" s="1">
        <v>684</v>
      </c>
      <c r="I6142" s="3">
        <v>46288</v>
      </c>
      <c r="J6142" s="3">
        <v>46289</v>
      </c>
      <c r="L6142" s="24">
        <v>46288.566633483795</v>
      </c>
      <c r="M6142" s="2">
        <v>12</v>
      </c>
      <c r="N6142" s="1">
        <v>35</v>
      </c>
    </row>
    <row r="6143" spans="1:14" x14ac:dyDescent="0.25">
      <c r="A6143" t="str">
        <f t="shared" si="192"/>
        <v>U148143U148143</v>
      </c>
      <c r="B6143" t="str">
        <f t="shared" si="193"/>
        <v>U148143PC9060EP-M</v>
      </c>
      <c r="C6143" s="1" t="s">
        <v>0</v>
      </c>
      <c r="D6143" s="1" t="s">
        <v>860</v>
      </c>
      <c r="E6143" s="1" t="s">
        <v>436</v>
      </c>
      <c r="F6143" s="1" t="s">
        <v>450</v>
      </c>
      <c r="G6143" s="1" t="s">
        <v>438</v>
      </c>
      <c r="H6143" s="1">
        <v>684</v>
      </c>
      <c r="I6143" s="3">
        <v>46288</v>
      </c>
      <c r="J6143" s="3">
        <v>46289</v>
      </c>
      <c r="L6143" s="24">
        <v>46288.567939432869</v>
      </c>
      <c r="M6143" s="2">
        <v>12</v>
      </c>
      <c r="N6143" s="1">
        <v>8</v>
      </c>
    </row>
    <row r="6144" spans="1:14" x14ac:dyDescent="0.25">
      <c r="A6144" t="str">
        <f t="shared" si="192"/>
        <v>U148143U148143</v>
      </c>
      <c r="B6144" t="str">
        <f t="shared" si="193"/>
        <v>U148143PC9060EP-M</v>
      </c>
      <c r="C6144" s="1" t="s">
        <v>0</v>
      </c>
      <c r="D6144" s="1" t="s">
        <v>860</v>
      </c>
      <c r="E6144" s="1" t="s">
        <v>436</v>
      </c>
      <c r="F6144" s="1" t="s">
        <v>450</v>
      </c>
      <c r="G6144" s="1" t="s">
        <v>438</v>
      </c>
      <c r="H6144" s="1">
        <v>684</v>
      </c>
      <c r="I6144" s="3">
        <v>46288</v>
      </c>
      <c r="J6144" s="3">
        <v>46289</v>
      </c>
      <c r="L6144" s="24">
        <v>46288.568546724535</v>
      </c>
      <c r="M6144" s="2">
        <v>12</v>
      </c>
      <c r="N6144" s="1">
        <v>52</v>
      </c>
    </row>
    <row r="6145" spans="1:14" x14ac:dyDescent="0.25">
      <c r="A6145" t="str">
        <f t="shared" si="192"/>
        <v>U148143U148143</v>
      </c>
      <c r="B6145" t="str">
        <f t="shared" si="193"/>
        <v>U148143PC9060EP-M</v>
      </c>
      <c r="C6145" s="1" t="s">
        <v>0</v>
      </c>
      <c r="D6145" s="1" t="s">
        <v>860</v>
      </c>
      <c r="E6145" s="1" t="s">
        <v>436</v>
      </c>
      <c r="F6145" s="1" t="s">
        <v>450</v>
      </c>
      <c r="G6145" s="1" t="s">
        <v>438</v>
      </c>
      <c r="H6145" s="1">
        <v>684</v>
      </c>
      <c r="I6145" s="3">
        <v>46288</v>
      </c>
      <c r="J6145" s="3">
        <v>46289</v>
      </c>
      <c r="L6145" s="24">
        <v>46288.568837384257</v>
      </c>
      <c r="M6145" s="2">
        <v>12</v>
      </c>
      <c r="N6145" s="1">
        <v>22</v>
      </c>
    </row>
    <row r="6146" spans="1:14" x14ac:dyDescent="0.25">
      <c r="A6146" t="str">
        <f t="shared" ref="A6146:A6209" si="194">+D6146&amp;D6146</f>
        <v>U148143U148143</v>
      </c>
      <c r="B6146" t="str">
        <f t="shared" ref="B6146:B6209" si="195">+D6146&amp;C6146</f>
        <v>U148143PC9060EP-M</v>
      </c>
      <c r="C6146" s="1" t="s">
        <v>0</v>
      </c>
      <c r="D6146" s="1" t="s">
        <v>860</v>
      </c>
      <c r="E6146" s="1" t="s">
        <v>436</v>
      </c>
      <c r="F6146" s="1" t="s">
        <v>450</v>
      </c>
      <c r="G6146" s="1" t="s">
        <v>438</v>
      </c>
      <c r="H6146" s="1">
        <v>684</v>
      </c>
      <c r="I6146" s="3">
        <v>46288</v>
      </c>
      <c r="J6146" s="3">
        <v>46289</v>
      </c>
      <c r="L6146" s="24">
        <v>46288.575581747682</v>
      </c>
      <c r="M6146" s="2">
        <v>12</v>
      </c>
      <c r="N6146" s="1">
        <v>24</v>
      </c>
    </row>
    <row r="6147" spans="1:14" x14ac:dyDescent="0.25">
      <c r="A6147" t="str">
        <f t="shared" si="194"/>
        <v>U148143U148143</v>
      </c>
      <c r="B6147" t="str">
        <f t="shared" si="195"/>
        <v>U148143PC9060EP-M</v>
      </c>
      <c r="C6147" s="1" t="s">
        <v>0</v>
      </c>
      <c r="D6147" s="1" t="s">
        <v>860</v>
      </c>
      <c r="E6147" s="1" t="s">
        <v>436</v>
      </c>
      <c r="F6147" s="1" t="s">
        <v>450</v>
      </c>
      <c r="G6147" s="1" t="s">
        <v>438</v>
      </c>
      <c r="H6147" s="1">
        <v>684</v>
      </c>
      <c r="I6147" s="3">
        <v>46288</v>
      </c>
      <c r="J6147" s="3">
        <v>46289</v>
      </c>
      <c r="L6147" s="24">
        <v>46288.577804513887</v>
      </c>
      <c r="M6147" s="2">
        <v>12</v>
      </c>
      <c r="N6147" s="1">
        <v>30</v>
      </c>
    </row>
    <row r="6148" spans="1:14" x14ac:dyDescent="0.25">
      <c r="A6148" t="str">
        <f t="shared" si="194"/>
        <v>U148143U148143</v>
      </c>
      <c r="B6148" t="str">
        <f t="shared" si="195"/>
        <v>U148143PC9060EP-M</v>
      </c>
      <c r="C6148" s="1" t="s">
        <v>0</v>
      </c>
      <c r="D6148" s="1" t="s">
        <v>860</v>
      </c>
      <c r="E6148" s="1" t="s">
        <v>436</v>
      </c>
      <c r="F6148" s="1" t="s">
        <v>450</v>
      </c>
      <c r="G6148" s="1" t="s">
        <v>438</v>
      </c>
      <c r="H6148" s="1">
        <v>684</v>
      </c>
      <c r="I6148" s="3">
        <v>46288</v>
      </c>
      <c r="J6148" s="3">
        <v>46289</v>
      </c>
      <c r="L6148" s="24">
        <v>46288.586213391201</v>
      </c>
      <c r="M6148" s="2">
        <v>12</v>
      </c>
      <c r="N6148" s="1">
        <v>9</v>
      </c>
    </row>
    <row r="6149" spans="1:14" x14ac:dyDescent="0.25">
      <c r="A6149" t="str">
        <f t="shared" si="194"/>
        <v>U148143U148143</v>
      </c>
      <c r="B6149" t="str">
        <f t="shared" si="195"/>
        <v>U148143PC9060EP-M</v>
      </c>
      <c r="C6149" s="1" t="s">
        <v>0</v>
      </c>
      <c r="D6149" s="1" t="s">
        <v>860</v>
      </c>
      <c r="E6149" s="1" t="s">
        <v>436</v>
      </c>
      <c r="F6149" s="1" t="s">
        <v>450</v>
      </c>
      <c r="G6149" s="1" t="s">
        <v>438</v>
      </c>
      <c r="H6149" s="1">
        <v>684</v>
      </c>
      <c r="I6149" s="3">
        <v>46288</v>
      </c>
      <c r="J6149" s="3">
        <v>46289</v>
      </c>
      <c r="L6149" s="24">
        <v>46288.587907638888</v>
      </c>
      <c r="M6149" s="2">
        <v>12</v>
      </c>
      <c r="N6149" s="1">
        <v>19</v>
      </c>
    </row>
    <row r="6150" spans="1:14" x14ac:dyDescent="0.25">
      <c r="A6150" t="str">
        <f t="shared" si="194"/>
        <v>U148143U148143</v>
      </c>
      <c r="B6150" t="str">
        <f t="shared" si="195"/>
        <v>U148143PC9060EP-M</v>
      </c>
      <c r="C6150" s="1" t="s">
        <v>0</v>
      </c>
      <c r="D6150" s="1" t="s">
        <v>860</v>
      </c>
      <c r="E6150" s="1" t="s">
        <v>436</v>
      </c>
      <c r="F6150" s="1" t="s">
        <v>450</v>
      </c>
      <c r="G6150" s="1" t="s">
        <v>438</v>
      </c>
      <c r="H6150" s="1">
        <v>684</v>
      </c>
      <c r="I6150" s="3">
        <v>46288</v>
      </c>
      <c r="J6150" s="3">
        <v>46289</v>
      </c>
      <c r="L6150" s="24">
        <v>46288.589657372686</v>
      </c>
      <c r="M6150" s="2">
        <v>12</v>
      </c>
      <c r="N6150" s="1">
        <v>31</v>
      </c>
    </row>
    <row r="6151" spans="1:14" x14ac:dyDescent="0.25">
      <c r="A6151" t="str">
        <f t="shared" si="194"/>
        <v>U148143U148143</v>
      </c>
      <c r="B6151" t="str">
        <f t="shared" si="195"/>
        <v>U148143PC9060EP-M</v>
      </c>
      <c r="C6151" s="1" t="s">
        <v>0</v>
      </c>
      <c r="D6151" s="1" t="s">
        <v>860</v>
      </c>
      <c r="E6151" s="1" t="s">
        <v>436</v>
      </c>
      <c r="F6151" s="1" t="s">
        <v>450</v>
      </c>
      <c r="G6151" s="1" t="s">
        <v>438</v>
      </c>
      <c r="H6151" s="1">
        <v>684</v>
      </c>
      <c r="I6151" s="3">
        <v>46288</v>
      </c>
      <c r="J6151" s="3">
        <v>46289</v>
      </c>
      <c r="L6151" s="24">
        <v>46288.590031631946</v>
      </c>
      <c r="M6151" s="2">
        <v>12</v>
      </c>
      <c r="N6151" s="1">
        <v>20</v>
      </c>
    </row>
    <row r="6152" spans="1:14" x14ac:dyDescent="0.25">
      <c r="A6152" t="str">
        <f t="shared" si="194"/>
        <v>U148143U148143</v>
      </c>
      <c r="B6152" t="str">
        <f t="shared" si="195"/>
        <v>U148143PC9060EP-M</v>
      </c>
      <c r="C6152" s="1" t="s">
        <v>0</v>
      </c>
      <c r="D6152" s="1" t="s">
        <v>860</v>
      </c>
      <c r="E6152" s="1" t="s">
        <v>436</v>
      </c>
      <c r="F6152" s="1" t="s">
        <v>450</v>
      </c>
      <c r="G6152" s="1" t="s">
        <v>438</v>
      </c>
      <c r="H6152" s="1">
        <v>684</v>
      </c>
      <c r="I6152" s="3">
        <v>46288</v>
      </c>
      <c r="J6152" s="3">
        <v>46289</v>
      </c>
      <c r="L6152" s="24">
        <v>46288.590365543976</v>
      </c>
      <c r="M6152" s="2">
        <v>12</v>
      </c>
      <c r="N6152" s="1">
        <v>27</v>
      </c>
    </row>
    <row r="6153" spans="1:14" x14ac:dyDescent="0.25">
      <c r="A6153" t="str">
        <f t="shared" si="194"/>
        <v>U148143U148143</v>
      </c>
      <c r="B6153" t="str">
        <f t="shared" si="195"/>
        <v>U148143PC9060EP-M</v>
      </c>
      <c r="C6153" s="1" t="s">
        <v>0</v>
      </c>
      <c r="D6153" s="1" t="s">
        <v>860</v>
      </c>
      <c r="E6153" s="1" t="s">
        <v>436</v>
      </c>
      <c r="F6153" s="1" t="s">
        <v>450</v>
      </c>
      <c r="G6153" s="1" t="s">
        <v>438</v>
      </c>
      <c r="H6153" s="1">
        <v>684</v>
      </c>
      <c r="I6153" s="3">
        <v>46288</v>
      </c>
      <c r="J6153" s="3">
        <v>46289</v>
      </c>
      <c r="L6153" s="24">
        <v>46288.592358761569</v>
      </c>
      <c r="M6153" s="2">
        <v>12</v>
      </c>
      <c r="N6153" s="1">
        <v>4</v>
      </c>
    </row>
    <row r="6154" spans="1:14" x14ac:dyDescent="0.25">
      <c r="A6154" t="str">
        <f t="shared" si="194"/>
        <v>U148143U148143</v>
      </c>
      <c r="B6154" t="str">
        <f t="shared" si="195"/>
        <v>U148143PC9060EP-M</v>
      </c>
      <c r="C6154" s="1" t="s">
        <v>0</v>
      </c>
      <c r="D6154" s="1" t="s">
        <v>860</v>
      </c>
      <c r="E6154" s="1" t="s">
        <v>436</v>
      </c>
      <c r="F6154" s="1" t="s">
        <v>450</v>
      </c>
      <c r="G6154" s="1" t="s">
        <v>438</v>
      </c>
      <c r="H6154" s="1">
        <v>684</v>
      </c>
      <c r="I6154" s="3">
        <v>46288</v>
      </c>
      <c r="J6154" s="3">
        <v>46289</v>
      </c>
      <c r="L6154" s="24">
        <v>46288.594836805554</v>
      </c>
      <c r="M6154" s="2">
        <v>12</v>
      </c>
      <c r="N6154" s="1">
        <v>26</v>
      </c>
    </row>
    <row r="6155" spans="1:14" x14ac:dyDescent="0.25">
      <c r="A6155" t="str">
        <f t="shared" si="194"/>
        <v>U148143U148143</v>
      </c>
      <c r="B6155" t="str">
        <f t="shared" si="195"/>
        <v>U148143PC9060EP-M</v>
      </c>
      <c r="C6155" s="1" t="s">
        <v>0</v>
      </c>
      <c r="D6155" s="1" t="s">
        <v>860</v>
      </c>
      <c r="E6155" s="1" t="s">
        <v>436</v>
      </c>
      <c r="F6155" s="1" t="s">
        <v>450</v>
      </c>
      <c r="G6155" s="1" t="s">
        <v>438</v>
      </c>
      <c r="H6155" s="1">
        <v>684</v>
      </c>
      <c r="I6155" s="3">
        <v>46288</v>
      </c>
      <c r="J6155" s="3">
        <v>46289</v>
      </c>
      <c r="L6155" s="24">
        <v>46288.597914583333</v>
      </c>
      <c r="M6155" s="2">
        <v>12</v>
      </c>
      <c r="N6155" s="1">
        <v>42</v>
      </c>
    </row>
    <row r="6156" spans="1:14" x14ac:dyDescent="0.25">
      <c r="A6156" t="str">
        <f t="shared" si="194"/>
        <v>U148143U148143</v>
      </c>
      <c r="B6156" t="str">
        <f t="shared" si="195"/>
        <v>U148143PC9060EP-M</v>
      </c>
      <c r="C6156" s="1" t="s">
        <v>0</v>
      </c>
      <c r="D6156" s="1" t="s">
        <v>860</v>
      </c>
      <c r="E6156" s="1" t="s">
        <v>436</v>
      </c>
      <c r="F6156" s="1" t="s">
        <v>450</v>
      </c>
      <c r="G6156" s="1" t="s">
        <v>438</v>
      </c>
      <c r="H6156" s="1">
        <v>684</v>
      </c>
      <c r="I6156" s="3">
        <v>46288</v>
      </c>
      <c r="J6156" s="3">
        <v>46289</v>
      </c>
      <c r="L6156" s="24">
        <v>46288.598259756945</v>
      </c>
      <c r="M6156" s="2">
        <v>12</v>
      </c>
      <c r="N6156" s="1">
        <v>36</v>
      </c>
    </row>
    <row r="6157" spans="1:14" x14ac:dyDescent="0.25">
      <c r="A6157" t="str">
        <f t="shared" si="194"/>
        <v>U148143U148143</v>
      </c>
      <c r="B6157" t="str">
        <f t="shared" si="195"/>
        <v>U148143PC9060EP-M</v>
      </c>
      <c r="C6157" s="1" t="s">
        <v>0</v>
      </c>
      <c r="D6157" s="1" t="s">
        <v>860</v>
      </c>
      <c r="E6157" s="1" t="s">
        <v>436</v>
      </c>
      <c r="F6157" s="1" t="s">
        <v>450</v>
      </c>
      <c r="G6157" s="1" t="s">
        <v>438</v>
      </c>
      <c r="H6157" s="1">
        <v>684</v>
      </c>
      <c r="I6157" s="3">
        <v>46288</v>
      </c>
      <c r="J6157" s="3">
        <v>46289</v>
      </c>
      <c r="L6157" s="24">
        <v>46288.599429247683</v>
      </c>
      <c r="M6157" s="2">
        <v>12</v>
      </c>
      <c r="N6157" s="1">
        <v>11</v>
      </c>
    </row>
    <row r="6158" spans="1:14" x14ac:dyDescent="0.25">
      <c r="A6158" t="str">
        <f t="shared" si="194"/>
        <v>U148143U148143</v>
      </c>
      <c r="B6158" t="str">
        <f t="shared" si="195"/>
        <v>U148143PC9060EP-M</v>
      </c>
      <c r="C6158" s="1" t="s">
        <v>0</v>
      </c>
      <c r="D6158" s="1" t="s">
        <v>860</v>
      </c>
      <c r="E6158" s="1" t="s">
        <v>436</v>
      </c>
      <c r="F6158" s="1" t="s">
        <v>450</v>
      </c>
      <c r="G6158" s="1" t="s">
        <v>438</v>
      </c>
      <c r="H6158" s="1">
        <v>684</v>
      </c>
      <c r="I6158" s="3">
        <v>46288</v>
      </c>
      <c r="J6158" s="3">
        <v>46289</v>
      </c>
      <c r="L6158" s="24">
        <v>46288.607752858792</v>
      </c>
      <c r="M6158" s="2">
        <v>12</v>
      </c>
      <c r="N6158" s="1">
        <v>53</v>
      </c>
    </row>
    <row r="6159" spans="1:14" x14ac:dyDescent="0.25">
      <c r="A6159" t="str">
        <f t="shared" si="194"/>
        <v>U148143U148143</v>
      </c>
      <c r="B6159" t="str">
        <f t="shared" si="195"/>
        <v>U148143PC9060EP-M</v>
      </c>
      <c r="C6159" s="1" t="s">
        <v>0</v>
      </c>
      <c r="D6159" s="1" t="s">
        <v>860</v>
      </c>
      <c r="E6159" s="1" t="s">
        <v>436</v>
      </c>
      <c r="F6159" s="1" t="s">
        <v>450</v>
      </c>
      <c r="G6159" s="1" t="s">
        <v>438</v>
      </c>
      <c r="H6159" s="1">
        <v>684</v>
      </c>
      <c r="I6159" s="3">
        <v>46288</v>
      </c>
      <c r="J6159" s="3">
        <v>46289</v>
      </c>
      <c r="L6159" s="24">
        <v>46288.608352118055</v>
      </c>
      <c r="M6159" s="2">
        <v>12</v>
      </c>
      <c r="N6159" s="1">
        <v>5</v>
      </c>
    </row>
    <row r="6160" spans="1:14" x14ac:dyDescent="0.25">
      <c r="A6160" t="str">
        <f t="shared" si="194"/>
        <v>U148143U148143</v>
      </c>
      <c r="B6160" t="str">
        <f t="shared" si="195"/>
        <v>U148143PC9060EP-M</v>
      </c>
      <c r="C6160" s="1" t="s">
        <v>0</v>
      </c>
      <c r="D6160" s="1" t="s">
        <v>860</v>
      </c>
      <c r="E6160" s="1" t="s">
        <v>436</v>
      </c>
      <c r="F6160" s="1" t="s">
        <v>450</v>
      </c>
      <c r="G6160" s="1" t="s">
        <v>438</v>
      </c>
      <c r="H6160" s="1">
        <v>684</v>
      </c>
      <c r="I6160" s="3">
        <v>46288</v>
      </c>
      <c r="J6160" s="3">
        <v>46289</v>
      </c>
      <c r="L6160" s="24">
        <v>46288.610579085645</v>
      </c>
      <c r="M6160" s="2">
        <v>12</v>
      </c>
      <c r="N6160" s="1">
        <v>10</v>
      </c>
    </row>
    <row r="6161" spans="1:14" x14ac:dyDescent="0.25">
      <c r="A6161" t="str">
        <f t="shared" si="194"/>
        <v>U148143U148143</v>
      </c>
      <c r="B6161" t="str">
        <f t="shared" si="195"/>
        <v>U148143PC9060EP-M</v>
      </c>
      <c r="C6161" s="1" t="s">
        <v>0</v>
      </c>
      <c r="D6161" s="1" t="s">
        <v>860</v>
      </c>
      <c r="E6161" s="1" t="s">
        <v>436</v>
      </c>
      <c r="F6161" s="1" t="s">
        <v>450</v>
      </c>
      <c r="G6161" s="1" t="s">
        <v>438</v>
      </c>
      <c r="H6161" s="1">
        <v>684</v>
      </c>
      <c r="I6161" s="3">
        <v>46288</v>
      </c>
      <c r="J6161" s="3">
        <v>46289</v>
      </c>
      <c r="L6161" s="24">
        <v>46288.675046296295</v>
      </c>
      <c r="M6161" s="2">
        <v>12</v>
      </c>
      <c r="N6161" s="1">
        <v>38</v>
      </c>
    </row>
    <row r="6162" spans="1:14" x14ac:dyDescent="0.25">
      <c r="A6162" t="str">
        <f t="shared" si="194"/>
        <v>U148143U148143</v>
      </c>
      <c r="B6162" t="str">
        <f t="shared" si="195"/>
        <v>U148143PC9060EP-M</v>
      </c>
      <c r="C6162" s="1" t="s">
        <v>0</v>
      </c>
      <c r="D6162" s="1" t="s">
        <v>860</v>
      </c>
      <c r="E6162" s="1" t="s">
        <v>436</v>
      </c>
      <c r="F6162" s="1" t="s">
        <v>450</v>
      </c>
      <c r="G6162" s="1" t="s">
        <v>438</v>
      </c>
      <c r="H6162" s="1">
        <v>684</v>
      </c>
      <c r="I6162" s="3">
        <v>46288</v>
      </c>
      <c r="J6162" s="3">
        <v>46289</v>
      </c>
      <c r="L6162" s="24">
        <v>46288.749327812497</v>
      </c>
      <c r="M6162" s="2">
        <v>6</v>
      </c>
      <c r="N6162" s="1">
        <v>58</v>
      </c>
    </row>
    <row r="6163" spans="1:14" x14ac:dyDescent="0.25">
      <c r="A6163" t="str">
        <f t="shared" si="194"/>
        <v>U148143U148143</v>
      </c>
      <c r="B6163" t="str">
        <f t="shared" si="195"/>
        <v>U148143PC9060EP-M</v>
      </c>
      <c r="C6163" s="1" t="s">
        <v>0</v>
      </c>
      <c r="D6163" s="1" t="s">
        <v>860</v>
      </c>
      <c r="E6163" s="1" t="s">
        <v>436</v>
      </c>
      <c r="F6163" s="1" t="s">
        <v>450</v>
      </c>
      <c r="G6163" s="1" t="s">
        <v>438</v>
      </c>
      <c r="H6163" s="1">
        <v>684</v>
      </c>
      <c r="I6163" s="3">
        <v>46288</v>
      </c>
      <c r="J6163" s="3">
        <v>46289</v>
      </c>
      <c r="L6163" s="24">
        <v>46288.750174652778</v>
      </c>
      <c r="M6163" s="2">
        <v>6</v>
      </c>
      <c r="N6163" s="1">
        <v>55</v>
      </c>
    </row>
    <row r="6164" spans="1:14" x14ac:dyDescent="0.25">
      <c r="A6164" t="str">
        <f t="shared" si="194"/>
        <v>U152755U152755</v>
      </c>
      <c r="B6164" t="str">
        <f t="shared" si="195"/>
        <v>U152755I6039JD-M</v>
      </c>
      <c r="C6164" s="1" t="s">
        <v>60</v>
      </c>
      <c r="D6164" s="1" t="s">
        <v>865</v>
      </c>
      <c r="E6164" s="1" t="s">
        <v>436</v>
      </c>
      <c r="F6164" s="1" t="s">
        <v>442</v>
      </c>
      <c r="G6164" s="1" t="s">
        <v>438</v>
      </c>
      <c r="H6164" s="1">
        <v>594</v>
      </c>
      <c r="I6164" s="3">
        <v>46288</v>
      </c>
      <c r="L6164" s="24">
        <v>46288.475629745371</v>
      </c>
      <c r="M6164" s="2">
        <v>9</v>
      </c>
      <c r="N6164" s="1">
        <v>38</v>
      </c>
    </row>
    <row r="6165" spans="1:14" x14ac:dyDescent="0.25">
      <c r="A6165" t="str">
        <f t="shared" si="194"/>
        <v>U152755U152755</v>
      </c>
      <c r="B6165" t="str">
        <f t="shared" si="195"/>
        <v>U152755I6039JD-M</v>
      </c>
      <c r="C6165" s="1" t="s">
        <v>60</v>
      </c>
      <c r="D6165" s="1" t="s">
        <v>865</v>
      </c>
      <c r="E6165" s="1" t="s">
        <v>436</v>
      </c>
      <c r="F6165" s="1" t="s">
        <v>442</v>
      </c>
      <c r="G6165" s="1" t="s">
        <v>438</v>
      </c>
      <c r="H6165" s="1">
        <v>594</v>
      </c>
      <c r="I6165" s="3">
        <v>46288</v>
      </c>
      <c r="L6165" s="24">
        <v>46288.475817974533</v>
      </c>
      <c r="M6165" s="2">
        <v>9</v>
      </c>
      <c r="N6165" s="1">
        <v>35</v>
      </c>
    </row>
    <row r="6166" spans="1:14" x14ac:dyDescent="0.25">
      <c r="A6166" t="str">
        <f t="shared" si="194"/>
        <v>U152755U152755</v>
      </c>
      <c r="B6166" t="str">
        <f t="shared" si="195"/>
        <v>U152755I6039JD-M</v>
      </c>
      <c r="C6166" s="1" t="s">
        <v>60</v>
      </c>
      <c r="D6166" s="1" t="s">
        <v>865</v>
      </c>
      <c r="E6166" s="1" t="s">
        <v>436</v>
      </c>
      <c r="F6166" s="1" t="s">
        <v>442</v>
      </c>
      <c r="G6166" s="1" t="s">
        <v>438</v>
      </c>
      <c r="H6166" s="1">
        <v>594</v>
      </c>
      <c r="I6166" s="3">
        <v>46288</v>
      </c>
      <c r="L6166" s="24">
        <v>46288.47603179398</v>
      </c>
      <c r="M6166" s="2">
        <v>9</v>
      </c>
      <c r="N6166" s="1">
        <v>37</v>
      </c>
    </row>
    <row r="6167" spans="1:14" x14ac:dyDescent="0.25">
      <c r="A6167" t="str">
        <f t="shared" si="194"/>
        <v>U152755U152755</v>
      </c>
      <c r="B6167" t="str">
        <f t="shared" si="195"/>
        <v>U152755I6039JD-M</v>
      </c>
      <c r="C6167" s="1" t="s">
        <v>60</v>
      </c>
      <c r="D6167" s="1" t="s">
        <v>865</v>
      </c>
      <c r="E6167" s="1" t="s">
        <v>436</v>
      </c>
      <c r="F6167" s="1" t="s">
        <v>442</v>
      </c>
      <c r="G6167" s="1" t="s">
        <v>438</v>
      </c>
      <c r="H6167" s="1">
        <v>594</v>
      </c>
      <c r="I6167" s="3">
        <v>46288</v>
      </c>
      <c r="L6167" s="24">
        <v>46288.476501122685</v>
      </c>
      <c r="M6167" s="2">
        <v>9</v>
      </c>
      <c r="N6167" s="1">
        <v>36</v>
      </c>
    </row>
    <row r="6168" spans="1:14" x14ac:dyDescent="0.25">
      <c r="A6168" t="str">
        <f t="shared" si="194"/>
        <v>U152755U152755</v>
      </c>
      <c r="B6168" t="str">
        <f t="shared" si="195"/>
        <v>U152755I6039JD-M</v>
      </c>
      <c r="C6168" s="1" t="s">
        <v>60</v>
      </c>
      <c r="D6168" s="1" t="s">
        <v>865</v>
      </c>
      <c r="E6168" s="1" t="s">
        <v>436</v>
      </c>
      <c r="F6168" s="1" t="s">
        <v>442</v>
      </c>
      <c r="G6168" s="1" t="s">
        <v>438</v>
      </c>
      <c r="H6168" s="1">
        <v>594</v>
      </c>
      <c r="I6168" s="3">
        <v>46288</v>
      </c>
      <c r="L6168" s="24">
        <v>46288.478030902777</v>
      </c>
      <c r="M6168" s="2">
        <v>9</v>
      </c>
      <c r="N6168" s="1">
        <v>33</v>
      </c>
    </row>
    <row r="6169" spans="1:14" x14ac:dyDescent="0.25">
      <c r="A6169" t="str">
        <f t="shared" si="194"/>
        <v>U152755U152755</v>
      </c>
      <c r="B6169" t="str">
        <f t="shared" si="195"/>
        <v>U152755I6039JD-M</v>
      </c>
      <c r="C6169" s="1" t="s">
        <v>60</v>
      </c>
      <c r="D6169" s="1" t="s">
        <v>865</v>
      </c>
      <c r="E6169" s="1" t="s">
        <v>436</v>
      </c>
      <c r="F6169" s="1" t="s">
        <v>442</v>
      </c>
      <c r="G6169" s="1" t="s">
        <v>438</v>
      </c>
      <c r="H6169" s="1">
        <v>594</v>
      </c>
      <c r="I6169" s="3">
        <v>46288</v>
      </c>
      <c r="L6169" s="24">
        <v>46288.478217361109</v>
      </c>
      <c r="M6169" s="2">
        <v>9</v>
      </c>
      <c r="N6169" s="1">
        <v>40</v>
      </c>
    </row>
    <row r="6170" spans="1:14" x14ac:dyDescent="0.25">
      <c r="A6170" t="str">
        <f t="shared" si="194"/>
        <v>U152755U152755</v>
      </c>
      <c r="B6170" t="str">
        <f t="shared" si="195"/>
        <v>U152755I6039JD-M</v>
      </c>
      <c r="C6170" s="1" t="s">
        <v>60</v>
      </c>
      <c r="D6170" s="1" t="s">
        <v>865</v>
      </c>
      <c r="E6170" s="1" t="s">
        <v>436</v>
      </c>
      <c r="F6170" s="1" t="s">
        <v>442</v>
      </c>
      <c r="G6170" s="1" t="s">
        <v>438</v>
      </c>
      <c r="H6170" s="1">
        <v>594</v>
      </c>
      <c r="I6170" s="3">
        <v>46288</v>
      </c>
      <c r="L6170" s="24">
        <v>46288.478613310181</v>
      </c>
      <c r="M6170" s="2">
        <v>9</v>
      </c>
      <c r="N6170" s="1">
        <v>39</v>
      </c>
    </row>
    <row r="6171" spans="1:14" x14ac:dyDescent="0.25">
      <c r="A6171" t="str">
        <f t="shared" si="194"/>
        <v>U152755U152755</v>
      </c>
      <c r="B6171" t="str">
        <f t="shared" si="195"/>
        <v>U152755I6039JD-M</v>
      </c>
      <c r="C6171" s="1" t="s">
        <v>60</v>
      </c>
      <c r="D6171" s="1" t="s">
        <v>865</v>
      </c>
      <c r="E6171" s="1" t="s">
        <v>436</v>
      </c>
      <c r="F6171" s="1" t="s">
        <v>442</v>
      </c>
      <c r="G6171" s="1" t="s">
        <v>438</v>
      </c>
      <c r="H6171" s="1">
        <v>594</v>
      </c>
      <c r="I6171" s="3">
        <v>46288</v>
      </c>
      <c r="L6171" s="24">
        <v>46288.4791471875</v>
      </c>
      <c r="M6171" s="2">
        <v>9</v>
      </c>
      <c r="N6171" s="1">
        <v>34</v>
      </c>
    </row>
    <row r="6172" spans="1:14" x14ac:dyDescent="0.25">
      <c r="A6172" t="str">
        <f t="shared" si="194"/>
        <v>U152755U152755</v>
      </c>
      <c r="B6172" t="str">
        <f t="shared" si="195"/>
        <v>U152755I6039JD-M</v>
      </c>
      <c r="C6172" s="1" t="s">
        <v>60</v>
      </c>
      <c r="D6172" s="1" t="s">
        <v>865</v>
      </c>
      <c r="E6172" s="1" t="s">
        <v>436</v>
      </c>
      <c r="F6172" s="1" t="s">
        <v>442</v>
      </c>
      <c r="G6172" s="1" t="s">
        <v>438</v>
      </c>
      <c r="H6172" s="1">
        <v>594</v>
      </c>
      <c r="I6172" s="3">
        <v>46288</v>
      </c>
      <c r="L6172" s="24">
        <v>46288.570369872687</v>
      </c>
      <c r="M6172" s="2">
        <v>9</v>
      </c>
      <c r="N6172" s="1">
        <v>42</v>
      </c>
    </row>
    <row r="6173" spans="1:14" x14ac:dyDescent="0.25">
      <c r="A6173" t="str">
        <f t="shared" si="194"/>
        <v>U152755U152755</v>
      </c>
      <c r="B6173" t="str">
        <f t="shared" si="195"/>
        <v>U152755I6039JD-M</v>
      </c>
      <c r="C6173" s="1" t="s">
        <v>60</v>
      </c>
      <c r="D6173" s="1" t="s">
        <v>865</v>
      </c>
      <c r="E6173" s="1" t="s">
        <v>436</v>
      </c>
      <c r="F6173" s="1" t="s">
        <v>442</v>
      </c>
      <c r="G6173" s="1" t="s">
        <v>438</v>
      </c>
      <c r="H6173" s="1">
        <v>594</v>
      </c>
      <c r="I6173" s="3">
        <v>46288</v>
      </c>
      <c r="L6173" s="24">
        <v>46288.570548877316</v>
      </c>
      <c r="M6173" s="2">
        <v>9</v>
      </c>
      <c r="N6173" s="1">
        <v>45</v>
      </c>
    </row>
    <row r="6174" spans="1:14" x14ac:dyDescent="0.25">
      <c r="A6174" t="str">
        <f t="shared" si="194"/>
        <v>U152755U152755</v>
      </c>
      <c r="B6174" t="str">
        <f t="shared" si="195"/>
        <v>U152755I6039JD-M</v>
      </c>
      <c r="C6174" s="1" t="s">
        <v>60</v>
      </c>
      <c r="D6174" s="1" t="s">
        <v>865</v>
      </c>
      <c r="E6174" s="1" t="s">
        <v>436</v>
      </c>
      <c r="F6174" s="1" t="s">
        <v>442</v>
      </c>
      <c r="G6174" s="1" t="s">
        <v>438</v>
      </c>
      <c r="H6174" s="1">
        <v>594</v>
      </c>
      <c r="I6174" s="3">
        <v>46288</v>
      </c>
      <c r="L6174" s="24">
        <v>46288.570749502316</v>
      </c>
      <c r="M6174" s="2">
        <v>9</v>
      </c>
      <c r="N6174" s="1">
        <v>43</v>
      </c>
    </row>
    <row r="6175" spans="1:14" x14ac:dyDescent="0.25">
      <c r="A6175" t="str">
        <f t="shared" si="194"/>
        <v>U152755U152755</v>
      </c>
      <c r="B6175" t="str">
        <f t="shared" si="195"/>
        <v>U152755I6039JD-M</v>
      </c>
      <c r="C6175" s="1" t="s">
        <v>60</v>
      </c>
      <c r="D6175" s="1" t="s">
        <v>865</v>
      </c>
      <c r="E6175" s="1" t="s">
        <v>436</v>
      </c>
      <c r="F6175" s="1" t="s">
        <v>442</v>
      </c>
      <c r="G6175" s="1" t="s">
        <v>438</v>
      </c>
      <c r="H6175" s="1">
        <v>594</v>
      </c>
      <c r="I6175" s="3">
        <v>46288</v>
      </c>
      <c r="L6175" s="24">
        <v>46288.570884259258</v>
      </c>
      <c r="M6175" s="2">
        <v>9</v>
      </c>
      <c r="N6175" s="1">
        <v>41</v>
      </c>
    </row>
    <row r="6176" spans="1:14" x14ac:dyDescent="0.25">
      <c r="A6176" t="str">
        <f t="shared" si="194"/>
        <v>U152755U152755</v>
      </c>
      <c r="B6176" t="str">
        <f t="shared" si="195"/>
        <v>U152755I6039JD-M</v>
      </c>
      <c r="C6176" s="1" t="s">
        <v>60</v>
      </c>
      <c r="D6176" s="1" t="s">
        <v>865</v>
      </c>
      <c r="E6176" s="1" t="s">
        <v>436</v>
      </c>
      <c r="F6176" s="1" t="s">
        <v>442</v>
      </c>
      <c r="G6176" s="1" t="s">
        <v>438</v>
      </c>
      <c r="H6176" s="1">
        <v>594</v>
      </c>
      <c r="I6176" s="3">
        <v>46288</v>
      </c>
      <c r="L6176" s="24">
        <v>46288.576196296293</v>
      </c>
      <c r="M6176" s="2">
        <v>9</v>
      </c>
      <c r="N6176" s="1">
        <v>52</v>
      </c>
    </row>
    <row r="6177" spans="1:14" x14ac:dyDescent="0.25">
      <c r="A6177" t="str">
        <f t="shared" si="194"/>
        <v>U152755U152755</v>
      </c>
      <c r="B6177" t="str">
        <f t="shared" si="195"/>
        <v>U152755I6039JD-M</v>
      </c>
      <c r="C6177" s="1" t="s">
        <v>60</v>
      </c>
      <c r="D6177" s="1" t="s">
        <v>865</v>
      </c>
      <c r="E6177" s="1" t="s">
        <v>436</v>
      </c>
      <c r="F6177" s="1" t="s">
        <v>442</v>
      </c>
      <c r="G6177" s="1" t="s">
        <v>438</v>
      </c>
      <c r="H6177" s="1">
        <v>594</v>
      </c>
      <c r="I6177" s="3">
        <v>46288</v>
      </c>
      <c r="L6177" s="24">
        <v>46288.576311145829</v>
      </c>
      <c r="M6177" s="2">
        <v>9</v>
      </c>
      <c r="N6177" s="1">
        <v>46</v>
      </c>
    </row>
    <row r="6178" spans="1:14" x14ac:dyDescent="0.25">
      <c r="A6178" t="str">
        <f t="shared" si="194"/>
        <v>U152755U152755</v>
      </c>
      <c r="B6178" t="str">
        <f t="shared" si="195"/>
        <v>U152755I6039JD-M</v>
      </c>
      <c r="C6178" s="1" t="s">
        <v>60</v>
      </c>
      <c r="D6178" s="1" t="s">
        <v>865</v>
      </c>
      <c r="E6178" s="1" t="s">
        <v>436</v>
      </c>
      <c r="F6178" s="1" t="s">
        <v>442</v>
      </c>
      <c r="G6178" s="1" t="s">
        <v>438</v>
      </c>
      <c r="H6178" s="1">
        <v>594</v>
      </c>
      <c r="I6178" s="3">
        <v>46288</v>
      </c>
      <c r="L6178" s="24">
        <v>46288.576911655087</v>
      </c>
      <c r="M6178" s="2">
        <v>9</v>
      </c>
      <c r="N6178" s="1">
        <v>44</v>
      </c>
    </row>
    <row r="6179" spans="1:14" x14ac:dyDescent="0.25">
      <c r="A6179" t="str">
        <f t="shared" si="194"/>
        <v>U152755U152755</v>
      </c>
      <c r="B6179" t="str">
        <f t="shared" si="195"/>
        <v>U152755I6039JD-M</v>
      </c>
      <c r="C6179" s="1" t="s">
        <v>60</v>
      </c>
      <c r="D6179" s="1" t="s">
        <v>865</v>
      </c>
      <c r="E6179" s="1" t="s">
        <v>436</v>
      </c>
      <c r="F6179" s="1" t="s">
        <v>442</v>
      </c>
      <c r="G6179" s="1" t="s">
        <v>438</v>
      </c>
      <c r="H6179" s="1">
        <v>594</v>
      </c>
      <c r="I6179" s="3">
        <v>46288</v>
      </c>
      <c r="L6179" s="24">
        <v>46288.577467974537</v>
      </c>
      <c r="M6179" s="2">
        <v>9</v>
      </c>
      <c r="N6179" s="1">
        <v>54</v>
      </c>
    </row>
    <row r="6180" spans="1:14" x14ac:dyDescent="0.25">
      <c r="A6180" t="str">
        <f t="shared" si="194"/>
        <v>U152755U152755</v>
      </c>
      <c r="B6180" t="str">
        <f t="shared" si="195"/>
        <v>U152755I6039JD-M</v>
      </c>
      <c r="C6180" s="1" t="s">
        <v>60</v>
      </c>
      <c r="D6180" s="1" t="s">
        <v>865</v>
      </c>
      <c r="E6180" s="1" t="s">
        <v>436</v>
      </c>
      <c r="F6180" s="1" t="s">
        <v>442</v>
      </c>
      <c r="G6180" s="1" t="s">
        <v>438</v>
      </c>
      <c r="H6180" s="1">
        <v>594</v>
      </c>
      <c r="I6180" s="3">
        <v>46288</v>
      </c>
      <c r="L6180" s="24">
        <v>46288.57774270833</v>
      </c>
      <c r="M6180" s="2">
        <v>9</v>
      </c>
      <c r="N6180" s="1">
        <v>47</v>
      </c>
    </row>
    <row r="6181" spans="1:14" x14ac:dyDescent="0.25">
      <c r="A6181" t="str">
        <f t="shared" si="194"/>
        <v>U152755U152755</v>
      </c>
      <c r="B6181" t="str">
        <f t="shared" si="195"/>
        <v>U152755I6039JD-M</v>
      </c>
      <c r="C6181" s="1" t="s">
        <v>60</v>
      </c>
      <c r="D6181" s="1" t="s">
        <v>865</v>
      </c>
      <c r="E6181" s="1" t="s">
        <v>436</v>
      </c>
      <c r="F6181" s="1" t="s">
        <v>442</v>
      </c>
      <c r="G6181" s="1" t="s">
        <v>438</v>
      </c>
      <c r="H6181" s="1">
        <v>594</v>
      </c>
      <c r="I6181" s="3">
        <v>46288</v>
      </c>
      <c r="L6181" s="24">
        <v>46288.578400150458</v>
      </c>
      <c r="M6181" s="2">
        <v>9</v>
      </c>
      <c r="N6181" s="1">
        <v>48</v>
      </c>
    </row>
    <row r="6182" spans="1:14" x14ac:dyDescent="0.25">
      <c r="A6182" t="str">
        <f t="shared" si="194"/>
        <v>U152755U152755</v>
      </c>
      <c r="B6182" t="str">
        <f t="shared" si="195"/>
        <v>U152755I6039JD-M</v>
      </c>
      <c r="C6182" s="1" t="s">
        <v>60</v>
      </c>
      <c r="D6182" s="1" t="s">
        <v>865</v>
      </c>
      <c r="E6182" s="1" t="s">
        <v>436</v>
      </c>
      <c r="F6182" s="1" t="s">
        <v>442</v>
      </c>
      <c r="G6182" s="1" t="s">
        <v>438</v>
      </c>
      <c r="H6182" s="1">
        <v>594</v>
      </c>
      <c r="I6182" s="3">
        <v>46288</v>
      </c>
      <c r="L6182" s="24">
        <v>46288.578877233791</v>
      </c>
      <c r="M6182" s="2">
        <v>9</v>
      </c>
      <c r="N6182" s="1">
        <v>50</v>
      </c>
    </row>
    <row r="6183" spans="1:14" x14ac:dyDescent="0.25">
      <c r="A6183" t="str">
        <f t="shared" si="194"/>
        <v>U152755U152755</v>
      </c>
      <c r="B6183" t="str">
        <f t="shared" si="195"/>
        <v>U152755I6039JD-M</v>
      </c>
      <c r="C6183" s="1" t="s">
        <v>60</v>
      </c>
      <c r="D6183" s="1" t="s">
        <v>865</v>
      </c>
      <c r="E6183" s="1" t="s">
        <v>436</v>
      </c>
      <c r="F6183" s="1" t="s">
        <v>442</v>
      </c>
      <c r="G6183" s="1" t="s">
        <v>438</v>
      </c>
      <c r="H6183" s="1">
        <v>594</v>
      </c>
      <c r="I6183" s="3">
        <v>46288</v>
      </c>
      <c r="L6183" s="24">
        <v>46288.579456979161</v>
      </c>
      <c r="M6183" s="2">
        <v>9</v>
      </c>
      <c r="N6183" s="1">
        <v>49</v>
      </c>
    </row>
    <row r="6184" spans="1:14" x14ac:dyDescent="0.25">
      <c r="A6184" t="str">
        <f t="shared" si="194"/>
        <v>U152755U152755</v>
      </c>
      <c r="B6184" t="str">
        <f t="shared" si="195"/>
        <v>U152755I6039JD-M</v>
      </c>
      <c r="C6184" s="1" t="s">
        <v>60</v>
      </c>
      <c r="D6184" s="1" t="s">
        <v>865</v>
      </c>
      <c r="E6184" s="1" t="s">
        <v>436</v>
      </c>
      <c r="F6184" s="1" t="s">
        <v>442</v>
      </c>
      <c r="G6184" s="1" t="s">
        <v>438</v>
      </c>
      <c r="H6184" s="1">
        <v>594</v>
      </c>
      <c r="I6184" s="3">
        <v>46288</v>
      </c>
      <c r="L6184" s="24">
        <v>46288.589206793979</v>
      </c>
      <c r="M6184" s="2">
        <v>9</v>
      </c>
      <c r="N6184" s="1">
        <v>51</v>
      </c>
    </row>
    <row r="6185" spans="1:14" x14ac:dyDescent="0.25">
      <c r="A6185" t="str">
        <f t="shared" si="194"/>
        <v>U152755U152755</v>
      </c>
      <c r="B6185" t="str">
        <f t="shared" si="195"/>
        <v>U152755I6039JD-M</v>
      </c>
      <c r="C6185" s="1" t="s">
        <v>60</v>
      </c>
      <c r="D6185" s="1" t="s">
        <v>865</v>
      </c>
      <c r="E6185" s="1" t="s">
        <v>436</v>
      </c>
      <c r="F6185" s="1" t="s">
        <v>442</v>
      </c>
      <c r="G6185" s="1" t="s">
        <v>438</v>
      </c>
      <c r="H6185" s="1">
        <v>594</v>
      </c>
      <c r="I6185" s="3">
        <v>46288</v>
      </c>
      <c r="L6185" s="24">
        <v>46288.589834606479</v>
      </c>
      <c r="M6185" s="2">
        <v>9</v>
      </c>
      <c r="N6185" s="1">
        <v>53</v>
      </c>
    </row>
    <row r="6186" spans="1:14" x14ac:dyDescent="0.25">
      <c r="A6186" t="str">
        <f t="shared" si="194"/>
        <v>U152755U152755</v>
      </c>
      <c r="B6186" t="str">
        <f t="shared" si="195"/>
        <v>U152755I6039JD-M</v>
      </c>
      <c r="C6186" s="1" t="s">
        <v>60</v>
      </c>
      <c r="D6186" s="1" t="s">
        <v>865</v>
      </c>
      <c r="E6186" s="1" t="s">
        <v>436</v>
      </c>
      <c r="F6186" s="1" t="s">
        <v>442</v>
      </c>
      <c r="G6186" s="1" t="s">
        <v>438</v>
      </c>
      <c r="H6186" s="1">
        <v>594</v>
      </c>
      <c r="I6186" s="3">
        <v>46288</v>
      </c>
      <c r="L6186" s="24">
        <v>46288.590015196758</v>
      </c>
      <c r="M6186" s="2">
        <v>9</v>
      </c>
      <c r="N6186" s="1">
        <v>60</v>
      </c>
    </row>
    <row r="6187" spans="1:14" x14ac:dyDescent="0.25">
      <c r="A6187" t="str">
        <f t="shared" si="194"/>
        <v>U152755U152755</v>
      </c>
      <c r="B6187" t="str">
        <f t="shared" si="195"/>
        <v>U152755I6039JD-M</v>
      </c>
      <c r="C6187" s="1" t="s">
        <v>60</v>
      </c>
      <c r="D6187" s="1" t="s">
        <v>865</v>
      </c>
      <c r="E6187" s="1" t="s">
        <v>436</v>
      </c>
      <c r="F6187" s="1" t="s">
        <v>442</v>
      </c>
      <c r="G6187" s="1" t="s">
        <v>438</v>
      </c>
      <c r="H6187" s="1">
        <v>594</v>
      </c>
      <c r="I6187" s="3">
        <v>46288</v>
      </c>
      <c r="L6187" s="24">
        <v>46288.590224884254</v>
      </c>
      <c r="M6187" s="2">
        <v>9</v>
      </c>
      <c r="N6187" s="1">
        <v>55</v>
      </c>
    </row>
    <row r="6188" spans="1:14" x14ac:dyDescent="0.25">
      <c r="A6188" t="str">
        <f t="shared" si="194"/>
        <v>U152755U152755</v>
      </c>
      <c r="B6188" t="str">
        <f t="shared" si="195"/>
        <v>U152755I6039JD-M</v>
      </c>
      <c r="C6188" s="1" t="s">
        <v>60</v>
      </c>
      <c r="D6188" s="1" t="s">
        <v>865</v>
      </c>
      <c r="E6188" s="1" t="s">
        <v>436</v>
      </c>
      <c r="F6188" s="1" t="s">
        <v>442</v>
      </c>
      <c r="G6188" s="1" t="s">
        <v>438</v>
      </c>
      <c r="H6188" s="1">
        <v>594</v>
      </c>
      <c r="I6188" s="3">
        <v>46288</v>
      </c>
      <c r="L6188" s="24">
        <v>46288.590425729162</v>
      </c>
      <c r="M6188" s="2">
        <v>9</v>
      </c>
      <c r="N6188" s="1">
        <v>57</v>
      </c>
    </row>
    <row r="6189" spans="1:14" x14ac:dyDescent="0.25">
      <c r="A6189" t="str">
        <f t="shared" si="194"/>
        <v>U152755U152755</v>
      </c>
      <c r="B6189" t="str">
        <f t="shared" si="195"/>
        <v>U152755I6039JD-M</v>
      </c>
      <c r="C6189" s="1" t="s">
        <v>60</v>
      </c>
      <c r="D6189" s="1" t="s">
        <v>865</v>
      </c>
      <c r="E6189" s="1" t="s">
        <v>436</v>
      </c>
      <c r="F6189" s="1" t="s">
        <v>442</v>
      </c>
      <c r="G6189" s="1" t="s">
        <v>438</v>
      </c>
      <c r="H6189" s="1">
        <v>594</v>
      </c>
      <c r="I6189" s="3">
        <v>46288</v>
      </c>
      <c r="L6189" s="24">
        <v>46288.605160914347</v>
      </c>
      <c r="M6189" s="2">
        <v>9</v>
      </c>
      <c r="N6189" s="1">
        <v>58</v>
      </c>
    </row>
    <row r="6190" spans="1:14" x14ac:dyDescent="0.25">
      <c r="A6190" t="str">
        <f t="shared" si="194"/>
        <v>U152755U152755</v>
      </c>
      <c r="B6190" t="str">
        <f t="shared" si="195"/>
        <v>U152755I6039JD-M</v>
      </c>
      <c r="C6190" s="1" t="s">
        <v>60</v>
      </c>
      <c r="D6190" s="1" t="s">
        <v>865</v>
      </c>
      <c r="E6190" s="1" t="s">
        <v>436</v>
      </c>
      <c r="F6190" s="1" t="s">
        <v>442</v>
      </c>
      <c r="G6190" s="1" t="s">
        <v>438</v>
      </c>
      <c r="H6190" s="1">
        <v>594</v>
      </c>
      <c r="I6190" s="3">
        <v>46288</v>
      </c>
      <c r="L6190" s="24">
        <v>46288.60532091435</v>
      </c>
      <c r="M6190" s="2">
        <v>9</v>
      </c>
      <c r="N6190" s="1">
        <v>29</v>
      </c>
    </row>
    <row r="6191" spans="1:14" x14ac:dyDescent="0.25">
      <c r="A6191" t="str">
        <f t="shared" si="194"/>
        <v>U152755U152755</v>
      </c>
      <c r="B6191" t="str">
        <f t="shared" si="195"/>
        <v>U152755I6039JD-M</v>
      </c>
      <c r="C6191" s="1" t="s">
        <v>60</v>
      </c>
      <c r="D6191" s="1" t="s">
        <v>865</v>
      </c>
      <c r="E6191" s="1" t="s">
        <v>436</v>
      </c>
      <c r="F6191" s="1" t="s">
        <v>442</v>
      </c>
      <c r="G6191" s="1" t="s">
        <v>438</v>
      </c>
      <c r="H6191" s="1">
        <v>594</v>
      </c>
      <c r="I6191" s="3">
        <v>46288</v>
      </c>
      <c r="L6191" s="24">
        <v>46288.605475659722</v>
      </c>
      <c r="M6191" s="2">
        <v>9</v>
      </c>
      <c r="N6191" s="1">
        <v>12</v>
      </c>
    </row>
    <row r="6192" spans="1:14" x14ac:dyDescent="0.25">
      <c r="A6192" t="str">
        <f t="shared" si="194"/>
        <v>U152755U152755</v>
      </c>
      <c r="B6192" t="str">
        <f t="shared" si="195"/>
        <v>U152755I6039JD-M</v>
      </c>
      <c r="C6192" s="1" t="s">
        <v>60</v>
      </c>
      <c r="D6192" s="1" t="s">
        <v>865</v>
      </c>
      <c r="E6192" s="1" t="s">
        <v>436</v>
      </c>
      <c r="F6192" s="1" t="s">
        <v>442</v>
      </c>
      <c r="G6192" s="1" t="s">
        <v>438</v>
      </c>
      <c r="H6192" s="1">
        <v>594</v>
      </c>
      <c r="I6192" s="3">
        <v>46288</v>
      </c>
      <c r="L6192" s="24">
        <v>46288.605625115742</v>
      </c>
      <c r="M6192" s="2">
        <v>9</v>
      </c>
      <c r="N6192" s="1">
        <v>61</v>
      </c>
    </row>
    <row r="6193" spans="1:14" x14ac:dyDescent="0.25">
      <c r="A6193" t="str">
        <f t="shared" si="194"/>
        <v>U152755U152755</v>
      </c>
      <c r="B6193" t="str">
        <f t="shared" si="195"/>
        <v>U152755I6039JD-M</v>
      </c>
      <c r="C6193" s="1" t="s">
        <v>60</v>
      </c>
      <c r="D6193" s="1" t="s">
        <v>865</v>
      </c>
      <c r="E6193" s="1" t="s">
        <v>436</v>
      </c>
      <c r="F6193" s="1" t="s">
        <v>442</v>
      </c>
      <c r="G6193" s="1" t="s">
        <v>438</v>
      </c>
      <c r="H6193" s="1">
        <v>594</v>
      </c>
      <c r="I6193" s="3">
        <v>46288</v>
      </c>
      <c r="L6193" s="24">
        <v>46288.605796643518</v>
      </c>
      <c r="M6193" s="2">
        <v>9</v>
      </c>
      <c r="N6193" s="1">
        <v>59</v>
      </c>
    </row>
    <row r="6194" spans="1:14" x14ac:dyDescent="0.25">
      <c r="A6194" t="str">
        <f t="shared" si="194"/>
        <v>U152755U152755</v>
      </c>
      <c r="B6194" t="str">
        <f t="shared" si="195"/>
        <v>U152755I6039JD-M</v>
      </c>
      <c r="C6194" s="1" t="s">
        <v>60</v>
      </c>
      <c r="D6194" s="1" t="s">
        <v>865</v>
      </c>
      <c r="E6194" s="1" t="s">
        <v>436</v>
      </c>
      <c r="F6194" s="1" t="s">
        <v>442</v>
      </c>
      <c r="G6194" s="1" t="s">
        <v>438</v>
      </c>
      <c r="H6194" s="1">
        <v>594</v>
      </c>
      <c r="I6194" s="3">
        <v>46288</v>
      </c>
      <c r="L6194" s="24">
        <v>46288.60622361111</v>
      </c>
      <c r="M6194" s="2">
        <v>9</v>
      </c>
      <c r="N6194" s="1">
        <v>56</v>
      </c>
    </row>
    <row r="6195" spans="1:14" x14ac:dyDescent="0.25">
      <c r="A6195" t="str">
        <f t="shared" si="194"/>
        <v>U152755U152755</v>
      </c>
      <c r="B6195" t="str">
        <f t="shared" si="195"/>
        <v>U152755I6039JD-M</v>
      </c>
      <c r="C6195" s="1" t="s">
        <v>60</v>
      </c>
      <c r="D6195" s="1" t="s">
        <v>865</v>
      </c>
      <c r="E6195" s="1" t="s">
        <v>436</v>
      </c>
      <c r="F6195" s="1" t="s">
        <v>442</v>
      </c>
      <c r="G6195" s="1" t="s">
        <v>438</v>
      </c>
      <c r="H6195" s="1">
        <v>594</v>
      </c>
      <c r="I6195" s="3">
        <v>46288</v>
      </c>
      <c r="L6195" s="24">
        <v>46288.606776192129</v>
      </c>
      <c r="M6195" s="2">
        <v>9</v>
      </c>
      <c r="N6195" s="1">
        <v>30</v>
      </c>
    </row>
    <row r="6196" spans="1:14" x14ac:dyDescent="0.25">
      <c r="A6196" t="str">
        <f t="shared" si="194"/>
        <v>U152755U152755</v>
      </c>
      <c r="B6196" t="str">
        <f t="shared" si="195"/>
        <v>U152755I6039JD-M</v>
      </c>
      <c r="C6196" s="1" t="s">
        <v>60</v>
      </c>
      <c r="D6196" s="1" t="s">
        <v>865</v>
      </c>
      <c r="E6196" s="1" t="s">
        <v>436</v>
      </c>
      <c r="F6196" s="1" t="s">
        <v>442</v>
      </c>
      <c r="G6196" s="1" t="s">
        <v>438</v>
      </c>
      <c r="H6196" s="1">
        <v>594</v>
      </c>
      <c r="I6196" s="3">
        <v>46288</v>
      </c>
      <c r="L6196" s="24">
        <v>46288.606905636574</v>
      </c>
      <c r="M6196" s="2">
        <v>9</v>
      </c>
      <c r="N6196" s="1">
        <v>62</v>
      </c>
    </row>
    <row r="6197" spans="1:14" x14ac:dyDescent="0.25">
      <c r="A6197" t="str">
        <f t="shared" si="194"/>
        <v>U152755U152755</v>
      </c>
      <c r="B6197" t="str">
        <f t="shared" si="195"/>
        <v>U152755I6039JD-M</v>
      </c>
      <c r="C6197" s="1" t="s">
        <v>60</v>
      </c>
      <c r="D6197" s="1" t="s">
        <v>865</v>
      </c>
      <c r="E6197" s="1" t="s">
        <v>436</v>
      </c>
      <c r="F6197" s="1" t="s">
        <v>442</v>
      </c>
      <c r="G6197" s="1" t="s">
        <v>438</v>
      </c>
      <c r="H6197" s="1">
        <v>594</v>
      </c>
      <c r="I6197" s="3">
        <v>46288</v>
      </c>
      <c r="L6197" s="24">
        <v>46288.615972534717</v>
      </c>
      <c r="M6197" s="2">
        <v>9</v>
      </c>
      <c r="N6197" s="1">
        <v>64</v>
      </c>
    </row>
    <row r="6198" spans="1:14" x14ac:dyDescent="0.25">
      <c r="A6198" t="str">
        <f t="shared" si="194"/>
        <v>U152755U152755</v>
      </c>
      <c r="B6198" t="str">
        <f t="shared" si="195"/>
        <v>U152755I6039JD-M</v>
      </c>
      <c r="C6198" s="1" t="s">
        <v>60</v>
      </c>
      <c r="D6198" s="1" t="s">
        <v>865</v>
      </c>
      <c r="E6198" s="1" t="s">
        <v>436</v>
      </c>
      <c r="F6198" s="1" t="s">
        <v>442</v>
      </c>
      <c r="G6198" s="1" t="s">
        <v>438</v>
      </c>
      <c r="H6198" s="1">
        <v>594</v>
      </c>
      <c r="I6198" s="3">
        <v>46288</v>
      </c>
      <c r="L6198" s="24">
        <v>46288.61639181713</v>
      </c>
      <c r="M6198" s="2">
        <v>9</v>
      </c>
      <c r="N6198" s="1">
        <v>63</v>
      </c>
    </row>
    <row r="6199" spans="1:14" x14ac:dyDescent="0.25">
      <c r="A6199" t="str">
        <f t="shared" si="194"/>
        <v>U152755U152755</v>
      </c>
      <c r="B6199" t="str">
        <f t="shared" si="195"/>
        <v>U152755I6039JD-M</v>
      </c>
      <c r="C6199" s="1" t="s">
        <v>60</v>
      </c>
      <c r="D6199" s="1" t="s">
        <v>865</v>
      </c>
      <c r="E6199" s="1" t="s">
        <v>436</v>
      </c>
      <c r="F6199" s="1" t="s">
        <v>442</v>
      </c>
      <c r="G6199" s="1" t="s">
        <v>438</v>
      </c>
      <c r="H6199" s="1">
        <v>594</v>
      </c>
      <c r="I6199" s="3">
        <v>46288</v>
      </c>
      <c r="L6199" s="24">
        <v>46288.623890659721</v>
      </c>
      <c r="M6199" s="2">
        <v>9</v>
      </c>
      <c r="N6199" s="1">
        <v>65</v>
      </c>
    </row>
    <row r="6200" spans="1:14" x14ac:dyDescent="0.25">
      <c r="A6200" t="str">
        <f t="shared" si="194"/>
        <v>U152755U152755</v>
      </c>
      <c r="B6200" t="str">
        <f t="shared" si="195"/>
        <v>U152755I6039JD-M</v>
      </c>
      <c r="C6200" s="1" t="s">
        <v>60</v>
      </c>
      <c r="D6200" s="1" t="s">
        <v>865</v>
      </c>
      <c r="E6200" s="1" t="s">
        <v>436</v>
      </c>
      <c r="F6200" s="1" t="s">
        <v>442</v>
      </c>
      <c r="G6200" s="1" t="s">
        <v>438</v>
      </c>
      <c r="H6200" s="1">
        <v>594</v>
      </c>
      <c r="I6200" s="3">
        <v>46288</v>
      </c>
      <c r="L6200" s="24">
        <v>46288.62850806713</v>
      </c>
      <c r="M6200" s="2">
        <v>9</v>
      </c>
      <c r="N6200" s="1">
        <v>66</v>
      </c>
    </row>
    <row r="6201" spans="1:14" x14ac:dyDescent="0.25">
      <c r="A6201" t="str">
        <f t="shared" si="194"/>
        <v>U152755U152755</v>
      </c>
      <c r="B6201" t="str">
        <f t="shared" si="195"/>
        <v>U152755I6039JD-M</v>
      </c>
      <c r="C6201" s="1" t="s">
        <v>60</v>
      </c>
      <c r="D6201" s="1" t="s">
        <v>865</v>
      </c>
      <c r="E6201" s="1" t="s">
        <v>436</v>
      </c>
      <c r="F6201" s="1" t="s">
        <v>442</v>
      </c>
      <c r="G6201" s="1" t="s">
        <v>438</v>
      </c>
      <c r="H6201" s="1">
        <v>594</v>
      </c>
      <c r="I6201" s="3">
        <v>46288</v>
      </c>
      <c r="L6201" s="24">
        <v>46288.628718553242</v>
      </c>
      <c r="M6201" s="2">
        <v>9</v>
      </c>
      <c r="N6201" s="1">
        <v>32</v>
      </c>
    </row>
    <row r="6202" spans="1:14" x14ac:dyDescent="0.25">
      <c r="A6202" t="str">
        <f t="shared" si="194"/>
        <v>U152755U152755</v>
      </c>
      <c r="B6202" t="str">
        <f t="shared" si="195"/>
        <v>U152755I6039JD-M</v>
      </c>
      <c r="C6202" s="1" t="s">
        <v>60</v>
      </c>
      <c r="D6202" s="1" t="s">
        <v>865</v>
      </c>
      <c r="E6202" s="1" t="s">
        <v>436</v>
      </c>
      <c r="F6202" s="1" t="s">
        <v>442</v>
      </c>
      <c r="G6202" s="1" t="s">
        <v>438</v>
      </c>
      <c r="H6202" s="1">
        <v>594</v>
      </c>
      <c r="I6202" s="3">
        <v>46288</v>
      </c>
      <c r="L6202" s="24">
        <v>46288.68246747685</v>
      </c>
      <c r="M6202" s="2">
        <v>9</v>
      </c>
      <c r="N6202" s="1">
        <v>26</v>
      </c>
    </row>
    <row r="6203" spans="1:14" x14ac:dyDescent="0.25">
      <c r="A6203" t="str">
        <f t="shared" si="194"/>
        <v>U152755U152755</v>
      </c>
      <c r="B6203" t="str">
        <f t="shared" si="195"/>
        <v>U152755I6039JD-M</v>
      </c>
      <c r="C6203" s="1" t="s">
        <v>60</v>
      </c>
      <c r="D6203" s="1" t="s">
        <v>865</v>
      </c>
      <c r="E6203" s="1" t="s">
        <v>436</v>
      </c>
      <c r="F6203" s="1" t="s">
        <v>442</v>
      </c>
      <c r="G6203" s="1" t="s">
        <v>438</v>
      </c>
      <c r="H6203" s="1">
        <v>594</v>
      </c>
      <c r="I6203" s="3">
        <v>46288</v>
      </c>
      <c r="L6203" s="24">
        <v>46288.682798842594</v>
      </c>
      <c r="M6203" s="2">
        <v>9</v>
      </c>
      <c r="N6203" s="1">
        <v>22</v>
      </c>
    </row>
    <row r="6204" spans="1:14" x14ac:dyDescent="0.25">
      <c r="A6204" t="str">
        <f t="shared" si="194"/>
        <v>U152755U152755</v>
      </c>
      <c r="B6204" t="str">
        <f t="shared" si="195"/>
        <v>U152755I6039JD-M</v>
      </c>
      <c r="C6204" s="1" t="s">
        <v>60</v>
      </c>
      <c r="D6204" s="1" t="s">
        <v>865</v>
      </c>
      <c r="E6204" s="1" t="s">
        <v>436</v>
      </c>
      <c r="F6204" s="1" t="s">
        <v>442</v>
      </c>
      <c r="G6204" s="1" t="s">
        <v>438</v>
      </c>
      <c r="H6204" s="1">
        <v>594</v>
      </c>
      <c r="I6204" s="3">
        <v>46288</v>
      </c>
      <c r="L6204" s="24">
        <v>46288.682968981477</v>
      </c>
      <c r="M6204" s="2">
        <v>9</v>
      </c>
      <c r="N6204" s="1">
        <v>21</v>
      </c>
    </row>
    <row r="6205" spans="1:14" x14ac:dyDescent="0.25">
      <c r="A6205" t="str">
        <f t="shared" si="194"/>
        <v>U152755U152755</v>
      </c>
      <c r="B6205" t="str">
        <f t="shared" si="195"/>
        <v>U152755I6039JD-M</v>
      </c>
      <c r="C6205" s="1" t="s">
        <v>60</v>
      </c>
      <c r="D6205" s="1" t="s">
        <v>865</v>
      </c>
      <c r="E6205" s="1" t="s">
        <v>436</v>
      </c>
      <c r="F6205" s="1" t="s">
        <v>442</v>
      </c>
      <c r="G6205" s="1" t="s">
        <v>438</v>
      </c>
      <c r="H6205" s="1">
        <v>594</v>
      </c>
      <c r="I6205" s="3">
        <v>46288</v>
      </c>
      <c r="L6205" s="24">
        <v>46288.683877662035</v>
      </c>
      <c r="M6205" s="2">
        <v>9</v>
      </c>
      <c r="N6205" s="1">
        <v>25</v>
      </c>
    </row>
    <row r="6206" spans="1:14" x14ac:dyDescent="0.25">
      <c r="A6206" t="str">
        <f t="shared" si="194"/>
        <v>U152769U152769</v>
      </c>
      <c r="B6206" t="str">
        <f t="shared" si="195"/>
        <v>U152769PC9060GY-M</v>
      </c>
      <c r="C6206" s="1" t="s">
        <v>9</v>
      </c>
      <c r="D6206" s="1" t="s">
        <v>859</v>
      </c>
      <c r="E6206" s="1" t="s">
        <v>436</v>
      </c>
      <c r="F6206" s="1" t="s">
        <v>443</v>
      </c>
      <c r="G6206" s="1" t="s">
        <v>444</v>
      </c>
      <c r="H6206" s="1">
        <v>822</v>
      </c>
      <c r="I6206" s="3">
        <v>46288</v>
      </c>
      <c r="L6206" s="24">
        <v>46288.396483831013</v>
      </c>
      <c r="M6206" s="2">
        <v>12</v>
      </c>
      <c r="N6206" s="1">
        <v>19</v>
      </c>
    </row>
    <row r="6207" spans="1:14" x14ac:dyDescent="0.25">
      <c r="A6207" t="str">
        <f t="shared" si="194"/>
        <v>U152769U152769</v>
      </c>
      <c r="B6207" t="str">
        <f t="shared" si="195"/>
        <v>U152769PC9060GY-M</v>
      </c>
      <c r="C6207" s="1" t="s">
        <v>9</v>
      </c>
      <c r="D6207" s="1" t="s">
        <v>859</v>
      </c>
      <c r="E6207" s="1" t="s">
        <v>436</v>
      </c>
      <c r="F6207" s="1" t="s">
        <v>443</v>
      </c>
      <c r="G6207" s="1" t="s">
        <v>444</v>
      </c>
      <c r="H6207" s="1">
        <v>822</v>
      </c>
      <c r="I6207" s="3">
        <v>46288</v>
      </c>
      <c r="L6207" s="24">
        <v>46288.404560451389</v>
      </c>
      <c r="M6207" s="2">
        <v>12</v>
      </c>
      <c r="N6207" s="1">
        <v>20</v>
      </c>
    </row>
    <row r="6208" spans="1:14" x14ac:dyDescent="0.25">
      <c r="A6208" t="str">
        <f t="shared" si="194"/>
        <v>U152769U152769</v>
      </c>
      <c r="B6208" t="str">
        <f t="shared" si="195"/>
        <v>U152769PC9060GY-M</v>
      </c>
      <c r="C6208" s="1" t="s">
        <v>9</v>
      </c>
      <c r="D6208" s="1" t="s">
        <v>859</v>
      </c>
      <c r="E6208" s="1" t="s">
        <v>436</v>
      </c>
      <c r="F6208" s="1" t="s">
        <v>443</v>
      </c>
      <c r="G6208" s="1" t="s">
        <v>444</v>
      </c>
      <c r="H6208" s="1">
        <v>822</v>
      </c>
      <c r="I6208" s="3">
        <v>46288</v>
      </c>
      <c r="L6208" s="24">
        <v>46288.407138194445</v>
      </c>
      <c r="M6208" s="2">
        <v>12</v>
      </c>
      <c r="N6208" s="1">
        <v>12</v>
      </c>
    </row>
    <row r="6209" spans="1:14" x14ac:dyDescent="0.25">
      <c r="A6209" t="str">
        <f t="shared" si="194"/>
        <v>U152769U152769</v>
      </c>
      <c r="B6209" t="str">
        <f t="shared" si="195"/>
        <v>U152769PC9060GY-M</v>
      </c>
      <c r="C6209" s="1" t="s">
        <v>9</v>
      </c>
      <c r="D6209" s="1" t="s">
        <v>859</v>
      </c>
      <c r="E6209" s="1" t="s">
        <v>436</v>
      </c>
      <c r="F6209" s="1" t="s">
        <v>443</v>
      </c>
      <c r="G6209" s="1" t="s">
        <v>444</v>
      </c>
      <c r="H6209" s="1">
        <v>822</v>
      </c>
      <c r="I6209" s="3">
        <v>46288</v>
      </c>
      <c r="L6209" s="24">
        <v>46288.415244062497</v>
      </c>
      <c r="M6209" s="2">
        <v>12</v>
      </c>
      <c r="N6209" s="1">
        <v>11</v>
      </c>
    </row>
    <row r="6210" spans="1:14" x14ac:dyDescent="0.25">
      <c r="A6210" t="str">
        <f t="shared" ref="A6210:A6276" si="196">+D6210&amp;D6210</f>
        <v>U152769U152769</v>
      </c>
      <c r="B6210" t="str">
        <f t="shared" ref="B6210:B6273" si="197">+D6210&amp;C6210</f>
        <v>U152769PC9060GY-M</v>
      </c>
      <c r="C6210" s="1" t="s">
        <v>9</v>
      </c>
      <c r="D6210" s="1" t="s">
        <v>859</v>
      </c>
      <c r="E6210" s="1" t="s">
        <v>436</v>
      </c>
      <c r="F6210" s="1" t="s">
        <v>443</v>
      </c>
      <c r="G6210" s="1" t="s">
        <v>444</v>
      </c>
      <c r="H6210" s="1">
        <v>822</v>
      </c>
      <c r="I6210" s="3">
        <v>46288</v>
      </c>
      <c r="L6210" s="24">
        <v>46288.430640312501</v>
      </c>
      <c r="M6210" s="2">
        <v>12</v>
      </c>
      <c r="N6210" s="1">
        <v>27</v>
      </c>
    </row>
    <row r="6211" spans="1:14" x14ac:dyDescent="0.25">
      <c r="A6211" t="str">
        <f t="shared" si="196"/>
        <v>U152769U152769</v>
      </c>
      <c r="B6211" t="str">
        <f t="shared" si="197"/>
        <v>U152769PC9060GY-M</v>
      </c>
      <c r="C6211" s="1" t="s">
        <v>9</v>
      </c>
      <c r="D6211" s="1" t="s">
        <v>859</v>
      </c>
      <c r="E6211" s="1" t="s">
        <v>436</v>
      </c>
      <c r="F6211" s="1" t="s">
        <v>443</v>
      </c>
      <c r="G6211" s="1" t="s">
        <v>444</v>
      </c>
      <c r="H6211" s="1">
        <v>822</v>
      </c>
      <c r="I6211" s="3">
        <v>46288</v>
      </c>
      <c r="L6211" s="24">
        <v>46288.431236539349</v>
      </c>
      <c r="M6211" s="2">
        <v>12</v>
      </c>
      <c r="N6211" s="1">
        <v>8</v>
      </c>
    </row>
    <row r="6212" spans="1:14" x14ac:dyDescent="0.25">
      <c r="A6212" t="str">
        <f t="shared" si="196"/>
        <v>U152769U152769</v>
      </c>
      <c r="B6212" t="str">
        <f t="shared" si="197"/>
        <v>U152769PC9060GY-M</v>
      </c>
      <c r="C6212" s="1" t="s">
        <v>9</v>
      </c>
      <c r="D6212" s="1" t="s">
        <v>859</v>
      </c>
      <c r="E6212" s="1" t="s">
        <v>436</v>
      </c>
      <c r="F6212" s="1" t="s">
        <v>443</v>
      </c>
      <c r="G6212" s="1" t="s">
        <v>444</v>
      </c>
      <c r="H6212" s="1">
        <v>822</v>
      </c>
      <c r="I6212" s="3">
        <v>46288</v>
      </c>
      <c r="L6212" s="24">
        <v>46288.431426006944</v>
      </c>
      <c r="M6212" s="2">
        <v>12</v>
      </c>
      <c r="N6212" s="1">
        <v>10</v>
      </c>
    </row>
    <row r="6213" spans="1:14" x14ac:dyDescent="0.25">
      <c r="A6213" t="str">
        <f t="shared" si="196"/>
        <v>U152769U152769</v>
      </c>
      <c r="B6213" t="str">
        <f t="shared" si="197"/>
        <v>U152769PC9060GY-M</v>
      </c>
      <c r="C6213" s="1" t="s">
        <v>9</v>
      </c>
      <c r="D6213" s="1" t="s">
        <v>859</v>
      </c>
      <c r="E6213" s="1" t="s">
        <v>436</v>
      </c>
      <c r="F6213" s="1" t="s">
        <v>443</v>
      </c>
      <c r="G6213" s="1" t="s">
        <v>444</v>
      </c>
      <c r="H6213" s="1">
        <v>822</v>
      </c>
      <c r="I6213" s="3">
        <v>46288</v>
      </c>
      <c r="L6213" s="24">
        <v>46288.431626655089</v>
      </c>
      <c r="M6213" s="2">
        <v>12</v>
      </c>
      <c r="N6213" s="1">
        <v>21</v>
      </c>
    </row>
    <row r="6214" spans="1:14" x14ac:dyDescent="0.25">
      <c r="A6214" t="str">
        <f t="shared" si="196"/>
        <v>U152769U152769</v>
      </c>
      <c r="B6214" t="str">
        <f t="shared" si="197"/>
        <v>U152769PC9060GY-M</v>
      </c>
      <c r="C6214" s="1" t="s">
        <v>9</v>
      </c>
      <c r="D6214" s="1" t="s">
        <v>859</v>
      </c>
      <c r="E6214" s="1" t="s">
        <v>436</v>
      </c>
      <c r="F6214" s="1" t="s">
        <v>443</v>
      </c>
      <c r="G6214" s="1" t="s">
        <v>444</v>
      </c>
      <c r="H6214" s="1">
        <v>822</v>
      </c>
      <c r="I6214" s="3">
        <v>46288</v>
      </c>
      <c r="L6214" s="24">
        <v>46288.432501932868</v>
      </c>
      <c r="M6214" s="2">
        <v>12</v>
      </c>
      <c r="N6214" s="1">
        <v>50</v>
      </c>
    </row>
    <row r="6215" spans="1:14" x14ac:dyDescent="0.25">
      <c r="A6215" t="str">
        <f t="shared" si="196"/>
        <v>U152769U152769</v>
      </c>
      <c r="B6215" t="str">
        <f t="shared" si="197"/>
        <v>U152769PC9060GY-M</v>
      </c>
      <c r="C6215" s="1" t="s">
        <v>9</v>
      </c>
      <c r="D6215" s="1" t="s">
        <v>859</v>
      </c>
      <c r="E6215" s="1" t="s">
        <v>436</v>
      </c>
      <c r="F6215" s="1" t="s">
        <v>443</v>
      </c>
      <c r="G6215" s="1" t="s">
        <v>444</v>
      </c>
      <c r="H6215" s="1">
        <v>822</v>
      </c>
      <c r="I6215" s="3">
        <v>46288</v>
      </c>
      <c r="L6215" s="24">
        <v>46288.442777777775</v>
      </c>
      <c r="M6215" s="2">
        <v>12</v>
      </c>
      <c r="N6215" s="1">
        <v>3</v>
      </c>
    </row>
    <row r="6216" spans="1:14" x14ac:dyDescent="0.25">
      <c r="A6216" t="str">
        <f t="shared" si="196"/>
        <v>U152769U152769</v>
      </c>
      <c r="B6216" t="str">
        <f t="shared" si="197"/>
        <v>U152769PC9060GY-M</v>
      </c>
      <c r="C6216" s="1" t="s">
        <v>9</v>
      </c>
      <c r="D6216" s="1" t="s">
        <v>859</v>
      </c>
      <c r="E6216" s="1" t="s">
        <v>436</v>
      </c>
      <c r="F6216" s="1" t="s">
        <v>443</v>
      </c>
      <c r="G6216" s="1" t="s">
        <v>444</v>
      </c>
      <c r="H6216" s="1">
        <v>822</v>
      </c>
      <c r="I6216" s="3">
        <v>46288</v>
      </c>
      <c r="L6216" s="24">
        <v>46288.473543171298</v>
      </c>
      <c r="M6216" s="2">
        <v>12</v>
      </c>
      <c r="N6216" s="1">
        <v>13</v>
      </c>
    </row>
    <row r="6217" spans="1:14" x14ac:dyDescent="0.25">
      <c r="A6217" t="str">
        <f t="shared" si="196"/>
        <v>U152769U152769</v>
      </c>
      <c r="B6217" t="str">
        <f t="shared" si="197"/>
        <v>U152769PC9060GY-M</v>
      </c>
      <c r="C6217" s="1" t="s">
        <v>9</v>
      </c>
      <c r="D6217" s="1" t="s">
        <v>859</v>
      </c>
      <c r="E6217" s="1" t="s">
        <v>436</v>
      </c>
      <c r="F6217" s="1" t="s">
        <v>443</v>
      </c>
      <c r="G6217" s="1" t="s">
        <v>444</v>
      </c>
      <c r="H6217" s="1">
        <v>822</v>
      </c>
      <c r="I6217" s="3">
        <v>46288</v>
      </c>
      <c r="L6217" s="24">
        <v>46288.473922719902</v>
      </c>
      <c r="M6217" s="2">
        <v>12</v>
      </c>
      <c r="N6217" s="1">
        <v>22</v>
      </c>
    </row>
    <row r="6218" spans="1:14" x14ac:dyDescent="0.25">
      <c r="A6218" t="str">
        <f t="shared" si="196"/>
        <v>U152769U152769</v>
      </c>
      <c r="B6218" t="str">
        <f t="shared" si="197"/>
        <v>U152769PC9060GY-M</v>
      </c>
      <c r="C6218" s="1" t="s">
        <v>9</v>
      </c>
      <c r="D6218" s="1" t="s">
        <v>859</v>
      </c>
      <c r="E6218" s="1" t="s">
        <v>436</v>
      </c>
      <c r="F6218" s="1" t="s">
        <v>443</v>
      </c>
      <c r="G6218" s="1" t="s">
        <v>444</v>
      </c>
      <c r="H6218" s="1">
        <v>822</v>
      </c>
      <c r="I6218" s="3">
        <v>46288</v>
      </c>
      <c r="L6218" s="24">
        <v>46288.479882060186</v>
      </c>
      <c r="M6218" s="2">
        <v>12</v>
      </c>
      <c r="N6218" s="1">
        <v>17</v>
      </c>
    </row>
    <row r="6219" spans="1:14" x14ac:dyDescent="0.25">
      <c r="A6219" t="str">
        <f t="shared" si="196"/>
        <v>U152769U152769</v>
      </c>
      <c r="B6219" t="str">
        <f t="shared" si="197"/>
        <v>U152769PC9060GY-M</v>
      </c>
      <c r="C6219" s="1" t="s">
        <v>9</v>
      </c>
      <c r="D6219" s="1" t="s">
        <v>859</v>
      </c>
      <c r="E6219" s="1" t="s">
        <v>436</v>
      </c>
      <c r="F6219" s="1" t="s">
        <v>443</v>
      </c>
      <c r="G6219" s="1" t="s">
        <v>444</v>
      </c>
      <c r="H6219" s="1">
        <v>822</v>
      </c>
      <c r="I6219" s="3">
        <v>46288</v>
      </c>
      <c r="L6219" s="24">
        <v>46288.480068784724</v>
      </c>
      <c r="M6219" s="2">
        <v>12</v>
      </c>
      <c r="N6219" s="1">
        <v>4</v>
      </c>
    </row>
    <row r="6220" spans="1:14" x14ac:dyDescent="0.25">
      <c r="A6220" t="str">
        <f t="shared" si="196"/>
        <v>U152769U152769</v>
      </c>
      <c r="B6220" t="str">
        <f t="shared" si="197"/>
        <v>U152769PC9060GY-M</v>
      </c>
      <c r="C6220" s="1" t="s">
        <v>9</v>
      </c>
      <c r="D6220" s="1" t="s">
        <v>859</v>
      </c>
      <c r="E6220" s="1" t="s">
        <v>436</v>
      </c>
      <c r="F6220" s="1" t="s">
        <v>443</v>
      </c>
      <c r="G6220" s="1" t="s">
        <v>444</v>
      </c>
      <c r="H6220" s="1">
        <v>822</v>
      </c>
      <c r="I6220" s="3">
        <v>46288</v>
      </c>
      <c r="L6220" s="24">
        <v>46288.558889618056</v>
      </c>
      <c r="M6220" s="2">
        <v>6</v>
      </c>
      <c r="N6220" s="1">
        <v>69</v>
      </c>
    </row>
    <row r="6221" spans="1:14" x14ac:dyDescent="0.25">
      <c r="A6221" t="str">
        <f t="shared" si="196"/>
        <v>U152769U152769</v>
      </c>
      <c r="B6221" t="str">
        <f t="shared" si="197"/>
        <v>U152769PC9060GY-M</v>
      </c>
      <c r="C6221" s="1" t="s">
        <v>9</v>
      </c>
      <c r="D6221" s="1" t="s">
        <v>859</v>
      </c>
      <c r="E6221" s="1" t="s">
        <v>436</v>
      </c>
      <c r="F6221" s="1" t="s">
        <v>443</v>
      </c>
      <c r="G6221" s="1" t="s">
        <v>444</v>
      </c>
      <c r="H6221" s="1">
        <v>822</v>
      </c>
      <c r="I6221" s="3">
        <v>46288</v>
      </c>
      <c r="L6221" s="24">
        <v>46288.591359340273</v>
      </c>
      <c r="M6221" s="2">
        <v>12</v>
      </c>
      <c r="N6221" s="1">
        <v>14</v>
      </c>
    </row>
    <row r="6222" spans="1:14" x14ac:dyDescent="0.25">
      <c r="A6222" t="str">
        <f t="shared" si="196"/>
        <v>U152769U152769</v>
      </c>
      <c r="B6222" t="str">
        <f t="shared" si="197"/>
        <v>U152769PC9060GY-M</v>
      </c>
      <c r="C6222" s="1" t="s">
        <v>9</v>
      </c>
      <c r="D6222" s="1" t="s">
        <v>859</v>
      </c>
      <c r="E6222" s="1" t="s">
        <v>436</v>
      </c>
      <c r="F6222" s="1" t="s">
        <v>443</v>
      </c>
      <c r="G6222" s="1" t="s">
        <v>444</v>
      </c>
      <c r="H6222" s="1">
        <v>822</v>
      </c>
      <c r="I6222" s="3">
        <v>46288</v>
      </c>
      <c r="L6222" s="24">
        <v>46288.591962766201</v>
      </c>
      <c r="M6222" s="2">
        <v>12</v>
      </c>
      <c r="N6222" s="1">
        <v>1</v>
      </c>
    </row>
    <row r="6223" spans="1:14" x14ac:dyDescent="0.25">
      <c r="A6223" t="str">
        <f t="shared" si="196"/>
        <v>U152769U152769</v>
      </c>
      <c r="B6223" t="str">
        <f t="shared" si="197"/>
        <v>U152769PC9060GY-M</v>
      </c>
      <c r="C6223" s="1" t="s">
        <v>9</v>
      </c>
      <c r="D6223" s="1" t="s">
        <v>859</v>
      </c>
      <c r="E6223" s="1" t="s">
        <v>436</v>
      </c>
      <c r="F6223" s="1" t="s">
        <v>443</v>
      </c>
      <c r="G6223" s="1" t="s">
        <v>444</v>
      </c>
      <c r="H6223" s="1">
        <v>822</v>
      </c>
      <c r="I6223" s="3">
        <v>46288</v>
      </c>
      <c r="L6223" s="24">
        <v>46288.603617974535</v>
      </c>
      <c r="M6223" s="2">
        <v>12</v>
      </c>
      <c r="N6223" s="1">
        <v>5</v>
      </c>
    </row>
    <row r="6224" spans="1:14" x14ac:dyDescent="0.25">
      <c r="A6224" t="str">
        <f t="shared" si="196"/>
        <v>U152769U152769</v>
      </c>
      <c r="B6224" t="str">
        <f t="shared" si="197"/>
        <v>U152769PC9060GY-M</v>
      </c>
      <c r="C6224" s="1" t="s">
        <v>9</v>
      </c>
      <c r="D6224" s="1" t="s">
        <v>859</v>
      </c>
      <c r="E6224" s="1" t="s">
        <v>436</v>
      </c>
      <c r="F6224" s="1" t="s">
        <v>443</v>
      </c>
      <c r="G6224" s="1" t="s">
        <v>444</v>
      </c>
      <c r="H6224" s="1">
        <v>822</v>
      </c>
      <c r="I6224" s="3">
        <v>46288</v>
      </c>
      <c r="L6224" s="24">
        <v>46288.617651701388</v>
      </c>
      <c r="M6224" s="2">
        <v>6</v>
      </c>
      <c r="N6224" s="1">
        <v>68</v>
      </c>
    </row>
    <row r="6225" spans="1:14" x14ac:dyDescent="0.25">
      <c r="A6225" t="str">
        <f t="shared" si="196"/>
        <v>U152769U152769</v>
      </c>
      <c r="B6225" t="str">
        <f t="shared" si="197"/>
        <v>U152769PC9060GY-M</v>
      </c>
      <c r="C6225" s="1" t="s">
        <v>9</v>
      </c>
      <c r="D6225" s="1" t="s">
        <v>859</v>
      </c>
      <c r="E6225" s="1" t="s">
        <v>436</v>
      </c>
      <c r="F6225" s="1" t="s">
        <v>443</v>
      </c>
      <c r="G6225" s="1" t="s">
        <v>444</v>
      </c>
      <c r="H6225" s="1">
        <v>822</v>
      </c>
      <c r="I6225" s="3">
        <v>46288</v>
      </c>
      <c r="L6225" s="24">
        <v>46288.6215878125</v>
      </c>
      <c r="M6225" s="2">
        <v>12</v>
      </c>
      <c r="N6225" s="1">
        <v>30</v>
      </c>
    </row>
    <row r="6226" spans="1:14" x14ac:dyDescent="0.25">
      <c r="A6226" t="str">
        <f t="shared" si="196"/>
        <v>U152769U152769</v>
      </c>
      <c r="B6226" t="str">
        <f t="shared" si="197"/>
        <v>U152769PC9060GY-M</v>
      </c>
      <c r="C6226" s="1" t="s">
        <v>9</v>
      </c>
      <c r="D6226" s="1" t="s">
        <v>859</v>
      </c>
      <c r="E6226" s="1" t="s">
        <v>436</v>
      </c>
      <c r="F6226" s="1" t="s">
        <v>443</v>
      </c>
      <c r="G6226" s="1" t="s">
        <v>444</v>
      </c>
      <c r="H6226" s="1">
        <v>822</v>
      </c>
      <c r="I6226" s="3">
        <v>46288</v>
      </c>
      <c r="L6226" s="24">
        <v>46288.624564004625</v>
      </c>
      <c r="M6226" s="2">
        <v>12</v>
      </c>
      <c r="N6226" s="1">
        <v>23</v>
      </c>
    </row>
    <row r="6227" spans="1:14" x14ac:dyDescent="0.25">
      <c r="A6227" t="str">
        <f t="shared" si="196"/>
        <v>U152769U152769</v>
      </c>
      <c r="B6227" t="str">
        <f t="shared" si="197"/>
        <v>U152769PC9060GY-M</v>
      </c>
      <c r="C6227" s="1" t="s">
        <v>9</v>
      </c>
      <c r="D6227" s="1" t="s">
        <v>859</v>
      </c>
      <c r="E6227" s="1" t="s">
        <v>436</v>
      </c>
      <c r="F6227" s="1" t="s">
        <v>443</v>
      </c>
      <c r="G6227" s="1" t="s">
        <v>444</v>
      </c>
      <c r="H6227" s="1">
        <v>822</v>
      </c>
      <c r="I6227" s="3">
        <v>46288</v>
      </c>
      <c r="L6227" s="24">
        <v>46288.635415162033</v>
      </c>
      <c r="M6227" s="2">
        <v>12</v>
      </c>
      <c r="N6227" s="1">
        <v>31</v>
      </c>
    </row>
    <row r="6228" spans="1:14" x14ac:dyDescent="0.25">
      <c r="A6228" t="str">
        <f t="shared" si="196"/>
        <v>U152769U152769</v>
      </c>
      <c r="B6228" t="str">
        <f t="shared" si="197"/>
        <v>U152769PC9060GY-M</v>
      </c>
      <c r="C6228" s="1" t="s">
        <v>9</v>
      </c>
      <c r="D6228" s="1" t="s">
        <v>859</v>
      </c>
      <c r="E6228" s="1" t="s">
        <v>436</v>
      </c>
      <c r="F6228" s="1" t="s">
        <v>443</v>
      </c>
      <c r="G6228" s="1" t="s">
        <v>444</v>
      </c>
      <c r="H6228" s="1">
        <v>822</v>
      </c>
      <c r="I6228" s="3">
        <v>46288</v>
      </c>
      <c r="L6228" s="24">
        <v>46288.644130590277</v>
      </c>
      <c r="M6228" s="2">
        <v>12</v>
      </c>
      <c r="N6228" s="1">
        <v>24</v>
      </c>
    </row>
    <row r="6229" spans="1:14" x14ac:dyDescent="0.25">
      <c r="A6229" t="str">
        <f t="shared" si="196"/>
        <v>U152769U152769</v>
      </c>
      <c r="B6229" t="str">
        <f t="shared" si="197"/>
        <v>U152769PC9060GY-M</v>
      </c>
      <c r="C6229" s="1" t="s">
        <v>9</v>
      </c>
      <c r="D6229" s="1" t="s">
        <v>859</v>
      </c>
      <c r="E6229" s="1" t="s">
        <v>436</v>
      </c>
      <c r="F6229" s="1" t="s">
        <v>443</v>
      </c>
      <c r="G6229" s="1" t="s">
        <v>444</v>
      </c>
      <c r="H6229" s="1">
        <v>822</v>
      </c>
      <c r="I6229" s="3">
        <v>46288</v>
      </c>
      <c r="L6229" s="24">
        <v>46288.646366168978</v>
      </c>
      <c r="M6229" s="2">
        <v>12</v>
      </c>
      <c r="N6229" s="1">
        <v>29</v>
      </c>
    </row>
    <row r="6230" spans="1:14" x14ac:dyDescent="0.25">
      <c r="A6230" t="str">
        <f t="shared" si="196"/>
        <v>U152769U152769</v>
      </c>
      <c r="B6230" t="str">
        <f t="shared" si="197"/>
        <v>U152769PC9060GY-M</v>
      </c>
      <c r="C6230" s="1" t="s">
        <v>9</v>
      </c>
      <c r="D6230" s="1" t="s">
        <v>859</v>
      </c>
      <c r="E6230" s="1" t="s">
        <v>436</v>
      </c>
      <c r="F6230" s="1" t="s">
        <v>443</v>
      </c>
      <c r="G6230" s="1" t="s">
        <v>444</v>
      </c>
      <c r="H6230" s="1">
        <v>822</v>
      </c>
      <c r="I6230" s="3">
        <v>46288</v>
      </c>
      <c r="L6230" s="24">
        <v>46288.658731909723</v>
      </c>
      <c r="M6230" s="2">
        <v>12</v>
      </c>
      <c r="N6230" s="1">
        <v>63</v>
      </c>
    </row>
    <row r="6231" spans="1:14" x14ac:dyDescent="0.25">
      <c r="A6231" t="str">
        <f t="shared" si="196"/>
        <v>U152769U152769</v>
      </c>
      <c r="B6231" t="str">
        <f t="shared" si="197"/>
        <v>U152769PC9060GY-M</v>
      </c>
      <c r="C6231" s="1" t="s">
        <v>9</v>
      </c>
      <c r="D6231" s="1" t="s">
        <v>859</v>
      </c>
      <c r="E6231" s="1" t="s">
        <v>436</v>
      </c>
      <c r="F6231" s="1" t="s">
        <v>443</v>
      </c>
      <c r="G6231" s="1" t="s">
        <v>444</v>
      </c>
      <c r="H6231" s="1">
        <v>822</v>
      </c>
      <c r="I6231" s="3">
        <v>46288</v>
      </c>
      <c r="L6231" s="24">
        <v>46288.6708153125</v>
      </c>
      <c r="M6231" s="2">
        <v>12</v>
      </c>
      <c r="N6231" s="1">
        <v>58</v>
      </c>
    </row>
    <row r="6232" spans="1:14" x14ac:dyDescent="0.25">
      <c r="A6232" t="str">
        <f t="shared" si="196"/>
        <v>U152769U152769</v>
      </c>
      <c r="B6232" t="str">
        <f t="shared" si="197"/>
        <v>U152769PC9060GY-M</v>
      </c>
      <c r="C6232" s="1" t="s">
        <v>9</v>
      </c>
      <c r="D6232" s="1" t="s">
        <v>859</v>
      </c>
      <c r="E6232" s="1" t="s">
        <v>436</v>
      </c>
      <c r="F6232" s="1" t="s">
        <v>443</v>
      </c>
      <c r="G6232" s="1" t="s">
        <v>444</v>
      </c>
      <c r="H6232" s="1">
        <v>822</v>
      </c>
      <c r="I6232" s="3">
        <v>46288</v>
      </c>
      <c r="L6232" s="24">
        <v>46288.680878587962</v>
      </c>
      <c r="M6232" s="2">
        <v>12</v>
      </c>
      <c r="N6232" s="1">
        <v>61</v>
      </c>
    </row>
    <row r="6233" spans="1:14" x14ac:dyDescent="0.25">
      <c r="A6233" t="str">
        <f t="shared" si="196"/>
        <v>U152769U152769</v>
      </c>
      <c r="B6233" t="str">
        <f t="shared" si="197"/>
        <v>U152769PC9060GY-M</v>
      </c>
      <c r="C6233" s="1" t="s">
        <v>9</v>
      </c>
      <c r="D6233" s="1" t="s">
        <v>859</v>
      </c>
      <c r="E6233" s="1" t="s">
        <v>436</v>
      </c>
      <c r="F6233" s="1" t="s">
        <v>443</v>
      </c>
      <c r="G6233" s="1" t="s">
        <v>444</v>
      </c>
      <c r="H6233" s="1">
        <v>822</v>
      </c>
      <c r="I6233" s="3">
        <v>46288</v>
      </c>
      <c r="L6233" s="24">
        <v>46288.681393287035</v>
      </c>
      <c r="M6233" s="2">
        <v>12</v>
      </c>
      <c r="N6233" s="1">
        <v>60</v>
      </c>
    </row>
    <row r="6234" spans="1:14" x14ac:dyDescent="0.25">
      <c r="A6234" t="str">
        <f t="shared" si="196"/>
        <v>U152769U152769</v>
      </c>
      <c r="B6234" t="str">
        <f t="shared" si="197"/>
        <v>U152769PC9060GY-M</v>
      </c>
      <c r="C6234" s="1" t="s">
        <v>9</v>
      </c>
      <c r="D6234" s="1" t="s">
        <v>859</v>
      </c>
      <c r="E6234" s="1" t="s">
        <v>436</v>
      </c>
      <c r="F6234" s="1" t="s">
        <v>443</v>
      </c>
      <c r="G6234" s="1" t="s">
        <v>444</v>
      </c>
      <c r="H6234" s="1">
        <v>822</v>
      </c>
      <c r="I6234" s="3">
        <v>46288</v>
      </c>
      <c r="L6234" s="24">
        <v>46288.710122337958</v>
      </c>
      <c r="M6234" s="2">
        <v>12</v>
      </c>
      <c r="N6234" s="1">
        <v>40</v>
      </c>
    </row>
    <row r="6235" spans="1:14" x14ac:dyDescent="0.25">
      <c r="A6235" t="str">
        <f t="shared" si="196"/>
        <v>U152769U152769</v>
      </c>
      <c r="B6235" t="str">
        <f t="shared" si="197"/>
        <v>U152769PC9060GY-M</v>
      </c>
      <c r="C6235" s="1" t="s">
        <v>9</v>
      </c>
      <c r="D6235" s="1" t="s">
        <v>859</v>
      </c>
      <c r="E6235" s="1" t="s">
        <v>436</v>
      </c>
      <c r="F6235" s="1" t="s">
        <v>443</v>
      </c>
      <c r="G6235" s="1" t="s">
        <v>444</v>
      </c>
      <c r="H6235" s="1">
        <v>822</v>
      </c>
      <c r="I6235" s="3">
        <v>46288</v>
      </c>
      <c r="L6235" s="24">
        <v>46288.714717974537</v>
      </c>
      <c r="M6235" s="2">
        <v>12</v>
      </c>
      <c r="N6235" s="1">
        <v>59</v>
      </c>
    </row>
    <row r="6236" spans="1:14" x14ac:dyDescent="0.25">
      <c r="A6236" t="str">
        <f t="shared" si="196"/>
        <v>U152769U152769</v>
      </c>
      <c r="B6236" t="str">
        <f t="shared" si="197"/>
        <v>U152769PC9060GY-M</v>
      </c>
      <c r="C6236" s="1" t="s">
        <v>9</v>
      </c>
      <c r="D6236" s="1" t="s">
        <v>859</v>
      </c>
      <c r="E6236" s="1" t="s">
        <v>436</v>
      </c>
      <c r="F6236" s="1" t="s">
        <v>443</v>
      </c>
      <c r="G6236" s="1" t="s">
        <v>444</v>
      </c>
      <c r="H6236" s="1">
        <v>822</v>
      </c>
      <c r="I6236" s="3">
        <v>46288</v>
      </c>
      <c r="L6236" s="24">
        <v>46288.743990740739</v>
      </c>
      <c r="M6236" s="2">
        <v>12</v>
      </c>
      <c r="N6236" s="1">
        <v>2</v>
      </c>
    </row>
    <row r="6237" spans="1:14" x14ac:dyDescent="0.25">
      <c r="A6237" t="str">
        <f t="shared" si="196"/>
        <v>U152774U152774</v>
      </c>
      <c r="B6237" t="str">
        <f t="shared" si="197"/>
        <v>U152774PC9060LL-W</v>
      </c>
      <c r="C6237" s="1" t="s">
        <v>861</v>
      </c>
      <c r="D6237" s="1" t="s">
        <v>854</v>
      </c>
      <c r="E6237" s="1" t="s">
        <v>436</v>
      </c>
      <c r="F6237" s="1" t="s">
        <v>443</v>
      </c>
      <c r="G6237" s="1" t="s">
        <v>444</v>
      </c>
      <c r="H6237" s="1">
        <v>30</v>
      </c>
      <c r="I6237" s="3">
        <v>46288</v>
      </c>
      <c r="L6237" s="24">
        <v>46288.438067129631</v>
      </c>
      <c r="M6237" s="2">
        <v>6</v>
      </c>
      <c r="N6237" s="1">
        <v>72</v>
      </c>
    </row>
    <row r="6238" spans="1:14" x14ac:dyDescent="0.25">
      <c r="A6238" t="str">
        <f t="shared" si="196"/>
        <v>U152774U152774</v>
      </c>
      <c r="B6238" t="str">
        <f t="shared" si="197"/>
        <v>U152774PC9060LL-W</v>
      </c>
      <c r="C6238" s="1" t="s">
        <v>861</v>
      </c>
      <c r="D6238" s="1" t="s">
        <v>854</v>
      </c>
      <c r="E6238" s="1" t="s">
        <v>436</v>
      </c>
      <c r="F6238" s="1" t="s">
        <v>443</v>
      </c>
      <c r="G6238" s="1" t="s">
        <v>444</v>
      </c>
      <c r="H6238" s="1">
        <v>30</v>
      </c>
      <c r="I6238" s="3">
        <v>46288</v>
      </c>
      <c r="L6238" s="24">
        <v>46288.443229861106</v>
      </c>
      <c r="M6238" s="2">
        <v>6</v>
      </c>
      <c r="N6238" s="1">
        <v>71</v>
      </c>
    </row>
    <row r="6239" spans="1:14" x14ac:dyDescent="0.25">
      <c r="A6239" t="str">
        <f t="shared" si="196"/>
        <v>U152821U152821</v>
      </c>
      <c r="B6239" t="str">
        <f t="shared" si="197"/>
        <v>U152821ML574EVW-2E</v>
      </c>
      <c r="C6239" s="1" t="s">
        <v>119</v>
      </c>
      <c r="D6239" s="1" t="s">
        <v>835</v>
      </c>
      <c r="E6239" s="1" t="s">
        <v>436</v>
      </c>
      <c r="F6239" s="1" t="s">
        <v>443</v>
      </c>
      <c r="G6239" s="1" t="s">
        <v>457</v>
      </c>
      <c r="H6239" s="1">
        <v>12</v>
      </c>
      <c r="I6239" s="3">
        <v>46288</v>
      </c>
      <c r="J6239" s="3">
        <v>46288</v>
      </c>
      <c r="L6239" s="24">
        <v>46288.730625775461</v>
      </c>
      <c r="M6239" s="2">
        <v>6</v>
      </c>
      <c r="N6239" s="1">
        <v>75</v>
      </c>
    </row>
    <row r="6240" spans="1:14" x14ac:dyDescent="0.25">
      <c r="A6240" t="str">
        <f t="shared" si="196"/>
        <v>U152821U152821</v>
      </c>
      <c r="B6240" t="str">
        <f t="shared" si="197"/>
        <v>U152821ML574EVW-4E</v>
      </c>
      <c r="C6240" s="1" t="s">
        <v>123</v>
      </c>
      <c r="D6240" s="1" t="s">
        <v>835</v>
      </c>
      <c r="E6240" s="1" t="s">
        <v>436</v>
      </c>
      <c r="F6240" s="1" t="s">
        <v>443</v>
      </c>
      <c r="G6240" s="1" t="s">
        <v>457</v>
      </c>
      <c r="H6240" s="1">
        <v>12</v>
      </c>
      <c r="I6240" s="3">
        <v>46288</v>
      </c>
      <c r="J6240" s="3">
        <v>46288</v>
      </c>
      <c r="L6240" s="24">
        <v>46288.738330243053</v>
      </c>
      <c r="M6240" s="2">
        <v>6</v>
      </c>
      <c r="N6240" s="1">
        <v>76</v>
      </c>
    </row>
    <row r="6241" spans="1:14" x14ac:dyDescent="0.25">
      <c r="A6241" t="str">
        <f t="shared" si="196"/>
        <v>U152821U152821</v>
      </c>
      <c r="B6241" t="str">
        <f t="shared" si="197"/>
        <v>U152821ML574EVW-4E</v>
      </c>
      <c r="C6241" s="1" t="s">
        <v>123</v>
      </c>
      <c r="D6241" s="1" t="s">
        <v>835</v>
      </c>
      <c r="E6241" s="1" t="s">
        <v>436</v>
      </c>
      <c r="F6241" s="1" t="s">
        <v>443</v>
      </c>
      <c r="G6241" s="1" t="s">
        <v>457</v>
      </c>
      <c r="H6241" s="1">
        <v>12</v>
      </c>
      <c r="I6241" s="3">
        <v>46288</v>
      </c>
      <c r="J6241" s="3">
        <v>46288</v>
      </c>
      <c r="L6241" s="24">
        <v>46288.756230752311</v>
      </c>
      <c r="M6241" s="2">
        <v>6</v>
      </c>
      <c r="N6241" s="1">
        <v>77</v>
      </c>
    </row>
    <row r="6242" spans="1:14" x14ac:dyDescent="0.25">
      <c r="A6242" t="str">
        <f t="shared" si="196"/>
        <v>U152821U152821</v>
      </c>
      <c r="B6242" t="str">
        <f t="shared" si="197"/>
        <v>U152821ML574EVW-2E</v>
      </c>
      <c r="C6242" s="1" t="s">
        <v>119</v>
      </c>
      <c r="D6242" s="1" t="s">
        <v>835</v>
      </c>
      <c r="E6242" s="1" t="s">
        <v>436</v>
      </c>
      <c r="F6242" s="1" t="s">
        <v>443</v>
      </c>
      <c r="G6242" s="1" t="s">
        <v>457</v>
      </c>
      <c r="H6242" s="1">
        <v>12</v>
      </c>
      <c r="I6242" s="3">
        <v>46288</v>
      </c>
      <c r="J6242" s="3">
        <v>46288</v>
      </c>
      <c r="L6242" s="24">
        <v>46288.758088738425</v>
      </c>
      <c r="M6242" s="2">
        <v>6</v>
      </c>
      <c r="N6242" s="1">
        <v>74</v>
      </c>
    </row>
    <row r="6243" spans="1:14" x14ac:dyDescent="0.25">
      <c r="A6243" t="str">
        <f t="shared" si="196"/>
        <v>U152826U152826</v>
      </c>
      <c r="B6243" t="str">
        <f t="shared" si="197"/>
        <v>U152826IV9060BE-W</v>
      </c>
      <c r="C6243" s="1" t="s">
        <v>150</v>
      </c>
      <c r="D6243" s="1" t="s">
        <v>883</v>
      </c>
      <c r="E6243" s="1" t="s">
        <v>436</v>
      </c>
      <c r="F6243" s="1" t="s">
        <v>443</v>
      </c>
      <c r="G6243" s="1" t="s">
        <v>444</v>
      </c>
      <c r="H6243" s="1">
        <v>120</v>
      </c>
      <c r="I6243" s="3">
        <v>46288</v>
      </c>
      <c r="J6243" s="3">
        <v>46289</v>
      </c>
      <c r="L6243" s="24">
        <v>46288.70694236111</v>
      </c>
      <c r="M6243" s="2">
        <v>6</v>
      </c>
      <c r="N6243" s="1">
        <v>19</v>
      </c>
    </row>
    <row r="6244" spans="1:14" x14ac:dyDescent="0.25">
      <c r="A6244" t="str">
        <f t="shared" si="196"/>
        <v>U152826U152826</v>
      </c>
      <c r="B6244" t="str">
        <f t="shared" si="197"/>
        <v>U152826IV9060BE-M</v>
      </c>
      <c r="C6244" s="1" t="s">
        <v>145</v>
      </c>
      <c r="D6244" s="1" t="s">
        <v>883</v>
      </c>
      <c r="E6244" s="1" t="s">
        <v>436</v>
      </c>
      <c r="F6244" s="1" t="s">
        <v>443</v>
      </c>
      <c r="G6244" s="1" t="s">
        <v>444</v>
      </c>
      <c r="H6244" s="1">
        <v>90</v>
      </c>
      <c r="I6244" s="3">
        <v>46288</v>
      </c>
      <c r="L6244" s="24">
        <v>46288.743431828705</v>
      </c>
      <c r="M6244" s="2">
        <v>6</v>
      </c>
      <c r="N6244" s="1">
        <v>7</v>
      </c>
    </row>
    <row r="6245" spans="1:14" x14ac:dyDescent="0.25">
      <c r="A6245" t="str">
        <f t="shared" si="196"/>
        <v>U152826U152826</v>
      </c>
      <c r="B6245" t="str">
        <f t="shared" si="197"/>
        <v>U152826IV9060BE-W</v>
      </c>
      <c r="C6245" s="1" t="s">
        <v>150</v>
      </c>
      <c r="D6245" s="1" t="s">
        <v>883</v>
      </c>
      <c r="E6245" s="1" t="s">
        <v>436</v>
      </c>
      <c r="F6245" s="1" t="s">
        <v>443</v>
      </c>
      <c r="G6245" s="1" t="s">
        <v>444</v>
      </c>
      <c r="H6245" s="1">
        <v>120</v>
      </c>
      <c r="I6245" s="3">
        <v>46288</v>
      </c>
      <c r="J6245" s="3">
        <v>46289</v>
      </c>
      <c r="L6245" s="24">
        <v>46288.743531018517</v>
      </c>
      <c r="M6245" s="2">
        <v>6</v>
      </c>
      <c r="N6245" s="1">
        <v>20</v>
      </c>
    </row>
    <row r="6246" spans="1:14" x14ac:dyDescent="0.25">
      <c r="A6246" t="str">
        <f t="shared" si="196"/>
        <v>U152826U152826</v>
      </c>
      <c r="B6246" t="str">
        <f t="shared" si="197"/>
        <v>U152826IV9060BE-W</v>
      </c>
      <c r="C6246" s="1" t="s">
        <v>150</v>
      </c>
      <c r="D6246" s="1" t="s">
        <v>883</v>
      </c>
      <c r="E6246" s="1" t="s">
        <v>436</v>
      </c>
      <c r="F6246" s="1" t="s">
        <v>443</v>
      </c>
      <c r="G6246" s="1" t="s">
        <v>444</v>
      </c>
      <c r="H6246" s="1">
        <v>120</v>
      </c>
      <c r="I6246" s="3">
        <v>46288</v>
      </c>
      <c r="J6246" s="3">
        <v>46289</v>
      </c>
      <c r="L6246" s="24">
        <v>46288.743804745369</v>
      </c>
      <c r="M6246" s="2">
        <v>12</v>
      </c>
      <c r="N6246" s="1">
        <v>16</v>
      </c>
    </row>
    <row r="6247" spans="1:14" x14ac:dyDescent="0.25">
      <c r="A6247" t="str">
        <f t="shared" si="196"/>
        <v>U152826U152826</v>
      </c>
      <c r="B6247" t="str">
        <f t="shared" si="197"/>
        <v>U152826IV9060BE-M</v>
      </c>
      <c r="C6247" s="1" t="s">
        <v>145</v>
      </c>
      <c r="D6247" s="1" t="s">
        <v>883</v>
      </c>
      <c r="E6247" s="1" t="s">
        <v>436</v>
      </c>
      <c r="F6247" s="1" t="s">
        <v>443</v>
      </c>
      <c r="G6247" s="1" t="s">
        <v>444</v>
      </c>
      <c r="H6247" s="1">
        <v>90</v>
      </c>
      <c r="I6247" s="3">
        <v>46288</v>
      </c>
      <c r="L6247" s="24">
        <v>46288.744172650462</v>
      </c>
      <c r="M6247" s="2">
        <v>12</v>
      </c>
      <c r="N6247" s="1">
        <v>6</v>
      </c>
    </row>
    <row r="6248" spans="1:14" x14ac:dyDescent="0.25">
      <c r="A6248" t="str">
        <f t="shared" si="196"/>
        <v>U152826U152826</v>
      </c>
      <c r="B6248" t="str">
        <f t="shared" si="197"/>
        <v>U152826IV9060BE-W</v>
      </c>
      <c r="C6248" s="1" t="s">
        <v>150</v>
      </c>
      <c r="D6248" s="1" t="s">
        <v>883</v>
      </c>
      <c r="E6248" s="1" t="s">
        <v>436</v>
      </c>
      <c r="F6248" s="1" t="s">
        <v>443</v>
      </c>
      <c r="G6248" s="1" t="s">
        <v>444</v>
      </c>
      <c r="H6248" s="1">
        <v>120</v>
      </c>
      <c r="I6248" s="3">
        <v>46288</v>
      </c>
      <c r="J6248" s="3">
        <v>46289</v>
      </c>
      <c r="L6248" s="24">
        <v>46288.744413078704</v>
      </c>
      <c r="M6248" s="2">
        <v>12</v>
      </c>
      <c r="N6248" s="1">
        <v>17</v>
      </c>
    </row>
    <row r="6249" spans="1:14" x14ac:dyDescent="0.25">
      <c r="A6249" t="str">
        <f t="shared" si="196"/>
        <v>U152826U152826</v>
      </c>
      <c r="B6249" t="str">
        <f t="shared" si="197"/>
        <v>U152826IV9060BE-W</v>
      </c>
      <c r="C6249" s="1" t="s">
        <v>150</v>
      </c>
      <c r="D6249" s="1" t="s">
        <v>883</v>
      </c>
      <c r="E6249" s="1" t="s">
        <v>436</v>
      </c>
      <c r="F6249" s="1" t="s">
        <v>443</v>
      </c>
      <c r="G6249" s="1" t="s">
        <v>444</v>
      </c>
      <c r="H6249" s="1">
        <v>120</v>
      </c>
      <c r="I6249" s="3">
        <v>46288</v>
      </c>
      <c r="J6249" s="3">
        <v>46289</v>
      </c>
      <c r="L6249" s="24">
        <v>46288.744610682872</v>
      </c>
      <c r="M6249" s="2">
        <v>12</v>
      </c>
      <c r="N6249" s="1">
        <v>18</v>
      </c>
    </row>
    <row r="6250" spans="1:14" x14ac:dyDescent="0.25">
      <c r="A6250" t="str">
        <f t="shared" si="196"/>
        <v>U152827U152827</v>
      </c>
      <c r="B6250" t="str">
        <f t="shared" si="197"/>
        <v>U152827ML574EVW-4E</v>
      </c>
      <c r="C6250" s="1" t="s">
        <v>123</v>
      </c>
      <c r="D6250" s="1" t="s">
        <v>884</v>
      </c>
      <c r="E6250" s="1" t="s">
        <v>436</v>
      </c>
      <c r="F6250" s="1" t="s">
        <v>443</v>
      </c>
      <c r="G6250" s="1" t="s">
        <v>444</v>
      </c>
      <c r="H6250" s="1">
        <v>36</v>
      </c>
      <c r="I6250" s="3">
        <v>46288</v>
      </c>
      <c r="J6250" s="3">
        <v>46288</v>
      </c>
      <c r="L6250" s="24">
        <v>46288.756059837964</v>
      </c>
      <c r="M6250" s="2">
        <v>12</v>
      </c>
      <c r="N6250" s="1">
        <v>13</v>
      </c>
    </row>
    <row r="6251" spans="1:14" x14ac:dyDescent="0.25">
      <c r="A6251" t="str">
        <f t="shared" si="196"/>
        <v>U152827U152827</v>
      </c>
      <c r="B6251" t="str">
        <f t="shared" si="197"/>
        <v>U152827ML574EVW-4E</v>
      </c>
      <c r="C6251" s="1" t="s">
        <v>123</v>
      </c>
      <c r="D6251" s="1" t="s">
        <v>884</v>
      </c>
      <c r="E6251" s="1" t="s">
        <v>436</v>
      </c>
      <c r="F6251" s="1" t="s">
        <v>443</v>
      </c>
      <c r="G6251" s="1" t="s">
        <v>444</v>
      </c>
      <c r="H6251" s="1">
        <v>36</v>
      </c>
      <c r="I6251" s="3">
        <v>46288</v>
      </c>
      <c r="J6251" s="3">
        <v>46288</v>
      </c>
      <c r="L6251" s="24">
        <v>46288.757740706016</v>
      </c>
      <c r="M6251" s="2">
        <v>12</v>
      </c>
      <c r="N6251" s="1">
        <v>14</v>
      </c>
    </row>
    <row r="6252" spans="1:14" x14ac:dyDescent="0.25">
      <c r="A6252" t="str">
        <f t="shared" si="196"/>
        <v>U152827U152827</v>
      </c>
      <c r="B6252" t="str">
        <f t="shared" si="197"/>
        <v>U152827ML574EVW-4E</v>
      </c>
      <c r="C6252" s="1" t="s">
        <v>123</v>
      </c>
      <c r="D6252" s="1" t="s">
        <v>884</v>
      </c>
      <c r="E6252" s="1" t="s">
        <v>436</v>
      </c>
      <c r="F6252" s="1" t="s">
        <v>443</v>
      </c>
      <c r="G6252" s="1" t="s">
        <v>444</v>
      </c>
      <c r="H6252" s="1">
        <v>36</v>
      </c>
      <c r="I6252" s="3">
        <v>46288</v>
      </c>
      <c r="J6252" s="3">
        <v>46288</v>
      </c>
      <c r="L6252" s="24">
        <v>46288.760278472218</v>
      </c>
      <c r="M6252" s="2">
        <v>12</v>
      </c>
      <c r="N6252" s="1">
        <v>15</v>
      </c>
    </row>
    <row r="6253" spans="1:14" x14ac:dyDescent="0.25">
      <c r="A6253" t="str">
        <f t="shared" si="196"/>
        <v>U152828U152828</v>
      </c>
      <c r="B6253" t="str">
        <f t="shared" si="197"/>
        <v>U152828IV9060LL-W</v>
      </c>
      <c r="C6253" s="1" t="s">
        <v>858</v>
      </c>
      <c r="D6253" s="1" t="s">
        <v>809</v>
      </c>
      <c r="E6253" s="1" t="s">
        <v>436</v>
      </c>
      <c r="F6253" s="1" t="s">
        <v>443</v>
      </c>
      <c r="G6253" s="1" t="s">
        <v>444</v>
      </c>
      <c r="H6253" s="1">
        <v>24</v>
      </c>
      <c r="I6253" s="3">
        <v>46288</v>
      </c>
      <c r="J6253" s="3">
        <v>46288</v>
      </c>
      <c r="K6253" s="3" t="s">
        <v>2374</v>
      </c>
      <c r="L6253" s="24">
        <v>46288.36694378472</v>
      </c>
      <c r="M6253" s="2">
        <v>12</v>
      </c>
      <c r="N6253" s="1">
        <v>17</v>
      </c>
    </row>
    <row r="6254" spans="1:14" x14ac:dyDescent="0.25">
      <c r="A6254" t="str">
        <f t="shared" si="196"/>
        <v>U152828U152828</v>
      </c>
      <c r="B6254" t="str">
        <f t="shared" si="197"/>
        <v>U152828IV9060LL-W</v>
      </c>
      <c r="C6254" s="1" t="s">
        <v>858</v>
      </c>
      <c r="D6254" s="1" t="s">
        <v>809</v>
      </c>
      <c r="E6254" s="1" t="s">
        <v>436</v>
      </c>
      <c r="F6254" s="1" t="s">
        <v>443</v>
      </c>
      <c r="G6254" s="1" t="s">
        <v>444</v>
      </c>
      <c r="H6254" s="1">
        <v>24</v>
      </c>
      <c r="I6254" s="3">
        <v>46288</v>
      </c>
      <c r="J6254" s="3">
        <v>46288</v>
      </c>
      <c r="K6254" s="3" t="s">
        <v>2374</v>
      </c>
      <c r="L6254" s="24">
        <v>46288.377488541664</v>
      </c>
      <c r="M6254" s="2">
        <v>12</v>
      </c>
      <c r="N6254" s="1">
        <v>18</v>
      </c>
    </row>
    <row r="6255" spans="1:14" x14ac:dyDescent="0.25">
      <c r="A6255" t="str">
        <f t="shared" si="196"/>
        <v>U152833U152833</v>
      </c>
      <c r="B6255" t="str">
        <f t="shared" si="197"/>
        <v>U152833GC9060BK-M</v>
      </c>
      <c r="C6255" s="1" t="s">
        <v>79</v>
      </c>
      <c r="D6255" s="1" t="s">
        <v>885</v>
      </c>
      <c r="E6255" s="1" t="s">
        <v>436</v>
      </c>
      <c r="F6255" s="1" t="s">
        <v>443</v>
      </c>
      <c r="G6255" s="1" t="s">
        <v>457</v>
      </c>
      <c r="H6255" s="1">
        <v>108</v>
      </c>
      <c r="I6255" s="3">
        <v>46288</v>
      </c>
      <c r="L6255" s="24">
        <v>46288.764000115742</v>
      </c>
      <c r="M6255" s="2">
        <v>12</v>
      </c>
      <c r="N6255" s="1">
        <v>5</v>
      </c>
    </row>
    <row r="6256" spans="1:14" x14ac:dyDescent="0.25">
      <c r="A6256" t="str">
        <f t="shared" si="196"/>
        <v>U152833U152833</v>
      </c>
      <c r="B6256" t="str">
        <f t="shared" si="197"/>
        <v>U152833GC9060BK-M</v>
      </c>
      <c r="C6256" s="1" t="s">
        <v>79</v>
      </c>
      <c r="D6256" s="1" t="s">
        <v>885</v>
      </c>
      <c r="E6256" s="1" t="s">
        <v>436</v>
      </c>
      <c r="F6256" s="1" t="s">
        <v>443</v>
      </c>
      <c r="G6256" s="1" t="s">
        <v>457</v>
      </c>
      <c r="H6256" s="1">
        <v>108</v>
      </c>
      <c r="I6256" s="3">
        <v>46288</v>
      </c>
      <c r="L6256" s="24">
        <v>46288.765075729163</v>
      </c>
      <c r="M6256" s="2">
        <v>12</v>
      </c>
      <c r="N6256" s="1">
        <v>6</v>
      </c>
    </row>
    <row r="6257" spans="1:14" x14ac:dyDescent="0.25">
      <c r="A6257" t="str">
        <f t="shared" si="196"/>
        <v>U152852U152852</v>
      </c>
      <c r="B6257" t="str">
        <f t="shared" si="197"/>
        <v>U152852P204L9NZ-M</v>
      </c>
      <c r="C6257" s="1" t="s">
        <v>873</v>
      </c>
      <c r="D6257" s="1" t="s">
        <v>874</v>
      </c>
      <c r="E6257" s="1" t="s">
        <v>436</v>
      </c>
      <c r="F6257" s="1" t="s">
        <v>443</v>
      </c>
      <c r="G6257" s="1" t="s">
        <v>444</v>
      </c>
      <c r="H6257" s="1">
        <v>846</v>
      </c>
      <c r="I6257" s="3">
        <v>46288</v>
      </c>
      <c r="L6257" s="24">
        <v>46288.634823460648</v>
      </c>
      <c r="M6257" s="2">
        <v>12</v>
      </c>
      <c r="N6257" s="1">
        <v>61</v>
      </c>
    </row>
    <row r="6258" spans="1:14" x14ac:dyDescent="0.25">
      <c r="A6258" t="str">
        <f t="shared" si="196"/>
        <v>U152852U152852</v>
      </c>
      <c r="B6258" t="str">
        <f t="shared" si="197"/>
        <v>U152852P204L9NZ-M</v>
      </c>
      <c r="C6258" s="1" t="s">
        <v>873</v>
      </c>
      <c r="D6258" s="1" t="s">
        <v>874</v>
      </c>
      <c r="E6258" s="1" t="s">
        <v>436</v>
      </c>
      <c r="F6258" s="1" t="s">
        <v>443</v>
      </c>
      <c r="G6258" s="1" t="s">
        <v>444</v>
      </c>
      <c r="H6258" s="1">
        <v>846</v>
      </c>
      <c r="I6258" s="3">
        <v>46288</v>
      </c>
      <c r="L6258" s="24">
        <v>46288.643594756941</v>
      </c>
      <c r="M6258" s="2">
        <v>12</v>
      </c>
      <c r="N6258" s="1">
        <v>53</v>
      </c>
    </row>
    <row r="6259" spans="1:14" x14ac:dyDescent="0.25">
      <c r="A6259" t="str">
        <f t="shared" si="196"/>
        <v>U152852U152852</v>
      </c>
      <c r="B6259" t="str">
        <f t="shared" si="197"/>
        <v>U152852P204L9NZ-M</v>
      </c>
      <c r="C6259" s="1" t="s">
        <v>873</v>
      </c>
      <c r="D6259" s="1" t="s">
        <v>874</v>
      </c>
      <c r="E6259" s="1" t="s">
        <v>436</v>
      </c>
      <c r="F6259" s="1" t="s">
        <v>443</v>
      </c>
      <c r="G6259" s="1" t="s">
        <v>444</v>
      </c>
      <c r="H6259" s="1">
        <v>846</v>
      </c>
      <c r="I6259" s="3">
        <v>46288</v>
      </c>
      <c r="L6259" s="24">
        <v>46288.643761030093</v>
      </c>
      <c r="M6259" s="2">
        <v>12</v>
      </c>
      <c r="N6259" s="1">
        <v>52</v>
      </c>
    </row>
    <row r="6260" spans="1:14" x14ac:dyDescent="0.25">
      <c r="A6260" t="str">
        <f t="shared" si="196"/>
        <v>U152852U152852</v>
      </c>
      <c r="B6260" t="str">
        <f t="shared" si="197"/>
        <v>U152852P204L9NZ-M</v>
      </c>
      <c r="C6260" s="1" t="s">
        <v>873</v>
      </c>
      <c r="D6260" s="1" t="s">
        <v>874</v>
      </c>
      <c r="E6260" s="1" t="s">
        <v>436</v>
      </c>
      <c r="F6260" s="1" t="s">
        <v>443</v>
      </c>
      <c r="G6260" s="1" t="s">
        <v>444</v>
      </c>
      <c r="H6260" s="1">
        <v>846</v>
      </c>
      <c r="I6260" s="3">
        <v>46288</v>
      </c>
      <c r="L6260" s="24">
        <v>46288.676395636576</v>
      </c>
      <c r="M6260" s="2">
        <v>12</v>
      </c>
      <c r="N6260" s="1">
        <v>60</v>
      </c>
    </row>
    <row r="6261" spans="1:14" x14ac:dyDescent="0.25">
      <c r="A6261" t="str">
        <f t="shared" si="196"/>
        <v>U152852U152852</v>
      </c>
      <c r="B6261" t="str">
        <f t="shared" si="197"/>
        <v>U152852P204L9NZ-M</v>
      </c>
      <c r="C6261" s="1" t="s">
        <v>873</v>
      </c>
      <c r="D6261" s="1" t="s">
        <v>874</v>
      </c>
      <c r="E6261" s="1" t="s">
        <v>436</v>
      </c>
      <c r="F6261" s="1" t="s">
        <v>443</v>
      </c>
      <c r="G6261" s="1" t="s">
        <v>444</v>
      </c>
      <c r="H6261" s="1">
        <v>846</v>
      </c>
      <c r="I6261" s="3">
        <v>46288</v>
      </c>
      <c r="L6261" s="24">
        <v>46288.677630127313</v>
      </c>
      <c r="M6261" s="2">
        <v>12</v>
      </c>
      <c r="N6261" s="1">
        <v>54</v>
      </c>
    </row>
    <row r="6262" spans="1:14" x14ac:dyDescent="0.25">
      <c r="A6262" t="str">
        <f t="shared" si="196"/>
        <v>U152852U152852</v>
      </c>
      <c r="B6262" t="str">
        <f t="shared" si="197"/>
        <v>U152852P204L9NZ-M</v>
      </c>
      <c r="C6262" s="1" t="s">
        <v>873</v>
      </c>
      <c r="D6262" s="1" t="s">
        <v>874</v>
      </c>
      <c r="E6262" s="1" t="s">
        <v>436</v>
      </c>
      <c r="F6262" s="1" t="s">
        <v>443</v>
      </c>
      <c r="G6262" s="1" t="s">
        <v>444</v>
      </c>
      <c r="H6262" s="1">
        <v>846</v>
      </c>
      <c r="I6262" s="3">
        <v>46288</v>
      </c>
      <c r="L6262" s="24">
        <v>46288.677774768519</v>
      </c>
      <c r="M6262" s="2">
        <v>12</v>
      </c>
      <c r="N6262" s="1">
        <v>62</v>
      </c>
    </row>
    <row r="6263" spans="1:14" x14ac:dyDescent="0.25">
      <c r="A6263" t="str">
        <f t="shared" si="196"/>
        <v>U152852U152852</v>
      </c>
      <c r="B6263" t="str">
        <f t="shared" si="197"/>
        <v>U152852P204L9NZ-M</v>
      </c>
      <c r="C6263" s="1" t="s">
        <v>873</v>
      </c>
      <c r="D6263" s="1" t="s">
        <v>874</v>
      </c>
      <c r="E6263" s="1" t="s">
        <v>436</v>
      </c>
      <c r="F6263" s="1" t="s">
        <v>443</v>
      </c>
      <c r="G6263" s="1" t="s">
        <v>444</v>
      </c>
      <c r="H6263" s="1">
        <v>846</v>
      </c>
      <c r="I6263" s="3">
        <v>46288</v>
      </c>
      <c r="L6263" s="24">
        <v>46288.683537500001</v>
      </c>
      <c r="M6263" s="2">
        <v>12</v>
      </c>
      <c r="N6263" s="1">
        <v>63</v>
      </c>
    </row>
    <row r="6264" spans="1:14" x14ac:dyDescent="0.25">
      <c r="A6264" t="str">
        <f t="shared" si="196"/>
        <v>U153523U153523</v>
      </c>
      <c r="B6264" t="str">
        <f t="shared" si="197"/>
        <v>U153523ML574EVB-D</v>
      </c>
      <c r="C6264" s="1" t="s">
        <v>210</v>
      </c>
      <c r="D6264" s="1" t="s">
        <v>875</v>
      </c>
      <c r="E6264" s="1" t="s">
        <v>436</v>
      </c>
      <c r="F6264" s="1" t="s">
        <v>443</v>
      </c>
      <c r="G6264" s="1" t="s">
        <v>466</v>
      </c>
      <c r="H6264" s="1">
        <v>258</v>
      </c>
      <c r="I6264" s="3">
        <v>46288</v>
      </c>
      <c r="L6264" s="24">
        <v>46288.645835219904</v>
      </c>
      <c r="M6264" s="2">
        <v>12</v>
      </c>
      <c r="N6264" s="1">
        <v>4</v>
      </c>
    </row>
    <row r="6265" spans="1:14" x14ac:dyDescent="0.25">
      <c r="A6265" t="str">
        <f t="shared" si="196"/>
        <v>U153523U153523</v>
      </c>
      <c r="B6265" t="str">
        <f t="shared" si="197"/>
        <v>U153523ML574EVB-D</v>
      </c>
      <c r="C6265" s="1" t="s">
        <v>210</v>
      </c>
      <c r="D6265" s="1" t="s">
        <v>875</v>
      </c>
      <c r="E6265" s="1" t="s">
        <v>436</v>
      </c>
      <c r="F6265" s="1" t="s">
        <v>443</v>
      </c>
      <c r="G6265" s="1" t="s">
        <v>466</v>
      </c>
      <c r="H6265" s="1">
        <v>258</v>
      </c>
      <c r="I6265" s="3">
        <v>46288</v>
      </c>
      <c r="L6265" s="24">
        <v>46288.651167361109</v>
      </c>
      <c r="M6265" s="2">
        <v>12</v>
      </c>
      <c r="N6265" s="1">
        <v>14</v>
      </c>
    </row>
    <row r="6266" spans="1:14" x14ac:dyDescent="0.25">
      <c r="A6266" t="str">
        <f t="shared" si="196"/>
        <v>U153523U153523</v>
      </c>
      <c r="B6266" t="str">
        <f t="shared" si="197"/>
        <v>U153523ML574EVB-D</v>
      </c>
      <c r="C6266" s="1" t="s">
        <v>210</v>
      </c>
      <c r="D6266" s="1" t="s">
        <v>875</v>
      </c>
      <c r="E6266" s="1" t="s">
        <v>436</v>
      </c>
      <c r="F6266" s="1" t="s">
        <v>443</v>
      </c>
      <c r="G6266" s="1" t="s">
        <v>466</v>
      </c>
      <c r="H6266" s="1">
        <v>258</v>
      </c>
      <c r="I6266" s="3">
        <v>46288</v>
      </c>
      <c r="L6266" s="24">
        <v>46288.657291469906</v>
      </c>
      <c r="M6266" s="2">
        <v>12</v>
      </c>
      <c r="N6266" s="1">
        <v>9</v>
      </c>
    </row>
    <row r="6267" spans="1:14" x14ac:dyDescent="0.25">
      <c r="A6267" t="str">
        <f t="shared" si="196"/>
        <v>U153523U153523</v>
      </c>
      <c r="B6267" t="str">
        <f t="shared" si="197"/>
        <v>U153523ML574EVB-D</v>
      </c>
      <c r="C6267" s="1" t="s">
        <v>210</v>
      </c>
      <c r="D6267" s="1" t="s">
        <v>875</v>
      </c>
      <c r="E6267" s="1" t="s">
        <v>436</v>
      </c>
      <c r="F6267" s="1" t="s">
        <v>443</v>
      </c>
      <c r="G6267" s="1" t="s">
        <v>466</v>
      </c>
      <c r="H6267" s="1">
        <v>258</v>
      </c>
      <c r="I6267" s="3">
        <v>46288</v>
      </c>
      <c r="L6267" s="24">
        <v>46288.657649849534</v>
      </c>
      <c r="M6267" s="2">
        <v>12</v>
      </c>
      <c r="N6267" s="1">
        <v>3</v>
      </c>
    </row>
    <row r="6268" spans="1:14" x14ac:dyDescent="0.25">
      <c r="A6268" t="str">
        <f t="shared" si="196"/>
        <v>U153523U153523</v>
      </c>
      <c r="B6268" t="str">
        <f t="shared" si="197"/>
        <v>U153523ML574EVB-D</v>
      </c>
      <c r="C6268" s="1" t="s">
        <v>210</v>
      </c>
      <c r="D6268" s="1" t="s">
        <v>875</v>
      </c>
      <c r="E6268" s="1" t="s">
        <v>436</v>
      </c>
      <c r="F6268" s="1" t="s">
        <v>443</v>
      </c>
      <c r="G6268" s="1" t="s">
        <v>466</v>
      </c>
      <c r="H6268" s="1">
        <v>258</v>
      </c>
      <c r="I6268" s="3">
        <v>46288</v>
      </c>
      <c r="L6268" s="24">
        <v>46288.692547916668</v>
      </c>
      <c r="M6268" s="2">
        <v>12</v>
      </c>
      <c r="N6268" s="1">
        <v>2</v>
      </c>
    </row>
    <row r="6269" spans="1:14" x14ac:dyDescent="0.25">
      <c r="A6269" t="str">
        <f t="shared" si="196"/>
        <v>U153523U153523</v>
      </c>
      <c r="B6269" t="str">
        <f t="shared" si="197"/>
        <v>U153523ML574EVB-D</v>
      </c>
      <c r="C6269" s="1" t="s">
        <v>210</v>
      </c>
      <c r="D6269" s="1" t="s">
        <v>875</v>
      </c>
      <c r="E6269" s="1" t="s">
        <v>436</v>
      </c>
      <c r="F6269" s="1" t="s">
        <v>443</v>
      </c>
      <c r="G6269" s="1" t="s">
        <v>466</v>
      </c>
      <c r="H6269" s="1">
        <v>258</v>
      </c>
      <c r="I6269" s="3">
        <v>46288</v>
      </c>
      <c r="L6269" s="24">
        <v>46288.70423993055</v>
      </c>
      <c r="M6269" s="2">
        <v>12</v>
      </c>
      <c r="N6269" s="1">
        <v>13</v>
      </c>
    </row>
    <row r="6270" spans="1:14" x14ac:dyDescent="0.25">
      <c r="A6270" t="str">
        <f t="shared" si="196"/>
        <v>U153523U153523</v>
      </c>
      <c r="B6270" t="str">
        <f t="shared" si="197"/>
        <v>U153523ML574EVB-D</v>
      </c>
      <c r="C6270" s="1" t="s">
        <v>210</v>
      </c>
      <c r="D6270" s="1" t="s">
        <v>875</v>
      </c>
      <c r="E6270" s="1" t="s">
        <v>436</v>
      </c>
      <c r="F6270" s="1" t="s">
        <v>443</v>
      </c>
      <c r="G6270" s="1" t="s">
        <v>466</v>
      </c>
      <c r="H6270" s="1">
        <v>258</v>
      </c>
      <c r="I6270" s="3">
        <v>46288</v>
      </c>
      <c r="L6270" s="24">
        <v>46288.706067905092</v>
      </c>
      <c r="M6270" s="2">
        <v>6</v>
      </c>
      <c r="N6270" s="1">
        <v>21</v>
      </c>
    </row>
    <row r="6271" spans="1:14" x14ac:dyDescent="0.25">
      <c r="A6271" t="str">
        <f t="shared" si="196"/>
        <v>U153523U153523</v>
      </c>
      <c r="B6271" t="str">
        <f t="shared" si="197"/>
        <v>U153523ML574EVB-D</v>
      </c>
      <c r="C6271" s="1" t="s">
        <v>210</v>
      </c>
      <c r="D6271" s="1" t="s">
        <v>875</v>
      </c>
      <c r="E6271" s="1" t="s">
        <v>436</v>
      </c>
      <c r="F6271" s="1" t="s">
        <v>443</v>
      </c>
      <c r="G6271" s="1" t="s">
        <v>466</v>
      </c>
      <c r="H6271" s="1">
        <v>258</v>
      </c>
      <c r="I6271" s="3">
        <v>46288</v>
      </c>
      <c r="L6271" s="24">
        <v>46288.716489351849</v>
      </c>
      <c r="M6271" s="2">
        <v>12</v>
      </c>
      <c r="N6271" s="1">
        <v>6</v>
      </c>
    </row>
    <row r="6272" spans="1:14" x14ac:dyDescent="0.25">
      <c r="A6272" t="str">
        <f t="shared" si="196"/>
        <v>U153523U153523</v>
      </c>
      <c r="B6272" t="str">
        <f t="shared" si="197"/>
        <v>U153523ML574EVB-D</v>
      </c>
      <c r="C6272" s="1" t="s">
        <v>210</v>
      </c>
      <c r="D6272" s="1" t="s">
        <v>875</v>
      </c>
      <c r="E6272" s="1" t="s">
        <v>436</v>
      </c>
      <c r="F6272" s="1" t="s">
        <v>443</v>
      </c>
      <c r="G6272" s="1" t="s">
        <v>466</v>
      </c>
      <c r="H6272" s="1">
        <v>258</v>
      </c>
      <c r="I6272" s="3">
        <v>46288</v>
      </c>
      <c r="L6272" s="24">
        <v>46288.725504513888</v>
      </c>
      <c r="M6272" s="2">
        <v>12</v>
      </c>
      <c r="N6272" s="1">
        <v>5</v>
      </c>
    </row>
    <row r="6273" spans="1:14" x14ac:dyDescent="0.25">
      <c r="A6273" t="str">
        <f t="shared" si="196"/>
        <v>U153523U153523</v>
      </c>
      <c r="B6273" t="str">
        <f t="shared" si="197"/>
        <v>U153523ML574EVB-D</v>
      </c>
      <c r="C6273" s="1" t="s">
        <v>210</v>
      </c>
      <c r="D6273" s="1" t="s">
        <v>875</v>
      </c>
      <c r="E6273" s="1" t="s">
        <v>436</v>
      </c>
      <c r="F6273" s="1" t="s">
        <v>443</v>
      </c>
      <c r="G6273" s="1" t="s">
        <v>466</v>
      </c>
      <c r="H6273" s="1">
        <v>258</v>
      </c>
      <c r="I6273" s="3">
        <v>46288</v>
      </c>
      <c r="L6273" s="24">
        <v>46288.731371331014</v>
      </c>
      <c r="M6273" s="2">
        <v>12</v>
      </c>
      <c r="N6273" s="1">
        <v>19</v>
      </c>
    </row>
    <row r="6274" spans="1:14" x14ac:dyDescent="0.25">
      <c r="A6274" t="str">
        <f t="shared" si="196"/>
        <v>U153523U153523</v>
      </c>
      <c r="B6274" t="str">
        <f t="shared" ref="B6274:B6276" si="198">+D6274&amp;C6274</f>
        <v>U153523ML574EVB-D</v>
      </c>
      <c r="C6274" s="1" t="s">
        <v>210</v>
      </c>
      <c r="D6274" s="1" t="s">
        <v>875</v>
      </c>
      <c r="E6274" s="1" t="s">
        <v>436</v>
      </c>
      <c r="F6274" s="1" t="s">
        <v>443</v>
      </c>
      <c r="G6274" s="1" t="s">
        <v>466</v>
      </c>
      <c r="H6274" s="1">
        <v>258</v>
      </c>
      <c r="I6274" s="3">
        <v>46288</v>
      </c>
      <c r="L6274" s="24">
        <v>46288.73525868055</v>
      </c>
      <c r="M6274" s="2">
        <v>12</v>
      </c>
      <c r="N6274" s="1">
        <v>12</v>
      </c>
    </row>
    <row r="6275" spans="1:14" x14ac:dyDescent="0.25">
      <c r="A6275" t="str">
        <f t="shared" si="196"/>
        <v>U153523U153523</v>
      </c>
      <c r="B6275" t="str">
        <f t="shared" si="198"/>
        <v>U153523ML574EVB-D</v>
      </c>
      <c r="C6275" s="1" t="s">
        <v>210</v>
      </c>
      <c r="D6275" s="1" t="s">
        <v>875</v>
      </c>
      <c r="E6275" s="1" t="s">
        <v>436</v>
      </c>
      <c r="F6275" s="1" t="s">
        <v>443</v>
      </c>
      <c r="G6275" s="1" t="s">
        <v>466</v>
      </c>
      <c r="H6275" s="1">
        <v>258</v>
      </c>
      <c r="I6275" s="3">
        <v>46288</v>
      </c>
      <c r="L6275" s="24">
        <v>46288.737102349536</v>
      </c>
      <c r="M6275" s="2">
        <v>12</v>
      </c>
      <c r="N6275" s="1">
        <v>16</v>
      </c>
    </row>
    <row r="6276" spans="1:14" x14ac:dyDescent="0.25">
      <c r="A6276" t="str">
        <f t="shared" si="196"/>
        <v>U153523U153523</v>
      </c>
      <c r="B6276" t="str">
        <f t="shared" si="198"/>
        <v>U153523ML574EVB-D</v>
      </c>
      <c r="C6276" s="1" t="s">
        <v>210</v>
      </c>
      <c r="D6276" s="1" t="s">
        <v>875</v>
      </c>
      <c r="E6276" s="1" t="s">
        <v>436</v>
      </c>
      <c r="F6276" s="1" t="s">
        <v>443</v>
      </c>
      <c r="G6276" s="1" t="s">
        <v>466</v>
      </c>
      <c r="H6276" s="1">
        <v>258</v>
      </c>
      <c r="I6276" s="3">
        <v>46288</v>
      </c>
      <c r="L6276" s="24">
        <v>46288.756483796293</v>
      </c>
      <c r="M6276" s="2">
        <v>12</v>
      </c>
      <c r="N6276" s="1">
        <v>15</v>
      </c>
    </row>
    <row r="6277" spans="1:14" x14ac:dyDescent="0.25">
      <c r="A6277" t="str">
        <f t="shared" ref="A6277:A6308" si="199">+D6277&amp;D6277</f>
        <v>78763227876322</v>
      </c>
      <c r="B6277" t="str">
        <f t="shared" ref="B6277:B6308" si="200">+D6277&amp;C6277</f>
        <v>7876322GC9060ER-M</v>
      </c>
      <c r="C6277" s="27" t="s">
        <v>2372</v>
      </c>
      <c r="D6277" s="27" t="s">
        <v>1622</v>
      </c>
      <c r="E6277" s="1" t="str">
        <f>+VLOOKUP($B:$B,Sheet2!$1:$1048576,6,0)</f>
        <v>ITALY</v>
      </c>
      <c r="F6277" s="1" t="str">
        <f>+VLOOKUP($B:$B,Sheet2!$1:$1048576,7,0)</f>
        <v>NEW BALANCE ITALY SRL</v>
      </c>
      <c r="G6277" s="1" t="str">
        <f>+VLOOKUP($B:$B,Sheet2!$1:$1048576,4,0)</f>
        <v>Direct Rotterdam (RTM) (DR)</v>
      </c>
      <c r="H6277" s="1">
        <f>+VLOOKUP($B:$B,Sheet2!$1:$1048576,8,0)</f>
        <v>2202</v>
      </c>
      <c r="I6277" s="3">
        <v>46289</v>
      </c>
      <c r="L6277" s="32">
        <v>46289.631664236113</v>
      </c>
      <c r="M6277" s="2">
        <v>12</v>
      </c>
      <c r="N6277" s="1">
        <v>4</v>
      </c>
    </row>
    <row r="6278" spans="1:14" x14ac:dyDescent="0.25">
      <c r="A6278" t="str">
        <f t="shared" si="199"/>
        <v>78763227876322</v>
      </c>
      <c r="B6278" t="str">
        <f t="shared" si="200"/>
        <v>7876322GC9060ER-M</v>
      </c>
      <c r="C6278" s="27" t="s">
        <v>2372</v>
      </c>
      <c r="D6278" s="27" t="s">
        <v>1622</v>
      </c>
      <c r="E6278" s="1" t="str">
        <f>+VLOOKUP($B:$B,Sheet2!$1:$1048576,6,0)</f>
        <v>ITALY</v>
      </c>
      <c r="F6278" s="1" t="str">
        <f>+VLOOKUP($B:$B,Sheet2!$1:$1048576,7,0)</f>
        <v>NEW BALANCE ITALY SRL</v>
      </c>
      <c r="G6278" s="1" t="str">
        <f>+VLOOKUP($B:$B,Sheet2!$1:$1048576,4,0)</f>
        <v>Direct Rotterdam (RTM) (DR)</v>
      </c>
      <c r="H6278" s="1">
        <f>+VLOOKUP($B:$B,Sheet2!$1:$1048576,8,0)</f>
        <v>2202</v>
      </c>
      <c r="I6278" s="3">
        <v>46289</v>
      </c>
      <c r="L6278" s="32">
        <v>46289.637404710644</v>
      </c>
      <c r="M6278" s="2">
        <v>12</v>
      </c>
      <c r="N6278" s="1">
        <v>156</v>
      </c>
    </row>
    <row r="6279" spans="1:14" x14ac:dyDescent="0.25">
      <c r="A6279" t="str">
        <f t="shared" si="199"/>
        <v>78763227876322</v>
      </c>
      <c r="B6279" t="str">
        <f t="shared" si="200"/>
        <v>7876322GC9060ER-M</v>
      </c>
      <c r="C6279" s="27" t="s">
        <v>2372</v>
      </c>
      <c r="D6279" s="27" t="s">
        <v>1622</v>
      </c>
      <c r="E6279" s="1" t="str">
        <f>+VLOOKUP($B:$B,Sheet2!$1:$1048576,6,0)</f>
        <v>ITALY</v>
      </c>
      <c r="F6279" s="1" t="str">
        <f>+VLOOKUP($B:$B,Sheet2!$1:$1048576,7,0)</f>
        <v>NEW BALANCE ITALY SRL</v>
      </c>
      <c r="G6279" s="1" t="str">
        <f>+VLOOKUP($B:$B,Sheet2!$1:$1048576,4,0)</f>
        <v>Direct Rotterdam (RTM) (DR)</v>
      </c>
      <c r="H6279" s="1">
        <f>+VLOOKUP($B:$B,Sheet2!$1:$1048576,8,0)</f>
        <v>2202</v>
      </c>
      <c r="I6279" s="3">
        <v>46289</v>
      </c>
      <c r="L6279" s="32">
        <v>46289.640354861112</v>
      </c>
      <c r="M6279" s="2">
        <v>12</v>
      </c>
      <c r="N6279" s="1">
        <v>60</v>
      </c>
    </row>
    <row r="6280" spans="1:14" x14ac:dyDescent="0.25">
      <c r="A6280" t="str">
        <f t="shared" si="199"/>
        <v>78763227876322</v>
      </c>
      <c r="B6280" t="str">
        <f t="shared" si="200"/>
        <v>7876322GC9060ER-M</v>
      </c>
      <c r="C6280" s="27" t="s">
        <v>2372</v>
      </c>
      <c r="D6280" s="27" t="s">
        <v>1622</v>
      </c>
      <c r="E6280" s="1" t="str">
        <f>+VLOOKUP($B:$B,Sheet2!$1:$1048576,6,0)</f>
        <v>ITALY</v>
      </c>
      <c r="F6280" s="1" t="str">
        <f>+VLOOKUP($B:$B,Sheet2!$1:$1048576,7,0)</f>
        <v>NEW BALANCE ITALY SRL</v>
      </c>
      <c r="G6280" s="1" t="str">
        <f>+VLOOKUP($B:$B,Sheet2!$1:$1048576,4,0)</f>
        <v>Direct Rotterdam (RTM) (DR)</v>
      </c>
      <c r="H6280" s="1">
        <f>+VLOOKUP($B:$B,Sheet2!$1:$1048576,8,0)</f>
        <v>2202</v>
      </c>
      <c r="I6280" s="3">
        <v>46289</v>
      </c>
      <c r="L6280" s="32">
        <v>46289.641060069443</v>
      </c>
      <c r="M6280" s="2">
        <v>12</v>
      </c>
      <c r="N6280" s="1">
        <v>5</v>
      </c>
    </row>
    <row r="6281" spans="1:14" x14ac:dyDescent="0.25">
      <c r="A6281" t="str">
        <f t="shared" si="199"/>
        <v>78763227876322</v>
      </c>
      <c r="B6281" t="str">
        <f t="shared" si="200"/>
        <v>7876322GC9060ER-M</v>
      </c>
      <c r="C6281" s="27" t="s">
        <v>2372</v>
      </c>
      <c r="D6281" s="27" t="s">
        <v>1622</v>
      </c>
      <c r="E6281" s="1" t="str">
        <f>+VLOOKUP($B:$B,Sheet2!$1:$1048576,6,0)</f>
        <v>ITALY</v>
      </c>
      <c r="F6281" s="1" t="str">
        <f>+VLOOKUP($B:$B,Sheet2!$1:$1048576,7,0)</f>
        <v>NEW BALANCE ITALY SRL</v>
      </c>
      <c r="G6281" s="1" t="str">
        <f>+VLOOKUP($B:$B,Sheet2!$1:$1048576,4,0)</f>
        <v>Direct Rotterdam (RTM) (DR)</v>
      </c>
      <c r="H6281" s="1">
        <f>+VLOOKUP($B:$B,Sheet2!$1:$1048576,8,0)</f>
        <v>2202</v>
      </c>
      <c r="I6281" s="3">
        <v>46289</v>
      </c>
      <c r="L6281" s="32">
        <v>46289.642371759255</v>
      </c>
      <c r="M6281" s="2">
        <v>12</v>
      </c>
      <c r="N6281" s="1">
        <v>19</v>
      </c>
    </row>
    <row r="6282" spans="1:14" x14ac:dyDescent="0.25">
      <c r="A6282" t="str">
        <f t="shared" si="199"/>
        <v>78763227876322</v>
      </c>
      <c r="B6282" t="str">
        <f t="shared" si="200"/>
        <v>7876322GC9060ER-M</v>
      </c>
      <c r="C6282" s="27" t="s">
        <v>2372</v>
      </c>
      <c r="D6282" s="27" t="s">
        <v>1622</v>
      </c>
      <c r="E6282" s="1" t="str">
        <f>+VLOOKUP($B:$B,Sheet2!$1:$1048576,6,0)</f>
        <v>ITALY</v>
      </c>
      <c r="F6282" s="1" t="str">
        <f>+VLOOKUP($B:$B,Sheet2!$1:$1048576,7,0)</f>
        <v>NEW BALANCE ITALY SRL</v>
      </c>
      <c r="G6282" s="1" t="str">
        <f>+VLOOKUP($B:$B,Sheet2!$1:$1048576,4,0)</f>
        <v>Direct Rotterdam (RTM) (DR)</v>
      </c>
      <c r="H6282" s="1">
        <f>+VLOOKUP($B:$B,Sheet2!$1:$1048576,8,0)</f>
        <v>2202</v>
      </c>
      <c r="I6282" s="3">
        <v>46289</v>
      </c>
      <c r="L6282" s="32">
        <v>46289.667313541664</v>
      </c>
      <c r="M6282" s="2">
        <v>12</v>
      </c>
      <c r="N6282" s="1">
        <v>3</v>
      </c>
    </row>
    <row r="6283" spans="1:14" x14ac:dyDescent="0.25">
      <c r="A6283" t="str">
        <f t="shared" si="199"/>
        <v>78763227876322</v>
      </c>
      <c r="B6283" t="str">
        <f t="shared" si="200"/>
        <v>7876322GC9060ER-M</v>
      </c>
      <c r="C6283" s="27" t="s">
        <v>2372</v>
      </c>
      <c r="D6283" s="27" t="s">
        <v>1622</v>
      </c>
      <c r="E6283" s="1" t="str">
        <f>+VLOOKUP($B:$B,Sheet2!$1:$1048576,6,0)</f>
        <v>ITALY</v>
      </c>
      <c r="F6283" s="1" t="str">
        <f>+VLOOKUP($B:$B,Sheet2!$1:$1048576,7,0)</f>
        <v>NEW BALANCE ITALY SRL</v>
      </c>
      <c r="G6283" s="1" t="str">
        <f>+VLOOKUP($B:$B,Sheet2!$1:$1048576,4,0)</f>
        <v>Direct Rotterdam (RTM) (DR)</v>
      </c>
      <c r="H6283" s="1">
        <f>+VLOOKUP($B:$B,Sheet2!$1:$1048576,8,0)</f>
        <v>2202</v>
      </c>
      <c r="I6283" s="3">
        <v>46289</v>
      </c>
      <c r="L6283" s="32">
        <v>46289.66778880787</v>
      </c>
      <c r="M6283" s="2">
        <v>12</v>
      </c>
      <c r="N6283" s="1">
        <v>2</v>
      </c>
    </row>
    <row r="6284" spans="1:14" x14ac:dyDescent="0.25">
      <c r="A6284" t="str">
        <f t="shared" si="199"/>
        <v>78763227876322</v>
      </c>
      <c r="B6284" t="str">
        <f t="shared" si="200"/>
        <v>7876322GC9060ER-M</v>
      </c>
      <c r="C6284" s="27" t="s">
        <v>2372</v>
      </c>
      <c r="D6284" s="27" t="s">
        <v>1622</v>
      </c>
      <c r="E6284" s="1" t="str">
        <f>+VLOOKUP($B:$B,Sheet2!$1:$1048576,6,0)</f>
        <v>ITALY</v>
      </c>
      <c r="F6284" s="1" t="str">
        <f>+VLOOKUP($B:$B,Sheet2!$1:$1048576,7,0)</f>
        <v>NEW BALANCE ITALY SRL</v>
      </c>
      <c r="G6284" s="1" t="str">
        <f>+VLOOKUP($B:$B,Sheet2!$1:$1048576,4,0)</f>
        <v>Direct Rotterdam (RTM) (DR)</v>
      </c>
      <c r="H6284" s="1">
        <f>+VLOOKUP($B:$B,Sheet2!$1:$1048576,8,0)</f>
        <v>2202</v>
      </c>
      <c r="I6284" s="3">
        <v>46289</v>
      </c>
      <c r="L6284" s="32">
        <v>46289.677314780092</v>
      </c>
      <c r="M6284" s="2">
        <v>12</v>
      </c>
      <c r="N6284" s="1">
        <v>20</v>
      </c>
    </row>
    <row r="6285" spans="1:14" x14ac:dyDescent="0.25">
      <c r="A6285" t="str">
        <f t="shared" si="199"/>
        <v>78763227876322</v>
      </c>
      <c r="B6285" t="str">
        <f t="shared" si="200"/>
        <v>7876322GC9060ER-M</v>
      </c>
      <c r="C6285" s="27" t="s">
        <v>2372</v>
      </c>
      <c r="D6285" s="27" t="s">
        <v>1622</v>
      </c>
      <c r="E6285" s="1" t="str">
        <f>+VLOOKUP($B:$B,Sheet2!$1:$1048576,6,0)</f>
        <v>ITALY</v>
      </c>
      <c r="F6285" s="1" t="str">
        <f>+VLOOKUP($B:$B,Sheet2!$1:$1048576,7,0)</f>
        <v>NEW BALANCE ITALY SRL</v>
      </c>
      <c r="G6285" s="1" t="str">
        <f>+VLOOKUP($B:$B,Sheet2!$1:$1048576,4,0)</f>
        <v>Direct Rotterdam (RTM) (DR)</v>
      </c>
      <c r="H6285" s="1">
        <f>+VLOOKUP($B:$B,Sheet2!$1:$1048576,8,0)</f>
        <v>2202</v>
      </c>
      <c r="I6285" s="3">
        <v>46289</v>
      </c>
      <c r="L6285" s="32">
        <v>46289.6803846412</v>
      </c>
      <c r="M6285" s="2">
        <v>12</v>
      </c>
      <c r="N6285" s="1">
        <v>8</v>
      </c>
    </row>
    <row r="6286" spans="1:14" x14ac:dyDescent="0.25">
      <c r="A6286" t="str">
        <f t="shared" si="199"/>
        <v>78763227876322</v>
      </c>
      <c r="B6286" t="str">
        <f t="shared" si="200"/>
        <v>7876322GC9060ER-M</v>
      </c>
      <c r="C6286" s="27" t="s">
        <v>2372</v>
      </c>
      <c r="D6286" s="27" t="s">
        <v>1622</v>
      </c>
      <c r="E6286" s="1" t="str">
        <f>+VLOOKUP($B:$B,Sheet2!$1:$1048576,6,0)</f>
        <v>ITALY</v>
      </c>
      <c r="F6286" s="1" t="str">
        <f>+VLOOKUP($B:$B,Sheet2!$1:$1048576,7,0)</f>
        <v>NEW BALANCE ITALY SRL</v>
      </c>
      <c r="G6286" s="1" t="str">
        <f>+VLOOKUP($B:$B,Sheet2!$1:$1048576,4,0)</f>
        <v>Direct Rotterdam (RTM) (DR)</v>
      </c>
      <c r="H6286" s="1">
        <f>+VLOOKUP($B:$B,Sheet2!$1:$1048576,8,0)</f>
        <v>2202</v>
      </c>
      <c r="I6286" s="3">
        <v>46289</v>
      </c>
      <c r="L6286" s="32">
        <v>46289.680730868051</v>
      </c>
      <c r="M6286" s="2">
        <v>12</v>
      </c>
      <c r="N6286" s="1">
        <v>155</v>
      </c>
    </row>
    <row r="6287" spans="1:14" x14ac:dyDescent="0.25">
      <c r="A6287" t="str">
        <f t="shared" si="199"/>
        <v>78763227876322</v>
      </c>
      <c r="B6287" t="str">
        <f t="shared" si="200"/>
        <v>7876322GC9060ER-M</v>
      </c>
      <c r="C6287" s="27" t="s">
        <v>2372</v>
      </c>
      <c r="D6287" s="27" t="s">
        <v>1622</v>
      </c>
      <c r="E6287" s="1" t="str">
        <f>+VLOOKUP($B:$B,Sheet2!$1:$1048576,6,0)</f>
        <v>ITALY</v>
      </c>
      <c r="F6287" s="1" t="str">
        <f>+VLOOKUP($B:$B,Sheet2!$1:$1048576,7,0)</f>
        <v>NEW BALANCE ITALY SRL</v>
      </c>
      <c r="G6287" s="1" t="str">
        <f>+VLOOKUP($B:$B,Sheet2!$1:$1048576,4,0)</f>
        <v>Direct Rotterdam (RTM) (DR)</v>
      </c>
      <c r="H6287" s="1">
        <f>+VLOOKUP($B:$B,Sheet2!$1:$1048576,8,0)</f>
        <v>2202</v>
      </c>
      <c r="I6287" s="3">
        <v>46289</v>
      </c>
      <c r="L6287" s="32">
        <v>46289.681265393519</v>
      </c>
      <c r="M6287" s="2">
        <v>12</v>
      </c>
      <c r="N6287" s="1">
        <v>116</v>
      </c>
    </row>
    <row r="6288" spans="1:14" x14ac:dyDescent="0.25">
      <c r="A6288" t="str">
        <f t="shared" si="199"/>
        <v>78763227876322</v>
      </c>
      <c r="B6288" t="str">
        <f t="shared" si="200"/>
        <v>7876322GC9060ER-M</v>
      </c>
      <c r="C6288" s="27" t="s">
        <v>2372</v>
      </c>
      <c r="D6288" s="27" t="s">
        <v>1622</v>
      </c>
      <c r="E6288" s="1" t="str">
        <f>+VLOOKUP($B:$B,Sheet2!$1:$1048576,6,0)</f>
        <v>ITALY</v>
      </c>
      <c r="F6288" s="1" t="str">
        <f>+VLOOKUP($B:$B,Sheet2!$1:$1048576,7,0)</f>
        <v>NEW BALANCE ITALY SRL</v>
      </c>
      <c r="G6288" s="1" t="str">
        <f>+VLOOKUP($B:$B,Sheet2!$1:$1048576,4,0)</f>
        <v>Direct Rotterdam (RTM) (DR)</v>
      </c>
      <c r="H6288" s="1">
        <f>+VLOOKUP($B:$B,Sheet2!$1:$1048576,8,0)</f>
        <v>2202</v>
      </c>
      <c r="I6288" s="3">
        <v>46289</v>
      </c>
      <c r="L6288" s="32">
        <v>46289.681441168977</v>
      </c>
      <c r="M6288" s="2">
        <v>12</v>
      </c>
      <c r="N6288" s="1">
        <v>158</v>
      </c>
    </row>
    <row r="6289" spans="1:14" x14ac:dyDescent="0.25">
      <c r="A6289" t="str">
        <f t="shared" si="199"/>
        <v>78763227876322</v>
      </c>
      <c r="B6289" t="str">
        <f t="shared" si="200"/>
        <v>7876322GC9060ER-M</v>
      </c>
      <c r="C6289" s="27" t="s">
        <v>2372</v>
      </c>
      <c r="D6289" s="27" t="s">
        <v>1622</v>
      </c>
      <c r="E6289" s="1" t="str">
        <f>+VLOOKUP($B:$B,Sheet2!$1:$1048576,6,0)</f>
        <v>ITALY</v>
      </c>
      <c r="F6289" s="1" t="str">
        <f>+VLOOKUP($B:$B,Sheet2!$1:$1048576,7,0)</f>
        <v>NEW BALANCE ITALY SRL</v>
      </c>
      <c r="G6289" s="1" t="str">
        <f>+VLOOKUP($B:$B,Sheet2!$1:$1048576,4,0)</f>
        <v>Direct Rotterdam (RTM) (DR)</v>
      </c>
      <c r="H6289" s="1">
        <f>+VLOOKUP($B:$B,Sheet2!$1:$1048576,8,0)</f>
        <v>2202</v>
      </c>
      <c r="I6289" s="3">
        <v>46289</v>
      </c>
      <c r="L6289" s="32">
        <v>46289.681588113424</v>
      </c>
      <c r="M6289" s="2">
        <v>12</v>
      </c>
      <c r="N6289" s="1">
        <v>11</v>
      </c>
    </row>
    <row r="6290" spans="1:14" x14ac:dyDescent="0.25">
      <c r="A6290" t="str">
        <f t="shared" si="199"/>
        <v>78763227876322</v>
      </c>
      <c r="B6290" t="str">
        <f t="shared" si="200"/>
        <v>7876322GC9060ER-M</v>
      </c>
      <c r="C6290" s="27" t="s">
        <v>2372</v>
      </c>
      <c r="D6290" s="27" t="s">
        <v>1622</v>
      </c>
      <c r="E6290" s="1" t="str">
        <f>+VLOOKUP($B:$B,Sheet2!$1:$1048576,6,0)</f>
        <v>ITALY</v>
      </c>
      <c r="F6290" s="1" t="str">
        <f>+VLOOKUP($B:$B,Sheet2!$1:$1048576,7,0)</f>
        <v>NEW BALANCE ITALY SRL</v>
      </c>
      <c r="G6290" s="1" t="str">
        <f>+VLOOKUP($B:$B,Sheet2!$1:$1048576,4,0)</f>
        <v>Direct Rotterdam (RTM) (DR)</v>
      </c>
      <c r="H6290" s="1">
        <f>+VLOOKUP($B:$B,Sheet2!$1:$1048576,8,0)</f>
        <v>2202</v>
      </c>
      <c r="I6290" s="3">
        <v>46289</v>
      </c>
      <c r="L6290" s="32">
        <v>46289.687781863424</v>
      </c>
      <c r="M6290" s="2">
        <v>12</v>
      </c>
      <c r="N6290" s="1">
        <v>9</v>
      </c>
    </row>
    <row r="6291" spans="1:14" x14ac:dyDescent="0.25">
      <c r="A6291" t="str">
        <f t="shared" si="199"/>
        <v>78763227876322</v>
      </c>
      <c r="B6291" t="str">
        <f t="shared" si="200"/>
        <v>7876322GC9060ER-M</v>
      </c>
      <c r="C6291" s="27" t="s">
        <v>2372</v>
      </c>
      <c r="D6291" s="27" t="s">
        <v>1622</v>
      </c>
      <c r="E6291" s="1" t="str">
        <f>+VLOOKUP($B:$B,Sheet2!$1:$1048576,6,0)</f>
        <v>ITALY</v>
      </c>
      <c r="F6291" s="1" t="str">
        <f>+VLOOKUP($B:$B,Sheet2!$1:$1048576,7,0)</f>
        <v>NEW BALANCE ITALY SRL</v>
      </c>
      <c r="G6291" s="1" t="str">
        <f>+VLOOKUP($B:$B,Sheet2!$1:$1048576,4,0)</f>
        <v>Direct Rotterdam (RTM) (DR)</v>
      </c>
      <c r="H6291" s="1">
        <f>+VLOOKUP($B:$B,Sheet2!$1:$1048576,8,0)</f>
        <v>2202</v>
      </c>
      <c r="I6291" s="3">
        <v>46289</v>
      </c>
      <c r="L6291" s="32">
        <v>46289.688476076386</v>
      </c>
      <c r="M6291" s="2">
        <v>12</v>
      </c>
      <c r="N6291" s="1">
        <v>61</v>
      </c>
    </row>
    <row r="6292" spans="1:14" x14ac:dyDescent="0.25">
      <c r="A6292" t="str">
        <f t="shared" si="199"/>
        <v>78763227876322</v>
      </c>
      <c r="B6292" t="str">
        <f t="shared" si="200"/>
        <v>7876322GC9060ER-M</v>
      </c>
      <c r="C6292" s="27" t="s">
        <v>2372</v>
      </c>
      <c r="D6292" s="27" t="s">
        <v>1622</v>
      </c>
      <c r="E6292" s="1" t="str">
        <f>+VLOOKUP($B:$B,Sheet2!$1:$1048576,6,0)</f>
        <v>ITALY</v>
      </c>
      <c r="F6292" s="1" t="str">
        <f>+VLOOKUP($B:$B,Sheet2!$1:$1048576,7,0)</f>
        <v>NEW BALANCE ITALY SRL</v>
      </c>
      <c r="G6292" s="1" t="str">
        <f>+VLOOKUP($B:$B,Sheet2!$1:$1048576,4,0)</f>
        <v>Direct Rotterdam (RTM) (DR)</v>
      </c>
      <c r="H6292" s="1">
        <f>+VLOOKUP($B:$B,Sheet2!$1:$1048576,8,0)</f>
        <v>2202</v>
      </c>
      <c r="I6292" s="3">
        <v>46289</v>
      </c>
      <c r="L6292" s="32">
        <v>46289.688948807867</v>
      </c>
      <c r="M6292" s="2">
        <v>12</v>
      </c>
      <c r="N6292" s="1">
        <v>157</v>
      </c>
    </row>
    <row r="6293" spans="1:14" x14ac:dyDescent="0.25">
      <c r="A6293" t="str">
        <f t="shared" si="199"/>
        <v>78763227876322</v>
      </c>
      <c r="B6293" t="str">
        <f t="shared" si="200"/>
        <v>7876322GC9060ER-M</v>
      </c>
      <c r="C6293" s="27" t="s">
        <v>2372</v>
      </c>
      <c r="D6293" s="27" t="s">
        <v>1622</v>
      </c>
      <c r="E6293" s="1" t="str">
        <f>+VLOOKUP($B:$B,Sheet2!$1:$1048576,6,0)</f>
        <v>ITALY</v>
      </c>
      <c r="F6293" s="1" t="str">
        <f>+VLOOKUP($B:$B,Sheet2!$1:$1048576,7,0)</f>
        <v>NEW BALANCE ITALY SRL</v>
      </c>
      <c r="G6293" s="1" t="str">
        <f>+VLOOKUP($B:$B,Sheet2!$1:$1048576,4,0)</f>
        <v>Direct Rotterdam (RTM) (DR)</v>
      </c>
      <c r="H6293" s="1">
        <f>+VLOOKUP($B:$B,Sheet2!$1:$1048576,8,0)</f>
        <v>2202</v>
      </c>
      <c r="I6293" s="3">
        <v>46289</v>
      </c>
      <c r="L6293" s="32">
        <v>46289.689267442125</v>
      </c>
      <c r="M6293" s="2">
        <v>12</v>
      </c>
      <c r="N6293" s="1">
        <v>10</v>
      </c>
    </row>
    <row r="6294" spans="1:14" x14ac:dyDescent="0.25">
      <c r="A6294" t="str">
        <f t="shared" si="199"/>
        <v>78763227876322</v>
      </c>
      <c r="B6294" t="str">
        <f t="shared" si="200"/>
        <v>7876322GC9060ER-M</v>
      </c>
      <c r="C6294" s="27" t="s">
        <v>2372</v>
      </c>
      <c r="D6294" s="27" t="s">
        <v>1622</v>
      </c>
      <c r="E6294" s="1" t="str">
        <f>+VLOOKUP($B:$B,Sheet2!$1:$1048576,6,0)</f>
        <v>ITALY</v>
      </c>
      <c r="F6294" s="1" t="str">
        <f>+VLOOKUP($B:$B,Sheet2!$1:$1048576,7,0)</f>
        <v>NEW BALANCE ITALY SRL</v>
      </c>
      <c r="G6294" s="1" t="str">
        <f>+VLOOKUP($B:$B,Sheet2!$1:$1048576,4,0)</f>
        <v>Direct Rotterdam (RTM) (DR)</v>
      </c>
      <c r="H6294" s="1">
        <f>+VLOOKUP($B:$B,Sheet2!$1:$1048576,8,0)</f>
        <v>2202</v>
      </c>
      <c r="I6294" s="3">
        <v>46289</v>
      </c>
      <c r="L6294" s="32">
        <v>46289.689967743056</v>
      </c>
      <c r="M6294" s="2">
        <v>12</v>
      </c>
      <c r="N6294" s="1">
        <v>152</v>
      </c>
    </row>
    <row r="6295" spans="1:14" x14ac:dyDescent="0.25">
      <c r="A6295" t="str">
        <f t="shared" si="199"/>
        <v>78763227876322</v>
      </c>
      <c r="B6295" t="str">
        <f t="shared" si="200"/>
        <v>7876322GC9060ER-M</v>
      </c>
      <c r="C6295" s="27" t="s">
        <v>2372</v>
      </c>
      <c r="D6295" s="27" t="s">
        <v>1622</v>
      </c>
      <c r="E6295" s="1" t="str">
        <f>+VLOOKUP($B:$B,Sheet2!$1:$1048576,6,0)</f>
        <v>ITALY</v>
      </c>
      <c r="F6295" s="1" t="str">
        <f>+VLOOKUP($B:$B,Sheet2!$1:$1048576,7,0)</f>
        <v>NEW BALANCE ITALY SRL</v>
      </c>
      <c r="G6295" s="1" t="str">
        <f>+VLOOKUP($B:$B,Sheet2!$1:$1048576,4,0)</f>
        <v>Direct Rotterdam (RTM) (DR)</v>
      </c>
      <c r="H6295" s="1">
        <f>+VLOOKUP($B:$B,Sheet2!$1:$1048576,8,0)</f>
        <v>2202</v>
      </c>
      <c r="I6295" s="3">
        <v>46289</v>
      </c>
      <c r="L6295" s="32">
        <v>46289.695187233796</v>
      </c>
      <c r="M6295" s="2">
        <v>12</v>
      </c>
      <c r="N6295" s="1">
        <v>7</v>
      </c>
    </row>
    <row r="6296" spans="1:14" x14ac:dyDescent="0.25">
      <c r="A6296" t="str">
        <f t="shared" si="199"/>
        <v>78763227876322</v>
      </c>
      <c r="B6296" t="str">
        <f t="shared" si="200"/>
        <v>7876322GC9060ER-M</v>
      </c>
      <c r="C6296" s="27" t="s">
        <v>2372</v>
      </c>
      <c r="D6296" s="27" t="s">
        <v>1622</v>
      </c>
      <c r="E6296" s="1" t="str">
        <f>+VLOOKUP($B:$B,Sheet2!$1:$1048576,6,0)</f>
        <v>ITALY</v>
      </c>
      <c r="F6296" s="1" t="str">
        <f>+VLOOKUP($B:$B,Sheet2!$1:$1048576,7,0)</f>
        <v>NEW BALANCE ITALY SRL</v>
      </c>
      <c r="G6296" s="1" t="str">
        <f>+VLOOKUP($B:$B,Sheet2!$1:$1048576,4,0)</f>
        <v>Direct Rotterdam (RTM) (DR)</v>
      </c>
      <c r="H6296" s="1">
        <f>+VLOOKUP($B:$B,Sheet2!$1:$1048576,8,0)</f>
        <v>2202</v>
      </c>
      <c r="I6296" s="3">
        <v>46289</v>
      </c>
      <c r="L6296" s="32">
        <v>46289.698365046293</v>
      </c>
      <c r="M6296" s="2">
        <v>12</v>
      </c>
      <c r="N6296" s="1">
        <v>62</v>
      </c>
    </row>
    <row r="6297" spans="1:14" x14ac:dyDescent="0.25">
      <c r="A6297" t="str">
        <f t="shared" si="199"/>
        <v>78763227876322</v>
      </c>
      <c r="B6297" t="str">
        <f t="shared" si="200"/>
        <v>7876322GC9060ER-M</v>
      </c>
      <c r="C6297" s="27" t="s">
        <v>2372</v>
      </c>
      <c r="D6297" s="27" t="s">
        <v>1622</v>
      </c>
      <c r="E6297" s="1" t="str">
        <f>+VLOOKUP($B:$B,Sheet2!$1:$1048576,6,0)</f>
        <v>ITALY</v>
      </c>
      <c r="F6297" s="1" t="str">
        <f>+VLOOKUP($B:$B,Sheet2!$1:$1048576,7,0)</f>
        <v>NEW BALANCE ITALY SRL</v>
      </c>
      <c r="G6297" s="1" t="str">
        <f>+VLOOKUP($B:$B,Sheet2!$1:$1048576,4,0)</f>
        <v>Direct Rotterdam (RTM) (DR)</v>
      </c>
      <c r="H6297" s="1">
        <f>+VLOOKUP($B:$B,Sheet2!$1:$1048576,8,0)</f>
        <v>2202</v>
      </c>
      <c r="I6297" s="3">
        <v>46289</v>
      </c>
      <c r="L6297" s="32">
        <v>46289.70028611111</v>
      </c>
      <c r="M6297" s="2">
        <v>12</v>
      </c>
      <c r="N6297" s="1">
        <v>159</v>
      </c>
    </row>
    <row r="6298" spans="1:14" x14ac:dyDescent="0.25">
      <c r="A6298" t="str">
        <f t="shared" si="199"/>
        <v>78763227876322</v>
      </c>
      <c r="B6298" t="str">
        <f t="shared" si="200"/>
        <v>7876322GC9060ER-M</v>
      </c>
      <c r="C6298" s="27" t="s">
        <v>2372</v>
      </c>
      <c r="D6298" s="27" t="s">
        <v>1622</v>
      </c>
      <c r="E6298" s="1" t="str">
        <f>+VLOOKUP($B:$B,Sheet2!$1:$1048576,6,0)</f>
        <v>ITALY</v>
      </c>
      <c r="F6298" s="1" t="str">
        <f>+VLOOKUP($B:$B,Sheet2!$1:$1048576,7,0)</f>
        <v>NEW BALANCE ITALY SRL</v>
      </c>
      <c r="G6298" s="1" t="str">
        <f>+VLOOKUP($B:$B,Sheet2!$1:$1048576,4,0)</f>
        <v>Direct Rotterdam (RTM) (DR)</v>
      </c>
      <c r="H6298" s="1">
        <f>+VLOOKUP($B:$B,Sheet2!$1:$1048576,8,0)</f>
        <v>2202</v>
      </c>
      <c r="I6298" s="3">
        <v>46289</v>
      </c>
      <c r="L6298" s="32">
        <v>46289.705090509255</v>
      </c>
      <c r="M6298" s="2">
        <v>12</v>
      </c>
      <c r="N6298" s="1">
        <v>153</v>
      </c>
    </row>
    <row r="6299" spans="1:14" x14ac:dyDescent="0.25">
      <c r="A6299" t="str">
        <f t="shared" si="199"/>
        <v>78763227876322</v>
      </c>
      <c r="B6299" t="str">
        <f t="shared" si="200"/>
        <v>7876322GC9060ER-M</v>
      </c>
      <c r="C6299" s="27" t="s">
        <v>2372</v>
      </c>
      <c r="D6299" s="27" t="s">
        <v>1622</v>
      </c>
      <c r="E6299" s="1" t="str">
        <f>+VLOOKUP($B:$B,Sheet2!$1:$1048576,6,0)</f>
        <v>ITALY</v>
      </c>
      <c r="F6299" s="1" t="str">
        <f>+VLOOKUP($B:$B,Sheet2!$1:$1048576,7,0)</f>
        <v>NEW BALANCE ITALY SRL</v>
      </c>
      <c r="G6299" s="1" t="str">
        <f>+VLOOKUP($B:$B,Sheet2!$1:$1048576,4,0)</f>
        <v>Direct Rotterdam (RTM) (DR)</v>
      </c>
      <c r="H6299" s="1">
        <f>+VLOOKUP($B:$B,Sheet2!$1:$1048576,8,0)</f>
        <v>2202</v>
      </c>
      <c r="I6299" s="3">
        <v>46289</v>
      </c>
      <c r="L6299" s="32">
        <v>46289.706573414347</v>
      </c>
      <c r="M6299" s="2">
        <v>12</v>
      </c>
      <c r="N6299" s="1">
        <v>21</v>
      </c>
    </row>
    <row r="6300" spans="1:14" x14ac:dyDescent="0.25">
      <c r="A6300" t="str">
        <f t="shared" si="199"/>
        <v>78763227876322</v>
      </c>
      <c r="B6300" t="str">
        <f t="shared" si="200"/>
        <v>7876322GC9060ER-M</v>
      </c>
      <c r="C6300" s="27" t="s">
        <v>2372</v>
      </c>
      <c r="D6300" s="27" t="s">
        <v>1622</v>
      </c>
      <c r="E6300" s="1" t="str">
        <f>+VLOOKUP($B:$B,Sheet2!$1:$1048576,6,0)</f>
        <v>ITALY</v>
      </c>
      <c r="F6300" s="1" t="str">
        <f>+VLOOKUP($B:$B,Sheet2!$1:$1048576,7,0)</f>
        <v>NEW BALANCE ITALY SRL</v>
      </c>
      <c r="G6300" s="1" t="str">
        <f>+VLOOKUP($B:$B,Sheet2!$1:$1048576,4,0)</f>
        <v>Direct Rotterdam (RTM) (DR)</v>
      </c>
      <c r="H6300" s="1">
        <f>+VLOOKUP($B:$B,Sheet2!$1:$1048576,8,0)</f>
        <v>2202</v>
      </c>
      <c r="I6300" s="3">
        <v>46289</v>
      </c>
      <c r="L6300" s="32">
        <v>46289.706800694439</v>
      </c>
      <c r="M6300" s="2">
        <v>12</v>
      </c>
      <c r="N6300" s="1">
        <v>6</v>
      </c>
    </row>
    <row r="6301" spans="1:14" x14ac:dyDescent="0.25">
      <c r="A6301" t="str">
        <f t="shared" si="199"/>
        <v>78763227876322</v>
      </c>
      <c r="B6301" t="str">
        <f t="shared" si="200"/>
        <v>7876322GC9060ER-M</v>
      </c>
      <c r="C6301" s="27" t="s">
        <v>2372</v>
      </c>
      <c r="D6301" s="27" t="s">
        <v>1622</v>
      </c>
      <c r="E6301" s="1" t="str">
        <f>+VLOOKUP($B:$B,Sheet2!$1:$1048576,6,0)</f>
        <v>ITALY</v>
      </c>
      <c r="F6301" s="1" t="str">
        <f>+VLOOKUP($B:$B,Sheet2!$1:$1048576,7,0)</f>
        <v>NEW BALANCE ITALY SRL</v>
      </c>
      <c r="G6301" s="1" t="str">
        <f>+VLOOKUP($B:$B,Sheet2!$1:$1048576,4,0)</f>
        <v>Direct Rotterdam (RTM) (DR)</v>
      </c>
      <c r="H6301" s="1">
        <f>+VLOOKUP($B:$B,Sheet2!$1:$1048576,8,0)</f>
        <v>2202</v>
      </c>
      <c r="I6301" s="3">
        <v>46289</v>
      </c>
      <c r="L6301" s="32">
        <v>46289.710898229168</v>
      </c>
      <c r="M6301" s="2">
        <v>12</v>
      </c>
      <c r="N6301" s="1">
        <v>154</v>
      </c>
    </row>
    <row r="6302" spans="1:14" x14ac:dyDescent="0.25">
      <c r="A6302" t="str">
        <f t="shared" si="199"/>
        <v>78763227876322</v>
      </c>
      <c r="B6302" t="str">
        <f t="shared" si="200"/>
        <v>7876322GC9060ER-M</v>
      </c>
      <c r="C6302" s="27" t="s">
        <v>2372</v>
      </c>
      <c r="D6302" s="27" t="s">
        <v>1622</v>
      </c>
      <c r="E6302" s="1" t="str">
        <f>+VLOOKUP($B:$B,Sheet2!$1:$1048576,6,0)</f>
        <v>ITALY</v>
      </c>
      <c r="F6302" s="1" t="str">
        <f>+VLOOKUP($B:$B,Sheet2!$1:$1048576,7,0)</f>
        <v>NEW BALANCE ITALY SRL</v>
      </c>
      <c r="G6302" s="1" t="str">
        <f>+VLOOKUP($B:$B,Sheet2!$1:$1048576,4,0)</f>
        <v>Direct Rotterdam (RTM) (DR)</v>
      </c>
      <c r="H6302" s="1">
        <f>+VLOOKUP($B:$B,Sheet2!$1:$1048576,8,0)</f>
        <v>2202</v>
      </c>
      <c r="I6302" s="3">
        <v>46289</v>
      </c>
      <c r="L6302" s="32">
        <v>46289.711106053241</v>
      </c>
      <c r="M6302" s="2">
        <v>12</v>
      </c>
      <c r="N6302" s="1">
        <v>12</v>
      </c>
    </row>
    <row r="6303" spans="1:14" x14ac:dyDescent="0.25">
      <c r="A6303" t="str">
        <f t="shared" si="199"/>
        <v>78763227876322</v>
      </c>
      <c r="B6303" t="str">
        <f t="shared" si="200"/>
        <v>7876322GC9060ER-M</v>
      </c>
      <c r="C6303" s="27" t="s">
        <v>2372</v>
      </c>
      <c r="D6303" s="27" t="s">
        <v>1622</v>
      </c>
      <c r="E6303" s="1" t="str">
        <f>+VLOOKUP($B:$B,Sheet2!$1:$1048576,6,0)</f>
        <v>ITALY</v>
      </c>
      <c r="F6303" s="1" t="str">
        <f>+VLOOKUP($B:$B,Sheet2!$1:$1048576,7,0)</f>
        <v>NEW BALANCE ITALY SRL</v>
      </c>
      <c r="G6303" s="1" t="str">
        <f>+VLOOKUP($B:$B,Sheet2!$1:$1048576,4,0)</f>
        <v>Direct Rotterdam (RTM) (DR)</v>
      </c>
      <c r="H6303" s="1">
        <f>+VLOOKUP($B:$B,Sheet2!$1:$1048576,8,0)</f>
        <v>2202</v>
      </c>
      <c r="I6303" s="3">
        <v>46289</v>
      </c>
      <c r="L6303" s="32">
        <v>46289.711289664352</v>
      </c>
      <c r="M6303" s="2">
        <v>12</v>
      </c>
      <c r="N6303" s="1">
        <v>95</v>
      </c>
    </row>
    <row r="6304" spans="1:14" x14ac:dyDescent="0.25">
      <c r="A6304" t="str">
        <f t="shared" si="199"/>
        <v>78763227876322</v>
      </c>
      <c r="B6304" t="str">
        <f t="shared" si="200"/>
        <v>7876322GC9060ER-M</v>
      </c>
      <c r="C6304" s="27" t="s">
        <v>2372</v>
      </c>
      <c r="D6304" s="27" t="s">
        <v>1622</v>
      </c>
      <c r="E6304" s="1" t="str">
        <f>+VLOOKUP($B:$B,Sheet2!$1:$1048576,6,0)</f>
        <v>ITALY</v>
      </c>
      <c r="F6304" s="1" t="str">
        <f>+VLOOKUP($B:$B,Sheet2!$1:$1048576,7,0)</f>
        <v>NEW BALANCE ITALY SRL</v>
      </c>
      <c r="G6304" s="1" t="str">
        <f>+VLOOKUP($B:$B,Sheet2!$1:$1048576,4,0)</f>
        <v>Direct Rotterdam (RTM) (DR)</v>
      </c>
      <c r="H6304" s="1">
        <f>+VLOOKUP($B:$B,Sheet2!$1:$1048576,8,0)</f>
        <v>2202</v>
      </c>
      <c r="I6304" s="3">
        <v>46289</v>
      </c>
      <c r="L6304" s="32">
        <v>46289.711845914353</v>
      </c>
      <c r="M6304" s="2">
        <v>12</v>
      </c>
      <c r="N6304" s="1">
        <v>63</v>
      </c>
    </row>
    <row r="6305" spans="1:14" x14ac:dyDescent="0.25">
      <c r="A6305" t="str">
        <f t="shared" si="199"/>
        <v>78763227876322</v>
      </c>
      <c r="B6305" t="str">
        <f t="shared" si="200"/>
        <v>7876322GC9060ER-M</v>
      </c>
      <c r="C6305" s="27" t="s">
        <v>2372</v>
      </c>
      <c r="D6305" s="27" t="s">
        <v>1622</v>
      </c>
      <c r="E6305" s="1" t="str">
        <f>+VLOOKUP($B:$B,Sheet2!$1:$1048576,6,0)</f>
        <v>ITALY</v>
      </c>
      <c r="F6305" s="1" t="str">
        <f>+VLOOKUP($B:$B,Sheet2!$1:$1048576,7,0)</f>
        <v>NEW BALANCE ITALY SRL</v>
      </c>
      <c r="G6305" s="1" t="str">
        <f>+VLOOKUP($B:$B,Sheet2!$1:$1048576,4,0)</f>
        <v>Direct Rotterdam (RTM) (DR)</v>
      </c>
      <c r="H6305" s="1">
        <f>+VLOOKUP($B:$B,Sheet2!$1:$1048576,8,0)</f>
        <v>2202</v>
      </c>
      <c r="I6305" s="3">
        <v>46289</v>
      </c>
      <c r="L6305" s="32">
        <v>46289.721986076387</v>
      </c>
      <c r="M6305" s="2">
        <v>12</v>
      </c>
      <c r="N6305" s="1">
        <v>160</v>
      </c>
    </row>
    <row r="6306" spans="1:14" x14ac:dyDescent="0.25">
      <c r="A6306" t="str">
        <f t="shared" si="199"/>
        <v>78813777881377</v>
      </c>
      <c r="B6306" t="str">
        <f t="shared" si="200"/>
        <v>7881377CM997HCB-D</v>
      </c>
      <c r="C6306" s="27" t="s">
        <v>804</v>
      </c>
      <c r="D6306" s="27" t="s">
        <v>1323</v>
      </c>
      <c r="E6306" s="1" t="str">
        <f>+VLOOKUP($B:$B,Sheet2!$1:$1048576,6,0)</f>
        <v>NETHERLANDS</v>
      </c>
      <c r="F6306" s="1" t="str">
        <f>+VLOOKUP($B:$B,Sheet2!$1:$1048576,7,0)</f>
        <v>DSV VENLO</v>
      </c>
      <c r="G6306" s="1" t="str">
        <f>+VLOOKUP($B:$B,Sheet2!$1:$1048576,4,0)</f>
        <v>Factory Outlet Stock (VZ)</v>
      </c>
      <c r="H6306" s="1">
        <f>+VLOOKUP($B:$B,Sheet2!$1:$1048576,8,0)</f>
        <v>1788</v>
      </c>
      <c r="I6306" s="3">
        <v>46289</v>
      </c>
      <c r="L6306" s="32">
        <v>46289.381398530088</v>
      </c>
      <c r="M6306" s="2">
        <v>12</v>
      </c>
      <c r="N6306" s="1">
        <v>78</v>
      </c>
    </row>
    <row r="6307" spans="1:14" x14ac:dyDescent="0.25">
      <c r="A6307" t="str">
        <f t="shared" si="199"/>
        <v>78813777881377</v>
      </c>
      <c r="B6307" t="str">
        <f t="shared" si="200"/>
        <v>7881377CM997HCB-D</v>
      </c>
      <c r="C6307" s="27" t="s">
        <v>804</v>
      </c>
      <c r="D6307" s="27" t="s">
        <v>1323</v>
      </c>
      <c r="E6307" s="1" t="str">
        <f>+VLOOKUP($B:$B,Sheet2!$1:$1048576,6,0)</f>
        <v>NETHERLANDS</v>
      </c>
      <c r="F6307" s="1" t="str">
        <f>+VLOOKUP($B:$B,Sheet2!$1:$1048576,7,0)</f>
        <v>DSV VENLO</v>
      </c>
      <c r="G6307" s="1" t="str">
        <f>+VLOOKUP($B:$B,Sheet2!$1:$1048576,4,0)</f>
        <v>Factory Outlet Stock (VZ)</v>
      </c>
      <c r="H6307" s="1">
        <f>+VLOOKUP($B:$B,Sheet2!$1:$1048576,8,0)</f>
        <v>1788</v>
      </c>
      <c r="I6307" s="3">
        <v>46289</v>
      </c>
      <c r="L6307" s="32">
        <v>46289.398908530093</v>
      </c>
      <c r="M6307" s="2">
        <v>12</v>
      </c>
      <c r="N6307" s="1">
        <v>100</v>
      </c>
    </row>
    <row r="6308" spans="1:14" x14ac:dyDescent="0.25">
      <c r="A6308" t="str">
        <f t="shared" si="199"/>
        <v>78813777881377</v>
      </c>
      <c r="B6308" t="str">
        <f t="shared" si="200"/>
        <v>7881377CM997HCB-D</v>
      </c>
      <c r="C6308" s="27" t="s">
        <v>804</v>
      </c>
      <c r="D6308" s="27" t="s">
        <v>1323</v>
      </c>
      <c r="E6308" s="1" t="str">
        <f>+VLOOKUP($B:$B,Sheet2!$1:$1048576,6,0)</f>
        <v>NETHERLANDS</v>
      </c>
      <c r="F6308" s="1" t="str">
        <f>+VLOOKUP($B:$B,Sheet2!$1:$1048576,7,0)</f>
        <v>DSV VENLO</v>
      </c>
      <c r="G6308" s="1" t="str">
        <f>+VLOOKUP($B:$B,Sheet2!$1:$1048576,4,0)</f>
        <v>Factory Outlet Stock (VZ)</v>
      </c>
      <c r="H6308" s="1">
        <f>+VLOOKUP($B:$B,Sheet2!$1:$1048576,8,0)</f>
        <v>1788</v>
      </c>
      <c r="I6308" s="3">
        <v>46289</v>
      </c>
      <c r="L6308" s="32">
        <v>46289.399786076385</v>
      </c>
      <c r="M6308" s="2">
        <v>12</v>
      </c>
      <c r="N6308" s="1">
        <v>57</v>
      </c>
    </row>
    <row r="6309" spans="1:14" x14ac:dyDescent="0.25">
      <c r="A6309" t="str">
        <f t="shared" ref="A6309:A6340" si="201">+D6309&amp;D6309</f>
        <v>78813777881377</v>
      </c>
      <c r="B6309" t="str">
        <f t="shared" ref="B6309:B6340" si="202">+D6309&amp;C6309</f>
        <v>7881377CM997HCB-D</v>
      </c>
      <c r="C6309" s="27" t="s">
        <v>804</v>
      </c>
      <c r="D6309" s="27" t="s">
        <v>1323</v>
      </c>
      <c r="E6309" s="1" t="str">
        <f>+VLOOKUP($B:$B,Sheet2!$1:$1048576,6,0)</f>
        <v>NETHERLANDS</v>
      </c>
      <c r="F6309" s="1" t="str">
        <f>+VLOOKUP($B:$B,Sheet2!$1:$1048576,7,0)</f>
        <v>DSV VENLO</v>
      </c>
      <c r="G6309" s="1" t="str">
        <f>+VLOOKUP($B:$B,Sheet2!$1:$1048576,4,0)</f>
        <v>Factory Outlet Stock (VZ)</v>
      </c>
      <c r="H6309" s="1">
        <f>+VLOOKUP($B:$B,Sheet2!$1:$1048576,8,0)</f>
        <v>1788</v>
      </c>
      <c r="I6309" s="3">
        <v>46289</v>
      </c>
      <c r="L6309" s="32">
        <v>46289.414526817127</v>
      </c>
      <c r="M6309" s="2">
        <v>12</v>
      </c>
      <c r="N6309" s="1">
        <v>111</v>
      </c>
    </row>
    <row r="6310" spans="1:14" x14ac:dyDescent="0.25">
      <c r="A6310" t="str">
        <f t="shared" si="201"/>
        <v>78813777881377</v>
      </c>
      <c r="B6310" t="str">
        <f t="shared" si="202"/>
        <v>7881377CM997HCB-D</v>
      </c>
      <c r="C6310" s="27" t="s">
        <v>804</v>
      </c>
      <c r="D6310" s="27" t="s">
        <v>1323</v>
      </c>
      <c r="E6310" s="1" t="str">
        <f>+VLOOKUP($B:$B,Sheet2!$1:$1048576,6,0)</f>
        <v>NETHERLANDS</v>
      </c>
      <c r="F6310" s="1" t="str">
        <f>+VLOOKUP($B:$B,Sheet2!$1:$1048576,7,0)</f>
        <v>DSV VENLO</v>
      </c>
      <c r="G6310" s="1" t="str">
        <f>+VLOOKUP($B:$B,Sheet2!$1:$1048576,4,0)</f>
        <v>Factory Outlet Stock (VZ)</v>
      </c>
      <c r="H6310" s="1">
        <f>+VLOOKUP($B:$B,Sheet2!$1:$1048576,8,0)</f>
        <v>1788</v>
      </c>
      <c r="I6310" s="3">
        <v>46289</v>
      </c>
      <c r="L6310" s="32">
        <v>46289.415172569439</v>
      </c>
      <c r="M6310" s="2">
        <v>12</v>
      </c>
      <c r="N6310" s="1">
        <v>55</v>
      </c>
    </row>
    <row r="6311" spans="1:14" x14ac:dyDescent="0.25">
      <c r="A6311" t="str">
        <f t="shared" si="201"/>
        <v>78813777881377</v>
      </c>
      <c r="B6311" t="str">
        <f t="shared" si="202"/>
        <v>7881377CM997HCB-D</v>
      </c>
      <c r="C6311" s="27" t="s">
        <v>804</v>
      </c>
      <c r="D6311" s="27" t="s">
        <v>1323</v>
      </c>
      <c r="E6311" s="1" t="str">
        <f>+VLOOKUP($B:$B,Sheet2!$1:$1048576,6,0)</f>
        <v>NETHERLANDS</v>
      </c>
      <c r="F6311" s="1" t="str">
        <f>+VLOOKUP($B:$B,Sheet2!$1:$1048576,7,0)</f>
        <v>DSV VENLO</v>
      </c>
      <c r="G6311" s="1" t="str">
        <f>+VLOOKUP($B:$B,Sheet2!$1:$1048576,4,0)</f>
        <v>Factory Outlet Stock (VZ)</v>
      </c>
      <c r="H6311" s="1">
        <f>+VLOOKUP($B:$B,Sheet2!$1:$1048576,8,0)</f>
        <v>1788</v>
      </c>
      <c r="I6311" s="3">
        <v>46289</v>
      </c>
      <c r="L6311" s="32">
        <v>46289.415340624997</v>
      </c>
      <c r="M6311" s="2">
        <v>12</v>
      </c>
      <c r="N6311" s="1">
        <v>82</v>
      </c>
    </row>
    <row r="6312" spans="1:14" x14ac:dyDescent="0.25">
      <c r="A6312" t="str">
        <f t="shared" si="201"/>
        <v>78813777881377</v>
      </c>
      <c r="B6312" t="str">
        <f t="shared" si="202"/>
        <v>7881377CM997HCB-D</v>
      </c>
      <c r="C6312" s="27" t="s">
        <v>804</v>
      </c>
      <c r="D6312" s="27" t="s">
        <v>1323</v>
      </c>
      <c r="E6312" s="1" t="str">
        <f>+VLOOKUP($B:$B,Sheet2!$1:$1048576,6,0)</f>
        <v>NETHERLANDS</v>
      </c>
      <c r="F6312" s="1" t="str">
        <f>+VLOOKUP($B:$B,Sheet2!$1:$1048576,7,0)</f>
        <v>DSV VENLO</v>
      </c>
      <c r="G6312" s="1" t="str">
        <f>+VLOOKUP($B:$B,Sheet2!$1:$1048576,4,0)</f>
        <v>Factory Outlet Stock (VZ)</v>
      </c>
      <c r="H6312" s="1">
        <f>+VLOOKUP($B:$B,Sheet2!$1:$1048576,8,0)</f>
        <v>1788</v>
      </c>
      <c r="I6312" s="3">
        <v>46289</v>
      </c>
      <c r="L6312" s="32">
        <v>46289.425504050923</v>
      </c>
      <c r="M6312" s="2">
        <v>12</v>
      </c>
      <c r="N6312" s="1">
        <v>56</v>
      </c>
    </row>
    <row r="6313" spans="1:14" x14ac:dyDescent="0.25">
      <c r="A6313" t="str">
        <f t="shared" si="201"/>
        <v>78813777881377</v>
      </c>
      <c r="B6313" t="str">
        <f t="shared" si="202"/>
        <v>7881377CM997HCB-D</v>
      </c>
      <c r="C6313" s="27" t="s">
        <v>804</v>
      </c>
      <c r="D6313" s="27" t="s">
        <v>1323</v>
      </c>
      <c r="E6313" s="1" t="str">
        <f>+VLOOKUP($B:$B,Sheet2!$1:$1048576,6,0)</f>
        <v>NETHERLANDS</v>
      </c>
      <c r="F6313" s="1" t="str">
        <f>+VLOOKUP($B:$B,Sheet2!$1:$1048576,7,0)</f>
        <v>DSV VENLO</v>
      </c>
      <c r="G6313" s="1" t="str">
        <f>+VLOOKUP($B:$B,Sheet2!$1:$1048576,4,0)</f>
        <v>Factory Outlet Stock (VZ)</v>
      </c>
      <c r="H6313" s="1">
        <f>+VLOOKUP($B:$B,Sheet2!$1:$1048576,8,0)</f>
        <v>1788</v>
      </c>
      <c r="I6313" s="3">
        <v>46289</v>
      </c>
      <c r="L6313" s="32">
        <v>46289.425686770832</v>
      </c>
      <c r="M6313" s="2">
        <v>12</v>
      </c>
      <c r="N6313" s="1">
        <v>99</v>
      </c>
    </row>
    <row r="6314" spans="1:14" x14ac:dyDescent="0.25">
      <c r="A6314" t="str">
        <f t="shared" si="201"/>
        <v>78813777881377</v>
      </c>
      <c r="B6314" t="str">
        <f t="shared" si="202"/>
        <v>7881377CM997HCB-D</v>
      </c>
      <c r="C6314" s="27" t="s">
        <v>804</v>
      </c>
      <c r="D6314" s="27" t="s">
        <v>1323</v>
      </c>
      <c r="E6314" s="1" t="str">
        <f>+VLOOKUP($B:$B,Sheet2!$1:$1048576,6,0)</f>
        <v>NETHERLANDS</v>
      </c>
      <c r="F6314" s="1" t="str">
        <f>+VLOOKUP($B:$B,Sheet2!$1:$1048576,7,0)</f>
        <v>DSV VENLO</v>
      </c>
      <c r="G6314" s="1" t="str">
        <f>+VLOOKUP($B:$B,Sheet2!$1:$1048576,4,0)</f>
        <v>Factory Outlet Stock (VZ)</v>
      </c>
      <c r="H6314" s="1">
        <f>+VLOOKUP($B:$B,Sheet2!$1:$1048576,8,0)</f>
        <v>1788</v>
      </c>
      <c r="I6314" s="3">
        <v>46289</v>
      </c>
      <c r="L6314" s="32">
        <v>46289.426296840276</v>
      </c>
      <c r="M6314" s="2">
        <v>12</v>
      </c>
      <c r="N6314" s="1">
        <v>115</v>
      </c>
    </row>
    <row r="6315" spans="1:14" x14ac:dyDescent="0.25">
      <c r="A6315" t="str">
        <f t="shared" si="201"/>
        <v>78813777881377</v>
      </c>
      <c r="B6315" t="str">
        <f t="shared" si="202"/>
        <v>7881377CM997HCB-D</v>
      </c>
      <c r="C6315" s="27" t="s">
        <v>804</v>
      </c>
      <c r="D6315" s="27" t="s">
        <v>1323</v>
      </c>
      <c r="E6315" s="1" t="str">
        <f>+VLOOKUP($B:$B,Sheet2!$1:$1048576,6,0)</f>
        <v>NETHERLANDS</v>
      </c>
      <c r="F6315" s="1" t="str">
        <f>+VLOOKUP($B:$B,Sheet2!$1:$1048576,7,0)</f>
        <v>DSV VENLO</v>
      </c>
      <c r="G6315" s="1" t="str">
        <f>+VLOOKUP($B:$B,Sheet2!$1:$1048576,4,0)</f>
        <v>Factory Outlet Stock (VZ)</v>
      </c>
      <c r="H6315" s="1">
        <f>+VLOOKUP($B:$B,Sheet2!$1:$1048576,8,0)</f>
        <v>1788</v>
      </c>
      <c r="I6315" s="3">
        <v>46289</v>
      </c>
      <c r="L6315" s="32">
        <v>46289.431866550927</v>
      </c>
      <c r="M6315" s="2">
        <v>12</v>
      </c>
      <c r="N6315" s="1">
        <v>137</v>
      </c>
    </row>
    <row r="6316" spans="1:14" x14ac:dyDescent="0.25">
      <c r="A6316" t="str">
        <f t="shared" si="201"/>
        <v>78813777881377</v>
      </c>
      <c r="B6316" t="str">
        <f t="shared" si="202"/>
        <v>7881377CM997HCB-D</v>
      </c>
      <c r="C6316" s="27" t="s">
        <v>804</v>
      </c>
      <c r="D6316" s="27" t="s">
        <v>1323</v>
      </c>
      <c r="E6316" s="1" t="str">
        <f>+VLOOKUP($B:$B,Sheet2!$1:$1048576,6,0)</f>
        <v>NETHERLANDS</v>
      </c>
      <c r="F6316" s="1" t="str">
        <f>+VLOOKUP($B:$B,Sheet2!$1:$1048576,7,0)</f>
        <v>DSV VENLO</v>
      </c>
      <c r="G6316" s="1" t="str">
        <f>+VLOOKUP($B:$B,Sheet2!$1:$1048576,4,0)</f>
        <v>Factory Outlet Stock (VZ)</v>
      </c>
      <c r="H6316" s="1">
        <f>+VLOOKUP($B:$B,Sheet2!$1:$1048576,8,0)</f>
        <v>1788</v>
      </c>
      <c r="I6316" s="3">
        <v>46289</v>
      </c>
      <c r="L6316" s="32">
        <v>46289.433084606477</v>
      </c>
      <c r="M6316" s="2">
        <v>12</v>
      </c>
      <c r="N6316" s="1">
        <v>81</v>
      </c>
    </row>
    <row r="6317" spans="1:14" x14ac:dyDescent="0.25">
      <c r="A6317" t="str">
        <f t="shared" si="201"/>
        <v>78813777881377</v>
      </c>
      <c r="B6317" t="str">
        <f t="shared" si="202"/>
        <v>7881377CM997HCB-D</v>
      </c>
      <c r="C6317" s="27" t="s">
        <v>804</v>
      </c>
      <c r="D6317" s="27" t="s">
        <v>1323</v>
      </c>
      <c r="E6317" s="1" t="str">
        <f>+VLOOKUP($B:$B,Sheet2!$1:$1048576,6,0)</f>
        <v>NETHERLANDS</v>
      </c>
      <c r="F6317" s="1" t="str">
        <f>+VLOOKUP($B:$B,Sheet2!$1:$1048576,7,0)</f>
        <v>DSV VENLO</v>
      </c>
      <c r="G6317" s="1" t="str">
        <f>+VLOOKUP($B:$B,Sheet2!$1:$1048576,4,0)</f>
        <v>Factory Outlet Stock (VZ)</v>
      </c>
      <c r="H6317" s="1">
        <f>+VLOOKUP($B:$B,Sheet2!$1:$1048576,8,0)</f>
        <v>1788</v>
      </c>
      <c r="I6317" s="3">
        <v>46289</v>
      </c>
      <c r="L6317" s="32">
        <v>46289.433809722221</v>
      </c>
      <c r="M6317" s="2">
        <v>12</v>
      </c>
      <c r="N6317" s="1">
        <v>96</v>
      </c>
    </row>
    <row r="6318" spans="1:14" x14ac:dyDescent="0.25">
      <c r="A6318" t="str">
        <f t="shared" si="201"/>
        <v>78813777881377</v>
      </c>
      <c r="B6318" t="str">
        <f t="shared" si="202"/>
        <v>7881377CM997HCB-D</v>
      </c>
      <c r="C6318" s="27" t="s">
        <v>804</v>
      </c>
      <c r="D6318" s="27" t="s">
        <v>1323</v>
      </c>
      <c r="E6318" s="1" t="str">
        <f>+VLOOKUP($B:$B,Sheet2!$1:$1048576,6,0)</f>
        <v>NETHERLANDS</v>
      </c>
      <c r="F6318" s="1" t="str">
        <f>+VLOOKUP($B:$B,Sheet2!$1:$1048576,7,0)</f>
        <v>DSV VENLO</v>
      </c>
      <c r="G6318" s="1" t="str">
        <f>+VLOOKUP($B:$B,Sheet2!$1:$1048576,4,0)</f>
        <v>Factory Outlet Stock (VZ)</v>
      </c>
      <c r="H6318" s="1">
        <f>+VLOOKUP($B:$B,Sheet2!$1:$1048576,8,0)</f>
        <v>1788</v>
      </c>
      <c r="I6318" s="3">
        <v>46289</v>
      </c>
      <c r="L6318" s="32">
        <v>46289.456106631944</v>
      </c>
      <c r="M6318" s="2">
        <v>12</v>
      </c>
      <c r="N6318" s="1">
        <v>114</v>
      </c>
    </row>
    <row r="6319" spans="1:14" x14ac:dyDescent="0.25">
      <c r="A6319" t="str">
        <f t="shared" si="201"/>
        <v>78813777881377</v>
      </c>
      <c r="B6319" t="str">
        <f t="shared" si="202"/>
        <v>7881377CM997HCB-D</v>
      </c>
      <c r="C6319" s="27" t="s">
        <v>804</v>
      </c>
      <c r="D6319" s="27" t="s">
        <v>1323</v>
      </c>
      <c r="E6319" s="1" t="str">
        <f>+VLOOKUP($B:$B,Sheet2!$1:$1048576,6,0)</f>
        <v>NETHERLANDS</v>
      </c>
      <c r="F6319" s="1" t="str">
        <f>+VLOOKUP($B:$B,Sheet2!$1:$1048576,7,0)</f>
        <v>DSV VENLO</v>
      </c>
      <c r="G6319" s="1" t="str">
        <f>+VLOOKUP($B:$B,Sheet2!$1:$1048576,4,0)</f>
        <v>Factory Outlet Stock (VZ)</v>
      </c>
      <c r="H6319" s="1">
        <f>+VLOOKUP($B:$B,Sheet2!$1:$1048576,8,0)</f>
        <v>1788</v>
      </c>
      <c r="I6319" s="3">
        <v>46289</v>
      </c>
      <c r="L6319" s="32">
        <v>46289.457683217588</v>
      </c>
      <c r="M6319" s="2">
        <v>12</v>
      </c>
      <c r="N6319" s="1">
        <v>54</v>
      </c>
    </row>
    <row r="6320" spans="1:14" x14ac:dyDescent="0.25">
      <c r="A6320" t="str">
        <f t="shared" si="201"/>
        <v>78813777881377</v>
      </c>
      <c r="B6320" t="str">
        <f t="shared" si="202"/>
        <v>7881377CM997HCB-D</v>
      </c>
      <c r="C6320" s="27" t="s">
        <v>804</v>
      </c>
      <c r="D6320" s="27" t="s">
        <v>1323</v>
      </c>
      <c r="E6320" s="1" t="str">
        <f>+VLOOKUP($B:$B,Sheet2!$1:$1048576,6,0)</f>
        <v>NETHERLANDS</v>
      </c>
      <c r="F6320" s="1" t="str">
        <f>+VLOOKUP($B:$B,Sheet2!$1:$1048576,7,0)</f>
        <v>DSV VENLO</v>
      </c>
      <c r="G6320" s="1" t="str">
        <f>+VLOOKUP($B:$B,Sheet2!$1:$1048576,4,0)</f>
        <v>Factory Outlet Stock (VZ)</v>
      </c>
      <c r="H6320" s="1">
        <f>+VLOOKUP($B:$B,Sheet2!$1:$1048576,8,0)</f>
        <v>1788</v>
      </c>
      <c r="I6320" s="3">
        <v>46289</v>
      </c>
      <c r="L6320" s="32">
        <v>46289.470556678236</v>
      </c>
      <c r="M6320" s="2">
        <v>12</v>
      </c>
      <c r="N6320" s="1">
        <v>79</v>
      </c>
    </row>
    <row r="6321" spans="1:14" x14ac:dyDescent="0.25">
      <c r="A6321" t="str">
        <f t="shared" si="201"/>
        <v>78813777881377</v>
      </c>
      <c r="B6321" t="str">
        <f t="shared" si="202"/>
        <v>7881377CM997HCB-D</v>
      </c>
      <c r="C6321" s="27" t="s">
        <v>804</v>
      </c>
      <c r="D6321" s="27" t="s">
        <v>1323</v>
      </c>
      <c r="E6321" s="1" t="str">
        <f>+VLOOKUP($B:$B,Sheet2!$1:$1048576,6,0)</f>
        <v>NETHERLANDS</v>
      </c>
      <c r="F6321" s="1" t="str">
        <f>+VLOOKUP($B:$B,Sheet2!$1:$1048576,7,0)</f>
        <v>DSV VENLO</v>
      </c>
      <c r="G6321" s="1" t="str">
        <f>+VLOOKUP($B:$B,Sheet2!$1:$1048576,4,0)</f>
        <v>Factory Outlet Stock (VZ)</v>
      </c>
      <c r="H6321" s="1">
        <f>+VLOOKUP($B:$B,Sheet2!$1:$1048576,8,0)</f>
        <v>1788</v>
      </c>
      <c r="I6321" s="3">
        <v>46289</v>
      </c>
      <c r="L6321" s="32">
        <v>46289.472508877312</v>
      </c>
      <c r="M6321" s="2">
        <v>12</v>
      </c>
      <c r="N6321" s="1">
        <v>98</v>
      </c>
    </row>
    <row r="6322" spans="1:14" x14ac:dyDescent="0.25">
      <c r="A6322" t="str">
        <f t="shared" si="201"/>
        <v>78813777881377</v>
      </c>
      <c r="B6322" t="str">
        <f t="shared" si="202"/>
        <v>7881377CM997HCB-D</v>
      </c>
      <c r="C6322" s="27" t="s">
        <v>804</v>
      </c>
      <c r="D6322" s="27" t="s">
        <v>1323</v>
      </c>
      <c r="E6322" s="1" t="str">
        <f>+VLOOKUP($B:$B,Sheet2!$1:$1048576,6,0)</f>
        <v>NETHERLANDS</v>
      </c>
      <c r="F6322" s="1" t="str">
        <f>+VLOOKUP($B:$B,Sheet2!$1:$1048576,7,0)</f>
        <v>DSV VENLO</v>
      </c>
      <c r="G6322" s="1" t="str">
        <f>+VLOOKUP($B:$B,Sheet2!$1:$1048576,4,0)</f>
        <v>Factory Outlet Stock (VZ)</v>
      </c>
      <c r="H6322" s="1">
        <f>+VLOOKUP($B:$B,Sheet2!$1:$1048576,8,0)</f>
        <v>1788</v>
      </c>
      <c r="I6322" s="3">
        <v>46289</v>
      </c>
      <c r="L6322" s="32">
        <v>46289.473297372686</v>
      </c>
      <c r="M6322" s="2">
        <v>12</v>
      </c>
      <c r="N6322" s="1">
        <v>80</v>
      </c>
    </row>
    <row r="6323" spans="1:14" x14ac:dyDescent="0.25">
      <c r="A6323" t="str">
        <f t="shared" si="201"/>
        <v>78813777881377</v>
      </c>
      <c r="B6323" t="str">
        <f t="shared" si="202"/>
        <v>7881377CM997HCB-D</v>
      </c>
      <c r="C6323" s="27" t="s">
        <v>804</v>
      </c>
      <c r="D6323" s="27" t="s">
        <v>1323</v>
      </c>
      <c r="E6323" s="1" t="str">
        <f>+VLOOKUP($B:$B,Sheet2!$1:$1048576,6,0)</f>
        <v>NETHERLANDS</v>
      </c>
      <c r="F6323" s="1" t="str">
        <f>+VLOOKUP($B:$B,Sheet2!$1:$1048576,7,0)</f>
        <v>DSV VENLO</v>
      </c>
      <c r="G6323" s="1" t="str">
        <f>+VLOOKUP($B:$B,Sheet2!$1:$1048576,4,0)</f>
        <v>Factory Outlet Stock (VZ)</v>
      </c>
      <c r="H6323" s="1">
        <f>+VLOOKUP($B:$B,Sheet2!$1:$1048576,8,0)</f>
        <v>1788</v>
      </c>
      <c r="I6323" s="3">
        <v>46289</v>
      </c>
      <c r="L6323" s="32">
        <v>46289.479324305554</v>
      </c>
      <c r="M6323" s="2">
        <v>12</v>
      </c>
      <c r="N6323" s="1">
        <v>116</v>
      </c>
    </row>
    <row r="6324" spans="1:14" x14ac:dyDescent="0.25">
      <c r="A6324" t="str">
        <f t="shared" si="201"/>
        <v>78813777881377</v>
      </c>
      <c r="B6324" t="str">
        <f t="shared" si="202"/>
        <v>7881377CM997HCB-D</v>
      </c>
      <c r="C6324" s="27" t="s">
        <v>804</v>
      </c>
      <c r="D6324" s="27" t="s">
        <v>1323</v>
      </c>
      <c r="E6324" s="1" t="str">
        <f>+VLOOKUP($B:$B,Sheet2!$1:$1048576,6,0)</f>
        <v>NETHERLANDS</v>
      </c>
      <c r="F6324" s="1" t="str">
        <f>+VLOOKUP($B:$B,Sheet2!$1:$1048576,7,0)</f>
        <v>DSV VENLO</v>
      </c>
      <c r="G6324" s="1" t="str">
        <f>+VLOOKUP($B:$B,Sheet2!$1:$1048576,4,0)</f>
        <v>Factory Outlet Stock (VZ)</v>
      </c>
      <c r="H6324" s="1">
        <f>+VLOOKUP($B:$B,Sheet2!$1:$1048576,8,0)</f>
        <v>1788</v>
      </c>
      <c r="I6324" s="3">
        <v>46289</v>
      </c>
      <c r="L6324" s="32">
        <v>46289.482022800927</v>
      </c>
      <c r="M6324" s="2">
        <v>12</v>
      </c>
      <c r="N6324" s="1">
        <v>97</v>
      </c>
    </row>
    <row r="6325" spans="1:14" x14ac:dyDescent="0.25">
      <c r="A6325" t="str">
        <f t="shared" si="201"/>
        <v>78813777881377</v>
      </c>
      <c r="B6325" t="str">
        <f t="shared" si="202"/>
        <v>7881377CM997HCB-D</v>
      </c>
      <c r="C6325" s="27" t="s">
        <v>804</v>
      </c>
      <c r="D6325" s="27" t="s">
        <v>1323</v>
      </c>
      <c r="E6325" s="1" t="str">
        <f>+VLOOKUP($B:$B,Sheet2!$1:$1048576,6,0)</f>
        <v>NETHERLANDS</v>
      </c>
      <c r="F6325" s="1" t="str">
        <f>+VLOOKUP($B:$B,Sheet2!$1:$1048576,7,0)</f>
        <v>DSV VENLO</v>
      </c>
      <c r="G6325" s="1" t="str">
        <f>+VLOOKUP($B:$B,Sheet2!$1:$1048576,4,0)</f>
        <v>Factory Outlet Stock (VZ)</v>
      </c>
      <c r="H6325" s="1">
        <f>+VLOOKUP($B:$B,Sheet2!$1:$1048576,8,0)</f>
        <v>1788</v>
      </c>
      <c r="I6325" s="3">
        <v>46289</v>
      </c>
      <c r="L6325" s="32">
        <v>46289.558517395832</v>
      </c>
      <c r="M6325" s="2">
        <v>12</v>
      </c>
      <c r="N6325" s="1">
        <v>25</v>
      </c>
    </row>
    <row r="6326" spans="1:14" x14ac:dyDescent="0.25">
      <c r="A6326" t="str">
        <f t="shared" si="201"/>
        <v>78813777881377</v>
      </c>
      <c r="B6326" t="str">
        <f t="shared" si="202"/>
        <v>7881377CM997HCB-D</v>
      </c>
      <c r="C6326" s="27" t="s">
        <v>804</v>
      </c>
      <c r="D6326" s="27" t="s">
        <v>1323</v>
      </c>
      <c r="E6326" s="1" t="str">
        <f>+VLOOKUP($B:$B,Sheet2!$1:$1048576,6,0)</f>
        <v>NETHERLANDS</v>
      </c>
      <c r="F6326" s="1" t="str">
        <f>+VLOOKUP($B:$B,Sheet2!$1:$1048576,7,0)</f>
        <v>DSV VENLO</v>
      </c>
      <c r="G6326" s="1" t="str">
        <f>+VLOOKUP($B:$B,Sheet2!$1:$1048576,4,0)</f>
        <v>Factory Outlet Stock (VZ)</v>
      </c>
      <c r="H6326" s="1">
        <f>+VLOOKUP($B:$B,Sheet2!$1:$1048576,8,0)</f>
        <v>1788</v>
      </c>
      <c r="I6326" s="3">
        <v>46289</v>
      </c>
      <c r="L6326" s="32">
        <v>46289.559152349539</v>
      </c>
      <c r="M6326" s="2">
        <v>12</v>
      </c>
      <c r="N6326" s="1">
        <v>106</v>
      </c>
    </row>
    <row r="6327" spans="1:14" x14ac:dyDescent="0.25">
      <c r="A6327" t="str">
        <f t="shared" si="201"/>
        <v>78813777881377</v>
      </c>
      <c r="B6327" t="str">
        <f t="shared" si="202"/>
        <v>7881377CM997HCB-D</v>
      </c>
      <c r="C6327" s="27" t="s">
        <v>804</v>
      </c>
      <c r="D6327" s="27" t="s">
        <v>1323</v>
      </c>
      <c r="E6327" s="1" t="str">
        <f>+VLOOKUP($B:$B,Sheet2!$1:$1048576,6,0)</f>
        <v>NETHERLANDS</v>
      </c>
      <c r="F6327" s="1" t="str">
        <f>+VLOOKUP($B:$B,Sheet2!$1:$1048576,7,0)</f>
        <v>DSV VENLO</v>
      </c>
      <c r="G6327" s="1" t="str">
        <f>+VLOOKUP($B:$B,Sheet2!$1:$1048576,4,0)</f>
        <v>Factory Outlet Stock (VZ)</v>
      </c>
      <c r="H6327" s="1">
        <f>+VLOOKUP($B:$B,Sheet2!$1:$1048576,8,0)</f>
        <v>1788</v>
      </c>
      <c r="I6327" s="3">
        <v>46289</v>
      </c>
      <c r="L6327" s="32">
        <v>46289.559285995369</v>
      </c>
      <c r="M6327" s="2">
        <v>12</v>
      </c>
      <c r="N6327" s="1">
        <v>103</v>
      </c>
    </row>
    <row r="6328" spans="1:14" x14ac:dyDescent="0.25">
      <c r="A6328" t="str">
        <f t="shared" si="201"/>
        <v>78813777881377</v>
      </c>
      <c r="B6328" t="str">
        <f t="shared" si="202"/>
        <v>7881377CM997HCB-D</v>
      </c>
      <c r="C6328" s="27" t="s">
        <v>804</v>
      </c>
      <c r="D6328" s="27" t="s">
        <v>1323</v>
      </c>
      <c r="E6328" s="1" t="str">
        <f>+VLOOKUP($B:$B,Sheet2!$1:$1048576,6,0)</f>
        <v>NETHERLANDS</v>
      </c>
      <c r="F6328" s="1" t="str">
        <f>+VLOOKUP($B:$B,Sheet2!$1:$1048576,7,0)</f>
        <v>DSV VENLO</v>
      </c>
      <c r="G6328" s="1" t="str">
        <f>+VLOOKUP($B:$B,Sheet2!$1:$1048576,4,0)</f>
        <v>Factory Outlet Stock (VZ)</v>
      </c>
      <c r="H6328" s="1">
        <f>+VLOOKUP($B:$B,Sheet2!$1:$1048576,8,0)</f>
        <v>1788</v>
      </c>
      <c r="I6328" s="3">
        <v>46289</v>
      </c>
      <c r="L6328" s="32">
        <v>46289.559461423611</v>
      </c>
      <c r="M6328" s="2">
        <v>12</v>
      </c>
      <c r="N6328" s="1">
        <v>86</v>
      </c>
    </row>
    <row r="6329" spans="1:14" x14ac:dyDescent="0.25">
      <c r="A6329" t="str">
        <f t="shared" si="201"/>
        <v>78813777881377</v>
      </c>
      <c r="B6329" t="str">
        <f t="shared" si="202"/>
        <v>7881377CM997HCB-D</v>
      </c>
      <c r="C6329" s="27" t="s">
        <v>804</v>
      </c>
      <c r="D6329" s="27" t="s">
        <v>1323</v>
      </c>
      <c r="E6329" s="1" t="str">
        <f>+VLOOKUP($B:$B,Sheet2!$1:$1048576,6,0)</f>
        <v>NETHERLANDS</v>
      </c>
      <c r="F6329" s="1" t="str">
        <f>+VLOOKUP($B:$B,Sheet2!$1:$1048576,7,0)</f>
        <v>DSV VENLO</v>
      </c>
      <c r="G6329" s="1" t="str">
        <f>+VLOOKUP($B:$B,Sheet2!$1:$1048576,4,0)</f>
        <v>Factory Outlet Stock (VZ)</v>
      </c>
      <c r="H6329" s="1">
        <f>+VLOOKUP($B:$B,Sheet2!$1:$1048576,8,0)</f>
        <v>1788</v>
      </c>
      <c r="I6329" s="3">
        <v>46289</v>
      </c>
      <c r="L6329" s="32">
        <v>46289.568969016203</v>
      </c>
      <c r="M6329" s="2">
        <v>12</v>
      </c>
      <c r="N6329" s="1">
        <v>24</v>
      </c>
    </row>
    <row r="6330" spans="1:14" x14ac:dyDescent="0.25">
      <c r="A6330" t="str">
        <f t="shared" si="201"/>
        <v>78813777881377</v>
      </c>
      <c r="B6330" t="str">
        <f t="shared" si="202"/>
        <v>7881377CM997HCB-D</v>
      </c>
      <c r="C6330" s="27" t="s">
        <v>804</v>
      </c>
      <c r="D6330" s="27" t="s">
        <v>1323</v>
      </c>
      <c r="E6330" s="1" t="str">
        <f>+VLOOKUP($B:$B,Sheet2!$1:$1048576,6,0)</f>
        <v>NETHERLANDS</v>
      </c>
      <c r="F6330" s="1" t="str">
        <f>+VLOOKUP($B:$B,Sheet2!$1:$1048576,7,0)</f>
        <v>DSV VENLO</v>
      </c>
      <c r="G6330" s="1" t="str">
        <f>+VLOOKUP($B:$B,Sheet2!$1:$1048576,4,0)</f>
        <v>Factory Outlet Stock (VZ)</v>
      </c>
      <c r="H6330" s="1">
        <f>+VLOOKUP($B:$B,Sheet2!$1:$1048576,8,0)</f>
        <v>1788</v>
      </c>
      <c r="I6330" s="3">
        <v>46289</v>
      </c>
      <c r="L6330" s="32">
        <v>46289.569407060182</v>
      </c>
      <c r="M6330" s="2">
        <v>12</v>
      </c>
      <c r="N6330" s="1">
        <v>59</v>
      </c>
    </row>
    <row r="6331" spans="1:14" x14ac:dyDescent="0.25">
      <c r="A6331" t="str">
        <f t="shared" si="201"/>
        <v>78813777881377</v>
      </c>
      <c r="B6331" t="str">
        <f t="shared" si="202"/>
        <v>7881377CM997HCB-D</v>
      </c>
      <c r="C6331" s="27" t="s">
        <v>804</v>
      </c>
      <c r="D6331" s="27" t="s">
        <v>1323</v>
      </c>
      <c r="E6331" s="1" t="str">
        <f>+VLOOKUP($B:$B,Sheet2!$1:$1048576,6,0)</f>
        <v>NETHERLANDS</v>
      </c>
      <c r="F6331" s="1" t="str">
        <f>+VLOOKUP($B:$B,Sheet2!$1:$1048576,7,0)</f>
        <v>DSV VENLO</v>
      </c>
      <c r="G6331" s="1" t="str">
        <f>+VLOOKUP($B:$B,Sheet2!$1:$1048576,4,0)</f>
        <v>Factory Outlet Stock (VZ)</v>
      </c>
      <c r="H6331" s="1">
        <f>+VLOOKUP($B:$B,Sheet2!$1:$1048576,8,0)</f>
        <v>1788</v>
      </c>
      <c r="I6331" s="3">
        <v>46289</v>
      </c>
      <c r="L6331" s="32">
        <v>46289.573598414347</v>
      </c>
      <c r="M6331" s="2">
        <v>12</v>
      </c>
      <c r="N6331" s="1">
        <v>105</v>
      </c>
    </row>
    <row r="6332" spans="1:14" x14ac:dyDescent="0.25">
      <c r="A6332" t="str">
        <f t="shared" si="201"/>
        <v>78813777881377</v>
      </c>
      <c r="B6332" t="str">
        <f t="shared" si="202"/>
        <v>7881377CM997HCB-D</v>
      </c>
      <c r="C6332" s="27" t="s">
        <v>804</v>
      </c>
      <c r="D6332" s="27" t="s">
        <v>1323</v>
      </c>
      <c r="E6332" s="1" t="str">
        <f>+VLOOKUP($B:$B,Sheet2!$1:$1048576,6,0)</f>
        <v>NETHERLANDS</v>
      </c>
      <c r="F6332" s="1" t="str">
        <f>+VLOOKUP($B:$B,Sheet2!$1:$1048576,7,0)</f>
        <v>DSV VENLO</v>
      </c>
      <c r="G6332" s="1" t="str">
        <f>+VLOOKUP($B:$B,Sheet2!$1:$1048576,4,0)</f>
        <v>Factory Outlet Stock (VZ)</v>
      </c>
      <c r="H6332" s="1">
        <f>+VLOOKUP($B:$B,Sheet2!$1:$1048576,8,0)</f>
        <v>1788</v>
      </c>
      <c r="I6332" s="3">
        <v>46289</v>
      </c>
      <c r="L6332" s="32">
        <v>46289.575202118052</v>
      </c>
      <c r="M6332" s="2">
        <v>12</v>
      </c>
      <c r="N6332" s="1">
        <v>7</v>
      </c>
    </row>
    <row r="6333" spans="1:14" x14ac:dyDescent="0.25">
      <c r="A6333" t="str">
        <f t="shared" si="201"/>
        <v>78813777881377</v>
      </c>
      <c r="B6333" t="str">
        <f t="shared" si="202"/>
        <v>7881377CM997HCB-D</v>
      </c>
      <c r="C6333" s="27" t="s">
        <v>804</v>
      </c>
      <c r="D6333" s="27" t="s">
        <v>1323</v>
      </c>
      <c r="E6333" s="1" t="str">
        <f>+VLOOKUP($B:$B,Sheet2!$1:$1048576,6,0)</f>
        <v>NETHERLANDS</v>
      </c>
      <c r="F6333" s="1" t="str">
        <f>+VLOOKUP($B:$B,Sheet2!$1:$1048576,7,0)</f>
        <v>DSV VENLO</v>
      </c>
      <c r="G6333" s="1" t="str">
        <f>+VLOOKUP($B:$B,Sheet2!$1:$1048576,4,0)</f>
        <v>Factory Outlet Stock (VZ)</v>
      </c>
      <c r="H6333" s="1">
        <f>+VLOOKUP($B:$B,Sheet2!$1:$1048576,8,0)</f>
        <v>1788</v>
      </c>
      <c r="I6333" s="3">
        <v>46289</v>
      </c>
      <c r="L6333" s="32">
        <v>46289.58037491898</v>
      </c>
      <c r="M6333" s="2">
        <v>12</v>
      </c>
      <c r="N6333" s="1">
        <v>85</v>
      </c>
    </row>
    <row r="6334" spans="1:14" x14ac:dyDescent="0.25">
      <c r="A6334" t="str">
        <f t="shared" si="201"/>
        <v>78813777881377</v>
      </c>
      <c r="B6334" t="str">
        <f t="shared" si="202"/>
        <v>7881377CM997HCB-D</v>
      </c>
      <c r="C6334" s="27" t="s">
        <v>804</v>
      </c>
      <c r="D6334" s="27" t="s">
        <v>1323</v>
      </c>
      <c r="E6334" s="1" t="str">
        <f>+VLOOKUP($B:$B,Sheet2!$1:$1048576,6,0)</f>
        <v>NETHERLANDS</v>
      </c>
      <c r="F6334" s="1" t="str">
        <f>+VLOOKUP($B:$B,Sheet2!$1:$1048576,7,0)</f>
        <v>DSV VENLO</v>
      </c>
      <c r="G6334" s="1" t="str">
        <f>+VLOOKUP($B:$B,Sheet2!$1:$1048576,4,0)</f>
        <v>Factory Outlet Stock (VZ)</v>
      </c>
      <c r="H6334" s="1">
        <f>+VLOOKUP($B:$B,Sheet2!$1:$1048576,8,0)</f>
        <v>1788</v>
      </c>
      <c r="I6334" s="3">
        <v>46289</v>
      </c>
      <c r="L6334" s="32">
        <v>46289.581118865739</v>
      </c>
      <c r="M6334" s="2">
        <v>12</v>
      </c>
      <c r="N6334" s="1">
        <v>23</v>
      </c>
    </row>
    <row r="6335" spans="1:14" x14ac:dyDescent="0.25">
      <c r="A6335" t="str">
        <f t="shared" si="201"/>
        <v>78813777881377</v>
      </c>
      <c r="B6335" t="str">
        <f t="shared" si="202"/>
        <v>7881377CM997HCB-D</v>
      </c>
      <c r="C6335" s="27" t="s">
        <v>804</v>
      </c>
      <c r="D6335" s="27" t="s">
        <v>1323</v>
      </c>
      <c r="E6335" s="1" t="str">
        <f>+VLOOKUP($B:$B,Sheet2!$1:$1048576,6,0)</f>
        <v>NETHERLANDS</v>
      </c>
      <c r="F6335" s="1" t="str">
        <f>+VLOOKUP($B:$B,Sheet2!$1:$1048576,7,0)</f>
        <v>DSV VENLO</v>
      </c>
      <c r="G6335" s="1" t="str">
        <f>+VLOOKUP($B:$B,Sheet2!$1:$1048576,4,0)</f>
        <v>Factory Outlet Stock (VZ)</v>
      </c>
      <c r="H6335" s="1">
        <f>+VLOOKUP($B:$B,Sheet2!$1:$1048576,8,0)</f>
        <v>1788</v>
      </c>
      <c r="I6335" s="3">
        <v>46289</v>
      </c>
      <c r="L6335" s="32">
        <v>46289.582923530092</v>
      </c>
      <c r="M6335" s="2">
        <v>12</v>
      </c>
      <c r="N6335" s="1">
        <v>104</v>
      </c>
    </row>
    <row r="6336" spans="1:14" x14ac:dyDescent="0.25">
      <c r="A6336" t="str">
        <f t="shared" si="201"/>
        <v>78813777881377</v>
      </c>
      <c r="B6336" t="str">
        <f t="shared" si="202"/>
        <v>7881377CM997HCB-D</v>
      </c>
      <c r="C6336" s="27" t="s">
        <v>804</v>
      </c>
      <c r="D6336" s="27" t="s">
        <v>1323</v>
      </c>
      <c r="E6336" s="1" t="str">
        <f>+VLOOKUP($B:$B,Sheet2!$1:$1048576,6,0)</f>
        <v>NETHERLANDS</v>
      </c>
      <c r="F6336" s="1" t="str">
        <f>+VLOOKUP($B:$B,Sheet2!$1:$1048576,7,0)</f>
        <v>DSV VENLO</v>
      </c>
      <c r="G6336" s="1" t="str">
        <f>+VLOOKUP($B:$B,Sheet2!$1:$1048576,4,0)</f>
        <v>Factory Outlet Stock (VZ)</v>
      </c>
      <c r="H6336" s="1">
        <f>+VLOOKUP($B:$B,Sheet2!$1:$1048576,8,0)</f>
        <v>1788</v>
      </c>
      <c r="I6336" s="3">
        <v>46289</v>
      </c>
      <c r="L6336" s="32">
        <v>46289.595326620365</v>
      </c>
      <c r="M6336" s="2">
        <v>12</v>
      </c>
      <c r="N6336" s="1">
        <v>113</v>
      </c>
    </row>
    <row r="6337" spans="1:14" x14ac:dyDescent="0.25">
      <c r="A6337" t="str">
        <f t="shared" si="201"/>
        <v>78813777881377</v>
      </c>
      <c r="B6337" t="str">
        <f t="shared" si="202"/>
        <v>7881377CM997HCB-D</v>
      </c>
      <c r="C6337" s="27" t="s">
        <v>804</v>
      </c>
      <c r="D6337" s="27" t="s">
        <v>1323</v>
      </c>
      <c r="E6337" s="1" t="str">
        <f>+VLOOKUP($B:$B,Sheet2!$1:$1048576,6,0)</f>
        <v>NETHERLANDS</v>
      </c>
      <c r="F6337" s="1" t="str">
        <f>+VLOOKUP($B:$B,Sheet2!$1:$1048576,7,0)</f>
        <v>DSV VENLO</v>
      </c>
      <c r="G6337" s="1" t="str">
        <f>+VLOOKUP($B:$B,Sheet2!$1:$1048576,4,0)</f>
        <v>Factory Outlet Stock (VZ)</v>
      </c>
      <c r="H6337" s="1">
        <f>+VLOOKUP($B:$B,Sheet2!$1:$1048576,8,0)</f>
        <v>1788</v>
      </c>
      <c r="I6337" s="3">
        <v>46289</v>
      </c>
      <c r="L6337" s="32">
        <v>46289.607620486109</v>
      </c>
      <c r="M6337" s="2">
        <v>12</v>
      </c>
      <c r="N6337" s="1">
        <v>84</v>
      </c>
    </row>
    <row r="6338" spans="1:14" x14ac:dyDescent="0.25">
      <c r="A6338" t="str">
        <f t="shared" si="201"/>
        <v>78813777881377</v>
      </c>
      <c r="B6338" t="str">
        <f t="shared" si="202"/>
        <v>7881377CM997HCB-D</v>
      </c>
      <c r="C6338" s="27" t="s">
        <v>804</v>
      </c>
      <c r="D6338" s="27" t="s">
        <v>1323</v>
      </c>
      <c r="E6338" s="1" t="str">
        <f>+VLOOKUP($B:$B,Sheet2!$1:$1048576,6,0)</f>
        <v>NETHERLANDS</v>
      </c>
      <c r="F6338" s="1" t="str">
        <f>+VLOOKUP($B:$B,Sheet2!$1:$1048576,7,0)</f>
        <v>DSV VENLO</v>
      </c>
      <c r="G6338" s="1" t="str">
        <f>+VLOOKUP($B:$B,Sheet2!$1:$1048576,4,0)</f>
        <v>Factory Outlet Stock (VZ)</v>
      </c>
      <c r="H6338" s="1">
        <f>+VLOOKUP($B:$B,Sheet2!$1:$1048576,8,0)</f>
        <v>1788</v>
      </c>
      <c r="I6338" s="3">
        <v>46289</v>
      </c>
      <c r="L6338" s="32">
        <v>46289.608014895828</v>
      </c>
      <c r="M6338" s="2">
        <v>12</v>
      </c>
      <c r="N6338" s="1">
        <v>102</v>
      </c>
    </row>
    <row r="6339" spans="1:14" x14ac:dyDescent="0.25">
      <c r="A6339" t="str">
        <f t="shared" si="201"/>
        <v>78813777881377</v>
      </c>
      <c r="B6339" t="str">
        <f t="shared" si="202"/>
        <v>7881377CM997HCB-D</v>
      </c>
      <c r="C6339" s="27" t="s">
        <v>804</v>
      </c>
      <c r="D6339" s="27" t="s">
        <v>1323</v>
      </c>
      <c r="E6339" s="1" t="str">
        <f>+VLOOKUP($B:$B,Sheet2!$1:$1048576,6,0)</f>
        <v>NETHERLANDS</v>
      </c>
      <c r="F6339" s="1" t="str">
        <f>+VLOOKUP($B:$B,Sheet2!$1:$1048576,7,0)</f>
        <v>DSV VENLO</v>
      </c>
      <c r="G6339" s="1" t="str">
        <f>+VLOOKUP($B:$B,Sheet2!$1:$1048576,4,0)</f>
        <v>Factory Outlet Stock (VZ)</v>
      </c>
      <c r="H6339" s="1">
        <f>+VLOOKUP($B:$B,Sheet2!$1:$1048576,8,0)</f>
        <v>1788</v>
      </c>
      <c r="I6339" s="3">
        <v>46289</v>
      </c>
      <c r="L6339" s="32">
        <v>46289.616285995369</v>
      </c>
      <c r="M6339" s="2">
        <v>12</v>
      </c>
      <c r="N6339" s="1">
        <v>2</v>
      </c>
    </row>
    <row r="6340" spans="1:14" x14ac:dyDescent="0.25">
      <c r="A6340" t="str">
        <f t="shared" si="201"/>
        <v>78813777881377</v>
      </c>
      <c r="B6340" t="str">
        <f t="shared" si="202"/>
        <v>7881377CM997HCB-D</v>
      </c>
      <c r="C6340" s="27" t="s">
        <v>804</v>
      </c>
      <c r="D6340" s="27" t="s">
        <v>1323</v>
      </c>
      <c r="E6340" s="1" t="str">
        <f>+VLOOKUP($B:$B,Sheet2!$1:$1048576,6,0)</f>
        <v>NETHERLANDS</v>
      </c>
      <c r="F6340" s="1" t="str">
        <f>+VLOOKUP($B:$B,Sheet2!$1:$1048576,7,0)</f>
        <v>DSV VENLO</v>
      </c>
      <c r="G6340" s="1" t="str">
        <f>+VLOOKUP($B:$B,Sheet2!$1:$1048576,4,0)</f>
        <v>Factory Outlet Stock (VZ)</v>
      </c>
      <c r="H6340" s="1">
        <f>+VLOOKUP($B:$B,Sheet2!$1:$1048576,8,0)</f>
        <v>1788</v>
      </c>
      <c r="I6340" s="3">
        <v>46289</v>
      </c>
      <c r="L6340" s="32">
        <v>46289.622324039352</v>
      </c>
      <c r="M6340" s="2">
        <v>12</v>
      </c>
      <c r="N6340" s="1">
        <v>101</v>
      </c>
    </row>
    <row r="6341" spans="1:14" x14ac:dyDescent="0.25">
      <c r="A6341" t="str">
        <f t="shared" ref="A6341:A6372" si="203">+D6341&amp;D6341</f>
        <v>78813777881377</v>
      </c>
      <c r="B6341" t="str">
        <f t="shared" ref="B6341:B6372" si="204">+D6341&amp;C6341</f>
        <v>7881377CM997HCB-D</v>
      </c>
      <c r="C6341" s="27" t="s">
        <v>804</v>
      </c>
      <c r="D6341" s="27" t="s">
        <v>1323</v>
      </c>
      <c r="E6341" s="1" t="str">
        <f>+VLOOKUP($B:$B,Sheet2!$1:$1048576,6,0)</f>
        <v>NETHERLANDS</v>
      </c>
      <c r="F6341" s="1" t="str">
        <f>+VLOOKUP($B:$B,Sheet2!$1:$1048576,7,0)</f>
        <v>DSV VENLO</v>
      </c>
      <c r="G6341" s="1" t="str">
        <f>+VLOOKUP($B:$B,Sheet2!$1:$1048576,4,0)</f>
        <v>Factory Outlet Stock (VZ)</v>
      </c>
      <c r="H6341" s="1">
        <f>+VLOOKUP($B:$B,Sheet2!$1:$1048576,8,0)</f>
        <v>1788</v>
      </c>
      <c r="I6341" s="3">
        <v>46289</v>
      </c>
      <c r="L6341" s="32">
        <v>46289.635125925925</v>
      </c>
      <c r="M6341" s="2">
        <v>12</v>
      </c>
      <c r="N6341" s="1">
        <v>6</v>
      </c>
    </row>
    <row r="6342" spans="1:14" x14ac:dyDescent="0.25">
      <c r="A6342" t="str">
        <f t="shared" si="203"/>
        <v>78813777881377</v>
      </c>
      <c r="B6342" t="str">
        <f t="shared" si="204"/>
        <v>7881377CM997HCB-D</v>
      </c>
      <c r="C6342" s="27" t="s">
        <v>804</v>
      </c>
      <c r="D6342" s="27" t="s">
        <v>1323</v>
      </c>
      <c r="E6342" s="1" t="str">
        <f>+VLOOKUP($B:$B,Sheet2!$1:$1048576,6,0)</f>
        <v>NETHERLANDS</v>
      </c>
      <c r="F6342" s="1" t="str">
        <f>+VLOOKUP($B:$B,Sheet2!$1:$1048576,7,0)</f>
        <v>DSV VENLO</v>
      </c>
      <c r="G6342" s="1" t="str">
        <f>+VLOOKUP($B:$B,Sheet2!$1:$1048576,4,0)</f>
        <v>Factory Outlet Stock (VZ)</v>
      </c>
      <c r="H6342" s="1">
        <f>+VLOOKUP($B:$B,Sheet2!$1:$1048576,8,0)</f>
        <v>1788</v>
      </c>
      <c r="I6342" s="3">
        <v>46289</v>
      </c>
      <c r="L6342" s="32">
        <v>46289.676213738421</v>
      </c>
      <c r="M6342" s="2">
        <v>12</v>
      </c>
      <c r="N6342" s="1">
        <v>121</v>
      </c>
    </row>
    <row r="6343" spans="1:14" x14ac:dyDescent="0.25">
      <c r="A6343" t="str">
        <f t="shared" si="203"/>
        <v>78813777881377</v>
      </c>
      <c r="B6343" t="str">
        <f t="shared" si="204"/>
        <v>7881377CM997HCB-D</v>
      </c>
      <c r="C6343" s="27" t="s">
        <v>804</v>
      </c>
      <c r="D6343" s="27" t="s">
        <v>1323</v>
      </c>
      <c r="E6343" s="1" t="str">
        <f>+VLOOKUP($B:$B,Sheet2!$1:$1048576,6,0)</f>
        <v>NETHERLANDS</v>
      </c>
      <c r="F6343" s="1" t="str">
        <f>+VLOOKUP($B:$B,Sheet2!$1:$1048576,7,0)</f>
        <v>DSV VENLO</v>
      </c>
      <c r="G6343" s="1" t="str">
        <f>+VLOOKUP($B:$B,Sheet2!$1:$1048576,4,0)</f>
        <v>Factory Outlet Stock (VZ)</v>
      </c>
      <c r="H6343" s="1">
        <f>+VLOOKUP($B:$B,Sheet2!$1:$1048576,8,0)</f>
        <v>1788</v>
      </c>
      <c r="I6343" s="3">
        <v>46289</v>
      </c>
      <c r="L6343" s="32">
        <v>46289.676476423607</v>
      </c>
      <c r="M6343" s="2">
        <v>12</v>
      </c>
      <c r="N6343" s="1">
        <v>1</v>
      </c>
    </row>
    <row r="6344" spans="1:14" x14ac:dyDescent="0.25">
      <c r="A6344" t="str">
        <f t="shared" si="203"/>
        <v>78855527885552</v>
      </c>
      <c r="B6344" t="str">
        <f t="shared" si="204"/>
        <v>7885552G6037LU-M</v>
      </c>
      <c r="C6344" s="27" t="s">
        <v>486</v>
      </c>
      <c r="D6344" s="27" t="s">
        <v>1280</v>
      </c>
      <c r="E6344" s="1" t="str">
        <f>+VLOOKUP($B:$B,Sheet2!$1:$1048576,6,0)</f>
        <v>NETHERLANDS</v>
      </c>
      <c r="F6344" s="1" t="str">
        <f>+VLOOKUP($B:$B,Sheet2!$1:$1048576,7,0)</f>
        <v>DSV VENLO</v>
      </c>
      <c r="G6344" s="1" t="str">
        <f>+VLOOKUP($B:$B,Sheet2!$1:$1048576,4,0)</f>
        <v>DSV Solutions Nederland (VF)</v>
      </c>
      <c r="H6344" s="1">
        <f>+VLOOKUP($B:$B,Sheet2!$1:$1048576,8,0)</f>
        <v>882</v>
      </c>
      <c r="I6344" s="3">
        <v>46289</v>
      </c>
      <c r="L6344" s="32">
        <v>46289.549426157406</v>
      </c>
      <c r="M6344" s="2">
        <v>12</v>
      </c>
      <c r="N6344" s="1">
        <v>66</v>
      </c>
    </row>
    <row r="6345" spans="1:14" x14ac:dyDescent="0.25">
      <c r="A6345" t="str">
        <f t="shared" si="203"/>
        <v>78855527885552</v>
      </c>
      <c r="B6345" t="str">
        <f t="shared" si="204"/>
        <v>7885552G6037LU-M</v>
      </c>
      <c r="C6345" s="27" t="s">
        <v>486</v>
      </c>
      <c r="D6345" s="27" t="s">
        <v>1280</v>
      </c>
      <c r="E6345" s="1" t="str">
        <f>+VLOOKUP($B:$B,Sheet2!$1:$1048576,6,0)</f>
        <v>NETHERLANDS</v>
      </c>
      <c r="F6345" s="1" t="str">
        <f>+VLOOKUP($B:$B,Sheet2!$1:$1048576,7,0)</f>
        <v>DSV VENLO</v>
      </c>
      <c r="G6345" s="1" t="str">
        <f>+VLOOKUP($B:$B,Sheet2!$1:$1048576,4,0)</f>
        <v>DSV Solutions Nederland (VF)</v>
      </c>
      <c r="H6345" s="1">
        <f>+VLOOKUP($B:$B,Sheet2!$1:$1048576,8,0)</f>
        <v>882</v>
      </c>
      <c r="I6345" s="3">
        <v>46289</v>
      </c>
      <c r="L6345" s="32">
        <v>46289.559899108797</v>
      </c>
      <c r="M6345" s="2">
        <v>12</v>
      </c>
      <c r="N6345" s="1">
        <v>65</v>
      </c>
    </row>
    <row r="6346" spans="1:14" x14ac:dyDescent="0.25">
      <c r="A6346" t="str">
        <f t="shared" si="203"/>
        <v>78855527885552</v>
      </c>
      <c r="B6346" t="str">
        <f t="shared" si="204"/>
        <v>7885552G6037LU-M</v>
      </c>
      <c r="C6346" s="27" t="s">
        <v>486</v>
      </c>
      <c r="D6346" s="27" t="s">
        <v>1280</v>
      </c>
      <c r="E6346" s="1" t="str">
        <f>+VLOOKUP($B:$B,Sheet2!$1:$1048576,6,0)</f>
        <v>NETHERLANDS</v>
      </c>
      <c r="F6346" s="1" t="str">
        <f>+VLOOKUP($B:$B,Sheet2!$1:$1048576,7,0)</f>
        <v>DSV VENLO</v>
      </c>
      <c r="G6346" s="1" t="str">
        <f>+VLOOKUP($B:$B,Sheet2!$1:$1048576,4,0)</f>
        <v>DSV Solutions Nederland (VF)</v>
      </c>
      <c r="H6346" s="1">
        <f>+VLOOKUP($B:$B,Sheet2!$1:$1048576,8,0)</f>
        <v>882</v>
      </c>
      <c r="I6346" s="3">
        <v>46289</v>
      </c>
      <c r="L6346" s="32">
        <v>46289.569103784721</v>
      </c>
      <c r="M6346" s="2">
        <v>12</v>
      </c>
      <c r="N6346" s="1">
        <v>3</v>
      </c>
    </row>
    <row r="6347" spans="1:14" x14ac:dyDescent="0.25">
      <c r="A6347" t="str">
        <f t="shared" si="203"/>
        <v>78855527885552</v>
      </c>
      <c r="B6347" t="str">
        <f t="shared" si="204"/>
        <v>7885552G6037LU-M</v>
      </c>
      <c r="C6347" s="27" t="s">
        <v>486</v>
      </c>
      <c r="D6347" s="27" t="s">
        <v>1280</v>
      </c>
      <c r="E6347" s="1" t="str">
        <f>+VLOOKUP($B:$B,Sheet2!$1:$1048576,6,0)</f>
        <v>NETHERLANDS</v>
      </c>
      <c r="F6347" s="1" t="str">
        <f>+VLOOKUP($B:$B,Sheet2!$1:$1048576,7,0)</f>
        <v>DSV VENLO</v>
      </c>
      <c r="G6347" s="1" t="str">
        <f>+VLOOKUP($B:$B,Sheet2!$1:$1048576,4,0)</f>
        <v>DSV Solutions Nederland (VF)</v>
      </c>
      <c r="H6347" s="1">
        <f>+VLOOKUP($B:$B,Sheet2!$1:$1048576,8,0)</f>
        <v>882</v>
      </c>
      <c r="I6347" s="3">
        <v>46289</v>
      </c>
      <c r="L6347" s="32">
        <v>46289.569722800923</v>
      </c>
      <c r="M6347" s="2">
        <v>12</v>
      </c>
      <c r="N6347" s="1">
        <v>67</v>
      </c>
    </row>
    <row r="6348" spans="1:14" x14ac:dyDescent="0.25">
      <c r="A6348" t="str">
        <f t="shared" si="203"/>
        <v>78855527885552</v>
      </c>
      <c r="B6348" t="str">
        <f t="shared" si="204"/>
        <v>7885552G6037LU-M</v>
      </c>
      <c r="C6348" s="27" t="s">
        <v>486</v>
      </c>
      <c r="D6348" s="27" t="s">
        <v>1280</v>
      </c>
      <c r="E6348" s="1" t="str">
        <f>+VLOOKUP($B:$B,Sheet2!$1:$1048576,6,0)</f>
        <v>NETHERLANDS</v>
      </c>
      <c r="F6348" s="1" t="str">
        <f>+VLOOKUP($B:$B,Sheet2!$1:$1048576,7,0)</f>
        <v>DSV VENLO</v>
      </c>
      <c r="G6348" s="1" t="str">
        <f>+VLOOKUP($B:$B,Sheet2!$1:$1048576,4,0)</f>
        <v>DSV Solutions Nederland (VF)</v>
      </c>
      <c r="H6348" s="1">
        <f>+VLOOKUP($B:$B,Sheet2!$1:$1048576,8,0)</f>
        <v>882</v>
      </c>
      <c r="I6348" s="3">
        <v>46289</v>
      </c>
      <c r="L6348" s="32">
        <v>46289.57160408565</v>
      </c>
      <c r="M6348" s="2">
        <v>12</v>
      </c>
      <c r="N6348" s="1">
        <v>29</v>
      </c>
    </row>
    <row r="6349" spans="1:14" x14ac:dyDescent="0.25">
      <c r="A6349" t="str">
        <f t="shared" si="203"/>
        <v>78855527885552</v>
      </c>
      <c r="B6349" t="str">
        <f t="shared" si="204"/>
        <v>7885552G6037LU-M</v>
      </c>
      <c r="C6349" s="27" t="s">
        <v>486</v>
      </c>
      <c r="D6349" s="27" t="s">
        <v>1280</v>
      </c>
      <c r="E6349" s="1" t="str">
        <f>+VLOOKUP($B:$B,Sheet2!$1:$1048576,6,0)</f>
        <v>NETHERLANDS</v>
      </c>
      <c r="F6349" s="1" t="str">
        <f>+VLOOKUP($B:$B,Sheet2!$1:$1048576,7,0)</f>
        <v>DSV VENLO</v>
      </c>
      <c r="G6349" s="1" t="str">
        <f>+VLOOKUP($B:$B,Sheet2!$1:$1048576,4,0)</f>
        <v>DSV Solutions Nederland (VF)</v>
      </c>
      <c r="H6349" s="1">
        <f>+VLOOKUP($B:$B,Sheet2!$1:$1048576,8,0)</f>
        <v>882</v>
      </c>
      <c r="I6349" s="3">
        <v>46289</v>
      </c>
      <c r="L6349" s="32">
        <v>46289.574307835646</v>
      </c>
      <c r="M6349" s="2">
        <v>12</v>
      </c>
      <c r="N6349" s="1">
        <v>4</v>
      </c>
    </row>
    <row r="6350" spans="1:14" x14ac:dyDescent="0.25">
      <c r="A6350" t="str">
        <f t="shared" si="203"/>
        <v>78855527885552</v>
      </c>
      <c r="B6350" t="str">
        <f t="shared" si="204"/>
        <v>7885552G6037LU-M</v>
      </c>
      <c r="C6350" s="27" t="s">
        <v>486</v>
      </c>
      <c r="D6350" s="27" t="s">
        <v>1280</v>
      </c>
      <c r="E6350" s="1" t="str">
        <f>+VLOOKUP($B:$B,Sheet2!$1:$1048576,6,0)</f>
        <v>NETHERLANDS</v>
      </c>
      <c r="F6350" s="1" t="str">
        <f>+VLOOKUP($B:$B,Sheet2!$1:$1048576,7,0)</f>
        <v>DSV VENLO</v>
      </c>
      <c r="G6350" s="1" t="str">
        <f>+VLOOKUP($B:$B,Sheet2!$1:$1048576,4,0)</f>
        <v>DSV Solutions Nederland (VF)</v>
      </c>
      <c r="H6350" s="1">
        <f>+VLOOKUP($B:$B,Sheet2!$1:$1048576,8,0)</f>
        <v>882</v>
      </c>
      <c r="I6350" s="3">
        <v>46289</v>
      </c>
      <c r="L6350" s="32">
        <v>46289.57447013889</v>
      </c>
      <c r="M6350" s="2">
        <v>12</v>
      </c>
      <c r="N6350" s="1">
        <v>69</v>
      </c>
    </row>
    <row r="6351" spans="1:14" x14ac:dyDescent="0.25">
      <c r="A6351" t="str">
        <f t="shared" si="203"/>
        <v>78855527885552</v>
      </c>
      <c r="B6351" t="str">
        <f t="shared" si="204"/>
        <v>7885552G6037LU-M</v>
      </c>
      <c r="C6351" s="27" t="s">
        <v>486</v>
      </c>
      <c r="D6351" s="27" t="s">
        <v>1280</v>
      </c>
      <c r="E6351" s="1" t="str">
        <f>+VLOOKUP($B:$B,Sheet2!$1:$1048576,6,0)</f>
        <v>NETHERLANDS</v>
      </c>
      <c r="F6351" s="1" t="str">
        <f>+VLOOKUP($B:$B,Sheet2!$1:$1048576,7,0)</f>
        <v>DSV VENLO</v>
      </c>
      <c r="G6351" s="1" t="str">
        <f>+VLOOKUP($B:$B,Sheet2!$1:$1048576,4,0)</f>
        <v>DSV Solutions Nederland (VF)</v>
      </c>
      <c r="H6351" s="1">
        <f>+VLOOKUP($B:$B,Sheet2!$1:$1048576,8,0)</f>
        <v>882</v>
      </c>
      <c r="I6351" s="3">
        <v>46289</v>
      </c>
      <c r="L6351" s="32">
        <v>46289.574658182872</v>
      </c>
      <c r="M6351" s="2">
        <v>12</v>
      </c>
      <c r="N6351" s="1">
        <v>70</v>
      </c>
    </row>
    <row r="6352" spans="1:14" x14ac:dyDescent="0.25">
      <c r="A6352" t="str">
        <f t="shared" si="203"/>
        <v>78855527885552</v>
      </c>
      <c r="B6352" t="str">
        <f t="shared" si="204"/>
        <v>7885552G6037LU-M</v>
      </c>
      <c r="C6352" s="27" t="s">
        <v>486</v>
      </c>
      <c r="D6352" s="27" t="s">
        <v>1280</v>
      </c>
      <c r="E6352" s="1" t="str">
        <f>+VLOOKUP($B:$B,Sheet2!$1:$1048576,6,0)</f>
        <v>NETHERLANDS</v>
      </c>
      <c r="F6352" s="1" t="str">
        <f>+VLOOKUP($B:$B,Sheet2!$1:$1048576,7,0)</f>
        <v>DSV VENLO</v>
      </c>
      <c r="G6352" s="1" t="str">
        <f>+VLOOKUP($B:$B,Sheet2!$1:$1048576,4,0)</f>
        <v>DSV Solutions Nederland (VF)</v>
      </c>
      <c r="H6352" s="1">
        <f>+VLOOKUP($B:$B,Sheet2!$1:$1048576,8,0)</f>
        <v>882</v>
      </c>
      <c r="I6352" s="3">
        <v>46289</v>
      </c>
      <c r="L6352" s="32">
        <v>46289.575460335647</v>
      </c>
      <c r="M6352" s="2">
        <v>12</v>
      </c>
      <c r="N6352" s="1">
        <v>68</v>
      </c>
    </row>
    <row r="6353" spans="1:14" x14ac:dyDescent="0.25">
      <c r="A6353" t="str">
        <f t="shared" si="203"/>
        <v>78855527885552</v>
      </c>
      <c r="B6353" t="str">
        <f t="shared" si="204"/>
        <v>7885552G6037LU-M</v>
      </c>
      <c r="C6353" s="27" t="s">
        <v>486</v>
      </c>
      <c r="D6353" s="27" t="s">
        <v>1280</v>
      </c>
      <c r="E6353" s="1" t="str">
        <f>+VLOOKUP($B:$B,Sheet2!$1:$1048576,6,0)</f>
        <v>NETHERLANDS</v>
      </c>
      <c r="F6353" s="1" t="str">
        <f>+VLOOKUP($B:$B,Sheet2!$1:$1048576,7,0)</f>
        <v>DSV VENLO</v>
      </c>
      <c r="G6353" s="1" t="str">
        <f>+VLOOKUP($B:$B,Sheet2!$1:$1048576,4,0)</f>
        <v>DSV Solutions Nederland (VF)</v>
      </c>
      <c r="H6353" s="1">
        <f>+VLOOKUP($B:$B,Sheet2!$1:$1048576,8,0)</f>
        <v>882</v>
      </c>
      <c r="I6353" s="3">
        <v>46289</v>
      </c>
      <c r="L6353" s="32">
        <v>46289.595497800925</v>
      </c>
      <c r="M6353" s="2">
        <v>12</v>
      </c>
      <c r="N6353" s="1">
        <v>6</v>
      </c>
    </row>
    <row r="6354" spans="1:14" x14ac:dyDescent="0.25">
      <c r="A6354" t="str">
        <f t="shared" si="203"/>
        <v>78855527885552</v>
      </c>
      <c r="B6354" t="str">
        <f t="shared" si="204"/>
        <v>7885552G6037LU-M</v>
      </c>
      <c r="C6354" s="27" t="s">
        <v>486</v>
      </c>
      <c r="D6354" s="27" t="s">
        <v>1280</v>
      </c>
      <c r="E6354" s="1" t="str">
        <f>+VLOOKUP($B:$B,Sheet2!$1:$1048576,6,0)</f>
        <v>NETHERLANDS</v>
      </c>
      <c r="F6354" s="1" t="str">
        <f>+VLOOKUP($B:$B,Sheet2!$1:$1048576,7,0)</f>
        <v>DSV VENLO</v>
      </c>
      <c r="G6354" s="1" t="str">
        <f>+VLOOKUP($B:$B,Sheet2!$1:$1048576,4,0)</f>
        <v>DSV Solutions Nederland (VF)</v>
      </c>
      <c r="H6354" s="1">
        <f>+VLOOKUP($B:$B,Sheet2!$1:$1048576,8,0)</f>
        <v>882</v>
      </c>
      <c r="I6354" s="3">
        <v>46289</v>
      </c>
      <c r="L6354" s="32">
        <v>46289.596887418978</v>
      </c>
      <c r="M6354" s="2">
        <v>12</v>
      </c>
      <c r="N6354" s="1">
        <v>5</v>
      </c>
    </row>
    <row r="6355" spans="1:14" x14ac:dyDescent="0.25">
      <c r="A6355" t="str">
        <f t="shared" si="203"/>
        <v>78855527885552</v>
      </c>
      <c r="B6355" t="str">
        <f t="shared" si="204"/>
        <v>7885552G6037LU-M</v>
      </c>
      <c r="C6355" s="27" t="s">
        <v>486</v>
      </c>
      <c r="D6355" s="27" t="s">
        <v>1280</v>
      </c>
      <c r="E6355" s="1" t="str">
        <f>+VLOOKUP($B:$B,Sheet2!$1:$1048576,6,0)</f>
        <v>NETHERLANDS</v>
      </c>
      <c r="F6355" s="1" t="str">
        <f>+VLOOKUP($B:$B,Sheet2!$1:$1048576,7,0)</f>
        <v>DSV VENLO</v>
      </c>
      <c r="G6355" s="1" t="str">
        <f>+VLOOKUP($B:$B,Sheet2!$1:$1048576,4,0)</f>
        <v>DSV Solutions Nederland (VF)</v>
      </c>
      <c r="H6355" s="1">
        <f>+VLOOKUP($B:$B,Sheet2!$1:$1048576,8,0)</f>
        <v>882</v>
      </c>
      <c r="I6355" s="3">
        <v>46289</v>
      </c>
      <c r="L6355" s="32">
        <v>46289.608785034718</v>
      </c>
      <c r="M6355" s="2">
        <v>12</v>
      </c>
      <c r="N6355" s="1">
        <v>31</v>
      </c>
    </row>
    <row r="6356" spans="1:14" x14ac:dyDescent="0.25">
      <c r="A6356" t="str">
        <f t="shared" si="203"/>
        <v>78855527885552</v>
      </c>
      <c r="B6356" t="str">
        <f t="shared" si="204"/>
        <v>7885552G6037LU-M</v>
      </c>
      <c r="C6356" s="27" t="s">
        <v>486</v>
      </c>
      <c r="D6356" s="27" t="s">
        <v>1280</v>
      </c>
      <c r="E6356" s="1" t="str">
        <f>+VLOOKUP($B:$B,Sheet2!$1:$1048576,6,0)</f>
        <v>NETHERLANDS</v>
      </c>
      <c r="F6356" s="1" t="str">
        <f>+VLOOKUP($B:$B,Sheet2!$1:$1048576,7,0)</f>
        <v>DSV VENLO</v>
      </c>
      <c r="G6356" s="1" t="str">
        <f>+VLOOKUP($B:$B,Sheet2!$1:$1048576,4,0)</f>
        <v>DSV Solutions Nederland (VF)</v>
      </c>
      <c r="H6356" s="1">
        <f>+VLOOKUP($B:$B,Sheet2!$1:$1048576,8,0)</f>
        <v>882</v>
      </c>
      <c r="I6356" s="3">
        <v>46289</v>
      </c>
      <c r="L6356" s="32">
        <v>46289.609400844907</v>
      </c>
      <c r="M6356" s="2">
        <v>12</v>
      </c>
      <c r="N6356" s="1">
        <v>48</v>
      </c>
    </row>
    <row r="6357" spans="1:14" x14ac:dyDescent="0.25">
      <c r="A6357" t="str">
        <f t="shared" si="203"/>
        <v>78855527885552</v>
      </c>
      <c r="B6357" t="str">
        <f t="shared" si="204"/>
        <v>7885552G6037LU-M</v>
      </c>
      <c r="C6357" s="27" t="s">
        <v>486</v>
      </c>
      <c r="D6357" s="27" t="s">
        <v>1280</v>
      </c>
      <c r="E6357" s="1" t="str">
        <f>+VLOOKUP($B:$B,Sheet2!$1:$1048576,6,0)</f>
        <v>NETHERLANDS</v>
      </c>
      <c r="F6357" s="1" t="str">
        <f>+VLOOKUP($B:$B,Sheet2!$1:$1048576,7,0)</f>
        <v>DSV VENLO</v>
      </c>
      <c r="G6357" s="1" t="str">
        <f>+VLOOKUP($B:$B,Sheet2!$1:$1048576,4,0)</f>
        <v>DSV Solutions Nederland (VF)</v>
      </c>
      <c r="H6357" s="1">
        <f>+VLOOKUP($B:$B,Sheet2!$1:$1048576,8,0)</f>
        <v>882</v>
      </c>
      <c r="I6357" s="3">
        <v>46289</v>
      </c>
      <c r="L6357" s="32">
        <v>46289.609759803236</v>
      </c>
      <c r="M6357" s="2">
        <v>12</v>
      </c>
      <c r="N6357" s="1">
        <v>7</v>
      </c>
    </row>
    <row r="6358" spans="1:14" x14ac:dyDescent="0.25">
      <c r="A6358" t="str">
        <f t="shared" si="203"/>
        <v>78855527885552</v>
      </c>
      <c r="B6358" t="str">
        <f t="shared" si="204"/>
        <v>7885552G6037LU-M</v>
      </c>
      <c r="C6358" s="27" t="s">
        <v>486</v>
      </c>
      <c r="D6358" s="27" t="s">
        <v>1280</v>
      </c>
      <c r="E6358" s="1" t="str">
        <f>+VLOOKUP($B:$B,Sheet2!$1:$1048576,6,0)</f>
        <v>NETHERLANDS</v>
      </c>
      <c r="F6358" s="1" t="str">
        <f>+VLOOKUP($B:$B,Sheet2!$1:$1048576,7,0)</f>
        <v>DSV VENLO</v>
      </c>
      <c r="G6358" s="1" t="str">
        <f>+VLOOKUP($B:$B,Sheet2!$1:$1048576,4,0)</f>
        <v>DSV Solutions Nederland (VF)</v>
      </c>
      <c r="H6358" s="1">
        <f>+VLOOKUP($B:$B,Sheet2!$1:$1048576,8,0)</f>
        <v>882</v>
      </c>
      <c r="I6358" s="3">
        <v>46289</v>
      </c>
      <c r="L6358" s="32">
        <v>46289.610102581013</v>
      </c>
      <c r="M6358" s="2">
        <v>12</v>
      </c>
      <c r="N6358" s="1">
        <v>8</v>
      </c>
    </row>
    <row r="6359" spans="1:14" x14ac:dyDescent="0.25">
      <c r="A6359" t="str">
        <f t="shared" si="203"/>
        <v>78855527885552</v>
      </c>
      <c r="B6359" t="str">
        <f t="shared" si="204"/>
        <v>7885552G6037LU-M</v>
      </c>
      <c r="C6359" s="27" t="s">
        <v>486</v>
      </c>
      <c r="D6359" s="27" t="s">
        <v>1280</v>
      </c>
      <c r="E6359" s="1" t="str">
        <f>+VLOOKUP($B:$B,Sheet2!$1:$1048576,6,0)</f>
        <v>NETHERLANDS</v>
      </c>
      <c r="F6359" s="1" t="str">
        <f>+VLOOKUP($B:$B,Sheet2!$1:$1048576,7,0)</f>
        <v>DSV VENLO</v>
      </c>
      <c r="G6359" s="1" t="str">
        <f>+VLOOKUP($B:$B,Sheet2!$1:$1048576,4,0)</f>
        <v>DSV Solutions Nederland (VF)</v>
      </c>
      <c r="H6359" s="1">
        <f>+VLOOKUP($B:$B,Sheet2!$1:$1048576,8,0)</f>
        <v>882</v>
      </c>
      <c r="I6359" s="3">
        <v>46289</v>
      </c>
      <c r="L6359" s="32">
        <v>46289.616776770832</v>
      </c>
      <c r="M6359" s="2">
        <v>12</v>
      </c>
      <c r="N6359" s="1">
        <v>37</v>
      </c>
    </row>
    <row r="6360" spans="1:14" x14ac:dyDescent="0.25">
      <c r="A6360" t="str">
        <f t="shared" si="203"/>
        <v>78855527885552</v>
      </c>
      <c r="B6360" t="str">
        <f t="shared" si="204"/>
        <v>7885552G6037LU-M</v>
      </c>
      <c r="C6360" s="27" t="s">
        <v>486</v>
      </c>
      <c r="D6360" s="27" t="s">
        <v>1280</v>
      </c>
      <c r="E6360" s="1" t="str">
        <f>+VLOOKUP($B:$B,Sheet2!$1:$1048576,6,0)</f>
        <v>NETHERLANDS</v>
      </c>
      <c r="F6360" s="1" t="str">
        <f>+VLOOKUP($B:$B,Sheet2!$1:$1048576,7,0)</f>
        <v>DSV VENLO</v>
      </c>
      <c r="G6360" s="1" t="str">
        <f>+VLOOKUP($B:$B,Sheet2!$1:$1048576,4,0)</f>
        <v>DSV Solutions Nederland (VF)</v>
      </c>
      <c r="H6360" s="1">
        <f>+VLOOKUP($B:$B,Sheet2!$1:$1048576,8,0)</f>
        <v>882</v>
      </c>
      <c r="I6360" s="3">
        <v>46289</v>
      </c>
      <c r="L6360" s="32">
        <v>46289.616971099538</v>
      </c>
      <c r="M6360" s="2">
        <v>12</v>
      </c>
      <c r="N6360" s="1">
        <v>38</v>
      </c>
    </row>
    <row r="6361" spans="1:14" x14ac:dyDescent="0.25">
      <c r="A6361" t="str">
        <f t="shared" si="203"/>
        <v>78855527885552</v>
      </c>
      <c r="B6361" t="str">
        <f t="shared" si="204"/>
        <v>7885552G6037LU-M</v>
      </c>
      <c r="C6361" s="27" t="s">
        <v>486</v>
      </c>
      <c r="D6361" s="27" t="s">
        <v>1280</v>
      </c>
      <c r="E6361" s="1" t="str">
        <f>+VLOOKUP($B:$B,Sheet2!$1:$1048576,6,0)</f>
        <v>NETHERLANDS</v>
      </c>
      <c r="F6361" s="1" t="str">
        <f>+VLOOKUP($B:$B,Sheet2!$1:$1048576,7,0)</f>
        <v>DSV VENLO</v>
      </c>
      <c r="G6361" s="1" t="str">
        <f>+VLOOKUP($B:$B,Sheet2!$1:$1048576,4,0)</f>
        <v>DSV Solutions Nederland (VF)</v>
      </c>
      <c r="H6361" s="1">
        <f>+VLOOKUP($B:$B,Sheet2!$1:$1048576,8,0)</f>
        <v>882</v>
      </c>
      <c r="I6361" s="3">
        <v>46289</v>
      </c>
      <c r="L6361" s="32">
        <v>46289.628385532407</v>
      </c>
      <c r="M6361" s="2">
        <v>12</v>
      </c>
      <c r="N6361" s="1">
        <v>10</v>
      </c>
    </row>
    <row r="6362" spans="1:14" x14ac:dyDescent="0.25">
      <c r="A6362" t="str">
        <f t="shared" si="203"/>
        <v>78855527885552</v>
      </c>
      <c r="B6362" t="str">
        <f t="shared" si="204"/>
        <v>7885552G6037LU-M</v>
      </c>
      <c r="C6362" s="27" t="s">
        <v>486</v>
      </c>
      <c r="D6362" s="27" t="s">
        <v>1280</v>
      </c>
      <c r="E6362" s="1" t="str">
        <f>+VLOOKUP($B:$B,Sheet2!$1:$1048576,6,0)</f>
        <v>NETHERLANDS</v>
      </c>
      <c r="F6362" s="1" t="str">
        <f>+VLOOKUP($B:$B,Sheet2!$1:$1048576,7,0)</f>
        <v>DSV VENLO</v>
      </c>
      <c r="G6362" s="1" t="str">
        <f>+VLOOKUP($B:$B,Sheet2!$1:$1048576,4,0)</f>
        <v>DSV Solutions Nederland (VF)</v>
      </c>
      <c r="H6362" s="1">
        <f>+VLOOKUP($B:$B,Sheet2!$1:$1048576,8,0)</f>
        <v>882</v>
      </c>
      <c r="I6362" s="3">
        <v>46289</v>
      </c>
      <c r="L6362" s="32">
        <v>46289.628611886576</v>
      </c>
      <c r="M6362" s="2">
        <v>12</v>
      </c>
      <c r="N6362" s="1">
        <v>9</v>
      </c>
    </row>
    <row r="6363" spans="1:14" x14ac:dyDescent="0.25">
      <c r="A6363" t="str">
        <f t="shared" si="203"/>
        <v>78855527885552</v>
      </c>
      <c r="B6363" t="str">
        <f t="shared" si="204"/>
        <v>7885552G6037LU-M</v>
      </c>
      <c r="C6363" s="27" t="s">
        <v>486</v>
      </c>
      <c r="D6363" s="27" t="s">
        <v>1280</v>
      </c>
      <c r="E6363" s="1" t="str">
        <f>+VLOOKUP($B:$B,Sheet2!$1:$1048576,6,0)</f>
        <v>NETHERLANDS</v>
      </c>
      <c r="F6363" s="1" t="str">
        <f>+VLOOKUP($B:$B,Sheet2!$1:$1048576,7,0)</f>
        <v>DSV VENLO</v>
      </c>
      <c r="G6363" s="1" t="str">
        <f>+VLOOKUP($B:$B,Sheet2!$1:$1048576,4,0)</f>
        <v>DSV Solutions Nederland (VF)</v>
      </c>
      <c r="H6363" s="1">
        <f>+VLOOKUP($B:$B,Sheet2!$1:$1048576,8,0)</f>
        <v>882</v>
      </c>
      <c r="I6363" s="3">
        <v>46289</v>
      </c>
      <c r="L6363" s="32">
        <v>46289.629850347221</v>
      </c>
      <c r="M6363" s="2">
        <v>12</v>
      </c>
      <c r="N6363" s="1">
        <v>32</v>
      </c>
    </row>
    <row r="6364" spans="1:14" x14ac:dyDescent="0.25">
      <c r="A6364" t="str">
        <f t="shared" si="203"/>
        <v>78855527885552</v>
      </c>
      <c r="B6364" t="str">
        <f t="shared" si="204"/>
        <v>7885552G6037LU-M</v>
      </c>
      <c r="C6364" s="27" t="s">
        <v>486</v>
      </c>
      <c r="D6364" s="27" t="s">
        <v>1280</v>
      </c>
      <c r="E6364" s="1" t="str">
        <f>+VLOOKUP($B:$B,Sheet2!$1:$1048576,6,0)</f>
        <v>NETHERLANDS</v>
      </c>
      <c r="F6364" s="1" t="str">
        <f>+VLOOKUP($B:$B,Sheet2!$1:$1048576,7,0)</f>
        <v>DSV VENLO</v>
      </c>
      <c r="G6364" s="1" t="str">
        <f>+VLOOKUP($B:$B,Sheet2!$1:$1048576,4,0)</f>
        <v>DSV Solutions Nederland (VF)</v>
      </c>
      <c r="H6364" s="1">
        <f>+VLOOKUP($B:$B,Sheet2!$1:$1048576,8,0)</f>
        <v>882</v>
      </c>
      <c r="I6364" s="3">
        <v>46289</v>
      </c>
      <c r="L6364" s="32">
        <v>46289.636676736111</v>
      </c>
      <c r="M6364" s="2">
        <v>12</v>
      </c>
      <c r="N6364" s="1">
        <v>49</v>
      </c>
    </row>
    <row r="6365" spans="1:14" x14ac:dyDescent="0.25">
      <c r="A6365" t="str">
        <f t="shared" si="203"/>
        <v>78855527885552</v>
      </c>
      <c r="B6365" t="str">
        <f t="shared" si="204"/>
        <v>7885552G6037LU-M</v>
      </c>
      <c r="C6365" s="27" t="s">
        <v>486</v>
      </c>
      <c r="D6365" s="27" t="s">
        <v>1280</v>
      </c>
      <c r="E6365" s="1" t="str">
        <f>+VLOOKUP($B:$B,Sheet2!$1:$1048576,6,0)</f>
        <v>NETHERLANDS</v>
      </c>
      <c r="F6365" s="1" t="str">
        <f>+VLOOKUP($B:$B,Sheet2!$1:$1048576,7,0)</f>
        <v>DSV VENLO</v>
      </c>
      <c r="G6365" s="1" t="str">
        <f>+VLOOKUP($B:$B,Sheet2!$1:$1048576,4,0)</f>
        <v>DSV Solutions Nederland (VF)</v>
      </c>
      <c r="H6365" s="1">
        <f>+VLOOKUP($B:$B,Sheet2!$1:$1048576,8,0)</f>
        <v>882</v>
      </c>
      <c r="I6365" s="3">
        <v>46289</v>
      </c>
      <c r="L6365" s="32">
        <v>46289.644548692129</v>
      </c>
      <c r="M6365" s="2">
        <v>12</v>
      </c>
      <c r="N6365" s="1">
        <v>11</v>
      </c>
    </row>
    <row r="6366" spans="1:14" x14ac:dyDescent="0.25">
      <c r="A6366" t="str">
        <f t="shared" si="203"/>
        <v>78855527885552</v>
      </c>
      <c r="B6366" t="str">
        <f t="shared" si="204"/>
        <v>7885552G6037LU-M</v>
      </c>
      <c r="C6366" s="27" t="s">
        <v>486</v>
      </c>
      <c r="D6366" s="27" t="s">
        <v>1280</v>
      </c>
      <c r="E6366" s="1" t="str">
        <f>+VLOOKUP($B:$B,Sheet2!$1:$1048576,6,0)</f>
        <v>NETHERLANDS</v>
      </c>
      <c r="F6366" s="1" t="str">
        <f>+VLOOKUP($B:$B,Sheet2!$1:$1048576,7,0)</f>
        <v>DSV VENLO</v>
      </c>
      <c r="G6366" s="1" t="str">
        <f>+VLOOKUP($B:$B,Sheet2!$1:$1048576,4,0)</f>
        <v>DSV Solutions Nederland (VF)</v>
      </c>
      <c r="H6366" s="1">
        <f>+VLOOKUP($B:$B,Sheet2!$1:$1048576,8,0)</f>
        <v>882</v>
      </c>
      <c r="I6366" s="3">
        <v>46289</v>
      </c>
      <c r="L6366" s="32">
        <v>46289.644737268514</v>
      </c>
      <c r="M6366" s="2">
        <v>12</v>
      </c>
      <c r="N6366" s="1">
        <v>34</v>
      </c>
    </row>
    <row r="6367" spans="1:14" x14ac:dyDescent="0.25">
      <c r="A6367" t="str">
        <f t="shared" si="203"/>
        <v>78855527885552</v>
      </c>
      <c r="B6367" t="str">
        <f t="shared" si="204"/>
        <v>7885552G6037LU-M</v>
      </c>
      <c r="C6367" s="27" t="s">
        <v>486</v>
      </c>
      <c r="D6367" s="27" t="s">
        <v>1280</v>
      </c>
      <c r="E6367" s="1" t="str">
        <f>+VLOOKUP($B:$B,Sheet2!$1:$1048576,6,0)</f>
        <v>NETHERLANDS</v>
      </c>
      <c r="F6367" s="1" t="str">
        <f>+VLOOKUP($B:$B,Sheet2!$1:$1048576,7,0)</f>
        <v>DSV VENLO</v>
      </c>
      <c r="G6367" s="1" t="str">
        <f>+VLOOKUP($B:$B,Sheet2!$1:$1048576,4,0)</f>
        <v>DSV Solutions Nederland (VF)</v>
      </c>
      <c r="H6367" s="1">
        <f>+VLOOKUP($B:$B,Sheet2!$1:$1048576,8,0)</f>
        <v>882</v>
      </c>
      <c r="I6367" s="3">
        <v>46289</v>
      </c>
      <c r="L6367" s="32">
        <v>46289.645511805553</v>
      </c>
      <c r="M6367" s="2">
        <v>12</v>
      </c>
      <c r="N6367" s="1">
        <v>33</v>
      </c>
    </row>
    <row r="6368" spans="1:14" x14ac:dyDescent="0.25">
      <c r="A6368" t="str">
        <f t="shared" si="203"/>
        <v>78855527885552</v>
      </c>
      <c r="B6368" t="str">
        <f t="shared" si="204"/>
        <v>7885552G6037LU-M</v>
      </c>
      <c r="C6368" s="27" t="s">
        <v>486</v>
      </c>
      <c r="D6368" s="27" t="s">
        <v>1280</v>
      </c>
      <c r="E6368" s="1" t="str">
        <f>+VLOOKUP($B:$B,Sheet2!$1:$1048576,6,0)</f>
        <v>NETHERLANDS</v>
      </c>
      <c r="F6368" s="1" t="str">
        <f>+VLOOKUP($B:$B,Sheet2!$1:$1048576,7,0)</f>
        <v>DSV VENLO</v>
      </c>
      <c r="G6368" s="1" t="str">
        <f>+VLOOKUP($B:$B,Sheet2!$1:$1048576,4,0)</f>
        <v>DSV Solutions Nederland (VF)</v>
      </c>
      <c r="H6368" s="1">
        <f>+VLOOKUP($B:$B,Sheet2!$1:$1048576,8,0)</f>
        <v>882</v>
      </c>
      <c r="I6368" s="3">
        <v>46289</v>
      </c>
      <c r="L6368" s="32">
        <v>46289.660361689814</v>
      </c>
      <c r="M6368" s="2">
        <v>12</v>
      </c>
      <c r="N6368" s="1">
        <v>39</v>
      </c>
    </row>
    <row r="6369" spans="1:14" x14ac:dyDescent="0.25">
      <c r="A6369" t="str">
        <f t="shared" si="203"/>
        <v>78855527885552</v>
      </c>
      <c r="B6369" t="str">
        <f t="shared" si="204"/>
        <v>7885552G6037LU-M</v>
      </c>
      <c r="C6369" s="27" t="s">
        <v>486</v>
      </c>
      <c r="D6369" s="27" t="s">
        <v>1280</v>
      </c>
      <c r="E6369" s="1" t="str">
        <f>+VLOOKUP($B:$B,Sheet2!$1:$1048576,6,0)</f>
        <v>NETHERLANDS</v>
      </c>
      <c r="F6369" s="1" t="str">
        <f>+VLOOKUP($B:$B,Sheet2!$1:$1048576,7,0)</f>
        <v>DSV VENLO</v>
      </c>
      <c r="G6369" s="1" t="str">
        <f>+VLOOKUP($B:$B,Sheet2!$1:$1048576,4,0)</f>
        <v>DSV Solutions Nederland (VF)</v>
      </c>
      <c r="H6369" s="1">
        <f>+VLOOKUP($B:$B,Sheet2!$1:$1048576,8,0)</f>
        <v>882</v>
      </c>
      <c r="I6369" s="3">
        <v>46289</v>
      </c>
      <c r="L6369" s="32">
        <v>46289.662958831017</v>
      </c>
      <c r="M6369" s="2">
        <v>12</v>
      </c>
      <c r="N6369" s="1">
        <v>36</v>
      </c>
    </row>
    <row r="6370" spans="1:14" x14ac:dyDescent="0.25">
      <c r="A6370" t="str">
        <f t="shared" si="203"/>
        <v>78855527885552</v>
      </c>
      <c r="B6370" t="str">
        <f t="shared" si="204"/>
        <v>7885552G6037LU-M</v>
      </c>
      <c r="C6370" s="27" t="s">
        <v>486</v>
      </c>
      <c r="D6370" s="27" t="s">
        <v>1280</v>
      </c>
      <c r="E6370" s="1" t="str">
        <f>+VLOOKUP($B:$B,Sheet2!$1:$1048576,6,0)</f>
        <v>NETHERLANDS</v>
      </c>
      <c r="F6370" s="1" t="str">
        <f>+VLOOKUP($B:$B,Sheet2!$1:$1048576,7,0)</f>
        <v>DSV VENLO</v>
      </c>
      <c r="G6370" s="1" t="str">
        <f>+VLOOKUP($B:$B,Sheet2!$1:$1048576,4,0)</f>
        <v>DSV Solutions Nederland (VF)</v>
      </c>
      <c r="H6370" s="1">
        <f>+VLOOKUP($B:$B,Sheet2!$1:$1048576,8,0)</f>
        <v>882</v>
      </c>
      <c r="I6370" s="3">
        <v>46289</v>
      </c>
      <c r="L6370" s="32">
        <v>46289.663414351853</v>
      </c>
      <c r="M6370" s="2">
        <v>12</v>
      </c>
      <c r="N6370" s="1">
        <v>41</v>
      </c>
    </row>
    <row r="6371" spans="1:14" x14ac:dyDescent="0.25">
      <c r="A6371" t="str">
        <f t="shared" si="203"/>
        <v>78855527885552</v>
      </c>
      <c r="B6371" t="str">
        <f t="shared" si="204"/>
        <v>7885552G6037LU-M</v>
      </c>
      <c r="C6371" s="27" t="s">
        <v>486</v>
      </c>
      <c r="D6371" s="27" t="s">
        <v>1280</v>
      </c>
      <c r="E6371" s="1" t="str">
        <f>+VLOOKUP($B:$B,Sheet2!$1:$1048576,6,0)</f>
        <v>NETHERLANDS</v>
      </c>
      <c r="F6371" s="1" t="str">
        <f>+VLOOKUP($B:$B,Sheet2!$1:$1048576,7,0)</f>
        <v>DSV VENLO</v>
      </c>
      <c r="G6371" s="1" t="str">
        <f>+VLOOKUP($B:$B,Sheet2!$1:$1048576,4,0)</f>
        <v>DSV Solutions Nederland (VF)</v>
      </c>
      <c r="H6371" s="1">
        <f>+VLOOKUP($B:$B,Sheet2!$1:$1048576,8,0)</f>
        <v>882</v>
      </c>
      <c r="I6371" s="3">
        <v>46289</v>
      </c>
      <c r="L6371" s="32">
        <v>46289.686732905087</v>
      </c>
      <c r="M6371" s="2">
        <v>12</v>
      </c>
      <c r="N6371" s="1">
        <v>13</v>
      </c>
    </row>
    <row r="6372" spans="1:14" x14ac:dyDescent="0.25">
      <c r="A6372" t="str">
        <f t="shared" si="203"/>
        <v>78855527885552</v>
      </c>
      <c r="B6372" t="str">
        <f t="shared" si="204"/>
        <v>7885552G6037LU-M</v>
      </c>
      <c r="C6372" s="27" t="s">
        <v>486</v>
      </c>
      <c r="D6372" s="27" t="s">
        <v>1280</v>
      </c>
      <c r="E6372" s="1" t="str">
        <f>+VLOOKUP($B:$B,Sheet2!$1:$1048576,6,0)</f>
        <v>NETHERLANDS</v>
      </c>
      <c r="F6372" s="1" t="str">
        <f>+VLOOKUP($B:$B,Sheet2!$1:$1048576,7,0)</f>
        <v>DSV VENLO</v>
      </c>
      <c r="G6372" s="1" t="str">
        <f>+VLOOKUP($B:$B,Sheet2!$1:$1048576,4,0)</f>
        <v>DSV Solutions Nederland (VF)</v>
      </c>
      <c r="H6372" s="1">
        <f>+VLOOKUP($B:$B,Sheet2!$1:$1048576,8,0)</f>
        <v>882</v>
      </c>
      <c r="I6372" s="3">
        <v>46289</v>
      </c>
      <c r="L6372" s="32">
        <v>46289.687119363422</v>
      </c>
      <c r="M6372" s="2">
        <v>12</v>
      </c>
      <c r="N6372" s="1">
        <v>50</v>
      </c>
    </row>
    <row r="6373" spans="1:14" x14ac:dyDescent="0.25">
      <c r="A6373" t="str">
        <f t="shared" ref="A6373:A6400" si="205">+D6373&amp;D6373</f>
        <v>78855527885552</v>
      </c>
      <c r="B6373" t="str">
        <f t="shared" ref="B6373:B6404" si="206">+D6373&amp;C6373</f>
        <v>7885552G6037LU-M</v>
      </c>
      <c r="C6373" s="27" t="s">
        <v>486</v>
      </c>
      <c r="D6373" s="27" t="s">
        <v>1280</v>
      </c>
      <c r="E6373" s="1" t="str">
        <f>+VLOOKUP($B:$B,Sheet2!$1:$1048576,6,0)</f>
        <v>NETHERLANDS</v>
      </c>
      <c r="F6373" s="1" t="str">
        <f>+VLOOKUP($B:$B,Sheet2!$1:$1048576,7,0)</f>
        <v>DSV VENLO</v>
      </c>
      <c r="G6373" s="1" t="str">
        <f>+VLOOKUP($B:$B,Sheet2!$1:$1048576,4,0)</f>
        <v>DSV Solutions Nederland (VF)</v>
      </c>
      <c r="H6373" s="1">
        <f>+VLOOKUP($B:$B,Sheet2!$1:$1048576,8,0)</f>
        <v>882</v>
      </c>
      <c r="I6373" s="3">
        <v>46289</v>
      </c>
      <c r="L6373" s="32">
        <v>46289.695636539349</v>
      </c>
      <c r="M6373" s="2">
        <v>12</v>
      </c>
      <c r="N6373" s="1">
        <v>18</v>
      </c>
    </row>
    <row r="6374" spans="1:14" x14ac:dyDescent="0.25">
      <c r="A6374" t="str">
        <f t="shared" si="205"/>
        <v>78855527885552</v>
      </c>
      <c r="B6374" t="str">
        <f t="shared" si="206"/>
        <v>7885552G6037LU-M</v>
      </c>
      <c r="C6374" s="27" t="s">
        <v>486</v>
      </c>
      <c r="D6374" s="27" t="s">
        <v>1280</v>
      </c>
      <c r="E6374" s="1" t="str">
        <f>+VLOOKUP($B:$B,Sheet2!$1:$1048576,6,0)</f>
        <v>NETHERLANDS</v>
      </c>
      <c r="F6374" s="1" t="str">
        <f>+VLOOKUP($B:$B,Sheet2!$1:$1048576,7,0)</f>
        <v>DSV VENLO</v>
      </c>
      <c r="G6374" s="1" t="str">
        <f>+VLOOKUP($B:$B,Sheet2!$1:$1048576,4,0)</f>
        <v>DSV Solutions Nederland (VF)</v>
      </c>
      <c r="H6374" s="1">
        <f>+VLOOKUP($B:$B,Sheet2!$1:$1048576,8,0)</f>
        <v>882</v>
      </c>
      <c r="I6374" s="3">
        <v>46289</v>
      </c>
      <c r="L6374" s="32">
        <v>46289.701382604166</v>
      </c>
      <c r="M6374" s="2">
        <v>6</v>
      </c>
      <c r="N6374" s="1">
        <v>73</v>
      </c>
    </row>
    <row r="6375" spans="1:14" x14ac:dyDescent="0.25">
      <c r="A6375" t="str">
        <f t="shared" si="205"/>
        <v>78855527885552</v>
      </c>
      <c r="B6375" t="str">
        <f t="shared" si="206"/>
        <v>7885552G6037LU-M</v>
      </c>
      <c r="C6375" s="27" t="s">
        <v>486</v>
      </c>
      <c r="D6375" s="27" t="s">
        <v>1280</v>
      </c>
      <c r="E6375" s="1" t="str">
        <f>+VLOOKUP($B:$B,Sheet2!$1:$1048576,6,0)</f>
        <v>NETHERLANDS</v>
      </c>
      <c r="F6375" s="1" t="str">
        <f>+VLOOKUP($B:$B,Sheet2!$1:$1048576,7,0)</f>
        <v>DSV VENLO</v>
      </c>
      <c r="G6375" s="1" t="str">
        <f>+VLOOKUP($B:$B,Sheet2!$1:$1048576,4,0)</f>
        <v>DSV Solutions Nederland (VF)</v>
      </c>
      <c r="H6375" s="1">
        <f>+VLOOKUP($B:$B,Sheet2!$1:$1048576,8,0)</f>
        <v>882</v>
      </c>
      <c r="I6375" s="3">
        <v>46289</v>
      </c>
      <c r="L6375" s="32">
        <v>46289.701884918977</v>
      </c>
      <c r="M6375" s="2">
        <v>6</v>
      </c>
      <c r="N6375" s="1">
        <v>75</v>
      </c>
    </row>
    <row r="6376" spans="1:14" x14ac:dyDescent="0.25">
      <c r="A6376" t="str">
        <f t="shared" si="205"/>
        <v>H176278H176278</v>
      </c>
      <c r="B6376" t="str">
        <f t="shared" si="206"/>
        <v>H176278U57432M-D</v>
      </c>
      <c r="C6376" s="27" t="s">
        <v>2373</v>
      </c>
      <c r="D6376" s="27" t="s">
        <v>1715</v>
      </c>
      <c r="E6376" s="1" t="str">
        <f>+VLOOKUP($B:$B,Sheet2!$1:$1048576,6,0)</f>
        <v>Switzerland</v>
      </c>
      <c r="F6376" s="1" t="str">
        <f>+VLOOKUP($B:$B,Sheet2!$1:$1048576,7,0)</f>
        <v>CHRIS SPORTS AG</v>
      </c>
      <c r="G6376" s="1">
        <f>+VLOOKUP($B:$B,Sheet2!$1:$1048576,4,0)</f>
        <v>0</v>
      </c>
      <c r="H6376" s="1">
        <f>+VLOOKUP($B:$B,Sheet2!$1:$1048576,8,0)</f>
        <v>306</v>
      </c>
      <c r="I6376" s="3">
        <v>46289</v>
      </c>
      <c r="L6376" s="32">
        <v>46289.711641817128</v>
      </c>
      <c r="M6376" s="2">
        <v>12</v>
      </c>
      <c r="N6376" s="1">
        <v>5</v>
      </c>
    </row>
    <row r="6377" spans="1:14" x14ac:dyDescent="0.25">
      <c r="A6377" t="str">
        <f t="shared" si="205"/>
        <v>H176278H176278</v>
      </c>
      <c r="B6377" t="str">
        <f t="shared" si="206"/>
        <v>H176278U57432M-D</v>
      </c>
      <c r="C6377" s="27" t="s">
        <v>2373</v>
      </c>
      <c r="D6377" s="27" t="s">
        <v>1715</v>
      </c>
      <c r="E6377" s="1" t="str">
        <f>+VLOOKUP($B:$B,Sheet2!$1:$1048576,6,0)</f>
        <v>Switzerland</v>
      </c>
      <c r="F6377" s="1" t="str">
        <f>+VLOOKUP($B:$B,Sheet2!$1:$1048576,7,0)</f>
        <v>CHRIS SPORTS AG</v>
      </c>
      <c r="G6377" s="1">
        <f>+VLOOKUP($B:$B,Sheet2!$1:$1048576,4,0)</f>
        <v>0</v>
      </c>
      <c r="H6377" s="1">
        <f>+VLOOKUP($B:$B,Sheet2!$1:$1048576,8,0)</f>
        <v>306</v>
      </c>
      <c r="I6377" s="3">
        <v>46289</v>
      </c>
      <c r="L6377" s="32">
        <v>46289.712025462963</v>
      </c>
      <c r="M6377" s="2">
        <v>12</v>
      </c>
      <c r="N6377" s="1">
        <v>15</v>
      </c>
    </row>
    <row r="6378" spans="1:14" x14ac:dyDescent="0.25">
      <c r="A6378" t="str">
        <f t="shared" si="205"/>
        <v>H176278H176278</v>
      </c>
      <c r="B6378" t="str">
        <f t="shared" si="206"/>
        <v>H176278U57432M-D</v>
      </c>
      <c r="C6378" s="27" t="s">
        <v>2373</v>
      </c>
      <c r="D6378" s="27" t="s">
        <v>1715</v>
      </c>
      <c r="E6378" s="1" t="str">
        <f>+VLOOKUP($B:$B,Sheet2!$1:$1048576,6,0)</f>
        <v>Switzerland</v>
      </c>
      <c r="F6378" s="1" t="str">
        <f>+VLOOKUP($B:$B,Sheet2!$1:$1048576,7,0)</f>
        <v>CHRIS SPORTS AG</v>
      </c>
      <c r="G6378" s="1">
        <f>+VLOOKUP($B:$B,Sheet2!$1:$1048576,4,0)</f>
        <v>0</v>
      </c>
      <c r="H6378" s="1">
        <f>+VLOOKUP($B:$B,Sheet2!$1:$1048576,8,0)</f>
        <v>306</v>
      </c>
      <c r="I6378" s="3">
        <v>46289</v>
      </c>
      <c r="L6378" s="32">
        <v>46289.712547025461</v>
      </c>
      <c r="M6378" s="2">
        <v>12</v>
      </c>
      <c r="N6378" s="1">
        <v>7</v>
      </c>
    </row>
    <row r="6379" spans="1:14" x14ac:dyDescent="0.25">
      <c r="A6379" t="str">
        <f t="shared" si="205"/>
        <v>H176278H176278</v>
      </c>
      <c r="B6379" t="str">
        <f t="shared" si="206"/>
        <v>H176278U57432M-D</v>
      </c>
      <c r="C6379" s="27" t="s">
        <v>2373</v>
      </c>
      <c r="D6379" s="27" t="s">
        <v>1715</v>
      </c>
      <c r="E6379" s="1" t="str">
        <f>+VLOOKUP($B:$B,Sheet2!$1:$1048576,6,0)</f>
        <v>Switzerland</v>
      </c>
      <c r="F6379" s="1" t="str">
        <f>+VLOOKUP($B:$B,Sheet2!$1:$1048576,7,0)</f>
        <v>CHRIS SPORTS AG</v>
      </c>
      <c r="G6379" s="1">
        <f>+VLOOKUP($B:$B,Sheet2!$1:$1048576,4,0)</f>
        <v>0</v>
      </c>
      <c r="H6379" s="1">
        <f>+VLOOKUP($B:$B,Sheet2!$1:$1048576,8,0)</f>
        <v>306</v>
      </c>
      <c r="I6379" s="3">
        <v>46289</v>
      </c>
      <c r="L6379" s="32">
        <v>46289.734150694443</v>
      </c>
      <c r="M6379" s="2">
        <v>12</v>
      </c>
      <c r="N6379" s="1">
        <v>12</v>
      </c>
    </row>
    <row r="6380" spans="1:14" x14ac:dyDescent="0.25">
      <c r="A6380" t="str">
        <f t="shared" si="205"/>
        <v>H189105H189105</v>
      </c>
      <c r="B6380" t="str">
        <f t="shared" si="206"/>
        <v>H189105P204L8K2-M</v>
      </c>
      <c r="C6380" s="27" t="s">
        <v>14</v>
      </c>
      <c r="D6380" s="27" t="s">
        <v>1367</v>
      </c>
      <c r="E6380" s="1" t="str">
        <f>+VLOOKUP($B:$B,Sheet2!$1:$1048576,6,0)</f>
        <v>Australia</v>
      </c>
      <c r="F6380" s="1" t="str">
        <f>+VLOOKUP($B:$B,Sheet2!$1:$1048576,7,0)</f>
        <v>NEW BALANCE C/O</v>
      </c>
      <c r="G6380" s="1" t="str">
        <f>+VLOOKUP($B:$B,Sheet2!$1:$1048576,4,0)</f>
        <v>DIRECT (1)</v>
      </c>
      <c r="H6380" s="1">
        <f>+VLOOKUP($B:$B,Sheet2!$1:$1048576,8,0)</f>
        <v>144</v>
      </c>
      <c r="I6380" s="3">
        <v>46289</v>
      </c>
      <c r="L6380" s="32">
        <v>46289.707345868053</v>
      </c>
      <c r="M6380" s="2">
        <v>12</v>
      </c>
      <c r="N6380" s="1">
        <v>3</v>
      </c>
    </row>
    <row r="6381" spans="1:14" x14ac:dyDescent="0.25">
      <c r="A6381" t="str">
        <f t="shared" si="205"/>
        <v>H189105H189105</v>
      </c>
      <c r="B6381" t="str">
        <f t="shared" si="206"/>
        <v>H189105P204L8K2-M</v>
      </c>
      <c r="C6381" s="27" t="s">
        <v>14</v>
      </c>
      <c r="D6381" s="27" t="s">
        <v>1367</v>
      </c>
      <c r="E6381" s="1" t="str">
        <f>+VLOOKUP($B:$B,Sheet2!$1:$1048576,6,0)</f>
        <v>Australia</v>
      </c>
      <c r="F6381" s="1" t="str">
        <f>+VLOOKUP($B:$B,Sheet2!$1:$1048576,7,0)</f>
        <v>NEW BALANCE C/O</v>
      </c>
      <c r="G6381" s="1" t="str">
        <f>+VLOOKUP($B:$B,Sheet2!$1:$1048576,4,0)</f>
        <v>DIRECT (1)</v>
      </c>
      <c r="H6381" s="1">
        <f>+VLOOKUP($B:$B,Sheet2!$1:$1048576,8,0)</f>
        <v>144</v>
      </c>
      <c r="I6381" s="3">
        <v>46289</v>
      </c>
      <c r="L6381" s="32">
        <v>46289.712077511569</v>
      </c>
      <c r="M6381" s="2">
        <v>12</v>
      </c>
      <c r="N6381" s="1">
        <v>5</v>
      </c>
    </row>
    <row r="6382" spans="1:14" x14ac:dyDescent="0.25">
      <c r="A6382" t="str">
        <f t="shared" si="205"/>
        <v>H189105H189105</v>
      </c>
      <c r="B6382" t="str">
        <f t="shared" si="206"/>
        <v>H189105P204L8K2-M</v>
      </c>
      <c r="C6382" s="27" t="s">
        <v>14</v>
      </c>
      <c r="D6382" s="27" t="s">
        <v>1367</v>
      </c>
      <c r="E6382" s="1" t="str">
        <f>+VLOOKUP($B:$B,Sheet2!$1:$1048576,6,0)</f>
        <v>Australia</v>
      </c>
      <c r="F6382" s="1" t="str">
        <f>+VLOOKUP($B:$B,Sheet2!$1:$1048576,7,0)</f>
        <v>NEW BALANCE C/O</v>
      </c>
      <c r="G6382" s="1" t="str">
        <f>+VLOOKUP($B:$B,Sheet2!$1:$1048576,4,0)</f>
        <v>DIRECT (1)</v>
      </c>
      <c r="H6382" s="1">
        <f>+VLOOKUP($B:$B,Sheet2!$1:$1048576,8,0)</f>
        <v>144</v>
      </c>
      <c r="I6382" s="3">
        <v>46289</v>
      </c>
      <c r="L6382" s="32">
        <v>46289.712233182865</v>
      </c>
      <c r="M6382" s="2">
        <v>12</v>
      </c>
      <c r="N6382" s="1">
        <v>1</v>
      </c>
    </row>
    <row r="6383" spans="1:14" x14ac:dyDescent="0.25">
      <c r="A6383" t="str">
        <f t="shared" si="205"/>
        <v>H189105H189105</v>
      </c>
      <c r="B6383" t="str">
        <f t="shared" si="206"/>
        <v>H189105P204L8K2-M</v>
      </c>
      <c r="C6383" s="27" t="s">
        <v>14</v>
      </c>
      <c r="D6383" s="27" t="s">
        <v>1367</v>
      </c>
      <c r="E6383" s="1" t="str">
        <f>+VLOOKUP($B:$B,Sheet2!$1:$1048576,6,0)</f>
        <v>Australia</v>
      </c>
      <c r="F6383" s="1" t="str">
        <f>+VLOOKUP($B:$B,Sheet2!$1:$1048576,7,0)</f>
        <v>NEW BALANCE C/O</v>
      </c>
      <c r="G6383" s="1" t="str">
        <f>+VLOOKUP($B:$B,Sheet2!$1:$1048576,4,0)</f>
        <v>DIRECT (1)</v>
      </c>
      <c r="H6383" s="1">
        <f>+VLOOKUP($B:$B,Sheet2!$1:$1048576,8,0)</f>
        <v>144</v>
      </c>
      <c r="I6383" s="3">
        <v>46289</v>
      </c>
      <c r="L6383" s="32">
        <v>46289.712668900458</v>
      </c>
      <c r="M6383" s="2">
        <v>12</v>
      </c>
      <c r="N6383" s="1">
        <v>7</v>
      </c>
    </row>
    <row r="6384" spans="1:14" x14ac:dyDescent="0.25">
      <c r="A6384" t="str">
        <f t="shared" si="205"/>
        <v>H189105H189105</v>
      </c>
      <c r="B6384" t="str">
        <f t="shared" si="206"/>
        <v>H189105P204L8K2-M</v>
      </c>
      <c r="C6384" s="27" t="s">
        <v>14</v>
      </c>
      <c r="D6384" s="27" t="s">
        <v>1367</v>
      </c>
      <c r="E6384" s="1" t="str">
        <f>+VLOOKUP($B:$B,Sheet2!$1:$1048576,6,0)</f>
        <v>Australia</v>
      </c>
      <c r="F6384" s="1" t="str">
        <f>+VLOOKUP($B:$B,Sheet2!$1:$1048576,7,0)</f>
        <v>NEW BALANCE C/O</v>
      </c>
      <c r="G6384" s="1" t="str">
        <f>+VLOOKUP($B:$B,Sheet2!$1:$1048576,4,0)</f>
        <v>DIRECT (1)</v>
      </c>
      <c r="H6384" s="1">
        <f>+VLOOKUP($B:$B,Sheet2!$1:$1048576,8,0)</f>
        <v>144</v>
      </c>
      <c r="I6384" s="3">
        <v>46289</v>
      </c>
      <c r="L6384" s="32">
        <v>46289.717802743056</v>
      </c>
      <c r="M6384" s="2">
        <v>12</v>
      </c>
      <c r="N6384" s="1">
        <v>2</v>
      </c>
    </row>
    <row r="6385" spans="1:14" x14ac:dyDescent="0.25">
      <c r="A6385" t="str">
        <f t="shared" si="205"/>
        <v>U152762U152762</v>
      </c>
      <c r="B6385" t="str">
        <f t="shared" si="206"/>
        <v>U152762PC574EVW-M</v>
      </c>
      <c r="C6385" s="27" t="s">
        <v>34</v>
      </c>
      <c r="D6385" s="27" t="s">
        <v>1142</v>
      </c>
      <c r="E6385" s="1" t="str">
        <f>+VLOOKUP($B:$B,Sheet2!$1:$1048576,6,0)</f>
        <v>United States</v>
      </c>
      <c r="F6385" s="1" t="str">
        <f>+VLOOKUP($B:$B,Sheet2!$1:$1048576,7,0)</f>
        <v>NEW BALANCE ATHLETICS, INC.</v>
      </c>
      <c r="G6385" s="1" t="str">
        <f>+VLOOKUP($B:$B,Sheet2!$1:$1048576,4,0)</f>
        <v>Lawrence, Massachusetts - USA (22)</v>
      </c>
      <c r="H6385" s="1">
        <f>+VLOOKUP($B:$B,Sheet2!$1:$1048576,8,0)</f>
        <v>618</v>
      </c>
      <c r="I6385" s="3">
        <v>46289</v>
      </c>
      <c r="L6385" s="32">
        <v>46289.70821744213</v>
      </c>
      <c r="M6385" s="2">
        <v>12</v>
      </c>
      <c r="N6385" s="1">
        <v>36</v>
      </c>
    </row>
    <row r="6386" spans="1:14" x14ac:dyDescent="0.25">
      <c r="A6386" t="str">
        <f t="shared" si="205"/>
        <v>U152762U152762</v>
      </c>
      <c r="B6386" t="str">
        <f t="shared" si="206"/>
        <v>U152762PC574EVW-M</v>
      </c>
      <c r="C6386" s="27" t="s">
        <v>34</v>
      </c>
      <c r="D6386" s="27" t="s">
        <v>1142</v>
      </c>
      <c r="E6386" s="1" t="str">
        <f>+VLOOKUP($B:$B,Sheet2!$1:$1048576,6,0)</f>
        <v>United States</v>
      </c>
      <c r="F6386" s="1" t="str">
        <f>+VLOOKUP($B:$B,Sheet2!$1:$1048576,7,0)</f>
        <v>NEW BALANCE ATHLETICS, INC.</v>
      </c>
      <c r="G6386" s="1" t="str">
        <f>+VLOOKUP($B:$B,Sheet2!$1:$1048576,4,0)</f>
        <v>Lawrence, Massachusetts - USA (22)</v>
      </c>
      <c r="H6386" s="1">
        <f>+VLOOKUP($B:$B,Sheet2!$1:$1048576,8,0)</f>
        <v>618</v>
      </c>
      <c r="I6386" s="3">
        <v>46289</v>
      </c>
      <c r="L6386" s="32">
        <v>46289.709539386575</v>
      </c>
      <c r="M6386" s="2">
        <v>12</v>
      </c>
      <c r="N6386" s="1">
        <v>25</v>
      </c>
    </row>
    <row r="6387" spans="1:14" x14ac:dyDescent="0.25">
      <c r="A6387" t="str">
        <f t="shared" si="205"/>
        <v>U152762U152762</v>
      </c>
      <c r="B6387" t="str">
        <f t="shared" si="206"/>
        <v>U152762PC574EVW-M</v>
      </c>
      <c r="C6387" s="27" t="s">
        <v>34</v>
      </c>
      <c r="D6387" s="27" t="s">
        <v>1142</v>
      </c>
      <c r="E6387" s="1" t="str">
        <f>+VLOOKUP($B:$B,Sheet2!$1:$1048576,6,0)</f>
        <v>United States</v>
      </c>
      <c r="F6387" s="1" t="str">
        <f>+VLOOKUP($B:$B,Sheet2!$1:$1048576,7,0)</f>
        <v>NEW BALANCE ATHLETICS, INC.</v>
      </c>
      <c r="G6387" s="1" t="str">
        <f>+VLOOKUP($B:$B,Sheet2!$1:$1048576,4,0)</f>
        <v>Lawrence, Massachusetts - USA (22)</v>
      </c>
      <c r="H6387" s="1">
        <f>+VLOOKUP($B:$B,Sheet2!$1:$1048576,8,0)</f>
        <v>618</v>
      </c>
      <c r="I6387" s="3">
        <v>46289</v>
      </c>
      <c r="L6387" s="32">
        <v>46289.709731516203</v>
      </c>
      <c r="M6387" s="2">
        <v>12</v>
      </c>
      <c r="N6387" s="1">
        <v>17</v>
      </c>
    </row>
    <row r="6388" spans="1:14" x14ac:dyDescent="0.25">
      <c r="A6388" t="str">
        <f t="shared" si="205"/>
        <v>U152815U152815</v>
      </c>
      <c r="B6388" t="str">
        <f t="shared" si="206"/>
        <v>U152815M515S54Y-4E</v>
      </c>
      <c r="C6388" s="27" t="s">
        <v>89</v>
      </c>
      <c r="D6388" s="27" t="s">
        <v>1778</v>
      </c>
      <c r="E6388" s="1" t="str">
        <f>+VLOOKUP($B:$B,Sheet2!$1:$1048576,6,0)</f>
        <v>United States</v>
      </c>
      <c r="F6388" s="1" t="str">
        <f>+VLOOKUP($B:$B,Sheet2!$1:$1048576,7,0)</f>
        <v>NEW BALANCE ATHLETICS, INC.</v>
      </c>
      <c r="G6388" s="1" t="str">
        <f>+VLOOKUP($B:$B,Sheet2!$1:$1048576,4,0)</f>
        <v>Lawrence, Massachusetts - USA (22)</v>
      </c>
      <c r="H6388" s="1">
        <f>+VLOOKUP($B:$B,Sheet2!$1:$1048576,8,0)</f>
        <v>54</v>
      </c>
      <c r="I6388" s="3">
        <v>46289</v>
      </c>
      <c r="L6388" s="32">
        <v>46289.721330520828</v>
      </c>
      <c r="M6388" s="2">
        <v>6</v>
      </c>
      <c r="N6388" s="1">
        <v>42</v>
      </c>
    </row>
    <row r="6389" spans="1:14" x14ac:dyDescent="0.25">
      <c r="A6389" t="str">
        <f t="shared" si="205"/>
        <v>U152815U152815</v>
      </c>
      <c r="B6389" t="str">
        <f t="shared" si="206"/>
        <v>U152815M515S54Y-2E</v>
      </c>
      <c r="C6389" s="27" t="s">
        <v>81</v>
      </c>
      <c r="D6389" s="27" t="s">
        <v>1778</v>
      </c>
      <c r="E6389" s="1" t="str">
        <f>+VLOOKUP($B:$B,Sheet2!$1:$1048576,6,0)</f>
        <v>United States</v>
      </c>
      <c r="F6389" s="1" t="str">
        <f>+VLOOKUP($B:$B,Sheet2!$1:$1048576,7,0)</f>
        <v>NEW BALANCE ATHLETICS, INC.</v>
      </c>
      <c r="G6389" s="1" t="str">
        <f>+VLOOKUP($B:$B,Sheet2!$1:$1048576,4,0)</f>
        <v>Lawrence, Massachusetts - USA (22)</v>
      </c>
      <c r="H6389" s="1">
        <f>+VLOOKUP($B:$B,Sheet2!$1:$1048576,8,0)</f>
        <v>54</v>
      </c>
      <c r="I6389" s="3">
        <v>46289</v>
      </c>
      <c r="L6389" s="32">
        <v>46289.72152175926</v>
      </c>
      <c r="M6389" s="2">
        <v>6</v>
      </c>
      <c r="N6389" s="1">
        <v>37</v>
      </c>
    </row>
    <row r="6390" spans="1:14" x14ac:dyDescent="0.25">
      <c r="A6390" t="str">
        <f t="shared" si="205"/>
        <v>U152815U152815</v>
      </c>
      <c r="B6390" t="str">
        <f t="shared" si="206"/>
        <v>U152815M515S54Y-4E</v>
      </c>
      <c r="C6390" s="27" t="s">
        <v>89</v>
      </c>
      <c r="D6390" s="27" t="s">
        <v>1778</v>
      </c>
      <c r="E6390" s="1" t="str">
        <f>+VLOOKUP($B:$B,Sheet2!$1:$1048576,6,0)</f>
        <v>United States</v>
      </c>
      <c r="F6390" s="1" t="str">
        <f>+VLOOKUP($B:$B,Sheet2!$1:$1048576,7,0)</f>
        <v>NEW BALANCE ATHLETICS, INC.</v>
      </c>
      <c r="G6390" s="1" t="str">
        <f>+VLOOKUP($B:$B,Sheet2!$1:$1048576,4,0)</f>
        <v>Lawrence, Massachusetts - USA (22)</v>
      </c>
      <c r="H6390" s="1">
        <f>+VLOOKUP($B:$B,Sheet2!$1:$1048576,8,0)</f>
        <v>54</v>
      </c>
      <c r="I6390" s="3">
        <v>46289</v>
      </c>
      <c r="L6390" s="32">
        <v>46289.7490721875</v>
      </c>
      <c r="M6390" s="2">
        <v>6</v>
      </c>
      <c r="N6390" s="1">
        <v>47</v>
      </c>
    </row>
    <row r="6391" spans="1:14" x14ac:dyDescent="0.25">
      <c r="A6391" t="str">
        <f t="shared" si="205"/>
        <v>U152815U152815</v>
      </c>
      <c r="B6391" t="str">
        <f t="shared" si="206"/>
        <v>U152815M515S54Y-4E</v>
      </c>
      <c r="C6391" s="27" t="s">
        <v>89</v>
      </c>
      <c r="D6391" s="27" t="s">
        <v>1778</v>
      </c>
      <c r="E6391" s="1" t="str">
        <f>+VLOOKUP($B:$B,Sheet2!$1:$1048576,6,0)</f>
        <v>United States</v>
      </c>
      <c r="F6391" s="1" t="str">
        <f>+VLOOKUP($B:$B,Sheet2!$1:$1048576,7,0)</f>
        <v>NEW BALANCE ATHLETICS, INC.</v>
      </c>
      <c r="G6391" s="1" t="str">
        <f>+VLOOKUP($B:$B,Sheet2!$1:$1048576,4,0)</f>
        <v>Lawrence, Massachusetts - USA (22)</v>
      </c>
      <c r="H6391" s="1">
        <f>+VLOOKUP($B:$B,Sheet2!$1:$1048576,8,0)</f>
        <v>54</v>
      </c>
      <c r="I6391" s="3">
        <v>46289</v>
      </c>
      <c r="L6391" s="32">
        <v>46289.750268287033</v>
      </c>
      <c r="M6391" s="2">
        <v>6</v>
      </c>
      <c r="N6391" s="1">
        <v>43</v>
      </c>
    </row>
    <row r="6392" spans="1:14" x14ac:dyDescent="0.25">
      <c r="A6392" t="str">
        <f t="shared" si="205"/>
        <v>U152815U152815</v>
      </c>
      <c r="B6392" t="str">
        <f t="shared" si="206"/>
        <v>U152815M515S54Y-4E</v>
      </c>
      <c r="C6392" s="27" t="s">
        <v>89</v>
      </c>
      <c r="D6392" s="27" t="s">
        <v>1778</v>
      </c>
      <c r="E6392" s="1" t="str">
        <f>+VLOOKUP($B:$B,Sheet2!$1:$1048576,6,0)</f>
        <v>United States</v>
      </c>
      <c r="F6392" s="1" t="str">
        <f>+VLOOKUP($B:$B,Sheet2!$1:$1048576,7,0)</f>
        <v>NEW BALANCE ATHLETICS, INC.</v>
      </c>
      <c r="G6392" s="1" t="str">
        <f>+VLOOKUP($B:$B,Sheet2!$1:$1048576,4,0)</f>
        <v>Lawrence, Massachusetts - USA (22)</v>
      </c>
      <c r="H6392" s="1">
        <f>+VLOOKUP($B:$B,Sheet2!$1:$1048576,8,0)</f>
        <v>54</v>
      </c>
      <c r="I6392" s="3">
        <v>46289</v>
      </c>
      <c r="L6392" s="32">
        <v>46289.750442245371</v>
      </c>
      <c r="M6392" s="2">
        <v>6</v>
      </c>
      <c r="N6392" s="1">
        <v>44</v>
      </c>
    </row>
    <row r="6393" spans="1:14" x14ac:dyDescent="0.25">
      <c r="A6393" t="str">
        <f t="shared" si="205"/>
        <v>U152815U152815</v>
      </c>
      <c r="B6393" t="str">
        <f t="shared" si="206"/>
        <v>U152815M515S54Y-2E</v>
      </c>
      <c r="C6393" s="27" t="s">
        <v>81</v>
      </c>
      <c r="D6393" s="27" t="s">
        <v>1778</v>
      </c>
      <c r="E6393" s="1" t="str">
        <f>+VLOOKUP($B:$B,Sheet2!$1:$1048576,6,0)</f>
        <v>United States</v>
      </c>
      <c r="F6393" s="1" t="str">
        <f>+VLOOKUP($B:$B,Sheet2!$1:$1048576,7,0)</f>
        <v>NEW BALANCE ATHLETICS, INC.</v>
      </c>
      <c r="G6393" s="1" t="str">
        <f>+VLOOKUP($B:$B,Sheet2!$1:$1048576,4,0)</f>
        <v>Lawrence, Massachusetts - USA (22)</v>
      </c>
      <c r="H6393" s="1">
        <f>+VLOOKUP($B:$B,Sheet2!$1:$1048576,8,0)</f>
        <v>54</v>
      </c>
      <c r="I6393" s="3">
        <v>46289</v>
      </c>
      <c r="L6393" s="32">
        <v>46289.750647141205</v>
      </c>
      <c r="M6393" s="2">
        <v>6</v>
      </c>
      <c r="N6393" s="1">
        <v>35</v>
      </c>
    </row>
    <row r="6394" spans="1:14" x14ac:dyDescent="0.25">
      <c r="A6394" t="str">
        <f t="shared" si="205"/>
        <v>U152815U152815</v>
      </c>
      <c r="B6394" t="str">
        <f t="shared" si="206"/>
        <v>U152815M515S54Y-2E</v>
      </c>
      <c r="C6394" s="27" t="s">
        <v>81</v>
      </c>
      <c r="D6394" s="27" t="s">
        <v>1778</v>
      </c>
      <c r="E6394" s="1" t="str">
        <f>+VLOOKUP($B:$B,Sheet2!$1:$1048576,6,0)</f>
        <v>United States</v>
      </c>
      <c r="F6394" s="1" t="str">
        <f>+VLOOKUP($B:$B,Sheet2!$1:$1048576,7,0)</f>
        <v>NEW BALANCE ATHLETICS, INC.</v>
      </c>
      <c r="G6394" s="1" t="str">
        <f>+VLOOKUP($B:$B,Sheet2!$1:$1048576,4,0)</f>
        <v>Lawrence, Massachusetts - USA (22)</v>
      </c>
      <c r="H6394" s="1">
        <f>+VLOOKUP($B:$B,Sheet2!$1:$1048576,8,0)</f>
        <v>54</v>
      </c>
      <c r="I6394" s="3">
        <v>46289</v>
      </c>
      <c r="L6394" s="32">
        <v>46289.751145219903</v>
      </c>
      <c r="M6394" s="2">
        <v>6</v>
      </c>
      <c r="N6394" s="1">
        <v>38</v>
      </c>
    </row>
    <row r="6395" spans="1:14" x14ac:dyDescent="0.25">
      <c r="A6395" t="str">
        <f t="shared" si="205"/>
        <v>U152815U152815</v>
      </c>
      <c r="B6395" t="str">
        <f t="shared" si="206"/>
        <v>U152815M515S54Y-2E</v>
      </c>
      <c r="C6395" s="27" t="s">
        <v>81</v>
      </c>
      <c r="D6395" s="27" t="s">
        <v>1778</v>
      </c>
      <c r="E6395" s="1" t="str">
        <f>+VLOOKUP($B:$B,Sheet2!$1:$1048576,6,0)</f>
        <v>United States</v>
      </c>
      <c r="F6395" s="1" t="str">
        <f>+VLOOKUP($B:$B,Sheet2!$1:$1048576,7,0)</f>
        <v>NEW BALANCE ATHLETICS, INC.</v>
      </c>
      <c r="G6395" s="1" t="str">
        <f>+VLOOKUP($B:$B,Sheet2!$1:$1048576,4,0)</f>
        <v>Lawrence, Massachusetts - USA (22)</v>
      </c>
      <c r="H6395" s="1">
        <f>+VLOOKUP($B:$B,Sheet2!$1:$1048576,8,0)</f>
        <v>54</v>
      </c>
      <c r="I6395" s="3">
        <v>46289</v>
      </c>
      <c r="L6395" s="32">
        <v>46289.752069212962</v>
      </c>
      <c r="M6395" s="2">
        <v>6</v>
      </c>
      <c r="N6395" s="1">
        <v>39</v>
      </c>
    </row>
    <row r="6396" spans="1:14" x14ac:dyDescent="0.25">
      <c r="A6396" t="str">
        <f t="shared" si="205"/>
        <v>U152815U152815</v>
      </c>
      <c r="B6396" t="str">
        <f t="shared" si="206"/>
        <v>U152815M515S54Y-4E</v>
      </c>
      <c r="C6396" s="27" t="s">
        <v>89</v>
      </c>
      <c r="D6396" s="27" t="s">
        <v>1778</v>
      </c>
      <c r="E6396" s="1" t="str">
        <f>+VLOOKUP($B:$B,Sheet2!$1:$1048576,6,0)</f>
        <v>United States</v>
      </c>
      <c r="F6396" s="1" t="str">
        <f>+VLOOKUP($B:$B,Sheet2!$1:$1048576,7,0)</f>
        <v>NEW BALANCE ATHLETICS, INC.</v>
      </c>
      <c r="G6396" s="1" t="str">
        <f>+VLOOKUP($B:$B,Sheet2!$1:$1048576,4,0)</f>
        <v>Lawrence, Massachusetts - USA (22)</v>
      </c>
      <c r="H6396" s="1">
        <f>+VLOOKUP($B:$B,Sheet2!$1:$1048576,8,0)</f>
        <v>54</v>
      </c>
      <c r="I6396" s="3">
        <v>46289</v>
      </c>
      <c r="L6396" s="32">
        <v>46289.753495798606</v>
      </c>
      <c r="M6396" s="2">
        <v>6</v>
      </c>
      <c r="N6396" s="1">
        <v>41</v>
      </c>
    </row>
    <row r="6397" spans="1:14" x14ac:dyDescent="0.25">
      <c r="A6397" t="str">
        <f t="shared" si="205"/>
        <v>U152815U152815</v>
      </c>
      <c r="B6397" t="str">
        <f t="shared" si="206"/>
        <v>U152815M515S54Y-4E</v>
      </c>
      <c r="C6397" s="27" t="s">
        <v>89</v>
      </c>
      <c r="D6397" s="27" t="s">
        <v>1778</v>
      </c>
      <c r="E6397" s="1" t="str">
        <f>+VLOOKUP($B:$B,Sheet2!$1:$1048576,6,0)</f>
        <v>United States</v>
      </c>
      <c r="F6397" s="1" t="str">
        <f>+VLOOKUP($B:$B,Sheet2!$1:$1048576,7,0)</f>
        <v>NEW BALANCE ATHLETICS, INC.</v>
      </c>
      <c r="G6397" s="1" t="str">
        <f>+VLOOKUP($B:$B,Sheet2!$1:$1048576,4,0)</f>
        <v>Lawrence, Massachusetts - USA (22)</v>
      </c>
      <c r="H6397" s="1">
        <f>+VLOOKUP($B:$B,Sheet2!$1:$1048576,8,0)</f>
        <v>54</v>
      </c>
      <c r="I6397" s="3">
        <v>46289</v>
      </c>
      <c r="L6397" s="32">
        <v>46289.753946331017</v>
      </c>
      <c r="M6397" s="2">
        <v>6</v>
      </c>
      <c r="N6397" s="1">
        <v>40</v>
      </c>
    </row>
    <row r="6398" spans="1:14" x14ac:dyDescent="0.25">
      <c r="A6398" t="str">
        <f t="shared" si="205"/>
        <v>U152815U152815</v>
      </c>
      <c r="B6398" t="str">
        <f t="shared" si="206"/>
        <v>U152815M515S54Y-4E</v>
      </c>
      <c r="C6398" s="27" t="s">
        <v>89</v>
      </c>
      <c r="D6398" s="27" t="s">
        <v>1778</v>
      </c>
      <c r="E6398" s="1" t="str">
        <f>+VLOOKUP($B:$B,Sheet2!$1:$1048576,6,0)</f>
        <v>United States</v>
      </c>
      <c r="F6398" s="1" t="str">
        <f>+VLOOKUP($B:$B,Sheet2!$1:$1048576,7,0)</f>
        <v>NEW BALANCE ATHLETICS, INC.</v>
      </c>
      <c r="G6398" s="1" t="str">
        <f>+VLOOKUP($B:$B,Sheet2!$1:$1048576,4,0)</f>
        <v>Lawrence, Massachusetts - USA (22)</v>
      </c>
      <c r="H6398" s="1">
        <f>+VLOOKUP($B:$B,Sheet2!$1:$1048576,8,0)</f>
        <v>54</v>
      </c>
      <c r="I6398" s="3">
        <v>46289</v>
      </c>
      <c r="L6398" s="32">
        <v>46289.754235879627</v>
      </c>
      <c r="M6398" s="2">
        <v>6</v>
      </c>
      <c r="N6398" s="1">
        <v>48</v>
      </c>
    </row>
    <row r="6399" spans="1:14" x14ac:dyDescent="0.25">
      <c r="A6399" t="str">
        <f t="shared" si="205"/>
        <v>U152815U152815</v>
      </c>
      <c r="B6399" t="str">
        <f t="shared" si="206"/>
        <v>U152815M515S54Y-4E</v>
      </c>
      <c r="C6399" s="27" t="s">
        <v>89</v>
      </c>
      <c r="D6399" s="27" t="s">
        <v>1778</v>
      </c>
      <c r="E6399" s="1" t="str">
        <f>+VLOOKUP($B:$B,Sheet2!$1:$1048576,6,0)</f>
        <v>United States</v>
      </c>
      <c r="F6399" s="1" t="str">
        <f>+VLOOKUP($B:$B,Sheet2!$1:$1048576,7,0)</f>
        <v>NEW BALANCE ATHLETICS, INC.</v>
      </c>
      <c r="G6399" s="1" t="str">
        <f>+VLOOKUP($B:$B,Sheet2!$1:$1048576,4,0)</f>
        <v>Lawrence, Massachusetts - USA (22)</v>
      </c>
      <c r="H6399" s="1">
        <f>+VLOOKUP($B:$B,Sheet2!$1:$1048576,8,0)</f>
        <v>54</v>
      </c>
      <c r="I6399" s="3">
        <v>46289</v>
      </c>
      <c r="L6399" s="32">
        <v>46289.754528935184</v>
      </c>
      <c r="M6399" s="2">
        <v>6</v>
      </c>
      <c r="N6399" s="1">
        <v>45</v>
      </c>
    </row>
    <row r="6400" spans="1:14" x14ac:dyDescent="0.25">
      <c r="A6400" t="str">
        <f t="shared" si="205"/>
        <v>U152815U152815</v>
      </c>
      <c r="B6400" t="str">
        <f t="shared" si="206"/>
        <v>U152815M515S54Y-2E</v>
      </c>
      <c r="C6400" s="27" t="s">
        <v>81</v>
      </c>
      <c r="D6400" s="27" t="s">
        <v>1778</v>
      </c>
      <c r="E6400" s="1" t="str">
        <f>+VLOOKUP($B:$B,Sheet2!$1:$1048576,6,0)</f>
        <v>United States</v>
      </c>
      <c r="F6400" s="1" t="str">
        <f>+VLOOKUP($B:$B,Sheet2!$1:$1048576,7,0)</f>
        <v>NEW BALANCE ATHLETICS, INC.</v>
      </c>
      <c r="G6400" s="1" t="str">
        <f>+VLOOKUP($B:$B,Sheet2!$1:$1048576,4,0)</f>
        <v>Lawrence, Massachusetts - USA (22)</v>
      </c>
      <c r="H6400" s="1">
        <f>+VLOOKUP($B:$B,Sheet2!$1:$1048576,8,0)</f>
        <v>54</v>
      </c>
      <c r="I6400" s="3">
        <v>46289</v>
      </c>
      <c r="L6400" s="32">
        <v>46289.757806712958</v>
      </c>
      <c r="M6400" s="2">
        <v>12</v>
      </c>
      <c r="N6400" s="1">
        <v>32</v>
      </c>
    </row>
    <row r="6401" spans="12:12" x14ac:dyDescent="0.25">
      <c r="L6401" s="32"/>
    </row>
    <row r="6402" spans="12:12" x14ac:dyDescent="0.25">
      <c r="L6402" s="32"/>
    </row>
    <row r="6403" spans="12:12" x14ac:dyDescent="0.25">
      <c r="L6403" s="32"/>
    </row>
    <row r="6404" spans="12:12" x14ac:dyDescent="0.25">
      <c r="L6404" s="32"/>
    </row>
    <row r="6405" spans="12:12" x14ac:dyDescent="0.25">
      <c r="L6405" s="32"/>
    </row>
    <row r="6406" spans="12:12" x14ac:dyDescent="0.25">
      <c r="L6406" s="32"/>
    </row>
    <row r="6407" spans="12:12" x14ac:dyDescent="0.25">
      <c r="L6407" s="32"/>
    </row>
    <row r="6408" spans="12:12" x14ac:dyDescent="0.25">
      <c r="L6408" s="32"/>
    </row>
    <row r="6409" spans="12:12" x14ac:dyDescent="0.25">
      <c r="L6409" s="32"/>
    </row>
    <row r="6410" spans="12:12" x14ac:dyDescent="0.25">
      <c r="L6410" s="32"/>
    </row>
    <row r="6411" spans="12:12" x14ac:dyDescent="0.25">
      <c r="L6411" s="32"/>
    </row>
    <row r="6412" spans="12:12" x14ac:dyDescent="0.25">
      <c r="L6412" s="32"/>
    </row>
    <row r="6413" spans="12:12" x14ac:dyDescent="0.25">
      <c r="L6413" s="32"/>
    </row>
    <row r="6414" spans="12:12" x14ac:dyDescent="0.25">
      <c r="L6414" s="32"/>
    </row>
    <row r="6415" spans="12:12" x14ac:dyDescent="0.25">
      <c r="L6415" s="32"/>
    </row>
    <row r="6416" spans="12:12" x14ac:dyDescent="0.25">
      <c r="L6416" s="32"/>
    </row>
    <row r="6417" spans="12:12" x14ac:dyDescent="0.25">
      <c r="L6417" s="32"/>
    </row>
    <row r="6418" spans="12:12" x14ac:dyDescent="0.25">
      <c r="L6418" s="32"/>
    </row>
    <row r="6419" spans="12:12" x14ac:dyDescent="0.25">
      <c r="L6419" s="32"/>
    </row>
    <row r="6420" spans="12:12" x14ac:dyDescent="0.25">
      <c r="L6420" s="32"/>
    </row>
    <row r="6421" spans="12:12" x14ac:dyDescent="0.25">
      <c r="L6421" s="32"/>
    </row>
    <row r="6422" spans="12:12" x14ac:dyDescent="0.25">
      <c r="L6422" s="32"/>
    </row>
    <row r="6423" spans="12:12" x14ac:dyDescent="0.25">
      <c r="L6423" s="32"/>
    </row>
    <row r="6424" spans="12:12" x14ac:dyDescent="0.25">
      <c r="L6424" s="32"/>
    </row>
    <row r="6425" spans="12:12" x14ac:dyDescent="0.25">
      <c r="L6425" s="32"/>
    </row>
    <row r="6426" spans="12:12" x14ac:dyDescent="0.25">
      <c r="L6426" s="32"/>
    </row>
    <row r="6427" spans="12:12" x14ac:dyDescent="0.25">
      <c r="L6427" s="32"/>
    </row>
    <row r="6428" spans="12:12" x14ac:dyDescent="0.25">
      <c r="L6428" s="32"/>
    </row>
    <row r="6429" spans="12:12" x14ac:dyDescent="0.25">
      <c r="L6429" s="32"/>
    </row>
    <row r="6430" spans="12:12" x14ac:dyDescent="0.25">
      <c r="L6430" s="32"/>
    </row>
    <row r="6431" spans="12:12" x14ac:dyDescent="0.25">
      <c r="L6431" s="32"/>
    </row>
    <row r="6432" spans="12:12" x14ac:dyDescent="0.25">
      <c r="L6432" s="32"/>
    </row>
    <row r="6433" spans="12:12" x14ac:dyDescent="0.25">
      <c r="L6433" s="32"/>
    </row>
    <row r="6434" spans="12:12" x14ac:dyDescent="0.25">
      <c r="L6434" s="32"/>
    </row>
    <row r="6435" spans="12:12" x14ac:dyDescent="0.25">
      <c r="L6435" s="32"/>
    </row>
    <row r="6436" spans="12:12" x14ac:dyDescent="0.25">
      <c r="L6436" s="32"/>
    </row>
    <row r="6437" spans="12:12" x14ac:dyDescent="0.25">
      <c r="L6437" s="32"/>
    </row>
    <row r="6438" spans="12:12" x14ac:dyDescent="0.25">
      <c r="L6438" s="32"/>
    </row>
    <row r="6439" spans="12:12" x14ac:dyDescent="0.25">
      <c r="L6439" s="32"/>
    </row>
    <row r="6440" spans="12:12" x14ac:dyDescent="0.25">
      <c r="L6440" s="32"/>
    </row>
    <row r="6441" spans="12:12" x14ac:dyDescent="0.25">
      <c r="L6441" s="32"/>
    </row>
    <row r="6442" spans="12:12" x14ac:dyDescent="0.25">
      <c r="L6442" s="32"/>
    </row>
    <row r="6443" spans="12:12" x14ac:dyDescent="0.25">
      <c r="L6443" s="32"/>
    </row>
    <row r="6444" spans="12:12" x14ac:dyDescent="0.25">
      <c r="L6444" s="32"/>
    </row>
    <row r="6445" spans="12:12" x14ac:dyDescent="0.25">
      <c r="L6445" s="32"/>
    </row>
    <row r="6446" spans="12:12" x14ac:dyDescent="0.25">
      <c r="L6446" s="32"/>
    </row>
    <row r="6447" spans="12:12" x14ac:dyDescent="0.25">
      <c r="L6447" s="32"/>
    </row>
    <row r="6448" spans="12:12" x14ac:dyDescent="0.25">
      <c r="L6448" s="32"/>
    </row>
    <row r="6449" spans="12:12" x14ac:dyDescent="0.25">
      <c r="L6449" s="32"/>
    </row>
    <row r="6450" spans="12:12" x14ac:dyDescent="0.25">
      <c r="L6450" s="32"/>
    </row>
    <row r="6451" spans="12:12" x14ac:dyDescent="0.25">
      <c r="L6451" s="32"/>
    </row>
    <row r="6452" spans="12:12" x14ac:dyDescent="0.25">
      <c r="L6452" s="32"/>
    </row>
    <row r="6453" spans="12:12" x14ac:dyDescent="0.25">
      <c r="L6453" s="32"/>
    </row>
    <row r="6454" spans="12:12" x14ac:dyDescent="0.25">
      <c r="L6454" s="32"/>
    </row>
    <row r="6455" spans="12:12" x14ac:dyDescent="0.25">
      <c r="L6455" s="32"/>
    </row>
    <row r="6456" spans="12:12" x14ac:dyDescent="0.25">
      <c r="L6456" s="32"/>
    </row>
    <row r="6457" spans="12:12" x14ac:dyDescent="0.25">
      <c r="L6457" s="32"/>
    </row>
    <row r="6458" spans="12:12" x14ac:dyDescent="0.25">
      <c r="L6458" s="32"/>
    </row>
    <row r="6459" spans="12:12" x14ac:dyDescent="0.25">
      <c r="L6459" s="32"/>
    </row>
    <row r="6460" spans="12:12" x14ac:dyDescent="0.25">
      <c r="L6460" s="32"/>
    </row>
    <row r="6461" spans="12:12" x14ac:dyDescent="0.25">
      <c r="L6461" s="32"/>
    </row>
    <row r="6462" spans="12:12" x14ac:dyDescent="0.25">
      <c r="L6462" s="32"/>
    </row>
    <row r="6463" spans="12:12" x14ac:dyDescent="0.25">
      <c r="L6463" s="32"/>
    </row>
    <row r="6464" spans="12:12" x14ac:dyDescent="0.25">
      <c r="L6464" s="32"/>
    </row>
    <row r="6465" spans="12:12" x14ac:dyDescent="0.25">
      <c r="L6465" s="32"/>
    </row>
    <row r="6466" spans="12:12" x14ac:dyDescent="0.25">
      <c r="L6466" s="32"/>
    </row>
    <row r="6467" spans="12:12" x14ac:dyDescent="0.25">
      <c r="L6467" s="32"/>
    </row>
    <row r="6468" spans="12:12" x14ac:dyDescent="0.25">
      <c r="L6468" s="32"/>
    </row>
    <row r="6469" spans="12:12" x14ac:dyDescent="0.25">
      <c r="L6469" s="32"/>
    </row>
    <row r="6470" spans="12:12" x14ac:dyDescent="0.25">
      <c r="L6470" s="32"/>
    </row>
    <row r="6471" spans="12:12" x14ac:dyDescent="0.25">
      <c r="L6471" s="32"/>
    </row>
    <row r="6472" spans="12:12" x14ac:dyDescent="0.25">
      <c r="L6472" s="32"/>
    </row>
    <row r="6473" spans="12:12" x14ac:dyDescent="0.25">
      <c r="L6473" s="32"/>
    </row>
    <row r="6474" spans="12:12" x14ac:dyDescent="0.25">
      <c r="L6474" s="32"/>
    </row>
    <row r="6475" spans="12:12" x14ac:dyDescent="0.25">
      <c r="L6475" s="32"/>
    </row>
    <row r="6476" spans="12:12" x14ac:dyDescent="0.25">
      <c r="L6476" s="32"/>
    </row>
    <row r="6477" spans="12:12" x14ac:dyDescent="0.25">
      <c r="L6477" s="32"/>
    </row>
    <row r="6478" spans="12:12" x14ac:dyDescent="0.25">
      <c r="L6478" s="32"/>
    </row>
    <row r="6479" spans="12:12" x14ac:dyDescent="0.25">
      <c r="L6479" s="32"/>
    </row>
    <row r="6480" spans="12:12" x14ac:dyDescent="0.25">
      <c r="L6480" s="32"/>
    </row>
    <row r="6481" spans="12:12" x14ac:dyDescent="0.25">
      <c r="L6481" s="32"/>
    </row>
    <row r="6482" spans="12:12" x14ac:dyDescent="0.25">
      <c r="L6482" s="32"/>
    </row>
    <row r="6483" spans="12:12" x14ac:dyDescent="0.25">
      <c r="L6483" s="32"/>
    </row>
    <row r="6484" spans="12:12" x14ac:dyDescent="0.25">
      <c r="L6484" s="32"/>
    </row>
    <row r="6485" spans="12:12" x14ac:dyDescent="0.25">
      <c r="L6485" s="32"/>
    </row>
    <row r="6486" spans="12:12" x14ac:dyDescent="0.25">
      <c r="L6486" s="32"/>
    </row>
    <row r="6487" spans="12:12" x14ac:dyDescent="0.25">
      <c r="L6487" s="32"/>
    </row>
    <row r="6488" spans="12:12" x14ac:dyDescent="0.25">
      <c r="L6488" s="32"/>
    </row>
    <row r="6489" spans="12:12" x14ac:dyDescent="0.25">
      <c r="L6489" s="32"/>
    </row>
    <row r="6490" spans="12:12" x14ac:dyDescent="0.25">
      <c r="L6490" s="32"/>
    </row>
    <row r="6491" spans="12:12" x14ac:dyDescent="0.25">
      <c r="L6491" s="32"/>
    </row>
    <row r="6492" spans="12:12" x14ac:dyDescent="0.25">
      <c r="L6492" s="32"/>
    </row>
    <row r="6493" spans="12:12" x14ac:dyDescent="0.25">
      <c r="L6493" s="32"/>
    </row>
    <row r="6494" spans="12:12" x14ac:dyDescent="0.25">
      <c r="L6494" s="32"/>
    </row>
    <row r="6495" spans="12:12" x14ac:dyDescent="0.25">
      <c r="L6495" s="32"/>
    </row>
    <row r="6496" spans="12:12" x14ac:dyDescent="0.25">
      <c r="L6496" s="32"/>
    </row>
    <row r="6497" spans="12:12" x14ac:dyDescent="0.25">
      <c r="L6497" s="32"/>
    </row>
    <row r="6498" spans="12:12" x14ac:dyDescent="0.25">
      <c r="L6498" s="32"/>
    </row>
    <row r="6499" spans="12:12" x14ac:dyDescent="0.25">
      <c r="L6499" s="32"/>
    </row>
    <row r="6500" spans="12:12" x14ac:dyDescent="0.25">
      <c r="L6500" s="32"/>
    </row>
    <row r="6501" spans="12:12" x14ac:dyDescent="0.25">
      <c r="L6501" s="32"/>
    </row>
    <row r="6502" spans="12:12" x14ac:dyDescent="0.25">
      <c r="L6502" s="32"/>
    </row>
    <row r="6503" spans="12:12" x14ac:dyDescent="0.25">
      <c r="L6503" s="32"/>
    </row>
    <row r="6504" spans="12:12" x14ac:dyDescent="0.25">
      <c r="L6504" s="32"/>
    </row>
    <row r="6505" spans="12:12" x14ac:dyDescent="0.25">
      <c r="L6505" s="32"/>
    </row>
    <row r="6506" spans="12:12" x14ac:dyDescent="0.25">
      <c r="L6506" s="32"/>
    </row>
    <row r="6507" spans="12:12" x14ac:dyDescent="0.25">
      <c r="L6507" s="32"/>
    </row>
    <row r="6508" spans="12:12" x14ac:dyDescent="0.25">
      <c r="L6508" s="32"/>
    </row>
    <row r="6509" spans="12:12" x14ac:dyDescent="0.25">
      <c r="L6509" s="32"/>
    </row>
    <row r="6510" spans="12:12" x14ac:dyDescent="0.25">
      <c r="L6510" s="32"/>
    </row>
    <row r="6511" spans="12:12" x14ac:dyDescent="0.25">
      <c r="L6511" s="32"/>
    </row>
    <row r="6512" spans="12:12" x14ac:dyDescent="0.25">
      <c r="L6512" s="32"/>
    </row>
    <row r="6513" spans="12:12" x14ac:dyDescent="0.25">
      <c r="L6513" s="32"/>
    </row>
    <row r="6514" spans="12:12" x14ac:dyDescent="0.25">
      <c r="L6514" s="32"/>
    </row>
    <row r="6515" spans="12:12" x14ac:dyDescent="0.25">
      <c r="L6515" s="32"/>
    </row>
    <row r="6516" spans="12:12" x14ac:dyDescent="0.25">
      <c r="L6516" s="32"/>
    </row>
    <row r="6517" spans="12:12" x14ac:dyDescent="0.25">
      <c r="L6517" s="32"/>
    </row>
    <row r="6518" spans="12:12" x14ac:dyDescent="0.25">
      <c r="L6518" s="32"/>
    </row>
    <row r="6519" spans="12:12" x14ac:dyDescent="0.25">
      <c r="L6519" s="32"/>
    </row>
    <row r="6520" spans="12:12" x14ac:dyDescent="0.25">
      <c r="L6520" s="32"/>
    </row>
    <row r="6521" spans="12:12" x14ac:dyDescent="0.25">
      <c r="L6521" s="32"/>
    </row>
    <row r="6522" spans="12:12" x14ac:dyDescent="0.25">
      <c r="L6522" s="32"/>
    </row>
    <row r="6523" spans="12:12" x14ac:dyDescent="0.25">
      <c r="L6523" s="32"/>
    </row>
    <row r="6524" spans="12:12" x14ac:dyDescent="0.25">
      <c r="L6524" s="32"/>
    </row>
    <row r="6525" spans="12:12" x14ac:dyDescent="0.25">
      <c r="L6525" s="32"/>
    </row>
    <row r="6526" spans="12:12" x14ac:dyDescent="0.25">
      <c r="L6526" s="32"/>
    </row>
    <row r="6527" spans="12:12" x14ac:dyDescent="0.25">
      <c r="L6527" s="32"/>
    </row>
    <row r="6528" spans="12:12" x14ac:dyDescent="0.25">
      <c r="L6528" s="32"/>
    </row>
    <row r="6529" spans="12:12" x14ac:dyDescent="0.25">
      <c r="L6529" s="32"/>
    </row>
    <row r="6530" spans="12:12" x14ac:dyDescent="0.25">
      <c r="L6530" s="32"/>
    </row>
    <row r="6531" spans="12:12" x14ac:dyDescent="0.25">
      <c r="L6531" s="32"/>
    </row>
    <row r="6532" spans="12:12" x14ac:dyDescent="0.25">
      <c r="L6532" s="32"/>
    </row>
    <row r="6533" spans="12:12" x14ac:dyDescent="0.25">
      <c r="L6533" s="32"/>
    </row>
    <row r="6534" spans="12:12" x14ac:dyDescent="0.25">
      <c r="L6534" s="32"/>
    </row>
    <row r="6535" spans="12:12" x14ac:dyDescent="0.25">
      <c r="L6535" s="32"/>
    </row>
    <row r="6536" spans="12:12" x14ac:dyDescent="0.25">
      <c r="L6536" s="32"/>
    </row>
    <row r="6537" spans="12:12" x14ac:dyDescent="0.25">
      <c r="L6537" s="32"/>
    </row>
    <row r="6538" spans="12:12" x14ac:dyDescent="0.25">
      <c r="L6538" s="32"/>
    </row>
    <row r="6539" spans="12:12" x14ac:dyDescent="0.25">
      <c r="L6539" s="32"/>
    </row>
    <row r="6540" spans="12:12" x14ac:dyDescent="0.25">
      <c r="L6540" s="32"/>
    </row>
    <row r="6541" spans="12:12" x14ac:dyDescent="0.25">
      <c r="L6541" s="32"/>
    </row>
    <row r="6542" spans="12:12" x14ac:dyDescent="0.25">
      <c r="L6542" s="32"/>
    </row>
    <row r="6543" spans="12:12" x14ac:dyDescent="0.25">
      <c r="L6543" s="32"/>
    </row>
    <row r="6544" spans="12:12" x14ac:dyDescent="0.25">
      <c r="L6544" s="32"/>
    </row>
    <row r="6545" spans="12:12" x14ac:dyDescent="0.25">
      <c r="L6545" s="32"/>
    </row>
    <row r="6546" spans="12:12" x14ac:dyDescent="0.25">
      <c r="L6546" s="32"/>
    </row>
    <row r="6547" spans="12:12" x14ac:dyDescent="0.25">
      <c r="L6547" s="32"/>
    </row>
    <row r="6548" spans="12:12" x14ac:dyDescent="0.25">
      <c r="L6548" s="32"/>
    </row>
    <row r="6549" spans="12:12" x14ac:dyDescent="0.25">
      <c r="L6549" s="32"/>
    </row>
    <row r="6550" spans="12:12" x14ac:dyDescent="0.25">
      <c r="L6550" s="32"/>
    </row>
    <row r="6551" spans="12:12" x14ac:dyDescent="0.25">
      <c r="L6551" s="32"/>
    </row>
    <row r="6552" spans="12:12" x14ac:dyDescent="0.25">
      <c r="L6552" s="32"/>
    </row>
    <row r="6553" spans="12:12" x14ac:dyDescent="0.25">
      <c r="L6553" s="32"/>
    </row>
    <row r="6554" spans="12:12" x14ac:dyDescent="0.25">
      <c r="L6554" s="32"/>
    </row>
    <row r="6555" spans="12:12" x14ac:dyDescent="0.25">
      <c r="L6555" s="32"/>
    </row>
    <row r="6556" spans="12:12" x14ac:dyDescent="0.25">
      <c r="L6556" s="32"/>
    </row>
    <row r="6557" spans="12:12" x14ac:dyDescent="0.25">
      <c r="L6557" s="32"/>
    </row>
    <row r="6558" spans="12:12" x14ac:dyDescent="0.25">
      <c r="L6558" s="32"/>
    </row>
    <row r="6559" spans="12:12" x14ac:dyDescent="0.25">
      <c r="L6559" s="32"/>
    </row>
    <row r="6560" spans="12:12" x14ac:dyDescent="0.25">
      <c r="L6560" s="32"/>
    </row>
    <row r="6561" spans="12:12" x14ac:dyDescent="0.25">
      <c r="L6561" s="32"/>
    </row>
    <row r="6562" spans="12:12" x14ac:dyDescent="0.25">
      <c r="L6562" s="32"/>
    </row>
    <row r="6563" spans="12:12" x14ac:dyDescent="0.25">
      <c r="L6563" s="32"/>
    </row>
    <row r="6564" spans="12:12" x14ac:dyDescent="0.25">
      <c r="L6564" s="32"/>
    </row>
    <row r="6565" spans="12:12" x14ac:dyDescent="0.25">
      <c r="L6565" s="32"/>
    </row>
    <row r="6566" spans="12:12" x14ac:dyDescent="0.25">
      <c r="L6566" s="32"/>
    </row>
    <row r="6567" spans="12:12" x14ac:dyDescent="0.25">
      <c r="L6567" s="32"/>
    </row>
    <row r="6568" spans="12:12" x14ac:dyDescent="0.25">
      <c r="L6568" s="32"/>
    </row>
    <row r="6569" spans="12:12" x14ac:dyDescent="0.25">
      <c r="L6569" s="32"/>
    </row>
    <row r="6570" spans="12:12" x14ac:dyDescent="0.25">
      <c r="L6570" s="32"/>
    </row>
    <row r="6571" spans="12:12" x14ac:dyDescent="0.25">
      <c r="L6571" s="32"/>
    </row>
    <row r="6572" spans="12:12" x14ac:dyDescent="0.25">
      <c r="L6572" s="32"/>
    </row>
    <row r="6573" spans="12:12" x14ac:dyDescent="0.25">
      <c r="L6573" s="32"/>
    </row>
    <row r="6574" spans="12:12" x14ac:dyDescent="0.25">
      <c r="L6574" s="32"/>
    </row>
    <row r="6575" spans="12:12" x14ac:dyDescent="0.25">
      <c r="L6575" s="32"/>
    </row>
    <row r="6576" spans="12:12" x14ac:dyDescent="0.25">
      <c r="L6576" s="32"/>
    </row>
    <row r="6577" spans="12:12" x14ac:dyDescent="0.25">
      <c r="L6577" s="32"/>
    </row>
    <row r="6578" spans="12:12" x14ac:dyDescent="0.25">
      <c r="L6578" s="32"/>
    </row>
    <row r="6579" spans="12:12" x14ac:dyDescent="0.25">
      <c r="L6579" s="32"/>
    </row>
    <row r="6580" spans="12:12" x14ac:dyDescent="0.25">
      <c r="L6580" s="32"/>
    </row>
    <row r="6581" spans="12:12" x14ac:dyDescent="0.25">
      <c r="L6581" s="32"/>
    </row>
    <row r="6582" spans="12:12" x14ac:dyDescent="0.25">
      <c r="L6582" s="32"/>
    </row>
    <row r="6583" spans="12:12" x14ac:dyDescent="0.25">
      <c r="L6583" s="32"/>
    </row>
    <row r="6584" spans="12:12" x14ac:dyDescent="0.25">
      <c r="L6584" s="32"/>
    </row>
    <row r="6585" spans="12:12" x14ac:dyDescent="0.25">
      <c r="L6585" s="32"/>
    </row>
    <row r="6586" spans="12:12" x14ac:dyDescent="0.25">
      <c r="L6586" s="32"/>
    </row>
    <row r="6587" spans="12:12" x14ac:dyDescent="0.25">
      <c r="L6587" s="32"/>
    </row>
    <row r="6588" spans="12:12" x14ac:dyDescent="0.25">
      <c r="L6588" s="32"/>
    </row>
    <row r="6589" spans="12:12" x14ac:dyDescent="0.25">
      <c r="L6589" s="32"/>
    </row>
    <row r="6590" spans="12:12" x14ac:dyDescent="0.25">
      <c r="L6590" s="32"/>
    </row>
    <row r="6591" spans="12:12" x14ac:dyDescent="0.25">
      <c r="L6591" s="32"/>
    </row>
    <row r="6592" spans="12:12" x14ac:dyDescent="0.25">
      <c r="L6592" s="32"/>
    </row>
    <row r="6593" spans="12:12" x14ac:dyDescent="0.25">
      <c r="L6593" s="32"/>
    </row>
    <row r="6594" spans="12:12" x14ac:dyDescent="0.25">
      <c r="L6594" s="32"/>
    </row>
    <row r="6595" spans="12:12" x14ac:dyDescent="0.25">
      <c r="L6595" s="32"/>
    </row>
    <row r="6596" spans="12:12" x14ac:dyDescent="0.25">
      <c r="L6596" s="32"/>
    </row>
    <row r="6597" spans="12:12" x14ac:dyDescent="0.25">
      <c r="L6597" s="32"/>
    </row>
    <row r="6598" spans="12:12" x14ac:dyDescent="0.25">
      <c r="L6598" s="32"/>
    </row>
    <row r="6599" spans="12:12" x14ac:dyDescent="0.25">
      <c r="L6599" s="32"/>
    </row>
    <row r="6600" spans="12:12" x14ac:dyDescent="0.25">
      <c r="L6600" s="32"/>
    </row>
    <row r="6601" spans="12:12" x14ac:dyDescent="0.25">
      <c r="L6601" s="32"/>
    </row>
    <row r="6602" spans="12:12" x14ac:dyDescent="0.25">
      <c r="L6602" s="32"/>
    </row>
    <row r="6603" spans="12:12" x14ac:dyDescent="0.25">
      <c r="L6603" s="32"/>
    </row>
    <row r="6604" spans="12:12" x14ac:dyDescent="0.25">
      <c r="L6604" s="32"/>
    </row>
    <row r="6605" spans="12:12" x14ac:dyDescent="0.25">
      <c r="L6605" s="32"/>
    </row>
    <row r="6606" spans="12:12" x14ac:dyDescent="0.25">
      <c r="L6606" s="32"/>
    </row>
    <row r="6607" spans="12:12" x14ac:dyDescent="0.25">
      <c r="L6607" s="32"/>
    </row>
    <row r="6608" spans="12:12" x14ac:dyDescent="0.25">
      <c r="L6608" s="32"/>
    </row>
    <row r="6609" spans="12:12" x14ac:dyDescent="0.25">
      <c r="L6609" s="32"/>
    </row>
    <row r="6610" spans="12:12" x14ac:dyDescent="0.25">
      <c r="L6610" s="32"/>
    </row>
    <row r="6611" spans="12:12" x14ac:dyDescent="0.25">
      <c r="L6611" s="32"/>
    </row>
    <row r="6612" spans="12:12" x14ac:dyDescent="0.25">
      <c r="L6612" s="32"/>
    </row>
    <row r="6613" spans="12:12" x14ac:dyDescent="0.25">
      <c r="L6613" s="32"/>
    </row>
    <row r="6614" spans="12:12" x14ac:dyDescent="0.25">
      <c r="L6614" s="32"/>
    </row>
    <row r="6615" spans="12:12" x14ac:dyDescent="0.25">
      <c r="L6615" s="32"/>
    </row>
    <row r="6616" spans="12:12" x14ac:dyDescent="0.25">
      <c r="L6616" s="32"/>
    </row>
    <row r="6617" spans="12:12" x14ac:dyDescent="0.25">
      <c r="L6617" s="32"/>
    </row>
    <row r="6618" spans="12:12" x14ac:dyDescent="0.25">
      <c r="L6618" s="32"/>
    </row>
    <row r="6619" spans="12:12" x14ac:dyDescent="0.25">
      <c r="L6619" s="32"/>
    </row>
    <row r="6620" spans="12:12" x14ac:dyDescent="0.25">
      <c r="L6620" s="32"/>
    </row>
    <row r="6621" spans="12:12" x14ac:dyDescent="0.25">
      <c r="L6621" s="32"/>
    </row>
    <row r="6622" spans="12:12" x14ac:dyDescent="0.25">
      <c r="L6622" s="32"/>
    </row>
    <row r="6623" spans="12:12" x14ac:dyDescent="0.25">
      <c r="L6623" s="32"/>
    </row>
    <row r="6624" spans="12:12" x14ac:dyDescent="0.25">
      <c r="L6624" s="32"/>
    </row>
    <row r="6625" spans="12:12" x14ac:dyDescent="0.25">
      <c r="L6625" s="32"/>
    </row>
    <row r="6626" spans="12:12" x14ac:dyDescent="0.25">
      <c r="L6626" s="32"/>
    </row>
    <row r="6627" spans="12:12" x14ac:dyDescent="0.25">
      <c r="L6627" s="32"/>
    </row>
    <row r="6628" spans="12:12" x14ac:dyDescent="0.25">
      <c r="L6628" s="32"/>
    </row>
    <row r="6629" spans="12:12" x14ac:dyDescent="0.25">
      <c r="L6629" s="32"/>
    </row>
    <row r="6630" spans="12:12" x14ac:dyDescent="0.25">
      <c r="L6630" s="32"/>
    </row>
    <row r="6631" spans="12:12" x14ac:dyDescent="0.25">
      <c r="L6631" s="32"/>
    </row>
    <row r="6632" spans="12:12" x14ac:dyDescent="0.25">
      <c r="L6632" s="32"/>
    </row>
    <row r="6633" spans="12:12" x14ac:dyDescent="0.25">
      <c r="L6633" s="32"/>
    </row>
    <row r="6634" spans="12:12" x14ac:dyDescent="0.25">
      <c r="L6634" s="32"/>
    </row>
    <row r="6635" spans="12:12" x14ac:dyDescent="0.25">
      <c r="L6635" s="32"/>
    </row>
    <row r="6636" spans="12:12" x14ac:dyDescent="0.25">
      <c r="L6636" s="32"/>
    </row>
    <row r="6637" spans="12:12" x14ac:dyDescent="0.25">
      <c r="L6637" s="32"/>
    </row>
    <row r="6638" spans="12:12" x14ac:dyDescent="0.25">
      <c r="L6638" s="32"/>
    </row>
    <row r="6639" spans="12:12" x14ac:dyDescent="0.25">
      <c r="L6639" s="32"/>
    </row>
    <row r="6640" spans="12:12" x14ac:dyDescent="0.25">
      <c r="L6640" s="32"/>
    </row>
    <row r="6641" spans="12:12" x14ac:dyDescent="0.25">
      <c r="L6641" s="32"/>
    </row>
    <row r="6642" spans="12:12" x14ac:dyDescent="0.25">
      <c r="L6642" s="32"/>
    </row>
    <row r="6643" spans="12:12" x14ac:dyDescent="0.25">
      <c r="L6643" s="32"/>
    </row>
    <row r="6644" spans="12:12" x14ac:dyDescent="0.25">
      <c r="L6644" s="32"/>
    </row>
    <row r="6645" spans="12:12" x14ac:dyDescent="0.25">
      <c r="L6645" s="32"/>
    </row>
    <row r="6646" spans="12:12" x14ac:dyDescent="0.25">
      <c r="L6646" s="32"/>
    </row>
    <row r="6647" spans="12:12" x14ac:dyDescent="0.25">
      <c r="L6647" s="32"/>
    </row>
    <row r="6648" spans="12:12" x14ac:dyDescent="0.25">
      <c r="L6648" s="32"/>
    </row>
    <row r="6649" spans="12:12" x14ac:dyDescent="0.25">
      <c r="L6649" s="32"/>
    </row>
    <row r="6650" spans="12:12" x14ac:dyDescent="0.25">
      <c r="L6650" s="32"/>
    </row>
    <row r="6651" spans="12:12" x14ac:dyDescent="0.25">
      <c r="L6651" s="32"/>
    </row>
    <row r="6652" spans="12:12" x14ac:dyDescent="0.25">
      <c r="L6652" s="32"/>
    </row>
    <row r="6653" spans="12:12" x14ac:dyDescent="0.25">
      <c r="L6653" s="32"/>
    </row>
    <row r="6654" spans="12:12" x14ac:dyDescent="0.25">
      <c r="L6654" s="32"/>
    </row>
    <row r="6655" spans="12:12" x14ac:dyDescent="0.25">
      <c r="L6655" s="32"/>
    </row>
    <row r="6656" spans="12:12" x14ac:dyDescent="0.25">
      <c r="L6656" s="32"/>
    </row>
    <row r="6657" spans="12:12" x14ac:dyDescent="0.25">
      <c r="L6657" s="32"/>
    </row>
    <row r="6658" spans="12:12" x14ac:dyDescent="0.25">
      <c r="L6658" s="32"/>
    </row>
    <row r="6659" spans="12:12" x14ac:dyDescent="0.25">
      <c r="L6659" s="32"/>
    </row>
    <row r="6660" spans="12:12" x14ac:dyDescent="0.25">
      <c r="L6660" s="32"/>
    </row>
    <row r="6661" spans="12:12" x14ac:dyDescent="0.25">
      <c r="L6661" s="32"/>
    </row>
    <row r="6662" spans="12:12" x14ac:dyDescent="0.25">
      <c r="L6662" s="32"/>
    </row>
    <row r="6663" spans="12:12" x14ac:dyDescent="0.25">
      <c r="L6663" s="32"/>
    </row>
    <row r="6664" spans="12:12" x14ac:dyDescent="0.25">
      <c r="L6664" s="32"/>
    </row>
    <row r="6665" spans="12:12" x14ac:dyDescent="0.25">
      <c r="L6665" s="32"/>
    </row>
    <row r="6666" spans="12:12" x14ac:dyDescent="0.25">
      <c r="L6666" s="32"/>
    </row>
    <row r="6667" spans="12:12" x14ac:dyDescent="0.25">
      <c r="L6667" s="32"/>
    </row>
    <row r="6668" spans="12:12" x14ac:dyDescent="0.25">
      <c r="L6668" s="32"/>
    </row>
    <row r="6669" spans="12:12" x14ac:dyDescent="0.25">
      <c r="L6669" s="32"/>
    </row>
    <row r="6670" spans="12:12" x14ac:dyDescent="0.25">
      <c r="L6670" s="32"/>
    </row>
    <row r="6671" spans="12:12" x14ac:dyDescent="0.25">
      <c r="L6671" s="32"/>
    </row>
    <row r="6672" spans="12:12" x14ac:dyDescent="0.25">
      <c r="L6672" s="32"/>
    </row>
    <row r="6673" spans="12:12" x14ac:dyDescent="0.25">
      <c r="L6673" s="32"/>
    </row>
    <row r="6674" spans="12:12" x14ac:dyDescent="0.25">
      <c r="L6674" s="32"/>
    </row>
    <row r="6675" spans="12:12" x14ac:dyDescent="0.25">
      <c r="L6675" s="32"/>
    </row>
    <row r="6676" spans="12:12" x14ac:dyDescent="0.25">
      <c r="L6676" s="32"/>
    </row>
    <row r="6677" spans="12:12" x14ac:dyDescent="0.25">
      <c r="L6677" s="32"/>
    </row>
    <row r="6678" spans="12:12" x14ac:dyDescent="0.25">
      <c r="L6678" s="32"/>
    </row>
    <row r="6679" spans="12:12" x14ac:dyDescent="0.25">
      <c r="L6679" s="32"/>
    </row>
    <row r="6680" spans="12:12" x14ac:dyDescent="0.25">
      <c r="L6680" s="32"/>
    </row>
    <row r="6681" spans="12:12" x14ac:dyDescent="0.25">
      <c r="L6681" s="32"/>
    </row>
    <row r="6682" spans="12:12" x14ac:dyDescent="0.25">
      <c r="L6682" s="32"/>
    </row>
    <row r="6683" spans="12:12" x14ac:dyDescent="0.25">
      <c r="L6683" s="32"/>
    </row>
    <row r="6684" spans="12:12" x14ac:dyDescent="0.25">
      <c r="L6684" s="32"/>
    </row>
    <row r="6685" spans="12:12" x14ac:dyDescent="0.25">
      <c r="L6685" s="32"/>
    </row>
    <row r="6686" spans="12:12" x14ac:dyDescent="0.25">
      <c r="L6686" s="32"/>
    </row>
    <row r="6687" spans="12:12" x14ac:dyDescent="0.25">
      <c r="L6687" s="32"/>
    </row>
    <row r="6688" spans="12:12" x14ac:dyDescent="0.25">
      <c r="L6688" s="32"/>
    </row>
    <row r="6689" spans="12:12" x14ac:dyDescent="0.25">
      <c r="L6689" s="32"/>
    </row>
    <row r="6690" spans="12:12" x14ac:dyDescent="0.25">
      <c r="L6690" s="32"/>
    </row>
    <row r="6691" spans="12:12" x14ac:dyDescent="0.25">
      <c r="L6691" s="32"/>
    </row>
    <row r="6692" spans="12:12" x14ac:dyDescent="0.25">
      <c r="L6692" s="32"/>
    </row>
    <row r="6693" spans="12:12" x14ac:dyDescent="0.25">
      <c r="L6693" s="32"/>
    </row>
    <row r="6694" spans="12:12" x14ac:dyDescent="0.25">
      <c r="L6694" s="32"/>
    </row>
    <row r="6695" spans="12:12" x14ac:dyDescent="0.25">
      <c r="L6695" s="32"/>
    </row>
    <row r="6696" spans="12:12" x14ac:dyDescent="0.25">
      <c r="L6696" s="32"/>
    </row>
    <row r="6697" spans="12:12" x14ac:dyDescent="0.25">
      <c r="L6697" s="32"/>
    </row>
    <row r="6698" spans="12:12" x14ac:dyDescent="0.25">
      <c r="L6698" s="32"/>
    </row>
    <row r="6699" spans="12:12" x14ac:dyDescent="0.25">
      <c r="L6699" s="32"/>
    </row>
    <row r="6700" spans="12:12" x14ac:dyDescent="0.25">
      <c r="L6700" s="32"/>
    </row>
    <row r="6701" spans="12:12" x14ac:dyDescent="0.25">
      <c r="L6701" s="32"/>
    </row>
    <row r="6702" spans="12:12" x14ac:dyDescent="0.25">
      <c r="L6702" s="32"/>
    </row>
    <row r="6703" spans="12:12" x14ac:dyDescent="0.25">
      <c r="L6703" s="32"/>
    </row>
    <row r="6704" spans="12:12" x14ac:dyDescent="0.25">
      <c r="L6704" s="32"/>
    </row>
    <row r="6705" spans="12:12" x14ac:dyDescent="0.25">
      <c r="L6705" s="32"/>
    </row>
    <row r="6706" spans="12:12" x14ac:dyDescent="0.25">
      <c r="L6706" s="32"/>
    </row>
    <row r="6707" spans="12:12" x14ac:dyDescent="0.25">
      <c r="L6707" s="32"/>
    </row>
    <row r="6708" spans="12:12" x14ac:dyDescent="0.25">
      <c r="L6708" s="32"/>
    </row>
    <row r="6709" spans="12:12" x14ac:dyDescent="0.25">
      <c r="L6709" s="32"/>
    </row>
    <row r="6710" spans="12:12" x14ac:dyDescent="0.25">
      <c r="L6710" s="32"/>
    </row>
    <row r="6711" spans="12:12" x14ac:dyDescent="0.25">
      <c r="L6711" s="32"/>
    </row>
    <row r="6712" spans="12:12" x14ac:dyDescent="0.25">
      <c r="L6712" s="32"/>
    </row>
    <row r="6713" spans="12:12" x14ac:dyDescent="0.25">
      <c r="L6713" s="32"/>
    </row>
    <row r="6714" spans="12:12" x14ac:dyDescent="0.25">
      <c r="L6714" s="32"/>
    </row>
    <row r="6715" spans="12:12" x14ac:dyDescent="0.25">
      <c r="L6715" s="32"/>
    </row>
    <row r="6716" spans="12:12" x14ac:dyDescent="0.25">
      <c r="L6716" s="32"/>
    </row>
    <row r="6717" spans="12:12" x14ac:dyDescent="0.25">
      <c r="L6717" s="32"/>
    </row>
    <row r="6718" spans="12:12" x14ac:dyDescent="0.25">
      <c r="L6718" s="32"/>
    </row>
    <row r="6719" spans="12:12" x14ac:dyDescent="0.25">
      <c r="L6719" s="32"/>
    </row>
    <row r="6720" spans="12:12" x14ac:dyDescent="0.25">
      <c r="L6720" s="32"/>
    </row>
    <row r="6721" spans="12:12" x14ac:dyDescent="0.25">
      <c r="L6721" s="32"/>
    </row>
    <row r="6722" spans="12:12" x14ac:dyDescent="0.25">
      <c r="L6722" s="32"/>
    </row>
    <row r="6723" spans="12:12" x14ac:dyDescent="0.25">
      <c r="L6723" s="32"/>
    </row>
    <row r="6724" spans="12:12" x14ac:dyDescent="0.25">
      <c r="L6724" s="32"/>
    </row>
    <row r="6725" spans="12:12" x14ac:dyDescent="0.25">
      <c r="L6725" s="32"/>
    </row>
    <row r="6726" spans="12:12" x14ac:dyDescent="0.25">
      <c r="L6726" s="32"/>
    </row>
    <row r="6727" spans="12:12" x14ac:dyDescent="0.25">
      <c r="L6727" s="32"/>
    </row>
    <row r="6728" spans="12:12" x14ac:dyDescent="0.25">
      <c r="L6728" s="32"/>
    </row>
    <row r="6729" spans="12:12" x14ac:dyDescent="0.25">
      <c r="L6729" s="32"/>
    </row>
    <row r="6730" spans="12:12" x14ac:dyDescent="0.25">
      <c r="L6730" s="32"/>
    </row>
    <row r="6731" spans="12:12" x14ac:dyDescent="0.25">
      <c r="L6731" s="32"/>
    </row>
    <row r="6732" spans="12:12" x14ac:dyDescent="0.25">
      <c r="L6732" s="32"/>
    </row>
    <row r="6733" spans="12:12" x14ac:dyDescent="0.25">
      <c r="L6733" s="32"/>
    </row>
    <row r="6734" spans="12:12" x14ac:dyDescent="0.25">
      <c r="L6734" s="32"/>
    </row>
    <row r="6735" spans="12:12" x14ac:dyDescent="0.25">
      <c r="L6735" s="32"/>
    </row>
    <row r="6736" spans="12:12" x14ac:dyDescent="0.25">
      <c r="L6736" s="32"/>
    </row>
    <row r="6737" spans="12:12" x14ac:dyDescent="0.25">
      <c r="L6737" s="32"/>
    </row>
    <row r="6738" spans="12:12" x14ac:dyDescent="0.25">
      <c r="L6738" s="32"/>
    </row>
    <row r="6739" spans="12:12" x14ac:dyDescent="0.25">
      <c r="L6739" s="32"/>
    </row>
    <row r="6740" spans="12:12" x14ac:dyDescent="0.25">
      <c r="L6740" s="32"/>
    </row>
    <row r="6741" spans="12:12" x14ac:dyDescent="0.25">
      <c r="L6741" s="32"/>
    </row>
    <row r="6742" spans="12:12" x14ac:dyDescent="0.25">
      <c r="L6742" s="32"/>
    </row>
    <row r="6743" spans="12:12" x14ac:dyDescent="0.25">
      <c r="L6743" s="32"/>
    </row>
    <row r="6744" spans="12:12" x14ac:dyDescent="0.25">
      <c r="L6744" s="32"/>
    </row>
    <row r="6745" spans="12:12" x14ac:dyDescent="0.25">
      <c r="L6745" s="32"/>
    </row>
    <row r="6746" spans="12:12" x14ac:dyDescent="0.25">
      <c r="L6746" s="32"/>
    </row>
    <row r="6747" spans="12:12" x14ac:dyDescent="0.25">
      <c r="L6747" s="32"/>
    </row>
    <row r="6748" spans="12:12" x14ac:dyDescent="0.25">
      <c r="L6748" s="32"/>
    </row>
    <row r="6749" spans="12:12" x14ac:dyDescent="0.25">
      <c r="L6749" s="32"/>
    </row>
    <row r="6750" spans="12:12" x14ac:dyDescent="0.25">
      <c r="L6750" s="32"/>
    </row>
    <row r="6751" spans="12:12" x14ac:dyDescent="0.25">
      <c r="L6751" s="32"/>
    </row>
    <row r="6752" spans="12:12" x14ac:dyDescent="0.25">
      <c r="L6752" s="32"/>
    </row>
    <row r="6753" spans="12:12" x14ac:dyDescent="0.25">
      <c r="L6753" s="32"/>
    </row>
    <row r="6754" spans="12:12" x14ac:dyDescent="0.25">
      <c r="L6754" s="32"/>
    </row>
    <row r="6755" spans="12:12" x14ac:dyDescent="0.25">
      <c r="L6755" s="32"/>
    </row>
    <row r="6756" spans="12:12" x14ac:dyDescent="0.25">
      <c r="L6756" s="32"/>
    </row>
    <row r="6757" spans="12:12" x14ac:dyDescent="0.25">
      <c r="L6757" s="32"/>
    </row>
    <row r="6758" spans="12:12" x14ac:dyDescent="0.25">
      <c r="L6758" s="32"/>
    </row>
    <row r="6759" spans="12:12" x14ac:dyDescent="0.25">
      <c r="L6759" s="32"/>
    </row>
    <row r="6760" spans="12:12" x14ac:dyDescent="0.25">
      <c r="L6760" s="32"/>
    </row>
    <row r="6761" spans="12:12" x14ac:dyDescent="0.25">
      <c r="L6761" s="32"/>
    </row>
    <row r="6762" spans="12:12" x14ac:dyDescent="0.25">
      <c r="L6762" s="32"/>
    </row>
    <row r="6763" spans="12:12" x14ac:dyDescent="0.25">
      <c r="L6763" s="32"/>
    </row>
    <row r="6764" spans="12:12" x14ac:dyDescent="0.25">
      <c r="L6764" s="32"/>
    </row>
    <row r="6765" spans="12:12" x14ac:dyDescent="0.25">
      <c r="L6765" s="32"/>
    </row>
    <row r="6766" spans="12:12" x14ac:dyDescent="0.25">
      <c r="L6766" s="32"/>
    </row>
    <row r="6767" spans="12:12" x14ac:dyDescent="0.25">
      <c r="L6767" s="32"/>
    </row>
    <row r="6768" spans="12:12" x14ac:dyDescent="0.25">
      <c r="L6768" s="32"/>
    </row>
    <row r="6769" spans="12:12" x14ac:dyDescent="0.25">
      <c r="L6769" s="32"/>
    </row>
    <row r="6770" spans="12:12" x14ac:dyDescent="0.25">
      <c r="L6770" s="32"/>
    </row>
    <row r="6771" spans="12:12" x14ac:dyDescent="0.25">
      <c r="L6771" s="32"/>
    </row>
    <row r="6772" spans="12:12" x14ac:dyDescent="0.25">
      <c r="L6772" s="32"/>
    </row>
    <row r="6773" spans="12:12" x14ac:dyDescent="0.25">
      <c r="L6773" s="32"/>
    </row>
    <row r="6774" spans="12:12" x14ac:dyDescent="0.25">
      <c r="L6774" s="32"/>
    </row>
    <row r="6775" spans="12:12" x14ac:dyDescent="0.25">
      <c r="L6775" s="32"/>
    </row>
    <row r="6776" spans="12:12" x14ac:dyDescent="0.25">
      <c r="L6776" s="32"/>
    </row>
    <row r="6777" spans="12:12" x14ac:dyDescent="0.25">
      <c r="L6777" s="32"/>
    </row>
    <row r="6778" spans="12:12" x14ac:dyDescent="0.25">
      <c r="L6778" s="32"/>
    </row>
    <row r="6779" spans="12:12" x14ac:dyDescent="0.25">
      <c r="L6779" s="32"/>
    </row>
    <row r="6780" spans="12:12" x14ac:dyDescent="0.25">
      <c r="L6780" s="32"/>
    </row>
    <row r="6781" spans="12:12" x14ac:dyDescent="0.25">
      <c r="L6781" s="32"/>
    </row>
    <row r="6782" spans="12:12" x14ac:dyDescent="0.25">
      <c r="L6782" s="32"/>
    </row>
    <row r="6783" spans="12:12" x14ac:dyDescent="0.25">
      <c r="L6783" s="32"/>
    </row>
    <row r="6784" spans="12:12" x14ac:dyDescent="0.25">
      <c r="L6784" s="32"/>
    </row>
    <row r="6785" spans="12:12" x14ac:dyDescent="0.25">
      <c r="L6785" s="32"/>
    </row>
    <row r="6786" spans="12:12" x14ac:dyDescent="0.25">
      <c r="L6786" s="32"/>
    </row>
    <row r="6787" spans="12:12" x14ac:dyDescent="0.25">
      <c r="L6787" s="32"/>
    </row>
    <row r="6788" spans="12:12" x14ac:dyDescent="0.25">
      <c r="L6788" s="32"/>
    </row>
    <row r="6789" spans="12:12" x14ac:dyDescent="0.25">
      <c r="L6789" s="32"/>
    </row>
    <row r="6790" spans="12:12" x14ac:dyDescent="0.25">
      <c r="L6790" s="32"/>
    </row>
    <row r="6791" spans="12:12" x14ac:dyDescent="0.25">
      <c r="L6791" s="32"/>
    </row>
    <row r="6792" spans="12:12" x14ac:dyDescent="0.25">
      <c r="L6792" s="32"/>
    </row>
    <row r="6793" spans="12:12" x14ac:dyDescent="0.25">
      <c r="L6793" s="32"/>
    </row>
    <row r="6794" spans="12:12" x14ac:dyDescent="0.25">
      <c r="L6794" s="32"/>
    </row>
    <row r="6795" spans="12:12" x14ac:dyDescent="0.25">
      <c r="L6795" s="32"/>
    </row>
    <row r="6796" spans="12:12" x14ac:dyDescent="0.25">
      <c r="L6796" s="32"/>
    </row>
    <row r="6797" spans="12:12" x14ac:dyDescent="0.25">
      <c r="L6797" s="32"/>
    </row>
    <row r="6798" spans="12:12" x14ac:dyDescent="0.25">
      <c r="L6798" s="32"/>
    </row>
    <row r="6799" spans="12:12" x14ac:dyDescent="0.25">
      <c r="L6799" s="32"/>
    </row>
    <row r="6800" spans="12:12" x14ac:dyDescent="0.25">
      <c r="L6800" s="32"/>
    </row>
    <row r="6801" spans="12:12" x14ac:dyDescent="0.25">
      <c r="L6801" s="32"/>
    </row>
    <row r="6802" spans="12:12" x14ac:dyDescent="0.25">
      <c r="L6802" s="32"/>
    </row>
    <row r="6803" spans="12:12" x14ac:dyDescent="0.25">
      <c r="L6803" s="32"/>
    </row>
    <row r="6804" spans="12:12" x14ac:dyDescent="0.25">
      <c r="L6804" s="32"/>
    </row>
    <row r="6805" spans="12:12" x14ac:dyDescent="0.25">
      <c r="L6805" s="32"/>
    </row>
    <row r="6806" spans="12:12" x14ac:dyDescent="0.25">
      <c r="L6806" s="32"/>
    </row>
    <row r="6807" spans="12:12" x14ac:dyDescent="0.25">
      <c r="L6807" s="32"/>
    </row>
    <row r="6808" spans="12:12" x14ac:dyDescent="0.25">
      <c r="L6808" s="32"/>
    </row>
    <row r="6809" spans="12:12" x14ac:dyDescent="0.25">
      <c r="L6809" s="32"/>
    </row>
    <row r="6810" spans="12:12" x14ac:dyDescent="0.25">
      <c r="L6810" s="32"/>
    </row>
    <row r="6811" spans="12:12" x14ac:dyDescent="0.25">
      <c r="L6811" s="32"/>
    </row>
    <row r="6812" spans="12:12" x14ac:dyDescent="0.25">
      <c r="L6812" s="32"/>
    </row>
    <row r="6813" spans="12:12" x14ac:dyDescent="0.25">
      <c r="L6813" s="32"/>
    </row>
    <row r="6814" spans="12:12" x14ac:dyDescent="0.25">
      <c r="L6814" s="32"/>
    </row>
    <row r="6815" spans="12:12" x14ac:dyDescent="0.25">
      <c r="L6815" s="32"/>
    </row>
    <row r="6816" spans="12:12" x14ac:dyDescent="0.25">
      <c r="L6816" s="32"/>
    </row>
    <row r="6817" spans="12:12" x14ac:dyDescent="0.25">
      <c r="L6817" s="32"/>
    </row>
    <row r="6818" spans="12:12" x14ac:dyDescent="0.25">
      <c r="L6818" s="32"/>
    </row>
    <row r="6819" spans="12:12" x14ac:dyDescent="0.25">
      <c r="L6819" s="32"/>
    </row>
    <row r="6820" spans="12:12" x14ac:dyDescent="0.25">
      <c r="L6820" s="32"/>
    </row>
    <row r="6821" spans="12:12" x14ac:dyDescent="0.25">
      <c r="L6821" s="32"/>
    </row>
    <row r="6822" spans="12:12" x14ac:dyDescent="0.25">
      <c r="L6822" s="32"/>
    </row>
    <row r="6823" spans="12:12" x14ac:dyDescent="0.25">
      <c r="L6823" s="32"/>
    </row>
    <row r="6824" spans="12:12" x14ac:dyDescent="0.25">
      <c r="L6824" s="32"/>
    </row>
    <row r="6825" spans="12:12" x14ac:dyDescent="0.25">
      <c r="L6825" s="32"/>
    </row>
    <row r="6826" spans="12:12" x14ac:dyDescent="0.25">
      <c r="L6826" s="32"/>
    </row>
    <row r="6827" spans="12:12" x14ac:dyDescent="0.25">
      <c r="L6827" s="32"/>
    </row>
    <row r="6828" spans="12:12" x14ac:dyDescent="0.25">
      <c r="L6828" s="32"/>
    </row>
    <row r="6829" spans="12:12" x14ac:dyDescent="0.25">
      <c r="L6829" s="32"/>
    </row>
    <row r="6830" spans="12:12" x14ac:dyDescent="0.25">
      <c r="L6830" s="32"/>
    </row>
    <row r="6831" spans="12:12" x14ac:dyDescent="0.25">
      <c r="L6831" s="32"/>
    </row>
    <row r="6832" spans="12:12" x14ac:dyDescent="0.25">
      <c r="L6832" s="32"/>
    </row>
    <row r="6833" spans="12:12" x14ac:dyDescent="0.25">
      <c r="L6833" s="32"/>
    </row>
    <row r="6834" spans="12:12" x14ac:dyDescent="0.25">
      <c r="L6834" s="32"/>
    </row>
    <row r="6835" spans="12:12" x14ac:dyDescent="0.25">
      <c r="L6835" s="32"/>
    </row>
    <row r="6836" spans="12:12" x14ac:dyDescent="0.25">
      <c r="L6836" s="32"/>
    </row>
    <row r="6837" spans="12:12" x14ac:dyDescent="0.25">
      <c r="L6837" s="32"/>
    </row>
    <row r="6838" spans="12:12" x14ac:dyDescent="0.25">
      <c r="L6838" s="32"/>
    </row>
    <row r="6839" spans="12:12" x14ac:dyDescent="0.25">
      <c r="L6839" s="32"/>
    </row>
    <row r="6840" spans="12:12" x14ac:dyDescent="0.25">
      <c r="L6840" s="32"/>
    </row>
    <row r="6841" spans="12:12" x14ac:dyDescent="0.25">
      <c r="L6841" s="32"/>
    </row>
    <row r="6842" spans="12:12" x14ac:dyDescent="0.25">
      <c r="L6842" s="32"/>
    </row>
    <row r="6843" spans="12:12" x14ac:dyDescent="0.25">
      <c r="L6843" s="32"/>
    </row>
    <row r="6844" spans="12:12" x14ac:dyDescent="0.25">
      <c r="L6844" s="32"/>
    </row>
    <row r="6845" spans="12:12" x14ac:dyDescent="0.25">
      <c r="L6845" s="32"/>
    </row>
    <row r="6846" spans="12:12" x14ac:dyDescent="0.25">
      <c r="L6846" s="32"/>
    </row>
    <row r="6847" spans="12:12" x14ac:dyDescent="0.25">
      <c r="L6847" s="32"/>
    </row>
    <row r="6848" spans="12:12" x14ac:dyDescent="0.25">
      <c r="L6848" s="32"/>
    </row>
    <row r="6849" spans="12:12" x14ac:dyDescent="0.25">
      <c r="L6849" s="32"/>
    </row>
    <row r="6850" spans="12:12" x14ac:dyDescent="0.25">
      <c r="L6850" s="32"/>
    </row>
    <row r="6851" spans="12:12" x14ac:dyDescent="0.25">
      <c r="L6851" s="32"/>
    </row>
    <row r="6852" spans="12:12" x14ac:dyDescent="0.25">
      <c r="L6852" s="32"/>
    </row>
    <row r="6853" spans="12:12" x14ac:dyDescent="0.25">
      <c r="L6853" s="32"/>
    </row>
    <row r="6854" spans="12:12" x14ac:dyDescent="0.25">
      <c r="L6854" s="32"/>
    </row>
    <row r="6855" spans="12:12" x14ac:dyDescent="0.25">
      <c r="L6855" s="32"/>
    </row>
    <row r="6856" spans="12:12" x14ac:dyDescent="0.25">
      <c r="L6856" s="32"/>
    </row>
    <row r="6857" spans="12:12" x14ac:dyDescent="0.25">
      <c r="L6857" s="32"/>
    </row>
    <row r="6858" spans="12:12" x14ac:dyDescent="0.25">
      <c r="L6858" s="32"/>
    </row>
    <row r="6859" spans="12:12" x14ac:dyDescent="0.25">
      <c r="L6859" s="32"/>
    </row>
    <row r="6860" spans="12:12" x14ac:dyDescent="0.25">
      <c r="L6860" s="32"/>
    </row>
    <row r="6861" spans="12:12" x14ac:dyDescent="0.25">
      <c r="L6861" s="32"/>
    </row>
    <row r="6862" spans="12:12" x14ac:dyDescent="0.25">
      <c r="L6862" s="32"/>
    </row>
    <row r="6863" spans="12:12" x14ac:dyDescent="0.25">
      <c r="L6863" s="32"/>
    </row>
    <row r="6864" spans="12:12" x14ac:dyDescent="0.25">
      <c r="L6864" s="32"/>
    </row>
    <row r="6865" spans="12:12" x14ac:dyDescent="0.25">
      <c r="L6865" s="32"/>
    </row>
    <row r="6866" spans="12:12" x14ac:dyDescent="0.25">
      <c r="L6866" s="32"/>
    </row>
    <row r="6867" spans="12:12" x14ac:dyDescent="0.25">
      <c r="L6867" s="32"/>
    </row>
    <row r="6868" spans="12:12" x14ac:dyDescent="0.25">
      <c r="L6868" s="32"/>
    </row>
    <row r="6869" spans="12:12" x14ac:dyDescent="0.25">
      <c r="L6869" s="32"/>
    </row>
    <row r="6870" spans="12:12" x14ac:dyDescent="0.25">
      <c r="L6870" s="32"/>
    </row>
    <row r="6871" spans="12:12" x14ac:dyDescent="0.25">
      <c r="L6871" s="32"/>
    </row>
    <row r="6872" spans="12:12" x14ac:dyDescent="0.25">
      <c r="L6872" s="32"/>
    </row>
    <row r="6873" spans="12:12" x14ac:dyDescent="0.25">
      <c r="L6873" s="32"/>
    </row>
    <row r="6874" spans="12:12" x14ac:dyDescent="0.25">
      <c r="L6874" s="32"/>
    </row>
    <row r="6875" spans="12:12" x14ac:dyDescent="0.25">
      <c r="L6875" s="32"/>
    </row>
    <row r="6876" spans="12:12" x14ac:dyDescent="0.25">
      <c r="L6876" s="32"/>
    </row>
    <row r="6877" spans="12:12" x14ac:dyDescent="0.25">
      <c r="L6877" s="32"/>
    </row>
    <row r="6878" spans="12:12" x14ac:dyDescent="0.25">
      <c r="L6878" s="32"/>
    </row>
    <row r="6879" spans="12:12" x14ac:dyDescent="0.25">
      <c r="L6879" s="32"/>
    </row>
    <row r="6880" spans="12:12" x14ac:dyDescent="0.25">
      <c r="L6880" s="32"/>
    </row>
    <row r="6881" spans="12:12" x14ac:dyDescent="0.25">
      <c r="L6881" s="32"/>
    </row>
    <row r="6882" spans="12:12" x14ac:dyDescent="0.25">
      <c r="L6882" s="32"/>
    </row>
    <row r="6883" spans="12:12" x14ac:dyDescent="0.25">
      <c r="L6883" s="32"/>
    </row>
    <row r="6884" spans="12:12" x14ac:dyDescent="0.25">
      <c r="L6884" s="32"/>
    </row>
    <row r="6885" spans="12:12" x14ac:dyDescent="0.25">
      <c r="L6885" s="32"/>
    </row>
    <row r="6886" spans="12:12" x14ac:dyDescent="0.25">
      <c r="L6886" s="32"/>
    </row>
    <row r="6887" spans="12:12" x14ac:dyDescent="0.25">
      <c r="L6887" s="32"/>
    </row>
    <row r="6888" spans="12:12" x14ac:dyDescent="0.25">
      <c r="L6888" s="32"/>
    </row>
    <row r="6889" spans="12:12" x14ac:dyDescent="0.25">
      <c r="L6889" s="32"/>
    </row>
    <row r="6890" spans="12:12" x14ac:dyDescent="0.25">
      <c r="L6890" s="32"/>
    </row>
    <row r="6891" spans="12:12" x14ac:dyDescent="0.25">
      <c r="L6891" s="32"/>
    </row>
    <row r="6892" spans="12:12" x14ac:dyDescent="0.25">
      <c r="L6892" s="32"/>
    </row>
    <row r="6893" spans="12:12" x14ac:dyDescent="0.25">
      <c r="L6893" s="32"/>
    </row>
    <row r="6894" spans="12:12" x14ac:dyDescent="0.25">
      <c r="L6894" s="32"/>
    </row>
    <row r="6895" spans="12:12" x14ac:dyDescent="0.25">
      <c r="L6895" s="32"/>
    </row>
    <row r="6896" spans="12:12" x14ac:dyDescent="0.25">
      <c r="L6896" s="32"/>
    </row>
    <row r="6897" spans="12:12" x14ac:dyDescent="0.25">
      <c r="L6897" s="32"/>
    </row>
    <row r="6898" spans="12:12" x14ac:dyDescent="0.25">
      <c r="L6898" s="32"/>
    </row>
    <row r="6899" spans="12:12" x14ac:dyDescent="0.25">
      <c r="L6899" s="32"/>
    </row>
    <row r="6900" spans="12:12" x14ac:dyDescent="0.25">
      <c r="L6900" s="32"/>
    </row>
    <row r="6901" spans="12:12" x14ac:dyDescent="0.25">
      <c r="L6901" s="32"/>
    </row>
    <row r="6902" spans="12:12" x14ac:dyDescent="0.25">
      <c r="L6902" s="32"/>
    </row>
    <row r="6903" spans="12:12" x14ac:dyDescent="0.25">
      <c r="L6903" s="32"/>
    </row>
    <row r="6904" spans="12:12" x14ac:dyDescent="0.25">
      <c r="L6904" s="32"/>
    </row>
    <row r="6905" spans="12:12" x14ac:dyDescent="0.25">
      <c r="L6905" s="32"/>
    </row>
    <row r="6906" spans="12:12" x14ac:dyDescent="0.25">
      <c r="L6906" s="32"/>
    </row>
    <row r="6907" spans="12:12" x14ac:dyDescent="0.25">
      <c r="L6907" s="32"/>
    </row>
    <row r="6908" spans="12:12" x14ac:dyDescent="0.25">
      <c r="L6908" s="32"/>
    </row>
    <row r="6909" spans="12:12" x14ac:dyDescent="0.25">
      <c r="L6909" s="32"/>
    </row>
    <row r="6910" spans="12:12" x14ac:dyDescent="0.25">
      <c r="L6910" s="32"/>
    </row>
    <row r="6911" spans="12:12" x14ac:dyDescent="0.25">
      <c r="L6911" s="32"/>
    </row>
    <row r="6912" spans="12:12" x14ac:dyDescent="0.25">
      <c r="L6912" s="32"/>
    </row>
    <row r="6913" spans="12:12" x14ac:dyDescent="0.25">
      <c r="L6913" s="32"/>
    </row>
    <row r="6914" spans="12:12" x14ac:dyDescent="0.25">
      <c r="L6914" s="32"/>
    </row>
    <row r="6915" spans="12:12" x14ac:dyDescent="0.25">
      <c r="L6915" s="32"/>
    </row>
    <row r="6916" spans="12:12" x14ac:dyDescent="0.25">
      <c r="L6916" s="32"/>
    </row>
    <row r="6917" spans="12:12" x14ac:dyDescent="0.25">
      <c r="L6917" s="32"/>
    </row>
    <row r="6918" spans="12:12" x14ac:dyDescent="0.25">
      <c r="L6918" s="32"/>
    </row>
    <row r="6919" spans="12:12" x14ac:dyDescent="0.25">
      <c r="L6919" s="32"/>
    </row>
    <row r="6920" spans="12:12" x14ac:dyDescent="0.25">
      <c r="L6920" s="32"/>
    </row>
    <row r="6921" spans="12:12" x14ac:dyDescent="0.25">
      <c r="L6921" s="32"/>
    </row>
    <row r="6922" spans="12:12" x14ac:dyDescent="0.25">
      <c r="L6922" s="32"/>
    </row>
    <row r="6923" spans="12:12" x14ac:dyDescent="0.25">
      <c r="L6923" s="32"/>
    </row>
    <row r="6924" spans="12:12" x14ac:dyDescent="0.25">
      <c r="L6924" s="32"/>
    </row>
    <row r="6925" spans="12:12" x14ac:dyDescent="0.25">
      <c r="L6925" s="32"/>
    </row>
    <row r="6926" spans="12:12" x14ac:dyDescent="0.25">
      <c r="L6926" s="32"/>
    </row>
    <row r="6927" spans="12:12" x14ac:dyDescent="0.25">
      <c r="L6927" s="32"/>
    </row>
    <row r="6928" spans="12:12" x14ac:dyDescent="0.25">
      <c r="L6928" s="32"/>
    </row>
    <row r="6929" spans="12:12" x14ac:dyDescent="0.25">
      <c r="L6929" s="32"/>
    </row>
    <row r="6930" spans="12:12" x14ac:dyDescent="0.25">
      <c r="L6930" s="32"/>
    </row>
    <row r="6931" spans="12:12" x14ac:dyDescent="0.25">
      <c r="L6931" s="32"/>
    </row>
    <row r="6932" spans="12:12" x14ac:dyDescent="0.25">
      <c r="L6932" s="32"/>
    </row>
    <row r="6933" spans="12:12" x14ac:dyDescent="0.25">
      <c r="L6933" s="32"/>
    </row>
    <row r="6934" spans="12:12" x14ac:dyDescent="0.25">
      <c r="L6934" s="32"/>
    </row>
    <row r="6935" spans="12:12" x14ac:dyDescent="0.25">
      <c r="L6935" s="32"/>
    </row>
    <row r="6936" spans="12:12" x14ac:dyDescent="0.25">
      <c r="L6936" s="32"/>
    </row>
    <row r="6937" spans="12:12" x14ac:dyDescent="0.25">
      <c r="L6937" s="32"/>
    </row>
    <row r="6938" spans="12:12" x14ac:dyDescent="0.25">
      <c r="L6938" s="32"/>
    </row>
    <row r="6939" spans="12:12" x14ac:dyDescent="0.25">
      <c r="L6939" s="32"/>
    </row>
    <row r="6940" spans="12:12" x14ac:dyDescent="0.25">
      <c r="L6940" s="32"/>
    </row>
    <row r="6941" spans="12:12" x14ac:dyDescent="0.25">
      <c r="L6941" s="32"/>
    </row>
    <row r="6942" spans="12:12" x14ac:dyDescent="0.25">
      <c r="L6942" s="32"/>
    </row>
    <row r="6943" spans="12:12" x14ac:dyDescent="0.25">
      <c r="L6943" s="32"/>
    </row>
    <row r="6944" spans="12:12" x14ac:dyDescent="0.25">
      <c r="L6944" s="32"/>
    </row>
    <row r="6945" spans="12:12" x14ac:dyDescent="0.25">
      <c r="L6945" s="32"/>
    </row>
    <row r="6946" spans="12:12" x14ac:dyDescent="0.25">
      <c r="L6946" s="32"/>
    </row>
    <row r="6947" spans="12:12" x14ac:dyDescent="0.25">
      <c r="L6947" s="32"/>
    </row>
    <row r="6948" spans="12:12" x14ac:dyDescent="0.25">
      <c r="L6948" s="32"/>
    </row>
    <row r="6949" spans="12:12" x14ac:dyDescent="0.25">
      <c r="L6949" s="32"/>
    </row>
    <row r="6950" spans="12:12" x14ac:dyDescent="0.25">
      <c r="L6950" s="32"/>
    </row>
    <row r="6951" spans="12:12" x14ac:dyDescent="0.25">
      <c r="L6951" s="32"/>
    </row>
    <row r="6952" spans="12:12" x14ac:dyDescent="0.25">
      <c r="L6952" s="32"/>
    </row>
    <row r="6953" spans="12:12" x14ac:dyDescent="0.25">
      <c r="L6953" s="32"/>
    </row>
    <row r="6954" spans="12:12" x14ac:dyDescent="0.25">
      <c r="L6954" s="32"/>
    </row>
    <row r="6955" spans="12:12" x14ac:dyDescent="0.25">
      <c r="L6955" s="32"/>
    </row>
    <row r="6956" spans="12:12" x14ac:dyDescent="0.25">
      <c r="L6956" s="32"/>
    </row>
    <row r="6957" spans="12:12" x14ac:dyDescent="0.25">
      <c r="L6957" s="32"/>
    </row>
    <row r="6958" spans="12:12" x14ac:dyDescent="0.25">
      <c r="L6958" s="32"/>
    </row>
    <row r="6959" spans="12:12" x14ac:dyDescent="0.25">
      <c r="L6959" s="32"/>
    </row>
    <row r="6960" spans="12:12" x14ac:dyDescent="0.25">
      <c r="L6960" s="32"/>
    </row>
    <row r="6961" spans="12:12" x14ac:dyDescent="0.25">
      <c r="L6961" s="32"/>
    </row>
    <row r="6962" spans="12:12" x14ac:dyDescent="0.25">
      <c r="L6962" s="32"/>
    </row>
    <row r="6963" spans="12:12" x14ac:dyDescent="0.25">
      <c r="L6963" s="32"/>
    </row>
    <row r="6964" spans="12:12" x14ac:dyDescent="0.25">
      <c r="L6964" s="32"/>
    </row>
    <row r="6965" spans="12:12" x14ac:dyDescent="0.25">
      <c r="L6965" s="32"/>
    </row>
    <row r="6966" spans="12:12" x14ac:dyDescent="0.25">
      <c r="L6966" s="32"/>
    </row>
    <row r="6967" spans="12:12" x14ac:dyDescent="0.25">
      <c r="L6967" s="32"/>
    </row>
    <row r="6968" spans="12:12" x14ac:dyDescent="0.25">
      <c r="L6968" s="32"/>
    </row>
    <row r="6969" spans="12:12" x14ac:dyDescent="0.25">
      <c r="L6969" s="32"/>
    </row>
    <row r="6970" spans="12:12" x14ac:dyDescent="0.25">
      <c r="L6970" s="32"/>
    </row>
    <row r="6971" spans="12:12" x14ac:dyDescent="0.25">
      <c r="L6971" s="32"/>
    </row>
    <row r="6972" spans="12:12" x14ac:dyDescent="0.25">
      <c r="L6972" s="32"/>
    </row>
    <row r="6973" spans="12:12" x14ac:dyDescent="0.25">
      <c r="L6973" s="32"/>
    </row>
    <row r="6974" spans="12:12" x14ac:dyDescent="0.25">
      <c r="L6974" s="32"/>
    </row>
    <row r="6975" spans="12:12" x14ac:dyDescent="0.25">
      <c r="L6975" s="32"/>
    </row>
    <row r="6976" spans="12:12" x14ac:dyDescent="0.25">
      <c r="L6976" s="32"/>
    </row>
    <row r="6977" spans="12:12" x14ac:dyDescent="0.25">
      <c r="L6977" s="32"/>
    </row>
    <row r="6978" spans="12:12" x14ac:dyDescent="0.25">
      <c r="L6978" s="32"/>
    </row>
    <row r="6979" spans="12:12" x14ac:dyDescent="0.25">
      <c r="L6979" s="32"/>
    </row>
    <row r="6980" spans="12:12" x14ac:dyDescent="0.25">
      <c r="L6980" s="32"/>
    </row>
    <row r="6981" spans="12:12" x14ac:dyDescent="0.25">
      <c r="L6981" s="32"/>
    </row>
    <row r="6982" spans="12:12" x14ac:dyDescent="0.25">
      <c r="L6982" s="32"/>
    </row>
    <row r="6983" spans="12:12" x14ac:dyDescent="0.25">
      <c r="L6983" s="32"/>
    </row>
    <row r="6984" spans="12:12" x14ac:dyDescent="0.25">
      <c r="L6984" s="32"/>
    </row>
    <row r="6985" spans="12:12" x14ac:dyDescent="0.25">
      <c r="L6985" s="32"/>
    </row>
    <row r="6986" spans="12:12" x14ac:dyDescent="0.25">
      <c r="L6986" s="32"/>
    </row>
    <row r="6987" spans="12:12" x14ac:dyDescent="0.25">
      <c r="L6987" s="32"/>
    </row>
    <row r="6988" spans="12:12" x14ac:dyDescent="0.25">
      <c r="L6988" s="32"/>
    </row>
    <row r="6989" spans="12:12" x14ac:dyDescent="0.25">
      <c r="L6989" s="32"/>
    </row>
    <row r="6990" spans="12:12" x14ac:dyDescent="0.25">
      <c r="L6990" s="32"/>
    </row>
    <row r="6991" spans="12:12" x14ac:dyDescent="0.25">
      <c r="L6991" s="32"/>
    </row>
    <row r="6992" spans="12:12" x14ac:dyDescent="0.25">
      <c r="L6992" s="32"/>
    </row>
    <row r="6993" spans="12:12" x14ac:dyDescent="0.25">
      <c r="L6993" s="32"/>
    </row>
    <row r="6994" spans="12:12" x14ac:dyDescent="0.25">
      <c r="L6994" s="32"/>
    </row>
    <row r="6995" spans="12:12" x14ac:dyDescent="0.25">
      <c r="L6995" s="32"/>
    </row>
    <row r="6996" spans="12:12" x14ac:dyDescent="0.25">
      <c r="L6996" s="32"/>
    </row>
    <row r="6997" spans="12:12" x14ac:dyDescent="0.25">
      <c r="L6997" s="32"/>
    </row>
    <row r="6998" spans="12:12" x14ac:dyDescent="0.25">
      <c r="L6998" s="32"/>
    </row>
    <row r="6999" spans="12:12" x14ac:dyDescent="0.25">
      <c r="L6999" s="32"/>
    </row>
    <row r="7000" spans="12:12" x14ac:dyDescent="0.25">
      <c r="L7000" s="32"/>
    </row>
    <row r="7001" spans="12:12" x14ac:dyDescent="0.25">
      <c r="L7001" s="32"/>
    </row>
    <row r="7002" spans="12:12" x14ac:dyDescent="0.25">
      <c r="L7002" s="32"/>
    </row>
    <row r="7003" spans="12:12" x14ac:dyDescent="0.25">
      <c r="L7003" s="32"/>
    </row>
    <row r="7004" spans="12:12" x14ac:dyDescent="0.25">
      <c r="L7004" s="32"/>
    </row>
    <row r="7005" spans="12:12" x14ac:dyDescent="0.25">
      <c r="L7005" s="32"/>
    </row>
    <row r="7006" spans="12:12" x14ac:dyDescent="0.25">
      <c r="L7006" s="32"/>
    </row>
    <row r="7007" spans="12:12" x14ac:dyDescent="0.25">
      <c r="L7007" s="32"/>
    </row>
    <row r="7008" spans="12:12" x14ac:dyDescent="0.25">
      <c r="L7008" s="32"/>
    </row>
    <row r="7009" spans="12:12" x14ac:dyDescent="0.25">
      <c r="L7009" s="32"/>
    </row>
    <row r="7010" spans="12:12" x14ac:dyDescent="0.25">
      <c r="L7010" s="32"/>
    </row>
    <row r="7011" spans="12:12" x14ac:dyDescent="0.25">
      <c r="L7011" s="32"/>
    </row>
    <row r="7012" spans="12:12" x14ac:dyDescent="0.25">
      <c r="L7012" s="32"/>
    </row>
    <row r="7013" spans="12:12" x14ac:dyDescent="0.25">
      <c r="L7013" s="32"/>
    </row>
    <row r="7014" spans="12:12" x14ac:dyDescent="0.25">
      <c r="L7014" s="32"/>
    </row>
    <row r="7015" spans="12:12" x14ac:dyDescent="0.25">
      <c r="L7015" s="32"/>
    </row>
    <row r="7016" spans="12:12" x14ac:dyDescent="0.25">
      <c r="L7016" s="32"/>
    </row>
    <row r="7017" spans="12:12" x14ac:dyDescent="0.25">
      <c r="L7017" s="32"/>
    </row>
    <row r="7018" spans="12:12" x14ac:dyDescent="0.25">
      <c r="L7018" s="32"/>
    </row>
    <row r="7019" spans="12:12" x14ac:dyDescent="0.25">
      <c r="L7019" s="32"/>
    </row>
    <row r="7020" spans="12:12" x14ac:dyDescent="0.25">
      <c r="L7020" s="32"/>
    </row>
    <row r="7021" spans="12:12" x14ac:dyDescent="0.25">
      <c r="L7021" s="32"/>
    </row>
    <row r="7022" spans="12:12" x14ac:dyDescent="0.25">
      <c r="L7022" s="32"/>
    </row>
    <row r="7023" spans="12:12" x14ac:dyDescent="0.25">
      <c r="L7023" s="32"/>
    </row>
    <row r="7024" spans="12:12" x14ac:dyDescent="0.25">
      <c r="L7024" s="32"/>
    </row>
    <row r="7025" spans="12:12" x14ac:dyDescent="0.25">
      <c r="L7025" s="32"/>
    </row>
    <row r="7026" spans="12:12" x14ac:dyDescent="0.25">
      <c r="L7026" s="32"/>
    </row>
    <row r="7027" spans="12:12" x14ac:dyDescent="0.25">
      <c r="L7027" s="32"/>
    </row>
    <row r="7028" spans="12:12" x14ac:dyDescent="0.25">
      <c r="L7028" s="32"/>
    </row>
    <row r="7029" spans="12:12" x14ac:dyDescent="0.25">
      <c r="L7029" s="32"/>
    </row>
    <row r="7030" spans="12:12" x14ac:dyDescent="0.25">
      <c r="L7030" s="32"/>
    </row>
    <row r="7031" spans="12:12" x14ac:dyDescent="0.25">
      <c r="L7031" s="32"/>
    </row>
    <row r="7032" spans="12:12" x14ac:dyDescent="0.25">
      <c r="L7032" s="32"/>
    </row>
    <row r="7033" spans="12:12" x14ac:dyDescent="0.25">
      <c r="L7033" s="32"/>
    </row>
    <row r="7034" spans="12:12" x14ac:dyDescent="0.25">
      <c r="L7034" s="32"/>
    </row>
    <row r="7035" spans="12:12" x14ac:dyDescent="0.25">
      <c r="L7035" s="32"/>
    </row>
    <row r="7036" spans="12:12" x14ac:dyDescent="0.25">
      <c r="L7036" s="32"/>
    </row>
    <row r="7037" spans="12:12" x14ac:dyDescent="0.25">
      <c r="L7037" s="32"/>
    </row>
    <row r="7038" spans="12:12" x14ac:dyDescent="0.25">
      <c r="L7038" s="32"/>
    </row>
    <row r="7039" spans="12:12" x14ac:dyDescent="0.25">
      <c r="L7039" s="32"/>
    </row>
    <row r="7040" spans="12:12" x14ac:dyDescent="0.25">
      <c r="L7040" s="32"/>
    </row>
    <row r="7041" spans="12:12" x14ac:dyDescent="0.25">
      <c r="L7041" s="32"/>
    </row>
    <row r="7042" spans="12:12" x14ac:dyDescent="0.25">
      <c r="L7042" s="32"/>
    </row>
    <row r="7043" spans="12:12" x14ac:dyDescent="0.25">
      <c r="L7043" s="32"/>
    </row>
    <row r="7044" spans="12:12" x14ac:dyDescent="0.25">
      <c r="L7044" s="32"/>
    </row>
    <row r="7045" spans="12:12" x14ac:dyDescent="0.25">
      <c r="L7045" s="32"/>
    </row>
    <row r="7046" spans="12:12" x14ac:dyDescent="0.25">
      <c r="L7046" s="32"/>
    </row>
    <row r="7047" spans="12:12" x14ac:dyDescent="0.25">
      <c r="L7047" s="32"/>
    </row>
    <row r="7048" spans="12:12" x14ac:dyDescent="0.25">
      <c r="L7048" s="32"/>
    </row>
    <row r="7049" spans="12:12" x14ac:dyDescent="0.25">
      <c r="L7049" s="32"/>
    </row>
    <row r="7050" spans="12:12" x14ac:dyDescent="0.25">
      <c r="L7050" s="32"/>
    </row>
    <row r="7051" spans="12:12" x14ac:dyDescent="0.25">
      <c r="L7051" s="32"/>
    </row>
    <row r="7052" spans="12:12" x14ac:dyDescent="0.25">
      <c r="L7052" s="32"/>
    </row>
    <row r="7053" spans="12:12" x14ac:dyDescent="0.25">
      <c r="L7053" s="32"/>
    </row>
    <row r="7054" spans="12:12" x14ac:dyDescent="0.25">
      <c r="L7054" s="32"/>
    </row>
    <row r="7055" spans="12:12" x14ac:dyDescent="0.25">
      <c r="L7055" s="32"/>
    </row>
    <row r="7056" spans="12:12" x14ac:dyDescent="0.25">
      <c r="L7056" s="32"/>
    </row>
    <row r="7057" spans="12:12" x14ac:dyDescent="0.25">
      <c r="L7057" s="32"/>
    </row>
    <row r="7058" spans="12:12" x14ac:dyDescent="0.25">
      <c r="L7058" s="32"/>
    </row>
    <row r="7059" spans="12:12" x14ac:dyDescent="0.25">
      <c r="L7059" s="32"/>
    </row>
    <row r="7060" spans="12:12" x14ac:dyDescent="0.25">
      <c r="L7060" s="32"/>
    </row>
    <row r="7061" spans="12:12" x14ac:dyDescent="0.25">
      <c r="L7061" s="32"/>
    </row>
    <row r="7062" spans="12:12" x14ac:dyDescent="0.25">
      <c r="L7062" s="32"/>
    </row>
    <row r="7063" spans="12:12" x14ac:dyDescent="0.25">
      <c r="L7063" s="32"/>
    </row>
    <row r="7064" spans="12:12" x14ac:dyDescent="0.25">
      <c r="L7064" s="32"/>
    </row>
    <row r="7065" spans="12:12" x14ac:dyDescent="0.25">
      <c r="L7065" s="32"/>
    </row>
    <row r="7066" spans="12:12" x14ac:dyDescent="0.25">
      <c r="L7066" s="32"/>
    </row>
    <row r="7067" spans="12:12" x14ac:dyDescent="0.25">
      <c r="L7067" s="32"/>
    </row>
    <row r="7068" spans="12:12" x14ac:dyDescent="0.25">
      <c r="L7068" s="32"/>
    </row>
    <row r="7069" spans="12:12" x14ac:dyDescent="0.25">
      <c r="L7069" s="32"/>
    </row>
    <row r="7070" spans="12:12" x14ac:dyDescent="0.25">
      <c r="L7070" s="32"/>
    </row>
    <row r="7071" spans="12:12" x14ac:dyDescent="0.25">
      <c r="L7071" s="32"/>
    </row>
    <row r="7072" spans="12:12" x14ac:dyDescent="0.25">
      <c r="L7072" s="32"/>
    </row>
    <row r="7073" spans="12:12" x14ac:dyDescent="0.25">
      <c r="L7073" s="32"/>
    </row>
    <row r="7074" spans="12:12" x14ac:dyDescent="0.25">
      <c r="L7074" s="32"/>
    </row>
    <row r="7075" spans="12:12" x14ac:dyDescent="0.25">
      <c r="L7075" s="32"/>
    </row>
    <row r="7076" spans="12:12" x14ac:dyDescent="0.25">
      <c r="L7076" s="32"/>
    </row>
    <row r="7077" spans="12:12" x14ac:dyDescent="0.25">
      <c r="L7077" s="32"/>
    </row>
    <row r="7078" spans="12:12" x14ac:dyDescent="0.25">
      <c r="L7078" s="32"/>
    </row>
    <row r="7079" spans="12:12" x14ac:dyDescent="0.25">
      <c r="L7079" s="32"/>
    </row>
    <row r="7080" spans="12:12" x14ac:dyDescent="0.25">
      <c r="L7080" s="32"/>
    </row>
    <row r="7081" spans="12:12" x14ac:dyDescent="0.25">
      <c r="L7081" s="32"/>
    </row>
    <row r="7082" spans="12:12" x14ac:dyDescent="0.25">
      <c r="L7082" s="32"/>
    </row>
    <row r="7083" spans="12:12" x14ac:dyDescent="0.25">
      <c r="L7083" s="32"/>
    </row>
    <row r="7084" spans="12:12" x14ac:dyDescent="0.25">
      <c r="L7084" s="32"/>
    </row>
    <row r="7085" spans="12:12" x14ac:dyDescent="0.25">
      <c r="L7085" s="32"/>
    </row>
    <row r="7086" spans="12:12" x14ac:dyDescent="0.25">
      <c r="L7086" s="32"/>
    </row>
    <row r="7087" spans="12:12" x14ac:dyDescent="0.25">
      <c r="L7087" s="32"/>
    </row>
    <row r="7088" spans="12:12" x14ac:dyDescent="0.25">
      <c r="L7088" s="32"/>
    </row>
    <row r="7089" spans="12:12" x14ac:dyDescent="0.25">
      <c r="L7089" s="32"/>
    </row>
    <row r="7090" spans="12:12" x14ac:dyDescent="0.25">
      <c r="L7090" s="32"/>
    </row>
    <row r="7091" spans="12:12" x14ac:dyDescent="0.25">
      <c r="L7091" s="32"/>
    </row>
    <row r="7092" spans="12:12" x14ac:dyDescent="0.25">
      <c r="L7092" s="32"/>
    </row>
    <row r="7093" spans="12:12" x14ac:dyDescent="0.25">
      <c r="L7093" s="32"/>
    </row>
    <row r="7094" spans="12:12" x14ac:dyDescent="0.25">
      <c r="L7094" s="32"/>
    </row>
    <row r="7095" spans="12:12" x14ac:dyDescent="0.25">
      <c r="L7095" s="32"/>
    </row>
    <row r="7096" spans="12:12" x14ac:dyDescent="0.25">
      <c r="L7096" s="32"/>
    </row>
    <row r="7097" spans="12:12" x14ac:dyDescent="0.25">
      <c r="L7097" s="32"/>
    </row>
    <row r="7098" spans="12:12" x14ac:dyDescent="0.25">
      <c r="L7098" s="32"/>
    </row>
    <row r="7099" spans="12:12" x14ac:dyDescent="0.25">
      <c r="L7099" s="32"/>
    </row>
    <row r="7100" spans="12:12" x14ac:dyDescent="0.25">
      <c r="L7100" s="32"/>
    </row>
    <row r="7101" spans="12:12" x14ac:dyDescent="0.25">
      <c r="L7101" s="32"/>
    </row>
    <row r="7102" spans="12:12" x14ac:dyDescent="0.25">
      <c r="L7102" s="32"/>
    </row>
    <row r="7103" spans="12:12" x14ac:dyDescent="0.25">
      <c r="L7103" s="32"/>
    </row>
    <row r="7104" spans="12:12" x14ac:dyDescent="0.25">
      <c r="L7104" s="32"/>
    </row>
    <row r="7105" spans="12:12" x14ac:dyDescent="0.25">
      <c r="L7105" s="32"/>
    </row>
    <row r="7106" spans="12:12" x14ac:dyDescent="0.25">
      <c r="L7106" s="32"/>
    </row>
    <row r="7107" spans="12:12" x14ac:dyDescent="0.25">
      <c r="L7107" s="32"/>
    </row>
    <row r="7108" spans="12:12" x14ac:dyDescent="0.25">
      <c r="L7108" s="32"/>
    </row>
    <row r="7109" spans="12:12" x14ac:dyDescent="0.25">
      <c r="L7109" s="32"/>
    </row>
    <row r="7110" spans="12:12" x14ac:dyDescent="0.25">
      <c r="L7110" s="32"/>
    </row>
    <row r="7111" spans="12:12" x14ac:dyDescent="0.25">
      <c r="L7111" s="32"/>
    </row>
    <row r="7112" spans="12:12" x14ac:dyDescent="0.25">
      <c r="L7112" s="32"/>
    </row>
    <row r="7113" spans="12:12" x14ac:dyDescent="0.25">
      <c r="L7113" s="32"/>
    </row>
    <row r="7114" spans="12:12" x14ac:dyDescent="0.25">
      <c r="L7114" s="32"/>
    </row>
    <row r="7115" spans="12:12" x14ac:dyDescent="0.25">
      <c r="L7115" s="32"/>
    </row>
    <row r="7116" spans="12:12" x14ac:dyDescent="0.25">
      <c r="L7116" s="32"/>
    </row>
    <row r="7117" spans="12:12" x14ac:dyDescent="0.25">
      <c r="L7117" s="32"/>
    </row>
    <row r="7118" spans="12:12" x14ac:dyDescent="0.25">
      <c r="L7118" s="32"/>
    </row>
    <row r="7119" spans="12:12" x14ac:dyDescent="0.25">
      <c r="L7119" s="32"/>
    </row>
    <row r="7120" spans="12:12" x14ac:dyDescent="0.25">
      <c r="L7120" s="32"/>
    </row>
    <row r="7121" spans="12:12" x14ac:dyDescent="0.25">
      <c r="L7121" s="32"/>
    </row>
    <row r="7122" spans="12:12" x14ac:dyDescent="0.25">
      <c r="L7122" s="32"/>
    </row>
    <row r="7123" spans="12:12" x14ac:dyDescent="0.25">
      <c r="L7123" s="32"/>
    </row>
    <row r="7124" spans="12:12" x14ac:dyDescent="0.25">
      <c r="L7124" s="32"/>
    </row>
    <row r="7125" spans="12:12" x14ac:dyDescent="0.25">
      <c r="L7125" s="32"/>
    </row>
    <row r="7126" spans="12:12" x14ac:dyDescent="0.25">
      <c r="L7126" s="32"/>
    </row>
    <row r="7127" spans="12:12" x14ac:dyDescent="0.25">
      <c r="L7127" s="32"/>
    </row>
    <row r="7128" spans="12:12" x14ac:dyDescent="0.25">
      <c r="L7128" s="32"/>
    </row>
    <row r="7129" spans="12:12" x14ac:dyDescent="0.25">
      <c r="L7129" s="32"/>
    </row>
    <row r="7130" spans="12:12" x14ac:dyDescent="0.25">
      <c r="L7130" s="32"/>
    </row>
    <row r="7131" spans="12:12" x14ac:dyDescent="0.25">
      <c r="L7131" s="32"/>
    </row>
    <row r="7132" spans="12:12" x14ac:dyDescent="0.25">
      <c r="L7132" s="32"/>
    </row>
    <row r="7133" spans="12:12" x14ac:dyDescent="0.25">
      <c r="L7133" s="32"/>
    </row>
    <row r="7134" spans="12:12" x14ac:dyDescent="0.25">
      <c r="L7134" s="32"/>
    </row>
    <row r="7135" spans="12:12" x14ac:dyDescent="0.25">
      <c r="L7135" s="32"/>
    </row>
    <row r="7136" spans="12:12" x14ac:dyDescent="0.25">
      <c r="L7136" s="32"/>
    </row>
    <row r="7137" spans="12:12" x14ac:dyDescent="0.25">
      <c r="L7137" s="32"/>
    </row>
    <row r="7138" spans="12:12" x14ac:dyDescent="0.25">
      <c r="L7138" s="32"/>
    </row>
    <row r="7139" spans="12:12" x14ac:dyDescent="0.25">
      <c r="L7139" s="32"/>
    </row>
    <row r="7140" spans="12:12" x14ac:dyDescent="0.25">
      <c r="L7140" s="32"/>
    </row>
    <row r="7141" spans="12:12" x14ac:dyDescent="0.25">
      <c r="L7141" s="32"/>
    </row>
    <row r="7142" spans="12:12" x14ac:dyDescent="0.25">
      <c r="L7142" s="32"/>
    </row>
    <row r="7143" spans="12:12" x14ac:dyDescent="0.25">
      <c r="L7143" s="32"/>
    </row>
    <row r="7144" spans="12:12" x14ac:dyDescent="0.25">
      <c r="L7144" s="32"/>
    </row>
    <row r="7145" spans="12:12" x14ac:dyDescent="0.25">
      <c r="L7145" s="32"/>
    </row>
    <row r="7146" spans="12:12" x14ac:dyDescent="0.25">
      <c r="L7146" s="32"/>
    </row>
    <row r="7147" spans="12:12" x14ac:dyDescent="0.25">
      <c r="L7147" s="32"/>
    </row>
    <row r="7148" spans="12:12" x14ac:dyDescent="0.25">
      <c r="L7148" s="32"/>
    </row>
    <row r="7149" spans="12:12" x14ac:dyDescent="0.25">
      <c r="L7149" s="32"/>
    </row>
    <row r="7150" spans="12:12" x14ac:dyDescent="0.25">
      <c r="L7150" s="32"/>
    </row>
    <row r="7151" spans="12:12" x14ac:dyDescent="0.25">
      <c r="L7151" s="32"/>
    </row>
    <row r="7152" spans="12:12" x14ac:dyDescent="0.25">
      <c r="L7152" s="32"/>
    </row>
    <row r="7153" spans="12:12" x14ac:dyDescent="0.25">
      <c r="L7153" s="32"/>
    </row>
    <row r="7154" spans="12:12" x14ac:dyDescent="0.25">
      <c r="L7154" s="32"/>
    </row>
    <row r="7155" spans="12:12" x14ac:dyDescent="0.25">
      <c r="L7155" s="32"/>
    </row>
    <row r="7156" spans="12:12" x14ac:dyDescent="0.25">
      <c r="L7156" s="32"/>
    </row>
    <row r="7157" spans="12:12" x14ac:dyDescent="0.25">
      <c r="L7157" s="32"/>
    </row>
    <row r="7158" spans="12:12" x14ac:dyDescent="0.25">
      <c r="L7158" s="32"/>
    </row>
    <row r="7159" spans="12:12" x14ac:dyDescent="0.25">
      <c r="L7159" s="32"/>
    </row>
    <row r="7160" spans="12:12" x14ac:dyDescent="0.25">
      <c r="L7160" s="32"/>
    </row>
    <row r="7161" spans="12:12" x14ac:dyDescent="0.25">
      <c r="L7161" s="32"/>
    </row>
    <row r="7162" spans="12:12" x14ac:dyDescent="0.25">
      <c r="L7162" s="32"/>
    </row>
    <row r="7163" spans="12:12" x14ac:dyDescent="0.25">
      <c r="L7163" s="32"/>
    </row>
    <row r="7164" spans="12:12" x14ac:dyDescent="0.25">
      <c r="L7164" s="32"/>
    </row>
    <row r="7165" spans="12:12" x14ac:dyDescent="0.25">
      <c r="L7165" s="32"/>
    </row>
    <row r="7166" spans="12:12" x14ac:dyDescent="0.25">
      <c r="L7166" s="32"/>
    </row>
    <row r="7167" spans="12:12" x14ac:dyDescent="0.25">
      <c r="L7167" s="32"/>
    </row>
    <row r="7168" spans="12:12" x14ac:dyDescent="0.25">
      <c r="L7168" s="32"/>
    </row>
    <row r="7169" spans="12:12" x14ac:dyDescent="0.25">
      <c r="L7169" s="32"/>
    </row>
    <row r="7170" spans="12:12" x14ac:dyDescent="0.25">
      <c r="L7170" s="32"/>
    </row>
    <row r="7171" spans="12:12" x14ac:dyDescent="0.25">
      <c r="L7171" s="32"/>
    </row>
    <row r="7172" spans="12:12" x14ac:dyDescent="0.25">
      <c r="L7172" s="32"/>
    </row>
    <row r="7173" spans="12:12" x14ac:dyDescent="0.25">
      <c r="L7173" s="32"/>
    </row>
    <row r="7174" spans="12:12" x14ac:dyDescent="0.25">
      <c r="L7174" s="32"/>
    </row>
    <row r="7175" spans="12:12" x14ac:dyDescent="0.25">
      <c r="L7175" s="32"/>
    </row>
    <row r="7176" spans="12:12" x14ac:dyDescent="0.25">
      <c r="L7176" s="32"/>
    </row>
    <row r="7177" spans="12:12" x14ac:dyDescent="0.25">
      <c r="L7177" s="32"/>
    </row>
    <row r="7178" spans="12:12" x14ac:dyDescent="0.25">
      <c r="L7178" s="32"/>
    </row>
    <row r="7179" spans="12:12" x14ac:dyDescent="0.25">
      <c r="L7179" s="32"/>
    </row>
    <row r="7180" spans="12:12" x14ac:dyDescent="0.25">
      <c r="L7180" s="32"/>
    </row>
    <row r="7181" spans="12:12" x14ac:dyDescent="0.25">
      <c r="L7181" s="32"/>
    </row>
    <row r="7182" spans="12:12" x14ac:dyDescent="0.25">
      <c r="L7182" s="32"/>
    </row>
    <row r="7183" spans="12:12" x14ac:dyDescent="0.25">
      <c r="L7183" s="32"/>
    </row>
    <row r="7184" spans="12:12" x14ac:dyDescent="0.25">
      <c r="L7184" s="32"/>
    </row>
    <row r="7185" spans="12:12" x14ac:dyDescent="0.25">
      <c r="L7185" s="32"/>
    </row>
    <row r="7186" spans="12:12" x14ac:dyDescent="0.25">
      <c r="L7186" s="32"/>
    </row>
    <row r="7187" spans="12:12" x14ac:dyDescent="0.25">
      <c r="L7187" s="32"/>
    </row>
    <row r="7188" spans="12:12" x14ac:dyDescent="0.25">
      <c r="L7188" s="32"/>
    </row>
    <row r="7189" spans="12:12" x14ac:dyDescent="0.25">
      <c r="L7189" s="32"/>
    </row>
    <row r="7190" spans="12:12" x14ac:dyDescent="0.25">
      <c r="L7190" s="32"/>
    </row>
    <row r="7191" spans="12:12" x14ac:dyDescent="0.25">
      <c r="L7191" s="32"/>
    </row>
    <row r="7192" spans="12:12" x14ac:dyDescent="0.25">
      <c r="L7192" s="32"/>
    </row>
    <row r="7193" spans="12:12" x14ac:dyDescent="0.25">
      <c r="L7193" s="32"/>
    </row>
    <row r="7194" spans="12:12" x14ac:dyDescent="0.25">
      <c r="L7194" s="32"/>
    </row>
    <row r="7195" spans="12:12" x14ac:dyDescent="0.25">
      <c r="L7195" s="32"/>
    </row>
    <row r="7196" spans="12:12" x14ac:dyDescent="0.25">
      <c r="L7196" s="32"/>
    </row>
    <row r="7197" spans="12:12" x14ac:dyDescent="0.25">
      <c r="L7197" s="32"/>
    </row>
    <row r="7198" spans="12:12" x14ac:dyDescent="0.25">
      <c r="L7198" s="32"/>
    </row>
    <row r="7199" spans="12:12" x14ac:dyDescent="0.25">
      <c r="L7199" s="32"/>
    </row>
    <row r="7200" spans="12:12" x14ac:dyDescent="0.25">
      <c r="L7200" s="32"/>
    </row>
    <row r="7201" spans="12:12" x14ac:dyDescent="0.25">
      <c r="L7201" s="32"/>
    </row>
    <row r="7202" spans="12:12" x14ac:dyDescent="0.25">
      <c r="L7202" s="32"/>
    </row>
    <row r="7203" spans="12:12" x14ac:dyDescent="0.25">
      <c r="L7203" s="32"/>
    </row>
    <row r="7204" spans="12:12" x14ac:dyDescent="0.25">
      <c r="L7204" s="32"/>
    </row>
    <row r="7205" spans="12:12" x14ac:dyDescent="0.25">
      <c r="L7205" s="32"/>
    </row>
    <row r="7206" spans="12:12" x14ac:dyDescent="0.25">
      <c r="L7206" s="32"/>
    </row>
    <row r="7207" spans="12:12" x14ac:dyDescent="0.25">
      <c r="L7207" s="32"/>
    </row>
    <row r="7208" spans="12:12" x14ac:dyDescent="0.25">
      <c r="L7208" s="32"/>
    </row>
    <row r="7209" spans="12:12" x14ac:dyDescent="0.25">
      <c r="L7209" s="32"/>
    </row>
    <row r="7210" spans="12:12" x14ac:dyDescent="0.25">
      <c r="L7210" s="32"/>
    </row>
    <row r="7211" spans="12:12" x14ac:dyDescent="0.25">
      <c r="L7211" s="32"/>
    </row>
    <row r="7212" spans="12:12" x14ac:dyDescent="0.25">
      <c r="L7212" s="32"/>
    </row>
    <row r="7213" spans="12:12" x14ac:dyDescent="0.25">
      <c r="L7213" s="32"/>
    </row>
    <row r="7214" spans="12:12" x14ac:dyDescent="0.25">
      <c r="L7214" s="32"/>
    </row>
    <row r="7215" spans="12:12" x14ac:dyDescent="0.25">
      <c r="L7215" s="32"/>
    </row>
    <row r="7216" spans="12:12" x14ac:dyDescent="0.25">
      <c r="L7216" s="32"/>
    </row>
    <row r="7217" spans="12:12" x14ac:dyDescent="0.25">
      <c r="L7217" s="32"/>
    </row>
    <row r="7218" spans="12:12" x14ac:dyDescent="0.25">
      <c r="L7218" s="32"/>
    </row>
    <row r="7219" spans="12:12" x14ac:dyDescent="0.25">
      <c r="L7219" s="32"/>
    </row>
    <row r="7220" spans="12:12" x14ac:dyDescent="0.25">
      <c r="L7220" s="32"/>
    </row>
    <row r="7221" spans="12:12" x14ac:dyDescent="0.25">
      <c r="L7221" s="32"/>
    </row>
    <row r="7222" spans="12:12" x14ac:dyDescent="0.25">
      <c r="L7222" s="32"/>
    </row>
    <row r="7223" spans="12:12" x14ac:dyDescent="0.25">
      <c r="L7223" s="32"/>
    </row>
    <row r="7224" spans="12:12" x14ac:dyDescent="0.25">
      <c r="L7224" s="32"/>
    </row>
    <row r="7225" spans="12:12" x14ac:dyDescent="0.25">
      <c r="L7225" s="32"/>
    </row>
    <row r="7226" spans="12:12" x14ac:dyDescent="0.25">
      <c r="L7226" s="32"/>
    </row>
    <row r="7227" spans="12:12" x14ac:dyDescent="0.25">
      <c r="L7227" s="32"/>
    </row>
    <row r="7228" spans="12:12" x14ac:dyDescent="0.25">
      <c r="L7228" s="32"/>
    </row>
    <row r="7229" spans="12:12" x14ac:dyDescent="0.25">
      <c r="L7229" s="32"/>
    </row>
    <row r="7230" spans="12:12" x14ac:dyDescent="0.25">
      <c r="L7230" s="32"/>
    </row>
    <row r="7231" spans="12:12" x14ac:dyDescent="0.25">
      <c r="L7231" s="32"/>
    </row>
    <row r="7232" spans="12:12" x14ac:dyDescent="0.25">
      <c r="L7232" s="32"/>
    </row>
    <row r="7233" spans="12:12" x14ac:dyDescent="0.25">
      <c r="L7233" s="32"/>
    </row>
    <row r="7234" spans="12:12" x14ac:dyDescent="0.25">
      <c r="L7234" s="32"/>
    </row>
    <row r="7235" spans="12:12" x14ac:dyDescent="0.25">
      <c r="L7235" s="32"/>
    </row>
    <row r="7236" spans="12:12" x14ac:dyDescent="0.25">
      <c r="L7236" s="32"/>
    </row>
    <row r="7237" spans="12:12" x14ac:dyDescent="0.25">
      <c r="L7237" s="32"/>
    </row>
    <row r="7238" spans="12:12" x14ac:dyDescent="0.25">
      <c r="L7238" s="32"/>
    </row>
    <row r="7239" spans="12:12" x14ac:dyDescent="0.25">
      <c r="L7239" s="32"/>
    </row>
    <row r="7240" spans="12:12" x14ac:dyDescent="0.25">
      <c r="L7240" s="32"/>
    </row>
    <row r="7241" spans="12:12" x14ac:dyDescent="0.25">
      <c r="L7241" s="32"/>
    </row>
    <row r="7242" spans="12:12" x14ac:dyDescent="0.25">
      <c r="L7242" s="32"/>
    </row>
    <row r="7243" spans="12:12" x14ac:dyDescent="0.25">
      <c r="L7243" s="32"/>
    </row>
    <row r="7244" spans="12:12" x14ac:dyDescent="0.25">
      <c r="L7244" s="32"/>
    </row>
    <row r="7245" spans="12:12" x14ac:dyDescent="0.25">
      <c r="L7245" s="32"/>
    </row>
    <row r="7246" spans="12:12" x14ac:dyDescent="0.25">
      <c r="L7246" s="32"/>
    </row>
    <row r="7247" spans="12:12" x14ac:dyDescent="0.25">
      <c r="L7247" s="32"/>
    </row>
    <row r="7248" spans="12:12" x14ac:dyDescent="0.25">
      <c r="L7248" s="32"/>
    </row>
    <row r="7249" spans="12:12" x14ac:dyDescent="0.25">
      <c r="L7249" s="32"/>
    </row>
    <row r="7250" spans="12:12" x14ac:dyDescent="0.25">
      <c r="L7250" s="32"/>
    </row>
    <row r="7251" spans="12:12" x14ac:dyDescent="0.25">
      <c r="L7251" s="32"/>
    </row>
    <row r="7252" spans="12:12" x14ac:dyDescent="0.25">
      <c r="L7252" s="32"/>
    </row>
    <row r="7253" spans="12:12" x14ac:dyDescent="0.25">
      <c r="L7253" s="32"/>
    </row>
    <row r="7254" spans="12:12" x14ac:dyDescent="0.25">
      <c r="L7254" s="32"/>
    </row>
    <row r="7255" spans="12:12" x14ac:dyDescent="0.25">
      <c r="L7255" s="32"/>
    </row>
    <row r="7256" spans="12:12" x14ac:dyDescent="0.25">
      <c r="L7256" s="32"/>
    </row>
    <row r="7257" spans="12:12" x14ac:dyDescent="0.25">
      <c r="L7257" s="32"/>
    </row>
    <row r="7258" spans="12:12" x14ac:dyDescent="0.25">
      <c r="L7258" s="32"/>
    </row>
    <row r="7259" spans="12:12" x14ac:dyDescent="0.25">
      <c r="L7259" s="32"/>
    </row>
    <row r="7260" spans="12:12" x14ac:dyDescent="0.25">
      <c r="L7260" s="32"/>
    </row>
    <row r="7261" spans="12:12" x14ac:dyDescent="0.25">
      <c r="L7261" s="32"/>
    </row>
    <row r="7262" spans="12:12" x14ac:dyDescent="0.25">
      <c r="L7262" s="32"/>
    </row>
    <row r="7263" spans="12:12" x14ac:dyDescent="0.25">
      <c r="L7263" s="32"/>
    </row>
    <row r="7264" spans="12:12" x14ac:dyDescent="0.25">
      <c r="L7264" s="32"/>
    </row>
    <row r="7265" spans="12:12" x14ac:dyDescent="0.25">
      <c r="L7265" s="32"/>
    </row>
    <row r="7266" spans="12:12" x14ac:dyDescent="0.25">
      <c r="L7266" s="32"/>
    </row>
    <row r="7267" spans="12:12" x14ac:dyDescent="0.25">
      <c r="L7267" s="32"/>
    </row>
    <row r="7268" spans="12:12" x14ac:dyDescent="0.25">
      <c r="L7268" s="32"/>
    </row>
    <row r="7269" spans="12:12" x14ac:dyDescent="0.25">
      <c r="L7269" s="32"/>
    </row>
    <row r="7270" spans="12:12" x14ac:dyDescent="0.25">
      <c r="L7270" s="32"/>
    </row>
    <row r="7271" spans="12:12" x14ac:dyDescent="0.25">
      <c r="L7271" s="32"/>
    </row>
    <row r="7272" spans="12:12" x14ac:dyDescent="0.25">
      <c r="L7272" s="32"/>
    </row>
    <row r="7273" spans="12:12" x14ac:dyDescent="0.25">
      <c r="L7273" s="32"/>
    </row>
    <row r="7274" spans="12:12" x14ac:dyDescent="0.25">
      <c r="L7274" s="32"/>
    </row>
    <row r="7275" spans="12:12" x14ac:dyDescent="0.25">
      <c r="L7275" s="32"/>
    </row>
    <row r="7276" spans="12:12" x14ac:dyDescent="0.25">
      <c r="L7276" s="32"/>
    </row>
    <row r="7277" spans="12:12" x14ac:dyDescent="0.25">
      <c r="L7277" s="32"/>
    </row>
    <row r="7278" spans="12:12" x14ac:dyDescent="0.25">
      <c r="L7278" s="32"/>
    </row>
    <row r="7279" spans="12:12" x14ac:dyDescent="0.25">
      <c r="L7279" s="32"/>
    </row>
    <row r="7280" spans="12:12" x14ac:dyDescent="0.25">
      <c r="L7280" s="32"/>
    </row>
    <row r="7281" spans="12:12" x14ac:dyDescent="0.25">
      <c r="L7281" s="32"/>
    </row>
    <row r="7282" spans="12:12" x14ac:dyDescent="0.25">
      <c r="L7282" s="32"/>
    </row>
    <row r="7283" spans="12:12" x14ac:dyDescent="0.25">
      <c r="L7283" s="32"/>
    </row>
    <row r="7284" spans="12:12" x14ac:dyDescent="0.25">
      <c r="L7284" s="32"/>
    </row>
    <row r="7285" spans="12:12" x14ac:dyDescent="0.25">
      <c r="L7285" s="32"/>
    </row>
    <row r="7286" spans="12:12" x14ac:dyDescent="0.25">
      <c r="L7286" s="32"/>
    </row>
    <row r="7287" spans="12:12" x14ac:dyDescent="0.25">
      <c r="L7287" s="32"/>
    </row>
    <row r="7288" spans="12:12" x14ac:dyDescent="0.25">
      <c r="L7288" s="32"/>
    </row>
    <row r="7289" spans="12:12" x14ac:dyDescent="0.25">
      <c r="L7289" s="32"/>
    </row>
    <row r="7290" spans="12:12" x14ac:dyDescent="0.25">
      <c r="L7290" s="32"/>
    </row>
    <row r="7291" spans="12:12" x14ac:dyDescent="0.25">
      <c r="L7291" s="32"/>
    </row>
    <row r="7292" spans="12:12" x14ac:dyDescent="0.25">
      <c r="L7292" s="32"/>
    </row>
    <row r="7293" spans="12:12" x14ac:dyDescent="0.25">
      <c r="L7293" s="32"/>
    </row>
    <row r="7294" spans="12:12" x14ac:dyDescent="0.25">
      <c r="L7294" s="32"/>
    </row>
    <row r="7295" spans="12:12" x14ac:dyDescent="0.25">
      <c r="L7295" s="32"/>
    </row>
    <row r="7296" spans="12:12" x14ac:dyDescent="0.25">
      <c r="L7296" s="32"/>
    </row>
    <row r="7297" spans="12:12" x14ac:dyDescent="0.25">
      <c r="L7297" s="32"/>
    </row>
    <row r="7298" spans="12:12" x14ac:dyDescent="0.25">
      <c r="L7298" s="32"/>
    </row>
    <row r="7299" spans="12:12" x14ac:dyDescent="0.25">
      <c r="L7299" s="32"/>
    </row>
    <row r="7300" spans="12:12" x14ac:dyDescent="0.25">
      <c r="L7300" s="32"/>
    </row>
    <row r="7301" spans="12:12" x14ac:dyDescent="0.25">
      <c r="L7301" s="32"/>
    </row>
    <row r="7302" spans="12:12" x14ac:dyDescent="0.25">
      <c r="L7302" s="32"/>
    </row>
    <row r="7303" spans="12:12" x14ac:dyDescent="0.25">
      <c r="L7303" s="32"/>
    </row>
    <row r="7304" spans="12:12" x14ac:dyDescent="0.25">
      <c r="L7304" s="32"/>
    </row>
    <row r="7305" spans="12:12" x14ac:dyDescent="0.25">
      <c r="L7305" s="32"/>
    </row>
    <row r="7306" spans="12:12" x14ac:dyDescent="0.25">
      <c r="L7306" s="32"/>
    </row>
    <row r="7307" spans="12:12" x14ac:dyDescent="0.25">
      <c r="L7307" s="32"/>
    </row>
    <row r="7308" spans="12:12" x14ac:dyDescent="0.25">
      <c r="L7308" s="32"/>
    </row>
    <row r="7309" spans="12:12" x14ac:dyDescent="0.25">
      <c r="L7309" s="32"/>
    </row>
    <row r="7310" spans="12:12" x14ac:dyDescent="0.25">
      <c r="L7310" s="32"/>
    </row>
    <row r="7311" spans="12:12" x14ac:dyDescent="0.25">
      <c r="L7311" s="32"/>
    </row>
    <row r="7312" spans="12:12" x14ac:dyDescent="0.25">
      <c r="L7312" s="32"/>
    </row>
    <row r="7313" spans="12:12" x14ac:dyDescent="0.25">
      <c r="L7313" s="32"/>
    </row>
    <row r="7314" spans="12:12" x14ac:dyDescent="0.25">
      <c r="L7314" s="32"/>
    </row>
    <row r="7315" spans="12:12" x14ac:dyDescent="0.25">
      <c r="L7315" s="32"/>
    </row>
    <row r="7316" spans="12:12" x14ac:dyDescent="0.25">
      <c r="L7316" s="32"/>
    </row>
    <row r="7317" spans="12:12" x14ac:dyDescent="0.25">
      <c r="L7317" s="32"/>
    </row>
    <row r="7318" spans="12:12" x14ac:dyDescent="0.25">
      <c r="L7318" s="32"/>
    </row>
    <row r="7319" spans="12:12" x14ac:dyDescent="0.25">
      <c r="L7319" s="32"/>
    </row>
    <row r="7320" spans="12:12" x14ac:dyDescent="0.25">
      <c r="L7320" s="32"/>
    </row>
    <row r="7321" spans="12:12" x14ac:dyDescent="0.25">
      <c r="L7321" s="32"/>
    </row>
    <row r="7322" spans="12:12" x14ac:dyDescent="0.25">
      <c r="L7322" s="32"/>
    </row>
    <row r="7323" spans="12:12" x14ac:dyDescent="0.25">
      <c r="L7323" s="32"/>
    </row>
    <row r="7324" spans="12:12" x14ac:dyDescent="0.25">
      <c r="L7324" s="32"/>
    </row>
    <row r="7325" spans="12:12" x14ac:dyDescent="0.25">
      <c r="L7325" s="32"/>
    </row>
    <row r="7326" spans="12:12" x14ac:dyDescent="0.25">
      <c r="L7326" s="32"/>
    </row>
    <row r="7327" spans="12:12" x14ac:dyDescent="0.25">
      <c r="L7327" s="32"/>
    </row>
    <row r="7328" spans="12:12" x14ac:dyDescent="0.25">
      <c r="L7328" s="32"/>
    </row>
    <row r="7329" spans="12:12" x14ac:dyDescent="0.25">
      <c r="L7329" s="32"/>
    </row>
    <row r="7330" spans="12:12" x14ac:dyDescent="0.25">
      <c r="L7330" s="32"/>
    </row>
    <row r="7331" spans="12:12" x14ac:dyDescent="0.25">
      <c r="L7331" s="32"/>
    </row>
    <row r="7332" spans="12:12" x14ac:dyDescent="0.25">
      <c r="L7332" s="32"/>
    </row>
    <row r="7333" spans="12:12" x14ac:dyDescent="0.25">
      <c r="L7333" s="32"/>
    </row>
    <row r="7334" spans="12:12" x14ac:dyDescent="0.25">
      <c r="L7334" s="32"/>
    </row>
    <row r="7335" spans="12:12" x14ac:dyDescent="0.25">
      <c r="L7335" s="32"/>
    </row>
    <row r="7336" spans="12:12" x14ac:dyDescent="0.25">
      <c r="L7336" s="32"/>
    </row>
    <row r="7337" spans="12:12" x14ac:dyDescent="0.25">
      <c r="L7337" s="32"/>
    </row>
    <row r="7338" spans="12:12" x14ac:dyDescent="0.25">
      <c r="L7338" s="32"/>
    </row>
    <row r="7339" spans="12:12" x14ac:dyDescent="0.25">
      <c r="L7339" s="32"/>
    </row>
    <row r="7340" spans="12:12" x14ac:dyDescent="0.25">
      <c r="L7340" s="32"/>
    </row>
    <row r="7341" spans="12:12" x14ac:dyDescent="0.25">
      <c r="L7341" s="32"/>
    </row>
    <row r="7342" spans="12:12" x14ac:dyDescent="0.25">
      <c r="L7342" s="32"/>
    </row>
    <row r="7343" spans="12:12" x14ac:dyDescent="0.25">
      <c r="L7343" s="32"/>
    </row>
    <row r="7344" spans="12:12" x14ac:dyDescent="0.25">
      <c r="L7344" s="32"/>
    </row>
    <row r="7345" spans="12:12" x14ac:dyDescent="0.25">
      <c r="L7345" s="32"/>
    </row>
    <row r="7346" spans="12:12" x14ac:dyDescent="0.25">
      <c r="L7346" s="32"/>
    </row>
    <row r="7347" spans="12:12" x14ac:dyDescent="0.25">
      <c r="L7347" s="32"/>
    </row>
    <row r="7348" spans="12:12" x14ac:dyDescent="0.25">
      <c r="L7348" s="32"/>
    </row>
    <row r="7349" spans="12:12" x14ac:dyDescent="0.25">
      <c r="L7349" s="32"/>
    </row>
    <row r="7350" spans="12:12" x14ac:dyDescent="0.25">
      <c r="L7350" s="32"/>
    </row>
    <row r="7351" spans="12:12" x14ac:dyDescent="0.25">
      <c r="L7351" s="32"/>
    </row>
    <row r="7352" spans="12:12" x14ac:dyDescent="0.25">
      <c r="L7352" s="32"/>
    </row>
    <row r="7353" spans="12:12" x14ac:dyDescent="0.25">
      <c r="L7353" s="32"/>
    </row>
    <row r="7354" spans="12:12" x14ac:dyDescent="0.25">
      <c r="L7354" s="32"/>
    </row>
    <row r="7355" spans="12:12" x14ac:dyDescent="0.25">
      <c r="L7355" s="32"/>
    </row>
    <row r="7356" spans="12:12" x14ac:dyDescent="0.25">
      <c r="L7356" s="32"/>
    </row>
    <row r="7357" spans="12:12" x14ac:dyDescent="0.25">
      <c r="L7357" s="32"/>
    </row>
    <row r="7358" spans="12:12" x14ac:dyDescent="0.25">
      <c r="L7358" s="32"/>
    </row>
    <row r="7359" spans="12:12" x14ac:dyDescent="0.25">
      <c r="L7359" s="32"/>
    </row>
    <row r="7360" spans="12:12" x14ac:dyDescent="0.25">
      <c r="L7360" s="32"/>
    </row>
    <row r="7361" spans="12:12" x14ac:dyDescent="0.25">
      <c r="L7361" s="32"/>
    </row>
    <row r="7362" spans="12:12" x14ac:dyDescent="0.25">
      <c r="L7362" s="32"/>
    </row>
    <row r="7363" spans="12:12" x14ac:dyDescent="0.25">
      <c r="L7363" s="32"/>
    </row>
    <row r="7364" spans="12:12" x14ac:dyDescent="0.25">
      <c r="L7364" s="32"/>
    </row>
    <row r="7365" spans="12:12" x14ac:dyDescent="0.25">
      <c r="L7365" s="32"/>
    </row>
    <row r="7366" spans="12:12" x14ac:dyDescent="0.25">
      <c r="L7366" s="32"/>
    </row>
    <row r="7367" spans="12:12" x14ac:dyDescent="0.25">
      <c r="L7367" s="32"/>
    </row>
    <row r="7368" spans="12:12" x14ac:dyDescent="0.25">
      <c r="L7368" s="32"/>
    </row>
    <row r="7369" spans="12:12" x14ac:dyDescent="0.25">
      <c r="L7369" s="32"/>
    </row>
    <row r="7370" spans="12:12" x14ac:dyDescent="0.25">
      <c r="L7370" s="32"/>
    </row>
    <row r="7371" spans="12:12" x14ac:dyDescent="0.25">
      <c r="L7371" s="32"/>
    </row>
    <row r="7372" spans="12:12" x14ac:dyDescent="0.25">
      <c r="L7372" s="32"/>
    </row>
    <row r="7373" spans="12:12" x14ac:dyDescent="0.25">
      <c r="L7373" s="32"/>
    </row>
    <row r="7374" spans="12:12" x14ac:dyDescent="0.25">
      <c r="L7374" s="32"/>
    </row>
    <row r="7375" spans="12:12" x14ac:dyDescent="0.25">
      <c r="L7375" s="32"/>
    </row>
    <row r="7376" spans="12:12" x14ac:dyDescent="0.25">
      <c r="L7376" s="32"/>
    </row>
    <row r="7377" spans="12:12" x14ac:dyDescent="0.25">
      <c r="L7377" s="32"/>
    </row>
    <row r="7378" spans="12:12" x14ac:dyDescent="0.25">
      <c r="L7378" s="32"/>
    </row>
    <row r="7379" spans="12:12" x14ac:dyDescent="0.25">
      <c r="L7379" s="32"/>
    </row>
    <row r="7380" spans="12:12" x14ac:dyDescent="0.25">
      <c r="L7380" s="32"/>
    </row>
    <row r="7381" spans="12:12" x14ac:dyDescent="0.25">
      <c r="L7381" s="32"/>
    </row>
    <row r="7382" spans="12:12" x14ac:dyDescent="0.25">
      <c r="L7382" s="32"/>
    </row>
    <row r="7383" spans="12:12" x14ac:dyDescent="0.25">
      <c r="L7383" s="32"/>
    </row>
    <row r="7384" spans="12:12" x14ac:dyDescent="0.25">
      <c r="L7384" s="32"/>
    </row>
    <row r="7385" spans="12:12" x14ac:dyDescent="0.25">
      <c r="L7385" s="32"/>
    </row>
    <row r="7386" spans="12:12" x14ac:dyDescent="0.25">
      <c r="L7386" s="32"/>
    </row>
    <row r="7387" spans="12:12" x14ac:dyDescent="0.25">
      <c r="L7387" s="32"/>
    </row>
    <row r="7388" spans="12:12" x14ac:dyDescent="0.25">
      <c r="L7388" s="32"/>
    </row>
    <row r="7389" spans="12:12" x14ac:dyDescent="0.25">
      <c r="L7389" s="32"/>
    </row>
    <row r="7390" spans="12:12" x14ac:dyDescent="0.25">
      <c r="L7390" s="32"/>
    </row>
    <row r="7391" spans="12:12" x14ac:dyDescent="0.25">
      <c r="L7391" s="32"/>
    </row>
    <row r="7392" spans="12:12" x14ac:dyDescent="0.25">
      <c r="L7392" s="32"/>
    </row>
    <row r="7393" spans="12:12" x14ac:dyDescent="0.25">
      <c r="L7393" s="32"/>
    </row>
    <row r="7394" spans="12:12" x14ac:dyDescent="0.25">
      <c r="L7394" s="32"/>
    </row>
    <row r="7395" spans="12:12" x14ac:dyDescent="0.25">
      <c r="L7395" s="32"/>
    </row>
    <row r="7396" spans="12:12" x14ac:dyDescent="0.25">
      <c r="L7396" s="32"/>
    </row>
    <row r="7397" spans="12:12" x14ac:dyDescent="0.25">
      <c r="L7397" s="32"/>
    </row>
    <row r="7398" spans="12:12" x14ac:dyDescent="0.25">
      <c r="L7398" s="32"/>
    </row>
    <row r="7399" spans="12:12" x14ac:dyDescent="0.25">
      <c r="L7399" s="32"/>
    </row>
    <row r="7400" spans="12:12" x14ac:dyDescent="0.25">
      <c r="L7400" s="32"/>
    </row>
    <row r="7401" spans="12:12" x14ac:dyDescent="0.25">
      <c r="L7401" s="32"/>
    </row>
    <row r="7402" spans="12:12" x14ac:dyDescent="0.25">
      <c r="L7402" s="32"/>
    </row>
    <row r="7403" spans="12:12" x14ac:dyDescent="0.25">
      <c r="L7403" s="32"/>
    </row>
    <row r="7404" spans="12:12" x14ac:dyDescent="0.25">
      <c r="L7404" s="32"/>
    </row>
    <row r="7405" spans="12:12" x14ac:dyDescent="0.25">
      <c r="L7405" s="32"/>
    </row>
    <row r="7406" spans="12:12" x14ac:dyDescent="0.25">
      <c r="L7406" s="32"/>
    </row>
    <row r="7407" spans="12:12" x14ac:dyDescent="0.25">
      <c r="L7407" s="32"/>
    </row>
    <row r="7408" spans="12:12" x14ac:dyDescent="0.25">
      <c r="L7408" s="32"/>
    </row>
    <row r="7409" spans="12:12" x14ac:dyDescent="0.25">
      <c r="L7409" s="32"/>
    </row>
    <row r="7410" spans="12:12" x14ac:dyDescent="0.25">
      <c r="L7410" s="32"/>
    </row>
    <row r="7411" spans="12:12" x14ac:dyDescent="0.25">
      <c r="L7411" s="32"/>
    </row>
    <row r="7412" spans="12:12" x14ac:dyDescent="0.25">
      <c r="L7412" s="32"/>
    </row>
    <row r="7413" spans="12:12" x14ac:dyDescent="0.25">
      <c r="L7413" s="32"/>
    </row>
    <row r="7414" spans="12:12" x14ac:dyDescent="0.25">
      <c r="L7414" s="32"/>
    </row>
    <row r="7415" spans="12:12" x14ac:dyDescent="0.25">
      <c r="L7415" s="32"/>
    </row>
    <row r="7416" spans="12:12" x14ac:dyDescent="0.25">
      <c r="L7416" s="32"/>
    </row>
    <row r="7417" spans="12:12" x14ac:dyDescent="0.25">
      <c r="L7417" s="32"/>
    </row>
    <row r="7418" spans="12:12" x14ac:dyDescent="0.25">
      <c r="L7418" s="32"/>
    </row>
    <row r="7419" spans="12:12" x14ac:dyDescent="0.25">
      <c r="L7419" s="32"/>
    </row>
    <row r="7420" spans="12:12" x14ac:dyDescent="0.25">
      <c r="L7420" s="32"/>
    </row>
    <row r="7421" spans="12:12" x14ac:dyDescent="0.25">
      <c r="L7421" s="32"/>
    </row>
    <row r="7422" spans="12:12" x14ac:dyDescent="0.25">
      <c r="L7422" s="32"/>
    </row>
    <row r="7423" spans="12:12" x14ac:dyDescent="0.25">
      <c r="L7423" s="32"/>
    </row>
    <row r="7424" spans="12:12" x14ac:dyDescent="0.25">
      <c r="L7424" s="32"/>
    </row>
    <row r="7425" spans="12:12" x14ac:dyDescent="0.25">
      <c r="L7425" s="32"/>
    </row>
    <row r="7426" spans="12:12" x14ac:dyDescent="0.25">
      <c r="L7426" s="32"/>
    </row>
    <row r="7427" spans="12:12" x14ac:dyDescent="0.25">
      <c r="L7427" s="32"/>
    </row>
    <row r="7428" spans="12:12" x14ac:dyDescent="0.25">
      <c r="L7428" s="32"/>
    </row>
    <row r="7429" spans="12:12" x14ac:dyDescent="0.25">
      <c r="L7429" s="32"/>
    </row>
    <row r="7430" spans="12:12" x14ac:dyDescent="0.25">
      <c r="L7430" s="32"/>
    </row>
    <row r="7431" spans="12:12" x14ac:dyDescent="0.25">
      <c r="L7431" s="32"/>
    </row>
    <row r="7432" spans="12:12" x14ac:dyDescent="0.25">
      <c r="L7432" s="32"/>
    </row>
    <row r="7433" spans="12:12" x14ac:dyDescent="0.25">
      <c r="L7433" s="32"/>
    </row>
    <row r="7434" spans="12:12" x14ac:dyDescent="0.25">
      <c r="L7434" s="32"/>
    </row>
    <row r="7435" spans="12:12" x14ac:dyDescent="0.25">
      <c r="L7435" s="32"/>
    </row>
    <row r="7436" spans="12:12" x14ac:dyDescent="0.25">
      <c r="L7436" s="32"/>
    </row>
    <row r="7437" spans="12:12" x14ac:dyDescent="0.25">
      <c r="L7437" s="32"/>
    </row>
    <row r="7438" spans="12:12" x14ac:dyDescent="0.25">
      <c r="L7438" s="32"/>
    </row>
    <row r="7439" spans="12:12" x14ac:dyDescent="0.25">
      <c r="L7439" s="32"/>
    </row>
    <row r="7440" spans="12:12" x14ac:dyDescent="0.25">
      <c r="L7440" s="32"/>
    </row>
    <row r="7441" spans="12:12" x14ac:dyDescent="0.25">
      <c r="L7441" s="32"/>
    </row>
    <row r="7442" spans="12:12" x14ac:dyDescent="0.25">
      <c r="L7442" s="32"/>
    </row>
    <row r="7443" spans="12:12" x14ac:dyDescent="0.25">
      <c r="L7443" s="32"/>
    </row>
    <row r="7444" spans="12:12" x14ac:dyDescent="0.25">
      <c r="L7444" s="32"/>
    </row>
    <row r="7445" spans="12:12" x14ac:dyDescent="0.25">
      <c r="L7445" s="32"/>
    </row>
    <row r="7446" spans="12:12" x14ac:dyDescent="0.25">
      <c r="L7446" s="32"/>
    </row>
    <row r="7447" spans="12:12" x14ac:dyDescent="0.25">
      <c r="L7447" s="32"/>
    </row>
    <row r="7448" spans="12:12" x14ac:dyDescent="0.25">
      <c r="L7448" s="32"/>
    </row>
    <row r="7449" spans="12:12" x14ac:dyDescent="0.25">
      <c r="L7449" s="32"/>
    </row>
    <row r="7450" spans="12:12" x14ac:dyDescent="0.25">
      <c r="L7450" s="32"/>
    </row>
    <row r="7451" spans="12:12" x14ac:dyDescent="0.25">
      <c r="L7451" s="32"/>
    </row>
    <row r="7452" spans="12:12" x14ac:dyDescent="0.25">
      <c r="L7452" s="32"/>
    </row>
    <row r="7453" spans="12:12" x14ac:dyDescent="0.25">
      <c r="L7453" s="32"/>
    </row>
    <row r="7454" spans="12:12" x14ac:dyDescent="0.25">
      <c r="L7454" s="32"/>
    </row>
    <row r="7455" spans="12:12" x14ac:dyDescent="0.25">
      <c r="L7455" s="32"/>
    </row>
    <row r="7456" spans="12:12" x14ac:dyDescent="0.25">
      <c r="L7456" s="32"/>
    </row>
    <row r="7457" spans="12:12" x14ac:dyDescent="0.25">
      <c r="L7457" s="32"/>
    </row>
    <row r="7458" spans="12:12" x14ac:dyDescent="0.25">
      <c r="L7458" s="32"/>
    </row>
    <row r="7459" spans="12:12" x14ac:dyDescent="0.25">
      <c r="L7459" s="32"/>
    </row>
    <row r="7460" spans="12:12" x14ac:dyDescent="0.25">
      <c r="L7460" s="32"/>
    </row>
    <row r="7461" spans="12:12" x14ac:dyDescent="0.25">
      <c r="L7461" s="32"/>
    </row>
    <row r="7462" spans="12:12" x14ac:dyDescent="0.25">
      <c r="L7462" s="32"/>
    </row>
    <row r="7463" spans="12:12" x14ac:dyDescent="0.25">
      <c r="L7463" s="32"/>
    </row>
    <row r="7464" spans="12:12" x14ac:dyDescent="0.25">
      <c r="L7464" s="32"/>
    </row>
    <row r="7465" spans="12:12" x14ac:dyDescent="0.25">
      <c r="L7465" s="32"/>
    </row>
    <row r="7466" spans="12:12" x14ac:dyDescent="0.25">
      <c r="L7466" s="32"/>
    </row>
    <row r="7467" spans="12:12" x14ac:dyDescent="0.25">
      <c r="L7467" s="32"/>
    </row>
    <row r="7468" spans="12:12" x14ac:dyDescent="0.25">
      <c r="L7468" s="32"/>
    </row>
    <row r="7469" spans="12:12" x14ac:dyDescent="0.25">
      <c r="L7469" s="32"/>
    </row>
    <row r="7470" spans="12:12" x14ac:dyDescent="0.25">
      <c r="L7470" s="32"/>
    </row>
    <row r="7471" spans="12:12" x14ac:dyDescent="0.25">
      <c r="L7471" s="32"/>
    </row>
    <row r="7472" spans="12:12" x14ac:dyDescent="0.25">
      <c r="L7472" s="32"/>
    </row>
    <row r="7473" spans="12:12" x14ac:dyDescent="0.25">
      <c r="L7473" s="32"/>
    </row>
    <row r="7474" spans="12:12" x14ac:dyDescent="0.25">
      <c r="L7474" s="32"/>
    </row>
    <row r="7475" spans="12:12" x14ac:dyDescent="0.25">
      <c r="L7475" s="32"/>
    </row>
    <row r="7476" spans="12:12" x14ac:dyDescent="0.25">
      <c r="L7476" s="32"/>
    </row>
    <row r="7477" spans="12:12" x14ac:dyDescent="0.25">
      <c r="L7477" s="32"/>
    </row>
    <row r="7478" spans="12:12" x14ac:dyDescent="0.25">
      <c r="L7478" s="32"/>
    </row>
    <row r="7479" spans="12:12" x14ac:dyDescent="0.25">
      <c r="L7479" s="32"/>
    </row>
    <row r="7480" spans="12:12" x14ac:dyDescent="0.25">
      <c r="L7480" s="32"/>
    </row>
    <row r="7481" spans="12:12" x14ac:dyDescent="0.25">
      <c r="L7481" s="32"/>
    </row>
    <row r="7482" spans="12:12" x14ac:dyDescent="0.25">
      <c r="L7482" s="32"/>
    </row>
    <row r="7483" spans="12:12" x14ac:dyDescent="0.25">
      <c r="L7483" s="32"/>
    </row>
    <row r="7484" spans="12:12" x14ac:dyDescent="0.25">
      <c r="L7484" s="32"/>
    </row>
    <row r="7485" spans="12:12" x14ac:dyDescent="0.25">
      <c r="L7485" s="32"/>
    </row>
    <row r="7486" spans="12:12" x14ac:dyDescent="0.25">
      <c r="L7486" s="32"/>
    </row>
    <row r="7487" spans="12:12" x14ac:dyDescent="0.25">
      <c r="L7487" s="32"/>
    </row>
    <row r="7488" spans="12:12" x14ac:dyDescent="0.25">
      <c r="L7488" s="32"/>
    </row>
    <row r="7489" spans="12:12" x14ac:dyDescent="0.25">
      <c r="L7489" s="32"/>
    </row>
    <row r="7490" spans="12:12" x14ac:dyDescent="0.25">
      <c r="L7490" s="32"/>
    </row>
    <row r="7491" spans="12:12" x14ac:dyDescent="0.25">
      <c r="L7491" s="32"/>
    </row>
    <row r="7492" spans="12:12" x14ac:dyDescent="0.25">
      <c r="L7492" s="32"/>
    </row>
    <row r="7493" spans="12:12" x14ac:dyDescent="0.25">
      <c r="L7493" s="32"/>
    </row>
    <row r="7494" spans="12:12" x14ac:dyDescent="0.25">
      <c r="L7494" s="32"/>
    </row>
    <row r="7495" spans="12:12" x14ac:dyDescent="0.25">
      <c r="L7495" s="32"/>
    </row>
    <row r="7496" spans="12:12" x14ac:dyDescent="0.25">
      <c r="L7496" s="32"/>
    </row>
    <row r="7497" spans="12:12" x14ac:dyDescent="0.25">
      <c r="L7497" s="32"/>
    </row>
    <row r="7498" spans="12:12" x14ac:dyDescent="0.25">
      <c r="L7498" s="32"/>
    </row>
    <row r="7499" spans="12:12" x14ac:dyDescent="0.25">
      <c r="L7499" s="32"/>
    </row>
    <row r="7500" spans="12:12" x14ac:dyDescent="0.25">
      <c r="L7500" s="32"/>
    </row>
    <row r="7501" spans="12:12" x14ac:dyDescent="0.25">
      <c r="L7501" s="32"/>
    </row>
    <row r="7502" spans="12:12" x14ac:dyDescent="0.25">
      <c r="L7502" s="32"/>
    </row>
    <row r="7503" spans="12:12" x14ac:dyDescent="0.25">
      <c r="L7503" s="32"/>
    </row>
    <row r="7504" spans="12:12" x14ac:dyDescent="0.25">
      <c r="L7504" s="32"/>
    </row>
    <row r="7505" spans="12:12" x14ac:dyDescent="0.25">
      <c r="L7505" s="32"/>
    </row>
    <row r="7506" spans="12:12" x14ac:dyDescent="0.25">
      <c r="L7506" s="32"/>
    </row>
    <row r="7507" spans="12:12" x14ac:dyDescent="0.25">
      <c r="L7507" s="32"/>
    </row>
    <row r="7508" spans="12:12" x14ac:dyDescent="0.25">
      <c r="L7508" s="32"/>
    </row>
    <row r="7509" spans="12:12" x14ac:dyDescent="0.25">
      <c r="L7509" s="32"/>
    </row>
    <row r="7510" spans="12:12" x14ac:dyDescent="0.25">
      <c r="L7510" s="32"/>
    </row>
    <row r="7511" spans="12:12" x14ac:dyDescent="0.25">
      <c r="L7511" s="32"/>
    </row>
    <row r="7512" spans="12:12" x14ac:dyDescent="0.25">
      <c r="L7512" s="32"/>
    </row>
    <row r="7513" spans="12:12" x14ac:dyDescent="0.25">
      <c r="L7513" s="32"/>
    </row>
    <row r="7514" spans="12:12" x14ac:dyDescent="0.25">
      <c r="L7514" s="32"/>
    </row>
    <row r="7515" spans="12:12" x14ac:dyDescent="0.25">
      <c r="L7515" s="32"/>
    </row>
    <row r="7516" spans="12:12" x14ac:dyDescent="0.25">
      <c r="L7516" s="32"/>
    </row>
    <row r="7517" spans="12:12" x14ac:dyDescent="0.25">
      <c r="L7517" s="32"/>
    </row>
    <row r="7518" spans="12:12" x14ac:dyDescent="0.25">
      <c r="L7518" s="32"/>
    </row>
    <row r="7519" spans="12:12" x14ac:dyDescent="0.25">
      <c r="L7519" s="32"/>
    </row>
    <row r="7520" spans="12:12" x14ac:dyDescent="0.25">
      <c r="L7520" s="32"/>
    </row>
    <row r="7521" spans="12:12" x14ac:dyDescent="0.25">
      <c r="L7521" s="32"/>
    </row>
    <row r="7522" spans="12:12" x14ac:dyDescent="0.25">
      <c r="L7522" s="32"/>
    </row>
    <row r="7523" spans="12:12" x14ac:dyDescent="0.25">
      <c r="L7523" s="32"/>
    </row>
    <row r="7524" spans="12:12" x14ac:dyDescent="0.25">
      <c r="L7524" s="32"/>
    </row>
    <row r="7525" spans="12:12" x14ac:dyDescent="0.25">
      <c r="L7525" s="32"/>
    </row>
    <row r="7526" spans="12:12" x14ac:dyDescent="0.25">
      <c r="L7526" s="32"/>
    </row>
    <row r="7527" spans="12:12" x14ac:dyDescent="0.25">
      <c r="L7527" s="32"/>
    </row>
    <row r="7528" spans="12:12" x14ac:dyDescent="0.25">
      <c r="L7528" s="32"/>
    </row>
    <row r="7529" spans="12:12" x14ac:dyDescent="0.25">
      <c r="L7529" s="32"/>
    </row>
    <row r="7530" spans="12:12" x14ac:dyDescent="0.25">
      <c r="L7530" s="32"/>
    </row>
    <row r="7531" spans="12:12" x14ac:dyDescent="0.25">
      <c r="L7531" s="32"/>
    </row>
    <row r="7532" spans="12:12" x14ac:dyDescent="0.25">
      <c r="L7532" s="32"/>
    </row>
    <row r="7533" spans="12:12" x14ac:dyDescent="0.25">
      <c r="L7533" s="32"/>
    </row>
    <row r="7534" spans="12:12" x14ac:dyDescent="0.25">
      <c r="L7534" s="32"/>
    </row>
    <row r="7535" spans="12:12" x14ac:dyDescent="0.25">
      <c r="L7535" s="32"/>
    </row>
    <row r="7536" spans="12:12" x14ac:dyDescent="0.25">
      <c r="L7536" s="32"/>
    </row>
    <row r="7537" spans="12:12" x14ac:dyDescent="0.25">
      <c r="L7537" s="32"/>
    </row>
    <row r="7538" spans="12:12" x14ac:dyDescent="0.25">
      <c r="L7538" s="32"/>
    </row>
    <row r="7539" spans="12:12" x14ac:dyDescent="0.25">
      <c r="L7539" s="32"/>
    </row>
    <row r="7540" spans="12:12" x14ac:dyDescent="0.25">
      <c r="L7540" s="32"/>
    </row>
    <row r="7541" spans="12:12" x14ac:dyDescent="0.25">
      <c r="L7541" s="32"/>
    </row>
    <row r="7542" spans="12:12" x14ac:dyDescent="0.25">
      <c r="L7542" s="32"/>
    </row>
    <row r="7543" spans="12:12" x14ac:dyDescent="0.25">
      <c r="L7543" s="32"/>
    </row>
    <row r="7544" spans="12:12" x14ac:dyDescent="0.25">
      <c r="L7544" s="32"/>
    </row>
    <row r="7545" spans="12:12" x14ac:dyDescent="0.25">
      <c r="L7545" s="32"/>
    </row>
    <row r="7546" spans="12:12" x14ac:dyDescent="0.25">
      <c r="L7546" s="32"/>
    </row>
    <row r="7547" spans="12:12" x14ac:dyDescent="0.25">
      <c r="L7547" s="32"/>
    </row>
    <row r="7548" spans="12:12" x14ac:dyDescent="0.25">
      <c r="L7548" s="32"/>
    </row>
    <row r="7549" spans="12:12" x14ac:dyDescent="0.25">
      <c r="L7549" s="32"/>
    </row>
    <row r="7550" spans="12:12" x14ac:dyDescent="0.25">
      <c r="L7550" s="32"/>
    </row>
    <row r="7551" spans="12:12" x14ac:dyDescent="0.25">
      <c r="L7551" s="32"/>
    </row>
    <row r="7552" spans="12:12" x14ac:dyDescent="0.25">
      <c r="L7552" s="32"/>
    </row>
    <row r="7553" spans="12:12" x14ac:dyDescent="0.25">
      <c r="L7553" s="32"/>
    </row>
    <row r="7554" spans="12:12" x14ac:dyDescent="0.25">
      <c r="L7554" s="32"/>
    </row>
    <row r="7555" spans="12:12" x14ac:dyDescent="0.25">
      <c r="L7555" s="32"/>
    </row>
    <row r="7556" spans="12:12" x14ac:dyDescent="0.25">
      <c r="L7556" s="32"/>
    </row>
    <row r="7557" spans="12:12" x14ac:dyDescent="0.25">
      <c r="L7557" s="32"/>
    </row>
    <row r="7558" spans="12:12" x14ac:dyDescent="0.25">
      <c r="L7558" s="32"/>
    </row>
    <row r="7559" spans="12:12" x14ac:dyDescent="0.25">
      <c r="L7559" s="32"/>
    </row>
    <row r="7560" spans="12:12" x14ac:dyDescent="0.25">
      <c r="L7560" s="32"/>
    </row>
    <row r="7561" spans="12:12" x14ac:dyDescent="0.25">
      <c r="L7561" s="32"/>
    </row>
    <row r="7562" spans="12:12" x14ac:dyDescent="0.25">
      <c r="L7562" s="32"/>
    </row>
    <row r="7563" spans="12:12" x14ac:dyDescent="0.25">
      <c r="L7563" s="32"/>
    </row>
    <row r="7564" spans="12:12" x14ac:dyDescent="0.25">
      <c r="L7564" s="32"/>
    </row>
    <row r="7565" spans="12:12" x14ac:dyDescent="0.25">
      <c r="L7565" s="32"/>
    </row>
    <row r="7566" spans="12:12" x14ac:dyDescent="0.25">
      <c r="L7566" s="32"/>
    </row>
    <row r="7567" spans="12:12" x14ac:dyDescent="0.25">
      <c r="L7567" s="32"/>
    </row>
    <row r="7568" spans="12:12" x14ac:dyDescent="0.25">
      <c r="L7568" s="32"/>
    </row>
    <row r="7569" spans="12:12" x14ac:dyDescent="0.25">
      <c r="L7569" s="32"/>
    </row>
    <row r="7570" spans="12:12" x14ac:dyDescent="0.25">
      <c r="L7570" s="32"/>
    </row>
    <row r="7571" spans="12:12" x14ac:dyDescent="0.25">
      <c r="L7571" s="32"/>
    </row>
    <row r="7572" spans="12:12" x14ac:dyDescent="0.25">
      <c r="L7572" s="32"/>
    </row>
    <row r="7573" spans="12:12" x14ac:dyDescent="0.25">
      <c r="L7573" s="32"/>
    </row>
    <row r="7574" spans="12:12" x14ac:dyDescent="0.25">
      <c r="L7574" s="32"/>
    </row>
    <row r="7575" spans="12:12" x14ac:dyDescent="0.25">
      <c r="L7575" s="32"/>
    </row>
    <row r="7576" spans="12:12" x14ac:dyDescent="0.25">
      <c r="L7576" s="32"/>
    </row>
    <row r="7577" spans="12:12" x14ac:dyDescent="0.25">
      <c r="L7577" s="32"/>
    </row>
    <row r="7578" spans="12:12" x14ac:dyDescent="0.25">
      <c r="L7578" s="32"/>
    </row>
    <row r="7579" spans="12:12" x14ac:dyDescent="0.25">
      <c r="L7579" s="32"/>
    </row>
    <row r="7580" spans="12:12" x14ac:dyDescent="0.25">
      <c r="L7580" s="32"/>
    </row>
    <row r="7581" spans="12:12" x14ac:dyDescent="0.25">
      <c r="L7581" s="32"/>
    </row>
    <row r="7582" spans="12:12" x14ac:dyDescent="0.25">
      <c r="L7582" s="32"/>
    </row>
    <row r="7583" spans="12:12" x14ac:dyDescent="0.25">
      <c r="L7583" s="32"/>
    </row>
    <row r="7584" spans="12:12" x14ac:dyDescent="0.25">
      <c r="L7584" s="32"/>
    </row>
    <row r="7585" spans="12:12" x14ac:dyDescent="0.25">
      <c r="L7585" s="32"/>
    </row>
    <row r="7586" spans="12:12" x14ac:dyDescent="0.25">
      <c r="L7586" s="32"/>
    </row>
    <row r="7587" spans="12:12" x14ac:dyDescent="0.25">
      <c r="L7587" s="32"/>
    </row>
    <row r="7588" spans="12:12" x14ac:dyDescent="0.25">
      <c r="L7588" s="32"/>
    </row>
    <row r="7589" spans="12:12" x14ac:dyDescent="0.25">
      <c r="L7589" s="32"/>
    </row>
    <row r="7590" spans="12:12" x14ac:dyDescent="0.25">
      <c r="L7590" s="32"/>
    </row>
    <row r="7591" spans="12:12" x14ac:dyDescent="0.25">
      <c r="L7591" s="32"/>
    </row>
    <row r="7592" spans="12:12" x14ac:dyDescent="0.25">
      <c r="L7592" s="32"/>
    </row>
    <row r="7593" spans="12:12" x14ac:dyDescent="0.25">
      <c r="L7593" s="32"/>
    </row>
    <row r="7594" spans="12:12" x14ac:dyDescent="0.25">
      <c r="L7594" s="32"/>
    </row>
    <row r="7595" spans="12:12" x14ac:dyDescent="0.25">
      <c r="L7595" s="32"/>
    </row>
    <row r="7596" spans="12:12" x14ac:dyDescent="0.25">
      <c r="L7596" s="32"/>
    </row>
    <row r="7597" spans="12:12" x14ac:dyDescent="0.25">
      <c r="L7597" s="32"/>
    </row>
    <row r="7598" spans="12:12" x14ac:dyDescent="0.25">
      <c r="L7598" s="32"/>
    </row>
    <row r="7599" spans="12:12" x14ac:dyDescent="0.25">
      <c r="L7599" s="32"/>
    </row>
    <row r="7600" spans="12:12" x14ac:dyDescent="0.25">
      <c r="L7600" s="32"/>
    </row>
    <row r="7601" spans="12:12" x14ac:dyDescent="0.25">
      <c r="L7601" s="32"/>
    </row>
    <row r="7602" spans="12:12" x14ac:dyDescent="0.25">
      <c r="L7602" s="32"/>
    </row>
    <row r="7603" spans="12:12" x14ac:dyDescent="0.25">
      <c r="L7603" s="32"/>
    </row>
    <row r="7604" spans="12:12" x14ac:dyDescent="0.25">
      <c r="L7604" s="32"/>
    </row>
    <row r="7605" spans="12:12" x14ac:dyDescent="0.25">
      <c r="L7605" s="32"/>
    </row>
    <row r="7606" spans="12:12" x14ac:dyDescent="0.25">
      <c r="L7606" s="32"/>
    </row>
    <row r="7607" spans="12:12" x14ac:dyDescent="0.25">
      <c r="L7607" s="32"/>
    </row>
    <row r="7608" spans="12:12" x14ac:dyDescent="0.25">
      <c r="L7608" s="32"/>
    </row>
    <row r="7609" spans="12:12" x14ac:dyDescent="0.25">
      <c r="L7609" s="32"/>
    </row>
    <row r="7610" spans="12:12" x14ac:dyDescent="0.25">
      <c r="L7610" s="32"/>
    </row>
    <row r="7611" spans="12:12" x14ac:dyDescent="0.25">
      <c r="L7611" s="32"/>
    </row>
    <row r="7612" spans="12:12" x14ac:dyDescent="0.25">
      <c r="L7612" s="32"/>
    </row>
    <row r="7613" spans="12:12" x14ac:dyDescent="0.25">
      <c r="L7613" s="32"/>
    </row>
    <row r="7614" spans="12:12" x14ac:dyDescent="0.25">
      <c r="L7614" s="32"/>
    </row>
    <row r="7615" spans="12:12" x14ac:dyDescent="0.25">
      <c r="L7615" s="32"/>
    </row>
    <row r="7616" spans="12:12" x14ac:dyDescent="0.25">
      <c r="L7616" s="32"/>
    </row>
    <row r="7617" spans="12:12" x14ac:dyDescent="0.25">
      <c r="L7617" s="32"/>
    </row>
    <row r="7618" spans="12:12" x14ac:dyDescent="0.25">
      <c r="L7618" s="32"/>
    </row>
    <row r="7619" spans="12:12" x14ac:dyDescent="0.25">
      <c r="L7619" s="32"/>
    </row>
    <row r="7620" spans="12:12" x14ac:dyDescent="0.25">
      <c r="L7620" s="32"/>
    </row>
    <row r="7621" spans="12:12" x14ac:dyDescent="0.25">
      <c r="L7621" s="32"/>
    </row>
    <row r="7622" spans="12:12" x14ac:dyDescent="0.25">
      <c r="L7622" s="32"/>
    </row>
    <row r="7623" spans="12:12" x14ac:dyDescent="0.25">
      <c r="L7623" s="32"/>
    </row>
    <row r="7624" spans="12:12" x14ac:dyDescent="0.25">
      <c r="L7624" s="32"/>
    </row>
    <row r="7625" spans="12:12" x14ac:dyDescent="0.25">
      <c r="L7625" s="32"/>
    </row>
    <row r="7626" spans="12:12" x14ac:dyDescent="0.25">
      <c r="L7626" s="32"/>
    </row>
    <row r="7627" spans="12:12" x14ac:dyDescent="0.25">
      <c r="L7627" s="32"/>
    </row>
    <row r="7628" spans="12:12" x14ac:dyDescent="0.25">
      <c r="L7628" s="32"/>
    </row>
    <row r="7629" spans="12:12" x14ac:dyDescent="0.25">
      <c r="L7629" s="32"/>
    </row>
    <row r="7630" spans="12:12" x14ac:dyDescent="0.25">
      <c r="L7630" s="32"/>
    </row>
    <row r="7631" spans="12:12" x14ac:dyDescent="0.25">
      <c r="L7631" s="32"/>
    </row>
    <row r="7632" spans="12:12" x14ac:dyDescent="0.25">
      <c r="L7632" s="32"/>
    </row>
    <row r="7633" spans="12:12" x14ac:dyDescent="0.25">
      <c r="L7633" s="32"/>
    </row>
    <row r="7634" spans="12:12" x14ac:dyDescent="0.25">
      <c r="L7634" s="32"/>
    </row>
    <row r="7635" spans="12:12" x14ac:dyDescent="0.25">
      <c r="L7635" s="32"/>
    </row>
    <row r="7636" spans="12:12" x14ac:dyDescent="0.25">
      <c r="L7636" s="32"/>
    </row>
    <row r="7637" spans="12:12" x14ac:dyDescent="0.25">
      <c r="L7637" s="32"/>
    </row>
    <row r="7638" spans="12:12" x14ac:dyDescent="0.25">
      <c r="L7638" s="32"/>
    </row>
    <row r="7639" spans="12:12" x14ac:dyDescent="0.25">
      <c r="L7639" s="32"/>
    </row>
    <row r="7640" spans="12:12" x14ac:dyDescent="0.25">
      <c r="L7640" s="32"/>
    </row>
    <row r="7641" spans="12:12" x14ac:dyDescent="0.25">
      <c r="L7641" s="32"/>
    </row>
    <row r="7642" spans="12:12" x14ac:dyDescent="0.25">
      <c r="L7642" s="32"/>
    </row>
    <row r="7643" spans="12:12" x14ac:dyDescent="0.25">
      <c r="L7643" s="32"/>
    </row>
    <row r="7644" spans="12:12" x14ac:dyDescent="0.25">
      <c r="L7644" s="32"/>
    </row>
    <row r="7645" spans="12:12" x14ac:dyDescent="0.25">
      <c r="L7645" s="32"/>
    </row>
    <row r="7646" spans="12:12" x14ac:dyDescent="0.25">
      <c r="L7646" s="32"/>
    </row>
    <row r="7647" spans="12:12" x14ac:dyDescent="0.25">
      <c r="L7647" s="32"/>
    </row>
    <row r="7648" spans="12:12" x14ac:dyDescent="0.25">
      <c r="L7648" s="32"/>
    </row>
    <row r="7649" spans="12:12" x14ac:dyDescent="0.25">
      <c r="L7649" s="32"/>
    </row>
    <row r="7650" spans="12:12" x14ac:dyDescent="0.25">
      <c r="L7650" s="32"/>
    </row>
    <row r="7651" spans="12:12" x14ac:dyDescent="0.25">
      <c r="L7651" s="32"/>
    </row>
    <row r="7652" spans="12:12" x14ac:dyDescent="0.25">
      <c r="L7652" s="32"/>
    </row>
    <row r="7653" spans="12:12" x14ac:dyDescent="0.25">
      <c r="L7653" s="32"/>
    </row>
    <row r="7654" spans="12:12" x14ac:dyDescent="0.25">
      <c r="L7654" s="32"/>
    </row>
    <row r="7655" spans="12:12" x14ac:dyDescent="0.25">
      <c r="L7655" s="32"/>
    </row>
    <row r="7656" spans="12:12" x14ac:dyDescent="0.25">
      <c r="L7656" s="32"/>
    </row>
    <row r="7657" spans="12:12" x14ac:dyDescent="0.25">
      <c r="L7657" s="32"/>
    </row>
    <row r="7658" spans="12:12" x14ac:dyDescent="0.25">
      <c r="L7658" s="32"/>
    </row>
    <row r="7659" spans="12:12" x14ac:dyDescent="0.25">
      <c r="L7659" s="32"/>
    </row>
    <row r="7660" spans="12:12" x14ac:dyDescent="0.25">
      <c r="L7660" s="32"/>
    </row>
    <row r="7661" spans="12:12" x14ac:dyDescent="0.25">
      <c r="L7661" s="32"/>
    </row>
    <row r="7662" spans="12:12" x14ac:dyDescent="0.25">
      <c r="L7662" s="32"/>
    </row>
    <row r="7663" spans="12:12" x14ac:dyDescent="0.25">
      <c r="L7663" s="32"/>
    </row>
    <row r="7664" spans="12:12" x14ac:dyDescent="0.25">
      <c r="L7664" s="32"/>
    </row>
    <row r="7665" spans="12:12" x14ac:dyDescent="0.25">
      <c r="L7665" s="32"/>
    </row>
    <row r="7666" spans="12:12" x14ac:dyDescent="0.25">
      <c r="L7666" s="32"/>
    </row>
    <row r="7667" spans="12:12" x14ac:dyDescent="0.25">
      <c r="L7667" s="32"/>
    </row>
    <row r="7668" spans="12:12" x14ac:dyDescent="0.25">
      <c r="L7668" s="32"/>
    </row>
    <row r="7669" spans="12:12" x14ac:dyDescent="0.25">
      <c r="L7669" s="32"/>
    </row>
    <row r="7670" spans="12:12" x14ac:dyDescent="0.25">
      <c r="L7670" s="32"/>
    </row>
    <row r="7671" spans="12:12" x14ac:dyDescent="0.25">
      <c r="L7671" s="32"/>
    </row>
    <row r="7672" spans="12:12" x14ac:dyDescent="0.25">
      <c r="L7672" s="32"/>
    </row>
    <row r="7673" spans="12:12" x14ac:dyDescent="0.25">
      <c r="L7673" s="32"/>
    </row>
    <row r="7674" spans="12:12" x14ac:dyDescent="0.25">
      <c r="L7674" s="32"/>
    </row>
    <row r="7675" spans="12:12" x14ac:dyDescent="0.25">
      <c r="L7675" s="32"/>
    </row>
    <row r="7676" spans="12:12" x14ac:dyDescent="0.25">
      <c r="L7676" s="32"/>
    </row>
    <row r="7677" spans="12:12" x14ac:dyDescent="0.25">
      <c r="L7677" s="32"/>
    </row>
    <row r="7678" spans="12:12" x14ac:dyDescent="0.25">
      <c r="L7678" s="32"/>
    </row>
    <row r="7679" spans="12:12" x14ac:dyDescent="0.25">
      <c r="L7679" s="32"/>
    </row>
    <row r="7680" spans="12:12" x14ac:dyDescent="0.25">
      <c r="L7680" s="32"/>
    </row>
    <row r="7681" spans="12:12" x14ac:dyDescent="0.25">
      <c r="L7681" s="32"/>
    </row>
    <row r="7682" spans="12:12" x14ac:dyDescent="0.25">
      <c r="L7682" s="32"/>
    </row>
    <row r="7683" spans="12:12" x14ac:dyDescent="0.25">
      <c r="L7683" s="32"/>
    </row>
    <row r="7684" spans="12:12" x14ac:dyDescent="0.25">
      <c r="L7684" s="32"/>
    </row>
    <row r="7685" spans="12:12" x14ac:dyDescent="0.25">
      <c r="L7685" s="32"/>
    </row>
    <row r="7686" spans="12:12" x14ac:dyDescent="0.25">
      <c r="L7686" s="32"/>
    </row>
    <row r="7687" spans="12:12" x14ac:dyDescent="0.25">
      <c r="L7687" s="32"/>
    </row>
    <row r="7688" spans="12:12" x14ac:dyDescent="0.25">
      <c r="L7688" s="32"/>
    </row>
    <row r="7689" spans="12:12" x14ac:dyDescent="0.25">
      <c r="L7689" s="32"/>
    </row>
    <row r="7690" spans="12:12" x14ac:dyDescent="0.25">
      <c r="L7690" s="32"/>
    </row>
    <row r="7691" spans="12:12" x14ac:dyDescent="0.25">
      <c r="L7691" s="32"/>
    </row>
    <row r="7692" spans="12:12" x14ac:dyDescent="0.25">
      <c r="L7692" s="32"/>
    </row>
    <row r="7693" spans="12:12" x14ac:dyDescent="0.25">
      <c r="L7693" s="32"/>
    </row>
    <row r="7694" spans="12:12" x14ac:dyDescent="0.25">
      <c r="L7694" s="32"/>
    </row>
    <row r="7695" spans="12:12" x14ac:dyDescent="0.25">
      <c r="L7695" s="32"/>
    </row>
    <row r="7696" spans="12:12" x14ac:dyDescent="0.25">
      <c r="L7696" s="32"/>
    </row>
    <row r="7697" spans="12:12" x14ac:dyDescent="0.25">
      <c r="L7697" s="32"/>
    </row>
    <row r="7698" spans="12:12" x14ac:dyDescent="0.25">
      <c r="L7698" s="32"/>
    </row>
    <row r="7699" spans="12:12" x14ac:dyDescent="0.25">
      <c r="L7699" s="32"/>
    </row>
    <row r="7700" spans="12:12" x14ac:dyDescent="0.25">
      <c r="L7700" s="32"/>
    </row>
    <row r="7701" spans="12:12" x14ac:dyDescent="0.25">
      <c r="L7701" s="32"/>
    </row>
    <row r="7702" spans="12:12" x14ac:dyDescent="0.25">
      <c r="L7702" s="32"/>
    </row>
    <row r="7703" spans="12:12" x14ac:dyDescent="0.25">
      <c r="L7703" s="32"/>
    </row>
    <row r="7704" spans="12:12" x14ac:dyDescent="0.25">
      <c r="L7704" s="32"/>
    </row>
    <row r="7705" spans="12:12" x14ac:dyDescent="0.25">
      <c r="L7705" s="32"/>
    </row>
    <row r="7706" spans="12:12" x14ac:dyDescent="0.25">
      <c r="L7706" s="32"/>
    </row>
    <row r="7707" spans="12:12" x14ac:dyDescent="0.25">
      <c r="L7707" s="32"/>
    </row>
    <row r="7708" spans="12:12" x14ac:dyDescent="0.25">
      <c r="L7708" s="32"/>
    </row>
    <row r="7709" spans="12:12" x14ac:dyDescent="0.25">
      <c r="L7709" s="32"/>
    </row>
    <row r="7710" spans="12:12" x14ac:dyDescent="0.25">
      <c r="L7710" s="32"/>
    </row>
    <row r="7711" spans="12:12" x14ac:dyDescent="0.25">
      <c r="L7711" s="32"/>
    </row>
    <row r="7712" spans="12:12" x14ac:dyDescent="0.25">
      <c r="L7712" s="32"/>
    </row>
    <row r="7713" spans="12:12" x14ac:dyDescent="0.25">
      <c r="L7713" s="32"/>
    </row>
    <row r="7714" spans="12:12" x14ac:dyDescent="0.25">
      <c r="L7714" s="32"/>
    </row>
    <row r="7715" spans="12:12" x14ac:dyDescent="0.25">
      <c r="L7715" s="32"/>
    </row>
    <row r="7716" spans="12:12" x14ac:dyDescent="0.25">
      <c r="L7716" s="32"/>
    </row>
    <row r="7717" spans="12:12" x14ac:dyDescent="0.25">
      <c r="L7717" s="32"/>
    </row>
    <row r="7718" spans="12:12" x14ac:dyDescent="0.25">
      <c r="L7718" s="32"/>
    </row>
    <row r="7719" spans="12:12" x14ac:dyDescent="0.25">
      <c r="L7719" s="32"/>
    </row>
    <row r="7720" spans="12:12" x14ac:dyDescent="0.25">
      <c r="L7720" s="32"/>
    </row>
    <row r="7721" spans="12:12" x14ac:dyDescent="0.25">
      <c r="L7721" s="32"/>
    </row>
    <row r="7722" spans="12:12" x14ac:dyDescent="0.25">
      <c r="L7722" s="32"/>
    </row>
    <row r="7723" spans="12:12" x14ac:dyDescent="0.25">
      <c r="L7723" s="32"/>
    </row>
    <row r="7724" spans="12:12" x14ac:dyDescent="0.25">
      <c r="L7724" s="32"/>
    </row>
    <row r="7725" spans="12:12" x14ac:dyDescent="0.25">
      <c r="L7725" s="32"/>
    </row>
    <row r="7726" spans="12:12" x14ac:dyDescent="0.25">
      <c r="L7726" s="32"/>
    </row>
    <row r="7727" spans="12:12" x14ac:dyDescent="0.25">
      <c r="L7727" s="32"/>
    </row>
    <row r="7728" spans="12:12" x14ac:dyDescent="0.25">
      <c r="L7728" s="32"/>
    </row>
    <row r="7729" spans="12:12" x14ac:dyDescent="0.25">
      <c r="L7729" s="32"/>
    </row>
    <row r="7730" spans="12:12" x14ac:dyDescent="0.25">
      <c r="L7730" s="32"/>
    </row>
    <row r="7731" spans="12:12" x14ac:dyDescent="0.25">
      <c r="L7731" s="32"/>
    </row>
    <row r="7732" spans="12:12" x14ac:dyDescent="0.25">
      <c r="L7732" s="32"/>
    </row>
    <row r="7733" spans="12:12" x14ac:dyDescent="0.25">
      <c r="L7733" s="32"/>
    </row>
    <row r="7734" spans="12:12" x14ac:dyDescent="0.25">
      <c r="L7734" s="32"/>
    </row>
    <row r="7735" spans="12:12" x14ac:dyDescent="0.25">
      <c r="L7735" s="32"/>
    </row>
    <row r="7736" spans="12:12" x14ac:dyDescent="0.25">
      <c r="L7736" s="32"/>
    </row>
    <row r="7737" spans="12:12" x14ac:dyDescent="0.25">
      <c r="L7737" s="32"/>
    </row>
    <row r="7738" spans="12:12" x14ac:dyDescent="0.25">
      <c r="L7738" s="32"/>
    </row>
    <row r="7739" spans="12:12" x14ac:dyDescent="0.25">
      <c r="L7739" s="32"/>
    </row>
    <row r="7740" spans="12:12" x14ac:dyDescent="0.25">
      <c r="L7740" s="32"/>
    </row>
    <row r="7741" spans="12:12" x14ac:dyDescent="0.25">
      <c r="L7741" s="32"/>
    </row>
    <row r="7742" spans="12:12" x14ac:dyDescent="0.25">
      <c r="L7742" s="32"/>
    </row>
    <row r="7743" spans="12:12" x14ac:dyDescent="0.25">
      <c r="L7743" s="32"/>
    </row>
    <row r="7744" spans="12:12" x14ac:dyDescent="0.25">
      <c r="L7744" s="32"/>
    </row>
    <row r="7745" spans="12:12" x14ac:dyDescent="0.25">
      <c r="L7745" s="32"/>
    </row>
    <row r="7746" spans="12:12" x14ac:dyDescent="0.25">
      <c r="L7746" s="32"/>
    </row>
    <row r="7747" spans="12:12" x14ac:dyDescent="0.25">
      <c r="L7747" s="32"/>
    </row>
    <row r="7748" spans="12:12" x14ac:dyDescent="0.25">
      <c r="L7748" s="32"/>
    </row>
    <row r="7749" spans="12:12" x14ac:dyDescent="0.25">
      <c r="L7749" s="32"/>
    </row>
    <row r="7750" spans="12:12" x14ac:dyDescent="0.25">
      <c r="L7750" s="32"/>
    </row>
    <row r="7751" spans="12:12" x14ac:dyDescent="0.25">
      <c r="L7751" s="32"/>
    </row>
    <row r="7752" spans="12:12" x14ac:dyDescent="0.25">
      <c r="L7752" s="32"/>
    </row>
    <row r="7753" spans="12:12" x14ac:dyDescent="0.25">
      <c r="L7753" s="32"/>
    </row>
    <row r="7754" spans="12:12" x14ac:dyDescent="0.25">
      <c r="L7754" s="32"/>
    </row>
    <row r="7755" spans="12:12" x14ac:dyDescent="0.25">
      <c r="L7755" s="32"/>
    </row>
    <row r="7756" spans="12:12" x14ac:dyDescent="0.25">
      <c r="L7756" s="32"/>
    </row>
    <row r="7757" spans="12:12" x14ac:dyDescent="0.25">
      <c r="L7757" s="32"/>
    </row>
    <row r="7758" spans="12:12" x14ac:dyDescent="0.25">
      <c r="L7758" s="32"/>
    </row>
    <row r="7759" spans="12:12" x14ac:dyDescent="0.25">
      <c r="L7759" s="32"/>
    </row>
    <row r="7760" spans="12:12" x14ac:dyDescent="0.25">
      <c r="L7760" s="32"/>
    </row>
    <row r="7761" spans="12:12" x14ac:dyDescent="0.25">
      <c r="L7761" s="32"/>
    </row>
    <row r="7762" spans="12:12" x14ac:dyDescent="0.25">
      <c r="L7762" s="32"/>
    </row>
    <row r="7763" spans="12:12" x14ac:dyDescent="0.25">
      <c r="L7763" s="32"/>
    </row>
    <row r="7764" spans="12:12" x14ac:dyDescent="0.25">
      <c r="L7764" s="32"/>
    </row>
    <row r="7765" spans="12:12" x14ac:dyDescent="0.25">
      <c r="L7765" s="32"/>
    </row>
    <row r="7766" spans="12:12" x14ac:dyDescent="0.25">
      <c r="L7766" s="32"/>
    </row>
    <row r="7767" spans="12:12" x14ac:dyDescent="0.25">
      <c r="L7767" s="32"/>
    </row>
    <row r="7768" spans="12:12" x14ac:dyDescent="0.25">
      <c r="L7768" s="32"/>
    </row>
    <row r="7769" spans="12:12" x14ac:dyDescent="0.25">
      <c r="L7769" s="32"/>
    </row>
    <row r="7770" spans="12:12" x14ac:dyDescent="0.25">
      <c r="L7770" s="32"/>
    </row>
    <row r="7771" spans="12:12" x14ac:dyDescent="0.25">
      <c r="L7771" s="32"/>
    </row>
    <row r="7772" spans="12:12" x14ac:dyDescent="0.25">
      <c r="L7772" s="32"/>
    </row>
    <row r="7773" spans="12:12" x14ac:dyDescent="0.25">
      <c r="L7773" s="32"/>
    </row>
    <row r="7774" spans="12:12" x14ac:dyDescent="0.25">
      <c r="L7774" s="32"/>
    </row>
    <row r="7775" spans="12:12" x14ac:dyDescent="0.25">
      <c r="L7775" s="32"/>
    </row>
    <row r="7776" spans="12:12" x14ac:dyDescent="0.25">
      <c r="L7776" s="32"/>
    </row>
    <row r="7777" spans="12:12" x14ac:dyDescent="0.25">
      <c r="L7777" s="32"/>
    </row>
    <row r="7778" spans="12:12" x14ac:dyDescent="0.25">
      <c r="L7778" s="32"/>
    </row>
    <row r="7779" spans="12:12" x14ac:dyDescent="0.25">
      <c r="L7779" s="32"/>
    </row>
    <row r="7780" spans="12:12" x14ac:dyDescent="0.25">
      <c r="L7780" s="32"/>
    </row>
    <row r="7781" spans="12:12" x14ac:dyDescent="0.25">
      <c r="L7781" s="32"/>
    </row>
    <row r="7782" spans="12:12" x14ac:dyDescent="0.25">
      <c r="L7782" s="32"/>
    </row>
    <row r="7783" spans="12:12" x14ac:dyDescent="0.25">
      <c r="L7783" s="32"/>
    </row>
    <row r="7784" spans="12:12" x14ac:dyDescent="0.25">
      <c r="L7784" s="32"/>
    </row>
    <row r="7785" spans="12:12" x14ac:dyDescent="0.25">
      <c r="L7785" s="32"/>
    </row>
    <row r="7786" spans="12:12" x14ac:dyDescent="0.25">
      <c r="L7786" s="32"/>
    </row>
    <row r="7787" spans="12:12" x14ac:dyDescent="0.25">
      <c r="L7787" s="32"/>
    </row>
    <row r="7788" spans="12:12" x14ac:dyDescent="0.25">
      <c r="L7788" s="32"/>
    </row>
    <row r="7789" spans="12:12" x14ac:dyDescent="0.25">
      <c r="L7789" s="32"/>
    </row>
    <row r="7790" spans="12:12" x14ac:dyDescent="0.25">
      <c r="L7790" s="32"/>
    </row>
    <row r="7791" spans="12:12" x14ac:dyDescent="0.25">
      <c r="L7791" s="32"/>
    </row>
    <row r="7792" spans="12:12" x14ac:dyDescent="0.25">
      <c r="L7792" s="32"/>
    </row>
    <row r="7793" spans="12:12" x14ac:dyDescent="0.25">
      <c r="L7793" s="32"/>
    </row>
    <row r="7794" spans="12:12" x14ac:dyDescent="0.25">
      <c r="L7794" s="32"/>
    </row>
    <row r="7795" spans="12:12" x14ac:dyDescent="0.25">
      <c r="L7795" s="32"/>
    </row>
    <row r="7796" spans="12:12" x14ac:dyDescent="0.25">
      <c r="L7796" s="32"/>
    </row>
    <row r="7797" spans="12:12" x14ac:dyDescent="0.25">
      <c r="L7797" s="32"/>
    </row>
    <row r="7798" spans="12:12" x14ac:dyDescent="0.25">
      <c r="L7798" s="32"/>
    </row>
    <row r="7799" spans="12:12" x14ac:dyDescent="0.25">
      <c r="L7799" s="32"/>
    </row>
    <row r="7800" spans="12:12" x14ac:dyDescent="0.25">
      <c r="L7800" s="32"/>
    </row>
    <row r="7801" spans="12:12" x14ac:dyDescent="0.25">
      <c r="L7801" s="32"/>
    </row>
    <row r="7802" spans="12:12" x14ac:dyDescent="0.25">
      <c r="L7802" s="32"/>
    </row>
    <row r="7803" spans="12:12" x14ac:dyDescent="0.25">
      <c r="L7803" s="32"/>
    </row>
    <row r="7804" spans="12:12" x14ac:dyDescent="0.25">
      <c r="L7804" s="32"/>
    </row>
    <row r="7805" spans="12:12" x14ac:dyDescent="0.25">
      <c r="L7805" s="32"/>
    </row>
    <row r="7806" spans="12:12" x14ac:dyDescent="0.25">
      <c r="L7806" s="32"/>
    </row>
    <row r="7807" spans="12:12" x14ac:dyDescent="0.25">
      <c r="L7807" s="32"/>
    </row>
    <row r="7808" spans="12:12" x14ac:dyDescent="0.25">
      <c r="L7808" s="32"/>
    </row>
    <row r="7809" spans="12:12" x14ac:dyDescent="0.25">
      <c r="L7809" s="32"/>
    </row>
    <row r="7810" spans="12:12" x14ac:dyDescent="0.25">
      <c r="L7810" s="32"/>
    </row>
    <row r="7811" spans="12:12" x14ac:dyDescent="0.25">
      <c r="L7811" s="32"/>
    </row>
    <row r="7812" spans="12:12" x14ac:dyDescent="0.25">
      <c r="L7812" s="32"/>
    </row>
    <row r="7813" spans="12:12" x14ac:dyDescent="0.25">
      <c r="L7813" s="32"/>
    </row>
    <row r="7814" spans="12:12" x14ac:dyDescent="0.25">
      <c r="L7814" s="32"/>
    </row>
    <row r="7815" spans="12:12" x14ac:dyDescent="0.25">
      <c r="L7815" s="32"/>
    </row>
    <row r="7816" spans="12:12" x14ac:dyDescent="0.25">
      <c r="L7816" s="32"/>
    </row>
    <row r="7817" spans="12:12" x14ac:dyDescent="0.25">
      <c r="L7817" s="32"/>
    </row>
    <row r="7818" spans="12:12" x14ac:dyDescent="0.25">
      <c r="L7818" s="32"/>
    </row>
    <row r="7819" spans="12:12" x14ac:dyDescent="0.25">
      <c r="L7819" s="32"/>
    </row>
    <row r="7820" spans="12:12" x14ac:dyDescent="0.25">
      <c r="L7820" s="32"/>
    </row>
    <row r="7821" spans="12:12" x14ac:dyDescent="0.25">
      <c r="L7821" s="32"/>
    </row>
    <row r="7822" spans="12:12" x14ac:dyDescent="0.25">
      <c r="L7822" s="32"/>
    </row>
    <row r="7823" spans="12:12" x14ac:dyDescent="0.25">
      <c r="L7823" s="32"/>
    </row>
    <row r="7824" spans="12:12" x14ac:dyDescent="0.25">
      <c r="L7824" s="32"/>
    </row>
    <row r="7825" spans="12:12" x14ac:dyDescent="0.25">
      <c r="L7825" s="32"/>
    </row>
    <row r="7826" spans="12:12" x14ac:dyDescent="0.25">
      <c r="L7826" s="32"/>
    </row>
    <row r="7827" spans="12:12" x14ac:dyDescent="0.25">
      <c r="L7827" s="32"/>
    </row>
    <row r="7828" spans="12:12" x14ac:dyDescent="0.25">
      <c r="L7828" s="32"/>
    </row>
    <row r="7829" spans="12:12" x14ac:dyDescent="0.25">
      <c r="L7829" s="32"/>
    </row>
    <row r="7830" spans="12:12" x14ac:dyDescent="0.25">
      <c r="L7830" s="32"/>
    </row>
    <row r="7831" spans="12:12" x14ac:dyDescent="0.25">
      <c r="L7831" s="32"/>
    </row>
    <row r="7832" spans="12:12" x14ac:dyDescent="0.25">
      <c r="L7832" s="32"/>
    </row>
    <row r="7833" spans="12:12" x14ac:dyDescent="0.25">
      <c r="L7833" s="32"/>
    </row>
    <row r="7834" spans="12:12" x14ac:dyDescent="0.25">
      <c r="L7834" s="32"/>
    </row>
    <row r="7835" spans="12:12" x14ac:dyDescent="0.25">
      <c r="L7835" s="32"/>
    </row>
    <row r="7836" spans="12:12" x14ac:dyDescent="0.25">
      <c r="L7836" s="32"/>
    </row>
    <row r="7837" spans="12:12" x14ac:dyDescent="0.25">
      <c r="L7837" s="32"/>
    </row>
    <row r="7838" spans="12:12" x14ac:dyDescent="0.25">
      <c r="L7838" s="32"/>
    </row>
    <row r="7839" spans="12:12" x14ac:dyDescent="0.25">
      <c r="L7839" s="32"/>
    </row>
    <row r="7840" spans="12:12" x14ac:dyDescent="0.25">
      <c r="L7840" s="32"/>
    </row>
    <row r="7841" spans="12:12" x14ac:dyDescent="0.25">
      <c r="L7841" s="32"/>
    </row>
    <row r="7842" spans="12:12" x14ac:dyDescent="0.25">
      <c r="L7842" s="32"/>
    </row>
    <row r="7843" spans="12:12" x14ac:dyDescent="0.25">
      <c r="L7843" s="32"/>
    </row>
    <row r="7844" spans="12:12" x14ac:dyDescent="0.25">
      <c r="L7844" s="32"/>
    </row>
    <row r="7845" spans="12:12" x14ac:dyDescent="0.25">
      <c r="L7845" s="32"/>
    </row>
    <row r="7846" spans="12:12" x14ac:dyDescent="0.25">
      <c r="L7846" s="32"/>
    </row>
    <row r="7847" spans="12:12" x14ac:dyDescent="0.25">
      <c r="L7847" s="32"/>
    </row>
    <row r="7848" spans="12:12" x14ac:dyDescent="0.25">
      <c r="L7848" s="32"/>
    </row>
    <row r="7849" spans="12:12" x14ac:dyDescent="0.25">
      <c r="L7849" s="32"/>
    </row>
    <row r="7850" spans="12:12" x14ac:dyDescent="0.25">
      <c r="L7850" s="32"/>
    </row>
    <row r="7851" spans="12:12" x14ac:dyDescent="0.25">
      <c r="L7851" s="32"/>
    </row>
    <row r="7852" spans="12:12" x14ac:dyDescent="0.25">
      <c r="L7852" s="32"/>
    </row>
    <row r="7853" spans="12:12" x14ac:dyDescent="0.25">
      <c r="L7853" s="32"/>
    </row>
    <row r="7854" spans="12:12" x14ac:dyDescent="0.25">
      <c r="L7854" s="32"/>
    </row>
    <row r="7855" spans="12:12" x14ac:dyDescent="0.25">
      <c r="L7855" s="32"/>
    </row>
    <row r="7856" spans="12:12" x14ac:dyDescent="0.25">
      <c r="L7856" s="32"/>
    </row>
    <row r="7857" spans="12:12" x14ac:dyDescent="0.25">
      <c r="L7857" s="32"/>
    </row>
    <row r="7858" spans="12:12" x14ac:dyDescent="0.25">
      <c r="L7858" s="32"/>
    </row>
    <row r="7859" spans="12:12" x14ac:dyDescent="0.25">
      <c r="L7859" s="32"/>
    </row>
    <row r="7860" spans="12:12" x14ac:dyDescent="0.25">
      <c r="L7860" s="32"/>
    </row>
    <row r="7861" spans="12:12" x14ac:dyDescent="0.25">
      <c r="L7861" s="32"/>
    </row>
    <row r="7862" spans="12:12" x14ac:dyDescent="0.25">
      <c r="L7862" s="32"/>
    </row>
    <row r="7863" spans="12:12" x14ac:dyDescent="0.25">
      <c r="L7863" s="32"/>
    </row>
    <row r="7864" spans="12:12" x14ac:dyDescent="0.25">
      <c r="L7864" s="32"/>
    </row>
    <row r="7865" spans="12:12" x14ac:dyDescent="0.25">
      <c r="L7865" s="32"/>
    </row>
    <row r="7866" spans="12:12" x14ac:dyDescent="0.25">
      <c r="L7866" s="32"/>
    </row>
    <row r="7867" spans="12:12" x14ac:dyDescent="0.25">
      <c r="L7867" s="32"/>
    </row>
    <row r="7868" spans="12:12" x14ac:dyDescent="0.25">
      <c r="L7868" s="32"/>
    </row>
    <row r="7869" spans="12:12" x14ac:dyDescent="0.25">
      <c r="L7869" s="32"/>
    </row>
    <row r="7870" spans="12:12" x14ac:dyDescent="0.25">
      <c r="L7870" s="32"/>
    </row>
    <row r="7871" spans="12:12" x14ac:dyDescent="0.25">
      <c r="L7871" s="32"/>
    </row>
    <row r="7872" spans="12:12" x14ac:dyDescent="0.25">
      <c r="L7872" s="32"/>
    </row>
    <row r="7873" spans="12:12" x14ac:dyDescent="0.25">
      <c r="L7873" s="32"/>
    </row>
    <row r="7874" spans="12:12" x14ac:dyDescent="0.25">
      <c r="L7874" s="32"/>
    </row>
    <row r="7875" spans="12:12" x14ac:dyDescent="0.25">
      <c r="L7875" s="32"/>
    </row>
    <row r="7876" spans="12:12" x14ac:dyDescent="0.25">
      <c r="L7876" s="32"/>
    </row>
    <row r="7877" spans="12:12" x14ac:dyDescent="0.25">
      <c r="L7877" s="32"/>
    </row>
    <row r="7878" spans="12:12" x14ac:dyDescent="0.25">
      <c r="L7878" s="32"/>
    </row>
    <row r="7879" spans="12:12" x14ac:dyDescent="0.25">
      <c r="L7879" s="32"/>
    </row>
    <row r="7880" spans="12:12" x14ac:dyDescent="0.25">
      <c r="L7880" s="32"/>
    </row>
    <row r="7881" spans="12:12" x14ac:dyDescent="0.25">
      <c r="L7881" s="32"/>
    </row>
    <row r="7882" spans="12:12" x14ac:dyDescent="0.25">
      <c r="L7882" s="32"/>
    </row>
    <row r="7883" spans="12:12" x14ac:dyDescent="0.25">
      <c r="L7883" s="32"/>
    </row>
    <row r="7884" spans="12:12" x14ac:dyDescent="0.25">
      <c r="L7884" s="32"/>
    </row>
    <row r="7885" spans="12:12" x14ac:dyDescent="0.25">
      <c r="L7885" s="32"/>
    </row>
    <row r="7886" spans="12:12" x14ac:dyDescent="0.25">
      <c r="L7886" s="32"/>
    </row>
    <row r="7887" spans="12:12" x14ac:dyDescent="0.25">
      <c r="L7887" s="32"/>
    </row>
    <row r="7888" spans="12:12" x14ac:dyDescent="0.25">
      <c r="L7888" s="32"/>
    </row>
    <row r="7889" spans="12:12" x14ac:dyDescent="0.25">
      <c r="L7889" s="32"/>
    </row>
    <row r="7890" spans="12:12" x14ac:dyDescent="0.25">
      <c r="L7890" s="32"/>
    </row>
    <row r="7891" spans="12:12" x14ac:dyDescent="0.25">
      <c r="L7891" s="32"/>
    </row>
    <row r="7892" spans="12:12" x14ac:dyDescent="0.25">
      <c r="L7892" s="32"/>
    </row>
    <row r="7893" spans="12:12" x14ac:dyDescent="0.25">
      <c r="L7893" s="32"/>
    </row>
    <row r="7894" spans="12:12" x14ac:dyDescent="0.25">
      <c r="L7894" s="32"/>
    </row>
    <row r="7895" spans="12:12" x14ac:dyDescent="0.25">
      <c r="L7895" s="32"/>
    </row>
    <row r="7896" spans="12:12" x14ac:dyDescent="0.25">
      <c r="L7896" s="32"/>
    </row>
    <row r="7897" spans="12:12" x14ac:dyDescent="0.25">
      <c r="L7897" s="32"/>
    </row>
    <row r="7898" spans="12:12" x14ac:dyDescent="0.25">
      <c r="L7898" s="32"/>
    </row>
    <row r="7899" spans="12:12" x14ac:dyDescent="0.25">
      <c r="L7899" s="32"/>
    </row>
    <row r="7900" spans="12:12" x14ac:dyDescent="0.25">
      <c r="L7900" s="32"/>
    </row>
    <row r="7901" spans="12:12" x14ac:dyDescent="0.25">
      <c r="L7901" s="32"/>
    </row>
    <row r="7902" spans="12:12" x14ac:dyDescent="0.25">
      <c r="L7902" s="32"/>
    </row>
    <row r="7903" spans="12:12" x14ac:dyDescent="0.25">
      <c r="L7903" s="32"/>
    </row>
    <row r="7904" spans="12:12" x14ac:dyDescent="0.25">
      <c r="L7904" s="32"/>
    </row>
    <row r="7905" spans="12:12" x14ac:dyDescent="0.25">
      <c r="L7905" s="32"/>
    </row>
    <row r="7906" spans="12:12" x14ac:dyDescent="0.25">
      <c r="L7906" s="32"/>
    </row>
    <row r="7907" spans="12:12" x14ac:dyDescent="0.25">
      <c r="L7907" s="32"/>
    </row>
    <row r="7908" spans="12:12" x14ac:dyDescent="0.25">
      <c r="L7908" s="32"/>
    </row>
    <row r="7909" spans="12:12" x14ac:dyDescent="0.25">
      <c r="L7909" s="32"/>
    </row>
    <row r="7910" spans="12:12" x14ac:dyDescent="0.25">
      <c r="L7910" s="32"/>
    </row>
    <row r="7911" spans="12:12" x14ac:dyDescent="0.25">
      <c r="L7911" s="32"/>
    </row>
    <row r="7912" spans="12:12" x14ac:dyDescent="0.25">
      <c r="L7912" s="32"/>
    </row>
    <row r="7913" spans="12:12" x14ac:dyDescent="0.25">
      <c r="L7913" s="32"/>
    </row>
    <row r="7914" spans="12:12" x14ac:dyDescent="0.25">
      <c r="L7914" s="32"/>
    </row>
    <row r="7915" spans="12:12" x14ac:dyDescent="0.25">
      <c r="L7915" s="32"/>
    </row>
    <row r="7916" spans="12:12" x14ac:dyDescent="0.25">
      <c r="L7916" s="32"/>
    </row>
    <row r="7917" spans="12:12" x14ac:dyDescent="0.25">
      <c r="L7917" s="32"/>
    </row>
    <row r="7918" spans="12:12" x14ac:dyDescent="0.25">
      <c r="L7918" s="32"/>
    </row>
    <row r="7919" spans="12:12" x14ac:dyDescent="0.25">
      <c r="L7919" s="32"/>
    </row>
    <row r="7920" spans="12:12" x14ac:dyDescent="0.25">
      <c r="L7920" s="32"/>
    </row>
    <row r="7921" spans="12:12" x14ac:dyDescent="0.25">
      <c r="L7921" s="32"/>
    </row>
    <row r="7922" spans="12:12" x14ac:dyDescent="0.25">
      <c r="L7922" s="32"/>
    </row>
    <row r="7923" spans="12:12" x14ac:dyDescent="0.25">
      <c r="L7923" s="32"/>
    </row>
    <row r="7924" spans="12:12" x14ac:dyDescent="0.25">
      <c r="L7924" s="32"/>
    </row>
    <row r="7925" spans="12:12" x14ac:dyDescent="0.25">
      <c r="L7925" s="32"/>
    </row>
    <row r="7926" spans="12:12" x14ac:dyDescent="0.25">
      <c r="L7926" s="32"/>
    </row>
    <row r="7927" spans="12:12" x14ac:dyDescent="0.25">
      <c r="L7927" s="32"/>
    </row>
    <row r="7928" spans="12:12" x14ac:dyDescent="0.25">
      <c r="L7928" s="32"/>
    </row>
    <row r="7929" spans="12:12" x14ac:dyDescent="0.25">
      <c r="L7929" s="32"/>
    </row>
    <row r="7930" spans="12:12" x14ac:dyDescent="0.25">
      <c r="L7930" s="32"/>
    </row>
    <row r="7931" spans="12:12" x14ac:dyDescent="0.25">
      <c r="L7931" s="32"/>
    </row>
    <row r="7932" spans="12:12" x14ac:dyDescent="0.25">
      <c r="L7932" s="32"/>
    </row>
    <row r="7933" spans="12:12" x14ac:dyDescent="0.25">
      <c r="L7933" s="32"/>
    </row>
    <row r="7934" spans="12:12" x14ac:dyDescent="0.25">
      <c r="L7934" s="32"/>
    </row>
    <row r="7935" spans="12:12" x14ac:dyDescent="0.25">
      <c r="L7935" s="32"/>
    </row>
    <row r="7936" spans="12:12" x14ac:dyDescent="0.25">
      <c r="L7936" s="32"/>
    </row>
    <row r="7937" spans="12:12" x14ac:dyDescent="0.25">
      <c r="L7937" s="32"/>
    </row>
    <row r="7938" spans="12:12" x14ac:dyDescent="0.25">
      <c r="L7938" s="32"/>
    </row>
    <row r="7939" spans="12:12" x14ac:dyDescent="0.25">
      <c r="L7939" s="32"/>
    </row>
    <row r="7940" spans="12:12" x14ac:dyDescent="0.25">
      <c r="L7940" s="32"/>
    </row>
    <row r="7941" spans="12:12" x14ac:dyDescent="0.25">
      <c r="L7941" s="32"/>
    </row>
    <row r="7942" spans="12:12" x14ac:dyDescent="0.25">
      <c r="L7942" s="32"/>
    </row>
    <row r="7943" spans="12:12" x14ac:dyDescent="0.25">
      <c r="L7943" s="32"/>
    </row>
    <row r="7944" spans="12:12" x14ac:dyDescent="0.25">
      <c r="L7944" s="32"/>
    </row>
    <row r="7945" spans="12:12" x14ac:dyDescent="0.25">
      <c r="L7945" s="32"/>
    </row>
    <row r="7946" spans="12:12" x14ac:dyDescent="0.25">
      <c r="L7946" s="32"/>
    </row>
    <row r="7947" spans="12:12" x14ac:dyDescent="0.25">
      <c r="L7947" s="32"/>
    </row>
    <row r="7948" spans="12:12" x14ac:dyDescent="0.25">
      <c r="L7948" s="32"/>
    </row>
    <row r="7949" spans="12:12" x14ac:dyDescent="0.25">
      <c r="L7949" s="32"/>
    </row>
    <row r="7950" spans="12:12" x14ac:dyDescent="0.25">
      <c r="L7950" s="32"/>
    </row>
    <row r="7951" spans="12:12" x14ac:dyDescent="0.25">
      <c r="L7951" s="32"/>
    </row>
    <row r="7952" spans="12:12" x14ac:dyDescent="0.25">
      <c r="L7952" s="32"/>
    </row>
    <row r="7953" spans="12:12" x14ac:dyDescent="0.25">
      <c r="L7953" s="32"/>
    </row>
    <row r="7954" spans="12:12" x14ac:dyDescent="0.25">
      <c r="L7954" s="32"/>
    </row>
    <row r="7955" spans="12:12" x14ac:dyDescent="0.25">
      <c r="L7955" s="32"/>
    </row>
    <row r="7956" spans="12:12" x14ac:dyDescent="0.25">
      <c r="L7956" s="32"/>
    </row>
    <row r="7957" spans="12:12" x14ac:dyDescent="0.25">
      <c r="L7957" s="32"/>
    </row>
    <row r="7958" spans="12:12" x14ac:dyDescent="0.25">
      <c r="L7958" s="32"/>
    </row>
    <row r="7959" spans="12:12" x14ac:dyDescent="0.25">
      <c r="L7959" s="32"/>
    </row>
    <row r="7960" spans="12:12" x14ac:dyDescent="0.25">
      <c r="L7960" s="32"/>
    </row>
    <row r="7961" spans="12:12" x14ac:dyDescent="0.25">
      <c r="L7961" s="32"/>
    </row>
    <row r="7962" spans="12:12" x14ac:dyDescent="0.25">
      <c r="L7962" s="32"/>
    </row>
    <row r="7963" spans="12:12" x14ac:dyDescent="0.25">
      <c r="L7963" s="32"/>
    </row>
    <row r="7964" spans="12:12" x14ac:dyDescent="0.25">
      <c r="L7964" s="32"/>
    </row>
    <row r="7965" spans="12:12" x14ac:dyDescent="0.25">
      <c r="L7965" s="32"/>
    </row>
    <row r="7966" spans="12:12" x14ac:dyDescent="0.25">
      <c r="L7966" s="32"/>
    </row>
    <row r="7967" spans="12:12" x14ac:dyDescent="0.25">
      <c r="L7967" s="32"/>
    </row>
    <row r="7968" spans="12:12" x14ac:dyDescent="0.25">
      <c r="L7968" s="32"/>
    </row>
    <row r="7969" spans="12:12" x14ac:dyDescent="0.25">
      <c r="L7969" s="32"/>
    </row>
    <row r="7970" spans="12:12" x14ac:dyDescent="0.25">
      <c r="L7970" s="32"/>
    </row>
    <row r="7971" spans="12:12" x14ac:dyDescent="0.25">
      <c r="L7971" s="32"/>
    </row>
    <row r="7972" spans="12:12" x14ac:dyDescent="0.25">
      <c r="L7972" s="32"/>
    </row>
    <row r="7973" spans="12:12" x14ac:dyDescent="0.25">
      <c r="L7973" s="32"/>
    </row>
    <row r="7974" spans="12:12" x14ac:dyDescent="0.25">
      <c r="L7974" s="32"/>
    </row>
    <row r="7975" spans="12:12" x14ac:dyDescent="0.25">
      <c r="L7975" s="32"/>
    </row>
    <row r="7976" spans="12:12" x14ac:dyDescent="0.25">
      <c r="L7976" s="32"/>
    </row>
    <row r="7977" spans="12:12" x14ac:dyDescent="0.25">
      <c r="L7977" s="32"/>
    </row>
    <row r="7978" spans="12:12" x14ac:dyDescent="0.25">
      <c r="L7978" s="32"/>
    </row>
    <row r="7979" spans="12:12" x14ac:dyDescent="0.25">
      <c r="L7979" s="32"/>
    </row>
    <row r="7980" spans="12:12" x14ac:dyDescent="0.25">
      <c r="L7980" s="32"/>
    </row>
    <row r="7981" spans="12:12" x14ac:dyDescent="0.25">
      <c r="L7981" s="32"/>
    </row>
    <row r="7982" spans="12:12" x14ac:dyDescent="0.25">
      <c r="L7982" s="32"/>
    </row>
    <row r="7983" spans="12:12" x14ac:dyDescent="0.25">
      <c r="L7983" s="32"/>
    </row>
    <row r="7984" spans="12:12" x14ac:dyDescent="0.25">
      <c r="L7984" s="32"/>
    </row>
    <row r="7985" spans="12:12" x14ac:dyDescent="0.25">
      <c r="L7985" s="32"/>
    </row>
    <row r="7986" spans="12:12" x14ac:dyDescent="0.25">
      <c r="L7986" s="32"/>
    </row>
    <row r="7987" spans="12:12" x14ac:dyDescent="0.25">
      <c r="L7987" s="32"/>
    </row>
    <row r="7988" spans="12:12" x14ac:dyDescent="0.25">
      <c r="L7988" s="32"/>
    </row>
    <row r="7989" spans="12:12" x14ac:dyDescent="0.25">
      <c r="L7989" s="32"/>
    </row>
    <row r="7990" spans="12:12" x14ac:dyDescent="0.25">
      <c r="L7990" s="32"/>
    </row>
    <row r="7991" spans="12:12" x14ac:dyDescent="0.25">
      <c r="L7991" s="32"/>
    </row>
    <row r="7992" spans="12:12" x14ac:dyDescent="0.25">
      <c r="L7992" s="32"/>
    </row>
    <row r="7993" spans="12:12" x14ac:dyDescent="0.25">
      <c r="L7993" s="32"/>
    </row>
    <row r="7994" spans="12:12" x14ac:dyDescent="0.25">
      <c r="L7994" s="32"/>
    </row>
    <row r="7995" spans="12:12" x14ac:dyDescent="0.25">
      <c r="L7995" s="32"/>
    </row>
    <row r="7996" spans="12:12" x14ac:dyDescent="0.25">
      <c r="L7996" s="32"/>
    </row>
    <row r="7997" spans="12:12" x14ac:dyDescent="0.25">
      <c r="L7997" s="32"/>
    </row>
    <row r="7998" spans="12:12" x14ac:dyDescent="0.25">
      <c r="L7998" s="32"/>
    </row>
    <row r="7999" spans="12:12" x14ac:dyDescent="0.25">
      <c r="L7999" s="32"/>
    </row>
    <row r="8000" spans="12:12" x14ac:dyDescent="0.25">
      <c r="L8000" s="32"/>
    </row>
    <row r="8001" spans="12:12" x14ac:dyDescent="0.25">
      <c r="L8001" s="32"/>
    </row>
    <row r="8002" spans="12:12" x14ac:dyDescent="0.25">
      <c r="L8002" s="32"/>
    </row>
    <row r="8003" spans="12:12" x14ac:dyDescent="0.25">
      <c r="L8003" s="32"/>
    </row>
    <row r="8004" spans="12:12" x14ac:dyDescent="0.25">
      <c r="L8004" s="32"/>
    </row>
    <row r="8005" spans="12:12" x14ac:dyDescent="0.25">
      <c r="L8005" s="32"/>
    </row>
    <row r="8006" spans="12:12" x14ac:dyDescent="0.25">
      <c r="L8006" s="32"/>
    </row>
    <row r="8007" spans="12:12" x14ac:dyDescent="0.25">
      <c r="L8007" s="32"/>
    </row>
    <row r="8008" spans="12:12" x14ac:dyDescent="0.25">
      <c r="L8008" s="32"/>
    </row>
    <row r="8009" spans="12:12" x14ac:dyDescent="0.25">
      <c r="L8009" s="32"/>
    </row>
    <row r="8010" spans="12:12" x14ac:dyDescent="0.25">
      <c r="L8010" s="32"/>
    </row>
    <row r="8011" spans="12:12" x14ac:dyDescent="0.25">
      <c r="L8011" s="32"/>
    </row>
    <row r="8012" spans="12:12" x14ac:dyDescent="0.25">
      <c r="L8012" s="32"/>
    </row>
    <row r="8013" spans="12:12" x14ac:dyDescent="0.25">
      <c r="L8013" s="32"/>
    </row>
    <row r="8014" spans="12:12" x14ac:dyDescent="0.25">
      <c r="L8014" s="32"/>
    </row>
    <row r="8015" spans="12:12" x14ac:dyDescent="0.25">
      <c r="L8015" s="32"/>
    </row>
    <row r="8016" spans="12:12" x14ac:dyDescent="0.25">
      <c r="L8016" s="32"/>
    </row>
    <row r="8017" spans="12:12" x14ac:dyDescent="0.25">
      <c r="L8017" s="32"/>
    </row>
    <row r="8018" spans="12:12" x14ac:dyDescent="0.25">
      <c r="L8018" s="32"/>
    </row>
    <row r="8019" spans="12:12" x14ac:dyDescent="0.25">
      <c r="L8019" s="32"/>
    </row>
    <row r="8020" spans="12:12" x14ac:dyDescent="0.25">
      <c r="L8020" s="32"/>
    </row>
    <row r="8021" spans="12:12" x14ac:dyDescent="0.25">
      <c r="L8021" s="32"/>
    </row>
    <row r="8022" spans="12:12" x14ac:dyDescent="0.25">
      <c r="L8022" s="32"/>
    </row>
    <row r="8023" spans="12:12" x14ac:dyDescent="0.25">
      <c r="L8023" s="32"/>
    </row>
    <row r="8024" spans="12:12" x14ac:dyDescent="0.25">
      <c r="L8024" s="32"/>
    </row>
    <row r="8025" spans="12:12" x14ac:dyDescent="0.25">
      <c r="L8025" s="32"/>
    </row>
    <row r="8026" spans="12:12" x14ac:dyDescent="0.25">
      <c r="L8026" s="32"/>
    </row>
    <row r="8027" spans="12:12" x14ac:dyDescent="0.25">
      <c r="L8027" s="32"/>
    </row>
    <row r="8028" spans="12:12" x14ac:dyDescent="0.25">
      <c r="L8028" s="32"/>
    </row>
    <row r="8029" spans="12:12" x14ac:dyDescent="0.25">
      <c r="L8029" s="32"/>
    </row>
    <row r="8030" spans="12:12" x14ac:dyDescent="0.25">
      <c r="L8030" s="32"/>
    </row>
    <row r="8031" spans="12:12" x14ac:dyDescent="0.25">
      <c r="L8031" s="32"/>
    </row>
    <row r="8032" spans="12:12" x14ac:dyDescent="0.25">
      <c r="L8032" s="32"/>
    </row>
    <row r="8033" spans="12:12" x14ac:dyDescent="0.25">
      <c r="L8033" s="32"/>
    </row>
    <row r="8034" spans="12:12" x14ac:dyDescent="0.25">
      <c r="L8034" s="32"/>
    </row>
    <row r="8035" spans="12:12" x14ac:dyDescent="0.25">
      <c r="L8035" s="32"/>
    </row>
    <row r="8036" spans="12:12" x14ac:dyDescent="0.25">
      <c r="L8036" s="32"/>
    </row>
    <row r="8037" spans="12:12" x14ac:dyDescent="0.25">
      <c r="L8037" s="32"/>
    </row>
    <row r="8038" spans="12:12" x14ac:dyDescent="0.25">
      <c r="L8038" s="32"/>
    </row>
    <row r="8039" spans="12:12" x14ac:dyDescent="0.25">
      <c r="L8039" s="32"/>
    </row>
    <row r="8040" spans="12:12" x14ac:dyDescent="0.25">
      <c r="L8040" s="32"/>
    </row>
    <row r="8041" spans="12:12" x14ac:dyDescent="0.25">
      <c r="L8041" s="32"/>
    </row>
    <row r="8042" spans="12:12" x14ac:dyDescent="0.25">
      <c r="L8042" s="32"/>
    </row>
    <row r="8043" spans="12:12" x14ac:dyDescent="0.25">
      <c r="L8043" s="32"/>
    </row>
    <row r="8044" spans="12:12" x14ac:dyDescent="0.25">
      <c r="L8044" s="32"/>
    </row>
    <row r="8045" spans="12:12" x14ac:dyDescent="0.25">
      <c r="L8045" s="32"/>
    </row>
    <row r="8046" spans="12:12" x14ac:dyDescent="0.25">
      <c r="L8046" s="32"/>
    </row>
    <row r="8047" spans="12:12" x14ac:dyDescent="0.25">
      <c r="L8047" s="32"/>
    </row>
    <row r="8048" spans="12:12" x14ac:dyDescent="0.25">
      <c r="L8048" s="32"/>
    </row>
    <row r="8049" spans="12:12" x14ac:dyDescent="0.25">
      <c r="L8049" s="32"/>
    </row>
    <row r="8050" spans="12:12" x14ac:dyDescent="0.25">
      <c r="L8050" s="32"/>
    </row>
    <row r="8051" spans="12:12" x14ac:dyDescent="0.25">
      <c r="L8051" s="32"/>
    </row>
    <row r="8052" spans="12:12" x14ac:dyDescent="0.25">
      <c r="L8052" s="32"/>
    </row>
    <row r="8053" spans="12:12" x14ac:dyDescent="0.25">
      <c r="L8053" s="32"/>
    </row>
    <row r="8054" spans="12:12" x14ac:dyDescent="0.25">
      <c r="L8054" s="32"/>
    </row>
    <row r="8055" spans="12:12" x14ac:dyDescent="0.25">
      <c r="L8055" s="32"/>
    </row>
    <row r="8056" spans="12:12" x14ac:dyDescent="0.25">
      <c r="L8056" s="32"/>
    </row>
    <row r="8057" spans="12:12" x14ac:dyDescent="0.25">
      <c r="L8057" s="32"/>
    </row>
    <row r="8058" spans="12:12" x14ac:dyDescent="0.25">
      <c r="L8058" s="32"/>
    </row>
    <row r="8059" spans="12:12" x14ac:dyDescent="0.25">
      <c r="L8059" s="32"/>
    </row>
    <row r="8060" spans="12:12" x14ac:dyDescent="0.25">
      <c r="L8060" s="32"/>
    </row>
    <row r="8061" spans="12:12" x14ac:dyDescent="0.25">
      <c r="L8061" s="32"/>
    </row>
    <row r="8062" spans="12:12" x14ac:dyDescent="0.25">
      <c r="L8062" s="32"/>
    </row>
    <row r="8063" spans="12:12" x14ac:dyDescent="0.25">
      <c r="L8063" s="32"/>
    </row>
    <row r="8064" spans="12:12" x14ac:dyDescent="0.25">
      <c r="L8064" s="32"/>
    </row>
    <row r="8065" spans="12:12" x14ac:dyDescent="0.25">
      <c r="L8065" s="32"/>
    </row>
    <row r="8066" spans="12:12" x14ac:dyDescent="0.25">
      <c r="L8066" s="32"/>
    </row>
    <row r="8067" spans="12:12" x14ac:dyDescent="0.25">
      <c r="L8067" s="32"/>
    </row>
    <row r="8068" spans="12:12" x14ac:dyDescent="0.25">
      <c r="L8068" s="32"/>
    </row>
    <row r="8069" spans="12:12" x14ac:dyDescent="0.25">
      <c r="L8069" s="32"/>
    </row>
    <row r="8070" spans="12:12" x14ac:dyDescent="0.25">
      <c r="L8070" s="32"/>
    </row>
    <row r="8071" spans="12:12" x14ac:dyDescent="0.25">
      <c r="L8071" s="32"/>
    </row>
    <row r="8072" spans="12:12" x14ac:dyDescent="0.25">
      <c r="L8072" s="32"/>
    </row>
    <row r="8073" spans="12:12" x14ac:dyDescent="0.25">
      <c r="L8073" s="32"/>
    </row>
    <row r="8074" spans="12:12" x14ac:dyDescent="0.25">
      <c r="L8074" s="32"/>
    </row>
    <row r="8075" spans="12:12" x14ac:dyDescent="0.25">
      <c r="L8075" s="32"/>
    </row>
    <row r="8076" spans="12:12" x14ac:dyDescent="0.25">
      <c r="L8076" s="32"/>
    </row>
    <row r="8077" spans="12:12" x14ac:dyDescent="0.25">
      <c r="L8077" s="32"/>
    </row>
    <row r="8078" spans="12:12" x14ac:dyDescent="0.25">
      <c r="L8078" s="32"/>
    </row>
    <row r="8079" spans="12:12" x14ac:dyDescent="0.25">
      <c r="L8079" s="32"/>
    </row>
    <row r="8080" spans="12:12" x14ac:dyDescent="0.25">
      <c r="L8080" s="32"/>
    </row>
    <row r="8081" spans="12:12" x14ac:dyDescent="0.25">
      <c r="L8081" s="32"/>
    </row>
    <row r="8082" spans="12:12" x14ac:dyDescent="0.25">
      <c r="L8082" s="32"/>
    </row>
    <row r="8083" spans="12:12" x14ac:dyDescent="0.25">
      <c r="L8083" s="32"/>
    </row>
    <row r="8084" spans="12:12" x14ac:dyDescent="0.25">
      <c r="L8084" s="32"/>
    </row>
    <row r="8085" spans="12:12" x14ac:dyDescent="0.25">
      <c r="L8085" s="32"/>
    </row>
    <row r="8086" spans="12:12" x14ac:dyDescent="0.25">
      <c r="L8086" s="32"/>
    </row>
    <row r="8087" spans="12:12" x14ac:dyDescent="0.25">
      <c r="L8087" s="32"/>
    </row>
    <row r="8088" spans="12:12" x14ac:dyDescent="0.25">
      <c r="L8088" s="32"/>
    </row>
    <row r="8089" spans="12:12" x14ac:dyDescent="0.25">
      <c r="L8089" s="32"/>
    </row>
    <row r="8090" spans="12:12" x14ac:dyDescent="0.25">
      <c r="L8090" s="32"/>
    </row>
    <row r="8091" spans="12:12" x14ac:dyDescent="0.25">
      <c r="L8091" s="32"/>
    </row>
    <row r="8092" spans="12:12" x14ac:dyDescent="0.25">
      <c r="L8092" s="32"/>
    </row>
    <row r="8093" spans="12:12" x14ac:dyDescent="0.25">
      <c r="L8093" s="32"/>
    </row>
    <row r="8094" spans="12:12" x14ac:dyDescent="0.25">
      <c r="L8094" s="32"/>
    </row>
    <row r="8095" spans="12:12" x14ac:dyDescent="0.25">
      <c r="L8095" s="32"/>
    </row>
    <row r="8096" spans="12:12" x14ac:dyDescent="0.25">
      <c r="L8096" s="32"/>
    </row>
    <row r="8097" spans="12:12" x14ac:dyDescent="0.25">
      <c r="L8097" s="32"/>
    </row>
    <row r="8098" spans="12:12" x14ac:dyDescent="0.25">
      <c r="L8098" s="32"/>
    </row>
    <row r="8099" spans="12:12" x14ac:dyDescent="0.25">
      <c r="L8099" s="32"/>
    </row>
    <row r="8100" spans="12:12" x14ac:dyDescent="0.25">
      <c r="L8100" s="32"/>
    </row>
    <row r="8101" spans="12:12" x14ac:dyDescent="0.25">
      <c r="L8101" s="32"/>
    </row>
    <row r="8102" spans="12:12" x14ac:dyDescent="0.25">
      <c r="L8102" s="32"/>
    </row>
    <row r="8103" spans="12:12" x14ac:dyDescent="0.25">
      <c r="L8103" s="32"/>
    </row>
    <row r="8104" spans="12:12" x14ac:dyDescent="0.25">
      <c r="L8104" s="32"/>
    </row>
    <row r="8105" spans="12:12" x14ac:dyDescent="0.25">
      <c r="L8105" s="32"/>
    </row>
    <row r="8106" spans="12:12" x14ac:dyDescent="0.25">
      <c r="L8106" s="32"/>
    </row>
    <row r="8107" spans="12:12" x14ac:dyDescent="0.25">
      <c r="L8107" s="32"/>
    </row>
    <row r="8108" spans="12:12" x14ac:dyDescent="0.25">
      <c r="L8108" s="32"/>
    </row>
    <row r="8109" spans="12:12" x14ac:dyDescent="0.25">
      <c r="L8109" s="32"/>
    </row>
    <row r="8110" spans="12:12" x14ac:dyDescent="0.25">
      <c r="L8110" s="32"/>
    </row>
    <row r="8111" spans="12:12" x14ac:dyDescent="0.25">
      <c r="L8111" s="32"/>
    </row>
    <row r="8112" spans="12:12" x14ac:dyDescent="0.25">
      <c r="L8112" s="32"/>
    </row>
    <row r="8113" spans="12:12" x14ac:dyDescent="0.25">
      <c r="L8113" s="32"/>
    </row>
    <row r="8114" spans="12:12" x14ac:dyDescent="0.25">
      <c r="L8114" s="32"/>
    </row>
    <row r="8115" spans="12:12" x14ac:dyDescent="0.25">
      <c r="L8115" s="32"/>
    </row>
    <row r="8116" spans="12:12" x14ac:dyDescent="0.25">
      <c r="L8116" s="32"/>
    </row>
    <row r="8117" spans="12:12" x14ac:dyDescent="0.25">
      <c r="L8117" s="32"/>
    </row>
    <row r="8118" spans="12:12" x14ac:dyDescent="0.25">
      <c r="L8118" s="32"/>
    </row>
    <row r="8119" spans="12:12" x14ac:dyDescent="0.25">
      <c r="L8119" s="32"/>
    </row>
    <row r="8120" spans="12:12" x14ac:dyDescent="0.25">
      <c r="L8120" s="32"/>
    </row>
    <row r="8121" spans="12:12" x14ac:dyDescent="0.25">
      <c r="L8121" s="32"/>
    </row>
    <row r="8122" spans="12:12" x14ac:dyDescent="0.25">
      <c r="L8122" s="32"/>
    </row>
    <row r="8123" spans="12:12" x14ac:dyDescent="0.25">
      <c r="L8123" s="32"/>
    </row>
    <row r="8124" spans="12:12" x14ac:dyDescent="0.25">
      <c r="L8124" s="32"/>
    </row>
    <row r="8125" spans="12:12" x14ac:dyDescent="0.25">
      <c r="L8125" s="32"/>
    </row>
    <row r="8126" spans="12:12" x14ac:dyDescent="0.25">
      <c r="L8126" s="32"/>
    </row>
    <row r="8127" spans="12:12" x14ac:dyDescent="0.25">
      <c r="L8127" s="32"/>
    </row>
    <row r="8128" spans="12:12" x14ac:dyDescent="0.25">
      <c r="L8128" s="32"/>
    </row>
    <row r="8129" spans="12:12" x14ac:dyDescent="0.25">
      <c r="L8129" s="32"/>
    </row>
    <row r="8130" spans="12:12" x14ac:dyDescent="0.25">
      <c r="L8130" s="32"/>
    </row>
    <row r="8131" spans="12:12" x14ac:dyDescent="0.25">
      <c r="L8131" s="32"/>
    </row>
    <row r="8132" spans="12:12" x14ac:dyDescent="0.25">
      <c r="L8132" s="32"/>
    </row>
    <row r="8133" spans="12:12" x14ac:dyDescent="0.25">
      <c r="L8133" s="32"/>
    </row>
    <row r="8134" spans="12:12" x14ac:dyDescent="0.25">
      <c r="L8134" s="32"/>
    </row>
    <row r="8135" spans="12:12" x14ac:dyDescent="0.25">
      <c r="L8135" s="32"/>
    </row>
    <row r="8136" spans="12:12" x14ac:dyDescent="0.25">
      <c r="L8136" s="32"/>
    </row>
    <row r="8137" spans="12:12" x14ac:dyDescent="0.25">
      <c r="L8137" s="32"/>
    </row>
    <row r="8138" spans="12:12" x14ac:dyDescent="0.25">
      <c r="L8138" s="32"/>
    </row>
    <row r="8139" spans="12:12" x14ac:dyDescent="0.25">
      <c r="L8139" s="32"/>
    </row>
    <row r="8140" spans="12:12" x14ac:dyDescent="0.25">
      <c r="L8140" s="32"/>
    </row>
    <row r="8141" spans="12:12" x14ac:dyDescent="0.25">
      <c r="L8141" s="32"/>
    </row>
    <row r="8142" spans="12:12" x14ac:dyDescent="0.25">
      <c r="L8142" s="32"/>
    </row>
    <row r="8143" spans="12:12" x14ac:dyDescent="0.25">
      <c r="L8143" s="32"/>
    </row>
    <row r="8144" spans="12:12" x14ac:dyDescent="0.25">
      <c r="L8144" s="32"/>
    </row>
    <row r="8145" spans="12:12" x14ac:dyDescent="0.25">
      <c r="L8145" s="32"/>
    </row>
    <row r="8146" spans="12:12" x14ac:dyDescent="0.25">
      <c r="L8146" s="32"/>
    </row>
    <row r="8147" spans="12:12" x14ac:dyDescent="0.25">
      <c r="L8147" s="32"/>
    </row>
    <row r="8148" spans="12:12" x14ac:dyDescent="0.25">
      <c r="L8148" s="32"/>
    </row>
    <row r="8149" spans="12:12" x14ac:dyDescent="0.25">
      <c r="L8149" s="32"/>
    </row>
    <row r="8150" spans="12:12" x14ac:dyDescent="0.25">
      <c r="L8150" s="32"/>
    </row>
    <row r="8151" spans="12:12" x14ac:dyDescent="0.25">
      <c r="L8151" s="32"/>
    </row>
    <row r="8152" spans="12:12" x14ac:dyDescent="0.25">
      <c r="L8152" s="32"/>
    </row>
    <row r="8153" spans="12:12" x14ac:dyDescent="0.25">
      <c r="L8153" s="32"/>
    </row>
    <row r="8154" spans="12:12" x14ac:dyDescent="0.25">
      <c r="L8154" s="32"/>
    </row>
    <row r="8155" spans="12:12" x14ac:dyDescent="0.25">
      <c r="L8155" s="32"/>
    </row>
    <row r="8156" spans="12:12" x14ac:dyDescent="0.25">
      <c r="L8156" s="32"/>
    </row>
    <row r="8157" spans="12:12" x14ac:dyDescent="0.25">
      <c r="L8157" s="32"/>
    </row>
    <row r="8158" spans="12:12" x14ac:dyDescent="0.25">
      <c r="L8158" s="32"/>
    </row>
    <row r="8159" spans="12:12" x14ac:dyDescent="0.25">
      <c r="L8159" s="32"/>
    </row>
    <row r="8160" spans="12:12" x14ac:dyDescent="0.25">
      <c r="L8160" s="32"/>
    </row>
    <row r="8161" spans="12:12" x14ac:dyDescent="0.25">
      <c r="L8161" s="32"/>
    </row>
    <row r="8162" spans="12:12" x14ac:dyDescent="0.25">
      <c r="L8162" s="32"/>
    </row>
    <row r="8163" spans="12:12" x14ac:dyDescent="0.25">
      <c r="L8163" s="32"/>
    </row>
    <row r="8164" spans="12:12" x14ac:dyDescent="0.25">
      <c r="L8164" s="32"/>
    </row>
    <row r="8165" spans="12:12" x14ac:dyDescent="0.25">
      <c r="L8165" s="32"/>
    </row>
    <row r="8166" spans="12:12" x14ac:dyDescent="0.25">
      <c r="L8166" s="32"/>
    </row>
    <row r="8167" spans="12:12" x14ac:dyDescent="0.25">
      <c r="L8167" s="32"/>
    </row>
    <row r="8168" spans="12:12" x14ac:dyDescent="0.25">
      <c r="L8168" s="32"/>
    </row>
    <row r="8169" spans="12:12" x14ac:dyDescent="0.25">
      <c r="L8169" s="32"/>
    </row>
    <row r="8170" spans="12:12" x14ac:dyDescent="0.25">
      <c r="L8170" s="32"/>
    </row>
    <row r="8171" spans="12:12" x14ac:dyDescent="0.25">
      <c r="L8171" s="32"/>
    </row>
    <row r="8172" spans="12:12" x14ac:dyDescent="0.25">
      <c r="L8172" s="32"/>
    </row>
    <row r="8173" spans="12:12" x14ac:dyDescent="0.25">
      <c r="L8173" s="32"/>
    </row>
    <row r="8174" spans="12:12" x14ac:dyDescent="0.25">
      <c r="L8174" s="32"/>
    </row>
    <row r="8175" spans="12:12" x14ac:dyDescent="0.25">
      <c r="L8175" s="32"/>
    </row>
    <row r="8176" spans="12:12" x14ac:dyDescent="0.25">
      <c r="L8176" s="32"/>
    </row>
    <row r="8177" spans="12:12" x14ac:dyDescent="0.25">
      <c r="L8177" s="32"/>
    </row>
    <row r="8178" spans="12:12" x14ac:dyDescent="0.25">
      <c r="L8178" s="32"/>
    </row>
    <row r="8179" spans="12:12" x14ac:dyDescent="0.25">
      <c r="L8179" s="32"/>
    </row>
    <row r="8180" spans="12:12" x14ac:dyDescent="0.25">
      <c r="L8180" s="32"/>
    </row>
    <row r="8181" spans="12:12" x14ac:dyDescent="0.25">
      <c r="L8181" s="32"/>
    </row>
    <row r="8182" spans="12:12" x14ac:dyDescent="0.25">
      <c r="L8182" s="32"/>
    </row>
    <row r="8183" spans="12:12" x14ac:dyDescent="0.25">
      <c r="L8183" s="32"/>
    </row>
    <row r="8184" spans="12:12" x14ac:dyDescent="0.25">
      <c r="L8184" s="32"/>
    </row>
    <row r="8185" spans="12:12" x14ac:dyDescent="0.25">
      <c r="L8185" s="32"/>
    </row>
    <row r="8186" spans="12:12" x14ac:dyDescent="0.25">
      <c r="L8186" s="32"/>
    </row>
    <row r="8187" spans="12:12" x14ac:dyDescent="0.25">
      <c r="L8187" s="32"/>
    </row>
    <row r="8188" spans="12:12" x14ac:dyDescent="0.25">
      <c r="L8188" s="32"/>
    </row>
    <row r="8189" spans="12:12" x14ac:dyDescent="0.25">
      <c r="L8189" s="32"/>
    </row>
    <row r="8190" spans="12:12" x14ac:dyDescent="0.25">
      <c r="L8190" s="32"/>
    </row>
    <row r="8191" spans="12:12" x14ac:dyDescent="0.25">
      <c r="L8191" s="32"/>
    </row>
    <row r="8192" spans="12:12" x14ac:dyDescent="0.25">
      <c r="L8192" s="32"/>
    </row>
    <row r="8193" spans="12:12" x14ac:dyDescent="0.25">
      <c r="L8193" s="32"/>
    </row>
    <row r="8194" spans="12:12" x14ac:dyDescent="0.25">
      <c r="L8194" s="32"/>
    </row>
    <row r="8195" spans="12:12" x14ac:dyDescent="0.25">
      <c r="L8195" s="32"/>
    </row>
    <row r="8196" spans="12:12" x14ac:dyDescent="0.25">
      <c r="L8196" s="32"/>
    </row>
    <row r="8197" spans="12:12" x14ac:dyDescent="0.25">
      <c r="L8197" s="32"/>
    </row>
    <row r="8198" spans="12:12" x14ac:dyDescent="0.25">
      <c r="L8198" s="32"/>
    </row>
    <row r="8199" spans="12:12" x14ac:dyDescent="0.25">
      <c r="L8199" s="32"/>
    </row>
    <row r="8200" spans="12:12" x14ac:dyDescent="0.25">
      <c r="L8200" s="32"/>
    </row>
    <row r="8201" spans="12:12" x14ac:dyDescent="0.25">
      <c r="L8201" s="32"/>
    </row>
    <row r="8202" spans="12:12" x14ac:dyDescent="0.25">
      <c r="L8202" s="32"/>
    </row>
    <row r="8203" spans="12:12" x14ac:dyDescent="0.25">
      <c r="L8203" s="32"/>
    </row>
    <row r="8204" spans="12:12" x14ac:dyDescent="0.25">
      <c r="L8204" s="32"/>
    </row>
    <row r="8205" spans="12:12" x14ac:dyDescent="0.25">
      <c r="L8205" s="32"/>
    </row>
    <row r="8206" spans="12:12" x14ac:dyDescent="0.25">
      <c r="L8206" s="32"/>
    </row>
    <row r="8207" spans="12:12" x14ac:dyDescent="0.25">
      <c r="L8207" s="32"/>
    </row>
    <row r="8208" spans="12:12" x14ac:dyDescent="0.25">
      <c r="L8208" s="32"/>
    </row>
    <row r="8209" spans="12:12" x14ac:dyDescent="0.25">
      <c r="L8209" s="32"/>
    </row>
    <row r="8210" spans="12:12" x14ac:dyDescent="0.25">
      <c r="L8210" s="32"/>
    </row>
    <row r="8211" spans="12:12" x14ac:dyDescent="0.25">
      <c r="L8211" s="32"/>
    </row>
    <row r="8212" spans="12:12" x14ac:dyDescent="0.25">
      <c r="L8212" s="32"/>
    </row>
    <row r="8213" spans="12:12" x14ac:dyDescent="0.25">
      <c r="L8213" s="32"/>
    </row>
    <row r="8214" spans="12:12" x14ac:dyDescent="0.25">
      <c r="L8214" s="32"/>
    </row>
    <row r="8215" spans="12:12" x14ac:dyDescent="0.25">
      <c r="L8215" s="32"/>
    </row>
    <row r="8216" spans="12:12" x14ac:dyDescent="0.25">
      <c r="L8216" s="32"/>
    </row>
    <row r="8217" spans="12:12" x14ac:dyDescent="0.25">
      <c r="L8217" s="32"/>
    </row>
    <row r="8218" spans="12:12" x14ac:dyDescent="0.25">
      <c r="L8218" s="32"/>
    </row>
    <row r="8219" spans="12:12" x14ac:dyDescent="0.25">
      <c r="L8219" s="32"/>
    </row>
    <row r="8220" spans="12:12" x14ac:dyDescent="0.25">
      <c r="L8220" s="32"/>
    </row>
    <row r="8221" spans="12:12" x14ac:dyDescent="0.25">
      <c r="L8221" s="32"/>
    </row>
    <row r="8222" spans="12:12" x14ac:dyDescent="0.25">
      <c r="L8222" s="32"/>
    </row>
    <row r="8223" spans="12:12" x14ac:dyDescent="0.25">
      <c r="L8223" s="32"/>
    </row>
    <row r="8224" spans="12:12" x14ac:dyDescent="0.25">
      <c r="L8224" s="32"/>
    </row>
    <row r="8225" spans="12:12" x14ac:dyDescent="0.25">
      <c r="L8225" s="32"/>
    </row>
    <row r="8226" spans="12:12" x14ac:dyDescent="0.25">
      <c r="L8226" s="32"/>
    </row>
    <row r="8227" spans="12:12" x14ac:dyDescent="0.25">
      <c r="L8227" s="32"/>
    </row>
    <row r="8228" spans="12:12" x14ac:dyDescent="0.25">
      <c r="L8228" s="32"/>
    </row>
    <row r="8229" spans="12:12" x14ac:dyDescent="0.25">
      <c r="L8229" s="32"/>
    </row>
    <row r="8230" spans="12:12" x14ac:dyDescent="0.25">
      <c r="L8230" s="32"/>
    </row>
    <row r="8231" spans="12:12" x14ac:dyDescent="0.25">
      <c r="L8231" s="32"/>
    </row>
    <row r="8232" spans="12:12" x14ac:dyDescent="0.25">
      <c r="L8232" s="32"/>
    </row>
    <row r="8233" spans="12:12" x14ac:dyDescent="0.25">
      <c r="L8233" s="32"/>
    </row>
    <row r="8234" spans="12:12" x14ac:dyDescent="0.25">
      <c r="L8234" s="32"/>
    </row>
    <row r="8235" spans="12:12" x14ac:dyDescent="0.25">
      <c r="L8235" s="32"/>
    </row>
    <row r="8236" spans="12:12" x14ac:dyDescent="0.25">
      <c r="L8236" s="32"/>
    </row>
    <row r="8237" spans="12:12" x14ac:dyDescent="0.25">
      <c r="L8237" s="32"/>
    </row>
    <row r="8238" spans="12:12" x14ac:dyDescent="0.25">
      <c r="L8238" s="32"/>
    </row>
    <row r="8239" spans="12:12" x14ac:dyDescent="0.25">
      <c r="L8239" s="32"/>
    </row>
    <row r="8240" spans="12:12" x14ac:dyDescent="0.25">
      <c r="L8240" s="32"/>
    </row>
    <row r="8241" spans="12:12" x14ac:dyDescent="0.25">
      <c r="L8241" s="32"/>
    </row>
    <row r="8242" spans="12:12" x14ac:dyDescent="0.25">
      <c r="L8242" s="32"/>
    </row>
    <row r="8243" spans="12:12" x14ac:dyDescent="0.25">
      <c r="L8243" s="32"/>
    </row>
    <row r="8244" spans="12:12" x14ac:dyDescent="0.25">
      <c r="L8244" s="32"/>
    </row>
    <row r="8245" spans="12:12" x14ac:dyDescent="0.25">
      <c r="L8245" s="32"/>
    </row>
    <row r="8246" spans="12:12" x14ac:dyDescent="0.25">
      <c r="L8246" s="32"/>
    </row>
    <row r="8247" spans="12:12" x14ac:dyDescent="0.25">
      <c r="L8247" s="32"/>
    </row>
    <row r="8248" spans="12:12" x14ac:dyDescent="0.25">
      <c r="L8248" s="32"/>
    </row>
    <row r="8249" spans="12:12" x14ac:dyDescent="0.25">
      <c r="L8249" s="32"/>
    </row>
    <row r="8250" spans="12:12" x14ac:dyDescent="0.25">
      <c r="L8250" s="32"/>
    </row>
    <row r="8251" spans="12:12" x14ac:dyDescent="0.25">
      <c r="L8251" s="32"/>
    </row>
    <row r="8252" spans="12:12" x14ac:dyDescent="0.25">
      <c r="L8252" s="32"/>
    </row>
    <row r="8253" spans="12:12" x14ac:dyDescent="0.25">
      <c r="L8253" s="32"/>
    </row>
    <row r="8254" spans="12:12" x14ac:dyDescent="0.25">
      <c r="L8254" s="32"/>
    </row>
    <row r="8255" spans="12:12" x14ac:dyDescent="0.25">
      <c r="L8255" s="32"/>
    </row>
    <row r="8256" spans="12:12" x14ac:dyDescent="0.25">
      <c r="L8256" s="32"/>
    </row>
    <row r="8257" spans="12:12" x14ac:dyDescent="0.25">
      <c r="L8257" s="32"/>
    </row>
    <row r="8258" spans="12:12" x14ac:dyDescent="0.25">
      <c r="L8258" s="32"/>
    </row>
    <row r="8259" spans="12:12" x14ac:dyDescent="0.25">
      <c r="L8259" s="32"/>
    </row>
    <row r="8260" spans="12:12" x14ac:dyDescent="0.25">
      <c r="L8260" s="32"/>
    </row>
    <row r="8261" spans="12:12" x14ac:dyDescent="0.25">
      <c r="L8261" s="32"/>
    </row>
    <row r="8262" spans="12:12" x14ac:dyDescent="0.25">
      <c r="L8262" s="32"/>
    </row>
    <row r="8263" spans="12:12" x14ac:dyDescent="0.25">
      <c r="L8263" s="32"/>
    </row>
    <row r="8264" spans="12:12" x14ac:dyDescent="0.25">
      <c r="L8264" s="32"/>
    </row>
    <row r="8265" spans="12:12" x14ac:dyDescent="0.25">
      <c r="L8265" s="32"/>
    </row>
    <row r="8266" spans="12:12" x14ac:dyDescent="0.25">
      <c r="L8266" s="32"/>
    </row>
    <row r="8267" spans="12:12" x14ac:dyDescent="0.25">
      <c r="L8267" s="32"/>
    </row>
    <row r="8268" spans="12:12" x14ac:dyDescent="0.25">
      <c r="L8268" s="32"/>
    </row>
    <row r="8269" spans="12:12" x14ac:dyDescent="0.25">
      <c r="L8269" s="32"/>
    </row>
    <row r="8270" spans="12:12" x14ac:dyDescent="0.25">
      <c r="L8270" s="32"/>
    </row>
    <row r="8271" spans="12:12" x14ac:dyDescent="0.25">
      <c r="L8271" s="32"/>
    </row>
    <row r="8272" spans="12:12" x14ac:dyDescent="0.25">
      <c r="L8272" s="32"/>
    </row>
    <row r="8273" spans="12:12" x14ac:dyDescent="0.25">
      <c r="L8273" s="32"/>
    </row>
    <row r="8274" spans="12:12" x14ac:dyDescent="0.25">
      <c r="L8274" s="32"/>
    </row>
    <row r="8275" spans="12:12" x14ac:dyDescent="0.25">
      <c r="L8275" s="32"/>
    </row>
    <row r="8276" spans="12:12" x14ac:dyDescent="0.25">
      <c r="L8276" s="32"/>
    </row>
    <row r="8277" spans="12:12" x14ac:dyDescent="0.25">
      <c r="L8277" s="32"/>
    </row>
    <row r="8278" spans="12:12" x14ac:dyDescent="0.25">
      <c r="L8278" s="32"/>
    </row>
    <row r="8279" spans="12:12" x14ac:dyDescent="0.25">
      <c r="L8279" s="32"/>
    </row>
    <row r="8280" spans="12:12" x14ac:dyDescent="0.25">
      <c r="L8280" s="32"/>
    </row>
    <row r="8281" spans="12:12" x14ac:dyDescent="0.25">
      <c r="L8281" s="32"/>
    </row>
    <row r="8282" spans="12:12" x14ac:dyDescent="0.25">
      <c r="L8282" s="32"/>
    </row>
    <row r="8283" spans="12:12" x14ac:dyDescent="0.25">
      <c r="L8283" s="32"/>
    </row>
    <row r="8284" spans="12:12" x14ac:dyDescent="0.25">
      <c r="L8284" s="32"/>
    </row>
    <row r="8285" spans="12:12" x14ac:dyDescent="0.25">
      <c r="L8285" s="32"/>
    </row>
    <row r="8286" spans="12:12" x14ac:dyDescent="0.25">
      <c r="L8286" s="32"/>
    </row>
    <row r="8287" spans="12:12" x14ac:dyDescent="0.25">
      <c r="L8287" s="32"/>
    </row>
    <row r="8288" spans="12:12" x14ac:dyDescent="0.25">
      <c r="L8288" s="32"/>
    </row>
    <row r="8289" spans="12:12" x14ac:dyDescent="0.25">
      <c r="L8289" s="32"/>
    </row>
    <row r="8290" spans="12:12" x14ac:dyDescent="0.25">
      <c r="L8290" s="32"/>
    </row>
    <row r="8291" spans="12:12" x14ac:dyDescent="0.25">
      <c r="L8291" s="32"/>
    </row>
    <row r="8292" spans="12:12" x14ac:dyDescent="0.25">
      <c r="L8292" s="32"/>
    </row>
    <row r="8293" spans="12:12" x14ac:dyDescent="0.25">
      <c r="L8293" s="32"/>
    </row>
    <row r="8294" spans="12:12" x14ac:dyDescent="0.25">
      <c r="L8294" s="32"/>
    </row>
    <row r="8295" spans="12:12" x14ac:dyDescent="0.25">
      <c r="L8295" s="32"/>
    </row>
    <row r="8296" spans="12:12" x14ac:dyDescent="0.25">
      <c r="L8296" s="32"/>
    </row>
    <row r="8297" spans="12:12" x14ac:dyDescent="0.25">
      <c r="L8297" s="32"/>
    </row>
    <row r="8298" spans="12:12" x14ac:dyDescent="0.25">
      <c r="L8298" s="32"/>
    </row>
    <row r="8299" spans="12:12" x14ac:dyDescent="0.25">
      <c r="L8299" s="32"/>
    </row>
    <row r="8300" spans="12:12" x14ac:dyDescent="0.25">
      <c r="L8300" s="32"/>
    </row>
    <row r="8301" spans="12:12" x14ac:dyDescent="0.25">
      <c r="L8301" s="32"/>
    </row>
    <row r="8302" spans="12:12" x14ac:dyDescent="0.25">
      <c r="L8302" s="32"/>
    </row>
    <row r="8303" spans="12:12" x14ac:dyDescent="0.25">
      <c r="L8303" s="32"/>
    </row>
    <row r="8304" spans="12:12" x14ac:dyDescent="0.25">
      <c r="L8304" s="32"/>
    </row>
    <row r="8305" spans="12:12" x14ac:dyDescent="0.25">
      <c r="L8305" s="32"/>
    </row>
    <row r="8306" spans="12:12" x14ac:dyDescent="0.25">
      <c r="L8306" s="32"/>
    </row>
    <row r="8307" spans="12:12" x14ac:dyDescent="0.25">
      <c r="L8307" s="32"/>
    </row>
    <row r="8308" spans="12:12" x14ac:dyDescent="0.25">
      <c r="L8308" s="32"/>
    </row>
    <row r="8309" spans="12:12" x14ac:dyDescent="0.25">
      <c r="L8309" s="32"/>
    </row>
    <row r="8310" spans="12:12" x14ac:dyDescent="0.25">
      <c r="L8310" s="32"/>
    </row>
    <row r="8311" spans="12:12" x14ac:dyDescent="0.25">
      <c r="L8311" s="32"/>
    </row>
    <row r="8312" spans="12:12" x14ac:dyDescent="0.25">
      <c r="L8312" s="32"/>
    </row>
    <row r="8313" spans="12:12" x14ac:dyDescent="0.25">
      <c r="L8313" s="32"/>
    </row>
    <row r="8314" spans="12:12" x14ac:dyDescent="0.25">
      <c r="L8314" s="32"/>
    </row>
    <row r="8315" spans="12:12" x14ac:dyDescent="0.25">
      <c r="L8315" s="32"/>
    </row>
    <row r="8316" spans="12:12" x14ac:dyDescent="0.25">
      <c r="L8316" s="32"/>
    </row>
    <row r="8317" spans="12:12" x14ac:dyDescent="0.25">
      <c r="L8317" s="32"/>
    </row>
    <row r="8318" spans="12:12" x14ac:dyDescent="0.25">
      <c r="L8318" s="32"/>
    </row>
    <row r="8319" spans="12:12" x14ac:dyDescent="0.25">
      <c r="L8319" s="32"/>
    </row>
    <row r="8320" spans="12:12" x14ac:dyDescent="0.25">
      <c r="L8320" s="32"/>
    </row>
    <row r="8321" spans="12:12" x14ac:dyDescent="0.25">
      <c r="L8321" s="32"/>
    </row>
    <row r="8322" spans="12:12" x14ac:dyDescent="0.25">
      <c r="L8322" s="32"/>
    </row>
    <row r="8323" spans="12:12" x14ac:dyDescent="0.25">
      <c r="L8323" s="32"/>
    </row>
    <row r="8324" spans="12:12" x14ac:dyDescent="0.25">
      <c r="L8324" s="32"/>
    </row>
    <row r="8325" spans="12:12" x14ac:dyDescent="0.25">
      <c r="L8325" s="32"/>
    </row>
    <row r="8326" spans="12:12" x14ac:dyDescent="0.25">
      <c r="L8326" s="32"/>
    </row>
    <row r="8327" spans="12:12" x14ac:dyDescent="0.25">
      <c r="L8327" s="32"/>
    </row>
    <row r="8328" spans="12:12" x14ac:dyDescent="0.25">
      <c r="L8328" s="32"/>
    </row>
    <row r="8329" spans="12:12" x14ac:dyDescent="0.25">
      <c r="L8329" s="32"/>
    </row>
    <row r="8330" spans="12:12" x14ac:dyDescent="0.25">
      <c r="L8330" s="32"/>
    </row>
    <row r="8331" spans="12:12" x14ac:dyDescent="0.25">
      <c r="L8331" s="32"/>
    </row>
    <row r="8332" spans="12:12" x14ac:dyDescent="0.25">
      <c r="L8332" s="32"/>
    </row>
    <row r="8333" spans="12:12" x14ac:dyDescent="0.25">
      <c r="L8333" s="32"/>
    </row>
    <row r="8334" spans="12:12" x14ac:dyDescent="0.25">
      <c r="L8334" s="32"/>
    </row>
    <row r="8335" spans="12:12" x14ac:dyDescent="0.25">
      <c r="L8335" s="32"/>
    </row>
    <row r="8336" spans="12:12" x14ac:dyDescent="0.25">
      <c r="L8336" s="32"/>
    </row>
    <row r="8337" spans="12:12" x14ac:dyDescent="0.25">
      <c r="L8337" s="32"/>
    </row>
    <row r="8338" spans="12:12" x14ac:dyDescent="0.25">
      <c r="L8338" s="32"/>
    </row>
    <row r="8339" spans="12:12" x14ac:dyDescent="0.25">
      <c r="L8339" s="32"/>
    </row>
    <row r="8340" spans="12:12" x14ac:dyDescent="0.25">
      <c r="L8340" s="32"/>
    </row>
    <row r="8341" spans="12:12" x14ac:dyDescent="0.25">
      <c r="L8341" s="32"/>
    </row>
    <row r="8342" spans="12:12" x14ac:dyDescent="0.25">
      <c r="L8342" s="32"/>
    </row>
    <row r="8343" spans="12:12" x14ac:dyDescent="0.25">
      <c r="L8343" s="32"/>
    </row>
    <row r="8344" spans="12:12" x14ac:dyDescent="0.25">
      <c r="L8344" s="32"/>
    </row>
    <row r="8345" spans="12:12" x14ac:dyDescent="0.25">
      <c r="L8345" s="32"/>
    </row>
    <row r="8346" spans="12:12" x14ac:dyDescent="0.25">
      <c r="L8346" s="32"/>
    </row>
    <row r="8347" spans="12:12" x14ac:dyDescent="0.25">
      <c r="L8347" s="32"/>
    </row>
    <row r="8348" spans="12:12" x14ac:dyDescent="0.25">
      <c r="L8348" s="32"/>
    </row>
    <row r="8349" spans="12:12" x14ac:dyDescent="0.25">
      <c r="L8349" s="32"/>
    </row>
    <row r="8350" spans="12:12" x14ac:dyDescent="0.25">
      <c r="L8350" s="32"/>
    </row>
    <row r="8351" spans="12:12" x14ac:dyDescent="0.25">
      <c r="L8351" s="32"/>
    </row>
    <row r="8352" spans="12:12" x14ac:dyDescent="0.25">
      <c r="L8352" s="32"/>
    </row>
    <row r="8353" spans="12:12" x14ac:dyDescent="0.25">
      <c r="L8353" s="32"/>
    </row>
    <row r="8354" spans="12:12" x14ac:dyDescent="0.25">
      <c r="L8354" s="32"/>
    </row>
    <row r="8355" spans="12:12" x14ac:dyDescent="0.25">
      <c r="L8355" s="32"/>
    </row>
    <row r="8356" spans="12:12" x14ac:dyDescent="0.25">
      <c r="L8356" s="32"/>
    </row>
    <row r="8357" spans="12:12" x14ac:dyDescent="0.25">
      <c r="L8357" s="32"/>
    </row>
    <row r="8358" spans="12:12" x14ac:dyDescent="0.25">
      <c r="L8358" s="32"/>
    </row>
    <row r="8359" spans="12:12" x14ac:dyDescent="0.25">
      <c r="L8359" s="32"/>
    </row>
    <row r="8360" spans="12:12" x14ac:dyDescent="0.25">
      <c r="L8360" s="32"/>
    </row>
    <row r="8361" spans="12:12" x14ac:dyDescent="0.25">
      <c r="L8361" s="32"/>
    </row>
    <row r="8362" spans="12:12" x14ac:dyDescent="0.25">
      <c r="L8362" s="32"/>
    </row>
    <row r="8363" spans="12:12" x14ac:dyDescent="0.25">
      <c r="L8363" s="32"/>
    </row>
    <row r="8364" spans="12:12" x14ac:dyDescent="0.25">
      <c r="L8364" s="32"/>
    </row>
    <row r="8365" spans="12:12" x14ac:dyDescent="0.25">
      <c r="L8365" s="32"/>
    </row>
    <row r="8366" spans="12:12" x14ac:dyDescent="0.25">
      <c r="L8366" s="32"/>
    </row>
    <row r="8367" spans="12:12" x14ac:dyDescent="0.25">
      <c r="L8367" s="32"/>
    </row>
    <row r="8368" spans="12:12" x14ac:dyDescent="0.25">
      <c r="L8368" s="32"/>
    </row>
    <row r="8369" spans="12:12" x14ac:dyDescent="0.25">
      <c r="L8369" s="32"/>
    </row>
    <row r="8370" spans="12:12" x14ac:dyDescent="0.25">
      <c r="L8370" s="32"/>
    </row>
    <row r="8371" spans="12:12" x14ac:dyDescent="0.25">
      <c r="L8371" s="32"/>
    </row>
    <row r="8372" spans="12:12" x14ac:dyDescent="0.25">
      <c r="L8372" s="32"/>
    </row>
    <row r="8373" spans="12:12" x14ac:dyDescent="0.25">
      <c r="L8373" s="32"/>
    </row>
    <row r="8374" spans="12:12" x14ac:dyDescent="0.25">
      <c r="L8374" s="32"/>
    </row>
    <row r="8375" spans="12:12" x14ac:dyDescent="0.25">
      <c r="L8375" s="32"/>
    </row>
    <row r="8376" spans="12:12" x14ac:dyDescent="0.25">
      <c r="L8376" s="32"/>
    </row>
    <row r="8377" spans="12:12" x14ac:dyDescent="0.25">
      <c r="L8377" s="32"/>
    </row>
    <row r="8378" spans="12:12" x14ac:dyDescent="0.25">
      <c r="L8378" s="32"/>
    </row>
    <row r="8379" spans="12:12" x14ac:dyDescent="0.25">
      <c r="L8379" s="32"/>
    </row>
    <row r="8380" spans="12:12" x14ac:dyDescent="0.25">
      <c r="L8380" s="32"/>
    </row>
    <row r="8381" spans="12:12" x14ac:dyDescent="0.25">
      <c r="L8381" s="32"/>
    </row>
    <row r="8382" spans="12:12" x14ac:dyDescent="0.25">
      <c r="L8382" s="32"/>
    </row>
    <row r="8383" spans="12:12" x14ac:dyDescent="0.25">
      <c r="L8383" s="32"/>
    </row>
    <row r="8384" spans="12:12" x14ac:dyDescent="0.25">
      <c r="L8384" s="32"/>
    </row>
    <row r="8385" spans="12:12" x14ac:dyDescent="0.25">
      <c r="L8385" s="32"/>
    </row>
    <row r="8386" spans="12:12" x14ac:dyDescent="0.25">
      <c r="L8386" s="32"/>
    </row>
    <row r="8387" spans="12:12" x14ac:dyDescent="0.25">
      <c r="L8387" s="32"/>
    </row>
    <row r="8388" spans="12:12" x14ac:dyDescent="0.25">
      <c r="L8388" s="32"/>
    </row>
    <row r="8389" spans="12:12" x14ac:dyDescent="0.25">
      <c r="L8389" s="32"/>
    </row>
    <row r="8390" spans="12:12" x14ac:dyDescent="0.25">
      <c r="L8390" s="32"/>
    </row>
    <row r="8391" spans="12:12" x14ac:dyDescent="0.25">
      <c r="L8391" s="32"/>
    </row>
    <row r="8392" spans="12:12" x14ac:dyDescent="0.25">
      <c r="L8392" s="32"/>
    </row>
    <row r="8393" spans="12:12" x14ac:dyDescent="0.25">
      <c r="L8393" s="32"/>
    </row>
    <row r="8394" spans="12:12" x14ac:dyDescent="0.25">
      <c r="L8394" s="32"/>
    </row>
    <row r="8395" spans="12:12" x14ac:dyDescent="0.25">
      <c r="L8395" s="32"/>
    </row>
    <row r="8396" spans="12:12" x14ac:dyDescent="0.25">
      <c r="L8396" s="32"/>
    </row>
    <row r="8397" spans="12:12" x14ac:dyDescent="0.25">
      <c r="L8397" s="32"/>
    </row>
    <row r="8398" spans="12:12" x14ac:dyDescent="0.25">
      <c r="L8398" s="32"/>
    </row>
    <row r="8399" spans="12:12" x14ac:dyDescent="0.25">
      <c r="L8399" s="32"/>
    </row>
    <row r="8400" spans="12:12" x14ac:dyDescent="0.25">
      <c r="L8400" s="32"/>
    </row>
    <row r="8401" spans="12:12" x14ac:dyDescent="0.25">
      <c r="L8401" s="32"/>
    </row>
    <row r="8402" spans="12:12" x14ac:dyDescent="0.25">
      <c r="L8402" s="32"/>
    </row>
    <row r="8403" spans="12:12" x14ac:dyDescent="0.25">
      <c r="L8403" s="32"/>
    </row>
    <row r="8404" spans="12:12" x14ac:dyDescent="0.25">
      <c r="L8404" s="32"/>
    </row>
    <row r="8405" spans="12:12" x14ac:dyDescent="0.25">
      <c r="L8405" s="32"/>
    </row>
    <row r="8406" spans="12:12" x14ac:dyDescent="0.25">
      <c r="L8406" s="32"/>
    </row>
    <row r="8407" spans="12:12" x14ac:dyDescent="0.25">
      <c r="L8407" s="32"/>
    </row>
    <row r="8408" spans="12:12" x14ac:dyDescent="0.25">
      <c r="L8408" s="32"/>
    </row>
    <row r="8409" spans="12:12" x14ac:dyDescent="0.25">
      <c r="L8409" s="32"/>
    </row>
    <row r="8410" spans="12:12" x14ac:dyDescent="0.25">
      <c r="L8410" s="32"/>
    </row>
    <row r="8411" spans="12:12" x14ac:dyDescent="0.25">
      <c r="L8411" s="32"/>
    </row>
    <row r="8412" spans="12:12" x14ac:dyDescent="0.25">
      <c r="L8412" s="32"/>
    </row>
    <row r="8413" spans="12:12" x14ac:dyDescent="0.25">
      <c r="L8413" s="32"/>
    </row>
    <row r="8414" spans="12:12" x14ac:dyDescent="0.25">
      <c r="L8414" s="32"/>
    </row>
    <row r="8415" spans="12:12" x14ac:dyDescent="0.25">
      <c r="L8415" s="32"/>
    </row>
    <row r="8416" spans="12:12" x14ac:dyDescent="0.25">
      <c r="L8416" s="32"/>
    </row>
    <row r="8417" spans="12:12" x14ac:dyDescent="0.25">
      <c r="L8417" s="32"/>
    </row>
    <row r="8418" spans="12:12" x14ac:dyDescent="0.25">
      <c r="L8418" s="32"/>
    </row>
    <row r="8419" spans="12:12" x14ac:dyDescent="0.25">
      <c r="L8419" s="32"/>
    </row>
    <row r="8420" spans="12:12" x14ac:dyDescent="0.25">
      <c r="L8420" s="32"/>
    </row>
    <row r="8421" spans="12:12" x14ac:dyDescent="0.25">
      <c r="L8421" s="32"/>
    </row>
    <row r="8422" spans="12:12" x14ac:dyDescent="0.25">
      <c r="L8422" s="32"/>
    </row>
    <row r="8423" spans="12:12" x14ac:dyDescent="0.25">
      <c r="L8423" s="32"/>
    </row>
    <row r="8424" spans="12:12" x14ac:dyDescent="0.25">
      <c r="L8424" s="32"/>
    </row>
    <row r="8425" spans="12:12" x14ac:dyDescent="0.25">
      <c r="L8425" s="32"/>
    </row>
    <row r="8426" spans="12:12" x14ac:dyDescent="0.25">
      <c r="L8426" s="32"/>
    </row>
    <row r="8427" spans="12:12" x14ac:dyDescent="0.25">
      <c r="L8427" s="32"/>
    </row>
    <row r="8428" spans="12:12" x14ac:dyDescent="0.25">
      <c r="L8428" s="32"/>
    </row>
    <row r="8429" spans="12:12" x14ac:dyDescent="0.25">
      <c r="L8429" s="32"/>
    </row>
    <row r="8430" spans="12:12" x14ac:dyDescent="0.25">
      <c r="L8430" s="32"/>
    </row>
    <row r="8431" spans="12:12" x14ac:dyDescent="0.25">
      <c r="L8431" s="32"/>
    </row>
    <row r="8432" spans="12:12" x14ac:dyDescent="0.25">
      <c r="L8432" s="32"/>
    </row>
    <row r="8433" spans="12:12" x14ac:dyDescent="0.25">
      <c r="L8433" s="32"/>
    </row>
    <row r="8434" spans="12:12" x14ac:dyDescent="0.25">
      <c r="L8434" s="32"/>
    </row>
    <row r="8435" spans="12:12" x14ac:dyDescent="0.25">
      <c r="L8435" s="32"/>
    </row>
    <row r="8436" spans="12:12" x14ac:dyDescent="0.25">
      <c r="L8436" s="32"/>
    </row>
    <row r="8437" spans="12:12" x14ac:dyDescent="0.25">
      <c r="L8437" s="32"/>
    </row>
    <row r="8438" spans="12:12" x14ac:dyDescent="0.25">
      <c r="L8438" s="32"/>
    </row>
    <row r="8439" spans="12:12" x14ac:dyDescent="0.25">
      <c r="L8439" s="32"/>
    </row>
    <row r="8440" spans="12:12" x14ac:dyDescent="0.25">
      <c r="L8440" s="32"/>
    </row>
    <row r="8441" spans="12:12" x14ac:dyDescent="0.25">
      <c r="L8441" s="32"/>
    </row>
    <row r="8442" spans="12:12" x14ac:dyDescent="0.25">
      <c r="L8442" s="32"/>
    </row>
    <row r="8443" spans="12:12" x14ac:dyDescent="0.25">
      <c r="L8443" s="32"/>
    </row>
    <row r="8444" spans="12:12" x14ac:dyDescent="0.25">
      <c r="L8444" s="32"/>
    </row>
    <row r="8445" spans="12:12" x14ac:dyDescent="0.25">
      <c r="L8445" s="32"/>
    </row>
    <row r="8446" spans="12:12" x14ac:dyDescent="0.25">
      <c r="L8446" s="32"/>
    </row>
    <row r="8447" spans="12:12" x14ac:dyDescent="0.25">
      <c r="L8447" s="32"/>
    </row>
    <row r="8448" spans="12:12" x14ac:dyDescent="0.25">
      <c r="L8448" s="32"/>
    </row>
    <row r="8449" spans="12:12" x14ac:dyDescent="0.25">
      <c r="L8449" s="32"/>
    </row>
    <row r="8450" spans="12:12" x14ac:dyDescent="0.25">
      <c r="L8450" s="32"/>
    </row>
    <row r="8451" spans="12:12" x14ac:dyDescent="0.25">
      <c r="L8451" s="32"/>
    </row>
    <row r="8452" spans="12:12" x14ac:dyDescent="0.25">
      <c r="L8452" s="32"/>
    </row>
    <row r="8453" spans="12:12" x14ac:dyDescent="0.25">
      <c r="L8453" s="32"/>
    </row>
    <row r="8454" spans="12:12" x14ac:dyDescent="0.25">
      <c r="L8454" s="32"/>
    </row>
    <row r="8455" spans="12:12" x14ac:dyDescent="0.25">
      <c r="L8455" s="32"/>
    </row>
    <row r="8456" spans="12:12" x14ac:dyDescent="0.25">
      <c r="L8456" s="32"/>
    </row>
    <row r="8457" spans="12:12" x14ac:dyDescent="0.25">
      <c r="L8457" s="32"/>
    </row>
    <row r="8458" spans="12:12" x14ac:dyDescent="0.25">
      <c r="L8458" s="32"/>
    </row>
    <row r="8459" spans="12:12" x14ac:dyDescent="0.25">
      <c r="L8459" s="32"/>
    </row>
    <row r="8460" spans="12:12" x14ac:dyDescent="0.25">
      <c r="L8460" s="32"/>
    </row>
    <row r="8461" spans="12:12" x14ac:dyDescent="0.25">
      <c r="L8461" s="32"/>
    </row>
    <row r="8462" spans="12:12" x14ac:dyDescent="0.25">
      <c r="L8462" s="32"/>
    </row>
    <row r="8463" spans="12:12" x14ac:dyDescent="0.25">
      <c r="L8463" s="32"/>
    </row>
    <row r="8464" spans="12:12" x14ac:dyDescent="0.25">
      <c r="L8464" s="32"/>
    </row>
    <row r="8465" spans="12:12" x14ac:dyDescent="0.25">
      <c r="L8465" s="32"/>
    </row>
    <row r="8466" spans="12:12" x14ac:dyDescent="0.25">
      <c r="L8466" s="32"/>
    </row>
    <row r="8467" spans="12:12" x14ac:dyDescent="0.25">
      <c r="L8467" s="32"/>
    </row>
    <row r="8468" spans="12:12" x14ac:dyDescent="0.25">
      <c r="L8468" s="32"/>
    </row>
    <row r="8469" spans="12:12" x14ac:dyDescent="0.25">
      <c r="L8469" s="32"/>
    </row>
    <row r="8470" spans="12:12" x14ac:dyDescent="0.25">
      <c r="L8470" s="32"/>
    </row>
    <row r="8471" spans="12:12" x14ac:dyDescent="0.25">
      <c r="L8471" s="32"/>
    </row>
    <row r="8472" spans="12:12" x14ac:dyDescent="0.25">
      <c r="L8472" s="32"/>
    </row>
    <row r="8473" spans="12:12" x14ac:dyDescent="0.25">
      <c r="L8473" s="32"/>
    </row>
    <row r="8474" spans="12:12" x14ac:dyDescent="0.25">
      <c r="L8474" s="32"/>
    </row>
    <row r="8475" spans="12:12" x14ac:dyDescent="0.25">
      <c r="L8475" s="32"/>
    </row>
    <row r="8476" spans="12:12" x14ac:dyDescent="0.25">
      <c r="L8476" s="32"/>
    </row>
    <row r="8477" spans="12:12" x14ac:dyDescent="0.25">
      <c r="L8477" s="32"/>
    </row>
    <row r="8478" spans="12:12" x14ac:dyDescent="0.25">
      <c r="L8478" s="32"/>
    </row>
    <row r="8479" spans="12:12" x14ac:dyDescent="0.25">
      <c r="L8479" s="32"/>
    </row>
    <row r="8480" spans="12:12" x14ac:dyDescent="0.25">
      <c r="L8480" s="32"/>
    </row>
    <row r="8481" spans="12:12" x14ac:dyDescent="0.25">
      <c r="L8481" s="32"/>
    </row>
    <row r="8482" spans="12:12" x14ac:dyDescent="0.25">
      <c r="L8482" s="32"/>
    </row>
    <row r="8483" spans="12:12" x14ac:dyDescent="0.25">
      <c r="L8483" s="32"/>
    </row>
    <row r="8484" spans="12:12" x14ac:dyDescent="0.25">
      <c r="L8484" s="32"/>
    </row>
    <row r="8485" spans="12:12" x14ac:dyDescent="0.25">
      <c r="L8485" s="32"/>
    </row>
    <row r="8486" spans="12:12" x14ac:dyDescent="0.25">
      <c r="L8486" s="32"/>
    </row>
    <row r="8487" spans="12:12" x14ac:dyDescent="0.25">
      <c r="L8487" s="32"/>
    </row>
    <row r="8488" spans="12:12" x14ac:dyDescent="0.25">
      <c r="L8488" s="32"/>
    </row>
    <row r="8489" spans="12:12" x14ac:dyDescent="0.25">
      <c r="L8489" s="32"/>
    </row>
    <row r="8490" spans="12:12" x14ac:dyDescent="0.25">
      <c r="L8490" s="32"/>
    </row>
    <row r="8491" spans="12:12" x14ac:dyDescent="0.25">
      <c r="L8491" s="32"/>
    </row>
    <row r="8492" spans="12:12" x14ac:dyDescent="0.25">
      <c r="L8492" s="32"/>
    </row>
    <row r="8493" spans="12:12" x14ac:dyDescent="0.25">
      <c r="L8493" s="32"/>
    </row>
    <row r="8494" spans="12:12" x14ac:dyDescent="0.25">
      <c r="L8494" s="32"/>
    </row>
    <row r="8495" spans="12:12" x14ac:dyDescent="0.25">
      <c r="L8495" s="32"/>
    </row>
    <row r="8496" spans="12:12" x14ac:dyDescent="0.25">
      <c r="L8496" s="32"/>
    </row>
    <row r="8497" spans="12:12" x14ac:dyDescent="0.25">
      <c r="L8497" s="32"/>
    </row>
    <row r="8498" spans="12:12" x14ac:dyDescent="0.25">
      <c r="L8498" s="32"/>
    </row>
    <row r="8499" spans="12:12" x14ac:dyDescent="0.25">
      <c r="L8499" s="32"/>
    </row>
    <row r="8500" spans="12:12" x14ac:dyDescent="0.25">
      <c r="L8500" s="32"/>
    </row>
    <row r="8501" spans="12:12" x14ac:dyDescent="0.25">
      <c r="L8501" s="32"/>
    </row>
    <row r="8502" spans="12:12" x14ac:dyDescent="0.25">
      <c r="L8502" s="32"/>
    </row>
    <row r="8503" spans="12:12" x14ac:dyDescent="0.25">
      <c r="L8503" s="32"/>
    </row>
    <row r="8504" spans="12:12" x14ac:dyDescent="0.25">
      <c r="L8504" s="32"/>
    </row>
    <row r="8505" spans="12:12" x14ac:dyDescent="0.25">
      <c r="L8505" s="32"/>
    </row>
    <row r="8506" spans="12:12" x14ac:dyDescent="0.25">
      <c r="L8506" s="32"/>
    </row>
    <row r="8507" spans="12:12" x14ac:dyDescent="0.25">
      <c r="L8507" s="32"/>
    </row>
    <row r="8508" spans="12:12" x14ac:dyDescent="0.25">
      <c r="L8508" s="32"/>
    </row>
    <row r="8509" spans="12:12" x14ac:dyDescent="0.25">
      <c r="L8509" s="32"/>
    </row>
    <row r="8510" spans="12:12" x14ac:dyDescent="0.25">
      <c r="L8510" s="32"/>
    </row>
    <row r="8511" spans="12:12" x14ac:dyDescent="0.25">
      <c r="L8511" s="32"/>
    </row>
    <row r="8512" spans="12:12" x14ac:dyDescent="0.25">
      <c r="L8512" s="32"/>
    </row>
    <row r="8513" spans="12:12" x14ac:dyDescent="0.25">
      <c r="L8513" s="32"/>
    </row>
    <row r="8514" spans="12:12" x14ac:dyDescent="0.25">
      <c r="L8514" s="32"/>
    </row>
    <row r="8515" spans="12:12" x14ac:dyDescent="0.25">
      <c r="L8515" s="32"/>
    </row>
    <row r="8516" spans="12:12" x14ac:dyDescent="0.25">
      <c r="L8516" s="32"/>
    </row>
    <row r="8517" spans="12:12" x14ac:dyDescent="0.25">
      <c r="L8517" s="32"/>
    </row>
    <row r="8518" spans="12:12" x14ac:dyDescent="0.25">
      <c r="L8518" s="32"/>
    </row>
    <row r="8519" spans="12:12" x14ac:dyDescent="0.25">
      <c r="L8519" s="32"/>
    </row>
    <row r="8520" spans="12:12" x14ac:dyDescent="0.25">
      <c r="L8520" s="32"/>
    </row>
    <row r="8521" spans="12:12" x14ac:dyDescent="0.25">
      <c r="L8521" s="32"/>
    </row>
    <row r="8522" spans="12:12" x14ac:dyDescent="0.25">
      <c r="L8522" s="32"/>
    </row>
    <row r="8523" spans="12:12" x14ac:dyDescent="0.25">
      <c r="L8523" s="32"/>
    </row>
    <row r="8524" spans="12:12" x14ac:dyDescent="0.25">
      <c r="L8524" s="32"/>
    </row>
    <row r="8525" spans="12:12" x14ac:dyDescent="0.25">
      <c r="L8525" s="32"/>
    </row>
    <row r="8526" spans="12:12" x14ac:dyDescent="0.25">
      <c r="L8526" s="32"/>
    </row>
    <row r="8527" spans="12:12" x14ac:dyDescent="0.25">
      <c r="L8527" s="32"/>
    </row>
    <row r="8528" spans="12:12" x14ac:dyDescent="0.25">
      <c r="L8528" s="32"/>
    </row>
    <row r="8529" spans="12:12" x14ac:dyDescent="0.25">
      <c r="L8529" s="32"/>
    </row>
    <row r="8530" spans="12:12" x14ac:dyDescent="0.25">
      <c r="L8530" s="32"/>
    </row>
    <row r="8531" spans="12:12" x14ac:dyDescent="0.25">
      <c r="L8531" s="32"/>
    </row>
    <row r="8532" spans="12:12" x14ac:dyDescent="0.25">
      <c r="L8532" s="32"/>
    </row>
    <row r="8533" spans="12:12" x14ac:dyDescent="0.25">
      <c r="L8533" s="32"/>
    </row>
    <row r="8534" spans="12:12" x14ac:dyDescent="0.25">
      <c r="L8534" s="32"/>
    </row>
    <row r="8535" spans="12:12" x14ac:dyDescent="0.25">
      <c r="L8535" s="32"/>
    </row>
    <row r="8536" spans="12:12" x14ac:dyDescent="0.25">
      <c r="L8536" s="32"/>
    </row>
    <row r="8537" spans="12:12" x14ac:dyDescent="0.25">
      <c r="L8537" s="32"/>
    </row>
    <row r="8538" spans="12:12" x14ac:dyDescent="0.25">
      <c r="L8538" s="32"/>
    </row>
    <row r="8539" spans="12:12" x14ac:dyDescent="0.25">
      <c r="L8539" s="32"/>
    </row>
    <row r="8540" spans="12:12" x14ac:dyDescent="0.25">
      <c r="L8540" s="32"/>
    </row>
    <row r="8541" spans="12:12" x14ac:dyDescent="0.25">
      <c r="L8541" s="32"/>
    </row>
    <row r="8542" spans="12:12" x14ac:dyDescent="0.25">
      <c r="L8542" s="32"/>
    </row>
    <row r="8543" spans="12:12" x14ac:dyDescent="0.25">
      <c r="L8543" s="32"/>
    </row>
    <row r="8544" spans="12:12" x14ac:dyDescent="0.25">
      <c r="L8544" s="32"/>
    </row>
    <row r="8545" spans="12:12" x14ac:dyDescent="0.25">
      <c r="L8545" s="32"/>
    </row>
    <row r="8546" spans="12:12" x14ac:dyDescent="0.25">
      <c r="L8546" s="32"/>
    </row>
    <row r="8547" spans="12:12" x14ac:dyDescent="0.25">
      <c r="L8547" s="32"/>
    </row>
    <row r="8548" spans="12:12" x14ac:dyDescent="0.25">
      <c r="L8548" s="32"/>
    </row>
    <row r="8549" spans="12:12" x14ac:dyDescent="0.25">
      <c r="L8549" s="32"/>
    </row>
    <row r="8550" spans="12:12" x14ac:dyDescent="0.25">
      <c r="L8550" s="32"/>
    </row>
    <row r="8551" spans="12:12" x14ac:dyDescent="0.25">
      <c r="L8551" s="32"/>
    </row>
    <row r="8552" spans="12:12" x14ac:dyDescent="0.25">
      <c r="L8552" s="32"/>
    </row>
    <row r="8553" spans="12:12" x14ac:dyDescent="0.25">
      <c r="L8553" s="32"/>
    </row>
    <row r="8554" spans="12:12" x14ac:dyDescent="0.25">
      <c r="L8554" s="32"/>
    </row>
    <row r="8555" spans="12:12" x14ac:dyDescent="0.25">
      <c r="L8555" s="32"/>
    </row>
    <row r="8556" spans="12:12" x14ac:dyDescent="0.25">
      <c r="L8556" s="32"/>
    </row>
    <row r="8557" spans="12:12" x14ac:dyDescent="0.25">
      <c r="L8557" s="32"/>
    </row>
    <row r="8558" spans="12:12" x14ac:dyDescent="0.25">
      <c r="L8558" s="32"/>
    </row>
    <row r="8559" spans="12:12" x14ac:dyDescent="0.25">
      <c r="L8559" s="32"/>
    </row>
    <row r="8560" spans="12:12" x14ac:dyDescent="0.25">
      <c r="L8560" s="32"/>
    </row>
    <row r="8561" spans="12:12" x14ac:dyDescent="0.25">
      <c r="L8561" s="32"/>
    </row>
    <row r="8562" spans="12:12" x14ac:dyDescent="0.25">
      <c r="L8562" s="32"/>
    </row>
    <row r="8563" spans="12:12" x14ac:dyDescent="0.25">
      <c r="L8563" s="32"/>
    </row>
    <row r="8564" spans="12:12" x14ac:dyDescent="0.25">
      <c r="L8564" s="32"/>
    </row>
    <row r="8565" spans="12:12" x14ac:dyDescent="0.25">
      <c r="L8565" s="32"/>
    </row>
    <row r="8566" spans="12:12" x14ac:dyDescent="0.25">
      <c r="L8566" s="32"/>
    </row>
    <row r="8567" spans="12:12" x14ac:dyDescent="0.25">
      <c r="L8567" s="32"/>
    </row>
    <row r="8568" spans="12:12" x14ac:dyDescent="0.25">
      <c r="L8568" s="32"/>
    </row>
    <row r="8569" spans="12:12" x14ac:dyDescent="0.25">
      <c r="L8569" s="32"/>
    </row>
    <row r="8570" spans="12:12" x14ac:dyDescent="0.25">
      <c r="L8570" s="32"/>
    </row>
    <row r="8571" spans="12:12" x14ac:dyDescent="0.25">
      <c r="L8571" s="32"/>
    </row>
    <row r="8572" spans="12:12" x14ac:dyDescent="0.25">
      <c r="L8572" s="32"/>
    </row>
    <row r="8573" spans="12:12" x14ac:dyDescent="0.25">
      <c r="L8573" s="32"/>
    </row>
    <row r="8574" spans="12:12" x14ac:dyDescent="0.25">
      <c r="L8574" s="32"/>
    </row>
    <row r="8575" spans="12:12" x14ac:dyDescent="0.25">
      <c r="L8575" s="32"/>
    </row>
    <row r="8576" spans="12:12" x14ac:dyDescent="0.25">
      <c r="L8576" s="32"/>
    </row>
    <row r="8577" spans="12:12" x14ac:dyDescent="0.25">
      <c r="L8577" s="32"/>
    </row>
    <row r="8578" spans="12:12" x14ac:dyDescent="0.25">
      <c r="L8578" s="32"/>
    </row>
    <row r="8579" spans="12:12" x14ac:dyDescent="0.25">
      <c r="L8579" s="32"/>
    </row>
    <row r="8580" spans="12:12" x14ac:dyDescent="0.25">
      <c r="L8580" s="32"/>
    </row>
    <row r="8581" spans="12:12" x14ac:dyDescent="0.25">
      <c r="L8581" s="32"/>
    </row>
    <row r="8582" spans="12:12" x14ac:dyDescent="0.25">
      <c r="L8582" s="32"/>
    </row>
    <row r="8583" spans="12:12" x14ac:dyDescent="0.25">
      <c r="L8583" s="32"/>
    </row>
    <row r="8584" spans="12:12" x14ac:dyDescent="0.25">
      <c r="L8584" s="32"/>
    </row>
    <row r="8585" spans="12:12" x14ac:dyDescent="0.25">
      <c r="L8585" s="32"/>
    </row>
    <row r="8586" spans="12:12" x14ac:dyDescent="0.25">
      <c r="L8586" s="32"/>
    </row>
    <row r="8587" spans="12:12" x14ac:dyDescent="0.25">
      <c r="L8587" s="32"/>
    </row>
    <row r="8588" spans="12:12" x14ac:dyDescent="0.25">
      <c r="L8588" s="32"/>
    </row>
    <row r="8589" spans="12:12" x14ac:dyDescent="0.25">
      <c r="L8589" s="32"/>
    </row>
    <row r="8590" spans="12:12" x14ac:dyDescent="0.25">
      <c r="L8590" s="32"/>
    </row>
    <row r="8591" spans="12:12" x14ac:dyDescent="0.25">
      <c r="L8591" s="32"/>
    </row>
    <row r="8592" spans="12:12" x14ac:dyDescent="0.25">
      <c r="L8592" s="32"/>
    </row>
    <row r="8593" spans="12:12" x14ac:dyDescent="0.25">
      <c r="L8593" s="32"/>
    </row>
    <row r="8594" spans="12:12" x14ac:dyDescent="0.25">
      <c r="L8594" s="32"/>
    </row>
    <row r="8595" spans="12:12" x14ac:dyDescent="0.25">
      <c r="L8595" s="32"/>
    </row>
    <row r="8596" spans="12:12" x14ac:dyDescent="0.25">
      <c r="L8596" s="32"/>
    </row>
    <row r="8597" spans="12:12" x14ac:dyDescent="0.25">
      <c r="L8597" s="32"/>
    </row>
    <row r="8598" spans="12:12" x14ac:dyDescent="0.25">
      <c r="L8598" s="32"/>
    </row>
    <row r="8599" spans="12:12" x14ac:dyDescent="0.25">
      <c r="L8599" s="32"/>
    </row>
    <row r="8600" spans="12:12" x14ac:dyDescent="0.25">
      <c r="L8600" s="32"/>
    </row>
    <row r="8601" spans="12:12" x14ac:dyDescent="0.25">
      <c r="L8601" s="32"/>
    </row>
    <row r="8602" spans="12:12" x14ac:dyDescent="0.25">
      <c r="L8602" s="32"/>
    </row>
    <row r="8603" spans="12:12" x14ac:dyDescent="0.25">
      <c r="L8603" s="32"/>
    </row>
    <row r="8604" spans="12:12" x14ac:dyDescent="0.25">
      <c r="L8604" s="32"/>
    </row>
    <row r="8605" spans="12:12" x14ac:dyDescent="0.25">
      <c r="L8605" s="32"/>
    </row>
    <row r="8606" spans="12:12" x14ac:dyDescent="0.25">
      <c r="L8606" s="32"/>
    </row>
    <row r="8607" spans="12:12" x14ac:dyDescent="0.25">
      <c r="L8607" s="32"/>
    </row>
    <row r="8608" spans="12:12" x14ac:dyDescent="0.25">
      <c r="L8608" s="32"/>
    </row>
    <row r="8609" spans="12:12" x14ac:dyDescent="0.25">
      <c r="L8609" s="32"/>
    </row>
    <row r="8610" spans="12:12" x14ac:dyDescent="0.25">
      <c r="L8610" s="32"/>
    </row>
    <row r="8611" spans="12:12" x14ac:dyDescent="0.25">
      <c r="L8611" s="32"/>
    </row>
    <row r="8612" spans="12:12" x14ac:dyDescent="0.25">
      <c r="L8612" s="32"/>
    </row>
    <row r="8613" spans="12:12" x14ac:dyDescent="0.25">
      <c r="L8613" s="32"/>
    </row>
    <row r="8614" spans="12:12" x14ac:dyDescent="0.25">
      <c r="L8614" s="32"/>
    </row>
    <row r="8615" spans="12:12" x14ac:dyDescent="0.25">
      <c r="L8615" s="32"/>
    </row>
    <row r="8616" spans="12:12" x14ac:dyDescent="0.25">
      <c r="L8616" s="32"/>
    </row>
    <row r="8617" spans="12:12" x14ac:dyDescent="0.25">
      <c r="L8617" s="32"/>
    </row>
    <row r="8618" spans="12:12" x14ac:dyDescent="0.25">
      <c r="L8618" s="32"/>
    </row>
    <row r="8619" spans="12:12" x14ac:dyDescent="0.25">
      <c r="L8619" s="32"/>
    </row>
    <row r="8620" spans="12:12" x14ac:dyDescent="0.25">
      <c r="L8620" s="32"/>
    </row>
    <row r="8621" spans="12:12" x14ac:dyDescent="0.25">
      <c r="L8621" s="32"/>
    </row>
    <row r="8622" spans="12:12" x14ac:dyDescent="0.25">
      <c r="L8622" s="32"/>
    </row>
    <row r="8623" spans="12:12" x14ac:dyDescent="0.25">
      <c r="L8623" s="32"/>
    </row>
    <row r="8624" spans="12:12" x14ac:dyDescent="0.25">
      <c r="L8624" s="32"/>
    </row>
    <row r="8625" spans="12:12" x14ac:dyDescent="0.25">
      <c r="L8625" s="32"/>
    </row>
    <row r="8626" spans="12:12" x14ac:dyDescent="0.25">
      <c r="L8626" s="32"/>
    </row>
    <row r="8627" spans="12:12" x14ac:dyDescent="0.25">
      <c r="L8627" s="32"/>
    </row>
    <row r="8628" spans="12:12" x14ac:dyDescent="0.25">
      <c r="L8628" s="32"/>
    </row>
    <row r="8629" spans="12:12" x14ac:dyDescent="0.25">
      <c r="L8629" s="32"/>
    </row>
    <row r="8630" spans="12:12" x14ac:dyDescent="0.25">
      <c r="L8630" s="32"/>
    </row>
    <row r="8631" spans="12:12" x14ac:dyDescent="0.25">
      <c r="L8631" s="32"/>
    </row>
    <row r="8632" spans="12:12" x14ac:dyDescent="0.25">
      <c r="L8632" s="32"/>
    </row>
    <row r="8633" spans="12:12" x14ac:dyDescent="0.25">
      <c r="L8633" s="32"/>
    </row>
    <row r="8634" spans="12:12" x14ac:dyDescent="0.25">
      <c r="L8634" s="32"/>
    </row>
    <row r="8635" spans="12:12" x14ac:dyDescent="0.25">
      <c r="L8635" s="32"/>
    </row>
    <row r="8636" spans="12:12" x14ac:dyDescent="0.25">
      <c r="L8636" s="32"/>
    </row>
    <row r="8637" spans="12:12" x14ac:dyDescent="0.25">
      <c r="L8637" s="32"/>
    </row>
    <row r="8638" spans="12:12" x14ac:dyDescent="0.25">
      <c r="L8638" s="32"/>
    </row>
    <row r="8639" spans="12:12" x14ac:dyDescent="0.25">
      <c r="L8639" s="32"/>
    </row>
    <row r="8640" spans="12:12" x14ac:dyDescent="0.25">
      <c r="L8640" s="32"/>
    </row>
    <row r="8641" spans="12:12" x14ac:dyDescent="0.25">
      <c r="L8641" s="32"/>
    </row>
    <row r="8642" spans="12:12" x14ac:dyDescent="0.25">
      <c r="L8642" s="32"/>
    </row>
    <row r="8643" spans="12:12" x14ac:dyDescent="0.25">
      <c r="L8643" s="32"/>
    </row>
    <row r="8644" spans="12:12" x14ac:dyDescent="0.25">
      <c r="L8644" s="32"/>
    </row>
    <row r="8645" spans="12:12" x14ac:dyDescent="0.25">
      <c r="L8645" s="32"/>
    </row>
    <row r="8646" spans="12:12" x14ac:dyDescent="0.25">
      <c r="L8646" s="32"/>
    </row>
    <row r="8647" spans="12:12" x14ac:dyDescent="0.25">
      <c r="L8647" s="32"/>
    </row>
    <row r="8648" spans="12:12" x14ac:dyDescent="0.25">
      <c r="L8648" s="32"/>
    </row>
    <row r="8649" spans="12:12" x14ac:dyDescent="0.25">
      <c r="L8649" s="32"/>
    </row>
    <row r="8650" spans="12:12" x14ac:dyDescent="0.25">
      <c r="L8650" s="32"/>
    </row>
    <row r="8651" spans="12:12" x14ac:dyDescent="0.25">
      <c r="L8651" s="32"/>
    </row>
    <row r="8652" spans="12:12" x14ac:dyDescent="0.25">
      <c r="L8652" s="32"/>
    </row>
    <row r="8653" spans="12:12" x14ac:dyDescent="0.25">
      <c r="L8653" s="32"/>
    </row>
    <row r="8654" spans="12:12" x14ac:dyDescent="0.25">
      <c r="L8654" s="32"/>
    </row>
    <row r="8655" spans="12:12" x14ac:dyDescent="0.25">
      <c r="L8655" s="32"/>
    </row>
    <row r="8656" spans="12:12" x14ac:dyDescent="0.25">
      <c r="L8656" s="32"/>
    </row>
    <row r="8657" spans="12:12" x14ac:dyDescent="0.25">
      <c r="L8657" s="32"/>
    </row>
    <row r="8658" spans="12:12" x14ac:dyDescent="0.25">
      <c r="L8658" s="32"/>
    </row>
    <row r="8659" spans="12:12" x14ac:dyDescent="0.25">
      <c r="L8659" s="32"/>
    </row>
    <row r="8660" spans="12:12" x14ac:dyDescent="0.25">
      <c r="L8660" s="32"/>
    </row>
    <row r="8661" spans="12:12" x14ac:dyDescent="0.25">
      <c r="L8661" s="32"/>
    </row>
    <row r="8662" spans="12:12" x14ac:dyDescent="0.25">
      <c r="L8662" s="32"/>
    </row>
    <row r="8663" spans="12:12" x14ac:dyDescent="0.25">
      <c r="L8663" s="32"/>
    </row>
    <row r="8664" spans="12:12" x14ac:dyDescent="0.25">
      <c r="L8664" s="32"/>
    </row>
    <row r="8665" spans="12:12" x14ac:dyDescent="0.25">
      <c r="L8665" s="32"/>
    </row>
    <row r="8666" spans="12:12" x14ac:dyDescent="0.25">
      <c r="L8666" s="32"/>
    </row>
    <row r="8667" spans="12:12" x14ac:dyDescent="0.25">
      <c r="L8667" s="32"/>
    </row>
    <row r="8668" spans="12:12" x14ac:dyDescent="0.25">
      <c r="L8668" s="32"/>
    </row>
    <row r="8669" spans="12:12" x14ac:dyDescent="0.25">
      <c r="L8669" s="32"/>
    </row>
    <row r="8670" spans="12:12" x14ac:dyDescent="0.25">
      <c r="L8670" s="32"/>
    </row>
    <row r="8671" spans="12:12" x14ac:dyDescent="0.25">
      <c r="L8671" s="32"/>
    </row>
    <row r="8672" spans="12:12" x14ac:dyDescent="0.25">
      <c r="L8672" s="32"/>
    </row>
    <row r="8673" spans="12:12" x14ac:dyDescent="0.25">
      <c r="L8673" s="32"/>
    </row>
    <row r="8674" spans="12:12" x14ac:dyDescent="0.25">
      <c r="L8674" s="32"/>
    </row>
    <row r="8675" spans="12:12" x14ac:dyDescent="0.25">
      <c r="L8675" s="32"/>
    </row>
    <row r="8676" spans="12:12" x14ac:dyDescent="0.25">
      <c r="L8676" s="32"/>
    </row>
    <row r="8677" spans="12:12" x14ac:dyDescent="0.25">
      <c r="L8677" s="32"/>
    </row>
    <row r="8678" spans="12:12" x14ac:dyDescent="0.25">
      <c r="L8678" s="32"/>
    </row>
    <row r="8679" spans="12:12" x14ac:dyDescent="0.25">
      <c r="L8679" s="32"/>
    </row>
    <row r="8680" spans="12:12" x14ac:dyDescent="0.25">
      <c r="L8680" s="32"/>
    </row>
    <row r="8681" spans="12:12" x14ac:dyDescent="0.25">
      <c r="L8681" s="32"/>
    </row>
    <row r="8682" spans="12:12" x14ac:dyDescent="0.25">
      <c r="L8682" s="32"/>
    </row>
    <row r="8683" spans="12:12" x14ac:dyDescent="0.25">
      <c r="L8683" s="32"/>
    </row>
    <row r="8684" spans="12:12" x14ac:dyDescent="0.25">
      <c r="L8684" s="32"/>
    </row>
    <row r="8685" spans="12:12" x14ac:dyDescent="0.25">
      <c r="L8685" s="32"/>
    </row>
    <row r="8686" spans="12:12" x14ac:dyDescent="0.25">
      <c r="L8686" s="32"/>
    </row>
    <row r="8687" spans="12:12" x14ac:dyDescent="0.25">
      <c r="L8687" s="32"/>
    </row>
    <row r="8688" spans="12:12" x14ac:dyDescent="0.25">
      <c r="L8688" s="32"/>
    </row>
    <row r="8689" spans="12:12" x14ac:dyDescent="0.25">
      <c r="L8689" s="32"/>
    </row>
    <row r="8690" spans="12:12" x14ac:dyDescent="0.25">
      <c r="L8690" s="32"/>
    </row>
    <row r="8691" spans="12:12" x14ac:dyDescent="0.25">
      <c r="L8691" s="32"/>
    </row>
    <row r="8692" spans="12:12" x14ac:dyDescent="0.25">
      <c r="L8692" s="32"/>
    </row>
    <row r="8693" spans="12:12" x14ac:dyDescent="0.25">
      <c r="L8693" s="32"/>
    </row>
    <row r="8694" spans="12:12" x14ac:dyDescent="0.25">
      <c r="L8694" s="32"/>
    </row>
    <row r="8695" spans="12:12" x14ac:dyDescent="0.25">
      <c r="L8695" s="32"/>
    </row>
    <row r="8696" spans="12:12" x14ac:dyDescent="0.25">
      <c r="L8696" s="32"/>
    </row>
    <row r="8697" spans="12:12" x14ac:dyDescent="0.25">
      <c r="L8697" s="32"/>
    </row>
    <row r="8698" spans="12:12" x14ac:dyDescent="0.25">
      <c r="L8698" s="32"/>
    </row>
    <row r="8699" spans="12:12" x14ac:dyDescent="0.25">
      <c r="L8699" s="32"/>
    </row>
    <row r="8700" spans="12:12" x14ac:dyDescent="0.25">
      <c r="L8700" s="32"/>
    </row>
    <row r="8701" spans="12:12" x14ac:dyDescent="0.25">
      <c r="L8701" s="32"/>
    </row>
    <row r="8702" spans="12:12" x14ac:dyDescent="0.25">
      <c r="L8702" s="32"/>
    </row>
    <row r="8703" spans="12:12" x14ac:dyDescent="0.25">
      <c r="L8703" s="32"/>
    </row>
    <row r="8704" spans="12:12" x14ac:dyDescent="0.25">
      <c r="L8704" s="32"/>
    </row>
    <row r="8705" spans="12:12" x14ac:dyDescent="0.25">
      <c r="L8705" s="32"/>
    </row>
    <row r="8706" spans="12:12" x14ac:dyDescent="0.25">
      <c r="L8706" s="32"/>
    </row>
    <row r="8707" spans="12:12" x14ac:dyDescent="0.25">
      <c r="L8707" s="32"/>
    </row>
    <row r="8708" spans="12:12" x14ac:dyDescent="0.25">
      <c r="L8708" s="32"/>
    </row>
    <row r="8709" spans="12:12" x14ac:dyDescent="0.25">
      <c r="L8709" s="32"/>
    </row>
    <row r="8710" spans="12:12" x14ac:dyDescent="0.25">
      <c r="L8710" s="32"/>
    </row>
    <row r="8711" spans="12:12" x14ac:dyDescent="0.25">
      <c r="L8711" s="32"/>
    </row>
    <row r="8712" spans="12:12" x14ac:dyDescent="0.25">
      <c r="L8712" s="32"/>
    </row>
    <row r="8713" spans="12:12" x14ac:dyDescent="0.25">
      <c r="L8713" s="32"/>
    </row>
    <row r="8714" spans="12:12" x14ac:dyDescent="0.25">
      <c r="L8714" s="32"/>
    </row>
    <row r="8715" spans="12:12" x14ac:dyDescent="0.25">
      <c r="L8715" s="32"/>
    </row>
    <row r="8716" spans="12:12" x14ac:dyDescent="0.25">
      <c r="L8716" s="32"/>
    </row>
    <row r="8717" spans="12:12" x14ac:dyDescent="0.25">
      <c r="L8717" s="32"/>
    </row>
    <row r="8718" spans="12:12" x14ac:dyDescent="0.25">
      <c r="L8718" s="32"/>
    </row>
    <row r="8719" spans="12:12" x14ac:dyDescent="0.25">
      <c r="L8719" s="32"/>
    </row>
    <row r="8720" spans="12:12" x14ac:dyDescent="0.25">
      <c r="L8720" s="32"/>
    </row>
    <row r="8721" spans="12:12" x14ac:dyDescent="0.25">
      <c r="L8721" s="32"/>
    </row>
    <row r="8722" spans="12:12" x14ac:dyDescent="0.25">
      <c r="L8722" s="32"/>
    </row>
    <row r="8723" spans="12:12" x14ac:dyDescent="0.25">
      <c r="L8723" s="32"/>
    </row>
    <row r="8724" spans="12:12" x14ac:dyDescent="0.25">
      <c r="L8724" s="32"/>
    </row>
    <row r="8725" spans="12:12" x14ac:dyDescent="0.25">
      <c r="L8725" s="32"/>
    </row>
    <row r="8726" spans="12:12" x14ac:dyDescent="0.25">
      <c r="L8726" s="32"/>
    </row>
    <row r="8727" spans="12:12" x14ac:dyDescent="0.25">
      <c r="L8727" s="32"/>
    </row>
    <row r="8728" spans="12:12" x14ac:dyDescent="0.25">
      <c r="L8728" s="32"/>
    </row>
    <row r="8729" spans="12:12" x14ac:dyDescent="0.25">
      <c r="L8729" s="32"/>
    </row>
    <row r="8730" spans="12:12" x14ac:dyDescent="0.25">
      <c r="L8730" s="32"/>
    </row>
    <row r="8731" spans="12:12" x14ac:dyDescent="0.25">
      <c r="L8731" s="32"/>
    </row>
    <row r="8732" spans="12:12" x14ac:dyDescent="0.25">
      <c r="L8732" s="32"/>
    </row>
    <row r="8733" spans="12:12" x14ac:dyDescent="0.25">
      <c r="L8733" s="32"/>
    </row>
    <row r="8734" spans="12:12" x14ac:dyDescent="0.25">
      <c r="L8734" s="32"/>
    </row>
    <row r="8735" spans="12:12" x14ac:dyDescent="0.25">
      <c r="L8735" s="32"/>
    </row>
    <row r="8736" spans="12:12" x14ac:dyDescent="0.25">
      <c r="L8736" s="32"/>
    </row>
    <row r="8737" spans="12:12" x14ac:dyDescent="0.25">
      <c r="L8737" s="32"/>
    </row>
    <row r="8738" spans="12:12" x14ac:dyDescent="0.25">
      <c r="L8738" s="32"/>
    </row>
    <row r="8739" spans="12:12" x14ac:dyDescent="0.25">
      <c r="L8739" s="32"/>
    </row>
    <row r="8740" spans="12:12" x14ac:dyDescent="0.25">
      <c r="L8740" s="32"/>
    </row>
    <row r="8741" spans="12:12" x14ac:dyDescent="0.25">
      <c r="L8741" s="32"/>
    </row>
    <row r="8742" spans="12:12" x14ac:dyDescent="0.25">
      <c r="L8742" s="32"/>
    </row>
    <row r="8743" spans="12:12" x14ac:dyDescent="0.25">
      <c r="L8743" s="32"/>
    </row>
    <row r="8744" spans="12:12" x14ac:dyDescent="0.25">
      <c r="L8744" s="32"/>
    </row>
    <row r="8745" spans="12:12" x14ac:dyDescent="0.25">
      <c r="L8745" s="32"/>
    </row>
    <row r="8746" spans="12:12" x14ac:dyDescent="0.25">
      <c r="L8746" s="32"/>
    </row>
    <row r="8747" spans="12:12" x14ac:dyDescent="0.25">
      <c r="L8747" s="32"/>
    </row>
    <row r="8748" spans="12:12" x14ac:dyDescent="0.25">
      <c r="L8748" s="32"/>
    </row>
    <row r="8749" spans="12:12" x14ac:dyDescent="0.25">
      <c r="L8749" s="32"/>
    </row>
    <row r="8750" spans="12:12" x14ac:dyDescent="0.25">
      <c r="L8750" s="32"/>
    </row>
    <row r="8751" spans="12:12" x14ac:dyDescent="0.25">
      <c r="L8751" s="32"/>
    </row>
    <row r="8752" spans="12:12" x14ac:dyDescent="0.25">
      <c r="L8752" s="32"/>
    </row>
    <row r="8753" spans="12:12" x14ac:dyDescent="0.25">
      <c r="L8753" s="32"/>
    </row>
    <row r="8754" spans="12:12" x14ac:dyDescent="0.25">
      <c r="L8754" s="32"/>
    </row>
    <row r="8755" spans="12:12" x14ac:dyDescent="0.25">
      <c r="L8755" s="32"/>
    </row>
    <row r="8756" spans="12:12" x14ac:dyDescent="0.25">
      <c r="L8756" s="32"/>
    </row>
    <row r="8757" spans="12:12" x14ac:dyDescent="0.25">
      <c r="L8757" s="32"/>
    </row>
    <row r="8758" spans="12:12" x14ac:dyDescent="0.25">
      <c r="L8758" s="32"/>
    </row>
    <row r="8759" spans="12:12" x14ac:dyDescent="0.25">
      <c r="L8759" s="32"/>
    </row>
    <row r="8760" spans="12:12" x14ac:dyDescent="0.25">
      <c r="L8760" s="32"/>
    </row>
    <row r="8761" spans="12:12" x14ac:dyDescent="0.25">
      <c r="L8761" s="32"/>
    </row>
    <row r="8762" spans="12:12" x14ac:dyDescent="0.25">
      <c r="L8762" s="32"/>
    </row>
    <row r="8763" spans="12:12" x14ac:dyDescent="0.25">
      <c r="L8763" s="32"/>
    </row>
    <row r="8764" spans="12:12" x14ac:dyDescent="0.25">
      <c r="L8764" s="32"/>
    </row>
    <row r="8765" spans="12:12" x14ac:dyDescent="0.25">
      <c r="L8765" s="32"/>
    </row>
    <row r="8766" spans="12:12" x14ac:dyDescent="0.25">
      <c r="L8766" s="32"/>
    </row>
    <row r="8767" spans="12:12" x14ac:dyDescent="0.25">
      <c r="L8767" s="32"/>
    </row>
    <row r="8768" spans="12:12" x14ac:dyDescent="0.25">
      <c r="L8768" s="32"/>
    </row>
    <row r="8769" spans="12:12" x14ac:dyDescent="0.25">
      <c r="L8769" s="32"/>
    </row>
    <row r="8770" spans="12:12" x14ac:dyDescent="0.25">
      <c r="L8770" s="32"/>
    </row>
    <row r="8771" spans="12:12" x14ac:dyDescent="0.25">
      <c r="L8771" s="32"/>
    </row>
    <row r="8772" spans="12:12" x14ac:dyDescent="0.25">
      <c r="L8772" s="32"/>
    </row>
    <row r="8773" spans="12:12" x14ac:dyDescent="0.25">
      <c r="L8773" s="32"/>
    </row>
    <row r="8774" spans="12:12" x14ac:dyDescent="0.25">
      <c r="L8774" s="32"/>
    </row>
    <row r="8775" spans="12:12" x14ac:dyDescent="0.25">
      <c r="L8775" s="32"/>
    </row>
    <row r="8776" spans="12:12" x14ac:dyDescent="0.25">
      <c r="L8776" s="32"/>
    </row>
    <row r="8777" spans="12:12" x14ac:dyDescent="0.25">
      <c r="L8777" s="32"/>
    </row>
    <row r="8778" spans="12:12" x14ac:dyDescent="0.25">
      <c r="L8778" s="32"/>
    </row>
    <row r="8779" spans="12:12" x14ac:dyDescent="0.25">
      <c r="L8779" s="32"/>
    </row>
    <row r="8780" spans="12:12" x14ac:dyDescent="0.25">
      <c r="L8780" s="32"/>
    </row>
    <row r="8781" spans="12:12" x14ac:dyDescent="0.25">
      <c r="L8781" s="32"/>
    </row>
    <row r="8782" spans="12:12" x14ac:dyDescent="0.25">
      <c r="L8782" s="32"/>
    </row>
    <row r="8783" spans="12:12" x14ac:dyDescent="0.25">
      <c r="L8783" s="32"/>
    </row>
    <row r="8784" spans="12:12" x14ac:dyDescent="0.25">
      <c r="L8784" s="32"/>
    </row>
    <row r="8785" spans="12:12" x14ac:dyDescent="0.25">
      <c r="L8785" s="32"/>
    </row>
    <row r="8786" spans="12:12" x14ac:dyDescent="0.25">
      <c r="L8786" s="32"/>
    </row>
    <row r="8787" spans="12:12" x14ac:dyDescent="0.25">
      <c r="L8787" s="32"/>
    </row>
    <row r="8788" spans="12:12" x14ac:dyDescent="0.25">
      <c r="L8788" s="32"/>
    </row>
    <row r="8789" spans="12:12" x14ac:dyDescent="0.25">
      <c r="L8789" s="32"/>
    </row>
    <row r="8790" spans="12:12" x14ac:dyDescent="0.25">
      <c r="L8790" s="32"/>
    </row>
    <row r="8791" spans="12:12" x14ac:dyDescent="0.25">
      <c r="L8791" s="32"/>
    </row>
    <row r="8792" spans="12:12" x14ac:dyDescent="0.25">
      <c r="L8792" s="32"/>
    </row>
    <row r="8793" spans="12:12" x14ac:dyDescent="0.25">
      <c r="L8793" s="32"/>
    </row>
    <row r="8794" spans="12:12" x14ac:dyDescent="0.25">
      <c r="L8794" s="32"/>
    </row>
    <row r="8795" spans="12:12" x14ac:dyDescent="0.25">
      <c r="L8795" s="32"/>
    </row>
    <row r="8796" spans="12:12" x14ac:dyDescent="0.25">
      <c r="L8796" s="32"/>
    </row>
    <row r="8797" spans="12:12" x14ac:dyDescent="0.25">
      <c r="L8797" s="32"/>
    </row>
    <row r="8798" spans="12:12" x14ac:dyDescent="0.25">
      <c r="L8798" s="32"/>
    </row>
    <row r="8799" spans="12:12" x14ac:dyDescent="0.25">
      <c r="L8799" s="32"/>
    </row>
    <row r="8800" spans="12:12" x14ac:dyDescent="0.25">
      <c r="L8800" s="32"/>
    </row>
    <row r="8801" spans="12:12" x14ac:dyDescent="0.25">
      <c r="L8801" s="32"/>
    </row>
    <row r="8802" spans="12:12" x14ac:dyDescent="0.25">
      <c r="L8802" s="32"/>
    </row>
    <row r="8803" spans="12:12" x14ac:dyDescent="0.25">
      <c r="L8803" s="32"/>
    </row>
    <row r="8804" spans="12:12" x14ac:dyDescent="0.25">
      <c r="L8804" s="32"/>
    </row>
    <row r="8805" spans="12:12" x14ac:dyDescent="0.25">
      <c r="L8805" s="32"/>
    </row>
    <row r="8806" spans="12:12" x14ac:dyDescent="0.25">
      <c r="L8806" s="32"/>
    </row>
    <row r="8807" spans="12:12" x14ac:dyDescent="0.25">
      <c r="L8807" s="32"/>
    </row>
    <row r="8808" spans="12:12" x14ac:dyDescent="0.25">
      <c r="L8808" s="32"/>
    </row>
    <row r="8809" spans="12:12" x14ac:dyDescent="0.25">
      <c r="L8809" s="32"/>
    </row>
    <row r="8810" spans="12:12" x14ac:dyDescent="0.25">
      <c r="L8810" s="32"/>
    </row>
    <row r="8811" spans="12:12" x14ac:dyDescent="0.25">
      <c r="L8811" s="32"/>
    </row>
    <row r="8812" spans="12:12" x14ac:dyDescent="0.25">
      <c r="L8812" s="32"/>
    </row>
    <row r="8813" spans="12:12" x14ac:dyDescent="0.25">
      <c r="L8813" s="32"/>
    </row>
    <row r="8814" spans="12:12" x14ac:dyDescent="0.25">
      <c r="L8814" s="32"/>
    </row>
    <row r="8815" spans="12:12" x14ac:dyDescent="0.25">
      <c r="L8815" s="32"/>
    </row>
    <row r="8816" spans="12:12" x14ac:dyDescent="0.25">
      <c r="L8816" s="32"/>
    </row>
    <row r="8817" spans="12:12" x14ac:dyDescent="0.25">
      <c r="L8817" s="32"/>
    </row>
    <row r="8818" spans="12:12" x14ac:dyDescent="0.25">
      <c r="L8818" s="32"/>
    </row>
    <row r="8819" spans="12:12" x14ac:dyDescent="0.25">
      <c r="L8819" s="32"/>
    </row>
    <row r="8820" spans="12:12" x14ac:dyDescent="0.25">
      <c r="L8820" s="32"/>
    </row>
    <row r="8821" spans="12:12" x14ac:dyDescent="0.25">
      <c r="L8821" s="32"/>
    </row>
    <row r="8822" spans="12:12" x14ac:dyDescent="0.25">
      <c r="L8822" s="32"/>
    </row>
    <row r="8823" spans="12:12" x14ac:dyDescent="0.25">
      <c r="L8823" s="32"/>
    </row>
    <row r="8824" spans="12:12" x14ac:dyDescent="0.25">
      <c r="L8824" s="32"/>
    </row>
    <row r="8825" spans="12:12" x14ac:dyDescent="0.25">
      <c r="L8825" s="32"/>
    </row>
    <row r="8826" spans="12:12" x14ac:dyDescent="0.25">
      <c r="L8826" s="32"/>
    </row>
    <row r="8827" spans="12:12" x14ac:dyDescent="0.25">
      <c r="L8827" s="32"/>
    </row>
    <row r="8828" spans="12:12" x14ac:dyDescent="0.25">
      <c r="L8828" s="32"/>
    </row>
    <row r="8829" spans="12:12" x14ac:dyDescent="0.25">
      <c r="L8829" s="32"/>
    </row>
    <row r="8830" spans="12:12" x14ac:dyDescent="0.25">
      <c r="L8830" s="32"/>
    </row>
    <row r="8831" spans="12:12" x14ac:dyDescent="0.25">
      <c r="L8831" s="32"/>
    </row>
    <row r="8832" spans="12:12" x14ac:dyDescent="0.25">
      <c r="L8832" s="32"/>
    </row>
    <row r="8833" spans="12:12" x14ac:dyDescent="0.25">
      <c r="L8833" s="32"/>
    </row>
    <row r="8834" spans="12:12" x14ac:dyDescent="0.25">
      <c r="L8834" s="32"/>
    </row>
    <row r="8835" spans="12:12" x14ac:dyDescent="0.25">
      <c r="L8835" s="32"/>
    </row>
    <row r="8836" spans="12:12" x14ac:dyDescent="0.25">
      <c r="L8836" s="32"/>
    </row>
    <row r="8837" spans="12:12" x14ac:dyDescent="0.25">
      <c r="L8837" s="32"/>
    </row>
    <row r="8838" spans="12:12" x14ac:dyDescent="0.25">
      <c r="L8838" s="32"/>
    </row>
    <row r="8839" spans="12:12" x14ac:dyDescent="0.25">
      <c r="L8839" s="32"/>
    </row>
    <row r="8840" spans="12:12" x14ac:dyDescent="0.25">
      <c r="L8840" s="32"/>
    </row>
    <row r="8841" spans="12:12" x14ac:dyDescent="0.25">
      <c r="L8841" s="32"/>
    </row>
    <row r="8842" spans="12:12" x14ac:dyDescent="0.25">
      <c r="L8842" s="32"/>
    </row>
    <row r="8843" spans="12:12" x14ac:dyDescent="0.25">
      <c r="L8843" s="32"/>
    </row>
    <row r="8844" spans="12:12" x14ac:dyDescent="0.25">
      <c r="L8844" s="32"/>
    </row>
    <row r="8845" spans="12:12" x14ac:dyDescent="0.25">
      <c r="L8845" s="32"/>
    </row>
    <row r="8846" spans="12:12" x14ac:dyDescent="0.25">
      <c r="L8846" s="32"/>
    </row>
    <row r="8847" spans="12:12" x14ac:dyDescent="0.25">
      <c r="L8847" s="32"/>
    </row>
    <row r="8848" spans="12:12" x14ac:dyDescent="0.25">
      <c r="L8848" s="32"/>
    </row>
    <row r="8849" spans="12:12" x14ac:dyDescent="0.25">
      <c r="L8849" s="32"/>
    </row>
    <row r="8850" spans="12:12" x14ac:dyDescent="0.25">
      <c r="L8850" s="32"/>
    </row>
    <row r="8851" spans="12:12" x14ac:dyDescent="0.25">
      <c r="L8851" s="32"/>
    </row>
    <row r="8852" spans="12:12" x14ac:dyDescent="0.25">
      <c r="L8852" s="32"/>
    </row>
    <row r="8853" spans="12:12" x14ac:dyDescent="0.25">
      <c r="L8853" s="32"/>
    </row>
    <row r="8854" spans="12:12" x14ac:dyDescent="0.25">
      <c r="L8854" s="32"/>
    </row>
    <row r="8855" spans="12:12" x14ac:dyDescent="0.25">
      <c r="L8855" s="32"/>
    </row>
    <row r="8856" spans="12:12" x14ac:dyDescent="0.25">
      <c r="L8856" s="32"/>
    </row>
    <row r="8857" spans="12:12" x14ac:dyDescent="0.25">
      <c r="L8857" s="32"/>
    </row>
    <row r="8858" spans="12:12" x14ac:dyDescent="0.25">
      <c r="L8858" s="32"/>
    </row>
    <row r="8859" spans="12:12" x14ac:dyDescent="0.25">
      <c r="L8859" s="32"/>
    </row>
    <row r="8860" spans="12:12" x14ac:dyDescent="0.25">
      <c r="L8860" s="32"/>
    </row>
    <row r="8861" spans="12:12" x14ac:dyDescent="0.25">
      <c r="L8861" s="32"/>
    </row>
    <row r="8862" spans="12:12" x14ac:dyDescent="0.25">
      <c r="L8862" s="32"/>
    </row>
    <row r="8863" spans="12:12" x14ac:dyDescent="0.25">
      <c r="L8863" s="32"/>
    </row>
    <row r="8864" spans="12:12" x14ac:dyDescent="0.25">
      <c r="L8864" s="32"/>
    </row>
    <row r="8865" spans="12:12" x14ac:dyDescent="0.25">
      <c r="L8865" s="32"/>
    </row>
    <row r="8866" spans="12:12" x14ac:dyDescent="0.25">
      <c r="L8866" s="32"/>
    </row>
    <row r="8867" spans="12:12" x14ac:dyDescent="0.25">
      <c r="L8867" s="32"/>
    </row>
    <row r="8868" spans="12:12" x14ac:dyDescent="0.25">
      <c r="L8868" s="32"/>
    </row>
    <row r="8869" spans="12:12" x14ac:dyDescent="0.25">
      <c r="L8869" s="32"/>
    </row>
    <row r="8870" spans="12:12" x14ac:dyDescent="0.25">
      <c r="L8870" s="32"/>
    </row>
    <row r="8871" spans="12:12" x14ac:dyDescent="0.25">
      <c r="L8871" s="32"/>
    </row>
    <row r="8872" spans="12:12" x14ac:dyDescent="0.25">
      <c r="L8872" s="32"/>
    </row>
    <row r="8873" spans="12:12" x14ac:dyDescent="0.25">
      <c r="L8873" s="32"/>
    </row>
    <row r="8874" spans="12:12" x14ac:dyDescent="0.25">
      <c r="L8874" s="32"/>
    </row>
    <row r="8875" spans="12:12" x14ac:dyDescent="0.25">
      <c r="L8875" s="32"/>
    </row>
    <row r="8876" spans="12:12" x14ac:dyDescent="0.25">
      <c r="L8876" s="32"/>
    </row>
    <row r="8877" spans="12:12" x14ac:dyDescent="0.25">
      <c r="L8877" s="32"/>
    </row>
    <row r="8878" spans="12:12" x14ac:dyDescent="0.25">
      <c r="L8878" s="32"/>
    </row>
    <row r="8879" spans="12:12" x14ac:dyDescent="0.25">
      <c r="L8879" s="32"/>
    </row>
    <row r="8880" spans="12:12" x14ac:dyDescent="0.25">
      <c r="L8880" s="32"/>
    </row>
    <row r="8881" spans="12:12" x14ac:dyDescent="0.25">
      <c r="L8881" s="32"/>
    </row>
    <row r="8882" spans="12:12" x14ac:dyDescent="0.25">
      <c r="L8882" s="32"/>
    </row>
    <row r="8883" spans="12:12" x14ac:dyDescent="0.25">
      <c r="L8883" s="32"/>
    </row>
    <row r="8884" spans="12:12" x14ac:dyDescent="0.25">
      <c r="L8884" s="32"/>
    </row>
    <row r="8885" spans="12:12" x14ac:dyDescent="0.25">
      <c r="L8885" s="32"/>
    </row>
    <row r="8886" spans="12:12" x14ac:dyDescent="0.25">
      <c r="L8886" s="32"/>
    </row>
    <row r="8887" spans="12:12" x14ac:dyDescent="0.25">
      <c r="L8887" s="32"/>
    </row>
    <row r="8888" spans="12:12" x14ac:dyDescent="0.25">
      <c r="L8888" s="32"/>
    </row>
    <row r="8889" spans="12:12" x14ac:dyDescent="0.25">
      <c r="L8889" s="32"/>
    </row>
    <row r="8890" spans="12:12" x14ac:dyDescent="0.25">
      <c r="L8890" s="32"/>
    </row>
    <row r="8891" spans="12:12" x14ac:dyDescent="0.25">
      <c r="L8891" s="32"/>
    </row>
    <row r="8892" spans="12:12" x14ac:dyDescent="0.25">
      <c r="L8892" s="32"/>
    </row>
    <row r="8893" spans="12:12" x14ac:dyDescent="0.25">
      <c r="L8893" s="32"/>
    </row>
    <row r="8894" spans="12:12" x14ac:dyDescent="0.25">
      <c r="L8894" s="32"/>
    </row>
    <row r="8895" spans="12:12" x14ac:dyDescent="0.25">
      <c r="L8895" s="32"/>
    </row>
    <row r="8896" spans="12:12" x14ac:dyDescent="0.25">
      <c r="L8896" s="32"/>
    </row>
    <row r="8897" spans="12:12" x14ac:dyDescent="0.25">
      <c r="L8897" s="32"/>
    </row>
    <row r="8898" spans="12:12" x14ac:dyDescent="0.25">
      <c r="L8898" s="32"/>
    </row>
    <row r="8899" spans="12:12" x14ac:dyDescent="0.25">
      <c r="L8899" s="32"/>
    </row>
    <row r="8900" spans="12:12" x14ac:dyDescent="0.25">
      <c r="L8900" s="32"/>
    </row>
    <row r="8901" spans="12:12" x14ac:dyDescent="0.25">
      <c r="L8901" s="32"/>
    </row>
    <row r="8902" spans="12:12" x14ac:dyDescent="0.25">
      <c r="L8902" s="32"/>
    </row>
    <row r="8903" spans="12:12" x14ac:dyDescent="0.25">
      <c r="L8903" s="32"/>
    </row>
    <row r="8904" spans="12:12" x14ac:dyDescent="0.25">
      <c r="L8904" s="32"/>
    </row>
    <row r="8905" spans="12:12" x14ac:dyDescent="0.25">
      <c r="L8905" s="32"/>
    </row>
    <row r="8906" spans="12:12" x14ac:dyDescent="0.25">
      <c r="L8906" s="32"/>
    </row>
    <row r="8907" spans="12:12" x14ac:dyDescent="0.25">
      <c r="L8907" s="32"/>
    </row>
    <row r="8908" spans="12:12" x14ac:dyDescent="0.25">
      <c r="L8908" s="32"/>
    </row>
    <row r="8909" spans="12:12" x14ac:dyDescent="0.25">
      <c r="L8909" s="32"/>
    </row>
    <row r="8910" spans="12:12" x14ac:dyDescent="0.25">
      <c r="L8910" s="32"/>
    </row>
    <row r="8911" spans="12:12" x14ac:dyDescent="0.25">
      <c r="L8911" s="32"/>
    </row>
    <row r="8912" spans="12:12" x14ac:dyDescent="0.25">
      <c r="L8912" s="32"/>
    </row>
    <row r="8913" spans="12:12" x14ac:dyDescent="0.25">
      <c r="L8913" s="32"/>
    </row>
    <row r="8914" spans="12:12" x14ac:dyDescent="0.25">
      <c r="L8914" s="32"/>
    </row>
    <row r="8915" spans="12:12" x14ac:dyDescent="0.25">
      <c r="L8915" s="32"/>
    </row>
    <row r="8916" spans="12:12" x14ac:dyDescent="0.25">
      <c r="L8916" s="32"/>
    </row>
    <row r="8917" spans="12:12" x14ac:dyDescent="0.25">
      <c r="L8917" s="32"/>
    </row>
    <row r="8918" spans="12:12" x14ac:dyDescent="0.25">
      <c r="L8918" s="32"/>
    </row>
    <row r="8919" spans="12:12" x14ac:dyDescent="0.25">
      <c r="L8919" s="32"/>
    </row>
    <row r="8920" spans="12:12" x14ac:dyDescent="0.25">
      <c r="L8920" s="32"/>
    </row>
    <row r="8921" spans="12:12" x14ac:dyDescent="0.25">
      <c r="L8921" s="32"/>
    </row>
    <row r="8922" spans="12:12" x14ac:dyDescent="0.25">
      <c r="L8922" s="32"/>
    </row>
    <row r="8923" spans="12:12" x14ac:dyDescent="0.25">
      <c r="L8923" s="32"/>
    </row>
    <row r="8924" spans="12:12" x14ac:dyDescent="0.25">
      <c r="L8924" s="32"/>
    </row>
    <row r="8925" spans="12:12" x14ac:dyDescent="0.25">
      <c r="L8925" s="32"/>
    </row>
    <row r="8926" spans="12:12" x14ac:dyDescent="0.25">
      <c r="L8926" s="32"/>
    </row>
    <row r="8927" spans="12:12" x14ac:dyDescent="0.25">
      <c r="L8927" s="32"/>
    </row>
    <row r="8928" spans="12:12" x14ac:dyDescent="0.25">
      <c r="L8928" s="32"/>
    </row>
    <row r="8929" spans="12:12" x14ac:dyDescent="0.25">
      <c r="L8929" s="32"/>
    </row>
    <row r="8930" spans="12:12" x14ac:dyDescent="0.25">
      <c r="L8930" s="32"/>
    </row>
    <row r="8931" spans="12:12" x14ac:dyDescent="0.25">
      <c r="L8931" s="32"/>
    </row>
    <row r="8932" spans="12:12" x14ac:dyDescent="0.25">
      <c r="L8932" s="32"/>
    </row>
    <row r="8933" spans="12:12" x14ac:dyDescent="0.25">
      <c r="L8933" s="32"/>
    </row>
    <row r="8934" spans="12:12" x14ac:dyDescent="0.25">
      <c r="L8934" s="32"/>
    </row>
    <row r="8935" spans="12:12" x14ac:dyDescent="0.25">
      <c r="L8935" s="32"/>
    </row>
    <row r="8936" spans="12:12" x14ac:dyDescent="0.25">
      <c r="L8936" s="32"/>
    </row>
    <row r="8937" spans="12:12" x14ac:dyDescent="0.25">
      <c r="L8937" s="32"/>
    </row>
    <row r="8938" spans="12:12" x14ac:dyDescent="0.25">
      <c r="L8938" s="32"/>
    </row>
    <row r="8939" spans="12:12" x14ac:dyDescent="0.25">
      <c r="L8939" s="32"/>
    </row>
    <row r="8940" spans="12:12" x14ac:dyDescent="0.25">
      <c r="L8940" s="32"/>
    </row>
    <row r="8941" spans="12:12" x14ac:dyDescent="0.25">
      <c r="L8941" s="32"/>
    </row>
    <row r="8942" spans="12:12" x14ac:dyDescent="0.25">
      <c r="L8942" s="32"/>
    </row>
    <row r="8943" spans="12:12" x14ac:dyDescent="0.25">
      <c r="L8943" s="32"/>
    </row>
    <row r="8944" spans="12:12" x14ac:dyDescent="0.25">
      <c r="L8944" s="32"/>
    </row>
    <row r="8945" spans="12:12" x14ac:dyDescent="0.25">
      <c r="L8945" s="32"/>
    </row>
    <row r="8946" spans="12:12" x14ac:dyDescent="0.25">
      <c r="L8946" s="32"/>
    </row>
    <row r="8947" spans="12:12" x14ac:dyDescent="0.25">
      <c r="L8947" s="32"/>
    </row>
    <row r="8948" spans="12:12" x14ac:dyDescent="0.25">
      <c r="L8948" s="32"/>
    </row>
    <row r="8949" spans="12:12" x14ac:dyDescent="0.25">
      <c r="L8949" s="32"/>
    </row>
    <row r="8950" spans="12:12" x14ac:dyDescent="0.25">
      <c r="L8950" s="32"/>
    </row>
    <row r="8951" spans="12:12" x14ac:dyDescent="0.25">
      <c r="L8951" s="32"/>
    </row>
    <row r="8952" spans="12:12" x14ac:dyDescent="0.25">
      <c r="L8952" s="32"/>
    </row>
    <row r="8953" spans="12:12" x14ac:dyDescent="0.25">
      <c r="L8953" s="32"/>
    </row>
    <row r="8954" spans="12:12" x14ac:dyDescent="0.25">
      <c r="L8954" s="32"/>
    </row>
    <row r="8955" spans="12:12" x14ac:dyDescent="0.25">
      <c r="L8955" s="32"/>
    </row>
    <row r="8956" spans="12:12" x14ac:dyDescent="0.25">
      <c r="L8956" s="32"/>
    </row>
    <row r="8957" spans="12:12" x14ac:dyDescent="0.25">
      <c r="L8957" s="32"/>
    </row>
    <row r="8958" spans="12:12" x14ac:dyDescent="0.25">
      <c r="L8958" s="32"/>
    </row>
    <row r="8959" spans="12:12" x14ac:dyDescent="0.25">
      <c r="L8959" s="32"/>
    </row>
    <row r="8960" spans="12:12" x14ac:dyDescent="0.25">
      <c r="L8960" s="32"/>
    </row>
    <row r="8961" spans="12:12" x14ac:dyDescent="0.25">
      <c r="L8961" s="32"/>
    </row>
    <row r="8962" spans="12:12" x14ac:dyDescent="0.25">
      <c r="L8962" s="32"/>
    </row>
    <row r="8963" spans="12:12" x14ac:dyDescent="0.25">
      <c r="L8963" s="32"/>
    </row>
    <row r="8964" spans="12:12" x14ac:dyDescent="0.25">
      <c r="L8964" s="32"/>
    </row>
    <row r="8965" spans="12:12" x14ac:dyDescent="0.25">
      <c r="L8965" s="32"/>
    </row>
    <row r="8966" spans="12:12" x14ac:dyDescent="0.25">
      <c r="L8966" s="32"/>
    </row>
    <row r="8967" spans="12:12" x14ac:dyDescent="0.25">
      <c r="L8967" s="32"/>
    </row>
    <row r="8968" spans="12:12" x14ac:dyDescent="0.25">
      <c r="L8968" s="32"/>
    </row>
    <row r="8969" spans="12:12" x14ac:dyDescent="0.25">
      <c r="L8969" s="32"/>
    </row>
    <row r="8970" spans="12:12" x14ac:dyDescent="0.25">
      <c r="L8970" s="32"/>
    </row>
    <row r="8971" spans="12:12" x14ac:dyDescent="0.25">
      <c r="L8971" s="32"/>
    </row>
    <row r="8972" spans="12:12" x14ac:dyDescent="0.25">
      <c r="L8972" s="32"/>
    </row>
    <row r="8973" spans="12:12" x14ac:dyDescent="0.25">
      <c r="L8973" s="32"/>
    </row>
    <row r="8974" spans="12:12" x14ac:dyDescent="0.25">
      <c r="L8974" s="32"/>
    </row>
    <row r="8975" spans="12:12" x14ac:dyDescent="0.25">
      <c r="L8975" s="32"/>
    </row>
    <row r="8976" spans="12:12" x14ac:dyDescent="0.25">
      <c r="L8976" s="32"/>
    </row>
    <row r="8977" spans="12:12" x14ac:dyDescent="0.25">
      <c r="L8977" s="32"/>
    </row>
    <row r="8978" spans="12:12" x14ac:dyDescent="0.25">
      <c r="L8978" s="32"/>
    </row>
    <row r="8979" spans="12:12" x14ac:dyDescent="0.25">
      <c r="L8979" s="32"/>
    </row>
    <row r="8980" spans="12:12" x14ac:dyDescent="0.25">
      <c r="L8980" s="32"/>
    </row>
    <row r="8981" spans="12:12" x14ac:dyDescent="0.25">
      <c r="L8981" s="32"/>
    </row>
    <row r="8982" spans="12:12" x14ac:dyDescent="0.25">
      <c r="L8982" s="32"/>
    </row>
    <row r="8983" spans="12:12" x14ac:dyDescent="0.25">
      <c r="L8983" s="32"/>
    </row>
    <row r="8984" spans="12:12" x14ac:dyDescent="0.25">
      <c r="L8984" s="32"/>
    </row>
    <row r="8985" spans="12:12" x14ac:dyDescent="0.25">
      <c r="L8985" s="32"/>
    </row>
    <row r="8986" spans="12:12" x14ac:dyDescent="0.25">
      <c r="L8986" s="32"/>
    </row>
    <row r="8987" spans="12:12" x14ac:dyDescent="0.25">
      <c r="L8987" s="32"/>
    </row>
    <row r="8988" spans="12:12" x14ac:dyDescent="0.25">
      <c r="L8988" s="32"/>
    </row>
    <row r="8989" spans="12:12" x14ac:dyDescent="0.25">
      <c r="L8989" s="32"/>
    </row>
    <row r="8990" spans="12:12" x14ac:dyDescent="0.25">
      <c r="L8990" s="32"/>
    </row>
    <row r="8991" spans="12:12" x14ac:dyDescent="0.25">
      <c r="L8991" s="32"/>
    </row>
    <row r="8992" spans="12:12" x14ac:dyDescent="0.25">
      <c r="L8992" s="32"/>
    </row>
    <row r="8993" spans="12:12" x14ac:dyDescent="0.25">
      <c r="L8993" s="32"/>
    </row>
    <row r="8994" spans="12:12" x14ac:dyDescent="0.25">
      <c r="L8994" s="32"/>
    </row>
    <row r="8995" spans="12:12" x14ac:dyDescent="0.25">
      <c r="L8995" s="32"/>
    </row>
    <row r="8996" spans="12:12" x14ac:dyDescent="0.25">
      <c r="L8996" s="32"/>
    </row>
    <row r="8997" spans="12:12" x14ac:dyDescent="0.25">
      <c r="L8997" s="32"/>
    </row>
    <row r="8998" spans="12:12" x14ac:dyDescent="0.25">
      <c r="L8998" s="32"/>
    </row>
    <row r="8999" spans="12:12" x14ac:dyDescent="0.25">
      <c r="L8999" s="32"/>
    </row>
    <row r="9000" spans="12:12" x14ac:dyDescent="0.25">
      <c r="L9000" s="32"/>
    </row>
    <row r="9001" spans="12:12" x14ac:dyDescent="0.25">
      <c r="L9001" s="32"/>
    </row>
    <row r="9002" spans="12:12" x14ac:dyDescent="0.25">
      <c r="L9002" s="32"/>
    </row>
    <row r="9003" spans="12:12" x14ac:dyDescent="0.25">
      <c r="L9003" s="32"/>
    </row>
    <row r="9004" spans="12:12" x14ac:dyDescent="0.25">
      <c r="L9004" s="32"/>
    </row>
    <row r="9005" spans="12:12" x14ac:dyDescent="0.25">
      <c r="L9005" s="32"/>
    </row>
    <row r="9006" spans="12:12" x14ac:dyDescent="0.25">
      <c r="L9006" s="32"/>
    </row>
    <row r="9007" spans="12:12" x14ac:dyDescent="0.25">
      <c r="L9007" s="32"/>
    </row>
    <row r="9008" spans="12:12" x14ac:dyDescent="0.25">
      <c r="L9008" s="32"/>
    </row>
    <row r="9009" spans="12:12" x14ac:dyDescent="0.25">
      <c r="L9009" s="32"/>
    </row>
    <row r="9010" spans="12:12" x14ac:dyDescent="0.25">
      <c r="L9010" s="32"/>
    </row>
    <row r="9011" spans="12:12" x14ac:dyDescent="0.25">
      <c r="L9011" s="32"/>
    </row>
    <row r="9012" spans="12:12" x14ac:dyDescent="0.25">
      <c r="L9012" s="32"/>
    </row>
    <row r="9013" spans="12:12" x14ac:dyDescent="0.25">
      <c r="L9013" s="32"/>
    </row>
    <row r="9014" spans="12:12" x14ac:dyDescent="0.25">
      <c r="L9014" s="32"/>
    </row>
    <row r="9015" spans="12:12" x14ac:dyDescent="0.25">
      <c r="L9015" s="32"/>
    </row>
    <row r="9016" spans="12:12" x14ac:dyDescent="0.25">
      <c r="L9016" s="32"/>
    </row>
    <row r="9017" spans="12:12" x14ac:dyDescent="0.25">
      <c r="L9017" s="32"/>
    </row>
    <row r="9018" spans="12:12" x14ac:dyDescent="0.25">
      <c r="L9018" s="32"/>
    </row>
    <row r="9019" spans="12:12" x14ac:dyDescent="0.25">
      <c r="L9019" s="32"/>
    </row>
    <row r="9020" spans="12:12" x14ac:dyDescent="0.25">
      <c r="L9020" s="32"/>
    </row>
    <row r="9021" spans="12:12" x14ac:dyDescent="0.25">
      <c r="L9021" s="32"/>
    </row>
    <row r="9022" spans="12:12" x14ac:dyDescent="0.25">
      <c r="L9022" s="32"/>
    </row>
    <row r="9023" spans="12:12" x14ac:dyDescent="0.25">
      <c r="L9023" s="32"/>
    </row>
    <row r="9024" spans="12:12" x14ac:dyDescent="0.25">
      <c r="L9024" s="32"/>
    </row>
    <row r="9025" spans="12:12" x14ac:dyDescent="0.25">
      <c r="L9025" s="32"/>
    </row>
    <row r="9026" spans="12:12" x14ac:dyDescent="0.25">
      <c r="L9026" s="32"/>
    </row>
    <row r="9027" spans="12:12" x14ac:dyDescent="0.25">
      <c r="L9027" s="32"/>
    </row>
    <row r="9028" spans="12:12" x14ac:dyDescent="0.25">
      <c r="L9028" s="32"/>
    </row>
    <row r="9029" spans="12:12" x14ac:dyDescent="0.25">
      <c r="L9029" s="32"/>
    </row>
    <row r="9030" spans="12:12" x14ac:dyDescent="0.25">
      <c r="L9030" s="32"/>
    </row>
    <row r="9031" spans="12:12" x14ac:dyDescent="0.25">
      <c r="L9031" s="32"/>
    </row>
    <row r="9032" spans="12:12" x14ac:dyDescent="0.25">
      <c r="L9032" s="32"/>
    </row>
    <row r="9033" spans="12:12" x14ac:dyDescent="0.25">
      <c r="L9033" s="32"/>
    </row>
    <row r="9034" spans="12:12" x14ac:dyDescent="0.25">
      <c r="L9034" s="32"/>
    </row>
    <row r="9035" spans="12:12" x14ac:dyDescent="0.25">
      <c r="L9035" s="32"/>
    </row>
    <row r="9036" spans="12:12" x14ac:dyDescent="0.25">
      <c r="L9036" s="32"/>
    </row>
    <row r="9037" spans="12:12" x14ac:dyDescent="0.25">
      <c r="L9037" s="32"/>
    </row>
    <row r="9038" spans="12:12" x14ac:dyDescent="0.25">
      <c r="L9038" s="32"/>
    </row>
    <row r="9039" spans="12:12" x14ac:dyDescent="0.25">
      <c r="L9039" s="32"/>
    </row>
    <row r="9040" spans="12:12" x14ac:dyDescent="0.25">
      <c r="L9040" s="32"/>
    </row>
    <row r="9041" spans="12:12" x14ac:dyDescent="0.25">
      <c r="L9041" s="32"/>
    </row>
    <row r="9042" spans="12:12" x14ac:dyDescent="0.25">
      <c r="L9042" s="32"/>
    </row>
    <row r="9043" spans="12:12" x14ac:dyDescent="0.25">
      <c r="L9043" s="32"/>
    </row>
    <row r="9044" spans="12:12" x14ac:dyDescent="0.25">
      <c r="L9044" s="32"/>
    </row>
    <row r="9045" spans="12:12" x14ac:dyDescent="0.25">
      <c r="L9045" s="32"/>
    </row>
    <row r="9046" spans="12:12" x14ac:dyDescent="0.25">
      <c r="L9046" s="32"/>
    </row>
    <row r="9047" spans="12:12" x14ac:dyDescent="0.25">
      <c r="L9047" s="32"/>
    </row>
    <row r="9048" spans="12:12" x14ac:dyDescent="0.25">
      <c r="L9048" s="32"/>
    </row>
    <row r="9049" spans="12:12" x14ac:dyDescent="0.25">
      <c r="L9049" s="32"/>
    </row>
    <row r="9050" spans="12:12" x14ac:dyDescent="0.25">
      <c r="L9050" s="32"/>
    </row>
    <row r="9051" spans="12:12" x14ac:dyDescent="0.25">
      <c r="L9051" s="32"/>
    </row>
    <row r="9052" spans="12:12" x14ac:dyDescent="0.25">
      <c r="L9052" s="32"/>
    </row>
    <row r="9053" spans="12:12" x14ac:dyDescent="0.25">
      <c r="L9053" s="32"/>
    </row>
    <row r="9054" spans="12:12" x14ac:dyDescent="0.25">
      <c r="L9054" s="32"/>
    </row>
    <row r="9055" spans="12:12" x14ac:dyDescent="0.25">
      <c r="L9055" s="32"/>
    </row>
    <row r="9056" spans="12:12" x14ac:dyDescent="0.25">
      <c r="L9056" s="32"/>
    </row>
    <row r="9057" spans="12:12" x14ac:dyDescent="0.25">
      <c r="L9057" s="32"/>
    </row>
    <row r="9058" spans="12:12" x14ac:dyDescent="0.25">
      <c r="L9058" s="32"/>
    </row>
    <row r="9059" spans="12:12" x14ac:dyDescent="0.25">
      <c r="L9059" s="32"/>
    </row>
    <row r="9060" spans="12:12" x14ac:dyDescent="0.25">
      <c r="L9060" s="32"/>
    </row>
    <row r="9061" spans="12:12" x14ac:dyDescent="0.25">
      <c r="L9061" s="32"/>
    </row>
    <row r="9062" spans="12:12" x14ac:dyDescent="0.25">
      <c r="L9062" s="32"/>
    </row>
    <row r="9063" spans="12:12" x14ac:dyDescent="0.25">
      <c r="L9063" s="32"/>
    </row>
    <row r="9064" spans="12:12" x14ac:dyDescent="0.25">
      <c r="L9064" s="32"/>
    </row>
    <row r="9065" spans="12:12" x14ac:dyDescent="0.25">
      <c r="L9065" s="32"/>
    </row>
    <row r="9066" spans="12:12" x14ac:dyDescent="0.25">
      <c r="L9066" s="32"/>
    </row>
    <row r="9067" spans="12:12" x14ac:dyDescent="0.25">
      <c r="L9067" s="32"/>
    </row>
    <row r="9068" spans="12:12" x14ac:dyDescent="0.25">
      <c r="L9068" s="32"/>
    </row>
    <row r="9069" spans="12:12" x14ac:dyDescent="0.25">
      <c r="L9069" s="32"/>
    </row>
    <row r="9070" spans="12:12" x14ac:dyDescent="0.25">
      <c r="L9070" s="32"/>
    </row>
    <row r="9071" spans="12:12" x14ac:dyDescent="0.25">
      <c r="L9071" s="32"/>
    </row>
    <row r="9072" spans="12:12" x14ac:dyDescent="0.25">
      <c r="L9072" s="32"/>
    </row>
    <row r="9073" spans="12:12" x14ac:dyDescent="0.25">
      <c r="L9073" s="32"/>
    </row>
    <row r="9074" spans="12:12" x14ac:dyDescent="0.25">
      <c r="L9074" s="32"/>
    </row>
    <row r="9075" spans="12:12" x14ac:dyDescent="0.25">
      <c r="L9075" s="32"/>
    </row>
    <row r="9076" spans="12:12" x14ac:dyDescent="0.25">
      <c r="L9076" s="32"/>
    </row>
    <row r="9077" spans="12:12" x14ac:dyDescent="0.25">
      <c r="L9077" s="32"/>
    </row>
    <row r="9078" spans="12:12" x14ac:dyDescent="0.25">
      <c r="L9078" s="32"/>
    </row>
    <row r="9079" spans="12:12" x14ac:dyDescent="0.25">
      <c r="L9079" s="32"/>
    </row>
    <row r="9080" spans="12:12" x14ac:dyDescent="0.25">
      <c r="L9080" s="32"/>
    </row>
    <row r="9081" spans="12:12" x14ac:dyDescent="0.25">
      <c r="L9081" s="32"/>
    </row>
    <row r="9082" spans="12:12" x14ac:dyDescent="0.25">
      <c r="L9082" s="32"/>
    </row>
    <row r="9083" spans="12:12" x14ac:dyDescent="0.25">
      <c r="L9083" s="32"/>
    </row>
    <row r="9084" spans="12:12" x14ac:dyDescent="0.25">
      <c r="L9084" s="32"/>
    </row>
    <row r="9085" spans="12:12" x14ac:dyDescent="0.25">
      <c r="L9085" s="32"/>
    </row>
    <row r="9086" spans="12:12" x14ac:dyDescent="0.25">
      <c r="L9086" s="32"/>
    </row>
    <row r="9087" spans="12:12" x14ac:dyDescent="0.25">
      <c r="L9087" s="32"/>
    </row>
    <row r="9088" spans="12:12" x14ac:dyDescent="0.25">
      <c r="L9088" s="32"/>
    </row>
    <row r="9089" spans="12:12" x14ac:dyDescent="0.25">
      <c r="L9089" s="32"/>
    </row>
    <row r="9090" spans="12:12" x14ac:dyDescent="0.25">
      <c r="L9090" s="32"/>
    </row>
    <row r="9091" spans="12:12" x14ac:dyDescent="0.25">
      <c r="L9091" s="32"/>
    </row>
    <row r="9092" spans="12:12" x14ac:dyDescent="0.25">
      <c r="L9092" s="32"/>
    </row>
    <row r="9093" spans="12:12" x14ac:dyDescent="0.25">
      <c r="L9093" s="32"/>
    </row>
    <row r="9094" spans="12:12" x14ac:dyDescent="0.25">
      <c r="L9094" s="32"/>
    </row>
    <row r="9095" spans="12:12" x14ac:dyDescent="0.25">
      <c r="L9095" s="32"/>
    </row>
    <row r="9096" spans="12:12" x14ac:dyDescent="0.25">
      <c r="L9096" s="32"/>
    </row>
    <row r="9097" spans="12:12" x14ac:dyDescent="0.25">
      <c r="L9097" s="32"/>
    </row>
    <row r="9098" spans="12:12" x14ac:dyDescent="0.25">
      <c r="L9098" s="32"/>
    </row>
    <row r="9099" spans="12:12" x14ac:dyDescent="0.25">
      <c r="L9099" s="32"/>
    </row>
    <row r="9100" spans="12:12" x14ac:dyDescent="0.25">
      <c r="L9100" s="32"/>
    </row>
    <row r="9101" spans="12:12" x14ac:dyDescent="0.25">
      <c r="L9101" s="32"/>
    </row>
    <row r="9102" spans="12:12" x14ac:dyDescent="0.25">
      <c r="L9102" s="32"/>
    </row>
    <row r="9103" spans="12:12" x14ac:dyDescent="0.25">
      <c r="L9103" s="32"/>
    </row>
    <row r="9104" spans="12:12" x14ac:dyDescent="0.25">
      <c r="L9104" s="32"/>
    </row>
    <row r="9105" spans="12:12" x14ac:dyDescent="0.25">
      <c r="L9105" s="32"/>
    </row>
    <row r="9106" spans="12:12" x14ac:dyDescent="0.25">
      <c r="L9106" s="32"/>
    </row>
    <row r="9107" spans="12:12" x14ac:dyDescent="0.25">
      <c r="L9107" s="32"/>
    </row>
    <row r="9108" spans="12:12" x14ac:dyDescent="0.25">
      <c r="L9108" s="32"/>
    </row>
    <row r="9109" spans="12:12" x14ac:dyDescent="0.25">
      <c r="L9109" s="32"/>
    </row>
    <row r="9110" spans="12:12" x14ac:dyDescent="0.25">
      <c r="L9110" s="32"/>
    </row>
    <row r="9111" spans="12:12" x14ac:dyDescent="0.25">
      <c r="L9111" s="32"/>
    </row>
    <row r="9112" spans="12:12" x14ac:dyDescent="0.25">
      <c r="L9112" s="32"/>
    </row>
    <row r="9113" spans="12:12" x14ac:dyDescent="0.25">
      <c r="L9113" s="32"/>
    </row>
    <row r="9114" spans="12:12" x14ac:dyDescent="0.25">
      <c r="L9114" s="32"/>
    </row>
    <row r="9115" spans="12:12" x14ac:dyDescent="0.25">
      <c r="L9115" s="32"/>
    </row>
    <row r="9116" spans="12:12" x14ac:dyDescent="0.25">
      <c r="L9116" s="32"/>
    </row>
    <row r="9117" spans="12:12" x14ac:dyDescent="0.25">
      <c r="L9117" s="32"/>
    </row>
    <row r="9118" spans="12:12" x14ac:dyDescent="0.25">
      <c r="L9118" s="32"/>
    </row>
    <row r="9119" spans="12:12" x14ac:dyDescent="0.25">
      <c r="L9119" s="32"/>
    </row>
    <row r="9120" spans="12:12" x14ac:dyDescent="0.25">
      <c r="L9120" s="32"/>
    </row>
    <row r="9121" spans="12:12" x14ac:dyDescent="0.25">
      <c r="L9121" s="32"/>
    </row>
    <row r="9122" spans="12:12" x14ac:dyDescent="0.25">
      <c r="L9122" s="32"/>
    </row>
    <row r="9123" spans="12:12" x14ac:dyDescent="0.25">
      <c r="L9123" s="32"/>
    </row>
    <row r="9124" spans="12:12" x14ac:dyDescent="0.25">
      <c r="L9124" s="32"/>
    </row>
    <row r="9125" spans="12:12" x14ac:dyDescent="0.25">
      <c r="L9125" s="32"/>
    </row>
    <row r="9126" spans="12:12" x14ac:dyDescent="0.25">
      <c r="L9126" s="32"/>
    </row>
    <row r="9127" spans="12:12" x14ac:dyDescent="0.25">
      <c r="L9127" s="32"/>
    </row>
    <row r="9128" spans="12:12" x14ac:dyDescent="0.25">
      <c r="L9128" s="32"/>
    </row>
    <row r="9129" spans="12:12" x14ac:dyDescent="0.25">
      <c r="L9129" s="32"/>
    </row>
    <row r="9130" spans="12:12" x14ac:dyDescent="0.25">
      <c r="L9130" s="32"/>
    </row>
    <row r="9131" spans="12:12" x14ac:dyDescent="0.25">
      <c r="L9131" s="32"/>
    </row>
    <row r="9132" spans="12:12" x14ac:dyDescent="0.25">
      <c r="L9132" s="32"/>
    </row>
    <row r="9133" spans="12:12" x14ac:dyDescent="0.25">
      <c r="L9133" s="32"/>
    </row>
    <row r="9134" spans="12:12" x14ac:dyDescent="0.25">
      <c r="L9134" s="32"/>
    </row>
    <row r="9135" spans="12:12" x14ac:dyDescent="0.25">
      <c r="L9135" s="32"/>
    </row>
    <row r="9136" spans="12:12" x14ac:dyDescent="0.25">
      <c r="L9136" s="32"/>
    </row>
    <row r="9137" spans="12:12" x14ac:dyDescent="0.25">
      <c r="L9137" s="32"/>
    </row>
    <row r="9138" spans="12:12" x14ac:dyDescent="0.25">
      <c r="L9138" s="32"/>
    </row>
    <row r="9139" spans="12:12" x14ac:dyDescent="0.25">
      <c r="L9139" s="32"/>
    </row>
    <row r="9140" spans="12:12" x14ac:dyDescent="0.25">
      <c r="L9140" s="32"/>
    </row>
    <row r="9141" spans="12:12" x14ac:dyDescent="0.25">
      <c r="L9141" s="32"/>
    </row>
    <row r="9142" spans="12:12" x14ac:dyDescent="0.25">
      <c r="L9142" s="32"/>
    </row>
    <row r="9143" spans="12:12" x14ac:dyDescent="0.25">
      <c r="L9143" s="32"/>
    </row>
    <row r="9144" spans="12:12" x14ac:dyDescent="0.25">
      <c r="L9144" s="32"/>
    </row>
    <row r="9145" spans="12:12" x14ac:dyDescent="0.25">
      <c r="L9145" s="32"/>
    </row>
    <row r="9146" spans="12:12" x14ac:dyDescent="0.25">
      <c r="L9146" s="32"/>
    </row>
    <row r="9147" spans="12:12" x14ac:dyDescent="0.25">
      <c r="L9147" s="32"/>
    </row>
    <row r="9148" spans="12:12" x14ac:dyDescent="0.25">
      <c r="L9148" s="32"/>
    </row>
    <row r="9149" spans="12:12" x14ac:dyDescent="0.25">
      <c r="L9149" s="32"/>
    </row>
    <row r="9150" spans="12:12" x14ac:dyDescent="0.25">
      <c r="L9150" s="32"/>
    </row>
    <row r="9151" spans="12:12" x14ac:dyDescent="0.25">
      <c r="L9151" s="32"/>
    </row>
    <row r="9152" spans="12:12" x14ac:dyDescent="0.25">
      <c r="L9152" s="32"/>
    </row>
    <row r="9153" spans="12:12" x14ac:dyDescent="0.25">
      <c r="L9153" s="32"/>
    </row>
    <row r="9154" spans="12:12" x14ac:dyDescent="0.25">
      <c r="L9154" s="32"/>
    </row>
    <row r="9155" spans="12:12" x14ac:dyDescent="0.25">
      <c r="L9155" s="32"/>
    </row>
    <row r="9156" spans="12:12" x14ac:dyDescent="0.25">
      <c r="L9156" s="32"/>
    </row>
    <row r="9157" spans="12:12" x14ac:dyDescent="0.25">
      <c r="L9157" s="32"/>
    </row>
    <row r="9158" spans="12:12" x14ac:dyDescent="0.25">
      <c r="L9158" s="32"/>
    </row>
    <row r="9159" spans="12:12" x14ac:dyDescent="0.25">
      <c r="L9159" s="32"/>
    </row>
    <row r="9160" spans="12:12" x14ac:dyDescent="0.25">
      <c r="L9160" s="32"/>
    </row>
    <row r="9161" spans="12:12" x14ac:dyDescent="0.25">
      <c r="L9161" s="32"/>
    </row>
    <row r="9162" spans="12:12" x14ac:dyDescent="0.25">
      <c r="L9162" s="32"/>
    </row>
    <row r="9163" spans="12:12" x14ac:dyDescent="0.25">
      <c r="L9163" s="32"/>
    </row>
    <row r="9164" spans="12:12" x14ac:dyDescent="0.25">
      <c r="L9164" s="32"/>
    </row>
    <row r="9165" spans="12:12" x14ac:dyDescent="0.25">
      <c r="L9165" s="32"/>
    </row>
    <row r="9166" spans="12:12" x14ac:dyDescent="0.25">
      <c r="L9166" s="32"/>
    </row>
    <row r="9167" spans="12:12" x14ac:dyDescent="0.25">
      <c r="L9167" s="32"/>
    </row>
    <row r="9168" spans="12:12" x14ac:dyDescent="0.25">
      <c r="L9168" s="32"/>
    </row>
    <row r="9169" spans="12:12" x14ac:dyDescent="0.25">
      <c r="L9169" s="32"/>
    </row>
    <row r="9170" spans="12:12" x14ac:dyDescent="0.25">
      <c r="L9170" s="32"/>
    </row>
    <row r="9171" spans="12:12" x14ac:dyDescent="0.25">
      <c r="L9171" s="32"/>
    </row>
    <row r="9172" spans="12:12" x14ac:dyDescent="0.25">
      <c r="L9172" s="32"/>
    </row>
    <row r="9173" spans="12:12" x14ac:dyDescent="0.25">
      <c r="L9173" s="32"/>
    </row>
    <row r="9174" spans="12:12" x14ac:dyDescent="0.25">
      <c r="L9174" s="32"/>
    </row>
    <row r="9175" spans="12:12" x14ac:dyDescent="0.25">
      <c r="L9175" s="32"/>
    </row>
    <row r="9176" spans="12:12" x14ac:dyDescent="0.25">
      <c r="L9176" s="32"/>
    </row>
    <row r="9177" spans="12:12" x14ac:dyDescent="0.25">
      <c r="L9177" s="32"/>
    </row>
    <row r="9178" spans="12:12" x14ac:dyDescent="0.25">
      <c r="L9178" s="32"/>
    </row>
    <row r="9179" spans="12:12" x14ac:dyDescent="0.25">
      <c r="L9179" s="32"/>
    </row>
    <row r="9180" spans="12:12" x14ac:dyDescent="0.25">
      <c r="L9180" s="32"/>
    </row>
    <row r="9181" spans="12:12" x14ac:dyDescent="0.25">
      <c r="L9181" s="32"/>
    </row>
    <row r="9182" spans="12:12" x14ac:dyDescent="0.25">
      <c r="L9182" s="32"/>
    </row>
    <row r="9183" spans="12:12" x14ac:dyDescent="0.25">
      <c r="L9183" s="32"/>
    </row>
    <row r="9184" spans="12:12" x14ac:dyDescent="0.25">
      <c r="L9184" s="32"/>
    </row>
    <row r="9185" spans="12:12" x14ac:dyDescent="0.25">
      <c r="L9185" s="32"/>
    </row>
    <row r="9186" spans="12:12" x14ac:dyDescent="0.25">
      <c r="L9186" s="32"/>
    </row>
    <row r="9187" spans="12:12" x14ac:dyDescent="0.25">
      <c r="L9187" s="32"/>
    </row>
    <row r="9188" spans="12:12" x14ac:dyDescent="0.25">
      <c r="L9188" s="32"/>
    </row>
    <row r="9189" spans="12:12" x14ac:dyDescent="0.25">
      <c r="L9189" s="32"/>
    </row>
    <row r="9190" spans="12:12" x14ac:dyDescent="0.25">
      <c r="L9190" s="32"/>
    </row>
    <row r="9191" spans="12:12" x14ac:dyDescent="0.25">
      <c r="L9191" s="32"/>
    </row>
    <row r="9192" spans="12:12" x14ac:dyDescent="0.25">
      <c r="L9192" s="32"/>
    </row>
    <row r="9193" spans="12:12" x14ac:dyDescent="0.25">
      <c r="L9193" s="32"/>
    </row>
    <row r="9194" spans="12:12" x14ac:dyDescent="0.25">
      <c r="L9194" s="32"/>
    </row>
    <row r="9195" spans="12:12" x14ac:dyDescent="0.25">
      <c r="L9195" s="32"/>
    </row>
    <row r="9196" spans="12:12" x14ac:dyDescent="0.25">
      <c r="L9196" s="32"/>
    </row>
    <row r="9197" spans="12:12" x14ac:dyDescent="0.25">
      <c r="L9197" s="32"/>
    </row>
    <row r="9198" spans="12:12" x14ac:dyDescent="0.25">
      <c r="L9198" s="32"/>
    </row>
    <row r="9199" spans="12:12" x14ac:dyDescent="0.25">
      <c r="L9199" s="32"/>
    </row>
    <row r="9200" spans="12:12" x14ac:dyDescent="0.25">
      <c r="L9200" s="32"/>
    </row>
    <row r="9201" spans="12:12" x14ac:dyDescent="0.25">
      <c r="L9201" s="32"/>
    </row>
    <row r="9202" spans="12:12" x14ac:dyDescent="0.25">
      <c r="L9202" s="32"/>
    </row>
    <row r="9203" spans="12:12" x14ac:dyDescent="0.25">
      <c r="L9203" s="32"/>
    </row>
    <row r="9204" spans="12:12" x14ac:dyDescent="0.25">
      <c r="L9204" s="32"/>
    </row>
    <row r="9205" spans="12:12" x14ac:dyDescent="0.25">
      <c r="L9205" s="32"/>
    </row>
    <row r="9206" spans="12:12" x14ac:dyDescent="0.25">
      <c r="L9206" s="32"/>
    </row>
    <row r="9207" spans="12:12" x14ac:dyDescent="0.25">
      <c r="L9207" s="32"/>
    </row>
    <row r="9208" spans="12:12" x14ac:dyDescent="0.25">
      <c r="L9208" s="32"/>
    </row>
    <row r="9209" spans="12:12" x14ac:dyDescent="0.25">
      <c r="L9209" s="32"/>
    </row>
    <row r="9210" spans="12:12" x14ac:dyDescent="0.25">
      <c r="L9210" s="32"/>
    </row>
    <row r="9211" spans="12:12" x14ac:dyDescent="0.25">
      <c r="L9211" s="32"/>
    </row>
    <row r="9212" spans="12:12" x14ac:dyDescent="0.25">
      <c r="L9212" s="32"/>
    </row>
    <row r="9213" spans="12:12" x14ac:dyDescent="0.25">
      <c r="L9213" s="32"/>
    </row>
    <row r="9214" spans="12:12" x14ac:dyDescent="0.25">
      <c r="L9214" s="32"/>
    </row>
    <row r="9215" spans="12:12" x14ac:dyDescent="0.25">
      <c r="L9215" s="32"/>
    </row>
    <row r="9216" spans="12:12" x14ac:dyDescent="0.25">
      <c r="L9216" s="32"/>
    </row>
    <row r="9217" spans="12:12" x14ac:dyDescent="0.25">
      <c r="L9217" s="32"/>
    </row>
    <row r="9218" spans="12:12" x14ac:dyDescent="0.25">
      <c r="L9218" s="32"/>
    </row>
    <row r="9219" spans="12:12" x14ac:dyDescent="0.25">
      <c r="L9219" s="32"/>
    </row>
    <row r="9220" spans="12:12" x14ac:dyDescent="0.25">
      <c r="L9220" s="32"/>
    </row>
    <row r="9221" spans="12:12" x14ac:dyDescent="0.25">
      <c r="L9221" s="32"/>
    </row>
    <row r="9222" spans="12:12" x14ac:dyDescent="0.25">
      <c r="L9222" s="32"/>
    </row>
    <row r="9223" spans="12:12" x14ac:dyDescent="0.25">
      <c r="L9223" s="32"/>
    </row>
    <row r="9224" spans="12:12" x14ac:dyDescent="0.25">
      <c r="L9224" s="32"/>
    </row>
    <row r="9225" spans="12:12" x14ac:dyDescent="0.25">
      <c r="L9225" s="32"/>
    </row>
    <row r="9226" spans="12:12" x14ac:dyDescent="0.25">
      <c r="L9226" s="32"/>
    </row>
    <row r="9227" spans="12:12" x14ac:dyDescent="0.25">
      <c r="L9227" s="32"/>
    </row>
    <row r="9228" spans="12:12" x14ac:dyDescent="0.25">
      <c r="L9228" s="32"/>
    </row>
    <row r="9229" spans="12:12" x14ac:dyDescent="0.25">
      <c r="L9229" s="32"/>
    </row>
    <row r="9230" spans="12:12" x14ac:dyDescent="0.25">
      <c r="L9230" s="32"/>
    </row>
    <row r="9231" spans="12:12" x14ac:dyDescent="0.25">
      <c r="L9231" s="32"/>
    </row>
    <row r="9232" spans="12:12" x14ac:dyDescent="0.25">
      <c r="L9232" s="32"/>
    </row>
    <row r="9233" spans="12:12" x14ac:dyDescent="0.25">
      <c r="L9233" s="32"/>
    </row>
    <row r="9234" spans="12:12" x14ac:dyDescent="0.25">
      <c r="L9234" s="32"/>
    </row>
    <row r="9235" spans="12:12" x14ac:dyDescent="0.25">
      <c r="L9235" s="32"/>
    </row>
    <row r="9236" spans="12:12" x14ac:dyDescent="0.25">
      <c r="L9236" s="32"/>
    </row>
    <row r="9237" spans="12:12" x14ac:dyDescent="0.25">
      <c r="L9237" s="32"/>
    </row>
    <row r="9238" spans="12:12" x14ac:dyDescent="0.25">
      <c r="L9238" s="32"/>
    </row>
    <row r="9239" spans="12:12" x14ac:dyDescent="0.25">
      <c r="L9239" s="32"/>
    </row>
    <row r="9240" spans="12:12" x14ac:dyDescent="0.25">
      <c r="L9240" s="32"/>
    </row>
    <row r="9241" spans="12:12" x14ac:dyDescent="0.25">
      <c r="L9241" s="32"/>
    </row>
    <row r="9242" spans="12:12" x14ac:dyDescent="0.25">
      <c r="L9242" s="32"/>
    </row>
    <row r="9243" spans="12:12" x14ac:dyDescent="0.25">
      <c r="L9243" s="32"/>
    </row>
    <row r="9244" spans="12:12" x14ac:dyDescent="0.25">
      <c r="L9244" s="32"/>
    </row>
    <row r="9245" spans="12:12" x14ac:dyDescent="0.25">
      <c r="L9245" s="32"/>
    </row>
    <row r="9246" spans="12:12" x14ac:dyDescent="0.25">
      <c r="L9246" s="32"/>
    </row>
    <row r="9247" spans="12:12" x14ac:dyDescent="0.25">
      <c r="L9247" s="32"/>
    </row>
    <row r="9248" spans="12:12" x14ac:dyDescent="0.25">
      <c r="L9248" s="32"/>
    </row>
    <row r="9249" spans="12:12" x14ac:dyDescent="0.25">
      <c r="L9249" s="32"/>
    </row>
    <row r="9250" spans="12:12" x14ac:dyDescent="0.25">
      <c r="L9250" s="32"/>
    </row>
    <row r="9251" spans="12:12" x14ac:dyDescent="0.25">
      <c r="L9251" s="32"/>
    </row>
    <row r="9252" spans="12:12" x14ac:dyDescent="0.25">
      <c r="L9252" s="32"/>
    </row>
    <row r="9253" spans="12:12" x14ac:dyDescent="0.25">
      <c r="L9253" s="32"/>
    </row>
    <row r="9254" spans="12:12" x14ac:dyDescent="0.25">
      <c r="L9254" s="32"/>
    </row>
    <row r="9255" spans="12:12" x14ac:dyDescent="0.25">
      <c r="L9255" s="32"/>
    </row>
    <row r="9256" spans="12:12" x14ac:dyDescent="0.25">
      <c r="L9256" s="32"/>
    </row>
    <row r="9257" spans="12:12" x14ac:dyDescent="0.25">
      <c r="L9257" s="32"/>
    </row>
    <row r="9258" spans="12:12" x14ac:dyDescent="0.25">
      <c r="L9258" s="32"/>
    </row>
    <row r="9259" spans="12:12" x14ac:dyDescent="0.25">
      <c r="L9259" s="32"/>
    </row>
    <row r="9260" spans="12:12" x14ac:dyDescent="0.25">
      <c r="L9260" s="32"/>
    </row>
    <row r="9261" spans="12:12" x14ac:dyDescent="0.25">
      <c r="L9261" s="32"/>
    </row>
    <row r="9262" spans="12:12" x14ac:dyDescent="0.25">
      <c r="L9262" s="32"/>
    </row>
    <row r="9263" spans="12:12" x14ac:dyDescent="0.25">
      <c r="L9263" s="32"/>
    </row>
    <row r="9264" spans="12:12" x14ac:dyDescent="0.25">
      <c r="L9264" s="32"/>
    </row>
    <row r="9265" spans="12:12" x14ac:dyDescent="0.25">
      <c r="L9265" s="32"/>
    </row>
    <row r="9266" spans="12:12" x14ac:dyDescent="0.25">
      <c r="L9266" s="32"/>
    </row>
    <row r="9267" spans="12:12" x14ac:dyDescent="0.25">
      <c r="L9267" s="32"/>
    </row>
    <row r="9268" spans="12:12" x14ac:dyDescent="0.25">
      <c r="L9268" s="32"/>
    </row>
    <row r="9269" spans="12:12" x14ac:dyDescent="0.25">
      <c r="L9269" s="32"/>
    </row>
    <row r="9270" spans="12:12" x14ac:dyDescent="0.25">
      <c r="L9270" s="32"/>
    </row>
    <row r="9271" spans="12:12" x14ac:dyDescent="0.25">
      <c r="L9271" s="32"/>
    </row>
    <row r="9272" spans="12:12" x14ac:dyDescent="0.25">
      <c r="L9272" s="32"/>
    </row>
    <row r="9273" spans="12:12" x14ac:dyDescent="0.25">
      <c r="L9273" s="32"/>
    </row>
    <row r="9274" spans="12:12" x14ac:dyDescent="0.25">
      <c r="L9274" s="32"/>
    </row>
    <row r="9275" spans="12:12" x14ac:dyDescent="0.25">
      <c r="L9275" s="32"/>
    </row>
    <row r="9276" spans="12:12" x14ac:dyDescent="0.25">
      <c r="L9276" s="32"/>
    </row>
    <row r="9277" spans="12:12" x14ac:dyDescent="0.25">
      <c r="L9277" s="32"/>
    </row>
    <row r="9278" spans="12:12" x14ac:dyDescent="0.25">
      <c r="L9278" s="32"/>
    </row>
    <row r="9279" spans="12:12" x14ac:dyDescent="0.25">
      <c r="L9279" s="32"/>
    </row>
    <row r="9280" spans="12:12" x14ac:dyDescent="0.25">
      <c r="L9280" s="32"/>
    </row>
    <row r="9281" spans="12:12" x14ac:dyDescent="0.25">
      <c r="L9281" s="32"/>
    </row>
    <row r="9282" spans="12:12" x14ac:dyDescent="0.25">
      <c r="L9282" s="32"/>
    </row>
    <row r="9283" spans="12:12" x14ac:dyDescent="0.25">
      <c r="L9283" s="32"/>
    </row>
    <row r="9284" spans="12:12" x14ac:dyDescent="0.25">
      <c r="L9284" s="32"/>
    </row>
    <row r="9285" spans="12:12" x14ac:dyDescent="0.25">
      <c r="L9285" s="32"/>
    </row>
    <row r="9286" spans="12:12" x14ac:dyDescent="0.25">
      <c r="L9286" s="32"/>
    </row>
    <row r="9287" spans="12:12" x14ac:dyDescent="0.25">
      <c r="L9287" s="32"/>
    </row>
    <row r="9288" spans="12:12" x14ac:dyDescent="0.25">
      <c r="L9288" s="32"/>
    </row>
    <row r="9289" spans="12:12" x14ac:dyDescent="0.25">
      <c r="L9289" s="32"/>
    </row>
    <row r="9290" spans="12:12" x14ac:dyDescent="0.25">
      <c r="L9290" s="32"/>
    </row>
    <row r="9291" spans="12:12" x14ac:dyDescent="0.25">
      <c r="L9291" s="32"/>
    </row>
    <row r="9292" spans="12:12" x14ac:dyDescent="0.25">
      <c r="L9292" s="32"/>
    </row>
    <row r="9293" spans="12:12" x14ac:dyDescent="0.25">
      <c r="L9293" s="32"/>
    </row>
    <row r="9294" spans="12:12" x14ac:dyDescent="0.25">
      <c r="L9294" s="32"/>
    </row>
    <row r="9295" spans="12:12" x14ac:dyDescent="0.25">
      <c r="L9295" s="32"/>
    </row>
    <row r="9296" spans="12:12" x14ac:dyDescent="0.25">
      <c r="L9296" s="32"/>
    </row>
    <row r="9297" spans="12:12" x14ac:dyDescent="0.25">
      <c r="L9297" s="32"/>
    </row>
    <row r="9298" spans="12:12" x14ac:dyDescent="0.25">
      <c r="L9298" s="32"/>
    </row>
    <row r="9299" spans="12:12" x14ac:dyDescent="0.25">
      <c r="L9299" s="32"/>
    </row>
    <row r="9300" spans="12:12" x14ac:dyDescent="0.25">
      <c r="L9300" s="32"/>
    </row>
    <row r="9301" spans="12:12" x14ac:dyDescent="0.25">
      <c r="L9301" s="32"/>
    </row>
    <row r="9302" spans="12:12" x14ac:dyDescent="0.25">
      <c r="L9302" s="32"/>
    </row>
    <row r="9303" spans="12:12" x14ac:dyDescent="0.25">
      <c r="L9303" s="32"/>
    </row>
    <row r="9304" spans="12:12" x14ac:dyDescent="0.25">
      <c r="L9304" s="32"/>
    </row>
    <row r="9305" spans="12:12" x14ac:dyDescent="0.25">
      <c r="L9305" s="32"/>
    </row>
    <row r="9306" spans="12:12" x14ac:dyDescent="0.25">
      <c r="L9306" s="32"/>
    </row>
    <row r="9307" spans="12:12" x14ac:dyDescent="0.25">
      <c r="L9307" s="32"/>
    </row>
    <row r="9308" spans="12:12" x14ac:dyDescent="0.25">
      <c r="L9308" s="32"/>
    </row>
    <row r="9309" spans="12:12" x14ac:dyDescent="0.25">
      <c r="L9309" s="32"/>
    </row>
    <row r="9310" spans="12:12" x14ac:dyDescent="0.25">
      <c r="L9310" s="32"/>
    </row>
    <row r="9311" spans="12:12" x14ac:dyDescent="0.25">
      <c r="L9311" s="32"/>
    </row>
    <row r="9312" spans="12:12" x14ac:dyDescent="0.25">
      <c r="L9312" s="32"/>
    </row>
    <row r="9313" spans="12:12" x14ac:dyDescent="0.25">
      <c r="L9313" s="32"/>
    </row>
    <row r="9314" spans="12:12" x14ac:dyDescent="0.25">
      <c r="L9314" s="32"/>
    </row>
    <row r="9315" spans="12:12" x14ac:dyDescent="0.25">
      <c r="L9315" s="32"/>
    </row>
    <row r="9316" spans="12:12" x14ac:dyDescent="0.25">
      <c r="L9316" s="32"/>
    </row>
    <row r="9317" spans="12:12" x14ac:dyDescent="0.25">
      <c r="L9317" s="32"/>
    </row>
    <row r="9318" spans="12:12" x14ac:dyDescent="0.25">
      <c r="L9318" s="32"/>
    </row>
    <row r="9319" spans="12:12" x14ac:dyDescent="0.25">
      <c r="L9319" s="32"/>
    </row>
    <row r="9320" spans="12:12" x14ac:dyDescent="0.25">
      <c r="L9320" s="32"/>
    </row>
    <row r="9321" spans="12:12" x14ac:dyDescent="0.25">
      <c r="L9321" s="32"/>
    </row>
    <row r="9322" spans="12:12" x14ac:dyDescent="0.25">
      <c r="L9322" s="32"/>
    </row>
    <row r="9323" spans="12:12" x14ac:dyDescent="0.25">
      <c r="L9323" s="32"/>
    </row>
    <row r="9324" spans="12:12" x14ac:dyDescent="0.25">
      <c r="L9324" s="32"/>
    </row>
    <row r="9325" spans="12:12" x14ac:dyDescent="0.25">
      <c r="L9325" s="32"/>
    </row>
    <row r="9326" spans="12:12" x14ac:dyDescent="0.25">
      <c r="L9326" s="32"/>
    </row>
    <row r="9327" spans="12:12" x14ac:dyDescent="0.25">
      <c r="L9327" s="32"/>
    </row>
    <row r="9328" spans="12:12" x14ac:dyDescent="0.25">
      <c r="L9328" s="32"/>
    </row>
    <row r="9329" spans="12:12" x14ac:dyDescent="0.25">
      <c r="L9329" s="32"/>
    </row>
    <row r="9330" spans="12:12" x14ac:dyDescent="0.25">
      <c r="L9330" s="32"/>
    </row>
    <row r="9331" spans="12:12" x14ac:dyDescent="0.25">
      <c r="L9331" s="32"/>
    </row>
    <row r="9332" spans="12:12" x14ac:dyDescent="0.25">
      <c r="L9332" s="32"/>
    </row>
    <row r="9333" spans="12:12" x14ac:dyDescent="0.25">
      <c r="L9333" s="32"/>
    </row>
    <row r="9334" spans="12:12" x14ac:dyDescent="0.25">
      <c r="L9334" s="32"/>
    </row>
    <row r="9335" spans="12:12" x14ac:dyDescent="0.25">
      <c r="L9335" s="32"/>
    </row>
    <row r="9336" spans="12:12" x14ac:dyDescent="0.25">
      <c r="L9336" s="32"/>
    </row>
    <row r="9337" spans="12:12" x14ac:dyDescent="0.25">
      <c r="L9337" s="32"/>
    </row>
    <row r="9338" spans="12:12" x14ac:dyDescent="0.25">
      <c r="L9338" s="32"/>
    </row>
    <row r="9339" spans="12:12" x14ac:dyDescent="0.25">
      <c r="L9339" s="32"/>
    </row>
    <row r="9340" spans="12:12" x14ac:dyDescent="0.25">
      <c r="L9340" s="32"/>
    </row>
    <row r="9341" spans="12:12" x14ac:dyDescent="0.25">
      <c r="L9341" s="32"/>
    </row>
    <row r="9342" spans="12:12" x14ac:dyDescent="0.25">
      <c r="L9342" s="32"/>
    </row>
    <row r="9343" spans="12:12" x14ac:dyDescent="0.25">
      <c r="L9343" s="32"/>
    </row>
    <row r="9344" spans="12:12" x14ac:dyDescent="0.25">
      <c r="L9344" s="32"/>
    </row>
    <row r="9345" spans="12:12" x14ac:dyDescent="0.25">
      <c r="L9345" s="32"/>
    </row>
    <row r="9346" spans="12:12" x14ac:dyDescent="0.25">
      <c r="L9346" s="32"/>
    </row>
    <row r="9347" spans="12:12" x14ac:dyDescent="0.25">
      <c r="L9347" s="32"/>
    </row>
    <row r="9348" spans="12:12" x14ac:dyDescent="0.25">
      <c r="L9348" s="32"/>
    </row>
    <row r="9349" spans="12:12" x14ac:dyDescent="0.25">
      <c r="L9349" s="32"/>
    </row>
    <row r="9350" spans="12:12" x14ac:dyDescent="0.25">
      <c r="L9350" s="32"/>
    </row>
    <row r="9351" spans="12:12" x14ac:dyDescent="0.25">
      <c r="L9351" s="32"/>
    </row>
    <row r="9352" spans="12:12" x14ac:dyDescent="0.25">
      <c r="L9352" s="32"/>
    </row>
    <row r="9353" spans="12:12" x14ac:dyDescent="0.25">
      <c r="L9353" s="32"/>
    </row>
    <row r="9354" spans="12:12" x14ac:dyDescent="0.25">
      <c r="L9354" s="32"/>
    </row>
    <row r="9355" spans="12:12" x14ac:dyDescent="0.25">
      <c r="L9355" s="32"/>
    </row>
    <row r="9356" spans="12:12" x14ac:dyDescent="0.25">
      <c r="L9356" s="32"/>
    </row>
    <row r="9357" spans="12:12" x14ac:dyDescent="0.25">
      <c r="L9357" s="32"/>
    </row>
    <row r="9358" spans="12:12" x14ac:dyDescent="0.25">
      <c r="L9358" s="32"/>
    </row>
    <row r="9359" spans="12:12" x14ac:dyDescent="0.25">
      <c r="L9359" s="32"/>
    </row>
    <row r="9360" spans="12:12" x14ac:dyDescent="0.25">
      <c r="L9360" s="32"/>
    </row>
    <row r="9361" spans="12:12" x14ac:dyDescent="0.25">
      <c r="L9361" s="32"/>
    </row>
    <row r="9362" spans="12:12" x14ac:dyDescent="0.25">
      <c r="L9362" s="32"/>
    </row>
    <row r="9363" spans="12:12" x14ac:dyDescent="0.25">
      <c r="L9363" s="32"/>
    </row>
    <row r="9364" spans="12:12" x14ac:dyDescent="0.25">
      <c r="L9364" s="32"/>
    </row>
    <row r="9365" spans="12:12" x14ac:dyDescent="0.25">
      <c r="L9365" s="32"/>
    </row>
    <row r="9366" spans="12:12" x14ac:dyDescent="0.25">
      <c r="L9366" s="32"/>
    </row>
    <row r="9367" spans="12:12" x14ac:dyDescent="0.25">
      <c r="L9367" s="32"/>
    </row>
    <row r="9368" spans="12:12" x14ac:dyDescent="0.25">
      <c r="L9368" s="32"/>
    </row>
    <row r="9369" spans="12:12" x14ac:dyDescent="0.25">
      <c r="L9369" s="32"/>
    </row>
    <row r="9370" spans="12:12" x14ac:dyDescent="0.25">
      <c r="L9370" s="32"/>
    </row>
    <row r="9371" spans="12:12" x14ac:dyDescent="0.25">
      <c r="L9371" s="32"/>
    </row>
    <row r="9372" spans="12:12" x14ac:dyDescent="0.25">
      <c r="L9372" s="32"/>
    </row>
    <row r="9373" spans="12:12" x14ac:dyDescent="0.25">
      <c r="L9373" s="32"/>
    </row>
    <row r="9374" spans="12:12" x14ac:dyDescent="0.25">
      <c r="L9374" s="32"/>
    </row>
    <row r="9375" spans="12:12" x14ac:dyDescent="0.25">
      <c r="L9375" s="32"/>
    </row>
    <row r="9376" spans="12:12" x14ac:dyDescent="0.25">
      <c r="L9376" s="32"/>
    </row>
    <row r="9377" spans="12:12" x14ac:dyDescent="0.25">
      <c r="L9377" s="32"/>
    </row>
    <row r="9378" spans="12:12" x14ac:dyDescent="0.25">
      <c r="L9378" s="32"/>
    </row>
    <row r="9379" spans="12:12" x14ac:dyDescent="0.25">
      <c r="L9379" s="32"/>
    </row>
    <row r="9380" spans="12:12" x14ac:dyDescent="0.25">
      <c r="L9380" s="32"/>
    </row>
    <row r="9381" spans="12:12" x14ac:dyDescent="0.25">
      <c r="L9381" s="32"/>
    </row>
    <row r="9382" spans="12:12" x14ac:dyDescent="0.25">
      <c r="L9382" s="32"/>
    </row>
    <row r="9383" spans="12:12" x14ac:dyDescent="0.25">
      <c r="L9383" s="32"/>
    </row>
    <row r="9384" spans="12:12" x14ac:dyDescent="0.25">
      <c r="L9384" s="32"/>
    </row>
    <row r="9385" spans="12:12" x14ac:dyDescent="0.25">
      <c r="L9385" s="32"/>
    </row>
    <row r="9386" spans="12:12" x14ac:dyDescent="0.25">
      <c r="L9386" s="32"/>
    </row>
    <row r="9387" spans="12:12" x14ac:dyDescent="0.25">
      <c r="L9387" s="32"/>
    </row>
    <row r="9388" spans="12:12" x14ac:dyDescent="0.25">
      <c r="L9388" s="32"/>
    </row>
    <row r="9389" spans="12:12" x14ac:dyDescent="0.25">
      <c r="L9389" s="32"/>
    </row>
    <row r="9390" spans="12:12" x14ac:dyDescent="0.25">
      <c r="L9390" s="32"/>
    </row>
    <row r="9391" spans="12:12" x14ac:dyDescent="0.25">
      <c r="L9391" s="32"/>
    </row>
    <row r="9392" spans="12:12" x14ac:dyDescent="0.25">
      <c r="L9392" s="32"/>
    </row>
    <row r="9393" spans="12:12" x14ac:dyDescent="0.25">
      <c r="L9393" s="32"/>
    </row>
    <row r="9394" spans="12:12" x14ac:dyDescent="0.25">
      <c r="L9394" s="32"/>
    </row>
    <row r="9395" spans="12:12" x14ac:dyDescent="0.25">
      <c r="L9395" s="32"/>
    </row>
    <row r="9396" spans="12:12" x14ac:dyDescent="0.25">
      <c r="L9396" s="32"/>
    </row>
    <row r="9397" spans="12:12" x14ac:dyDescent="0.25">
      <c r="L9397" s="32"/>
    </row>
    <row r="9398" spans="12:12" x14ac:dyDescent="0.25">
      <c r="L9398" s="32"/>
    </row>
    <row r="9399" spans="12:12" x14ac:dyDescent="0.25">
      <c r="L9399" s="32"/>
    </row>
    <row r="9400" spans="12:12" x14ac:dyDescent="0.25">
      <c r="L9400" s="32"/>
    </row>
    <row r="9401" spans="12:12" x14ac:dyDescent="0.25">
      <c r="L9401" s="32"/>
    </row>
    <row r="9402" spans="12:12" x14ac:dyDescent="0.25">
      <c r="L9402" s="32"/>
    </row>
    <row r="9403" spans="12:12" x14ac:dyDescent="0.25">
      <c r="L9403" s="32"/>
    </row>
    <row r="9404" spans="12:12" x14ac:dyDescent="0.25">
      <c r="L9404" s="32"/>
    </row>
    <row r="9405" spans="12:12" x14ac:dyDescent="0.25">
      <c r="L9405" s="32"/>
    </row>
    <row r="9406" spans="12:12" x14ac:dyDescent="0.25">
      <c r="L9406" s="32"/>
    </row>
    <row r="9407" spans="12:12" x14ac:dyDescent="0.25">
      <c r="L9407" s="32"/>
    </row>
    <row r="9408" spans="12:12" x14ac:dyDescent="0.25">
      <c r="L9408" s="32"/>
    </row>
    <row r="9409" spans="12:12" x14ac:dyDescent="0.25">
      <c r="L9409" s="32"/>
    </row>
    <row r="9410" spans="12:12" x14ac:dyDescent="0.25">
      <c r="L9410" s="32"/>
    </row>
    <row r="9411" spans="12:12" x14ac:dyDescent="0.25">
      <c r="L9411" s="32"/>
    </row>
    <row r="9412" spans="12:12" x14ac:dyDescent="0.25">
      <c r="L9412" s="32"/>
    </row>
    <row r="9413" spans="12:12" x14ac:dyDescent="0.25">
      <c r="L9413" s="32"/>
    </row>
    <row r="9414" spans="12:12" x14ac:dyDescent="0.25">
      <c r="L9414" s="32"/>
    </row>
    <row r="9415" spans="12:12" x14ac:dyDescent="0.25">
      <c r="L9415" s="32"/>
    </row>
    <row r="9416" spans="12:12" x14ac:dyDescent="0.25">
      <c r="L9416" s="32"/>
    </row>
    <row r="9417" spans="12:12" x14ac:dyDescent="0.25">
      <c r="L9417" s="32"/>
    </row>
    <row r="9418" spans="12:12" x14ac:dyDescent="0.25">
      <c r="L9418" s="32"/>
    </row>
    <row r="9419" spans="12:12" x14ac:dyDescent="0.25">
      <c r="L9419" s="32"/>
    </row>
    <row r="9420" spans="12:12" x14ac:dyDescent="0.25">
      <c r="L9420" s="32"/>
    </row>
    <row r="9421" spans="12:12" x14ac:dyDescent="0.25">
      <c r="L9421" s="32"/>
    </row>
    <row r="9422" spans="12:12" x14ac:dyDescent="0.25">
      <c r="L9422" s="32"/>
    </row>
    <row r="9423" spans="12:12" x14ac:dyDescent="0.25">
      <c r="L9423" s="32"/>
    </row>
    <row r="9424" spans="12:12" x14ac:dyDescent="0.25">
      <c r="L9424" s="32"/>
    </row>
    <row r="9425" spans="12:12" x14ac:dyDescent="0.25">
      <c r="L9425" s="32"/>
    </row>
    <row r="9426" spans="12:12" x14ac:dyDescent="0.25">
      <c r="L9426" s="32"/>
    </row>
    <row r="9427" spans="12:12" x14ac:dyDescent="0.25">
      <c r="L9427" s="32"/>
    </row>
    <row r="9428" spans="12:12" x14ac:dyDescent="0.25">
      <c r="L9428" s="32"/>
    </row>
    <row r="9429" spans="12:12" x14ac:dyDescent="0.25">
      <c r="L9429" s="32"/>
    </row>
    <row r="9430" spans="12:12" x14ac:dyDescent="0.25">
      <c r="L9430" s="32"/>
    </row>
    <row r="9431" spans="12:12" x14ac:dyDescent="0.25">
      <c r="L9431" s="32"/>
    </row>
    <row r="9432" spans="12:12" x14ac:dyDescent="0.25">
      <c r="L9432" s="32"/>
    </row>
    <row r="9433" spans="12:12" x14ac:dyDescent="0.25">
      <c r="L9433" s="32"/>
    </row>
    <row r="9434" spans="12:12" x14ac:dyDescent="0.25">
      <c r="L9434" s="32"/>
    </row>
    <row r="9435" spans="12:12" x14ac:dyDescent="0.25">
      <c r="L9435" s="32"/>
    </row>
    <row r="9436" spans="12:12" x14ac:dyDescent="0.25">
      <c r="L9436" s="32"/>
    </row>
    <row r="9437" spans="12:12" x14ac:dyDescent="0.25">
      <c r="L9437" s="32"/>
    </row>
    <row r="9438" spans="12:12" x14ac:dyDescent="0.25">
      <c r="L9438" s="32"/>
    </row>
    <row r="9439" spans="12:12" x14ac:dyDescent="0.25">
      <c r="L9439" s="32"/>
    </row>
    <row r="9440" spans="12:12" x14ac:dyDescent="0.25">
      <c r="L9440" s="32"/>
    </row>
    <row r="9441" spans="12:12" x14ac:dyDescent="0.25">
      <c r="L9441" s="32"/>
    </row>
    <row r="9442" spans="12:12" x14ac:dyDescent="0.25">
      <c r="L9442" s="32"/>
    </row>
    <row r="9443" spans="12:12" x14ac:dyDescent="0.25">
      <c r="L9443" s="32"/>
    </row>
    <row r="9444" spans="12:12" x14ac:dyDescent="0.25">
      <c r="L9444" s="32"/>
    </row>
    <row r="9445" spans="12:12" x14ac:dyDescent="0.25">
      <c r="L9445" s="32"/>
    </row>
    <row r="9446" spans="12:12" x14ac:dyDescent="0.25">
      <c r="L9446" s="32"/>
    </row>
    <row r="9447" spans="12:12" x14ac:dyDescent="0.25">
      <c r="L9447" s="32"/>
    </row>
    <row r="9448" spans="12:12" x14ac:dyDescent="0.25">
      <c r="L9448" s="32"/>
    </row>
    <row r="9449" spans="12:12" x14ac:dyDescent="0.25">
      <c r="L9449" s="32"/>
    </row>
    <row r="9450" spans="12:12" x14ac:dyDescent="0.25">
      <c r="L9450" s="32"/>
    </row>
    <row r="9451" spans="12:12" x14ac:dyDescent="0.25">
      <c r="L9451" s="32"/>
    </row>
    <row r="9452" spans="12:12" x14ac:dyDescent="0.25">
      <c r="L9452" s="32"/>
    </row>
    <row r="9453" spans="12:12" x14ac:dyDescent="0.25">
      <c r="L9453" s="32"/>
    </row>
    <row r="9454" spans="12:12" x14ac:dyDescent="0.25">
      <c r="L9454" s="32"/>
    </row>
    <row r="9455" spans="12:12" x14ac:dyDescent="0.25">
      <c r="L9455" s="32"/>
    </row>
    <row r="9456" spans="12:12" x14ac:dyDescent="0.25">
      <c r="L9456" s="32"/>
    </row>
    <row r="9457" spans="12:12" x14ac:dyDescent="0.25">
      <c r="L9457" s="32"/>
    </row>
    <row r="9458" spans="12:12" x14ac:dyDescent="0.25">
      <c r="L9458" s="32"/>
    </row>
    <row r="9459" spans="12:12" x14ac:dyDescent="0.25">
      <c r="L9459" s="32"/>
    </row>
    <row r="9460" spans="12:12" x14ac:dyDescent="0.25">
      <c r="L9460" s="32"/>
    </row>
    <row r="9461" spans="12:12" x14ac:dyDescent="0.25">
      <c r="L9461" s="32"/>
    </row>
    <row r="9462" spans="12:12" x14ac:dyDescent="0.25">
      <c r="L9462" s="32"/>
    </row>
    <row r="9463" spans="12:12" x14ac:dyDescent="0.25">
      <c r="L9463" s="32"/>
    </row>
    <row r="9464" spans="12:12" x14ac:dyDescent="0.25">
      <c r="L9464" s="32"/>
    </row>
    <row r="9465" spans="12:12" x14ac:dyDescent="0.25">
      <c r="L9465" s="32"/>
    </row>
    <row r="9466" spans="12:12" x14ac:dyDescent="0.25">
      <c r="L9466" s="32"/>
    </row>
    <row r="9467" spans="12:12" x14ac:dyDescent="0.25">
      <c r="L9467" s="32"/>
    </row>
    <row r="9468" spans="12:12" x14ac:dyDescent="0.25">
      <c r="L9468" s="32"/>
    </row>
    <row r="9469" spans="12:12" x14ac:dyDescent="0.25">
      <c r="L9469" s="32"/>
    </row>
    <row r="9470" spans="12:12" x14ac:dyDescent="0.25">
      <c r="L9470" s="32"/>
    </row>
    <row r="9471" spans="12:12" x14ac:dyDescent="0.25">
      <c r="L9471" s="32"/>
    </row>
    <row r="9472" spans="12:12" x14ac:dyDescent="0.25">
      <c r="L9472" s="32"/>
    </row>
    <row r="9473" spans="12:12" x14ac:dyDescent="0.25">
      <c r="L9473" s="32"/>
    </row>
    <row r="9474" spans="12:12" x14ac:dyDescent="0.25">
      <c r="L9474" s="32"/>
    </row>
    <row r="9475" spans="12:12" x14ac:dyDescent="0.25">
      <c r="L9475" s="32"/>
    </row>
    <row r="9476" spans="12:12" x14ac:dyDescent="0.25">
      <c r="L9476" s="32"/>
    </row>
    <row r="9477" spans="12:12" x14ac:dyDescent="0.25">
      <c r="L9477" s="32"/>
    </row>
    <row r="9478" spans="12:12" x14ac:dyDescent="0.25">
      <c r="L9478" s="32"/>
    </row>
    <row r="9479" spans="12:12" x14ac:dyDescent="0.25">
      <c r="L9479" s="32"/>
    </row>
    <row r="9480" spans="12:12" x14ac:dyDescent="0.25">
      <c r="L9480" s="32"/>
    </row>
    <row r="9481" spans="12:12" x14ac:dyDescent="0.25">
      <c r="L9481" s="32"/>
    </row>
    <row r="9482" spans="12:12" x14ac:dyDescent="0.25">
      <c r="L9482" s="32"/>
    </row>
    <row r="9483" spans="12:12" x14ac:dyDescent="0.25">
      <c r="L9483" s="32"/>
    </row>
    <row r="9484" spans="12:12" x14ac:dyDescent="0.25">
      <c r="L9484" s="32"/>
    </row>
    <row r="9485" spans="12:12" x14ac:dyDescent="0.25">
      <c r="L9485" s="32"/>
    </row>
    <row r="9486" spans="12:12" x14ac:dyDescent="0.25">
      <c r="L9486" s="32"/>
    </row>
    <row r="9487" spans="12:12" x14ac:dyDescent="0.25">
      <c r="L9487" s="32"/>
    </row>
    <row r="9488" spans="12:12" x14ac:dyDescent="0.25">
      <c r="L9488" s="32"/>
    </row>
    <row r="9489" spans="12:12" x14ac:dyDescent="0.25">
      <c r="L9489" s="32"/>
    </row>
    <row r="9490" spans="12:12" x14ac:dyDescent="0.25">
      <c r="L9490" s="32"/>
    </row>
    <row r="9491" spans="12:12" x14ac:dyDescent="0.25">
      <c r="L9491" s="32"/>
    </row>
    <row r="9492" spans="12:12" x14ac:dyDescent="0.25">
      <c r="L9492" s="32"/>
    </row>
    <row r="9493" spans="12:12" x14ac:dyDescent="0.25">
      <c r="L9493" s="32"/>
    </row>
    <row r="9494" spans="12:12" x14ac:dyDescent="0.25">
      <c r="L9494" s="32"/>
    </row>
    <row r="9495" spans="12:12" x14ac:dyDescent="0.25">
      <c r="L9495" s="32"/>
    </row>
    <row r="9496" spans="12:12" x14ac:dyDescent="0.25">
      <c r="L9496" s="32"/>
    </row>
    <row r="9497" spans="12:12" x14ac:dyDescent="0.25">
      <c r="L9497" s="32"/>
    </row>
    <row r="9498" spans="12:12" x14ac:dyDescent="0.25">
      <c r="L9498" s="32"/>
    </row>
    <row r="9499" spans="12:12" x14ac:dyDescent="0.25">
      <c r="L9499" s="32"/>
    </row>
    <row r="9500" spans="12:12" x14ac:dyDescent="0.25">
      <c r="L9500" s="32"/>
    </row>
    <row r="9501" spans="12:12" x14ac:dyDescent="0.25">
      <c r="L9501" s="32"/>
    </row>
    <row r="9502" spans="12:12" x14ac:dyDescent="0.25">
      <c r="L9502" s="32"/>
    </row>
    <row r="9503" spans="12:12" x14ac:dyDescent="0.25">
      <c r="L9503" s="32"/>
    </row>
    <row r="9504" spans="12:12" x14ac:dyDescent="0.25">
      <c r="L9504" s="32"/>
    </row>
    <row r="9505" spans="12:12" x14ac:dyDescent="0.25">
      <c r="L9505" s="32"/>
    </row>
    <row r="9506" spans="12:12" x14ac:dyDescent="0.25">
      <c r="L9506" s="32"/>
    </row>
    <row r="9507" spans="12:12" x14ac:dyDescent="0.25">
      <c r="L9507" s="32"/>
    </row>
    <row r="9508" spans="12:12" x14ac:dyDescent="0.25">
      <c r="L9508" s="32"/>
    </row>
    <row r="9509" spans="12:12" x14ac:dyDescent="0.25">
      <c r="L9509" s="32"/>
    </row>
    <row r="9510" spans="12:12" x14ac:dyDescent="0.25">
      <c r="L9510" s="32"/>
    </row>
    <row r="9511" spans="12:12" x14ac:dyDescent="0.25">
      <c r="L9511" s="32"/>
    </row>
    <row r="9512" spans="12:12" x14ac:dyDescent="0.25">
      <c r="L9512" s="32"/>
    </row>
    <row r="9513" spans="12:12" x14ac:dyDescent="0.25">
      <c r="L9513" s="32"/>
    </row>
    <row r="9514" spans="12:12" x14ac:dyDescent="0.25">
      <c r="L9514" s="32"/>
    </row>
    <row r="9515" spans="12:12" x14ac:dyDescent="0.25">
      <c r="L9515" s="32"/>
    </row>
    <row r="9516" spans="12:12" x14ac:dyDescent="0.25">
      <c r="L9516" s="32"/>
    </row>
    <row r="9517" spans="12:12" x14ac:dyDescent="0.25">
      <c r="L9517" s="32"/>
    </row>
    <row r="9518" spans="12:12" x14ac:dyDescent="0.25">
      <c r="L9518" s="32"/>
    </row>
    <row r="9519" spans="12:12" x14ac:dyDescent="0.25">
      <c r="L9519" s="32"/>
    </row>
    <row r="9520" spans="12:12" x14ac:dyDescent="0.25">
      <c r="L9520" s="32"/>
    </row>
    <row r="9521" spans="12:12" x14ac:dyDescent="0.25">
      <c r="L9521" s="32"/>
    </row>
    <row r="9522" spans="12:12" x14ac:dyDescent="0.25">
      <c r="L9522" s="32"/>
    </row>
    <row r="9523" spans="12:12" x14ac:dyDescent="0.25">
      <c r="L9523" s="32"/>
    </row>
    <row r="9524" spans="12:12" x14ac:dyDescent="0.25">
      <c r="L9524" s="32"/>
    </row>
    <row r="9525" spans="12:12" x14ac:dyDescent="0.25">
      <c r="L9525" s="32"/>
    </row>
    <row r="9526" spans="12:12" x14ac:dyDescent="0.25">
      <c r="L9526" s="32"/>
    </row>
    <row r="9527" spans="12:12" x14ac:dyDescent="0.25">
      <c r="L9527" s="32"/>
    </row>
    <row r="9528" spans="12:12" x14ac:dyDescent="0.25">
      <c r="L9528" s="32"/>
    </row>
    <row r="9529" spans="12:12" x14ac:dyDescent="0.25">
      <c r="L9529" s="32"/>
    </row>
    <row r="9530" spans="12:12" x14ac:dyDescent="0.25">
      <c r="L9530" s="32"/>
    </row>
    <row r="9531" spans="12:12" x14ac:dyDescent="0.25">
      <c r="L9531" s="32"/>
    </row>
    <row r="9532" spans="12:12" x14ac:dyDescent="0.25">
      <c r="L9532" s="32"/>
    </row>
    <row r="9533" spans="12:12" x14ac:dyDescent="0.25">
      <c r="L9533" s="32"/>
    </row>
    <row r="9534" spans="12:12" x14ac:dyDescent="0.25">
      <c r="L9534" s="32"/>
    </row>
    <row r="9535" spans="12:12" x14ac:dyDescent="0.25">
      <c r="L9535" s="32"/>
    </row>
    <row r="9536" spans="12:12" x14ac:dyDescent="0.25">
      <c r="L9536" s="32"/>
    </row>
    <row r="9537" spans="12:12" x14ac:dyDescent="0.25">
      <c r="L9537" s="32"/>
    </row>
    <row r="9538" spans="12:12" x14ac:dyDescent="0.25">
      <c r="L9538" s="32"/>
    </row>
    <row r="9539" spans="12:12" x14ac:dyDescent="0.25">
      <c r="L9539" s="32"/>
    </row>
    <row r="9540" spans="12:12" x14ac:dyDescent="0.25">
      <c r="L9540" s="32"/>
    </row>
    <row r="9541" spans="12:12" x14ac:dyDescent="0.25">
      <c r="L9541" s="32"/>
    </row>
    <row r="9542" spans="12:12" x14ac:dyDescent="0.25">
      <c r="L9542" s="32"/>
    </row>
    <row r="9543" spans="12:12" x14ac:dyDescent="0.25">
      <c r="L9543" s="32"/>
    </row>
    <row r="9544" spans="12:12" x14ac:dyDescent="0.25">
      <c r="L9544" s="32"/>
    </row>
    <row r="9545" spans="12:12" x14ac:dyDescent="0.25">
      <c r="L9545" s="32"/>
    </row>
    <row r="9546" spans="12:12" x14ac:dyDescent="0.25">
      <c r="L9546" s="32"/>
    </row>
    <row r="9547" spans="12:12" x14ac:dyDescent="0.25">
      <c r="L9547" s="32"/>
    </row>
    <row r="9548" spans="12:12" x14ac:dyDescent="0.25">
      <c r="L9548" s="32"/>
    </row>
    <row r="9549" spans="12:12" x14ac:dyDescent="0.25">
      <c r="L9549" s="32"/>
    </row>
    <row r="9550" spans="12:12" x14ac:dyDescent="0.25">
      <c r="L9550" s="32"/>
    </row>
    <row r="9551" spans="12:12" x14ac:dyDescent="0.25">
      <c r="L9551" s="32"/>
    </row>
    <row r="9552" spans="12:12" x14ac:dyDescent="0.25">
      <c r="L9552" s="32"/>
    </row>
    <row r="9553" spans="12:12" x14ac:dyDescent="0.25">
      <c r="L9553" s="32"/>
    </row>
    <row r="9554" spans="12:12" x14ac:dyDescent="0.25">
      <c r="L9554" s="32"/>
    </row>
    <row r="9555" spans="12:12" x14ac:dyDescent="0.25">
      <c r="L9555" s="32"/>
    </row>
    <row r="9556" spans="12:12" x14ac:dyDescent="0.25">
      <c r="L9556" s="32"/>
    </row>
    <row r="9557" spans="12:12" x14ac:dyDescent="0.25">
      <c r="L9557" s="32"/>
    </row>
    <row r="9558" spans="12:12" x14ac:dyDescent="0.25">
      <c r="L9558" s="32"/>
    </row>
    <row r="9559" spans="12:12" x14ac:dyDescent="0.25">
      <c r="L9559" s="32"/>
    </row>
    <row r="9560" spans="12:12" x14ac:dyDescent="0.25">
      <c r="L9560" s="32"/>
    </row>
    <row r="9561" spans="12:12" x14ac:dyDescent="0.25">
      <c r="L9561" s="32"/>
    </row>
    <row r="9562" spans="12:12" x14ac:dyDescent="0.25">
      <c r="L9562" s="32"/>
    </row>
    <row r="9563" spans="12:12" x14ac:dyDescent="0.25">
      <c r="L9563" s="32"/>
    </row>
    <row r="9564" spans="12:12" x14ac:dyDescent="0.25">
      <c r="L9564" s="32"/>
    </row>
    <row r="9565" spans="12:12" x14ac:dyDescent="0.25">
      <c r="L9565" s="32"/>
    </row>
    <row r="9566" spans="12:12" x14ac:dyDescent="0.25">
      <c r="L9566" s="32"/>
    </row>
    <row r="9567" spans="12:12" x14ac:dyDescent="0.25">
      <c r="L9567" s="32"/>
    </row>
    <row r="9568" spans="12:12" x14ac:dyDescent="0.25">
      <c r="L9568" s="32"/>
    </row>
    <row r="9569" spans="12:12" x14ac:dyDescent="0.25">
      <c r="L9569" s="32"/>
    </row>
    <row r="9570" spans="12:12" x14ac:dyDescent="0.25">
      <c r="L9570" s="32"/>
    </row>
    <row r="9571" spans="12:12" x14ac:dyDescent="0.25">
      <c r="L9571" s="32"/>
    </row>
    <row r="9572" spans="12:12" x14ac:dyDescent="0.25">
      <c r="L9572" s="32"/>
    </row>
    <row r="9573" spans="12:12" x14ac:dyDescent="0.25">
      <c r="L9573" s="32"/>
    </row>
    <row r="9574" spans="12:12" x14ac:dyDescent="0.25">
      <c r="L9574" s="32"/>
    </row>
    <row r="9575" spans="12:12" x14ac:dyDescent="0.25">
      <c r="L9575" s="32"/>
    </row>
    <row r="9576" spans="12:12" x14ac:dyDescent="0.25">
      <c r="L9576" s="32"/>
    </row>
    <row r="9577" spans="12:12" x14ac:dyDescent="0.25">
      <c r="L9577" s="32"/>
    </row>
    <row r="9578" spans="12:12" x14ac:dyDescent="0.25">
      <c r="L9578" s="32"/>
    </row>
    <row r="9579" spans="12:12" x14ac:dyDescent="0.25">
      <c r="L9579" s="32"/>
    </row>
    <row r="9580" spans="12:12" x14ac:dyDescent="0.25">
      <c r="L9580" s="32"/>
    </row>
    <row r="9581" spans="12:12" x14ac:dyDescent="0.25">
      <c r="L9581" s="32"/>
    </row>
    <row r="9582" spans="12:12" x14ac:dyDescent="0.25">
      <c r="L9582" s="32"/>
    </row>
    <row r="9583" spans="12:12" x14ac:dyDescent="0.25">
      <c r="L9583" s="32"/>
    </row>
    <row r="9584" spans="12:12" x14ac:dyDescent="0.25">
      <c r="L9584" s="32"/>
    </row>
    <row r="9585" spans="12:12" x14ac:dyDescent="0.25">
      <c r="L9585" s="32"/>
    </row>
    <row r="9586" spans="12:12" x14ac:dyDescent="0.25">
      <c r="L9586" s="32"/>
    </row>
    <row r="9587" spans="12:12" x14ac:dyDescent="0.25">
      <c r="L9587" s="32"/>
    </row>
    <row r="9588" spans="12:12" x14ac:dyDescent="0.25">
      <c r="L9588" s="32"/>
    </row>
    <row r="9589" spans="12:12" x14ac:dyDescent="0.25">
      <c r="L9589" s="32"/>
    </row>
    <row r="9590" spans="12:12" x14ac:dyDescent="0.25">
      <c r="L9590" s="32"/>
    </row>
    <row r="9591" spans="12:12" x14ac:dyDescent="0.25">
      <c r="L9591" s="32"/>
    </row>
    <row r="9592" spans="12:12" x14ac:dyDescent="0.25">
      <c r="L9592" s="32"/>
    </row>
    <row r="9593" spans="12:12" x14ac:dyDescent="0.25">
      <c r="L9593" s="32"/>
    </row>
    <row r="9594" spans="12:12" x14ac:dyDescent="0.25">
      <c r="L9594" s="32"/>
    </row>
    <row r="9595" spans="12:12" x14ac:dyDescent="0.25">
      <c r="L9595" s="32"/>
    </row>
    <row r="9596" spans="12:12" x14ac:dyDescent="0.25">
      <c r="L9596" s="32"/>
    </row>
    <row r="9597" spans="12:12" x14ac:dyDescent="0.25">
      <c r="L9597" s="32"/>
    </row>
    <row r="9598" spans="12:12" x14ac:dyDescent="0.25">
      <c r="L9598" s="32"/>
    </row>
    <row r="9599" spans="12:12" x14ac:dyDescent="0.25">
      <c r="L9599" s="32"/>
    </row>
    <row r="9600" spans="12:12" x14ac:dyDescent="0.25">
      <c r="L9600" s="32"/>
    </row>
    <row r="9601" spans="12:12" x14ac:dyDescent="0.25">
      <c r="L9601" s="32"/>
    </row>
    <row r="9602" spans="12:12" x14ac:dyDescent="0.25">
      <c r="L9602" s="32"/>
    </row>
    <row r="9603" spans="12:12" x14ac:dyDescent="0.25">
      <c r="L9603" s="32"/>
    </row>
    <row r="9604" spans="12:12" x14ac:dyDescent="0.25">
      <c r="L9604" s="32"/>
    </row>
    <row r="9605" spans="12:12" x14ac:dyDescent="0.25">
      <c r="L9605" s="32"/>
    </row>
    <row r="9606" spans="12:12" x14ac:dyDescent="0.25">
      <c r="L9606" s="32"/>
    </row>
    <row r="9607" spans="12:12" x14ac:dyDescent="0.25">
      <c r="L9607" s="32"/>
    </row>
    <row r="9608" spans="12:12" x14ac:dyDescent="0.25">
      <c r="L9608" s="32"/>
    </row>
    <row r="9609" spans="12:12" x14ac:dyDescent="0.25">
      <c r="L9609" s="32"/>
    </row>
    <row r="9610" spans="12:12" x14ac:dyDescent="0.25">
      <c r="L9610" s="32"/>
    </row>
    <row r="9611" spans="12:12" x14ac:dyDescent="0.25">
      <c r="L9611" s="32"/>
    </row>
    <row r="9612" spans="12:12" x14ac:dyDescent="0.25">
      <c r="L9612" s="32"/>
    </row>
    <row r="9613" spans="12:12" x14ac:dyDescent="0.25">
      <c r="L9613" s="32"/>
    </row>
    <row r="9614" spans="12:12" x14ac:dyDescent="0.25">
      <c r="L9614" s="32"/>
    </row>
    <row r="9615" spans="12:12" x14ac:dyDescent="0.25">
      <c r="L9615" s="32"/>
    </row>
    <row r="9616" spans="12:12" x14ac:dyDescent="0.25">
      <c r="L9616" s="32"/>
    </row>
    <row r="9617" spans="12:12" x14ac:dyDescent="0.25">
      <c r="L9617" s="32"/>
    </row>
    <row r="9618" spans="12:12" x14ac:dyDescent="0.25">
      <c r="L9618" s="32"/>
    </row>
    <row r="9619" spans="12:12" x14ac:dyDescent="0.25">
      <c r="L9619" s="32"/>
    </row>
    <row r="9620" spans="12:12" x14ac:dyDescent="0.25">
      <c r="L9620" s="32"/>
    </row>
    <row r="9621" spans="12:12" x14ac:dyDescent="0.25">
      <c r="L9621" s="32"/>
    </row>
    <row r="9622" spans="12:12" x14ac:dyDescent="0.25">
      <c r="L9622" s="32"/>
    </row>
    <row r="9623" spans="12:12" x14ac:dyDescent="0.25">
      <c r="L9623" s="32"/>
    </row>
    <row r="9624" spans="12:12" x14ac:dyDescent="0.25">
      <c r="L9624" s="32"/>
    </row>
    <row r="9625" spans="12:12" x14ac:dyDescent="0.25">
      <c r="L9625" s="32"/>
    </row>
    <row r="9626" spans="12:12" x14ac:dyDescent="0.25">
      <c r="L9626" s="32"/>
    </row>
    <row r="9627" spans="12:12" x14ac:dyDescent="0.25">
      <c r="L9627" s="32"/>
    </row>
    <row r="9628" spans="12:12" x14ac:dyDescent="0.25">
      <c r="L9628" s="32"/>
    </row>
    <row r="9629" spans="12:12" x14ac:dyDescent="0.25">
      <c r="L9629" s="32"/>
    </row>
    <row r="9630" spans="12:12" x14ac:dyDescent="0.25">
      <c r="L9630" s="32"/>
    </row>
    <row r="9631" spans="12:12" x14ac:dyDescent="0.25">
      <c r="L9631" s="32"/>
    </row>
    <row r="9632" spans="12:12" x14ac:dyDescent="0.25">
      <c r="L9632" s="32"/>
    </row>
    <row r="9633" spans="12:12" x14ac:dyDescent="0.25">
      <c r="L9633" s="32"/>
    </row>
    <row r="9634" spans="12:12" x14ac:dyDescent="0.25">
      <c r="L9634" s="32"/>
    </row>
    <row r="9635" spans="12:12" x14ac:dyDescent="0.25">
      <c r="L9635" s="32"/>
    </row>
    <row r="9636" spans="12:12" x14ac:dyDescent="0.25">
      <c r="L9636" s="32"/>
    </row>
    <row r="9637" spans="12:12" x14ac:dyDescent="0.25">
      <c r="L9637" s="32"/>
    </row>
    <row r="9638" spans="12:12" x14ac:dyDescent="0.25">
      <c r="L9638" s="32"/>
    </row>
    <row r="9639" spans="12:12" x14ac:dyDescent="0.25">
      <c r="L9639" s="32"/>
    </row>
    <row r="9640" spans="12:12" x14ac:dyDescent="0.25">
      <c r="L9640" s="32"/>
    </row>
    <row r="9641" spans="12:12" x14ac:dyDescent="0.25">
      <c r="L9641" s="32"/>
    </row>
    <row r="9642" spans="12:12" x14ac:dyDescent="0.25">
      <c r="L9642" s="32"/>
    </row>
    <row r="9643" spans="12:12" x14ac:dyDescent="0.25">
      <c r="L9643" s="32"/>
    </row>
    <row r="9644" spans="12:12" x14ac:dyDescent="0.25">
      <c r="L9644" s="32"/>
    </row>
    <row r="9645" spans="12:12" x14ac:dyDescent="0.25">
      <c r="L9645" s="32"/>
    </row>
    <row r="9646" spans="12:12" x14ac:dyDescent="0.25">
      <c r="L9646" s="32"/>
    </row>
    <row r="9647" spans="12:12" x14ac:dyDescent="0.25">
      <c r="L9647" s="32"/>
    </row>
    <row r="9648" spans="12:12" x14ac:dyDescent="0.25">
      <c r="L9648" s="32"/>
    </row>
    <row r="9649" spans="12:12" x14ac:dyDescent="0.25">
      <c r="L9649" s="32"/>
    </row>
    <row r="9650" spans="12:12" x14ac:dyDescent="0.25">
      <c r="L9650" s="32"/>
    </row>
    <row r="9651" spans="12:12" x14ac:dyDescent="0.25">
      <c r="L9651" s="32"/>
    </row>
    <row r="9652" spans="12:12" x14ac:dyDescent="0.25">
      <c r="L9652" s="32"/>
    </row>
    <row r="9653" spans="12:12" x14ac:dyDescent="0.25">
      <c r="L9653" s="32"/>
    </row>
    <row r="9654" spans="12:12" x14ac:dyDescent="0.25">
      <c r="L9654" s="32"/>
    </row>
    <row r="9655" spans="12:12" x14ac:dyDescent="0.25">
      <c r="L9655" s="32"/>
    </row>
    <row r="9656" spans="12:12" x14ac:dyDescent="0.25">
      <c r="L9656" s="32"/>
    </row>
    <row r="9657" spans="12:12" x14ac:dyDescent="0.25">
      <c r="L9657" s="32"/>
    </row>
    <row r="9658" spans="12:12" x14ac:dyDescent="0.25">
      <c r="L9658" s="32"/>
    </row>
    <row r="9659" spans="12:12" x14ac:dyDescent="0.25">
      <c r="L9659" s="32"/>
    </row>
    <row r="9660" spans="12:12" x14ac:dyDescent="0.25">
      <c r="L9660" s="32"/>
    </row>
    <row r="9661" spans="12:12" x14ac:dyDescent="0.25">
      <c r="L9661" s="32"/>
    </row>
    <row r="9662" spans="12:12" x14ac:dyDescent="0.25">
      <c r="L9662" s="32"/>
    </row>
    <row r="9663" spans="12:12" x14ac:dyDescent="0.25">
      <c r="L9663" s="32"/>
    </row>
    <row r="9664" spans="12:12" x14ac:dyDescent="0.25">
      <c r="L9664" s="32"/>
    </row>
    <row r="9665" spans="12:12" x14ac:dyDescent="0.25">
      <c r="L9665" s="32"/>
    </row>
    <row r="9666" spans="12:12" x14ac:dyDescent="0.25">
      <c r="L9666" s="32"/>
    </row>
    <row r="9667" spans="12:12" x14ac:dyDescent="0.25">
      <c r="L9667" s="32"/>
    </row>
    <row r="9668" spans="12:12" x14ac:dyDescent="0.25">
      <c r="L9668" s="32"/>
    </row>
    <row r="9669" spans="12:12" x14ac:dyDescent="0.25">
      <c r="L9669" s="32"/>
    </row>
    <row r="9670" spans="12:12" x14ac:dyDescent="0.25">
      <c r="L9670" s="32"/>
    </row>
    <row r="9671" spans="12:12" x14ac:dyDescent="0.25">
      <c r="L9671" s="32"/>
    </row>
    <row r="9672" spans="12:12" x14ac:dyDescent="0.25">
      <c r="L9672" s="32"/>
    </row>
    <row r="9673" spans="12:12" x14ac:dyDescent="0.25">
      <c r="L9673" s="32"/>
    </row>
    <row r="9674" spans="12:12" x14ac:dyDescent="0.25">
      <c r="L9674" s="32"/>
    </row>
    <row r="9675" spans="12:12" x14ac:dyDescent="0.25">
      <c r="L9675" s="32"/>
    </row>
    <row r="9676" spans="12:12" x14ac:dyDescent="0.25">
      <c r="L9676" s="32"/>
    </row>
    <row r="9677" spans="12:12" x14ac:dyDescent="0.25">
      <c r="L9677" s="32"/>
    </row>
    <row r="9678" spans="12:12" x14ac:dyDescent="0.25">
      <c r="L9678" s="32"/>
    </row>
    <row r="9679" spans="12:12" x14ac:dyDescent="0.25">
      <c r="L9679" s="32"/>
    </row>
    <row r="9680" spans="12:12" x14ac:dyDescent="0.25">
      <c r="L9680" s="32"/>
    </row>
    <row r="9681" spans="12:12" x14ac:dyDescent="0.25">
      <c r="L9681" s="32"/>
    </row>
    <row r="9682" spans="12:12" x14ac:dyDescent="0.25">
      <c r="L9682" s="32"/>
    </row>
    <row r="9683" spans="12:12" x14ac:dyDescent="0.25">
      <c r="L9683" s="32"/>
    </row>
    <row r="9684" spans="12:12" x14ac:dyDescent="0.25">
      <c r="L9684" s="32"/>
    </row>
    <row r="9685" spans="12:12" x14ac:dyDescent="0.25">
      <c r="L9685" s="32"/>
    </row>
    <row r="9686" spans="12:12" x14ac:dyDescent="0.25">
      <c r="L9686" s="32"/>
    </row>
    <row r="9687" spans="12:12" x14ac:dyDescent="0.25">
      <c r="L9687" s="32"/>
    </row>
    <row r="9688" spans="12:12" x14ac:dyDescent="0.25">
      <c r="L9688" s="32"/>
    </row>
    <row r="9689" spans="12:12" x14ac:dyDescent="0.25">
      <c r="L9689" s="32"/>
    </row>
    <row r="9690" spans="12:12" x14ac:dyDescent="0.25">
      <c r="L9690" s="32"/>
    </row>
    <row r="9691" spans="12:12" x14ac:dyDescent="0.25">
      <c r="L9691" s="32"/>
    </row>
    <row r="9692" spans="12:12" x14ac:dyDescent="0.25">
      <c r="L9692" s="32"/>
    </row>
    <row r="9693" spans="12:12" x14ac:dyDescent="0.25">
      <c r="L9693" s="32"/>
    </row>
    <row r="9694" spans="12:12" x14ac:dyDescent="0.25">
      <c r="L9694" s="32"/>
    </row>
    <row r="9695" spans="12:12" x14ac:dyDescent="0.25">
      <c r="L9695" s="32"/>
    </row>
    <row r="9696" spans="12:12" x14ac:dyDescent="0.25">
      <c r="L9696" s="32"/>
    </row>
    <row r="9697" spans="12:12" x14ac:dyDescent="0.25">
      <c r="L9697" s="32"/>
    </row>
    <row r="9698" spans="12:12" x14ac:dyDescent="0.25">
      <c r="L9698" s="32"/>
    </row>
    <row r="9699" spans="12:12" x14ac:dyDescent="0.25">
      <c r="L9699" s="32"/>
    </row>
    <row r="9700" spans="12:12" x14ac:dyDescent="0.25">
      <c r="L9700" s="32"/>
    </row>
    <row r="9701" spans="12:12" x14ac:dyDescent="0.25">
      <c r="L9701" s="32"/>
    </row>
    <row r="9702" spans="12:12" x14ac:dyDescent="0.25">
      <c r="L9702" s="32"/>
    </row>
    <row r="9703" spans="12:12" x14ac:dyDescent="0.25">
      <c r="L9703" s="32"/>
    </row>
    <row r="9704" spans="12:12" x14ac:dyDescent="0.25">
      <c r="L9704" s="32"/>
    </row>
    <row r="9705" spans="12:12" x14ac:dyDescent="0.25">
      <c r="L9705" s="32"/>
    </row>
    <row r="9706" spans="12:12" x14ac:dyDescent="0.25">
      <c r="L9706" s="32"/>
    </row>
    <row r="9707" spans="12:12" x14ac:dyDescent="0.25">
      <c r="L9707" s="32"/>
    </row>
    <row r="9708" spans="12:12" x14ac:dyDescent="0.25">
      <c r="L9708" s="32"/>
    </row>
    <row r="9709" spans="12:12" x14ac:dyDescent="0.25">
      <c r="L9709" s="32"/>
    </row>
    <row r="9710" spans="12:12" x14ac:dyDescent="0.25">
      <c r="L9710" s="32"/>
    </row>
    <row r="9711" spans="12:12" x14ac:dyDescent="0.25">
      <c r="L9711" s="32"/>
    </row>
    <row r="9712" spans="12:12" x14ac:dyDescent="0.25">
      <c r="L9712" s="32"/>
    </row>
    <row r="9713" spans="12:12" x14ac:dyDescent="0.25">
      <c r="L9713" s="32"/>
    </row>
    <row r="9714" spans="12:12" x14ac:dyDescent="0.25">
      <c r="L9714" s="32"/>
    </row>
    <row r="9715" spans="12:12" x14ac:dyDescent="0.25">
      <c r="L9715" s="32"/>
    </row>
    <row r="9716" spans="12:12" x14ac:dyDescent="0.25">
      <c r="L9716" s="32"/>
    </row>
    <row r="9717" spans="12:12" x14ac:dyDescent="0.25">
      <c r="L9717" s="32"/>
    </row>
    <row r="9718" spans="12:12" x14ac:dyDescent="0.25">
      <c r="L9718" s="32"/>
    </row>
    <row r="9719" spans="12:12" x14ac:dyDescent="0.25">
      <c r="L9719" s="32"/>
    </row>
    <row r="9720" spans="12:12" x14ac:dyDescent="0.25">
      <c r="L9720" s="32"/>
    </row>
    <row r="9721" spans="12:12" x14ac:dyDescent="0.25">
      <c r="L9721" s="32"/>
    </row>
    <row r="9722" spans="12:12" x14ac:dyDescent="0.25">
      <c r="L9722" s="32"/>
    </row>
    <row r="9723" spans="12:12" x14ac:dyDescent="0.25">
      <c r="L9723" s="32"/>
    </row>
    <row r="9724" spans="12:12" x14ac:dyDescent="0.25">
      <c r="L9724" s="32"/>
    </row>
    <row r="9725" spans="12:12" x14ac:dyDescent="0.25">
      <c r="L9725" s="32"/>
    </row>
    <row r="9726" spans="12:12" x14ac:dyDescent="0.25">
      <c r="L9726" s="32"/>
    </row>
    <row r="9727" spans="12:12" x14ac:dyDescent="0.25">
      <c r="L9727" s="32"/>
    </row>
    <row r="9728" spans="12:12" x14ac:dyDescent="0.25">
      <c r="L9728" s="32"/>
    </row>
    <row r="9729" spans="12:12" x14ac:dyDescent="0.25">
      <c r="L9729" s="32"/>
    </row>
    <row r="9730" spans="12:12" x14ac:dyDescent="0.25">
      <c r="L9730" s="32"/>
    </row>
    <row r="9731" spans="12:12" x14ac:dyDescent="0.25">
      <c r="L9731" s="32"/>
    </row>
    <row r="9732" spans="12:12" x14ac:dyDescent="0.25">
      <c r="L9732" s="32"/>
    </row>
    <row r="9733" spans="12:12" x14ac:dyDescent="0.25">
      <c r="L9733" s="32"/>
    </row>
    <row r="9734" spans="12:12" x14ac:dyDescent="0.25">
      <c r="L9734" s="32"/>
    </row>
    <row r="9735" spans="12:12" x14ac:dyDescent="0.25">
      <c r="L9735" s="32"/>
    </row>
    <row r="9736" spans="12:12" x14ac:dyDescent="0.25">
      <c r="L9736" s="32"/>
    </row>
    <row r="9737" spans="12:12" x14ac:dyDescent="0.25">
      <c r="L9737" s="32"/>
    </row>
    <row r="9738" spans="12:12" x14ac:dyDescent="0.25">
      <c r="L9738" s="32"/>
    </row>
    <row r="9739" spans="12:12" x14ac:dyDescent="0.25">
      <c r="L9739" s="32"/>
    </row>
    <row r="9740" spans="12:12" x14ac:dyDescent="0.25">
      <c r="L9740" s="32"/>
    </row>
    <row r="9741" spans="12:12" x14ac:dyDescent="0.25">
      <c r="L9741" s="32"/>
    </row>
    <row r="9742" spans="12:12" x14ac:dyDescent="0.25">
      <c r="L9742" s="32"/>
    </row>
    <row r="9743" spans="12:12" x14ac:dyDescent="0.25">
      <c r="L9743" s="32"/>
    </row>
    <row r="9744" spans="12:12" x14ac:dyDescent="0.25">
      <c r="L9744" s="32"/>
    </row>
    <row r="9745" spans="12:12" x14ac:dyDescent="0.25">
      <c r="L9745" s="32"/>
    </row>
    <row r="9746" spans="12:12" x14ac:dyDescent="0.25">
      <c r="L9746" s="32"/>
    </row>
    <row r="9747" spans="12:12" x14ac:dyDescent="0.25">
      <c r="L9747" s="32"/>
    </row>
    <row r="9748" spans="12:12" x14ac:dyDescent="0.25">
      <c r="L9748" s="32"/>
    </row>
    <row r="9749" spans="12:12" x14ac:dyDescent="0.25">
      <c r="L9749" s="32"/>
    </row>
    <row r="9750" spans="12:12" x14ac:dyDescent="0.25">
      <c r="L9750" s="32"/>
    </row>
    <row r="9751" spans="12:12" x14ac:dyDescent="0.25">
      <c r="L9751" s="32"/>
    </row>
    <row r="9752" spans="12:12" x14ac:dyDescent="0.25">
      <c r="L9752" s="32"/>
    </row>
    <row r="9753" spans="12:12" x14ac:dyDescent="0.25">
      <c r="L9753" s="32"/>
    </row>
    <row r="9754" spans="12:12" x14ac:dyDescent="0.25">
      <c r="L9754" s="32"/>
    </row>
    <row r="9755" spans="12:12" x14ac:dyDescent="0.25">
      <c r="L9755" s="32"/>
    </row>
    <row r="9756" spans="12:12" x14ac:dyDescent="0.25">
      <c r="L9756" s="32"/>
    </row>
    <row r="9757" spans="12:12" x14ac:dyDescent="0.25">
      <c r="L9757" s="32"/>
    </row>
    <row r="9758" spans="12:12" x14ac:dyDescent="0.25">
      <c r="L9758" s="32"/>
    </row>
    <row r="9759" spans="12:12" x14ac:dyDescent="0.25">
      <c r="L9759" s="32"/>
    </row>
    <row r="9760" spans="12:12" x14ac:dyDescent="0.25">
      <c r="L9760" s="32"/>
    </row>
    <row r="9761" spans="12:12" x14ac:dyDescent="0.25">
      <c r="L9761" s="32"/>
    </row>
    <row r="9762" spans="12:12" x14ac:dyDescent="0.25">
      <c r="L9762" s="32"/>
    </row>
    <row r="9763" spans="12:12" x14ac:dyDescent="0.25">
      <c r="L9763" s="32"/>
    </row>
    <row r="9764" spans="12:12" x14ac:dyDescent="0.25">
      <c r="L9764" s="32"/>
    </row>
    <row r="9765" spans="12:12" x14ac:dyDescent="0.25">
      <c r="L9765" s="32"/>
    </row>
    <row r="9766" spans="12:12" x14ac:dyDescent="0.25">
      <c r="L9766" s="32"/>
    </row>
    <row r="9767" spans="12:12" x14ac:dyDescent="0.25">
      <c r="L9767" s="32"/>
    </row>
    <row r="9768" spans="12:12" x14ac:dyDescent="0.25">
      <c r="L9768" s="32"/>
    </row>
    <row r="9769" spans="12:12" x14ac:dyDescent="0.25">
      <c r="L9769" s="32"/>
    </row>
    <row r="9770" spans="12:12" x14ac:dyDescent="0.25">
      <c r="L9770" s="32"/>
    </row>
    <row r="9771" spans="12:12" x14ac:dyDescent="0.25">
      <c r="L9771" s="32"/>
    </row>
    <row r="9772" spans="12:12" x14ac:dyDescent="0.25">
      <c r="L9772" s="32"/>
    </row>
    <row r="9773" spans="12:12" x14ac:dyDescent="0.25">
      <c r="L9773" s="32"/>
    </row>
    <row r="9774" spans="12:12" x14ac:dyDescent="0.25">
      <c r="L9774" s="32"/>
    </row>
    <row r="9775" spans="12:12" x14ac:dyDescent="0.25">
      <c r="L9775" s="32"/>
    </row>
    <row r="9776" spans="12:12" x14ac:dyDescent="0.25">
      <c r="L9776" s="32"/>
    </row>
    <row r="9777" spans="12:12" x14ac:dyDescent="0.25">
      <c r="L9777" s="32"/>
    </row>
    <row r="9778" spans="12:12" x14ac:dyDescent="0.25">
      <c r="L9778" s="32"/>
    </row>
    <row r="9779" spans="12:12" x14ac:dyDescent="0.25">
      <c r="L9779" s="32"/>
    </row>
    <row r="9780" spans="12:12" x14ac:dyDescent="0.25">
      <c r="L9780" s="32"/>
    </row>
    <row r="9781" spans="12:12" x14ac:dyDescent="0.25">
      <c r="L9781" s="32"/>
    </row>
    <row r="9782" spans="12:12" x14ac:dyDescent="0.25">
      <c r="L9782" s="32"/>
    </row>
    <row r="9783" spans="12:12" x14ac:dyDescent="0.25">
      <c r="L9783" s="32"/>
    </row>
    <row r="9784" spans="12:12" x14ac:dyDescent="0.25">
      <c r="L9784" s="32"/>
    </row>
    <row r="9785" spans="12:12" x14ac:dyDescent="0.25">
      <c r="L9785" s="32"/>
    </row>
    <row r="9786" spans="12:12" x14ac:dyDescent="0.25">
      <c r="L9786" s="32"/>
    </row>
    <row r="9787" spans="12:12" x14ac:dyDescent="0.25">
      <c r="L9787" s="32"/>
    </row>
    <row r="9788" spans="12:12" x14ac:dyDescent="0.25">
      <c r="L9788" s="32"/>
    </row>
    <row r="9789" spans="12:12" x14ac:dyDescent="0.25">
      <c r="L9789" s="32"/>
    </row>
    <row r="9790" spans="12:12" x14ac:dyDescent="0.25">
      <c r="L9790" s="32"/>
    </row>
    <row r="9791" spans="12:12" x14ac:dyDescent="0.25">
      <c r="L9791" s="32"/>
    </row>
    <row r="9792" spans="12:12" x14ac:dyDescent="0.25">
      <c r="L9792" s="32"/>
    </row>
    <row r="9793" spans="12:12" x14ac:dyDescent="0.25">
      <c r="L9793" s="32"/>
    </row>
    <row r="9794" spans="12:12" x14ac:dyDescent="0.25">
      <c r="L9794" s="32"/>
    </row>
    <row r="9795" spans="12:12" x14ac:dyDescent="0.25">
      <c r="L9795" s="32"/>
    </row>
    <row r="9796" spans="12:12" x14ac:dyDescent="0.25">
      <c r="L9796" s="32"/>
    </row>
    <row r="9797" spans="12:12" x14ac:dyDescent="0.25">
      <c r="L9797" s="32"/>
    </row>
    <row r="9798" spans="12:12" x14ac:dyDescent="0.25">
      <c r="L9798" s="32"/>
    </row>
    <row r="9799" spans="12:12" x14ac:dyDescent="0.25">
      <c r="L9799" s="32"/>
    </row>
    <row r="9800" spans="12:12" x14ac:dyDescent="0.25">
      <c r="L9800" s="32"/>
    </row>
    <row r="9801" spans="12:12" x14ac:dyDescent="0.25">
      <c r="L9801" s="32"/>
    </row>
    <row r="9802" spans="12:12" x14ac:dyDescent="0.25">
      <c r="L9802" s="32"/>
    </row>
    <row r="9803" spans="12:12" x14ac:dyDescent="0.25">
      <c r="L9803" s="32"/>
    </row>
    <row r="9804" spans="12:12" x14ac:dyDescent="0.25">
      <c r="L9804" s="32"/>
    </row>
    <row r="9805" spans="12:12" x14ac:dyDescent="0.25">
      <c r="L9805" s="32"/>
    </row>
    <row r="9806" spans="12:12" x14ac:dyDescent="0.25">
      <c r="L9806" s="32"/>
    </row>
    <row r="9807" spans="12:12" x14ac:dyDescent="0.25">
      <c r="L9807" s="32"/>
    </row>
    <row r="9808" spans="12:12" x14ac:dyDescent="0.25">
      <c r="L9808" s="32"/>
    </row>
    <row r="9809" spans="12:12" x14ac:dyDescent="0.25">
      <c r="L9809" s="32"/>
    </row>
    <row r="9810" spans="12:12" x14ac:dyDescent="0.25">
      <c r="L9810" s="32"/>
    </row>
    <row r="9811" spans="12:12" x14ac:dyDescent="0.25">
      <c r="L9811" s="32"/>
    </row>
    <row r="9812" spans="12:12" x14ac:dyDescent="0.25">
      <c r="L9812" s="32"/>
    </row>
    <row r="9813" spans="12:12" x14ac:dyDescent="0.25">
      <c r="L9813" s="32"/>
    </row>
    <row r="9814" spans="12:12" x14ac:dyDescent="0.25">
      <c r="L9814" s="32"/>
    </row>
    <row r="9815" spans="12:12" x14ac:dyDescent="0.25">
      <c r="L9815" s="32"/>
    </row>
    <row r="9816" spans="12:12" x14ac:dyDescent="0.25">
      <c r="L9816" s="32"/>
    </row>
    <row r="9817" spans="12:12" x14ac:dyDescent="0.25">
      <c r="L9817" s="32"/>
    </row>
    <row r="9818" spans="12:12" x14ac:dyDescent="0.25">
      <c r="L9818" s="32"/>
    </row>
    <row r="9819" spans="12:12" x14ac:dyDescent="0.25">
      <c r="L9819" s="32"/>
    </row>
    <row r="9820" spans="12:12" x14ac:dyDescent="0.25">
      <c r="L9820" s="32"/>
    </row>
    <row r="9821" spans="12:12" x14ac:dyDescent="0.25">
      <c r="L9821" s="32"/>
    </row>
    <row r="9822" spans="12:12" x14ac:dyDescent="0.25">
      <c r="L9822" s="32"/>
    </row>
    <row r="9823" spans="12:12" x14ac:dyDescent="0.25">
      <c r="L9823" s="32"/>
    </row>
    <row r="9824" spans="12:12" x14ac:dyDescent="0.25">
      <c r="L9824" s="32"/>
    </row>
    <row r="9825" spans="12:12" x14ac:dyDescent="0.25">
      <c r="L9825" s="32"/>
    </row>
    <row r="9826" spans="12:12" x14ac:dyDescent="0.25">
      <c r="L9826" s="32"/>
    </row>
    <row r="9827" spans="12:12" x14ac:dyDescent="0.25">
      <c r="L9827" s="32"/>
    </row>
    <row r="9828" spans="12:12" x14ac:dyDescent="0.25">
      <c r="L9828" s="32"/>
    </row>
    <row r="9829" spans="12:12" x14ac:dyDescent="0.25">
      <c r="L9829" s="32"/>
    </row>
    <row r="9830" spans="12:12" x14ac:dyDescent="0.25">
      <c r="L9830" s="32"/>
    </row>
    <row r="9831" spans="12:12" x14ac:dyDescent="0.25">
      <c r="L9831" s="32"/>
    </row>
    <row r="9832" spans="12:12" x14ac:dyDescent="0.25">
      <c r="L9832" s="32"/>
    </row>
    <row r="9833" spans="12:12" x14ac:dyDescent="0.25">
      <c r="L9833" s="32"/>
    </row>
    <row r="9834" spans="12:12" x14ac:dyDescent="0.25">
      <c r="L9834" s="32"/>
    </row>
    <row r="9835" spans="12:12" x14ac:dyDescent="0.25">
      <c r="L9835" s="32"/>
    </row>
    <row r="9836" spans="12:12" x14ac:dyDescent="0.25">
      <c r="L9836" s="32"/>
    </row>
    <row r="9837" spans="12:12" x14ac:dyDescent="0.25">
      <c r="L9837" s="32"/>
    </row>
    <row r="9838" spans="12:12" x14ac:dyDescent="0.25">
      <c r="L9838" s="32"/>
    </row>
    <row r="9839" spans="12:12" x14ac:dyDescent="0.25">
      <c r="L9839" s="32"/>
    </row>
    <row r="9840" spans="12:12" x14ac:dyDescent="0.25">
      <c r="L9840" s="32"/>
    </row>
    <row r="9841" spans="12:12" x14ac:dyDescent="0.25">
      <c r="L9841" s="32"/>
    </row>
    <row r="9842" spans="12:12" x14ac:dyDescent="0.25">
      <c r="L9842" s="32"/>
    </row>
    <row r="9843" spans="12:12" x14ac:dyDescent="0.25">
      <c r="L9843" s="32"/>
    </row>
    <row r="9844" spans="12:12" x14ac:dyDescent="0.25">
      <c r="L9844" s="32"/>
    </row>
    <row r="9845" spans="12:12" x14ac:dyDescent="0.25">
      <c r="L9845" s="32"/>
    </row>
    <row r="9846" spans="12:12" x14ac:dyDescent="0.25">
      <c r="L9846" s="32"/>
    </row>
    <row r="9847" spans="12:12" x14ac:dyDescent="0.25">
      <c r="L9847" s="32"/>
    </row>
    <row r="9848" spans="12:12" x14ac:dyDescent="0.25">
      <c r="L9848" s="32"/>
    </row>
    <row r="9849" spans="12:12" x14ac:dyDescent="0.25">
      <c r="L9849" s="32"/>
    </row>
    <row r="9850" spans="12:12" x14ac:dyDescent="0.25">
      <c r="L9850" s="32"/>
    </row>
    <row r="9851" spans="12:12" x14ac:dyDescent="0.25">
      <c r="L9851" s="32"/>
    </row>
    <row r="9852" spans="12:12" x14ac:dyDescent="0.25">
      <c r="L9852" s="32"/>
    </row>
    <row r="9853" spans="12:12" x14ac:dyDescent="0.25">
      <c r="L9853" s="32"/>
    </row>
    <row r="9854" spans="12:12" x14ac:dyDescent="0.25">
      <c r="L9854" s="32"/>
    </row>
    <row r="9855" spans="12:12" x14ac:dyDescent="0.25">
      <c r="L9855" s="32"/>
    </row>
    <row r="9856" spans="12:12" x14ac:dyDescent="0.25">
      <c r="L9856" s="32"/>
    </row>
    <row r="9857" spans="12:12" x14ac:dyDescent="0.25">
      <c r="L9857" s="32"/>
    </row>
    <row r="9858" spans="12:12" x14ac:dyDescent="0.25">
      <c r="L9858" s="32"/>
    </row>
    <row r="9859" spans="12:12" x14ac:dyDescent="0.25">
      <c r="L9859" s="32"/>
    </row>
    <row r="9860" spans="12:12" x14ac:dyDescent="0.25">
      <c r="L9860" s="32"/>
    </row>
    <row r="9861" spans="12:12" x14ac:dyDescent="0.25">
      <c r="L9861" s="32"/>
    </row>
    <row r="9862" spans="12:12" x14ac:dyDescent="0.25">
      <c r="L9862" s="32"/>
    </row>
    <row r="9863" spans="12:12" x14ac:dyDescent="0.25">
      <c r="L9863" s="32"/>
    </row>
    <row r="9864" spans="12:12" x14ac:dyDescent="0.25">
      <c r="L9864" s="32"/>
    </row>
    <row r="9865" spans="12:12" x14ac:dyDescent="0.25">
      <c r="L9865" s="32"/>
    </row>
    <row r="9866" spans="12:12" x14ac:dyDescent="0.25">
      <c r="L9866" s="32"/>
    </row>
    <row r="9867" spans="12:12" x14ac:dyDescent="0.25">
      <c r="L9867" s="32"/>
    </row>
    <row r="9868" spans="12:12" x14ac:dyDescent="0.25">
      <c r="L9868" s="32"/>
    </row>
    <row r="9869" spans="12:12" x14ac:dyDescent="0.25">
      <c r="L9869" s="32"/>
    </row>
    <row r="9870" spans="12:12" x14ac:dyDescent="0.25">
      <c r="L9870" s="32"/>
    </row>
    <row r="9871" spans="12:12" x14ac:dyDescent="0.25">
      <c r="L9871" s="32"/>
    </row>
    <row r="9872" spans="12:12" x14ac:dyDescent="0.25">
      <c r="L9872" s="32"/>
    </row>
    <row r="9873" spans="12:12" x14ac:dyDescent="0.25">
      <c r="L9873" s="32"/>
    </row>
    <row r="9874" spans="12:12" x14ac:dyDescent="0.25">
      <c r="L9874" s="32"/>
    </row>
    <row r="9875" spans="12:12" x14ac:dyDescent="0.25">
      <c r="L9875" s="32"/>
    </row>
    <row r="9876" spans="12:12" x14ac:dyDescent="0.25">
      <c r="L9876" s="32"/>
    </row>
    <row r="9877" spans="12:12" x14ac:dyDescent="0.25">
      <c r="L9877" s="32"/>
    </row>
    <row r="9878" spans="12:12" x14ac:dyDescent="0.25">
      <c r="L9878" s="32"/>
    </row>
    <row r="9879" spans="12:12" x14ac:dyDescent="0.25">
      <c r="L9879" s="32"/>
    </row>
    <row r="9880" spans="12:12" x14ac:dyDescent="0.25">
      <c r="L9880" s="32"/>
    </row>
    <row r="9881" spans="12:12" x14ac:dyDescent="0.25">
      <c r="L9881" s="32"/>
    </row>
    <row r="9882" spans="12:12" x14ac:dyDescent="0.25">
      <c r="L9882" s="32"/>
    </row>
    <row r="9883" spans="12:12" x14ac:dyDescent="0.25">
      <c r="L9883" s="32"/>
    </row>
    <row r="9884" spans="12:12" x14ac:dyDescent="0.25">
      <c r="L9884" s="32"/>
    </row>
    <row r="9885" spans="12:12" x14ac:dyDescent="0.25">
      <c r="L9885" s="32"/>
    </row>
    <row r="9886" spans="12:12" x14ac:dyDescent="0.25">
      <c r="L9886" s="32"/>
    </row>
    <row r="9887" spans="12:12" x14ac:dyDescent="0.25">
      <c r="L9887" s="32"/>
    </row>
    <row r="9888" spans="12:12" x14ac:dyDescent="0.25">
      <c r="L9888" s="32"/>
    </row>
    <row r="9889" spans="12:12" x14ac:dyDescent="0.25">
      <c r="L9889" s="32"/>
    </row>
    <row r="9890" spans="12:12" x14ac:dyDescent="0.25">
      <c r="L9890" s="32"/>
    </row>
    <row r="9891" spans="12:12" x14ac:dyDescent="0.25">
      <c r="L9891" s="32"/>
    </row>
    <row r="9892" spans="12:12" x14ac:dyDescent="0.25">
      <c r="L9892" s="32"/>
    </row>
    <row r="9893" spans="12:12" x14ac:dyDescent="0.25">
      <c r="L9893" s="32"/>
    </row>
    <row r="9894" spans="12:12" x14ac:dyDescent="0.25">
      <c r="L9894" s="32"/>
    </row>
    <row r="9895" spans="12:12" x14ac:dyDescent="0.25">
      <c r="L9895" s="32"/>
    </row>
    <row r="9896" spans="12:12" x14ac:dyDescent="0.25">
      <c r="L9896" s="32"/>
    </row>
    <row r="9897" spans="12:12" x14ac:dyDescent="0.25">
      <c r="L9897" s="32"/>
    </row>
    <row r="9898" spans="12:12" x14ac:dyDescent="0.25">
      <c r="L9898" s="32"/>
    </row>
    <row r="9899" spans="12:12" x14ac:dyDescent="0.25">
      <c r="L9899" s="32"/>
    </row>
    <row r="9900" spans="12:12" x14ac:dyDescent="0.25">
      <c r="L9900" s="32"/>
    </row>
    <row r="9901" spans="12:12" x14ac:dyDescent="0.25">
      <c r="L9901" s="32"/>
    </row>
    <row r="9902" spans="12:12" x14ac:dyDescent="0.25">
      <c r="L9902" s="32"/>
    </row>
    <row r="9903" spans="12:12" x14ac:dyDescent="0.25">
      <c r="L9903" s="32"/>
    </row>
    <row r="9904" spans="12:12" x14ac:dyDescent="0.25">
      <c r="L9904" s="32"/>
    </row>
    <row r="9905" spans="12:12" x14ac:dyDescent="0.25">
      <c r="L9905" s="32"/>
    </row>
    <row r="9906" spans="12:12" x14ac:dyDescent="0.25">
      <c r="L9906" s="32"/>
    </row>
    <row r="9907" spans="12:12" x14ac:dyDescent="0.25">
      <c r="L9907" s="32"/>
    </row>
    <row r="9908" spans="12:12" x14ac:dyDescent="0.25">
      <c r="L9908" s="32"/>
    </row>
    <row r="9909" spans="12:12" x14ac:dyDescent="0.25">
      <c r="L9909" s="32"/>
    </row>
    <row r="9910" spans="12:12" x14ac:dyDescent="0.25">
      <c r="L9910" s="32"/>
    </row>
    <row r="9911" spans="12:12" x14ac:dyDescent="0.25">
      <c r="L9911" s="32"/>
    </row>
    <row r="9912" spans="12:12" x14ac:dyDescent="0.25">
      <c r="L9912" s="32"/>
    </row>
    <row r="9913" spans="12:12" x14ac:dyDescent="0.25">
      <c r="L9913" s="32"/>
    </row>
    <row r="9914" spans="12:12" x14ac:dyDescent="0.25">
      <c r="L9914" s="32"/>
    </row>
    <row r="9915" spans="12:12" x14ac:dyDescent="0.25">
      <c r="L9915" s="32"/>
    </row>
    <row r="9916" spans="12:12" x14ac:dyDescent="0.25">
      <c r="L9916" s="32"/>
    </row>
    <row r="9917" spans="12:12" x14ac:dyDescent="0.25">
      <c r="L9917" s="32"/>
    </row>
    <row r="9918" spans="12:12" x14ac:dyDescent="0.25">
      <c r="L9918" s="32"/>
    </row>
    <row r="9919" spans="12:12" x14ac:dyDescent="0.25">
      <c r="L9919" s="32"/>
    </row>
    <row r="9920" spans="12:12" x14ac:dyDescent="0.25">
      <c r="L9920" s="32"/>
    </row>
    <row r="9921" spans="12:12" x14ac:dyDescent="0.25">
      <c r="L9921" s="32"/>
    </row>
    <row r="9922" spans="12:12" x14ac:dyDescent="0.25">
      <c r="L9922" s="32"/>
    </row>
    <row r="9923" spans="12:12" x14ac:dyDescent="0.25">
      <c r="L9923" s="32"/>
    </row>
    <row r="9924" spans="12:12" x14ac:dyDescent="0.25">
      <c r="L9924" s="32"/>
    </row>
    <row r="9925" spans="12:12" x14ac:dyDescent="0.25">
      <c r="L9925" s="32"/>
    </row>
    <row r="9926" spans="12:12" x14ac:dyDescent="0.25">
      <c r="L9926" s="32"/>
    </row>
    <row r="9927" spans="12:12" x14ac:dyDescent="0.25">
      <c r="L9927" s="32"/>
    </row>
    <row r="9928" spans="12:12" x14ac:dyDescent="0.25">
      <c r="L9928" s="32"/>
    </row>
    <row r="9929" spans="12:12" x14ac:dyDescent="0.25">
      <c r="L9929" s="32"/>
    </row>
    <row r="9930" spans="12:12" x14ac:dyDescent="0.25">
      <c r="L9930" s="32"/>
    </row>
    <row r="9931" spans="12:12" x14ac:dyDescent="0.25">
      <c r="L9931" s="32"/>
    </row>
    <row r="9932" spans="12:12" x14ac:dyDescent="0.25">
      <c r="L9932" s="32"/>
    </row>
    <row r="9933" spans="12:12" x14ac:dyDescent="0.25">
      <c r="L9933" s="32"/>
    </row>
    <row r="9934" spans="12:12" x14ac:dyDescent="0.25">
      <c r="L9934" s="32"/>
    </row>
    <row r="9935" spans="12:12" x14ac:dyDescent="0.25">
      <c r="L9935" s="32"/>
    </row>
    <row r="9936" spans="12:12" x14ac:dyDescent="0.25">
      <c r="L9936" s="32"/>
    </row>
    <row r="9937" spans="12:12" x14ac:dyDescent="0.25">
      <c r="L9937" s="32"/>
    </row>
    <row r="9938" spans="12:12" x14ac:dyDescent="0.25">
      <c r="L9938" s="32"/>
    </row>
    <row r="9939" spans="12:12" x14ac:dyDescent="0.25">
      <c r="L9939" s="32"/>
    </row>
    <row r="9940" spans="12:12" x14ac:dyDescent="0.25">
      <c r="L9940" s="32"/>
    </row>
    <row r="9941" spans="12:12" x14ac:dyDescent="0.25">
      <c r="L9941" s="32"/>
    </row>
    <row r="9942" spans="12:12" x14ac:dyDescent="0.25">
      <c r="L9942" s="32"/>
    </row>
    <row r="9943" spans="12:12" x14ac:dyDescent="0.25">
      <c r="L9943" s="32"/>
    </row>
    <row r="9944" spans="12:12" x14ac:dyDescent="0.25">
      <c r="L9944" s="32"/>
    </row>
    <row r="9945" spans="12:12" x14ac:dyDescent="0.25">
      <c r="L9945" s="32"/>
    </row>
    <row r="9946" spans="12:12" x14ac:dyDescent="0.25">
      <c r="L9946" s="32"/>
    </row>
    <row r="9947" spans="12:12" x14ac:dyDescent="0.25">
      <c r="L9947" s="32"/>
    </row>
    <row r="9948" spans="12:12" x14ac:dyDescent="0.25">
      <c r="L9948" s="32"/>
    </row>
    <row r="9949" spans="12:12" x14ac:dyDescent="0.25">
      <c r="L9949" s="32"/>
    </row>
    <row r="9950" spans="12:12" x14ac:dyDescent="0.25">
      <c r="L9950" s="32"/>
    </row>
    <row r="9951" spans="12:12" x14ac:dyDescent="0.25">
      <c r="L9951" s="32"/>
    </row>
    <row r="9952" spans="12:12" x14ac:dyDescent="0.25">
      <c r="L9952" s="32"/>
    </row>
    <row r="9953" spans="12:12" x14ac:dyDescent="0.25">
      <c r="L9953" s="32"/>
    </row>
    <row r="9954" spans="12:12" x14ac:dyDescent="0.25">
      <c r="L9954" s="32"/>
    </row>
    <row r="9955" spans="12:12" x14ac:dyDescent="0.25">
      <c r="L9955" s="32"/>
    </row>
    <row r="9956" spans="12:12" x14ac:dyDescent="0.25">
      <c r="L9956" s="32"/>
    </row>
    <row r="9957" spans="12:12" x14ac:dyDescent="0.25">
      <c r="L9957" s="32"/>
    </row>
    <row r="9958" spans="12:12" x14ac:dyDescent="0.25">
      <c r="L9958" s="32"/>
    </row>
    <row r="9959" spans="12:12" x14ac:dyDescent="0.25">
      <c r="L9959" s="32"/>
    </row>
    <row r="9960" spans="12:12" x14ac:dyDescent="0.25">
      <c r="L9960" s="32"/>
    </row>
    <row r="9961" spans="12:12" x14ac:dyDescent="0.25">
      <c r="L9961" s="32"/>
    </row>
    <row r="9962" spans="12:12" x14ac:dyDescent="0.25">
      <c r="L9962" s="32"/>
    </row>
    <row r="9963" spans="12:12" x14ac:dyDescent="0.25">
      <c r="L9963" s="32"/>
    </row>
    <row r="9964" spans="12:12" x14ac:dyDescent="0.25">
      <c r="L9964" s="32"/>
    </row>
    <row r="9965" spans="12:12" x14ac:dyDescent="0.25">
      <c r="L9965" s="32"/>
    </row>
    <row r="9966" spans="12:12" x14ac:dyDescent="0.25">
      <c r="L9966" s="32"/>
    </row>
    <row r="9967" spans="12:12" x14ac:dyDescent="0.25">
      <c r="L9967" s="32"/>
    </row>
    <row r="9968" spans="12:12" x14ac:dyDescent="0.25">
      <c r="L9968" s="32"/>
    </row>
    <row r="9969" spans="12:12" x14ac:dyDescent="0.25">
      <c r="L9969" s="32"/>
    </row>
    <row r="9970" spans="12:12" x14ac:dyDescent="0.25">
      <c r="L9970" s="32"/>
    </row>
    <row r="9971" spans="12:12" x14ac:dyDescent="0.25">
      <c r="L9971" s="32"/>
    </row>
    <row r="9972" spans="12:12" x14ac:dyDescent="0.25">
      <c r="L9972" s="32"/>
    </row>
    <row r="9973" spans="12:12" x14ac:dyDescent="0.25">
      <c r="L9973" s="32"/>
    </row>
    <row r="9974" spans="12:12" x14ac:dyDescent="0.25">
      <c r="L9974" s="32"/>
    </row>
    <row r="9975" spans="12:12" x14ac:dyDescent="0.25">
      <c r="L9975" s="32"/>
    </row>
    <row r="9976" spans="12:12" x14ac:dyDescent="0.25">
      <c r="L9976" s="32"/>
    </row>
    <row r="9977" spans="12:12" x14ac:dyDescent="0.25">
      <c r="L9977" s="32"/>
    </row>
    <row r="9978" spans="12:12" x14ac:dyDescent="0.25">
      <c r="L9978" s="32"/>
    </row>
    <row r="9979" spans="12:12" x14ac:dyDescent="0.25">
      <c r="L9979" s="32"/>
    </row>
    <row r="9980" spans="12:12" x14ac:dyDescent="0.25">
      <c r="L9980" s="32"/>
    </row>
    <row r="9981" spans="12:12" x14ac:dyDescent="0.25">
      <c r="L9981" s="32"/>
    </row>
    <row r="9982" spans="12:12" x14ac:dyDescent="0.25">
      <c r="L9982" s="32"/>
    </row>
    <row r="9983" spans="12:12" x14ac:dyDescent="0.25">
      <c r="L9983" s="32"/>
    </row>
    <row r="9984" spans="12:12" x14ac:dyDescent="0.25">
      <c r="L9984" s="32"/>
    </row>
    <row r="9985" spans="12:12" x14ac:dyDescent="0.25">
      <c r="L9985" s="32"/>
    </row>
    <row r="9986" spans="12:12" x14ac:dyDescent="0.25">
      <c r="L9986" s="32"/>
    </row>
    <row r="9987" spans="12:12" x14ac:dyDescent="0.25">
      <c r="L9987" s="32"/>
    </row>
    <row r="9988" spans="12:12" x14ac:dyDescent="0.25">
      <c r="L9988" s="32"/>
    </row>
    <row r="9989" spans="12:12" x14ac:dyDescent="0.25">
      <c r="L9989" s="32"/>
    </row>
    <row r="9990" spans="12:12" x14ac:dyDescent="0.25">
      <c r="L9990" s="32"/>
    </row>
    <row r="9991" spans="12:12" x14ac:dyDescent="0.25">
      <c r="L9991" s="32"/>
    </row>
    <row r="9992" spans="12:12" x14ac:dyDescent="0.25">
      <c r="L9992" s="32"/>
    </row>
    <row r="9993" spans="12:12" x14ac:dyDescent="0.25">
      <c r="L9993" s="32"/>
    </row>
    <row r="9994" spans="12:12" x14ac:dyDescent="0.25">
      <c r="L9994" s="32"/>
    </row>
    <row r="9995" spans="12:12" x14ac:dyDescent="0.25">
      <c r="L9995" s="32"/>
    </row>
    <row r="9996" spans="12:12" x14ac:dyDescent="0.25">
      <c r="L9996" s="32"/>
    </row>
    <row r="9997" spans="12:12" x14ac:dyDescent="0.25">
      <c r="L9997" s="32"/>
    </row>
    <row r="9998" spans="12:12" x14ac:dyDescent="0.25">
      <c r="L9998" s="32"/>
    </row>
    <row r="9999" spans="12:12" x14ac:dyDescent="0.25">
      <c r="L9999" s="32"/>
    </row>
    <row r="10000" spans="12:12" x14ac:dyDescent="0.25">
      <c r="L10000" s="32"/>
    </row>
    <row r="10001" spans="12:12" x14ac:dyDescent="0.25">
      <c r="L10001" s="32"/>
    </row>
    <row r="10002" spans="12:12" x14ac:dyDescent="0.25">
      <c r="L10002" s="32"/>
    </row>
    <row r="10003" spans="12:12" x14ac:dyDescent="0.25">
      <c r="L10003" s="32"/>
    </row>
    <row r="10004" spans="12:12" x14ac:dyDescent="0.25">
      <c r="L10004" s="32"/>
    </row>
    <row r="10005" spans="12:12" x14ac:dyDescent="0.25">
      <c r="L10005" s="32"/>
    </row>
    <row r="10006" spans="12:12" x14ac:dyDescent="0.25">
      <c r="L10006" s="32"/>
    </row>
    <row r="10007" spans="12:12" x14ac:dyDescent="0.25">
      <c r="L10007" s="32"/>
    </row>
    <row r="10008" spans="12:12" x14ac:dyDescent="0.25">
      <c r="L10008" s="32"/>
    </row>
    <row r="10009" spans="12:12" x14ac:dyDescent="0.25">
      <c r="L10009" s="32"/>
    </row>
    <row r="10010" spans="12:12" x14ac:dyDescent="0.25">
      <c r="L10010" s="32"/>
    </row>
    <row r="10011" spans="12:12" x14ac:dyDescent="0.25">
      <c r="L10011" s="32"/>
    </row>
    <row r="10012" spans="12:12" x14ac:dyDescent="0.25">
      <c r="L10012" s="32"/>
    </row>
    <row r="10013" spans="12:12" x14ac:dyDescent="0.25">
      <c r="L10013" s="32"/>
    </row>
    <row r="10014" spans="12:12" x14ac:dyDescent="0.25">
      <c r="L10014" s="32"/>
    </row>
    <row r="10015" spans="12:12" x14ac:dyDescent="0.25">
      <c r="L10015" s="32"/>
    </row>
    <row r="10016" spans="12:12" x14ac:dyDescent="0.25">
      <c r="L10016" s="32"/>
    </row>
    <row r="10017" spans="12:12" x14ac:dyDescent="0.25">
      <c r="L10017" s="32"/>
    </row>
    <row r="10018" spans="12:12" x14ac:dyDescent="0.25">
      <c r="L10018" s="32"/>
    </row>
    <row r="10019" spans="12:12" x14ac:dyDescent="0.25">
      <c r="L10019" s="32"/>
    </row>
    <row r="10020" spans="12:12" x14ac:dyDescent="0.25">
      <c r="L10020" s="32"/>
    </row>
    <row r="10021" spans="12:12" x14ac:dyDescent="0.25">
      <c r="L10021" s="32"/>
    </row>
    <row r="10022" spans="12:12" x14ac:dyDescent="0.25">
      <c r="L10022" s="32"/>
    </row>
    <row r="10023" spans="12:12" x14ac:dyDescent="0.25">
      <c r="L10023" s="32"/>
    </row>
    <row r="10024" spans="12:12" x14ac:dyDescent="0.25">
      <c r="L10024" s="32"/>
    </row>
    <row r="10025" spans="12:12" x14ac:dyDescent="0.25">
      <c r="L10025" s="32"/>
    </row>
    <row r="10026" spans="12:12" x14ac:dyDescent="0.25">
      <c r="L10026" s="32"/>
    </row>
    <row r="10027" spans="12:12" x14ac:dyDescent="0.25">
      <c r="L10027" s="32"/>
    </row>
    <row r="10028" spans="12:12" x14ac:dyDescent="0.25">
      <c r="L10028" s="32"/>
    </row>
    <row r="10029" spans="12:12" x14ac:dyDescent="0.25">
      <c r="L10029" s="32"/>
    </row>
    <row r="10030" spans="12:12" x14ac:dyDescent="0.25">
      <c r="L10030" s="32"/>
    </row>
    <row r="10031" spans="12:12" x14ac:dyDescent="0.25">
      <c r="L10031" s="32"/>
    </row>
    <row r="10032" spans="12:12" x14ac:dyDescent="0.25">
      <c r="L10032" s="32"/>
    </row>
    <row r="10033" spans="12:12" x14ac:dyDescent="0.25">
      <c r="L10033" s="32"/>
    </row>
    <row r="10034" spans="12:12" x14ac:dyDescent="0.25">
      <c r="L10034" s="32"/>
    </row>
    <row r="10035" spans="12:12" x14ac:dyDescent="0.25">
      <c r="L10035" s="32"/>
    </row>
    <row r="10036" spans="12:12" x14ac:dyDescent="0.25">
      <c r="L10036" s="32"/>
    </row>
    <row r="10037" spans="12:12" x14ac:dyDescent="0.25">
      <c r="L10037" s="32"/>
    </row>
    <row r="10038" spans="12:12" x14ac:dyDescent="0.25">
      <c r="L10038" s="32"/>
    </row>
    <row r="10039" spans="12:12" x14ac:dyDescent="0.25">
      <c r="L10039" s="32"/>
    </row>
    <row r="10040" spans="12:12" x14ac:dyDescent="0.25">
      <c r="L10040" s="32"/>
    </row>
    <row r="10041" spans="12:12" x14ac:dyDescent="0.25">
      <c r="L10041" s="32"/>
    </row>
    <row r="10042" spans="12:12" x14ac:dyDescent="0.25">
      <c r="L10042" s="32"/>
    </row>
    <row r="10043" spans="12:12" x14ac:dyDescent="0.25">
      <c r="L10043" s="32"/>
    </row>
    <row r="10044" spans="12:12" x14ac:dyDescent="0.25">
      <c r="L10044" s="32"/>
    </row>
    <row r="10045" spans="12:12" x14ac:dyDescent="0.25">
      <c r="L10045" s="32"/>
    </row>
    <row r="10046" spans="12:12" x14ac:dyDescent="0.25">
      <c r="L10046" s="32"/>
    </row>
    <row r="10047" spans="12:12" x14ac:dyDescent="0.25">
      <c r="L10047" s="32"/>
    </row>
    <row r="10048" spans="12:12" x14ac:dyDescent="0.25">
      <c r="L10048" s="32"/>
    </row>
    <row r="10049" spans="12:12" x14ac:dyDescent="0.25">
      <c r="L10049" s="32"/>
    </row>
    <row r="10050" spans="12:12" x14ac:dyDescent="0.25">
      <c r="L10050" s="32"/>
    </row>
    <row r="10051" spans="12:12" x14ac:dyDescent="0.25">
      <c r="L10051" s="32"/>
    </row>
    <row r="10052" spans="12:12" x14ac:dyDescent="0.25">
      <c r="L10052" s="32"/>
    </row>
    <row r="10053" spans="12:12" x14ac:dyDescent="0.25">
      <c r="L10053" s="32"/>
    </row>
    <row r="10054" spans="12:12" x14ac:dyDescent="0.25">
      <c r="L10054" s="32"/>
    </row>
    <row r="10055" spans="12:12" x14ac:dyDescent="0.25">
      <c r="L10055" s="32"/>
    </row>
    <row r="10056" spans="12:12" x14ac:dyDescent="0.25">
      <c r="L10056" s="32"/>
    </row>
    <row r="10057" spans="12:12" x14ac:dyDescent="0.25">
      <c r="L10057" s="32"/>
    </row>
    <row r="10058" spans="12:12" x14ac:dyDescent="0.25">
      <c r="L10058" s="32"/>
    </row>
    <row r="10059" spans="12:12" x14ac:dyDescent="0.25">
      <c r="L10059" s="32"/>
    </row>
    <row r="10060" spans="12:12" x14ac:dyDescent="0.25">
      <c r="L10060" s="32"/>
    </row>
    <row r="10061" spans="12:12" x14ac:dyDescent="0.25">
      <c r="L10061" s="32"/>
    </row>
    <row r="10062" spans="12:12" x14ac:dyDescent="0.25">
      <c r="L10062" s="32"/>
    </row>
    <row r="10063" spans="12:12" x14ac:dyDescent="0.25">
      <c r="L10063" s="32"/>
    </row>
    <row r="10064" spans="12:12" x14ac:dyDescent="0.25">
      <c r="L10064" s="32"/>
    </row>
    <row r="10065" spans="12:12" x14ac:dyDescent="0.25">
      <c r="L10065" s="32"/>
    </row>
    <row r="10066" spans="12:12" x14ac:dyDescent="0.25">
      <c r="L10066" s="32"/>
    </row>
    <row r="10067" spans="12:12" x14ac:dyDescent="0.25">
      <c r="L10067" s="32"/>
    </row>
    <row r="10068" spans="12:12" x14ac:dyDescent="0.25">
      <c r="L10068" s="32"/>
    </row>
    <row r="10069" spans="12:12" x14ac:dyDescent="0.25">
      <c r="L10069" s="32"/>
    </row>
    <row r="10070" spans="12:12" x14ac:dyDescent="0.25">
      <c r="L10070" s="32"/>
    </row>
    <row r="10071" spans="12:12" x14ac:dyDescent="0.25">
      <c r="L10071" s="32"/>
    </row>
    <row r="10072" spans="12:12" x14ac:dyDescent="0.25">
      <c r="L10072" s="32"/>
    </row>
    <row r="10073" spans="12:12" x14ac:dyDescent="0.25">
      <c r="L10073" s="32"/>
    </row>
    <row r="10074" spans="12:12" x14ac:dyDescent="0.25">
      <c r="L10074" s="32"/>
    </row>
    <row r="10075" spans="12:12" x14ac:dyDescent="0.25">
      <c r="L10075" s="32"/>
    </row>
    <row r="10076" spans="12:12" x14ac:dyDescent="0.25">
      <c r="L10076" s="32"/>
    </row>
    <row r="10077" spans="12:12" x14ac:dyDescent="0.25">
      <c r="L10077" s="32"/>
    </row>
    <row r="10078" spans="12:12" x14ac:dyDescent="0.25">
      <c r="L10078" s="32"/>
    </row>
    <row r="10079" spans="12:12" x14ac:dyDescent="0.25">
      <c r="L10079" s="32"/>
    </row>
    <row r="10080" spans="12:12" x14ac:dyDescent="0.25">
      <c r="L10080" s="32"/>
    </row>
    <row r="10081" spans="12:12" x14ac:dyDescent="0.25">
      <c r="L10081" s="32"/>
    </row>
    <row r="10082" spans="12:12" x14ac:dyDescent="0.25">
      <c r="L10082" s="32"/>
    </row>
    <row r="10083" spans="12:12" x14ac:dyDescent="0.25">
      <c r="L10083" s="32"/>
    </row>
    <row r="10084" spans="12:12" x14ac:dyDescent="0.25">
      <c r="L10084" s="32"/>
    </row>
    <row r="10085" spans="12:12" x14ac:dyDescent="0.25">
      <c r="L10085" s="32"/>
    </row>
    <row r="10086" spans="12:12" x14ac:dyDescent="0.25">
      <c r="L10086" s="32"/>
    </row>
    <row r="10087" spans="12:12" x14ac:dyDescent="0.25">
      <c r="L10087" s="32"/>
    </row>
    <row r="10088" spans="12:12" x14ac:dyDescent="0.25">
      <c r="L10088" s="32"/>
    </row>
    <row r="10089" spans="12:12" x14ac:dyDescent="0.25">
      <c r="L10089" s="32"/>
    </row>
    <row r="10090" spans="12:12" x14ac:dyDescent="0.25">
      <c r="L10090" s="32"/>
    </row>
    <row r="10091" spans="12:12" x14ac:dyDescent="0.25">
      <c r="L10091" s="32"/>
    </row>
    <row r="10092" spans="12:12" x14ac:dyDescent="0.25">
      <c r="L10092" s="32"/>
    </row>
    <row r="10093" spans="12:12" x14ac:dyDescent="0.25">
      <c r="L10093" s="32"/>
    </row>
    <row r="10094" spans="12:12" x14ac:dyDescent="0.25">
      <c r="L10094" s="32"/>
    </row>
    <row r="10095" spans="12:12" x14ac:dyDescent="0.25">
      <c r="L10095" s="32"/>
    </row>
    <row r="10096" spans="12:12" x14ac:dyDescent="0.25">
      <c r="L10096" s="32"/>
    </row>
    <row r="10097" spans="12:12" x14ac:dyDescent="0.25">
      <c r="L10097" s="32"/>
    </row>
    <row r="10098" spans="12:12" x14ac:dyDescent="0.25">
      <c r="L10098" s="32"/>
    </row>
    <row r="10099" spans="12:12" x14ac:dyDescent="0.25">
      <c r="L10099" s="32"/>
    </row>
    <row r="10100" spans="12:12" x14ac:dyDescent="0.25">
      <c r="L10100" s="32"/>
    </row>
    <row r="10101" spans="12:12" x14ac:dyDescent="0.25">
      <c r="L10101" s="32"/>
    </row>
    <row r="10102" spans="12:12" x14ac:dyDescent="0.25">
      <c r="L10102" s="32"/>
    </row>
    <row r="10103" spans="12:12" x14ac:dyDescent="0.25">
      <c r="L10103" s="32"/>
    </row>
    <row r="10104" spans="12:12" x14ac:dyDescent="0.25">
      <c r="L10104" s="32"/>
    </row>
    <row r="10105" spans="12:12" x14ac:dyDescent="0.25">
      <c r="L10105" s="32"/>
    </row>
    <row r="10106" spans="12:12" x14ac:dyDescent="0.25">
      <c r="L10106" s="32"/>
    </row>
    <row r="10107" spans="12:12" x14ac:dyDescent="0.25">
      <c r="L10107" s="32"/>
    </row>
    <row r="10108" spans="12:12" x14ac:dyDescent="0.25">
      <c r="L10108" s="32"/>
    </row>
    <row r="10109" spans="12:12" x14ac:dyDescent="0.25">
      <c r="L10109" s="32"/>
    </row>
    <row r="10110" spans="12:12" x14ac:dyDescent="0.25">
      <c r="L10110" s="32"/>
    </row>
    <row r="10111" spans="12:12" x14ac:dyDescent="0.25">
      <c r="L10111" s="32"/>
    </row>
    <row r="10112" spans="12:12" x14ac:dyDescent="0.25">
      <c r="L10112" s="32"/>
    </row>
    <row r="10113" spans="12:12" x14ac:dyDescent="0.25">
      <c r="L10113" s="32"/>
    </row>
    <row r="10114" spans="12:12" x14ac:dyDescent="0.25">
      <c r="L10114" s="32"/>
    </row>
    <row r="10115" spans="12:12" x14ac:dyDescent="0.25">
      <c r="L10115" s="32"/>
    </row>
    <row r="10116" spans="12:12" x14ac:dyDescent="0.25">
      <c r="L10116" s="32"/>
    </row>
    <row r="10117" spans="12:12" x14ac:dyDescent="0.25">
      <c r="L10117" s="32"/>
    </row>
    <row r="10118" spans="12:12" x14ac:dyDescent="0.25">
      <c r="L10118" s="32"/>
    </row>
    <row r="10119" spans="12:12" x14ac:dyDescent="0.25">
      <c r="L10119" s="32"/>
    </row>
    <row r="10120" spans="12:12" x14ac:dyDescent="0.25">
      <c r="L10120" s="32"/>
    </row>
    <row r="10121" spans="12:12" x14ac:dyDescent="0.25">
      <c r="L10121" s="32"/>
    </row>
    <row r="10122" spans="12:12" x14ac:dyDescent="0.25">
      <c r="L10122" s="32"/>
    </row>
    <row r="10123" spans="12:12" x14ac:dyDescent="0.25">
      <c r="L10123" s="32"/>
    </row>
    <row r="10124" spans="12:12" x14ac:dyDescent="0.25">
      <c r="L10124" s="32"/>
    </row>
    <row r="10125" spans="12:12" x14ac:dyDescent="0.25">
      <c r="L10125" s="32"/>
    </row>
    <row r="10126" spans="12:12" x14ac:dyDescent="0.25">
      <c r="L10126" s="32"/>
    </row>
    <row r="10127" spans="12:12" x14ac:dyDescent="0.25">
      <c r="L10127" s="32"/>
    </row>
    <row r="10128" spans="12:12" x14ac:dyDescent="0.25">
      <c r="L10128" s="32"/>
    </row>
    <row r="10129" spans="12:12" x14ac:dyDescent="0.25">
      <c r="L10129" s="32"/>
    </row>
    <row r="10130" spans="12:12" x14ac:dyDescent="0.25">
      <c r="L10130" s="32"/>
    </row>
    <row r="10131" spans="12:12" x14ac:dyDescent="0.25">
      <c r="L10131" s="32"/>
    </row>
    <row r="10132" spans="12:12" x14ac:dyDescent="0.25">
      <c r="L10132" s="32"/>
    </row>
    <row r="10133" spans="12:12" x14ac:dyDescent="0.25">
      <c r="L10133" s="32"/>
    </row>
    <row r="10134" spans="12:12" x14ac:dyDescent="0.25">
      <c r="L10134" s="32"/>
    </row>
    <row r="10135" spans="12:12" x14ac:dyDescent="0.25">
      <c r="L10135" s="32"/>
    </row>
    <row r="10136" spans="12:12" x14ac:dyDescent="0.25">
      <c r="L10136" s="32"/>
    </row>
    <row r="10137" spans="12:12" x14ac:dyDescent="0.25">
      <c r="L10137" s="32"/>
    </row>
    <row r="10138" spans="12:12" x14ac:dyDescent="0.25">
      <c r="L10138" s="32"/>
    </row>
    <row r="10139" spans="12:12" x14ac:dyDescent="0.25">
      <c r="L10139" s="32"/>
    </row>
    <row r="10140" spans="12:12" x14ac:dyDescent="0.25">
      <c r="L10140" s="32"/>
    </row>
    <row r="10141" spans="12:12" x14ac:dyDescent="0.25">
      <c r="L10141" s="32"/>
    </row>
    <row r="10142" spans="12:12" x14ac:dyDescent="0.25">
      <c r="L10142" s="32"/>
    </row>
    <row r="10143" spans="12:12" x14ac:dyDescent="0.25">
      <c r="L10143" s="32"/>
    </row>
    <row r="10144" spans="12:12" x14ac:dyDescent="0.25">
      <c r="L10144" s="32"/>
    </row>
    <row r="10145" spans="12:12" x14ac:dyDescent="0.25">
      <c r="L10145" s="32"/>
    </row>
    <row r="10146" spans="12:12" x14ac:dyDescent="0.25">
      <c r="L10146" s="32"/>
    </row>
    <row r="10147" spans="12:12" x14ac:dyDescent="0.25">
      <c r="L10147" s="32"/>
    </row>
    <row r="10148" spans="12:12" x14ac:dyDescent="0.25">
      <c r="L10148" s="32"/>
    </row>
    <row r="10149" spans="12:12" x14ac:dyDescent="0.25">
      <c r="L10149" s="32"/>
    </row>
    <row r="10150" spans="12:12" x14ac:dyDescent="0.25">
      <c r="L10150" s="32"/>
    </row>
    <row r="10151" spans="12:12" x14ac:dyDescent="0.25">
      <c r="L10151" s="32"/>
    </row>
    <row r="10152" spans="12:12" x14ac:dyDescent="0.25">
      <c r="L10152" s="32"/>
    </row>
    <row r="10153" spans="12:12" x14ac:dyDescent="0.25">
      <c r="L10153" s="32"/>
    </row>
    <row r="10154" spans="12:12" x14ac:dyDescent="0.25">
      <c r="L10154" s="32"/>
    </row>
    <row r="10155" spans="12:12" x14ac:dyDescent="0.25">
      <c r="L10155" s="32"/>
    </row>
    <row r="10156" spans="12:12" x14ac:dyDescent="0.25">
      <c r="L10156" s="32"/>
    </row>
    <row r="10157" spans="12:12" x14ac:dyDescent="0.25">
      <c r="L10157" s="32"/>
    </row>
    <row r="10158" spans="12:12" x14ac:dyDescent="0.25">
      <c r="L10158" s="32"/>
    </row>
    <row r="10159" spans="12:12" x14ac:dyDescent="0.25">
      <c r="L10159" s="32"/>
    </row>
    <row r="10160" spans="12:12" x14ac:dyDescent="0.25">
      <c r="L10160" s="32"/>
    </row>
    <row r="10161" spans="12:12" x14ac:dyDescent="0.25">
      <c r="L10161" s="32"/>
    </row>
    <row r="10162" spans="12:12" x14ac:dyDescent="0.25">
      <c r="L10162" s="32"/>
    </row>
    <row r="10163" spans="12:12" x14ac:dyDescent="0.25">
      <c r="L10163" s="32"/>
    </row>
    <row r="10164" spans="12:12" x14ac:dyDescent="0.25">
      <c r="L10164" s="32"/>
    </row>
    <row r="10165" spans="12:12" x14ac:dyDescent="0.25">
      <c r="L10165" s="32"/>
    </row>
    <row r="10166" spans="12:12" x14ac:dyDescent="0.25">
      <c r="L10166" s="32"/>
    </row>
    <row r="10167" spans="12:12" x14ac:dyDescent="0.25">
      <c r="L10167" s="32"/>
    </row>
    <row r="10168" spans="12:12" x14ac:dyDescent="0.25">
      <c r="L10168" s="32"/>
    </row>
    <row r="10169" spans="12:12" x14ac:dyDescent="0.25">
      <c r="L10169" s="32"/>
    </row>
    <row r="10170" spans="12:12" x14ac:dyDescent="0.25">
      <c r="L10170" s="32"/>
    </row>
    <row r="10171" spans="12:12" x14ac:dyDescent="0.25">
      <c r="L10171" s="32"/>
    </row>
    <row r="10172" spans="12:12" x14ac:dyDescent="0.25">
      <c r="L10172" s="32"/>
    </row>
    <row r="10173" spans="12:12" x14ac:dyDescent="0.25">
      <c r="L10173" s="32"/>
    </row>
    <row r="10174" spans="12:12" x14ac:dyDescent="0.25">
      <c r="L10174" s="32"/>
    </row>
    <row r="10175" spans="12:12" x14ac:dyDescent="0.25">
      <c r="L10175" s="32"/>
    </row>
    <row r="10176" spans="12:12" x14ac:dyDescent="0.25">
      <c r="L10176" s="32"/>
    </row>
    <row r="10177" spans="12:12" x14ac:dyDescent="0.25">
      <c r="L10177" s="32"/>
    </row>
    <row r="10178" spans="12:12" x14ac:dyDescent="0.25">
      <c r="L10178" s="32"/>
    </row>
    <row r="10179" spans="12:12" x14ac:dyDescent="0.25">
      <c r="L10179" s="32"/>
    </row>
    <row r="10180" spans="12:12" x14ac:dyDescent="0.25">
      <c r="L10180" s="32"/>
    </row>
    <row r="10181" spans="12:12" x14ac:dyDescent="0.25">
      <c r="L10181" s="32"/>
    </row>
    <row r="10182" spans="12:12" x14ac:dyDescent="0.25">
      <c r="L10182" s="32"/>
    </row>
    <row r="10183" spans="12:12" x14ac:dyDescent="0.25">
      <c r="L10183" s="32"/>
    </row>
    <row r="10184" spans="12:12" x14ac:dyDescent="0.25">
      <c r="L10184" s="32"/>
    </row>
    <row r="10185" spans="12:12" x14ac:dyDescent="0.25">
      <c r="L10185" s="32"/>
    </row>
    <row r="10186" spans="12:12" x14ac:dyDescent="0.25">
      <c r="L10186" s="32"/>
    </row>
    <row r="10187" spans="12:12" x14ac:dyDescent="0.25">
      <c r="L10187" s="32"/>
    </row>
    <row r="10188" spans="12:12" x14ac:dyDescent="0.25">
      <c r="L10188" s="32"/>
    </row>
    <row r="10189" spans="12:12" x14ac:dyDescent="0.25">
      <c r="L10189" s="32"/>
    </row>
    <row r="10190" spans="12:12" x14ac:dyDescent="0.25">
      <c r="L10190" s="32"/>
    </row>
    <row r="10191" spans="12:12" x14ac:dyDescent="0.25">
      <c r="L10191" s="32"/>
    </row>
    <row r="10192" spans="12:12" x14ac:dyDescent="0.25">
      <c r="L10192" s="32"/>
    </row>
    <row r="10193" spans="12:12" x14ac:dyDescent="0.25">
      <c r="L10193" s="32"/>
    </row>
    <row r="10194" spans="12:12" x14ac:dyDescent="0.25">
      <c r="L10194" s="32"/>
    </row>
    <row r="10195" spans="12:12" x14ac:dyDescent="0.25">
      <c r="L10195" s="32"/>
    </row>
    <row r="10196" spans="12:12" x14ac:dyDescent="0.25">
      <c r="L10196" s="32"/>
    </row>
    <row r="10197" spans="12:12" x14ac:dyDescent="0.25">
      <c r="L10197" s="32"/>
    </row>
    <row r="10198" spans="12:12" x14ac:dyDescent="0.25">
      <c r="L10198" s="32"/>
    </row>
    <row r="10199" spans="12:12" x14ac:dyDescent="0.25">
      <c r="L10199" s="32"/>
    </row>
    <row r="10200" spans="12:12" x14ac:dyDescent="0.25">
      <c r="L10200" s="32"/>
    </row>
    <row r="10201" spans="12:12" x14ac:dyDescent="0.25">
      <c r="L10201" s="32"/>
    </row>
    <row r="10202" spans="12:12" x14ac:dyDescent="0.25">
      <c r="L10202" s="32"/>
    </row>
    <row r="10203" spans="12:12" x14ac:dyDescent="0.25">
      <c r="L10203" s="32"/>
    </row>
    <row r="10204" spans="12:12" x14ac:dyDescent="0.25">
      <c r="L10204" s="32"/>
    </row>
    <row r="10205" spans="12:12" x14ac:dyDescent="0.25">
      <c r="L10205" s="32"/>
    </row>
    <row r="10206" spans="12:12" x14ac:dyDescent="0.25">
      <c r="L10206" s="32"/>
    </row>
    <row r="10207" spans="12:12" x14ac:dyDescent="0.25">
      <c r="L10207" s="32"/>
    </row>
    <row r="10208" spans="12:12" x14ac:dyDescent="0.25">
      <c r="L10208" s="32"/>
    </row>
    <row r="10209" spans="12:12" x14ac:dyDescent="0.25">
      <c r="L10209" s="32"/>
    </row>
    <row r="10210" spans="12:12" x14ac:dyDescent="0.25">
      <c r="L10210" s="32"/>
    </row>
    <row r="10211" spans="12:12" x14ac:dyDescent="0.25">
      <c r="L10211" s="32"/>
    </row>
    <row r="10212" spans="12:12" x14ac:dyDescent="0.25">
      <c r="L10212" s="32"/>
    </row>
    <row r="10213" spans="12:12" x14ac:dyDescent="0.25">
      <c r="L10213" s="32"/>
    </row>
    <row r="10214" spans="12:12" x14ac:dyDescent="0.25">
      <c r="L10214" s="32"/>
    </row>
    <row r="10215" spans="12:12" x14ac:dyDescent="0.25">
      <c r="L10215" s="32"/>
    </row>
    <row r="10216" spans="12:12" x14ac:dyDescent="0.25">
      <c r="L10216" s="32"/>
    </row>
    <row r="10217" spans="12:12" x14ac:dyDescent="0.25">
      <c r="L10217" s="32"/>
    </row>
    <row r="10218" spans="12:12" x14ac:dyDescent="0.25">
      <c r="L10218" s="32"/>
    </row>
    <row r="10219" spans="12:12" x14ac:dyDescent="0.25">
      <c r="L10219" s="32"/>
    </row>
    <row r="10220" spans="12:12" x14ac:dyDescent="0.25">
      <c r="L10220" s="32"/>
    </row>
    <row r="10221" spans="12:12" x14ac:dyDescent="0.25">
      <c r="L10221" s="32"/>
    </row>
    <row r="10222" spans="12:12" x14ac:dyDescent="0.25">
      <c r="L10222" s="32"/>
    </row>
    <row r="10223" spans="12:12" x14ac:dyDescent="0.25">
      <c r="L10223" s="32"/>
    </row>
    <row r="10224" spans="12:12" x14ac:dyDescent="0.25">
      <c r="L10224" s="32"/>
    </row>
    <row r="10225" spans="12:12" x14ac:dyDescent="0.25">
      <c r="L10225" s="32"/>
    </row>
    <row r="10226" spans="12:12" x14ac:dyDescent="0.25">
      <c r="L10226" s="32"/>
    </row>
    <row r="10227" spans="12:12" x14ac:dyDescent="0.25">
      <c r="L10227" s="32"/>
    </row>
    <row r="10228" spans="12:12" x14ac:dyDescent="0.25">
      <c r="L10228" s="32"/>
    </row>
    <row r="10229" spans="12:12" x14ac:dyDescent="0.25">
      <c r="L10229" s="32"/>
    </row>
    <row r="10230" spans="12:12" x14ac:dyDescent="0.25">
      <c r="L10230" s="32"/>
    </row>
    <row r="10231" spans="12:12" x14ac:dyDescent="0.25">
      <c r="L10231" s="32"/>
    </row>
    <row r="10232" spans="12:12" x14ac:dyDescent="0.25">
      <c r="L10232" s="32"/>
    </row>
    <row r="10233" spans="12:12" x14ac:dyDescent="0.25">
      <c r="L10233" s="32"/>
    </row>
    <row r="10234" spans="12:12" x14ac:dyDescent="0.25">
      <c r="L10234" s="32"/>
    </row>
    <row r="10235" spans="12:12" x14ac:dyDescent="0.25">
      <c r="L10235" s="32"/>
    </row>
    <row r="10236" spans="12:12" x14ac:dyDescent="0.25">
      <c r="L10236" s="32"/>
    </row>
    <row r="10237" spans="12:12" x14ac:dyDescent="0.25">
      <c r="L10237" s="32"/>
    </row>
    <row r="10238" spans="12:12" x14ac:dyDescent="0.25">
      <c r="L10238" s="32"/>
    </row>
    <row r="10239" spans="12:12" x14ac:dyDescent="0.25">
      <c r="L10239" s="32"/>
    </row>
    <row r="10240" spans="12:12" x14ac:dyDescent="0.25">
      <c r="L10240" s="32"/>
    </row>
    <row r="10241" spans="12:12" x14ac:dyDescent="0.25">
      <c r="L10241" s="32"/>
    </row>
    <row r="10242" spans="12:12" x14ac:dyDescent="0.25">
      <c r="L10242" s="32"/>
    </row>
    <row r="10243" spans="12:12" x14ac:dyDescent="0.25">
      <c r="L10243" s="32"/>
    </row>
    <row r="10244" spans="12:12" x14ac:dyDescent="0.25">
      <c r="L10244" s="32"/>
    </row>
    <row r="10245" spans="12:12" x14ac:dyDescent="0.25">
      <c r="L10245" s="32"/>
    </row>
    <row r="10246" spans="12:12" x14ac:dyDescent="0.25">
      <c r="L10246" s="32"/>
    </row>
    <row r="10247" spans="12:12" x14ac:dyDescent="0.25">
      <c r="L10247" s="32"/>
    </row>
    <row r="10248" spans="12:12" x14ac:dyDescent="0.25">
      <c r="L10248" s="32"/>
    </row>
    <row r="10249" spans="12:12" x14ac:dyDescent="0.25">
      <c r="L10249" s="32"/>
    </row>
    <row r="10250" spans="12:12" x14ac:dyDescent="0.25">
      <c r="L10250" s="32"/>
    </row>
    <row r="10251" spans="12:12" x14ac:dyDescent="0.25">
      <c r="L10251" s="32"/>
    </row>
    <row r="10252" spans="12:12" x14ac:dyDescent="0.25">
      <c r="L10252" s="32"/>
    </row>
    <row r="10253" spans="12:12" x14ac:dyDescent="0.25">
      <c r="L10253" s="32"/>
    </row>
    <row r="10254" spans="12:12" x14ac:dyDescent="0.25">
      <c r="L10254" s="32"/>
    </row>
    <row r="10255" spans="12:12" x14ac:dyDescent="0.25">
      <c r="L10255" s="32"/>
    </row>
    <row r="10256" spans="12:12" x14ac:dyDescent="0.25">
      <c r="L10256" s="32"/>
    </row>
    <row r="10257" spans="12:12" x14ac:dyDescent="0.25">
      <c r="L10257" s="32"/>
    </row>
    <row r="10258" spans="12:12" x14ac:dyDescent="0.25">
      <c r="L10258" s="32"/>
    </row>
    <row r="10259" spans="12:12" x14ac:dyDescent="0.25">
      <c r="L10259" s="32"/>
    </row>
    <row r="10260" spans="12:12" x14ac:dyDescent="0.25">
      <c r="L10260" s="32"/>
    </row>
    <row r="10261" spans="12:12" x14ac:dyDescent="0.25">
      <c r="L10261" s="32"/>
    </row>
    <row r="10262" spans="12:12" x14ac:dyDescent="0.25">
      <c r="L10262" s="32"/>
    </row>
    <row r="10263" spans="12:12" x14ac:dyDescent="0.25">
      <c r="L10263" s="32"/>
    </row>
    <row r="10264" spans="12:12" x14ac:dyDescent="0.25">
      <c r="L10264" s="32"/>
    </row>
    <row r="10265" spans="12:12" x14ac:dyDescent="0.25">
      <c r="L10265" s="32"/>
    </row>
    <row r="10266" spans="12:12" x14ac:dyDescent="0.25">
      <c r="L10266" s="32"/>
    </row>
    <row r="10267" spans="12:12" x14ac:dyDescent="0.25">
      <c r="L10267" s="32"/>
    </row>
    <row r="10268" spans="12:12" x14ac:dyDescent="0.25">
      <c r="L10268" s="32"/>
    </row>
    <row r="10269" spans="12:12" x14ac:dyDescent="0.25">
      <c r="L10269" s="32"/>
    </row>
    <row r="10270" spans="12:12" x14ac:dyDescent="0.25">
      <c r="L10270" s="32"/>
    </row>
    <row r="10271" spans="12:12" x14ac:dyDescent="0.25">
      <c r="L10271" s="32"/>
    </row>
    <row r="10272" spans="12:12" x14ac:dyDescent="0.25">
      <c r="L10272" s="32"/>
    </row>
    <row r="10273" spans="12:12" x14ac:dyDescent="0.25">
      <c r="L10273" s="32"/>
    </row>
    <row r="10274" spans="12:12" x14ac:dyDescent="0.25">
      <c r="L10274" s="32"/>
    </row>
    <row r="10275" spans="12:12" x14ac:dyDescent="0.25">
      <c r="L10275" s="32"/>
    </row>
    <row r="10276" spans="12:12" x14ac:dyDescent="0.25">
      <c r="L10276" s="32"/>
    </row>
    <row r="10277" spans="12:12" x14ac:dyDescent="0.25">
      <c r="L10277" s="32"/>
    </row>
    <row r="10278" spans="12:12" x14ac:dyDescent="0.25">
      <c r="L10278" s="32"/>
    </row>
    <row r="10279" spans="12:12" x14ac:dyDescent="0.25">
      <c r="L10279" s="32"/>
    </row>
    <row r="10280" spans="12:12" x14ac:dyDescent="0.25">
      <c r="L10280" s="32"/>
    </row>
    <row r="10281" spans="12:12" x14ac:dyDescent="0.25">
      <c r="L10281" s="32"/>
    </row>
    <row r="10282" spans="12:12" x14ac:dyDescent="0.25">
      <c r="L10282" s="32"/>
    </row>
    <row r="10283" spans="12:12" x14ac:dyDescent="0.25">
      <c r="L10283" s="32"/>
    </row>
    <row r="10284" spans="12:12" x14ac:dyDescent="0.25">
      <c r="L10284" s="32"/>
    </row>
    <row r="10285" spans="12:12" x14ac:dyDescent="0.25">
      <c r="L10285" s="32"/>
    </row>
    <row r="10286" spans="12:12" x14ac:dyDescent="0.25">
      <c r="L10286" s="32"/>
    </row>
    <row r="10287" spans="12:12" x14ac:dyDescent="0.25">
      <c r="L10287" s="32"/>
    </row>
    <row r="10288" spans="12:12" x14ac:dyDescent="0.25">
      <c r="L10288" s="32"/>
    </row>
    <row r="10289" spans="12:12" x14ac:dyDescent="0.25">
      <c r="L10289" s="32"/>
    </row>
    <row r="10290" spans="12:12" x14ac:dyDescent="0.25">
      <c r="L10290" s="32"/>
    </row>
    <row r="10291" spans="12:12" x14ac:dyDescent="0.25">
      <c r="L10291" s="32"/>
    </row>
    <row r="10292" spans="12:12" x14ac:dyDescent="0.25">
      <c r="L10292" s="32"/>
    </row>
    <row r="10293" spans="12:12" x14ac:dyDescent="0.25">
      <c r="L10293" s="32"/>
    </row>
    <row r="10294" spans="12:12" x14ac:dyDescent="0.25">
      <c r="L10294" s="32"/>
    </row>
    <row r="10295" spans="12:12" x14ac:dyDescent="0.25">
      <c r="L10295" s="32"/>
    </row>
    <row r="10296" spans="12:12" x14ac:dyDescent="0.25">
      <c r="L10296" s="32"/>
    </row>
    <row r="10297" spans="12:12" x14ac:dyDescent="0.25">
      <c r="L10297" s="32"/>
    </row>
    <row r="10298" spans="12:12" x14ac:dyDescent="0.25">
      <c r="L10298" s="32"/>
    </row>
    <row r="10299" spans="12:12" x14ac:dyDescent="0.25">
      <c r="L10299" s="32"/>
    </row>
    <row r="10300" spans="12:12" x14ac:dyDescent="0.25">
      <c r="L10300" s="32"/>
    </row>
    <row r="10301" spans="12:12" x14ac:dyDescent="0.25">
      <c r="L10301" s="32"/>
    </row>
    <row r="10302" spans="12:12" x14ac:dyDescent="0.25">
      <c r="L10302" s="32"/>
    </row>
    <row r="10303" spans="12:12" x14ac:dyDescent="0.25">
      <c r="L10303" s="32"/>
    </row>
    <row r="10304" spans="12:12" x14ac:dyDescent="0.25">
      <c r="L10304" s="32"/>
    </row>
    <row r="10305" spans="12:12" x14ac:dyDescent="0.25">
      <c r="L10305" s="32"/>
    </row>
    <row r="10306" spans="12:12" x14ac:dyDescent="0.25">
      <c r="L10306" s="32"/>
    </row>
    <row r="10307" spans="12:12" x14ac:dyDescent="0.25">
      <c r="L10307" s="32"/>
    </row>
    <row r="10308" spans="12:12" x14ac:dyDescent="0.25">
      <c r="L10308" s="32"/>
    </row>
    <row r="10309" spans="12:12" x14ac:dyDescent="0.25">
      <c r="L10309" s="32"/>
    </row>
    <row r="10310" spans="12:12" x14ac:dyDescent="0.25">
      <c r="L10310" s="32"/>
    </row>
    <row r="10311" spans="12:12" x14ac:dyDescent="0.25">
      <c r="L10311" s="32"/>
    </row>
    <row r="10312" spans="12:12" x14ac:dyDescent="0.25">
      <c r="L10312" s="32"/>
    </row>
    <row r="10313" spans="12:12" x14ac:dyDescent="0.25">
      <c r="L10313" s="32"/>
    </row>
    <row r="10314" spans="12:12" x14ac:dyDescent="0.25">
      <c r="L10314" s="32"/>
    </row>
    <row r="10315" spans="12:12" x14ac:dyDescent="0.25">
      <c r="L10315" s="32"/>
    </row>
    <row r="10316" spans="12:12" x14ac:dyDescent="0.25">
      <c r="L10316" s="32"/>
    </row>
    <row r="10317" spans="12:12" x14ac:dyDescent="0.25">
      <c r="L10317" s="32"/>
    </row>
    <row r="10318" spans="12:12" x14ac:dyDescent="0.25">
      <c r="L10318" s="32"/>
    </row>
    <row r="10319" spans="12:12" x14ac:dyDescent="0.25">
      <c r="L10319" s="32"/>
    </row>
    <row r="10320" spans="12:12" x14ac:dyDescent="0.25">
      <c r="L10320" s="32"/>
    </row>
    <row r="10321" spans="12:12" x14ac:dyDescent="0.25">
      <c r="L10321" s="32"/>
    </row>
    <row r="10322" spans="12:12" x14ac:dyDescent="0.25">
      <c r="L10322" s="32"/>
    </row>
    <row r="10323" spans="12:12" x14ac:dyDescent="0.25">
      <c r="L10323" s="32"/>
    </row>
    <row r="10324" spans="12:12" x14ac:dyDescent="0.25">
      <c r="L10324" s="32"/>
    </row>
    <row r="10325" spans="12:12" x14ac:dyDescent="0.25">
      <c r="L10325" s="32"/>
    </row>
    <row r="10326" spans="12:12" x14ac:dyDescent="0.25">
      <c r="L10326" s="32"/>
    </row>
    <row r="10327" spans="12:12" x14ac:dyDescent="0.25">
      <c r="L10327" s="32"/>
    </row>
    <row r="10328" spans="12:12" x14ac:dyDescent="0.25">
      <c r="L10328" s="32"/>
    </row>
    <row r="10329" spans="12:12" x14ac:dyDescent="0.25">
      <c r="L10329" s="32"/>
    </row>
    <row r="10330" spans="12:12" x14ac:dyDescent="0.25">
      <c r="L10330" s="32"/>
    </row>
    <row r="10331" spans="12:12" x14ac:dyDescent="0.25">
      <c r="L10331" s="32"/>
    </row>
    <row r="10332" spans="12:12" x14ac:dyDescent="0.25">
      <c r="L10332" s="32"/>
    </row>
    <row r="10333" spans="12:12" x14ac:dyDescent="0.25">
      <c r="L10333" s="32"/>
    </row>
    <row r="10334" spans="12:12" x14ac:dyDescent="0.25">
      <c r="L10334" s="32"/>
    </row>
    <row r="10335" spans="12:12" x14ac:dyDescent="0.25">
      <c r="L10335" s="32"/>
    </row>
    <row r="10336" spans="12:12" x14ac:dyDescent="0.25">
      <c r="L10336" s="32"/>
    </row>
    <row r="10337" spans="12:12" x14ac:dyDescent="0.25">
      <c r="L10337" s="32"/>
    </row>
    <row r="10338" spans="12:12" x14ac:dyDescent="0.25">
      <c r="L10338" s="32"/>
    </row>
    <row r="10339" spans="12:12" x14ac:dyDescent="0.25">
      <c r="L10339" s="32"/>
    </row>
    <row r="10340" spans="12:12" x14ac:dyDescent="0.25">
      <c r="L10340" s="32"/>
    </row>
    <row r="10341" spans="12:12" x14ac:dyDescent="0.25">
      <c r="L10341" s="32"/>
    </row>
    <row r="10342" spans="12:12" x14ac:dyDescent="0.25">
      <c r="L10342" s="32"/>
    </row>
    <row r="10343" spans="12:12" x14ac:dyDescent="0.25">
      <c r="L10343" s="32"/>
    </row>
    <row r="10344" spans="12:12" x14ac:dyDescent="0.25">
      <c r="L10344" s="32"/>
    </row>
    <row r="10345" spans="12:12" x14ac:dyDescent="0.25">
      <c r="L10345" s="32"/>
    </row>
    <row r="10346" spans="12:12" x14ac:dyDescent="0.25">
      <c r="L10346" s="32"/>
    </row>
    <row r="10347" spans="12:12" x14ac:dyDescent="0.25">
      <c r="L10347" s="32"/>
    </row>
    <row r="10348" spans="12:12" x14ac:dyDescent="0.25">
      <c r="L10348" s="32"/>
    </row>
    <row r="10349" spans="12:12" x14ac:dyDescent="0.25">
      <c r="L10349" s="32"/>
    </row>
    <row r="10350" spans="12:12" x14ac:dyDescent="0.25">
      <c r="L10350" s="32"/>
    </row>
    <row r="10351" spans="12:12" x14ac:dyDescent="0.25">
      <c r="L10351" s="32"/>
    </row>
    <row r="10352" spans="12:12" x14ac:dyDescent="0.25">
      <c r="L10352" s="32"/>
    </row>
    <row r="10353" spans="12:12" x14ac:dyDescent="0.25">
      <c r="L10353" s="32"/>
    </row>
    <row r="10354" spans="12:12" x14ac:dyDescent="0.25">
      <c r="L10354" s="32"/>
    </row>
    <row r="10355" spans="12:12" x14ac:dyDescent="0.25">
      <c r="L10355" s="32"/>
    </row>
    <row r="10356" spans="12:12" x14ac:dyDescent="0.25">
      <c r="L10356" s="32"/>
    </row>
    <row r="10357" spans="12:12" x14ac:dyDescent="0.25">
      <c r="L10357" s="32"/>
    </row>
    <row r="10358" spans="12:12" x14ac:dyDescent="0.25">
      <c r="L10358" s="32"/>
    </row>
    <row r="10359" spans="12:12" x14ac:dyDescent="0.25">
      <c r="L10359" s="32"/>
    </row>
    <row r="10360" spans="12:12" x14ac:dyDescent="0.25">
      <c r="L10360" s="32"/>
    </row>
    <row r="10361" spans="12:12" x14ac:dyDescent="0.25">
      <c r="L10361" s="32"/>
    </row>
    <row r="10362" spans="12:12" x14ac:dyDescent="0.25">
      <c r="L10362" s="32"/>
    </row>
    <row r="10363" spans="12:12" x14ac:dyDescent="0.25">
      <c r="L10363" s="32"/>
    </row>
    <row r="10364" spans="12:12" x14ac:dyDescent="0.25">
      <c r="L10364" s="32"/>
    </row>
    <row r="10365" spans="12:12" x14ac:dyDescent="0.25">
      <c r="L10365" s="32"/>
    </row>
    <row r="10366" spans="12:12" x14ac:dyDescent="0.25">
      <c r="L10366" s="32"/>
    </row>
    <row r="10367" spans="12:12" x14ac:dyDescent="0.25">
      <c r="L10367" s="32"/>
    </row>
    <row r="10368" spans="12:12" x14ac:dyDescent="0.25">
      <c r="L10368" s="32"/>
    </row>
    <row r="10369" spans="3:13" x14ac:dyDescent="0.25">
      <c r="L10369" s="32"/>
    </row>
    <row r="10370" spans="3:13" x14ac:dyDescent="0.25">
      <c r="L10370" s="32"/>
    </row>
    <row r="10371" spans="3:13" x14ac:dyDescent="0.25">
      <c r="L10371" s="32"/>
    </row>
    <row r="10372" spans="3:13" x14ac:dyDescent="0.25">
      <c r="L10372" s="32"/>
    </row>
    <row r="10373" spans="3:13" x14ac:dyDescent="0.25">
      <c r="L10373" s="32"/>
    </row>
    <row r="10374" spans="3:13" x14ac:dyDescent="0.25">
      <c r="L10374" s="32"/>
    </row>
    <row r="10375" spans="3:13" x14ac:dyDescent="0.25">
      <c r="L10375" s="32"/>
    </row>
    <row r="10376" spans="3:13" x14ac:dyDescent="0.25">
      <c r="L10376" s="32"/>
    </row>
    <row r="10377" spans="3:13" x14ac:dyDescent="0.25">
      <c r="L10377" s="32"/>
    </row>
    <row r="10378" spans="3:13" x14ac:dyDescent="0.25">
      <c r="L10378" s="32"/>
    </row>
    <row r="10379" spans="3:13" x14ac:dyDescent="0.25">
      <c r="L10379" s="32"/>
    </row>
    <row r="10380" spans="3:13" x14ac:dyDescent="0.25">
      <c r="C10380" s="27"/>
      <c r="D10380" s="27"/>
      <c r="M10380" s="28"/>
    </row>
    <row r="10381" spans="3:13" x14ac:dyDescent="0.25">
      <c r="C10381" s="27"/>
      <c r="D10381" s="27"/>
      <c r="M10381" s="28"/>
    </row>
    <row r="10382" spans="3:13" x14ac:dyDescent="0.25">
      <c r="C10382" s="27"/>
      <c r="D10382" s="27"/>
      <c r="M10382" s="28"/>
    </row>
    <row r="10383" spans="3:13" x14ac:dyDescent="0.25">
      <c r="C10383" s="27"/>
      <c r="D10383" s="27"/>
      <c r="M10383" s="28"/>
    </row>
    <row r="10384" spans="3:13" x14ac:dyDescent="0.25">
      <c r="C10384" s="27"/>
      <c r="D10384" s="27"/>
      <c r="M10384" s="28"/>
    </row>
    <row r="10385" spans="3:13" x14ac:dyDescent="0.25">
      <c r="C10385" s="27"/>
      <c r="D10385" s="27"/>
      <c r="M10385" s="28"/>
    </row>
    <row r="10386" spans="3:13" x14ac:dyDescent="0.25">
      <c r="C10386" s="27"/>
      <c r="D10386" s="27"/>
      <c r="M10386" s="28"/>
    </row>
    <row r="10387" spans="3:13" x14ac:dyDescent="0.25">
      <c r="C10387" s="27"/>
      <c r="D10387" s="27"/>
      <c r="M10387" s="28"/>
    </row>
    <row r="10388" spans="3:13" x14ac:dyDescent="0.25">
      <c r="C10388" s="27"/>
      <c r="D10388" s="27"/>
      <c r="M10388" s="28"/>
    </row>
    <row r="10389" spans="3:13" x14ac:dyDescent="0.25">
      <c r="C10389" s="27"/>
      <c r="D10389" s="27"/>
      <c r="M10389" s="28"/>
    </row>
    <row r="10390" spans="3:13" x14ac:dyDescent="0.25">
      <c r="C10390" s="27"/>
      <c r="D10390" s="27"/>
      <c r="M10390" s="28"/>
    </row>
    <row r="10391" spans="3:13" x14ac:dyDescent="0.25">
      <c r="C10391" s="27"/>
      <c r="D10391" s="27"/>
      <c r="M10391" s="28"/>
    </row>
    <row r="10392" spans="3:13" x14ac:dyDescent="0.25">
      <c r="C10392" s="27"/>
      <c r="D10392" s="27"/>
      <c r="M10392" s="28"/>
    </row>
    <row r="10393" spans="3:13" x14ac:dyDescent="0.25">
      <c r="C10393" s="27"/>
      <c r="D10393" s="27"/>
      <c r="M10393" s="28"/>
    </row>
    <row r="10394" spans="3:13" x14ac:dyDescent="0.25">
      <c r="C10394" s="27"/>
      <c r="D10394" s="27"/>
      <c r="M10394" s="28"/>
    </row>
    <row r="10395" spans="3:13" x14ac:dyDescent="0.25">
      <c r="C10395" s="27"/>
      <c r="D10395" s="27"/>
      <c r="M10395" s="28"/>
    </row>
    <row r="10396" spans="3:13" x14ac:dyDescent="0.25">
      <c r="C10396" s="27"/>
      <c r="D10396" s="27"/>
      <c r="M10396" s="28"/>
    </row>
    <row r="10397" spans="3:13" x14ac:dyDescent="0.25">
      <c r="C10397" s="27"/>
      <c r="D10397" s="27"/>
      <c r="M10397" s="28"/>
    </row>
    <row r="10398" spans="3:13" x14ac:dyDescent="0.25">
      <c r="C10398" s="27"/>
      <c r="D10398" s="27"/>
      <c r="M10398" s="28"/>
    </row>
    <row r="10399" spans="3:13" x14ac:dyDescent="0.25">
      <c r="C10399" s="27"/>
      <c r="D10399" s="27"/>
      <c r="M10399" s="28"/>
    </row>
    <row r="10400" spans="3:13" x14ac:dyDescent="0.25">
      <c r="C10400" s="27"/>
      <c r="D10400" s="27"/>
      <c r="M10400" s="28"/>
    </row>
    <row r="10401" spans="3:13" x14ac:dyDescent="0.25">
      <c r="C10401" s="27"/>
      <c r="D10401" s="27"/>
      <c r="M10401" s="28"/>
    </row>
    <row r="10402" spans="3:13" x14ac:dyDescent="0.25">
      <c r="C10402" s="27"/>
      <c r="D10402" s="27"/>
      <c r="M10402" s="28"/>
    </row>
    <row r="10403" spans="3:13" x14ac:dyDescent="0.25">
      <c r="C10403" s="27"/>
      <c r="D10403" s="27"/>
      <c r="M10403" s="28"/>
    </row>
    <row r="10404" spans="3:13" x14ac:dyDescent="0.25">
      <c r="C10404" s="27"/>
      <c r="D10404" s="27"/>
      <c r="M10404" s="28"/>
    </row>
    <row r="10405" spans="3:13" x14ac:dyDescent="0.25">
      <c r="C10405" s="27"/>
      <c r="D10405" s="27"/>
      <c r="M10405" s="28"/>
    </row>
    <row r="10406" spans="3:13" x14ac:dyDescent="0.25">
      <c r="C10406" s="27"/>
      <c r="D10406" s="27"/>
      <c r="M10406" s="28"/>
    </row>
    <row r="10407" spans="3:13" x14ac:dyDescent="0.25">
      <c r="C10407" s="27"/>
      <c r="D10407" s="27"/>
      <c r="M10407" s="28"/>
    </row>
    <row r="10408" spans="3:13" x14ac:dyDescent="0.25">
      <c r="C10408" s="27"/>
      <c r="D10408" s="27"/>
      <c r="M10408" s="28"/>
    </row>
    <row r="10409" spans="3:13" x14ac:dyDescent="0.25">
      <c r="C10409" s="27"/>
      <c r="D10409" s="27"/>
      <c r="M10409" s="28"/>
    </row>
    <row r="10410" spans="3:13" x14ac:dyDescent="0.25">
      <c r="C10410" s="27"/>
      <c r="D10410" s="27"/>
      <c r="M10410" s="28"/>
    </row>
    <row r="10411" spans="3:13" x14ac:dyDescent="0.25">
      <c r="C10411" s="27"/>
      <c r="D10411" s="27"/>
      <c r="M10411" s="28"/>
    </row>
    <row r="10412" spans="3:13" x14ac:dyDescent="0.25">
      <c r="C10412" s="27"/>
      <c r="D10412" s="27"/>
      <c r="M10412" s="28"/>
    </row>
    <row r="10413" spans="3:13" x14ac:dyDescent="0.25">
      <c r="C10413" s="27"/>
      <c r="D10413" s="27"/>
      <c r="M10413" s="28"/>
    </row>
    <row r="10414" spans="3:13" x14ac:dyDescent="0.25">
      <c r="C10414" s="27"/>
      <c r="D10414" s="27"/>
      <c r="M10414" s="28"/>
    </row>
    <row r="10415" spans="3:13" x14ac:dyDescent="0.25">
      <c r="C10415" s="27"/>
      <c r="D10415" s="27"/>
      <c r="M10415" s="28"/>
    </row>
    <row r="10416" spans="3:13" x14ac:dyDescent="0.25">
      <c r="C10416" s="27"/>
      <c r="D10416" s="27"/>
      <c r="M10416" s="28"/>
    </row>
    <row r="10417" spans="3:13" x14ac:dyDescent="0.25">
      <c r="C10417" s="27"/>
      <c r="D10417" s="27"/>
      <c r="M10417" s="28"/>
    </row>
    <row r="10418" spans="3:13" x14ac:dyDescent="0.25">
      <c r="C10418" s="27"/>
      <c r="D10418" s="27"/>
      <c r="M10418" s="28"/>
    </row>
    <row r="10419" spans="3:13" x14ac:dyDescent="0.25">
      <c r="C10419" s="27"/>
      <c r="D10419" s="27"/>
      <c r="M10419" s="28"/>
    </row>
    <row r="10420" spans="3:13" x14ac:dyDescent="0.25">
      <c r="C10420" s="27"/>
      <c r="D10420" s="27"/>
      <c r="M10420" s="28"/>
    </row>
    <row r="10421" spans="3:13" x14ac:dyDescent="0.25">
      <c r="C10421" s="27"/>
      <c r="D10421" s="27"/>
      <c r="M10421" s="28"/>
    </row>
    <row r="10422" spans="3:13" x14ac:dyDescent="0.25">
      <c r="C10422" s="27"/>
      <c r="D10422" s="27"/>
      <c r="M10422" s="28"/>
    </row>
    <row r="10423" spans="3:13" x14ac:dyDescent="0.25">
      <c r="C10423" s="27"/>
      <c r="D10423" s="27"/>
      <c r="M10423" s="28"/>
    </row>
    <row r="10424" spans="3:13" x14ac:dyDescent="0.25">
      <c r="C10424" s="27"/>
      <c r="D10424" s="27"/>
      <c r="M10424" s="28"/>
    </row>
    <row r="10425" spans="3:13" x14ac:dyDescent="0.25">
      <c r="C10425" s="27"/>
      <c r="D10425" s="27"/>
      <c r="M10425" s="28"/>
    </row>
    <row r="10426" spans="3:13" x14ac:dyDescent="0.25">
      <c r="C10426" s="27"/>
      <c r="D10426" s="27"/>
      <c r="M10426" s="28"/>
    </row>
    <row r="10427" spans="3:13" x14ac:dyDescent="0.25">
      <c r="C10427" s="27"/>
      <c r="D10427" s="27"/>
      <c r="M10427" s="28"/>
    </row>
    <row r="10428" spans="3:13" x14ac:dyDescent="0.25">
      <c r="C10428" s="27"/>
      <c r="D10428" s="27"/>
      <c r="M10428" s="28"/>
    </row>
    <row r="10429" spans="3:13" x14ac:dyDescent="0.25">
      <c r="C10429" s="27"/>
      <c r="D10429" s="27"/>
      <c r="M10429" s="28"/>
    </row>
    <row r="10430" spans="3:13" x14ac:dyDescent="0.25">
      <c r="C10430" s="27"/>
      <c r="D10430" s="27"/>
      <c r="M10430" s="28"/>
    </row>
    <row r="10431" spans="3:13" x14ac:dyDescent="0.25">
      <c r="C10431" s="27"/>
      <c r="D10431" s="27"/>
      <c r="M10431" s="28"/>
    </row>
    <row r="10432" spans="3:13" x14ac:dyDescent="0.25">
      <c r="C10432" s="27"/>
      <c r="D10432" s="27"/>
      <c r="M10432" s="28"/>
    </row>
    <row r="10433" spans="3:13" x14ac:dyDescent="0.25">
      <c r="C10433" s="27"/>
      <c r="D10433" s="27"/>
      <c r="M10433" s="28"/>
    </row>
    <row r="10434" spans="3:13" x14ac:dyDescent="0.25">
      <c r="C10434" s="27"/>
      <c r="D10434" s="27"/>
      <c r="M10434" s="28"/>
    </row>
    <row r="10435" spans="3:13" x14ac:dyDescent="0.25">
      <c r="C10435" s="27"/>
      <c r="D10435" s="27"/>
      <c r="M10435" s="28"/>
    </row>
    <row r="10436" spans="3:13" x14ac:dyDescent="0.25">
      <c r="C10436" s="27"/>
      <c r="D10436" s="27"/>
      <c r="M10436" s="28"/>
    </row>
    <row r="10437" spans="3:13" x14ac:dyDescent="0.25">
      <c r="C10437" s="27"/>
      <c r="D10437" s="27"/>
      <c r="M10437" s="28"/>
    </row>
    <row r="10438" spans="3:13" x14ac:dyDescent="0.25">
      <c r="C10438" s="27"/>
      <c r="D10438" s="27"/>
      <c r="M10438" s="28"/>
    </row>
    <row r="10439" spans="3:13" x14ac:dyDescent="0.25">
      <c r="C10439" s="27"/>
      <c r="D10439" s="27"/>
      <c r="M10439" s="28"/>
    </row>
    <row r="10440" spans="3:13" x14ac:dyDescent="0.25">
      <c r="C10440" s="27"/>
      <c r="D10440" s="27"/>
      <c r="M10440" s="28"/>
    </row>
    <row r="10441" spans="3:13" x14ac:dyDescent="0.25">
      <c r="C10441" s="27"/>
      <c r="D10441" s="27"/>
      <c r="M10441" s="28"/>
    </row>
    <row r="10442" spans="3:13" x14ac:dyDescent="0.25">
      <c r="C10442" s="27"/>
      <c r="D10442" s="27"/>
      <c r="M10442" s="28"/>
    </row>
    <row r="10443" spans="3:13" x14ac:dyDescent="0.25">
      <c r="C10443" s="27"/>
      <c r="D10443" s="27"/>
      <c r="M10443" s="28"/>
    </row>
    <row r="10444" spans="3:13" x14ac:dyDescent="0.25">
      <c r="C10444" s="27"/>
      <c r="D10444" s="27"/>
      <c r="M10444" s="28"/>
    </row>
    <row r="10445" spans="3:13" x14ac:dyDescent="0.25">
      <c r="C10445" s="27"/>
      <c r="D10445" s="27"/>
      <c r="M10445" s="28"/>
    </row>
    <row r="10446" spans="3:13" x14ac:dyDescent="0.25">
      <c r="C10446" s="27"/>
      <c r="D10446" s="27"/>
      <c r="M10446" s="28"/>
    </row>
    <row r="10447" spans="3:13" x14ac:dyDescent="0.25">
      <c r="C10447" s="27"/>
      <c r="D10447" s="27"/>
      <c r="M10447" s="28"/>
    </row>
    <row r="10448" spans="3:13" x14ac:dyDescent="0.25">
      <c r="C10448" s="27"/>
      <c r="D10448" s="27"/>
      <c r="M10448" s="28"/>
    </row>
    <row r="10449" spans="3:13" x14ac:dyDescent="0.25">
      <c r="C10449" s="27"/>
      <c r="D10449" s="27"/>
      <c r="M10449" s="28"/>
    </row>
    <row r="10450" spans="3:13" x14ac:dyDescent="0.25">
      <c r="C10450" s="27"/>
      <c r="D10450" s="27"/>
      <c r="M10450" s="28"/>
    </row>
    <row r="10451" spans="3:13" x14ac:dyDescent="0.25">
      <c r="C10451" s="27"/>
      <c r="D10451" s="27"/>
      <c r="M10451" s="28"/>
    </row>
    <row r="10452" spans="3:13" x14ac:dyDescent="0.25">
      <c r="C10452" s="27"/>
      <c r="D10452" s="27"/>
      <c r="M10452" s="28"/>
    </row>
    <row r="10453" spans="3:13" x14ac:dyDescent="0.25">
      <c r="C10453" s="27"/>
      <c r="D10453" s="27"/>
      <c r="M10453" s="28"/>
    </row>
    <row r="10454" spans="3:13" x14ac:dyDescent="0.25">
      <c r="C10454" s="27"/>
      <c r="D10454" s="27"/>
      <c r="M10454" s="28"/>
    </row>
    <row r="10455" spans="3:13" x14ac:dyDescent="0.25">
      <c r="C10455" s="27"/>
      <c r="D10455" s="27"/>
      <c r="M10455" s="28"/>
    </row>
    <row r="10456" spans="3:13" x14ac:dyDescent="0.25">
      <c r="C10456" s="27"/>
      <c r="D10456" s="27"/>
      <c r="M10456" s="28"/>
    </row>
    <row r="10457" spans="3:13" x14ac:dyDescent="0.25">
      <c r="C10457" s="27"/>
      <c r="D10457" s="27"/>
      <c r="M10457" s="28"/>
    </row>
    <row r="10458" spans="3:13" x14ac:dyDescent="0.25">
      <c r="C10458" s="27"/>
      <c r="D10458" s="27"/>
      <c r="M10458" s="28"/>
    </row>
    <row r="10459" spans="3:13" x14ac:dyDescent="0.25">
      <c r="C10459" s="27"/>
      <c r="D10459" s="27"/>
      <c r="M10459" s="28"/>
    </row>
    <row r="10460" spans="3:13" x14ac:dyDescent="0.25">
      <c r="C10460" s="27"/>
      <c r="D10460" s="27"/>
      <c r="M10460" s="28"/>
    </row>
    <row r="10461" spans="3:13" x14ac:dyDescent="0.25">
      <c r="C10461" s="27"/>
      <c r="D10461" s="27"/>
      <c r="M10461" s="28"/>
    </row>
    <row r="10462" spans="3:13" x14ac:dyDescent="0.25">
      <c r="C10462" s="27"/>
      <c r="D10462" s="27"/>
      <c r="M10462" s="28"/>
    </row>
    <row r="10463" spans="3:13" x14ac:dyDescent="0.25">
      <c r="C10463" s="27"/>
      <c r="D10463" s="27"/>
      <c r="M10463" s="28"/>
    </row>
    <row r="10464" spans="3:13" x14ac:dyDescent="0.25">
      <c r="C10464" s="27"/>
      <c r="D10464" s="27"/>
      <c r="M10464" s="28"/>
    </row>
    <row r="10465" spans="3:13" x14ac:dyDescent="0.25">
      <c r="C10465" s="27"/>
      <c r="D10465" s="27"/>
      <c r="M10465" s="28"/>
    </row>
    <row r="10466" spans="3:13" x14ac:dyDescent="0.25">
      <c r="C10466" s="27"/>
      <c r="D10466" s="27"/>
      <c r="M10466" s="28"/>
    </row>
    <row r="10467" spans="3:13" x14ac:dyDescent="0.25">
      <c r="C10467" s="27"/>
      <c r="D10467" s="27"/>
      <c r="M10467" s="28"/>
    </row>
    <row r="10468" spans="3:13" x14ac:dyDescent="0.25">
      <c r="C10468" s="27"/>
      <c r="D10468" s="27"/>
      <c r="M10468" s="28"/>
    </row>
    <row r="10469" spans="3:13" x14ac:dyDescent="0.25">
      <c r="C10469" s="27"/>
      <c r="D10469" s="27"/>
      <c r="M10469" s="28"/>
    </row>
    <row r="10470" spans="3:13" x14ac:dyDescent="0.25">
      <c r="C10470" s="27"/>
      <c r="D10470" s="27"/>
      <c r="M10470" s="28"/>
    </row>
    <row r="10471" spans="3:13" x14ac:dyDescent="0.25">
      <c r="C10471" s="27"/>
      <c r="D10471" s="27"/>
      <c r="M10471" s="28"/>
    </row>
    <row r="10472" spans="3:13" x14ac:dyDescent="0.25">
      <c r="C10472" s="27"/>
      <c r="D10472" s="27"/>
      <c r="M10472" s="28"/>
    </row>
    <row r="10473" spans="3:13" x14ac:dyDescent="0.25">
      <c r="C10473" s="27"/>
      <c r="D10473" s="27"/>
      <c r="M10473" s="28"/>
    </row>
    <row r="10474" spans="3:13" x14ac:dyDescent="0.25">
      <c r="C10474" s="27"/>
      <c r="D10474" s="27"/>
      <c r="M10474" s="28"/>
    </row>
    <row r="10475" spans="3:13" x14ac:dyDescent="0.25">
      <c r="C10475" s="27"/>
      <c r="D10475" s="27"/>
      <c r="M10475" s="28"/>
    </row>
    <row r="10476" spans="3:13" x14ac:dyDescent="0.25">
      <c r="C10476" s="27"/>
      <c r="D10476" s="27"/>
      <c r="M10476" s="28"/>
    </row>
    <row r="10477" spans="3:13" x14ac:dyDescent="0.25">
      <c r="C10477" s="27"/>
      <c r="D10477" s="27"/>
      <c r="M10477" s="28"/>
    </row>
    <row r="10478" spans="3:13" x14ac:dyDescent="0.25">
      <c r="C10478" s="27"/>
      <c r="D10478" s="27"/>
      <c r="M10478" s="28"/>
    </row>
    <row r="10479" spans="3:13" x14ac:dyDescent="0.25">
      <c r="C10479" s="27"/>
      <c r="D10479" s="27"/>
      <c r="M10479" s="28"/>
    </row>
    <row r="10480" spans="3:13" x14ac:dyDescent="0.25">
      <c r="C10480" s="27"/>
      <c r="D10480" s="27"/>
      <c r="M10480" s="28"/>
    </row>
    <row r="10481" spans="3:13" x14ac:dyDescent="0.25">
      <c r="C10481" s="27"/>
      <c r="D10481" s="27"/>
      <c r="M10481" s="28"/>
    </row>
    <row r="10482" spans="3:13" x14ac:dyDescent="0.25">
      <c r="C10482" s="27"/>
      <c r="D10482" s="27"/>
      <c r="M10482" s="28"/>
    </row>
    <row r="10483" spans="3:13" x14ac:dyDescent="0.25">
      <c r="C10483" s="27"/>
      <c r="D10483" s="27"/>
      <c r="M10483" s="28"/>
    </row>
    <row r="10484" spans="3:13" x14ac:dyDescent="0.25">
      <c r="C10484" s="27"/>
      <c r="D10484" s="27"/>
      <c r="M10484" s="28"/>
    </row>
    <row r="10485" spans="3:13" x14ac:dyDescent="0.25">
      <c r="C10485" s="27"/>
      <c r="D10485" s="27"/>
      <c r="M10485" s="28"/>
    </row>
    <row r="10486" spans="3:13" x14ac:dyDescent="0.25">
      <c r="C10486" s="27"/>
      <c r="D10486" s="27"/>
      <c r="M10486" s="28"/>
    </row>
    <row r="10487" spans="3:13" x14ac:dyDescent="0.25">
      <c r="C10487" s="27"/>
      <c r="D10487" s="27"/>
      <c r="M10487" s="28"/>
    </row>
    <row r="10488" spans="3:13" x14ac:dyDescent="0.25">
      <c r="C10488" s="27"/>
      <c r="D10488" s="27"/>
      <c r="M10488" s="28"/>
    </row>
    <row r="10489" spans="3:13" x14ac:dyDescent="0.25">
      <c r="C10489" s="27"/>
      <c r="D10489" s="27"/>
      <c r="M10489" s="28"/>
    </row>
    <row r="10490" spans="3:13" x14ac:dyDescent="0.25">
      <c r="C10490" s="27"/>
      <c r="D10490" s="27"/>
      <c r="M10490" s="28"/>
    </row>
    <row r="10491" spans="3:13" x14ac:dyDescent="0.25">
      <c r="C10491" s="27"/>
      <c r="D10491" s="27"/>
      <c r="M10491" s="28"/>
    </row>
    <row r="10492" spans="3:13" x14ac:dyDescent="0.25">
      <c r="C10492" s="27"/>
      <c r="D10492" s="27"/>
      <c r="M10492" s="28"/>
    </row>
    <row r="10493" spans="3:13" x14ac:dyDescent="0.25">
      <c r="C10493" s="27"/>
      <c r="D10493" s="27"/>
      <c r="M10493" s="28"/>
    </row>
    <row r="10494" spans="3:13" x14ac:dyDescent="0.25">
      <c r="C10494" s="27"/>
      <c r="D10494" s="27"/>
      <c r="M10494" s="28"/>
    </row>
    <row r="10495" spans="3:13" x14ac:dyDescent="0.25">
      <c r="C10495" s="27"/>
      <c r="D10495" s="27"/>
      <c r="M10495" s="28"/>
    </row>
    <row r="10496" spans="3:13" x14ac:dyDescent="0.25">
      <c r="C10496" s="27"/>
      <c r="D10496" s="27"/>
      <c r="M10496" s="28"/>
    </row>
    <row r="10497" spans="3:13" x14ac:dyDescent="0.25">
      <c r="C10497" s="27"/>
      <c r="D10497" s="27"/>
      <c r="M10497" s="28"/>
    </row>
    <row r="10498" spans="3:13" x14ac:dyDescent="0.25">
      <c r="C10498" s="27"/>
      <c r="D10498" s="27"/>
      <c r="M10498" s="28"/>
    </row>
    <row r="10499" spans="3:13" x14ac:dyDescent="0.25">
      <c r="C10499" s="27"/>
      <c r="D10499" s="27"/>
      <c r="M10499" s="28"/>
    </row>
    <row r="10500" spans="3:13" x14ac:dyDescent="0.25">
      <c r="C10500" s="27"/>
      <c r="D10500" s="27"/>
      <c r="M10500" s="28"/>
    </row>
    <row r="10501" spans="3:13" x14ac:dyDescent="0.25">
      <c r="C10501" s="27"/>
      <c r="D10501" s="27"/>
      <c r="M10501" s="28"/>
    </row>
    <row r="10502" spans="3:13" x14ac:dyDescent="0.25">
      <c r="C10502" s="27"/>
      <c r="D10502" s="27"/>
      <c r="M10502" s="28"/>
    </row>
    <row r="10503" spans="3:13" x14ac:dyDescent="0.25">
      <c r="C10503" s="27"/>
      <c r="D10503" s="27"/>
      <c r="M10503" s="28"/>
    </row>
    <row r="10504" spans="3:13" x14ac:dyDescent="0.25">
      <c r="C10504" s="27"/>
      <c r="D10504" s="27"/>
      <c r="M10504" s="28"/>
    </row>
    <row r="10505" spans="3:13" x14ac:dyDescent="0.25">
      <c r="C10505" s="27"/>
      <c r="D10505" s="27"/>
      <c r="M10505" s="28"/>
    </row>
    <row r="10506" spans="3:13" x14ac:dyDescent="0.25">
      <c r="C10506" s="27"/>
      <c r="D10506" s="27"/>
      <c r="M10506" s="28"/>
    </row>
    <row r="10507" spans="3:13" x14ac:dyDescent="0.25">
      <c r="C10507" s="27"/>
      <c r="D10507" s="27"/>
      <c r="M10507" s="28"/>
    </row>
    <row r="10508" spans="3:13" x14ac:dyDescent="0.25">
      <c r="C10508" s="27"/>
      <c r="D10508" s="27"/>
      <c r="M10508" s="28"/>
    </row>
    <row r="10509" spans="3:13" x14ac:dyDescent="0.25">
      <c r="C10509" s="27"/>
      <c r="D10509" s="27"/>
      <c r="M10509" s="28"/>
    </row>
    <row r="10510" spans="3:13" x14ac:dyDescent="0.25">
      <c r="C10510" s="27"/>
      <c r="D10510" s="27"/>
      <c r="M10510" s="28"/>
    </row>
    <row r="10511" spans="3:13" x14ac:dyDescent="0.25">
      <c r="C10511" s="27"/>
      <c r="D10511" s="27"/>
      <c r="M10511" s="28"/>
    </row>
    <row r="10512" spans="3:13" x14ac:dyDescent="0.25">
      <c r="C10512" s="27"/>
      <c r="D10512" s="27"/>
      <c r="M10512" s="28"/>
    </row>
    <row r="10513" spans="3:13" x14ac:dyDescent="0.25">
      <c r="C10513" s="27"/>
      <c r="D10513" s="27"/>
      <c r="M10513" s="28"/>
    </row>
    <row r="10514" spans="3:13" x14ac:dyDescent="0.25">
      <c r="C10514" s="27"/>
      <c r="D10514" s="27"/>
      <c r="M10514" s="28"/>
    </row>
    <row r="10515" spans="3:13" x14ac:dyDescent="0.25">
      <c r="C10515" s="27"/>
      <c r="D10515" s="27"/>
      <c r="M10515" s="28"/>
    </row>
    <row r="10516" spans="3:13" x14ac:dyDescent="0.25">
      <c r="C10516" s="27"/>
      <c r="D10516" s="27"/>
      <c r="M10516" s="28"/>
    </row>
    <row r="10517" spans="3:13" x14ac:dyDescent="0.25">
      <c r="C10517" s="27"/>
      <c r="D10517" s="27"/>
      <c r="M10517" s="28"/>
    </row>
    <row r="10518" spans="3:13" x14ac:dyDescent="0.25">
      <c r="C10518" s="27"/>
      <c r="D10518" s="27"/>
      <c r="M10518" s="28"/>
    </row>
    <row r="10519" spans="3:13" x14ac:dyDescent="0.25">
      <c r="C10519" s="27"/>
      <c r="D10519" s="27"/>
      <c r="M10519" s="28"/>
    </row>
    <row r="10520" spans="3:13" x14ac:dyDescent="0.25">
      <c r="C10520" s="27"/>
      <c r="D10520" s="27"/>
      <c r="M10520" s="28"/>
    </row>
    <row r="10521" spans="3:13" x14ac:dyDescent="0.25">
      <c r="C10521" s="27"/>
      <c r="D10521" s="27"/>
      <c r="M10521" s="28"/>
    </row>
    <row r="10522" spans="3:13" x14ac:dyDescent="0.25">
      <c r="C10522" s="27"/>
      <c r="D10522" s="27"/>
      <c r="M10522" s="28"/>
    </row>
    <row r="10523" spans="3:13" x14ac:dyDescent="0.25">
      <c r="C10523" s="27"/>
      <c r="D10523" s="27"/>
      <c r="M10523" s="28"/>
    </row>
    <row r="10524" spans="3:13" x14ac:dyDescent="0.25">
      <c r="C10524" s="27"/>
      <c r="D10524" s="27"/>
      <c r="M10524" s="28"/>
    </row>
    <row r="10525" spans="3:13" x14ac:dyDescent="0.25">
      <c r="C10525" s="27"/>
      <c r="D10525" s="27"/>
      <c r="M10525" s="28"/>
    </row>
    <row r="10526" spans="3:13" x14ac:dyDescent="0.25">
      <c r="C10526" s="27"/>
      <c r="D10526" s="27"/>
      <c r="M10526" s="28"/>
    </row>
    <row r="10527" spans="3:13" x14ac:dyDescent="0.25">
      <c r="C10527" s="27"/>
      <c r="D10527" s="27"/>
      <c r="M10527" s="28"/>
    </row>
    <row r="10528" spans="3:13" x14ac:dyDescent="0.25">
      <c r="C10528" s="27"/>
      <c r="D10528" s="27"/>
      <c r="M10528" s="28"/>
    </row>
    <row r="10529" spans="3:13" x14ac:dyDescent="0.25">
      <c r="C10529" s="27"/>
      <c r="D10529" s="27"/>
      <c r="M10529" s="28"/>
    </row>
    <row r="10530" spans="3:13" x14ac:dyDescent="0.25">
      <c r="C10530" s="27"/>
      <c r="D10530" s="27"/>
      <c r="M10530" s="28"/>
    </row>
    <row r="10531" spans="3:13" x14ac:dyDescent="0.25">
      <c r="C10531" s="27"/>
      <c r="D10531" s="27"/>
      <c r="M10531" s="28"/>
    </row>
    <row r="10532" spans="3:13" x14ac:dyDescent="0.25">
      <c r="C10532" s="27"/>
      <c r="D10532" s="27"/>
      <c r="M10532" s="28"/>
    </row>
    <row r="10533" spans="3:13" x14ac:dyDescent="0.25">
      <c r="C10533" s="27"/>
      <c r="D10533" s="27"/>
      <c r="M10533" s="28"/>
    </row>
    <row r="10534" spans="3:13" x14ac:dyDescent="0.25">
      <c r="C10534" s="27"/>
      <c r="D10534" s="27"/>
      <c r="M10534" s="28"/>
    </row>
    <row r="10535" spans="3:13" x14ac:dyDescent="0.25">
      <c r="C10535" s="27"/>
      <c r="D10535" s="27"/>
      <c r="M10535" s="28"/>
    </row>
    <row r="10536" spans="3:13" x14ac:dyDescent="0.25">
      <c r="C10536" s="27"/>
      <c r="D10536" s="27"/>
      <c r="M10536" s="28"/>
    </row>
    <row r="10537" spans="3:13" x14ac:dyDescent="0.25">
      <c r="C10537" s="27"/>
      <c r="D10537" s="27"/>
      <c r="M10537" s="28"/>
    </row>
    <row r="10538" spans="3:13" x14ac:dyDescent="0.25">
      <c r="C10538" s="27"/>
      <c r="D10538" s="27"/>
      <c r="M10538" s="28"/>
    </row>
    <row r="10539" spans="3:13" x14ac:dyDescent="0.25">
      <c r="C10539" s="27"/>
      <c r="D10539" s="27"/>
      <c r="M10539" s="28"/>
    </row>
    <row r="10540" spans="3:13" x14ac:dyDescent="0.25">
      <c r="C10540" s="27"/>
      <c r="D10540" s="27"/>
      <c r="M10540" s="28"/>
    </row>
    <row r="10541" spans="3:13" x14ac:dyDescent="0.25">
      <c r="C10541" s="27"/>
      <c r="D10541" s="27"/>
      <c r="M10541" s="28"/>
    </row>
    <row r="10542" spans="3:13" x14ac:dyDescent="0.25">
      <c r="C10542" s="27"/>
      <c r="D10542" s="27"/>
      <c r="M10542" s="28"/>
    </row>
    <row r="10543" spans="3:13" x14ac:dyDescent="0.25">
      <c r="C10543" s="27"/>
      <c r="D10543" s="27"/>
      <c r="M10543" s="28"/>
    </row>
    <row r="10544" spans="3:13" x14ac:dyDescent="0.25">
      <c r="C10544" s="27"/>
      <c r="D10544" s="27"/>
      <c r="M10544" s="28"/>
    </row>
    <row r="10545" spans="3:13" x14ac:dyDescent="0.25">
      <c r="C10545" s="27"/>
      <c r="D10545" s="27"/>
      <c r="M10545" s="28"/>
    </row>
    <row r="10546" spans="3:13" x14ac:dyDescent="0.25">
      <c r="C10546" s="27"/>
      <c r="D10546" s="27"/>
      <c r="M10546" s="28"/>
    </row>
    <row r="10547" spans="3:13" x14ac:dyDescent="0.25">
      <c r="C10547" s="27"/>
      <c r="D10547" s="27"/>
      <c r="M10547" s="28"/>
    </row>
    <row r="10548" spans="3:13" x14ac:dyDescent="0.25">
      <c r="C10548" s="27"/>
      <c r="D10548" s="27"/>
      <c r="M10548" s="28"/>
    </row>
    <row r="10549" spans="3:13" x14ac:dyDescent="0.25">
      <c r="C10549" s="27"/>
      <c r="D10549" s="27"/>
      <c r="M10549" s="28"/>
    </row>
    <row r="10550" spans="3:13" x14ac:dyDescent="0.25">
      <c r="C10550" s="27"/>
      <c r="D10550" s="27"/>
      <c r="M10550" s="28"/>
    </row>
    <row r="10551" spans="3:13" x14ac:dyDescent="0.25">
      <c r="C10551" s="27"/>
      <c r="D10551" s="27"/>
      <c r="M10551" s="28"/>
    </row>
    <row r="10552" spans="3:13" x14ac:dyDescent="0.25">
      <c r="C10552" s="27"/>
      <c r="D10552" s="27"/>
      <c r="M10552" s="28"/>
    </row>
    <row r="10553" spans="3:13" x14ac:dyDescent="0.25">
      <c r="C10553" s="27"/>
      <c r="D10553" s="27"/>
      <c r="M10553" s="28"/>
    </row>
    <row r="10554" spans="3:13" x14ac:dyDescent="0.25">
      <c r="C10554" s="27"/>
      <c r="D10554" s="27"/>
      <c r="M10554" s="28"/>
    </row>
    <row r="10555" spans="3:13" x14ac:dyDescent="0.25">
      <c r="C10555" s="27"/>
      <c r="D10555" s="27"/>
      <c r="M10555" s="28"/>
    </row>
    <row r="10556" spans="3:13" x14ac:dyDescent="0.25">
      <c r="C10556" s="27"/>
      <c r="D10556" s="27"/>
      <c r="M10556" s="28"/>
    </row>
    <row r="10557" spans="3:13" x14ac:dyDescent="0.25">
      <c r="C10557" s="27"/>
      <c r="D10557" s="27"/>
      <c r="M10557" s="28"/>
    </row>
    <row r="10558" spans="3:13" x14ac:dyDescent="0.25">
      <c r="C10558" s="27"/>
      <c r="D10558" s="27"/>
      <c r="M10558" s="28"/>
    </row>
    <row r="10559" spans="3:13" x14ac:dyDescent="0.25">
      <c r="C10559" s="27"/>
      <c r="D10559" s="27"/>
      <c r="M10559" s="28"/>
    </row>
    <row r="10560" spans="3:13" x14ac:dyDescent="0.25">
      <c r="C10560" s="27"/>
      <c r="D10560" s="27"/>
      <c r="M10560" s="28"/>
    </row>
    <row r="10561" spans="3:13" x14ac:dyDescent="0.25">
      <c r="C10561" s="27"/>
      <c r="D10561" s="27"/>
      <c r="M10561" s="28"/>
    </row>
    <row r="10562" spans="3:13" x14ac:dyDescent="0.25">
      <c r="C10562" s="27"/>
      <c r="D10562" s="27"/>
      <c r="M10562" s="28"/>
    </row>
    <row r="10563" spans="3:13" x14ac:dyDescent="0.25">
      <c r="C10563" s="27"/>
      <c r="D10563" s="27"/>
      <c r="M10563" s="28"/>
    </row>
    <row r="10564" spans="3:13" x14ac:dyDescent="0.25">
      <c r="C10564" s="27"/>
      <c r="D10564" s="27"/>
      <c r="M10564" s="28"/>
    </row>
    <row r="10565" spans="3:13" x14ac:dyDescent="0.25">
      <c r="C10565" s="27"/>
      <c r="D10565" s="27"/>
      <c r="M10565" s="28"/>
    </row>
    <row r="10566" spans="3:13" x14ac:dyDescent="0.25">
      <c r="C10566" s="27"/>
      <c r="D10566" s="27"/>
      <c r="M10566" s="28"/>
    </row>
    <row r="10567" spans="3:13" x14ac:dyDescent="0.25">
      <c r="C10567" s="27"/>
      <c r="D10567" s="27"/>
      <c r="M10567" s="28"/>
    </row>
    <row r="10568" spans="3:13" x14ac:dyDescent="0.25">
      <c r="C10568" s="27"/>
      <c r="D10568" s="27"/>
      <c r="M10568" s="28"/>
    </row>
    <row r="10569" spans="3:13" x14ac:dyDescent="0.25">
      <c r="C10569" s="27"/>
      <c r="D10569" s="27"/>
      <c r="M10569" s="28"/>
    </row>
    <row r="10570" spans="3:13" x14ac:dyDescent="0.25">
      <c r="C10570" s="27"/>
      <c r="D10570" s="27"/>
      <c r="M10570" s="28"/>
    </row>
    <row r="10571" spans="3:13" x14ac:dyDescent="0.25">
      <c r="C10571" s="27"/>
      <c r="D10571" s="27"/>
      <c r="M10571" s="28"/>
    </row>
    <row r="10572" spans="3:13" x14ac:dyDescent="0.25">
      <c r="C10572" s="27"/>
      <c r="D10572" s="27"/>
      <c r="M10572" s="28"/>
    </row>
    <row r="10573" spans="3:13" x14ac:dyDescent="0.25">
      <c r="C10573" s="27"/>
      <c r="D10573" s="27"/>
      <c r="M10573" s="28"/>
    </row>
    <row r="10574" spans="3:13" x14ac:dyDescent="0.25">
      <c r="C10574" s="27"/>
      <c r="D10574" s="27"/>
      <c r="M10574" s="28"/>
    </row>
    <row r="10575" spans="3:13" x14ac:dyDescent="0.25">
      <c r="C10575" s="27"/>
      <c r="D10575" s="27"/>
      <c r="M10575" s="28"/>
    </row>
    <row r="10576" spans="3:13" x14ac:dyDescent="0.25">
      <c r="C10576" s="27"/>
      <c r="D10576" s="27"/>
      <c r="M10576" s="28"/>
    </row>
    <row r="10577" spans="3:13" x14ac:dyDescent="0.25">
      <c r="C10577" s="27"/>
      <c r="D10577" s="27"/>
      <c r="M10577" s="28"/>
    </row>
    <row r="10578" spans="3:13" x14ac:dyDescent="0.25">
      <c r="C10578" s="27"/>
      <c r="D10578" s="27"/>
      <c r="M10578" s="28"/>
    </row>
    <row r="10579" spans="3:13" x14ac:dyDescent="0.25">
      <c r="C10579" s="27"/>
      <c r="D10579" s="27"/>
      <c r="M10579" s="28"/>
    </row>
    <row r="10580" spans="3:13" x14ac:dyDescent="0.25">
      <c r="C10580" s="27"/>
      <c r="D10580" s="27"/>
      <c r="M10580" s="28"/>
    </row>
    <row r="10581" spans="3:13" x14ac:dyDescent="0.25">
      <c r="C10581" s="27"/>
      <c r="D10581" s="27"/>
      <c r="M10581" s="28"/>
    </row>
    <row r="10582" spans="3:13" x14ac:dyDescent="0.25">
      <c r="C10582" s="27"/>
      <c r="D10582" s="27"/>
      <c r="M10582" s="28"/>
    </row>
    <row r="10583" spans="3:13" x14ac:dyDescent="0.25">
      <c r="C10583" s="27"/>
      <c r="D10583" s="27"/>
      <c r="M10583" s="28"/>
    </row>
    <row r="10584" spans="3:13" x14ac:dyDescent="0.25">
      <c r="C10584" s="27"/>
      <c r="D10584" s="27"/>
      <c r="M10584" s="28"/>
    </row>
    <row r="10585" spans="3:13" x14ac:dyDescent="0.25">
      <c r="C10585" s="27"/>
      <c r="D10585" s="27"/>
      <c r="M10585" s="28"/>
    </row>
    <row r="10586" spans="3:13" x14ac:dyDescent="0.25">
      <c r="C10586" s="27"/>
      <c r="D10586" s="27"/>
      <c r="M10586" s="28"/>
    </row>
    <row r="10587" spans="3:13" x14ac:dyDescent="0.25">
      <c r="C10587" s="27"/>
      <c r="D10587" s="27"/>
      <c r="M10587" s="28"/>
    </row>
    <row r="10588" spans="3:13" x14ac:dyDescent="0.25">
      <c r="C10588" s="27"/>
      <c r="D10588" s="27"/>
      <c r="M10588" s="28"/>
    </row>
    <row r="10589" spans="3:13" x14ac:dyDescent="0.25">
      <c r="C10589" s="27"/>
      <c r="D10589" s="27"/>
      <c r="M10589" s="28"/>
    </row>
    <row r="10590" spans="3:13" x14ac:dyDescent="0.25">
      <c r="C10590" s="27"/>
      <c r="D10590" s="27"/>
      <c r="M10590" s="28"/>
    </row>
    <row r="10591" spans="3:13" x14ac:dyDescent="0.25">
      <c r="C10591" s="27"/>
      <c r="D10591" s="27"/>
      <c r="M10591" s="28"/>
    </row>
    <row r="10592" spans="3:13" x14ac:dyDescent="0.25">
      <c r="C10592" s="27"/>
      <c r="D10592" s="27"/>
      <c r="M10592" s="28"/>
    </row>
    <row r="10593" spans="3:13" x14ac:dyDescent="0.25">
      <c r="C10593" s="27"/>
      <c r="D10593" s="27"/>
      <c r="M10593" s="28"/>
    </row>
    <row r="10594" spans="3:13" x14ac:dyDescent="0.25">
      <c r="C10594" s="27"/>
      <c r="D10594" s="27"/>
      <c r="M10594" s="28"/>
    </row>
    <row r="10595" spans="3:13" x14ac:dyDescent="0.25">
      <c r="C10595" s="27"/>
      <c r="D10595" s="27"/>
      <c r="M10595" s="28"/>
    </row>
    <row r="10596" spans="3:13" x14ac:dyDescent="0.25">
      <c r="C10596" s="27"/>
      <c r="D10596" s="27"/>
      <c r="M10596" s="28"/>
    </row>
    <row r="10597" spans="3:13" x14ac:dyDescent="0.25">
      <c r="C10597" s="27"/>
      <c r="D10597" s="27"/>
      <c r="M10597" s="28"/>
    </row>
    <row r="10598" spans="3:13" x14ac:dyDescent="0.25">
      <c r="C10598" s="27"/>
      <c r="D10598" s="27"/>
      <c r="M10598" s="28"/>
    </row>
    <row r="10599" spans="3:13" x14ac:dyDescent="0.25">
      <c r="C10599" s="27"/>
      <c r="D10599" s="27"/>
      <c r="M10599" s="28"/>
    </row>
    <row r="10600" spans="3:13" x14ac:dyDescent="0.25">
      <c r="C10600" s="27"/>
      <c r="D10600" s="27"/>
      <c r="M10600" s="28"/>
    </row>
    <row r="10601" spans="3:13" x14ac:dyDescent="0.25">
      <c r="C10601" s="27"/>
      <c r="D10601" s="27"/>
      <c r="M10601" s="28"/>
    </row>
    <row r="10602" spans="3:13" x14ac:dyDescent="0.25">
      <c r="C10602" s="27"/>
      <c r="D10602" s="27"/>
      <c r="M10602" s="28"/>
    </row>
    <row r="10603" spans="3:13" x14ac:dyDescent="0.25">
      <c r="C10603" s="27"/>
      <c r="D10603" s="27"/>
      <c r="M10603" s="28"/>
    </row>
    <row r="10604" spans="3:13" x14ac:dyDescent="0.25">
      <c r="C10604" s="27"/>
      <c r="D10604" s="27"/>
      <c r="M10604" s="28"/>
    </row>
    <row r="10605" spans="3:13" x14ac:dyDescent="0.25">
      <c r="C10605" s="27"/>
      <c r="D10605" s="27"/>
      <c r="M10605" s="28"/>
    </row>
    <row r="10606" spans="3:13" x14ac:dyDescent="0.25">
      <c r="C10606" s="27"/>
      <c r="D10606" s="27"/>
      <c r="M10606" s="28"/>
    </row>
    <row r="10607" spans="3:13" x14ac:dyDescent="0.25">
      <c r="C10607" s="27"/>
      <c r="D10607" s="27"/>
      <c r="M10607" s="28"/>
    </row>
    <row r="10608" spans="3:13" x14ac:dyDescent="0.25">
      <c r="C10608" s="27"/>
      <c r="D10608" s="27"/>
      <c r="M10608" s="28"/>
    </row>
    <row r="10609" spans="3:13" x14ac:dyDescent="0.25">
      <c r="C10609" s="27"/>
      <c r="D10609" s="27"/>
      <c r="M10609" s="28"/>
    </row>
    <row r="10610" spans="3:13" x14ac:dyDescent="0.25">
      <c r="C10610" s="27"/>
      <c r="D10610" s="27"/>
      <c r="M10610" s="28"/>
    </row>
    <row r="10611" spans="3:13" x14ac:dyDescent="0.25">
      <c r="C10611" s="27"/>
      <c r="D10611" s="27"/>
      <c r="M10611" s="28"/>
    </row>
    <row r="10612" spans="3:13" x14ac:dyDescent="0.25">
      <c r="C10612" s="27"/>
      <c r="D10612" s="27"/>
      <c r="M10612" s="28"/>
    </row>
    <row r="10613" spans="3:13" x14ac:dyDescent="0.25">
      <c r="C10613" s="27"/>
      <c r="D10613" s="27"/>
      <c r="M10613" s="28"/>
    </row>
    <row r="10614" spans="3:13" x14ac:dyDescent="0.25">
      <c r="C10614" s="27"/>
      <c r="D10614" s="27"/>
      <c r="M10614" s="28"/>
    </row>
    <row r="10615" spans="3:13" x14ac:dyDescent="0.25">
      <c r="C10615" s="27"/>
      <c r="D10615" s="27"/>
      <c r="M10615" s="28"/>
    </row>
    <row r="10616" spans="3:13" x14ac:dyDescent="0.25">
      <c r="C10616" s="27"/>
      <c r="D10616" s="27"/>
      <c r="M10616" s="28"/>
    </row>
    <row r="10617" spans="3:13" x14ac:dyDescent="0.25">
      <c r="C10617" s="27"/>
      <c r="D10617" s="27"/>
      <c r="M10617" s="28"/>
    </row>
    <row r="10618" spans="3:13" x14ac:dyDescent="0.25">
      <c r="C10618" s="27"/>
      <c r="D10618" s="27"/>
      <c r="M10618" s="28"/>
    </row>
    <row r="10619" spans="3:13" x14ac:dyDescent="0.25">
      <c r="C10619" s="27"/>
      <c r="D10619" s="27"/>
      <c r="M10619" s="28"/>
    </row>
    <row r="10620" spans="3:13" x14ac:dyDescent="0.25">
      <c r="C10620" s="27"/>
      <c r="D10620" s="27"/>
      <c r="M10620" s="28"/>
    </row>
    <row r="10621" spans="3:13" x14ac:dyDescent="0.25">
      <c r="C10621" s="27"/>
      <c r="D10621" s="27"/>
      <c r="M10621" s="28"/>
    </row>
    <row r="10622" spans="3:13" x14ac:dyDescent="0.25">
      <c r="C10622" s="27"/>
      <c r="D10622" s="27"/>
      <c r="M10622" s="28"/>
    </row>
    <row r="10623" spans="3:13" x14ac:dyDescent="0.25">
      <c r="C10623" s="27"/>
      <c r="D10623" s="27"/>
      <c r="M10623" s="28"/>
    </row>
    <row r="10624" spans="3:13" x14ac:dyDescent="0.25">
      <c r="C10624" s="27"/>
      <c r="D10624" s="27"/>
      <c r="M10624" s="28"/>
    </row>
    <row r="10625" spans="3:13" x14ac:dyDescent="0.25">
      <c r="C10625" s="27"/>
      <c r="D10625" s="27"/>
      <c r="M10625" s="28"/>
    </row>
    <row r="10626" spans="3:13" x14ac:dyDescent="0.25">
      <c r="C10626" s="27"/>
      <c r="D10626" s="27"/>
      <c r="M10626" s="28"/>
    </row>
    <row r="10627" spans="3:13" x14ac:dyDescent="0.25">
      <c r="C10627" s="27"/>
      <c r="D10627" s="27"/>
      <c r="M10627" s="28"/>
    </row>
    <row r="10628" spans="3:13" x14ac:dyDescent="0.25">
      <c r="C10628" s="27"/>
      <c r="D10628" s="27"/>
      <c r="M10628" s="28"/>
    </row>
    <row r="10629" spans="3:13" x14ac:dyDescent="0.25">
      <c r="C10629" s="27"/>
      <c r="D10629" s="27"/>
      <c r="M10629" s="28"/>
    </row>
    <row r="10630" spans="3:13" x14ac:dyDescent="0.25">
      <c r="C10630" s="27"/>
      <c r="D10630" s="27"/>
      <c r="M10630" s="28"/>
    </row>
    <row r="10631" spans="3:13" x14ac:dyDescent="0.25">
      <c r="C10631" s="27"/>
      <c r="D10631" s="27"/>
      <c r="M10631" s="28"/>
    </row>
    <row r="10632" spans="3:13" x14ac:dyDescent="0.25">
      <c r="C10632" s="27"/>
      <c r="D10632" s="27"/>
      <c r="M10632" s="28"/>
    </row>
    <row r="10633" spans="3:13" x14ac:dyDescent="0.25">
      <c r="C10633" s="27"/>
      <c r="D10633" s="27"/>
      <c r="M10633" s="28"/>
    </row>
    <row r="10634" spans="3:13" x14ac:dyDescent="0.25">
      <c r="C10634" s="27"/>
      <c r="D10634" s="27"/>
      <c r="M10634" s="28"/>
    </row>
    <row r="10635" spans="3:13" x14ac:dyDescent="0.25">
      <c r="C10635" s="27"/>
      <c r="D10635" s="27"/>
      <c r="M10635" s="28"/>
    </row>
    <row r="10636" spans="3:13" x14ac:dyDescent="0.25">
      <c r="C10636" s="27"/>
      <c r="D10636" s="27"/>
      <c r="M10636" s="28"/>
    </row>
    <row r="10637" spans="3:13" x14ac:dyDescent="0.25">
      <c r="C10637" s="27"/>
      <c r="D10637" s="27"/>
      <c r="M10637" s="28"/>
    </row>
    <row r="10638" spans="3:13" x14ac:dyDescent="0.25">
      <c r="C10638" s="27"/>
      <c r="D10638" s="27"/>
      <c r="M10638" s="28"/>
    </row>
    <row r="10639" spans="3:13" x14ac:dyDescent="0.25">
      <c r="C10639" s="27"/>
      <c r="D10639" s="27"/>
      <c r="M10639" s="28"/>
    </row>
    <row r="10640" spans="3:13" x14ac:dyDescent="0.25">
      <c r="C10640" s="27"/>
      <c r="D10640" s="27"/>
      <c r="M10640" s="28"/>
    </row>
    <row r="10641" spans="3:13" x14ac:dyDescent="0.25">
      <c r="C10641" s="27"/>
      <c r="D10641" s="27"/>
      <c r="M10641" s="28"/>
    </row>
    <row r="10642" spans="3:13" x14ac:dyDescent="0.25">
      <c r="C10642" s="27"/>
      <c r="D10642" s="27"/>
      <c r="M10642" s="28"/>
    </row>
    <row r="10643" spans="3:13" x14ac:dyDescent="0.25">
      <c r="C10643" s="27"/>
      <c r="D10643" s="27"/>
      <c r="M10643" s="28"/>
    </row>
    <row r="10644" spans="3:13" x14ac:dyDescent="0.25">
      <c r="C10644" s="27"/>
      <c r="D10644" s="27"/>
      <c r="M10644" s="28"/>
    </row>
    <row r="10645" spans="3:13" x14ac:dyDescent="0.25">
      <c r="C10645" s="27"/>
      <c r="D10645" s="27"/>
      <c r="M10645" s="28"/>
    </row>
    <row r="10646" spans="3:13" x14ac:dyDescent="0.25">
      <c r="C10646" s="27"/>
      <c r="D10646" s="27"/>
      <c r="M10646" s="28"/>
    </row>
    <row r="10647" spans="3:13" x14ac:dyDescent="0.25">
      <c r="C10647" s="27"/>
      <c r="D10647" s="27"/>
      <c r="M10647" s="28"/>
    </row>
    <row r="10648" spans="3:13" x14ac:dyDescent="0.25">
      <c r="C10648" s="27"/>
      <c r="D10648" s="27"/>
      <c r="M10648" s="28"/>
    </row>
    <row r="10649" spans="3:13" x14ac:dyDescent="0.25">
      <c r="C10649" s="27"/>
      <c r="D10649" s="27"/>
      <c r="M10649" s="28"/>
    </row>
    <row r="10650" spans="3:13" x14ac:dyDescent="0.25">
      <c r="C10650" s="27"/>
      <c r="D10650" s="27"/>
      <c r="M10650" s="28"/>
    </row>
    <row r="10651" spans="3:13" x14ac:dyDescent="0.25">
      <c r="C10651" s="27"/>
      <c r="D10651" s="27"/>
      <c r="M10651" s="28"/>
    </row>
    <row r="10652" spans="3:13" x14ac:dyDescent="0.25">
      <c r="C10652" s="27"/>
      <c r="D10652" s="27"/>
      <c r="M10652" s="28"/>
    </row>
    <row r="10653" spans="3:13" x14ac:dyDescent="0.25">
      <c r="C10653" s="27"/>
      <c r="D10653" s="27"/>
      <c r="M10653" s="28"/>
    </row>
    <row r="10654" spans="3:13" x14ac:dyDescent="0.25">
      <c r="C10654" s="27"/>
      <c r="D10654" s="27"/>
      <c r="M10654" s="28"/>
    </row>
    <row r="10655" spans="3:13" x14ac:dyDescent="0.25">
      <c r="C10655" s="27"/>
      <c r="D10655" s="27"/>
      <c r="M10655" s="28"/>
    </row>
    <row r="10656" spans="3:13" x14ac:dyDescent="0.25">
      <c r="C10656" s="27"/>
      <c r="D10656" s="27"/>
      <c r="M10656" s="28"/>
    </row>
    <row r="10657" spans="3:13" x14ac:dyDescent="0.25">
      <c r="C10657" s="27"/>
      <c r="D10657" s="27"/>
      <c r="M10657" s="28"/>
    </row>
    <row r="10658" spans="3:13" x14ac:dyDescent="0.25">
      <c r="C10658" s="27"/>
      <c r="D10658" s="27"/>
      <c r="M10658" s="28"/>
    </row>
    <row r="10659" spans="3:13" x14ac:dyDescent="0.25">
      <c r="C10659" s="27"/>
      <c r="D10659" s="27"/>
      <c r="M10659" s="28"/>
    </row>
    <row r="10660" spans="3:13" x14ac:dyDescent="0.25">
      <c r="C10660" s="27"/>
      <c r="D10660" s="27"/>
      <c r="M10660" s="28"/>
    </row>
    <row r="10661" spans="3:13" x14ac:dyDescent="0.25">
      <c r="C10661" s="27"/>
      <c r="D10661" s="27"/>
      <c r="M10661" s="28"/>
    </row>
    <row r="10662" spans="3:13" x14ac:dyDescent="0.25">
      <c r="C10662" s="27"/>
      <c r="D10662" s="27"/>
      <c r="M10662" s="28"/>
    </row>
    <row r="10663" spans="3:13" x14ac:dyDescent="0.25">
      <c r="C10663" s="27"/>
      <c r="D10663" s="27"/>
      <c r="M10663" s="28"/>
    </row>
    <row r="10664" spans="3:13" x14ac:dyDescent="0.25">
      <c r="C10664" s="27"/>
      <c r="D10664" s="27"/>
      <c r="M10664" s="28"/>
    </row>
    <row r="10665" spans="3:13" x14ac:dyDescent="0.25">
      <c r="C10665" s="27"/>
      <c r="D10665" s="27"/>
      <c r="M10665" s="28"/>
    </row>
    <row r="10666" spans="3:13" x14ac:dyDescent="0.25">
      <c r="C10666" s="27"/>
      <c r="D10666" s="27"/>
      <c r="M10666" s="28"/>
    </row>
    <row r="10667" spans="3:13" x14ac:dyDescent="0.25">
      <c r="C10667" s="27"/>
      <c r="D10667" s="27"/>
      <c r="M10667" s="28"/>
    </row>
    <row r="10668" spans="3:13" x14ac:dyDescent="0.25">
      <c r="C10668" s="27"/>
      <c r="D10668" s="27"/>
      <c r="M10668" s="28"/>
    </row>
    <row r="10669" spans="3:13" x14ac:dyDescent="0.25">
      <c r="C10669" s="27"/>
      <c r="D10669" s="27"/>
      <c r="M10669" s="28"/>
    </row>
    <row r="10670" spans="3:13" x14ac:dyDescent="0.25">
      <c r="C10670" s="27"/>
      <c r="D10670" s="27"/>
      <c r="M10670" s="28"/>
    </row>
    <row r="10671" spans="3:13" x14ac:dyDescent="0.25">
      <c r="C10671" s="27"/>
      <c r="D10671" s="27"/>
      <c r="M10671" s="28"/>
    </row>
    <row r="10672" spans="3:13" x14ac:dyDescent="0.25">
      <c r="C10672" s="27"/>
      <c r="D10672" s="27"/>
      <c r="M10672" s="28"/>
    </row>
    <row r="10673" spans="3:13" x14ac:dyDescent="0.25">
      <c r="C10673" s="27"/>
      <c r="D10673" s="27"/>
      <c r="M10673" s="28"/>
    </row>
    <row r="10674" spans="3:13" x14ac:dyDescent="0.25">
      <c r="C10674" s="27"/>
      <c r="D10674" s="27"/>
      <c r="M10674" s="28"/>
    </row>
    <row r="10675" spans="3:13" x14ac:dyDescent="0.25">
      <c r="C10675" s="27"/>
      <c r="D10675" s="27"/>
      <c r="M10675" s="28"/>
    </row>
    <row r="10676" spans="3:13" x14ac:dyDescent="0.25">
      <c r="C10676" s="27"/>
      <c r="D10676" s="27"/>
      <c r="M10676" s="28"/>
    </row>
    <row r="10677" spans="3:13" x14ac:dyDescent="0.25">
      <c r="C10677" s="27"/>
      <c r="D10677" s="27"/>
      <c r="M10677" s="28"/>
    </row>
    <row r="10678" spans="3:13" x14ac:dyDescent="0.25">
      <c r="C10678" s="27"/>
      <c r="D10678" s="27"/>
      <c r="M10678" s="28"/>
    </row>
    <row r="10679" spans="3:13" x14ac:dyDescent="0.25">
      <c r="C10679" s="27"/>
      <c r="D10679" s="27"/>
      <c r="M10679" s="28"/>
    </row>
    <row r="10680" spans="3:13" x14ac:dyDescent="0.25">
      <c r="C10680" s="27"/>
      <c r="D10680" s="27"/>
      <c r="M10680" s="28"/>
    </row>
    <row r="10681" spans="3:13" x14ac:dyDescent="0.25">
      <c r="C10681" s="27"/>
      <c r="D10681" s="27"/>
      <c r="M10681" s="28"/>
    </row>
    <row r="10682" spans="3:13" x14ac:dyDescent="0.25">
      <c r="C10682" s="27"/>
      <c r="D10682" s="27"/>
      <c r="M10682" s="28"/>
    </row>
    <row r="10683" spans="3:13" x14ac:dyDescent="0.25">
      <c r="C10683" s="27"/>
      <c r="D10683" s="27"/>
      <c r="M10683" s="28"/>
    </row>
    <row r="10684" spans="3:13" x14ac:dyDescent="0.25">
      <c r="C10684" s="27"/>
      <c r="D10684" s="27"/>
      <c r="M10684" s="28"/>
    </row>
    <row r="10685" spans="3:13" x14ac:dyDescent="0.25">
      <c r="C10685" s="27"/>
      <c r="D10685" s="27"/>
      <c r="M10685" s="28"/>
    </row>
    <row r="10686" spans="3:13" x14ac:dyDescent="0.25">
      <c r="C10686" s="27"/>
      <c r="D10686" s="27"/>
      <c r="M10686" s="28"/>
    </row>
    <row r="10687" spans="3:13" x14ac:dyDescent="0.25">
      <c r="C10687" s="27"/>
      <c r="D10687" s="27"/>
      <c r="M10687" s="28"/>
    </row>
    <row r="10688" spans="3:13" x14ac:dyDescent="0.25">
      <c r="C10688" s="27"/>
      <c r="D10688" s="27"/>
      <c r="M10688" s="28"/>
    </row>
    <row r="10689" spans="3:13" x14ac:dyDescent="0.25">
      <c r="C10689" s="27"/>
      <c r="D10689" s="27"/>
      <c r="M10689" s="28"/>
    </row>
    <row r="10690" spans="3:13" x14ac:dyDescent="0.25">
      <c r="C10690" s="27"/>
      <c r="D10690" s="27"/>
      <c r="M10690" s="28"/>
    </row>
    <row r="10691" spans="3:13" x14ac:dyDescent="0.25">
      <c r="C10691" s="27"/>
      <c r="D10691" s="27"/>
      <c r="M10691" s="28"/>
    </row>
    <row r="10692" spans="3:13" x14ac:dyDescent="0.25">
      <c r="C10692" s="27"/>
      <c r="D10692" s="27"/>
      <c r="M10692" s="28"/>
    </row>
    <row r="10693" spans="3:13" x14ac:dyDescent="0.25">
      <c r="C10693" s="27"/>
      <c r="D10693" s="27"/>
    </row>
    <row r="10694" spans="3:13" x14ac:dyDescent="0.25">
      <c r="C10694" s="27"/>
      <c r="D10694" s="27"/>
    </row>
    <row r="10695" spans="3:13" x14ac:dyDescent="0.25">
      <c r="C10695" s="27"/>
      <c r="D10695" s="27"/>
    </row>
    <row r="10696" spans="3:13" x14ac:dyDescent="0.25">
      <c r="C10696" s="27"/>
      <c r="D10696" s="27"/>
    </row>
    <row r="10697" spans="3:13" x14ac:dyDescent="0.25">
      <c r="C10697" s="27"/>
      <c r="D10697" s="27"/>
    </row>
    <row r="10698" spans="3:13" x14ac:dyDescent="0.25">
      <c r="C10698" s="27"/>
      <c r="D10698" s="27"/>
    </row>
    <row r="10699" spans="3:13" x14ac:dyDescent="0.25">
      <c r="C10699" s="27"/>
      <c r="D10699" s="27"/>
    </row>
    <row r="10700" spans="3:13" x14ac:dyDescent="0.25">
      <c r="C10700" s="27"/>
      <c r="D10700" s="27"/>
    </row>
    <row r="10701" spans="3:13" x14ac:dyDescent="0.25">
      <c r="C10701" s="27"/>
      <c r="D10701" s="27"/>
    </row>
    <row r="10702" spans="3:13" x14ac:dyDescent="0.25">
      <c r="C10702" s="27"/>
      <c r="D10702" s="27"/>
    </row>
    <row r="10703" spans="3:13" x14ac:dyDescent="0.25">
      <c r="C10703" s="27"/>
      <c r="D10703" s="27"/>
    </row>
    <row r="10704" spans="3:13" x14ac:dyDescent="0.25">
      <c r="C10704" s="27"/>
      <c r="D10704" s="27"/>
    </row>
    <row r="10705" spans="3:4" x14ac:dyDescent="0.25">
      <c r="C10705" s="27"/>
      <c r="D10705" s="27"/>
    </row>
    <row r="10706" spans="3:4" x14ac:dyDescent="0.25">
      <c r="C10706" s="27"/>
      <c r="D10706" s="27"/>
    </row>
    <row r="10707" spans="3:4" x14ac:dyDescent="0.25">
      <c r="C10707" s="27"/>
      <c r="D10707" s="27"/>
    </row>
    <row r="10708" spans="3:4" x14ac:dyDescent="0.25">
      <c r="C10708" s="27"/>
      <c r="D10708" s="27"/>
    </row>
    <row r="10709" spans="3:4" x14ac:dyDescent="0.25">
      <c r="C10709" s="27"/>
      <c r="D10709" s="27"/>
    </row>
    <row r="10710" spans="3:4" x14ac:dyDescent="0.25">
      <c r="C10710" s="27"/>
      <c r="D10710" s="27"/>
    </row>
    <row r="10711" spans="3:4" x14ac:dyDescent="0.25">
      <c r="C10711" s="27"/>
      <c r="D10711" s="27"/>
    </row>
    <row r="10712" spans="3:4" x14ac:dyDescent="0.25">
      <c r="C10712" s="27"/>
      <c r="D10712" s="27"/>
    </row>
    <row r="10713" spans="3:4" x14ac:dyDescent="0.25">
      <c r="C10713" s="27"/>
      <c r="D10713" s="27"/>
    </row>
    <row r="10714" spans="3:4" x14ac:dyDescent="0.25">
      <c r="C10714" s="27"/>
      <c r="D10714" s="27"/>
    </row>
    <row r="10715" spans="3:4" x14ac:dyDescent="0.25">
      <c r="C10715" s="27"/>
      <c r="D10715" s="27"/>
    </row>
    <row r="10716" spans="3:4" x14ac:dyDescent="0.25">
      <c r="C10716" s="27"/>
      <c r="D10716" s="27"/>
    </row>
    <row r="10717" spans="3:4" x14ac:dyDescent="0.25">
      <c r="C10717" s="27"/>
      <c r="D10717" s="27"/>
    </row>
    <row r="10718" spans="3:4" x14ac:dyDescent="0.25">
      <c r="C10718" s="27"/>
      <c r="D10718" s="27"/>
    </row>
    <row r="10719" spans="3:4" x14ac:dyDescent="0.25">
      <c r="C10719" s="27"/>
      <c r="D10719" s="27"/>
    </row>
    <row r="10720" spans="3:4" x14ac:dyDescent="0.25">
      <c r="C10720" s="27"/>
      <c r="D10720" s="27"/>
    </row>
    <row r="10721" spans="3:4" x14ac:dyDescent="0.25">
      <c r="C10721" s="27"/>
      <c r="D10721" s="27"/>
    </row>
    <row r="10722" spans="3:4" x14ac:dyDescent="0.25">
      <c r="C10722" s="27"/>
      <c r="D10722" s="27"/>
    </row>
    <row r="10723" spans="3:4" x14ac:dyDescent="0.25">
      <c r="C10723" s="27"/>
      <c r="D10723" s="27"/>
    </row>
    <row r="10724" spans="3:4" x14ac:dyDescent="0.25">
      <c r="C10724" s="27"/>
      <c r="D10724" s="27"/>
    </row>
    <row r="10725" spans="3:4" x14ac:dyDescent="0.25">
      <c r="C10725" s="27"/>
      <c r="D10725" s="27"/>
    </row>
    <row r="10726" spans="3:4" x14ac:dyDescent="0.25">
      <c r="C10726" s="27"/>
      <c r="D10726" s="27"/>
    </row>
    <row r="10727" spans="3:4" x14ac:dyDescent="0.25">
      <c r="C10727" s="27"/>
      <c r="D10727" s="27"/>
    </row>
    <row r="10728" spans="3:4" x14ac:dyDescent="0.25">
      <c r="C10728" s="27"/>
      <c r="D10728" s="27"/>
    </row>
    <row r="10729" spans="3:4" x14ac:dyDescent="0.25">
      <c r="C10729" s="27"/>
      <c r="D10729" s="27"/>
    </row>
    <row r="10730" spans="3:4" x14ac:dyDescent="0.25">
      <c r="C10730" s="27"/>
      <c r="D10730" s="27"/>
    </row>
    <row r="10731" spans="3:4" x14ac:dyDescent="0.25">
      <c r="C10731" s="27"/>
      <c r="D10731" s="27"/>
    </row>
    <row r="10732" spans="3:4" x14ac:dyDescent="0.25">
      <c r="C10732" s="27"/>
      <c r="D10732" s="27"/>
    </row>
    <row r="10733" spans="3:4" x14ac:dyDescent="0.25">
      <c r="C10733" s="27"/>
      <c r="D10733" s="27"/>
    </row>
    <row r="10734" spans="3:4" x14ac:dyDescent="0.25">
      <c r="C10734" s="27"/>
      <c r="D10734" s="27"/>
    </row>
    <row r="10735" spans="3:4" x14ac:dyDescent="0.25">
      <c r="C10735" s="27"/>
      <c r="D10735" s="27"/>
    </row>
    <row r="10736" spans="3:4" x14ac:dyDescent="0.25">
      <c r="C10736" s="27"/>
      <c r="D10736" s="27"/>
    </row>
    <row r="10737" spans="3:4" x14ac:dyDescent="0.25">
      <c r="C10737" s="27"/>
      <c r="D10737" s="27"/>
    </row>
    <row r="10738" spans="3:4" x14ac:dyDescent="0.25">
      <c r="C10738" s="27"/>
      <c r="D10738" s="27"/>
    </row>
    <row r="10739" spans="3:4" x14ac:dyDescent="0.25">
      <c r="C10739" s="27"/>
      <c r="D10739" s="27"/>
    </row>
    <row r="10740" spans="3:4" x14ac:dyDescent="0.25">
      <c r="C10740" s="27"/>
      <c r="D10740" s="27"/>
    </row>
    <row r="10741" spans="3:4" x14ac:dyDescent="0.25">
      <c r="C10741" s="27"/>
      <c r="D10741" s="27"/>
    </row>
    <row r="10742" spans="3:4" x14ac:dyDescent="0.25">
      <c r="C10742" s="27"/>
      <c r="D10742" s="27"/>
    </row>
    <row r="10743" spans="3:4" x14ac:dyDescent="0.25">
      <c r="C10743" s="27"/>
      <c r="D10743" s="27"/>
    </row>
    <row r="10744" spans="3:4" x14ac:dyDescent="0.25">
      <c r="C10744" s="27"/>
      <c r="D10744" s="27"/>
    </row>
    <row r="10745" spans="3:4" x14ac:dyDescent="0.25">
      <c r="C10745" s="27"/>
      <c r="D10745" s="27"/>
    </row>
    <row r="10746" spans="3:4" x14ac:dyDescent="0.25">
      <c r="C10746" s="27"/>
      <c r="D10746" s="27"/>
    </row>
    <row r="10747" spans="3:4" x14ac:dyDescent="0.25">
      <c r="C10747" s="27"/>
      <c r="D10747" s="27"/>
    </row>
    <row r="10748" spans="3:4" x14ac:dyDescent="0.25">
      <c r="C10748" s="27"/>
      <c r="D10748" s="27"/>
    </row>
    <row r="10749" spans="3:4" x14ac:dyDescent="0.25">
      <c r="C10749" s="27"/>
      <c r="D10749" s="27"/>
    </row>
    <row r="10750" spans="3:4" x14ac:dyDescent="0.25">
      <c r="C10750" s="27"/>
      <c r="D10750" s="27"/>
    </row>
    <row r="10751" spans="3:4" x14ac:dyDescent="0.25">
      <c r="C10751" s="27"/>
      <c r="D10751" s="27"/>
    </row>
    <row r="10752" spans="3:4" x14ac:dyDescent="0.25">
      <c r="C10752" s="27"/>
      <c r="D10752" s="27"/>
    </row>
    <row r="10753" spans="3:4" x14ac:dyDescent="0.25">
      <c r="C10753" s="27"/>
      <c r="D10753" s="27"/>
    </row>
    <row r="10754" spans="3:4" x14ac:dyDescent="0.25">
      <c r="C10754" s="27"/>
      <c r="D10754" s="27"/>
    </row>
    <row r="10755" spans="3:4" x14ac:dyDescent="0.25">
      <c r="C10755" s="27"/>
      <c r="D10755" s="27"/>
    </row>
    <row r="10756" spans="3:4" x14ac:dyDescent="0.25">
      <c r="C10756" s="27"/>
      <c r="D10756" s="27"/>
    </row>
    <row r="10757" spans="3:4" x14ac:dyDescent="0.25">
      <c r="C10757" s="27"/>
      <c r="D10757" s="27"/>
    </row>
    <row r="10758" spans="3:4" x14ac:dyDescent="0.25">
      <c r="C10758" s="27"/>
      <c r="D10758" s="27"/>
    </row>
    <row r="10759" spans="3:4" x14ac:dyDescent="0.25">
      <c r="C10759" s="27"/>
      <c r="D10759" s="27"/>
    </row>
    <row r="10760" spans="3:4" x14ac:dyDescent="0.25">
      <c r="C10760" s="27"/>
      <c r="D10760" s="27"/>
    </row>
    <row r="10761" spans="3:4" x14ac:dyDescent="0.25">
      <c r="C10761" s="27"/>
      <c r="D10761" s="27"/>
    </row>
    <row r="10762" spans="3:4" x14ac:dyDescent="0.25">
      <c r="C10762" s="27"/>
      <c r="D10762" s="27"/>
    </row>
    <row r="10763" spans="3:4" x14ac:dyDescent="0.25">
      <c r="C10763" s="27"/>
      <c r="D10763" s="27"/>
    </row>
    <row r="10764" spans="3:4" x14ac:dyDescent="0.25">
      <c r="C10764" s="27"/>
      <c r="D10764" s="27"/>
    </row>
    <row r="10765" spans="3:4" x14ac:dyDescent="0.25">
      <c r="C10765" s="27"/>
      <c r="D10765" s="27"/>
    </row>
    <row r="10766" spans="3:4" x14ac:dyDescent="0.25">
      <c r="C10766" s="27"/>
      <c r="D10766" s="27"/>
    </row>
    <row r="10767" spans="3:4" x14ac:dyDescent="0.25">
      <c r="C10767" s="27"/>
      <c r="D10767" s="27"/>
    </row>
    <row r="10768" spans="3:4" x14ac:dyDescent="0.25">
      <c r="C10768" s="27"/>
      <c r="D10768" s="27"/>
    </row>
    <row r="10769" spans="3:4" x14ac:dyDescent="0.25">
      <c r="C10769" s="27"/>
      <c r="D10769" s="27"/>
    </row>
    <row r="10770" spans="3:4" x14ac:dyDescent="0.25">
      <c r="C10770" s="27"/>
      <c r="D10770" s="27"/>
    </row>
    <row r="10771" spans="3:4" x14ac:dyDescent="0.25">
      <c r="C10771" s="27"/>
      <c r="D10771" s="27"/>
    </row>
    <row r="10772" spans="3:4" x14ac:dyDescent="0.25">
      <c r="C10772" s="27"/>
      <c r="D10772" s="27"/>
    </row>
    <row r="10773" spans="3:4" x14ac:dyDescent="0.25">
      <c r="C10773" s="27"/>
      <c r="D10773" s="27"/>
    </row>
    <row r="10774" spans="3:4" x14ac:dyDescent="0.25">
      <c r="C10774" s="27"/>
      <c r="D10774" s="27"/>
    </row>
    <row r="10775" spans="3:4" x14ac:dyDescent="0.25">
      <c r="C10775" s="27"/>
      <c r="D10775" s="27"/>
    </row>
    <row r="10776" spans="3:4" x14ac:dyDescent="0.25">
      <c r="C10776" s="27"/>
      <c r="D10776" s="27"/>
    </row>
    <row r="10777" spans="3:4" x14ac:dyDescent="0.25">
      <c r="C10777" s="27"/>
      <c r="D10777" s="27"/>
    </row>
    <row r="10778" spans="3:4" x14ac:dyDescent="0.25">
      <c r="C10778" s="27"/>
      <c r="D10778" s="27"/>
    </row>
    <row r="10779" spans="3:4" x14ac:dyDescent="0.25">
      <c r="C10779" s="27"/>
      <c r="D10779" s="27"/>
    </row>
    <row r="10780" spans="3:4" x14ac:dyDescent="0.25">
      <c r="C10780" s="27"/>
      <c r="D10780" s="27"/>
    </row>
    <row r="10781" spans="3:4" x14ac:dyDescent="0.25">
      <c r="C10781" s="27"/>
      <c r="D10781" s="27"/>
    </row>
    <row r="10782" spans="3:4" x14ac:dyDescent="0.25">
      <c r="C10782" s="27"/>
      <c r="D10782" s="27"/>
    </row>
    <row r="10783" spans="3:4" x14ac:dyDescent="0.25">
      <c r="C10783" s="27"/>
      <c r="D10783" s="27"/>
    </row>
    <row r="10784" spans="3:4" x14ac:dyDescent="0.25">
      <c r="C10784" s="27"/>
      <c r="D10784" s="27"/>
    </row>
    <row r="10785" spans="3:4" x14ac:dyDescent="0.25">
      <c r="C10785" s="27"/>
      <c r="D10785" s="27"/>
    </row>
    <row r="10786" spans="3:4" x14ac:dyDescent="0.25">
      <c r="C10786" s="27"/>
      <c r="D10786" s="27"/>
    </row>
    <row r="10787" spans="3:4" x14ac:dyDescent="0.25">
      <c r="C10787" s="27"/>
      <c r="D10787" s="27"/>
    </row>
    <row r="10788" spans="3:4" x14ac:dyDescent="0.25">
      <c r="C10788" s="27"/>
      <c r="D10788" s="27"/>
    </row>
    <row r="10789" spans="3:4" x14ac:dyDescent="0.25">
      <c r="C10789" s="27"/>
      <c r="D10789" s="27"/>
    </row>
    <row r="10790" spans="3:4" x14ac:dyDescent="0.25">
      <c r="C10790" s="27"/>
      <c r="D10790" s="27"/>
    </row>
    <row r="10791" spans="3:4" x14ac:dyDescent="0.25">
      <c r="C10791" s="27"/>
      <c r="D10791" s="27"/>
    </row>
    <row r="10792" spans="3:4" x14ac:dyDescent="0.25">
      <c r="C10792" s="27"/>
      <c r="D10792" s="27"/>
    </row>
    <row r="10793" spans="3:4" x14ac:dyDescent="0.25">
      <c r="C10793" s="27"/>
      <c r="D10793" s="27"/>
    </row>
    <row r="10794" spans="3:4" x14ac:dyDescent="0.25">
      <c r="C10794" s="27"/>
      <c r="D10794" s="27"/>
    </row>
    <row r="10795" spans="3:4" x14ac:dyDescent="0.25">
      <c r="C10795" s="27"/>
      <c r="D10795" s="27"/>
    </row>
    <row r="10796" spans="3:4" x14ac:dyDescent="0.25">
      <c r="C10796" s="27"/>
      <c r="D10796" s="27"/>
    </row>
    <row r="10797" spans="3:4" x14ac:dyDescent="0.25">
      <c r="C10797" s="27"/>
      <c r="D10797" s="27"/>
    </row>
    <row r="10798" spans="3:4" x14ac:dyDescent="0.25">
      <c r="C10798" s="27"/>
      <c r="D10798" s="27"/>
    </row>
    <row r="10799" spans="3:4" x14ac:dyDescent="0.25">
      <c r="C10799" s="27"/>
      <c r="D10799" s="27"/>
    </row>
    <row r="10800" spans="3:4" x14ac:dyDescent="0.25">
      <c r="C10800" s="27"/>
      <c r="D10800" s="27"/>
    </row>
    <row r="10801" spans="3:4" x14ac:dyDescent="0.25">
      <c r="C10801" s="27"/>
      <c r="D10801" s="27"/>
    </row>
    <row r="10802" spans="3:4" x14ac:dyDescent="0.25">
      <c r="C10802" s="27"/>
      <c r="D10802" s="27"/>
    </row>
    <row r="10803" spans="3:4" x14ac:dyDescent="0.25">
      <c r="C10803" s="27"/>
      <c r="D10803" s="27"/>
    </row>
    <row r="10804" spans="3:4" x14ac:dyDescent="0.25">
      <c r="C10804" s="27"/>
      <c r="D10804" s="27"/>
    </row>
    <row r="10805" spans="3:4" x14ac:dyDescent="0.25">
      <c r="C10805" s="27"/>
      <c r="D10805" s="27"/>
    </row>
    <row r="10806" spans="3:4" x14ac:dyDescent="0.25">
      <c r="C10806" s="27"/>
      <c r="D10806" s="27"/>
    </row>
    <row r="10807" spans="3:4" x14ac:dyDescent="0.25">
      <c r="C10807" s="27"/>
      <c r="D10807" s="27"/>
    </row>
    <row r="10808" spans="3:4" x14ac:dyDescent="0.25">
      <c r="C10808" s="27"/>
      <c r="D10808" s="27"/>
    </row>
    <row r="10809" spans="3:4" x14ac:dyDescent="0.25">
      <c r="C10809" s="27"/>
      <c r="D10809" s="27"/>
    </row>
    <row r="10810" spans="3:4" x14ac:dyDescent="0.25">
      <c r="C10810" s="27"/>
      <c r="D10810" s="27"/>
    </row>
    <row r="10811" spans="3:4" x14ac:dyDescent="0.25">
      <c r="C10811" s="27"/>
      <c r="D10811" s="27"/>
    </row>
    <row r="10812" spans="3:4" x14ac:dyDescent="0.25">
      <c r="C10812" s="27"/>
      <c r="D10812" s="27"/>
    </row>
    <row r="10813" spans="3:4" x14ac:dyDescent="0.25">
      <c r="C10813" s="27"/>
      <c r="D10813" s="27"/>
    </row>
    <row r="10814" spans="3:4" x14ac:dyDescent="0.25">
      <c r="C10814" s="27"/>
      <c r="D10814" s="27"/>
    </row>
    <row r="10815" spans="3:4" x14ac:dyDescent="0.25">
      <c r="C10815" s="27"/>
      <c r="D10815" s="27"/>
    </row>
    <row r="10816" spans="3:4" x14ac:dyDescent="0.25">
      <c r="C10816" s="27"/>
      <c r="D10816" s="27"/>
    </row>
    <row r="10817" spans="3:4" x14ac:dyDescent="0.25">
      <c r="C10817" s="27"/>
      <c r="D10817" s="27"/>
    </row>
    <row r="10818" spans="3:4" x14ac:dyDescent="0.25">
      <c r="C10818" s="27"/>
      <c r="D10818" s="27"/>
    </row>
    <row r="10819" spans="3:4" x14ac:dyDescent="0.25">
      <c r="C10819" s="27"/>
      <c r="D10819" s="27"/>
    </row>
    <row r="10820" spans="3:4" x14ac:dyDescent="0.25">
      <c r="C10820" s="27"/>
      <c r="D10820" s="27"/>
    </row>
    <row r="10821" spans="3:4" x14ac:dyDescent="0.25">
      <c r="C10821" s="27"/>
      <c r="D10821" s="27"/>
    </row>
    <row r="10822" spans="3:4" x14ac:dyDescent="0.25">
      <c r="C10822" s="27"/>
      <c r="D10822" s="27"/>
    </row>
    <row r="10823" spans="3:4" x14ac:dyDescent="0.25">
      <c r="C10823" s="27"/>
      <c r="D10823" s="27"/>
    </row>
    <row r="10824" spans="3:4" x14ac:dyDescent="0.25">
      <c r="C10824" s="27"/>
      <c r="D10824" s="27"/>
    </row>
    <row r="10825" spans="3:4" x14ac:dyDescent="0.25">
      <c r="C10825" s="27"/>
      <c r="D10825" s="27"/>
    </row>
    <row r="10826" spans="3:4" x14ac:dyDescent="0.25">
      <c r="C10826" s="27"/>
      <c r="D10826" s="27"/>
    </row>
    <row r="10827" spans="3:4" x14ac:dyDescent="0.25">
      <c r="C10827" s="27"/>
      <c r="D10827" s="27"/>
    </row>
    <row r="10828" spans="3:4" x14ac:dyDescent="0.25">
      <c r="C10828" s="27"/>
      <c r="D10828" s="27"/>
    </row>
    <row r="10829" spans="3:4" x14ac:dyDescent="0.25">
      <c r="C10829" s="27"/>
      <c r="D10829" s="27"/>
    </row>
    <row r="10830" spans="3:4" x14ac:dyDescent="0.25">
      <c r="C10830" s="27"/>
      <c r="D10830" s="27"/>
    </row>
    <row r="10831" spans="3:4" x14ac:dyDescent="0.25">
      <c r="C10831" s="27"/>
      <c r="D10831" s="27"/>
    </row>
    <row r="10832" spans="3:4" x14ac:dyDescent="0.25">
      <c r="C10832" s="27"/>
      <c r="D10832" s="27"/>
    </row>
    <row r="10833" spans="3:4" x14ac:dyDescent="0.25">
      <c r="C10833" s="27"/>
      <c r="D10833" s="27"/>
    </row>
    <row r="10834" spans="3:4" x14ac:dyDescent="0.25">
      <c r="C10834" s="27"/>
      <c r="D10834" s="27"/>
    </row>
    <row r="10835" spans="3:4" x14ac:dyDescent="0.25">
      <c r="C10835" s="27"/>
      <c r="D10835" s="27"/>
    </row>
    <row r="10836" spans="3:4" x14ac:dyDescent="0.25">
      <c r="C10836" s="27"/>
      <c r="D10836" s="27"/>
    </row>
    <row r="10837" spans="3:4" x14ac:dyDescent="0.25">
      <c r="C10837" s="27"/>
      <c r="D10837" s="27"/>
    </row>
    <row r="10838" spans="3:4" x14ac:dyDescent="0.25">
      <c r="C10838" s="27"/>
      <c r="D10838" s="27"/>
    </row>
    <row r="10839" spans="3:4" x14ac:dyDescent="0.25">
      <c r="C10839" s="27"/>
      <c r="D10839" s="27"/>
    </row>
    <row r="10840" spans="3:4" x14ac:dyDescent="0.25">
      <c r="C10840" s="27"/>
      <c r="D10840" s="27"/>
    </row>
    <row r="10841" spans="3:4" x14ac:dyDescent="0.25">
      <c r="C10841" s="27"/>
      <c r="D10841" s="27"/>
    </row>
    <row r="10842" spans="3:4" x14ac:dyDescent="0.25">
      <c r="C10842" s="27"/>
      <c r="D10842" s="27"/>
    </row>
    <row r="10843" spans="3:4" x14ac:dyDescent="0.25">
      <c r="C10843" s="27"/>
      <c r="D10843" s="27"/>
    </row>
    <row r="10844" spans="3:4" x14ac:dyDescent="0.25">
      <c r="C10844" s="27"/>
      <c r="D10844" s="27"/>
    </row>
    <row r="10845" spans="3:4" x14ac:dyDescent="0.25">
      <c r="C10845" s="27"/>
      <c r="D10845" s="27"/>
    </row>
    <row r="10846" spans="3:4" x14ac:dyDescent="0.25">
      <c r="C10846" s="27"/>
      <c r="D10846" s="27"/>
    </row>
    <row r="10847" spans="3:4" x14ac:dyDescent="0.25">
      <c r="C10847" s="27"/>
      <c r="D10847" s="27"/>
    </row>
    <row r="10848" spans="3:4" x14ac:dyDescent="0.25">
      <c r="C10848" s="27"/>
      <c r="D10848" s="27"/>
    </row>
    <row r="10849" spans="3:4" x14ac:dyDescent="0.25">
      <c r="C10849" s="27"/>
      <c r="D10849" s="27"/>
    </row>
    <row r="10850" spans="3:4" x14ac:dyDescent="0.25">
      <c r="C10850" s="27"/>
      <c r="D10850" s="27"/>
    </row>
    <row r="10851" spans="3:4" x14ac:dyDescent="0.25">
      <c r="C10851" s="27"/>
      <c r="D10851" s="27"/>
    </row>
    <row r="10852" spans="3:4" x14ac:dyDescent="0.25">
      <c r="C10852" s="27"/>
      <c r="D10852" s="27"/>
    </row>
    <row r="10853" spans="3:4" x14ac:dyDescent="0.25">
      <c r="C10853" s="27"/>
      <c r="D10853" s="27"/>
    </row>
    <row r="10854" spans="3:4" x14ac:dyDescent="0.25">
      <c r="C10854" s="27"/>
      <c r="D10854" s="27"/>
    </row>
    <row r="10855" spans="3:4" x14ac:dyDescent="0.25">
      <c r="C10855" s="27"/>
      <c r="D10855" s="27"/>
    </row>
    <row r="10856" spans="3:4" x14ac:dyDescent="0.25">
      <c r="C10856" s="27"/>
      <c r="D10856" s="27"/>
    </row>
    <row r="10857" spans="3:4" x14ac:dyDescent="0.25">
      <c r="C10857" s="27"/>
      <c r="D10857" s="27"/>
    </row>
    <row r="10858" spans="3:4" x14ac:dyDescent="0.25">
      <c r="C10858" s="27"/>
      <c r="D10858" s="27"/>
    </row>
    <row r="10859" spans="3:4" x14ac:dyDescent="0.25">
      <c r="C10859" s="27"/>
      <c r="D10859" s="27"/>
    </row>
    <row r="10860" spans="3:4" x14ac:dyDescent="0.25">
      <c r="C10860" s="27"/>
      <c r="D10860" s="27"/>
    </row>
    <row r="10861" spans="3:4" x14ac:dyDescent="0.25">
      <c r="C10861" s="27"/>
      <c r="D10861" s="27"/>
    </row>
    <row r="10862" spans="3:4" x14ac:dyDescent="0.25">
      <c r="C10862" s="27"/>
      <c r="D10862" s="27"/>
    </row>
    <row r="10863" spans="3:4" x14ac:dyDescent="0.25">
      <c r="C10863" s="27"/>
      <c r="D10863" s="27"/>
    </row>
    <row r="10864" spans="3:4" x14ac:dyDescent="0.25">
      <c r="C10864" s="27"/>
      <c r="D10864" s="27"/>
    </row>
    <row r="10865" spans="3:4" x14ac:dyDescent="0.25">
      <c r="C10865" s="27"/>
      <c r="D10865" s="27"/>
    </row>
    <row r="10866" spans="3:4" x14ac:dyDescent="0.25">
      <c r="C10866" s="27"/>
      <c r="D10866" s="27"/>
    </row>
    <row r="10867" spans="3:4" x14ac:dyDescent="0.25">
      <c r="C10867" s="27"/>
      <c r="D10867" s="27"/>
    </row>
    <row r="10868" spans="3:4" x14ac:dyDescent="0.25">
      <c r="C10868" s="27"/>
      <c r="D10868" s="27"/>
    </row>
    <row r="10869" spans="3:4" x14ac:dyDescent="0.25">
      <c r="C10869" s="27"/>
      <c r="D10869" s="27"/>
    </row>
    <row r="10870" spans="3:4" x14ac:dyDescent="0.25">
      <c r="C10870" s="27"/>
      <c r="D10870" s="27"/>
    </row>
    <row r="10871" spans="3:4" x14ac:dyDescent="0.25">
      <c r="C10871" s="27"/>
      <c r="D10871" s="27"/>
    </row>
    <row r="10872" spans="3:4" x14ac:dyDescent="0.25">
      <c r="C10872" s="27"/>
      <c r="D10872" s="27"/>
    </row>
    <row r="10873" spans="3:4" x14ac:dyDescent="0.25">
      <c r="C10873" s="27"/>
      <c r="D10873" s="27"/>
    </row>
    <row r="10874" spans="3:4" x14ac:dyDescent="0.25">
      <c r="C10874" s="27"/>
      <c r="D10874" s="27"/>
    </row>
    <row r="10875" spans="3:4" x14ac:dyDescent="0.25">
      <c r="C10875" s="27"/>
      <c r="D10875" s="27"/>
    </row>
    <row r="10876" spans="3:4" x14ac:dyDescent="0.25">
      <c r="C10876" s="27"/>
      <c r="D10876" s="27"/>
    </row>
    <row r="10877" spans="3:4" x14ac:dyDescent="0.25">
      <c r="C10877" s="27"/>
      <c r="D10877" s="27"/>
    </row>
    <row r="10878" spans="3:4" x14ac:dyDescent="0.25">
      <c r="C10878" s="27"/>
      <c r="D10878" s="27"/>
    </row>
    <row r="10879" spans="3:4" x14ac:dyDescent="0.25">
      <c r="C10879" s="27"/>
      <c r="D10879" s="27"/>
    </row>
    <row r="10880" spans="3:4" x14ac:dyDescent="0.25">
      <c r="C10880" s="27"/>
      <c r="D10880" s="27"/>
    </row>
    <row r="10881" spans="3:4" x14ac:dyDescent="0.25">
      <c r="C10881" s="27"/>
      <c r="D10881" s="27"/>
    </row>
    <row r="10882" spans="3:4" x14ac:dyDescent="0.25">
      <c r="C10882" s="27"/>
      <c r="D10882" s="27"/>
    </row>
    <row r="10883" spans="3:4" x14ac:dyDescent="0.25">
      <c r="C10883" s="27"/>
      <c r="D10883" s="27"/>
    </row>
    <row r="10884" spans="3:4" x14ac:dyDescent="0.25">
      <c r="C10884" s="27"/>
      <c r="D10884" s="27"/>
    </row>
    <row r="10885" spans="3:4" x14ac:dyDescent="0.25">
      <c r="C10885" s="27"/>
      <c r="D10885" s="27"/>
    </row>
    <row r="10886" spans="3:4" x14ac:dyDescent="0.25">
      <c r="C10886" s="27"/>
      <c r="D10886" s="27"/>
    </row>
    <row r="10887" spans="3:4" x14ac:dyDescent="0.25">
      <c r="C10887" s="27"/>
      <c r="D10887" s="27"/>
    </row>
    <row r="10888" spans="3:4" x14ac:dyDescent="0.25">
      <c r="C10888" s="27"/>
      <c r="D10888" s="27"/>
    </row>
    <row r="10889" spans="3:4" x14ac:dyDescent="0.25">
      <c r="C10889" s="27"/>
      <c r="D10889" s="27"/>
    </row>
    <row r="10890" spans="3:4" x14ac:dyDescent="0.25">
      <c r="C10890" s="27"/>
      <c r="D10890" s="27"/>
    </row>
    <row r="10891" spans="3:4" x14ac:dyDescent="0.25">
      <c r="C10891" s="27"/>
      <c r="D10891" s="27"/>
    </row>
    <row r="10892" spans="3:4" x14ac:dyDescent="0.25">
      <c r="C10892" s="27"/>
      <c r="D10892" s="27"/>
    </row>
    <row r="10893" spans="3:4" x14ac:dyDescent="0.25">
      <c r="C10893" s="27"/>
      <c r="D10893" s="27"/>
    </row>
    <row r="10894" spans="3:4" x14ac:dyDescent="0.25">
      <c r="C10894" s="27"/>
      <c r="D10894" s="27"/>
    </row>
    <row r="10895" spans="3:4" x14ac:dyDescent="0.25">
      <c r="C10895" s="27"/>
      <c r="D10895" s="27"/>
    </row>
    <row r="10896" spans="3:4" x14ac:dyDescent="0.25">
      <c r="C10896" s="27"/>
      <c r="D10896" s="27"/>
    </row>
    <row r="10897" spans="3:4" x14ac:dyDescent="0.25">
      <c r="C10897" s="27"/>
      <c r="D10897" s="27"/>
    </row>
    <row r="10898" spans="3:4" x14ac:dyDescent="0.25">
      <c r="C10898" s="27"/>
      <c r="D10898" s="27"/>
    </row>
    <row r="10899" spans="3:4" x14ac:dyDescent="0.25">
      <c r="C10899" s="27"/>
      <c r="D10899" s="27"/>
    </row>
    <row r="10900" spans="3:4" x14ac:dyDescent="0.25">
      <c r="C10900" s="27"/>
      <c r="D10900" s="27"/>
    </row>
    <row r="10901" spans="3:4" x14ac:dyDescent="0.25">
      <c r="C10901" s="27"/>
      <c r="D10901" s="27"/>
    </row>
    <row r="10902" spans="3:4" x14ac:dyDescent="0.25">
      <c r="C10902" s="27"/>
      <c r="D10902" s="27"/>
    </row>
    <row r="10903" spans="3:4" x14ac:dyDescent="0.25">
      <c r="C10903" s="27"/>
      <c r="D10903" s="27"/>
    </row>
    <row r="10904" spans="3:4" x14ac:dyDescent="0.25">
      <c r="C10904" s="27"/>
      <c r="D10904" s="27"/>
    </row>
    <row r="10905" spans="3:4" x14ac:dyDescent="0.25">
      <c r="C10905" s="27"/>
      <c r="D10905" s="27"/>
    </row>
    <row r="10906" spans="3:4" x14ac:dyDescent="0.25">
      <c r="C10906" s="27"/>
      <c r="D10906" s="27"/>
    </row>
    <row r="10907" spans="3:4" x14ac:dyDescent="0.25">
      <c r="C10907" s="27"/>
      <c r="D10907" s="27"/>
    </row>
    <row r="10908" spans="3:4" x14ac:dyDescent="0.25">
      <c r="C10908" s="27"/>
      <c r="D10908" s="27"/>
    </row>
    <row r="10909" spans="3:4" x14ac:dyDescent="0.25">
      <c r="C10909" s="27"/>
      <c r="D10909" s="27"/>
    </row>
    <row r="10910" spans="3:4" x14ac:dyDescent="0.25">
      <c r="C10910" s="27"/>
      <c r="D10910" s="27"/>
    </row>
    <row r="10911" spans="3:4" x14ac:dyDescent="0.25">
      <c r="C10911" s="27"/>
      <c r="D10911" s="27"/>
    </row>
    <row r="10912" spans="3:4" x14ac:dyDescent="0.25">
      <c r="C10912" s="27"/>
      <c r="D10912" s="27"/>
    </row>
    <row r="10913" spans="3:4" x14ac:dyDescent="0.25">
      <c r="C10913" s="27"/>
      <c r="D10913" s="27"/>
    </row>
    <row r="10914" spans="3:4" x14ac:dyDescent="0.25">
      <c r="C10914" s="27"/>
      <c r="D10914" s="27"/>
    </row>
    <row r="10915" spans="3:4" x14ac:dyDescent="0.25">
      <c r="C10915" s="27"/>
      <c r="D10915" s="27"/>
    </row>
    <row r="10916" spans="3:4" x14ac:dyDescent="0.25">
      <c r="C10916" s="27"/>
      <c r="D10916" s="27"/>
    </row>
    <row r="10917" spans="3:4" x14ac:dyDescent="0.25">
      <c r="C10917" s="27"/>
      <c r="D10917" s="27"/>
    </row>
    <row r="10918" spans="3:4" x14ac:dyDescent="0.25">
      <c r="C10918" s="27"/>
      <c r="D10918" s="27"/>
    </row>
    <row r="10919" spans="3:4" x14ac:dyDescent="0.25">
      <c r="C10919" s="27"/>
      <c r="D10919" s="27"/>
    </row>
    <row r="10920" spans="3:4" x14ac:dyDescent="0.25">
      <c r="C10920" s="27"/>
      <c r="D10920" s="27"/>
    </row>
    <row r="10921" spans="3:4" x14ac:dyDescent="0.25">
      <c r="C10921" s="27"/>
      <c r="D10921" s="27"/>
    </row>
    <row r="10922" spans="3:4" x14ac:dyDescent="0.25">
      <c r="C10922" s="27"/>
      <c r="D10922" s="27"/>
    </row>
    <row r="10923" spans="3:4" x14ac:dyDescent="0.25">
      <c r="C10923" s="27"/>
      <c r="D10923" s="27"/>
    </row>
    <row r="10924" spans="3:4" x14ac:dyDescent="0.25">
      <c r="C10924" s="27"/>
      <c r="D10924" s="27"/>
    </row>
    <row r="10925" spans="3:4" x14ac:dyDescent="0.25">
      <c r="C10925" s="27"/>
      <c r="D10925" s="27"/>
    </row>
    <row r="10926" spans="3:4" x14ac:dyDescent="0.25">
      <c r="C10926" s="27"/>
      <c r="D10926" s="27"/>
    </row>
    <row r="10927" spans="3:4" x14ac:dyDescent="0.25">
      <c r="C10927" s="27"/>
      <c r="D10927" s="27"/>
    </row>
    <row r="10928" spans="3:4" x14ac:dyDescent="0.25">
      <c r="C10928" s="27"/>
      <c r="D10928" s="27"/>
    </row>
    <row r="10929" spans="3:4" x14ac:dyDescent="0.25">
      <c r="C10929" s="27"/>
      <c r="D10929" s="27"/>
    </row>
    <row r="10930" spans="3:4" x14ac:dyDescent="0.25">
      <c r="C10930" s="27"/>
      <c r="D10930" s="27"/>
    </row>
    <row r="10931" spans="3:4" x14ac:dyDescent="0.25">
      <c r="C10931" s="27"/>
      <c r="D10931" s="27"/>
    </row>
    <row r="10932" spans="3:4" x14ac:dyDescent="0.25">
      <c r="C10932" s="27"/>
      <c r="D10932" s="27"/>
    </row>
    <row r="10933" spans="3:4" x14ac:dyDescent="0.25">
      <c r="C10933" s="27"/>
      <c r="D10933" s="27"/>
    </row>
    <row r="10934" spans="3:4" x14ac:dyDescent="0.25">
      <c r="C10934" s="27"/>
      <c r="D10934" s="27"/>
    </row>
    <row r="10935" spans="3:4" x14ac:dyDescent="0.25">
      <c r="C10935" s="27"/>
      <c r="D10935" s="27"/>
    </row>
    <row r="10936" spans="3:4" x14ac:dyDescent="0.25">
      <c r="C10936" s="27"/>
      <c r="D10936" s="27"/>
    </row>
    <row r="10937" spans="3:4" x14ac:dyDescent="0.25">
      <c r="C10937" s="27"/>
      <c r="D10937" s="27"/>
    </row>
    <row r="10938" spans="3:4" x14ac:dyDescent="0.25">
      <c r="C10938" s="27"/>
      <c r="D10938" s="27"/>
    </row>
    <row r="10939" spans="3:4" x14ac:dyDescent="0.25">
      <c r="C10939" s="27"/>
      <c r="D10939" s="27"/>
    </row>
    <row r="10940" spans="3:4" x14ac:dyDescent="0.25">
      <c r="C10940" s="27"/>
      <c r="D10940" s="27"/>
    </row>
    <row r="10941" spans="3:4" x14ac:dyDescent="0.25">
      <c r="C10941" s="27"/>
      <c r="D10941" s="27"/>
    </row>
    <row r="10942" spans="3:4" x14ac:dyDescent="0.25">
      <c r="C10942" s="27"/>
      <c r="D10942" s="27"/>
    </row>
    <row r="10943" spans="3:4" x14ac:dyDescent="0.25">
      <c r="C10943" s="27"/>
      <c r="D10943" s="27"/>
    </row>
    <row r="10944" spans="3:4" x14ac:dyDescent="0.25">
      <c r="C10944" s="27"/>
      <c r="D10944" s="27"/>
    </row>
    <row r="10945" spans="3:4" x14ac:dyDescent="0.25">
      <c r="C10945" s="27"/>
      <c r="D10945" s="27"/>
    </row>
    <row r="10946" spans="3:4" x14ac:dyDescent="0.25">
      <c r="C10946" s="27"/>
      <c r="D10946" s="27"/>
    </row>
    <row r="10947" spans="3:4" x14ac:dyDescent="0.25">
      <c r="C10947" s="27"/>
      <c r="D10947" s="27"/>
    </row>
    <row r="10948" spans="3:4" x14ac:dyDescent="0.25">
      <c r="C10948" s="27"/>
      <c r="D10948" s="27"/>
    </row>
    <row r="10949" spans="3:4" x14ac:dyDescent="0.25">
      <c r="C10949" s="27"/>
      <c r="D10949" s="27"/>
    </row>
    <row r="10950" spans="3:4" x14ac:dyDescent="0.25">
      <c r="C10950" s="27"/>
      <c r="D10950" s="27"/>
    </row>
    <row r="10951" spans="3:4" x14ac:dyDescent="0.25">
      <c r="C10951" s="27"/>
      <c r="D10951" s="27"/>
    </row>
    <row r="10952" spans="3:4" x14ac:dyDescent="0.25">
      <c r="C10952" s="27"/>
      <c r="D10952" s="27"/>
    </row>
    <row r="10953" spans="3:4" x14ac:dyDescent="0.25">
      <c r="C10953" s="27"/>
      <c r="D10953" s="27"/>
    </row>
    <row r="10954" spans="3:4" x14ac:dyDescent="0.25">
      <c r="C10954" s="27"/>
      <c r="D10954" s="27"/>
    </row>
    <row r="10955" spans="3:4" x14ac:dyDescent="0.25">
      <c r="C10955" s="27"/>
      <c r="D10955" s="27"/>
    </row>
    <row r="10956" spans="3:4" x14ac:dyDescent="0.25">
      <c r="C10956" s="27"/>
      <c r="D10956" s="27"/>
    </row>
    <row r="10957" spans="3:4" x14ac:dyDescent="0.25">
      <c r="C10957" s="27"/>
      <c r="D10957" s="27"/>
    </row>
    <row r="10958" spans="3:4" x14ac:dyDescent="0.25">
      <c r="C10958" s="27"/>
      <c r="D10958" s="27"/>
    </row>
    <row r="10959" spans="3:4" x14ac:dyDescent="0.25">
      <c r="C10959" s="27"/>
      <c r="D10959" s="27"/>
    </row>
    <row r="10960" spans="3:4" x14ac:dyDescent="0.25">
      <c r="C10960" s="27"/>
      <c r="D10960" s="27"/>
    </row>
    <row r="10961" spans="3:4" x14ac:dyDescent="0.25">
      <c r="C10961" s="27"/>
      <c r="D10961" s="27"/>
    </row>
    <row r="10962" spans="3:4" x14ac:dyDescent="0.25">
      <c r="C10962" s="27"/>
      <c r="D10962" s="27"/>
    </row>
    <row r="10963" spans="3:4" x14ac:dyDescent="0.25">
      <c r="C10963" s="27"/>
      <c r="D10963" s="27"/>
    </row>
    <row r="10964" spans="3:4" x14ac:dyDescent="0.25">
      <c r="C10964" s="27"/>
      <c r="D10964" s="27"/>
    </row>
    <row r="10965" spans="3:4" x14ac:dyDescent="0.25">
      <c r="C10965" s="27"/>
      <c r="D10965" s="27"/>
    </row>
    <row r="10966" spans="3:4" x14ac:dyDescent="0.25">
      <c r="C10966" s="27"/>
      <c r="D10966" s="27"/>
    </row>
    <row r="10967" spans="3:4" x14ac:dyDescent="0.25">
      <c r="C10967" s="27"/>
      <c r="D10967" s="27"/>
    </row>
    <row r="10968" spans="3:4" x14ac:dyDescent="0.25">
      <c r="C10968" s="27"/>
      <c r="D10968" s="27"/>
    </row>
    <row r="10969" spans="3:4" x14ac:dyDescent="0.25">
      <c r="C10969" s="27"/>
      <c r="D10969" s="27"/>
    </row>
    <row r="10970" spans="3:4" x14ac:dyDescent="0.25">
      <c r="C10970" s="27"/>
      <c r="D10970" s="27"/>
    </row>
    <row r="10971" spans="3:4" x14ac:dyDescent="0.25">
      <c r="C10971" s="27"/>
      <c r="D10971" s="27"/>
    </row>
    <row r="10972" spans="3:4" x14ac:dyDescent="0.25">
      <c r="C10972" s="27"/>
      <c r="D10972" s="27"/>
    </row>
    <row r="10973" spans="3:4" x14ac:dyDescent="0.25">
      <c r="C10973" s="27"/>
      <c r="D10973" s="27"/>
    </row>
    <row r="10974" spans="3:4" x14ac:dyDescent="0.25">
      <c r="C10974" s="27"/>
      <c r="D10974" s="27"/>
    </row>
    <row r="10975" spans="3:4" x14ac:dyDescent="0.25">
      <c r="C10975" s="27"/>
      <c r="D10975" s="27"/>
    </row>
    <row r="10976" spans="3:4" x14ac:dyDescent="0.25">
      <c r="C10976" s="27"/>
      <c r="D10976" s="27"/>
    </row>
    <row r="10977" spans="3:4" x14ac:dyDescent="0.25">
      <c r="C10977" s="27"/>
      <c r="D10977" s="27"/>
    </row>
    <row r="10978" spans="3:4" x14ac:dyDescent="0.25">
      <c r="C10978" s="27"/>
      <c r="D10978" s="27"/>
    </row>
    <row r="10979" spans="3:4" x14ac:dyDescent="0.25">
      <c r="C10979" s="27"/>
      <c r="D10979" s="27"/>
    </row>
    <row r="10980" spans="3:4" x14ac:dyDescent="0.25">
      <c r="C10980" s="27"/>
      <c r="D10980" s="27"/>
    </row>
    <row r="10981" spans="3:4" x14ac:dyDescent="0.25">
      <c r="C10981" s="27"/>
      <c r="D10981" s="27"/>
    </row>
    <row r="10982" spans="3:4" x14ac:dyDescent="0.25">
      <c r="C10982" s="27"/>
      <c r="D10982" s="27"/>
    </row>
    <row r="10983" spans="3:4" x14ac:dyDescent="0.25">
      <c r="C10983" s="27"/>
      <c r="D10983" s="27"/>
    </row>
    <row r="10984" spans="3:4" x14ac:dyDescent="0.25">
      <c r="C10984" s="27"/>
      <c r="D10984" s="27"/>
    </row>
    <row r="10985" spans="3:4" x14ac:dyDescent="0.25">
      <c r="C10985" s="27"/>
      <c r="D10985" s="27"/>
    </row>
    <row r="10986" spans="3:4" x14ac:dyDescent="0.25">
      <c r="C10986" s="27"/>
      <c r="D10986" s="27"/>
    </row>
    <row r="10987" spans="3:4" x14ac:dyDescent="0.25">
      <c r="C10987" s="27"/>
      <c r="D10987" s="27"/>
    </row>
    <row r="10988" spans="3:4" x14ac:dyDescent="0.25">
      <c r="C10988" s="27"/>
      <c r="D10988" s="27"/>
    </row>
    <row r="10989" spans="3:4" x14ac:dyDescent="0.25">
      <c r="C10989" s="27"/>
      <c r="D10989" s="27"/>
    </row>
    <row r="10990" spans="3:4" x14ac:dyDescent="0.25">
      <c r="C10990" s="27"/>
      <c r="D10990" s="27"/>
    </row>
    <row r="10991" spans="3:4" x14ac:dyDescent="0.25">
      <c r="C10991" s="27"/>
      <c r="D10991" s="27"/>
    </row>
    <row r="10992" spans="3:4" x14ac:dyDescent="0.25">
      <c r="C10992" s="27"/>
      <c r="D10992" s="27"/>
    </row>
    <row r="10993" spans="3:4" x14ac:dyDescent="0.25">
      <c r="C10993" s="27"/>
      <c r="D10993" s="27"/>
    </row>
    <row r="10994" spans="3:4" x14ac:dyDescent="0.25">
      <c r="C10994" s="27"/>
      <c r="D10994" s="27"/>
    </row>
    <row r="10995" spans="3:4" x14ac:dyDescent="0.25">
      <c r="C10995" s="27"/>
      <c r="D10995" s="27"/>
    </row>
    <row r="10996" spans="3:4" x14ac:dyDescent="0.25">
      <c r="C10996" s="27"/>
      <c r="D10996" s="27"/>
    </row>
    <row r="10997" spans="3:4" x14ac:dyDescent="0.25">
      <c r="C10997" s="27"/>
      <c r="D10997" s="27"/>
    </row>
    <row r="10998" spans="3:4" x14ac:dyDescent="0.25">
      <c r="C10998" s="27"/>
      <c r="D10998" s="27"/>
    </row>
    <row r="10999" spans="3:4" x14ac:dyDescent="0.25">
      <c r="C10999" s="27"/>
      <c r="D10999" s="27"/>
    </row>
    <row r="11000" spans="3:4" x14ac:dyDescent="0.25">
      <c r="C11000" s="27"/>
      <c r="D11000" s="27"/>
    </row>
    <row r="11001" spans="3:4" x14ac:dyDescent="0.25">
      <c r="C11001" s="27"/>
      <c r="D11001" s="27"/>
    </row>
    <row r="11002" spans="3:4" x14ac:dyDescent="0.25">
      <c r="C11002" s="27"/>
      <c r="D11002" s="27"/>
    </row>
    <row r="11003" spans="3:4" x14ac:dyDescent="0.25">
      <c r="C11003" s="27"/>
      <c r="D11003" s="27"/>
    </row>
    <row r="11004" spans="3:4" x14ac:dyDescent="0.25">
      <c r="C11004" s="27"/>
      <c r="D11004" s="27"/>
    </row>
    <row r="11005" spans="3:4" x14ac:dyDescent="0.25">
      <c r="C11005" s="27"/>
      <c r="D11005" s="27"/>
    </row>
    <row r="11006" spans="3:4" x14ac:dyDescent="0.25">
      <c r="C11006" s="27"/>
      <c r="D11006" s="27"/>
    </row>
    <row r="11007" spans="3:4" x14ac:dyDescent="0.25">
      <c r="C11007" s="27"/>
      <c r="D11007" s="27"/>
    </row>
    <row r="11008" spans="3:4" x14ac:dyDescent="0.25">
      <c r="C11008" s="27"/>
      <c r="D11008" s="27"/>
    </row>
    <row r="11009" spans="3:4" x14ac:dyDescent="0.25">
      <c r="C11009" s="27"/>
      <c r="D11009" s="27"/>
    </row>
    <row r="11010" spans="3:4" x14ac:dyDescent="0.25">
      <c r="C11010" s="27"/>
      <c r="D11010" s="27"/>
    </row>
    <row r="11011" spans="3:4" x14ac:dyDescent="0.25">
      <c r="C11011" s="27"/>
      <c r="D11011" s="27"/>
    </row>
    <row r="11012" spans="3:4" x14ac:dyDescent="0.25">
      <c r="C11012" s="27"/>
      <c r="D11012" s="27"/>
    </row>
    <row r="11013" spans="3:4" x14ac:dyDescent="0.25">
      <c r="C11013" s="27"/>
      <c r="D11013" s="27"/>
    </row>
    <row r="11014" spans="3:4" x14ac:dyDescent="0.25">
      <c r="C11014" s="27"/>
      <c r="D11014" s="27"/>
    </row>
    <row r="11015" spans="3:4" x14ac:dyDescent="0.25">
      <c r="C11015" s="27"/>
      <c r="D11015" s="27"/>
    </row>
    <row r="11016" spans="3:4" x14ac:dyDescent="0.25">
      <c r="C11016" s="27"/>
      <c r="D11016" s="27"/>
    </row>
    <row r="11017" spans="3:4" x14ac:dyDescent="0.25">
      <c r="C11017" s="27"/>
      <c r="D11017" s="27"/>
    </row>
    <row r="11018" spans="3:4" x14ac:dyDescent="0.25">
      <c r="C11018" s="27"/>
      <c r="D11018" s="27"/>
    </row>
    <row r="11019" spans="3:4" x14ac:dyDescent="0.25">
      <c r="C11019" s="27"/>
      <c r="D11019" s="27"/>
    </row>
    <row r="11020" spans="3:4" x14ac:dyDescent="0.25">
      <c r="C11020" s="27"/>
      <c r="D11020" s="27"/>
    </row>
    <row r="11021" spans="3:4" x14ac:dyDescent="0.25">
      <c r="C11021" s="27"/>
      <c r="D11021" s="27"/>
    </row>
    <row r="11022" spans="3:4" x14ac:dyDescent="0.25">
      <c r="C11022" s="27"/>
      <c r="D11022" s="27"/>
    </row>
    <row r="11023" spans="3:4" x14ac:dyDescent="0.25">
      <c r="C11023" s="27"/>
      <c r="D11023" s="27"/>
    </row>
    <row r="11024" spans="3:4" x14ac:dyDescent="0.25">
      <c r="C11024" s="27"/>
      <c r="D11024" s="27"/>
    </row>
    <row r="11025" spans="3:4" x14ac:dyDescent="0.25">
      <c r="C11025" s="27"/>
      <c r="D11025" s="27"/>
    </row>
    <row r="11026" spans="3:4" x14ac:dyDescent="0.25">
      <c r="C11026" s="27"/>
      <c r="D11026" s="27"/>
    </row>
    <row r="11027" spans="3:4" x14ac:dyDescent="0.25">
      <c r="C11027" s="27"/>
      <c r="D11027" s="27"/>
    </row>
    <row r="11028" spans="3:4" x14ac:dyDescent="0.25">
      <c r="C11028" s="27"/>
      <c r="D11028" s="27"/>
    </row>
    <row r="11029" spans="3:4" x14ac:dyDescent="0.25">
      <c r="C11029" s="27"/>
      <c r="D11029" s="27"/>
    </row>
    <row r="11030" spans="3:4" x14ac:dyDescent="0.25">
      <c r="C11030" s="27"/>
      <c r="D11030" s="27"/>
    </row>
    <row r="11031" spans="3:4" x14ac:dyDescent="0.25">
      <c r="C11031" s="27"/>
      <c r="D11031" s="27"/>
    </row>
    <row r="11032" spans="3:4" x14ac:dyDescent="0.25">
      <c r="C11032" s="27"/>
      <c r="D11032" s="27"/>
    </row>
    <row r="11033" spans="3:4" x14ac:dyDescent="0.25">
      <c r="C11033" s="27"/>
      <c r="D11033" s="27"/>
    </row>
    <row r="11034" spans="3:4" x14ac:dyDescent="0.25">
      <c r="C11034" s="27"/>
      <c r="D11034" s="27"/>
    </row>
    <row r="11035" spans="3:4" x14ac:dyDescent="0.25">
      <c r="C11035" s="27"/>
      <c r="D11035" s="27"/>
    </row>
    <row r="11036" spans="3:4" x14ac:dyDescent="0.25">
      <c r="C11036" s="27"/>
      <c r="D11036" s="27"/>
    </row>
    <row r="11037" spans="3:4" x14ac:dyDescent="0.25">
      <c r="C11037" s="27"/>
      <c r="D11037" s="27"/>
    </row>
    <row r="11038" spans="3:4" x14ac:dyDescent="0.25">
      <c r="C11038" s="27"/>
      <c r="D11038" s="27"/>
    </row>
    <row r="11039" spans="3:4" x14ac:dyDescent="0.25">
      <c r="C11039" s="27"/>
      <c r="D11039" s="27"/>
    </row>
    <row r="11040" spans="3:4" x14ac:dyDescent="0.25">
      <c r="C11040" s="27"/>
      <c r="D11040" s="27"/>
    </row>
    <row r="11041" spans="3:4" x14ac:dyDescent="0.25">
      <c r="C11041" s="27"/>
      <c r="D11041" s="27"/>
    </row>
    <row r="11042" spans="3:4" x14ac:dyDescent="0.25">
      <c r="C11042" s="27"/>
      <c r="D11042" s="27"/>
    </row>
    <row r="11043" spans="3:4" x14ac:dyDescent="0.25">
      <c r="C11043" s="27"/>
      <c r="D11043" s="27"/>
    </row>
    <row r="11044" spans="3:4" x14ac:dyDescent="0.25">
      <c r="C11044" s="27"/>
      <c r="D11044" s="27"/>
    </row>
    <row r="11045" spans="3:4" x14ac:dyDescent="0.25">
      <c r="C11045" s="27"/>
      <c r="D11045" s="27"/>
    </row>
    <row r="11046" spans="3:4" x14ac:dyDescent="0.25">
      <c r="C11046" s="27"/>
      <c r="D11046" s="27"/>
    </row>
    <row r="11047" spans="3:4" x14ac:dyDescent="0.25">
      <c r="C11047" s="27"/>
      <c r="D11047" s="27"/>
    </row>
    <row r="11048" spans="3:4" x14ac:dyDescent="0.25">
      <c r="C11048" s="27"/>
      <c r="D11048" s="27"/>
    </row>
    <row r="11049" spans="3:4" x14ac:dyDescent="0.25">
      <c r="C11049" s="27"/>
      <c r="D11049" s="27"/>
    </row>
    <row r="11050" spans="3:4" x14ac:dyDescent="0.25">
      <c r="C11050" s="27"/>
      <c r="D11050" s="27"/>
    </row>
    <row r="11051" spans="3:4" x14ac:dyDescent="0.25">
      <c r="C11051" s="27"/>
      <c r="D11051" s="27"/>
    </row>
    <row r="11052" spans="3:4" x14ac:dyDescent="0.25">
      <c r="C11052" s="27"/>
      <c r="D11052" s="27"/>
    </row>
    <row r="11053" spans="3:4" x14ac:dyDescent="0.25">
      <c r="C11053" s="27"/>
      <c r="D11053" s="27"/>
    </row>
    <row r="11054" spans="3:4" x14ac:dyDescent="0.25">
      <c r="C11054" s="27"/>
      <c r="D11054" s="27"/>
    </row>
    <row r="11055" spans="3:4" x14ac:dyDescent="0.25">
      <c r="C11055" s="27"/>
      <c r="D11055" s="27"/>
    </row>
    <row r="11056" spans="3:4" x14ac:dyDescent="0.25">
      <c r="C11056" s="27"/>
      <c r="D11056" s="27"/>
    </row>
    <row r="11057" spans="3:4" x14ac:dyDescent="0.25">
      <c r="C11057" s="27"/>
      <c r="D11057" s="27"/>
    </row>
    <row r="11058" spans="3:4" x14ac:dyDescent="0.25">
      <c r="C11058" s="27"/>
      <c r="D11058" s="27"/>
    </row>
    <row r="11059" spans="3:4" x14ac:dyDescent="0.25">
      <c r="C11059" s="27"/>
      <c r="D11059" s="27"/>
    </row>
    <row r="11060" spans="3:4" x14ac:dyDescent="0.25">
      <c r="C11060" s="27"/>
      <c r="D11060" s="27"/>
    </row>
    <row r="11061" spans="3:4" x14ac:dyDescent="0.25">
      <c r="C11061" s="27"/>
      <c r="D11061" s="27"/>
    </row>
    <row r="11062" spans="3:4" x14ac:dyDescent="0.25">
      <c r="C11062" s="27"/>
      <c r="D11062" s="27"/>
    </row>
    <row r="11063" spans="3:4" x14ac:dyDescent="0.25">
      <c r="C11063" s="27"/>
      <c r="D11063" s="27"/>
    </row>
    <row r="11064" spans="3:4" x14ac:dyDescent="0.25">
      <c r="C11064" s="27"/>
      <c r="D11064" s="27"/>
    </row>
    <row r="11065" spans="3:4" x14ac:dyDescent="0.25">
      <c r="C11065" s="27"/>
      <c r="D11065" s="27"/>
    </row>
    <row r="11066" spans="3:4" x14ac:dyDescent="0.25">
      <c r="C11066" s="27"/>
      <c r="D11066" s="27"/>
    </row>
    <row r="11067" spans="3:4" x14ac:dyDescent="0.25">
      <c r="C11067" s="27"/>
      <c r="D11067" s="27"/>
    </row>
    <row r="11068" spans="3:4" x14ac:dyDescent="0.25">
      <c r="C11068" s="27"/>
      <c r="D11068" s="27"/>
    </row>
    <row r="11069" spans="3:4" x14ac:dyDescent="0.25">
      <c r="C11069" s="27"/>
      <c r="D11069" s="27"/>
    </row>
    <row r="11070" spans="3:4" x14ac:dyDescent="0.25">
      <c r="C11070" s="27"/>
      <c r="D11070" s="27"/>
    </row>
    <row r="11071" spans="3:4" x14ac:dyDescent="0.25">
      <c r="C11071" s="27"/>
      <c r="D11071" s="27"/>
    </row>
    <row r="11072" spans="3:4" x14ac:dyDescent="0.25">
      <c r="C11072" s="27"/>
      <c r="D11072" s="27"/>
    </row>
    <row r="11073" spans="3:4" x14ac:dyDescent="0.25">
      <c r="C11073" s="27"/>
      <c r="D11073" s="27"/>
    </row>
    <row r="11074" spans="3:4" x14ac:dyDescent="0.25">
      <c r="C11074" s="27"/>
      <c r="D11074" s="27"/>
    </row>
    <row r="11075" spans="3:4" x14ac:dyDescent="0.25">
      <c r="C11075" s="27"/>
      <c r="D11075" s="27"/>
    </row>
    <row r="11076" spans="3:4" x14ac:dyDescent="0.25">
      <c r="C11076" s="27"/>
      <c r="D11076" s="27"/>
    </row>
    <row r="11077" spans="3:4" x14ac:dyDescent="0.25">
      <c r="C11077" s="27"/>
      <c r="D11077" s="27"/>
    </row>
    <row r="11078" spans="3:4" x14ac:dyDescent="0.25">
      <c r="C11078" s="27"/>
      <c r="D11078" s="27"/>
    </row>
    <row r="11079" spans="3:4" x14ac:dyDescent="0.25">
      <c r="C11079" s="27"/>
      <c r="D11079" s="27"/>
    </row>
    <row r="11080" spans="3:4" x14ac:dyDescent="0.25">
      <c r="C11080" s="27"/>
      <c r="D11080" s="27"/>
    </row>
    <row r="11081" spans="3:4" x14ac:dyDescent="0.25">
      <c r="C11081" s="27"/>
      <c r="D11081" s="27"/>
    </row>
    <row r="11082" spans="3:4" x14ac:dyDescent="0.25">
      <c r="C11082" s="27"/>
      <c r="D11082" s="27"/>
    </row>
    <row r="11083" spans="3:4" x14ac:dyDescent="0.25">
      <c r="C11083" s="27"/>
      <c r="D11083" s="27"/>
    </row>
    <row r="11084" spans="3:4" x14ac:dyDescent="0.25">
      <c r="C11084" s="27"/>
      <c r="D11084" s="27"/>
    </row>
    <row r="11085" spans="3:4" x14ac:dyDescent="0.25">
      <c r="C11085" s="27"/>
      <c r="D11085" s="27"/>
    </row>
    <row r="11086" spans="3:4" x14ac:dyDescent="0.25">
      <c r="C11086" s="27"/>
      <c r="D11086" s="27"/>
    </row>
    <row r="11087" spans="3:4" x14ac:dyDescent="0.25">
      <c r="C11087" s="27"/>
      <c r="D11087" s="27"/>
    </row>
    <row r="11088" spans="3:4" x14ac:dyDescent="0.25">
      <c r="C11088" s="27"/>
      <c r="D11088" s="27"/>
    </row>
    <row r="11089" spans="3:4" x14ac:dyDescent="0.25">
      <c r="C11089" s="27"/>
      <c r="D11089" s="27"/>
    </row>
    <row r="11090" spans="3:4" x14ac:dyDescent="0.25">
      <c r="C11090" s="27"/>
      <c r="D11090" s="27"/>
    </row>
    <row r="11091" spans="3:4" x14ac:dyDescent="0.25">
      <c r="C11091" s="27"/>
      <c r="D11091" s="27"/>
    </row>
    <row r="11092" spans="3:4" x14ac:dyDescent="0.25">
      <c r="C11092" s="27"/>
      <c r="D11092" s="27"/>
    </row>
    <row r="11093" spans="3:4" x14ac:dyDescent="0.25">
      <c r="C11093" s="27"/>
      <c r="D11093" s="27"/>
    </row>
    <row r="11094" spans="3:4" x14ac:dyDescent="0.25">
      <c r="C11094" s="27"/>
      <c r="D11094" s="27"/>
    </row>
    <row r="11095" spans="3:4" x14ac:dyDescent="0.25">
      <c r="C11095" s="27"/>
      <c r="D11095" s="27"/>
    </row>
    <row r="11096" spans="3:4" x14ac:dyDescent="0.25">
      <c r="C11096" s="27"/>
      <c r="D11096" s="27"/>
    </row>
    <row r="11097" spans="3:4" x14ac:dyDescent="0.25">
      <c r="C11097" s="27"/>
      <c r="D11097" s="27"/>
    </row>
    <row r="11098" spans="3:4" x14ac:dyDescent="0.25">
      <c r="C11098" s="27"/>
      <c r="D11098" s="27"/>
    </row>
    <row r="11099" spans="3:4" x14ac:dyDescent="0.25">
      <c r="C11099" s="27"/>
      <c r="D11099" s="27"/>
    </row>
    <row r="11100" spans="3:4" x14ac:dyDescent="0.25">
      <c r="C11100" s="27"/>
      <c r="D11100" s="27"/>
    </row>
    <row r="11101" spans="3:4" x14ac:dyDescent="0.25">
      <c r="C11101" s="27"/>
      <c r="D11101" s="27"/>
    </row>
    <row r="11102" spans="3:4" x14ac:dyDescent="0.25">
      <c r="C11102" s="27"/>
      <c r="D11102" s="27"/>
    </row>
    <row r="11103" spans="3:4" x14ac:dyDescent="0.25">
      <c r="C11103" s="27"/>
      <c r="D11103" s="27"/>
    </row>
    <row r="11104" spans="3:4" x14ac:dyDescent="0.25">
      <c r="C11104" s="27"/>
      <c r="D11104" s="27"/>
    </row>
    <row r="11105" spans="3:4" x14ac:dyDescent="0.25">
      <c r="C11105" s="27"/>
      <c r="D11105" s="27"/>
    </row>
    <row r="11106" spans="3:4" x14ac:dyDescent="0.25">
      <c r="C11106" s="27"/>
      <c r="D11106" s="27"/>
    </row>
    <row r="11107" spans="3:4" x14ac:dyDescent="0.25">
      <c r="C11107" s="27"/>
      <c r="D11107" s="27"/>
    </row>
    <row r="11108" spans="3:4" x14ac:dyDescent="0.25">
      <c r="C11108" s="27"/>
      <c r="D11108" s="27"/>
    </row>
    <row r="11109" spans="3:4" x14ac:dyDescent="0.25">
      <c r="C11109" s="27"/>
      <c r="D11109" s="27"/>
    </row>
    <row r="11110" spans="3:4" x14ac:dyDescent="0.25">
      <c r="C11110" s="27"/>
      <c r="D11110" s="27"/>
    </row>
    <row r="11111" spans="3:4" x14ac:dyDescent="0.25">
      <c r="C11111" s="27"/>
      <c r="D11111" s="27"/>
    </row>
    <row r="11112" spans="3:4" x14ac:dyDescent="0.25">
      <c r="C11112" s="27"/>
      <c r="D11112" s="27"/>
    </row>
    <row r="11113" spans="3:4" x14ac:dyDescent="0.25">
      <c r="C11113" s="27"/>
      <c r="D11113" s="27"/>
    </row>
    <row r="11114" spans="3:4" x14ac:dyDescent="0.25">
      <c r="C11114" s="27"/>
      <c r="D11114" s="27"/>
    </row>
    <row r="11115" spans="3:4" x14ac:dyDescent="0.25">
      <c r="C11115" s="27"/>
      <c r="D11115" s="27"/>
    </row>
    <row r="11116" spans="3:4" x14ac:dyDescent="0.25">
      <c r="C11116" s="27"/>
      <c r="D11116" s="27"/>
    </row>
    <row r="11117" spans="3:4" x14ac:dyDescent="0.25">
      <c r="C11117" s="27"/>
      <c r="D11117" s="27"/>
    </row>
    <row r="11118" spans="3:4" x14ac:dyDescent="0.25">
      <c r="C11118" s="27"/>
      <c r="D11118" s="27"/>
    </row>
    <row r="11119" spans="3:4" x14ac:dyDescent="0.25">
      <c r="C11119" s="27"/>
      <c r="D11119" s="27"/>
    </row>
    <row r="11120" spans="3:4" x14ac:dyDescent="0.25">
      <c r="C11120" s="27"/>
      <c r="D11120" s="27"/>
    </row>
    <row r="11121" spans="3:4" x14ac:dyDescent="0.25">
      <c r="C11121" s="27"/>
      <c r="D11121" s="27"/>
    </row>
    <row r="11122" spans="3:4" x14ac:dyDescent="0.25">
      <c r="C11122" s="27"/>
      <c r="D11122" s="27"/>
    </row>
    <row r="11123" spans="3:4" x14ac:dyDescent="0.25">
      <c r="C11123" s="27"/>
      <c r="D11123" s="27"/>
    </row>
    <row r="11124" spans="3:4" x14ac:dyDescent="0.25">
      <c r="C11124" s="27"/>
      <c r="D11124" s="27"/>
    </row>
    <row r="11125" spans="3:4" x14ac:dyDescent="0.25">
      <c r="C11125" s="27"/>
      <c r="D11125" s="27"/>
    </row>
    <row r="11126" spans="3:4" x14ac:dyDescent="0.25">
      <c r="C11126" s="27"/>
      <c r="D11126" s="27"/>
    </row>
    <row r="11127" spans="3:4" x14ac:dyDescent="0.25">
      <c r="C11127" s="27"/>
      <c r="D11127" s="27"/>
    </row>
    <row r="11128" spans="3:4" x14ac:dyDescent="0.25">
      <c r="C11128" s="27"/>
      <c r="D11128" s="27"/>
    </row>
    <row r="11129" spans="3:4" x14ac:dyDescent="0.25">
      <c r="C11129" s="27"/>
      <c r="D11129" s="27"/>
    </row>
    <row r="11130" spans="3:4" x14ac:dyDescent="0.25">
      <c r="C11130" s="27"/>
      <c r="D11130" s="27"/>
    </row>
    <row r="11131" spans="3:4" x14ac:dyDescent="0.25">
      <c r="C11131" s="27"/>
      <c r="D11131" s="27"/>
    </row>
    <row r="11132" spans="3:4" x14ac:dyDescent="0.25">
      <c r="C11132" s="27"/>
      <c r="D11132" s="27"/>
    </row>
    <row r="11133" spans="3:4" x14ac:dyDescent="0.25">
      <c r="C11133" s="27"/>
      <c r="D11133" s="27"/>
    </row>
    <row r="11134" spans="3:4" x14ac:dyDescent="0.25">
      <c r="C11134" s="27"/>
      <c r="D11134" s="27"/>
    </row>
    <row r="11135" spans="3:4" x14ac:dyDescent="0.25">
      <c r="C11135" s="27"/>
      <c r="D11135" s="27"/>
    </row>
    <row r="11136" spans="3:4" x14ac:dyDescent="0.25">
      <c r="C11136" s="27"/>
      <c r="D11136" s="27"/>
    </row>
    <row r="11137" spans="3:4" x14ac:dyDescent="0.25">
      <c r="C11137" s="27"/>
      <c r="D11137" s="27"/>
    </row>
    <row r="11138" spans="3:4" x14ac:dyDescent="0.25">
      <c r="C11138" s="27"/>
      <c r="D11138" s="27"/>
    </row>
    <row r="11139" spans="3:4" x14ac:dyDescent="0.25">
      <c r="C11139" s="27"/>
      <c r="D11139" s="27"/>
    </row>
    <row r="11140" spans="3:4" x14ac:dyDescent="0.25">
      <c r="C11140" s="27"/>
      <c r="D11140" s="27"/>
    </row>
    <row r="11141" spans="3:4" x14ac:dyDescent="0.25">
      <c r="C11141" s="27"/>
      <c r="D11141" s="27"/>
    </row>
    <row r="11142" spans="3:4" x14ac:dyDescent="0.25">
      <c r="C11142" s="27"/>
      <c r="D11142" s="27"/>
    </row>
    <row r="11143" spans="3:4" x14ac:dyDescent="0.25">
      <c r="C11143" s="27"/>
      <c r="D11143" s="27"/>
    </row>
    <row r="11144" spans="3:4" x14ac:dyDescent="0.25">
      <c r="C11144" s="27"/>
      <c r="D11144" s="27"/>
    </row>
    <row r="11145" spans="3:4" x14ac:dyDescent="0.25">
      <c r="C11145" s="27"/>
      <c r="D11145" s="27"/>
    </row>
    <row r="11146" spans="3:4" x14ac:dyDescent="0.25">
      <c r="C11146" s="27"/>
      <c r="D11146" s="27"/>
    </row>
    <row r="11147" spans="3:4" x14ac:dyDescent="0.25">
      <c r="C11147" s="27"/>
      <c r="D11147" s="27"/>
    </row>
    <row r="11148" spans="3:4" x14ac:dyDescent="0.25">
      <c r="C11148" s="27"/>
      <c r="D11148" s="27"/>
    </row>
    <row r="11149" spans="3:4" x14ac:dyDescent="0.25">
      <c r="C11149" s="27"/>
      <c r="D11149" s="27"/>
    </row>
    <row r="11150" spans="3:4" x14ac:dyDescent="0.25">
      <c r="C11150" s="27"/>
      <c r="D11150" s="27"/>
    </row>
    <row r="11151" spans="3:4" x14ac:dyDescent="0.25">
      <c r="C11151" s="27"/>
      <c r="D11151" s="27"/>
    </row>
    <row r="11152" spans="3:4" x14ac:dyDescent="0.25">
      <c r="C11152" s="27"/>
      <c r="D11152" s="27"/>
    </row>
    <row r="11153" spans="3:4" x14ac:dyDescent="0.25">
      <c r="C11153" s="27"/>
      <c r="D11153" s="27"/>
    </row>
    <row r="11154" spans="3:4" x14ac:dyDescent="0.25">
      <c r="C11154" s="27"/>
      <c r="D11154" s="27"/>
    </row>
    <row r="11155" spans="3:4" x14ac:dyDescent="0.25">
      <c r="C11155" s="27"/>
      <c r="D11155" s="27"/>
    </row>
    <row r="11156" spans="3:4" x14ac:dyDescent="0.25">
      <c r="C11156" s="27"/>
      <c r="D11156" s="27"/>
    </row>
    <row r="11157" spans="3:4" x14ac:dyDescent="0.25">
      <c r="C11157" s="27"/>
      <c r="D11157" s="27"/>
    </row>
    <row r="11158" spans="3:4" x14ac:dyDescent="0.25">
      <c r="C11158" s="27"/>
      <c r="D11158" s="27"/>
    </row>
    <row r="11159" spans="3:4" x14ac:dyDescent="0.25">
      <c r="C11159" s="27"/>
      <c r="D11159" s="27"/>
    </row>
    <row r="11160" spans="3:4" x14ac:dyDescent="0.25">
      <c r="C11160" s="27"/>
      <c r="D11160" s="27"/>
    </row>
    <row r="11161" spans="3:4" x14ac:dyDescent="0.25">
      <c r="C11161" s="27"/>
      <c r="D11161" s="27"/>
    </row>
    <row r="11162" spans="3:4" x14ac:dyDescent="0.25">
      <c r="C11162" s="27"/>
      <c r="D11162" s="27"/>
    </row>
    <row r="11163" spans="3:4" x14ac:dyDescent="0.25">
      <c r="C11163" s="27"/>
      <c r="D11163" s="27"/>
    </row>
    <row r="11164" spans="3:4" x14ac:dyDescent="0.25">
      <c r="C11164" s="27"/>
      <c r="D11164" s="27"/>
    </row>
    <row r="11165" spans="3:4" x14ac:dyDescent="0.25">
      <c r="C11165" s="27"/>
      <c r="D11165" s="27"/>
    </row>
    <row r="11166" spans="3:4" x14ac:dyDescent="0.25">
      <c r="C11166" s="27"/>
      <c r="D11166" s="27"/>
    </row>
    <row r="11167" spans="3:4" x14ac:dyDescent="0.25">
      <c r="C11167" s="27"/>
      <c r="D11167" s="27"/>
    </row>
    <row r="11168" spans="3:4" x14ac:dyDescent="0.25">
      <c r="C11168" s="27"/>
      <c r="D11168" s="27"/>
    </row>
    <row r="11169" spans="3:4" x14ac:dyDescent="0.25">
      <c r="C11169" s="27"/>
      <c r="D11169" s="27"/>
    </row>
    <row r="11170" spans="3:4" x14ac:dyDescent="0.25">
      <c r="C11170" s="27"/>
      <c r="D11170" s="27"/>
    </row>
    <row r="11171" spans="3:4" x14ac:dyDescent="0.25">
      <c r="C11171" s="27"/>
      <c r="D11171" s="27"/>
    </row>
    <row r="11172" spans="3:4" x14ac:dyDescent="0.25">
      <c r="C11172" s="27"/>
      <c r="D11172" s="27"/>
    </row>
    <row r="11173" spans="3:4" x14ac:dyDescent="0.25">
      <c r="C11173" s="27"/>
      <c r="D11173" s="27"/>
    </row>
    <row r="11174" spans="3:4" x14ac:dyDescent="0.25">
      <c r="C11174" s="27"/>
      <c r="D11174" s="27"/>
    </row>
    <row r="11175" spans="3:4" x14ac:dyDescent="0.25">
      <c r="C11175" s="27"/>
      <c r="D11175" s="27"/>
    </row>
    <row r="11176" spans="3:4" x14ac:dyDescent="0.25">
      <c r="C11176" s="27"/>
      <c r="D11176" s="27"/>
    </row>
    <row r="11177" spans="3:4" x14ac:dyDescent="0.25">
      <c r="C11177" s="27"/>
      <c r="D11177" s="27"/>
    </row>
    <row r="11178" spans="3:4" x14ac:dyDescent="0.25">
      <c r="C11178" s="27"/>
      <c r="D11178" s="27"/>
    </row>
    <row r="11179" spans="3:4" x14ac:dyDescent="0.25">
      <c r="C11179" s="27"/>
      <c r="D11179" s="27"/>
    </row>
    <row r="11180" spans="3:4" x14ac:dyDescent="0.25">
      <c r="C11180" s="27"/>
      <c r="D11180" s="27"/>
    </row>
    <row r="11181" spans="3:4" x14ac:dyDescent="0.25">
      <c r="C11181" s="27"/>
      <c r="D11181" s="27"/>
    </row>
    <row r="11182" spans="3:4" x14ac:dyDescent="0.25">
      <c r="C11182" s="27"/>
      <c r="D11182" s="27"/>
    </row>
    <row r="11183" spans="3:4" x14ac:dyDescent="0.25">
      <c r="C11183" s="27"/>
      <c r="D11183" s="27"/>
    </row>
    <row r="11184" spans="3:4" x14ac:dyDescent="0.25">
      <c r="C11184" s="27"/>
      <c r="D11184" s="27"/>
    </row>
    <row r="11185" spans="3:4" x14ac:dyDescent="0.25">
      <c r="C11185" s="27"/>
      <c r="D11185" s="27"/>
    </row>
    <row r="11186" spans="3:4" x14ac:dyDescent="0.25">
      <c r="C11186" s="27"/>
      <c r="D11186" s="27"/>
    </row>
    <row r="11187" spans="3:4" x14ac:dyDescent="0.25">
      <c r="C11187" s="27"/>
      <c r="D11187" s="27"/>
    </row>
    <row r="11188" spans="3:4" x14ac:dyDescent="0.25">
      <c r="C11188" s="27"/>
      <c r="D11188" s="27"/>
    </row>
    <row r="11189" spans="3:4" x14ac:dyDescent="0.25">
      <c r="C11189" s="27"/>
      <c r="D11189" s="27"/>
    </row>
    <row r="11190" spans="3:4" x14ac:dyDescent="0.25">
      <c r="C11190" s="27"/>
      <c r="D11190" s="27"/>
    </row>
    <row r="11191" spans="3:4" x14ac:dyDescent="0.25">
      <c r="C11191" s="27"/>
      <c r="D11191" s="27"/>
    </row>
    <row r="11192" spans="3:4" x14ac:dyDescent="0.25">
      <c r="C11192" s="27"/>
      <c r="D11192" s="27"/>
    </row>
    <row r="11193" spans="3:4" x14ac:dyDescent="0.25">
      <c r="C11193" s="27"/>
      <c r="D11193" s="27"/>
    </row>
    <row r="11194" spans="3:4" x14ac:dyDescent="0.25">
      <c r="C11194" s="27"/>
      <c r="D11194" s="27"/>
    </row>
    <row r="11195" spans="3:4" x14ac:dyDescent="0.25">
      <c r="C11195" s="27"/>
      <c r="D11195" s="27"/>
    </row>
    <row r="11196" spans="3:4" x14ac:dyDescent="0.25">
      <c r="C11196" s="27"/>
      <c r="D11196" s="27"/>
    </row>
    <row r="11197" spans="3:4" x14ac:dyDescent="0.25">
      <c r="C11197" s="27"/>
      <c r="D11197" s="27"/>
    </row>
    <row r="11198" spans="3:4" x14ac:dyDescent="0.25">
      <c r="C11198" s="27"/>
      <c r="D11198" s="27"/>
    </row>
    <row r="11199" spans="3:4" x14ac:dyDescent="0.25">
      <c r="C11199" s="27"/>
      <c r="D11199" s="27"/>
    </row>
    <row r="11200" spans="3:4" x14ac:dyDescent="0.25">
      <c r="C11200" s="27"/>
      <c r="D11200" s="27"/>
    </row>
    <row r="11201" spans="3:4" x14ac:dyDescent="0.25">
      <c r="C11201" s="27"/>
      <c r="D11201" s="27"/>
    </row>
    <row r="11202" spans="3:4" x14ac:dyDescent="0.25">
      <c r="C11202" s="27"/>
      <c r="D11202" s="27"/>
    </row>
    <row r="11203" spans="3:4" x14ac:dyDescent="0.25">
      <c r="C11203" s="27"/>
      <c r="D11203" s="27"/>
    </row>
    <row r="11204" spans="3:4" x14ac:dyDescent="0.25">
      <c r="C11204" s="27"/>
      <c r="D11204" s="27"/>
    </row>
    <row r="11205" spans="3:4" x14ac:dyDescent="0.25">
      <c r="C11205" s="27"/>
      <c r="D11205" s="27"/>
    </row>
    <row r="11206" spans="3:4" x14ac:dyDescent="0.25">
      <c r="C11206" s="27"/>
      <c r="D11206" s="27"/>
    </row>
    <row r="11207" spans="3:4" x14ac:dyDescent="0.25">
      <c r="C11207" s="27"/>
      <c r="D11207" s="27"/>
    </row>
    <row r="11208" spans="3:4" x14ac:dyDescent="0.25">
      <c r="C11208" s="27"/>
      <c r="D11208" s="27"/>
    </row>
    <row r="11209" spans="3:4" x14ac:dyDescent="0.25">
      <c r="C11209" s="27"/>
      <c r="D11209" s="27"/>
    </row>
    <row r="11210" spans="3:4" x14ac:dyDescent="0.25">
      <c r="C11210" s="27"/>
      <c r="D11210" s="27"/>
    </row>
    <row r="11211" spans="3:4" x14ac:dyDescent="0.25">
      <c r="C11211" s="27"/>
      <c r="D11211" s="27"/>
    </row>
    <row r="11212" spans="3:4" x14ac:dyDescent="0.25">
      <c r="C11212" s="27"/>
      <c r="D11212" s="27"/>
    </row>
    <row r="11213" spans="3:4" x14ac:dyDescent="0.25">
      <c r="C11213" s="27"/>
      <c r="D11213" s="27"/>
    </row>
    <row r="11214" spans="3:4" x14ac:dyDescent="0.25">
      <c r="C11214" s="27"/>
      <c r="D11214" s="27"/>
    </row>
    <row r="11215" spans="3:4" x14ac:dyDescent="0.25">
      <c r="C11215" s="27"/>
      <c r="D11215" s="27"/>
    </row>
    <row r="11216" spans="3:4" x14ac:dyDescent="0.25">
      <c r="C11216" s="27"/>
      <c r="D11216" s="27"/>
    </row>
    <row r="11217" spans="3:4" x14ac:dyDescent="0.25">
      <c r="C11217" s="27"/>
      <c r="D11217" s="27"/>
    </row>
    <row r="11218" spans="3:4" x14ac:dyDescent="0.25">
      <c r="C11218" s="27"/>
      <c r="D11218" s="27"/>
    </row>
    <row r="11219" spans="3:4" x14ac:dyDescent="0.25">
      <c r="C11219" s="27"/>
      <c r="D11219" s="27"/>
    </row>
    <row r="11220" spans="3:4" x14ac:dyDescent="0.25">
      <c r="C11220" s="27"/>
      <c r="D11220" s="27"/>
    </row>
    <row r="11221" spans="3:4" x14ac:dyDescent="0.25">
      <c r="C11221" s="27"/>
      <c r="D11221" s="27"/>
    </row>
    <row r="11222" spans="3:4" x14ac:dyDescent="0.25">
      <c r="C11222" s="27"/>
      <c r="D11222" s="27"/>
    </row>
    <row r="11223" spans="3:4" x14ac:dyDescent="0.25">
      <c r="C11223" s="27"/>
      <c r="D11223" s="27"/>
    </row>
    <row r="11224" spans="3:4" x14ac:dyDescent="0.25">
      <c r="C11224" s="27"/>
      <c r="D11224" s="27"/>
    </row>
    <row r="11225" spans="3:4" x14ac:dyDescent="0.25">
      <c r="C11225" s="27"/>
      <c r="D11225" s="27"/>
    </row>
    <row r="11226" spans="3:4" x14ac:dyDescent="0.25">
      <c r="C11226" s="27"/>
      <c r="D11226" s="27"/>
    </row>
    <row r="11227" spans="3:4" x14ac:dyDescent="0.25">
      <c r="C11227" s="27"/>
      <c r="D11227" s="27"/>
    </row>
    <row r="11228" spans="3:4" x14ac:dyDescent="0.25">
      <c r="C11228" s="27"/>
      <c r="D11228" s="27"/>
    </row>
    <row r="11229" spans="3:4" x14ac:dyDescent="0.25">
      <c r="C11229" s="27"/>
      <c r="D11229" s="27"/>
    </row>
    <row r="11230" spans="3:4" x14ac:dyDescent="0.25">
      <c r="C11230" s="27"/>
      <c r="D11230" s="27"/>
    </row>
    <row r="11231" spans="3:4" x14ac:dyDescent="0.25">
      <c r="C11231" s="27"/>
      <c r="D11231" s="27"/>
    </row>
    <row r="11232" spans="3:4" x14ac:dyDescent="0.25">
      <c r="C11232" s="27"/>
      <c r="D11232" s="27"/>
    </row>
    <row r="11233" spans="3:4" x14ac:dyDescent="0.25">
      <c r="C11233" s="27"/>
      <c r="D11233" s="27"/>
    </row>
    <row r="11234" spans="3:4" x14ac:dyDescent="0.25">
      <c r="C11234" s="27"/>
      <c r="D11234" s="27"/>
    </row>
    <row r="11235" spans="3:4" x14ac:dyDescent="0.25">
      <c r="C11235" s="27"/>
      <c r="D11235" s="27"/>
    </row>
    <row r="11236" spans="3:4" x14ac:dyDescent="0.25">
      <c r="C11236" s="27"/>
      <c r="D11236" s="27"/>
    </row>
    <row r="11237" spans="3:4" x14ac:dyDescent="0.25">
      <c r="C11237" s="27"/>
      <c r="D11237" s="27"/>
    </row>
    <row r="11238" spans="3:4" x14ac:dyDescent="0.25">
      <c r="C11238" s="27"/>
      <c r="D11238" s="27"/>
    </row>
    <row r="11239" spans="3:4" x14ac:dyDescent="0.25">
      <c r="C11239" s="27"/>
      <c r="D11239" s="27"/>
    </row>
    <row r="11240" spans="3:4" x14ac:dyDescent="0.25">
      <c r="C11240" s="27"/>
      <c r="D11240" s="27"/>
    </row>
    <row r="11241" spans="3:4" x14ac:dyDescent="0.25">
      <c r="C11241" s="27"/>
      <c r="D11241" s="27"/>
    </row>
    <row r="11242" spans="3:4" x14ac:dyDescent="0.25">
      <c r="C11242" s="27"/>
      <c r="D11242" s="27"/>
    </row>
    <row r="11243" spans="3:4" x14ac:dyDescent="0.25">
      <c r="C11243" s="27"/>
      <c r="D11243" s="27"/>
    </row>
    <row r="11244" spans="3:4" x14ac:dyDescent="0.25">
      <c r="C11244" s="27"/>
      <c r="D11244" s="27"/>
    </row>
    <row r="11245" spans="3:4" x14ac:dyDescent="0.25">
      <c r="C11245" s="27"/>
      <c r="D11245" s="27"/>
    </row>
    <row r="11246" spans="3:4" x14ac:dyDescent="0.25">
      <c r="C11246" s="27"/>
      <c r="D11246" s="27"/>
    </row>
    <row r="11247" spans="3:4" x14ac:dyDescent="0.25">
      <c r="C11247" s="27"/>
      <c r="D11247" s="27"/>
    </row>
    <row r="11248" spans="3:4" x14ac:dyDescent="0.25">
      <c r="C11248" s="27"/>
      <c r="D11248" s="27"/>
    </row>
    <row r="11249" spans="3:4" x14ac:dyDescent="0.25">
      <c r="C11249" s="27"/>
      <c r="D11249" s="27"/>
    </row>
    <row r="11250" spans="3:4" x14ac:dyDescent="0.25">
      <c r="C11250" s="27"/>
      <c r="D11250" s="27"/>
    </row>
    <row r="11251" spans="3:4" x14ac:dyDescent="0.25">
      <c r="C11251" s="27"/>
      <c r="D11251" s="27"/>
    </row>
    <row r="11252" spans="3:4" x14ac:dyDescent="0.25">
      <c r="C11252" s="27"/>
      <c r="D11252" s="27"/>
    </row>
    <row r="11253" spans="3:4" x14ac:dyDescent="0.25">
      <c r="C11253" s="27"/>
      <c r="D11253" s="27"/>
    </row>
    <row r="11254" spans="3:4" x14ac:dyDescent="0.25">
      <c r="C11254" s="27"/>
      <c r="D11254" s="27"/>
    </row>
    <row r="11255" spans="3:4" x14ac:dyDescent="0.25">
      <c r="C11255" s="27"/>
      <c r="D11255" s="27"/>
    </row>
    <row r="11256" spans="3:4" x14ac:dyDescent="0.25">
      <c r="C11256" s="27"/>
      <c r="D11256" s="27"/>
    </row>
    <row r="11257" spans="3:4" x14ac:dyDescent="0.25">
      <c r="C11257" s="27"/>
      <c r="D11257" s="27"/>
    </row>
    <row r="11258" spans="3:4" x14ac:dyDescent="0.25">
      <c r="C11258" s="27"/>
      <c r="D11258" s="27"/>
    </row>
    <row r="11259" spans="3:4" x14ac:dyDescent="0.25">
      <c r="C11259" s="27"/>
      <c r="D11259" s="27"/>
    </row>
    <row r="11260" spans="3:4" x14ac:dyDescent="0.25">
      <c r="C11260" s="27"/>
      <c r="D11260" s="27"/>
    </row>
    <row r="11261" spans="3:4" x14ac:dyDescent="0.25">
      <c r="C11261" s="27"/>
      <c r="D11261" s="27"/>
    </row>
    <row r="11262" spans="3:4" x14ac:dyDescent="0.25">
      <c r="C11262" s="27"/>
      <c r="D11262" s="27"/>
    </row>
    <row r="11263" spans="3:4" x14ac:dyDescent="0.25">
      <c r="C11263" s="27"/>
      <c r="D11263" s="27"/>
    </row>
    <row r="11264" spans="3:4" x14ac:dyDescent="0.25">
      <c r="C11264" s="27"/>
      <c r="D11264" s="27"/>
    </row>
    <row r="11265" spans="3:4" x14ac:dyDescent="0.25">
      <c r="C11265" s="27"/>
      <c r="D11265" s="27"/>
    </row>
    <row r="11266" spans="3:4" x14ac:dyDescent="0.25">
      <c r="C11266" s="27"/>
      <c r="D11266" s="27"/>
    </row>
    <row r="11267" spans="3:4" x14ac:dyDescent="0.25">
      <c r="C11267" s="27"/>
      <c r="D11267" s="27"/>
    </row>
    <row r="11268" spans="3:4" x14ac:dyDescent="0.25">
      <c r="C11268" s="27"/>
      <c r="D11268" s="27"/>
    </row>
    <row r="11269" spans="3:4" x14ac:dyDescent="0.25">
      <c r="C11269" s="27"/>
      <c r="D11269" s="27"/>
    </row>
    <row r="11270" spans="3:4" x14ac:dyDescent="0.25">
      <c r="C11270" s="27"/>
      <c r="D11270" s="27"/>
    </row>
    <row r="11271" spans="3:4" x14ac:dyDescent="0.25">
      <c r="C11271" s="27"/>
      <c r="D11271" s="27"/>
    </row>
    <row r="11272" spans="3:4" x14ac:dyDescent="0.25">
      <c r="C11272" s="27"/>
      <c r="D11272" s="27"/>
    </row>
    <row r="11273" spans="3:4" x14ac:dyDescent="0.25">
      <c r="C11273" s="27"/>
      <c r="D11273" s="27"/>
    </row>
    <row r="11274" spans="3:4" x14ac:dyDescent="0.25">
      <c r="C11274" s="27"/>
      <c r="D11274" s="27"/>
    </row>
    <row r="11275" spans="3:4" x14ac:dyDescent="0.25">
      <c r="C11275" s="27"/>
      <c r="D11275" s="27"/>
    </row>
    <row r="11276" spans="3:4" x14ac:dyDescent="0.25">
      <c r="C11276" s="27"/>
      <c r="D11276" s="27"/>
    </row>
    <row r="11277" spans="3:4" x14ac:dyDescent="0.25">
      <c r="C11277" s="27"/>
      <c r="D11277" s="27"/>
    </row>
    <row r="11278" spans="3:4" x14ac:dyDescent="0.25">
      <c r="C11278" s="27"/>
      <c r="D11278" s="27"/>
    </row>
    <row r="11279" spans="3:4" x14ac:dyDescent="0.25">
      <c r="C11279" s="27"/>
      <c r="D11279" s="27"/>
    </row>
    <row r="11280" spans="3:4" x14ac:dyDescent="0.25">
      <c r="C11280" s="27"/>
      <c r="D11280" s="27"/>
    </row>
    <row r="11281" spans="3:4" x14ac:dyDescent="0.25">
      <c r="C11281" s="27"/>
      <c r="D11281" s="27"/>
    </row>
    <row r="11282" spans="3:4" x14ac:dyDescent="0.25">
      <c r="C11282" s="27"/>
      <c r="D11282" s="27"/>
    </row>
    <row r="11283" spans="3:4" x14ac:dyDescent="0.25">
      <c r="C11283" s="27"/>
      <c r="D11283" s="27"/>
    </row>
    <row r="11284" spans="3:4" x14ac:dyDescent="0.25">
      <c r="C11284" s="27"/>
      <c r="D11284" s="27"/>
    </row>
    <row r="11285" spans="3:4" x14ac:dyDescent="0.25">
      <c r="C11285" s="27"/>
      <c r="D11285" s="27"/>
    </row>
    <row r="11286" spans="3:4" x14ac:dyDescent="0.25">
      <c r="C11286" s="27"/>
      <c r="D11286" s="27"/>
    </row>
    <row r="11287" spans="3:4" x14ac:dyDescent="0.25">
      <c r="C11287" s="27"/>
      <c r="D11287" s="27"/>
    </row>
    <row r="11288" spans="3:4" x14ac:dyDescent="0.25">
      <c r="C11288" s="27"/>
      <c r="D11288" s="27"/>
    </row>
    <row r="11289" spans="3:4" x14ac:dyDescent="0.25">
      <c r="C11289" s="27"/>
      <c r="D11289" s="27"/>
    </row>
    <row r="11290" spans="3:4" x14ac:dyDescent="0.25">
      <c r="C11290" s="27"/>
      <c r="D11290" s="27"/>
    </row>
    <row r="11291" spans="3:4" x14ac:dyDescent="0.25">
      <c r="C11291" s="27"/>
      <c r="D11291" s="27"/>
    </row>
    <row r="11292" spans="3:4" x14ac:dyDescent="0.25">
      <c r="C11292" s="27"/>
      <c r="D11292" s="27"/>
    </row>
    <row r="11293" spans="3:4" x14ac:dyDescent="0.25">
      <c r="C11293" s="27"/>
      <c r="D11293" s="27"/>
    </row>
    <row r="11294" spans="3:4" x14ac:dyDescent="0.25">
      <c r="C11294" s="27"/>
      <c r="D11294" s="27"/>
    </row>
    <row r="11295" spans="3:4" x14ac:dyDescent="0.25">
      <c r="C11295" s="27"/>
      <c r="D11295" s="27"/>
    </row>
    <row r="11296" spans="3:4" x14ac:dyDescent="0.25">
      <c r="C11296" s="27"/>
      <c r="D11296" s="27"/>
    </row>
    <row r="11297" spans="3:4" x14ac:dyDescent="0.25">
      <c r="C11297" s="27"/>
      <c r="D11297" s="27"/>
    </row>
    <row r="11298" spans="3:4" x14ac:dyDescent="0.25">
      <c r="C11298" s="27"/>
      <c r="D11298" s="27"/>
    </row>
    <row r="11299" spans="3:4" x14ac:dyDescent="0.25">
      <c r="C11299" s="27"/>
      <c r="D11299" s="27"/>
    </row>
    <row r="11300" spans="3:4" x14ac:dyDescent="0.25">
      <c r="C11300" s="27"/>
      <c r="D11300" s="27"/>
    </row>
    <row r="11301" spans="3:4" x14ac:dyDescent="0.25">
      <c r="C11301" s="27"/>
      <c r="D11301" s="27"/>
    </row>
    <row r="11302" spans="3:4" x14ac:dyDescent="0.25">
      <c r="C11302" s="27"/>
      <c r="D11302" s="27"/>
    </row>
    <row r="11303" spans="3:4" x14ac:dyDescent="0.25">
      <c r="C11303" s="27"/>
      <c r="D11303" s="27"/>
    </row>
    <row r="11304" spans="3:4" x14ac:dyDescent="0.25">
      <c r="C11304" s="27"/>
      <c r="D11304" s="27"/>
    </row>
    <row r="11305" spans="3:4" x14ac:dyDescent="0.25">
      <c r="C11305" s="27"/>
      <c r="D11305" s="27"/>
    </row>
    <row r="11306" spans="3:4" x14ac:dyDescent="0.25">
      <c r="C11306" s="27"/>
      <c r="D11306" s="27"/>
    </row>
    <row r="11307" spans="3:4" x14ac:dyDescent="0.25">
      <c r="C11307" s="27"/>
      <c r="D11307" s="27"/>
    </row>
    <row r="11308" spans="3:4" x14ac:dyDescent="0.25">
      <c r="C11308" s="27"/>
      <c r="D11308" s="27"/>
    </row>
    <row r="11309" spans="3:4" x14ac:dyDescent="0.25">
      <c r="C11309" s="27"/>
      <c r="D11309" s="27"/>
    </row>
    <row r="11310" spans="3:4" x14ac:dyDescent="0.25">
      <c r="C11310" s="27"/>
      <c r="D11310" s="27"/>
    </row>
    <row r="11311" spans="3:4" x14ac:dyDescent="0.25">
      <c r="C11311" s="27"/>
      <c r="D11311" s="27"/>
    </row>
    <row r="11312" spans="3:4" x14ac:dyDescent="0.25">
      <c r="C11312" s="27"/>
      <c r="D11312" s="27"/>
    </row>
    <row r="11313" spans="3:4" x14ac:dyDescent="0.25">
      <c r="C11313" s="27"/>
      <c r="D11313" s="27"/>
    </row>
    <row r="11314" spans="3:4" x14ac:dyDescent="0.25">
      <c r="C11314" s="27"/>
      <c r="D11314" s="27"/>
    </row>
    <row r="11315" spans="3:4" x14ac:dyDescent="0.25">
      <c r="C11315" s="27"/>
      <c r="D11315" s="27"/>
    </row>
    <row r="11316" spans="3:4" x14ac:dyDescent="0.25">
      <c r="C11316" s="27"/>
      <c r="D11316" s="27"/>
    </row>
    <row r="11317" spans="3:4" x14ac:dyDescent="0.25">
      <c r="C11317" s="27"/>
      <c r="D11317" s="27"/>
    </row>
    <row r="11318" spans="3:4" x14ac:dyDescent="0.25">
      <c r="C11318" s="27"/>
      <c r="D11318" s="27"/>
    </row>
    <row r="11319" spans="3:4" x14ac:dyDescent="0.25">
      <c r="C11319" s="27"/>
      <c r="D11319" s="27"/>
    </row>
    <row r="11320" spans="3:4" x14ac:dyDescent="0.25">
      <c r="C11320" s="27"/>
      <c r="D11320" s="27"/>
    </row>
    <row r="11321" spans="3:4" x14ac:dyDescent="0.25">
      <c r="C11321" s="27"/>
      <c r="D11321" s="27"/>
    </row>
    <row r="11322" spans="3:4" x14ac:dyDescent="0.25">
      <c r="C11322" s="27"/>
      <c r="D11322" s="27"/>
    </row>
    <row r="11323" spans="3:4" x14ac:dyDescent="0.25">
      <c r="C11323" s="27"/>
      <c r="D11323" s="27"/>
    </row>
    <row r="11324" spans="3:4" x14ac:dyDescent="0.25">
      <c r="C11324" s="27"/>
      <c r="D11324" s="27"/>
    </row>
    <row r="11325" spans="3:4" x14ac:dyDescent="0.25">
      <c r="C11325" s="27"/>
      <c r="D11325" s="27"/>
    </row>
    <row r="11326" spans="3:4" x14ac:dyDescent="0.25">
      <c r="C11326" s="27"/>
      <c r="D11326" s="27"/>
    </row>
    <row r="11327" spans="3:4" x14ac:dyDescent="0.25">
      <c r="C11327" s="27"/>
      <c r="D11327" s="27"/>
    </row>
    <row r="11328" spans="3:4" x14ac:dyDescent="0.25">
      <c r="C11328" s="27"/>
      <c r="D11328" s="27"/>
    </row>
    <row r="11329" spans="3:4" x14ac:dyDescent="0.25">
      <c r="C11329" s="27"/>
      <c r="D11329" s="27"/>
    </row>
    <row r="11330" spans="3:4" x14ac:dyDescent="0.25">
      <c r="C11330" s="27"/>
      <c r="D11330" s="27"/>
    </row>
    <row r="11331" spans="3:4" x14ac:dyDescent="0.25">
      <c r="C11331" s="27"/>
      <c r="D11331" s="27"/>
    </row>
    <row r="11332" spans="3:4" x14ac:dyDescent="0.25">
      <c r="C11332" s="27"/>
      <c r="D11332" s="27"/>
    </row>
    <row r="11333" spans="3:4" x14ac:dyDescent="0.25">
      <c r="C11333" s="27"/>
      <c r="D11333" s="27"/>
    </row>
    <row r="11334" spans="3:4" x14ac:dyDescent="0.25">
      <c r="C11334" s="27"/>
      <c r="D11334" s="27"/>
    </row>
    <row r="11335" spans="3:4" x14ac:dyDescent="0.25">
      <c r="C11335" s="27"/>
      <c r="D11335" s="27"/>
    </row>
    <row r="11336" spans="3:4" x14ac:dyDescent="0.25">
      <c r="C11336" s="27"/>
      <c r="D11336" s="27"/>
    </row>
    <row r="11337" spans="3:4" x14ac:dyDescent="0.25">
      <c r="C11337" s="27"/>
      <c r="D11337" s="27"/>
    </row>
    <row r="11338" spans="3:4" x14ac:dyDescent="0.25">
      <c r="C11338" s="27"/>
      <c r="D11338" s="27"/>
    </row>
    <row r="11339" spans="3:4" x14ac:dyDescent="0.25">
      <c r="C11339" s="27"/>
      <c r="D11339" s="27"/>
    </row>
    <row r="11340" spans="3:4" x14ac:dyDescent="0.25">
      <c r="C11340" s="27"/>
      <c r="D11340" s="27"/>
    </row>
    <row r="11341" spans="3:4" x14ac:dyDescent="0.25">
      <c r="C11341" s="27"/>
      <c r="D11341" s="27"/>
    </row>
    <row r="11342" spans="3:4" x14ac:dyDescent="0.25">
      <c r="C11342" s="27"/>
      <c r="D11342" s="27"/>
    </row>
    <row r="11343" spans="3:4" x14ac:dyDescent="0.25">
      <c r="C11343" s="27"/>
      <c r="D11343" s="27"/>
    </row>
    <row r="11344" spans="3:4" x14ac:dyDescent="0.25">
      <c r="C11344" s="27"/>
      <c r="D11344" s="27"/>
    </row>
    <row r="11345" spans="3:4" x14ac:dyDescent="0.25">
      <c r="C11345" s="27"/>
      <c r="D11345" s="27"/>
    </row>
    <row r="11346" spans="3:4" x14ac:dyDescent="0.25">
      <c r="C11346" s="27"/>
      <c r="D11346" s="27"/>
    </row>
    <row r="11347" spans="3:4" x14ac:dyDescent="0.25">
      <c r="C11347" s="27"/>
      <c r="D11347" s="27"/>
    </row>
    <row r="11348" spans="3:4" x14ac:dyDescent="0.25">
      <c r="C11348" s="27"/>
      <c r="D11348" s="27"/>
    </row>
    <row r="11349" spans="3:4" x14ac:dyDescent="0.25">
      <c r="C11349" s="27"/>
      <c r="D11349" s="27"/>
    </row>
    <row r="11350" spans="3:4" x14ac:dyDescent="0.25">
      <c r="C11350" s="27"/>
      <c r="D11350" s="27"/>
    </row>
    <row r="11351" spans="3:4" x14ac:dyDescent="0.25">
      <c r="C11351" s="27"/>
      <c r="D11351" s="27"/>
    </row>
    <row r="11352" spans="3:4" x14ac:dyDescent="0.25">
      <c r="C11352" s="27"/>
      <c r="D11352" s="27"/>
    </row>
    <row r="11353" spans="3:4" x14ac:dyDescent="0.25">
      <c r="C11353" s="27"/>
      <c r="D11353" s="27"/>
    </row>
    <row r="11354" spans="3:4" x14ac:dyDescent="0.25">
      <c r="C11354" s="27"/>
      <c r="D11354" s="27"/>
    </row>
    <row r="11355" spans="3:4" x14ac:dyDescent="0.25">
      <c r="C11355" s="27"/>
      <c r="D11355" s="27"/>
    </row>
    <row r="11356" spans="3:4" x14ac:dyDescent="0.25">
      <c r="C11356" s="27"/>
      <c r="D11356" s="27"/>
    </row>
    <row r="11357" spans="3:4" x14ac:dyDescent="0.25">
      <c r="C11357" s="27"/>
      <c r="D11357" s="27"/>
    </row>
    <row r="11358" spans="3:4" x14ac:dyDescent="0.25">
      <c r="C11358" s="27"/>
      <c r="D11358" s="27"/>
    </row>
    <row r="11359" spans="3:4" x14ac:dyDescent="0.25">
      <c r="C11359" s="27"/>
      <c r="D11359" s="27"/>
    </row>
    <row r="11360" spans="3:4" x14ac:dyDescent="0.25">
      <c r="C11360" s="27"/>
      <c r="D11360" s="27"/>
    </row>
    <row r="11361" spans="3:4" x14ac:dyDescent="0.25">
      <c r="C11361" s="27"/>
      <c r="D11361" s="27"/>
    </row>
    <row r="11362" spans="3:4" x14ac:dyDescent="0.25">
      <c r="C11362" s="27"/>
      <c r="D11362" s="27"/>
    </row>
    <row r="11363" spans="3:4" x14ac:dyDescent="0.25">
      <c r="C11363" s="27"/>
      <c r="D11363" s="27"/>
    </row>
    <row r="11364" spans="3:4" x14ac:dyDescent="0.25">
      <c r="C11364" s="27"/>
      <c r="D11364" s="27"/>
    </row>
    <row r="11365" spans="3:4" x14ac:dyDescent="0.25">
      <c r="C11365" s="27"/>
      <c r="D11365" s="27"/>
    </row>
    <row r="11366" spans="3:4" x14ac:dyDescent="0.25">
      <c r="C11366" s="27"/>
      <c r="D11366" s="27"/>
    </row>
    <row r="11367" spans="3:4" x14ac:dyDescent="0.25">
      <c r="C11367" s="27"/>
      <c r="D11367" s="27"/>
    </row>
    <row r="11368" spans="3:4" x14ac:dyDescent="0.25">
      <c r="C11368" s="27"/>
      <c r="D11368" s="27"/>
    </row>
    <row r="11369" spans="3:4" x14ac:dyDescent="0.25">
      <c r="C11369" s="27"/>
      <c r="D11369" s="27"/>
    </row>
    <row r="11370" spans="3:4" x14ac:dyDescent="0.25">
      <c r="C11370" s="27"/>
      <c r="D11370" s="27"/>
    </row>
    <row r="11371" spans="3:4" x14ac:dyDescent="0.25">
      <c r="C11371" s="27"/>
      <c r="D11371" s="27"/>
    </row>
    <row r="11372" spans="3:4" x14ac:dyDescent="0.25">
      <c r="C11372" s="27"/>
      <c r="D11372" s="27"/>
    </row>
    <row r="11373" spans="3:4" x14ac:dyDescent="0.25">
      <c r="C11373" s="27"/>
      <c r="D11373" s="27"/>
    </row>
    <row r="11374" spans="3:4" x14ac:dyDescent="0.25">
      <c r="C11374" s="27"/>
      <c r="D11374" s="27"/>
    </row>
    <row r="11375" spans="3:4" x14ac:dyDescent="0.25">
      <c r="C11375" s="27"/>
      <c r="D11375" s="27"/>
    </row>
    <row r="11376" spans="3:4" x14ac:dyDescent="0.25">
      <c r="C11376" s="27"/>
      <c r="D11376" s="27"/>
    </row>
    <row r="11377" spans="3:4" x14ac:dyDescent="0.25">
      <c r="C11377" s="27"/>
      <c r="D11377" s="27"/>
    </row>
    <row r="11378" spans="3:4" x14ac:dyDescent="0.25">
      <c r="C11378" s="27"/>
      <c r="D11378" s="27"/>
    </row>
    <row r="11379" spans="3:4" x14ac:dyDescent="0.25">
      <c r="C11379" s="27"/>
      <c r="D11379" s="27"/>
    </row>
    <row r="11380" spans="3:4" x14ac:dyDescent="0.25">
      <c r="C11380" s="27"/>
      <c r="D11380" s="27"/>
    </row>
    <row r="11381" spans="3:4" x14ac:dyDescent="0.25">
      <c r="C11381" s="27"/>
      <c r="D11381" s="27"/>
    </row>
    <row r="11382" spans="3:4" x14ac:dyDescent="0.25">
      <c r="C11382" s="27"/>
      <c r="D11382" s="27"/>
    </row>
    <row r="11383" spans="3:4" x14ac:dyDescent="0.25">
      <c r="C11383" s="27"/>
      <c r="D11383" s="27"/>
    </row>
    <row r="11384" spans="3:4" x14ac:dyDescent="0.25">
      <c r="C11384" s="27"/>
      <c r="D11384" s="27"/>
    </row>
    <row r="11385" spans="3:4" x14ac:dyDescent="0.25">
      <c r="C11385" s="27"/>
      <c r="D11385" s="27"/>
    </row>
    <row r="11386" spans="3:4" x14ac:dyDescent="0.25">
      <c r="C11386" s="27"/>
      <c r="D11386" s="27"/>
    </row>
    <row r="11387" spans="3:4" x14ac:dyDescent="0.25">
      <c r="C11387" s="27"/>
      <c r="D11387" s="27"/>
    </row>
    <row r="11388" spans="3:4" x14ac:dyDescent="0.25">
      <c r="C11388" s="27"/>
      <c r="D11388" s="27"/>
    </row>
    <row r="11389" spans="3:4" x14ac:dyDescent="0.25">
      <c r="C11389" s="27"/>
      <c r="D11389" s="27"/>
    </row>
    <row r="11390" spans="3:4" x14ac:dyDescent="0.25">
      <c r="C11390" s="27"/>
      <c r="D11390" s="27"/>
    </row>
    <row r="11391" spans="3:4" x14ac:dyDescent="0.25">
      <c r="C11391" s="27"/>
      <c r="D11391" s="27"/>
    </row>
    <row r="11392" spans="3:4" x14ac:dyDescent="0.25">
      <c r="C11392" s="27"/>
      <c r="D11392" s="27"/>
    </row>
    <row r="11393" spans="3:4" x14ac:dyDescent="0.25">
      <c r="C11393" s="27"/>
      <c r="D11393" s="27"/>
    </row>
    <row r="11394" spans="3:4" x14ac:dyDescent="0.25">
      <c r="C11394" s="27"/>
      <c r="D11394" s="27"/>
    </row>
    <row r="11395" spans="3:4" x14ac:dyDescent="0.25">
      <c r="C11395" s="27"/>
      <c r="D11395" s="27"/>
    </row>
    <row r="11396" spans="3:4" x14ac:dyDescent="0.25">
      <c r="C11396" s="27"/>
      <c r="D11396" s="27"/>
    </row>
    <row r="11397" spans="3:4" x14ac:dyDescent="0.25">
      <c r="C11397" s="27"/>
      <c r="D11397" s="27"/>
    </row>
    <row r="11398" spans="3:4" x14ac:dyDescent="0.25">
      <c r="C11398" s="27"/>
      <c r="D11398" s="27"/>
    </row>
    <row r="11399" spans="3:4" x14ac:dyDescent="0.25">
      <c r="C11399" s="27"/>
      <c r="D11399" s="27"/>
    </row>
    <row r="11400" spans="3:4" x14ac:dyDescent="0.25">
      <c r="C11400" s="27"/>
      <c r="D11400" s="27"/>
    </row>
    <row r="11401" spans="3:4" x14ac:dyDescent="0.25">
      <c r="C11401" s="27"/>
      <c r="D11401" s="27"/>
    </row>
    <row r="11402" spans="3:4" x14ac:dyDescent="0.25">
      <c r="C11402" s="27"/>
      <c r="D11402" s="27"/>
    </row>
    <row r="11403" spans="3:4" x14ac:dyDescent="0.25">
      <c r="C11403" s="27"/>
      <c r="D11403" s="27"/>
    </row>
    <row r="11404" spans="3:4" x14ac:dyDescent="0.25">
      <c r="C11404" s="27"/>
      <c r="D11404" s="27"/>
    </row>
    <row r="11405" spans="3:4" x14ac:dyDescent="0.25">
      <c r="C11405" s="27"/>
      <c r="D11405" s="27"/>
    </row>
    <row r="11406" spans="3:4" x14ac:dyDescent="0.25">
      <c r="C11406" s="27"/>
      <c r="D11406" s="27"/>
    </row>
    <row r="11407" spans="3:4" x14ac:dyDescent="0.25">
      <c r="C11407" s="27"/>
      <c r="D11407" s="27"/>
    </row>
    <row r="11408" spans="3:4" x14ac:dyDescent="0.25">
      <c r="C11408" s="27"/>
      <c r="D11408" s="27"/>
    </row>
    <row r="11409" spans="3:4" x14ac:dyDescent="0.25">
      <c r="C11409" s="27"/>
      <c r="D11409" s="27"/>
    </row>
    <row r="11410" spans="3:4" x14ac:dyDescent="0.25">
      <c r="C11410" s="27"/>
      <c r="D11410" s="27"/>
    </row>
    <row r="11411" spans="3:4" x14ac:dyDescent="0.25">
      <c r="C11411" s="27"/>
      <c r="D11411" s="27"/>
    </row>
    <row r="11412" spans="3:4" x14ac:dyDescent="0.25">
      <c r="C11412" s="27"/>
      <c r="D11412" s="27"/>
    </row>
    <row r="11413" spans="3:4" x14ac:dyDescent="0.25">
      <c r="C11413" s="27"/>
      <c r="D11413" s="27"/>
    </row>
    <row r="11414" spans="3:4" x14ac:dyDescent="0.25">
      <c r="C11414" s="27"/>
      <c r="D11414" s="27"/>
    </row>
    <row r="11415" spans="3:4" x14ac:dyDescent="0.25">
      <c r="C11415" s="27"/>
      <c r="D11415" s="27"/>
    </row>
    <row r="11416" spans="3:4" x14ac:dyDescent="0.25">
      <c r="C11416" s="27"/>
      <c r="D11416" s="27"/>
    </row>
    <row r="11417" spans="3:4" x14ac:dyDescent="0.25">
      <c r="C11417" s="27"/>
      <c r="D11417" s="27"/>
    </row>
    <row r="11418" spans="3:4" x14ac:dyDescent="0.25">
      <c r="C11418" s="27"/>
      <c r="D11418" s="27"/>
    </row>
    <row r="11419" spans="3:4" x14ac:dyDescent="0.25">
      <c r="C11419" s="27"/>
      <c r="D11419" s="27"/>
    </row>
    <row r="11420" spans="3:4" x14ac:dyDescent="0.25">
      <c r="C11420" s="27"/>
      <c r="D11420" s="27"/>
    </row>
    <row r="11421" spans="3:4" x14ac:dyDescent="0.25">
      <c r="C11421" s="27"/>
      <c r="D11421" s="27"/>
    </row>
    <row r="11422" spans="3:4" x14ac:dyDescent="0.25">
      <c r="C11422" s="27"/>
      <c r="D11422" s="27"/>
    </row>
    <row r="11423" spans="3:4" x14ac:dyDescent="0.25">
      <c r="C11423" s="27"/>
      <c r="D11423" s="27"/>
    </row>
    <row r="11424" spans="3:4" x14ac:dyDescent="0.25">
      <c r="C11424" s="27"/>
      <c r="D11424" s="27"/>
    </row>
    <row r="11425" spans="3:4" x14ac:dyDescent="0.25">
      <c r="C11425" s="27"/>
      <c r="D11425" s="27"/>
    </row>
    <row r="11426" spans="3:4" x14ac:dyDescent="0.25">
      <c r="C11426" s="27"/>
      <c r="D11426" s="27"/>
    </row>
    <row r="11427" spans="3:4" x14ac:dyDescent="0.25">
      <c r="C11427" s="27"/>
      <c r="D11427" s="27"/>
    </row>
    <row r="11428" spans="3:4" x14ac:dyDescent="0.25">
      <c r="C11428" s="27"/>
      <c r="D11428" s="27"/>
    </row>
    <row r="11429" spans="3:4" x14ac:dyDescent="0.25">
      <c r="C11429" s="27"/>
      <c r="D11429" s="27"/>
    </row>
    <row r="11430" spans="3:4" x14ac:dyDescent="0.25">
      <c r="C11430" s="27"/>
      <c r="D11430" s="27"/>
    </row>
    <row r="11431" spans="3:4" x14ac:dyDescent="0.25">
      <c r="C11431" s="27"/>
      <c r="D11431" s="27"/>
    </row>
    <row r="11432" spans="3:4" x14ac:dyDescent="0.25">
      <c r="C11432" s="27"/>
      <c r="D11432" s="27"/>
    </row>
    <row r="11433" spans="3:4" x14ac:dyDescent="0.25">
      <c r="C11433" s="27"/>
      <c r="D11433" s="27"/>
    </row>
    <row r="11434" spans="3:4" x14ac:dyDescent="0.25">
      <c r="C11434" s="27"/>
      <c r="D11434" s="27"/>
    </row>
    <row r="11435" spans="3:4" x14ac:dyDescent="0.25">
      <c r="C11435" s="27"/>
      <c r="D11435" s="27"/>
    </row>
    <row r="11436" spans="3:4" x14ac:dyDescent="0.25">
      <c r="C11436" s="27"/>
      <c r="D11436" s="27"/>
    </row>
    <row r="11437" spans="3:4" x14ac:dyDescent="0.25">
      <c r="C11437" s="27"/>
      <c r="D11437" s="27"/>
    </row>
    <row r="11438" spans="3:4" x14ac:dyDescent="0.25">
      <c r="C11438" s="27"/>
      <c r="D11438" s="27"/>
    </row>
    <row r="11439" spans="3:4" x14ac:dyDescent="0.25">
      <c r="C11439" s="27"/>
      <c r="D11439" s="27"/>
    </row>
    <row r="11440" spans="3:4" x14ac:dyDescent="0.25">
      <c r="C11440" s="27"/>
      <c r="D11440" s="27"/>
    </row>
    <row r="11441" spans="3:4" x14ac:dyDescent="0.25">
      <c r="C11441" s="27"/>
      <c r="D11441" s="27"/>
    </row>
    <row r="11442" spans="3:4" x14ac:dyDescent="0.25">
      <c r="C11442" s="27"/>
      <c r="D11442" s="27"/>
    </row>
    <row r="11443" spans="3:4" x14ac:dyDescent="0.25">
      <c r="C11443" s="27"/>
      <c r="D11443" s="27"/>
    </row>
    <row r="11444" spans="3:4" x14ac:dyDescent="0.25">
      <c r="C11444" s="27"/>
      <c r="D11444" s="27"/>
    </row>
    <row r="11445" spans="3:4" x14ac:dyDescent="0.25">
      <c r="C11445" s="27"/>
      <c r="D11445" s="27"/>
    </row>
    <row r="11446" spans="3:4" x14ac:dyDescent="0.25">
      <c r="C11446" s="27"/>
      <c r="D11446" s="27"/>
    </row>
    <row r="11447" spans="3:4" x14ac:dyDescent="0.25">
      <c r="C11447" s="27"/>
      <c r="D11447" s="27"/>
    </row>
    <row r="11448" spans="3:4" x14ac:dyDescent="0.25">
      <c r="C11448" s="27"/>
      <c r="D11448" s="27"/>
    </row>
    <row r="11449" spans="3:4" x14ac:dyDescent="0.25">
      <c r="C11449" s="27"/>
      <c r="D11449" s="27"/>
    </row>
    <row r="11450" spans="3:4" x14ac:dyDescent="0.25">
      <c r="C11450" s="27"/>
      <c r="D11450" s="27"/>
    </row>
    <row r="11451" spans="3:4" x14ac:dyDescent="0.25">
      <c r="C11451" s="27"/>
      <c r="D11451" s="27"/>
    </row>
    <row r="11452" spans="3:4" x14ac:dyDescent="0.25">
      <c r="C11452" s="27"/>
      <c r="D11452" s="27"/>
    </row>
    <row r="11453" spans="3:4" x14ac:dyDescent="0.25">
      <c r="C11453" s="27"/>
      <c r="D11453" s="27"/>
    </row>
    <row r="11454" spans="3:4" x14ac:dyDescent="0.25">
      <c r="C11454" s="27"/>
      <c r="D11454" s="27"/>
    </row>
    <row r="11455" spans="3:4" x14ac:dyDescent="0.25">
      <c r="C11455" s="27"/>
      <c r="D11455" s="27"/>
    </row>
    <row r="11456" spans="3:4" x14ac:dyDescent="0.25">
      <c r="C11456" s="27"/>
      <c r="D11456" s="27"/>
    </row>
    <row r="11457" spans="3:4" x14ac:dyDescent="0.25">
      <c r="C11457" s="27"/>
      <c r="D11457" s="27"/>
    </row>
    <row r="11458" spans="3:4" x14ac:dyDescent="0.25">
      <c r="C11458" s="27"/>
      <c r="D11458" s="27"/>
    </row>
    <row r="11459" spans="3:4" x14ac:dyDescent="0.25">
      <c r="C11459" s="27"/>
      <c r="D11459" s="27"/>
    </row>
    <row r="11460" spans="3:4" x14ac:dyDescent="0.25">
      <c r="C11460" s="27"/>
      <c r="D11460" s="27"/>
    </row>
    <row r="11461" spans="3:4" x14ac:dyDescent="0.25">
      <c r="C11461" s="27"/>
      <c r="D11461" s="27"/>
    </row>
    <row r="11462" spans="3:4" x14ac:dyDescent="0.25">
      <c r="C11462" s="27"/>
      <c r="D11462" s="27"/>
    </row>
    <row r="11463" spans="3:4" x14ac:dyDescent="0.25">
      <c r="C11463" s="27"/>
      <c r="D11463" s="27"/>
    </row>
    <row r="11464" spans="3:4" x14ac:dyDescent="0.25">
      <c r="C11464" s="27"/>
      <c r="D11464" s="27"/>
    </row>
    <row r="11465" spans="3:4" x14ac:dyDescent="0.25">
      <c r="C11465" s="27"/>
      <c r="D11465" s="27"/>
    </row>
    <row r="11466" spans="3:4" x14ac:dyDescent="0.25">
      <c r="C11466" s="27"/>
      <c r="D11466" s="27"/>
    </row>
    <row r="11467" spans="3:4" x14ac:dyDescent="0.25">
      <c r="C11467" s="27"/>
      <c r="D11467" s="27"/>
    </row>
    <row r="11468" spans="3:4" x14ac:dyDescent="0.25">
      <c r="C11468" s="27"/>
      <c r="D11468" s="27"/>
    </row>
    <row r="11469" spans="3:4" x14ac:dyDescent="0.25">
      <c r="C11469" s="27"/>
      <c r="D11469" s="27"/>
    </row>
    <row r="11470" spans="3:4" x14ac:dyDescent="0.25">
      <c r="C11470" s="27"/>
      <c r="D11470" s="27"/>
    </row>
    <row r="11471" spans="3:4" x14ac:dyDescent="0.25">
      <c r="C11471" s="27"/>
      <c r="D11471" s="27"/>
    </row>
    <row r="11472" spans="3:4" x14ac:dyDescent="0.25">
      <c r="C11472" s="27"/>
      <c r="D11472" s="27"/>
    </row>
    <row r="11473" spans="3:4" x14ac:dyDescent="0.25">
      <c r="C11473" s="27"/>
      <c r="D11473" s="27"/>
    </row>
    <row r="11474" spans="3:4" x14ac:dyDescent="0.25">
      <c r="C11474" s="27"/>
      <c r="D11474" s="27"/>
    </row>
    <row r="11475" spans="3:4" x14ac:dyDescent="0.25">
      <c r="C11475" s="27"/>
      <c r="D11475" s="27"/>
    </row>
    <row r="11476" spans="3:4" x14ac:dyDescent="0.25">
      <c r="C11476" s="27"/>
      <c r="D11476" s="27"/>
    </row>
    <row r="11477" spans="3:4" x14ac:dyDescent="0.25">
      <c r="C11477" s="27"/>
      <c r="D11477" s="27"/>
    </row>
    <row r="11478" spans="3:4" x14ac:dyDescent="0.25">
      <c r="C11478" s="27"/>
      <c r="D11478" s="27"/>
    </row>
    <row r="11479" spans="3:4" x14ac:dyDescent="0.25">
      <c r="C11479" s="27"/>
      <c r="D11479" s="27"/>
    </row>
    <row r="11480" spans="3:4" x14ac:dyDescent="0.25">
      <c r="C11480" s="27"/>
      <c r="D11480" s="27"/>
    </row>
    <row r="11481" spans="3:4" x14ac:dyDescent="0.25">
      <c r="C11481" s="27"/>
      <c r="D11481" s="27"/>
    </row>
    <row r="11482" spans="3:4" x14ac:dyDescent="0.25">
      <c r="C11482" s="27"/>
      <c r="D11482" s="27"/>
    </row>
    <row r="11483" spans="3:4" x14ac:dyDescent="0.25">
      <c r="C11483" s="27"/>
      <c r="D11483" s="27"/>
    </row>
    <row r="11484" spans="3:4" x14ac:dyDescent="0.25">
      <c r="C11484" s="27"/>
      <c r="D11484" s="27"/>
    </row>
    <row r="11485" spans="3:4" x14ac:dyDescent="0.25">
      <c r="C11485" s="27"/>
      <c r="D11485" s="27"/>
    </row>
    <row r="11486" spans="3:4" x14ac:dyDescent="0.25">
      <c r="C11486" s="27"/>
      <c r="D11486" s="27"/>
    </row>
    <row r="11487" spans="3:4" x14ac:dyDescent="0.25">
      <c r="C11487" s="27"/>
      <c r="D11487" s="27"/>
    </row>
    <row r="11488" spans="3:4" x14ac:dyDescent="0.25">
      <c r="C11488" s="27"/>
      <c r="D11488" s="27"/>
    </row>
    <row r="11489" spans="3:4" x14ac:dyDescent="0.25">
      <c r="C11489" s="27"/>
      <c r="D11489" s="27"/>
    </row>
    <row r="11490" spans="3:4" x14ac:dyDescent="0.25">
      <c r="C11490" s="27"/>
      <c r="D11490" s="27"/>
    </row>
    <row r="11491" spans="3:4" x14ac:dyDescent="0.25">
      <c r="C11491" s="27"/>
      <c r="D11491" s="27"/>
    </row>
    <row r="11492" spans="3:4" x14ac:dyDescent="0.25">
      <c r="C11492" s="27"/>
      <c r="D11492" s="27"/>
    </row>
    <row r="11493" spans="3:4" x14ac:dyDescent="0.25">
      <c r="C11493" s="27"/>
      <c r="D11493" s="27"/>
    </row>
    <row r="11494" spans="3:4" x14ac:dyDescent="0.25">
      <c r="C11494" s="27"/>
      <c r="D11494" s="27"/>
    </row>
    <row r="11495" spans="3:4" x14ac:dyDescent="0.25">
      <c r="C11495" s="27"/>
      <c r="D11495" s="27"/>
    </row>
    <row r="11496" spans="3:4" x14ac:dyDescent="0.25">
      <c r="C11496" s="27"/>
      <c r="D11496" s="27"/>
    </row>
    <row r="11497" spans="3:4" x14ac:dyDescent="0.25">
      <c r="C11497" s="27"/>
      <c r="D11497" s="27"/>
    </row>
    <row r="11498" spans="3:4" x14ac:dyDescent="0.25">
      <c r="C11498" s="27"/>
      <c r="D11498" s="27"/>
    </row>
    <row r="11499" spans="3:4" x14ac:dyDescent="0.25">
      <c r="C11499" s="27"/>
      <c r="D11499" s="27"/>
    </row>
    <row r="11500" spans="3:4" x14ac:dyDescent="0.25">
      <c r="C11500" s="27"/>
      <c r="D11500" s="27"/>
    </row>
    <row r="11501" spans="3:4" x14ac:dyDescent="0.25">
      <c r="C11501" s="27"/>
      <c r="D11501" s="27"/>
    </row>
    <row r="11502" spans="3:4" x14ac:dyDescent="0.25">
      <c r="C11502" s="27"/>
      <c r="D11502" s="27"/>
    </row>
    <row r="11503" spans="3:4" x14ac:dyDescent="0.25">
      <c r="C11503" s="27"/>
      <c r="D11503" s="27"/>
    </row>
    <row r="11504" spans="3:4" x14ac:dyDescent="0.25">
      <c r="C11504" s="27"/>
      <c r="D11504" s="27"/>
    </row>
    <row r="11505" spans="3:4" x14ac:dyDescent="0.25">
      <c r="C11505" s="27"/>
      <c r="D11505" s="27"/>
    </row>
    <row r="11506" spans="3:4" x14ac:dyDescent="0.25">
      <c r="C11506" s="27"/>
      <c r="D11506" s="27"/>
    </row>
    <row r="11507" spans="3:4" x14ac:dyDescent="0.25">
      <c r="C11507" s="27"/>
      <c r="D11507" s="27"/>
    </row>
    <row r="11508" spans="3:4" x14ac:dyDescent="0.25">
      <c r="C11508" s="27"/>
      <c r="D11508" s="27"/>
    </row>
    <row r="11509" spans="3:4" x14ac:dyDescent="0.25">
      <c r="C11509" s="27"/>
      <c r="D11509" s="27"/>
    </row>
    <row r="11510" spans="3:4" x14ac:dyDescent="0.25">
      <c r="C11510" s="27"/>
      <c r="D11510" s="27"/>
    </row>
    <row r="11511" spans="3:4" x14ac:dyDescent="0.25">
      <c r="C11511" s="27"/>
      <c r="D11511" s="27"/>
    </row>
    <row r="11512" spans="3:4" x14ac:dyDescent="0.25">
      <c r="C11512" s="27"/>
      <c r="D11512" s="27"/>
    </row>
    <row r="11513" spans="3:4" x14ac:dyDescent="0.25">
      <c r="C11513" s="27"/>
      <c r="D11513" s="27"/>
    </row>
    <row r="11514" spans="3:4" x14ac:dyDescent="0.25">
      <c r="C11514" s="27"/>
      <c r="D11514" s="27"/>
    </row>
    <row r="11515" spans="3:4" x14ac:dyDescent="0.25">
      <c r="C11515" s="27"/>
      <c r="D11515" s="27"/>
    </row>
    <row r="11516" spans="3:4" x14ac:dyDescent="0.25">
      <c r="C11516" s="27"/>
      <c r="D11516" s="27"/>
    </row>
    <row r="11517" spans="3:4" x14ac:dyDescent="0.25">
      <c r="C11517" s="27"/>
      <c r="D11517" s="27"/>
    </row>
    <row r="11518" spans="3:4" x14ac:dyDescent="0.25">
      <c r="C11518" s="27"/>
      <c r="D11518" s="27"/>
    </row>
    <row r="11519" spans="3:4" x14ac:dyDescent="0.25">
      <c r="C11519" s="27"/>
      <c r="D11519" s="27"/>
    </row>
    <row r="11520" spans="3:4" x14ac:dyDescent="0.25">
      <c r="C11520" s="27"/>
      <c r="D11520" s="27"/>
    </row>
    <row r="11521" spans="3:4" x14ac:dyDescent="0.25">
      <c r="C11521" s="27"/>
      <c r="D11521" s="27"/>
    </row>
    <row r="11522" spans="3:4" x14ac:dyDescent="0.25">
      <c r="C11522" s="27"/>
      <c r="D11522" s="27"/>
    </row>
    <row r="11523" spans="3:4" x14ac:dyDescent="0.25">
      <c r="C11523" s="27"/>
      <c r="D11523" s="27"/>
    </row>
    <row r="11524" spans="3:4" x14ac:dyDescent="0.25">
      <c r="C11524" s="27"/>
      <c r="D11524" s="27"/>
    </row>
    <row r="11525" spans="3:4" x14ac:dyDescent="0.25">
      <c r="C11525" s="27"/>
      <c r="D11525" s="27"/>
    </row>
    <row r="11526" spans="3:4" x14ac:dyDescent="0.25">
      <c r="C11526" s="27"/>
      <c r="D11526" s="27"/>
    </row>
    <row r="11527" spans="3:4" x14ac:dyDescent="0.25">
      <c r="C11527" s="27"/>
      <c r="D11527" s="27"/>
    </row>
    <row r="11528" spans="3:4" x14ac:dyDescent="0.25">
      <c r="C11528" s="27"/>
      <c r="D11528" s="27"/>
    </row>
    <row r="11529" spans="3:4" x14ac:dyDescent="0.25">
      <c r="C11529" s="27"/>
      <c r="D11529" s="27"/>
    </row>
    <row r="11530" spans="3:4" x14ac:dyDescent="0.25">
      <c r="C11530" s="27"/>
      <c r="D11530" s="27"/>
    </row>
    <row r="11531" spans="3:4" x14ac:dyDescent="0.25">
      <c r="C11531" s="27"/>
      <c r="D11531" s="27"/>
    </row>
    <row r="11532" spans="3:4" x14ac:dyDescent="0.25">
      <c r="C11532" s="27"/>
      <c r="D11532" s="27"/>
    </row>
    <row r="11533" spans="3:4" x14ac:dyDescent="0.25">
      <c r="C11533" s="27"/>
      <c r="D11533" s="27"/>
    </row>
    <row r="11534" spans="3:4" x14ac:dyDescent="0.25">
      <c r="C11534" s="27"/>
      <c r="D11534" s="27"/>
    </row>
    <row r="11535" spans="3:4" x14ac:dyDescent="0.25">
      <c r="C11535" s="27"/>
      <c r="D11535" s="27"/>
    </row>
    <row r="11536" spans="3:4" x14ac:dyDescent="0.25">
      <c r="C11536" s="27"/>
      <c r="D11536" s="27"/>
    </row>
    <row r="11537" spans="3:4" x14ac:dyDescent="0.25">
      <c r="C11537" s="27"/>
      <c r="D11537" s="27"/>
    </row>
    <row r="11538" spans="3:4" x14ac:dyDescent="0.25">
      <c r="C11538" s="27"/>
      <c r="D11538" s="27"/>
    </row>
    <row r="11539" spans="3:4" x14ac:dyDescent="0.25">
      <c r="C11539" s="27"/>
      <c r="D11539" s="27"/>
    </row>
    <row r="11540" spans="3:4" x14ac:dyDescent="0.25">
      <c r="C11540" s="27"/>
      <c r="D11540" s="27"/>
    </row>
    <row r="11541" spans="3:4" x14ac:dyDescent="0.25">
      <c r="C11541" s="27"/>
      <c r="D11541" s="27"/>
    </row>
    <row r="11542" spans="3:4" x14ac:dyDescent="0.25">
      <c r="C11542" s="27"/>
      <c r="D11542" s="27"/>
    </row>
    <row r="11543" spans="3:4" x14ac:dyDescent="0.25">
      <c r="C11543" s="27"/>
      <c r="D11543" s="27"/>
    </row>
    <row r="11544" spans="3:4" x14ac:dyDescent="0.25">
      <c r="C11544" s="27"/>
      <c r="D11544" s="27"/>
    </row>
    <row r="11545" spans="3:4" x14ac:dyDescent="0.25">
      <c r="C11545" s="27"/>
      <c r="D11545" s="27"/>
    </row>
    <row r="11546" spans="3:4" x14ac:dyDescent="0.25">
      <c r="C11546" s="27"/>
      <c r="D11546" s="27"/>
    </row>
    <row r="11547" spans="3:4" x14ac:dyDescent="0.25">
      <c r="C11547" s="27"/>
      <c r="D11547" s="27"/>
    </row>
    <row r="11548" spans="3:4" x14ac:dyDescent="0.25">
      <c r="C11548" s="27"/>
      <c r="D11548" s="27"/>
    </row>
    <row r="11549" spans="3:4" x14ac:dyDescent="0.25">
      <c r="C11549" s="27"/>
      <c r="D11549" s="27"/>
    </row>
    <row r="11550" spans="3:4" x14ac:dyDescent="0.25">
      <c r="C11550" s="27"/>
      <c r="D11550" s="27"/>
    </row>
    <row r="11551" spans="3:4" x14ac:dyDescent="0.25">
      <c r="C11551" s="27"/>
      <c r="D11551" s="27"/>
    </row>
    <row r="11552" spans="3:4" x14ac:dyDescent="0.25">
      <c r="C11552" s="27"/>
      <c r="D11552" s="27"/>
    </row>
    <row r="11553" spans="3:4" x14ac:dyDescent="0.25">
      <c r="C11553" s="27"/>
      <c r="D11553" s="27"/>
    </row>
    <row r="11554" spans="3:4" x14ac:dyDescent="0.25">
      <c r="C11554" s="27"/>
      <c r="D11554" s="27"/>
    </row>
    <row r="11555" spans="3:4" x14ac:dyDescent="0.25">
      <c r="C11555" s="27"/>
      <c r="D11555" s="27"/>
    </row>
    <row r="11556" spans="3:4" x14ac:dyDescent="0.25">
      <c r="C11556" s="27"/>
      <c r="D11556" s="27"/>
    </row>
    <row r="11557" spans="3:4" x14ac:dyDescent="0.25">
      <c r="C11557" s="27"/>
      <c r="D11557" s="27"/>
    </row>
    <row r="11558" spans="3:4" x14ac:dyDescent="0.25">
      <c r="C11558" s="27"/>
      <c r="D11558" s="27"/>
    </row>
    <row r="11559" spans="3:4" x14ac:dyDescent="0.25">
      <c r="C11559" s="27"/>
      <c r="D11559" s="27"/>
    </row>
    <row r="11560" spans="3:4" x14ac:dyDescent="0.25">
      <c r="C11560" s="27"/>
      <c r="D11560" s="27"/>
    </row>
    <row r="11561" spans="3:4" x14ac:dyDescent="0.25">
      <c r="C11561" s="27"/>
      <c r="D11561" s="27"/>
    </row>
    <row r="11562" spans="3:4" x14ac:dyDescent="0.25">
      <c r="C11562" s="27"/>
      <c r="D11562" s="27"/>
    </row>
    <row r="11563" spans="3:4" x14ac:dyDescent="0.25">
      <c r="C11563" s="27"/>
      <c r="D11563" s="27"/>
    </row>
    <row r="11564" spans="3:4" x14ac:dyDescent="0.25">
      <c r="C11564" s="27"/>
      <c r="D11564" s="27"/>
    </row>
    <row r="11565" spans="3:4" x14ac:dyDescent="0.25">
      <c r="C11565" s="27"/>
      <c r="D11565" s="27"/>
    </row>
    <row r="11566" spans="3:4" x14ac:dyDescent="0.25">
      <c r="C11566" s="27"/>
      <c r="D11566" s="27"/>
    </row>
    <row r="11567" spans="3:4" x14ac:dyDescent="0.25">
      <c r="C11567" s="27"/>
      <c r="D11567" s="27"/>
    </row>
    <row r="11568" spans="3:4" x14ac:dyDescent="0.25">
      <c r="C11568" s="27"/>
      <c r="D11568" s="27"/>
    </row>
    <row r="11569" spans="3:4" x14ac:dyDescent="0.25">
      <c r="C11569" s="27"/>
      <c r="D11569" s="27"/>
    </row>
    <row r="11570" spans="3:4" x14ac:dyDescent="0.25">
      <c r="C11570" s="27"/>
      <c r="D11570" s="27"/>
    </row>
    <row r="11571" spans="3:4" x14ac:dyDescent="0.25">
      <c r="C11571" s="27"/>
      <c r="D11571" s="27"/>
    </row>
    <row r="11572" spans="3:4" x14ac:dyDescent="0.25">
      <c r="C11572" s="27"/>
      <c r="D11572" s="27"/>
    </row>
    <row r="11573" spans="3:4" x14ac:dyDescent="0.25">
      <c r="C11573" s="27"/>
      <c r="D11573" s="27"/>
    </row>
    <row r="11574" spans="3:4" x14ac:dyDescent="0.25">
      <c r="C11574" s="27"/>
      <c r="D11574" s="27"/>
    </row>
    <row r="11575" spans="3:4" x14ac:dyDescent="0.25">
      <c r="C11575" s="27"/>
      <c r="D11575" s="27"/>
    </row>
    <row r="11576" spans="3:4" x14ac:dyDescent="0.25">
      <c r="C11576" s="27"/>
      <c r="D11576" s="27"/>
    </row>
    <row r="11577" spans="3:4" x14ac:dyDescent="0.25">
      <c r="C11577" s="27"/>
      <c r="D11577" s="27"/>
    </row>
    <row r="11578" spans="3:4" x14ac:dyDescent="0.25">
      <c r="C11578" s="27"/>
      <c r="D11578" s="27"/>
    </row>
    <row r="11579" spans="3:4" x14ac:dyDescent="0.25">
      <c r="C11579" s="27"/>
      <c r="D11579" s="27"/>
    </row>
    <row r="11580" spans="3:4" x14ac:dyDescent="0.25">
      <c r="C11580" s="27"/>
      <c r="D11580" s="27"/>
    </row>
    <row r="11581" spans="3:4" x14ac:dyDescent="0.25">
      <c r="C11581" s="27"/>
      <c r="D11581" s="27"/>
    </row>
    <row r="11582" spans="3:4" x14ac:dyDescent="0.25">
      <c r="C11582" s="27"/>
      <c r="D11582" s="27"/>
    </row>
    <row r="11583" spans="3:4" x14ac:dyDescent="0.25">
      <c r="C11583" s="27"/>
      <c r="D11583" s="27"/>
    </row>
    <row r="11584" spans="3:4" x14ac:dyDescent="0.25">
      <c r="C11584" s="27"/>
      <c r="D11584" s="27"/>
    </row>
    <row r="11585" spans="3:4" x14ac:dyDescent="0.25">
      <c r="C11585" s="27"/>
      <c r="D11585" s="27"/>
    </row>
    <row r="11586" spans="3:4" x14ac:dyDescent="0.25">
      <c r="C11586" s="27"/>
      <c r="D11586" s="27"/>
    </row>
    <row r="11587" spans="3:4" x14ac:dyDescent="0.25">
      <c r="C11587" s="27"/>
      <c r="D11587" s="27"/>
    </row>
    <row r="11588" spans="3:4" x14ac:dyDescent="0.25">
      <c r="C11588" s="27"/>
      <c r="D11588" s="27"/>
    </row>
    <row r="11589" spans="3:4" x14ac:dyDescent="0.25">
      <c r="C11589" s="27"/>
      <c r="D11589" s="27"/>
    </row>
    <row r="11590" spans="3:4" x14ac:dyDescent="0.25">
      <c r="C11590" s="27"/>
      <c r="D11590" s="27"/>
    </row>
    <row r="11591" spans="3:4" x14ac:dyDescent="0.25">
      <c r="C11591" s="27"/>
      <c r="D11591" s="27"/>
    </row>
    <row r="11592" spans="3:4" x14ac:dyDescent="0.25">
      <c r="C11592" s="27"/>
      <c r="D11592" s="27"/>
    </row>
    <row r="11593" spans="3:4" x14ac:dyDescent="0.25">
      <c r="C11593" s="27"/>
      <c r="D11593" s="27"/>
    </row>
    <row r="11594" spans="3:4" x14ac:dyDescent="0.25">
      <c r="C11594" s="27"/>
      <c r="D11594" s="27"/>
    </row>
    <row r="11595" spans="3:4" x14ac:dyDescent="0.25">
      <c r="C11595" s="27"/>
      <c r="D11595" s="27"/>
    </row>
    <row r="11596" spans="3:4" x14ac:dyDescent="0.25">
      <c r="C11596" s="27"/>
      <c r="D11596" s="27"/>
    </row>
    <row r="11597" spans="3:4" x14ac:dyDescent="0.25">
      <c r="C11597" s="27"/>
      <c r="D11597" s="27"/>
    </row>
    <row r="11598" spans="3:4" x14ac:dyDescent="0.25">
      <c r="C11598" s="27"/>
      <c r="D11598" s="27"/>
    </row>
    <row r="11599" spans="3:4" x14ac:dyDescent="0.25">
      <c r="C11599" s="27"/>
      <c r="D11599" s="27"/>
    </row>
    <row r="11600" spans="3:4" x14ac:dyDescent="0.25">
      <c r="C11600" s="27"/>
      <c r="D11600" s="27"/>
    </row>
    <row r="11601" spans="3:4" x14ac:dyDescent="0.25">
      <c r="C11601" s="27"/>
      <c r="D11601" s="27"/>
    </row>
    <row r="11602" spans="3:4" x14ac:dyDescent="0.25">
      <c r="C11602" s="27"/>
      <c r="D11602" s="27"/>
    </row>
    <row r="11603" spans="3:4" x14ac:dyDescent="0.25">
      <c r="C11603" s="27"/>
      <c r="D11603" s="27"/>
    </row>
    <row r="11604" spans="3:4" x14ac:dyDescent="0.25">
      <c r="C11604" s="27"/>
      <c r="D11604" s="27"/>
    </row>
    <row r="11605" spans="3:4" x14ac:dyDescent="0.25">
      <c r="C11605" s="27"/>
      <c r="D11605" s="27"/>
    </row>
    <row r="11606" spans="3:4" x14ac:dyDescent="0.25">
      <c r="C11606" s="27"/>
      <c r="D11606" s="27"/>
    </row>
    <row r="11607" spans="3:4" x14ac:dyDescent="0.25">
      <c r="C11607" s="27"/>
      <c r="D11607" s="27"/>
    </row>
    <row r="11608" spans="3:4" x14ac:dyDescent="0.25">
      <c r="C11608" s="27"/>
      <c r="D11608" s="27"/>
    </row>
    <row r="11609" spans="3:4" x14ac:dyDescent="0.25">
      <c r="C11609" s="27"/>
      <c r="D11609" s="27"/>
    </row>
    <row r="11610" spans="3:4" x14ac:dyDescent="0.25">
      <c r="C11610" s="27"/>
      <c r="D11610" s="27"/>
    </row>
    <row r="11611" spans="3:4" x14ac:dyDescent="0.25">
      <c r="C11611" s="27"/>
      <c r="D11611" s="27"/>
    </row>
    <row r="11612" spans="3:4" x14ac:dyDescent="0.25">
      <c r="C11612" s="27"/>
      <c r="D11612" s="27"/>
    </row>
    <row r="11613" spans="3:4" x14ac:dyDescent="0.25">
      <c r="C11613" s="27"/>
      <c r="D11613" s="27"/>
    </row>
    <row r="11614" spans="3:4" x14ac:dyDescent="0.25">
      <c r="C11614" s="27"/>
      <c r="D11614" s="27"/>
    </row>
    <row r="11615" spans="3:4" x14ac:dyDescent="0.25">
      <c r="C11615" s="27"/>
      <c r="D11615" s="27"/>
    </row>
    <row r="11616" spans="3:4" x14ac:dyDescent="0.25">
      <c r="C11616" s="27"/>
      <c r="D11616" s="27"/>
    </row>
    <row r="11617" spans="3:4" x14ac:dyDescent="0.25">
      <c r="C11617" s="27"/>
      <c r="D11617" s="27"/>
    </row>
    <row r="11618" spans="3:4" x14ac:dyDescent="0.25">
      <c r="C11618" s="27"/>
      <c r="D11618" s="27"/>
    </row>
    <row r="11619" spans="3:4" x14ac:dyDescent="0.25">
      <c r="C11619" s="27"/>
      <c r="D11619" s="27"/>
    </row>
    <row r="11620" spans="3:4" x14ac:dyDescent="0.25">
      <c r="C11620" s="27"/>
      <c r="D11620" s="27"/>
    </row>
    <row r="11621" spans="3:4" x14ac:dyDescent="0.25">
      <c r="C11621" s="27"/>
      <c r="D11621" s="27"/>
    </row>
    <row r="11622" spans="3:4" x14ac:dyDescent="0.25">
      <c r="C11622" s="27"/>
      <c r="D11622" s="27"/>
    </row>
    <row r="11623" spans="3:4" x14ac:dyDescent="0.25">
      <c r="C11623" s="27"/>
      <c r="D11623" s="27"/>
    </row>
    <row r="11624" spans="3:4" x14ac:dyDescent="0.25">
      <c r="C11624" s="27"/>
      <c r="D11624" s="27"/>
    </row>
    <row r="11625" spans="3:4" x14ac:dyDescent="0.25">
      <c r="C11625" s="27"/>
      <c r="D11625" s="27"/>
    </row>
    <row r="11626" spans="3:4" x14ac:dyDescent="0.25">
      <c r="C11626" s="27"/>
      <c r="D11626" s="27"/>
    </row>
    <row r="11627" spans="3:4" x14ac:dyDescent="0.25">
      <c r="C11627" s="27"/>
      <c r="D11627" s="27"/>
    </row>
    <row r="11628" spans="3:4" x14ac:dyDescent="0.25">
      <c r="C11628" s="27"/>
      <c r="D11628" s="27"/>
    </row>
    <row r="11629" spans="3:4" x14ac:dyDescent="0.25">
      <c r="C11629" s="27"/>
      <c r="D11629" s="27"/>
    </row>
    <row r="11630" spans="3:4" x14ac:dyDescent="0.25">
      <c r="C11630" s="27"/>
      <c r="D11630" s="27"/>
    </row>
    <row r="11631" spans="3:4" x14ac:dyDescent="0.25">
      <c r="C11631" s="27"/>
      <c r="D11631" s="27"/>
    </row>
    <row r="11632" spans="3:4" x14ac:dyDescent="0.25">
      <c r="C11632" s="27"/>
      <c r="D11632" s="27"/>
    </row>
    <row r="11633" spans="3:4" x14ac:dyDescent="0.25">
      <c r="C11633" s="27"/>
      <c r="D11633" s="27"/>
    </row>
    <row r="11634" spans="3:4" x14ac:dyDescent="0.25">
      <c r="C11634" s="27"/>
      <c r="D11634" s="27"/>
    </row>
    <row r="11635" spans="3:4" x14ac:dyDescent="0.25">
      <c r="C11635" s="27"/>
      <c r="D11635" s="27"/>
    </row>
    <row r="11636" spans="3:4" x14ac:dyDescent="0.25">
      <c r="C11636" s="27"/>
      <c r="D11636" s="27"/>
    </row>
    <row r="11637" spans="3:4" x14ac:dyDescent="0.25">
      <c r="C11637" s="27"/>
      <c r="D11637" s="27"/>
    </row>
    <row r="11638" spans="3:4" x14ac:dyDescent="0.25">
      <c r="C11638" s="27"/>
      <c r="D11638" s="27"/>
    </row>
    <row r="11639" spans="3:4" x14ac:dyDescent="0.25">
      <c r="C11639" s="27"/>
      <c r="D11639" s="27"/>
    </row>
    <row r="11640" spans="3:4" x14ac:dyDescent="0.25">
      <c r="C11640" s="27"/>
      <c r="D11640" s="27"/>
    </row>
    <row r="11641" spans="3:4" x14ac:dyDescent="0.25">
      <c r="C11641" s="27"/>
      <c r="D11641" s="27"/>
    </row>
    <row r="11642" spans="3:4" x14ac:dyDescent="0.25">
      <c r="C11642" s="27"/>
      <c r="D11642" s="27"/>
    </row>
    <row r="11643" spans="3:4" x14ac:dyDescent="0.25">
      <c r="C11643" s="27"/>
      <c r="D11643" s="27"/>
    </row>
    <row r="11644" spans="3:4" x14ac:dyDescent="0.25">
      <c r="C11644" s="27"/>
      <c r="D11644" s="27"/>
    </row>
    <row r="11645" spans="3:4" x14ac:dyDescent="0.25">
      <c r="C11645" s="27"/>
      <c r="D11645" s="27"/>
    </row>
    <row r="11646" spans="3:4" x14ac:dyDescent="0.25">
      <c r="C11646" s="27"/>
      <c r="D11646" s="27"/>
    </row>
    <row r="11647" spans="3:4" x14ac:dyDescent="0.25">
      <c r="C11647" s="27"/>
      <c r="D11647" s="27"/>
    </row>
    <row r="11648" spans="3:4" x14ac:dyDescent="0.25">
      <c r="C11648" s="27"/>
      <c r="D11648" s="27"/>
    </row>
    <row r="11649" spans="3:4" x14ac:dyDescent="0.25">
      <c r="C11649" s="27"/>
      <c r="D11649" s="27"/>
    </row>
    <row r="11650" spans="3:4" x14ac:dyDescent="0.25">
      <c r="C11650" s="27"/>
      <c r="D11650" s="27"/>
    </row>
    <row r="11651" spans="3:4" x14ac:dyDescent="0.25">
      <c r="C11651" s="27"/>
      <c r="D11651" s="27"/>
    </row>
    <row r="11652" spans="3:4" x14ac:dyDescent="0.25">
      <c r="C11652" s="27"/>
      <c r="D11652" s="27"/>
    </row>
    <row r="11653" spans="3:4" x14ac:dyDescent="0.25">
      <c r="C11653" s="27"/>
      <c r="D11653" s="27"/>
    </row>
    <row r="11654" spans="3:4" x14ac:dyDescent="0.25">
      <c r="C11654" s="27"/>
      <c r="D11654" s="27"/>
    </row>
    <row r="11655" spans="3:4" x14ac:dyDescent="0.25">
      <c r="C11655" s="27"/>
      <c r="D11655" s="27"/>
    </row>
    <row r="11656" spans="3:4" x14ac:dyDescent="0.25">
      <c r="C11656" s="27"/>
      <c r="D11656" s="27"/>
    </row>
    <row r="11657" spans="3:4" x14ac:dyDescent="0.25">
      <c r="C11657" s="27"/>
      <c r="D11657" s="27"/>
    </row>
    <row r="11658" spans="3:4" x14ac:dyDescent="0.25">
      <c r="C11658" s="27"/>
      <c r="D11658" s="27"/>
    </row>
    <row r="11659" spans="3:4" x14ac:dyDescent="0.25">
      <c r="C11659" s="27"/>
      <c r="D11659" s="27"/>
    </row>
    <row r="11660" spans="3:4" x14ac:dyDescent="0.25">
      <c r="C11660" s="27"/>
      <c r="D11660" s="27"/>
    </row>
    <row r="11661" spans="3:4" x14ac:dyDescent="0.25">
      <c r="C11661" s="27"/>
      <c r="D11661" s="27"/>
    </row>
    <row r="11662" spans="3:4" x14ac:dyDescent="0.25">
      <c r="C11662" s="27"/>
      <c r="D11662" s="27"/>
    </row>
    <row r="11663" spans="3:4" x14ac:dyDescent="0.25">
      <c r="C11663" s="27"/>
      <c r="D11663" s="27"/>
    </row>
    <row r="11664" spans="3:4" x14ac:dyDescent="0.25">
      <c r="C11664" s="27"/>
      <c r="D11664" s="27"/>
    </row>
    <row r="11665" spans="3:4" x14ac:dyDescent="0.25">
      <c r="C11665" s="27"/>
      <c r="D11665" s="27"/>
    </row>
    <row r="11666" spans="3:4" x14ac:dyDescent="0.25">
      <c r="C11666" s="27"/>
      <c r="D11666" s="27"/>
    </row>
    <row r="11667" spans="3:4" x14ac:dyDescent="0.25">
      <c r="C11667" s="27"/>
      <c r="D11667" s="27"/>
    </row>
    <row r="11668" spans="3:4" x14ac:dyDescent="0.25">
      <c r="C11668" s="27"/>
      <c r="D11668" s="27"/>
    </row>
    <row r="11669" spans="3:4" x14ac:dyDescent="0.25">
      <c r="C11669" s="27"/>
      <c r="D11669" s="27"/>
    </row>
    <row r="11670" spans="3:4" x14ac:dyDescent="0.25">
      <c r="C11670" s="27"/>
      <c r="D11670" s="27"/>
    </row>
    <row r="11671" spans="3:4" x14ac:dyDescent="0.25">
      <c r="C11671" s="27"/>
      <c r="D11671" s="27"/>
    </row>
    <row r="11672" spans="3:4" x14ac:dyDescent="0.25">
      <c r="C11672" s="27"/>
      <c r="D11672" s="27"/>
    </row>
    <row r="11673" spans="3:4" x14ac:dyDescent="0.25">
      <c r="C11673" s="27"/>
      <c r="D11673" s="27"/>
    </row>
    <row r="11674" spans="3:4" x14ac:dyDescent="0.25">
      <c r="C11674" s="27"/>
      <c r="D11674" s="27"/>
    </row>
    <row r="11675" spans="3:4" x14ac:dyDescent="0.25">
      <c r="C11675" s="27"/>
      <c r="D11675" s="27"/>
    </row>
    <row r="11676" spans="3:4" x14ac:dyDescent="0.25">
      <c r="C11676" s="27"/>
      <c r="D11676" s="27"/>
    </row>
    <row r="11677" spans="3:4" x14ac:dyDescent="0.25">
      <c r="C11677" s="27"/>
      <c r="D11677" s="27"/>
    </row>
    <row r="11678" spans="3:4" x14ac:dyDescent="0.25">
      <c r="C11678" s="27"/>
      <c r="D11678" s="27"/>
    </row>
    <row r="11679" spans="3:4" x14ac:dyDescent="0.25">
      <c r="C11679" s="27"/>
      <c r="D11679" s="27"/>
    </row>
    <row r="11680" spans="3:4" x14ac:dyDescent="0.25">
      <c r="C11680" s="27"/>
      <c r="D11680" s="27"/>
    </row>
    <row r="11681" spans="3:4" x14ac:dyDescent="0.25">
      <c r="C11681" s="27"/>
      <c r="D11681" s="27"/>
    </row>
    <row r="11682" spans="3:4" x14ac:dyDescent="0.25">
      <c r="C11682" s="27"/>
      <c r="D11682" s="27"/>
    </row>
    <row r="11683" spans="3:4" x14ac:dyDescent="0.25">
      <c r="C11683" s="27"/>
      <c r="D11683" s="27"/>
    </row>
    <row r="11684" spans="3:4" x14ac:dyDescent="0.25">
      <c r="C11684" s="27"/>
      <c r="D11684" s="27"/>
    </row>
    <row r="11685" spans="3:4" x14ac:dyDescent="0.25">
      <c r="C11685" s="27"/>
      <c r="D11685" s="27"/>
    </row>
    <row r="11686" spans="3:4" x14ac:dyDescent="0.25">
      <c r="C11686" s="27"/>
      <c r="D11686" s="27"/>
    </row>
    <row r="11687" spans="3:4" x14ac:dyDescent="0.25">
      <c r="C11687" s="27"/>
      <c r="D11687" s="27"/>
    </row>
    <row r="11688" spans="3:4" x14ac:dyDescent="0.25">
      <c r="C11688" s="27"/>
      <c r="D11688" s="27"/>
    </row>
    <row r="11689" spans="3:4" x14ac:dyDescent="0.25">
      <c r="C11689" s="27"/>
      <c r="D11689" s="27"/>
    </row>
    <row r="11690" spans="3:4" x14ac:dyDescent="0.25">
      <c r="C11690" s="27"/>
      <c r="D11690" s="27"/>
    </row>
    <row r="11691" spans="3:4" x14ac:dyDescent="0.25">
      <c r="C11691" s="27"/>
      <c r="D11691" s="27"/>
    </row>
    <row r="11692" spans="3:4" x14ac:dyDescent="0.25">
      <c r="C11692" s="27"/>
      <c r="D11692" s="27"/>
    </row>
    <row r="11693" spans="3:4" x14ac:dyDescent="0.25">
      <c r="C11693" s="27"/>
      <c r="D11693" s="27"/>
    </row>
    <row r="11694" spans="3:4" x14ac:dyDescent="0.25">
      <c r="C11694" s="27"/>
      <c r="D11694" s="27"/>
    </row>
    <row r="11695" spans="3:4" x14ac:dyDescent="0.25">
      <c r="C11695" s="27"/>
      <c r="D11695" s="27"/>
    </row>
    <row r="11696" spans="3:4" x14ac:dyDescent="0.25">
      <c r="C11696" s="27"/>
      <c r="D11696" s="27"/>
    </row>
    <row r="11697" spans="3:4" x14ac:dyDescent="0.25">
      <c r="C11697" s="27"/>
      <c r="D11697" s="27"/>
    </row>
    <row r="11698" spans="3:4" x14ac:dyDescent="0.25">
      <c r="C11698" s="27"/>
      <c r="D11698" s="27"/>
    </row>
    <row r="11699" spans="3:4" x14ac:dyDescent="0.25">
      <c r="C11699" s="27"/>
      <c r="D11699" s="27"/>
    </row>
    <row r="11700" spans="3:4" x14ac:dyDescent="0.25">
      <c r="C11700" s="27"/>
      <c r="D11700" s="27"/>
    </row>
    <row r="11701" spans="3:4" x14ac:dyDescent="0.25">
      <c r="C11701" s="27"/>
      <c r="D11701" s="27"/>
    </row>
    <row r="11702" spans="3:4" x14ac:dyDescent="0.25">
      <c r="C11702" s="27"/>
      <c r="D11702" s="27"/>
    </row>
    <row r="11703" spans="3:4" x14ac:dyDescent="0.25">
      <c r="C11703" s="27"/>
      <c r="D11703" s="27"/>
    </row>
    <row r="11704" spans="3:4" x14ac:dyDescent="0.25">
      <c r="C11704" s="27"/>
      <c r="D11704" s="27"/>
    </row>
    <row r="11705" spans="3:4" x14ac:dyDescent="0.25">
      <c r="C11705" s="27"/>
      <c r="D11705" s="27"/>
    </row>
    <row r="11706" spans="3:4" x14ac:dyDescent="0.25">
      <c r="C11706" s="27"/>
      <c r="D11706" s="27"/>
    </row>
    <row r="11707" spans="3:4" x14ac:dyDescent="0.25">
      <c r="C11707" s="27"/>
      <c r="D11707" s="27"/>
    </row>
    <row r="11708" spans="3:4" x14ac:dyDescent="0.25">
      <c r="C11708" s="27"/>
      <c r="D11708" s="27"/>
    </row>
    <row r="11709" spans="3:4" x14ac:dyDescent="0.25">
      <c r="C11709" s="27"/>
      <c r="D11709" s="27"/>
    </row>
    <row r="11710" spans="3:4" x14ac:dyDescent="0.25">
      <c r="C11710" s="27"/>
      <c r="D11710" s="27"/>
    </row>
    <row r="11711" spans="3:4" x14ac:dyDescent="0.25">
      <c r="C11711" s="27"/>
      <c r="D11711" s="27"/>
    </row>
    <row r="11712" spans="3:4" x14ac:dyDescent="0.25">
      <c r="C11712" s="27"/>
      <c r="D11712" s="27"/>
    </row>
    <row r="11713" spans="3:4" x14ac:dyDescent="0.25">
      <c r="C11713" s="27"/>
      <c r="D11713" s="27"/>
    </row>
    <row r="11714" spans="3:4" x14ac:dyDescent="0.25">
      <c r="C11714" s="27"/>
      <c r="D11714" s="27"/>
    </row>
    <row r="11715" spans="3:4" x14ac:dyDescent="0.25">
      <c r="C11715" s="27"/>
      <c r="D11715" s="27"/>
    </row>
    <row r="11716" spans="3:4" x14ac:dyDescent="0.25">
      <c r="C11716" s="27"/>
      <c r="D11716" s="27"/>
    </row>
    <row r="11717" spans="3:4" x14ac:dyDescent="0.25">
      <c r="C11717" s="27"/>
      <c r="D11717" s="27"/>
    </row>
    <row r="11718" spans="3:4" x14ac:dyDescent="0.25">
      <c r="C11718" s="27"/>
      <c r="D11718" s="27"/>
    </row>
    <row r="11719" spans="3:4" x14ac:dyDescent="0.25">
      <c r="C11719" s="27"/>
      <c r="D11719" s="27"/>
    </row>
    <row r="11720" spans="3:4" x14ac:dyDescent="0.25">
      <c r="C11720" s="27"/>
      <c r="D11720" s="27"/>
    </row>
    <row r="11721" spans="3:4" x14ac:dyDescent="0.25">
      <c r="C11721" s="27"/>
      <c r="D11721" s="27"/>
    </row>
    <row r="11722" spans="3:4" x14ac:dyDescent="0.25">
      <c r="C11722" s="27"/>
      <c r="D11722" s="27"/>
    </row>
    <row r="11723" spans="3:4" x14ac:dyDescent="0.25">
      <c r="C11723" s="27"/>
      <c r="D11723" s="27"/>
    </row>
    <row r="11724" spans="3:4" x14ac:dyDescent="0.25">
      <c r="C11724" s="27"/>
      <c r="D11724" s="27"/>
    </row>
    <row r="11725" spans="3:4" x14ac:dyDescent="0.25">
      <c r="C11725" s="27"/>
      <c r="D11725" s="27"/>
    </row>
    <row r="11726" spans="3:4" x14ac:dyDescent="0.25">
      <c r="C11726" s="27"/>
      <c r="D11726" s="27"/>
    </row>
    <row r="11727" spans="3:4" x14ac:dyDescent="0.25">
      <c r="C11727" s="27"/>
      <c r="D11727" s="27"/>
    </row>
    <row r="11728" spans="3:4" x14ac:dyDescent="0.25">
      <c r="C11728" s="27"/>
      <c r="D11728" s="27"/>
    </row>
    <row r="11729" spans="3:4" x14ac:dyDescent="0.25">
      <c r="C11729" s="27"/>
      <c r="D11729" s="27"/>
    </row>
    <row r="11730" spans="3:4" x14ac:dyDescent="0.25">
      <c r="C11730" s="27"/>
      <c r="D11730" s="27"/>
    </row>
    <row r="11731" spans="3:4" x14ac:dyDescent="0.25">
      <c r="C11731" s="27"/>
      <c r="D11731" s="27"/>
    </row>
    <row r="11732" spans="3:4" x14ac:dyDescent="0.25">
      <c r="C11732" s="27"/>
      <c r="D11732" s="27"/>
    </row>
    <row r="11733" spans="3:4" x14ac:dyDescent="0.25">
      <c r="C11733" s="27"/>
      <c r="D11733" s="27"/>
    </row>
    <row r="11734" spans="3:4" x14ac:dyDescent="0.25">
      <c r="C11734" s="27"/>
      <c r="D11734" s="27"/>
    </row>
    <row r="11735" spans="3:4" x14ac:dyDescent="0.25">
      <c r="C11735" s="27"/>
      <c r="D11735" s="27"/>
    </row>
    <row r="11736" spans="3:4" x14ac:dyDescent="0.25">
      <c r="C11736" s="27"/>
      <c r="D11736" s="27"/>
    </row>
    <row r="11737" spans="3:4" x14ac:dyDescent="0.25">
      <c r="C11737" s="27"/>
      <c r="D11737" s="27"/>
    </row>
    <row r="11738" spans="3:4" x14ac:dyDescent="0.25">
      <c r="C11738" s="27"/>
      <c r="D11738" s="27"/>
    </row>
    <row r="11739" spans="3:4" x14ac:dyDescent="0.25">
      <c r="C11739" s="27"/>
      <c r="D11739" s="27"/>
    </row>
    <row r="11740" spans="3:4" x14ac:dyDescent="0.25">
      <c r="C11740" s="27"/>
      <c r="D11740" s="27"/>
    </row>
    <row r="11741" spans="3:4" x14ac:dyDescent="0.25">
      <c r="C11741" s="27"/>
      <c r="D11741" s="27"/>
    </row>
    <row r="11742" spans="3:4" x14ac:dyDescent="0.25">
      <c r="C11742" s="27"/>
      <c r="D11742" s="27"/>
    </row>
    <row r="11743" spans="3:4" x14ac:dyDescent="0.25">
      <c r="C11743" s="27"/>
      <c r="D11743" s="27"/>
    </row>
    <row r="11744" spans="3:4" x14ac:dyDescent="0.25">
      <c r="C11744" s="27"/>
      <c r="D11744" s="27"/>
    </row>
    <row r="11745" spans="3:4" x14ac:dyDescent="0.25">
      <c r="C11745" s="27"/>
      <c r="D11745" s="27"/>
    </row>
    <row r="11746" spans="3:4" x14ac:dyDescent="0.25">
      <c r="C11746" s="27"/>
      <c r="D11746" s="27"/>
    </row>
    <row r="11747" spans="3:4" x14ac:dyDescent="0.25">
      <c r="C11747" s="27"/>
      <c r="D11747" s="27"/>
    </row>
    <row r="11748" spans="3:4" x14ac:dyDescent="0.25">
      <c r="C11748" s="27"/>
      <c r="D11748" s="27"/>
    </row>
    <row r="11749" spans="3:4" x14ac:dyDescent="0.25">
      <c r="C11749" s="27"/>
      <c r="D11749" s="27"/>
    </row>
    <row r="11750" spans="3:4" x14ac:dyDescent="0.25">
      <c r="C11750" s="27"/>
      <c r="D11750" s="27"/>
    </row>
    <row r="11751" spans="3:4" x14ac:dyDescent="0.25">
      <c r="C11751" s="27"/>
      <c r="D11751" s="27"/>
    </row>
    <row r="11752" spans="3:4" x14ac:dyDescent="0.25">
      <c r="C11752" s="27"/>
      <c r="D11752" s="27"/>
    </row>
    <row r="11753" spans="3:4" x14ac:dyDescent="0.25">
      <c r="C11753" s="27"/>
      <c r="D11753" s="27"/>
    </row>
    <row r="11754" spans="3:4" x14ac:dyDescent="0.25">
      <c r="C11754" s="27"/>
      <c r="D11754" s="27"/>
    </row>
    <row r="11755" spans="3:4" x14ac:dyDescent="0.25">
      <c r="C11755" s="27"/>
      <c r="D11755" s="27"/>
    </row>
    <row r="11756" spans="3:4" x14ac:dyDescent="0.25">
      <c r="C11756" s="27"/>
      <c r="D11756" s="27"/>
    </row>
    <row r="11757" spans="3:4" x14ac:dyDescent="0.25">
      <c r="C11757" s="27"/>
      <c r="D11757" s="27"/>
    </row>
    <row r="11758" spans="3:4" x14ac:dyDescent="0.25">
      <c r="C11758" s="27"/>
      <c r="D11758" s="27"/>
    </row>
    <row r="11759" spans="3:4" x14ac:dyDescent="0.25">
      <c r="C11759" s="27"/>
      <c r="D11759" s="27"/>
    </row>
    <row r="11760" spans="3:4" x14ac:dyDescent="0.25">
      <c r="C11760" s="27"/>
      <c r="D11760" s="27"/>
    </row>
    <row r="11761" spans="3:4" x14ac:dyDescent="0.25">
      <c r="C11761" s="27"/>
      <c r="D11761" s="27"/>
    </row>
    <row r="11762" spans="3:4" x14ac:dyDescent="0.25">
      <c r="C11762" s="27"/>
      <c r="D11762" s="27"/>
    </row>
    <row r="11763" spans="3:4" x14ac:dyDescent="0.25">
      <c r="C11763" s="27"/>
      <c r="D11763" s="27"/>
    </row>
    <row r="11764" spans="3:4" x14ac:dyDescent="0.25">
      <c r="C11764" s="27"/>
      <c r="D11764" s="27"/>
    </row>
    <row r="11765" spans="3:4" x14ac:dyDescent="0.25">
      <c r="C11765" s="27"/>
      <c r="D11765" s="27"/>
    </row>
    <row r="11766" spans="3:4" x14ac:dyDescent="0.25">
      <c r="C11766" s="27"/>
      <c r="D11766" s="27"/>
    </row>
    <row r="11767" spans="3:4" x14ac:dyDescent="0.25">
      <c r="C11767" s="27"/>
      <c r="D11767" s="27"/>
    </row>
    <row r="11768" spans="3:4" x14ac:dyDescent="0.25">
      <c r="C11768" s="27"/>
      <c r="D11768" s="27"/>
    </row>
    <row r="11769" spans="3:4" x14ac:dyDescent="0.25">
      <c r="C11769" s="27"/>
      <c r="D11769" s="27"/>
    </row>
    <row r="11770" spans="3:4" x14ac:dyDescent="0.25">
      <c r="C11770" s="27"/>
      <c r="D11770" s="27"/>
    </row>
    <row r="11771" spans="3:4" x14ac:dyDescent="0.25">
      <c r="C11771" s="27"/>
      <c r="D11771" s="27"/>
    </row>
    <row r="11772" spans="3:4" x14ac:dyDescent="0.25">
      <c r="C11772" s="27"/>
      <c r="D11772" s="27"/>
    </row>
    <row r="11773" spans="3:4" x14ac:dyDescent="0.25">
      <c r="C11773" s="27"/>
      <c r="D11773" s="27"/>
    </row>
    <row r="11774" spans="3:4" x14ac:dyDescent="0.25">
      <c r="C11774" s="27"/>
      <c r="D11774" s="27"/>
    </row>
    <row r="11775" spans="3:4" x14ac:dyDescent="0.25">
      <c r="C11775" s="27"/>
      <c r="D11775" s="27"/>
    </row>
    <row r="11776" spans="3:4" x14ac:dyDescent="0.25">
      <c r="C11776" s="27"/>
      <c r="D11776" s="27"/>
    </row>
    <row r="11777" spans="3:4" x14ac:dyDescent="0.25">
      <c r="C11777" s="27"/>
      <c r="D11777" s="27"/>
    </row>
    <row r="11778" spans="3:4" x14ac:dyDescent="0.25">
      <c r="C11778" s="27"/>
      <c r="D11778" s="27"/>
    </row>
    <row r="11779" spans="3:4" x14ac:dyDescent="0.25">
      <c r="C11779" s="27"/>
      <c r="D11779" s="27"/>
    </row>
    <row r="11780" spans="3:4" x14ac:dyDescent="0.25">
      <c r="C11780" s="27"/>
      <c r="D11780" s="27"/>
    </row>
    <row r="11781" spans="3:4" x14ac:dyDescent="0.25">
      <c r="C11781" s="27"/>
      <c r="D11781" s="27"/>
    </row>
    <row r="11782" spans="3:4" x14ac:dyDescent="0.25">
      <c r="C11782" s="27"/>
      <c r="D11782" s="27"/>
    </row>
    <row r="11783" spans="3:4" x14ac:dyDescent="0.25">
      <c r="C11783" s="27"/>
      <c r="D11783" s="27"/>
    </row>
    <row r="11784" spans="3:4" x14ac:dyDescent="0.25">
      <c r="C11784" s="27"/>
      <c r="D11784" s="27"/>
    </row>
    <row r="11785" spans="3:4" x14ac:dyDescent="0.25">
      <c r="C11785" s="27"/>
      <c r="D11785" s="27"/>
    </row>
    <row r="11786" spans="3:4" x14ac:dyDescent="0.25">
      <c r="C11786" s="27"/>
      <c r="D11786" s="27"/>
    </row>
    <row r="11787" spans="3:4" x14ac:dyDescent="0.25">
      <c r="C11787" s="27"/>
      <c r="D11787" s="27"/>
    </row>
    <row r="11788" spans="3:4" x14ac:dyDescent="0.25">
      <c r="C11788" s="27"/>
      <c r="D11788" s="27"/>
    </row>
    <row r="11789" spans="3:4" x14ac:dyDescent="0.25">
      <c r="C11789" s="27"/>
      <c r="D11789" s="27"/>
    </row>
    <row r="11790" spans="3:4" x14ac:dyDescent="0.25">
      <c r="C11790" s="27"/>
      <c r="D11790" s="27"/>
    </row>
    <row r="11791" spans="3:4" x14ac:dyDescent="0.25">
      <c r="C11791" s="27"/>
      <c r="D11791" s="27"/>
    </row>
    <row r="11792" spans="3:4" x14ac:dyDescent="0.25">
      <c r="C11792" s="27"/>
      <c r="D11792" s="27"/>
    </row>
    <row r="11793" spans="3:4" x14ac:dyDescent="0.25">
      <c r="C11793" s="27"/>
      <c r="D11793" s="27"/>
    </row>
    <row r="11794" spans="3:4" x14ac:dyDescent="0.25">
      <c r="C11794" s="27"/>
      <c r="D11794" s="27"/>
    </row>
    <row r="11795" spans="3:4" x14ac:dyDescent="0.25">
      <c r="C11795" s="27"/>
      <c r="D11795" s="27"/>
    </row>
    <row r="11796" spans="3:4" x14ac:dyDescent="0.25">
      <c r="C11796" s="27"/>
      <c r="D11796" s="27"/>
    </row>
    <row r="11797" spans="3:4" x14ac:dyDescent="0.25">
      <c r="C11797" s="27"/>
      <c r="D11797" s="27"/>
    </row>
    <row r="11798" spans="3:4" x14ac:dyDescent="0.25">
      <c r="C11798" s="27"/>
      <c r="D11798" s="27"/>
    </row>
    <row r="11799" spans="3:4" x14ac:dyDescent="0.25">
      <c r="C11799" s="27"/>
      <c r="D11799" s="27"/>
    </row>
    <row r="11800" spans="3:4" x14ac:dyDescent="0.25">
      <c r="C11800" s="27"/>
      <c r="D11800" s="27"/>
    </row>
    <row r="11801" spans="3:4" x14ac:dyDescent="0.25">
      <c r="C11801" s="27"/>
      <c r="D11801" s="27"/>
    </row>
    <row r="11802" spans="3:4" x14ac:dyDescent="0.25">
      <c r="C11802" s="27"/>
      <c r="D11802" s="27"/>
    </row>
    <row r="11803" spans="3:4" x14ac:dyDescent="0.25">
      <c r="C11803" s="27"/>
      <c r="D11803" s="27"/>
    </row>
    <row r="11804" spans="3:4" x14ac:dyDescent="0.25">
      <c r="C11804" s="27"/>
      <c r="D11804" s="27"/>
    </row>
    <row r="11805" spans="3:4" x14ac:dyDescent="0.25">
      <c r="C11805" s="27"/>
      <c r="D11805" s="27"/>
    </row>
    <row r="11806" spans="3:4" x14ac:dyDescent="0.25">
      <c r="C11806" s="27"/>
      <c r="D11806" s="27"/>
    </row>
    <row r="11807" spans="3:4" x14ac:dyDescent="0.25">
      <c r="C11807" s="27"/>
      <c r="D11807" s="27"/>
    </row>
    <row r="11808" spans="3:4" x14ac:dyDescent="0.25">
      <c r="C11808" s="27"/>
      <c r="D11808" s="27"/>
    </row>
    <row r="11809" spans="3:4" x14ac:dyDescent="0.25">
      <c r="C11809" s="27"/>
      <c r="D11809" s="27"/>
    </row>
    <row r="11810" spans="3:4" x14ac:dyDescent="0.25">
      <c r="C11810" s="27"/>
      <c r="D11810" s="27"/>
    </row>
    <row r="11811" spans="3:4" x14ac:dyDescent="0.25">
      <c r="C11811" s="27"/>
      <c r="D11811" s="27"/>
    </row>
    <row r="11812" spans="3:4" x14ac:dyDescent="0.25">
      <c r="C11812" s="27"/>
      <c r="D11812" s="27"/>
    </row>
    <row r="11813" spans="3:4" x14ac:dyDescent="0.25">
      <c r="C11813" s="27"/>
      <c r="D11813" s="27"/>
    </row>
    <row r="11814" spans="3:4" x14ac:dyDescent="0.25">
      <c r="C11814" s="27"/>
      <c r="D11814" s="27"/>
    </row>
    <row r="11815" spans="3:4" x14ac:dyDescent="0.25">
      <c r="C11815" s="27"/>
      <c r="D11815" s="27"/>
    </row>
    <row r="11816" spans="3:4" x14ac:dyDescent="0.25">
      <c r="C11816" s="27"/>
      <c r="D11816" s="27"/>
    </row>
    <row r="11817" spans="3:4" x14ac:dyDescent="0.25">
      <c r="C11817" s="27"/>
      <c r="D11817" s="27"/>
    </row>
    <row r="11818" spans="3:4" x14ac:dyDescent="0.25">
      <c r="C11818" s="27"/>
      <c r="D11818" s="27"/>
    </row>
    <row r="11819" spans="3:4" x14ac:dyDescent="0.25">
      <c r="C11819" s="27"/>
      <c r="D11819" s="27"/>
    </row>
    <row r="11820" spans="3:4" x14ac:dyDescent="0.25">
      <c r="C11820" s="27"/>
      <c r="D11820" s="27"/>
    </row>
    <row r="11821" spans="3:4" x14ac:dyDescent="0.25">
      <c r="C11821" s="27"/>
      <c r="D11821" s="27"/>
    </row>
    <row r="11822" spans="3:4" x14ac:dyDescent="0.25">
      <c r="C11822" s="27"/>
      <c r="D11822" s="27"/>
    </row>
    <row r="11823" spans="3:4" x14ac:dyDescent="0.25">
      <c r="C11823" s="27"/>
      <c r="D11823" s="27"/>
    </row>
    <row r="11824" spans="3:4" x14ac:dyDescent="0.25">
      <c r="C11824" s="27"/>
      <c r="D11824" s="27"/>
    </row>
    <row r="11825" spans="3:4" x14ac:dyDescent="0.25">
      <c r="C11825" s="27"/>
      <c r="D11825" s="27"/>
    </row>
    <row r="11826" spans="3:4" x14ac:dyDescent="0.25">
      <c r="C11826" s="27"/>
      <c r="D11826" s="27"/>
    </row>
    <row r="11827" spans="3:4" x14ac:dyDescent="0.25">
      <c r="C11827" s="27"/>
      <c r="D11827" s="27"/>
    </row>
    <row r="11828" spans="3:4" x14ac:dyDescent="0.25">
      <c r="C11828" s="27"/>
      <c r="D11828" s="27"/>
    </row>
    <row r="11829" spans="3:4" x14ac:dyDescent="0.25">
      <c r="C11829" s="27"/>
      <c r="D11829" s="27"/>
    </row>
    <row r="11830" spans="3:4" x14ac:dyDescent="0.25">
      <c r="C11830" s="27"/>
      <c r="D11830" s="27"/>
    </row>
    <row r="11831" spans="3:4" x14ac:dyDescent="0.25">
      <c r="C11831" s="27"/>
      <c r="D11831" s="27"/>
    </row>
    <row r="11832" spans="3:4" x14ac:dyDescent="0.25">
      <c r="C11832" s="27"/>
      <c r="D11832" s="27"/>
    </row>
    <row r="11833" spans="3:4" x14ac:dyDescent="0.25">
      <c r="C11833" s="27"/>
      <c r="D11833" s="27"/>
    </row>
    <row r="11834" spans="3:4" x14ac:dyDescent="0.25">
      <c r="C11834" s="27"/>
      <c r="D11834" s="27"/>
    </row>
    <row r="11835" spans="3:4" x14ac:dyDescent="0.25">
      <c r="C11835" s="27"/>
      <c r="D11835" s="27"/>
    </row>
    <row r="11836" spans="3:4" x14ac:dyDescent="0.25">
      <c r="C11836" s="27"/>
      <c r="D11836" s="27"/>
    </row>
    <row r="11837" spans="3:4" x14ac:dyDescent="0.25">
      <c r="C11837" s="27"/>
      <c r="D11837" s="27"/>
    </row>
    <row r="11838" spans="3:4" x14ac:dyDescent="0.25">
      <c r="C11838" s="27"/>
      <c r="D11838" s="27"/>
    </row>
    <row r="11839" spans="3:4" x14ac:dyDescent="0.25">
      <c r="C11839" s="27"/>
      <c r="D11839" s="27"/>
    </row>
    <row r="11840" spans="3:4" x14ac:dyDescent="0.25">
      <c r="C11840" s="27"/>
      <c r="D11840" s="27"/>
    </row>
    <row r="11841" spans="3:4" x14ac:dyDescent="0.25">
      <c r="C11841" s="27"/>
      <c r="D11841" s="27"/>
    </row>
    <row r="11842" spans="3:4" x14ac:dyDescent="0.25">
      <c r="C11842" s="27"/>
      <c r="D11842" s="27"/>
    </row>
    <row r="11843" spans="3:4" x14ac:dyDescent="0.25">
      <c r="C11843" s="27"/>
      <c r="D11843" s="27"/>
    </row>
    <row r="11844" spans="3:4" x14ac:dyDescent="0.25">
      <c r="C11844" s="27"/>
      <c r="D11844" s="27"/>
    </row>
    <row r="11845" spans="3:4" x14ac:dyDescent="0.25">
      <c r="C11845" s="27"/>
      <c r="D11845" s="27"/>
    </row>
    <row r="11846" spans="3:4" x14ac:dyDescent="0.25">
      <c r="C11846" s="27"/>
      <c r="D11846" s="27"/>
    </row>
    <row r="11847" spans="3:4" x14ac:dyDescent="0.25">
      <c r="C11847" s="27"/>
      <c r="D11847" s="27"/>
    </row>
    <row r="11848" spans="3:4" x14ac:dyDescent="0.25">
      <c r="C11848" s="27"/>
      <c r="D11848" s="27"/>
    </row>
    <row r="11849" spans="3:4" x14ac:dyDescent="0.25">
      <c r="C11849" s="27"/>
      <c r="D11849" s="27"/>
    </row>
    <row r="11850" spans="3:4" x14ac:dyDescent="0.25">
      <c r="C11850" s="27"/>
      <c r="D11850" s="27"/>
    </row>
    <row r="11851" spans="3:4" x14ac:dyDescent="0.25">
      <c r="C11851" s="27"/>
      <c r="D11851" s="27"/>
    </row>
    <row r="11852" spans="3:4" x14ac:dyDescent="0.25">
      <c r="C11852" s="27"/>
      <c r="D11852" s="27"/>
    </row>
    <row r="11853" spans="3:4" x14ac:dyDescent="0.25">
      <c r="C11853" s="27"/>
      <c r="D11853" s="27"/>
    </row>
    <row r="11854" spans="3:4" x14ac:dyDescent="0.25">
      <c r="C11854" s="27"/>
      <c r="D11854" s="27"/>
    </row>
    <row r="11855" spans="3:4" x14ac:dyDescent="0.25">
      <c r="C11855" s="27"/>
      <c r="D11855" s="27"/>
    </row>
    <row r="11856" spans="3:4" x14ac:dyDescent="0.25">
      <c r="C11856" s="27"/>
      <c r="D11856" s="27"/>
    </row>
    <row r="11857" spans="3:4" x14ac:dyDescent="0.25">
      <c r="C11857" s="27"/>
      <c r="D11857" s="27"/>
    </row>
    <row r="11858" spans="3:4" x14ac:dyDescent="0.25">
      <c r="C11858" s="27"/>
      <c r="D11858" s="27"/>
    </row>
    <row r="11859" spans="3:4" x14ac:dyDescent="0.25">
      <c r="C11859" s="27"/>
      <c r="D11859" s="27"/>
    </row>
    <row r="11860" spans="3:4" x14ac:dyDescent="0.25">
      <c r="C11860" s="27"/>
      <c r="D11860" s="27"/>
    </row>
    <row r="11861" spans="3:4" x14ac:dyDescent="0.25">
      <c r="C11861" s="27"/>
      <c r="D11861" s="27"/>
    </row>
    <row r="11862" spans="3:4" x14ac:dyDescent="0.25">
      <c r="C11862" s="27"/>
      <c r="D11862" s="27"/>
    </row>
    <row r="11863" spans="3:4" x14ac:dyDescent="0.25">
      <c r="C11863" s="27"/>
      <c r="D11863" s="27"/>
    </row>
    <row r="11864" spans="3:4" x14ac:dyDescent="0.25">
      <c r="C11864" s="27"/>
      <c r="D11864" s="27"/>
    </row>
    <row r="11865" spans="3:4" x14ac:dyDescent="0.25">
      <c r="C11865" s="27"/>
      <c r="D11865" s="27"/>
    </row>
    <row r="11866" spans="3:4" x14ac:dyDescent="0.25">
      <c r="C11866" s="27"/>
      <c r="D11866" s="27"/>
    </row>
    <row r="11867" spans="3:4" x14ac:dyDescent="0.25">
      <c r="C11867" s="27"/>
      <c r="D11867" s="27"/>
    </row>
    <row r="11868" spans="3:4" x14ac:dyDescent="0.25">
      <c r="C11868" s="27"/>
      <c r="D11868" s="27"/>
    </row>
    <row r="11869" spans="3:4" x14ac:dyDescent="0.25">
      <c r="C11869" s="27"/>
      <c r="D11869" s="27"/>
    </row>
    <row r="11870" spans="3:4" x14ac:dyDescent="0.25">
      <c r="C11870" s="27"/>
      <c r="D11870" s="27"/>
    </row>
    <row r="11871" spans="3:4" x14ac:dyDescent="0.25">
      <c r="C11871" s="27"/>
      <c r="D11871" s="27"/>
    </row>
    <row r="11872" spans="3:4" x14ac:dyDescent="0.25">
      <c r="C11872" s="27"/>
      <c r="D11872" s="27"/>
    </row>
    <row r="11873" spans="3:4" x14ac:dyDescent="0.25">
      <c r="C11873" s="27"/>
      <c r="D11873" s="27"/>
    </row>
    <row r="11874" spans="3:4" x14ac:dyDescent="0.25">
      <c r="C11874" s="27"/>
      <c r="D11874" s="27"/>
    </row>
    <row r="11875" spans="3:4" x14ac:dyDescent="0.25">
      <c r="C11875" s="27"/>
      <c r="D11875" s="27"/>
    </row>
    <row r="11876" spans="3:4" x14ac:dyDescent="0.25">
      <c r="C11876" s="27"/>
      <c r="D11876" s="27"/>
    </row>
    <row r="11877" spans="3:4" x14ac:dyDescent="0.25">
      <c r="C11877" s="27"/>
      <c r="D11877" s="27"/>
    </row>
    <row r="11878" spans="3:4" x14ac:dyDescent="0.25">
      <c r="C11878" s="27"/>
      <c r="D11878" s="27"/>
    </row>
    <row r="11879" spans="3:4" x14ac:dyDescent="0.25">
      <c r="C11879" s="27"/>
      <c r="D11879" s="27"/>
    </row>
    <row r="11880" spans="3:4" x14ac:dyDescent="0.25">
      <c r="C11880" s="27"/>
      <c r="D11880" s="27"/>
    </row>
    <row r="11881" spans="3:4" x14ac:dyDescent="0.25">
      <c r="C11881" s="27"/>
      <c r="D11881" s="27"/>
    </row>
    <row r="11882" spans="3:4" x14ac:dyDescent="0.25">
      <c r="C11882" s="27"/>
      <c r="D11882" s="27"/>
    </row>
    <row r="11883" spans="3:4" x14ac:dyDescent="0.25">
      <c r="C11883" s="27"/>
      <c r="D11883" s="27"/>
    </row>
    <row r="11884" spans="3:4" x14ac:dyDescent="0.25">
      <c r="C11884" s="27"/>
      <c r="D11884" s="27"/>
    </row>
    <row r="11885" spans="3:4" x14ac:dyDescent="0.25">
      <c r="C11885" s="27"/>
      <c r="D11885" s="27"/>
    </row>
    <row r="11886" spans="3:4" x14ac:dyDescent="0.25">
      <c r="C11886" s="27"/>
      <c r="D11886" s="27"/>
    </row>
    <row r="11887" spans="3:4" x14ac:dyDescent="0.25">
      <c r="C11887" s="27"/>
      <c r="D11887" s="27"/>
    </row>
    <row r="11888" spans="3:4" x14ac:dyDescent="0.25">
      <c r="C11888" s="27"/>
      <c r="D11888" s="27"/>
    </row>
    <row r="11889" spans="3:4" x14ac:dyDescent="0.25">
      <c r="C11889" s="27"/>
      <c r="D11889" s="27"/>
    </row>
    <row r="11890" spans="3:4" x14ac:dyDescent="0.25">
      <c r="C11890" s="27"/>
      <c r="D11890" s="27"/>
    </row>
    <row r="11891" spans="3:4" x14ac:dyDescent="0.25">
      <c r="C11891" s="27"/>
      <c r="D11891" s="27"/>
    </row>
    <row r="11892" spans="3:4" x14ac:dyDescent="0.25">
      <c r="C11892" s="27"/>
      <c r="D11892" s="27"/>
    </row>
    <row r="11893" spans="3:4" x14ac:dyDescent="0.25">
      <c r="C11893" s="27"/>
      <c r="D11893" s="27"/>
    </row>
    <row r="11894" spans="3:4" x14ac:dyDescent="0.25">
      <c r="C11894" s="27"/>
      <c r="D11894" s="27"/>
    </row>
    <row r="11895" spans="3:4" x14ac:dyDescent="0.25">
      <c r="C11895" s="27"/>
      <c r="D11895" s="27"/>
    </row>
    <row r="11896" spans="3:4" x14ac:dyDescent="0.25">
      <c r="C11896" s="27"/>
      <c r="D11896" s="27"/>
    </row>
    <row r="11897" spans="3:4" x14ac:dyDescent="0.25">
      <c r="C11897" s="27"/>
      <c r="D11897" s="27"/>
    </row>
    <row r="11898" spans="3:4" x14ac:dyDescent="0.25">
      <c r="C11898" s="27"/>
      <c r="D11898" s="27"/>
    </row>
    <row r="11899" spans="3:4" x14ac:dyDescent="0.25">
      <c r="C11899" s="27"/>
      <c r="D11899" s="27"/>
    </row>
    <row r="11900" spans="3:4" x14ac:dyDescent="0.25">
      <c r="C11900" s="27"/>
      <c r="D11900" s="27"/>
    </row>
    <row r="11901" spans="3:4" x14ac:dyDescent="0.25">
      <c r="C11901" s="27"/>
      <c r="D11901" s="27"/>
    </row>
    <row r="11902" spans="3:4" x14ac:dyDescent="0.25">
      <c r="C11902" s="27"/>
      <c r="D11902" s="27"/>
    </row>
    <row r="11966" spans="3:4" x14ac:dyDescent="0.25">
      <c r="C11966" s="27"/>
      <c r="D11966" s="27"/>
    </row>
    <row r="11967" spans="3:4" x14ac:dyDescent="0.25">
      <c r="C11967" s="27"/>
      <c r="D11967" s="27"/>
    </row>
    <row r="11968" spans="3:4" x14ac:dyDescent="0.25">
      <c r="C11968" s="27"/>
      <c r="D11968" s="27"/>
    </row>
    <row r="11969" spans="3:4" x14ac:dyDescent="0.25">
      <c r="C11969" s="27"/>
      <c r="D11969" s="27"/>
    </row>
    <row r="11970" spans="3:4" x14ac:dyDescent="0.25">
      <c r="C11970" s="27"/>
      <c r="D11970" s="27"/>
    </row>
    <row r="11971" spans="3:4" x14ac:dyDescent="0.25">
      <c r="C11971" s="27"/>
      <c r="D11971" s="27"/>
    </row>
    <row r="11972" spans="3:4" x14ac:dyDescent="0.25">
      <c r="C11972" s="27"/>
      <c r="D11972" s="27"/>
    </row>
    <row r="11973" spans="3:4" x14ac:dyDescent="0.25">
      <c r="C11973" s="27"/>
      <c r="D11973" s="27"/>
    </row>
    <row r="11974" spans="3:4" x14ac:dyDescent="0.25">
      <c r="C11974" s="27"/>
      <c r="D11974" s="27"/>
    </row>
    <row r="11975" spans="3:4" x14ac:dyDescent="0.25">
      <c r="C11975" s="27"/>
      <c r="D11975" s="27"/>
    </row>
    <row r="11976" spans="3:4" x14ac:dyDescent="0.25">
      <c r="C11976" s="27"/>
      <c r="D11976" s="27"/>
    </row>
    <row r="11977" spans="3:4" x14ac:dyDescent="0.25">
      <c r="C11977" s="27"/>
      <c r="D11977" s="27"/>
    </row>
    <row r="11978" spans="3:4" x14ac:dyDescent="0.25">
      <c r="C11978" s="27"/>
      <c r="D11978" s="27"/>
    </row>
    <row r="11979" spans="3:4" x14ac:dyDescent="0.25">
      <c r="C11979" s="27"/>
      <c r="D11979" s="27"/>
    </row>
    <row r="11980" spans="3:4" x14ac:dyDescent="0.25">
      <c r="C11980" s="27"/>
      <c r="D11980" s="27"/>
    </row>
    <row r="11981" spans="3:4" x14ac:dyDescent="0.25">
      <c r="C11981" s="27"/>
      <c r="D11981" s="27"/>
    </row>
    <row r="11982" spans="3:4" x14ac:dyDescent="0.25">
      <c r="C11982" s="27"/>
      <c r="D11982" s="27"/>
    </row>
    <row r="11983" spans="3:4" x14ac:dyDescent="0.25">
      <c r="C11983" s="27"/>
      <c r="D11983" s="27"/>
    </row>
    <row r="11984" spans="3:4" x14ac:dyDescent="0.25">
      <c r="C11984" s="27"/>
      <c r="D11984" s="27"/>
    </row>
    <row r="11985" spans="3:4" x14ac:dyDescent="0.25">
      <c r="C11985" s="27"/>
      <c r="D11985" s="27"/>
    </row>
    <row r="11996" spans="3:4" x14ac:dyDescent="0.25">
      <c r="C11996" s="27"/>
      <c r="D11996" s="27"/>
    </row>
    <row r="11997" spans="3:4" x14ac:dyDescent="0.25">
      <c r="C11997" s="27"/>
      <c r="D11997" s="27"/>
    </row>
    <row r="11998" spans="3:4" x14ac:dyDescent="0.25">
      <c r="C11998" s="27"/>
      <c r="D11998" s="27"/>
    </row>
    <row r="11999" spans="3:4" x14ac:dyDescent="0.25">
      <c r="C11999" s="27"/>
      <c r="D11999" s="27"/>
    </row>
    <row r="12000" spans="3:4" x14ac:dyDescent="0.25">
      <c r="C12000" s="27"/>
      <c r="D12000" s="27"/>
    </row>
    <row r="12001" spans="3:4" x14ac:dyDescent="0.25">
      <c r="C12001" s="27"/>
      <c r="D12001" s="27"/>
    </row>
    <row r="12002" spans="3:4" x14ac:dyDescent="0.25">
      <c r="C12002" s="27"/>
      <c r="D12002" s="27"/>
    </row>
    <row r="12003" spans="3:4" x14ac:dyDescent="0.25">
      <c r="C12003" s="27"/>
      <c r="D12003" s="27"/>
    </row>
    <row r="12007" spans="3:4" x14ac:dyDescent="0.25">
      <c r="C12007" s="27"/>
      <c r="D12007" s="27"/>
    </row>
    <row r="12008" spans="3:4" x14ac:dyDescent="0.25">
      <c r="C12008" s="27"/>
      <c r="D12008" s="27"/>
    </row>
    <row r="12009" spans="3:4" x14ac:dyDescent="0.25">
      <c r="C12009" s="27"/>
      <c r="D12009" s="27"/>
    </row>
    <row r="12010" spans="3:4" x14ac:dyDescent="0.25">
      <c r="C12010" s="27"/>
      <c r="D12010" s="27"/>
    </row>
    <row r="12011" spans="3:4" x14ac:dyDescent="0.25">
      <c r="C12011" s="27"/>
      <c r="D12011" s="27"/>
    </row>
    <row r="12012" spans="3:4" x14ac:dyDescent="0.25">
      <c r="C12012" s="27"/>
      <c r="D12012" s="27"/>
    </row>
    <row r="12013" spans="3:4" x14ac:dyDescent="0.25">
      <c r="C12013" s="27"/>
      <c r="D12013" s="27"/>
    </row>
    <row r="12014" spans="3:4" x14ac:dyDescent="0.25">
      <c r="C12014" s="27"/>
      <c r="D12014" s="27"/>
    </row>
    <row r="12015" spans="3:4" x14ac:dyDescent="0.25">
      <c r="C12015" s="27"/>
      <c r="D12015" s="27"/>
    </row>
    <row r="12041" spans="3:4" x14ac:dyDescent="0.25">
      <c r="C12041" s="27"/>
      <c r="D12041" s="27"/>
    </row>
    <row r="12042" spans="3:4" x14ac:dyDescent="0.25">
      <c r="C12042" s="27"/>
      <c r="D12042" s="27"/>
    </row>
    <row r="12043" spans="3:4" x14ac:dyDescent="0.25">
      <c r="C12043" s="27"/>
      <c r="D12043" s="27"/>
    </row>
    <row r="12044" spans="3:4" x14ac:dyDescent="0.25">
      <c r="C12044" s="27"/>
      <c r="D12044" s="27"/>
    </row>
    <row r="12045" spans="3:4" x14ac:dyDescent="0.25">
      <c r="C12045" s="27"/>
      <c r="D12045" s="27"/>
    </row>
    <row r="12046" spans="3:4" x14ac:dyDescent="0.25">
      <c r="C12046" s="27"/>
      <c r="D12046" s="27"/>
    </row>
    <row r="12047" spans="3:4" x14ac:dyDescent="0.25">
      <c r="C12047" s="27"/>
      <c r="D12047" s="27"/>
    </row>
    <row r="12061" spans="3:4" x14ac:dyDescent="0.25">
      <c r="C12061" s="27"/>
      <c r="D12061" s="27"/>
    </row>
    <row r="12062" spans="3:4" x14ac:dyDescent="0.25">
      <c r="C12062" s="27"/>
      <c r="D12062" s="27"/>
    </row>
    <row r="12063" spans="3:4" x14ac:dyDescent="0.25">
      <c r="C12063" s="27"/>
      <c r="D12063" s="27"/>
    </row>
    <row r="12064" spans="3:4" x14ac:dyDescent="0.25">
      <c r="C12064" s="27"/>
      <c r="D12064" s="27"/>
    </row>
    <row r="12065" spans="3:4" x14ac:dyDescent="0.25">
      <c r="C12065" s="27"/>
      <c r="D12065" s="27"/>
    </row>
    <row r="12084" spans="3:4" x14ac:dyDescent="0.25">
      <c r="C12084" s="27"/>
      <c r="D12084" s="27"/>
    </row>
    <row r="12085" spans="3:4" x14ac:dyDescent="0.25">
      <c r="C12085" s="27"/>
      <c r="D12085" s="27"/>
    </row>
    <row r="12086" spans="3:4" x14ac:dyDescent="0.25">
      <c r="C12086" s="27"/>
      <c r="D12086" s="27"/>
    </row>
    <row r="12087" spans="3:4" x14ac:dyDescent="0.25">
      <c r="C12087" s="27"/>
      <c r="D12087" s="27"/>
    </row>
    <row r="12088" spans="3:4" x14ac:dyDescent="0.25">
      <c r="C12088" s="27"/>
      <c r="D12088" s="27"/>
    </row>
    <row r="12125" spans="3:4" x14ac:dyDescent="0.25">
      <c r="C12125" s="27"/>
      <c r="D12125" s="27"/>
    </row>
    <row r="12126" spans="3:4" x14ac:dyDescent="0.25">
      <c r="C12126" s="27"/>
      <c r="D12126" s="27"/>
    </row>
    <row r="12127" spans="3:4" x14ac:dyDescent="0.25">
      <c r="C12127" s="27"/>
      <c r="D12127" s="27"/>
    </row>
    <row r="12128" spans="3:4" x14ac:dyDescent="0.25">
      <c r="C12128" s="27"/>
      <c r="D12128" s="27"/>
    </row>
    <row r="12129" spans="3:4" x14ac:dyDescent="0.25">
      <c r="C12129" s="27"/>
      <c r="D12129" s="27"/>
    </row>
    <row r="12130" spans="3:4" x14ac:dyDescent="0.25">
      <c r="C12130" s="27"/>
      <c r="D12130" s="27"/>
    </row>
    <row r="12131" spans="3:4" x14ac:dyDescent="0.25">
      <c r="C12131" s="27"/>
      <c r="D12131" s="27"/>
    </row>
    <row r="12132" spans="3:4" x14ac:dyDescent="0.25">
      <c r="C12132" s="27"/>
      <c r="D12132" s="27"/>
    </row>
    <row r="12133" spans="3:4" x14ac:dyDescent="0.25">
      <c r="C12133" s="27"/>
      <c r="D12133" s="27"/>
    </row>
    <row r="12134" spans="3:4" x14ac:dyDescent="0.25">
      <c r="C12134" s="27"/>
      <c r="D12134" s="27"/>
    </row>
    <row r="12135" spans="3:4" x14ac:dyDescent="0.25">
      <c r="C12135" s="27"/>
      <c r="D12135" s="27"/>
    </row>
    <row r="12136" spans="3:4" x14ac:dyDescent="0.25">
      <c r="C12136" s="27"/>
      <c r="D12136" s="27"/>
    </row>
    <row r="12137" spans="3:4" x14ac:dyDescent="0.25">
      <c r="C12137" s="27"/>
      <c r="D12137" s="27"/>
    </row>
    <row r="12138" spans="3:4" x14ac:dyDescent="0.25">
      <c r="C12138" s="27"/>
      <c r="D12138" s="27"/>
    </row>
    <row r="12139" spans="3:4" x14ac:dyDescent="0.25">
      <c r="C12139" s="27"/>
      <c r="D12139" s="27"/>
    </row>
    <row r="12140" spans="3:4" x14ac:dyDescent="0.25">
      <c r="C12140" s="27"/>
      <c r="D12140" s="27"/>
    </row>
    <row r="12141" spans="3:4" x14ac:dyDescent="0.25">
      <c r="C12141" s="27"/>
      <c r="D12141" s="27"/>
    </row>
    <row r="12142" spans="3:4" x14ac:dyDescent="0.25">
      <c r="C12142" s="27"/>
      <c r="D12142" s="27"/>
    </row>
    <row r="12143" spans="3:4" x14ac:dyDescent="0.25">
      <c r="C12143" s="27"/>
      <c r="D12143" s="27"/>
    </row>
    <row r="12144" spans="3:4" x14ac:dyDescent="0.25">
      <c r="C12144" s="27"/>
      <c r="D12144" s="27"/>
    </row>
    <row r="12145" spans="3:4" x14ac:dyDescent="0.25">
      <c r="C12145" s="27"/>
      <c r="D12145" s="27"/>
    </row>
    <row r="12146" spans="3:4" x14ac:dyDescent="0.25">
      <c r="C12146" s="27"/>
      <c r="D12146" s="27"/>
    </row>
    <row r="12147" spans="3:4" x14ac:dyDescent="0.25">
      <c r="C12147" s="27"/>
      <c r="D12147" s="27"/>
    </row>
    <row r="12148" spans="3:4" x14ac:dyDescent="0.25">
      <c r="C12148" s="27"/>
      <c r="D12148" s="27"/>
    </row>
    <row r="12149" spans="3:4" x14ac:dyDescent="0.25">
      <c r="C12149" s="27"/>
      <c r="D12149" s="27"/>
    </row>
    <row r="12150" spans="3:4" x14ac:dyDescent="0.25">
      <c r="C12150" s="27"/>
      <c r="D12150" s="27"/>
    </row>
    <row r="12151" spans="3:4" x14ac:dyDescent="0.25">
      <c r="C12151" s="27"/>
      <c r="D12151" s="27"/>
    </row>
    <row r="12152" spans="3:4" x14ac:dyDescent="0.25">
      <c r="C12152" s="27"/>
      <c r="D12152" s="27"/>
    </row>
    <row r="12153" spans="3:4" x14ac:dyDescent="0.25">
      <c r="C12153" s="27"/>
      <c r="D12153" s="27"/>
    </row>
    <row r="12154" spans="3:4" x14ac:dyDescent="0.25">
      <c r="C12154" s="27"/>
      <c r="D12154" s="27"/>
    </row>
    <row r="12155" spans="3:4" x14ac:dyDescent="0.25">
      <c r="C12155" s="27"/>
      <c r="D12155" s="27"/>
    </row>
    <row r="12156" spans="3:4" x14ac:dyDescent="0.25">
      <c r="C12156" s="27"/>
      <c r="D12156" s="27"/>
    </row>
    <row r="12157" spans="3:4" x14ac:dyDescent="0.25">
      <c r="C12157" s="27"/>
      <c r="D12157" s="27"/>
    </row>
    <row r="12158" spans="3:4" x14ac:dyDescent="0.25">
      <c r="C12158" s="27"/>
      <c r="D12158" s="27"/>
    </row>
    <row r="12159" spans="3:4" x14ac:dyDescent="0.25">
      <c r="C12159" s="27"/>
      <c r="D12159" s="27"/>
    </row>
    <row r="12160" spans="3:4" x14ac:dyDescent="0.25">
      <c r="C12160" s="27"/>
      <c r="D12160" s="27"/>
    </row>
    <row r="12161" spans="3:4" x14ac:dyDescent="0.25">
      <c r="C12161" s="27"/>
      <c r="D12161" s="27"/>
    </row>
    <row r="12175" spans="3:4" x14ac:dyDescent="0.25">
      <c r="C12175" s="27"/>
      <c r="D12175" s="27"/>
    </row>
    <row r="12176" spans="3:4" x14ac:dyDescent="0.25">
      <c r="C12176" s="27"/>
      <c r="D12176" s="27"/>
    </row>
    <row r="12177" spans="3:4" x14ac:dyDescent="0.25">
      <c r="C12177" s="27"/>
      <c r="D12177" s="27"/>
    </row>
    <row r="12178" spans="3:4" x14ac:dyDescent="0.25">
      <c r="C12178" s="27"/>
      <c r="D12178" s="27"/>
    </row>
    <row r="12179" spans="3:4" x14ac:dyDescent="0.25">
      <c r="C12179" s="27"/>
      <c r="D12179" s="27"/>
    </row>
    <row r="12180" spans="3:4" x14ac:dyDescent="0.25">
      <c r="C12180" s="27"/>
      <c r="D12180" s="27"/>
    </row>
    <row r="12181" spans="3:4" x14ac:dyDescent="0.25">
      <c r="C12181" s="27"/>
      <c r="D12181" s="27"/>
    </row>
    <row r="12182" spans="3:4" x14ac:dyDescent="0.25">
      <c r="C12182" s="27"/>
      <c r="D12182" s="27"/>
    </row>
    <row r="12183" spans="3:4" x14ac:dyDescent="0.25">
      <c r="C12183" s="27"/>
      <c r="D12183" s="27"/>
    </row>
    <row r="12184" spans="3:4" x14ac:dyDescent="0.25">
      <c r="C12184" s="27"/>
      <c r="D12184" s="27"/>
    </row>
    <row r="12185" spans="3:4" x14ac:dyDescent="0.25">
      <c r="C12185" s="27"/>
      <c r="D12185" s="27"/>
    </row>
    <row r="12186" spans="3:4" x14ac:dyDescent="0.25">
      <c r="C12186" s="27"/>
      <c r="D12186" s="27"/>
    </row>
    <row r="12187" spans="3:4" x14ac:dyDescent="0.25">
      <c r="C12187" s="27"/>
      <c r="D12187" s="27"/>
    </row>
    <row r="12188" spans="3:4" x14ac:dyDescent="0.25">
      <c r="C12188" s="27"/>
      <c r="D12188" s="27"/>
    </row>
    <row r="12189" spans="3:4" x14ac:dyDescent="0.25">
      <c r="C12189" s="27"/>
      <c r="D12189" s="27"/>
    </row>
    <row r="12190" spans="3:4" x14ac:dyDescent="0.25">
      <c r="C12190" s="27"/>
      <c r="D12190" s="27"/>
    </row>
    <row r="12191" spans="3:4" x14ac:dyDescent="0.25">
      <c r="C12191" s="27"/>
      <c r="D12191" s="27"/>
    </row>
    <row r="12192" spans="3:4" x14ac:dyDescent="0.25">
      <c r="C12192" s="27"/>
      <c r="D12192" s="27"/>
    </row>
    <row r="12193" spans="3:4" x14ac:dyDescent="0.25">
      <c r="C12193" s="27"/>
      <c r="D12193" s="27"/>
    </row>
    <row r="12194" spans="3:4" x14ac:dyDescent="0.25">
      <c r="C12194" s="27"/>
      <c r="D12194" s="27"/>
    </row>
    <row r="12195" spans="3:4" x14ac:dyDescent="0.25">
      <c r="C12195" s="27"/>
      <c r="D12195" s="27"/>
    </row>
    <row r="12196" spans="3:4" x14ac:dyDescent="0.25">
      <c r="C12196" s="27"/>
      <c r="D12196" s="27"/>
    </row>
    <row r="12226" spans="3:4" x14ac:dyDescent="0.25">
      <c r="C12226" s="27"/>
      <c r="D12226" s="27"/>
    </row>
    <row r="12227" spans="3:4" x14ac:dyDescent="0.25">
      <c r="C12227" s="27"/>
      <c r="D12227" s="27"/>
    </row>
    <row r="12228" spans="3:4" x14ac:dyDescent="0.25">
      <c r="C12228" s="27"/>
      <c r="D12228" s="27"/>
    </row>
    <row r="12229" spans="3:4" x14ac:dyDescent="0.25">
      <c r="C12229" s="27"/>
      <c r="D12229" s="27"/>
    </row>
    <row r="12230" spans="3:4" x14ac:dyDescent="0.25">
      <c r="C12230" s="27"/>
      <c r="D12230" s="27"/>
    </row>
    <row r="12231" spans="3:4" x14ac:dyDescent="0.25">
      <c r="C12231" s="27"/>
      <c r="D12231" s="27"/>
    </row>
    <row r="12232" spans="3:4" x14ac:dyDescent="0.25">
      <c r="C12232" s="27"/>
      <c r="D12232" s="27"/>
    </row>
    <row r="12233" spans="3:4" x14ac:dyDescent="0.25">
      <c r="C12233" s="27"/>
      <c r="D12233" s="27"/>
    </row>
    <row r="12234" spans="3:4" x14ac:dyDescent="0.25">
      <c r="C12234" s="27"/>
      <c r="D12234" s="27"/>
    </row>
    <row r="12235" spans="3:4" x14ac:dyDescent="0.25">
      <c r="C12235" s="27"/>
      <c r="D12235" s="27"/>
    </row>
    <row r="12236" spans="3:4" x14ac:dyDescent="0.25">
      <c r="C12236" s="27"/>
      <c r="D12236" s="27"/>
    </row>
    <row r="12237" spans="3:4" x14ac:dyDescent="0.25">
      <c r="C12237" s="27"/>
      <c r="D12237" s="27"/>
    </row>
    <row r="12238" spans="3:4" x14ac:dyDescent="0.25">
      <c r="C12238" s="27"/>
      <c r="D12238" s="27"/>
    </row>
    <row r="12239" spans="3:4" x14ac:dyDescent="0.25">
      <c r="C12239" s="27"/>
      <c r="D12239" s="27"/>
    </row>
    <row r="12240" spans="3:4" x14ac:dyDescent="0.25">
      <c r="C12240" s="27"/>
      <c r="D12240" s="27"/>
    </row>
    <row r="12241" spans="3:4" x14ac:dyDescent="0.25">
      <c r="C12241" s="27"/>
      <c r="D12241" s="27"/>
    </row>
    <row r="12275" spans="3:4" x14ac:dyDescent="0.25">
      <c r="C12275" s="27"/>
      <c r="D12275" s="27"/>
    </row>
    <row r="12276" spans="3:4" x14ac:dyDescent="0.25">
      <c r="C12276" s="27"/>
      <c r="D12276" s="27"/>
    </row>
    <row r="12277" spans="3:4" x14ac:dyDescent="0.25">
      <c r="C12277" s="27"/>
      <c r="D12277" s="27"/>
    </row>
    <row r="12278" spans="3:4" x14ac:dyDescent="0.25">
      <c r="C12278" s="27"/>
      <c r="D12278" s="27"/>
    </row>
    <row r="12279" spans="3:4" x14ac:dyDescent="0.25">
      <c r="C12279" s="27"/>
      <c r="D12279" s="27"/>
    </row>
    <row r="12280" spans="3:4" x14ac:dyDescent="0.25">
      <c r="C12280" s="27"/>
      <c r="D12280" s="27"/>
    </row>
    <row r="12281" spans="3:4" x14ac:dyDescent="0.25">
      <c r="C12281" s="27"/>
      <c r="D12281" s="27"/>
    </row>
    <row r="12282" spans="3:4" x14ac:dyDescent="0.25">
      <c r="C12282" s="27"/>
      <c r="D12282" s="27"/>
    </row>
    <row r="12283" spans="3:4" x14ac:dyDescent="0.25">
      <c r="C12283" s="27"/>
      <c r="D12283" s="27"/>
    </row>
    <row r="12284" spans="3:4" x14ac:dyDescent="0.25">
      <c r="C12284" s="27"/>
      <c r="D12284" s="27"/>
    </row>
    <row r="12285" spans="3:4" x14ac:dyDescent="0.25">
      <c r="C12285" s="27"/>
      <c r="D12285" s="27"/>
    </row>
    <row r="12286" spans="3:4" x14ac:dyDescent="0.25">
      <c r="C12286" s="27"/>
      <c r="D12286" s="27"/>
    </row>
    <row r="12287" spans="3:4" x14ac:dyDescent="0.25">
      <c r="C12287" s="27"/>
      <c r="D12287" s="27"/>
    </row>
    <row r="12288" spans="3:4" x14ac:dyDescent="0.25">
      <c r="C12288" s="27"/>
      <c r="D12288" s="27"/>
    </row>
    <row r="12289" spans="3:4" x14ac:dyDescent="0.25">
      <c r="C12289" s="27"/>
      <c r="D12289" s="27"/>
    </row>
    <row r="12290" spans="3:4" x14ac:dyDescent="0.25">
      <c r="C12290" s="27"/>
      <c r="D12290" s="27"/>
    </row>
    <row r="12291" spans="3:4" x14ac:dyDescent="0.25">
      <c r="C12291" s="27"/>
      <c r="D12291" s="27"/>
    </row>
    <row r="12292" spans="3:4" x14ac:dyDescent="0.25">
      <c r="C12292" s="27"/>
      <c r="D12292" s="27"/>
    </row>
    <row r="12293" spans="3:4" x14ac:dyDescent="0.25">
      <c r="C12293" s="27"/>
      <c r="D12293" s="27"/>
    </row>
    <row r="12294" spans="3:4" x14ac:dyDescent="0.25">
      <c r="C12294" s="27"/>
      <c r="D12294" s="27"/>
    </row>
    <row r="12295" spans="3:4" x14ac:dyDescent="0.25">
      <c r="C12295" s="27"/>
      <c r="D12295" s="27"/>
    </row>
    <row r="12296" spans="3:4" x14ac:dyDescent="0.25">
      <c r="C12296" s="27"/>
      <c r="D12296" s="27"/>
    </row>
    <row r="12297" spans="3:4" x14ac:dyDescent="0.25">
      <c r="C12297" s="27"/>
      <c r="D12297" s="27"/>
    </row>
    <row r="12298" spans="3:4" x14ac:dyDescent="0.25">
      <c r="C12298" s="27"/>
      <c r="D12298" s="27"/>
    </row>
    <row r="12299" spans="3:4" x14ac:dyDescent="0.25">
      <c r="C12299" s="27"/>
      <c r="D12299" s="27"/>
    </row>
    <row r="12300" spans="3:4" x14ac:dyDescent="0.25">
      <c r="C12300" s="27"/>
      <c r="D12300" s="27"/>
    </row>
    <row r="12301" spans="3:4" x14ac:dyDescent="0.25">
      <c r="C12301" s="27"/>
      <c r="D12301" s="27"/>
    </row>
    <row r="12302" spans="3:4" x14ac:dyDescent="0.25">
      <c r="C12302" s="27"/>
      <c r="D12302" s="27"/>
    </row>
    <row r="12304" spans="3:4" x14ac:dyDescent="0.25">
      <c r="C12304" s="27"/>
      <c r="D12304" s="27"/>
    </row>
    <row r="12305" spans="3:4" x14ac:dyDescent="0.25">
      <c r="C12305" s="27"/>
      <c r="D12305" s="27"/>
    </row>
    <row r="12306" spans="3:4" x14ac:dyDescent="0.25">
      <c r="C12306" s="27"/>
      <c r="D12306" s="27"/>
    </row>
    <row r="12307" spans="3:4" x14ac:dyDescent="0.25">
      <c r="C12307" s="27"/>
      <c r="D12307" s="27"/>
    </row>
    <row r="12308" spans="3:4" x14ac:dyDescent="0.25">
      <c r="C12308" s="27"/>
      <c r="D12308" s="27"/>
    </row>
    <row r="12309" spans="3:4" x14ac:dyDescent="0.25">
      <c r="C12309" s="27"/>
      <c r="D12309" s="27"/>
    </row>
    <row r="12310" spans="3:4" x14ac:dyDescent="0.25">
      <c r="C12310" s="27"/>
      <c r="D12310" s="27"/>
    </row>
    <row r="12341" spans="3:4" x14ac:dyDescent="0.25">
      <c r="C12341" s="27"/>
      <c r="D12341" s="27"/>
    </row>
    <row r="12342" spans="3:4" x14ac:dyDescent="0.25">
      <c r="C12342" s="27"/>
      <c r="D12342" s="27"/>
    </row>
    <row r="12343" spans="3:4" x14ac:dyDescent="0.25">
      <c r="C12343" s="27"/>
      <c r="D12343" s="27"/>
    </row>
    <row r="12344" spans="3:4" x14ac:dyDescent="0.25">
      <c r="C12344" s="27"/>
      <c r="D12344" s="27"/>
    </row>
    <row r="12348" spans="3:4" x14ac:dyDescent="0.25">
      <c r="C12348" s="27"/>
      <c r="D12348" s="27"/>
    </row>
    <row r="12349" spans="3:4" x14ac:dyDescent="0.25">
      <c r="C12349" s="27"/>
      <c r="D12349" s="27"/>
    </row>
    <row r="12350" spans="3:4" x14ac:dyDescent="0.25">
      <c r="C12350" s="27"/>
      <c r="D12350" s="27"/>
    </row>
    <row r="12351" spans="3:4" x14ac:dyDescent="0.25">
      <c r="C12351" s="27"/>
      <c r="D12351" s="27"/>
    </row>
    <row r="12352" spans="3:4" x14ac:dyDescent="0.25">
      <c r="C12352" s="27"/>
      <c r="D12352" s="27"/>
    </row>
    <row r="12353" spans="3:4" x14ac:dyDescent="0.25">
      <c r="C12353" s="27"/>
      <c r="D12353" s="27"/>
    </row>
    <row r="12354" spans="3:4" x14ac:dyDescent="0.25">
      <c r="C12354" s="27"/>
      <c r="D12354" s="27"/>
    </row>
    <row r="12355" spans="3:4" x14ac:dyDescent="0.25">
      <c r="C12355" s="27"/>
      <c r="D12355" s="27"/>
    </row>
    <row r="12356" spans="3:4" x14ac:dyDescent="0.25">
      <c r="C12356" s="27"/>
      <c r="D12356" s="27"/>
    </row>
    <row r="12357" spans="3:4" x14ac:dyDescent="0.25">
      <c r="C12357" s="27"/>
      <c r="D12357" s="27"/>
    </row>
    <row r="12358" spans="3:4" x14ac:dyDescent="0.25">
      <c r="C12358" s="27"/>
      <c r="D12358" s="27"/>
    </row>
    <row r="12359" spans="3:4" x14ac:dyDescent="0.25">
      <c r="C12359" s="27"/>
      <c r="D12359" s="27"/>
    </row>
    <row r="12360" spans="3:4" x14ac:dyDescent="0.25">
      <c r="C12360" s="27"/>
      <c r="D12360" s="27"/>
    </row>
    <row r="12361" spans="3:4" x14ac:dyDescent="0.25">
      <c r="C12361" s="27"/>
      <c r="D12361" s="27"/>
    </row>
    <row r="12362" spans="3:4" x14ac:dyDescent="0.25">
      <c r="C12362" s="27"/>
      <c r="D12362" s="27"/>
    </row>
    <row r="12363" spans="3:4" x14ac:dyDescent="0.25">
      <c r="C12363" s="27"/>
      <c r="D12363" s="27"/>
    </row>
    <row r="12364" spans="3:4" x14ac:dyDescent="0.25">
      <c r="C12364" s="27"/>
      <c r="D12364" s="27"/>
    </row>
    <row r="12365" spans="3:4" x14ac:dyDescent="0.25">
      <c r="C12365" s="27"/>
      <c r="D12365" s="27"/>
    </row>
    <row r="12370" spans="3:4" x14ac:dyDescent="0.25">
      <c r="C12370" s="27"/>
      <c r="D12370" s="27"/>
    </row>
    <row r="12376" spans="3:4" x14ac:dyDescent="0.25">
      <c r="C12376" s="27"/>
      <c r="D12376" s="27"/>
    </row>
    <row r="12377" spans="3:4" x14ac:dyDescent="0.25">
      <c r="C12377" s="27"/>
      <c r="D12377" s="27"/>
    </row>
    <row r="12378" spans="3:4" x14ac:dyDescent="0.25">
      <c r="C12378" s="27"/>
      <c r="D12378" s="27"/>
    </row>
    <row r="12379" spans="3:4" x14ac:dyDescent="0.25">
      <c r="C12379" s="27"/>
      <c r="D12379" s="27"/>
    </row>
    <row r="12385" spans="3:4" x14ac:dyDescent="0.25">
      <c r="C12385" s="27"/>
      <c r="D12385" s="27"/>
    </row>
    <row r="12386" spans="3:4" x14ac:dyDescent="0.25">
      <c r="C12386" s="27"/>
      <c r="D12386" s="27"/>
    </row>
    <row r="12387" spans="3:4" x14ac:dyDescent="0.25">
      <c r="C12387" s="27"/>
      <c r="D12387" s="27"/>
    </row>
    <row r="12388" spans="3:4" x14ac:dyDescent="0.25">
      <c r="C12388" s="27"/>
      <c r="D12388" s="27"/>
    </row>
    <row r="12389" spans="3:4" x14ac:dyDescent="0.25">
      <c r="C12389" s="27"/>
      <c r="D12389" s="27"/>
    </row>
    <row r="12390" spans="3:4" x14ac:dyDescent="0.25">
      <c r="C12390" s="27"/>
      <c r="D12390" s="27"/>
    </row>
    <row r="12391" spans="3:4" x14ac:dyDescent="0.25">
      <c r="C12391" s="27"/>
      <c r="D12391" s="27"/>
    </row>
    <row r="12392" spans="3:4" x14ac:dyDescent="0.25">
      <c r="C12392" s="27"/>
      <c r="D12392" s="27"/>
    </row>
    <row r="12393" spans="3:4" x14ac:dyDescent="0.25">
      <c r="C12393" s="27"/>
      <c r="D12393" s="27"/>
    </row>
    <row r="12394" spans="3:4" x14ac:dyDescent="0.25">
      <c r="C12394" s="27"/>
      <c r="D12394" s="27"/>
    </row>
    <row r="12395" spans="3:4" x14ac:dyDescent="0.25">
      <c r="C12395" s="27"/>
      <c r="D12395" s="27"/>
    </row>
    <row r="12396" spans="3:4" x14ac:dyDescent="0.25">
      <c r="C12396" s="27"/>
      <c r="D12396" s="27"/>
    </row>
    <row r="12397" spans="3:4" x14ac:dyDescent="0.25">
      <c r="C12397" s="27"/>
      <c r="D12397" s="27"/>
    </row>
    <row r="12398" spans="3:4" x14ac:dyDescent="0.25">
      <c r="C12398" s="27"/>
      <c r="D12398" s="27"/>
    </row>
    <row r="12399" spans="3:4" x14ac:dyDescent="0.25">
      <c r="C12399" s="27"/>
      <c r="D12399" s="27"/>
    </row>
    <row r="12400" spans="3:4" x14ac:dyDescent="0.25">
      <c r="C12400" s="27"/>
      <c r="D12400" s="27"/>
    </row>
    <row r="12401" spans="3:4" x14ac:dyDescent="0.25">
      <c r="C12401" s="27"/>
      <c r="D12401" s="27"/>
    </row>
    <row r="12402" spans="3:4" x14ac:dyDescent="0.25">
      <c r="C12402" s="27"/>
      <c r="D12402" s="27"/>
    </row>
    <row r="12403" spans="3:4" x14ac:dyDescent="0.25">
      <c r="C12403" s="27"/>
      <c r="D12403" s="27"/>
    </row>
    <row r="12404" spans="3:4" x14ac:dyDescent="0.25">
      <c r="C12404" s="27"/>
      <c r="D12404" s="27"/>
    </row>
    <row r="12405" spans="3:4" x14ac:dyDescent="0.25">
      <c r="C12405" s="27"/>
      <c r="D12405" s="27"/>
    </row>
    <row r="12406" spans="3:4" x14ac:dyDescent="0.25">
      <c r="C12406" s="27"/>
      <c r="D12406" s="27"/>
    </row>
    <row r="12408" spans="3:4" x14ac:dyDescent="0.25">
      <c r="C12408" s="27"/>
      <c r="D12408" s="27"/>
    </row>
    <row r="12409" spans="3:4" x14ac:dyDescent="0.25">
      <c r="C12409" s="27"/>
      <c r="D12409" s="27"/>
    </row>
    <row r="12410" spans="3:4" x14ac:dyDescent="0.25">
      <c r="C12410" s="27"/>
      <c r="D12410" s="27"/>
    </row>
    <row r="12411" spans="3:4" x14ac:dyDescent="0.25">
      <c r="C12411" s="27"/>
      <c r="D12411" s="27"/>
    </row>
    <row r="12412" spans="3:4" x14ac:dyDescent="0.25">
      <c r="C12412" s="27"/>
      <c r="D12412" s="27"/>
    </row>
    <row r="12413" spans="3:4" x14ac:dyDescent="0.25">
      <c r="C12413" s="27"/>
      <c r="D12413" s="27"/>
    </row>
    <row r="12414" spans="3:4" x14ac:dyDescent="0.25">
      <c r="C12414" s="27"/>
      <c r="D12414" s="27"/>
    </row>
    <row r="12415" spans="3:4" x14ac:dyDescent="0.25">
      <c r="C12415" s="27"/>
      <c r="D12415" s="27"/>
    </row>
    <row r="12416" spans="3:4" x14ac:dyDescent="0.25">
      <c r="C12416" s="27"/>
      <c r="D12416" s="27"/>
    </row>
    <row r="12417" spans="3:4" x14ac:dyDescent="0.25">
      <c r="C12417" s="27"/>
      <c r="D12417" s="27"/>
    </row>
    <row r="12418" spans="3:4" x14ac:dyDescent="0.25">
      <c r="C12418" s="27"/>
      <c r="D12418" s="27"/>
    </row>
    <row r="12419" spans="3:4" x14ac:dyDescent="0.25">
      <c r="C12419" s="27"/>
      <c r="D12419" s="27"/>
    </row>
    <row r="12421" spans="3:4" x14ac:dyDescent="0.25">
      <c r="C12421" s="27"/>
      <c r="D12421" s="27"/>
    </row>
    <row r="12422" spans="3:4" x14ac:dyDescent="0.25">
      <c r="C12422" s="27"/>
      <c r="D12422" s="27"/>
    </row>
    <row r="12423" spans="3:4" x14ac:dyDescent="0.25">
      <c r="C12423" s="27"/>
      <c r="D12423" s="27"/>
    </row>
    <row r="12424" spans="3:4" x14ac:dyDescent="0.25">
      <c r="C12424" s="27"/>
      <c r="D12424" s="27"/>
    </row>
    <row r="12425" spans="3:4" x14ac:dyDescent="0.25">
      <c r="C12425" s="27"/>
      <c r="D12425" s="27"/>
    </row>
    <row r="12426" spans="3:4" x14ac:dyDescent="0.25">
      <c r="C12426" s="27"/>
      <c r="D12426" s="27"/>
    </row>
    <row r="12427" spans="3:4" x14ac:dyDescent="0.25">
      <c r="C12427" s="27"/>
      <c r="D12427" s="27"/>
    </row>
    <row r="12428" spans="3:4" x14ac:dyDescent="0.25">
      <c r="C12428" s="27"/>
      <c r="D12428" s="27"/>
    </row>
    <row r="12429" spans="3:4" x14ac:dyDescent="0.25">
      <c r="C12429" s="27"/>
      <c r="D12429" s="27"/>
    </row>
    <row r="12430" spans="3:4" x14ac:dyDescent="0.25">
      <c r="C12430" s="27"/>
      <c r="D12430" s="27"/>
    </row>
    <row r="12431" spans="3:4" x14ac:dyDescent="0.25">
      <c r="C12431" s="27"/>
      <c r="D12431" s="27"/>
    </row>
    <row r="12432" spans="3:4" x14ac:dyDescent="0.25">
      <c r="C12432" s="27"/>
      <c r="D12432" s="27"/>
    </row>
    <row r="12433" spans="3:4" x14ac:dyDescent="0.25">
      <c r="C12433" s="27"/>
      <c r="D12433" s="27"/>
    </row>
    <row r="12434" spans="3:4" x14ac:dyDescent="0.25">
      <c r="C12434" s="27"/>
      <c r="D12434" s="27"/>
    </row>
    <row r="12435" spans="3:4" x14ac:dyDescent="0.25">
      <c r="C12435" s="27"/>
      <c r="D12435" s="27"/>
    </row>
    <row r="12436" spans="3:4" x14ac:dyDescent="0.25">
      <c r="C12436" s="27"/>
      <c r="D12436" s="27"/>
    </row>
    <row r="12437" spans="3:4" x14ac:dyDescent="0.25">
      <c r="C12437" s="27"/>
      <c r="D12437" s="27"/>
    </row>
    <row r="12440" spans="3:4" x14ac:dyDescent="0.25">
      <c r="C12440" s="27"/>
      <c r="D12440" s="27"/>
    </row>
    <row r="12441" spans="3:4" x14ac:dyDescent="0.25">
      <c r="C12441" s="27"/>
      <c r="D12441" s="27"/>
    </row>
    <row r="12442" spans="3:4" x14ac:dyDescent="0.25">
      <c r="C12442" s="27"/>
      <c r="D12442" s="27"/>
    </row>
    <row r="12443" spans="3:4" x14ac:dyDescent="0.25">
      <c r="C12443" s="27"/>
      <c r="D12443" s="27"/>
    </row>
    <row r="12444" spans="3:4" x14ac:dyDescent="0.25">
      <c r="C12444" s="27"/>
      <c r="D12444" s="27"/>
    </row>
  </sheetData>
  <autoFilter ref="A1:Q19781"/>
  <sortState ref="A6277:O6400">
    <sortCondition ref="D6277:D6400"/>
  </sortState>
  <pageMargins left="0.7" right="0.7" top="0.75" bottom="0.75" header="0.3" footer="0.3"/>
  <pageSetup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918"/>
  <sheetViews>
    <sheetView workbookViewId="0">
      <pane ySplit="5" topLeftCell="A6" activePane="bottomLeft" state="frozen"/>
      <selection pane="bottomLeft" activeCell="C27" sqref="C27"/>
    </sheetView>
  </sheetViews>
  <sheetFormatPr defaultRowHeight="15" x14ac:dyDescent="0.25"/>
  <cols>
    <col min="2" max="2" width="21.140625" customWidth="1"/>
    <col min="3" max="3" width="23" customWidth="1"/>
    <col min="4" max="4" width="24.42578125" customWidth="1"/>
    <col min="5" max="5" width="11.85546875" customWidth="1"/>
    <col min="6" max="6" width="22.42578125" customWidth="1"/>
    <col min="7" max="7" width="52.28515625" customWidth="1"/>
    <col min="8" max="8" width="18.7109375" customWidth="1"/>
  </cols>
  <sheetData>
    <row r="1" spans="1:8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</row>
    <row r="2" spans="1:8" ht="15" customHeight="1" x14ac:dyDescent="0.25">
      <c r="B2" s="44" t="s">
        <v>886</v>
      </c>
      <c r="C2" s="45" t="s">
        <v>1087</v>
      </c>
      <c r="D2" s="46" t="s">
        <v>378</v>
      </c>
      <c r="E2" s="44" t="s">
        <v>2336</v>
      </c>
      <c r="F2" s="44" t="s">
        <v>376</v>
      </c>
      <c r="G2" s="45" t="s">
        <v>377</v>
      </c>
      <c r="H2" s="43" t="s">
        <v>2335</v>
      </c>
    </row>
    <row r="3" spans="1:8" ht="15" customHeight="1" x14ac:dyDescent="0.25">
      <c r="B3" s="44"/>
      <c r="C3" s="45"/>
      <c r="D3" s="47"/>
      <c r="E3" s="44"/>
      <c r="F3" s="44"/>
      <c r="G3" s="45"/>
      <c r="H3" s="43"/>
    </row>
    <row r="4" spans="1:8" ht="15" customHeight="1" x14ac:dyDescent="0.25">
      <c r="B4" s="44"/>
      <c r="C4" s="45"/>
      <c r="D4" s="48"/>
      <c r="E4" s="44"/>
      <c r="F4" s="44"/>
      <c r="G4" s="45"/>
      <c r="H4" s="43"/>
    </row>
    <row r="5" spans="1:8" ht="19.5" x14ac:dyDescent="0.25">
      <c r="B5" s="34"/>
      <c r="C5" s="36"/>
      <c r="D5" s="37"/>
      <c r="E5" s="34"/>
      <c r="F5" s="34"/>
      <c r="G5" s="38"/>
      <c r="H5" s="39"/>
    </row>
    <row r="6" spans="1:8" ht="15.75" x14ac:dyDescent="0.25">
      <c r="A6" t="str">
        <f>+C6&amp;B6&amp;"-"&amp;E6</f>
        <v>H171717G6032U8-M</v>
      </c>
      <c r="B6" s="35" t="s">
        <v>887</v>
      </c>
      <c r="C6" s="35" t="s">
        <v>1088</v>
      </c>
      <c r="D6" s="35" t="s">
        <v>404</v>
      </c>
      <c r="E6" s="35" t="s">
        <v>2337</v>
      </c>
      <c r="F6" s="35" t="s">
        <v>430</v>
      </c>
      <c r="G6" s="35" t="s">
        <v>431</v>
      </c>
      <c r="H6" s="35">
        <v>180</v>
      </c>
    </row>
    <row r="7" spans="1:8" ht="15.75" x14ac:dyDescent="0.25">
      <c r="A7" t="str">
        <f t="shared" ref="A7:A70" si="0">+C7&amp;B7&amp;"-"&amp;E7</f>
        <v>H171720G6035EQ-M</v>
      </c>
      <c r="B7" s="35" t="s">
        <v>888</v>
      </c>
      <c r="C7" s="35" t="s">
        <v>1089</v>
      </c>
      <c r="D7" s="35" t="s">
        <v>404</v>
      </c>
      <c r="E7" s="35" t="s">
        <v>2337</v>
      </c>
      <c r="F7" s="35" t="s">
        <v>430</v>
      </c>
      <c r="G7" s="35" t="s">
        <v>431</v>
      </c>
      <c r="H7" s="35">
        <v>156</v>
      </c>
    </row>
    <row r="8" spans="1:8" ht="15.75" x14ac:dyDescent="0.25">
      <c r="A8" t="str">
        <f t="shared" si="0"/>
        <v>H171727G6037LU-M</v>
      </c>
      <c r="B8" s="35" t="s">
        <v>889</v>
      </c>
      <c r="C8" s="35" t="s">
        <v>1090</v>
      </c>
      <c r="D8" s="35" t="s">
        <v>404</v>
      </c>
      <c r="E8" s="35" t="s">
        <v>2337</v>
      </c>
      <c r="F8" s="35" t="s">
        <v>430</v>
      </c>
      <c r="G8" s="35" t="s">
        <v>431</v>
      </c>
      <c r="H8" s="35">
        <v>408</v>
      </c>
    </row>
    <row r="9" spans="1:8" ht="15.75" x14ac:dyDescent="0.25">
      <c r="A9" t="str">
        <f t="shared" si="0"/>
        <v>H171778G6033UP-M</v>
      </c>
      <c r="B9" s="35" t="s">
        <v>890</v>
      </c>
      <c r="C9" s="35" t="s">
        <v>1091</v>
      </c>
      <c r="D9" s="35" t="s">
        <v>404</v>
      </c>
      <c r="E9" s="35" t="s">
        <v>2337</v>
      </c>
      <c r="F9" s="35" t="s">
        <v>430</v>
      </c>
      <c r="G9" s="35" t="s">
        <v>431</v>
      </c>
      <c r="H9" s="35">
        <v>144</v>
      </c>
    </row>
    <row r="10" spans="1:8" ht="15.75" x14ac:dyDescent="0.25">
      <c r="A10" t="str">
        <f t="shared" si="0"/>
        <v>7873637G6035F4-M</v>
      </c>
      <c r="B10" s="35" t="s">
        <v>891</v>
      </c>
      <c r="C10" s="35" t="s">
        <v>1092</v>
      </c>
      <c r="D10" s="35" t="s">
        <v>484</v>
      </c>
      <c r="E10" s="35" t="s">
        <v>2337</v>
      </c>
      <c r="F10" s="35" t="s">
        <v>379</v>
      </c>
      <c r="G10" s="35" t="s">
        <v>504</v>
      </c>
      <c r="H10" s="35">
        <v>372</v>
      </c>
    </row>
    <row r="11" spans="1:8" ht="15.75" x14ac:dyDescent="0.25">
      <c r="A11" t="str">
        <f t="shared" si="0"/>
        <v>7873785G6035F4-M</v>
      </c>
      <c r="B11" s="35" t="s">
        <v>891</v>
      </c>
      <c r="C11" s="35" t="s">
        <v>1093</v>
      </c>
      <c r="D11" s="35" t="s">
        <v>484</v>
      </c>
      <c r="E11" s="35" t="s">
        <v>2337</v>
      </c>
      <c r="F11" s="35" t="s">
        <v>379</v>
      </c>
      <c r="G11" s="35" t="s">
        <v>504</v>
      </c>
      <c r="H11" s="35">
        <v>576</v>
      </c>
    </row>
    <row r="12" spans="1:8" ht="15.75" x14ac:dyDescent="0.25">
      <c r="A12" t="str">
        <f t="shared" si="0"/>
        <v>U146432G6035F4-M</v>
      </c>
      <c r="B12" s="35" t="s">
        <v>891</v>
      </c>
      <c r="C12" s="35" t="s">
        <v>581</v>
      </c>
      <c r="D12" s="35" t="s">
        <v>438</v>
      </c>
      <c r="E12" s="35" t="s">
        <v>2337</v>
      </c>
      <c r="F12" s="35" t="s">
        <v>436</v>
      </c>
      <c r="G12" s="35" t="s">
        <v>437</v>
      </c>
      <c r="H12" s="35">
        <v>756</v>
      </c>
    </row>
    <row r="13" spans="1:8" ht="15.75" x14ac:dyDescent="0.25">
      <c r="A13" t="str">
        <f t="shared" si="0"/>
        <v>U146468G6035F4-M</v>
      </c>
      <c r="B13" s="35" t="s">
        <v>891</v>
      </c>
      <c r="C13" s="35" t="s">
        <v>589</v>
      </c>
      <c r="D13" s="35" t="s">
        <v>438</v>
      </c>
      <c r="E13" s="35" t="s">
        <v>2337</v>
      </c>
      <c r="F13" s="35" t="s">
        <v>436</v>
      </c>
      <c r="G13" s="35" t="s">
        <v>447</v>
      </c>
      <c r="H13" s="35">
        <v>858</v>
      </c>
    </row>
    <row r="14" spans="1:8" ht="15.75" x14ac:dyDescent="0.25">
      <c r="A14" t="str">
        <f t="shared" si="0"/>
        <v>U146469G6035F4-M</v>
      </c>
      <c r="B14" s="35" t="s">
        <v>891</v>
      </c>
      <c r="C14" s="35" t="s">
        <v>594</v>
      </c>
      <c r="D14" s="35" t="s">
        <v>438</v>
      </c>
      <c r="E14" s="35" t="s">
        <v>2337</v>
      </c>
      <c r="F14" s="35" t="s">
        <v>436</v>
      </c>
      <c r="G14" s="35" t="s">
        <v>447</v>
      </c>
      <c r="H14" s="35">
        <v>1242</v>
      </c>
    </row>
    <row r="15" spans="1:8" ht="15.75" x14ac:dyDescent="0.25">
      <c r="A15" t="str">
        <f t="shared" si="0"/>
        <v>U146477G6035F4-M</v>
      </c>
      <c r="B15" s="35" t="s">
        <v>891</v>
      </c>
      <c r="C15" s="35" t="s">
        <v>624</v>
      </c>
      <c r="D15" s="35" t="s">
        <v>438</v>
      </c>
      <c r="E15" s="35" t="s">
        <v>2337</v>
      </c>
      <c r="F15" s="35" t="s">
        <v>436</v>
      </c>
      <c r="G15" s="35" t="s">
        <v>2282</v>
      </c>
      <c r="H15" s="35">
        <v>2400</v>
      </c>
    </row>
    <row r="16" spans="1:8" ht="15.75" x14ac:dyDescent="0.25">
      <c r="A16" t="str">
        <f t="shared" si="0"/>
        <v>7873632G6032Z2-M</v>
      </c>
      <c r="B16" s="35" t="s">
        <v>892</v>
      </c>
      <c r="C16" s="35" t="s">
        <v>1094</v>
      </c>
      <c r="D16" s="35" t="s">
        <v>484</v>
      </c>
      <c r="E16" s="35" t="s">
        <v>2337</v>
      </c>
      <c r="F16" s="35" t="s">
        <v>379</v>
      </c>
      <c r="G16" s="35" t="s">
        <v>504</v>
      </c>
      <c r="H16" s="35">
        <v>576</v>
      </c>
    </row>
    <row r="17" spans="1:8" ht="15.75" x14ac:dyDescent="0.25">
      <c r="A17" t="str">
        <f t="shared" si="0"/>
        <v>C134979G6035EQ-M</v>
      </c>
      <c r="B17" s="35" t="s">
        <v>888</v>
      </c>
      <c r="C17" s="35" t="s">
        <v>1095</v>
      </c>
      <c r="D17" s="35" t="s">
        <v>401</v>
      </c>
      <c r="E17" s="35" t="s">
        <v>2337</v>
      </c>
      <c r="F17" s="35" t="s">
        <v>397</v>
      </c>
      <c r="G17" s="35" t="s">
        <v>400</v>
      </c>
      <c r="H17" s="35">
        <v>48</v>
      </c>
    </row>
    <row r="18" spans="1:8" ht="15.75" x14ac:dyDescent="0.25">
      <c r="A18" t="str">
        <f t="shared" si="0"/>
        <v>C134979G6035EQ-W</v>
      </c>
      <c r="B18" s="35" t="s">
        <v>888</v>
      </c>
      <c r="C18" s="35" t="s">
        <v>1095</v>
      </c>
      <c r="D18" s="35" t="s">
        <v>401</v>
      </c>
      <c r="E18" s="35" t="s">
        <v>2338</v>
      </c>
      <c r="F18" s="35" t="s">
        <v>397</v>
      </c>
      <c r="G18" s="35" t="s">
        <v>400</v>
      </c>
      <c r="H18" s="35">
        <v>330</v>
      </c>
    </row>
    <row r="19" spans="1:8" ht="15.75" x14ac:dyDescent="0.25">
      <c r="A19" t="str">
        <f t="shared" si="0"/>
        <v>7876434G6039IR-M</v>
      </c>
      <c r="B19" s="35" t="s">
        <v>893</v>
      </c>
      <c r="C19" s="35" t="s">
        <v>1096</v>
      </c>
      <c r="D19" s="35" t="s">
        <v>387</v>
      </c>
      <c r="E19" s="35" t="s">
        <v>2337</v>
      </c>
      <c r="F19" s="35" t="s">
        <v>388</v>
      </c>
      <c r="G19" s="35" t="s">
        <v>389</v>
      </c>
      <c r="H19" s="35">
        <v>990</v>
      </c>
    </row>
    <row r="20" spans="1:8" ht="15.75" x14ac:dyDescent="0.25">
      <c r="A20" t="str">
        <f t="shared" si="0"/>
        <v>U152783G6037LU-M</v>
      </c>
      <c r="B20" s="35" t="s">
        <v>889</v>
      </c>
      <c r="C20" s="35" t="s">
        <v>663</v>
      </c>
      <c r="D20" s="35" t="s">
        <v>457</v>
      </c>
      <c r="E20" s="35" t="s">
        <v>2337</v>
      </c>
      <c r="F20" s="35" t="s">
        <v>436</v>
      </c>
      <c r="G20" s="35" t="s">
        <v>443</v>
      </c>
      <c r="H20" s="35">
        <v>606</v>
      </c>
    </row>
    <row r="21" spans="1:8" ht="15.75" x14ac:dyDescent="0.25">
      <c r="A21" t="str">
        <f t="shared" si="0"/>
        <v>H171641G6035F4-M</v>
      </c>
      <c r="B21" s="35" t="s">
        <v>891</v>
      </c>
      <c r="C21" s="35" t="s">
        <v>592</v>
      </c>
      <c r="D21" s="35" t="s">
        <v>404</v>
      </c>
      <c r="E21" s="35" t="s">
        <v>2337</v>
      </c>
      <c r="F21" s="35" t="s">
        <v>501</v>
      </c>
      <c r="G21" s="35" t="s">
        <v>502</v>
      </c>
      <c r="H21" s="35">
        <v>582</v>
      </c>
    </row>
    <row r="22" spans="1:8" ht="15.75" x14ac:dyDescent="0.25">
      <c r="A22" t="str">
        <f t="shared" si="0"/>
        <v>7880718G6035EQ-M</v>
      </c>
      <c r="B22" s="35" t="s">
        <v>888</v>
      </c>
      <c r="C22" s="35" t="s">
        <v>683</v>
      </c>
      <c r="D22" s="35" t="s">
        <v>387</v>
      </c>
      <c r="E22" s="35" t="s">
        <v>2337</v>
      </c>
      <c r="F22" s="35" t="s">
        <v>388</v>
      </c>
      <c r="G22" s="35" t="s">
        <v>389</v>
      </c>
      <c r="H22" s="35">
        <v>336</v>
      </c>
    </row>
    <row r="23" spans="1:8" ht="15.75" x14ac:dyDescent="0.25">
      <c r="A23" t="str">
        <f t="shared" si="0"/>
        <v>7884518G6035EQ-M</v>
      </c>
      <c r="B23" s="35" t="s">
        <v>888</v>
      </c>
      <c r="C23" s="35" t="s">
        <v>711</v>
      </c>
      <c r="D23" s="35" t="s">
        <v>395</v>
      </c>
      <c r="E23" s="35" t="s">
        <v>2337</v>
      </c>
      <c r="F23" s="35" t="s">
        <v>382</v>
      </c>
      <c r="G23" s="35" t="s">
        <v>383</v>
      </c>
      <c r="H23" s="35">
        <v>528</v>
      </c>
    </row>
    <row r="24" spans="1:8" ht="15.75" x14ac:dyDescent="0.25">
      <c r="A24" t="str">
        <f t="shared" si="0"/>
        <v>7885546G6035EQ-M</v>
      </c>
      <c r="B24" s="35" t="s">
        <v>888</v>
      </c>
      <c r="C24" s="35" t="s">
        <v>728</v>
      </c>
      <c r="D24" s="35" t="s">
        <v>395</v>
      </c>
      <c r="E24" s="35" t="s">
        <v>2337</v>
      </c>
      <c r="F24" s="35" t="s">
        <v>382</v>
      </c>
      <c r="G24" s="35" t="s">
        <v>383</v>
      </c>
      <c r="H24" s="35">
        <v>798</v>
      </c>
    </row>
    <row r="25" spans="1:8" ht="15.75" x14ac:dyDescent="0.25">
      <c r="A25" t="str">
        <f t="shared" si="0"/>
        <v>C135880G6035EQ-M</v>
      </c>
      <c r="B25" s="35" t="s">
        <v>888</v>
      </c>
      <c r="C25" s="35" t="s">
        <v>725</v>
      </c>
      <c r="D25" s="35" t="s">
        <v>401</v>
      </c>
      <c r="E25" s="35" t="s">
        <v>2337</v>
      </c>
      <c r="F25" s="35" t="s">
        <v>397</v>
      </c>
      <c r="G25" s="35" t="s">
        <v>400</v>
      </c>
      <c r="H25" s="35">
        <v>252</v>
      </c>
    </row>
    <row r="26" spans="1:8" ht="15.75" x14ac:dyDescent="0.25">
      <c r="A26" t="str">
        <f t="shared" si="0"/>
        <v>C135880G6035EQ-W</v>
      </c>
      <c r="B26" s="35" t="s">
        <v>888</v>
      </c>
      <c r="C26" s="35" t="s">
        <v>725</v>
      </c>
      <c r="D26" s="35" t="s">
        <v>401</v>
      </c>
      <c r="E26" s="35" t="s">
        <v>2338</v>
      </c>
      <c r="F26" s="35" t="s">
        <v>397</v>
      </c>
      <c r="G26" s="35" t="s">
        <v>400</v>
      </c>
      <c r="H26" s="35">
        <v>300</v>
      </c>
    </row>
    <row r="27" spans="1:8" ht="15.75" x14ac:dyDescent="0.25">
      <c r="A27" t="str">
        <f t="shared" si="0"/>
        <v>7880712G603376-M</v>
      </c>
      <c r="B27" s="35" t="s">
        <v>894</v>
      </c>
      <c r="C27" s="35" t="s">
        <v>767</v>
      </c>
      <c r="D27" s="35" t="s">
        <v>387</v>
      </c>
      <c r="E27" s="35" t="s">
        <v>2337</v>
      </c>
      <c r="F27" s="35" t="s">
        <v>388</v>
      </c>
      <c r="G27" s="35" t="s">
        <v>389</v>
      </c>
      <c r="H27" s="35">
        <v>150</v>
      </c>
    </row>
    <row r="28" spans="1:8" ht="15.75" x14ac:dyDescent="0.25">
      <c r="A28" t="str">
        <f t="shared" si="0"/>
        <v>7884576G603376-M</v>
      </c>
      <c r="B28" s="35" t="s">
        <v>894</v>
      </c>
      <c r="C28" s="35" t="s">
        <v>770</v>
      </c>
      <c r="D28" s="35" t="s">
        <v>395</v>
      </c>
      <c r="E28" s="35" t="s">
        <v>2337</v>
      </c>
      <c r="F28" s="35" t="s">
        <v>382</v>
      </c>
      <c r="G28" s="35" t="s">
        <v>383</v>
      </c>
      <c r="H28" s="35">
        <v>192</v>
      </c>
    </row>
    <row r="29" spans="1:8" ht="15.75" x14ac:dyDescent="0.25">
      <c r="A29" t="str">
        <f t="shared" si="0"/>
        <v>7880730G6037LU-M</v>
      </c>
      <c r="B29" s="35" t="s">
        <v>889</v>
      </c>
      <c r="C29" s="35" t="s">
        <v>696</v>
      </c>
      <c r="D29" s="35" t="s">
        <v>387</v>
      </c>
      <c r="E29" s="35" t="s">
        <v>2337</v>
      </c>
      <c r="F29" s="35" t="s">
        <v>388</v>
      </c>
      <c r="G29" s="35" t="s">
        <v>389</v>
      </c>
      <c r="H29" s="35">
        <v>1452</v>
      </c>
    </row>
    <row r="30" spans="1:8" ht="15.75" x14ac:dyDescent="0.25">
      <c r="A30" t="str">
        <f t="shared" si="0"/>
        <v>7884524G6037LU-M</v>
      </c>
      <c r="B30" s="35" t="s">
        <v>889</v>
      </c>
      <c r="C30" s="35" t="s">
        <v>727</v>
      </c>
      <c r="D30" s="35" t="s">
        <v>395</v>
      </c>
      <c r="E30" s="35" t="s">
        <v>2337</v>
      </c>
      <c r="F30" s="35" t="s">
        <v>382</v>
      </c>
      <c r="G30" s="35" t="s">
        <v>383</v>
      </c>
      <c r="H30" s="35">
        <v>522</v>
      </c>
    </row>
    <row r="31" spans="1:8" ht="15.75" x14ac:dyDescent="0.25">
      <c r="A31" t="str">
        <f t="shared" si="0"/>
        <v>H189811W51511Y-B</v>
      </c>
      <c r="B31" s="35" t="s">
        <v>895</v>
      </c>
      <c r="C31" s="35" t="s">
        <v>793</v>
      </c>
      <c r="D31" s="35" t="s">
        <v>404</v>
      </c>
      <c r="E31" s="35" t="s">
        <v>2339</v>
      </c>
      <c r="F31" s="35" t="s">
        <v>420</v>
      </c>
      <c r="G31" s="35" t="s">
        <v>421</v>
      </c>
      <c r="H31" s="35">
        <v>498</v>
      </c>
    </row>
    <row r="32" spans="1:8" ht="15.75" x14ac:dyDescent="0.25">
      <c r="A32" t="str">
        <f t="shared" si="0"/>
        <v>H189870W51511Y-B</v>
      </c>
      <c r="B32" s="35" t="s">
        <v>895</v>
      </c>
      <c r="C32" s="35" t="s">
        <v>829</v>
      </c>
      <c r="D32" s="35" t="s">
        <v>404</v>
      </c>
      <c r="E32" s="35" t="s">
        <v>2339</v>
      </c>
      <c r="F32" s="35" t="s">
        <v>524</v>
      </c>
      <c r="G32" s="35" t="s">
        <v>525</v>
      </c>
      <c r="H32" s="35">
        <v>1158</v>
      </c>
    </row>
    <row r="33" spans="1:8" ht="15.75" x14ac:dyDescent="0.25">
      <c r="A33" t="str">
        <f t="shared" si="0"/>
        <v>7880335ML515WHT-D</v>
      </c>
      <c r="B33" s="35" t="s">
        <v>896</v>
      </c>
      <c r="C33" s="35" t="s">
        <v>856</v>
      </c>
      <c r="D33" s="35" t="s">
        <v>387</v>
      </c>
      <c r="E33" s="35" t="s">
        <v>2340</v>
      </c>
      <c r="F33" s="35" t="s">
        <v>388</v>
      </c>
      <c r="G33" s="35" t="s">
        <v>389</v>
      </c>
      <c r="H33" s="35">
        <v>1314</v>
      </c>
    </row>
    <row r="34" spans="1:8" ht="15.75" x14ac:dyDescent="0.25">
      <c r="A34" t="str">
        <f t="shared" si="0"/>
        <v>U153171ML515WHT-D</v>
      </c>
      <c r="B34" s="35" t="s">
        <v>896</v>
      </c>
      <c r="C34" s="35" t="s">
        <v>1097</v>
      </c>
      <c r="D34" s="35" t="s">
        <v>457</v>
      </c>
      <c r="E34" s="35" t="s">
        <v>2340</v>
      </c>
      <c r="F34" s="35" t="s">
        <v>436</v>
      </c>
      <c r="G34" s="35" t="s">
        <v>443</v>
      </c>
      <c r="H34" s="35">
        <v>156</v>
      </c>
    </row>
    <row r="35" spans="1:8" ht="15.75" x14ac:dyDescent="0.25">
      <c r="A35" t="str">
        <f t="shared" si="0"/>
        <v>7876607ML515NVY-D</v>
      </c>
      <c r="B35" s="35" t="s">
        <v>897</v>
      </c>
      <c r="C35" s="35" t="s">
        <v>1098</v>
      </c>
      <c r="D35" s="35" t="s">
        <v>387</v>
      </c>
      <c r="E35" s="35" t="s">
        <v>2340</v>
      </c>
      <c r="F35" s="35" t="s">
        <v>392</v>
      </c>
      <c r="G35" s="35" t="s">
        <v>2283</v>
      </c>
      <c r="H35" s="35">
        <v>2124</v>
      </c>
    </row>
    <row r="36" spans="1:8" ht="15.75" x14ac:dyDescent="0.25">
      <c r="A36" t="str">
        <f t="shared" si="0"/>
        <v>7876601ML515BLK-D</v>
      </c>
      <c r="B36" s="35" t="s">
        <v>898</v>
      </c>
      <c r="C36" s="35" t="s">
        <v>1099</v>
      </c>
      <c r="D36" s="35" t="s">
        <v>387</v>
      </c>
      <c r="E36" s="35" t="s">
        <v>2340</v>
      </c>
      <c r="F36" s="35" t="s">
        <v>392</v>
      </c>
      <c r="G36" s="35" t="s">
        <v>2283</v>
      </c>
      <c r="H36" s="35">
        <v>2106</v>
      </c>
    </row>
    <row r="37" spans="1:8" ht="15.75" x14ac:dyDescent="0.25">
      <c r="A37" t="str">
        <f t="shared" si="0"/>
        <v>H189865ML515GRY-D</v>
      </c>
      <c r="B37" s="35" t="s">
        <v>899</v>
      </c>
      <c r="C37" s="35" t="s">
        <v>1100</v>
      </c>
      <c r="D37" s="35" t="s">
        <v>404</v>
      </c>
      <c r="E37" s="35" t="s">
        <v>2340</v>
      </c>
      <c r="F37" s="35" t="s">
        <v>524</v>
      </c>
      <c r="G37" s="35" t="s">
        <v>525</v>
      </c>
      <c r="H37" s="35">
        <v>144</v>
      </c>
    </row>
    <row r="38" spans="1:8" ht="15.75" x14ac:dyDescent="0.25">
      <c r="A38" t="str">
        <f t="shared" si="0"/>
        <v>U153191ML515GRY-D</v>
      </c>
      <c r="B38" s="35" t="s">
        <v>899</v>
      </c>
      <c r="C38" s="35" t="s">
        <v>1101</v>
      </c>
      <c r="D38" s="35" t="s">
        <v>438</v>
      </c>
      <c r="E38" s="35" t="s">
        <v>2340</v>
      </c>
      <c r="F38" s="35" t="s">
        <v>436</v>
      </c>
      <c r="G38" s="35" t="s">
        <v>442</v>
      </c>
      <c r="H38" s="35">
        <v>600</v>
      </c>
    </row>
    <row r="39" spans="1:8" ht="15.75" x14ac:dyDescent="0.25">
      <c r="A39" t="str">
        <f t="shared" si="0"/>
        <v>U153187WL515GRY-B</v>
      </c>
      <c r="B39" s="35" t="s">
        <v>900</v>
      </c>
      <c r="C39" s="35" t="s">
        <v>1102</v>
      </c>
      <c r="D39" s="35" t="s">
        <v>438</v>
      </c>
      <c r="E39" s="35" t="s">
        <v>2339</v>
      </c>
      <c r="F39" s="35" t="s">
        <v>436</v>
      </c>
      <c r="G39" s="35" t="s">
        <v>459</v>
      </c>
      <c r="H39" s="35">
        <v>504</v>
      </c>
    </row>
    <row r="40" spans="1:8" ht="15.75" x14ac:dyDescent="0.25">
      <c r="A40" t="str">
        <f t="shared" si="0"/>
        <v>7885572ML515GRY-D</v>
      </c>
      <c r="B40" s="35" t="s">
        <v>899</v>
      </c>
      <c r="C40" s="35" t="s">
        <v>1103</v>
      </c>
      <c r="D40" s="35" t="s">
        <v>395</v>
      </c>
      <c r="E40" s="35" t="s">
        <v>2340</v>
      </c>
      <c r="F40" s="35" t="s">
        <v>382</v>
      </c>
      <c r="G40" s="35" t="s">
        <v>383</v>
      </c>
      <c r="H40" s="35">
        <v>528</v>
      </c>
    </row>
    <row r="41" spans="1:8" ht="15.75" x14ac:dyDescent="0.25">
      <c r="A41" t="str">
        <f t="shared" si="0"/>
        <v>C135933WL515WHT-B</v>
      </c>
      <c r="B41" s="35" t="s">
        <v>901</v>
      </c>
      <c r="C41" s="35" t="s">
        <v>1104</v>
      </c>
      <c r="D41" s="35" t="s">
        <v>401</v>
      </c>
      <c r="E41" s="35" t="s">
        <v>2339</v>
      </c>
      <c r="F41" s="35" t="s">
        <v>397</v>
      </c>
      <c r="G41" s="35" t="s">
        <v>400</v>
      </c>
      <c r="H41" s="35">
        <v>1002</v>
      </c>
    </row>
    <row r="42" spans="1:8" ht="15.75" x14ac:dyDescent="0.25">
      <c r="A42" t="str">
        <f t="shared" si="0"/>
        <v>7886640ML515WHT-D</v>
      </c>
      <c r="B42" s="35" t="s">
        <v>896</v>
      </c>
      <c r="C42" s="35" t="s">
        <v>1105</v>
      </c>
      <c r="D42" s="35" t="s">
        <v>394</v>
      </c>
      <c r="E42" s="35" t="s">
        <v>2340</v>
      </c>
      <c r="F42" s="35" t="s">
        <v>382</v>
      </c>
      <c r="G42" s="35" t="s">
        <v>396</v>
      </c>
      <c r="H42" s="35">
        <v>252</v>
      </c>
    </row>
    <row r="43" spans="1:8" ht="15.75" x14ac:dyDescent="0.25">
      <c r="A43" t="str">
        <f t="shared" si="0"/>
        <v>7885564ML515BLK-D</v>
      </c>
      <c r="B43" s="35" t="s">
        <v>898</v>
      </c>
      <c r="C43" s="35" t="s">
        <v>1106</v>
      </c>
      <c r="D43" s="35" t="s">
        <v>395</v>
      </c>
      <c r="E43" s="35" t="s">
        <v>2340</v>
      </c>
      <c r="F43" s="35" t="s">
        <v>382</v>
      </c>
      <c r="G43" s="35" t="s">
        <v>383</v>
      </c>
      <c r="H43" s="35">
        <v>528</v>
      </c>
    </row>
    <row r="44" spans="1:8" ht="15.75" x14ac:dyDescent="0.25">
      <c r="A44" t="str">
        <f t="shared" si="0"/>
        <v>7885578ML515NVY-D</v>
      </c>
      <c r="B44" s="35" t="s">
        <v>897</v>
      </c>
      <c r="C44" s="35" t="s">
        <v>1107</v>
      </c>
      <c r="D44" s="35" t="s">
        <v>395</v>
      </c>
      <c r="E44" s="35" t="s">
        <v>2340</v>
      </c>
      <c r="F44" s="35" t="s">
        <v>382</v>
      </c>
      <c r="G44" s="35" t="s">
        <v>383</v>
      </c>
      <c r="H44" s="35">
        <v>2544</v>
      </c>
    </row>
    <row r="45" spans="1:8" ht="15.75" x14ac:dyDescent="0.25">
      <c r="A45" t="str">
        <f t="shared" si="0"/>
        <v>U157236ML515GRY-D</v>
      </c>
      <c r="B45" s="35" t="s">
        <v>899</v>
      </c>
      <c r="C45" s="35" t="s">
        <v>1108</v>
      </c>
      <c r="D45" s="35" t="s">
        <v>457</v>
      </c>
      <c r="E45" s="35" t="s">
        <v>2340</v>
      </c>
      <c r="F45" s="35" t="s">
        <v>436</v>
      </c>
      <c r="G45" s="35" t="s">
        <v>443</v>
      </c>
      <c r="H45" s="35">
        <v>2136</v>
      </c>
    </row>
    <row r="46" spans="1:8" ht="15.75" x14ac:dyDescent="0.25">
      <c r="A46" t="str">
        <f t="shared" si="0"/>
        <v>U158351WL515GRY-B</v>
      </c>
      <c r="B46" s="35" t="s">
        <v>900</v>
      </c>
      <c r="C46" s="35" t="s">
        <v>1109</v>
      </c>
      <c r="D46" s="35" t="s">
        <v>438</v>
      </c>
      <c r="E46" s="35" t="s">
        <v>2339</v>
      </c>
      <c r="F46" s="35" t="s">
        <v>436</v>
      </c>
      <c r="G46" s="35" t="s">
        <v>442</v>
      </c>
      <c r="H46" s="35">
        <v>2400</v>
      </c>
    </row>
    <row r="47" spans="1:8" ht="15.75" x14ac:dyDescent="0.25">
      <c r="A47" t="str">
        <f t="shared" si="0"/>
        <v>C136633ML515NVY-D</v>
      </c>
      <c r="B47" s="35" t="s">
        <v>897</v>
      </c>
      <c r="C47" s="35" t="s">
        <v>1110</v>
      </c>
      <c r="D47" s="35" t="s">
        <v>401</v>
      </c>
      <c r="E47" s="35" t="s">
        <v>2340</v>
      </c>
      <c r="F47" s="35" t="s">
        <v>397</v>
      </c>
      <c r="G47" s="35" t="s">
        <v>400</v>
      </c>
      <c r="H47" s="35">
        <v>186</v>
      </c>
    </row>
    <row r="48" spans="1:8" ht="15.75" x14ac:dyDescent="0.25">
      <c r="A48" t="str">
        <f t="shared" si="0"/>
        <v>7888647ML515NVY-D</v>
      </c>
      <c r="B48" s="35" t="s">
        <v>897</v>
      </c>
      <c r="C48" s="35" t="s">
        <v>1111</v>
      </c>
      <c r="D48" s="35" t="s">
        <v>395</v>
      </c>
      <c r="E48" s="35" t="s">
        <v>2340</v>
      </c>
      <c r="F48" s="35" t="s">
        <v>382</v>
      </c>
      <c r="G48" s="35" t="s">
        <v>383</v>
      </c>
      <c r="H48" s="35">
        <v>546</v>
      </c>
    </row>
    <row r="49" spans="1:8" ht="15.75" x14ac:dyDescent="0.25">
      <c r="A49" t="str">
        <f t="shared" si="0"/>
        <v>C136634ML515BLK-D</v>
      </c>
      <c r="B49" s="35" t="s">
        <v>898</v>
      </c>
      <c r="C49" s="35" t="s">
        <v>1112</v>
      </c>
      <c r="D49" s="35" t="s">
        <v>401</v>
      </c>
      <c r="E49" s="35" t="s">
        <v>2340</v>
      </c>
      <c r="F49" s="35" t="s">
        <v>397</v>
      </c>
      <c r="G49" s="35" t="s">
        <v>400</v>
      </c>
      <c r="H49" s="35">
        <v>486</v>
      </c>
    </row>
    <row r="50" spans="1:8" ht="15.75" x14ac:dyDescent="0.25">
      <c r="A50" t="str">
        <f t="shared" si="0"/>
        <v>7888645ML515BLK-D</v>
      </c>
      <c r="B50" s="35" t="s">
        <v>898</v>
      </c>
      <c r="C50" s="35" t="s">
        <v>1113</v>
      </c>
      <c r="D50" s="35" t="s">
        <v>395</v>
      </c>
      <c r="E50" s="35" t="s">
        <v>2340</v>
      </c>
      <c r="F50" s="35" t="s">
        <v>382</v>
      </c>
      <c r="G50" s="35" t="s">
        <v>383</v>
      </c>
      <c r="H50" s="35">
        <v>642</v>
      </c>
    </row>
    <row r="51" spans="1:8" ht="15.75" x14ac:dyDescent="0.25">
      <c r="A51" t="str">
        <f t="shared" si="0"/>
        <v>7888646ML515GRY-D</v>
      </c>
      <c r="B51" s="35" t="s">
        <v>899</v>
      </c>
      <c r="C51" s="35" t="s">
        <v>1114</v>
      </c>
      <c r="D51" s="35" t="s">
        <v>395</v>
      </c>
      <c r="E51" s="35" t="s">
        <v>2340</v>
      </c>
      <c r="F51" s="35" t="s">
        <v>382</v>
      </c>
      <c r="G51" s="35" t="s">
        <v>383</v>
      </c>
      <c r="H51" s="35">
        <v>1434</v>
      </c>
    </row>
    <row r="52" spans="1:8" ht="15.75" x14ac:dyDescent="0.25">
      <c r="A52" t="str">
        <f t="shared" si="0"/>
        <v>U157235ML515GRY-D</v>
      </c>
      <c r="B52" s="35" t="s">
        <v>899</v>
      </c>
      <c r="C52" s="35" t="s">
        <v>1115</v>
      </c>
      <c r="D52" s="35" t="s">
        <v>438</v>
      </c>
      <c r="E52" s="35" t="s">
        <v>2340</v>
      </c>
      <c r="F52" s="35" t="s">
        <v>436</v>
      </c>
      <c r="G52" s="35" t="s">
        <v>459</v>
      </c>
      <c r="H52" s="35">
        <v>516</v>
      </c>
    </row>
    <row r="53" spans="1:8" ht="15.75" x14ac:dyDescent="0.25">
      <c r="A53" t="str">
        <f t="shared" si="0"/>
        <v>U157238ML515GRY-D</v>
      </c>
      <c r="B53" s="35" t="s">
        <v>899</v>
      </c>
      <c r="C53" s="35" t="s">
        <v>1116</v>
      </c>
      <c r="D53" s="35" t="s">
        <v>438</v>
      </c>
      <c r="E53" s="35" t="s">
        <v>2340</v>
      </c>
      <c r="F53" s="35" t="s">
        <v>436</v>
      </c>
      <c r="G53" s="35" t="s">
        <v>459</v>
      </c>
      <c r="H53" s="35">
        <v>528</v>
      </c>
    </row>
    <row r="54" spans="1:8" ht="15.75" x14ac:dyDescent="0.25">
      <c r="A54" t="str">
        <f t="shared" si="0"/>
        <v>U157303ML515GRY-D</v>
      </c>
      <c r="B54" s="35" t="s">
        <v>899</v>
      </c>
      <c r="C54" s="35" t="s">
        <v>1117</v>
      </c>
      <c r="D54" s="35" t="s">
        <v>438</v>
      </c>
      <c r="E54" s="35" t="s">
        <v>2340</v>
      </c>
      <c r="F54" s="35" t="s">
        <v>436</v>
      </c>
      <c r="G54" s="35" t="s">
        <v>442</v>
      </c>
      <c r="H54" s="35">
        <v>1200</v>
      </c>
    </row>
    <row r="55" spans="1:8" ht="15.75" x14ac:dyDescent="0.25">
      <c r="A55" t="str">
        <f t="shared" si="0"/>
        <v>7886050ML515GRY-D</v>
      </c>
      <c r="B55" s="35" t="s">
        <v>899</v>
      </c>
      <c r="C55" s="35" t="s">
        <v>1118</v>
      </c>
      <c r="D55" s="35" t="s">
        <v>395</v>
      </c>
      <c r="E55" s="35" t="s">
        <v>2340</v>
      </c>
      <c r="F55" s="35" t="s">
        <v>382</v>
      </c>
      <c r="G55" s="35" t="s">
        <v>383</v>
      </c>
      <c r="H55" s="35">
        <v>1356</v>
      </c>
    </row>
    <row r="56" spans="1:8" ht="15.75" x14ac:dyDescent="0.25">
      <c r="A56" t="str">
        <f t="shared" si="0"/>
        <v>H189802ML515GRY-D</v>
      </c>
      <c r="B56" s="35" t="s">
        <v>899</v>
      </c>
      <c r="C56" s="35" t="s">
        <v>1119</v>
      </c>
      <c r="D56" s="35" t="s">
        <v>404</v>
      </c>
      <c r="E56" s="35" t="s">
        <v>2340</v>
      </c>
      <c r="F56" s="35" t="s">
        <v>501</v>
      </c>
      <c r="G56" s="35" t="s">
        <v>502</v>
      </c>
      <c r="H56" s="35">
        <v>780</v>
      </c>
    </row>
    <row r="57" spans="1:8" ht="15.75" x14ac:dyDescent="0.25">
      <c r="A57" t="str">
        <f t="shared" si="0"/>
        <v>U157699WL515WHT-B</v>
      </c>
      <c r="B57" s="35" t="s">
        <v>901</v>
      </c>
      <c r="C57" s="35" t="s">
        <v>1120</v>
      </c>
      <c r="D57" s="35" t="s">
        <v>438</v>
      </c>
      <c r="E57" s="35" t="s">
        <v>2339</v>
      </c>
      <c r="F57" s="35" t="s">
        <v>436</v>
      </c>
      <c r="G57" s="35" t="s">
        <v>459</v>
      </c>
      <c r="H57" s="35">
        <v>510</v>
      </c>
    </row>
    <row r="58" spans="1:8" ht="15.75" x14ac:dyDescent="0.25">
      <c r="A58" t="str">
        <f t="shared" si="0"/>
        <v>U157741WL515WHT-B</v>
      </c>
      <c r="B58" s="35" t="s">
        <v>901</v>
      </c>
      <c r="C58" s="35" t="s">
        <v>1121</v>
      </c>
      <c r="D58" s="35" t="s">
        <v>438</v>
      </c>
      <c r="E58" s="35" t="s">
        <v>2339</v>
      </c>
      <c r="F58" s="35" t="s">
        <v>436</v>
      </c>
      <c r="G58" s="35" t="s">
        <v>458</v>
      </c>
      <c r="H58" s="35">
        <v>900</v>
      </c>
    </row>
    <row r="59" spans="1:8" ht="15.75" x14ac:dyDescent="0.25">
      <c r="A59" t="str">
        <f t="shared" si="0"/>
        <v>U157770WL515WHT-B</v>
      </c>
      <c r="B59" s="35" t="s">
        <v>901</v>
      </c>
      <c r="C59" s="35" t="s">
        <v>1122</v>
      </c>
      <c r="D59" s="35" t="s">
        <v>438</v>
      </c>
      <c r="E59" s="35" t="s">
        <v>2339</v>
      </c>
      <c r="F59" s="35" t="s">
        <v>436</v>
      </c>
      <c r="G59" s="35" t="s">
        <v>452</v>
      </c>
      <c r="H59" s="35">
        <v>1800</v>
      </c>
    </row>
    <row r="60" spans="1:8" ht="15.75" x14ac:dyDescent="0.25">
      <c r="A60" t="str">
        <f t="shared" si="0"/>
        <v>7866244PV574EVB-M</v>
      </c>
      <c r="B60" s="35" t="s">
        <v>902</v>
      </c>
      <c r="C60" s="35" t="s">
        <v>490</v>
      </c>
      <c r="D60" s="35" t="s">
        <v>387</v>
      </c>
      <c r="E60" s="35" t="s">
        <v>2337</v>
      </c>
      <c r="F60" s="35" t="s">
        <v>385</v>
      </c>
      <c r="G60" s="35" t="s">
        <v>386</v>
      </c>
      <c r="H60" s="35">
        <v>144</v>
      </c>
    </row>
    <row r="61" spans="1:8" ht="15.75" x14ac:dyDescent="0.25">
      <c r="A61" t="str">
        <f t="shared" si="0"/>
        <v>7866211PV574EVE-M</v>
      </c>
      <c r="B61" s="35" t="s">
        <v>903</v>
      </c>
      <c r="C61" s="35" t="s">
        <v>489</v>
      </c>
      <c r="D61" s="35" t="s">
        <v>387</v>
      </c>
      <c r="E61" s="35" t="s">
        <v>2337</v>
      </c>
      <c r="F61" s="35" t="s">
        <v>385</v>
      </c>
      <c r="G61" s="35" t="s">
        <v>386</v>
      </c>
      <c r="H61" s="35">
        <v>270</v>
      </c>
    </row>
    <row r="62" spans="1:8" ht="15.75" x14ac:dyDescent="0.25">
      <c r="A62" t="str">
        <f t="shared" si="0"/>
        <v>7866252PV574EVG-M</v>
      </c>
      <c r="B62" s="35" t="s">
        <v>904</v>
      </c>
      <c r="C62" s="35" t="s">
        <v>352</v>
      </c>
      <c r="D62" s="35" t="s">
        <v>387</v>
      </c>
      <c r="E62" s="35" t="s">
        <v>2337</v>
      </c>
      <c r="F62" s="35" t="s">
        <v>385</v>
      </c>
      <c r="G62" s="35" t="s">
        <v>386</v>
      </c>
      <c r="H62" s="35">
        <v>144</v>
      </c>
    </row>
    <row r="63" spans="1:8" ht="15.75" x14ac:dyDescent="0.25">
      <c r="A63" t="str">
        <f t="shared" si="0"/>
        <v>H153246PV574EVG-W</v>
      </c>
      <c r="B63" s="35" t="s">
        <v>904</v>
      </c>
      <c r="C63" s="35" t="s">
        <v>337</v>
      </c>
      <c r="D63" s="35" t="s">
        <v>404</v>
      </c>
      <c r="E63" s="35" t="s">
        <v>2338</v>
      </c>
      <c r="F63" s="35" t="s">
        <v>405</v>
      </c>
      <c r="G63" s="35" t="s">
        <v>406</v>
      </c>
      <c r="H63" s="35">
        <v>540</v>
      </c>
    </row>
    <row r="64" spans="1:8" ht="15.75" x14ac:dyDescent="0.25">
      <c r="A64" t="str">
        <f t="shared" si="0"/>
        <v>7866781P5745L4-M</v>
      </c>
      <c r="B64" s="35" t="s">
        <v>905</v>
      </c>
      <c r="C64" s="35" t="s">
        <v>480</v>
      </c>
      <c r="D64" s="35" t="s">
        <v>390</v>
      </c>
      <c r="E64" s="35" t="s">
        <v>2337</v>
      </c>
      <c r="F64" s="35" t="s">
        <v>382</v>
      </c>
      <c r="G64" s="35" t="s">
        <v>383</v>
      </c>
      <c r="H64" s="35">
        <v>240</v>
      </c>
    </row>
    <row r="65" spans="1:8" ht="15.75" x14ac:dyDescent="0.25">
      <c r="A65" t="str">
        <f t="shared" si="0"/>
        <v>7866775P57442E-M</v>
      </c>
      <c r="B65" s="35" t="s">
        <v>906</v>
      </c>
      <c r="C65" s="35" t="s">
        <v>533</v>
      </c>
      <c r="D65" s="35" t="s">
        <v>390</v>
      </c>
      <c r="E65" s="35" t="s">
        <v>2337</v>
      </c>
      <c r="F65" s="35" t="s">
        <v>382</v>
      </c>
      <c r="G65" s="35" t="s">
        <v>383</v>
      </c>
      <c r="H65" s="35">
        <v>240</v>
      </c>
    </row>
    <row r="66" spans="1:8" ht="15.75" x14ac:dyDescent="0.25">
      <c r="A66" t="str">
        <f t="shared" si="0"/>
        <v>H180067GC574EVB-M</v>
      </c>
      <c r="B66" s="35" t="s">
        <v>907</v>
      </c>
      <c r="C66" s="35" t="s">
        <v>1123</v>
      </c>
      <c r="D66" s="35" t="s">
        <v>404</v>
      </c>
      <c r="E66" s="35" t="s">
        <v>2337</v>
      </c>
      <c r="F66" s="35" t="s">
        <v>524</v>
      </c>
      <c r="G66" s="35" t="s">
        <v>525</v>
      </c>
      <c r="H66" s="35">
        <v>504</v>
      </c>
    </row>
    <row r="67" spans="1:8" ht="15.75" x14ac:dyDescent="0.25">
      <c r="A67" t="str">
        <f t="shared" si="0"/>
        <v>7874900PV574EVG-M</v>
      </c>
      <c r="B67" s="35" t="s">
        <v>904</v>
      </c>
      <c r="C67" s="35" t="s">
        <v>531</v>
      </c>
      <c r="D67" s="35" t="s">
        <v>394</v>
      </c>
      <c r="E67" s="35" t="s">
        <v>2337</v>
      </c>
      <c r="F67" s="35" t="s">
        <v>392</v>
      </c>
      <c r="G67" s="35" t="s">
        <v>393</v>
      </c>
      <c r="H67" s="35">
        <v>360</v>
      </c>
    </row>
    <row r="68" spans="1:8" ht="15.75" x14ac:dyDescent="0.25">
      <c r="A68" t="str">
        <f t="shared" si="0"/>
        <v>7866751NW574EVW-M</v>
      </c>
      <c r="B68" s="35" t="s">
        <v>908</v>
      </c>
      <c r="C68" s="35" t="s">
        <v>742</v>
      </c>
      <c r="D68" s="35" t="s">
        <v>390</v>
      </c>
      <c r="E68" s="35" t="s">
        <v>2337</v>
      </c>
      <c r="F68" s="35" t="s">
        <v>382</v>
      </c>
      <c r="G68" s="35" t="s">
        <v>383</v>
      </c>
      <c r="H68" s="35">
        <v>282</v>
      </c>
    </row>
    <row r="69" spans="1:8" ht="15.75" x14ac:dyDescent="0.25">
      <c r="A69" t="str">
        <f t="shared" si="0"/>
        <v>7874610I57425Y-M</v>
      </c>
      <c r="B69" s="35" t="s">
        <v>909</v>
      </c>
      <c r="C69" s="35" t="s">
        <v>575</v>
      </c>
      <c r="D69" s="35" t="s">
        <v>394</v>
      </c>
      <c r="E69" s="35" t="s">
        <v>2337</v>
      </c>
      <c r="F69" s="35" t="s">
        <v>392</v>
      </c>
      <c r="G69" s="35" t="s">
        <v>393</v>
      </c>
      <c r="H69" s="35">
        <v>396</v>
      </c>
    </row>
    <row r="70" spans="1:8" ht="15.75" x14ac:dyDescent="0.25">
      <c r="A70" t="str">
        <f t="shared" si="0"/>
        <v>H176933I57425Y-M</v>
      </c>
      <c r="B70" s="35" t="s">
        <v>909</v>
      </c>
      <c r="C70" s="35" t="s">
        <v>1124</v>
      </c>
      <c r="D70" s="35" t="s">
        <v>404</v>
      </c>
      <c r="E70" s="35" t="s">
        <v>2337</v>
      </c>
      <c r="F70" s="35" t="s">
        <v>498</v>
      </c>
      <c r="G70" s="35" t="s">
        <v>499</v>
      </c>
      <c r="H70" s="35">
        <v>144</v>
      </c>
    </row>
    <row r="71" spans="1:8" ht="15.75" x14ac:dyDescent="0.25">
      <c r="A71" t="str">
        <f t="shared" ref="A71:A134" si="1">+C71&amp;B71&amp;"-"&amp;E71</f>
        <v>7874616I57429D-M</v>
      </c>
      <c r="B71" s="35" t="s">
        <v>910</v>
      </c>
      <c r="C71" s="35" t="s">
        <v>588</v>
      </c>
      <c r="D71" s="35" t="s">
        <v>394</v>
      </c>
      <c r="E71" s="35" t="s">
        <v>2337</v>
      </c>
      <c r="F71" s="35" t="s">
        <v>392</v>
      </c>
      <c r="G71" s="35" t="s">
        <v>393</v>
      </c>
      <c r="H71" s="35">
        <v>360</v>
      </c>
    </row>
    <row r="72" spans="1:8" ht="15.75" x14ac:dyDescent="0.25">
      <c r="A72" t="str">
        <f t="shared" si="1"/>
        <v>H176934I57429D-M</v>
      </c>
      <c r="B72" s="35" t="s">
        <v>910</v>
      </c>
      <c r="C72" s="35" t="s">
        <v>1125</v>
      </c>
      <c r="D72" s="35" t="s">
        <v>404</v>
      </c>
      <c r="E72" s="35" t="s">
        <v>2337</v>
      </c>
      <c r="F72" s="35" t="s">
        <v>498</v>
      </c>
      <c r="G72" s="35" t="s">
        <v>499</v>
      </c>
      <c r="H72" s="35">
        <v>144</v>
      </c>
    </row>
    <row r="73" spans="1:8" ht="15.75" x14ac:dyDescent="0.25">
      <c r="A73" t="str">
        <f t="shared" si="1"/>
        <v>H177013PC574EVW-M</v>
      </c>
      <c r="B73" s="35" t="s">
        <v>911</v>
      </c>
      <c r="C73" s="35" t="s">
        <v>1126</v>
      </c>
      <c r="D73" s="35" t="s">
        <v>404</v>
      </c>
      <c r="E73" s="35" t="s">
        <v>2337</v>
      </c>
      <c r="F73" s="35" t="s">
        <v>524</v>
      </c>
      <c r="G73" s="35" t="s">
        <v>525</v>
      </c>
      <c r="H73" s="35">
        <v>222</v>
      </c>
    </row>
    <row r="74" spans="1:8" ht="15.75" x14ac:dyDescent="0.25">
      <c r="A74" t="str">
        <f t="shared" si="1"/>
        <v>H177015PV574EVG-M</v>
      </c>
      <c r="B74" s="35" t="s">
        <v>904</v>
      </c>
      <c r="C74" s="35" t="s">
        <v>1127</v>
      </c>
      <c r="D74" s="35" t="s">
        <v>404</v>
      </c>
      <c r="E74" s="35" t="s">
        <v>2337</v>
      </c>
      <c r="F74" s="35" t="s">
        <v>524</v>
      </c>
      <c r="G74" s="35" t="s">
        <v>525</v>
      </c>
      <c r="H74" s="35">
        <v>222</v>
      </c>
    </row>
    <row r="75" spans="1:8" ht="15.75" x14ac:dyDescent="0.25">
      <c r="A75" t="str">
        <f t="shared" si="1"/>
        <v>H177014PV574EVB-M</v>
      </c>
      <c r="B75" s="35" t="s">
        <v>902</v>
      </c>
      <c r="C75" s="35" t="s">
        <v>1128</v>
      </c>
      <c r="D75" s="35" t="s">
        <v>404</v>
      </c>
      <c r="E75" s="35" t="s">
        <v>2337</v>
      </c>
      <c r="F75" s="35" t="s">
        <v>524</v>
      </c>
      <c r="G75" s="35" t="s">
        <v>525</v>
      </c>
      <c r="H75" s="35">
        <v>222</v>
      </c>
    </row>
    <row r="76" spans="1:8" ht="15.75" x14ac:dyDescent="0.25">
      <c r="A76" t="str">
        <f t="shared" si="1"/>
        <v>H177024GC574EVG-M</v>
      </c>
      <c r="B76" s="35" t="s">
        <v>912</v>
      </c>
      <c r="C76" s="35" t="s">
        <v>1129</v>
      </c>
      <c r="D76" s="35" t="s">
        <v>404</v>
      </c>
      <c r="E76" s="35" t="s">
        <v>2337</v>
      </c>
      <c r="F76" s="35" t="s">
        <v>524</v>
      </c>
      <c r="G76" s="35" t="s">
        <v>525</v>
      </c>
      <c r="H76" s="35">
        <v>186</v>
      </c>
    </row>
    <row r="77" spans="1:8" ht="15.75" x14ac:dyDescent="0.25">
      <c r="A77" t="str">
        <f t="shared" si="1"/>
        <v>H177026GC574EVW-M</v>
      </c>
      <c r="B77" s="35" t="s">
        <v>913</v>
      </c>
      <c r="C77" s="35" t="s">
        <v>1130</v>
      </c>
      <c r="D77" s="35" t="s">
        <v>404</v>
      </c>
      <c r="E77" s="35" t="s">
        <v>2337</v>
      </c>
      <c r="F77" s="35" t="s">
        <v>524</v>
      </c>
      <c r="G77" s="35" t="s">
        <v>525</v>
      </c>
      <c r="H77" s="35">
        <v>186</v>
      </c>
    </row>
    <row r="78" spans="1:8" ht="15.75" x14ac:dyDescent="0.25">
      <c r="A78" t="str">
        <f t="shared" si="1"/>
        <v>U149840GC574EVE-M</v>
      </c>
      <c r="B78" s="35" t="s">
        <v>914</v>
      </c>
      <c r="C78" s="35" t="s">
        <v>665</v>
      </c>
      <c r="D78" s="35" t="s">
        <v>444</v>
      </c>
      <c r="E78" s="35" t="s">
        <v>2337</v>
      </c>
      <c r="F78" s="35" t="s">
        <v>436</v>
      </c>
      <c r="G78" s="35" t="s">
        <v>443</v>
      </c>
      <c r="H78" s="35">
        <v>378</v>
      </c>
    </row>
    <row r="79" spans="1:8" ht="15.75" x14ac:dyDescent="0.25">
      <c r="A79" t="str">
        <f t="shared" si="1"/>
        <v>U149840GC574EVE-W</v>
      </c>
      <c r="B79" s="35" t="s">
        <v>914</v>
      </c>
      <c r="C79" s="35" t="s">
        <v>665</v>
      </c>
      <c r="D79" s="35" t="s">
        <v>444</v>
      </c>
      <c r="E79" s="35" t="s">
        <v>2338</v>
      </c>
      <c r="F79" s="35" t="s">
        <v>436</v>
      </c>
      <c r="G79" s="35" t="s">
        <v>443</v>
      </c>
      <c r="H79" s="35">
        <v>198</v>
      </c>
    </row>
    <row r="80" spans="1:8" ht="15.75" x14ac:dyDescent="0.25">
      <c r="A80" t="str">
        <f t="shared" si="1"/>
        <v>U149875GC574EVE-M</v>
      </c>
      <c r="B80" s="35" t="s">
        <v>914</v>
      </c>
      <c r="C80" s="35" t="s">
        <v>1131</v>
      </c>
      <c r="D80" s="35" t="s">
        <v>457</v>
      </c>
      <c r="E80" s="35" t="s">
        <v>2337</v>
      </c>
      <c r="F80" s="35" t="s">
        <v>436</v>
      </c>
      <c r="G80" s="35" t="s">
        <v>443</v>
      </c>
      <c r="H80" s="35">
        <v>6</v>
      </c>
    </row>
    <row r="81" spans="1:8" ht="15.75" x14ac:dyDescent="0.25">
      <c r="A81" t="str">
        <f t="shared" si="1"/>
        <v>U149875GC574EVE-W</v>
      </c>
      <c r="B81" s="35" t="s">
        <v>914</v>
      </c>
      <c r="C81" s="35" t="s">
        <v>1131</v>
      </c>
      <c r="D81" s="35" t="s">
        <v>457</v>
      </c>
      <c r="E81" s="35" t="s">
        <v>2338</v>
      </c>
      <c r="F81" s="35" t="s">
        <v>436</v>
      </c>
      <c r="G81" s="35" t="s">
        <v>443</v>
      </c>
      <c r="H81" s="35">
        <v>108</v>
      </c>
    </row>
    <row r="82" spans="1:8" ht="15.75" x14ac:dyDescent="0.25">
      <c r="A82" t="str">
        <f t="shared" si="1"/>
        <v>U149885GC574EVK-M</v>
      </c>
      <c r="B82" s="35" t="s">
        <v>915</v>
      </c>
      <c r="C82" s="35" t="s">
        <v>1132</v>
      </c>
      <c r="D82" s="35" t="s">
        <v>444</v>
      </c>
      <c r="E82" s="35" t="s">
        <v>2337</v>
      </c>
      <c r="F82" s="35" t="s">
        <v>436</v>
      </c>
      <c r="G82" s="35" t="s">
        <v>443</v>
      </c>
      <c r="H82" s="35">
        <v>318</v>
      </c>
    </row>
    <row r="83" spans="1:8" ht="15.75" x14ac:dyDescent="0.25">
      <c r="A83" t="str">
        <f t="shared" si="1"/>
        <v>U149885GC574EVK-W</v>
      </c>
      <c r="B83" s="35" t="s">
        <v>915</v>
      </c>
      <c r="C83" s="35" t="s">
        <v>1132</v>
      </c>
      <c r="D83" s="35" t="s">
        <v>444</v>
      </c>
      <c r="E83" s="35" t="s">
        <v>2338</v>
      </c>
      <c r="F83" s="35" t="s">
        <v>436</v>
      </c>
      <c r="G83" s="35" t="s">
        <v>443</v>
      </c>
      <c r="H83" s="35">
        <v>72</v>
      </c>
    </row>
    <row r="84" spans="1:8" ht="15.75" x14ac:dyDescent="0.25">
      <c r="A84" t="str">
        <f t="shared" si="1"/>
        <v>U149879GC574EVK-W</v>
      </c>
      <c r="B84" s="35" t="s">
        <v>915</v>
      </c>
      <c r="C84" s="35" t="s">
        <v>1133</v>
      </c>
      <c r="D84" s="35" t="s">
        <v>457</v>
      </c>
      <c r="E84" s="35" t="s">
        <v>2338</v>
      </c>
      <c r="F84" s="35" t="s">
        <v>436</v>
      </c>
      <c r="G84" s="35" t="s">
        <v>443</v>
      </c>
      <c r="H84" s="35">
        <v>114</v>
      </c>
    </row>
    <row r="85" spans="1:8" ht="15.75" x14ac:dyDescent="0.25">
      <c r="A85" t="str">
        <f t="shared" si="1"/>
        <v>U149828PC574EVE-M</v>
      </c>
      <c r="B85" s="35" t="s">
        <v>916</v>
      </c>
      <c r="C85" s="35" t="s">
        <v>1134</v>
      </c>
      <c r="D85" s="35" t="s">
        <v>457</v>
      </c>
      <c r="E85" s="35" t="s">
        <v>2337</v>
      </c>
      <c r="F85" s="35" t="s">
        <v>436</v>
      </c>
      <c r="G85" s="35" t="s">
        <v>443</v>
      </c>
      <c r="H85" s="35">
        <v>348</v>
      </c>
    </row>
    <row r="86" spans="1:8" ht="15.75" x14ac:dyDescent="0.25">
      <c r="A86" t="str">
        <f t="shared" si="1"/>
        <v>U149828PC574EVE-W</v>
      </c>
      <c r="B86" s="35" t="s">
        <v>916</v>
      </c>
      <c r="C86" s="35" t="s">
        <v>1134</v>
      </c>
      <c r="D86" s="35" t="s">
        <v>457</v>
      </c>
      <c r="E86" s="35" t="s">
        <v>2338</v>
      </c>
      <c r="F86" s="35" t="s">
        <v>436</v>
      </c>
      <c r="G86" s="35" t="s">
        <v>443</v>
      </c>
      <c r="H86" s="35">
        <v>168</v>
      </c>
    </row>
    <row r="87" spans="1:8" ht="15.75" x14ac:dyDescent="0.25">
      <c r="A87" t="str">
        <f t="shared" si="1"/>
        <v>U149821PV574EVG-M</v>
      </c>
      <c r="B87" s="35" t="s">
        <v>904</v>
      </c>
      <c r="C87" s="35" t="s">
        <v>1135</v>
      </c>
      <c r="D87" s="35" t="s">
        <v>457</v>
      </c>
      <c r="E87" s="35" t="s">
        <v>2337</v>
      </c>
      <c r="F87" s="35" t="s">
        <v>436</v>
      </c>
      <c r="G87" s="35" t="s">
        <v>443</v>
      </c>
      <c r="H87" s="35">
        <v>294</v>
      </c>
    </row>
    <row r="88" spans="1:8" ht="15.75" x14ac:dyDescent="0.25">
      <c r="A88" t="str">
        <f t="shared" si="1"/>
        <v>U149821PV574EVG-W</v>
      </c>
      <c r="B88" s="35" t="s">
        <v>904</v>
      </c>
      <c r="C88" s="35" t="s">
        <v>1135</v>
      </c>
      <c r="D88" s="35" t="s">
        <v>457</v>
      </c>
      <c r="E88" s="35" t="s">
        <v>2338</v>
      </c>
      <c r="F88" s="35" t="s">
        <v>436</v>
      </c>
      <c r="G88" s="35" t="s">
        <v>443</v>
      </c>
      <c r="H88" s="35">
        <v>276</v>
      </c>
    </row>
    <row r="89" spans="1:8" ht="15.75" x14ac:dyDescent="0.25">
      <c r="A89" t="str">
        <f t="shared" si="1"/>
        <v>U149881NW574EVW-M</v>
      </c>
      <c r="B89" s="35" t="s">
        <v>908</v>
      </c>
      <c r="C89" s="35" t="s">
        <v>1136</v>
      </c>
      <c r="D89" s="35" t="s">
        <v>457</v>
      </c>
      <c r="E89" s="35" t="s">
        <v>2337</v>
      </c>
      <c r="F89" s="35" t="s">
        <v>436</v>
      </c>
      <c r="G89" s="35" t="s">
        <v>443</v>
      </c>
      <c r="H89" s="35">
        <v>264</v>
      </c>
    </row>
    <row r="90" spans="1:8" ht="15.75" x14ac:dyDescent="0.25">
      <c r="A90" t="str">
        <f t="shared" si="1"/>
        <v>U149881NW574EVW-W</v>
      </c>
      <c r="B90" s="35" t="s">
        <v>908</v>
      </c>
      <c r="C90" s="35" t="s">
        <v>1136</v>
      </c>
      <c r="D90" s="35" t="s">
        <v>457</v>
      </c>
      <c r="E90" s="35" t="s">
        <v>2338</v>
      </c>
      <c r="F90" s="35" t="s">
        <v>436</v>
      </c>
      <c r="G90" s="35" t="s">
        <v>443</v>
      </c>
      <c r="H90" s="35">
        <v>150</v>
      </c>
    </row>
    <row r="91" spans="1:8" ht="15.75" x14ac:dyDescent="0.25">
      <c r="A91" t="str">
        <f t="shared" si="1"/>
        <v>U149881NW574EVW-XW</v>
      </c>
      <c r="B91" s="35" t="s">
        <v>908</v>
      </c>
      <c r="C91" s="35" t="s">
        <v>1136</v>
      </c>
      <c r="D91" s="35" t="s">
        <v>457</v>
      </c>
      <c r="E91" s="35" t="s">
        <v>2341</v>
      </c>
      <c r="F91" s="35" t="s">
        <v>436</v>
      </c>
      <c r="G91" s="35" t="s">
        <v>443</v>
      </c>
      <c r="H91" s="35">
        <v>90</v>
      </c>
    </row>
    <row r="92" spans="1:8" ht="15.75" x14ac:dyDescent="0.25">
      <c r="A92" t="str">
        <f t="shared" si="1"/>
        <v>C135224NW574EVW-M</v>
      </c>
      <c r="B92" s="35" t="s">
        <v>908</v>
      </c>
      <c r="C92" s="35" t="s">
        <v>817</v>
      </c>
      <c r="D92" s="35" t="s">
        <v>401</v>
      </c>
      <c r="E92" s="35" t="s">
        <v>2337</v>
      </c>
      <c r="F92" s="35" t="s">
        <v>397</v>
      </c>
      <c r="G92" s="35" t="s">
        <v>400</v>
      </c>
      <c r="H92" s="35">
        <v>120</v>
      </c>
    </row>
    <row r="93" spans="1:8" ht="15.75" x14ac:dyDescent="0.25">
      <c r="A93" t="str">
        <f t="shared" si="1"/>
        <v>C135224NW574EVW-W</v>
      </c>
      <c r="B93" s="35" t="s">
        <v>908</v>
      </c>
      <c r="C93" s="35" t="s">
        <v>817</v>
      </c>
      <c r="D93" s="35" t="s">
        <v>401</v>
      </c>
      <c r="E93" s="35" t="s">
        <v>2338</v>
      </c>
      <c r="F93" s="35" t="s">
        <v>397</v>
      </c>
      <c r="G93" s="35" t="s">
        <v>400</v>
      </c>
      <c r="H93" s="35">
        <v>24</v>
      </c>
    </row>
    <row r="94" spans="1:8" ht="15.75" x14ac:dyDescent="0.25">
      <c r="A94" t="str">
        <f t="shared" si="1"/>
        <v>7875511PV574EVK-M</v>
      </c>
      <c r="B94" s="35" t="s">
        <v>917</v>
      </c>
      <c r="C94" s="35" t="s">
        <v>753</v>
      </c>
      <c r="D94" s="35" t="s">
        <v>390</v>
      </c>
      <c r="E94" s="35" t="s">
        <v>2337</v>
      </c>
      <c r="F94" s="35" t="s">
        <v>382</v>
      </c>
      <c r="G94" s="35" t="s">
        <v>383</v>
      </c>
      <c r="H94" s="35">
        <v>348</v>
      </c>
    </row>
    <row r="95" spans="1:8" ht="15.75" x14ac:dyDescent="0.25">
      <c r="A95" t="str">
        <f t="shared" si="1"/>
        <v>7875505PV574EVG-W</v>
      </c>
      <c r="B95" s="35" t="s">
        <v>904</v>
      </c>
      <c r="C95" s="35" t="s">
        <v>763</v>
      </c>
      <c r="D95" s="35" t="s">
        <v>390</v>
      </c>
      <c r="E95" s="35" t="s">
        <v>2338</v>
      </c>
      <c r="F95" s="35" t="s">
        <v>382</v>
      </c>
      <c r="G95" s="35" t="s">
        <v>383</v>
      </c>
      <c r="H95" s="35">
        <v>264</v>
      </c>
    </row>
    <row r="96" spans="1:8" ht="15.75" x14ac:dyDescent="0.25">
      <c r="A96" t="str">
        <f t="shared" si="1"/>
        <v>7874894PV574EVB-M</v>
      </c>
      <c r="B96" s="35" t="s">
        <v>902</v>
      </c>
      <c r="C96" s="35" t="s">
        <v>796</v>
      </c>
      <c r="D96" s="35" t="s">
        <v>394</v>
      </c>
      <c r="E96" s="35" t="s">
        <v>2337</v>
      </c>
      <c r="F96" s="35" t="s">
        <v>392</v>
      </c>
      <c r="G96" s="35" t="s">
        <v>393</v>
      </c>
      <c r="H96" s="35">
        <v>270</v>
      </c>
    </row>
    <row r="97" spans="1:8" ht="15.75" x14ac:dyDescent="0.25">
      <c r="A97" t="str">
        <f t="shared" si="1"/>
        <v>C135230PV574EVB-M</v>
      </c>
      <c r="B97" s="35" t="s">
        <v>902</v>
      </c>
      <c r="C97" s="35" t="s">
        <v>876</v>
      </c>
      <c r="D97" s="35" t="s">
        <v>401</v>
      </c>
      <c r="E97" s="35" t="s">
        <v>2337</v>
      </c>
      <c r="F97" s="35" t="s">
        <v>397</v>
      </c>
      <c r="G97" s="35" t="s">
        <v>400</v>
      </c>
      <c r="H97" s="35">
        <v>114</v>
      </c>
    </row>
    <row r="98" spans="1:8" ht="15.75" x14ac:dyDescent="0.25">
      <c r="A98" t="str">
        <f t="shared" si="1"/>
        <v>C135230PV574EVB-W</v>
      </c>
      <c r="B98" s="35" t="s">
        <v>902</v>
      </c>
      <c r="C98" s="35" t="s">
        <v>876</v>
      </c>
      <c r="D98" s="35" t="s">
        <v>401</v>
      </c>
      <c r="E98" s="35" t="s">
        <v>2338</v>
      </c>
      <c r="F98" s="35" t="s">
        <v>397</v>
      </c>
      <c r="G98" s="35" t="s">
        <v>400</v>
      </c>
      <c r="H98" s="35">
        <v>48</v>
      </c>
    </row>
    <row r="99" spans="1:8" ht="15.75" x14ac:dyDescent="0.25">
      <c r="A99" t="str">
        <f t="shared" si="1"/>
        <v>H176902PV574EVG-M</v>
      </c>
      <c r="B99" s="35" t="s">
        <v>904</v>
      </c>
      <c r="C99" s="35" t="s">
        <v>1137</v>
      </c>
      <c r="D99" s="35" t="s">
        <v>404</v>
      </c>
      <c r="E99" s="35" t="s">
        <v>2337</v>
      </c>
      <c r="F99" s="35" t="s">
        <v>414</v>
      </c>
      <c r="G99" s="35" t="s">
        <v>415</v>
      </c>
      <c r="H99" s="35">
        <v>144</v>
      </c>
    </row>
    <row r="100" spans="1:8" ht="15.75" x14ac:dyDescent="0.25">
      <c r="A100" t="str">
        <f t="shared" si="1"/>
        <v>H176961PV574EVG-M</v>
      </c>
      <c r="B100" s="35" t="s">
        <v>904</v>
      </c>
      <c r="C100" s="35" t="s">
        <v>1138</v>
      </c>
      <c r="D100" s="35" t="s">
        <v>404</v>
      </c>
      <c r="E100" s="35" t="s">
        <v>2337</v>
      </c>
      <c r="F100" s="35" t="s">
        <v>434</v>
      </c>
      <c r="G100" s="35" t="s">
        <v>435</v>
      </c>
      <c r="H100" s="35">
        <v>144</v>
      </c>
    </row>
    <row r="101" spans="1:8" ht="15.75" x14ac:dyDescent="0.25">
      <c r="A101" t="str">
        <f t="shared" si="1"/>
        <v>H176962PV574EVW-M</v>
      </c>
      <c r="B101" s="35" t="s">
        <v>918</v>
      </c>
      <c r="C101" s="35" t="s">
        <v>1139</v>
      </c>
      <c r="D101" s="35" t="s">
        <v>404</v>
      </c>
      <c r="E101" s="35" t="s">
        <v>2337</v>
      </c>
      <c r="F101" s="35" t="s">
        <v>434</v>
      </c>
      <c r="G101" s="35" t="s">
        <v>435</v>
      </c>
      <c r="H101" s="35">
        <v>150</v>
      </c>
    </row>
    <row r="102" spans="1:8" ht="15.75" x14ac:dyDescent="0.25">
      <c r="A102" t="str">
        <f t="shared" si="1"/>
        <v>7876950I57425Y-M</v>
      </c>
      <c r="B102" s="35" t="s">
        <v>909</v>
      </c>
      <c r="C102" s="35">
        <v>7876950</v>
      </c>
      <c r="D102" s="35" t="s">
        <v>387</v>
      </c>
      <c r="E102" s="35" t="s">
        <v>2337</v>
      </c>
      <c r="F102" s="35" t="s">
        <v>385</v>
      </c>
      <c r="G102" s="35" t="s">
        <v>386</v>
      </c>
      <c r="H102" s="35">
        <v>204</v>
      </c>
    </row>
    <row r="103" spans="1:8" ht="15.75" x14ac:dyDescent="0.25">
      <c r="A103" t="str">
        <f t="shared" si="1"/>
        <v>7876511I57429D-M</v>
      </c>
      <c r="B103" s="35" t="s">
        <v>910</v>
      </c>
      <c r="C103" s="35" t="s">
        <v>1140</v>
      </c>
      <c r="D103" s="35" t="s">
        <v>387</v>
      </c>
      <c r="E103" s="35" t="s">
        <v>2337</v>
      </c>
      <c r="F103" s="35" t="s">
        <v>385</v>
      </c>
      <c r="G103" s="35" t="s">
        <v>386</v>
      </c>
      <c r="H103" s="35">
        <v>306</v>
      </c>
    </row>
    <row r="104" spans="1:8" ht="15.75" x14ac:dyDescent="0.25">
      <c r="A104" t="str">
        <f t="shared" si="1"/>
        <v>7876773I5746W2-M</v>
      </c>
      <c r="B104" s="35" t="s">
        <v>919</v>
      </c>
      <c r="C104" s="35" t="s">
        <v>1141</v>
      </c>
      <c r="D104" s="35" t="s">
        <v>387</v>
      </c>
      <c r="E104" s="35" t="s">
        <v>2337</v>
      </c>
      <c r="F104" s="35" t="s">
        <v>385</v>
      </c>
      <c r="G104" s="35" t="s">
        <v>386</v>
      </c>
      <c r="H104" s="35">
        <v>144</v>
      </c>
    </row>
    <row r="105" spans="1:8" ht="15.75" x14ac:dyDescent="0.25">
      <c r="A105" t="str">
        <f t="shared" si="1"/>
        <v>7875487GC574EVG-W</v>
      </c>
      <c r="B105" s="35" t="s">
        <v>912</v>
      </c>
      <c r="C105" s="35" t="s">
        <v>773</v>
      </c>
      <c r="D105" s="35" t="s">
        <v>390</v>
      </c>
      <c r="E105" s="35" t="s">
        <v>2338</v>
      </c>
      <c r="F105" s="35" t="s">
        <v>382</v>
      </c>
      <c r="G105" s="35" t="s">
        <v>383</v>
      </c>
      <c r="H105" s="35">
        <v>198</v>
      </c>
    </row>
    <row r="106" spans="1:8" ht="15.75" x14ac:dyDescent="0.25">
      <c r="A106" t="str">
        <f t="shared" si="1"/>
        <v>H176907GC574EVG-M</v>
      </c>
      <c r="B106" s="35" t="s">
        <v>912</v>
      </c>
      <c r="C106" s="35" t="s">
        <v>769</v>
      </c>
      <c r="D106" s="35" t="s">
        <v>404</v>
      </c>
      <c r="E106" s="35" t="s">
        <v>2337</v>
      </c>
      <c r="F106" s="35" t="s">
        <v>414</v>
      </c>
      <c r="G106" s="35" t="s">
        <v>415</v>
      </c>
      <c r="H106" s="35">
        <v>144</v>
      </c>
    </row>
    <row r="107" spans="1:8" ht="15.75" x14ac:dyDescent="0.25">
      <c r="A107" t="str">
        <f t="shared" si="1"/>
        <v>C135219GC574EVW-M</v>
      </c>
      <c r="B107" s="35" t="s">
        <v>913</v>
      </c>
      <c r="C107" s="35" t="s">
        <v>823</v>
      </c>
      <c r="D107" s="35" t="s">
        <v>401</v>
      </c>
      <c r="E107" s="35" t="s">
        <v>2337</v>
      </c>
      <c r="F107" s="35" t="s">
        <v>397</v>
      </c>
      <c r="G107" s="35" t="s">
        <v>400</v>
      </c>
      <c r="H107" s="35">
        <v>336</v>
      </c>
    </row>
    <row r="108" spans="1:8" ht="15.75" x14ac:dyDescent="0.25">
      <c r="A108" t="str">
        <f t="shared" si="1"/>
        <v>U152761GC574EVW-M</v>
      </c>
      <c r="B108" s="35" t="s">
        <v>913</v>
      </c>
      <c r="C108" s="35" t="s">
        <v>827</v>
      </c>
      <c r="D108" s="35" t="s">
        <v>457</v>
      </c>
      <c r="E108" s="35" t="s">
        <v>2337</v>
      </c>
      <c r="F108" s="35" t="s">
        <v>436</v>
      </c>
      <c r="G108" s="35" t="s">
        <v>443</v>
      </c>
      <c r="H108" s="35">
        <v>2052</v>
      </c>
    </row>
    <row r="109" spans="1:8" ht="15.75" x14ac:dyDescent="0.25">
      <c r="A109" t="str">
        <f t="shared" si="1"/>
        <v>U152761GC574EVW-W</v>
      </c>
      <c r="B109" s="35" t="s">
        <v>913</v>
      </c>
      <c r="C109" s="35" t="s">
        <v>827</v>
      </c>
      <c r="D109" s="35" t="s">
        <v>457</v>
      </c>
      <c r="E109" s="35" t="s">
        <v>2338</v>
      </c>
      <c r="F109" s="35" t="s">
        <v>436</v>
      </c>
      <c r="G109" s="35" t="s">
        <v>443</v>
      </c>
      <c r="H109" s="35">
        <v>270</v>
      </c>
    </row>
    <row r="110" spans="1:8" ht="15.75" x14ac:dyDescent="0.25">
      <c r="A110" t="str">
        <f t="shared" si="1"/>
        <v>U152762PC574EVW-M</v>
      </c>
      <c r="B110" s="35" t="s">
        <v>911</v>
      </c>
      <c r="C110" s="35" t="s">
        <v>1142</v>
      </c>
      <c r="D110" s="35" t="s">
        <v>457</v>
      </c>
      <c r="E110" s="35" t="s">
        <v>2337</v>
      </c>
      <c r="F110" s="35" t="s">
        <v>436</v>
      </c>
      <c r="G110" s="35" t="s">
        <v>443</v>
      </c>
      <c r="H110" s="35">
        <v>618</v>
      </c>
    </row>
    <row r="111" spans="1:8" ht="15.75" x14ac:dyDescent="0.25">
      <c r="A111" t="str">
        <f t="shared" si="1"/>
        <v>U152762PC574EVW-W</v>
      </c>
      <c r="B111" s="35" t="s">
        <v>911</v>
      </c>
      <c r="C111" s="35" t="s">
        <v>1142</v>
      </c>
      <c r="D111" s="35" t="s">
        <v>457</v>
      </c>
      <c r="E111" s="35" t="s">
        <v>2338</v>
      </c>
      <c r="F111" s="35" t="s">
        <v>436</v>
      </c>
      <c r="G111" s="35" t="s">
        <v>443</v>
      </c>
      <c r="H111" s="35">
        <v>36</v>
      </c>
    </row>
    <row r="112" spans="1:8" ht="15.75" x14ac:dyDescent="0.25">
      <c r="A112" t="str">
        <f t="shared" si="1"/>
        <v>U152764NW574EVW-M</v>
      </c>
      <c r="B112" s="35" t="s">
        <v>908</v>
      </c>
      <c r="C112" s="35" t="s">
        <v>1143</v>
      </c>
      <c r="D112" s="35" t="s">
        <v>457</v>
      </c>
      <c r="E112" s="35" t="s">
        <v>2337</v>
      </c>
      <c r="F112" s="35" t="s">
        <v>436</v>
      </c>
      <c r="G112" s="35" t="s">
        <v>443</v>
      </c>
      <c r="H112" s="35">
        <v>414</v>
      </c>
    </row>
    <row r="113" spans="1:8" ht="15.75" x14ac:dyDescent="0.25">
      <c r="A113" t="str">
        <f t="shared" si="1"/>
        <v>U152764NW574EVW-W</v>
      </c>
      <c r="B113" s="35" t="s">
        <v>908</v>
      </c>
      <c r="C113" s="35" t="s">
        <v>1143</v>
      </c>
      <c r="D113" s="35" t="s">
        <v>457</v>
      </c>
      <c r="E113" s="35" t="s">
        <v>2338</v>
      </c>
      <c r="F113" s="35" t="s">
        <v>436</v>
      </c>
      <c r="G113" s="35" t="s">
        <v>443</v>
      </c>
      <c r="H113" s="35">
        <v>366</v>
      </c>
    </row>
    <row r="114" spans="1:8" ht="15.75" x14ac:dyDescent="0.25">
      <c r="A114" t="str">
        <f t="shared" si="1"/>
        <v>U152764NW574EVW-XW</v>
      </c>
      <c r="B114" s="35" t="s">
        <v>908</v>
      </c>
      <c r="C114" s="35" t="s">
        <v>1143</v>
      </c>
      <c r="D114" s="35" t="s">
        <v>457</v>
      </c>
      <c r="E114" s="35" t="s">
        <v>2341</v>
      </c>
      <c r="F114" s="35" t="s">
        <v>436</v>
      </c>
      <c r="G114" s="35" t="s">
        <v>443</v>
      </c>
      <c r="H114" s="35">
        <v>66</v>
      </c>
    </row>
    <row r="115" spans="1:8" ht="15.75" x14ac:dyDescent="0.25">
      <c r="A115" t="str">
        <f t="shared" si="1"/>
        <v>U152806I57429D-M</v>
      </c>
      <c r="B115" s="35" t="s">
        <v>910</v>
      </c>
      <c r="C115" s="35" t="s">
        <v>1144</v>
      </c>
      <c r="D115" s="35" t="s">
        <v>457</v>
      </c>
      <c r="E115" s="35" t="s">
        <v>2337</v>
      </c>
      <c r="F115" s="35" t="s">
        <v>436</v>
      </c>
      <c r="G115" s="35" t="s">
        <v>443</v>
      </c>
      <c r="H115" s="35">
        <v>300</v>
      </c>
    </row>
    <row r="116" spans="1:8" ht="15.75" x14ac:dyDescent="0.25">
      <c r="A116" t="str">
        <f t="shared" si="1"/>
        <v>U152806I57429D-W</v>
      </c>
      <c r="B116" s="35" t="s">
        <v>910</v>
      </c>
      <c r="C116" s="35" t="s">
        <v>1144</v>
      </c>
      <c r="D116" s="35" t="s">
        <v>457</v>
      </c>
      <c r="E116" s="35" t="s">
        <v>2338</v>
      </c>
      <c r="F116" s="35" t="s">
        <v>436</v>
      </c>
      <c r="G116" s="35" t="s">
        <v>443</v>
      </c>
      <c r="H116" s="35">
        <v>36</v>
      </c>
    </row>
    <row r="117" spans="1:8" ht="15.75" x14ac:dyDescent="0.25">
      <c r="A117" t="str">
        <f t="shared" si="1"/>
        <v>U152806I57429D-XW</v>
      </c>
      <c r="B117" s="35" t="s">
        <v>910</v>
      </c>
      <c r="C117" s="35" t="s">
        <v>1144</v>
      </c>
      <c r="D117" s="35" t="s">
        <v>457</v>
      </c>
      <c r="E117" s="35" t="s">
        <v>2341</v>
      </c>
      <c r="F117" s="35" t="s">
        <v>436</v>
      </c>
      <c r="G117" s="35" t="s">
        <v>443</v>
      </c>
      <c r="H117" s="35">
        <v>30</v>
      </c>
    </row>
    <row r="118" spans="1:8" ht="15.75" x14ac:dyDescent="0.25">
      <c r="A118" t="str">
        <f t="shared" si="1"/>
        <v>7884606I57429D-M</v>
      </c>
      <c r="B118" s="35" t="s">
        <v>910</v>
      </c>
      <c r="C118" s="35" t="s">
        <v>1145</v>
      </c>
      <c r="D118" s="35" t="s">
        <v>395</v>
      </c>
      <c r="E118" s="35" t="s">
        <v>2337</v>
      </c>
      <c r="F118" s="35" t="s">
        <v>382</v>
      </c>
      <c r="G118" s="35" t="s">
        <v>383</v>
      </c>
      <c r="H118" s="35">
        <v>360</v>
      </c>
    </row>
    <row r="119" spans="1:8" ht="15.75" x14ac:dyDescent="0.25">
      <c r="A119" t="str">
        <f t="shared" si="1"/>
        <v>U153224I57425Y-M</v>
      </c>
      <c r="B119" s="35" t="s">
        <v>909</v>
      </c>
      <c r="C119" s="35" t="s">
        <v>1146</v>
      </c>
      <c r="D119" s="35" t="s">
        <v>457</v>
      </c>
      <c r="E119" s="35" t="s">
        <v>2337</v>
      </c>
      <c r="F119" s="35" t="s">
        <v>436</v>
      </c>
      <c r="G119" s="35" t="s">
        <v>443</v>
      </c>
      <c r="H119" s="35">
        <v>114</v>
      </c>
    </row>
    <row r="120" spans="1:8" ht="15.75" x14ac:dyDescent="0.25">
      <c r="A120" t="str">
        <f t="shared" si="1"/>
        <v>U153224I57425Y-W</v>
      </c>
      <c r="B120" s="35" t="s">
        <v>909</v>
      </c>
      <c r="C120" s="35" t="s">
        <v>1146</v>
      </c>
      <c r="D120" s="35" t="s">
        <v>457</v>
      </c>
      <c r="E120" s="35" t="s">
        <v>2338</v>
      </c>
      <c r="F120" s="35" t="s">
        <v>436</v>
      </c>
      <c r="G120" s="35" t="s">
        <v>443</v>
      </c>
      <c r="H120" s="35">
        <v>72</v>
      </c>
    </row>
    <row r="121" spans="1:8" ht="15.75" x14ac:dyDescent="0.25">
      <c r="A121" t="str">
        <f t="shared" si="1"/>
        <v>U153224I57425Y-XW</v>
      </c>
      <c r="B121" s="35" t="s">
        <v>909</v>
      </c>
      <c r="C121" s="35" t="s">
        <v>1146</v>
      </c>
      <c r="D121" s="35" t="s">
        <v>457</v>
      </c>
      <c r="E121" s="35" t="s">
        <v>2341</v>
      </c>
      <c r="F121" s="35" t="s">
        <v>436</v>
      </c>
      <c r="G121" s="35" t="s">
        <v>443</v>
      </c>
      <c r="H121" s="35">
        <v>30</v>
      </c>
    </row>
    <row r="122" spans="1:8" ht="15.75" x14ac:dyDescent="0.25">
      <c r="A122" t="str">
        <f t="shared" si="1"/>
        <v>U153226I5746W2-M</v>
      </c>
      <c r="B122" s="35" t="s">
        <v>919</v>
      </c>
      <c r="C122" s="35" t="s">
        <v>1147</v>
      </c>
      <c r="D122" s="35" t="s">
        <v>457</v>
      </c>
      <c r="E122" s="35" t="s">
        <v>2337</v>
      </c>
      <c r="F122" s="35" t="s">
        <v>436</v>
      </c>
      <c r="G122" s="35" t="s">
        <v>443</v>
      </c>
      <c r="H122" s="35">
        <v>288</v>
      </c>
    </row>
    <row r="123" spans="1:8" ht="15.75" x14ac:dyDescent="0.25">
      <c r="A123" t="str">
        <f t="shared" si="1"/>
        <v>U153226I5746W2-W</v>
      </c>
      <c r="B123" s="35" t="s">
        <v>919</v>
      </c>
      <c r="C123" s="35" t="s">
        <v>1147</v>
      </c>
      <c r="D123" s="35" t="s">
        <v>457</v>
      </c>
      <c r="E123" s="35" t="s">
        <v>2338</v>
      </c>
      <c r="F123" s="35" t="s">
        <v>436</v>
      </c>
      <c r="G123" s="35" t="s">
        <v>443</v>
      </c>
      <c r="H123" s="35">
        <v>216</v>
      </c>
    </row>
    <row r="124" spans="1:8" ht="15.75" x14ac:dyDescent="0.25">
      <c r="A124" t="str">
        <f t="shared" si="1"/>
        <v>U153226I5746W2-XW</v>
      </c>
      <c r="B124" s="35" t="s">
        <v>919</v>
      </c>
      <c r="C124" s="35" t="s">
        <v>1147</v>
      </c>
      <c r="D124" s="35" t="s">
        <v>457</v>
      </c>
      <c r="E124" s="35" t="s">
        <v>2341</v>
      </c>
      <c r="F124" s="35" t="s">
        <v>436</v>
      </c>
      <c r="G124" s="35" t="s">
        <v>443</v>
      </c>
      <c r="H124" s="35">
        <v>90</v>
      </c>
    </row>
    <row r="125" spans="1:8" ht="15.75" x14ac:dyDescent="0.25">
      <c r="A125" t="str">
        <f t="shared" si="1"/>
        <v>7884600I57425Y-M</v>
      </c>
      <c r="B125" s="35" t="s">
        <v>909</v>
      </c>
      <c r="C125" s="35" t="s">
        <v>1148</v>
      </c>
      <c r="D125" s="35" t="s">
        <v>395</v>
      </c>
      <c r="E125" s="35" t="s">
        <v>2337</v>
      </c>
      <c r="F125" s="35" t="s">
        <v>382</v>
      </c>
      <c r="G125" s="35" t="s">
        <v>383</v>
      </c>
      <c r="H125" s="35">
        <v>228</v>
      </c>
    </row>
    <row r="126" spans="1:8" ht="15.75" x14ac:dyDescent="0.25">
      <c r="A126" t="str">
        <f t="shared" si="1"/>
        <v>7884612I5746W2-M</v>
      </c>
      <c r="B126" s="35" t="s">
        <v>919</v>
      </c>
      <c r="C126" s="35" t="s">
        <v>1149</v>
      </c>
      <c r="D126" s="35" t="s">
        <v>395</v>
      </c>
      <c r="E126" s="35" t="s">
        <v>2337</v>
      </c>
      <c r="F126" s="35" t="s">
        <v>382</v>
      </c>
      <c r="G126" s="35" t="s">
        <v>383</v>
      </c>
      <c r="H126" s="35">
        <v>180</v>
      </c>
    </row>
    <row r="127" spans="1:8" ht="15.75" x14ac:dyDescent="0.25">
      <c r="A127" t="str">
        <f t="shared" si="1"/>
        <v>U153175PV574EVE-M</v>
      </c>
      <c r="B127" s="35" t="s">
        <v>903</v>
      </c>
      <c r="C127" s="35" t="s">
        <v>1150</v>
      </c>
      <c r="D127" s="35" t="s">
        <v>444</v>
      </c>
      <c r="E127" s="35" t="s">
        <v>2337</v>
      </c>
      <c r="F127" s="35" t="s">
        <v>436</v>
      </c>
      <c r="G127" s="35" t="s">
        <v>443</v>
      </c>
      <c r="H127" s="35">
        <v>330</v>
      </c>
    </row>
    <row r="128" spans="1:8" ht="15.75" x14ac:dyDescent="0.25">
      <c r="A128" t="str">
        <f t="shared" si="1"/>
        <v>U153175PV574EVE-W</v>
      </c>
      <c r="B128" s="35" t="s">
        <v>903</v>
      </c>
      <c r="C128" s="35" t="s">
        <v>1150</v>
      </c>
      <c r="D128" s="35" t="s">
        <v>444</v>
      </c>
      <c r="E128" s="35" t="s">
        <v>2338</v>
      </c>
      <c r="F128" s="35" t="s">
        <v>436</v>
      </c>
      <c r="G128" s="35" t="s">
        <v>443</v>
      </c>
      <c r="H128" s="35">
        <v>252</v>
      </c>
    </row>
    <row r="129" spans="1:8" ht="15.75" x14ac:dyDescent="0.25">
      <c r="A129" t="str">
        <f t="shared" si="1"/>
        <v>U153166PV574EVG-M</v>
      </c>
      <c r="B129" s="35" t="s">
        <v>904</v>
      </c>
      <c r="C129" s="35" t="s">
        <v>1151</v>
      </c>
      <c r="D129" s="35" t="s">
        <v>457</v>
      </c>
      <c r="E129" s="35" t="s">
        <v>2337</v>
      </c>
      <c r="F129" s="35" t="s">
        <v>436</v>
      </c>
      <c r="G129" s="35" t="s">
        <v>443</v>
      </c>
      <c r="H129" s="35">
        <v>186</v>
      </c>
    </row>
    <row r="130" spans="1:8" ht="15.75" x14ac:dyDescent="0.25">
      <c r="A130" t="str">
        <f t="shared" si="1"/>
        <v>U153166PV574EVG-W</v>
      </c>
      <c r="B130" s="35" t="s">
        <v>904</v>
      </c>
      <c r="C130" s="35" t="s">
        <v>1151</v>
      </c>
      <c r="D130" s="35" t="s">
        <v>457</v>
      </c>
      <c r="E130" s="35" t="s">
        <v>2338</v>
      </c>
      <c r="F130" s="35" t="s">
        <v>436</v>
      </c>
      <c r="G130" s="35" t="s">
        <v>443</v>
      </c>
      <c r="H130" s="35">
        <v>114</v>
      </c>
    </row>
    <row r="131" spans="1:8" ht="15.75" x14ac:dyDescent="0.25">
      <c r="A131" t="str">
        <f t="shared" si="1"/>
        <v>H176954GC574EVW-M</v>
      </c>
      <c r="B131" s="35" t="s">
        <v>913</v>
      </c>
      <c r="C131" s="35" t="s">
        <v>1152</v>
      </c>
      <c r="D131" s="35" t="s">
        <v>404</v>
      </c>
      <c r="E131" s="35" t="s">
        <v>2337</v>
      </c>
      <c r="F131" s="35" t="s">
        <v>434</v>
      </c>
      <c r="G131" s="35" t="s">
        <v>435</v>
      </c>
      <c r="H131" s="35">
        <v>150</v>
      </c>
    </row>
    <row r="132" spans="1:8" ht="15.75" x14ac:dyDescent="0.25">
      <c r="A132" t="str">
        <f t="shared" si="1"/>
        <v>H177353GC574EVG-W</v>
      </c>
      <c r="B132" s="35" t="s">
        <v>912</v>
      </c>
      <c r="C132" s="35" t="s">
        <v>1153</v>
      </c>
      <c r="D132" s="35" t="s">
        <v>404</v>
      </c>
      <c r="E132" s="35" t="s">
        <v>2338</v>
      </c>
      <c r="F132" s="35" t="s">
        <v>2284</v>
      </c>
      <c r="G132" s="35" t="s">
        <v>2285</v>
      </c>
      <c r="H132" s="35">
        <v>168</v>
      </c>
    </row>
    <row r="133" spans="1:8" ht="15.75" x14ac:dyDescent="0.25">
      <c r="A133" t="str">
        <f t="shared" si="1"/>
        <v>H176953GC574EVG-M</v>
      </c>
      <c r="B133" s="35" t="s">
        <v>912</v>
      </c>
      <c r="C133" s="35" t="s">
        <v>778</v>
      </c>
      <c r="D133" s="35" t="s">
        <v>404</v>
      </c>
      <c r="E133" s="35" t="s">
        <v>2337</v>
      </c>
      <c r="F133" s="35" t="s">
        <v>434</v>
      </c>
      <c r="G133" s="35" t="s">
        <v>435</v>
      </c>
      <c r="H133" s="35">
        <v>144</v>
      </c>
    </row>
    <row r="134" spans="1:8" ht="15.75" x14ac:dyDescent="0.25">
      <c r="A134" t="str">
        <f t="shared" si="1"/>
        <v>H177326GC574EVG-M</v>
      </c>
      <c r="B134" s="35" t="s">
        <v>912</v>
      </c>
      <c r="C134" s="35" t="s">
        <v>1154</v>
      </c>
      <c r="D134" s="35" t="s">
        <v>404</v>
      </c>
      <c r="E134" s="35" t="s">
        <v>2337</v>
      </c>
      <c r="F134" s="35" t="s">
        <v>402</v>
      </c>
      <c r="G134" s="35" t="s">
        <v>403</v>
      </c>
      <c r="H134" s="35">
        <v>150</v>
      </c>
    </row>
    <row r="135" spans="1:8" ht="15.75" x14ac:dyDescent="0.25">
      <c r="A135" t="str">
        <f t="shared" ref="A135:A198" si="2">+C135&amp;B135&amp;"-"&amp;E135</f>
        <v>H177327GC574EVG-M</v>
      </c>
      <c r="B135" s="35" t="s">
        <v>912</v>
      </c>
      <c r="C135" s="35" t="s">
        <v>1155</v>
      </c>
      <c r="D135" s="35" t="s">
        <v>404</v>
      </c>
      <c r="E135" s="35" t="s">
        <v>2337</v>
      </c>
      <c r="F135" s="35" t="s">
        <v>402</v>
      </c>
      <c r="G135" s="35" t="s">
        <v>403</v>
      </c>
      <c r="H135" s="35">
        <v>150</v>
      </c>
    </row>
    <row r="136" spans="1:8" ht="15.75" x14ac:dyDescent="0.25">
      <c r="A136" t="str">
        <f t="shared" si="2"/>
        <v>H177334GC574EVW-M</v>
      </c>
      <c r="B136" s="35" t="s">
        <v>913</v>
      </c>
      <c r="C136" s="35" t="s">
        <v>1156</v>
      </c>
      <c r="D136" s="35" t="s">
        <v>404</v>
      </c>
      <c r="E136" s="35" t="s">
        <v>2337</v>
      </c>
      <c r="F136" s="35" t="s">
        <v>402</v>
      </c>
      <c r="G136" s="35" t="s">
        <v>403</v>
      </c>
      <c r="H136" s="35">
        <v>150</v>
      </c>
    </row>
    <row r="137" spans="1:8" ht="15.75" x14ac:dyDescent="0.25">
      <c r="A137" t="str">
        <f t="shared" si="2"/>
        <v>H177335GC574EVW-M</v>
      </c>
      <c r="B137" s="35" t="s">
        <v>913</v>
      </c>
      <c r="C137" s="35" t="s">
        <v>1157</v>
      </c>
      <c r="D137" s="35" t="s">
        <v>404</v>
      </c>
      <c r="E137" s="35" t="s">
        <v>2337</v>
      </c>
      <c r="F137" s="35" t="s">
        <v>402</v>
      </c>
      <c r="G137" s="35" t="s">
        <v>403</v>
      </c>
      <c r="H137" s="35">
        <v>150</v>
      </c>
    </row>
    <row r="138" spans="1:8" ht="15.75" x14ac:dyDescent="0.25">
      <c r="A138" t="str">
        <f t="shared" si="2"/>
        <v>7886735GC574EVW-M</v>
      </c>
      <c r="B138" s="35" t="s">
        <v>913</v>
      </c>
      <c r="C138" s="35" t="s">
        <v>1158</v>
      </c>
      <c r="D138" s="35" t="s">
        <v>394</v>
      </c>
      <c r="E138" s="35" t="s">
        <v>2337</v>
      </c>
      <c r="F138" s="35" t="s">
        <v>507</v>
      </c>
      <c r="G138" s="35" t="s">
        <v>508</v>
      </c>
      <c r="H138" s="35">
        <v>276</v>
      </c>
    </row>
    <row r="139" spans="1:8" ht="15.75" x14ac:dyDescent="0.25">
      <c r="A139" t="str">
        <f t="shared" si="2"/>
        <v>H189781GC574EVE-M</v>
      </c>
      <c r="B139" s="35" t="s">
        <v>914</v>
      </c>
      <c r="C139" s="35" t="s">
        <v>1159</v>
      </c>
      <c r="D139" s="35" t="s">
        <v>404</v>
      </c>
      <c r="E139" s="35" t="s">
        <v>2337</v>
      </c>
      <c r="F139" s="35" t="s">
        <v>501</v>
      </c>
      <c r="G139" s="35" t="s">
        <v>502</v>
      </c>
      <c r="H139" s="35">
        <v>234</v>
      </c>
    </row>
    <row r="140" spans="1:8" ht="15.75" x14ac:dyDescent="0.25">
      <c r="A140" t="str">
        <f t="shared" si="2"/>
        <v>C135932GC574EVK-M</v>
      </c>
      <c r="B140" s="35" t="s">
        <v>915</v>
      </c>
      <c r="C140" s="35" t="s">
        <v>1160</v>
      </c>
      <c r="D140" s="35" t="s">
        <v>401</v>
      </c>
      <c r="E140" s="35" t="s">
        <v>2337</v>
      </c>
      <c r="F140" s="35" t="s">
        <v>397</v>
      </c>
      <c r="G140" s="35" t="s">
        <v>400</v>
      </c>
      <c r="H140" s="35">
        <v>144</v>
      </c>
    </row>
    <row r="141" spans="1:8" ht="15.75" x14ac:dyDescent="0.25">
      <c r="A141" t="str">
        <f t="shared" si="2"/>
        <v>U153227I57425Y-M</v>
      </c>
      <c r="B141" s="35" t="s">
        <v>909</v>
      </c>
      <c r="C141" s="35" t="s">
        <v>1161</v>
      </c>
      <c r="D141" s="35" t="s">
        <v>438</v>
      </c>
      <c r="E141" s="35" t="s">
        <v>2337</v>
      </c>
      <c r="F141" s="35" t="s">
        <v>436</v>
      </c>
      <c r="G141" s="35" t="s">
        <v>449</v>
      </c>
      <c r="H141" s="35">
        <v>918</v>
      </c>
    </row>
    <row r="142" spans="1:8" ht="15.75" x14ac:dyDescent="0.25">
      <c r="A142" t="str">
        <f t="shared" si="2"/>
        <v>U153228I57425Y-M</v>
      </c>
      <c r="B142" s="35" t="s">
        <v>909</v>
      </c>
      <c r="C142" s="35" t="s">
        <v>1162</v>
      </c>
      <c r="D142" s="35" t="s">
        <v>438</v>
      </c>
      <c r="E142" s="35" t="s">
        <v>2337</v>
      </c>
      <c r="F142" s="35" t="s">
        <v>436</v>
      </c>
      <c r="G142" s="35" t="s">
        <v>449</v>
      </c>
      <c r="H142" s="35">
        <v>684</v>
      </c>
    </row>
    <row r="143" spans="1:8" ht="15.75" x14ac:dyDescent="0.25">
      <c r="A143" t="str">
        <f t="shared" si="2"/>
        <v>U152867I57429D-M</v>
      </c>
      <c r="B143" s="35" t="s">
        <v>910</v>
      </c>
      <c r="C143" s="35" t="s">
        <v>1163</v>
      </c>
      <c r="D143" s="35" t="s">
        <v>438</v>
      </c>
      <c r="E143" s="35" t="s">
        <v>2337</v>
      </c>
      <c r="F143" s="35" t="s">
        <v>436</v>
      </c>
      <c r="G143" s="35" t="s">
        <v>449</v>
      </c>
      <c r="H143" s="35">
        <v>918</v>
      </c>
    </row>
    <row r="144" spans="1:8" ht="15.75" x14ac:dyDescent="0.25">
      <c r="A144" t="str">
        <f t="shared" si="2"/>
        <v>U152868I57429D-M</v>
      </c>
      <c r="B144" s="35" t="s">
        <v>910</v>
      </c>
      <c r="C144" s="35" t="s">
        <v>1164</v>
      </c>
      <c r="D144" s="35" t="s">
        <v>438</v>
      </c>
      <c r="E144" s="35" t="s">
        <v>2337</v>
      </c>
      <c r="F144" s="35" t="s">
        <v>436</v>
      </c>
      <c r="G144" s="35" t="s">
        <v>449</v>
      </c>
      <c r="H144" s="35">
        <v>582</v>
      </c>
    </row>
    <row r="145" spans="1:8" ht="15.75" x14ac:dyDescent="0.25">
      <c r="A145" t="str">
        <f t="shared" si="2"/>
        <v>H189030I5744ML-W</v>
      </c>
      <c r="B145" s="35" t="s">
        <v>920</v>
      </c>
      <c r="C145" s="35" t="s">
        <v>1165</v>
      </c>
      <c r="D145" s="35" t="s">
        <v>404</v>
      </c>
      <c r="E145" s="35" t="s">
        <v>2338</v>
      </c>
      <c r="F145" s="35" t="s">
        <v>2286</v>
      </c>
      <c r="G145" s="35" t="s">
        <v>2287</v>
      </c>
      <c r="H145" s="35">
        <v>846</v>
      </c>
    </row>
    <row r="146" spans="1:8" ht="15.75" x14ac:dyDescent="0.25">
      <c r="A146" t="str">
        <f t="shared" si="2"/>
        <v>U157589I57425Y-M</v>
      </c>
      <c r="B146" s="35" t="s">
        <v>909</v>
      </c>
      <c r="C146" s="35" t="s">
        <v>1166</v>
      </c>
      <c r="D146" s="35" t="s">
        <v>444</v>
      </c>
      <c r="E146" s="35" t="s">
        <v>2337</v>
      </c>
      <c r="F146" s="35" t="s">
        <v>436</v>
      </c>
      <c r="G146" s="35" t="s">
        <v>443</v>
      </c>
      <c r="H146" s="35">
        <v>954</v>
      </c>
    </row>
    <row r="147" spans="1:8" ht="15.75" x14ac:dyDescent="0.25">
      <c r="A147" t="str">
        <f t="shared" si="2"/>
        <v>U157589I57425Y-W</v>
      </c>
      <c r="B147" s="35" t="s">
        <v>909</v>
      </c>
      <c r="C147" s="35" t="s">
        <v>1166</v>
      </c>
      <c r="D147" s="35" t="s">
        <v>444</v>
      </c>
      <c r="E147" s="35" t="s">
        <v>2338</v>
      </c>
      <c r="F147" s="35" t="s">
        <v>436</v>
      </c>
      <c r="G147" s="35" t="s">
        <v>443</v>
      </c>
      <c r="H147" s="35">
        <v>78</v>
      </c>
    </row>
    <row r="148" spans="1:8" ht="15.75" x14ac:dyDescent="0.25">
      <c r="A148" t="str">
        <f t="shared" si="2"/>
        <v>U157589I57425Y-XW</v>
      </c>
      <c r="B148" s="35" t="s">
        <v>909</v>
      </c>
      <c r="C148" s="35" t="s">
        <v>1166</v>
      </c>
      <c r="D148" s="35" t="s">
        <v>444</v>
      </c>
      <c r="E148" s="35" t="s">
        <v>2341</v>
      </c>
      <c r="F148" s="35" t="s">
        <v>436</v>
      </c>
      <c r="G148" s="35" t="s">
        <v>443</v>
      </c>
      <c r="H148" s="35">
        <v>36</v>
      </c>
    </row>
    <row r="149" spans="1:8" ht="15.75" x14ac:dyDescent="0.25">
      <c r="A149" t="str">
        <f t="shared" si="2"/>
        <v>U157274I57429D-M</v>
      </c>
      <c r="B149" s="35" t="s">
        <v>910</v>
      </c>
      <c r="C149" s="35" t="s">
        <v>1167</v>
      </c>
      <c r="D149" s="35" t="s">
        <v>444</v>
      </c>
      <c r="E149" s="35" t="s">
        <v>2337</v>
      </c>
      <c r="F149" s="35" t="s">
        <v>436</v>
      </c>
      <c r="G149" s="35" t="s">
        <v>443</v>
      </c>
      <c r="H149" s="35">
        <v>912</v>
      </c>
    </row>
    <row r="150" spans="1:8" ht="15.75" x14ac:dyDescent="0.25">
      <c r="A150" t="str">
        <f t="shared" si="2"/>
        <v>U157274I57429D-W</v>
      </c>
      <c r="B150" s="35" t="s">
        <v>910</v>
      </c>
      <c r="C150" s="35" t="s">
        <v>1167</v>
      </c>
      <c r="D150" s="35" t="s">
        <v>444</v>
      </c>
      <c r="E150" s="35" t="s">
        <v>2338</v>
      </c>
      <c r="F150" s="35" t="s">
        <v>436</v>
      </c>
      <c r="G150" s="35" t="s">
        <v>443</v>
      </c>
      <c r="H150" s="35">
        <v>72</v>
      </c>
    </row>
    <row r="151" spans="1:8" ht="15.75" x14ac:dyDescent="0.25">
      <c r="A151" t="str">
        <f t="shared" si="2"/>
        <v>U157274I57429D-XW</v>
      </c>
      <c r="B151" s="35" t="s">
        <v>910</v>
      </c>
      <c r="C151" s="35" t="s">
        <v>1167</v>
      </c>
      <c r="D151" s="35" t="s">
        <v>444</v>
      </c>
      <c r="E151" s="35" t="s">
        <v>2341</v>
      </c>
      <c r="F151" s="35" t="s">
        <v>436</v>
      </c>
      <c r="G151" s="35" t="s">
        <v>443</v>
      </c>
      <c r="H151" s="35">
        <v>36</v>
      </c>
    </row>
    <row r="152" spans="1:8" ht="15.75" x14ac:dyDescent="0.25">
      <c r="A152" t="str">
        <f t="shared" si="2"/>
        <v>U157282I57443A-M</v>
      </c>
      <c r="B152" s="35" t="s">
        <v>921</v>
      </c>
      <c r="C152" s="35" t="s">
        <v>1168</v>
      </c>
      <c r="D152" s="35" t="s">
        <v>444</v>
      </c>
      <c r="E152" s="35" t="s">
        <v>2337</v>
      </c>
      <c r="F152" s="35" t="s">
        <v>436</v>
      </c>
      <c r="G152" s="35" t="s">
        <v>443</v>
      </c>
      <c r="H152" s="35">
        <v>444</v>
      </c>
    </row>
    <row r="153" spans="1:8" ht="15.75" x14ac:dyDescent="0.25">
      <c r="A153" t="str">
        <f t="shared" si="2"/>
        <v>U157282I57443A-W</v>
      </c>
      <c r="B153" s="35" t="s">
        <v>921</v>
      </c>
      <c r="C153" s="35" t="s">
        <v>1168</v>
      </c>
      <c r="D153" s="35" t="s">
        <v>444</v>
      </c>
      <c r="E153" s="35" t="s">
        <v>2338</v>
      </c>
      <c r="F153" s="35" t="s">
        <v>436</v>
      </c>
      <c r="G153" s="35" t="s">
        <v>443</v>
      </c>
      <c r="H153" s="35">
        <v>234</v>
      </c>
    </row>
    <row r="154" spans="1:8" ht="15.75" x14ac:dyDescent="0.25">
      <c r="A154" t="str">
        <f t="shared" si="2"/>
        <v>U157282I57443A-XW</v>
      </c>
      <c r="B154" s="35" t="s">
        <v>921</v>
      </c>
      <c r="C154" s="35" t="s">
        <v>1168</v>
      </c>
      <c r="D154" s="35" t="s">
        <v>444</v>
      </c>
      <c r="E154" s="35" t="s">
        <v>2341</v>
      </c>
      <c r="F154" s="35" t="s">
        <v>436</v>
      </c>
      <c r="G154" s="35" t="s">
        <v>443</v>
      </c>
      <c r="H154" s="35">
        <v>162</v>
      </c>
    </row>
    <row r="155" spans="1:8" ht="15.75" x14ac:dyDescent="0.25">
      <c r="A155" t="str">
        <f t="shared" si="2"/>
        <v>U157281I57487Y-M</v>
      </c>
      <c r="B155" s="35" t="s">
        <v>922</v>
      </c>
      <c r="C155" s="35" t="s">
        <v>1169</v>
      </c>
      <c r="D155" s="35" t="s">
        <v>457</v>
      </c>
      <c r="E155" s="35" t="s">
        <v>2337</v>
      </c>
      <c r="F155" s="35" t="s">
        <v>436</v>
      </c>
      <c r="G155" s="35" t="s">
        <v>443</v>
      </c>
      <c r="H155" s="35">
        <v>354</v>
      </c>
    </row>
    <row r="156" spans="1:8" ht="15.75" x14ac:dyDescent="0.25">
      <c r="A156" t="str">
        <f t="shared" si="2"/>
        <v>U157281I57487Y-W</v>
      </c>
      <c r="B156" s="35" t="s">
        <v>922</v>
      </c>
      <c r="C156" s="35" t="s">
        <v>1169</v>
      </c>
      <c r="D156" s="35" t="s">
        <v>457</v>
      </c>
      <c r="E156" s="35" t="s">
        <v>2338</v>
      </c>
      <c r="F156" s="35" t="s">
        <v>436</v>
      </c>
      <c r="G156" s="35" t="s">
        <v>443</v>
      </c>
      <c r="H156" s="35">
        <v>264</v>
      </c>
    </row>
    <row r="157" spans="1:8" ht="15.75" x14ac:dyDescent="0.25">
      <c r="A157" t="str">
        <f t="shared" si="2"/>
        <v>U157281I57487Y-XW</v>
      </c>
      <c r="B157" s="35" t="s">
        <v>922</v>
      </c>
      <c r="C157" s="35" t="s">
        <v>1169</v>
      </c>
      <c r="D157" s="35" t="s">
        <v>457</v>
      </c>
      <c r="E157" s="35" t="s">
        <v>2341</v>
      </c>
      <c r="F157" s="35" t="s">
        <v>436</v>
      </c>
      <c r="G157" s="35" t="s">
        <v>443</v>
      </c>
      <c r="H157" s="35">
        <v>180</v>
      </c>
    </row>
    <row r="158" spans="1:8" ht="15.75" x14ac:dyDescent="0.25">
      <c r="A158" t="str">
        <f t="shared" si="2"/>
        <v>H177093PV574EVG-M</v>
      </c>
      <c r="B158" s="35" t="s">
        <v>904</v>
      </c>
      <c r="C158" s="35" t="s">
        <v>1170</v>
      </c>
      <c r="D158" s="35" t="s">
        <v>404</v>
      </c>
      <c r="E158" s="35" t="s">
        <v>2337</v>
      </c>
      <c r="F158" s="35" t="s">
        <v>416</v>
      </c>
      <c r="G158" s="35" t="s">
        <v>417</v>
      </c>
      <c r="H158" s="35">
        <v>240</v>
      </c>
    </row>
    <row r="159" spans="1:8" ht="15.75" x14ac:dyDescent="0.25">
      <c r="A159" t="str">
        <f t="shared" si="2"/>
        <v>H189790PV574EVE-M</v>
      </c>
      <c r="B159" s="35" t="s">
        <v>903</v>
      </c>
      <c r="C159" s="35" t="s">
        <v>1171</v>
      </c>
      <c r="D159" s="35" t="s">
        <v>404</v>
      </c>
      <c r="E159" s="35" t="s">
        <v>2337</v>
      </c>
      <c r="F159" s="35" t="s">
        <v>501</v>
      </c>
      <c r="G159" s="35" t="s">
        <v>502</v>
      </c>
      <c r="H159" s="35">
        <v>144</v>
      </c>
    </row>
    <row r="160" spans="1:8" ht="15.75" x14ac:dyDescent="0.25">
      <c r="A160" t="str">
        <f t="shared" si="2"/>
        <v>U157231NW574EVW-M</v>
      </c>
      <c r="B160" s="35" t="s">
        <v>908</v>
      </c>
      <c r="C160" s="35" t="s">
        <v>1172</v>
      </c>
      <c r="D160" s="35" t="s">
        <v>457</v>
      </c>
      <c r="E160" s="35" t="s">
        <v>2337</v>
      </c>
      <c r="F160" s="35" t="s">
        <v>436</v>
      </c>
      <c r="G160" s="35" t="s">
        <v>443</v>
      </c>
      <c r="H160" s="35">
        <v>594</v>
      </c>
    </row>
    <row r="161" spans="1:8" ht="15.75" x14ac:dyDescent="0.25">
      <c r="A161" t="str">
        <f t="shared" si="2"/>
        <v>U157231NW574EVW-W</v>
      </c>
      <c r="B161" s="35" t="s">
        <v>908</v>
      </c>
      <c r="C161" s="35" t="s">
        <v>1172</v>
      </c>
      <c r="D161" s="35" t="s">
        <v>457</v>
      </c>
      <c r="E161" s="35" t="s">
        <v>2338</v>
      </c>
      <c r="F161" s="35" t="s">
        <v>436</v>
      </c>
      <c r="G161" s="35" t="s">
        <v>443</v>
      </c>
      <c r="H161" s="35">
        <v>306</v>
      </c>
    </row>
    <row r="162" spans="1:8" ht="15.75" x14ac:dyDescent="0.25">
      <c r="A162" t="str">
        <f t="shared" si="2"/>
        <v>U157231NW574EVW-XW</v>
      </c>
      <c r="B162" s="35" t="s">
        <v>908</v>
      </c>
      <c r="C162" s="35" t="s">
        <v>1172</v>
      </c>
      <c r="D162" s="35" t="s">
        <v>457</v>
      </c>
      <c r="E162" s="35" t="s">
        <v>2341</v>
      </c>
      <c r="F162" s="35" t="s">
        <v>436</v>
      </c>
      <c r="G162" s="35" t="s">
        <v>443</v>
      </c>
      <c r="H162" s="35">
        <v>90</v>
      </c>
    </row>
    <row r="163" spans="1:8" ht="15.75" x14ac:dyDescent="0.25">
      <c r="A163" t="str">
        <f t="shared" si="2"/>
        <v>H195214NW574EVW-W</v>
      </c>
      <c r="B163" s="35" t="s">
        <v>908</v>
      </c>
      <c r="C163" s="35" t="s">
        <v>1173</v>
      </c>
      <c r="D163" s="35" t="s">
        <v>404</v>
      </c>
      <c r="E163" s="35" t="s">
        <v>2338</v>
      </c>
      <c r="F163" s="35" t="s">
        <v>422</v>
      </c>
      <c r="G163" s="35" t="s">
        <v>423</v>
      </c>
      <c r="H163" s="35">
        <v>288</v>
      </c>
    </row>
    <row r="164" spans="1:8" ht="15.75" x14ac:dyDescent="0.25">
      <c r="A164" t="str">
        <f t="shared" si="2"/>
        <v>U157324PC574EVW-M</v>
      </c>
      <c r="B164" s="35" t="s">
        <v>911</v>
      </c>
      <c r="C164" s="35" t="s">
        <v>1174</v>
      </c>
      <c r="D164" s="35" t="s">
        <v>438</v>
      </c>
      <c r="E164" s="35" t="s">
        <v>2337</v>
      </c>
      <c r="F164" s="35" t="s">
        <v>436</v>
      </c>
      <c r="G164" s="35" t="s">
        <v>503</v>
      </c>
      <c r="H164" s="35">
        <v>660</v>
      </c>
    </row>
    <row r="165" spans="1:8" ht="15.75" x14ac:dyDescent="0.25">
      <c r="A165" t="str">
        <f t="shared" si="2"/>
        <v>U157336PC574EVW-M</v>
      </c>
      <c r="B165" s="35" t="s">
        <v>911</v>
      </c>
      <c r="C165" s="35" t="s">
        <v>1175</v>
      </c>
      <c r="D165" s="35" t="s">
        <v>438</v>
      </c>
      <c r="E165" s="35" t="s">
        <v>2337</v>
      </c>
      <c r="F165" s="35" t="s">
        <v>436</v>
      </c>
      <c r="G165" s="35" t="s">
        <v>503</v>
      </c>
      <c r="H165" s="35">
        <v>540</v>
      </c>
    </row>
    <row r="166" spans="1:8" ht="15.75" x14ac:dyDescent="0.25">
      <c r="A166" t="str">
        <f t="shared" si="2"/>
        <v>U157232GC574EVW-M</v>
      </c>
      <c r="B166" s="35" t="s">
        <v>913</v>
      </c>
      <c r="C166" s="35" t="s">
        <v>1176</v>
      </c>
      <c r="D166" s="35" t="s">
        <v>457</v>
      </c>
      <c r="E166" s="35" t="s">
        <v>2337</v>
      </c>
      <c r="F166" s="35" t="s">
        <v>436</v>
      </c>
      <c r="G166" s="35" t="s">
        <v>443</v>
      </c>
      <c r="H166" s="35">
        <v>318</v>
      </c>
    </row>
    <row r="167" spans="1:8" ht="15.75" x14ac:dyDescent="0.25">
      <c r="A167" t="str">
        <f t="shared" si="2"/>
        <v>U157232GC574EVW-W</v>
      </c>
      <c r="B167" s="35" t="s">
        <v>913</v>
      </c>
      <c r="C167" s="35" t="s">
        <v>1176</v>
      </c>
      <c r="D167" s="35" t="s">
        <v>457</v>
      </c>
      <c r="E167" s="35" t="s">
        <v>2338</v>
      </c>
      <c r="F167" s="35" t="s">
        <v>436</v>
      </c>
      <c r="G167" s="35" t="s">
        <v>443</v>
      </c>
      <c r="H167" s="35">
        <v>42</v>
      </c>
    </row>
    <row r="168" spans="1:8" ht="15.75" x14ac:dyDescent="0.25">
      <c r="A168" t="str">
        <f t="shared" si="2"/>
        <v>U157323GC574EVW-M</v>
      </c>
      <c r="B168" s="35" t="s">
        <v>913</v>
      </c>
      <c r="C168" s="35" t="s">
        <v>1177</v>
      </c>
      <c r="D168" s="35" t="s">
        <v>438</v>
      </c>
      <c r="E168" s="35" t="s">
        <v>2337</v>
      </c>
      <c r="F168" s="35" t="s">
        <v>436</v>
      </c>
      <c r="G168" s="35" t="s">
        <v>456</v>
      </c>
      <c r="H168" s="35">
        <v>900</v>
      </c>
    </row>
    <row r="169" spans="1:8" ht="15.75" x14ac:dyDescent="0.25">
      <c r="A169" t="str">
        <f t="shared" si="2"/>
        <v>U157328GC574EVW-M</v>
      </c>
      <c r="B169" s="35" t="s">
        <v>913</v>
      </c>
      <c r="C169" s="35" t="s">
        <v>1178</v>
      </c>
      <c r="D169" s="35" t="s">
        <v>438</v>
      </c>
      <c r="E169" s="35" t="s">
        <v>2337</v>
      </c>
      <c r="F169" s="35" t="s">
        <v>436</v>
      </c>
      <c r="G169" s="35" t="s">
        <v>503</v>
      </c>
      <c r="H169" s="35">
        <v>780</v>
      </c>
    </row>
    <row r="170" spans="1:8" ht="15.75" x14ac:dyDescent="0.25">
      <c r="A170" t="str">
        <f t="shared" si="2"/>
        <v>U157329GC574EVW-M</v>
      </c>
      <c r="B170" s="35" t="s">
        <v>913</v>
      </c>
      <c r="C170" s="35" t="s">
        <v>1179</v>
      </c>
      <c r="D170" s="35" t="s">
        <v>438</v>
      </c>
      <c r="E170" s="35" t="s">
        <v>2337</v>
      </c>
      <c r="F170" s="35" t="s">
        <v>436</v>
      </c>
      <c r="G170" s="35" t="s">
        <v>503</v>
      </c>
      <c r="H170" s="35">
        <v>822</v>
      </c>
    </row>
    <row r="171" spans="1:8" ht="15.75" x14ac:dyDescent="0.25">
      <c r="A171" t="str">
        <f t="shared" si="2"/>
        <v>H195222I57429D-W</v>
      </c>
      <c r="B171" s="35" t="s">
        <v>910</v>
      </c>
      <c r="C171" s="35" t="s">
        <v>1180</v>
      </c>
      <c r="D171" s="35" t="s">
        <v>404</v>
      </c>
      <c r="E171" s="35" t="s">
        <v>2338</v>
      </c>
      <c r="F171" s="35" t="s">
        <v>422</v>
      </c>
      <c r="G171" s="35" t="s">
        <v>423</v>
      </c>
      <c r="H171" s="35">
        <v>288</v>
      </c>
    </row>
    <row r="172" spans="1:8" ht="15.75" x14ac:dyDescent="0.25">
      <c r="A172" t="str">
        <f t="shared" si="2"/>
        <v>C136474I57443A-M</v>
      </c>
      <c r="B172" s="35" t="s">
        <v>921</v>
      </c>
      <c r="C172" s="35" t="s">
        <v>1181</v>
      </c>
      <c r="D172" s="35" t="s">
        <v>401</v>
      </c>
      <c r="E172" s="35" t="s">
        <v>2337</v>
      </c>
      <c r="F172" s="35" t="s">
        <v>397</v>
      </c>
      <c r="G172" s="35" t="s">
        <v>400</v>
      </c>
      <c r="H172" s="35">
        <v>138</v>
      </c>
    </row>
    <row r="173" spans="1:8" ht="15.75" x14ac:dyDescent="0.25">
      <c r="A173" t="str">
        <f t="shared" si="2"/>
        <v>C136474I57443A-W</v>
      </c>
      <c r="B173" s="35" t="s">
        <v>921</v>
      </c>
      <c r="C173" s="35" t="s">
        <v>1181</v>
      </c>
      <c r="D173" s="35" t="s">
        <v>401</v>
      </c>
      <c r="E173" s="35" t="s">
        <v>2338</v>
      </c>
      <c r="F173" s="35" t="s">
        <v>397</v>
      </c>
      <c r="G173" s="35" t="s">
        <v>400</v>
      </c>
      <c r="H173" s="35">
        <v>36</v>
      </c>
    </row>
    <row r="174" spans="1:8" ht="15.75" x14ac:dyDescent="0.25">
      <c r="A174" t="str">
        <f t="shared" si="2"/>
        <v>U157252I57443A-M</v>
      </c>
      <c r="B174" s="35" t="s">
        <v>921</v>
      </c>
      <c r="C174" s="35" t="s">
        <v>1182</v>
      </c>
      <c r="D174" s="35" t="s">
        <v>438</v>
      </c>
      <c r="E174" s="35" t="s">
        <v>2337</v>
      </c>
      <c r="F174" s="35" t="s">
        <v>436</v>
      </c>
      <c r="G174" s="35" t="s">
        <v>2288</v>
      </c>
      <c r="H174" s="35">
        <v>1206</v>
      </c>
    </row>
    <row r="175" spans="1:8" ht="15.75" x14ac:dyDescent="0.25">
      <c r="A175" t="str">
        <f t="shared" si="2"/>
        <v>U157309I57443A-M</v>
      </c>
      <c r="B175" s="35" t="s">
        <v>921</v>
      </c>
      <c r="C175" s="35" t="s">
        <v>1183</v>
      </c>
      <c r="D175" s="35" t="s">
        <v>438</v>
      </c>
      <c r="E175" s="35" t="s">
        <v>2337</v>
      </c>
      <c r="F175" s="35" t="s">
        <v>436</v>
      </c>
      <c r="G175" s="35" t="s">
        <v>449</v>
      </c>
      <c r="H175" s="35">
        <v>918</v>
      </c>
    </row>
    <row r="176" spans="1:8" ht="15.75" x14ac:dyDescent="0.25">
      <c r="A176" t="str">
        <f t="shared" si="2"/>
        <v>U157313I57443A-M</v>
      </c>
      <c r="B176" s="35" t="s">
        <v>921</v>
      </c>
      <c r="C176" s="35" t="s">
        <v>1184</v>
      </c>
      <c r="D176" s="35" t="s">
        <v>438</v>
      </c>
      <c r="E176" s="35" t="s">
        <v>2337</v>
      </c>
      <c r="F176" s="35" t="s">
        <v>436</v>
      </c>
      <c r="G176" s="35" t="s">
        <v>449</v>
      </c>
      <c r="H176" s="35">
        <v>684</v>
      </c>
    </row>
    <row r="177" spans="1:8" ht="15.75" x14ac:dyDescent="0.25">
      <c r="A177" t="str">
        <f t="shared" si="2"/>
        <v>C136476I57487Y-M</v>
      </c>
      <c r="B177" s="35" t="s">
        <v>922</v>
      </c>
      <c r="C177" s="35" t="s">
        <v>1185</v>
      </c>
      <c r="D177" s="35" t="s">
        <v>401</v>
      </c>
      <c r="E177" s="35" t="s">
        <v>2337</v>
      </c>
      <c r="F177" s="35" t="s">
        <v>397</v>
      </c>
      <c r="G177" s="35" t="s">
        <v>400</v>
      </c>
      <c r="H177" s="35">
        <v>774</v>
      </c>
    </row>
    <row r="178" spans="1:8" ht="15.75" x14ac:dyDescent="0.25">
      <c r="A178" t="str">
        <f t="shared" si="2"/>
        <v>C136476I57487Y-W</v>
      </c>
      <c r="B178" s="35" t="s">
        <v>922</v>
      </c>
      <c r="C178" s="35" t="s">
        <v>1185</v>
      </c>
      <c r="D178" s="35" t="s">
        <v>401</v>
      </c>
      <c r="E178" s="35" t="s">
        <v>2338</v>
      </c>
      <c r="F178" s="35" t="s">
        <v>397</v>
      </c>
      <c r="G178" s="35" t="s">
        <v>400</v>
      </c>
      <c r="H178" s="35">
        <v>108</v>
      </c>
    </row>
    <row r="179" spans="1:8" ht="15.75" x14ac:dyDescent="0.25">
      <c r="A179" t="str">
        <f t="shared" si="2"/>
        <v>C136476I57487Y-XW</v>
      </c>
      <c r="B179" s="35" t="s">
        <v>922</v>
      </c>
      <c r="C179" s="35" t="s">
        <v>1185</v>
      </c>
      <c r="D179" s="35" t="s">
        <v>401</v>
      </c>
      <c r="E179" s="35" t="s">
        <v>2341</v>
      </c>
      <c r="F179" s="35" t="s">
        <v>397</v>
      </c>
      <c r="G179" s="35" t="s">
        <v>400</v>
      </c>
      <c r="H179" s="35">
        <v>30</v>
      </c>
    </row>
    <row r="180" spans="1:8" ht="15.75" x14ac:dyDescent="0.25">
      <c r="A180" t="str">
        <f t="shared" si="2"/>
        <v>U157314I57487Y-M</v>
      </c>
      <c r="B180" s="35" t="s">
        <v>922</v>
      </c>
      <c r="C180" s="35" t="s">
        <v>1186</v>
      </c>
      <c r="D180" s="35" t="s">
        <v>438</v>
      </c>
      <c r="E180" s="35" t="s">
        <v>2337</v>
      </c>
      <c r="F180" s="35" t="s">
        <v>436</v>
      </c>
      <c r="G180" s="35" t="s">
        <v>449</v>
      </c>
      <c r="H180" s="35">
        <v>582</v>
      </c>
    </row>
    <row r="181" spans="1:8" ht="15.75" x14ac:dyDescent="0.25">
      <c r="A181" t="str">
        <f t="shared" si="2"/>
        <v>H195482I57425Y-W</v>
      </c>
      <c r="B181" s="35" t="s">
        <v>909</v>
      </c>
      <c r="C181" s="35" t="s">
        <v>1187</v>
      </c>
      <c r="D181" s="35" t="s">
        <v>404</v>
      </c>
      <c r="E181" s="35" t="s">
        <v>2338</v>
      </c>
      <c r="F181" s="35" t="s">
        <v>422</v>
      </c>
      <c r="G181" s="35" t="s">
        <v>423</v>
      </c>
      <c r="H181" s="35">
        <v>288</v>
      </c>
    </row>
    <row r="182" spans="1:8" ht="15.75" x14ac:dyDescent="0.25">
      <c r="A182" t="str">
        <f t="shared" si="2"/>
        <v>H189878I57425Y-M</v>
      </c>
      <c r="B182" s="35" t="s">
        <v>909</v>
      </c>
      <c r="C182" s="35" t="s">
        <v>1188</v>
      </c>
      <c r="D182" s="35" t="s">
        <v>404</v>
      </c>
      <c r="E182" s="35" t="s">
        <v>2337</v>
      </c>
      <c r="F182" s="35" t="s">
        <v>414</v>
      </c>
      <c r="G182" s="35" t="s">
        <v>415</v>
      </c>
      <c r="H182" s="35">
        <v>708</v>
      </c>
    </row>
    <row r="183" spans="1:8" ht="15.75" x14ac:dyDescent="0.25">
      <c r="A183" t="str">
        <f t="shared" si="2"/>
        <v>H189796I57425Y-W</v>
      </c>
      <c r="B183" s="35" t="s">
        <v>909</v>
      </c>
      <c r="C183" s="35" t="s">
        <v>1189</v>
      </c>
      <c r="D183" s="35" t="s">
        <v>404</v>
      </c>
      <c r="E183" s="35" t="s">
        <v>2338</v>
      </c>
      <c r="F183" s="35" t="s">
        <v>424</v>
      </c>
      <c r="G183" s="35" t="s">
        <v>425</v>
      </c>
      <c r="H183" s="35">
        <v>1626</v>
      </c>
    </row>
    <row r="184" spans="1:8" ht="15.75" x14ac:dyDescent="0.25">
      <c r="A184" t="str">
        <f t="shared" si="2"/>
        <v>H188985I57429D-W</v>
      </c>
      <c r="B184" s="35" t="s">
        <v>910</v>
      </c>
      <c r="C184" s="35" t="s">
        <v>1190</v>
      </c>
      <c r="D184" s="35" t="s">
        <v>404</v>
      </c>
      <c r="E184" s="35" t="s">
        <v>2338</v>
      </c>
      <c r="F184" s="35" t="s">
        <v>424</v>
      </c>
      <c r="G184" s="35" t="s">
        <v>425</v>
      </c>
      <c r="H184" s="35">
        <v>2190</v>
      </c>
    </row>
    <row r="185" spans="1:8" ht="15.75" x14ac:dyDescent="0.25">
      <c r="A185" t="str">
        <f t="shared" si="2"/>
        <v>7880827I57443A-M</v>
      </c>
      <c r="B185" s="35" t="s">
        <v>921</v>
      </c>
      <c r="C185" s="35" t="s">
        <v>1191</v>
      </c>
      <c r="D185" s="35" t="s">
        <v>387</v>
      </c>
      <c r="E185" s="35" t="s">
        <v>2337</v>
      </c>
      <c r="F185" s="35" t="s">
        <v>388</v>
      </c>
      <c r="G185" s="35" t="s">
        <v>389</v>
      </c>
      <c r="H185" s="35">
        <v>258</v>
      </c>
    </row>
    <row r="186" spans="1:8" ht="15.75" x14ac:dyDescent="0.25">
      <c r="A186" t="str">
        <f t="shared" si="2"/>
        <v>7881034I57443A-W</v>
      </c>
      <c r="B186" s="35" t="s">
        <v>921</v>
      </c>
      <c r="C186" s="35" t="s">
        <v>1192</v>
      </c>
      <c r="D186" s="35" t="s">
        <v>394</v>
      </c>
      <c r="E186" s="35" t="s">
        <v>2338</v>
      </c>
      <c r="F186" s="35" t="s">
        <v>481</v>
      </c>
      <c r="G186" s="35" t="s">
        <v>482</v>
      </c>
      <c r="H186" s="35">
        <v>168</v>
      </c>
    </row>
    <row r="187" spans="1:8" ht="15.75" x14ac:dyDescent="0.25">
      <c r="A187" t="str">
        <f t="shared" si="2"/>
        <v>H189274I5744ML-M</v>
      </c>
      <c r="B187" s="35" t="s">
        <v>920</v>
      </c>
      <c r="C187" s="35" t="s">
        <v>1193</v>
      </c>
      <c r="D187" s="35" t="s">
        <v>404</v>
      </c>
      <c r="E187" s="35" t="s">
        <v>2337</v>
      </c>
      <c r="F187" s="35" t="s">
        <v>402</v>
      </c>
      <c r="G187" s="35" t="s">
        <v>2289</v>
      </c>
      <c r="H187" s="35">
        <v>288</v>
      </c>
    </row>
    <row r="188" spans="1:8" ht="15.75" x14ac:dyDescent="0.25">
      <c r="A188" t="str">
        <f t="shared" si="2"/>
        <v>H189808I5746W2-W</v>
      </c>
      <c r="B188" s="35" t="s">
        <v>919</v>
      </c>
      <c r="C188" s="35" t="s">
        <v>1194</v>
      </c>
      <c r="D188" s="35" t="s">
        <v>404</v>
      </c>
      <c r="E188" s="35" t="s">
        <v>2338</v>
      </c>
      <c r="F188" s="35" t="s">
        <v>424</v>
      </c>
      <c r="G188" s="35" t="s">
        <v>425</v>
      </c>
      <c r="H188" s="35">
        <v>2028</v>
      </c>
    </row>
    <row r="189" spans="1:8" ht="15.75" x14ac:dyDescent="0.25">
      <c r="A189" t="str">
        <f t="shared" si="2"/>
        <v>7886044I57487Y-M</v>
      </c>
      <c r="B189" s="35" t="s">
        <v>922</v>
      </c>
      <c r="C189" s="35" t="s">
        <v>1195</v>
      </c>
      <c r="D189" s="35" t="s">
        <v>395</v>
      </c>
      <c r="E189" s="35" t="s">
        <v>2337</v>
      </c>
      <c r="F189" s="35" t="s">
        <v>382</v>
      </c>
      <c r="G189" s="35" t="s">
        <v>383</v>
      </c>
      <c r="H189" s="35">
        <v>198</v>
      </c>
    </row>
    <row r="190" spans="1:8" ht="15.75" x14ac:dyDescent="0.25">
      <c r="A190" t="str">
        <f t="shared" si="2"/>
        <v>7881028I57487Y-W</v>
      </c>
      <c r="B190" s="35" t="s">
        <v>922</v>
      </c>
      <c r="C190" s="35" t="s">
        <v>1196</v>
      </c>
      <c r="D190" s="35" t="s">
        <v>394</v>
      </c>
      <c r="E190" s="35" t="s">
        <v>2338</v>
      </c>
      <c r="F190" s="35" t="s">
        <v>481</v>
      </c>
      <c r="G190" s="35" t="s">
        <v>482</v>
      </c>
      <c r="H190" s="35">
        <v>204</v>
      </c>
    </row>
    <row r="191" spans="1:8" ht="15.75" x14ac:dyDescent="0.25">
      <c r="A191" t="str">
        <f t="shared" si="2"/>
        <v>H190550PV574EVG-M</v>
      </c>
      <c r="B191" s="35" t="s">
        <v>904</v>
      </c>
      <c r="C191" s="35" t="s">
        <v>1197</v>
      </c>
      <c r="D191" s="35" t="s">
        <v>404</v>
      </c>
      <c r="E191" s="35" t="s">
        <v>2337</v>
      </c>
      <c r="F191" s="35" t="s">
        <v>414</v>
      </c>
      <c r="G191" s="35" t="s">
        <v>415</v>
      </c>
      <c r="H191" s="35">
        <v>504</v>
      </c>
    </row>
    <row r="192" spans="1:8" ht="15.75" x14ac:dyDescent="0.25">
      <c r="A192" t="str">
        <f t="shared" si="2"/>
        <v>H190533PV574EVG-W</v>
      </c>
      <c r="B192" s="35" t="s">
        <v>904</v>
      </c>
      <c r="C192" s="35" t="s">
        <v>1198</v>
      </c>
      <c r="D192" s="35" t="s">
        <v>404</v>
      </c>
      <c r="E192" s="35" t="s">
        <v>2338</v>
      </c>
      <c r="F192" s="35" t="s">
        <v>424</v>
      </c>
      <c r="G192" s="35" t="s">
        <v>425</v>
      </c>
      <c r="H192" s="35">
        <v>1008</v>
      </c>
    </row>
    <row r="193" spans="1:8" ht="15.75" x14ac:dyDescent="0.25">
      <c r="A193" t="str">
        <f t="shared" si="2"/>
        <v>7866850GC574EVW-M</v>
      </c>
      <c r="B193" s="35" t="s">
        <v>913</v>
      </c>
      <c r="C193" s="35">
        <v>7866850</v>
      </c>
      <c r="D193" s="35" t="s">
        <v>390</v>
      </c>
      <c r="E193" s="35" t="s">
        <v>2337</v>
      </c>
      <c r="F193" s="35" t="s">
        <v>382</v>
      </c>
      <c r="G193" s="35" t="s">
        <v>383</v>
      </c>
      <c r="H193" s="35">
        <v>282</v>
      </c>
    </row>
    <row r="194" spans="1:8" ht="15.75" x14ac:dyDescent="0.25">
      <c r="A194" t="str">
        <f t="shared" si="2"/>
        <v>7866212GC574EVB-M</v>
      </c>
      <c r="B194" s="35" t="s">
        <v>907</v>
      </c>
      <c r="C194" s="35" t="s">
        <v>280</v>
      </c>
      <c r="D194" s="35" t="s">
        <v>387</v>
      </c>
      <c r="E194" s="35" t="s">
        <v>2337</v>
      </c>
      <c r="F194" s="35" t="s">
        <v>385</v>
      </c>
      <c r="G194" s="35" t="s">
        <v>386</v>
      </c>
      <c r="H194" s="35">
        <v>270</v>
      </c>
    </row>
    <row r="195" spans="1:8" ht="15.75" x14ac:dyDescent="0.25">
      <c r="A195" t="str">
        <f t="shared" si="2"/>
        <v>7866239GC574EVE-M</v>
      </c>
      <c r="B195" s="35" t="s">
        <v>914</v>
      </c>
      <c r="C195" s="35" t="s">
        <v>290</v>
      </c>
      <c r="D195" s="35" t="s">
        <v>387</v>
      </c>
      <c r="E195" s="35" t="s">
        <v>2337</v>
      </c>
      <c r="F195" s="35" t="s">
        <v>385</v>
      </c>
      <c r="G195" s="35" t="s">
        <v>386</v>
      </c>
      <c r="H195" s="35">
        <v>234</v>
      </c>
    </row>
    <row r="196" spans="1:8" ht="15.75" x14ac:dyDescent="0.25">
      <c r="A196" t="str">
        <f t="shared" si="2"/>
        <v>7866225GC574EVG-M</v>
      </c>
      <c r="B196" s="35" t="s">
        <v>912</v>
      </c>
      <c r="C196" s="35" t="s">
        <v>293</v>
      </c>
      <c r="D196" s="35" t="s">
        <v>387</v>
      </c>
      <c r="E196" s="35" t="s">
        <v>2337</v>
      </c>
      <c r="F196" s="35" t="s">
        <v>385</v>
      </c>
      <c r="G196" s="35" t="s">
        <v>386</v>
      </c>
      <c r="H196" s="35">
        <v>234</v>
      </c>
    </row>
    <row r="197" spans="1:8" ht="15.75" x14ac:dyDescent="0.25">
      <c r="A197" t="str">
        <f t="shared" si="2"/>
        <v>7866189GC574EVK-M</v>
      </c>
      <c r="B197" s="35" t="s">
        <v>915</v>
      </c>
      <c r="C197" s="35" t="s">
        <v>299</v>
      </c>
      <c r="D197" s="35" t="s">
        <v>387</v>
      </c>
      <c r="E197" s="35" t="s">
        <v>2337</v>
      </c>
      <c r="F197" s="35" t="s">
        <v>385</v>
      </c>
      <c r="G197" s="35" t="s">
        <v>386</v>
      </c>
      <c r="H197" s="35">
        <v>360</v>
      </c>
    </row>
    <row r="198" spans="1:8" ht="15.75" x14ac:dyDescent="0.25">
      <c r="A198" t="str">
        <f t="shared" si="2"/>
        <v>7866243GC574EVW-M</v>
      </c>
      <c r="B198" s="35" t="s">
        <v>913</v>
      </c>
      <c r="C198" s="35" t="s">
        <v>307</v>
      </c>
      <c r="D198" s="35" t="s">
        <v>387</v>
      </c>
      <c r="E198" s="35" t="s">
        <v>2337</v>
      </c>
      <c r="F198" s="35" t="s">
        <v>385</v>
      </c>
      <c r="G198" s="35" t="s">
        <v>386</v>
      </c>
      <c r="H198" s="35">
        <v>144</v>
      </c>
    </row>
    <row r="199" spans="1:8" ht="15.75" x14ac:dyDescent="0.25">
      <c r="A199" t="str">
        <f t="shared" ref="A199:A262" si="3">+C199&amp;B199&amp;"-"&amp;E199</f>
        <v>7866883PC574EVW-M</v>
      </c>
      <c r="B199" s="35" t="s">
        <v>911</v>
      </c>
      <c r="C199" s="35" t="s">
        <v>476</v>
      </c>
      <c r="D199" s="35" t="s">
        <v>390</v>
      </c>
      <c r="E199" s="35" t="s">
        <v>2337</v>
      </c>
      <c r="F199" s="35" t="s">
        <v>382</v>
      </c>
      <c r="G199" s="35" t="s">
        <v>383</v>
      </c>
      <c r="H199" s="35">
        <v>276</v>
      </c>
    </row>
    <row r="200" spans="1:8" ht="15.75" x14ac:dyDescent="0.25">
      <c r="A200" t="str">
        <f t="shared" si="3"/>
        <v>7866406G6035EQ-M</v>
      </c>
      <c r="B200" s="35" t="s">
        <v>888</v>
      </c>
      <c r="C200" s="35" t="s">
        <v>1199</v>
      </c>
      <c r="D200" s="35" t="s">
        <v>387</v>
      </c>
      <c r="E200" s="35" t="s">
        <v>2337</v>
      </c>
      <c r="F200" s="35" t="s">
        <v>388</v>
      </c>
      <c r="G200" s="35" t="s">
        <v>389</v>
      </c>
      <c r="H200" s="35">
        <v>420</v>
      </c>
    </row>
    <row r="201" spans="1:8" ht="15.75" x14ac:dyDescent="0.25">
      <c r="A201" t="str">
        <f t="shared" si="3"/>
        <v>H171722G6037LU-M</v>
      </c>
      <c r="B201" s="35" t="s">
        <v>889</v>
      </c>
      <c r="C201" s="35" t="s">
        <v>1200</v>
      </c>
      <c r="D201" s="35" t="s">
        <v>404</v>
      </c>
      <c r="E201" s="35" t="s">
        <v>2337</v>
      </c>
      <c r="F201" s="35" t="s">
        <v>430</v>
      </c>
      <c r="G201" s="35" t="s">
        <v>431</v>
      </c>
      <c r="H201" s="35">
        <v>228</v>
      </c>
    </row>
    <row r="202" spans="1:8" ht="15.75" x14ac:dyDescent="0.25">
      <c r="A202" t="str">
        <f t="shared" si="3"/>
        <v>H176945W60336H-B</v>
      </c>
      <c r="B202" s="35" t="s">
        <v>923</v>
      </c>
      <c r="C202" s="35" t="s">
        <v>1201</v>
      </c>
      <c r="D202" s="35" t="s">
        <v>404</v>
      </c>
      <c r="E202" s="35" t="s">
        <v>2339</v>
      </c>
      <c r="F202" s="35" t="s">
        <v>498</v>
      </c>
      <c r="G202" s="35" t="s">
        <v>499</v>
      </c>
      <c r="H202" s="35">
        <v>570</v>
      </c>
    </row>
    <row r="203" spans="1:8" ht="15.75" x14ac:dyDescent="0.25">
      <c r="A203" t="str">
        <f t="shared" si="3"/>
        <v>7875658W60347S-B</v>
      </c>
      <c r="B203" s="35" t="s">
        <v>924</v>
      </c>
      <c r="C203" s="35" t="s">
        <v>564</v>
      </c>
      <c r="D203" s="35" t="s">
        <v>394</v>
      </c>
      <c r="E203" s="35" t="s">
        <v>2339</v>
      </c>
      <c r="F203" s="35" t="s">
        <v>481</v>
      </c>
      <c r="G203" s="35" t="s">
        <v>482</v>
      </c>
      <c r="H203" s="35">
        <v>306</v>
      </c>
    </row>
    <row r="204" spans="1:8" ht="15.75" x14ac:dyDescent="0.25">
      <c r="A204" t="str">
        <f t="shared" si="3"/>
        <v>U148000W6034FP-B</v>
      </c>
      <c r="B204" s="35" t="s">
        <v>925</v>
      </c>
      <c r="C204" s="35" t="s">
        <v>567</v>
      </c>
      <c r="D204" s="35" t="s">
        <v>438</v>
      </c>
      <c r="E204" s="35" t="s">
        <v>2339</v>
      </c>
      <c r="F204" s="35" t="s">
        <v>436</v>
      </c>
      <c r="G204" s="35" t="s">
        <v>452</v>
      </c>
      <c r="H204" s="35">
        <v>600</v>
      </c>
    </row>
    <row r="205" spans="1:8" ht="15.75" x14ac:dyDescent="0.25">
      <c r="A205" t="str">
        <f t="shared" si="3"/>
        <v>H171628G6032U8-M</v>
      </c>
      <c r="B205" s="35" t="s">
        <v>887</v>
      </c>
      <c r="C205" s="35" t="s">
        <v>1202</v>
      </c>
      <c r="D205" s="35" t="s">
        <v>404</v>
      </c>
      <c r="E205" s="35" t="s">
        <v>2337</v>
      </c>
      <c r="F205" s="35" t="s">
        <v>498</v>
      </c>
      <c r="G205" s="35" t="s">
        <v>499</v>
      </c>
      <c r="H205" s="35">
        <v>144</v>
      </c>
    </row>
    <row r="206" spans="1:8" ht="15.75" x14ac:dyDescent="0.25">
      <c r="A206" t="str">
        <f t="shared" si="3"/>
        <v>U146445G6032Z2-M</v>
      </c>
      <c r="B206" s="35" t="s">
        <v>892</v>
      </c>
      <c r="C206" s="35" t="s">
        <v>579</v>
      </c>
      <c r="D206" s="35" t="s">
        <v>438</v>
      </c>
      <c r="E206" s="35" t="s">
        <v>2337</v>
      </c>
      <c r="F206" s="35" t="s">
        <v>436</v>
      </c>
      <c r="G206" s="35" t="s">
        <v>437</v>
      </c>
      <c r="H206" s="35">
        <v>900</v>
      </c>
    </row>
    <row r="207" spans="1:8" ht="15.75" x14ac:dyDescent="0.25">
      <c r="A207" t="str">
        <f t="shared" si="3"/>
        <v>U146473G6032Z2-M</v>
      </c>
      <c r="B207" s="35" t="s">
        <v>892</v>
      </c>
      <c r="C207" s="35" t="s">
        <v>573</v>
      </c>
      <c r="D207" s="35" t="s">
        <v>438</v>
      </c>
      <c r="E207" s="35" t="s">
        <v>2337</v>
      </c>
      <c r="F207" s="35" t="s">
        <v>436</v>
      </c>
      <c r="G207" s="35" t="s">
        <v>447</v>
      </c>
      <c r="H207" s="35">
        <v>672</v>
      </c>
    </row>
    <row r="208" spans="1:8" ht="15.75" x14ac:dyDescent="0.25">
      <c r="A208" t="str">
        <f t="shared" si="3"/>
        <v>H171646G6033UP-M</v>
      </c>
      <c r="B208" s="35" t="s">
        <v>890</v>
      </c>
      <c r="C208" s="35" t="s">
        <v>1203</v>
      </c>
      <c r="D208" s="35" t="s">
        <v>404</v>
      </c>
      <c r="E208" s="35" t="s">
        <v>2337</v>
      </c>
      <c r="F208" s="35" t="s">
        <v>498</v>
      </c>
      <c r="G208" s="35" t="s">
        <v>499</v>
      </c>
      <c r="H208" s="35">
        <v>144</v>
      </c>
    </row>
    <row r="209" spans="1:8" ht="15.75" x14ac:dyDescent="0.25">
      <c r="A209" t="str">
        <f t="shared" si="3"/>
        <v>7879205G60346H-M</v>
      </c>
      <c r="B209" s="35" t="s">
        <v>926</v>
      </c>
      <c r="C209" s="35" t="s">
        <v>649</v>
      </c>
      <c r="D209" s="35" t="s">
        <v>395</v>
      </c>
      <c r="E209" s="35" t="s">
        <v>2337</v>
      </c>
      <c r="F209" s="35" t="s">
        <v>382</v>
      </c>
      <c r="G209" s="35" t="s">
        <v>383</v>
      </c>
      <c r="H209" s="35">
        <v>528</v>
      </c>
    </row>
    <row r="210" spans="1:8" ht="15.75" x14ac:dyDescent="0.25">
      <c r="A210" t="str">
        <f t="shared" si="3"/>
        <v>U146411G6032Z2-M</v>
      </c>
      <c r="B210" s="35" t="s">
        <v>892</v>
      </c>
      <c r="C210" s="35" t="s">
        <v>601</v>
      </c>
      <c r="D210" s="35" t="s">
        <v>438</v>
      </c>
      <c r="E210" s="35" t="s">
        <v>2337</v>
      </c>
      <c r="F210" s="35" t="s">
        <v>436</v>
      </c>
      <c r="G210" s="35" t="s">
        <v>440</v>
      </c>
      <c r="H210" s="35">
        <v>516</v>
      </c>
    </row>
    <row r="211" spans="1:8" ht="15.75" x14ac:dyDescent="0.25">
      <c r="A211" t="str">
        <f t="shared" si="3"/>
        <v>U146416G6032Z2-M</v>
      </c>
      <c r="B211" s="35" t="s">
        <v>892</v>
      </c>
      <c r="C211" s="35" t="s">
        <v>623</v>
      </c>
      <c r="D211" s="35" t="s">
        <v>438</v>
      </c>
      <c r="E211" s="35" t="s">
        <v>2337</v>
      </c>
      <c r="F211" s="35" t="s">
        <v>436</v>
      </c>
      <c r="G211" s="35" t="s">
        <v>439</v>
      </c>
      <c r="H211" s="35">
        <v>516</v>
      </c>
    </row>
    <row r="212" spans="1:8" ht="15.75" x14ac:dyDescent="0.25">
      <c r="A212" t="str">
        <f t="shared" si="3"/>
        <v>U146407G6035F4-M</v>
      </c>
      <c r="B212" s="35" t="s">
        <v>891</v>
      </c>
      <c r="C212" s="35" t="s">
        <v>633</v>
      </c>
      <c r="D212" s="35" t="s">
        <v>438</v>
      </c>
      <c r="E212" s="35" t="s">
        <v>2337</v>
      </c>
      <c r="F212" s="35" t="s">
        <v>436</v>
      </c>
      <c r="G212" s="35" t="s">
        <v>440</v>
      </c>
      <c r="H212" s="35">
        <v>708</v>
      </c>
    </row>
    <row r="213" spans="1:8" ht="15.75" x14ac:dyDescent="0.25">
      <c r="A213" t="str">
        <f t="shared" si="3"/>
        <v>U146421G6035F4-M</v>
      </c>
      <c r="B213" s="35" t="s">
        <v>891</v>
      </c>
      <c r="C213" s="35" t="s">
        <v>636</v>
      </c>
      <c r="D213" s="35" t="s">
        <v>438</v>
      </c>
      <c r="E213" s="35" t="s">
        <v>2337</v>
      </c>
      <c r="F213" s="35" t="s">
        <v>436</v>
      </c>
      <c r="G213" s="35" t="s">
        <v>439</v>
      </c>
      <c r="H213" s="35">
        <v>780</v>
      </c>
    </row>
    <row r="214" spans="1:8" ht="15.75" x14ac:dyDescent="0.25">
      <c r="A214" t="str">
        <f t="shared" si="3"/>
        <v>U152783G6037LU-W</v>
      </c>
      <c r="B214" s="35" t="s">
        <v>889</v>
      </c>
      <c r="C214" s="35" t="s">
        <v>663</v>
      </c>
      <c r="D214" s="35" t="s">
        <v>457</v>
      </c>
      <c r="E214" s="35" t="s">
        <v>2338</v>
      </c>
      <c r="F214" s="35" t="s">
        <v>436</v>
      </c>
      <c r="G214" s="35" t="s">
        <v>443</v>
      </c>
      <c r="H214" s="35">
        <v>180</v>
      </c>
    </row>
    <row r="215" spans="1:8" ht="15.75" x14ac:dyDescent="0.25">
      <c r="A215" t="str">
        <f t="shared" si="3"/>
        <v>C135238W6033JW-B</v>
      </c>
      <c r="B215" s="35" t="s">
        <v>927</v>
      </c>
      <c r="C215" s="35" t="s">
        <v>657</v>
      </c>
      <c r="D215" s="35" t="s">
        <v>401</v>
      </c>
      <c r="E215" s="35" t="s">
        <v>2339</v>
      </c>
      <c r="F215" s="35" t="s">
        <v>397</v>
      </c>
      <c r="G215" s="35" t="s">
        <v>400</v>
      </c>
      <c r="H215" s="35">
        <v>486</v>
      </c>
    </row>
    <row r="216" spans="1:8" ht="15.75" x14ac:dyDescent="0.25">
      <c r="A216" t="str">
        <f t="shared" si="3"/>
        <v>U148009W6033JW-B</v>
      </c>
      <c r="B216" s="35" t="s">
        <v>927</v>
      </c>
      <c r="C216" s="35" t="s">
        <v>666</v>
      </c>
      <c r="D216" s="35" t="s">
        <v>438</v>
      </c>
      <c r="E216" s="35" t="s">
        <v>2339</v>
      </c>
      <c r="F216" s="35" t="s">
        <v>436</v>
      </c>
      <c r="G216" s="35" t="s">
        <v>439</v>
      </c>
      <c r="H216" s="35">
        <v>1788</v>
      </c>
    </row>
    <row r="217" spans="1:8" ht="15.75" x14ac:dyDescent="0.25">
      <c r="A217" t="str">
        <f t="shared" si="3"/>
        <v>U148019W6033JW-B</v>
      </c>
      <c r="B217" s="35" t="s">
        <v>927</v>
      </c>
      <c r="C217" s="35" t="s">
        <v>702</v>
      </c>
      <c r="D217" s="35" t="s">
        <v>438</v>
      </c>
      <c r="E217" s="35" t="s">
        <v>2339</v>
      </c>
      <c r="F217" s="35" t="s">
        <v>436</v>
      </c>
      <c r="G217" s="35" t="s">
        <v>440</v>
      </c>
      <c r="H217" s="35">
        <v>2700</v>
      </c>
    </row>
    <row r="218" spans="1:8" ht="15.75" x14ac:dyDescent="0.25">
      <c r="A218" t="str">
        <f t="shared" si="3"/>
        <v>H177018W6038GJ-B</v>
      </c>
      <c r="B218" s="35" t="s">
        <v>928</v>
      </c>
      <c r="C218" s="35" t="s">
        <v>812</v>
      </c>
      <c r="D218" s="35" t="s">
        <v>404</v>
      </c>
      <c r="E218" s="35" t="s">
        <v>2339</v>
      </c>
      <c r="F218" s="35" t="s">
        <v>524</v>
      </c>
      <c r="G218" s="35" t="s">
        <v>525</v>
      </c>
      <c r="H218" s="35">
        <v>252</v>
      </c>
    </row>
    <row r="219" spans="1:8" ht="15.75" x14ac:dyDescent="0.25">
      <c r="A219" t="str">
        <f t="shared" si="3"/>
        <v>H176976W6038GJ-B</v>
      </c>
      <c r="B219" s="35" t="s">
        <v>928</v>
      </c>
      <c r="C219" s="35" t="s">
        <v>818</v>
      </c>
      <c r="D219" s="35" t="s">
        <v>404</v>
      </c>
      <c r="E219" s="35" t="s">
        <v>2339</v>
      </c>
      <c r="F219" s="35" t="s">
        <v>501</v>
      </c>
      <c r="G219" s="35" t="s">
        <v>502</v>
      </c>
      <c r="H219" s="35">
        <v>1632</v>
      </c>
    </row>
    <row r="220" spans="1:8" ht="15.75" x14ac:dyDescent="0.25">
      <c r="A220" t="str">
        <f t="shared" si="3"/>
        <v>7877368W6032WW-B</v>
      </c>
      <c r="B220" s="35" t="s">
        <v>929</v>
      </c>
      <c r="C220" s="35" t="s">
        <v>864</v>
      </c>
      <c r="D220" s="35" t="s">
        <v>395</v>
      </c>
      <c r="E220" s="35" t="s">
        <v>2339</v>
      </c>
      <c r="F220" s="35" t="s">
        <v>382</v>
      </c>
      <c r="G220" s="35" t="s">
        <v>383</v>
      </c>
      <c r="H220" s="35">
        <v>330</v>
      </c>
    </row>
    <row r="221" spans="1:8" ht="15.75" x14ac:dyDescent="0.25">
      <c r="A221" t="str">
        <f t="shared" si="3"/>
        <v>H176919W6037JY-B</v>
      </c>
      <c r="B221" s="35" t="s">
        <v>930</v>
      </c>
      <c r="C221" s="35" t="s">
        <v>878</v>
      </c>
      <c r="D221" s="35" t="s">
        <v>404</v>
      </c>
      <c r="E221" s="35" t="s">
        <v>2339</v>
      </c>
      <c r="F221" s="35" t="s">
        <v>414</v>
      </c>
      <c r="G221" s="35" t="s">
        <v>415</v>
      </c>
      <c r="H221" s="35">
        <v>144</v>
      </c>
    </row>
    <row r="222" spans="1:8" ht="15.75" x14ac:dyDescent="0.25">
      <c r="A222" t="str">
        <f t="shared" si="3"/>
        <v>H176974W6037JY-B</v>
      </c>
      <c r="B222" s="35" t="s">
        <v>930</v>
      </c>
      <c r="C222" s="35" t="s">
        <v>879</v>
      </c>
      <c r="D222" s="35" t="s">
        <v>404</v>
      </c>
      <c r="E222" s="35" t="s">
        <v>2339</v>
      </c>
      <c r="F222" s="35" t="s">
        <v>501</v>
      </c>
      <c r="G222" s="35" t="s">
        <v>502</v>
      </c>
      <c r="H222" s="35">
        <v>1302</v>
      </c>
    </row>
    <row r="223" spans="1:8" ht="15.75" x14ac:dyDescent="0.25">
      <c r="A223" t="str">
        <f t="shared" si="3"/>
        <v>H197392W6039DJ-B</v>
      </c>
      <c r="B223" s="35" t="s">
        <v>931</v>
      </c>
      <c r="C223" s="35" t="s">
        <v>1204</v>
      </c>
      <c r="D223" s="35" t="s">
        <v>404</v>
      </c>
      <c r="E223" s="35" t="s">
        <v>2339</v>
      </c>
      <c r="F223" s="35" t="s">
        <v>405</v>
      </c>
      <c r="G223" s="35" t="s">
        <v>406</v>
      </c>
      <c r="H223" s="35">
        <v>1122</v>
      </c>
    </row>
    <row r="224" spans="1:8" ht="15.75" x14ac:dyDescent="0.25">
      <c r="A224" t="str">
        <f t="shared" si="3"/>
        <v>H145756W6039DJ-B</v>
      </c>
      <c r="B224" s="35" t="s">
        <v>931</v>
      </c>
      <c r="C224" s="35" t="s">
        <v>1205</v>
      </c>
      <c r="D224" s="35" t="s">
        <v>411</v>
      </c>
      <c r="E224" s="35" t="s">
        <v>2339</v>
      </c>
      <c r="F224" s="35" t="s">
        <v>409</v>
      </c>
      <c r="G224" s="35" t="s">
        <v>410</v>
      </c>
      <c r="H224" s="35">
        <v>450</v>
      </c>
    </row>
    <row r="225" spans="1:8" ht="15.75" x14ac:dyDescent="0.25">
      <c r="A225" t="str">
        <f t="shared" si="3"/>
        <v>H176977W6037ZC-B</v>
      </c>
      <c r="B225" s="35" t="s">
        <v>932</v>
      </c>
      <c r="C225" s="35" t="s">
        <v>1206</v>
      </c>
      <c r="D225" s="35" t="s">
        <v>404</v>
      </c>
      <c r="E225" s="35" t="s">
        <v>2339</v>
      </c>
      <c r="F225" s="35" t="s">
        <v>501</v>
      </c>
      <c r="G225" s="35" t="s">
        <v>502</v>
      </c>
      <c r="H225" s="35">
        <v>1434</v>
      </c>
    </row>
    <row r="226" spans="1:8" ht="15.75" x14ac:dyDescent="0.25">
      <c r="A226" t="str">
        <f t="shared" si="3"/>
        <v>H177151W6038GJ-B</v>
      </c>
      <c r="B226" s="35" t="s">
        <v>928</v>
      </c>
      <c r="C226" s="35" t="s">
        <v>1207</v>
      </c>
      <c r="D226" s="35" t="s">
        <v>404</v>
      </c>
      <c r="E226" s="35" t="s">
        <v>2339</v>
      </c>
      <c r="F226" s="35" t="s">
        <v>422</v>
      </c>
      <c r="G226" s="35" t="s">
        <v>2290</v>
      </c>
      <c r="H226" s="35">
        <v>894</v>
      </c>
    </row>
    <row r="227" spans="1:8" ht="15.75" x14ac:dyDescent="0.25">
      <c r="A227" t="str">
        <f t="shared" si="3"/>
        <v>H177143W6037JY-B</v>
      </c>
      <c r="B227" s="35" t="s">
        <v>930</v>
      </c>
      <c r="C227" s="35" t="s">
        <v>1208</v>
      </c>
      <c r="D227" s="35" t="s">
        <v>404</v>
      </c>
      <c r="E227" s="35" t="s">
        <v>2339</v>
      </c>
      <c r="F227" s="35" t="s">
        <v>422</v>
      </c>
      <c r="G227" s="35" t="s">
        <v>2290</v>
      </c>
      <c r="H227" s="35">
        <v>2832</v>
      </c>
    </row>
    <row r="228" spans="1:8" ht="15.75" x14ac:dyDescent="0.25">
      <c r="A228" t="str">
        <f t="shared" si="3"/>
        <v>H177145W6037JY-B</v>
      </c>
      <c r="B228" s="35" t="s">
        <v>930</v>
      </c>
      <c r="C228" s="35" t="s">
        <v>1209</v>
      </c>
      <c r="D228" s="35" t="s">
        <v>404</v>
      </c>
      <c r="E228" s="35" t="s">
        <v>2339</v>
      </c>
      <c r="F228" s="35" t="s">
        <v>422</v>
      </c>
      <c r="G228" s="35" t="s">
        <v>2290</v>
      </c>
      <c r="H228" s="35">
        <v>840</v>
      </c>
    </row>
    <row r="229" spans="1:8" ht="15.75" x14ac:dyDescent="0.25">
      <c r="A229" t="str">
        <f t="shared" si="3"/>
        <v>C136040M6034X3-D</v>
      </c>
      <c r="B229" s="35" t="s">
        <v>933</v>
      </c>
      <c r="C229" s="35" t="s">
        <v>1210</v>
      </c>
      <c r="D229" s="35" t="s">
        <v>401</v>
      </c>
      <c r="E229" s="35" t="s">
        <v>2340</v>
      </c>
      <c r="F229" s="35" t="s">
        <v>397</v>
      </c>
      <c r="G229" s="35" t="s">
        <v>400</v>
      </c>
      <c r="H229" s="35">
        <v>690</v>
      </c>
    </row>
    <row r="230" spans="1:8" ht="15.75" x14ac:dyDescent="0.25">
      <c r="A230" t="str">
        <f t="shared" si="3"/>
        <v>C136041M6034X3-D</v>
      </c>
      <c r="B230" s="35" t="s">
        <v>933</v>
      </c>
      <c r="C230" s="35" t="s">
        <v>1211</v>
      </c>
      <c r="D230" s="35" t="s">
        <v>399</v>
      </c>
      <c r="E230" s="35" t="s">
        <v>2340</v>
      </c>
      <c r="F230" s="35" t="s">
        <v>397</v>
      </c>
      <c r="G230" s="35" t="s">
        <v>2291</v>
      </c>
      <c r="H230" s="35">
        <v>600</v>
      </c>
    </row>
    <row r="231" spans="1:8" ht="15.75" x14ac:dyDescent="0.25">
      <c r="A231" t="str">
        <f t="shared" si="3"/>
        <v>H177191W6037E8-B</v>
      </c>
      <c r="B231" s="35" t="s">
        <v>934</v>
      </c>
      <c r="C231" s="35" t="s">
        <v>1212</v>
      </c>
      <c r="D231" s="35" t="s">
        <v>404</v>
      </c>
      <c r="E231" s="35" t="s">
        <v>2339</v>
      </c>
      <c r="F231" s="35" t="s">
        <v>402</v>
      </c>
      <c r="G231" s="35" t="s">
        <v>2289</v>
      </c>
      <c r="H231" s="35">
        <v>564</v>
      </c>
    </row>
    <row r="232" spans="1:8" ht="15.75" x14ac:dyDescent="0.25">
      <c r="A232" t="str">
        <f t="shared" si="3"/>
        <v>H177177W6037ZC-B</v>
      </c>
      <c r="B232" s="35" t="s">
        <v>932</v>
      </c>
      <c r="C232" s="35" t="s">
        <v>1213</v>
      </c>
      <c r="D232" s="35" t="s">
        <v>404</v>
      </c>
      <c r="E232" s="35" t="s">
        <v>2339</v>
      </c>
      <c r="F232" s="35" t="s">
        <v>402</v>
      </c>
      <c r="G232" s="35" t="s">
        <v>2289</v>
      </c>
      <c r="H232" s="35">
        <v>354</v>
      </c>
    </row>
    <row r="233" spans="1:8" ht="15.75" x14ac:dyDescent="0.25">
      <c r="A233" t="str">
        <f t="shared" si="3"/>
        <v>H177198W6039SA-B</v>
      </c>
      <c r="B233" s="35" t="s">
        <v>935</v>
      </c>
      <c r="C233" s="35" t="s">
        <v>1214</v>
      </c>
      <c r="D233" s="35" t="s">
        <v>404</v>
      </c>
      <c r="E233" s="35" t="s">
        <v>2339</v>
      </c>
      <c r="F233" s="35" t="s">
        <v>402</v>
      </c>
      <c r="G233" s="35" t="s">
        <v>2289</v>
      </c>
      <c r="H233" s="35">
        <v>708</v>
      </c>
    </row>
    <row r="234" spans="1:8" ht="15.75" x14ac:dyDescent="0.25">
      <c r="A234" t="str">
        <f t="shared" si="3"/>
        <v>7878155W6039SA-B</v>
      </c>
      <c r="B234" s="35" t="s">
        <v>935</v>
      </c>
      <c r="C234" s="35" t="s">
        <v>1215</v>
      </c>
      <c r="D234" s="35" t="s">
        <v>474</v>
      </c>
      <c r="E234" s="35" t="s">
        <v>2339</v>
      </c>
      <c r="F234" s="35" t="s">
        <v>379</v>
      </c>
      <c r="G234" s="35" t="s">
        <v>380</v>
      </c>
      <c r="H234" s="35">
        <v>282</v>
      </c>
    </row>
    <row r="235" spans="1:8" ht="15.75" x14ac:dyDescent="0.25">
      <c r="A235" t="str">
        <f t="shared" si="3"/>
        <v>U157228G6035F4-M</v>
      </c>
      <c r="B235" s="35" t="s">
        <v>891</v>
      </c>
      <c r="C235" s="35" t="s">
        <v>1216</v>
      </c>
      <c r="D235" s="35" t="s">
        <v>438</v>
      </c>
      <c r="E235" s="35" t="s">
        <v>2337</v>
      </c>
      <c r="F235" s="35" t="s">
        <v>436</v>
      </c>
      <c r="G235" s="35" t="s">
        <v>442</v>
      </c>
      <c r="H235" s="35">
        <v>600</v>
      </c>
    </row>
    <row r="236" spans="1:8" ht="15.75" x14ac:dyDescent="0.25">
      <c r="A236" t="str">
        <f t="shared" si="3"/>
        <v>U157228G6035F4-W</v>
      </c>
      <c r="B236" s="35" t="s">
        <v>891</v>
      </c>
      <c r="C236" s="35" t="s">
        <v>1216</v>
      </c>
      <c r="D236" s="35" t="s">
        <v>438</v>
      </c>
      <c r="E236" s="35" t="s">
        <v>2338</v>
      </c>
      <c r="F236" s="35" t="s">
        <v>436</v>
      </c>
      <c r="G236" s="35" t="s">
        <v>442</v>
      </c>
      <c r="H236" s="35">
        <v>600</v>
      </c>
    </row>
    <row r="237" spans="1:8" ht="15.75" x14ac:dyDescent="0.25">
      <c r="A237" t="str">
        <f t="shared" si="3"/>
        <v>U157253G6035F4-M</v>
      </c>
      <c r="B237" s="35" t="s">
        <v>891</v>
      </c>
      <c r="C237" s="35" t="s">
        <v>1217</v>
      </c>
      <c r="D237" s="35" t="s">
        <v>438</v>
      </c>
      <c r="E237" s="35" t="s">
        <v>2337</v>
      </c>
      <c r="F237" s="35" t="s">
        <v>436</v>
      </c>
      <c r="G237" s="35" t="s">
        <v>452</v>
      </c>
      <c r="H237" s="35">
        <v>600</v>
      </c>
    </row>
    <row r="238" spans="1:8" ht="15.75" x14ac:dyDescent="0.25">
      <c r="A238" t="str">
        <f t="shared" si="3"/>
        <v>U157257G6035F4-M</v>
      </c>
      <c r="B238" s="35" t="s">
        <v>891</v>
      </c>
      <c r="C238" s="35" t="s">
        <v>1218</v>
      </c>
      <c r="D238" s="35" t="s">
        <v>438</v>
      </c>
      <c r="E238" s="35" t="s">
        <v>2337</v>
      </c>
      <c r="F238" s="35" t="s">
        <v>436</v>
      </c>
      <c r="G238" s="35" t="s">
        <v>439</v>
      </c>
      <c r="H238" s="35">
        <v>708</v>
      </c>
    </row>
    <row r="239" spans="1:8" ht="15.75" x14ac:dyDescent="0.25">
      <c r="A239" t="str">
        <f t="shared" si="3"/>
        <v>U157267G6035F4-M</v>
      </c>
      <c r="B239" s="35" t="s">
        <v>891</v>
      </c>
      <c r="C239" s="35" t="s">
        <v>1219</v>
      </c>
      <c r="D239" s="35" t="s">
        <v>438</v>
      </c>
      <c r="E239" s="35" t="s">
        <v>2337</v>
      </c>
      <c r="F239" s="35" t="s">
        <v>436</v>
      </c>
      <c r="G239" s="35" t="s">
        <v>440</v>
      </c>
      <c r="H239" s="35">
        <v>1092</v>
      </c>
    </row>
    <row r="240" spans="1:8" ht="15.75" x14ac:dyDescent="0.25">
      <c r="A240" t="str">
        <f t="shared" si="3"/>
        <v>U157327G6035F4-M</v>
      </c>
      <c r="B240" s="35" t="s">
        <v>891</v>
      </c>
      <c r="C240" s="35" t="s">
        <v>1220</v>
      </c>
      <c r="D240" s="35" t="s">
        <v>438</v>
      </c>
      <c r="E240" s="35" t="s">
        <v>2337</v>
      </c>
      <c r="F240" s="35" t="s">
        <v>436</v>
      </c>
      <c r="G240" s="35" t="s">
        <v>458</v>
      </c>
      <c r="H240" s="35">
        <v>900</v>
      </c>
    </row>
    <row r="241" spans="1:8" ht="15.75" x14ac:dyDescent="0.25">
      <c r="A241" t="str">
        <f t="shared" si="3"/>
        <v>U157341G6035F4-M</v>
      </c>
      <c r="B241" s="35" t="s">
        <v>891</v>
      </c>
      <c r="C241" s="35" t="s">
        <v>1221</v>
      </c>
      <c r="D241" s="35" t="s">
        <v>438</v>
      </c>
      <c r="E241" s="35" t="s">
        <v>2337</v>
      </c>
      <c r="F241" s="35" t="s">
        <v>436</v>
      </c>
      <c r="G241" s="35" t="s">
        <v>446</v>
      </c>
      <c r="H241" s="35">
        <v>792</v>
      </c>
    </row>
    <row r="242" spans="1:8" ht="15.75" x14ac:dyDescent="0.25">
      <c r="A242" t="str">
        <f t="shared" si="3"/>
        <v>7886038G6035F4-M</v>
      </c>
      <c r="B242" s="35" t="s">
        <v>891</v>
      </c>
      <c r="C242" s="35" t="s">
        <v>1222</v>
      </c>
      <c r="D242" s="35" t="s">
        <v>395</v>
      </c>
      <c r="E242" s="35" t="s">
        <v>2337</v>
      </c>
      <c r="F242" s="35" t="s">
        <v>382</v>
      </c>
      <c r="G242" s="35" t="s">
        <v>383</v>
      </c>
      <c r="H242" s="35">
        <v>528</v>
      </c>
    </row>
    <row r="243" spans="1:8" ht="15.75" x14ac:dyDescent="0.25">
      <c r="A243" t="str">
        <f t="shared" si="3"/>
        <v>H176839W6037E8-B</v>
      </c>
      <c r="B243" s="35" t="s">
        <v>934</v>
      </c>
      <c r="C243" s="35" t="s">
        <v>1223</v>
      </c>
      <c r="D243" s="35" t="s">
        <v>404</v>
      </c>
      <c r="E243" s="35" t="s">
        <v>2339</v>
      </c>
      <c r="F243" s="35" t="s">
        <v>2292</v>
      </c>
      <c r="G243" s="35" t="s">
        <v>2293</v>
      </c>
      <c r="H243" s="35">
        <v>300</v>
      </c>
    </row>
    <row r="244" spans="1:8" ht="15.75" x14ac:dyDescent="0.25">
      <c r="A244" t="str">
        <f t="shared" si="3"/>
        <v>H176972W6037E8-B</v>
      </c>
      <c r="B244" s="35" t="s">
        <v>934</v>
      </c>
      <c r="C244" s="35" t="s">
        <v>1224</v>
      </c>
      <c r="D244" s="35" t="s">
        <v>404</v>
      </c>
      <c r="E244" s="35" t="s">
        <v>2339</v>
      </c>
      <c r="F244" s="35" t="s">
        <v>501</v>
      </c>
      <c r="G244" s="35" t="s">
        <v>502</v>
      </c>
      <c r="H244" s="35">
        <v>234</v>
      </c>
    </row>
    <row r="245" spans="1:8" ht="15.75" x14ac:dyDescent="0.25">
      <c r="A245" t="str">
        <f t="shared" si="3"/>
        <v>H177229W6037E8-B</v>
      </c>
      <c r="B245" s="35" t="s">
        <v>934</v>
      </c>
      <c r="C245" s="35" t="s">
        <v>1225</v>
      </c>
      <c r="D245" s="35" t="s">
        <v>404</v>
      </c>
      <c r="E245" s="35" t="s">
        <v>2339</v>
      </c>
      <c r="F245" s="35" t="s">
        <v>2294</v>
      </c>
      <c r="G245" s="35" t="s">
        <v>2295</v>
      </c>
      <c r="H245" s="35">
        <v>252</v>
      </c>
    </row>
    <row r="246" spans="1:8" ht="15.75" x14ac:dyDescent="0.25">
      <c r="A246" t="str">
        <f t="shared" si="3"/>
        <v>H176840W6037JY-B</v>
      </c>
      <c r="B246" s="35" t="s">
        <v>930</v>
      </c>
      <c r="C246" s="35" t="s">
        <v>1226</v>
      </c>
      <c r="D246" s="35" t="s">
        <v>404</v>
      </c>
      <c r="E246" s="35" t="s">
        <v>2339</v>
      </c>
      <c r="F246" s="35" t="s">
        <v>2292</v>
      </c>
      <c r="G246" s="35" t="s">
        <v>2293</v>
      </c>
      <c r="H246" s="35">
        <v>1344</v>
      </c>
    </row>
    <row r="247" spans="1:8" ht="15.75" x14ac:dyDescent="0.25">
      <c r="A247" t="str">
        <f t="shared" si="3"/>
        <v>H176843W6037ZC-B</v>
      </c>
      <c r="B247" s="35" t="s">
        <v>932</v>
      </c>
      <c r="C247" s="35" t="s">
        <v>1227</v>
      </c>
      <c r="D247" s="35" t="s">
        <v>404</v>
      </c>
      <c r="E247" s="35" t="s">
        <v>2339</v>
      </c>
      <c r="F247" s="35" t="s">
        <v>2292</v>
      </c>
      <c r="G247" s="35" t="s">
        <v>2293</v>
      </c>
      <c r="H247" s="35">
        <v>528</v>
      </c>
    </row>
    <row r="248" spans="1:8" ht="15.75" x14ac:dyDescent="0.25">
      <c r="A248" t="str">
        <f t="shared" si="3"/>
        <v>H177297W6037ZC-B</v>
      </c>
      <c r="B248" s="35" t="s">
        <v>932</v>
      </c>
      <c r="C248" s="35" t="s">
        <v>1228</v>
      </c>
      <c r="D248" s="35" t="s">
        <v>404</v>
      </c>
      <c r="E248" s="35" t="s">
        <v>2339</v>
      </c>
      <c r="F248" s="35" t="s">
        <v>402</v>
      </c>
      <c r="G248" s="35" t="s">
        <v>403</v>
      </c>
      <c r="H248" s="35">
        <v>144</v>
      </c>
    </row>
    <row r="249" spans="1:8" ht="15.75" x14ac:dyDescent="0.25">
      <c r="A249" t="str">
        <f t="shared" si="3"/>
        <v>H177301W6037ZC-B</v>
      </c>
      <c r="B249" s="35" t="s">
        <v>932</v>
      </c>
      <c r="C249" s="35" t="s">
        <v>1229</v>
      </c>
      <c r="D249" s="35" t="s">
        <v>404</v>
      </c>
      <c r="E249" s="35" t="s">
        <v>2339</v>
      </c>
      <c r="F249" s="35" t="s">
        <v>402</v>
      </c>
      <c r="G249" s="35" t="s">
        <v>403</v>
      </c>
      <c r="H249" s="35">
        <v>240</v>
      </c>
    </row>
    <row r="250" spans="1:8" ht="15.75" x14ac:dyDescent="0.25">
      <c r="A250" t="str">
        <f t="shared" si="3"/>
        <v>H176851W6038GJ-B</v>
      </c>
      <c r="B250" s="35" t="s">
        <v>928</v>
      </c>
      <c r="C250" s="35" t="s">
        <v>1230</v>
      </c>
      <c r="D250" s="35" t="s">
        <v>404</v>
      </c>
      <c r="E250" s="35" t="s">
        <v>2339</v>
      </c>
      <c r="F250" s="35" t="s">
        <v>2292</v>
      </c>
      <c r="G250" s="35" t="s">
        <v>2293</v>
      </c>
      <c r="H250" s="35">
        <v>1236</v>
      </c>
    </row>
    <row r="251" spans="1:8" ht="15.75" x14ac:dyDescent="0.25">
      <c r="A251" t="str">
        <f t="shared" si="3"/>
        <v>7878275W6039SA-B</v>
      </c>
      <c r="B251" s="35" t="s">
        <v>935</v>
      </c>
      <c r="C251" s="35" t="s">
        <v>1231</v>
      </c>
      <c r="D251" s="35" t="s">
        <v>395</v>
      </c>
      <c r="E251" s="35" t="s">
        <v>2339</v>
      </c>
      <c r="F251" s="35" t="s">
        <v>382</v>
      </c>
      <c r="G251" s="35" t="s">
        <v>383</v>
      </c>
      <c r="H251" s="35">
        <v>924</v>
      </c>
    </row>
    <row r="252" spans="1:8" ht="15.75" x14ac:dyDescent="0.25">
      <c r="A252" t="str">
        <f t="shared" si="3"/>
        <v>H171703I60356H-M</v>
      </c>
      <c r="B252" s="35" t="s">
        <v>936</v>
      </c>
      <c r="C252" s="35" t="s">
        <v>1232</v>
      </c>
      <c r="D252" s="35" t="s">
        <v>404</v>
      </c>
      <c r="E252" s="35" t="s">
        <v>2337</v>
      </c>
      <c r="F252" s="35" t="s">
        <v>430</v>
      </c>
      <c r="G252" s="35" t="s">
        <v>431</v>
      </c>
      <c r="H252" s="35">
        <v>342</v>
      </c>
    </row>
    <row r="253" spans="1:8" ht="15.75" x14ac:dyDescent="0.25">
      <c r="A253" t="str">
        <f t="shared" si="3"/>
        <v>H171705I6038PU-M</v>
      </c>
      <c r="B253" s="35" t="s">
        <v>937</v>
      </c>
      <c r="C253" s="35" t="s">
        <v>1233</v>
      </c>
      <c r="D253" s="35" t="s">
        <v>404</v>
      </c>
      <c r="E253" s="35" t="s">
        <v>2337</v>
      </c>
      <c r="F253" s="35" t="s">
        <v>430</v>
      </c>
      <c r="G253" s="35" t="s">
        <v>431</v>
      </c>
      <c r="H253" s="35">
        <v>312</v>
      </c>
    </row>
    <row r="254" spans="1:8" ht="15.75" x14ac:dyDescent="0.25">
      <c r="A254" t="str">
        <f t="shared" si="3"/>
        <v>U146444I603283-W</v>
      </c>
      <c r="B254" s="35" t="s">
        <v>938</v>
      </c>
      <c r="C254" s="35" t="s">
        <v>609</v>
      </c>
      <c r="D254" s="35" t="s">
        <v>438</v>
      </c>
      <c r="E254" s="35" t="s">
        <v>2338</v>
      </c>
      <c r="F254" s="35" t="s">
        <v>436</v>
      </c>
      <c r="G254" s="35" t="s">
        <v>505</v>
      </c>
      <c r="H254" s="35">
        <v>504</v>
      </c>
    </row>
    <row r="255" spans="1:8" ht="15.75" x14ac:dyDescent="0.25">
      <c r="A255" t="str">
        <f t="shared" si="3"/>
        <v>H171624I6033G2-M</v>
      </c>
      <c r="B255" s="35" t="s">
        <v>939</v>
      </c>
      <c r="C255" s="35" t="s">
        <v>1234</v>
      </c>
      <c r="D255" s="35" t="s">
        <v>404</v>
      </c>
      <c r="E255" s="35" t="s">
        <v>2337</v>
      </c>
      <c r="F255" s="35" t="s">
        <v>498</v>
      </c>
      <c r="G255" s="35" t="s">
        <v>499</v>
      </c>
      <c r="H255" s="35">
        <v>144</v>
      </c>
    </row>
    <row r="256" spans="1:8" ht="15.75" x14ac:dyDescent="0.25">
      <c r="A256" t="str">
        <f t="shared" si="3"/>
        <v>U146414I6039KY-W</v>
      </c>
      <c r="B256" s="35" t="s">
        <v>940</v>
      </c>
      <c r="C256" s="35" t="s">
        <v>613</v>
      </c>
      <c r="D256" s="35" t="s">
        <v>438</v>
      </c>
      <c r="E256" s="35" t="s">
        <v>2338</v>
      </c>
      <c r="F256" s="35" t="s">
        <v>436</v>
      </c>
      <c r="G256" s="35" t="s">
        <v>440</v>
      </c>
      <c r="H256" s="35">
        <v>492</v>
      </c>
    </row>
    <row r="257" spans="1:8" ht="15.75" x14ac:dyDescent="0.25">
      <c r="A257" t="str">
        <f t="shared" si="3"/>
        <v>U146446I6039KY-W</v>
      </c>
      <c r="B257" s="35" t="s">
        <v>940</v>
      </c>
      <c r="C257" s="35" t="s">
        <v>622</v>
      </c>
      <c r="D257" s="35" t="s">
        <v>438</v>
      </c>
      <c r="E257" s="35" t="s">
        <v>2338</v>
      </c>
      <c r="F257" s="35" t="s">
        <v>436</v>
      </c>
      <c r="G257" s="35" t="s">
        <v>437</v>
      </c>
      <c r="H257" s="35">
        <v>1350</v>
      </c>
    </row>
    <row r="258" spans="1:8" ht="15.75" x14ac:dyDescent="0.25">
      <c r="A258" t="str">
        <f t="shared" si="3"/>
        <v>U149876I6039KY-M</v>
      </c>
      <c r="B258" s="35" t="s">
        <v>940</v>
      </c>
      <c r="C258" s="35" t="s">
        <v>1235</v>
      </c>
      <c r="D258" s="35" t="s">
        <v>444</v>
      </c>
      <c r="E258" s="35" t="s">
        <v>2337</v>
      </c>
      <c r="F258" s="35" t="s">
        <v>436</v>
      </c>
      <c r="G258" s="35" t="s">
        <v>443</v>
      </c>
      <c r="H258" s="35">
        <v>270</v>
      </c>
    </row>
    <row r="259" spans="1:8" ht="15.75" x14ac:dyDescent="0.25">
      <c r="A259" t="str">
        <f t="shared" si="3"/>
        <v>U149876I6039KY-W</v>
      </c>
      <c r="B259" s="35" t="s">
        <v>940</v>
      </c>
      <c r="C259" s="35" t="s">
        <v>1235</v>
      </c>
      <c r="D259" s="35" t="s">
        <v>444</v>
      </c>
      <c r="E259" s="35" t="s">
        <v>2338</v>
      </c>
      <c r="F259" s="35" t="s">
        <v>436</v>
      </c>
      <c r="G259" s="35" t="s">
        <v>443</v>
      </c>
      <c r="H259" s="35">
        <v>246</v>
      </c>
    </row>
    <row r="260" spans="1:8" ht="15.75" x14ac:dyDescent="0.25">
      <c r="A260" t="str">
        <f t="shared" si="3"/>
        <v>H148619I603457-M</v>
      </c>
      <c r="B260" s="35" t="s">
        <v>941</v>
      </c>
      <c r="C260" s="35" t="s">
        <v>1236</v>
      </c>
      <c r="D260" s="35" t="s">
        <v>404</v>
      </c>
      <c r="E260" s="35" t="s">
        <v>2337</v>
      </c>
      <c r="F260" s="35" t="s">
        <v>414</v>
      </c>
      <c r="G260" s="35" t="s">
        <v>415</v>
      </c>
      <c r="H260" s="35">
        <v>360</v>
      </c>
    </row>
    <row r="261" spans="1:8" ht="15.75" x14ac:dyDescent="0.25">
      <c r="A261" t="str">
        <f t="shared" si="3"/>
        <v>H148619I603457-W</v>
      </c>
      <c r="B261" s="35" t="s">
        <v>941</v>
      </c>
      <c r="C261" s="35" t="s">
        <v>1236</v>
      </c>
      <c r="D261" s="35" t="s">
        <v>404</v>
      </c>
      <c r="E261" s="35" t="s">
        <v>2338</v>
      </c>
      <c r="F261" s="35" t="s">
        <v>414</v>
      </c>
      <c r="G261" s="35" t="s">
        <v>415</v>
      </c>
      <c r="H261" s="35">
        <v>300</v>
      </c>
    </row>
    <row r="262" spans="1:8" ht="15.75" x14ac:dyDescent="0.25">
      <c r="A262" t="str">
        <f t="shared" si="3"/>
        <v>U146409I603457-W</v>
      </c>
      <c r="B262" s="35" t="s">
        <v>941</v>
      </c>
      <c r="C262" s="35" t="s">
        <v>682</v>
      </c>
      <c r="D262" s="35" t="s">
        <v>438</v>
      </c>
      <c r="E262" s="35" t="s">
        <v>2338</v>
      </c>
      <c r="F262" s="35" t="s">
        <v>436</v>
      </c>
      <c r="G262" s="35" t="s">
        <v>439</v>
      </c>
      <c r="H262" s="35">
        <v>516</v>
      </c>
    </row>
    <row r="263" spans="1:8" ht="15.75" x14ac:dyDescent="0.25">
      <c r="A263" t="str">
        <f t="shared" ref="A263:A326" si="4">+C263&amp;B263&amp;"-"&amp;E263</f>
        <v>U146424I603457-W</v>
      </c>
      <c r="B263" s="35" t="s">
        <v>941</v>
      </c>
      <c r="C263" s="35" t="s">
        <v>699</v>
      </c>
      <c r="D263" s="35" t="s">
        <v>438</v>
      </c>
      <c r="E263" s="35" t="s">
        <v>2338</v>
      </c>
      <c r="F263" s="35" t="s">
        <v>436</v>
      </c>
      <c r="G263" s="35" t="s">
        <v>440</v>
      </c>
      <c r="H263" s="35">
        <v>492</v>
      </c>
    </row>
    <row r="264" spans="1:8" ht="15.75" x14ac:dyDescent="0.25">
      <c r="A264" t="str">
        <f t="shared" si="4"/>
        <v>U146451I603457-W</v>
      </c>
      <c r="B264" s="35" t="s">
        <v>941</v>
      </c>
      <c r="C264" s="35" t="s">
        <v>708</v>
      </c>
      <c r="D264" s="35" t="s">
        <v>438</v>
      </c>
      <c r="E264" s="35" t="s">
        <v>2338</v>
      </c>
      <c r="F264" s="35" t="s">
        <v>436</v>
      </c>
      <c r="G264" s="35" t="s">
        <v>437</v>
      </c>
      <c r="H264" s="35">
        <v>558</v>
      </c>
    </row>
    <row r="265" spans="1:8" ht="15.75" x14ac:dyDescent="0.25">
      <c r="A265" t="str">
        <f t="shared" si="4"/>
        <v>U149878I603457-M</v>
      </c>
      <c r="B265" s="35" t="s">
        <v>941</v>
      </c>
      <c r="C265" s="35" t="s">
        <v>723</v>
      </c>
      <c r="D265" s="35" t="s">
        <v>444</v>
      </c>
      <c r="E265" s="35" t="s">
        <v>2337</v>
      </c>
      <c r="F265" s="35" t="s">
        <v>436</v>
      </c>
      <c r="G265" s="35" t="s">
        <v>443</v>
      </c>
      <c r="H265" s="35">
        <v>330</v>
      </c>
    </row>
    <row r="266" spans="1:8" ht="15.75" x14ac:dyDescent="0.25">
      <c r="A266" t="str">
        <f t="shared" si="4"/>
        <v>U149878I603457-W</v>
      </c>
      <c r="B266" s="35" t="s">
        <v>941</v>
      </c>
      <c r="C266" s="35" t="s">
        <v>723</v>
      </c>
      <c r="D266" s="35" t="s">
        <v>444</v>
      </c>
      <c r="E266" s="35" t="s">
        <v>2338</v>
      </c>
      <c r="F266" s="35" t="s">
        <v>436</v>
      </c>
      <c r="G266" s="35" t="s">
        <v>443</v>
      </c>
      <c r="H266" s="35">
        <v>198</v>
      </c>
    </row>
    <row r="267" spans="1:8" ht="15.75" x14ac:dyDescent="0.25">
      <c r="A267" t="str">
        <f t="shared" si="4"/>
        <v>H189067I603457-M</v>
      </c>
      <c r="B267" s="35" t="s">
        <v>941</v>
      </c>
      <c r="C267" s="35" t="s">
        <v>736</v>
      </c>
      <c r="D267" s="35" t="s">
        <v>404</v>
      </c>
      <c r="E267" s="35" t="s">
        <v>2337</v>
      </c>
      <c r="F267" s="35" t="s">
        <v>2294</v>
      </c>
      <c r="G267" s="35" t="s">
        <v>2295</v>
      </c>
      <c r="H267" s="35">
        <v>54</v>
      </c>
    </row>
    <row r="268" spans="1:8" ht="15.75" x14ac:dyDescent="0.25">
      <c r="A268" t="str">
        <f t="shared" si="4"/>
        <v>H189067I603457-W</v>
      </c>
      <c r="B268" s="35" t="s">
        <v>941</v>
      </c>
      <c r="C268" s="35" t="s">
        <v>736</v>
      </c>
      <c r="D268" s="35" t="s">
        <v>404</v>
      </c>
      <c r="E268" s="35" t="s">
        <v>2338</v>
      </c>
      <c r="F268" s="35" t="s">
        <v>2294</v>
      </c>
      <c r="G268" s="35" t="s">
        <v>2295</v>
      </c>
      <c r="H268" s="35">
        <v>90</v>
      </c>
    </row>
    <row r="269" spans="1:8" ht="15.75" x14ac:dyDescent="0.25">
      <c r="A269" t="str">
        <f t="shared" si="4"/>
        <v>H189182I603457-M</v>
      </c>
      <c r="B269" s="35" t="s">
        <v>941</v>
      </c>
      <c r="C269" s="35" t="s">
        <v>743</v>
      </c>
      <c r="D269" s="35" t="s">
        <v>404</v>
      </c>
      <c r="E269" s="35" t="s">
        <v>2337</v>
      </c>
      <c r="F269" s="35" t="s">
        <v>414</v>
      </c>
      <c r="G269" s="35" t="s">
        <v>415</v>
      </c>
      <c r="H269" s="35">
        <v>204</v>
      </c>
    </row>
    <row r="270" spans="1:8" ht="15.75" x14ac:dyDescent="0.25">
      <c r="A270" t="str">
        <f t="shared" si="4"/>
        <v>H189182I603457-W</v>
      </c>
      <c r="B270" s="35" t="s">
        <v>941</v>
      </c>
      <c r="C270" s="35" t="s">
        <v>743</v>
      </c>
      <c r="D270" s="35" t="s">
        <v>404</v>
      </c>
      <c r="E270" s="35" t="s">
        <v>2338</v>
      </c>
      <c r="F270" s="35" t="s">
        <v>414</v>
      </c>
      <c r="G270" s="35" t="s">
        <v>415</v>
      </c>
      <c r="H270" s="35">
        <v>300</v>
      </c>
    </row>
    <row r="271" spans="1:8" ht="15.75" x14ac:dyDescent="0.25">
      <c r="A271" t="str">
        <f t="shared" si="4"/>
        <v>U152847I603457-M</v>
      </c>
      <c r="B271" s="35" t="s">
        <v>941</v>
      </c>
      <c r="C271" s="35" t="s">
        <v>771</v>
      </c>
      <c r="D271" s="35" t="s">
        <v>444</v>
      </c>
      <c r="E271" s="35" t="s">
        <v>2337</v>
      </c>
      <c r="F271" s="35" t="s">
        <v>436</v>
      </c>
      <c r="G271" s="35" t="s">
        <v>443</v>
      </c>
      <c r="H271" s="35">
        <v>126</v>
      </c>
    </row>
    <row r="272" spans="1:8" ht="15.75" x14ac:dyDescent="0.25">
      <c r="A272" t="str">
        <f t="shared" si="4"/>
        <v>U152847I603457-W</v>
      </c>
      <c r="B272" s="35" t="s">
        <v>941</v>
      </c>
      <c r="C272" s="35" t="s">
        <v>771</v>
      </c>
      <c r="D272" s="35" t="s">
        <v>444</v>
      </c>
      <c r="E272" s="35" t="s">
        <v>2338</v>
      </c>
      <c r="F272" s="35" t="s">
        <v>436</v>
      </c>
      <c r="G272" s="35" t="s">
        <v>443</v>
      </c>
      <c r="H272" s="35">
        <v>84</v>
      </c>
    </row>
    <row r="273" spans="1:8" ht="15.75" x14ac:dyDescent="0.25">
      <c r="A273" t="str">
        <f t="shared" si="4"/>
        <v>U152849I603283-M</v>
      </c>
      <c r="B273" s="35" t="s">
        <v>938</v>
      </c>
      <c r="C273" s="35" t="s">
        <v>765</v>
      </c>
      <c r="D273" s="35" t="s">
        <v>444</v>
      </c>
      <c r="E273" s="35" t="s">
        <v>2337</v>
      </c>
      <c r="F273" s="35" t="s">
        <v>436</v>
      </c>
      <c r="G273" s="35" t="s">
        <v>443</v>
      </c>
      <c r="H273" s="35">
        <v>264</v>
      </c>
    </row>
    <row r="274" spans="1:8" ht="15.75" x14ac:dyDescent="0.25">
      <c r="A274" t="str">
        <f t="shared" si="4"/>
        <v>U152849I603283-W</v>
      </c>
      <c r="B274" s="35" t="s">
        <v>938</v>
      </c>
      <c r="C274" s="35" t="s">
        <v>765</v>
      </c>
      <c r="D274" s="35" t="s">
        <v>444</v>
      </c>
      <c r="E274" s="35" t="s">
        <v>2338</v>
      </c>
      <c r="F274" s="35" t="s">
        <v>436</v>
      </c>
      <c r="G274" s="35" t="s">
        <v>443</v>
      </c>
      <c r="H274" s="35">
        <v>168</v>
      </c>
    </row>
    <row r="275" spans="1:8" ht="15.75" x14ac:dyDescent="0.25">
      <c r="A275" t="str">
        <f t="shared" si="4"/>
        <v>U152851I60356H-M</v>
      </c>
      <c r="B275" s="35" t="s">
        <v>936</v>
      </c>
      <c r="C275" s="35" t="s">
        <v>774</v>
      </c>
      <c r="D275" s="35" t="s">
        <v>457</v>
      </c>
      <c r="E275" s="35" t="s">
        <v>2337</v>
      </c>
      <c r="F275" s="35" t="s">
        <v>436</v>
      </c>
      <c r="G275" s="35" t="s">
        <v>443</v>
      </c>
      <c r="H275" s="35">
        <v>324</v>
      </c>
    </row>
    <row r="276" spans="1:8" ht="15.75" x14ac:dyDescent="0.25">
      <c r="A276" t="str">
        <f t="shared" si="4"/>
        <v>U152851I60356H-W</v>
      </c>
      <c r="B276" s="35" t="s">
        <v>936</v>
      </c>
      <c r="C276" s="35" t="s">
        <v>774</v>
      </c>
      <c r="D276" s="35" t="s">
        <v>457</v>
      </c>
      <c r="E276" s="35" t="s">
        <v>2338</v>
      </c>
      <c r="F276" s="35" t="s">
        <v>436</v>
      </c>
      <c r="G276" s="35" t="s">
        <v>443</v>
      </c>
      <c r="H276" s="35">
        <v>102</v>
      </c>
    </row>
    <row r="277" spans="1:8" ht="15.75" x14ac:dyDescent="0.25">
      <c r="A277" t="str">
        <f t="shared" si="4"/>
        <v>U152853I6038PU-M</v>
      </c>
      <c r="B277" s="35" t="s">
        <v>937</v>
      </c>
      <c r="C277" s="35" t="s">
        <v>820</v>
      </c>
      <c r="D277" s="35" t="s">
        <v>457</v>
      </c>
      <c r="E277" s="35" t="s">
        <v>2337</v>
      </c>
      <c r="F277" s="35" t="s">
        <v>436</v>
      </c>
      <c r="G277" s="35" t="s">
        <v>443</v>
      </c>
      <c r="H277" s="35">
        <v>246</v>
      </c>
    </row>
    <row r="278" spans="1:8" ht="15.75" x14ac:dyDescent="0.25">
      <c r="A278" t="str">
        <f t="shared" si="4"/>
        <v>U152853I6038PU-W</v>
      </c>
      <c r="B278" s="35" t="s">
        <v>937</v>
      </c>
      <c r="C278" s="35" t="s">
        <v>820</v>
      </c>
      <c r="D278" s="35" t="s">
        <v>457</v>
      </c>
      <c r="E278" s="35" t="s">
        <v>2338</v>
      </c>
      <c r="F278" s="35" t="s">
        <v>436</v>
      </c>
      <c r="G278" s="35" t="s">
        <v>443</v>
      </c>
      <c r="H278" s="35">
        <v>168</v>
      </c>
    </row>
    <row r="279" spans="1:8" ht="15.75" x14ac:dyDescent="0.25">
      <c r="A279" t="str">
        <f t="shared" si="4"/>
        <v>U149888I6039JD-M</v>
      </c>
      <c r="B279" s="35" t="s">
        <v>942</v>
      </c>
      <c r="C279" s="35" t="s">
        <v>826</v>
      </c>
      <c r="D279" s="35" t="s">
        <v>444</v>
      </c>
      <c r="E279" s="35" t="s">
        <v>2337</v>
      </c>
      <c r="F279" s="35" t="s">
        <v>436</v>
      </c>
      <c r="G279" s="35" t="s">
        <v>443</v>
      </c>
      <c r="H279" s="35">
        <v>312</v>
      </c>
    </row>
    <row r="280" spans="1:8" ht="15.75" x14ac:dyDescent="0.25">
      <c r="A280" t="str">
        <f t="shared" si="4"/>
        <v>U149888I6039JD-W</v>
      </c>
      <c r="B280" s="35" t="s">
        <v>942</v>
      </c>
      <c r="C280" s="35" t="s">
        <v>826</v>
      </c>
      <c r="D280" s="35" t="s">
        <v>444</v>
      </c>
      <c r="E280" s="35" t="s">
        <v>2338</v>
      </c>
      <c r="F280" s="35" t="s">
        <v>436</v>
      </c>
      <c r="G280" s="35" t="s">
        <v>443</v>
      </c>
      <c r="H280" s="35">
        <v>276</v>
      </c>
    </row>
    <row r="281" spans="1:8" ht="15.75" x14ac:dyDescent="0.25">
      <c r="A281" t="str">
        <f t="shared" si="4"/>
        <v>C134978I6039KY-M</v>
      </c>
      <c r="B281" s="35" t="s">
        <v>940</v>
      </c>
      <c r="C281" s="35" t="s">
        <v>870</v>
      </c>
      <c r="D281" s="35" t="s">
        <v>401</v>
      </c>
      <c r="E281" s="35" t="s">
        <v>2337</v>
      </c>
      <c r="F281" s="35" t="s">
        <v>397</v>
      </c>
      <c r="G281" s="35" t="s">
        <v>400</v>
      </c>
      <c r="H281" s="35">
        <v>162</v>
      </c>
    </row>
    <row r="282" spans="1:8" ht="15.75" x14ac:dyDescent="0.25">
      <c r="A282" t="str">
        <f t="shared" si="4"/>
        <v>C134978I6039KY-W</v>
      </c>
      <c r="B282" s="35" t="s">
        <v>940</v>
      </c>
      <c r="C282" s="35" t="s">
        <v>870</v>
      </c>
      <c r="D282" s="35" t="s">
        <v>401</v>
      </c>
      <c r="E282" s="35" t="s">
        <v>2338</v>
      </c>
      <c r="F282" s="35" t="s">
        <v>397</v>
      </c>
      <c r="G282" s="35" t="s">
        <v>400</v>
      </c>
      <c r="H282" s="35">
        <v>42</v>
      </c>
    </row>
    <row r="283" spans="1:8" ht="15.75" x14ac:dyDescent="0.25">
      <c r="A283" t="str">
        <f t="shared" si="4"/>
        <v>H189084I6039KY-W</v>
      </c>
      <c r="B283" s="35" t="s">
        <v>940</v>
      </c>
      <c r="C283" s="35" t="s">
        <v>849</v>
      </c>
      <c r="D283" s="35" t="s">
        <v>404</v>
      </c>
      <c r="E283" s="35" t="s">
        <v>2338</v>
      </c>
      <c r="F283" s="35" t="s">
        <v>422</v>
      </c>
      <c r="G283" s="35" t="s">
        <v>423</v>
      </c>
      <c r="H283" s="35">
        <v>1002</v>
      </c>
    </row>
    <row r="284" spans="1:8" ht="15.75" x14ac:dyDescent="0.25">
      <c r="A284" t="str">
        <f t="shared" si="4"/>
        <v>7884636I6039KY-M</v>
      </c>
      <c r="B284" s="35" t="s">
        <v>940</v>
      </c>
      <c r="C284" s="35" t="s">
        <v>1237</v>
      </c>
      <c r="D284" s="35" t="s">
        <v>395</v>
      </c>
      <c r="E284" s="35" t="s">
        <v>2337</v>
      </c>
      <c r="F284" s="35" t="s">
        <v>382</v>
      </c>
      <c r="G284" s="35" t="s">
        <v>383</v>
      </c>
      <c r="H284" s="35">
        <v>174</v>
      </c>
    </row>
    <row r="285" spans="1:8" ht="15.75" x14ac:dyDescent="0.25">
      <c r="A285" t="str">
        <f t="shared" si="4"/>
        <v>U152754I6039KY-M</v>
      </c>
      <c r="B285" s="35" t="s">
        <v>940</v>
      </c>
      <c r="C285" s="35" t="s">
        <v>1238</v>
      </c>
      <c r="D285" s="35" t="s">
        <v>438</v>
      </c>
      <c r="E285" s="35" t="s">
        <v>2337</v>
      </c>
      <c r="F285" s="35" t="s">
        <v>436</v>
      </c>
      <c r="G285" s="35" t="s">
        <v>442</v>
      </c>
      <c r="H285" s="35">
        <v>1200</v>
      </c>
    </row>
    <row r="286" spans="1:8" ht="15.75" x14ac:dyDescent="0.25">
      <c r="A286" t="str">
        <f t="shared" si="4"/>
        <v>7884548I603283-M</v>
      </c>
      <c r="B286" s="35" t="s">
        <v>938</v>
      </c>
      <c r="C286" s="35" t="s">
        <v>1239</v>
      </c>
      <c r="D286" s="35" t="s">
        <v>395</v>
      </c>
      <c r="E286" s="35" t="s">
        <v>2337</v>
      </c>
      <c r="F286" s="35" t="s">
        <v>382</v>
      </c>
      <c r="G286" s="35" t="s">
        <v>383</v>
      </c>
      <c r="H286" s="35">
        <v>168</v>
      </c>
    </row>
    <row r="287" spans="1:8" ht="15.75" x14ac:dyDescent="0.25">
      <c r="A287" t="str">
        <f t="shared" si="4"/>
        <v>7880839I6032MA-M</v>
      </c>
      <c r="B287" s="35" t="s">
        <v>943</v>
      </c>
      <c r="C287" s="35" t="s">
        <v>1240</v>
      </c>
      <c r="D287" s="35" t="s">
        <v>387</v>
      </c>
      <c r="E287" s="35" t="s">
        <v>2337</v>
      </c>
      <c r="F287" s="35" t="s">
        <v>388</v>
      </c>
      <c r="G287" s="35" t="s">
        <v>389</v>
      </c>
      <c r="H287" s="35">
        <v>288</v>
      </c>
    </row>
    <row r="288" spans="1:8" ht="15.75" x14ac:dyDescent="0.25">
      <c r="A288" t="str">
        <f t="shared" si="4"/>
        <v>7884542I6032MA-M</v>
      </c>
      <c r="B288" s="35" t="s">
        <v>943</v>
      </c>
      <c r="C288" s="35" t="s">
        <v>1241</v>
      </c>
      <c r="D288" s="35" t="s">
        <v>395</v>
      </c>
      <c r="E288" s="35" t="s">
        <v>2337</v>
      </c>
      <c r="F288" s="35" t="s">
        <v>382</v>
      </c>
      <c r="G288" s="35" t="s">
        <v>383</v>
      </c>
      <c r="H288" s="35">
        <v>270</v>
      </c>
    </row>
    <row r="289" spans="1:8" ht="15.75" x14ac:dyDescent="0.25">
      <c r="A289" t="str">
        <f t="shared" si="4"/>
        <v>U152756I603457-M</v>
      </c>
      <c r="B289" s="35" t="s">
        <v>941</v>
      </c>
      <c r="C289" s="35" t="s">
        <v>1242</v>
      </c>
      <c r="D289" s="35" t="s">
        <v>438</v>
      </c>
      <c r="E289" s="35" t="s">
        <v>2337</v>
      </c>
      <c r="F289" s="35" t="s">
        <v>436</v>
      </c>
      <c r="G289" s="35" t="s">
        <v>442</v>
      </c>
      <c r="H289" s="35">
        <v>600</v>
      </c>
    </row>
    <row r="290" spans="1:8" ht="15.75" x14ac:dyDescent="0.25">
      <c r="A290" t="str">
        <f t="shared" si="4"/>
        <v>7880851I60356H-M</v>
      </c>
      <c r="B290" s="35" t="s">
        <v>936</v>
      </c>
      <c r="C290" s="35" t="s">
        <v>1243</v>
      </c>
      <c r="D290" s="35" t="s">
        <v>387</v>
      </c>
      <c r="E290" s="35" t="s">
        <v>2337</v>
      </c>
      <c r="F290" s="35" t="s">
        <v>388</v>
      </c>
      <c r="G290" s="35" t="s">
        <v>389</v>
      </c>
      <c r="H290" s="35">
        <v>372</v>
      </c>
    </row>
    <row r="291" spans="1:8" ht="15.75" x14ac:dyDescent="0.25">
      <c r="A291" t="str">
        <f t="shared" si="4"/>
        <v>7884560I60356H-M</v>
      </c>
      <c r="B291" s="35" t="s">
        <v>936</v>
      </c>
      <c r="C291" s="35" t="s">
        <v>1244</v>
      </c>
      <c r="D291" s="35" t="s">
        <v>395</v>
      </c>
      <c r="E291" s="35" t="s">
        <v>2337</v>
      </c>
      <c r="F291" s="35" t="s">
        <v>382</v>
      </c>
      <c r="G291" s="35" t="s">
        <v>383</v>
      </c>
      <c r="H291" s="35">
        <v>204</v>
      </c>
    </row>
    <row r="292" spans="1:8" ht="15.75" x14ac:dyDescent="0.25">
      <c r="A292" t="str">
        <f t="shared" si="4"/>
        <v>7880857I6038PU-M</v>
      </c>
      <c r="B292" s="35" t="s">
        <v>937</v>
      </c>
      <c r="C292" s="35" t="s">
        <v>1245</v>
      </c>
      <c r="D292" s="35" t="s">
        <v>387</v>
      </c>
      <c r="E292" s="35" t="s">
        <v>2337</v>
      </c>
      <c r="F292" s="35" t="s">
        <v>388</v>
      </c>
      <c r="G292" s="35" t="s">
        <v>389</v>
      </c>
      <c r="H292" s="35">
        <v>144</v>
      </c>
    </row>
    <row r="293" spans="1:8" ht="15.75" x14ac:dyDescent="0.25">
      <c r="A293" t="str">
        <f t="shared" si="4"/>
        <v>H171684I6039KY-M</v>
      </c>
      <c r="B293" s="35" t="s">
        <v>940</v>
      </c>
      <c r="C293" s="35" t="s">
        <v>1246</v>
      </c>
      <c r="D293" s="35" t="s">
        <v>404</v>
      </c>
      <c r="E293" s="35" t="s">
        <v>2337</v>
      </c>
      <c r="F293" s="35" t="s">
        <v>418</v>
      </c>
      <c r="G293" s="35" t="s">
        <v>419</v>
      </c>
      <c r="H293" s="35">
        <v>132</v>
      </c>
    </row>
    <row r="294" spans="1:8" ht="15.75" x14ac:dyDescent="0.25">
      <c r="A294" t="str">
        <f t="shared" si="4"/>
        <v>H171683I60356H-M</v>
      </c>
      <c r="B294" s="35" t="s">
        <v>936</v>
      </c>
      <c r="C294" s="35" t="s">
        <v>1247</v>
      </c>
      <c r="D294" s="35" t="s">
        <v>404</v>
      </c>
      <c r="E294" s="35" t="s">
        <v>2337</v>
      </c>
      <c r="F294" s="35" t="s">
        <v>418</v>
      </c>
      <c r="G294" s="35" t="s">
        <v>419</v>
      </c>
      <c r="H294" s="35">
        <v>132</v>
      </c>
    </row>
    <row r="295" spans="1:8" ht="15.75" x14ac:dyDescent="0.25">
      <c r="A295" t="str">
        <f t="shared" si="4"/>
        <v>H180076I6038PU-W</v>
      </c>
      <c r="B295" s="35" t="s">
        <v>937</v>
      </c>
      <c r="C295" s="35" t="s">
        <v>1248</v>
      </c>
      <c r="D295" s="35" t="s">
        <v>404</v>
      </c>
      <c r="E295" s="35" t="s">
        <v>2338</v>
      </c>
      <c r="F295" s="35" t="s">
        <v>428</v>
      </c>
      <c r="G295" s="35" t="s">
        <v>429</v>
      </c>
      <c r="H295" s="35">
        <v>504</v>
      </c>
    </row>
    <row r="296" spans="1:8" ht="15.75" x14ac:dyDescent="0.25">
      <c r="A296" t="str">
        <f t="shared" si="4"/>
        <v>H180084I6038PU-W</v>
      </c>
      <c r="B296" s="35" t="s">
        <v>937</v>
      </c>
      <c r="C296" s="35" t="s">
        <v>1249</v>
      </c>
      <c r="D296" s="35" t="s">
        <v>404</v>
      </c>
      <c r="E296" s="35" t="s">
        <v>2338</v>
      </c>
      <c r="F296" s="35" t="s">
        <v>428</v>
      </c>
      <c r="G296" s="35" t="s">
        <v>429</v>
      </c>
      <c r="H296" s="35">
        <v>318</v>
      </c>
    </row>
    <row r="297" spans="1:8" ht="15.75" x14ac:dyDescent="0.25">
      <c r="A297" t="str">
        <f t="shared" si="4"/>
        <v>H189033I6039JD-W</v>
      </c>
      <c r="B297" s="35" t="s">
        <v>942</v>
      </c>
      <c r="C297" s="35" t="s">
        <v>1250</v>
      </c>
      <c r="D297" s="35" t="s">
        <v>404</v>
      </c>
      <c r="E297" s="35" t="s">
        <v>2338</v>
      </c>
      <c r="F297" s="35" t="s">
        <v>2286</v>
      </c>
      <c r="G297" s="35" t="s">
        <v>2287</v>
      </c>
      <c r="H297" s="35">
        <v>258</v>
      </c>
    </row>
    <row r="298" spans="1:8" ht="15.75" x14ac:dyDescent="0.25">
      <c r="A298" t="str">
        <f t="shared" si="4"/>
        <v>C135879I6039JD-M</v>
      </c>
      <c r="B298" s="35" t="s">
        <v>942</v>
      </c>
      <c r="C298" s="35" t="s">
        <v>1251</v>
      </c>
      <c r="D298" s="35" t="s">
        <v>401</v>
      </c>
      <c r="E298" s="35" t="s">
        <v>2337</v>
      </c>
      <c r="F298" s="35" t="s">
        <v>397</v>
      </c>
      <c r="G298" s="35" t="s">
        <v>400</v>
      </c>
      <c r="H298" s="35">
        <v>144</v>
      </c>
    </row>
    <row r="299" spans="1:8" ht="15.75" x14ac:dyDescent="0.25">
      <c r="A299" t="str">
        <f t="shared" si="4"/>
        <v>C135879I6039JD-W</v>
      </c>
      <c r="B299" s="35" t="s">
        <v>942</v>
      </c>
      <c r="C299" s="35" t="s">
        <v>1251</v>
      </c>
      <c r="D299" s="35" t="s">
        <v>401</v>
      </c>
      <c r="E299" s="35" t="s">
        <v>2338</v>
      </c>
      <c r="F299" s="35" t="s">
        <v>397</v>
      </c>
      <c r="G299" s="35" t="s">
        <v>400</v>
      </c>
      <c r="H299" s="35">
        <v>42</v>
      </c>
    </row>
    <row r="300" spans="1:8" ht="15.75" x14ac:dyDescent="0.25">
      <c r="A300" t="str">
        <f t="shared" si="4"/>
        <v>U152859I6039KY-M</v>
      </c>
      <c r="B300" s="35" t="s">
        <v>940</v>
      </c>
      <c r="C300" s="35" t="s">
        <v>1252</v>
      </c>
      <c r="D300" s="35" t="s">
        <v>438</v>
      </c>
      <c r="E300" s="35" t="s">
        <v>2337</v>
      </c>
      <c r="F300" s="35" t="s">
        <v>436</v>
      </c>
      <c r="G300" s="35" t="s">
        <v>442</v>
      </c>
      <c r="H300" s="35">
        <v>900</v>
      </c>
    </row>
    <row r="301" spans="1:8" ht="15.75" x14ac:dyDescent="0.25">
      <c r="A301" t="str">
        <f t="shared" si="4"/>
        <v>U157272I6039KY-M</v>
      </c>
      <c r="B301" s="35" t="s">
        <v>940</v>
      </c>
      <c r="C301" s="35" t="s">
        <v>1253</v>
      </c>
      <c r="D301" s="35" t="s">
        <v>444</v>
      </c>
      <c r="E301" s="35" t="s">
        <v>2337</v>
      </c>
      <c r="F301" s="35" t="s">
        <v>436</v>
      </c>
      <c r="G301" s="35" t="s">
        <v>443</v>
      </c>
      <c r="H301" s="35">
        <v>348</v>
      </c>
    </row>
    <row r="302" spans="1:8" ht="15.75" x14ac:dyDescent="0.25">
      <c r="A302" t="str">
        <f t="shared" si="4"/>
        <v>U157272I6039KY-W</v>
      </c>
      <c r="B302" s="35" t="s">
        <v>940</v>
      </c>
      <c r="C302" s="35" t="s">
        <v>1253</v>
      </c>
      <c r="D302" s="35" t="s">
        <v>444</v>
      </c>
      <c r="E302" s="35" t="s">
        <v>2338</v>
      </c>
      <c r="F302" s="35" t="s">
        <v>436</v>
      </c>
      <c r="G302" s="35" t="s">
        <v>443</v>
      </c>
      <c r="H302" s="35">
        <v>270</v>
      </c>
    </row>
    <row r="303" spans="1:8" ht="15.75" x14ac:dyDescent="0.25">
      <c r="A303" t="str">
        <f t="shared" si="4"/>
        <v>H171756I6039KY-M</v>
      </c>
      <c r="B303" s="35" t="s">
        <v>940</v>
      </c>
      <c r="C303" s="35" t="s">
        <v>1254</v>
      </c>
      <c r="D303" s="35" t="s">
        <v>404</v>
      </c>
      <c r="E303" s="35" t="s">
        <v>2337</v>
      </c>
      <c r="F303" s="35" t="s">
        <v>402</v>
      </c>
      <c r="G303" s="35" t="s">
        <v>2289</v>
      </c>
      <c r="H303" s="35">
        <v>402</v>
      </c>
    </row>
    <row r="304" spans="1:8" ht="15.75" x14ac:dyDescent="0.25">
      <c r="A304" t="str">
        <f t="shared" si="4"/>
        <v>H171692I6039KY-W</v>
      </c>
      <c r="B304" s="35" t="s">
        <v>940</v>
      </c>
      <c r="C304" s="35" t="s">
        <v>1255</v>
      </c>
      <c r="D304" s="35" t="s">
        <v>404</v>
      </c>
      <c r="E304" s="35" t="s">
        <v>2338</v>
      </c>
      <c r="F304" s="35" t="s">
        <v>2286</v>
      </c>
      <c r="G304" s="35" t="s">
        <v>2287</v>
      </c>
      <c r="H304" s="35">
        <v>318</v>
      </c>
    </row>
    <row r="305" spans="1:8" ht="15.75" x14ac:dyDescent="0.25">
      <c r="A305" t="str">
        <f t="shared" si="4"/>
        <v>H171694I60356H-W</v>
      </c>
      <c r="B305" s="35" t="s">
        <v>936</v>
      </c>
      <c r="C305" s="35" t="s">
        <v>1256</v>
      </c>
      <c r="D305" s="35" t="s">
        <v>404</v>
      </c>
      <c r="E305" s="35" t="s">
        <v>2338</v>
      </c>
      <c r="F305" s="35" t="s">
        <v>2286</v>
      </c>
      <c r="G305" s="35" t="s">
        <v>2287</v>
      </c>
      <c r="H305" s="35">
        <v>432</v>
      </c>
    </row>
    <row r="306" spans="1:8" ht="15.75" x14ac:dyDescent="0.25">
      <c r="A306" t="str">
        <f t="shared" si="4"/>
        <v>H171698I6038PU-M</v>
      </c>
      <c r="B306" s="35" t="s">
        <v>937</v>
      </c>
      <c r="C306" s="35" t="s">
        <v>1257</v>
      </c>
      <c r="D306" s="35" t="s">
        <v>404</v>
      </c>
      <c r="E306" s="35" t="s">
        <v>2337</v>
      </c>
      <c r="F306" s="35" t="s">
        <v>416</v>
      </c>
      <c r="G306" s="35" t="s">
        <v>417</v>
      </c>
      <c r="H306" s="35">
        <v>144</v>
      </c>
    </row>
    <row r="307" spans="1:8" ht="15.75" x14ac:dyDescent="0.25">
      <c r="A307" t="str">
        <f t="shared" si="4"/>
        <v>U157280I603457-M</v>
      </c>
      <c r="B307" s="35" t="s">
        <v>941</v>
      </c>
      <c r="C307" s="35" t="s">
        <v>1258</v>
      </c>
      <c r="D307" s="35" t="s">
        <v>444</v>
      </c>
      <c r="E307" s="35" t="s">
        <v>2337</v>
      </c>
      <c r="F307" s="35" t="s">
        <v>436</v>
      </c>
      <c r="G307" s="35" t="s">
        <v>443</v>
      </c>
      <c r="H307" s="35">
        <v>300</v>
      </c>
    </row>
    <row r="308" spans="1:8" ht="15.75" x14ac:dyDescent="0.25">
      <c r="A308" t="str">
        <f t="shared" si="4"/>
        <v>U157280I603457-W</v>
      </c>
      <c r="B308" s="35" t="s">
        <v>941</v>
      </c>
      <c r="C308" s="35" t="s">
        <v>1258</v>
      </c>
      <c r="D308" s="35" t="s">
        <v>444</v>
      </c>
      <c r="E308" s="35" t="s">
        <v>2338</v>
      </c>
      <c r="F308" s="35" t="s">
        <v>436</v>
      </c>
      <c r="G308" s="35" t="s">
        <v>443</v>
      </c>
      <c r="H308" s="35">
        <v>222</v>
      </c>
    </row>
    <row r="309" spans="1:8" ht="15.75" x14ac:dyDescent="0.25">
      <c r="A309" t="str">
        <f t="shared" si="4"/>
        <v>U157288I6038PU-M</v>
      </c>
      <c r="B309" s="35" t="s">
        <v>937</v>
      </c>
      <c r="C309" s="35" t="s">
        <v>1259</v>
      </c>
      <c r="D309" s="35" t="s">
        <v>444</v>
      </c>
      <c r="E309" s="35" t="s">
        <v>2337</v>
      </c>
      <c r="F309" s="35" t="s">
        <v>436</v>
      </c>
      <c r="G309" s="35" t="s">
        <v>443</v>
      </c>
      <c r="H309" s="35">
        <v>336</v>
      </c>
    </row>
    <row r="310" spans="1:8" ht="15.75" x14ac:dyDescent="0.25">
      <c r="A310" t="str">
        <f t="shared" si="4"/>
        <v>U157288I6038PU-W</v>
      </c>
      <c r="B310" s="35" t="s">
        <v>937</v>
      </c>
      <c r="C310" s="35" t="s">
        <v>1259</v>
      </c>
      <c r="D310" s="35" t="s">
        <v>444</v>
      </c>
      <c r="E310" s="35" t="s">
        <v>2338</v>
      </c>
      <c r="F310" s="35" t="s">
        <v>436</v>
      </c>
      <c r="G310" s="35" t="s">
        <v>443</v>
      </c>
      <c r="H310" s="35">
        <v>282</v>
      </c>
    </row>
    <row r="311" spans="1:8" ht="15.75" x14ac:dyDescent="0.25">
      <c r="A311" t="str">
        <f t="shared" si="4"/>
        <v>U157286I603283-M</v>
      </c>
      <c r="B311" s="35" t="s">
        <v>938</v>
      </c>
      <c r="C311" s="35" t="s">
        <v>1260</v>
      </c>
      <c r="D311" s="35" t="s">
        <v>444</v>
      </c>
      <c r="E311" s="35" t="s">
        <v>2337</v>
      </c>
      <c r="F311" s="35" t="s">
        <v>436</v>
      </c>
      <c r="G311" s="35" t="s">
        <v>443</v>
      </c>
      <c r="H311" s="35">
        <v>198</v>
      </c>
    </row>
    <row r="312" spans="1:8" ht="15.75" x14ac:dyDescent="0.25">
      <c r="A312" t="str">
        <f t="shared" si="4"/>
        <v>U157286I603283-W</v>
      </c>
      <c r="B312" s="35" t="s">
        <v>938</v>
      </c>
      <c r="C312" s="35" t="s">
        <v>1260</v>
      </c>
      <c r="D312" s="35" t="s">
        <v>444</v>
      </c>
      <c r="E312" s="35" t="s">
        <v>2338</v>
      </c>
      <c r="F312" s="35" t="s">
        <v>436</v>
      </c>
      <c r="G312" s="35" t="s">
        <v>443</v>
      </c>
      <c r="H312" s="35">
        <v>114</v>
      </c>
    </row>
    <row r="313" spans="1:8" ht="15.75" x14ac:dyDescent="0.25">
      <c r="A313" t="str">
        <f t="shared" si="4"/>
        <v>U157285I60356H-M</v>
      </c>
      <c r="B313" s="35" t="s">
        <v>936</v>
      </c>
      <c r="C313" s="35" t="s">
        <v>1261</v>
      </c>
      <c r="D313" s="35" t="s">
        <v>444</v>
      </c>
      <c r="E313" s="35" t="s">
        <v>2337</v>
      </c>
      <c r="F313" s="35" t="s">
        <v>436</v>
      </c>
      <c r="G313" s="35" t="s">
        <v>443</v>
      </c>
      <c r="H313" s="35">
        <v>234</v>
      </c>
    </row>
    <row r="314" spans="1:8" ht="15.75" x14ac:dyDescent="0.25">
      <c r="A314" t="str">
        <f t="shared" si="4"/>
        <v>U157285I60356H-W</v>
      </c>
      <c r="B314" s="35" t="s">
        <v>936</v>
      </c>
      <c r="C314" s="35" t="s">
        <v>1261</v>
      </c>
      <c r="D314" s="35" t="s">
        <v>444</v>
      </c>
      <c r="E314" s="35" t="s">
        <v>2338</v>
      </c>
      <c r="F314" s="35" t="s">
        <v>436</v>
      </c>
      <c r="G314" s="35" t="s">
        <v>443</v>
      </c>
      <c r="H314" s="35">
        <v>126</v>
      </c>
    </row>
    <row r="315" spans="1:8" ht="15.75" x14ac:dyDescent="0.25">
      <c r="A315" t="str">
        <f t="shared" si="4"/>
        <v>H195231I6036O1-M</v>
      </c>
      <c r="B315" s="35" t="s">
        <v>944</v>
      </c>
      <c r="C315" s="35" t="s">
        <v>1262</v>
      </c>
      <c r="D315" s="35" t="s">
        <v>404</v>
      </c>
      <c r="E315" s="35" t="s">
        <v>2337</v>
      </c>
      <c r="F315" s="35" t="s">
        <v>434</v>
      </c>
      <c r="G315" s="35" t="s">
        <v>435</v>
      </c>
      <c r="H315" s="35">
        <v>504</v>
      </c>
    </row>
    <row r="316" spans="1:8" ht="15.75" x14ac:dyDescent="0.25">
      <c r="A316" t="str">
        <f t="shared" si="4"/>
        <v>H195223I6036O1-W</v>
      </c>
      <c r="B316" s="35" t="s">
        <v>944</v>
      </c>
      <c r="C316" s="35" t="s">
        <v>1263</v>
      </c>
      <c r="D316" s="35" t="s">
        <v>404</v>
      </c>
      <c r="E316" s="35" t="s">
        <v>2338</v>
      </c>
      <c r="F316" s="35" t="s">
        <v>422</v>
      </c>
      <c r="G316" s="35" t="s">
        <v>423</v>
      </c>
      <c r="H316" s="35">
        <v>600</v>
      </c>
    </row>
    <row r="317" spans="1:8" ht="15.75" x14ac:dyDescent="0.25">
      <c r="A317" t="str">
        <f t="shared" si="4"/>
        <v>U157260I603457-M</v>
      </c>
      <c r="B317" s="35" t="s">
        <v>941</v>
      </c>
      <c r="C317" s="35" t="s">
        <v>1264</v>
      </c>
      <c r="D317" s="35" t="s">
        <v>438</v>
      </c>
      <c r="E317" s="35" t="s">
        <v>2337</v>
      </c>
      <c r="F317" s="35" t="s">
        <v>436</v>
      </c>
      <c r="G317" s="35" t="s">
        <v>2282</v>
      </c>
      <c r="H317" s="35">
        <v>1500</v>
      </c>
    </row>
    <row r="318" spans="1:8" ht="15.75" x14ac:dyDescent="0.25">
      <c r="A318" t="str">
        <f t="shared" si="4"/>
        <v>U157264I6039KY-M</v>
      </c>
      <c r="B318" s="35" t="s">
        <v>940</v>
      </c>
      <c r="C318" s="35" t="s">
        <v>1265</v>
      </c>
      <c r="D318" s="35" t="s">
        <v>438</v>
      </c>
      <c r="E318" s="35" t="s">
        <v>2337</v>
      </c>
      <c r="F318" s="35" t="s">
        <v>436</v>
      </c>
      <c r="G318" s="35" t="s">
        <v>452</v>
      </c>
      <c r="H318" s="35">
        <v>600</v>
      </c>
    </row>
    <row r="319" spans="1:8" ht="15.75" x14ac:dyDescent="0.25">
      <c r="A319" t="str">
        <f t="shared" si="4"/>
        <v>U157275I6039KY-M</v>
      </c>
      <c r="B319" s="35" t="s">
        <v>940</v>
      </c>
      <c r="C319" s="35" t="s">
        <v>1266</v>
      </c>
      <c r="D319" s="35" t="s">
        <v>438</v>
      </c>
      <c r="E319" s="35" t="s">
        <v>2337</v>
      </c>
      <c r="F319" s="35" t="s">
        <v>436</v>
      </c>
      <c r="G319" s="35" t="s">
        <v>2282</v>
      </c>
      <c r="H319" s="35">
        <v>504</v>
      </c>
    </row>
    <row r="320" spans="1:8" ht="15.75" x14ac:dyDescent="0.25">
      <c r="A320" t="str">
        <f t="shared" si="4"/>
        <v>U157246I6039KY-W</v>
      </c>
      <c r="B320" s="35" t="s">
        <v>940</v>
      </c>
      <c r="C320" s="35" t="s">
        <v>1267</v>
      </c>
      <c r="D320" s="35" t="s">
        <v>438</v>
      </c>
      <c r="E320" s="35" t="s">
        <v>2338</v>
      </c>
      <c r="F320" s="35" t="s">
        <v>436</v>
      </c>
      <c r="G320" s="35" t="s">
        <v>439</v>
      </c>
      <c r="H320" s="35">
        <v>516</v>
      </c>
    </row>
    <row r="321" spans="1:8" ht="15.75" x14ac:dyDescent="0.25">
      <c r="A321" t="str">
        <f t="shared" si="4"/>
        <v>U157247I6039KY-W</v>
      </c>
      <c r="B321" s="35" t="s">
        <v>940</v>
      </c>
      <c r="C321" s="35" t="s">
        <v>1268</v>
      </c>
      <c r="D321" s="35" t="s">
        <v>438</v>
      </c>
      <c r="E321" s="35" t="s">
        <v>2338</v>
      </c>
      <c r="F321" s="35" t="s">
        <v>436</v>
      </c>
      <c r="G321" s="35" t="s">
        <v>440</v>
      </c>
      <c r="H321" s="35">
        <v>492</v>
      </c>
    </row>
    <row r="322" spans="1:8" ht="15.75" x14ac:dyDescent="0.25">
      <c r="A322" t="str">
        <f t="shared" si="4"/>
        <v>H195220I60356H-W</v>
      </c>
      <c r="B322" s="35" t="s">
        <v>936</v>
      </c>
      <c r="C322" s="35" t="s">
        <v>1269</v>
      </c>
      <c r="D322" s="35" t="s">
        <v>404</v>
      </c>
      <c r="E322" s="35" t="s">
        <v>2338</v>
      </c>
      <c r="F322" s="35" t="s">
        <v>422</v>
      </c>
      <c r="G322" s="35" t="s">
        <v>423</v>
      </c>
      <c r="H322" s="35">
        <v>504</v>
      </c>
    </row>
    <row r="323" spans="1:8" ht="15.75" x14ac:dyDescent="0.25">
      <c r="A323" t="str">
        <f t="shared" si="4"/>
        <v>U157245I60356H-W</v>
      </c>
      <c r="B323" s="35" t="s">
        <v>936</v>
      </c>
      <c r="C323" s="35" t="s">
        <v>1270</v>
      </c>
      <c r="D323" s="35" t="s">
        <v>438</v>
      </c>
      <c r="E323" s="35" t="s">
        <v>2338</v>
      </c>
      <c r="F323" s="35" t="s">
        <v>436</v>
      </c>
      <c r="G323" s="35" t="s">
        <v>439</v>
      </c>
      <c r="H323" s="35">
        <v>504</v>
      </c>
    </row>
    <row r="324" spans="1:8" ht="15.75" x14ac:dyDescent="0.25">
      <c r="A324" t="str">
        <f t="shared" si="4"/>
        <v>U157255I60356H-W</v>
      </c>
      <c r="B324" s="35" t="s">
        <v>936</v>
      </c>
      <c r="C324" s="35" t="s">
        <v>1271</v>
      </c>
      <c r="D324" s="35" t="s">
        <v>438</v>
      </c>
      <c r="E324" s="35" t="s">
        <v>2338</v>
      </c>
      <c r="F324" s="35" t="s">
        <v>436</v>
      </c>
      <c r="G324" s="35" t="s">
        <v>440</v>
      </c>
      <c r="H324" s="35">
        <v>744</v>
      </c>
    </row>
    <row r="325" spans="1:8" ht="15.75" x14ac:dyDescent="0.25">
      <c r="A325" t="str">
        <f t="shared" si="4"/>
        <v>U157256I60356H-W</v>
      </c>
      <c r="B325" s="35" t="s">
        <v>936</v>
      </c>
      <c r="C325" s="35" t="s">
        <v>1272</v>
      </c>
      <c r="D325" s="35" t="s">
        <v>438</v>
      </c>
      <c r="E325" s="35" t="s">
        <v>2338</v>
      </c>
      <c r="F325" s="35" t="s">
        <v>436</v>
      </c>
      <c r="G325" s="35" t="s">
        <v>440</v>
      </c>
      <c r="H325" s="35">
        <v>780</v>
      </c>
    </row>
    <row r="326" spans="1:8" ht="15.75" x14ac:dyDescent="0.25">
      <c r="A326" t="str">
        <f t="shared" si="4"/>
        <v>U157266I60356H-W</v>
      </c>
      <c r="B326" s="35" t="s">
        <v>936</v>
      </c>
      <c r="C326" s="35" t="s">
        <v>1273</v>
      </c>
      <c r="D326" s="35" t="s">
        <v>438</v>
      </c>
      <c r="E326" s="35" t="s">
        <v>2338</v>
      </c>
      <c r="F326" s="35" t="s">
        <v>436</v>
      </c>
      <c r="G326" s="35" t="s">
        <v>439</v>
      </c>
      <c r="H326" s="35">
        <v>492</v>
      </c>
    </row>
    <row r="327" spans="1:8" ht="15.75" x14ac:dyDescent="0.25">
      <c r="A327" t="str">
        <f t="shared" ref="A327:A390" si="5">+C327&amp;B327&amp;"-"&amp;E327</f>
        <v>U157265I603283-M</v>
      </c>
      <c r="B327" s="35" t="s">
        <v>938</v>
      </c>
      <c r="C327" s="35" t="s">
        <v>1274</v>
      </c>
      <c r="D327" s="35" t="s">
        <v>438</v>
      </c>
      <c r="E327" s="35" t="s">
        <v>2337</v>
      </c>
      <c r="F327" s="35" t="s">
        <v>436</v>
      </c>
      <c r="G327" s="35" t="s">
        <v>458</v>
      </c>
      <c r="H327" s="35">
        <v>900</v>
      </c>
    </row>
    <row r="328" spans="1:8" ht="15.75" x14ac:dyDescent="0.25">
      <c r="A328" t="str">
        <f t="shared" si="5"/>
        <v>H171699I603283-M</v>
      </c>
      <c r="B328" s="35" t="s">
        <v>938</v>
      </c>
      <c r="C328" s="35" t="s">
        <v>1275</v>
      </c>
      <c r="D328" s="35" t="s">
        <v>404</v>
      </c>
      <c r="E328" s="35" t="s">
        <v>2337</v>
      </c>
      <c r="F328" s="35" t="s">
        <v>430</v>
      </c>
      <c r="G328" s="35" t="s">
        <v>431</v>
      </c>
      <c r="H328" s="35">
        <v>156</v>
      </c>
    </row>
    <row r="329" spans="1:8" ht="15.75" x14ac:dyDescent="0.25">
      <c r="A329" t="str">
        <f t="shared" si="5"/>
        <v>H171704I6033G2-M</v>
      </c>
      <c r="B329" s="35" t="s">
        <v>939</v>
      </c>
      <c r="C329" s="35" t="s">
        <v>1276</v>
      </c>
      <c r="D329" s="35" t="s">
        <v>404</v>
      </c>
      <c r="E329" s="35" t="s">
        <v>2337</v>
      </c>
      <c r="F329" s="35" t="s">
        <v>430</v>
      </c>
      <c r="G329" s="35" t="s">
        <v>431</v>
      </c>
      <c r="H329" s="35">
        <v>222</v>
      </c>
    </row>
    <row r="330" spans="1:8" ht="15.75" x14ac:dyDescent="0.25">
      <c r="A330" t="str">
        <f t="shared" si="5"/>
        <v>H171627I60356H-M</v>
      </c>
      <c r="B330" s="35" t="s">
        <v>936</v>
      </c>
      <c r="C330" s="35" t="s">
        <v>569</v>
      </c>
      <c r="D330" s="35" t="s">
        <v>404</v>
      </c>
      <c r="E330" s="35" t="s">
        <v>2337</v>
      </c>
      <c r="F330" s="35" t="s">
        <v>434</v>
      </c>
      <c r="G330" s="35" t="s">
        <v>435</v>
      </c>
      <c r="H330" s="35">
        <v>144</v>
      </c>
    </row>
    <row r="331" spans="1:8" ht="15.75" x14ac:dyDescent="0.25">
      <c r="A331" t="str">
        <f t="shared" si="5"/>
        <v>7866265G6032Z2-M</v>
      </c>
      <c r="B331" s="35" t="s">
        <v>892</v>
      </c>
      <c r="C331" s="35" t="s">
        <v>627</v>
      </c>
      <c r="D331" s="35" t="s">
        <v>387</v>
      </c>
      <c r="E331" s="35" t="s">
        <v>2337</v>
      </c>
      <c r="F331" s="35" t="s">
        <v>385</v>
      </c>
      <c r="G331" s="35" t="s">
        <v>386</v>
      </c>
      <c r="H331" s="35">
        <v>144</v>
      </c>
    </row>
    <row r="332" spans="1:8" ht="15.75" x14ac:dyDescent="0.25">
      <c r="A332" t="str">
        <f t="shared" si="5"/>
        <v>H189056G6032Z2-M</v>
      </c>
      <c r="B332" s="35" t="s">
        <v>892</v>
      </c>
      <c r="C332" s="35" t="s">
        <v>641</v>
      </c>
      <c r="D332" s="35" t="s">
        <v>404</v>
      </c>
      <c r="E332" s="35" t="s">
        <v>2337</v>
      </c>
      <c r="F332" s="35" t="s">
        <v>2294</v>
      </c>
      <c r="G332" s="35" t="s">
        <v>2295</v>
      </c>
      <c r="H332" s="35">
        <v>54</v>
      </c>
    </row>
    <row r="333" spans="1:8" ht="15.75" x14ac:dyDescent="0.25">
      <c r="A333" t="str">
        <f t="shared" si="5"/>
        <v>H189056G6032Z2-W</v>
      </c>
      <c r="B333" s="35" t="s">
        <v>892</v>
      </c>
      <c r="C333" s="35" t="s">
        <v>641</v>
      </c>
      <c r="D333" s="35" t="s">
        <v>404</v>
      </c>
      <c r="E333" s="35" t="s">
        <v>2338</v>
      </c>
      <c r="F333" s="35" t="s">
        <v>2294</v>
      </c>
      <c r="G333" s="35" t="s">
        <v>2295</v>
      </c>
      <c r="H333" s="35">
        <v>90</v>
      </c>
    </row>
    <row r="334" spans="1:8" ht="15.75" x14ac:dyDescent="0.25">
      <c r="A334" t="str">
        <f t="shared" si="5"/>
        <v>H189175G6032Z2-M</v>
      </c>
      <c r="B334" s="35" t="s">
        <v>892</v>
      </c>
      <c r="C334" s="35" t="s">
        <v>630</v>
      </c>
      <c r="D334" s="35" t="s">
        <v>404</v>
      </c>
      <c r="E334" s="35" t="s">
        <v>2337</v>
      </c>
      <c r="F334" s="35" t="s">
        <v>414</v>
      </c>
      <c r="G334" s="35" t="s">
        <v>415</v>
      </c>
      <c r="H334" s="35">
        <v>198</v>
      </c>
    </row>
    <row r="335" spans="1:8" ht="15.75" x14ac:dyDescent="0.25">
      <c r="A335" t="str">
        <f t="shared" si="5"/>
        <v>U152789G6035EQ-M</v>
      </c>
      <c r="B335" s="35" t="s">
        <v>888</v>
      </c>
      <c r="C335" s="35" t="s">
        <v>653</v>
      </c>
      <c r="D335" s="35" t="s">
        <v>457</v>
      </c>
      <c r="E335" s="35" t="s">
        <v>2337</v>
      </c>
      <c r="F335" s="35" t="s">
        <v>436</v>
      </c>
      <c r="G335" s="35" t="s">
        <v>443</v>
      </c>
      <c r="H335" s="35">
        <v>810</v>
      </c>
    </row>
    <row r="336" spans="1:8" ht="15.75" x14ac:dyDescent="0.25">
      <c r="A336" t="str">
        <f t="shared" si="5"/>
        <v>U152789G6035EQ-W</v>
      </c>
      <c r="B336" s="35" t="s">
        <v>888</v>
      </c>
      <c r="C336" s="35" t="s">
        <v>653</v>
      </c>
      <c r="D336" s="35" t="s">
        <v>457</v>
      </c>
      <c r="E336" s="35" t="s">
        <v>2338</v>
      </c>
      <c r="F336" s="35" t="s">
        <v>436</v>
      </c>
      <c r="G336" s="35" t="s">
        <v>443</v>
      </c>
      <c r="H336" s="35">
        <v>630</v>
      </c>
    </row>
    <row r="337" spans="1:8" ht="15.75" x14ac:dyDescent="0.25">
      <c r="A337" t="str">
        <f t="shared" si="5"/>
        <v>H189064G6035F4-M</v>
      </c>
      <c r="B337" s="35" t="s">
        <v>891</v>
      </c>
      <c r="C337" s="35" t="s">
        <v>673</v>
      </c>
      <c r="D337" s="35" t="s">
        <v>404</v>
      </c>
      <c r="E337" s="35" t="s">
        <v>2337</v>
      </c>
      <c r="F337" s="35" t="s">
        <v>2294</v>
      </c>
      <c r="G337" s="35" t="s">
        <v>2295</v>
      </c>
      <c r="H337" s="35">
        <v>72</v>
      </c>
    </row>
    <row r="338" spans="1:8" ht="15.75" x14ac:dyDescent="0.25">
      <c r="A338" t="str">
        <f t="shared" si="5"/>
        <v>H189064G6035F4-W</v>
      </c>
      <c r="B338" s="35" t="s">
        <v>891</v>
      </c>
      <c r="C338" s="35" t="s">
        <v>673</v>
      </c>
      <c r="D338" s="35" t="s">
        <v>404</v>
      </c>
      <c r="E338" s="35" t="s">
        <v>2338</v>
      </c>
      <c r="F338" s="35" t="s">
        <v>2294</v>
      </c>
      <c r="G338" s="35" t="s">
        <v>2295</v>
      </c>
      <c r="H338" s="35">
        <v>72</v>
      </c>
    </row>
    <row r="339" spans="1:8" ht="15.75" x14ac:dyDescent="0.25">
      <c r="A339" t="str">
        <f t="shared" si="5"/>
        <v>7882067G6032Z2-M</v>
      </c>
      <c r="B339" s="35" t="s">
        <v>892</v>
      </c>
      <c r="C339" s="35" t="s">
        <v>717</v>
      </c>
      <c r="D339" s="35" t="s">
        <v>484</v>
      </c>
      <c r="E339" s="35" t="s">
        <v>2337</v>
      </c>
      <c r="F339" s="35" t="s">
        <v>379</v>
      </c>
      <c r="G339" s="35" t="s">
        <v>504</v>
      </c>
      <c r="H339" s="35">
        <v>252</v>
      </c>
    </row>
    <row r="340" spans="1:8" ht="15.75" x14ac:dyDescent="0.25">
      <c r="A340" t="str">
        <f t="shared" si="5"/>
        <v>7884582G6032Z2-M</v>
      </c>
      <c r="B340" s="35" t="s">
        <v>892</v>
      </c>
      <c r="C340" s="35" t="s">
        <v>722</v>
      </c>
      <c r="D340" s="35" t="s">
        <v>395</v>
      </c>
      <c r="E340" s="35" t="s">
        <v>2337</v>
      </c>
      <c r="F340" s="35" t="s">
        <v>382</v>
      </c>
      <c r="G340" s="35" t="s">
        <v>383</v>
      </c>
      <c r="H340" s="35">
        <v>990</v>
      </c>
    </row>
    <row r="341" spans="1:8" ht="15.75" x14ac:dyDescent="0.25">
      <c r="A341" t="str">
        <f t="shared" si="5"/>
        <v>U152850G6032Z2-M</v>
      </c>
      <c r="B341" s="35" t="s">
        <v>892</v>
      </c>
      <c r="C341" s="35" t="s">
        <v>749</v>
      </c>
      <c r="D341" s="35" t="s">
        <v>438</v>
      </c>
      <c r="E341" s="35" t="s">
        <v>2337</v>
      </c>
      <c r="F341" s="35" t="s">
        <v>436</v>
      </c>
      <c r="G341" s="35" t="s">
        <v>442</v>
      </c>
      <c r="H341" s="35">
        <v>1200</v>
      </c>
    </row>
    <row r="342" spans="1:8" ht="15.75" x14ac:dyDescent="0.25">
      <c r="A342" t="str">
        <f t="shared" si="5"/>
        <v>7884594G6037VE-M</v>
      </c>
      <c r="B342" s="35" t="s">
        <v>945</v>
      </c>
      <c r="C342" s="35" t="s">
        <v>703</v>
      </c>
      <c r="D342" s="35" t="s">
        <v>395</v>
      </c>
      <c r="E342" s="35" t="s">
        <v>2337</v>
      </c>
      <c r="F342" s="35" t="s">
        <v>382</v>
      </c>
      <c r="G342" s="35" t="s">
        <v>383</v>
      </c>
      <c r="H342" s="35">
        <v>378</v>
      </c>
    </row>
    <row r="343" spans="1:8" ht="15.75" x14ac:dyDescent="0.25">
      <c r="A343" t="str">
        <f t="shared" si="5"/>
        <v>U152839I6039JD-M</v>
      </c>
      <c r="B343" s="35" t="s">
        <v>942</v>
      </c>
      <c r="C343" s="35" t="s">
        <v>794</v>
      </c>
      <c r="D343" s="35" t="s">
        <v>444</v>
      </c>
      <c r="E343" s="35" t="s">
        <v>2337</v>
      </c>
      <c r="F343" s="35" t="s">
        <v>436</v>
      </c>
      <c r="G343" s="35" t="s">
        <v>443</v>
      </c>
      <c r="H343" s="35">
        <v>132</v>
      </c>
    </row>
    <row r="344" spans="1:8" ht="15.75" x14ac:dyDescent="0.25">
      <c r="A344" t="str">
        <f t="shared" si="5"/>
        <v>U152839I6039JD-W</v>
      </c>
      <c r="B344" s="35" t="s">
        <v>942</v>
      </c>
      <c r="C344" s="35" t="s">
        <v>794</v>
      </c>
      <c r="D344" s="35" t="s">
        <v>444</v>
      </c>
      <c r="E344" s="35" t="s">
        <v>2338</v>
      </c>
      <c r="F344" s="35" t="s">
        <v>436</v>
      </c>
      <c r="G344" s="35" t="s">
        <v>443</v>
      </c>
      <c r="H344" s="35">
        <v>42</v>
      </c>
    </row>
    <row r="345" spans="1:8" ht="15.75" x14ac:dyDescent="0.25">
      <c r="A345" t="str">
        <f t="shared" si="5"/>
        <v>H189069I6039KY-M</v>
      </c>
      <c r="B345" s="35" t="s">
        <v>940</v>
      </c>
      <c r="C345" s="35" t="s">
        <v>801</v>
      </c>
      <c r="D345" s="35" t="s">
        <v>404</v>
      </c>
      <c r="E345" s="35" t="s">
        <v>2337</v>
      </c>
      <c r="F345" s="35" t="s">
        <v>2294</v>
      </c>
      <c r="G345" s="35" t="s">
        <v>2295</v>
      </c>
      <c r="H345" s="35">
        <v>54</v>
      </c>
    </row>
    <row r="346" spans="1:8" ht="15.75" x14ac:dyDescent="0.25">
      <c r="A346" t="str">
        <f t="shared" si="5"/>
        <v>H189069I6039KY-W</v>
      </c>
      <c r="B346" s="35" t="s">
        <v>940</v>
      </c>
      <c r="C346" s="35" t="s">
        <v>801</v>
      </c>
      <c r="D346" s="35" t="s">
        <v>404</v>
      </c>
      <c r="E346" s="35" t="s">
        <v>2338</v>
      </c>
      <c r="F346" s="35" t="s">
        <v>2294</v>
      </c>
      <c r="G346" s="35" t="s">
        <v>2295</v>
      </c>
      <c r="H346" s="35">
        <v>90</v>
      </c>
    </row>
    <row r="347" spans="1:8" ht="15.75" x14ac:dyDescent="0.25">
      <c r="A347" t="str">
        <f t="shared" si="5"/>
        <v>H189181I6039KY-M</v>
      </c>
      <c r="B347" s="35" t="s">
        <v>940</v>
      </c>
      <c r="C347" s="35" t="s">
        <v>815</v>
      </c>
      <c r="D347" s="35" t="s">
        <v>404</v>
      </c>
      <c r="E347" s="35" t="s">
        <v>2337</v>
      </c>
      <c r="F347" s="35" t="s">
        <v>414</v>
      </c>
      <c r="G347" s="35" t="s">
        <v>415</v>
      </c>
      <c r="H347" s="35">
        <v>204</v>
      </c>
    </row>
    <row r="348" spans="1:8" ht="15.75" x14ac:dyDescent="0.25">
      <c r="A348" t="str">
        <f t="shared" si="5"/>
        <v>H189181I6039KY-W</v>
      </c>
      <c r="B348" s="35" t="s">
        <v>940</v>
      </c>
      <c r="C348" s="35" t="s">
        <v>815</v>
      </c>
      <c r="D348" s="35" t="s">
        <v>404</v>
      </c>
      <c r="E348" s="35" t="s">
        <v>2338</v>
      </c>
      <c r="F348" s="35" t="s">
        <v>414</v>
      </c>
      <c r="G348" s="35" t="s">
        <v>415</v>
      </c>
      <c r="H348" s="35">
        <v>300</v>
      </c>
    </row>
    <row r="349" spans="1:8" ht="15.75" x14ac:dyDescent="0.25">
      <c r="A349" t="str">
        <f t="shared" si="5"/>
        <v>U152811I6039KY-M</v>
      </c>
      <c r="B349" s="35" t="s">
        <v>940</v>
      </c>
      <c r="C349" s="35" t="s">
        <v>828</v>
      </c>
      <c r="D349" s="35" t="s">
        <v>444</v>
      </c>
      <c r="E349" s="35" t="s">
        <v>2337</v>
      </c>
      <c r="F349" s="35" t="s">
        <v>436</v>
      </c>
      <c r="G349" s="35" t="s">
        <v>443</v>
      </c>
      <c r="H349" s="35">
        <v>246</v>
      </c>
    </row>
    <row r="350" spans="1:8" ht="15.75" x14ac:dyDescent="0.25">
      <c r="A350" t="str">
        <f t="shared" si="5"/>
        <v>U152811I6039KY-W</v>
      </c>
      <c r="B350" s="35" t="s">
        <v>940</v>
      </c>
      <c r="C350" s="35" t="s">
        <v>828</v>
      </c>
      <c r="D350" s="35" t="s">
        <v>444</v>
      </c>
      <c r="E350" s="35" t="s">
        <v>2338</v>
      </c>
      <c r="F350" s="35" t="s">
        <v>436</v>
      </c>
      <c r="G350" s="35" t="s">
        <v>443</v>
      </c>
      <c r="H350" s="35">
        <v>36</v>
      </c>
    </row>
    <row r="351" spans="1:8" ht="15.75" x14ac:dyDescent="0.25">
      <c r="A351" t="str">
        <f t="shared" si="5"/>
        <v>H189083I6039JD-W</v>
      </c>
      <c r="B351" s="35" t="s">
        <v>942</v>
      </c>
      <c r="C351" s="35" t="s">
        <v>831</v>
      </c>
      <c r="D351" s="35" t="s">
        <v>404</v>
      </c>
      <c r="E351" s="35" t="s">
        <v>2338</v>
      </c>
      <c r="F351" s="35" t="s">
        <v>422</v>
      </c>
      <c r="G351" s="35" t="s">
        <v>423</v>
      </c>
      <c r="H351" s="35">
        <v>288</v>
      </c>
    </row>
    <row r="352" spans="1:8" ht="15.75" x14ac:dyDescent="0.25">
      <c r="A352" t="str">
        <f t="shared" si="5"/>
        <v>7884630I6039JD-M</v>
      </c>
      <c r="B352" s="35" t="s">
        <v>942</v>
      </c>
      <c r="C352" s="35" t="s">
        <v>841</v>
      </c>
      <c r="D352" s="35" t="s">
        <v>395</v>
      </c>
      <c r="E352" s="35" t="s">
        <v>2337</v>
      </c>
      <c r="F352" s="35" t="s">
        <v>382</v>
      </c>
      <c r="G352" s="35" t="s">
        <v>383</v>
      </c>
      <c r="H352" s="35">
        <v>234</v>
      </c>
    </row>
    <row r="353" spans="1:8" ht="15.75" x14ac:dyDescent="0.25">
      <c r="A353" t="str">
        <f t="shared" si="5"/>
        <v>U152755I6039JD-M</v>
      </c>
      <c r="B353" s="35" t="s">
        <v>942</v>
      </c>
      <c r="C353" s="35" t="s">
        <v>865</v>
      </c>
      <c r="D353" s="35" t="s">
        <v>438</v>
      </c>
      <c r="E353" s="35" t="s">
        <v>2337</v>
      </c>
      <c r="F353" s="35" t="s">
        <v>436</v>
      </c>
      <c r="G353" s="35" t="s">
        <v>442</v>
      </c>
      <c r="H353" s="35">
        <v>594</v>
      </c>
    </row>
    <row r="354" spans="1:8" ht="15.75" x14ac:dyDescent="0.25">
      <c r="A354" t="str">
        <f t="shared" si="5"/>
        <v>7880833I603283-M</v>
      </c>
      <c r="B354" s="35" t="s">
        <v>938</v>
      </c>
      <c r="C354" s="35" t="s">
        <v>872</v>
      </c>
      <c r="D354" s="35" t="s">
        <v>387</v>
      </c>
      <c r="E354" s="35" t="s">
        <v>2337</v>
      </c>
      <c r="F354" s="35" t="s">
        <v>388</v>
      </c>
      <c r="G354" s="35" t="s">
        <v>389</v>
      </c>
      <c r="H354" s="35">
        <v>144</v>
      </c>
    </row>
    <row r="355" spans="1:8" ht="15.75" x14ac:dyDescent="0.25">
      <c r="A355" t="str">
        <f t="shared" si="5"/>
        <v>7884624I6038PU-M</v>
      </c>
      <c r="B355" s="35" t="s">
        <v>937</v>
      </c>
      <c r="C355" s="35" t="s">
        <v>1277</v>
      </c>
      <c r="D355" s="35" t="s">
        <v>395</v>
      </c>
      <c r="E355" s="35" t="s">
        <v>2337</v>
      </c>
      <c r="F355" s="35" t="s">
        <v>382</v>
      </c>
      <c r="G355" s="35" t="s">
        <v>383</v>
      </c>
      <c r="H355" s="35">
        <v>204</v>
      </c>
    </row>
    <row r="356" spans="1:8" ht="15.75" x14ac:dyDescent="0.25">
      <c r="A356" t="str">
        <f t="shared" si="5"/>
        <v>7880747I6039KY-M</v>
      </c>
      <c r="B356" s="35" t="s">
        <v>940</v>
      </c>
      <c r="C356" s="35" t="s">
        <v>1278</v>
      </c>
      <c r="D356" s="35" t="s">
        <v>387</v>
      </c>
      <c r="E356" s="35" t="s">
        <v>2337</v>
      </c>
      <c r="F356" s="35" t="s">
        <v>388</v>
      </c>
      <c r="G356" s="35" t="s">
        <v>389</v>
      </c>
      <c r="H356" s="35">
        <v>552</v>
      </c>
    </row>
    <row r="357" spans="1:8" ht="15.75" x14ac:dyDescent="0.25">
      <c r="A357" t="str">
        <f t="shared" si="5"/>
        <v>7880863I6039KY-M</v>
      </c>
      <c r="B357" s="35" t="s">
        <v>940</v>
      </c>
      <c r="C357" s="35" t="s">
        <v>1279</v>
      </c>
      <c r="D357" s="35" t="s">
        <v>387</v>
      </c>
      <c r="E357" s="35" t="s">
        <v>2337</v>
      </c>
      <c r="F357" s="35" t="s">
        <v>388</v>
      </c>
      <c r="G357" s="35" t="s">
        <v>389</v>
      </c>
      <c r="H357" s="35">
        <v>402</v>
      </c>
    </row>
    <row r="358" spans="1:8" ht="15.75" x14ac:dyDescent="0.25">
      <c r="A358" t="str">
        <f t="shared" si="5"/>
        <v>7885552G6037LU-M</v>
      </c>
      <c r="B358" s="35" t="s">
        <v>889</v>
      </c>
      <c r="C358" s="35" t="s">
        <v>1280</v>
      </c>
      <c r="D358" s="35" t="s">
        <v>395</v>
      </c>
      <c r="E358" s="35" t="s">
        <v>2337</v>
      </c>
      <c r="F358" s="35" t="s">
        <v>382</v>
      </c>
      <c r="G358" s="35" t="s">
        <v>383</v>
      </c>
      <c r="H358" s="35">
        <v>882</v>
      </c>
    </row>
    <row r="359" spans="1:8" ht="15.75" x14ac:dyDescent="0.25">
      <c r="A359" t="str">
        <f t="shared" si="5"/>
        <v>U152759G6037LU-M</v>
      </c>
      <c r="B359" s="35" t="s">
        <v>889</v>
      </c>
      <c r="C359" s="35" t="s">
        <v>1281</v>
      </c>
      <c r="D359" s="35" t="s">
        <v>438</v>
      </c>
      <c r="E359" s="35" t="s">
        <v>2337</v>
      </c>
      <c r="F359" s="35" t="s">
        <v>436</v>
      </c>
      <c r="G359" s="35" t="s">
        <v>442</v>
      </c>
      <c r="H359" s="35">
        <v>1200</v>
      </c>
    </row>
    <row r="360" spans="1:8" ht="15.75" x14ac:dyDescent="0.25">
      <c r="A360" t="str">
        <f t="shared" si="5"/>
        <v>H171640G603376-M</v>
      </c>
      <c r="B360" s="35" t="s">
        <v>894</v>
      </c>
      <c r="C360" s="35" t="s">
        <v>1282</v>
      </c>
      <c r="D360" s="35" t="s">
        <v>404</v>
      </c>
      <c r="E360" s="35" t="s">
        <v>2337</v>
      </c>
      <c r="F360" s="35" t="s">
        <v>501</v>
      </c>
      <c r="G360" s="35" t="s">
        <v>502</v>
      </c>
      <c r="H360" s="35">
        <v>414</v>
      </c>
    </row>
    <row r="361" spans="1:8" ht="15.75" x14ac:dyDescent="0.25">
      <c r="A361" t="str">
        <f t="shared" si="5"/>
        <v>H171618G6037LU-M</v>
      </c>
      <c r="B361" s="35" t="s">
        <v>889</v>
      </c>
      <c r="C361" s="35" t="s">
        <v>1283</v>
      </c>
      <c r="D361" s="35" t="s">
        <v>404</v>
      </c>
      <c r="E361" s="35" t="s">
        <v>2337</v>
      </c>
      <c r="F361" s="35" t="s">
        <v>434</v>
      </c>
      <c r="G361" s="35" t="s">
        <v>435</v>
      </c>
      <c r="H361" s="35">
        <v>492</v>
      </c>
    </row>
    <row r="362" spans="1:8" ht="15.75" x14ac:dyDescent="0.25">
      <c r="A362" t="str">
        <f t="shared" si="5"/>
        <v>H189026G6035F4-M</v>
      </c>
      <c r="B362" s="35" t="s">
        <v>891</v>
      </c>
      <c r="C362" s="35" t="s">
        <v>1284</v>
      </c>
      <c r="D362" s="35" t="s">
        <v>404</v>
      </c>
      <c r="E362" s="35" t="s">
        <v>2337</v>
      </c>
      <c r="F362" s="35" t="s">
        <v>501</v>
      </c>
      <c r="G362" s="35" t="s">
        <v>502</v>
      </c>
      <c r="H362" s="35">
        <v>144</v>
      </c>
    </row>
    <row r="363" spans="1:8" ht="15.75" x14ac:dyDescent="0.25">
      <c r="A363" t="str">
        <f t="shared" si="5"/>
        <v>U152860G6035F4-M</v>
      </c>
      <c r="B363" s="35" t="s">
        <v>891</v>
      </c>
      <c r="C363" s="35" t="s">
        <v>1285</v>
      </c>
      <c r="D363" s="35" t="s">
        <v>438</v>
      </c>
      <c r="E363" s="35" t="s">
        <v>2337</v>
      </c>
      <c r="F363" s="35" t="s">
        <v>436</v>
      </c>
      <c r="G363" s="35" t="s">
        <v>442</v>
      </c>
      <c r="H363" s="35">
        <v>900</v>
      </c>
    </row>
    <row r="364" spans="1:8" ht="15.75" x14ac:dyDescent="0.25">
      <c r="A364" t="str">
        <f t="shared" si="5"/>
        <v>U157244G6035F4-M</v>
      </c>
      <c r="B364" s="35" t="s">
        <v>891</v>
      </c>
      <c r="C364" s="35" t="s">
        <v>1286</v>
      </c>
      <c r="D364" s="35" t="s">
        <v>444</v>
      </c>
      <c r="E364" s="35" t="s">
        <v>2337</v>
      </c>
      <c r="F364" s="35" t="s">
        <v>436</v>
      </c>
      <c r="G364" s="35" t="s">
        <v>443</v>
      </c>
      <c r="H364" s="35">
        <v>504</v>
      </c>
    </row>
    <row r="365" spans="1:8" ht="15.75" x14ac:dyDescent="0.25">
      <c r="A365" t="str">
        <f t="shared" si="5"/>
        <v>U157244G6035F4-W</v>
      </c>
      <c r="B365" s="35" t="s">
        <v>891</v>
      </c>
      <c r="C365" s="35" t="s">
        <v>1286</v>
      </c>
      <c r="D365" s="35" t="s">
        <v>444</v>
      </c>
      <c r="E365" s="35" t="s">
        <v>2338</v>
      </c>
      <c r="F365" s="35" t="s">
        <v>436</v>
      </c>
      <c r="G365" s="35" t="s">
        <v>443</v>
      </c>
      <c r="H365" s="35">
        <v>54</v>
      </c>
    </row>
    <row r="366" spans="1:8" ht="15.75" x14ac:dyDescent="0.25">
      <c r="A366" t="str">
        <f t="shared" si="5"/>
        <v>U157251G6032Z2-M</v>
      </c>
      <c r="B366" s="35" t="s">
        <v>892</v>
      </c>
      <c r="C366" s="35" t="s">
        <v>1287</v>
      </c>
      <c r="D366" s="35" t="s">
        <v>444</v>
      </c>
      <c r="E366" s="35" t="s">
        <v>2337</v>
      </c>
      <c r="F366" s="35" t="s">
        <v>436</v>
      </c>
      <c r="G366" s="35" t="s">
        <v>443</v>
      </c>
      <c r="H366" s="35">
        <v>198</v>
      </c>
    </row>
    <row r="367" spans="1:8" ht="15.75" x14ac:dyDescent="0.25">
      <c r="A367" t="str">
        <f t="shared" si="5"/>
        <v>U157251G6032Z2-W</v>
      </c>
      <c r="B367" s="35" t="s">
        <v>892</v>
      </c>
      <c r="C367" s="35" t="s">
        <v>1287</v>
      </c>
      <c r="D367" s="35" t="s">
        <v>444</v>
      </c>
      <c r="E367" s="35" t="s">
        <v>2338</v>
      </c>
      <c r="F367" s="35" t="s">
        <v>436</v>
      </c>
      <c r="G367" s="35" t="s">
        <v>443</v>
      </c>
      <c r="H367" s="35">
        <v>60</v>
      </c>
    </row>
    <row r="368" spans="1:8" ht="15.75" x14ac:dyDescent="0.25">
      <c r="A368" t="str">
        <f t="shared" si="5"/>
        <v>U157242G6037LU-M</v>
      </c>
      <c r="B368" s="35" t="s">
        <v>889</v>
      </c>
      <c r="C368" s="35" t="s">
        <v>1288</v>
      </c>
      <c r="D368" s="35" t="s">
        <v>444</v>
      </c>
      <c r="E368" s="35" t="s">
        <v>2337</v>
      </c>
      <c r="F368" s="35" t="s">
        <v>436</v>
      </c>
      <c r="G368" s="35" t="s">
        <v>443</v>
      </c>
      <c r="H368" s="35">
        <v>420</v>
      </c>
    </row>
    <row r="369" spans="1:8" ht="15.75" x14ac:dyDescent="0.25">
      <c r="A369" t="str">
        <f t="shared" si="5"/>
        <v>U157242G6037LU-W</v>
      </c>
      <c r="B369" s="35" t="s">
        <v>889</v>
      </c>
      <c r="C369" s="35" t="s">
        <v>1288</v>
      </c>
      <c r="D369" s="35" t="s">
        <v>444</v>
      </c>
      <c r="E369" s="35" t="s">
        <v>2338</v>
      </c>
      <c r="F369" s="35" t="s">
        <v>436</v>
      </c>
      <c r="G369" s="35" t="s">
        <v>443</v>
      </c>
      <c r="H369" s="35">
        <v>84</v>
      </c>
    </row>
    <row r="370" spans="1:8" ht="15.75" x14ac:dyDescent="0.25">
      <c r="A370" t="str">
        <f t="shared" si="5"/>
        <v>U157248G6035EQ-M</v>
      </c>
      <c r="B370" s="35" t="s">
        <v>888</v>
      </c>
      <c r="C370" s="35" t="s">
        <v>1289</v>
      </c>
      <c r="D370" s="35" t="s">
        <v>444</v>
      </c>
      <c r="E370" s="35" t="s">
        <v>2337</v>
      </c>
      <c r="F370" s="35" t="s">
        <v>436</v>
      </c>
      <c r="G370" s="35" t="s">
        <v>443</v>
      </c>
      <c r="H370" s="35">
        <v>318</v>
      </c>
    </row>
    <row r="371" spans="1:8" ht="15.75" x14ac:dyDescent="0.25">
      <c r="A371" t="str">
        <f t="shared" si="5"/>
        <v>U157248G6035EQ-W</v>
      </c>
      <c r="B371" s="35" t="s">
        <v>888</v>
      </c>
      <c r="C371" s="35" t="s">
        <v>1289</v>
      </c>
      <c r="D371" s="35" t="s">
        <v>444</v>
      </c>
      <c r="E371" s="35" t="s">
        <v>2338</v>
      </c>
      <c r="F371" s="35" t="s">
        <v>436</v>
      </c>
      <c r="G371" s="35" t="s">
        <v>443</v>
      </c>
      <c r="H371" s="35">
        <v>246</v>
      </c>
    </row>
    <row r="372" spans="1:8" ht="15.75" x14ac:dyDescent="0.25">
      <c r="A372" t="str">
        <f t="shared" si="5"/>
        <v>U157270G6035EQ-M</v>
      </c>
      <c r="B372" s="35" t="s">
        <v>888</v>
      </c>
      <c r="C372" s="35" t="s">
        <v>1290</v>
      </c>
      <c r="D372" s="35" t="s">
        <v>438</v>
      </c>
      <c r="E372" s="35" t="s">
        <v>2337</v>
      </c>
      <c r="F372" s="35" t="s">
        <v>436</v>
      </c>
      <c r="G372" s="35" t="s">
        <v>2282</v>
      </c>
      <c r="H372" s="35">
        <v>1200</v>
      </c>
    </row>
    <row r="373" spans="1:8" ht="15.75" x14ac:dyDescent="0.25">
      <c r="A373" t="str">
        <f t="shared" si="5"/>
        <v>H195226G60374G-M</v>
      </c>
      <c r="B373" s="35" t="s">
        <v>946</v>
      </c>
      <c r="C373" s="35" t="s">
        <v>1291</v>
      </c>
      <c r="D373" s="35" t="s">
        <v>404</v>
      </c>
      <c r="E373" s="35" t="s">
        <v>2337</v>
      </c>
      <c r="F373" s="35" t="s">
        <v>434</v>
      </c>
      <c r="G373" s="35" t="s">
        <v>435</v>
      </c>
      <c r="H373" s="35">
        <v>504</v>
      </c>
    </row>
    <row r="374" spans="1:8" ht="15.75" x14ac:dyDescent="0.25">
      <c r="A374" t="str">
        <f t="shared" si="5"/>
        <v>H195235G60374G-M</v>
      </c>
      <c r="B374" s="35" t="s">
        <v>946</v>
      </c>
      <c r="C374" s="35" t="s">
        <v>1292</v>
      </c>
      <c r="D374" s="35" t="s">
        <v>404</v>
      </c>
      <c r="E374" s="35" t="s">
        <v>2337</v>
      </c>
      <c r="F374" s="35" t="s">
        <v>402</v>
      </c>
      <c r="G374" s="35" t="s">
        <v>2289</v>
      </c>
      <c r="H374" s="35">
        <v>150</v>
      </c>
    </row>
    <row r="375" spans="1:8" ht="15.75" x14ac:dyDescent="0.25">
      <c r="A375" t="str">
        <f t="shared" si="5"/>
        <v>7888768G6032Z2-M</v>
      </c>
      <c r="B375" s="35" t="s">
        <v>892</v>
      </c>
      <c r="C375" s="35" t="s">
        <v>1293</v>
      </c>
      <c r="D375" s="35" t="s">
        <v>395</v>
      </c>
      <c r="E375" s="35" t="s">
        <v>2337</v>
      </c>
      <c r="F375" s="35" t="s">
        <v>382</v>
      </c>
      <c r="G375" s="35" t="s">
        <v>383</v>
      </c>
      <c r="H375" s="35">
        <v>654</v>
      </c>
    </row>
    <row r="376" spans="1:8" ht="15.75" x14ac:dyDescent="0.25">
      <c r="A376" t="str">
        <f t="shared" si="5"/>
        <v>7889376G6037LU-M</v>
      </c>
      <c r="B376" s="35" t="s">
        <v>889</v>
      </c>
      <c r="C376" s="35" t="s">
        <v>1294</v>
      </c>
      <c r="D376" s="35" t="s">
        <v>395</v>
      </c>
      <c r="E376" s="35" t="s">
        <v>2337</v>
      </c>
      <c r="F376" s="35" t="s">
        <v>382</v>
      </c>
      <c r="G376" s="35" t="s">
        <v>383</v>
      </c>
      <c r="H376" s="35">
        <v>162</v>
      </c>
    </row>
    <row r="377" spans="1:8" ht="15.75" x14ac:dyDescent="0.25">
      <c r="A377" t="str">
        <f t="shared" si="5"/>
        <v>U157227G6037LU-M</v>
      </c>
      <c r="B377" s="35" t="s">
        <v>889</v>
      </c>
      <c r="C377" s="35" t="s">
        <v>1295</v>
      </c>
      <c r="D377" s="35" t="s">
        <v>438</v>
      </c>
      <c r="E377" s="35" t="s">
        <v>2337</v>
      </c>
      <c r="F377" s="35" t="s">
        <v>436</v>
      </c>
      <c r="G377" s="35" t="s">
        <v>452</v>
      </c>
      <c r="H377" s="35">
        <v>3000</v>
      </c>
    </row>
    <row r="378" spans="1:8" ht="15.75" x14ac:dyDescent="0.25">
      <c r="A378" t="str">
        <f t="shared" si="5"/>
        <v>C136005ML574EVG-D</v>
      </c>
      <c r="B378" s="35" t="s">
        <v>947</v>
      </c>
      <c r="C378" s="35" t="s">
        <v>1296</v>
      </c>
      <c r="D378" s="35" t="s">
        <v>401</v>
      </c>
      <c r="E378" s="35" t="s">
        <v>2340</v>
      </c>
      <c r="F378" s="35" t="s">
        <v>397</v>
      </c>
      <c r="G378" s="35" t="s">
        <v>400</v>
      </c>
      <c r="H378" s="35">
        <v>270</v>
      </c>
    </row>
    <row r="379" spans="1:8" ht="15.75" x14ac:dyDescent="0.25">
      <c r="A379" t="str">
        <f t="shared" si="5"/>
        <v>C135859WL574EVW-B</v>
      </c>
      <c r="B379" s="35" t="s">
        <v>948</v>
      </c>
      <c r="C379" s="35" t="s">
        <v>1297</v>
      </c>
      <c r="D379" s="35" t="s">
        <v>401</v>
      </c>
      <c r="E379" s="35" t="s">
        <v>2339</v>
      </c>
      <c r="F379" s="35" t="s">
        <v>397</v>
      </c>
      <c r="G379" s="35" t="s">
        <v>400</v>
      </c>
      <c r="H379" s="35">
        <v>714</v>
      </c>
    </row>
    <row r="380" spans="1:8" ht="15.75" x14ac:dyDescent="0.25">
      <c r="A380" t="str">
        <f t="shared" si="5"/>
        <v>U158342WL574EVW-B</v>
      </c>
      <c r="B380" s="35" t="s">
        <v>948</v>
      </c>
      <c r="C380" s="35" t="s">
        <v>1298</v>
      </c>
      <c r="D380" s="35" t="s">
        <v>457</v>
      </c>
      <c r="E380" s="35" t="s">
        <v>2339</v>
      </c>
      <c r="F380" s="35" t="s">
        <v>436</v>
      </c>
      <c r="G380" s="35" t="s">
        <v>443</v>
      </c>
      <c r="H380" s="35">
        <v>2244</v>
      </c>
    </row>
    <row r="381" spans="1:8" ht="15.75" x14ac:dyDescent="0.25">
      <c r="A381" t="str">
        <f t="shared" si="5"/>
        <v>U158344ML574EVN-D</v>
      </c>
      <c r="B381" s="35" t="s">
        <v>949</v>
      </c>
      <c r="C381" s="35" t="s">
        <v>1299</v>
      </c>
      <c r="D381" s="35" t="s">
        <v>466</v>
      </c>
      <c r="E381" s="35" t="s">
        <v>2340</v>
      </c>
      <c r="F381" s="35" t="s">
        <v>436</v>
      </c>
      <c r="G381" s="35" t="s">
        <v>443</v>
      </c>
      <c r="H381" s="35">
        <v>348</v>
      </c>
    </row>
    <row r="382" spans="1:8" ht="15.75" x14ac:dyDescent="0.25">
      <c r="A382" t="str">
        <f t="shared" si="5"/>
        <v>U158345ML574EVN-D</v>
      </c>
      <c r="B382" s="35" t="s">
        <v>949</v>
      </c>
      <c r="C382" s="35" t="s">
        <v>1300</v>
      </c>
      <c r="D382" s="35" t="s">
        <v>444</v>
      </c>
      <c r="E382" s="35" t="s">
        <v>2340</v>
      </c>
      <c r="F382" s="35" t="s">
        <v>436</v>
      </c>
      <c r="G382" s="35" t="s">
        <v>443</v>
      </c>
      <c r="H382" s="35">
        <v>204</v>
      </c>
    </row>
    <row r="383" spans="1:8" ht="15.75" x14ac:dyDescent="0.25">
      <c r="A383" t="str">
        <f t="shared" si="5"/>
        <v>U158340ML574EVG-D</v>
      </c>
      <c r="B383" s="35" t="s">
        <v>947</v>
      </c>
      <c r="C383" s="35" t="s">
        <v>1301</v>
      </c>
      <c r="D383" s="35" t="s">
        <v>444</v>
      </c>
      <c r="E383" s="35" t="s">
        <v>2340</v>
      </c>
      <c r="F383" s="35" t="s">
        <v>436</v>
      </c>
      <c r="G383" s="35" t="s">
        <v>443</v>
      </c>
      <c r="H383" s="35">
        <v>216</v>
      </c>
    </row>
    <row r="384" spans="1:8" ht="15.75" x14ac:dyDescent="0.25">
      <c r="A384" t="str">
        <f t="shared" si="5"/>
        <v>U158341ML574EVG-D</v>
      </c>
      <c r="B384" s="35" t="s">
        <v>947</v>
      </c>
      <c r="C384" s="35" t="s">
        <v>1302</v>
      </c>
      <c r="D384" s="35" t="s">
        <v>466</v>
      </c>
      <c r="E384" s="35" t="s">
        <v>2340</v>
      </c>
      <c r="F384" s="35" t="s">
        <v>436</v>
      </c>
      <c r="G384" s="35" t="s">
        <v>443</v>
      </c>
      <c r="H384" s="35">
        <v>366</v>
      </c>
    </row>
    <row r="385" spans="1:8" ht="15.75" x14ac:dyDescent="0.25">
      <c r="A385" t="str">
        <f t="shared" si="5"/>
        <v>U158349ML574EVG-D</v>
      </c>
      <c r="B385" s="35" t="s">
        <v>947</v>
      </c>
      <c r="C385" s="35" t="s">
        <v>1303</v>
      </c>
      <c r="D385" s="35" t="s">
        <v>457</v>
      </c>
      <c r="E385" s="35" t="s">
        <v>2340</v>
      </c>
      <c r="F385" s="35" t="s">
        <v>436</v>
      </c>
      <c r="G385" s="35" t="s">
        <v>443</v>
      </c>
      <c r="H385" s="35">
        <v>1644</v>
      </c>
    </row>
    <row r="386" spans="1:8" ht="15.75" x14ac:dyDescent="0.25">
      <c r="A386" t="str">
        <f t="shared" si="5"/>
        <v>U158347WL574EVG-B</v>
      </c>
      <c r="B386" s="35" t="s">
        <v>950</v>
      </c>
      <c r="C386" s="35" t="s">
        <v>1304</v>
      </c>
      <c r="D386" s="35" t="s">
        <v>457</v>
      </c>
      <c r="E386" s="35" t="s">
        <v>2339</v>
      </c>
      <c r="F386" s="35" t="s">
        <v>436</v>
      </c>
      <c r="G386" s="35" t="s">
        <v>443</v>
      </c>
      <c r="H386" s="35">
        <v>1014</v>
      </c>
    </row>
    <row r="387" spans="1:8" ht="15.75" x14ac:dyDescent="0.25">
      <c r="A387" t="str">
        <f t="shared" si="5"/>
        <v>U157553ML574EVB-D</v>
      </c>
      <c r="B387" s="35" t="s">
        <v>951</v>
      </c>
      <c r="C387" s="35" t="s">
        <v>1305</v>
      </c>
      <c r="D387" s="35" t="s">
        <v>444</v>
      </c>
      <c r="E387" s="35" t="s">
        <v>2340</v>
      </c>
      <c r="F387" s="35" t="s">
        <v>436</v>
      </c>
      <c r="G387" s="35" t="s">
        <v>443</v>
      </c>
      <c r="H387" s="35">
        <v>168</v>
      </c>
    </row>
    <row r="388" spans="1:8" ht="15.75" x14ac:dyDescent="0.25">
      <c r="A388" t="str">
        <f t="shared" si="5"/>
        <v>U157616ML574EVB-D</v>
      </c>
      <c r="B388" s="35" t="s">
        <v>951</v>
      </c>
      <c r="C388" s="35" t="s">
        <v>1306</v>
      </c>
      <c r="D388" s="35" t="s">
        <v>466</v>
      </c>
      <c r="E388" s="35" t="s">
        <v>2340</v>
      </c>
      <c r="F388" s="35" t="s">
        <v>436</v>
      </c>
      <c r="G388" s="35" t="s">
        <v>443</v>
      </c>
      <c r="H388" s="35">
        <v>276</v>
      </c>
    </row>
    <row r="389" spans="1:8" ht="15.75" x14ac:dyDescent="0.25">
      <c r="A389" t="str">
        <f t="shared" si="5"/>
        <v>U157617ML574EVB-D</v>
      </c>
      <c r="B389" s="35" t="s">
        <v>951</v>
      </c>
      <c r="C389" s="35" t="s">
        <v>1307</v>
      </c>
      <c r="D389" s="35" t="s">
        <v>457</v>
      </c>
      <c r="E389" s="35" t="s">
        <v>2340</v>
      </c>
      <c r="F389" s="35" t="s">
        <v>436</v>
      </c>
      <c r="G389" s="35" t="s">
        <v>443</v>
      </c>
      <c r="H389" s="35">
        <v>504</v>
      </c>
    </row>
    <row r="390" spans="1:8" ht="15.75" x14ac:dyDescent="0.25">
      <c r="A390" t="str">
        <f t="shared" si="5"/>
        <v>C136540ML574EVB-D</v>
      </c>
      <c r="B390" s="35" t="s">
        <v>951</v>
      </c>
      <c r="C390" s="35" t="s">
        <v>1308</v>
      </c>
      <c r="D390" s="35" t="s">
        <v>401</v>
      </c>
      <c r="E390" s="35" t="s">
        <v>2340</v>
      </c>
      <c r="F390" s="35" t="s">
        <v>397</v>
      </c>
      <c r="G390" s="35" t="s">
        <v>400</v>
      </c>
      <c r="H390" s="35">
        <v>300</v>
      </c>
    </row>
    <row r="391" spans="1:8" ht="15.75" x14ac:dyDescent="0.25">
      <c r="A391" t="str">
        <f t="shared" ref="A391:A454" si="6">+C391&amp;B391&amp;"-"&amp;E391</f>
        <v>7888801W5746AE-B</v>
      </c>
      <c r="B391" s="35" t="s">
        <v>952</v>
      </c>
      <c r="C391" s="35" t="s">
        <v>1309</v>
      </c>
      <c r="D391" s="35" t="s">
        <v>395</v>
      </c>
      <c r="E391" s="35" t="s">
        <v>2339</v>
      </c>
      <c r="F391" s="35" t="s">
        <v>382</v>
      </c>
      <c r="G391" s="35" t="s">
        <v>383</v>
      </c>
      <c r="H391" s="35">
        <v>528</v>
      </c>
    </row>
    <row r="392" spans="1:8" ht="15.75" x14ac:dyDescent="0.25">
      <c r="A392" t="str">
        <f t="shared" si="6"/>
        <v>7889189W5746AE-B</v>
      </c>
      <c r="B392" s="35" t="s">
        <v>952</v>
      </c>
      <c r="C392" s="35" t="s">
        <v>1310</v>
      </c>
      <c r="D392" s="35" t="s">
        <v>394</v>
      </c>
      <c r="E392" s="35" t="s">
        <v>2339</v>
      </c>
      <c r="F392" s="35" t="s">
        <v>507</v>
      </c>
      <c r="G392" s="35" t="s">
        <v>508</v>
      </c>
      <c r="H392" s="35">
        <v>1980</v>
      </c>
    </row>
    <row r="393" spans="1:8" ht="15.75" x14ac:dyDescent="0.25">
      <c r="A393" t="str">
        <f t="shared" si="6"/>
        <v>7889190W5746AE-B</v>
      </c>
      <c r="B393" s="35" t="s">
        <v>952</v>
      </c>
      <c r="C393" s="35" t="s">
        <v>1311</v>
      </c>
      <c r="D393" s="35" t="s">
        <v>394</v>
      </c>
      <c r="E393" s="35" t="s">
        <v>2339</v>
      </c>
      <c r="F393" s="35" t="s">
        <v>507</v>
      </c>
      <c r="G393" s="35" t="s">
        <v>508</v>
      </c>
      <c r="H393" s="35">
        <v>1032</v>
      </c>
    </row>
    <row r="394" spans="1:8" ht="15.75" x14ac:dyDescent="0.25">
      <c r="A394" t="str">
        <f t="shared" si="6"/>
        <v>7889381W5746AE-B</v>
      </c>
      <c r="B394" s="35" t="s">
        <v>952</v>
      </c>
      <c r="C394" s="35" t="s">
        <v>1312</v>
      </c>
      <c r="D394" s="35" t="s">
        <v>395</v>
      </c>
      <c r="E394" s="35" t="s">
        <v>2339</v>
      </c>
      <c r="F394" s="35" t="s">
        <v>382</v>
      </c>
      <c r="G394" s="35" t="s">
        <v>383</v>
      </c>
      <c r="H394" s="35">
        <v>1014</v>
      </c>
    </row>
    <row r="395" spans="1:8" ht="15.75" x14ac:dyDescent="0.25">
      <c r="A395" t="str">
        <f t="shared" si="6"/>
        <v>7885953W5746AE-B</v>
      </c>
      <c r="B395" s="35" t="s">
        <v>952</v>
      </c>
      <c r="C395" s="35" t="s">
        <v>1313</v>
      </c>
      <c r="D395" s="35" t="s">
        <v>474</v>
      </c>
      <c r="E395" s="35" t="s">
        <v>2339</v>
      </c>
      <c r="F395" s="35" t="s">
        <v>379</v>
      </c>
      <c r="G395" s="35" t="s">
        <v>380</v>
      </c>
      <c r="H395" s="35">
        <v>180</v>
      </c>
    </row>
    <row r="396" spans="1:8" ht="15.75" x14ac:dyDescent="0.25">
      <c r="A396" t="str">
        <f t="shared" si="6"/>
        <v>7885996W5746AE-B</v>
      </c>
      <c r="B396" s="35" t="s">
        <v>952</v>
      </c>
      <c r="C396" s="35" t="s">
        <v>1314</v>
      </c>
      <c r="D396" s="35" t="s">
        <v>395</v>
      </c>
      <c r="E396" s="35" t="s">
        <v>2339</v>
      </c>
      <c r="F396" s="35" t="s">
        <v>382</v>
      </c>
      <c r="G396" s="35" t="s">
        <v>383</v>
      </c>
      <c r="H396" s="35">
        <v>3402</v>
      </c>
    </row>
    <row r="397" spans="1:8" ht="15.75" x14ac:dyDescent="0.25">
      <c r="A397" t="str">
        <f t="shared" si="6"/>
        <v>7877610M997H9T8-D</v>
      </c>
      <c r="B397" s="35" t="s">
        <v>953</v>
      </c>
      <c r="C397" s="35" t="s">
        <v>513</v>
      </c>
      <c r="D397" s="35" t="s">
        <v>395</v>
      </c>
      <c r="E397" s="35" t="s">
        <v>2340</v>
      </c>
      <c r="F397" s="35" t="s">
        <v>382</v>
      </c>
      <c r="G397" s="35" t="s">
        <v>383</v>
      </c>
      <c r="H397" s="35">
        <v>564</v>
      </c>
    </row>
    <row r="398" spans="1:8" ht="15.75" x14ac:dyDescent="0.25">
      <c r="A398" t="str">
        <f t="shared" si="6"/>
        <v>7878227M997H27Q-D</v>
      </c>
      <c r="B398" s="35" t="s">
        <v>954</v>
      </c>
      <c r="C398" s="35" t="s">
        <v>514</v>
      </c>
      <c r="D398" s="35" t="s">
        <v>395</v>
      </c>
      <c r="E398" s="35" t="s">
        <v>2340</v>
      </c>
      <c r="F398" s="35" t="s">
        <v>382</v>
      </c>
      <c r="G398" s="35" t="s">
        <v>383</v>
      </c>
      <c r="H398" s="35">
        <v>342</v>
      </c>
    </row>
    <row r="399" spans="1:8" ht="15.75" x14ac:dyDescent="0.25">
      <c r="A399" t="str">
        <f t="shared" si="6"/>
        <v>7877604M997H23Y-D</v>
      </c>
      <c r="B399" s="35" t="s">
        <v>955</v>
      </c>
      <c r="C399" s="35" t="s">
        <v>523</v>
      </c>
      <c r="D399" s="35" t="s">
        <v>395</v>
      </c>
      <c r="E399" s="35" t="s">
        <v>2340</v>
      </c>
      <c r="F399" s="35" t="s">
        <v>382</v>
      </c>
      <c r="G399" s="35" t="s">
        <v>383</v>
      </c>
      <c r="H399" s="35">
        <v>618</v>
      </c>
    </row>
    <row r="400" spans="1:8" ht="15.75" x14ac:dyDescent="0.25">
      <c r="A400" t="str">
        <f t="shared" si="6"/>
        <v>7873412M997H23Y-D</v>
      </c>
      <c r="B400" s="35" t="s">
        <v>955</v>
      </c>
      <c r="C400" s="35" t="s">
        <v>1315</v>
      </c>
      <c r="D400" s="35" t="s">
        <v>381</v>
      </c>
      <c r="E400" s="35" t="s">
        <v>2340</v>
      </c>
      <c r="F400" s="35" t="s">
        <v>379</v>
      </c>
      <c r="G400" s="35" t="s">
        <v>380</v>
      </c>
      <c r="H400" s="35">
        <v>486</v>
      </c>
    </row>
    <row r="401" spans="1:8" ht="15.75" x14ac:dyDescent="0.25">
      <c r="A401" t="str">
        <f t="shared" si="6"/>
        <v>7873418M997H23Y-D</v>
      </c>
      <c r="B401" s="35" t="s">
        <v>955</v>
      </c>
      <c r="C401" s="35" t="s">
        <v>528</v>
      </c>
      <c r="D401" s="35" t="s">
        <v>384</v>
      </c>
      <c r="E401" s="35" t="s">
        <v>2340</v>
      </c>
      <c r="F401" s="35" t="s">
        <v>382</v>
      </c>
      <c r="G401" s="35" t="s">
        <v>383</v>
      </c>
      <c r="H401" s="35">
        <v>2352</v>
      </c>
    </row>
    <row r="402" spans="1:8" ht="15.75" x14ac:dyDescent="0.25">
      <c r="A402" t="str">
        <f t="shared" si="6"/>
        <v>7876910M997H23Y-D</v>
      </c>
      <c r="B402" s="35" t="s">
        <v>955</v>
      </c>
      <c r="C402" s="35" t="s">
        <v>538</v>
      </c>
      <c r="D402" s="35" t="s">
        <v>387</v>
      </c>
      <c r="E402" s="35" t="s">
        <v>2340</v>
      </c>
      <c r="F402" s="35" t="s">
        <v>385</v>
      </c>
      <c r="G402" s="35" t="s">
        <v>386</v>
      </c>
      <c r="H402" s="35">
        <v>1836</v>
      </c>
    </row>
    <row r="403" spans="1:8" ht="15.75" x14ac:dyDescent="0.25">
      <c r="A403" t="str">
        <f t="shared" si="6"/>
        <v>7873394GR997HNM-M</v>
      </c>
      <c r="B403" s="35" t="s">
        <v>956</v>
      </c>
      <c r="C403" s="35" t="s">
        <v>1316</v>
      </c>
      <c r="D403" s="35" t="s">
        <v>381</v>
      </c>
      <c r="E403" s="35" t="s">
        <v>2337</v>
      </c>
      <c r="F403" s="35" t="s">
        <v>379</v>
      </c>
      <c r="G403" s="35" t="s">
        <v>380</v>
      </c>
      <c r="H403" s="35">
        <v>378</v>
      </c>
    </row>
    <row r="404" spans="1:8" ht="15.75" x14ac:dyDescent="0.25">
      <c r="A404" t="str">
        <f t="shared" si="6"/>
        <v>7873407GR997HWH-M</v>
      </c>
      <c r="B404" s="35" t="s">
        <v>957</v>
      </c>
      <c r="C404" s="35" t="s">
        <v>1317</v>
      </c>
      <c r="D404" s="35" t="s">
        <v>381</v>
      </c>
      <c r="E404" s="35" t="s">
        <v>2337</v>
      </c>
      <c r="F404" s="35" t="s">
        <v>379</v>
      </c>
      <c r="G404" s="35" t="s">
        <v>380</v>
      </c>
      <c r="H404" s="35">
        <v>438</v>
      </c>
    </row>
    <row r="405" spans="1:8" ht="15.75" x14ac:dyDescent="0.25">
      <c r="A405" t="str">
        <f t="shared" si="6"/>
        <v>7873411PR997HWH-M</v>
      </c>
      <c r="B405" s="35" t="s">
        <v>958</v>
      </c>
      <c r="C405" s="35" t="s">
        <v>1318</v>
      </c>
      <c r="D405" s="35" t="s">
        <v>381</v>
      </c>
      <c r="E405" s="35" t="s">
        <v>2337</v>
      </c>
      <c r="F405" s="35" t="s">
        <v>379</v>
      </c>
      <c r="G405" s="35" t="s">
        <v>380</v>
      </c>
      <c r="H405" s="35">
        <v>486</v>
      </c>
    </row>
    <row r="406" spans="1:8" ht="15.75" x14ac:dyDescent="0.25">
      <c r="A406" t="str">
        <f t="shared" si="6"/>
        <v>7873395PR997HNM-M</v>
      </c>
      <c r="B406" s="35" t="s">
        <v>959</v>
      </c>
      <c r="C406" s="35" t="s">
        <v>1319</v>
      </c>
      <c r="D406" s="35" t="s">
        <v>381</v>
      </c>
      <c r="E406" s="35" t="s">
        <v>2337</v>
      </c>
      <c r="F406" s="35" t="s">
        <v>379</v>
      </c>
      <c r="G406" s="35" t="s">
        <v>380</v>
      </c>
      <c r="H406" s="35">
        <v>468</v>
      </c>
    </row>
    <row r="407" spans="1:8" ht="15.75" x14ac:dyDescent="0.25">
      <c r="A407" t="str">
        <f t="shared" si="6"/>
        <v>7873408IH997HNM-M</v>
      </c>
      <c r="B407" s="35" t="s">
        <v>960</v>
      </c>
      <c r="C407" s="35" t="s">
        <v>1320</v>
      </c>
      <c r="D407" s="35" t="s">
        <v>381</v>
      </c>
      <c r="E407" s="35" t="s">
        <v>2337</v>
      </c>
      <c r="F407" s="35" t="s">
        <v>379</v>
      </c>
      <c r="G407" s="35" t="s">
        <v>380</v>
      </c>
      <c r="H407" s="35">
        <v>444</v>
      </c>
    </row>
    <row r="408" spans="1:8" ht="15.75" x14ac:dyDescent="0.25">
      <c r="A408" t="str">
        <f t="shared" si="6"/>
        <v>7873409IH997HWH-M</v>
      </c>
      <c r="B408" s="35" t="s">
        <v>961</v>
      </c>
      <c r="C408" s="35" t="s">
        <v>1321</v>
      </c>
      <c r="D408" s="35" t="s">
        <v>381</v>
      </c>
      <c r="E408" s="35" t="s">
        <v>2337</v>
      </c>
      <c r="F408" s="35" t="s">
        <v>379</v>
      </c>
      <c r="G408" s="35" t="s">
        <v>380</v>
      </c>
      <c r="H408" s="35">
        <v>444</v>
      </c>
    </row>
    <row r="409" spans="1:8" ht="15.75" x14ac:dyDescent="0.25">
      <c r="A409" t="str">
        <f t="shared" si="6"/>
        <v>7873410M997H9T8-D</v>
      </c>
      <c r="B409" s="35" t="s">
        <v>953</v>
      </c>
      <c r="C409" s="35" t="s">
        <v>1322</v>
      </c>
      <c r="D409" s="35" t="s">
        <v>381</v>
      </c>
      <c r="E409" s="35" t="s">
        <v>2340</v>
      </c>
      <c r="F409" s="35" t="s">
        <v>379</v>
      </c>
      <c r="G409" s="35" t="s">
        <v>380</v>
      </c>
      <c r="H409" s="35">
        <v>870</v>
      </c>
    </row>
    <row r="410" spans="1:8" ht="15.75" x14ac:dyDescent="0.25">
      <c r="A410" t="str">
        <f t="shared" si="6"/>
        <v>7866120M997H9T8-D</v>
      </c>
      <c r="B410" s="35" t="s">
        <v>953</v>
      </c>
      <c r="C410" s="35" t="s">
        <v>600</v>
      </c>
      <c r="D410" s="35" t="s">
        <v>387</v>
      </c>
      <c r="E410" s="35" t="s">
        <v>2340</v>
      </c>
      <c r="F410" s="35" t="s">
        <v>385</v>
      </c>
      <c r="G410" s="35" t="s">
        <v>386</v>
      </c>
      <c r="H410" s="35">
        <v>1836</v>
      </c>
    </row>
    <row r="411" spans="1:8" ht="15.75" x14ac:dyDescent="0.25">
      <c r="A411" t="str">
        <f t="shared" si="6"/>
        <v>7873417M997H9T8-D</v>
      </c>
      <c r="B411" s="35" t="s">
        <v>953</v>
      </c>
      <c r="C411" s="35" t="s">
        <v>640</v>
      </c>
      <c r="D411" s="35" t="s">
        <v>384</v>
      </c>
      <c r="E411" s="35" t="s">
        <v>2340</v>
      </c>
      <c r="F411" s="35" t="s">
        <v>382</v>
      </c>
      <c r="G411" s="35" t="s">
        <v>383</v>
      </c>
      <c r="H411" s="35">
        <v>2958</v>
      </c>
    </row>
    <row r="412" spans="1:8" ht="15.75" x14ac:dyDescent="0.25">
      <c r="A412" t="str">
        <f t="shared" si="6"/>
        <v>U149836CM997HCA-D</v>
      </c>
      <c r="B412" s="35" t="s">
        <v>962</v>
      </c>
      <c r="C412" s="35" t="s">
        <v>690</v>
      </c>
      <c r="D412" s="35" t="s">
        <v>444</v>
      </c>
      <c r="E412" s="35" t="s">
        <v>2340</v>
      </c>
      <c r="F412" s="35" t="s">
        <v>436</v>
      </c>
      <c r="G412" s="35" t="s">
        <v>443</v>
      </c>
      <c r="H412" s="35">
        <v>2916</v>
      </c>
    </row>
    <row r="413" spans="1:8" ht="15.75" x14ac:dyDescent="0.25">
      <c r="A413" t="str">
        <f t="shared" si="6"/>
        <v>H188981M997H23Y-D</v>
      </c>
      <c r="B413" s="35" t="s">
        <v>955</v>
      </c>
      <c r="C413" s="35" t="s">
        <v>745</v>
      </c>
      <c r="D413" s="35" t="s">
        <v>404</v>
      </c>
      <c r="E413" s="35" t="s">
        <v>2340</v>
      </c>
      <c r="F413" s="35" t="s">
        <v>498</v>
      </c>
      <c r="G413" s="35" t="s">
        <v>499</v>
      </c>
      <c r="H413" s="35">
        <v>870</v>
      </c>
    </row>
    <row r="414" spans="1:8" ht="15.75" x14ac:dyDescent="0.25">
      <c r="A414" t="str">
        <f t="shared" si="6"/>
        <v>7884672M997H9T8-D</v>
      </c>
      <c r="B414" s="35" t="s">
        <v>953</v>
      </c>
      <c r="C414" s="35" t="s">
        <v>795</v>
      </c>
      <c r="D414" s="35" t="s">
        <v>395</v>
      </c>
      <c r="E414" s="35" t="s">
        <v>2340</v>
      </c>
      <c r="F414" s="35" t="s">
        <v>382</v>
      </c>
      <c r="G414" s="35" t="s">
        <v>383</v>
      </c>
      <c r="H414" s="35">
        <v>282</v>
      </c>
    </row>
    <row r="415" spans="1:8" ht="15.75" x14ac:dyDescent="0.25">
      <c r="A415" t="str">
        <f t="shared" si="6"/>
        <v>7880336CM997HCB-D</v>
      </c>
      <c r="B415" s="35" t="s">
        <v>963</v>
      </c>
      <c r="C415" s="35" t="s">
        <v>805</v>
      </c>
      <c r="D415" s="35" t="s">
        <v>387</v>
      </c>
      <c r="E415" s="35" t="s">
        <v>2340</v>
      </c>
      <c r="F415" s="35" t="s">
        <v>388</v>
      </c>
      <c r="G415" s="35" t="s">
        <v>389</v>
      </c>
      <c r="H415" s="35">
        <v>144</v>
      </c>
    </row>
    <row r="416" spans="1:8" ht="15.75" x14ac:dyDescent="0.25">
      <c r="A416" t="str">
        <f t="shared" si="6"/>
        <v>7881369CM997HCB-D</v>
      </c>
      <c r="B416" s="35" t="s">
        <v>963</v>
      </c>
      <c r="C416" s="35" t="s">
        <v>814</v>
      </c>
      <c r="D416" s="35" t="s">
        <v>387</v>
      </c>
      <c r="E416" s="35" t="s">
        <v>2340</v>
      </c>
      <c r="F416" s="35" t="s">
        <v>385</v>
      </c>
      <c r="G416" s="35" t="s">
        <v>386</v>
      </c>
      <c r="H416" s="35">
        <v>1788</v>
      </c>
    </row>
    <row r="417" spans="1:8" ht="15.75" x14ac:dyDescent="0.25">
      <c r="A417" t="str">
        <f t="shared" si="6"/>
        <v>7884564CM997HCB-D</v>
      </c>
      <c r="B417" s="35" t="s">
        <v>963</v>
      </c>
      <c r="C417" s="35" t="s">
        <v>866</v>
      </c>
      <c r="D417" s="35" t="s">
        <v>395</v>
      </c>
      <c r="E417" s="35" t="s">
        <v>2340</v>
      </c>
      <c r="F417" s="35" t="s">
        <v>382</v>
      </c>
      <c r="G417" s="35" t="s">
        <v>383</v>
      </c>
      <c r="H417" s="35">
        <v>564</v>
      </c>
    </row>
    <row r="418" spans="1:8" ht="15.75" x14ac:dyDescent="0.25">
      <c r="A418" t="str">
        <f t="shared" si="6"/>
        <v>7881377CM997HCB-D</v>
      </c>
      <c r="B418" s="35" t="s">
        <v>963</v>
      </c>
      <c r="C418" s="35" t="s">
        <v>1323</v>
      </c>
      <c r="D418" s="35" t="s">
        <v>384</v>
      </c>
      <c r="E418" s="35" t="s">
        <v>2340</v>
      </c>
      <c r="F418" s="35" t="s">
        <v>382</v>
      </c>
      <c r="G418" s="35" t="s">
        <v>383</v>
      </c>
      <c r="H418" s="35">
        <v>1788</v>
      </c>
    </row>
    <row r="419" spans="1:8" ht="15.75" x14ac:dyDescent="0.25">
      <c r="A419" t="str">
        <f t="shared" si="6"/>
        <v>H189780CM997HCB-D</v>
      </c>
      <c r="B419" s="35" t="s">
        <v>963</v>
      </c>
      <c r="C419" s="35" t="s">
        <v>1324</v>
      </c>
      <c r="D419" s="35" t="s">
        <v>404</v>
      </c>
      <c r="E419" s="35" t="s">
        <v>2340</v>
      </c>
      <c r="F419" s="35" t="s">
        <v>498</v>
      </c>
      <c r="G419" s="35" t="s">
        <v>499</v>
      </c>
      <c r="H419" s="35">
        <v>144</v>
      </c>
    </row>
    <row r="420" spans="1:8" ht="15.75" x14ac:dyDescent="0.25">
      <c r="A420" t="str">
        <f t="shared" si="6"/>
        <v>7881475CM997HCB-D</v>
      </c>
      <c r="B420" s="35" t="s">
        <v>963</v>
      </c>
      <c r="C420" s="35" t="s">
        <v>1325</v>
      </c>
      <c r="D420" s="35" t="s">
        <v>381</v>
      </c>
      <c r="E420" s="35" t="s">
        <v>2340</v>
      </c>
      <c r="F420" s="35" t="s">
        <v>379</v>
      </c>
      <c r="G420" s="35" t="s">
        <v>380</v>
      </c>
      <c r="H420" s="35">
        <v>618</v>
      </c>
    </row>
    <row r="421" spans="1:8" ht="15.75" x14ac:dyDescent="0.25">
      <c r="A421" t="str">
        <f t="shared" si="6"/>
        <v>7881389M997H23Y-D</v>
      </c>
      <c r="B421" s="35" t="s">
        <v>955</v>
      </c>
      <c r="C421" s="35" t="s">
        <v>1326</v>
      </c>
      <c r="D421" s="35" t="s">
        <v>384</v>
      </c>
      <c r="E421" s="35" t="s">
        <v>2340</v>
      </c>
      <c r="F421" s="35" t="s">
        <v>382</v>
      </c>
      <c r="G421" s="35" t="s">
        <v>383</v>
      </c>
      <c r="H421" s="35">
        <v>1050</v>
      </c>
    </row>
    <row r="422" spans="1:8" ht="15.75" x14ac:dyDescent="0.25">
      <c r="A422" t="str">
        <f t="shared" si="6"/>
        <v>7881482M997H23Y-D</v>
      </c>
      <c r="B422" s="35" t="s">
        <v>955</v>
      </c>
      <c r="C422" s="35" t="s">
        <v>1327</v>
      </c>
      <c r="D422" s="35" t="s">
        <v>381</v>
      </c>
      <c r="E422" s="35" t="s">
        <v>2340</v>
      </c>
      <c r="F422" s="35" t="s">
        <v>379</v>
      </c>
      <c r="G422" s="35" t="s">
        <v>380</v>
      </c>
      <c r="H422" s="35">
        <v>162</v>
      </c>
    </row>
    <row r="423" spans="1:8" ht="15.75" x14ac:dyDescent="0.25">
      <c r="A423" t="str">
        <f t="shared" si="6"/>
        <v>H180175M997H23Y-D</v>
      </c>
      <c r="B423" s="35" t="s">
        <v>955</v>
      </c>
      <c r="C423" s="35" t="s">
        <v>1328</v>
      </c>
      <c r="D423" s="35" t="s">
        <v>404</v>
      </c>
      <c r="E423" s="35" t="s">
        <v>2340</v>
      </c>
      <c r="F423" s="35" t="s">
        <v>428</v>
      </c>
      <c r="G423" s="35" t="s">
        <v>429</v>
      </c>
      <c r="H423" s="35">
        <v>1008</v>
      </c>
    </row>
    <row r="424" spans="1:8" ht="15.75" x14ac:dyDescent="0.25">
      <c r="A424" t="str">
        <f t="shared" si="6"/>
        <v>H180182M997H23Y-D</v>
      </c>
      <c r="B424" s="35" t="s">
        <v>955</v>
      </c>
      <c r="C424" s="35" t="s">
        <v>1329</v>
      </c>
      <c r="D424" s="35" t="s">
        <v>404</v>
      </c>
      <c r="E424" s="35" t="s">
        <v>2340</v>
      </c>
      <c r="F424" s="35" t="s">
        <v>428</v>
      </c>
      <c r="G424" s="35" t="s">
        <v>429</v>
      </c>
      <c r="H424" s="35">
        <v>1008</v>
      </c>
    </row>
    <row r="425" spans="1:8" ht="15.75" x14ac:dyDescent="0.25">
      <c r="A425" t="str">
        <f t="shared" si="6"/>
        <v>7881395M997H9T8-D</v>
      </c>
      <c r="B425" s="35" t="s">
        <v>953</v>
      </c>
      <c r="C425" s="35" t="s">
        <v>1330</v>
      </c>
      <c r="D425" s="35" t="s">
        <v>384</v>
      </c>
      <c r="E425" s="35" t="s">
        <v>2340</v>
      </c>
      <c r="F425" s="35" t="s">
        <v>382</v>
      </c>
      <c r="G425" s="35" t="s">
        <v>383</v>
      </c>
      <c r="H425" s="35">
        <v>1242</v>
      </c>
    </row>
    <row r="426" spans="1:8" ht="15.75" x14ac:dyDescent="0.25">
      <c r="A426" t="str">
        <f t="shared" si="6"/>
        <v>7881484M997H9T8-D</v>
      </c>
      <c r="B426" s="35" t="s">
        <v>953</v>
      </c>
      <c r="C426" s="35" t="s">
        <v>1331</v>
      </c>
      <c r="D426" s="35" t="s">
        <v>381</v>
      </c>
      <c r="E426" s="35" t="s">
        <v>2340</v>
      </c>
      <c r="F426" s="35" t="s">
        <v>379</v>
      </c>
      <c r="G426" s="35" t="s">
        <v>380</v>
      </c>
      <c r="H426" s="35">
        <v>282</v>
      </c>
    </row>
    <row r="427" spans="1:8" ht="15.75" x14ac:dyDescent="0.25">
      <c r="A427" t="str">
        <f t="shared" si="6"/>
        <v>7881383IH997HWH-M</v>
      </c>
      <c r="B427" s="35" t="s">
        <v>961</v>
      </c>
      <c r="C427" s="35" t="s">
        <v>1332</v>
      </c>
      <c r="D427" s="35" t="s">
        <v>384</v>
      </c>
      <c r="E427" s="35" t="s">
        <v>2337</v>
      </c>
      <c r="F427" s="35" t="s">
        <v>382</v>
      </c>
      <c r="G427" s="35" t="s">
        <v>383</v>
      </c>
      <c r="H427" s="35">
        <v>924</v>
      </c>
    </row>
    <row r="428" spans="1:8" ht="15.75" x14ac:dyDescent="0.25">
      <c r="A428" t="str">
        <f t="shared" si="6"/>
        <v>7881479IH997HWH-M</v>
      </c>
      <c r="B428" s="35" t="s">
        <v>961</v>
      </c>
      <c r="C428" s="35" t="s">
        <v>1333</v>
      </c>
      <c r="D428" s="35" t="s">
        <v>381</v>
      </c>
      <c r="E428" s="35" t="s">
        <v>2337</v>
      </c>
      <c r="F428" s="35" t="s">
        <v>379</v>
      </c>
      <c r="G428" s="35" t="s">
        <v>380</v>
      </c>
      <c r="H428" s="35">
        <v>438</v>
      </c>
    </row>
    <row r="429" spans="1:8" ht="15.75" x14ac:dyDescent="0.25">
      <c r="A429" t="str">
        <f t="shared" si="6"/>
        <v>7881407PR997HWH-M</v>
      </c>
      <c r="B429" s="35" t="s">
        <v>958</v>
      </c>
      <c r="C429" s="35" t="s">
        <v>1334</v>
      </c>
      <c r="D429" s="35" t="s">
        <v>384</v>
      </c>
      <c r="E429" s="35" t="s">
        <v>2337</v>
      </c>
      <c r="F429" s="35" t="s">
        <v>382</v>
      </c>
      <c r="G429" s="35" t="s">
        <v>383</v>
      </c>
      <c r="H429" s="35">
        <v>984</v>
      </c>
    </row>
    <row r="430" spans="1:8" ht="15.75" x14ac:dyDescent="0.25">
      <c r="A430" t="str">
        <f t="shared" si="6"/>
        <v>7881488PR997HWH-M</v>
      </c>
      <c r="B430" s="35" t="s">
        <v>958</v>
      </c>
      <c r="C430" s="35" t="s">
        <v>1335</v>
      </c>
      <c r="D430" s="35" t="s">
        <v>381</v>
      </c>
      <c r="E430" s="35" t="s">
        <v>2337</v>
      </c>
      <c r="F430" s="35" t="s">
        <v>379</v>
      </c>
      <c r="G430" s="35" t="s">
        <v>380</v>
      </c>
      <c r="H430" s="35">
        <v>354</v>
      </c>
    </row>
    <row r="431" spans="1:8" ht="15.75" x14ac:dyDescent="0.25">
      <c r="A431" t="str">
        <f t="shared" si="6"/>
        <v>7881401PR997HNM-M</v>
      </c>
      <c r="B431" s="35" t="s">
        <v>959</v>
      </c>
      <c r="C431" s="35" t="s">
        <v>1336</v>
      </c>
      <c r="D431" s="35" t="s">
        <v>384</v>
      </c>
      <c r="E431" s="35" t="s">
        <v>2337</v>
      </c>
      <c r="F431" s="35" t="s">
        <v>382</v>
      </c>
      <c r="G431" s="35" t="s">
        <v>383</v>
      </c>
      <c r="H431" s="35">
        <v>990</v>
      </c>
    </row>
    <row r="432" spans="1:8" ht="15.75" x14ac:dyDescent="0.25">
      <c r="A432" t="str">
        <f t="shared" si="6"/>
        <v>7881486PR997HNM-M</v>
      </c>
      <c r="B432" s="35" t="s">
        <v>959</v>
      </c>
      <c r="C432" s="35" t="s">
        <v>1337</v>
      </c>
      <c r="D432" s="35" t="s">
        <v>381</v>
      </c>
      <c r="E432" s="35" t="s">
        <v>2337</v>
      </c>
      <c r="F432" s="35" t="s">
        <v>379</v>
      </c>
      <c r="G432" s="35" t="s">
        <v>380</v>
      </c>
      <c r="H432" s="35">
        <v>468</v>
      </c>
    </row>
    <row r="433" spans="1:8" ht="15.75" x14ac:dyDescent="0.25">
      <c r="A433" t="str">
        <f t="shared" si="6"/>
        <v>7881864M5742IX-D</v>
      </c>
      <c r="B433" s="35" t="s">
        <v>964</v>
      </c>
      <c r="C433" s="35" t="s">
        <v>1338</v>
      </c>
      <c r="D433" s="35" t="s">
        <v>391</v>
      </c>
      <c r="E433" s="35" t="s">
        <v>2340</v>
      </c>
      <c r="F433" s="35" t="s">
        <v>379</v>
      </c>
      <c r="G433" s="35" t="s">
        <v>380</v>
      </c>
      <c r="H433" s="35">
        <v>390</v>
      </c>
    </row>
    <row r="434" spans="1:8" ht="15.75" x14ac:dyDescent="0.25">
      <c r="A434" t="str">
        <f t="shared" si="6"/>
        <v>7881886M5742IX-D</v>
      </c>
      <c r="B434" s="35" t="s">
        <v>964</v>
      </c>
      <c r="C434" s="35" t="s">
        <v>1339</v>
      </c>
      <c r="D434" s="35" t="s">
        <v>390</v>
      </c>
      <c r="E434" s="35" t="s">
        <v>2340</v>
      </c>
      <c r="F434" s="35" t="s">
        <v>382</v>
      </c>
      <c r="G434" s="35" t="s">
        <v>383</v>
      </c>
      <c r="H434" s="35">
        <v>1194</v>
      </c>
    </row>
    <row r="435" spans="1:8" ht="15.75" x14ac:dyDescent="0.25">
      <c r="A435" t="str">
        <f t="shared" si="6"/>
        <v>7880326M5742IX-D</v>
      </c>
      <c r="B435" s="35" t="s">
        <v>964</v>
      </c>
      <c r="C435" s="35" t="s">
        <v>1340</v>
      </c>
      <c r="D435" s="35" t="s">
        <v>387</v>
      </c>
      <c r="E435" s="35" t="s">
        <v>2340</v>
      </c>
      <c r="F435" s="35" t="s">
        <v>388</v>
      </c>
      <c r="G435" s="35" t="s">
        <v>389</v>
      </c>
      <c r="H435" s="35">
        <v>174</v>
      </c>
    </row>
    <row r="436" spans="1:8" ht="15.75" x14ac:dyDescent="0.25">
      <c r="A436" t="str">
        <f t="shared" si="6"/>
        <v>7882937M5742IX-D</v>
      </c>
      <c r="B436" s="35" t="s">
        <v>964</v>
      </c>
      <c r="C436" s="35" t="s">
        <v>1341</v>
      </c>
      <c r="D436" s="35" t="s">
        <v>394</v>
      </c>
      <c r="E436" s="35" t="s">
        <v>2340</v>
      </c>
      <c r="F436" s="35" t="s">
        <v>392</v>
      </c>
      <c r="G436" s="35" t="s">
        <v>393</v>
      </c>
      <c r="H436" s="35">
        <v>528</v>
      </c>
    </row>
    <row r="437" spans="1:8" ht="15.75" x14ac:dyDescent="0.25">
      <c r="A437" t="str">
        <f t="shared" si="6"/>
        <v>7882943M5742IX-D</v>
      </c>
      <c r="B437" s="35" t="s">
        <v>964</v>
      </c>
      <c r="C437" s="35" t="s">
        <v>1342</v>
      </c>
      <c r="D437" s="35" t="s">
        <v>394</v>
      </c>
      <c r="E437" s="35" t="s">
        <v>2340</v>
      </c>
      <c r="F437" s="35" t="s">
        <v>392</v>
      </c>
      <c r="G437" s="35" t="s">
        <v>393</v>
      </c>
      <c r="H437" s="35">
        <v>654</v>
      </c>
    </row>
    <row r="438" spans="1:8" ht="15.75" x14ac:dyDescent="0.25">
      <c r="A438" t="str">
        <f t="shared" si="6"/>
        <v>7885716M5742IX-D</v>
      </c>
      <c r="B438" s="35" t="s">
        <v>964</v>
      </c>
      <c r="C438" s="35" t="s">
        <v>1343</v>
      </c>
      <c r="D438" s="35" t="s">
        <v>395</v>
      </c>
      <c r="E438" s="35" t="s">
        <v>2340</v>
      </c>
      <c r="F438" s="35" t="s">
        <v>382</v>
      </c>
      <c r="G438" s="35" t="s">
        <v>383</v>
      </c>
      <c r="H438" s="35">
        <v>636</v>
      </c>
    </row>
    <row r="439" spans="1:8" ht="15.75" x14ac:dyDescent="0.25">
      <c r="A439" t="str">
        <f t="shared" si="6"/>
        <v>7886796M5742IX-D</v>
      </c>
      <c r="B439" s="35" t="s">
        <v>964</v>
      </c>
      <c r="C439" s="35" t="s">
        <v>1344</v>
      </c>
      <c r="D439" s="35" t="s">
        <v>394</v>
      </c>
      <c r="E439" s="35" t="s">
        <v>2340</v>
      </c>
      <c r="F439" s="35" t="s">
        <v>507</v>
      </c>
      <c r="G439" s="35" t="s">
        <v>508</v>
      </c>
      <c r="H439" s="35">
        <v>384</v>
      </c>
    </row>
    <row r="440" spans="1:8" ht="15.75" x14ac:dyDescent="0.25">
      <c r="A440" t="str">
        <f t="shared" si="6"/>
        <v>7888792W5744R4-B</v>
      </c>
      <c r="B440" s="35" t="s">
        <v>965</v>
      </c>
      <c r="C440" s="35" t="s">
        <v>1345</v>
      </c>
      <c r="D440" s="35" t="s">
        <v>395</v>
      </c>
      <c r="E440" s="35" t="s">
        <v>2339</v>
      </c>
      <c r="F440" s="35" t="s">
        <v>382</v>
      </c>
      <c r="G440" s="35" t="s">
        <v>383</v>
      </c>
      <c r="H440" s="35">
        <v>642</v>
      </c>
    </row>
    <row r="441" spans="1:8" ht="15.75" x14ac:dyDescent="0.25">
      <c r="A441" t="str">
        <f t="shared" si="6"/>
        <v>7889098W5744R4-B</v>
      </c>
      <c r="B441" s="35" t="s">
        <v>965</v>
      </c>
      <c r="C441" s="35" t="s">
        <v>1346</v>
      </c>
      <c r="D441" s="35" t="s">
        <v>484</v>
      </c>
      <c r="E441" s="35" t="s">
        <v>2339</v>
      </c>
      <c r="F441" s="35" t="s">
        <v>379</v>
      </c>
      <c r="G441" s="35" t="s">
        <v>483</v>
      </c>
      <c r="H441" s="35">
        <v>456</v>
      </c>
    </row>
    <row r="442" spans="1:8" ht="15.75" x14ac:dyDescent="0.25">
      <c r="A442" t="str">
        <f t="shared" si="6"/>
        <v>7889188W5744R4-B</v>
      </c>
      <c r="B442" s="35" t="s">
        <v>965</v>
      </c>
      <c r="C442" s="35" t="s">
        <v>1347</v>
      </c>
      <c r="D442" s="35" t="s">
        <v>394</v>
      </c>
      <c r="E442" s="35" t="s">
        <v>2339</v>
      </c>
      <c r="F442" s="35" t="s">
        <v>507</v>
      </c>
      <c r="G442" s="35" t="s">
        <v>508</v>
      </c>
      <c r="H442" s="35">
        <v>312</v>
      </c>
    </row>
    <row r="443" spans="1:8" ht="15.75" x14ac:dyDescent="0.25">
      <c r="A443" t="str">
        <f t="shared" si="6"/>
        <v>7889365W5744R4-B</v>
      </c>
      <c r="B443" s="35" t="s">
        <v>965</v>
      </c>
      <c r="C443" s="35" t="s">
        <v>1348</v>
      </c>
      <c r="D443" s="35" t="s">
        <v>474</v>
      </c>
      <c r="E443" s="35" t="s">
        <v>2339</v>
      </c>
      <c r="F443" s="35" t="s">
        <v>379</v>
      </c>
      <c r="G443" s="35" t="s">
        <v>380</v>
      </c>
      <c r="H443" s="35">
        <v>174</v>
      </c>
    </row>
    <row r="444" spans="1:8" ht="15.75" x14ac:dyDescent="0.25">
      <c r="A444" t="str">
        <f t="shared" si="6"/>
        <v>7889372W5744R4-B</v>
      </c>
      <c r="B444" s="35" t="s">
        <v>965</v>
      </c>
      <c r="C444" s="35" t="s">
        <v>1349</v>
      </c>
      <c r="D444" s="35" t="s">
        <v>395</v>
      </c>
      <c r="E444" s="35" t="s">
        <v>2339</v>
      </c>
      <c r="F444" s="35" t="s">
        <v>382</v>
      </c>
      <c r="G444" s="35" t="s">
        <v>383</v>
      </c>
      <c r="H444" s="35">
        <v>696</v>
      </c>
    </row>
    <row r="445" spans="1:8" ht="15.75" x14ac:dyDescent="0.25">
      <c r="A445" t="str">
        <f t="shared" si="6"/>
        <v>7885984W5744R4-B</v>
      </c>
      <c r="B445" s="35" t="s">
        <v>965</v>
      </c>
      <c r="C445" s="35" t="s">
        <v>1350</v>
      </c>
      <c r="D445" s="35" t="s">
        <v>395</v>
      </c>
      <c r="E445" s="35" t="s">
        <v>2339</v>
      </c>
      <c r="F445" s="35" t="s">
        <v>382</v>
      </c>
      <c r="G445" s="35" t="s">
        <v>383</v>
      </c>
      <c r="H445" s="35">
        <v>870</v>
      </c>
    </row>
    <row r="446" spans="1:8" ht="15.75" x14ac:dyDescent="0.25">
      <c r="A446" t="str">
        <f t="shared" si="6"/>
        <v>H181896W5743HE-B</v>
      </c>
      <c r="B446" s="35" t="s">
        <v>966</v>
      </c>
      <c r="C446" s="35" t="s">
        <v>1351</v>
      </c>
      <c r="D446" s="35" t="s">
        <v>404</v>
      </c>
      <c r="E446" s="35" t="s">
        <v>2339</v>
      </c>
      <c r="F446" s="35" t="s">
        <v>501</v>
      </c>
      <c r="G446" s="35" t="s">
        <v>502</v>
      </c>
      <c r="H446" s="35">
        <v>870</v>
      </c>
    </row>
    <row r="447" spans="1:8" ht="15.75" x14ac:dyDescent="0.25">
      <c r="A447" t="str">
        <f t="shared" si="6"/>
        <v>7882530W5743HE-B</v>
      </c>
      <c r="B447" s="35" t="s">
        <v>966</v>
      </c>
      <c r="C447" s="35" t="s">
        <v>1352</v>
      </c>
      <c r="D447" s="35" t="s">
        <v>394</v>
      </c>
      <c r="E447" s="35" t="s">
        <v>2339</v>
      </c>
      <c r="F447" s="35" t="s">
        <v>382</v>
      </c>
      <c r="G447" s="35" t="s">
        <v>2296</v>
      </c>
      <c r="H447" s="35">
        <v>270</v>
      </c>
    </row>
    <row r="448" spans="1:8" ht="15.75" x14ac:dyDescent="0.25">
      <c r="A448" t="str">
        <f t="shared" si="6"/>
        <v>7885972W5743HE-B</v>
      </c>
      <c r="B448" s="35" t="s">
        <v>966</v>
      </c>
      <c r="C448" s="35" t="s">
        <v>1353</v>
      </c>
      <c r="D448" s="35" t="s">
        <v>395</v>
      </c>
      <c r="E448" s="35" t="s">
        <v>2339</v>
      </c>
      <c r="F448" s="35" t="s">
        <v>382</v>
      </c>
      <c r="G448" s="35" t="s">
        <v>383</v>
      </c>
      <c r="H448" s="35">
        <v>2016</v>
      </c>
    </row>
    <row r="449" spans="1:8" ht="15.75" x14ac:dyDescent="0.25">
      <c r="A449" t="str">
        <f t="shared" si="6"/>
        <v>7889096W5743HE-B</v>
      </c>
      <c r="B449" s="35" t="s">
        <v>966</v>
      </c>
      <c r="C449" s="35" t="s">
        <v>1354</v>
      </c>
      <c r="D449" s="35" t="s">
        <v>484</v>
      </c>
      <c r="E449" s="35" t="s">
        <v>2339</v>
      </c>
      <c r="F449" s="35" t="s">
        <v>379</v>
      </c>
      <c r="G449" s="35" t="s">
        <v>483</v>
      </c>
      <c r="H449" s="35">
        <v>552</v>
      </c>
    </row>
    <row r="450" spans="1:8" ht="15.75" x14ac:dyDescent="0.25">
      <c r="A450" t="str">
        <f t="shared" si="6"/>
        <v>7889186W5743HE-B</v>
      </c>
      <c r="B450" s="35" t="s">
        <v>966</v>
      </c>
      <c r="C450" s="35" t="s">
        <v>1355</v>
      </c>
      <c r="D450" s="35" t="s">
        <v>394</v>
      </c>
      <c r="E450" s="35" t="s">
        <v>2339</v>
      </c>
      <c r="F450" s="35" t="s">
        <v>507</v>
      </c>
      <c r="G450" s="35" t="s">
        <v>508</v>
      </c>
      <c r="H450" s="35">
        <v>1980</v>
      </c>
    </row>
    <row r="451" spans="1:8" ht="15.75" x14ac:dyDescent="0.25">
      <c r="A451" t="str">
        <f t="shared" si="6"/>
        <v>7889187W5743HE-B</v>
      </c>
      <c r="B451" s="35" t="s">
        <v>966</v>
      </c>
      <c r="C451" s="35" t="s">
        <v>1356</v>
      </c>
      <c r="D451" s="35" t="s">
        <v>394</v>
      </c>
      <c r="E451" s="35" t="s">
        <v>2339</v>
      </c>
      <c r="F451" s="35" t="s">
        <v>507</v>
      </c>
      <c r="G451" s="35" t="s">
        <v>508</v>
      </c>
      <c r="H451" s="35">
        <v>1032</v>
      </c>
    </row>
    <row r="452" spans="1:8" ht="15.75" x14ac:dyDescent="0.25">
      <c r="A452" t="str">
        <f t="shared" si="6"/>
        <v>C136471W5743HE-B</v>
      </c>
      <c r="B452" s="35" t="s">
        <v>966</v>
      </c>
      <c r="C452" s="35" t="s">
        <v>1357</v>
      </c>
      <c r="D452" s="35" t="s">
        <v>399</v>
      </c>
      <c r="E452" s="35" t="s">
        <v>2339</v>
      </c>
      <c r="F452" s="35" t="s">
        <v>397</v>
      </c>
      <c r="G452" s="35" t="s">
        <v>2291</v>
      </c>
      <c r="H452" s="35">
        <v>840</v>
      </c>
    </row>
    <row r="453" spans="1:8" ht="15.75" x14ac:dyDescent="0.25">
      <c r="A453" t="str">
        <f t="shared" si="6"/>
        <v>U157276W5743HE-B</v>
      </c>
      <c r="B453" s="35" t="s">
        <v>966</v>
      </c>
      <c r="C453" s="35" t="s">
        <v>1358</v>
      </c>
      <c r="D453" s="35" t="s">
        <v>444</v>
      </c>
      <c r="E453" s="35" t="s">
        <v>2339</v>
      </c>
      <c r="F453" s="35" t="s">
        <v>436</v>
      </c>
      <c r="G453" s="35" t="s">
        <v>443</v>
      </c>
      <c r="H453" s="35">
        <v>1980</v>
      </c>
    </row>
    <row r="454" spans="1:8" ht="15.75" x14ac:dyDescent="0.25">
      <c r="A454" t="str">
        <f t="shared" si="6"/>
        <v>7866869P204L8K2-M</v>
      </c>
      <c r="B454" s="35" t="s">
        <v>967</v>
      </c>
      <c r="C454" s="35" t="s">
        <v>471</v>
      </c>
      <c r="D454" s="35" t="s">
        <v>387</v>
      </c>
      <c r="E454" s="35" t="s">
        <v>2337</v>
      </c>
      <c r="F454" s="35" t="s">
        <v>385</v>
      </c>
      <c r="G454" s="35" t="s">
        <v>386</v>
      </c>
      <c r="H454" s="35">
        <v>438</v>
      </c>
    </row>
    <row r="455" spans="1:8" ht="15.75" x14ac:dyDescent="0.25">
      <c r="A455" t="str">
        <f t="shared" ref="A455:A518" si="7">+C455&amp;B455&amp;"-"&amp;E455</f>
        <v>7874331P204L8K2-M</v>
      </c>
      <c r="B455" s="35" t="s">
        <v>967</v>
      </c>
      <c r="C455" s="35" t="s">
        <v>473</v>
      </c>
      <c r="D455" s="35" t="s">
        <v>394</v>
      </c>
      <c r="E455" s="35" t="s">
        <v>2337</v>
      </c>
      <c r="F455" s="35" t="s">
        <v>392</v>
      </c>
      <c r="G455" s="35" t="s">
        <v>393</v>
      </c>
      <c r="H455" s="35">
        <v>462</v>
      </c>
    </row>
    <row r="456" spans="1:8" ht="15.75" x14ac:dyDescent="0.25">
      <c r="A456" t="str">
        <f t="shared" si="7"/>
        <v>H174564P204L8K2-M</v>
      </c>
      <c r="B456" s="35" t="s">
        <v>967</v>
      </c>
      <c r="C456" s="35" t="s">
        <v>539</v>
      </c>
      <c r="D456" s="35" t="s">
        <v>404</v>
      </c>
      <c r="E456" s="35" t="s">
        <v>2337</v>
      </c>
      <c r="F456" s="35" t="s">
        <v>2292</v>
      </c>
      <c r="G456" s="35" t="s">
        <v>2293</v>
      </c>
      <c r="H456" s="35">
        <v>204</v>
      </c>
    </row>
    <row r="457" spans="1:8" ht="15.75" x14ac:dyDescent="0.25">
      <c r="A457" t="str">
        <f t="shared" si="7"/>
        <v>H181786G204L1MN-M</v>
      </c>
      <c r="B457" s="35" t="s">
        <v>968</v>
      </c>
      <c r="C457" s="35" t="s">
        <v>517</v>
      </c>
      <c r="D457" s="35" t="s">
        <v>404</v>
      </c>
      <c r="E457" s="35" t="s">
        <v>2337</v>
      </c>
      <c r="F457" s="35" t="s">
        <v>524</v>
      </c>
      <c r="G457" s="35" t="s">
        <v>525</v>
      </c>
      <c r="H457" s="35">
        <v>1902</v>
      </c>
    </row>
    <row r="458" spans="1:8" ht="15.75" x14ac:dyDescent="0.25">
      <c r="A458" t="str">
        <f t="shared" si="7"/>
        <v>7874343P204L9OY-M</v>
      </c>
      <c r="B458" s="35" t="s">
        <v>969</v>
      </c>
      <c r="C458" s="35" t="s">
        <v>541</v>
      </c>
      <c r="D458" s="35" t="s">
        <v>394</v>
      </c>
      <c r="E458" s="35" t="s">
        <v>2337</v>
      </c>
      <c r="F458" s="35" t="s">
        <v>392</v>
      </c>
      <c r="G458" s="35" t="s">
        <v>393</v>
      </c>
      <c r="H458" s="35">
        <v>294</v>
      </c>
    </row>
    <row r="459" spans="1:8" ht="15.75" x14ac:dyDescent="0.25">
      <c r="A459" t="str">
        <f t="shared" si="7"/>
        <v>7874735P204L9OY-M</v>
      </c>
      <c r="B459" s="35" t="s">
        <v>969</v>
      </c>
      <c r="C459" s="35" t="s">
        <v>542</v>
      </c>
      <c r="D459" s="35" t="s">
        <v>394</v>
      </c>
      <c r="E459" s="35" t="s">
        <v>2337</v>
      </c>
      <c r="F459" s="35" t="s">
        <v>382</v>
      </c>
      <c r="G459" s="35" t="s">
        <v>2297</v>
      </c>
      <c r="H459" s="35">
        <v>420</v>
      </c>
    </row>
    <row r="460" spans="1:8" ht="15.75" x14ac:dyDescent="0.25">
      <c r="A460" t="str">
        <f t="shared" si="7"/>
        <v>H181788G204L9EA-M</v>
      </c>
      <c r="B460" s="35" t="s">
        <v>970</v>
      </c>
      <c r="C460" s="35" t="s">
        <v>530</v>
      </c>
      <c r="D460" s="35" t="s">
        <v>404</v>
      </c>
      <c r="E460" s="35" t="s">
        <v>2337</v>
      </c>
      <c r="F460" s="35" t="s">
        <v>524</v>
      </c>
      <c r="G460" s="35" t="s">
        <v>525</v>
      </c>
      <c r="H460" s="35">
        <v>330</v>
      </c>
    </row>
    <row r="461" spans="1:8" ht="15.75" x14ac:dyDescent="0.25">
      <c r="A461" t="str">
        <f t="shared" si="7"/>
        <v>U147490G204L7V9-M</v>
      </c>
      <c r="B461" s="35" t="s">
        <v>971</v>
      </c>
      <c r="C461" s="35" t="s">
        <v>532</v>
      </c>
      <c r="D461" s="35" t="s">
        <v>438</v>
      </c>
      <c r="E461" s="35" t="s">
        <v>2337</v>
      </c>
      <c r="F461" s="35" t="s">
        <v>436</v>
      </c>
      <c r="G461" s="35" t="s">
        <v>456</v>
      </c>
      <c r="H461" s="35">
        <v>1500</v>
      </c>
    </row>
    <row r="462" spans="1:8" ht="15.75" x14ac:dyDescent="0.25">
      <c r="A462" t="str">
        <f t="shared" si="7"/>
        <v>H177012G204L5CB-M</v>
      </c>
      <c r="B462" s="35" t="s">
        <v>972</v>
      </c>
      <c r="C462" s="35" t="s">
        <v>1359</v>
      </c>
      <c r="D462" s="35" t="s">
        <v>404</v>
      </c>
      <c r="E462" s="35" t="s">
        <v>2337</v>
      </c>
      <c r="F462" s="35" t="s">
        <v>524</v>
      </c>
      <c r="G462" s="35" t="s">
        <v>525</v>
      </c>
      <c r="H462" s="35">
        <v>186</v>
      </c>
    </row>
    <row r="463" spans="1:8" ht="15.75" x14ac:dyDescent="0.25">
      <c r="A463" t="str">
        <f t="shared" si="7"/>
        <v>H176950G204L5CB-M</v>
      </c>
      <c r="B463" s="35" t="s">
        <v>972</v>
      </c>
      <c r="C463" s="35" t="s">
        <v>555</v>
      </c>
      <c r="D463" s="35" t="s">
        <v>404</v>
      </c>
      <c r="E463" s="35" t="s">
        <v>2337</v>
      </c>
      <c r="F463" s="35" t="s">
        <v>434</v>
      </c>
      <c r="G463" s="35" t="s">
        <v>435</v>
      </c>
      <c r="H463" s="35">
        <v>156</v>
      </c>
    </row>
    <row r="464" spans="1:8" ht="15.75" x14ac:dyDescent="0.25">
      <c r="A464" t="str">
        <f t="shared" si="7"/>
        <v>H176893G204L5CB-M</v>
      </c>
      <c r="B464" s="35" t="s">
        <v>972</v>
      </c>
      <c r="C464" s="35" t="s">
        <v>556</v>
      </c>
      <c r="D464" s="35" t="s">
        <v>404</v>
      </c>
      <c r="E464" s="35" t="s">
        <v>2337</v>
      </c>
      <c r="F464" s="35" t="s">
        <v>2292</v>
      </c>
      <c r="G464" s="35" t="s">
        <v>2293</v>
      </c>
      <c r="H464" s="35">
        <v>396</v>
      </c>
    </row>
    <row r="465" spans="1:8" ht="15.75" x14ac:dyDescent="0.25">
      <c r="A465" t="str">
        <f t="shared" si="7"/>
        <v>H176926U204L9NJ-D</v>
      </c>
      <c r="B465" s="35" t="s">
        <v>973</v>
      </c>
      <c r="C465" s="35" t="s">
        <v>1360</v>
      </c>
      <c r="D465" s="35" t="s">
        <v>404</v>
      </c>
      <c r="E465" s="35" t="s">
        <v>2340</v>
      </c>
      <c r="F465" s="35" t="s">
        <v>498</v>
      </c>
      <c r="G465" s="35" t="s">
        <v>499</v>
      </c>
      <c r="H465" s="35">
        <v>294</v>
      </c>
    </row>
    <row r="466" spans="1:8" ht="15.75" x14ac:dyDescent="0.25">
      <c r="A466" t="str">
        <f t="shared" si="7"/>
        <v>H177256U204L9NJ-D</v>
      </c>
      <c r="B466" s="35" t="s">
        <v>973</v>
      </c>
      <c r="C466" s="35" t="s">
        <v>646</v>
      </c>
      <c r="D466" s="35" t="s">
        <v>411</v>
      </c>
      <c r="E466" s="35" t="s">
        <v>2340</v>
      </c>
      <c r="F466" s="35" t="s">
        <v>409</v>
      </c>
      <c r="G466" s="35" t="s">
        <v>410</v>
      </c>
      <c r="H466" s="35">
        <v>84</v>
      </c>
    </row>
    <row r="467" spans="1:8" ht="15.75" x14ac:dyDescent="0.25">
      <c r="A467" t="str">
        <f t="shared" si="7"/>
        <v>7875028U204L9NJ-D</v>
      </c>
      <c r="B467" s="35" t="s">
        <v>973</v>
      </c>
      <c r="C467" s="35" t="s">
        <v>647</v>
      </c>
      <c r="D467" s="35" t="s">
        <v>391</v>
      </c>
      <c r="E467" s="35" t="s">
        <v>2340</v>
      </c>
      <c r="F467" s="35" t="s">
        <v>379</v>
      </c>
      <c r="G467" s="35" t="s">
        <v>380</v>
      </c>
      <c r="H467" s="35">
        <v>192</v>
      </c>
    </row>
    <row r="468" spans="1:8" ht="15.75" x14ac:dyDescent="0.25">
      <c r="A468" t="str">
        <f t="shared" si="7"/>
        <v>7875118U204L9NJ-D</v>
      </c>
      <c r="B468" s="35" t="s">
        <v>973</v>
      </c>
      <c r="C468" s="35" t="s">
        <v>578</v>
      </c>
      <c r="D468" s="35" t="s">
        <v>390</v>
      </c>
      <c r="E468" s="35" t="s">
        <v>2340</v>
      </c>
      <c r="F468" s="35" t="s">
        <v>382</v>
      </c>
      <c r="G468" s="35" t="s">
        <v>383</v>
      </c>
      <c r="H468" s="35">
        <v>822</v>
      </c>
    </row>
    <row r="469" spans="1:8" ht="15.75" x14ac:dyDescent="0.25">
      <c r="A469" t="str">
        <f t="shared" si="7"/>
        <v>7878143P204L9OY-M</v>
      </c>
      <c r="B469" s="35" t="s">
        <v>969</v>
      </c>
      <c r="C469" s="35" t="s">
        <v>1361</v>
      </c>
      <c r="D469" s="35" t="s">
        <v>474</v>
      </c>
      <c r="E469" s="35" t="s">
        <v>2337</v>
      </c>
      <c r="F469" s="35" t="s">
        <v>379</v>
      </c>
      <c r="G469" s="35" t="s">
        <v>380</v>
      </c>
      <c r="H469" s="35">
        <v>240</v>
      </c>
    </row>
    <row r="470" spans="1:8" ht="15.75" x14ac:dyDescent="0.25">
      <c r="A470" t="str">
        <f t="shared" si="7"/>
        <v>7876245P204L9OY-M</v>
      </c>
      <c r="B470" s="35" t="s">
        <v>969</v>
      </c>
      <c r="C470" s="35" t="s">
        <v>1362</v>
      </c>
      <c r="D470" s="35" t="s">
        <v>387</v>
      </c>
      <c r="E470" s="35" t="s">
        <v>2337</v>
      </c>
      <c r="F470" s="35" t="s">
        <v>388</v>
      </c>
      <c r="G470" s="35" t="s">
        <v>389</v>
      </c>
      <c r="H470" s="35">
        <v>486</v>
      </c>
    </row>
    <row r="471" spans="1:8" ht="15.75" x14ac:dyDescent="0.25">
      <c r="A471" t="str">
        <f t="shared" si="7"/>
        <v>7876461P204L9OY-M</v>
      </c>
      <c r="B471" s="35" t="s">
        <v>969</v>
      </c>
      <c r="C471" s="35" t="s">
        <v>597</v>
      </c>
      <c r="D471" s="35" t="s">
        <v>387</v>
      </c>
      <c r="E471" s="35" t="s">
        <v>2337</v>
      </c>
      <c r="F471" s="35" t="s">
        <v>385</v>
      </c>
      <c r="G471" s="35" t="s">
        <v>386</v>
      </c>
      <c r="H471" s="35">
        <v>522</v>
      </c>
    </row>
    <row r="472" spans="1:8" ht="15.75" x14ac:dyDescent="0.25">
      <c r="A472" t="str">
        <f t="shared" si="7"/>
        <v>H174678P204L9OY-M</v>
      </c>
      <c r="B472" s="35" t="s">
        <v>969</v>
      </c>
      <c r="C472" s="35" t="s">
        <v>1363</v>
      </c>
      <c r="D472" s="35" t="s">
        <v>404</v>
      </c>
      <c r="E472" s="35" t="s">
        <v>2337</v>
      </c>
      <c r="F472" s="35" t="s">
        <v>498</v>
      </c>
      <c r="G472" s="35" t="s">
        <v>499</v>
      </c>
      <c r="H472" s="35">
        <v>246</v>
      </c>
    </row>
    <row r="473" spans="1:8" ht="15.75" x14ac:dyDescent="0.25">
      <c r="A473" t="str">
        <f t="shared" si="7"/>
        <v>H181781P204L351-M</v>
      </c>
      <c r="B473" s="35" t="s">
        <v>974</v>
      </c>
      <c r="C473" s="35" t="s">
        <v>607</v>
      </c>
      <c r="D473" s="35" t="s">
        <v>404</v>
      </c>
      <c r="E473" s="35" t="s">
        <v>2337</v>
      </c>
      <c r="F473" s="35" t="s">
        <v>524</v>
      </c>
      <c r="G473" s="35" t="s">
        <v>525</v>
      </c>
      <c r="H473" s="35">
        <v>396</v>
      </c>
    </row>
    <row r="474" spans="1:8" ht="15.75" x14ac:dyDescent="0.25">
      <c r="A474" t="str">
        <f t="shared" si="7"/>
        <v>H181787P204L9VE-M</v>
      </c>
      <c r="B474" s="35" t="s">
        <v>975</v>
      </c>
      <c r="C474" s="35" t="s">
        <v>614</v>
      </c>
      <c r="D474" s="35" t="s">
        <v>404</v>
      </c>
      <c r="E474" s="35" t="s">
        <v>2337</v>
      </c>
      <c r="F474" s="35" t="s">
        <v>524</v>
      </c>
      <c r="G474" s="35" t="s">
        <v>525</v>
      </c>
      <c r="H474" s="35">
        <v>1560</v>
      </c>
    </row>
    <row r="475" spans="1:8" ht="15.75" x14ac:dyDescent="0.25">
      <c r="A475" t="str">
        <f t="shared" si="7"/>
        <v>H174821P204L8K2-M</v>
      </c>
      <c r="B475" s="35" t="s">
        <v>967</v>
      </c>
      <c r="C475" s="35" t="s">
        <v>637</v>
      </c>
      <c r="D475" s="35" t="s">
        <v>404</v>
      </c>
      <c r="E475" s="35" t="s">
        <v>2337</v>
      </c>
      <c r="F475" s="35" t="s">
        <v>524</v>
      </c>
      <c r="G475" s="35" t="s">
        <v>525</v>
      </c>
      <c r="H475" s="35">
        <v>216</v>
      </c>
    </row>
    <row r="476" spans="1:8" ht="15.75" x14ac:dyDescent="0.25">
      <c r="A476" t="str">
        <f t="shared" si="7"/>
        <v>7875935U204L9NJ-D</v>
      </c>
      <c r="B476" s="35" t="s">
        <v>973</v>
      </c>
      <c r="C476" s="35" t="s">
        <v>650</v>
      </c>
      <c r="D476" s="35" t="s">
        <v>387</v>
      </c>
      <c r="E476" s="35" t="s">
        <v>2340</v>
      </c>
      <c r="F476" s="35" t="s">
        <v>388</v>
      </c>
      <c r="G476" s="35" t="s">
        <v>389</v>
      </c>
      <c r="H476" s="35">
        <v>168</v>
      </c>
    </row>
    <row r="477" spans="1:8" ht="15.75" x14ac:dyDescent="0.25">
      <c r="A477" t="str">
        <f t="shared" si="7"/>
        <v>7876443U204L9NJ-D</v>
      </c>
      <c r="B477" s="35" t="s">
        <v>973</v>
      </c>
      <c r="C477" s="35" t="s">
        <v>654</v>
      </c>
      <c r="D477" s="35" t="s">
        <v>387</v>
      </c>
      <c r="E477" s="35" t="s">
        <v>2340</v>
      </c>
      <c r="F477" s="35" t="s">
        <v>385</v>
      </c>
      <c r="G477" s="35" t="s">
        <v>386</v>
      </c>
      <c r="H477" s="35">
        <v>540</v>
      </c>
    </row>
    <row r="478" spans="1:8" ht="15.75" x14ac:dyDescent="0.25">
      <c r="A478" t="str">
        <f t="shared" si="7"/>
        <v>U150104U204L5YB-D</v>
      </c>
      <c r="B478" s="35" t="s">
        <v>976</v>
      </c>
      <c r="C478" s="35" t="s">
        <v>661</v>
      </c>
      <c r="D478" s="35" t="s">
        <v>444</v>
      </c>
      <c r="E478" s="35" t="s">
        <v>2340</v>
      </c>
      <c r="F478" s="35" t="s">
        <v>436</v>
      </c>
      <c r="G478" s="35" t="s">
        <v>443</v>
      </c>
      <c r="H478" s="35">
        <v>2646</v>
      </c>
    </row>
    <row r="479" spans="1:8" ht="15.75" x14ac:dyDescent="0.25">
      <c r="A479" t="str">
        <f t="shared" si="7"/>
        <v>U149887P204L8K2-M</v>
      </c>
      <c r="B479" s="35" t="s">
        <v>967</v>
      </c>
      <c r="C479" s="35" t="s">
        <v>1364</v>
      </c>
      <c r="D479" s="35" t="s">
        <v>444</v>
      </c>
      <c r="E479" s="35" t="s">
        <v>2337</v>
      </c>
      <c r="F479" s="35" t="s">
        <v>436</v>
      </c>
      <c r="G479" s="35" t="s">
        <v>443</v>
      </c>
      <c r="H479" s="35">
        <v>522</v>
      </c>
    </row>
    <row r="480" spans="1:8" ht="15.75" x14ac:dyDescent="0.25">
      <c r="A480" t="str">
        <f t="shared" si="7"/>
        <v>H181785P204L9VE-M</v>
      </c>
      <c r="B480" s="35" t="s">
        <v>975</v>
      </c>
      <c r="C480" s="35" t="s">
        <v>719</v>
      </c>
      <c r="D480" s="35" t="s">
        <v>404</v>
      </c>
      <c r="E480" s="35" t="s">
        <v>2337</v>
      </c>
      <c r="F480" s="35" t="s">
        <v>524</v>
      </c>
      <c r="G480" s="35" t="s">
        <v>525</v>
      </c>
      <c r="H480" s="35">
        <v>258</v>
      </c>
    </row>
    <row r="481" spans="1:8" ht="15.75" x14ac:dyDescent="0.25">
      <c r="A481" t="str">
        <f t="shared" si="7"/>
        <v>H176970G204L5CB-M</v>
      </c>
      <c r="B481" s="35" t="s">
        <v>972</v>
      </c>
      <c r="C481" s="35" t="s">
        <v>726</v>
      </c>
      <c r="D481" s="35" t="s">
        <v>404</v>
      </c>
      <c r="E481" s="35" t="s">
        <v>2337</v>
      </c>
      <c r="F481" s="35" t="s">
        <v>501</v>
      </c>
      <c r="G481" s="35" t="s">
        <v>502</v>
      </c>
      <c r="H481" s="35">
        <v>192</v>
      </c>
    </row>
    <row r="482" spans="1:8" ht="15.75" x14ac:dyDescent="0.25">
      <c r="A482" t="str">
        <f t="shared" si="7"/>
        <v>H177186G204L5CB-M</v>
      </c>
      <c r="B482" s="35" t="s">
        <v>972</v>
      </c>
      <c r="C482" s="35" t="s">
        <v>734</v>
      </c>
      <c r="D482" s="35" t="s">
        <v>404</v>
      </c>
      <c r="E482" s="35" t="s">
        <v>2337</v>
      </c>
      <c r="F482" s="35" t="s">
        <v>402</v>
      </c>
      <c r="G482" s="35" t="s">
        <v>2289</v>
      </c>
      <c r="H482" s="35">
        <v>1686</v>
      </c>
    </row>
    <row r="483" spans="1:8" ht="15.75" x14ac:dyDescent="0.25">
      <c r="A483" t="str">
        <f t="shared" si="7"/>
        <v>H177197G204L4MD-M</v>
      </c>
      <c r="B483" s="35" t="s">
        <v>977</v>
      </c>
      <c r="C483" s="35" t="s">
        <v>781</v>
      </c>
      <c r="D483" s="35" t="s">
        <v>404</v>
      </c>
      <c r="E483" s="35" t="s">
        <v>2337</v>
      </c>
      <c r="F483" s="35" t="s">
        <v>402</v>
      </c>
      <c r="G483" s="35" t="s">
        <v>2289</v>
      </c>
      <c r="H483" s="35">
        <v>786</v>
      </c>
    </row>
    <row r="484" spans="1:8" ht="15.75" x14ac:dyDescent="0.25">
      <c r="A484" t="str">
        <f t="shared" si="7"/>
        <v>H177210G204L7GI-M</v>
      </c>
      <c r="B484" s="35" t="s">
        <v>978</v>
      </c>
      <c r="C484" s="35" t="s">
        <v>822</v>
      </c>
      <c r="D484" s="35" t="s">
        <v>404</v>
      </c>
      <c r="E484" s="35" t="s">
        <v>2337</v>
      </c>
      <c r="F484" s="35" t="s">
        <v>402</v>
      </c>
      <c r="G484" s="35" t="s">
        <v>2289</v>
      </c>
      <c r="H484" s="35">
        <v>756</v>
      </c>
    </row>
    <row r="485" spans="1:8" ht="15.75" x14ac:dyDescent="0.25">
      <c r="A485" t="str">
        <f t="shared" si="7"/>
        <v>H177275G204L7GI-M</v>
      </c>
      <c r="B485" s="35" t="s">
        <v>978</v>
      </c>
      <c r="C485" s="35" t="s">
        <v>1365</v>
      </c>
      <c r="D485" s="35" t="s">
        <v>404</v>
      </c>
      <c r="E485" s="35" t="s">
        <v>2337</v>
      </c>
      <c r="F485" s="35" t="s">
        <v>402</v>
      </c>
      <c r="G485" s="35" t="s">
        <v>403</v>
      </c>
      <c r="H485" s="35">
        <v>180</v>
      </c>
    </row>
    <row r="486" spans="1:8" ht="15.75" x14ac:dyDescent="0.25">
      <c r="A486" t="str">
        <f t="shared" si="7"/>
        <v>U152852P204L9NZ-M</v>
      </c>
      <c r="B486" s="35" t="s">
        <v>979</v>
      </c>
      <c r="C486" s="35" t="s">
        <v>874</v>
      </c>
      <c r="D486" s="35" t="s">
        <v>444</v>
      </c>
      <c r="E486" s="35" t="s">
        <v>2337</v>
      </c>
      <c r="F486" s="35" t="s">
        <v>436</v>
      </c>
      <c r="G486" s="35" t="s">
        <v>443</v>
      </c>
      <c r="H486" s="35">
        <v>846</v>
      </c>
    </row>
    <row r="487" spans="1:8" ht="15.75" x14ac:dyDescent="0.25">
      <c r="A487" t="str">
        <f t="shared" si="7"/>
        <v>U152852P204L9NZ-W</v>
      </c>
      <c r="B487" s="35" t="s">
        <v>979</v>
      </c>
      <c r="C487" s="35" t="s">
        <v>874</v>
      </c>
      <c r="D487" s="35" t="s">
        <v>444</v>
      </c>
      <c r="E487" s="35" t="s">
        <v>2338</v>
      </c>
      <c r="F487" s="35" t="s">
        <v>436</v>
      </c>
      <c r="G487" s="35" t="s">
        <v>443</v>
      </c>
      <c r="H487" s="35">
        <v>96</v>
      </c>
    </row>
    <row r="488" spans="1:8" ht="15.75" x14ac:dyDescent="0.25">
      <c r="A488" t="str">
        <f t="shared" si="7"/>
        <v>H189125P204L8K2-M</v>
      </c>
      <c r="B488" s="35" t="s">
        <v>967</v>
      </c>
      <c r="C488" s="35" t="s">
        <v>850</v>
      </c>
      <c r="D488" s="35" t="s">
        <v>404</v>
      </c>
      <c r="E488" s="35" t="s">
        <v>2337</v>
      </c>
      <c r="F488" s="35" t="s">
        <v>2298</v>
      </c>
      <c r="G488" s="35" t="s">
        <v>2299</v>
      </c>
      <c r="H488" s="35">
        <v>912</v>
      </c>
    </row>
    <row r="489" spans="1:8" ht="15.75" x14ac:dyDescent="0.25">
      <c r="A489" t="str">
        <f t="shared" si="7"/>
        <v>7880744P204L8K2-M</v>
      </c>
      <c r="B489" s="35" t="s">
        <v>967</v>
      </c>
      <c r="C489" s="35" t="s">
        <v>1366</v>
      </c>
      <c r="D489" s="35" t="s">
        <v>387</v>
      </c>
      <c r="E489" s="35" t="s">
        <v>2337</v>
      </c>
      <c r="F489" s="35" t="s">
        <v>388</v>
      </c>
      <c r="G489" s="35" t="s">
        <v>389</v>
      </c>
      <c r="H489" s="35">
        <v>174</v>
      </c>
    </row>
    <row r="490" spans="1:8" ht="15.75" x14ac:dyDescent="0.25">
      <c r="A490" t="str">
        <f t="shared" si="7"/>
        <v>H189105P204L8K2-M</v>
      </c>
      <c r="B490" s="35" t="s">
        <v>967</v>
      </c>
      <c r="C490" s="35" t="s">
        <v>1367</v>
      </c>
      <c r="D490" s="35" t="s">
        <v>404</v>
      </c>
      <c r="E490" s="35" t="s">
        <v>2337</v>
      </c>
      <c r="F490" s="35" t="s">
        <v>414</v>
      </c>
      <c r="G490" s="35" t="s">
        <v>415</v>
      </c>
      <c r="H490" s="35">
        <v>144</v>
      </c>
    </row>
    <row r="491" spans="1:8" ht="15.75" x14ac:dyDescent="0.25">
      <c r="A491" t="str">
        <f t="shared" si="7"/>
        <v>H189088P204L8K2-W</v>
      </c>
      <c r="B491" s="35" t="s">
        <v>967</v>
      </c>
      <c r="C491" s="35" t="s">
        <v>1368</v>
      </c>
      <c r="D491" s="35" t="s">
        <v>404</v>
      </c>
      <c r="E491" s="35" t="s">
        <v>2338</v>
      </c>
      <c r="F491" s="35" t="s">
        <v>422</v>
      </c>
      <c r="G491" s="35" t="s">
        <v>423</v>
      </c>
      <c r="H491" s="35">
        <v>996</v>
      </c>
    </row>
    <row r="492" spans="1:8" ht="15.75" x14ac:dyDescent="0.25">
      <c r="A492" t="str">
        <f t="shared" si="7"/>
        <v>H189086P204L7RF-W</v>
      </c>
      <c r="B492" s="35" t="s">
        <v>980</v>
      </c>
      <c r="C492" s="35" t="s">
        <v>1369</v>
      </c>
      <c r="D492" s="35" t="s">
        <v>404</v>
      </c>
      <c r="E492" s="35" t="s">
        <v>2338</v>
      </c>
      <c r="F492" s="35" t="s">
        <v>422</v>
      </c>
      <c r="G492" s="35" t="s">
        <v>423</v>
      </c>
      <c r="H492" s="35">
        <v>600</v>
      </c>
    </row>
    <row r="493" spans="1:8" ht="15.75" x14ac:dyDescent="0.25">
      <c r="A493" t="str">
        <f t="shared" si="7"/>
        <v>7883692P204L5TQ-M</v>
      </c>
      <c r="B493" s="35" t="s">
        <v>981</v>
      </c>
      <c r="C493" s="35" t="s">
        <v>1370</v>
      </c>
      <c r="D493" s="35" t="s">
        <v>394</v>
      </c>
      <c r="E493" s="35" t="s">
        <v>2337</v>
      </c>
      <c r="F493" s="35" t="s">
        <v>382</v>
      </c>
      <c r="G493" s="35" t="s">
        <v>2297</v>
      </c>
      <c r="H493" s="35">
        <v>264</v>
      </c>
    </row>
    <row r="494" spans="1:8" ht="15.75" x14ac:dyDescent="0.25">
      <c r="A494" t="str">
        <f t="shared" si="7"/>
        <v>7884696P204L5TQ-M</v>
      </c>
      <c r="B494" s="35" t="s">
        <v>981</v>
      </c>
      <c r="C494" s="35" t="s">
        <v>1371</v>
      </c>
      <c r="D494" s="35" t="s">
        <v>395</v>
      </c>
      <c r="E494" s="35" t="s">
        <v>2337</v>
      </c>
      <c r="F494" s="35" t="s">
        <v>382</v>
      </c>
      <c r="G494" s="35" t="s">
        <v>383</v>
      </c>
      <c r="H494" s="35">
        <v>534</v>
      </c>
    </row>
    <row r="495" spans="1:8" ht="15.75" x14ac:dyDescent="0.25">
      <c r="A495" t="str">
        <f t="shared" si="7"/>
        <v>7886839P204L5TQ-M</v>
      </c>
      <c r="B495" s="35" t="s">
        <v>981</v>
      </c>
      <c r="C495" s="35" t="s">
        <v>1372</v>
      </c>
      <c r="D495" s="35" t="s">
        <v>484</v>
      </c>
      <c r="E495" s="35" t="s">
        <v>2337</v>
      </c>
      <c r="F495" s="35" t="s">
        <v>379</v>
      </c>
      <c r="G495" s="35" t="s">
        <v>500</v>
      </c>
      <c r="H495" s="35">
        <v>468</v>
      </c>
    </row>
    <row r="496" spans="1:8" ht="15.75" x14ac:dyDescent="0.25">
      <c r="A496" t="str">
        <f t="shared" si="7"/>
        <v>7886753P204L9OY-M</v>
      </c>
      <c r="B496" s="35" t="s">
        <v>969</v>
      </c>
      <c r="C496" s="35" t="s">
        <v>1373</v>
      </c>
      <c r="D496" s="35" t="s">
        <v>394</v>
      </c>
      <c r="E496" s="35" t="s">
        <v>2337</v>
      </c>
      <c r="F496" s="35" t="s">
        <v>507</v>
      </c>
      <c r="G496" s="35" t="s">
        <v>508</v>
      </c>
      <c r="H496" s="35">
        <v>252</v>
      </c>
    </row>
    <row r="497" spans="1:8" ht="15.75" x14ac:dyDescent="0.25">
      <c r="A497" t="str">
        <f t="shared" si="7"/>
        <v>7886838P204L9OY-M</v>
      </c>
      <c r="B497" s="35" t="s">
        <v>969</v>
      </c>
      <c r="C497" s="35" t="s">
        <v>1374</v>
      </c>
      <c r="D497" s="35" t="s">
        <v>484</v>
      </c>
      <c r="E497" s="35" t="s">
        <v>2337</v>
      </c>
      <c r="F497" s="35" t="s">
        <v>379</v>
      </c>
      <c r="G497" s="35" t="s">
        <v>500</v>
      </c>
      <c r="H497" s="35">
        <v>300</v>
      </c>
    </row>
    <row r="498" spans="1:8" ht="15.75" x14ac:dyDescent="0.25">
      <c r="A498" t="str">
        <f t="shared" si="7"/>
        <v>H189272P204L9OY-M</v>
      </c>
      <c r="B498" s="35" t="s">
        <v>969</v>
      </c>
      <c r="C498" s="35" t="s">
        <v>1375</v>
      </c>
      <c r="D498" s="35" t="s">
        <v>404</v>
      </c>
      <c r="E498" s="35" t="s">
        <v>2337</v>
      </c>
      <c r="F498" s="35" t="s">
        <v>402</v>
      </c>
      <c r="G498" s="35" t="s">
        <v>2289</v>
      </c>
      <c r="H498" s="35">
        <v>600</v>
      </c>
    </row>
    <row r="499" spans="1:8" ht="15.75" x14ac:dyDescent="0.25">
      <c r="A499" t="str">
        <f t="shared" si="7"/>
        <v>H189082P204L9OY-W</v>
      </c>
      <c r="B499" s="35" t="s">
        <v>969</v>
      </c>
      <c r="C499" s="35" t="s">
        <v>1376</v>
      </c>
      <c r="D499" s="35" t="s">
        <v>404</v>
      </c>
      <c r="E499" s="35" t="s">
        <v>2338</v>
      </c>
      <c r="F499" s="35" t="s">
        <v>422</v>
      </c>
      <c r="G499" s="35" t="s">
        <v>423</v>
      </c>
      <c r="H499" s="35">
        <v>2004</v>
      </c>
    </row>
    <row r="500" spans="1:8" ht="15.75" x14ac:dyDescent="0.25">
      <c r="A500" t="str">
        <f t="shared" si="7"/>
        <v>H189268G204L3BR-M</v>
      </c>
      <c r="B500" s="35" t="s">
        <v>982</v>
      </c>
      <c r="C500" s="35" t="s">
        <v>1377</v>
      </c>
      <c r="D500" s="35" t="s">
        <v>404</v>
      </c>
      <c r="E500" s="35" t="s">
        <v>2337</v>
      </c>
      <c r="F500" s="35" t="s">
        <v>402</v>
      </c>
      <c r="G500" s="35" t="s">
        <v>2289</v>
      </c>
      <c r="H500" s="35">
        <v>600</v>
      </c>
    </row>
    <row r="501" spans="1:8" ht="15.75" x14ac:dyDescent="0.25">
      <c r="A501" t="str">
        <f t="shared" si="7"/>
        <v>H189894U204L2EH-D</v>
      </c>
      <c r="B501" s="35" t="s">
        <v>983</v>
      </c>
      <c r="C501" s="35" t="s">
        <v>1378</v>
      </c>
      <c r="D501" s="35" t="s">
        <v>404</v>
      </c>
      <c r="E501" s="35" t="s">
        <v>2340</v>
      </c>
      <c r="F501" s="35" t="s">
        <v>2298</v>
      </c>
      <c r="G501" s="35" t="s">
        <v>2299</v>
      </c>
      <c r="H501" s="35">
        <v>552</v>
      </c>
    </row>
    <row r="502" spans="1:8" ht="15.75" x14ac:dyDescent="0.25">
      <c r="A502" t="str">
        <f t="shared" si="7"/>
        <v>H189837U204L3MJ-D</v>
      </c>
      <c r="B502" s="35" t="s">
        <v>984</v>
      </c>
      <c r="C502" s="35" t="s">
        <v>1379</v>
      </c>
      <c r="D502" s="35" t="s">
        <v>404</v>
      </c>
      <c r="E502" s="35" t="s">
        <v>2340</v>
      </c>
      <c r="F502" s="35" t="s">
        <v>501</v>
      </c>
      <c r="G502" s="35" t="s">
        <v>502</v>
      </c>
      <c r="H502" s="35">
        <v>240</v>
      </c>
    </row>
    <row r="503" spans="1:8" ht="15.75" x14ac:dyDescent="0.25">
      <c r="A503" t="str">
        <f t="shared" si="7"/>
        <v>H189819U204L28P-D</v>
      </c>
      <c r="B503" s="35" t="s">
        <v>985</v>
      </c>
      <c r="C503" s="35" t="s">
        <v>1380</v>
      </c>
      <c r="D503" s="35" t="s">
        <v>404</v>
      </c>
      <c r="E503" s="35" t="s">
        <v>2340</v>
      </c>
      <c r="F503" s="35" t="s">
        <v>501</v>
      </c>
      <c r="G503" s="35" t="s">
        <v>502</v>
      </c>
      <c r="H503" s="35">
        <v>216</v>
      </c>
    </row>
    <row r="504" spans="1:8" ht="15.75" x14ac:dyDescent="0.25">
      <c r="A504" t="str">
        <f t="shared" si="7"/>
        <v>7884167U204L28P-D</v>
      </c>
      <c r="B504" s="35" t="s">
        <v>985</v>
      </c>
      <c r="C504" s="35" t="s">
        <v>1381</v>
      </c>
      <c r="D504" s="35" t="s">
        <v>395</v>
      </c>
      <c r="E504" s="35" t="s">
        <v>2340</v>
      </c>
      <c r="F504" s="35" t="s">
        <v>382</v>
      </c>
      <c r="G504" s="35" t="s">
        <v>383</v>
      </c>
      <c r="H504" s="35">
        <v>798</v>
      </c>
    </row>
    <row r="505" spans="1:8" ht="15.75" x14ac:dyDescent="0.25">
      <c r="A505" t="str">
        <f t="shared" si="7"/>
        <v>H189821U204L28P-D</v>
      </c>
      <c r="B505" s="35" t="s">
        <v>985</v>
      </c>
      <c r="C505" s="35" t="s">
        <v>1382</v>
      </c>
      <c r="D505" s="35" t="s">
        <v>404</v>
      </c>
      <c r="E505" s="35" t="s">
        <v>2340</v>
      </c>
      <c r="F505" s="35" t="s">
        <v>2294</v>
      </c>
      <c r="G505" s="35" t="s">
        <v>2295</v>
      </c>
      <c r="H505" s="35">
        <v>306</v>
      </c>
    </row>
    <row r="506" spans="1:8" ht="15.75" x14ac:dyDescent="0.25">
      <c r="A506" t="str">
        <f t="shared" si="7"/>
        <v>H189854U204L28P-D</v>
      </c>
      <c r="B506" s="35" t="s">
        <v>985</v>
      </c>
      <c r="C506" s="35" t="s">
        <v>1383</v>
      </c>
      <c r="D506" s="35" t="s">
        <v>404</v>
      </c>
      <c r="E506" s="35" t="s">
        <v>2340</v>
      </c>
      <c r="F506" s="35" t="s">
        <v>2298</v>
      </c>
      <c r="G506" s="35" t="s">
        <v>2299</v>
      </c>
      <c r="H506" s="35">
        <v>504</v>
      </c>
    </row>
    <row r="507" spans="1:8" ht="15.75" x14ac:dyDescent="0.25">
      <c r="A507" t="str">
        <f t="shared" si="7"/>
        <v>H189860U204L28P-D</v>
      </c>
      <c r="B507" s="35" t="s">
        <v>985</v>
      </c>
      <c r="C507" s="35" t="s">
        <v>1384</v>
      </c>
      <c r="D507" s="35" t="s">
        <v>404</v>
      </c>
      <c r="E507" s="35" t="s">
        <v>2340</v>
      </c>
      <c r="F507" s="35" t="s">
        <v>414</v>
      </c>
      <c r="G507" s="35" t="s">
        <v>415</v>
      </c>
      <c r="H507" s="35">
        <v>510</v>
      </c>
    </row>
    <row r="508" spans="1:8" ht="15.75" x14ac:dyDescent="0.25">
      <c r="A508" t="str">
        <f t="shared" si="7"/>
        <v>7884203U204L9VX-D</v>
      </c>
      <c r="B508" s="35" t="s">
        <v>986</v>
      </c>
      <c r="C508" s="35" t="s">
        <v>1385</v>
      </c>
      <c r="D508" s="35" t="s">
        <v>395</v>
      </c>
      <c r="E508" s="35" t="s">
        <v>2340</v>
      </c>
      <c r="F508" s="35" t="s">
        <v>382</v>
      </c>
      <c r="G508" s="35" t="s">
        <v>383</v>
      </c>
      <c r="H508" s="35">
        <v>540</v>
      </c>
    </row>
    <row r="509" spans="1:8" ht="15.75" x14ac:dyDescent="0.25">
      <c r="A509" t="str">
        <f t="shared" si="7"/>
        <v>H189862U204L9VX-D</v>
      </c>
      <c r="B509" s="35" t="s">
        <v>986</v>
      </c>
      <c r="C509" s="35" t="s">
        <v>1386</v>
      </c>
      <c r="D509" s="35" t="s">
        <v>404</v>
      </c>
      <c r="E509" s="35" t="s">
        <v>2340</v>
      </c>
      <c r="F509" s="35" t="s">
        <v>414</v>
      </c>
      <c r="G509" s="35" t="s">
        <v>415</v>
      </c>
      <c r="H509" s="35">
        <v>396</v>
      </c>
    </row>
    <row r="510" spans="1:8" ht="15.75" x14ac:dyDescent="0.25">
      <c r="A510" t="str">
        <f t="shared" si="7"/>
        <v>7884173U204L3MJ-D</v>
      </c>
      <c r="B510" s="35" t="s">
        <v>984</v>
      </c>
      <c r="C510" s="35" t="s">
        <v>1387</v>
      </c>
      <c r="D510" s="35" t="s">
        <v>395</v>
      </c>
      <c r="E510" s="35" t="s">
        <v>2340</v>
      </c>
      <c r="F510" s="35" t="s">
        <v>382</v>
      </c>
      <c r="G510" s="35" t="s">
        <v>383</v>
      </c>
      <c r="H510" s="35">
        <v>900</v>
      </c>
    </row>
    <row r="511" spans="1:8" ht="15.75" x14ac:dyDescent="0.25">
      <c r="A511" t="str">
        <f t="shared" si="7"/>
        <v>H189832U204L3MJ-D</v>
      </c>
      <c r="B511" s="35" t="s">
        <v>984</v>
      </c>
      <c r="C511" s="35" t="s">
        <v>1388</v>
      </c>
      <c r="D511" s="35" t="s">
        <v>404</v>
      </c>
      <c r="E511" s="35" t="s">
        <v>2340</v>
      </c>
      <c r="F511" s="35" t="s">
        <v>2294</v>
      </c>
      <c r="G511" s="35" t="s">
        <v>2295</v>
      </c>
      <c r="H511" s="35">
        <v>144</v>
      </c>
    </row>
    <row r="512" spans="1:8" ht="15.75" x14ac:dyDescent="0.25">
      <c r="A512" t="str">
        <f t="shared" si="7"/>
        <v>H189857U204L3MJ-D</v>
      </c>
      <c r="B512" s="35" t="s">
        <v>984</v>
      </c>
      <c r="C512" s="35" t="s">
        <v>1389</v>
      </c>
      <c r="D512" s="35" t="s">
        <v>404</v>
      </c>
      <c r="E512" s="35" t="s">
        <v>2340</v>
      </c>
      <c r="F512" s="35" t="s">
        <v>414</v>
      </c>
      <c r="G512" s="35" t="s">
        <v>415</v>
      </c>
      <c r="H512" s="35">
        <v>516</v>
      </c>
    </row>
    <row r="513" spans="1:8" ht="15.75" x14ac:dyDescent="0.25">
      <c r="A513" t="str">
        <f t="shared" si="7"/>
        <v>H189195P204L9OY-W</v>
      </c>
      <c r="B513" s="35" t="s">
        <v>969</v>
      </c>
      <c r="C513" s="35" t="s">
        <v>1390</v>
      </c>
      <c r="D513" s="35" t="s">
        <v>404</v>
      </c>
      <c r="E513" s="35" t="s">
        <v>2338</v>
      </c>
      <c r="F513" s="35" t="s">
        <v>2284</v>
      </c>
      <c r="G513" s="35" t="s">
        <v>2285</v>
      </c>
      <c r="H513" s="35">
        <v>144</v>
      </c>
    </row>
    <row r="514" spans="1:8" ht="15.75" x14ac:dyDescent="0.25">
      <c r="A514" t="str">
        <f t="shared" si="7"/>
        <v>7886970P204L5ZJ-M</v>
      </c>
      <c r="B514" s="35" t="s">
        <v>987</v>
      </c>
      <c r="C514" s="35" t="s">
        <v>1391</v>
      </c>
      <c r="D514" s="35" t="s">
        <v>395</v>
      </c>
      <c r="E514" s="35" t="s">
        <v>2337</v>
      </c>
      <c r="F514" s="35" t="s">
        <v>382</v>
      </c>
      <c r="G514" s="35" t="s">
        <v>383</v>
      </c>
      <c r="H514" s="35">
        <v>522</v>
      </c>
    </row>
    <row r="515" spans="1:8" ht="15.75" x14ac:dyDescent="0.25">
      <c r="A515" t="str">
        <f t="shared" si="7"/>
        <v>H176952G204L3BR-M</v>
      </c>
      <c r="B515" s="35" t="s">
        <v>982</v>
      </c>
      <c r="C515" s="35" t="s">
        <v>1392</v>
      </c>
      <c r="D515" s="35" t="s">
        <v>404</v>
      </c>
      <c r="E515" s="35" t="s">
        <v>2337</v>
      </c>
      <c r="F515" s="35" t="s">
        <v>434</v>
      </c>
      <c r="G515" s="35" t="s">
        <v>435</v>
      </c>
      <c r="H515" s="35">
        <v>144</v>
      </c>
    </row>
    <row r="516" spans="1:8" ht="15.75" x14ac:dyDescent="0.25">
      <c r="A516" t="str">
        <f t="shared" si="7"/>
        <v>H174679P204L5ZJ-M</v>
      </c>
      <c r="B516" s="35" t="s">
        <v>987</v>
      </c>
      <c r="C516" s="35" t="s">
        <v>1393</v>
      </c>
      <c r="D516" s="35" t="s">
        <v>404</v>
      </c>
      <c r="E516" s="35" t="s">
        <v>2337</v>
      </c>
      <c r="F516" s="35" t="s">
        <v>498</v>
      </c>
      <c r="G516" s="35" t="s">
        <v>499</v>
      </c>
      <c r="H516" s="35">
        <v>144</v>
      </c>
    </row>
    <row r="517" spans="1:8" ht="15.75" x14ac:dyDescent="0.25">
      <c r="A517" t="str">
        <f t="shared" si="7"/>
        <v>H174718P204L8K2-M</v>
      </c>
      <c r="B517" s="35" t="s">
        <v>967</v>
      </c>
      <c r="C517" s="35" t="s">
        <v>1394</v>
      </c>
      <c r="D517" s="35" t="s">
        <v>404</v>
      </c>
      <c r="E517" s="35" t="s">
        <v>2337</v>
      </c>
      <c r="F517" s="35" t="s">
        <v>434</v>
      </c>
      <c r="G517" s="35" t="s">
        <v>435</v>
      </c>
      <c r="H517" s="35">
        <v>156</v>
      </c>
    </row>
    <row r="518" spans="1:8" ht="15.75" x14ac:dyDescent="0.25">
      <c r="A518" t="str">
        <f t="shared" si="7"/>
        <v>H174719P204L9OY-M</v>
      </c>
      <c r="B518" s="35" t="s">
        <v>969</v>
      </c>
      <c r="C518" s="35" t="s">
        <v>1395</v>
      </c>
      <c r="D518" s="35" t="s">
        <v>404</v>
      </c>
      <c r="E518" s="35" t="s">
        <v>2337</v>
      </c>
      <c r="F518" s="35" t="s">
        <v>434</v>
      </c>
      <c r="G518" s="35" t="s">
        <v>435</v>
      </c>
      <c r="H518" s="35">
        <v>156</v>
      </c>
    </row>
    <row r="519" spans="1:8" ht="15.75" x14ac:dyDescent="0.25">
      <c r="A519" t="str">
        <f t="shared" ref="A519:A582" si="8">+C519&amp;B519&amp;"-"&amp;E519</f>
        <v>C135938U204L28P-D</v>
      </c>
      <c r="B519" s="35" t="s">
        <v>985</v>
      </c>
      <c r="C519" s="35" t="s">
        <v>1396</v>
      </c>
      <c r="D519" s="35" t="s">
        <v>401</v>
      </c>
      <c r="E519" s="35" t="s">
        <v>2340</v>
      </c>
      <c r="F519" s="35" t="s">
        <v>397</v>
      </c>
      <c r="G519" s="35" t="s">
        <v>400</v>
      </c>
      <c r="H519" s="35">
        <v>252</v>
      </c>
    </row>
    <row r="520" spans="1:8" ht="15.75" x14ac:dyDescent="0.25">
      <c r="A520" t="str">
        <f t="shared" si="8"/>
        <v>H189896U204L28P-D</v>
      </c>
      <c r="B520" s="35" t="s">
        <v>985</v>
      </c>
      <c r="C520" s="35" t="s">
        <v>1397</v>
      </c>
      <c r="D520" s="35" t="s">
        <v>404</v>
      </c>
      <c r="E520" s="35" t="s">
        <v>2340</v>
      </c>
      <c r="F520" s="35" t="s">
        <v>2284</v>
      </c>
      <c r="G520" s="35" t="s">
        <v>2285</v>
      </c>
      <c r="H520" s="35">
        <v>336</v>
      </c>
    </row>
    <row r="521" spans="1:8" ht="15.75" x14ac:dyDescent="0.25">
      <c r="A521" t="str">
        <f t="shared" si="8"/>
        <v>H189872U204L3MJ-D</v>
      </c>
      <c r="B521" s="35" t="s">
        <v>984</v>
      </c>
      <c r="C521" s="35" t="s">
        <v>1398</v>
      </c>
      <c r="D521" s="35" t="s">
        <v>404</v>
      </c>
      <c r="E521" s="35" t="s">
        <v>2340</v>
      </c>
      <c r="F521" s="35" t="s">
        <v>414</v>
      </c>
      <c r="G521" s="35" t="s">
        <v>415</v>
      </c>
      <c r="H521" s="35">
        <v>390</v>
      </c>
    </row>
    <row r="522" spans="1:8" ht="15.75" x14ac:dyDescent="0.25">
      <c r="A522" t="str">
        <f t="shared" si="8"/>
        <v>H189868U204L9VX-D</v>
      </c>
      <c r="B522" s="35" t="s">
        <v>986</v>
      </c>
      <c r="C522" s="35" t="s">
        <v>1399</v>
      </c>
      <c r="D522" s="35" t="s">
        <v>404</v>
      </c>
      <c r="E522" s="35" t="s">
        <v>2340</v>
      </c>
      <c r="F522" s="35" t="s">
        <v>414</v>
      </c>
      <c r="G522" s="35" t="s">
        <v>415</v>
      </c>
      <c r="H522" s="35">
        <v>330</v>
      </c>
    </row>
    <row r="523" spans="1:8" ht="15.75" x14ac:dyDescent="0.25">
      <c r="A523" t="str">
        <f t="shared" si="8"/>
        <v>7880581U204L28P-D</v>
      </c>
      <c r="B523" s="35" t="s">
        <v>985</v>
      </c>
      <c r="C523" s="35" t="s">
        <v>1400</v>
      </c>
      <c r="D523" s="35" t="s">
        <v>387</v>
      </c>
      <c r="E523" s="35" t="s">
        <v>2340</v>
      </c>
      <c r="F523" s="35" t="s">
        <v>388</v>
      </c>
      <c r="G523" s="35" t="s">
        <v>389</v>
      </c>
      <c r="H523" s="35">
        <v>846</v>
      </c>
    </row>
    <row r="524" spans="1:8" ht="15.75" x14ac:dyDescent="0.25">
      <c r="A524" t="str">
        <f t="shared" si="8"/>
        <v>H189932U204L28P-D</v>
      </c>
      <c r="B524" s="35" t="s">
        <v>985</v>
      </c>
      <c r="C524" s="35" t="s">
        <v>1401</v>
      </c>
      <c r="D524" s="35" t="s">
        <v>404</v>
      </c>
      <c r="E524" s="35" t="s">
        <v>2340</v>
      </c>
      <c r="F524" s="35" t="s">
        <v>2300</v>
      </c>
      <c r="G524" s="35" t="s">
        <v>2301</v>
      </c>
      <c r="H524" s="35">
        <v>516</v>
      </c>
    </row>
    <row r="525" spans="1:8" ht="15.75" x14ac:dyDescent="0.25">
      <c r="A525" t="str">
        <f t="shared" si="8"/>
        <v>7880575U204L3MJ-D</v>
      </c>
      <c r="B525" s="35" t="s">
        <v>984</v>
      </c>
      <c r="C525" s="35" t="s">
        <v>1402</v>
      </c>
      <c r="D525" s="35" t="s">
        <v>387</v>
      </c>
      <c r="E525" s="35" t="s">
        <v>2340</v>
      </c>
      <c r="F525" s="35" t="s">
        <v>388</v>
      </c>
      <c r="G525" s="35" t="s">
        <v>389</v>
      </c>
      <c r="H525" s="35">
        <v>462</v>
      </c>
    </row>
    <row r="526" spans="1:8" ht="15.75" x14ac:dyDescent="0.25">
      <c r="A526" t="str">
        <f t="shared" si="8"/>
        <v>7881630U204L3MJ-D</v>
      </c>
      <c r="B526" s="35" t="s">
        <v>984</v>
      </c>
      <c r="C526" s="35" t="s">
        <v>1403</v>
      </c>
      <c r="D526" s="35" t="s">
        <v>391</v>
      </c>
      <c r="E526" s="35" t="s">
        <v>2340</v>
      </c>
      <c r="F526" s="35" t="s">
        <v>379</v>
      </c>
      <c r="G526" s="35" t="s">
        <v>380</v>
      </c>
      <c r="H526" s="35">
        <v>270</v>
      </c>
    </row>
    <row r="527" spans="1:8" ht="15.75" x14ac:dyDescent="0.25">
      <c r="A527" t="str">
        <f t="shared" si="8"/>
        <v>7881652U204L3MJ-D</v>
      </c>
      <c r="B527" s="35" t="s">
        <v>984</v>
      </c>
      <c r="C527" s="35" t="s">
        <v>1404</v>
      </c>
      <c r="D527" s="35" t="s">
        <v>390</v>
      </c>
      <c r="E527" s="35" t="s">
        <v>2340</v>
      </c>
      <c r="F527" s="35" t="s">
        <v>382</v>
      </c>
      <c r="G527" s="35" t="s">
        <v>383</v>
      </c>
      <c r="H527" s="35">
        <v>1248</v>
      </c>
    </row>
    <row r="528" spans="1:8" ht="15.75" x14ac:dyDescent="0.25">
      <c r="A528" t="str">
        <f t="shared" si="8"/>
        <v>H189834U204L3MJ-D</v>
      </c>
      <c r="B528" s="35" t="s">
        <v>984</v>
      </c>
      <c r="C528" s="35" t="s">
        <v>1405</v>
      </c>
      <c r="D528" s="35" t="s">
        <v>404</v>
      </c>
      <c r="E528" s="35" t="s">
        <v>2340</v>
      </c>
      <c r="F528" s="35" t="s">
        <v>2294</v>
      </c>
      <c r="G528" s="35" t="s">
        <v>2295</v>
      </c>
      <c r="H528" s="35">
        <v>156</v>
      </c>
    </row>
    <row r="529" spans="1:8" ht="15.75" x14ac:dyDescent="0.25">
      <c r="A529" t="str">
        <f t="shared" si="8"/>
        <v>7883154U204L9VX-D</v>
      </c>
      <c r="B529" s="35" t="s">
        <v>986</v>
      </c>
      <c r="C529" s="35" t="s">
        <v>1406</v>
      </c>
      <c r="D529" s="35" t="s">
        <v>394</v>
      </c>
      <c r="E529" s="35" t="s">
        <v>2340</v>
      </c>
      <c r="F529" s="35" t="s">
        <v>392</v>
      </c>
      <c r="G529" s="35" t="s">
        <v>393</v>
      </c>
      <c r="H529" s="35">
        <v>1194</v>
      </c>
    </row>
    <row r="530" spans="1:8" ht="15.75" x14ac:dyDescent="0.25">
      <c r="A530" t="str">
        <f t="shared" si="8"/>
        <v>7885355U204L9VX-D</v>
      </c>
      <c r="B530" s="35" t="s">
        <v>986</v>
      </c>
      <c r="C530" s="35" t="s">
        <v>1407</v>
      </c>
      <c r="D530" s="35" t="s">
        <v>395</v>
      </c>
      <c r="E530" s="35" t="s">
        <v>2340</v>
      </c>
      <c r="F530" s="35" t="s">
        <v>382</v>
      </c>
      <c r="G530" s="35" t="s">
        <v>383</v>
      </c>
      <c r="H530" s="35">
        <v>750</v>
      </c>
    </row>
    <row r="531" spans="1:8" ht="15.75" x14ac:dyDescent="0.25">
      <c r="A531" t="str">
        <f t="shared" si="8"/>
        <v>H189823U204L9VX-D</v>
      </c>
      <c r="B531" s="35" t="s">
        <v>986</v>
      </c>
      <c r="C531" s="35" t="s">
        <v>1408</v>
      </c>
      <c r="D531" s="35" t="s">
        <v>404</v>
      </c>
      <c r="E531" s="35" t="s">
        <v>2340</v>
      </c>
      <c r="F531" s="35" t="s">
        <v>2294</v>
      </c>
      <c r="G531" s="35" t="s">
        <v>2295</v>
      </c>
      <c r="H531" s="35">
        <v>192</v>
      </c>
    </row>
    <row r="532" spans="1:8" ht="15.75" x14ac:dyDescent="0.25">
      <c r="A532" t="str">
        <f t="shared" si="8"/>
        <v>H189899U204L9VX-D</v>
      </c>
      <c r="B532" s="35" t="s">
        <v>986</v>
      </c>
      <c r="C532" s="35" t="s">
        <v>1409</v>
      </c>
      <c r="D532" s="35" t="s">
        <v>404</v>
      </c>
      <c r="E532" s="35" t="s">
        <v>2340</v>
      </c>
      <c r="F532" s="35" t="s">
        <v>2284</v>
      </c>
      <c r="G532" s="35" t="s">
        <v>2285</v>
      </c>
      <c r="H532" s="35">
        <v>300</v>
      </c>
    </row>
    <row r="533" spans="1:8" ht="15.75" x14ac:dyDescent="0.25">
      <c r="A533" t="str">
        <f t="shared" si="8"/>
        <v>H189041P204L9VE-W</v>
      </c>
      <c r="B533" s="35" t="s">
        <v>975</v>
      </c>
      <c r="C533" s="35" t="s">
        <v>1410</v>
      </c>
      <c r="D533" s="35" t="s">
        <v>404</v>
      </c>
      <c r="E533" s="35" t="s">
        <v>2338</v>
      </c>
      <c r="F533" s="35" t="s">
        <v>2286</v>
      </c>
      <c r="G533" s="35" t="s">
        <v>2287</v>
      </c>
      <c r="H533" s="35">
        <v>876</v>
      </c>
    </row>
    <row r="534" spans="1:8" ht="15.75" x14ac:dyDescent="0.25">
      <c r="A534" t="str">
        <f t="shared" si="8"/>
        <v>7883040P204L8K2-M</v>
      </c>
      <c r="B534" s="35" t="s">
        <v>967</v>
      </c>
      <c r="C534" s="35" t="s">
        <v>1411</v>
      </c>
      <c r="D534" s="35" t="s">
        <v>394</v>
      </c>
      <c r="E534" s="35" t="s">
        <v>2337</v>
      </c>
      <c r="F534" s="35" t="s">
        <v>392</v>
      </c>
      <c r="G534" s="35" t="s">
        <v>393</v>
      </c>
      <c r="H534" s="35">
        <v>258</v>
      </c>
    </row>
    <row r="535" spans="1:8" ht="15.75" x14ac:dyDescent="0.25">
      <c r="A535" t="str">
        <f t="shared" si="8"/>
        <v>H181790P204L351-M</v>
      </c>
      <c r="B535" s="35" t="s">
        <v>974</v>
      </c>
      <c r="C535" s="35" t="s">
        <v>1412</v>
      </c>
      <c r="D535" s="35" t="s">
        <v>404</v>
      </c>
      <c r="E535" s="35" t="s">
        <v>2337</v>
      </c>
      <c r="F535" s="35" t="s">
        <v>501</v>
      </c>
      <c r="G535" s="35" t="s">
        <v>502</v>
      </c>
      <c r="H535" s="35">
        <v>162</v>
      </c>
    </row>
    <row r="536" spans="1:8" ht="15.75" x14ac:dyDescent="0.25">
      <c r="A536" t="str">
        <f t="shared" si="8"/>
        <v>H181789P204L351-M</v>
      </c>
      <c r="B536" s="35" t="s">
        <v>974</v>
      </c>
      <c r="C536" s="35" t="s">
        <v>1413</v>
      </c>
      <c r="D536" s="35" t="s">
        <v>404</v>
      </c>
      <c r="E536" s="35" t="s">
        <v>2337</v>
      </c>
      <c r="F536" s="35" t="s">
        <v>524</v>
      </c>
      <c r="G536" s="35" t="s">
        <v>525</v>
      </c>
      <c r="H536" s="35">
        <v>252</v>
      </c>
    </row>
    <row r="537" spans="1:8" ht="15.75" x14ac:dyDescent="0.25">
      <c r="A537" t="str">
        <f t="shared" si="8"/>
        <v>H175086P204L5TQ-M</v>
      </c>
      <c r="B537" s="35" t="s">
        <v>981</v>
      </c>
      <c r="C537" s="35" t="s">
        <v>1414</v>
      </c>
      <c r="D537" s="35" t="s">
        <v>404</v>
      </c>
      <c r="E537" s="35" t="s">
        <v>2337</v>
      </c>
      <c r="F537" s="35" t="s">
        <v>402</v>
      </c>
      <c r="G537" s="35" t="s">
        <v>2289</v>
      </c>
      <c r="H537" s="35">
        <v>738</v>
      </c>
    </row>
    <row r="538" spans="1:8" ht="15.75" x14ac:dyDescent="0.25">
      <c r="A538" t="str">
        <f t="shared" si="8"/>
        <v>H180066P204L5TQ-W</v>
      </c>
      <c r="B538" s="35" t="s">
        <v>981</v>
      </c>
      <c r="C538" s="35" t="s">
        <v>1415</v>
      </c>
      <c r="D538" s="35" t="s">
        <v>404</v>
      </c>
      <c r="E538" s="35" t="s">
        <v>2338</v>
      </c>
      <c r="F538" s="35" t="s">
        <v>2302</v>
      </c>
      <c r="G538" s="35" t="s">
        <v>2303</v>
      </c>
      <c r="H538" s="35">
        <v>1764</v>
      </c>
    </row>
    <row r="539" spans="1:8" ht="15.75" x14ac:dyDescent="0.25">
      <c r="A539" t="str">
        <f t="shared" si="8"/>
        <v>H175069P204L5ZJ-M</v>
      </c>
      <c r="B539" s="35" t="s">
        <v>987</v>
      </c>
      <c r="C539" s="35" t="s">
        <v>1416</v>
      </c>
      <c r="D539" s="35" t="s">
        <v>404</v>
      </c>
      <c r="E539" s="35" t="s">
        <v>2337</v>
      </c>
      <c r="F539" s="35" t="s">
        <v>402</v>
      </c>
      <c r="G539" s="35" t="s">
        <v>2289</v>
      </c>
      <c r="H539" s="35">
        <v>774</v>
      </c>
    </row>
    <row r="540" spans="1:8" ht="15.75" x14ac:dyDescent="0.25">
      <c r="A540" t="str">
        <f t="shared" si="8"/>
        <v>H175078P204L7RF-M</v>
      </c>
      <c r="B540" s="35" t="s">
        <v>980</v>
      </c>
      <c r="C540" s="35" t="s">
        <v>1417</v>
      </c>
      <c r="D540" s="35" t="s">
        <v>404</v>
      </c>
      <c r="E540" s="35" t="s">
        <v>2337</v>
      </c>
      <c r="F540" s="35" t="s">
        <v>402</v>
      </c>
      <c r="G540" s="35" t="s">
        <v>2289</v>
      </c>
      <c r="H540" s="35">
        <v>1164</v>
      </c>
    </row>
    <row r="541" spans="1:8" ht="15.75" x14ac:dyDescent="0.25">
      <c r="A541" t="str">
        <f t="shared" si="8"/>
        <v>H175082P204L8K2-M</v>
      </c>
      <c r="B541" s="35" t="s">
        <v>967</v>
      </c>
      <c r="C541" s="35" t="s">
        <v>1418</v>
      </c>
      <c r="D541" s="35" t="s">
        <v>404</v>
      </c>
      <c r="E541" s="35" t="s">
        <v>2337</v>
      </c>
      <c r="F541" s="35" t="s">
        <v>402</v>
      </c>
      <c r="G541" s="35" t="s">
        <v>2289</v>
      </c>
      <c r="H541" s="35">
        <v>1818</v>
      </c>
    </row>
    <row r="542" spans="1:8" ht="15.75" x14ac:dyDescent="0.25">
      <c r="A542" t="str">
        <f t="shared" si="8"/>
        <v>H174839P204L9OY-M</v>
      </c>
      <c r="B542" s="35" t="s">
        <v>969</v>
      </c>
      <c r="C542" s="35" t="s">
        <v>1419</v>
      </c>
      <c r="D542" s="35" t="s">
        <v>404</v>
      </c>
      <c r="E542" s="35" t="s">
        <v>2337</v>
      </c>
      <c r="F542" s="35" t="s">
        <v>418</v>
      </c>
      <c r="G542" s="35" t="s">
        <v>419</v>
      </c>
      <c r="H542" s="35">
        <v>150</v>
      </c>
    </row>
    <row r="543" spans="1:8" ht="15.75" x14ac:dyDescent="0.25">
      <c r="A543" t="str">
        <f t="shared" si="8"/>
        <v>H181780G204L1MN-M</v>
      </c>
      <c r="B543" s="35" t="s">
        <v>968</v>
      </c>
      <c r="C543" s="35" t="s">
        <v>1420</v>
      </c>
      <c r="D543" s="35" t="s">
        <v>404</v>
      </c>
      <c r="E543" s="35" t="s">
        <v>2337</v>
      </c>
      <c r="F543" s="35" t="s">
        <v>501</v>
      </c>
      <c r="G543" s="35" t="s">
        <v>502</v>
      </c>
      <c r="H543" s="35">
        <v>312</v>
      </c>
    </row>
    <row r="544" spans="1:8" ht="15.75" x14ac:dyDescent="0.25">
      <c r="A544" t="str">
        <f t="shared" si="8"/>
        <v>H181782G204L1MN-M</v>
      </c>
      <c r="B544" s="35" t="s">
        <v>968</v>
      </c>
      <c r="C544" s="35" t="s">
        <v>1421</v>
      </c>
      <c r="D544" s="35" t="s">
        <v>404</v>
      </c>
      <c r="E544" s="35" t="s">
        <v>2337</v>
      </c>
      <c r="F544" s="35" t="s">
        <v>524</v>
      </c>
      <c r="G544" s="35" t="s">
        <v>525</v>
      </c>
      <c r="H544" s="35">
        <v>504</v>
      </c>
    </row>
    <row r="545" spans="1:8" ht="15.75" x14ac:dyDescent="0.25">
      <c r="A545" t="str">
        <f t="shared" si="8"/>
        <v>H171278G204L2PR-M</v>
      </c>
      <c r="B545" s="35" t="s">
        <v>988</v>
      </c>
      <c r="C545" s="35" t="s">
        <v>1422</v>
      </c>
      <c r="D545" s="35" t="s">
        <v>404</v>
      </c>
      <c r="E545" s="35" t="s">
        <v>2337</v>
      </c>
      <c r="F545" s="35" t="s">
        <v>402</v>
      </c>
      <c r="G545" s="35" t="s">
        <v>2289</v>
      </c>
      <c r="H545" s="35">
        <v>1020</v>
      </c>
    </row>
    <row r="546" spans="1:8" ht="15.75" x14ac:dyDescent="0.25">
      <c r="A546" t="str">
        <f t="shared" si="8"/>
        <v>H189074G204L4MD-M</v>
      </c>
      <c r="B546" s="35" t="s">
        <v>977</v>
      </c>
      <c r="C546" s="35" t="s">
        <v>1423</v>
      </c>
      <c r="D546" s="35" t="s">
        <v>404</v>
      </c>
      <c r="E546" s="35" t="s">
        <v>2337</v>
      </c>
      <c r="F546" s="35" t="s">
        <v>2294</v>
      </c>
      <c r="G546" s="35" t="s">
        <v>2295</v>
      </c>
      <c r="H546" s="35">
        <v>144</v>
      </c>
    </row>
    <row r="547" spans="1:8" ht="15.75" x14ac:dyDescent="0.25">
      <c r="A547" t="str">
        <f t="shared" si="8"/>
        <v>H181779G204L9EA-M</v>
      </c>
      <c r="B547" s="35" t="s">
        <v>970</v>
      </c>
      <c r="C547" s="35" t="s">
        <v>1424</v>
      </c>
      <c r="D547" s="35" t="s">
        <v>404</v>
      </c>
      <c r="E547" s="35" t="s">
        <v>2337</v>
      </c>
      <c r="F547" s="35" t="s">
        <v>501</v>
      </c>
      <c r="G547" s="35" t="s">
        <v>502</v>
      </c>
      <c r="H547" s="35">
        <v>342</v>
      </c>
    </row>
    <row r="548" spans="1:8" ht="15.75" x14ac:dyDescent="0.25">
      <c r="A548" t="str">
        <f t="shared" si="8"/>
        <v>H181783G204L9EA-M</v>
      </c>
      <c r="B548" s="35" t="s">
        <v>970</v>
      </c>
      <c r="C548" s="35" t="s">
        <v>1425</v>
      </c>
      <c r="D548" s="35" t="s">
        <v>404</v>
      </c>
      <c r="E548" s="35" t="s">
        <v>2337</v>
      </c>
      <c r="F548" s="35" t="s">
        <v>524</v>
      </c>
      <c r="G548" s="35" t="s">
        <v>525</v>
      </c>
      <c r="H548" s="35">
        <v>492</v>
      </c>
    </row>
    <row r="549" spans="1:8" ht="15.75" x14ac:dyDescent="0.25">
      <c r="A549" t="str">
        <f t="shared" si="8"/>
        <v>H181784P204L9VE-M</v>
      </c>
      <c r="B549" s="35" t="s">
        <v>975</v>
      </c>
      <c r="C549" s="35" t="s">
        <v>1426</v>
      </c>
      <c r="D549" s="35" t="s">
        <v>404</v>
      </c>
      <c r="E549" s="35" t="s">
        <v>2337</v>
      </c>
      <c r="F549" s="35" t="s">
        <v>501</v>
      </c>
      <c r="G549" s="35" t="s">
        <v>502</v>
      </c>
      <c r="H549" s="35">
        <v>162</v>
      </c>
    </row>
    <row r="550" spans="1:8" ht="15.75" x14ac:dyDescent="0.25">
      <c r="A550" t="str">
        <f t="shared" si="8"/>
        <v>H189851U204L28P-D</v>
      </c>
      <c r="B550" s="35" t="s">
        <v>985</v>
      </c>
      <c r="C550" s="35" t="s">
        <v>1427</v>
      </c>
      <c r="D550" s="35" t="s">
        <v>404</v>
      </c>
      <c r="E550" s="35" t="s">
        <v>2340</v>
      </c>
      <c r="F550" s="35" t="s">
        <v>414</v>
      </c>
      <c r="G550" s="35" t="s">
        <v>415</v>
      </c>
      <c r="H550" s="35">
        <v>270</v>
      </c>
    </row>
    <row r="551" spans="1:8" ht="15.75" x14ac:dyDescent="0.25">
      <c r="A551" t="str">
        <f t="shared" si="8"/>
        <v>H189853U204L3MJ-D</v>
      </c>
      <c r="B551" s="35" t="s">
        <v>984</v>
      </c>
      <c r="C551" s="35" t="s">
        <v>1428</v>
      </c>
      <c r="D551" s="35" t="s">
        <v>404</v>
      </c>
      <c r="E551" s="35" t="s">
        <v>2340</v>
      </c>
      <c r="F551" s="35" t="s">
        <v>414</v>
      </c>
      <c r="G551" s="35" t="s">
        <v>415</v>
      </c>
      <c r="H551" s="35">
        <v>270</v>
      </c>
    </row>
    <row r="552" spans="1:8" ht="15.75" x14ac:dyDescent="0.25">
      <c r="A552" t="str">
        <f t="shared" si="8"/>
        <v>H189908U204L3MJ-D</v>
      </c>
      <c r="B552" s="35" t="s">
        <v>984</v>
      </c>
      <c r="C552" s="35" t="s">
        <v>1429</v>
      </c>
      <c r="D552" s="35" t="s">
        <v>404</v>
      </c>
      <c r="E552" s="35" t="s">
        <v>2340</v>
      </c>
      <c r="F552" s="35" t="s">
        <v>405</v>
      </c>
      <c r="G552" s="35" t="s">
        <v>406</v>
      </c>
      <c r="H552" s="35">
        <v>630</v>
      </c>
    </row>
    <row r="553" spans="1:8" ht="15.75" x14ac:dyDescent="0.25">
      <c r="A553" t="str">
        <f t="shared" si="8"/>
        <v>H189858U204L9VX-D</v>
      </c>
      <c r="B553" s="35" t="s">
        <v>986</v>
      </c>
      <c r="C553" s="35" t="s">
        <v>1430</v>
      </c>
      <c r="D553" s="35" t="s">
        <v>404</v>
      </c>
      <c r="E553" s="35" t="s">
        <v>2340</v>
      </c>
      <c r="F553" s="35" t="s">
        <v>414</v>
      </c>
      <c r="G553" s="35" t="s">
        <v>415</v>
      </c>
      <c r="H553" s="35">
        <v>354</v>
      </c>
    </row>
    <row r="554" spans="1:8" ht="15.75" x14ac:dyDescent="0.25">
      <c r="A554" t="str">
        <f t="shared" si="8"/>
        <v>H156843U204L28P-D</v>
      </c>
      <c r="B554" s="35" t="s">
        <v>985</v>
      </c>
      <c r="C554" s="35" t="s">
        <v>536</v>
      </c>
      <c r="D554" s="35" t="s">
        <v>404</v>
      </c>
      <c r="E554" s="35" t="s">
        <v>2340</v>
      </c>
      <c r="F554" s="35" t="s">
        <v>434</v>
      </c>
      <c r="G554" s="35" t="s">
        <v>435</v>
      </c>
      <c r="H554" s="35">
        <v>1944</v>
      </c>
    </row>
    <row r="555" spans="1:8" ht="15.75" x14ac:dyDescent="0.25">
      <c r="A555" t="str">
        <f t="shared" si="8"/>
        <v>7874876PC9060ER-M</v>
      </c>
      <c r="B555" s="35" t="s">
        <v>989</v>
      </c>
      <c r="C555" s="35" t="s">
        <v>558</v>
      </c>
      <c r="D555" s="35" t="s">
        <v>394</v>
      </c>
      <c r="E555" s="35" t="s">
        <v>2337</v>
      </c>
      <c r="F555" s="35" t="s">
        <v>392</v>
      </c>
      <c r="G555" s="35" t="s">
        <v>393</v>
      </c>
      <c r="H555" s="35">
        <v>882</v>
      </c>
    </row>
    <row r="556" spans="1:8" ht="15.75" x14ac:dyDescent="0.25">
      <c r="A556" t="str">
        <f t="shared" si="8"/>
        <v>7876216P90603Q9-M</v>
      </c>
      <c r="B556" s="35" t="s">
        <v>990</v>
      </c>
      <c r="C556" s="35" t="s">
        <v>1431</v>
      </c>
      <c r="D556" s="35" t="s">
        <v>387</v>
      </c>
      <c r="E556" s="35" t="s">
        <v>2337</v>
      </c>
      <c r="F556" s="35" t="s">
        <v>388</v>
      </c>
      <c r="G556" s="35" t="s">
        <v>389</v>
      </c>
      <c r="H556" s="35">
        <v>438</v>
      </c>
    </row>
    <row r="557" spans="1:8" ht="15.75" x14ac:dyDescent="0.25">
      <c r="A557" t="str">
        <f t="shared" si="8"/>
        <v>U148146P90603Q9-M</v>
      </c>
      <c r="B557" s="35" t="s">
        <v>990</v>
      </c>
      <c r="C557" s="35" t="s">
        <v>705</v>
      </c>
      <c r="D557" s="35" t="s">
        <v>438</v>
      </c>
      <c r="E557" s="35" t="s">
        <v>2337</v>
      </c>
      <c r="F557" s="35" t="s">
        <v>436</v>
      </c>
      <c r="G557" s="35" t="s">
        <v>449</v>
      </c>
      <c r="H557" s="35">
        <v>2664</v>
      </c>
    </row>
    <row r="558" spans="1:8" ht="15.75" x14ac:dyDescent="0.25">
      <c r="A558" t="str">
        <f t="shared" si="8"/>
        <v>C135264P90602XV-M</v>
      </c>
      <c r="B558" s="35" t="s">
        <v>991</v>
      </c>
      <c r="C558" s="35" t="s">
        <v>1432</v>
      </c>
      <c r="D558" s="35" t="s">
        <v>401</v>
      </c>
      <c r="E558" s="35" t="s">
        <v>2337</v>
      </c>
      <c r="F558" s="35" t="s">
        <v>397</v>
      </c>
      <c r="G558" s="35" t="s">
        <v>400</v>
      </c>
      <c r="H558" s="35">
        <v>438</v>
      </c>
    </row>
    <row r="559" spans="1:8" ht="15.75" x14ac:dyDescent="0.25">
      <c r="A559" t="str">
        <f t="shared" si="8"/>
        <v>7876234P9060841-M</v>
      </c>
      <c r="B559" s="35" t="s">
        <v>992</v>
      </c>
      <c r="C559" s="35">
        <v>7876234</v>
      </c>
      <c r="D559" s="35" t="s">
        <v>387</v>
      </c>
      <c r="E559" s="35" t="s">
        <v>2337</v>
      </c>
      <c r="F559" s="35" t="s">
        <v>388</v>
      </c>
      <c r="G559" s="35" t="s">
        <v>389</v>
      </c>
      <c r="H559" s="35">
        <v>3048</v>
      </c>
    </row>
    <row r="560" spans="1:8" ht="15.75" x14ac:dyDescent="0.25">
      <c r="A560" t="str">
        <f t="shared" si="8"/>
        <v>U148140P90602XV-M</v>
      </c>
      <c r="B560" s="35" t="s">
        <v>991</v>
      </c>
      <c r="C560" s="35" t="s">
        <v>1433</v>
      </c>
      <c r="D560" s="35" t="s">
        <v>438</v>
      </c>
      <c r="E560" s="35" t="s">
        <v>2337</v>
      </c>
      <c r="F560" s="35" t="s">
        <v>436</v>
      </c>
      <c r="G560" s="35" t="s">
        <v>2304</v>
      </c>
      <c r="H560" s="35">
        <v>4608</v>
      </c>
    </row>
    <row r="561" spans="1:8" ht="15.75" x14ac:dyDescent="0.25">
      <c r="A561" t="str">
        <f t="shared" si="8"/>
        <v>7876533P9060841-M</v>
      </c>
      <c r="B561" s="35" t="s">
        <v>992</v>
      </c>
      <c r="C561" s="35" t="s">
        <v>1434</v>
      </c>
      <c r="D561" s="35" t="s">
        <v>387</v>
      </c>
      <c r="E561" s="35" t="s">
        <v>2337</v>
      </c>
      <c r="F561" s="35" t="s">
        <v>385</v>
      </c>
      <c r="G561" s="35" t="s">
        <v>386</v>
      </c>
      <c r="H561" s="35">
        <v>432</v>
      </c>
    </row>
    <row r="562" spans="1:8" ht="15.75" x14ac:dyDescent="0.25">
      <c r="A562" t="str">
        <f t="shared" si="8"/>
        <v>7880872P90608S3-M</v>
      </c>
      <c r="B562" s="35" t="s">
        <v>993</v>
      </c>
      <c r="C562" s="35" t="s">
        <v>1435</v>
      </c>
      <c r="D562" s="35" t="s">
        <v>387</v>
      </c>
      <c r="E562" s="35" t="s">
        <v>2337</v>
      </c>
      <c r="F562" s="35" t="s">
        <v>388</v>
      </c>
      <c r="G562" s="35" t="s">
        <v>389</v>
      </c>
      <c r="H562" s="35">
        <v>774</v>
      </c>
    </row>
    <row r="563" spans="1:8" ht="15.75" x14ac:dyDescent="0.25">
      <c r="A563" t="str">
        <f t="shared" si="8"/>
        <v>U153548P90608S3-M</v>
      </c>
      <c r="B563" s="35" t="s">
        <v>993</v>
      </c>
      <c r="C563" s="35" t="s">
        <v>1436</v>
      </c>
      <c r="D563" s="35" t="s">
        <v>438</v>
      </c>
      <c r="E563" s="35" t="s">
        <v>2337</v>
      </c>
      <c r="F563" s="35" t="s">
        <v>436</v>
      </c>
      <c r="G563" s="35" t="s">
        <v>448</v>
      </c>
      <c r="H563" s="35">
        <v>1200</v>
      </c>
    </row>
    <row r="564" spans="1:8" ht="15.75" x14ac:dyDescent="0.25">
      <c r="A564" t="str">
        <f t="shared" si="8"/>
        <v>7884690PC9060ER-M</v>
      </c>
      <c r="B564" s="35" t="s">
        <v>989</v>
      </c>
      <c r="C564" s="35" t="s">
        <v>1437</v>
      </c>
      <c r="D564" s="35" t="s">
        <v>395</v>
      </c>
      <c r="E564" s="35" t="s">
        <v>2337</v>
      </c>
      <c r="F564" s="35" t="s">
        <v>382</v>
      </c>
      <c r="G564" s="35" t="s">
        <v>383</v>
      </c>
      <c r="H564" s="35">
        <v>516</v>
      </c>
    </row>
    <row r="565" spans="1:8" ht="15.75" x14ac:dyDescent="0.25">
      <c r="A565" t="str">
        <f t="shared" si="8"/>
        <v>7875419P906053S-M</v>
      </c>
      <c r="B565" s="35" t="s">
        <v>994</v>
      </c>
      <c r="C565" s="35" t="s">
        <v>1438</v>
      </c>
      <c r="D565" s="35" t="s">
        <v>387</v>
      </c>
      <c r="E565" s="35" t="s">
        <v>2337</v>
      </c>
      <c r="F565" s="35" t="s">
        <v>385</v>
      </c>
      <c r="G565" s="35" t="s">
        <v>386</v>
      </c>
      <c r="H565" s="35">
        <v>516</v>
      </c>
    </row>
    <row r="566" spans="1:8" ht="15.75" x14ac:dyDescent="0.25">
      <c r="A566" t="str">
        <f t="shared" si="8"/>
        <v>H178074P90602XV-M</v>
      </c>
      <c r="B566" s="35" t="s">
        <v>991</v>
      </c>
      <c r="C566" s="35" t="s">
        <v>1439</v>
      </c>
      <c r="D566" s="35" t="s">
        <v>404</v>
      </c>
      <c r="E566" s="35" t="s">
        <v>2337</v>
      </c>
      <c r="F566" s="35" t="s">
        <v>2305</v>
      </c>
      <c r="G566" s="35" t="s">
        <v>2306</v>
      </c>
      <c r="H566" s="35">
        <v>144</v>
      </c>
    </row>
    <row r="567" spans="1:8" ht="15.75" x14ac:dyDescent="0.25">
      <c r="A567" t="str">
        <f t="shared" si="8"/>
        <v>7881798PC9060LL-M</v>
      </c>
      <c r="B567" s="35" t="s">
        <v>995</v>
      </c>
      <c r="C567" s="35" t="s">
        <v>1440</v>
      </c>
      <c r="D567" s="35" t="s">
        <v>390</v>
      </c>
      <c r="E567" s="35" t="s">
        <v>2337</v>
      </c>
      <c r="F567" s="35" t="s">
        <v>382</v>
      </c>
      <c r="G567" s="35" t="s">
        <v>383</v>
      </c>
      <c r="H567" s="35">
        <v>210</v>
      </c>
    </row>
    <row r="568" spans="1:8" ht="15.75" x14ac:dyDescent="0.25">
      <c r="A568" t="str">
        <f t="shared" si="8"/>
        <v>U153192PC9060LL-M</v>
      </c>
      <c r="B568" s="35" t="s">
        <v>995</v>
      </c>
      <c r="C568" s="35" t="s">
        <v>1441</v>
      </c>
      <c r="D568" s="35" t="s">
        <v>438</v>
      </c>
      <c r="E568" s="35" t="s">
        <v>2337</v>
      </c>
      <c r="F568" s="35" t="s">
        <v>436</v>
      </c>
      <c r="G568" s="35" t="s">
        <v>448</v>
      </c>
      <c r="H568" s="35">
        <v>1278</v>
      </c>
    </row>
    <row r="569" spans="1:8" ht="15.75" x14ac:dyDescent="0.25">
      <c r="A569" t="str">
        <f t="shared" si="8"/>
        <v>U153193PC9060LL-M</v>
      </c>
      <c r="B569" s="35" t="s">
        <v>995</v>
      </c>
      <c r="C569" s="35" t="s">
        <v>1442</v>
      </c>
      <c r="D569" s="35" t="s">
        <v>438</v>
      </c>
      <c r="E569" s="35" t="s">
        <v>2337</v>
      </c>
      <c r="F569" s="35" t="s">
        <v>436</v>
      </c>
      <c r="G569" s="35" t="s">
        <v>448</v>
      </c>
      <c r="H569" s="35">
        <v>924</v>
      </c>
    </row>
    <row r="570" spans="1:8" ht="15.75" x14ac:dyDescent="0.25">
      <c r="A570" t="str">
        <f t="shared" si="8"/>
        <v>H189875PC9060LL-M</v>
      </c>
      <c r="B570" s="35" t="s">
        <v>995</v>
      </c>
      <c r="C570" s="35" t="s">
        <v>1443</v>
      </c>
      <c r="D570" s="35" t="s">
        <v>404</v>
      </c>
      <c r="E570" s="35" t="s">
        <v>2337</v>
      </c>
      <c r="F570" s="35" t="s">
        <v>524</v>
      </c>
      <c r="G570" s="35" t="s">
        <v>525</v>
      </c>
      <c r="H570" s="35">
        <v>144</v>
      </c>
    </row>
    <row r="571" spans="1:8" ht="15.75" x14ac:dyDescent="0.25">
      <c r="A571" t="str">
        <f t="shared" si="8"/>
        <v>7881626P90605V8-M</v>
      </c>
      <c r="B571" s="35" t="s">
        <v>996</v>
      </c>
      <c r="C571" s="35" t="s">
        <v>1444</v>
      </c>
      <c r="D571" s="35" t="s">
        <v>391</v>
      </c>
      <c r="E571" s="35" t="s">
        <v>2337</v>
      </c>
      <c r="F571" s="35" t="s">
        <v>379</v>
      </c>
      <c r="G571" s="35" t="s">
        <v>380</v>
      </c>
      <c r="H571" s="35">
        <v>150</v>
      </c>
    </row>
    <row r="572" spans="1:8" ht="15.75" x14ac:dyDescent="0.25">
      <c r="A572" t="str">
        <f t="shared" si="8"/>
        <v>7881647P90605V8-M</v>
      </c>
      <c r="B572" s="35" t="s">
        <v>996</v>
      </c>
      <c r="C572" s="35" t="s">
        <v>1445</v>
      </c>
      <c r="D572" s="35" t="s">
        <v>390</v>
      </c>
      <c r="E572" s="35" t="s">
        <v>2337</v>
      </c>
      <c r="F572" s="35" t="s">
        <v>382</v>
      </c>
      <c r="G572" s="35" t="s">
        <v>383</v>
      </c>
      <c r="H572" s="35">
        <v>264</v>
      </c>
    </row>
    <row r="573" spans="1:8" ht="15.75" x14ac:dyDescent="0.25">
      <c r="A573" t="str">
        <f t="shared" si="8"/>
        <v>7880854P90605V8-M</v>
      </c>
      <c r="B573" s="35" t="s">
        <v>996</v>
      </c>
      <c r="C573" s="35" t="s">
        <v>1446</v>
      </c>
      <c r="D573" s="35" t="s">
        <v>387</v>
      </c>
      <c r="E573" s="35" t="s">
        <v>2337</v>
      </c>
      <c r="F573" s="35" t="s">
        <v>388</v>
      </c>
      <c r="G573" s="35" t="s">
        <v>389</v>
      </c>
      <c r="H573" s="35">
        <v>432</v>
      </c>
    </row>
    <row r="574" spans="1:8" ht="15.75" x14ac:dyDescent="0.25">
      <c r="A574" t="str">
        <f t="shared" si="8"/>
        <v>U152870P90604TZ-M</v>
      </c>
      <c r="B574" s="35" t="s">
        <v>997</v>
      </c>
      <c r="C574" s="35" t="s">
        <v>1447</v>
      </c>
      <c r="D574" s="35" t="s">
        <v>438</v>
      </c>
      <c r="E574" s="35" t="s">
        <v>2337</v>
      </c>
      <c r="F574" s="35" t="s">
        <v>436</v>
      </c>
      <c r="G574" s="35" t="s">
        <v>449</v>
      </c>
      <c r="H574" s="35">
        <v>720</v>
      </c>
    </row>
    <row r="575" spans="1:8" ht="15.75" x14ac:dyDescent="0.25">
      <c r="A575" t="str">
        <f t="shared" si="8"/>
        <v>U152871P90604TZ-M</v>
      </c>
      <c r="B575" s="35" t="s">
        <v>997</v>
      </c>
      <c r="C575" s="35" t="s">
        <v>1448</v>
      </c>
      <c r="D575" s="35" t="s">
        <v>438</v>
      </c>
      <c r="E575" s="35" t="s">
        <v>2337</v>
      </c>
      <c r="F575" s="35" t="s">
        <v>436</v>
      </c>
      <c r="G575" s="35" t="s">
        <v>449</v>
      </c>
      <c r="H575" s="35">
        <v>1080</v>
      </c>
    </row>
    <row r="576" spans="1:8" ht="15.75" x14ac:dyDescent="0.25">
      <c r="A576" t="str">
        <f t="shared" si="8"/>
        <v>7881651P90604TZ-M</v>
      </c>
      <c r="B576" s="35" t="s">
        <v>997</v>
      </c>
      <c r="C576" s="35" t="s">
        <v>1449</v>
      </c>
      <c r="D576" s="35" t="s">
        <v>390</v>
      </c>
      <c r="E576" s="35" t="s">
        <v>2337</v>
      </c>
      <c r="F576" s="35" t="s">
        <v>382</v>
      </c>
      <c r="G576" s="35" t="s">
        <v>383</v>
      </c>
      <c r="H576" s="35">
        <v>264</v>
      </c>
    </row>
    <row r="577" spans="1:8" ht="15.75" x14ac:dyDescent="0.25">
      <c r="A577" t="str">
        <f t="shared" si="8"/>
        <v>U158352P90604TZ-M</v>
      </c>
      <c r="B577" s="35" t="s">
        <v>997</v>
      </c>
      <c r="C577" s="35" t="s">
        <v>1450</v>
      </c>
      <c r="D577" s="35" t="s">
        <v>438</v>
      </c>
      <c r="E577" s="35" t="s">
        <v>2337</v>
      </c>
      <c r="F577" s="35" t="s">
        <v>436</v>
      </c>
      <c r="G577" s="35" t="s">
        <v>2288</v>
      </c>
      <c r="H577" s="35">
        <v>1176</v>
      </c>
    </row>
    <row r="578" spans="1:8" ht="15.75" x14ac:dyDescent="0.25">
      <c r="A578" t="str">
        <f t="shared" si="8"/>
        <v>U158354P90604TZ-M</v>
      </c>
      <c r="B578" s="35" t="s">
        <v>997</v>
      </c>
      <c r="C578" s="35" t="s">
        <v>1451</v>
      </c>
      <c r="D578" s="35" t="s">
        <v>438</v>
      </c>
      <c r="E578" s="35" t="s">
        <v>2337</v>
      </c>
      <c r="F578" s="35" t="s">
        <v>436</v>
      </c>
      <c r="G578" s="35" t="s">
        <v>2288</v>
      </c>
      <c r="H578" s="35">
        <v>1737</v>
      </c>
    </row>
    <row r="579" spans="1:8" ht="15.75" x14ac:dyDescent="0.25">
      <c r="A579" t="str">
        <f t="shared" si="8"/>
        <v>U158384P90604TZ-M</v>
      </c>
      <c r="B579" s="35" t="s">
        <v>997</v>
      </c>
      <c r="C579" s="35" t="s">
        <v>1452</v>
      </c>
      <c r="D579" s="35" t="s">
        <v>444</v>
      </c>
      <c r="E579" s="35" t="s">
        <v>2337</v>
      </c>
      <c r="F579" s="35" t="s">
        <v>436</v>
      </c>
      <c r="G579" s="35" t="s">
        <v>443</v>
      </c>
      <c r="H579" s="35">
        <v>186</v>
      </c>
    </row>
    <row r="580" spans="1:8" ht="15.75" x14ac:dyDescent="0.25">
      <c r="A580" t="str">
        <f t="shared" si="8"/>
        <v>7883122PC9060ER-M</v>
      </c>
      <c r="B580" s="35" t="s">
        <v>989</v>
      </c>
      <c r="C580" s="35" t="s">
        <v>1453</v>
      </c>
      <c r="D580" s="35" t="s">
        <v>394</v>
      </c>
      <c r="E580" s="35" t="s">
        <v>2337</v>
      </c>
      <c r="F580" s="35" t="s">
        <v>392</v>
      </c>
      <c r="G580" s="35" t="s">
        <v>393</v>
      </c>
      <c r="H580" s="35">
        <v>468</v>
      </c>
    </row>
    <row r="581" spans="1:8" ht="15.75" x14ac:dyDescent="0.25">
      <c r="A581" t="str">
        <f t="shared" si="8"/>
        <v>7883128PC9060ER-M</v>
      </c>
      <c r="B581" s="35" t="s">
        <v>989</v>
      </c>
      <c r="C581" s="35" t="s">
        <v>1454</v>
      </c>
      <c r="D581" s="35" t="s">
        <v>394</v>
      </c>
      <c r="E581" s="35" t="s">
        <v>2337</v>
      </c>
      <c r="F581" s="35" t="s">
        <v>392</v>
      </c>
      <c r="G581" s="35" t="s">
        <v>393</v>
      </c>
      <c r="H581" s="35">
        <v>588</v>
      </c>
    </row>
    <row r="582" spans="1:8" ht="15.75" x14ac:dyDescent="0.25">
      <c r="A582" t="str">
        <f t="shared" si="8"/>
        <v>H171697P60399V-M</v>
      </c>
      <c r="B582" s="35" t="s">
        <v>998</v>
      </c>
      <c r="C582" s="35" t="s">
        <v>515</v>
      </c>
      <c r="D582" s="35" t="s">
        <v>404</v>
      </c>
      <c r="E582" s="35" t="s">
        <v>2337</v>
      </c>
      <c r="F582" s="35" t="s">
        <v>430</v>
      </c>
      <c r="G582" s="35" t="s">
        <v>431</v>
      </c>
      <c r="H582" s="35">
        <v>300</v>
      </c>
    </row>
    <row r="583" spans="1:8" ht="15.75" x14ac:dyDescent="0.25">
      <c r="A583" t="str">
        <f t="shared" ref="A583:A646" si="9">+C583&amp;B583&amp;"-"&amp;E583</f>
        <v>H171700P60347T-M</v>
      </c>
      <c r="B583" s="35" t="s">
        <v>999</v>
      </c>
      <c r="C583" s="35" t="s">
        <v>520</v>
      </c>
      <c r="D583" s="35" t="s">
        <v>404</v>
      </c>
      <c r="E583" s="35" t="s">
        <v>2337</v>
      </c>
      <c r="F583" s="35" t="s">
        <v>430</v>
      </c>
      <c r="G583" s="35" t="s">
        <v>431</v>
      </c>
      <c r="H583" s="35">
        <v>474</v>
      </c>
    </row>
    <row r="584" spans="1:8" ht="15.75" x14ac:dyDescent="0.25">
      <c r="A584" t="str">
        <f t="shared" si="9"/>
        <v>H171647P60399V-M</v>
      </c>
      <c r="B584" s="35" t="s">
        <v>998</v>
      </c>
      <c r="C584" s="35" t="s">
        <v>1455</v>
      </c>
      <c r="D584" s="35" t="s">
        <v>404</v>
      </c>
      <c r="E584" s="35" t="s">
        <v>2337</v>
      </c>
      <c r="F584" s="35" t="s">
        <v>498</v>
      </c>
      <c r="G584" s="35" t="s">
        <v>499</v>
      </c>
      <c r="H584" s="35">
        <v>666</v>
      </c>
    </row>
    <row r="585" spans="1:8" ht="15.75" x14ac:dyDescent="0.25">
      <c r="A585" t="str">
        <f t="shared" si="9"/>
        <v>7876125P6031TJ-M</v>
      </c>
      <c r="B585" s="35" t="s">
        <v>1000</v>
      </c>
      <c r="C585" s="35" t="s">
        <v>1456</v>
      </c>
      <c r="D585" s="35" t="s">
        <v>387</v>
      </c>
      <c r="E585" s="35" t="s">
        <v>2337</v>
      </c>
      <c r="F585" s="35" t="s">
        <v>388</v>
      </c>
      <c r="G585" s="35" t="s">
        <v>389</v>
      </c>
      <c r="H585" s="35">
        <v>246</v>
      </c>
    </row>
    <row r="586" spans="1:8" ht="15.75" x14ac:dyDescent="0.25">
      <c r="A586" t="str">
        <f t="shared" si="9"/>
        <v>7879207P60347Q-M</v>
      </c>
      <c r="B586" s="35" t="s">
        <v>1001</v>
      </c>
      <c r="C586" s="35" t="s">
        <v>629</v>
      </c>
      <c r="D586" s="35" t="s">
        <v>395</v>
      </c>
      <c r="E586" s="35" t="s">
        <v>2337</v>
      </c>
      <c r="F586" s="35" t="s">
        <v>382</v>
      </c>
      <c r="G586" s="35" t="s">
        <v>383</v>
      </c>
      <c r="H586" s="35">
        <v>534</v>
      </c>
    </row>
    <row r="587" spans="1:8" ht="15.75" x14ac:dyDescent="0.25">
      <c r="A587" t="str">
        <f t="shared" si="9"/>
        <v>H180126P60347Q-M</v>
      </c>
      <c r="B587" s="35" t="s">
        <v>1001</v>
      </c>
      <c r="C587" s="35" t="s">
        <v>662</v>
      </c>
      <c r="D587" s="35" t="s">
        <v>404</v>
      </c>
      <c r="E587" s="35" t="s">
        <v>2337</v>
      </c>
      <c r="F587" s="35" t="s">
        <v>2307</v>
      </c>
      <c r="G587" s="35" t="s">
        <v>2308</v>
      </c>
      <c r="H587" s="35">
        <v>144</v>
      </c>
    </row>
    <row r="588" spans="1:8" ht="15.75" x14ac:dyDescent="0.25">
      <c r="A588" t="str">
        <f t="shared" si="9"/>
        <v>U146408P60394T-M</v>
      </c>
      <c r="B588" s="35" t="s">
        <v>1002</v>
      </c>
      <c r="C588" s="35" t="s">
        <v>639</v>
      </c>
      <c r="D588" s="35" t="s">
        <v>438</v>
      </c>
      <c r="E588" s="35" t="s">
        <v>2337</v>
      </c>
      <c r="F588" s="35" t="s">
        <v>436</v>
      </c>
      <c r="G588" s="35" t="s">
        <v>439</v>
      </c>
      <c r="H588" s="35">
        <v>756</v>
      </c>
    </row>
    <row r="589" spans="1:8" ht="15.75" x14ac:dyDescent="0.25">
      <c r="A589" t="str">
        <f t="shared" si="9"/>
        <v>U146427P60394T-M</v>
      </c>
      <c r="B589" s="35" t="s">
        <v>1002</v>
      </c>
      <c r="C589" s="35" t="s">
        <v>651</v>
      </c>
      <c r="D589" s="35" t="s">
        <v>438</v>
      </c>
      <c r="E589" s="35" t="s">
        <v>2337</v>
      </c>
      <c r="F589" s="35" t="s">
        <v>436</v>
      </c>
      <c r="G589" s="35" t="s">
        <v>440</v>
      </c>
      <c r="H589" s="35">
        <v>720</v>
      </c>
    </row>
    <row r="590" spans="1:8" ht="15.75" x14ac:dyDescent="0.25">
      <c r="A590" t="str">
        <f t="shared" si="9"/>
        <v>7879206P6031BQ-M</v>
      </c>
      <c r="B590" s="35" t="s">
        <v>1003</v>
      </c>
      <c r="C590" s="35" t="s">
        <v>668</v>
      </c>
      <c r="D590" s="35" t="s">
        <v>395</v>
      </c>
      <c r="E590" s="35" t="s">
        <v>2337</v>
      </c>
      <c r="F590" s="35" t="s">
        <v>382</v>
      </c>
      <c r="G590" s="35" t="s">
        <v>383</v>
      </c>
      <c r="H590" s="35">
        <v>540</v>
      </c>
    </row>
    <row r="591" spans="1:8" ht="15.75" x14ac:dyDescent="0.25">
      <c r="A591" t="str">
        <f t="shared" si="9"/>
        <v>H180127P60347T-M</v>
      </c>
      <c r="B591" s="35" t="s">
        <v>999</v>
      </c>
      <c r="C591" s="35" t="s">
        <v>680</v>
      </c>
      <c r="D591" s="35" t="s">
        <v>404</v>
      </c>
      <c r="E591" s="35" t="s">
        <v>2337</v>
      </c>
      <c r="F591" s="35" t="s">
        <v>2307</v>
      </c>
      <c r="G591" s="35" t="s">
        <v>2308</v>
      </c>
      <c r="H591" s="35">
        <v>264</v>
      </c>
    </row>
    <row r="592" spans="1:8" ht="15.75" x14ac:dyDescent="0.25">
      <c r="A592" t="str">
        <f t="shared" si="9"/>
        <v>U152804P60368L-M</v>
      </c>
      <c r="B592" s="35" t="s">
        <v>1004</v>
      </c>
      <c r="C592" s="35" t="s">
        <v>681</v>
      </c>
      <c r="D592" s="35" t="s">
        <v>444</v>
      </c>
      <c r="E592" s="35" t="s">
        <v>2337</v>
      </c>
      <c r="F592" s="35" t="s">
        <v>436</v>
      </c>
      <c r="G592" s="35" t="s">
        <v>443</v>
      </c>
      <c r="H592" s="35">
        <v>246</v>
      </c>
    </row>
    <row r="593" spans="1:8" ht="15.75" x14ac:dyDescent="0.25">
      <c r="A593" t="str">
        <f t="shared" si="9"/>
        <v>U152804P60368L-W</v>
      </c>
      <c r="B593" s="35" t="s">
        <v>1004</v>
      </c>
      <c r="C593" s="35" t="s">
        <v>681</v>
      </c>
      <c r="D593" s="35" t="s">
        <v>444</v>
      </c>
      <c r="E593" s="35" t="s">
        <v>2338</v>
      </c>
      <c r="F593" s="35" t="s">
        <v>436</v>
      </c>
      <c r="G593" s="35" t="s">
        <v>443</v>
      </c>
      <c r="H593" s="35">
        <v>132</v>
      </c>
    </row>
    <row r="594" spans="1:8" ht="15.75" x14ac:dyDescent="0.25">
      <c r="A594" t="str">
        <f t="shared" si="9"/>
        <v>U152787P60394T-M</v>
      </c>
      <c r="B594" s="35" t="s">
        <v>1002</v>
      </c>
      <c r="C594" s="35" t="s">
        <v>671</v>
      </c>
      <c r="D594" s="35" t="s">
        <v>444</v>
      </c>
      <c r="E594" s="35" t="s">
        <v>2337</v>
      </c>
      <c r="F594" s="35" t="s">
        <v>436</v>
      </c>
      <c r="G594" s="35" t="s">
        <v>443</v>
      </c>
      <c r="H594" s="35">
        <v>462</v>
      </c>
    </row>
    <row r="595" spans="1:8" ht="15.75" x14ac:dyDescent="0.25">
      <c r="A595" t="str">
        <f t="shared" si="9"/>
        <v>U152787P60394T-W</v>
      </c>
      <c r="B595" s="35" t="s">
        <v>1002</v>
      </c>
      <c r="C595" s="35" t="s">
        <v>671</v>
      </c>
      <c r="D595" s="35" t="s">
        <v>444</v>
      </c>
      <c r="E595" s="35" t="s">
        <v>2338</v>
      </c>
      <c r="F595" s="35" t="s">
        <v>436</v>
      </c>
      <c r="G595" s="35" t="s">
        <v>443</v>
      </c>
      <c r="H595" s="35">
        <v>150</v>
      </c>
    </row>
    <row r="596" spans="1:8" ht="15.75" x14ac:dyDescent="0.25">
      <c r="A596" t="str">
        <f t="shared" si="9"/>
        <v>H189080P60394T-W</v>
      </c>
      <c r="B596" s="35" t="s">
        <v>1002</v>
      </c>
      <c r="C596" s="35" t="s">
        <v>692</v>
      </c>
      <c r="D596" s="35" t="s">
        <v>404</v>
      </c>
      <c r="E596" s="35" t="s">
        <v>2338</v>
      </c>
      <c r="F596" s="35" t="s">
        <v>422</v>
      </c>
      <c r="G596" s="35" t="s">
        <v>423</v>
      </c>
      <c r="H596" s="35">
        <v>1998</v>
      </c>
    </row>
    <row r="597" spans="1:8" ht="15.75" x14ac:dyDescent="0.25">
      <c r="A597" t="str">
        <f t="shared" si="9"/>
        <v>H189085P60368L-W</v>
      </c>
      <c r="B597" s="35" t="s">
        <v>1004</v>
      </c>
      <c r="C597" s="35" t="s">
        <v>724</v>
      </c>
      <c r="D597" s="35" t="s">
        <v>404</v>
      </c>
      <c r="E597" s="35" t="s">
        <v>2338</v>
      </c>
      <c r="F597" s="35" t="s">
        <v>422</v>
      </c>
      <c r="G597" s="35" t="s">
        <v>423</v>
      </c>
      <c r="H597" s="35">
        <v>1500</v>
      </c>
    </row>
    <row r="598" spans="1:8" ht="15.75" x14ac:dyDescent="0.25">
      <c r="A598" t="str">
        <f t="shared" si="9"/>
        <v>U152758P60368L-M</v>
      </c>
      <c r="B598" s="35" t="s">
        <v>1004</v>
      </c>
      <c r="C598" s="35" t="s">
        <v>760</v>
      </c>
      <c r="D598" s="35" t="s">
        <v>438</v>
      </c>
      <c r="E598" s="35" t="s">
        <v>2337</v>
      </c>
      <c r="F598" s="35" t="s">
        <v>436</v>
      </c>
      <c r="G598" s="35" t="s">
        <v>442</v>
      </c>
      <c r="H598" s="35">
        <v>1200</v>
      </c>
    </row>
    <row r="599" spans="1:8" ht="15.75" x14ac:dyDescent="0.25">
      <c r="A599" t="str">
        <f t="shared" si="9"/>
        <v>U152752P60394T-M</v>
      </c>
      <c r="B599" s="35" t="s">
        <v>1002</v>
      </c>
      <c r="C599" s="35" t="s">
        <v>784</v>
      </c>
      <c r="D599" s="35" t="s">
        <v>438</v>
      </c>
      <c r="E599" s="35" t="s">
        <v>2337</v>
      </c>
      <c r="F599" s="35" t="s">
        <v>436</v>
      </c>
      <c r="G599" s="35" t="s">
        <v>442</v>
      </c>
      <c r="H599" s="35">
        <v>1200</v>
      </c>
    </row>
    <row r="600" spans="1:8" ht="15.75" x14ac:dyDescent="0.25">
      <c r="A600" t="str">
        <f t="shared" si="9"/>
        <v>7880752P60347T-M</v>
      </c>
      <c r="B600" s="35" t="s">
        <v>999</v>
      </c>
      <c r="C600" s="35" t="s">
        <v>830</v>
      </c>
      <c r="D600" s="35" t="s">
        <v>387</v>
      </c>
      <c r="E600" s="35" t="s">
        <v>2337</v>
      </c>
      <c r="F600" s="35" t="s">
        <v>388</v>
      </c>
      <c r="G600" s="35" t="s">
        <v>389</v>
      </c>
      <c r="H600" s="35">
        <v>876</v>
      </c>
    </row>
    <row r="601" spans="1:8" ht="15.75" x14ac:dyDescent="0.25">
      <c r="A601" t="str">
        <f t="shared" si="9"/>
        <v>7883772P60347T-M</v>
      </c>
      <c r="B601" s="35" t="s">
        <v>999</v>
      </c>
      <c r="C601" s="35" t="s">
        <v>867</v>
      </c>
      <c r="D601" s="35" t="s">
        <v>394</v>
      </c>
      <c r="E601" s="35" t="s">
        <v>2337</v>
      </c>
      <c r="F601" s="35" t="s">
        <v>382</v>
      </c>
      <c r="G601" s="35" t="s">
        <v>2309</v>
      </c>
      <c r="H601" s="35">
        <v>252</v>
      </c>
    </row>
    <row r="602" spans="1:8" ht="15.75" x14ac:dyDescent="0.25">
      <c r="A602" t="str">
        <f t="shared" si="9"/>
        <v>7884634P60347T-M</v>
      </c>
      <c r="B602" s="35" t="s">
        <v>999</v>
      </c>
      <c r="C602" s="35" t="s">
        <v>871</v>
      </c>
      <c r="D602" s="35" t="s">
        <v>395</v>
      </c>
      <c r="E602" s="35" t="s">
        <v>2337</v>
      </c>
      <c r="F602" s="35" t="s">
        <v>382</v>
      </c>
      <c r="G602" s="35" t="s">
        <v>383</v>
      </c>
      <c r="H602" s="35">
        <v>582</v>
      </c>
    </row>
    <row r="603" spans="1:8" ht="15.75" x14ac:dyDescent="0.25">
      <c r="A603" t="str">
        <f t="shared" si="9"/>
        <v>7884640P60394T-M</v>
      </c>
      <c r="B603" s="35" t="s">
        <v>1002</v>
      </c>
      <c r="C603" s="35" t="s">
        <v>868</v>
      </c>
      <c r="D603" s="35" t="s">
        <v>395</v>
      </c>
      <c r="E603" s="35" t="s">
        <v>2337</v>
      </c>
      <c r="F603" s="35" t="s">
        <v>382</v>
      </c>
      <c r="G603" s="35" t="s">
        <v>383</v>
      </c>
      <c r="H603" s="35">
        <v>414</v>
      </c>
    </row>
    <row r="604" spans="1:8" ht="15.75" x14ac:dyDescent="0.25">
      <c r="A604" t="str">
        <f t="shared" si="9"/>
        <v>H171644P60394T-M</v>
      </c>
      <c r="B604" s="35" t="s">
        <v>1002</v>
      </c>
      <c r="C604" s="35" t="s">
        <v>1457</v>
      </c>
      <c r="D604" s="35" t="s">
        <v>404</v>
      </c>
      <c r="E604" s="35" t="s">
        <v>2337</v>
      </c>
      <c r="F604" s="35" t="s">
        <v>501</v>
      </c>
      <c r="G604" s="35" t="s">
        <v>502</v>
      </c>
      <c r="H604" s="35">
        <v>324</v>
      </c>
    </row>
    <row r="605" spans="1:8" ht="15.75" x14ac:dyDescent="0.25">
      <c r="A605" t="str">
        <f t="shared" si="9"/>
        <v>H171673P60394T-M</v>
      </c>
      <c r="B605" s="35" t="s">
        <v>1002</v>
      </c>
      <c r="C605" s="35" t="s">
        <v>1458</v>
      </c>
      <c r="D605" s="35" t="s">
        <v>404</v>
      </c>
      <c r="E605" s="35" t="s">
        <v>2337</v>
      </c>
      <c r="F605" s="35" t="s">
        <v>418</v>
      </c>
      <c r="G605" s="35" t="s">
        <v>419</v>
      </c>
      <c r="H605" s="35">
        <v>174</v>
      </c>
    </row>
    <row r="606" spans="1:8" ht="15.75" x14ac:dyDescent="0.25">
      <c r="A606" t="str">
        <f t="shared" si="9"/>
        <v>U152857P60394T-M</v>
      </c>
      <c r="B606" s="35" t="s">
        <v>1002</v>
      </c>
      <c r="C606" s="35" t="s">
        <v>1459</v>
      </c>
      <c r="D606" s="35" t="s">
        <v>438</v>
      </c>
      <c r="E606" s="35" t="s">
        <v>2337</v>
      </c>
      <c r="F606" s="35" t="s">
        <v>436</v>
      </c>
      <c r="G606" s="35" t="s">
        <v>442</v>
      </c>
      <c r="H606" s="35">
        <v>1200</v>
      </c>
    </row>
    <row r="607" spans="1:8" ht="15.75" x14ac:dyDescent="0.25">
      <c r="A607" t="str">
        <f t="shared" si="9"/>
        <v>H180105P6031TJ-W</v>
      </c>
      <c r="B607" s="35" t="s">
        <v>1000</v>
      </c>
      <c r="C607" s="35" t="s">
        <v>1460</v>
      </c>
      <c r="D607" s="35" t="s">
        <v>404</v>
      </c>
      <c r="E607" s="35" t="s">
        <v>2338</v>
      </c>
      <c r="F607" s="35" t="s">
        <v>428</v>
      </c>
      <c r="G607" s="35" t="s">
        <v>429</v>
      </c>
      <c r="H607" s="35">
        <v>522</v>
      </c>
    </row>
    <row r="608" spans="1:8" ht="15.75" x14ac:dyDescent="0.25">
      <c r="A608" t="str">
        <f t="shared" si="9"/>
        <v>H180106P6031TJ-W</v>
      </c>
      <c r="B608" s="35" t="s">
        <v>1000</v>
      </c>
      <c r="C608" s="35" t="s">
        <v>1461</v>
      </c>
      <c r="D608" s="35" t="s">
        <v>404</v>
      </c>
      <c r="E608" s="35" t="s">
        <v>2338</v>
      </c>
      <c r="F608" s="35" t="s">
        <v>428</v>
      </c>
      <c r="G608" s="35" t="s">
        <v>429</v>
      </c>
      <c r="H608" s="35">
        <v>744</v>
      </c>
    </row>
    <row r="609" spans="1:8" ht="15.75" x14ac:dyDescent="0.25">
      <c r="A609" t="str">
        <f t="shared" si="9"/>
        <v>H180071P60347Q-W</v>
      </c>
      <c r="B609" s="35" t="s">
        <v>1001</v>
      </c>
      <c r="C609" s="35" t="s">
        <v>1462</v>
      </c>
      <c r="D609" s="35" t="s">
        <v>404</v>
      </c>
      <c r="E609" s="35" t="s">
        <v>2338</v>
      </c>
      <c r="F609" s="35" t="s">
        <v>2302</v>
      </c>
      <c r="G609" s="35" t="s">
        <v>2303</v>
      </c>
      <c r="H609" s="35">
        <v>1632</v>
      </c>
    </row>
    <row r="610" spans="1:8" ht="15.75" x14ac:dyDescent="0.25">
      <c r="A610" t="str">
        <f t="shared" si="9"/>
        <v>H180079P60347T-W</v>
      </c>
      <c r="B610" s="35" t="s">
        <v>999</v>
      </c>
      <c r="C610" s="35" t="s">
        <v>1463</v>
      </c>
      <c r="D610" s="35" t="s">
        <v>404</v>
      </c>
      <c r="E610" s="35" t="s">
        <v>2338</v>
      </c>
      <c r="F610" s="35" t="s">
        <v>2302</v>
      </c>
      <c r="G610" s="35" t="s">
        <v>2303</v>
      </c>
      <c r="H610" s="35">
        <v>1176</v>
      </c>
    </row>
    <row r="611" spans="1:8" ht="15.75" x14ac:dyDescent="0.25">
      <c r="A611" t="str">
        <f t="shared" si="9"/>
        <v>U157258P60347T-M</v>
      </c>
      <c r="B611" s="35" t="s">
        <v>999</v>
      </c>
      <c r="C611" s="35" t="s">
        <v>1464</v>
      </c>
      <c r="D611" s="35" t="s">
        <v>444</v>
      </c>
      <c r="E611" s="35" t="s">
        <v>2337</v>
      </c>
      <c r="F611" s="35" t="s">
        <v>436</v>
      </c>
      <c r="G611" s="35" t="s">
        <v>443</v>
      </c>
      <c r="H611" s="35">
        <v>438</v>
      </c>
    </row>
    <row r="612" spans="1:8" ht="15.75" x14ac:dyDescent="0.25">
      <c r="A612" t="str">
        <f t="shared" si="9"/>
        <v>U157258P60347T-W</v>
      </c>
      <c r="B612" s="35" t="s">
        <v>999</v>
      </c>
      <c r="C612" s="35" t="s">
        <v>1464</v>
      </c>
      <c r="D612" s="35" t="s">
        <v>444</v>
      </c>
      <c r="E612" s="35" t="s">
        <v>2338</v>
      </c>
      <c r="F612" s="35" t="s">
        <v>436</v>
      </c>
      <c r="G612" s="35" t="s">
        <v>443</v>
      </c>
      <c r="H612" s="35">
        <v>120</v>
      </c>
    </row>
    <row r="613" spans="1:8" ht="15.75" x14ac:dyDescent="0.25">
      <c r="A613" t="str">
        <f t="shared" si="9"/>
        <v>U157262P6031TJ-M</v>
      </c>
      <c r="B613" s="35" t="s">
        <v>1000</v>
      </c>
      <c r="C613" s="35" t="s">
        <v>1465</v>
      </c>
      <c r="D613" s="35" t="s">
        <v>444</v>
      </c>
      <c r="E613" s="35" t="s">
        <v>2337</v>
      </c>
      <c r="F613" s="35" t="s">
        <v>436</v>
      </c>
      <c r="G613" s="35" t="s">
        <v>443</v>
      </c>
      <c r="H613" s="35">
        <v>456</v>
      </c>
    </row>
    <row r="614" spans="1:8" ht="15.75" x14ac:dyDescent="0.25">
      <c r="A614" t="str">
        <f t="shared" si="9"/>
        <v>U157262P6031TJ-W</v>
      </c>
      <c r="B614" s="35" t="s">
        <v>1000</v>
      </c>
      <c r="C614" s="35" t="s">
        <v>1465</v>
      </c>
      <c r="D614" s="35" t="s">
        <v>444</v>
      </c>
      <c r="E614" s="35" t="s">
        <v>2338</v>
      </c>
      <c r="F614" s="35" t="s">
        <v>436</v>
      </c>
      <c r="G614" s="35" t="s">
        <v>443</v>
      </c>
      <c r="H614" s="35">
        <v>162</v>
      </c>
    </row>
    <row r="615" spans="1:8" ht="15.75" x14ac:dyDescent="0.25">
      <c r="A615" t="str">
        <f t="shared" si="9"/>
        <v>U157268P60368L-M</v>
      </c>
      <c r="B615" s="35" t="s">
        <v>1004</v>
      </c>
      <c r="C615" s="35" t="s">
        <v>1466</v>
      </c>
      <c r="D615" s="35" t="s">
        <v>444</v>
      </c>
      <c r="E615" s="35" t="s">
        <v>2337</v>
      </c>
      <c r="F615" s="35" t="s">
        <v>436</v>
      </c>
      <c r="G615" s="35" t="s">
        <v>443</v>
      </c>
      <c r="H615" s="35">
        <v>276</v>
      </c>
    </row>
    <row r="616" spans="1:8" ht="15.75" x14ac:dyDescent="0.25">
      <c r="A616" t="str">
        <f t="shared" si="9"/>
        <v>U157268P60368L-W</v>
      </c>
      <c r="B616" s="35" t="s">
        <v>1004</v>
      </c>
      <c r="C616" s="35" t="s">
        <v>1466</v>
      </c>
      <c r="D616" s="35" t="s">
        <v>444</v>
      </c>
      <c r="E616" s="35" t="s">
        <v>2338</v>
      </c>
      <c r="F616" s="35" t="s">
        <v>436</v>
      </c>
      <c r="G616" s="35" t="s">
        <v>443</v>
      </c>
      <c r="H616" s="35">
        <v>84</v>
      </c>
    </row>
    <row r="617" spans="1:8" ht="15.75" x14ac:dyDescent="0.25">
      <c r="A617" t="str">
        <f t="shared" si="9"/>
        <v>U157277P6036SS-M</v>
      </c>
      <c r="B617" s="35" t="s">
        <v>1005</v>
      </c>
      <c r="C617" s="35" t="s">
        <v>1467</v>
      </c>
      <c r="D617" s="35" t="s">
        <v>444</v>
      </c>
      <c r="E617" s="35" t="s">
        <v>2337</v>
      </c>
      <c r="F617" s="35" t="s">
        <v>436</v>
      </c>
      <c r="G617" s="35" t="s">
        <v>443</v>
      </c>
      <c r="H617" s="35">
        <v>186</v>
      </c>
    </row>
    <row r="618" spans="1:8" ht="15.75" x14ac:dyDescent="0.25">
      <c r="A618" t="str">
        <f t="shared" si="9"/>
        <v>U157277P6036SS-W</v>
      </c>
      <c r="B618" s="35" t="s">
        <v>1005</v>
      </c>
      <c r="C618" s="35" t="s">
        <v>1467</v>
      </c>
      <c r="D618" s="35" t="s">
        <v>444</v>
      </c>
      <c r="E618" s="35" t="s">
        <v>2338</v>
      </c>
      <c r="F618" s="35" t="s">
        <v>436</v>
      </c>
      <c r="G618" s="35" t="s">
        <v>443</v>
      </c>
      <c r="H618" s="35">
        <v>84</v>
      </c>
    </row>
    <row r="619" spans="1:8" ht="15.75" x14ac:dyDescent="0.25">
      <c r="A619" t="str">
        <f t="shared" si="9"/>
        <v>U157279P60394T-M</v>
      </c>
      <c r="B619" s="35" t="s">
        <v>1002</v>
      </c>
      <c r="C619" s="35" t="s">
        <v>1468</v>
      </c>
      <c r="D619" s="35" t="s">
        <v>444</v>
      </c>
      <c r="E619" s="35" t="s">
        <v>2337</v>
      </c>
      <c r="F619" s="35" t="s">
        <v>436</v>
      </c>
      <c r="G619" s="35" t="s">
        <v>443</v>
      </c>
      <c r="H619" s="35">
        <v>312</v>
      </c>
    </row>
    <row r="620" spans="1:8" ht="15.75" x14ac:dyDescent="0.25">
      <c r="A620" t="str">
        <f t="shared" si="9"/>
        <v>U157279P60394T-W</v>
      </c>
      <c r="B620" s="35" t="s">
        <v>1002</v>
      </c>
      <c r="C620" s="35" t="s">
        <v>1468</v>
      </c>
      <c r="D620" s="35" t="s">
        <v>444</v>
      </c>
      <c r="E620" s="35" t="s">
        <v>2338</v>
      </c>
      <c r="F620" s="35" t="s">
        <v>436</v>
      </c>
      <c r="G620" s="35" t="s">
        <v>443</v>
      </c>
      <c r="H620" s="35">
        <v>78</v>
      </c>
    </row>
    <row r="621" spans="1:8" ht="15.75" x14ac:dyDescent="0.25">
      <c r="A621" t="str">
        <f t="shared" si="9"/>
        <v>U157249P6031TJ-M</v>
      </c>
      <c r="B621" s="35" t="s">
        <v>1000</v>
      </c>
      <c r="C621" s="35" t="s">
        <v>1469</v>
      </c>
      <c r="D621" s="35" t="s">
        <v>438</v>
      </c>
      <c r="E621" s="35" t="s">
        <v>2337</v>
      </c>
      <c r="F621" s="35" t="s">
        <v>436</v>
      </c>
      <c r="G621" s="35" t="s">
        <v>2282</v>
      </c>
      <c r="H621" s="35">
        <v>900</v>
      </c>
    </row>
    <row r="622" spans="1:8" ht="15.75" x14ac:dyDescent="0.25">
      <c r="A622" t="str">
        <f t="shared" si="9"/>
        <v>H195230P6032Y0-M</v>
      </c>
      <c r="B622" s="35" t="s">
        <v>1006</v>
      </c>
      <c r="C622" s="35" t="s">
        <v>1470</v>
      </c>
      <c r="D622" s="35" t="s">
        <v>404</v>
      </c>
      <c r="E622" s="35" t="s">
        <v>2337</v>
      </c>
      <c r="F622" s="35" t="s">
        <v>434</v>
      </c>
      <c r="G622" s="35" t="s">
        <v>435</v>
      </c>
      <c r="H622" s="35">
        <v>504</v>
      </c>
    </row>
    <row r="623" spans="1:8" ht="15.75" x14ac:dyDescent="0.25">
      <c r="A623" t="str">
        <f t="shared" si="9"/>
        <v>H195227P6032Y0-W</v>
      </c>
      <c r="B623" s="35" t="s">
        <v>1006</v>
      </c>
      <c r="C623" s="35" t="s">
        <v>1471</v>
      </c>
      <c r="D623" s="35" t="s">
        <v>404</v>
      </c>
      <c r="E623" s="35" t="s">
        <v>2338</v>
      </c>
      <c r="F623" s="35" t="s">
        <v>422</v>
      </c>
      <c r="G623" s="35" t="s">
        <v>423</v>
      </c>
      <c r="H623" s="35">
        <v>1194</v>
      </c>
    </row>
    <row r="624" spans="1:8" ht="15.75" x14ac:dyDescent="0.25">
      <c r="A624" t="str">
        <f t="shared" si="9"/>
        <v>7889369P60394T-M</v>
      </c>
      <c r="B624" s="35" t="s">
        <v>1002</v>
      </c>
      <c r="C624" s="35" t="s">
        <v>1472</v>
      </c>
      <c r="D624" s="35" t="s">
        <v>395</v>
      </c>
      <c r="E624" s="35" t="s">
        <v>2337</v>
      </c>
      <c r="F624" s="35" t="s">
        <v>382</v>
      </c>
      <c r="G624" s="35" t="s">
        <v>383</v>
      </c>
      <c r="H624" s="35">
        <v>168</v>
      </c>
    </row>
    <row r="625" spans="1:8" ht="15.75" x14ac:dyDescent="0.25">
      <c r="A625" t="str">
        <f t="shared" si="9"/>
        <v>U157243P60394T-M</v>
      </c>
      <c r="B625" s="35" t="s">
        <v>1002</v>
      </c>
      <c r="C625" s="35" t="s">
        <v>1473</v>
      </c>
      <c r="D625" s="35" t="s">
        <v>438</v>
      </c>
      <c r="E625" s="35" t="s">
        <v>2337</v>
      </c>
      <c r="F625" s="35" t="s">
        <v>436</v>
      </c>
      <c r="G625" s="35" t="s">
        <v>452</v>
      </c>
      <c r="H625" s="35">
        <v>600</v>
      </c>
    </row>
    <row r="626" spans="1:8" ht="15.75" x14ac:dyDescent="0.25">
      <c r="A626" t="str">
        <f t="shared" si="9"/>
        <v>U157250P60394T-M</v>
      </c>
      <c r="B626" s="35" t="s">
        <v>1002</v>
      </c>
      <c r="C626" s="35" t="s">
        <v>1474</v>
      </c>
      <c r="D626" s="35" t="s">
        <v>438</v>
      </c>
      <c r="E626" s="35" t="s">
        <v>2337</v>
      </c>
      <c r="F626" s="35" t="s">
        <v>436</v>
      </c>
      <c r="G626" s="35" t="s">
        <v>2282</v>
      </c>
      <c r="H626" s="35">
        <v>504</v>
      </c>
    </row>
    <row r="627" spans="1:8" ht="15.75" x14ac:dyDescent="0.25">
      <c r="A627" t="str">
        <f t="shared" si="9"/>
        <v>U157326P60394T-M</v>
      </c>
      <c r="B627" s="35" t="s">
        <v>1002</v>
      </c>
      <c r="C627" s="35" t="s">
        <v>1475</v>
      </c>
      <c r="D627" s="35" t="s">
        <v>438</v>
      </c>
      <c r="E627" s="35" t="s">
        <v>2337</v>
      </c>
      <c r="F627" s="35" t="s">
        <v>436</v>
      </c>
      <c r="G627" s="35" t="s">
        <v>458</v>
      </c>
      <c r="H627" s="35">
        <v>1200</v>
      </c>
    </row>
    <row r="628" spans="1:8" ht="15.75" x14ac:dyDescent="0.25">
      <c r="A628" t="str">
        <f t="shared" si="9"/>
        <v>U157343P60394T-M</v>
      </c>
      <c r="B628" s="35" t="s">
        <v>1002</v>
      </c>
      <c r="C628" s="35" t="s">
        <v>1476</v>
      </c>
      <c r="D628" s="35" t="s">
        <v>438</v>
      </c>
      <c r="E628" s="35" t="s">
        <v>2337</v>
      </c>
      <c r="F628" s="35" t="s">
        <v>436</v>
      </c>
      <c r="G628" s="35" t="s">
        <v>446</v>
      </c>
      <c r="H628" s="35">
        <v>606</v>
      </c>
    </row>
    <row r="629" spans="1:8" ht="15.75" x14ac:dyDescent="0.25">
      <c r="A629" t="str">
        <f t="shared" si="9"/>
        <v>U157261P6036SS-M</v>
      </c>
      <c r="B629" s="35" t="s">
        <v>1005</v>
      </c>
      <c r="C629" s="35" t="s">
        <v>1477</v>
      </c>
      <c r="D629" s="35" t="s">
        <v>438</v>
      </c>
      <c r="E629" s="35" t="s">
        <v>2337</v>
      </c>
      <c r="F629" s="35" t="s">
        <v>436</v>
      </c>
      <c r="G629" s="35" t="s">
        <v>2282</v>
      </c>
      <c r="H629" s="35">
        <v>1800</v>
      </c>
    </row>
    <row r="630" spans="1:8" ht="15.75" x14ac:dyDescent="0.25">
      <c r="A630" t="str">
        <f t="shared" si="9"/>
        <v>7889379P60347T-M</v>
      </c>
      <c r="B630" s="35" t="s">
        <v>999</v>
      </c>
      <c r="C630" s="35" t="s">
        <v>1478</v>
      </c>
      <c r="D630" s="35" t="s">
        <v>395</v>
      </c>
      <c r="E630" s="35" t="s">
        <v>2337</v>
      </c>
      <c r="F630" s="35" t="s">
        <v>382</v>
      </c>
      <c r="G630" s="35" t="s">
        <v>383</v>
      </c>
      <c r="H630" s="35">
        <v>162</v>
      </c>
    </row>
    <row r="631" spans="1:8" ht="15.75" x14ac:dyDescent="0.25">
      <c r="A631" t="str">
        <f t="shared" si="9"/>
        <v>H195229P60347T-W</v>
      </c>
      <c r="B631" s="35" t="s">
        <v>999</v>
      </c>
      <c r="C631" s="35" t="s">
        <v>1479</v>
      </c>
      <c r="D631" s="35" t="s">
        <v>404</v>
      </c>
      <c r="E631" s="35" t="s">
        <v>2338</v>
      </c>
      <c r="F631" s="35" t="s">
        <v>422</v>
      </c>
      <c r="G631" s="35" t="s">
        <v>423</v>
      </c>
      <c r="H631" s="35">
        <v>804</v>
      </c>
    </row>
    <row r="632" spans="1:8" ht="15.75" x14ac:dyDescent="0.25">
      <c r="A632" t="str">
        <f t="shared" si="9"/>
        <v>U157342P60368L-M</v>
      </c>
      <c r="B632" s="35" t="s">
        <v>1004</v>
      </c>
      <c r="C632" s="35" t="s">
        <v>1480</v>
      </c>
      <c r="D632" s="35" t="s">
        <v>438</v>
      </c>
      <c r="E632" s="35" t="s">
        <v>2337</v>
      </c>
      <c r="F632" s="35" t="s">
        <v>436</v>
      </c>
      <c r="G632" s="35" t="s">
        <v>446</v>
      </c>
      <c r="H632" s="35">
        <v>612</v>
      </c>
    </row>
    <row r="633" spans="1:8" ht="15.75" x14ac:dyDescent="0.25">
      <c r="A633" t="str">
        <f t="shared" si="9"/>
        <v>H180075P6031BQ-W</v>
      </c>
      <c r="B633" s="35" t="s">
        <v>1003</v>
      </c>
      <c r="C633" s="35" t="s">
        <v>1481</v>
      </c>
      <c r="D633" s="35" t="s">
        <v>404</v>
      </c>
      <c r="E633" s="35" t="s">
        <v>2338</v>
      </c>
      <c r="F633" s="35" t="s">
        <v>2302</v>
      </c>
      <c r="G633" s="35" t="s">
        <v>2303</v>
      </c>
      <c r="H633" s="35">
        <v>144</v>
      </c>
    </row>
    <row r="634" spans="1:8" ht="15.75" x14ac:dyDescent="0.25">
      <c r="A634" t="str">
        <f t="shared" si="9"/>
        <v>H180069P60384T-W</v>
      </c>
      <c r="B634" s="35" t="s">
        <v>1007</v>
      </c>
      <c r="C634" s="35" t="s">
        <v>1482</v>
      </c>
      <c r="D634" s="35" t="s">
        <v>404</v>
      </c>
      <c r="E634" s="35" t="s">
        <v>2338</v>
      </c>
      <c r="F634" s="35" t="s">
        <v>2302</v>
      </c>
      <c r="G634" s="35" t="s">
        <v>2303</v>
      </c>
      <c r="H634" s="35">
        <v>684</v>
      </c>
    </row>
    <row r="635" spans="1:8" ht="15.75" x14ac:dyDescent="0.25">
      <c r="A635" t="str">
        <f t="shared" si="9"/>
        <v>H180077P60394T-W</v>
      </c>
      <c r="B635" s="35" t="s">
        <v>1002</v>
      </c>
      <c r="C635" s="35" t="s">
        <v>1483</v>
      </c>
      <c r="D635" s="35" t="s">
        <v>404</v>
      </c>
      <c r="E635" s="35" t="s">
        <v>2338</v>
      </c>
      <c r="F635" s="35" t="s">
        <v>428</v>
      </c>
      <c r="G635" s="35" t="s">
        <v>429</v>
      </c>
      <c r="H635" s="35">
        <v>624</v>
      </c>
    </row>
    <row r="636" spans="1:8" ht="15.75" x14ac:dyDescent="0.25">
      <c r="A636" t="str">
        <f t="shared" si="9"/>
        <v>H171721G6035EQ-M</v>
      </c>
      <c r="B636" s="35" t="s">
        <v>888</v>
      </c>
      <c r="C636" s="35" t="s">
        <v>1484</v>
      </c>
      <c r="D636" s="35" t="s">
        <v>404</v>
      </c>
      <c r="E636" s="35" t="s">
        <v>2337</v>
      </c>
      <c r="F636" s="35" t="s">
        <v>430</v>
      </c>
      <c r="G636" s="35" t="s">
        <v>431</v>
      </c>
      <c r="H636" s="35">
        <v>354</v>
      </c>
    </row>
    <row r="637" spans="1:8" ht="15.75" x14ac:dyDescent="0.25">
      <c r="A637" t="str">
        <f t="shared" si="9"/>
        <v>H171731P6031TJ-M</v>
      </c>
      <c r="B637" s="35" t="s">
        <v>1000</v>
      </c>
      <c r="C637" s="35" t="s">
        <v>479</v>
      </c>
      <c r="D637" s="35" t="s">
        <v>404</v>
      </c>
      <c r="E637" s="35" t="s">
        <v>2337</v>
      </c>
      <c r="F637" s="35" t="s">
        <v>430</v>
      </c>
      <c r="G637" s="35" t="s">
        <v>431</v>
      </c>
      <c r="H637" s="35">
        <v>156</v>
      </c>
    </row>
    <row r="638" spans="1:8" ht="15.75" x14ac:dyDescent="0.25">
      <c r="A638" t="str">
        <f t="shared" si="9"/>
        <v>H171732P6031TJ-M</v>
      </c>
      <c r="B638" s="35" t="s">
        <v>1000</v>
      </c>
      <c r="C638" s="35" t="s">
        <v>506</v>
      </c>
      <c r="D638" s="35" t="s">
        <v>404</v>
      </c>
      <c r="E638" s="35" t="s">
        <v>2337</v>
      </c>
      <c r="F638" s="35" t="s">
        <v>430</v>
      </c>
      <c r="G638" s="35" t="s">
        <v>431</v>
      </c>
      <c r="H638" s="35">
        <v>216</v>
      </c>
    </row>
    <row r="639" spans="1:8" ht="15.75" x14ac:dyDescent="0.25">
      <c r="A639" t="str">
        <f t="shared" si="9"/>
        <v>H171696P6033JZ-M</v>
      </c>
      <c r="B639" s="35" t="s">
        <v>1008</v>
      </c>
      <c r="C639" s="35" t="s">
        <v>1485</v>
      </c>
      <c r="D639" s="35" t="s">
        <v>404</v>
      </c>
      <c r="E639" s="35" t="s">
        <v>2337</v>
      </c>
      <c r="F639" s="35" t="s">
        <v>430</v>
      </c>
      <c r="G639" s="35" t="s">
        <v>431</v>
      </c>
      <c r="H639" s="35">
        <v>144</v>
      </c>
    </row>
    <row r="640" spans="1:8" ht="15.75" x14ac:dyDescent="0.25">
      <c r="A640" t="str">
        <f t="shared" si="9"/>
        <v>H171626P60347T-M</v>
      </c>
      <c r="B640" s="35" t="s">
        <v>999</v>
      </c>
      <c r="C640" s="35" t="s">
        <v>591</v>
      </c>
      <c r="D640" s="35" t="s">
        <v>404</v>
      </c>
      <c r="E640" s="35" t="s">
        <v>2337</v>
      </c>
      <c r="F640" s="35" t="s">
        <v>434</v>
      </c>
      <c r="G640" s="35" t="s">
        <v>435</v>
      </c>
      <c r="H640" s="35">
        <v>144</v>
      </c>
    </row>
    <row r="641" spans="1:8" ht="15.75" x14ac:dyDescent="0.25">
      <c r="A641" t="str">
        <f t="shared" si="9"/>
        <v>7876137P60347T-M</v>
      </c>
      <c r="B641" s="35" t="s">
        <v>999</v>
      </c>
      <c r="C641" s="35" t="s">
        <v>1486</v>
      </c>
      <c r="D641" s="35" t="s">
        <v>387</v>
      </c>
      <c r="E641" s="35" t="s">
        <v>2337</v>
      </c>
      <c r="F641" s="35" t="s">
        <v>388</v>
      </c>
      <c r="G641" s="35" t="s">
        <v>389</v>
      </c>
      <c r="H641" s="35">
        <v>2154</v>
      </c>
    </row>
    <row r="642" spans="1:8" ht="15.75" x14ac:dyDescent="0.25">
      <c r="A642" t="str">
        <f t="shared" si="9"/>
        <v>7876513P60347T-M</v>
      </c>
      <c r="B642" s="35" t="s">
        <v>999</v>
      </c>
      <c r="C642" s="35" t="s">
        <v>1487</v>
      </c>
      <c r="D642" s="35" t="s">
        <v>387</v>
      </c>
      <c r="E642" s="35" t="s">
        <v>2337</v>
      </c>
      <c r="F642" s="35" t="s">
        <v>388</v>
      </c>
      <c r="G642" s="35" t="s">
        <v>389</v>
      </c>
      <c r="H642" s="35">
        <v>492</v>
      </c>
    </row>
    <row r="643" spans="1:8" ht="15.75" x14ac:dyDescent="0.25">
      <c r="A643" t="str">
        <f t="shared" si="9"/>
        <v>H171615P60347T-M</v>
      </c>
      <c r="B643" s="35" t="s">
        <v>999</v>
      </c>
      <c r="C643" s="35" t="s">
        <v>582</v>
      </c>
      <c r="D643" s="35" t="s">
        <v>404</v>
      </c>
      <c r="E643" s="35" t="s">
        <v>2337</v>
      </c>
      <c r="F643" s="35" t="s">
        <v>2292</v>
      </c>
      <c r="G643" s="35" t="s">
        <v>2293</v>
      </c>
      <c r="H643" s="35">
        <v>168</v>
      </c>
    </row>
    <row r="644" spans="1:8" ht="15.75" x14ac:dyDescent="0.25">
      <c r="A644" t="str">
        <f t="shared" si="9"/>
        <v>7873630G6035F4-M</v>
      </c>
      <c r="B644" s="35" t="s">
        <v>891</v>
      </c>
      <c r="C644" s="35" t="s">
        <v>1488</v>
      </c>
      <c r="D644" s="35" t="s">
        <v>484</v>
      </c>
      <c r="E644" s="35" t="s">
        <v>2337</v>
      </c>
      <c r="F644" s="35" t="s">
        <v>379</v>
      </c>
      <c r="G644" s="35" t="s">
        <v>504</v>
      </c>
      <c r="H644" s="35">
        <v>294</v>
      </c>
    </row>
    <row r="645" spans="1:8" ht="15.75" x14ac:dyDescent="0.25">
      <c r="A645" t="str">
        <f t="shared" si="9"/>
        <v>H148620P6036SS-W</v>
      </c>
      <c r="B645" s="35" t="s">
        <v>1005</v>
      </c>
      <c r="C645" s="35" t="s">
        <v>1489</v>
      </c>
      <c r="D645" s="35" t="s">
        <v>404</v>
      </c>
      <c r="E645" s="35" t="s">
        <v>2338</v>
      </c>
      <c r="F645" s="35" t="s">
        <v>414</v>
      </c>
      <c r="G645" s="35" t="s">
        <v>415</v>
      </c>
      <c r="H645" s="35">
        <v>300</v>
      </c>
    </row>
    <row r="646" spans="1:8" ht="15.75" x14ac:dyDescent="0.25">
      <c r="A646" t="str">
        <f t="shared" si="9"/>
        <v>H148620P6036SS-M</v>
      </c>
      <c r="B646" s="35" t="s">
        <v>1005</v>
      </c>
      <c r="C646" s="35" t="s">
        <v>1489</v>
      </c>
      <c r="D646" s="35" t="s">
        <v>404</v>
      </c>
      <c r="E646" s="35" t="s">
        <v>2337</v>
      </c>
      <c r="F646" s="35" t="s">
        <v>414</v>
      </c>
      <c r="G646" s="35" t="s">
        <v>415</v>
      </c>
      <c r="H646" s="35">
        <v>360</v>
      </c>
    </row>
    <row r="647" spans="1:8" ht="15.75" x14ac:dyDescent="0.25">
      <c r="A647" t="str">
        <f t="shared" ref="A647:A710" si="10">+C647&amp;B647&amp;"-"&amp;E647</f>
        <v>U146378P6036SS-M</v>
      </c>
      <c r="B647" s="35" t="s">
        <v>1005</v>
      </c>
      <c r="C647" s="35" t="s">
        <v>565</v>
      </c>
      <c r="D647" s="35" t="s">
        <v>438</v>
      </c>
      <c r="E647" s="35" t="s">
        <v>2337</v>
      </c>
      <c r="F647" s="35" t="s">
        <v>436</v>
      </c>
      <c r="G647" s="35" t="s">
        <v>458</v>
      </c>
      <c r="H647" s="35">
        <v>1800</v>
      </c>
    </row>
    <row r="648" spans="1:8" ht="15.75" x14ac:dyDescent="0.25">
      <c r="A648" t="str">
        <f t="shared" si="10"/>
        <v>U146438P6036SS-M</v>
      </c>
      <c r="B648" s="35" t="s">
        <v>1005</v>
      </c>
      <c r="C648" s="35" t="s">
        <v>583</v>
      </c>
      <c r="D648" s="35" t="s">
        <v>438</v>
      </c>
      <c r="E648" s="35" t="s">
        <v>2337</v>
      </c>
      <c r="F648" s="35" t="s">
        <v>436</v>
      </c>
      <c r="G648" s="35" t="s">
        <v>437</v>
      </c>
      <c r="H648" s="35">
        <v>750</v>
      </c>
    </row>
    <row r="649" spans="1:8" ht="15.75" x14ac:dyDescent="0.25">
      <c r="A649" t="str">
        <f t="shared" si="10"/>
        <v>7876143P60368L-M</v>
      </c>
      <c r="B649" s="35" t="s">
        <v>1004</v>
      </c>
      <c r="C649" s="35" t="s">
        <v>1490</v>
      </c>
      <c r="D649" s="35" t="s">
        <v>387</v>
      </c>
      <c r="E649" s="35" t="s">
        <v>2337</v>
      </c>
      <c r="F649" s="35" t="s">
        <v>388</v>
      </c>
      <c r="G649" s="35" t="s">
        <v>389</v>
      </c>
      <c r="H649" s="35">
        <v>162</v>
      </c>
    </row>
    <row r="650" spans="1:8" ht="15.75" x14ac:dyDescent="0.25">
      <c r="A650" t="str">
        <f t="shared" si="10"/>
        <v>U146403P60394T-M</v>
      </c>
      <c r="B650" s="35" t="s">
        <v>1002</v>
      </c>
      <c r="C650" s="35" t="s">
        <v>595</v>
      </c>
      <c r="D650" s="35" t="s">
        <v>438</v>
      </c>
      <c r="E650" s="35" t="s">
        <v>2337</v>
      </c>
      <c r="F650" s="35" t="s">
        <v>436</v>
      </c>
      <c r="G650" s="35" t="s">
        <v>452</v>
      </c>
      <c r="H650" s="35">
        <v>600</v>
      </c>
    </row>
    <row r="651" spans="1:8" ht="15.75" x14ac:dyDescent="0.25">
      <c r="A651" t="str">
        <f t="shared" si="10"/>
        <v>U146450P60394T-M</v>
      </c>
      <c r="B651" s="35" t="s">
        <v>1002</v>
      </c>
      <c r="C651" s="35" t="s">
        <v>604</v>
      </c>
      <c r="D651" s="35" t="s">
        <v>438</v>
      </c>
      <c r="E651" s="35" t="s">
        <v>2337</v>
      </c>
      <c r="F651" s="35" t="s">
        <v>436</v>
      </c>
      <c r="G651" s="35" t="s">
        <v>437</v>
      </c>
      <c r="H651" s="35">
        <v>648</v>
      </c>
    </row>
    <row r="652" spans="1:8" ht="15.75" x14ac:dyDescent="0.25">
      <c r="A652" t="str">
        <f t="shared" si="10"/>
        <v>7876519P60399V-M</v>
      </c>
      <c r="B652" s="35" t="s">
        <v>998</v>
      </c>
      <c r="C652" s="35" t="s">
        <v>1491</v>
      </c>
      <c r="D652" s="35" t="s">
        <v>387</v>
      </c>
      <c r="E652" s="35" t="s">
        <v>2337</v>
      </c>
      <c r="F652" s="35" t="s">
        <v>388</v>
      </c>
      <c r="G652" s="35" t="s">
        <v>389</v>
      </c>
      <c r="H652" s="35">
        <v>492</v>
      </c>
    </row>
    <row r="653" spans="1:8" ht="15.75" x14ac:dyDescent="0.25">
      <c r="A653" t="str">
        <f t="shared" si="10"/>
        <v>H171629P6033JZ-M</v>
      </c>
      <c r="B653" s="35" t="s">
        <v>1008</v>
      </c>
      <c r="C653" s="35" t="s">
        <v>1492</v>
      </c>
      <c r="D653" s="35" t="s">
        <v>404</v>
      </c>
      <c r="E653" s="35" t="s">
        <v>2337</v>
      </c>
      <c r="F653" s="35" t="s">
        <v>498</v>
      </c>
      <c r="G653" s="35" t="s">
        <v>499</v>
      </c>
      <c r="H653" s="35">
        <v>144</v>
      </c>
    </row>
    <row r="654" spans="1:8" ht="15.75" x14ac:dyDescent="0.25">
      <c r="A654" t="str">
        <f t="shared" si="10"/>
        <v>U146449P6033JZ-M</v>
      </c>
      <c r="B654" s="35" t="s">
        <v>1008</v>
      </c>
      <c r="C654" s="35" t="s">
        <v>586</v>
      </c>
      <c r="D654" s="35" t="s">
        <v>438</v>
      </c>
      <c r="E654" s="35" t="s">
        <v>2337</v>
      </c>
      <c r="F654" s="35" t="s">
        <v>436</v>
      </c>
      <c r="G654" s="35" t="s">
        <v>505</v>
      </c>
      <c r="H654" s="35">
        <v>504</v>
      </c>
    </row>
    <row r="655" spans="1:8" ht="15.75" x14ac:dyDescent="0.25">
      <c r="A655" t="str">
        <f t="shared" si="10"/>
        <v>U146417P6036SS-M</v>
      </c>
      <c r="B655" s="35" t="s">
        <v>1005</v>
      </c>
      <c r="C655" s="35" t="s">
        <v>617</v>
      </c>
      <c r="D655" s="35" t="s">
        <v>438</v>
      </c>
      <c r="E655" s="35" t="s">
        <v>2337</v>
      </c>
      <c r="F655" s="35" t="s">
        <v>436</v>
      </c>
      <c r="G655" s="35" t="s">
        <v>439</v>
      </c>
      <c r="H655" s="35">
        <v>516</v>
      </c>
    </row>
    <row r="656" spans="1:8" ht="15.75" x14ac:dyDescent="0.25">
      <c r="A656" t="str">
        <f t="shared" si="10"/>
        <v>U146429P6036SS-M</v>
      </c>
      <c r="B656" s="35" t="s">
        <v>1005</v>
      </c>
      <c r="C656" s="35" t="s">
        <v>626</v>
      </c>
      <c r="D656" s="35" t="s">
        <v>438</v>
      </c>
      <c r="E656" s="35" t="s">
        <v>2337</v>
      </c>
      <c r="F656" s="35" t="s">
        <v>436</v>
      </c>
      <c r="G656" s="35" t="s">
        <v>440</v>
      </c>
      <c r="H656" s="35">
        <v>516</v>
      </c>
    </row>
    <row r="657" spans="1:8" ht="15.75" x14ac:dyDescent="0.25">
      <c r="A657" t="str">
        <f t="shared" si="10"/>
        <v>H189177P6036SS-W</v>
      </c>
      <c r="B657" s="35" t="s">
        <v>1005</v>
      </c>
      <c r="C657" s="35" t="s">
        <v>655</v>
      </c>
      <c r="D657" s="35" t="s">
        <v>404</v>
      </c>
      <c r="E657" s="35" t="s">
        <v>2338</v>
      </c>
      <c r="F657" s="35" t="s">
        <v>414</v>
      </c>
      <c r="G657" s="35" t="s">
        <v>415</v>
      </c>
      <c r="H657" s="35">
        <v>360</v>
      </c>
    </row>
    <row r="658" spans="1:8" ht="15.75" x14ac:dyDescent="0.25">
      <c r="A658" t="str">
        <f t="shared" si="10"/>
        <v>U152796P6036SS-M</v>
      </c>
      <c r="B658" s="35" t="s">
        <v>1005</v>
      </c>
      <c r="C658" s="35" t="s">
        <v>730</v>
      </c>
      <c r="D658" s="35" t="s">
        <v>444</v>
      </c>
      <c r="E658" s="35" t="s">
        <v>2337</v>
      </c>
      <c r="F658" s="35" t="s">
        <v>436</v>
      </c>
      <c r="G658" s="35" t="s">
        <v>443</v>
      </c>
      <c r="H658" s="35">
        <v>204</v>
      </c>
    </row>
    <row r="659" spans="1:8" ht="15.75" x14ac:dyDescent="0.25">
      <c r="A659" t="str">
        <f t="shared" si="10"/>
        <v>U152796P6036SS-W</v>
      </c>
      <c r="B659" s="35" t="s">
        <v>1005</v>
      </c>
      <c r="C659" s="35" t="s">
        <v>730</v>
      </c>
      <c r="D659" s="35" t="s">
        <v>444</v>
      </c>
      <c r="E659" s="35" t="s">
        <v>2338</v>
      </c>
      <c r="F659" s="35" t="s">
        <v>436</v>
      </c>
      <c r="G659" s="35" t="s">
        <v>443</v>
      </c>
      <c r="H659" s="35">
        <v>144</v>
      </c>
    </row>
    <row r="660" spans="1:8" ht="15.75" x14ac:dyDescent="0.25">
      <c r="A660" t="str">
        <f t="shared" si="10"/>
        <v>U152801P6031TJ-M</v>
      </c>
      <c r="B660" s="35" t="s">
        <v>1000</v>
      </c>
      <c r="C660" s="35" t="s">
        <v>638</v>
      </c>
      <c r="D660" s="35" t="s">
        <v>457</v>
      </c>
      <c r="E660" s="35" t="s">
        <v>2337</v>
      </c>
      <c r="F660" s="35" t="s">
        <v>436</v>
      </c>
      <c r="G660" s="35" t="s">
        <v>443</v>
      </c>
      <c r="H660" s="35">
        <v>1698</v>
      </c>
    </row>
    <row r="661" spans="1:8" ht="15.75" x14ac:dyDescent="0.25">
      <c r="A661" t="str">
        <f t="shared" si="10"/>
        <v>U152801P6031TJ-W</v>
      </c>
      <c r="B661" s="35" t="s">
        <v>1000</v>
      </c>
      <c r="C661" s="35" t="s">
        <v>638</v>
      </c>
      <c r="D661" s="35" t="s">
        <v>457</v>
      </c>
      <c r="E661" s="35" t="s">
        <v>2338</v>
      </c>
      <c r="F661" s="35" t="s">
        <v>436</v>
      </c>
      <c r="G661" s="35" t="s">
        <v>443</v>
      </c>
      <c r="H661" s="35">
        <v>444</v>
      </c>
    </row>
    <row r="662" spans="1:8" ht="15.75" x14ac:dyDescent="0.25">
      <c r="A662" t="str">
        <f t="shared" si="10"/>
        <v>U152800P60399V-M</v>
      </c>
      <c r="B662" s="35" t="s">
        <v>998</v>
      </c>
      <c r="C662" s="35" t="s">
        <v>688</v>
      </c>
      <c r="D662" s="35" t="s">
        <v>457</v>
      </c>
      <c r="E662" s="35" t="s">
        <v>2337</v>
      </c>
      <c r="F662" s="35" t="s">
        <v>436</v>
      </c>
      <c r="G662" s="35" t="s">
        <v>443</v>
      </c>
      <c r="H662" s="35">
        <v>108</v>
      </c>
    </row>
    <row r="663" spans="1:8" ht="15.75" x14ac:dyDescent="0.25">
      <c r="A663" t="str">
        <f t="shared" si="10"/>
        <v>U152800P60399V-W</v>
      </c>
      <c r="B663" s="35" t="s">
        <v>998</v>
      </c>
      <c r="C663" s="35" t="s">
        <v>688</v>
      </c>
      <c r="D663" s="35" t="s">
        <v>457</v>
      </c>
      <c r="E663" s="35" t="s">
        <v>2338</v>
      </c>
      <c r="F663" s="35" t="s">
        <v>436</v>
      </c>
      <c r="G663" s="35" t="s">
        <v>443</v>
      </c>
      <c r="H663" s="35">
        <v>42</v>
      </c>
    </row>
    <row r="664" spans="1:8" ht="15.75" x14ac:dyDescent="0.25">
      <c r="A664" t="str">
        <f t="shared" si="10"/>
        <v>U152797P6033JZ-M</v>
      </c>
      <c r="B664" s="35" t="s">
        <v>1008</v>
      </c>
      <c r="C664" s="35" t="s">
        <v>721</v>
      </c>
      <c r="D664" s="35" t="s">
        <v>457</v>
      </c>
      <c r="E664" s="35" t="s">
        <v>2337</v>
      </c>
      <c r="F664" s="35" t="s">
        <v>436</v>
      </c>
      <c r="G664" s="35" t="s">
        <v>443</v>
      </c>
      <c r="H664" s="35">
        <v>156</v>
      </c>
    </row>
    <row r="665" spans="1:8" ht="15.75" x14ac:dyDescent="0.25">
      <c r="A665" t="str">
        <f t="shared" si="10"/>
        <v>U152797P6033JZ-W</v>
      </c>
      <c r="B665" s="35" t="s">
        <v>1008</v>
      </c>
      <c r="C665" s="35" t="s">
        <v>721</v>
      </c>
      <c r="D665" s="35" t="s">
        <v>457</v>
      </c>
      <c r="E665" s="35" t="s">
        <v>2338</v>
      </c>
      <c r="F665" s="35" t="s">
        <v>436</v>
      </c>
      <c r="G665" s="35" t="s">
        <v>443</v>
      </c>
      <c r="H665" s="35">
        <v>66</v>
      </c>
    </row>
    <row r="666" spans="1:8" ht="15.75" x14ac:dyDescent="0.25">
      <c r="A666" t="str">
        <f t="shared" si="10"/>
        <v>U152808P60347T-M</v>
      </c>
      <c r="B666" s="35" t="s">
        <v>999</v>
      </c>
      <c r="C666" s="35" t="s">
        <v>691</v>
      </c>
      <c r="D666" s="35" t="s">
        <v>457</v>
      </c>
      <c r="E666" s="35" t="s">
        <v>2337</v>
      </c>
      <c r="F666" s="35" t="s">
        <v>436</v>
      </c>
      <c r="G666" s="35" t="s">
        <v>443</v>
      </c>
      <c r="H666" s="35">
        <v>1056</v>
      </c>
    </row>
    <row r="667" spans="1:8" ht="15.75" x14ac:dyDescent="0.25">
      <c r="A667" t="str">
        <f t="shared" si="10"/>
        <v>U152808P60347T-W</v>
      </c>
      <c r="B667" s="35" t="s">
        <v>999</v>
      </c>
      <c r="C667" s="35" t="s">
        <v>691</v>
      </c>
      <c r="D667" s="35" t="s">
        <v>457</v>
      </c>
      <c r="E667" s="35" t="s">
        <v>2338</v>
      </c>
      <c r="F667" s="35" t="s">
        <v>436</v>
      </c>
      <c r="G667" s="35" t="s">
        <v>443</v>
      </c>
      <c r="H667" s="35">
        <v>270</v>
      </c>
    </row>
    <row r="668" spans="1:8" ht="15.75" x14ac:dyDescent="0.25">
      <c r="A668" t="str">
        <f t="shared" si="10"/>
        <v>7880888P6031TJ-M</v>
      </c>
      <c r="B668" s="35" t="s">
        <v>1000</v>
      </c>
      <c r="C668" s="35" t="s">
        <v>707</v>
      </c>
      <c r="D668" s="35" t="s">
        <v>387</v>
      </c>
      <c r="E668" s="35" t="s">
        <v>2337</v>
      </c>
      <c r="F668" s="35" t="s">
        <v>388</v>
      </c>
      <c r="G668" s="35" t="s">
        <v>389</v>
      </c>
      <c r="H668" s="35">
        <v>438</v>
      </c>
    </row>
    <row r="669" spans="1:8" ht="15.75" x14ac:dyDescent="0.25">
      <c r="A669" t="str">
        <f t="shared" si="10"/>
        <v>7884622P6031TJ-M</v>
      </c>
      <c r="B669" s="35" t="s">
        <v>1000</v>
      </c>
      <c r="C669" s="35" t="s">
        <v>729</v>
      </c>
      <c r="D669" s="35" t="s">
        <v>395</v>
      </c>
      <c r="E669" s="35" t="s">
        <v>2337</v>
      </c>
      <c r="F669" s="35" t="s">
        <v>382</v>
      </c>
      <c r="G669" s="35" t="s">
        <v>383</v>
      </c>
      <c r="H669" s="35">
        <v>636</v>
      </c>
    </row>
    <row r="670" spans="1:8" ht="15.75" x14ac:dyDescent="0.25">
      <c r="A670" t="str">
        <f t="shared" si="10"/>
        <v>7880740P6033JZ-M</v>
      </c>
      <c r="B670" s="35" t="s">
        <v>1008</v>
      </c>
      <c r="C670" s="35" t="s">
        <v>737</v>
      </c>
      <c r="D670" s="35" t="s">
        <v>387</v>
      </c>
      <c r="E670" s="35" t="s">
        <v>2337</v>
      </c>
      <c r="F670" s="35" t="s">
        <v>388</v>
      </c>
      <c r="G670" s="35" t="s">
        <v>389</v>
      </c>
      <c r="H670" s="35">
        <v>156</v>
      </c>
    </row>
    <row r="671" spans="1:8" ht="15.75" x14ac:dyDescent="0.25">
      <c r="A671" t="str">
        <f t="shared" si="10"/>
        <v>7884628P6033JZ-M</v>
      </c>
      <c r="B671" s="35" t="s">
        <v>1008</v>
      </c>
      <c r="C671" s="35" t="s">
        <v>882</v>
      </c>
      <c r="D671" s="35" t="s">
        <v>395</v>
      </c>
      <c r="E671" s="35" t="s">
        <v>2337</v>
      </c>
      <c r="F671" s="35" t="s">
        <v>382</v>
      </c>
      <c r="G671" s="35" t="s">
        <v>383</v>
      </c>
      <c r="H671" s="35">
        <v>192</v>
      </c>
    </row>
    <row r="672" spans="1:8" ht="15.75" x14ac:dyDescent="0.25">
      <c r="A672" t="str">
        <f t="shared" si="10"/>
        <v>7880770P60399V-M</v>
      </c>
      <c r="B672" s="35" t="s">
        <v>998</v>
      </c>
      <c r="C672" s="35" t="s">
        <v>782</v>
      </c>
      <c r="D672" s="35" t="s">
        <v>387</v>
      </c>
      <c r="E672" s="35" t="s">
        <v>2337</v>
      </c>
      <c r="F672" s="35" t="s">
        <v>388</v>
      </c>
      <c r="G672" s="35" t="s">
        <v>389</v>
      </c>
      <c r="H672" s="35">
        <v>252</v>
      </c>
    </row>
    <row r="673" spans="1:8" ht="15.75" x14ac:dyDescent="0.25">
      <c r="A673" t="str">
        <f t="shared" si="10"/>
        <v>7880724G6035F4-M</v>
      </c>
      <c r="B673" s="35" t="s">
        <v>891</v>
      </c>
      <c r="C673" s="35" t="s">
        <v>740</v>
      </c>
      <c r="D673" s="35" t="s">
        <v>387</v>
      </c>
      <c r="E673" s="35" t="s">
        <v>2337</v>
      </c>
      <c r="F673" s="35" t="s">
        <v>388</v>
      </c>
      <c r="G673" s="35" t="s">
        <v>389</v>
      </c>
      <c r="H673" s="35">
        <v>1356</v>
      </c>
    </row>
    <row r="674" spans="1:8" ht="15.75" x14ac:dyDescent="0.25">
      <c r="A674" t="str">
        <f t="shared" si="10"/>
        <v>7882079G6035F4-M</v>
      </c>
      <c r="B674" s="35" t="s">
        <v>891</v>
      </c>
      <c r="C674" s="35" t="s">
        <v>797</v>
      </c>
      <c r="D674" s="35" t="s">
        <v>484</v>
      </c>
      <c r="E674" s="35" t="s">
        <v>2337</v>
      </c>
      <c r="F674" s="35" t="s">
        <v>379</v>
      </c>
      <c r="G674" s="35" t="s">
        <v>504</v>
      </c>
      <c r="H674" s="35">
        <v>252</v>
      </c>
    </row>
    <row r="675" spans="1:8" ht="15.75" x14ac:dyDescent="0.25">
      <c r="A675" t="str">
        <f t="shared" si="10"/>
        <v>7884588G6035F4-M</v>
      </c>
      <c r="B675" s="35" t="s">
        <v>891</v>
      </c>
      <c r="C675" s="35" t="s">
        <v>806</v>
      </c>
      <c r="D675" s="35" t="s">
        <v>395</v>
      </c>
      <c r="E675" s="35" t="s">
        <v>2337</v>
      </c>
      <c r="F675" s="35" t="s">
        <v>382</v>
      </c>
      <c r="G675" s="35" t="s">
        <v>383</v>
      </c>
      <c r="H675" s="35">
        <v>1716</v>
      </c>
    </row>
    <row r="676" spans="1:8" ht="15.75" x14ac:dyDescent="0.25">
      <c r="A676" t="str">
        <f t="shared" si="10"/>
        <v>7885560G6035F4-M</v>
      </c>
      <c r="B676" s="35" t="s">
        <v>891</v>
      </c>
      <c r="C676" s="35" t="s">
        <v>869</v>
      </c>
      <c r="D676" s="35" t="s">
        <v>395</v>
      </c>
      <c r="E676" s="35" t="s">
        <v>2337</v>
      </c>
      <c r="F676" s="35" t="s">
        <v>382</v>
      </c>
      <c r="G676" s="35" t="s">
        <v>383</v>
      </c>
      <c r="H676" s="35">
        <v>714</v>
      </c>
    </row>
    <row r="677" spans="1:8" ht="15.75" x14ac:dyDescent="0.25">
      <c r="A677" t="str">
        <f t="shared" si="10"/>
        <v>U152751G6035F4-M</v>
      </c>
      <c r="B677" s="35" t="s">
        <v>891</v>
      </c>
      <c r="C677" s="35" t="s">
        <v>1493</v>
      </c>
      <c r="D677" s="35" t="s">
        <v>438</v>
      </c>
      <c r="E677" s="35" t="s">
        <v>2337</v>
      </c>
      <c r="F677" s="35" t="s">
        <v>436</v>
      </c>
      <c r="G677" s="35" t="s">
        <v>442</v>
      </c>
      <c r="H677" s="35">
        <v>1200</v>
      </c>
    </row>
    <row r="678" spans="1:8" ht="15.75" x14ac:dyDescent="0.25">
      <c r="A678" t="str">
        <f t="shared" si="10"/>
        <v>7880850GC9060BK-M</v>
      </c>
      <c r="B678" s="35" t="s">
        <v>1009</v>
      </c>
      <c r="C678" s="35" t="s">
        <v>1494</v>
      </c>
      <c r="D678" s="35" t="s">
        <v>387</v>
      </c>
      <c r="E678" s="35" t="s">
        <v>2337</v>
      </c>
      <c r="F678" s="35" t="s">
        <v>388</v>
      </c>
      <c r="G678" s="35" t="s">
        <v>389</v>
      </c>
      <c r="H678" s="35">
        <v>162</v>
      </c>
    </row>
    <row r="679" spans="1:8" ht="15.75" x14ac:dyDescent="0.25">
      <c r="A679" t="str">
        <f t="shared" si="10"/>
        <v>H189784GC9060BK-M</v>
      </c>
      <c r="B679" s="35" t="s">
        <v>1009</v>
      </c>
      <c r="C679" s="35" t="s">
        <v>1495</v>
      </c>
      <c r="D679" s="35" t="s">
        <v>404</v>
      </c>
      <c r="E679" s="35" t="s">
        <v>2337</v>
      </c>
      <c r="F679" s="35" t="s">
        <v>501</v>
      </c>
      <c r="G679" s="35" t="s">
        <v>502</v>
      </c>
      <c r="H679" s="35">
        <v>210</v>
      </c>
    </row>
    <row r="680" spans="1:8" ht="15.75" x14ac:dyDescent="0.25">
      <c r="A680" t="str">
        <f t="shared" si="10"/>
        <v>C135931GC9060LL-M</v>
      </c>
      <c r="B680" s="35" t="s">
        <v>1010</v>
      </c>
      <c r="C680" s="35" t="s">
        <v>1496</v>
      </c>
      <c r="D680" s="35" t="s">
        <v>401</v>
      </c>
      <c r="E680" s="35" t="s">
        <v>2337</v>
      </c>
      <c r="F680" s="35" t="s">
        <v>397</v>
      </c>
      <c r="G680" s="35" t="s">
        <v>400</v>
      </c>
      <c r="H680" s="35">
        <v>660</v>
      </c>
    </row>
    <row r="681" spans="1:8" ht="15.75" x14ac:dyDescent="0.25">
      <c r="A681" t="str">
        <f t="shared" si="10"/>
        <v>H189876GC9060LL-M</v>
      </c>
      <c r="B681" s="35" t="s">
        <v>1010</v>
      </c>
      <c r="C681" s="35" t="s">
        <v>1497</v>
      </c>
      <c r="D681" s="35" t="s">
        <v>404</v>
      </c>
      <c r="E681" s="35" t="s">
        <v>2337</v>
      </c>
      <c r="F681" s="35" t="s">
        <v>524</v>
      </c>
      <c r="G681" s="35" t="s">
        <v>525</v>
      </c>
      <c r="H681" s="35">
        <v>144</v>
      </c>
    </row>
    <row r="682" spans="1:8" ht="15.75" x14ac:dyDescent="0.25">
      <c r="A682" t="str">
        <f t="shared" si="10"/>
        <v>U153169GC9060LL-M</v>
      </c>
      <c r="B682" s="35" t="s">
        <v>1010</v>
      </c>
      <c r="C682" s="35" t="s">
        <v>1498</v>
      </c>
      <c r="D682" s="35" t="s">
        <v>438</v>
      </c>
      <c r="E682" s="35" t="s">
        <v>2337</v>
      </c>
      <c r="F682" s="35" t="s">
        <v>436</v>
      </c>
      <c r="G682" s="35" t="s">
        <v>465</v>
      </c>
      <c r="H682" s="35">
        <v>240</v>
      </c>
    </row>
    <row r="683" spans="1:8" ht="15.75" x14ac:dyDescent="0.25">
      <c r="A683" t="str">
        <f t="shared" si="10"/>
        <v>U153174GC9060LL-M</v>
      </c>
      <c r="B683" s="35" t="s">
        <v>1010</v>
      </c>
      <c r="C683" s="35" t="s">
        <v>1499</v>
      </c>
      <c r="D683" s="35" t="s">
        <v>438</v>
      </c>
      <c r="E683" s="35" t="s">
        <v>2337</v>
      </c>
      <c r="F683" s="35" t="s">
        <v>436</v>
      </c>
      <c r="G683" s="35" t="s">
        <v>463</v>
      </c>
      <c r="H683" s="35">
        <v>336</v>
      </c>
    </row>
    <row r="684" spans="1:8" ht="15.75" x14ac:dyDescent="0.25">
      <c r="A684" t="str">
        <f t="shared" si="10"/>
        <v>U153176GC9060LL-M</v>
      </c>
      <c r="B684" s="35" t="s">
        <v>1010</v>
      </c>
      <c r="C684" s="35" t="s">
        <v>1500</v>
      </c>
      <c r="D684" s="35" t="s">
        <v>438</v>
      </c>
      <c r="E684" s="35" t="s">
        <v>2337</v>
      </c>
      <c r="F684" s="35" t="s">
        <v>436</v>
      </c>
      <c r="G684" s="35" t="s">
        <v>462</v>
      </c>
      <c r="H684" s="35">
        <v>336</v>
      </c>
    </row>
    <row r="685" spans="1:8" ht="15.75" x14ac:dyDescent="0.25">
      <c r="A685" t="str">
        <f t="shared" si="10"/>
        <v>U153178GC9060LL-M</v>
      </c>
      <c r="B685" s="35" t="s">
        <v>1010</v>
      </c>
      <c r="C685" s="35" t="s">
        <v>1501</v>
      </c>
      <c r="D685" s="35" t="s">
        <v>438</v>
      </c>
      <c r="E685" s="35" t="s">
        <v>2337</v>
      </c>
      <c r="F685" s="35" t="s">
        <v>436</v>
      </c>
      <c r="G685" s="35" t="s">
        <v>461</v>
      </c>
      <c r="H685" s="35">
        <v>372</v>
      </c>
    </row>
    <row r="686" spans="1:8" ht="15.75" x14ac:dyDescent="0.25">
      <c r="A686" t="str">
        <f t="shared" si="10"/>
        <v>U153179GC9060LL-M</v>
      </c>
      <c r="B686" s="35" t="s">
        <v>1010</v>
      </c>
      <c r="C686" s="35" t="s">
        <v>1502</v>
      </c>
      <c r="D686" s="35" t="s">
        <v>438</v>
      </c>
      <c r="E686" s="35" t="s">
        <v>2337</v>
      </c>
      <c r="F686" s="35" t="s">
        <v>436</v>
      </c>
      <c r="G686" s="35" t="s">
        <v>460</v>
      </c>
      <c r="H686" s="35">
        <v>252</v>
      </c>
    </row>
    <row r="687" spans="1:8" ht="15.75" x14ac:dyDescent="0.25">
      <c r="A687" t="str">
        <f t="shared" si="10"/>
        <v>U153183GC9060LL-M</v>
      </c>
      <c r="B687" s="35" t="s">
        <v>1010</v>
      </c>
      <c r="C687" s="35" t="s">
        <v>1503</v>
      </c>
      <c r="D687" s="35" t="s">
        <v>438</v>
      </c>
      <c r="E687" s="35" t="s">
        <v>2337</v>
      </c>
      <c r="F687" s="35" t="s">
        <v>436</v>
      </c>
      <c r="G687" s="35" t="s">
        <v>464</v>
      </c>
      <c r="H687" s="35">
        <v>372</v>
      </c>
    </row>
    <row r="688" spans="1:8" ht="15.75" x14ac:dyDescent="0.25">
      <c r="A688" t="str">
        <f t="shared" si="10"/>
        <v>7880862GC9060GY-M</v>
      </c>
      <c r="B688" s="35" t="s">
        <v>1011</v>
      </c>
      <c r="C688" s="35" t="s">
        <v>1504</v>
      </c>
      <c r="D688" s="35" t="s">
        <v>387</v>
      </c>
      <c r="E688" s="35" t="s">
        <v>2337</v>
      </c>
      <c r="F688" s="35" t="s">
        <v>388</v>
      </c>
      <c r="G688" s="35" t="s">
        <v>389</v>
      </c>
      <c r="H688" s="35">
        <v>948</v>
      </c>
    </row>
    <row r="689" spans="1:8" ht="15.75" x14ac:dyDescent="0.25">
      <c r="A689" t="str">
        <f t="shared" si="10"/>
        <v>7885507GC9060GY-M</v>
      </c>
      <c r="B689" s="35" t="s">
        <v>1011</v>
      </c>
      <c r="C689" s="35" t="s">
        <v>1505</v>
      </c>
      <c r="D689" s="35" t="s">
        <v>395</v>
      </c>
      <c r="E689" s="35" t="s">
        <v>2337</v>
      </c>
      <c r="F689" s="35" t="s">
        <v>382</v>
      </c>
      <c r="G689" s="35" t="s">
        <v>383</v>
      </c>
      <c r="H689" s="35">
        <v>1446</v>
      </c>
    </row>
    <row r="690" spans="1:8" ht="15.75" x14ac:dyDescent="0.25">
      <c r="A690" t="str">
        <f t="shared" si="10"/>
        <v>H189787GC9060GY-M</v>
      </c>
      <c r="B690" s="35" t="s">
        <v>1011</v>
      </c>
      <c r="C690" s="35" t="s">
        <v>1506</v>
      </c>
      <c r="D690" s="35" t="s">
        <v>404</v>
      </c>
      <c r="E690" s="35" t="s">
        <v>2337</v>
      </c>
      <c r="F690" s="35" t="s">
        <v>501</v>
      </c>
      <c r="G690" s="35" t="s">
        <v>502</v>
      </c>
      <c r="H690" s="35">
        <v>210</v>
      </c>
    </row>
    <row r="691" spans="1:8" ht="15.75" x14ac:dyDescent="0.25">
      <c r="A691" t="str">
        <f t="shared" si="10"/>
        <v>U153172GC9060GY-M</v>
      </c>
      <c r="B691" s="35" t="s">
        <v>1011</v>
      </c>
      <c r="C691" s="35" t="s">
        <v>1507</v>
      </c>
      <c r="D691" s="35" t="s">
        <v>438</v>
      </c>
      <c r="E691" s="35" t="s">
        <v>2337</v>
      </c>
      <c r="F691" s="35" t="s">
        <v>436</v>
      </c>
      <c r="G691" s="35" t="s">
        <v>465</v>
      </c>
      <c r="H691" s="35">
        <v>252</v>
      </c>
    </row>
    <row r="692" spans="1:8" ht="15.75" x14ac:dyDescent="0.25">
      <c r="A692" t="str">
        <f t="shared" si="10"/>
        <v>U153173GC9060GY-M</v>
      </c>
      <c r="B692" s="35" t="s">
        <v>1011</v>
      </c>
      <c r="C692" s="35" t="s">
        <v>1508</v>
      </c>
      <c r="D692" s="35" t="s">
        <v>438</v>
      </c>
      <c r="E692" s="35" t="s">
        <v>2337</v>
      </c>
      <c r="F692" s="35" t="s">
        <v>436</v>
      </c>
      <c r="G692" s="35" t="s">
        <v>462</v>
      </c>
      <c r="H692" s="35">
        <v>348</v>
      </c>
    </row>
    <row r="693" spans="1:8" ht="15.75" x14ac:dyDescent="0.25">
      <c r="A693" t="str">
        <f t="shared" si="10"/>
        <v>U153177GC9060GY-M</v>
      </c>
      <c r="B693" s="35" t="s">
        <v>1011</v>
      </c>
      <c r="C693" s="35" t="s">
        <v>1509</v>
      </c>
      <c r="D693" s="35" t="s">
        <v>438</v>
      </c>
      <c r="E693" s="35" t="s">
        <v>2337</v>
      </c>
      <c r="F693" s="35" t="s">
        <v>436</v>
      </c>
      <c r="G693" s="35" t="s">
        <v>464</v>
      </c>
      <c r="H693" s="35">
        <v>372</v>
      </c>
    </row>
    <row r="694" spans="1:8" ht="15.75" x14ac:dyDescent="0.25">
      <c r="A694" t="str">
        <f t="shared" si="10"/>
        <v>U153180GC9060GY-M</v>
      </c>
      <c r="B694" s="35" t="s">
        <v>1011</v>
      </c>
      <c r="C694" s="35" t="s">
        <v>1510</v>
      </c>
      <c r="D694" s="35" t="s">
        <v>438</v>
      </c>
      <c r="E694" s="35" t="s">
        <v>2337</v>
      </c>
      <c r="F694" s="35" t="s">
        <v>436</v>
      </c>
      <c r="G694" s="35" t="s">
        <v>460</v>
      </c>
      <c r="H694" s="35">
        <v>264</v>
      </c>
    </row>
    <row r="695" spans="1:8" ht="15.75" x14ac:dyDescent="0.25">
      <c r="A695" t="str">
        <f t="shared" si="10"/>
        <v>U153181GC9060GY-M</v>
      </c>
      <c r="B695" s="35" t="s">
        <v>1011</v>
      </c>
      <c r="C695" s="35" t="s">
        <v>1511</v>
      </c>
      <c r="D695" s="35" t="s">
        <v>438</v>
      </c>
      <c r="E695" s="35" t="s">
        <v>2337</v>
      </c>
      <c r="F695" s="35" t="s">
        <v>436</v>
      </c>
      <c r="G695" s="35" t="s">
        <v>463</v>
      </c>
      <c r="H695" s="35">
        <v>372</v>
      </c>
    </row>
    <row r="696" spans="1:8" ht="15.75" x14ac:dyDescent="0.25">
      <c r="A696" t="str">
        <f t="shared" si="10"/>
        <v>U153182GC9060GY-M</v>
      </c>
      <c r="B696" s="35" t="s">
        <v>1011</v>
      </c>
      <c r="C696" s="35" t="s">
        <v>1512</v>
      </c>
      <c r="D696" s="35" t="s">
        <v>438</v>
      </c>
      <c r="E696" s="35" t="s">
        <v>2337</v>
      </c>
      <c r="F696" s="35" t="s">
        <v>436</v>
      </c>
      <c r="G696" s="35" t="s">
        <v>461</v>
      </c>
      <c r="H696" s="35">
        <v>396</v>
      </c>
    </row>
    <row r="697" spans="1:8" ht="15.75" x14ac:dyDescent="0.25">
      <c r="A697" t="str">
        <f t="shared" si="10"/>
        <v>H189783GC9060LL-M</v>
      </c>
      <c r="B697" s="35" t="s">
        <v>1010</v>
      </c>
      <c r="C697" s="35" t="s">
        <v>1513</v>
      </c>
      <c r="D697" s="35" t="s">
        <v>404</v>
      </c>
      <c r="E697" s="35" t="s">
        <v>2337</v>
      </c>
      <c r="F697" s="35" t="s">
        <v>501</v>
      </c>
      <c r="G697" s="35" t="s">
        <v>502</v>
      </c>
      <c r="H697" s="35">
        <v>390</v>
      </c>
    </row>
    <row r="698" spans="1:8" ht="15.75" x14ac:dyDescent="0.25">
      <c r="A698" t="str">
        <f t="shared" si="10"/>
        <v>U157263G906081P-M</v>
      </c>
      <c r="B698" s="35" t="s">
        <v>1012</v>
      </c>
      <c r="C698" s="35" t="s">
        <v>1514</v>
      </c>
      <c r="D698" s="35" t="s">
        <v>438</v>
      </c>
      <c r="E698" s="35" t="s">
        <v>2337</v>
      </c>
      <c r="F698" s="35" t="s">
        <v>436</v>
      </c>
      <c r="G698" s="35" t="s">
        <v>453</v>
      </c>
      <c r="H698" s="35">
        <v>1008</v>
      </c>
    </row>
    <row r="699" spans="1:8" ht="15.75" x14ac:dyDescent="0.25">
      <c r="A699" t="str">
        <f t="shared" si="10"/>
        <v>U157306G906081P-M</v>
      </c>
      <c r="B699" s="35" t="s">
        <v>1012</v>
      </c>
      <c r="C699" s="35" t="s">
        <v>1515</v>
      </c>
      <c r="D699" s="35" t="s">
        <v>438</v>
      </c>
      <c r="E699" s="35" t="s">
        <v>2337</v>
      </c>
      <c r="F699" s="35" t="s">
        <v>436</v>
      </c>
      <c r="G699" s="35" t="s">
        <v>449</v>
      </c>
      <c r="H699" s="35">
        <v>528</v>
      </c>
    </row>
    <row r="700" spans="1:8" ht="15.75" x14ac:dyDescent="0.25">
      <c r="A700" t="str">
        <f t="shared" si="10"/>
        <v>U157307G906081P-M</v>
      </c>
      <c r="B700" s="35" t="s">
        <v>1012</v>
      </c>
      <c r="C700" s="35" t="s">
        <v>1516</v>
      </c>
      <c r="D700" s="35" t="s">
        <v>438</v>
      </c>
      <c r="E700" s="35" t="s">
        <v>2337</v>
      </c>
      <c r="F700" s="35" t="s">
        <v>436</v>
      </c>
      <c r="G700" s="35" t="s">
        <v>449</v>
      </c>
      <c r="H700" s="35">
        <v>972</v>
      </c>
    </row>
    <row r="701" spans="1:8" ht="15.75" x14ac:dyDescent="0.25">
      <c r="A701" t="str">
        <f t="shared" si="10"/>
        <v>U157317G906081P-M</v>
      </c>
      <c r="B701" s="35" t="s">
        <v>1012</v>
      </c>
      <c r="C701" s="35" t="s">
        <v>1517</v>
      </c>
      <c r="D701" s="35" t="s">
        <v>438</v>
      </c>
      <c r="E701" s="35" t="s">
        <v>2337</v>
      </c>
      <c r="F701" s="35" t="s">
        <v>436</v>
      </c>
      <c r="G701" s="35" t="s">
        <v>451</v>
      </c>
      <c r="H701" s="35">
        <v>744</v>
      </c>
    </row>
    <row r="702" spans="1:8" ht="15.75" x14ac:dyDescent="0.25">
      <c r="A702" t="str">
        <f t="shared" si="10"/>
        <v>U157321G906081P-M</v>
      </c>
      <c r="B702" s="35" t="s">
        <v>1012</v>
      </c>
      <c r="C702" s="35" t="s">
        <v>1518</v>
      </c>
      <c r="D702" s="35" t="s">
        <v>438</v>
      </c>
      <c r="E702" s="35" t="s">
        <v>2337</v>
      </c>
      <c r="F702" s="35" t="s">
        <v>436</v>
      </c>
      <c r="G702" s="35" t="s">
        <v>454</v>
      </c>
      <c r="H702" s="35">
        <v>906</v>
      </c>
    </row>
    <row r="703" spans="1:8" ht="15.75" x14ac:dyDescent="0.25">
      <c r="A703" t="str">
        <f t="shared" si="10"/>
        <v>U157322G906081P-M</v>
      </c>
      <c r="B703" s="35" t="s">
        <v>1012</v>
      </c>
      <c r="C703" s="35" t="s">
        <v>1519</v>
      </c>
      <c r="D703" s="35" t="s">
        <v>438</v>
      </c>
      <c r="E703" s="35" t="s">
        <v>2337</v>
      </c>
      <c r="F703" s="35" t="s">
        <v>436</v>
      </c>
      <c r="G703" s="35" t="s">
        <v>451</v>
      </c>
      <c r="H703" s="35">
        <v>1260</v>
      </c>
    </row>
    <row r="704" spans="1:8" ht="15.75" x14ac:dyDescent="0.25">
      <c r="A704" t="str">
        <f t="shared" si="10"/>
        <v>U157325G906081P-M</v>
      </c>
      <c r="B704" s="35" t="s">
        <v>1012</v>
      </c>
      <c r="C704" s="35" t="s">
        <v>1520</v>
      </c>
      <c r="D704" s="35" t="s">
        <v>438</v>
      </c>
      <c r="E704" s="35" t="s">
        <v>2337</v>
      </c>
      <c r="F704" s="35" t="s">
        <v>436</v>
      </c>
      <c r="G704" s="35" t="s">
        <v>455</v>
      </c>
      <c r="H704" s="35">
        <v>1434</v>
      </c>
    </row>
    <row r="705" spans="1:8" ht="15.75" x14ac:dyDescent="0.25">
      <c r="A705" t="str">
        <f t="shared" si="10"/>
        <v>U157308G906081P-M</v>
      </c>
      <c r="B705" s="35" t="s">
        <v>1012</v>
      </c>
      <c r="C705" s="35" t="s">
        <v>1521</v>
      </c>
      <c r="D705" s="35" t="s">
        <v>438</v>
      </c>
      <c r="E705" s="35" t="s">
        <v>2337</v>
      </c>
      <c r="F705" s="35" t="s">
        <v>436</v>
      </c>
      <c r="G705" s="35" t="s">
        <v>450</v>
      </c>
      <c r="H705" s="35">
        <v>558</v>
      </c>
    </row>
    <row r="706" spans="1:8" ht="15.75" x14ac:dyDescent="0.25">
      <c r="A706" t="str">
        <f t="shared" si="10"/>
        <v>7882557GC9060GY-M</v>
      </c>
      <c r="B706" s="35" t="s">
        <v>1011</v>
      </c>
      <c r="C706" s="35" t="s">
        <v>1522</v>
      </c>
      <c r="D706" s="35" t="s">
        <v>394</v>
      </c>
      <c r="E706" s="35" t="s">
        <v>2337</v>
      </c>
      <c r="F706" s="35" t="s">
        <v>392</v>
      </c>
      <c r="G706" s="35" t="s">
        <v>526</v>
      </c>
      <c r="H706" s="35">
        <v>504</v>
      </c>
    </row>
    <row r="707" spans="1:8" ht="15.75" x14ac:dyDescent="0.25">
      <c r="A707" t="str">
        <f t="shared" si="10"/>
        <v>7882996GC9060GY-M</v>
      </c>
      <c r="B707" s="35" t="s">
        <v>1011</v>
      </c>
      <c r="C707" s="35" t="s">
        <v>1523</v>
      </c>
      <c r="D707" s="35" t="s">
        <v>394</v>
      </c>
      <c r="E707" s="35" t="s">
        <v>2337</v>
      </c>
      <c r="F707" s="35" t="s">
        <v>392</v>
      </c>
      <c r="G707" s="35" t="s">
        <v>393</v>
      </c>
      <c r="H707" s="35">
        <v>1038</v>
      </c>
    </row>
    <row r="708" spans="1:8" ht="15.75" x14ac:dyDescent="0.25">
      <c r="A708" t="str">
        <f t="shared" si="10"/>
        <v>7883000GC9060GY-M</v>
      </c>
      <c r="B708" s="35" t="s">
        <v>1011</v>
      </c>
      <c r="C708" s="35" t="s">
        <v>1524</v>
      </c>
      <c r="D708" s="35" t="s">
        <v>394</v>
      </c>
      <c r="E708" s="35" t="s">
        <v>2337</v>
      </c>
      <c r="F708" s="35" t="s">
        <v>392</v>
      </c>
      <c r="G708" s="35" t="s">
        <v>393</v>
      </c>
      <c r="H708" s="35">
        <v>1104</v>
      </c>
    </row>
    <row r="709" spans="1:8" ht="15.75" x14ac:dyDescent="0.25">
      <c r="A709" t="str">
        <f t="shared" si="10"/>
        <v>H156171GC9060GY-M</v>
      </c>
      <c r="B709" s="35" t="s">
        <v>1011</v>
      </c>
      <c r="C709" s="35" t="s">
        <v>139</v>
      </c>
      <c r="D709" s="35" t="s">
        <v>404</v>
      </c>
      <c r="E709" s="35" t="s">
        <v>2337</v>
      </c>
      <c r="F709" s="35" t="s">
        <v>432</v>
      </c>
      <c r="G709" s="35" t="s">
        <v>433</v>
      </c>
      <c r="H709" s="35">
        <v>144</v>
      </c>
    </row>
    <row r="710" spans="1:8" ht="15.75" x14ac:dyDescent="0.25">
      <c r="A710" t="str">
        <f t="shared" si="10"/>
        <v>H177063GC9060BE-M</v>
      </c>
      <c r="B710" s="35" t="s">
        <v>1013</v>
      </c>
      <c r="C710" s="35" t="s">
        <v>1525</v>
      </c>
      <c r="D710" s="35" t="s">
        <v>404</v>
      </c>
      <c r="E710" s="35" t="s">
        <v>2337</v>
      </c>
      <c r="F710" s="35" t="s">
        <v>430</v>
      </c>
      <c r="G710" s="35" t="s">
        <v>431</v>
      </c>
      <c r="H710" s="35">
        <v>252</v>
      </c>
    </row>
    <row r="711" spans="1:8" ht="15.75" x14ac:dyDescent="0.25">
      <c r="A711" t="str">
        <f t="shared" ref="A711:A774" si="11">+C711&amp;B711&amp;"-"&amp;E711</f>
        <v>H177066GC9060BK-M</v>
      </c>
      <c r="B711" s="35" t="s">
        <v>1009</v>
      </c>
      <c r="C711" s="35" t="s">
        <v>1526</v>
      </c>
      <c r="D711" s="35" t="s">
        <v>404</v>
      </c>
      <c r="E711" s="35" t="s">
        <v>2337</v>
      </c>
      <c r="F711" s="35" t="s">
        <v>430</v>
      </c>
      <c r="G711" s="35" t="s">
        <v>431</v>
      </c>
      <c r="H711" s="35">
        <v>780</v>
      </c>
    </row>
    <row r="712" spans="1:8" ht="15.75" x14ac:dyDescent="0.25">
      <c r="A712" t="str">
        <f t="shared" si="11"/>
        <v>H177067GC9060ER-M</v>
      </c>
      <c r="B712" s="35" t="s">
        <v>1014</v>
      </c>
      <c r="C712" s="35" t="s">
        <v>1527</v>
      </c>
      <c r="D712" s="35" t="s">
        <v>404</v>
      </c>
      <c r="E712" s="35" t="s">
        <v>2337</v>
      </c>
      <c r="F712" s="35" t="s">
        <v>430</v>
      </c>
      <c r="G712" s="35" t="s">
        <v>431</v>
      </c>
      <c r="H712" s="35">
        <v>318</v>
      </c>
    </row>
    <row r="713" spans="1:8" ht="15.75" x14ac:dyDescent="0.25">
      <c r="A713" t="str">
        <f t="shared" si="11"/>
        <v>H177075P9060841-M</v>
      </c>
      <c r="B713" s="35" t="s">
        <v>992</v>
      </c>
      <c r="C713" s="35" t="s">
        <v>1528</v>
      </c>
      <c r="D713" s="35" t="s">
        <v>404</v>
      </c>
      <c r="E713" s="35" t="s">
        <v>2337</v>
      </c>
      <c r="F713" s="35" t="s">
        <v>430</v>
      </c>
      <c r="G713" s="35" t="s">
        <v>431</v>
      </c>
      <c r="H713" s="35">
        <v>282</v>
      </c>
    </row>
    <row r="714" spans="1:8" ht="15.75" x14ac:dyDescent="0.25">
      <c r="A714" t="str">
        <f t="shared" si="11"/>
        <v>H153483G90603SO-M</v>
      </c>
      <c r="B714" s="35" t="s">
        <v>1015</v>
      </c>
      <c r="C714" s="35" t="s">
        <v>547</v>
      </c>
      <c r="D714" s="35" t="s">
        <v>404</v>
      </c>
      <c r="E714" s="35" t="s">
        <v>2337</v>
      </c>
      <c r="F714" s="35" t="s">
        <v>412</v>
      </c>
      <c r="G714" s="35" t="s">
        <v>413</v>
      </c>
      <c r="H714" s="35">
        <v>144</v>
      </c>
    </row>
    <row r="715" spans="1:8" ht="15.75" x14ac:dyDescent="0.25">
      <c r="A715" t="str">
        <f t="shared" si="11"/>
        <v>7866149GC9060GY-M</v>
      </c>
      <c r="B715" s="35" t="s">
        <v>1011</v>
      </c>
      <c r="C715" s="35" t="s">
        <v>572</v>
      </c>
      <c r="D715" s="35" t="s">
        <v>387</v>
      </c>
      <c r="E715" s="35" t="s">
        <v>2337</v>
      </c>
      <c r="F715" s="35" t="s">
        <v>385</v>
      </c>
      <c r="G715" s="35" t="s">
        <v>386</v>
      </c>
      <c r="H715" s="35">
        <v>624</v>
      </c>
    </row>
    <row r="716" spans="1:8" ht="15.75" x14ac:dyDescent="0.25">
      <c r="A716" t="str">
        <f t="shared" si="11"/>
        <v>7866097GC9060BE-M</v>
      </c>
      <c r="B716" s="35" t="s">
        <v>1013</v>
      </c>
      <c r="C716" s="35" t="s">
        <v>684</v>
      </c>
      <c r="D716" s="35" t="s">
        <v>387</v>
      </c>
      <c r="E716" s="35" t="s">
        <v>2337</v>
      </c>
      <c r="F716" s="35" t="s">
        <v>385</v>
      </c>
      <c r="G716" s="35" t="s">
        <v>386</v>
      </c>
      <c r="H716" s="35">
        <v>624</v>
      </c>
    </row>
    <row r="717" spans="1:8" ht="15.75" x14ac:dyDescent="0.25">
      <c r="A717" t="str">
        <f t="shared" si="11"/>
        <v>7866098GC9060BE-M</v>
      </c>
      <c r="B717" s="35" t="s">
        <v>1013</v>
      </c>
      <c r="C717" s="35" t="s">
        <v>706</v>
      </c>
      <c r="D717" s="35" t="s">
        <v>387</v>
      </c>
      <c r="E717" s="35" t="s">
        <v>2337</v>
      </c>
      <c r="F717" s="35" t="s">
        <v>385</v>
      </c>
      <c r="G717" s="35" t="s">
        <v>386</v>
      </c>
      <c r="H717" s="35">
        <v>780</v>
      </c>
    </row>
    <row r="718" spans="1:8" ht="15.75" x14ac:dyDescent="0.25">
      <c r="A718" t="str">
        <f t="shared" si="11"/>
        <v>7866099GC9060BE-M</v>
      </c>
      <c r="B718" s="35" t="s">
        <v>1013</v>
      </c>
      <c r="C718" s="35" t="s">
        <v>748</v>
      </c>
      <c r="D718" s="35" t="s">
        <v>387</v>
      </c>
      <c r="E718" s="35" t="s">
        <v>2337</v>
      </c>
      <c r="F718" s="35" t="s">
        <v>385</v>
      </c>
      <c r="G718" s="35" t="s">
        <v>386</v>
      </c>
      <c r="H718" s="35">
        <v>1164</v>
      </c>
    </row>
    <row r="719" spans="1:8" ht="15.75" x14ac:dyDescent="0.25">
      <c r="A719" t="str">
        <f t="shared" si="11"/>
        <v>7866125GC9060LL-M</v>
      </c>
      <c r="B719" s="35" t="s">
        <v>1010</v>
      </c>
      <c r="C719" s="35" t="s">
        <v>580</v>
      </c>
      <c r="D719" s="35" t="s">
        <v>387</v>
      </c>
      <c r="E719" s="35" t="s">
        <v>2337</v>
      </c>
      <c r="F719" s="35" t="s">
        <v>385</v>
      </c>
      <c r="G719" s="35" t="s">
        <v>386</v>
      </c>
      <c r="H719" s="35">
        <v>540</v>
      </c>
    </row>
    <row r="720" spans="1:8" ht="15.75" x14ac:dyDescent="0.25">
      <c r="A720" t="str">
        <f t="shared" si="11"/>
        <v>H188973GC9060LL-M</v>
      </c>
      <c r="B720" s="35" t="s">
        <v>1010</v>
      </c>
      <c r="C720" s="35" t="s">
        <v>695</v>
      </c>
      <c r="D720" s="35" t="s">
        <v>404</v>
      </c>
      <c r="E720" s="35" t="s">
        <v>2337</v>
      </c>
      <c r="F720" s="35" t="s">
        <v>501</v>
      </c>
      <c r="G720" s="35" t="s">
        <v>502</v>
      </c>
      <c r="H720" s="35">
        <v>756</v>
      </c>
    </row>
    <row r="721" spans="1:8" ht="15.75" x14ac:dyDescent="0.25">
      <c r="A721" t="str">
        <f t="shared" si="11"/>
        <v>H188997GC9060BE-M</v>
      </c>
      <c r="B721" s="35" t="s">
        <v>1013</v>
      </c>
      <c r="C721" s="35" t="s">
        <v>735</v>
      </c>
      <c r="D721" s="35" t="s">
        <v>404</v>
      </c>
      <c r="E721" s="35" t="s">
        <v>2337</v>
      </c>
      <c r="F721" s="35" t="s">
        <v>430</v>
      </c>
      <c r="G721" s="35" t="s">
        <v>431</v>
      </c>
      <c r="H721" s="35">
        <v>150</v>
      </c>
    </row>
    <row r="722" spans="1:8" ht="15.75" x14ac:dyDescent="0.25">
      <c r="A722" t="str">
        <f t="shared" si="11"/>
        <v>U152829GC9060BE-M</v>
      </c>
      <c r="B722" s="35" t="s">
        <v>1013</v>
      </c>
      <c r="C722" s="35" t="s">
        <v>738</v>
      </c>
      <c r="D722" s="35" t="s">
        <v>444</v>
      </c>
      <c r="E722" s="35" t="s">
        <v>2337</v>
      </c>
      <c r="F722" s="35" t="s">
        <v>436</v>
      </c>
      <c r="G722" s="35" t="s">
        <v>443</v>
      </c>
      <c r="H722" s="35">
        <v>48</v>
      </c>
    </row>
    <row r="723" spans="1:8" ht="15.75" x14ac:dyDescent="0.25">
      <c r="A723" t="str">
        <f t="shared" si="11"/>
        <v>U152829GC9060BE-W</v>
      </c>
      <c r="B723" s="35" t="s">
        <v>1013</v>
      </c>
      <c r="C723" s="35" t="s">
        <v>738</v>
      </c>
      <c r="D723" s="35" t="s">
        <v>444</v>
      </c>
      <c r="E723" s="35" t="s">
        <v>2338</v>
      </c>
      <c r="F723" s="35" t="s">
        <v>436</v>
      </c>
      <c r="G723" s="35" t="s">
        <v>443</v>
      </c>
      <c r="H723" s="35">
        <v>120</v>
      </c>
    </row>
    <row r="724" spans="1:8" ht="15.75" x14ac:dyDescent="0.25">
      <c r="A724" t="str">
        <f t="shared" si="11"/>
        <v>U152792G90606AX-M</v>
      </c>
      <c r="B724" s="35" t="s">
        <v>1016</v>
      </c>
      <c r="C724" s="35" t="s">
        <v>800</v>
      </c>
      <c r="D724" s="35" t="s">
        <v>444</v>
      </c>
      <c r="E724" s="35" t="s">
        <v>2337</v>
      </c>
      <c r="F724" s="35" t="s">
        <v>436</v>
      </c>
      <c r="G724" s="35" t="s">
        <v>443</v>
      </c>
      <c r="H724" s="35">
        <v>846</v>
      </c>
    </row>
    <row r="725" spans="1:8" ht="15.75" x14ac:dyDescent="0.25">
      <c r="A725" t="str">
        <f t="shared" si="11"/>
        <v>U152792G90606AX-W</v>
      </c>
      <c r="B725" s="35" t="s">
        <v>1016</v>
      </c>
      <c r="C725" s="35" t="s">
        <v>800</v>
      </c>
      <c r="D725" s="35" t="s">
        <v>444</v>
      </c>
      <c r="E725" s="35" t="s">
        <v>2338</v>
      </c>
      <c r="F725" s="35" t="s">
        <v>436</v>
      </c>
      <c r="G725" s="35" t="s">
        <v>443</v>
      </c>
      <c r="H725" s="35">
        <v>54</v>
      </c>
    </row>
    <row r="726" spans="1:8" ht="15.75" x14ac:dyDescent="0.25">
      <c r="A726" t="str">
        <f t="shared" si="11"/>
        <v>H189018GC9060GY-M</v>
      </c>
      <c r="B726" s="35" t="s">
        <v>1011</v>
      </c>
      <c r="C726" s="35" t="s">
        <v>757</v>
      </c>
      <c r="D726" s="35" t="s">
        <v>404</v>
      </c>
      <c r="E726" s="35" t="s">
        <v>2337</v>
      </c>
      <c r="F726" s="35" t="s">
        <v>430</v>
      </c>
      <c r="G726" s="35" t="s">
        <v>431</v>
      </c>
      <c r="H726" s="35">
        <v>162</v>
      </c>
    </row>
    <row r="727" spans="1:8" ht="15.75" x14ac:dyDescent="0.25">
      <c r="A727" t="str">
        <f t="shared" si="11"/>
        <v>U152777GC9060GY-M</v>
      </c>
      <c r="B727" s="35" t="s">
        <v>1011</v>
      </c>
      <c r="C727" s="35" t="s">
        <v>775</v>
      </c>
      <c r="D727" s="35" t="s">
        <v>466</v>
      </c>
      <c r="E727" s="35" t="s">
        <v>2337</v>
      </c>
      <c r="F727" s="35" t="s">
        <v>436</v>
      </c>
      <c r="G727" s="35" t="s">
        <v>443</v>
      </c>
      <c r="H727" s="35">
        <v>102</v>
      </c>
    </row>
    <row r="728" spans="1:8" ht="15.75" x14ac:dyDescent="0.25">
      <c r="A728" t="str">
        <f t="shared" si="11"/>
        <v>U152777GC9060GY-W</v>
      </c>
      <c r="B728" s="35" t="s">
        <v>1011</v>
      </c>
      <c r="C728" s="35" t="s">
        <v>775</v>
      </c>
      <c r="D728" s="35" t="s">
        <v>466</v>
      </c>
      <c r="E728" s="35" t="s">
        <v>2338</v>
      </c>
      <c r="F728" s="35" t="s">
        <v>436</v>
      </c>
      <c r="G728" s="35" t="s">
        <v>443</v>
      </c>
      <c r="H728" s="35">
        <v>72</v>
      </c>
    </row>
    <row r="729" spans="1:8" ht="15.75" x14ac:dyDescent="0.25">
      <c r="A729" t="str">
        <f t="shared" si="11"/>
        <v>U152825GC9060GY-M</v>
      </c>
      <c r="B729" s="35" t="s">
        <v>1011</v>
      </c>
      <c r="C729" s="35" t="s">
        <v>758</v>
      </c>
      <c r="D729" s="35" t="s">
        <v>444</v>
      </c>
      <c r="E729" s="35" t="s">
        <v>2337</v>
      </c>
      <c r="F729" s="35" t="s">
        <v>436</v>
      </c>
      <c r="G729" s="35" t="s">
        <v>443</v>
      </c>
      <c r="H729" s="35">
        <v>708</v>
      </c>
    </row>
    <row r="730" spans="1:8" ht="15.75" x14ac:dyDescent="0.25">
      <c r="A730" t="str">
        <f t="shared" si="11"/>
        <v>U152825GC9060GY-W</v>
      </c>
      <c r="B730" s="35" t="s">
        <v>1011</v>
      </c>
      <c r="C730" s="35" t="s">
        <v>758</v>
      </c>
      <c r="D730" s="35" t="s">
        <v>444</v>
      </c>
      <c r="E730" s="35" t="s">
        <v>2338</v>
      </c>
      <c r="F730" s="35" t="s">
        <v>436</v>
      </c>
      <c r="G730" s="35" t="s">
        <v>443</v>
      </c>
      <c r="H730" s="35">
        <v>96</v>
      </c>
    </row>
    <row r="731" spans="1:8" ht="15.75" x14ac:dyDescent="0.25">
      <c r="A731" t="str">
        <f t="shared" si="11"/>
        <v>H176882GC9060BE-M</v>
      </c>
      <c r="B731" s="35" t="s">
        <v>1013</v>
      </c>
      <c r="C731" s="35" t="s">
        <v>1529</v>
      </c>
      <c r="D731" s="35" t="s">
        <v>404</v>
      </c>
      <c r="E731" s="35" t="s">
        <v>2337</v>
      </c>
      <c r="F731" s="35" t="s">
        <v>2292</v>
      </c>
      <c r="G731" s="35" t="s">
        <v>2293</v>
      </c>
      <c r="H731" s="35">
        <v>216</v>
      </c>
    </row>
    <row r="732" spans="1:8" ht="15.75" x14ac:dyDescent="0.25">
      <c r="A732" t="str">
        <f t="shared" si="11"/>
        <v>7880844GC9060BE-M</v>
      </c>
      <c r="B732" s="35" t="s">
        <v>1013</v>
      </c>
      <c r="C732" s="35" t="s">
        <v>1530</v>
      </c>
      <c r="D732" s="35" t="s">
        <v>387</v>
      </c>
      <c r="E732" s="35" t="s">
        <v>2337</v>
      </c>
      <c r="F732" s="35" t="s">
        <v>388</v>
      </c>
      <c r="G732" s="35" t="s">
        <v>389</v>
      </c>
      <c r="H732" s="35">
        <v>684</v>
      </c>
    </row>
    <row r="733" spans="1:8" ht="15.75" x14ac:dyDescent="0.25">
      <c r="A733" t="str">
        <f t="shared" si="11"/>
        <v>H189136GC9060BE-M</v>
      </c>
      <c r="B733" s="35" t="s">
        <v>1013</v>
      </c>
      <c r="C733" s="35" t="s">
        <v>1531</v>
      </c>
      <c r="D733" s="35" t="s">
        <v>404</v>
      </c>
      <c r="E733" s="35" t="s">
        <v>2337</v>
      </c>
      <c r="F733" s="35" t="s">
        <v>414</v>
      </c>
      <c r="G733" s="35" t="s">
        <v>415</v>
      </c>
      <c r="H733" s="35">
        <v>504</v>
      </c>
    </row>
    <row r="734" spans="1:8" ht="15.75" x14ac:dyDescent="0.25">
      <c r="A734" t="str">
        <f t="shared" si="11"/>
        <v>7880808G90606AX-M</v>
      </c>
      <c r="B734" s="35" t="s">
        <v>1016</v>
      </c>
      <c r="C734" s="35" t="s">
        <v>1532</v>
      </c>
      <c r="D734" s="35" t="s">
        <v>387</v>
      </c>
      <c r="E734" s="35" t="s">
        <v>2337</v>
      </c>
      <c r="F734" s="35" t="s">
        <v>388</v>
      </c>
      <c r="G734" s="35" t="s">
        <v>389</v>
      </c>
      <c r="H734" s="35">
        <v>546</v>
      </c>
    </row>
    <row r="735" spans="1:8" ht="15.75" x14ac:dyDescent="0.25">
      <c r="A735" t="str">
        <f t="shared" si="11"/>
        <v>7882560G9060744-M</v>
      </c>
      <c r="B735" s="35" t="s">
        <v>1017</v>
      </c>
      <c r="C735" s="35" t="s">
        <v>1533</v>
      </c>
      <c r="D735" s="35" t="s">
        <v>394</v>
      </c>
      <c r="E735" s="35" t="s">
        <v>2337</v>
      </c>
      <c r="F735" s="35" t="s">
        <v>392</v>
      </c>
      <c r="G735" s="35" t="s">
        <v>526</v>
      </c>
      <c r="H735" s="35">
        <v>1200</v>
      </c>
    </row>
    <row r="736" spans="1:8" ht="15.75" x14ac:dyDescent="0.25">
      <c r="A736" t="str">
        <f t="shared" si="11"/>
        <v>7884274G9060744-M</v>
      </c>
      <c r="B736" s="35" t="s">
        <v>1017</v>
      </c>
      <c r="C736" s="35" t="s">
        <v>1534</v>
      </c>
      <c r="D736" s="35" t="s">
        <v>474</v>
      </c>
      <c r="E736" s="35" t="s">
        <v>2337</v>
      </c>
      <c r="F736" s="35" t="s">
        <v>379</v>
      </c>
      <c r="G736" s="35" t="s">
        <v>380</v>
      </c>
      <c r="H736" s="35">
        <v>282</v>
      </c>
    </row>
    <row r="737" spans="1:8" ht="15.75" x14ac:dyDescent="0.25">
      <c r="A737" t="str">
        <f t="shared" si="11"/>
        <v>7880820G906076O-M</v>
      </c>
      <c r="B737" s="35" t="s">
        <v>1018</v>
      </c>
      <c r="C737" s="35" t="s">
        <v>1535</v>
      </c>
      <c r="D737" s="35" t="s">
        <v>387</v>
      </c>
      <c r="E737" s="35" t="s">
        <v>2337</v>
      </c>
      <c r="F737" s="35" t="s">
        <v>388</v>
      </c>
      <c r="G737" s="35" t="s">
        <v>389</v>
      </c>
      <c r="H737" s="35">
        <v>1092</v>
      </c>
    </row>
    <row r="738" spans="1:8" ht="15.75" x14ac:dyDescent="0.25">
      <c r="A738" t="str">
        <f t="shared" si="11"/>
        <v>C136012G906076O-M</v>
      </c>
      <c r="B738" s="35" t="s">
        <v>1018</v>
      </c>
      <c r="C738" s="35" t="s">
        <v>1536</v>
      </c>
      <c r="D738" s="35" t="s">
        <v>401</v>
      </c>
      <c r="E738" s="35" t="s">
        <v>2337</v>
      </c>
      <c r="F738" s="35" t="s">
        <v>397</v>
      </c>
      <c r="G738" s="35" t="s">
        <v>400</v>
      </c>
      <c r="H738" s="35">
        <v>792</v>
      </c>
    </row>
    <row r="739" spans="1:8" ht="15.75" x14ac:dyDescent="0.25">
      <c r="A739" t="str">
        <f t="shared" si="11"/>
        <v>C136012G906076O-W</v>
      </c>
      <c r="B739" s="35" t="s">
        <v>1018</v>
      </c>
      <c r="C739" s="35" t="s">
        <v>1536</v>
      </c>
      <c r="D739" s="35" t="s">
        <v>401</v>
      </c>
      <c r="E739" s="35" t="s">
        <v>2338</v>
      </c>
      <c r="F739" s="35" t="s">
        <v>397</v>
      </c>
      <c r="G739" s="35" t="s">
        <v>400</v>
      </c>
      <c r="H739" s="35">
        <v>48</v>
      </c>
    </row>
    <row r="740" spans="1:8" ht="15.75" x14ac:dyDescent="0.25">
      <c r="A740" t="str">
        <f t="shared" si="11"/>
        <v>U153547G906076O-M</v>
      </c>
      <c r="B740" s="35" t="s">
        <v>1018</v>
      </c>
      <c r="C740" s="35" t="s">
        <v>1537</v>
      </c>
      <c r="D740" s="35" t="s">
        <v>438</v>
      </c>
      <c r="E740" s="35" t="s">
        <v>2337</v>
      </c>
      <c r="F740" s="35" t="s">
        <v>436</v>
      </c>
      <c r="G740" s="35" t="s">
        <v>448</v>
      </c>
      <c r="H740" s="35">
        <v>1590</v>
      </c>
    </row>
    <row r="741" spans="1:8" ht="15.75" x14ac:dyDescent="0.25">
      <c r="A741" t="str">
        <f t="shared" si="11"/>
        <v>U153549G906076O-M</v>
      </c>
      <c r="B741" s="35" t="s">
        <v>1018</v>
      </c>
      <c r="C741" s="35" t="s">
        <v>1538</v>
      </c>
      <c r="D741" s="35" t="s">
        <v>438</v>
      </c>
      <c r="E741" s="35" t="s">
        <v>2337</v>
      </c>
      <c r="F741" s="35" t="s">
        <v>436</v>
      </c>
      <c r="G741" s="35" t="s">
        <v>2310</v>
      </c>
      <c r="H741" s="35">
        <v>522</v>
      </c>
    </row>
    <row r="742" spans="1:8" ht="15.75" x14ac:dyDescent="0.25">
      <c r="A742" t="str">
        <f t="shared" si="11"/>
        <v>U153550G906076O-M</v>
      </c>
      <c r="B742" s="35" t="s">
        <v>1018</v>
      </c>
      <c r="C742" s="35" t="s">
        <v>1539</v>
      </c>
      <c r="D742" s="35" t="s">
        <v>438</v>
      </c>
      <c r="E742" s="35" t="s">
        <v>2337</v>
      </c>
      <c r="F742" s="35" t="s">
        <v>436</v>
      </c>
      <c r="G742" s="35" t="s">
        <v>2310</v>
      </c>
      <c r="H742" s="35">
        <v>576</v>
      </c>
    </row>
    <row r="743" spans="1:8" ht="15.75" x14ac:dyDescent="0.25">
      <c r="A743" t="str">
        <f t="shared" si="11"/>
        <v>U153551G906076O-M</v>
      </c>
      <c r="B743" s="35" t="s">
        <v>1018</v>
      </c>
      <c r="C743" s="35" t="s">
        <v>1540</v>
      </c>
      <c r="D743" s="35" t="s">
        <v>438</v>
      </c>
      <c r="E743" s="35" t="s">
        <v>2337</v>
      </c>
      <c r="F743" s="35" t="s">
        <v>436</v>
      </c>
      <c r="G743" s="35" t="s">
        <v>448</v>
      </c>
      <c r="H743" s="35">
        <v>1812</v>
      </c>
    </row>
    <row r="744" spans="1:8" ht="15.75" x14ac:dyDescent="0.25">
      <c r="A744" t="str">
        <f t="shared" si="11"/>
        <v>7880868GC9060LL-M</v>
      </c>
      <c r="B744" s="35" t="s">
        <v>1010</v>
      </c>
      <c r="C744" s="35" t="s">
        <v>825</v>
      </c>
      <c r="D744" s="35" t="s">
        <v>387</v>
      </c>
      <c r="E744" s="35" t="s">
        <v>2337</v>
      </c>
      <c r="F744" s="35" t="s">
        <v>388</v>
      </c>
      <c r="G744" s="35" t="s">
        <v>389</v>
      </c>
      <c r="H744" s="35">
        <v>2004</v>
      </c>
    </row>
    <row r="745" spans="1:8" ht="15.75" x14ac:dyDescent="0.25">
      <c r="A745" t="str">
        <f t="shared" si="11"/>
        <v>H189867GC9060LL-M</v>
      </c>
      <c r="B745" s="35" t="s">
        <v>1010</v>
      </c>
      <c r="C745" s="35" t="s">
        <v>1541</v>
      </c>
      <c r="D745" s="35" t="s">
        <v>404</v>
      </c>
      <c r="E745" s="35" t="s">
        <v>2337</v>
      </c>
      <c r="F745" s="35" t="s">
        <v>414</v>
      </c>
      <c r="G745" s="35" t="s">
        <v>415</v>
      </c>
      <c r="H745" s="35">
        <v>474</v>
      </c>
    </row>
    <row r="746" spans="1:8" ht="15.75" x14ac:dyDescent="0.25">
      <c r="A746" t="str">
        <f t="shared" si="11"/>
        <v>7880856GC9060ER-M</v>
      </c>
      <c r="B746" s="35" t="s">
        <v>1014</v>
      </c>
      <c r="C746" s="35" t="s">
        <v>1542</v>
      </c>
      <c r="D746" s="35" t="s">
        <v>387</v>
      </c>
      <c r="E746" s="35" t="s">
        <v>2337</v>
      </c>
      <c r="F746" s="35" t="s">
        <v>388</v>
      </c>
      <c r="G746" s="35" t="s">
        <v>389</v>
      </c>
      <c r="H746" s="35">
        <v>1014</v>
      </c>
    </row>
    <row r="747" spans="1:8" ht="15.75" x14ac:dyDescent="0.25">
      <c r="A747" t="str">
        <f t="shared" si="11"/>
        <v>7884494GC9060ER-M</v>
      </c>
      <c r="B747" s="35" t="s">
        <v>1014</v>
      </c>
      <c r="C747" s="35" t="s">
        <v>1543</v>
      </c>
      <c r="D747" s="35" t="s">
        <v>395</v>
      </c>
      <c r="E747" s="35" t="s">
        <v>2337</v>
      </c>
      <c r="F747" s="35" t="s">
        <v>382</v>
      </c>
      <c r="G747" s="35" t="s">
        <v>383</v>
      </c>
      <c r="H747" s="35">
        <v>522</v>
      </c>
    </row>
    <row r="748" spans="1:8" ht="15.75" x14ac:dyDescent="0.25">
      <c r="A748" t="str">
        <f t="shared" si="11"/>
        <v>7884322GC9060GY-M</v>
      </c>
      <c r="B748" s="35" t="s">
        <v>1011</v>
      </c>
      <c r="C748" s="35" t="s">
        <v>834</v>
      </c>
      <c r="D748" s="35" t="s">
        <v>395</v>
      </c>
      <c r="E748" s="35" t="s">
        <v>2337</v>
      </c>
      <c r="F748" s="35" t="s">
        <v>382</v>
      </c>
      <c r="G748" s="35" t="s">
        <v>383</v>
      </c>
      <c r="H748" s="35">
        <v>516</v>
      </c>
    </row>
    <row r="749" spans="1:8" ht="15.75" x14ac:dyDescent="0.25">
      <c r="A749" t="str">
        <f t="shared" si="11"/>
        <v>7884370G9060744-M</v>
      </c>
      <c r="B749" s="35" t="s">
        <v>1017</v>
      </c>
      <c r="C749" s="35" t="s">
        <v>1544</v>
      </c>
      <c r="D749" s="35" t="s">
        <v>395</v>
      </c>
      <c r="E749" s="35" t="s">
        <v>2337</v>
      </c>
      <c r="F749" s="35" t="s">
        <v>382</v>
      </c>
      <c r="G749" s="35" t="s">
        <v>383</v>
      </c>
      <c r="H749" s="35">
        <v>354</v>
      </c>
    </row>
    <row r="750" spans="1:8" ht="15.75" x14ac:dyDescent="0.25">
      <c r="A750" t="str">
        <f t="shared" si="11"/>
        <v>7881762GC9060LL-M</v>
      </c>
      <c r="B750" s="35" t="s">
        <v>1010</v>
      </c>
      <c r="C750" s="35" t="s">
        <v>1545</v>
      </c>
      <c r="D750" s="35" t="s">
        <v>390</v>
      </c>
      <c r="E750" s="35" t="s">
        <v>2337</v>
      </c>
      <c r="F750" s="35" t="s">
        <v>382</v>
      </c>
      <c r="G750" s="35" t="s">
        <v>383</v>
      </c>
      <c r="H750" s="35">
        <v>510</v>
      </c>
    </row>
    <row r="751" spans="1:8" ht="15.75" x14ac:dyDescent="0.25">
      <c r="A751" t="str">
        <f t="shared" si="11"/>
        <v>U153189GC9060LL-M</v>
      </c>
      <c r="B751" s="35" t="s">
        <v>1010</v>
      </c>
      <c r="C751" s="35" t="s">
        <v>1546</v>
      </c>
      <c r="D751" s="35" t="s">
        <v>438</v>
      </c>
      <c r="E751" s="35" t="s">
        <v>2337</v>
      </c>
      <c r="F751" s="35" t="s">
        <v>436</v>
      </c>
      <c r="G751" s="35" t="s">
        <v>2310</v>
      </c>
      <c r="H751" s="35">
        <v>648</v>
      </c>
    </row>
    <row r="752" spans="1:8" ht="15.75" x14ac:dyDescent="0.25">
      <c r="A752" t="str">
        <f t="shared" si="11"/>
        <v>U153190GC9060LL-M</v>
      </c>
      <c r="B752" s="35" t="s">
        <v>1010</v>
      </c>
      <c r="C752" s="35" t="s">
        <v>1547</v>
      </c>
      <c r="D752" s="35" t="s">
        <v>438</v>
      </c>
      <c r="E752" s="35" t="s">
        <v>2337</v>
      </c>
      <c r="F752" s="35" t="s">
        <v>436</v>
      </c>
      <c r="G752" s="35" t="s">
        <v>448</v>
      </c>
      <c r="H752" s="35">
        <v>1926</v>
      </c>
    </row>
    <row r="753" spans="1:8" ht="15.75" x14ac:dyDescent="0.25">
      <c r="A753" t="str">
        <f t="shared" si="11"/>
        <v>U153194GC9060LL-M</v>
      </c>
      <c r="B753" s="35" t="s">
        <v>1010</v>
      </c>
      <c r="C753" s="35" t="s">
        <v>1548</v>
      </c>
      <c r="D753" s="35" t="s">
        <v>438</v>
      </c>
      <c r="E753" s="35" t="s">
        <v>2337</v>
      </c>
      <c r="F753" s="35" t="s">
        <v>436</v>
      </c>
      <c r="G753" s="35" t="s">
        <v>2310</v>
      </c>
      <c r="H753" s="35">
        <v>564</v>
      </c>
    </row>
    <row r="754" spans="1:8" ht="15.75" x14ac:dyDescent="0.25">
      <c r="A754" t="str">
        <f t="shared" si="11"/>
        <v>U153195GC9060LL-M</v>
      </c>
      <c r="B754" s="35" t="s">
        <v>1010</v>
      </c>
      <c r="C754" s="35" t="s">
        <v>1549</v>
      </c>
      <c r="D754" s="35" t="s">
        <v>438</v>
      </c>
      <c r="E754" s="35" t="s">
        <v>2337</v>
      </c>
      <c r="F754" s="35" t="s">
        <v>436</v>
      </c>
      <c r="G754" s="35" t="s">
        <v>448</v>
      </c>
      <c r="H754" s="35">
        <v>1866</v>
      </c>
    </row>
    <row r="755" spans="1:8" ht="15.75" x14ac:dyDescent="0.25">
      <c r="A755" t="str">
        <f t="shared" si="11"/>
        <v>7885534GC9060LL-M</v>
      </c>
      <c r="B755" s="35" t="s">
        <v>1010</v>
      </c>
      <c r="C755" s="35" t="s">
        <v>1550</v>
      </c>
      <c r="D755" s="35" t="s">
        <v>395</v>
      </c>
      <c r="E755" s="35" t="s">
        <v>2337</v>
      </c>
      <c r="F755" s="35" t="s">
        <v>382</v>
      </c>
      <c r="G755" s="35" t="s">
        <v>383</v>
      </c>
      <c r="H755" s="35">
        <v>174</v>
      </c>
    </row>
    <row r="756" spans="1:8" ht="15.75" x14ac:dyDescent="0.25">
      <c r="A756" t="str">
        <f t="shared" si="11"/>
        <v>H188959GC9060BE-M</v>
      </c>
      <c r="B756" s="35" t="s">
        <v>1013</v>
      </c>
      <c r="C756" s="35" t="s">
        <v>1551</v>
      </c>
      <c r="D756" s="35" t="s">
        <v>404</v>
      </c>
      <c r="E756" s="35" t="s">
        <v>2337</v>
      </c>
      <c r="F756" s="35" t="s">
        <v>501</v>
      </c>
      <c r="G756" s="35" t="s">
        <v>502</v>
      </c>
      <c r="H756" s="35">
        <v>210</v>
      </c>
    </row>
    <row r="757" spans="1:8" ht="15.75" x14ac:dyDescent="0.25">
      <c r="A757" t="str">
        <f t="shared" si="11"/>
        <v>U153205G90606AX-M</v>
      </c>
      <c r="B757" s="35" t="s">
        <v>1016</v>
      </c>
      <c r="C757" s="35" t="s">
        <v>1552</v>
      </c>
      <c r="D757" s="35" t="s">
        <v>438</v>
      </c>
      <c r="E757" s="35" t="s">
        <v>2337</v>
      </c>
      <c r="F757" s="35" t="s">
        <v>436</v>
      </c>
      <c r="G757" s="35" t="s">
        <v>451</v>
      </c>
      <c r="H757" s="35">
        <v>1146</v>
      </c>
    </row>
    <row r="758" spans="1:8" ht="15.75" x14ac:dyDescent="0.25">
      <c r="A758" t="str">
        <f t="shared" si="11"/>
        <v>U153217G90606AX-M</v>
      </c>
      <c r="B758" s="35" t="s">
        <v>1016</v>
      </c>
      <c r="C758" s="35" t="s">
        <v>1553</v>
      </c>
      <c r="D758" s="35" t="s">
        <v>438</v>
      </c>
      <c r="E758" s="35" t="s">
        <v>2337</v>
      </c>
      <c r="F758" s="35" t="s">
        <v>436</v>
      </c>
      <c r="G758" s="35" t="s">
        <v>455</v>
      </c>
      <c r="H758" s="35">
        <v>1254</v>
      </c>
    </row>
    <row r="759" spans="1:8" ht="15.75" x14ac:dyDescent="0.25">
      <c r="A759" t="str">
        <f t="shared" si="11"/>
        <v>U153220G90606AX-M</v>
      </c>
      <c r="B759" s="35" t="s">
        <v>1016</v>
      </c>
      <c r="C759" s="35" t="s">
        <v>1554</v>
      </c>
      <c r="D759" s="35" t="s">
        <v>438</v>
      </c>
      <c r="E759" s="35" t="s">
        <v>2337</v>
      </c>
      <c r="F759" s="35" t="s">
        <v>436</v>
      </c>
      <c r="G759" s="35" t="s">
        <v>449</v>
      </c>
      <c r="H759" s="35">
        <v>612</v>
      </c>
    </row>
    <row r="760" spans="1:8" ht="15.75" x14ac:dyDescent="0.25">
      <c r="A760" t="str">
        <f t="shared" si="11"/>
        <v>U153225G90606AX-M</v>
      </c>
      <c r="B760" s="35" t="s">
        <v>1016</v>
      </c>
      <c r="C760" s="35" t="s">
        <v>1555</v>
      </c>
      <c r="D760" s="35" t="s">
        <v>438</v>
      </c>
      <c r="E760" s="35" t="s">
        <v>2337</v>
      </c>
      <c r="F760" s="35" t="s">
        <v>436</v>
      </c>
      <c r="G760" s="35" t="s">
        <v>449</v>
      </c>
      <c r="H760" s="35">
        <v>618</v>
      </c>
    </row>
    <row r="761" spans="1:8" ht="15.75" x14ac:dyDescent="0.25">
      <c r="A761" t="str">
        <f t="shared" si="11"/>
        <v>U153229G90606AX-M</v>
      </c>
      <c r="B761" s="35" t="s">
        <v>1016</v>
      </c>
      <c r="C761" s="35" t="s">
        <v>1556</v>
      </c>
      <c r="D761" s="35" t="s">
        <v>438</v>
      </c>
      <c r="E761" s="35" t="s">
        <v>2337</v>
      </c>
      <c r="F761" s="35" t="s">
        <v>436</v>
      </c>
      <c r="G761" s="35" t="s">
        <v>450</v>
      </c>
      <c r="H761" s="35">
        <v>774</v>
      </c>
    </row>
    <row r="762" spans="1:8" ht="15.75" x14ac:dyDescent="0.25">
      <c r="A762" t="str">
        <f t="shared" si="11"/>
        <v>7880814G9060744-M</v>
      </c>
      <c r="B762" s="35" t="s">
        <v>1017</v>
      </c>
      <c r="C762" s="35" t="s">
        <v>1557</v>
      </c>
      <c r="D762" s="35" t="s">
        <v>387</v>
      </c>
      <c r="E762" s="35" t="s">
        <v>2337</v>
      </c>
      <c r="F762" s="35" t="s">
        <v>388</v>
      </c>
      <c r="G762" s="35" t="s">
        <v>389</v>
      </c>
      <c r="H762" s="35">
        <v>534</v>
      </c>
    </row>
    <row r="763" spans="1:8" ht="15.75" x14ac:dyDescent="0.25">
      <c r="A763" t="str">
        <f t="shared" si="11"/>
        <v>7881682G9060744-M</v>
      </c>
      <c r="B763" s="35" t="s">
        <v>1017</v>
      </c>
      <c r="C763" s="35" t="s">
        <v>1558</v>
      </c>
      <c r="D763" s="35" t="s">
        <v>390</v>
      </c>
      <c r="E763" s="35" t="s">
        <v>2337</v>
      </c>
      <c r="F763" s="35" t="s">
        <v>382</v>
      </c>
      <c r="G763" s="35" t="s">
        <v>383</v>
      </c>
      <c r="H763" s="35">
        <v>222</v>
      </c>
    </row>
    <row r="764" spans="1:8" ht="15.75" x14ac:dyDescent="0.25">
      <c r="A764" t="str">
        <f t="shared" si="11"/>
        <v>U158357G90606AX-M</v>
      </c>
      <c r="B764" s="35" t="s">
        <v>1016</v>
      </c>
      <c r="C764" s="35" t="s">
        <v>1559</v>
      </c>
      <c r="D764" s="35" t="s">
        <v>438</v>
      </c>
      <c r="E764" s="35" t="s">
        <v>2337</v>
      </c>
      <c r="F764" s="35" t="s">
        <v>436</v>
      </c>
      <c r="G764" s="35" t="s">
        <v>2288</v>
      </c>
      <c r="H764" s="35">
        <v>504</v>
      </c>
    </row>
    <row r="765" spans="1:8" ht="15.75" x14ac:dyDescent="0.25">
      <c r="A765" t="str">
        <f t="shared" si="11"/>
        <v>H189791GC9060BK-M</v>
      </c>
      <c r="B765" s="35" t="s">
        <v>1009</v>
      </c>
      <c r="C765" s="35" t="s">
        <v>1560</v>
      </c>
      <c r="D765" s="35" t="s">
        <v>404</v>
      </c>
      <c r="E765" s="35" t="s">
        <v>2337</v>
      </c>
      <c r="F765" s="35" t="s">
        <v>501</v>
      </c>
      <c r="G765" s="35" t="s">
        <v>502</v>
      </c>
      <c r="H765" s="35">
        <v>144</v>
      </c>
    </row>
    <row r="766" spans="1:8" ht="15.75" x14ac:dyDescent="0.25">
      <c r="A766" t="str">
        <f t="shared" si="11"/>
        <v>H189795GC9060GY-M</v>
      </c>
      <c r="B766" s="35" t="s">
        <v>1011</v>
      </c>
      <c r="C766" s="35" t="s">
        <v>1561</v>
      </c>
      <c r="D766" s="35" t="s">
        <v>404</v>
      </c>
      <c r="E766" s="35" t="s">
        <v>2337</v>
      </c>
      <c r="F766" s="35" t="s">
        <v>501</v>
      </c>
      <c r="G766" s="35" t="s">
        <v>502</v>
      </c>
      <c r="H766" s="35">
        <v>144</v>
      </c>
    </row>
    <row r="767" spans="1:8" ht="15.75" x14ac:dyDescent="0.25">
      <c r="A767" t="str">
        <f t="shared" si="11"/>
        <v>H195693GC9060ER-M</v>
      </c>
      <c r="B767" s="35" t="s">
        <v>1014</v>
      </c>
      <c r="C767" s="35" t="s">
        <v>1562</v>
      </c>
      <c r="D767" s="35" t="s">
        <v>404</v>
      </c>
      <c r="E767" s="35" t="s">
        <v>2337</v>
      </c>
      <c r="F767" s="35" t="s">
        <v>414</v>
      </c>
      <c r="G767" s="35" t="s">
        <v>415</v>
      </c>
      <c r="H767" s="35">
        <v>660</v>
      </c>
    </row>
    <row r="768" spans="1:8" ht="15.75" x14ac:dyDescent="0.25">
      <c r="A768" t="str">
        <f t="shared" si="11"/>
        <v>H189137GC9060ER-M</v>
      </c>
      <c r="B768" s="35" t="s">
        <v>1014</v>
      </c>
      <c r="C768" s="35" t="s">
        <v>1563</v>
      </c>
      <c r="D768" s="35" t="s">
        <v>404</v>
      </c>
      <c r="E768" s="35" t="s">
        <v>2337</v>
      </c>
      <c r="F768" s="35" t="s">
        <v>414</v>
      </c>
      <c r="G768" s="35" t="s">
        <v>415</v>
      </c>
      <c r="H768" s="35">
        <v>1728</v>
      </c>
    </row>
    <row r="769" spans="1:8" ht="15.75" x14ac:dyDescent="0.25">
      <c r="A769" t="str">
        <f t="shared" si="11"/>
        <v>7886320GC9060ER-M</v>
      </c>
      <c r="B769" s="35" t="s">
        <v>1014</v>
      </c>
      <c r="C769" s="35" t="s">
        <v>1564</v>
      </c>
      <c r="D769" s="35" t="s">
        <v>395</v>
      </c>
      <c r="E769" s="35" t="s">
        <v>2337</v>
      </c>
      <c r="F769" s="35" t="s">
        <v>382</v>
      </c>
      <c r="G769" s="35" t="s">
        <v>383</v>
      </c>
      <c r="H769" s="35">
        <v>852</v>
      </c>
    </row>
    <row r="770" spans="1:8" ht="15.75" x14ac:dyDescent="0.25">
      <c r="A770" t="str">
        <f t="shared" si="11"/>
        <v>H177086I90604IM-M</v>
      </c>
      <c r="B770" s="35" t="s">
        <v>1019</v>
      </c>
      <c r="C770" s="35" t="s">
        <v>1565</v>
      </c>
      <c r="D770" s="35" t="s">
        <v>404</v>
      </c>
      <c r="E770" s="35" t="s">
        <v>2337</v>
      </c>
      <c r="F770" s="35" t="s">
        <v>430</v>
      </c>
      <c r="G770" s="35" t="s">
        <v>431</v>
      </c>
      <c r="H770" s="35">
        <v>288</v>
      </c>
    </row>
    <row r="771" spans="1:8" ht="15.75" x14ac:dyDescent="0.25">
      <c r="A771" t="str">
        <f t="shared" si="11"/>
        <v>H177087I90604IM-M</v>
      </c>
      <c r="B771" s="35" t="s">
        <v>1019</v>
      </c>
      <c r="C771" s="35" t="s">
        <v>1566</v>
      </c>
      <c r="D771" s="35" t="s">
        <v>404</v>
      </c>
      <c r="E771" s="35" t="s">
        <v>2337</v>
      </c>
      <c r="F771" s="35" t="s">
        <v>430</v>
      </c>
      <c r="G771" s="35" t="s">
        <v>431</v>
      </c>
      <c r="H771" s="35">
        <v>732</v>
      </c>
    </row>
    <row r="772" spans="1:8" ht="15.75" x14ac:dyDescent="0.25">
      <c r="A772" t="str">
        <f t="shared" si="11"/>
        <v>H177071P906011M-M</v>
      </c>
      <c r="B772" s="35" t="s">
        <v>1020</v>
      </c>
      <c r="C772" s="35" t="s">
        <v>1567</v>
      </c>
      <c r="D772" s="35" t="s">
        <v>404</v>
      </c>
      <c r="E772" s="35" t="s">
        <v>2337</v>
      </c>
      <c r="F772" s="35" t="s">
        <v>430</v>
      </c>
      <c r="G772" s="35" t="s">
        <v>431</v>
      </c>
      <c r="H772" s="35">
        <v>192</v>
      </c>
    </row>
    <row r="773" spans="1:8" ht="15.75" x14ac:dyDescent="0.25">
      <c r="A773" t="str">
        <f t="shared" si="11"/>
        <v>H177596P90609YZ-M</v>
      </c>
      <c r="B773" s="35" t="s">
        <v>1021</v>
      </c>
      <c r="C773" s="35" t="s">
        <v>747</v>
      </c>
      <c r="D773" s="35" t="s">
        <v>404</v>
      </c>
      <c r="E773" s="35" t="s">
        <v>2337</v>
      </c>
      <c r="F773" s="35" t="s">
        <v>2292</v>
      </c>
      <c r="G773" s="35" t="s">
        <v>2293</v>
      </c>
      <c r="H773" s="35">
        <v>276</v>
      </c>
    </row>
    <row r="774" spans="1:8" ht="15.75" x14ac:dyDescent="0.25">
      <c r="A774" t="str">
        <f t="shared" si="11"/>
        <v>U149026I90604IM-M</v>
      </c>
      <c r="B774" s="35" t="s">
        <v>1019</v>
      </c>
      <c r="C774" s="35" t="s">
        <v>635</v>
      </c>
      <c r="D774" s="35" t="s">
        <v>438</v>
      </c>
      <c r="E774" s="35" t="s">
        <v>2337</v>
      </c>
      <c r="F774" s="35" t="s">
        <v>436</v>
      </c>
      <c r="G774" s="35" t="s">
        <v>448</v>
      </c>
      <c r="H774" s="35">
        <v>6804</v>
      </c>
    </row>
    <row r="775" spans="1:8" ht="15.75" x14ac:dyDescent="0.25">
      <c r="A775" t="str">
        <f t="shared" ref="A775:A838" si="12">+C775&amp;B775&amp;"-"&amp;E775</f>
        <v>H177265IV9060ER-M</v>
      </c>
      <c r="B775" s="35" t="s">
        <v>1022</v>
      </c>
      <c r="C775" s="35" t="s">
        <v>810</v>
      </c>
      <c r="D775" s="35" t="s">
        <v>404</v>
      </c>
      <c r="E775" s="35" t="s">
        <v>2337</v>
      </c>
      <c r="F775" s="35" t="s">
        <v>402</v>
      </c>
      <c r="G775" s="35" t="s">
        <v>403</v>
      </c>
      <c r="H775" s="35">
        <v>144</v>
      </c>
    </row>
    <row r="776" spans="1:8" ht="15.75" x14ac:dyDescent="0.25">
      <c r="A776" t="str">
        <f t="shared" si="12"/>
        <v>U152831I90602QH-M</v>
      </c>
      <c r="B776" s="35" t="s">
        <v>1023</v>
      </c>
      <c r="C776" s="35" t="s">
        <v>1568</v>
      </c>
      <c r="D776" s="35" t="s">
        <v>444</v>
      </c>
      <c r="E776" s="35" t="s">
        <v>2337</v>
      </c>
      <c r="F776" s="35" t="s">
        <v>436</v>
      </c>
      <c r="G776" s="35" t="s">
        <v>443</v>
      </c>
      <c r="H776" s="35">
        <v>198</v>
      </c>
    </row>
    <row r="777" spans="1:8" ht="15.75" x14ac:dyDescent="0.25">
      <c r="A777" t="str">
        <f t="shared" si="12"/>
        <v>H189296I90605JO-W</v>
      </c>
      <c r="B777" s="35" t="s">
        <v>1024</v>
      </c>
      <c r="C777" s="35" t="s">
        <v>1569</v>
      </c>
      <c r="D777" s="35" t="s">
        <v>404</v>
      </c>
      <c r="E777" s="35" t="s">
        <v>2338</v>
      </c>
      <c r="F777" s="35" t="s">
        <v>2311</v>
      </c>
      <c r="G777" s="35" t="s">
        <v>2312</v>
      </c>
      <c r="H777" s="35">
        <v>384</v>
      </c>
    </row>
    <row r="778" spans="1:8" ht="15.75" x14ac:dyDescent="0.25">
      <c r="A778" t="str">
        <f t="shared" si="12"/>
        <v>U152826IV9060BE-M</v>
      </c>
      <c r="B778" s="35" t="s">
        <v>1025</v>
      </c>
      <c r="C778" s="35" t="s">
        <v>883</v>
      </c>
      <c r="D778" s="35" t="s">
        <v>444</v>
      </c>
      <c r="E778" s="35" t="s">
        <v>2337</v>
      </c>
      <c r="F778" s="35" t="s">
        <v>436</v>
      </c>
      <c r="G778" s="35" t="s">
        <v>443</v>
      </c>
      <c r="H778" s="35">
        <v>90</v>
      </c>
    </row>
    <row r="779" spans="1:8" ht="15.75" x14ac:dyDescent="0.25">
      <c r="A779" t="str">
        <f t="shared" si="12"/>
        <v>U152826IV9060BE-W</v>
      </c>
      <c r="B779" s="35" t="s">
        <v>1025</v>
      </c>
      <c r="C779" s="35" t="s">
        <v>883</v>
      </c>
      <c r="D779" s="35" t="s">
        <v>444</v>
      </c>
      <c r="E779" s="35" t="s">
        <v>2338</v>
      </c>
      <c r="F779" s="35" t="s">
        <v>436</v>
      </c>
      <c r="G779" s="35" t="s">
        <v>443</v>
      </c>
      <c r="H779" s="35">
        <v>120</v>
      </c>
    </row>
    <row r="780" spans="1:8" ht="15.75" x14ac:dyDescent="0.25">
      <c r="A780" t="str">
        <f t="shared" si="12"/>
        <v>H189167IV9060ER-M</v>
      </c>
      <c r="B780" s="35" t="s">
        <v>1022</v>
      </c>
      <c r="C780" s="35" t="s">
        <v>838</v>
      </c>
      <c r="D780" s="35" t="s">
        <v>404</v>
      </c>
      <c r="E780" s="35" t="s">
        <v>2337</v>
      </c>
      <c r="F780" s="35" t="s">
        <v>414</v>
      </c>
      <c r="G780" s="35" t="s">
        <v>415</v>
      </c>
      <c r="H780" s="35">
        <v>264</v>
      </c>
    </row>
    <row r="781" spans="1:8" ht="15.75" x14ac:dyDescent="0.25">
      <c r="A781" t="str">
        <f t="shared" si="12"/>
        <v>H176969PV9060LL-M</v>
      </c>
      <c r="B781" s="35" t="s">
        <v>1026</v>
      </c>
      <c r="C781" s="35" t="s">
        <v>790</v>
      </c>
      <c r="D781" s="35" t="s">
        <v>404</v>
      </c>
      <c r="E781" s="35" t="s">
        <v>2337</v>
      </c>
      <c r="F781" s="35" t="s">
        <v>434</v>
      </c>
      <c r="G781" s="35" t="s">
        <v>435</v>
      </c>
      <c r="H781" s="35">
        <v>144</v>
      </c>
    </row>
    <row r="782" spans="1:8" ht="15.75" x14ac:dyDescent="0.25">
      <c r="A782" t="str">
        <f t="shared" si="12"/>
        <v>H177289PV9060LL-M</v>
      </c>
      <c r="B782" s="35" t="s">
        <v>1026</v>
      </c>
      <c r="C782" s="35" t="s">
        <v>798</v>
      </c>
      <c r="D782" s="35" t="s">
        <v>404</v>
      </c>
      <c r="E782" s="35" t="s">
        <v>2337</v>
      </c>
      <c r="F782" s="35" t="s">
        <v>402</v>
      </c>
      <c r="G782" s="35" t="s">
        <v>403</v>
      </c>
      <c r="H782" s="35">
        <v>288</v>
      </c>
    </row>
    <row r="783" spans="1:8" ht="15.75" x14ac:dyDescent="0.25">
      <c r="A783" t="str">
        <f t="shared" si="12"/>
        <v>H177278PV9060ER-M</v>
      </c>
      <c r="B783" s="35" t="s">
        <v>1027</v>
      </c>
      <c r="C783" s="35" t="s">
        <v>808</v>
      </c>
      <c r="D783" s="35" t="s">
        <v>404</v>
      </c>
      <c r="E783" s="35" t="s">
        <v>2337</v>
      </c>
      <c r="F783" s="35" t="s">
        <v>402</v>
      </c>
      <c r="G783" s="35" t="s">
        <v>403</v>
      </c>
      <c r="H783" s="35">
        <v>144</v>
      </c>
    </row>
    <row r="784" spans="1:8" ht="15.75" x14ac:dyDescent="0.25">
      <c r="A784" t="str">
        <f t="shared" si="12"/>
        <v>H177020PV9060BE-M</v>
      </c>
      <c r="B784" s="35" t="s">
        <v>1028</v>
      </c>
      <c r="C784" s="35" t="s">
        <v>843</v>
      </c>
      <c r="D784" s="35" t="s">
        <v>404</v>
      </c>
      <c r="E784" s="35" t="s">
        <v>2337</v>
      </c>
      <c r="F784" s="35" t="s">
        <v>524</v>
      </c>
      <c r="G784" s="35" t="s">
        <v>525</v>
      </c>
      <c r="H784" s="35">
        <v>864</v>
      </c>
    </row>
    <row r="785" spans="1:8" ht="15.75" x14ac:dyDescent="0.25">
      <c r="A785" t="str">
        <f t="shared" si="12"/>
        <v>H189101PV9060ER-M</v>
      </c>
      <c r="B785" s="35" t="s">
        <v>1027</v>
      </c>
      <c r="C785" s="35" t="s">
        <v>853</v>
      </c>
      <c r="D785" s="35" t="s">
        <v>404</v>
      </c>
      <c r="E785" s="35" t="s">
        <v>2337</v>
      </c>
      <c r="F785" s="35" t="s">
        <v>414</v>
      </c>
      <c r="G785" s="35" t="s">
        <v>415</v>
      </c>
      <c r="H785" s="35">
        <v>300</v>
      </c>
    </row>
    <row r="786" spans="1:8" ht="15.75" x14ac:dyDescent="0.25">
      <c r="A786" t="str">
        <f t="shared" si="12"/>
        <v>H189046PV9060ER-M</v>
      </c>
      <c r="B786" s="35" t="s">
        <v>1027</v>
      </c>
      <c r="C786" s="35" t="s">
        <v>1570</v>
      </c>
      <c r="D786" s="35" t="s">
        <v>404</v>
      </c>
      <c r="E786" s="35" t="s">
        <v>2337</v>
      </c>
      <c r="F786" s="35" t="s">
        <v>2294</v>
      </c>
      <c r="G786" s="35" t="s">
        <v>2295</v>
      </c>
      <c r="H786" s="35">
        <v>360</v>
      </c>
    </row>
    <row r="787" spans="1:8" ht="15.75" x14ac:dyDescent="0.25">
      <c r="A787" t="str">
        <f t="shared" si="12"/>
        <v>H189098PV9060ER-M</v>
      </c>
      <c r="B787" s="35" t="s">
        <v>1027</v>
      </c>
      <c r="C787" s="35" t="s">
        <v>1571</v>
      </c>
      <c r="D787" s="35" t="s">
        <v>404</v>
      </c>
      <c r="E787" s="35" t="s">
        <v>2337</v>
      </c>
      <c r="F787" s="35" t="s">
        <v>414</v>
      </c>
      <c r="G787" s="35" t="s">
        <v>415</v>
      </c>
      <c r="H787" s="35">
        <v>240</v>
      </c>
    </row>
    <row r="788" spans="1:8" ht="15.75" x14ac:dyDescent="0.25">
      <c r="A788" t="str">
        <f t="shared" si="12"/>
        <v>H176879PV9060BE-M</v>
      </c>
      <c r="B788" s="35" t="s">
        <v>1028</v>
      </c>
      <c r="C788" s="35" t="s">
        <v>1572</v>
      </c>
      <c r="D788" s="35" t="s">
        <v>404</v>
      </c>
      <c r="E788" s="35" t="s">
        <v>2337</v>
      </c>
      <c r="F788" s="35" t="s">
        <v>2292</v>
      </c>
      <c r="G788" s="35" t="s">
        <v>2293</v>
      </c>
      <c r="H788" s="35">
        <v>240</v>
      </c>
    </row>
    <row r="789" spans="1:8" ht="15.75" x14ac:dyDescent="0.25">
      <c r="A789" t="str">
        <f t="shared" si="12"/>
        <v>H189852PV9060BE-M</v>
      </c>
      <c r="B789" s="35" t="s">
        <v>1028</v>
      </c>
      <c r="C789" s="35" t="s">
        <v>1573</v>
      </c>
      <c r="D789" s="35" t="s">
        <v>404</v>
      </c>
      <c r="E789" s="35" t="s">
        <v>2337</v>
      </c>
      <c r="F789" s="35" t="s">
        <v>414</v>
      </c>
      <c r="G789" s="35" t="s">
        <v>415</v>
      </c>
      <c r="H789" s="35">
        <v>996</v>
      </c>
    </row>
    <row r="790" spans="1:8" ht="15.75" x14ac:dyDescent="0.25">
      <c r="A790" t="str">
        <f t="shared" si="12"/>
        <v>7884280I9060819-M</v>
      </c>
      <c r="B790" s="35" t="s">
        <v>1029</v>
      </c>
      <c r="C790" s="35" t="s">
        <v>1574</v>
      </c>
      <c r="D790" s="35" t="s">
        <v>474</v>
      </c>
      <c r="E790" s="35" t="s">
        <v>2337</v>
      </c>
      <c r="F790" s="35" t="s">
        <v>379</v>
      </c>
      <c r="G790" s="35" t="s">
        <v>380</v>
      </c>
      <c r="H790" s="35">
        <v>174</v>
      </c>
    </row>
    <row r="791" spans="1:8" ht="15.75" x14ac:dyDescent="0.25">
      <c r="A791" t="str">
        <f t="shared" si="12"/>
        <v>7884418I9060819-M</v>
      </c>
      <c r="B791" s="35" t="s">
        <v>1029</v>
      </c>
      <c r="C791" s="35" t="s">
        <v>1575</v>
      </c>
      <c r="D791" s="35" t="s">
        <v>395</v>
      </c>
      <c r="E791" s="35" t="s">
        <v>2337</v>
      </c>
      <c r="F791" s="35" t="s">
        <v>382</v>
      </c>
      <c r="G791" s="35" t="s">
        <v>383</v>
      </c>
      <c r="H791" s="35">
        <v>174</v>
      </c>
    </row>
    <row r="792" spans="1:8" ht="15.75" x14ac:dyDescent="0.25">
      <c r="A792" t="str">
        <f t="shared" si="12"/>
        <v>7882911IV9060BE-M</v>
      </c>
      <c r="B792" s="35" t="s">
        <v>1025</v>
      </c>
      <c r="C792" s="35" t="s">
        <v>1576</v>
      </c>
      <c r="D792" s="35" t="s">
        <v>394</v>
      </c>
      <c r="E792" s="35" t="s">
        <v>2337</v>
      </c>
      <c r="F792" s="35" t="s">
        <v>392</v>
      </c>
      <c r="G792" s="35" t="s">
        <v>393</v>
      </c>
      <c r="H792" s="35">
        <v>324</v>
      </c>
    </row>
    <row r="793" spans="1:8" ht="15.75" x14ac:dyDescent="0.25">
      <c r="A793" t="str">
        <f t="shared" si="12"/>
        <v>H189170IV9060ER-M</v>
      </c>
      <c r="B793" s="35" t="s">
        <v>1022</v>
      </c>
      <c r="C793" s="35" t="s">
        <v>1577</v>
      </c>
      <c r="D793" s="35" t="s">
        <v>404</v>
      </c>
      <c r="E793" s="35" t="s">
        <v>2337</v>
      </c>
      <c r="F793" s="35" t="s">
        <v>414</v>
      </c>
      <c r="G793" s="35" t="s">
        <v>415</v>
      </c>
      <c r="H793" s="35">
        <v>1176</v>
      </c>
    </row>
    <row r="794" spans="1:8" ht="15.75" x14ac:dyDescent="0.25">
      <c r="A794" t="str">
        <f t="shared" si="12"/>
        <v>U153196I90607FE-M</v>
      </c>
      <c r="B794" s="35" t="s">
        <v>1030</v>
      </c>
      <c r="C794" s="35" t="s">
        <v>1578</v>
      </c>
      <c r="D794" s="35" t="s">
        <v>444</v>
      </c>
      <c r="E794" s="35" t="s">
        <v>2337</v>
      </c>
      <c r="F794" s="35" t="s">
        <v>436</v>
      </c>
      <c r="G794" s="35" t="s">
        <v>443</v>
      </c>
      <c r="H794" s="35">
        <v>1500</v>
      </c>
    </row>
    <row r="795" spans="1:8" ht="15.75" x14ac:dyDescent="0.25">
      <c r="A795" t="str">
        <f t="shared" si="12"/>
        <v>7876096I90605HA-M</v>
      </c>
      <c r="B795" s="35" t="s">
        <v>1031</v>
      </c>
      <c r="C795" s="35" t="s">
        <v>1579</v>
      </c>
      <c r="D795" s="35" t="s">
        <v>387</v>
      </c>
      <c r="E795" s="35" t="s">
        <v>2337</v>
      </c>
      <c r="F795" s="35" t="s">
        <v>388</v>
      </c>
      <c r="G795" s="35" t="s">
        <v>389</v>
      </c>
      <c r="H795" s="35">
        <v>960</v>
      </c>
    </row>
    <row r="796" spans="1:8" ht="15.75" x14ac:dyDescent="0.25">
      <c r="A796" t="str">
        <f t="shared" si="12"/>
        <v>7880923I90605HA-M</v>
      </c>
      <c r="B796" s="35" t="s">
        <v>1031</v>
      </c>
      <c r="C796" s="35" t="s">
        <v>1580</v>
      </c>
      <c r="D796" s="35" t="s">
        <v>387</v>
      </c>
      <c r="E796" s="35" t="s">
        <v>2337</v>
      </c>
      <c r="F796" s="35" t="s">
        <v>388</v>
      </c>
      <c r="G796" s="35" t="s">
        <v>389</v>
      </c>
      <c r="H796" s="35">
        <v>306</v>
      </c>
    </row>
    <row r="797" spans="1:8" ht="15.75" x14ac:dyDescent="0.25">
      <c r="A797" t="str">
        <f t="shared" si="12"/>
        <v>U153209I90605HA-M</v>
      </c>
      <c r="B797" s="35" t="s">
        <v>1031</v>
      </c>
      <c r="C797" s="35" t="s">
        <v>1581</v>
      </c>
      <c r="D797" s="35" t="s">
        <v>444</v>
      </c>
      <c r="E797" s="35" t="s">
        <v>2337</v>
      </c>
      <c r="F797" s="35" t="s">
        <v>436</v>
      </c>
      <c r="G797" s="35" t="s">
        <v>443</v>
      </c>
      <c r="H797" s="35">
        <v>390</v>
      </c>
    </row>
    <row r="798" spans="1:8" ht="15.75" x14ac:dyDescent="0.25">
      <c r="A798" t="str">
        <f t="shared" si="12"/>
        <v>U153209I90605HA-W</v>
      </c>
      <c r="B798" s="35" t="s">
        <v>1031</v>
      </c>
      <c r="C798" s="35" t="s">
        <v>1581</v>
      </c>
      <c r="D798" s="35" t="s">
        <v>444</v>
      </c>
      <c r="E798" s="35" t="s">
        <v>2338</v>
      </c>
      <c r="F798" s="35" t="s">
        <v>436</v>
      </c>
      <c r="G798" s="35" t="s">
        <v>443</v>
      </c>
      <c r="H798" s="35">
        <v>12</v>
      </c>
    </row>
    <row r="799" spans="1:8" ht="15.75" x14ac:dyDescent="0.25">
      <c r="A799" t="str">
        <f t="shared" si="12"/>
        <v>U148022I90605HA-M</v>
      </c>
      <c r="B799" s="35" t="s">
        <v>1031</v>
      </c>
      <c r="C799" s="35" t="s">
        <v>1582</v>
      </c>
      <c r="D799" s="35" t="s">
        <v>438</v>
      </c>
      <c r="E799" s="35" t="s">
        <v>2337</v>
      </c>
      <c r="F799" s="35" t="s">
        <v>436</v>
      </c>
      <c r="G799" s="35" t="s">
        <v>2304</v>
      </c>
      <c r="H799" s="35">
        <v>2808</v>
      </c>
    </row>
    <row r="800" spans="1:8" ht="15.75" x14ac:dyDescent="0.25">
      <c r="A800" t="str">
        <f t="shared" si="12"/>
        <v>H189856IV9060GY-M</v>
      </c>
      <c r="B800" s="35" t="s">
        <v>1032</v>
      </c>
      <c r="C800" s="35" t="s">
        <v>1583</v>
      </c>
      <c r="D800" s="35" t="s">
        <v>404</v>
      </c>
      <c r="E800" s="35" t="s">
        <v>2337</v>
      </c>
      <c r="F800" s="35" t="s">
        <v>2298</v>
      </c>
      <c r="G800" s="35" t="s">
        <v>2299</v>
      </c>
      <c r="H800" s="35">
        <v>456</v>
      </c>
    </row>
    <row r="801" spans="1:8" ht="15.75" x14ac:dyDescent="0.25">
      <c r="A801" t="str">
        <f t="shared" si="12"/>
        <v>U153167IV9060GY-M</v>
      </c>
      <c r="B801" s="35" t="s">
        <v>1032</v>
      </c>
      <c r="C801" s="35" t="s">
        <v>1584</v>
      </c>
      <c r="D801" s="35" t="s">
        <v>444</v>
      </c>
      <c r="E801" s="35" t="s">
        <v>2337</v>
      </c>
      <c r="F801" s="35" t="s">
        <v>436</v>
      </c>
      <c r="G801" s="35" t="s">
        <v>443</v>
      </c>
      <c r="H801" s="35">
        <v>192</v>
      </c>
    </row>
    <row r="802" spans="1:8" ht="15.75" x14ac:dyDescent="0.25">
      <c r="A802" t="str">
        <f t="shared" si="12"/>
        <v>U153167IV9060GY-W</v>
      </c>
      <c r="B802" s="35" t="s">
        <v>1032</v>
      </c>
      <c r="C802" s="35" t="s">
        <v>1584</v>
      </c>
      <c r="D802" s="35" t="s">
        <v>444</v>
      </c>
      <c r="E802" s="35" t="s">
        <v>2338</v>
      </c>
      <c r="F802" s="35" t="s">
        <v>436</v>
      </c>
      <c r="G802" s="35" t="s">
        <v>443</v>
      </c>
      <c r="H802" s="35">
        <v>150</v>
      </c>
    </row>
    <row r="803" spans="1:8" ht="15.75" x14ac:dyDescent="0.25">
      <c r="A803" t="str">
        <f t="shared" si="12"/>
        <v>7880642IV9060LL-M</v>
      </c>
      <c r="B803" s="35" t="s">
        <v>1033</v>
      </c>
      <c r="C803" s="35" t="s">
        <v>1585</v>
      </c>
      <c r="D803" s="35" t="s">
        <v>387</v>
      </c>
      <c r="E803" s="35" t="s">
        <v>2337</v>
      </c>
      <c r="F803" s="35" t="s">
        <v>388</v>
      </c>
      <c r="G803" s="35" t="s">
        <v>389</v>
      </c>
      <c r="H803" s="35">
        <v>840</v>
      </c>
    </row>
    <row r="804" spans="1:8" ht="15.75" x14ac:dyDescent="0.25">
      <c r="A804" t="str">
        <f t="shared" si="12"/>
        <v>H189169IV9060LL-M</v>
      </c>
      <c r="B804" s="35" t="s">
        <v>1033</v>
      </c>
      <c r="C804" s="35" t="s">
        <v>1586</v>
      </c>
      <c r="D804" s="35" t="s">
        <v>404</v>
      </c>
      <c r="E804" s="35" t="s">
        <v>2337</v>
      </c>
      <c r="F804" s="35" t="s">
        <v>414</v>
      </c>
      <c r="G804" s="35" t="s">
        <v>415</v>
      </c>
      <c r="H804" s="35">
        <v>288</v>
      </c>
    </row>
    <row r="805" spans="1:8" ht="15.75" x14ac:dyDescent="0.25">
      <c r="A805" t="str">
        <f t="shared" si="12"/>
        <v>H177952IV9060LL-M</v>
      </c>
      <c r="B805" s="35" t="s">
        <v>1033</v>
      </c>
      <c r="C805" s="35" t="s">
        <v>1587</v>
      </c>
      <c r="D805" s="35" t="s">
        <v>404</v>
      </c>
      <c r="E805" s="35" t="s">
        <v>2337</v>
      </c>
      <c r="F805" s="35" t="s">
        <v>2294</v>
      </c>
      <c r="G805" s="35" t="s">
        <v>2295</v>
      </c>
      <c r="H805" s="35">
        <v>216</v>
      </c>
    </row>
    <row r="806" spans="1:8" ht="15.75" x14ac:dyDescent="0.25">
      <c r="A806" t="str">
        <f t="shared" si="12"/>
        <v>H178085IV9060LL-M</v>
      </c>
      <c r="B806" s="35" t="s">
        <v>1033</v>
      </c>
      <c r="C806" s="35" t="s">
        <v>1588</v>
      </c>
      <c r="D806" s="35" t="s">
        <v>404</v>
      </c>
      <c r="E806" s="35" t="s">
        <v>2337</v>
      </c>
      <c r="F806" s="35" t="s">
        <v>402</v>
      </c>
      <c r="G806" s="35" t="s">
        <v>403</v>
      </c>
      <c r="H806" s="35">
        <v>144</v>
      </c>
    </row>
    <row r="807" spans="1:8" ht="15.75" x14ac:dyDescent="0.25">
      <c r="A807" t="str">
        <f t="shared" si="12"/>
        <v>H176964PV9060BE-M</v>
      </c>
      <c r="B807" s="35" t="s">
        <v>1028</v>
      </c>
      <c r="C807" s="35" t="s">
        <v>1589</v>
      </c>
      <c r="D807" s="35" t="s">
        <v>404</v>
      </c>
      <c r="E807" s="35" t="s">
        <v>2337</v>
      </c>
      <c r="F807" s="35" t="s">
        <v>434</v>
      </c>
      <c r="G807" s="35" t="s">
        <v>435</v>
      </c>
      <c r="H807" s="35">
        <v>156</v>
      </c>
    </row>
    <row r="808" spans="1:8" ht="15.75" x14ac:dyDescent="0.25">
      <c r="A808" t="str">
        <f t="shared" si="12"/>
        <v>H176886PV9060BE-M</v>
      </c>
      <c r="B808" s="35" t="s">
        <v>1028</v>
      </c>
      <c r="C808" s="35" t="s">
        <v>1590</v>
      </c>
      <c r="D808" s="35" t="s">
        <v>404</v>
      </c>
      <c r="E808" s="35" t="s">
        <v>2337</v>
      </c>
      <c r="F808" s="35" t="s">
        <v>2294</v>
      </c>
      <c r="G808" s="35" t="s">
        <v>2295</v>
      </c>
      <c r="H808" s="35">
        <v>594</v>
      </c>
    </row>
    <row r="809" spans="1:8" ht="15.75" x14ac:dyDescent="0.25">
      <c r="A809" t="str">
        <f t="shared" si="12"/>
        <v>H139928PV9060BE-W</v>
      </c>
      <c r="B809" s="35" t="s">
        <v>1028</v>
      </c>
      <c r="C809" s="35" t="s">
        <v>1591</v>
      </c>
      <c r="D809" s="35" t="s">
        <v>411</v>
      </c>
      <c r="E809" s="35" t="s">
        <v>2338</v>
      </c>
      <c r="F809" s="35" t="s">
        <v>409</v>
      </c>
      <c r="G809" s="35" t="s">
        <v>410</v>
      </c>
      <c r="H809" s="35">
        <v>504</v>
      </c>
    </row>
    <row r="810" spans="1:8" ht="15.75" x14ac:dyDescent="0.25">
      <c r="A810" t="str">
        <f t="shared" si="12"/>
        <v>H176979PV9060BE-M</v>
      </c>
      <c r="B810" s="35" t="s">
        <v>1028</v>
      </c>
      <c r="C810" s="35" t="s">
        <v>1592</v>
      </c>
      <c r="D810" s="35" t="s">
        <v>404</v>
      </c>
      <c r="E810" s="35" t="s">
        <v>2337</v>
      </c>
      <c r="F810" s="35" t="s">
        <v>501</v>
      </c>
      <c r="G810" s="35" t="s">
        <v>502</v>
      </c>
      <c r="H810" s="35">
        <v>336</v>
      </c>
    </row>
    <row r="811" spans="1:8" ht="15.75" x14ac:dyDescent="0.25">
      <c r="A811" t="str">
        <f t="shared" si="12"/>
        <v>7881791IV9060LL-M</v>
      </c>
      <c r="B811" s="35" t="s">
        <v>1033</v>
      </c>
      <c r="C811" s="35" t="s">
        <v>1593</v>
      </c>
      <c r="D811" s="35" t="s">
        <v>391</v>
      </c>
      <c r="E811" s="35" t="s">
        <v>2337</v>
      </c>
      <c r="F811" s="35" t="s">
        <v>379</v>
      </c>
      <c r="G811" s="35" t="s">
        <v>380</v>
      </c>
      <c r="H811" s="35">
        <v>144</v>
      </c>
    </row>
    <row r="812" spans="1:8" ht="15.75" x14ac:dyDescent="0.25">
      <c r="A812" t="str">
        <f t="shared" si="12"/>
        <v>U152854IV9060LL-M</v>
      </c>
      <c r="B812" s="35" t="s">
        <v>1033</v>
      </c>
      <c r="C812" s="35" t="s">
        <v>1594</v>
      </c>
      <c r="D812" s="35" t="s">
        <v>438</v>
      </c>
      <c r="E812" s="35" t="s">
        <v>2337</v>
      </c>
      <c r="F812" s="35" t="s">
        <v>436</v>
      </c>
      <c r="G812" s="35" t="s">
        <v>448</v>
      </c>
      <c r="H812" s="35">
        <v>672</v>
      </c>
    </row>
    <row r="813" spans="1:8" ht="15.75" x14ac:dyDescent="0.25">
      <c r="A813" t="str">
        <f t="shared" si="12"/>
        <v>U152858IV9060LL-M</v>
      </c>
      <c r="B813" s="35" t="s">
        <v>1033</v>
      </c>
      <c r="C813" s="35" t="s">
        <v>1595</v>
      </c>
      <c r="D813" s="35" t="s">
        <v>438</v>
      </c>
      <c r="E813" s="35" t="s">
        <v>2337</v>
      </c>
      <c r="F813" s="35" t="s">
        <v>436</v>
      </c>
      <c r="G813" s="35" t="s">
        <v>448</v>
      </c>
      <c r="H813" s="35">
        <v>1332</v>
      </c>
    </row>
    <row r="814" spans="1:8" ht="15.75" x14ac:dyDescent="0.25">
      <c r="A814" t="str">
        <f t="shared" si="12"/>
        <v>7875516I90604IM-M</v>
      </c>
      <c r="B814" s="35" t="s">
        <v>1019</v>
      </c>
      <c r="C814" s="35" t="s">
        <v>1596</v>
      </c>
      <c r="D814" s="35" t="s">
        <v>391</v>
      </c>
      <c r="E814" s="35" t="s">
        <v>2337</v>
      </c>
      <c r="F814" s="35" t="s">
        <v>379</v>
      </c>
      <c r="G814" s="35" t="s">
        <v>380</v>
      </c>
      <c r="H814" s="35">
        <v>282</v>
      </c>
    </row>
    <row r="815" spans="1:8" ht="15.75" x14ac:dyDescent="0.25">
      <c r="A815" t="str">
        <f t="shared" si="12"/>
        <v>7875612I90604IM-M</v>
      </c>
      <c r="B815" s="35" t="s">
        <v>1019</v>
      </c>
      <c r="C815" s="35" t="s">
        <v>1597</v>
      </c>
      <c r="D815" s="35" t="s">
        <v>390</v>
      </c>
      <c r="E815" s="35" t="s">
        <v>2337</v>
      </c>
      <c r="F815" s="35" t="s">
        <v>382</v>
      </c>
      <c r="G815" s="35" t="s">
        <v>383</v>
      </c>
      <c r="H815" s="35">
        <v>732</v>
      </c>
    </row>
    <row r="816" spans="1:8" ht="15.75" x14ac:dyDescent="0.25">
      <c r="A816" t="str">
        <f t="shared" si="12"/>
        <v>U153231I90605HA-M</v>
      </c>
      <c r="B816" s="35" t="s">
        <v>1031</v>
      </c>
      <c r="C816" s="35" t="s">
        <v>1598</v>
      </c>
      <c r="D816" s="35" t="s">
        <v>438</v>
      </c>
      <c r="E816" s="35" t="s">
        <v>2337</v>
      </c>
      <c r="F816" s="35" t="s">
        <v>436</v>
      </c>
      <c r="G816" s="35" t="s">
        <v>449</v>
      </c>
      <c r="H816" s="35">
        <v>1002</v>
      </c>
    </row>
    <row r="817" spans="1:8" ht="15.75" x14ac:dyDescent="0.25">
      <c r="A817" t="str">
        <f t="shared" si="12"/>
        <v>U158386I9060819-M</v>
      </c>
      <c r="B817" s="35" t="s">
        <v>1029</v>
      </c>
      <c r="C817" s="35" t="s">
        <v>1599</v>
      </c>
      <c r="D817" s="35" t="s">
        <v>444</v>
      </c>
      <c r="E817" s="35" t="s">
        <v>2337</v>
      </c>
      <c r="F817" s="35" t="s">
        <v>436</v>
      </c>
      <c r="G817" s="35" t="s">
        <v>443</v>
      </c>
      <c r="H817" s="35">
        <v>258</v>
      </c>
    </row>
    <row r="818" spans="1:8" ht="15.75" x14ac:dyDescent="0.25">
      <c r="A818" t="str">
        <f t="shared" si="12"/>
        <v>7885511IV9060LL-M</v>
      </c>
      <c r="B818" s="35" t="s">
        <v>1033</v>
      </c>
      <c r="C818" s="35" t="s">
        <v>1600</v>
      </c>
      <c r="D818" s="35" t="s">
        <v>395</v>
      </c>
      <c r="E818" s="35" t="s">
        <v>2337</v>
      </c>
      <c r="F818" s="35" t="s">
        <v>382</v>
      </c>
      <c r="G818" s="35" t="s">
        <v>383</v>
      </c>
      <c r="H818" s="35">
        <v>180</v>
      </c>
    </row>
    <row r="819" spans="1:8" ht="15.75" x14ac:dyDescent="0.25">
      <c r="A819" t="str">
        <f t="shared" si="12"/>
        <v>H189029IV9060LL-M</v>
      </c>
      <c r="B819" s="35" t="s">
        <v>1033</v>
      </c>
      <c r="C819" s="35" t="s">
        <v>1601</v>
      </c>
      <c r="D819" s="35" t="s">
        <v>404</v>
      </c>
      <c r="E819" s="35" t="s">
        <v>2337</v>
      </c>
      <c r="F819" s="35" t="s">
        <v>501</v>
      </c>
      <c r="G819" s="35" t="s">
        <v>502</v>
      </c>
      <c r="H819" s="35">
        <v>144</v>
      </c>
    </row>
    <row r="820" spans="1:8" ht="15.75" x14ac:dyDescent="0.25">
      <c r="A820" t="str">
        <f t="shared" si="12"/>
        <v>H195694PV9060ER-M</v>
      </c>
      <c r="B820" s="35" t="s">
        <v>1027</v>
      </c>
      <c r="C820" s="35" t="s">
        <v>1602</v>
      </c>
      <c r="D820" s="35" t="s">
        <v>404</v>
      </c>
      <c r="E820" s="35" t="s">
        <v>2337</v>
      </c>
      <c r="F820" s="35" t="s">
        <v>414</v>
      </c>
      <c r="G820" s="35" t="s">
        <v>415</v>
      </c>
      <c r="H820" s="35">
        <v>144</v>
      </c>
    </row>
    <row r="821" spans="1:8" ht="15.75" x14ac:dyDescent="0.25">
      <c r="A821" t="str">
        <f t="shared" si="12"/>
        <v>H195708PV9060ER-W</v>
      </c>
      <c r="B821" s="35" t="s">
        <v>1027</v>
      </c>
      <c r="C821" s="35" t="s">
        <v>1603</v>
      </c>
      <c r="D821" s="35" t="s">
        <v>404</v>
      </c>
      <c r="E821" s="35" t="s">
        <v>2338</v>
      </c>
      <c r="F821" s="35" t="s">
        <v>422</v>
      </c>
      <c r="G821" s="35" t="s">
        <v>423</v>
      </c>
      <c r="H821" s="35">
        <v>1794</v>
      </c>
    </row>
    <row r="822" spans="1:8" ht="15.75" x14ac:dyDescent="0.25">
      <c r="A822" t="str">
        <f t="shared" si="12"/>
        <v>H177192PV9060ER-M</v>
      </c>
      <c r="B822" s="35" t="s">
        <v>1027</v>
      </c>
      <c r="C822" s="35" t="s">
        <v>1604</v>
      </c>
      <c r="D822" s="35" t="s">
        <v>404</v>
      </c>
      <c r="E822" s="35" t="s">
        <v>2337</v>
      </c>
      <c r="F822" s="35" t="s">
        <v>402</v>
      </c>
      <c r="G822" s="35" t="s">
        <v>2289</v>
      </c>
      <c r="H822" s="35">
        <v>576</v>
      </c>
    </row>
    <row r="823" spans="1:8" ht="15.75" x14ac:dyDescent="0.25">
      <c r="A823" t="str">
        <f t="shared" si="12"/>
        <v>H177287PV9060ER-M</v>
      </c>
      <c r="B823" s="35" t="s">
        <v>1027</v>
      </c>
      <c r="C823" s="35" t="s">
        <v>1605</v>
      </c>
      <c r="D823" s="35" t="s">
        <v>404</v>
      </c>
      <c r="E823" s="35" t="s">
        <v>2337</v>
      </c>
      <c r="F823" s="35" t="s">
        <v>402</v>
      </c>
      <c r="G823" s="35" t="s">
        <v>403</v>
      </c>
      <c r="H823" s="35">
        <v>432</v>
      </c>
    </row>
    <row r="824" spans="1:8" ht="15.75" x14ac:dyDescent="0.25">
      <c r="A824" t="str">
        <f t="shared" si="12"/>
        <v>H177042PV9060BE-M</v>
      </c>
      <c r="B824" s="35" t="s">
        <v>1028</v>
      </c>
      <c r="C824" s="35" t="s">
        <v>1606</v>
      </c>
      <c r="D824" s="35" t="s">
        <v>404</v>
      </c>
      <c r="E824" s="35" t="s">
        <v>2337</v>
      </c>
      <c r="F824" s="35" t="s">
        <v>418</v>
      </c>
      <c r="G824" s="35" t="s">
        <v>419</v>
      </c>
      <c r="H824" s="35">
        <v>114</v>
      </c>
    </row>
    <row r="825" spans="1:8" ht="15.75" x14ac:dyDescent="0.25">
      <c r="A825" t="str">
        <f t="shared" si="12"/>
        <v>H177208PV9060BE-M</v>
      </c>
      <c r="B825" s="35" t="s">
        <v>1028</v>
      </c>
      <c r="C825" s="35" t="s">
        <v>1607</v>
      </c>
      <c r="D825" s="35" t="s">
        <v>404</v>
      </c>
      <c r="E825" s="35" t="s">
        <v>2337</v>
      </c>
      <c r="F825" s="35" t="s">
        <v>402</v>
      </c>
      <c r="G825" s="35" t="s">
        <v>2289</v>
      </c>
      <c r="H825" s="35">
        <v>510</v>
      </c>
    </row>
    <row r="826" spans="1:8" ht="15.75" x14ac:dyDescent="0.25">
      <c r="A826" t="str">
        <f t="shared" si="12"/>
        <v>H177045PV9060LL-M</v>
      </c>
      <c r="B826" s="35" t="s">
        <v>1026</v>
      </c>
      <c r="C826" s="35" t="s">
        <v>1608</v>
      </c>
      <c r="D826" s="35" t="s">
        <v>404</v>
      </c>
      <c r="E826" s="35" t="s">
        <v>2337</v>
      </c>
      <c r="F826" s="35" t="s">
        <v>418</v>
      </c>
      <c r="G826" s="35" t="s">
        <v>419</v>
      </c>
      <c r="H826" s="35">
        <v>156</v>
      </c>
    </row>
    <row r="827" spans="1:8" ht="15.75" x14ac:dyDescent="0.25">
      <c r="A827" t="str">
        <f t="shared" si="12"/>
        <v>H177195PV9060LL-M</v>
      </c>
      <c r="B827" s="35" t="s">
        <v>1026</v>
      </c>
      <c r="C827" s="35" t="s">
        <v>1609</v>
      </c>
      <c r="D827" s="35" t="s">
        <v>404</v>
      </c>
      <c r="E827" s="35" t="s">
        <v>2337</v>
      </c>
      <c r="F827" s="35" t="s">
        <v>402</v>
      </c>
      <c r="G827" s="35" t="s">
        <v>2289</v>
      </c>
      <c r="H827" s="35">
        <v>402</v>
      </c>
    </row>
    <row r="828" spans="1:8" ht="15.75" x14ac:dyDescent="0.25">
      <c r="A828" t="str">
        <f t="shared" si="12"/>
        <v>H177294PV9060LL-M</v>
      </c>
      <c r="B828" s="35" t="s">
        <v>1026</v>
      </c>
      <c r="C828" s="35" t="s">
        <v>1610</v>
      </c>
      <c r="D828" s="35" t="s">
        <v>404</v>
      </c>
      <c r="E828" s="35" t="s">
        <v>2337</v>
      </c>
      <c r="F828" s="35" t="s">
        <v>402</v>
      </c>
      <c r="G828" s="35" t="s">
        <v>403</v>
      </c>
      <c r="H828" s="35">
        <v>576</v>
      </c>
    </row>
    <row r="829" spans="1:8" ht="15.75" x14ac:dyDescent="0.25">
      <c r="A829" t="str">
        <f t="shared" si="12"/>
        <v>H178010IV9060LL-M</v>
      </c>
      <c r="B829" s="35" t="s">
        <v>1033</v>
      </c>
      <c r="C829" s="35" t="s">
        <v>1611</v>
      </c>
      <c r="D829" s="35" t="s">
        <v>404</v>
      </c>
      <c r="E829" s="35" t="s">
        <v>2337</v>
      </c>
      <c r="F829" s="35" t="s">
        <v>418</v>
      </c>
      <c r="G829" s="35" t="s">
        <v>419</v>
      </c>
      <c r="H829" s="35">
        <v>150</v>
      </c>
    </row>
    <row r="830" spans="1:8" ht="15.75" x14ac:dyDescent="0.25">
      <c r="A830" t="str">
        <f t="shared" si="12"/>
        <v>H178042IV9060LL-M</v>
      </c>
      <c r="B830" s="35" t="s">
        <v>1033</v>
      </c>
      <c r="C830" s="35" t="s">
        <v>1612</v>
      </c>
      <c r="D830" s="35" t="s">
        <v>404</v>
      </c>
      <c r="E830" s="35" t="s">
        <v>2337</v>
      </c>
      <c r="F830" s="35" t="s">
        <v>402</v>
      </c>
      <c r="G830" s="35" t="s">
        <v>2289</v>
      </c>
      <c r="H830" s="35">
        <v>366</v>
      </c>
    </row>
    <row r="831" spans="1:8" ht="15.75" x14ac:dyDescent="0.25">
      <c r="A831" t="str">
        <f t="shared" si="12"/>
        <v>H180744I90604IM-W</v>
      </c>
      <c r="B831" s="35" t="s">
        <v>1019</v>
      </c>
      <c r="C831" s="35" t="s">
        <v>1613</v>
      </c>
      <c r="D831" s="35" t="s">
        <v>404</v>
      </c>
      <c r="E831" s="35" t="s">
        <v>2338</v>
      </c>
      <c r="F831" s="35" t="s">
        <v>2302</v>
      </c>
      <c r="G831" s="35" t="s">
        <v>2303</v>
      </c>
      <c r="H831" s="35">
        <v>1692</v>
      </c>
    </row>
    <row r="832" spans="1:8" ht="15.75" x14ac:dyDescent="0.25">
      <c r="A832" t="str">
        <f t="shared" si="12"/>
        <v>H176904IV9060ER-M</v>
      </c>
      <c r="B832" s="35" t="s">
        <v>1022</v>
      </c>
      <c r="C832" s="35" t="s">
        <v>1614</v>
      </c>
      <c r="D832" s="35" t="s">
        <v>404</v>
      </c>
      <c r="E832" s="35" t="s">
        <v>2337</v>
      </c>
      <c r="F832" s="35" t="s">
        <v>2294</v>
      </c>
      <c r="G832" s="35" t="s">
        <v>2295</v>
      </c>
      <c r="H832" s="35">
        <v>222</v>
      </c>
    </row>
    <row r="833" spans="1:8" ht="15.75" x14ac:dyDescent="0.25">
      <c r="A833" t="str">
        <f t="shared" si="12"/>
        <v>H177168IV9060ER-M</v>
      </c>
      <c r="B833" s="35" t="s">
        <v>1022</v>
      </c>
      <c r="C833" s="35" t="s">
        <v>1615</v>
      </c>
      <c r="D833" s="35" t="s">
        <v>404</v>
      </c>
      <c r="E833" s="35" t="s">
        <v>2337</v>
      </c>
      <c r="F833" s="35" t="s">
        <v>402</v>
      </c>
      <c r="G833" s="35" t="s">
        <v>2289</v>
      </c>
      <c r="H833" s="35">
        <v>354</v>
      </c>
    </row>
    <row r="834" spans="1:8" ht="15.75" x14ac:dyDescent="0.25">
      <c r="A834" t="str">
        <f t="shared" si="12"/>
        <v>H177076GC9060GY-M</v>
      </c>
      <c r="B834" s="35" t="s">
        <v>1011</v>
      </c>
      <c r="C834" s="35" t="s">
        <v>1616</v>
      </c>
      <c r="D834" s="35" t="s">
        <v>404</v>
      </c>
      <c r="E834" s="35" t="s">
        <v>2337</v>
      </c>
      <c r="F834" s="35" t="s">
        <v>430</v>
      </c>
      <c r="G834" s="35" t="s">
        <v>431</v>
      </c>
      <c r="H834" s="35">
        <v>822</v>
      </c>
    </row>
    <row r="835" spans="1:8" ht="15.75" x14ac:dyDescent="0.25">
      <c r="A835" t="str">
        <f t="shared" si="12"/>
        <v>H177065GC9060BK-M</v>
      </c>
      <c r="B835" s="35" t="s">
        <v>1009</v>
      </c>
      <c r="C835" s="35" t="s">
        <v>1617</v>
      </c>
      <c r="D835" s="35" t="s">
        <v>404</v>
      </c>
      <c r="E835" s="35" t="s">
        <v>2337</v>
      </c>
      <c r="F835" s="35" t="s">
        <v>430</v>
      </c>
      <c r="G835" s="35" t="s">
        <v>431</v>
      </c>
      <c r="H835" s="35">
        <v>996</v>
      </c>
    </row>
    <row r="836" spans="1:8" ht="15.75" x14ac:dyDescent="0.25">
      <c r="A836" t="str">
        <f t="shared" si="12"/>
        <v>7874852PC9060BE-M</v>
      </c>
      <c r="B836" s="35" t="s">
        <v>1034</v>
      </c>
      <c r="C836" s="35" t="s">
        <v>551</v>
      </c>
      <c r="D836" s="35" t="s">
        <v>394</v>
      </c>
      <c r="E836" s="35" t="s">
        <v>2337</v>
      </c>
      <c r="F836" s="35" t="s">
        <v>392</v>
      </c>
      <c r="G836" s="35" t="s">
        <v>393</v>
      </c>
      <c r="H836" s="35">
        <v>846</v>
      </c>
    </row>
    <row r="837" spans="1:8" ht="15.75" x14ac:dyDescent="0.25">
      <c r="A837" t="str">
        <f t="shared" si="12"/>
        <v>H177591G90603WC-M</v>
      </c>
      <c r="B837" s="35" t="s">
        <v>1035</v>
      </c>
      <c r="C837" s="35" t="s">
        <v>1618</v>
      </c>
      <c r="D837" s="35" t="s">
        <v>404</v>
      </c>
      <c r="E837" s="35" t="s">
        <v>2337</v>
      </c>
      <c r="F837" s="35" t="s">
        <v>498</v>
      </c>
      <c r="G837" s="35" t="s">
        <v>499</v>
      </c>
      <c r="H837" s="35">
        <v>144</v>
      </c>
    </row>
    <row r="838" spans="1:8" ht="15.75" x14ac:dyDescent="0.25">
      <c r="A838" t="str">
        <f t="shared" si="12"/>
        <v>7873636GC9060LL-M</v>
      </c>
      <c r="B838" s="35" t="s">
        <v>1010</v>
      </c>
      <c r="C838" s="35" t="s">
        <v>1619</v>
      </c>
      <c r="D838" s="35" t="s">
        <v>484</v>
      </c>
      <c r="E838" s="35" t="s">
        <v>2337</v>
      </c>
      <c r="F838" s="35" t="s">
        <v>379</v>
      </c>
      <c r="G838" s="35" t="s">
        <v>504</v>
      </c>
      <c r="H838" s="35">
        <v>444</v>
      </c>
    </row>
    <row r="839" spans="1:8" ht="15.75" x14ac:dyDescent="0.25">
      <c r="A839" t="str">
        <f t="shared" ref="A839:A902" si="13">+C839&amp;B839&amp;"-"&amp;E839</f>
        <v>U148105GC9060LL-M</v>
      </c>
      <c r="B839" s="35" t="s">
        <v>1010</v>
      </c>
      <c r="C839" s="35" t="s">
        <v>584</v>
      </c>
      <c r="D839" s="35" t="s">
        <v>438</v>
      </c>
      <c r="E839" s="35" t="s">
        <v>2337</v>
      </c>
      <c r="F839" s="35" t="s">
        <v>436</v>
      </c>
      <c r="G839" s="35" t="s">
        <v>455</v>
      </c>
      <c r="H839" s="35">
        <v>1980</v>
      </c>
    </row>
    <row r="840" spans="1:8" ht="15.75" x14ac:dyDescent="0.25">
      <c r="A840" t="str">
        <f t="shared" si="13"/>
        <v>U148117GC9060LL-M</v>
      </c>
      <c r="B840" s="35" t="s">
        <v>1010</v>
      </c>
      <c r="C840" s="35" t="s">
        <v>615</v>
      </c>
      <c r="D840" s="35" t="s">
        <v>438</v>
      </c>
      <c r="E840" s="35" t="s">
        <v>2337</v>
      </c>
      <c r="F840" s="35" t="s">
        <v>436</v>
      </c>
      <c r="G840" s="35" t="s">
        <v>462</v>
      </c>
      <c r="H840" s="35">
        <v>168</v>
      </c>
    </row>
    <row r="841" spans="1:8" ht="15.75" x14ac:dyDescent="0.25">
      <c r="A841" t="str">
        <f t="shared" si="13"/>
        <v>U148121GC9060LL-M</v>
      </c>
      <c r="B841" s="35" t="s">
        <v>1010</v>
      </c>
      <c r="C841" s="35" t="s">
        <v>621</v>
      </c>
      <c r="D841" s="35" t="s">
        <v>438</v>
      </c>
      <c r="E841" s="35" t="s">
        <v>2337</v>
      </c>
      <c r="F841" s="35" t="s">
        <v>436</v>
      </c>
      <c r="G841" s="35" t="s">
        <v>447</v>
      </c>
      <c r="H841" s="35">
        <v>648</v>
      </c>
    </row>
    <row r="842" spans="1:8" ht="15.75" x14ac:dyDescent="0.25">
      <c r="A842" t="str">
        <f t="shared" si="13"/>
        <v>U148127GC9060LL-M</v>
      </c>
      <c r="B842" s="35" t="s">
        <v>1010</v>
      </c>
      <c r="C842" s="35" t="s">
        <v>625</v>
      </c>
      <c r="D842" s="35" t="s">
        <v>438</v>
      </c>
      <c r="E842" s="35" t="s">
        <v>2337</v>
      </c>
      <c r="F842" s="35" t="s">
        <v>436</v>
      </c>
      <c r="G842" s="35" t="s">
        <v>461</v>
      </c>
      <c r="H842" s="35">
        <v>204</v>
      </c>
    </row>
    <row r="843" spans="1:8" ht="15.75" x14ac:dyDescent="0.25">
      <c r="A843" t="str">
        <f t="shared" si="13"/>
        <v>U148120GC9060LL-M</v>
      </c>
      <c r="B843" s="35" t="s">
        <v>1010</v>
      </c>
      <c r="C843" s="35" t="s">
        <v>631</v>
      </c>
      <c r="D843" s="35" t="s">
        <v>438</v>
      </c>
      <c r="E843" s="35" t="s">
        <v>2337</v>
      </c>
      <c r="F843" s="35" t="s">
        <v>436</v>
      </c>
      <c r="G843" s="35" t="s">
        <v>456</v>
      </c>
      <c r="H843" s="35">
        <v>3300</v>
      </c>
    </row>
    <row r="844" spans="1:8" ht="15.75" x14ac:dyDescent="0.25">
      <c r="A844" t="str">
        <f t="shared" si="13"/>
        <v>7866133GC9060GY-M</v>
      </c>
      <c r="B844" s="35" t="s">
        <v>1011</v>
      </c>
      <c r="C844" s="35" t="s">
        <v>570</v>
      </c>
      <c r="D844" s="35" t="s">
        <v>387</v>
      </c>
      <c r="E844" s="35" t="s">
        <v>2337</v>
      </c>
      <c r="F844" s="35" t="s">
        <v>385</v>
      </c>
      <c r="G844" s="35" t="s">
        <v>386</v>
      </c>
      <c r="H844" s="35">
        <v>816</v>
      </c>
    </row>
    <row r="845" spans="1:8" ht="15.75" x14ac:dyDescent="0.25">
      <c r="A845" t="str">
        <f t="shared" si="13"/>
        <v>7876470G90603WC-M</v>
      </c>
      <c r="B845" s="35" t="s">
        <v>1035</v>
      </c>
      <c r="C845" s="35" t="s">
        <v>694</v>
      </c>
      <c r="D845" s="35" t="s">
        <v>387</v>
      </c>
      <c r="E845" s="35" t="s">
        <v>2337</v>
      </c>
      <c r="F845" s="35" t="s">
        <v>388</v>
      </c>
      <c r="G845" s="35" t="s">
        <v>389</v>
      </c>
      <c r="H845" s="35">
        <v>2700</v>
      </c>
    </row>
    <row r="846" spans="1:8" ht="15.75" x14ac:dyDescent="0.25">
      <c r="A846" t="str">
        <f t="shared" si="13"/>
        <v>7876474G90603WC-M</v>
      </c>
      <c r="B846" s="35" t="s">
        <v>1035</v>
      </c>
      <c r="C846" s="35" t="s">
        <v>848</v>
      </c>
      <c r="D846" s="35" t="s">
        <v>387</v>
      </c>
      <c r="E846" s="35" t="s">
        <v>2337</v>
      </c>
      <c r="F846" s="35" t="s">
        <v>385</v>
      </c>
      <c r="G846" s="35" t="s">
        <v>386</v>
      </c>
      <c r="H846" s="35">
        <v>600</v>
      </c>
    </row>
    <row r="847" spans="1:8" ht="15.75" x14ac:dyDescent="0.25">
      <c r="A847" t="str">
        <f t="shared" si="13"/>
        <v>7876492G90603WC-M</v>
      </c>
      <c r="B847" s="35" t="s">
        <v>1035</v>
      </c>
      <c r="C847" s="35" t="s">
        <v>1620</v>
      </c>
      <c r="D847" s="35" t="s">
        <v>387</v>
      </c>
      <c r="E847" s="35" t="s">
        <v>2337</v>
      </c>
      <c r="F847" s="35" t="s">
        <v>385</v>
      </c>
      <c r="G847" s="35" t="s">
        <v>386</v>
      </c>
      <c r="H847" s="35">
        <v>978</v>
      </c>
    </row>
    <row r="848" spans="1:8" ht="15.75" x14ac:dyDescent="0.25">
      <c r="A848" t="str">
        <f t="shared" si="13"/>
        <v>H177752G9060744-M</v>
      </c>
      <c r="B848" s="35" t="s">
        <v>1017</v>
      </c>
      <c r="C848" s="35" t="s">
        <v>1621</v>
      </c>
      <c r="D848" s="35" t="s">
        <v>404</v>
      </c>
      <c r="E848" s="35" t="s">
        <v>2337</v>
      </c>
      <c r="F848" s="35" t="s">
        <v>430</v>
      </c>
      <c r="G848" s="35" t="s">
        <v>431</v>
      </c>
      <c r="H848" s="35">
        <v>462</v>
      </c>
    </row>
    <row r="849" spans="1:8" ht="15.75" x14ac:dyDescent="0.25">
      <c r="A849" t="str">
        <f t="shared" si="13"/>
        <v>7876322GC9060ER-M</v>
      </c>
      <c r="B849" s="35" t="s">
        <v>1014</v>
      </c>
      <c r="C849" s="35" t="s">
        <v>1622</v>
      </c>
      <c r="D849" s="35" t="s">
        <v>387</v>
      </c>
      <c r="E849" s="35" t="s">
        <v>2337</v>
      </c>
      <c r="F849" s="35" t="s">
        <v>388</v>
      </c>
      <c r="G849" s="35" t="s">
        <v>389</v>
      </c>
      <c r="H849" s="35">
        <v>2202</v>
      </c>
    </row>
    <row r="850" spans="1:8" ht="15.75" x14ac:dyDescent="0.25">
      <c r="A850" t="str">
        <f t="shared" si="13"/>
        <v>H189001GC9060ER-M</v>
      </c>
      <c r="B850" s="35" t="s">
        <v>1014</v>
      </c>
      <c r="C850" s="35" t="s">
        <v>1623</v>
      </c>
      <c r="D850" s="35" t="s">
        <v>404</v>
      </c>
      <c r="E850" s="35" t="s">
        <v>2337</v>
      </c>
      <c r="F850" s="35" t="s">
        <v>430</v>
      </c>
      <c r="G850" s="35" t="s">
        <v>431</v>
      </c>
      <c r="H850" s="35">
        <v>162</v>
      </c>
    </row>
    <row r="851" spans="1:8" ht="15.75" x14ac:dyDescent="0.25">
      <c r="A851" t="str">
        <f t="shared" si="13"/>
        <v>U152781G9060744-M</v>
      </c>
      <c r="B851" s="35" t="s">
        <v>1017</v>
      </c>
      <c r="C851" s="35" t="s">
        <v>846</v>
      </c>
      <c r="D851" s="35" t="s">
        <v>444</v>
      </c>
      <c r="E851" s="35" t="s">
        <v>2337</v>
      </c>
      <c r="F851" s="35" t="s">
        <v>436</v>
      </c>
      <c r="G851" s="35" t="s">
        <v>443</v>
      </c>
      <c r="H851" s="35">
        <v>1476</v>
      </c>
    </row>
    <row r="852" spans="1:8" ht="15.75" x14ac:dyDescent="0.25">
      <c r="A852" t="str">
        <f t="shared" si="13"/>
        <v>U152781G9060744-W</v>
      </c>
      <c r="B852" s="35" t="s">
        <v>1017</v>
      </c>
      <c r="C852" s="35" t="s">
        <v>846</v>
      </c>
      <c r="D852" s="35" t="s">
        <v>444</v>
      </c>
      <c r="E852" s="35" t="s">
        <v>2338</v>
      </c>
      <c r="F852" s="35" t="s">
        <v>436</v>
      </c>
      <c r="G852" s="35" t="s">
        <v>443</v>
      </c>
      <c r="H852" s="35">
        <v>114</v>
      </c>
    </row>
    <row r="853" spans="1:8" ht="15.75" x14ac:dyDescent="0.25">
      <c r="A853" t="str">
        <f t="shared" si="13"/>
        <v>U152791G906076O-M</v>
      </c>
      <c r="B853" s="35" t="s">
        <v>1018</v>
      </c>
      <c r="C853" s="35" t="s">
        <v>1624</v>
      </c>
      <c r="D853" s="35" t="s">
        <v>444</v>
      </c>
      <c r="E853" s="35" t="s">
        <v>2337</v>
      </c>
      <c r="F853" s="35" t="s">
        <v>436</v>
      </c>
      <c r="G853" s="35" t="s">
        <v>443</v>
      </c>
      <c r="H853" s="35">
        <v>846</v>
      </c>
    </row>
    <row r="854" spans="1:8" ht="15.75" x14ac:dyDescent="0.25">
      <c r="A854" t="str">
        <f t="shared" si="13"/>
        <v>U152794G906081P-M</v>
      </c>
      <c r="B854" s="35" t="s">
        <v>1012</v>
      </c>
      <c r="C854" s="35" t="s">
        <v>1625</v>
      </c>
      <c r="D854" s="35" t="s">
        <v>444</v>
      </c>
      <c r="E854" s="35" t="s">
        <v>2337</v>
      </c>
      <c r="F854" s="35" t="s">
        <v>436</v>
      </c>
      <c r="G854" s="35" t="s">
        <v>443</v>
      </c>
      <c r="H854" s="35">
        <v>1248</v>
      </c>
    </row>
    <row r="855" spans="1:8" ht="15.75" x14ac:dyDescent="0.25">
      <c r="A855" t="str">
        <f t="shared" si="13"/>
        <v>U152772GC9060EP-M</v>
      </c>
      <c r="B855" s="35" t="s">
        <v>1036</v>
      </c>
      <c r="C855" s="35" t="s">
        <v>1626</v>
      </c>
      <c r="D855" s="35" t="s">
        <v>444</v>
      </c>
      <c r="E855" s="35" t="s">
        <v>2337</v>
      </c>
      <c r="F855" s="35" t="s">
        <v>436</v>
      </c>
      <c r="G855" s="35" t="s">
        <v>443</v>
      </c>
      <c r="H855" s="35">
        <v>552</v>
      </c>
    </row>
    <row r="856" spans="1:8" ht="15.75" x14ac:dyDescent="0.25">
      <c r="A856" t="str">
        <f t="shared" si="13"/>
        <v>U152772GC9060EP-W</v>
      </c>
      <c r="B856" s="35" t="s">
        <v>1036</v>
      </c>
      <c r="C856" s="35" t="s">
        <v>1626</v>
      </c>
      <c r="D856" s="35" t="s">
        <v>444</v>
      </c>
      <c r="E856" s="35" t="s">
        <v>2338</v>
      </c>
      <c r="F856" s="35" t="s">
        <v>436</v>
      </c>
      <c r="G856" s="35" t="s">
        <v>443</v>
      </c>
      <c r="H856" s="35">
        <v>90</v>
      </c>
    </row>
    <row r="857" spans="1:8" ht="15.75" x14ac:dyDescent="0.25">
      <c r="A857" t="str">
        <f t="shared" si="13"/>
        <v>U148021G90606AX-M</v>
      </c>
      <c r="B857" s="35" t="s">
        <v>1016</v>
      </c>
      <c r="C857" s="35" t="s">
        <v>1627</v>
      </c>
      <c r="D857" s="35" t="s">
        <v>438</v>
      </c>
      <c r="E857" s="35" t="s">
        <v>2337</v>
      </c>
      <c r="F857" s="35" t="s">
        <v>436</v>
      </c>
      <c r="G857" s="35" t="s">
        <v>2304</v>
      </c>
      <c r="H857" s="35">
        <v>4800</v>
      </c>
    </row>
    <row r="858" spans="1:8" ht="15.75" x14ac:dyDescent="0.25">
      <c r="A858" t="str">
        <f t="shared" si="13"/>
        <v>7876506G906081P-M</v>
      </c>
      <c r="B858" s="35" t="s">
        <v>1012</v>
      </c>
      <c r="C858" s="35" t="s">
        <v>1628</v>
      </c>
      <c r="D858" s="35" t="s">
        <v>387</v>
      </c>
      <c r="E858" s="35" t="s">
        <v>2337</v>
      </c>
      <c r="F858" s="35" t="s">
        <v>388</v>
      </c>
      <c r="G858" s="35" t="s">
        <v>389</v>
      </c>
      <c r="H858" s="35">
        <v>222</v>
      </c>
    </row>
    <row r="859" spans="1:8" ht="15.75" x14ac:dyDescent="0.25">
      <c r="A859" t="str">
        <f t="shared" si="13"/>
        <v>H177973GC9060BE-M</v>
      </c>
      <c r="B859" s="35" t="s">
        <v>1013</v>
      </c>
      <c r="C859" s="35" t="s">
        <v>1629</v>
      </c>
      <c r="D859" s="35" t="s">
        <v>404</v>
      </c>
      <c r="E859" s="35" t="s">
        <v>2337</v>
      </c>
      <c r="F859" s="35" t="s">
        <v>524</v>
      </c>
      <c r="G859" s="35" t="s">
        <v>525</v>
      </c>
      <c r="H859" s="35">
        <v>798</v>
      </c>
    </row>
    <row r="860" spans="1:8" ht="15.75" x14ac:dyDescent="0.25">
      <c r="A860" t="str">
        <f t="shared" si="13"/>
        <v>H177958GC9060BE-M</v>
      </c>
      <c r="B860" s="35" t="s">
        <v>1013</v>
      </c>
      <c r="C860" s="35" t="s">
        <v>1630</v>
      </c>
      <c r="D860" s="35" t="s">
        <v>404</v>
      </c>
      <c r="E860" s="35" t="s">
        <v>2337</v>
      </c>
      <c r="F860" s="35" t="s">
        <v>434</v>
      </c>
      <c r="G860" s="35" t="s">
        <v>435</v>
      </c>
      <c r="H860" s="35">
        <v>210</v>
      </c>
    </row>
    <row r="861" spans="1:8" ht="15.75" x14ac:dyDescent="0.25">
      <c r="A861" t="str">
        <f t="shared" si="13"/>
        <v>7875407GC9060BE-M</v>
      </c>
      <c r="B861" s="35" t="s">
        <v>1013</v>
      </c>
      <c r="C861" s="35" t="s">
        <v>1631</v>
      </c>
      <c r="D861" s="35" t="s">
        <v>387</v>
      </c>
      <c r="E861" s="35" t="s">
        <v>2337</v>
      </c>
      <c r="F861" s="35" t="s">
        <v>385</v>
      </c>
      <c r="G861" s="35" t="s">
        <v>386</v>
      </c>
      <c r="H861" s="35">
        <v>600</v>
      </c>
    </row>
    <row r="862" spans="1:8" ht="15.75" x14ac:dyDescent="0.25">
      <c r="A862" t="str">
        <f t="shared" si="13"/>
        <v>H177954GC9060BE-M</v>
      </c>
      <c r="B862" s="35" t="s">
        <v>1013</v>
      </c>
      <c r="C862" s="35" t="s">
        <v>1632</v>
      </c>
      <c r="D862" s="35" t="s">
        <v>404</v>
      </c>
      <c r="E862" s="35" t="s">
        <v>2337</v>
      </c>
      <c r="F862" s="35" t="s">
        <v>2294</v>
      </c>
      <c r="G862" s="35" t="s">
        <v>2295</v>
      </c>
      <c r="H862" s="35">
        <v>318</v>
      </c>
    </row>
    <row r="863" spans="1:8" ht="15.75" x14ac:dyDescent="0.25">
      <c r="A863" t="str">
        <f t="shared" si="13"/>
        <v>H177953GC9060ER-M</v>
      </c>
      <c r="B863" s="35" t="s">
        <v>1014</v>
      </c>
      <c r="C863" s="35" t="s">
        <v>1633</v>
      </c>
      <c r="D863" s="35" t="s">
        <v>404</v>
      </c>
      <c r="E863" s="35" t="s">
        <v>2337</v>
      </c>
      <c r="F863" s="35" t="s">
        <v>2294</v>
      </c>
      <c r="G863" s="35" t="s">
        <v>2295</v>
      </c>
      <c r="H863" s="35">
        <v>276</v>
      </c>
    </row>
    <row r="864" spans="1:8" ht="15.75" x14ac:dyDescent="0.25">
      <c r="A864" t="str">
        <f t="shared" si="13"/>
        <v>H178130GC9060ER-M</v>
      </c>
      <c r="B864" s="35" t="s">
        <v>1014</v>
      </c>
      <c r="C864" s="35" t="s">
        <v>1634</v>
      </c>
      <c r="D864" s="35" t="s">
        <v>404</v>
      </c>
      <c r="E864" s="35" t="s">
        <v>2337</v>
      </c>
      <c r="F864" s="35" t="s">
        <v>402</v>
      </c>
      <c r="G864" s="35" t="s">
        <v>403</v>
      </c>
      <c r="H864" s="35">
        <v>144</v>
      </c>
    </row>
    <row r="865" spans="1:8" ht="15.75" x14ac:dyDescent="0.25">
      <c r="A865" t="str">
        <f t="shared" si="13"/>
        <v>H178131GC9060ER-M</v>
      </c>
      <c r="B865" s="35" t="s">
        <v>1014</v>
      </c>
      <c r="C865" s="35" t="s">
        <v>1635</v>
      </c>
      <c r="D865" s="35" t="s">
        <v>404</v>
      </c>
      <c r="E865" s="35" t="s">
        <v>2337</v>
      </c>
      <c r="F865" s="35" t="s">
        <v>402</v>
      </c>
      <c r="G865" s="35" t="s">
        <v>403</v>
      </c>
      <c r="H865" s="35">
        <v>240</v>
      </c>
    </row>
    <row r="866" spans="1:8" ht="15.75" x14ac:dyDescent="0.25">
      <c r="A866" t="str">
        <f t="shared" si="13"/>
        <v>H177951GC9060LL-M</v>
      </c>
      <c r="B866" s="35" t="s">
        <v>1010</v>
      </c>
      <c r="C866" s="35" t="s">
        <v>1636</v>
      </c>
      <c r="D866" s="35" t="s">
        <v>404</v>
      </c>
      <c r="E866" s="35" t="s">
        <v>2337</v>
      </c>
      <c r="F866" s="35" t="s">
        <v>2294</v>
      </c>
      <c r="G866" s="35" t="s">
        <v>2295</v>
      </c>
      <c r="H866" s="35">
        <v>438</v>
      </c>
    </row>
    <row r="867" spans="1:8" ht="15.75" x14ac:dyDescent="0.25">
      <c r="A867" t="str">
        <f t="shared" si="13"/>
        <v>H178094GC9060LL-M</v>
      </c>
      <c r="B867" s="35" t="s">
        <v>1010</v>
      </c>
      <c r="C867" s="35" t="s">
        <v>1637</v>
      </c>
      <c r="D867" s="35" t="s">
        <v>404</v>
      </c>
      <c r="E867" s="35" t="s">
        <v>2337</v>
      </c>
      <c r="F867" s="35" t="s">
        <v>402</v>
      </c>
      <c r="G867" s="35" t="s">
        <v>403</v>
      </c>
      <c r="H867" s="35">
        <v>432</v>
      </c>
    </row>
    <row r="868" spans="1:8" ht="15.75" x14ac:dyDescent="0.25">
      <c r="A868" t="str">
        <f t="shared" si="13"/>
        <v>H178096GC9060LL-M</v>
      </c>
      <c r="B868" s="35" t="s">
        <v>1010</v>
      </c>
      <c r="C868" s="35" t="s">
        <v>1638</v>
      </c>
      <c r="D868" s="35" t="s">
        <v>404</v>
      </c>
      <c r="E868" s="35" t="s">
        <v>2337</v>
      </c>
      <c r="F868" s="35" t="s">
        <v>402</v>
      </c>
      <c r="G868" s="35" t="s">
        <v>403</v>
      </c>
      <c r="H868" s="35">
        <v>240</v>
      </c>
    </row>
    <row r="869" spans="1:8" ht="15.75" x14ac:dyDescent="0.25">
      <c r="A869" t="str">
        <f t="shared" si="13"/>
        <v>7882960G90603HA-M</v>
      </c>
      <c r="B869" s="35" t="s">
        <v>1037</v>
      </c>
      <c r="C869" s="35" t="s">
        <v>1639</v>
      </c>
      <c r="D869" s="35" t="s">
        <v>394</v>
      </c>
      <c r="E869" s="35" t="s">
        <v>2337</v>
      </c>
      <c r="F869" s="35" t="s">
        <v>392</v>
      </c>
      <c r="G869" s="35" t="s">
        <v>393</v>
      </c>
      <c r="H869" s="35">
        <v>342</v>
      </c>
    </row>
    <row r="870" spans="1:8" ht="15.75" x14ac:dyDescent="0.25">
      <c r="A870" t="str">
        <f t="shared" si="13"/>
        <v>H140950GC9060BE-W</v>
      </c>
      <c r="B870" s="35" t="s">
        <v>1013</v>
      </c>
      <c r="C870" s="35" t="s">
        <v>1640</v>
      </c>
      <c r="D870" s="35" t="s">
        <v>411</v>
      </c>
      <c r="E870" s="35" t="s">
        <v>2338</v>
      </c>
      <c r="F870" s="35" t="s">
        <v>409</v>
      </c>
      <c r="G870" s="35" t="s">
        <v>410</v>
      </c>
      <c r="H870" s="35">
        <v>546</v>
      </c>
    </row>
    <row r="871" spans="1:8" ht="15.75" x14ac:dyDescent="0.25">
      <c r="A871" t="str">
        <f t="shared" si="13"/>
        <v>H153550G90603SO-W</v>
      </c>
      <c r="B871" s="35" t="s">
        <v>1015</v>
      </c>
      <c r="C871" s="35" t="s">
        <v>1641</v>
      </c>
      <c r="D871" s="35" t="s">
        <v>411</v>
      </c>
      <c r="E871" s="35" t="s">
        <v>2338</v>
      </c>
      <c r="F871" s="35" t="s">
        <v>409</v>
      </c>
      <c r="G871" s="35" t="s">
        <v>410</v>
      </c>
      <c r="H871" s="35">
        <v>888</v>
      </c>
    </row>
    <row r="872" spans="1:8" ht="15.75" x14ac:dyDescent="0.25">
      <c r="A872" t="str">
        <f t="shared" si="13"/>
        <v>U153201G90606AX-M</v>
      </c>
      <c r="B872" s="35" t="s">
        <v>1016</v>
      </c>
      <c r="C872" s="35" t="s">
        <v>1642</v>
      </c>
      <c r="D872" s="35" t="s">
        <v>438</v>
      </c>
      <c r="E872" s="35" t="s">
        <v>2337</v>
      </c>
      <c r="F872" s="35" t="s">
        <v>436</v>
      </c>
      <c r="G872" s="35" t="s">
        <v>2304</v>
      </c>
      <c r="H872" s="35">
        <v>1200</v>
      </c>
    </row>
    <row r="873" spans="1:8" ht="15.75" x14ac:dyDescent="0.25">
      <c r="A873" t="str">
        <f t="shared" si="13"/>
        <v>U158359G90601ND-M</v>
      </c>
      <c r="B873" s="35" t="s">
        <v>1038</v>
      </c>
      <c r="C873" s="35" t="s">
        <v>1643</v>
      </c>
      <c r="D873" s="35" t="s">
        <v>444</v>
      </c>
      <c r="E873" s="35" t="s">
        <v>2337</v>
      </c>
      <c r="F873" s="35" t="s">
        <v>436</v>
      </c>
      <c r="G873" s="35" t="s">
        <v>443</v>
      </c>
      <c r="H873" s="35">
        <v>798</v>
      </c>
    </row>
    <row r="874" spans="1:8" ht="15.75" x14ac:dyDescent="0.25">
      <c r="A874" t="str">
        <f t="shared" si="13"/>
        <v>U158365G90606AX-M</v>
      </c>
      <c r="B874" s="35" t="s">
        <v>1016</v>
      </c>
      <c r="C874" s="35" t="s">
        <v>1644</v>
      </c>
      <c r="D874" s="35" t="s">
        <v>466</v>
      </c>
      <c r="E874" s="35" t="s">
        <v>2337</v>
      </c>
      <c r="F874" s="35" t="s">
        <v>436</v>
      </c>
      <c r="G874" s="35" t="s">
        <v>443</v>
      </c>
      <c r="H874" s="35">
        <v>216</v>
      </c>
    </row>
    <row r="875" spans="1:8" ht="15.75" x14ac:dyDescent="0.25">
      <c r="A875" t="str">
        <f t="shared" si="13"/>
        <v>U158365G90606AX-W</v>
      </c>
      <c r="B875" s="35" t="s">
        <v>1016</v>
      </c>
      <c r="C875" s="35" t="s">
        <v>1644</v>
      </c>
      <c r="D875" s="35" t="s">
        <v>466</v>
      </c>
      <c r="E875" s="35" t="s">
        <v>2338</v>
      </c>
      <c r="F875" s="35" t="s">
        <v>436</v>
      </c>
      <c r="G875" s="35" t="s">
        <v>443</v>
      </c>
      <c r="H875" s="35">
        <v>48</v>
      </c>
    </row>
    <row r="876" spans="1:8" ht="15.75" x14ac:dyDescent="0.25">
      <c r="A876" t="str">
        <f t="shared" si="13"/>
        <v>U158370G90606AX-M</v>
      </c>
      <c r="B876" s="35" t="s">
        <v>1016</v>
      </c>
      <c r="C876" s="35" t="s">
        <v>1645</v>
      </c>
      <c r="D876" s="35" t="s">
        <v>457</v>
      </c>
      <c r="E876" s="35" t="s">
        <v>2337</v>
      </c>
      <c r="F876" s="35" t="s">
        <v>436</v>
      </c>
      <c r="G876" s="35" t="s">
        <v>443</v>
      </c>
      <c r="H876" s="35">
        <v>156</v>
      </c>
    </row>
    <row r="877" spans="1:8" ht="15.75" x14ac:dyDescent="0.25">
      <c r="A877" t="str">
        <f t="shared" si="13"/>
        <v>U158370G90606AX-W</v>
      </c>
      <c r="B877" s="35" t="s">
        <v>1016</v>
      </c>
      <c r="C877" s="35" t="s">
        <v>1645</v>
      </c>
      <c r="D877" s="35" t="s">
        <v>457</v>
      </c>
      <c r="E877" s="35" t="s">
        <v>2338</v>
      </c>
      <c r="F877" s="35" t="s">
        <v>436</v>
      </c>
      <c r="G877" s="35" t="s">
        <v>443</v>
      </c>
      <c r="H877" s="35">
        <v>36</v>
      </c>
    </row>
    <row r="878" spans="1:8" ht="15.75" x14ac:dyDescent="0.25">
      <c r="A878" t="str">
        <f t="shared" si="13"/>
        <v>U158373G90606AX-M</v>
      </c>
      <c r="B878" s="35" t="s">
        <v>1016</v>
      </c>
      <c r="C878" s="35" t="s">
        <v>1646</v>
      </c>
      <c r="D878" s="35" t="s">
        <v>444</v>
      </c>
      <c r="E878" s="35" t="s">
        <v>2337</v>
      </c>
      <c r="F878" s="35" t="s">
        <v>436</v>
      </c>
      <c r="G878" s="35" t="s">
        <v>443</v>
      </c>
      <c r="H878" s="35">
        <v>426</v>
      </c>
    </row>
    <row r="879" spans="1:8" ht="15.75" x14ac:dyDescent="0.25">
      <c r="A879" t="str">
        <f t="shared" si="13"/>
        <v>U158373G90606AX-W</v>
      </c>
      <c r="B879" s="35" t="s">
        <v>1016</v>
      </c>
      <c r="C879" s="35" t="s">
        <v>1646</v>
      </c>
      <c r="D879" s="35" t="s">
        <v>444</v>
      </c>
      <c r="E879" s="35" t="s">
        <v>2338</v>
      </c>
      <c r="F879" s="35" t="s">
        <v>436</v>
      </c>
      <c r="G879" s="35" t="s">
        <v>443</v>
      </c>
      <c r="H879" s="35">
        <v>42</v>
      </c>
    </row>
    <row r="880" spans="1:8" ht="15.75" x14ac:dyDescent="0.25">
      <c r="A880" t="str">
        <f t="shared" si="13"/>
        <v>U158367G9060744-M</v>
      </c>
      <c r="B880" s="35" t="s">
        <v>1017</v>
      </c>
      <c r="C880" s="35" t="s">
        <v>1647</v>
      </c>
      <c r="D880" s="35" t="s">
        <v>444</v>
      </c>
      <c r="E880" s="35" t="s">
        <v>2337</v>
      </c>
      <c r="F880" s="35" t="s">
        <v>436</v>
      </c>
      <c r="G880" s="35" t="s">
        <v>443</v>
      </c>
      <c r="H880" s="35">
        <v>786</v>
      </c>
    </row>
    <row r="881" spans="1:8" ht="15.75" x14ac:dyDescent="0.25">
      <c r="A881" t="str">
        <f t="shared" si="13"/>
        <v>U158367G9060744-W</v>
      </c>
      <c r="B881" s="35" t="s">
        <v>1017</v>
      </c>
      <c r="C881" s="35" t="s">
        <v>1647</v>
      </c>
      <c r="D881" s="35" t="s">
        <v>444</v>
      </c>
      <c r="E881" s="35" t="s">
        <v>2338</v>
      </c>
      <c r="F881" s="35" t="s">
        <v>436</v>
      </c>
      <c r="G881" s="35" t="s">
        <v>443</v>
      </c>
      <c r="H881" s="35">
        <v>12</v>
      </c>
    </row>
    <row r="882" spans="1:8" ht="15.75" x14ac:dyDescent="0.25">
      <c r="A882" t="str">
        <f t="shared" si="13"/>
        <v>U157230GC9060EP-M</v>
      </c>
      <c r="B882" s="35" t="s">
        <v>1036</v>
      </c>
      <c r="C882" s="35" t="s">
        <v>1648</v>
      </c>
      <c r="D882" s="35" t="s">
        <v>444</v>
      </c>
      <c r="E882" s="35" t="s">
        <v>2337</v>
      </c>
      <c r="F882" s="35" t="s">
        <v>436</v>
      </c>
      <c r="G882" s="35" t="s">
        <v>443</v>
      </c>
      <c r="H882" s="35">
        <v>1242</v>
      </c>
    </row>
    <row r="883" spans="1:8" ht="15.75" x14ac:dyDescent="0.25">
      <c r="A883" t="str">
        <f t="shared" si="13"/>
        <v>U157230GC9060EP-W</v>
      </c>
      <c r="B883" s="35" t="s">
        <v>1036</v>
      </c>
      <c r="C883" s="35" t="s">
        <v>1648</v>
      </c>
      <c r="D883" s="35" t="s">
        <v>444</v>
      </c>
      <c r="E883" s="35" t="s">
        <v>2338</v>
      </c>
      <c r="F883" s="35" t="s">
        <v>436</v>
      </c>
      <c r="G883" s="35" t="s">
        <v>443</v>
      </c>
      <c r="H883" s="35">
        <v>72</v>
      </c>
    </row>
    <row r="884" spans="1:8" ht="15.75" x14ac:dyDescent="0.25">
      <c r="A884" t="str">
        <f t="shared" si="13"/>
        <v>U158338GC9060GY-M</v>
      </c>
      <c r="B884" s="35" t="s">
        <v>1011</v>
      </c>
      <c r="C884" s="35" t="s">
        <v>1649</v>
      </c>
      <c r="D884" s="35" t="s">
        <v>466</v>
      </c>
      <c r="E884" s="35" t="s">
        <v>2337</v>
      </c>
      <c r="F884" s="35" t="s">
        <v>436</v>
      </c>
      <c r="G884" s="35" t="s">
        <v>443</v>
      </c>
      <c r="H884" s="35">
        <v>150</v>
      </c>
    </row>
    <row r="885" spans="1:8" ht="15.75" x14ac:dyDescent="0.25">
      <c r="A885" t="str">
        <f t="shared" si="13"/>
        <v>U158338GC9060GY-W</v>
      </c>
      <c r="B885" s="35" t="s">
        <v>1011</v>
      </c>
      <c r="C885" s="35" t="s">
        <v>1649</v>
      </c>
      <c r="D885" s="35" t="s">
        <v>466</v>
      </c>
      <c r="E885" s="35" t="s">
        <v>2338</v>
      </c>
      <c r="F885" s="35" t="s">
        <v>436</v>
      </c>
      <c r="G885" s="35" t="s">
        <v>443</v>
      </c>
      <c r="H885" s="35">
        <v>36</v>
      </c>
    </row>
    <row r="886" spans="1:8" ht="15.75" x14ac:dyDescent="0.25">
      <c r="A886" t="str">
        <f t="shared" si="13"/>
        <v>U158339GC9060GY-M</v>
      </c>
      <c r="B886" s="35" t="s">
        <v>1011</v>
      </c>
      <c r="C886" s="35" t="s">
        <v>1650</v>
      </c>
      <c r="D886" s="35" t="s">
        <v>444</v>
      </c>
      <c r="E886" s="35" t="s">
        <v>2337</v>
      </c>
      <c r="F886" s="35" t="s">
        <v>436</v>
      </c>
      <c r="G886" s="35" t="s">
        <v>443</v>
      </c>
      <c r="H886" s="35">
        <v>630</v>
      </c>
    </row>
    <row r="887" spans="1:8" ht="15.75" x14ac:dyDescent="0.25">
      <c r="A887" t="str">
        <f t="shared" si="13"/>
        <v>U158339GC9060GY-W</v>
      </c>
      <c r="B887" s="35" t="s">
        <v>1011</v>
      </c>
      <c r="C887" s="35" t="s">
        <v>1650</v>
      </c>
      <c r="D887" s="35" t="s">
        <v>444</v>
      </c>
      <c r="E887" s="35" t="s">
        <v>2338</v>
      </c>
      <c r="F887" s="35" t="s">
        <v>436</v>
      </c>
      <c r="G887" s="35" t="s">
        <v>443</v>
      </c>
      <c r="H887" s="35">
        <v>54</v>
      </c>
    </row>
    <row r="888" spans="1:8" ht="15.75" x14ac:dyDescent="0.25">
      <c r="A888" t="str">
        <f t="shared" si="13"/>
        <v>7882978GC9060BE-M</v>
      </c>
      <c r="B888" s="35" t="s">
        <v>1013</v>
      </c>
      <c r="C888" s="35" t="s">
        <v>1651</v>
      </c>
      <c r="D888" s="35" t="s">
        <v>394</v>
      </c>
      <c r="E888" s="35" t="s">
        <v>2337</v>
      </c>
      <c r="F888" s="35" t="s">
        <v>392</v>
      </c>
      <c r="G888" s="35" t="s">
        <v>393</v>
      </c>
      <c r="H888" s="35">
        <v>582</v>
      </c>
    </row>
    <row r="889" spans="1:8" ht="15.75" x14ac:dyDescent="0.25">
      <c r="A889" t="str">
        <f t="shared" si="13"/>
        <v>7882982GC9060BE-M</v>
      </c>
      <c r="B889" s="35" t="s">
        <v>1013</v>
      </c>
      <c r="C889" s="35" t="s">
        <v>1652</v>
      </c>
      <c r="D889" s="35" t="s">
        <v>394</v>
      </c>
      <c r="E889" s="35" t="s">
        <v>2337</v>
      </c>
      <c r="F889" s="35" t="s">
        <v>392</v>
      </c>
      <c r="G889" s="35" t="s">
        <v>393</v>
      </c>
      <c r="H889" s="35">
        <v>666</v>
      </c>
    </row>
    <row r="890" spans="1:8" ht="15.75" x14ac:dyDescent="0.25">
      <c r="A890" t="str">
        <f t="shared" si="13"/>
        <v>H177960GC9060BE-M</v>
      </c>
      <c r="B890" s="35" t="s">
        <v>1013</v>
      </c>
      <c r="C890" s="35" t="s">
        <v>1653</v>
      </c>
      <c r="D890" s="35" t="s">
        <v>404</v>
      </c>
      <c r="E890" s="35" t="s">
        <v>2337</v>
      </c>
      <c r="F890" s="35" t="s">
        <v>501</v>
      </c>
      <c r="G890" s="35" t="s">
        <v>502</v>
      </c>
      <c r="H890" s="35">
        <v>192</v>
      </c>
    </row>
    <row r="891" spans="1:8" ht="15.75" x14ac:dyDescent="0.25">
      <c r="A891" t="str">
        <f t="shared" si="13"/>
        <v>H178043GC9060BE-M</v>
      </c>
      <c r="B891" s="35" t="s">
        <v>1013</v>
      </c>
      <c r="C891" s="35" t="s">
        <v>1654</v>
      </c>
      <c r="D891" s="35" t="s">
        <v>404</v>
      </c>
      <c r="E891" s="35" t="s">
        <v>2337</v>
      </c>
      <c r="F891" s="35" t="s">
        <v>402</v>
      </c>
      <c r="G891" s="35" t="s">
        <v>2289</v>
      </c>
      <c r="H891" s="35">
        <v>462</v>
      </c>
    </row>
    <row r="892" spans="1:8" ht="15.75" x14ac:dyDescent="0.25">
      <c r="A892" t="str">
        <f t="shared" si="13"/>
        <v>H177972GC9060BK-M</v>
      </c>
      <c r="B892" s="35" t="s">
        <v>1009</v>
      </c>
      <c r="C892" s="35" t="s">
        <v>1655</v>
      </c>
      <c r="D892" s="35" t="s">
        <v>404</v>
      </c>
      <c r="E892" s="35" t="s">
        <v>2337</v>
      </c>
      <c r="F892" s="35" t="s">
        <v>524</v>
      </c>
      <c r="G892" s="35" t="s">
        <v>525</v>
      </c>
      <c r="H892" s="35">
        <v>360</v>
      </c>
    </row>
    <row r="893" spans="1:8" ht="15.75" x14ac:dyDescent="0.25">
      <c r="A893" t="str">
        <f t="shared" si="13"/>
        <v>H178063GC9060BK-M</v>
      </c>
      <c r="B893" s="35" t="s">
        <v>1009</v>
      </c>
      <c r="C893" s="35" t="s">
        <v>1656</v>
      </c>
      <c r="D893" s="35" t="s">
        <v>404</v>
      </c>
      <c r="E893" s="35" t="s">
        <v>2337</v>
      </c>
      <c r="F893" s="35" t="s">
        <v>402</v>
      </c>
      <c r="G893" s="35" t="s">
        <v>2289</v>
      </c>
      <c r="H893" s="35">
        <v>378</v>
      </c>
    </row>
    <row r="894" spans="1:8" ht="15.75" x14ac:dyDescent="0.25">
      <c r="A894" t="str">
        <f t="shared" si="13"/>
        <v>H178083GC9060GY-M</v>
      </c>
      <c r="B894" s="35" t="s">
        <v>1011</v>
      </c>
      <c r="C894" s="35" t="s">
        <v>1657</v>
      </c>
      <c r="D894" s="35" t="s">
        <v>404</v>
      </c>
      <c r="E894" s="35" t="s">
        <v>2337</v>
      </c>
      <c r="F894" s="35" t="s">
        <v>402</v>
      </c>
      <c r="G894" s="35" t="s">
        <v>403</v>
      </c>
      <c r="H894" s="35">
        <v>144</v>
      </c>
    </row>
    <row r="895" spans="1:8" ht="15.75" x14ac:dyDescent="0.25">
      <c r="A895" t="str">
        <f t="shared" si="13"/>
        <v>H178089GC9060GY-M</v>
      </c>
      <c r="B895" s="35" t="s">
        <v>1011</v>
      </c>
      <c r="C895" s="35" t="s">
        <v>1658</v>
      </c>
      <c r="D895" s="35" t="s">
        <v>404</v>
      </c>
      <c r="E895" s="35" t="s">
        <v>2337</v>
      </c>
      <c r="F895" s="35" t="s">
        <v>402</v>
      </c>
      <c r="G895" s="35" t="s">
        <v>403</v>
      </c>
      <c r="H895" s="35">
        <v>240</v>
      </c>
    </row>
    <row r="896" spans="1:8" ht="15.75" x14ac:dyDescent="0.25">
      <c r="A896" t="str">
        <f t="shared" si="13"/>
        <v>H178093GC9060GY-M</v>
      </c>
      <c r="B896" s="35" t="s">
        <v>1011</v>
      </c>
      <c r="C896" s="35" t="s">
        <v>1659</v>
      </c>
      <c r="D896" s="35" t="s">
        <v>404</v>
      </c>
      <c r="E896" s="35" t="s">
        <v>2337</v>
      </c>
      <c r="F896" s="35" t="s">
        <v>402</v>
      </c>
      <c r="G896" s="35" t="s">
        <v>403</v>
      </c>
      <c r="H896" s="35">
        <v>144</v>
      </c>
    </row>
    <row r="897" spans="1:8" ht="15.75" x14ac:dyDescent="0.25">
      <c r="A897" t="str">
        <f t="shared" si="13"/>
        <v>H178058GC9060LL-M</v>
      </c>
      <c r="B897" s="35" t="s">
        <v>1010</v>
      </c>
      <c r="C897" s="35" t="s">
        <v>1660</v>
      </c>
      <c r="D897" s="35" t="s">
        <v>404</v>
      </c>
      <c r="E897" s="35" t="s">
        <v>2337</v>
      </c>
      <c r="F897" s="35" t="s">
        <v>402</v>
      </c>
      <c r="G897" s="35" t="s">
        <v>2289</v>
      </c>
      <c r="H897" s="35">
        <v>402</v>
      </c>
    </row>
    <row r="898" spans="1:8" ht="15.75" x14ac:dyDescent="0.25">
      <c r="A898" t="str">
        <f t="shared" si="13"/>
        <v>H178095GC9060LL-M</v>
      </c>
      <c r="B898" s="35" t="s">
        <v>1010</v>
      </c>
      <c r="C898" s="35" t="s">
        <v>1661</v>
      </c>
      <c r="D898" s="35" t="s">
        <v>404</v>
      </c>
      <c r="E898" s="35" t="s">
        <v>2337</v>
      </c>
      <c r="F898" s="35" t="s">
        <v>402</v>
      </c>
      <c r="G898" s="35" t="s">
        <v>403</v>
      </c>
      <c r="H898" s="35">
        <v>432</v>
      </c>
    </row>
    <row r="899" spans="1:8" ht="15.75" x14ac:dyDescent="0.25">
      <c r="A899" t="str">
        <f t="shared" si="13"/>
        <v>H178097GC9060LL-M</v>
      </c>
      <c r="B899" s="35" t="s">
        <v>1010</v>
      </c>
      <c r="C899" s="35" t="s">
        <v>1662</v>
      </c>
      <c r="D899" s="35" t="s">
        <v>404</v>
      </c>
      <c r="E899" s="35" t="s">
        <v>2337</v>
      </c>
      <c r="F899" s="35" t="s">
        <v>402</v>
      </c>
      <c r="G899" s="35" t="s">
        <v>403</v>
      </c>
      <c r="H899" s="35">
        <v>240</v>
      </c>
    </row>
    <row r="900" spans="1:8" ht="15.75" x14ac:dyDescent="0.25">
      <c r="A900" t="str">
        <f t="shared" si="13"/>
        <v>H180750GC9060GY-M</v>
      </c>
      <c r="B900" s="35" t="s">
        <v>1011</v>
      </c>
      <c r="C900" s="35" t="s">
        <v>559</v>
      </c>
      <c r="D900" s="35" t="s">
        <v>404</v>
      </c>
      <c r="E900" s="35" t="s">
        <v>2337</v>
      </c>
      <c r="F900" s="35" t="s">
        <v>2307</v>
      </c>
      <c r="G900" s="35" t="s">
        <v>2308</v>
      </c>
      <c r="H900" s="35">
        <v>576</v>
      </c>
    </row>
    <row r="901" spans="1:8" ht="15.75" x14ac:dyDescent="0.25">
      <c r="A901" t="str">
        <f t="shared" si="13"/>
        <v>7874422GC9060BE-M</v>
      </c>
      <c r="B901" s="35" t="s">
        <v>1013</v>
      </c>
      <c r="C901" s="35" t="s">
        <v>571</v>
      </c>
      <c r="D901" s="35" t="s">
        <v>394</v>
      </c>
      <c r="E901" s="35" t="s">
        <v>2337</v>
      </c>
      <c r="F901" s="35" t="s">
        <v>392</v>
      </c>
      <c r="G901" s="35" t="s">
        <v>393</v>
      </c>
      <c r="H901" s="35">
        <v>984</v>
      </c>
    </row>
    <row r="902" spans="1:8" ht="15.75" x14ac:dyDescent="0.25">
      <c r="A902" t="str">
        <f t="shared" si="13"/>
        <v>7874675I906081E-M</v>
      </c>
      <c r="B902" s="35" t="s">
        <v>1039</v>
      </c>
      <c r="C902" s="35" t="s">
        <v>612</v>
      </c>
      <c r="D902" s="35" t="s">
        <v>394</v>
      </c>
      <c r="E902" s="35" t="s">
        <v>2337</v>
      </c>
      <c r="F902" s="35" t="s">
        <v>382</v>
      </c>
      <c r="G902" s="35" t="s">
        <v>2297</v>
      </c>
      <c r="H902" s="35">
        <v>3624</v>
      </c>
    </row>
    <row r="903" spans="1:8" ht="15.75" x14ac:dyDescent="0.25">
      <c r="A903" t="str">
        <f t="shared" ref="A903:A966" si="14">+C903&amp;B903&amp;"-"&amp;E903</f>
        <v>7876209P90602XV-M</v>
      </c>
      <c r="B903" s="35" t="s">
        <v>991</v>
      </c>
      <c r="C903" s="35" t="s">
        <v>1663</v>
      </c>
      <c r="D903" s="35" t="s">
        <v>387</v>
      </c>
      <c r="E903" s="35" t="s">
        <v>2337</v>
      </c>
      <c r="F903" s="35" t="s">
        <v>388</v>
      </c>
      <c r="G903" s="35" t="s">
        <v>389</v>
      </c>
      <c r="H903" s="35">
        <v>1482</v>
      </c>
    </row>
    <row r="904" spans="1:8" ht="15.75" x14ac:dyDescent="0.25">
      <c r="A904" t="str">
        <f t="shared" si="14"/>
        <v>C135264P90602XV-W</v>
      </c>
      <c r="B904" s="35" t="s">
        <v>991</v>
      </c>
      <c r="C904" s="35" t="s">
        <v>1432</v>
      </c>
      <c r="D904" s="35" t="s">
        <v>401</v>
      </c>
      <c r="E904" s="35" t="s">
        <v>2338</v>
      </c>
      <c r="F904" s="35" t="s">
        <v>397</v>
      </c>
      <c r="G904" s="35" t="s">
        <v>400</v>
      </c>
      <c r="H904" s="35">
        <v>18</v>
      </c>
    </row>
    <row r="905" spans="1:8" ht="15.75" x14ac:dyDescent="0.25">
      <c r="A905" t="str">
        <f t="shared" si="14"/>
        <v>7866193IV9060LL-M</v>
      </c>
      <c r="B905" s="35" t="s">
        <v>1033</v>
      </c>
      <c r="C905" s="35" t="s">
        <v>698</v>
      </c>
      <c r="D905" s="35" t="s">
        <v>387</v>
      </c>
      <c r="E905" s="35" t="s">
        <v>2337</v>
      </c>
      <c r="F905" s="35" t="s">
        <v>385</v>
      </c>
      <c r="G905" s="35" t="s">
        <v>386</v>
      </c>
      <c r="H905" s="35">
        <v>348</v>
      </c>
    </row>
    <row r="906" spans="1:8" ht="15.75" x14ac:dyDescent="0.25">
      <c r="A906" t="str">
        <f t="shared" si="14"/>
        <v>7875319IV9060LL-M</v>
      </c>
      <c r="B906" s="35" t="s">
        <v>1033</v>
      </c>
      <c r="C906" s="35" t="s">
        <v>701</v>
      </c>
      <c r="D906" s="35" t="s">
        <v>391</v>
      </c>
      <c r="E906" s="35" t="s">
        <v>2337</v>
      </c>
      <c r="F906" s="35" t="s">
        <v>379</v>
      </c>
      <c r="G906" s="35" t="s">
        <v>380</v>
      </c>
      <c r="H906" s="35">
        <v>156</v>
      </c>
    </row>
    <row r="907" spans="1:8" ht="15.75" x14ac:dyDescent="0.25">
      <c r="A907" t="str">
        <f t="shared" si="14"/>
        <v>7875403IV9060LL-M</v>
      </c>
      <c r="B907" s="35" t="s">
        <v>1033</v>
      </c>
      <c r="C907" s="35" t="s">
        <v>744</v>
      </c>
      <c r="D907" s="35" t="s">
        <v>390</v>
      </c>
      <c r="E907" s="35" t="s">
        <v>2337</v>
      </c>
      <c r="F907" s="35" t="s">
        <v>382</v>
      </c>
      <c r="G907" s="35" t="s">
        <v>383</v>
      </c>
      <c r="H907" s="35">
        <v>396</v>
      </c>
    </row>
    <row r="908" spans="1:8" ht="15.75" x14ac:dyDescent="0.25">
      <c r="A908" t="str">
        <f t="shared" si="14"/>
        <v>7875403IV9060LL-W</v>
      </c>
      <c r="B908" s="35" t="s">
        <v>1033</v>
      </c>
      <c r="C908" s="35" t="s">
        <v>744</v>
      </c>
      <c r="D908" s="35" t="s">
        <v>390</v>
      </c>
      <c r="E908" s="35" t="s">
        <v>2338</v>
      </c>
      <c r="F908" s="35" t="s">
        <v>382</v>
      </c>
      <c r="G908" s="35" t="s">
        <v>383</v>
      </c>
      <c r="H908" s="35">
        <v>132</v>
      </c>
    </row>
    <row r="909" spans="1:8" ht="15.75" x14ac:dyDescent="0.25">
      <c r="A909" t="str">
        <f t="shared" si="14"/>
        <v>7876168IV9060LL-M</v>
      </c>
      <c r="B909" s="35" t="s">
        <v>1033</v>
      </c>
      <c r="C909" s="35" t="s">
        <v>718</v>
      </c>
      <c r="D909" s="35" t="s">
        <v>387</v>
      </c>
      <c r="E909" s="35" t="s">
        <v>2337</v>
      </c>
      <c r="F909" s="35" t="s">
        <v>388</v>
      </c>
      <c r="G909" s="35" t="s">
        <v>389</v>
      </c>
      <c r="H909" s="35">
        <v>1656</v>
      </c>
    </row>
    <row r="910" spans="1:8" ht="15.75" x14ac:dyDescent="0.25">
      <c r="A910" t="str">
        <f t="shared" si="14"/>
        <v>H188975IV9060LL-M</v>
      </c>
      <c r="B910" s="35" t="s">
        <v>1033</v>
      </c>
      <c r="C910" s="35" t="s">
        <v>857</v>
      </c>
      <c r="D910" s="35" t="s">
        <v>404</v>
      </c>
      <c r="E910" s="35" t="s">
        <v>2337</v>
      </c>
      <c r="F910" s="35" t="s">
        <v>501</v>
      </c>
      <c r="G910" s="35" t="s">
        <v>502</v>
      </c>
      <c r="H910" s="35">
        <v>180</v>
      </c>
    </row>
    <row r="911" spans="1:8" ht="15.75" x14ac:dyDescent="0.25">
      <c r="A911" t="str">
        <f t="shared" si="14"/>
        <v>U152828IV9060LL-M</v>
      </c>
      <c r="B911" s="35" t="s">
        <v>1033</v>
      </c>
      <c r="C911" s="35" t="s">
        <v>809</v>
      </c>
      <c r="D911" s="35" t="s">
        <v>444</v>
      </c>
      <c r="E911" s="35" t="s">
        <v>2337</v>
      </c>
      <c r="F911" s="35" t="s">
        <v>436</v>
      </c>
      <c r="G911" s="35" t="s">
        <v>443</v>
      </c>
      <c r="H911" s="35">
        <v>168</v>
      </c>
    </row>
    <row r="912" spans="1:8" ht="15.75" x14ac:dyDescent="0.25">
      <c r="A912" t="str">
        <f t="shared" si="14"/>
        <v>U152828IV9060LL-W</v>
      </c>
      <c r="B912" s="35" t="s">
        <v>1033</v>
      </c>
      <c r="C912" s="35" t="s">
        <v>809</v>
      </c>
      <c r="D912" s="35" t="s">
        <v>444</v>
      </c>
      <c r="E912" s="35" t="s">
        <v>2338</v>
      </c>
      <c r="F912" s="35" t="s">
        <v>436</v>
      </c>
      <c r="G912" s="35" t="s">
        <v>443</v>
      </c>
      <c r="H912" s="35">
        <v>24</v>
      </c>
    </row>
    <row r="913" spans="1:8" ht="15.75" x14ac:dyDescent="0.25">
      <c r="A913" t="str">
        <f t="shared" si="14"/>
        <v>7874067P906011M-M</v>
      </c>
      <c r="B913" s="35" t="s">
        <v>1020</v>
      </c>
      <c r="C913" s="35" t="s">
        <v>788</v>
      </c>
      <c r="D913" s="35" t="s">
        <v>394</v>
      </c>
      <c r="E913" s="35" t="s">
        <v>2337</v>
      </c>
      <c r="F913" s="35" t="s">
        <v>392</v>
      </c>
      <c r="G913" s="35" t="s">
        <v>526</v>
      </c>
      <c r="H913" s="35">
        <v>300</v>
      </c>
    </row>
    <row r="914" spans="1:8" ht="15.75" x14ac:dyDescent="0.25">
      <c r="A914" t="str">
        <f t="shared" si="14"/>
        <v>7874765P906011M-M</v>
      </c>
      <c r="B914" s="35" t="s">
        <v>1020</v>
      </c>
      <c r="C914" s="35" t="s">
        <v>1664</v>
      </c>
      <c r="D914" s="35" t="s">
        <v>394</v>
      </c>
      <c r="E914" s="35" t="s">
        <v>2337</v>
      </c>
      <c r="F914" s="35" t="s">
        <v>382</v>
      </c>
      <c r="G914" s="35" t="s">
        <v>2297</v>
      </c>
      <c r="H914" s="35">
        <v>4998</v>
      </c>
    </row>
    <row r="915" spans="1:8" ht="15.75" x14ac:dyDescent="0.25">
      <c r="A915" t="str">
        <f t="shared" si="14"/>
        <v>7875006P906011M-M</v>
      </c>
      <c r="B915" s="35" t="s">
        <v>1020</v>
      </c>
      <c r="C915" s="35" t="s">
        <v>833</v>
      </c>
      <c r="D915" s="35" t="s">
        <v>394</v>
      </c>
      <c r="E915" s="35" t="s">
        <v>2337</v>
      </c>
      <c r="F915" s="35" t="s">
        <v>2313</v>
      </c>
      <c r="G915" s="35" t="s">
        <v>2314</v>
      </c>
      <c r="H915" s="35">
        <v>450</v>
      </c>
    </row>
    <row r="916" spans="1:8" ht="15.75" x14ac:dyDescent="0.25">
      <c r="A916" t="str">
        <f t="shared" si="14"/>
        <v>H180789P906011M-M</v>
      </c>
      <c r="B916" s="35" t="s">
        <v>1020</v>
      </c>
      <c r="C916" s="35" t="s">
        <v>813</v>
      </c>
      <c r="D916" s="35" t="s">
        <v>404</v>
      </c>
      <c r="E916" s="35" t="s">
        <v>2337</v>
      </c>
      <c r="F916" s="35" t="s">
        <v>2307</v>
      </c>
      <c r="G916" s="35" t="s">
        <v>2308</v>
      </c>
      <c r="H916" s="35">
        <v>630</v>
      </c>
    </row>
    <row r="917" spans="1:8" ht="15.75" x14ac:dyDescent="0.25">
      <c r="A917" t="str">
        <f t="shared" si="14"/>
        <v>H189298P906011M-W</v>
      </c>
      <c r="B917" s="35" t="s">
        <v>1020</v>
      </c>
      <c r="C917" s="35" t="s">
        <v>1665</v>
      </c>
      <c r="D917" s="35" t="s">
        <v>404</v>
      </c>
      <c r="E917" s="35" t="s">
        <v>2338</v>
      </c>
      <c r="F917" s="35" t="s">
        <v>2311</v>
      </c>
      <c r="G917" s="35" t="s">
        <v>2312</v>
      </c>
      <c r="H917" s="35">
        <v>252</v>
      </c>
    </row>
    <row r="918" spans="1:8" ht="15.75" x14ac:dyDescent="0.25">
      <c r="A918" t="str">
        <f t="shared" si="14"/>
        <v>U152788P90604TZ-M</v>
      </c>
      <c r="B918" s="35" t="s">
        <v>997</v>
      </c>
      <c r="C918" s="35" t="s">
        <v>1666</v>
      </c>
      <c r="D918" s="35" t="s">
        <v>444</v>
      </c>
      <c r="E918" s="35" t="s">
        <v>2337</v>
      </c>
      <c r="F918" s="35" t="s">
        <v>436</v>
      </c>
      <c r="G918" s="35" t="s">
        <v>443</v>
      </c>
      <c r="H918" s="35">
        <v>186</v>
      </c>
    </row>
    <row r="919" spans="1:8" ht="15.75" x14ac:dyDescent="0.25">
      <c r="A919" t="str">
        <f t="shared" si="14"/>
        <v>U152788P90604TZ-W</v>
      </c>
      <c r="B919" s="35" t="s">
        <v>997</v>
      </c>
      <c r="C919" s="35" t="s">
        <v>1666</v>
      </c>
      <c r="D919" s="35" t="s">
        <v>444</v>
      </c>
      <c r="E919" s="35" t="s">
        <v>2338</v>
      </c>
      <c r="F919" s="35" t="s">
        <v>436</v>
      </c>
      <c r="G919" s="35" t="s">
        <v>443</v>
      </c>
      <c r="H919" s="35">
        <v>72</v>
      </c>
    </row>
    <row r="920" spans="1:8" ht="15.75" x14ac:dyDescent="0.25">
      <c r="A920" t="str">
        <f t="shared" si="14"/>
        <v>U152830P90605V8-M</v>
      </c>
      <c r="B920" s="35" t="s">
        <v>996</v>
      </c>
      <c r="C920" s="35" t="s">
        <v>1667</v>
      </c>
      <c r="D920" s="35" t="s">
        <v>444</v>
      </c>
      <c r="E920" s="35" t="s">
        <v>2337</v>
      </c>
      <c r="F920" s="35" t="s">
        <v>436</v>
      </c>
      <c r="G920" s="35" t="s">
        <v>443</v>
      </c>
      <c r="H920" s="35">
        <v>330</v>
      </c>
    </row>
    <row r="921" spans="1:8" ht="15.75" x14ac:dyDescent="0.25">
      <c r="A921" t="str">
        <f t="shared" si="14"/>
        <v>U152830P90605V8-W</v>
      </c>
      <c r="B921" s="35" t="s">
        <v>996</v>
      </c>
      <c r="C921" s="35" t="s">
        <v>1667</v>
      </c>
      <c r="D921" s="35" t="s">
        <v>444</v>
      </c>
      <c r="E921" s="35" t="s">
        <v>2338</v>
      </c>
      <c r="F921" s="35" t="s">
        <v>436</v>
      </c>
      <c r="G921" s="35" t="s">
        <v>443</v>
      </c>
      <c r="H921" s="35">
        <v>72</v>
      </c>
    </row>
    <row r="922" spans="1:8" ht="15.75" x14ac:dyDescent="0.25">
      <c r="A922" t="str">
        <f t="shared" si="14"/>
        <v>H189300P9060841-W</v>
      </c>
      <c r="B922" s="35" t="s">
        <v>992</v>
      </c>
      <c r="C922" s="35" t="s">
        <v>1668</v>
      </c>
      <c r="D922" s="35" t="s">
        <v>404</v>
      </c>
      <c r="E922" s="35" t="s">
        <v>2338</v>
      </c>
      <c r="F922" s="35" t="s">
        <v>2311</v>
      </c>
      <c r="G922" s="35" t="s">
        <v>2312</v>
      </c>
      <c r="H922" s="35">
        <v>648</v>
      </c>
    </row>
    <row r="923" spans="1:8" ht="15.75" x14ac:dyDescent="0.25">
      <c r="A923" t="str">
        <f t="shared" si="14"/>
        <v>H188994PC9060BK-M</v>
      </c>
      <c r="B923" s="35" t="s">
        <v>1040</v>
      </c>
      <c r="C923" s="35" t="s">
        <v>1669</v>
      </c>
      <c r="D923" s="35" t="s">
        <v>404</v>
      </c>
      <c r="E923" s="35" t="s">
        <v>2337</v>
      </c>
      <c r="F923" s="35" t="s">
        <v>430</v>
      </c>
      <c r="G923" s="35" t="s">
        <v>431</v>
      </c>
      <c r="H923" s="35">
        <v>150</v>
      </c>
    </row>
    <row r="924" spans="1:8" ht="15.75" x14ac:dyDescent="0.25">
      <c r="A924" t="str">
        <f t="shared" si="14"/>
        <v>U152824PC9060BK-M</v>
      </c>
      <c r="B924" s="35" t="s">
        <v>1040</v>
      </c>
      <c r="C924" s="35" t="s">
        <v>837</v>
      </c>
      <c r="D924" s="35" t="s">
        <v>457</v>
      </c>
      <c r="E924" s="35" t="s">
        <v>2337</v>
      </c>
      <c r="F924" s="35" t="s">
        <v>436</v>
      </c>
      <c r="G924" s="35" t="s">
        <v>443</v>
      </c>
      <c r="H924" s="35">
        <v>138</v>
      </c>
    </row>
    <row r="925" spans="1:8" ht="15.75" x14ac:dyDescent="0.25">
      <c r="A925" t="str">
        <f t="shared" si="14"/>
        <v>U152824PC9060BK-W</v>
      </c>
      <c r="B925" s="35" t="s">
        <v>1040</v>
      </c>
      <c r="C925" s="35" t="s">
        <v>837</v>
      </c>
      <c r="D925" s="35" t="s">
        <v>457</v>
      </c>
      <c r="E925" s="35" t="s">
        <v>2338</v>
      </c>
      <c r="F925" s="35" t="s">
        <v>436</v>
      </c>
      <c r="G925" s="35" t="s">
        <v>443</v>
      </c>
      <c r="H925" s="35">
        <v>60</v>
      </c>
    </row>
    <row r="926" spans="1:8" ht="15.75" x14ac:dyDescent="0.25">
      <c r="A926" t="str">
        <f t="shared" si="14"/>
        <v>U152832PC9060BK-M</v>
      </c>
      <c r="B926" s="35" t="s">
        <v>1040</v>
      </c>
      <c r="C926" s="35" t="s">
        <v>847</v>
      </c>
      <c r="D926" s="35" t="s">
        <v>466</v>
      </c>
      <c r="E926" s="35" t="s">
        <v>2337</v>
      </c>
      <c r="F926" s="35" t="s">
        <v>436</v>
      </c>
      <c r="G926" s="35" t="s">
        <v>443</v>
      </c>
      <c r="H926" s="35">
        <v>162</v>
      </c>
    </row>
    <row r="927" spans="1:8" ht="15.75" x14ac:dyDescent="0.25">
      <c r="A927" t="str">
        <f t="shared" si="14"/>
        <v>U152835PC9060BK-M</v>
      </c>
      <c r="B927" s="35" t="s">
        <v>1040</v>
      </c>
      <c r="C927" s="35" t="s">
        <v>839</v>
      </c>
      <c r="D927" s="35" t="s">
        <v>457</v>
      </c>
      <c r="E927" s="35" t="s">
        <v>2337</v>
      </c>
      <c r="F927" s="35" t="s">
        <v>436</v>
      </c>
      <c r="G927" s="35" t="s">
        <v>443</v>
      </c>
      <c r="H927" s="35">
        <v>138</v>
      </c>
    </row>
    <row r="928" spans="1:8" ht="15.75" x14ac:dyDescent="0.25">
      <c r="A928" t="str">
        <f t="shared" si="14"/>
        <v>U152835PC9060BK-W</v>
      </c>
      <c r="B928" s="35" t="s">
        <v>1040</v>
      </c>
      <c r="C928" s="35" t="s">
        <v>839</v>
      </c>
      <c r="D928" s="35" t="s">
        <v>457</v>
      </c>
      <c r="E928" s="35" t="s">
        <v>2338</v>
      </c>
      <c r="F928" s="35" t="s">
        <v>436</v>
      </c>
      <c r="G928" s="35" t="s">
        <v>443</v>
      </c>
      <c r="H928" s="35">
        <v>60</v>
      </c>
    </row>
    <row r="929" spans="1:8" ht="15.75" x14ac:dyDescent="0.25">
      <c r="A929" t="str">
        <f t="shared" si="14"/>
        <v>U152837PC9060BK-M</v>
      </c>
      <c r="B929" s="35" t="s">
        <v>1040</v>
      </c>
      <c r="C929" s="35" t="s">
        <v>852</v>
      </c>
      <c r="D929" s="35" t="s">
        <v>444</v>
      </c>
      <c r="E929" s="35" t="s">
        <v>2337</v>
      </c>
      <c r="F929" s="35" t="s">
        <v>436</v>
      </c>
      <c r="G929" s="35" t="s">
        <v>443</v>
      </c>
      <c r="H929" s="35">
        <v>156</v>
      </c>
    </row>
    <row r="930" spans="1:8" ht="15.75" x14ac:dyDescent="0.25">
      <c r="A930" t="str">
        <f t="shared" si="14"/>
        <v>U152837PC9060BK-W</v>
      </c>
      <c r="B930" s="35" t="s">
        <v>1040</v>
      </c>
      <c r="C930" s="35" t="s">
        <v>852</v>
      </c>
      <c r="D930" s="35" t="s">
        <v>444</v>
      </c>
      <c r="E930" s="35" t="s">
        <v>2338</v>
      </c>
      <c r="F930" s="35" t="s">
        <v>436</v>
      </c>
      <c r="G930" s="35" t="s">
        <v>443</v>
      </c>
      <c r="H930" s="35">
        <v>126</v>
      </c>
    </row>
    <row r="931" spans="1:8" ht="15.75" x14ac:dyDescent="0.25">
      <c r="A931" t="str">
        <f t="shared" si="14"/>
        <v>H189292PC9060ER-W</v>
      </c>
      <c r="B931" s="35" t="s">
        <v>989</v>
      </c>
      <c r="C931" s="35" t="s">
        <v>1670</v>
      </c>
      <c r="D931" s="35" t="s">
        <v>404</v>
      </c>
      <c r="E931" s="35" t="s">
        <v>2338</v>
      </c>
      <c r="F931" s="35" t="s">
        <v>2311</v>
      </c>
      <c r="G931" s="35" t="s">
        <v>2312</v>
      </c>
      <c r="H931" s="35">
        <v>660</v>
      </c>
    </row>
    <row r="932" spans="1:8" ht="15.75" x14ac:dyDescent="0.25">
      <c r="A932" t="str">
        <f t="shared" si="14"/>
        <v>H188993PC9060GY-M</v>
      </c>
      <c r="B932" s="35" t="s">
        <v>1041</v>
      </c>
      <c r="C932" s="35" t="s">
        <v>1671</v>
      </c>
      <c r="D932" s="35" t="s">
        <v>404</v>
      </c>
      <c r="E932" s="35" t="s">
        <v>2337</v>
      </c>
      <c r="F932" s="35" t="s">
        <v>430</v>
      </c>
      <c r="G932" s="35" t="s">
        <v>431</v>
      </c>
      <c r="H932" s="35">
        <v>150</v>
      </c>
    </row>
    <row r="933" spans="1:8" ht="15.75" x14ac:dyDescent="0.25">
      <c r="A933" t="str">
        <f t="shared" si="14"/>
        <v>U152769PC9060GY-M</v>
      </c>
      <c r="B933" s="35" t="s">
        <v>1041</v>
      </c>
      <c r="C933" s="35" t="s">
        <v>859</v>
      </c>
      <c r="D933" s="35" t="s">
        <v>444</v>
      </c>
      <c r="E933" s="35" t="s">
        <v>2337</v>
      </c>
      <c r="F933" s="35" t="s">
        <v>436</v>
      </c>
      <c r="G933" s="35" t="s">
        <v>443</v>
      </c>
      <c r="H933" s="35">
        <v>822</v>
      </c>
    </row>
    <row r="934" spans="1:8" ht="15.75" x14ac:dyDescent="0.25">
      <c r="A934" t="str">
        <f t="shared" si="14"/>
        <v>U152769PC9060GY-W</v>
      </c>
      <c r="B934" s="35" t="s">
        <v>1041</v>
      </c>
      <c r="C934" s="35" t="s">
        <v>859</v>
      </c>
      <c r="D934" s="35" t="s">
        <v>444</v>
      </c>
      <c r="E934" s="35" t="s">
        <v>2338</v>
      </c>
      <c r="F934" s="35" t="s">
        <v>436</v>
      </c>
      <c r="G934" s="35" t="s">
        <v>443</v>
      </c>
      <c r="H934" s="35">
        <v>48</v>
      </c>
    </row>
    <row r="935" spans="1:8" ht="15.75" x14ac:dyDescent="0.25">
      <c r="A935" t="str">
        <f t="shared" si="14"/>
        <v>7884286P90604TZ-M</v>
      </c>
      <c r="B935" s="35" t="s">
        <v>997</v>
      </c>
      <c r="C935" s="35" t="s">
        <v>1672</v>
      </c>
      <c r="D935" s="35" t="s">
        <v>474</v>
      </c>
      <c r="E935" s="35" t="s">
        <v>2337</v>
      </c>
      <c r="F935" s="35" t="s">
        <v>379</v>
      </c>
      <c r="G935" s="35" t="s">
        <v>380</v>
      </c>
      <c r="H935" s="35">
        <v>186</v>
      </c>
    </row>
    <row r="936" spans="1:8" ht="15.75" x14ac:dyDescent="0.25">
      <c r="A936" t="str">
        <f t="shared" si="14"/>
        <v>7882644P90605V8-M</v>
      </c>
      <c r="B936" s="35" t="s">
        <v>996</v>
      </c>
      <c r="C936" s="35" t="s">
        <v>1673</v>
      </c>
      <c r="D936" s="35" t="s">
        <v>394</v>
      </c>
      <c r="E936" s="35" t="s">
        <v>2337</v>
      </c>
      <c r="F936" s="35" t="s">
        <v>392</v>
      </c>
      <c r="G936" s="35" t="s">
        <v>526</v>
      </c>
      <c r="H936" s="35">
        <v>420</v>
      </c>
    </row>
    <row r="937" spans="1:8" ht="15.75" x14ac:dyDescent="0.25">
      <c r="A937" t="str">
        <f t="shared" si="14"/>
        <v>7884155P90604TZ-M</v>
      </c>
      <c r="B937" s="35" t="s">
        <v>997</v>
      </c>
      <c r="C937" s="35" t="s">
        <v>1674</v>
      </c>
      <c r="D937" s="35" t="s">
        <v>395</v>
      </c>
      <c r="E937" s="35" t="s">
        <v>2337</v>
      </c>
      <c r="F937" s="35" t="s">
        <v>382</v>
      </c>
      <c r="G937" s="35" t="s">
        <v>383</v>
      </c>
      <c r="H937" s="35">
        <v>228</v>
      </c>
    </row>
    <row r="938" spans="1:8" ht="15.75" x14ac:dyDescent="0.25">
      <c r="A938" t="str">
        <f t="shared" si="14"/>
        <v>U152848P90602XV-M</v>
      </c>
      <c r="B938" s="35" t="s">
        <v>991</v>
      </c>
      <c r="C938" s="35" t="s">
        <v>1675</v>
      </c>
      <c r="D938" s="35" t="s">
        <v>438</v>
      </c>
      <c r="E938" s="35" t="s">
        <v>2337</v>
      </c>
      <c r="F938" s="35" t="s">
        <v>436</v>
      </c>
      <c r="G938" s="35" t="s">
        <v>2304</v>
      </c>
      <c r="H938" s="35">
        <v>1152</v>
      </c>
    </row>
    <row r="939" spans="1:8" ht="15.75" x14ac:dyDescent="0.25">
      <c r="A939" t="str">
        <f t="shared" si="14"/>
        <v>U152863P90602XV-M</v>
      </c>
      <c r="B939" s="35" t="s">
        <v>991</v>
      </c>
      <c r="C939" s="35" t="s">
        <v>1676</v>
      </c>
      <c r="D939" s="35" t="s">
        <v>438</v>
      </c>
      <c r="E939" s="35" t="s">
        <v>2337</v>
      </c>
      <c r="F939" s="35" t="s">
        <v>436</v>
      </c>
      <c r="G939" s="35" t="s">
        <v>455</v>
      </c>
      <c r="H939" s="35">
        <v>1278</v>
      </c>
    </row>
    <row r="940" spans="1:8" ht="15.75" x14ac:dyDescent="0.25">
      <c r="A940" t="str">
        <f t="shared" si="14"/>
        <v>U152864P90602XV-M</v>
      </c>
      <c r="B940" s="35" t="s">
        <v>991</v>
      </c>
      <c r="C940" s="35" t="s">
        <v>1677</v>
      </c>
      <c r="D940" s="35" t="s">
        <v>438</v>
      </c>
      <c r="E940" s="35" t="s">
        <v>2337</v>
      </c>
      <c r="F940" s="35" t="s">
        <v>436</v>
      </c>
      <c r="G940" s="35" t="s">
        <v>451</v>
      </c>
      <c r="H940" s="35">
        <v>1122</v>
      </c>
    </row>
    <row r="941" spans="1:8" ht="15.75" x14ac:dyDescent="0.25">
      <c r="A941" t="str">
        <f t="shared" si="14"/>
        <v>7881795PC9060BE-M</v>
      </c>
      <c r="B941" s="35" t="s">
        <v>1034</v>
      </c>
      <c r="C941" s="35" t="s">
        <v>1678</v>
      </c>
      <c r="D941" s="35" t="s">
        <v>391</v>
      </c>
      <c r="E941" s="35" t="s">
        <v>2337</v>
      </c>
      <c r="F941" s="35" t="s">
        <v>379</v>
      </c>
      <c r="G941" s="35" t="s">
        <v>380</v>
      </c>
      <c r="H941" s="35">
        <v>150</v>
      </c>
    </row>
    <row r="942" spans="1:8" ht="15.75" x14ac:dyDescent="0.25">
      <c r="A942" t="str">
        <f t="shared" si="14"/>
        <v>7881796PC9060BE-M</v>
      </c>
      <c r="B942" s="35" t="s">
        <v>1034</v>
      </c>
      <c r="C942" s="35" t="s">
        <v>1679</v>
      </c>
      <c r="D942" s="35" t="s">
        <v>390</v>
      </c>
      <c r="E942" s="35" t="s">
        <v>2337</v>
      </c>
      <c r="F942" s="35" t="s">
        <v>382</v>
      </c>
      <c r="G942" s="35" t="s">
        <v>383</v>
      </c>
      <c r="H942" s="35">
        <v>318</v>
      </c>
    </row>
    <row r="943" spans="1:8" ht="15.75" x14ac:dyDescent="0.25">
      <c r="A943" t="str">
        <f t="shared" si="14"/>
        <v>U152838PC9060BE-M</v>
      </c>
      <c r="B943" s="35" t="s">
        <v>1034</v>
      </c>
      <c r="C943" s="35" t="s">
        <v>1680</v>
      </c>
      <c r="D943" s="35" t="s">
        <v>438</v>
      </c>
      <c r="E943" s="35" t="s">
        <v>2337</v>
      </c>
      <c r="F943" s="35" t="s">
        <v>436</v>
      </c>
      <c r="G943" s="35" t="s">
        <v>460</v>
      </c>
      <c r="H943" s="35">
        <v>252</v>
      </c>
    </row>
    <row r="944" spans="1:8" ht="15.75" x14ac:dyDescent="0.25">
      <c r="A944" t="str">
        <f t="shared" si="14"/>
        <v>U152840PC9060BE-M</v>
      </c>
      <c r="B944" s="35" t="s">
        <v>1034</v>
      </c>
      <c r="C944" s="35" t="s">
        <v>1681</v>
      </c>
      <c r="D944" s="35" t="s">
        <v>438</v>
      </c>
      <c r="E944" s="35" t="s">
        <v>2337</v>
      </c>
      <c r="F944" s="35" t="s">
        <v>436</v>
      </c>
      <c r="G944" s="35" t="s">
        <v>461</v>
      </c>
      <c r="H944" s="35">
        <v>360</v>
      </c>
    </row>
    <row r="945" spans="1:8" ht="15.75" x14ac:dyDescent="0.25">
      <c r="A945" t="str">
        <f t="shared" si="14"/>
        <v>U152841PC9060BE-M</v>
      </c>
      <c r="B945" s="35" t="s">
        <v>1034</v>
      </c>
      <c r="C945" s="35" t="s">
        <v>1682</v>
      </c>
      <c r="D945" s="35" t="s">
        <v>438</v>
      </c>
      <c r="E945" s="35" t="s">
        <v>2337</v>
      </c>
      <c r="F945" s="35" t="s">
        <v>436</v>
      </c>
      <c r="G945" s="35" t="s">
        <v>464</v>
      </c>
      <c r="H945" s="35">
        <v>360</v>
      </c>
    </row>
    <row r="946" spans="1:8" ht="15.75" x14ac:dyDescent="0.25">
      <c r="A946" t="str">
        <f t="shared" si="14"/>
        <v>U152842PC9060BE-M</v>
      </c>
      <c r="B946" s="35" t="s">
        <v>1034</v>
      </c>
      <c r="C946" s="35" t="s">
        <v>1683</v>
      </c>
      <c r="D946" s="35" t="s">
        <v>438</v>
      </c>
      <c r="E946" s="35" t="s">
        <v>2337</v>
      </c>
      <c r="F946" s="35" t="s">
        <v>436</v>
      </c>
      <c r="G946" s="35" t="s">
        <v>462</v>
      </c>
      <c r="H946" s="35">
        <v>300</v>
      </c>
    </row>
    <row r="947" spans="1:8" ht="15.75" x14ac:dyDescent="0.25">
      <c r="A947" t="str">
        <f t="shared" si="14"/>
        <v>U152844PC9060BE-M</v>
      </c>
      <c r="B947" s="35" t="s">
        <v>1034</v>
      </c>
      <c r="C947" s="35" t="s">
        <v>1684</v>
      </c>
      <c r="D947" s="35" t="s">
        <v>438</v>
      </c>
      <c r="E947" s="35" t="s">
        <v>2337</v>
      </c>
      <c r="F947" s="35" t="s">
        <v>436</v>
      </c>
      <c r="G947" s="35" t="s">
        <v>463</v>
      </c>
      <c r="H947" s="35">
        <v>336</v>
      </c>
    </row>
    <row r="948" spans="1:8" ht="15.75" x14ac:dyDescent="0.25">
      <c r="A948" t="str">
        <f t="shared" si="14"/>
        <v>U152846PC9060BE-M</v>
      </c>
      <c r="B948" s="35" t="s">
        <v>1034</v>
      </c>
      <c r="C948" s="35" t="s">
        <v>1685</v>
      </c>
      <c r="D948" s="35" t="s">
        <v>438</v>
      </c>
      <c r="E948" s="35" t="s">
        <v>2337</v>
      </c>
      <c r="F948" s="35" t="s">
        <v>436</v>
      </c>
      <c r="G948" s="35" t="s">
        <v>465</v>
      </c>
      <c r="H948" s="35">
        <v>324</v>
      </c>
    </row>
    <row r="949" spans="1:8" ht="15.75" x14ac:dyDescent="0.25">
      <c r="A949" t="str">
        <f t="shared" si="14"/>
        <v>7886833P906011M-M</v>
      </c>
      <c r="B949" s="35" t="s">
        <v>1020</v>
      </c>
      <c r="C949" s="35" t="s">
        <v>1686</v>
      </c>
      <c r="D949" s="35" t="s">
        <v>484</v>
      </c>
      <c r="E949" s="35" t="s">
        <v>2337</v>
      </c>
      <c r="F949" s="35" t="s">
        <v>379</v>
      </c>
      <c r="G949" s="35" t="s">
        <v>500</v>
      </c>
      <c r="H949" s="35">
        <v>672</v>
      </c>
    </row>
    <row r="950" spans="1:8" ht="15.75" x14ac:dyDescent="0.25">
      <c r="A950" t="str">
        <f t="shared" si="14"/>
        <v>U157269P90603Q9-M</v>
      </c>
      <c r="B950" s="35" t="s">
        <v>990</v>
      </c>
      <c r="C950" s="35" t="s">
        <v>1687</v>
      </c>
      <c r="D950" s="35" t="s">
        <v>444</v>
      </c>
      <c r="E950" s="35" t="s">
        <v>2337</v>
      </c>
      <c r="F950" s="35" t="s">
        <v>436</v>
      </c>
      <c r="G950" s="35" t="s">
        <v>443</v>
      </c>
      <c r="H950" s="35">
        <v>186</v>
      </c>
    </row>
    <row r="951" spans="1:8" ht="15.75" x14ac:dyDescent="0.25">
      <c r="A951" t="str">
        <f t="shared" si="14"/>
        <v>U158355PC9060EP-M</v>
      </c>
      <c r="B951" s="35" t="s">
        <v>1042</v>
      </c>
      <c r="C951" s="35" t="s">
        <v>1688</v>
      </c>
      <c r="D951" s="35" t="s">
        <v>444</v>
      </c>
      <c r="E951" s="35" t="s">
        <v>2337</v>
      </c>
      <c r="F951" s="35" t="s">
        <v>436</v>
      </c>
      <c r="G951" s="35" t="s">
        <v>443</v>
      </c>
      <c r="H951" s="35">
        <v>456</v>
      </c>
    </row>
    <row r="952" spans="1:8" ht="15.75" x14ac:dyDescent="0.25">
      <c r="A952" t="str">
        <f t="shared" si="14"/>
        <v>U158355PC9060EP-W</v>
      </c>
      <c r="B952" s="35" t="s">
        <v>1042</v>
      </c>
      <c r="C952" s="35" t="s">
        <v>1688</v>
      </c>
      <c r="D952" s="35" t="s">
        <v>444</v>
      </c>
      <c r="E952" s="35" t="s">
        <v>2338</v>
      </c>
      <c r="F952" s="35" t="s">
        <v>436</v>
      </c>
      <c r="G952" s="35" t="s">
        <v>443</v>
      </c>
      <c r="H952" s="35">
        <v>192</v>
      </c>
    </row>
    <row r="953" spans="1:8" ht="15.75" x14ac:dyDescent="0.25">
      <c r="A953" t="str">
        <f t="shared" si="14"/>
        <v>U152873P90602XV-M</v>
      </c>
      <c r="B953" s="35" t="s">
        <v>991</v>
      </c>
      <c r="C953" s="35" t="s">
        <v>1689</v>
      </c>
      <c r="D953" s="35" t="s">
        <v>438</v>
      </c>
      <c r="E953" s="35" t="s">
        <v>2337</v>
      </c>
      <c r="F953" s="35" t="s">
        <v>436</v>
      </c>
      <c r="G953" s="35" t="s">
        <v>449</v>
      </c>
      <c r="H953" s="35">
        <v>702</v>
      </c>
    </row>
    <row r="954" spans="1:8" ht="15.75" x14ac:dyDescent="0.25">
      <c r="A954" t="str">
        <f t="shared" si="14"/>
        <v>U152865P90602XV-M</v>
      </c>
      <c r="B954" s="35" t="s">
        <v>991</v>
      </c>
      <c r="C954" s="35" t="s">
        <v>1690</v>
      </c>
      <c r="D954" s="35" t="s">
        <v>438</v>
      </c>
      <c r="E954" s="35" t="s">
        <v>2337</v>
      </c>
      <c r="F954" s="35" t="s">
        <v>436</v>
      </c>
      <c r="G954" s="35" t="s">
        <v>449</v>
      </c>
      <c r="H954" s="35">
        <v>900</v>
      </c>
    </row>
    <row r="955" spans="1:8" ht="15.75" x14ac:dyDescent="0.25">
      <c r="A955" t="str">
        <f t="shared" si="14"/>
        <v>U158383P90602XV-M</v>
      </c>
      <c r="B955" s="35" t="s">
        <v>991</v>
      </c>
      <c r="C955" s="35" t="s">
        <v>1691</v>
      </c>
      <c r="D955" s="35" t="s">
        <v>444</v>
      </c>
      <c r="E955" s="35" t="s">
        <v>2337</v>
      </c>
      <c r="F955" s="35" t="s">
        <v>436</v>
      </c>
      <c r="G955" s="35" t="s">
        <v>443</v>
      </c>
      <c r="H955" s="35">
        <v>306</v>
      </c>
    </row>
    <row r="956" spans="1:8" ht="15.75" x14ac:dyDescent="0.25">
      <c r="A956" t="str">
        <f t="shared" si="14"/>
        <v>U158383P90602XV-W</v>
      </c>
      <c r="B956" s="35" t="s">
        <v>991</v>
      </c>
      <c r="C956" s="35" t="s">
        <v>1691</v>
      </c>
      <c r="D956" s="35" t="s">
        <v>444</v>
      </c>
      <c r="E956" s="35" t="s">
        <v>2338</v>
      </c>
      <c r="F956" s="35" t="s">
        <v>436</v>
      </c>
      <c r="G956" s="35" t="s">
        <v>443</v>
      </c>
      <c r="H956" s="35">
        <v>42</v>
      </c>
    </row>
    <row r="957" spans="1:8" ht="15.75" x14ac:dyDescent="0.25">
      <c r="A957" t="str">
        <f t="shared" si="14"/>
        <v>U158362P90602XV-M</v>
      </c>
      <c r="B957" s="35" t="s">
        <v>991</v>
      </c>
      <c r="C957" s="35" t="s">
        <v>1692</v>
      </c>
      <c r="D957" s="35" t="s">
        <v>438</v>
      </c>
      <c r="E957" s="35" t="s">
        <v>2337</v>
      </c>
      <c r="F957" s="35" t="s">
        <v>436</v>
      </c>
      <c r="G957" s="35" t="s">
        <v>2288</v>
      </c>
      <c r="H957" s="35">
        <v>804</v>
      </c>
    </row>
    <row r="958" spans="1:8" ht="15.75" x14ac:dyDescent="0.25">
      <c r="A958" t="str">
        <f t="shared" si="14"/>
        <v>7888906P90603Q9-M</v>
      </c>
      <c r="B958" s="35" t="s">
        <v>990</v>
      </c>
      <c r="C958" s="35" t="s">
        <v>1693</v>
      </c>
      <c r="D958" s="35" t="s">
        <v>395</v>
      </c>
      <c r="E958" s="35" t="s">
        <v>2337</v>
      </c>
      <c r="F958" s="35" t="s">
        <v>382</v>
      </c>
      <c r="G958" s="35" t="s">
        <v>383</v>
      </c>
      <c r="H958" s="35">
        <v>186</v>
      </c>
    </row>
    <row r="959" spans="1:8" ht="15.75" x14ac:dyDescent="0.25">
      <c r="A959" t="str">
        <f t="shared" si="14"/>
        <v>U157295P90603Q9-M</v>
      </c>
      <c r="B959" s="35" t="s">
        <v>990</v>
      </c>
      <c r="C959" s="35" t="s">
        <v>1694</v>
      </c>
      <c r="D959" s="35" t="s">
        <v>438</v>
      </c>
      <c r="E959" s="35" t="s">
        <v>2337</v>
      </c>
      <c r="F959" s="35" t="s">
        <v>436</v>
      </c>
      <c r="G959" s="35" t="s">
        <v>453</v>
      </c>
      <c r="H959" s="35">
        <v>1200</v>
      </c>
    </row>
    <row r="960" spans="1:8" ht="15.75" x14ac:dyDescent="0.25">
      <c r="A960" t="str">
        <f t="shared" si="14"/>
        <v>U157318P90603Q9-M</v>
      </c>
      <c r="B960" s="35" t="s">
        <v>990</v>
      </c>
      <c r="C960" s="35" t="s">
        <v>1695</v>
      </c>
      <c r="D960" s="35" t="s">
        <v>438</v>
      </c>
      <c r="E960" s="35" t="s">
        <v>2337</v>
      </c>
      <c r="F960" s="35" t="s">
        <v>436</v>
      </c>
      <c r="G960" s="35" t="s">
        <v>449</v>
      </c>
      <c r="H960" s="35">
        <v>1836</v>
      </c>
    </row>
    <row r="961" spans="1:8" ht="15.75" x14ac:dyDescent="0.25">
      <c r="A961" t="str">
        <f t="shared" si="14"/>
        <v>U157320P90603Q9-M</v>
      </c>
      <c r="B961" s="35" t="s">
        <v>990</v>
      </c>
      <c r="C961" s="35" t="s">
        <v>1696</v>
      </c>
      <c r="D961" s="35" t="s">
        <v>438</v>
      </c>
      <c r="E961" s="35" t="s">
        <v>2337</v>
      </c>
      <c r="F961" s="35" t="s">
        <v>436</v>
      </c>
      <c r="G961" s="35" t="s">
        <v>449</v>
      </c>
      <c r="H961" s="35">
        <v>768</v>
      </c>
    </row>
    <row r="962" spans="1:8" ht="15.75" x14ac:dyDescent="0.25">
      <c r="A962" t="str">
        <f t="shared" si="14"/>
        <v>H189785PC9060LL-M</v>
      </c>
      <c r="B962" s="35" t="s">
        <v>995</v>
      </c>
      <c r="C962" s="35" t="s">
        <v>1697</v>
      </c>
      <c r="D962" s="35" t="s">
        <v>404</v>
      </c>
      <c r="E962" s="35" t="s">
        <v>2337</v>
      </c>
      <c r="F962" s="35" t="s">
        <v>501</v>
      </c>
      <c r="G962" s="35" t="s">
        <v>502</v>
      </c>
      <c r="H962" s="35">
        <v>246</v>
      </c>
    </row>
    <row r="963" spans="1:8" ht="15.75" x14ac:dyDescent="0.25">
      <c r="A963" t="str">
        <f t="shared" si="14"/>
        <v>7883098PC9060BE-M</v>
      </c>
      <c r="B963" s="35" t="s">
        <v>1034</v>
      </c>
      <c r="C963" s="35" t="s">
        <v>1698</v>
      </c>
      <c r="D963" s="35" t="s">
        <v>394</v>
      </c>
      <c r="E963" s="35" t="s">
        <v>2337</v>
      </c>
      <c r="F963" s="35" t="s">
        <v>392</v>
      </c>
      <c r="G963" s="35" t="s">
        <v>393</v>
      </c>
      <c r="H963" s="35">
        <v>450</v>
      </c>
    </row>
    <row r="964" spans="1:8" ht="15.75" x14ac:dyDescent="0.25">
      <c r="A964" t="str">
        <f t="shared" si="14"/>
        <v>7883104PC9060BE-M</v>
      </c>
      <c r="B964" s="35" t="s">
        <v>1034</v>
      </c>
      <c r="C964" s="35" t="s">
        <v>1699</v>
      </c>
      <c r="D964" s="35" t="s">
        <v>394</v>
      </c>
      <c r="E964" s="35" t="s">
        <v>2337</v>
      </c>
      <c r="F964" s="35" t="s">
        <v>392</v>
      </c>
      <c r="G964" s="35" t="s">
        <v>393</v>
      </c>
      <c r="H964" s="35">
        <v>564</v>
      </c>
    </row>
    <row r="965" spans="1:8" ht="15.75" x14ac:dyDescent="0.25">
      <c r="A965" t="str">
        <f t="shared" si="14"/>
        <v>H180746P90603Q9-W</v>
      </c>
      <c r="B965" s="35" t="s">
        <v>990</v>
      </c>
      <c r="C965" s="35" t="s">
        <v>1700</v>
      </c>
      <c r="D965" s="35" t="s">
        <v>404</v>
      </c>
      <c r="E965" s="35" t="s">
        <v>2338</v>
      </c>
      <c r="F965" s="35" t="s">
        <v>2302</v>
      </c>
      <c r="G965" s="35" t="s">
        <v>2303</v>
      </c>
      <c r="H965" s="35">
        <v>1500</v>
      </c>
    </row>
    <row r="966" spans="1:8" ht="15.75" x14ac:dyDescent="0.25">
      <c r="A966" t="str">
        <f t="shared" si="14"/>
        <v>H180753P906053S-W</v>
      </c>
      <c r="B966" s="35" t="s">
        <v>994</v>
      </c>
      <c r="C966" s="35" t="s">
        <v>1701</v>
      </c>
      <c r="D966" s="35" t="s">
        <v>404</v>
      </c>
      <c r="E966" s="35" t="s">
        <v>2338</v>
      </c>
      <c r="F966" s="35" t="s">
        <v>2302</v>
      </c>
      <c r="G966" s="35" t="s">
        <v>2303</v>
      </c>
      <c r="H966" s="35">
        <v>1536</v>
      </c>
    </row>
    <row r="967" spans="1:8" ht="15.75" x14ac:dyDescent="0.25">
      <c r="A967" t="str">
        <f t="shared" ref="A967:A1030" si="15">+C967&amp;B967&amp;"-"&amp;E967</f>
        <v>H190374ML574EVB-D</v>
      </c>
      <c r="B967" s="35" t="s">
        <v>951</v>
      </c>
      <c r="C967" s="35" t="s">
        <v>346</v>
      </c>
      <c r="D967" s="35" t="s">
        <v>404</v>
      </c>
      <c r="E967" s="35" t="s">
        <v>2340</v>
      </c>
      <c r="F967" s="35" t="s">
        <v>432</v>
      </c>
      <c r="G967" s="35" t="s">
        <v>433</v>
      </c>
      <c r="H967" s="35">
        <v>438</v>
      </c>
    </row>
    <row r="968" spans="1:8" ht="15.75" x14ac:dyDescent="0.25">
      <c r="A968" t="str">
        <f t="shared" si="15"/>
        <v>7873658M5742IX-D</v>
      </c>
      <c r="B968" s="35" t="s">
        <v>964</v>
      </c>
      <c r="C968" s="35" t="s">
        <v>493</v>
      </c>
      <c r="D968" s="35" t="s">
        <v>484</v>
      </c>
      <c r="E968" s="35" t="s">
        <v>2340</v>
      </c>
      <c r="F968" s="35" t="s">
        <v>379</v>
      </c>
      <c r="G968" s="35" t="s">
        <v>504</v>
      </c>
      <c r="H968" s="35">
        <v>390</v>
      </c>
    </row>
    <row r="969" spans="1:8" ht="15.75" x14ac:dyDescent="0.25">
      <c r="A969" t="str">
        <f t="shared" si="15"/>
        <v>H180779W51580S-B</v>
      </c>
      <c r="B969" s="35" t="s">
        <v>1043</v>
      </c>
      <c r="C969" s="35" t="s">
        <v>599</v>
      </c>
      <c r="D969" s="35" t="s">
        <v>404</v>
      </c>
      <c r="E969" s="35" t="s">
        <v>2339</v>
      </c>
      <c r="F969" s="35" t="s">
        <v>2307</v>
      </c>
      <c r="G969" s="35" t="s">
        <v>2308</v>
      </c>
      <c r="H969" s="35">
        <v>660</v>
      </c>
    </row>
    <row r="970" spans="1:8" ht="15.75" x14ac:dyDescent="0.25">
      <c r="A970" t="str">
        <f t="shared" si="15"/>
        <v>7875556M5742IX-D</v>
      </c>
      <c r="B970" s="35" t="s">
        <v>964</v>
      </c>
      <c r="C970" s="35" t="s">
        <v>540</v>
      </c>
      <c r="D970" s="35" t="s">
        <v>394</v>
      </c>
      <c r="E970" s="35" t="s">
        <v>2340</v>
      </c>
      <c r="F970" s="35" t="s">
        <v>481</v>
      </c>
      <c r="G970" s="35" t="s">
        <v>482</v>
      </c>
      <c r="H970" s="35">
        <v>762</v>
      </c>
    </row>
    <row r="971" spans="1:8" ht="15.75" x14ac:dyDescent="0.25">
      <c r="A971" t="str">
        <f t="shared" si="15"/>
        <v>H176740M5748EK-D</v>
      </c>
      <c r="B971" s="35" t="s">
        <v>1044</v>
      </c>
      <c r="C971" s="35" t="s">
        <v>545</v>
      </c>
      <c r="D971" s="35"/>
      <c r="E971" s="35" t="s">
        <v>2340</v>
      </c>
      <c r="F971" s="35" t="s">
        <v>426</v>
      </c>
      <c r="G971" s="35" t="s">
        <v>427</v>
      </c>
      <c r="H971" s="35">
        <v>2622</v>
      </c>
    </row>
    <row r="972" spans="1:8" ht="15.75" x14ac:dyDescent="0.25">
      <c r="A972" t="str">
        <f t="shared" si="15"/>
        <v>H176743M5745QV-D</v>
      </c>
      <c r="B972" s="35" t="s">
        <v>1045</v>
      </c>
      <c r="C972" s="35" t="s">
        <v>550</v>
      </c>
      <c r="D972" s="35"/>
      <c r="E972" s="35" t="s">
        <v>2340</v>
      </c>
      <c r="F972" s="35" t="s">
        <v>426</v>
      </c>
      <c r="G972" s="35" t="s">
        <v>427</v>
      </c>
      <c r="H972" s="35">
        <v>2676</v>
      </c>
    </row>
    <row r="973" spans="1:8" ht="15.75" x14ac:dyDescent="0.25">
      <c r="A973" t="str">
        <f t="shared" si="15"/>
        <v>H176751M5744FK-D</v>
      </c>
      <c r="B973" s="35" t="s">
        <v>1046</v>
      </c>
      <c r="C973" s="35" t="s">
        <v>554</v>
      </c>
      <c r="D973" s="35"/>
      <c r="E973" s="35" t="s">
        <v>2340</v>
      </c>
      <c r="F973" s="35" t="s">
        <v>426</v>
      </c>
      <c r="G973" s="35" t="s">
        <v>427</v>
      </c>
      <c r="H973" s="35">
        <v>2742</v>
      </c>
    </row>
    <row r="974" spans="1:8" ht="15.75" x14ac:dyDescent="0.25">
      <c r="A974" t="str">
        <f t="shared" si="15"/>
        <v>7875574W5749H1-D</v>
      </c>
      <c r="B974" s="35" t="s">
        <v>1047</v>
      </c>
      <c r="C974" s="35" t="s">
        <v>786</v>
      </c>
      <c r="D974" s="35" t="s">
        <v>394</v>
      </c>
      <c r="E974" s="35" t="s">
        <v>2340</v>
      </c>
      <c r="F974" s="35" t="s">
        <v>481</v>
      </c>
      <c r="G974" s="35" t="s">
        <v>482</v>
      </c>
      <c r="H974" s="35">
        <v>318</v>
      </c>
    </row>
    <row r="975" spans="1:8" ht="15.75" x14ac:dyDescent="0.25">
      <c r="A975" t="str">
        <f t="shared" si="15"/>
        <v>H176956M5742IX-D</v>
      </c>
      <c r="B975" s="35" t="s">
        <v>964</v>
      </c>
      <c r="C975" s="35" t="s">
        <v>1702</v>
      </c>
      <c r="D975" s="35" t="s">
        <v>404</v>
      </c>
      <c r="E975" s="35" t="s">
        <v>2340</v>
      </c>
      <c r="F975" s="35" t="s">
        <v>498</v>
      </c>
      <c r="G975" s="35" t="s">
        <v>499</v>
      </c>
      <c r="H975" s="35">
        <v>144</v>
      </c>
    </row>
    <row r="976" spans="1:8" ht="15.75" x14ac:dyDescent="0.25">
      <c r="A976" t="str">
        <f t="shared" si="15"/>
        <v>H180254M5742IX-D</v>
      </c>
      <c r="B976" s="35" t="s">
        <v>964</v>
      </c>
      <c r="C976" s="35" t="s">
        <v>561</v>
      </c>
      <c r="D976" s="35" t="s">
        <v>404</v>
      </c>
      <c r="E976" s="35" t="s">
        <v>2340</v>
      </c>
      <c r="F976" s="35" t="s">
        <v>2307</v>
      </c>
      <c r="G976" s="35" t="s">
        <v>2308</v>
      </c>
      <c r="H976" s="35">
        <v>2310</v>
      </c>
    </row>
    <row r="977" spans="1:8" ht="15.75" x14ac:dyDescent="0.25">
      <c r="A977" t="str">
        <f t="shared" si="15"/>
        <v>H181893W5743HE-B</v>
      </c>
      <c r="B977" s="35" t="s">
        <v>966</v>
      </c>
      <c r="C977" s="35" t="s">
        <v>1703</v>
      </c>
      <c r="D977" s="35" t="s">
        <v>404</v>
      </c>
      <c r="E977" s="35" t="s">
        <v>2339</v>
      </c>
      <c r="F977" s="35" t="s">
        <v>498</v>
      </c>
      <c r="G977" s="35" t="s">
        <v>499</v>
      </c>
      <c r="H977" s="35">
        <v>528</v>
      </c>
    </row>
    <row r="978" spans="1:8" ht="15.75" x14ac:dyDescent="0.25">
      <c r="A978" t="str">
        <f t="shared" si="15"/>
        <v>H181902W5743HE-B</v>
      </c>
      <c r="B978" s="35" t="s">
        <v>966</v>
      </c>
      <c r="C978" s="35" t="s">
        <v>643</v>
      </c>
      <c r="D978" s="35" t="s">
        <v>404</v>
      </c>
      <c r="E978" s="35" t="s">
        <v>2339</v>
      </c>
      <c r="F978" s="35" t="s">
        <v>2315</v>
      </c>
      <c r="G978" s="35" t="s">
        <v>431</v>
      </c>
      <c r="H978" s="35">
        <v>282</v>
      </c>
    </row>
    <row r="979" spans="1:8" ht="15.75" x14ac:dyDescent="0.25">
      <c r="A979" t="str">
        <f t="shared" si="15"/>
        <v>H181903W5743HE-B</v>
      </c>
      <c r="B979" s="35" t="s">
        <v>966</v>
      </c>
      <c r="C979" s="35" t="s">
        <v>700</v>
      </c>
      <c r="D979" s="35" t="s">
        <v>404</v>
      </c>
      <c r="E979" s="35" t="s">
        <v>2339</v>
      </c>
      <c r="F979" s="35" t="s">
        <v>2315</v>
      </c>
      <c r="G979" s="35" t="s">
        <v>431</v>
      </c>
      <c r="H979" s="35">
        <v>264</v>
      </c>
    </row>
    <row r="980" spans="1:8" ht="15.75" x14ac:dyDescent="0.25">
      <c r="A980" t="str">
        <f t="shared" si="15"/>
        <v>H181911W5744CP-B</v>
      </c>
      <c r="B980" s="35" t="s">
        <v>1048</v>
      </c>
      <c r="C980" s="35" t="s">
        <v>1704</v>
      </c>
      <c r="D980" s="35" t="s">
        <v>404</v>
      </c>
      <c r="E980" s="35" t="s">
        <v>2339</v>
      </c>
      <c r="F980" s="35" t="s">
        <v>498</v>
      </c>
      <c r="G980" s="35" t="s">
        <v>499</v>
      </c>
      <c r="H980" s="35">
        <v>162</v>
      </c>
    </row>
    <row r="981" spans="1:8" ht="15.75" x14ac:dyDescent="0.25">
      <c r="A981" t="str">
        <f t="shared" si="15"/>
        <v>U149833ML574EVE-D</v>
      </c>
      <c r="B981" s="35" t="s">
        <v>1049</v>
      </c>
      <c r="C981" s="35" t="s">
        <v>1705</v>
      </c>
      <c r="D981" s="35" t="s">
        <v>466</v>
      </c>
      <c r="E981" s="35" t="s">
        <v>2340</v>
      </c>
      <c r="F981" s="35" t="s">
        <v>436</v>
      </c>
      <c r="G981" s="35" t="s">
        <v>443</v>
      </c>
      <c r="H981" s="35">
        <v>552</v>
      </c>
    </row>
    <row r="982" spans="1:8" ht="15.75" x14ac:dyDescent="0.25">
      <c r="A982" t="str">
        <f t="shared" si="15"/>
        <v>U149815ML574EVN-D</v>
      </c>
      <c r="B982" s="35" t="s">
        <v>949</v>
      </c>
      <c r="C982" s="35" t="s">
        <v>1706</v>
      </c>
      <c r="D982" s="35" t="s">
        <v>457</v>
      </c>
      <c r="E982" s="35" t="s">
        <v>2340</v>
      </c>
      <c r="F982" s="35" t="s">
        <v>436</v>
      </c>
      <c r="G982" s="35" t="s">
        <v>443</v>
      </c>
      <c r="H982" s="35">
        <v>270</v>
      </c>
    </row>
    <row r="983" spans="1:8" ht="15.75" x14ac:dyDescent="0.25">
      <c r="A983" t="str">
        <f t="shared" si="15"/>
        <v>U149816ML574EVN-D</v>
      </c>
      <c r="B983" s="35" t="s">
        <v>949</v>
      </c>
      <c r="C983" s="35" t="s">
        <v>1707</v>
      </c>
      <c r="D983" s="35" t="s">
        <v>444</v>
      </c>
      <c r="E983" s="35" t="s">
        <v>2340</v>
      </c>
      <c r="F983" s="35" t="s">
        <v>436</v>
      </c>
      <c r="G983" s="35" t="s">
        <v>443</v>
      </c>
      <c r="H983" s="35">
        <v>258</v>
      </c>
    </row>
    <row r="984" spans="1:8" ht="15.75" x14ac:dyDescent="0.25">
      <c r="A984" t="str">
        <f t="shared" si="15"/>
        <v>U149883WL574EVN-B</v>
      </c>
      <c r="B984" s="35" t="s">
        <v>1050</v>
      </c>
      <c r="C984" s="35" t="s">
        <v>1708</v>
      </c>
      <c r="D984" s="35" t="s">
        <v>444</v>
      </c>
      <c r="E984" s="35" t="s">
        <v>2339</v>
      </c>
      <c r="F984" s="35" t="s">
        <v>436</v>
      </c>
      <c r="G984" s="35" t="s">
        <v>443</v>
      </c>
      <c r="H984" s="35">
        <v>162</v>
      </c>
    </row>
    <row r="985" spans="1:8" ht="15.75" x14ac:dyDescent="0.25">
      <c r="A985" t="str">
        <f t="shared" si="15"/>
        <v>U149819WL574EVG-B</v>
      </c>
      <c r="B985" s="35" t="s">
        <v>950</v>
      </c>
      <c r="C985" s="35" t="s">
        <v>1709</v>
      </c>
      <c r="D985" s="35" t="s">
        <v>444</v>
      </c>
      <c r="E985" s="35" t="s">
        <v>2339</v>
      </c>
      <c r="F985" s="35" t="s">
        <v>436</v>
      </c>
      <c r="G985" s="35" t="s">
        <v>443</v>
      </c>
      <c r="H985" s="35">
        <v>216</v>
      </c>
    </row>
    <row r="986" spans="1:8" ht="15.75" x14ac:dyDescent="0.25">
      <c r="A986" t="str">
        <f t="shared" si="15"/>
        <v>U149819WL574EVG-D</v>
      </c>
      <c r="B986" s="35" t="s">
        <v>950</v>
      </c>
      <c r="C986" s="35" t="s">
        <v>1709</v>
      </c>
      <c r="D986" s="35" t="s">
        <v>444</v>
      </c>
      <c r="E986" s="35" t="s">
        <v>2340</v>
      </c>
      <c r="F986" s="35" t="s">
        <v>436</v>
      </c>
      <c r="G986" s="35" t="s">
        <v>443</v>
      </c>
      <c r="H986" s="35">
        <v>168</v>
      </c>
    </row>
    <row r="987" spans="1:8" ht="15.75" x14ac:dyDescent="0.25">
      <c r="A987" t="str">
        <f t="shared" si="15"/>
        <v>U149822WL574EVG-B</v>
      </c>
      <c r="B987" s="35" t="s">
        <v>950</v>
      </c>
      <c r="C987" s="35" t="s">
        <v>1710</v>
      </c>
      <c r="D987" s="35" t="s">
        <v>466</v>
      </c>
      <c r="E987" s="35" t="s">
        <v>2339</v>
      </c>
      <c r="F987" s="35" t="s">
        <v>436</v>
      </c>
      <c r="G987" s="35" t="s">
        <v>443</v>
      </c>
      <c r="H987" s="35">
        <v>192</v>
      </c>
    </row>
    <row r="988" spans="1:8" ht="15.75" x14ac:dyDescent="0.25">
      <c r="A988" t="str">
        <f t="shared" si="15"/>
        <v>U149822WL574EVG-D</v>
      </c>
      <c r="B988" s="35" t="s">
        <v>950</v>
      </c>
      <c r="C988" s="35" t="s">
        <v>1710</v>
      </c>
      <c r="D988" s="35" t="s">
        <v>466</v>
      </c>
      <c r="E988" s="35" t="s">
        <v>2340</v>
      </c>
      <c r="F988" s="35" t="s">
        <v>436</v>
      </c>
      <c r="G988" s="35" t="s">
        <v>443</v>
      </c>
      <c r="H988" s="35">
        <v>78</v>
      </c>
    </row>
    <row r="989" spans="1:8" ht="15.75" x14ac:dyDescent="0.25">
      <c r="A989" t="str">
        <f t="shared" si="15"/>
        <v>U149814ML574EVB-2E</v>
      </c>
      <c r="B989" s="35" t="s">
        <v>951</v>
      </c>
      <c r="C989" s="35" t="s">
        <v>1711</v>
      </c>
      <c r="D989" s="35" t="s">
        <v>457</v>
      </c>
      <c r="E989" s="35" t="s">
        <v>2342</v>
      </c>
      <c r="F989" s="35" t="s">
        <v>436</v>
      </c>
      <c r="G989" s="35" t="s">
        <v>443</v>
      </c>
      <c r="H989" s="35">
        <v>30</v>
      </c>
    </row>
    <row r="990" spans="1:8" ht="15.75" x14ac:dyDescent="0.25">
      <c r="A990" t="str">
        <f t="shared" si="15"/>
        <v>U149814ML574EVB-4E</v>
      </c>
      <c r="B990" s="35" t="s">
        <v>951</v>
      </c>
      <c r="C990" s="35" t="s">
        <v>1711</v>
      </c>
      <c r="D990" s="35" t="s">
        <v>457</v>
      </c>
      <c r="E990" s="35" t="s">
        <v>2343</v>
      </c>
      <c r="F990" s="35" t="s">
        <v>436</v>
      </c>
      <c r="G990" s="35" t="s">
        <v>443</v>
      </c>
      <c r="H990" s="35">
        <v>36</v>
      </c>
    </row>
    <row r="991" spans="1:8" ht="15.75" x14ac:dyDescent="0.25">
      <c r="A991" t="str">
        <f t="shared" si="15"/>
        <v>U149814ML574EVB-D</v>
      </c>
      <c r="B991" s="35" t="s">
        <v>951</v>
      </c>
      <c r="C991" s="35" t="s">
        <v>1711</v>
      </c>
      <c r="D991" s="35" t="s">
        <v>457</v>
      </c>
      <c r="E991" s="35" t="s">
        <v>2340</v>
      </c>
      <c r="F991" s="35" t="s">
        <v>436</v>
      </c>
      <c r="G991" s="35" t="s">
        <v>443</v>
      </c>
      <c r="H991" s="35">
        <v>168</v>
      </c>
    </row>
    <row r="992" spans="1:8" ht="15.75" x14ac:dyDescent="0.25">
      <c r="A992" t="str">
        <f t="shared" si="15"/>
        <v>U149823ML574EVB-2E</v>
      </c>
      <c r="B992" s="35" t="s">
        <v>951</v>
      </c>
      <c r="C992" s="35" t="s">
        <v>1712</v>
      </c>
      <c r="D992" s="35" t="s">
        <v>466</v>
      </c>
      <c r="E992" s="35" t="s">
        <v>2342</v>
      </c>
      <c r="F992" s="35" t="s">
        <v>436</v>
      </c>
      <c r="G992" s="35" t="s">
        <v>443</v>
      </c>
      <c r="H992" s="35">
        <v>324</v>
      </c>
    </row>
    <row r="993" spans="1:8" ht="15.75" x14ac:dyDescent="0.25">
      <c r="A993" t="str">
        <f t="shared" si="15"/>
        <v>U149823ML574EVB-4E</v>
      </c>
      <c r="B993" s="35" t="s">
        <v>951</v>
      </c>
      <c r="C993" s="35" t="s">
        <v>1712</v>
      </c>
      <c r="D993" s="35" t="s">
        <v>466</v>
      </c>
      <c r="E993" s="35" t="s">
        <v>2343</v>
      </c>
      <c r="F993" s="35" t="s">
        <v>436</v>
      </c>
      <c r="G993" s="35" t="s">
        <v>443</v>
      </c>
      <c r="H993" s="35">
        <v>138</v>
      </c>
    </row>
    <row r="994" spans="1:8" ht="15.75" x14ac:dyDescent="0.25">
      <c r="A994" t="str">
        <f t="shared" si="15"/>
        <v>U149823ML574EVB-D</v>
      </c>
      <c r="B994" s="35" t="s">
        <v>951</v>
      </c>
      <c r="C994" s="35" t="s">
        <v>1712</v>
      </c>
      <c r="D994" s="35" t="s">
        <v>466</v>
      </c>
      <c r="E994" s="35" t="s">
        <v>2340</v>
      </c>
      <c r="F994" s="35" t="s">
        <v>436</v>
      </c>
      <c r="G994" s="35" t="s">
        <v>443</v>
      </c>
      <c r="H994" s="35">
        <v>486</v>
      </c>
    </row>
    <row r="995" spans="1:8" ht="15.75" x14ac:dyDescent="0.25">
      <c r="A995" t="str">
        <f t="shared" si="15"/>
        <v>U150046ML574EVB-2E</v>
      </c>
      <c r="B995" s="35" t="s">
        <v>951</v>
      </c>
      <c r="C995" s="35" t="s">
        <v>1713</v>
      </c>
      <c r="D995" s="35" t="s">
        <v>444</v>
      </c>
      <c r="E995" s="35" t="s">
        <v>2342</v>
      </c>
      <c r="F995" s="35" t="s">
        <v>436</v>
      </c>
      <c r="G995" s="35" t="s">
        <v>443</v>
      </c>
      <c r="H995" s="35">
        <v>294</v>
      </c>
    </row>
    <row r="996" spans="1:8" ht="15.75" x14ac:dyDescent="0.25">
      <c r="A996" t="str">
        <f t="shared" si="15"/>
        <v>U150046ML574EVB-4E</v>
      </c>
      <c r="B996" s="35" t="s">
        <v>951</v>
      </c>
      <c r="C996" s="35" t="s">
        <v>1713</v>
      </c>
      <c r="D996" s="35" t="s">
        <v>444</v>
      </c>
      <c r="E996" s="35" t="s">
        <v>2343</v>
      </c>
      <c r="F996" s="35" t="s">
        <v>436</v>
      </c>
      <c r="G996" s="35" t="s">
        <v>443</v>
      </c>
      <c r="H996" s="35">
        <v>144</v>
      </c>
    </row>
    <row r="997" spans="1:8" ht="15.75" x14ac:dyDescent="0.25">
      <c r="A997" t="str">
        <f t="shared" si="15"/>
        <v>U150046ML574EVB-D</v>
      </c>
      <c r="B997" s="35" t="s">
        <v>951</v>
      </c>
      <c r="C997" s="35" t="s">
        <v>1713</v>
      </c>
      <c r="D997" s="35" t="s">
        <v>444</v>
      </c>
      <c r="E997" s="35" t="s">
        <v>2340</v>
      </c>
      <c r="F997" s="35" t="s">
        <v>436</v>
      </c>
      <c r="G997" s="35" t="s">
        <v>443</v>
      </c>
      <c r="H997" s="35">
        <v>288</v>
      </c>
    </row>
    <row r="998" spans="1:8" ht="15.75" x14ac:dyDescent="0.25">
      <c r="A998" t="str">
        <f t="shared" si="15"/>
        <v>7875286M5742IX-2E</v>
      </c>
      <c r="B998" s="35" t="s">
        <v>964</v>
      </c>
      <c r="C998" s="35" t="s">
        <v>715</v>
      </c>
      <c r="D998" s="35" t="s">
        <v>390</v>
      </c>
      <c r="E998" s="35" t="s">
        <v>2342</v>
      </c>
      <c r="F998" s="35" t="s">
        <v>382</v>
      </c>
      <c r="G998" s="35" t="s">
        <v>383</v>
      </c>
      <c r="H998" s="35">
        <v>498</v>
      </c>
    </row>
    <row r="999" spans="1:8" ht="15.75" x14ac:dyDescent="0.25">
      <c r="A999" t="str">
        <f t="shared" si="15"/>
        <v>7875286M5742IX-D</v>
      </c>
      <c r="B999" s="35" t="s">
        <v>964</v>
      </c>
      <c r="C999" s="35" t="s">
        <v>715</v>
      </c>
      <c r="D999" s="35" t="s">
        <v>390</v>
      </c>
      <c r="E999" s="35" t="s">
        <v>2340</v>
      </c>
      <c r="F999" s="35" t="s">
        <v>382</v>
      </c>
      <c r="G999" s="35" t="s">
        <v>383</v>
      </c>
      <c r="H999" s="35">
        <v>1668</v>
      </c>
    </row>
    <row r="1000" spans="1:8" ht="15.75" x14ac:dyDescent="0.25">
      <c r="A1000" t="str">
        <f t="shared" si="15"/>
        <v>7875411M5742IX-2E</v>
      </c>
      <c r="B1000" s="35" t="s">
        <v>964</v>
      </c>
      <c r="C1000" s="35" t="s">
        <v>783</v>
      </c>
      <c r="D1000" s="35" t="s">
        <v>391</v>
      </c>
      <c r="E1000" s="35" t="s">
        <v>2342</v>
      </c>
      <c r="F1000" s="35" t="s">
        <v>379</v>
      </c>
      <c r="G1000" s="35" t="s">
        <v>380</v>
      </c>
      <c r="H1000" s="35">
        <v>180</v>
      </c>
    </row>
    <row r="1001" spans="1:8" ht="15.75" x14ac:dyDescent="0.25">
      <c r="A1001" t="str">
        <f t="shared" si="15"/>
        <v>7875411M5742IX-D</v>
      </c>
      <c r="B1001" s="35" t="s">
        <v>964</v>
      </c>
      <c r="C1001" s="35" t="s">
        <v>783</v>
      </c>
      <c r="D1001" s="35" t="s">
        <v>391</v>
      </c>
      <c r="E1001" s="35" t="s">
        <v>2340</v>
      </c>
      <c r="F1001" s="35" t="s">
        <v>379</v>
      </c>
      <c r="G1001" s="35" t="s">
        <v>380</v>
      </c>
      <c r="H1001" s="35">
        <v>624</v>
      </c>
    </row>
    <row r="1002" spans="1:8" ht="15.75" x14ac:dyDescent="0.25">
      <c r="A1002" t="str">
        <f t="shared" si="15"/>
        <v>7875997M5742IX-D</v>
      </c>
      <c r="B1002" s="35" t="s">
        <v>964</v>
      </c>
      <c r="C1002" s="35" t="s">
        <v>816</v>
      </c>
      <c r="D1002" s="35" t="s">
        <v>387</v>
      </c>
      <c r="E1002" s="35" t="s">
        <v>2340</v>
      </c>
      <c r="F1002" s="35" t="s">
        <v>388</v>
      </c>
      <c r="G1002" s="35" t="s">
        <v>389</v>
      </c>
      <c r="H1002" s="35">
        <v>1224</v>
      </c>
    </row>
    <row r="1003" spans="1:8" ht="15.75" x14ac:dyDescent="0.25">
      <c r="A1003" t="str">
        <f t="shared" si="15"/>
        <v>7876402M5742IX-D</v>
      </c>
      <c r="B1003" s="35" t="s">
        <v>964</v>
      </c>
      <c r="C1003" s="35" t="s">
        <v>844</v>
      </c>
      <c r="D1003" s="35" t="s">
        <v>387</v>
      </c>
      <c r="E1003" s="35" t="s">
        <v>2340</v>
      </c>
      <c r="F1003" s="35" t="s">
        <v>385</v>
      </c>
      <c r="G1003" s="35" t="s">
        <v>386</v>
      </c>
      <c r="H1003" s="35">
        <v>804</v>
      </c>
    </row>
    <row r="1004" spans="1:8" ht="15.75" x14ac:dyDescent="0.25">
      <c r="A1004" t="str">
        <f t="shared" si="15"/>
        <v>7876444M5742IX-D</v>
      </c>
      <c r="B1004" s="35" t="s">
        <v>964</v>
      </c>
      <c r="C1004" s="35" t="s">
        <v>862</v>
      </c>
      <c r="D1004" s="35" t="s">
        <v>387</v>
      </c>
      <c r="E1004" s="35" t="s">
        <v>2340</v>
      </c>
      <c r="F1004" s="35" t="s">
        <v>385</v>
      </c>
      <c r="G1004" s="35" t="s">
        <v>386</v>
      </c>
      <c r="H1004" s="35">
        <v>702</v>
      </c>
    </row>
    <row r="1005" spans="1:8" ht="15.75" x14ac:dyDescent="0.25">
      <c r="A1005" t="str">
        <f t="shared" si="15"/>
        <v>7876693M5742IX-D</v>
      </c>
      <c r="B1005" s="35" t="s">
        <v>964</v>
      </c>
      <c r="C1005" s="35" t="s">
        <v>881</v>
      </c>
      <c r="D1005" s="35" t="s">
        <v>387</v>
      </c>
      <c r="E1005" s="35" t="s">
        <v>2340</v>
      </c>
      <c r="F1005" s="35" t="s">
        <v>385</v>
      </c>
      <c r="G1005" s="35" t="s">
        <v>386</v>
      </c>
      <c r="H1005" s="35">
        <v>660</v>
      </c>
    </row>
    <row r="1006" spans="1:8" ht="15.75" x14ac:dyDescent="0.25">
      <c r="A1006" t="str">
        <f t="shared" si="15"/>
        <v>U152821ML574EVW-2E</v>
      </c>
      <c r="B1006" s="35" t="s">
        <v>1051</v>
      </c>
      <c r="C1006" s="35" t="s">
        <v>835</v>
      </c>
      <c r="D1006" s="35" t="s">
        <v>457</v>
      </c>
      <c r="E1006" s="35" t="s">
        <v>2342</v>
      </c>
      <c r="F1006" s="35" t="s">
        <v>436</v>
      </c>
      <c r="G1006" s="35" t="s">
        <v>443</v>
      </c>
      <c r="H1006" s="35">
        <v>12</v>
      </c>
    </row>
    <row r="1007" spans="1:8" ht="15.75" x14ac:dyDescent="0.25">
      <c r="A1007" t="str">
        <f t="shared" si="15"/>
        <v>U152821ML574EVW-4E</v>
      </c>
      <c r="B1007" s="35" t="s">
        <v>1051</v>
      </c>
      <c r="C1007" s="35" t="s">
        <v>835</v>
      </c>
      <c r="D1007" s="35" t="s">
        <v>457</v>
      </c>
      <c r="E1007" s="35" t="s">
        <v>2343</v>
      </c>
      <c r="F1007" s="35" t="s">
        <v>436</v>
      </c>
      <c r="G1007" s="35" t="s">
        <v>443</v>
      </c>
      <c r="H1007" s="35">
        <v>12</v>
      </c>
    </row>
    <row r="1008" spans="1:8" ht="15.75" x14ac:dyDescent="0.25">
      <c r="A1008" t="str">
        <f t="shared" si="15"/>
        <v>U152821ML574EVW-D</v>
      </c>
      <c r="B1008" s="35" t="s">
        <v>1051</v>
      </c>
      <c r="C1008" s="35" t="s">
        <v>835</v>
      </c>
      <c r="D1008" s="35" t="s">
        <v>457</v>
      </c>
      <c r="E1008" s="35" t="s">
        <v>2340</v>
      </c>
      <c r="F1008" s="35" t="s">
        <v>436</v>
      </c>
      <c r="G1008" s="35" t="s">
        <v>443</v>
      </c>
      <c r="H1008" s="35">
        <v>834</v>
      </c>
    </row>
    <row r="1009" spans="1:8" ht="15.75" x14ac:dyDescent="0.25">
      <c r="A1009" t="str">
        <f t="shared" si="15"/>
        <v>U152827ML574EVW-2E</v>
      </c>
      <c r="B1009" s="35" t="s">
        <v>1051</v>
      </c>
      <c r="C1009" s="35" t="s">
        <v>884</v>
      </c>
      <c r="D1009" s="35" t="s">
        <v>444</v>
      </c>
      <c r="E1009" s="35" t="s">
        <v>2342</v>
      </c>
      <c r="F1009" s="35" t="s">
        <v>436</v>
      </c>
      <c r="G1009" s="35" t="s">
        <v>443</v>
      </c>
      <c r="H1009" s="35">
        <v>36</v>
      </c>
    </row>
    <row r="1010" spans="1:8" ht="15.75" x14ac:dyDescent="0.25">
      <c r="A1010" t="str">
        <f t="shared" si="15"/>
        <v>U152827ML574EVW-4E</v>
      </c>
      <c r="B1010" s="35" t="s">
        <v>1051</v>
      </c>
      <c r="C1010" s="35" t="s">
        <v>884</v>
      </c>
      <c r="D1010" s="35" t="s">
        <v>444</v>
      </c>
      <c r="E1010" s="35" t="s">
        <v>2343</v>
      </c>
      <c r="F1010" s="35" t="s">
        <v>436</v>
      </c>
      <c r="G1010" s="35" t="s">
        <v>443</v>
      </c>
      <c r="H1010" s="35">
        <v>36</v>
      </c>
    </row>
    <row r="1011" spans="1:8" ht="15.75" x14ac:dyDescent="0.25">
      <c r="A1011" t="str">
        <f t="shared" si="15"/>
        <v>U152827ML574EVW-D</v>
      </c>
      <c r="B1011" s="35" t="s">
        <v>1051</v>
      </c>
      <c r="C1011" s="35" t="s">
        <v>884</v>
      </c>
      <c r="D1011" s="35" t="s">
        <v>444</v>
      </c>
      <c r="E1011" s="35" t="s">
        <v>2340</v>
      </c>
      <c r="F1011" s="35" t="s">
        <v>436</v>
      </c>
      <c r="G1011" s="35" t="s">
        <v>443</v>
      </c>
      <c r="H1011" s="35">
        <v>102</v>
      </c>
    </row>
    <row r="1012" spans="1:8" ht="15.75" x14ac:dyDescent="0.25">
      <c r="A1012" t="str">
        <f t="shared" si="15"/>
        <v>U153523ML574EVB-2E</v>
      </c>
      <c r="B1012" s="35" t="s">
        <v>951</v>
      </c>
      <c r="C1012" s="35" t="s">
        <v>875</v>
      </c>
      <c r="D1012" s="35" t="s">
        <v>466</v>
      </c>
      <c r="E1012" s="35" t="s">
        <v>2342</v>
      </c>
      <c r="F1012" s="35" t="s">
        <v>436</v>
      </c>
      <c r="G1012" s="35" t="s">
        <v>443</v>
      </c>
      <c r="H1012" s="35">
        <v>120</v>
      </c>
    </row>
    <row r="1013" spans="1:8" ht="15.75" x14ac:dyDescent="0.25">
      <c r="A1013" t="str">
        <f t="shared" si="15"/>
        <v>U153523ML574EVB-4E</v>
      </c>
      <c r="B1013" s="35" t="s">
        <v>951</v>
      </c>
      <c r="C1013" s="35" t="s">
        <v>875</v>
      </c>
      <c r="D1013" s="35" t="s">
        <v>466</v>
      </c>
      <c r="E1013" s="35" t="s">
        <v>2343</v>
      </c>
      <c r="F1013" s="35" t="s">
        <v>436</v>
      </c>
      <c r="G1013" s="35" t="s">
        <v>443</v>
      </c>
      <c r="H1013" s="35">
        <v>48</v>
      </c>
    </row>
    <row r="1014" spans="1:8" ht="15.75" x14ac:dyDescent="0.25">
      <c r="A1014" t="str">
        <f t="shared" si="15"/>
        <v>U153523ML574EVB-D</v>
      </c>
      <c r="B1014" s="35" t="s">
        <v>951</v>
      </c>
      <c r="C1014" s="35" t="s">
        <v>875</v>
      </c>
      <c r="D1014" s="35" t="s">
        <v>466</v>
      </c>
      <c r="E1014" s="35" t="s">
        <v>2340</v>
      </c>
      <c r="F1014" s="35" t="s">
        <v>436</v>
      </c>
      <c r="G1014" s="35" t="s">
        <v>443</v>
      </c>
      <c r="H1014" s="35">
        <v>258</v>
      </c>
    </row>
    <row r="1015" spans="1:8" ht="15.75" x14ac:dyDescent="0.25">
      <c r="A1015" t="str">
        <f t="shared" si="15"/>
        <v>U153525ML574EVN-D</v>
      </c>
      <c r="B1015" s="35" t="s">
        <v>949</v>
      </c>
      <c r="C1015" s="35" t="s">
        <v>1714</v>
      </c>
      <c r="D1015" s="35" t="s">
        <v>466</v>
      </c>
      <c r="E1015" s="35" t="s">
        <v>2340</v>
      </c>
      <c r="F1015" s="35" t="s">
        <v>436</v>
      </c>
      <c r="G1015" s="35" t="s">
        <v>443</v>
      </c>
      <c r="H1015" s="35">
        <v>174</v>
      </c>
    </row>
    <row r="1016" spans="1:8" ht="15.75" x14ac:dyDescent="0.25">
      <c r="A1016" t="str">
        <f t="shared" si="15"/>
        <v>H176278U57432M-D</v>
      </c>
      <c r="B1016" s="35" t="s">
        <v>1052</v>
      </c>
      <c r="C1016" s="35" t="s">
        <v>1715</v>
      </c>
      <c r="D1016" s="35"/>
      <c r="E1016" s="35" t="s">
        <v>2340</v>
      </c>
      <c r="F1016" s="35" t="s">
        <v>498</v>
      </c>
      <c r="G1016" s="35" t="s">
        <v>499</v>
      </c>
      <c r="H1016" s="35">
        <v>306</v>
      </c>
    </row>
    <row r="1017" spans="1:8" ht="15.75" x14ac:dyDescent="0.25">
      <c r="A1017" t="str">
        <f t="shared" si="15"/>
        <v>H176748U57432M-D</v>
      </c>
      <c r="B1017" s="35" t="s">
        <v>1052</v>
      </c>
      <c r="C1017" s="35" t="s">
        <v>1716</v>
      </c>
      <c r="D1017" s="35"/>
      <c r="E1017" s="35" t="s">
        <v>2340</v>
      </c>
      <c r="F1017" s="35" t="s">
        <v>426</v>
      </c>
      <c r="G1017" s="35" t="s">
        <v>427</v>
      </c>
      <c r="H1017" s="35">
        <v>480</v>
      </c>
    </row>
    <row r="1018" spans="1:8" ht="15.75" x14ac:dyDescent="0.25">
      <c r="A1018" t="str">
        <f t="shared" si="15"/>
        <v>U152845W5743HE-B</v>
      </c>
      <c r="B1018" s="35" t="s">
        <v>966</v>
      </c>
      <c r="C1018" s="35" t="s">
        <v>1717</v>
      </c>
      <c r="D1018" s="35" t="s">
        <v>444</v>
      </c>
      <c r="E1018" s="35" t="s">
        <v>2339</v>
      </c>
      <c r="F1018" s="35" t="s">
        <v>436</v>
      </c>
      <c r="G1018" s="35" t="s">
        <v>443</v>
      </c>
      <c r="H1018" s="35">
        <v>468</v>
      </c>
    </row>
    <row r="1019" spans="1:8" ht="15.75" x14ac:dyDescent="0.25">
      <c r="A1019" t="str">
        <f t="shared" si="15"/>
        <v>7884410ML515BLK-D</v>
      </c>
      <c r="B1019" s="35" t="s">
        <v>898</v>
      </c>
      <c r="C1019" s="35" t="s">
        <v>1718</v>
      </c>
      <c r="D1019" s="35" t="s">
        <v>474</v>
      </c>
      <c r="E1019" s="35" t="s">
        <v>2340</v>
      </c>
      <c r="F1019" s="35" t="s">
        <v>379</v>
      </c>
      <c r="G1019" s="35" t="s">
        <v>380</v>
      </c>
      <c r="H1019" s="35">
        <v>240</v>
      </c>
    </row>
    <row r="1020" spans="1:8" ht="15.75" x14ac:dyDescent="0.25">
      <c r="A1020" t="str">
        <f t="shared" si="15"/>
        <v>7884584ML515BLK-D</v>
      </c>
      <c r="B1020" s="35" t="s">
        <v>898</v>
      </c>
      <c r="C1020" s="35" t="s">
        <v>1719</v>
      </c>
      <c r="D1020" s="35" t="s">
        <v>395</v>
      </c>
      <c r="E1020" s="35" t="s">
        <v>2340</v>
      </c>
      <c r="F1020" s="35" t="s">
        <v>382</v>
      </c>
      <c r="G1020" s="35" t="s">
        <v>383</v>
      </c>
      <c r="H1020" s="35">
        <v>522</v>
      </c>
    </row>
    <row r="1021" spans="1:8" ht="15.75" x14ac:dyDescent="0.25">
      <c r="A1021" t="str">
        <f t="shared" si="15"/>
        <v>7884642ML515GRY-D</v>
      </c>
      <c r="B1021" s="35" t="s">
        <v>899</v>
      </c>
      <c r="C1021" s="35" t="s">
        <v>1720</v>
      </c>
      <c r="D1021" s="35" t="s">
        <v>395</v>
      </c>
      <c r="E1021" s="35" t="s">
        <v>2340</v>
      </c>
      <c r="F1021" s="35" t="s">
        <v>382</v>
      </c>
      <c r="G1021" s="35" t="s">
        <v>383</v>
      </c>
      <c r="H1021" s="35">
        <v>522</v>
      </c>
    </row>
    <row r="1022" spans="1:8" ht="15.75" x14ac:dyDescent="0.25">
      <c r="A1022" t="str">
        <f t="shared" si="15"/>
        <v>H189807ML515GRY-D</v>
      </c>
      <c r="B1022" s="35" t="s">
        <v>899</v>
      </c>
      <c r="C1022" s="35" t="s">
        <v>1721</v>
      </c>
      <c r="D1022" s="35" t="s">
        <v>404</v>
      </c>
      <c r="E1022" s="35" t="s">
        <v>2340</v>
      </c>
      <c r="F1022" s="35" t="s">
        <v>432</v>
      </c>
      <c r="G1022" s="35" t="s">
        <v>433</v>
      </c>
      <c r="H1022" s="35">
        <v>504</v>
      </c>
    </row>
    <row r="1023" spans="1:8" ht="15.75" x14ac:dyDescent="0.25">
      <c r="A1023" t="str">
        <f t="shared" si="15"/>
        <v>7884552ML515NVY-D</v>
      </c>
      <c r="B1023" s="35" t="s">
        <v>897</v>
      </c>
      <c r="C1023" s="35" t="s">
        <v>1722</v>
      </c>
      <c r="D1023" s="35" t="s">
        <v>474</v>
      </c>
      <c r="E1023" s="35" t="s">
        <v>2340</v>
      </c>
      <c r="F1023" s="35" t="s">
        <v>379</v>
      </c>
      <c r="G1023" s="35" t="s">
        <v>380</v>
      </c>
      <c r="H1023" s="35">
        <v>396</v>
      </c>
    </row>
    <row r="1024" spans="1:8" ht="15.75" x14ac:dyDescent="0.25">
      <c r="A1024" t="str">
        <f t="shared" si="15"/>
        <v>7884654ML515NVY-D</v>
      </c>
      <c r="B1024" s="35" t="s">
        <v>897</v>
      </c>
      <c r="C1024" s="35" t="s">
        <v>1723</v>
      </c>
      <c r="D1024" s="35" t="s">
        <v>395</v>
      </c>
      <c r="E1024" s="35" t="s">
        <v>2340</v>
      </c>
      <c r="F1024" s="35" t="s">
        <v>382</v>
      </c>
      <c r="G1024" s="35" t="s">
        <v>383</v>
      </c>
      <c r="H1024" s="35">
        <v>594</v>
      </c>
    </row>
    <row r="1025" spans="1:8" ht="15.75" x14ac:dyDescent="0.25">
      <c r="A1025" t="str">
        <f t="shared" si="15"/>
        <v>H189806ML515NVY-D</v>
      </c>
      <c r="B1025" s="35" t="s">
        <v>897</v>
      </c>
      <c r="C1025" s="35" t="s">
        <v>1724</v>
      </c>
      <c r="D1025" s="35" t="s">
        <v>404</v>
      </c>
      <c r="E1025" s="35" t="s">
        <v>2340</v>
      </c>
      <c r="F1025" s="35" t="s">
        <v>432</v>
      </c>
      <c r="G1025" s="35" t="s">
        <v>433</v>
      </c>
      <c r="H1025" s="35">
        <v>504</v>
      </c>
    </row>
    <row r="1026" spans="1:8" ht="15.75" x14ac:dyDescent="0.25">
      <c r="A1026" t="str">
        <f t="shared" si="15"/>
        <v>7884648ML515WHT-D</v>
      </c>
      <c r="B1026" s="35" t="s">
        <v>896</v>
      </c>
      <c r="C1026" s="35">
        <v>7884648</v>
      </c>
      <c r="D1026" s="35" t="s">
        <v>395</v>
      </c>
      <c r="E1026" s="35" t="s">
        <v>2340</v>
      </c>
      <c r="F1026" s="35" t="s">
        <v>382</v>
      </c>
      <c r="G1026" s="35" t="s">
        <v>383</v>
      </c>
      <c r="H1026" s="35">
        <v>330</v>
      </c>
    </row>
    <row r="1027" spans="1:8" ht="15.75" x14ac:dyDescent="0.25">
      <c r="A1027" t="str">
        <f t="shared" si="15"/>
        <v>7884558WL515SB3-B</v>
      </c>
      <c r="B1027" s="35" t="s">
        <v>1053</v>
      </c>
      <c r="C1027" s="35" t="s">
        <v>1725</v>
      </c>
      <c r="D1027" s="35" t="s">
        <v>474</v>
      </c>
      <c r="E1027" s="35" t="s">
        <v>2339</v>
      </c>
      <c r="F1027" s="35" t="s">
        <v>379</v>
      </c>
      <c r="G1027" s="35" t="s">
        <v>380</v>
      </c>
      <c r="H1027" s="35">
        <v>516</v>
      </c>
    </row>
    <row r="1028" spans="1:8" ht="15.75" x14ac:dyDescent="0.25">
      <c r="A1028" t="str">
        <f t="shared" si="15"/>
        <v>7884714WL515SB3-B</v>
      </c>
      <c r="B1028" s="35" t="s">
        <v>1053</v>
      </c>
      <c r="C1028" s="35" t="s">
        <v>1726</v>
      </c>
      <c r="D1028" s="35" t="s">
        <v>395</v>
      </c>
      <c r="E1028" s="35" t="s">
        <v>2339</v>
      </c>
      <c r="F1028" s="35" t="s">
        <v>382</v>
      </c>
      <c r="G1028" s="35" t="s">
        <v>383</v>
      </c>
      <c r="H1028" s="35">
        <v>594</v>
      </c>
    </row>
    <row r="1029" spans="1:8" ht="15.75" x14ac:dyDescent="0.25">
      <c r="A1029" t="str">
        <f t="shared" si="15"/>
        <v>U152820ML574EVW-2E</v>
      </c>
      <c r="B1029" s="35" t="s">
        <v>1051</v>
      </c>
      <c r="C1029" s="35" t="s">
        <v>1727</v>
      </c>
      <c r="D1029" s="35" t="s">
        <v>466</v>
      </c>
      <c r="E1029" s="35" t="s">
        <v>2342</v>
      </c>
      <c r="F1029" s="35" t="s">
        <v>436</v>
      </c>
      <c r="G1029" s="35" t="s">
        <v>443</v>
      </c>
      <c r="H1029" s="35">
        <v>54</v>
      </c>
    </row>
    <row r="1030" spans="1:8" ht="15.75" x14ac:dyDescent="0.25">
      <c r="A1030" t="str">
        <f t="shared" si="15"/>
        <v>U152820ML574EVW-4E</v>
      </c>
      <c r="B1030" s="35" t="s">
        <v>1051</v>
      </c>
      <c r="C1030" s="35" t="s">
        <v>1727</v>
      </c>
      <c r="D1030" s="35" t="s">
        <v>466</v>
      </c>
      <c r="E1030" s="35" t="s">
        <v>2343</v>
      </c>
      <c r="F1030" s="35" t="s">
        <v>436</v>
      </c>
      <c r="G1030" s="35" t="s">
        <v>443</v>
      </c>
      <c r="H1030" s="35">
        <v>18</v>
      </c>
    </row>
    <row r="1031" spans="1:8" ht="15.75" x14ac:dyDescent="0.25">
      <c r="A1031" t="str">
        <f t="shared" ref="A1031:A1094" si="16">+C1031&amp;B1031&amp;"-"&amp;E1031</f>
        <v>U152820ML574EVW-D</v>
      </c>
      <c r="B1031" s="35" t="s">
        <v>1051</v>
      </c>
      <c r="C1031" s="35" t="s">
        <v>1727</v>
      </c>
      <c r="D1031" s="35" t="s">
        <v>466</v>
      </c>
      <c r="E1031" s="35" t="s">
        <v>2340</v>
      </c>
      <c r="F1031" s="35" t="s">
        <v>436</v>
      </c>
      <c r="G1031" s="35" t="s">
        <v>443</v>
      </c>
      <c r="H1031" s="35">
        <v>186</v>
      </c>
    </row>
    <row r="1032" spans="1:8" ht="15.75" x14ac:dyDescent="0.25">
      <c r="A1032" t="str">
        <f t="shared" si="16"/>
        <v>7880370W5744R4-B</v>
      </c>
      <c r="B1032" s="35" t="s">
        <v>965</v>
      </c>
      <c r="C1032" s="35" t="s">
        <v>1728</v>
      </c>
      <c r="D1032" s="35" t="s">
        <v>387</v>
      </c>
      <c r="E1032" s="35" t="s">
        <v>2339</v>
      </c>
      <c r="F1032" s="35" t="s">
        <v>388</v>
      </c>
      <c r="G1032" s="35" t="s">
        <v>389</v>
      </c>
      <c r="H1032" s="35">
        <v>312</v>
      </c>
    </row>
    <row r="1033" spans="1:8" ht="15.75" x14ac:dyDescent="0.25">
      <c r="A1033" t="str">
        <f t="shared" si="16"/>
        <v>7881864M5742IX-2E</v>
      </c>
      <c r="B1033" s="35" t="s">
        <v>964</v>
      </c>
      <c r="C1033" s="35" t="s">
        <v>1338</v>
      </c>
      <c r="D1033" s="35" t="s">
        <v>391</v>
      </c>
      <c r="E1033" s="35" t="s">
        <v>2342</v>
      </c>
      <c r="F1033" s="35" t="s">
        <v>379</v>
      </c>
      <c r="G1033" s="35" t="s">
        <v>380</v>
      </c>
      <c r="H1033" s="35">
        <v>84</v>
      </c>
    </row>
    <row r="1034" spans="1:8" ht="15.75" x14ac:dyDescent="0.25">
      <c r="A1034" t="str">
        <f t="shared" si="16"/>
        <v>7881886M5742IX-2E</v>
      </c>
      <c r="B1034" s="35" t="s">
        <v>964</v>
      </c>
      <c r="C1034" s="35" t="s">
        <v>1339</v>
      </c>
      <c r="D1034" s="35" t="s">
        <v>390</v>
      </c>
      <c r="E1034" s="35" t="s">
        <v>2342</v>
      </c>
      <c r="F1034" s="35" t="s">
        <v>382</v>
      </c>
      <c r="G1034" s="35" t="s">
        <v>383</v>
      </c>
      <c r="H1034" s="35">
        <v>258</v>
      </c>
    </row>
    <row r="1035" spans="1:8" ht="15.75" x14ac:dyDescent="0.25">
      <c r="A1035" t="str">
        <f t="shared" si="16"/>
        <v>7880368W5744TB-B</v>
      </c>
      <c r="B1035" s="35" t="s">
        <v>1054</v>
      </c>
      <c r="C1035" s="35" t="s">
        <v>1729</v>
      </c>
      <c r="D1035" s="35" t="s">
        <v>387</v>
      </c>
      <c r="E1035" s="35" t="s">
        <v>2339</v>
      </c>
      <c r="F1035" s="35" t="s">
        <v>388</v>
      </c>
      <c r="G1035" s="35" t="s">
        <v>389</v>
      </c>
      <c r="H1035" s="35">
        <v>264</v>
      </c>
    </row>
    <row r="1036" spans="1:8" ht="15.75" x14ac:dyDescent="0.25">
      <c r="A1036" t="str">
        <f t="shared" si="16"/>
        <v>H189917W5744TB-B</v>
      </c>
      <c r="B1036" s="35" t="s">
        <v>1054</v>
      </c>
      <c r="C1036" s="35" t="s">
        <v>1730</v>
      </c>
      <c r="D1036" s="35" t="s">
        <v>404</v>
      </c>
      <c r="E1036" s="35" t="s">
        <v>2339</v>
      </c>
      <c r="F1036" s="35" t="s">
        <v>2307</v>
      </c>
      <c r="G1036" s="35" t="s">
        <v>2308</v>
      </c>
      <c r="H1036" s="35">
        <v>504</v>
      </c>
    </row>
    <row r="1037" spans="1:8" ht="15.75" x14ac:dyDescent="0.25">
      <c r="A1037" t="str">
        <f t="shared" si="16"/>
        <v>H181922W5743HE-B</v>
      </c>
      <c r="B1037" s="35" t="s">
        <v>966</v>
      </c>
      <c r="C1037" s="35" t="s">
        <v>1731</v>
      </c>
      <c r="D1037" s="35" t="s">
        <v>404</v>
      </c>
      <c r="E1037" s="35" t="s">
        <v>2339</v>
      </c>
      <c r="F1037" s="35" t="s">
        <v>2307</v>
      </c>
      <c r="G1037" s="35" t="s">
        <v>2308</v>
      </c>
      <c r="H1037" s="35">
        <v>504</v>
      </c>
    </row>
    <row r="1038" spans="1:8" ht="15.75" x14ac:dyDescent="0.25">
      <c r="A1038" t="str">
        <f t="shared" si="16"/>
        <v>H189099W5743HE-B</v>
      </c>
      <c r="B1038" s="35" t="s">
        <v>966</v>
      </c>
      <c r="C1038" s="35" t="s">
        <v>1732</v>
      </c>
      <c r="D1038" s="35" t="s">
        <v>404</v>
      </c>
      <c r="E1038" s="35" t="s">
        <v>2339</v>
      </c>
      <c r="F1038" s="35" t="s">
        <v>2316</v>
      </c>
      <c r="G1038" s="35" t="s">
        <v>2317</v>
      </c>
      <c r="H1038" s="35">
        <v>504</v>
      </c>
    </row>
    <row r="1039" spans="1:8" ht="15.75" x14ac:dyDescent="0.25">
      <c r="A1039" t="str">
        <f t="shared" si="16"/>
        <v>7880367W5743HE-B</v>
      </c>
      <c r="B1039" s="35" t="s">
        <v>966</v>
      </c>
      <c r="C1039" s="35" t="s">
        <v>1733</v>
      </c>
      <c r="D1039" s="35" t="s">
        <v>387</v>
      </c>
      <c r="E1039" s="35" t="s">
        <v>2339</v>
      </c>
      <c r="F1039" s="35" t="s">
        <v>388</v>
      </c>
      <c r="G1039" s="35" t="s">
        <v>389</v>
      </c>
      <c r="H1039" s="35">
        <v>474</v>
      </c>
    </row>
    <row r="1040" spans="1:8" ht="15.75" x14ac:dyDescent="0.25">
      <c r="A1040" t="str">
        <f t="shared" si="16"/>
        <v>7880369W5744CP-B</v>
      </c>
      <c r="B1040" s="35" t="s">
        <v>1048</v>
      </c>
      <c r="C1040" s="35" t="s">
        <v>1734</v>
      </c>
      <c r="D1040" s="35" t="s">
        <v>387</v>
      </c>
      <c r="E1040" s="35" t="s">
        <v>2339</v>
      </c>
      <c r="F1040" s="35" t="s">
        <v>388</v>
      </c>
      <c r="G1040" s="35" t="s">
        <v>389</v>
      </c>
      <c r="H1040" s="35">
        <v>324</v>
      </c>
    </row>
    <row r="1041" spans="1:8" ht="15.75" x14ac:dyDescent="0.25">
      <c r="A1041" t="str">
        <f t="shared" si="16"/>
        <v>H176738U5745CT-D</v>
      </c>
      <c r="B1041" s="35" t="s">
        <v>1055</v>
      </c>
      <c r="C1041" s="35" t="s">
        <v>1735</v>
      </c>
      <c r="D1041" s="35"/>
      <c r="E1041" s="35" t="s">
        <v>2340</v>
      </c>
      <c r="F1041" s="35" t="s">
        <v>426</v>
      </c>
      <c r="G1041" s="35" t="s">
        <v>427</v>
      </c>
      <c r="H1041" s="35">
        <v>606</v>
      </c>
    </row>
    <row r="1042" spans="1:8" ht="15.75" x14ac:dyDescent="0.25">
      <c r="A1042" t="str">
        <f t="shared" si="16"/>
        <v>H176745U5745I2-D</v>
      </c>
      <c r="B1042" s="35" t="s">
        <v>1056</v>
      </c>
      <c r="C1042" s="35" t="s">
        <v>1736</v>
      </c>
      <c r="D1042" s="35"/>
      <c r="E1042" s="35" t="s">
        <v>2340</v>
      </c>
      <c r="F1042" s="35" t="s">
        <v>426</v>
      </c>
      <c r="G1042" s="35" t="s">
        <v>427</v>
      </c>
      <c r="H1042" s="35">
        <v>642</v>
      </c>
    </row>
    <row r="1043" spans="1:8" ht="15.75" x14ac:dyDescent="0.25">
      <c r="A1043" t="str">
        <f t="shared" si="16"/>
        <v>H176747W5744TB-B</v>
      </c>
      <c r="B1043" s="35" t="s">
        <v>1054</v>
      </c>
      <c r="C1043" s="35" t="s">
        <v>1737</v>
      </c>
      <c r="D1043" s="35"/>
      <c r="E1043" s="35" t="s">
        <v>2339</v>
      </c>
      <c r="F1043" s="35" t="s">
        <v>426</v>
      </c>
      <c r="G1043" s="35" t="s">
        <v>427</v>
      </c>
      <c r="H1043" s="35">
        <v>726</v>
      </c>
    </row>
    <row r="1044" spans="1:8" ht="15.75" x14ac:dyDescent="0.25">
      <c r="A1044" t="str">
        <f t="shared" si="16"/>
        <v>H176741W5749QY-B</v>
      </c>
      <c r="B1044" s="35" t="s">
        <v>1057</v>
      </c>
      <c r="C1044" s="35" t="s">
        <v>1738</v>
      </c>
      <c r="D1044" s="35"/>
      <c r="E1044" s="35" t="s">
        <v>2339</v>
      </c>
      <c r="F1044" s="35" t="s">
        <v>426</v>
      </c>
      <c r="G1044" s="35" t="s">
        <v>427</v>
      </c>
      <c r="H1044" s="35">
        <v>570</v>
      </c>
    </row>
    <row r="1045" spans="1:8" ht="15.75" x14ac:dyDescent="0.25">
      <c r="A1045" t="str">
        <f t="shared" si="16"/>
        <v>C136005ML574EVG-2E</v>
      </c>
      <c r="B1045" s="35" t="s">
        <v>947</v>
      </c>
      <c r="C1045" s="35" t="s">
        <v>1296</v>
      </c>
      <c r="D1045" s="35" t="s">
        <v>401</v>
      </c>
      <c r="E1045" s="35" t="s">
        <v>2342</v>
      </c>
      <c r="F1045" s="35" t="s">
        <v>397</v>
      </c>
      <c r="G1045" s="35" t="s">
        <v>400</v>
      </c>
      <c r="H1045" s="35">
        <v>138</v>
      </c>
    </row>
    <row r="1046" spans="1:8" ht="15.75" x14ac:dyDescent="0.25">
      <c r="A1046" t="str">
        <f t="shared" si="16"/>
        <v>C136005ML574EVG-4E</v>
      </c>
      <c r="B1046" s="35" t="s">
        <v>947</v>
      </c>
      <c r="C1046" s="35" t="s">
        <v>1296</v>
      </c>
      <c r="D1046" s="35" t="s">
        <v>401</v>
      </c>
      <c r="E1046" s="35" t="s">
        <v>2343</v>
      </c>
      <c r="F1046" s="35" t="s">
        <v>397</v>
      </c>
      <c r="G1046" s="35" t="s">
        <v>400</v>
      </c>
      <c r="H1046" s="35">
        <v>96</v>
      </c>
    </row>
    <row r="1047" spans="1:8" ht="15.75" x14ac:dyDescent="0.25">
      <c r="A1047" t="str">
        <f t="shared" si="16"/>
        <v>C135859WL574EVW-D</v>
      </c>
      <c r="B1047" s="35" t="s">
        <v>948</v>
      </c>
      <c r="C1047" s="35" t="s">
        <v>1297</v>
      </c>
      <c r="D1047" s="35" t="s">
        <v>401</v>
      </c>
      <c r="E1047" s="35" t="s">
        <v>2340</v>
      </c>
      <c r="F1047" s="35" t="s">
        <v>397</v>
      </c>
      <c r="G1047" s="35" t="s">
        <v>400</v>
      </c>
      <c r="H1047" s="35">
        <v>90</v>
      </c>
    </row>
    <row r="1048" spans="1:8" ht="15.75" x14ac:dyDescent="0.25">
      <c r="A1048" t="str">
        <f t="shared" si="16"/>
        <v>U158342WL574EVW-D</v>
      </c>
      <c r="B1048" s="35" t="s">
        <v>948</v>
      </c>
      <c r="C1048" s="35" t="s">
        <v>1298</v>
      </c>
      <c r="D1048" s="35" t="s">
        <v>457</v>
      </c>
      <c r="E1048" s="35" t="s">
        <v>2340</v>
      </c>
      <c r="F1048" s="35" t="s">
        <v>436</v>
      </c>
      <c r="G1048" s="35" t="s">
        <v>443</v>
      </c>
      <c r="H1048" s="35">
        <v>216</v>
      </c>
    </row>
    <row r="1049" spans="1:8" ht="15.75" x14ac:dyDescent="0.25">
      <c r="A1049" t="str">
        <f t="shared" si="16"/>
        <v>U158340ML574EVG-2E</v>
      </c>
      <c r="B1049" s="35" t="s">
        <v>947</v>
      </c>
      <c r="C1049" s="35" t="s">
        <v>1301</v>
      </c>
      <c r="D1049" s="35" t="s">
        <v>444</v>
      </c>
      <c r="E1049" s="35" t="s">
        <v>2342</v>
      </c>
      <c r="F1049" s="35" t="s">
        <v>436</v>
      </c>
      <c r="G1049" s="35" t="s">
        <v>443</v>
      </c>
      <c r="H1049" s="35">
        <v>96</v>
      </c>
    </row>
    <row r="1050" spans="1:8" ht="15.75" x14ac:dyDescent="0.25">
      <c r="A1050" t="str">
        <f t="shared" si="16"/>
        <v>U158340ML574EVG-4E</v>
      </c>
      <c r="B1050" s="35" t="s">
        <v>947</v>
      </c>
      <c r="C1050" s="35" t="s">
        <v>1301</v>
      </c>
      <c r="D1050" s="35" t="s">
        <v>444</v>
      </c>
      <c r="E1050" s="35" t="s">
        <v>2343</v>
      </c>
      <c r="F1050" s="35" t="s">
        <v>436</v>
      </c>
      <c r="G1050" s="35" t="s">
        <v>443</v>
      </c>
      <c r="H1050" s="35">
        <v>12</v>
      </c>
    </row>
    <row r="1051" spans="1:8" ht="15.75" x14ac:dyDescent="0.25">
      <c r="A1051" t="str">
        <f t="shared" si="16"/>
        <v>U158341ML574EVG-2E</v>
      </c>
      <c r="B1051" s="35" t="s">
        <v>947</v>
      </c>
      <c r="C1051" s="35" t="s">
        <v>1302</v>
      </c>
      <c r="D1051" s="35" t="s">
        <v>466</v>
      </c>
      <c r="E1051" s="35" t="s">
        <v>2342</v>
      </c>
      <c r="F1051" s="35" t="s">
        <v>436</v>
      </c>
      <c r="G1051" s="35" t="s">
        <v>443</v>
      </c>
      <c r="H1051" s="35">
        <v>264</v>
      </c>
    </row>
    <row r="1052" spans="1:8" ht="15.75" x14ac:dyDescent="0.25">
      <c r="A1052" t="str">
        <f t="shared" si="16"/>
        <v>U158341ML574EVG-4E</v>
      </c>
      <c r="B1052" s="35" t="s">
        <v>947</v>
      </c>
      <c r="C1052" s="35" t="s">
        <v>1302</v>
      </c>
      <c r="D1052" s="35" t="s">
        <v>466</v>
      </c>
      <c r="E1052" s="35" t="s">
        <v>2343</v>
      </c>
      <c r="F1052" s="35" t="s">
        <v>436</v>
      </c>
      <c r="G1052" s="35" t="s">
        <v>443</v>
      </c>
      <c r="H1052" s="35">
        <v>78</v>
      </c>
    </row>
    <row r="1053" spans="1:8" ht="15.75" x14ac:dyDescent="0.25">
      <c r="A1053" t="str">
        <f t="shared" si="16"/>
        <v>U158349ML574EVG-2E</v>
      </c>
      <c r="B1053" s="35" t="s">
        <v>947</v>
      </c>
      <c r="C1053" s="35" t="s">
        <v>1303</v>
      </c>
      <c r="D1053" s="35" t="s">
        <v>457</v>
      </c>
      <c r="E1053" s="35" t="s">
        <v>2342</v>
      </c>
      <c r="F1053" s="35" t="s">
        <v>436</v>
      </c>
      <c r="G1053" s="35" t="s">
        <v>443</v>
      </c>
      <c r="H1053" s="35">
        <v>630</v>
      </c>
    </row>
    <row r="1054" spans="1:8" ht="15.75" x14ac:dyDescent="0.25">
      <c r="A1054" t="str">
        <f t="shared" si="16"/>
        <v>U158349ML574EVG-4E</v>
      </c>
      <c r="B1054" s="35" t="s">
        <v>947</v>
      </c>
      <c r="C1054" s="35" t="s">
        <v>1303</v>
      </c>
      <c r="D1054" s="35" t="s">
        <v>457</v>
      </c>
      <c r="E1054" s="35" t="s">
        <v>2343</v>
      </c>
      <c r="F1054" s="35" t="s">
        <v>436</v>
      </c>
      <c r="G1054" s="35" t="s">
        <v>443</v>
      </c>
      <c r="H1054" s="35">
        <v>72</v>
      </c>
    </row>
    <row r="1055" spans="1:8" ht="15.75" x14ac:dyDescent="0.25">
      <c r="A1055" t="str">
        <f t="shared" si="16"/>
        <v>U158347WL574EVG-D</v>
      </c>
      <c r="B1055" s="35" t="s">
        <v>950</v>
      </c>
      <c r="C1055" s="35" t="s">
        <v>1304</v>
      </c>
      <c r="D1055" s="35" t="s">
        <v>457</v>
      </c>
      <c r="E1055" s="35" t="s">
        <v>2340</v>
      </c>
      <c r="F1055" s="35" t="s">
        <v>436</v>
      </c>
      <c r="G1055" s="35" t="s">
        <v>443</v>
      </c>
      <c r="H1055" s="35">
        <v>234</v>
      </c>
    </row>
    <row r="1056" spans="1:8" ht="15.75" x14ac:dyDescent="0.25">
      <c r="A1056" t="str">
        <f t="shared" si="16"/>
        <v>U157553ML574EVB-2E</v>
      </c>
      <c r="B1056" s="35" t="s">
        <v>951</v>
      </c>
      <c r="C1056" s="35" t="s">
        <v>1305</v>
      </c>
      <c r="D1056" s="35" t="s">
        <v>444</v>
      </c>
      <c r="E1056" s="35" t="s">
        <v>2342</v>
      </c>
      <c r="F1056" s="35" t="s">
        <v>436</v>
      </c>
      <c r="G1056" s="35" t="s">
        <v>443</v>
      </c>
      <c r="H1056" s="35">
        <v>84</v>
      </c>
    </row>
    <row r="1057" spans="1:8" ht="15.75" x14ac:dyDescent="0.25">
      <c r="A1057" t="str">
        <f t="shared" si="16"/>
        <v>U157553ML574EVB-4E</v>
      </c>
      <c r="B1057" s="35" t="s">
        <v>951</v>
      </c>
      <c r="C1057" s="35" t="s">
        <v>1305</v>
      </c>
      <c r="D1057" s="35" t="s">
        <v>444</v>
      </c>
      <c r="E1057" s="35" t="s">
        <v>2343</v>
      </c>
      <c r="F1057" s="35" t="s">
        <v>436</v>
      </c>
      <c r="G1057" s="35" t="s">
        <v>443</v>
      </c>
      <c r="H1057" s="35">
        <v>54</v>
      </c>
    </row>
    <row r="1058" spans="1:8" ht="15.75" x14ac:dyDescent="0.25">
      <c r="A1058" t="str">
        <f t="shared" si="16"/>
        <v>U157616ML574EVB-2E</v>
      </c>
      <c r="B1058" s="35" t="s">
        <v>951</v>
      </c>
      <c r="C1058" s="35" t="s">
        <v>1306</v>
      </c>
      <c r="D1058" s="35" t="s">
        <v>466</v>
      </c>
      <c r="E1058" s="35" t="s">
        <v>2342</v>
      </c>
      <c r="F1058" s="35" t="s">
        <v>436</v>
      </c>
      <c r="G1058" s="35" t="s">
        <v>443</v>
      </c>
      <c r="H1058" s="35">
        <v>144</v>
      </c>
    </row>
    <row r="1059" spans="1:8" ht="15.75" x14ac:dyDescent="0.25">
      <c r="A1059" t="str">
        <f t="shared" si="16"/>
        <v>U157616ML574EVB-4E</v>
      </c>
      <c r="B1059" s="35" t="s">
        <v>951</v>
      </c>
      <c r="C1059" s="35" t="s">
        <v>1306</v>
      </c>
      <c r="D1059" s="35" t="s">
        <v>466</v>
      </c>
      <c r="E1059" s="35" t="s">
        <v>2343</v>
      </c>
      <c r="F1059" s="35" t="s">
        <v>436</v>
      </c>
      <c r="G1059" s="35" t="s">
        <v>443</v>
      </c>
      <c r="H1059" s="35">
        <v>54</v>
      </c>
    </row>
    <row r="1060" spans="1:8" ht="15.75" x14ac:dyDescent="0.25">
      <c r="A1060" t="str">
        <f t="shared" si="16"/>
        <v>U157617ML574EVB-2E</v>
      </c>
      <c r="B1060" s="35" t="s">
        <v>951</v>
      </c>
      <c r="C1060" s="35" t="s">
        <v>1307</v>
      </c>
      <c r="D1060" s="35" t="s">
        <v>457</v>
      </c>
      <c r="E1060" s="35" t="s">
        <v>2342</v>
      </c>
      <c r="F1060" s="35" t="s">
        <v>436</v>
      </c>
      <c r="G1060" s="35" t="s">
        <v>443</v>
      </c>
      <c r="H1060" s="35">
        <v>12</v>
      </c>
    </row>
    <row r="1061" spans="1:8" ht="15.75" x14ac:dyDescent="0.25">
      <c r="A1061" t="str">
        <f t="shared" si="16"/>
        <v>C136540ML574EVB-2E</v>
      </c>
      <c r="B1061" s="35" t="s">
        <v>951</v>
      </c>
      <c r="C1061" s="35" t="s">
        <v>1308</v>
      </c>
      <c r="D1061" s="35" t="s">
        <v>401</v>
      </c>
      <c r="E1061" s="35" t="s">
        <v>2342</v>
      </c>
      <c r="F1061" s="35" t="s">
        <v>397</v>
      </c>
      <c r="G1061" s="35" t="s">
        <v>400</v>
      </c>
      <c r="H1061" s="35">
        <v>102</v>
      </c>
    </row>
    <row r="1062" spans="1:8" ht="15.75" x14ac:dyDescent="0.25">
      <c r="A1062" t="str">
        <f t="shared" si="16"/>
        <v>C136540ML574EVB-4E</v>
      </c>
      <c r="B1062" s="35" t="s">
        <v>951</v>
      </c>
      <c r="C1062" s="35" t="s">
        <v>1308</v>
      </c>
      <c r="D1062" s="35" t="s">
        <v>401</v>
      </c>
      <c r="E1062" s="35" t="s">
        <v>2343</v>
      </c>
      <c r="F1062" s="35" t="s">
        <v>397</v>
      </c>
      <c r="G1062" s="35" t="s">
        <v>400</v>
      </c>
      <c r="H1062" s="35">
        <v>30</v>
      </c>
    </row>
    <row r="1063" spans="1:8" ht="15.75" x14ac:dyDescent="0.25">
      <c r="A1063" t="str">
        <f t="shared" si="16"/>
        <v>U157382W5744TB-B</v>
      </c>
      <c r="B1063" s="35" t="s">
        <v>1054</v>
      </c>
      <c r="C1063" s="35" t="s">
        <v>1739</v>
      </c>
      <c r="D1063" s="35" t="s">
        <v>444</v>
      </c>
      <c r="E1063" s="35" t="s">
        <v>2339</v>
      </c>
      <c r="F1063" s="35" t="s">
        <v>436</v>
      </c>
      <c r="G1063" s="35" t="s">
        <v>443</v>
      </c>
      <c r="H1063" s="35">
        <v>402</v>
      </c>
    </row>
    <row r="1064" spans="1:8" ht="15.75" x14ac:dyDescent="0.25">
      <c r="A1064" t="str">
        <f t="shared" si="16"/>
        <v>H189918W5746FS-B</v>
      </c>
      <c r="B1064" s="35" t="s">
        <v>1058</v>
      </c>
      <c r="C1064" s="35" t="s">
        <v>1740</v>
      </c>
      <c r="D1064" s="35" t="s">
        <v>404</v>
      </c>
      <c r="E1064" s="35" t="s">
        <v>2339</v>
      </c>
      <c r="F1064" s="35" t="s">
        <v>2307</v>
      </c>
      <c r="G1064" s="35" t="s">
        <v>2308</v>
      </c>
      <c r="H1064" s="35">
        <v>504</v>
      </c>
    </row>
    <row r="1065" spans="1:8" ht="15.75" x14ac:dyDescent="0.25">
      <c r="A1065" t="str">
        <f t="shared" si="16"/>
        <v>U157406W5746FS-B</v>
      </c>
      <c r="B1065" s="35" t="s">
        <v>1058</v>
      </c>
      <c r="C1065" s="35" t="s">
        <v>1741</v>
      </c>
      <c r="D1065" s="35" t="s">
        <v>444</v>
      </c>
      <c r="E1065" s="35" t="s">
        <v>2339</v>
      </c>
      <c r="F1065" s="35" t="s">
        <v>436</v>
      </c>
      <c r="G1065" s="35" t="s">
        <v>443</v>
      </c>
      <c r="H1065" s="35">
        <v>1308</v>
      </c>
    </row>
    <row r="1066" spans="1:8" ht="15.75" x14ac:dyDescent="0.25">
      <c r="A1066" t="str">
        <f t="shared" si="16"/>
        <v>C136488W5744TB-B</v>
      </c>
      <c r="B1066" s="35" t="s">
        <v>1054</v>
      </c>
      <c r="C1066" s="35" t="s">
        <v>1742</v>
      </c>
      <c r="D1066" s="35" t="s">
        <v>401</v>
      </c>
      <c r="E1066" s="35" t="s">
        <v>2339</v>
      </c>
      <c r="F1066" s="35" t="s">
        <v>397</v>
      </c>
      <c r="G1066" s="35" t="s">
        <v>400</v>
      </c>
      <c r="H1066" s="35">
        <v>258</v>
      </c>
    </row>
    <row r="1067" spans="1:8" ht="15.75" x14ac:dyDescent="0.25">
      <c r="A1067" t="str">
        <f t="shared" si="16"/>
        <v>C136491W5744TB-B</v>
      </c>
      <c r="B1067" s="35" t="s">
        <v>1054</v>
      </c>
      <c r="C1067" s="35" t="s">
        <v>1743</v>
      </c>
      <c r="D1067" s="35" t="s">
        <v>399</v>
      </c>
      <c r="E1067" s="35" t="s">
        <v>2339</v>
      </c>
      <c r="F1067" s="35" t="s">
        <v>397</v>
      </c>
      <c r="G1067" s="35" t="s">
        <v>2318</v>
      </c>
      <c r="H1067" s="35">
        <v>1086</v>
      </c>
    </row>
    <row r="1068" spans="1:8" ht="15.75" x14ac:dyDescent="0.25">
      <c r="A1068" t="str">
        <f t="shared" si="16"/>
        <v>U157403W5744TB-B</v>
      </c>
      <c r="B1068" s="35" t="s">
        <v>1054</v>
      </c>
      <c r="C1068" s="35" t="s">
        <v>1744</v>
      </c>
      <c r="D1068" s="35" t="s">
        <v>438</v>
      </c>
      <c r="E1068" s="35" t="s">
        <v>2339</v>
      </c>
      <c r="F1068" s="35" t="s">
        <v>436</v>
      </c>
      <c r="G1068" s="35" t="s">
        <v>2319</v>
      </c>
      <c r="H1068" s="35">
        <v>510</v>
      </c>
    </row>
    <row r="1069" spans="1:8" ht="15.75" x14ac:dyDescent="0.25">
      <c r="A1069" t="str">
        <f t="shared" si="16"/>
        <v>7889382W5746FS-B</v>
      </c>
      <c r="B1069" s="35" t="s">
        <v>1058</v>
      </c>
      <c r="C1069" s="35" t="s">
        <v>1745</v>
      </c>
      <c r="D1069" s="35" t="s">
        <v>474</v>
      </c>
      <c r="E1069" s="35" t="s">
        <v>2339</v>
      </c>
      <c r="F1069" s="35" t="s">
        <v>379</v>
      </c>
      <c r="G1069" s="35" t="s">
        <v>380</v>
      </c>
      <c r="H1069" s="35">
        <v>174</v>
      </c>
    </row>
    <row r="1070" spans="1:8" ht="15.75" x14ac:dyDescent="0.25">
      <c r="A1070" t="str">
        <f t="shared" si="16"/>
        <v>C136485W5746FS-B</v>
      </c>
      <c r="B1070" s="35" t="s">
        <v>1058</v>
      </c>
      <c r="C1070" s="35" t="s">
        <v>1746</v>
      </c>
      <c r="D1070" s="35" t="s">
        <v>401</v>
      </c>
      <c r="E1070" s="35" t="s">
        <v>2339</v>
      </c>
      <c r="F1070" s="35" t="s">
        <v>397</v>
      </c>
      <c r="G1070" s="35" t="s">
        <v>400</v>
      </c>
      <c r="H1070" s="35">
        <v>240</v>
      </c>
    </row>
    <row r="1071" spans="1:8" ht="15.75" x14ac:dyDescent="0.25">
      <c r="A1071" t="str">
        <f t="shared" si="16"/>
        <v>U157383W5746FS-B</v>
      </c>
      <c r="B1071" s="35" t="s">
        <v>1058</v>
      </c>
      <c r="C1071" s="35" t="s">
        <v>1747</v>
      </c>
      <c r="D1071" s="35" t="s">
        <v>438</v>
      </c>
      <c r="E1071" s="35" t="s">
        <v>2339</v>
      </c>
      <c r="F1071" s="35" t="s">
        <v>436</v>
      </c>
      <c r="G1071" s="35" t="s">
        <v>2319</v>
      </c>
      <c r="H1071" s="35">
        <v>510</v>
      </c>
    </row>
    <row r="1072" spans="1:8" ht="15.75" x14ac:dyDescent="0.25">
      <c r="A1072" t="str">
        <f t="shared" si="16"/>
        <v>C136636U5745I2-D</v>
      </c>
      <c r="B1072" s="35" t="s">
        <v>1056</v>
      </c>
      <c r="C1072" s="35" t="s">
        <v>1748</v>
      </c>
      <c r="D1072" s="35" t="s">
        <v>401</v>
      </c>
      <c r="E1072" s="35" t="s">
        <v>2340</v>
      </c>
      <c r="F1072" s="35" t="s">
        <v>397</v>
      </c>
      <c r="G1072" s="35" t="s">
        <v>400</v>
      </c>
      <c r="H1072" s="35">
        <v>924</v>
      </c>
    </row>
    <row r="1073" spans="1:8" ht="15.75" x14ac:dyDescent="0.25">
      <c r="A1073" t="str">
        <f t="shared" si="16"/>
        <v>U158385U5745I2-D</v>
      </c>
      <c r="B1073" s="35" t="s">
        <v>1056</v>
      </c>
      <c r="C1073" s="35" t="s">
        <v>1749</v>
      </c>
      <c r="D1073" s="35" t="s">
        <v>438</v>
      </c>
      <c r="E1073" s="35" t="s">
        <v>2340</v>
      </c>
      <c r="F1073" s="35" t="s">
        <v>436</v>
      </c>
      <c r="G1073" s="35" t="s">
        <v>2320</v>
      </c>
      <c r="H1073" s="35">
        <v>504</v>
      </c>
    </row>
    <row r="1074" spans="1:8" ht="15.75" x14ac:dyDescent="0.25">
      <c r="A1074" t="str">
        <f t="shared" si="16"/>
        <v>7876559W5746ZT-B</v>
      </c>
      <c r="B1074" s="35" t="s">
        <v>1059</v>
      </c>
      <c r="C1074" s="35" t="s">
        <v>1750</v>
      </c>
      <c r="D1074" s="35" t="s">
        <v>387</v>
      </c>
      <c r="E1074" s="35" t="s">
        <v>2339</v>
      </c>
      <c r="F1074" s="35" t="s">
        <v>385</v>
      </c>
      <c r="G1074" s="35" t="s">
        <v>386</v>
      </c>
      <c r="H1074" s="35">
        <v>294</v>
      </c>
    </row>
    <row r="1075" spans="1:8" ht="15.75" x14ac:dyDescent="0.25">
      <c r="A1075" t="str">
        <f t="shared" si="16"/>
        <v>7877582W5746ZT-B</v>
      </c>
      <c r="B1075" s="35" t="s">
        <v>1059</v>
      </c>
      <c r="C1075" s="35" t="s">
        <v>1751</v>
      </c>
      <c r="D1075" s="35" t="s">
        <v>395</v>
      </c>
      <c r="E1075" s="35" t="s">
        <v>2339</v>
      </c>
      <c r="F1075" s="35" t="s">
        <v>382</v>
      </c>
      <c r="G1075" s="35" t="s">
        <v>383</v>
      </c>
      <c r="H1075" s="35">
        <v>576</v>
      </c>
    </row>
    <row r="1076" spans="1:8" ht="15.75" x14ac:dyDescent="0.25">
      <c r="A1076" t="str">
        <f t="shared" si="16"/>
        <v>7885554W5741GU-B</v>
      </c>
      <c r="B1076" s="35" t="s">
        <v>1060</v>
      </c>
      <c r="C1076" s="35" t="s">
        <v>1752</v>
      </c>
      <c r="D1076" s="35" t="s">
        <v>395</v>
      </c>
      <c r="E1076" s="35" t="s">
        <v>2339</v>
      </c>
      <c r="F1076" s="35" t="s">
        <v>382</v>
      </c>
      <c r="G1076" s="35" t="s">
        <v>383</v>
      </c>
      <c r="H1076" s="35">
        <v>168</v>
      </c>
    </row>
    <row r="1077" spans="1:8" ht="15.75" x14ac:dyDescent="0.25">
      <c r="A1077" t="str">
        <f t="shared" si="16"/>
        <v>7889224W5741GU-B</v>
      </c>
      <c r="B1077" s="35" t="s">
        <v>1060</v>
      </c>
      <c r="C1077" s="35" t="s">
        <v>1753</v>
      </c>
      <c r="D1077" s="35" t="s">
        <v>394</v>
      </c>
      <c r="E1077" s="35" t="s">
        <v>2339</v>
      </c>
      <c r="F1077" s="35" t="s">
        <v>392</v>
      </c>
      <c r="G1077" s="35" t="s">
        <v>393</v>
      </c>
      <c r="H1077" s="35">
        <v>324</v>
      </c>
    </row>
    <row r="1078" spans="1:8" ht="15.75" x14ac:dyDescent="0.25">
      <c r="A1078" t="str">
        <f t="shared" si="16"/>
        <v>7889225W5741GU-B</v>
      </c>
      <c r="B1078" s="35" t="s">
        <v>1060</v>
      </c>
      <c r="C1078" s="35" t="s">
        <v>1754</v>
      </c>
      <c r="D1078" s="35" t="s">
        <v>394</v>
      </c>
      <c r="E1078" s="35" t="s">
        <v>2339</v>
      </c>
      <c r="F1078" s="35" t="s">
        <v>392</v>
      </c>
      <c r="G1078" s="35" t="s">
        <v>393</v>
      </c>
      <c r="H1078" s="35">
        <v>438</v>
      </c>
    </row>
    <row r="1079" spans="1:8" ht="15.75" x14ac:dyDescent="0.25">
      <c r="A1079" t="str">
        <f t="shared" si="16"/>
        <v>7886008W5746ZT-B</v>
      </c>
      <c r="B1079" s="35" t="s">
        <v>1059</v>
      </c>
      <c r="C1079" s="35" t="s">
        <v>1755</v>
      </c>
      <c r="D1079" s="35" t="s">
        <v>395</v>
      </c>
      <c r="E1079" s="35" t="s">
        <v>2339</v>
      </c>
      <c r="F1079" s="35" t="s">
        <v>382</v>
      </c>
      <c r="G1079" s="35" t="s">
        <v>383</v>
      </c>
      <c r="H1079" s="35">
        <v>600</v>
      </c>
    </row>
    <row r="1080" spans="1:8" ht="15.75" x14ac:dyDescent="0.25">
      <c r="A1080" t="str">
        <f t="shared" si="16"/>
        <v>C136492W5749H1-B</v>
      </c>
      <c r="B1080" s="35" t="s">
        <v>1047</v>
      </c>
      <c r="C1080" s="35" t="s">
        <v>1756</v>
      </c>
      <c r="D1080" s="35" t="s">
        <v>401</v>
      </c>
      <c r="E1080" s="35" t="s">
        <v>2339</v>
      </c>
      <c r="F1080" s="35" t="s">
        <v>397</v>
      </c>
      <c r="G1080" s="35" t="s">
        <v>400</v>
      </c>
      <c r="H1080" s="35">
        <v>330</v>
      </c>
    </row>
    <row r="1081" spans="1:8" ht="15.75" x14ac:dyDescent="0.25">
      <c r="A1081" t="str">
        <f t="shared" si="16"/>
        <v>U157377W5749H1-D</v>
      </c>
      <c r="B1081" s="35" t="s">
        <v>1047</v>
      </c>
      <c r="C1081" s="35" t="s">
        <v>1757</v>
      </c>
      <c r="D1081" s="35" t="s">
        <v>438</v>
      </c>
      <c r="E1081" s="35" t="s">
        <v>2340</v>
      </c>
      <c r="F1081" s="35" t="s">
        <v>436</v>
      </c>
      <c r="G1081" s="35" t="s">
        <v>2321</v>
      </c>
      <c r="H1081" s="35">
        <v>504</v>
      </c>
    </row>
    <row r="1082" spans="1:8" ht="15.75" x14ac:dyDescent="0.25">
      <c r="A1082" t="str">
        <f t="shared" si="16"/>
        <v>7886180M5742IX-D</v>
      </c>
      <c r="B1082" s="35" t="s">
        <v>964</v>
      </c>
      <c r="C1082" s="35" t="s">
        <v>1758</v>
      </c>
      <c r="D1082" s="35" t="s">
        <v>395</v>
      </c>
      <c r="E1082" s="35" t="s">
        <v>2340</v>
      </c>
      <c r="F1082" s="35" t="s">
        <v>382</v>
      </c>
      <c r="G1082" s="35" t="s">
        <v>383</v>
      </c>
      <c r="H1082" s="35">
        <v>1002</v>
      </c>
    </row>
    <row r="1083" spans="1:8" ht="15.75" x14ac:dyDescent="0.25">
      <c r="A1083" t="str">
        <f t="shared" si="16"/>
        <v>H189805M5742IX-D</v>
      </c>
      <c r="B1083" s="35" t="s">
        <v>964</v>
      </c>
      <c r="C1083" s="35" t="s">
        <v>1759</v>
      </c>
      <c r="D1083" s="35" t="s">
        <v>404</v>
      </c>
      <c r="E1083" s="35" t="s">
        <v>2340</v>
      </c>
      <c r="F1083" s="35" t="s">
        <v>424</v>
      </c>
      <c r="G1083" s="35" t="s">
        <v>425</v>
      </c>
      <c r="H1083" s="35">
        <v>2844</v>
      </c>
    </row>
    <row r="1084" spans="1:8" ht="15.75" x14ac:dyDescent="0.25">
      <c r="A1084" t="str">
        <f t="shared" si="16"/>
        <v>H189810M5742IX-D</v>
      </c>
      <c r="B1084" s="35" t="s">
        <v>964</v>
      </c>
      <c r="C1084" s="35" t="s">
        <v>1760</v>
      </c>
      <c r="D1084" s="35" t="s">
        <v>404</v>
      </c>
      <c r="E1084" s="35" t="s">
        <v>2340</v>
      </c>
      <c r="F1084" s="35" t="s">
        <v>424</v>
      </c>
      <c r="G1084" s="35" t="s">
        <v>425</v>
      </c>
      <c r="H1084" s="35">
        <v>4122</v>
      </c>
    </row>
    <row r="1085" spans="1:8" ht="15.75" x14ac:dyDescent="0.25">
      <c r="A1085" t="str">
        <f t="shared" si="16"/>
        <v>7881172U5745I2-D</v>
      </c>
      <c r="B1085" s="35" t="s">
        <v>1056</v>
      </c>
      <c r="C1085" s="35" t="s">
        <v>1761</v>
      </c>
      <c r="D1085" s="35" t="s">
        <v>394</v>
      </c>
      <c r="E1085" s="35" t="s">
        <v>2340</v>
      </c>
      <c r="F1085" s="35" t="s">
        <v>481</v>
      </c>
      <c r="G1085" s="35" t="s">
        <v>482</v>
      </c>
      <c r="H1085" s="35">
        <v>144</v>
      </c>
    </row>
    <row r="1086" spans="1:8" ht="15.75" x14ac:dyDescent="0.25">
      <c r="A1086" t="str">
        <f t="shared" si="16"/>
        <v>H189901U5745I2-D</v>
      </c>
      <c r="B1086" s="35" t="s">
        <v>1056</v>
      </c>
      <c r="C1086" s="35" t="s">
        <v>1762</v>
      </c>
      <c r="D1086" s="35" t="s">
        <v>404</v>
      </c>
      <c r="E1086" s="35" t="s">
        <v>2340</v>
      </c>
      <c r="F1086" s="35" t="s">
        <v>2284</v>
      </c>
      <c r="G1086" s="35" t="s">
        <v>2285</v>
      </c>
      <c r="H1086" s="35">
        <v>264</v>
      </c>
    </row>
    <row r="1087" spans="1:8" ht="15.75" x14ac:dyDescent="0.25">
      <c r="A1087" t="str">
        <f t="shared" si="16"/>
        <v>H181912W5744CP-B</v>
      </c>
      <c r="B1087" s="35" t="s">
        <v>1048</v>
      </c>
      <c r="C1087" s="35" t="s">
        <v>1763</v>
      </c>
      <c r="D1087" s="35" t="s">
        <v>404</v>
      </c>
      <c r="E1087" s="35" t="s">
        <v>2339</v>
      </c>
      <c r="F1087" s="35" t="s">
        <v>501</v>
      </c>
      <c r="G1087" s="35" t="s">
        <v>502</v>
      </c>
      <c r="H1087" s="35">
        <v>870</v>
      </c>
    </row>
    <row r="1088" spans="1:8" ht="15.75" x14ac:dyDescent="0.25">
      <c r="A1088" t="str">
        <f t="shared" si="16"/>
        <v>H181916W5744CP-B</v>
      </c>
      <c r="B1088" s="35" t="s">
        <v>1048</v>
      </c>
      <c r="C1088" s="35" t="s">
        <v>1764</v>
      </c>
      <c r="D1088" s="35" t="s">
        <v>404</v>
      </c>
      <c r="E1088" s="35" t="s">
        <v>2339</v>
      </c>
      <c r="F1088" s="35" t="s">
        <v>402</v>
      </c>
      <c r="G1088" s="35" t="s">
        <v>403</v>
      </c>
      <c r="H1088" s="35">
        <v>180</v>
      </c>
    </row>
    <row r="1089" spans="1:8" ht="15.75" x14ac:dyDescent="0.25">
      <c r="A1089" t="str">
        <f t="shared" si="16"/>
        <v>7885947W5744CP-B</v>
      </c>
      <c r="B1089" s="35" t="s">
        <v>1048</v>
      </c>
      <c r="C1089" s="35" t="s">
        <v>1765</v>
      </c>
      <c r="D1089" s="35" t="s">
        <v>474</v>
      </c>
      <c r="E1089" s="35" t="s">
        <v>2339</v>
      </c>
      <c r="F1089" s="35" t="s">
        <v>379</v>
      </c>
      <c r="G1089" s="35" t="s">
        <v>380</v>
      </c>
      <c r="H1089" s="35">
        <v>174</v>
      </c>
    </row>
    <row r="1090" spans="1:8" ht="15.75" x14ac:dyDescent="0.25">
      <c r="A1090" t="str">
        <f t="shared" si="16"/>
        <v>7885978W5744CP-B</v>
      </c>
      <c r="B1090" s="35" t="s">
        <v>1048</v>
      </c>
      <c r="C1090" s="35" t="s">
        <v>1766</v>
      </c>
      <c r="D1090" s="35" t="s">
        <v>395</v>
      </c>
      <c r="E1090" s="35" t="s">
        <v>2339</v>
      </c>
      <c r="F1090" s="35" t="s">
        <v>382</v>
      </c>
      <c r="G1090" s="35" t="s">
        <v>383</v>
      </c>
      <c r="H1090" s="35">
        <v>2658</v>
      </c>
    </row>
    <row r="1091" spans="1:8" ht="15.75" x14ac:dyDescent="0.25">
      <c r="A1091" t="str">
        <f t="shared" si="16"/>
        <v>7889097W5744CP-B</v>
      </c>
      <c r="B1091" s="35" t="s">
        <v>1048</v>
      </c>
      <c r="C1091" s="35" t="s">
        <v>1767</v>
      </c>
      <c r="D1091" s="35" t="s">
        <v>484</v>
      </c>
      <c r="E1091" s="35" t="s">
        <v>2339</v>
      </c>
      <c r="F1091" s="35" t="s">
        <v>379</v>
      </c>
      <c r="G1091" s="35" t="s">
        <v>483</v>
      </c>
      <c r="H1091" s="35">
        <v>360</v>
      </c>
    </row>
    <row r="1092" spans="1:8" ht="15.75" x14ac:dyDescent="0.25">
      <c r="A1092" t="str">
        <f t="shared" si="16"/>
        <v>7889226W5744CP-B</v>
      </c>
      <c r="B1092" s="35" t="s">
        <v>1048</v>
      </c>
      <c r="C1092" s="35" t="s">
        <v>1768</v>
      </c>
      <c r="D1092" s="35" t="s">
        <v>394</v>
      </c>
      <c r="E1092" s="35" t="s">
        <v>2339</v>
      </c>
      <c r="F1092" s="35" t="s">
        <v>392</v>
      </c>
      <c r="G1092" s="35" t="s">
        <v>393</v>
      </c>
      <c r="H1092" s="35">
        <v>1290</v>
      </c>
    </row>
    <row r="1093" spans="1:8" ht="15.75" x14ac:dyDescent="0.25">
      <c r="A1093" t="str">
        <f t="shared" si="16"/>
        <v>C136470W5744CP-B</v>
      </c>
      <c r="B1093" s="35" t="s">
        <v>1048</v>
      </c>
      <c r="C1093" s="35" t="s">
        <v>1769</v>
      </c>
      <c r="D1093" s="35" t="s">
        <v>399</v>
      </c>
      <c r="E1093" s="35" t="s">
        <v>2339</v>
      </c>
      <c r="F1093" s="35" t="s">
        <v>397</v>
      </c>
      <c r="G1093" s="35" t="s">
        <v>2291</v>
      </c>
      <c r="H1093" s="35">
        <v>840</v>
      </c>
    </row>
    <row r="1094" spans="1:8" ht="15.75" x14ac:dyDescent="0.25">
      <c r="A1094" t="str">
        <f t="shared" si="16"/>
        <v>U157271W5744CP-B</v>
      </c>
      <c r="B1094" s="35" t="s">
        <v>1048</v>
      </c>
      <c r="C1094" s="35" t="s">
        <v>1770</v>
      </c>
      <c r="D1094" s="35" t="s">
        <v>444</v>
      </c>
      <c r="E1094" s="35" t="s">
        <v>2339</v>
      </c>
      <c r="F1094" s="35" t="s">
        <v>436</v>
      </c>
      <c r="G1094" s="35" t="s">
        <v>443</v>
      </c>
      <c r="H1094" s="35">
        <v>732</v>
      </c>
    </row>
    <row r="1095" spans="1:8" ht="15.75" x14ac:dyDescent="0.25">
      <c r="A1095" t="str">
        <f t="shared" ref="A1095:A1158" si="17">+C1095&amp;B1095&amp;"-"&amp;E1095</f>
        <v>U141252ML515NVY-4E</v>
      </c>
      <c r="B1095" s="35" t="s">
        <v>897</v>
      </c>
      <c r="C1095" s="35" t="s">
        <v>262</v>
      </c>
      <c r="D1095" s="35" t="s">
        <v>457</v>
      </c>
      <c r="E1095" s="35" t="s">
        <v>2343</v>
      </c>
      <c r="F1095" s="35" t="s">
        <v>436</v>
      </c>
      <c r="G1095" s="35" t="s">
        <v>443</v>
      </c>
      <c r="H1095" s="35">
        <v>42</v>
      </c>
    </row>
    <row r="1096" spans="1:8" ht="15.75" x14ac:dyDescent="0.25">
      <c r="A1096" t="str">
        <f t="shared" si="17"/>
        <v>U141252ML515NVY-D</v>
      </c>
      <c r="B1096" s="35" t="s">
        <v>897</v>
      </c>
      <c r="C1096" s="35" t="s">
        <v>262</v>
      </c>
      <c r="D1096" s="35" t="s">
        <v>457</v>
      </c>
      <c r="E1096" s="35" t="s">
        <v>2340</v>
      </c>
      <c r="F1096" s="35" t="s">
        <v>436</v>
      </c>
      <c r="G1096" s="35" t="s">
        <v>443</v>
      </c>
      <c r="H1096" s="35">
        <v>1272</v>
      </c>
    </row>
    <row r="1097" spans="1:8" ht="15.75" x14ac:dyDescent="0.25">
      <c r="A1097" t="str">
        <f t="shared" si="17"/>
        <v>7874693M5742IX-D</v>
      </c>
      <c r="B1097" s="35" t="s">
        <v>964</v>
      </c>
      <c r="C1097" s="35" t="s">
        <v>537</v>
      </c>
      <c r="D1097" s="35" t="s">
        <v>394</v>
      </c>
      <c r="E1097" s="35" t="s">
        <v>2340</v>
      </c>
      <c r="F1097" s="35" t="s">
        <v>382</v>
      </c>
      <c r="G1097" s="35" t="s">
        <v>2297</v>
      </c>
      <c r="H1097" s="35">
        <v>816</v>
      </c>
    </row>
    <row r="1098" spans="1:8" ht="15.75" x14ac:dyDescent="0.25">
      <c r="A1098" t="str">
        <f t="shared" si="17"/>
        <v>U149813ML515BLK-4E</v>
      </c>
      <c r="B1098" s="35" t="s">
        <v>898</v>
      </c>
      <c r="C1098" s="35" t="s">
        <v>1771</v>
      </c>
      <c r="D1098" s="35" t="s">
        <v>457</v>
      </c>
      <c r="E1098" s="35" t="s">
        <v>2343</v>
      </c>
      <c r="F1098" s="35" t="s">
        <v>436</v>
      </c>
      <c r="G1098" s="35" t="s">
        <v>443</v>
      </c>
      <c r="H1098" s="35">
        <v>96</v>
      </c>
    </row>
    <row r="1099" spans="1:8" ht="15.75" x14ac:dyDescent="0.25">
      <c r="A1099" t="str">
        <f t="shared" si="17"/>
        <v>U149813ML515BLK-D</v>
      </c>
      <c r="B1099" s="35" t="s">
        <v>898</v>
      </c>
      <c r="C1099" s="35" t="s">
        <v>1771</v>
      </c>
      <c r="D1099" s="35" t="s">
        <v>457</v>
      </c>
      <c r="E1099" s="35" t="s">
        <v>2340</v>
      </c>
      <c r="F1099" s="35" t="s">
        <v>436</v>
      </c>
      <c r="G1099" s="35" t="s">
        <v>443</v>
      </c>
      <c r="H1099" s="35">
        <v>654</v>
      </c>
    </row>
    <row r="1100" spans="1:8" ht="15.75" x14ac:dyDescent="0.25">
      <c r="A1100" t="str">
        <f t="shared" si="17"/>
        <v>U149880ML515NVY-4E</v>
      </c>
      <c r="B1100" s="35" t="s">
        <v>897</v>
      </c>
      <c r="C1100" s="35" t="s">
        <v>1772</v>
      </c>
      <c r="D1100" s="35" t="s">
        <v>457</v>
      </c>
      <c r="E1100" s="35" t="s">
        <v>2343</v>
      </c>
      <c r="F1100" s="35" t="s">
        <v>436</v>
      </c>
      <c r="G1100" s="35" t="s">
        <v>443</v>
      </c>
      <c r="H1100" s="35">
        <v>54</v>
      </c>
    </row>
    <row r="1101" spans="1:8" ht="15.75" x14ac:dyDescent="0.25">
      <c r="A1101" t="str">
        <f t="shared" si="17"/>
        <v>U149880ML515NVY-D</v>
      </c>
      <c r="B1101" s="35" t="s">
        <v>897</v>
      </c>
      <c r="C1101" s="35" t="s">
        <v>1772</v>
      </c>
      <c r="D1101" s="35" t="s">
        <v>457</v>
      </c>
      <c r="E1101" s="35" t="s">
        <v>2340</v>
      </c>
      <c r="F1101" s="35" t="s">
        <v>436</v>
      </c>
      <c r="G1101" s="35" t="s">
        <v>443</v>
      </c>
      <c r="H1101" s="35">
        <v>450</v>
      </c>
    </row>
    <row r="1102" spans="1:8" ht="15.75" x14ac:dyDescent="0.25">
      <c r="A1102" t="str">
        <f t="shared" si="17"/>
        <v>H180781W5155N8-B</v>
      </c>
      <c r="B1102" s="35" t="s">
        <v>1061</v>
      </c>
      <c r="C1102" s="35" t="s">
        <v>645</v>
      </c>
      <c r="D1102" s="35" t="s">
        <v>404</v>
      </c>
      <c r="E1102" s="35" t="s">
        <v>2339</v>
      </c>
      <c r="F1102" s="35" t="s">
        <v>2307</v>
      </c>
      <c r="G1102" s="35" t="s">
        <v>2308</v>
      </c>
      <c r="H1102" s="35">
        <v>804</v>
      </c>
    </row>
    <row r="1103" spans="1:8" ht="15.75" x14ac:dyDescent="0.25">
      <c r="A1103" t="str">
        <f t="shared" si="17"/>
        <v>U149865W515S7OK-B</v>
      </c>
      <c r="B1103" s="35" t="s">
        <v>1062</v>
      </c>
      <c r="C1103" s="35" t="s">
        <v>1773</v>
      </c>
      <c r="D1103" s="35" t="s">
        <v>457</v>
      </c>
      <c r="E1103" s="35" t="s">
        <v>2339</v>
      </c>
      <c r="F1103" s="35" t="s">
        <v>436</v>
      </c>
      <c r="G1103" s="35" t="s">
        <v>443</v>
      </c>
      <c r="H1103" s="35">
        <v>504</v>
      </c>
    </row>
    <row r="1104" spans="1:8" ht="15.75" x14ac:dyDescent="0.25">
      <c r="A1104" t="str">
        <f t="shared" si="17"/>
        <v>U149865W515S7OK-D</v>
      </c>
      <c r="B1104" s="35" t="s">
        <v>1062</v>
      </c>
      <c r="C1104" s="35" t="s">
        <v>1773</v>
      </c>
      <c r="D1104" s="35" t="s">
        <v>457</v>
      </c>
      <c r="E1104" s="35" t="s">
        <v>2340</v>
      </c>
      <c r="F1104" s="35" t="s">
        <v>436</v>
      </c>
      <c r="G1104" s="35" t="s">
        <v>443</v>
      </c>
      <c r="H1104" s="35">
        <v>36</v>
      </c>
    </row>
    <row r="1105" spans="1:8" ht="15.75" x14ac:dyDescent="0.25">
      <c r="A1105" t="str">
        <f t="shared" si="17"/>
        <v>U149871W515S7OK-B</v>
      </c>
      <c r="B1105" s="35" t="s">
        <v>1062</v>
      </c>
      <c r="C1105" s="35" t="s">
        <v>605</v>
      </c>
      <c r="D1105" s="35" t="s">
        <v>444</v>
      </c>
      <c r="E1105" s="35" t="s">
        <v>2339</v>
      </c>
      <c r="F1105" s="35" t="s">
        <v>436</v>
      </c>
      <c r="G1105" s="35" t="s">
        <v>443</v>
      </c>
      <c r="H1105" s="35">
        <v>366</v>
      </c>
    </row>
    <row r="1106" spans="1:8" ht="15.75" x14ac:dyDescent="0.25">
      <c r="A1106" t="str">
        <f t="shared" si="17"/>
        <v>U149835WL515GRY-B</v>
      </c>
      <c r="B1106" s="35" t="s">
        <v>900</v>
      </c>
      <c r="C1106" s="35" t="s">
        <v>1774</v>
      </c>
      <c r="D1106" s="35" t="s">
        <v>444</v>
      </c>
      <c r="E1106" s="35" t="s">
        <v>2339</v>
      </c>
      <c r="F1106" s="35" t="s">
        <v>436</v>
      </c>
      <c r="G1106" s="35" t="s">
        <v>443</v>
      </c>
      <c r="H1106" s="35">
        <v>1122</v>
      </c>
    </row>
    <row r="1107" spans="1:8" ht="15.75" x14ac:dyDescent="0.25">
      <c r="A1107" t="str">
        <f t="shared" si="17"/>
        <v>U149835WL515GRY-D</v>
      </c>
      <c r="B1107" s="35" t="s">
        <v>900</v>
      </c>
      <c r="C1107" s="35" t="s">
        <v>1774</v>
      </c>
      <c r="D1107" s="35" t="s">
        <v>444</v>
      </c>
      <c r="E1107" s="35" t="s">
        <v>2340</v>
      </c>
      <c r="F1107" s="35" t="s">
        <v>436</v>
      </c>
      <c r="G1107" s="35" t="s">
        <v>443</v>
      </c>
      <c r="H1107" s="35">
        <v>102</v>
      </c>
    </row>
    <row r="1108" spans="1:8" ht="15.75" x14ac:dyDescent="0.25">
      <c r="A1108" t="str">
        <f t="shared" si="17"/>
        <v>U148860WL515WHT-B</v>
      </c>
      <c r="B1108" s="35" t="s">
        <v>901</v>
      </c>
      <c r="C1108" s="35" t="s">
        <v>610</v>
      </c>
      <c r="D1108" s="35" t="s">
        <v>438</v>
      </c>
      <c r="E1108" s="35" t="s">
        <v>2339</v>
      </c>
      <c r="F1108" s="35" t="s">
        <v>436</v>
      </c>
      <c r="G1108" s="35" t="s">
        <v>439</v>
      </c>
      <c r="H1108" s="35">
        <v>492</v>
      </c>
    </row>
    <row r="1109" spans="1:8" ht="15.75" x14ac:dyDescent="0.25">
      <c r="A1109" t="str">
        <f t="shared" si="17"/>
        <v>U148861WL515WHT-B</v>
      </c>
      <c r="B1109" s="35" t="s">
        <v>901</v>
      </c>
      <c r="C1109" s="35" t="s">
        <v>603</v>
      </c>
      <c r="D1109" s="35" t="s">
        <v>438</v>
      </c>
      <c r="E1109" s="35" t="s">
        <v>2339</v>
      </c>
      <c r="F1109" s="35" t="s">
        <v>436</v>
      </c>
      <c r="G1109" s="35" t="s">
        <v>440</v>
      </c>
      <c r="H1109" s="35">
        <v>612</v>
      </c>
    </row>
    <row r="1110" spans="1:8" ht="15.75" x14ac:dyDescent="0.25">
      <c r="A1110" t="str">
        <f t="shared" si="17"/>
        <v>U149893W5156FP-B</v>
      </c>
      <c r="B1110" s="35" t="s">
        <v>1063</v>
      </c>
      <c r="C1110" s="35" t="s">
        <v>1775</v>
      </c>
      <c r="D1110" s="35" t="s">
        <v>444</v>
      </c>
      <c r="E1110" s="35" t="s">
        <v>2339</v>
      </c>
      <c r="F1110" s="35" t="s">
        <v>436</v>
      </c>
      <c r="G1110" s="35" t="s">
        <v>443</v>
      </c>
      <c r="H1110" s="35">
        <v>312</v>
      </c>
    </row>
    <row r="1111" spans="1:8" ht="15.75" x14ac:dyDescent="0.25">
      <c r="A1111" t="str">
        <f t="shared" si="17"/>
        <v>U149893W5156FP-D</v>
      </c>
      <c r="B1111" s="35" t="s">
        <v>1063</v>
      </c>
      <c r="C1111" s="35" t="s">
        <v>1775</v>
      </c>
      <c r="D1111" s="35" t="s">
        <v>444</v>
      </c>
      <c r="E1111" s="35" t="s">
        <v>2340</v>
      </c>
      <c r="F1111" s="35" t="s">
        <v>436</v>
      </c>
      <c r="G1111" s="35" t="s">
        <v>443</v>
      </c>
      <c r="H1111" s="35">
        <v>192</v>
      </c>
    </row>
    <row r="1112" spans="1:8" ht="15.75" x14ac:dyDescent="0.25">
      <c r="A1112" t="str">
        <f t="shared" si="17"/>
        <v>C135233M515S54Y-2E</v>
      </c>
      <c r="B1112" s="35" t="s">
        <v>1064</v>
      </c>
      <c r="C1112" s="35" t="s">
        <v>686</v>
      </c>
      <c r="D1112" s="35" t="s">
        <v>401</v>
      </c>
      <c r="E1112" s="35" t="s">
        <v>2342</v>
      </c>
      <c r="F1112" s="35" t="s">
        <v>397</v>
      </c>
      <c r="G1112" s="35" t="s">
        <v>400</v>
      </c>
      <c r="H1112" s="35">
        <v>126</v>
      </c>
    </row>
    <row r="1113" spans="1:8" ht="15.75" x14ac:dyDescent="0.25">
      <c r="A1113" t="str">
        <f t="shared" si="17"/>
        <v>C135233M515S54Y-4E</v>
      </c>
      <c r="B1113" s="35" t="s">
        <v>1064</v>
      </c>
      <c r="C1113" s="35" t="s">
        <v>686</v>
      </c>
      <c r="D1113" s="35" t="s">
        <v>401</v>
      </c>
      <c r="E1113" s="35" t="s">
        <v>2343</v>
      </c>
      <c r="F1113" s="35" t="s">
        <v>397</v>
      </c>
      <c r="G1113" s="35" t="s">
        <v>400</v>
      </c>
      <c r="H1113" s="35">
        <v>36</v>
      </c>
    </row>
    <row r="1114" spans="1:8" ht="15.75" x14ac:dyDescent="0.25">
      <c r="A1114" t="str">
        <f t="shared" si="17"/>
        <v>C135233M515S54Y-D</v>
      </c>
      <c r="B1114" s="35" t="s">
        <v>1064</v>
      </c>
      <c r="C1114" s="35" t="s">
        <v>686</v>
      </c>
      <c r="D1114" s="35" t="s">
        <v>401</v>
      </c>
      <c r="E1114" s="35" t="s">
        <v>2340</v>
      </c>
      <c r="F1114" s="35" t="s">
        <v>397</v>
      </c>
      <c r="G1114" s="35" t="s">
        <v>400</v>
      </c>
      <c r="H1114" s="35">
        <v>30</v>
      </c>
    </row>
    <row r="1115" spans="1:8" ht="15.75" x14ac:dyDescent="0.25">
      <c r="A1115" t="str">
        <f t="shared" si="17"/>
        <v>C135225ML515GRY-4E</v>
      </c>
      <c r="B1115" s="35" t="s">
        <v>899</v>
      </c>
      <c r="C1115" s="35" t="s">
        <v>1776</v>
      </c>
      <c r="D1115" s="35" t="s">
        <v>401</v>
      </c>
      <c r="E1115" s="35" t="s">
        <v>2343</v>
      </c>
      <c r="F1115" s="35" t="s">
        <v>397</v>
      </c>
      <c r="G1115" s="35" t="s">
        <v>400</v>
      </c>
      <c r="H1115" s="35">
        <v>84</v>
      </c>
    </row>
    <row r="1116" spans="1:8" ht="15.75" x14ac:dyDescent="0.25">
      <c r="A1116" t="str">
        <f t="shared" si="17"/>
        <v>C135225ML515GRY-D</v>
      </c>
      <c r="B1116" s="35" t="s">
        <v>899</v>
      </c>
      <c r="C1116" s="35" t="s">
        <v>1776</v>
      </c>
      <c r="D1116" s="35" t="s">
        <v>401</v>
      </c>
      <c r="E1116" s="35" t="s">
        <v>2340</v>
      </c>
      <c r="F1116" s="35" t="s">
        <v>397</v>
      </c>
      <c r="G1116" s="35" t="s">
        <v>400</v>
      </c>
      <c r="H1116" s="35">
        <v>84</v>
      </c>
    </row>
    <row r="1117" spans="1:8" ht="15.75" x14ac:dyDescent="0.25">
      <c r="A1117" t="str">
        <f t="shared" si="17"/>
        <v>C135227WL515GRY-B</v>
      </c>
      <c r="B1117" s="35" t="s">
        <v>900</v>
      </c>
      <c r="C1117" s="35" t="s">
        <v>1777</v>
      </c>
      <c r="D1117" s="35" t="s">
        <v>401</v>
      </c>
      <c r="E1117" s="35" t="s">
        <v>2339</v>
      </c>
      <c r="F1117" s="35" t="s">
        <v>397</v>
      </c>
      <c r="G1117" s="35" t="s">
        <v>400</v>
      </c>
      <c r="H1117" s="35">
        <v>330</v>
      </c>
    </row>
    <row r="1118" spans="1:8" ht="15.75" x14ac:dyDescent="0.25">
      <c r="A1118" t="str">
        <f t="shared" si="17"/>
        <v>7875821WL515SB3-B</v>
      </c>
      <c r="B1118" s="35" t="s">
        <v>1053</v>
      </c>
      <c r="C1118" s="35" t="s">
        <v>675</v>
      </c>
      <c r="D1118" s="35" t="s">
        <v>387</v>
      </c>
      <c r="E1118" s="35" t="s">
        <v>2339</v>
      </c>
      <c r="F1118" s="35" t="s">
        <v>388</v>
      </c>
      <c r="G1118" s="35" t="s">
        <v>389</v>
      </c>
      <c r="H1118" s="35">
        <v>642</v>
      </c>
    </row>
    <row r="1119" spans="1:8" ht="15.75" x14ac:dyDescent="0.25">
      <c r="A1119" t="str">
        <f t="shared" si="17"/>
        <v>7877036WL515SB3-B</v>
      </c>
      <c r="B1119" s="35" t="s">
        <v>1053</v>
      </c>
      <c r="C1119" s="35" t="s">
        <v>739</v>
      </c>
      <c r="D1119" s="35" t="s">
        <v>387</v>
      </c>
      <c r="E1119" s="35" t="s">
        <v>2339</v>
      </c>
      <c r="F1119" s="35" t="s">
        <v>385</v>
      </c>
      <c r="G1119" s="35" t="s">
        <v>386</v>
      </c>
      <c r="H1119" s="35">
        <v>384</v>
      </c>
    </row>
    <row r="1120" spans="1:8" ht="15.75" x14ac:dyDescent="0.25">
      <c r="A1120" t="str">
        <f t="shared" si="17"/>
        <v>C135882M515S54Y-2E</v>
      </c>
      <c r="B1120" s="35" t="s">
        <v>1064</v>
      </c>
      <c r="C1120" s="35" t="s">
        <v>687</v>
      </c>
      <c r="D1120" s="35" t="s">
        <v>401</v>
      </c>
      <c r="E1120" s="35" t="s">
        <v>2342</v>
      </c>
      <c r="F1120" s="35" t="s">
        <v>397</v>
      </c>
      <c r="G1120" s="35" t="s">
        <v>400</v>
      </c>
      <c r="H1120" s="35">
        <v>138</v>
      </c>
    </row>
    <row r="1121" spans="1:8" ht="15.75" x14ac:dyDescent="0.25">
      <c r="A1121" t="str">
        <f t="shared" si="17"/>
        <v>C135882M515S54Y-4E</v>
      </c>
      <c r="B1121" s="35" t="s">
        <v>1064</v>
      </c>
      <c r="C1121" s="35" t="s">
        <v>687</v>
      </c>
      <c r="D1121" s="35" t="s">
        <v>401</v>
      </c>
      <c r="E1121" s="35" t="s">
        <v>2343</v>
      </c>
      <c r="F1121" s="35" t="s">
        <v>397</v>
      </c>
      <c r="G1121" s="35" t="s">
        <v>400</v>
      </c>
      <c r="H1121" s="35">
        <v>18</v>
      </c>
    </row>
    <row r="1122" spans="1:8" ht="15.75" x14ac:dyDescent="0.25">
      <c r="A1122" t="str">
        <f t="shared" si="17"/>
        <v>C135882M515S54Y-D</v>
      </c>
      <c r="B1122" s="35" t="s">
        <v>1064</v>
      </c>
      <c r="C1122" s="35" t="s">
        <v>687</v>
      </c>
      <c r="D1122" s="35" t="s">
        <v>401</v>
      </c>
      <c r="E1122" s="35" t="s">
        <v>2340</v>
      </c>
      <c r="F1122" s="35" t="s">
        <v>397</v>
      </c>
      <c r="G1122" s="35" t="s">
        <v>400</v>
      </c>
      <c r="H1122" s="35">
        <v>318</v>
      </c>
    </row>
    <row r="1123" spans="1:8" ht="15.75" x14ac:dyDescent="0.25">
      <c r="A1123" t="str">
        <f t="shared" si="17"/>
        <v>U152784M515S54Y-2E</v>
      </c>
      <c r="B1123" s="35" t="s">
        <v>1064</v>
      </c>
      <c r="C1123" s="35" t="s">
        <v>709</v>
      </c>
      <c r="D1123" s="35" t="s">
        <v>444</v>
      </c>
      <c r="E1123" s="35" t="s">
        <v>2342</v>
      </c>
      <c r="F1123" s="35" t="s">
        <v>436</v>
      </c>
      <c r="G1123" s="35" t="s">
        <v>443</v>
      </c>
      <c r="H1123" s="35">
        <v>72</v>
      </c>
    </row>
    <row r="1124" spans="1:8" ht="15.75" x14ac:dyDescent="0.25">
      <c r="A1124" t="str">
        <f t="shared" si="17"/>
        <v>U152784M515S54Y-4E</v>
      </c>
      <c r="B1124" s="35" t="s">
        <v>1064</v>
      </c>
      <c r="C1124" s="35" t="s">
        <v>709</v>
      </c>
      <c r="D1124" s="35" t="s">
        <v>444</v>
      </c>
      <c r="E1124" s="35" t="s">
        <v>2343</v>
      </c>
      <c r="F1124" s="35" t="s">
        <v>436</v>
      </c>
      <c r="G1124" s="35" t="s">
        <v>443</v>
      </c>
      <c r="H1124" s="35">
        <v>12</v>
      </c>
    </row>
    <row r="1125" spans="1:8" ht="15.75" x14ac:dyDescent="0.25">
      <c r="A1125" t="str">
        <f t="shared" si="17"/>
        <v>U152784M515S54Y-D</v>
      </c>
      <c r="B1125" s="35" t="s">
        <v>1064</v>
      </c>
      <c r="C1125" s="35" t="s">
        <v>709</v>
      </c>
      <c r="D1125" s="35" t="s">
        <v>444</v>
      </c>
      <c r="E1125" s="35" t="s">
        <v>2340</v>
      </c>
      <c r="F1125" s="35" t="s">
        <v>436</v>
      </c>
      <c r="G1125" s="35" t="s">
        <v>443</v>
      </c>
      <c r="H1125" s="35">
        <v>108</v>
      </c>
    </row>
    <row r="1126" spans="1:8" ht="15.75" x14ac:dyDescent="0.25">
      <c r="A1126" t="str">
        <f t="shared" si="17"/>
        <v>U152815M515S54Y-2E</v>
      </c>
      <c r="B1126" s="35" t="s">
        <v>1064</v>
      </c>
      <c r="C1126" s="35" t="s">
        <v>1778</v>
      </c>
      <c r="D1126" s="35" t="s">
        <v>457</v>
      </c>
      <c r="E1126" s="35" t="s">
        <v>2342</v>
      </c>
      <c r="F1126" s="35" t="s">
        <v>436</v>
      </c>
      <c r="G1126" s="35" t="s">
        <v>443</v>
      </c>
      <c r="H1126" s="35">
        <v>54</v>
      </c>
    </row>
    <row r="1127" spans="1:8" ht="15.75" x14ac:dyDescent="0.25">
      <c r="A1127" t="str">
        <f t="shared" si="17"/>
        <v>U152815M515S54Y-4E</v>
      </c>
      <c r="B1127" s="35" t="s">
        <v>1064</v>
      </c>
      <c r="C1127" s="35" t="s">
        <v>1778</v>
      </c>
      <c r="D1127" s="35" t="s">
        <v>457</v>
      </c>
      <c r="E1127" s="35" t="s">
        <v>2343</v>
      </c>
      <c r="F1127" s="35" t="s">
        <v>436</v>
      </c>
      <c r="G1127" s="35" t="s">
        <v>443</v>
      </c>
      <c r="H1127" s="35">
        <v>54</v>
      </c>
    </row>
    <row r="1128" spans="1:8" ht="15.75" x14ac:dyDescent="0.25">
      <c r="A1128" t="str">
        <f t="shared" si="17"/>
        <v>U152815M515S54Y-D</v>
      </c>
      <c r="B1128" s="35" t="s">
        <v>1064</v>
      </c>
      <c r="C1128" s="35" t="s">
        <v>1778</v>
      </c>
      <c r="D1128" s="35" t="s">
        <v>457</v>
      </c>
      <c r="E1128" s="35" t="s">
        <v>2340</v>
      </c>
      <c r="F1128" s="35" t="s">
        <v>436</v>
      </c>
      <c r="G1128" s="35" t="s">
        <v>443</v>
      </c>
      <c r="H1128" s="35">
        <v>318</v>
      </c>
    </row>
    <row r="1129" spans="1:8" ht="15.75" x14ac:dyDescent="0.25">
      <c r="A1129" t="str">
        <f t="shared" si="17"/>
        <v>C135360W515S7OK-B</v>
      </c>
      <c r="B1129" s="35" t="s">
        <v>1062</v>
      </c>
      <c r="C1129" s="35" t="s">
        <v>697</v>
      </c>
      <c r="D1129" s="35" t="s">
        <v>399</v>
      </c>
      <c r="E1129" s="35" t="s">
        <v>2339</v>
      </c>
      <c r="F1129" s="35" t="s">
        <v>397</v>
      </c>
      <c r="G1129" s="35" t="s">
        <v>2322</v>
      </c>
      <c r="H1129" s="35">
        <v>504</v>
      </c>
    </row>
    <row r="1130" spans="1:8" ht="15.75" x14ac:dyDescent="0.25">
      <c r="A1130" t="str">
        <f t="shared" si="17"/>
        <v>C135877W515S7OK-B</v>
      </c>
      <c r="B1130" s="35" t="s">
        <v>1062</v>
      </c>
      <c r="C1130" s="35" t="s">
        <v>716</v>
      </c>
      <c r="D1130" s="35" t="s">
        <v>401</v>
      </c>
      <c r="E1130" s="35" t="s">
        <v>2339</v>
      </c>
      <c r="F1130" s="35" t="s">
        <v>397</v>
      </c>
      <c r="G1130" s="35" t="s">
        <v>400</v>
      </c>
      <c r="H1130" s="35">
        <v>252</v>
      </c>
    </row>
    <row r="1131" spans="1:8" ht="15.75" x14ac:dyDescent="0.25">
      <c r="A1131" t="str">
        <f t="shared" si="17"/>
        <v>C135877W515S7OK-D</v>
      </c>
      <c r="B1131" s="35" t="s">
        <v>1062</v>
      </c>
      <c r="C1131" s="35" t="s">
        <v>716</v>
      </c>
      <c r="D1131" s="35" t="s">
        <v>401</v>
      </c>
      <c r="E1131" s="35" t="s">
        <v>2340</v>
      </c>
      <c r="F1131" s="35" t="s">
        <v>397</v>
      </c>
      <c r="G1131" s="35" t="s">
        <v>400</v>
      </c>
      <c r="H1131" s="35">
        <v>162</v>
      </c>
    </row>
    <row r="1132" spans="1:8" ht="15.75" x14ac:dyDescent="0.25">
      <c r="A1132" t="str">
        <f t="shared" si="17"/>
        <v>U152790W515S7OK-B</v>
      </c>
      <c r="B1132" s="35" t="s">
        <v>1062</v>
      </c>
      <c r="C1132" s="35" t="s">
        <v>1779</v>
      </c>
      <c r="D1132" s="35" t="s">
        <v>457</v>
      </c>
      <c r="E1132" s="35" t="s">
        <v>2339</v>
      </c>
      <c r="F1132" s="35" t="s">
        <v>436</v>
      </c>
      <c r="G1132" s="35" t="s">
        <v>443</v>
      </c>
      <c r="H1132" s="35">
        <v>102</v>
      </c>
    </row>
    <row r="1133" spans="1:8" ht="15.75" x14ac:dyDescent="0.25">
      <c r="A1133" t="str">
        <f t="shared" si="17"/>
        <v>U152790W515S7OK-D</v>
      </c>
      <c r="B1133" s="35" t="s">
        <v>1062</v>
      </c>
      <c r="C1133" s="35" t="s">
        <v>1779</v>
      </c>
      <c r="D1133" s="35" t="s">
        <v>457</v>
      </c>
      <c r="E1133" s="35" t="s">
        <v>2340</v>
      </c>
      <c r="F1133" s="35" t="s">
        <v>436</v>
      </c>
      <c r="G1133" s="35" t="s">
        <v>443</v>
      </c>
      <c r="H1133" s="35">
        <v>72</v>
      </c>
    </row>
    <row r="1134" spans="1:8" ht="15.75" x14ac:dyDescent="0.25">
      <c r="A1134" t="str">
        <f t="shared" si="17"/>
        <v>C135361W515S7OK-B</v>
      </c>
      <c r="B1134" s="35" t="s">
        <v>1062</v>
      </c>
      <c r="C1134" s="35" t="s">
        <v>733</v>
      </c>
      <c r="D1134" s="35" t="s">
        <v>401</v>
      </c>
      <c r="E1134" s="35" t="s">
        <v>2339</v>
      </c>
      <c r="F1134" s="35" t="s">
        <v>397</v>
      </c>
      <c r="G1134" s="35" t="s">
        <v>400</v>
      </c>
      <c r="H1134" s="35">
        <v>90</v>
      </c>
    </row>
    <row r="1135" spans="1:8" ht="15.75" x14ac:dyDescent="0.25">
      <c r="A1135" t="str">
        <f t="shared" si="17"/>
        <v>C135361W515S7OK-D</v>
      </c>
      <c r="B1135" s="35" t="s">
        <v>1062</v>
      </c>
      <c r="C1135" s="35" t="s">
        <v>733</v>
      </c>
      <c r="D1135" s="35" t="s">
        <v>401</v>
      </c>
      <c r="E1135" s="35" t="s">
        <v>2340</v>
      </c>
      <c r="F1135" s="35" t="s">
        <v>397</v>
      </c>
      <c r="G1135" s="35" t="s">
        <v>400</v>
      </c>
      <c r="H1135" s="35">
        <v>78</v>
      </c>
    </row>
    <row r="1136" spans="1:8" ht="15.75" x14ac:dyDescent="0.25">
      <c r="A1136" t="str">
        <f t="shared" si="17"/>
        <v>U153218WL515RWA-B</v>
      </c>
      <c r="B1136" s="35" t="s">
        <v>1065</v>
      </c>
      <c r="C1136" s="35" t="s">
        <v>731</v>
      </c>
      <c r="D1136" s="35" t="s">
        <v>444</v>
      </c>
      <c r="E1136" s="35" t="s">
        <v>2339</v>
      </c>
      <c r="F1136" s="35" t="s">
        <v>436</v>
      </c>
      <c r="G1136" s="35" t="s">
        <v>443</v>
      </c>
      <c r="H1136" s="35">
        <v>636</v>
      </c>
    </row>
    <row r="1137" spans="1:8" ht="15.75" x14ac:dyDescent="0.25">
      <c r="A1137" t="str">
        <f t="shared" si="17"/>
        <v>U153218WL515RWA-D</v>
      </c>
      <c r="B1137" s="35" t="s">
        <v>1065</v>
      </c>
      <c r="C1137" s="35" t="s">
        <v>731</v>
      </c>
      <c r="D1137" s="35" t="s">
        <v>444</v>
      </c>
      <c r="E1137" s="35" t="s">
        <v>2340</v>
      </c>
      <c r="F1137" s="35" t="s">
        <v>436</v>
      </c>
      <c r="G1137" s="35" t="s">
        <v>443</v>
      </c>
      <c r="H1137" s="35">
        <v>54</v>
      </c>
    </row>
    <row r="1138" spans="1:8" ht="15.75" x14ac:dyDescent="0.25">
      <c r="A1138" t="str">
        <f t="shared" si="17"/>
        <v>7880334ML515NVY-D</v>
      </c>
      <c r="B1138" s="35" t="s">
        <v>897</v>
      </c>
      <c r="C1138" s="35" t="s">
        <v>751</v>
      </c>
      <c r="D1138" s="35" t="s">
        <v>387</v>
      </c>
      <c r="E1138" s="35" t="s">
        <v>2340</v>
      </c>
      <c r="F1138" s="35" t="s">
        <v>388</v>
      </c>
      <c r="G1138" s="35" t="s">
        <v>389</v>
      </c>
      <c r="H1138" s="35">
        <v>3996</v>
      </c>
    </row>
    <row r="1139" spans="1:8" ht="15.75" x14ac:dyDescent="0.25">
      <c r="A1139" t="str">
        <f t="shared" si="17"/>
        <v>7880450ML515BLK-D</v>
      </c>
      <c r="B1139" s="35" t="s">
        <v>898</v>
      </c>
      <c r="C1139" s="35" t="s">
        <v>1780</v>
      </c>
      <c r="D1139" s="35" t="s">
        <v>387</v>
      </c>
      <c r="E1139" s="35" t="s">
        <v>2340</v>
      </c>
      <c r="F1139" s="35" t="s">
        <v>388</v>
      </c>
      <c r="G1139" s="35" t="s">
        <v>389</v>
      </c>
      <c r="H1139" s="35">
        <v>3144</v>
      </c>
    </row>
    <row r="1140" spans="1:8" ht="15.75" x14ac:dyDescent="0.25">
      <c r="A1140" t="str">
        <f t="shared" si="17"/>
        <v>H189809ML515BLK-D</v>
      </c>
      <c r="B1140" s="35" t="s">
        <v>898</v>
      </c>
      <c r="C1140" s="35" t="s">
        <v>1781</v>
      </c>
      <c r="D1140" s="35" t="s">
        <v>404</v>
      </c>
      <c r="E1140" s="35" t="s">
        <v>2340</v>
      </c>
      <c r="F1140" s="35" t="s">
        <v>432</v>
      </c>
      <c r="G1140" s="35" t="s">
        <v>433</v>
      </c>
      <c r="H1140" s="35">
        <v>504</v>
      </c>
    </row>
    <row r="1141" spans="1:8" ht="15.75" x14ac:dyDescent="0.25">
      <c r="A1141" t="str">
        <f t="shared" si="17"/>
        <v>U153168WL515BLK-B</v>
      </c>
      <c r="B1141" s="35" t="s">
        <v>1066</v>
      </c>
      <c r="C1141" s="35" t="s">
        <v>1782</v>
      </c>
      <c r="D1141" s="35" t="s">
        <v>457</v>
      </c>
      <c r="E1141" s="35" t="s">
        <v>2339</v>
      </c>
      <c r="F1141" s="35" t="s">
        <v>436</v>
      </c>
      <c r="G1141" s="35" t="s">
        <v>443</v>
      </c>
      <c r="H1141" s="35">
        <v>2268</v>
      </c>
    </row>
    <row r="1142" spans="1:8" ht="15.75" x14ac:dyDescent="0.25">
      <c r="A1142" t="str">
        <f t="shared" si="17"/>
        <v>U153168WL515BLK-D</v>
      </c>
      <c r="B1142" s="35" t="s">
        <v>1066</v>
      </c>
      <c r="C1142" s="35" t="s">
        <v>1782</v>
      </c>
      <c r="D1142" s="35" t="s">
        <v>457</v>
      </c>
      <c r="E1142" s="35" t="s">
        <v>2340</v>
      </c>
      <c r="F1142" s="35" t="s">
        <v>436</v>
      </c>
      <c r="G1142" s="35" t="s">
        <v>443</v>
      </c>
      <c r="H1142" s="35">
        <v>264</v>
      </c>
    </row>
    <row r="1143" spans="1:8" ht="15.75" x14ac:dyDescent="0.25">
      <c r="A1143" t="str">
        <f t="shared" si="17"/>
        <v>U153186ML515GRY-4E</v>
      </c>
      <c r="B1143" s="35" t="s">
        <v>899</v>
      </c>
      <c r="C1143" s="35" t="s">
        <v>1783</v>
      </c>
      <c r="D1143" s="35" t="s">
        <v>457</v>
      </c>
      <c r="E1143" s="35" t="s">
        <v>2343</v>
      </c>
      <c r="F1143" s="35" t="s">
        <v>436</v>
      </c>
      <c r="G1143" s="35" t="s">
        <v>443</v>
      </c>
      <c r="H1143" s="35">
        <v>966</v>
      </c>
    </row>
    <row r="1144" spans="1:8" ht="15.75" x14ac:dyDescent="0.25">
      <c r="A1144" t="str">
        <f t="shared" si="17"/>
        <v>7880332ML515GRY-D</v>
      </c>
      <c r="B1144" s="35" t="s">
        <v>899</v>
      </c>
      <c r="C1144" s="35" t="s">
        <v>1784</v>
      </c>
      <c r="D1144" s="35" t="s">
        <v>387</v>
      </c>
      <c r="E1144" s="35" t="s">
        <v>2340</v>
      </c>
      <c r="F1144" s="35" t="s">
        <v>388</v>
      </c>
      <c r="G1144" s="35" t="s">
        <v>389</v>
      </c>
      <c r="H1144" s="35">
        <v>2394</v>
      </c>
    </row>
    <row r="1145" spans="1:8" ht="15.75" x14ac:dyDescent="0.25">
      <c r="A1145" t="str">
        <f t="shared" si="17"/>
        <v>U153186ML515GRY-D</v>
      </c>
      <c r="B1145" s="35" t="s">
        <v>899</v>
      </c>
      <c r="C1145" s="35" t="s">
        <v>1783</v>
      </c>
      <c r="D1145" s="35" t="s">
        <v>457</v>
      </c>
      <c r="E1145" s="35" t="s">
        <v>2340</v>
      </c>
      <c r="F1145" s="35" t="s">
        <v>436</v>
      </c>
      <c r="G1145" s="35" t="s">
        <v>443</v>
      </c>
      <c r="H1145" s="35">
        <v>1764</v>
      </c>
    </row>
    <row r="1146" spans="1:8" ht="15.75" x14ac:dyDescent="0.25">
      <c r="A1146" t="str">
        <f t="shared" si="17"/>
        <v>U154484WL515WHT-B</v>
      </c>
      <c r="B1146" s="35" t="s">
        <v>901</v>
      </c>
      <c r="C1146" s="35" t="s">
        <v>1785</v>
      </c>
      <c r="D1146" s="35" t="s">
        <v>438</v>
      </c>
      <c r="E1146" s="35" t="s">
        <v>2339</v>
      </c>
      <c r="F1146" s="35" t="s">
        <v>436</v>
      </c>
      <c r="G1146" s="35" t="s">
        <v>437</v>
      </c>
      <c r="H1146" s="35">
        <v>1500</v>
      </c>
    </row>
    <row r="1147" spans="1:8" ht="15.75" x14ac:dyDescent="0.25">
      <c r="A1147" t="str">
        <f t="shared" si="17"/>
        <v>H189897WL515WHT-B</v>
      </c>
      <c r="B1147" s="35" t="s">
        <v>901</v>
      </c>
      <c r="C1147" s="35" t="s">
        <v>1786</v>
      </c>
      <c r="D1147" s="35" t="s">
        <v>404</v>
      </c>
      <c r="E1147" s="35" t="s">
        <v>2339</v>
      </c>
      <c r="F1147" s="35" t="s">
        <v>501</v>
      </c>
      <c r="G1147" s="35" t="s">
        <v>502</v>
      </c>
      <c r="H1147" s="35">
        <v>1296</v>
      </c>
    </row>
    <row r="1148" spans="1:8" ht="15.75" x14ac:dyDescent="0.25">
      <c r="A1148" t="str">
        <f t="shared" si="17"/>
        <v>H189928WL515WHT-B</v>
      </c>
      <c r="B1148" s="35" t="s">
        <v>901</v>
      </c>
      <c r="C1148" s="35" t="s">
        <v>1787</v>
      </c>
      <c r="D1148" s="35" t="s">
        <v>404</v>
      </c>
      <c r="E1148" s="35" t="s">
        <v>2339</v>
      </c>
      <c r="F1148" s="35" t="s">
        <v>432</v>
      </c>
      <c r="G1148" s="35" t="s">
        <v>433</v>
      </c>
      <c r="H1148" s="35">
        <v>486</v>
      </c>
    </row>
    <row r="1149" spans="1:8" ht="15.75" x14ac:dyDescent="0.25">
      <c r="A1149" t="str">
        <f t="shared" si="17"/>
        <v>U152753W515S7OK-D</v>
      </c>
      <c r="B1149" s="35" t="s">
        <v>1062</v>
      </c>
      <c r="C1149" s="35" t="s">
        <v>1788</v>
      </c>
      <c r="D1149" s="35" t="s">
        <v>438</v>
      </c>
      <c r="E1149" s="35" t="s">
        <v>2340</v>
      </c>
      <c r="F1149" s="35" t="s">
        <v>436</v>
      </c>
      <c r="G1149" s="35" t="s">
        <v>445</v>
      </c>
      <c r="H1149" s="35">
        <v>1614</v>
      </c>
    </row>
    <row r="1150" spans="1:8" ht="15.75" x14ac:dyDescent="0.25">
      <c r="A1150" t="str">
        <f t="shared" si="17"/>
        <v>H189786ML515BLK-D</v>
      </c>
      <c r="B1150" s="35" t="s">
        <v>898</v>
      </c>
      <c r="C1150" s="35" t="s">
        <v>1789</v>
      </c>
      <c r="D1150" s="35" t="s">
        <v>404</v>
      </c>
      <c r="E1150" s="35" t="s">
        <v>2340</v>
      </c>
      <c r="F1150" s="35" t="s">
        <v>501</v>
      </c>
      <c r="G1150" s="35" t="s">
        <v>502</v>
      </c>
      <c r="H1150" s="35">
        <v>3744</v>
      </c>
    </row>
    <row r="1151" spans="1:8" ht="15.75" x14ac:dyDescent="0.25">
      <c r="A1151" t="str">
        <f t="shared" si="17"/>
        <v>H189895WL515BLK-B</v>
      </c>
      <c r="B1151" s="35" t="s">
        <v>1066</v>
      </c>
      <c r="C1151" s="35" t="s">
        <v>1790</v>
      </c>
      <c r="D1151" s="35" t="s">
        <v>404</v>
      </c>
      <c r="E1151" s="35" t="s">
        <v>2339</v>
      </c>
      <c r="F1151" s="35" t="s">
        <v>501</v>
      </c>
      <c r="G1151" s="35" t="s">
        <v>502</v>
      </c>
      <c r="H1151" s="35">
        <v>2382</v>
      </c>
    </row>
    <row r="1152" spans="1:8" ht="15.75" x14ac:dyDescent="0.25">
      <c r="A1152" t="str">
        <f t="shared" si="17"/>
        <v>H189929WL515BLK-B</v>
      </c>
      <c r="B1152" s="35" t="s">
        <v>1066</v>
      </c>
      <c r="C1152" s="35" t="s">
        <v>1791</v>
      </c>
      <c r="D1152" s="35" t="s">
        <v>404</v>
      </c>
      <c r="E1152" s="35" t="s">
        <v>2339</v>
      </c>
      <c r="F1152" s="35" t="s">
        <v>432</v>
      </c>
      <c r="G1152" s="35" t="s">
        <v>433</v>
      </c>
      <c r="H1152" s="35">
        <v>486</v>
      </c>
    </row>
    <row r="1153" spans="1:8" ht="15.75" x14ac:dyDescent="0.25">
      <c r="A1153" t="str">
        <f t="shared" si="17"/>
        <v>U154045M515C5QO-D</v>
      </c>
      <c r="B1153" s="35" t="s">
        <v>1067</v>
      </c>
      <c r="C1153" s="35" t="s">
        <v>1792</v>
      </c>
      <c r="D1153" s="35" t="s">
        <v>438</v>
      </c>
      <c r="E1153" s="35" t="s">
        <v>2340</v>
      </c>
      <c r="F1153" s="35" t="s">
        <v>436</v>
      </c>
      <c r="G1153" s="35" t="s">
        <v>2323</v>
      </c>
      <c r="H1153" s="35">
        <v>504</v>
      </c>
    </row>
    <row r="1154" spans="1:8" ht="15.75" x14ac:dyDescent="0.25">
      <c r="A1154" t="str">
        <f t="shared" si="17"/>
        <v>U154046M515C5YQ-4E</v>
      </c>
      <c r="B1154" s="35" t="s">
        <v>1068</v>
      </c>
      <c r="C1154" s="35" t="s">
        <v>1793</v>
      </c>
      <c r="D1154" s="35" t="s">
        <v>438</v>
      </c>
      <c r="E1154" s="35" t="s">
        <v>2343</v>
      </c>
      <c r="F1154" s="35" t="s">
        <v>436</v>
      </c>
      <c r="G1154" s="35" t="s">
        <v>2323</v>
      </c>
      <c r="H1154" s="35">
        <v>588</v>
      </c>
    </row>
    <row r="1155" spans="1:8" ht="15.75" x14ac:dyDescent="0.25">
      <c r="A1155" t="str">
        <f t="shared" si="17"/>
        <v>U154048M515C5YQ-D</v>
      </c>
      <c r="B1155" s="35" t="s">
        <v>1068</v>
      </c>
      <c r="C1155" s="35" t="s">
        <v>1794</v>
      </c>
      <c r="D1155" s="35" t="s">
        <v>438</v>
      </c>
      <c r="E1155" s="35" t="s">
        <v>2340</v>
      </c>
      <c r="F1155" s="35" t="s">
        <v>436</v>
      </c>
      <c r="G1155" s="35" t="s">
        <v>2323</v>
      </c>
      <c r="H1155" s="35">
        <v>1560</v>
      </c>
    </row>
    <row r="1156" spans="1:8" ht="15.75" x14ac:dyDescent="0.25">
      <c r="A1156" t="str">
        <f t="shared" si="17"/>
        <v>U154047W515C2GY-B</v>
      </c>
      <c r="B1156" s="35" t="s">
        <v>1069</v>
      </c>
      <c r="C1156" s="35" t="s">
        <v>1795</v>
      </c>
      <c r="D1156" s="35" t="s">
        <v>438</v>
      </c>
      <c r="E1156" s="35" t="s">
        <v>2339</v>
      </c>
      <c r="F1156" s="35" t="s">
        <v>436</v>
      </c>
      <c r="G1156" s="35" t="s">
        <v>2323</v>
      </c>
      <c r="H1156" s="35">
        <v>852</v>
      </c>
    </row>
    <row r="1157" spans="1:8" ht="15.75" x14ac:dyDescent="0.25">
      <c r="A1157" t="str">
        <f t="shared" si="17"/>
        <v>U154050W515C5KE-B</v>
      </c>
      <c r="B1157" s="35" t="s">
        <v>1070</v>
      </c>
      <c r="C1157" s="35" t="s">
        <v>1796</v>
      </c>
      <c r="D1157" s="35" t="s">
        <v>438</v>
      </c>
      <c r="E1157" s="35" t="s">
        <v>2339</v>
      </c>
      <c r="F1157" s="35" t="s">
        <v>436</v>
      </c>
      <c r="G1157" s="35" t="s">
        <v>2323</v>
      </c>
      <c r="H1157" s="35">
        <v>1560</v>
      </c>
    </row>
    <row r="1158" spans="1:8" ht="15.75" x14ac:dyDescent="0.25">
      <c r="A1158" t="str">
        <f t="shared" si="17"/>
        <v>U154049W515C5KE-D</v>
      </c>
      <c r="B1158" s="35" t="s">
        <v>1070</v>
      </c>
      <c r="C1158" s="35" t="s">
        <v>1797</v>
      </c>
      <c r="D1158" s="35" t="s">
        <v>438</v>
      </c>
      <c r="E1158" s="35" t="s">
        <v>2340</v>
      </c>
      <c r="F1158" s="35" t="s">
        <v>436</v>
      </c>
      <c r="G1158" s="35" t="s">
        <v>2323</v>
      </c>
      <c r="H1158" s="35">
        <v>576</v>
      </c>
    </row>
    <row r="1159" spans="1:8" ht="15.75" x14ac:dyDescent="0.25">
      <c r="A1159" t="str">
        <f t="shared" ref="A1159:A1222" si="18">+C1159&amp;B1159&amp;"-"&amp;E1159</f>
        <v>U154044W515C80Y-B</v>
      </c>
      <c r="B1159" s="35" t="s">
        <v>1071</v>
      </c>
      <c r="C1159" s="35" t="s">
        <v>1798</v>
      </c>
      <c r="D1159" s="35" t="s">
        <v>438</v>
      </c>
      <c r="E1159" s="35" t="s">
        <v>2339</v>
      </c>
      <c r="F1159" s="35" t="s">
        <v>436</v>
      </c>
      <c r="G1159" s="35" t="s">
        <v>2323</v>
      </c>
      <c r="H1159" s="35">
        <v>732</v>
      </c>
    </row>
    <row r="1160" spans="1:8" ht="15.75" x14ac:dyDescent="0.25">
      <c r="A1160" t="str">
        <f t="shared" si="18"/>
        <v>U157287M515S54Y-2E</v>
      </c>
      <c r="B1160" s="35" t="s">
        <v>1064</v>
      </c>
      <c r="C1160" s="35" t="s">
        <v>1799</v>
      </c>
      <c r="D1160" s="35" t="s">
        <v>457</v>
      </c>
      <c r="E1160" s="35" t="s">
        <v>2342</v>
      </c>
      <c r="F1160" s="35" t="s">
        <v>436</v>
      </c>
      <c r="G1160" s="35" t="s">
        <v>443</v>
      </c>
      <c r="H1160" s="35">
        <v>42</v>
      </c>
    </row>
    <row r="1161" spans="1:8" ht="15.75" x14ac:dyDescent="0.25">
      <c r="A1161" t="str">
        <f t="shared" si="18"/>
        <v>U157287M515S54Y-4E</v>
      </c>
      <c r="B1161" s="35" t="s">
        <v>1064</v>
      </c>
      <c r="C1161" s="35" t="s">
        <v>1799</v>
      </c>
      <c r="D1161" s="35" t="s">
        <v>457</v>
      </c>
      <c r="E1161" s="35" t="s">
        <v>2343</v>
      </c>
      <c r="F1161" s="35" t="s">
        <v>436</v>
      </c>
      <c r="G1161" s="35" t="s">
        <v>443</v>
      </c>
      <c r="H1161" s="35">
        <v>72</v>
      </c>
    </row>
    <row r="1162" spans="1:8" ht="15.75" x14ac:dyDescent="0.25">
      <c r="A1162" t="str">
        <f t="shared" si="18"/>
        <v>U157287M515S54Y-D</v>
      </c>
      <c r="B1162" s="35" t="s">
        <v>1064</v>
      </c>
      <c r="C1162" s="35" t="s">
        <v>1799</v>
      </c>
      <c r="D1162" s="35" t="s">
        <v>457</v>
      </c>
      <c r="E1162" s="35" t="s">
        <v>2340</v>
      </c>
      <c r="F1162" s="35" t="s">
        <v>436</v>
      </c>
      <c r="G1162" s="35" t="s">
        <v>443</v>
      </c>
      <c r="H1162" s="35">
        <v>318</v>
      </c>
    </row>
    <row r="1163" spans="1:8" ht="15.75" x14ac:dyDescent="0.25">
      <c r="A1163" t="str">
        <f t="shared" si="18"/>
        <v>U158350ML515AGR-2E</v>
      </c>
      <c r="B1163" s="35" t="s">
        <v>1072</v>
      </c>
      <c r="C1163" s="35" t="s">
        <v>1800</v>
      </c>
      <c r="D1163" s="35" t="s">
        <v>444</v>
      </c>
      <c r="E1163" s="35" t="s">
        <v>2342</v>
      </c>
      <c r="F1163" s="35" t="s">
        <v>436</v>
      </c>
      <c r="G1163" s="35" t="s">
        <v>443</v>
      </c>
      <c r="H1163" s="35">
        <v>456</v>
      </c>
    </row>
    <row r="1164" spans="1:8" ht="15.75" x14ac:dyDescent="0.25">
      <c r="A1164" t="str">
        <f t="shared" si="18"/>
        <v>U158350ML515AGR-4E</v>
      </c>
      <c r="B1164" s="35" t="s">
        <v>1072</v>
      </c>
      <c r="C1164" s="35" t="s">
        <v>1800</v>
      </c>
      <c r="D1164" s="35" t="s">
        <v>444</v>
      </c>
      <c r="E1164" s="35" t="s">
        <v>2343</v>
      </c>
      <c r="F1164" s="35" t="s">
        <v>436</v>
      </c>
      <c r="G1164" s="35" t="s">
        <v>443</v>
      </c>
      <c r="H1164" s="35">
        <v>234</v>
      </c>
    </row>
    <row r="1165" spans="1:8" ht="15.75" x14ac:dyDescent="0.25">
      <c r="A1165" t="str">
        <f t="shared" si="18"/>
        <v>U158350ML515AGR-D</v>
      </c>
      <c r="B1165" s="35" t="s">
        <v>1072</v>
      </c>
      <c r="C1165" s="35" t="s">
        <v>1800</v>
      </c>
      <c r="D1165" s="35" t="s">
        <v>444</v>
      </c>
      <c r="E1165" s="35" t="s">
        <v>2340</v>
      </c>
      <c r="F1165" s="35" t="s">
        <v>436</v>
      </c>
      <c r="G1165" s="35" t="s">
        <v>443</v>
      </c>
      <c r="H1165" s="35">
        <v>360</v>
      </c>
    </row>
    <row r="1166" spans="1:8" ht="15.75" x14ac:dyDescent="0.25">
      <c r="A1166" t="str">
        <f t="shared" si="18"/>
        <v>U157236ML515GRY-4E</v>
      </c>
      <c r="B1166" s="35" t="s">
        <v>899</v>
      </c>
      <c r="C1166" s="35" t="s">
        <v>1108</v>
      </c>
      <c r="D1166" s="35" t="s">
        <v>457</v>
      </c>
      <c r="E1166" s="35" t="s">
        <v>2343</v>
      </c>
      <c r="F1166" s="35" t="s">
        <v>436</v>
      </c>
      <c r="G1166" s="35" t="s">
        <v>443</v>
      </c>
      <c r="H1166" s="35">
        <v>660</v>
      </c>
    </row>
    <row r="1167" spans="1:8" ht="15.75" x14ac:dyDescent="0.25">
      <c r="A1167" t="str">
        <f t="shared" si="18"/>
        <v>U157278W515S7OK-B</v>
      </c>
      <c r="B1167" s="35" t="s">
        <v>1062</v>
      </c>
      <c r="C1167" s="35" t="s">
        <v>1801</v>
      </c>
      <c r="D1167" s="35" t="s">
        <v>457</v>
      </c>
      <c r="E1167" s="35" t="s">
        <v>2339</v>
      </c>
      <c r="F1167" s="35" t="s">
        <v>436</v>
      </c>
      <c r="G1167" s="35" t="s">
        <v>443</v>
      </c>
      <c r="H1167" s="35">
        <v>510</v>
      </c>
    </row>
    <row r="1168" spans="1:8" ht="15.75" x14ac:dyDescent="0.25">
      <c r="A1168" t="str">
        <f t="shared" si="18"/>
        <v>U157278W515S7OK-D</v>
      </c>
      <c r="B1168" s="35" t="s">
        <v>1062</v>
      </c>
      <c r="C1168" s="35" t="s">
        <v>1801</v>
      </c>
      <c r="D1168" s="35" t="s">
        <v>457</v>
      </c>
      <c r="E1168" s="35" t="s">
        <v>2340</v>
      </c>
      <c r="F1168" s="35" t="s">
        <v>436</v>
      </c>
      <c r="G1168" s="35" t="s">
        <v>443</v>
      </c>
      <c r="H1168" s="35">
        <v>84</v>
      </c>
    </row>
    <row r="1169" spans="1:8" ht="15.75" x14ac:dyDescent="0.25">
      <c r="A1169" t="str">
        <f t="shared" si="18"/>
        <v>U158382WL515RWA-B</v>
      </c>
      <c r="B1169" s="35" t="s">
        <v>1065</v>
      </c>
      <c r="C1169" s="35" t="s">
        <v>1802</v>
      </c>
      <c r="D1169" s="35" t="s">
        <v>444</v>
      </c>
      <c r="E1169" s="35" t="s">
        <v>2339</v>
      </c>
      <c r="F1169" s="35" t="s">
        <v>436</v>
      </c>
      <c r="G1169" s="35" t="s">
        <v>443</v>
      </c>
      <c r="H1169" s="35">
        <v>852</v>
      </c>
    </row>
    <row r="1170" spans="1:8" ht="15.75" x14ac:dyDescent="0.25">
      <c r="A1170" t="str">
        <f t="shared" si="18"/>
        <v>C135933WL515WHT-D</v>
      </c>
      <c r="B1170" s="35" t="s">
        <v>901</v>
      </c>
      <c r="C1170" s="35" t="s">
        <v>1104</v>
      </c>
      <c r="D1170" s="35" t="s">
        <v>401</v>
      </c>
      <c r="E1170" s="35" t="s">
        <v>2340</v>
      </c>
      <c r="F1170" s="35" t="s">
        <v>397</v>
      </c>
      <c r="G1170" s="35" t="s">
        <v>400</v>
      </c>
      <c r="H1170" s="35">
        <v>48</v>
      </c>
    </row>
    <row r="1171" spans="1:8" ht="15.75" x14ac:dyDescent="0.25">
      <c r="A1171" t="str">
        <f t="shared" si="18"/>
        <v>U157283M515S54Y-4E</v>
      </c>
      <c r="B1171" s="35" t="s">
        <v>1064</v>
      </c>
      <c r="C1171" s="35" t="s">
        <v>1803</v>
      </c>
      <c r="D1171" s="35" t="s">
        <v>438</v>
      </c>
      <c r="E1171" s="35" t="s">
        <v>2343</v>
      </c>
      <c r="F1171" s="35" t="s">
        <v>436</v>
      </c>
      <c r="G1171" s="35" t="s">
        <v>445</v>
      </c>
      <c r="H1171" s="35">
        <v>900</v>
      </c>
    </row>
    <row r="1172" spans="1:8" ht="15.75" x14ac:dyDescent="0.25">
      <c r="A1172" t="str">
        <f t="shared" si="18"/>
        <v>C136634ML515BLK-4E</v>
      </c>
      <c r="B1172" s="35" t="s">
        <v>898</v>
      </c>
      <c r="C1172" s="35" t="s">
        <v>1112</v>
      </c>
      <c r="D1172" s="35" t="s">
        <v>401</v>
      </c>
      <c r="E1172" s="35" t="s">
        <v>2343</v>
      </c>
      <c r="F1172" s="35" t="s">
        <v>397</v>
      </c>
      <c r="G1172" s="35" t="s">
        <v>400</v>
      </c>
      <c r="H1172" s="35">
        <v>234</v>
      </c>
    </row>
    <row r="1173" spans="1:8" ht="15.75" x14ac:dyDescent="0.25">
      <c r="A1173" t="str">
        <f t="shared" si="18"/>
        <v>C136633ML515NVY-2E</v>
      </c>
      <c r="B1173" s="35" t="s">
        <v>897</v>
      </c>
      <c r="C1173" s="35" t="s">
        <v>1110</v>
      </c>
      <c r="D1173" s="35" t="s">
        <v>401</v>
      </c>
      <c r="E1173" s="35" t="s">
        <v>2342</v>
      </c>
      <c r="F1173" s="35" t="s">
        <v>397</v>
      </c>
      <c r="G1173" s="35" t="s">
        <v>400</v>
      </c>
      <c r="H1173" s="35">
        <v>12</v>
      </c>
    </row>
    <row r="1174" spans="1:8" ht="15.75" x14ac:dyDescent="0.25">
      <c r="A1174" t="str">
        <f t="shared" si="18"/>
        <v>C136633ML515NVY-4E</v>
      </c>
      <c r="B1174" s="35" t="s">
        <v>897</v>
      </c>
      <c r="C1174" s="35" t="s">
        <v>1110</v>
      </c>
      <c r="D1174" s="35" t="s">
        <v>401</v>
      </c>
      <c r="E1174" s="35" t="s">
        <v>2343</v>
      </c>
      <c r="F1174" s="35" t="s">
        <v>397</v>
      </c>
      <c r="G1174" s="35" t="s">
        <v>400</v>
      </c>
      <c r="H1174" s="35">
        <v>30</v>
      </c>
    </row>
    <row r="1175" spans="1:8" ht="15.75" x14ac:dyDescent="0.25">
      <c r="A1175" t="str">
        <f t="shared" si="18"/>
        <v>7886334WL515SB3-B</v>
      </c>
      <c r="B1175" s="35" t="s">
        <v>1053</v>
      </c>
      <c r="C1175" s="35" t="s">
        <v>1804</v>
      </c>
      <c r="D1175" s="35" t="s">
        <v>474</v>
      </c>
      <c r="E1175" s="35" t="s">
        <v>2339</v>
      </c>
      <c r="F1175" s="35" t="s">
        <v>379</v>
      </c>
      <c r="G1175" s="35" t="s">
        <v>380</v>
      </c>
      <c r="H1175" s="35">
        <v>1476</v>
      </c>
    </row>
    <row r="1176" spans="1:8" ht="15.75" x14ac:dyDescent="0.25">
      <c r="A1176" t="str">
        <f t="shared" si="18"/>
        <v>H180748ML515AGR-D</v>
      </c>
      <c r="B1176" s="35" t="s">
        <v>1072</v>
      </c>
      <c r="C1176" s="35" t="s">
        <v>1805</v>
      </c>
      <c r="D1176" s="35" t="s">
        <v>404</v>
      </c>
      <c r="E1176" s="35" t="s">
        <v>2340</v>
      </c>
      <c r="F1176" s="35" t="s">
        <v>428</v>
      </c>
      <c r="G1176" s="35" t="s">
        <v>429</v>
      </c>
      <c r="H1176" s="35">
        <v>954</v>
      </c>
    </row>
    <row r="1177" spans="1:8" ht="15.75" x14ac:dyDescent="0.25">
      <c r="A1177" t="str">
        <f t="shared" si="18"/>
        <v>H180749ML515AGR-D</v>
      </c>
      <c r="B1177" s="35" t="s">
        <v>1072</v>
      </c>
      <c r="C1177" s="35" t="s">
        <v>1806</v>
      </c>
      <c r="D1177" s="35" t="s">
        <v>404</v>
      </c>
      <c r="E1177" s="35" t="s">
        <v>2340</v>
      </c>
      <c r="F1177" s="35" t="s">
        <v>428</v>
      </c>
      <c r="G1177" s="35" t="s">
        <v>429</v>
      </c>
      <c r="H1177" s="35">
        <v>912</v>
      </c>
    </row>
    <row r="1178" spans="1:8" ht="15.75" x14ac:dyDescent="0.25">
      <c r="A1178" t="str">
        <f t="shared" si="18"/>
        <v>H180751ML515AGR-D</v>
      </c>
      <c r="B1178" s="35" t="s">
        <v>1072</v>
      </c>
      <c r="C1178" s="35" t="s">
        <v>1807</v>
      </c>
      <c r="D1178" s="35" t="s">
        <v>404</v>
      </c>
      <c r="E1178" s="35" t="s">
        <v>2340</v>
      </c>
      <c r="F1178" s="35" t="s">
        <v>428</v>
      </c>
      <c r="G1178" s="35" t="s">
        <v>429</v>
      </c>
      <c r="H1178" s="35">
        <v>1002</v>
      </c>
    </row>
    <row r="1179" spans="1:8" ht="15.75" x14ac:dyDescent="0.25">
      <c r="A1179" t="str">
        <f t="shared" si="18"/>
        <v>7885989ML515BLK-D</v>
      </c>
      <c r="B1179" s="35" t="s">
        <v>898</v>
      </c>
      <c r="C1179" s="35" t="s">
        <v>1808</v>
      </c>
      <c r="D1179" s="35" t="s">
        <v>395</v>
      </c>
      <c r="E1179" s="35" t="s">
        <v>2340</v>
      </c>
      <c r="F1179" s="35" t="s">
        <v>382</v>
      </c>
      <c r="G1179" s="35" t="s">
        <v>383</v>
      </c>
      <c r="H1179" s="35">
        <v>2592</v>
      </c>
    </row>
    <row r="1180" spans="1:8" ht="15.75" x14ac:dyDescent="0.25">
      <c r="A1180" t="str">
        <f t="shared" si="18"/>
        <v>7886350ML515BLK-D</v>
      </c>
      <c r="B1180" s="35" t="s">
        <v>898</v>
      </c>
      <c r="C1180" s="35" t="s">
        <v>1809</v>
      </c>
      <c r="D1180" s="35" t="s">
        <v>395</v>
      </c>
      <c r="E1180" s="35" t="s">
        <v>2340</v>
      </c>
      <c r="F1180" s="35" t="s">
        <v>382</v>
      </c>
      <c r="G1180" s="35" t="s">
        <v>383</v>
      </c>
      <c r="H1180" s="35">
        <v>828</v>
      </c>
    </row>
    <row r="1181" spans="1:8" ht="15.75" x14ac:dyDescent="0.25">
      <c r="A1181" t="str">
        <f t="shared" si="18"/>
        <v>7886056ML515NVY-D</v>
      </c>
      <c r="B1181" s="35" t="s">
        <v>897</v>
      </c>
      <c r="C1181" s="35" t="s">
        <v>1810</v>
      </c>
      <c r="D1181" s="35" t="s">
        <v>395</v>
      </c>
      <c r="E1181" s="35" t="s">
        <v>2340</v>
      </c>
      <c r="F1181" s="35" t="s">
        <v>382</v>
      </c>
      <c r="G1181" s="35" t="s">
        <v>383</v>
      </c>
      <c r="H1181" s="35">
        <v>1158</v>
      </c>
    </row>
    <row r="1182" spans="1:8" ht="15.75" x14ac:dyDescent="0.25">
      <c r="A1182" t="str">
        <f t="shared" si="18"/>
        <v>H189792ML515NVY-D</v>
      </c>
      <c r="B1182" s="35" t="s">
        <v>897</v>
      </c>
      <c r="C1182" s="35" t="s">
        <v>1811</v>
      </c>
      <c r="D1182" s="35" t="s">
        <v>404</v>
      </c>
      <c r="E1182" s="35" t="s">
        <v>2340</v>
      </c>
      <c r="F1182" s="35" t="s">
        <v>501</v>
      </c>
      <c r="G1182" s="35" t="s">
        <v>502</v>
      </c>
      <c r="H1182" s="35">
        <v>1362</v>
      </c>
    </row>
    <row r="1183" spans="1:8" ht="15.75" x14ac:dyDescent="0.25">
      <c r="A1183" t="str">
        <f t="shared" si="18"/>
        <v>7886357ML515NVY-D</v>
      </c>
      <c r="B1183" s="35" t="s">
        <v>897</v>
      </c>
      <c r="C1183" s="35" t="s">
        <v>1812</v>
      </c>
      <c r="D1183" s="35" t="s">
        <v>395</v>
      </c>
      <c r="E1183" s="35" t="s">
        <v>2340</v>
      </c>
      <c r="F1183" s="35" t="s">
        <v>382</v>
      </c>
      <c r="G1183" s="35" t="s">
        <v>383</v>
      </c>
      <c r="H1183" s="35">
        <v>1446</v>
      </c>
    </row>
    <row r="1184" spans="1:8" ht="15.75" x14ac:dyDescent="0.25">
      <c r="A1184" t="str">
        <f t="shared" si="18"/>
        <v>7886062WL515SB3-B</v>
      </c>
      <c r="B1184" s="35" t="s">
        <v>1053</v>
      </c>
      <c r="C1184" s="35" t="s">
        <v>1813</v>
      </c>
      <c r="D1184" s="35" t="s">
        <v>395</v>
      </c>
      <c r="E1184" s="35" t="s">
        <v>2339</v>
      </c>
      <c r="F1184" s="35" t="s">
        <v>382</v>
      </c>
      <c r="G1184" s="35" t="s">
        <v>383</v>
      </c>
      <c r="H1184" s="35">
        <v>588</v>
      </c>
    </row>
    <row r="1185" spans="1:8" ht="15.75" x14ac:dyDescent="0.25">
      <c r="A1185" t="str">
        <f t="shared" si="18"/>
        <v>7886367WL515SB3-B</v>
      </c>
      <c r="B1185" s="35" t="s">
        <v>1053</v>
      </c>
      <c r="C1185" s="35" t="s">
        <v>1814</v>
      </c>
      <c r="D1185" s="35" t="s">
        <v>395</v>
      </c>
      <c r="E1185" s="35" t="s">
        <v>2339</v>
      </c>
      <c r="F1185" s="35" t="s">
        <v>382</v>
      </c>
      <c r="G1185" s="35" t="s">
        <v>383</v>
      </c>
      <c r="H1185" s="35">
        <v>942</v>
      </c>
    </row>
    <row r="1186" spans="1:8" ht="15.75" x14ac:dyDescent="0.25">
      <c r="A1186" t="str">
        <f t="shared" si="18"/>
        <v>H177073GC9060GY-M</v>
      </c>
      <c r="B1186" s="35" t="s">
        <v>1011</v>
      </c>
      <c r="C1186" s="35" t="s">
        <v>1815</v>
      </c>
      <c r="D1186" s="35" t="s">
        <v>404</v>
      </c>
      <c r="E1186" s="35" t="s">
        <v>2337</v>
      </c>
      <c r="F1186" s="35" t="s">
        <v>430</v>
      </c>
      <c r="G1186" s="35" t="s">
        <v>431</v>
      </c>
      <c r="H1186" s="35">
        <v>804</v>
      </c>
    </row>
    <row r="1187" spans="1:8" ht="15.75" x14ac:dyDescent="0.25">
      <c r="A1187" t="str">
        <f t="shared" si="18"/>
        <v>H171718G6032Z2-M</v>
      </c>
      <c r="B1187" s="35" t="s">
        <v>892</v>
      </c>
      <c r="C1187" s="35" t="s">
        <v>1816</v>
      </c>
      <c r="D1187" s="35" t="s">
        <v>404</v>
      </c>
      <c r="E1187" s="35" t="s">
        <v>2337</v>
      </c>
      <c r="F1187" s="35" t="s">
        <v>430</v>
      </c>
      <c r="G1187" s="35" t="s">
        <v>431</v>
      </c>
      <c r="H1187" s="35">
        <v>144</v>
      </c>
    </row>
    <row r="1188" spans="1:8" ht="15.75" x14ac:dyDescent="0.25">
      <c r="A1188" t="str">
        <f t="shared" si="18"/>
        <v>H171723G6035F4-M</v>
      </c>
      <c r="B1188" s="35" t="s">
        <v>891</v>
      </c>
      <c r="C1188" s="35" t="s">
        <v>1817</v>
      </c>
      <c r="D1188" s="35" t="s">
        <v>404</v>
      </c>
      <c r="E1188" s="35" t="s">
        <v>2337</v>
      </c>
      <c r="F1188" s="35" t="s">
        <v>430</v>
      </c>
      <c r="G1188" s="35" t="s">
        <v>431</v>
      </c>
      <c r="H1188" s="35">
        <v>210</v>
      </c>
    </row>
    <row r="1189" spans="1:8" ht="15.75" x14ac:dyDescent="0.25">
      <c r="A1189" t="str">
        <f t="shared" si="18"/>
        <v>H171702P60394T-M</v>
      </c>
      <c r="B1189" s="35" t="s">
        <v>1002</v>
      </c>
      <c r="C1189" s="35" t="s">
        <v>1818</v>
      </c>
      <c r="D1189" s="35" t="s">
        <v>404</v>
      </c>
      <c r="E1189" s="35" t="s">
        <v>2337</v>
      </c>
      <c r="F1189" s="35" t="s">
        <v>430</v>
      </c>
      <c r="G1189" s="35" t="s">
        <v>431</v>
      </c>
      <c r="H1189" s="35">
        <v>210</v>
      </c>
    </row>
    <row r="1190" spans="1:8" ht="15.75" x14ac:dyDescent="0.25">
      <c r="A1190" t="str">
        <f t="shared" si="18"/>
        <v>7866526P60394T-M</v>
      </c>
      <c r="B1190" s="35" t="s">
        <v>1002</v>
      </c>
      <c r="C1190" s="35">
        <v>7866526</v>
      </c>
      <c r="D1190" s="35" t="s">
        <v>387</v>
      </c>
      <c r="E1190" s="35" t="s">
        <v>2337</v>
      </c>
      <c r="F1190" s="35" t="s">
        <v>388</v>
      </c>
      <c r="G1190" s="35" t="s">
        <v>389</v>
      </c>
      <c r="H1190" s="35">
        <v>216</v>
      </c>
    </row>
    <row r="1191" spans="1:8" ht="15.75" x14ac:dyDescent="0.25">
      <c r="A1191" t="str">
        <f t="shared" si="18"/>
        <v>H177070PC9060BE-M</v>
      </c>
      <c r="B1191" s="35" t="s">
        <v>1034</v>
      </c>
      <c r="C1191" s="35" t="s">
        <v>1819</v>
      </c>
      <c r="D1191" s="35" t="s">
        <v>404</v>
      </c>
      <c r="E1191" s="35" t="s">
        <v>2337</v>
      </c>
      <c r="F1191" s="35" t="s">
        <v>430</v>
      </c>
      <c r="G1191" s="35" t="s">
        <v>431</v>
      </c>
      <c r="H1191" s="35">
        <v>378</v>
      </c>
    </row>
    <row r="1192" spans="1:8" ht="15.75" x14ac:dyDescent="0.25">
      <c r="A1192" t="str">
        <f t="shared" si="18"/>
        <v>H171643P6036SS-M</v>
      </c>
      <c r="B1192" s="35" t="s">
        <v>1005</v>
      </c>
      <c r="C1192" s="35" t="s">
        <v>534</v>
      </c>
      <c r="D1192" s="35" t="s">
        <v>404</v>
      </c>
      <c r="E1192" s="35" t="s">
        <v>2337</v>
      </c>
      <c r="F1192" s="35" t="s">
        <v>501</v>
      </c>
      <c r="G1192" s="35" t="s">
        <v>502</v>
      </c>
      <c r="H1192" s="35">
        <v>558</v>
      </c>
    </row>
    <row r="1193" spans="1:8" ht="15.75" x14ac:dyDescent="0.25">
      <c r="A1193" t="str">
        <f t="shared" si="18"/>
        <v>H171614P6036SS-M</v>
      </c>
      <c r="B1193" s="35" t="s">
        <v>1005</v>
      </c>
      <c r="C1193" s="35" t="s">
        <v>548</v>
      </c>
      <c r="D1193" s="35" t="s">
        <v>404</v>
      </c>
      <c r="E1193" s="35" t="s">
        <v>2337</v>
      </c>
      <c r="F1193" s="35" t="s">
        <v>2292</v>
      </c>
      <c r="G1193" s="35" t="s">
        <v>2293</v>
      </c>
      <c r="H1193" s="35">
        <v>372</v>
      </c>
    </row>
    <row r="1194" spans="1:8" ht="15.75" x14ac:dyDescent="0.25">
      <c r="A1194" t="str">
        <f t="shared" si="18"/>
        <v>7875481PC9060LL-M</v>
      </c>
      <c r="B1194" s="35" t="s">
        <v>995</v>
      </c>
      <c r="C1194" s="35" t="s">
        <v>1820</v>
      </c>
      <c r="D1194" s="35" t="s">
        <v>391</v>
      </c>
      <c r="E1194" s="35" t="s">
        <v>2337</v>
      </c>
      <c r="F1194" s="35" t="s">
        <v>379</v>
      </c>
      <c r="G1194" s="35" t="s">
        <v>380</v>
      </c>
      <c r="H1194" s="35">
        <v>150</v>
      </c>
    </row>
    <row r="1195" spans="1:8" ht="15.75" x14ac:dyDescent="0.25">
      <c r="A1195" t="str">
        <f t="shared" si="18"/>
        <v>7875481PC9060LL-W</v>
      </c>
      <c r="B1195" s="35" t="s">
        <v>995</v>
      </c>
      <c r="C1195" s="35" t="s">
        <v>1820</v>
      </c>
      <c r="D1195" s="35" t="s">
        <v>391</v>
      </c>
      <c r="E1195" s="35" t="s">
        <v>2338</v>
      </c>
      <c r="F1195" s="35" t="s">
        <v>379</v>
      </c>
      <c r="G1195" s="35" t="s">
        <v>380</v>
      </c>
      <c r="H1195" s="35">
        <v>126</v>
      </c>
    </row>
    <row r="1196" spans="1:8" ht="15.75" x14ac:dyDescent="0.25">
      <c r="A1196" t="str">
        <f t="shared" si="18"/>
        <v>H171613P60394T-M</v>
      </c>
      <c r="B1196" s="35" t="s">
        <v>1002</v>
      </c>
      <c r="C1196" s="35" t="s">
        <v>560</v>
      </c>
      <c r="D1196" s="35" t="s">
        <v>404</v>
      </c>
      <c r="E1196" s="35" t="s">
        <v>2337</v>
      </c>
      <c r="F1196" s="35" t="s">
        <v>2292</v>
      </c>
      <c r="G1196" s="35" t="s">
        <v>2293</v>
      </c>
      <c r="H1196" s="35">
        <v>204</v>
      </c>
    </row>
    <row r="1197" spans="1:8" ht="15.75" x14ac:dyDescent="0.25">
      <c r="A1197" t="str">
        <f t="shared" si="18"/>
        <v>C134980G6037LU-M</v>
      </c>
      <c r="B1197" s="35" t="s">
        <v>889</v>
      </c>
      <c r="C1197" s="35" t="s">
        <v>1821</v>
      </c>
      <c r="D1197" s="35" t="s">
        <v>401</v>
      </c>
      <c r="E1197" s="35" t="s">
        <v>2337</v>
      </c>
      <c r="F1197" s="35" t="s">
        <v>397</v>
      </c>
      <c r="G1197" s="35" t="s">
        <v>400</v>
      </c>
      <c r="H1197" s="35">
        <v>132</v>
      </c>
    </row>
    <row r="1198" spans="1:8" ht="15.75" x14ac:dyDescent="0.25">
      <c r="A1198" t="str">
        <f t="shared" si="18"/>
        <v>C134980G6037LU-W</v>
      </c>
      <c r="B1198" s="35" t="s">
        <v>889</v>
      </c>
      <c r="C1198" s="35" t="s">
        <v>1821</v>
      </c>
      <c r="D1198" s="35" t="s">
        <v>401</v>
      </c>
      <c r="E1198" s="35" t="s">
        <v>2338</v>
      </c>
      <c r="F1198" s="35" t="s">
        <v>397</v>
      </c>
      <c r="G1198" s="35" t="s">
        <v>400</v>
      </c>
      <c r="H1198" s="35">
        <v>24</v>
      </c>
    </row>
    <row r="1199" spans="1:8" ht="15.75" x14ac:dyDescent="0.25">
      <c r="A1199" t="str">
        <f t="shared" si="18"/>
        <v>U146447G6037LU-M</v>
      </c>
      <c r="B1199" s="35" t="s">
        <v>889</v>
      </c>
      <c r="C1199" s="35" t="s">
        <v>1822</v>
      </c>
      <c r="D1199" s="35" t="s">
        <v>438</v>
      </c>
      <c r="E1199" s="35" t="s">
        <v>2337</v>
      </c>
      <c r="F1199" s="35" t="s">
        <v>436</v>
      </c>
      <c r="G1199" s="35" t="s">
        <v>437</v>
      </c>
      <c r="H1199" s="35">
        <v>900</v>
      </c>
    </row>
    <row r="1200" spans="1:8" ht="15.75" x14ac:dyDescent="0.25">
      <c r="A1200" t="str">
        <f t="shared" si="18"/>
        <v>7873628G6032Z2-M</v>
      </c>
      <c r="B1200" s="35" t="s">
        <v>892</v>
      </c>
      <c r="C1200" s="35" t="s">
        <v>1823</v>
      </c>
      <c r="D1200" s="35" t="s">
        <v>484</v>
      </c>
      <c r="E1200" s="35" t="s">
        <v>2337</v>
      </c>
      <c r="F1200" s="35" t="s">
        <v>379</v>
      </c>
      <c r="G1200" s="35" t="s">
        <v>504</v>
      </c>
      <c r="H1200" s="35">
        <v>372</v>
      </c>
    </row>
    <row r="1201" spans="1:8" ht="15.75" x14ac:dyDescent="0.25">
      <c r="A1201" t="str">
        <f t="shared" si="18"/>
        <v>U146377G6032Z2-M</v>
      </c>
      <c r="B1201" s="35" t="s">
        <v>892</v>
      </c>
      <c r="C1201" s="35" t="s">
        <v>576</v>
      </c>
      <c r="D1201" s="35" t="s">
        <v>438</v>
      </c>
      <c r="E1201" s="35" t="s">
        <v>2337</v>
      </c>
      <c r="F1201" s="35" t="s">
        <v>436</v>
      </c>
      <c r="G1201" s="35" t="s">
        <v>458</v>
      </c>
      <c r="H1201" s="35">
        <v>1800</v>
      </c>
    </row>
    <row r="1202" spans="1:8" ht="15.75" x14ac:dyDescent="0.25">
      <c r="A1202" t="str">
        <f t="shared" si="18"/>
        <v>U146475G6032Z2-M</v>
      </c>
      <c r="B1202" s="35" t="s">
        <v>892</v>
      </c>
      <c r="C1202" s="35" t="s">
        <v>593</v>
      </c>
      <c r="D1202" s="35" t="s">
        <v>438</v>
      </c>
      <c r="E1202" s="35" t="s">
        <v>2337</v>
      </c>
      <c r="F1202" s="35" t="s">
        <v>436</v>
      </c>
      <c r="G1202" s="35" t="s">
        <v>447</v>
      </c>
      <c r="H1202" s="35">
        <v>930</v>
      </c>
    </row>
    <row r="1203" spans="1:8" ht="15.75" x14ac:dyDescent="0.25">
      <c r="A1203" t="str">
        <f t="shared" si="18"/>
        <v>U148135PC9060EP-M</v>
      </c>
      <c r="B1203" s="35" t="s">
        <v>1042</v>
      </c>
      <c r="C1203" s="35" t="s">
        <v>732</v>
      </c>
      <c r="D1203" s="35" t="s">
        <v>438</v>
      </c>
      <c r="E1203" s="35" t="s">
        <v>2337</v>
      </c>
      <c r="F1203" s="35" t="s">
        <v>436</v>
      </c>
      <c r="G1203" s="35" t="s">
        <v>449</v>
      </c>
      <c r="H1203" s="35">
        <v>612</v>
      </c>
    </row>
    <row r="1204" spans="1:8" ht="15.75" x14ac:dyDescent="0.25">
      <c r="A1204" t="str">
        <f t="shared" si="18"/>
        <v>U148138PC9060EP-M</v>
      </c>
      <c r="B1204" s="35" t="s">
        <v>1042</v>
      </c>
      <c r="C1204" s="35" t="s">
        <v>752</v>
      </c>
      <c r="D1204" s="35" t="s">
        <v>438</v>
      </c>
      <c r="E1204" s="35" t="s">
        <v>2337</v>
      </c>
      <c r="F1204" s="35" t="s">
        <v>436</v>
      </c>
      <c r="G1204" s="35" t="s">
        <v>451</v>
      </c>
      <c r="H1204" s="35">
        <v>498</v>
      </c>
    </row>
    <row r="1205" spans="1:8" ht="15.75" x14ac:dyDescent="0.25">
      <c r="A1205" t="str">
        <f t="shared" si="18"/>
        <v>U148142PC9060EP-M</v>
      </c>
      <c r="B1205" s="35" t="s">
        <v>1042</v>
      </c>
      <c r="C1205" s="35" t="s">
        <v>803</v>
      </c>
      <c r="D1205" s="35" t="s">
        <v>438</v>
      </c>
      <c r="E1205" s="35" t="s">
        <v>2337</v>
      </c>
      <c r="F1205" s="35" t="s">
        <v>436</v>
      </c>
      <c r="G1205" s="35" t="s">
        <v>449</v>
      </c>
      <c r="H1205" s="35">
        <v>804</v>
      </c>
    </row>
    <row r="1206" spans="1:8" ht="15.75" x14ac:dyDescent="0.25">
      <c r="A1206" t="str">
        <f t="shared" si="18"/>
        <v>U148143PC9060EP-M</v>
      </c>
      <c r="B1206" s="35" t="s">
        <v>1042</v>
      </c>
      <c r="C1206" s="35" t="s">
        <v>860</v>
      </c>
      <c r="D1206" s="35" t="s">
        <v>438</v>
      </c>
      <c r="E1206" s="35" t="s">
        <v>2337</v>
      </c>
      <c r="F1206" s="35" t="s">
        <v>436</v>
      </c>
      <c r="G1206" s="35" t="s">
        <v>450</v>
      </c>
      <c r="H1206" s="35">
        <v>684</v>
      </c>
    </row>
    <row r="1207" spans="1:8" ht="15.75" x14ac:dyDescent="0.25">
      <c r="A1207" t="str">
        <f t="shared" si="18"/>
        <v>H189176G6035F4-M</v>
      </c>
      <c r="B1207" s="35" t="s">
        <v>891</v>
      </c>
      <c r="C1207" s="35" t="s">
        <v>679</v>
      </c>
      <c r="D1207" s="35" t="s">
        <v>404</v>
      </c>
      <c r="E1207" s="35" t="s">
        <v>2337</v>
      </c>
      <c r="F1207" s="35" t="s">
        <v>414</v>
      </c>
      <c r="G1207" s="35" t="s">
        <v>415</v>
      </c>
      <c r="H1207" s="35">
        <v>198</v>
      </c>
    </row>
    <row r="1208" spans="1:8" ht="15.75" x14ac:dyDescent="0.25">
      <c r="A1208" t="str">
        <f t="shared" si="18"/>
        <v>H189176G6035F4-W</v>
      </c>
      <c r="B1208" s="35" t="s">
        <v>891</v>
      </c>
      <c r="C1208" s="35" t="s">
        <v>679</v>
      </c>
      <c r="D1208" s="35" t="s">
        <v>404</v>
      </c>
      <c r="E1208" s="35" t="s">
        <v>2338</v>
      </c>
      <c r="F1208" s="35" t="s">
        <v>414</v>
      </c>
      <c r="G1208" s="35" t="s">
        <v>415</v>
      </c>
      <c r="H1208" s="35">
        <v>252</v>
      </c>
    </row>
    <row r="1209" spans="1:8" ht="15.75" x14ac:dyDescent="0.25">
      <c r="A1209" t="str">
        <f t="shared" si="18"/>
        <v>U152782G6035F4-M</v>
      </c>
      <c r="B1209" s="35" t="s">
        <v>891</v>
      </c>
      <c r="C1209" s="35" t="s">
        <v>713</v>
      </c>
      <c r="D1209" s="35" t="s">
        <v>444</v>
      </c>
      <c r="E1209" s="35" t="s">
        <v>2337</v>
      </c>
      <c r="F1209" s="35" t="s">
        <v>436</v>
      </c>
      <c r="G1209" s="35" t="s">
        <v>443</v>
      </c>
      <c r="H1209" s="35">
        <v>672</v>
      </c>
    </row>
    <row r="1210" spans="1:8" ht="15.75" x14ac:dyDescent="0.25">
      <c r="A1210" t="str">
        <f t="shared" si="18"/>
        <v>U152782G6035F4-W</v>
      </c>
      <c r="B1210" s="35" t="s">
        <v>891</v>
      </c>
      <c r="C1210" s="35" t="s">
        <v>713</v>
      </c>
      <c r="D1210" s="35" t="s">
        <v>444</v>
      </c>
      <c r="E1210" s="35" t="s">
        <v>2338</v>
      </c>
      <c r="F1210" s="35" t="s">
        <v>436</v>
      </c>
      <c r="G1210" s="35" t="s">
        <v>443</v>
      </c>
      <c r="H1210" s="35">
        <v>114</v>
      </c>
    </row>
    <row r="1211" spans="1:8" ht="15.75" x14ac:dyDescent="0.25">
      <c r="A1211" t="str">
        <f t="shared" si="18"/>
        <v>H189068P60394T-M</v>
      </c>
      <c r="B1211" s="35" t="s">
        <v>1002</v>
      </c>
      <c r="C1211" s="35" t="s">
        <v>669</v>
      </c>
      <c r="D1211" s="35" t="s">
        <v>404</v>
      </c>
      <c r="E1211" s="35" t="s">
        <v>2337</v>
      </c>
      <c r="F1211" s="35" t="s">
        <v>2294</v>
      </c>
      <c r="G1211" s="35" t="s">
        <v>2295</v>
      </c>
      <c r="H1211" s="35">
        <v>60</v>
      </c>
    </row>
    <row r="1212" spans="1:8" ht="15.75" x14ac:dyDescent="0.25">
      <c r="A1212" t="str">
        <f t="shared" si="18"/>
        <v>H189068P60394T-W</v>
      </c>
      <c r="B1212" s="35" t="s">
        <v>1002</v>
      </c>
      <c r="C1212" s="35" t="s">
        <v>669</v>
      </c>
      <c r="D1212" s="35" t="s">
        <v>404</v>
      </c>
      <c r="E1212" s="35" t="s">
        <v>2338</v>
      </c>
      <c r="F1212" s="35" t="s">
        <v>2294</v>
      </c>
      <c r="G1212" s="35" t="s">
        <v>2295</v>
      </c>
      <c r="H1212" s="35">
        <v>120</v>
      </c>
    </row>
    <row r="1213" spans="1:8" ht="15.75" x14ac:dyDescent="0.25">
      <c r="A1213" t="str">
        <f t="shared" si="18"/>
        <v>H189183P60394T-M</v>
      </c>
      <c r="B1213" s="35" t="s">
        <v>1002</v>
      </c>
      <c r="C1213" s="35" t="s">
        <v>670</v>
      </c>
      <c r="D1213" s="35" t="s">
        <v>404</v>
      </c>
      <c r="E1213" s="35" t="s">
        <v>2337</v>
      </c>
      <c r="F1213" s="35" t="s">
        <v>414</v>
      </c>
      <c r="G1213" s="35" t="s">
        <v>415</v>
      </c>
      <c r="H1213" s="35">
        <v>240</v>
      </c>
    </row>
    <row r="1214" spans="1:8" ht="15.75" x14ac:dyDescent="0.25">
      <c r="A1214" t="str">
        <f t="shared" si="18"/>
        <v>H189183P60394T-W</v>
      </c>
      <c r="B1214" s="35" t="s">
        <v>1002</v>
      </c>
      <c r="C1214" s="35" t="s">
        <v>670</v>
      </c>
      <c r="D1214" s="35" t="s">
        <v>404</v>
      </c>
      <c r="E1214" s="35" t="s">
        <v>2338</v>
      </c>
      <c r="F1214" s="35" t="s">
        <v>414</v>
      </c>
      <c r="G1214" s="35" t="s">
        <v>415</v>
      </c>
      <c r="H1214" s="35">
        <v>360</v>
      </c>
    </row>
    <row r="1215" spans="1:8" ht="15.75" x14ac:dyDescent="0.25">
      <c r="A1215" t="str">
        <f t="shared" si="18"/>
        <v>U152757P6036SS-M</v>
      </c>
      <c r="B1215" s="35" t="s">
        <v>1005</v>
      </c>
      <c r="C1215" s="35" t="s">
        <v>851</v>
      </c>
      <c r="D1215" s="35" t="s">
        <v>438</v>
      </c>
      <c r="E1215" s="35" t="s">
        <v>2337</v>
      </c>
      <c r="F1215" s="35" t="s">
        <v>436</v>
      </c>
      <c r="G1215" s="35" t="s">
        <v>442</v>
      </c>
      <c r="H1215" s="35">
        <v>1200</v>
      </c>
    </row>
    <row r="1216" spans="1:8" ht="15.75" x14ac:dyDescent="0.25">
      <c r="A1216" t="str">
        <f t="shared" si="18"/>
        <v>U152795G6037VE-M</v>
      </c>
      <c r="B1216" s="35" t="s">
        <v>945</v>
      </c>
      <c r="C1216" s="35" t="s">
        <v>710</v>
      </c>
      <c r="D1216" s="35" t="s">
        <v>444</v>
      </c>
      <c r="E1216" s="35" t="s">
        <v>2337</v>
      </c>
      <c r="F1216" s="35" t="s">
        <v>436</v>
      </c>
      <c r="G1216" s="35" t="s">
        <v>443</v>
      </c>
      <c r="H1216" s="35">
        <v>618</v>
      </c>
    </row>
    <row r="1217" spans="1:8" ht="15.75" x14ac:dyDescent="0.25">
      <c r="A1217" t="str">
        <f t="shared" si="18"/>
        <v>U152795G6037VE-W</v>
      </c>
      <c r="B1217" s="35" t="s">
        <v>945</v>
      </c>
      <c r="C1217" s="35" t="s">
        <v>710</v>
      </c>
      <c r="D1217" s="35" t="s">
        <v>444</v>
      </c>
      <c r="E1217" s="35" t="s">
        <v>2338</v>
      </c>
      <c r="F1217" s="35" t="s">
        <v>436</v>
      </c>
      <c r="G1217" s="35" t="s">
        <v>443</v>
      </c>
      <c r="H1217" s="35">
        <v>102</v>
      </c>
    </row>
    <row r="1218" spans="1:8" ht="15.75" x14ac:dyDescent="0.25">
      <c r="A1218" t="str">
        <f t="shared" si="18"/>
        <v>H189175G6032Z2-W</v>
      </c>
      <c r="B1218" s="35" t="s">
        <v>892</v>
      </c>
      <c r="C1218" s="35" t="s">
        <v>630</v>
      </c>
      <c r="D1218" s="35" t="s">
        <v>404</v>
      </c>
      <c r="E1218" s="35" t="s">
        <v>2338</v>
      </c>
      <c r="F1218" s="35" t="s">
        <v>414</v>
      </c>
      <c r="G1218" s="35" t="s">
        <v>415</v>
      </c>
      <c r="H1218" s="35">
        <v>252</v>
      </c>
    </row>
    <row r="1219" spans="1:8" ht="15.75" x14ac:dyDescent="0.25">
      <c r="A1219" t="str">
        <f t="shared" si="18"/>
        <v>U152786G6032Z2-M</v>
      </c>
      <c r="B1219" s="35" t="s">
        <v>892</v>
      </c>
      <c r="C1219" s="35" t="s">
        <v>632</v>
      </c>
      <c r="D1219" s="35" t="s">
        <v>444</v>
      </c>
      <c r="E1219" s="35" t="s">
        <v>2337</v>
      </c>
      <c r="F1219" s="35" t="s">
        <v>436</v>
      </c>
      <c r="G1219" s="35" t="s">
        <v>443</v>
      </c>
      <c r="H1219" s="35">
        <v>660</v>
      </c>
    </row>
    <row r="1220" spans="1:8" ht="15.75" x14ac:dyDescent="0.25">
      <c r="A1220" t="str">
        <f t="shared" si="18"/>
        <v>U152786G6032Z2-W</v>
      </c>
      <c r="B1220" s="35" t="s">
        <v>892</v>
      </c>
      <c r="C1220" s="35" t="s">
        <v>632</v>
      </c>
      <c r="D1220" s="35" t="s">
        <v>444</v>
      </c>
      <c r="E1220" s="35" t="s">
        <v>2338</v>
      </c>
      <c r="F1220" s="35" t="s">
        <v>436</v>
      </c>
      <c r="G1220" s="35" t="s">
        <v>443</v>
      </c>
      <c r="H1220" s="35">
        <v>120</v>
      </c>
    </row>
    <row r="1221" spans="1:8" ht="15.75" x14ac:dyDescent="0.25">
      <c r="A1221" t="str">
        <f t="shared" si="18"/>
        <v>7866116GC9060BK-M</v>
      </c>
      <c r="B1221" s="35" t="s">
        <v>1009</v>
      </c>
      <c r="C1221" s="35" t="s">
        <v>543</v>
      </c>
      <c r="D1221" s="35" t="s">
        <v>387</v>
      </c>
      <c r="E1221" s="35" t="s">
        <v>2337</v>
      </c>
      <c r="F1221" s="35" t="s">
        <v>385</v>
      </c>
      <c r="G1221" s="35" t="s">
        <v>386</v>
      </c>
      <c r="H1221" s="35">
        <v>1998</v>
      </c>
    </row>
    <row r="1222" spans="1:8" ht="15.75" x14ac:dyDescent="0.25">
      <c r="A1222" t="str">
        <f t="shared" si="18"/>
        <v>7866226PC9060LL-M</v>
      </c>
      <c r="B1222" s="35" t="s">
        <v>995</v>
      </c>
      <c r="C1222" s="35" t="s">
        <v>750</v>
      </c>
      <c r="D1222" s="35" t="s">
        <v>387</v>
      </c>
      <c r="E1222" s="35" t="s">
        <v>2337</v>
      </c>
      <c r="F1222" s="35" t="s">
        <v>385</v>
      </c>
      <c r="G1222" s="35" t="s">
        <v>386</v>
      </c>
      <c r="H1222" s="35">
        <v>222</v>
      </c>
    </row>
    <row r="1223" spans="1:8" ht="15.75" x14ac:dyDescent="0.25">
      <c r="A1223" t="str">
        <f t="shared" ref="A1223:A1286" si="19">+C1223&amp;B1223&amp;"-"&amp;E1223</f>
        <v>H188968PC9060LL-M</v>
      </c>
      <c r="B1223" s="35" t="s">
        <v>995</v>
      </c>
      <c r="C1223" s="35" t="s">
        <v>802</v>
      </c>
      <c r="D1223" s="35" t="s">
        <v>404</v>
      </c>
      <c r="E1223" s="35" t="s">
        <v>2337</v>
      </c>
      <c r="F1223" s="35" t="s">
        <v>501</v>
      </c>
      <c r="G1223" s="35" t="s">
        <v>502</v>
      </c>
      <c r="H1223" s="35">
        <v>492</v>
      </c>
    </row>
    <row r="1224" spans="1:8" ht="15.75" x14ac:dyDescent="0.25">
      <c r="A1224" t="str">
        <f t="shared" si="19"/>
        <v>U152774PC9060LL-M</v>
      </c>
      <c r="B1224" s="35" t="s">
        <v>995</v>
      </c>
      <c r="C1224" s="35" t="s">
        <v>854</v>
      </c>
      <c r="D1224" s="35" t="s">
        <v>444</v>
      </c>
      <c r="E1224" s="35" t="s">
        <v>2337</v>
      </c>
      <c r="F1224" s="35" t="s">
        <v>436</v>
      </c>
      <c r="G1224" s="35" t="s">
        <v>443</v>
      </c>
      <c r="H1224" s="35">
        <v>780</v>
      </c>
    </row>
    <row r="1225" spans="1:8" ht="15.75" x14ac:dyDescent="0.25">
      <c r="A1225" t="str">
        <f t="shared" si="19"/>
        <v>U152774PC9060LL-W</v>
      </c>
      <c r="B1225" s="35" t="s">
        <v>995</v>
      </c>
      <c r="C1225" s="35" t="s">
        <v>854</v>
      </c>
      <c r="D1225" s="35" t="s">
        <v>444</v>
      </c>
      <c r="E1225" s="35" t="s">
        <v>2338</v>
      </c>
      <c r="F1225" s="35" t="s">
        <v>436</v>
      </c>
      <c r="G1225" s="35" t="s">
        <v>443</v>
      </c>
      <c r="H1225" s="35">
        <v>30</v>
      </c>
    </row>
    <row r="1226" spans="1:8" ht="15.75" x14ac:dyDescent="0.25">
      <c r="A1226" t="str">
        <f t="shared" si="19"/>
        <v>7866468PC9060BE-M</v>
      </c>
      <c r="B1226" s="35" t="s">
        <v>1034</v>
      </c>
      <c r="C1226" s="35" t="s">
        <v>1824</v>
      </c>
      <c r="D1226" s="35" t="s">
        <v>390</v>
      </c>
      <c r="E1226" s="35" t="s">
        <v>2337</v>
      </c>
      <c r="F1226" s="35" t="s">
        <v>382</v>
      </c>
      <c r="G1226" s="35" t="s">
        <v>383</v>
      </c>
      <c r="H1226" s="35">
        <v>1008</v>
      </c>
    </row>
    <row r="1227" spans="1:8" ht="15.75" x14ac:dyDescent="0.25">
      <c r="A1227" t="str">
        <f t="shared" si="19"/>
        <v>7866160PC9060BE-M</v>
      </c>
      <c r="B1227" s="35" t="s">
        <v>1034</v>
      </c>
      <c r="C1227" s="35" t="s">
        <v>1825</v>
      </c>
      <c r="D1227" s="35" t="s">
        <v>387</v>
      </c>
      <c r="E1227" s="35" t="s">
        <v>2337</v>
      </c>
      <c r="F1227" s="35" t="s">
        <v>385</v>
      </c>
      <c r="G1227" s="35" t="s">
        <v>386</v>
      </c>
      <c r="H1227" s="35">
        <v>666</v>
      </c>
    </row>
    <row r="1228" spans="1:8" ht="15.75" x14ac:dyDescent="0.25">
      <c r="A1228" t="str">
        <f t="shared" si="19"/>
        <v>7875022PC9060BE-M</v>
      </c>
      <c r="B1228" s="35" t="s">
        <v>1034</v>
      </c>
      <c r="C1228" s="35" t="s">
        <v>1826</v>
      </c>
      <c r="D1228" s="35" t="s">
        <v>391</v>
      </c>
      <c r="E1228" s="35" t="s">
        <v>2337</v>
      </c>
      <c r="F1228" s="35" t="s">
        <v>379</v>
      </c>
      <c r="G1228" s="35" t="s">
        <v>380</v>
      </c>
      <c r="H1228" s="35">
        <v>318</v>
      </c>
    </row>
    <row r="1229" spans="1:8" ht="15.75" x14ac:dyDescent="0.25">
      <c r="A1229" t="str">
        <f t="shared" si="19"/>
        <v>7875112PC9060BE-M</v>
      </c>
      <c r="B1229" s="35" t="s">
        <v>1034</v>
      </c>
      <c r="C1229" s="35" t="s">
        <v>1827</v>
      </c>
      <c r="D1229" s="35" t="s">
        <v>390</v>
      </c>
      <c r="E1229" s="35" t="s">
        <v>2337</v>
      </c>
      <c r="F1229" s="35" t="s">
        <v>382</v>
      </c>
      <c r="G1229" s="35" t="s">
        <v>383</v>
      </c>
      <c r="H1229" s="35">
        <v>1296</v>
      </c>
    </row>
    <row r="1230" spans="1:8" ht="15.75" x14ac:dyDescent="0.25">
      <c r="A1230" t="str">
        <f t="shared" si="19"/>
        <v>7876109PC9060BE-M</v>
      </c>
      <c r="B1230" s="35" t="s">
        <v>1034</v>
      </c>
      <c r="C1230" s="35" t="s">
        <v>1828</v>
      </c>
      <c r="D1230" s="35" t="s">
        <v>387</v>
      </c>
      <c r="E1230" s="35" t="s">
        <v>2337</v>
      </c>
      <c r="F1230" s="35" t="s">
        <v>388</v>
      </c>
      <c r="G1230" s="35" t="s">
        <v>389</v>
      </c>
      <c r="H1230" s="35">
        <v>1650</v>
      </c>
    </row>
    <row r="1231" spans="1:8" ht="15.75" x14ac:dyDescent="0.25">
      <c r="A1231" t="str">
        <f t="shared" si="19"/>
        <v>H189021PC9060BE-M</v>
      </c>
      <c r="B1231" s="35" t="s">
        <v>1034</v>
      </c>
      <c r="C1231" s="35" t="s">
        <v>1829</v>
      </c>
      <c r="D1231" s="35" t="s">
        <v>404</v>
      </c>
      <c r="E1231" s="35" t="s">
        <v>2337</v>
      </c>
      <c r="F1231" s="35" t="s">
        <v>430</v>
      </c>
      <c r="G1231" s="35" t="s">
        <v>431</v>
      </c>
      <c r="H1231" s="35">
        <v>150</v>
      </c>
    </row>
    <row r="1232" spans="1:8" ht="15.75" x14ac:dyDescent="0.25">
      <c r="A1232" t="str">
        <f t="shared" si="19"/>
        <v>U152843P90602XV-M</v>
      </c>
      <c r="B1232" s="35" t="s">
        <v>991</v>
      </c>
      <c r="C1232" s="35" t="s">
        <v>1830</v>
      </c>
      <c r="D1232" s="35" t="s">
        <v>444</v>
      </c>
      <c r="E1232" s="35" t="s">
        <v>2337</v>
      </c>
      <c r="F1232" s="35" t="s">
        <v>436</v>
      </c>
      <c r="G1232" s="35" t="s">
        <v>443</v>
      </c>
      <c r="H1232" s="35">
        <v>408</v>
      </c>
    </row>
    <row r="1233" spans="1:8" ht="15.75" x14ac:dyDescent="0.25">
      <c r="A1233" t="str">
        <f t="shared" si="19"/>
        <v>U152843P90602XV-W</v>
      </c>
      <c r="B1233" s="35" t="s">
        <v>991</v>
      </c>
      <c r="C1233" s="35" t="s">
        <v>1830</v>
      </c>
      <c r="D1233" s="35" t="s">
        <v>444</v>
      </c>
      <c r="E1233" s="35" t="s">
        <v>2338</v>
      </c>
      <c r="F1233" s="35" t="s">
        <v>436</v>
      </c>
      <c r="G1233" s="35" t="s">
        <v>443</v>
      </c>
      <c r="H1233" s="35">
        <v>12</v>
      </c>
    </row>
    <row r="1234" spans="1:8" ht="15.75" x14ac:dyDescent="0.25">
      <c r="A1234" t="str">
        <f t="shared" si="19"/>
        <v>7880830P90602XV-M</v>
      </c>
      <c r="B1234" s="35" t="s">
        <v>991</v>
      </c>
      <c r="C1234" s="35" t="s">
        <v>1831</v>
      </c>
      <c r="D1234" s="35" t="s">
        <v>387</v>
      </c>
      <c r="E1234" s="35" t="s">
        <v>2337</v>
      </c>
      <c r="F1234" s="35" t="s">
        <v>388</v>
      </c>
      <c r="G1234" s="35" t="s">
        <v>389</v>
      </c>
      <c r="H1234" s="35">
        <v>870</v>
      </c>
    </row>
    <row r="1235" spans="1:8" ht="15.75" x14ac:dyDescent="0.25">
      <c r="A1235" t="str">
        <f t="shared" si="19"/>
        <v>7880908PC9060LL-M</v>
      </c>
      <c r="B1235" s="35" t="s">
        <v>995</v>
      </c>
      <c r="C1235" s="35" t="s">
        <v>1832</v>
      </c>
      <c r="D1235" s="35" t="s">
        <v>387</v>
      </c>
      <c r="E1235" s="35" t="s">
        <v>2337</v>
      </c>
      <c r="F1235" s="35" t="s">
        <v>388</v>
      </c>
      <c r="G1235" s="35" t="s">
        <v>389</v>
      </c>
      <c r="H1235" s="35">
        <v>1452</v>
      </c>
    </row>
    <row r="1236" spans="1:8" ht="15.75" x14ac:dyDescent="0.25">
      <c r="A1236" t="str">
        <f t="shared" si="19"/>
        <v>H189794PC9060LL-M</v>
      </c>
      <c r="B1236" s="35" t="s">
        <v>995</v>
      </c>
      <c r="C1236" s="35" t="s">
        <v>1833</v>
      </c>
      <c r="D1236" s="35" t="s">
        <v>404</v>
      </c>
      <c r="E1236" s="35" t="s">
        <v>2337</v>
      </c>
      <c r="F1236" s="35" t="s">
        <v>2294</v>
      </c>
      <c r="G1236" s="35" t="s">
        <v>2295</v>
      </c>
      <c r="H1236" s="35">
        <v>168</v>
      </c>
    </row>
    <row r="1237" spans="1:8" ht="15.75" x14ac:dyDescent="0.25">
      <c r="A1237" t="str">
        <f t="shared" si="19"/>
        <v>H189845PC9060LL-M</v>
      </c>
      <c r="B1237" s="35" t="s">
        <v>995</v>
      </c>
      <c r="C1237" s="35" t="s">
        <v>1834</v>
      </c>
      <c r="D1237" s="35" t="s">
        <v>404</v>
      </c>
      <c r="E1237" s="35" t="s">
        <v>2337</v>
      </c>
      <c r="F1237" s="35" t="s">
        <v>414</v>
      </c>
      <c r="G1237" s="35" t="s">
        <v>415</v>
      </c>
      <c r="H1237" s="35">
        <v>330</v>
      </c>
    </row>
    <row r="1238" spans="1:8" ht="15.75" x14ac:dyDescent="0.25">
      <c r="A1238" t="str">
        <f t="shared" si="19"/>
        <v>7880764P60394T-M</v>
      </c>
      <c r="B1238" s="35" t="s">
        <v>1002</v>
      </c>
      <c r="C1238" s="35" t="s">
        <v>754</v>
      </c>
      <c r="D1238" s="35" t="s">
        <v>387</v>
      </c>
      <c r="E1238" s="35" t="s">
        <v>2337</v>
      </c>
      <c r="F1238" s="35" t="s">
        <v>388</v>
      </c>
      <c r="G1238" s="35" t="s">
        <v>389</v>
      </c>
      <c r="H1238" s="35">
        <v>762</v>
      </c>
    </row>
    <row r="1239" spans="1:8" ht="15.75" x14ac:dyDescent="0.25">
      <c r="A1239" t="str">
        <f t="shared" si="19"/>
        <v>7880777P60394T-M</v>
      </c>
      <c r="B1239" s="35" t="s">
        <v>1002</v>
      </c>
      <c r="C1239" s="35" t="s">
        <v>836</v>
      </c>
      <c r="D1239" s="35" t="s">
        <v>387</v>
      </c>
      <c r="E1239" s="35" t="s">
        <v>2337</v>
      </c>
      <c r="F1239" s="35" t="s">
        <v>388</v>
      </c>
      <c r="G1239" s="35" t="s">
        <v>389</v>
      </c>
      <c r="H1239" s="35">
        <v>552</v>
      </c>
    </row>
    <row r="1240" spans="1:8" ht="15.75" x14ac:dyDescent="0.25">
      <c r="A1240" t="str">
        <f t="shared" si="19"/>
        <v>7880896PC9060BE-M</v>
      </c>
      <c r="B1240" s="35" t="s">
        <v>1034</v>
      </c>
      <c r="C1240" s="35" t="s">
        <v>1835</v>
      </c>
      <c r="D1240" s="35" t="s">
        <v>387</v>
      </c>
      <c r="E1240" s="35" t="s">
        <v>2337</v>
      </c>
      <c r="F1240" s="35" t="s">
        <v>388</v>
      </c>
      <c r="G1240" s="35" t="s">
        <v>389</v>
      </c>
      <c r="H1240" s="35">
        <v>480</v>
      </c>
    </row>
    <row r="1241" spans="1:8" ht="15.75" x14ac:dyDescent="0.25">
      <c r="A1241" t="str">
        <f t="shared" si="19"/>
        <v>7884678PC9060BE-M</v>
      </c>
      <c r="B1241" s="35" t="s">
        <v>1034</v>
      </c>
      <c r="C1241" s="35" t="s">
        <v>1836</v>
      </c>
      <c r="D1241" s="35" t="s">
        <v>395</v>
      </c>
      <c r="E1241" s="35" t="s">
        <v>2337</v>
      </c>
      <c r="F1241" s="35" t="s">
        <v>382</v>
      </c>
      <c r="G1241" s="35" t="s">
        <v>383</v>
      </c>
      <c r="H1241" s="35">
        <v>834</v>
      </c>
    </row>
    <row r="1242" spans="1:8" ht="15.75" x14ac:dyDescent="0.25">
      <c r="A1242" t="str">
        <f t="shared" si="19"/>
        <v>H178082GC9060GY-M</v>
      </c>
      <c r="B1242" s="35" t="s">
        <v>1011</v>
      </c>
      <c r="C1242" s="35" t="s">
        <v>1837</v>
      </c>
      <c r="D1242" s="35" t="s">
        <v>404</v>
      </c>
      <c r="E1242" s="35" t="s">
        <v>2337</v>
      </c>
      <c r="F1242" s="35" t="s">
        <v>402</v>
      </c>
      <c r="G1242" s="35" t="s">
        <v>403</v>
      </c>
      <c r="H1242" s="35">
        <v>144</v>
      </c>
    </row>
    <row r="1243" spans="1:8" ht="15.75" x14ac:dyDescent="0.25">
      <c r="A1243" t="str">
        <f t="shared" si="19"/>
        <v>H178084GC9060GY-M</v>
      </c>
      <c r="B1243" s="35" t="s">
        <v>1011</v>
      </c>
      <c r="C1243" s="35" t="s">
        <v>1838</v>
      </c>
      <c r="D1243" s="35" t="s">
        <v>404</v>
      </c>
      <c r="E1243" s="35" t="s">
        <v>2337</v>
      </c>
      <c r="F1243" s="35" t="s">
        <v>402</v>
      </c>
      <c r="G1243" s="35" t="s">
        <v>403</v>
      </c>
      <c r="H1243" s="35">
        <v>144</v>
      </c>
    </row>
    <row r="1244" spans="1:8" ht="15.75" x14ac:dyDescent="0.25">
      <c r="A1244" t="str">
        <f t="shared" si="19"/>
        <v>H178086GC9060GY-M</v>
      </c>
      <c r="B1244" s="35" t="s">
        <v>1011</v>
      </c>
      <c r="C1244" s="35" t="s">
        <v>1839</v>
      </c>
      <c r="D1244" s="35" t="s">
        <v>404</v>
      </c>
      <c r="E1244" s="35" t="s">
        <v>2337</v>
      </c>
      <c r="F1244" s="35" t="s">
        <v>402</v>
      </c>
      <c r="G1244" s="35" t="s">
        <v>403</v>
      </c>
      <c r="H1244" s="35">
        <v>240</v>
      </c>
    </row>
    <row r="1245" spans="1:8" ht="15.75" x14ac:dyDescent="0.25">
      <c r="A1245" t="str">
        <f t="shared" si="19"/>
        <v>H178088GC9060GY-M</v>
      </c>
      <c r="B1245" s="35" t="s">
        <v>1011</v>
      </c>
      <c r="C1245" s="35" t="s">
        <v>1840</v>
      </c>
      <c r="D1245" s="35" t="s">
        <v>404</v>
      </c>
      <c r="E1245" s="35" t="s">
        <v>2337</v>
      </c>
      <c r="F1245" s="35" t="s">
        <v>402</v>
      </c>
      <c r="G1245" s="35" t="s">
        <v>403</v>
      </c>
      <c r="H1245" s="35">
        <v>240</v>
      </c>
    </row>
    <row r="1246" spans="1:8" ht="15.75" x14ac:dyDescent="0.25">
      <c r="A1246" t="str">
        <f t="shared" si="19"/>
        <v>H177956GC9060BK-M</v>
      </c>
      <c r="B1246" s="35" t="s">
        <v>1009</v>
      </c>
      <c r="C1246" s="35" t="s">
        <v>1841</v>
      </c>
      <c r="D1246" s="35" t="s">
        <v>404</v>
      </c>
      <c r="E1246" s="35" t="s">
        <v>2337</v>
      </c>
      <c r="F1246" s="35" t="s">
        <v>434</v>
      </c>
      <c r="G1246" s="35" t="s">
        <v>435</v>
      </c>
      <c r="H1246" s="35">
        <v>144</v>
      </c>
    </row>
    <row r="1247" spans="1:8" ht="15.75" x14ac:dyDescent="0.25">
      <c r="A1247" t="str">
        <f t="shared" si="19"/>
        <v>7884364G90601ND-M</v>
      </c>
      <c r="B1247" s="35" t="s">
        <v>1038</v>
      </c>
      <c r="C1247" s="35" t="s">
        <v>1842</v>
      </c>
      <c r="D1247" s="35" t="s">
        <v>395</v>
      </c>
      <c r="E1247" s="35" t="s">
        <v>2337</v>
      </c>
      <c r="F1247" s="35" t="s">
        <v>382</v>
      </c>
      <c r="G1247" s="35" t="s">
        <v>383</v>
      </c>
      <c r="H1247" s="35">
        <v>162</v>
      </c>
    </row>
    <row r="1248" spans="1:8" ht="15.75" x14ac:dyDescent="0.25">
      <c r="A1248" t="str">
        <f t="shared" si="19"/>
        <v>U153213G90601ND-M</v>
      </c>
      <c r="B1248" s="35" t="s">
        <v>1038</v>
      </c>
      <c r="C1248" s="35" t="s">
        <v>1843</v>
      </c>
      <c r="D1248" s="35" t="s">
        <v>438</v>
      </c>
      <c r="E1248" s="35" t="s">
        <v>2337</v>
      </c>
      <c r="F1248" s="35" t="s">
        <v>436</v>
      </c>
      <c r="G1248" s="35" t="s">
        <v>455</v>
      </c>
      <c r="H1248" s="35">
        <v>1230</v>
      </c>
    </row>
    <row r="1249" spans="1:8" ht="15.75" x14ac:dyDescent="0.25">
      <c r="A1249" t="str">
        <f t="shared" si="19"/>
        <v>U153214G90601ND-M</v>
      </c>
      <c r="B1249" s="35" t="s">
        <v>1038</v>
      </c>
      <c r="C1249" s="35" t="s">
        <v>1844</v>
      </c>
      <c r="D1249" s="35" t="s">
        <v>438</v>
      </c>
      <c r="E1249" s="35" t="s">
        <v>2337</v>
      </c>
      <c r="F1249" s="35" t="s">
        <v>436</v>
      </c>
      <c r="G1249" s="35" t="s">
        <v>451</v>
      </c>
      <c r="H1249" s="35">
        <v>1068</v>
      </c>
    </row>
    <row r="1250" spans="1:8" ht="15.75" x14ac:dyDescent="0.25">
      <c r="A1250" t="str">
        <f t="shared" si="19"/>
        <v>U153219G90601ND-M</v>
      </c>
      <c r="B1250" s="35" t="s">
        <v>1038</v>
      </c>
      <c r="C1250" s="35" t="s">
        <v>1845</v>
      </c>
      <c r="D1250" s="35" t="s">
        <v>438</v>
      </c>
      <c r="E1250" s="35" t="s">
        <v>2337</v>
      </c>
      <c r="F1250" s="35" t="s">
        <v>436</v>
      </c>
      <c r="G1250" s="35" t="s">
        <v>454</v>
      </c>
      <c r="H1250" s="35">
        <v>1062</v>
      </c>
    </row>
    <row r="1251" spans="1:8" ht="15.75" x14ac:dyDescent="0.25">
      <c r="A1251" t="str">
        <f t="shared" si="19"/>
        <v>U153230G90601ND-M</v>
      </c>
      <c r="B1251" s="35" t="s">
        <v>1038</v>
      </c>
      <c r="C1251" s="35" t="s">
        <v>1846</v>
      </c>
      <c r="D1251" s="35" t="s">
        <v>438</v>
      </c>
      <c r="E1251" s="35" t="s">
        <v>2337</v>
      </c>
      <c r="F1251" s="35" t="s">
        <v>436</v>
      </c>
      <c r="G1251" s="35" t="s">
        <v>449</v>
      </c>
      <c r="H1251" s="35">
        <v>972</v>
      </c>
    </row>
    <row r="1252" spans="1:8" ht="15.75" x14ac:dyDescent="0.25">
      <c r="A1252" t="str">
        <f t="shared" si="19"/>
        <v>U153232G90601ND-M</v>
      </c>
      <c r="B1252" s="35" t="s">
        <v>1038</v>
      </c>
      <c r="C1252" s="35" t="s">
        <v>1847</v>
      </c>
      <c r="D1252" s="35" t="s">
        <v>438</v>
      </c>
      <c r="E1252" s="35" t="s">
        <v>2337</v>
      </c>
      <c r="F1252" s="35" t="s">
        <v>436</v>
      </c>
      <c r="G1252" s="35" t="s">
        <v>449</v>
      </c>
      <c r="H1252" s="35">
        <v>1026</v>
      </c>
    </row>
    <row r="1253" spans="1:8" ht="15.75" x14ac:dyDescent="0.25">
      <c r="A1253" t="str">
        <f t="shared" si="19"/>
        <v>H177594G90601XJ-M</v>
      </c>
      <c r="B1253" s="35" t="s">
        <v>1073</v>
      </c>
      <c r="C1253" s="35" t="s">
        <v>1848</v>
      </c>
      <c r="D1253" s="35" t="s">
        <v>404</v>
      </c>
      <c r="E1253" s="35" t="s">
        <v>2337</v>
      </c>
      <c r="F1253" s="35" t="s">
        <v>2292</v>
      </c>
      <c r="G1253" s="35" t="s">
        <v>2293</v>
      </c>
      <c r="H1253" s="35">
        <v>432</v>
      </c>
    </row>
    <row r="1254" spans="1:8" ht="15.75" x14ac:dyDescent="0.25">
      <c r="A1254" t="str">
        <f t="shared" si="19"/>
        <v>7882553GC9060ER-M</v>
      </c>
      <c r="B1254" s="35" t="s">
        <v>1014</v>
      </c>
      <c r="C1254" s="35" t="s">
        <v>1849</v>
      </c>
      <c r="D1254" s="35" t="s">
        <v>394</v>
      </c>
      <c r="E1254" s="35" t="s">
        <v>2337</v>
      </c>
      <c r="F1254" s="35" t="s">
        <v>392</v>
      </c>
      <c r="G1254" s="35" t="s">
        <v>526</v>
      </c>
      <c r="H1254" s="35">
        <v>804</v>
      </c>
    </row>
    <row r="1255" spans="1:8" ht="15.75" x14ac:dyDescent="0.25">
      <c r="A1255" t="str">
        <f t="shared" si="19"/>
        <v>7886741GC9060ER-M</v>
      </c>
      <c r="B1255" s="35" t="s">
        <v>1014</v>
      </c>
      <c r="C1255" s="35" t="s">
        <v>1850</v>
      </c>
      <c r="D1255" s="35" t="s">
        <v>394</v>
      </c>
      <c r="E1255" s="35" t="s">
        <v>2337</v>
      </c>
      <c r="F1255" s="35" t="s">
        <v>507</v>
      </c>
      <c r="G1255" s="35" t="s">
        <v>508</v>
      </c>
      <c r="H1255" s="35">
        <v>300</v>
      </c>
    </row>
    <row r="1256" spans="1:8" ht="15.75" x14ac:dyDescent="0.25">
      <c r="A1256" t="str">
        <f t="shared" si="19"/>
        <v>H178039GC9060ER-M</v>
      </c>
      <c r="B1256" s="35" t="s">
        <v>1014</v>
      </c>
      <c r="C1256" s="35" t="s">
        <v>1851</v>
      </c>
      <c r="D1256" s="35" t="s">
        <v>404</v>
      </c>
      <c r="E1256" s="35" t="s">
        <v>2337</v>
      </c>
      <c r="F1256" s="35" t="s">
        <v>402</v>
      </c>
      <c r="G1256" s="35" t="s">
        <v>2289</v>
      </c>
      <c r="H1256" s="35">
        <v>372</v>
      </c>
    </row>
    <row r="1257" spans="1:8" ht="15.75" x14ac:dyDescent="0.25">
      <c r="A1257" t="str">
        <f t="shared" si="19"/>
        <v>H178133GC9060ER-M</v>
      </c>
      <c r="B1257" s="35" t="s">
        <v>1014</v>
      </c>
      <c r="C1257" s="35" t="s">
        <v>1852</v>
      </c>
      <c r="D1257" s="35" t="s">
        <v>404</v>
      </c>
      <c r="E1257" s="35" t="s">
        <v>2337</v>
      </c>
      <c r="F1257" s="35" t="s">
        <v>402</v>
      </c>
      <c r="G1257" s="35" t="s">
        <v>403</v>
      </c>
      <c r="H1257" s="35">
        <v>144</v>
      </c>
    </row>
    <row r="1258" spans="1:8" ht="15.75" x14ac:dyDescent="0.25">
      <c r="A1258" t="str">
        <f t="shared" si="19"/>
        <v>H178135GC9060ER-M</v>
      </c>
      <c r="B1258" s="35" t="s">
        <v>1014</v>
      </c>
      <c r="C1258" s="35" t="s">
        <v>1853</v>
      </c>
      <c r="D1258" s="35" t="s">
        <v>404</v>
      </c>
      <c r="E1258" s="35" t="s">
        <v>2337</v>
      </c>
      <c r="F1258" s="35" t="s">
        <v>402</v>
      </c>
      <c r="G1258" s="35" t="s">
        <v>403</v>
      </c>
      <c r="H1258" s="35">
        <v>240</v>
      </c>
    </row>
    <row r="1259" spans="1:8" ht="15.75" x14ac:dyDescent="0.25">
      <c r="A1259" t="str">
        <f t="shared" si="19"/>
        <v>H177126G90603WC-M</v>
      </c>
      <c r="B1259" s="35" t="s">
        <v>1035</v>
      </c>
      <c r="C1259" s="35" t="s">
        <v>1854</v>
      </c>
      <c r="D1259" s="35" t="s">
        <v>404</v>
      </c>
      <c r="E1259" s="35" t="s">
        <v>2337</v>
      </c>
      <c r="F1259" s="35" t="s">
        <v>430</v>
      </c>
      <c r="G1259" s="35" t="s">
        <v>431</v>
      </c>
      <c r="H1259" s="35">
        <v>516</v>
      </c>
    </row>
    <row r="1260" spans="1:8" ht="15.75" x14ac:dyDescent="0.25">
      <c r="A1260" t="str">
        <f t="shared" si="19"/>
        <v>H176978GC9060BK-M</v>
      </c>
      <c r="B1260" s="35" t="s">
        <v>1009</v>
      </c>
      <c r="C1260" s="35" t="s">
        <v>552</v>
      </c>
      <c r="D1260" s="35" t="s">
        <v>404</v>
      </c>
      <c r="E1260" s="35" t="s">
        <v>2337</v>
      </c>
      <c r="F1260" s="35" t="s">
        <v>501</v>
      </c>
      <c r="G1260" s="35" t="s">
        <v>502</v>
      </c>
      <c r="H1260" s="35">
        <v>756</v>
      </c>
    </row>
    <row r="1261" spans="1:8" ht="15.75" x14ac:dyDescent="0.25">
      <c r="A1261" t="str">
        <f t="shared" si="19"/>
        <v>H177621P9060841-M</v>
      </c>
      <c r="B1261" s="35" t="s">
        <v>992</v>
      </c>
      <c r="C1261" s="35" t="s">
        <v>1855</v>
      </c>
      <c r="D1261" s="35" t="s">
        <v>404</v>
      </c>
      <c r="E1261" s="35" t="s">
        <v>2337</v>
      </c>
      <c r="F1261" s="35" t="s">
        <v>498</v>
      </c>
      <c r="G1261" s="35" t="s">
        <v>499</v>
      </c>
      <c r="H1261" s="35">
        <v>222</v>
      </c>
    </row>
    <row r="1262" spans="1:8" ht="15.75" x14ac:dyDescent="0.25">
      <c r="A1262" t="str">
        <f t="shared" si="19"/>
        <v>7873631G6032Z2-M</v>
      </c>
      <c r="B1262" s="35" t="s">
        <v>892</v>
      </c>
      <c r="C1262" s="35" t="s">
        <v>1856</v>
      </c>
      <c r="D1262" s="35" t="s">
        <v>484</v>
      </c>
      <c r="E1262" s="35" t="s">
        <v>2337</v>
      </c>
      <c r="F1262" s="35" t="s">
        <v>379</v>
      </c>
      <c r="G1262" s="35" t="s">
        <v>504</v>
      </c>
      <c r="H1262" s="35">
        <v>294</v>
      </c>
    </row>
    <row r="1263" spans="1:8" ht="15.75" x14ac:dyDescent="0.25">
      <c r="A1263" t="str">
        <f t="shared" si="19"/>
        <v>7875501GC9060GY-M</v>
      </c>
      <c r="B1263" s="35" t="s">
        <v>1011</v>
      </c>
      <c r="C1263" s="35" t="s">
        <v>562</v>
      </c>
      <c r="D1263" s="35" t="s">
        <v>390</v>
      </c>
      <c r="E1263" s="35" t="s">
        <v>2337</v>
      </c>
      <c r="F1263" s="35" t="s">
        <v>382</v>
      </c>
      <c r="G1263" s="35" t="s">
        <v>383</v>
      </c>
      <c r="H1263" s="35">
        <v>1506</v>
      </c>
    </row>
    <row r="1264" spans="1:8" ht="15.75" x14ac:dyDescent="0.25">
      <c r="A1264" t="str">
        <f t="shared" si="19"/>
        <v>7876328GC9060GY-M</v>
      </c>
      <c r="B1264" s="35" t="s">
        <v>1011</v>
      </c>
      <c r="C1264" s="35" t="s">
        <v>1857</v>
      </c>
      <c r="D1264" s="35" t="s">
        <v>387</v>
      </c>
      <c r="E1264" s="35" t="s">
        <v>2337</v>
      </c>
      <c r="F1264" s="35" t="s">
        <v>388</v>
      </c>
      <c r="G1264" s="35" t="s">
        <v>389</v>
      </c>
      <c r="H1264" s="35">
        <v>2358</v>
      </c>
    </row>
    <row r="1265" spans="1:8" ht="15.75" x14ac:dyDescent="0.25">
      <c r="A1265" t="str">
        <f t="shared" si="19"/>
        <v>H177668GC9060GY-M</v>
      </c>
      <c r="B1265" s="35" t="s">
        <v>1011</v>
      </c>
      <c r="C1265" s="35" t="s">
        <v>658</v>
      </c>
      <c r="D1265" s="35" t="s">
        <v>404</v>
      </c>
      <c r="E1265" s="35" t="s">
        <v>2337</v>
      </c>
      <c r="F1265" s="35" t="s">
        <v>501</v>
      </c>
      <c r="G1265" s="35" t="s">
        <v>502</v>
      </c>
      <c r="H1265" s="35">
        <v>960</v>
      </c>
    </row>
    <row r="1266" spans="1:8" ht="15.75" x14ac:dyDescent="0.25">
      <c r="A1266" t="str">
        <f t="shared" si="19"/>
        <v>H177673GC9060GY-M</v>
      </c>
      <c r="B1266" s="35" t="s">
        <v>1011</v>
      </c>
      <c r="C1266" s="35" t="s">
        <v>712</v>
      </c>
      <c r="D1266" s="35" t="s">
        <v>404</v>
      </c>
      <c r="E1266" s="35" t="s">
        <v>2337</v>
      </c>
      <c r="F1266" s="35" t="s">
        <v>524</v>
      </c>
      <c r="G1266" s="35" t="s">
        <v>525</v>
      </c>
      <c r="H1266" s="35">
        <v>708</v>
      </c>
    </row>
    <row r="1267" spans="1:8" ht="15.75" x14ac:dyDescent="0.25">
      <c r="A1267" t="str">
        <f t="shared" si="19"/>
        <v>7876316GC9060BK-M</v>
      </c>
      <c r="B1267" s="35" t="s">
        <v>1009</v>
      </c>
      <c r="C1267" s="35" t="s">
        <v>1858</v>
      </c>
      <c r="D1267" s="35" t="s">
        <v>387</v>
      </c>
      <c r="E1267" s="35" t="s">
        <v>2337</v>
      </c>
      <c r="F1267" s="35" t="s">
        <v>388</v>
      </c>
      <c r="G1267" s="35" t="s">
        <v>389</v>
      </c>
      <c r="H1267" s="35">
        <v>558</v>
      </c>
    </row>
    <row r="1268" spans="1:8" ht="15.75" x14ac:dyDescent="0.25">
      <c r="A1268" t="str">
        <f t="shared" si="19"/>
        <v>H177689GC9060BK-M</v>
      </c>
      <c r="B1268" s="35" t="s">
        <v>1009</v>
      </c>
      <c r="C1268" s="35" t="s">
        <v>672</v>
      </c>
      <c r="D1268" s="35" t="s">
        <v>404</v>
      </c>
      <c r="E1268" s="35" t="s">
        <v>2337</v>
      </c>
      <c r="F1268" s="35" t="s">
        <v>524</v>
      </c>
      <c r="G1268" s="35" t="s">
        <v>525</v>
      </c>
      <c r="H1268" s="35">
        <v>516</v>
      </c>
    </row>
    <row r="1269" spans="1:8" ht="15.75" x14ac:dyDescent="0.25">
      <c r="A1269" t="str">
        <f t="shared" si="19"/>
        <v>U148109GC9060LL-M</v>
      </c>
      <c r="B1269" s="35" t="s">
        <v>1010</v>
      </c>
      <c r="C1269" s="35" t="s">
        <v>619</v>
      </c>
      <c r="D1269" s="35" t="s">
        <v>438</v>
      </c>
      <c r="E1269" s="35" t="s">
        <v>2337</v>
      </c>
      <c r="F1269" s="35" t="s">
        <v>436</v>
      </c>
      <c r="G1269" s="35" t="s">
        <v>463</v>
      </c>
      <c r="H1269" s="35">
        <v>168</v>
      </c>
    </row>
    <row r="1270" spans="1:8" ht="15.75" x14ac:dyDescent="0.25">
      <c r="A1270" t="str">
        <f t="shared" si="19"/>
        <v>U148111GC9060LL-M</v>
      </c>
      <c r="B1270" s="35" t="s">
        <v>1010</v>
      </c>
      <c r="C1270" s="35" t="s">
        <v>618</v>
      </c>
      <c r="D1270" s="35" t="s">
        <v>438</v>
      </c>
      <c r="E1270" s="35" t="s">
        <v>2337</v>
      </c>
      <c r="F1270" s="35" t="s">
        <v>436</v>
      </c>
      <c r="G1270" s="35" t="s">
        <v>460</v>
      </c>
      <c r="H1270" s="35">
        <v>144</v>
      </c>
    </row>
    <row r="1271" spans="1:8" ht="15.75" x14ac:dyDescent="0.25">
      <c r="A1271" t="str">
        <f t="shared" si="19"/>
        <v>U148113GC9060LL-M</v>
      </c>
      <c r="B1271" s="35" t="s">
        <v>1010</v>
      </c>
      <c r="C1271" s="35" t="s">
        <v>616</v>
      </c>
      <c r="D1271" s="35" t="s">
        <v>438</v>
      </c>
      <c r="E1271" s="35" t="s">
        <v>2337</v>
      </c>
      <c r="F1271" s="35" t="s">
        <v>436</v>
      </c>
      <c r="G1271" s="35" t="s">
        <v>464</v>
      </c>
      <c r="H1271" s="35">
        <v>192</v>
      </c>
    </row>
    <row r="1272" spans="1:8" ht="15.75" x14ac:dyDescent="0.25">
      <c r="A1272" t="str">
        <f t="shared" si="19"/>
        <v>U148108GC9060LL-M</v>
      </c>
      <c r="B1272" s="35" t="s">
        <v>1010</v>
      </c>
      <c r="C1272" s="35" t="s">
        <v>620</v>
      </c>
      <c r="D1272" s="35" t="s">
        <v>438</v>
      </c>
      <c r="E1272" s="35" t="s">
        <v>2337</v>
      </c>
      <c r="F1272" s="35" t="s">
        <v>436</v>
      </c>
      <c r="G1272" s="35" t="s">
        <v>454</v>
      </c>
      <c r="H1272" s="35">
        <v>2340</v>
      </c>
    </row>
    <row r="1273" spans="1:8" ht="15.75" x14ac:dyDescent="0.25">
      <c r="A1273" t="str">
        <f t="shared" si="19"/>
        <v>U148110GC9060LL-M</v>
      </c>
      <c r="B1273" s="35" t="s">
        <v>1010</v>
      </c>
      <c r="C1273" s="35" t="s">
        <v>676</v>
      </c>
      <c r="D1273" s="35" t="s">
        <v>438</v>
      </c>
      <c r="E1273" s="35" t="s">
        <v>2337</v>
      </c>
      <c r="F1273" s="35" t="s">
        <v>436</v>
      </c>
      <c r="G1273" s="35" t="s">
        <v>451</v>
      </c>
      <c r="H1273" s="35">
        <v>2340</v>
      </c>
    </row>
    <row r="1274" spans="1:8" ht="15.75" x14ac:dyDescent="0.25">
      <c r="A1274" t="str">
        <f t="shared" si="19"/>
        <v>U148125GC9060LL-M</v>
      </c>
      <c r="B1274" s="35" t="s">
        <v>1010</v>
      </c>
      <c r="C1274" s="35" t="s">
        <v>674</v>
      </c>
      <c r="D1274" s="35" t="s">
        <v>438</v>
      </c>
      <c r="E1274" s="35" t="s">
        <v>2337</v>
      </c>
      <c r="F1274" s="35" t="s">
        <v>436</v>
      </c>
      <c r="G1274" s="35" t="s">
        <v>447</v>
      </c>
      <c r="H1274" s="35">
        <v>942</v>
      </c>
    </row>
    <row r="1275" spans="1:8" ht="15.75" x14ac:dyDescent="0.25">
      <c r="A1275" t="str">
        <f t="shared" si="19"/>
        <v>H189060P6036SS-M</v>
      </c>
      <c r="B1275" s="35" t="s">
        <v>1005</v>
      </c>
      <c r="C1275" s="35" t="s">
        <v>685</v>
      </c>
      <c r="D1275" s="35" t="s">
        <v>404</v>
      </c>
      <c r="E1275" s="35" t="s">
        <v>2337</v>
      </c>
      <c r="F1275" s="35" t="s">
        <v>2294</v>
      </c>
      <c r="G1275" s="35" t="s">
        <v>2295</v>
      </c>
      <c r="H1275" s="35">
        <v>60</v>
      </c>
    </row>
    <row r="1276" spans="1:8" ht="15.75" x14ac:dyDescent="0.25">
      <c r="A1276" t="str">
        <f t="shared" si="19"/>
        <v>H189060P6036SS-W</v>
      </c>
      <c r="B1276" s="35" t="s">
        <v>1005</v>
      </c>
      <c r="C1276" s="35" t="s">
        <v>685</v>
      </c>
      <c r="D1276" s="35" t="s">
        <v>404</v>
      </c>
      <c r="E1276" s="35" t="s">
        <v>2338</v>
      </c>
      <c r="F1276" s="35" t="s">
        <v>2294</v>
      </c>
      <c r="G1276" s="35" t="s">
        <v>2295</v>
      </c>
      <c r="H1276" s="35">
        <v>120</v>
      </c>
    </row>
    <row r="1277" spans="1:8" ht="15.75" x14ac:dyDescent="0.25">
      <c r="A1277" t="str">
        <f t="shared" si="19"/>
        <v>H189177P6036SS-M</v>
      </c>
      <c r="B1277" s="35" t="s">
        <v>1005</v>
      </c>
      <c r="C1277" s="35" t="s">
        <v>655</v>
      </c>
      <c r="D1277" s="35" t="s">
        <v>404</v>
      </c>
      <c r="E1277" s="35" t="s">
        <v>2337</v>
      </c>
      <c r="F1277" s="35" t="s">
        <v>414</v>
      </c>
      <c r="G1277" s="35" t="s">
        <v>415</v>
      </c>
      <c r="H1277" s="35">
        <v>240</v>
      </c>
    </row>
    <row r="1278" spans="1:8" ht="15.75" x14ac:dyDescent="0.25">
      <c r="A1278" t="str">
        <f t="shared" si="19"/>
        <v>7866109GC9060LL-M</v>
      </c>
      <c r="B1278" s="35" t="s">
        <v>1010</v>
      </c>
      <c r="C1278" s="35" t="s">
        <v>590</v>
      </c>
      <c r="D1278" s="35" t="s">
        <v>387</v>
      </c>
      <c r="E1278" s="35" t="s">
        <v>2337</v>
      </c>
      <c r="F1278" s="35" t="s">
        <v>385</v>
      </c>
      <c r="G1278" s="35" t="s">
        <v>386</v>
      </c>
      <c r="H1278" s="35">
        <v>546</v>
      </c>
    </row>
    <row r="1279" spans="1:8" ht="15.75" x14ac:dyDescent="0.25">
      <c r="A1279" t="str">
        <f t="shared" si="19"/>
        <v>7866110GC9060LL-M</v>
      </c>
      <c r="B1279" s="35" t="s">
        <v>1010</v>
      </c>
      <c r="C1279" s="35" t="s">
        <v>596</v>
      </c>
      <c r="D1279" s="35" t="s">
        <v>387</v>
      </c>
      <c r="E1279" s="35" t="s">
        <v>2337</v>
      </c>
      <c r="F1279" s="35" t="s">
        <v>385</v>
      </c>
      <c r="G1279" s="35" t="s">
        <v>386</v>
      </c>
      <c r="H1279" s="35">
        <v>564</v>
      </c>
    </row>
    <row r="1280" spans="1:8" ht="15.75" x14ac:dyDescent="0.25">
      <c r="A1280" t="str">
        <f t="shared" si="19"/>
        <v>7866111GC9060LL-M</v>
      </c>
      <c r="B1280" s="35" t="s">
        <v>1010</v>
      </c>
      <c r="C1280" s="35" t="s">
        <v>602</v>
      </c>
      <c r="D1280" s="35" t="s">
        <v>387</v>
      </c>
      <c r="E1280" s="35" t="s">
        <v>2337</v>
      </c>
      <c r="F1280" s="35" t="s">
        <v>385</v>
      </c>
      <c r="G1280" s="35" t="s">
        <v>386</v>
      </c>
      <c r="H1280" s="35">
        <v>600</v>
      </c>
    </row>
    <row r="1281" spans="1:8" ht="15.75" x14ac:dyDescent="0.25">
      <c r="A1281" t="str">
        <f t="shared" si="19"/>
        <v>H189019GC9060BK-M</v>
      </c>
      <c r="B1281" s="35" t="s">
        <v>1009</v>
      </c>
      <c r="C1281" s="35" t="s">
        <v>1859</v>
      </c>
      <c r="D1281" s="35" t="s">
        <v>404</v>
      </c>
      <c r="E1281" s="35" t="s">
        <v>2337</v>
      </c>
      <c r="F1281" s="35" t="s">
        <v>430</v>
      </c>
      <c r="G1281" s="35" t="s">
        <v>431</v>
      </c>
      <c r="H1281" s="35">
        <v>162</v>
      </c>
    </row>
    <row r="1282" spans="1:8" ht="15.75" x14ac:dyDescent="0.25">
      <c r="A1282" t="str">
        <f t="shared" si="19"/>
        <v>U152822GC9060BK-M</v>
      </c>
      <c r="B1282" s="35" t="s">
        <v>1009</v>
      </c>
      <c r="C1282" s="35" t="s">
        <v>756</v>
      </c>
      <c r="D1282" s="35" t="s">
        <v>457</v>
      </c>
      <c r="E1282" s="35" t="s">
        <v>2337</v>
      </c>
      <c r="F1282" s="35" t="s">
        <v>436</v>
      </c>
      <c r="G1282" s="35" t="s">
        <v>443</v>
      </c>
      <c r="H1282" s="35">
        <v>108</v>
      </c>
    </row>
    <row r="1283" spans="1:8" ht="15.75" x14ac:dyDescent="0.25">
      <c r="A1283" t="str">
        <f t="shared" si="19"/>
        <v>U152822GC9060BK-W</v>
      </c>
      <c r="B1283" s="35" t="s">
        <v>1009</v>
      </c>
      <c r="C1283" s="35" t="s">
        <v>756</v>
      </c>
      <c r="D1283" s="35" t="s">
        <v>457</v>
      </c>
      <c r="E1283" s="35" t="s">
        <v>2338</v>
      </c>
      <c r="F1283" s="35" t="s">
        <v>436</v>
      </c>
      <c r="G1283" s="35" t="s">
        <v>443</v>
      </c>
      <c r="H1283" s="35">
        <v>36</v>
      </c>
    </row>
    <row r="1284" spans="1:8" ht="15.75" x14ac:dyDescent="0.25">
      <c r="A1284" t="str">
        <f t="shared" si="19"/>
        <v>U152833GC9060BK-M</v>
      </c>
      <c r="B1284" s="35" t="s">
        <v>1009</v>
      </c>
      <c r="C1284" s="35" t="s">
        <v>885</v>
      </c>
      <c r="D1284" s="35" t="s">
        <v>457</v>
      </c>
      <c r="E1284" s="35" t="s">
        <v>2337</v>
      </c>
      <c r="F1284" s="35" t="s">
        <v>436</v>
      </c>
      <c r="G1284" s="35" t="s">
        <v>443</v>
      </c>
      <c r="H1284" s="35">
        <v>108</v>
      </c>
    </row>
    <row r="1285" spans="1:8" ht="15.75" x14ac:dyDescent="0.25">
      <c r="A1285" t="str">
        <f t="shared" si="19"/>
        <v>U152833GC9060BK-W</v>
      </c>
      <c r="B1285" s="35" t="s">
        <v>1009</v>
      </c>
      <c r="C1285" s="35" t="s">
        <v>885</v>
      </c>
      <c r="D1285" s="35" t="s">
        <v>457</v>
      </c>
      <c r="E1285" s="35" t="s">
        <v>2338</v>
      </c>
      <c r="F1285" s="35" t="s">
        <v>436</v>
      </c>
      <c r="G1285" s="35" t="s">
        <v>443</v>
      </c>
      <c r="H1285" s="35">
        <v>36</v>
      </c>
    </row>
    <row r="1286" spans="1:8" ht="15.75" x14ac:dyDescent="0.25">
      <c r="A1286" t="str">
        <f t="shared" si="19"/>
        <v>U152834GC9060BK-M</v>
      </c>
      <c r="B1286" s="35" t="s">
        <v>1009</v>
      </c>
      <c r="C1286" s="35" t="s">
        <v>772</v>
      </c>
      <c r="D1286" s="35" t="s">
        <v>466</v>
      </c>
      <c r="E1286" s="35" t="s">
        <v>2337</v>
      </c>
      <c r="F1286" s="35" t="s">
        <v>436</v>
      </c>
      <c r="G1286" s="35" t="s">
        <v>443</v>
      </c>
      <c r="H1286" s="35">
        <v>108</v>
      </c>
    </row>
    <row r="1287" spans="1:8" ht="15.75" x14ac:dyDescent="0.25">
      <c r="A1287" t="str">
        <f t="shared" ref="A1287:A1350" si="20">+C1287&amp;B1287&amp;"-"&amp;E1287</f>
        <v>U152834GC9060BK-W</v>
      </c>
      <c r="B1287" s="35" t="s">
        <v>1009</v>
      </c>
      <c r="C1287" s="35" t="s">
        <v>772</v>
      </c>
      <c r="D1287" s="35" t="s">
        <v>466</v>
      </c>
      <c r="E1287" s="35" t="s">
        <v>2338</v>
      </c>
      <c r="F1287" s="35" t="s">
        <v>436</v>
      </c>
      <c r="G1287" s="35" t="s">
        <v>443</v>
      </c>
      <c r="H1287" s="35">
        <v>48</v>
      </c>
    </row>
    <row r="1288" spans="1:8" ht="15.75" x14ac:dyDescent="0.25">
      <c r="A1288" t="str">
        <f t="shared" si="20"/>
        <v>U152836GC9060BK-M</v>
      </c>
      <c r="B1288" s="35" t="s">
        <v>1009</v>
      </c>
      <c r="C1288" s="35" t="s">
        <v>1860</v>
      </c>
      <c r="D1288" s="35" t="s">
        <v>444</v>
      </c>
      <c r="E1288" s="35" t="s">
        <v>2337</v>
      </c>
      <c r="F1288" s="35" t="s">
        <v>436</v>
      </c>
      <c r="G1288" s="35" t="s">
        <v>443</v>
      </c>
      <c r="H1288" s="35">
        <v>210</v>
      </c>
    </row>
    <row r="1289" spans="1:8" ht="15.75" x14ac:dyDescent="0.25">
      <c r="A1289" t="str">
        <f t="shared" si="20"/>
        <v>U152836GC9060BK-W</v>
      </c>
      <c r="B1289" s="35" t="s">
        <v>1009</v>
      </c>
      <c r="C1289" s="35" t="s">
        <v>1860</v>
      </c>
      <c r="D1289" s="35" t="s">
        <v>444</v>
      </c>
      <c r="E1289" s="35" t="s">
        <v>2338</v>
      </c>
      <c r="F1289" s="35" t="s">
        <v>436</v>
      </c>
      <c r="G1289" s="35" t="s">
        <v>443</v>
      </c>
      <c r="H1289" s="35">
        <v>252</v>
      </c>
    </row>
    <row r="1290" spans="1:8" ht="15.75" x14ac:dyDescent="0.25">
      <c r="A1290" t="str">
        <f t="shared" si="20"/>
        <v>U148136G90609SI-M</v>
      </c>
      <c r="B1290" s="35" t="s">
        <v>1074</v>
      </c>
      <c r="C1290" s="35" t="s">
        <v>777</v>
      </c>
      <c r="D1290" s="35" t="s">
        <v>438</v>
      </c>
      <c r="E1290" s="35" t="s">
        <v>2337</v>
      </c>
      <c r="F1290" s="35" t="s">
        <v>436</v>
      </c>
      <c r="G1290" s="35" t="s">
        <v>450</v>
      </c>
      <c r="H1290" s="35">
        <v>720</v>
      </c>
    </row>
    <row r="1291" spans="1:8" ht="15.75" x14ac:dyDescent="0.25">
      <c r="A1291" t="str">
        <f t="shared" si="20"/>
        <v>U148137G90609SI-M</v>
      </c>
      <c r="B1291" s="35" t="s">
        <v>1074</v>
      </c>
      <c r="C1291" s="35" t="s">
        <v>840</v>
      </c>
      <c r="D1291" s="35" t="s">
        <v>438</v>
      </c>
      <c r="E1291" s="35" t="s">
        <v>2337</v>
      </c>
      <c r="F1291" s="35" t="s">
        <v>436</v>
      </c>
      <c r="G1291" s="35" t="s">
        <v>449</v>
      </c>
      <c r="H1291" s="35">
        <v>720</v>
      </c>
    </row>
    <row r="1292" spans="1:8" ht="15.75" x14ac:dyDescent="0.25">
      <c r="A1292" t="str">
        <f t="shared" si="20"/>
        <v>U148139G90609SI-M</v>
      </c>
      <c r="B1292" s="35" t="s">
        <v>1074</v>
      </c>
      <c r="C1292" s="35" t="s">
        <v>1861</v>
      </c>
      <c r="D1292" s="35" t="s">
        <v>438</v>
      </c>
      <c r="E1292" s="35" t="s">
        <v>2337</v>
      </c>
      <c r="F1292" s="35" t="s">
        <v>436</v>
      </c>
      <c r="G1292" s="35" t="s">
        <v>450</v>
      </c>
      <c r="H1292" s="35">
        <v>630</v>
      </c>
    </row>
    <row r="1293" spans="1:8" ht="15.75" x14ac:dyDescent="0.25">
      <c r="A1293" t="str">
        <f t="shared" si="20"/>
        <v>U148141G90609SI-M</v>
      </c>
      <c r="B1293" s="35" t="s">
        <v>1074</v>
      </c>
      <c r="C1293" s="35" t="s">
        <v>880</v>
      </c>
      <c r="D1293" s="35" t="s">
        <v>438</v>
      </c>
      <c r="E1293" s="35" t="s">
        <v>2337</v>
      </c>
      <c r="F1293" s="35" t="s">
        <v>436</v>
      </c>
      <c r="G1293" s="35" t="s">
        <v>451</v>
      </c>
      <c r="H1293" s="35">
        <v>630</v>
      </c>
    </row>
    <row r="1294" spans="1:8" ht="15.75" x14ac:dyDescent="0.25">
      <c r="A1294" t="str">
        <f t="shared" si="20"/>
        <v>U148156G90609SI-M</v>
      </c>
      <c r="B1294" s="35" t="s">
        <v>1074</v>
      </c>
      <c r="C1294" s="35" t="s">
        <v>1862</v>
      </c>
      <c r="D1294" s="35" t="s">
        <v>438</v>
      </c>
      <c r="E1294" s="35" t="s">
        <v>2337</v>
      </c>
      <c r="F1294" s="35" t="s">
        <v>436</v>
      </c>
      <c r="G1294" s="35" t="s">
        <v>449</v>
      </c>
      <c r="H1294" s="35">
        <v>900</v>
      </c>
    </row>
    <row r="1295" spans="1:8" ht="15.75" x14ac:dyDescent="0.25">
      <c r="A1295" t="str">
        <f t="shared" si="20"/>
        <v>U149019G90609SI-M</v>
      </c>
      <c r="B1295" s="35" t="s">
        <v>1074</v>
      </c>
      <c r="C1295" s="35" t="s">
        <v>1863</v>
      </c>
      <c r="D1295" s="35" t="s">
        <v>438</v>
      </c>
      <c r="E1295" s="35" t="s">
        <v>2337</v>
      </c>
      <c r="F1295" s="35" t="s">
        <v>436</v>
      </c>
      <c r="G1295" s="35" t="s">
        <v>2310</v>
      </c>
      <c r="H1295" s="35">
        <v>630</v>
      </c>
    </row>
    <row r="1296" spans="1:8" ht="15.75" x14ac:dyDescent="0.25">
      <c r="A1296" t="str">
        <f t="shared" si="20"/>
        <v>U152780G90601ND-M</v>
      </c>
      <c r="B1296" s="35" t="s">
        <v>1038</v>
      </c>
      <c r="C1296" s="35" t="s">
        <v>1864</v>
      </c>
      <c r="D1296" s="35" t="s">
        <v>444</v>
      </c>
      <c r="E1296" s="35" t="s">
        <v>2337</v>
      </c>
      <c r="F1296" s="35" t="s">
        <v>436</v>
      </c>
      <c r="G1296" s="35" t="s">
        <v>443</v>
      </c>
      <c r="H1296" s="35">
        <v>600</v>
      </c>
    </row>
    <row r="1297" spans="1:8" ht="15.75" x14ac:dyDescent="0.25">
      <c r="A1297" t="str">
        <f t="shared" si="20"/>
        <v>U152780G90601ND-W</v>
      </c>
      <c r="B1297" s="35" t="s">
        <v>1038</v>
      </c>
      <c r="C1297" s="35" t="s">
        <v>1864</v>
      </c>
      <c r="D1297" s="35" t="s">
        <v>444</v>
      </c>
      <c r="E1297" s="35" t="s">
        <v>2338</v>
      </c>
      <c r="F1297" s="35" t="s">
        <v>436</v>
      </c>
      <c r="G1297" s="35" t="s">
        <v>443</v>
      </c>
      <c r="H1297" s="35">
        <v>84</v>
      </c>
    </row>
    <row r="1298" spans="1:8" ht="15.75" x14ac:dyDescent="0.25">
      <c r="A1298" t="str">
        <f t="shared" si="20"/>
        <v>H177751G90601ND-M</v>
      </c>
      <c r="B1298" s="35" t="s">
        <v>1038</v>
      </c>
      <c r="C1298" s="35" t="s">
        <v>1865</v>
      </c>
      <c r="D1298" s="35" t="s">
        <v>404</v>
      </c>
      <c r="E1298" s="35" t="s">
        <v>2337</v>
      </c>
      <c r="F1298" s="35" t="s">
        <v>430</v>
      </c>
      <c r="G1298" s="35" t="s">
        <v>431</v>
      </c>
      <c r="H1298" s="35">
        <v>312</v>
      </c>
    </row>
    <row r="1299" spans="1:8" ht="15.75" x14ac:dyDescent="0.25">
      <c r="A1299" t="str">
        <f t="shared" si="20"/>
        <v>7882539G90601ND-M</v>
      </c>
      <c r="B1299" s="35" t="s">
        <v>1038</v>
      </c>
      <c r="C1299" s="35" t="s">
        <v>1866</v>
      </c>
      <c r="D1299" s="35" t="s">
        <v>394</v>
      </c>
      <c r="E1299" s="35" t="s">
        <v>2337</v>
      </c>
      <c r="F1299" s="35" t="s">
        <v>392</v>
      </c>
      <c r="G1299" s="35" t="s">
        <v>526</v>
      </c>
      <c r="H1299" s="35">
        <v>444</v>
      </c>
    </row>
    <row r="1300" spans="1:8" ht="15.75" x14ac:dyDescent="0.25">
      <c r="A1300" t="str">
        <f t="shared" si="20"/>
        <v>7884268G90601ND-M</v>
      </c>
      <c r="B1300" s="35" t="s">
        <v>1038</v>
      </c>
      <c r="C1300" s="35" t="s">
        <v>1867</v>
      </c>
      <c r="D1300" s="35" t="s">
        <v>474</v>
      </c>
      <c r="E1300" s="35" t="s">
        <v>2337</v>
      </c>
      <c r="F1300" s="35" t="s">
        <v>379</v>
      </c>
      <c r="G1300" s="35" t="s">
        <v>380</v>
      </c>
      <c r="H1300" s="35">
        <v>162</v>
      </c>
    </row>
    <row r="1301" spans="1:8" ht="15.75" x14ac:dyDescent="0.25">
      <c r="A1301" t="str">
        <f t="shared" si="20"/>
        <v>H177966GC9060BK-M</v>
      </c>
      <c r="B1301" s="35" t="s">
        <v>1009</v>
      </c>
      <c r="C1301" s="35" t="s">
        <v>759</v>
      </c>
      <c r="D1301" s="35" t="s">
        <v>404</v>
      </c>
      <c r="E1301" s="35" t="s">
        <v>2337</v>
      </c>
      <c r="F1301" s="35" t="s">
        <v>524</v>
      </c>
      <c r="G1301" s="35" t="s">
        <v>525</v>
      </c>
      <c r="H1301" s="35">
        <v>654</v>
      </c>
    </row>
    <row r="1302" spans="1:8" ht="15.75" x14ac:dyDescent="0.25">
      <c r="A1302" t="str">
        <f t="shared" si="20"/>
        <v>7880790G90603HA-M</v>
      </c>
      <c r="B1302" s="35" t="s">
        <v>1037</v>
      </c>
      <c r="C1302" s="35" t="s">
        <v>1868</v>
      </c>
      <c r="D1302" s="35" t="s">
        <v>387</v>
      </c>
      <c r="E1302" s="35" t="s">
        <v>2337</v>
      </c>
      <c r="F1302" s="35" t="s">
        <v>388</v>
      </c>
      <c r="G1302" s="35" t="s">
        <v>389</v>
      </c>
      <c r="H1302" s="35">
        <v>228</v>
      </c>
    </row>
    <row r="1303" spans="1:8" ht="15.75" x14ac:dyDescent="0.25">
      <c r="A1303" t="str">
        <f t="shared" si="20"/>
        <v>H176888GC9060BK-M</v>
      </c>
      <c r="B1303" s="35" t="s">
        <v>1009</v>
      </c>
      <c r="C1303" s="35" t="s">
        <v>1869</v>
      </c>
      <c r="D1303" s="35" t="s">
        <v>404</v>
      </c>
      <c r="E1303" s="35" t="s">
        <v>2337</v>
      </c>
      <c r="F1303" s="35" t="s">
        <v>2292</v>
      </c>
      <c r="G1303" s="35" t="s">
        <v>2293</v>
      </c>
      <c r="H1303" s="35">
        <v>336</v>
      </c>
    </row>
    <row r="1304" spans="1:8" ht="15.75" x14ac:dyDescent="0.25">
      <c r="A1304" t="str">
        <f t="shared" si="20"/>
        <v>H176885GC9060GY-M</v>
      </c>
      <c r="B1304" s="35" t="s">
        <v>1011</v>
      </c>
      <c r="C1304" s="35" t="s">
        <v>546</v>
      </c>
      <c r="D1304" s="35" t="s">
        <v>404</v>
      </c>
      <c r="E1304" s="35" t="s">
        <v>2337</v>
      </c>
      <c r="F1304" s="35" t="s">
        <v>2292</v>
      </c>
      <c r="G1304" s="35" t="s">
        <v>2293</v>
      </c>
      <c r="H1304" s="35">
        <v>1116</v>
      </c>
    </row>
    <row r="1305" spans="1:8" ht="15.75" x14ac:dyDescent="0.25">
      <c r="A1305" t="str">
        <f t="shared" si="20"/>
        <v>C135268GC9060GY-M</v>
      </c>
      <c r="B1305" s="35" t="s">
        <v>1011</v>
      </c>
      <c r="C1305" s="35" t="s">
        <v>791</v>
      </c>
      <c r="D1305" s="35" t="s">
        <v>401</v>
      </c>
      <c r="E1305" s="35" t="s">
        <v>2337</v>
      </c>
      <c r="F1305" s="35" t="s">
        <v>397</v>
      </c>
      <c r="G1305" s="35" t="s">
        <v>400</v>
      </c>
      <c r="H1305" s="35">
        <v>456</v>
      </c>
    </row>
    <row r="1306" spans="1:8" ht="15.75" x14ac:dyDescent="0.25">
      <c r="A1306" t="str">
        <f t="shared" si="20"/>
        <v>H177957GC9060GY-M</v>
      </c>
      <c r="B1306" s="35" t="s">
        <v>1011</v>
      </c>
      <c r="C1306" s="35" t="s">
        <v>1870</v>
      </c>
      <c r="D1306" s="35" t="s">
        <v>404</v>
      </c>
      <c r="E1306" s="35" t="s">
        <v>2337</v>
      </c>
      <c r="F1306" s="35" t="s">
        <v>434</v>
      </c>
      <c r="G1306" s="35" t="s">
        <v>435</v>
      </c>
      <c r="H1306" s="35">
        <v>1644</v>
      </c>
    </row>
    <row r="1307" spans="1:8" ht="15.75" x14ac:dyDescent="0.25">
      <c r="A1307" t="str">
        <f t="shared" si="20"/>
        <v>H177961GC9060GY-M</v>
      </c>
      <c r="B1307" s="35" t="s">
        <v>1011</v>
      </c>
      <c r="C1307" s="35" t="s">
        <v>1871</v>
      </c>
      <c r="D1307" s="35" t="s">
        <v>404</v>
      </c>
      <c r="E1307" s="35" t="s">
        <v>2337</v>
      </c>
      <c r="F1307" s="35" t="s">
        <v>524</v>
      </c>
      <c r="G1307" s="35" t="s">
        <v>525</v>
      </c>
      <c r="H1307" s="35">
        <v>738</v>
      </c>
    </row>
    <row r="1308" spans="1:8" ht="15.75" x14ac:dyDescent="0.25">
      <c r="A1308" t="str">
        <f t="shared" si="20"/>
        <v>U153207G90601ND-M</v>
      </c>
      <c r="B1308" s="35" t="s">
        <v>1038</v>
      </c>
      <c r="C1308" s="35" t="s">
        <v>1872</v>
      </c>
      <c r="D1308" s="35" t="s">
        <v>438</v>
      </c>
      <c r="E1308" s="35" t="s">
        <v>2337</v>
      </c>
      <c r="F1308" s="35" t="s">
        <v>436</v>
      </c>
      <c r="G1308" s="35" t="s">
        <v>448</v>
      </c>
      <c r="H1308" s="35">
        <v>2526</v>
      </c>
    </row>
    <row r="1309" spans="1:8" ht="15.75" x14ac:dyDescent="0.25">
      <c r="A1309" t="str">
        <f t="shared" si="20"/>
        <v>U153208G90601ND-M</v>
      </c>
      <c r="B1309" s="35" t="s">
        <v>1038</v>
      </c>
      <c r="C1309" s="35" t="s">
        <v>1873</v>
      </c>
      <c r="D1309" s="35" t="s">
        <v>438</v>
      </c>
      <c r="E1309" s="35" t="s">
        <v>2337</v>
      </c>
      <c r="F1309" s="35" t="s">
        <v>436</v>
      </c>
      <c r="G1309" s="35" t="s">
        <v>448</v>
      </c>
      <c r="H1309" s="35">
        <v>1974</v>
      </c>
    </row>
    <row r="1310" spans="1:8" ht="15.75" x14ac:dyDescent="0.25">
      <c r="A1310" t="str">
        <f t="shared" si="20"/>
        <v>7880778G90601ND-M</v>
      </c>
      <c r="B1310" s="35" t="s">
        <v>1038</v>
      </c>
      <c r="C1310" s="35" t="s">
        <v>1874</v>
      </c>
      <c r="D1310" s="35" t="s">
        <v>387</v>
      </c>
      <c r="E1310" s="35" t="s">
        <v>2337</v>
      </c>
      <c r="F1310" s="35" t="s">
        <v>388</v>
      </c>
      <c r="G1310" s="35" t="s">
        <v>389</v>
      </c>
      <c r="H1310" s="35">
        <v>180</v>
      </c>
    </row>
    <row r="1311" spans="1:8" ht="15.75" x14ac:dyDescent="0.25">
      <c r="A1311" t="str">
        <f t="shared" si="20"/>
        <v>7881645G90601ND-M</v>
      </c>
      <c r="B1311" s="35" t="s">
        <v>1038</v>
      </c>
      <c r="C1311" s="35" t="s">
        <v>1875</v>
      </c>
      <c r="D1311" s="35" t="s">
        <v>390</v>
      </c>
      <c r="E1311" s="35" t="s">
        <v>2337</v>
      </c>
      <c r="F1311" s="35" t="s">
        <v>382</v>
      </c>
      <c r="G1311" s="35" t="s">
        <v>383</v>
      </c>
      <c r="H1311" s="35">
        <v>180</v>
      </c>
    </row>
    <row r="1312" spans="1:8" ht="15.75" x14ac:dyDescent="0.25">
      <c r="A1312" t="str">
        <f t="shared" si="20"/>
        <v>U153199G90601ND-M</v>
      </c>
      <c r="B1312" s="35" t="s">
        <v>1038</v>
      </c>
      <c r="C1312" s="35" t="s">
        <v>1876</v>
      </c>
      <c r="D1312" s="35" t="s">
        <v>438</v>
      </c>
      <c r="E1312" s="35" t="s">
        <v>2337</v>
      </c>
      <c r="F1312" s="35" t="s">
        <v>436</v>
      </c>
      <c r="G1312" s="35" t="s">
        <v>455</v>
      </c>
      <c r="H1312" s="35">
        <v>1440</v>
      </c>
    </row>
    <row r="1313" spans="1:8" ht="15.75" x14ac:dyDescent="0.25">
      <c r="A1313" t="str">
        <f t="shared" si="20"/>
        <v>U153200G90601ND-M</v>
      </c>
      <c r="B1313" s="35" t="s">
        <v>1038</v>
      </c>
      <c r="C1313" s="35" t="s">
        <v>1877</v>
      </c>
      <c r="D1313" s="35" t="s">
        <v>438</v>
      </c>
      <c r="E1313" s="35" t="s">
        <v>2337</v>
      </c>
      <c r="F1313" s="35" t="s">
        <v>436</v>
      </c>
      <c r="G1313" s="35" t="s">
        <v>454</v>
      </c>
      <c r="H1313" s="35">
        <v>1440</v>
      </c>
    </row>
    <row r="1314" spans="1:8" ht="15.75" x14ac:dyDescent="0.25">
      <c r="A1314" t="str">
        <f t="shared" si="20"/>
        <v>U153202G90601ND-M</v>
      </c>
      <c r="B1314" s="35" t="s">
        <v>1038</v>
      </c>
      <c r="C1314" s="35" t="s">
        <v>1878</v>
      </c>
      <c r="D1314" s="35" t="s">
        <v>438</v>
      </c>
      <c r="E1314" s="35" t="s">
        <v>2337</v>
      </c>
      <c r="F1314" s="35" t="s">
        <v>436</v>
      </c>
      <c r="G1314" s="35" t="s">
        <v>451</v>
      </c>
      <c r="H1314" s="35">
        <v>1440</v>
      </c>
    </row>
    <row r="1315" spans="1:8" ht="15.75" x14ac:dyDescent="0.25">
      <c r="A1315" t="str">
        <f t="shared" si="20"/>
        <v>U153203G90601ND-M</v>
      </c>
      <c r="B1315" s="35" t="s">
        <v>1038</v>
      </c>
      <c r="C1315" s="35" t="s">
        <v>1879</v>
      </c>
      <c r="D1315" s="35" t="s">
        <v>438</v>
      </c>
      <c r="E1315" s="35" t="s">
        <v>2337</v>
      </c>
      <c r="F1315" s="35" t="s">
        <v>436</v>
      </c>
      <c r="G1315" s="35" t="s">
        <v>2324</v>
      </c>
      <c r="H1315" s="35">
        <v>720</v>
      </c>
    </row>
    <row r="1316" spans="1:8" ht="15.75" x14ac:dyDescent="0.25">
      <c r="A1316" t="str">
        <f t="shared" si="20"/>
        <v>U158361G90601ND-M</v>
      </c>
      <c r="B1316" s="35" t="s">
        <v>1038</v>
      </c>
      <c r="C1316" s="35" t="s">
        <v>1880</v>
      </c>
      <c r="D1316" s="35" t="s">
        <v>438</v>
      </c>
      <c r="E1316" s="35" t="s">
        <v>2337</v>
      </c>
      <c r="F1316" s="35" t="s">
        <v>436</v>
      </c>
      <c r="G1316" s="35" t="s">
        <v>2288</v>
      </c>
      <c r="H1316" s="35">
        <v>1764</v>
      </c>
    </row>
    <row r="1317" spans="1:8" ht="15.75" x14ac:dyDescent="0.25">
      <c r="A1317" t="str">
        <f t="shared" si="20"/>
        <v>U158363G90601ND-M</v>
      </c>
      <c r="B1317" s="35" t="s">
        <v>1038</v>
      </c>
      <c r="C1317" s="35" t="s">
        <v>1881</v>
      </c>
      <c r="D1317" s="35" t="s">
        <v>438</v>
      </c>
      <c r="E1317" s="35" t="s">
        <v>2337</v>
      </c>
      <c r="F1317" s="35" t="s">
        <v>436</v>
      </c>
      <c r="G1317" s="35" t="s">
        <v>2288</v>
      </c>
      <c r="H1317" s="35">
        <v>2316</v>
      </c>
    </row>
    <row r="1318" spans="1:8" ht="15.75" x14ac:dyDescent="0.25">
      <c r="A1318" t="str">
        <f t="shared" si="20"/>
        <v>7882984GC9060BK-M</v>
      </c>
      <c r="B1318" s="35" t="s">
        <v>1009</v>
      </c>
      <c r="C1318" s="35" t="s">
        <v>1882</v>
      </c>
      <c r="D1318" s="35" t="s">
        <v>394</v>
      </c>
      <c r="E1318" s="35" t="s">
        <v>2337</v>
      </c>
      <c r="F1318" s="35" t="s">
        <v>392</v>
      </c>
      <c r="G1318" s="35" t="s">
        <v>393</v>
      </c>
      <c r="H1318" s="35">
        <v>318</v>
      </c>
    </row>
    <row r="1319" spans="1:8" ht="15.75" x14ac:dyDescent="0.25">
      <c r="A1319" t="str">
        <f t="shared" si="20"/>
        <v>7882988GC9060BK-M</v>
      </c>
      <c r="B1319" s="35" t="s">
        <v>1009</v>
      </c>
      <c r="C1319" s="35" t="s">
        <v>1883</v>
      </c>
      <c r="D1319" s="35" t="s">
        <v>394</v>
      </c>
      <c r="E1319" s="35" t="s">
        <v>2337</v>
      </c>
      <c r="F1319" s="35" t="s">
        <v>392</v>
      </c>
      <c r="G1319" s="35" t="s">
        <v>393</v>
      </c>
      <c r="H1319" s="35">
        <v>390</v>
      </c>
    </row>
    <row r="1320" spans="1:8" ht="15.75" x14ac:dyDescent="0.25">
      <c r="A1320" t="str">
        <f t="shared" si="20"/>
        <v>7862291G6032Z2-M</v>
      </c>
      <c r="B1320" s="35" t="s">
        <v>892</v>
      </c>
      <c r="C1320" s="35" t="s">
        <v>1884</v>
      </c>
      <c r="D1320" s="35" t="s">
        <v>395</v>
      </c>
      <c r="E1320" s="35" t="s">
        <v>2337</v>
      </c>
      <c r="F1320" s="35" t="s">
        <v>382</v>
      </c>
      <c r="G1320" s="35" t="s">
        <v>383</v>
      </c>
      <c r="H1320" s="35">
        <v>522</v>
      </c>
    </row>
    <row r="1321" spans="1:8" ht="15.75" x14ac:dyDescent="0.25">
      <c r="A1321" t="str">
        <f t="shared" si="20"/>
        <v>H149466P60394T-W</v>
      </c>
      <c r="B1321" s="35" t="s">
        <v>1002</v>
      </c>
      <c r="C1321" s="35" t="s">
        <v>106</v>
      </c>
      <c r="D1321" s="35" t="s">
        <v>404</v>
      </c>
      <c r="E1321" s="35" t="s">
        <v>2338</v>
      </c>
      <c r="F1321" s="35" t="s">
        <v>422</v>
      </c>
      <c r="G1321" s="35" t="s">
        <v>423</v>
      </c>
      <c r="H1321" s="35">
        <v>3996</v>
      </c>
    </row>
    <row r="1322" spans="1:8" ht="15.75" x14ac:dyDescent="0.25">
      <c r="A1322" t="str">
        <f t="shared" si="20"/>
        <v>U130865G6032Z2-M</v>
      </c>
      <c r="B1322" s="35" t="s">
        <v>892</v>
      </c>
      <c r="C1322" s="35" t="s">
        <v>1885</v>
      </c>
      <c r="D1322" s="35" t="s">
        <v>438</v>
      </c>
      <c r="E1322" s="35" t="s">
        <v>2337</v>
      </c>
      <c r="F1322" s="35" t="s">
        <v>436</v>
      </c>
      <c r="G1322" s="35" t="s">
        <v>447</v>
      </c>
      <c r="H1322" s="35">
        <v>2214</v>
      </c>
    </row>
    <row r="1323" spans="1:8" ht="15.75" x14ac:dyDescent="0.25">
      <c r="A1323" t="str">
        <f t="shared" si="20"/>
        <v>U130083G6035F4-M</v>
      </c>
      <c r="B1323" s="35" t="s">
        <v>891</v>
      </c>
      <c r="C1323" s="35" t="s">
        <v>1886</v>
      </c>
      <c r="D1323" s="35" t="s">
        <v>438</v>
      </c>
      <c r="E1323" s="35" t="s">
        <v>2337</v>
      </c>
      <c r="F1323" s="35" t="s">
        <v>436</v>
      </c>
      <c r="G1323" s="35" t="s">
        <v>440</v>
      </c>
      <c r="H1323" s="35">
        <v>972</v>
      </c>
    </row>
    <row r="1324" spans="1:8" ht="15.75" x14ac:dyDescent="0.25">
      <c r="A1324" t="str">
        <f t="shared" si="20"/>
        <v>U130868G6035F4-M</v>
      </c>
      <c r="B1324" s="35" t="s">
        <v>891</v>
      </c>
      <c r="C1324" s="35" t="s">
        <v>1887</v>
      </c>
      <c r="D1324" s="35" t="s">
        <v>438</v>
      </c>
      <c r="E1324" s="35" t="s">
        <v>2337</v>
      </c>
      <c r="F1324" s="35" t="s">
        <v>436</v>
      </c>
      <c r="G1324" s="35" t="s">
        <v>447</v>
      </c>
      <c r="H1324" s="35">
        <v>2034</v>
      </c>
    </row>
    <row r="1325" spans="1:8" ht="15.75" x14ac:dyDescent="0.25">
      <c r="A1325" t="str">
        <f t="shared" si="20"/>
        <v>U130864G6037VE-M</v>
      </c>
      <c r="B1325" s="35" t="s">
        <v>945</v>
      </c>
      <c r="C1325" s="35" t="s">
        <v>1888</v>
      </c>
      <c r="D1325" s="35" t="s">
        <v>438</v>
      </c>
      <c r="E1325" s="35" t="s">
        <v>2337</v>
      </c>
      <c r="F1325" s="35" t="s">
        <v>436</v>
      </c>
      <c r="G1325" s="35" t="s">
        <v>447</v>
      </c>
      <c r="H1325" s="35">
        <v>1056</v>
      </c>
    </row>
    <row r="1326" spans="1:8" ht="15.75" x14ac:dyDescent="0.25">
      <c r="A1326" t="str">
        <f t="shared" si="20"/>
        <v>H151495G6037VE-M</v>
      </c>
      <c r="B1326" s="35" t="s">
        <v>945</v>
      </c>
      <c r="C1326" s="35" t="s">
        <v>228</v>
      </c>
      <c r="D1326" s="35" t="s">
        <v>404</v>
      </c>
      <c r="E1326" s="35" t="s">
        <v>2337</v>
      </c>
      <c r="F1326" s="35" t="s">
        <v>414</v>
      </c>
      <c r="G1326" s="35" t="s">
        <v>415</v>
      </c>
      <c r="H1326" s="35">
        <v>210</v>
      </c>
    </row>
    <row r="1327" spans="1:8" ht="15.75" x14ac:dyDescent="0.25">
      <c r="A1327" t="str">
        <f t="shared" si="20"/>
        <v>U133677G6037VE-M</v>
      </c>
      <c r="B1327" s="35" t="s">
        <v>945</v>
      </c>
      <c r="C1327" s="35" t="s">
        <v>252</v>
      </c>
      <c r="D1327" s="35" t="s">
        <v>438</v>
      </c>
      <c r="E1327" s="35" t="s">
        <v>2337</v>
      </c>
      <c r="F1327" s="35" t="s">
        <v>436</v>
      </c>
      <c r="G1327" s="35" t="s">
        <v>447</v>
      </c>
      <c r="H1327" s="35">
        <v>1200</v>
      </c>
    </row>
    <row r="1328" spans="1:8" ht="15.75" x14ac:dyDescent="0.25">
      <c r="A1328" t="str">
        <f t="shared" si="20"/>
        <v>7868603G6035F4-M</v>
      </c>
      <c r="B1328" s="35" t="s">
        <v>891</v>
      </c>
      <c r="C1328" s="35" t="s">
        <v>469</v>
      </c>
      <c r="D1328" s="35" t="s">
        <v>395</v>
      </c>
      <c r="E1328" s="35" t="s">
        <v>2337</v>
      </c>
      <c r="F1328" s="35" t="s">
        <v>382</v>
      </c>
      <c r="G1328" s="35" t="s">
        <v>383</v>
      </c>
      <c r="H1328" s="35">
        <v>642</v>
      </c>
    </row>
    <row r="1329" spans="1:8" ht="15.75" x14ac:dyDescent="0.25">
      <c r="A1329" t="str">
        <f t="shared" si="20"/>
        <v>U139766G6035F4-M</v>
      </c>
      <c r="B1329" s="35" t="s">
        <v>891</v>
      </c>
      <c r="C1329" s="35" t="s">
        <v>472</v>
      </c>
      <c r="D1329" s="35" t="s">
        <v>438</v>
      </c>
      <c r="E1329" s="35" t="s">
        <v>2337</v>
      </c>
      <c r="F1329" s="35" t="s">
        <v>436</v>
      </c>
      <c r="G1329" s="35" t="s">
        <v>446</v>
      </c>
      <c r="H1329" s="35">
        <v>498</v>
      </c>
    </row>
    <row r="1330" spans="1:8" ht="15.75" x14ac:dyDescent="0.25">
      <c r="A1330" t="str">
        <f t="shared" si="20"/>
        <v>U120512U204LCCB-D</v>
      </c>
      <c r="B1330" s="35" t="s">
        <v>1075</v>
      </c>
      <c r="C1330" s="35" t="s">
        <v>1889</v>
      </c>
      <c r="D1330" s="35" t="s">
        <v>438</v>
      </c>
      <c r="E1330" s="35" t="s">
        <v>2340</v>
      </c>
      <c r="F1330" s="35" t="s">
        <v>436</v>
      </c>
      <c r="G1330" s="35" t="s">
        <v>456</v>
      </c>
      <c r="H1330" s="35">
        <v>1500</v>
      </c>
    </row>
    <row r="1331" spans="1:8" ht="15.75" x14ac:dyDescent="0.25">
      <c r="A1331" t="str">
        <f t="shared" si="20"/>
        <v>H122203U204L3OL-D</v>
      </c>
      <c r="B1331" s="35" t="s">
        <v>1076</v>
      </c>
      <c r="C1331" s="35" t="s">
        <v>1890</v>
      </c>
      <c r="D1331" s="35" t="s">
        <v>404</v>
      </c>
      <c r="E1331" s="35" t="s">
        <v>2340</v>
      </c>
      <c r="F1331" s="35" t="s">
        <v>416</v>
      </c>
      <c r="G1331" s="35" t="s">
        <v>417</v>
      </c>
      <c r="H1331" s="35">
        <v>240</v>
      </c>
    </row>
    <row r="1332" spans="1:8" ht="15.75" x14ac:dyDescent="0.25">
      <c r="A1332" t="str">
        <f t="shared" si="20"/>
        <v>H122228U204L3OL-D</v>
      </c>
      <c r="B1332" s="35" t="s">
        <v>1076</v>
      </c>
      <c r="C1332" s="35" t="s">
        <v>1891</v>
      </c>
      <c r="D1332" s="35" t="s">
        <v>404</v>
      </c>
      <c r="E1332" s="35" t="s">
        <v>2340</v>
      </c>
      <c r="F1332" s="35" t="s">
        <v>412</v>
      </c>
      <c r="G1332" s="35" t="s">
        <v>413</v>
      </c>
      <c r="H1332" s="35">
        <v>252</v>
      </c>
    </row>
    <row r="1333" spans="1:8" ht="15.75" x14ac:dyDescent="0.25">
      <c r="A1333" t="str">
        <f t="shared" si="20"/>
        <v>7855603U204LSWD-D</v>
      </c>
      <c r="B1333" s="35" t="s">
        <v>1077</v>
      </c>
      <c r="C1333" s="35">
        <v>7855603</v>
      </c>
      <c r="D1333" s="35" t="s">
        <v>394</v>
      </c>
      <c r="E1333" s="35" t="s">
        <v>2340</v>
      </c>
      <c r="F1333" s="35" t="s">
        <v>392</v>
      </c>
      <c r="G1333" s="35" t="s">
        <v>393</v>
      </c>
      <c r="H1333" s="35">
        <v>1278</v>
      </c>
    </row>
    <row r="1334" spans="1:8" ht="15.75" x14ac:dyDescent="0.25">
      <c r="A1334" t="str">
        <f t="shared" si="20"/>
        <v>H121057U204LCCB-D</v>
      </c>
      <c r="B1334" s="35" t="s">
        <v>1075</v>
      </c>
      <c r="C1334" s="35" t="s">
        <v>1892</v>
      </c>
      <c r="D1334" s="35" t="s">
        <v>404</v>
      </c>
      <c r="E1334" s="35" t="s">
        <v>2340</v>
      </c>
      <c r="F1334" s="35" t="s">
        <v>416</v>
      </c>
      <c r="G1334" s="35" t="s">
        <v>417</v>
      </c>
      <c r="H1334" s="35">
        <v>606</v>
      </c>
    </row>
    <row r="1335" spans="1:8" ht="15.75" x14ac:dyDescent="0.25">
      <c r="A1335" t="str">
        <f t="shared" si="20"/>
        <v>C131568PC9060GY-M</v>
      </c>
      <c r="B1335" s="35" t="s">
        <v>1041</v>
      </c>
      <c r="C1335" s="35" t="s">
        <v>1893</v>
      </c>
      <c r="D1335" s="35" t="s">
        <v>399</v>
      </c>
      <c r="E1335" s="35" t="s">
        <v>2337</v>
      </c>
      <c r="F1335" s="35" t="s">
        <v>397</v>
      </c>
      <c r="G1335" s="35" t="s">
        <v>2325</v>
      </c>
      <c r="H1335" s="35">
        <v>240</v>
      </c>
    </row>
    <row r="1336" spans="1:8" ht="15.75" x14ac:dyDescent="0.25">
      <c r="A1336" t="str">
        <f t="shared" si="20"/>
        <v>7853125PC9060GY-M</v>
      </c>
      <c r="B1336" s="35" t="s">
        <v>1041</v>
      </c>
      <c r="C1336" s="35" t="s">
        <v>1894</v>
      </c>
      <c r="D1336" s="35" t="s">
        <v>390</v>
      </c>
      <c r="E1336" s="35" t="s">
        <v>2337</v>
      </c>
      <c r="F1336" s="35" t="s">
        <v>382</v>
      </c>
      <c r="G1336" s="35" t="s">
        <v>383</v>
      </c>
      <c r="H1336" s="35">
        <v>852</v>
      </c>
    </row>
    <row r="1337" spans="1:8" ht="15.75" x14ac:dyDescent="0.25">
      <c r="A1337" t="str">
        <f t="shared" si="20"/>
        <v>H122176PC9060BK-M</v>
      </c>
      <c r="B1337" s="35" t="s">
        <v>1040</v>
      </c>
      <c r="C1337" s="35" t="s">
        <v>1895</v>
      </c>
      <c r="D1337" s="35" t="s">
        <v>404</v>
      </c>
      <c r="E1337" s="35" t="s">
        <v>2337</v>
      </c>
      <c r="F1337" s="35" t="s">
        <v>524</v>
      </c>
      <c r="G1337" s="35" t="s">
        <v>525</v>
      </c>
      <c r="H1337" s="35">
        <v>318</v>
      </c>
    </row>
    <row r="1338" spans="1:8" ht="15.75" x14ac:dyDescent="0.25">
      <c r="A1338" t="str">
        <f t="shared" si="20"/>
        <v>7856237PC9060BK-M</v>
      </c>
      <c r="B1338" s="35" t="s">
        <v>1040</v>
      </c>
      <c r="C1338" s="35" t="s">
        <v>1896</v>
      </c>
      <c r="D1338" s="35" t="s">
        <v>394</v>
      </c>
      <c r="E1338" s="35" t="s">
        <v>2337</v>
      </c>
      <c r="F1338" s="35" t="s">
        <v>382</v>
      </c>
      <c r="G1338" s="35" t="s">
        <v>2326</v>
      </c>
      <c r="H1338" s="35">
        <v>1224</v>
      </c>
    </row>
    <row r="1339" spans="1:8" ht="15.75" x14ac:dyDescent="0.25">
      <c r="A1339" t="str">
        <f t="shared" si="20"/>
        <v>7856243PC9060BK-M</v>
      </c>
      <c r="B1339" s="35" t="s">
        <v>1040</v>
      </c>
      <c r="C1339" s="35" t="s">
        <v>1897</v>
      </c>
      <c r="D1339" s="35" t="s">
        <v>394</v>
      </c>
      <c r="E1339" s="35" t="s">
        <v>2337</v>
      </c>
      <c r="F1339" s="35" t="s">
        <v>382</v>
      </c>
      <c r="G1339" s="35" t="s">
        <v>2326</v>
      </c>
      <c r="H1339" s="35">
        <v>396</v>
      </c>
    </row>
    <row r="1340" spans="1:8" ht="15.75" x14ac:dyDescent="0.25">
      <c r="A1340" t="str">
        <f t="shared" si="20"/>
        <v>7856249PC9060BK-M</v>
      </c>
      <c r="B1340" s="35" t="s">
        <v>1040</v>
      </c>
      <c r="C1340" s="35" t="s">
        <v>1898</v>
      </c>
      <c r="D1340" s="35" t="s">
        <v>394</v>
      </c>
      <c r="E1340" s="35" t="s">
        <v>2337</v>
      </c>
      <c r="F1340" s="35" t="s">
        <v>382</v>
      </c>
      <c r="G1340" s="35" t="s">
        <v>2326</v>
      </c>
      <c r="H1340" s="35">
        <v>744</v>
      </c>
    </row>
    <row r="1341" spans="1:8" ht="15.75" x14ac:dyDescent="0.25">
      <c r="A1341" t="str">
        <f t="shared" si="20"/>
        <v>H133053PC9060GY-M</v>
      </c>
      <c r="B1341" s="35" t="s">
        <v>1041</v>
      </c>
      <c r="C1341" s="35" t="s">
        <v>1899</v>
      </c>
      <c r="D1341" s="35" t="s">
        <v>404</v>
      </c>
      <c r="E1341" s="35" t="s">
        <v>2337</v>
      </c>
      <c r="F1341" s="35" t="s">
        <v>412</v>
      </c>
      <c r="G1341" s="35" t="s">
        <v>413</v>
      </c>
      <c r="H1341" s="35">
        <v>516</v>
      </c>
    </row>
    <row r="1342" spans="1:8" ht="15.75" x14ac:dyDescent="0.25">
      <c r="A1342" t="str">
        <f t="shared" si="20"/>
        <v>U124850PC9060GY-M</v>
      </c>
      <c r="B1342" s="35" t="s">
        <v>1041</v>
      </c>
      <c r="C1342" s="35" t="s">
        <v>1900</v>
      </c>
      <c r="D1342" s="35" t="s">
        <v>438</v>
      </c>
      <c r="E1342" s="35" t="s">
        <v>2337</v>
      </c>
      <c r="F1342" s="35" t="s">
        <v>436</v>
      </c>
      <c r="G1342" s="35" t="s">
        <v>456</v>
      </c>
      <c r="H1342" s="35">
        <v>1200</v>
      </c>
    </row>
    <row r="1343" spans="1:8" ht="15.75" x14ac:dyDescent="0.25">
      <c r="A1343" t="str">
        <f t="shared" si="20"/>
        <v>U124904PC9060GY-M</v>
      </c>
      <c r="B1343" s="35" t="s">
        <v>1041</v>
      </c>
      <c r="C1343" s="35" t="s">
        <v>1901</v>
      </c>
      <c r="D1343" s="35" t="s">
        <v>438</v>
      </c>
      <c r="E1343" s="35" t="s">
        <v>2337</v>
      </c>
      <c r="F1343" s="35" t="s">
        <v>436</v>
      </c>
      <c r="G1343" s="35" t="s">
        <v>449</v>
      </c>
      <c r="H1343" s="35">
        <v>504</v>
      </c>
    </row>
    <row r="1344" spans="1:8" ht="15.75" x14ac:dyDescent="0.25">
      <c r="A1344" t="str">
        <f t="shared" si="20"/>
        <v>U124905PC9060GY-M</v>
      </c>
      <c r="B1344" s="35" t="s">
        <v>1041</v>
      </c>
      <c r="C1344" s="35" t="s">
        <v>1902</v>
      </c>
      <c r="D1344" s="35" t="s">
        <v>438</v>
      </c>
      <c r="E1344" s="35" t="s">
        <v>2337</v>
      </c>
      <c r="F1344" s="35" t="s">
        <v>436</v>
      </c>
      <c r="G1344" s="35" t="s">
        <v>450</v>
      </c>
      <c r="H1344" s="35">
        <v>504</v>
      </c>
    </row>
    <row r="1345" spans="1:8" ht="15.75" x14ac:dyDescent="0.25">
      <c r="A1345" t="str">
        <f t="shared" si="20"/>
        <v>U124906PC9060GY-M</v>
      </c>
      <c r="B1345" s="35" t="s">
        <v>1041</v>
      </c>
      <c r="C1345" s="35" t="s">
        <v>1903</v>
      </c>
      <c r="D1345" s="35" t="s">
        <v>438</v>
      </c>
      <c r="E1345" s="35" t="s">
        <v>2337</v>
      </c>
      <c r="F1345" s="35" t="s">
        <v>436</v>
      </c>
      <c r="G1345" s="35" t="s">
        <v>451</v>
      </c>
      <c r="H1345" s="35">
        <v>600</v>
      </c>
    </row>
    <row r="1346" spans="1:8" ht="15.75" x14ac:dyDescent="0.25">
      <c r="A1346" t="str">
        <f t="shared" si="20"/>
        <v>U130395PC9060LL-M</v>
      </c>
      <c r="B1346" s="35" t="s">
        <v>995</v>
      </c>
      <c r="C1346" s="35" t="s">
        <v>1904</v>
      </c>
      <c r="D1346" s="35" t="s">
        <v>438</v>
      </c>
      <c r="E1346" s="35" t="s">
        <v>2337</v>
      </c>
      <c r="F1346" s="35" t="s">
        <v>436</v>
      </c>
      <c r="G1346" s="35" t="s">
        <v>449</v>
      </c>
      <c r="H1346" s="35">
        <v>990</v>
      </c>
    </row>
    <row r="1347" spans="1:8" ht="15.75" x14ac:dyDescent="0.25">
      <c r="A1347" t="str">
        <f t="shared" si="20"/>
        <v>U130396PC9060LL-M</v>
      </c>
      <c r="B1347" s="35" t="s">
        <v>995</v>
      </c>
      <c r="C1347" s="35" t="s">
        <v>1905</v>
      </c>
      <c r="D1347" s="35" t="s">
        <v>438</v>
      </c>
      <c r="E1347" s="35" t="s">
        <v>2337</v>
      </c>
      <c r="F1347" s="35" t="s">
        <v>436</v>
      </c>
      <c r="G1347" s="35" t="s">
        <v>450</v>
      </c>
      <c r="H1347" s="35">
        <v>648</v>
      </c>
    </row>
    <row r="1348" spans="1:8" ht="15.75" x14ac:dyDescent="0.25">
      <c r="A1348" t="str">
        <f t="shared" si="20"/>
        <v>U130398PC9060LL-M</v>
      </c>
      <c r="B1348" s="35" t="s">
        <v>995</v>
      </c>
      <c r="C1348" s="35" t="s">
        <v>1906</v>
      </c>
      <c r="D1348" s="35" t="s">
        <v>438</v>
      </c>
      <c r="E1348" s="35" t="s">
        <v>2337</v>
      </c>
      <c r="F1348" s="35" t="s">
        <v>436</v>
      </c>
      <c r="G1348" s="35" t="s">
        <v>451</v>
      </c>
      <c r="H1348" s="35">
        <v>564</v>
      </c>
    </row>
    <row r="1349" spans="1:8" ht="15.75" x14ac:dyDescent="0.25">
      <c r="A1349" t="str">
        <f t="shared" si="20"/>
        <v>U130408PC9060LL-M</v>
      </c>
      <c r="B1349" s="35" t="s">
        <v>995</v>
      </c>
      <c r="C1349" s="35" t="s">
        <v>1907</v>
      </c>
      <c r="D1349" s="35" t="s">
        <v>438</v>
      </c>
      <c r="E1349" s="35" t="s">
        <v>2337</v>
      </c>
      <c r="F1349" s="35" t="s">
        <v>436</v>
      </c>
      <c r="G1349" s="35" t="s">
        <v>460</v>
      </c>
      <c r="H1349" s="35">
        <v>528</v>
      </c>
    </row>
    <row r="1350" spans="1:8" ht="15.75" x14ac:dyDescent="0.25">
      <c r="A1350" t="str">
        <f t="shared" si="20"/>
        <v>U130409PC9060LL-M</v>
      </c>
      <c r="B1350" s="35" t="s">
        <v>995</v>
      </c>
      <c r="C1350" s="35" t="s">
        <v>1908</v>
      </c>
      <c r="D1350" s="35" t="s">
        <v>438</v>
      </c>
      <c r="E1350" s="35" t="s">
        <v>2337</v>
      </c>
      <c r="F1350" s="35" t="s">
        <v>436</v>
      </c>
      <c r="G1350" s="35" t="s">
        <v>461</v>
      </c>
      <c r="H1350" s="35">
        <v>624</v>
      </c>
    </row>
    <row r="1351" spans="1:8" ht="15.75" x14ac:dyDescent="0.25">
      <c r="A1351" t="str">
        <f t="shared" ref="A1351:A1414" si="21">+C1351&amp;B1351&amp;"-"&amp;E1351</f>
        <v>U130410PC9060LL-M</v>
      </c>
      <c r="B1351" s="35" t="s">
        <v>995</v>
      </c>
      <c r="C1351" s="35" t="s">
        <v>1909</v>
      </c>
      <c r="D1351" s="35" t="s">
        <v>438</v>
      </c>
      <c r="E1351" s="35" t="s">
        <v>2337</v>
      </c>
      <c r="F1351" s="35" t="s">
        <v>436</v>
      </c>
      <c r="G1351" s="35" t="s">
        <v>462</v>
      </c>
      <c r="H1351" s="35">
        <v>540</v>
      </c>
    </row>
    <row r="1352" spans="1:8" ht="15.75" x14ac:dyDescent="0.25">
      <c r="A1352" t="str">
        <f t="shared" si="21"/>
        <v>H126518PC9060GY-W</v>
      </c>
      <c r="B1352" s="35" t="s">
        <v>1041</v>
      </c>
      <c r="C1352" s="35" t="s">
        <v>1910</v>
      </c>
      <c r="D1352" s="35" t="s">
        <v>404</v>
      </c>
      <c r="E1352" s="35" t="s">
        <v>2338</v>
      </c>
      <c r="F1352" s="35" t="s">
        <v>2302</v>
      </c>
      <c r="G1352" s="35" t="s">
        <v>2303</v>
      </c>
      <c r="H1352" s="35">
        <v>588</v>
      </c>
    </row>
    <row r="1353" spans="1:8" ht="15.75" x14ac:dyDescent="0.25">
      <c r="A1353" t="str">
        <f t="shared" si="21"/>
        <v>U130399PC9060EP-M</v>
      </c>
      <c r="B1353" s="35" t="s">
        <v>1042</v>
      </c>
      <c r="C1353" s="35" t="s">
        <v>1911</v>
      </c>
      <c r="D1353" s="35" t="s">
        <v>438</v>
      </c>
      <c r="E1353" s="35" t="s">
        <v>2337</v>
      </c>
      <c r="F1353" s="35" t="s">
        <v>436</v>
      </c>
      <c r="G1353" s="35" t="s">
        <v>451</v>
      </c>
      <c r="H1353" s="35">
        <v>702</v>
      </c>
    </row>
    <row r="1354" spans="1:8" ht="15.75" x14ac:dyDescent="0.25">
      <c r="A1354" t="str">
        <f t="shared" si="21"/>
        <v>H149054PC9060LL-M</v>
      </c>
      <c r="B1354" s="35" t="s">
        <v>995</v>
      </c>
      <c r="C1354" s="35" t="s">
        <v>1912</v>
      </c>
      <c r="D1354" s="35" t="s">
        <v>404</v>
      </c>
      <c r="E1354" s="35" t="s">
        <v>2337</v>
      </c>
      <c r="F1354" s="35" t="s">
        <v>414</v>
      </c>
      <c r="G1354" s="35" t="s">
        <v>415</v>
      </c>
      <c r="H1354" s="35">
        <v>1278</v>
      </c>
    </row>
    <row r="1355" spans="1:8" ht="15.75" x14ac:dyDescent="0.25">
      <c r="A1355" t="str">
        <f t="shared" si="21"/>
        <v>U135106PC9060LL-M</v>
      </c>
      <c r="B1355" s="35" t="s">
        <v>995</v>
      </c>
      <c r="C1355" s="35" t="s">
        <v>1913</v>
      </c>
      <c r="D1355" s="35" t="s">
        <v>438</v>
      </c>
      <c r="E1355" s="35" t="s">
        <v>2337</v>
      </c>
      <c r="F1355" s="35" t="s">
        <v>436</v>
      </c>
      <c r="G1355" s="35" t="s">
        <v>460</v>
      </c>
      <c r="H1355" s="35">
        <v>144</v>
      </c>
    </row>
    <row r="1356" spans="1:8" ht="15.75" x14ac:dyDescent="0.25">
      <c r="A1356" t="str">
        <f t="shared" si="21"/>
        <v>U135229PC9060EP-M</v>
      </c>
      <c r="B1356" s="35" t="s">
        <v>1042</v>
      </c>
      <c r="C1356" s="35" t="s">
        <v>1914</v>
      </c>
      <c r="D1356" s="35" t="s">
        <v>438</v>
      </c>
      <c r="E1356" s="35" t="s">
        <v>2337</v>
      </c>
      <c r="F1356" s="35" t="s">
        <v>436</v>
      </c>
      <c r="G1356" s="35" t="s">
        <v>454</v>
      </c>
      <c r="H1356" s="35">
        <v>1260</v>
      </c>
    </row>
    <row r="1357" spans="1:8" ht="15.75" x14ac:dyDescent="0.25">
      <c r="A1357" t="str">
        <f t="shared" si="21"/>
        <v>U135232PC9060EP-M</v>
      </c>
      <c r="B1357" s="35" t="s">
        <v>1042</v>
      </c>
      <c r="C1357" s="35" t="s">
        <v>1915</v>
      </c>
      <c r="D1357" s="35" t="s">
        <v>438</v>
      </c>
      <c r="E1357" s="35" t="s">
        <v>2337</v>
      </c>
      <c r="F1357" s="35" t="s">
        <v>436</v>
      </c>
      <c r="G1357" s="35" t="s">
        <v>2327</v>
      </c>
      <c r="H1357" s="35">
        <v>846</v>
      </c>
    </row>
    <row r="1358" spans="1:8" ht="15.75" x14ac:dyDescent="0.25">
      <c r="A1358" t="str">
        <f t="shared" si="21"/>
        <v>U135277PC9060EP-M</v>
      </c>
      <c r="B1358" s="35" t="s">
        <v>1042</v>
      </c>
      <c r="C1358" s="35" t="s">
        <v>1916</v>
      </c>
      <c r="D1358" s="35" t="s">
        <v>438</v>
      </c>
      <c r="E1358" s="35" t="s">
        <v>2337</v>
      </c>
      <c r="F1358" s="35" t="s">
        <v>436</v>
      </c>
      <c r="G1358" s="35" t="s">
        <v>449</v>
      </c>
      <c r="H1358" s="35">
        <v>1620</v>
      </c>
    </row>
    <row r="1359" spans="1:8" ht="15.75" x14ac:dyDescent="0.25">
      <c r="A1359" t="str">
        <f t="shared" si="21"/>
        <v>U135109PC9060LL-M</v>
      </c>
      <c r="B1359" s="35" t="s">
        <v>995</v>
      </c>
      <c r="C1359" s="35" t="s">
        <v>1917</v>
      </c>
      <c r="D1359" s="35" t="s">
        <v>438</v>
      </c>
      <c r="E1359" s="35" t="s">
        <v>2337</v>
      </c>
      <c r="F1359" s="35" t="s">
        <v>436</v>
      </c>
      <c r="G1359" s="35" t="s">
        <v>464</v>
      </c>
      <c r="H1359" s="35">
        <v>204</v>
      </c>
    </row>
    <row r="1360" spans="1:8" ht="15.75" x14ac:dyDescent="0.25">
      <c r="A1360" t="str">
        <f t="shared" si="21"/>
        <v>U135110PC9060LL-M</v>
      </c>
      <c r="B1360" s="35" t="s">
        <v>995</v>
      </c>
      <c r="C1360" s="35" t="s">
        <v>1918</v>
      </c>
      <c r="D1360" s="35" t="s">
        <v>438</v>
      </c>
      <c r="E1360" s="35" t="s">
        <v>2337</v>
      </c>
      <c r="F1360" s="35" t="s">
        <v>436</v>
      </c>
      <c r="G1360" s="35" t="s">
        <v>463</v>
      </c>
      <c r="H1360" s="35">
        <v>204</v>
      </c>
    </row>
    <row r="1361" spans="1:8" ht="15.75" x14ac:dyDescent="0.25">
      <c r="A1361" t="str">
        <f t="shared" si="21"/>
        <v>U135231PC9060LL-M</v>
      </c>
      <c r="B1361" s="35" t="s">
        <v>995</v>
      </c>
      <c r="C1361" s="35" t="s">
        <v>1919</v>
      </c>
      <c r="D1361" s="35" t="s">
        <v>438</v>
      </c>
      <c r="E1361" s="35" t="s">
        <v>2337</v>
      </c>
      <c r="F1361" s="35" t="s">
        <v>436</v>
      </c>
      <c r="G1361" s="35" t="s">
        <v>503</v>
      </c>
      <c r="H1361" s="35">
        <v>1122</v>
      </c>
    </row>
    <row r="1362" spans="1:8" ht="15.75" x14ac:dyDescent="0.25">
      <c r="A1362" t="str">
        <f t="shared" si="21"/>
        <v>U137290PC9060LL-M</v>
      </c>
      <c r="B1362" s="35" t="s">
        <v>995</v>
      </c>
      <c r="C1362" s="35" t="s">
        <v>1920</v>
      </c>
      <c r="D1362" s="35" t="s">
        <v>438</v>
      </c>
      <c r="E1362" s="35" t="s">
        <v>2337</v>
      </c>
      <c r="F1362" s="35" t="s">
        <v>436</v>
      </c>
      <c r="G1362" s="35" t="s">
        <v>448</v>
      </c>
      <c r="H1362" s="35">
        <v>2556</v>
      </c>
    </row>
    <row r="1363" spans="1:8" ht="15.75" x14ac:dyDescent="0.25">
      <c r="A1363" t="str">
        <f t="shared" si="21"/>
        <v>7855298PC9060ER-M</v>
      </c>
      <c r="B1363" s="35" t="s">
        <v>989</v>
      </c>
      <c r="C1363" s="35" t="s">
        <v>1921</v>
      </c>
      <c r="D1363" s="35" t="s">
        <v>394</v>
      </c>
      <c r="E1363" s="35" t="s">
        <v>2337</v>
      </c>
      <c r="F1363" s="35" t="s">
        <v>392</v>
      </c>
      <c r="G1363" s="35" t="s">
        <v>526</v>
      </c>
      <c r="H1363" s="35">
        <v>504</v>
      </c>
    </row>
    <row r="1364" spans="1:8" ht="15.75" x14ac:dyDescent="0.25">
      <c r="A1364" t="str">
        <f t="shared" si="21"/>
        <v>7864365PC9060ER-M</v>
      </c>
      <c r="B1364" s="35" t="s">
        <v>989</v>
      </c>
      <c r="C1364" s="35">
        <v>7864365</v>
      </c>
      <c r="D1364" s="35" t="s">
        <v>394</v>
      </c>
      <c r="E1364" s="35" t="s">
        <v>2337</v>
      </c>
      <c r="F1364" s="35" t="s">
        <v>507</v>
      </c>
      <c r="G1364" s="35" t="s">
        <v>508</v>
      </c>
      <c r="H1364" s="35">
        <v>1236</v>
      </c>
    </row>
    <row r="1365" spans="1:8" ht="15.75" x14ac:dyDescent="0.25">
      <c r="A1365" t="str">
        <f t="shared" si="21"/>
        <v>U137288GC9060LL-M</v>
      </c>
      <c r="B1365" s="35" t="s">
        <v>1010</v>
      </c>
      <c r="C1365" s="35" t="s">
        <v>1922</v>
      </c>
      <c r="D1365" s="35" t="s">
        <v>438</v>
      </c>
      <c r="E1365" s="35" t="s">
        <v>2337</v>
      </c>
      <c r="F1365" s="35" t="s">
        <v>436</v>
      </c>
      <c r="G1365" s="35" t="s">
        <v>448</v>
      </c>
      <c r="H1365" s="35">
        <v>924</v>
      </c>
    </row>
    <row r="1366" spans="1:8" ht="15.75" x14ac:dyDescent="0.25">
      <c r="A1366" t="str">
        <f t="shared" si="21"/>
        <v>U141668GC9060BE-M</v>
      </c>
      <c r="B1366" s="35" t="s">
        <v>1013</v>
      </c>
      <c r="C1366" s="35" t="s">
        <v>496</v>
      </c>
      <c r="D1366" s="35" t="s">
        <v>438</v>
      </c>
      <c r="E1366" s="35" t="s">
        <v>2337</v>
      </c>
      <c r="F1366" s="35" t="s">
        <v>436</v>
      </c>
      <c r="G1366" s="35" t="s">
        <v>460</v>
      </c>
      <c r="H1366" s="35">
        <v>240</v>
      </c>
    </row>
    <row r="1367" spans="1:8" ht="15.75" x14ac:dyDescent="0.25">
      <c r="A1367" t="str">
        <f t="shared" si="21"/>
        <v>U141669GC9060BE-M</v>
      </c>
      <c r="B1367" s="35" t="s">
        <v>1013</v>
      </c>
      <c r="C1367" s="35" t="s">
        <v>511</v>
      </c>
      <c r="D1367" s="35" t="s">
        <v>438</v>
      </c>
      <c r="E1367" s="35" t="s">
        <v>2337</v>
      </c>
      <c r="F1367" s="35" t="s">
        <v>436</v>
      </c>
      <c r="G1367" s="35" t="s">
        <v>464</v>
      </c>
      <c r="H1367" s="35">
        <v>348</v>
      </c>
    </row>
    <row r="1368" spans="1:8" ht="15.75" x14ac:dyDescent="0.25">
      <c r="A1368" t="str">
        <f t="shared" si="21"/>
        <v>7867196GC9060GY-M</v>
      </c>
      <c r="B1368" s="35" t="s">
        <v>1011</v>
      </c>
      <c r="C1368" s="35" t="s">
        <v>521</v>
      </c>
      <c r="D1368" s="35" t="s">
        <v>394</v>
      </c>
      <c r="E1368" s="35" t="s">
        <v>2337</v>
      </c>
      <c r="F1368" s="35" t="s">
        <v>392</v>
      </c>
      <c r="G1368" s="35" t="s">
        <v>526</v>
      </c>
      <c r="H1368" s="35">
        <v>1002</v>
      </c>
    </row>
    <row r="1369" spans="1:8" ht="15.75" x14ac:dyDescent="0.25">
      <c r="A1369" t="str">
        <f t="shared" si="21"/>
        <v>H177109GC9060GY-M</v>
      </c>
      <c r="B1369" s="35" t="s">
        <v>1011</v>
      </c>
      <c r="C1369" s="35" t="s">
        <v>1923</v>
      </c>
      <c r="D1369" s="35" t="s">
        <v>404</v>
      </c>
      <c r="E1369" s="35" t="s">
        <v>2337</v>
      </c>
      <c r="F1369" s="35" t="s">
        <v>2316</v>
      </c>
      <c r="G1369" s="35" t="s">
        <v>2317</v>
      </c>
      <c r="H1369" s="35">
        <v>894</v>
      </c>
    </row>
    <row r="1370" spans="1:8" ht="15.75" x14ac:dyDescent="0.25">
      <c r="A1370" t="str">
        <f t="shared" si="21"/>
        <v>H177257GC9060GY-M</v>
      </c>
      <c r="B1370" s="35" t="s">
        <v>1011</v>
      </c>
      <c r="C1370" s="35" t="s">
        <v>1924</v>
      </c>
      <c r="D1370" s="35" t="s">
        <v>404</v>
      </c>
      <c r="E1370" s="35" t="s">
        <v>2337</v>
      </c>
      <c r="F1370" s="35" t="s">
        <v>402</v>
      </c>
      <c r="G1370" s="35" t="s">
        <v>403</v>
      </c>
      <c r="H1370" s="35">
        <v>144</v>
      </c>
    </row>
    <row r="1371" spans="1:8" ht="15.75" x14ac:dyDescent="0.25">
      <c r="A1371" t="str">
        <f t="shared" si="21"/>
        <v>7873814P9060841-M</v>
      </c>
      <c r="B1371" s="35" t="s">
        <v>992</v>
      </c>
      <c r="C1371" s="35" t="s">
        <v>1925</v>
      </c>
      <c r="D1371" s="35" t="s">
        <v>484</v>
      </c>
      <c r="E1371" s="35" t="s">
        <v>2337</v>
      </c>
      <c r="F1371" s="35" t="s">
        <v>379</v>
      </c>
      <c r="G1371" s="35" t="s">
        <v>500</v>
      </c>
      <c r="H1371" s="35">
        <v>264</v>
      </c>
    </row>
    <row r="1372" spans="1:8" ht="15.75" x14ac:dyDescent="0.25">
      <c r="A1372" t="str">
        <f t="shared" si="21"/>
        <v>U148129PC9060BE-M</v>
      </c>
      <c r="B1372" s="35" t="s">
        <v>1034</v>
      </c>
      <c r="C1372" s="35" t="s">
        <v>1926</v>
      </c>
      <c r="D1372" s="35" t="s">
        <v>438</v>
      </c>
      <c r="E1372" s="35" t="s">
        <v>2337</v>
      </c>
      <c r="F1372" s="35" t="s">
        <v>436</v>
      </c>
      <c r="G1372" s="35" t="s">
        <v>447</v>
      </c>
      <c r="H1372" s="35">
        <v>1002</v>
      </c>
    </row>
    <row r="1373" spans="1:8" ht="15.75" x14ac:dyDescent="0.25">
      <c r="A1373" t="str">
        <f t="shared" si="21"/>
        <v>U124227ML515GRY-D</v>
      </c>
      <c r="B1373" s="35" t="s">
        <v>899</v>
      </c>
      <c r="C1373" s="35" t="s">
        <v>1927</v>
      </c>
      <c r="D1373" s="35" t="s">
        <v>438</v>
      </c>
      <c r="E1373" s="35" t="s">
        <v>2340</v>
      </c>
      <c r="F1373" s="35" t="s">
        <v>436</v>
      </c>
      <c r="G1373" s="35" t="s">
        <v>442</v>
      </c>
      <c r="H1373" s="35">
        <v>900</v>
      </c>
    </row>
    <row r="1374" spans="1:8" ht="15.75" x14ac:dyDescent="0.25">
      <c r="A1374" t="str">
        <f t="shared" si="21"/>
        <v>U124203WL515GRY-B</v>
      </c>
      <c r="B1374" s="35" t="s">
        <v>900</v>
      </c>
      <c r="C1374" s="35" t="s">
        <v>1928</v>
      </c>
      <c r="D1374" s="35" t="s">
        <v>438</v>
      </c>
      <c r="E1374" s="35" t="s">
        <v>2339</v>
      </c>
      <c r="F1374" s="35" t="s">
        <v>436</v>
      </c>
      <c r="G1374" s="35" t="s">
        <v>459</v>
      </c>
      <c r="H1374" s="35">
        <v>294</v>
      </c>
    </row>
    <row r="1375" spans="1:8" ht="15.75" x14ac:dyDescent="0.25">
      <c r="A1375" t="str">
        <f t="shared" si="21"/>
        <v>U124254ML515NVY-D</v>
      </c>
      <c r="B1375" s="35" t="s">
        <v>897</v>
      </c>
      <c r="C1375" s="35" t="s">
        <v>1929</v>
      </c>
      <c r="D1375" s="35" t="s">
        <v>438</v>
      </c>
      <c r="E1375" s="35" t="s">
        <v>2340</v>
      </c>
      <c r="F1375" s="35" t="s">
        <v>436</v>
      </c>
      <c r="G1375" s="35" t="s">
        <v>459</v>
      </c>
      <c r="H1375" s="35">
        <v>510</v>
      </c>
    </row>
    <row r="1376" spans="1:8" ht="15.75" x14ac:dyDescent="0.25">
      <c r="A1376" t="str">
        <f t="shared" si="21"/>
        <v>U123949ML515WHT-D</v>
      </c>
      <c r="B1376" s="35" t="s">
        <v>896</v>
      </c>
      <c r="C1376" s="35" t="s">
        <v>1930</v>
      </c>
      <c r="D1376" s="35" t="s">
        <v>438</v>
      </c>
      <c r="E1376" s="35" t="s">
        <v>2340</v>
      </c>
      <c r="F1376" s="35" t="s">
        <v>436</v>
      </c>
      <c r="G1376" s="35" t="s">
        <v>442</v>
      </c>
      <c r="H1376" s="35">
        <v>1200</v>
      </c>
    </row>
    <row r="1377" spans="1:8" ht="15.75" x14ac:dyDescent="0.25">
      <c r="A1377" t="str">
        <f t="shared" si="21"/>
        <v>U124264WL515RWA-B</v>
      </c>
      <c r="B1377" s="35" t="s">
        <v>1065</v>
      </c>
      <c r="C1377" s="35" t="s">
        <v>1931</v>
      </c>
      <c r="D1377" s="35" t="s">
        <v>438</v>
      </c>
      <c r="E1377" s="35" t="s">
        <v>2339</v>
      </c>
      <c r="F1377" s="35" t="s">
        <v>436</v>
      </c>
      <c r="G1377" s="35" t="s">
        <v>459</v>
      </c>
      <c r="H1377" s="35">
        <v>606</v>
      </c>
    </row>
    <row r="1378" spans="1:8" ht="15.75" x14ac:dyDescent="0.25">
      <c r="A1378" t="str">
        <f t="shared" si="21"/>
        <v>H113145W60336H-B</v>
      </c>
      <c r="B1378" s="35" t="s">
        <v>923</v>
      </c>
      <c r="C1378" s="35" t="s">
        <v>1932</v>
      </c>
      <c r="D1378" s="35" t="s">
        <v>404</v>
      </c>
      <c r="E1378" s="35" t="s">
        <v>2339</v>
      </c>
      <c r="F1378" s="35" t="s">
        <v>2292</v>
      </c>
      <c r="G1378" s="35" t="s">
        <v>2293</v>
      </c>
      <c r="H1378" s="35">
        <v>612</v>
      </c>
    </row>
    <row r="1379" spans="1:8" ht="15.75" x14ac:dyDescent="0.25">
      <c r="A1379" t="str">
        <f t="shared" si="21"/>
        <v>U124223WL515WHT-B</v>
      </c>
      <c r="B1379" s="35" t="s">
        <v>901</v>
      </c>
      <c r="C1379" s="35" t="s">
        <v>1933</v>
      </c>
      <c r="D1379" s="35" t="s">
        <v>438</v>
      </c>
      <c r="E1379" s="35" t="s">
        <v>2339</v>
      </c>
      <c r="F1379" s="35" t="s">
        <v>436</v>
      </c>
      <c r="G1379" s="35" t="s">
        <v>437</v>
      </c>
      <c r="H1379" s="35">
        <v>1398</v>
      </c>
    </row>
    <row r="1380" spans="1:8" ht="15.75" x14ac:dyDescent="0.25">
      <c r="A1380" t="str">
        <f t="shared" si="21"/>
        <v>7856380W60342R-B</v>
      </c>
      <c r="B1380" s="35" t="s">
        <v>1078</v>
      </c>
      <c r="C1380" s="35">
        <v>7856380</v>
      </c>
      <c r="D1380" s="35" t="s">
        <v>395</v>
      </c>
      <c r="E1380" s="35" t="s">
        <v>2339</v>
      </c>
      <c r="F1380" s="35" t="s">
        <v>382</v>
      </c>
      <c r="G1380" s="35" t="s">
        <v>383</v>
      </c>
      <c r="H1380" s="35">
        <v>3510</v>
      </c>
    </row>
    <row r="1381" spans="1:8" ht="15.75" x14ac:dyDescent="0.25">
      <c r="A1381" t="str">
        <f t="shared" si="21"/>
        <v>H114462W6038GJ-B</v>
      </c>
      <c r="B1381" s="35" t="s">
        <v>928</v>
      </c>
      <c r="C1381" s="35" t="s">
        <v>1934</v>
      </c>
      <c r="D1381" s="35" t="s">
        <v>404</v>
      </c>
      <c r="E1381" s="35" t="s">
        <v>2339</v>
      </c>
      <c r="F1381" s="35" t="s">
        <v>416</v>
      </c>
      <c r="G1381" s="35" t="s">
        <v>417</v>
      </c>
      <c r="H1381" s="35">
        <v>312</v>
      </c>
    </row>
    <row r="1382" spans="1:8" ht="15.75" x14ac:dyDescent="0.25">
      <c r="A1382" t="str">
        <f t="shared" si="21"/>
        <v>U128244W6033JW-B</v>
      </c>
      <c r="B1382" s="35" t="s">
        <v>927</v>
      </c>
      <c r="C1382" s="35" t="s">
        <v>1935</v>
      </c>
      <c r="D1382" s="35" t="s">
        <v>444</v>
      </c>
      <c r="E1382" s="35" t="s">
        <v>2339</v>
      </c>
      <c r="F1382" s="35" t="s">
        <v>436</v>
      </c>
      <c r="G1382" s="35" t="s">
        <v>443</v>
      </c>
      <c r="H1382" s="35">
        <v>156</v>
      </c>
    </row>
    <row r="1383" spans="1:8" ht="15.75" x14ac:dyDescent="0.25">
      <c r="A1383" t="str">
        <f t="shared" si="21"/>
        <v>H148662P6039J1-M</v>
      </c>
      <c r="B1383" s="35" t="s">
        <v>1079</v>
      </c>
      <c r="C1383" s="35" t="s">
        <v>1936</v>
      </c>
      <c r="D1383" s="35" t="s">
        <v>404</v>
      </c>
      <c r="E1383" s="35" t="s">
        <v>2337</v>
      </c>
      <c r="F1383" s="35" t="s">
        <v>434</v>
      </c>
      <c r="G1383" s="35" t="s">
        <v>435</v>
      </c>
      <c r="H1383" s="35">
        <v>252</v>
      </c>
    </row>
    <row r="1384" spans="1:8" ht="15.75" x14ac:dyDescent="0.25">
      <c r="A1384" t="str">
        <f t="shared" si="21"/>
        <v>U129973G6034EC-M</v>
      </c>
      <c r="B1384" s="35" t="s">
        <v>1080</v>
      </c>
      <c r="C1384" s="35" t="s">
        <v>1937</v>
      </c>
      <c r="D1384" s="35" t="s">
        <v>438</v>
      </c>
      <c r="E1384" s="35" t="s">
        <v>2337</v>
      </c>
      <c r="F1384" s="35" t="s">
        <v>436</v>
      </c>
      <c r="G1384" s="35" t="s">
        <v>458</v>
      </c>
      <c r="H1384" s="35">
        <v>528</v>
      </c>
    </row>
    <row r="1385" spans="1:8" ht="15.75" x14ac:dyDescent="0.25">
      <c r="A1385" t="str">
        <f t="shared" si="21"/>
        <v>U129996P60394T-M</v>
      </c>
      <c r="B1385" s="35" t="s">
        <v>1002</v>
      </c>
      <c r="C1385" s="35" t="s">
        <v>1938</v>
      </c>
      <c r="D1385" s="35" t="s">
        <v>444</v>
      </c>
      <c r="E1385" s="35" t="s">
        <v>2337</v>
      </c>
      <c r="F1385" s="35" t="s">
        <v>436</v>
      </c>
      <c r="G1385" s="35" t="s">
        <v>443</v>
      </c>
      <c r="H1385" s="35">
        <v>396</v>
      </c>
    </row>
    <row r="1386" spans="1:8" ht="15.75" x14ac:dyDescent="0.25">
      <c r="A1386" t="str">
        <f t="shared" si="21"/>
        <v>U130091P60394T-M</v>
      </c>
      <c r="B1386" s="35" t="s">
        <v>1002</v>
      </c>
      <c r="C1386" s="35" t="s">
        <v>1939</v>
      </c>
      <c r="D1386" s="35" t="s">
        <v>438</v>
      </c>
      <c r="E1386" s="35" t="s">
        <v>2337</v>
      </c>
      <c r="F1386" s="35" t="s">
        <v>436</v>
      </c>
      <c r="G1386" s="35" t="s">
        <v>439</v>
      </c>
      <c r="H1386" s="35">
        <v>516</v>
      </c>
    </row>
    <row r="1387" spans="1:8" ht="15.75" x14ac:dyDescent="0.25">
      <c r="A1387" t="str">
        <f t="shared" si="21"/>
        <v>U130085P60394T-M</v>
      </c>
      <c r="B1387" s="35" t="s">
        <v>1002</v>
      </c>
      <c r="C1387" s="35" t="s">
        <v>1940</v>
      </c>
      <c r="D1387" s="35" t="s">
        <v>438</v>
      </c>
      <c r="E1387" s="35" t="s">
        <v>2337</v>
      </c>
      <c r="F1387" s="35" t="s">
        <v>436</v>
      </c>
      <c r="G1387" s="35" t="s">
        <v>440</v>
      </c>
      <c r="H1387" s="35">
        <v>972</v>
      </c>
    </row>
    <row r="1388" spans="1:8" ht="15.75" x14ac:dyDescent="0.25">
      <c r="A1388" t="str">
        <f t="shared" si="21"/>
        <v>U129965P6036SS-M</v>
      </c>
      <c r="B1388" s="35" t="s">
        <v>1005</v>
      </c>
      <c r="C1388" s="35" t="s">
        <v>1941</v>
      </c>
      <c r="D1388" s="35" t="s">
        <v>438</v>
      </c>
      <c r="E1388" s="35" t="s">
        <v>2337</v>
      </c>
      <c r="F1388" s="35" t="s">
        <v>436</v>
      </c>
      <c r="G1388" s="35" t="s">
        <v>437</v>
      </c>
      <c r="H1388" s="35">
        <v>876</v>
      </c>
    </row>
    <row r="1389" spans="1:8" ht="15.75" x14ac:dyDescent="0.25">
      <c r="A1389" t="str">
        <f t="shared" si="21"/>
        <v>U130087P60368L-M</v>
      </c>
      <c r="B1389" s="35" t="s">
        <v>1004</v>
      </c>
      <c r="C1389" s="35" t="s">
        <v>1942</v>
      </c>
      <c r="D1389" s="35" t="s">
        <v>438</v>
      </c>
      <c r="E1389" s="35" t="s">
        <v>2337</v>
      </c>
      <c r="F1389" s="35" t="s">
        <v>436</v>
      </c>
      <c r="G1389" s="35" t="s">
        <v>439</v>
      </c>
      <c r="H1389" s="35">
        <v>504</v>
      </c>
    </row>
    <row r="1390" spans="1:8" ht="15.75" x14ac:dyDescent="0.25">
      <c r="A1390" t="str">
        <f t="shared" si="21"/>
        <v>U129969P60368L-M</v>
      </c>
      <c r="B1390" s="35" t="s">
        <v>1004</v>
      </c>
      <c r="C1390" s="35" t="s">
        <v>1943</v>
      </c>
      <c r="D1390" s="35" t="s">
        <v>438</v>
      </c>
      <c r="E1390" s="35" t="s">
        <v>2337</v>
      </c>
      <c r="F1390" s="35" t="s">
        <v>436</v>
      </c>
      <c r="G1390" s="35" t="s">
        <v>505</v>
      </c>
      <c r="H1390" s="35">
        <v>504</v>
      </c>
    </row>
    <row r="1391" spans="1:8" ht="15.75" x14ac:dyDescent="0.25">
      <c r="A1391" t="str">
        <f t="shared" si="21"/>
        <v>H148985GC9060LL-M</v>
      </c>
      <c r="B1391" s="35" t="s">
        <v>1010</v>
      </c>
      <c r="C1391" s="35" t="s">
        <v>1944</v>
      </c>
      <c r="D1391" s="35" t="s">
        <v>404</v>
      </c>
      <c r="E1391" s="35" t="s">
        <v>2337</v>
      </c>
      <c r="F1391" s="35" t="s">
        <v>2294</v>
      </c>
      <c r="G1391" s="35" t="s">
        <v>2295</v>
      </c>
      <c r="H1391" s="35">
        <v>510</v>
      </c>
    </row>
    <row r="1392" spans="1:8" ht="15.75" x14ac:dyDescent="0.25">
      <c r="A1392" t="str">
        <f t="shared" si="21"/>
        <v>H149445P60368L-W</v>
      </c>
      <c r="B1392" s="35" t="s">
        <v>1004</v>
      </c>
      <c r="C1392" s="35" t="s">
        <v>78</v>
      </c>
      <c r="D1392" s="35" t="s">
        <v>404</v>
      </c>
      <c r="E1392" s="35" t="s">
        <v>2338</v>
      </c>
      <c r="F1392" s="35" t="s">
        <v>422</v>
      </c>
      <c r="G1392" s="35" t="s">
        <v>423</v>
      </c>
      <c r="H1392" s="35">
        <v>3006</v>
      </c>
    </row>
    <row r="1393" spans="1:8" ht="15.75" x14ac:dyDescent="0.25">
      <c r="A1393" t="str">
        <f t="shared" si="21"/>
        <v>U135864GC9060GY-M</v>
      </c>
      <c r="B1393" s="35" t="s">
        <v>1011</v>
      </c>
      <c r="C1393" s="35" t="s">
        <v>1945</v>
      </c>
      <c r="D1393" s="35" t="s">
        <v>438</v>
      </c>
      <c r="E1393" s="35" t="s">
        <v>2337</v>
      </c>
      <c r="F1393" s="35" t="s">
        <v>436</v>
      </c>
      <c r="G1393" s="35" t="s">
        <v>463</v>
      </c>
      <c r="H1393" s="35">
        <v>540</v>
      </c>
    </row>
    <row r="1394" spans="1:8" ht="15.75" x14ac:dyDescent="0.25">
      <c r="A1394" t="str">
        <f t="shared" si="21"/>
        <v>C133060GC9060LL-M</v>
      </c>
      <c r="B1394" s="35" t="s">
        <v>1010</v>
      </c>
      <c r="C1394" s="35" t="s">
        <v>1946</v>
      </c>
      <c r="D1394" s="35" t="s">
        <v>401</v>
      </c>
      <c r="E1394" s="35" t="s">
        <v>2337</v>
      </c>
      <c r="F1394" s="35" t="s">
        <v>397</v>
      </c>
      <c r="G1394" s="35" t="s">
        <v>400</v>
      </c>
      <c r="H1394" s="35">
        <v>1116</v>
      </c>
    </row>
    <row r="1395" spans="1:8" ht="15.75" x14ac:dyDescent="0.25">
      <c r="A1395" t="str">
        <f t="shared" si="21"/>
        <v>U137287GC9060LL-M</v>
      </c>
      <c r="B1395" s="35" t="s">
        <v>1010</v>
      </c>
      <c r="C1395" s="35" t="s">
        <v>1947</v>
      </c>
      <c r="D1395" s="35" t="s">
        <v>438</v>
      </c>
      <c r="E1395" s="35" t="s">
        <v>2337</v>
      </c>
      <c r="F1395" s="35" t="s">
        <v>436</v>
      </c>
      <c r="G1395" s="35" t="s">
        <v>448</v>
      </c>
      <c r="H1395" s="35">
        <v>876</v>
      </c>
    </row>
    <row r="1396" spans="1:8" ht="15.75" x14ac:dyDescent="0.25">
      <c r="A1396" t="str">
        <f t="shared" si="21"/>
        <v>U135871GC9060GY-M</v>
      </c>
      <c r="B1396" s="35" t="s">
        <v>1011</v>
      </c>
      <c r="C1396" s="35" t="s">
        <v>1948</v>
      </c>
      <c r="D1396" s="35" t="s">
        <v>438</v>
      </c>
      <c r="E1396" s="35" t="s">
        <v>2337</v>
      </c>
      <c r="F1396" s="35" t="s">
        <v>436</v>
      </c>
      <c r="G1396" s="35" t="s">
        <v>2304</v>
      </c>
      <c r="H1396" s="35">
        <v>2928</v>
      </c>
    </row>
    <row r="1397" spans="1:8" ht="15.75" x14ac:dyDescent="0.25">
      <c r="A1397" t="str">
        <f t="shared" si="21"/>
        <v>H148609P60368L-W</v>
      </c>
      <c r="B1397" s="35" t="s">
        <v>1004</v>
      </c>
      <c r="C1397" s="35" t="s">
        <v>1949</v>
      </c>
      <c r="D1397" s="35" t="s">
        <v>404</v>
      </c>
      <c r="E1397" s="35" t="s">
        <v>2338</v>
      </c>
      <c r="F1397" s="35" t="s">
        <v>2286</v>
      </c>
      <c r="G1397" s="35" t="s">
        <v>2287</v>
      </c>
      <c r="H1397" s="35">
        <v>168</v>
      </c>
    </row>
    <row r="1398" spans="1:8" ht="15.75" x14ac:dyDescent="0.25">
      <c r="A1398" t="str">
        <f t="shared" si="21"/>
        <v>U133645P60368L-M</v>
      </c>
      <c r="B1398" s="35" t="s">
        <v>1004</v>
      </c>
      <c r="C1398" s="35" t="s">
        <v>1950</v>
      </c>
      <c r="D1398" s="35" t="s">
        <v>438</v>
      </c>
      <c r="E1398" s="35" t="s">
        <v>2337</v>
      </c>
      <c r="F1398" s="35" t="s">
        <v>436</v>
      </c>
      <c r="G1398" s="35" t="s">
        <v>447</v>
      </c>
      <c r="H1398" s="35">
        <v>729</v>
      </c>
    </row>
    <row r="1399" spans="1:8" ht="15.75" x14ac:dyDescent="0.25">
      <c r="A1399" t="str">
        <f t="shared" si="21"/>
        <v>H149183GC9060LL-W</v>
      </c>
      <c r="B1399" s="35" t="s">
        <v>1010</v>
      </c>
      <c r="C1399" s="35" t="s">
        <v>159</v>
      </c>
      <c r="D1399" s="35" t="s">
        <v>404</v>
      </c>
      <c r="E1399" s="35" t="s">
        <v>2338</v>
      </c>
      <c r="F1399" s="35" t="s">
        <v>407</v>
      </c>
      <c r="G1399" s="35" t="s">
        <v>408</v>
      </c>
      <c r="H1399" s="35">
        <v>1212</v>
      </c>
    </row>
    <row r="1400" spans="1:8" ht="15.75" x14ac:dyDescent="0.25">
      <c r="A1400" t="str">
        <f t="shared" si="21"/>
        <v>7866731GC9060LL-W</v>
      </c>
      <c r="B1400" s="35" t="s">
        <v>1010</v>
      </c>
      <c r="C1400" s="35" t="s">
        <v>1951</v>
      </c>
      <c r="D1400" s="35" t="s">
        <v>391</v>
      </c>
      <c r="E1400" s="35" t="s">
        <v>2338</v>
      </c>
      <c r="F1400" s="35" t="s">
        <v>379</v>
      </c>
      <c r="G1400" s="35" t="s">
        <v>380</v>
      </c>
      <c r="H1400" s="35">
        <v>174</v>
      </c>
    </row>
    <row r="1401" spans="1:8" ht="15.75" x14ac:dyDescent="0.25">
      <c r="A1401" t="str">
        <f t="shared" si="21"/>
        <v>7866856GC9060GY-M</v>
      </c>
      <c r="B1401" s="35" t="s">
        <v>1011</v>
      </c>
      <c r="C1401" s="35" t="s">
        <v>1952</v>
      </c>
      <c r="D1401" s="35" t="s">
        <v>390</v>
      </c>
      <c r="E1401" s="35" t="s">
        <v>2337</v>
      </c>
      <c r="F1401" s="35" t="s">
        <v>382</v>
      </c>
      <c r="G1401" s="35" t="s">
        <v>383</v>
      </c>
      <c r="H1401" s="35">
        <v>600</v>
      </c>
    </row>
    <row r="1402" spans="1:8" ht="15.75" x14ac:dyDescent="0.25">
      <c r="A1402" t="str">
        <f t="shared" si="21"/>
        <v>U141127G90609SI-M</v>
      </c>
      <c r="B1402" s="35" t="s">
        <v>1074</v>
      </c>
      <c r="C1402" s="35" t="s">
        <v>1953</v>
      </c>
      <c r="D1402" s="35" t="s">
        <v>444</v>
      </c>
      <c r="E1402" s="35" t="s">
        <v>2337</v>
      </c>
      <c r="F1402" s="35" t="s">
        <v>436</v>
      </c>
      <c r="G1402" s="35" t="s">
        <v>443</v>
      </c>
      <c r="H1402" s="35">
        <v>336</v>
      </c>
    </row>
    <row r="1403" spans="1:8" ht="15.75" x14ac:dyDescent="0.25">
      <c r="A1403" t="str">
        <f t="shared" si="21"/>
        <v>U141127G90609SI-W</v>
      </c>
      <c r="B1403" s="35" t="s">
        <v>1074</v>
      </c>
      <c r="C1403" s="35" t="s">
        <v>1953</v>
      </c>
      <c r="D1403" s="35" t="s">
        <v>444</v>
      </c>
      <c r="E1403" s="35" t="s">
        <v>2338</v>
      </c>
      <c r="F1403" s="35" t="s">
        <v>436</v>
      </c>
      <c r="G1403" s="35" t="s">
        <v>443</v>
      </c>
      <c r="H1403" s="35">
        <v>36</v>
      </c>
    </row>
    <row r="1404" spans="1:8" ht="15.75" x14ac:dyDescent="0.25">
      <c r="A1404" t="str">
        <f t="shared" si="21"/>
        <v>U141209G90609SI-M</v>
      </c>
      <c r="B1404" s="35" t="s">
        <v>1074</v>
      </c>
      <c r="C1404" s="35" t="s">
        <v>1954</v>
      </c>
      <c r="D1404" s="35" t="s">
        <v>466</v>
      </c>
      <c r="E1404" s="35" t="s">
        <v>2337</v>
      </c>
      <c r="F1404" s="35" t="s">
        <v>436</v>
      </c>
      <c r="G1404" s="35" t="s">
        <v>443</v>
      </c>
      <c r="H1404" s="35">
        <v>336</v>
      </c>
    </row>
    <row r="1405" spans="1:8" ht="15.75" x14ac:dyDescent="0.25">
      <c r="A1405" t="str">
        <f t="shared" si="21"/>
        <v>H149055PC9060LL-M</v>
      </c>
      <c r="B1405" s="35" t="s">
        <v>995</v>
      </c>
      <c r="C1405" s="35" t="s">
        <v>1955</v>
      </c>
      <c r="D1405" s="35" t="s">
        <v>404</v>
      </c>
      <c r="E1405" s="35" t="s">
        <v>2337</v>
      </c>
      <c r="F1405" s="35" t="s">
        <v>414</v>
      </c>
      <c r="G1405" s="35" t="s">
        <v>415</v>
      </c>
      <c r="H1405" s="35">
        <v>444</v>
      </c>
    </row>
    <row r="1406" spans="1:8" ht="15.75" x14ac:dyDescent="0.25">
      <c r="A1406" t="str">
        <f t="shared" si="21"/>
        <v>U141197GC9060LL-M</v>
      </c>
      <c r="B1406" s="35" t="s">
        <v>1010</v>
      </c>
      <c r="C1406" s="35" t="s">
        <v>1956</v>
      </c>
      <c r="D1406" s="35" t="s">
        <v>466</v>
      </c>
      <c r="E1406" s="35" t="s">
        <v>2337</v>
      </c>
      <c r="F1406" s="35" t="s">
        <v>436</v>
      </c>
      <c r="G1406" s="35" t="s">
        <v>443</v>
      </c>
      <c r="H1406" s="35">
        <v>414</v>
      </c>
    </row>
    <row r="1407" spans="1:8" ht="15.75" x14ac:dyDescent="0.25">
      <c r="A1407" t="str">
        <f t="shared" si="21"/>
        <v>U141225GC9060LL-M</v>
      </c>
      <c r="B1407" s="35" t="s">
        <v>1010</v>
      </c>
      <c r="C1407" s="35" t="s">
        <v>1957</v>
      </c>
      <c r="D1407" s="35" t="s">
        <v>457</v>
      </c>
      <c r="E1407" s="35" t="s">
        <v>2337</v>
      </c>
      <c r="F1407" s="35" t="s">
        <v>436</v>
      </c>
      <c r="G1407" s="35" t="s">
        <v>443</v>
      </c>
      <c r="H1407" s="35">
        <v>204</v>
      </c>
    </row>
    <row r="1408" spans="1:8" ht="15.75" x14ac:dyDescent="0.25">
      <c r="A1408" t="str">
        <f t="shared" si="21"/>
        <v>C132941GC9060GY-M</v>
      </c>
      <c r="B1408" s="35" t="s">
        <v>1011</v>
      </c>
      <c r="C1408" s="35" t="s">
        <v>253</v>
      </c>
      <c r="D1408" s="35" t="s">
        <v>399</v>
      </c>
      <c r="E1408" s="35" t="s">
        <v>2337</v>
      </c>
      <c r="F1408" s="35" t="s">
        <v>397</v>
      </c>
      <c r="G1408" s="35" t="s">
        <v>398</v>
      </c>
      <c r="H1408" s="35">
        <v>960</v>
      </c>
    </row>
    <row r="1409" spans="1:8" ht="15.75" x14ac:dyDescent="0.25">
      <c r="A1409" t="str">
        <f t="shared" si="21"/>
        <v>H148604P60368L-M</v>
      </c>
      <c r="B1409" s="35" t="s">
        <v>1004</v>
      </c>
      <c r="C1409" s="35" t="s">
        <v>87</v>
      </c>
      <c r="D1409" s="35" t="s">
        <v>404</v>
      </c>
      <c r="E1409" s="35" t="s">
        <v>2337</v>
      </c>
      <c r="F1409" s="35" t="s">
        <v>414</v>
      </c>
      <c r="G1409" s="35" t="s">
        <v>415</v>
      </c>
      <c r="H1409" s="35">
        <v>516</v>
      </c>
    </row>
    <row r="1410" spans="1:8" ht="15.75" x14ac:dyDescent="0.25">
      <c r="A1410" t="str">
        <f t="shared" si="21"/>
        <v>7866436GC9060GY-M</v>
      </c>
      <c r="B1410" s="35" t="s">
        <v>1011</v>
      </c>
      <c r="C1410" s="35" t="s">
        <v>325</v>
      </c>
      <c r="D1410" s="35" t="s">
        <v>387</v>
      </c>
      <c r="E1410" s="35" t="s">
        <v>2337</v>
      </c>
      <c r="F1410" s="35" t="s">
        <v>388</v>
      </c>
      <c r="G1410" s="35" t="s">
        <v>389</v>
      </c>
      <c r="H1410" s="35">
        <v>3570</v>
      </c>
    </row>
    <row r="1411" spans="1:8" ht="15.75" x14ac:dyDescent="0.25">
      <c r="A1411" t="str">
        <f t="shared" si="21"/>
        <v>7866448GC9060GY-M</v>
      </c>
      <c r="B1411" s="35" t="s">
        <v>1011</v>
      </c>
      <c r="C1411" s="35" t="s">
        <v>488</v>
      </c>
      <c r="D1411" s="35" t="s">
        <v>387</v>
      </c>
      <c r="E1411" s="35" t="s">
        <v>2337</v>
      </c>
      <c r="F1411" s="35" t="s">
        <v>388</v>
      </c>
      <c r="G1411" s="35" t="s">
        <v>389</v>
      </c>
      <c r="H1411" s="35">
        <v>1800</v>
      </c>
    </row>
    <row r="1412" spans="1:8" ht="15.75" x14ac:dyDescent="0.25">
      <c r="A1412" t="str">
        <f t="shared" si="21"/>
        <v>U141644GC9060BK-M</v>
      </c>
      <c r="B1412" s="35" t="s">
        <v>1009</v>
      </c>
      <c r="C1412" s="35" t="s">
        <v>491</v>
      </c>
      <c r="D1412" s="35" t="s">
        <v>438</v>
      </c>
      <c r="E1412" s="35" t="s">
        <v>2337</v>
      </c>
      <c r="F1412" s="35" t="s">
        <v>436</v>
      </c>
      <c r="G1412" s="35" t="s">
        <v>462</v>
      </c>
      <c r="H1412" s="35">
        <v>312</v>
      </c>
    </row>
    <row r="1413" spans="1:8" ht="15.75" x14ac:dyDescent="0.25">
      <c r="A1413" t="str">
        <f t="shared" si="21"/>
        <v>U141647GC9060BK-M</v>
      </c>
      <c r="B1413" s="35" t="s">
        <v>1009</v>
      </c>
      <c r="C1413" s="35" t="s">
        <v>497</v>
      </c>
      <c r="D1413" s="35" t="s">
        <v>438</v>
      </c>
      <c r="E1413" s="35" t="s">
        <v>2337</v>
      </c>
      <c r="F1413" s="35" t="s">
        <v>436</v>
      </c>
      <c r="G1413" s="35" t="s">
        <v>464</v>
      </c>
      <c r="H1413" s="35">
        <v>420</v>
      </c>
    </row>
    <row r="1414" spans="1:8" ht="15.75" x14ac:dyDescent="0.25">
      <c r="A1414" t="str">
        <f t="shared" si="21"/>
        <v>H156834GC9060GY-M</v>
      </c>
      <c r="B1414" s="35" t="s">
        <v>1011</v>
      </c>
      <c r="C1414" s="35" t="s">
        <v>522</v>
      </c>
      <c r="D1414" s="35" t="s">
        <v>404</v>
      </c>
      <c r="E1414" s="35" t="s">
        <v>2337</v>
      </c>
      <c r="F1414" s="35" t="s">
        <v>434</v>
      </c>
      <c r="G1414" s="35" t="s">
        <v>435</v>
      </c>
      <c r="H1414" s="35">
        <v>1902</v>
      </c>
    </row>
    <row r="1415" spans="1:8" ht="15.75" x14ac:dyDescent="0.25">
      <c r="A1415" t="str">
        <f t="shared" ref="A1415:A1478" si="22">+C1415&amp;B1415&amp;"-"&amp;E1415</f>
        <v>U147945GC9060LL-M</v>
      </c>
      <c r="B1415" s="35" t="s">
        <v>1010</v>
      </c>
      <c r="C1415" s="35" t="s">
        <v>1958</v>
      </c>
      <c r="D1415" s="35" t="s">
        <v>457</v>
      </c>
      <c r="E1415" s="35" t="s">
        <v>2337</v>
      </c>
      <c r="F1415" s="35" t="s">
        <v>436</v>
      </c>
      <c r="G1415" s="35" t="s">
        <v>443</v>
      </c>
      <c r="H1415" s="35">
        <v>468</v>
      </c>
    </row>
    <row r="1416" spans="1:8" ht="15.75" x14ac:dyDescent="0.25">
      <c r="A1416" t="str">
        <f t="shared" si="22"/>
        <v>U147951GC9060LL-M</v>
      </c>
      <c r="B1416" s="35" t="s">
        <v>1010</v>
      </c>
      <c r="C1416" s="35" t="s">
        <v>1959</v>
      </c>
      <c r="D1416" s="35" t="s">
        <v>466</v>
      </c>
      <c r="E1416" s="35" t="s">
        <v>2337</v>
      </c>
      <c r="F1416" s="35" t="s">
        <v>436</v>
      </c>
      <c r="G1416" s="35" t="s">
        <v>443</v>
      </c>
      <c r="H1416" s="35">
        <v>594</v>
      </c>
    </row>
    <row r="1417" spans="1:8" ht="15.75" x14ac:dyDescent="0.25">
      <c r="A1417" t="str">
        <f t="shared" si="22"/>
        <v>H153518GC9060LL-W</v>
      </c>
      <c r="B1417" s="35" t="s">
        <v>1010</v>
      </c>
      <c r="C1417" s="35" t="s">
        <v>1960</v>
      </c>
      <c r="D1417" s="35" t="s">
        <v>404</v>
      </c>
      <c r="E1417" s="35" t="s">
        <v>2338</v>
      </c>
      <c r="F1417" s="35" t="s">
        <v>405</v>
      </c>
      <c r="G1417" s="35" t="s">
        <v>406</v>
      </c>
      <c r="H1417" s="35">
        <v>504</v>
      </c>
    </row>
    <row r="1418" spans="1:8" ht="15.75" x14ac:dyDescent="0.25">
      <c r="A1418" t="str">
        <f t="shared" si="22"/>
        <v>7877613GC9060GY-M</v>
      </c>
      <c r="B1418" s="35" t="s">
        <v>1011</v>
      </c>
      <c r="C1418" s="35" t="s">
        <v>1961</v>
      </c>
      <c r="D1418" s="35" t="s">
        <v>395</v>
      </c>
      <c r="E1418" s="35" t="s">
        <v>2337</v>
      </c>
      <c r="F1418" s="35" t="s">
        <v>382</v>
      </c>
      <c r="G1418" s="35" t="s">
        <v>383</v>
      </c>
      <c r="H1418" s="35">
        <v>582</v>
      </c>
    </row>
    <row r="1419" spans="1:8" ht="15.75" x14ac:dyDescent="0.25">
      <c r="A1419" t="str">
        <f t="shared" si="22"/>
        <v>7877622PC9060LL-M</v>
      </c>
      <c r="B1419" s="35" t="s">
        <v>995</v>
      </c>
      <c r="C1419" s="35" t="s">
        <v>1962</v>
      </c>
      <c r="D1419" s="35" t="s">
        <v>395</v>
      </c>
      <c r="E1419" s="35" t="s">
        <v>2337</v>
      </c>
      <c r="F1419" s="35" t="s">
        <v>382</v>
      </c>
      <c r="G1419" s="35" t="s">
        <v>383</v>
      </c>
      <c r="H1419" s="35">
        <v>366</v>
      </c>
    </row>
    <row r="1420" spans="1:8" ht="15.75" x14ac:dyDescent="0.25">
      <c r="A1420" t="str">
        <f t="shared" si="22"/>
        <v>U148106PC9060LL-M</v>
      </c>
      <c r="B1420" s="35" t="s">
        <v>995</v>
      </c>
      <c r="C1420" s="35" t="s">
        <v>1963</v>
      </c>
      <c r="D1420" s="35" t="s">
        <v>438</v>
      </c>
      <c r="E1420" s="35" t="s">
        <v>2337</v>
      </c>
      <c r="F1420" s="35" t="s">
        <v>436</v>
      </c>
      <c r="G1420" s="35" t="s">
        <v>448</v>
      </c>
      <c r="H1420" s="35">
        <v>882</v>
      </c>
    </row>
    <row r="1421" spans="1:8" ht="15.75" x14ac:dyDescent="0.25">
      <c r="A1421" t="str">
        <f t="shared" si="22"/>
        <v>U148107PC9060LL-M</v>
      </c>
      <c r="B1421" s="35" t="s">
        <v>995</v>
      </c>
      <c r="C1421" s="35" t="s">
        <v>1964</v>
      </c>
      <c r="D1421" s="35" t="s">
        <v>438</v>
      </c>
      <c r="E1421" s="35" t="s">
        <v>2337</v>
      </c>
      <c r="F1421" s="35" t="s">
        <v>436</v>
      </c>
      <c r="G1421" s="35" t="s">
        <v>454</v>
      </c>
      <c r="H1421" s="35">
        <v>1080</v>
      </c>
    </row>
    <row r="1422" spans="1:8" ht="15.75" x14ac:dyDescent="0.25">
      <c r="A1422" t="str">
        <f t="shared" si="22"/>
        <v>U148112PC9060LL-M</v>
      </c>
      <c r="B1422" s="35" t="s">
        <v>995</v>
      </c>
      <c r="C1422" s="35" t="s">
        <v>1965</v>
      </c>
      <c r="D1422" s="35" t="s">
        <v>438</v>
      </c>
      <c r="E1422" s="35" t="s">
        <v>2337</v>
      </c>
      <c r="F1422" s="35" t="s">
        <v>436</v>
      </c>
      <c r="G1422" s="35" t="s">
        <v>451</v>
      </c>
      <c r="H1422" s="35">
        <v>1080</v>
      </c>
    </row>
    <row r="1423" spans="1:8" ht="15.75" x14ac:dyDescent="0.25">
      <c r="A1423" t="str">
        <f t="shared" si="22"/>
        <v>U148119PC9060LL-M</v>
      </c>
      <c r="B1423" s="35" t="s">
        <v>995</v>
      </c>
      <c r="C1423" s="35" t="s">
        <v>1966</v>
      </c>
      <c r="D1423" s="35" t="s">
        <v>438</v>
      </c>
      <c r="E1423" s="35" t="s">
        <v>2337</v>
      </c>
      <c r="F1423" s="35" t="s">
        <v>436</v>
      </c>
      <c r="G1423" s="35" t="s">
        <v>448</v>
      </c>
      <c r="H1423" s="35">
        <v>918</v>
      </c>
    </row>
    <row r="1424" spans="1:8" ht="15.75" x14ac:dyDescent="0.25">
      <c r="A1424" t="str">
        <f t="shared" si="22"/>
        <v>U123027W6038GJ-B</v>
      </c>
      <c r="B1424" s="35" t="s">
        <v>928</v>
      </c>
      <c r="C1424" s="35" t="s">
        <v>1967</v>
      </c>
      <c r="D1424" s="35" t="s">
        <v>444</v>
      </c>
      <c r="E1424" s="35" t="s">
        <v>2339</v>
      </c>
      <c r="F1424" s="35" t="s">
        <v>436</v>
      </c>
      <c r="G1424" s="35" t="s">
        <v>443</v>
      </c>
      <c r="H1424" s="35">
        <v>1362</v>
      </c>
    </row>
    <row r="1425" spans="1:8" ht="15.75" x14ac:dyDescent="0.25">
      <c r="A1425" t="str">
        <f t="shared" si="22"/>
        <v>U123111W6033JW-B</v>
      </c>
      <c r="B1425" s="35" t="s">
        <v>927</v>
      </c>
      <c r="C1425" s="35" t="s">
        <v>1968</v>
      </c>
      <c r="D1425" s="35" t="s">
        <v>444</v>
      </c>
      <c r="E1425" s="35" t="s">
        <v>2339</v>
      </c>
      <c r="F1425" s="35" t="s">
        <v>436</v>
      </c>
      <c r="G1425" s="35" t="s">
        <v>443</v>
      </c>
      <c r="H1425" s="35">
        <v>276</v>
      </c>
    </row>
    <row r="1426" spans="1:8" ht="15.75" x14ac:dyDescent="0.25">
      <c r="A1426" t="str">
        <f t="shared" si="22"/>
        <v>7859409W6034FP-B</v>
      </c>
      <c r="B1426" s="35" t="s">
        <v>925</v>
      </c>
      <c r="C1426" s="35">
        <v>7859409</v>
      </c>
      <c r="D1426" s="35" t="s">
        <v>395</v>
      </c>
      <c r="E1426" s="35" t="s">
        <v>2339</v>
      </c>
      <c r="F1426" s="35" t="s">
        <v>382</v>
      </c>
      <c r="G1426" s="35" t="s">
        <v>383</v>
      </c>
      <c r="H1426" s="35">
        <v>168</v>
      </c>
    </row>
    <row r="1427" spans="1:8" ht="15.75" x14ac:dyDescent="0.25">
      <c r="A1427" t="str">
        <f t="shared" si="22"/>
        <v>H132464W6038GJ-B</v>
      </c>
      <c r="B1427" s="35" t="s">
        <v>928</v>
      </c>
      <c r="C1427" s="35" t="s">
        <v>1969</v>
      </c>
      <c r="D1427" s="35" t="s">
        <v>404</v>
      </c>
      <c r="E1427" s="35" t="s">
        <v>2339</v>
      </c>
      <c r="F1427" s="35" t="s">
        <v>2294</v>
      </c>
      <c r="G1427" s="35" t="s">
        <v>2295</v>
      </c>
      <c r="H1427" s="35">
        <v>204</v>
      </c>
    </row>
    <row r="1428" spans="1:8" ht="15.75" x14ac:dyDescent="0.25">
      <c r="A1428" t="str">
        <f t="shared" si="22"/>
        <v>U123196W6038GJ-B</v>
      </c>
      <c r="B1428" s="35" t="s">
        <v>928</v>
      </c>
      <c r="C1428" s="35" t="s">
        <v>1970</v>
      </c>
      <c r="D1428" s="35" t="s">
        <v>438</v>
      </c>
      <c r="E1428" s="35" t="s">
        <v>2339</v>
      </c>
      <c r="F1428" s="35" t="s">
        <v>436</v>
      </c>
      <c r="G1428" s="35" t="s">
        <v>446</v>
      </c>
      <c r="H1428" s="35">
        <v>276</v>
      </c>
    </row>
    <row r="1429" spans="1:8" ht="15.75" x14ac:dyDescent="0.25">
      <c r="A1429" t="str">
        <f t="shared" si="22"/>
        <v>U123265W6038GJ-B</v>
      </c>
      <c r="B1429" s="35" t="s">
        <v>928</v>
      </c>
      <c r="C1429" s="35" t="s">
        <v>1971</v>
      </c>
      <c r="D1429" s="35" t="s">
        <v>438</v>
      </c>
      <c r="E1429" s="35" t="s">
        <v>2339</v>
      </c>
      <c r="F1429" s="35" t="s">
        <v>436</v>
      </c>
      <c r="G1429" s="35" t="s">
        <v>2328</v>
      </c>
      <c r="H1429" s="35">
        <v>624</v>
      </c>
    </row>
    <row r="1430" spans="1:8" ht="15.75" x14ac:dyDescent="0.25">
      <c r="A1430" t="str">
        <f t="shared" si="22"/>
        <v>U123267W6034FP-B</v>
      </c>
      <c r="B1430" s="35" t="s">
        <v>925</v>
      </c>
      <c r="C1430" s="35" t="s">
        <v>1972</v>
      </c>
      <c r="D1430" s="35" t="s">
        <v>438</v>
      </c>
      <c r="E1430" s="35" t="s">
        <v>2339</v>
      </c>
      <c r="F1430" s="35" t="s">
        <v>436</v>
      </c>
      <c r="G1430" s="35" t="s">
        <v>2328</v>
      </c>
      <c r="H1430" s="35">
        <v>708</v>
      </c>
    </row>
    <row r="1431" spans="1:8" ht="15.75" x14ac:dyDescent="0.25">
      <c r="A1431" t="str">
        <f t="shared" si="22"/>
        <v>U129989P6039J1-W</v>
      </c>
      <c r="B1431" s="35" t="s">
        <v>1079</v>
      </c>
      <c r="C1431" s="35" t="s">
        <v>1973</v>
      </c>
      <c r="D1431" s="35" t="s">
        <v>444</v>
      </c>
      <c r="E1431" s="35" t="s">
        <v>2338</v>
      </c>
      <c r="F1431" s="35" t="s">
        <v>436</v>
      </c>
      <c r="G1431" s="35" t="s">
        <v>443</v>
      </c>
      <c r="H1431" s="35">
        <v>156</v>
      </c>
    </row>
    <row r="1432" spans="1:8" ht="15.75" x14ac:dyDescent="0.25">
      <c r="A1432" t="str">
        <f t="shared" si="22"/>
        <v>U129989P6039J1-M</v>
      </c>
      <c r="B1432" s="35" t="s">
        <v>1079</v>
      </c>
      <c r="C1432" s="35" t="s">
        <v>1973</v>
      </c>
      <c r="D1432" s="35" t="s">
        <v>444</v>
      </c>
      <c r="E1432" s="35" t="s">
        <v>2337</v>
      </c>
      <c r="F1432" s="35" t="s">
        <v>436</v>
      </c>
      <c r="G1432" s="35" t="s">
        <v>443</v>
      </c>
      <c r="H1432" s="35">
        <v>450</v>
      </c>
    </row>
    <row r="1433" spans="1:8" ht="15.75" x14ac:dyDescent="0.25">
      <c r="A1433" t="str">
        <f t="shared" si="22"/>
        <v>U130027P6039J1-M</v>
      </c>
      <c r="B1433" s="35" t="s">
        <v>1079</v>
      </c>
      <c r="C1433" s="35" t="s">
        <v>1974</v>
      </c>
      <c r="D1433" s="35" t="s">
        <v>438</v>
      </c>
      <c r="E1433" s="35" t="s">
        <v>2337</v>
      </c>
      <c r="F1433" s="35" t="s">
        <v>436</v>
      </c>
      <c r="G1433" s="35" t="s">
        <v>442</v>
      </c>
      <c r="H1433" s="35">
        <v>225</v>
      </c>
    </row>
    <row r="1434" spans="1:8" ht="15.75" x14ac:dyDescent="0.25">
      <c r="A1434" t="str">
        <f t="shared" si="22"/>
        <v>H148670G6032Z2-M</v>
      </c>
      <c r="B1434" s="35" t="s">
        <v>892</v>
      </c>
      <c r="C1434" s="35" t="s">
        <v>1975</v>
      </c>
      <c r="D1434" s="35" t="s">
        <v>404</v>
      </c>
      <c r="E1434" s="35" t="s">
        <v>2337</v>
      </c>
      <c r="F1434" s="35" t="s">
        <v>430</v>
      </c>
      <c r="G1434" s="35" t="s">
        <v>431</v>
      </c>
      <c r="H1434" s="35">
        <v>588</v>
      </c>
    </row>
    <row r="1435" spans="1:8" ht="15.75" x14ac:dyDescent="0.25">
      <c r="A1435" t="str">
        <f t="shared" si="22"/>
        <v>H148653G6035F4-M</v>
      </c>
      <c r="B1435" s="35" t="s">
        <v>891</v>
      </c>
      <c r="C1435" s="35" t="s">
        <v>1976</v>
      </c>
      <c r="D1435" s="35" t="s">
        <v>404</v>
      </c>
      <c r="E1435" s="35" t="s">
        <v>2337</v>
      </c>
      <c r="F1435" s="35" t="s">
        <v>434</v>
      </c>
      <c r="G1435" s="35" t="s">
        <v>435</v>
      </c>
      <c r="H1435" s="35">
        <v>4218</v>
      </c>
    </row>
    <row r="1436" spans="1:8" ht="15.75" x14ac:dyDescent="0.25">
      <c r="A1436" t="str">
        <f t="shared" si="22"/>
        <v>H148680G6032Z2-M</v>
      </c>
      <c r="B1436" s="35" t="s">
        <v>892</v>
      </c>
      <c r="C1436" s="35" t="s">
        <v>1977</v>
      </c>
      <c r="D1436" s="35" t="s">
        <v>404</v>
      </c>
      <c r="E1436" s="35" t="s">
        <v>2337</v>
      </c>
      <c r="F1436" s="35" t="s">
        <v>434</v>
      </c>
      <c r="G1436" s="35" t="s">
        <v>435</v>
      </c>
      <c r="H1436" s="35">
        <v>3828</v>
      </c>
    </row>
    <row r="1437" spans="1:8" ht="15.75" x14ac:dyDescent="0.25">
      <c r="A1437" t="str">
        <f t="shared" si="22"/>
        <v>U129942G6035F4-M</v>
      </c>
      <c r="B1437" s="35" t="s">
        <v>891</v>
      </c>
      <c r="C1437" s="35" t="s">
        <v>1978</v>
      </c>
      <c r="D1437" s="35" t="s">
        <v>438</v>
      </c>
      <c r="E1437" s="35" t="s">
        <v>2337</v>
      </c>
      <c r="F1437" s="35" t="s">
        <v>436</v>
      </c>
      <c r="G1437" s="35" t="s">
        <v>442</v>
      </c>
      <c r="H1437" s="35">
        <v>3000</v>
      </c>
    </row>
    <row r="1438" spans="1:8" ht="15.75" x14ac:dyDescent="0.25">
      <c r="A1438" t="str">
        <f t="shared" si="22"/>
        <v>U130011G6032Z2-M</v>
      </c>
      <c r="B1438" s="35" t="s">
        <v>892</v>
      </c>
      <c r="C1438" s="35" t="s">
        <v>1979</v>
      </c>
      <c r="D1438" s="35" t="s">
        <v>438</v>
      </c>
      <c r="E1438" s="35" t="s">
        <v>2337</v>
      </c>
      <c r="F1438" s="35" t="s">
        <v>436</v>
      </c>
      <c r="G1438" s="35" t="s">
        <v>437</v>
      </c>
      <c r="H1438" s="35">
        <v>3240</v>
      </c>
    </row>
    <row r="1439" spans="1:8" ht="15.75" x14ac:dyDescent="0.25">
      <c r="A1439" t="str">
        <f t="shared" si="22"/>
        <v>U130078G6032Z2-M</v>
      </c>
      <c r="B1439" s="35" t="s">
        <v>892</v>
      </c>
      <c r="C1439" s="35" t="s">
        <v>1980</v>
      </c>
      <c r="D1439" s="35" t="s">
        <v>438</v>
      </c>
      <c r="E1439" s="35" t="s">
        <v>2337</v>
      </c>
      <c r="F1439" s="35" t="s">
        <v>436</v>
      </c>
      <c r="G1439" s="35" t="s">
        <v>439</v>
      </c>
      <c r="H1439" s="35">
        <v>528</v>
      </c>
    </row>
    <row r="1440" spans="1:8" ht="15.75" x14ac:dyDescent="0.25">
      <c r="A1440" t="str">
        <f t="shared" si="22"/>
        <v>U130873G6032Z2-M</v>
      </c>
      <c r="B1440" s="35" t="s">
        <v>892</v>
      </c>
      <c r="C1440" s="35" t="s">
        <v>1981</v>
      </c>
      <c r="D1440" s="35" t="s">
        <v>438</v>
      </c>
      <c r="E1440" s="35" t="s">
        <v>2337</v>
      </c>
      <c r="F1440" s="35" t="s">
        <v>436</v>
      </c>
      <c r="G1440" s="35" t="s">
        <v>447</v>
      </c>
      <c r="H1440" s="35">
        <v>2148</v>
      </c>
    </row>
    <row r="1441" spans="1:8" ht="15.75" x14ac:dyDescent="0.25">
      <c r="A1441" t="str">
        <f t="shared" si="22"/>
        <v>U130077G6035F4-M</v>
      </c>
      <c r="B1441" s="35" t="s">
        <v>891</v>
      </c>
      <c r="C1441" s="35" t="s">
        <v>1982</v>
      </c>
      <c r="D1441" s="35" t="s">
        <v>438</v>
      </c>
      <c r="E1441" s="35" t="s">
        <v>2337</v>
      </c>
      <c r="F1441" s="35" t="s">
        <v>436</v>
      </c>
      <c r="G1441" s="35" t="s">
        <v>440</v>
      </c>
      <c r="H1441" s="35">
        <v>1188</v>
      </c>
    </row>
    <row r="1442" spans="1:8" ht="15.75" x14ac:dyDescent="0.25">
      <c r="A1442" t="str">
        <f t="shared" si="22"/>
        <v>U130866G6035F4-M</v>
      </c>
      <c r="B1442" s="35" t="s">
        <v>891</v>
      </c>
      <c r="C1442" s="35" t="s">
        <v>1983</v>
      </c>
      <c r="D1442" s="35" t="s">
        <v>438</v>
      </c>
      <c r="E1442" s="35" t="s">
        <v>2337</v>
      </c>
      <c r="F1442" s="35" t="s">
        <v>436</v>
      </c>
      <c r="G1442" s="35" t="s">
        <v>441</v>
      </c>
      <c r="H1442" s="35">
        <v>726</v>
      </c>
    </row>
    <row r="1443" spans="1:8" ht="15.75" x14ac:dyDescent="0.25">
      <c r="A1443" t="str">
        <f t="shared" si="22"/>
        <v>U129964P60394T-M</v>
      </c>
      <c r="B1443" s="35" t="s">
        <v>1002</v>
      </c>
      <c r="C1443" s="35" t="s">
        <v>1984</v>
      </c>
      <c r="D1443" s="35" t="s">
        <v>438</v>
      </c>
      <c r="E1443" s="35" t="s">
        <v>2337</v>
      </c>
      <c r="F1443" s="35" t="s">
        <v>436</v>
      </c>
      <c r="G1443" s="35" t="s">
        <v>437</v>
      </c>
      <c r="H1443" s="35">
        <v>3240</v>
      </c>
    </row>
    <row r="1444" spans="1:8" ht="15.75" x14ac:dyDescent="0.25">
      <c r="A1444" t="str">
        <f t="shared" si="22"/>
        <v>U133395P60394T-M</v>
      </c>
      <c r="B1444" s="35" t="s">
        <v>1002</v>
      </c>
      <c r="C1444" s="35" t="s">
        <v>180</v>
      </c>
      <c r="D1444" s="35" t="s">
        <v>444</v>
      </c>
      <c r="E1444" s="35" t="s">
        <v>2337</v>
      </c>
      <c r="F1444" s="35" t="s">
        <v>436</v>
      </c>
      <c r="G1444" s="35" t="s">
        <v>443</v>
      </c>
      <c r="H1444" s="35">
        <v>2700</v>
      </c>
    </row>
    <row r="1445" spans="1:8" ht="15.75" x14ac:dyDescent="0.25">
      <c r="A1445" t="str">
        <f t="shared" si="22"/>
        <v>U133392G6032Z2-M</v>
      </c>
      <c r="B1445" s="35" t="s">
        <v>892</v>
      </c>
      <c r="C1445" s="35" t="s">
        <v>191</v>
      </c>
      <c r="D1445" s="35" t="s">
        <v>444</v>
      </c>
      <c r="E1445" s="35" t="s">
        <v>2337</v>
      </c>
      <c r="F1445" s="35" t="s">
        <v>436</v>
      </c>
      <c r="G1445" s="35" t="s">
        <v>443</v>
      </c>
      <c r="H1445" s="35">
        <v>468</v>
      </c>
    </row>
    <row r="1446" spans="1:8" ht="15.75" x14ac:dyDescent="0.25">
      <c r="A1446" t="str">
        <f t="shared" si="22"/>
        <v>U133675G6032Z2-M</v>
      </c>
      <c r="B1446" s="35" t="s">
        <v>892</v>
      </c>
      <c r="C1446" s="35" t="s">
        <v>255</v>
      </c>
      <c r="D1446" s="35" t="s">
        <v>438</v>
      </c>
      <c r="E1446" s="35" t="s">
        <v>2337</v>
      </c>
      <c r="F1446" s="35" t="s">
        <v>436</v>
      </c>
      <c r="G1446" s="35" t="s">
        <v>441</v>
      </c>
      <c r="H1446" s="35">
        <v>540</v>
      </c>
    </row>
    <row r="1447" spans="1:8" ht="15.75" x14ac:dyDescent="0.25">
      <c r="A1447" t="str">
        <f t="shared" si="22"/>
        <v>U133624G6035F4-M</v>
      </c>
      <c r="B1447" s="35" t="s">
        <v>891</v>
      </c>
      <c r="C1447" s="35" t="s">
        <v>494</v>
      </c>
      <c r="D1447" s="35" t="s">
        <v>438</v>
      </c>
      <c r="E1447" s="35" t="s">
        <v>2337</v>
      </c>
      <c r="F1447" s="35" t="s">
        <v>436</v>
      </c>
      <c r="G1447" s="35" t="s">
        <v>446</v>
      </c>
      <c r="H1447" s="35">
        <v>246</v>
      </c>
    </row>
    <row r="1448" spans="1:8" ht="15.75" x14ac:dyDescent="0.25">
      <c r="A1448" t="str">
        <f t="shared" si="22"/>
        <v>U133674G6032Z2-M</v>
      </c>
      <c r="B1448" s="35" t="s">
        <v>892</v>
      </c>
      <c r="C1448" s="35" t="s">
        <v>332</v>
      </c>
      <c r="D1448" s="35" t="s">
        <v>438</v>
      </c>
      <c r="E1448" s="35" t="s">
        <v>2337</v>
      </c>
      <c r="F1448" s="35" t="s">
        <v>436</v>
      </c>
      <c r="G1448" s="35" t="s">
        <v>441</v>
      </c>
      <c r="H1448" s="35">
        <v>522</v>
      </c>
    </row>
    <row r="1449" spans="1:8" ht="15.75" x14ac:dyDescent="0.25">
      <c r="A1449" t="str">
        <f t="shared" si="22"/>
        <v>H155705P60394T-M</v>
      </c>
      <c r="B1449" s="35" t="s">
        <v>1002</v>
      </c>
      <c r="C1449" s="35" t="s">
        <v>308</v>
      </c>
      <c r="D1449" s="35" t="s">
        <v>404</v>
      </c>
      <c r="E1449" s="35" t="s">
        <v>2337</v>
      </c>
      <c r="F1449" s="35" t="s">
        <v>430</v>
      </c>
      <c r="G1449" s="35" t="s">
        <v>431</v>
      </c>
      <c r="H1449" s="35">
        <v>582</v>
      </c>
    </row>
    <row r="1450" spans="1:8" ht="15.75" x14ac:dyDescent="0.25">
      <c r="A1450" t="str">
        <f t="shared" si="22"/>
        <v>7868484P60394T-M</v>
      </c>
      <c r="B1450" s="35" t="s">
        <v>1002</v>
      </c>
      <c r="C1450" s="35" t="s">
        <v>336</v>
      </c>
      <c r="D1450" s="35" t="s">
        <v>395</v>
      </c>
      <c r="E1450" s="35" t="s">
        <v>2337</v>
      </c>
      <c r="F1450" s="35" t="s">
        <v>382</v>
      </c>
      <c r="G1450" s="35" t="s">
        <v>383</v>
      </c>
      <c r="H1450" s="35">
        <v>924</v>
      </c>
    </row>
    <row r="1451" spans="1:8" ht="15.75" x14ac:dyDescent="0.25">
      <c r="A1451" t="str">
        <f t="shared" si="22"/>
        <v>U141663GC9060GY-M</v>
      </c>
      <c r="B1451" s="35" t="s">
        <v>1011</v>
      </c>
      <c r="C1451" s="35" t="s">
        <v>509</v>
      </c>
      <c r="D1451" s="35" t="s">
        <v>438</v>
      </c>
      <c r="E1451" s="35" t="s">
        <v>2337</v>
      </c>
      <c r="F1451" s="35" t="s">
        <v>436</v>
      </c>
      <c r="G1451" s="35" t="s">
        <v>465</v>
      </c>
      <c r="H1451" s="35">
        <v>648</v>
      </c>
    </row>
    <row r="1452" spans="1:8" ht="15.75" x14ac:dyDescent="0.25">
      <c r="A1452" t="str">
        <f t="shared" si="22"/>
        <v>U139619G6035F4-M</v>
      </c>
      <c r="B1452" s="35" t="s">
        <v>891</v>
      </c>
      <c r="C1452" s="35" t="s">
        <v>467</v>
      </c>
      <c r="D1452" s="35" t="s">
        <v>438</v>
      </c>
      <c r="E1452" s="35" t="s">
        <v>2337</v>
      </c>
      <c r="F1452" s="35" t="s">
        <v>436</v>
      </c>
      <c r="G1452" s="35" t="s">
        <v>452</v>
      </c>
      <c r="H1452" s="35">
        <v>4200</v>
      </c>
    </row>
    <row r="1453" spans="1:8" ht="15.75" x14ac:dyDescent="0.25">
      <c r="A1453" t="str">
        <f t="shared" si="22"/>
        <v>U146441P6036SS-M</v>
      </c>
      <c r="B1453" s="35" t="s">
        <v>1005</v>
      </c>
      <c r="C1453" s="35" t="s">
        <v>510</v>
      </c>
      <c r="D1453" s="35" t="s">
        <v>444</v>
      </c>
      <c r="E1453" s="35" t="s">
        <v>2337</v>
      </c>
      <c r="F1453" s="35" t="s">
        <v>436</v>
      </c>
      <c r="G1453" s="35" t="s">
        <v>443</v>
      </c>
      <c r="H1453" s="35">
        <v>108</v>
      </c>
    </row>
    <row r="1454" spans="1:8" ht="15.75" x14ac:dyDescent="0.25">
      <c r="A1454" t="str">
        <f t="shared" si="22"/>
        <v>U146441P6036SS-W</v>
      </c>
      <c r="B1454" s="35" t="s">
        <v>1005</v>
      </c>
      <c r="C1454" s="35" t="s">
        <v>510</v>
      </c>
      <c r="D1454" s="35" t="s">
        <v>444</v>
      </c>
      <c r="E1454" s="35" t="s">
        <v>2338</v>
      </c>
      <c r="F1454" s="35" t="s">
        <v>436</v>
      </c>
      <c r="G1454" s="35" t="s">
        <v>443</v>
      </c>
      <c r="H1454" s="35">
        <v>120</v>
      </c>
    </row>
    <row r="1455" spans="1:8" ht="15.75" x14ac:dyDescent="0.25">
      <c r="A1455" t="str">
        <f t="shared" si="22"/>
        <v>U143056P60399V-M</v>
      </c>
      <c r="B1455" s="35" t="s">
        <v>998</v>
      </c>
      <c r="C1455" s="35" t="s">
        <v>495</v>
      </c>
      <c r="D1455" s="35" t="s">
        <v>438</v>
      </c>
      <c r="E1455" s="35" t="s">
        <v>2337</v>
      </c>
      <c r="F1455" s="35" t="s">
        <v>436</v>
      </c>
      <c r="G1455" s="35" t="s">
        <v>505</v>
      </c>
      <c r="H1455" s="35">
        <v>504</v>
      </c>
    </row>
    <row r="1456" spans="1:8" ht="15.75" x14ac:dyDescent="0.25">
      <c r="A1456" t="str">
        <f t="shared" si="22"/>
        <v>U146435P60394T-W</v>
      </c>
      <c r="B1456" s="35" t="s">
        <v>1002</v>
      </c>
      <c r="C1456" s="35" t="s">
        <v>1985</v>
      </c>
      <c r="D1456" s="35" t="s">
        <v>444</v>
      </c>
      <c r="E1456" s="35" t="s">
        <v>2338</v>
      </c>
      <c r="F1456" s="35" t="s">
        <v>436</v>
      </c>
      <c r="G1456" s="35" t="s">
        <v>443</v>
      </c>
      <c r="H1456" s="35">
        <v>78</v>
      </c>
    </row>
    <row r="1457" spans="1:8" ht="15.75" x14ac:dyDescent="0.25">
      <c r="A1457" t="str">
        <f t="shared" si="22"/>
        <v>7876155P60394T-M</v>
      </c>
      <c r="B1457" s="35" t="s">
        <v>1002</v>
      </c>
      <c r="C1457" s="35" t="s">
        <v>1986</v>
      </c>
      <c r="D1457" s="35" t="s">
        <v>387</v>
      </c>
      <c r="E1457" s="35" t="s">
        <v>2337</v>
      </c>
      <c r="F1457" s="35" t="s">
        <v>388</v>
      </c>
      <c r="G1457" s="35" t="s">
        <v>389</v>
      </c>
      <c r="H1457" s="35">
        <v>1308</v>
      </c>
    </row>
    <row r="1458" spans="1:8" ht="15.75" x14ac:dyDescent="0.25">
      <c r="A1458" t="str">
        <f t="shared" si="22"/>
        <v>H171620G6035F4-M</v>
      </c>
      <c r="B1458" s="35" t="s">
        <v>891</v>
      </c>
      <c r="C1458" s="35" t="s">
        <v>1987</v>
      </c>
      <c r="D1458" s="35" t="s">
        <v>404</v>
      </c>
      <c r="E1458" s="35" t="s">
        <v>2337</v>
      </c>
      <c r="F1458" s="35" t="s">
        <v>2292</v>
      </c>
      <c r="G1458" s="35" t="s">
        <v>2293</v>
      </c>
      <c r="H1458" s="35">
        <v>144</v>
      </c>
    </row>
    <row r="1459" spans="1:8" ht="15.75" x14ac:dyDescent="0.25">
      <c r="A1459" t="str">
        <f t="shared" si="22"/>
        <v>7875804G6035F4-W</v>
      </c>
      <c r="B1459" s="35" t="s">
        <v>891</v>
      </c>
      <c r="C1459" s="35" t="s">
        <v>1988</v>
      </c>
      <c r="D1459" s="35" t="s">
        <v>394</v>
      </c>
      <c r="E1459" s="35" t="s">
        <v>2338</v>
      </c>
      <c r="F1459" s="35" t="s">
        <v>481</v>
      </c>
      <c r="G1459" s="35" t="s">
        <v>482</v>
      </c>
      <c r="H1459" s="35">
        <v>858</v>
      </c>
    </row>
    <row r="1460" spans="1:8" ht="15.75" x14ac:dyDescent="0.25">
      <c r="A1460" t="str">
        <f t="shared" si="22"/>
        <v>H171623G6032Z2-M</v>
      </c>
      <c r="B1460" s="35" t="s">
        <v>892</v>
      </c>
      <c r="C1460" s="35" t="s">
        <v>1989</v>
      </c>
      <c r="D1460" s="35" t="s">
        <v>404</v>
      </c>
      <c r="E1460" s="35" t="s">
        <v>2337</v>
      </c>
      <c r="F1460" s="35" t="s">
        <v>2292</v>
      </c>
      <c r="G1460" s="35" t="s">
        <v>2293</v>
      </c>
      <c r="H1460" s="35">
        <v>384</v>
      </c>
    </row>
    <row r="1461" spans="1:8" ht="15.75" x14ac:dyDescent="0.25">
      <c r="A1461" t="str">
        <f t="shared" si="22"/>
        <v>7877670P60394T-M</v>
      </c>
      <c r="B1461" s="35" t="s">
        <v>1002</v>
      </c>
      <c r="C1461" s="35" t="s">
        <v>1990</v>
      </c>
      <c r="D1461" s="35" t="s">
        <v>395</v>
      </c>
      <c r="E1461" s="35" t="s">
        <v>2337</v>
      </c>
      <c r="F1461" s="35" t="s">
        <v>382</v>
      </c>
      <c r="G1461" s="35" t="s">
        <v>383</v>
      </c>
      <c r="H1461" s="35">
        <v>522</v>
      </c>
    </row>
    <row r="1462" spans="1:8" ht="15.75" x14ac:dyDescent="0.25">
      <c r="A1462" t="str">
        <f t="shared" si="22"/>
        <v>7878251P60394T-M</v>
      </c>
      <c r="B1462" s="35" t="s">
        <v>1002</v>
      </c>
      <c r="C1462" s="35" t="s">
        <v>1991</v>
      </c>
      <c r="D1462" s="35" t="s">
        <v>395</v>
      </c>
      <c r="E1462" s="35" t="s">
        <v>2337</v>
      </c>
      <c r="F1462" s="35" t="s">
        <v>382</v>
      </c>
      <c r="G1462" s="35" t="s">
        <v>383</v>
      </c>
      <c r="H1462" s="35">
        <v>1854</v>
      </c>
    </row>
    <row r="1463" spans="1:8" ht="15.75" x14ac:dyDescent="0.25">
      <c r="A1463" t="str">
        <f t="shared" si="22"/>
        <v>7877658P6036SS-M</v>
      </c>
      <c r="B1463" s="35" t="s">
        <v>1005</v>
      </c>
      <c r="C1463" s="35" t="s">
        <v>1992</v>
      </c>
      <c r="D1463" s="35" t="s">
        <v>395</v>
      </c>
      <c r="E1463" s="35" t="s">
        <v>2337</v>
      </c>
      <c r="F1463" s="35" t="s">
        <v>382</v>
      </c>
      <c r="G1463" s="35" t="s">
        <v>383</v>
      </c>
      <c r="H1463" s="35">
        <v>180</v>
      </c>
    </row>
    <row r="1464" spans="1:8" ht="15.75" x14ac:dyDescent="0.25">
      <c r="A1464" t="str">
        <f t="shared" si="22"/>
        <v>H171605P6036SS-M</v>
      </c>
      <c r="B1464" s="35" t="s">
        <v>1005</v>
      </c>
      <c r="C1464" s="35" t="s">
        <v>1993</v>
      </c>
      <c r="D1464" s="35" t="s">
        <v>404</v>
      </c>
      <c r="E1464" s="35" t="s">
        <v>2337</v>
      </c>
      <c r="F1464" s="35" t="s">
        <v>414</v>
      </c>
      <c r="G1464" s="35" t="s">
        <v>415</v>
      </c>
      <c r="H1464" s="35">
        <v>180</v>
      </c>
    </row>
    <row r="1465" spans="1:8" ht="15.75" x14ac:dyDescent="0.25">
      <c r="A1465" t="str">
        <f t="shared" si="22"/>
        <v>H148618P6036SS-W</v>
      </c>
      <c r="B1465" s="35" t="s">
        <v>1005</v>
      </c>
      <c r="C1465" s="35" t="s">
        <v>1994</v>
      </c>
      <c r="D1465" s="35" t="s">
        <v>404</v>
      </c>
      <c r="E1465" s="35" t="s">
        <v>2338</v>
      </c>
      <c r="F1465" s="35" t="s">
        <v>2294</v>
      </c>
      <c r="G1465" s="35" t="s">
        <v>2295</v>
      </c>
      <c r="H1465" s="35">
        <v>90</v>
      </c>
    </row>
    <row r="1466" spans="1:8" ht="15.75" x14ac:dyDescent="0.25">
      <c r="A1466" t="str">
        <f t="shared" si="22"/>
        <v>H148618P6036SS-M</v>
      </c>
      <c r="B1466" s="35" t="s">
        <v>1005</v>
      </c>
      <c r="C1466" s="35" t="s">
        <v>1994</v>
      </c>
      <c r="D1466" s="35" t="s">
        <v>404</v>
      </c>
      <c r="E1466" s="35" t="s">
        <v>2337</v>
      </c>
      <c r="F1466" s="35" t="s">
        <v>2294</v>
      </c>
      <c r="G1466" s="35" t="s">
        <v>2295</v>
      </c>
      <c r="H1466" s="35">
        <v>90</v>
      </c>
    </row>
    <row r="1467" spans="1:8" ht="15.75" x14ac:dyDescent="0.25">
      <c r="A1467" t="str">
        <f t="shared" si="22"/>
        <v>7877267G6035F4-M</v>
      </c>
      <c r="B1467" s="35" t="s">
        <v>891</v>
      </c>
      <c r="C1467" s="35" t="s">
        <v>1995</v>
      </c>
      <c r="D1467" s="35" t="s">
        <v>395</v>
      </c>
      <c r="E1467" s="35" t="s">
        <v>2337</v>
      </c>
      <c r="F1467" s="35" t="s">
        <v>382</v>
      </c>
      <c r="G1467" s="35" t="s">
        <v>383</v>
      </c>
      <c r="H1467" s="35">
        <v>528</v>
      </c>
    </row>
    <row r="1468" spans="1:8" ht="15.75" x14ac:dyDescent="0.25">
      <c r="A1468" t="str">
        <f t="shared" si="22"/>
        <v>7878463G6035F4-M</v>
      </c>
      <c r="B1468" s="35" t="s">
        <v>891</v>
      </c>
      <c r="C1468" s="35" t="s">
        <v>1996</v>
      </c>
      <c r="D1468" s="35" t="s">
        <v>395</v>
      </c>
      <c r="E1468" s="35" t="s">
        <v>2337</v>
      </c>
      <c r="F1468" s="35" t="s">
        <v>382</v>
      </c>
      <c r="G1468" s="35" t="s">
        <v>383</v>
      </c>
      <c r="H1468" s="35">
        <v>1560</v>
      </c>
    </row>
    <row r="1469" spans="1:8" ht="15.75" x14ac:dyDescent="0.25">
      <c r="A1469" t="str">
        <f t="shared" si="22"/>
        <v>7856592W60336H-B</v>
      </c>
      <c r="B1469" s="35" t="s">
        <v>923</v>
      </c>
      <c r="C1469" s="35">
        <v>7856592</v>
      </c>
      <c r="D1469" s="35" t="s">
        <v>395</v>
      </c>
      <c r="E1469" s="35" t="s">
        <v>2339</v>
      </c>
      <c r="F1469" s="35" t="s">
        <v>382</v>
      </c>
      <c r="G1469" s="35" t="s">
        <v>383</v>
      </c>
      <c r="H1469" s="35">
        <v>648</v>
      </c>
    </row>
    <row r="1470" spans="1:8" ht="15.75" x14ac:dyDescent="0.25">
      <c r="A1470" t="str">
        <f t="shared" si="22"/>
        <v>U123028W6034FP-B</v>
      </c>
      <c r="B1470" s="35" t="s">
        <v>925</v>
      </c>
      <c r="C1470" s="35" t="s">
        <v>1997</v>
      </c>
      <c r="D1470" s="35" t="s">
        <v>444</v>
      </c>
      <c r="E1470" s="35" t="s">
        <v>2339</v>
      </c>
      <c r="F1470" s="35" t="s">
        <v>436</v>
      </c>
      <c r="G1470" s="35" t="s">
        <v>443</v>
      </c>
      <c r="H1470" s="35">
        <v>1596</v>
      </c>
    </row>
    <row r="1471" spans="1:8" ht="15.75" x14ac:dyDescent="0.25">
      <c r="A1471" t="str">
        <f t="shared" si="22"/>
        <v>U122941W6033JW-B</v>
      </c>
      <c r="B1471" s="35" t="s">
        <v>927</v>
      </c>
      <c r="C1471" s="35" t="s">
        <v>1998</v>
      </c>
      <c r="D1471" s="35" t="s">
        <v>438</v>
      </c>
      <c r="E1471" s="35" t="s">
        <v>2339</v>
      </c>
      <c r="F1471" s="35" t="s">
        <v>436</v>
      </c>
      <c r="G1471" s="35" t="s">
        <v>442</v>
      </c>
      <c r="H1471" s="35">
        <v>1800</v>
      </c>
    </row>
    <row r="1472" spans="1:8" ht="15.75" x14ac:dyDescent="0.25">
      <c r="A1472" t="str">
        <f t="shared" si="22"/>
        <v>U129975G6034EC-M</v>
      </c>
      <c r="B1472" s="35" t="s">
        <v>1080</v>
      </c>
      <c r="C1472" s="35" t="s">
        <v>1999</v>
      </c>
      <c r="D1472" s="35" t="s">
        <v>444</v>
      </c>
      <c r="E1472" s="35" t="s">
        <v>2337</v>
      </c>
      <c r="F1472" s="35" t="s">
        <v>436</v>
      </c>
      <c r="G1472" s="35" t="s">
        <v>443</v>
      </c>
      <c r="H1472" s="35">
        <v>408</v>
      </c>
    </row>
    <row r="1473" spans="1:8" ht="15.75" x14ac:dyDescent="0.25">
      <c r="A1473" t="str">
        <f t="shared" si="22"/>
        <v>U128240W6034FP-B</v>
      </c>
      <c r="B1473" s="35" t="s">
        <v>925</v>
      </c>
      <c r="C1473" s="35" t="s">
        <v>2000</v>
      </c>
      <c r="D1473" s="35" t="s">
        <v>444</v>
      </c>
      <c r="E1473" s="35" t="s">
        <v>2339</v>
      </c>
      <c r="F1473" s="35" t="s">
        <v>436</v>
      </c>
      <c r="G1473" s="35" t="s">
        <v>443</v>
      </c>
      <c r="H1473" s="35">
        <v>1284</v>
      </c>
    </row>
    <row r="1474" spans="1:8" ht="15.75" x14ac:dyDescent="0.25">
      <c r="A1474" t="str">
        <f t="shared" si="22"/>
        <v>U129982G6032Z2-M</v>
      </c>
      <c r="B1474" s="35" t="s">
        <v>892</v>
      </c>
      <c r="C1474" s="35" t="s">
        <v>2001</v>
      </c>
      <c r="D1474" s="35" t="s">
        <v>444</v>
      </c>
      <c r="E1474" s="35" t="s">
        <v>2337</v>
      </c>
      <c r="F1474" s="35" t="s">
        <v>436</v>
      </c>
      <c r="G1474" s="35" t="s">
        <v>443</v>
      </c>
      <c r="H1474" s="35">
        <v>306</v>
      </c>
    </row>
    <row r="1475" spans="1:8" ht="15.75" x14ac:dyDescent="0.25">
      <c r="A1475" t="str">
        <f t="shared" si="22"/>
        <v>U129982G6032Z2-W</v>
      </c>
      <c r="B1475" s="35" t="s">
        <v>892</v>
      </c>
      <c r="C1475" s="35" t="s">
        <v>2001</v>
      </c>
      <c r="D1475" s="35" t="s">
        <v>444</v>
      </c>
      <c r="E1475" s="35" t="s">
        <v>2338</v>
      </c>
      <c r="F1475" s="35" t="s">
        <v>436</v>
      </c>
      <c r="G1475" s="35" t="s">
        <v>443</v>
      </c>
      <c r="H1475" s="35">
        <v>168</v>
      </c>
    </row>
    <row r="1476" spans="1:8" ht="15.75" x14ac:dyDescent="0.25">
      <c r="A1476" t="str">
        <f t="shared" si="22"/>
        <v>7862738G6032Z2-M</v>
      </c>
      <c r="B1476" s="35" t="s">
        <v>892</v>
      </c>
      <c r="C1476" s="35" t="s">
        <v>2002</v>
      </c>
      <c r="D1476" s="35" t="s">
        <v>395</v>
      </c>
      <c r="E1476" s="35" t="s">
        <v>2337</v>
      </c>
      <c r="F1476" s="35" t="s">
        <v>382</v>
      </c>
      <c r="G1476" s="35" t="s">
        <v>383</v>
      </c>
      <c r="H1476" s="35">
        <v>546</v>
      </c>
    </row>
    <row r="1477" spans="1:8" ht="15.75" x14ac:dyDescent="0.25">
      <c r="A1477" t="str">
        <f t="shared" si="22"/>
        <v>U129943G6032Z2-M</v>
      </c>
      <c r="B1477" s="35" t="s">
        <v>892</v>
      </c>
      <c r="C1477" s="35" t="s">
        <v>2003</v>
      </c>
      <c r="D1477" s="35" t="s">
        <v>438</v>
      </c>
      <c r="E1477" s="35" t="s">
        <v>2337</v>
      </c>
      <c r="F1477" s="35" t="s">
        <v>436</v>
      </c>
      <c r="G1477" s="35" t="s">
        <v>442</v>
      </c>
      <c r="H1477" s="35">
        <v>1500</v>
      </c>
    </row>
    <row r="1478" spans="1:8" ht="15.75" x14ac:dyDescent="0.25">
      <c r="A1478" t="str">
        <f t="shared" si="22"/>
        <v>U130093G6032Z2-M</v>
      </c>
      <c r="B1478" s="35" t="s">
        <v>892</v>
      </c>
      <c r="C1478" s="35" t="s">
        <v>2004</v>
      </c>
      <c r="D1478" s="35" t="s">
        <v>438</v>
      </c>
      <c r="E1478" s="35" t="s">
        <v>2337</v>
      </c>
      <c r="F1478" s="35" t="s">
        <v>436</v>
      </c>
      <c r="G1478" s="35" t="s">
        <v>439</v>
      </c>
      <c r="H1478" s="35">
        <v>528</v>
      </c>
    </row>
    <row r="1479" spans="1:8" ht="15.75" x14ac:dyDescent="0.25">
      <c r="A1479" t="str">
        <f t="shared" ref="A1479:A1542" si="23">+C1479&amp;B1479&amp;"-"&amp;E1479</f>
        <v>U130092G6035F4-M</v>
      </c>
      <c r="B1479" s="35" t="s">
        <v>891</v>
      </c>
      <c r="C1479" s="35" t="s">
        <v>2005</v>
      </c>
      <c r="D1479" s="35" t="s">
        <v>438</v>
      </c>
      <c r="E1479" s="35" t="s">
        <v>2337</v>
      </c>
      <c r="F1479" s="35" t="s">
        <v>436</v>
      </c>
      <c r="G1479" s="35" t="s">
        <v>439</v>
      </c>
      <c r="H1479" s="35">
        <v>528</v>
      </c>
    </row>
    <row r="1480" spans="1:8" ht="15.75" x14ac:dyDescent="0.25">
      <c r="A1480" t="str">
        <f t="shared" si="23"/>
        <v>U130877G6037VE-M</v>
      </c>
      <c r="B1480" s="35" t="s">
        <v>945</v>
      </c>
      <c r="C1480" s="35" t="s">
        <v>2006</v>
      </c>
      <c r="D1480" s="35" t="s">
        <v>438</v>
      </c>
      <c r="E1480" s="35" t="s">
        <v>2337</v>
      </c>
      <c r="F1480" s="35" t="s">
        <v>436</v>
      </c>
      <c r="G1480" s="35" t="s">
        <v>441</v>
      </c>
      <c r="H1480" s="35">
        <v>510</v>
      </c>
    </row>
    <row r="1481" spans="1:8" ht="15.75" x14ac:dyDescent="0.25">
      <c r="A1481" t="str">
        <f t="shared" si="23"/>
        <v>U130879G6037VE-M</v>
      </c>
      <c r="B1481" s="35" t="s">
        <v>945</v>
      </c>
      <c r="C1481" s="35" t="s">
        <v>2007</v>
      </c>
      <c r="D1481" s="35" t="s">
        <v>438</v>
      </c>
      <c r="E1481" s="35" t="s">
        <v>2337</v>
      </c>
      <c r="F1481" s="35" t="s">
        <v>436</v>
      </c>
      <c r="G1481" s="35" t="s">
        <v>447</v>
      </c>
      <c r="H1481" s="35">
        <v>834</v>
      </c>
    </row>
    <row r="1482" spans="1:8" ht="15.75" x14ac:dyDescent="0.25">
      <c r="A1482" t="str">
        <f t="shared" si="23"/>
        <v>U130088P6036SS-M</v>
      </c>
      <c r="B1482" s="35" t="s">
        <v>1005</v>
      </c>
      <c r="C1482" s="35" t="s">
        <v>2008</v>
      </c>
      <c r="D1482" s="35" t="s">
        <v>438</v>
      </c>
      <c r="E1482" s="35" t="s">
        <v>2337</v>
      </c>
      <c r="F1482" s="35" t="s">
        <v>436</v>
      </c>
      <c r="G1482" s="35" t="s">
        <v>439</v>
      </c>
      <c r="H1482" s="35">
        <v>528</v>
      </c>
    </row>
    <row r="1483" spans="1:8" ht="15.75" x14ac:dyDescent="0.25">
      <c r="A1483" t="str">
        <f t="shared" si="23"/>
        <v>U133641P60394T-M</v>
      </c>
      <c r="B1483" s="35" t="s">
        <v>1002</v>
      </c>
      <c r="C1483" s="35" t="s">
        <v>200</v>
      </c>
      <c r="D1483" s="35" t="s">
        <v>438</v>
      </c>
      <c r="E1483" s="35" t="s">
        <v>2337</v>
      </c>
      <c r="F1483" s="35" t="s">
        <v>436</v>
      </c>
      <c r="G1483" s="35" t="s">
        <v>441</v>
      </c>
      <c r="H1483" s="35">
        <v>504</v>
      </c>
    </row>
    <row r="1484" spans="1:8" ht="15.75" x14ac:dyDescent="0.25">
      <c r="A1484" t="str">
        <f t="shared" si="23"/>
        <v>U130079P6036SS-M</v>
      </c>
      <c r="B1484" s="35" t="s">
        <v>1005</v>
      </c>
      <c r="C1484" s="35" t="s">
        <v>121</v>
      </c>
      <c r="D1484" s="35" t="s">
        <v>438</v>
      </c>
      <c r="E1484" s="35" t="s">
        <v>2337</v>
      </c>
      <c r="F1484" s="35" t="s">
        <v>436</v>
      </c>
      <c r="G1484" s="35" t="s">
        <v>440</v>
      </c>
      <c r="H1484" s="35">
        <v>972</v>
      </c>
    </row>
    <row r="1485" spans="1:8" ht="15.75" x14ac:dyDescent="0.25">
      <c r="A1485" t="str">
        <f t="shared" si="23"/>
        <v>U130872G6035F4-M</v>
      </c>
      <c r="B1485" s="35" t="s">
        <v>891</v>
      </c>
      <c r="C1485" s="35" t="s">
        <v>100</v>
      </c>
      <c r="D1485" s="35" t="s">
        <v>438</v>
      </c>
      <c r="E1485" s="35" t="s">
        <v>2337</v>
      </c>
      <c r="F1485" s="35" t="s">
        <v>436</v>
      </c>
      <c r="G1485" s="35" t="s">
        <v>441</v>
      </c>
      <c r="H1485" s="35">
        <v>780</v>
      </c>
    </row>
    <row r="1486" spans="1:8" ht="15.75" x14ac:dyDescent="0.25">
      <c r="A1486" t="str">
        <f t="shared" si="23"/>
        <v>U133560G6035F4-W</v>
      </c>
      <c r="B1486" s="35" t="s">
        <v>891</v>
      </c>
      <c r="C1486" s="35" t="s">
        <v>175</v>
      </c>
      <c r="D1486" s="35" t="s">
        <v>444</v>
      </c>
      <c r="E1486" s="35" t="s">
        <v>2338</v>
      </c>
      <c r="F1486" s="35" t="s">
        <v>436</v>
      </c>
      <c r="G1486" s="35" t="s">
        <v>443</v>
      </c>
      <c r="H1486" s="35">
        <v>84</v>
      </c>
    </row>
    <row r="1487" spans="1:8" ht="15.75" x14ac:dyDescent="0.25">
      <c r="A1487" t="str">
        <f t="shared" si="23"/>
        <v>U133589G6032Z2-W</v>
      </c>
      <c r="B1487" s="35" t="s">
        <v>892</v>
      </c>
      <c r="C1487" s="35" t="s">
        <v>329</v>
      </c>
      <c r="D1487" s="35" t="s">
        <v>438</v>
      </c>
      <c r="E1487" s="35" t="s">
        <v>2338</v>
      </c>
      <c r="F1487" s="35" t="s">
        <v>436</v>
      </c>
      <c r="G1487" s="35" t="s">
        <v>445</v>
      </c>
      <c r="H1487" s="35">
        <v>300</v>
      </c>
    </row>
    <row r="1488" spans="1:8" ht="15.75" x14ac:dyDescent="0.25">
      <c r="A1488" t="str">
        <f t="shared" si="23"/>
        <v>H151647P60394T-W</v>
      </c>
      <c r="B1488" s="35" t="s">
        <v>1002</v>
      </c>
      <c r="C1488" s="35" t="s">
        <v>362</v>
      </c>
      <c r="D1488" s="35" t="s">
        <v>404</v>
      </c>
      <c r="E1488" s="35" t="s">
        <v>2338</v>
      </c>
      <c r="F1488" s="35" t="s">
        <v>428</v>
      </c>
      <c r="G1488" s="35" t="s">
        <v>429</v>
      </c>
      <c r="H1488" s="35">
        <v>870</v>
      </c>
    </row>
    <row r="1489" spans="1:8" ht="15.75" x14ac:dyDescent="0.25">
      <c r="A1489" t="str">
        <f t="shared" si="23"/>
        <v>U146406G6032Z2-W</v>
      </c>
      <c r="B1489" s="35" t="s">
        <v>892</v>
      </c>
      <c r="C1489" s="35" t="s">
        <v>519</v>
      </c>
      <c r="D1489" s="35" t="s">
        <v>444</v>
      </c>
      <c r="E1489" s="35" t="s">
        <v>2338</v>
      </c>
      <c r="F1489" s="35" t="s">
        <v>436</v>
      </c>
      <c r="G1489" s="35" t="s">
        <v>443</v>
      </c>
      <c r="H1489" s="35">
        <v>90</v>
      </c>
    </row>
    <row r="1490" spans="1:8" ht="15.75" x14ac:dyDescent="0.25">
      <c r="A1490" t="str">
        <f t="shared" si="23"/>
        <v>U146426G6037VE-M</v>
      </c>
      <c r="B1490" s="35" t="s">
        <v>945</v>
      </c>
      <c r="C1490" s="35" t="s">
        <v>2009</v>
      </c>
      <c r="D1490" s="35" t="s">
        <v>444</v>
      </c>
      <c r="E1490" s="35" t="s">
        <v>2337</v>
      </c>
      <c r="F1490" s="35" t="s">
        <v>436</v>
      </c>
      <c r="G1490" s="35" t="s">
        <v>443</v>
      </c>
      <c r="H1490" s="35">
        <v>318</v>
      </c>
    </row>
    <row r="1491" spans="1:8" ht="15.75" x14ac:dyDescent="0.25">
      <c r="A1491" t="str">
        <f t="shared" si="23"/>
        <v>U146426G6037VE-W</v>
      </c>
      <c r="B1491" s="35" t="s">
        <v>945</v>
      </c>
      <c r="C1491" s="35" t="s">
        <v>2009</v>
      </c>
      <c r="D1491" s="35" t="s">
        <v>444</v>
      </c>
      <c r="E1491" s="35" t="s">
        <v>2338</v>
      </c>
      <c r="F1491" s="35" t="s">
        <v>436</v>
      </c>
      <c r="G1491" s="35" t="s">
        <v>443</v>
      </c>
      <c r="H1491" s="35">
        <v>54</v>
      </c>
    </row>
    <row r="1492" spans="1:8" ht="15.75" x14ac:dyDescent="0.25">
      <c r="A1492" t="str">
        <f t="shared" si="23"/>
        <v>U146435P60394T-M</v>
      </c>
      <c r="B1492" s="35" t="s">
        <v>1002</v>
      </c>
      <c r="C1492" s="35" t="s">
        <v>1985</v>
      </c>
      <c r="D1492" s="35" t="s">
        <v>444</v>
      </c>
      <c r="E1492" s="35" t="s">
        <v>2337</v>
      </c>
      <c r="F1492" s="35" t="s">
        <v>436</v>
      </c>
      <c r="G1492" s="35" t="s">
        <v>443</v>
      </c>
      <c r="H1492" s="35">
        <v>126</v>
      </c>
    </row>
    <row r="1493" spans="1:8" ht="15.75" x14ac:dyDescent="0.25">
      <c r="A1493" t="str">
        <f t="shared" si="23"/>
        <v>U146405G6035F4-W</v>
      </c>
      <c r="B1493" s="35" t="s">
        <v>891</v>
      </c>
      <c r="C1493" s="35" t="s">
        <v>2010</v>
      </c>
      <c r="D1493" s="35" t="s">
        <v>444</v>
      </c>
      <c r="E1493" s="35" t="s">
        <v>2338</v>
      </c>
      <c r="F1493" s="35" t="s">
        <v>436</v>
      </c>
      <c r="G1493" s="35" t="s">
        <v>443</v>
      </c>
      <c r="H1493" s="35">
        <v>54</v>
      </c>
    </row>
    <row r="1494" spans="1:8" ht="15.75" x14ac:dyDescent="0.25">
      <c r="A1494" t="str">
        <f t="shared" si="23"/>
        <v>7875828P60394T-W</v>
      </c>
      <c r="B1494" s="35" t="s">
        <v>1002</v>
      </c>
      <c r="C1494" s="35" t="s">
        <v>2011</v>
      </c>
      <c r="D1494" s="35" t="s">
        <v>394</v>
      </c>
      <c r="E1494" s="35" t="s">
        <v>2338</v>
      </c>
      <c r="F1494" s="35" t="s">
        <v>481</v>
      </c>
      <c r="G1494" s="35" t="s">
        <v>482</v>
      </c>
      <c r="H1494" s="35">
        <v>720</v>
      </c>
    </row>
    <row r="1495" spans="1:8" ht="15.75" x14ac:dyDescent="0.25">
      <c r="A1495" t="str">
        <f t="shared" si="23"/>
        <v>7877249G6032Z2-M</v>
      </c>
      <c r="B1495" s="35" t="s">
        <v>892</v>
      </c>
      <c r="C1495" s="35" t="s">
        <v>2012</v>
      </c>
      <c r="D1495" s="35" t="s">
        <v>395</v>
      </c>
      <c r="E1495" s="35" t="s">
        <v>2337</v>
      </c>
      <c r="F1495" s="35" t="s">
        <v>382</v>
      </c>
      <c r="G1495" s="35" t="s">
        <v>383</v>
      </c>
      <c r="H1495" s="35">
        <v>522</v>
      </c>
    </row>
    <row r="1496" spans="1:8" ht="15.75" x14ac:dyDescent="0.25">
      <c r="A1496" t="str">
        <f t="shared" si="23"/>
        <v>H171621G6032Z2-M</v>
      </c>
      <c r="B1496" s="35" t="s">
        <v>892</v>
      </c>
      <c r="C1496" s="35" t="s">
        <v>2013</v>
      </c>
      <c r="D1496" s="35" t="s">
        <v>404</v>
      </c>
      <c r="E1496" s="35" t="s">
        <v>2337</v>
      </c>
      <c r="F1496" s="35" t="s">
        <v>414</v>
      </c>
      <c r="G1496" s="35" t="s">
        <v>415</v>
      </c>
      <c r="H1496" s="35">
        <v>186</v>
      </c>
    </row>
    <row r="1497" spans="1:8" ht="15.75" x14ac:dyDescent="0.25">
      <c r="A1497" t="str">
        <f t="shared" si="23"/>
        <v>7877502G6037LU-M</v>
      </c>
      <c r="B1497" s="35" t="s">
        <v>889</v>
      </c>
      <c r="C1497" s="35" t="s">
        <v>2014</v>
      </c>
      <c r="D1497" s="35" t="s">
        <v>395</v>
      </c>
      <c r="E1497" s="35" t="s">
        <v>2337</v>
      </c>
      <c r="F1497" s="35" t="s">
        <v>382</v>
      </c>
      <c r="G1497" s="35" t="s">
        <v>383</v>
      </c>
      <c r="H1497" s="35">
        <v>522</v>
      </c>
    </row>
    <row r="1498" spans="1:8" ht="15.75" x14ac:dyDescent="0.25">
      <c r="A1498" t="str">
        <f t="shared" si="23"/>
        <v>7878191G6037VE-M</v>
      </c>
      <c r="B1498" s="35" t="s">
        <v>945</v>
      </c>
      <c r="C1498" s="35" t="s">
        <v>2015</v>
      </c>
      <c r="D1498" s="35" t="s">
        <v>395</v>
      </c>
      <c r="E1498" s="35" t="s">
        <v>2337</v>
      </c>
      <c r="F1498" s="35" t="s">
        <v>382</v>
      </c>
      <c r="G1498" s="35" t="s">
        <v>383</v>
      </c>
      <c r="H1498" s="35">
        <v>198</v>
      </c>
    </row>
    <row r="1499" spans="1:8" ht="15.75" x14ac:dyDescent="0.25">
      <c r="A1499" t="str">
        <f t="shared" si="23"/>
        <v>U130094G6032Z2-M</v>
      </c>
      <c r="B1499" s="35" t="s">
        <v>892</v>
      </c>
      <c r="C1499" s="35" t="s">
        <v>2016</v>
      </c>
      <c r="D1499" s="35" t="s">
        <v>438</v>
      </c>
      <c r="E1499" s="35" t="s">
        <v>2337</v>
      </c>
      <c r="F1499" s="35" t="s">
        <v>436</v>
      </c>
      <c r="G1499" s="35" t="s">
        <v>440</v>
      </c>
      <c r="H1499" s="35">
        <v>972</v>
      </c>
    </row>
    <row r="1500" spans="1:8" ht="15.75" x14ac:dyDescent="0.25">
      <c r="A1500" t="str">
        <f t="shared" si="23"/>
        <v>H148598G6037VE-M</v>
      </c>
      <c r="B1500" s="35" t="s">
        <v>945</v>
      </c>
      <c r="C1500" s="35" t="s">
        <v>118</v>
      </c>
      <c r="D1500" s="35" t="s">
        <v>404</v>
      </c>
      <c r="E1500" s="35" t="s">
        <v>2337</v>
      </c>
      <c r="F1500" s="35" t="s">
        <v>414</v>
      </c>
      <c r="G1500" s="35" t="s">
        <v>415</v>
      </c>
      <c r="H1500" s="35">
        <v>504</v>
      </c>
    </row>
    <row r="1501" spans="1:8" ht="15.75" x14ac:dyDescent="0.25">
      <c r="A1501" t="str">
        <f t="shared" si="23"/>
        <v>U133686G6035F4-M</v>
      </c>
      <c r="B1501" s="35" t="s">
        <v>891</v>
      </c>
      <c r="C1501" s="35" t="s">
        <v>202</v>
      </c>
      <c r="D1501" s="35" t="s">
        <v>438</v>
      </c>
      <c r="E1501" s="35" t="s">
        <v>2337</v>
      </c>
      <c r="F1501" s="35" t="s">
        <v>436</v>
      </c>
      <c r="G1501" s="35" t="s">
        <v>447</v>
      </c>
      <c r="H1501" s="35">
        <v>1056</v>
      </c>
    </row>
    <row r="1502" spans="1:8" ht="15.75" x14ac:dyDescent="0.25">
      <c r="A1502" t="str">
        <f t="shared" si="23"/>
        <v>H151500G6032Z2-M</v>
      </c>
      <c r="B1502" s="35" t="s">
        <v>892</v>
      </c>
      <c r="C1502" s="35" t="s">
        <v>235</v>
      </c>
      <c r="D1502" s="35" t="s">
        <v>404</v>
      </c>
      <c r="E1502" s="35" t="s">
        <v>2337</v>
      </c>
      <c r="F1502" s="35" t="s">
        <v>414</v>
      </c>
      <c r="G1502" s="35" t="s">
        <v>415</v>
      </c>
      <c r="H1502" s="35">
        <v>186</v>
      </c>
    </row>
    <row r="1503" spans="1:8" ht="15.75" x14ac:dyDescent="0.25">
      <c r="A1503" t="str">
        <f t="shared" si="23"/>
        <v>U133669G6032Z2-M</v>
      </c>
      <c r="B1503" s="35" t="s">
        <v>892</v>
      </c>
      <c r="C1503" s="35" t="s">
        <v>275</v>
      </c>
      <c r="D1503" s="35" t="s">
        <v>438</v>
      </c>
      <c r="E1503" s="35" t="s">
        <v>2337</v>
      </c>
      <c r="F1503" s="35" t="s">
        <v>436</v>
      </c>
      <c r="G1503" s="35" t="s">
        <v>447</v>
      </c>
      <c r="H1503" s="35">
        <v>2016</v>
      </c>
    </row>
    <row r="1504" spans="1:8" ht="15.75" x14ac:dyDescent="0.25">
      <c r="A1504" t="str">
        <f t="shared" si="23"/>
        <v>U133656G6032Z2-M</v>
      </c>
      <c r="B1504" s="35" t="s">
        <v>892</v>
      </c>
      <c r="C1504" s="35" t="s">
        <v>261</v>
      </c>
      <c r="D1504" s="35" t="s">
        <v>438</v>
      </c>
      <c r="E1504" s="35" t="s">
        <v>2337</v>
      </c>
      <c r="F1504" s="35" t="s">
        <v>436</v>
      </c>
      <c r="G1504" s="35" t="s">
        <v>437</v>
      </c>
      <c r="H1504" s="35">
        <v>720</v>
      </c>
    </row>
    <row r="1505" spans="1:8" ht="15.75" x14ac:dyDescent="0.25">
      <c r="A1505" t="str">
        <f t="shared" si="23"/>
        <v>U133590G6037VE-W</v>
      </c>
      <c r="B1505" s="35" t="s">
        <v>945</v>
      </c>
      <c r="C1505" s="35" t="s">
        <v>353</v>
      </c>
      <c r="D1505" s="35" t="s">
        <v>438</v>
      </c>
      <c r="E1505" s="35" t="s">
        <v>2338</v>
      </c>
      <c r="F1505" s="35" t="s">
        <v>436</v>
      </c>
      <c r="G1505" s="35" t="s">
        <v>445</v>
      </c>
      <c r="H1505" s="35">
        <v>300</v>
      </c>
    </row>
    <row r="1506" spans="1:8" ht="15.75" x14ac:dyDescent="0.25">
      <c r="A1506" t="str">
        <f t="shared" si="23"/>
        <v>H155710G6035F4-M</v>
      </c>
      <c r="B1506" s="35" t="s">
        <v>891</v>
      </c>
      <c r="C1506" s="35" t="s">
        <v>347</v>
      </c>
      <c r="D1506" s="35" t="s">
        <v>404</v>
      </c>
      <c r="E1506" s="35" t="s">
        <v>2337</v>
      </c>
      <c r="F1506" s="35" t="s">
        <v>430</v>
      </c>
      <c r="G1506" s="35" t="s">
        <v>431</v>
      </c>
      <c r="H1506" s="35">
        <v>180</v>
      </c>
    </row>
    <row r="1507" spans="1:8" ht="15.75" x14ac:dyDescent="0.25">
      <c r="A1507" t="str">
        <f t="shared" si="23"/>
        <v>U146406G6032Z2-M</v>
      </c>
      <c r="B1507" s="35" t="s">
        <v>892</v>
      </c>
      <c r="C1507" s="35" t="s">
        <v>519</v>
      </c>
      <c r="D1507" s="35" t="s">
        <v>444</v>
      </c>
      <c r="E1507" s="35" t="s">
        <v>2337</v>
      </c>
      <c r="F1507" s="35" t="s">
        <v>436</v>
      </c>
      <c r="G1507" s="35" t="s">
        <v>443</v>
      </c>
      <c r="H1507" s="35">
        <v>288</v>
      </c>
    </row>
    <row r="1508" spans="1:8" ht="15.75" x14ac:dyDescent="0.25">
      <c r="A1508" t="str">
        <f t="shared" si="23"/>
        <v>U146405G6035F4-M</v>
      </c>
      <c r="B1508" s="35" t="s">
        <v>891</v>
      </c>
      <c r="C1508" s="35" t="s">
        <v>2010</v>
      </c>
      <c r="D1508" s="35" t="s">
        <v>444</v>
      </c>
      <c r="E1508" s="35" t="s">
        <v>2337</v>
      </c>
      <c r="F1508" s="35" t="s">
        <v>436</v>
      </c>
      <c r="G1508" s="35" t="s">
        <v>443</v>
      </c>
      <c r="H1508" s="35">
        <v>288</v>
      </c>
    </row>
    <row r="1509" spans="1:8" ht="15.75" x14ac:dyDescent="0.25">
      <c r="A1509" t="str">
        <f t="shared" si="23"/>
        <v>U133673G6032Z2-M</v>
      </c>
      <c r="B1509" s="35" t="s">
        <v>892</v>
      </c>
      <c r="C1509" s="35" t="s">
        <v>227</v>
      </c>
      <c r="D1509" s="35" t="s">
        <v>438</v>
      </c>
      <c r="E1509" s="35" t="s">
        <v>2337</v>
      </c>
      <c r="F1509" s="35" t="s">
        <v>436</v>
      </c>
      <c r="G1509" s="35" t="s">
        <v>447</v>
      </c>
      <c r="H1509" s="35">
        <v>924</v>
      </c>
    </row>
    <row r="1510" spans="1:8" ht="15.75" x14ac:dyDescent="0.25">
      <c r="A1510" t="str">
        <f t="shared" si="23"/>
        <v>H176889I57425Y-W</v>
      </c>
      <c r="B1510" s="35" t="s">
        <v>909</v>
      </c>
      <c r="C1510" s="35" t="s">
        <v>2017</v>
      </c>
      <c r="D1510" s="35" t="s">
        <v>404</v>
      </c>
      <c r="E1510" s="35" t="s">
        <v>2338</v>
      </c>
      <c r="F1510" s="35" t="s">
        <v>2292</v>
      </c>
      <c r="G1510" s="35" t="s">
        <v>2293</v>
      </c>
      <c r="H1510" s="35">
        <v>144</v>
      </c>
    </row>
    <row r="1511" spans="1:8" ht="15.75" x14ac:dyDescent="0.25">
      <c r="A1511" t="str">
        <f t="shared" si="23"/>
        <v>H177053I57425Y-M</v>
      </c>
      <c r="B1511" s="35" t="s">
        <v>909</v>
      </c>
      <c r="C1511" s="35" t="s">
        <v>2018</v>
      </c>
      <c r="D1511" s="35" t="s">
        <v>404</v>
      </c>
      <c r="E1511" s="35" t="s">
        <v>2337</v>
      </c>
      <c r="F1511" s="35" t="s">
        <v>418</v>
      </c>
      <c r="G1511" s="35" t="s">
        <v>419</v>
      </c>
      <c r="H1511" s="35">
        <v>174</v>
      </c>
    </row>
    <row r="1512" spans="1:8" ht="15.75" x14ac:dyDescent="0.25">
      <c r="A1512" t="str">
        <f t="shared" si="23"/>
        <v>H177127I5746W2-W</v>
      </c>
      <c r="B1512" s="35" t="s">
        <v>919</v>
      </c>
      <c r="C1512" s="35" t="s">
        <v>2019</v>
      </c>
      <c r="D1512" s="35" t="s">
        <v>404</v>
      </c>
      <c r="E1512" s="35" t="s">
        <v>2338</v>
      </c>
      <c r="F1512" s="35" t="s">
        <v>2286</v>
      </c>
      <c r="G1512" s="35" t="s">
        <v>2287</v>
      </c>
      <c r="H1512" s="35">
        <v>144</v>
      </c>
    </row>
    <row r="1513" spans="1:8" ht="15.75" x14ac:dyDescent="0.25">
      <c r="A1513" t="str">
        <f t="shared" si="23"/>
        <v>XU094144U204L7A8-D</v>
      </c>
      <c r="B1513" s="35" t="s">
        <v>1081</v>
      </c>
      <c r="C1513" s="35" t="s">
        <v>2020</v>
      </c>
      <c r="D1513" s="35" t="s">
        <v>457</v>
      </c>
      <c r="E1513" s="35" t="s">
        <v>2340</v>
      </c>
      <c r="F1513" s="35" t="s">
        <v>436</v>
      </c>
      <c r="G1513" s="35" t="s">
        <v>443</v>
      </c>
      <c r="H1513" s="35">
        <v>25</v>
      </c>
    </row>
    <row r="1514" spans="1:8" ht="15.75" x14ac:dyDescent="0.25">
      <c r="A1514" t="str">
        <f t="shared" si="23"/>
        <v>XU095293W5152L4-D</v>
      </c>
      <c r="B1514" s="35" t="s">
        <v>1082</v>
      </c>
      <c r="C1514" s="35" t="s">
        <v>2021</v>
      </c>
      <c r="D1514" s="35" t="s">
        <v>457</v>
      </c>
      <c r="E1514" s="35" t="s">
        <v>2340</v>
      </c>
      <c r="F1514" s="35" t="s">
        <v>436</v>
      </c>
      <c r="G1514" s="35" t="s">
        <v>443</v>
      </c>
      <c r="H1514" s="35">
        <v>11</v>
      </c>
    </row>
    <row r="1515" spans="1:8" ht="15.75" x14ac:dyDescent="0.25">
      <c r="A1515" t="str">
        <f t="shared" si="23"/>
        <v>XU094474W5159ZJ-B</v>
      </c>
      <c r="B1515" s="35" t="s">
        <v>1083</v>
      </c>
      <c r="C1515" s="35" t="s">
        <v>2022</v>
      </c>
      <c r="D1515" s="35" t="s">
        <v>457</v>
      </c>
      <c r="E1515" s="35" t="s">
        <v>2339</v>
      </c>
      <c r="F1515" s="35" t="s">
        <v>436</v>
      </c>
      <c r="G1515" s="35" t="s">
        <v>443</v>
      </c>
      <c r="H1515" s="35">
        <v>5</v>
      </c>
    </row>
    <row r="1516" spans="1:8" ht="15.75" x14ac:dyDescent="0.25">
      <c r="A1516" t="str">
        <f t="shared" si="23"/>
        <v>XU095302M5152JC-D</v>
      </c>
      <c r="B1516" s="35" t="s">
        <v>1084</v>
      </c>
      <c r="C1516" s="35" t="s">
        <v>2023</v>
      </c>
      <c r="D1516" s="35" t="s">
        <v>457</v>
      </c>
      <c r="E1516" s="35" t="s">
        <v>2340</v>
      </c>
      <c r="F1516" s="35" t="s">
        <v>436</v>
      </c>
      <c r="G1516" s="35" t="s">
        <v>443</v>
      </c>
      <c r="H1516" s="35">
        <v>2</v>
      </c>
    </row>
    <row r="1517" spans="1:8" ht="15.75" x14ac:dyDescent="0.25">
      <c r="A1517" t="str">
        <f t="shared" si="23"/>
        <v>XU095303W5152L4-D</v>
      </c>
      <c r="B1517" s="35" t="s">
        <v>1082</v>
      </c>
      <c r="C1517" s="35" t="s">
        <v>2024</v>
      </c>
      <c r="D1517" s="35" t="s">
        <v>457</v>
      </c>
      <c r="E1517" s="35" t="s">
        <v>2340</v>
      </c>
      <c r="F1517" s="35" t="s">
        <v>436</v>
      </c>
      <c r="G1517" s="35" t="s">
        <v>443</v>
      </c>
      <c r="H1517" s="35">
        <v>6</v>
      </c>
    </row>
    <row r="1518" spans="1:8" ht="15.75" x14ac:dyDescent="0.25">
      <c r="A1518" t="str">
        <f t="shared" si="23"/>
        <v>U159735G204L2PR-M</v>
      </c>
      <c r="B1518" s="35" t="s">
        <v>988</v>
      </c>
      <c r="C1518" s="35" t="s">
        <v>2025</v>
      </c>
      <c r="D1518" s="35" t="s">
        <v>438</v>
      </c>
      <c r="E1518" s="35" t="s">
        <v>2337</v>
      </c>
      <c r="F1518" s="35" t="s">
        <v>436</v>
      </c>
      <c r="G1518" s="35" t="s">
        <v>456</v>
      </c>
      <c r="H1518" s="35">
        <v>2100</v>
      </c>
    </row>
    <row r="1519" spans="1:8" ht="15.75" x14ac:dyDescent="0.25">
      <c r="A1519" t="str">
        <f t="shared" si="23"/>
        <v>U159639G6035F4-M</v>
      </c>
      <c r="B1519" s="35" t="s">
        <v>891</v>
      </c>
      <c r="C1519" s="35" t="s">
        <v>2026</v>
      </c>
      <c r="D1519" s="35" t="s">
        <v>438</v>
      </c>
      <c r="E1519" s="35" t="s">
        <v>2337</v>
      </c>
      <c r="F1519" s="35" t="s">
        <v>436</v>
      </c>
      <c r="G1519" s="35" t="s">
        <v>437</v>
      </c>
      <c r="H1519" s="35">
        <v>1110</v>
      </c>
    </row>
    <row r="1520" spans="1:8" ht="15.75" x14ac:dyDescent="0.25">
      <c r="A1520" t="str">
        <f t="shared" si="23"/>
        <v>U159650G6035F4-M</v>
      </c>
      <c r="B1520" s="35" t="s">
        <v>891</v>
      </c>
      <c r="C1520" s="35" t="s">
        <v>2027</v>
      </c>
      <c r="D1520" s="35" t="s">
        <v>438</v>
      </c>
      <c r="E1520" s="35" t="s">
        <v>2337</v>
      </c>
      <c r="F1520" s="35" t="s">
        <v>436</v>
      </c>
      <c r="G1520" s="35" t="s">
        <v>437</v>
      </c>
      <c r="H1520" s="35">
        <v>1350</v>
      </c>
    </row>
    <row r="1521" spans="1:8" ht="15.75" x14ac:dyDescent="0.25">
      <c r="A1521" t="str">
        <f t="shared" si="23"/>
        <v>7889513GC9060BE-M</v>
      </c>
      <c r="B1521" s="35" t="s">
        <v>1013</v>
      </c>
      <c r="C1521" s="35" t="s">
        <v>2028</v>
      </c>
      <c r="D1521" s="35" t="s">
        <v>395</v>
      </c>
      <c r="E1521" s="35" t="s">
        <v>2337</v>
      </c>
      <c r="F1521" s="35" t="s">
        <v>382</v>
      </c>
      <c r="G1521" s="35" t="s">
        <v>383</v>
      </c>
      <c r="H1521" s="35">
        <v>522</v>
      </c>
    </row>
    <row r="1522" spans="1:8" ht="15.75" x14ac:dyDescent="0.25">
      <c r="A1522" t="str">
        <f t="shared" si="23"/>
        <v>H197316I5747IH-W</v>
      </c>
      <c r="B1522" s="35" t="s">
        <v>1085</v>
      </c>
      <c r="C1522" s="35" t="s">
        <v>2029</v>
      </c>
      <c r="D1522" s="35" t="s">
        <v>404</v>
      </c>
      <c r="E1522" s="35" t="s">
        <v>2338</v>
      </c>
      <c r="F1522" s="35" t="s">
        <v>424</v>
      </c>
      <c r="G1522" s="35" t="s">
        <v>425</v>
      </c>
      <c r="H1522" s="35">
        <v>504</v>
      </c>
    </row>
    <row r="1523" spans="1:8" ht="15.75" x14ac:dyDescent="0.25">
      <c r="A1523" t="str">
        <f t="shared" si="23"/>
        <v>U159636I6039KY-W</v>
      </c>
      <c r="B1523" s="35" t="s">
        <v>940</v>
      </c>
      <c r="C1523" s="35" t="s">
        <v>2030</v>
      </c>
      <c r="D1523" s="35" t="s">
        <v>438</v>
      </c>
      <c r="E1523" s="35" t="s">
        <v>2338</v>
      </c>
      <c r="F1523" s="35" t="s">
        <v>436</v>
      </c>
      <c r="G1523" s="35" t="s">
        <v>437</v>
      </c>
      <c r="H1523" s="35">
        <v>1200</v>
      </c>
    </row>
    <row r="1524" spans="1:8" ht="15.75" x14ac:dyDescent="0.25">
      <c r="A1524" t="str">
        <f t="shared" si="23"/>
        <v>U159628P60347T-M</v>
      </c>
      <c r="B1524" s="35" t="s">
        <v>999</v>
      </c>
      <c r="C1524" s="35" t="s">
        <v>2031</v>
      </c>
      <c r="D1524" s="35" t="s">
        <v>438</v>
      </c>
      <c r="E1524" s="35" t="s">
        <v>2337</v>
      </c>
      <c r="F1524" s="35" t="s">
        <v>436</v>
      </c>
      <c r="G1524" s="35" t="s">
        <v>452</v>
      </c>
      <c r="H1524" s="35">
        <v>3600</v>
      </c>
    </row>
    <row r="1525" spans="1:8" ht="15.75" x14ac:dyDescent="0.25">
      <c r="A1525" t="str">
        <f t="shared" si="23"/>
        <v>U159647P60394T-M</v>
      </c>
      <c r="B1525" s="35" t="s">
        <v>1002</v>
      </c>
      <c r="C1525" s="35" t="s">
        <v>2032</v>
      </c>
      <c r="D1525" s="35" t="s">
        <v>438</v>
      </c>
      <c r="E1525" s="35" t="s">
        <v>2337</v>
      </c>
      <c r="F1525" s="35" t="s">
        <v>436</v>
      </c>
      <c r="G1525" s="35" t="s">
        <v>437</v>
      </c>
      <c r="H1525" s="35">
        <v>864</v>
      </c>
    </row>
    <row r="1526" spans="1:8" ht="15.75" x14ac:dyDescent="0.25">
      <c r="A1526" t="str">
        <f t="shared" si="23"/>
        <v>H171625G6032Z2-M</v>
      </c>
      <c r="B1526" s="35" t="s">
        <v>892</v>
      </c>
      <c r="C1526" s="35" t="s">
        <v>2033</v>
      </c>
      <c r="D1526" s="35" t="s">
        <v>404</v>
      </c>
      <c r="E1526" s="35" t="s">
        <v>2337</v>
      </c>
      <c r="F1526" s="35" t="s">
        <v>434</v>
      </c>
      <c r="G1526" s="35" t="s">
        <v>435</v>
      </c>
      <c r="H1526" s="35">
        <v>1464</v>
      </c>
    </row>
    <row r="1527" spans="1:8" ht="15.75" x14ac:dyDescent="0.25">
      <c r="A1527" t="str">
        <f t="shared" si="23"/>
        <v>7881644I9060819-M</v>
      </c>
      <c r="B1527" s="35" t="s">
        <v>1029</v>
      </c>
      <c r="C1527" s="35" t="s">
        <v>2034</v>
      </c>
      <c r="D1527" s="35" t="s">
        <v>390</v>
      </c>
      <c r="E1527" s="35" t="s">
        <v>2337</v>
      </c>
      <c r="F1527" s="35" t="s">
        <v>382</v>
      </c>
      <c r="G1527" s="35" t="s">
        <v>383</v>
      </c>
      <c r="H1527" s="35">
        <v>258</v>
      </c>
    </row>
    <row r="1528" spans="1:8" ht="15.75" x14ac:dyDescent="0.25">
      <c r="A1528" t="str">
        <f t="shared" si="23"/>
        <v>H171752G6032Z2-M</v>
      </c>
      <c r="B1528" s="35" t="s">
        <v>892</v>
      </c>
      <c r="C1528" s="35" t="s">
        <v>2035</v>
      </c>
      <c r="D1528" s="35" t="s">
        <v>404</v>
      </c>
      <c r="E1528" s="35" t="s">
        <v>2337</v>
      </c>
      <c r="F1528" s="35" t="s">
        <v>402</v>
      </c>
      <c r="G1528" s="35" t="s">
        <v>2289</v>
      </c>
      <c r="H1528" s="35">
        <v>318</v>
      </c>
    </row>
    <row r="1529" spans="1:8" ht="15.75" x14ac:dyDescent="0.25">
      <c r="A1529" t="str">
        <f t="shared" si="23"/>
        <v>H171759G6035F4-M</v>
      </c>
      <c r="B1529" s="35" t="s">
        <v>891</v>
      </c>
      <c r="C1529" s="35" t="s">
        <v>2036</v>
      </c>
      <c r="D1529" s="35" t="s">
        <v>404</v>
      </c>
      <c r="E1529" s="35" t="s">
        <v>2337</v>
      </c>
      <c r="F1529" s="35" t="s">
        <v>402</v>
      </c>
      <c r="G1529" s="35" t="s">
        <v>2289</v>
      </c>
      <c r="H1529" s="35">
        <v>624</v>
      </c>
    </row>
    <row r="1530" spans="1:8" ht="15.75" x14ac:dyDescent="0.25">
      <c r="A1530" t="str">
        <f t="shared" si="23"/>
        <v>H189023I57429D-W</v>
      </c>
      <c r="B1530" s="35" t="s">
        <v>910</v>
      </c>
      <c r="C1530" s="35" t="s">
        <v>2037</v>
      </c>
      <c r="D1530" s="35" t="s">
        <v>404</v>
      </c>
      <c r="E1530" s="35" t="s">
        <v>2338</v>
      </c>
      <c r="F1530" s="35" t="s">
        <v>2286</v>
      </c>
      <c r="G1530" s="35" t="s">
        <v>2287</v>
      </c>
      <c r="H1530" s="35">
        <v>426</v>
      </c>
    </row>
    <row r="1531" spans="1:8" ht="15.75" x14ac:dyDescent="0.25">
      <c r="A1531" t="str">
        <f t="shared" si="23"/>
        <v>7886352I57443A-M</v>
      </c>
      <c r="B1531" s="35" t="s">
        <v>921</v>
      </c>
      <c r="C1531" s="35" t="s">
        <v>2038</v>
      </c>
      <c r="D1531" s="35" t="s">
        <v>395</v>
      </c>
      <c r="E1531" s="35" t="s">
        <v>2337</v>
      </c>
      <c r="F1531" s="35" t="s">
        <v>382</v>
      </c>
      <c r="G1531" s="35" t="s">
        <v>383</v>
      </c>
      <c r="H1531" s="35">
        <v>318</v>
      </c>
    </row>
    <row r="1532" spans="1:8" ht="15.75" x14ac:dyDescent="0.25">
      <c r="A1532" t="str">
        <f t="shared" si="23"/>
        <v>H189006I57443A-W</v>
      </c>
      <c r="B1532" s="35" t="s">
        <v>921</v>
      </c>
      <c r="C1532" s="35" t="s">
        <v>2039</v>
      </c>
      <c r="D1532" s="35" t="s">
        <v>404</v>
      </c>
      <c r="E1532" s="35" t="s">
        <v>2338</v>
      </c>
      <c r="F1532" s="35" t="s">
        <v>424</v>
      </c>
      <c r="G1532" s="35" t="s">
        <v>425</v>
      </c>
      <c r="H1532" s="35">
        <v>510</v>
      </c>
    </row>
    <row r="1533" spans="1:8" ht="15.75" x14ac:dyDescent="0.25">
      <c r="A1533" t="str">
        <f t="shared" si="23"/>
        <v>H189003I5744ML-W</v>
      </c>
      <c r="B1533" s="35" t="s">
        <v>920</v>
      </c>
      <c r="C1533" s="35" t="s">
        <v>2040</v>
      </c>
      <c r="D1533" s="35" t="s">
        <v>404</v>
      </c>
      <c r="E1533" s="35" t="s">
        <v>2338</v>
      </c>
      <c r="F1533" s="35" t="s">
        <v>424</v>
      </c>
      <c r="G1533" s="35" t="s">
        <v>425</v>
      </c>
      <c r="H1533" s="35">
        <v>1674</v>
      </c>
    </row>
    <row r="1534" spans="1:8" ht="15.75" x14ac:dyDescent="0.25">
      <c r="A1534" t="str">
        <f t="shared" si="23"/>
        <v>7881412I57487Y-M</v>
      </c>
      <c r="B1534" s="35" t="s">
        <v>922</v>
      </c>
      <c r="C1534" s="35" t="s">
        <v>2041</v>
      </c>
      <c r="D1534" s="35" t="s">
        <v>387</v>
      </c>
      <c r="E1534" s="35" t="s">
        <v>2337</v>
      </c>
      <c r="F1534" s="35" t="s">
        <v>385</v>
      </c>
      <c r="G1534" s="35" t="s">
        <v>386</v>
      </c>
      <c r="H1534" s="35">
        <v>150</v>
      </c>
    </row>
    <row r="1535" spans="1:8" ht="15.75" x14ac:dyDescent="0.25">
      <c r="A1535" t="str">
        <f t="shared" si="23"/>
        <v>7883017I57487Y-M</v>
      </c>
      <c r="B1535" s="35" t="s">
        <v>922</v>
      </c>
      <c r="C1535" s="35" t="s">
        <v>2042</v>
      </c>
      <c r="D1535" s="35" t="s">
        <v>394</v>
      </c>
      <c r="E1535" s="35" t="s">
        <v>2337</v>
      </c>
      <c r="F1535" s="35" t="s">
        <v>392</v>
      </c>
      <c r="G1535" s="35" t="s">
        <v>393</v>
      </c>
      <c r="H1535" s="35">
        <v>312</v>
      </c>
    </row>
    <row r="1536" spans="1:8" ht="15.75" x14ac:dyDescent="0.25">
      <c r="A1536" t="str">
        <f t="shared" si="23"/>
        <v>H188987I57487Y-W</v>
      </c>
      <c r="B1536" s="35" t="s">
        <v>922</v>
      </c>
      <c r="C1536" s="35" t="s">
        <v>2043</v>
      </c>
      <c r="D1536" s="35" t="s">
        <v>404</v>
      </c>
      <c r="E1536" s="35" t="s">
        <v>2338</v>
      </c>
      <c r="F1536" s="35" t="s">
        <v>424</v>
      </c>
      <c r="G1536" s="35" t="s">
        <v>425</v>
      </c>
      <c r="H1536" s="35">
        <v>468</v>
      </c>
    </row>
    <row r="1537" spans="1:8" ht="15.75" x14ac:dyDescent="0.25">
      <c r="A1537" t="str">
        <f t="shared" si="23"/>
        <v>C135846GC574EVW-M</v>
      </c>
      <c r="B1537" s="35" t="s">
        <v>913</v>
      </c>
      <c r="C1537" s="35" t="s">
        <v>2044</v>
      </c>
      <c r="D1537" s="35" t="s">
        <v>399</v>
      </c>
      <c r="E1537" s="35" t="s">
        <v>2337</v>
      </c>
      <c r="F1537" s="35" t="s">
        <v>397</v>
      </c>
      <c r="G1537" s="35" t="s">
        <v>2329</v>
      </c>
      <c r="H1537" s="35">
        <v>516</v>
      </c>
    </row>
    <row r="1538" spans="1:8" ht="15.75" x14ac:dyDescent="0.25">
      <c r="A1538" t="str">
        <f t="shared" si="23"/>
        <v>C135847GC574EVW-M</v>
      </c>
      <c r="B1538" s="35" t="s">
        <v>913</v>
      </c>
      <c r="C1538" s="35" t="s">
        <v>2045</v>
      </c>
      <c r="D1538" s="35" t="s">
        <v>399</v>
      </c>
      <c r="E1538" s="35" t="s">
        <v>2337</v>
      </c>
      <c r="F1538" s="35" t="s">
        <v>397</v>
      </c>
      <c r="G1538" s="35" t="s">
        <v>2330</v>
      </c>
      <c r="H1538" s="35">
        <v>1104</v>
      </c>
    </row>
    <row r="1539" spans="1:8" ht="15.75" x14ac:dyDescent="0.25">
      <c r="A1539" t="str">
        <f t="shared" si="23"/>
        <v>C135848PV574EVW-M</v>
      </c>
      <c r="B1539" s="35" t="s">
        <v>918</v>
      </c>
      <c r="C1539" s="35" t="s">
        <v>2046</v>
      </c>
      <c r="D1539" s="35" t="s">
        <v>399</v>
      </c>
      <c r="E1539" s="35" t="s">
        <v>2337</v>
      </c>
      <c r="F1539" s="35" t="s">
        <v>397</v>
      </c>
      <c r="G1539" s="35" t="s">
        <v>2330</v>
      </c>
      <c r="H1539" s="35">
        <v>1152</v>
      </c>
    </row>
    <row r="1540" spans="1:8" ht="15.75" x14ac:dyDescent="0.25">
      <c r="A1540" t="str">
        <f t="shared" si="23"/>
        <v>H177200GC574EVG-M</v>
      </c>
      <c r="B1540" s="35" t="s">
        <v>912</v>
      </c>
      <c r="C1540" s="35" t="s">
        <v>2047</v>
      </c>
      <c r="D1540" s="35" t="s">
        <v>404</v>
      </c>
      <c r="E1540" s="35" t="s">
        <v>2337</v>
      </c>
      <c r="F1540" s="35" t="s">
        <v>402</v>
      </c>
      <c r="G1540" s="35" t="s">
        <v>2289</v>
      </c>
      <c r="H1540" s="35">
        <v>690</v>
      </c>
    </row>
    <row r="1541" spans="1:8" ht="15.75" x14ac:dyDescent="0.25">
      <c r="A1541" t="str">
        <f t="shared" si="23"/>
        <v>H177322GC574EVG-M</v>
      </c>
      <c r="B1541" s="35" t="s">
        <v>912</v>
      </c>
      <c r="C1541" s="35" t="s">
        <v>2048</v>
      </c>
      <c r="D1541" s="35" t="s">
        <v>404</v>
      </c>
      <c r="E1541" s="35" t="s">
        <v>2337</v>
      </c>
      <c r="F1541" s="35" t="s">
        <v>402</v>
      </c>
      <c r="G1541" s="35" t="s">
        <v>403</v>
      </c>
      <c r="H1541" s="35">
        <v>180</v>
      </c>
    </row>
    <row r="1542" spans="1:8" ht="15.75" x14ac:dyDescent="0.25">
      <c r="A1542" t="str">
        <f t="shared" si="23"/>
        <v>H177329GC574EVG-M</v>
      </c>
      <c r="B1542" s="35" t="s">
        <v>912</v>
      </c>
      <c r="C1542" s="35" t="s">
        <v>2049</v>
      </c>
      <c r="D1542" s="35" t="s">
        <v>404</v>
      </c>
      <c r="E1542" s="35" t="s">
        <v>2337</v>
      </c>
      <c r="F1542" s="35" t="s">
        <v>402</v>
      </c>
      <c r="G1542" s="35" t="s">
        <v>403</v>
      </c>
      <c r="H1542" s="35">
        <v>150</v>
      </c>
    </row>
    <row r="1543" spans="1:8" ht="15.75" x14ac:dyDescent="0.25">
      <c r="A1543" t="str">
        <f t="shared" ref="A1543:A1606" si="24">+C1543&amp;B1543&amp;"-"&amp;E1543</f>
        <v>H177330GC574EVG-M</v>
      </c>
      <c r="B1543" s="35" t="s">
        <v>912</v>
      </c>
      <c r="C1543" s="35" t="s">
        <v>2050</v>
      </c>
      <c r="D1543" s="35" t="s">
        <v>404</v>
      </c>
      <c r="E1543" s="35" t="s">
        <v>2337</v>
      </c>
      <c r="F1543" s="35" t="s">
        <v>402</v>
      </c>
      <c r="G1543" s="35" t="s">
        <v>403</v>
      </c>
      <c r="H1543" s="35">
        <v>150</v>
      </c>
    </row>
    <row r="1544" spans="1:8" ht="15.75" x14ac:dyDescent="0.25">
      <c r="A1544" t="str">
        <f t="shared" si="24"/>
        <v>H176985GC574EVW-M</v>
      </c>
      <c r="B1544" s="35" t="s">
        <v>913</v>
      </c>
      <c r="C1544" s="35" t="s">
        <v>2051</v>
      </c>
      <c r="D1544" s="35" t="s">
        <v>404</v>
      </c>
      <c r="E1544" s="35" t="s">
        <v>2337</v>
      </c>
      <c r="F1544" s="35" t="s">
        <v>524</v>
      </c>
      <c r="G1544" s="35" t="s">
        <v>525</v>
      </c>
      <c r="H1544" s="35">
        <v>528</v>
      </c>
    </row>
    <row r="1545" spans="1:8" ht="15.75" x14ac:dyDescent="0.25">
      <c r="A1545" t="str">
        <f t="shared" si="24"/>
        <v>H177180GC574EVW-M</v>
      </c>
      <c r="B1545" s="35" t="s">
        <v>913</v>
      </c>
      <c r="C1545" s="35" t="s">
        <v>2052</v>
      </c>
      <c r="D1545" s="35" t="s">
        <v>404</v>
      </c>
      <c r="E1545" s="35" t="s">
        <v>2337</v>
      </c>
      <c r="F1545" s="35" t="s">
        <v>402</v>
      </c>
      <c r="G1545" s="35" t="s">
        <v>2289</v>
      </c>
      <c r="H1545" s="35">
        <v>444</v>
      </c>
    </row>
    <row r="1546" spans="1:8" ht="15.75" x14ac:dyDescent="0.25">
      <c r="A1546" t="str">
        <f t="shared" si="24"/>
        <v>H177336GC574EVW-M</v>
      </c>
      <c r="B1546" s="35" t="s">
        <v>913</v>
      </c>
      <c r="C1546" s="35" t="s">
        <v>2053</v>
      </c>
      <c r="D1546" s="35" t="s">
        <v>404</v>
      </c>
      <c r="E1546" s="35" t="s">
        <v>2337</v>
      </c>
      <c r="F1546" s="35" t="s">
        <v>402</v>
      </c>
      <c r="G1546" s="35" t="s">
        <v>403</v>
      </c>
      <c r="H1546" s="35">
        <v>150</v>
      </c>
    </row>
    <row r="1547" spans="1:8" ht="15.75" x14ac:dyDescent="0.25">
      <c r="A1547" t="str">
        <f t="shared" si="24"/>
        <v>H177337GC574EVW-M</v>
      </c>
      <c r="B1547" s="35" t="s">
        <v>913</v>
      </c>
      <c r="C1547" s="35" t="s">
        <v>2054</v>
      </c>
      <c r="D1547" s="35" t="s">
        <v>404</v>
      </c>
      <c r="E1547" s="35" t="s">
        <v>2337</v>
      </c>
      <c r="F1547" s="35" t="s">
        <v>402</v>
      </c>
      <c r="G1547" s="35" t="s">
        <v>403</v>
      </c>
      <c r="H1547" s="35">
        <v>150</v>
      </c>
    </row>
    <row r="1548" spans="1:8" ht="15.75" x14ac:dyDescent="0.25">
      <c r="A1548" t="str">
        <f t="shared" si="24"/>
        <v>H176991NW574EVW-M</v>
      </c>
      <c r="B1548" s="35" t="s">
        <v>908</v>
      </c>
      <c r="C1548" s="35" t="s">
        <v>2055</v>
      </c>
      <c r="D1548" s="35" t="s">
        <v>404</v>
      </c>
      <c r="E1548" s="35" t="s">
        <v>2337</v>
      </c>
      <c r="F1548" s="35" t="s">
        <v>524</v>
      </c>
      <c r="G1548" s="35" t="s">
        <v>525</v>
      </c>
      <c r="H1548" s="35">
        <v>510</v>
      </c>
    </row>
    <row r="1549" spans="1:8" ht="15.75" x14ac:dyDescent="0.25">
      <c r="A1549" t="str">
        <f t="shared" si="24"/>
        <v>H177213NW574EVW-M</v>
      </c>
      <c r="B1549" s="35" t="s">
        <v>908</v>
      </c>
      <c r="C1549" s="35" t="s">
        <v>2056</v>
      </c>
      <c r="D1549" s="35" t="s">
        <v>404</v>
      </c>
      <c r="E1549" s="35" t="s">
        <v>2337</v>
      </c>
      <c r="F1549" s="35" t="s">
        <v>402</v>
      </c>
      <c r="G1549" s="35" t="s">
        <v>2289</v>
      </c>
      <c r="H1549" s="35">
        <v>510</v>
      </c>
    </row>
    <row r="1550" spans="1:8" ht="15.75" x14ac:dyDescent="0.25">
      <c r="A1550" t="str">
        <f t="shared" si="24"/>
        <v>H176994PC574EVW-M</v>
      </c>
      <c r="B1550" s="35" t="s">
        <v>911</v>
      </c>
      <c r="C1550" s="35" t="s">
        <v>2057</v>
      </c>
      <c r="D1550" s="35" t="s">
        <v>404</v>
      </c>
      <c r="E1550" s="35" t="s">
        <v>2337</v>
      </c>
      <c r="F1550" s="35" t="s">
        <v>524</v>
      </c>
      <c r="G1550" s="35" t="s">
        <v>525</v>
      </c>
      <c r="H1550" s="35">
        <v>498</v>
      </c>
    </row>
    <row r="1551" spans="1:8" ht="15.75" x14ac:dyDescent="0.25">
      <c r="A1551" t="str">
        <f t="shared" si="24"/>
        <v>H177214PV574EVG-M</v>
      </c>
      <c r="B1551" s="35" t="s">
        <v>904</v>
      </c>
      <c r="C1551" s="35" t="s">
        <v>2058</v>
      </c>
      <c r="D1551" s="35" t="s">
        <v>404</v>
      </c>
      <c r="E1551" s="35" t="s">
        <v>2337</v>
      </c>
      <c r="F1551" s="35" t="s">
        <v>402</v>
      </c>
      <c r="G1551" s="35" t="s">
        <v>2289</v>
      </c>
      <c r="H1551" s="35">
        <v>630</v>
      </c>
    </row>
    <row r="1552" spans="1:8" ht="15.75" x14ac:dyDescent="0.25">
      <c r="A1552" t="str">
        <f t="shared" si="24"/>
        <v>H177179PV574EVW-M</v>
      </c>
      <c r="B1552" s="35" t="s">
        <v>918</v>
      </c>
      <c r="C1552" s="35" t="s">
        <v>2059</v>
      </c>
      <c r="D1552" s="35" t="s">
        <v>404</v>
      </c>
      <c r="E1552" s="35" t="s">
        <v>2337</v>
      </c>
      <c r="F1552" s="35" t="s">
        <v>402</v>
      </c>
      <c r="G1552" s="35" t="s">
        <v>2289</v>
      </c>
      <c r="H1552" s="35">
        <v>582</v>
      </c>
    </row>
    <row r="1553" spans="1:8" ht="15.75" x14ac:dyDescent="0.25">
      <c r="A1553" t="str">
        <f t="shared" si="24"/>
        <v>H177187W60347S-B</v>
      </c>
      <c r="B1553" s="35" t="s">
        <v>924</v>
      </c>
      <c r="C1553" s="35" t="s">
        <v>2060</v>
      </c>
      <c r="D1553" s="35" t="s">
        <v>404</v>
      </c>
      <c r="E1553" s="35" t="s">
        <v>2339</v>
      </c>
      <c r="F1553" s="35" t="s">
        <v>402</v>
      </c>
      <c r="G1553" s="35" t="s">
        <v>2289</v>
      </c>
      <c r="H1553" s="35">
        <v>582</v>
      </c>
    </row>
    <row r="1554" spans="1:8" ht="15.75" x14ac:dyDescent="0.25">
      <c r="A1554" t="str">
        <f t="shared" si="24"/>
        <v>H177255W60347S-B</v>
      </c>
      <c r="B1554" s="35" t="s">
        <v>924</v>
      </c>
      <c r="C1554" s="35" t="s">
        <v>2061</v>
      </c>
      <c r="D1554" s="35" t="s">
        <v>404</v>
      </c>
      <c r="E1554" s="35" t="s">
        <v>2339</v>
      </c>
      <c r="F1554" s="35" t="s">
        <v>412</v>
      </c>
      <c r="G1554" s="35" t="s">
        <v>413</v>
      </c>
      <c r="H1554" s="35">
        <v>564</v>
      </c>
    </row>
    <row r="1555" spans="1:8" ht="15.75" x14ac:dyDescent="0.25">
      <c r="A1555" t="str">
        <f t="shared" si="24"/>
        <v>H176917W6037E8-B</v>
      </c>
      <c r="B1555" s="35" t="s">
        <v>934</v>
      </c>
      <c r="C1555" s="35" t="s">
        <v>2062</v>
      </c>
      <c r="D1555" s="35" t="s">
        <v>404</v>
      </c>
      <c r="E1555" s="35" t="s">
        <v>2339</v>
      </c>
      <c r="F1555" s="35" t="s">
        <v>414</v>
      </c>
      <c r="G1555" s="35" t="s">
        <v>415</v>
      </c>
      <c r="H1555" s="35">
        <v>144</v>
      </c>
    </row>
    <row r="1556" spans="1:8" ht="15.75" x14ac:dyDescent="0.25">
      <c r="A1556" t="str">
        <f t="shared" si="24"/>
        <v>H177048W6037E8-B</v>
      </c>
      <c r="B1556" s="35" t="s">
        <v>934</v>
      </c>
      <c r="C1556" s="35" t="s">
        <v>2063</v>
      </c>
      <c r="D1556" s="35" t="s">
        <v>404</v>
      </c>
      <c r="E1556" s="35" t="s">
        <v>2339</v>
      </c>
      <c r="F1556" s="35" t="s">
        <v>418</v>
      </c>
      <c r="G1556" s="35" t="s">
        <v>419</v>
      </c>
      <c r="H1556" s="35">
        <v>198</v>
      </c>
    </row>
    <row r="1557" spans="1:8" ht="15.75" x14ac:dyDescent="0.25">
      <c r="A1557" t="str">
        <f t="shared" si="24"/>
        <v>H177101W6037E8-B</v>
      </c>
      <c r="B1557" s="35" t="s">
        <v>934</v>
      </c>
      <c r="C1557" s="35" t="s">
        <v>2064</v>
      </c>
      <c r="D1557" s="35" t="s">
        <v>404</v>
      </c>
      <c r="E1557" s="35" t="s">
        <v>2339</v>
      </c>
      <c r="F1557" s="35" t="s">
        <v>416</v>
      </c>
      <c r="G1557" s="35" t="s">
        <v>417</v>
      </c>
      <c r="H1557" s="35">
        <v>270</v>
      </c>
    </row>
    <row r="1558" spans="1:8" ht="15.75" x14ac:dyDescent="0.25">
      <c r="A1558" t="str">
        <f t="shared" si="24"/>
        <v>H177138W6037E8-B</v>
      </c>
      <c r="B1558" s="35" t="s">
        <v>934</v>
      </c>
      <c r="C1558" s="35" t="s">
        <v>2065</v>
      </c>
      <c r="D1558" s="35" t="s">
        <v>404</v>
      </c>
      <c r="E1558" s="35" t="s">
        <v>2339</v>
      </c>
      <c r="F1558" s="35" t="s">
        <v>422</v>
      </c>
      <c r="G1558" s="35" t="s">
        <v>2290</v>
      </c>
      <c r="H1558" s="35">
        <v>732</v>
      </c>
    </row>
    <row r="1559" spans="1:8" ht="15.75" x14ac:dyDescent="0.25">
      <c r="A1559" t="str">
        <f t="shared" si="24"/>
        <v>H177023W6037JY-B</v>
      </c>
      <c r="B1559" s="35" t="s">
        <v>930</v>
      </c>
      <c r="C1559" s="35" t="s">
        <v>2066</v>
      </c>
      <c r="D1559" s="35" t="s">
        <v>404</v>
      </c>
      <c r="E1559" s="35" t="s">
        <v>2339</v>
      </c>
      <c r="F1559" s="35" t="s">
        <v>524</v>
      </c>
      <c r="G1559" s="35" t="s">
        <v>525</v>
      </c>
      <c r="H1559" s="35">
        <v>252</v>
      </c>
    </row>
    <row r="1560" spans="1:8" ht="15.75" x14ac:dyDescent="0.25">
      <c r="A1560" t="str">
        <f t="shared" si="24"/>
        <v>H177105W6037JY-B</v>
      </c>
      <c r="B1560" s="35" t="s">
        <v>930</v>
      </c>
      <c r="C1560" s="35" t="s">
        <v>2067</v>
      </c>
      <c r="D1560" s="35" t="s">
        <v>404</v>
      </c>
      <c r="E1560" s="35" t="s">
        <v>2339</v>
      </c>
      <c r="F1560" s="35" t="s">
        <v>416</v>
      </c>
      <c r="G1560" s="35" t="s">
        <v>417</v>
      </c>
      <c r="H1560" s="35">
        <v>258</v>
      </c>
    </row>
    <row r="1561" spans="1:8" ht="15.75" x14ac:dyDescent="0.25">
      <c r="A1561" t="str">
        <f t="shared" si="24"/>
        <v>H177203W6037JY-B</v>
      </c>
      <c r="B1561" s="35" t="s">
        <v>930</v>
      </c>
      <c r="C1561" s="35" t="s">
        <v>2068</v>
      </c>
      <c r="D1561" s="35" t="s">
        <v>404</v>
      </c>
      <c r="E1561" s="35" t="s">
        <v>2339</v>
      </c>
      <c r="F1561" s="35" t="s">
        <v>402</v>
      </c>
      <c r="G1561" s="35" t="s">
        <v>2289</v>
      </c>
      <c r="H1561" s="35">
        <v>438</v>
      </c>
    </row>
    <row r="1562" spans="1:8" ht="15.75" x14ac:dyDescent="0.25">
      <c r="A1562" t="str">
        <f t="shared" si="24"/>
        <v>H177253W6037JY-B</v>
      </c>
      <c r="B1562" s="35" t="s">
        <v>930</v>
      </c>
      <c r="C1562" s="35" t="s">
        <v>2069</v>
      </c>
      <c r="D1562" s="35" t="s">
        <v>404</v>
      </c>
      <c r="E1562" s="35" t="s">
        <v>2339</v>
      </c>
      <c r="F1562" s="35" t="s">
        <v>412</v>
      </c>
      <c r="G1562" s="35" t="s">
        <v>413</v>
      </c>
      <c r="H1562" s="35">
        <v>480</v>
      </c>
    </row>
    <row r="1563" spans="1:8" ht="15.75" x14ac:dyDescent="0.25">
      <c r="A1563" t="str">
        <f t="shared" si="24"/>
        <v>H176921W6037ZC-B</v>
      </c>
      <c r="B1563" s="35" t="s">
        <v>932</v>
      </c>
      <c r="C1563" s="35" t="s">
        <v>2070</v>
      </c>
      <c r="D1563" s="35" t="s">
        <v>404</v>
      </c>
      <c r="E1563" s="35" t="s">
        <v>2339</v>
      </c>
      <c r="F1563" s="35" t="s">
        <v>414</v>
      </c>
      <c r="G1563" s="35" t="s">
        <v>415</v>
      </c>
      <c r="H1563" s="35">
        <v>144</v>
      </c>
    </row>
    <row r="1564" spans="1:8" ht="15.75" x14ac:dyDescent="0.25">
      <c r="A1564" t="str">
        <f t="shared" si="24"/>
        <v>H177150W6037ZC-B</v>
      </c>
      <c r="B1564" s="35" t="s">
        <v>932</v>
      </c>
      <c r="C1564" s="35" t="s">
        <v>2071</v>
      </c>
      <c r="D1564" s="35" t="s">
        <v>404</v>
      </c>
      <c r="E1564" s="35" t="s">
        <v>2339</v>
      </c>
      <c r="F1564" s="35" t="s">
        <v>422</v>
      </c>
      <c r="G1564" s="35" t="s">
        <v>2290</v>
      </c>
      <c r="H1564" s="35">
        <v>984</v>
      </c>
    </row>
    <row r="1565" spans="1:8" ht="15.75" x14ac:dyDescent="0.25">
      <c r="A1565" t="str">
        <f t="shared" si="24"/>
        <v>H177205W6038GJ-B</v>
      </c>
      <c r="B1565" s="35" t="s">
        <v>928</v>
      </c>
      <c r="C1565" s="35" t="s">
        <v>2072</v>
      </c>
      <c r="D1565" s="35" t="s">
        <v>404</v>
      </c>
      <c r="E1565" s="35" t="s">
        <v>2339</v>
      </c>
      <c r="F1565" s="35" t="s">
        <v>402</v>
      </c>
      <c r="G1565" s="35" t="s">
        <v>2289</v>
      </c>
      <c r="H1565" s="35">
        <v>174</v>
      </c>
    </row>
    <row r="1566" spans="1:8" ht="15.75" x14ac:dyDescent="0.25">
      <c r="A1566" t="str">
        <f t="shared" si="24"/>
        <v>H177173W6039DJ-B</v>
      </c>
      <c r="B1566" s="35" t="s">
        <v>931</v>
      </c>
      <c r="C1566" s="35" t="s">
        <v>2073</v>
      </c>
      <c r="D1566" s="35" t="s">
        <v>404</v>
      </c>
      <c r="E1566" s="35" t="s">
        <v>2339</v>
      </c>
      <c r="F1566" s="35" t="s">
        <v>402</v>
      </c>
      <c r="G1566" s="35" t="s">
        <v>2289</v>
      </c>
      <c r="H1566" s="35">
        <v>372</v>
      </c>
    </row>
    <row r="1567" spans="1:8" ht="15.75" x14ac:dyDescent="0.25">
      <c r="A1567" t="str">
        <f t="shared" si="24"/>
        <v>H177217W6039DJ-B</v>
      </c>
      <c r="B1567" s="35" t="s">
        <v>931</v>
      </c>
      <c r="C1567" s="35" t="s">
        <v>2074</v>
      </c>
      <c r="D1567" s="35" t="s">
        <v>404</v>
      </c>
      <c r="E1567" s="35" t="s">
        <v>2339</v>
      </c>
      <c r="F1567" s="35" t="s">
        <v>405</v>
      </c>
      <c r="G1567" s="35" t="s">
        <v>406</v>
      </c>
      <c r="H1567" s="35">
        <v>252</v>
      </c>
    </row>
    <row r="1568" spans="1:8" ht="15.75" x14ac:dyDescent="0.25">
      <c r="A1568" t="str">
        <f t="shared" si="24"/>
        <v>H177254W6039DJ-B</v>
      </c>
      <c r="B1568" s="35" t="s">
        <v>931</v>
      </c>
      <c r="C1568" s="35" t="s">
        <v>2075</v>
      </c>
      <c r="D1568" s="35" t="s">
        <v>404</v>
      </c>
      <c r="E1568" s="35" t="s">
        <v>2339</v>
      </c>
      <c r="F1568" s="35" t="s">
        <v>412</v>
      </c>
      <c r="G1568" s="35" t="s">
        <v>413</v>
      </c>
      <c r="H1568" s="35">
        <v>432</v>
      </c>
    </row>
    <row r="1569" spans="1:8" ht="15.75" x14ac:dyDescent="0.25">
      <c r="A1569" t="str">
        <f t="shared" si="24"/>
        <v>H177104W6039SA-B</v>
      </c>
      <c r="B1569" s="35" t="s">
        <v>935</v>
      </c>
      <c r="C1569" s="35" t="s">
        <v>2076</v>
      </c>
      <c r="D1569" s="35" t="s">
        <v>404</v>
      </c>
      <c r="E1569" s="35" t="s">
        <v>2339</v>
      </c>
      <c r="F1569" s="35" t="s">
        <v>416</v>
      </c>
      <c r="G1569" s="35" t="s">
        <v>417</v>
      </c>
      <c r="H1569" s="35">
        <v>180</v>
      </c>
    </row>
    <row r="1570" spans="1:8" ht="15.75" x14ac:dyDescent="0.25">
      <c r="A1570" t="str">
        <f t="shared" si="24"/>
        <v>H177154W6039SA-B</v>
      </c>
      <c r="B1570" s="35" t="s">
        <v>935</v>
      </c>
      <c r="C1570" s="35" t="s">
        <v>2077</v>
      </c>
      <c r="D1570" s="35" t="s">
        <v>404</v>
      </c>
      <c r="E1570" s="35" t="s">
        <v>2339</v>
      </c>
      <c r="F1570" s="35" t="s">
        <v>422</v>
      </c>
      <c r="G1570" s="35" t="s">
        <v>2290</v>
      </c>
      <c r="H1570" s="35">
        <v>984</v>
      </c>
    </row>
    <row r="1571" spans="1:8" ht="15.75" x14ac:dyDescent="0.25">
      <c r="A1571" t="str">
        <f t="shared" si="24"/>
        <v>H189007I6032MA-W</v>
      </c>
      <c r="B1571" s="35" t="s">
        <v>943</v>
      </c>
      <c r="C1571" s="35" t="s">
        <v>2078</v>
      </c>
      <c r="D1571" s="35" t="s">
        <v>404</v>
      </c>
      <c r="E1571" s="35" t="s">
        <v>2338</v>
      </c>
      <c r="F1571" s="35" t="s">
        <v>424</v>
      </c>
      <c r="G1571" s="35" t="s">
        <v>425</v>
      </c>
      <c r="H1571" s="35">
        <v>246</v>
      </c>
    </row>
    <row r="1572" spans="1:8" ht="15.75" x14ac:dyDescent="0.25">
      <c r="A1572" t="str">
        <f t="shared" si="24"/>
        <v>7882073G603376-M</v>
      </c>
      <c r="B1572" s="35" t="s">
        <v>894</v>
      </c>
      <c r="C1572" s="35" t="s">
        <v>2079</v>
      </c>
      <c r="D1572" s="35" t="s">
        <v>484</v>
      </c>
      <c r="E1572" s="35" t="s">
        <v>2337</v>
      </c>
      <c r="F1572" s="35" t="s">
        <v>379</v>
      </c>
      <c r="G1572" s="35" t="s">
        <v>504</v>
      </c>
      <c r="H1572" s="35">
        <v>672</v>
      </c>
    </row>
    <row r="1573" spans="1:8" ht="15.75" x14ac:dyDescent="0.25">
      <c r="A1573" t="str">
        <f t="shared" si="24"/>
        <v>7882212G603376-M</v>
      </c>
      <c r="B1573" s="35" t="s">
        <v>894</v>
      </c>
      <c r="C1573" s="35" t="s">
        <v>2080</v>
      </c>
      <c r="D1573" s="35" t="s">
        <v>394</v>
      </c>
      <c r="E1573" s="35" t="s">
        <v>2337</v>
      </c>
      <c r="F1573" s="35" t="s">
        <v>382</v>
      </c>
      <c r="G1573" s="35" t="s">
        <v>2331</v>
      </c>
      <c r="H1573" s="35">
        <v>294</v>
      </c>
    </row>
    <row r="1574" spans="1:8" ht="15.75" x14ac:dyDescent="0.25">
      <c r="A1574" t="str">
        <f t="shared" si="24"/>
        <v>7882217G603376-M</v>
      </c>
      <c r="B1574" s="35" t="s">
        <v>894</v>
      </c>
      <c r="C1574" s="35" t="s">
        <v>2081</v>
      </c>
      <c r="D1574" s="35" t="s">
        <v>394</v>
      </c>
      <c r="E1574" s="35" t="s">
        <v>2337</v>
      </c>
      <c r="F1574" s="35" t="s">
        <v>382</v>
      </c>
      <c r="G1574" s="35" t="s">
        <v>2331</v>
      </c>
      <c r="H1574" s="35">
        <v>294</v>
      </c>
    </row>
    <row r="1575" spans="1:8" ht="15.75" x14ac:dyDescent="0.25">
      <c r="A1575" t="str">
        <f t="shared" si="24"/>
        <v>7882222G603376-M</v>
      </c>
      <c r="B1575" s="35" t="s">
        <v>894</v>
      </c>
      <c r="C1575" s="35" t="s">
        <v>2082</v>
      </c>
      <c r="D1575" s="35" t="s">
        <v>394</v>
      </c>
      <c r="E1575" s="35" t="s">
        <v>2337</v>
      </c>
      <c r="F1575" s="35" t="s">
        <v>382</v>
      </c>
      <c r="G1575" s="35" t="s">
        <v>2331</v>
      </c>
      <c r="H1575" s="35">
        <v>294</v>
      </c>
    </row>
    <row r="1576" spans="1:8" ht="15.75" x14ac:dyDescent="0.25">
      <c r="A1576" t="str">
        <f t="shared" si="24"/>
        <v>7882085G6037LU-M</v>
      </c>
      <c r="B1576" s="35" t="s">
        <v>889</v>
      </c>
      <c r="C1576" s="35" t="s">
        <v>2083</v>
      </c>
      <c r="D1576" s="35" t="s">
        <v>484</v>
      </c>
      <c r="E1576" s="35" t="s">
        <v>2337</v>
      </c>
      <c r="F1576" s="35" t="s">
        <v>379</v>
      </c>
      <c r="G1576" s="35" t="s">
        <v>504</v>
      </c>
      <c r="H1576" s="35">
        <v>672</v>
      </c>
    </row>
    <row r="1577" spans="1:8" ht="15.75" x14ac:dyDescent="0.25">
      <c r="A1577" t="str">
        <f t="shared" si="24"/>
        <v>H176951G204L7GI-M</v>
      </c>
      <c r="B1577" s="35" t="s">
        <v>978</v>
      </c>
      <c r="C1577" s="35" t="s">
        <v>2084</v>
      </c>
      <c r="D1577" s="35" t="s">
        <v>404</v>
      </c>
      <c r="E1577" s="35" t="s">
        <v>2337</v>
      </c>
      <c r="F1577" s="35" t="s">
        <v>434</v>
      </c>
      <c r="G1577" s="35" t="s">
        <v>435</v>
      </c>
      <c r="H1577" s="35">
        <v>144</v>
      </c>
    </row>
    <row r="1578" spans="1:8" ht="15.75" x14ac:dyDescent="0.25">
      <c r="A1578" t="str">
        <f t="shared" si="24"/>
        <v>H174964P204L8K2-M</v>
      </c>
      <c r="B1578" s="35" t="s">
        <v>967</v>
      </c>
      <c r="C1578" s="35" t="s">
        <v>2085</v>
      </c>
      <c r="D1578" s="35" t="s">
        <v>404</v>
      </c>
      <c r="E1578" s="35" t="s">
        <v>2337</v>
      </c>
      <c r="F1578" s="35" t="s">
        <v>416</v>
      </c>
      <c r="G1578" s="35" t="s">
        <v>417</v>
      </c>
      <c r="H1578" s="35">
        <v>222</v>
      </c>
    </row>
    <row r="1579" spans="1:8" ht="15.75" x14ac:dyDescent="0.25">
      <c r="A1579" t="str">
        <f t="shared" si="24"/>
        <v>H189904U204L28P-D</v>
      </c>
      <c r="B1579" s="35" t="s">
        <v>985</v>
      </c>
      <c r="C1579" s="35" t="s">
        <v>2086</v>
      </c>
      <c r="D1579" s="35" t="s">
        <v>404</v>
      </c>
      <c r="E1579" s="35" t="s">
        <v>2340</v>
      </c>
      <c r="F1579" s="35" t="s">
        <v>405</v>
      </c>
      <c r="G1579" s="35" t="s">
        <v>406</v>
      </c>
      <c r="H1579" s="35">
        <v>528</v>
      </c>
    </row>
    <row r="1580" spans="1:8" ht="15.75" x14ac:dyDescent="0.25">
      <c r="A1580" t="str">
        <f t="shared" si="24"/>
        <v>H189839U204L9VX-D</v>
      </c>
      <c r="B1580" s="35" t="s">
        <v>986</v>
      </c>
      <c r="C1580" s="35" t="s">
        <v>2087</v>
      </c>
      <c r="D1580" s="35" t="s">
        <v>404</v>
      </c>
      <c r="E1580" s="35" t="s">
        <v>2340</v>
      </c>
      <c r="F1580" s="35" t="s">
        <v>2286</v>
      </c>
      <c r="G1580" s="35" t="s">
        <v>2287</v>
      </c>
      <c r="H1580" s="35">
        <v>2874</v>
      </c>
    </row>
    <row r="1581" spans="1:8" ht="15.75" x14ac:dyDescent="0.25">
      <c r="A1581" t="str">
        <f t="shared" si="24"/>
        <v>H189113G204L4MD-M</v>
      </c>
      <c r="B1581" s="35" t="s">
        <v>977</v>
      </c>
      <c r="C1581" s="35" t="s">
        <v>2088</v>
      </c>
      <c r="D1581" s="35" t="s">
        <v>404</v>
      </c>
      <c r="E1581" s="35" t="s">
        <v>2337</v>
      </c>
      <c r="F1581" s="35" t="s">
        <v>414</v>
      </c>
      <c r="G1581" s="35" t="s">
        <v>415</v>
      </c>
      <c r="H1581" s="35">
        <v>810</v>
      </c>
    </row>
    <row r="1582" spans="1:8" ht="15.75" x14ac:dyDescent="0.25">
      <c r="A1582" t="str">
        <f t="shared" si="24"/>
        <v>H189168G204L4MD-M</v>
      </c>
      <c r="B1582" s="35" t="s">
        <v>977</v>
      </c>
      <c r="C1582" s="35" t="s">
        <v>2089</v>
      </c>
      <c r="D1582" s="35" t="s">
        <v>404</v>
      </c>
      <c r="E1582" s="35" t="s">
        <v>2337</v>
      </c>
      <c r="F1582" s="35" t="s">
        <v>414</v>
      </c>
      <c r="G1582" s="35" t="s">
        <v>415</v>
      </c>
      <c r="H1582" s="35">
        <v>204</v>
      </c>
    </row>
    <row r="1583" spans="1:8" ht="15.75" x14ac:dyDescent="0.25">
      <c r="A1583" t="str">
        <f t="shared" si="24"/>
        <v>H189256G204L4MD-M</v>
      </c>
      <c r="B1583" s="35" t="s">
        <v>977</v>
      </c>
      <c r="C1583" s="35" t="s">
        <v>2090</v>
      </c>
      <c r="D1583" s="35" t="s">
        <v>404</v>
      </c>
      <c r="E1583" s="35" t="s">
        <v>2337</v>
      </c>
      <c r="F1583" s="35" t="s">
        <v>412</v>
      </c>
      <c r="G1583" s="35" t="s">
        <v>413</v>
      </c>
      <c r="H1583" s="35">
        <v>234</v>
      </c>
    </row>
    <row r="1584" spans="1:8" ht="15.75" x14ac:dyDescent="0.25">
      <c r="A1584" t="str">
        <f t="shared" si="24"/>
        <v>7881287P204L5TQ-M</v>
      </c>
      <c r="B1584" s="35" t="s">
        <v>981</v>
      </c>
      <c r="C1584" s="35" t="s">
        <v>2091</v>
      </c>
      <c r="D1584" s="35" t="s">
        <v>387</v>
      </c>
      <c r="E1584" s="35" t="s">
        <v>2337</v>
      </c>
      <c r="F1584" s="35" t="s">
        <v>385</v>
      </c>
      <c r="G1584" s="35" t="s">
        <v>386</v>
      </c>
      <c r="H1584" s="35">
        <v>144</v>
      </c>
    </row>
    <row r="1585" spans="1:8" ht="15.75" x14ac:dyDescent="0.25">
      <c r="A1585" t="str">
        <f t="shared" si="24"/>
        <v>H189257P204L5TQ-M</v>
      </c>
      <c r="B1585" s="35" t="s">
        <v>981</v>
      </c>
      <c r="C1585" s="35" t="s">
        <v>2092</v>
      </c>
      <c r="D1585" s="35" t="s">
        <v>404</v>
      </c>
      <c r="E1585" s="35" t="s">
        <v>2337</v>
      </c>
      <c r="F1585" s="35" t="s">
        <v>412</v>
      </c>
      <c r="G1585" s="35" t="s">
        <v>413</v>
      </c>
      <c r="H1585" s="35">
        <v>228</v>
      </c>
    </row>
    <row r="1586" spans="1:8" ht="15.75" x14ac:dyDescent="0.25">
      <c r="A1586" t="str">
        <f t="shared" si="24"/>
        <v>H188984P204L5TQ-W</v>
      </c>
      <c r="B1586" s="35" t="s">
        <v>981</v>
      </c>
      <c r="C1586" s="35" t="s">
        <v>2093</v>
      </c>
      <c r="D1586" s="35" t="s">
        <v>404</v>
      </c>
      <c r="E1586" s="35" t="s">
        <v>2338</v>
      </c>
      <c r="F1586" s="35" t="s">
        <v>424</v>
      </c>
      <c r="G1586" s="35" t="s">
        <v>425</v>
      </c>
      <c r="H1586" s="35">
        <v>660</v>
      </c>
    </row>
    <row r="1587" spans="1:8" ht="15.75" x14ac:dyDescent="0.25">
      <c r="A1587" t="str">
        <f t="shared" si="24"/>
        <v>7886744P204L9OY-M</v>
      </c>
      <c r="B1587" s="35" t="s">
        <v>969</v>
      </c>
      <c r="C1587" s="35" t="s">
        <v>2094</v>
      </c>
      <c r="D1587" s="35" t="s">
        <v>394</v>
      </c>
      <c r="E1587" s="35" t="s">
        <v>2337</v>
      </c>
      <c r="F1587" s="35" t="s">
        <v>507</v>
      </c>
      <c r="G1587" s="35" t="s">
        <v>508</v>
      </c>
      <c r="H1587" s="35">
        <v>300</v>
      </c>
    </row>
    <row r="1588" spans="1:8" ht="15.75" x14ac:dyDescent="0.25">
      <c r="A1588" t="str">
        <f t="shared" si="24"/>
        <v>H188989P204L9OY-W</v>
      </c>
      <c r="B1588" s="35" t="s">
        <v>969</v>
      </c>
      <c r="C1588" s="35" t="s">
        <v>2095</v>
      </c>
      <c r="D1588" s="35" t="s">
        <v>404</v>
      </c>
      <c r="E1588" s="35" t="s">
        <v>2338</v>
      </c>
      <c r="F1588" s="35" t="s">
        <v>424</v>
      </c>
      <c r="G1588" s="35" t="s">
        <v>425</v>
      </c>
      <c r="H1588" s="35">
        <v>996</v>
      </c>
    </row>
    <row r="1589" spans="1:8" ht="15.75" x14ac:dyDescent="0.25">
      <c r="A1589" t="str">
        <f t="shared" si="24"/>
        <v>H189241P204L9OY-W</v>
      </c>
      <c r="B1589" s="35" t="s">
        <v>969</v>
      </c>
      <c r="C1589" s="35" t="s">
        <v>2096</v>
      </c>
      <c r="D1589" s="35" t="s">
        <v>404</v>
      </c>
      <c r="E1589" s="35" t="s">
        <v>2338</v>
      </c>
      <c r="F1589" s="35" t="s">
        <v>405</v>
      </c>
      <c r="G1589" s="35" t="s">
        <v>406</v>
      </c>
      <c r="H1589" s="35">
        <v>666</v>
      </c>
    </row>
    <row r="1590" spans="1:8" ht="15.75" x14ac:dyDescent="0.25">
      <c r="A1590" t="str">
        <f t="shared" si="24"/>
        <v>H180085P204L5TQ-W</v>
      </c>
      <c r="B1590" s="35" t="s">
        <v>981</v>
      </c>
      <c r="C1590" s="35" t="s">
        <v>2097</v>
      </c>
      <c r="D1590" s="35" t="s">
        <v>404</v>
      </c>
      <c r="E1590" s="35" t="s">
        <v>2338</v>
      </c>
      <c r="F1590" s="35" t="s">
        <v>2286</v>
      </c>
      <c r="G1590" s="35" t="s">
        <v>2287</v>
      </c>
      <c r="H1590" s="35">
        <v>156</v>
      </c>
    </row>
    <row r="1591" spans="1:8" ht="15.75" x14ac:dyDescent="0.25">
      <c r="A1591" t="str">
        <f t="shared" si="24"/>
        <v>H177270G204L3BR-M</v>
      </c>
      <c r="B1591" s="35" t="s">
        <v>982</v>
      </c>
      <c r="C1591" s="35" t="s">
        <v>2098</v>
      </c>
      <c r="D1591" s="35" t="s">
        <v>404</v>
      </c>
      <c r="E1591" s="35" t="s">
        <v>2337</v>
      </c>
      <c r="F1591" s="35" t="s">
        <v>402</v>
      </c>
      <c r="G1591" s="35" t="s">
        <v>403</v>
      </c>
      <c r="H1591" s="35">
        <v>180</v>
      </c>
    </row>
    <row r="1592" spans="1:8" ht="15.75" x14ac:dyDescent="0.25">
      <c r="A1592" t="str">
        <f t="shared" si="24"/>
        <v>H177022G204L5CB-M</v>
      </c>
      <c r="B1592" s="35" t="s">
        <v>972</v>
      </c>
      <c r="C1592" s="35" t="s">
        <v>2099</v>
      </c>
      <c r="D1592" s="35" t="s">
        <v>404</v>
      </c>
      <c r="E1592" s="35" t="s">
        <v>2337</v>
      </c>
      <c r="F1592" s="35" t="s">
        <v>524</v>
      </c>
      <c r="G1592" s="35" t="s">
        <v>525</v>
      </c>
      <c r="H1592" s="35">
        <v>1284</v>
      </c>
    </row>
    <row r="1593" spans="1:8" ht="15.75" x14ac:dyDescent="0.25">
      <c r="A1593" t="str">
        <f t="shared" si="24"/>
        <v>H177273G204L5CB-M</v>
      </c>
      <c r="B1593" s="35" t="s">
        <v>972</v>
      </c>
      <c r="C1593" s="35" t="s">
        <v>2100</v>
      </c>
      <c r="D1593" s="35" t="s">
        <v>404</v>
      </c>
      <c r="E1593" s="35" t="s">
        <v>2337</v>
      </c>
      <c r="F1593" s="35" t="s">
        <v>402</v>
      </c>
      <c r="G1593" s="35" t="s">
        <v>403</v>
      </c>
      <c r="H1593" s="35">
        <v>180</v>
      </c>
    </row>
    <row r="1594" spans="1:8" ht="15.75" x14ac:dyDescent="0.25">
      <c r="A1594" t="str">
        <f t="shared" si="24"/>
        <v>H177274G204L5CB-M</v>
      </c>
      <c r="B1594" s="35" t="s">
        <v>972</v>
      </c>
      <c r="C1594" s="35" t="s">
        <v>2101</v>
      </c>
      <c r="D1594" s="35" t="s">
        <v>404</v>
      </c>
      <c r="E1594" s="35" t="s">
        <v>2337</v>
      </c>
      <c r="F1594" s="35" t="s">
        <v>402</v>
      </c>
      <c r="G1594" s="35" t="s">
        <v>403</v>
      </c>
      <c r="H1594" s="35">
        <v>186</v>
      </c>
    </row>
    <row r="1595" spans="1:8" ht="15.75" x14ac:dyDescent="0.25">
      <c r="A1595" t="str">
        <f t="shared" si="24"/>
        <v>H174619P204L5TQ-M</v>
      </c>
      <c r="B1595" s="35" t="s">
        <v>981</v>
      </c>
      <c r="C1595" s="35" t="s">
        <v>2102</v>
      </c>
      <c r="D1595" s="35" t="s">
        <v>404</v>
      </c>
      <c r="E1595" s="35" t="s">
        <v>2337</v>
      </c>
      <c r="F1595" s="35" t="s">
        <v>414</v>
      </c>
      <c r="G1595" s="35" t="s">
        <v>415</v>
      </c>
      <c r="H1595" s="35">
        <v>264</v>
      </c>
    </row>
    <row r="1596" spans="1:8" ht="15.75" x14ac:dyDescent="0.25">
      <c r="A1596" t="str">
        <f t="shared" si="24"/>
        <v>H174657P204L5TQ-M</v>
      </c>
      <c r="B1596" s="35" t="s">
        <v>981</v>
      </c>
      <c r="C1596" s="35" t="s">
        <v>2103</v>
      </c>
      <c r="D1596" s="35" t="s">
        <v>404</v>
      </c>
      <c r="E1596" s="35" t="s">
        <v>2337</v>
      </c>
      <c r="F1596" s="35" t="s">
        <v>414</v>
      </c>
      <c r="G1596" s="35" t="s">
        <v>415</v>
      </c>
      <c r="H1596" s="35">
        <v>180</v>
      </c>
    </row>
    <row r="1597" spans="1:8" ht="15.75" x14ac:dyDescent="0.25">
      <c r="A1597" t="str">
        <f t="shared" si="24"/>
        <v>H174963P204L5ZJ-M</v>
      </c>
      <c r="B1597" s="35" t="s">
        <v>987</v>
      </c>
      <c r="C1597" s="35" t="s">
        <v>2104</v>
      </c>
      <c r="D1597" s="35" t="s">
        <v>404</v>
      </c>
      <c r="E1597" s="35" t="s">
        <v>2337</v>
      </c>
      <c r="F1597" s="35" t="s">
        <v>416</v>
      </c>
      <c r="G1597" s="35" t="s">
        <v>417</v>
      </c>
      <c r="H1597" s="35">
        <v>84</v>
      </c>
    </row>
    <row r="1598" spans="1:8" ht="15.75" x14ac:dyDescent="0.25">
      <c r="A1598" t="str">
        <f t="shared" si="24"/>
        <v>H174838P204L8K2-M</v>
      </c>
      <c r="B1598" s="35" t="s">
        <v>967</v>
      </c>
      <c r="C1598" s="35" t="s">
        <v>2105</v>
      </c>
      <c r="D1598" s="35" t="s">
        <v>404</v>
      </c>
      <c r="E1598" s="35" t="s">
        <v>2337</v>
      </c>
      <c r="F1598" s="35" t="s">
        <v>524</v>
      </c>
      <c r="G1598" s="35" t="s">
        <v>525</v>
      </c>
      <c r="H1598" s="35">
        <v>258</v>
      </c>
    </row>
    <row r="1599" spans="1:8" ht="15.75" x14ac:dyDescent="0.25">
      <c r="A1599" t="str">
        <f t="shared" si="24"/>
        <v>H174965P204L9OY-M</v>
      </c>
      <c r="B1599" s="35" t="s">
        <v>969</v>
      </c>
      <c r="C1599" s="35" t="s">
        <v>2106</v>
      </c>
      <c r="D1599" s="35" t="s">
        <v>404</v>
      </c>
      <c r="E1599" s="35" t="s">
        <v>2337</v>
      </c>
      <c r="F1599" s="35" t="s">
        <v>416</v>
      </c>
      <c r="G1599" s="35" t="s">
        <v>417</v>
      </c>
      <c r="H1599" s="35">
        <v>102</v>
      </c>
    </row>
    <row r="1600" spans="1:8" ht="15.75" x14ac:dyDescent="0.25">
      <c r="A1600" t="str">
        <f t="shared" si="24"/>
        <v>H171709P60347T-M</v>
      </c>
      <c r="B1600" s="35" t="s">
        <v>999</v>
      </c>
      <c r="C1600" s="35" t="s">
        <v>2107</v>
      </c>
      <c r="D1600" s="35" t="s">
        <v>404</v>
      </c>
      <c r="E1600" s="35" t="s">
        <v>2337</v>
      </c>
      <c r="F1600" s="35" t="s">
        <v>416</v>
      </c>
      <c r="G1600" s="35" t="s">
        <v>417</v>
      </c>
      <c r="H1600" s="35">
        <v>144</v>
      </c>
    </row>
    <row r="1601" spans="1:8" ht="15.75" x14ac:dyDescent="0.25">
      <c r="A1601" t="str">
        <f t="shared" si="24"/>
        <v>H188977P60399V-W</v>
      </c>
      <c r="B1601" s="35" t="s">
        <v>998</v>
      </c>
      <c r="C1601" s="35" t="s">
        <v>2108</v>
      </c>
      <c r="D1601" s="35" t="s">
        <v>404</v>
      </c>
      <c r="E1601" s="35" t="s">
        <v>2338</v>
      </c>
      <c r="F1601" s="35" t="s">
        <v>424</v>
      </c>
      <c r="G1601" s="35" t="s">
        <v>425</v>
      </c>
      <c r="H1601" s="35">
        <v>300</v>
      </c>
    </row>
    <row r="1602" spans="1:8" ht="15.75" x14ac:dyDescent="0.25">
      <c r="A1602" t="str">
        <f t="shared" si="24"/>
        <v>H180087P60384T-W</v>
      </c>
      <c r="B1602" s="35" t="s">
        <v>1007</v>
      </c>
      <c r="C1602" s="35" t="s">
        <v>2109</v>
      </c>
      <c r="D1602" s="35" t="s">
        <v>404</v>
      </c>
      <c r="E1602" s="35" t="s">
        <v>2338</v>
      </c>
      <c r="F1602" s="35" t="s">
        <v>424</v>
      </c>
      <c r="G1602" s="35" t="s">
        <v>425</v>
      </c>
      <c r="H1602" s="35">
        <v>264</v>
      </c>
    </row>
    <row r="1603" spans="1:8" ht="15.75" x14ac:dyDescent="0.25">
      <c r="A1603" t="str">
        <f t="shared" si="24"/>
        <v>H171708P6031TJ-M</v>
      </c>
      <c r="B1603" s="35" t="s">
        <v>1000</v>
      </c>
      <c r="C1603" s="35" t="s">
        <v>2110</v>
      </c>
      <c r="D1603" s="35" t="s">
        <v>404</v>
      </c>
      <c r="E1603" s="35" t="s">
        <v>2337</v>
      </c>
      <c r="F1603" s="35" t="s">
        <v>416</v>
      </c>
      <c r="G1603" s="35" t="s">
        <v>417</v>
      </c>
      <c r="H1603" s="35">
        <v>114</v>
      </c>
    </row>
    <row r="1604" spans="1:8" ht="15.75" x14ac:dyDescent="0.25">
      <c r="A1604" t="str">
        <f t="shared" si="24"/>
        <v>H171691P60368L-W</v>
      </c>
      <c r="B1604" s="35" t="s">
        <v>1004</v>
      </c>
      <c r="C1604" s="35" t="s">
        <v>2111</v>
      </c>
      <c r="D1604" s="35" t="s">
        <v>404</v>
      </c>
      <c r="E1604" s="35" t="s">
        <v>2338</v>
      </c>
      <c r="F1604" s="35" t="s">
        <v>2286</v>
      </c>
      <c r="G1604" s="35" t="s">
        <v>2287</v>
      </c>
      <c r="H1604" s="35">
        <v>444</v>
      </c>
    </row>
    <row r="1605" spans="1:8" ht="15.75" x14ac:dyDescent="0.25">
      <c r="A1605" t="str">
        <f t="shared" si="24"/>
        <v>H171753P6036SS-M</v>
      </c>
      <c r="B1605" s="35" t="s">
        <v>1005</v>
      </c>
      <c r="C1605" s="35" t="s">
        <v>2112</v>
      </c>
      <c r="D1605" s="35" t="s">
        <v>404</v>
      </c>
      <c r="E1605" s="35" t="s">
        <v>2337</v>
      </c>
      <c r="F1605" s="35" t="s">
        <v>402</v>
      </c>
      <c r="G1605" s="35" t="s">
        <v>2289</v>
      </c>
      <c r="H1605" s="35">
        <v>168</v>
      </c>
    </row>
    <row r="1606" spans="1:8" ht="15.75" x14ac:dyDescent="0.25">
      <c r="A1606" t="str">
        <f t="shared" si="24"/>
        <v>H171745P60394T-M</v>
      </c>
      <c r="B1606" s="35" t="s">
        <v>1002</v>
      </c>
      <c r="C1606" s="35" t="s">
        <v>2113</v>
      </c>
      <c r="D1606" s="35" t="s">
        <v>404</v>
      </c>
      <c r="E1606" s="35" t="s">
        <v>2337</v>
      </c>
      <c r="F1606" s="35" t="s">
        <v>402</v>
      </c>
      <c r="G1606" s="35" t="s">
        <v>2289</v>
      </c>
      <c r="H1606" s="35">
        <v>486</v>
      </c>
    </row>
    <row r="1607" spans="1:8" ht="15.75" x14ac:dyDescent="0.25">
      <c r="A1607" t="str">
        <f t="shared" ref="A1607:A1670" si="25">+C1607&amp;B1607&amp;"-"&amp;E1607</f>
        <v>7881177G9060744-M</v>
      </c>
      <c r="B1607" s="35" t="s">
        <v>1017</v>
      </c>
      <c r="C1607" s="35" t="s">
        <v>2114</v>
      </c>
      <c r="D1607" s="35" t="s">
        <v>387</v>
      </c>
      <c r="E1607" s="35" t="s">
        <v>2337</v>
      </c>
      <c r="F1607" s="35" t="s">
        <v>385</v>
      </c>
      <c r="G1607" s="35" t="s">
        <v>386</v>
      </c>
      <c r="H1607" s="35">
        <v>4038</v>
      </c>
    </row>
    <row r="1608" spans="1:8" ht="15.75" x14ac:dyDescent="0.25">
      <c r="A1608" t="str">
        <f t="shared" si="25"/>
        <v>7881183G9060744-M</v>
      </c>
      <c r="B1608" s="35" t="s">
        <v>1017</v>
      </c>
      <c r="C1608" s="35" t="s">
        <v>2115</v>
      </c>
      <c r="D1608" s="35" t="s">
        <v>387</v>
      </c>
      <c r="E1608" s="35" t="s">
        <v>2337</v>
      </c>
      <c r="F1608" s="35" t="s">
        <v>385</v>
      </c>
      <c r="G1608" s="35" t="s">
        <v>386</v>
      </c>
      <c r="H1608" s="35">
        <v>1368</v>
      </c>
    </row>
    <row r="1609" spans="1:8" ht="15.75" x14ac:dyDescent="0.25">
      <c r="A1609" t="str">
        <f t="shared" si="25"/>
        <v>7882546G9060744-M</v>
      </c>
      <c r="B1609" s="35" t="s">
        <v>1017</v>
      </c>
      <c r="C1609" s="35" t="s">
        <v>2116</v>
      </c>
      <c r="D1609" s="35" t="s">
        <v>394</v>
      </c>
      <c r="E1609" s="35" t="s">
        <v>2337</v>
      </c>
      <c r="F1609" s="35" t="s">
        <v>392</v>
      </c>
      <c r="G1609" s="35" t="s">
        <v>526</v>
      </c>
      <c r="H1609" s="35">
        <v>402</v>
      </c>
    </row>
    <row r="1610" spans="1:8" ht="15.75" x14ac:dyDescent="0.25">
      <c r="A1610" t="str">
        <f t="shared" si="25"/>
        <v>C135934G906081P-M</v>
      </c>
      <c r="B1610" s="35" t="s">
        <v>1012</v>
      </c>
      <c r="C1610" s="35" t="s">
        <v>2117</v>
      </c>
      <c r="D1610" s="35" t="s">
        <v>399</v>
      </c>
      <c r="E1610" s="35" t="s">
        <v>2337</v>
      </c>
      <c r="F1610" s="35" t="s">
        <v>397</v>
      </c>
      <c r="G1610" s="35" t="s">
        <v>2325</v>
      </c>
      <c r="H1610" s="35">
        <v>504</v>
      </c>
    </row>
    <row r="1611" spans="1:8" ht="15.75" x14ac:dyDescent="0.25">
      <c r="A1611" t="str">
        <f t="shared" si="25"/>
        <v>C135930GC9060LL-M</v>
      </c>
      <c r="B1611" s="35" t="s">
        <v>1010</v>
      </c>
      <c r="C1611" s="35" t="s">
        <v>2118</v>
      </c>
      <c r="D1611" s="35" t="s">
        <v>399</v>
      </c>
      <c r="E1611" s="35" t="s">
        <v>2337</v>
      </c>
      <c r="F1611" s="35" t="s">
        <v>397</v>
      </c>
      <c r="G1611" s="35" t="s">
        <v>2325</v>
      </c>
      <c r="H1611" s="35">
        <v>504</v>
      </c>
    </row>
    <row r="1612" spans="1:8" ht="15.75" x14ac:dyDescent="0.25">
      <c r="A1612" t="str">
        <f t="shared" si="25"/>
        <v>H189869GC9060LL-M</v>
      </c>
      <c r="B1612" s="35" t="s">
        <v>1010</v>
      </c>
      <c r="C1612" s="35" t="s">
        <v>2119</v>
      </c>
      <c r="D1612" s="35" t="s">
        <v>404</v>
      </c>
      <c r="E1612" s="35" t="s">
        <v>2337</v>
      </c>
      <c r="F1612" s="35" t="s">
        <v>414</v>
      </c>
      <c r="G1612" s="35" t="s">
        <v>415</v>
      </c>
      <c r="H1612" s="35">
        <v>1302</v>
      </c>
    </row>
    <row r="1613" spans="1:8" ht="15.75" x14ac:dyDescent="0.25">
      <c r="A1613" t="str">
        <f t="shared" si="25"/>
        <v>H189871GC9060LL-M</v>
      </c>
      <c r="B1613" s="35" t="s">
        <v>1010</v>
      </c>
      <c r="C1613" s="35" t="s">
        <v>2120</v>
      </c>
      <c r="D1613" s="35" t="s">
        <v>404</v>
      </c>
      <c r="E1613" s="35" t="s">
        <v>2337</v>
      </c>
      <c r="F1613" s="35" t="s">
        <v>414</v>
      </c>
      <c r="G1613" s="35" t="s">
        <v>415</v>
      </c>
      <c r="H1613" s="35">
        <v>474</v>
      </c>
    </row>
    <row r="1614" spans="1:8" ht="15.75" x14ac:dyDescent="0.25">
      <c r="A1614" t="str">
        <f t="shared" si="25"/>
        <v>H189874GC9060LL-M</v>
      </c>
      <c r="B1614" s="35" t="s">
        <v>1010</v>
      </c>
      <c r="C1614" s="35" t="s">
        <v>2121</v>
      </c>
      <c r="D1614" s="35" t="s">
        <v>404</v>
      </c>
      <c r="E1614" s="35" t="s">
        <v>2337</v>
      </c>
      <c r="F1614" s="35" t="s">
        <v>414</v>
      </c>
      <c r="G1614" s="35" t="s">
        <v>415</v>
      </c>
      <c r="H1614" s="35">
        <v>474</v>
      </c>
    </row>
    <row r="1615" spans="1:8" ht="15.75" x14ac:dyDescent="0.25">
      <c r="A1615" t="str">
        <f t="shared" si="25"/>
        <v>H189890GC9060LL-W</v>
      </c>
      <c r="B1615" s="35" t="s">
        <v>1010</v>
      </c>
      <c r="C1615" s="35" t="s">
        <v>2122</v>
      </c>
      <c r="D1615" s="35" t="s">
        <v>404</v>
      </c>
      <c r="E1615" s="35" t="s">
        <v>2338</v>
      </c>
      <c r="F1615" s="35" t="s">
        <v>2284</v>
      </c>
      <c r="G1615" s="35" t="s">
        <v>2285</v>
      </c>
      <c r="H1615" s="35">
        <v>186</v>
      </c>
    </row>
    <row r="1616" spans="1:8" ht="15.75" x14ac:dyDescent="0.25">
      <c r="A1616" t="str">
        <f t="shared" si="25"/>
        <v>7882556GC9060ER-M</v>
      </c>
      <c r="B1616" s="35" t="s">
        <v>1014</v>
      </c>
      <c r="C1616" s="35" t="s">
        <v>2123</v>
      </c>
      <c r="D1616" s="35" t="s">
        <v>394</v>
      </c>
      <c r="E1616" s="35" t="s">
        <v>2337</v>
      </c>
      <c r="F1616" s="35" t="s">
        <v>392</v>
      </c>
      <c r="G1616" s="35" t="s">
        <v>526</v>
      </c>
      <c r="H1616" s="35">
        <v>900</v>
      </c>
    </row>
    <row r="1617" spans="1:8" ht="15.75" x14ac:dyDescent="0.25">
      <c r="A1617" t="str">
        <f t="shared" si="25"/>
        <v>7886726GC9060ER-M</v>
      </c>
      <c r="B1617" s="35" t="s">
        <v>1014</v>
      </c>
      <c r="C1617" s="35" t="s">
        <v>2124</v>
      </c>
      <c r="D1617" s="35" t="s">
        <v>394</v>
      </c>
      <c r="E1617" s="35" t="s">
        <v>2337</v>
      </c>
      <c r="F1617" s="35" t="s">
        <v>507</v>
      </c>
      <c r="G1617" s="35" t="s">
        <v>508</v>
      </c>
      <c r="H1617" s="35">
        <v>348</v>
      </c>
    </row>
    <row r="1618" spans="1:8" ht="15.75" x14ac:dyDescent="0.25">
      <c r="A1618" t="str">
        <f t="shared" si="25"/>
        <v>H189139GC9060ER-M</v>
      </c>
      <c r="B1618" s="35" t="s">
        <v>1014</v>
      </c>
      <c r="C1618" s="35" t="s">
        <v>2125</v>
      </c>
      <c r="D1618" s="35" t="s">
        <v>404</v>
      </c>
      <c r="E1618" s="35" t="s">
        <v>2337</v>
      </c>
      <c r="F1618" s="35" t="s">
        <v>414</v>
      </c>
      <c r="G1618" s="35" t="s">
        <v>415</v>
      </c>
      <c r="H1618" s="35">
        <v>402</v>
      </c>
    </row>
    <row r="1619" spans="1:8" ht="15.75" x14ac:dyDescent="0.25">
      <c r="A1619" t="str">
        <f t="shared" si="25"/>
        <v>H189143GC9060ER-M</v>
      </c>
      <c r="B1619" s="35" t="s">
        <v>1014</v>
      </c>
      <c r="C1619" s="35" t="s">
        <v>2126</v>
      </c>
      <c r="D1619" s="35" t="s">
        <v>404</v>
      </c>
      <c r="E1619" s="35" t="s">
        <v>2337</v>
      </c>
      <c r="F1619" s="35" t="s">
        <v>414</v>
      </c>
      <c r="G1619" s="35" t="s">
        <v>415</v>
      </c>
      <c r="H1619" s="35">
        <v>1266</v>
      </c>
    </row>
    <row r="1620" spans="1:8" ht="15.75" x14ac:dyDescent="0.25">
      <c r="A1620" t="str">
        <f t="shared" si="25"/>
        <v>H178018IV9060LL-M</v>
      </c>
      <c r="B1620" s="35" t="s">
        <v>1033</v>
      </c>
      <c r="C1620" s="35" t="s">
        <v>2127</v>
      </c>
      <c r="D1620" s="35" t="s">
        <v>404</v>
      </c>
      <c r="E1620" s="35" t="s">
        <v>2337</v>
      </c>
      <c r="F1620" s="35" t="s">
        <v>416</v>
      </c>
      <c r="G1620" s="35" t="s">
        <v>417</v>
      </c>
      <c r="H1620" s="35">
        <v>150</v>
      </c>
    </row>
    <row r="1621" spans="1:8" ht="15.75" x14ac:dyDescent="0.25">
      <c r="A1621" t="str">
        <f t="shared" si="25"/>
        <v>7881152I90602QH-M</v>
      </c>
      <c r="B1621" s="35" t="s">
        <v>1023</v>
      </c>
      <c r="C1621" s="35" t="s">
        <v>2128</v>
      </c>
      <c r="D1621" s="35" t="s">
        <v>387</v>
      </c>
      <c r="E1621" s="35" t="s">
        <v>2337</v>
      </c>
      <c r="F1621" s="35" t="s">
        <v>385</v>
      </c>
      <c r="G1621" s="35" t="s">
        <v>386</v>
      </c>
      <c r="H1621" s="35">
        <v>474</v>
      </c>
    </row>
    <row r="1622" spans="1:8" ht="15.75" x14ac:dyDescent="0.25">
      <c r="A1622" t="str">
        <f t="shared" si="25"/>
        <v>7882389I90605JO-M</v>
      </c>
      <c r="B1622" s="35" t="s">
        <v>1024</v>
      </c>
      <c r="C1622" s="35" t="s">
        <v>2129</v>
      </c>
      <c r="D1622" s="35" t="s">
        <v>484</v>
      </c>
      <c r="E1622" s="35" t="s">
        <v>2337</v>
      </c>
      <c r="F1622" s="35" t="s">
        <v>379</v>
      </c>
      <c r="G1622" s="35" t="s">
        <v>2332</v>
      </c>
      <c r="H1622" s="35">
        <v>600</v>
      </c>
    </row>
    <row r="1623" spans="1:8" ht="15.75" x14ac:dyDescent="0.25">
      <c r="A1623" t="str">
        <f t="shared" si="25"/>
        <v>H189171IV9060LL-M</v>
      </c>
      <c r="B1623" s="35" t="s">
        <v>1033</v>
      </c>
      <c r="C1623" s="35" t="s">
        <v>2130</v>
      </c>
      <c r="D1623" s="35" t="s">
        <v>404</v>
      </c>
      <c r="E1623" s="35" t="s">
        <v>2337</v>
      </c>
      <c r="F1623" s="35" t="s">
        <v>414</v>
      </c>
      <c r="G1623" s="35" t="s">
        <v>415</v>
      </c>
      <c r="H1623" s="35">
        <v>552</v>
      </c>
    </row>
    <row r="1624" spans="1:8" ht="15.75" x14ac:dyDescent="0.25">
      <c r="A1624" t="str">
        <f t="shared" si="25"/>
        <v>H189104PV9060ER-M</v>
      </c>
      <c r="B1624" s="35" t="s">
        <v>1027</v>
      </c>
      <c r="C1624" s="35" t="s">
        <v>2131</v>
      </c>
      <c r="D1624" s="35" t="s">
        <v>404</v>
      </c>
      <c r="E1624" s="35" t="s">
        <v>2337</v>
      </c>
      <c r="F1624" s="35" t="s">
        <v>414</v>
      </c>
      <c r="G1624" s="35" t="s">
        <v>415</v>
      </c>
      <c r="H1624" s="35">
        <v>732</v>
      </c>
    </row>
    <row r="1625" spans="1:8" ht="15.75" x14ac:dyDescent="0.25">
      <c r="A1625" t="str">
        <f t="shared" si="25"/>
        <v>H189106PV9060ER-M</v>
      </c>
      <c r="B1625" s="35" t="s">
        <v>1027</v>
      </c>
      <c r="C1625" s="35" t="s">
        <v>2132</v>
      </c>
      <c r="D1625" s="35" t="s">
        <v>404</v>
      </c>
      <c r="E1625" s="35" t="s">
        <v>2337</v>
      </c>
      <c r="F1625" s="35" t="s">
        <v>414</v>
      </c>
      <c r="G1625" s="35" t="s">
        <v>415</v>
      </c>
      <c r="H1625" s="35">
        <v>312</v>
      </c>
    </row>
    <row r="1626" spans="1:8" ht="15.75" x14ac:dyDescent="0.25">
      <c r="A1626" t="str">
        <f t="shared" si="25"/>
        <v>H177097PV9060LL-M</v>
      </c>
      <c r="B1626" s="35" t="s">
        <v>1026</v>
      </c>
      <c r="C1626" s="35" t="s">
        <v>2133</v>
      </c>
      <c r="D1626" s="35" t="s">
        <v>404</v>
      </c>
      <c r="E1626" s="35" t="s">
        <v>2337</v>
      </c>
      <c r="F1626" s="35" t="s">
        <v>416</v>
      </c>
      <c r="G1626" s="35" t="s">
        <v>417</v>
      </c>
      <c r="H1626" s="35">
        <v>108</v>
      </c>
    </row>
    <row r="1627" spans="1:8" ht="15.75" x14ac:dyDescent="0.25">
      <c r="A1627" t="str">
        <f t="shared" si="25"/>
        <v>H177646G9060744-M</v>
      </c>
      <c r="B1627" s="35" t="s">
        <v>1017</v>
      </c>
      <c r="C1627" s="35" t="s">
        <v>2134</v>
      </c>
      <c r="D1627" s="35" t="s">
        <v>404</v>
      </c>
      <c r="E1627" s="35" t="s">
        <v>2337</v>
      </c>
      <c r="F1627" s="35" t="s">
        <v>434</v>
      </c>
      <c r="G1627" s="35" t="s">
        <v>435</v>
      </c>
      <c r="H1627" s="35">
        <v>516</v>
      </c>
    </row>
    <row r="1628" spans="1:8" ht="15.75" x14ac:dyDescent="0.25">
      <c r="A1628" t="str">
        <f t="shared" si="25"/>
        <v>H178125GC9060BK-M</v>
      </c>
      <c r="B1628" s="35" t="s">
        <v>1009</v>
      </c>
      <c r="C1628" s="35" t="s">
        <v>2135</v>
      </c>
      <c r="D1628" s="35" t="s">
        <v>404</v>
      </c>
      <c r="E1628" s="35" t="s">
        <v>2337</v>
      </c>
      <c r="F1628" s="35" t="s">
        <v>402</v>
      </c>
      <c r="G1628" s="35" t="s">
        <v>403</v>
      </c>
      <c r="H1628" s="35">
        <v>144</v>
      </c>
    </row>
    <row r="1629" spans="1:8" ht="15.75" x14ac:dyDescent="0.25">
      <c r="A1629" t="str">
        <f t="shared" si="25"/>
        <v>H178127GC9060BK-M</v>
      </c>
      <c r="B1629" s="35" t="s">
        <v>1009</v>
      </c>
      <c r="C1629" s="35" t="s">
        <v>2136</v>
      </c>
      <c r="D1629" s="35" t="s">
        <v>404</v>
      </c>
      <c r="E1629" s="35" t="s">
        <v>2337</v>
      </c>
      <c r="F1629" s="35" t="s">
        <v>402</v>
      </c>
      <c r="G1629" s="35" t="s">
        <v>403</v>
      </c>
      <c r="H1629" s="35">
        <v>156</v>
      </c>
    </row>
    <row r="1630" spans="1:8" ht="15.75" x14ac:dyDescent="0.25">
      <c r="A1630" t="str">
        <f t="shared" si="25"/>
        <v>H178139GC9060ER-M</v>
      </c>
      <c r="B1630" s="35" t="s">
        <v>1014</v>
      </c>
      <c r="C1630" s="35" t="s">
        <v>2137</v>
      </c>
      <c r="D1630" s="35" t="s">
        <v>404</v>
      </c>
      <c r="E1630" s="35" t="s">
        <v>2337</v>
      </c>
      <c r="F1630" s="35" t="s">
        <v>402</v>
      </c>
      <c r="G1630" s="35" t="s">
        <v>403</v>
      </c>
      <c r="H1630" s="35">
        <v>240</v>
      </c>
    </row>
    <row r="1631" spans="1:8" ht="15.75" x14ac:dyDescent="0.25">
      <c r="A1631" t="str">
        <f t="shared" si="25"/>
        <v>H178090GC9060GY-M</v>
      </c>
      <c r="B1631" s="35" t="s">
        <v>1011</v>
      </c>
      <c r="C1631" s="35" t="s">
        <v>2138</v>
      </c>
      <c r="D1631" s="35" t="s">
        <v>404</v>
      </c>
      <c r="E1631" s="35" t="s">
        <v>2337</v>
      </c>
      <c r="F1631" s="35" t="s">
        <v>402</v>
      </c>
      <c r="G1631" s="35" t="s">
        <v>403</v>
      </c>
      <c r="H1631" s="35">
        <v>240</v>
      </c>
    </row>
    <row r="1632" spans="1:8" ht="15.75" x14ac:dyDescent="0.25">
      <c r="A1632" t="str">
        <f t="shared" si="25"/>
        <v>H178092GC9060GY-M</v>
      </c>
      <c r="B1632" s="35" t="s">
        <v>1011</v>
      </c>
      <c r="C1632" s="35" t="s">
        <v>2139</v>
      </c>
      <c r="D1632" s="35" t="s">
        <v>404</v>
      </c>
      <c r="E1632" s="35" t="s">
        <v>2337</v>
      </c>
      <c r="F1632" s="35" t="s">
        <v>402</v>
      </c>
      <c r="G1632" s="35" t="s">
        <v>403</v>
      </c>
      <c r="H1632" s="35">
        <v>144</v>
      </c>
    </row>
    <row r="1633" spans="1:8" ht="15.75" x14ac:dyDescent="0.25">
      <c r="A1633" t="str">
        <f t="shared" si="25"/>
        <v>H178075GC9060LL-M</v>
      </c>
      <c r="B1633" s="35" t="s">
        <v>1010</v>
      </c>
      <c r="C1633" s="35" t="s">
        <v>2140</v>
      </c>
      <c r="D1633" s="35" t="s">
        <v>404</v>
      </c>
      <c r="E1633" s="35" t="s">
        <v>2337</v>
      </c>
      <c r="F1633" s="35" t="s">
        <v>412</v>
      </c>
      <c r="G1633" s="35" t="s">
        <v>413</v>
      </c>
      <c r="H1633" s="35">
        <v>156</v>
      </c>
    </row>
    <row r="1634" spans="1:8" ht="15.75" x14ac:dyDescent="0.25">
      <c r="A1634" t="str">
        <f t="shared" si="25"/>
        <v>H178098GC9060LL-M</v>
      </c>
      <c r="B1634" s="35" t="s">
        <v>1010</v>
      </c>
      <c r="C1634" s="35" t="s">
        <v>2141</v>
      </c>
      <c r="D1634" s="35" t="s">
        <v>404</v>
      </c>
      <c r="E1634" s="35" t="s">
        <v>2337</v>
      </c>
      <c r="F1634" s="35" t="s">
        <v>402</v>
      </c>
      <c r="G1634" s="35" t="s">
        <v>403</v>
      </c>
      <c r="H1634" s="35">
        <v>240</v>
      </c>
    </row>
    <row r="1635" spans="1:8" ht="15.75" x14ac:dyDescent="0.25">
      <c r="A1635" t="str">
        <f t="shared" si="25"/>
        <v>7882630PC9060ER-M</v>
      </c>
      <c r="B1635" s="35" t="s">
        <v>989</v>
      </c>
      <c r="C1635" s="35" t="s">
        <v>2142</v>
      </c>
      <c r="D1635" s="35" t="s">
        <v>394</v>
      </c>
      <c r="E1635" s="35" t="s">
        <v>2337</v>
      </c>
      <c r="F1635" s="35" t="s">
        <v>392</v>
      </c>
      <c r="G1635" s="35" t="s">
        <v>526</v>
      </c>
      <c r="H1635" s="35">
        <v>498</v>
      </c>
    </row>
    <row r="1636" spans="1:8" ht="15.75" x14ac:dyDescent="0.25">
      <c r="A1636" t="str">
        <f t="shared" si="25"/>
        <v>H189848PC9060LL-M</v>
      </c>
      <c r="B1636" s="35" t="s">
        <v>995</v>
      </c>
      <c r="C1636" s="35" t="s">
        <v>2143</v>
      </c>
      <c r="D1636" s="35" t="s">
        <v>404</v>
      </c>
      <c r="E1636" s="35" t="s">
        <v>2337</v>
      </c>
      <c r="F1636" s="35" t="s">
        <v>414</v>
      </c>
      <c r="G1636" s="35" t="s">
        <v>415</v>
      </c>
      <c r="H1636" s="35">
        <v>330</v>
      </c>
    </row>
    <row r="1637" spans="1:8" ht="15.75" x14ac:dyDescent="0.25">
      <c r="A1637" t="str">
        <f t="shared" si="25"/>
        <v>H189849PC9060LL-M</v>
      </c>
      <c r="B1637" s="35" t="s">
        <v>995</v>
      </c>
      <c r="C1637" s="35" t="s">
        <v>2144</v>
      </c>
      <c r="D1637" s="35" t="s">
        <v>404</v>
      </c>
      <c r="E1637" s="35" t="s">
        <v>2337</v>
      </c>
      <c r="F1637" s="35" t="s">
        <v>414</v>
      </c>
      <c r="G1637" s="35" t="s">
        <v>415</v>
      </c>
      <c r="H1637" s="35">
        <v>330</v>
      </c>
    </row>
    <row r="1638" spans="1:8" ht="15.75" x14ac:dyDescent="0.25">
      <c r="A1638" t="str">
        <f t="shared" si="25"/>
        <v>7881180P90605V8-M</v>
      </c>
      <c r="B1638" s="35" t="s">
        <v>996</v>
      </c>
      <c r="C1638" s="35" t="s">
        <v>2145</v>
      </c>
      <c r="D1638" s="35" t="s">
        <v>387</v>
      </c>
      <c r="E1638" s="35" t="s">
        <v>2337</v>
      </c>
      <c r="F1638" s="35" t="s">
        <v>385</v>
      </c>
      <c r="G1638" s="35" t="s">
        <v>386</v>
      </c>
      <c r="H1638" s="35">
        <v>750</v>
      </c>
    </row>
    <row r="1639" spans="1:8" ht="15.75" x14ac:dyDescent="0.25">
      <c r="A1639" t="str">
        <f t="shared" si="25"/>
        <v>C135993ML574EVG-D</v>
      </c>
      <c r="B1639" s="35" t="s">
        <v>947</v>
      </c>
      <c r="C1639" s="35" t="s">
        <v>2146</v>
      </c>
      <c r="D1639" s="35" t="s">
        <v>399</v>
      </c>
      <c r="E1639" s="35" t="s">
        <v>2340</v>
      </c>
      <c r="F1639" s="35" t="s">
        <v>397</v>
      </c>
      <c r="G1639" s="35" t="s">
        <v>2330</v>
      </c>
      <c r="H1639" s="35">
        <v>1008</v>
      </c>
    </row>
    <row r="1640" spans="1:8" ht="15.75" x14ac:dyDescent="0.25">
      <c r="A1640" t="str">
        <f t="shared" si="25"/>
        <v>7882949M5742IX-D</v>
      </c>
      <c r="B1640" s="35" t="s">
        <v>964</v>
      </c>
      <c r="C1640" s="35" t="s">
        <v>2147</v>
      </c>
      <c r="D1640" s="35" t="s">
        <v>394</v>
      </c>
      <c r="E1640" s="35" t="s">
        <v>2340</v>
      </c>
      <c r="F1640" s="35" t="s">
        <v>392</v>
      </c>
      <c r="G1640" s="35" t="s">
        <v>393</v>
      </c>
      <c r="H1640" s="35">
        <v>348</v>
      </c>
    </row>
    <row r="1641" spans="1:8" ht="15.75" x14ac:dyDescent="0.25">
      <c r="A1641" t="str">
        <f t="shared" si="25"/>
        <v>7882955M5742IX-D</v>
      </c>
      <c r="B1641" s="35" t="s">
        <v>964</v>
      </c>
      <c r="C1641" s="35" t="s">
        <v>2148</v>
      </c>
      <c r="D1641" s="35" t="s">
        <v>394</v>
      </c>
      <c r="E1641" s="35" t="s">
        <v>2340</v>
      </c>
      <c r="F1641" s="35" t="s">
        <v>392</v>
      </c>
      <c r="G1641" s="35" t="s">
        <v>393</v>
      </c>
      <c r="H1641" s="35">
        <v>534</v>
      </c>
    </row>
    <row r="1642" spans="1:8" ht="15.75" x14ac:dyDescent="0.25">
      <c r="A1642" t="str">
        <f t="shared" si="25"/>
        <v>H189916M5742IX-D</v>
      </c>
      <c r="B1642" s="35" t="s">
        <v>964</v>
      </c>
      <c r="C1642" s="35" t="s">
        <v>2149</v>
      </c>
      <c r="D1642" s="35" t="s">
        <v>404</v>
      </c>
      <c r="E1642" s="35" t="s">
        <v>2340</v>
      </c>
      <c r="F1642" s="35" t="s">
        <v>407</v>
      </c>
      <c r="G1642" s="35" t="s">
        <v>408</v>
      </c>
      <c r="H1642" s="35">
        <v>1296</v>
      </c>
    </row>
    <row r="1643" spans="1:8" ht="15.75" x14ac:dyDescent="0.25">
      <c r="A1643" t="str">
        <f t="shared" si="25"/>
        <v>7881403U5745I2-D</v>
      </c>
      <c r="B1643" s="35" t="s">
        <v>1056</v>
      </c>
      <c r="C1643" s="35" t="s">
        <v>2150</v>
      </c>
      <c r="D1643" s="35" t="s">
        <v>387</v>
      </c>
      <c r="E1643" s="35" t="s">
        <v>2340</v>
      </c>
      <c r="F1643" s="35" t="s">
        <v>385</v>
      </c>
      <c r="G1643" s="35" t="s">
        <v>386</v>
      </c>
      <c r="H1643" s="35">
        <v>762</v>
      </c>
    </row>
    <row r="1644" spans="1:8" ht="15.75" x14ac:dyDescent="0.25">
      <c r="A1644" t="str">
        <f t="shared" si="25"/>
        <v>7881755U5745I2-D</v>
      </c>
      <c r="B1644" s="35" t="s">
        <v>1056</v>
      </c>
      <c r="C1644" s="35" t="s">
        <v>2151</v>
      </c>
      <c r="D1644" s="35" t="s">
        <v>391</v>
      </c>
      <c r="E1644" s="35" t="s">
        <v>2340</v>
      </c>
      <c r="F1644" s="35" t="s">
        <v>379</v>
      </c>
      <c r="G1644" s="35" t="s">
        <v>380</v>
      </c>
      <c r="H1644" s="35">
        <v>150</v>
      </c>
    </row>
    <row r="1645" spans="1:8" ht="15.75" x14ac:dyDescent="0.25">
      <c r="A1645" t="str">
        <f t="shared" si="25"/>
        <v>7881786U5745I2-D</v>
      </c>
      <c r="B1645" s="35" t="s">
        <v>1056</v>
      </c>
      <c r="C1645" s="35" t="s">
        <v>2152</v>
      </c>
      <c r="D1645" s="35" t="s">
        <v>390</v>
      </c>
      <c r="E1645" s="35" t="s">
        <v>2340</v>
      </c>
      <c r="F1645" s="35" t="s">
        <v>382</v>
      </c>
      <c r="G1645" s="35" t="s">
        <v>383</v>
      </c>
      <c r="H1645" s="35">
        <v>588</v>
      </c>
    </row>
    <row r="1646" spans="1:8" ht="15.75" x14ac:dyDescent="0.25">
      <c r="A1646" t="str">
        <f t="shared" si="25"/>
        <v>H189910U5745I2-D</v>
      </c>
      <c r="B1646" s="35" t="s">
        <v>1056</v>
      </c>
      <c r="C1646" s="35" t="s">
        <v>2153</v>
      </c>
      <c r="D1646" s="35" t="s">
        <v>404</v>
      </c>
      <c r="E1646" s="35" t="s">
        <v>2340</v>
      </c>
      <c r="F1646" s="35" t="s">
        <v>407</v>
      </c>
      <c r="G1646" s="35" t="s">
        <v>408</v>
      </c>
      <c r="H1646" s="35">
        <v>840</v>
      </c>
    </row>
    <row r="1647" spans="1:8" ht="15.75" x14ac:dyDescent="0.25">
      <c r="A1647" t="str">
        <f t="shared" si="25"/>
        <v>H189913U5745I2-D</v>
      </c>
      <c r="B1647" s="35" t="s">
        <v>1056</v>
      </c>
      <c r="C1647" s="35" t="s">
        <v>2154</v>
      </c>
      <c r="D1647" s="35" t="s">
        <v>404</v>
      </c>
      <c r="E1647" s="35" t="s">
        <v>2340</v>
      </c>
      <c r="F1647" s="35" t="s">
        <v>407</v>
      </c>
      <c r="G1647" s="35" t="s">
        <v>408</v>
      </c>
      <c r="H1647" s="35">
        <v>3720</v>
      </c>
    </row>
    <row r="1648" spans="1:8" ht="15.75" x14ac:dyDescent="0.25">
      <c r="A1648" t="str">
        <f t="shared" si="25"/>
        <v>7883400U5747A4-D</v>
      </c>
      <c r="B1648" s="35" t="s">
        <v>1086</v>
      </c>
      <c r="C1648" s="35" t="s">
        <v>2155</v>
      </c>
      <c r="D1648" s="35" t="s">
        <v>394</v>
      </c>
      <c r="E1648" s="35" t="s">
        <v>2340</v>
      </c>
      <c r="F1648" s="35" t="s">
        <v>392</v>
      </c>
      <c r="G1648" s="35" t="s">
        <v>393</v>
      </c>
      <c r="H1648" s="35">
        <v>834</v>
      </c>
    </row>
    <row r="1649" spans="1:8" ht="15.75" x14ac:dyDescent="0.25">
      <c r="A1649" t="str">
        <f t="shared" si="25"/>
        <v>7883406U5747A4-D</v>
      </c>
      <c r="B1649" s="35" t="s">
        <v>1086</v>
      </c>
      <c r="C1649" s="35" t="s">
        <v>2156</v>
      </c>
      <c r="D1649" s="35" t="s">
        <v>394</v>
      </c>
      <c r="E1649" s="35" t="s">
        <v>2340</v>
      </c>
      <c r="F1649" s="35" t="s">
        <v>392</v>
      </c>
      <c r="G1649" s="35" t="s">
        <v>393</v>
      </c>
      <c r="H1649" s="35">
        <v>666</v>
      </c>
    </row>
    <row r="1650" spans="1:8" ht="15.75" x14ac:dyDescent="0.25">
      <c r="A1650" t="str">
        <f t="shared" si="25"/>
        <v>7881343W5743HE-B</v>
      </c>
      <c r="B1650" s="35" t="s">
        <v>966</v>
      </c>
      <c r="C1650" s="35" t="s">
        <v>2157</v>
      </c>
      <c r="D1650" s="35" t="s">
        <v>387</v>
      </c>
      <c r="E1650" s="35" t="s">
        <v>2339</v>
      </c>
      <c r="F1650" s="35" t="s">
        <v>385</v>
      </c>
      <c r="G1650" s="35" t="s">
        <v>386</v>
      </c>
      <c r="H1650" s="35">
        <v>600</v>
      </c>
    </row>
    <row r="1651" spans="1:8" ht="15.75" x14ac:dyDescent="0.25">
      <c r="A1651" t="str">
        <f t="shared" si="25"/>
        <v>7881349W5743HE-B</v>
      </c>
      <c r="B1651" s="35" t="s">
        <v>966</v>
      </c>
      <c r="C1651" s="35" t="s">
        <v>2158</v>
      </c>
      <c r="D1651" s="35" t="s">
        <v>387</v>
      </c>
      <c r="E1651" s="35" t="s">
        <v>2339</v>
      </c>
      <c r="F1651" s="35" t="s">
        <v>385</v>
      </c>
      <c r="G1651" s="35" t="s">
        <v>386</v>
      </c>
      <c r="H1651" s="35">
        <v>792</v>
      </c>
    </row>
    <row r="1652" spans="1:8" ht="15.75" x14ac:dyDescent="0.25">
      <c r="A1652" t="str">
        <f t="shared" si="25"/>
        <v>7881759W5743HE-B</v>
      </c>
      <c r="B1652" s="35" t="s">
        <v>966</v>
      </c>
      <c r="C1652" s="35" t="s">
        <v>2159</v>
      </c>
      <c r="D1652" s="35" t="s">
        <v>391</v>
      </c>
      <c r="E1652" s="35" t="s">
        <v>2339</v>
      </c>
      <c r="F1652" s="35" t="s">
        <v>379</v>
      </c>
      <c r="G1652" s="35" t="s">
        <v>380</v>
      </c>
      <c r="H1652" s="35">
        <v>462</v>
      </c>
    </row>
    <row r="1653" spans="1:8" ht="15.75" x14ac:dyDescent="0.25">
      <c r="A1653" t="str">
        <f t="shared" si="25"/>
        <v>7881785W5743HE-B</v>
      </c>
      <c r="B1653" s="35" t="s">
        <v>966</v>
      </c>
      <c r="C1653" s="35" t="s">
        <v>2160</v>
      </c>
      <c r="D1653" s="35" t="s">
        <v>390</v>
      </c>
      <c r="E1653" s="35" t="s">
        <v>2339</v>
      </c>
      <c r="F1653" s="35" t="s">
        <v>382</v>
      </c>
      <c r="G1653" s="35" t="s">
        <v>383</v>
      </c>
      <c r="H1653" s="35">
        <v>1746</v>
      </c>
    </row>
    <row r="1654" spans="1:8" ht="15.75" x14ac:dyDescent="0.25">
      <c r="A1654" t="str">
        <f t="shared" si="25"/>
        <v>7883653W5743HE-B</v>
      </c>
      <c r="B1654" s="35" t="s">
        <v>966</v>
      </c>
      <c r="C1654" s="35" t="s">
        <v>2161</v>
      </c>
      <c r="D1654" s="35" t="s">
        <v>394</v>
      </c>
      <c r="E1654" s="35" t="s">
        <v>2339</v>
      </c>
      <c r="F1654" s="35" t="s">
        <v>392</v>
      </c>
      <c r="G1654" s="35" t="s">
        <v>393</v>
      </c>
      <c r="H1654" s="35">
        <v>324</v>
      </c>
    </row>
    <row r="1655" spans="1:8" ht="15.75" x14ac:dyDescent="0.25">
      <c r="A1655" t="str">
        <f t="shared" si="25"/>
        <v>7883659W5743HE-B</v>
      </c>
      <c r="B1655" s="35" t="s">
        <v>966</v>
      </c>
      <c r="C1655" s="35" t="s">
        <v>2162</v>
      </c>
      <c r="D1655" s="35" t="s">
        <v>394</v>
      </c>
      <c r="E1655" s="35" t="s">
        <v>2339</v>
      </c>
      <c r="F1655" s="35" t="s">
        <v>392</v>
      </c>
      <c r="G1655" s="35" t="s">
        <v>393</v>
      </c>
      <c r="H1655" s="35">
        <v>420</v>
      </c>
    </row>
    <row r="1656" spans="1:8" ht="15.75" x14ac:dyDescent="0.25">
      <c r="A1656" t="str">
        <f t="shared" si="25"/>
        <v>7886298W5743HE-B</v>
      </c>
      <c r="B1656" s="35" t="s">
        <v>966</v>
      </c>
      <c r="C1656" s="35" t="s">
        <v>2163</v>
      </c>
      <c r="D1656" s="35" t="s">
        <v>395</v>
      </c>
      <c r="E1656" s="35" t="s">
        <v>2339</v>
      </c>
      <c r="F1656" s="35" t="s">
        <v>382</v>
      </c>
      <c r="G1656" s="35" t="s">
        <v>383</v>
      </c>
      <c r="H1656" s="35">
        <v>2328</v>
      </c>
    </row>
    <row r="1657" spans="1:8" ht="15.75" x14ac:dyDescent="0.25">
      <c r="A1657" t="str">
        <f t="shared" si="25"/>
        <v>H189138W5743HE-B</v>
      </c>
      <c r="B1657" s="35" t="s">
        <v>966</v>
      </c>
      <c r="C1657" s="35" t="s">
        <v>2164</v>
      </c>
      <c r="D1657" s="35" t="s">
        <v>404</v>
      </c>
      <c r="E1657" s="35" t="s">
        <v>2339</v>
      </c>
      <c r="F1657" s="35" t="s">
        <v>524</v>
      </c>
      <c r="G1657" s="35" t="s">
        <v>525</v>
      </c>
      <c r="H1657" s="35">
        <v>1254</v>
      </c>
    </row>
    <row r="1658" spans="1:8" ht="15.75" x14ac:dyDescent="0.25">
      <c r="A1658" t="str">
        <f t="shared" si="25"/>
        <v>H189299W5743HE-B</v>
      </c>
      <c r="B1658" s="35" t="s">
        <v>966</v>
      </c>
      <c r="C1658" s="35" t="s">
        <v>2165</v>
      </c>
      <c r="D1658" s="35" t="s">
        <v>404</v>
      </c>
      <c r="E1658" s="35" t="s">
        <v>2339</v>
      </c>
      <c r="F1658" s="35" t="s">
        <v>2294</v>
      </c>
      <c r="G1658" s="35" t="s">
        <v>2295</v>
      </c>
      <c r="H1658" s="35">
        <v>216</v>
      </c>
    </row>
    <row r="1659" spans="1:8" ht="15.75" x14ac:dyDescent="0.25">
      <c r="A1659" t="str">
        <f t="shared" si="25"/>
        <v>7881379W5744CP-B</v>
      </c>
      <c r="B1659" s="35" t="s">
        <v>1048</v>
      </c>
      <c r="C1659" s="35" t="s">
        <v>2166</v>
      </c>
      <c r="D1659" s="35" t="s">
        <v>387</v>
      </c>
      <c r="E1659" s="35" t="s">
        <v>2339</v>
      </c>
      <c r="F1659" s="35" t="s">
        <v>385</v>
      </c>
      <c r="G1659" s="35" t="s">
        <v>386</v>
      </c>
      <c r="H1659" s="35">
        <v>1008</v>
      </c>
    </row>
    <row r="1660" spans="1:8" ht="15.75" x14ac:dyDescent="0.25">
      <c r="A1660" t="str">
        <f t="shared" si="25"/>
        <v>7881789W5744CP-B</v>
      </c>
      <c r="B1660" s="35" t="s">
        <v>1048</v>
      </c>
      <c r="C1660" s="35" t="s">
        <v>2167</v>
      </c>
      <c r="D1660" s="35" t="s">
        <v>390</v>
      </c>
      <c r="E1660" s="35" t="s">
        <v>2339</v>
      </c>
      <c r="F1660" s="35" t="s">
        <v>382</v>
      </c>
      <c r="G1660" s="35" t="s">
        <v>383</v>
      </c>
      <c r="H1660" s="35">
        <v>234</v>
      </c>
    </row>
    <row r="1661" spans="1:8" ht="15.75" x14ac:dyDescent="0.25">
      <c r="A1661" t="str">
        <f t="shared" si="25"/>
        <v>7881238W5744R4-B</v>
      </c>
      <c r="B1661" s="35" t="s">
        <v>965</v>
      </c>
      <c r="C1661" s="35" t="s">
        <v>2168</v>
      </c>
      <c r="D1661" s="35" t="s">
        <v>387</v>
      </c>
      <c r="E1661" s="35" t="s">
        <v>2339</v>
      </c>
      <c r="F1661" s="35" t="s">
        <v>385</v>
      </c>
      <c r="G1661" s="35" t="s">
        <v>386</v>
      </c>
      <c r="H1661" s="35">
        <v>480</v>
      </c>
    </row>
    <row r="1662" spans="1:8" ht="15.75" x14ac:dyDescent="0.25">
      <c r="A1662" t="str">
        <f t="shared" si="25"/>
        <v>7886304W5744R4-B</v>
      </c>
      <c r="B1662" s="35" t="s">
        <v>965</v>
      </c>
      <c r="C1662" s="35" t="s">
        <v>2169</v>
      </c>
      <c r="D1662" s="35" t="s">
        <v>395</v>
      </c>
      <c r="E1662" s="35" t="s">
        <v>2339</v>
      </c>
      <c r="F1662" s="35" t="s">
        <v>382</v>
      </c>
      <c r="G1662" s="35" t="s">
        <v>383</v>
      </c>
      <c r="H1662" s="35">
        <v>726</v>
      </c>
    </row>
    <row r="1663" spans="1:8" ht="15.75" x14ac:dyDescent="0.25">
      <c r="A1663" t="str">
        <f t="shared" si="25"/>
        <v>7881415W5746AE-B</v>
      </c>
      <c r="B1663" s="35" t="s">
        <v>952</v>
      </c>
      <c r="C1663" s="35" t="s">
        <v>2170</v>
      </c>
      <c r="D1663" s="35" t="s">
        <v>387</v>
      </c>
      <c r="E1663" s="35" t="s">
        <v>2339</v>
      </c>
      <c r="F1663" s="35" t="s">
        <v>385</v>
      </c>
      <c r="G1663" s="35" t="s">
        <v>386</v>
      </c>
      <c r="H1663" s="35">
        <v>732</v>
      </c>
    </row>
    <row r="1664" spans="1:8" ht="15.75" x14ac:dyDescent="0.25">
      <c r="A1664" t="str">
        <f t="shared" si="25"/>
        <v>7883576W5746AE-B</v>
      </c>
      <c r="B1664" s="35" t="s">
        <v>952</v>
      </c>
      <c r="C1664" s="35" t="s">
        <v>2171</v>
      </c>
      <c r="D1664" s="35" t="s">
        <v>394</v>
      </c>
      <c r="E1664" s="35" t="s">
        <v>2339</v>
      </c>
      <c r="F1664" s="35" t="s">
        <v>392</v>
      </c>
      <c r="G1664" s="35" t="s">
        <v>393</v>
      </c>
      <c r="H1664" s="35">
        <v>564</v>
      </c>
    </row>
    <row r="1665" spans="1:8" ht="15.75" x14ac:dyDescent="0.25">
      <c r="A1665" t="str">
        <f t="shared" si="25"/>
        <v>7883582W5746AE-B</v>
      </c>
      <c r="B1665" s="35" t="s">
        <v>952</v>
      </c>
      <c r="C1665" s="35" t="s">
        <v>2172</v>
      </c>
      <c r="D1665" s="35" t="s">
        <v>394</v>
      </c>
      <c r="E1665" s="35" t="s">
        <v>2339</v>
      </c>
      <c r="F1665" s="35" t="s">
        <v>392</v>
      </c>
      <c r="G1665" s="35" t="s">
        <v>393</v>
      </c>
      <c r="H1665" s="35">
        <v>678</v>
      </c>
    </row>
    <row r="1666" spans="1:8" ht="15.75" x14ac:dyDescent="0.25">
      <c r="A1666" t="str">
        <f t="shared" si="25"/>
        <v>H188999W5746AE-B</v>
      </c>
      <c r="B1666" s="35" t="s">
        <v>952</v>
      </c>
      <c r="C1666" s="35" t="s">
        <v>2173</v>
      </c>
      <c r="D1666" s="35" t="s">
        <v>404</v>
      </c>
      <c r="E1666" s="35" t="s">
        <v>2339</v>
      </c>
      <c r="F1666" s="35" t="s">
        <v>424</v>
      </c>
      <c r="G1666" s="35" t="s">
        <v>425</v>
      </c>
      <c r="H1666" s="35">
        <v>1512</v>
      </c>
    </row>
    <row r="1667" spans="1:8" ht="15.75" x14ac:dyDescent="0.25">
      <c r="A1667" t="str">
        <f t="shared" si="25"/>
        <v>C135851WL574EVW-B</v>
      </c>
      <c r="B1667" s="35" t="s">
        <v>948</v>
      </c>
      <c r="C1667" s="35" t="s">
        <v>2174</v>
      </c>
      <c r="D1667" s="35" t="s">
        <v>399</v>
      </c>
      <c r="E1667" s="35" t="s">
        <v>2339</v>
      </c>
      <c r="F1667" s="35" t="s">
        <v>397</v>
      </c>
      <c r="G1667" s="35" t="s">
        <v>2330</v>
      </c>
      <c r="H1667" s="35">
        <v>1008</v>
      </c>
    </row>
    <row r="1668" spans="1:8" ht="15.75" x14ac:dyDescent="0.25">
      <c r="A1668" t="str">
        <f t="shared" si="25"/>
        <v>7880062W5743HE-B</v>
      </c>
      <c r="B1668" s="35" t="s">
        <v>966</v>
      </c>
      <c r="C1668" s="35">
        <v>7880062</v>
      </c>
      <c r="D1668" s="35" t="s">
        <v>474</v>
      </c>
      <c r="E1668" s="35" t="s">
        <v>2339</v>
      </c>
      <c r="F1668" s="35" t="s">
        <v>379</v>
      </c>
      <c r="G1668" s="35" t="s">
        <v>380</v>
      </c>
      <c r="H1668" s="35">
        <v>654</v>
      </c>
    </row>
    <row r="1669" spans="1:8" ht="15.75" x14ac:dyDescent="0.25">
      <c r="A1669" t="str">
        <f t="shared" si="25"/>
        <v>H181895W5743HE-B</v>
      </c>
      <c r="B1669" s="35" t="s">
        <v>966</v>
      </c>
      <c r="C1669" s="35" t="s">
        <v>2175</v>
      </c>
      <c r="D1669" s="35" t="s">
        <v>404</v>
      </c>
      <c r="E1669" s="35" t="s">
        <v>2339</v>
      </c>
      <c r="F1669" s="35" t="s">
        <v>418</v>
      </c>
      <c r="G1669" s="35" t="s">
        <v>2333</v>
      </c>
      <c r="H1669" s="35">
        <v>144</v>
      </c>
    </row>
    <row r="1670" spans="1:8" ht="15.75" x14ac:dyDescent="0.25">
      <c r="A1670" t="str">
        <f t="shared" si="25"/>
        <v>H181899W5743HE-B</v>
      </c>
      <c r="B1670" s="35" t="s">
        <v>966</v>
      </c>
      <c r="C1670" s="35" t="s">
        <v>2176</v>
      </c>
      <c r="D1670" s="35" t="s">
        <v>404</v>
      </c>
      <c r="E1670" s="35" t="s">
        <v>2339</v>
      </c>
      <c r="F1670" s="35" t="s">
        <v>524</v>
      </c>
      <c r="G1670" s="35" t="s">
        <v>525</v>
      </c>
      <c r="H1670" s="35">
        <v>174</v>
      </c>
    </row>
    <row r="1671" spans="1:8" ht="15.75" x14ac:dyDescent="0.25">
      <c r="A1671" t="str">
        <f t="shared" ref="A1671:A1734" si="26">+C1671&amp;B1671&amp;"-"&amp;E1671</f>
        <v>H181900W5743HE-B</v>
      </c>
      <c r="B1671" s="35" t="s">
        <v>966</v>
      </c>
      <c r="C1671" s="35" t="s">
        <v>2177</v>
      </c>
      <c r="D1671" s="35" t="s">
        <v>404</v>
      </c>
      <c r="E1671" s="35" t="s">
        <v>2339</v>
      </c>
      <c r="F1671" s="35" t="s">
        <v>418</v>
      </c>
      <c r="G1671" s="35" t="s">
        <v>419</v>
      </c>
      <c r="H1671" s="35">
        <v>48</v>
      </c>
    </row>
    <row r="1672" spans="1:8" ht="15.75" x14ac:dyDescent="0.25">
      <c r="A1672" t="str">
        <f t="shared" si="26"/>
        <v>H181901W5743HE-B</v>
      </c>
      <c r="B1672" s="35" t="s">
        <v>966</v>
      </c>
      <c r="C1672" s="35" t="s">
        <v>2178</v>
      </c>
      <c r="D1672" s="35" t="s">
        <v>404</v>
      </c>
      <c r="E1672" s="35" t="s">
        <v>2339</v>
      </c>
      <c r="F1672" s="35" t="s">
        <v>2286</v>
      </c>
      <c r="G1672" s="35" t="s">
        <v>2287</v>
      </c>
      <c r="H1672" s="35">
        <v>492</v>
      </c>
    </row>
    <row r="1673" spans="1:8" ht="15.75" x14ac:dyDescent="0.25">
      <c r="A1673" t="str">
        <f t="shared" si="26"/>
        <v>H181904W5743HE-B</v>
      </c>
      <c r="B1673" s="35" t="s">
        <v>966</v>
      </c>
      <c r="C1673" s="35" t="s">
        <v>2179</v>
      </c>
      <c r="D1673" s="35" t="s">
        <v>404</v>
      </c>
      <c r="E1673" s="35" t="s">
        <v>2339</v>
      </c>
      <c r="F1673" s="35" t="s">
        <v>416</v>
      </c>
      <c r="G1673" s="35" t="s">
        <v>2334</v>
      </c>
      <c r="H1673" s="35">
        <v>48</v>
      </c>
    </row>
    <row r="1674" spans="1:8" ht="15.75" x14ac:dyDescent="0.25">
      <c r="A1674" t="str">
        <f t="shared" si="26"/>
        <v>H181905W5743HE-B</v>
      </c>
      <c r="B1674" s="35" t="s">
        <v>966</v>
      </c>
      <c r="C1674" s="35" t="s">
        <v>2180</v>
      </c>
      <c r="D1674" s="35" t="s">
        <v>404</v>
      </c>
      <c r="E1674" s="35" t="s">
        <v>2339</v>
      </c>
      <c r="F1674" s="35" t="s">
        <v>402</v>
      </c>
      <c r="G1674" s="35" t="s">
        <v>2289</v>
      </c>
      <c r="H1674" s="35">
        <v>1854</v>
      </c>
    </row>
    <row r="1675" spans="1:8" ht="15.75" x14ac:dyDescent="0.25">
      <c r="A1675" t="str">
        <f t="shared" si="26"/>
        <v>H181906W5743HE-B</v>
      </c>
      <c r="B1675" s="35" t="s">
        <v>966</v>
      </c>
      <c r="C1675" s="35" t="s">
        <v>2181</v>
      </c>
      <c r="D1675" s="35" t="s">
        <v>404</v>
      </c>
      <c r="E1675" s="35" t="s">
        <v>2339</v>
      </c>
      <c r="F1675" s="35" t="s">
        <v>402</v>
      </c>
      <c r="G1675" s="35" t="s">
        <v>403</v>
      </c>
      <c r="H1675" s="35">
        <v>228</v>
      </c>
    </row>
    <row r="1676" spans="1:8" ht="15.75" x14ac:dyDescent="0.25">
      <c r="A1676" t="str">
        <f t="shared" si="26"/>
        <v>H181909W5743HE-B</v>
      </c>
      <c r="B1676" s="35" t="s">
        <v>966</v>
      </c>
      <c r="C1676" s="35" t="s">
        <v>2182</v>
      </c>
      <c r="D1676" s="35" t="s">
        <v>404</v>
      </c>
      <c r="E1676" s="35" t="s">
        <v>2339</v>
      </c>
      <c r="F1676" s="35" t="s">
        <v>402</v>
      </c>
      <c r="G1676" s="35" t="s">
        <v>403</v>
      </c>
      <c r="H1676" s="35">
        <v>204</v>
      </c>
    </row>
    <row r="1677" spans="1:8" ht="15.75" x14ac:dyDescent="0.25">
      <c r="A1677" t="str">
        <f t="shared" si="26"/>
        <v>H181908W5743HE-B</v>
      </c>
      <c r="B1677" s="35" t="s">
        <v>966</v>
      </c>
      <c r="C1677" s="35" t="s">
        <v>2183</v>
      </c>
      <c r="D1677" s="35" t="s">
        <v>404</v>
      </c>
      <c r="E1677" s="35" t="s">
        <v>2339</v>
      </c>
      <c r="F1677" s="35" t="s">
        <v>402</v>
      </c>
      <c r="G1677" s="35" t="s">
        <v>403</v>
      </c>
      <c r="H1677" s="35">
        <v>456</v>
      </c>
    </row>
    <row r="1678" spans="1:8" ht="15.75" x14ac:dyDescent="0.25">
      <c r="A1678" t="str">
        <f t="shared" si="26"/>
        <v>H181907W5743HE-B</v>
      </c>
      <c r="B1678" s="35" t="s">
        <v>966</v>
      </c>
      <c r="C1678" s="35" t="s">
        <v>2184</v>
      </c>
      <c r="D1678" s="35" t="s">
        <v>404</v>
      </c>
      <c r="E1678" s="35" t="s">
        <v>2339</v>
      </c>
      <c r="F1678" s="35" t="s">
        <v>402</v>
      </c>
      <c r="G1678" s="35" t="s">
        <v>403</v>
      </c>
      <c r="H1678" s="35">
        <v>204</v>
      </c>
    </row>
    <row r="1679" spans="1:8" ht="15.75" x14ac:dyDescent="0.25">
      <c r="A1679" t="str">
        <f t="shared" si="26"/>
        <v>H181913W5744CP-B</v>
      </c>
      <c r="B1679" s="35" t="s">
        <v>1048</v>
      </c>
      <c r="C1679" s="35" t="s">
        <v>2185</v>
      </c>
      <c r="D1679" s="35" t="s">
        <v>404</v>
      </c>
      <c r="E1679" s="35" t="s">
        <v>2339</v>
      </c>
      <c r="F1679" s="35" t="s">
        <v>2286</v>
      </c>
      <c r="G1679" s="35" t="s">
        <v>2287</v>
      </c>
      <c r="H1679" s="35">
        <v>378</v>
      </c>
    </row>
    <row r="1680" spans="1:8" ht="15.75" x14ac:dyDescent="0.25">
      <c r="A1680" t="str">
        <f t="shared" si="26"/>
        <v>H181914W5744CP-B</v>
      </c>
      <c r="B1680" s="35" t="s">
        <v>1048</v>
      </c>
      <c r="C1680" s="35" t="s">
        <v>2186</v>
      </c>
      <c r="D1680" s="35" t="s">
        <v>404</v>
      </c>
      <c r="E1680" s="35" t="s">
        <v>2339</v>
      </c>
      <c r="F1680" s="35" t="s">
        <v>402</v>
      </c>
      <c r="G1680" s="35" t="s">
        <v>2289</v>
      </c>
      <c r="H1680" s="35">
        <v>1416</v>
      </c>
    </row>
    <row r="1681" spans="1:8" ht="15.75" x14ac:dyDescent="0.25">
      <c r="A1681" t="str">
        <f t="shared" si="26"/>
        <v>H181915W5744CP-B</v>
      </c>
      <c r="B1681" s="35" t="s">
        <v>1048</v>
      </c>
      <c r="C1681" s="35" t="s">
        <v>2187</v>
      </c>
      <c r="D1681" s="35" t="s">
        <v>404</v>
      </c>
      <c r="E1681" s="35" t="s">
        <v>2339</v>
      </c>
      <c r="F1681" s="35" t="s">
        <v>402</v>
      </c>
      <c r="G1681" s="35" t="s">
        <v>403</v>
      </c>
      <c r="H1681" s="35">
        <v>330</v>
      </c>
    </row>
    <row r="1682" spans="1:8" ht="15.75" x14ac:dyDescent="0.25">
      <c r="A1682" t="str">
        <f t="shared" si="26"/>
        <v>H181917W5744CP-B</v>
      </c>
      <c r="B1682" s="35" t="s">
        <v>1048</v>
      </c>
      <c r="C1682" s="35" t="s">
        <v>2188</v>
      </c>
      <c r="D1682" s="35" t="s">
        <v>404</v>
      </c>
      <c r="E1682" s="35" t="s">
        <v>2339</v>
      </c>
      <c r="F1682" s="35" t="s">
        <v>402</v>
      </c>
      <c r="G1682" s="35" t="s">
        <v>403</v>
      </c>
      <c r="H1682" s="35">
        <v>420</v>
      </c>
    </row>
    <row r="1683" spans="1:8" ht="15.75" x14ac:dyDescent="0.25">
      <c r="A1683" t="str">
        <f t="shared" si="26"/>
        <v>H181918W5744CP-B</v>
      </c>
      <c r="B1683" s="35" t="s">
        <v>1048</v>
      </c>
      <c r="C1683" s="35" t="s">
        <v>2189</v>
      </c>
      <c r="D1683" s="35" t="s">
        <v>404</v>
      </c>
      <c r="E1683" s="35" t="s">
        <v>2339</v>
      </c>
      <c r="F1683" s="35" t="s">
        <v>402</v>
      </c>
      <c r="G1683" s="35" t="s">
        <v>403</v>
      </c>
      <c r="H1683" s="35">
        <v>2124</v>
      </c>
    </row>
    <row r="1684" spans="1:8" ht="15.75" x14ac:dyDescent="0.25">
      <c r="A1684" t="str">
        <f t="shared" si="26"/>
        <v>H181920W5744CP-B</v>
      </c>
      <c r="B1684" s="35" t="s">
        <v>1048</v>
      </c>
      <c r="C1684" s="35" t="s">
        <v>2190</v>
      </c>
      <c r="D1684" s="35" t="s">
        <v>404</v>
      </c>
      <c r="E1684" s="35" t="s">
        <v>2339</v>
      </c>
      <c r="F1684" s="35" t="s">
        <v>402</v>
      </c>
      <c r="G1684" s="35" t="s">
        <v>403</v>
      </c>
      <c r="H1684" s="35">
        <v>204</v>
      </c>
    </row>
    <row r="1685" spans="1:8" ht="15.75" x14ac:dyDescent="0.25">
      <c r="A1685" t="str">
        <f t="shared" si="26"/>
        <v>H181919W5744CP-B</v>
      </c>
      <c r="B1685" s="35" t="s">
        <v>1048</v>
      </c>
      <c r="C1685" s="35" t="s">
        <v>2191</v>
      </c>
      <c r="D1685" s="35" t="s">
        <v>404</v>
      </c>
      <c r="E1685" s="35" t="s">
        <v>2339</v>
      </c>
      <c r="F1685" s="35" t="s">
        <v>402</v>
      </c>
      <c r="G1685" s="35" t="s">
        <v>403</v>
      </c>
      <c r="H1685" s="35">
        <v>204</v>
      </c>
    </row>
    <row r="1686" spans="1:8" ht="15.75" x14ac:dyDescent="0.25">
      <c r="A1686" t="str">
        <f t="shared" si="26"/>
        <v>7886644ML515BLK-D</v>
      </c>
      <c r="B1686" s="35" t="s">
        <v>898</v>
      </c>
      <c r="C1686" s="35" t="s">
        <v>2192</v>
      </c>
      <c r="D1686" s="35" t="s">
        <v>394</v>
      </c>
      <c r="E1686" s="35" t="s">
        <v>2340</v>
      </c>
      <c r="F1686" s="35" t="s">
        <v>382</v>
      </c>
      <c r="G1686" s="35" t="s">
        <v>396</v>
      </c>
      <c r="H1686" s="35">
        <v>300</v>
      </c>
    </row>
    <row r="1687" spans="1:8" ht="15.75" x14ac:dyDescent="0.25">
      <c r="A1687" t="str">
        <f t="shared" si="26"/>
        <v>H189864ML515BLK-D</v>
      </c>
      <c r="B1687" s="35" t="s">
        <v>898</v>
      </c>
      <c r="C1687" s="35" t="s">
        <v>2193</v>
      </c>
      <c r="D1687" s="35" t="s">
        <v>404</v>
      </c>
      <c r="E1687" s="35" t="s">
        <v>2340</v>
      </c>
      <c r="F1687" s="35" t="s">
        <v>524</v>
      </c>
      <c r="G1687" s="35" t="s">
        <v>525</v>
      </c>
      <c r="H1687" s="35">
        <v>168</v>
      </c>
    </row>
    <row r="1688" spans="1:8" ht="15.75" x14ac:dyDescent="0.25">
      <c r="A1688" t="str">
        <f t="shared" si="26"/>
        <v>7886642ML515GRY-D</v>
      </c>
      <c r="B1688" s="35" t="s">
        <v>899</v>
      </c>
      <c r="C1688" s="35" t="s">
        <v>2194</v>
      </c>
      <c r="D1688" s="35" t="s">
        <v>394</v>
      </c>
      <c r="E1688" s="35" t="s">
        <v>2340</v>
      </c>
      <c r="F1688" s="35" t="s">
        <v>382</v>
      </c>
      <c r="G1688" s="35" t="s">
        <v>396</v>
      </c>
      <c r="H1688" s="35">
        <v>348</v>
      </c>
    </row>
    <row r="1689" spans="1:8" ht="15.75" x14ac:dyDescent="0.25">
      <c r="A1689" t="str">
        <f t="shared" si="26"/>
        <v>7886674ML515NVY-D</v>
      </c>
      <c r="B1689" s="35" t="s">
        <v>897</v>
      </c>
      <c r="C1689" s="35" t="s">
        <v>2195</v>
      </c>
      <c r="D1689" s="35" t="s">
        <v>394</v>
      </c>
      <c r="E1689" s="35" t="s">
        <v>2340</v>
      </c>
      <c r="F1689" s="35" t="s">
        <v>382</v>
      </c>
      <c r="G1689" s="35" t="s">
        <v>396</v>
      </c>
      <c r="H1689" s="35">
        <v>348</v>
      </c>
    </row>
    <row r="1690" spans="1:8" ht="15.75" x14ac:dyDescent="0.25">
      <c r="A1690" t="str">
        <f t="shared" si="26"/>
        <v>7886662ML515WHT-D</v>
      </c>
      <c r="B1690" s="35" t="s">
        <v>896</v>
      </c>
      <c r="C1690" s="35" t="s">
        <v>2196</v>
      </c>
      <c r="D1690" s="35" t="s">
        <v>394</v>
      </c>
      <c r="E1690" s="35" t="s">
        <v>2340</v>
      </c>
      <c r="F1690" s="35" t="s">
        <v>382</v>
      </c>
      <c r="G1690" s="35" t="s">
        <v>396</v>
      </c>
      <c r="H1690" s="35">
        <v>300</v>
      </c>
    </row>
    <row r="1691" spans="1:8" ht="15.75" x14ac:dyDescent="0.25">
      <c r="A1691" t="str">
        <f t="shared" si="26"/>
        <v>H177009ML515BLK-D</v>
      </c>
      <c r="B1691" s="35" t="s">
        <v>898</v>
      </c>
      <c r="C1691" s="35" t="s">
        <v>2197</v>
      </c>
      <c r="D1691" s="35" t="s">
        <v>404</v>
      </c>
      <c r="E1691" s="35" t="s">
        <v>2340</v>
      </c>
      <c r="F1691" s="35" t="s">
        <v>524</v>
      </c>
      <c r="G1691" s="35" t="s">
        <v>525</v>
      </c>
      <c r="H1691" s="35">
        <v>144</v>
      </c>
    </row>
    <row r="1692" spans="1:8" ht="15.75" x14ac:dyDescent="0.25">
      <c r="A1692" t="str">
        <f t="shared" si="26"/>
        <v>H177057ML515NVY-D</v>
      </c>
      <c r="B1692" s="35" t="s">
        <v>897</v>
      </c>
      <c r="C1692" s="35" t="s">
        <v>2198</v>
      </c>
      <c r="D1692" s="35" t="s">
        <v>404</v>
      </c>
      <c r="E1692" s="35" t="s">
        <v>2340</v>
      </c>
      <c r="F1692" s="35" t="s">
        <v>524</v>
      </c>
      <c r="G1692" s="35" t="s">
        <v>525</v>
      </c>
      <c r="H1692" s="35">
        <v>504</v>
      </c>
    </row>
    <row r="1693" spans="1:8" ht="15.75" x14ac:dyDescent="0.25">
      <c r="A1693" t="str">
        <f t="shared" si="26"/>
        <v>H177052WL515WHT-B</v>
      </c>
      <c r="B1693" s="35" t="s">
        <v>901</v>
      </c>
      <c r="C1693" s="35" t="s">
        <v>2199</v>
      </c>
      <c r="D1693" s="35" t="s">
        <v>404</v>
      </c>
      <c r="E1693" s="35" t="s">
        <v>2339</v>
      </c>
      <c r="F1693" s="35" t="s">
        <v>524</v>
      </c>
      <c r="G1693" s="35" t="s">
        <v>525</v>
      </c>
      <c r="H1693" s="35">
        <v>798</v>
      </c>
    </row>
    <row r="1694" spans="1:8" ht="15.75" x14ac:dyDescent="0.25">
      <c r="A1694" t="str">
        <f t="shared" si="26"/>
        <v>H177639G90601ND-M</v>
      </c>
      <c r="B1694" s="35" t="s">
        <v>1038</v>
      </c>
      <c r="C1694" s="35" t="s">
        <v>2200</v>
      </c>
      <c r="D1694" s="35" t="s">
        <v>404</v>
      </c>
      <c r="E1694" s="35" t="s">
        <v>2337</v>
      </c>
      <c r="F1694" s="35" t="s">
        <v>434</v>
      </c>
      <c r="G1694" s="35" t="s">
        <v>435</v>
      </c>
      <c r="H1694" s="35">
        <v>402</v>
      </c>
    </row>
    <row r="1695" spans="1:8" ht="15.75" x14ac:dyDescent="0.25">
      <c r="A1695" t="str">
        <f t="shared" si="26"/>
        <v>7881269G90601ND-M</v>
      </c>
      <c r="B1695" s="35" t="s">
        <v>1038</v>
      </c>
      <c r="C1695" s="35" t="s">
        <v>2201</v>
      </c>
      <c r="D1695" s="35" t="s">
        <v>387</v>
      </c>
      <c r="E1695" s="35" t="s">
        <v>2337</v>
      </c>
      <c r="F1695" s="35" t="s">
        <v>385</v>
      </c>
      <c r="G1695" s="35" t="s">
        <v>386</v>
      </c>
      <c r="H1695" s="35">
        <v>144</v>
      </c>
    </row>
    <row r="1696" spans="1:8" ht="15.75" x14ac:dyDescent="0.25">
      <c r="A1696" t="str">
        <f t="shared" si="26"/>
        <v>U158364G90601ND-M</v>
      </c>
      <c r="B1696" s="35" t="s">
        <v>1038</v>
      </c>
      <c r="C1696" s="35" t="s">
        <v>2202</v>
      </c>
      <c r="D1696" s="35" t="s">
        <v>438</v>
      </c>
      <c r="E1696" s="35" t="s">
        <v>2337</v>
      </c>
      <c r="F1696" s="35" t="s">
        <v>436</v>
      </c>
      <c r="G1696" s="35" t="s">
        <v>2288</v>
      </c>
      <c r="H1696" s="35">
        <v>504</v>
      </c>
    </row>
    <row r="1697" spans="1:8" ht="15.75" x14ac:dyDescent="0.25">
      <c r="A1697" t="str">
        <f t="shared" si="26"/>
        <v>U158377G90601ND-M</v>
      </c>
      <c r="B1697" s="35" t="s">
        <v>1038</v>
      </c>
      <c r="C1697" s="35" t="s">
        <v>2203</v>
      </c>
      <c r="D1697" s="35" t="s">
        <v>438</v>
      </c>
      <c r="E1697" s="35" t="s">
        <v>2337</v>
      </c>
      <c r="F1697" s="35" t="s">
        <v>436</v>
      </c>
      <c r="G1697" s="35" t="s">
        <v>448</v>
      </c>
      <c r="H1697" s="35">
        <v>1800</v>
      </c>
    </row>
    <row r="1698" spans="1:8" ht="15.75" x14ac:dyDescent="0.25">
      <c r="A1698" t="str">
        <f t="shared" si="26"/>
        <v>C136635G90606AX-M</v>
      </c>
      <c r="B1698" s="35" t="s">
        <v>1016</v>
      </c>
      <c r="C1698" s="35" t="s">
        <v>2204</v>
      </c>
      <c r="D1698" s="35" t="s">
        <v>399</v>
      </c>
      <c r="E1698" s="35" t="s">
        <v>2337</v>
      </c>
      <c r="F1698" s="35" t="s">
        <v>397</v>
      </c>
      <c r="G1698" s="35" t="s">
        <v>2325</v>
      </c>
      <c r="H1698" s="35">
        <v>504</v>
      </c>
    </row>
    <row r="1699" spans="1:8" ht="15.75" x14ac:dyDescent="0.25">
      <c r="A1699" t="str">
        <f t="shared" si="26"/>
        <v>U158356G90606AX-M</v>
      </c>
      <c r="B1699" s="35" t="s">
        <v>1016</v>
      </c>
      <c r="C1699" s="35" t="s">
        <v>2205</v>
      </c>
      <c r="D1699" s="35" t="s">
        <v>438</v>
      </c>
      <c r="E1699" s="35" t="s">
        <v>2337</v>
      </c>
      <c r="F1699" s="35" t="s">
        <v>436</v>
      </c>
      <c r="G1699" s="35" t="s">
        <v>449</v>
      </c>
      <c r="H1699" s="35">
        <v>918</v>
      </c>
    </row>
    <row r="1700" spans="1:8" ht="15.75" x14ac:dyDescent="0.25">
      <c r="A1700" t="str">
        <f t="shared" si="26"/>
        <v>U158358G90606AX-M</v>
      </c>
      <c r="B1700" s="35" t="s">
        <v>1016</v>
      </c>
      <c r="C1700" s="35" t="s">
        <v>2206</v>
      </c>
      <c r="D1700" s="35" t="s">
        <v>438</v>
      </c>
      <c r="E1700" s="35" t="s">
        <v>2337</v>
      </c>
      <c r="F1700" s="35" t="s">
        <v>436</v>
      </c>
      <c r="G1700" s="35" t="s">
        <v>2288</v>
      </c>
      <c r="H1700" s="35">
        <v>852</v>
      </c>
    </row>
    <row r="1701" spans="1:8" ht="15.75" x14ac:dyDescent="0.25">
      <c r="A1701" t="str">
        <f t="shared" si="26"/>
        <v>U158360G90606AX-M</v>
      </c>
      <c r="B1701" s="35" t="s">
        <v>1016</v>
      </c>
      <c r="C1701" s="35" t="s">
        <v>2207</v>
      </c>
      <c r="D1701" s="35" t="s">
        <v>438</v>
      </c>
      <c r="E1701" s="35" t="s">
        <v>2337</v>
      </c>
      <c r="F1701" s="35" t="s">
        <v>436</v>
      </c>
      <c r="G1701" s="35" t="s">
        <v>2327</v>
      </c>
      <c r="H1701" s="35">
        <v>1386</v>
      </c>
    </row>
    <row r="1702" spans="1:8" ht="15.75" x14ac:dyDescent="0.25">
      <c r="A1702" t="str">
        <f t="shared" si="26"/>
        <v>U158369G90606AX-M</v>
      </c>
      <c r="B1702" s="35" t="s">
        <v>1016</v>
      </c>
      <c r="C1702" s="35" t="s">
        <v>2208</v>
      </c>
      <c r="D1702" s="35" t="s">
        <v>438</v>
      </c>
      <c r="E1702" s="35" t="s">
        <v>2337</v>
      </c>
      <c r="F1702" s="35" t="s">
        <v>436</v>
      </c>
      <c r="G1702" s="35" t="s">
        <v>2288</v>
      </c>
      <c r="H1702" s="35">
        <v>567</v>
      </c>
    </row>
    <row r="1703" spans="1:8" ht="15.75" x14ac:dyDescent="0.25">
      <c r="A1703" t="str">
        <f t="shared" si="26"/>
        <v>U158371G90606AX-M</v>
      </c>
      <c r="B1703" s="35" t="s">
        <v>1016</v>
      </c>
      <c r="C1703" s="35" t="s">
        <v>2209</v>
      </c>
      <c r="D1703" s="35" t="s">
        <v>438</v>
      </c>
      <c r="E1703" s="35" t="s">
        <v>2337</v>
      </c>
      <c r="F1703" s="35" t="s">
        <v>436</v>
      </c>
      <c r="G1703" s="35" t="s">
        <v>449</v>
      </c>
      <c r="H1703" s="35">
        <v>570</v>
      </c>
    </row>
    <row r="1704" spans="1:8" ht="15.75" x14ac:dyDescent="0.25">
      <c r="A1704" t="str">
        <f t="shared" si="26"/>
        <v>U158372G90606AX-M</v>
      </c>
      <c r="B1704" s="35" t="s">
        <v>1016</v>
      </c>
      <c r="C1704" s="35" t="s">
        <v>2210</v>
      </c>
      <c r="D1704" s="35" t="s">
        <v>438</v>
      </c>
      <c r="E1704" s="35" t="s">
        <v>2337</v>
      </c>
      <c r="F1704" s="35" t="s">
        <v>436</v>
      </c>
      <c r="G1704" s="35" t="s">
        <v>451</v>
      </c>
      <c r="H1704" s="35">
        <v>1020</v>
      </c>
    </row>
    <row r="1705" spans="1:8" ht="15.75" x14ac:dyDescent="0.25">
      <c r="A1705" t="str">
        <f t="shared" si="26"/>
        <v>U158375G90606AX-M</v>
      </c>
      <c r="B1705" s="35" t="s">
        <v>1016</v>
      </c>
      <c r="C1705" s="35" t="s">
        <v>2211</v>
      </c>
      <c r="D1705" s="35" t="s">
        <v>438</v>
      </c>
      <c r="E1705" s="35" t="s">
        <v>2337</v>
      </c>
      <c r="F1705" s="35" t="s">
        <v>436</v>
      </c>
      <c r="G1705" s="35" t="s">
        <v>503</v>
      </c>
      <c r="H1705" s="35">
        <v>1392</v>
      </c>
    </row>
    <row r="1706" spans="1:8" ht="15.75" x14ac:dyDescent="0.25">
      <c r="A1706" t="str">
        <f t="shared" si="26"/>
        <v>U158380G90606AX-M</v>
      </c>
      <c r="B1706" s="35" t="s">
        <v>1016</v>
      </c>
      <c r="C1706" s="35" t="s">
        <v>2212</v>
      </c>
      <c r="D1706" s="35" t="s">
        <v>438</v>
      </c>
      <c r="E1706" s="35" t="s">
        <v>2337</v>
      </c>
      <c r="F1706" s="35" t="s">
        <v>436</v>
      </c>
      <c r="G1706" s="35" t="s">
        <v>450</v>
      </c>
      <c r="H1706" s="35">
        <v>546</v>
      </c>
    </row>
    <row r="1707" spans="1:8" ht="15.75" x14ac:dyDescent="0.25">
      <c r="A1707" t="str">
        <f t="shared" si="26"/>
        <v>U158381G90606AX-M</v>
      </c>
      <c r="B1707" s="35" t="s">
        <v>1016</v>
      </c>
      <c r="C1707" s="35" t="s">
        <v>2213</v>
      </c>
      <c r="D1707" s="35" t="s">
        <v>438</v>
      </c>
      <c r="E1707" s="35" t="s">
        <v>2337</v>
      </c>
      <c r="F1707" s="35" t="s">
        <v>436</v>
      </c>
      <c r="G1707" s="35" t="s">
        <v>451</v>
      </c>
      <c r="H1707" s="35">
        <v>570</v>
      </c>
    </row>
    <row r="1708" spans="1:8" ht="15.75" x14ac:dyDescent="0.25">
      <c r="A1708" t="str">
        <f t="shared" si="26"/>
        <v>H195695GC9060ER-M</v>
      </c>
      <c r="B1708" s="35" t="s">
        <v>1014</v>
      </c>
      <c r="C1708" s="35" t="s">
        <v>2214</v>
      </c>
      <c r="D1708" s="35" t="s">
        <v>404</v>
      </c>
      <c r="E1708" s="35" t="s">
        <v>2337</v>
      </c>
      <c r="F1708" s="35" t="s">
        <v>414</v>
      </c>
      <c r="G1708" s="35" t="s">
        <v>415</v>
      </c>
      <c r="H1708" s="35">
        <v>1176</v>
      </c>
    </row>
    <row r="1709" spans="1:8" ht="15.75" x14ac:dyDescent="0.25">
      <c r="A1709" t="str">
        <f t="shared" si="26"/>
        <v>U158368I9060819-M</v>
      </c>
      <c r="B1709" s="35" t="s">
        <v>1029</v>
      </c>
      <c r="C1709" s="35" t="s">
        <v>2215</v>
      </c>
      <c r="D1709" s="35" t="s">
        <v>438</v>
      </c>
      <c r="E1709" s="35" t="s">
        <v>2337</v>
      </c>
      <c r="F1709" s="35" t="s">
        <v>436</v>
      </c>
      <c r="G1709" s="35" t="s">
        <v>2288</v>
      </c>
      <c r="H1709" s="35">
        <v>1251</v>
      </c>
    </row>
    <row r="1710" spans="1:8" ht="15.75" x14ac:dyDescent="0.25">
      <c r="A1710" t="str">
        <f t="shared" si="26"/>
        <v>U158378I9060819-M</v>
      </c>
      <c r="B1710" s="35" t="s">
        <v>1029</v>
      </c>
      <c r="C1710" s="35" t="s">
        <v>2216</v>
      </c>
      <c r="D1710" s="35" t="s">
        <v>438</v>
      </c>
      <c r="E1710" s="35" t="s">
        <v>2337</v>
      </c>
      <c r="F1710" s="35" t="s">
        <v>436</v>
      </c>
      <c r="G1710" s="35" t="s">
        <v>2288</v>
      </c>
      <c r="H1710" s="35">
        <v>2250</v>
      </c>
    </row>
    <row r="1711" spans="1:8" ht="15.75" x14ac:dyDescent="0.25">
      <c r="A1711" t="str">
        <f t="shared" si="26"/>
        <v>U158366P90602XV-M</v>
      </c>
      <c r="B1711" s="35" t="s">
        <v>991</v>
      </c>
      <c r="C1711" s="35" t="s">
        <v>2217</v>
      </c>
      <c r="D1711" s="35" t="s">
        <v>438</v>
      </c>
      <c r="E1711" s="35" t="s">
        <v>2337</v>
      </c>
      <c r="F1711" s="35" t="s">
        <v>436</v>
      </c>
      <c r="G1711" s="35" t="s">
        <v>503</v>
      </c>
      <c r="H1711" s="35">
        <v>810</v>
      </c>
    </row>
    <row r="1712" spans="1:8" ht="15.75" x14ac:dyDescent="0.25">
      <c r="A1712" t="str">
        <f t="shared" si="26"/>
        <v>U158374P90602XV-M</v>
      </c>
      <c r="B1712" s="35" t="s">
        <v>991</v>
      </c>
      <c r="C1712" s="35" t="s">
        <v>2218</v>
      </c>
      <c r="D1712" s="35" t="s">
        <v>438</v>
      </c>
      <c r="E1712" s="35" t="s">
        <v>2337</v>
      </c>
      <c r="F1712" s="35" t="s">
        <v>436</v>
      </c>
      <c r="G1712" s="35" t="s">
        <v>449</v>
      </c>
      <c r="H1712" s="35">
        <v>1002</v>
      </c>
    </row>
    <row r="1713" spans="1:8" ht="15.75" x14ac:dyDescent="0.25">
      <c r="A1713" t="str">
        <f t="shared" si="26"/>
        <v>U158376P90602XV-M</v>
      </c>
      <c r="B1713" s="35" t="s">
        <v>991</v>
      </c>
      <c r="C1713" s="35" t="s">
        <v>2219</v>
      </c>
      <c r="D1713" s="35" t="s">
        <v>438</v>
      </c>
      <c r="E1713" s="35" t="s">
        <v>2337</v>
      </c>
      <c r="F1713" s="35" t="s">
        <v>436</v>
      </c>
      <c r="G1713" s="35" t="s">
        <v>2288</v>
      </c>
      <c r="H1713" s="35">
        <v>504</v>
      </c>
    </row>
    <row r="1714" spans="1:8" ht="15.75" x14ac:dyDescent="0.25">
      <c r="A1714" t="str">
        <f t="shared" si="26"/>
        <v>U158379P90602XV-M</v>
      </c>
      <c r="B1714" s="35" t="s">
        <v>991</v>
      </c>
      <c r="C1714" s="35" t="s">
        <v>2220</v>
      </c>
      <c r="D1714" s="35" t="s">
        <v>438</v>
      </c>
      <c r="E1714" s="35" t="s">
        <v>2337</v>
      </c>
      <c r="F1714" s="35" t="s">
        <v>436</v>
      </c>
      <c r="G1714" s="35" t="s">
        <v>2327</v>
      </c>
      <c r="H1714" s="35">
        <v>792</v>
      </c>
    </row>
    <row r="1715" spans="1:8" ht="15.75" x14ac:dyDescent="0.25">
      <c r="A1715" t="str">
        <f t="shared" si="26"/>
        <v>U158353P90604TZ-M</v>
      </c>
      <c r="B1715" s="35" t="s">
        <v>997</v>
      </c>
      <c r="C1715" s="35" t="s">
        <v>2221</v>
      </c>
      <c r="D1715" s="35" t="s">
        <v>438</v>
      </c>
      <c r="E1715" s="35" t="s">
        <v>2337</v>
      </c>
      <c r="F1715" s="35" t="s">
        <v>436</v>
      </c>
      <c r="G1715" s="35" t="s">
        <v>2288</v>
      </c>
      <c r="H1715" s="35">
        <v>588</v>
      </c>
    </row>
    <row r="1716" spans="1:8" ht="15.75" x14ac:dyDescent="0.25">
      <c r="A1716" t="str">
        <f t="shared" si="26"/>
        <v>H195741U5745I2-D</v>
      </c>
      <c r="B1716" s="35" t="s">
        <v>1056</v>
      </c>
      <c r="C1716" s="35" t="s">
        <v>2222</v>
      </c>
      <c r="D1716" s="35" t="s">
        <v>404</v>
      </c>
      <c r="E1716" s="35" t="s">
        <v>2340</v>
      </c>
      <c r="F1716" s="35" t="s">
        <v>414</v>
      </c>
      <c r="G1716" s="35" t="s">
        <v>415</v>
      </c>
      <c r="H1716" s="35">
        <v>240</v>
      </c>
    </row>
    <row r="1717" spans="1:8" ht="15.75" x14ac:dyDescent="0.25">
      <c r="A1717" t="str">
        <f t="shared" si="26"/>
        <v>H195742U5745I2-D</v>
      </c>
      <c r="B1717" s="35" t="s">
        <v>1056</v>
      </c>
      <c r="C1717" s="35" t="s">
        <v>2223</v>
      </c>
      <c r="D1717" s="35" t="s">
        <v>404</v>
      </c>
      <c r="E1717" s="35" t="s">
        <v>2340</v>
      </c>
      <c r="F1717" s="35" t="s">
        <v>2294</v>
      </c>
      <c r="G1717" s="35" t="s">
        <v>2295</v>
      </c>
      <c r="H1717" s="35">
        <v>78</v>
      </c>
    </row>
    <row r="1718" spans="1:8" ht="15.75" x14ac:dyDescent="0.25">
      <c r="A1718" t="str">
        <f t="shared" si="26"/>
        <v>H195743U5745I2-D</v>
      </c>
      <c r="B1718" s="35" t="s">
        <v>1056</v>
      </c>
      <c r="C1718" s="35" t="s">
        <v>2224</v>
      </c>
      <c r="D1718" s="35" t="s">
        <v>404</v>
      </c>
      <c r="E1718" s="35" t="s">
        <v>2340</v>
      </c>
      <c r="F1718" s="35" t="s">
        <v>2286</v>
      </c>
      <c r="G1718" s="35" t="s">
        <v>2287</v>
      </c>
      <c r="H1718" s="35">
        <v>4188</v>
      </c>
    </row>
    <row r="1719" spans="1:8" ht="15.75" x14ac:dyDescent="0.25">
      <c r="A1719" t="str">
        <f t="shared" si="26"/>
        <v>U158346WL515GRY-B</v>
      </c>
      <c r="B1719" s="35" t="s">
        <v>900</v>
      </c>
      <c r="C1719" s="35" t="s">
        <v>2225</v>
      </c>
      <c r="D1719" s="35" t="s">
        <v>438</v>
      </c>
      <c r="E1719" s="35" t="s">
        <v>2339</v>
      </c>
      <c r="F1719" s="35" t="s">
        <v>436</v>
      </c>
      <c r="G1719" s="35" t="s">
        <v>459</v>
      </c>
      <c r="H1719" s="35">
        <v>504</v>
      </c>
    </row>
    <row r="1720" spans="1:8" ht="15.75" x14ac:dyDescent="0.25">
      <c r="A1720" t="str">
        <f t="shared" si="26"/>
        <v>C136561I57425Y-M</v>
      </c>
      <c r="B1720" s="35" t="s">
        <v>909</v>
      </c>
      <c r="C1720" s="35" t="s">
        <v>2226</v>
      </c>
      <c r="D1720" s="35" t="s">
        <v>401</v>
      </c>
      <c r="E1720" s="35" t="s">
        <v>2337</v>
      </c>
      <c r="F1720" s="35" t="s">
        <v>397</v>
      </c>
      <c r="G1720" s="35" t="s">
        <v>400</v>
      </c>
      <c r="H1720" s="35">
        <v>156</v>
      </c>
    </row>
    <row r="1721" spans="1:8" ht="15.75" x14ac:dyDescent="0.25">
      <c r="A1721" t="str">
        <f t="shared" si="26"/>
        <v>C136561I57425Y-W</v>
      </c>
      <c r="B1721" s="35" t="s">
        <v>909</v>
      </c>
      <c r="C1721" s="35" t="s">
        <v>2226</v>
      </c>
      <c r="D1721" s="35" t="s">
        <v>401</v>
      </c>
      <c r="E1721" s="35" t="s">
        <v>2338</v>
      </c>
      <c r="F1721" s="35" t="s">
        <v>397</v>
      </c>
      <c r="G1721" s="35" t="s">
        <v>400</v>
      </c>
      <c r="H1721" s="35">
        <v>12</v>
      </c>
    </row>
    <row r="1722" spans="1:8" ht="15.75" x14ac:dyDescent="0.25">
      <c r="A1722" t="str">
        <f t="shared" si="26"/>
        <v>C136498I57429D-M</v>
      </c>
      <c r="B1722" s="35" t="s">
        <v>910</v>
      </c>
      <c r="C1722" s="35" t="s">
        <v>2227</v>
      </c>
      <c r="D1722" s="35" t="s">
        <v>401</v>
      </c>
      <c r="E1722" s="35" t="s">
        <v>2337</v>
      </c>
      <c r="F1722" s="35" t="s">
        <v>397</v>
      </c>
      <c r="G1722" s="35" t="s">
        <v>400</v>
      </c>
      <c r="H1722" s="35">
        <v>132</v>
      </c>
    </row>
    <row r="1723" spans="1:8" ht="15.75" x14ac:dyDescent="0.25">
      <c r="A1723" t="str">
        <f t="shared" si="26"/>
        <v>C136498I57429D-W</v>
      </c>
      <c r="B1723" s="35" t="s">
        <v>910</v>
      </c>
      <c r="C1723" s="35" t="s">
        <v>2227</v>
      </c>
      <c r="D1723" s="35" t="s">
        <v>401</v>
      </c>
      <c r="E1723" s="35" t="s">
        <v>2338</v>
      </c>
      <c r="F1723" s="35" t="s">
        <v>397</v>
      </c>
      <c r="G1723" s="35" t="s">
        <v>400</v>
      </c>
      <c r="H1723" s="35">
        <v>18</v>
      </c>
    </row>
    <row r="1724" spans="1:8" ht="15.75" x14ac:dyDescent="0.25">
      <c r="A1724" t="str">
        <f t="shared" si="26"/>
        <v>H195384U5745I2-D</v>
      </c>
      <c r="B1724" s="35" t="s">
        <v>1056</v>
      </c>
      <c r="C1724" s="35" t="s">
        <v>2228</v>
      </c>
      <c r="D1724" s="35" t="s">
        <v>411</v>
      </c>
      <c r="E1724" s="35" t="s">
        <v>2340</v>
      </c>
      <c r="F1724" s="35" t="s">
        <v>409</v>
      </c>
      <c r="G1724" s="35" t="s">
        <v>410</v>
      </c>
      <c r="H1724" s="35">
        <v>1860</v>
      </c>
    </row>
    <row r="1725" spans="1:8" ht="15.75" x14ac:dyDescent="0.25">
      <c r="A1725" t="str">
        <f t="shared" si="26"/>
        <v>H195436U5745I2-D</v>
      </c>
      <c r="B1725" s="35" t="s">
        <v>1056</v>
      </c>
      <c r="C1725" s="35" t="s">
        <v>2229</v>
      </c>
      <c r="D1725" s="35" t="s">
        <v>404</v>
      </c>
      <c r="E1725" s="35" t="s">
        <v>2340</v>
      </c>
      <c r="F1725" s="35" t="s">
        <v>414</v>
      </c>
      <c r="G1725" s="35" t="s">
        <v>415</v>
      </c>
      <c r="H1725" s="35">
        <v>300</v>
      </c>
    </row>
    <row r="1726" spans="1:8" ht="15.75" x14ac:dyDescent="0.25">
      <c r="A1726" t="str">
        <f t="shared" si="26"/>
        <v>H195504U5745I2-D</v>
      </c>
      <c r="B1726" s="35" t="s">
        <v>1056</v>
      </c>
      <c r="C1726" s="35" t="s">
        <v>2230</v>
      </c>
      <c r="D1726" s="35" t="s">
        <v>404</v>
      </c>
      <c r="E1726" s="35" t="s">
        <v>2340</v>
      </c>
      <c r="F1726" s="35" t="s">
        <v>405</v>
      </c>
      <c r="G1726" s="35" t="s">
        <v>406</v>
      </c>
      <c r="H1726" s="35">
        <v>768</v>
      </c>
    </row>
    <row r="1727" spans="1:8" ht="15.75" x14ac:dyDescent="0.25">
      <c r="A1727" t="str">
        <f t="shared" si="26"/>
        <v>H195523U5745I2-D</v>
      </c>
      <c r="B1727" s="35" t="s">
        <v>1056</v>
      </c>
      <c r="C1727" s="35" t="s">
        <v>2231</v>
      </c>
      <c r="D1727" s="35" t="s">
        <v>404</v>
      </c>
      <c r="E1727" s="35" t="s">
        <v>2340</v>
      </c>
      <c r="F1727" s="35" t="s">
        <v>412</v>
      </c>
      <c r="G1727" s="35" t="s">
        <v>413</v>
      </c>
      <c r="H1727" s="35">
        <v>474</v>
      </c>
    </row>
    <row r="1728" spans="1:8" ht="15.75" x14ac:dyDescent="0.25">
      <c r="A1728" t="str">
        <f t="shared" si="26"/>
        <v>C136535WL515BLK-B</v>
      </c>
      <c r="B1728" s="35" t="s">
        <v>1066</v>
      </c>
      <c r="C1728" s="35" t="s">
        <v>2232</v>
      </c>
      <c r="D1728" s="35" t="s">
        <v>401</v>
      </c>
      <c r="E1728" s="35" t="s">
        <v>2339</v>
      </c>
      <c r="F1728" s="35" t="s">
        <v>397</v>
      </c>
      <c r="G1728" s="35" t="s">
        <v>400</v>
      </c>
      <c r="H1728" s="35">
        <v>306</v>
      </c>
    </row>
    <row r="1729" spans="1:8" ht="15.75" x14ac:dyDescent="0.25">
      <c r="A1729" t="str">
        <f t="shared" si="26"/>
        <v>C136535WL515BLK-D</v>
      </c>
      <c r="B1729" s="35" t="s">
        <v>1066</v>
      </c>
      <c r="C1729" s="35" t="s">
        <v>2232</v>
      </c>
      <c r="D1729" s="35" t="s">
        <v>401</v>
      </c>
      <c r="E1729" s="35" t="s">
        <v>2340</v>
      </c>
      <c r="F1729" s="35" t="s">
        <v>397</v>
      </c>
      <c r="G1729" s="35" t="s">
        <v>400</v>
      </c>
      <c r="H1729" s="35">
        <v>30</v>
      </c>
    </row>
    <row r="1730" spans="1:8" ht="15.75" x14ac:dyDescent="0.25">
      <c r="A1730" t="str">
        <f t="shared" si="26"/>
        <v>U157700WL515BLK-B</v>
      </c>
      <c r="B1730" s="35" t="s">
        <v>1066</v>
      </c>
      <c r="C1730" s="35" t="s">
        <v>2233</v>
      </c>
      <c r="D1730" s="35" t="s">
        <v>438</v>
      </c>
      <c r="E1730" s="35" t="s">
        <v>2339</v>
      </c>
      <c r="F1730" s="35" t="s">
        <v>436</v>
      </c>
      <c r="G1730" s="35" t="s">
        <v>459</v>
      </c>
      <c r="H1730" s="35">
        <v>504</v>
      </c>
    </row>
    <row r="1731" spans="1:8" ht="15.75" x14ac:dyDescent="0.25">
      <c r="A1731" t="str">
        <f t="shared" si="26"/>
        <v>U157701WL515BLK-B</v>
      </c>
      <c r="B1731" s="35" t="s">
        <v>1066</v>
      </c>
      <c r="C1731" s="35" t="s">
        <v>2234</v>
      </c>
      <c r="D1731" s="35" t="s">
        <v>438</v>
      </c>
      <c r="E1731" s="35" t="s">
        <v>2339</v>
      </c>
      <c r="F1731" s="35" t="s">
        <v>436</v>
      </c>
      <c r="G1731" s="35" t="s">
        <v>459</v>
      </c>
      <c r="H1731" s="35">
        <v>516</v>
      </c>
    </row>
    <row r="1732" spans="1:8" ht="15.75" x14ac:dyDescent="0.25">
      <c r="A1732" t="str">
        <f t="shared" si="26"/>
        <v>C136539WL515WHT-B</v>
      </c>
      <c r="B1732" s="35" t="s">
        <v>901</v>
      </c>
      <c r="C1732" s="35" t="s">
        <v>2235</v>
      </c>
      <c r="D1732" s="35" t="s">
        <v>401</v>
      </c>
      <c r="E1732" s="35" t="s">
        <v>2339</v>
      </c>
      <c r="F1732" s="35" t="s">
        <v>397</v>
      </c>
      <c r="G1732" s="35" t="s">
        <v>400</v>
      </c>
      <c r="H1732" s="35">
        <v>480</v>
      </c>
    </row>
    <row r="1733" spans="1:8" ht="15.75" x14ac:dyDescent="0.25">
      <c r="A1733" t="str">
        <f t="shared" si="26"/>
        <v>U157704WL515WHT-B</v>
      </c>
      <c r="B1733" s="35" t="s">
        <v>901</v>
      </c>
      <c r="C1733" s="35" t="s">
        <v>2236</v>
      </c>
      <c r="D1733" s="35" t="s">
        <v>438</v>
      </c>
      <c r="E1733" s="35" t="s">
        <v>2339</v>
      </c>
      <c r="F1733" s="35" t="s">
        <v>436</v>
      </c>
      <c r="G1733" s="35" t="s">
        <v>459</v>
      </c>
      <c r="H1733" s="35">
        <v>876</v>
      </c>
    </row>
    <row r="1734" spans="1:8" ht="15.75" x14ac:dyDescent="0.25">
      <c r="A1734" t="str">
        <f t="shared" si="26"/>
        <v>H195211G6037LU-M</v>
      </c>
      <c r="B1734" s="35" t="s">
        <v>889</v>
      </c>
      <c r="C1734" s="35" t="s">
        <v>2237</v>
      </c>
      <c r="D1734" s="35" t="s">
        <v>404</v>
      </c>
      <c r="E1734" s="35" t="s">
        <v>2337</v>
      </c>
      <c r="F1734" s="35" t="s">
        <v>2294</v>
      </c>
      <c r="G1734" s="35" t="s">
        <v>2295</v>
      </c>
      <c r="H1734" s="35">
        <v>84</v>
      </c>
    </row>
    <row r="1735" spans="1:8" ht="15.75" x14ac:dyDescent="0.25">
      <c r="A1735" t="str">
        <f t="shared" ref="A1735:A1787" si="27">+C1735&amp;B1735&amp;"-"&amp;E1735</f>
        <v>H195211G6037LU-W</v>
      </c>
      <c r="B1735" s="35" t="s">
        <v>889</v>
      </c>
      <c r="C1735" s="35" t="s">
        <v>2237</v>
      </c>
      <c r="D1735" s="35" t="s">
        <v>404</v>
      </c>
      <c r="E1735" s="35" t="s">
        <v>2338</v>
      </c>
      <c r="F1735" s="35" t="s">
        <v>2294</v>
      </c>
      <c r="G1735" s="35" t="s">
        <v>2295</v>
      </c>
      <c r="H1735" s="35">
        <v>60</v>
      </c>
    </row>
    <row r="1736" spans="1:8" ht="15.75" x14ac:dyDescent="0.25">
      <c r="A1736" t="str">
        <f t="shared" si="27"/>
        <v>H195216G6037LU-M</v>
      </c>
      <c r="B1736" s="35" t="s">
        <v>889</v>
      </c>
      <c r="C1736" s="35" t="s">
        <v>2238</v>
      </c>
      <c r="D1736" s="35" t="s">
        <v>404</v>
      </c>
      <c r="E1736" s="35" t="s">
        <v>2337</v>
      </c>
      <c r="F1736" s="35" t="s">
        <v>414</v>
      </c>
      <c r="G1736" s="35" t="s">
        <v>415</v>
      </c>
      <c r="H1736" s="35">
        <v>300</v>
      </c>
    </row>
    <row r="1737" spans="1:8" ht="15.75" x14ac:dyDescent="0.25">
      <c r="A1737" t="str">
        <f t="shared" si="27"/>
        <v>H195216G6037LU-W</v>
      </c>
      <c r="B1737" s="35" t="s">
        <v>889</v>
      </c>
      <c r="C1737" s="35" t="s">
        <v>2238</v>
      </c>
      <c r="D1737" s="35" t="s">
        <v>404</v>
      </c>
      <c r="E1737" s="35" t="s">
        <v>2338</v>
      </c>
      <c r="F1737" s="35" t="s">
        <v>414</v>
      </c>
      <c r="G1737" s="35" t="s">
        <v>415</v>
      </c>
      <c r="H1737" s="35">
        <v>204</v>
      </c>
    </row>
    <row r="1738" spans="1:8" ht="15.75" x14ac:dyDescent="0.25">
      <c r="A1738" t="str">
        <f t="shared" si="27"/>
        <v>C136468G906081P-M</v>
      </c>
      <c r="B1738" s="35" t="s">
        <v>1012</v>
      </c>
      <c r="C1738" s="35" t="s">
        <v>2239</v>
      </c>
      <c r="D1738" s="35" t="s">
        <v>399</v>
      </c>
      <c r="E1738" s="35" t="s">
        <v>2337</v>
      </c>
      <c r="F1738" s="35" t="s">
        <v>397</v>
      </c>
      <c r="G1738" s="35" t="s">
        <v>398</v>
      </c>
      <c r="H1738" s="35">
        <v>600</v>
      </c>
    </row>
    <row r="1739" spans="1:8" ht="15.75" x14ac:dyDescent="0.25">
      <c r="A1739" t="str">
        <f t="shared" si="27"/>
        <v>C136469G906081P-M</v>
      </c>
      <c r="B1739" s="35" t="s">
        <v>1012</v>
      </c>
      <c r="C1739" s="35" t="s">
        <v>2240</v>
      </c>
      <c r="D1739" s="35" t="s">
        <v>399</v>
      </c>
      <c r="E1739" s="35" t="s">
        <v>2337</v>
      </c>
      <c r="F1739" s="35" t="s">
        <v>397</v>
      </c>
      <c r="G1739" s="35" t="s">
        <v>398</v>
      </c>
      <c r="H1739" s="35">
        <v>1200</v>
      </c>
    </row>
    <row r="1740" spans="1:8" ht="15.75" x14ac:dyDescent="0.25">
      <c r="A1740" t="str">
        <f t="shared" si="27"/>
        <v>H195219I60356H-M</v>
      </c>
      <c r="B1740" s="35" t="s">
        <v>936</v>
      </c>
      <c r="C1740" s="35" t="s">
        <v>2241</v>
      </c>
      <c r="D1740" s="35" t="s">
        <v>404</v>
      </c>
      <c r="E1740" s="35" t="s">
        <v>2337</v>
      </c>
      <c r="F1740" s="35" t="s">
        <v>2294</v>
      </c>
      <c r="G1740" s="35" t="s">
        <v>2295</v>
      </c>
      <c r="H1740" s="35">
        <v>84</v>
      </c>
    </row>
    <row r="1741" spans="1:8" ht="15.75" x14ac:dyDescent="0.25">
      <c r="A1741" t="str">
        <f t="shared" si="27"/>
        <v>H195219I60356H-W</v>
      </c>
      <c r="B1741" s="35" t="s">
        <v>936</v>
      </c>
      <c r="C1741" s="35" t="s">
        <v>2241</v>
      </c>
      <c r="D1741" s="35" t="s">
        <v>404</v>
      </c>
      <c r="E1741" s="35" t="s">
        <v>2338</v>
      </c>
      <c r="F1741" s="35" t="s">
        <v>2294</v>
      </c>
      <c r="G1741" s="35" t="s">
        <v>2295</v>
      </c>
      <c r="H1741" s="35">
        <v>60</v>
      </c>
    </row>
    <row r="1742" spans="1:8" ht="15.75" x14ac:dyDescent="0.25">
      <c r="A1742" t="str">
        <f t="shared" si="27"/>
        <v>H195236I60356H-M</v>
      </c>
      <c r="B1742" s="35" t="s">
        <v>936</v>
      </c>
      <c r="C1742" s="35" t="s">
        <v>2242</v>
      </c>
      <c r="D1742" s="35" t="s">
        <v>404</v>
      </c>
      <c r="E1742" s="35" t="s">
        <v>2337</v>
      </c>
      <c r="F1742" s="35" t="s">
        <v>414</v>
      </c>
      <c r="G1742" s="35" t="s">
        <v>415</v>
      </c>
      <c r="H1742" s="35">
        <v>210</v>
      </c>
    </row>
    <row r="1743" spans="1:8" ht="15.75" x14ac:dyDescent="0.25">
      <c r="A1743" t="str">
        <f t="shared" si="27"/>
        <v>H195236I60356H-W</v>
      </c>
      <c r="B1743" s="35" t="s">
        <v>936</v>
      </c>
      <c r="C1743" s="35" t="s">
        <v>2242</v>
      </c>
      <c r="D1743" s="35" t="s">
        <v>404</v>
      </c>
      <c r="E1743" s="35" t="s">
        <v>2338</v>
      </c>
      <c r="F1743" s="35" t="s">
        <v>414</v>
      </c>
      <c r="G1743" s="35" t="s">
        <v>415</v>
      </c>
      <c r="H1743" s="35">
        <v>180</v>
      </c>
    </row>
    <row r="1744" spans="1:8" ht="15.75" x14ac:dyDescent="0.25">
      <c r="A1744" t="str">
        <f t="shared" si="27"/>
        <v>U157254I90605HA-M</v>
      </c>
      <c r="B1744" s="35" t="s">
        <v>1031</v>
      </c>
      <c r="C1744" s="35" t="s">
        <v>2243</v>
      </c>
      <c r="D1744" s="35" t="s">
        <v>438</v>
      </c>
      <c r="E1744" s="35" t="s">
        <v>2337</v>
      </c>
      <c r="F1744" s="35" t="s">
        <v>436</v>
      </c>
      <c r="G1744" s="35" t="s">
        <v>2288</v>
      </c>
      <c r="H1744" s="35">
        <v>1206</v>
      </c>
    </row>
    <row r="1745" spans="1:8" ht="15.75" x14ac:dyDescent="0.25">
      <c r="A1745" t="str">
        <f t="shared" si="27"/>
        <v>U157284I90605HA-M</v>
      </c>
      <c r="B1745" s="35" t="s">
        <v>1031</v>
      </c>
      <c r="C1745" s="35" t="s">
        <v>2244</v>
      </c>
      <c r="D1745" s="35" t="s">
        <v>444</v>
      </c>
      <c r="E1745" s="35" t="s">
        <v>2337</v>
      </c>
      <c r="F1745" s="35" t="s">
        <v>436</v>
      </c>
      <c r="G1745" s="35" t="s">
        <v>443</v>
      </c>
      <c r="H1745" s="35">
        <v>114</v>
      </c>
    </row>
    <row r="1746" spans="1:8" ht="15.75" x14ac:dyDescent="0.25">
      <c r="A1746" t="str">
        <f t="shared" si="27"/>
        <v>U157284I90605HA-W</v>
      </c>
      <c r="B1746" s="35" t="s">
        <v>1031</v>
      </c>
      <c r="C1746" s="35" t="s">
        <v>2244</v>
      </c>
      <c r="D1746" s="35" t="s">
        <v>444</v>
      </c>
      <c r="E1746" s="35" t="s">
        <v>2338</v>
      </c>
      <c r="F1746" s="35" t="s">
        <v>436</v>
      </c>
      <c r="G1746" s="35" t="s">
        <v>443</v>
      </c>
      <c r="H1746" s="35">
        <v>48</v>
      </c>
    </row>
    <row r="1747" spans="1:8" ht="15.75" x14ac:dyDescent="0.25">
      <c r="A1747" t="str">
        <f t="shared" si="27"/>
        <v>U157330I90605HA-M</v>
      </c>
      <c r="B1747" s="35" t="s">
        <v>1031</v>
      </c>
      <c r="C1747" s="35" t="s">
        <v>2245</v>
      </c>
      <c r="D1747" s="35" t="s">
        <v>438</v>
      </c>
      <c r="E1747" s="35" t="s">
        <v>2337</v>
      </c>
      <c r="F1747" s="35" t="s">
        <v>436</v>
      </c>
      <c r="G1747" s="35" t="s">
        <v>503</v>
      </c>
      <c r="H1747" s="35">
        <v>1098</v>
      </c>
    </row>
    <row r="1748" spans="1:8" ht="15.75" x14ac:dyDescent="0.25">
      <c r="A1748" t="str">
        <f t="shared" si="27"/>
        <v>U157337M515C5QO-D</v>
      </c>
      <c r="B1748" s="35" t="s">
        <v>1067</v>
      </c>
      <c r="C1748" s="35" t="s">
        <v>2246</v>
      </c>
      <c r="D1748" s="35" t="s">
        <v>438</v>
      </c>
      <c r="E1748" s="35" t="s">
        <v>2340</v>
      </c>
      <c r="F1748" s="35" t="s">
        <v>436</v>
      </c>
      <c r="G1748" s="35" t="s">
        <v>2323</v>
      </c>
      <c r="H1748" s="35">
        <v>708</v>
      </c>
    </row>
    <row r="1749" spans="1:8" ht="15.75" x14ac:dyDescent="0.25">
      <c r="A1749" t="str">
        <f t="shared" si="27"/>
        <v>U157339M515C5YQ-4E</v>
      </c>
      <c r="B1749" s="35" t="s">
        <v>1068</v>
      </c>
      <c r="C1749" s="35" t="s">
        <v>2247</v>
      </c>
      <c r="D1749" s="35" t="s">
        <v>438</v>
      </c>
      <c r="E1749" s="35" t="s">
        <v>2343</v>
      </c>
      <c r="F1749" s="35" t="s">
        <v>436</v>
      </c>
      <c r="G1749" s="35" t="s">
        <v>2323</v>
      </c>
      <c r="H1749" s="35">
        <v>864</v>
      </c>
    </row>
    <row r="1750" spans="1:8" ht="15.75" x14ac:dyDescent="0.25">
      <c r="A1750" t="str">
        <f t="shared" si="27"/>
        <v>U157334M515C5YQ-D</v>
      </c>
      <c r="B1750" s="35" t="s">
        <v>1068</v>
      </c>
      <c r="C1750" s="35" t="s">
        <v>2248</v>
      </c>
      <c r="D1750" s="35" t="s">
        <v>438</v>
      </c>
      <c r="E1750" s="35" t="s">
        <v>2340</v>
      </c>
      <c r="F1750" s="35" t="s">
        <v>436</v>
      </c>
      <c r="G1750" s="35" t="s">
        <v>2323</v>
      </c>
      <c r="H1750" s="35">
        <v>2268</v>
      </c>
    </row>
    <row r="1751" spans="1:8" ht="15.75" x14ac:dyDescent="0.25">
      <c r="A1751" t="str">
        <f t="shared" si="27"/>
        <v>C136466ML515GRY-2E</v>
      </c>
      <c r="B1751" s="35" t="s">
        <v>899</v>
      </c>
      <c r="C1751" s="35" t="s">
        <v>2249</v>
      </c>
      <c r="D1751" s="35" t="s">
        <v>401</v>
      </c>
      <c r="E1751" s="35" t="s">
        <v>2342</v>
      </c>
      <c r="F1751" s="35" t="s">
        <v>397</v>
      </c>
      <c r="G1751" s="35" t="s">
        <v>400</v>
      </c>
      <c r="H1751" s="35">
        <v>30</v>
      </c>
    </row>
    <row r="1752" spans="1:8" ht="15.75" x14ac:dyDescent="0.25">
      <c r="A1752" t="str">
        <f t="shared" si="27"/>
        <v>C136466ML515GRY-4E</v>
      </c>
      <c r="B1752" s="35" t="s">
        <v>899</v>
      </c>
      <c r="C1752" s="35" t="s">
        <v>2249</v>
      </c>
      <c r="D1752" s="35" t="s">
        <v>401</v>
      </c>
      <c r="E1752" s="35" t="s">
        <v>2343</v>
      </c>
      <c r="F1752" s="35" t="s">
        <v>397</v>
      </c>
      <c r="G1752" s="35" t="s">
        <v>400</v>
      </c>
      <c r="H1752" s="35">
        <v>30</v>
      </c>
    </row>
    <row r="1753" spans="1:8" ht="15.75" x14ac:dyDescent="0.25">
      <c r="A1753" t="str">
        <f t="shared" si="27"/>
        <v>C136466ML515GRY-D</v>
      </c>
      <c r="B1753" s="35" t="s">
        <v>899</v>
      </c>
      <c r="C1753" s="35" t="s">
        <v>2249</v>
      </c>
      <c r="D1753" s="35" t="s">
        <v>401</v>
      </c>
      <c r="E1753" s="35" t="s">
        <v>2340</v>
      </c>
      <c r="F1753" s="35" t="s">
        <v>397</v>
      </c>
      <c r="G1753" s="35" t="s">
        <v>400</v>
      </c>
      <c r="H1753" s="35">
        <v>162</v>
      </c>
    </row>
    <row r="1754" spans="1:8" ht="15.75" x14ac:dyDescent="0.25">
      <c r="A1754" t="str">
        <f t="shared" si="27"/>
        <v>U157233ML515GRY-D</v>
      </c>
      <c r="B1754" s="35" t="s">
        <v>899</v>
      </c>
      <c r="C1754" s="35" t="s">
        <v>2250</v>
      </c>
      <c r="D1754" s="35" t="s">
        <v>438</v>
      </c>
      <c r="E1754" s="35" t="s">
        <v>2340</v>
      </c>
      <c r="F1754" s="35" t="s">
        <v>436</v>
      </c>
      <c r="G1754" s="35" t="s">
        <v>458</v>
      </c>
      <c r="H1754" s="35">
        <v>600</v>
      </c>
    </row>
    <row r="1755" spans="1:8" ht="15.75" x14ac:dyDescent="0.25">
      <c r="A1755" t="str">
        <f t="shared" si="27"/>
        <v>U157311ML515GRY-D</v>
      </c>
      <c r="B1755" s="35" t="s">
        <v>899</v>
      </c>
      <c r="C1755" s="35" t="s">
        <v>2251</v>
      </c>
      <c r="D1755" s="35" t="s">
        <v>438</v>
      </c>
      <c r="E1755" s="35" t="s">
        <v>2340</v>
      </c>
      <c r="F1755" s="35" t="s">
        <v>436</v>
      </c>
      <c r="G1755" s="35" t="s">
        <v>446</v>
      </c>
      <c r="H1755" s="35">
        <v>756</v>
      </c>
    </row>
    <row r="1756" spans="1:8" ht="15.75" x14ac:dyDescent="0.25">
      <c r="A1756" t="str">
        <f t="shared" si="27"/>
        <v>U157316ML515GRY-D</v>
      </c>
      <c r="B1756" s="35" t="s">
        <v>899</v>
      </c>
      <c r="C1756" s="35" t="s">
        <v>2252</v>
      </c>
      <c r="D1756" s="35" t="s">
        <v>438</v>
      </c>
      <c r="E1756" s="35" t="s">
        <v>2340</v>
      </c>
      <c r="F1756" s="35" t="s">
        <v>436</v>
      </c>
      <c r="G1756" s="35" t="s">
        <v>446</v>
      </c>
      <c r="H1756" s="35">
        <v>168</v>
      </c>
    </row>
    <row r="1757" spans="1:8" ht="15.75" x14ac:dyDescent="0.25">
      <c r="A1757" t="str">
        <f t="shared" si="27"/>
        <v>H195208P204L8K2-W</v>
      </c>
      <c r="B1757" s="35" t="s">
        <v>967</v>
      </c>
      <c r="C1757" s="35" t="s">
        <v>2253</v>
      </c>
      <c r="D1757" s="35" t="s">
        <v>411</v>
      </c>
      <c r="E1757" s="35" t="s">
        <v>2338</v>
      </c>
      <c r="F1757" s="35" t="s">
        <v>409</v>
      </c>
      <c r="G1757" s="35" t="s">
        <v>410</v>
      </c>
      <c r="H1757" s="35">
        <v>1260</v>
      </c>
    </row>
    <row r="1758" spans="1:8" ht="15.75" x14ac:dyDescent="0.25">
      <c r="A1758" t="str">
        <f t="shared" si="27"/>
        <v>H195207P204L9OY-W</v>
      </c>
      <c r="B1758" s="35" t="s">
        <v>969</v>
      </c>
      <c r="C1758" s="35" t="s">
        <v>2254</v>
      </c>
      <c r="D1758" s="35" t="s">
        <v>411</v>
      </c>
      <c r="E1758" s="35" t="s">
        <v>2338</v>
      </c>
      <c r="F1758" s="35" t="s">
        <v>409</v>
      </c>
      <c r="G1758" s="35" t="s">
        <v>410</v>
      </c>
      <c r="H1758" s="35">
        <v>756</v>
      </c>
    </row>
    <row r="1759" spans="1:8" ht="15.75" x14ac:dyDescent="0.25">
      <c r="A1759" t="str">
        <f t="shared" si="27"/>
        <v>H195217P60347T-M</v>
      </c>
      <c r="B1759" s="35" t="s">
        <v>999</v>
      </c>
      <c r="C1759" s="35" t="s">
        <v>2255</v>
      </c>
      <c r="D1759" s="35" t="s">
        <v>404</v>
      </c>
      <c r="E1759" s="35" t="s">
        <v>2337</v>
      </c>
      <c r="F1759" s="35" t="s">
        <v>2294</v>
      </c>
      <c r="G1759" s="35" t="s">
        <v>2295</v>
      </c>
      <c r="H1759" s="35">
        <v>108</v>
      </c>
    </row>
    <row r="1760" spans="1:8" ht="15.75" x14ac:dyDescent="0.25">
      <c r="A1760" t="str">
        <f t="shared" si="27"/>
        <v>H195217P60347T-W</v>
      </c>
      <c r="B1760" s="35" t="s">
        <v>999</v>
      </c>
      <c r="C1760" s="35" t="s">
        <v>2255</v>
      </c>
      <c r="D1760" s="35" t="s">
        <v>404</v>
      </c>
      <c r="E1760" s="35" t="s">
        <v>2338</v>
      </c>
      <c r="F1760" s="35" t="s">
        <v>2294</v>
      </c>
      <c r="G1760" s="35" t="s">
        <v>2295</v>
      </c>
      <c r="H1760" s="35">
        <v>72</v>
      </c>
    </row>
    <row r="1761" spans="1:8" ht="15.75" x14ac:dyDescent="0.25">
      <c r="A1761" t="str">
        <f t="shared" si="27"/>
        <v>H195232P60347T-M</v>
      </c>
      <c r="B1761" s="35" t="s">
        <v>999</v>
      </c>
      <c r="C1761" s="35" t="s">
        <v>2256</v>
      </c>
      <c r="D1761" s="35" t="s">
        <v>404</v>
      </c>
      <c r="E1761" s="35" t="s">
        <v>2337</v>
      </c>
      <c r="F1761" s="35" t="s">
        <v>414</v>
      </c>
      <c r="G1761" s="35" t="s">
        <v>415</v>
      </c>
      <c r="H1761" s="35">
        <v>300</v>
      </c>
    </row>
    <row r="1762" spans="1:8" ht="15.75" x14ac:dyDescent="0.25">
      <c r="A1762" t="str">
        <f t="shared" si="27"/>
        <v>H195232P60347T-W</v>
      </c>
      <c r="B1762" s="35" t="s">
        <v>999</v>
      </c>
      <c r="C1762" s="35" t="s">
        <v>2256</v>
      </c>
      <c r="D1762" s="35" t="s">
        <v>404</v>
      </c>
      <c r="E1762" s="35" t="s">
        <v>2338</v>
      </c>
      <c r="F1762" s="35" t="s">
        <v>414</v>
      </c>
      <c r="G1762" s="35" t="s">
        <v>415</v>
      </c>
      <c r="H1762" s="35">
        <v>204</v>
      </c>
    </row>
    <row r="1763" spans="1:8" ht="15.75" x14ac:dyDescent="0.25">
      <c r="A1763" t="str">
        <f t="shared" si="27"/>
        <v>H195225P60347T-W</v>
      </c>
      <c r="B1763" s="35" t="s">
        <v>999</v>
      </c>
      <c r="C1763" s="35" t="s">
        <v>2257</v>
      </c>
      <c r="D1763" s="35" t="s">
        <v>404</v>
      </c>
      <c r="E1763" s="35" t="s">
        <v>2338</v>
      </c>
      <c r="F1763" s="35" t="s">
        <v>2286</v>
      </c>
      <c r="G1763" s="35" t="s">
        <v>2287</v>
      </c>
      <c r="H1763" s="35">
        <v>786</v>
      </c>
    </row>
    <row r="1764" spans="1:8" ht="15.75" x14ac:dyDescent="0.25">
      <c r="A1764" t="str">
        <f t="shared" si="27"/>
        <v>U157332W515C2GY-B</v>
      </c>
      <c r="B1764" s="35" t="s">
        <v>1069</v>
      </c>
      <c r="C1764" s="35" t="s">
        <v>2258</v>
      </c>
      <c r="D1764" s="35" t="s">
        <v>438</v>
      </c>
      <c r="E1764" s="35" t="s">
        <v>2339</v>
      </c>
      <c r="F1764" s="35" t="s">
        <v>436</v>
      </c>
      <c r="G1764" s="35" t="s">
        <v>2323</v>
      </c>
      <c r="H1764" s="35">
        <v>1716</v>
      </c>
    </row>
    <row r="1765" spans="1:8" ht="15.75" x14ac:dyDescent="0.25">
      <c r="A1765" t="str">
        <f t="shared" si="27"/>
        <v>U157340W515C5KE-B</v>
      </c>
      <c r="B1765" s="35" t="s">
        <v>1070</v>
      </c>
      <c r="C1765" s="35" t="s">
        <v>2259</v>
      </c>
      <c r="D1765" s="35" t="s">
        <v>438</v>
      </c>
      <c r="E1765" s="35" t="s">
        <v>2339</v>
      </c>
      <c r="F1765" s="35" t="s">
        <v>436</v>
      </c>
      <c r="G1765" s="35" t="s">
        <v>2323</v>
      </c>
      <c r="H1765" s="35">
        <v>2172</v>
      </c>
    </row>
    <row r="1766" spans="1:8" ht="15.75" x14ac:dyDescent="0.25">
      <c r="A1766" t="str">
        <f t="shared" si="27"/>
        <v>U157331W515C5KE-D</v>
      </c>
      <c r="B1766" s="35" t="s">
        <v>1070</v>
      </c>
      <c r="C1766" s="35" t="s">
        <v>2260</v>
      </c>
      <c r="D1766" s="35" t="s">
        <v>438</v>
      </c>
      <c r="E1766" s="35" t="s">
        <v>2340</v>
      </c>
      <c r="F1766" s="35" t="s">
        <v>436</v>
      </c>
      <c r="G1766" s="35" t="s">
        <v>2323</v>
      </c>
      <c r="H1766" s="35">
        <v>792</v>
      </c>
    </row>
    <row r="1767" spans="1:8" ht="15.75" x14ac:dyDescent="0.25">
      <c r="A1767" t="str">
        <f t="shared" si="27"/>
        <v>U157338W515C80Y-B</v>
      </c>
      <c r="B1767" s="35" t="s">
        <v>1071</v>
      </c>
      <c r="C1767" s="35" t="s">
        <v>2261</v>
      </c>
      <c r="D1767" s="35" t="s">
        <v>438</v>
      </c>
      <c r="E1767" s="35" t="s">
        <v>2339</v>
      </c>
      <c r="F1767" s="35" t="s">
        <v>436</v>
      </c>
      <c r="G1767" s="35" t="s">
        <v>2323</v>
      </c>
      <c r="H1767" s="35">
        <v>1428</v>
      </c>
    </row>
    <row r="1768" spans="1:8" ht="15.75" x14ac:dyDescent="0.25">
      <c r="A1768" t="str">
        <f t="shared" si="27"/>
        <v>7888800W5743HE-B</v>
      </c>
      <c r="B1768" s="35" t="s">
        <v>966</v>
      </c>
      <c r="C1768" s="35" t="s">
        <v>2262</v>
      </c>
      <c r="D1768" s="35" t="s">
        <v>395</v>
      </c>
      <c r="E1768" s="35" t="s">
        <v>2339</v>
      </c>
      <c r="F1768" s="35" t="s">
        <v>382</v>
      </c>
      <c r="G1768" s="35" t="s">
        <v>383</v>
      </c>
      <c r="H1768" s="35">
        <v>528</v>
      </c>
    </row>
    <row r="1769" spans="1:8" ht="15.75" x14ac:dyDescent="0.25">
      <c r="A1769" t="str">
        <f t="shared" si="27"/>
        <v>7889374W5743HE-B</v>
      </c>
      <c r="B1769" s="35" t="s">
        <v>966</v>
      </c>
      <c r="C1769" s="35" t="s">
        <v>2263</v>
      </c>
      <c r="D1769" s="35" t="s">
        <v>474</v>
      </c>
      <c r="E1769" s="35" t="s">
        <v>2339</v>
      </c>
      <c r="F1769" s="35" t="s">
        <v>379</v>
      </c>
      <c r="G1769" s="35" t="s">
        <v>380</v>
      </c>
      <c r="H1769" s="35">
        <v>162</v>
      </c>
    </row>
    <row r="1770" spans="1:8" ht="15.75" x14ac:dyDescent="0.25">
      <c r="A1770" t="str">
        <f t="shared" si="27"/>
        <v>7889380W5743HE-B</v>
      </c>
      <c r="B1770" s="35" t="s">
        <v>966</v>
      </c>
      <c r="C1770" s="35" t="s">
        <v>2264</v>
      </c>
      <c r="D1770" s="35" t="s">
        <v>395</v>
      </c>
      <c r="E1770" s="35" t="s">
        <v>2339</v>
      </c>
      <c r="F1770" s="35" t="s">
        <v>382</v>
      </c>
      <c r="G1770" s="35" t="s">
        <v>383</v>
      </c>
      <c r="H1770" s="35">
        <v>558</v>
      </c>
    </row>
    <row r="1771" spans="1:8" ht="15.75" x14ac:dyDescent="0.25">
      <c r="A1771" t="str">
        <f t="shared" si="27"/>
        <v>C136472W5743HE-B</v>
      </c>
      <c r="B1771" s="35" t="s">
        <v>966</v>
      </c>
      <c r="C1771" s="35" t="s">
        <v>2265</v>
      </c>
      <c r="D1771" s="35" t="s">
        <v>401</v>
      </c>
      <c r="E1771" s="35" t="s">
        <v>2339</v>
      </c>
      <c r="F1771" s="35" t="s">
        <v>397</v>
      </c>
      <c r="G1771" s="35" t="s">
        <v>400</v>
      </c>
      <c r="H1771" s="35">
        <v>1872</v>
      </c>
    </row>
    <row r="1772" spans="1:8" ht="15.75" x14ac:dyDescent="0.25">
      <c r="A1772" t="str">
        <f t="shared" si="27"/>
        <v>H195233W5743HE-B</v>
      </c>
      <c r="B1772" s="35" t="s">
        <v>966</v>
      </c>
      <c r="C1772" s="35" t="s">
        <v>2266</v>
      </c>
      <c r="D1772" s="35" t="s">
        <v>404</v>
      </c>
      <c r="E1772" s="35" t="s">
        <v>2339</v>
      </c>
      <c r="F1772" s="35" t="s">
        <v>407</v>
      </c>
      <c r="G1772" s="35" t="s">
        <v>408</v>
      </c>
      <c r="H1772" s="35">
        <v>1908</v>
      </c>
    </row>
    <row r="1773" spans="1:8" ht="15.75" x14ac:dyDescent="0.25">
      <c r="A1773" t="str">
        <f t="shared" si="27"/>
        <v>H195234W5743HE-B</v>
      </c>
      <c r="B1773" s="35" t="s">
        <v>966</v>
      </c>
      <c r="C1773" s="35" t="s">
        <v>2267</v>
      </c>
      <c r="D1773" s="35" t="s">
        <v>404</v>
      </c>
      <c r="E1773" s="35" t="s">
        <v>2339</v>
      </c>
      <c r="F1773" s="35" t="s">
        <v>2284</v>
      </c>
      <c r="G1773" s="35" t="s">
        <v>2285</v>
      </c>
      <c r="H1773" s="35">
        <v>144</v>
      </c>
    </row>
    <row r="1774" spans="1:8" ht="15.75" x14ac:dyDescent="0.25">
      <c r="A1774" t="str">
        <f t="shared" si="27"/>
        <v>H195237W5743HE-B</v>
      </c>
      <c r="B1774" s="35" t="s">
        <v>966</v>
      </c>
      <c r="C1774" s="35" t="s">
        <v>2268</v>
      </c>
      <c r="D1774" s="35" t="s">
        <v>404</v>
      </c>
      <c r="E1774" s="35" t="s">
        <v>2339</v>
      </c>
      <c r="F1774" s="35" t="s">
        <v>414</v>
      </c>
      <c r="G1774" s="35" t="s">
        <v>415</v>
      </c>
      <c r="H1774" s="35">
        <v>228</v>
      </c>
    </row>
    <row r="1775" spans="1:8" ht="15.75" x14ac:dyDescent="0.25">
      <c r="A1775" t="str">
        <f t="shared" si="27"/>
        <v>H195243W5743HE-B</v>
      </c>
      <c r="B1775" s="35" t="s">
        <v>966</v>
      </c>
      <c r="C1775" s="35" t="s">
        <v>2269</v>
      </c>
      <c r="D1775" s="35" t="s">
        <v>404</v>
      </c>
      <c r="E1775" s="35" t="s">
        <v>2339</v>
      </c>
      <c r="F1775" s="35" t="s">
        <v>414</v>
      </c>
      <c r="G1775" s="35" t="s">
        <v>415</v>
      </c>
      <c r="H1775" s="35">
        <v>360</v>
      </c>
    </row>
    <row r="1776" spans="1:8" ht="15.75" x14ac:dyDescent="0.25">
      <c r="A1776" t="str">
        <f t="shared" si="27"/>
        <v>H195244W5743HE-B</v>
      </c>
      <c r="B1776" s="35" t="s">
        <v>966</v>
      </c>
      <c r="C1776" s="35" t="s">
        <v>2270</v>
      </c>
      <c r="D1776" s="35" t="s">
        <v>404</v>
      </c>
      <c r="E1776" s="35" t="s">
        <v>2339</v>
      </c>
      <c r="F1776" s="35" t="s">
        <v>414</v>
      </c>
      <c r="G1776" s="35" t="s">
        <v>415</v>
      </c>
      <c r="H1776" s="35">
        <v>450</v>
      </c>
    </row>
    <row r="1777" spans="1:8" ht="15.75" x14ac:dyDescent="0.25">
      <c r="A1777" t="str">
        <f t="shared" si="27"/>
        <v>U157310W5743HE-B</v>
      </c>
      <c r="B1777" s="35" t="s">
        <v>966</v>
      </c>
      <c r="C1777" s="35" t="s">
        <v>2271</v>
      </c>
      <c r="D1777" s="35" t="s">
        <v>438</v>
      </c>
      <c r="E1777" s="35" t="s">
        <v>2339</v>
      </c>
      <c r="F1777" s="35" t="s">
        <v>436</v>
      </c>
      <c r="G1777" s="35" t="s">
        <v>2319</v>
      </c>
      <c r="H1777" s="35">
        <v>504</v>
      </c>
    </row>
    <row r="1778" spans="1:8" ht="15.75" x14ac:dyDescent="0.25">
      <c r="A1778" t="str">
        <f t="shared" si="27"/>
        <v>7888825W5744CP-B</v>
      </c>
      <c r="B1778" s="35" t="s">
        <v>1048</v>
      </c>
      <c r="C1778" s="35" t="s">
        <v>2272</v>
      </c>
      <c r="D1778" s="35" t="s">
        <v>395</v>
      </c>
      <c r="E1778" s="35" t="s">
        <v>2339</v>
      </c>
      <c r="F1778" s="35" t="s">
        <v>382</v>
      </c>
      <c r="G1778" s="35" t="s">
        <v>383</v>
      </c>
      <c r="H1778" s="35">
        <v>840</v>
      </c>
    </row>
    <row r="1779" spans="1:8" ht="15.75" x14ac:dyDescent="0.25">
      <c r="A1779" t="str">
        <f t="shared" si="27"/>
        <v>7889390W5744CP-B</v>
      </c>
      <c r="B1779" s="35" t="s">
        <v>1048</v>
      </c>
      <c r="C1779" s="35" t="s">
        <v>2273</v>
      </c>
      <c r="D1779" s="35" t="s">
        <v>395</v>
      </c>
      <c r="E1779" s="35" t="s">
        <v>2339</v>
      </c>
      <c r="F1779" s="35" t="s">
        <v>382</v>
      </c>
      <c r="G1779" s="35" t="s">
        <v>383</v>
      </c>
      <c r="H1779" s="35">
        <v>738</v>
      </c>
    </row>
    <row r="1780" spans="1:8" ht="15.75" x14ac:dyDescent="0.25">
      <c r="A1780" t="str">
        <f t="shared" si="27"/>
        <v>C136473W5744CP-B</v>
      </c>
      <c r="B1780" s="35" t="s">
        <v>1048</v>
      </c>
      <c r="C1780" s="35" t="s">
        <v>2274</v>
      </c>
      <c r="D1780" s="35" t="s">
        <v>401</v>
      </c>
      <c r="E1780" s="35" t="s">
        <v>2339</v>
      </c>
      <c r="F1780" s="35" t="s">
        <v>397</v>
      </c>
      <c r="G1780" s="35" t="s">
        <v>400</v>
      </c>
      <c r="H1780" s="35">
        <v>774</v>
      </c>
    </row>
    <row r="1781" spans="1:8" ht="15.75" x14ac:dyDescent="0.25">
      <c r="A1781" t="str">
        <f t="shared" si="27"/>
        <v>H195241W5744CP-B</v>
      </c>
      <c r="B1781" s="35" t="s">
        <v>1048</v>
      </c>
      <c r="C1781" s="35" t="s">
        <v>2275</v>
      </c>
      <c r="D1781" s="35" t="s">
        <v>404</v>
      </c>
      <c r="E1781" s="35" t="s">
        <v>2339</v>
      </c>
      <c r="F1781" s="35" t="s">
        <v>414</v>
      </c>
      <c r="G1781" s="35" t="s">
        <v>415</v>
      </c>
      <c r="H1781" s="35">
        <v>300</v>
      </c>
    </row>
    <row r="1782" spans="1:8" ht="15.75" x14ac:dyDescent="0.25">
      <c r="A1782" t="str">
        <f t="shared" si="27"/>
        <v>H195245W5744CP-B</v>
      </c>
      <c r="B1782" s="35" t="s">
        <v>1048</v>
      </c>
      <c r="C1782" s="35" t="s">
        <v>2276</v>
      </c>
      <c r="D1782" s="35" t="s">
        <v>404</v>
      </c>
      <c r="E1782" s="35" t="s">
        <v>2339</v>
      </c>
      <c r="F1782" s="35" t="s">
        <v>414</v>
      </c>
      <c r="G1782" s="35" t="s">
        <v>415</v>
      </c>
      <c r="H1782" s="35">
        <v>360</v>
      </c>
    </row>
    <row r="1783" spans="1:8" ht="15.75" x14ac:dyDescent="0.25">
      <c r="A1783" t="str">
        <f t="shared" si="27"/>
        <v>U157259W5744CP-B</v>
      </c>
      <c r="B1783" s="35" t="s">
        <v>1048</v>
      </c>
      <c r="C1783" s="35" t="s">
        <v>2277</v>
      </c>
      <c r="D1783" s="35" t="s">
        <v>438</v>
      </c>
      <c r="E1783" s="35" t="s">
        <v>2339</v>
      </c>
      <c r="F1783" s="35" t="s">
        <v>436</v>
      </c>
      <c r="G1783" s="35" t="s">
        <v>2320</v>
      </c>
      <c r="H1783" s="35">
        <v>600</v>
      </c>
    </row>
    <row r="1784" spans="1:8" ht="15.75" x14ac:dyDescent="0.25">
      <c r="A1784" t="str">
        <f t="shared" si="27"/>
        <v>U157305W5744CP-B</v>
      </c>
      <c r="B1784" s="35" t="s">
        <v>1048</v>
      </c>
      <c r="C1784" s="35" t="s">
        <v>2278</v>
      </c>
      <c r="D1784" s="35" t="s">
        <v>438</v>
      </c>
      <c r="E1784" s="35" t="s">
        <v>2339</v>
      </c>
      <c r="F1784" s="35" t="s">
        <v>436</v>
      </c>
      <c r="G1784" s="35" t="s">
        <v>2319</v>
      </c>
      <c r="H1784" s="35">
        <v>510</v>
      </c>
    </row>
    <row r="1785" spans="1:8" ht="15.75" x14ac:dyDescent="0.25">
      <c r="A1785" t="str">
        <f t="shared" si="27"/>
        <v>H195251W5744TB-B</v>
      </c>
      <c r="B1785" s="35" t="s">
        <v>1054</v>
      </c>
      <c r="C1785" s="35" t="s">
        <v>2279</v>
      </c>
      <c r="D1785" s="35" t="s">
        <v>411</v>
      </c>
      <c r="E1785" s="35" t="s">
        <v>2339</v>
      </c>
      <c r="F1785" s="35" t="s">
        <v>409</v>
      </c>
      <c r="G1785" s="35" t="s">
        <v>410</v>
      </c>
      <c r="H1785" s="35">
        <v>1554</v>
      </c>
    </row>
    <row r="1786" spans="1:8" ht="15.75" x14ac:dyDescent="0.25">
      <c r="A1786" t="str">
        <f t="shared" si="27"/>
        <v>H195299W5744TB-B</v>
      </c>
      <c r="B1786" s="35" t="s">
        <v>1054</v>
      </c>
      <c r="C1786" s="35" t="s">
        <v>2280</v>
      </c>
      <c r="D1786" s="35" t="s">
        <v>404</v>
      </c>
      <c r="E1786" s="35" t="s">
        <v>2339</v>
      </c>
      <c r="F1786" s="35" t="s">
        <v>412</v>
      </c>
      <c r="G1786" s="35" t="s">
        <v>413</v>
      </c>
      <c r="H1786" s="35">
        <v>396</v>
      </c>
    </row>
    <row r="1787" spans="1:8" ht="15.75" x14ac:dyDescent="0.25">
      <c r="A1787" t="str">
        <f t="shared" si="27"/>
        <v>H195252W5746FS-B</v>
      </c>
      <c r="B1787" s="35" t="s">
        <v>1058</v>
      </c>
      <c r="C1787" s="35" t="s">
        <v>2281</v>
      </c>
      <c r="D1787" s="35" t="s">
        <v>411</v>
      </c>
      <c r="E1787" s="35" t="s">
        <v>2339</v>
      </c>
      <c r="F1787" s="35" t="s">
        <v>409</v>
      </c>
      <c r="G1787" s="35" t="s">
        <v>410</v>
      </c>
      <c r="H1787" s="35">
        <v>684</v>
      </c>
    </row>
    <row r="1917" spans="4:4" x14ac:dyDescent="0.25"/>
    <row r="1918" spans="4:4" x14ac:dyDescent="0.25"/>
  </sheetData>
  <mergeCells count="7">
    <mergeCell ref="H2:H4"/>
    <mergeCell ref="B2:B4"/>
    <mergeCell ref="C2:C4"/>
    <mergeCell ref="D2:D4"/>
    <mergeCell ref="E2:E4"/>
    <mergeCell ref="F2:F4"/>
    <mergeCell ref="G2:G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090034 FG In Scan History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REVINA CANTIK</dc:creator>
  <cp:lastModifiedBy>SFI</cp:lastModifiedBy>
  <dcterms:created xsi:type="dcterms:W3CDTF">2026-08-06T02:25:58Z</dcterms:created>
  <dcterms:modified xsi:type="dcterms:W3CDTF">2026-09-25T01:57:26Z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17.2.7.0</vt:lpwstr>
  </property>
</Properties>
</file>